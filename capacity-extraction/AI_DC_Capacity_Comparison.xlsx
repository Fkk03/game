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5-Yr Additions" sheetId="2" state="visible" r:id="rId4"/>
    <sheet name="Rate per GW" sheetId="3" state="visible" r:id="rId5"/>
    <sheet name="CRWV vs NBIS (User)" sheetId="4" state="visible" r:id="rId6"/>
    <sheet name="Capacity Notes" sheetId="5" state="visible" r:id="rId7"/>
    <sheet name="Sources" sheetId="6" state="visible" r:id="rId8"/>
    <sheet name="Read Me"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390 MW active is the USER-provided figure from the source screenshot. Nebius did not disclose a connected-power actual in Q2 2026 materials (only the 800 MW-1 GW YE2026 target). Not filing-verified.</t>
        </r>
      </text>
    </comment>
    <comment ref="M11" authorId="0">
      <text>
        <r>
          <rPr>
            <sz val="10"/>
            <rFont val="Arial"/>
            <family val="2"/>
          </rPr>
          <t xml:space="preserve">GDS: 757 MW = committed-but-not-yet-revenue-generating backlog per Q2 2026 call (total contracted MW not disclosed; GDS reports sqm).</t>
        </r>
      </text>
    </comment>
    <comment ref="O14" authorId="0">
      <text>
        <r>
          <rPr>
            <sz val="10"/>
            <rFont val="Arial"/>
            <family val="2"/>
          </rPr>
          <t xml:space="preserve">~3 GW developable land under control ("contracted power or high confidence"), of which ~700 MW under active construction; xScale JVs: 196 MW under development, 182 MW leased. Retail capacity reported in cabinets, not MW.</t>
        </r>
      </text>
    </comment>
    <comment ref="P9" authorId="0">
      <text>
        <r>
          <rPr>
            <sz val="10"/>
            <rFont val="Arial"/>
            <family val="2"/>
          </rPr>
          <t xml:space="preserve">DERIVED: 3.1 GW in-service + 1.4 GW under construction. DLR discloses no single "contracted/secured" MW total; its contracted disclosures are the 63% pre-leasing of the 1.4 GW and a $1.9B annualized-rent backlog.</t>
        </r>
      </text>
    </comment>
    <comment ref="T11" authorId="0">
      <text>
        <r>
          <rPr>
            <sz val="10"/>
            <rFont val="Arial"/>
            <family val="2"/>
          </rPr>
          <t xml:space="preserve">Oracle: 4,500 MW = OpenAI Stargate 4.5 GW partnership only (Jul 2025) - a floor, not Oracle total contracted-unbuilt.</t>
        </r>
      </text>
    </comment>
    <comment ref="Y30" authorId="0">
      <text>
        <r>
          <rPr>
            <sz val="10"/>
            <rFont val="Arial"/>
            <family val="2"/>
          </rPr>
          <t xml:space="preserve">Private company: equity value = latest funding-round / transaction valuation (see Data as-of row), used as EV proxy (net debt n.d.).</t>
        </r>
      </text>
    </comment>
    <comment ref="Z9" authorId="0">
      <text>
        <r>
          <rPr>
            <sz val="10"/>
            <rFont val="Arial"/>
            <family val="2"/>
          </rPr>
          <t xml:space="preserve">Sum of announced ceilings ("up to" AWS 5GW, Azure 1GW) + firm leases (TeraWulf 401MW) + Google TPU 1GW-2026 + Broadcom/TPU 3.5GW-2027. True firm-contracted power is below this; total pipeline larger (excl. $50B Fluidstack own-build).</t>
        </r>
      </text>
    </comment>
    <comment ref="Z30" authorId="0">
      <text>
        <r>
          <rPr>
            <sz val="10"/>
            <rFont val="Arial"/>
            <family val="2"/>
          </rPr>
          <t xml:space="preserve">Private company: equity value = latest funding-round / transaction valuation (see Data as-of row), used as EV proxy (net debt n.d.).</t>
        </r>
      </text>
    </comment>
    <comment ref="AA30" authorId="0">
      <text>
        <r>
          <rPr>
            <sz val="10"/>
            <rFont val="Arial"/>
            <family val="2"/>
          </rPr>
          <t xml:space="preserve">Private company: equity value = latest funding-round / transaction valuation (see Data as-of row), used as EV proxy (net debt n.d.).</t>
        </r>
      </text>
    </comment>
  </commentList>
</comments>
</file>

<file path=xl/sharedStrings.xml><?xml version="1.0" encoding="utf-8"?>
<sst xmlns="http://schemas.openxmlformats.org/spreadsheetml/2006/main" count="3141" uniqueCount="1755">
  <si>
    <t xml:space="preserve">AI DATA CENTER CAPACITY &amp; VALUATION COMPARISON</t>
  </si>
  <si>
    <t xml:space="preserve">All $ in USD millions; MW = megawatts. Market data as of Aug 14, 2026 close (Nasdaq screener); operating data = latest reported quarter per column. Blue = hardcoded input from filings/calls research; black = formula. Sources &amp; verbatim quotes: "Sources" sheet; definitions: "Capacity Notes" sheet.</t>
  </si>
  <si>
    <t xml:space="preserve">Neoclouds</t>
  </si>
  <si>
    <t xml:space="preserve">Miner-converts</t>
  </si>
  <si>
    <t xml:space="preserve">Asia DC</t>
  </si>
  <si>
    <t xml:space="preserve">Global DC REITs</t>
  </si>
  <si>
    <t xml:space="preserve">Hyperscalers (segment)</t>
  </si>
  <si>
    <t xml:space="preserve">China cloud (segment)</t>
  </si>
  <si>
    <t xml:space="preserve">Private AI</t>
  </si>
  <si>
    <t xml:space="preserve">CoreWeave</t>
  </si>
  <si>
    <t xml:space="preserve">Nebius</t>
  </si>
  <si>
    <t xml:space="preserve">IREN</t>
  </si>
  <si>
    <t xml:space="preserve">Applied Digital</t>
  </si>
  <si>
    <t xml:space="preserve">Cipher</t>
  </si>
  <si>
    <t xml:space="preserve">TeraWulf</t>
  </si>
  <si>
    <t xml:space="preserve">Hut 8</t>
  </si>
  <si>
    <t xml:space="preserve">Galaxy Digital</t>
  </si>
  <si>
    <t xml:space="preserve">Core Scientific</t>
  </si>
  <si>
    <t xml:space="preserve">Riot Platforms</t>
  </si>
  <si>
    <t xml:space="preserve">MARA</t>
  </si>
  <si>
    <t xml:space="preserve">GDS Holdings</t>
  </si>
  <si>
    <t xml:space="preserve">VNET</t>
  </si>
  <si>
    <t xml:space="preserve">Equinix</t>
  </si>
  <si>
    <t xml:space="preserve">Digital Realty</t>
  </si>
  <si>
    <t xml:space="preserve">Amazon / AWS</t>
  </si>
  <si>
    <t xml:space="preserve">Microsoft / Azure</t>
  </si>
  <si>
    <t xml:space="preserve">Alphabet / Google Cloud</t>
  </si>
  <si>
    <t xml:space="preserve">Oracle / OCI</t>
  </si>
  <si>
    <t xml:space="preserve">Meta</t>
  </si>
  <si>
    <t xml:space="preserve">Alibaba Cloud</t>
  </si>
  <si>
    <t xml:space="preserve">Baidu AI Cloud</t>
  </si>
  <si>
    <t xml:space="preserve">Tencent Cloud</t>
  </si>
  <si>
    <t xml:space="preserve">OpenAI</t>
  </si>
  <si>
    <t xml:space="preserve">Anthropic</t>
  </si>
  <si>
    <t xml:space="preserve">xAI (in SpaceX)</t>
  </si>
  <si>
    <t xml:space="preserve">SpaceX (incl. xAI)</t>
  </si>
  <si>
    <t xml:space="preserve">CRWV</t>
  </si>
  <si>
    <t xml:space="preserve">NBIS</t>
  </si>
  <si>
    <t xml:space="preserve">APLD</t>
  </si>
  <si>
    <t xml:space="preserve">CIFR</t>
  </si>
  <si>
    <t xml:space="preserve">WULF</t>
  </si>
  <si>
    <t xml:space="preserve">HUT</t>
  </si>
  <si>
    <t xml:space="preserve">GLXY</t>
  </si>
  <si>
    <t xml:space="preserve">CORZ</t>
  </si>
  <si>
    <t xml:space="preserve">RIOT</t>
  </si>
  <si>
    <t xml:space="preserve">GDS</t>
  </si>
  <si>
    <t xml:space="preserve">EQIX</t>
  </si>
  <si>
    <t xml:space="preserve">DLR</t>
  </si>
  <si>
    <t xml:space="preserve">AMZN</t>
  </si>
  <si>
    <t xml:space="preserve">MSFT</t>
  </si>
  <si>
    <t xml:space="preserve">GOOGL</t>
  </si>
  <si>
    <t xml:space="preserve">ORCL</t>
  </si>
  <si>
    <t xml:space="preserve">META</t>
  </si>
  <si>
    <t xml:space="preserve">BABA</t>
  </si>
  <si>
    <t xml:space="preserve">BIDU</t>
  </si>
  <si>
    <t xml:space="preserve">0700.HK</t>
  </si>
  <si>
    <t xml:space="preserve">private</t>
  </si>
  <si>
    <t xml:space="preserve">SPCX sub</t>
  </si>
  <si>
    <t xml:space="preserve">SPCX</t>
  </si>
  <si>
    <t xml:space="preserve">Enterprise Value ($M)</t>
  </si>
  <si>
    <t xml:space="preserve">Contracted / Secured Power (MW)</t>
  </si>
  <si>
    <t xml:space="preserve">o/w Built &amp; Active (MW)</t>
  </si>
  <si>
    <t xml:space="preserve">o/w Contracted, Unbuilt (MW)</t>
  </si>
  <si>
    <t xml:space="preserve">% Built &amp; Active</t>
  </si>
  <si>
    <t xml:space="preserve">% Contracted, Unbuilt</t>
  </si>
  <si>
    <t xml:space="preserve">Pipeline / Target beyond contracted (MW)</t>
  </si>
  <si>
    <t xml:space="preserve">Contracted Revenue Backlog ($M)</t>
  </si>
  <si>
    <t xml:space="preserve">Backlog per Contracted MW ($M/MW)</t>
  </si>
  <si>
    <t xml:space="preserve">EV / Contracted Power MW ($M/MW)</t>
  </si>
  <si>
    <t xml:space="preserve">EV / Built &amp; Active MW ($M/MW)</t>
  </si>
  <si>
    <t xml:space="preserve">EV / Contracted, Unbuilt MW ($M/MW)</t>
  </si>
  <si>
    <t xml:space="preserve">NTM Revenue ($M)</t>
  </si>
  <si>
    <t xml:space="preserve">NTM EBITDA ($M)</t>
  </si>
  <si>
    <t xml:space="preserve">EV / NTM Revenue</t>
  </si>
  <si>
    <t xml:space="preserve">n.m.</t>
  </si>
  <si>
    <t xml:space="preserve">EV / NTM EBITDA</t>
  </si>
  <si>
    <t xml:space="preserve">Net Debt ($M)  [neg = net cash]</t>
  </si>
  <si>
    <t xml:space="preserve">Minority Interest ($M)</t>
  </si>
  <si>
    <t xml:space="preserve">Equity Value / Mkt Cap ($M)</t>
  </si>
  <si>
    <t xml:space="preserve">Equity Value / Contracted MW ($M/MW)</t>
  </si>
  <si>
    <t xml:space="preserve">Capacity basis</t>
  </si>
  <si>
    <t xml:space="preserve">Co.-disclosed contracted 3.7GW / active 1.5GW at 6/30/26; 4.2GW contracted per 8/11/26 call; ~6GW visibility incl. LOIs</t>
  </si>
  <si>
    <t xml:space="preserve">Contracted 3.5GW (last actual, Q1-26); YE26 target 5GW; active 390MW is USER input - co. disclosed only 800MW-1GW YE26 connected target</t>
  </si>
  <si>
    <t xml:space="preserve">5GW SECURED GRID POWER (not customer-contracted): Childress 750+SW1 1,400+SW2 600+BC 160+OK 1,600+Spain 490; operating 810MW (Oct-25; ~885MW after Horizon 1 to MSFT 8/13/26)</t>
  </si>
  <si>
    <t xml:space="preserve">1,410MW critical-IT under executed leases: PF1 400MW CoreWeave; PF2 200; PF3 300; DF1 300; DF2 210 (IG hyperscalers); 175MW live</t>
  </si>
  <si>
    <t xml:space="preserve">700MW contracted HPC (AWS Black Pearl 300 + Fluidstack Barber Lake 168 IT +39 exp. + Stingray 70 AWS), 0 live (1st Aug-26); 207MW BTC mining sep.</t>
  </si>
  <si>
    <t xml:space="preserve">839MW critical-IT leased: Fluidstack ~360 Lake Mariner + Core42 72.5 + ANTHROPIC 401 Hawesville KY (20yr, 7/6/26); 81MW live 6/30 (102MW Jul-26)</t>
  </si>
  <si>
    <t xml:space="preserve">949MW IT under signed AI-DC leases (Beacon Point TX 704 + River Bend LA 245, IG tenants), 0 live (1st deliveries 2027); 1,330MW gross under constr.</t>
  </si>
  <si>
    <t xml:space="preserve">Helios: 526MW critical-IT to CoreWeave (Ph I-III = 800MW gross); Ph I 133MW live; site approved 1.63GW gross</t>
  </si>
  <si>
    <t xml:space="preserve">~1,120MW: ~590MW CoreWeave colo + ~530MW NEW AMD anchor (15yr; ~380MW triple-net Pecos/Hunt/Muskogee); CRWV takeover voted down Oct-25; AMD option to 1,925MW</t>
  </si>
  <si>
    <t xml:space="preserve">241MW IT contracted at Rockdale: 191MW 20-yr lease w/ "leading frontier AI lab" (8/10/26; 1st 96MW Dec-27) + AMD 50MW; Corsicana 1GW LOI (non-binding)</t>
  </si>
  <si>
    <t xml:space="preserve">No third-party AI/HPC leases as of Q2-26; 4.8GW stated POTENTIAL portfolio (Matagorda ~2GW + Long Ridge &gt;1GW pending + owned sites); 35,577 BTC (~$2.1B)</t>
  </si>
  <si>
    <t xml:space="preserve">Reports sqm not MW: 684,977 sqm in service (92.4% committed); MW backlog 757MW committed-not-yet-revenue; H1-26 bookings record 470MW, FY26 target 1GW; excl. DayOne intl.</t>
  </si>
  <si>
    <t xml:space="preserve">Wholesale IDC: 907MW in service (75.7% util) + 516MW under constr. (85.8% pre-committed) = 1,423MW (DERIVED sum); 2.48GW total resource; retail sep. (50k cabinets)</t>
  </si>
  <si>
    <t xml:space="preserve">Reports cabinets not MW: 282 IBX DCs / 77 mkts, ~78% utilized; xScale 196MW under dev. (182MW leased); ~700MW under active construction on ~3GW developable land ("Build Bolder"); no company-wide MW stock</t>
  </si>
  <si>
    <t xml:space="preserve">IT-load MW: 3.1GW in service (310 DCs, 89.8% occupied) + 1.4GW under constr. (63% pre-leased pro forma Jul-26 leases, ~$20B cost, 11.5% yield); 4,500MW total is DERIVED sum; ~8.5GW buildable (incl. the 1.4GW); KC land up to 2GW excl.</t>
  </si>
  <si>
    <t xml:space="preserve">No MW stock disclosed: added 3.9GW in 2025; on pace to DOUBLE power capacity by end-2027; up to 5GW committed to Anthropic; ~1M+ Trainium chips</t>
  </si>
  <si>
    <t xml:space="preserve">No MW stock disclosed: +2GW FY25, ~+1GW per quarter through FY26; 400+ DCs / 70+ regions</t>
  </si>
  <si>
    <t xml:space="preserve">No MW disclosed; customer-side: Anthropic ~1M TPUs / &gt;1GW in 2026 + multi-GW from 2027 (3.5GW via Broadcom)</t>
  </si>
  <si>
    <t xml:space="preserve">No MW stock disclosed: delivered &gt;1.2GW in FY26, ~1GW in Q1 FY27 alone; unbuilt 4,500MW = OpenAI Stargate 4.5GW only (floor; Abilene 1.2GW 42% delivered)</t>
  </si>
  <si>
    <t xml:space="preserve">Self-build, no MW schedule: Prometheus ~1GW (OH, 2026) + Hyperion to 5GW (LA, Blue Owl $27B JV) + El Paso 1GW (2028, BlackRock JV); Reuters memo: ~7GW deployed 2026 -&gt; 14GW 2027</t>
  </si>
  <si>
    <t xml:space="preserve">No MW disclosed; capex: RMB380B 3-yr AI plan (Feb-25), mgmt says likely to overshoot; reports of RMB480B considered; FY26 capex RMB126B</t>
  </si>
  <si>
    <t xml:space="preserve">No MW/capex disclosed; GPU Cloud revenue +184% YoY Q1-26; Kunlun chips</t>
  </si>
  <si>
    <t xml:space="preserve">No MW or cloud revenue disclosed; Q2-26: GPU/ASIC capacity to "step up" renting bare-metal GPU/MaaS late 2026-27</t>
  </si>
  <si>
    <t xml:space="preserve">~30GW committed compute, ~$1.4T TCO (Altman 11/25; NVIDIA 10GW+AMD 6GW+Broadcom 10GW+Oracle 4.5GW+AWS+CRWV overlap); &gt;10GW secured under Stargate US (Jan-26); active 1.9GW (start-2026); 250GW-by-2033 ambition</t>
  </si>
  <si>
    <t xml:space="preserve">~10.9GW committed/ceiling sum: AWS up to 5GW + Google TPU ~1GW-2026 + 3.5GW Broadcom/TPU from 2027 + Azure up to 1GW + TeraWulf 401MW; + $50B own-build w/ Fluidstack; active ~2.2GW = Rainier New Carlisle (500K+ Trainium2)</t>
  </si>
  <si>
    <t xml:space="preserve">Colossus Memphis ~2GW announced (Colossus 2 first GW-scale DC per SemiAnalysis; ~555K GPUs per 2nd-tier trackers) + Saudi/Humain &gt;500MW (1st phase end-26); active MW not cleanly disclosed</t>
  </si>
  <si>
    <t xml:space="preserve">AI biz = xAI (see col.) + orbital compute: FCC filing for up to 1M satellites; Starlink V3 on-orbit compute pilots 2026; 0 orbital MW in service. MW blank to avoid double-count</t>
  </si>
  <si>
    <t xml:space="preserve">Revenue / EBITDA basis</t>
  </si>
  <si>
    <t xml:space="preserve">FY26 guide midpt $12.4-13.2B; EBITDA = Q2 adj. EBITDA x4 (not guided)</t>
  </si>
  <si>
    <t xml:space="preserve">FY26 guide midpt $3.0-3.4B; ARR $3.0B Jun-26, $7-9B YE26 target; EBITDA = ~40% guided margin (derived)</t>
  </si>
  <si>
    <t xml:space="preserve">BTIG FY27 est. (no co. guidance); contracted ARR $3.4B Jul-26 vs &gt;$4B YE26 target</t>
  </si>
  <si>
    <t xml:space="preserve">FQ4 FY26 run-rate x4 (no guidance); mgmt targets $1B NOI run-rate mid-2027</t>
  </si>
  <si>
    <t xml:space="preserve">CY27 consensus (leases start Aug-26-Apr-27; trailing run-rate only ~$99M)</t>
  </si>
  <si>
    <t xml:space="preserve">Q2-26 run-rate x4 - materially understates ramp (336MW under constr.)</t>
  </si>
  <si>
    <t xml:space="preserve">Q2-26 run-rate x4 (mostly legacy compute); leases imply &gt;$1.75B avg annual NOI ramped</t>
  </si>
  <si>
    <t xml:space="preserve">DC segment only (~$80M/qtr Ph I from Q3-26, &gt;90% margin); group EV dominated by $3.5B digital assets + $1.6B stablecoins</t>
  </si>
  <si>
    <t xml:space="preserve">Q2-26 run-rate x4; colo ramps to ~$850M avg annualized</t>
  </si>
  <si>
    <t xml:space="preserve">Q2-26 run-rate x4 (still mostly BTC mining; DC revenue starts Dec-27); 11,380 BTC (~$0.7B)</t>
  </si>
  <si>
    <t xml:space="preserve">Q2-26 run-rate x4 (BTC mining, price-sensitive)</t>
  </si>
  <si>
    <t xml:space="preserve">FY26 guide midpt RMB12.7-13.0B rev / RMB5.9-6.1B adj EBITDA (raised 8/13/26), at 6.785 RMB/USD</t>
  </si>
  <si>
    <t xml:space="preserve">2026 co. guidance (RMB), converted ~7.1</t>
  </si>
  <si>
    <t xml:space="preserve">FY26 guide midpts (raised 7/29/26 - "largest raise in history"): rev $10.205-10.285B, adj EBITDA $5.21-5.27B (~51%), AFFO $4.24-4.30B</t>
  </si>
  <si>
    <t xml:space="preserve">FY26 guide midpts (raised 7/23/26): rev ex-promote $6.85-6.95B, adj EBITDA $3.75-3.85B; net debt 4.7x EBITDA</t>
  </si>
  <si>
    <t xml:space="preserve">AWS seg. Q2-26 $42.2B x4 (+37% YoY, op inc $16.6B); TTM ~$148B. EV/mults vs GROUP not meaningful</t>
  </si>
  <si>
    <t xml:space="preserve">Total-company FY27 consensus (Azure not separately guided). EV/mults vs group shown n.m.</t>
  </si>
  <si>
    <t xml:space="preserve">Cloud seg. Q2-26 $24.8B x4 (+82% YoY; op inc $8.8B). EV/mults vs group n.m.</t>
  </si>
  <si>
    <t xml:space="preserve">FY27 total-co. guidance $90B (+34%); FY26 IaaS $18.1B +77%</t>
  </si>
  <si>
    <t xml:space="preserve">Q2-26 rev $60.8B x4; EBITDA = op inc + D&amp;A annualized (DERIVED); capex guide $130-145B 2026</t>
  </si>
  <si>
    <t xml:space="preserve">Cloud seg. Mar-26 qtr RMB41.6B x4 at 7.1 (+38% YoY; AI products ~30% of ext. cloud, 11 qtrs triple-digit); EBITDA = adj. EBITA x4 (not EBITDA)</t>
  </si>
  <si>
    <t xml:space="preserve">AI Cloud seg. Q1-26 x4 annualized (Q2 due 8/18/26); group is net cash (~RMB279B cash &amp; inv.)</t>
  </si>
  <si>
    <t xml:space="preserve">Cloud rev not broken out (in FinTech &amp; Business Services; intl cloud +40% YoY); group net cash RMB58.2B</t>
  </si>
  <si>
    <t xml:space="preserve">Run-rate &gt;$40B (Bloomberg 8/13/26); ~$2B/month at Mar-26 round</t>
  </si>
  <si>
    <t xml:space="preserve">Run-rate &gt;$47B (co. statement May-26); confid. IPO filed (Fortune 6/1/26)</t>
  </si>
  <si>
    <t xml:space="preserve">~$2B Grok 2026 target (press); acquired by SpaceX 2/2/26 all-stock at $250B</t>
  </si>
  <si>
    <t xml:space="preserve">IPO 6/12/26 Nasdaq SPCX at $135 (raised ~$75B); mkt cap ~$1.84T at ~$140 (8/17/26)</t>
  </si>
  <si>
    <t xml:space="preserve">Backlog basis</t>
  </si>
  <si>
    <t xml:space="preserve">Revenue backlog (RPO $103.7B + other) 6/30/26; excl. &gt;$25B early-Q3 commitments (~$129B total)</t>
  </si>
  <si>
    <t xml:space="preserve">CFO "committed backlog" ~$40B (MSFT $17.4B; Meta up to $27B; 4 new &gt;$1B deals)</t>
  </si>
  <si>
    <t xml:space="preserve">Sum of AI-cloud TCVs: MSFT $9.7B + NVIDIA $3.4B + $2.8B Jul-26 contracts</t>
  </si>
  <si>
    <t xml:space="preserve">$36.2B contracted lease revenue, initial ~15yr terms (~$86B w/ renewals), per FY26 10-K</t>
  </si>
  <si>
    <t xml:space="preserve">$11.4B base-term lease revenue (AWS ~$5.5B+$2B; Fluidstack ~$3B, $1.4B Google backstop); ~$793M avg NOI 2026-36</t>
  </si>
  <si>
    <t xml:space="preserve">~$27B base-term leases (Anthropic ~$19B + Fluidstack ~$7B + Core42 $1.1B); &gt;$40B w/ extensions</t>
  </si>
  <si>
    <t xml:space="preserve">$26.6B base-term lease value; net debt excl. $6.8B restricted escrow of $7.5B project financing; 17,316 BTC (~$1.0B)</t>
  </si>
  <si>
    <t xml:space="preserve">$10.4B min. lease payments, 15yr initial terms, excl. extensions</t>
  </si>
  <si>
    <t xml:space="preserve">~$24B: &gt;$10B CoreWeave contracts + &gt;$14B AMD base (sum of two co. figures)</t>
  </si>
  <si>
    <t xml:space="preserve">$9.8B: ~$9.1B frontier-lab lease initial term (~$16.1B w/ ext.) + AMD lease</t>
  </si>
  <si>
    <t xml:space="preserve">None disclosed</t>
  </si>
  <si>
    <t xml:space="preserve">No $ backlog disclosed; 757MW committed capacity backlog</t>
  </si>
  <si>
    <t xml:space="preserve">No $ backlog; pre-commitment rates only</t>
  </si>
  <si>
    <t xml:space="preserve">RPO ~$15.0B at 6/30/26 per 10-Q (ASC 606); Q2 annualized gross bookings $424M (+23%)</t>
  </si>
  <si>
    <t xml:space="preserve">$ backlog omitted: DLR disclosed $1.9B ANNUALIZED GAAP rent backlog (100% share; $1.4B pro-rata, +75% YTD) - not TCV/RPO, not comparable to other columns</t>
  </si>
  <si>
    <t xml:space="preserve">AWS RPO ~$496B at 6/30/26 (wtd-avg life 6.4yr; $244B Dec-25)</t>
  </si>
  <si>
    <t xml:space="preserve">Commercial RPO $678B at 6/30/26 (+84% YoY; Dec-25 $625B, ~45% OpenAI; incl. $250B OpenAI Azure commitment)</t>
  </si>
  <si>
    <t xml:space="preserve">Google Cloud RPO $513.9B of $519.5B total at 6/30/26 (~50%+ recognized within 24mo)</t>
  </si>
  <si>
    <t xml:space="preserve">Total RPO $638B at 5/31/26 (+363% YoY; $455B Q1-&gt;$638B Q4 FY26; incl. reported ~$300B OpenAI)</t>
  </si>
  <si>
    <t xml:space="preserve">n/a - buys capacity (CoreWeave ~$35B, Google Cloud ~$10B, Nebius up to $27B, Oracle ~$20B reported)</t>
  </si>
  <si>
    <t xml:space="preserve">None disclosed; AI ARR target RMB30B (~$4.3B) by YE26</t>
  </si>
  <si>
    <t xml:space="preserve">n/a - OpenAI is the BUYER (its commitments = Oracle/MSFT/CRWV backlogs); confid. IPO filed Jun-26</t>
  </si>
  <si>
    <t xml:space="preserve">n/a - buyer side; mixes "up to" ceilings with firm leases</t>
  </si>
  <si>
    <t xml:space="preserve">n/a</t>
  </si>
  <si>
    <t xml:space="preserve">Data as-of</t>
  </si>
  <si>
    <t xml:space="preserve">Q2 2026 (8/11/26); mkt 8/14/26</t>
  </si>
  <si>
    <t xml:space="preserve">Q2 2026 (8/12/26); mkt 8/14/26</t>
  </si>
  <si>
    <t xml:space="preserve">Q3 FY26 (3/31/26) + PRs to Aug-26; mkt 8/14/26</t>
  </si>
  <si>
    <t xml:space="preserve">FY26 (5/31/26); mkt 8/14/26</t>
  </si>
  <si>
    <t xml:space="preserve">Q2 2026 (8/4/26); mkt 8/14/26</t>
  </si>
  <si>
    <t xml:space="preserve">Q2 2026 (Aug-26); mkt 8/14/26</t>
  </si>
  <si>
    <t xml:space="preserve">Q2 2026 (8/5/26); mkt 8/14/26</t>
  </si>
  <si>
    <t xml:space="preserve">Q2 2026 (7/28/26); mkt 8/14/26</t>
  </si>
  <si>
    <t xml:space="preserve">Q2 2026 (8/10/26); mkt 8/14/26</t>
  </si>
  <si>
    <t xml:space="preserve">Q2 2026 (8/13/26); mkt 8/14/26</t>
  </si>
  <si>
    <t xml:space="preserve">Q1 2026 (5/26/26 - Q2 not yet reported); mkt 8/14/26</t>
  </si>
  <si>
    <t xml:space="preserve">Q2 2026 (7/29/26); mkt 8/14/26</t>
  </si>
  <si>
    <t xml:space="preserve">Q2 2026 (7/23/26); mkt 8/14/26</t>
  </si>
  <si>
    <t xml:space="preserve">Q2 2026 (7/30/26); mkt 8/14/26</t>
  </si>
  <si>
    <t xml:space="preserve">FY26 Q4 (Jul-26); mkt 8/14/26</t>
  </si>
  <si>
    <t xml:space="preserve">Q2 2026 (7/22/26); mkt 8/14/26</t>
  </si>
  <si>
    <t xml:space="preserve">FY26 Q4 (6/10/26); mkt 8/14/26</t>
  </si>
  <si>
    <t xml:space="preserve">FY26 (3/31/26, rep. 5/13/26 - Jun qtr due ~8/20+); mkt 8/14/26</t>
  </si>
  <si>
    <t xml:space="preserve">Q1 2026 (5/18/26); mkt 8/14/26</t>
  </si>
  <si>
    <t xml:space="preserve">Q2 2026 (8/12/26)</t>
  </si>
  <si>
    <t xml:space="preserve">Aug 2026; val = Mar-26 round ($122B raise, reaffirmed Aug-26 tender)</t>
  </si>
  <si>
    <t xml:space="preserve">Aug 2026; val = Series H 5/28/26 ($65B raise at $965B post)</t>
  </si>
  <si>
    <t xml:space="preserve">Aug 2026; val = SpaceX acquisition mark Feb-26</t>
  </si>
  <si>
    <t xml:space="preserve">Aug 2026; public mkt cap</t>
  </si>
  <si>
    <t xml:space="preserve">GW ADDITIONS OVER THE NEXT FIVE YEARS (mid-2026 base -&gt; ~2030/31), BY PROVIDER</t>
  </si>
  <si>
    <t xml:space="preserve">All figures MW. "Additions by ~2030: lo" = contracted deliveries / company-guided floor; "hi" = incl. announced pipeline, plans, options. Blue = input from filings/calls/announcements (basis column); black = formula. Lab rows are DEMAND-side and overlap the supply rows above them - do not sum labs with suppliers. Compiled Aug-Sep 2026; forward figures are company statements or labeled estimates, not forecasts of what will actually get built (power, chips and financing are the binding constraints).</t>
  </si>
  <si>
    <t xml:space="preserve">Provider</t>
  </si>
  <si>
    <t xml:space="preserve">Base capacity mid-2026 (MW)</t>
  </si>
  <si>
    <t xml:space="preserve">Stated adds by YE2027 (MW)</t>
  </si>
  <si>
    <t xml:space="preserve">Additions by ~2030: lo (MW)</t>
  </si>
  <si>
    <t xml:space="preserve">Additions by ~2030: hi (MW)</t>
  </si>
  <si>
    <t xml:space="preserve">2030E capacity: lo (MW)</t>
  </si>
  <si>
    <t xml:space="preserve">2030E capacity: hi (MW)</t>
  </si>
  <si>
    <t xml:space="preserve">Basis (company statements)</t>
  </si>
  <si>
    <t xml:space="preserve">Confidence</t>
  </si>
  <si>
    <t xml:space="preserve">— Neoclouds —</t>
  </si>
  <si>
    <t xml:space="preserve">Active 1.5GW -&gt; &gt;1.85GW YE26 (guided); stated goal "at least 8 GW of active power by 2030"; contracted 4.2GW + ~6GW visibility already in hand</t>
  </si>
  <si>
    <t xml:space="preserve">Company-guided</t>
  </si>
  <si>
    <t xml:space="preserve">Connected 800MW-1GW YE26 target + "&gt;1GW of new capacity in 2027" (co.); 5GW contracted YE26 target; beyond 2027 extrapolated to contracted base</t>
  </si>
  <si>
    <t xml:space="preserve">Guided to 2027, extrapolated after</t>
  </si>
  <si>
    <t xml:space="preserve">FY26 results (8/27/26): ~0.3GW cumulative IT 2026 -&gt; 0.8GW 2027 (guided); Horizons 2-4 delivering Q4-26; 1,210MW in build for 2027; &gt;5GW pipeline (OK 1.6GW from 2028, SW2 late-27, Spain)</t>
  </si>
  <si>
    <t xml:space="preserve">Guided to 2027; grid energization derived after</t>
  </si>
  <si>
    <t xml:space="preserve">— Miner-converts (contracted deliveries) —</t>
  </si>
  <si>
    <t xml:space="preserve">1,410MW executed leases deliver through ~2028-29 (contracted floor); ~3GW campus pipeline</t>
  </si>
  <si>
    <t xml:space="preserve">Contracted floor / pipeline hi</t>
  </si>
  <si>
    <t xml:space="preserve">700MW leased HPC delivers Aug-26 to Apr-27 (AWS, Fluidstack/Google, Stingray); expansions from ~5.3GW site pipeline</t>
  </si>
  <si>
    <t xml:space="preserve">839MW leased (Anthropic 401MW Hawesville 2027-28, Fluidstack ~360MW, Core42); 2.1GW pipeline</t>
  </si>
  <si>
    <t xml:space="preserve">949MW IT leased; first data halls Q2-27 (River Bend) / Q3-27 (Beacon Point); 1,330MW gross under constr.; 8.7GW gross pipeline</t>
  </si>
  <si>
    <t xml:space="preserve">Galaxy</t>
  </si>
  <si>
    <t xml:space="preserve">Helios Ph II 260MW CIT from Q2-27, Ph III after (526MW total contracted); approved 1.63GW gross ~= 1.07GW CIT at current ratio</t>
  </si>
  <si>
    <t xml:space="preserve">Contracted floor / approved hi</t>
  </si>
  <si>
    <t xml:space="preserve">AMD anchor ~530MW (15yr) delivers from 2027 (floor); AMD reservation option up to 1,925MW (hi)</t>
  </si>
  <si>
    <t xml:space="preserve">Contracted floor / option hi</t>
  </si>
  <si>
    <t xml:space="preserve">Riot</t>
  </si>
  <si>
    <t xml:space="preserve">191MW frontier-lab lease (96MW Dec-27, full Jun-28) + AMD 50MW; Corsicana 1GW LOI non-binding (hi)</t>
  </si>
  <si>
    <t xml:space="preserve">Contracted floor / LOI hi</t>
  </si>
  <si>
    <t xml:space="preserve">No customer leases yet; 4.8GW "potential portfolio" (Matagorda up to 2GW, Long Ridge) - speculative</t>
  </si>
  <si>
    <t xml:space="preserve">Speculative</t>
  </si>
  <si>
    <t xml:space="preserve">— DC REITs / Asia —</t>
  </si>
  <si>
    <t xml:space="preserve">~700MW under active construction (floor); "Build Bolder": double capacity by 2029 on ~3GW developable land; capex raised to $5-7B/yr</t>
  </si>
  <si>
    <t xml:space="preserve">Guided plan; MW derived</t>
  </si>
  <si>
    <t xml:space="preserve">1.4GW under construction 63% pre-leased (floor); 8.5GW buildable; historical ~0.5-0.9GW/yr delivery pace accelerating</t>
  </si>
  <si>
    <t xml:space="preserve">Contracted floor / buildable hi</t>
  </si>
  <si>
    <t xml:space="preserve">GDS (China)</t>
  </si>
  <si>
    <t xml:space="preserve">757MW committed backlog builds ~2-3yrs (floor); bookings pace ~1GW/yr (470MW in H1-26, FY26 target 1GW)</t>
  </si>
  <si>
    <t xml:space="preserve">Backlog floor / bookings-pace hi</t>
  </si>
  <si>
    <t xml:space="preserve">VNET (China)</t>
  </si>
  <si>
    <t xml:space="preserve">516MW under construction 85.8% pre-committed (floor); 2.48GW total wholesale resource (hi)</t>
  </si>
  <si>
    <t xml:space="preserve">Contracted floor / resource hi</t>
  </si>
  <si>
    <t xml:space="preserve">— Hyperscalers (fleet-level) —</t>
  </si>
  <si>
    <t xml:space="preserve">AWS</t>
  </si>
  <si>
    <t xml:space="preserve">Base ~9-10GW (3rd-party est; not disclosed). "Doubled since 2022... double again by end-2027" ($200B); +3.9GW in 2025 alone; 2026 capex $220B. Post-2027 extrapolated at 5-6GW/yr</t>
  </si>
  <si>
    <t xml:space="preserve">Guided to 2027; base &amp; post-27 estimated</t>
  </si>
  <si>
    <t xml:space="preserve">Microsoft</t>
  </si>
  <si>
    <t xml:space="preserve">Base ~12GW; "roughly double overall capacity in two years"; Bloomberg (9/10/26): plan to reach &gt;38GW by 2032 (+26GW). lo = pro-rata to 2031</t>
  </si>
  <si>
    <t xml:space="preserve">Company plan (Bloomberg-reported)</t>
  </si>
  <si>
    <t xml:space="preserve">Google Cloud</t>
  </si>
  <si>
    <t xml:space="preserve">No fleet MW disclosure at all; capex $85-93B 2026 (hyperscaler-par). Customer-side only: Anthropic &gt;1GW 2026 + 3.5GW TPU from 2027 via Broadcom</t>
  </si>
  <si>
    <t xml:space="preserve">Not disclosed</t>
  </si>
  <si>
    <t xml:space="preserve">Oracle OCI</t>
  </si>
  <si>
    <t xml:space="preserve">Delivered &gt;1.2GW FY26; ~1GW in Q1 FY27 ALONE (call); $638B RPO to convert implies 3-4GW/yr ramp; incl. OpenAI Stargate 4.5GW by ~2029-30</t>
  </si>
  <si>
    <t xml:space="preserve">Derived from delivery run-rate</t>
  </si>
  <si>
    <t xml:space="preserve">Base est. Reuters-reported memo: ~7GW deployed 2026 -&gt; double to ~14GW 2027; Prometheus 1GW 2026, Hyperion 1.5GW YE27/2GW 2030/5GW full, El Paso 1GW 2028; capex $130-145B 2026</t>
  </si>
  <si>
    <t xml:space="preserve">Internal-memo + named clusters; base estimated</t>
  </si>
  <si>
    <t xml:space="preserve">— Private AI labs (DEMAND side - overlaps rows above) —</t>
  </si>
  <si>
    <t xml:space="preserve">1.9GW active start-26; ~30GW committed (~$1.4T TCO): NVIDIA 10GW progressive, AMD 6GW (1st GW 2026), Broadcom 10GW through 2029, Oracle 4.5GW, AWS/Azure; Stargate ~7GW planned / &gt;9GW by 2029, Abilene 1.2GW full Q4-26; ambition 250GW by 2033</t>
  </si>
  <si>
    <t xml:space="preserve">Committed deals; timing partly estimated</t>
  </si>
  <si>
    <t xml:space="preserve">~2.2GW active (Rainier); AWS up to 5GW (&gt;$100B/10yr), Google/Broadcom TPU ~1GW 2026 + 3.5GW from 2027, Azure/NVIDIA up to 1GW, TeraWulf 401MW, Nscale takeover reported; campuses deliver 2027-28</t>
  </si>
  <si>
    <t xml:space="preserve">Committed deals; ceilings mixed with firm</t>
  </si>
  <si>
    <t xml:space="preserve">xAI (SpaceX)</t>
  </si>
  <si>
    <t xml:space="preserve">~1GW operating mid-26 (Colossus); announced 2GW Memphis total (555K GPUs), Solaris &gt;1.1GW turbines by Q2-27, Saudi/Humain &gt;500MW (phase 1 end-26); further expansion unannounced</t>
  </si>
  <si>
    <t xml:space="preserve">Announced sites; partly 2nd-tier sources</t>
  </si>
  <si>
    <t xml:space="preserve">SUPPLY-SIDE TOTAL (ex-labs, ex-Google n.d., ex-BABA/BIDU n.d.)</t>
  </si>
  <si>
    <t xml:space="preserve">Sum of lo/hi additions across supplier rows. Labs excluded (their GW are inside Oracle/AWS/Azure/GCP/miner rows). China hyperscalers &amp; Google excluded (no MW disclosure).</t>
  </si>
  <si>
    <t xml:space="preserve">WHAT VENDORS CHARGE PER GW - PER-DEAL RATE MATH</t>
  </si>
  <si>
    <t xml:space="preserve">Implied rate = contract TCV / initial term / MW, or disclosed annual revenue / MW, or the company-disclosed rate where one exists. Two different products: TIER 1 landlord/powered-shell (tenant brings chips) vs TIER 2 full-stack GPU cloud (vendor owns chips). Blue = inputs from filings/PRs (see Sources sheet); black = formulas; yellow = assumptions. Denominators mix critical-IT and gross MW - see notes column.</t>
  </si>
  <si>
    <t xml:space="preserve">Vendor</t>
  </si>
  <si>
    <t xml:space="preserve">Tenant / deal</t>
  </si>
  <si>
    <t xml:space="preserve">Contract TCV ($M)</t>
  </si>
  <si>
    <t xml:space="preserve">Capacity (MW)</t>
  </si>
  <si>
    <t xml:space="preserve">Initial term (yrs)</t>
  </si>
  <si>
    <t xml:space="preserve">Disclosed annual rev/NOI ($M/yr)</t>
  </si>
  <si>
    <t xml:space="preserve">Co-disclosed rate ($M/MW/yr)</t>
  </si>
  <si>
    <t xml:space="preserve">Implied rate ($M/MW/yr)</t>
  </si>
  <si>
    <t xml:space="preserve">approx. $/kW/month</t>
  </si>
  <si>
    <t xml:space="preserve">MW basis / notes</t>
  </si>
  <si>
    <t xml:space="preserve">TIER 1 - LANDLORD / POWERED SHELL (tenant brings the chips)</t>
  </si>
  <si>
    <t xml:space="preserve">CoreWeave + 4 IG hyperscalers (all 5 campuses, blended)</t>
  </si>
  <si>
    <t xml:space="preserve">Critical IT. FY26 10-K; ~$86B incl. renewal options</t>
  </si>
  <si>
    <t xml:space="preserve">IG hyperscaler - Polaris Forge 3 (May-26 vintage)</t>
  </si>
  <si>
    <t xml:space="preserve">Critical IT; up to $18.2B incl. renewals</t>
  </si>
  <si>
    <t xml:space="preserve">AWS - Black Pearl (Nov-25)</t>
  </si>
  <si>
    <t xml:space="preserve">GROSS campus MW (~216 IT -&gt; ~$1.70 on IT basis); Amazon.com guarantee</t>
  </si>
  <si>
    <t xml:space="preserve">Fluidstack/Google - Barber Lake</t>
  </si>
  <si>
    <t xml:space="preserve">Critical IT; $1.4B Google backstop; ~$7B w/ two 5-yr extensions</t>
  </si>
  <si>
    <t xml:space="preserve">Anthropic - Hawesville KY (Jul-26)</t>
  </si>
  <si>
    <t xml:space="preserve">Critical IT; ~$33B incl. extensions</t>
  </si>
  <si>
    <t xml:space="preserve">Fluidstack/Google - Lake Mariner (original)</t>
  </si>
  <si>
    <t xml:space="preserve">Critical IT; Google backstop (total ~$3.2B after CB-5)</t>
  </si>
  <si>
    <t xml:space="preserve">Core42</t>
  </si>
  <si>
    <t xml:space="preserve">GPU-optimized critical IT</t>
  </si>
  <si>
    <t xml:space="preserve">IG tenant - Beacon Point 352 MW lease</t>
  </si>
  <si>
    <t xml:space="preserve">Critical IT; campus total $19.6B base-term</t>
  </si>
  <si>
    <t xml:space="preserve">All signed AI-DC leases (NOI basis)</t>
  </si>
  <si>
    <t xml:space="preserve">NOI not revenue - "&gt;$1.75B expected avg annual NOI" once ramped</t>
  </si>
  <si>
    <t xml:space="preserve">CoreWeave - Helios I-III (min. lease payments)</t>
  </si>
  <si>
    <t xml:space="preserve">Critical IT; excl. extensions; co. also cites &gt;$1.0B/yr once delivered (= $1.90)</t>
  </si>
  <si>
    <t xml:space="preserve">CoreWeave colocation (avg annualized)</t>
  </si>
  <si>
    <t xml:space="preserve">"~$850M average annualized colocation GAAP revenue over contract terms"</t>
  </si>
  <si>
    <t xml:space="preserve">AMD anchor (Q2-26)</t>
  </si>
  <si>
    <t xml:space="preserve">Mixed basis (~380MW triple-net); "&gt;$14B potential base contracted revenue"</t>
  </si>
  <si>
    <t xml:space="preserve">Frontier AI lab - Rockdale (Aug-26)</t>
  </si>
  <si>
    <t xml:space="preserve">Critical IT; ~$16.1B incl. two 5-yr extensions</t>
  </si>
  <si>
    <t xml:space="preserve">Signed-not-commenced backlog (approx.)</t>
  </si>
  <si>
    <t xml:space="preserve">DENOMINATOR ESTIMATED (~0.9-1 GW signed): $1.9B annualized GAAP rent backlog at 100% share</t>
  </si>
  <si>
    <t xml:space="preserve">Average / Median (landlord)</t>
  </si>
  <si>
    <t xml:space="preserve">Median: see cell K20</t>
  </si>
  <si>
    <t xml:space="preserve">TIER 2 - FULL-STACK GPU CLOUD (vendor owns the chips)</t>
  </si>
  <si>
    <t xml:space="preserve">Oracle</t>
  </si>
  <si>
    <t xml:space="preserve">OpenAI - Stargate (5-yr avg)</t>
  </si>
  <si>
    <t xml:space="preserve">Gross power; 8-K disclosed $30B/yr from FY28 = ramp-start rate of ~$6.7 on full 4.5GW</t>
  </si>
  <si>
    <t xml:space="preserve">Q2-26 AI-cloud contracts (co-disclosed yield)</t>
  </si>
  <si>
    <t xml:space="preserve">Critical IT, latest-gen; company-disclosed "$20-25M per MW" - midpoint used</t>
  </si>
  <si>
    <t xml:space="preserve">Microsoft - Vineland NJ</t>
  </si>
  <si>
    <t xml:space="preserve">Dedicated capacity "up to 300MW initial"; up to $19.4B w/ additional services</t>
  </si>
  <si>
    <t xml:space="preserve">Microsoft - Horizon 1-4 (Nov-25)</t>
  </si>
  <si>
    <t xml:space="preserve">Critical IT (4 x 50MW liquid-cooled); incl. 20% prepayment</t>
  </si>
  <si>
    <t xml:space="preserve">YE26 contracted-ARR target vs 2026 IT capacity</t>
  </si>
  <si>
    <t xml:space="preserve">&gt;$4B ARR target on ~0.3GW cumulative IT capacity (both company figures)</t>
  </si>
  <si>
    <t xml:space="preserve">Fleet implied: exit-ARR / YE26 active power</t>
  </si>
  <si>
    <t xml:space="preserve">GROSS active power denominator; exit ARR $18.5-19.5B midpoint - blended fleet incl. older vintages</t>
  </si>
  <si>
    <t xml:space="preserve">Microsoft (Azure)</t>
  </si>
  <si>
    <t xml:space="preserve">Anthropic commitment (Nov-25)</t>
  </si>
  <si>
    <t xml:space="preserve">Term not disclosed -&gt; no implied rate; "up to 1 GW"; ~$6-7.5 if 4-5yr</t>
  </si>
  <si>
    <t xml:space="preserve">Anthropic (Apr-26 expansion) - face terms</t>
  </si>
  <si>
    <t xml:space="preserve">FACE TERMS ONLY: "up to 5GW" ramps over years, so effective rate on utilized MW is far higher; partner/infra pricing, not market rate</t>
  </si>
  <si>
    <t xml:space="preserve">Average (full-stack, excl. AWS-Anthropic face-terms outlier)</t>
  </si>
  <si>
    <t xml:space="preserve">RECONCILIATION - why full-stack rents ~7x the shell</t>
  </si>
  <si>
    <t xml:space="preserve">AI tech fit-out cost, tenant side ($M per MW)</t>
  </si>
  <si>
    <t xml:space="preserve">Assumption: reported "as much as $25M/MW" for AI fit-out; NVIDIA-class systems higher - range $25-35 used at midpoint</t>
  </si>
  <si>
    <t xml:space="preserve">Full system cost per GW ($M)</t>
  </si>
  <si>
    <t xml:space="preserve">NVIDIA-cited ~$50-60B per GW all-in AI datacenter system cost - midpoint</t>
  </si>
  <si>
    <t xml:space="preserve">GPU/system depreciation period (yrs)</t>
  </si>
  <si>
    <t xml:space="preserve">Assumption - typical neocloud depreciation schedule for GPU systems</t>
  </si>
  <si>
    <t xml:space="preserve">Implied chip depreciation ($M per MW per yr)</t>
  </si>
  <si>
    <t xml:space="preserve">System cost per GW / depreciation yrs / 1,000 - lands at ~$11M/MW/yr, i.e. most of the full-stack vs shell gap</t>
  </si>
  <si>
    <t xml:space="preserve">Shell rate + chip depreciation = full-stack floor ($M/MW/yr)</t>
  </si>
  <si>
    <t xml:space="preserve">Compare to full-stack average above - pricing is roughly cost-recovery plus margin</t>
  </si>
  <si>
    <t xml:space="preserve">Full-stack avg / landlord avg (x)</t>
  </si>
  <si>
    <t xml:space="preserve">HEADLINE: powered-shell landlords charge ~$1.7-1.8M per MW per year (~$1.7-1.8B/GW/yr; range $1.2-2.4, newest 20-yr AI-lab leases at the top). Full-stack GPU cloud clears ~$10-13M per MW per year on gross/ramped power, and $20-25M on latest-gen critical-IT (Nebius-disclosed). Verified against: Oracle 8-K ($30B/yr OpenAI), Nebius Q2-26 call, APLD/WULF/HUT/RIOT/CIFR lease PRs - quotes on the Sources sheet.</t>
  </si>
  <si>
    <t xml:space="preserve">ORIGINAL USER SCREENSHOT - CRWV vs NBIS (values as provided by user; predates Q2 2026 prints &amp; Aug-26 market moves)</t>
  </si>
  <si>
    <t xml:space="preserve">Metric</t>
  </si>
  <si>
    <t xml:space="preserve">CRWV vs. NBIS Delta</t>
  </si>
  <si>
    <t xml:space="preserve">%</t>
  </si>
  <si>
    <t xml:space="preserve">Enterprise Value</t>
  </si>
  <si>
    <t xml:space="preserve">56.5%</t>
  </si>
  <si>
    <t xml:space="preserve">156.4%</t>
  </si>
  <si>
    <t xml:space="preserve">-19.6%</t>
  </si>
  <si>
    <t xml:space="preserve">29%</t>
  </si>
  <si>
    <t xml:space="preserve">11%</t>
  </si>
  <si>
    <t xml:space="preserve">17%</t>
  </si>
  <si>
    <t xml:space="preserve">71%</t>
  </si>
  <si>
    <t xml:space="preserve">89%</t>
  </si>
  <si>
    <t xml:space="preserve">-17%</t>
  </si>
  <si>
    <t xml:space="preserve">Contracted Revenue Backlog</t>
  </si>
  <si>
    <t xml:space="preserve">120.9%</t>
  </si>
  <si>
    <t xml:space="preserve">-39.0%</t>
  </si>
  <si>
    <t xml:space="preserve">94.7%</t>
  </si>
  <si>
    <t xml:space="preserve">NTM Revenue</t>
  </si>
  <si>
    <t xml:space="preserve">208.5%</t>
  </si>
  <si>
    <t xml:space="preserve">NTM EBITDA</t>
  </si>
  <si>
    <t xml:space="preserve">282.4%</t>
  </si>
  <si>
    <t xml:space="preserve">7.9x</t>
  </si>
  <si>
    <t xml:space="preserve">19.2x</t>
  </si>
  <si>
    <t xml:space="preserve">-11.4x</t>
  </si>
  <si>
    <t xml:space="preserve">-59.1%</t>
  </si>
  <si>
    <t xml:space="preserve">4.7x</t>
  </si>
  <si>
    <t xml:space="preserve">9.2x</t>
  </si>
  <si>
    <t xml:space="preserve">-4.5x</t>
  </si>
  <si>
    <t xml:space="preserve">-49.3%</t>
  </si>
  <si>
    <t xml:space="preserve">Net Debt</t>
  </si>
  <si>
    <t xml:space="preserve">Minority Interest</t>
  </si>
  <si>
    <t xml:space="preserve">Equity Value</t>
  </si>
  <si>
    <t xml:space="preserve">Equity Value / Contracted Power MW ($M/MW)</t>
  </si>
  <si>
    <t xml:space="preserve">-13.7%</t>
  </si>
  <si>
    <t xml:space="preserve">Company</t>
  </si>
  <si>
    <t xml:space="preserve">Ticker</t>
  </si>
  <si>
    <t xml:space="preserve">Group/Agent</t>
  </si>
  <si>
    <t xml:space="preserve">Capacity definition (verbatim from research)</t>
  </si>
  <si>
    <t xml:space="preserve">Backlog definition</t>
  </si>
  <si>
    <t xml:space="preserve">Caveats</t>
  </si>
  <si>
    <t xml:space="preserve">crwv</t>
  </si>
  <si>
    <t xml:space="preserve">CoreWeave discloses two power metrics each quarter: 'active power' (capacity energized/online serving workloads; 1.5 GW at Jun 30, 2026, after adding ~500 MW in Q2) and 'contracted power' (total power capacity secured under contracts with data-center partners/landlords, incl. active; ~3.7 GW at Jun 30, 2026, raised to ~4.2 GW as of the Aug 11, 2026 call update). CoreWeave does not label these as critical-IT vs gross utility MW in its releases; treat as company-defined gross power of its (largely leased/colocation) footprint. Contracted-but-unbuilt 2,200 MW is DERIVED (3.7 GW contracted minus 1.5 GW active), not separately disclosed. Pipeline: on the Q2 call the company cited access to more than 1.5 GW additional via powered land, expansion options and executed LOIs on top of 4.2 GW contracted, i.e. visibility to 'nearly 6 GW', en route to a stated goal of at least 8 GW of active power by 2030. Guidance: year-end 2026 active power target raised to &gt;1.85 GW (from &gt;1.7 GW). Footprint: ~51 active data centers per the Q2 2026 earnings presentation (as reported by trade press); no updated GPU-count disclosure found for Q2 2026 (last widely cited figure was ~250,000 GPUs, from 2025 — stale, so gpu_count left null).</t>
  </si>
  <si>
    <t xml:space="preserve">Revenue backlog = remaining performance obligations (RPO) plus estimated future revenue under other committed customer contracts, subject to CoreWeave's ability to deliver capacity/services. $104.2B (~$104B) as of Jun 30, 2026, up 246% YoY. EXCLUDES more than $25B of net new customer commitments signed in early Q3 2026 (press reporting attributes these to an incremental ~$21B Meta commitment, a multi-year Anthropic agreement, and a ~$6B Jane Street commitment), which would bring the total to ~$129B.</t>
  </si>
  <si>
    <t xml:space="preserve">1) SOURCING LIMITATION: the sandbox egress proxy blocked direct fetches of every primary document (sec.gov, businesswire.com, investors.coreweave.com, q4cdn.com all EGRESS_BLOCKED), so all 'verbatim' quotes above are as rendered through web-search result summaries of the named primary sources; each headline number was cross-corroborated across 3+ independent search results, but quotes should be re-verified against the 8-K/10-Q before publication-grade use. 2) contracted_unbuilt_mw (2,200 MW) is DERIVED (3.7 GW contracted minus 1.5 GW active at Jun 30, 2026), not a company-stated line item; using the Aug 11 update (~4.2 GW contracted) it would be ~2.7 GW. 3) total_pipeline_mw of ~6,000 MW is the company's 'nearly 6 GW' visibility framing (~4.2 GW contracted as of Aug 11 + &gt;1.5 GW powered land/expansion options/LOIs) — it overlaps with, not adds to, contracted power; stated ambition is &gt;=8 GW active by 2030. 4) MW figures are company-defined power capacity; CoreWeave does not specify critical-IT vs gross utility load. 5) Backlog $104.2B is as of Jun 30, 2026 and excludes &gt;$25B early-Q3 commitments (Meta ~$21B incremental, Anthropic multi-year deal, Jane Street ~$6B per press reports) that take the total to ~$129B; note CoreWeave's largest commitments are concentrated in a handful of counterparties (OpenAI ~$22.4B 2025 deals, Microsoft, Meta, Nvidia capacity guarantee). 6) NTM EBITDA of $6,000M is MY annualization of Q2 adjusted EBITDA ($1.5B x 4), not company guidance; company guides FY2026 adjusted operating income $960M-$1.15B instead. 7) Net debt ($30,027M) uses principal debt ($35,551M) not carrying value, and excludes CoreWeave's substantial operating and finance lease obligations for data centers — inclusion of lease liabilities would raise leverage materially. 8) Core Scientific acquisition NEVER CLOSED: CORZ shareholders voted the $9B all-stock deal down and the merger agreement was terminated Oct 30, 2025, so no CORZ MW are in CoreWeave's totals (CoreWeave remains a large CORZ colocation tenant via pre-existing ~contracted hosting agreements). 9) GPU count: no Q2 2026 disclosure found; the oft-cited ~250,000 GPUs / 43 data centers figure is from 2025 and stale — data center count was ~51 per the Q2 2026 presentation as relayed by trade press.</t>
  </si>
  <si>
    <t xml:space="preserve">medium</t>
  </si>
  <si>
    <t xml:space="preserve">Nebius Group N.V.</t>
  </si>
  <si>
    <t xml:space="preserve">nbis</t>
  </si>
  <si>
    <t xml:space="preserve">Nebius's 'contracted power' = power capacity the company has secured for its own data-center footprint (self-build sites plus colocation/landlord/utility agreements) — it is NOT capacity contracted to customers. 'Connected power' = power actually energized/connected at its sites. The company does not state whether these figures are IT/critical load or gross utility power. The 3,500 MW figure is the last disclosed ACTUAL secured/contracted power (as of end of Q1 2026, up from 2 GW at end of FY2025); at Q2 2026 results (Aug 12, 2026) the company raised its year-end 2026 contracted-power TARGET to 5 GW (from 3 GW guided in Feb 2026 and 4 GW in May 2026), which is recorded here as pipeline. Connected-power target: 800 MW–1 GW by end of 2026; the company also said it plans to deploy more than 1 GW of new capacity in 2027. Key sites: Finland, Vineland NJ (up to 300 MW initial, +400 MW expansion potential; dedicated Microsoft capacity), Kansas City, Independence Missouri (campus up to 1.2 GW), a planned ~1.2 GW Pennsylvania campus (Highridge Business Park), Israel, UK, and new contracted-capacity sites added in Q2 2026 in the UK, Estonia and Finland.</t>
  </si>
  <si>
    <t xml:space="preserve">'Committed backlog' per CFO on the Q2 2026 earnings call (approximately $40B of committed customer contracts the company can borrow against). Not an IFRS RPO figure. Comprises the Microsoft agreement ($17.4B over five years, up to $19.4B with additional services/capacity), the Meta agreements ($3B signed Nov 2025, expanded Mar 2026 to up to $27B — $12B dedicated capacity plus up to $15B of additional optional compute), and four Q2 2026 AI-cloud contracts (Reflection, Cohere, a US neolab, a US quantitative trading firm) averaging &gt;$1B each with 1-3 year terms and yields of $20-25M per MW. Unclear whether the $40B includes the optional/uncommitted portions of the Microsoft ($2B) and Meta ($15B) deals. Separately, total deferred revenue (customer prepayments) on the balance sheet was ~$6B at Jun 30, 2026, up from ~$4.8B at end of Q1; management expects &gt;$9B of prepayments in 2026.</t>
  </si>
  <si>
    <t xml:space="preserve">IMPORTANT SOURCING LIMITATION: the sandbox's egress proxy blocked direct fetching of every external domain (including sec.gov, nebius.com, businesswire.com), so all quotes above were captured via search-engine renderings of the cited primary sources rather than read directly from the documents; wording should be re-verified against the SEC 6-K exhibit and shareholder-letter PDF before publication. Numbers corroborated across 3+ independent renderings: Q2 revenue $582.3M, ARR $3.0B, adjusted EBITDA $236.2M (41% margin), FY2026 guidance (revenue $3.0-3.4B, ARR exit $7-9B, ~40% adj. EBITDA margin, capex $20-25B), 5 GW year-end contracted-power target, 800MW-1GW year-end connected-power target, ~$40B committed backlog, cash $8,042.1M. CAPACITY: built_active_mw is null because Nebius did not disclose a single current connected/energized MW figure in the Q2 2026 materials found — only the 800MW-1GW end-2026 connected target; contracted_unbuilt_mw is therefore also not computable. The 3,500 MW contracted/secured figure is as of end of Q1 2026 (latest disclosed actual); by August 2026 the actual was presumably between 3.5 and 5 GW. 'Contracted power' here means power secured for Nebius's footprint, not customer-contracted capacity, and the IT-load vs gross-utility basis is not stated. NET DEBT: $503.6M computed as total debt $8,545.7M (current $46.7M + non-current $8,499.0M, principally the Dec 2025 $3.0B and Mar 2026 ~$4.3375B convertible notes plus the July 2026 $775M asset-backed facility drawn in part) minus cash $8,042.1M at Jun 30, 2026; the debt split comes from a single filing-derived secondary source (StockTitan) and excludes ~$6B deferred revenue (customer prepayments, not debt) and the value of equity stakes (ClickHouse ~28%, Toloka, Avride). NTM EBITDA $1,280M is DERIVED (not company-disclosed): ~40% guided margin x $3.2B guidance midpoint; NTM revenue is the FY2026 calendar-year guidance midpoint, which understates true NTM (Jul 2026-Jun 2027) given the $7-9B ARR exit target. The $40B committed backlog is a CFO earnings-call figure, not an audited RPO; treatment of optional tranches (Microsoft +$2B, Meta +$15B) within it is not specified.</t>
  </si>
  <si>
    <t xml:space="preserve">Amazon / AWS segment</t>
  </si>
  <si>
    <t xml:space="preserve">aws</t>
  </si>
  <si>
    <t xml:space="preserve">Amazon does not disclose an absolute MW/GW stock of data-center capacity, so all MW fields are null. Company-disclosed power statements are flow/plan figures in GW of power capacity: (1) AWS added 3.9 GW of new power capacity in calendar 2025 (per Jassy on the Q4 2025 call, Feb 2026, and the 2025 shareholder letter, Apr 2026); management framed this as roughly doubling AWS's power footprint vs 2022; (2) on the Q2 2026 call (Jul 30, 2026) management reiterated AWS is on pace to DOUBLE total power capacity by end-2027 vs 2025; (3) Amazon has committed up to 5 GW of compute capacity to Anthropic under the expanded partnership announced Apr 20, 2026, with nearly 1 GW of Trainium2/Trainium3 capacity for Anthropic coming online by end-2026. Amazon does not specify whether GW figures are IT/critical load or gross utility power, nor the owned vs leased split (AWS uses both self-build and leased/colo capacity). gpu_count = Trainium2 accelerators used by Anthropic (Project Rainier scaled from ~500,000 Trainium2 chips at activation in Oct 2025 to &gt;1 million by end-2025 per Amazon's announcement) - NOT the total AWS accelerator fleet (total incl. NVIDIA GPUs is undisclosed).</t>
  </si>
  <si>
    <t xml:space="preserve">Commitments not yet recognized under customer contracts with original terms exceeding one year, primarily related to AWS (Amazon's RPO-equivalent 'backlog' disclosure in the 10-Q commitments note): ~$496B as of Jun 30, 2026, with a weighted-average remaining life of 6.4 years. Up from $364B at Mar 31, 2026 (which per management excluded the then-unsigned &gt;$100B Anthropic commitment) and $244B at Dec 31, 2025; management said on the Q2 2026 call the backlog is growing triple-digit percent year-over-year. Sits within total principal contractual commitments of $650,034M. Includes the Anthropic agreement (~$100B AWS spend over the next decade, signed Apr 20, 2026).</t>
  </si>
  <si>
    <t xml:space="preserve">1) CAPACITY: No absolute MW disclosed - GW figures are additions/plans (3.9 GW added in 2025; double total power capacity by end-2027 vs 2025; up to 5 GW committed to Anthropic) and Amazon does not state IT-load vs gross-utility basis or owned/leased split. Jassy on the Q2 2026 call: capacity will not meet demand through 2026 and likely 2027, with 2027 capacity 'largely reserved' and some 2028 capacity already spoken for. 2) EBITDA: AWS segment EBITDA is not disclosed (segment D&amp;A not broken out quarterly); AWS Q2 2026 operating income was $16.6B (39% margin), TTM segment operating income ~$54.7B. 3) NET DEBT is CONSOLIDATED Amazon and not meaningful for the AWS segment: computed as $128,894M balance-sheet debt minus $78,213M cash + marketable securities (of which cash &amp; equivalents $61,453M) per the Jun 30, 2026 10-Q as reproduced by secondary summaries; Amazon separately had $132.1B face value of unsecured senior notes outstanding; figure EXCLUDES large finance/operating lease obligations. 4) 2026 capex guidance raised to ~$220B cash capex (from ~$200B) on the Q2 2026 call, driven partly by higher memory costs and mostly AI/AWS infrastructure; Q1 2026 capex was $44.2B. 5) Q2 2026 net income/EPS ($5.75) was inflated by a large (~$53B per press coverage) non-operating pre-tax valuation gain on Amazon's Anthropic stake - use operating income for comparability. 6) SOURCE ACCESS: the sandbox egress proxy blocked direct fetches of SEC/EDGAR, aboutamazon.com and all news/transcript domains; every figure was cross-checked across multiple independent search results quoting the primary documents, but quotes below are as reproduced by those search results, not character-verified against the filings; the 6.4-year backlog weighted-average life and the cash/debt split are the least corroborated items (2 sources and 1-2 sources respectively).</t>
  </si>
  <si>
    <t xml:space="preserve">Microsoft / Azure + AI infrastructure</t>
  </si>
  <si>
    <t xml:space="preserve">NASDAQ: MSFT</t>
  </si>
  <si>
    <t xml:space="preserve">azure</t>
  </si>
  <si>
    <t xml:space="preserve">Microsoft discloses NO MW/GW totals for its fleet and does not define its GW statements as IT/critical load vs gross utility power. Disclosed datapoints (all 'datacenter capacity' in GW, definition unstated): FY25 Q4 (Jul 2025): 'stood up more than two gigawatts of new capacity over the past 12 months' and 'over 400 datacenters across 70 regions'. FY26 Q2 (Jan 2026): 'added nearly one gigawatt of total capacity this quarter alone'. FY26 Q3 (Apr 2026): 'added another gigawatt of capacity this quarter'. FY26 Q4 (Jul 2026): 'added another gigawatt of capacity this quarter and remain on track to roughly double our overall capacity in just two years'; 31 new datacenters added in Q4, 88 in FY2026. Fairwater Wisconsin announced as 'the world's most powerful AI datacenter... will go online next year and scale to two gigawatts alone' (Oct 2025); it came online in April 2026 six weeks ahead of schedule; Fairwater Atlanta and Wisconsin connected via AI WAN into an 'AI superfactory' (Jan 2026). FY26 Q1 (Oct 2025): 'We will increase our total AI capacity by over 80% this year, and roughly double our total datacenter footprint over the next two years.' No absolute base GW figure has ever been disclosed, so the 'doubling' cannot be converted to MW.</t>
  </si>
  <si>
    <t xml:space="preserve">Commercial remaining performance obligation (RPO) as of June 30, 2026: contracted commercial revenue not yet recognized, reported net of reserves. Grew 84% YoY (+25% excluding OpenAI); weighted average duration 2.3 years including OpenAI; roughly 30% to be recognized in revenue in the next 12 months (that portion +37% YoY). Includes OpenAI's incremental $250B Azure contract (signed Oct 28, 2025); at Dec 31, 2025 approximately 45% of the then-$625B RPO was from OpenAI (share at June 30, 2026 not re-disclosed). All sequential Q4 RPO growth came from customers outside frontier model companies.</t>
  </si>
  <si>
    <t xml:space="preserve">1) MW/GW: Microsoft discloses no fleet-total MW or GW and never defines whether its 'gigawatt of capacity' statements are IT/critical load or gross utility power; all MW fields are therefore null and the GW quotes are in capacity_definition. The 'roughly double our overall capacity in just two years' claim has no disclosed absolute base. 2) Net debt of -$36,549M (net cash) = (current portion of LT debt $9,227M + long-term debt $31,067M) - (cash &amp; equivalents $20,935M + short-term investments $55,908M) from the June 30, 2026 balance sheet in the earnings release. It EXCLUDES finance lease liabilities (embedded in other current liabilities $26,738M / other long-term liabilities $65,117M and only broken out in the 10-K, which was unreachable: sec.gov is egress-blocked in this environment; Microsoft's finance leases were ~$45-50B in FY2025 and Hood said future datacenter leases will shift to operating leases from FY27) and excludes operating lease liabilities ($16,532M long-term). Including leases, Microsoft would likely be net debt positive. 3) NTM revenue $360,028M is MY annualization (4x Q4 FY26 revenue $90,007M), NOT company guidance; Microsoft's FY27 guide is qualitative ('double-digit revenue and operating income growth', operating margins 'down less than a point'). 4) NTM EBITDA $206,500M is MY computed run-rate: 4x (Q4 operating income $40,603M + Q4 depreciation, amortization and other $11,022M); Microsoft does not disclose EBITDA and gives no dollar EBITDA guidance. 5) RPO $678B is company-wide commercial RPO (all commercial cloud/software contracts), not a datacenter-capacity backlog; not comparable to a neocloud's contract backlog. OpenAI share of RPO was ~45% at Dec 31, 2025 but was not re-disclosed at June 30, 2026 (only that RPO ex-OpenAI grew 25% YoY). 6) Capex: FY2026 additions to PP&amp;E were $115,948M (excl. finance leases); Q4 capex 'including finance leases' was $41B; calendar-2026 capex expectation ~$175B including the finance-to-operating lease reclassification; FY27 guided to grow YoY with Q1 FY27 &gt;$50B. Reports of '$255-260B FY27 capex' circulating pre-earnings were analyst previews, not company guidance. 7) FY2026 10-K could not be pulled (EDGAR egress-blocked); all figures come from the FY26 Q4 earnings release financial statements and Microsoft-hosted call transcripts, which for these line items should match the 10-K.</t>
  </si>
  <si>
    <t xml:space="preserve">high</t>
  </si>
  <si>
    <t xml:space="preserve">gcp</t>
  </si>
  <si>
    <t xml:space="preserve">Alphabet does not disclose data-center capacity in MW/GW in its SEC filings or earnings materials - neither operating IT load nor contracted utility power. The only officially quantified capacity figures are customer-side: the Anthropic-Google Cloud deal (announced Oct 23, 2025) gives Anthropic access to up to 1 million TPU chips and 'well over a gigawatt of capacity coming online in 2026' (i.e., &gt;1,000 MW of Google-delivered TPU capacity, basis not specified as IT vs utility power), expanded on Apr 6, 2026 with 'multiple gigawatts' of additional TPU capacity coming online starting 2027 (reported at 3.5 GW per a Broadcom SEC filing, delivered via Google Cloud and via Google-built TPUs supplied through Broadcom). Alphabet's capacity investment is instead expressed in capex dollars: Q2 2026 capex was $44.9B (record; ~60% servers, ~40% data centers and networking) and FY2026 capex guidance was raised to $195-205B from $180-190B, with 2027 guided to 'increase significantly.' CFO Anat Ashkenazi: 'We're still in a supply-constrained environment.'</t>
  </si>
  <si>
    <t xml:space="preserve">Remaining performance obligations ('revenue backlog') related to Google Cloud per the Q2 2026 10-Q: $513.9B of Alphabet's $519.5B total RPO as of Jun 30, 2026 relates to Google Cloud (commitments in customer contracts not yet recognized as revenue). Up from $462.3B Cloud backlog (of $467.6B total) at Mar 31, 2026 - a &gt;$50B sequential increase driven by enterprise AI demand (period follows the Oct 2025 Anthropic TPU deal and Aug 2025 Meta cloud deal). Just over 50% expected to be recognized as revenue over the next 24 months.</t>
  </si>
  <si>
    <t xml:space="preserve">IMPORTANT SOURCING LIMITATION: the sandbox's egress proxy blocked direct fetches of sec.gov, abc.xyz, q4cdn.com, googlecloudpresscorner.com and most other domains, so all 'verbatim' quotes above were captured via web-search index snippets of the primary documents rather than by opening the filings directly; every headline number ($513.9B/$519.5B backlog, $24,768M Cloud revenue, $8.8B Cloud op income, $44.9B Q2 capex, $195-205B FY26 capex guidance, $242,474M cash+marketable securities, $98,165M long-term debt) was corroborated across at least two independent sources referencing the 10-Q/press release, but exact filing phrasing may differ slightly. CAPACITY: all MW fields are null because Alphabet discloses no data-center MW/GW figures - do not force it into a MW comparison; its scale proxies are capex ($195-205B FY26 guide, 2027 to 'increase significantly') and the Cloud backlog. The Anthropic deal GW figures (&gt;1 GW online in 2026; multiple GW / reported 3.5 GW starting 2027) are Google-delivered TPU capacity sold to a customer, basis (IT vs utility) unspecified. NTM EBITDA is null: Alphabet does not disclose segment EBITDA; annualized Google Cloud operating income = $8.8B x 4 = ~$35.2B (op income, not EBITDA). NET DEBT of -$144,309M (net cash) = $98,165M long-term debt minus $242,474M cash+marketable securities; it EXCLUDES the current portion of long-term debt (was $1,998M at Mar 31, 2026; Jun 30 figure not retrievable) and excludes operating leases; commercial paper outstanding was $0 at Jun 30, 2026 per search snippets of the 10-Q; cash was boosted in H1 2026 by $51.8B of note issuances and a $49.6B June 2026 equity/mandatory-convertible-preferred raise. Q2 2026 net income ($112.1B) was inflated by ~$98B of non-cash equity securities gains - do not annualize it. Power procurement: Google has officially MW-quantified clean-power deals from pre-cutoff announcements (Kairos Power SMRs 500 MW by 2035; Commonwealth Fusion 200 MW; Elementl Power 3 sites of at least 600 MW each; Brookfield hydro framework up to 3,000 MW; NextEra Duane Arnold nuclear restart ~615 MW) - these could not be re-verified this session due to the fetch block and are power-supply agreements, not data-center capacity. Cloud backlog growth drivers (per reporting): enterprise AI demand including the Anthropic TPU deals ('tens of billions of dollars', Oct 2025) and the Meta cloud deal (reported &gt;$10B over six years, Aug 2025); Alphabet does not attribute backlog by customer in filings.</t>
  </si>
  <si>
    <t xml:space="preserve">Oracle Corporation (Oracle Cloud Infrastructure / OCI)</t>
  </si>
  <si>
    <t xml:space="preserve">orcl</t>
  </si>
  <si>
    <t xml:space="preserve">Oracle does NOT disclose a company-total MW portfolio (no 'total contracted power' or 'total operating MW' stock figure). Its disclosures are flow- and deal-specific: (1) DELIVERED FLOW: on the Q4 FY2026 earnings call (June 10, 2026) Oracle said it delivered more than 1.2 GW of capacity to customers in FY2026, with Q1 FY2027 delivery alone approaching 1 GW ('nearly the same capacity as we've delivered in the previous four quarters combined'). These are deliveries to customers during the period, not the installed base, so built_active_mw is left null. (2) CONTRACTED-UNBUILT (partial, deal-specific): the 4,500 MW figure entered is ONLY the July 22, 2025 OpenAI 'Stargate advances with 4.5 GW partnership with Oracle' — additional Stargate data-center capacity Oracle is developing for OpenAI (sites incl. Shackelford County TX, Dona Ana County NM, Port Washington WI, Saline Township MI, plus the Abilene TX flagship at ~1.2 GW full buildout, which was already partially delivered — Oracle's site page says Abilene has 'Delivered 42% of total capacity today with the remainder delivering in the subsequent quarters'). It is a floor, not Oracle's total contracted capacity across all customers (which also includes Meta, xAI, NVIDIA, AMD and others per Q3 FY26 commentary). MW figures are gross utility/site power as described by Oracle/OpenAI, not stated as IT/critical load. (3) GPU count: no deployed company-wide total disclosed; deal-specific disclosures include &gt;450,000 NVIDIA GB200 GPUs planned at Stargate Abilene (DCD/OpenAI-Oracle) and OCI Zettascale10 clusters 'will target deployments of up to 800,000 NVIDIA GPUs' (planned cluster spec, not deployed count).</t>
  </si>
  <si>
    <t xml:space="preserve">Total Remaining Performance Obligations (RPO) of $638B at May 31, 2026, up 363% y/y and +$85B q/q (from $553B at Q3 FY26; trajectory: $455B Q1 -&gt; ~$523B Q2 -&gt; $553B Q3 -&gt; $638B Q4 FY26). ASC 606 RPO = contracted revenue not yet recognized, across cloud and license/support. Oracle noted most of the Q3/Q4 increases were large-scale AI contracts, and that 'the prepaid and customer supplied hardware portions of our large AI contracts now total $75 billion.' RPO includes the OpenAI/Stargate commitments (press-reported at ~$300B over ~5 years starting 2027; Oracle has never publicly confirmed that specific figure). Cloud-RPO split for Q4 FY26 was not obtainable from accessible sources. On the Q4 call Oracle reportedly signed $67B of new AI infrastructure contracts in the quarter (transcript summaries).</t>
  </si>
  <si>
    <t xml:space="preserve">(1) MW mapping is imperfect by design: Oracle discloses no total contracted/operating MW stock. The 4,500 MW in contracted_unbuilt_mw is ONLY the OpenAI Stargate 4.5 GW expansion (July 2025) and understates Oracle's true contracted-unbuilt capacity backing its $638B RPO (which also covers Meta, xAI, NVIDIA, AMD etc. per Q3 FY26 commentary that Oracle 'signed significant cloud contracts with the who's who of AI'); part of Abilene (~1.2 GW at full buildout, 42% delivered per Oracle's site page) overlaps between built and unbuilt. The '&gt;1.2 GW delivered in FY2026' and '~1 GW in Q1 FY2027' are annual/quarterly delivery flows, not installed base, hence built_active_mw=null. A ~600 MW Abilene expansion was reportedly scrapped (Tom's Hardware) while the 4.5 GW agreement stayed on track. OpenAI's Sept 2025 'five new Stargate sites' release put overall Stargate at ~7 GW planned, but that spans non-Oracle partners too, so not entered. (2) Net debt $97,647M is DERIVED: $129,541M total notes payable and other borrowings minus $31,289M cash minus $605M marketable securities, all per FY2026 10-K figures obtained through search-index excerpts because sec.gov (and nearly all non-oracle.com domains) were blocked by this environment's egress proxy — one excerpt also cited $130,105M 'carrying value of senior notes and other borrowings', so treat total debt as ~$129.5-130.1B pending direct 10-K verification. (3) NTM EBITDA null: Oracle guides non-GAAP EPS ($8.05 FY27) and revenue, not EBITDA; no reliable consensus EBITDA figure was accessible. FY2026 non-GAAP EPS $7.631 (+27%); FY2026 operating cash flow $32.0B, FCF -$23.7B; FY2026 capex $55.7B (+162%); FY2027 net cash capex ~$70B (reported/gross capex $20-25B higher due to customer prepayments/timing). (4) The ~$300B/5yr OpenAI contract starting 2027 is press-reported (WSJ-origin), not company-confirmed at that number, though Oracle's RPO jump (+$317B in Q1 FY26 per market reports) corroborates its magnitude. (5) Earnings-call quotes could not be pulled from a full transcript directly (all transcript hosts egress-blocked); wording is as carried by search-index excerpts of Motley Fool/Investing.com/ERP Today transcripts and may differ slightly from verbatim. (6) Leadership changed during FY2026: co-CEOs Clay Magouyrk and Mike Sicilia, CFO Hilary Maxson; Safra Catz became executive vice chair — older quotes attribute to Catz. (7) $67B of new AI contracts signed in Q4 FY26 (Magouyrk, per transcript summaries) — medium confidence.</t>
  </si>
  <si>
    <t xml:space="preserve">Meta Platforms, Inc.</t>
  </si>
  <si>
    <t xml:space="preserve">meta</t>
  </si>
  <si>
    <t xml:space="preserve">Meta is a self-build hyperscaler buying capacity for its own AI workloads (it began marketing excess compute to third parties only in mid-2026); it does NOT publish a standardized contracted/operating MW schedule. GW figures are campus-level power capacity of named AI clusters as described by Zuckerberg/Meta (not explicitly labeled IT/critical load vs gross utility power). Named clusters: Prometheus ~1 GW (New Albany, Ohio; online 2026), Hyperion scaling to 5 GW over several years (Richland Parish, Louisiana; 80/20 Blue Owl JV, ~$27B initial development cost, &gt;$50B at full 5 GW scale per July 2026 reports), El Paso, TX 1 GW (80/20 BlackRock venture, ~$14B development, operations expected 2028), plus 'multiple more titan clusters' (unquantified). The 14,000 MW pipeline figure is NOT a company filing disclosure: it is from a Reuters-reported internal Meta memo (July 9, 2026) describing a plan to deploy 7 GW of computing capacity in 2026 (having added ~1 GW in H1 2026 and forecasting +5.5 GW by year-end) and to double to 14 GW in 2027. Meta also contracts external compute in dollar (not MW) terms: CoreWeave ~$35.2B total ($14.2B Sept 2025 + ~$21B expansion Apr 2026, running to Dec 2032), Google Cloud &gt;$10B over six years (reported Aug 2025, never officially confirmed by either company), Oracle ~$20B (reported Sept 2025; Oracle confirmed a Meta cloud deal in Oct 2025 without confirming the amount).</t>
  </si>
  <si>
    <t xml:space="preserve">Not applicable/none disclosed. Meta is an advertising business buying (not selling) contracted data-center capacity; it reports no customer revenue backlog or capacity-related RPO. (Press reports in July 2026 said Meta had begun a push to sell excess AI compute, but no backlog has been disclosed.)</t>
  </si>
  <si>
    <t xml:space="preserve">MW/GW FIELDS: Meta publishes no standardized contracted/operating MW schedule, so contracted_or_secured_power_mw, built_active_mw and contracted_unbuilt_mw are null rather than estimated. The 14,000 MW total_pipeline figure is a THIRD-PARTY sourced number - a Reuters-reported internal Meta memo (Jul 9, 2026): ~7 GW of computing capacity deployed in 2026 (~1 GW added in H1 2026, +5.5 GW forecast by year-end) doubling to 14 GW in 2027; it is a plan, not contracted-to-customer capacity, and Meta has not confirmed it in a filing. Company-disclosed named clusters sum to ~7 GW at full scale (Prometheus ~1 GW online 2026; Hyperion up to 5 GW 'over several years,' &gt;$50B at full scale per July 2026 reports; El Paso 1 GW from 2028) plus unquantified additional 'titan clusters' - summing these is our arithmetic, not a Meta-disclosed total. GW figures are campus power capacity; Meta does not specify IT/critical vs gross utility load. GPU count: last disclosure was Zuckerberg's Jan 2025 plan to 'end the year [2025] with more than 1.3 million GPUs'; no current deployed count disclosed, so gpu_count is null. FINANCIALS: net debt of -$6.6B (net cash) = long-term debt $83.66B minus cash+marketable securities $90.26B; it EXCLUDES finance/operating lease liabilities and all off-balance-sheet JV/SPV debt (Hyperion ~$27B JV 80%-owned by Blue Owl funds with PIMCO-led private debt; El Paso venture with ~$12.5B JV-level debt; Meta holds 20% of each and is the tenant), and reflects the Oct 2025 $30B bond issuance. NTM revenue is an annualized Q2 2026 run-rate (labeled), not company guidance - Meta guides only Q3 2026 ($61-64B); NTM EBITDA null (not guided, D&amp;A not captured). Q2 2026 operating income (~$18.8B, -8% YoY) includes a $2.4B legal-proceedings charge. Cloud deals (CoreWeave ~$35.2B, Google &gt;$10B, Oracle ~$20B) are Meta's purchase commitments in dollars, not MW; Google and Oracle amounts were never confirmed by either company (news-tier only). QUOTE FIDELITY: the sandbox egress proxy blocked direct fetches of SEC/IR pages; quotes were captured via search-engine extraction of the primary documents and may have minor wording variations - re-verify against the SEC/q4cdn URLs provided.</t>
  </si>
  <si>
    <t xml:space="preserve">IREN Limited (formerly Iris Energy)</t>
  </si>
  <si>
    <t xml:space="preserve">iren</t>
  </si>
  <si>
    <t xml:space="preserve">MW figures are GROSS grid/utility power unless flagged. 'Secured power portfolio' of 5GW (per May 7, 2026 Nostrum announcement: 'increases its power portfolio to 5GW') = secured grid-connected power: Childress TX 750MW + Sweetwater 1 TX 1,400MW (substation energized Apr/May 2026) + Sweetwater 2 TX 600MW (binding grid connection agreement, energization late 2027) + British Columbia 160MW (Canal Flats 30MW, Mackenzie 80MW, Prince George 50MW) + new Oklahoma campus 1,600MW (announced Feb 5, 2026; 'increases IREN's secured grid-connected power to over 4.5GW', power ramps from 2028) + Spain ~490MW secured grid-connected via Nostrum Group acquisition (completed Jun 15, 2026). 'Built &amp; active' 810MW is the company's last cleanly disclosed figure for OPERATING DATA CENTERS (gross; Oct 7, 2025: '810MW of operating data centers' spanning Bitcoin mining, AI Cloud and AI Data Centers); since then Horizon 1 (50MW IT load / ~75MW gross, direct-to-chip liquid-cooled) was energized and delivered to Microsoft (accepted Aug 13, 2026), so actual operating data-center capacity is now higher (~885MW gross), and Sweetwater 1's 1.4GW substation is energized but its data centers are still in build. Contracted-but-unbuilt 4,190MW is DERIVED (5,000MW secured power minus 810MW operating data centers), not a company-stated number; most of it (Sweetwater, Oklahoma, Spain) is secured power NOT yet contracted to customers. Customer-contracted capacity proper: Microsoft = four Horizon data centers totaling 200MW critical IT load at Childress (Horizon 1 delivered; ~150MW IT remaining in build), NVIDIA = ~60MW within existing Childress data centers (commissioning targeted early 2027). AI Cloud data-center capacity targets: 480MW (gross) in 2026 and 1.2GW (gross) in 2027. GPU figure of 150,000 is the total INSTALLED + CONTRACTED (ordered) fleet per Mar 4, 2026 release (incl. &gt;50,000 NVIDIA B300 purchase agreements, deploying in phases through H2 2026); deployed-today count is lower and not cleanly disclosed (~23k GPUs installed around end-2025; fleet mix reported by DCD: H100/H200/B200/B300/GB300).</t>
  </si>
  <si>
    <t xml:space="preserve">Sum of company-disclosed multi-year AI Cloud total contract values (NOT an RPO figure): Microsoft ~$9,700M over 5 years (Nov 3, 2025, incl. 20% prepayment) + NVIDIA ~$3,400M over 5 years (May 7, 2026) + $2,800M of new multi-year contracts with AI developers (Jul 20, 2026; customers incl. Perplexity, Figure AI, Together AI, Fluidstack, Fireworks AI, Fal AI, Hume AI). Excludes earlier smaller multi-year AI Cloud contracts (Oct 2025 contracts covering 11k GPUs / ~$225M ARR) whose TCVs were not disclosed, and excludes Bitcoin mining revenue. Company's preferred metric is contracted ARR: $3.1bn ARR under contract as of May 7, 2026 ($1.9bn Microsoft + $0.7bn NVIDIA + $0.5bn other GPU deployments); by Jul 20, 2026 ~85% of the &gt;$4bn year-end-2026 ARR target was under contract (~$3.4bn).</t>
  </si>
  <si>
    <t xml:space="preserve">TIMING: FY2026 (year ended Jun 30, 2026) results and the Q4 FY26 balance sheet are NOT yet public (due Aug 27, 2026, ten days after this extraction); latest financials are Q3 FY26 (Mar 31, 2026). CAPACITY: the 5GW 'secured power portfolio' mixes energized grid capacity (Childress 750MW, Sweetwater 1 1,400MW energized Apr/May 2026, BC 160MW), contracted-but-unenergized grid connections (Sweetwater 2 600MW, late 2027; Oklahoma 1,600MW, ramping from 2028), and the Spanish 490MW from Nostrum; it is NOT customer-contracted capacity, and Nostrum also brings an additional (unquantified) development pipeline beyond the 5GW. 'Built &amp; active' 810MW (operating data centers, gross) is the company's Oct 7, 2025 figure - the freshest cleanly disclosed one found; adding Horizon 1 (~75MW gross / 50MW IT, delivered to Microsoft Aug 13, 2026) implies ~885MW today, and IREN targets 480MW gross of AI Cloud capacity in 2026 and 1.2GW gross in 2027. Contracted-unbuilt 4,190MW is MY DERIVATION (5,000 secured minus 810 operating), not company-disclosed. GPU count 150,000 = installed PLUS contracted/ordered fleet (Mar 4, 2026); deployed-today count is materially lower (~23k installed around end-2025) and not separately updated. BACKLOG $15.9bn is a derived sum of disclosed TCVs (Microsoft $9.7bn + NVIDIA $3.4bn + Jul 2026 $2.8bn batch), excludes smaller Oct 2025 contracts (TCV undisclosed) and is not an RPO/GAAP backlog; IREN's own headline metric is contracted ARR ($3.1bn at May 7, 2026; ~85% of &gt;$4bn target, i.e. ~$3.4bn, at Jul 20, 2026). NTM REVENUE $2.9bn is a SINGLE sell-side estimate (BTIG FY2027), not guidance or consensus; NTM EBITDA not available from primary or reliable secondary sources. NET DEBT $1,752M is DERIVED: total debt $3,964.9M (market-data aggregator of the Mar 31, 2026 10-Q; consistent with convert principal outstanding of ~$3,746M: $233.4M 3.50% 2029s + $212.3M 3.25% 2030s + $1,000M 0.00% 2031s + $1,150M 0.25% 2032s + $1,150M 1.00% 2033s, plus small other borrowings) minus cash $2,213.3M per 10-Q; it PREDATES the May 14, 2026 $3.0bn 1.00% 2033 convert (net proceeds ~$2.96bn, roughly net-debt-neutral at close) and heavy FY-Q4 capex; a $3.6bn &lt;6% GPU financing facility (Feb 2026) appears largely undrawn at Mar 31 but may be drawn substantially by Jun 30, 2026. Company reported $2.6bn cash as of Apr 30, 2026. OTHER: Mirantis acquired for ~$625M in stock (May 5, 2026); Bitcoin mining is being wound down/converted at Childress (Q3 FY26 mining revenue $111.2M, down from $167.4M q/q) with associated impairments driving the $(247.8)M Q3 net loss. SOURCING LIMITATION: this environment's egress proxy blocked direct fetches of SEC/EDGAR, GlobeNewswire and IR pages; every figure was cross-corroborated across multiple independent search results reproducing the primary press releases/filings, but quotes are as rendered in those search results and should be spot-checked against the linked primary URLs before publication.</t>
  </si>
  <si>
    <t xml:space="preserve">Applied Digital Corporation</t>
  </si>
  <si>
    <t xml:space="preserve">NASDAQ: APLD</t>
  </si>
  <si>
    <t xml:space="preserve">miners-a</t>
  </si>
  <si>
    <t xml:space="preserve">MW figures are CRITICAL IT LOAD contracted under executed long-term leases (not gross utility power). 1,410 MW = executed leases across five self-build campuses: Polaris Forge 1 Ellendale ND 400 MW (CoreWeave, 3 leases, ~$11B), Polaris Forge 2 ND 200 MW (~$5B, investment-grade hyperscaler), Polaris Forge 3 300 MW (~$7.5B), Delta Forge 1 300 MW and Delta Forge 2 210 MW (three leases with a high investment-grade hyperscaler totaling 810 MW, ~$20B, signed in the final quarter/immediately after FY-end). Built &amp; active = 175 MW live at Polaris Forge 1 (100 MW Building 1 delivered Oct 2025 + 75 MW Phase 1 of Building 2 delivered June 30, 2026 - at the May 31 balance-sheet date only 100 MW was live). Contracted-unbuilt (1,235 MW) is DERIVED as 1,410 minus 175, not a company-stated figure. Pipeline = company-stated 'active power pipeline of over 3 GW' (gross power being pursued, not yet leased), plus 'more than 5 GW of extended opportunities' and 1.2 GW of planned gas-fired generation with Base Electron; management targets &gt;5 GW by 2032.</t>
  </si>
  <si>
    <t xml:space="preserve">Approximately $36 billion of total contracted lease revenue over the initial ~15-year base lease terms of executed leases on 1,410 MW across five campuses (~$86 billion if all renewal options are exercised). This is undiscounted total lease value, not GAAP RPO. 10-K figure per filing coverage: $36.2B. Includes CoreWeave ~$11B (400 MW, PF1) and ~$25B across four hyperscaler leases (PF2, PF3, DF1, DF2).</t>
  </si>
  <si>
    <t xml:space="preserve">Net debt of ~$0.8B = $5.0B total debt minus $4.2B cash+cash equivalents+RESTRICTED cash (per earnings release); most restricted cash is pre-funded project financing, so net debt vs unrestricted cash only would be materially higher. Debt jumped from $2.7B (end FQ3) to ~$5.0B on $2.15B Polaris Forge 2 senior secured notes; one filing-based tally shows total long-term debt of $5,306.7M. The 175 MW built figure includes the 75 MW delivered June 30, 2026 (one month AFTER the May 31 FY-end); at FY-end only 100 MW was live. Contracted-unbuilt 1,235 MW is derived (1,410-175), not company-stated. The fifth lease (Delta Forge 2, 210 MW) was signed ~June 26, 2026, after FY-end, but is included in the company's headline 1,410 MW/$36B totals. NTM revenue/EBITDA are annualized FQ4 run-rates, not guidance; revenue should ramp well above run-rate as PF1 Building 2 and PF2 come online. Management also disclosed advanced negotiations on ~250 MW of additional expansion leases (100 MW PF2, 150 MW Delta Forge). All numbers should be re-verified against the 10-K directly (see research_notes on access limitations).</t>
  </si>
  <si>
    <t xml:space="preserve">Cipher Digital Inc. (formerly Cipher Mining)</t>
  </si>
  <si>
    <t xml:space="preserve">NASDAQ: CIFR</t>
  </si>
  <si>
    <t xml:space="preserve">700 MW = company-stated contracted HPC capacity under long-term leases across three sites (all under construction at 6/30/26): Black Pearl (Wink, TX) - 300 MW leased to AWS/Amazon Data Services, 15-year triple-net, ~$5.5B, Amazon.com parent guarantee (300 MW appears to be gross campus capacity); Barber Lake (Colorado City, TX) - 168 MW of CRITICAL IT LOAD (site supports 244 MW gross) leased to Fluidstack for 10 years, ~$3B initial term (~$7B with two 5-yr extensions), $1.4B Google backstop plus a subsequent ~39 MW Fluidstack expansion; Stingray (West TX) - 70 MW HPC facility fully pre-leased to Amazon Data Services. Company mixes gross and IT-load MW across these disclosures - the 700 MW total is not explicitly labeled IT vs gross. Built &amp; active = 207 MW of operating BITCOIN MINING capacity at Odessa (~11.6 EH/s in Q2); contracted HPC capacity operating at quarter-end was zero - first AWS capacity at Black Pearl was delivered at the beginning of August 2026 (two months early), so contracted-unbuilt = full 700 MW as of 6/30/26 (derived). Total portfolio/pipeline = ~5.3 GW across 11 sites in Texas and Ohio (83% pipeline HPC, 13% contracted HPC, 4% bitcoin mining), described by the company as 907 MW current operating and contracted capacity plus pipeline; includes the 1-GW Colchis JV site (executed 1-GW AEP Direct Connect Agreement, 2028 energization target) and an option acquired on the ~900 MW Apollo site near San Antonio.</t>
  </si>
  <si>
    <t xml:space="preserve">~$11.4 billion of contracted revenue over the base terms of executed HPC leases (two tenants: AWS at Black Pearl ~$5.5B and Stingray ~$2B+; Fluidstack/Google at Barber Lake ~$3B initial term plus 39 MW expansion). Undiscounted total lease value, not GAAP RPO. Company also disclosed these leases imply average annualized NOI of ~$793M between October 2026 and September 2036. Extensions could raise totals materially (e.g., Fluidstack to ~$7B; Stingray transaction materials cite up to ~$5.7B of contracted lease payments including extensions).</t>
  </si>
  <si>
    <t xml:space="preserve">Company renamed from Cipher Mining Inc. to Cipher Digital Inc. (board approved Feb 20, 2026; ticker CIFR unchanged). Net debt of ~$1,456M = $6,016M total principal debt minus $831.8M unrestricted cash minus $3,728M RESTRICTED project cash (restricted cash is bond proceeds pre-funding construction; excluding restricted cash, net debt is ~$5,184M - choose the definition that fits your framework; bitcoin holdings of $37.8M excluded). The 700 MW contracted figure mixes gross (Black Pearl 300 MW) and critical-IT (Barber Lake 168 MW) conventions and its exact per-site bridge is not fully disclosed; Barber Lake site is 244 MW gross. Built &amp; active 207 MW is bitcoin mining (Odessa), not HPC; first contracted HPC capacity (Black Pearl for AWS) was delivered in early August 2026, after quarter-end, so contracted-but-unbuilt = 700 MW as of the balance-sheet date (derived). Stingray lease value to AWS is not crisply disclosed (transaction materials reportedly cite ~$2.0B base to ~$5.7B with extensions); the $11.4B backlog is the company's own total for all signed leases. Q2 net loss includes non-cash items (e.g., Google warrant fair-value changes). NTM revenue is a CY2027 consensus proxy, not guidance. Re-verify against the 10-Q/8-K directly (see research_notes).</t>
  </si>
  <si>
    <t xml:space="preserve">TeraWulf Inc.</t>
  </si>
  <si>
    <t xml:space="preserve">NASDAQ: WULF</t>
  </si>
  <si>
    <t xml:space="preserve">MW figures are CRITICAL IT LOAD contracted under executed long-term HPC/AI leases (not gross utility power). 839 MW contracted = Fluidstack (Google-backstopped) ~360 MW at Lake Mariner, NY (10-yr initial terms; original ~200+ MW = ~$3.7B initial / ~$8.7B with two 5-yr extensions; CB-5 160 MW expansion raised Google's total backstop to ~$3.2B; subsequent amendments added &gt;$500M of lease revenue) + Core42 72.5 MW of GPU-optimized capacity (~$1.1B over 10 years) + Anthropic 401 MW at the Justified Data Campus, Hawesville KY (20-year lease, ~$19B initial term, ~$33B if two 5-yr extensions exercised; in service H2 2027, full 401 MW by early 2028). Built &amp; active = 102 MW of revenue-generating critical IT capacity online at Lake Mariner at Q2-end, with 336 MW under construction and a total of 438 MW of contracted capacity targeted for energization by H1 2027. Contracted-unbuilt 737 MW is DERIVED (839-102). Pipeline = company-stated 2.1 GW controlled development pipeline (includes Cayuga NY and the gigawatt-scale Muskie Data Campus acquired in Kentucky). Legacy bitcoin-mining MW at Lake Mariner is being converted and is excluded from these HPC figures. TeraWulf agreed post-quarter to sell its 50.1% Abernathy (TX) JV interest to a Fluidstack-led group for ~$530M, removing Abernathy from its consolidated platform.</t>
  </si>
  <si>
    <t xml:space="preserve">Approximately $27 billion of contracted revenue over initial lease terms across 839 MW of leased critical IT capacity (Anthropic ~$19B/20yr + Fluidstack ~$6.7-7B initial terms incl. CB-5 and amendments + Core42 ~$1.1B/10yr). Undiscounted total lease value, not GAAP RPO. Rises to well over $40B if tenant extension options are exercised (Anthropic alone ~$33B with extensions).</t>
  </si>
  <si>
    <t xml:space="preserve">Net debt of ~$2.7B is the company/management figure: ~$5.7B total debt ($2.5B parent convertible notes + $3.2B WULF Compute senior secured notes) less ~$3.0B cash and RESTRICTED cash; excluding restricted cash net debt would be higher, and pro forma for the pending $530M Abernathy sale parent-level cash reaches ~$1.45B (installments: $250M near signing, $150M by Dec 31 2026, ~$130M by Apr 30 2027). Post-quarter, Bloomberg reported a planned ~$3.5B project debt raise for the Anthropic-leased Kentucky campus - not yet closed. Contracted-unbuilt 737 MW is derived (839-102), not company-stated. The ~$27B backlog and 839 MW include the Anthropic lease signed July 6, 2026 (after quarter-end); Anthropic revenue does not begin until H2 2027. Fluidstack lease amendments in Q2 added &gt;$500M of incremental lease revenue; the exact current Fluidstack total is not separately restated. Bitcoin mining (Q2 mining revenue ~$12.9M) continues at Lake Mariner but capacity is being converted to HPC and is excluded from the 839/102 MW critical-IT figures. NTM figures are annualized Q2 run-rates and materially understate the ramp. Re-verify against the 10-Q/8-K directly (see research_notes).</t>
  </si>
  <si>
    <t xml:space="preserve">Hut 8 Corp.</t>
  </si>
  <si>
    <t xml:space="preserve">miners-b</t>
  </si>
  <si>
    <t xml:space="preserve">949 MW = contracted IT (critical) capacity under signed AI data center leases: 704 MW at Beacon Point (TX, 1 GW gross campus, fully commercialized via two leases incl. a 15-yr $9.8B lease for 352 MW) + 245 MW at River Bend (West Feliciana Parish, LA). These are self-build sites leased to or backstopped by investment-grade counterparties. Supporting gross utility capacity of 1,330 MW is under active construction; first data hall deliveries targeted Q2 2027 (River Bend) and Q3 2027 (Beacon Point) — hence 0 MW of the contracted AI-DC IT capacity is energized today. Pipeline (8,660 MW, gross energy capacity, not customer-contracted, per company taxonomy as of Jun 30, 2026): 5,400 MW Under Diligence + 1,880 MW Under Exclusivity + 50 MW Under Development + 1,330 MW Under Construction (the 1,330 MW overlaps with/supports the 949 MW contracted IT). Separately, Hut 8 operates legacy power/mining sites (Vega, Drumheller, etc.) largely serving its majority-owned, separately-listed American Bitcoin (ABTC); the current 'power capacity under management' MW for that legacy platform (previously ~1 GW) was not re-verified in Q2 2026 sources and is EXCLUDED from the figures above.</t>
  </si>
  <si>
    <t xml:space="preserve">~$26.6B of 'expected aggregate base-term value' of signed AI data center leases (949 MW IT), leased or backstopped by investment-grade counterparties; base term only (excludes extension options); company also cites &gt;$1.75B of expected average annual NOI once ramped. Not a GAAP RPO. Beacon Point campus alone = $19.6B of campus-level base-term contract value.</t>
  </si>
  <si>
    <t xml:space="preserve">Net debt not computable from verified sources: Hut 8 states it carries 'no general recourse debt at the parent level' but closed $7.5B of fully amortizing, non-recourse, investment-grade project notes in Q2 2026 ($3.25B River Bend due 2042 + $4.25B Beacon Point Building One); against this it held ~$8.1B of unrestricted/restricted cash + bitcoin (of which $7.6B attributable to Hut 8, $497.2M to ~80%-owned American Bitcoin). A large share of the $8.1B is restricted project-financing proceeds and BTC held mainly at American Bitcoin (ABTC), the separately-listed miner Hut 8 consolidates — so 'net debt' is not clean. Q2 2026 GAAP net loss was $177.1M incl. a $138M non-cash digital-asset loss. Beacon Point/River Bend tenant identities not disclosed in sources reviewed ('investment-grade counterparties' / backstops). Vega site is operating (935 BTC mined in Q2 via American Bitcoin). Highrise AI GPU fleet size not re-verified. NTM figures are analyst-annualized run-rates, not guidance.</t>
  </si>
  <si>
    <t xml:space="preserve">Galaxy Digital Inc.</t>
  </si>
  <si>
    <t xml:space="preserve">MW figures are CRITICAL IT LOAD unless noted. Contracted: 526 MW critical IT load committed by CoreWeave across Helios Phases I-III (= the full 800 MW of GROSS power currently approved and contracted at Helios), under 15-year leases with two 5-year extension options. Built/active: 133 MW critical IT (200 MW gross) — Phase I fully delivered to CoreWeave and in service by Jun 30, 2026. Contracted-unbuilt: 393 MW critical IT (Phase II = 260 MW CIT under construction, data hall deliveries from Q2 2027; plus Phase III). Pipeline: Helios total APPROVED power capacity expanded to 1.63 GW gross (i.e., ~830 MW gross approved beyond the 800 MW contracted), with company-stated potential to scale the campus to ~3.5-3.6 GW gross at full buildout (additional ~2.7 GW under load study). Helios (Dickens County, West Texas) is Galaxy's only data center campus; self-build, leased to a single tenant (CoreWeave).</t>
  </si>
  <si>
    <t xml:space="preserve">$10.4B of minimum contracted lease payments over the initial 15-year terms of the CoreWeave leases (Phases I-III, 526 MW CIT), per Galaxy investor presentation; excludes the two 5-year extension options. Company separately cites expected average annual revenue of &gt;$1.0B from these leases once fully delivered. Not a GAAP RPO.</t>
  </si>
  <si>
    <t xml:space="preserve">Galaxy's enterprise value is dominated by its digital-assets businesses (trading, asset management, treasury) — the data center segment is only beginning to generate revenue ($18.9M in Q2 2026). Net debt not computable from verified sources: Helios carries a $1.4B project financing facility (2025) and Galaxy was marketing a $3.507B debt offering for the Helios expansion in Aug 2026; consolidated cash/debt/digital-asset balances from the Q2 2026 balance sheet were not verifiable through available channels. Minor source discrepancy on ultimate campus potential: '3.6 GW' (Aug 2026 debt-offering coverage) vs 'up to 3.5 GW' (earlier company materials). Q2 2026 consolidated net loss ~$85M is from transcript/press coverage, not verified against the filing. Phase-by-phase split of the 526 MW: Phase I 133 MW + Phase II 260 MW + Phase III ~133 MW (Phase III MW inferred as remainder — not directly quoted).</t>
  </si>
  <si>
    <t xml:space="preserve">Core Scientific, Inc.</t>
  </si>
  <si>
    <t xml:space="preserve">Contracted ~1,120 MW = ~590 MW of CoreWeave HPC colocation contracts (company-reported contracted infrastructure/billable capacity; 12-year original contracts) + ~530 MW anchored under the NEW AMD partnership announced with Q2 2026 results (15-year agreements across five sites — approximately 380 MW delivered directly to AMD under triple-net leases at Pecos TX, Hunt (Denton) TX and Muskogee OK). Company/press shorthand: 'leased capacity reached 1.1 GW.' MW basis is company-reported contracted capacity (CoreWeave figures historically billable/critical IT MW; AMD triple-net MW basis not fully specified in sources reviewed — treat gross-vs-IT with caution). Built/active MW: not separately quoted — four of five CoreWeave campuses were 'substantially completed' ahead of schedule by Q2 2026 (final campus, Dalton Phase Two, on track for early 2027); AMD deployments begin 2027, so AMD MW are essentially all unbuilt. Pipeline 1,925 MW = AMD's right to reserve additional capacity through Dec 28, 2028, which would take the AMD partnership to ~2.5 GW of leasable capacity.</t>
  </si>
  <si>
    <t xml:space="preserve">APPROXIMATE SUM of two company-cited figures, not a single company-reported RPO: &gt;$10B of potential revenue from ~590 MW of CoreWeave colocation contracts (~$850M average annualized colocation GAAP revenue over contract terms) + &gt;$14B of potential base contracted revenue from the anchor ~530 MW AMD 15-year agreements (2.5% annual escalators). Excludes AMD's 1,925 MW reservation option upside.</t>
  </si>
  <si>
    <t xml:space="preserve">STATUS: CoreWeave's all-stock acquisition of CORZ was REJECTED by CORZ shareholders at the Oct 30, 2025 special meeting (20.8M for / 203.5M against) and the merger agreement was terminated — Core Scientific remains an independent NASDAQ-listed company; no new takeover deal found in sources through Aug 17, 2026. Q2 2026 net loss of $1.16B is dominated by non-cash warrant revaluation (AMD received warrants as part of the July 2026 partnership; the CoreWeave-era structures also involved warrants) — not operational. Net debt not computable from verified sources: 'liquidity stood at $1.82B' but gross debt (incl. convertible notes outstanding) was not verifiable through available channels. Built/energized MW split not quoted; most CoreWeave MW were delivered/substantially complete by mid-2026, all AMD MW are 2027+. Bitcoin self-mining is winding down; BTC balance immaterial vs. miners like MARA/RIOT. The $24.0B backlog is my sum of two separately-disclosed 'potential' figures — the company did not present a combined RPO in reviewed sources.</t>
  </si>
  <si>
    <t xml:space="preserve">Riot Platforms, Inc.</t>
  </si>
  <si>
    <t xml:space="preserve">241 MW = executed/contracted data center CRITICAL IT capacity at the Rockdale, TX campus: 191 MW under a 20-year lease with a 'leading frontier AI lab' (signed with Q2 2026 results; phase 1 of 96 MW due December 2027, full 191 MW by June 2028) + 50 MW under the existing AMD lease. 0 MW of this contracted AI/HPC IT capacity is in service today (first delivery Dec 2027) — Riot's operating MW today are bitcoin-mining load (Rockdale ~700 MW gross developed capacity historically; not re-verified for Q2 2026). Pipeline 1,000 MW = Corsicana, TX campus: 1 GW of fully approved GROSS utility power on Riot-owned land with potential for 756 MW of critical IT capacity; the ENTIRE Corsicana campus is under a NON-BINDING letter of intent to a single tenant (not yet a contract). Kentucky (Block Mining) sites excluded — MW not re-verified.</t>
  </si>
  <si>
    <t xml:space="preserve">$9.8B of contracted data center revenue: ~$9.1B expected total contract revenue over the initial 20-year term of the 191 MW frontier-AI-lab lease (~$16.1B potential if both five-year extension options are exercised) + the AMD 50 MW lease. Excludes the non-binding 1 GW Corsicana LOI (management: could exceed $1B annual rent at full deployment). Company also projects $416-462M average annual NOI across the 241 MW Rockdale contracts. Not a GAAP RPO.</t>
  </si>
  <si>
    <t xml:space="preserve">Tenant of the 191 MW / $9.1B lease is disclosed by Riot only as 'a leading frontier AI lab'; identification as Anthropic comes from third-party press (24/7 Wall St and others), not the company. Balance sheet NOT verified for Q2 2026: net debt, cash, bitcoin holdings (historically ~19k+ BTC, a large asset) and convertible notes ($594M 0.75% 2030 converts issued Dec 2024, per pre-cutoff knowledge) could not be fetched — net_debt left null; note Riot's BTC treasury likely exceeds its debt, i.e., possibly net cash including BTC. Total power portfolio MW (Rockdale ~700 MW gross, Kentucky ~110 MW gross from Block Mining, per pre-cutoff disclosures) not re-verified for Q2 2026 and excluded from structured MW fields. Q2 2026 GAAP net loss $237M driven by non-cash items. H1 2026 showed a large loss overall.</t>
  </si>
  <si>
    <t xml:space="preserve">MARA Holdings, Inc.</t>
  </si>
  <si>
    <t xml:space="preserve">4.8 GW (4,800 MW) = MARA's stated POTENTIAL power portfolio ('rapidly expanding its power portfolio to 4.8 GW'), a pipeline/ambition figure — NOT contracted-to-customers and NOT fully built. Components per Q2 2026 disclosures: a 1,200-acre Matagorda County, TX site anticipated to supply up to 2 GW of grid-level capacity (development stage); the Long Ridge Energy acquisition adding &gt;1 GW of potential capacity including 505 MW of contracted, vertically integrated POWER GENERATION (gas-fired generation MARA controls — supply-side, not customer demand contracts); plus existing owned/operated mining sites and behind-the-meter assets. Currently operated MW (previously ~1.7 GW owned/operated across the mining fleet, per pre-cutoff disclosures) was NOT re-verified in Q2 2026 sources — left null. No signed third-party AI/HPC customer lease or colocation contract (MW or $) was found in Q2 2026 disclosures; the AI/inference pivot ('Digital Infrastructure Triad': AI, Power, Critical IT) remains strategy-stage.</t>
  </si>
  <si>
    <t xml:space="preserve">No contracted customer revenue backlog disclosed — MARA had no announced third-party AI/HPC leases as of Q2 2026; revenue remains bitcoin self-mining (plus energy assets).</t>
  </si>
  <si>
    <t xml:space="preserve">MARA's 4.8 GW is a POTENTIAL/pipeline power figure, not contracted or built — do not compare directly against peers' contracted-lease MW. No signed AI/HPC customer contracts (MW or $) found through Aug 17, 2026; the pivot is strategy/deck-stage. Currently energized/operated MW not verified for Q2 2026 (historically ~1.7 GW owned/operated claim; also 505 MW of contracted power GENERATION at Long Ridge — supply, not customer demand). Net debt null because total debt was not verifiable: known pieces include ~$600M of new BTC-collateralized borrowings (Coinbase, Two Prime; 18,750 BTC pledged; 7.56% wtd avg cost) plus a multi-billion convertible notes stack (roughly $3B+ face across 2029-2032 maturities per pre-cutoff disclosures — NOT re-verified). Offsetting assets: $421.3M cash + ~$2.5B combined cash and bitcoin (35,577 BTC at Jun 30, 2026, down from ~52.8k after heavy Q1/Q2 sales). BTC-heavy balance sheet makes 'net debt' extremely BTC-price sensitive. Q2 2026 net loss $611.3M incl. $343M unrealized digital-asset mark. BTC holdings figure (35,577) sourced from a secondary outlet corroborating call disclosures.</t>
  </si>
  <si>
    <t xml:space="preserve">low</t>
  </si>
  <si>
    <t xml:space="preserve">GDS Holdings Limited</t>
  </si>
  <si>
    <t xml:space="preserve">NASDAQ: GDS / HKEX: 9698</t>
  </si>
  <si>
    <t xml:space="preserve">asia-dc</t>
  </si>
  <si>
    <t xml:space="preserve">GDS's formal capacity disclosure unit is net floor area (sqm), not MW: area in service 684,977 sqm, area under construction 170,355 sqm, and total area committed &amp; pre-committed 784,802 sqm as of Jun 30, 2026 (consolidated China business; excludes DayOne/GDS International, which was deconsolidated). Commitment rate for area in service 92.4%; utilization rate (area utilized / area in service) 79.2%. The MW figures are customer IT-power commitments cited in the Q2 2026 release/earnings call, not gross utility power: H1 2026 new bookings a record 470MW (260MW in Q2), MW backlog (committed but not yet utilized/moved-in) 757MW at mid-2026 vs 450MW at start of 2026, and total binding customer commitments stated as 'above 2 gigawatts' on the earnings call, with a further ~600MW of customer reservations (sources conflict on whether the 600MW is inside or on top of the &gt;2GW). Full-year 2026 new-sales target raised to 1GW. All capacity is self-build/lease-operated colocation; GDS does not disclose an aggregate operating-MW figure, so built_active_mw is null.</t>
  </si>
  <si>
    <t xml:space="preserve">No dollar/RMB revenue backlog or RPO is disclosed. GDS instead discloses a capacity backlog in MW: 757MW committed but not yet revenue-generating at mid-2026 (up from 450MW at the beginning of 2026), per the Q2 2026 earnings call.</t>
  </si>
  <si>
    <t xml:space="preserve">1) Net debt: computed as total debt (RMB9,209.5M short-term + RMB36,921.5M long-term = RMB46,131.0M, incl. convertible bonds and finance-lease/other financing obligations) minus cash and cash equivalents RMB14,927.3M = RMB31,203.7M ~ US$4,599M at the release-implied ~RMB6.785/US$; the components are company-disclosed but the netting is mine. Earnings commentary cited leverage of 4.7x net debt/LQA Adjusted EBITDA, which implies the company's own net-debt definition nets additional cash-like items (e.g., restricted cash/short-term investments) - the company-defined net debt is likely ~RMB26-27B (~US$3.9-4.0B). 2) The '&gt;2GW total binding commitments' and '600MW reservations' figures are from earnings-call coverage; sources conflict on whether the 600MW reservations are inside or on top of the &gt;2GW, and I could not verify the exact call wording verbatim (direct page fetch blocked). One news source (DCD) says 263MW of Q2 bookings vs 260MW in call coverage. 3) GDS reports capacity in sqm; no aggregate operating MW is disclosed, so built/active MW is null. 4) Figures are the consolidated GDS Holdings (China) business; DayOne/GDS International was deconsolidated in 2025 and its capacity is NOT included - I could not capture any DayOne stake update from the Q2 2026 release before the search budget was exhausted. 5) NTM revenue/EBITDA are calendar-FY2026 guidance, not a true Aug-2026-to-Aug-2027 NTM. 6) All USD conversions use ~RMB6.785/US$ implied by the company's own convenience translation in the Q2 2026 release.</t>
  </si>
  <si>
    <t xml:space="preserve">VNET Group, Inc.</t>
  </si>
  <si>
    <t xml:space="preserve">NASDAQ: VNET</t>
  </si>
  <si>
    <t xml:space="preserve">Wholesale IDC business reported in MW (customer/IT capacity as VNET reports it): 907MW wholesale capacity in service as of Mar 31, 2026 (+18MW QoQ), utilization 75.7% (mature capacity utilization 93.8%); 516MW under construction with an 85.8% pre-commitment rate; total wholesale resource capacity 2.48GW (in service + under construction + capacity held for future development). Retail IDC is reported in cabinets, not MW: 50,170 cabinets in service, 64.1% utilization, MRR per retail cabinet RMB9,448. built_active_mw = wholesale in-service MW only (retail excluded). total_pipeline_mw = the 2.48GW total wholesale resource base. No single 'total contracted MW' figure is disclosed, so contracted_or_secured is null; the 85.8% pre-commitment on 516MW under construction implies ~443MW contracted-but-unbuilt (derived, not company-stated, hence null in the field).</t>
  </si>
  <si>
    <t xml:space="preserve">No revenue backlog/RPO in currency terms is disclosed. Contract cover is disclosed as pre-commitment rates instead: 85.8% of the 516MW under construction is pre-committed (predominantly to hyperscale/AI customers driving 2025-26 wholesale orders).</t>
  </si>
  <si>
    <t xml:space="preserve">1) STALENESS: Q2 2026 results are released Aug 18, 2026 (the day after this extraction) - all figures here are Q1 2026 / as of Mar 31, 2026; re-pull after Aug 18 for the Q2 print and any new hyperscaler order MW. 2) Net debt is DERIVED, not directly captured: company-disclosed net debt / LQA adjusted EBITDA of 3.8x (the search summary rendered it as '3.8%', which I interpreted as 3.8x) times LQA adjusted EBITDA (RMB891.5M x 4 = RMB3,566M) implies net debt of roughly RMB13.55B ~ US$1,997M; treat as approximate. Disclosed anchor: total cash and equivalents (incl. restricted and short-term investments) RMB8.8B at Mar 31, 2026. 3) Contracted-but-unbuilt is not disclosed as a single number; 516MW under construction x 85.8% pre-commitment implies ~443MW (derived). 4) I could not capture the specific new-order MW won in Q1 2026 or named hyperscaler customers (ByteDance/Alibaba are widely reported drivers of VNET's 2025-26 wholesale pre-commitments) before the search budget was exhausted - do not attribute specific MW to specific customers from this record. 5) USD conversions use ~RMB6.785/US$ implied from GDS's Jun 30, 2026 release, not VNET's own convenience rate; the Mar 31, 2026 rate may differ by a few percent. 6) MW definitions are as VNET reports them (wholesale IDC capacity); the release does not specify IT vs gross utility power in the captured text.</t>
  </si>
  <si>
    <t xml:space="preserve">Alibaba Group (Cloud Intelligence Group segment)</t>
  </si>
  <si>
    <t xml:space="preserve">china-cloud</t>
  </si>
  <si>
    <t xml:space="preserve">Alibaba does not disclose data-center capacity in MW/GW or GPU counts in its SEC filings or earnings releases; it discloses region/availability-zone counts and capex commitments instead. No MW figure exists to report, and no 2026 disclosure could be checked in this session because all primary-source hosts (SEC EDGAR, alibabagroup.com, alizila.com) were blocked by the network egress proxy.</t>
  </si>
  <si>
    <t xml:space="preserve">Not disclosed as a cloud backlog/RPO metric in Alibaba's reporting; in any case no filing could be accessed this session to verify.</t>
  </si>
  <si>
    <r>
      <rPr>
        <sz val="9"/>
        <rFont val="Arial"/>
        <family val="0"/>
        <charset val="1"/>
      </rPr>
      <t xml:space="preserve">ALL numeric fields are null because no primary or secondary source could be accessed: this session's WebSearch budget was already fully consumed (200/200) by earlier workflow steps, and the network egress proxy blocked every relevant host attempted (www.sec.gov, data.sec.gov, efts.sec.gov, alibabagroup.com, alizila.com, hkexnews.hk, prnewswire.com, globenewswire.com, businesswire.com, fool.com, seekingalpha.com, reuters.com, and others). UNVERIFIED CONTEXT FROM MODEL MEMORY (pre-Jan-2026 knowledge, NOT sourced, do not treat as disclosed data): Alibaba announced in Feb 2025 a plan to invest at least RMB 380 billion (~US$53B) over three years in cloud computing and AI infrastructure; through calendar 2025 its Cloud Intelligence Group revenue growth accelerated to the mid-20s/</t>
    </r>
    <r>
      <rPr>
        <sz val="9"/>
        <rFont val="WenQuanYi Zen Hei"/>
        <family val="2"/>
      </rPr>
      <t xml:space="preserve">低</t>
    </r>
    <r>
      <rPr>
        <sz val="9"/>
        <rFont val="Arial"/>
        <family val="0"/>
        <charset val="1"/>
      </rPr>
      <t xml:space="preserve">-30s % YoY range (quarterly revenue in the mid-RMB-30B range) with AI-related product revenue growing triple digits YoY for many consecutive quarters; the group carried a large net cash position (tens of billions of USD in cash, short-term investments and other treasury assets exceeding debt). Talk of upsizing the RMB 380B plan in 2026 (mentioned in the task brief) could NOT be verified. Fiscal note: Alibaba's FY ends Mar 31, so the June 2026 quarter is Q1 FY2027; based on historical cadence (mid/late August reporting) those results may not have been released as of 2026-08-17.</t>
    </r>
  </si>
  <si>
    <t xml:space="preserve">Baidu (AI Cloud segment)</t>
  </si>
  <si>
    <t xml:space="preserve">Baidu does not disclose data-center capacity in MW/GW. Its AI-infrastructure disclosures are qualitative (self-developed Kunlun accelerator clusters, ERNIE model platform). No 2026 disclosure could be checked this session because SEC EDGAR and ir.baidu.com were blocked by the network egress proxy.</t>
  </si>
  <si>
    <t xml:space="preserve">Baidu does not report a cloud backlog/RPO metric; nothing could be accessed this session to verify any 2026 change.</t>
  </si>
  <si>
    <t xml:space="preserve">ALL numeric fields are null for the same reason as Alibaba: WebSearch budget exhausted (200/200 used by earlier workflow steps) and every relevant host blocked by the network egress proxy (see research_notes for full list). UNVERIFIED CONTEXT FROM MODEL MEMORY (pre-Jan-2026 knowledge, NOT sourced): Baidu's AI Cloud revenue ran roughly RMB 5–7B per quarter during 2025 with YoY growth in the high-teens to high-20s percent; Baidu develops its own Kunlun AI accelerators (P800) and in April 2025 said it had lit up a cluster of ~30,000 Kunlun P800 chips, positioning Kunlun as a hedge against US export controls on NVIDIA chips; Baidu group is strongly net cash (cash + short-term investments well in excess of debt, on the order of US$15–20B+ net). None of this could be verified this session, and Q2 2026 (June quarter) results — historically released ~Aug 19–21 — were likely not yet published as of 2026-08-17.</t>
  </si>
  <si>
    <t xml:space="preserve">Tencent Holdings (Tencent Cloud, within FinTech and Business Services)</t>
  </si>
  <si>
    <t xml:space="preserve">TCEHY</t>
  </si>
  <si>
    <t xml:space="preserve">Tencent does not disclose data-center capacity in MW/GW or GPU counts; cloud is not even a separately reported revenue line (it sits inside the FinTech and Business Services segment). No 2026 disclosure could be checked: tencent.com, static.www.tencent.com, HKEX (www1.hkexnews.hk) and doc.irasia.com were all blocked by the network egress proxy. Note Tencent is HKEX-listed (0700.HK); TCEHY is an unsponsored ADR, so there are no SEC 20-F/6-K filings — primary sources are HKEX announcements and tencent.com IR.</t>
  </si>
  <si>
    <t xml:space="preserve">Not disclosed by Tencent; cloud revenue itself is not separately disclosed (inside FinTech and Business Services segment).</t>
  </si>
  <si>
    <t xml:space="preserve">Included per the optional third-entry instruction, but no data was findable in this session — all numeric fields null for the same egress-block/search-budget reasons as the other two entries. UNVERIFIED CONTEXT FROM MODEL MEMORY (pre-Jan-2026 knowledge, NOT sourced): in 2025 Tencent's quarterly revenue was ~RMB 170–190B growing low-to-mid teens YoY; the FinTech and Business Services segment (which contains Tencent Cloud) was ~RMB 53–56B per quarter growing high-single to low-double digits; 2025 capex was sharply elevated for AI (management guided to a low-teens percentage of revenue for 2025, i.e. roughly RMB 80–100B annualized); Tencent has a net cash position and management repeatedly said on 2025 calls that it had a sufficient stockpile of AI chips for training needs while adopting a multi-vendor (incl. domestic) inference chip strategy. None of this is verified for 2026.</t>
  </si>
  <si>
    <t xml:space="preserve">OpenAI (incl. Stargate program)</t>
  </si>
  <si>
    <t xml:space="preserve">N/A (private)</t>
  </si>
  <si>
    <t xml:space="preserve">openai</t>
  </si>
  <si>
    <t xml:space="preserve">OpenAI reports capacity as gigawatts of 'planned capacity' across the Stargate program - gross utility/site power under development (partner-financed sites built by Oracle/Crusoe/Vantage/Related Digital/SB Energy plus leased cloud capacity), NOT energized IT/critical load, and NOT OpenAI-owned assets. Altman's '~30 GW committed' framing (Oct 2025, unverified here) counts total compute purchase commitments including cloud deals (Microsoft, Oracle, CoreWeave, AWS) plus chip partnerships (NVIDIA/AMD/Broadcom), so it double-counts relative to physical Stargate sites. No company-total MW figure could be verbatim-verified in this session, so all MW fields are null per the source rules. QUOTE-BACKED SITE-LEVEL DATA (from Oracle, the Stargate build partner): (1) Project Jupiter, Dona Ana County NM (the Stargate NM site; Oracle's PRs do not name the tenant): 'We will have a more than 2GW power resource with substantial redundancy built for worst-case reliability scenarios' (Oracle blog, Jul 1, 2026) and 'the data center will be supported by up to 2.45 GW of installed Bloom fuel cell capacity' (Oracle/BorderPlex/Bloom PR, Apr 27, 2026). (2) Stargate Michigan, Saline Township ('The Barn'): explicitly named a Stargate campus with OpenAI as partner; 250-acre site, 'three 550,000-square-foot, single-story, LEED-certified data center buildings', first building nearing completion with 'more than $5 billion invested in site construction' as of Jun 1, 2026 (no MW disclosed in the PR; press reports ~1+ GW, unverified). (3) Abilene TX (Stargate I): Oracle blog (Jun 25, 2026) cites 'nearly 20 million worker hours and up to 9,000 workers onsite to date' but no MW; press/OpenAI have described it as ~1.2 GW when complete with first capacity energized since mid-2025 (unverified here).</t>
  </si>
  <si>
    <t xml:space="preserve">OpenAI discloses no revenue backlog/RPO; it is the OBLIGOR side - its compute purchase commitments show up as its vendors' backlog. Quote-verified counterparty evidence of the commitments' scale: Oracle RPO 'ended the quarter at $638 billion, up 363% USD year-over-year' (Q4 FY26, May 31, 2026), after $455B (+359%, Q1), $523B (+438%, Q2), $553B (Q3) - the surge began the quarter Oracle 'signed four multi-billion-dollar contracts with three different customers' (Q1 FY26, Sep 2025), which press attributed mainly to a reported ~$300B five-year OpenAI contract (attribution not made by Oracle itself). Microsoft commercial RPO 'increased 110% to $625 billion' at Dec 31, 2025 - the quarter the reported $250B incremental OpenAI Azure purchase commitment was signed (Oct 28, 2025) - and 'increased 84% to $678 billion' at Jun 30, 2026.</t>
  </si>
  <si>
    <t xml:space="preserve">SEVERE SOURCING CONSTRAINT: this session's WebSearch budget was fully pre-consumed (200/200) and the network egress proxy blocked openai.com, sec.gov/EDGAR, web.archive.org, and every press/partner domain tested (Reuters, Bloomberg, WSJ, FT, NYT, CNBC, AP, nvidia.com, amd.com/ir.amd.com, broadcom.com, aboutamazon.com, coreweave.com, softbank, blogs/news.microsoft.com, whitehouse.gov, state gov sites, DuckDuckGo/Bing/Google) EXCEPT www.oracle.com and www.microsoft.com. All quote-backed numbers therefore come from Oracle and Microsoft official pages only; every OpenAI-side figure below is PRE-CUTOFF (Jan 2026) KNOWLEDGE, NOT RE-VERIFIED, and is deliberately excluded from the numeric fields per the no-quote-no-number rule. Unverified official figures the caller should re-confirm: (a) Stargate program: $500B/10 GW over 4 years announced Jan 21, 2025 (OpenAI/SoftBank/Oracle/MGX); +4.5 GW Oracle partnership (Jul 22, 2025); five new sites -&gt; 'nearly 7 GW planned, &gt;$400B over 3 years' and 'ahead of schedule to secure the full $500B, 10 GW commitment by end of 2025' (Sep 23, 2025); Michigan site (announced Oct 2025) took the stated total to &gt;8 GW planned / &gt;$450B. (b) Altman, late Oct 2025 (livestream, widely reported): OpenAI has committed to ~30 GW of compute with ~$1.4 TRILLION of total obligations, plus stated ambition of an 'infrastructure factory' producing ~1 GW/week eventually. (c) Chip/cloud deals in GW: NVIDIA &gt;=10 GW (LOI, up to $100B NVIDIA investment, first GW 2H26 on Vera Rubin); AMD 6 GW (definitive agreement, first 1 GW 2H26); Broadcom 10 GW custom accelerators (collaboration announcement, deploy 2H26-2029); Microsoft $250B incremental Azure purchase (signed, part of restructuring); Oracle reported ~$300B/~4.5 GW 5-yr contract from FY28 (contract never confirmed by name by Oracle; visible in Oracle RPO explosion to $638B); CoreWeave contracts totaling up to ~$22.4B ($11.9B Mar-25 + $4.0B May-25 + $6.5B Sep-25); AWS $38B (Nov-25, signed). LOI vs signed status is as of pre-cutoff reporting. (d) International: Stargate UAE ~1 GW (first 200 MW targeted 2026, within 5 GW UAE-US campus); Stargate Norway initial ~230 MW JV (Nscale/Aker); India ~1 GW explored per press. (e) Operational capacity: no official 'energized MW' total exists; Abilene began serving Oracle-delivered racks mid-2025 (~1.2 GW site at completion per press); built_active_mw left null. (f) Restructuring: completed Oct 28, 2025 - OpenAI Group PBC (for-profit PBC) under OpenAI Foundation control; Microsoft ~27% as-converted (~$135B); corroborated in-session only indirectly by Microsoft's quote-verified FY26 'net gains from investments in OpenAI' ($4,963M FY26 incl. $7.6B gain in the Dec-25 quarter, consistent with recapitalization remeasurement). (g) Valuation 500000 ($500B) is the Oct 2025 completed secondary - a stale mark; press reported higher-mark secondary TALKS (~$750B figures circulating late 2025/early 2026, unconfirmed); any completed 2026 round is unknown to this session. (h) Revenue/EBITDA: no disclosure; press estimates only (~$13B 2025 revenue, ~$20B exit run-rate, ~$30B+ 2026 projected) - all unverified, hence nulls. (i) Project Jupiter (NM) and Abilene quotes come from Oracle, which does not name OpenAI as the tenant in those documents; the OpenAI/Stargate linkage for Dona Ana County comes from OpenAI's own Sep 23, 2025 five-sites post (unverified in-session) - only the Saline Township, MI campus is explicitly tied to OpenAI/Stargate in an in-session-verified Oracle PR.</t>
  </si>
  <si>
    <t xml:space="preserve">PRIVATE</t>
  </si>
  <si>
    <t xml:space="preserve">private-ai</t>
  </si>
  <si>
    <t xml:space="preserve">Anthropic is a compute BUYER, not a datacenter operator, and has never disclosed a single consolidated MW total; summing its commitments would be my own estimate, so MW fields are null. Company/partner-disclosed components (all unverified this session, from pre-cutoff knowledge): (1) Google Cloud TPU expansion (announced Oct 23, 2025): access to up to ~1,000,000 TPUs, deal 'worth tens of billions of dollars', with well over 1 GW of capacity expected to come online for Anthropic in 2026 (basis - IT vs gross - not specified). (2) Microsoft/NVIDIA partnership (announced Nov 18, 2025): Anthropic committed to purchase $30B of Azure compute capacity plus contract additional capacity of up to 1 GW; NVIDIA to invest up to $10B and Microsoft up to $5B in Anthropic. (3) AWS Project Rainier (Amazon-owned and -built; New Carlisle, Indiana campus plus other sites): ~500,000 Trainium2 chips serving Anthropic as of late Oct 2025, with Amazon stating an expectation to exceed 1,000,000 Trainium2 chips by end of 2025; the ~2.2 GW figure for the New Carlisle campus is third-party press reporting about Amazon's campus, not an Anthropic disclosure, and is Amazon's capacity, not Anthropic-contracted MW. (4) Anthropic's own $50B US datacenter buildout with Fluidstack (announced Nov 12, 2025): custom-built sites in Texas and New York with more to come, sites coming online through 2026; ~800 permanent / ~2,400 construction jobs cited; NO GW/MW figure was disclosed for this program as of my knowledge.</t>
  </si>
  <si>
    <t xml:space="preserve">N/A - Anthropic sells API/enterprise subscriptions and has disclosed no RPO/backlog. Note direction of obligation: the $30B Azure commitment is Anthropic's PURCHASE obligation (a cost commitment to Microsoft), i.e. it is backlog for Microsoft, not revenue backlog for Anthropic.</t>
  </si>
  <si>
    <t xml:space="preserve">CRITICAL: no number in this entry was verified against a live source. This session had zero usable web access (WebSearch quota exhausted before this agent started; egress proxy blocked anthropic.com, aboutamazon.com, blogs.microsoft.com-class domains, all news domains, and even sec.gov). All figures are from model training knowledge current to ~mid-Jan 2026. Verbatim quotes are DELIBERATELY OMITTED from sources because I cannot guarantee exact wording without fetching - treat all figures as paraphrases of primary announcements, not quoted disclosures. Likely stale by Aug 2026: (a) the reported ~$350B round may have closed (would supersede $183B); (b) revenue run-rate has likely grown materially past the last official &gt;$5B statement; (c) the $50B/Fluidstack program may now have disclosed GW figures or additional sites; (d) Project Rainier chip count likely &gt;1M now. MW mixing warning per mission: Google '1 GW+' and Azure 'up to 1 GW' do not state IT vs gross basis; Amazon's ~2.2 GW New Carlisle figure is press-reported Amazon campus capacity, not an Anthropic contract quantum. URLs marked 'exact URL not retrievable' are publisher landing pages, not the article; the two anthropic.com slugs are from memory and may differ slightly. Re-verify everything before use.</t>
  </si>
  <si>
    <t xml:space="preserve">xAI (merged with X Corp; xAI Holdings)</t>
  </si>
  <si>
    <t xml:space="preserve">gpu_count = Colossus 1 (Memphis, TN) per Elon Musk's X post of ~July 22, 2025: ~230,000 GPUs operational for Grok training, including ~30,000 GB200s (primary statement, but wording unverifiable this session; almost certainly higher by Aug 2026). xAI discloses GPUs/GW ambitions, not clean MW schedules, so MW fields are null. Known components (unverified): Colossus 1 power is roughly 150 MW of approved MLGW/TVA grid power plus Tesla Megapacks and on-site gas turbines (~250 MW-class total per press/utility filings - third-party, gross utility power, not xAI-disclosed). Colossus 2 (Memphis area/Southaven, MS): Musk stated the first batch of ~550,000 GB200/GB300-class GPUs would begin coming online from ~Sept 2025, targeting the world's first gigawatt-plus AI training cluster; ~1.1 GW of on-site gas turbine capacity (Solaris) reported. Announced international project: xAI + Humain (Saudi PIF-backed) 500 MW datacenter in Saudi Arabia, announced at the US-Saudi Investment Forum ~Nov 19, 2025 (per Musk on stage; early-stage, not built). Stated ambition: Musk (July 2025) targeted ~50 million H100-equivalents of AI compute within 5 years. NVIDIA-backed ~$20B SPV (equity+debt, NVIDIA up to ~$2B, Bloomberg Oct 2025) finances GPUs leased to Colossus 2 - a financing structure, not capacity disclosure.</t>
  </si>
  <si>
    <t xml:space="preserve">None disclosed. xAI sells Grok subscriptions/API plus X advertising post-merger; no RPO/backlog metric exists publicly.</t>
  </si>
  <si>
    <t xml:space="preserve">CRITICAL: zero live verification was possible this session (WebSearch quota exhausted; egress proxy blocked x.ai, x.com, all news domains, sec.gov). Everything is pre-cutoff (~Jan 2026) training knowledge; verbatim quotes deliberately omitted because wording cannot be guaranteed without fetching. gpu_count 230,000 is Musk's July 2025 Colossus 1 statement and is certainly stale - Colossus 2 was ramping toward 1 GW+ with 550K+ next-gen GPUs from late 2025, so total deployed GPUs by Aug 2026 are likely far higher. xAI has never published a clean contracted/built MW split; most MW figures in circulation (150 MW MLGW grid approval, ~1.1 GW Colossus 2 turbines, ~2.2 GW site ambitions) are utility filings/press, gross utility power, not company IT-load disclosures. Valuation 230000 is press-reported round-in-progress as of my cutoff, NOT a confirmed closed round; later 2026 rounds at higher marks may exist. Financial fields are null because xAI (private) discloses nothing; X Corp's legacy ~$12B+ LBO debt sits in the merged entity (net debt not computable). Re-verify everything before use.</t>
  </si>
  <si>
    <t xml:space="preserve">SpaceX (Space Exploration Technologies)</t>
  </si>
  <si>
    <t xml:space="preserve">Not applicable: as of my latest knowledge (Jan 2026), SpaceX has NO operating datacenter, neocloud, or AI-compute business - zero built MW, zero contracted customer MW, no GPU cloud product. What exists is aspirational orbital-compute positioning: Musk statements (Oct-Nov 2025, on X and at investor/conference appearances) that scaling Starlink V3 satellites (high-bandwidth laser inter-satellite links, launched on Starship) into solar-powered orbital datacenters is the long-term path, that 'SpaceX will be doing this', and loose ambitions of eventually deploying on the order of 100 GW/year of solar AI-compute satellites (and, further out, terawatt-scale) - no timelines, contracts, customers, or MW commitments. Google (Project Suncatcher) and startups pursue similar concepts. Starlink V3 satellite launches had not yet begun deploying any compute-node capability as of my cutoff. SpaceX's AI exposure is financial: a press-reported ~$2B investment into xAI (WSJ, July 2025), plus Starlink connectivity services sold to datacenter/enterprise customers (connectivity, not compute).</t>
  </si>
  <si>
    <t xml:space="preserve">No public RPO/backlog; SpaceX's launch/Starlink contract backlog is not disclosed and is not AI-compute backlog. No AI-compute backlog exists.</t>
  </si>
  <si>
    <t xml:space="preserve">PLAIN ANSWER, HIGH CONFIDENCE: as of the latest information I can stand behind (Jan 2026), SpaceX has no real neocloud/datacenter/AI-compute business - only Musk's stated ambition to build orbital AI datacenters from Starlink V3 satellites, with no operating capacity, no customers, no contracted MW, and no disclosed program economics. It does not belong in a MW-capacity comp table except as a zero with an option on orbital compute. Even allowing for 7 months of unseen news (this session had zero web access: WebSearch quota exhausted, egress proxy blocked all domains), an OPERATING orbital compute business by Aug 2026 is physically implausible (Starship-launched V3 constellation still early), though new announcements/partnerships since Feb 2026 cannot be ruled out and should be checked. Valuation $400B is a press-reported secondary, not a primary round; the ~$800B Dec 2025 tender talk is unconfirmed. The $2B xAI investment is WSJ-reported, not officially confirmed by SpaceX. Verbatim quotes deliberately omitted throughout (cannot guarantee wording without fetch access).</t>
  </si>
  <si>
    <t xml:space="preserve">Alibaba Cloud (Cloud Intelligence Group, segment of Alibaba Group Holding)</t>
  </si>
  <si>
    <t xml:space="preserve">r2:china-cloud-retry</t>
  </si>
  <si>
    <t xml:space="preserve">Null is the correct answer: Alibaba does not disclose MW/GW data-center capacity or GPU counts in its earnings releases or 20-F. The only capacity-adjacent disclosures are capex commitments: the Feb 2025 plan to 'invest at least RMB 380 billion (US$53 billion) over the next three years' in cloud/AI infrastructure, management commentary at the May 13, 2026 FY26 results that the company was likely to overshoot that RMB380bn target, and a Datacenter Dynamics report that Alibaba is considering raising the 3-year AI data-center capex plan to ~RMB480bn (US$69.05bn). FY2026 (ended Mar-2026) actual capex was RMB126,063m (US$18,275m).</t>
  </si>
  <si>
    <t xml:space="preserve">No contracted revenue backlog / RPO is disclosed for Alibaba Cloud. Nearest forward indicator disclosed at FY26 results: company expects AI model and application services ARR to surpass RMB10bn (~US$1.4bn) in the June-2026 quarter and RMB30bn (~US$4.3bn) by year-end.</t>
  </si>
  <si>
    <t xml:space="preserve">Sign convention: negative net_debt = net cash. Net cash of ~US$37.1bn = company-disclosed unrestricted cash/ST investments/treasury investments of US$75,504m (Mar 31, 2026) minus total debt of US$38.389bn taken from a third-party aggregator (financecharts; consistent with 20-F borrowings schedule totaling RMB75,674m plus US$14-15bn senior notes plus convertibles/exchangeables) - treat as approximate. Segment 'adjusted EBITA' is not EBITDA (EBITDA would be substantially higher given depreciation of AI infrastructure); ntm_ebitda_usd_m is Q4-FY26 adjusted EBITA x4 at 7.1 RMB/USD. All quotes were obtained from search-engine renderings because the egress proxy blocked every direct fetch (sec.gov, alibabagroup.com, businesswire). The June-2026 quarter (fiscal Q1 FY2027) had NOT been reported as of Aug 17, 2026 (next earnings cited as Aug 20 or Aug 29, 2026), so the March-2026 quarter is correctly the latest. Revenue figure RMB41,626m is total segment (incl. inter-segment); external revenue growth was 40% vs 38% total.</t>
  </si>
  <si>
    <t xml:space="preserve">Baidu AI Cloud (segment of Baidu, Inc.)</t>
  </si>
  <si>
    <t xml:space="preserve">Null is the correct answer: Baidu does not disclose MW/GW data-center capacity, GPU counts, or numeric capex in its quarterly releases. Closest capacity-adjacent disclosures in Q1 2026: 'Revenue from GPU Cloud increased by 184% year over year in the first quarter of 2026' and management commentary that it will 'maintain strategic investment intensity while preserving financial discipline' and continue investing in foundation models and AI capabilities. No update to any MW figure exists; Baidu also develops in-house Kunlun AI chips (no deployment counts given in Q1 release renderings).</t>
  </si>
  <si>
    <t xml:space="preserve">No backlog/RPO disclosed for AI Cloud. No numeric segment margin either - only qualitative commentary (third-party coverage headline: 'AI Cloud Hits 79% Growth but Margins Stay Under Pressure'), hence ntm_ebitda_usd_m = null per instructions.</t>
  </si>
  <si>
    <t xml:space="preserve">Q2 2026 results were due pre-market Aug 18, 2026 - ONE DAY after the as-of date of this extraction - so Q1 2026 (reported May 18, 2026) is the latest available; re-run tomorrow for Q2. net_debt_usd_m is null because Baidu's total debt as of Mar 31, 2026 could not be verified from search renderings (sec.gov blocked); however Baidu is unambiguously in a large net cash position: total cash and investments (broad company definition incl. restricted cash, LT time deposits/HTM and adjusted LT investments) were RMB279.3bn (US$40.49bn) vs. debt historically in the ~RMB80-110bn range (2025 issuances alone: ~RMB20.8bn net proceeds of long-term notes). AI Cloud YoY growth on the new segmentation: +79% applies to AI Cloud Infra only; total AI Cloud (RMB11.3bn) growth ~+50% is my inference from disclosed components, not a company-stated number. No segment EBITDA/operating-profit figure disclosed. All quotes are from search-engine renderings, not direct document fetches.</t>
  </si>
  <si>
    <t xml:space="preserve">Tencent Cloud (within FinTech and Business Services segment of Tencent Holdings)</t>
  </si>
  <si>
    <t xml:space="preserve">TCEHY / 0700.HK</t>
  </si>
  <si>
    <t xml:space="preserve">Null is the correct answer: Tencent discloses no MW/GW data-center capacity or GPU counts. Only qualitative capacity remarks exist in the Q2 2026 (Aug 12, 2026) materials: management said that 'towards the end of the year and into next year, the company will have sufficient GPU ASIC capacity to step up in terms of Tencent Cloud, renting out bare metal GPU or providing Model-as-a-Service', and noted compute rented out via Tencent Cloud earns cost recovery or better ('a 30% profit on recent compute orders'). The capex line is the capacity proxy: 2Q26 operating capex RMB51.8bn, +190% YoY (total quarterly capex ~RMB52.8bn; capex cash payments RMB59.3bn), driven by AI/GPU infrastructure.</t>
  </si>
  <si>
    <t xml:space="preserve">No cloud backlog/RPO disclosed. No cloud-level profitability disclosed either; group color only (non-IFRS net profit +9% YoY to RMB68.4bn; losses from new AI products widened to RMB10.5bn; 'core profit ex-AI up 19%'), hence null.</t>
  </si>
  <si>
    <t xml:space="preserve">Sign convention: negative net_debt = net cash. Net cash RMB58.2bn at Jun 30, 2026 converted at 7.1 RMB/USD = ~US$8.2bn; this is Tencent's own 'net cash position' metric (down from RMB146.9bn at Mar 31, 2026 on capex and dividends) and EXCLUDES the RMB487.2bn listed investee portfolio. Cloud revenue, cloud margin and any MW capacity are simply not disclosed - nulls are the correct answer, with qualitative growth ('low 20s%' YoY, international cloud +40%) documented in revenue_basis. Capex figures vary by definition across renderings: operating capex RMB51.8bn (+190% YoY) vs total quarterly capex ~RMB52.8bn vs capex cash payments RMB59.3bn (the +176% figure in one headline refers to a different capex definition). All quotes from search-engine renderings of the Aug 12, 2026 press release/call; direct fetches (prnewswire, tencent.com, sec.gov) were blocked by the egress proxy.</t>
  </si>
  <si>
    <t xml:space="preserve">OpenAI (OpenAI Group PBC, controlled by OpenAI Foundation) — incl. Stargate program</t>
  </si>
  <si>
    <t xml:space="preserve">PRIVATE (confidential IPO prospectus filed with SEC June 2026, per press reports)</t>
  </si>
  <si>
    <t xml:space="preserve">r2:openai-live</t>
  </si>
  <si>
    <t xml:space="preserve">built_active_mw = 1.9 GW: OpenAI's own disclosure that its operational computing capacity 'rose from 0.6 gigawatts to 1.9 gigawatts' during 2025 (company statement reported 2026-01-19 by SiliconANGLE and others); this is total OpenAI operational compute across partners (Abilene/Oracle, Microsoft, CoreWeave), not just Stargate-owned sites, and is a start-of-2026 figure — mid-2026 operational capacity is likely higher but no newer verified total was found. contracted_or_secured_power_mw = 30 GW: Altman's stated total committed compute — 'OpenAI has committed to about 30 gigawatts of compute with a total cost of ownership of about $1.4 trillion' (2025-11-06); this spans all vendor deals (NVIDIA 10 GW, AMD 6 GW, Broadcom 10 GW, Oracle/Stargate ~4.5+ GW, AWS, CoreWeave; categories overlap so they do not sum cleanly) and remains the best-supported committed total as of Aug 2026. Separately, OpenAI announced in Jan 2026 it had 'secured' &gt;10 GW under the Stargate US program specifically, hitting its 10 GW-by-2029 target ~3 years early, 'with more than 3GW added in the last 90 days alone.' total_pipeline_mw = 250 GW: aspirational — Altman internal memo (Sept 2025, leaked/reported Nov 2025): 'audacious long-term goal is to build 250 gigawatts of capacity by 2033'; consistent with his stated ambition of 'a factory that can produce a gigawatt of new AI infrastructure every week.' contracted_unbuilt left null rather than derived (30 GW committed minus 1.9 GW active would mix definitions/dates). gpu_count: no verified current figure found.</t>
  </si>
  <si>
    <t xml:space="preserve">Not applicable in the normal sense — OpenAI is the BUYER: ~$1.4 trillion of compute purchase obligations over ~8 years ('looking at commitments of about $1.4 trillion over the next 8 years' — Altman, Nov 2025). Press-tabulated vendor breakdown (partly estimates): Broadcom (~$350B est., not officially disclosed), Oracle (~$300B/5yrs from 2027, ~4.5 GW), Microsoft Azure ($250B incremental, official), NVIDIA (up to $100B invested progressively per GW), AMD (~$90B est.), AWS ($38B official), CoreWeave (~$22.4B). Later 2026 reports on near-term cadence conflict: Reuters source said compute spend 'around $600 billion through 2030'; a subsequent WSJ-attributed report said planned compute spending was lifted to '$750 billion through 2030.'</t>
  </si>
  <si>
    <t xml:space="preserve">Private company: every financial figure is a press-reported transaction or company statement, not an audited filing. Direct fetches of openai.com, epoch.ai, seekingalpha.com, finance.yahoo.com and datacenterdynamics.com were blocked by the egress proxy, so ALL quotes above are search-engine renderings of those pages, cross-checked across multiple independent queries (per fallback rule b). Capacity caveats: the 30 GW committed figure dates to Nov 2025 (Altman) and is the latest verified committed total — deals signed since (e.g., the March 2026 $122B round with Amazon/NVIDIA investments) may imply a higher true figure; the 1.9 GW operational figure is as of end-2025/Jan-2026 and is stale by ~7 months; one search rendering claimed Abilene alone is live with 1.2 GW of OCI capacity (not independently confirmed). The vendor $ breakdown (Broadcom ~$350B, AMD ~$90B) is press estimation — neither company disclosed dollar terms. One rendering dated the Broadcom deal to 'May' — the announcement was 2025-10-13; treat rendered dates cautiously. Conflicting revenue reports exist ($25B ARR plateau claims from low-quality aggregators vs Bloomberg's &gt;$40B run-rate of 2026-08-13; Bloomberg used as authoritative). The $1.75T–$2T IPO valuation is a reported target, not a transaction. The 250 GW/2033 figure is from a leaked internal memo, aspirational. WSJ (reported 2026-04-28) flagged missed internal sales targets and an Altman–Friar rift over affordability of the $1.4T commitments — affordability risk is real and press-documented.</t>
  </si>
  <si>
    <t xml:space="preserve">private (no ticker)</t>
  </si>
  <si>
    <t xml:space="preserve">r2:private-ai-live</t>
  </si>
  <si>
    <t xml:space="preserve">built_active_mw = reported ~2.2 GW power draw of AWS Project Rainier's flagship New Carlisle, IN campus (dedicated to Anthropic; opened Oct 2025, ~500K Trainium2 chips, scaling toward 1M+; a second Rainier campus in Canton, MS has 350+ MW ramping toward 1 GW and is NOT included). contracted_or_secured_power_mw = best-effort sum of announced maximum contracted/committed capacity: AWS 'up to 5 GW' (Apr 20, 2026 expanded partnership) + Google TPU ~1 GW in 2026 (Oct 2025 deal, ~1M TPUs) + Google/Broadcom ~3.5 GW from 2027 (Apr 6, 2026) + Microsoft/NVIDIA Azure 'up to 1 GW' (Nov 18, 2025) + TeraWulf 401 MW (Jul 6, 2026) = ~10.9 GW. EXCLUDES the unquantified CoreWeave multi-year deal (Apr 10, 2026, no MW/$ disclosed) and the $50B Anthropic/Fluidstack own-build in TX/NY (Nov 12, 2025, 'gigawatts of power' planned, sites coming online through 2026, no precise GW disclosed) — so this is simultaneously an upper bound on named 'up to' deals and an undercount of total pipeline. contracted_unbuilt_mw = minimum clearly not-yet-in-service: TeraWulf 401 MW (service H2 2027, full early 2028) + Broadcom/Google 3.5 GW (from 2027); portions of the AWS 5 GW are also unbuilt but not separable. gpu_count = Trainium2 chips at Project Rainier as of Oct 2025 opening ('nearly 500,000', plans for 1M+); separately ~1M Google TPUs secured for 2026 are not added to this figure.</t>
  </si>
  <si>
    <t xml:space="preserve">Not disclosed (private company). Note direction of obligations: Anthropic is the PAYER on huge compute purchase commitments — $100B AWS spend over a decade (Apr 2026), $30B Azure purchase (Nov 2025), ~$19B over 20 years to TeraWulf — these are cost commitments, not revenue backlog. No EBITDA or net-debt disclosure exists; the company is presumed heavily cash-consuming but holds very large recent equity proceeds ($30B Series G + $65B Series H in 2026).</t>
  </si>
  <si>
    <t xml:space="preserve">All quotes captured from search-engine renderings of the cited pages: the sandbox egress proxy blocked ALL direct fetches, including anthropic.com, SEC EDGAR (efts.sec.gov/www.sec.gov), PRNewswire, and IR sites. Key figures are corroborated across 2+ independent outlets plus company-release titles/X posts. The 10.9 GW sum mixes 'up to' ceilings (AWS 5 GW, Azure 1 GW) with firm leases (TeraWulf 401 MW) and excludes unquantified CoreWeave and the $50B Fluidstack own-build, so true secured power is somewhere below the ceiling sum but the total pipeline is larger. Amazon's exact Q2 2026 call language ('multi-gigawatt commitments to Trainium') comes from a secondary rendering of the call, not a verified transcript; the 'up to 5 GW' figure itself is from Anthropic's own Apr 20, 2026 release title. Timing corrections vs. the prior agent's brief: TeraWulf lease announced Jul 6, 2026 (reiterated with Q2 results Aug 5, 2026); CoreWeave deal Apr 10, 2026 (not Aug 2026); the '~$350B round' closed larger as the $380B Series G (Feb 12, 2026) and was superseded by the $965B Series H (May 28, 2026).</t>
  </si>
  <si>
    <t xml:space="preserve">xAI (subsidiary of SpaceX since Feb 2, 2026; previously xAI Holdings incl. X Corp)</t>
  </si>
  <si>
    <t xml:space="preserve">(within SPCX)</t>
  </si>
  <si>
    <t xml:space="preserve">contracted_or_secured_power_mw = Memphis Colossus complex ~2 GW announced total capacity (after Jan 2026 purchase of a third building; Colossus 2 was reported by SemiAnalysis in Oct 2025 as the world's first gigawatt-scale AI datacenter) + Saudi/Humain Riyadh-area facility of 'more than 500 MW' (announced late 2025/early 2026; first phase ~18,000 NVIDIA GB300s; first operational phase scheduled end-2026, balance mid-2027 — NOT operational as of Jul 31, 2026 per available reporting, hence contracted_unbuilt_mw = 500). built_active_mw = null because precise in-service MW at Memphis is not disclosed — the 2 GW figure is announced capacity with a portion still being fitted out (Solaris expects &gt;1.1 GW of turbines fully operating for xAI by Q2 2027). gpu_count = ~555,000 NVIDIA GPUs (H100/H200/GB200 mix) at the Memphis complex as of Jan-Feb 2026 reporting, purchased for ~$18B; Musk has indicated plans for 1M+ GPUs and has previously talked up '50M H100-equivalents by 2030'-type ambitions (aspiration, not verified this session, not included in any field).</t>
  </si>
  <si>
    <t xml:space="preserve">No disclosed revenue backlog. xAI raised roughly $20B in combined equity+debt during 2025 plus the $20B Jan 2026 Series E; standalone net debt is no longer meaningful post-consolidation into SpaceX and was not separately disclosed. Widely reported ~$1B/month cash burn figures (2025) are press estimates.</t>
  </si>
  <si>
    <t xml:space="preserve">All quotes are from search-engine renderings (egress proxy blocked all direct fetches). The corporate structure changed materially in 2026: xAI (which had absorbed X Corp in Mar 2025) was acquired by SpaceX in an all-stock deal announced Feb 2, 2026, and the combined company IPO'd Jun 12, 2026 — so xAI no longer has a standalone valuation; $250B is the final private acquisition mark. Memphis capacity figures (2 GW, 555K GPUs, $18B) come from second-tier trackers (Introl/Grokipedia-class) that are mutually consistent but not confirmed by a top-tier outlet in my searches; SemiAnalysis (credible) supports Colossus 2 as the first ~GW-scale DC in late 2025. The split between active vs. fitted-out MW at Memphis is genuinely unclear — power generation (turbines) lags announced capacity into 2027. Revenue figures are the weakest data here: estimates span ~$0.5B ARR to ~$3.3B annualized; the $2B FY2026 Grok target is a reported investor communication, not audited. The '50M H100-equivalents by 2030' Musk claim was not re-verified in this session and is excluded from all fields.</t>
  </si>
  <si>
    <t xml:space="preserve">SpaceX (Space Exploration Technologies Corp., incl. xAI)</t>
  </si>
  <si>
    <t xml:space="preserve">YES — SpaceX has an AI-compute business as of Aug 2026, on two fronts, but MW fields are left null here to avoid double counting: (1) Terrestrial: via the Feb 2, 2026 acquisition of xAI, SpaceX consolidates the Memphis Colossus complex (~2 GW announced) and the Saudi/Humain 500+ MW project — those MW are reported in the xAI entry above. (2) Orbital: SpaceX has filed with the FCC to deploy up to one million satellites for orbital AI compute, with pilot testing of on-orbit compute nodes on Starlink V3 hardware planned for 2026; Musk's claim that launching 'one million tonnes per year of satellites generating 100kW of compute power per tonne would add 100 gigawatts of AI compute capacity annually' is an aspiration with no built capacity — zero orbital compute MW is in service as of Aug 2026. Precursor: SpaceX made a reported $2B investment in xAI in mid-2025 (part of a $5B equity raise), superseded by the full acquisition.</t>
  </si>
  <si>
    <t xml:space="preserve">Not compiled — SpaceX's launch/Starlink backlog figures were out of scope of this AI-compute-focused pass and require the IPO prospectus (blocked EDGAR).</t>
  </si>
  <si>
    <t xml:space="preserve">The prior agent's framing ('does SpaceX have an AI-compute business? ~$400B Dec 2025 valuation') is badly stale: SpaceX ACQUIRED xAI on Feb 2, 2026 (all-stock, combined $1.25T) and went PUBLIC on Nasdaq (SPCX) on Jun 12, 2026 — it is now a ~$1.84T public company whose AI-compute business is xAI (terrestrial, see xAI entry) plus a pre-revenue orbital-compute program (FCC filing for up to 1M satellites; Starlink V3 compute pilots planned 2026; zero orbital MW in service). Capacity fields are null here purely to avoid double counting xAI's MW, not because no business exists. All quotes come from search-engine renderings — the egress proxy blocked every direct fetch including EDGAR, so the IPO prospectus figures (revenue, backlog, share count behind the market cap) could not be pulled; the $1.844T market cap is from an aggregator rendering dated Aug 17, 2026 and CNBC quote page listings. The Bloomberg merger headline and CNBC IPO coverage independently corroborate the two structural events, which I rate high-confidence.</t>
  </si>
  <si>
    <t xml:space="preserve">r2:nbis-detail</t>
  </si>
  <si>
    <t xml:space="preserve">Nebius reports two power metrics. 'Contracted power' = capacity secured through land/power commitments, not necessarily built or energized; latest disclosed ACTUAL remains 3,500 MW (3.5 GW) at end Q1 2026 (round-1 figure; no updated Q2 actual surfaced — the Q2 letter of Aug 12, 2026 raised the YEAR-END 2026 target to 5 GW, up from 4 GW guided in May and 3 GW guided in February). 'Connected power' = power connected to fully built data centers; the mid-2026 actual was NOT retrievable (all direct document fetches blocked by egress proxy; search renderings only show guidance). Latest reaffirmed guidance: 800 MW-1 GW of connected power by end-2026 (vs ~220 MW targeted for end-2025 in the Q3 2025 letter), and management said connected power lags revenue by several months (commissioning, networking, GPU install). Beyond 2026: '&gt;1 GW of new capacity annually starting in 2027'; total_pipeline_mw = 5,000 MW is the YE2026 contracted-power target, not a hard pipeline cap.</t>
  </si>
  <si>
    <t xml:space="preserve">Contracted revenue backlog from committed customer contracts. Quote (July 2026 6-K, via search rendering): 'With more than $40 billion of additional contracted revenue from investment-grade customers such as Microsoft and Meta already in place, Nebius expects to raise more capital at similarly attractive terms.' Consistent with round-1's ~$40B committed backlog. Components include Microsoft (~$17.4B through 2031, expandable to ~$19.4B) and Meta (up to ~$27B: $12B dedicated capacity on NVIDIA Vera Rubin + up to $15B additional compute over five years, delivery starting early 2027). Q2 added four new core AI cloud contracts (Reflection, Cohere, a US Neolab, a US quant trading firm) averaging &gt;$1B each at $20-25M revenue per MW.</t>
  </si>
  <si>
    <t xml:space="preserve">1) ALL quotes are from search-engine renderings, not direct document fetches - the egress proxy blocked every direct fetch attempted (sec.gov, efts.sec.gov, nebius.com/assets.nebius.com, businesswire, Yahoo, investing.com, DCD, Motley Fool, marketscreener, stocktitan, theregister, mlq.ai, substacks). Figures were cross-checked across multiple independent renderings where possible. 2) CONNECTED power ACTUAL as of Jun 30, 2026 was NOT retrievable - only the reaffirmed YE2026 guidance of 800 MW-1 GW surfaced; built_active_mw left null rather than guessing (~220 MW was the end-2025 target per the Q3 2025 letter; the round-1 hypothesis of ~390 MW mid-2026 could not be confirmed). 3) Contracted power actual: 3,500 MW is the end-Q1 2026 actual carried from round 1; the Q2 letter raised the YE2026 TARGET to 5 GW (target evolution: 3 GW in Feb, 4 GW in May, 5 GW in Aug) but no updated Q2 actual surfaced. 4) Net debt $503.6M is COMPUTED (total debt $8,545.7M = $8,499.0M non-current + $46.7M current, minus cash $8,042.1M), not company-stated; it ignores ~$9B of expected 2026 customer prepayments (deferred revenue) and treasury shares. 5) ntm_ebitda_usd_m $1,280M is IMPLIED (40% margin x $3.2B midpoint FY26 revenue guidance = $1.2-1.36B range), not guided in absolute terms, and understates true NTM given the ramp. 6) ntm_revenue is the FY26 guidance midpoint, also conservative vs true NTM.</t>
  </si>
  <si>
    <t xml:space="preserve">r2:miner-balance-sheets</t>
  </si>
  <si>
    <t xml:space="preserve">Capacity fields intentionally null - covered in round-1. No corrections observed, but note Q2 disclosed $7.5B of non-recourse project financing raised for 2 construction-stage AI campuses (relevant to round-1 pipeline figures).</t>
  </si>
  <si>
    <t xml:space="preserve">BTC EXCLUDED from net debt: consolidated 17,316 BTC at Jun 30, 2026 (9,314 held by Hut 8, 8,002 by majority-owned American Bitcoin) ~= $1.01B at the Jun 30 BTC price of ~$58,527 (price per RIOT filing, cross-consistent with HUT's $8.1B liquidity arithmetic); ABTC's portion of liquidity was $497.2M, so minority interest dilutes HUT's economic claim on part of the BTC. NET DEBT DEFINITION: ~$7.6B total debt - $7.0B cash incl. ~$6.8B RESTRICTED cash = ~$566M; the restricted cash is escrowed proceeds of the $7.5B non-recourse project financing for two construction-stage AI campuses (will be spent on construction), so on unrestricted cash only, net debt is ~$7.37B. No general-recourse parent debt after the $150M Coatue convertible converted; ~$200M BTC-backed facility refinanced with FalconX (released ~3,300 BTC of collateral). Total debt '~$7.6B' is as rendered/approximate - exact balance-sheet carrying value not captured. Net loss Q2 2026: $177.1M. All figures from search renderings of the 10-Q/press release/call (direct EDGAR fetch blocked).</t>
  </si>
  <si>
    <t xml:space="preserve">Capacity fields intentionally null - covered in round-1. Note: on Jul 28, 2026 (post-quarter) a Galaxy subsidiary completed a $3.5B senior secured notes offering due 2031 to fund Helios Phase II construction.</t>
  </si>
  <si>
    <t xml:space="preserve">DIGITAL-ASSET BALANCE SHEET SCALE (excluded from net debt): digital assets $3,517.4M at Jun 30, 2026 (largest of the five; BTC-count breakout not captured from renderings - GLXY holds a trading/treasury mix, not a single BTC stack), plus $1.6B stablecoins. Net debt of $2,364M = notes payable $3.26B - cash $896M; treating stablecoins as cash-equivalents (market convention for GLXY) cuts net debt to ~$764M. Debt composition: $2.1B carrying of exchangeable senior notes (issued: $500M 3.00% due 2026, $402.5M 2.50% due 2029, $1.3B 0.50% due 2031 - carrying below $2.2B aggregate issuance) + borrowings under a ~$1.4B Helios data-center project credit facility. POST-QUARTER: $3.5B senior secured notes due 2031 (Helios Phase II) closed Jul 28, 2026 - not in Jun 30 figures; pro-forma gross debt ~$6.8B before construction spend. Revenue is gross/counterparty-inclusive ($8.56B) - not comparable to peers. H1 2026 digital-asset impairments $465.8M. Total assets $10.8B; equity $2.7B. All figures from search renderings (direct EDGAR fetch blocked).</t>
  </si>
  <si>
    <t xml:space="preserve">Capacity fields intentionally null - covered in round-1. Note: Q2 coverage referenced an AMD deal expanding the AI colocation/leasing pipeline (check against round-1 backlog).</t>
  </si>
  <si>
    <t xml:space="preserve">BTC EXCLUDED from net debt: bitcoin holdings valued at $49.7M at Jun 30, 2026 (count not disclosed in captured renderings; ~850 BTC implied at the Jun 30 price of ~$58,527) - immaterial vs debt. Net debt $2,528M uses unrestricted cash &amp; equivalents $1.77B; total cash+restricted was $2.55B (restricted ~$0.78B, likely tied to the new notes/interest reserves), giving ~$1,748M including restricted. Debt is carrying value of long-term debt $4,298.0M: $3.30B 7.75% senior secured notes due 2031 (new in period) plus pre-existing convertible notes (~$1.0B aggregate; per-series split not captured). Total liabilities $7,676.8M include large non-debt items (deferred revenue, leases). H1 2026 net loss ~$1.2B per coverage, largely non-cash (mark-to-market on converts/warrants). All figures from search renderings (direct EDGAR fetch blocked).</t>
  </si>
  <si>
    <t xml:space="preserve">Capacity fields intentionally null - covered in round-1. Note: with Q2 results (Aug 10, 2026) Riot announced Corsicana AI data center lease intent, a $28M impairment repurposing Rockdale for data centers, and a $573M Morgan Stanley interim financing facility for initial development costs (check vs round-1).</t>
  </si>
  <si>
    <t xml:space="preserve">BTC EXCLUDED from net debt: 11,380 BTC at Jun 30, 2026, ~$666M at $58,527/BTC (5,821 BTC pledged against the fully drawn $200M Coinbase facility); netting BTC would put Riot in a net cash position (~-$343M). Total debt is MY SUM of the two disclosed instruments (no single 'total debt' line captured): $594.4M principal 0.75% converts due 2030 (carrying ~$583M net of issuance costs; fair value ~$1.2B - deep in the money and convertible in Q3 2026, so potential equity conversion rather than cash debt) + $200M drawn Coinbase BTC-backed facility; small other financings possible. The $573M Morgan Stanley interim development facility appears to be announced with Q2 results (not confirmed drawn at Jun 30 - excluded). Net debt uses unrestricted cash $471.4M; incl. restricted $77.5M it is ~$245M. All figures from search renderings (direct EDGAR fetch blocked).</t>
  </si>
  <si>
    <t xml:space="preserve">Capacity fields intentionally null - covered in round-1. Note: $1.5B Long Ridge acquisition still PENDING at the Q2 filing (expected ~$144M annualized EBITDA, ~70% output under long-term contracts) - relevant to round-1 pipeline treatment.</t>
  </si>
  <si>
    <t xml:space="preserve">BTC EXCLUDED from net debt: 35,577 BTC at Jun 30, 2026 (down from ~50k; sold 23,093 BTC for ~$1.6B in H1 2026), total BTC fair value $2.08B including bitcoin receivables (4,742 BTC loaned out, 4,528 BTC pledged as collateral; 26,307 unrestricted BTC ~$1.5B); total digital assets $2.09B (vs $4.71B at Dec 31, 2025). Netting all BTC would give near-zero net debt (~-$50M). Debt is principal: $2,447.2M (converts: $48.1M Dec-2026, $300.0M Sep-2031, $632.5M Mar-2030, $291.6M Jun-2031, $1,025.0M Aug-2032; plus $150M BTC-collateralized line of credit) - down from $3.6B at YE2025 after ~$1.0B repurchase of 0.00% converts. LONG RIDGE: $1.5B acquisition NOT closed at Jun 30 - upon close MARA expects to assume ~$900M of Long Ridge debt (not in these figures). POST-QUARTER: $600M incremental BTC-backed facilities (Coinbase, Two Prime; 18,750 BTC pledged; 7.56% WACD) - also not in Jun 30 debt. Net debt uses cash $421.3M; cash+restricted $433.3M. All figures from search renderings (direct EDGAR fetch blocked).</t>
  </si>
  <si>
    <t xml:space="preserve">Equinix, Inc.</t>
  </si>
  <si>
    <t xml:space="preserve">NASDAQ: EQIX</t>
  </si>
  <si>
    <t xml:space="preserve">r3:eqix</t>
  </si>
  <si>
    <t xml:space="preserve">Equinix reports retail capacity in cabinet equivalents, not MW; no company-wide operational MW figure is disclosed (built_active_mw = null). Operating footprint per Q2 2026 materials: 282 IBX data centers across 77 markets in 36 countries (the FY2025 10-K said 280 across 77 markets/36 countries), 10,500+ customers, 230 cloud on-ramps, 522,700 total interconnections (record +9,700 net adds in Q2). Cabinet utilization ~78% overall as of June 30, 2026; stabilized data centers ~82% utilized; 4,200 net billed cabinets added in Q2; MRR per cabinet $2,538 (+6% y/y normalized/constant-currency). total_pipeline_mw = 3,000 MW: on the Q2 2026 call management said Equinix controls ~3 GW of land/developable capacity with ~700 MW under active construction across 52 major projects in 33 markets (new projects announced in Chicago, Istanbul and Johor in Q2). contracted_or_secured_power_mw = 3,000 MW per management's call statement that for the 3 GW it 'either has contracted power or a high degree of confidence that power will be contracted' — i.e., a mix of contracted and high-confidence, not fully contracted. contracted_unbuilt_mw = 182 MW is the pre-leased portion of the 196 MW of xScale (hyperscale JV) capacity under development; in Q2 alone Equinix closed 134 MW of xScale leases in the Americas (including the Hampton, GA transaction that generated ~$120M of non-recurring fees). 2025 analyst day 'Build Bolder' plan (June 25, 2025): double data center capacity by 2029 — building as much in five years as in the prior 27 — on ~3 GW of developable capacity, originally with $4-5B/yr capex; at Q2 2026 the long-term outlook was raised to $5-7B capex annually through 2029 (2026 capex now $5-6B). AI commentary: CEO Adaire Fox-Martin — 'The AI infrastructure cycle is accelerating, especially inference'; majority of large deals were AI-driven; demand strength cited in inference and sovereign AI workloads; ~7,000 cabinets being accelerated from 2027 into Q4 2026.</t>
  </si>
  <si>
    <t xml:space="preserve">Remaining performance obligations (RPO) per the Q2 2026 Form 10-Q (eqix-20260630.htm): approximately $15.0B as of June 30, 2026 (figure via StockTitan/search renderings of the 10-Q; direct EDGAR fetch blocked by egress proxy). This is ASC 606 RPO — contracted future colocation/interconnection/services revenue not yet recognized — distinct from annualized bookings (Q2 annualized gross bookings $424M, +23%, second-highest ever).</t>
  </si>
  <si>
    <t xml:space="preserve">SOURCING: The sandbox egress proxy blocked ALL direct fetches (sec.gov, efts.sec.gov, newsroom.equinix.com, investor.equinix.com, prnewswire.com, stocktitan.net, cloudfront PDFs, transcript sites), so every figure was extracted from search-engine renderings of the primary documents (press release, 10-Q, call transcripts) and cross-checked across 2+ independent renderings where possible; quotes are verbatim as rendered by the search tool, not re-verified character-for-character against EDGAR. NET DEBT: $21,174M = total debt principal $22,153M minus cash &amp; equivalents $979M (strict task definition). Including short-term investments (cash+STI $2.2B), net debt is ~$20.0B, which reconciles with the company-stated net leverage of 3.6x annualized adjusted EBITDA (3.6 x $1.396B x 4 = ~$20.1B). Gross debt ~$22B carries a ~3.0% blended after-tax rate and 6.4-year weighted average maturity; finance lease liabilities are excluded from the $22,153M principal figure. Total debt is above the $17-20B range suggested in the task brief — Equinix has been issuing to fund the Build Bolder capex ramp. CAPACITY: built/active MW is genuinely not disclosed (cabinet-based reporting); the 3 GW is a land-bank/developable figure, only ~700 MW of it under active construction, and power is 'contracted or high-confidence' rather than fully contracted. xScale MW largely sits in unconsolidated JVs (~2 GW program at full buildout, &gt;$23B total investment; Equinix holds 20-25% equity stakes — 25% in the US GIC/CPPIB JV) and xScale revenue reaches Equinix mainly as fees/equity income, so JV MW is NOT on Equinix's balance sheet; the 134 MW Q2 leasing included ~$120M one-time Hampton fees that flattered Q2 revenue/AFFO growth (Americas +25% included $124M non-recurring JV services). MINOR DISCREPANCIES: data center count 282 (Q2 2026 rendering) vs 280 (FY2025 10-K); major projects 52 across 33 markets (Q2 call) vs 58 at the June 2025 analyst day; AFFO/share growth +20% (press release, as-reported) vs +18.9% (Zacks calc). RPO 'approximately $15.0B' came from a single-source rendering of the 10-Q (StockTitan) though repeated consistently across two separate searches. FY guidance figures are company guidance (calendar 2026), used as NTM proxies. One search result referenced a '$4B atNorth acquisition in Q1 2026' from a low-authority blog — unverified, excluded. Valuation/market cap deliberately left null (no reachable primary source).</t>
  </si>
  <si>
    <t xml:space="preserve">Digital Realty Trust, Inc.</t>
  </si>
  <si>
    <t xml:space="preserve">NYSE: DLR</t>
  </si>
  <si>
    <t xml:space="preserve">r3:dlr</t>
  </si>
  <si>
    <t xml:space="preserve">IT load MW (DLR's standard disclosure basis). built_active_mw = ~3.1 GW of in-service IT capacity across ~310 data centers ('approximately 3.1 gigawatts of IT capacity'), consolidated portfolio occupancy 89.8% at 6/30/26 (White Space IT Load basis, excludes capacity under active development/held for development; Americas 95.2%, EMEA 81.9%, APAC 85.9%; up from 89.3% at YE25; FY26 guidance for occupancy +75-125 bps). contracted_unbuilt_mw = 1.4 GW under construction at ~$20B total cost, 63% pre-leased (pro forma for hyperscale leases signed in July 2026) at an 11.5% average expected stabilized yield; pipeline doubled in 1H26 (Q2: delivered 76 MW ~60% pre-leased, started 312 MW). contracted_or_secured_power_mw = in-service 3.1 GW + 1.4 GW under active construction (powered/secured); excludes the Kansas City land buy (~$475M, up to 2 GW of utility power) closed in Q2. total_pipeline_mw = 3.1 GW in-service + ~8.5 GW of 'buildable IT capacity under active development and held for future development' (i.e., ~7.1 GW of land/shell held for future development beyond the 1.4 GW under construction). gpu_count: n/a - DLR is a landlord (wholesale/colo REIT), does not own GPUs.</t>
  </si>
  <si>
    <t xml:space="preserve">Record backlog of signed-but-not-yet-commenced leases = $1.9B of ANNUALIZED GAAP base rent at 100% share at 6/30/26 ($1.4B at DLR's pro-rata share, +75% YTD, ~30% of in-place data center rent). Commencement cadence per call: ~$635M of annualized rent scheduled to commence in 2H26 and ~$480M in 2027, remainder thereafter. This is an annualized-rent figure, NOT total contract value - hyperscale leases run long (e.g., the 288 MW NoVA assets carry 15-year leases with 3.6% escalators), so cumulative contracted revenue is a large multiple of $1.9B. The 10-Q lessor schedule of total future minimum lease payments receivable (the biggest contracted-$ figure) could not be retrieved because the egress proxy blocks sec.gov/EDGAR; DLR discloses the full multi-year schedule in filings (10-K/10-Q) but no search-indexed rendering of the 6/30/26 total was found, so it is deliberately not estimated here. Q2'26 bookings: $307M annualized GAAP base rent at 100% share / $208M at DLR share, comprising $87.8M 0-1MW (42%), record $20.5M interconnection (10%, +18% YoY), and $99.8M &gt;1MW (48%); 0-1MW + interconnection = record $108M, third straight quarterly record. Headline deal: 200 MW AI-inference hyperscale lease in Charlotte, the largest MW transaction in company history; renewals &gt;$261M signed at cash re-leasing spreads above 25% (0-1MW +5.2% cash MTM; &gt;1MW +66.7%).</t>
  </si>
  <si>
    <t xml:space="preserve">SOURCING: The sandbox egress proxy blocked ALL direct fetches (sec.gov, efts.sec.gov, data.sec.gov, investor.digitalrealty.com, globenewswire, stocktitan, investing.com, etc.), so every figure and 'verbatim' quote here comes from cross-checked search-engine renderings of the primary documents (press release/8-K, supplemental, 10-Q, call transcript) rather than the documents themselves; quotes are as rendered by search results and should be re-verified against EDGAR before publication. Figures were accepted only when consistent across 2+ independent renderings. One outlier rejected: an InfotechLead rendering claimed Q2 revenue of '$1.54B, +16% YoY' - contradicted by multiple sources showing ~$1.9B total revenue (+29% YoY) and by the $978M Adjusted EBITDA margin. CAPACITY: exact in-service MW from the supplemental's MW table (to the single MW) was not retrievable; '~3.1 GW in service / ~8.5 GW buildable' is the company's own summary disclosure. contracted_or_secured_power_mw (4,500) is my construction (in-service + under-construction), not a company-defined metric. BACKLOG: $1.9B/$1.4B is ANNUALIZED GAAP rent, not total contract value; the 10-Q total future minimum lease payments receivable (would be the largest contracted-$ figure, tens of billions given 15-yr hyperscale terms) could not be extracted - left null rather than estimated. NET DEBT: $16.74B is consolidated (total debt $18.6B - cash $1.86B) and excludes DLR's pro-rata share of unconsolidated JV debt; company's own 4.7x net-debt/adjusted-EBITDA is calculated on a pro-rata basis and implies ~$18B+ pro-rata net debt. Share-of-JV-debt was not separately disclosed in retrievable text. Market cap is a point-in-time secondary-source figure.</t>
  </si>
  <si>
    <t xml:space="preserve">Research agent</t>
  </si>
  <si>
    <t xml:space="preserve">Source type</t>
  </si>
  <si>
    <t xml:space="preserve">Date</t>
  </si>
  <si>
    <t xml:space="preserve">Title</t>
  </si>
  <si>
    <t xml:space="preserve">URL</t>
  </si>
  <si>
    <t xml:space="preserve">Verbatim quote</t>
  </si>
  <si>
    <t xml:space="preserve">8-K</t>
  </si>
  <si>
    <t xml:space="preserve">2026-08-11</t>
  </si>
  <si>
    <t xml:space="preserve">CoreWeave Reports Strong Second Quarter 2026 Results (8-K exhibit, Q2 2026 earnings press release)</t>
  </si>
  <si>
    <t xml:space="preserve">https://www.sec.gov/Archives/edgar/data/1769628/000176962826000362/coreweave2q26earningspress.htm</t>
  </si>
  <si>
    <t xml:space="preserve">The company expanded active power by nearly 500 MWs to reach 1.5 GW and grew total contracted power to approximately 3.7 GW. Revenue backlog was approximately $104 billion as of June 30, 2026.</t>
  </si>
  <si>
    <t xml:space="preserve">company-press-release</t>
  </si>
  <si>
    <t xml:space="preserve">CoreWeave Reports Strong Second Quarter 2026 Results (IR press release)</t>
  </si>
  <si>
    <t xml:space="preserve">https://investors.coreweave.com/news/news-details/2026/CoreWeave-Reports-Strong-Second-Quarter-2026-Results/default.aspx</t>
  </si>
  <si>
    <t xml:space="preserve">Revenue backlog was approximately $104 billion as of June 30, 2026. Additionally, more than $25 billion of net new customer commitments were added in early Q3. CoreWeave defines revenue backlog as remaining performance obligations plus estimated future revenue under committed customer contracts that is subject to the company's ability to deliver capacity and services.</t>
  </si>
  <si>
    <t xml:space="preserve">10-Q</t>
  </si>
  <si>
    <t xml:space="preserve">2026-08-12</t>
  </si>
  <si>
    <t xml:space="preserve">CoreWeave, Inc. Form 10-Q for the quarter ended June 30, 2026</t>
  </si>
  <si>
    <t xml:space="preserve">https://www.sec.gov/Archives/edgar/data/0001769628/000176962826000366/crwv-20260630.htm</t>
  </si>
  <si>
    <t xml:space="preserve">As of June 30, 2026, cash and cash equivalents totaled $5,524 million... CoreWeave reported principal debt totaling $35,551 million as of June 30, 2026, split between recourse and non-recourse facilities and multiple senior and convertible notes... Total liquidity stood at $15,553 million, comprised of cash and cash equivalents of $5,524 million, marketable securities of $15 million, and availability under existing facilities of $10,014 million.</t>
  </si>
  <si>
    <t xml:space="preserve">earnings-call</t>
  </si>
  <si>
    <t xml:space="preserve">CoreWeave Q2 2026 Earnings Call corrected transcript (Aug 11, 2026)</t>
  </si>
  <si>
    <t xml:space="preserve">https://s205.q4cdn.com/133937190/files/doc_financials/2026/q2/CRWV-US-CORRECTED-TRANSCRIPT-CoreWeave-Q2-2026-Earnings-Call-11August2026.pdf</t>
  </si>
  <si>
    <t xml:space="preserve">CoreWeave's contracted power grew to 3.7 gigawatts in Q2, and 4.2 gigawatts as of the most recent update... CoreWeave has access to more than 1.5 GW through powered land, expansion options and executed LOIs, giving it visibility to nearly 6 GW of potential capacity as it works toward at least 8 GW of active power by 2030.</t>
  </si>
  <si>
    <t xml:space="preserve">news</t>
  </si>
  <si>
    <t xml:space="preserve">CoreWeave expects $12.4B-$13.2B of 2026 revenue while raising year-end active power target to more than 1.85 GW</t>
  </si>
  <si>
    <t xml:space="preserve">https://seekingalpha.com/news/4631186-coreweave-expects-12_4b-13_2b-of-2026-revenue-while-raising-year-end-active-power-target-to</t>
  </si>
  <si>
    <t xml:space="preserve">CoreWeave expects $12.4B-$13.2B of 2026 revenue while raising year-end active power target to more than 1.85 GW... The company also lifted its full-year adjusted operating income outlook to $960 million to $1.15 billion and increased its exit ARR target to $18.5 billion to $19.5 billion.</t>
  </si>
  <si>
    <t xml:space="preserve">CoreWeave stock pops 14% as revenue doubles on accelerating AI infrastructure demand (CNBC, Q2 2026)</t>
  </si>
  <si>
    <t xml:space="preserve">https://www.cnbc.com/2026/08/11/coreweave-crwv-q2-earnings-report-2026.html</t>
  </si>
  <si>
    <t xml:space="preserve">CoreWeave's adjusted EBITDA reached $1.5 billion in Q2 2026, up from $753 million a year earlier, with a 59% margin... the company posted a net loss of $626 million, wider than the $290 million loss a year earlier... Adjusted operating income for Q2 reached $128 million... on a 5% adjusted operating income margin.</t>
  </si>
  <si>
    <t xml:space="preserve">CoreWeave stock soars after posting triple-digit revenue growth (backlog drivers: Meta, Anthropic, Jane Street)</t>
  </si>
  <si>
    <t xml:space="preserve">https://finance.yahoo.com/markets/stocks/articles/coreweave-stock-soars-posting-triple-145452551.html</t>
  </si>
  <si>
    <t xml:space="preserve">Meta said it would spend an additional $21 billion with CoreWeave, which also announced a multi-year agreement with Anthropic and a $6 billion commitment from quantitative trading firm Jane Street.</t>
  </si>
  <si>
    <t xml:space="preserve">CoreWeave Q2 2026: capex guidance and backlog detail</t>
  </si>
  <si>
    <t xml:space="preserve">https://www.techtimes.com/articles/324054/20260812/coreweave-q2-2026-129b-backlog-grew-296b-six-weeks-despite-50-default-odds.htm</t>
  </si>
  <si>
    <t xml:space="preserve">CoreWeave management raised its full-year 2026 capital expenditure guidance to $35 billion to $39 billion - up from prior guidance of $31 billion to $35 billion... Capital Expenditures were $9.4 billion in Q2, slightly above the high end of guidance... revenue reached $2.575 billion, up 112% year over year.</t>
  </si>
  <si>
    <t xml:space="preserve">2025-10-30</t>
  </si>
  <si>
    <t xml:space="preserve">Core Scientific Announces Termination of Merger Agreement with CoreWeave</t>
  </si>
  <si>
    <t xml:space="preserve">https://investors.corescientific.com/news-events/press-releases/detail/124/core-scientific-announces-termination-of-merger-agreement-with-coreweave</t>
  </si>
  <si>
    <t xml:space="preserve">Core Scientific terminated the merger agreement with CoreWeave effective immediately on October 30, 2025, and will remain a publicly traded company with common stock continuing to trade on Nasdaq under the ticker symbol CORZ.</t>
  </si>
  <si>
    <t xml:space="preserve">Core Scientific shareholders reject $9 billion CoreWeave offer, deal terminated (CNBC)</t>
  </si>
  <si>
    <t xml:space="preserve">https://www.cnbc.com/2025/10/30/core-scientific-shareholders-reject-9-billion-coreweave-offer-deal-terminated.html</t>
  </si>
  <si>
    <t xml:space="preserve">Core Scientific ended a deal for its sale to CoreWeave after shareholders voted against the proposal... CoreWeave had struck an all-stock deal worth $9 billion to buy Core Scientific in July [2025].</t>
  </si>
  <si>
    <t xml:space="preserve">CoreWeave Pushes AI Infrastructure Toward Multi-Gigawatt Scale (Converge Digest, Q2 2026 presentation detail)</t>
  </si>
  <si>
    <t xml:space="preserve">https://convergedigest.com/coreweave-ai-infrastructure-multi-gigawatt-q2-2026/</t>
  </si>
  <si>
    <t xml:space="preserve">The company's Q2 presentation shows a footprint of 51 active data centers... CoreWeave ended Q2 with more than 1.5 GW of active power and increased contracted power to approximately 4.2 GW by August 11.</t>
  </si>
  <si>
    <t xml:space="preserve">CoreWeave revenue doubles as debt pile reaches $35.6B (The Register)</t>
  </si>
  <si>
    <t xml:space="preserve">https://www.theregister.com/off-prem/2026/08/12/coreweave-revenue-doubles-as-debt-pile-reaches-356b/5286832</t>
  </si>
  <si>
    <t xml:space="preserve">CoreWeave revenue doubles as debt pile reaches $35.6B</t>
  </si>
  <si>
    <t xml:space="preserve">6-K</t>
  </si>
  <si>
    <t xml:space="preserve">Nebius reports second quarter 2026 financial results (press release, Form 6-K exhibit, Aug 12, 2026; also at nebius.com/newsroom and Business Wire)</t>
  </si>
  <si>
    <t xml:space="preserve">https://www.sec.gov/Archives/edgar/data/0001513845/000110465926094844/nbis-20260812xex99d1.htm</t>
  </si>
  <si>
    <t xml:space="preserve">Q2 group revenue of $582.3 million was up 454% year-over-year, and up 46% compared to Q1. Annualized Run Rate Revenue reached $3 billion at the end of June, up 598% year over year and up 58% from $1.9 billion at the end of March.</t>
  </si>
  <si>
    <t xml:space="preserve">investor-deck</t>
  </si>
  <si>
    <t xml:space="preserve">Nebius Group Letter to shareholders Q2 2026 (Aug 12, 2026)</t>
  </si>
  <si>
    <t xml:space="preserve">https://assets.nebius.com/assets/a6ecfd85-a6cb-4967-8ef7-9a25bd261f9c/SHLQ226.pdf</t>
  </si>
  <si>
    <t xml:space="preserve">We could sell our entire 2027 capacity on these terms today. We are deliberately not doing so because we see higher value in retaining some capacity for immediate customer needs.</t>
  </si>
  <si>
    <t xml:space="preserve">2026-08-16</t>
  </si>
  <si>
    <t xml:space="preserve">Nebius' Contracted Power Guidance Continues to Surge (Motley Fool, on Q2 2026 disclosures)</t>
  </si>
  <si>
    <t xml:space="preserve">https://www.fool.com/investing/2026/08/16/nebius-contracted-power-guidance-continues-to-surg/</t>
  </si>
  <si>
    <t xml:space="preserve">The company told investors in February it expected to have 3 gigawatts of contracted power by the end of 2026, that number jumped to 4 gigawatts in May, and when the company released second-quarter results in August, it told investors to expect 5 gigawatts by the end of the year.</t>
  </si>
  <si>
    <t xml:space="preserve">Nebius Q2 2026 earnings call transcript (Investing.com)</t>
  </si>
  <si>
    <t xml:space="preserve">https://www.investing.com/news/transcripts/earnings-call-transcript-nebius-beats-q2-2026-forecasts-shares-jump-165-93CH-4855076</t>
  </si>
  <si>
    <t xml:space="preserve">We currently have approximately $40 billion of committed backlog that we can borrow against, and we began utilizing this source of financing already in Q2.</t>
  </si>
  <si>
    <t xml:space="preserve">Nebius posts Q2 revenue surge and positive Adjusted EBITDA - NBIS Form 6-K coverage (balance sheet detail)</t>
  </si>
  <si>
    <t xml:space="preserve">https://www.stocktitan.net/sec-filings/NBIS/6-k-nebius-group-n-v-current-report-foreign-issuer-317e8515e46a.html</t>
  </si>
  <si>
    <t xml:space="preserve">cash and cash equivalents rose to $8,042.1 million</t>
  </si>
  <si>
    <t xml:space="preserve">Nebius Group (NBIS) Q2 2026 Earnings Call: Revenue Rises 454%, Guidance Reaffirmed</t>
  </si>
  <si>
    <t xml:space="preserve">https://www.tradingkey.com/news/transcripts/262106466-tradingkey</t>
  </si>
  <si>
    <t xml:space="preserve">The company has reaffirmed this full-year guidance, which includes annualized run rate revenue of $7 billion to $9 billion and group revenue of $3 billion to $3.4 billion, with a group adjusted EBITDA margin of approximately 40%.</t>
  </si>
  <si>
    <t xml:space="preserve">2025-09-09</t>
  </si>
  <si>
    <t xml:space="preserve">Microsoft to use Nebius GPU data centers, in deal worth $17.4bn over five years (DCD, reporting the Sep 2025 company announcement)</t>
  </si>
  <si>
    <t xml:space="preserve">https://www.datacenterdynamics.com/en/news/microsoft-to-use-nebius-gpu-data-centers-in-deal-worth-174bn-over-five-years/</t>
  </si>
  <si>
    <t xml:space="preserve">The deal has been signed for a five-year term and is worth $17.4 billion over the period, although further services and capacity could bring the deal up to $19.4 billion.</t>
  </si>
  <si>
    <t xml:space="preserve">2026-03-16</t>
  </si>
  <si>
    <t xml:space="preserve">Meta signs $27 billion deal with Nebius for AI infrastructure (CNBC, reporting the Mar 2026 company announcement)</t>
  </si>
  <si>
    <t xml:space="preserve">https://www.cnbc.com/2026/03/16/meta-nebius-ai-infrastructure.html</t>
  </si>
  <si>
    <t xml:space="preserve">Meta inked a deal to spend up to $27 billion on AI infrastructure provided by Dutch company Nebius, which includes $12 billion of dedicated capacity and up to $15 billion of additional available compute capacity over a five-year period.</t>
  </si>
  <si>
    <t xml:space="preserve">2026-05-13</t>
  </si>
  <si>
    <t xml:space="preserve">Nebius Q1 FY 2026 Earnings Show AI Cloud Capacity Scaling (Futurum, on Q1 2026 disclosures)</t>
  </si>
  <si>
    <t xml:space="preserve">https://futurumgroup.com/insights/nebius-q1-fy-2026-earnings-show-ai-cloud-capacity-scaling/</t>
  </si>
  <si>
    <t xml:space="preserve">As of the end of Q1, Nebius has already secured 3.5GW of contracted capacity, up from 2GW at the end of FY2025.</t>
  </si>
  <si>
    <t xml:space="preserve">Nebius Q2 revenue jumps 454% as AI capacity pricing and margins rise (Q2 2026 results coverage)</t>
  </si>
  <si>
    <t xml:space="preserve">https://finance.yahoo.com/technology/ai/articles/nebius-q2-revenue-jumps-454-140044127.html</t>
  </si>
  <si>
    <t xml:space="preserve">Nebius CEO Arkady Volozh said the company closed four 'landmark' core AI cloud contracts during the quarter with Reflection, Cohere, a U.S. Neolab and a U.S.-based quantitative trading firm. The agreements averaged more than $1 billion each and carried yields of $20 million to $25 million per megawatt.</t>
  </si>
  <si>
    <t xml:space="preserve">2026-07-30</t>
  </si>
  <si>
    <t xml:space="preserve">Amazon.com Announces Second Quarter Results (Q2 2026 earnings release, Ex-99.1 to 8-K)</t>
  </si>
  <si>
    <t xml:space="preserve">https://www.sec.gov/Archives/edgar/data/1018724/000101872426000024/amzn-20260630xex991.htm</t>
  </si>
  <si>
    <t xml:space="preserve">"AWS is booming, growing 36.7% year-over-year in Q2—our fastest growth in 18 quarters—and our AI and Chips businesses each eclipsed run rates of more than $25 billion," said Andy Jassy, President and CEO, Amazon. ... AWS segment sales increased 37% year-over-year to $42.2 billion. AWS segment operating income was $16.6 billion, compared with $10.2 billion in second quarter 2025. ... Net sales increased 20% to $200.6 billion in the second quarter, compared with $167.7 billion in second quarter 2025. Operating income increased to $27.5 billion in the second quarter, compared with $19.2 billion in second quarter 2025.</t>
  </si>
  <si>
    <t xml:space="preserve">2026-07-31</t>
  </si>
  <si>
    <t xml:space="preserve">Amazon.com, Inc. Form 10-Q for the quarter ended June 30, 2026</t>
  </si>
  <si>
    <t xml:space="preserve">https://www.sec.gov/Archives/edgar/data/1018724/000101872426000026/amzn-20260630.htm</t>
  </si>
  <si>
    <t xml:space="preserve">For contracts with original terms that exceed one year, those commitments not yet recognized were approximately $496 billion as of June 30, 2026. The weighted-average remaining life of our long-term contracts is 6.4 years. [Commitments note; principal contractual commitments totaled $650,034 million.] As of June 30, 2026 the balance sheet reports $78,213 million in cash [incl. marketable securities; cash and cash equivalents $61,453 million] and $128,894 million in total debt; Amazon had $132.1 billion of unsecured senior notes outstanding as of June 30, 2026. (as reproduced by secondary summaries of the filing)</t>
  </si>
  <si>
    <t xml:space="preserve">Amazon (AMZN) Q2 2026 Earnings Call Transcript (Jul 30, 2026 call)</t>
  </si>
  <si>
    <t xml:space="preserve">https://www.fool.com/earnings/call-transcripts/2026/08/07/amazon-amzn-q2-2026-earnings-call-transcript/</t>
  </si>
  <si>
    <t xml:space="preserve">Andy Jassy: "we will still not have enough capacity to meet all the demand we have in 2026, and I believe this dynamic will also be true in 2027 too. In fact, the demand we already have for 2028 is striking." Management also said AWS is now a $169 billion annualized revenue run rate business; that Amazon now expects approximately $220 billion in cash capex in 2026, up from its prior estimate of about $200 billion owing to higher memory costs; that the AWS backlog reached $496 billion, growing triple digits year-over-year; and that AWS remains on pace to double its power capacity by the end of 2027, compared with 2025.</t>
  </si>
  <si>
    <t xml:space="preserve">company-blog</t>
  </si>
  <si>
    <t xml:space="preserve">2026-04</t>
  </si>
  <si>
    <t xml:space="preserve">Amazon CEO Andy Jassy's 2025 Letter to Shareholders</t>
  </si>
  <si>
    <t xml:space="preserve">https://www.aboutamazon.com/news/company-news/amazon-ceo-andy-jassy-2025-letter-to-shareholders</t>
  </si>
  <si>
    <t xml:space="preserve">AWS added 3.9 gigawatts of new power capacity in 2025, expects to double total power capacity by the end of 2027, and is monetizing that capacity as fast as it's installed. (as summarized from the letter; Jassy on the Q4 2025 call, Feb 2026: "In the last 12 months, AWS added 3.9 gigawatts of power. That's twice what they had in 2022, with expectations to double it again by the end of 2027.")</t>
  </si>
  <si>
    <t xml:space="preserve">2026-04-20</t>
  </si>
  <si>
    <t xml:space="preserve">Anthropic and Amazon expand collaboration for up to 5 gigawatts of new compute</t>
  </si>
  <si>
    <t xml:space="preserve">https://www.anthropic.com/news/anthropic-amazon-compute</t>
  </si>
  <si>
    <t xml:space="preserve">Anthropic and Amazon expand collaboration for up to 5 gigawatts of new compute [title, verbatim]. The expanded partnership injects an immediate $5 billion of new equity into Anthropic, layers up to $20 billion in additional milestone-based commitments on top, and binds the Claude maker to spend $100 billion on Amazon Web Services over the next decade... Anthropic has secured up to 5 gigawatts (GW) of capacity for training and deploying Claude, with nearly 1GW total of Trainium2 and Trainium3 capacity coming online by the end of 2026.</t>
  </si>
  <si>
    <t xml:space="preserve">2025-10-29</t>
  </si>
  <si>
    <t xml:space="preserve">AWS activates Project Rainier: One of the world's largest AI compute clusters comes online</t>
  </si>
  <si>
    <t xml:space="preserve">https://www.aboutamazon.com/news/aws/aws-project-rainier-ai-trainium-chips-compute-cluster</t>
  </si>
  <si>
    <t xml:space="preserve">AWS announced the activation of Project Rainier, an artificial intelligence compute cluster featuring nearly half a million Trainium2 chips... Anthropic currently uses this infrastructure to build and deploy Claude, with plans to expand operations across more than 1 million Trainium2 chips by the end of 2025. Project Rainier provides more than five times the compute power Anthropic used to train its previous AI models.</t>
  </si>
  <si>
    <t xml:space="preserve">2026-04-30</t>
  </si>
  <si>
    <t xml:space="preserve">Amazon.com Announces First Quarter Results (Q1 2026)</t>
  </si>
  <si>
    <t xml:space="preserve">https://s2.q4cdn.com/299287126/files/doc_earnings/2026/q1/earnings-result/AMZN-Q1-2026-Earnings-Release.pdf</t>
  </si>
  <si>
    <t xml:space="preserve">AWS segment sales increased 28% year-over-year to $37.6 billion. AWS segment operating income was $14.2 billion, compared with $11.5 billion in first quarter 2025. Net sales increased 17% to $181.5 billion in the first quarter... Capital expenditures reached $44.2 billion in the quarter. [On the Q1 2026 call, management disclosed an AWS backlog of $364 billion as of Q1, explicitly not including over $100 billion from the new deal with Anthropic.]</t>
  </si>
  <si>
    <t xml:space="preserve">2026-02-05</t>
  </si>
  <si>
    <t xml:space="preserve">Amazon.com Announces Fourth Quarter Results (Q4 2025 earnings release, Ex-99.1)</t>
  </si>
  <si>
    <t xml:space="preserve">https://www.sec.gov/Archives/edgar/data/1018724/000101872426000002/amzn-20251231xex991.htm</t>
  </si>
  <si>
    <t xml:space="preserve">AWS segment sales increased 24% year-over-year to $35.6 billion. AWS segment operating income was $12.5 billion, compared with $10.6 billion in fourth quarter 2024.</t>
  </si>
  <si>
    <t xml:space="preserve">Amazon.com Announces Third Quarter Results (Q3 2025)</t>
  </si>
  <si>
    <t xml:space="preserve">https://www.aboutamazon.com/news/company-news/amazon-earnings-q3-2025-report</t>
  </si>
  <si>
    <t xml:space="preserve">AWS segment sales increased 20% year-over-year to $33.0 billion. AWS segment operating income was $11.4 billion, compared with $10.4 billion in third quarter 2024.</t>
  </si>
  <si>
    <t xml:space="preserve">Amazon hikes 2026 capex to $220 billion due to higher memory costs (CNBC)</t>
  </si>
  <si>
    <t xml:space="preserve">https://www.cnbc.com/2026/07/30/amazon-amzn-q2-earnings-report-2026.html</t>
  </si>
  <si>
    <t xml:space="preserve">Amazon hikes 2026 capex to $220 billion due to higher memory costs [headline, verbatim]. AWS backlog, or contracted work that hasn't come online yet, reached $496 billion during the quarter.</t>
  </si>
  <si>
    <t xml:space="preserve">2026-07-29</t>
  </si>
  <si>
    <t xml:space="preserve">Microsoft FY26 Q4 earnings press release and financial statements (Investor Relations)</t>
  </si>
  <si>
    <t xml:space="preserve">https://www.microsoft.com/en-us/investor/earnings/fy-2026-q4/press-release-webcast</t>
  </si>
  <si>
    <t xml:space="preserve">Commercial remaining performance obligation increased 84% to $678 billion.</t>
  </si>
  <si>
    <t xml:space="preserve">Microsoft FY26 Q4 press release - Microsoft Cloud and Azure</t>
  </si>
  <si>
    <t xml:space="preserve">Microsoft Cloud revenue was $59.3 billion and increased 27% ... Azure and other cloud services revenue increased 43%</t>
  </si>
  <si>
    <t xml:space="preserve">Microsoft FY26 Q4 balance sheet and cash flow statements (June 30, 2026)</t>
  </si>
  <si>
    <t xml:space="preserve">Cash and cash equivalents $20,935; Short-term investments $55,908; Current portion of long-term debt $9,227; Long-term debt $31,067; Additions to property and equipment (twelve months) $115,948; Depreciation, amortization, and other (twelve months) $38,534 (in millions, as presented in the financial statements)</t>
  </si>
  <si>
    <t xml:space="preserve">Microsoft Fiscal Year 2026 Fourth Quarter Earnings Conference Call (transcript, Satya Nadella)</t>
  </si>
  <si>
    <t xml:space="preserve">https://www.microsoft.com/en-us/investor/events/fy-2026/earnings-fy-2026-q4</t>
  </si>
  <si>
    <t xml:space="preserve">We added 31 new datacenters across 5 continents this quarter, bringing the total to 88 this year, as we expand our footprint in response to accelerating demand. ... All up, we added another gigawatt of capacity this quarter and remain on track to roughly double our overall capacity in just two years.</t>
  </si>
  <si>
    <t xml:space="preserve">Microsoft FY26 Q4 earnings call (Amy Hood - RPO detail)</t>
  </si>
  <si>
    <t xml:space="preserve">Commercial remaining performance obligation grew 84% to $678 billion. All sequential commercial RPO growth was driven by commitments from customers outside of frontier model companies. And RPO increased 25% when excluding OpenAI. RPO, including OpenAI, has a weighted average duration of 2.3 years. And roughly 30% will be recognized in revenue in the next 12 months, up 37% year-over-year.</t>
  </si>
  <si>
    <t xml:space="preserve">Microsoft FY26 Q4 earnings call (Amy Hood - capex, useful life, FY27 outlook)</t>
  </si>
  <si>
    <t xml:space="preserve">Capital expenditures were $41 billion including the impact from higher component pricing as noted in our guide. ... Effective at the start of FY27, we are extending the estimated useful lives of our datacenters and office buildings, from 15 to 25 years ... the shift from finance to operating leases adjusts our expectation to approximately $175 billion. ... We expect FY27 capital expenditures will grow year-over-year given demand signals across our portfolio. ... We expect CapEx spend will be over $50 billion including the lease reclassification impact from the useful life update. ... At the company level, with strong commercial momentum, we continue to expect another fiscal year of double-digit revenue and operating income growth. ... In addition, we expect to remain free cash flow positive in FY27.</t>
  </si>
  <si>
    <t xml:space="preserve">Microsoft FY26 Q4 earnings call (Azure and Microsoft Cloud full year)</t>
  </si>
  <si>
    <t xml:space="preserve">Azure surpassed $100 billion, up 41%. ... And for the full year, our cloud revenue surpassed $214 billion, with nearly 90% from customers outside of frontier model companies.</t>
  </si>
  <si>
    <t xml:space="preserve">Microsoft FY26 Q1 earnings call (Fairwater 2 GW; capacity doubling; OpenAI $250B Azure commitment)</t>
  </si>
  <si>
    <t xml:space="preserve">https://www.microsoft.com/en-us/investor/events/fy-2026/earnings-fy-2026-q1</t>
  </si>
  <si>
    <t xml:space="preserve">Just this quarter, we announced the world's most powerful AI datacenter, Fairwater in Wisconsin, which will go online next year and scale to two gigawatts alone. ... We will increase our total AI capacity by over 80% this year, and roughly double our total datacenter footprint over the next two years, reflecting the demand signals we see. ... OpenAI has contracted an incremental $250 billion of Azure services</t>
  </si>
  <si>
    <t xml:space="preserve">2026-01</t>
  </si>
  <si>
    <t xml:space="preserve">Microsoft FY26 Q2 earnings call (~1 GW added; Fairwater AI superfactory; RPO $625B, ~45% OpenAI)</t>
  </si>
  <si>
    <t xml:space="preserve">https://www.microsoft.com/en-us/investor/events/fy-2026/earnings-fy-2026-q2</t>
  </si>
  <si>
    <t xml:space="preserve">All up, we added nearly one gigawatt of total capacity this quarter alone. ... we connected both our Atlanta and Wisconsin sites through AI WAN to build a first-of-its-kind AI superfactory. ... Commercial remaining performance obligation, which continues to be reported net of reserves, increased to $625 billion and was up 110% year-over-year with a weighted average duration of approximately two and a half years. ... Approximately 45% of our commercial RPO balance is from OpenAI.</t>
  </si>
  <si>
    <t xml:space="preserve">Microsoft FY26 Q3 earnings call (another GW added; Fairwater Wisconsin online; RPO $627B)</t>
  </si>
  <si>
    <t xml:space="preserve">https://www.microsoft.com/en-us/investor/events/fy-2026/earnings-fy-2026-q3</t>
  </si>
  <si>
    <t xml:space="preserve">All up, we added another gigawatt of capacity this quarter, and remain on track to double our overall footprint in just two years. ... Our Fairwater datacenter in Wisconsin came online earlier this month, six weeks ahead of schedule, allowing us to recognize revenue earlier. ... RPO increased to $627 billion and was up 99% year-over-year with a weighted average duration of approximately two and a half years when including OpenAI.</t>
  </si>
  <si>
    <t xml:space="preserve">2025-07</t>
  </si>
  <si>
    <t xml:space="preserve">Microsoft FY25 Q4 earnings call (&gt;2 GW added in FY2025; 400+ datacenters)</t>
  </si>
  <si>
    <t xml:space="preserve">https://www.microsoft.com/en-us/investor/events/fy-2025/earnings-fy-2025-q4</t>
  </si>
  <si>
    <t xml:space="preserve">We stood up more than two gigawatts of new capacity over the past 12 months alone. ... we now have over 400 datacenters across 70 regions, more than any other cloud provider.</t>
  </si>
  <si>
    <t xml:space="preserve">2025-10-28</t>
  </si>
  <si>
    <t xml:space="preserve">The next chapter of the Microsoft-OpenAI partnership (Official Microsoft Blog)</t>
  </si>
  <si>
    <t xml:space="preserve">https://blogs.microsoft.com/blog/2025/10/28/the-next-chapter-of-the-microsoft-openai-partnership/</t>
  </si>
  <si>
    <t xml:space="preserve">OpenAI has contracted to purchase an incremental $250 billion in Microsoft Azure cloud services (blog itself unreachable from this sandbox - egress-blocked; the $250B figure is verified verbatim from Nadella on the FY26 Q1 earnings call transcript on microsoft.com: 'OpenAI has contracted an incremental $250 billion of Azure services'; deal terms also include Microsoft's ~27% stake in OpenAI Group PBC and removal of Microsoft's right of first refusal as OpenAI's compute provider, per this announcement)</t>
  </si>
  <si>
    <t xml:space="preserve">2026-07-22</t>
  </si>
  <si>
    <t xml:space="preserve">Alphabet Inc. Form 10-Q for the quarter ended June 30, 2026</t>
  </si>
  <si>
    <t xml:space="preserve">https://www.sec.gov/Archives/edgar/data/0001652044/000165204426000071/goog-20260630.htm</t>
  </si>
  <si>
    <t xml:space="preserve">As of June 30, 2026, Alphabet had $519.5 billion of remaining performance obligations (revenue backlog), of which $513.9 billion related to Google Cloud. Revenue backlog represents commitments in customer contracts that have not yet been recognized as revenue... just over half of the revenue backlog was expected to be recognized within 24 months.</t>
  </si>
  <si>
    <t xml:space="preserve">Alphabet Announces Second Quarter 2026 Results (Exhibit 99.1)</t>
  </si>
  <si>
    <t xml:space="preserve">https://www.sec.gov/Archives/edgar/data/1652044/000165204426000066/googexhibit991q22026.htm</t>
  </si>
  <si>
    <t xml:space="preserve">Google Cloud revenue climbed 82% to $24.8 billion... Cloud operating income reached $8.8 billion, up from $2.8 billion in the same period a year earlier. ... Alphabet reported second-quarter revenue of $119.8 billion, up 24% year over year. ... Consolidated Alphabet operating income increased 30%.</t>
  </si>
  <si>
    <t xml:space="preserve">market-data</t>
  </si>
  <si>
    <t xml:space="preserve">Alphabet Q2 2026 10-Q summary (balance sheet detail)</t>
  </si>
  <si>
    <t xml:space="preserve">https://www.stocktitan.net/sec-filings/GOOG/10-q-alphabet-inc-quarterly-earnings-report-8ffb92bbee5d.html</t>
  </si>
  <si>
    <t xml:space="preserve">As of June 30, 2026, total assets were $921,983 million, including $242,474 million in cash, cash equivalents, and marketable securities... Long-term debt increased to $98,165 million after issuing $20.0 billion of US dollar notes and $31.8 billion of foreign currency notes... Google Cloud posted Q2 revenue of $24,768 million and was the main driver of a revenue backlog of $519.5 billion... In June 2026, Alphabet issued a combination of Class A stock and Class C stock and mandatory convertible preferred stock for aggregate net proceeds of $49.6 billion.</t>
  </si>
  <si>
    <t xml:space="preserve">Alphabet Q2 2026 earnings call (CFO Anat Ashkenazi remarks)</t>
  </si>
  <si>
    <t xml:space="preserve">https://www.investing.com/news/transcripts/earnings-call-transcript-alphabet-beats-q2-2026-estimates-shares-fall-on-capex-surge-93CH-4807140</t>
  </si>
  <si>
    <t xml:space="preserve">We are updating our full-year 2026 CapEx guidance range to $195 billion-$205 billion, up from the previous estimate of $180 billion-$190 billion. The increase in the range is primarily due to an acceleration in the delivery of capacity to meet growing demand... We're still in a supply-constrained environment.</t>
  </si>
  <si>
    <t xml:space="preserve">Alphabet earnings takeaways: Q2 revenue beats, GOOGL stock sinks on 2026 capex hike</t>
  </si>
  <si>
    <t xml:space="preserve">https://www.cnbc.com/2026/07/22/google-earnings-q2-goog-live-updates.html</t>
  </si>
  <si>
    <t xml:space="preserve">Alphabet reported $44.9 billion in Q2 2026 capital expenditures - double the year-ago quarter... Google Cloud's backlog increased by more than $50 billion sequentially, reaching $514 billion in the second quarter... quarterly free cash flow turned negative for the first time in company history at -$5.9 billion.</t>
  </si>
  <si>
    <t xml:space="preserve">2025-10-23</t>
  </si>
  <si>
    <t xml:space="preserve">Anthropic to Expand Use of Google Cloud TPUs and Services</t>
  </si>
  <si>
    <t xml:space="preserve">https://www.googlecloudpresscorner.com/2025-10-23-Anthropic-to-Expand-Use-of-Google-Cloud-TPUs-and-Services</t>
  </si>
  <si>
    <t xml:space="preserve">In total, Anthropic will have access to well over a gigawatt of capacity coming online in 2026. Anthropic will have access to up to one million TPU chips, as well as additional Google Cloud services.</t>
  </si>
  <si>
    <t xml:space="preserve">2026-04-06</t>
  </si>
  <si>
    <t xml:space="preserve">Anthropic Expands Use of Google Cloud and TPUs</t>
  </si>
  <si>
    <t xml:space="preserve">https://www.googlecloudpresscorner.com/2026-04-06-Anthropic-Expands-Use-of-Google-Cloud-and-TPUs</t>
  </si>
  <si>
    <t xml:space="preserve">The expansion will provide Anthropic with multiple gigawatts of TPU capacity, expected to come online starting in 2027... delivered through Google Cloud services, as well as access to Google-built TPUs supplied through Broadcom. (A Broadcom SEC filing reportedly quantifies the deal at 3.5 gigawatts of compute.)</t>
  </si>
  <si>
    <t xml:space="preserve">2026-04-29</t>
  </si>
  <si>
    <t xml:space="preserve">Alphabet Inc. Form 10-Q for the quarter ended March 31, 2026</t>
  </si>
  <si>
    <t xml:space="preserve">https://www.sec.gov/Archives/edgar/data/0001652044/000165204426000048/goog-20260331.htm</t>
  </si>
  <si>
    <t xml:space="preserve">Alphabet reported revenue backlog of $467.6 billion as of March 31, 2026, with $462.3 billion related to Google Cloud.</t>
  </si>
  <si>
    <t xml:space="preserve">2026-06-10</t>
  </si>
  <si>
    <t xml:space="preserve">Oracle Announces Record Q4 and FY 2026 Results Driven by Cloud Infrastructure &amp; Cloud Applications</t>
  </si>
  <si>
    <t xml:space="preserve">https://www.oracle.com/news/announcement/q4fy26-earnings-release-2026-06-10/</t>
  </si>
  <si>
    <t xml:space="preserve">Remaining Performance Obligations, or RPO, ended the quarter at $638 billion, up 363% USD year-over-year and up $85 billion sequentially from the end of Q3. ... The prepaid and customer supplied hardware portions of our large AI contracts now total $75 billion. ... Fiscal year 2026 total revenues were up 17% to a record $67.4 billion.</t>
  </si>
  <si>
    <t xml:space="preserve">Oracle Announces Record Q4 and FY 2026 Results (FY2027 guidance and cash flow)</t>
  </si>
  <si>
    <t xml:space="preserve">For fiscal year 2027, we confirm our prior revenue guidance of $90 billion total revenue and raise our non-GAAP EPS guidance to $8.05, which is growth of 18% ... Oracle's strong operating income translated to record fiscal year operating cash flow of $32.0 billion, up 54%. Free cash flow was negative $23.7 billion for fiscal year 2026 as Oracle continued to execute on investments to support the growth of its Cloud Infrastructure business.</t>
  </si>
  <si>
    <t xml:space="preserve">Oracle (ORCL) Q4 2026 Earnings Call Transcript — GW deliveries (Clay Magouyrk)</t>
  </si>
  <si>
    <t xml:space="preserve">https://www.fool.com/earnings/call-transcripts/2026/06/10/oracle-orcl-q4-2026-earnings-call-transcript/</t>
  </si>
  <si>
    <t xml:space="preserve">We delivered more than 1.2 gigawatts to customers [in FY2026] ... pace of delivery continues to accelerate, with our FY 2027 Q1 delivery approaching 1 GW, nearly the same capacity as we've delivered in the previous four quarters combined. (as surfaced via search index; transcript hosts were egress-blocked for direct fetch)</t>
  </si>
  <si>
    <t xml:space="preserve">Oracle (ORCL) Q4 2026 Earnings Call — capex and financing (CFO Hilary Maxson)</t>
  </si>
  <si>
    <t xml:space="preserve">Oracle's net cash outlay for capital expenditures in fiscal 2027 will be around $70 billion, excluding $20 billion to $25 billion in prepayments from customers and timing impact, according to CFO Hilary Maxson ... Oracle expects to raise around $40 billion in debt and equity in fiscal year 2027, which includes their already announced $20 billion at-the-market equity issuance ... Oracle does not expect to raise additional debt funding in calendar year 2026. (paraphrase-level fidelity via search index; direct transcript fetch blocked)</t>
  </si>
  <si>
    <t xml:space="preserve">10-K</t>
  </si>
  <si>
    <t xml:space="preserve">2026 (FY ended 2026-05-31)</t>
  </si>
  <si>
    <t xml:space="preserve">Oracle Corporation Form 10-K for fiscal year ended May 31, 2026</t>
  </si>
  <si>
    <t xml:space="preserve">https://www.sec.gov/Archives/edgar/data/0001341439/000119312526277521/orcl-20260531.htm</t>
  </si>
  <si>
    <t xml:space="preserve">As of May 31, 2026, Oracle's total notes payable and other borrowings were $129,541 million ... In fiscal 2026, Oracle issued $43.0 billion of senior notes for general corporate purposes ... Cash and cash equivalents: $31,289 million; Marketable securities: $605 million. (figures surfaced via search index of the EDGAR document; sec.gov direct fetch was egress-blocked in this environment)</t>
  </si>
  <si>
    <t xml:space="preserve">accessed 2026-08-17</t>
  </si>
  <si>
    <t xml:space="preserve">Oracle AI Data Centers (official site page)</t>
  </si>
  <si>
    <t xml:space="preserve">https://www.oracle.com/data-centers/</t>
  </si>
  <si>
    <t xml:space="preserve">Stargate Advances with 4.5GW Partnership with Oracle (July 22, 2025) ... [Shackelford, Texas:] 115MW of power capacity is already available, over 1 month ahead of schedule ... [Abilene:] Delivered 42% of total capacity today with the remainder delivering in the subsequent quarters.</t>
  </si>
  <si>
    <t xml:space="preserve">Abilene Data Centers | Oracle</t>
  </si>
  <si>
    <t xml:space="preserve">https://www.oracle.com/data-centers/abilene/</t>
  </si>
  <si>
    <t xml:space="preserve">The campus consists of eight buildings on 1,100 acres, encompassing 4 million square feet ... AI workloads went live less than a year after construction began.</t>
  </si>
  <si>
    <t xml:space="preserve">2025-07-22</t>
  </si>
  <si>
    <t xml:space="preserve">Stargate advances with 4.5 GW partnership with Oracle (OpenAI announcement)</t>
  </si>
  <si>
    <t xml:space="preserve">https://openai.com/index/stargate-advances-with-partnership-with-oracle/</t>
  </si>
  <si>
    <t xml:space="preserve">Stargate advances with 4.5 GW partnership with Oracle. (title verbatim; announcement of 4.5 gigawatts of additional Stargate data center capacity to be developed with Oracle in the U.S., referenced on Oracle's own data-centers page)</t>
  </si>
  <si>
    <t xml:space="preserve">2025</t>
  </si>
  <si>
    <t xml:space="preserve">OpenAI and Oracle to deploy 450,000 GB200 GPUs at Stargate data center in Abilene, Texas (DCD)</t>
  </si>
  <si>
    <t xml:space="preserve">https://www.datacenterdynamics.com/en/news/openai-and-oracle-to-deploy-450000-gb200-gpus-at-stargate-abilene-data-center/</t>
  </si>
  <si>
    <t xml:space="preserve">the Abilene, Texas flagship campus ... is set to reach 1.2 GW, and will house over 450,000 GB200 GPUs (per search-indexed summary of DCD reporting and the Oracle/OpenAI fact sheet)</t>
  </si>
  <si>
    <t xml:space="preserve">Oracle beats on earnings, but stock drops on plans to raise another $20 billion (CNBC)</t>
  </si>
  <si>
    <t xml:space="preserve">https://www.cnbc.com/2026/06/10/oracle-orcl-q4-earnings-report-2026.html</t>
  </si>
  <si>
    <t xml:space="preserve">Capital expenditures jumped 162% to $55.7 billion in fiscal 2026 ... Oracle said it foresees raising $40 billion through debt and equity financing, including a $20 billion share sale it announced earlier. (via search-indexed excerpt; cnbc.com direct fetch egress-blocked)</t>
  </si>
  <si>
    <t xml:space="preserve">2025-09</t>
  </si>
  <si>
    <t xml:space="preserve">OpenAI signs $300bn cloud deal with Oracle - report (DCD, after WSJ)</t>
  </si>
  <si>
    <t xml:space="preserve">https://www.datacenterdynamics.com/en/news/openai-signs-300bn-cloud-deal-with-oracle-report/</t>
  </si>
  <si>
    <t xml:space="preserve">OpenAI has signed a $300 billion agreement with Oracle to secure computing power over five years, starting in 2027. (third-party/press-reported figure — Oracle has not itself confirmed the $300B number in a filing)</t>
  </si>
  <si>
    <t xml:space="preserve">2025-10-14</t>
  </si>
  <si>
    <t xml:space="preserve">Oracle Unveils Next-Generation OCI Zettascale10 Cluster for AI</t>
  </si>
  <si>
    <t xml:space="preserve">https://www.oracle.com/news/announcement/ai-world-oracle-unveils-next-generation-oci-zettascale10-cluster-for-ai-2025-10-14/</t>
  </si>
  <si>
    <t xml:space="preserve">Initially, OCI Zettascale10 clusters will target deployments of up to 800,000 NVIDIA GPUs ... deliver up to an unprecedented 16 zettaFLOPS of peak performance ... flagship supercluster built in collaboration with OpenAI in Abilene, Texas, as part of Stargate.</t>
  </si>
  <si>
    <t xml:space="preserve">Meta Reports Second Quarter 2026 Results (Exhibit 99.1 to Form 8-K)</t>
  </si>
  <si>
    <t xml:space="preserve">https://www.sec.gov/Archives/edgar/data/1326801/000162828026050596/meta-06302026xexhibit991.htm</t>
  </si>
  <si>
    <t xml:space="preserve">Cash, cash equivalents, and marketable securities were $90.26 billion as of June 30, 2026. ... Long-term debt was $83.66 billion as of June 30, 2026. ... Capital expenditures, including principal payments on finance leases, were $31.08 billion. ... Free cash flow was $784 million. [Revenue was $60.80 billion, an increase of 28% year-over-year; total costs and expenses were $42.03 billion, up 55%, including $2.4 billion of charges related to legal proceedings.]</t>
  </si>
  <si>
    <t xml:space="preserve">Meta Reports Second Quarter 2026 Results - outlook section</t>
  </si>
  <si>
    <t xml:space="preserve">https://www.prnewswire.com/news-releases/meta-reports-second-quarter-2026-results-302838214.html</t>
  </si>
  <si>
    <t xml:space="preserve">Meta anticipates 2026 capital expenditures, including principal payments on finance leases, to be in the range of $130-145 billion, narrowed from their prior outlook of $125-145 billion. ... We expect third quarter 2026 total revenue to be in the range of $61-64 billion. ... full year 2026 total expenses to be in the range of $165-169 billion [lower end raised to incorporate the $2.4 billion legal charges]; Meta continues to expect to deliver operating income this year that is above 2025 operating income.</t>
  </si>
  <si>
    <t xml:space="preserve">META Q2 2026 Earnings Call Transcript (Susan Li on 2027 capex; industry capacity)</t>
  </si>
  <si>
    <t xml:space="preserve">https://s21.q4cdn.com/399680738/files/doc_financials/2026/q2/META-Q2-2026-Earnings-Call-Transcript.pdf</t>
  </si>
  <si>
    <t xml:space="preserve">Susan Li (CFO): "we aren't providing a specific outlook for 2027 CapEx at this time." ... "Infrastructure planning remains highly dynamic. Even this year, there are a range of outcomes embedded in our outlook" ... focus on "maximizing capacity in 2026 and 2027, and giving us the flexibility to continue to grow in 2028 and beyond" ... "overall industry capacity is going to remain tight for the foreseeable future."</t>
  </si>
  <si>
    <t xml:space="preserve">2025-07-14</t>
  </si>
  <si>
    <t xml:space="preserve">Mark Zuckerberg post announcing Prometheus, Hyperion and titan clusters</t>
  </si>
  <si>
    <t xml:space="preserve">https://www.threads.com/@zuck/post/DMF6uUgx9f9/</t>
  </si>
  <si>
    <t xml:space="preserve">We're actually building several multi-GW clusters. We're calling the first one Prometheus and it's coming online in '26. We're also building Hyperion, which will be able to scale up to 5GW over several years. We're building multiple more titan clusters as well. Just one of these covers a significant part of the footprint of Manhattan.</t>
  </si>
  <si>
    <t xml:space="preserve">2026-07-09</t>
  </si>
  <si>
    <t xml:space="preserve">Exclusive: Meta to Put AI Chip Into Production in September as It Looks to Double Computing Capacity, Memo Shows (Reuters)</t>
  </si>
  <si>
    <t xml:space="preserve">https://money.usnews.com/investing/news/articles/2026-07-09/exclusive-meta-to-put-ai-chip-into-production-in-september-as-it-looks-to-double-computing-capacity-memo-shows</t>
  </si>
  <si>
    <t xml:space="preserve">The memo also details how Meta this year plans to deploy seven gigawatts of computing infrastructure, having added 1 gigawatt in the first half of the year and forecasting adding another 5.5 gigawatts by the end of the year... plans to deploy 7 gigawatts of computing capacity in 2026 and double that to 14 gigawatts in 2027.</t>
  </si>
  <si>
    <t xml:space="preserve">2026-07-28</t>
  </si>
  <si>
    <t xml:space="preserve">Meta Announces New Strategic Venture With BlackRock to Develop Data Center in El Paso</t>
  </si>
  <si>
    <t xml:space="preserve">https://about.fb.com/news/2026/07/meta-announces-new-venture-with-blackrock-to-develop-data-center-in-el-paso/</t>
  </si>
  <si>
    <t xml:space="preserve">The state-of-the-art data center campus, currently under construction in El Paso, Texas, will have 1 gigawatt of compute capacity and will play an essential role in bringing Meta's AI technologies to life. [BlackRock-managed funds will take an 80% ownership stake, Meta retaining 20%; ~$14 billion development cost; a portion of BlackRock's investment financed through $12.5 billion in debt; operations expected to commence in 2028.]</t>
  </si>
  <si>
    <t xml:space="preserve">2025-10-21</t>
  </si>
  <si>
    <t xml:space="preserve">Meta Announces Joint Venture with Funds Managed by Blue Owl Capital to Develop Hyperion Data Center</t>
  </si>
  <si>
    <t xml:space="preserve">https://www.prnewswire.com/news-releases/meta-announces-joint-venture-with-funds-managed-by-blue-owl-capital-to-develop-hyperion-data-center-302590584.html</t>
  </si>
  <si>
    <t xml:space="preserve">Funds managed by Blue Owl Capital will own an 80% interest in the joint venture, while Meta will retain the remaining 20% ownership. [Total development costs of approximately $27 billion; Blue Owl-managed funds made a cash contribution of approximately $7 billion and Meta received a one-time distribution of approximately $3 billion; a portion of capital raised by Blue Owl funded by debt issued to PIMCO and select other bond investors through a private securities offering.]</t>
  </si>
  <si>
    <t xml:space="preserve">2026-04-09</t>
  </si>
  <si>
    <t xml:space="preserve">CoreWeave and Meta Announce $21 Billion Expanded AI Infrastructure Agreement (CoreWeave 8-K Exhibit 99.1)</t>
  </si>
  <si>
    <t xml:space="preserve">https://www.sec.gov/Archives/edgar/data/1769628/000176962826000154/ex991.htm</t>
  </si>
  <si>
    <t xml:space="preserve">Meta committed to pay approximately $21 billion, inclusive of access to new computing capacity through December 20, 2032 and the exercise of an existing option to access additional computing capacity through April 10, 2032. [Order form dated March 31, 2026 under Master Services Agreement dated December 10, 2023; follows the initial $14.2 billion agreement announced September 30, 2025, for a combined ~$35 billion commitment.]</t>
  </si>
  <si>
    <t xml:space="preserve">2025-09-30</t>
  </si>
  <si>
    <t xml:space="preserve">CoreWeave stock closes up 12% after company lands $14 billion deal with Meta</t>
  </si>
  <si>
    <t xml:space="preserve">https://www.cnbc.com/2025/09/30/coreweave-meta-deal-ai.html</t>
  </si>
  <si>
    <t xml:space="preserve">CoreWeave... has agreed to provide Meta with $14.2 billion of artificial intelligence cloud infrastructure. [Deal disclosed in a CoreWeave Form 8-K filed September 30, 2025; runs until December 2031.]</t>
  </si>
  <si>
    <t xml:space="preserve">2025-08-21</t>
  </si>
  <si>
    <t xml:space="preserve">Google scores six-year Meta cloud deal worth over $10 billion</t>
  </si>
  <si>
    <t xml:space="preserve">https://www.cnbc.com/2025/08/21/google-scores-six-year-meta-cloud-deal-worth-over-10-billion.html</t>
  </si>
  <si>
    <t xml:space="preserve">Google won a $10 billion cloud contract from Meta spanning six years... Meta will use Google Cloud's servers, storage, networking, and other services. [Neither company would comment on the deal, which was first reported by The Information - not confirmed in any Meta filing.]</t>
  </si>
  <si>
    <t xml:space="preserve">2025-10-16</t>
  </si>
  <si>
    <t xml:space="preserve">Oracle stock rises as company confirms Meta cloud deal (amount per Bloomberg reporting, ~$20B)</t>
  </si>
  <si>
    <t xml:space="preserve">https://www.cnbc.com/2025/10/16/oracle-confirms-meta-cloud-deal-.html</t>
  </si>
  <si>
    <t xml:space="preserve">Oracle is in talks with Meta Platforms about a cloud computing deal worth around $20 billion over multiple years... Oracle would provide the social media giant with computing power for training and deploying artificial intelligence models. [Oracle confirmed a cloud-computing deal with Meta in October 2025; the ~$20 billion figure is from Bloomberg reporting and was not confirmed by either company.]</t>
  </si>
  <si>
    <t xml:space="preserve">Meta Sells $30 Billion of Bonds as AI Frenzy Fuels Record Orders</t>
  </si>
  <si>
    <t xml:space="preserve">https://www.bloomberg.com/news/articles/2025-10-30/meta-platforms-offers-six-part-bond-amid-ai-spending-rush</t>
  </si>
  <si>
    <t xml:space="preserve">Meta sold $30 billion of corporate bonds in October, the biggest such offering of the year, after receiving record orders for the debt. The company received $125 billion of orders for the securities. [Six tranches, maturities five to 40 years, proceeds to fund AI/data-center buildout.]</t>
  </si>
  <si>
    <t xml:space="preserve">2025-01-24</t>
  </si>
  <si>
    <t xml:space="preserve">Mark Zuckerberg says Meta will have 1.3M GPUs for AI by year-end (reporting Zuckerberg's Facebook post)</t>
  </si>
  <si>
    <t xml:space="preserve">https://techcrunch.com/2025/01/24/mark-zuckerberg-says-meta-will-have-1-3m-gpus-for-ai-by-year-end/</t>
  </si>
  <si>
    <t xml:space="preserve">[Meta] will bring online ~1GW of compute in 2025 and end the year with more than 1.3 million GPUs. [Zuckerberg also said Meta is building a 2GW+ datacenter so large it would cover a significant part of Manhattan - the last company-level GPU-count disclosure; no updated deployed GPU count disclosed as of Q2 2026.]</t>
  </si>
  <si>
    <t xml:space="preserve">Meta Platforms, Inc. Form 10-Q for the quarter ended June 30, 2026</t>
  </si>
  <si>
    <t xml:space="preserve">https://www.sec.gov/Archives/edgar/data/1326801/000162828026050705/meta-20260630.htm</t>
  </si>
  <si>
    <t xml:space="preserve">Cash, cash equivalents, and marketable securities were $90.26 billion as of June 30, 2026... Long-term debt was $83.66 billion as of June 30, 2026. [Balance-sheet source underlying the earnings-release figures; also contains the Hyperion (Blue Owl) and El Paso (BlackRock) venture disclosures.]</t>
  </si>
  <si>
    <t xml:space="preserve">2026-07-01</t>
  </si>
  <si>
    <t xml:space="preserve">Meta pops 9% as company makes cloud push to sell excess AI compute power capacity</t>
  </si>
  <si>
    <t xml:space="preserve">https://www.cnbc.com/2026/07/01/meta-stock-cloud-ai-compute.html</t>
  </si>
  <si>
    <t xml:space="preserve">Meta pops 9% as company makes cloud push to sell excess AI compute power capacity. [Context for backlog=null: Meta only began marketing excess compute to third parties in mid-2026; no customer backlog/RPO disclosed.]</t>
  </si>
  <si>
    <t xml:space="preserve">2026-05-07</t>
  </si>
  <si>
    <t xml:space="preserve">IREN Business Update and Q3 FY26 Results (8-K exhibit, May 7, 2026)</t>
  </si>
  <si>
    <t xml:space="preserve">https://www.sec.gov/Archives/edgar/data/0001878848/000187884826000025/irenreportsq3fy26results.htm</t>
  </si>
  <si>
    <t xml:space="preserve">Total revenue decreased to $144.8m (vs. Q2 FY26 $184.7m) ... Net income (loss) of $(247.8)m (vs. Q2 FY26 $(155.4)m) ... Adj. EBITDA decreased to $59.5m (vs. Q2 FY26 $75.3m)</t>
  </si>
  <si>
    <t xml:space="preserve">IREN Business Update and Q3 FY26 Results - contracted ARR detail</t>
  </si>
  <si>
    <t xml:space="preserve">https://iren.gcs-web.com/news-releases/news-release-details/iren-business-update-and-q3-fy26-results</t>
  </si>
  <si>
    <t xml:space="preserve">$3.1bn ARR under contract, which represents expected $1.9bn average annual revenue under Microsoft contract, expected $0.7bn average annual revenue under NVIDIA contract, plus $0.5bn ARR under contract from GPU deployments at Prince George [targeting $3.7bn ARR by end of 2026; $2.6bn cash as of April 30, 2026]</t>
  </si>
  <si>
    <t xml:space="preserve">IREN Secures $3.4bn AI Cloud Contract with NVIDIA</t>
  </si>
  <si>
    <t xml:space="preserve">https://www.nasdaq.com/press-release/iren-secures-34bn-ai-cloud-contract-nvidia-2026-05-07</t>
  </si>
  <si>
    <t xml:space="preserve">five-year AI infrastructure cloud services contract with NVIDIA, with a total value of approximately $3.4 billion ... serviced by air-cooled Blackwell platform systems to be deployed within approximately 60MW of IREN's existing data centers at its Childress, Texas campus [NVIDIA also received rights to purchase 30 million IREN shares at $70, ~$2.1 billion]</t>
  </si>
  <si>
    <t xml:space="preserve">NVIDIA and IREN Announce Strategic Partnership to Accelerate Deployment of up to 5 Gigawatts of AI Infrastructure</t>
  </si>
  <si>
    <t xml:space="preserve">https://nvidianews.nvidia.com/news/nvidia-and-iren-announce-strategic-partnership-to-accelerate-deployment-of-up-to-5-gigawatts-of-ai-infrastructure</t>
  </si>
  <si>
    <t xml:space="preserve">2025-11-03</t>
  </si>
  <si>
    <t xml:space="preserve">IREN Reports Q1 FY26 Results / Secures $9.7bn AI Cloud Contract with Microsoft (8-K exhibit, Nov 3, 2025)</t>
  </si>
  <si>
    <t xml:space="preserve">https://www.sec.gov/Archives/edgar/data/1878848/000187884825000079/q1fy26resultspressreleas.htm</t>
  </si>
  <si>
    <t xml:space="preserve">multi-year GPU cloud services contract with Microsoft, with a total contract value of approximately $9.7 billion over a five-year term, including a 20% prepayment ... deployed in phases through 2026 at IREN's 750MW Childress, Texas campus, in conjunction with the delivery of new liquid-cooled data centers that will collectively support 200MW of critical IT load (Horizon 1-4) [agreement with Dell Technologies to purchase the GPUs and ancillary equipment for approximately $5.8 billion]</t>
  </si>
  <si>
    <t xml:space="preserve">IREN Reports Q2 FY26 Results (8-K exhibit, Feb 5, 2026) - Oklahoma campus, 4.5GW secured power, $3.6bn GPU financing</t>
  </si>
  <si>
    <t xml:space="preserve">https://www.sec.gov/Archives/edgar/data/1878848/000187884826000014/a991irenreportsq2fy26res.htm</t>
  </si>
  <si>
    <t xml:space="preserve">new 1.6GW data center campus in Oklahoma ... increases IREN's secured grid-connected power to over 4.5GW, with grid studies complete and power scheduled to ramp from 2028 [$3.6bn GPU financing secured for Microsoft contract with interest rate of &lt;6% p.a.; Q2 FY26 revenue $184.7m, Adj. EBITDA $75.3m, net loss $(155.4)m]</t>
  </si>
  <si>
    <t xml:space="preserve">IREN Expands AI Cloud Platform to Europe with Acquisition of Nostrum Group</t>
  </si>
  <si>
    <t xml:space="preserve">https://www.globenewswire.com/news-release/2026/05/07/3290678/0/en/IREN-Expands-AI-Cloud-Platform-to-Europe-with-Acquisition-of-Nostrum-Group.html</t>
  </si>
  <si>
    <t xml:space="preserve">marks IREN's entry into the European market and increases its power portfolio to 5GW ... adding approximately 490MW of secured, grid-connected power in Spain, together with an additional development pipeline [acquisition completed June 15, 2026]</t>
  </si>
  <si>
    <t xml:space="preserve">2026-03-04</t>
  </si>
  <si>
    <t xml:space="preserve">IREN Expands AI Cloud Capacity to 150,000 GPUs (8-K exhibit, Mar 4, 2026)</t>
  </si>
  <si>
    <t xml:space="preserve">https://www.sec.gov/Archives/edgar/data/1878848/000114036126007905/ny20064909x3_ex99-1.htm</t>
  </si>
  <si>
    <t xml:space="preserve">purchase agreements for over 50,000 NVIDIA B300 GPUs ... bring the total installed and contracted fleet to 150,000 units ... expected to support AI Cloud annualized run-rate revenue of over $3.7bn by the end of 2026 [deployment in phases through H2 2026 across existing air-cooled data centers in Mackenzie, British Columbia and Childress, Texas]</t>
  </si>
  <si>
    <t xml:space="preserve">2026-05-26</t>
  </si>
  <si>
    <t xml:space="preserve">IREN Targets $4.4bn in ARR with Blackwell Deployment at Childress</t>
  </si>
  <si>
    <t xml:space="preserve">https://www.globenewswire.com/news-release/2026/05/26/3301524/0/en/iren-targets-4-4bn-in-arr-with-blackwell-deployment-at-childress.html</t>
  </si>
  <si>
    <t xml:space="preserve">purchase agreement with Dell for air-cooled Blackwell systems to service its previously announced five-year, $3.4bn managed services AI cloud contract ... expected to increase IREN's annualized run-rate revenue (ARR) from $3.7bn to $4.4bn ... commissioning targeted for early 2027 ... total purchase price under the agreement with Dell is approximately $1.6bn</t>
  </si>
  <si>
    <t xml:space="preserve">2026-07-20</t>
  </si>
  <si>
    <t xml:space="preserve">IREN Signs $2.8bn in New Customer Contracts with Leading AI Developers, Raises 2026 ARR Target to over $4bn</t>
  </si>
  <si>
    <t xml:space="preserve">https://www.globenewswire.com/news-release/2026/07/20/3329624/0/en/iren-signs-2-8bn-in-new-customer-contracts-with-leading-ai-developers-raises-2026-arr-target-to-over-4bn.html</t>
  </si>
  <si>
    <t xml:space="preserve">raised its year-end AI Cloud annualized run-rate revenue (ARR) target from $3.7bn to more than $4bn, with approximately 85% now under contract following new multi-year cloud services contracts with leading AI developers representing $2.8bn in total contract value ... IREN's customer base now includes Microsoft, NVIDIA, Perplexity, Figure AI, Together AI, Fluidstack, Fireworks AI, Fal AI, Hume AI</t>
  </si>
  <si>
    <t xml:space="preserve">2026-08-13</t>
  </si>
  <si>
    <t xml:space="preserve">IREN Delivers Horizon 1 to Microsoft and Achieves NVIDIA Exemplar Cloud Status on GB300 NVL72</t>
  </si>
  <si>
    <t xml:space="preserve">https://www.globenewswire.com/news-release/2026/08/13/3344413/0/en/iren-delivers-horizon-1-to-microsoft-and-achieves-nvidia-exemplar-cloud-status-on-gb300-nvl72.html</t>
  </si>
  <si>
    <t xml:space="preserve">Horizon 1 is the first of four 50MW (IT load) direct-to-chip liquid cooled AI Cloud deployments scheduled for delivery to Microsoft at IREN's Childress, Texas campus in 2026 under a five-year, $9.7bn cloud services contract announced in November 2025 ... IREN continues to target a broader expansion to 480MW (gross) AI Cloud capacity in 2026 and 1.2GW (gross) AI Cloud capacity in 2027</t>
  </si>
  <si>
    <t xml:space="preserve">2025-10-07</t>
  </si>
  <si>
    <t xml:space="preserve">IREN Secures New Multi-Year AI Cloud Contracts (810MW operating data centers; $225m ARR contracted)</t>
  </si>
  <si>
    <t xml:space="preserve">https://www.globenewswire.com/news-release/2025/10/07/3162322/0/en/IREN-Secures-New-Multi-Year-AI-Cloud-Contracts.html</t>
  </si>
  <si>
    <t xml:space="preserve">IREN has 810MW of operating data centers underpinning three verticals: Bitcoin Mining, AI Cloud Services and AI Data Centers ... Customer contracts have been secured for 11k of the 23k GPUs, representing approximately $225m in AI Cloud annualized run-rate revenue (ARR)</t>
  </si>
  <si>
    <t xml:space="preserve">2025-12-08</t>
  </si>
  <si>
    <t xml:space="preserve">IREN Closes $2.3 Billion Convertible Notes Offering and the Repurchase of Existing Convertible Notes</t>
  </si>
  <si>
    <t xml:space="preserve">https://www.globenewswire.com/news-release/2025/12/08/3201998/0/en/IREN-Closes-2-3-Billion-Convertible-Notes-Offering-and-the-Repurchase-of-Existing-Convertible-Notes.html</t>
  </si>
  <si>
    <t xml:space="preserve">$2.3 billion convertible senior notes, comprising $1.15 billion of 0.25% notes due 2032 and $1.15 billion of 1.00% notes due 2033 ... repurchased $316.6 million aggregate principal amount of its 3.50% convertible senior notes due 2029 and $227.7 million aggregate principal amount of its 3.25% convertible senior notes due 2030</t>
  </si>
  <si>
    <t xml:space="preserve">2026-05-14</t>
  </si>
  <si>
    <t xml:space="preserve">IREN Closes $3.0 Billion Convertible Notes Offering (8-K exhibit, May 14, 2026)</t>
  </si>
  <si>
    <t xml:space="preserve">https://www.sec.gov/Archives/edgar/data/1878848/000114036126021285/ef20073507_ex99-1.htm</t>
  </si>
  <si>
    <t xml:space="preserve">closing of its offering of $3.0 billion aggregate principal amount of 1.00% convertible senior notes due 2033 ... net proceeds from the offering are approximately $2.96 billion [upsized from $2.6bn with full $400m option exercised; ~$174.5m used for capped call transactions; conversion price ~$73.07, capped at $110.30]</t>
  </si>
  <si>
    <t xml:space="preserve">IREN Closes $1.0 Billion Convertible Notes Offering (0.00% notes due 2031)</t>
  </si>
  <si>
    <t xml:space="preserve">https://www.nasdaq.com/press-release/iren-closes-10-billion-convertible-notes-offering-2025-10-14</t>
  </si>
  <si>
    <t xml:space="preserve">IREN closed a $1.0 billion offering of 0.00% convertible senior notes due 2031</t>
  </si>
  <si>
    <t xml:space="preserve">IREN Ltd Form 10-Q for the quarter ended March 31, 2026 (cash and cash equivalents $2,213.3m)</t>
  </si>
  <si>
    <t xml:space="preserve">https://www.sec.gov/Archives/edgar/data/0001878848/000187884826000026/iren-20260331.htm</t>
  </si>
  <si>
    <t xml:space="preserve">As of March 31, 2026, IREN had cash and cash equivalents of $2,213.3 million [as surfaced via search of the filing; full text could not be fetched directly from this environment - see caveats]</t>
  </si>
  <si>
    <t xml:space="preserve">2026-08-17</t>
  </si>
  <si>
    <t xml:space="preserve">IREN (Iris Energy) total debt - market-data aggregator of Mar 31, 2026 10-Q balance sheet</t>
  </si>
  <si>
    <t xml:space="preserve">https://companiesmarketcap.com/iris-energy/total-debt/</t>
  </si>
  <si>
    <t xml:space="preserve">IREN Ltd has total debt of about 3,964.913 million USD [latest reported quarter, i.e. March 31, 2026; total assets ~$7,264.9m, total equity ~$2,664.5m]</t>
  </si>
  <si>
    <t xml:space="preserve">2026-05</t>
  </si>
  <si>
    <t xml:space="preserve">BTIG reiterates IREN stock rating on revised earnings estimates (FY2027 revenue ~$2.9bn)</t>
  </si>
  <si>
    <t xml:space="preserve">https://www.investing.com/news/analyst-ratings/btig-reiterates-iren-stock-rating-on-revised-earnings-estimates-93CH-4678478</t>
  </si>
  <si>
    <t xml:space="preserve">The fiscal 2027 revenue estimate was raised to approximately $2.9 billion from approximately $2.8 billion</t>
  </si>
  <si>
    <t xml:space="preserve">IREN Q3 FY2026 earnings call transcript coverage (mining vs AI Cloud revenue split)</t>
  </si>
  <si>
    <t xml:space="preserve">https://www.investing.com/news/transcripts/earnings-call-transcript-iren-q3-2026-misses-earnings-stock-dips-93CH-4670978</t>
  </si>
  <si>
    <t xml:space="preserve">mining revenue was $111.2 million in Q3 FY26 (declining from $167.4 million in the prior quarter) ... AI Cloud services revenue surged by 94.2% quarter-over-quarter ... $2.6 billion cash as of April 30</t>
  </si>
  <si>
    <t xml:space="preserve">IREN to Release FY26 Results on August 27, 2026</t>
  </si>
  <si>
    <t xml:space="preserve">https://www.globenewswire.com/news-release/2026/08/13/3344878/0/en/iren-to-release-fy26-results-on-august-27-2026.html</t>
  </si>
  <si>
    <t xml:space="preserve">release its financial results for the fiscal year ended June 30, 2026, on Thursday, August 27, 2026</t>
  </si>
  <si>
    <t xml:space="preserve">2026-07-27</t>
  </si>
  <si>
    <t xml:space="preserve">Applied Digital Reports Fiscal Fourth Quarter and Full Year 2026 Results</t>
  </si>
  <si>
    <t xml:space="preserve">https://ir.applieddigital.com/news-events/press-releases/detail/159/applied-digital-reports-fiscal-fourth-quarter-and-full-year</t>
  </si>
  <si>
    <t xml:space="preserve">As of May 31, 2026, the Company had executed long-term leases representing approximately 1,410 MW of contracted critical IT load across five campuses ... representing approximately $36 billion of total contracted revenue over the initial 15-year base lease terms, or approximately $86 billion if all renewal options are exercised.</t>
  </si>
  <si>
    <t xml:space="preserve">Applied Digital Reports Fiscal Fourth Quarter and Full Year 2026 Results (financials)</t>
  </si>
  <si>
    <t xml:space="preserve">Fiscal Q4 2026 revenue was $258.7 million, up 407% year over year, with a GAAP net loss of $110.6 million ... Adjusted EBITDA was $42.4 million ... The company ended May 31, 2026 with $4.2 billion in cash, cash equivalents and restricted cash ... and $5.0 billion of debt.</t>
  </si>
  <si>
    <t xml:space="preserve">2026-08</t>
  </si>
  <si>
    <t xml:space="preserve">Applied Digital Corp. Form 10-K FY2026 (fiscal year ended May 31, 2026)</t>
  </si>
  <si>
    <t xml:space="preserve">https://www.sec.gov/Archives/edgar/data/0001144879/000114487926000048/apld-20260531.htm</t>
  </si>
  <si>
    <t xml:space="preserve">Around 1.5 GW of capacity is contracted and operating or under construction, supported by an active power pipeline of over 3 GW, more than 5 GW of extended opportunities and 1.2 GW of planned gas-fired generation with partner Base Electron.</t>
  </si>
  <si>
    <t xml:space="preserve">Applied Digital FQ4 2026 earnings call transcript coverage</t>
  </si>
  <si>
    <t xml:space="preserve">https://www.investing.com/news/transcripts/earnings-call-transcript-applied-digital-tops-q4-2026-forecasts-shares-rise-93CH-4815224</t>
  </si>
  <si>
    <t xml:space="preserve">Applied Digital completed delivery of 100 MW at Polaris Forge 1 on time in October 2025, and on June 30, 2026, delivered Phase 1 of Building 2 (75 MW), bringing total live capacity at the campus to 175 MW. ... Applied Digital now expects to achieve its previously stated $1 billion net operating income run-rate target a year from now.</t>
  </si>
  <si>
    <t xml:space="preserve">2025-08-29</t>
  </si>
  <si>
    <t xml:space="preserve">Applied Digital Finalizes Additional 150MW Lease with CoreWeave in North Dakota</t>
  </si>
  <si>
    <t xml:space="preserve">https://ir.applieddigital.com/news-events/press-releases/detail/128/applied-digital-finalizes-additional-150mw-lease-with</t>
  </si>
  <si>
    <t xml:space="preserve">Combined with two initial leases executed in May, this brings the total contracted capacity to 400MW ... The combined value of these 3 agreements is anticipated to generate approximately $11 billion in total contracted lease revenue.</t>
  </si>
  <si>
    <t xml:space="preserve">2026-05-20</t>
  </si>
  <si>
    <t xml:space="preserve">Applied Digital Surpasses 1 GW of Contracted Capacity with Hyperscaler Lease at Polaris Forge 3</t>
  </si>
  <si>
    <t xml:space="preserve">https://ir.applieddigital.com/news-events/press-releases/detail/152/applied-digital-reaches-significant-milestone-surpassing-1</t>
  </si>
  <si>
    <t xml:space="preserve">A 15-year take-or-pay lease valued at approximately $7.5 billion for 300 MW of critical IT load, with a total potential value of up to approximately $18.2 billion if all renewal options are exercised.</t>
  </si>
  <si>
    <t xml:space="preserve">2026-08-04</t>
  </si>
  <si>
    <t xml:space="preserve">Cipher Digital Provides Second Quarter 2026 Business Update</t>
  </si>
  <si>
    <t xml:space="preserve">https://investors.cipherdigital.com/news-releases/news-release-details/cipher-digital-provides-second-quarter-2026-business-update</t>
  </si>
  <si>
    <t xml:space="preserve">Revenue for the three months ended June 30, 2026 was $24.8 million ... net loss of $267.5 million ... Under the amended terms, Cipher began delivering data center capacity at the beginning of August, two months ahead of the original schedule. ... acquired an option on the Apollo site near San Antonio, Texas, supporting up to 900 MW of potential data center capacity.</t>
  </si>
  <si>
    <t xml:space="preserve">Cipher Digital Q2 2026 Business Update (8-K exhibit)</t>
  </si>
  <si>
    <t xml:space="preserve">https://www.sec.gov/Archives/edgar/data/0001819989/000181998926000038/cipherdigital_businessup.htm</t>
  </si>
  <si>
    <t xml:space="preserve">Cipher is developing 700 MW of contracted HPC capacity across Black Pearl, Barber Lake and Stingray. ... Adjusted EBITDA was negative $30.0 million in Q2 2026, compared with negative $48.2 million in Q1 2026. ... At Odessa, Cipher operated 207 megawatts of Bitcoin mining capacity during the quarter.</t>
  </si>
  <si>
    <t xml:space="preserve">Cipher Digital Inc. Form 10-Q for the quarter ended June 30, 2026</t>
  </si>
  <si>
    <t xml:space="preserve">https://www.sec.gov/Archives/edgar/data/0001819989/000181998926000041/cifr-20260630.htm</t>
  </si>
  <si>
    <t xml:space="preserve">Total principal debt was approximately $6.016 billion, consisting of $172.5 million of 1.750% convertible notes due May 2030, $1.300 billion of 0.000% convertible notes due October 2031, $1.733 billion of Barber Lake secured notes at 7.125%, $2.000 billion of Black Pearl secured notes at 6.125%, and $810 million of Stingray secured notes at 6.000%. ... As of June 30, 2026, Cipher had approximately $831.8 million of unrestricted cash, approximately $3.728 billion of restricted project cash, and approximately $37.8 million of bitcoin.</t>
  </si>
  <si>
    <t xml:space="preserve">Cipher Mining announces 300 MW AWS lease at Black Pearl (Q3 2025 business update, 8-K exhibit)</t>
  </si>
  <si>
    <t xml:space="preserve">https://www.sec.gov/Archives/edgar/data/1819989/000181998925000110/nov3_earningspressreleasex.htm</t>
  </si>
  <si>
    <t xml:space="preserve">Cipher Mining announced a 15-year, $5.5 billion lease agreement with Amazon Web Services to supply 300 megawatts of capacity for AI workloads. ... Amazon serves as the ultimate guarantor for all base rent and operating expenses over the life of the lease.</t>
  </si>
  <si>
    <t xml:space="preserve">2025-09-25</t>
  </si>
  <si>
    <t xml:space="preserve">Cipher Mining Signs 168 MW, 10-Year AI Hosting Agreement with Fluidstack (8-K exhibit)</t>
  </si>
  <si>
    <t xml:space="preserve">https://www.sec.gov/Archives/edgar/data/1819989/000095010325012168/dp234624_ex9901.htm</t>
  </si>
  <si>
    <t xml:space="preserve">A 10-year HPC colocation agreement with Fluidstack to deliver 168 MW of critical IT load at its Barber Lake site in Colorado City, Texas ... approximately $3 billion in contracted revenue, with two five-year extension options that could increase total contract value to about $7 billion. Google will backstop $1.4 billion of Fluidstack's lease obligations ... and receive warrants for approximately 24 million CIFR shares.</t>
  </si>
  <si>
    <t xml:space="preserve">Cipher Digital Q2 2026 investor presentation coverage ($11.4B contracted revenue, 5.3 GW portfolio)</t>
  </si>
  <si>
    <t xml:space="preserve">https://www.investing.com/news/company-news/cipher-digital-q2-2026-slides-show-114b-pipeline-amid-earnings-miss-93CH-4834719</t>
  </si>
  <si>
    <t xml:space="preserve">The total portfolio spans approximately 5.3 gigawatts across 11 sites in Texas and Ohio, with 83% representing pipeline HPC capacity, 13% contracted HPC capacity, and 4% Bitcoin mining operations. ... Management estimates those leases will generate approximately $11.4 billion of revenue over their base terms and average annualised net operating income (NOI) of about $793 million between October 2026 and September 2036.</t>
  </si>
  <si>
    <t xml:space="preserve">TIKR: Cipher Digital contracted revenue and consensus estimates</t>
  </si>
  <si>
    <t xml:space="preserve">https://www.tikr.com/blog/cipher-digital-has-11-4-billion-in-contracted-revenue-and-still-trades-19-below-its-52-week-high</t>
  </si>
  <si>
    <t xml:space="preserve">Consensus estimates project the business crossing $870 million in 2027.</t>
  </si>
  <si>
    <t xml:space="preserve">2026-08-05</t>
  </si>
  <si>
    <t xml:space="preserve">TeraWulf Reports Second Quarter 2026 Results</t>
  </si>
  <si>
    <t xml:space="preserve">https://investors.terawulf.com/news-events/press-releases/detail/144/terawulf-reports-second-quarter-2026-results</t>
  </si>
  <si>
    <t xml:space="preserve">102 MW of revenue-generating critical IT capacity online at Lake Mariner, with an additional 336 MW under construction and delivery expected within cost and schedule guidance ... Approximately $3.0 billion of cash and restricted cash at the end of the quarter ... expanded its power-backed platform in Kentucky through approximately a $19 billion Anthropic lease at Justified and acquisition of the gigawatt-scale Muskie Data Campus, agreed to monetize its Abernathy Joint Venture interest for approximately $530 million, and reaffirmed a target of contracting 250-500 MW of incremental critical IT capacity annually.</t>
  </si>
  <si>
    <t xml:space="preserve">TeraWulf Q2 2026 earnings release (Form 8-K exhibit)</t>
  </si>
  <si>
    <t xml:space="preserve">https://www.sec.gov/Archives/edgar/data/0001083301/000108330126000162/a_wulfearningsreleaseq22026.htm</t>
  </si>
  <si>
    <t xml:space="preserve">TeraWulf reported approximately $27 billion in contracted revenue with 839 MW of leased capacity in Q2 2026. The company energized 102 MW of revenue-generating capacity in the second quarter, with an additional 438 MW of contracted capacity targeted for energization by the first half of 2027.</t>
  </si>
  <si>
    <t xml:space="preserve">TeraWulf (WULF) Q2 2026 Earnings Call Transcript</t>
  </si>
  <si>
    <t xml:space="preserve">https://www.fool.com/earnings/call-transcripts/2026/08/12/terawulf-wulf-q2-2026-earnings-call-transcript/</t>
  </si>
  <si>
    <t xml:space="preserve">The company's capital structure includes $2.5 billion in convertible notes at the TeraWulf parent level and $3.2 billion in senior secured notes at WULF Compute, resulting in $2.7 billion of net debt. ... TeraWulf reported 839 MW of contracted critical IT capacity across its platform and a 2.1 GW controlled development pipeline. ... Non-GAAP adjusted EBITDA was negative $18.3 million in Q2 2026, compared with negative $4.1 million in the first quarter. ... Under the Core42 leases, La Lupa will deliver 72.5 MW of GPU-optimized capacity with approximately $1.1 billion in contracted revenue over ten years.</t>
  </si>
  <si>
    <t xml:space="preserve">2026-07-06</t>
  </si>
  <si>
    <t xml:space="preserve">TeraWulf Announces Anthropic Lease at Justified Data Campus and Sale of Majority Interest in Abernathy JV to Fluidstack</t>
  </si>
  <si>
    <t xml:space="preserve">https://investors.terawulf.com/news-events/press-releases/detail/142/terawulf-announces-anthropic-lease-at-justified-data-campus-and-sale-of-majority-interest-in-abernathy-joint-venture-to-fluidstack</t>
  </si>
  <si>
    <t xml:space="preserve">TeraWulf has executed a 20-year lease agreement with Anthropic at its Justified Data campus in Hawesville, Kentucky, which is expected to generate approximately $19 billion of contracted revenue over the initial lease term. The campus will accommodate approximately 401 MW of critical IT load ... ramping to the full 401 MW by early 2028. ... TeraWulf has entered into a definitive agreement to sell its 50.1% ownership interest in the Abernathy Joint Venture to an investor group led by its joint venture partner, Fluidstack.</t>
  </si>
  <si>
    <t xml:space="preserve">2025-10</t>
  </si>
  <si>
    <t xml:space="preserve">TeraWulf Announces Fluidstack Expansion with 160 MW CB-5 Lease at Lake Mariner</t>
  </si>
  <si>
    <t xml:space="preserve">https://investors.terawulf.com/news-events/press-releases/detail/114/terawulf-announces-fluidstack-expansion-with-160-mw-cb-5</t>
  </si>
  <si>
    <t xml:space="preserve">With CB-5, total contracted critical IT load for Fluidstack at the campus increases to approximately 360 MW. ... Google will provide an incremental backstop of $1.4 billion in support of project-related debt financing, and with this incremental commitment, Google's total backstop increases to approximately $3.2 billion.</t>
  </si>
  <si>
    <t xml:space="preserve">2025-08-14</t>
  </si>
  <si>
    <t xml:space="preserve">TeraWulf Signs 200+ MW, 10-Year AI Hosting Agreements with Fluidstack (8-K exhibit)</t>
  </si>
  <si>
    <t xml:space="preserve">https://www.sec.gov/Archives/edgar/data/1083301/000110465925079463/tm2523651d3_ex99-1.htm</t>
  </si>
  <si>
    <t xml:space="preserve">The agreements represent approximately $3.7 billion in contracted revenue over the initial 10-year terms and include two five-year extension options which, if exercised, would bring the total contract revenue to approximately $8.7 billion.</t>
  </si>
  <si>
    <t xml:space="preserve">Hut 8 Reports Second Quarter 2026 Results (PR Newswire, also at hut8.com and prnewswire.com/302841830)</t>
  </si>
  <si>
    <t xml:space="preserve">https://www.morningstar.com/news/pr-newswire/20260804fl17760/hut-8-reports-second-quarter-2026-results</t>
  </si>
  <si>
    <t xml:space="preserve">As of June 30, 2026, Hut 8 had 5,400 MW of Energy Capacity Under Diligence, 1,880 MW of Energy Capacity Under Exclusivity, 50 MW of Energy Capacity Under Development, and 1,330 MW of Energy Capacity Under Construction.</t>
  </si>
  <si>
    <t xml:space="preserve">Hut 8 Reports Second Quarter 2026 Results</t>
  </si>
  <si>
    <t xml:space="preserve">https://www.prnewswire.com/news-releases/hut-8-reports-second-quarter-2026-results-302841830.html</t>
  </si>
  <si>
    <t xml:space="preserve">the company has produced data center leases representing 949 MW of contracted IT capacity, approximately $26.6 billion of expected aggregate base-term value leased or backstopped by investment-grade counterparties, more than $1.75 billion of expected average annual NOI, and $7.5 billion of investment-grade financing. ... facilities representing 1,330 MW of utility capacity are in active construction across River Bend and Beacon Point, targeted for initial data hall delivery in Q2 2027 and Q3 2027, respectively.</t>
  </si>
  <si>
    <t xml:space="preserve">Hut 8 Reports Second Quarter 2026 Results (balance sheet detail)</t>
  </si>
  <si>
    <t xml:space="preserve">https://www.tradingview.com/news/prnewswire:f35b4b8880608:0-hut-8-reports-second-quarter-2026-results/</t>
  </si>
  <si>
    <t xml:space="preserve">As of June 30, 2026, Hut 8 maintained approximately $8.1 billion in unrestricted cash, restricted cash and cash equivalents, and Bitcoin holdings, including $7.6 billion attributable to Hut 8 and $497.2 million attributable to American Bitcoin.</t>
  </si>
  <si>
    <t xml:space="preserve">Hut 8 (HUT) Q2 2026 Earnings Call Transcript</t>
  </si>
  <si>
    <t xml:space="preserve">https://www.fool.com/earnings/call-transcripts/2026/08/11/hut-8-hut-q2-2026-earnings-call-transcript/</t>
  </si>
  <si>
    <t xml:space="preserve">Q2 revenue increased 81% year over year to $74.9 million, while gross margin expanded to approximately 64% and adjusted EBITDA rose to $10.4 million. ... The total contracted IT capacity across Hut 8's AI data center portfolio of 949 MW comprises 704 MW at Beacon Point and 245 MW at River Bend. ... the River Bend financing consisted of $3.25 billion of fully amortizing senior secured notes due 2042, while Beacon Point Building One was financed with $4.25 billion of senior secured notes.</t>
  </si>
  <si>
    <t xml:space="preserve">2026-07 (mid-July 2026)</t>
  </si>
  <si>
    <t xml:space="preserve">Hut 8 Fully Commercializes 1 GW Beacon Point AI Data Center Campus with Second 352 MW IT Lease, Bringing Campus-Level Base-Term Contract Value to $19.6 Billion</t>
  </si>
  <si>
    <t xml:space="preserve">https://www.prnewswire.com/news-releases/hut-8-fully-commercializes-1-gw-beacon-point-ai-data-center-campus-with-second-352-mw-it-lease-bringing-campus-level-base-term-contract-value-to-19-6-billion-302829514.html</t>
  </si>
  <si>
    <t xml:space="preserve">Hut 8 Fully Commercializes 1 GW Beacon Point AI Data Center Campus with Second 352 MW IT Lease, Bringing Campus-Level Base-Term Contract Value to $19.6 Billion (release title); related coverage: 'Hut 8 Enters 15-Year, $9.8B Capacity Lease For 352MW On The Second Phase Of Its 1GW Beacon Point Data Center Campus In Texas'</t>
  </si>
  <si>
    <t xml:space="preserve">Galaxy Digital Q2 2026 Earnings Press Release (EDGAR exhibit)</t>
  </si>
  <si>
    <t xml:space="preserve">https://www.sec.gov/Archives/edgar/data/1859392/000185939226000084/glxy-20260630xpressrelease.htm</t>
  </si>
  <si>
    <t xml:space="preserve">The Data Centers segment recorded $18.9 million of GAAP leasing revenue as Helios Phase I deliveries ramped, with all 133 MW of contracted critical IT load in service by quarter-end.</t>
  </si>
  <si>
    <t xml:space="preserve">2026-06 (June 2026)</t>
  </si>
  <si>
    <t xml:space="preserve">Galaxy Completes Phase I of Its Helios Data Center Campus, Delivering 133 Megawatts of Critical IT Load to CoreWeave</t>
  </si>
  <si>
    <t xml:space="preserve">https://www.prnewswire.com/news-releases/galaxy-completes-phase-i-of-its-helios-data-center-campus-delivering-133-megawatts-of-critical-it-load-to-coreweave-302818664.html</t>
  </si>
  <si>
    <t xml:space="preserve">Galaxy completed delivery of the first phase of power at its Helios data center campus in West Texas, delivering 200 MW of gross power — 133 MW of critical IT load — to CoreWeave under a 15-year lease agreement. ... Across Phases I through III, CoreWeave has committed to 526 MW of critical IT load — the full 800 MW of gross power currently approved and contracted at Helios — under 15-year leases that include two five-year extension options and are expected to generate more than $1 billion in average annual revenue.</t>
  </si>
  <si>
    <t xml:space="preserve">Galaxy Digital plans $3.507 billion debt offering for Helios data center expansion</t>
  </si>
  <si>
    <t xml:space="preserve">https://finance.yahoo.com/technology/ai/articles/galaxy-digital-plans-3-507-143713956.html</t>
  </si>
  <si>
    <t xml:space="preserve">Helios's total approved power capacity has expanded to 1.63 gigawatts (GW), with the potential to scale to as much as 3.6 GW. ... Galaxy's presentation lists $10.4 billion in minimum contracted lease payments over the initial term.</t>
  </si>
  <si>
    <t xml:space="preserve">Galaxy Digital (GLXY) Q2 2026 Earnings Call Transcript</t>
  </si>
  <si>
    <t xml:space="preserve">https://www.fool.com/earnings/call-transcripts/2026/08/12/galaxy-digital-glxy-q2-2026-earnings-call-transcript/</t>
  </si>
  <si>
    <t xml:space="preserve">Galaxy provided Phase I leasing revenue guidance of $80 million per quarter starting in the third quarter, supported by the full delivery of 133 megawatts to CoreWeave. ... Galaxy began construction on the 260 MW critical IT capacity expansion for Helios Phase II, with data hall deliveries expected to start in Q2 2027. ... Phase I adjusted EBITDA margin is expected at over 90% on a project level beginning in the third quarter of 2026.</t>
  </si>
  <si>
    <t xml:space="preserve">Galaxy Closes $1.4 Billion Project Financing Facility to Accelerate Helios AI Datacenter Development</t>
  </si>
  <si>
    <t xml:space="preserve">https://www.prnewswire.com/news-releases/galaxy-closes-1-4-billion-project-financing-facility-to-accelerate-helios-ai-datacenter-development-302530804.html</t>
  </si>
  <si>
    <t xml:space="preserve">Galaxy Closes $1.4 Billion Project Financing Facility to Accelerate Helios AI Datacenter Development (release title; facility funds Helios buildout)</t>
  </si>
  <si>
    <t xml:space="preserve">Core Scientific Announces Second Quarter 2026 Results (also Businesswire 20260727468665)</t>
  </si>
  <si>
    <t xml:space="preserve">https://investors.corescientific.com/news-events/press-releases/detail/139/core-scientific-announces-second-quarter-2026-results</t>
  </si>
  <si>
    <t xml:space="preserve">Core Scientific announced a partnership with AMD with the potential to support up to 2.5 GW of leasable capacity, anchored by 15-year agreements for approximately 530 MW across five sites and more than $14 billion of potential base contracted revenue. ... Approximately 380 megawatts will be delivered directly to AMD under a triple-net lease across Pecos, Hunt, and Muskogee. ... AMD secured the right to reserve up to an additional 1,925 megawatts of capacity through December 28, 2028</t>
  </si>
  <si>
    <t xml:space="preserve">Core Scientific Q2 2026 revenue hits $164.2M | CORZ 8-K Filing (EDGAR exhibit: q22026corescientificinc-ea.htm)</t>
  </si>
  <si>
    <t xml:space="preserve">https://www.stocktitan.net/sec-filings/CORZ/8-k-core-scientific-inc-tx-reports-material-event-36e3061db5d9.html</t>
  </si>
  <si>
    <t xml:space="preserve">Q2 2026 revenue grew to $164.2M on surging colocation demand, while Core Scientific recorded a $1.16B net loss driven by warrant revaluation; liquidity stood at $1.82B and leased capacity reached 1.1 GW.</t>
  </si>
  <si>
    <t xml:space="preserve">Earnings call transcript: Core Scientific posts strong Q2 2026 ramp, shares fall</t>
  </si>
  <si>
    <t xml:space="preserve">https://www.investing.com/news/transcripts/earnings-call-transcript-core-scientific-posts-strong-q2-2026-ramp-shares-fall-93CH-4817081</t>
  </si>
  <si>
    <t xml:space="preserve">CoreWeave contracts cover about 590 MW of infrastructure, with over $10 billion in potential revenue and roughly $850 million in average annualized colocation GAAP revenue over contract terms. ... it said it had substantially completed four of five campuses ahead of schedule, with Dalton Phase Two, the final CoreWeave campus, remaining on track for completion in early 2027.</t>
  </si>
  <si>
    <t xml:space="preserve">Core Scientific shareholder vote sinks $9 billion CoreWeave deal (also DCD, Sherwood, CoreWeave IR statement)</t>
  </si>
  <si>
    <t xml:space="preserve">https://www.theblock.co/post/376959/core-scientific-vote-sinks-9-billion-coreweave-deal-halting-merger-ai-cloud-bitcoin-miner</t>
  </si>
  <si>
    <t xml:space="preserve">Of the votes cast on the merger proposal, 20,752,327 were in favor, 203,451,498 were against, and 21,588,639 abstained. ... Core Scientific said that the required majority approval from its stockholders was not obtained, and, in line with the terms of the agreement, it terminated the deal with immediate effect. The company continues to operate independently as a publicly listed entity, with its shares trading on Nasdaq under the ticker symbol CORZ.</t>
  </si>
  <si>
    <t xml:space="preserve">Core Scientific lands AMD AI deal as bitcoin mining operation winds down</t>
  </si>
  <si>
    <t xml:space="preserve">https://www.coindesk.com/business/2026/07/28/core-scientific-lands-amd-ai-deal-as-bitcoin-mining-operation-winds-down</t>
  </si>
  <si>
    <t xml:space="preserve">The initial agreement represents more than $14 billion of base contracted revenue across the 15-year agreements with 2.5% annual escalators. ... Customer deployments under the AMD partnership are expected to begin in 2027.</t>
  </si>
  <si>
    <t xml:space="preserve">2026-08-10</t>
  </si>
  <si>
    <t xml:space="preserve">Riot Platforms Reports Second Quarter 2026 Financial Results and Strategic Highlights</t>
  </si>
  <si>
    <t xml:space="preserve">https://www.globenewswire.com/news-release/2026/08/10/3342174/0/en/riot-platforms-reports-second-quarter-2026-financial-results-and-strategic-highlights.html</t>
  </si>
  <si>
    <t xml:space="preserve">Riot Platforms announced a landmark 20-year lease with a leading frontier AI lab for 191 megawatts of critical IT capacity at its Rockdale campus, a deal expected to generate approximately $9.1 billion in total contract revenue. ... The initial term is expected to generate approximately $9.1 billion in total contract revenue, with two five-year extension options that would bring total potential contract value to about $16.1 billion if exercised</t>
  </si>
  <si>
    <t xml:space="preserve">Riot Platforms Q2 2026 press release (8-K exhibit 99.1, EDGAR)</t>
  </si>
  <si>
    <t xml:space="preserve">https://www.sec.gov/Archives/edgar/data/1167419/000110465926093406/riot-20260810xex99d1.htm</t>
  </si>
  <si>
    <t xml:space="preserve">Executed 20-year data center lease with a leading frontier AI lab</t>
  </si>
  <si>
    <t xml:space="preserve">Riot Platforms Q2 2026 earnings call transcript</t>
  </si>
  <si>
    <t xml:space="preserve">https://www.fool.com/earnings/call-transcripts (Riot Q2 2026 call, via Investing.com transcript 93CH-4850509)</t>
  </si>
  <si>
    <t xml:space="preserve">In the last seven months, Riot went from zero contracted data center revenue to 241 megawatts of executed capacity with AMD and a leading frontier AI lab. ... Corsicana has 1 gigawatt of fully approved utility power on Riot-owned land, with potential for 756 megawatts of critical IT capacity. The entire Corsicana campus is under a non-binding letter of intent to a single tenant. ... Management expects to convert the Corsicana LOI into a definitive lease, which could represent in excess of $1 billion in annual rent upon full deployment.</t>
  </si>
  <si>
    <t xml:space="preserve">RIOT Q2 2026 Earnings Call coverage: Riot Platforms Inks $9.1 Billion AI Data Center Lease</t>
  </si>
  <si>
    <t xml:space="preserve">https://finance.biggo.com/news/US_RIOT_2026-08-10</t>
  </si>
  <si>
    <t xml:space="preserve">Q2 2026 revenue reached $174 million, up 14% year-over-year, driven by data center and engineering growth, though the company reported a GAAP net loss of $237 million due to significant non-cash items. ... The 191 MW build includes phase 1 of 96 MW due December 2027, with full deployment by June 2028 ... The combined Rockdale campus, including AMD's 50 MW, now projects $416–$462 million in average annual NOI across 241 MW ... Coupled with an existing AMD lease, Riot now has $9.8 billion in contracted data center revenue</t>
  </si>
  <si>
    <t xml:space="preserve">Riot Platforms Soars 17% on $9.1B Anthropic Data Center Deal (third-party tenant identification)</t>
  </si>
  <si>
    <t xml:space="preserve">https://247wallst.com/investing/2026/08/11/riot-platforms-soars-17-on-9-1b-anthropic-data-center-deal-ai-infrastructure-peers-iren-applied-digital-terawulf-head-higher/</t>
  </si>
  <si>
    <t xml:space="preserve">Riot Platforms Soars 17% on $9.1B Anthropic Data Center Deal; AI Infrastructure Peers IREN, Applied Digital, TeraWulf Head Higher (headline — Riot itself discloses only 'a leading frontier AI lab')</t>
  </si>
  <si>
    <t xml:space="preserve">2026-08 (early August 2026)</t>
  </si>
  <si>
    <t xml:space="preserve">MARA Holdings (NASDAQ: MARA) hit by $611.3M Q2 loss amid AI power build-out (8-K coverage)</t>
  </si>
  <si>
    <t xml:space="preserve">https://www.stocktitan.net/sec-filings/MARA/8-k-mara-holdings-inc-reports-material-event-fd35e0a4abb7.html</t>
  </si>
  <si>
    <t xml:space="preserve">Revenue was $174.9 million, down 27% from $238.5 million, and the company reported a net loss of $611 million, or $1.60 per share. ... reported a net loss of $611.3 million for Q2 2026, driven largely by a $343 million unrealized mark-to-market adjustment on digital assets due to the drop in Bitcoin price.</t>
  </si>
  <si>
    <t xml:space="preserve">MARA Holdings Inc (MARA) (Q2 2026) Earnings Call Highlights: Strategic Expansion and Bitcoin...</t>
  </si>
  <si>
    <t xml:space="preserve">https://finance.yahoo.com/markets/crypto/articles/mara-holdings-inc-mara-q2-050428345.html</t>
  </si>
  <si>
    <t xml:space="preserve">The company is rapidly expanding its power portfolio to 4.8 GW, positioning itself as a leading digital infrastructure provider for AI and high-performance computing. ... A 2-gigawatt site in Matagorda County, Texas, which management described as transformational for the company's scale and positioning within the ERCOT power market ... Long Ridge Energy acquisition, adding more than 1 gigawatt of potential capacity and 505 MW of contracted, vertically integrated power generation</t>
  </si>
  <si>
    <t xml:space="preserve">MARA (MARA) Q2 2026 Earnings Call Transcript</t>
  </si>
  <si>
    <t xml:space="preserve">https://www.fool.com/earnings/call-transcripts (MARA Q2 2026 call, via The Globe and Mail transcript 3842251)</t>
  </si>
  <si>
    <t xml:space="preserve">Cash and cash equivalents totaled $421.3 million; approximately $2.5 billion in combined cash and Bitcoin. ... $600 million in incremental borrowings through Coinbase and Two Prime, secured by 54% of the company's Bitcoin holdings, with a 7.56% weighted average cost for the incremental borrowings.</t>
  </si>
  <si>
    <t xml:space="preserve">2026-08-07</t>
  </si>
  <si>
    <t xml:space="preserve">MARA Bitcoin Holdings Decline Highlights Q2 2026 Financial Strain (secondary source — treat with caution)</t>
  </si>
  <si>
    <t xml:space="preserve">https://en.cryptonomist.ch/2026/08/07/mara-bitcoin-holdings-decline/</t>
  </si>
  <si>
    <t xml:space="preserve">MARA's Bitcoin holdings fell 29% year over year to 35,577 BTC at the end of Q2 2026. ... MARA sold 2,213 BTC in Q2 after offloading 20,880 BTC in Q1, and later pledged 18,750 BTC as collateral for two new credit facilities.</t>
  </si>
  <si>
    <t xml:space="preserve">MARA Q2 2026 slides: digital infrastructure pivot amid mining losses</t>
  </si>
  <si>
    <t xml:space="preserve">https://www.investing.com/news/company-news/mara-q2-2026-slides-digital-infrastructure-pivot-amid-mining-losses-93CH-4844908</t>
  </si>
  <si>
    <t xml:space="preserve">The company's 'Digital Infrastructure Triad' encompasses three interconnected pillars: AI (focusing on training, inference, and token factory operations), Power (including owned and operated assets, grid connections, and behind-the-meter solutions), and Critical IT (public and private cloud data centers).</t>
  </si>
  <si>
    <t xml:space="preserve">GDS Holdings Limited Reports Second Quarter 2026 Results (GlobeNewswire)</t>
  </si>
  <si>
    <t xml:space="preserve">https://www.globenewswire.com/news-release/2026/08/13/3344406/0/en/gds-holdings-limited-reports-second-quarter-2026-results.html</t>
  </si>
  <si>
    <t xml:space="preserve">Total area committed and pre-committed at the end of Q2 2026 was 784,802 sqm, compared with 663,959 sqm at the end of Q2 2025 and 725,485 sqm at the end of Q1 2026, an increase of 18.2% Y-o-Y and 8.2% Q-o-Q.</t>
  </si>
  <si>
    <t xml:space="preserve">Area in service at the end of Q2 2026 was 684,977 sqm ... Area under construction at the end of Q2 2026 was 170,355 sqm ... Commitment rate for area in service was 92.4% at the end of Q2 2026 ... Utilization rate (area utilized divided by area in service) was 79.2% as of June 30, 2026.</t>
  </si>
  <si>
    <t xml:space="preserve">Net revenue increased by 6.5% year-over-year to RMB3,088.0 million (US$455.1 million) ... Adjusted EBITDA (non-GAAP) increased by 2.5% year-over-year to RMB1,406.0 million (US$207.2 million) ... Adjusted EBITDA margin was 45.5% in the second quarter of 2026 compared with 47.3% in the same period last year.</t>
  </si>
  <si>
    <t xml:space="preserve">GDS revised its 2026 revenue guidance from RMB12,400 million - RMB12,900 million to RMB12,700 million - RMB13,000 million, representing a Y-o-Y increase of between 11.1% to 13.7%; and revised its Adjusted EBITDA guidance from RMB5,750 million - RMB6,000 million to RMB5,900 million - RMB6,100 million, representing an increase of between 9.2% to 12.9% ... revised its capex guidance from around RMB9,000 million to around RMB10,000 million.</t>
  </si>
  <si>
    <t xml:space="preserve">As of June 30, 2026, cash and cash equivalents were RMB14,927.3 million ... Total short-term debt was RMB9,209.5 million, comprised of short-term borrowings and the current portion of long-term borrowings of RMB3,327.3 million, current portion of convertible bonds payable of RMB4,219.0 million and the current portion of finance lease and other financing obligations of RMB1,663.1 million. Total long-term debt was RMB36,921.5 million, comprised of long-term borrowings (excluding current portion) of RMB24,024.5 million, non-current portion of convertible bonds payable of RMB7,573.9 million and the non-current portion of finance lease and other financing obligations of RMB5,323.1 million.</t>
  </si>
  <si>
    <t xml:space="preserve">2026-08-14</t>
  </si>
  <si>
    <t xml:space="preserve">GDS (GDS) Q2 2026 Earnings Call Transcript (The Motley Fool)</t>
  </si>
  <si>
    <t xml:space="preserve">https://www.fool.com/earnings/call-transcripts/2026/08/14/gds-gds-q2-2026-earnings-call-transcript/</t>
  </si>
  <si>
    <t xml:space="preserve">In the second quarter, GDS achieved 260 megawatts of new bookings, bringing its total for the first half of 2026 to a record 470 megawatts ... The company also secured 600 megawatts of additional customer reservations, bringing total binding commitments above 2 gigawatts ... Backlog increased to 757 megawatts at the midpoint of the year, up from 450 megawatts at the beginning of 2026.</t>
  </si>
  <si>
    <t xml:space="preserve">GDS Holdings raises full-year sales target to 1GW by end-2026 (Data Center Dynamics)</t>
  </si>
  <si>
    <t xml:space="preserve">https://www.datacenterdynamics.com/en/news/gds-holdings-raises-full-year-sales-target-to-1gw-by-end-2026/</t>
  </si>
  <si>
    <t xml:space="preserve">The company expects more than 1GW in new reservations, with total binding commitments for the first half of the year sitting at more than 2GW, and a further 600MW reserved. The company began the year with a backlog of 450MW, rising to 757MW by the end of Q2.</t>
  </si>
  <si>
    <t xml:space="preserve">VNET Reports Unaudited First Quarter 2026 Financial Results (PR Newswire)</t>
  </si>
  <si>
    <t xml:space="preserve">https://www.prnewswire.com/news-releases/vnet-reports-unaudited-first-quarter-2026-financial-results-302781602.html</t>
  </si>
  <si>
    <t xml:space="preserve">Total net revenues rose 19.8% year over year to RMB2.69 billion, while adjusted EBITDA increased 30.6% to RMB891.5 million.</t>
  </si>
  <si>
    <t xml:space="preserve">VNET expects total net revenues of RMB11.5 billion to RMB11.8 billion, representing year-over-year growth of 15.6% to 18.6%. Adjusted EBITDA is expected to be RMB3.55 billion to RMB3.75 billion, representing year-over-year growth of 19.2% to 25.9%.</t>
  </si>
  <si>
    <t xml:space="preserve">VNET Q1 2026 Earnings Call Transcript (The Motley Fool)</t>
  </si>
  <si>
    <t xml:space="preserve">https://www.fool.com/earnings/call-transcripts/2026/05/26/vnet-q1-2026-earnings-call-transcript/</t>
  </si>
  <si>
    <t xml:space="preserve">As of March 31st, 2026, VNET's wholesale capacity in service rose by 18 megawatts to 907 megawatts ... Capacity under construction rose to 516 MW, with a pre-commitment rate of 85.8% ... Total wholesale resource capacity reached 2.48 gigawatts as of March 31, 2026 ... The utilization rate was 75.7%, up from 70.1% last quarter ... the mature capacity utilization rate reached 93.8%.</t>
  </si>
  <si>
    <t xml:space="preserve">Retail capacity in service increased to 50,170 cabinets from 49,863 cabinets last quarter ... Retail utilization remained stable at 64.1%, and monthly recurring revenue per retail cabinet increased slightly to RMB9,448 ... The net debt to adjusted last quarter annualized EBITDA ratio was 3.8x, and total cash and equivalents (including restricted and short-term investments) was RMB8.8 billion as of March 31, 2026.</t>
  </si>
  <si>
    <t xml:space="preserve">VNET to Announce Unaudited Second Quarter 2026 Financial Results on August 18, 2026 (VNET IR)</t>
  </si>
  <si>
    <t xml:space="preserve">https://ir.vnet.com/news-releases/news-release-details/vnet-announce-unaudited-second-quarter-2026-financial-results</t>
  </si>
  <si>
    <t xml:space="preserve">VNET ... announced that it will report its unaudited second quarter 2026 financial results ... on Tuesday, August 18, 2026.</t>
  </si>
  <si>
    <t xml:space="preserve">n/a — fetch attempt 2026-08-17 returned EGRESS_BLOCKED</t>
  </si>
  <si>
    <t xml:space="preserve">NOT ACCESSED (egress blocked): EDGAR 6-K list for Alibaba — where the June-2026-quarter results 6-K and FY2026 20-F live</t>
  </si>
  <si>
    <t xml:space="preserve">https://www.sec.gov/cgi-bin/browse-edgar?action=getcompany&amp;ticker=BABA&amp;type=6-K</t>
  </si>
  <si>
    <t xml:space="preserve">NOT ACCESSED (egress blocked): Alibaba Group IR financial reports page (quarterly results announcements)</t>
  </si>
  <si>
    <t xml:space="preserve">https://www.alibabagroup.com/en-US/ir-financial-reports</t>
  </si>
  <si>
    <t xml:space="preserve">NOT ACCESSED (egress blocked): Alizila, Alibaba's official news site (Feb 2025 RMB 380B AI+cloud capex announcement and any 2026 upsizing)</t>
  </si>
  <si>
    <t xml:space="preserve">https://www.alizila.com/</t>
  </si>
  <si>
    <t xml:space="preserve">NOT ACCESSED (egress blocked): EDGAR 6-K list for Baidu — where the Q2 2026 results 6-K lives</t>
  </si>
  <si>
    <t xml:space="preserve">https://www.sec.gov/cgi-bin/browse-edgar?action=getcompany&amp;ticker=BIDU&amp;type=6-K</t>
  </si>
  <si>
    <t xml:space="preserve">NOT ACCESSED (egress blocked): Baidu IR news releases (quarterly earnings press releases)</t>
  </si>
  <si>
    <t xml:space="preserve">https://ir.baidu.com/news-releases</t>
  </si>
  <si>
    <t xml:space="preserve">NOT ACCESSED (egress blocked): Tencent IR page (quarterly results announcements incl. Q2 2026)</t>
  </si>
  <si>
    <t xml:space="preserve">https://www.tencent.com/en-us/investors.html</t>
  </si>
  <si>
    <t xml:space="preserve">NOT ACCESSED (egress blocked): HKEX news — Tencent (0700.HK) results announcements</t>
  </si>
  <si>
    <t xml:space="preserve">https://www1.hkexnews.hk/search/titlesearch.xhtml</t>
  </si>
  <si>
    <t xml:space="preserve">Oracle Announces Fiscal 2026 Fourth Quarter and Fiscal Full Year Financial Results</t>
  </si>
  <si>
    <t xml:space="preserve">Remaining Performance Obligations, or RPO, ended the quarter at $638 billion, up 363% USD year-over-year and up $85 billion sequentially from the end of Q3.</t>
  </si>
  <si>
    <t xml:space="preserve">Oracle Announces Fiscal 2026 First Quarter Financial Results</t>
  </si>
  <si>
    <t xml:space="preserve">https://www.oracle.com/news/announcement/q1fy26-earnings-release-2025-09-09/</t>
  </si>
  <si>
    <t xml:space="preserve">We signed four multi-billion-dollar contracts with three different customers in Q1</t>
  </si>
  <si>
    <t xml:space="preserve">Oracle Q1 FY26 earnings release - OCI revenue trajectory</t>
  </si>
  <si>
    <t xml:space="preserve">We expect Oracle Cloud Infrastructure revenue to grow 77% to $18 billion this fiscal year—and then increase to $32 billion, $73 billion, $114 billion, and $144 billion over the subsequent four years.</t>
  </si>
  <si>
    <t xml:space="preserve">2025-12-10</t>
  </si>
  <si>
    <t xml:space="preserve">Oracle Announces Fiscal 2026 Second Quarter Financial Results</t>
  </si>
  <si>
    <t xml:space="preserve">https://www.oracle.com/news/announcement/q2fy26-earnings-release-2025-12-10/</t>
  </si>
  <si>
    <t xml:space="preserve">Remaining Performance Obligations (RPO) increased by $68 billion in Q2—up 15% sequentially to $523 billion</t>
  </si>
  <si>
    <t xml:space="preserve">2026-03-10</t>
  </si>
  <si>
    <t xml:space="preserve">Oracle Announces Fiscal 2026 Third Quarter Financial Results</t>
  </si>
  <si>
    <t xml:space="preserve">https://www.oracle.com/news/announcement/q3fy26-earnings-release-2026-03-10/</t>
  </si>
  <si>
    <t xml:space="preserve">Remaining Performance Obligations, or RPO, ended the quarter at $553 billion, up 325% from last year and up $29 billion from last quarter.</t>
  </si>
  <si>
    <t xml:space="preserve">Oracle blog: We've overhauled Project Jupiter's power plan (Dona Ana County, NM - the Stargate NM site)</t>
  </si>
  <si>
    <t xml:space="preserve">https://www.oracle.com/news/announcement/blog/weve-overhauled-project-jupiters-power-plan-2026-07-01/</t>
  </si>
  <si>
    <t xml:space="preserve">We will have a more than 2GW power resource with substantial redundancy built for worst-case reliability scenarios.</t>
  </si>
  <si>
    <t xml:space="preserve">2026-04-27</t>
  </si>
  <si>
    <t xml:space="preserve">Oracle, BorderPlex and Bloom Energy to Power Project Jupiter with Fuel Cell Technology</t>
  </si>
  <si>
    <t xml:space="preserve">https://www.oracle.com/news/announcement/oracle-borderplex-and-bloom-energy-to-power-project-jupiter-with-fuel-cell-technology-2026-04-27/</t>
  </si>
  <si>
    <t xml:space="preserve">the data center will be supported by up to 2.45 GW of installed Bloom fuel cell capacity</t>
  </si>
  <si>
    <t xml:space="preserve">2026-06-01</t>
  </si>
  <si>
    <t xml:space="preserve">Related Digital, Oracle, OpenAI, Walbridge and Governor Whitmer Celebrate Construction of Stargate Campus in Saline Township (Michigan)</t>
  </si>
  <si>
    <t xml:space="preserve">https://www.oracle.com/news/announcement/related-digital-oracle-openai-walbridge-and-governor-whitmer-celebrate-construction-of-stargate-campus-in-saline-township-2026-06-01/</t>
  </si>
  <si>
    <t xml:space="preserve">Oracle, Related Digital, Blackstone, OpenAI, Walbridge, and Governor Gretchen Whitmer today celebrated construction of The Barn, the multi-billion-dollar Stargate data center campus</t>
  </si>
  <si>
    <t xml:space="preserve">Stargate Saline Township PR - construction status</t>
  </si>
  <si>
    <t xml:space="preserve">All campus buildings are now actively under construction with the first of three 550,000-square-foot, single-story, LEED-certified data center buildings nearing completion.</t>
  </si>
  <si>
    <t xml:space="preserve">Project Jupiter Launches Initiative to Save More Water Than It Uses in New Mexico (Dona Ana County)</t>
  </si>
  <si>
    <t xml:space="preserve">https://www.oracle.com/news/announcement/project-jupiter-launches-initiative-with-arable-2026-08-11/</t>
  </si>
  <si>
    <t xml:space="preserve">Project Jupiter is expected to deliver $4.7 billion in economic benefits, create 7,000 construction jobs and 1,500 good-paying ongoing jobs</t>
  </si>
  <si>
    <t xml:space="preserve">2026-07 (late July 2026)</t>
  </si>
  <si>
    <t xml:space="preserve">Microsoft FY26 Q4 earnings release (quarter and fiscal year ended June 30, 2026)</t>
  </si>
  <si>
    <t xml:space="preserve">commercial remaining performance obligation increased 84% to $678 billion</t>
  </si>
  <si>
    <t xml:space="preserve">Microsoft FY26 Q4 earnings release - OpenAI investment impact, full year FY2026</t>
  </si>
  <si>
    <t xml:space="preserve">net income and diluted earnings per share were impacted by net gains from investments in OpenAI, which resulted in an increase...of $4,963 million and $0.67</t>
  </si>
  <si>
    <t xml:space="preserve">2026-01 (late January 2026)</t>
  </si>
  <si>
    <t xml:space="preserve">Microsoft FY26 Q2 earnings release (quarter ended December 31, 2025)</t>
  </si>
  <si>
    <t xml:space="preserve">https://www.microsoft.com/en-us/investor/earnings/fy-2026-q2/press-release-webcast</t>
  </si>
  <si>
    <t xml:space="preserve">In the second quarter of fiscal year 2026, net income and diluted earnings per share were impacted by net gains from investments in OpenAI, which resulted in an increase in net income and diluted earnings per share of $7.6 billion and $1.02, respectively.</t>
  </si>
  <si>
    <t xml:space="preserve">Microsoft FY26 Q2 earnings release - commercial RPO (quarter the reported $250B OpenAI Azure commitment was signed)</t>
  </si>
  <si>
    <t xml:space="preserve">commercial remaining performance obligation increased 110% to $625 billion.</t>
  </si>
  <si>
    <t xml:space="preserve">Microsoft FY26 Q1 earnings release (quarter ended September 30, 2025)</t>
  </si>
  <si>
    <t xml:space="preserve">https://www.microsoft.com/en-us/investor/earnings/fy-2026-q1/press-release-webcast</t>
  </si>
  <si>
    <t xml:space="preserve">In the first quarter of fiscal year 2026, net income and diluted earnings per share were impacted by losses from investments in OpenAI, which resulted in a decrease in net income and diluted earnings per share of $3.1 billion and $0.41, respectively.</t>
  </si>
  <si>
    <t xml:space="preserve">2025-01-21</t>
  </si>
  <si>
    <t xml:space="preserve">OpenAI: Announcing The Stargate Project ($500B / 10 GW over 4 years, Jan 21, 2025) - UNVERIFIED IN-SESSION (openai.com egress-blocked); cited from pre-cutoff knowledge, no quote supplied</t>
  </si>
  <si>
    <t xml:space="preserve">https://openai.com/index/announcing-the-stargate-project/</t>
  </si>
  <si>
    <t xml:space="preserve">2025-09-23</t>
  </si>
  <si>
    <t xml:space="preserve">OpenAI: Five new Stargate sites (Shackelford Cty TX, Dona Ana Cty NM, Lordstown OH, Milam Cty TX, +1; 'nearly 7 GW planned, $400B+ over 3 years', Sep 23, 2025) - UNVERIFIED IN-SESSION (openai.com egress-blocked); no quote supplied</t>
  </si>
  <si>
    <t xml:space="preserve">https://openai.com/index/five-new-stargate-sites/</t>
  </si>
  <si>
    <t xml:space="preserve">2025-09-22</t>
  </si>
  <si>
    <t xml:space="preserve">NVIDIA newsroom: OpenAI and NVIDIA partnership - LOI for at least 10 GW of NVIDIA systems, NVIDIA intends to invest up to $100B progressively as each GW is deployed (Sep 22, 2025) - UNVERIFIED IN-SESSION (domain egress-blocked); no quote supplied</t>
  </si>
  <si>
    <t xml:space="preserve">https://nvidianews.nvidia.com/news/openai-and-nvidia-announce-strategic-partnership-to-deploy-10-gigawatts-of-nvidia-systems</t>
  </si>
  <si>
    <t xml:space="preserve">2025-10-06</t>
  </si>
  <si>
    <t xml:space="preserve">AMD press release: AMD and OpenAI strategic partnership to deploy 6 GW of AMD Instinct GPUs, first 1 GW (MI450) in 2H 2026, warrant for up to 160M AMD shares (Oct 6, 2025) - UNVERIFIED IN-SESSION (domain egress-blocked); exact URL and quote not supplied</t>
  </si>
  <si>
    <t xml:space="preserve">https://ir.amd.com/news-events/press-releases</t>
  </si>
  <si>
    <t xml:space="preserve">2025-10-13</t>
  </si>
  <si>
    <t xml:space="preserve">Broadcom/OpenAI: co-develop and deploy 10 GW of OpenAI-designed custom AI accelerators and Ethernet networking, deployments 2H 2026 through end-2029 (Oct 13, 2025) - UNVERIFIED IN-SESSION (domain egress-blocked); exact URL and quote not supplied</t>
  </si>
  <si>
    <t xml:space="preserve">https://investors.broadcom.com/news-releases</t>
  </si>
  <si>
    <t xml:space="preserve">Microsoft blog: next chapter of Microsoft-OpenAI partnership - Microsoft holds ~27% of OpenAI Group PBC on an as-converted diluted basis (~$135B), OpenAI contracted to purchase an incremental $250B of Azure services, Microsoft ROFR removed (Oct 28, 2025) - UNVERIFIED IN-SESSION (blogs.microsoft.com egress-blocked); no quote supplied</t>
  </si>
  <si>
    <t xml:space="preserve">AWS/Amazon PR: $38B multi-year OpenAI-AWS agreement, hundreds of thousands of NVIDIA GPUs (Nov 3, 2025) - UNVERIFIED IN-SESSION (domain egress-blocked); no quote supplied</t>
  </si>
  <si>
    <t xml:space="preserve">https://press.aboutamazon.com/2025/11/aws-and-openai-announce-multi-year-strategic-partnership</t>
  </si>
  <si>
    <t xml:space="preserve">Reuters (early Oct 2025): OpenAI completed employee secondary share sale (~$6.6B) at ~$500B valuation - exact article URL not reproducible; UNVERIFIED IN-SESSION (reuters.com egress-blocked); no quote supplied</t>
  </si>
  <si>
    <t xml:space="preserve">https://www.reuters.com/</t>
  </si>
  <si>
    <t xml:space="preserve">2025-09-02</t>
  </si>
  <si>
    <t xml:space="preserve">Anthropic raises $13B Series F at $183B post-money valuation</t>
  </si>
  <si>
    <t xml:space="preserve">https://www.anthropic.com/news/anthropic-raises-series-f-at-usd183b-post-money-valuation</t>
  </si>
  <si>
    <t xml:space="preserve">Anthropic: Expanding our use of Google Cloud TPUs (up to 1M TPUs; well over 1 GW online in 2026)</t>
  </si>
  <si>
    <t xml:space="preserve">https://www.anthropic.com/news/expanding-our-use-of-google-cloud-tpus</t>
  </si>
  <si>
    <t xml:space="preserve">2025-11-12</t>
  </si>
  <si>
    <t xml:space="preserve">Anthropic to invest $50 billion in American AI infrastructure (Fluidstack; Texas and New York sites)</t>
  </si>
  <si>
    <t xml:space="preserve">https://www.anthropic.com/news/anthropic-to-invest-50-billion-in-american-ai-infrastructure</t>
  </si>
  <si>
    <t xml:space="preserve">2025-11-18</t>
  </si>
  <si>
    <t xml:space="preserve">Microsoft, NVIDIA and Anthropic announce strategic partnerships ($30B Azure commitment; up to 1 GW; NVIDIA up to $10B / Microsoft up to $5B investment) - exact URL not retrievable this session</t>
  </si>
  <si>
    <t xml:space="preserve">https://blogs.microsoft.com/</t>
  </si>
  <si>
    <t xml:space="preserve">Amazon: Project Rainier AI compute cluster active (~500K Trainium2 chips for Anthropic, scaling to &gt;1M by end-2025; New Carlisle, IN) - exact URL not retrievable this session</t>
  </si>
  <si>
    <t xml:space="preserve">https://www.aboutamazon.com/news/aws</t>
  </si>
  <si>
    <t xml:space="preserve">Elon Musk X post (~Jul 22, 2025): ~230k GPUs incl. ~30k GB200s operational at Colossus 1; first ~550k GB200/GB300 batch at Colossus 2 - exact post URL not retrievable this session</t>
  </si>
  <si>
    <t xml:space="preserve">https://x.com/elonmusk</t>
  </si>
  <si>
    <t xml:space="preserve">2025-03-28</t>
  </si>
  <si>
    <t xml:space="preserve">Elon Musk X post (Mar 28, 2025): xAI acquires X; combination values xAI at $80B and X at $33B ($45B incl. debt)</t>
  </si>
  <si>
    <t xml:space="preserve">2025-11</t>
  </si>
  <si>
    <t xml:space="preserve">CNBC (Nov 2025): xAI raising ~$15B at ~$230B valuation - exact URL not retrievable this session</t>
  </si>
  <si>
    <t xml:space="preserve">https://www.cnbc.com/</t>
  </si>
  <si>
    <t xml:space="preserve">2025-11-19</t>
  </si>
  <si>
    <t xml:space="preserve">Reuters (Nov 19, 2025): Musk says xAI to build 500 MW data center in Saudi Arabia with Humain - exact URL not retrievable this session</t>
  </si>
  <si>
    <t xml:space="preserve">Bloomberg (Oct 2025): NVIDIA to invest up to ~$2B in ~$20B SPV financing GPUs for xAI Colossus 2 - exact URL not retrievable this session</t>
  </si>
  <si>
    <t xml:space="preserve">https://www.bloomberg.com/</t>
  </si>
  <si>
    <t xml:space="preserve">WSJ (Jul 2025): SpaceX to invest $2B in xAI as part of ~$5B equity raise - exact URL not retrievable this session</t>
  </si>
  <si>
    <t xml:space="preserve">https://www.wsj.com/</t>
  </si>
  <si>
    <t xml:space="preserve">2025-10/2025-11</t>
  </si>
  <si>
    <t xml:space="preserve">Elon Musk X posts (Oct-Nov 2025): scaling Starlink V3 satellites with laser links into solar-powered orbital AI datacenters; 'SpaceX will be doing this' - exact post URLs not retrievable this session</t>
  </si>
  <si>
    <t xml:space="preserve">WSJ (Jul 2025): SpaceX to invest $2B in xAI - exact URL not retrievable this session</t>
  </si>
  <si>
    <t xml:space="preserve">Bloomberg (Jul 2025): SpaceX share sale values company at about $400B - exact URL not retrievable this session</t>
  </si>
  <si>
    <t xml:space="preserve">2025-12</t>
  </si>
  <si>
    <t xml:space="preserve">Bloomberg-class reports (Dec 2025): SpaceX discussing insider share sale at up to ~$800B valuation ahead of possible IPO - UNCONFIRMED; exact URL not retrievable this session</t>
  </si>
  <si>
    <t xml:space="preserve">2025-06</t>
  </si>
  <si>
    <t xml:space="preserve">Elon Musk X post (~Jun 2025): SpaceX expected ~$15.5B revenue in 2025 - exact post URL not retrievable this session</t>
  </si>
  <si>
    <t xml:space="preserve">company press release (quoted via search rendering; direct fetch blocked)</t>
  </si>
  <si>
    <t xml:space="preserve">Alibaba Group Announces March Quarter 2026 and Fiscal Year 2026 Results (Business Wire)</t>
  </si>
  <si>
    <t xml:space="preserve">https://www.businesswire.com/news/home/20260512841182/en/Alibaba-Group-Announces-March-Quarter-2026-and-Fiscal-Year-2026-Results</t>
  </si>
  <si>
    <t xml:space="preserve">revenue from Cloud Intelligence Group was RMB41,626 million (US$6,035 million) in the quarter ended March 31, 2026, an increase of 38% compared to RMB30,127 million in the same quarter of 2025 ... Cloud Intelligence Group adjusted EBITA increased by 57% to RMB3,796 million (US$550 million)</t>
  </si>
  <si>
    <t xml:space="preserve">SEC 6-K exhibit (quoted via search rendering; sec.gov fetch blocked)</t>
  </si>
  <si>
    <t xml:space="preserve">Alibaba Group Holding Ltd - Form 6-K ex-99.1, March Quarter 2026 and FY2026 Results</t>
  </si>
  <si>
    <t xml:space="preserve">https://www.sec.gov/Archives/edgar/data/0001577552/000110465926060224/tm2614494d1_ex99-1.htm</t>
  </si>
  <si>
    <t xml:space="preserve">As of March 31, 2026, cash and cash equivalents, short-term investments and other treasury investments ... that are unrestricted for withdrawal and use, were RMB520,824 million (US$75,504 million), compared to RMB597,132 million as of March 31, 2025 ... capital expenditures of RMB126,063 million (US$18,275 million)</t>
  </si>
  <si>
    <t xml:space="preserve">6-K summary (search rendering)</t>
  </si>
  <si>
    <t xml:space="preserve">Alibaba FY 2026 profit falls as AI cloud surges | BABA SEC Filing - Form 6-K (StockTitan)</t>
  </si>
  <si>
    <t xml:space="preserve">https://www.stocktitan.net/sec-filings/BABA/6-k-alibaba-group-holding-ltd-current-report-foreign-issuer-164c9931befd.html</t>
  </si>
  <si>
    <t xml:space="preserve">Fiscal 2026 Cloud Intelligence Group revenue was RMB158,132 million (US$22,924 million), up 34% year-over-year, with adjusted EBITA up 35% to RMB14,265 million (US$2,068 million) ... free cash flow moved from an inflow of RMB73,870 million to an outflow of RMB46,609 million (US$6,757 million)</t>
  </si>
  <si>
    <t xml:space="preserve">company announcement (search rendering)</t>
  </si>
  <si>
    <t xml:space="preserve">2025-02-24</t>
  </si>
  <si>
    <t xml:space="preserve">Alibaba to Invest RMB380 billion in AI and Cloud Infrastructure Over Next Three Years</t>
  </si>
  <si>
    <t xml:space="preserve">https://www.alibabagroup.com/en-US/document-1830678592242057216</t>
  </si>
  <si>
    <t xml:space="preserve">Alibaba Group announced plans to invest at least RMB 380 billion (US $53 billion) over the next three years to advance its cloud computing and AI infrastructure. The investment exceeds Alibaba's total AI and cloud spending over the past decade.</t>
  </si>
  <si>
    <t xml:space="preserve">news (search rendering, paraphrase of May 13 2026 earnings commentary)</t>
  </si>
  <si>
    <t xml:space="preserve">Alibaba jumps as it strikes bullish tone on AI investments, even as profit plunges (CNBC)</t>
  </si>
  <si>
    <t xml:space="preserve">https://www.cnbc.com/2026/05/13/alibaba-earnings-march-quarter-ai-cloud-growth.html</t>
  </si>
  <si>
    <t xml:space="preserve">In its March 2026 quarter, reported on May 13, chief executive Eddie Wu went further, saying the company was likely to overshoot that RMB 380 billion target given the scale of investment required for AI data centers. [search-rendering paraphrase]</t>
  </si>
  <si>
    <t xml:space="preserve">news (search rendering)</t>
  </si>
  <si>
    <t xml:space="preserve">2026</t>
  </si>
  <si>
    <t xml:space="preserve">Alibaba considers increasing AI data center capex spend to $69bn over three years - report (DCD)</t>
  </si>
  <si>
    <t xml:space="preserve">https://www.datacenterdynamics.com/en/news/alibaba-considers-increasing-ai-data-center-capex-spend-to-69bn-over-three-years-report/</t>
  </si>
  <si>
    <t xml:space="preserve">Alibaba Cloud is reportedly considering increasing its planned three-year capex investment in AI infrastructure to $69.05bn (480 billion yuan), which would be an increase on the previously promised $52.4 billion (380 billion yuan).</t>
  </si>
  <si>
    <t xml:space="preserve">Alibaba's Cloud Revenue Growth Accelerates to 40% as AI Strategy Delivers</t>
  </si>
  <si>
    <t xml:space="preserve">https://www.alibabagroup.com/en-US/document-1991364841188622336</t>
  </si>
  <si>
    <t xml:space="preserve">Cloud Intelligence Group's external revenue climbed 40% as enterprise adoption of AI services deepened ... AI-related products accounted for 30% of the Cloud Intelligence Group's external revenue ... expects AI model and application services annualized recurring revenue (ARR) to surpass RMB 10 billion (approximately US$1.4 billion) in the June quarter and RMB 30 billion (approximately US$4.3 billion) by year-end</t>
  </si>
  <si>
    <t xml:space="preserve">third-party aggregator (search rendering) - used only for total debt in net-cash calc</t>
  </si>
  <si>
    <t xml:space="preserve">2026-03-31</t>
  </si>
  <si>
    <t xml:space="preserve">Alibaba Group Holding (BABA) Total Debt - Current &amp; Historical Data</t>
  </si>
  <si>
    <t xml:space="preserve">https://www.financecharts.com/stocks/BABA/balance-sheet/total-debt</t>
  </si>
  <si>
    <t xml:space="preserve">The total debt for Alibaba Group Holding was $38.389 billion for the period ending March 31, 2026.</t>
  </si>
  <si>
    <t xml:space="preserve">2026-05-18</t>
  </si>
  <si>
    <t xml:space="preserve">Baidu Announces First Quarter 2026 Results (PR Newswire)</t>
  </si>
  <si>
    <t xml:space="preserve">https://www.prnewswire.com/news-releases/baidu-announces-first-quarter-2026-results-302774476.html</t>
  </si>
  <si>
    <t xml:space="preserve">Revenue from AI Cloud Infra was RMB 8.8 billion in the first quarter of 2026, up 79% year over year ... Revenue from GPU Cloud increased by 184% year over year in the first quarter of 2026 ... Revenue from AI Applications was RMB 2.5 billion in the first quarter of 2026, approximately flat year over year. Combined, AI Cloud Infra and AI applications drove total AI cloud revenue to RMB 11.3 billion in the first quarter of 2026.</t>
  </si>
  <si>
    <t xml:space="preserve">SEC 6-K exhibit (located via search; sec.gov fetch blocked - contents corroborated via PR Newswire/tickeron renderings)</t>
  </si>
  <si>
    <t xml:space="preserve">Baidu, Inc. - Form 6-K ex-99.1 (Q1 2026 results)</t>
  </si>
  <si>
    <t xml:space="preserve">https://www.sec.gov/Archives/edgar/data/1329099/000119312526076505/d117608dex991.htm</t>
  </si>
  <si>
    <t xml:space="preserve">Total revenue was RMB32.1 billion ($4.65 billion) [search rendering of release; SCMP separately: 'Baidu says AI now primary revenue driver despite 2% drop in first-quarter revenue']</t>
  </si>
  <si>
    <t xml:space="preserve">earnings recap (search rendering)</t>
  </si>
  <si>
    <t xml:space="preserve">Baidu (BIDU) First Quarter 2026 Earnings Recap: AI Momentum Drives Results</t>
  </si>
  <si>
    <t xml:space="preserve">https://tickeron.com/earnings/BIDU/</t>
  </si>
  <si>
    <t xml:space="preserve">As of March 31, 2026, total cash and investments were RMB 279.3 billion ($40.49 billion) ... Operating cash flow was RMB 2.7 billion ($387 million) ... Baidu Core AI-powered Business revenue rose 49% year-over-year to RMB 13.6 billion, accounting for 52% of General Business revenue.</t>
  </si>
  <si>
    <t xml:space="preserve">IR notice (search result title)</t>
  </si>
  <si>
    <t xml:space="preserve">Baidu to Report First Quarter 2026 Financial Results on May 18, 2026</t>
  </si>
  <si>
    <t xml:space="preserve">https://ir.baidu.com/news-releases/news-release-details/baidu-report-first-quarter-2026-financial-results-may-18-2026</t>
  </si>
  <si>
    <t xml:space="preserve">analysis (search rendering)</t>
  </si>
  <si>
    <t xml:space="preserve">Baidu Q1 2026 Earnings: AI Cloud Hits 79% Growth but Margins Stay Under Pressure (TIKR)</t>
  </si>
  <si>
    <t xml:space="preserve">https://www.tikr.com/blog/baidu-q1-2026-earnings-ai-cloud-hits-79-growth-but-margins-stay-under-pressure</t>
  </si>
  <si>
    <t xml:space="preserve">Baidu Q1 2026 Earnings: AI Cloud Hits 79% Growth but Margins Stay Under Pressure [headline]; management stated their overall approach is to maintain strategic investment intensity while preserving financial discipline</t>
  </si>
  <si>
    <t xml:space="preserve">SEC 20-F (located via search; fetch blocked)</t>
  </si>
  <si>
    <t xml:space="preserve">2026-03</t>
  </si>
  <si>
    <t xml:space="preserve">Baidu, Inc. - Form 20-F (FY2025 annual report)</t>
  </si>
  <si>
    <t xml:space="preserve">https://www.sec.gov/Archives/edgar/data/1329099/000119312526109289/d38065d20f.htm</t>
  </si>
  <si>
    <t xml:space="preserve">in 2025, Baidu had net proceeds of RMB20.8 billion from long-term notes, and in March 2025 Baidu completed an offering consisting of CNY7.5 billion of 2.70% notes due 2030 and CNY2.5 billion of 3.00% notes due 2035, as well as a CNY4.4 billion offering of 1.90% senior unsecured notes due 2029 [search rendering]</t>
  </si>
  <si>
    <t xml:space="preserve">news (search result title)</t>
  </si>
  <si>
    <t xml:space="preserve">Baidu says AI now primary business driver despite 2% drop in first-quarter revenue (SCMP)</t>
  </si>
  <si>
    <t xml:space="preserve">https://www.scmp.com/tech/big-tech/article/3353928/baidu-says-ai-now-primary-revenue-driver-despite-2-drop-first-quarter-revenue</t>
  </si>
  <si>
    <t xml:space="preserve">Baidu says AI now primary revenue driver despite 2% drop in first-quarter revenue [headline]</t>
  </si>
  <si>
    <t xml:space="preserve">TENCENT ANNOUNCES 2026 SECOND QUARTER RESULTS (PR Newswire)</t>
  </si>
  <si>
    <t xml:space="preserve">https://www.prnewswire.com/apac/news-releases/tencent-announces-2026-second-quarter-results-302849608.html</t>
  </si>
  <si>
    <t xml:space="preserve">Revenues from FinTech and Business Services rose by 9% year-on-year to RMB60.3 billion for 2Q2026 ... negative free cash flow of RMB13.8 billion for 2Q2026, as net cash generated from operating activities of RMB52.7 billion was more than offset by capital expenditure payments of RMB59.3 billion, media content payments of RMB5.0 billion and lease liability payments of RMB2.2 billion ... fair value of Tencent's shareholdings in listed investee companies (excluding subsidiaries) totalled RMB487.2 billion as at 30 June 2026</t>
  </si>
  <si>
    <t xml:space="preserve">earnings-call summary (search rendering)</t>
  </si>
  <si>
    <t xml:space="preserve">Tencent Holdings (TCEHY) Q2 2026 Earnings Call Highlights (GuruFocus)</t>
  </si>
  <si>
    <t xml:space="preserve">https://www.gurufocus.com/news/9029249/tencent-holdings-ltd-tcehy-q2-2026-earnings-call-highlights-ai-investments-drive-revenue-growth-to-rmb2048-billion-but-capex-surge-pressures-cash-flow</t>
  </si>
  <si>
    <t xml:space="preserve">Tencent's net cash position was RMB 58.2 billion at quarter-end (June 30, 2026) ... The net cash position dropped sharply from RMB 146.9 billion to RMB 58.2 billion due to capital expenditure payments and dividend payouts ... revenue growth to RMB204.8 billion</t>
  </si>
  <si>
    <t xml:space="preserve">earnings summary (search rendering)</t>
  </si>
  <si>
    <t xml:space="preserve">[TCEHY Q2 2026 Earnings Call] CapEx Surges 190% to RMB 51.8B, Core Profit Ex-AI Up 19% as Tencent Doubles Down on AI (BigGo Finance)</t>
  </si>
  <si>
    <t xml:space="preserve">https://finance.biggo.com/news/US_TCEHY_2026-08-12</t>
  </si>
  <si>
    <t xml:space="preserve">Operating CapEx was RMB 51.8 billion, up 190% year-on-year as the company accelerated investments in AI infrastructure ... Tencent Cloud's international business grew more than 40% year-over-year ... losses from new AI products widened to RMB 10.5 billion ... excluding AI-related investments and compute prepayments, free cash flow stood at RMB 37.6 billion</t>
  </si>
  <si>
    <t xml:space="preserve">earnings-call transcript summary (search rendering)</t>
  </si>
  <si>
    <t xml:space="preserve">Earnings call transcript: Tencent posts solid Q2 2026 growth as AI spending surges (Investing.com)</t>
  </si>
  <si>
    <t xml:space="preserve">https://www.investing.com/news/transcripts/earnings-call-transcript-tencent-posts-solid-q2-2026-growth-as-ai-spending-surges-93CH-4855197</t>
  </si>
  <si>
    <t xml:space="preserve">Cloud revenue growth rate accelerated from high teens percentage year-on-year in the first quarter to low 20s percentage in the second quarter, benefiting from AI-related demand, international expansion, and increased usage and pricing for general cloud services ... towards the end of the year and into next year, the company will have sufficient GPU ASIC capacity to step up in terms of Tencent Cloud, renting out bare metal GPU or providing Model-as-a-Service</t>
  </si>
  <si>
    <t xml:space="preserve">Tencent Q2 FY26 profit attributable to equity holders rises 0.7% to RMB 56.02 billion; revenue increases 11% to RMB 204.8bn (Longbridge)</t>
  </si>
  <si>
    <t xml:space="preserve">https://longbridge.com/news/295634470</t>
  </si>
  <si>
    <t xml:space="preserve">Tencent Q2 FY26 profit attributable to equity holders rises 0.7% to RMB 56.02 billion; revenue increases 11% to RMB 204.8 [billion]</t>
  </si>
  <si>
    <t xml:space="preserve">Tencent Q2 Revenue Rises 11%; AI Spending Drags Free Cash Flow Into Negative Territory as Capex Surges 176% (BigGo Finance)</t>
  </si>
  <si>
    <t xml:space="preserve">https://finance.biggo.com/news/fdcf980d-f23b-4dc2-a99c-d58b7d0a589f</t>
  </si>
  <si>
    <t xml:space="preserve">revenue rising 11% year-over-year to RMB 204.8 billion, slightly above market expectations of RMB 202.8 billion ... non-IFRS net profit up 9% YoY to RMB 68.4B ... management noting a 30% profit on recent compute orders</t>
  </si>
  <si>
    <t xml:space="preserve">news (Bloomberg; quote via search rendering)</t>
  </si>
  <si>
    <t xml:space="preserve">OpenAI Valued at $852 Billion After Completing $122 Billion Round</t>
  </si>
  <si>
    <t xml:space="preserve">https://www.bloomberg.com/news/articles/2026-03-31/openai-valued-at-852-billion-after-completing-122-billion-round</t>
  </si>
  <si>
    <t xml:space="preserve">OpenAI completed a deal to raise $122 billion from investors at an $852 billion valuation, marking the company's largest funding round to date by far... Amazon.com Inc. agreed to invest $50 billion in the round, while Nvidia Corp. and SoftBank Group Corp. each put in $30 billion... a little more than a month after it announced $110 billion in funding at a $730 billion valuation.</t>
  </si>
  <si>
    <t xml:space="preserve">news (CNBC; quote via search rendering)</t>
  </si>
  <si>
    <t xml:space="preserve">OpenAI wraps $7 billion share sale ahead of potential IPO</t>
  </si>
  <si>
    <t xml:space="preserve">https://www.cnbc.com/2026/08/10/openai-wraps-7-billion-share-sale-ahead-of-potential-ipo-.html</t>
  </si>
  <si>
    <t xml:space="preserve">OpenAI completed a secondary share sale totaling roughly $7 billion, allowing current and former employees to sell stock at the company's $852 billion valuation... OpenAI confidentially filed its prospectus with the Securities and Exchange Commission in June 2026... Bloomberg and Reuters have reported a target valuation range of $1.75 trillion to above $2 trillion, with a raise of up to $75 billion.</t>
  </si>
  <si>
    <t xml:space="preserve">OpenAI's Revenue Run Rate Tops $40 Billion Ahead of IPO</t>
  </si>
  <si>
    <t xml:space="preserve">https://www.bloomberg.com/news/articles/2026-08-13/openai-s-revenue-run-rate-tops-40-billion-ahead-of-ipo</t>
  </si>
  <si>
    <t xml:space="preserve">OpenAI is on track to generate annualized revenue of more than $40 billion based on its current performance, roughly doubling its run rate from the end of 2025.</t>
  </si>
  <si>
    <t xml:space="preserve">news (TechCrunch; quote via search rendering)</t>
  </si>
  <si>
    <t xml:space="preserve">2025-11-06</t>
  </si>
  <si>
    <t xml:space="preserve">Sam Altman says OpenAI has $20B ARR and about $1.4 trillion in data center commitments</t>
  </si>
  <si>
    <t xml:space="preserve">https://techcrunch.com/2025/11/06/sam-altman-says-openai-has-20b-arr-and-about-1-4-trillion-in-data-center-commitments/</t>
  </si>
  <si>
    <t xml:space="preserve">Currently, OpenAI has committed to about 30 gigawatts of compute with a total cost of ownership of about $1.4 trillion... 'looking at commitments of about $1.4 trillion over the next 8 years.'</t>
  </si>
  <si>
    <t xml:space="preserve">news (SiliconANGLE; quote via search rendering)</t>
  </si>
  <si>
    <t xml:space="preserve">2026-01-19</t>
  </si>
  <si>
    <t xml:space="preserve">OpenAI reveals its data center capacity tripled to 1.9GW in 2025</t>
  </si>
  <si>
    <t xml:space="preserve">https://siliconangle.com/2026/01/19/openai-reveals-data-center-capacity-tripled-1-9gw-2025/</t>
  </si>
  <si>
    <t xml:space="preserve">OpenAI's computing capacity more than tripled in 2025 to roughly 1.9 gigawatts... rose from 0.6 gigawatts to 1.9 gigawatts.</t>
  </si>
  <si>
    <t xml:space="preserve">trade news (DCD; quote via search rendering)</t>
  </si>
  <si>
    <t xml:space="preserve">2026-01 (approx.)</t>
  </si>
  <si>
    <t xml:space="preserve">OpenAI claims to have secured 10GW of AI infrastructure capacity ahead of 2029 target</t>
  </si>
  <si>
    <t xml:space="preserve">https://www.datacenterdynamics.com/en/news/openai-claims-to-have-secured-10gw-of-ai-infrastructure-capacity-ahead-of-2029-target/</t>
  </si>
  <si>
    <t xml:space="preserve">When OpenAI announced Stargate in January 2025, it committed to securing 10GW of AI infrastructure in the United States by 2029, but just over a year later, it has already surpassed that milestone, with more than 3GW added in the last 90 days alone.</t>
  </si>
  <si>
    <t xml:space="preserve">news (Tom's Hardware; quote via search rendering)</t>
  </si>
  <si>
    <t xml:space="preserve">2025-11-14 (approx.)</t>
  </si>
  <si>
    <t xml:space="preserve">OpenAI's colossal AI data center targets would consume as much electricity as entire nation of India (250GW target)</t>
  </si>
  <si>
    <t xml:space="preserve">https://www.tomshardware.com/tech-industry/artificial-intelligence/openais-colossal-ai-data-center-targets-would-consume-as-much-electricity-as-entire-nation-of-india-250gw-target-would-require-30-million-gpus-annually-to-ensure-continuous-operation-emit-twice-as-much-carbon-dioxide-as-exxonmobil</t>
  </si>
  <si>
    <t xml:space="preserve">In an internal memo from September, CEO Sam Altman said that OpenAI's 'audacious long-term goal is to build 250 gigawatts of capacity by 2033.'</t>
  </si>
  <si>
    <t xml:space="preserve">news (quote via search rendering)</t>
  </si>
  <si>
    <t xml:space="preserve">2025-10 (approx.)</t>
  </si>
  <si>
    <t xml:space="preserve">OpenAI Aims to Add 1 Gigawatt of Compute Per Week</t>
  </si>
  <si>
    <t xml:space="preserve">https://www.pymnts.com/artificial-intelligence-2/2025/openai-aims-to-add-1-gigawatt-of-compute-per-week/</t>
  </si>
  <si>
    <t xml:space="preserve">Sam Altman announced... OpenAI would like to build an AI factory to make 1 gigawatt of compute per week of new capacity... 'at a greatly reduced cost relative to today.'</t>
  </si>
  <si>
    <t xml:space="preserve">company IR (NVIDIA; quote via search rendering)</t>
  </si>
  <si>
    <t xml:space="preserve">OpenAI and NVIDIA Announce Strategic Partnership to Deploy 10 Gigawatts of NVIDIA Systems</t>
  </si>
  <si>
    <t xml:space="preserve">https://investor.nvidia.com/news/press-release-details/2025/OpenAI-and-NVIDIA-Announce-Strategic-Partnership-to-Deploy-10-Gigawatts-of-NVIDIA-Systems/default.aspx</t>
  </si>
  <si>
    <t xml:space="preserve">strategic partnership to deploy at least 10 gigawatts of AI data centers with NVIDIA systems, with NVIDIA intending to invest up to $100 billion in OpenAI progressively as each gigawatt is deployed. The first gigawatt of NVIDIA systems will be deployed in the second half of 2026.</t>
  </si>
  <si>
    <t xml:space="preserve">company IR (AMD; quote via search rendering; also in AMD 10-K/A FY2025 on EDGAR)</t>
  </si>
  <si>
    <t xml:space="preserve">AMD and OpenAI Announce Strategic Partnership to Deploy 6 Gigawatts of AMD GPUs</t>
  </si>
  <si>
    <t xml:space="preserve">https://ir.amd.com/news-events/press-releases/detail/1260/amd-and-openai-announce-strategic-partnership-to-deploy-6-gigawatts-of-amd-gpus</t>
  </si>
  <si>
    <t xml:space="preserve">product purchase agreement... to deploy 6 gigawatts of AMD GPUs, with the deployment of the first gigawatt... powered by the AMD Instinct MI450 series... AMD issued OpenAI a warrant to purchase up to an aggregate of 160 million shares of AMD's common stock at an exercise price of $0.01 per share... vest in tranches based on certain AMD Instinct GPU purchase milestones.</t>
  </si>
  <si>
    <t xml:space="preserve">company blog + news (quotes via search rendering)</t>
  </si>
  <si>
    <t xml:space="preserve">The next chapter of the Microsoft–OpenAI partnership (Official Microsoft Blog); corroborated by CNBC and DCD</t>
  </si>
  <si>
    <t xml:space="preserve">Microsoft gets a 27% equity stake in OpenAI's new for-profit entity, the OpenAI Group PBC (Public Benefit Corporation), a stake valued at approximately $135 billion... OpenAI has contracted to purchase an incremental $250 billion in Microsoft Azure cloud services... Microsoft will no longer have a 'right of first refusal' on new OpenAI cloud workloads... retain its intellectual property rights to OpenAI models and products through 2032... any declaration of AGI by OpenAI now subject to verification by an independent expert panel.</t>
  </si>
  <si>
    <t xml:space="preserve">2026-02-28</t>
  </si>
  <si>
    <t xml:space="preserve">The billion-dollar infrastructure deals powering the AI boom</t>
  </si>
  <si>
    <t xml:space="preserve">https://techcrunch.com/2026/02/28/billion-dollar-infrastructure-deals-ai-boom-data-centers-openai-oracle-nvidia-microsoft-google-meta/</t>
  </si>
  <si>
    <t xml:space="preserve">Oracle inked a deal worth more than $300 billion over five years with OpenAI... described as a $300 billion cloud contract beginning in 2027... requires about 4.5 gigawatts... In November, OpenAI inked a $38 billion deal to secure cloud compute capacity from Amazon... covered $38 billion across seven years... hundreds of thousands of Nvidia GB200 and GB300 GPUs... multi-year collaboration with Broadcom to deploy 10 gigawatts of custom AI accelerators starting in the second half of 2026... CoreWeave... signed a $22.4 billion deal with OpenAI.</t>
  </si>
  <si>
    <t xml:space="preserve">news (Reuters syndicated; quote via search rendering)</t>
  </si>
  <si>
    <t xml:space="preserve">2026 (date not confirmed)</t>
  </si>
  <si>
    <t xml:space="preserve">OpenAI expects compute spend of around $600 billion through 2030, source says (Reuters via Yahoo)</t>
  </si>
  <si>
    <t xml:space="preserve">https://finance.yahoo.com/news/openai-sees-compute-spend-around-223950561.html</t>
  </si>
  <si>
    <t xml:space="preserve">OpenAI expects compute spend of around $600 billion through 2030, source says. [Separately, a WSJ-attributed report: 'OpenAI lifts planned compute spending to $750 billion through 2030.']</t>
  </si>
  <si>
    <t xml:space="preserve">company press release (title/summary via search rendering)</t>
  </si>
  <si>
    <t xml:space="preserve">2026-05-28</t>
  </si>
  <si>
    <t xml:space="preserve">Anthropic raises $65B in Series H funding at $965B post-money valuation</t>
  </si>
  <si>
    <t xml:space="preserve">https://www.anthropic.com/news/series-h</t>
  </si>
  <si>
    <t xml:space="preserve">Anthropic raises $65B in Series H funding at $965B post-money valuation ... Since their Series G in February, adoption has continued to grow across global enterprise customers, and their run-rate revenue crossed $47 billion earlier in May.</t>
  </si>
  <si>
    <t xml:space="preserve">company statement (via search rendering)</t>
  </si>
  <si>
    <t xml:space="preserve">Anthropic on X (run-rate revenue)</t>
  </si>
  <si>
    <t xml:space="preserve">https://x.com/AnthropicAI/status/2060061348818518493</t>
  </si>
  <si>
    <t xml:space="preserve">Earlier this month, our run-rate revenue crossed $47 billion.</t>
  </si>
  <si>
    <t xml:space="preserve">news (NBC News, via search rendering)</t>
  </si>
  <si>
    <t xml:space="preserve">Anthropic secures $965 billion valuation after raising $65 billion</t>
  </si>
  <si>
    <t xml:space="preserve">https://www.nbcnews.com/tech/tech-news/anthropic-secures-965-billion-valuation-raising-65-billion-rcna347390</t>
  </si>
  <si>
    <t xml:space="preserve">news (TechCrunch, via search rendering)</t>
  </si>
  <si>
    <t xml:space="preserve">2026-02-12</t>
  </si>
  <si>
    <t xml:space="preserve">Anthropic raises another $30B in Series G, with a new value of $380B</t>
  </si>
  <si>
    <t xml:space="preserve">https://techcrunch.com/2026/02/12/anthropic-raises-another-30-billion-in-series-g-with-a-new-value-of-380-billion/</t>
  </si>
  <si>
    <t xml:space="preserve">Anthropic closed a $30 billion Series G funding round on February 12, 2026, at a $380 billion post-money valuation ... led by GIC and Coatue and co-led by D. E. Shaw Ventures, Dragoneer, Founders Fund, ICONIQ, and MGX</t>
  </si>
  <si>
    <t xml:space="preserve">news (CNBC, via search rendering)</t>
  </si>
  <si>
    <t xml:space="preserve">2026-01-07</t>
  </si>
  <si>
    <t xml:space="preserve">Anthropic signs term sheet for $10 billion funding round at $350 billion valuation</t>
  </si>
  <si>
    <t xml:space="preserve">https://www.cnbc.com/2026/01/07/anthropic-funding-term-sheet-valuation.html</t>
  </si>
  <si>
    <t xml:space="preserve">company press release (title via search rendering; anthropic.com blocked by proxy)</t>
  </si>
  <si>
    <t xml:space="preserve">Anthropic and Amazon expand collaboration for up to 5 gigawatts of new compute [title]; per SiliconANGLE rendering: 'an immediate $5 billion of new equity into Anthropic, layers up to $20 billion in additional milestone-based commitments on top, and binds [the] Claude maker to spend $100 billion on Amazon Web Services over the next decade'</t>
  </si>
  <si>
    <t xml:space="preserve">Amazon opens $11 billion AI data center Project Rainier in Indiana</t>
  </si>
  <si>
    <t xml:space="preserve">https://www.cnbc.com/2025/10/29/amazon-opens-11-billion-ai-data-center-project-rainier-in-indiana.html</t>
  </si>
  <si>
    <t xml:space="preserve">roughly 500,000 of its own Trainium2 chips, devoted to a single customer — Anthropic ... Together, they draw a combined 2.2 gigawatts of electricity ... with plans to reach over 1 million chips.</t>
  </si>
  <si>
    <t xml:space="preserve">Anthropic on X (Google TPU expansion)</t>
  </si>
  <si>
    <t xml:space="preserve">https://x.com/AnthropicAI/status/1981460118354219180</t>
  </si>
  <si>
    <t xml:space="preserve">Today, we announced that we plan to expand our use of Google TPUs, securing approximately one million TPUs and more than a gigawatt of capacity in 2026.</t>
  </si>
  <si>
    <t xml:space="preserve">news (Tom's Hardware, headline via search rendering; corroborated by Broadcom 8-K on stocktitan)</t>
  </si>
  <si>
    <t xml:space="preserve">Broadcom to supply Anthropic with 3.5 gigawatts of Google TPU capacity from 2027</t>
  </si>
  <si>
    <t xml:space="preserve">https://www.tomshardware.com/tech-industry/broadcom-expands-anthropic-deal-to-3-5gw-of-google-tpu-capacity-from-2027</t>
  </si>
  <si>
    <t xml:space="preserve">Broadcom to supply Anthropic with 3.5 gigawatts of Google TPU capacity from 2027 — Claude pioneer says its annual revenue run rate has passed $30 billion ... This new Anthropic capacity is in addition to the 1 GW already coming online in 2026 under the Google Cloud agreement announced last October</t>
  </si>
  <si>
    <t xml:space="preserve">company press release (via search rendering)</t>
  </si>
  <si>
    <t xml:space="preserve">Microsoft, NVIDIA and Anthropic announce strategic partnerships</t>
  </si>
  <si>
    <t xml:space="preserve">https://blogs.microsoft.com/blog/2025/11/18/microsoft-nvidia-and-anthropic-announce-strategic-partnerships/</t>
  </si>
  <si>
    <t xml:space="preserve">Anthropic has committed to purchase $30 billion of Azure compute capacity and to contract additional compute capacity up to one gigawatt. ... Microsoft will invest up to $5 billion into Anthropic, while Nvidia will invest up to $10 billion</t>
  </si>
  <si>
    <t xml:space="preserve">company IR press release (via search rendering; direct fetch blocked)</t>
  </si>
  <si>
    <t xml:space="preserve">TeraWulf Announces Anthropic Lease at Justified Data Campus and Sale of Majority Interest in Abernathy Joint Venture to Fluidstack</t>
  </si>
  <si>
    <t xml:space="preserve">20-year lease agreement with Anthropic ... at the Justified Data site in Hawesville, Kentucky. The campus will accommodate approximately 401 MW of critical IT load, and the lease is expected to generate approximately $19 billion of contracted revenue over the initial lease term ... ramping to the full 401 MW by early 2028.</t>
  </si>
  <si>
    <t xml:space="preserve">company IR press release (via search rendering)</t>
  </si>
  <si>
    <t xml:space="preserve">Subsequent to quarter-end, TeraWulf entered into a 20-year lease with Anthropic for approximately 401 MW of critical IT capacity, with initial delivery expected in the second half of 2027 and full delivery expected in early 2028.</t>
  </si>
  <si>
    <t xml:space="preserve">2026-04-10</t>
  </si>
  <si>
    <t xml:space="preserve">CoreWeave Announces Multi-Year Agreement With Anthropic</t>
  </si>
  <si>
    <t xml:space="preserve">https://investors.coreweave.com/news/news-details/2026/CoreWeave-Announces-Multi-Year-Agreement-With-Anthropic/default.aspx</t>
  </si>
  <si>
    <t xml:space="preserve">CoreWeave and Anthropic announced an agreement ... to support the development and deployment of Anthropic's Claude family of AI models. The multi-year agreement will bring compute online starting later this year ... Financial terms were not disclosed.</t>
  </si>
  <si>
    <t xml:space="preserve">company press release (via search rendering; anthropic.com blocked)</t>
  </si>
  <si>
    <t xml:space="preserve">Anthropic invests $50 billion in American AI infrastructure</t>
  </si>
  <si>
    <t xml:space="preserve">https://www.anthropic.com/news/anthropic-invests-50-billion-in-american-ai-infrastructure</t>
  </si>
  <si>
    <t xml:space="preserve">Anthropic announced a $50 billion investment in American computing infrastructure, building data centers with Fluidstack in Texas and New York, with more sites to come ... approximately 800 permanent jobs and 2,400 construction jobs, with sites coming online throughout 2026.</t>
  </si>
  <si>
    <t xml:space="preserve">earnings call quote via secondary source — treat with caution</t>
  </si>
  <si>
    <t xml:space="preserve">Amazon Q2 2026 earnings call (Jassy quote, secondary rendering)</t>
  </si>
  <si>
    <t xml:space="preserve">https://tech-insider.org/amazon-anthropic-5-billion-investment-trainium-2026/</t>
  </si>
  <si>
    <t xml:space="preserve">Our Chips revenue run rate is now over $25 billion ... the two leading AI labs in the world in Anthropic and OpenAI making multi-year, multi-gigawatt commitments to Trainium</t>
  </si>
  <si>
    <t xml:space="preserve">2026-02-03</t>
  </si>
  <si>
    <t xml:space="preserve">Musk's xAI, SpaceX combo is the biggest merger of all time, valued at $1.25 trillion</t>
  </si>
  <si>
    <t xml:space="preserve">https://www.cnbc.com/2026/02/03/musk-xai-spacex-biggest-merger-ever.html</t>
  </si>
  <si>
    <t xml:space="preserve">Musk's xAI, SpaceX combo is the biggest merger of all time, valued at $1.25 trillion ... ($1T for SpaceX, $250B for xAI)</t>
  </si>
  <si>
    <t xml:space="preserve">news (Bloomberg, headline via search rendering)</t>
  </si>
  <si>
    <t xml:space="preserve">2026-02-02</t>
  </si>
  <si>
    <t xml:space="preserve">SpaceX Acquires xAI as Musk Prepares for Mega IPO</t>
  </si>
  <si>
    <t xml:space="preserve">https://www.bloomberg.com/news/articles/2026-02-02/elon-musk-s-spacex-said-to-combine-with-xai-ahead-of-mega-ipo</t>
  </si>
  <si>
    <t xml:space="preserve">2026-01-06</t>
  </si>
  <si>
    <t xml:space="preserve">Elon Musk's xAI raises $20 billion from investors including Nvidia, Cisco, Fidelity</t>
  </si>
  <si>
    <t xml:space="preserve">https://www.cnbc.com/2026/01/06/elon-musk-xai-raises-20-billion-from-nvidia-cisco-investors.html</t>
  </si>
  <si>
    <t xml:space="preserve">xAI closed a $20 billion Series E in January 2026 at a $230 billion valuation, upsized from an initial $15 billion target ... including Valor Equity Partners, StepStone Group, Fidelity ... Nvidia Corp., Cisco Investments, and Tesla Inc.</t>
  </si>
  <si>
    <t xml:space="preserve">industry research (SemiAnalysis, headline via search rendering)</t>
  </si>
  <si>
    <t xml:space="preserve">xAI's Colossus 2 - First Gigawatt Datacenter In The World</t>
  </si>
  <si>
    <t xml:space="preserve">https://newsletter.semianalysis.com/p/xais-colossus-2-first-gigawatt-datacenter</t>
  </si>
  <si>
    <t xml:space="preserve">xAI's Colossus 2 - First Gigawatt Datacenter In The World, Unique RL Methodology, Capital Raise</t>
  </si>
  <si>
    <t xml:space="preserve">industry blog (lower-tier source, via search rendering)</t>
  </si>
  <si>
    <t xml:space="preserve">xAI Colossus Hits 2 GW: 555,000 GPUs, $18B, Largest AI Site</t>
  </si>
  <si>
    <t xml:space="preserve">https://introl.com/blog/xai-colossus-2-gigawatt-expansion-555k-gpus-january-2026</t>
  </si>
  <si>
    <t xml:space="preserve">Elon Musk announced xAI purchased a third building in Memphis, expanding Colossus to 2 gigawatts total capacity. The facility will house 555,000 NVIDIA GPUs purchased for approximately $18 billion ... Solaris expects to have over 1.1GW of fully operating turbines for xAI by Q2 2027.</t>
  </si>
  <si>
    <t xml:space="preserve">news (The Information, via search rendering)</t>
  </si>
  <si>
    <t xml:space="preserve">Elon Musk's xAI to Build 500 MW Data Center With Saudi Arabia's Humain</t>
  </si>
  <si>
    <t xml:space="preserve">https://www.theinformation.com/briefings/elon-musks-xai-build-500-mw-data-center-saudi-arabias-humain</t>
  </si>
  <si>
    <t xml:space="preserve">a planned facility of more than 500 MW that will expand xAI's supercluster footprint ... xAI will deploy approximately 18,000 NVIDIA GB300 GPUs in the first cluster ... The first operational phase is scheduled for end-2026 and the balance for mid-2027.</t>
  </si>
  <si>
    <t xml:space="preserve">analysis site (lower-tier, via search rendering)</t>
  </si>
  <si>
    <t xml:space="preserve">HUMAIN Data Centers Riyadh &amp; Dammam: Open Yet?</t>
  </si>
  <si>
    <t xml:space="preserve">https://vision2030.ai/analysis/humain-data-centers-riyadh-dammam-status/</t>
  </si>
  <si>
    <t xml:space="preserve">No public evidence confirms the Riyadh or Dammam sites are operational as of 31 July 2026.</t>
  </si>
  <si>
    <t xml:space="preserve">press estimate (lower-tier, via search rendering)</t>
  </si>
  <si>
    <t xml:space="preserve">Elon Musk's xAI: $500M ARR, $1B Burn, $1.25T SpaceX Merger</t>
  </si>
  <si>
    <t xml:space="preserve">https://www.startuphub.ai/ai-news/ai-figures/2026/figure-elon-musk-xai-company-financial-breakdown-2026-05-26</t>
  </si>
  <si>
    <t xml:space="preserve">xAI told investors it's targeting about $2 billion in Grok revenue for the full 2026 year — a roughly 4x jump from 2025.</t>
  </si>
  <si>
    <t xml:space="preserve">2026-06-12</t>
  </si>
  <si>
    <t xml:space="preserve">SpaceX IPO takeaways: SPCX closes at $161, jumping 19% after record debut</t>
  </si>
  <si>
    <t xml:space="preserve">https://www.cnbc.com/2026/06/12/spacex-ipo-spcx-live-updates.html</t>
  </si>
  <si>
    <t xml:space="preserve">SpaceX priced its IPO on June 11, 2026, and started trading on the Nasdaq the next day, June 12, 2026, under the ticker SPCX. The original IPO price was $135. The stock closed its first day at $160.95, up 19%</t>
  </si>
  <si>
    <t xml:space="preserve">news (CNBC, headline via search rendering)</t>
  </si>
  <si>
    <t xml:space="preserve">SpaceX IPO: Market cap tops $2 trillion after shares gain 19%</t>
  </si>
  <si>
    <t xml:space="preserve">https://www.cnbc.com/2026/06/12/spacex-stock-jumps-2-trillion.html</t>
  </si>
  <si>
    <t xml:space="preserve">SpaceX IPO: Market cap tops $2 trillion after shares gain 19% ... raised a historic $75 billion</t>
  </si>
  <si>
    <t xml:space="preserve">market data aggregator (via search rendering)</t>
  </si>
  <si>
    <t xml:space="preserve">SpaceX (SPCX) - Market capitalization</t>
  </si>
  <si>
    <t xml:space="preserve">https://companiesmarketcap.com/spacex/marketcap/</t>
  </si>
  <si>
    <t xml:space="preserve">As of August 2026, SpaceX has a market cap of $1.844 trillion USD ... SpaceX (SPCX) stock is priced at $140.56</t>
  </si>
  <si>
    <t xml:space="preserve">On February 2, 2026, SpaceX acquired Elon Musk's AI company xAI in an all-stock merger valuing the combined entity at $1.25 trillion ($1T for SpaceX, $250B for xAI)</t>
  </si>
  <si>
    <t xml:space="preserve">trade press (DCD, headline via search rendering)</t>
  </si>
  <si>
    <t xml:space="preserve">SpaceX files for million satellite orbital AI data center megaconstellation</t>
  </si>
  <si>
    <t xml:space="preserve">https://www.datacenterdynamics.com/en/news/spacex-files-for-million-satellite-orbital-ai-data-center-megaconstellation/</t>
  </si>
  <si>
    <t xml:space="preserve">SpaceX files for million satellite orbital AI data center megaconstellation ... SpaceX plans to begin pilot testing of on-orbit compute nodes on Starlink V3 hardware in 2026 ... launching one million tonnes per year of satellites generating 100kW of compute power per tonne would add 100 gigawatts of AI compute capacity annually</t>
  </si>
  <si>
    <t xml:space="preserve">news (TechCrunch, via search rendering; original report WSJ)</t>
  </si>
  <si>
    <t xml:space="preserve">2025-07-13</t>
  </si>
  <si>
    <t xml:space="preserve">Elon Musk's SpaceX might invest $2 billion in Musk's xAI</t>
  </si>
  <si>
    <t xml:space="preserve">https://techcrunch.com/2025/07/13/elon-musks-spacex-might-invest-2-billion-in-musks-xai/</t>
  </si>
  <si>
    <t xml:space="preserve">SpaceX has agreed to invest $2 billion in Elon Musk's AI startup xAI. The investment is part of a $5 billion equity raise ... This is SpaceX's first investment in xAI and one of its biggest investments in another company.</t>
  </si>
  <si>
    <t xml:space="preserve">news (Yahoo/FT, via search rendering)</t>
  </si>
  <si>
    <t xml:space="preserve">SpaceX weighs June 2026 IPO at $1.5 trillion valuation, FT says</t>
  </si>
  <si>
    <t xml:space="preserve">https://finance.yahoo.com/news/spacex-weighs-june-2026-ipo-050656741.html</t>
  </si>
  <si>
    <t xml:space="preserve">company shareholder letter (6-K exhibit)</t>
  </si>
  <si>
    <t xml:space="preserve">Nebius Group Letter to shareholders Q2 2026 (August 12, 2026)</t>
  </si>
  <si>
    <t xml:space="preserve">https://mms.businesswire.com/media/20260812963359/en/2874372/1/SHLQ226.pdf</t>
  </si>
  <si>
    <t xml:space="preserve">Via search rendering (direct fetch blocked): 'The company continues to expect 800 megawatts to 1 gigawatt of connected power by the end of 2026'; 'Nebius raised its year-end 2026 contracted-power target to 5GW and said it plans to deploy more than 1GW of new capacity annually starting in 2027'; 'Nebius expects customer prepayments to provide more than $9 billion during 2026'; '70% of deals had partial prepayment, with that prepayment often covering 50% to 60% of associated capital expenditures.'</t>
  </si>
  <si>
    <t xml:space="preserve">company press release / 6-K exhibit (SEC: nbis-20260812xex99d1.htm)</t>
  </si>
  <si>
    <t xml:space="preserve">Nebius reports second quarter 2026 financial results</t>
  </si>
  <si>
    <t xml:space="preserve">https://www.businesswire.com/news/home/20260812963359/en/Nebius-reports-second-quarter-2026-financial-results</t>
  </si>
  <si>
    <t xml:space="preserve">Via search rendering: 'The total number of shares issued and outstanding as of June 30, 2026 was 271,855,218, including 238,400,165 Class A shares and 33,455,053 Class B shares, and excluding 50,185,726 Class A shares held in treasury.'</t>
  </si>
  <si>
    <t xml:space="preserve">6-K balance-sheet summary (secondary rendering of SEC filing)</t>
  </si>
  <si>
    <t xml:space="preserve">Nebius posts Q2 revenue surge and positive Adjusted EBITDA | NBIS 6-K</t>
  </si>
  <si>
    <t xml:space="preserve">Via search rendering: 'As of Q2 2026, non-current debt reached $8,499.0 million (plus $46.7 million current debt)... Total debt rose to about $8.5 billion, reflecting proceeds from convertible notes and pre-funded warrants... cash and cash equivalents of $8,042.1 million.' Net debt = $8,545.7M - $8,042.1M = $503.6M (computed; confirms round-1).</t>
  </si>
  <si>
    <t xml:space="preserve">company press release</t>
  </si>
  <si>
    <t xml:space="preserve">2026 (H1)</t>
  </si>
  <si>
    <t xml:space="preserve">Nebius Group announces closing of private offering of convertible senior notes (~$4.3 billion)</t>
  </si>
  <si>
    <t xml:space="preserve">https://nebius.com/newsroom/nebius-group-announces-closing-of-private-offering-of-convertible-senior-notes-with-aggregate-gross-proceeds-of-approximately-4-3-billion</t>
  </si>
  <si>
    <t xml:space="preserve">Via search rendering: 'Nebius closed its private offering of convertible senior notes in two series: 1.250% convertible notes due 2031 and 2.625% convertible notes due 2033, with total aggregate original principal amount of $4.3375 billion.' (This 2026 offering is in addition to the Dec 2025 convertible issuance referenced in round 1.)</t>
  </si>
  <si>
    <t xml:space="preserve">financial press (earnings coverage)</t>
  </si>
  <si>
    <t xml:space="preserve">Nebius Q2 revenue jumps 454% as AI capacity pricing and margins rise</t>
  </si>
  <si>
    <t xml:space="preserve">Via search rendering: 'Nebius Group adjusted EBITDA was $236 million, compared with a $21 million loss a year earlier and $129.5 million in the first quarter. Group adjusted EBITDA margin increased to 41% from 32% in Q1... Management reaffirmed its 2026 targets, including $3 billion-$3.4 billion in revenue and a roughly 40% adjusted EBITDA margin.' (Round-1's $236.2M adj EBITDA verified; no absolute FY EBITDA guidance found - margin guidance only.)</t>
  </si>
  <si>
    <t xml:space="preserve">SEC 6-K exhibit</t>
  </si>
  <si>
    <t xml:space="preserve">2026-07</t>
  </si>
  <si>
    <t xml:space="preserve">Nebius Group N.V. Form 6-K exhibit (July 2026)</t>
  </si>
  <si>
    <t xml:space="preserve">https://www.sec.gov/Archives/edgar/data/0001513845/000110465926084452/tm2620683d1_ex99-1.htm</t>
  </si>
  <si>
    <t xml:space="preserve">Via search rendering: 'With more than $40 billion of additional contracted revenue from investment-grade customers such as Microsoft and Meta already in place, Nebius expects to raise more capital at similarly attractive terms.' Microsoft status: 'Nebius recently delivered the latest planned capacity tranche to Microsoft, and remains on track to deliver the remaining tranches consistent with the terms of the contracted schedule.'</t>
  </si>
  <si>
    <t xml:space="preserve">Nebius signs new AI infrastructure agreement with Meta</t>
  </si>
  <si>
    <t xml:space="preserve">https://nebius.com/newsroom/nebius-signs-new-ai-infrastructure-agreement-with-meta</t>
  </si>
  <si>
    <t xml:space="preserve">Via search rendering: 'a new long-term AI infrastructure supply agreement with Meta... contract value of up to approximately $27 billion,' comprising '$12 billion of dedicated capacity across multiple locations under a five-year agreement, based on one of the first large-scale deployments of the NVIDIA Vera Rubin platform' plus Meta's commitment 'to purchase additional available compute capacity across certain upcoming Nebius clusters up to a total of $15 billion over a five-year period,' with delivery 'starting early 2027.'</t>
  </si>
  <si>
    <t xml:space="preserve">financial press / company 6-K (tm2525580d1_6k.htm)</t>
  </si>
  <si>
    <t xml:space="preserve">2025-09-08</t>
  </si>
  <si>
    <t xml:space="preserve">Nebius stock soars on AI infrastructure deal with Microsoft (deal terms)</t>
  </si>
  <si>
    <t xml:space="preserve">https://www.cnbc.com/2025/09/08/nebius-stock-soars-on-ai-infrastructure-deal-with-microsoft-.html</t>
  </si>
  <si>
    <t xml:space="preserve">Via search rendering: 'The total contract value is about $17.4 billion through 2031, with Microsoft able to acquire additional services and/or capacity that would increase the total contract value to about $19.4 billion,' for 'dedicated GPU infrastructure capacity in tranches at its new data center in Vineland, New Jersey over a five-year term.'</t>
  </si>
  <si>
    <t xml:space="preserve">earnings-call coverage</t>
  </si>
  <si>
    <t xml:space="preserve">Nebius Group Q2 Earnings Call Highlights</t>
  </si>
  <si>
    <t xml:space="preserve">https://finance.yahoo.com/technology/ai/articles/nebius-group-q2-earnings-call-150444472.html</t>
  </si>
  <si>
    <t xml:space="preserve">Via search rendering: 'CEO Arkady Volozh said the company closed four landmark core AI cloud contracts during the quarter with Reflection, Cohere, a U.S. Neolab and a U.S.-based quantitative trading firm... averaged more than $1 billion each and carried yields of $20 million to $25 million per megawatt'; CIPO Andrey Korolenko 'said almost all of that contracted power is expected to come online over the next two to three-and-a-half years' and 'cautioned that connected power does not immediately translate into revenue.'</t>
  </si>
  <si>
    <t xml:space="preserve">10-Q (SEC EDGAR; located via search - direct fetch blocked, content via search renderings)</t>
  </si>
  <si>
    <t xml:space="preserve">Hut 8 Corp. - Form 10-Q - FY2026 (quarter ended June 30, 2026)</t>
  </si>
  <si>
    <t xml:space="preserve">https://www.sec.gov/Archives/edgar/data/0001964789/000110465926090025/hut-20260630x10q.htm</t>
  </si>
  <si>
    <t xml:space="preserve">Cash and restricted cash increased to approximately $7 billion and total debt increased to approximately $7.6 billion.</t>
  </si>
  <si>
    <t xml:space="preserve">Company press release (via search rendering)</t>
  </si>
  <si>
    <t xml:space="preserve">approximately $8.1 billion in unrestricted cash, restricted cash and cash equivalents, and Bitcoin holdings, including $7.6 billion attributable to Hut 8 and $497.2 million attributable to American Bitcoin, as of June 30, 2026 ... Following the conversion of the Company's $150.0 million Coatue convertible note, Hut 8 carries no general recourse debt at the parent level ... refinanced its $200.0 million Bitcoin-backed credit facility through a new facility with FalconX, reducing facility cost of debt from 9.0% to 7.0%</t>
  </si>
  <si>
    <t xml:space="preserve">News article quoting earnings call (via search rendering)</t>
  </si>
  <si>
    <t xml:space="preserve">Hut 8's $7 billion cash balance shrinks to $233 million outside its AI projects</t>
  </si>
  <si>
    <t xml:space="preserve">https://cryptoslate.com/hut-8s-7-billion-cash-balance-shrinks-to-233-million-outside-its-ai-projects/</t>
  </si>
  <si>
    <t xml:space="preserve">At June 30, we had approximately $233.6 million of unrestricted cash and approximately $6.8 billion of restricted cash and cash equivalents.</t>
  </si>
  <si>
    <t xml:space="preserve">Earnings call transcript (via search rendering)</t>
  </si>
  <si>
    <t xml:space="preserve">Hut 8 reported 17,316 Bitcoin across its consolidated group, with 9,314 held by Hut 8 and 8,002 held by American Bitcoin. ... The company raised $7.5 billion of investment-grade long-duration project financing for 2 construction-stage campuses with no recourse to the parent.</t>
  </si>
  <si>
    <t xml:space="preserve">Galaxy Digital Inc. - Form 10-Q - FY2026 (quarter ended June 30, 2026)</t>
  </si>
  <si>
    <t xml:space="preserve">https://www.sec.gov/Archives/edgar/data/0001859392/000185939226000091/glxy-20260630.htm</t>
  </si>
  <si>
    <t xml:space="preserve">Q2 2026 revenues were $8,557,336 thousand and net loss was $(85,316) thousand. ... Total digital assets as of June 30, 2026 were $3,517,411 thousand. ... GDH LP issued $500 million of 3.00% exchangeable senior notes (2026 Exchangeable Notes) ... $402.5 million of 2.500% exchangeable senior notes (2029 Exchangeable Notes) ... and $1.3 billion of 0.50% exchangeable senior notes (2031 Exchangeable Notes)</t>
  </si>
  <si>
    <t xml:space="preserve">10-Q summary (via search rendering)</t>
  </si>
  <si>
    <t xml:space="preserve">Galaxy Digital posts Q2 2026 loss amid asset impairments | GLXY Quarterly Report (10-Q)</t>
  </si>
  <si>
    <t xml:space="preserve">https://www.stocktitan.net/sec-filings/GLXY/10-q-galaxy-digital-inc-quarterly-earnings-report-be3331bb64f1.html</t>
  </si>
  <si>
    <t xml:space="preserve">Total assets reached $10.8 billion, total equity $2.7 billion, and cash and stablecoins $2.5 billion ... $896 million in cash and $1.6 billion in stablecoins. Digital assets totaled $3.52 billion, while notes payable were $3.26 billion, including $2.1 billion in exchangeable senior notes and a large project loan.</t>
  </si>
  <si>
    <t xml:space="preserve">Galaxy Announces Second Quarter 2026 Financial Results</t>
  </si>
  <si>
    <t xml:space="preserve">https://www.prnewswire.com/news-releases/galaxy-announces-second-quarter-2026-financial-results-302843529.html</t>
  </si>
  <si>
    <t xml:space="preserve">On July 28, after the quarter ended, a Galaxy subsidiary completed a $3.5 billion offering of senior secured notes due in 2031 to fund Helios Phase II construction, which was not part of the June 30 balance sheet. ... The company recorded $465.8 million in digital asset impairments during the first half of 2026.</t>
  </si>
  <si>
    <t xml:space="preserve">10-Q (company IR/EDGAR; located via search - direct fetch blocked, content via search renderings)</t>
  </si>
  <si>
    <t xml:space="preserve">Core Scientific, Inc. - Form 10-Q (quarter ended June 30, 2026), filed July 28, 2026</t>
  </si>
  <si>
    <t xml:space="preserve">https://investors.corescientific.com/sec-filings/all-sec-filings/content/0001839341-26-000014/core-20260630.htm</t>
  </si>
  <si>
    <t xml:space="preserve">total liabilities were $7,676.8 million, including $4,298.0 million of long-term debt, which includes convertible notes as well. ... Long-term debt increased after a $3.30 billion issuance of 7.75% Senior Secured Notes due 2031.</t>
  </si>
  <si>
    <t xml:space="preserve">Core Scientific Announces Second Quarter 2026 Results</t>
  </si>
  <si>
    <t xml:space="preserve">Liquidity included cash, cash equivalents and restricted cash of $2.55 billion and bitcoin holdings valued at $49.7 million as of June 30, 2026. ... Core Scientific reported $1.77 billion in cash and cash equivalents.</t>
  </si>
  <si>
    <t xml:space="preserve">Core Scientific boosts AI colocation, logs $1.2B loss | CORZ Quarterly Report (10-Q)</t>
  </si>
  <si>
    <t xml:space="preserve">https://www.stocktitan.net/sec-filings/CORZ/10-q-core-scientific-inc-tx-quarterly-earnings-report-9b30ea6af304.html</t>
  </si>
  <si>
    <t xml:space="preserve">Total revenue was $164.2 million, led by colocation revenue of $136.7 million as more AI/HPC capacity came online and bitcoin self-mining activity decreased.</t>
  </si>
  <si>
    <t xml:space="preserve">Riot Platforms, Inc. - Form 10-Q (quarter ended June 30, 2026), filed August 10, 2026</t>
  </si>
  <si>
    <t xml:space="preserve">https://www.sec.gov/Archives/edgar/data/1167419/000110465926093448/riot-20260630x10q.htm</t>
  </si>
  <si>
    <t xml:space="preserve">As of June 30, 2026, Riot had $471.4 million in cash and cash equivalents and $77.5 million in restricted cash. ... The $200 Million Credit Facility is a multiple drawdown term loan facility, and the Company has fully drawn against it. ... The convertible notes are currently convertible in Q3 2026, and their estimated fair value was about $1.2 billion as of June 30, 2026.</t>
  </si>
  <si>
    <t xml:space="preserve">News summary of 10-Q/PR (via search rendering)</t>
  </si>
  <si>
    <t xml:space="preserve">Riot Platforms Sold 4,300 Bitcoin in Q2 as Data Center Expansion Accelerated</t>
  </si>
  <si>
    <t xml:space="preserve">https://financefeeds.com/riot-platforms-sold-4300-bitcoin-in-q2-as-data-center-expansion-accelerated/</t>
  </si>
  <si>
    <t xml:space="preserve">Riot ended June with 11,380 BTC, worth approximately $666 million using Bitcoin's June 30 market price of $58,527. Of those holdings, 5,821 BTC were pledged as collateral.</t>
  </si>
  <si>
    <t xml:space="preserve">https://www.riotplatforms.com/riot-platforms-reports-second-quarter-2026-financial-results-and-strategic-highlights/</t>
  </si>
  <si>
    <t xml:space="preserve">second-quarter 2026 total revenue of $174 million, up 14% year over year ... GAAP net loss of $237 million, or $0.68 per diluted share ... Liquidity of $1.2 billion at quarter end included $666 million in Bitcoin and $549 million in cash (including $77.5 million restricted cash and 5,821 BTC collateralizing a $200 million credit facility).</t>
  </si>
  <si>
    <t xml:space="preserve">2026-08-06</t>
  </si>
  <si>
    <t xml:space="preserve">MARA Holdings, Inc. - Form 10-Q (quarter ended June 30, 2026), filed August 6, 2026</t>
  </si>
  <si>
    <t xml:space="preserve">https://www.sec.gov/Archives/edgar/data/0001507605/000150760526000022/mara-20260630.htm</t>
  </si>
  <si>
    <t xml:space="preserve">As of June 30, 2026, MARA's total debt was $2,447,201 thousand ($2.45 billion), consisting of convertible notes including December 2026 Notes ($48,077k), September 2031 Notes ($300,000k), March 2030 Notes ($632,540k), June 2031 Notes ($291,584k), August 2032 Notes ($1,025,000k), and a line of credit of $150,000k.</t>
  </si>
  <si>
    <t xml:space="preserve">MARA Holdings posts $611M loss, cuts debt | MARA Quarterly Report (10-Q)</t>
  </si>
  <si>
    <t xml:space="preserve">https://www.stocktitan.net/sec-filings/MARA/10-q-mara-holdings-inc-quarterly-earnings-report-22d2588fc3e1.html</t>
  </si>
  <si>
    <t xml:space="preserve">MARA held 35,577 bitcoin as of June 30, 2026, with a total bitcoin fair value of $2.08 billion, including bitcoin receivables. At June 30, 4,742 BTC had been loaned to third parties, while another 4,528 BTC were pledged as collateral, leaving 26,307 unrestricted BTC with a fair value of about $1.5 billion. ... Cash on hand was $421.3 million.</t>
  </si>
  <si>
    <t xml:space="preserve">News summary of 10-Q/earnings (via search rendering)</t>
  </si>
  <si>
    <t xml:space="preserve">MARA sold $1.6 billion of bitcoin to cut debt and fund infrastructure growth during H1 2026: Q2 Earnings</t>
  </si>
  <si>
    <t xml:space="preserve">https://finance.yahoo.com/markets/crypto/articles/mara-sold-1-6-billion-132326380.html</t>
  </si>
  <si>
    <t xml:space="preserve">Q2 2026 revenue was $174.9M, down from $238.5M in Q2 2025 ... Following the expected close of the Long Ridge acquisition, MARA anticipates assuming approximately $900 million of Long Ridge's debt. Subsequent to quarter end, MARA entered into 2 Bitcoin-backed credit facilities with Coinbase and Two Prime at a weighted average cost of debt of 7.56% for incremental borrowings of $600 million.</t>
  </si>
  <si>
    <t xml:space="preserve">company press release (via search-engine rendering; direct fetch blocked)</t>
  </si>
  <si>
    <t xml:space="preserve">Equinix Reports Second-Quarter Results, Raises 2026 Guidance and Long-Term Outlook (also at prnewswire.com 302838047 and investor.equinix.com detail/1114)</t>
  </si>
  <si>
    <t xml:space="preserve">https://newsroom.equinix.com/2026-07-29-Equinix-Reports-Second-Quarter-Results,-Raises-2026-Guidance-and-Long-Term-Outlook</t>
  </si>
  <si>
    <t xml:space="preserve">For the full year of 2026, total revenues are expected to range between $10.205 and $10.285 billion, an increase of approximately 11-12% over the previous year... Adjusted EBITDA is expected to range between $5.210 and $5.270 billion, reflecting an adjusted EBITDA margin of approximately 51%... AFFO is expected to range between $4.240 and $4.300 billion, an increase of 13-14%... AFFO per share is expected to range between $42.69 and $43.29.</t>
  </si>
  <si>
    <t xml:space="preserve">SEC 10-Q</t>
  </si>
  <si>
    <t xml:space="preserve">2026-08 (filed early August 2026)</t>
  </si>
  <si>
    <t xml:space="preserve">Equinix Inc. Form 10-Q for the quarter ended June 30, 2026 (data extracted via StockTitan 10-Q summary and EDGAR search renderings; direct sec.gov fetch blocked by proxy)</t>
  </si>
  <si>
    <t xml:space="preserve">https://www.sec.gov/Archives/edgar/data/0001101239/000110123926000147/eqix-20260630.htm</t>
  </si>
  <si>
    <t xml:space="preserve">Equinix disclosed approximately $15.0B of remaining performance obligations as of June 30, 2026... Cash and cash equivalents: $979 million... Senior notes: $19,689 million carrying amount; mortgages and other loans payable: $20 million... Total debt principal outstanding: $22,153 million as of June 30, 2026... $2.2 billion of cash, cash equivalents and short-term investments as of June 30, 2026.</t>
  </si>
  <si>
    <t xml:space="preserve">earnings call transcript (via search-engine rendering)</t>
  </si>
  <si>
    <t xml:space="preserve">Equinix (EQIX) Q2 2026 Earnings Call Transcript (also AOL, Investing.com renderings)</t>
  </si>
  <si>
    <t xml:space="preserve">https://www.theglobeandmail.com/investing/markets/stocks/EQIX/pressreleases/3730144/equinix-eqix-q2-2026-earnings-call-transcript/</t>
  </si>
  <si>
    <t xml:space="preserve">Net leverage was 3.6 times annualized adjusted EBITDA... approximately $7.7 billion of available liquidity, including its recently upsized revolving credit facility... The xScale portfolio signed 134 megawatts of leasing in the Americas during the quarter, including one transaction that contributed approximately $120 million in nonrecurring fees... Equinix has 196 megawatts of xScale capacity under development — 182 megawatts of which is leased... Equinix has 3 gigawatts of land under control and is building about 700 megawatts of that right now... 52 major projects underway across 33 markets.</t>
  </si>
  <si>
    <t xml:space="preserve">news article</t>
  </si>
  <si>
    <t xml:space="preserve">Data Center Giant Equinix Ups Its 2026 Forecast Behind Robust Q2 - Commercial Observer</t>
  </si>
  <si>
    <t xml:space="preserve">https://commercialobserver.com/2026/07/data-center-equinix-q2-earnings/</t>
  </si>
  <si>
    <t xml:space="preserve">'This is the largest single guidance raise in the history of our company,' Fox-Martin said... Equinix said it controls 3 gigawatts of land under development, with about 700 megawatts under active construction.</t>
  </si>
  <si>
    <t xml:space="preserve">earnings presentation summary (via search-engine rendering)</t>
  </si>
  <si>
    <t xml:space="preserve">Equinix Q2 2026 slides: record bookings drive major outlook raise - Investing.com</t>
  </si>
  <si>
    <t xml:space="preserve">https://www.investing.com/news/company-news/equinix-q2-2026-slides-record-bookings-drive-major-outlook-raise-93CH-4822034</t>
  </si>
  <si>
    <t xml:space="preserve">Equinix reported second-quarter revenue of $2.625 billion, up 16% year-over-year... Adjusted EBITDA reached $1.396 billion with a margin of 53%, representing a 300 basis point expansion... AFFO per share grew 20% year-over-year on an as-reported basis to $11.78... Cabinet utilization stood at approximately 78% as of June 30, 2026... stabilized data centers remained approximately 82 percent utilized... 282 data centers across 77 markets in 36 countries... approximately 3 gigawatts of developable capacity... added a record 9,700 net interconnections... total to 522,700. MRR per cabinet increased to $2,538.</t>
  </si>
  <si>
    <t xml:space="preserve">earnings call summary (via search-engine rendering)</t>
  </si>
  <si>
    <t xml:space="preserve">EQIX Q2 2026 Earnings Call: Equinix Lifts Long-Term Targets, Plans $5B-$7B Annual Capex as AI Demand Accelerates</t>
  </si>
  <si>
    <t xml:space="preserve">https://finance.biggo.com/news/US_EQIX_2026-07-29</t>
  </si>
  <si>
    <t xml:space="preserve">Through 2029, Equinix expects total revenue growth in the 10%-13% range annually, with AFFO per share growing 9%-12% during the same period. The company plans to invest $5 billion to $7 billion in CapEx annually through 2029... For 2026 capital expenditures, the company expects a range between $5 billion-$6 billion.</t>
  </si>
  <si>
    <t xml:space="preserve">company press release (via search-engine rendering)</t>
  </si>
  <si>
    <t xml:space="preserve">2024-10-01</t>
  </si>
  <si>
    <t xml:space="preserve">Equinix Agrees to Form Greater Than $15B JV to Expand Hyperscale Data Centers in the U.S. (with GIC and CPP Investments)</t>
  </si>
  <si>
    <t xml:space="preserve">https://www.prnewswire.com/news-releases/equinix-agrees-to-form-greater-than-15b-jv-to-expand-hyperscale-data-centers-in-the-us-and-support-growing-ai-and-cloud-innovation-302263523.html</t>
  </si>
  <si>
    <t xml:space="preserve">GIC and CPP Investments will each control a 37.5% equity interest, and Equinix will have a 25% equity interest... plans to purchase land to build new xScale facilities on multiple greater-than-100-megawatt campuses in the U.S., aiming to add more than 1.5 gigawatts of capacity for hyperscalers... At full buildout, this new JV will nearly triple the investment capital of the Equinix xScale program.</t>
  </si>
  <si>
    <t xml:space="preserve">2026-02-11</t>
  </si>
  <si>
    <t xml:space="preserve">Equinix Provides Robust 2026 Outlook Driven by Strong Fourth-Quarter Results (Q4 2025 release - xScale program scale)</t>
  </si>
  <si>
    <t xml:space="preserve">https://newsroom.equinix.com/2026-02-11-Equinix-Provides-Robust-2026-Outlook-Driven-by-Strong-Fourth-Quarter-Results-and-Accelerating-Business-Momentum</t>
  </si>
  <si>
    <t xml:space="preserve">In January 2026, Equinix contributed the Hampton, Georgia asset to its xScale joint venture in the United States, an important first step to deploying $15 billion of capital with its JV partners in major metros... global xScale program is expected to represent more than $23 billion of total investment or ~2GW of power capacity for hyperscale customers across its Americas, EMEA and APAC joint ventures.</t>
  </si>
  <si>
    <t xml:space="preserve">analyst-day summary (secondary; via search-engine rendering)</t>
  </si>
  <si>
    <t xml:space="preserve">TD Cowen Takeaways from Equinix Analyst Day (June 25, 2025 'Build Bolder')</t>
  </si>
  <si>
    <t xml:space="preserve">https://blog.ocolo.io/td-cowen-takeaways-from-equinix-analyst-day/</t>
  </si>
  <si>
    <t xml:space="preserve">'Build Bolder' is a plan for Equinix to double its data center capacity by 2029, the equivalent of building as much capacity in the next five years as it has over the past 27 years... total developable capacity of approximately 3 gigawatts... guided for significantly higher long-term capex of $4-5 billion per year through 2029, totaling an estimated $20-25 billion... 58 major projects underway globally, including 12 xScale projects.</t>
  </si>
  <si>
    <t xml:space="preserve">analyst commentary quoting press release (via search-engine rendering)</t>
  </si>
  <si>
    <t xml:space="preserve">2026-07/08</t>
  </si>
  <si>
    <t xml:space="preserve">Equinix Q2 FY 2026: Enterprise AI Fuels the Next Phase of Data Center Growth - Futurum (CEO quotes)</t>
  </si>
  <si>
    <t xml:space="preserve">https://futurumgroup.com/insights/equinix-q2-fy-2026-enterprise-ai-fuels-the-next-phase-of-data-center-growth/</t>
  </si>
  <si>
    <t xml:space="preserve">'We delivered an exceptionally strong Q2. Monthly recurring revenue grew double digits for the third straight quarter, new interconnections on our platform hit a record level, and disciplined execution drove robust profit growth,' said Adaire Fox-Martin, CEO and President, Equinix... 'The AI infrastructure cycle is accelerating, especially inference.'</t>
  </si>
  <si>
    <t xml:space="preserve">Equinix's Q2 AFFO Beat Estimates on Strong Demand &amp; xScale Fees (Zacks via TradingView)</t>
  </si>
  <si>
    <t xml:space="preserve">https://www.tradingview.com/news/zacks:494e30dbc094b:0-equinix-s-q2-affo-beat-estimates-on-strong-demand-xscale-fees/</t>
  </si>
  <si>
    <t xml:space="preserve">adjusted funds from operations (AFFO) per share of $11.78, up 18.9% year over year and above the Zacks Consensus Estimate of $11.25... revenues rising 16.4% to $2.63 billion... Equinix now expects revenue growth of 11% to 12% and adjusted funds from operations (AFFO) per share growth of 10% to 12%, alongside a jump in planned capital expenditures to a range of $5 billion to $6 billion.</t>
  </si>
  <si>
    <t xml:space="preserve">company press release (8-K EX-99.1 also at sec.gov/Archives/edgar/data/0001297996/000110465926086270/dlr-20260723xex99d1.htm)</t>
  </si>
  <si>
    <t xml:space="preserve">2026-07-23</t>
  </si>
  <si>
    <t xml:space="preserve">Digital Realty Reports Second Quarter 2026 Results (press release, 2026-07-23)</t>
  </si>
  <si>
    <t xml:space="preserve">https://investor.digitalrealty.com/news-releases/news-release-details/digital-realty-reports-second-quarter-2026-results</t>
  </si>
  <si>
    <t xml:space="preserve">Signed total bookings during 2Q26 that are expected to generate $307 million of annualized GAAP base rent at 100% share; at Digital Realty's share, bookings were $208 million, including a $108 million contribution from the 0-1 megawatt plus interconnection category</t>
  </si>
  <si>
    <t xml:space="preserve">8-K exhibit / earnings materials</t>
  </si>
  <si>
    <t xml:space="preserve">DLR Form 8-K EX-99.2 - Q2 2026 (backlog disclosure)</t>
  </si>
  <si>
    <t xml:space="preserve">https://www.sec.gov/Archives/edgar/data/0001297996/000110465926086270/dlr-20260723xex99d2.htm</t>
  </si>
  <si>
    <t xml:space="preserve">The backlog of signed-but-not-commenced leases at quarter-end was $1.9 billion of annualized GAAP base rent at 100% share, and $1.4 billion at Digital Realty's share</t>
  </si>
  <si>
    <t xml:space="preserve">8-K exhibit / press release</t>
  </si>
  <si>
    <t xml:space="preserve">DLR Q2 2026 earnings release - balance sheet section</t>
  </si>
  <si>
    <t xml:space="preserve">https://www.sec.gov/Archives/edgar/data/0001297996/000110465926086270/dlr-20260723xex99d1.htm</t>
  </si>
  <si>
    <t xml:space="preserve">Digital Realty had approximately $18.6 billion of total debt outstanding as of June 30, 2026, comprised of $17.0 billion of unsecured debt and approximately $1.6 billion of secured debt and other debt... net debt-to-Adjusted EBITDA was 4.7x... Debt-plus-preferred-to-total enterprise value was 22.3% and fixed charge coverage was 5.2x</t>
  </si>
  <si>
    <t xml:space="preserve">2026-08 (filed after 7/23/26 release)</t>
  </si>
  <si>
    <t xml:space="preserve">DLR Form 10-Q for quarter ended June 30, 2026</t>
  </si>
  <si>
    <t xml:space="preserve">https://www.sec.gov/Archives/edgar/data/0001297996/000110465926089296/dlr-20260630x10q.htm</t>
  </si>
  <si>
    <t xml:space="preserve">Digital Realty held $1.86 billion in cash and cash equivalents at June 30, 2026... down from $3.45 billion at year-end 2025, with the decline reflecting $4.25 billion of investing outflows partially offset by operating cash flow and equity and debt financing</t>
  </si>
  <si>
    <t xml:space="preserve">earnings presentation coverage</t>
  </si>
  <si>
    <t xml:space="preserve">2026-07-23/24</t>
  </si>
  <si>
    <t xml:space="preserve">Digital Realty Q2 2026 slides: record bookings drive guidance raise (Investing.com)</t>
  </si>
  <si>
    <t xml:space="preserve">https://www.investing.com/news/company-news/digital-realty-q2-2026-slides-record-bookings-drive-guidance-raise-93CH-4810221</t>
  </si>
  <si>
    <t xml:space="preserve">Total revenue guidance (excluding promote income) rose to $6,850-$6,950 million from $6,600-$6,700 million, while adjusted EBITDA guidance increased to $3,750-$3,850 million from $3,600-$3,700 million</t>
  </si>
  <si>
    <t xml:space="preserve">earnings coverage (cross-check of press release)</t>
  </si>
  <si>
    <t xml:space="preserve">Digital Realty Trust (DLR) Reports Strong Q2 2026 Earnings and Raises Guidance</t>
  </si>
  <si>
    <t xml:space="preserve">https://www.gurufocus.com/news/8976599/digital-realty-trust-dlr-reports-strong-q2-2026-earnings-and-raises-guidance</t>
  </si>
  <si>
    <t xml:space="preserve">raised its 2026 Core FFO per share (excluding net promote) outlook to $8.15 - $8.20 and its 2026 Constant-Currency Core FFO per share (excluding net promote) outlook to $8.10 - $8.15... Core FFO excluding net promote income reached $2.13 per share, up 14% from a year earlier, while reported core FFO was $2.65 per share, including $0.52 per share from net promote income... Adjusted EBITDA of $978 million, up 6% sequentially and 19% year-over-year</t>
  </si>
  <si>
    <t xml:space="preserve">earnings call transcript coverage</t>
  </si>
  <si>
    <t xml:space="preserve">Earnings call transcript: Digital Realty lifts 2026 outlook after record Q2 2026</t>
  </si>
  <si>
    <t xml:space="preserve">https://www.investing.com/news/transcripts/earnings-call-transcript-digital-realty-lifts-2026-outlook-after-record-q2-2026-93CH-4810202</t>
  </si>
  <si>
    <t xml:space="preserve">delivered 76 megawatts of new IT capacity, about 60% of which was pre-leased, and began development of 312 megawatts of additional capacity... 1.4 gigawatts of development capacity currently under construction at a total cost of $20 billion... Pro forma for hyperscale leases signed in July, the pipeline is 63% pre-leased at an average expected stabilized yield of 11.5%... a 200 MW AI inference-focused hyperscale lease in Charlotte, the largest megawatt transaction in the company's history... signed more than $261 million of renewals at cash re-leasing spreads above 25%... During the second quarter, Digital Realty recognized $188 million of net promote income in Core FFO related to the successful development and leasing of three data centers in its development joint venture... Along with the dry powder that remains with their hyperscale development joint venture, Digital Realty estimates they have over $12 billion of remaining capacity to support hyperscale data center development</t>
  </si>
  <si>
    <t xml:space="preserve">company press release (also 8-K EX-99.1 at sec.gov/Archives/edgar/data/0001297996/000119312526288761/d100507dex991.htm)</t>
  </si>
  <si>
    <t xml:space="preserve">2026-06-29</t>
  </si>
  <si>
    <t xml:space="preserve">Digital Realty Announces Purchase of Blackstone Interest in Three Northern Virginia Data Centers (2026-06-29)</t>
  </si>
  <si>
    <t xml:space="preserve">https://investor.digitalrealty.com/news-releases/news-release-details/digital-realty-announces-purchase-blackstone-interest-three</t>
  </si>
  <si>
    <t xml:space="preserve">purchase from Blackstone-affiliated funds a stake in three fully leased data centers containing 288 megawatts of total IT capacity in Northern Virginia at a gross value of $7.8 billion, reflecting an expected initial stabilized capitalization rate of over 6.5%. Total consideration paid to Blackstone for their blended 64% equity interest in the assets will be $3.5 billion, including $1.2 billion of cash and $2.3 billion in shares of Digital Realty... supported by 15-year leases with a blended average AA- customer credit rating and 3.6% annual rent escalators</t>
  </si>
  <si>
    <t xml:space="preserve">2026-03-30</t>
  </si>
  <si>
    <t xml:space="preserve">Digital Realty Announces Final Close of $3.25 billion U.S. Hyperscale Data Center Fund (2026-03-30)</t>
  </si>
  <si>
    <t xml:space="preserve">https://investor.digitalrealty.com/news-releases/news-release-details/digital-realty-announces-final-close-325-billion-us-hyperscale</t>
  </si>
  <si>
    <t xml:space="preserve">final close of its inaugural U.S. hyperscale data center fund... securing $3.25 billion of total equity commitments from a diverse group of global institutional investors... Digital Realty will retain a 20% ownership interest in the Fund's portfolio and serves as the manager of the Fund</t>
  </si>
  <si>
    <t xml:space="preserve">press release wire copy</t>
  </si>
  <si>
    <t xml:space="preserve">Digital Realty Reports Second Quarter 2026 Results (GlobeNewswire, portfolio and occupancy details)</t>
  </si>
  <si>
    <t xml:space="preserve">https://www.globenewswire.com/news-release/2026/07/23/3332571/0/en/Digital-Realty-Reports-Second-Quarter-2026-Results.html</t>
  </si>
  <si>
    <t xml:space="preserve">Portfolio comprised of approximately 3.1 gigawatts of IT capacity, as well as approximately 8.5 gigawatts of buildable IT capacity under active development and held for future development, located throughout North America, Europe, South America, Asia, Australia, and Africa... As of June 30, 2026, Digital Realty's consolidated portfolio occupancy was 89.8% (based on White Space IT Load...): Americas: 95.2%, EMEA: 81.9%, APAC: 85.9%... total revenues of $1.9 billion in the second quarter of 2026, an 18% increase from the previous quarter and a 29% increase from the same quarter last year</t>
  </si>
  <si>
    <t xml:space="preserve">market data</t>
  </si>
  <si>
    <t xml:space="preserve">2026-08 (accessed 2026-08-17)</t>
  </si>
  <si>
    <t xml:space="preserve">Digital Realty Trust (DLR) Statistics &amp; Valuation - stockanalysis.com</t>
  </si>
  <si>
    <t xml:space="preserve">https://stockanalysis.com/stocks/dlr/statistics/</t>
  </si>
  <si>
    <t xml:space="preserve">DLR has a market cap of $72.77 billion... 376.68 million shares outstanding</t>
  </si>
  <si>
    <t xml:space="preserve">earnings call coverage (cross-check)</t>
  </si>
  <si>
    <t xml:space="preserve">DLR Q2 2026 Earnings Call - Record $2.13 Core FFO, Raises 2026 Outlook on 25%+ Renewal Spreads and $1.9B Backlog (BigGo Finance)</t>
  </si>
  <si>
    <t xml:space="preserve">https://finance.biggo.com/news/US_DLR_2026-07-23</t>
  </si>
  <si>
    <t xml:space="preserve">0-1 MW deployments contributing $87.8 million (42% of total bookings), interconnection adding $20.5 million (10%), and larger deployments over 1 MW accounting for $99.8 million... $480 million in annualized rent is scheduled to commence in 2027, following $635 million of annualized rent scheduled to commence in the second half of 2026... At Digital Realty's share, the backlog increased by 75% since the beginning of the year to a record $1.4 billion, and this backlog now represents approximately 30% of the company's in-place data center rent</t>
  </si>
  <si>
    <t xml:space="preserve">verify:neoclouds</t>
  </si>
  <si>
    <t xml:space="preserve">VERIFICATION CONFIRMED</t>
  </si>
  <si>
    <t xml:space="preserve">Contracted power ~3.7 GW and active power 1.5 GW as of Jun 30, 2026 (Q2 2026 earnings, Aug 11, 2026); contracted power '4.2 GW as of the most recent update' per the Q2 call.</t>
  </si>
  <si>
    <t xml:space="preserve">As of June 30, 2026, CoreWeave operated 51 active data centers with 1.5 gigawatts of active power and expanded contracted power to approximately 3.7 gigawatts. An additional 500 megawatts was added since quarter-end, bringing total contracted power to 4.2 gigawatts as of August 11, 2026.</t>
  </si>
  <si>
    <t xml:space="preserve">VERIFICATION CORRECTED</t>
  </si>
  <si>
    <t xml:space="preserve">Revenue backlog ~$104B as of Jun 30, 2026, PLUS &gt;$25B net new commitments in early Q3 2026 (Meta ~$21B incremental, Anthropic multi-year, Jane Street ~$6B).</t>
  </si>
  <si>
    <t xml:space="preserve">Revenue backlog was approximately $104 billion as of June 30, 2026, and does not include more than $25 billion of net new customer commitments added in early Q3.</t>
  </si>
  <si>
    <t xml:space="preserve">FY2026 revenue guidance $12.4-13.2B; adjusted operating income guidance $960M-$1.15B; year-end 2026 active power target &gt;1.85 GW.</t>
  </si>
  <si>
    <t xml:space="preserve">CoreWeave raised its full-year 2026 revenue guidance to a range of $12.4 billion to $13.2 billion, with adjusted operating income expected between $960 million and $1.15 billion. ... raised its full-year active power target to more than 1.85 gigawatts.</t>
  </si>
  <si>
    <t xml:space="preserve">Principal debt $35,551M and cash $5,524M at Jun 30, 2026 (10-Q).</t>
  </si>
  <si>
    <t xml:space="preserve">CoreWeave reported principal debt totaling $35,551 million as of June 30, 2026, split between recourse and non-recourse facilities and multiple senior and convertible notes. ... As of June 30, 2026, CoreWeave had cash and cash equivalents of $5,524 million.</t>
  </si>
  <si>
    <t xml:space="preserve">The Core Scientific acquisition was terminated (CORZ shareholders voted it down ~Oct 2025) - CORZ remains standalone as of Aug 2026.</t>
  </si>
  <si>
    <t xml:space="preserve">On October 30, 2025, pursuant to and in accordance with the Merger Agreement, Core Scientific terminated the Merger Agreement, effective immediately. ... requisite Company stockholders did not approve the Merger Agreement Proposal.</t>
  </si>
  <si>
    <t xml:space="preserve">Contracted power 3,500 MW actual (as of ~Q1 2026); year-end 2026 target raised to 5 GW at Q2 2026 results (Aug 12, 2026); connected-power target 800 MW-1 GW by end-2026.</t>
  </si>
  <si>
    <t xml:space="preserve">In Q1 2026, Nebius had already contracted more than 3.5 gigawatts of power ... Nebius increased its contracted-power guidance from more than 4GW to 5GW at year-end 2026. ... The company continues to expect 800 megawatts to 1 gigawatt of connected power by the end of 2026.</t>
  </si>
  <si>
    <t xml:space="preserve">'Committed backlog' ~$40B per CFO on Q2 2026 call (Microsoft $17.4B up to $19.4B; Meta up to $27B).</t>
  </si>
  <si>
    <t xml:space="preserve">https://www.tradingview.com/news/zacks:7bf98d4c7094b:0-nebius-surges-34-post-q2-will-40b-backlog-power-further-growth/</t>
  </si>
  <si>
    <t xml:space="preserve">Nebius reported approximately $40 billion of committed backlog during its Q2 2026 call ... a five-year deal with Meta is worth up to $27 billion, and a separate contract with Microsoft runs between $17.4 billion and $19.4 billion.</t>
  </si>
  <si>
    <t xml:space="preserve">Q2 2026 revenue $582.3M; ARR $3.0B at end of June 2026; FY2026 revenue guidance $3.0-3.4B reaffirmed; cash $8,042.1M.</t>
  </si>
  <si>
    <t xml:space="preserve">Total revenues increased by $477.2 million, or 454%, from $105.1 million in the second quarter of 2025 to $582.3 million in the second quarter of 2026. ... ARR reached $3.0 billion. ... Nebius reaffirmed its full-year 2026 revenue guidance of $3 billion to $3.4 billion. ... Cash and cash equivalents rose to $8,042.1 million.</t>
  </si>
  <si>
    <t xml:space="preserve">Secured power portfolio 5 GW as of May 2026 (Childress 750 + Sweetwater1 1,400 + Sweetwater2 600 + BC 160 + Oklahoma 1,600 + Spain/Nostrum ~490).</t>
  </si>
  <si>
    <t xml:space="preserve">https://iren.com/resources/news/nostrum-announcement</t>
  </si>
  <si>
    <t xml:space="preserve">On May 7, 2026, IREN announced the acquisition of Nostrum Group, adding approximately 490 MW of secured grid-connected power and bringing IREN's total power portfolio to 5 GW.</t>
  </si>
  <si>
    <t xml:space="preserve">Last cleanly disclosed operating data centers figure 810 MW (Oct 2025); Horizon 1 delivered to Microsoft Aug 2026; contracted ARR ~$3.4B as of Jul 20, 2026 vs &gt;$4B end-2026 target; Microsoft AI cloud contract ~$9.7B/5yr; NVIDIA ~$3.4B/5yr; $2.8B new </t>
  </si>
  <si>
    <t xml:space="preserve">https://iren.gcs-web.com/news-releases/news-release-details/iren-signs-28bn-new-customer-contracts-leading-ai-developers</t>
  </si>
  <si>
    <t xml:space="preserve">IREN has 810MW of operating data centers underpinning three verticals: Bitcoin Mining, AI Cloud Services and AI Data Centers ... Horizon 1 has been delivered to and accepted by Microsoft ... raised its year-end AI Cloud annualized run-rate revenue (ARR) target from $3.7 billion to more than $4 billion, following new multi-year cloud services contracts with leading AI developers representing $2.8 billion in total contract value. Approximately 85% of the updated ARR target is now under contract.</t>
  </si>
  <si>
    <t xml:space="preserve">VERIFICATION UNVERIFIABLE</t>
  </si>
  <si>
    <t xml:space="preserve">Net debt ~$1,752M as of Mar 31, 2026 (Q3 FY26).</t>
  </si>
  <si>
    <t xml:space="preserve">IREN long term debt for the quarter ending March 31, 2026 was $3.840B</t>
  </si>
  <si>
    <t xml:space="preserve">verify:hyperscalers</t>
  </si>
  <si>
    <t xml:space="preserve">Commercial RPO $678B as of Jun 30, 2026, +84% YoY, weighted-average duration ~2.3 years; at Dec 31, 2025 RPO was $625B with ~45% from OpenAI; OpenAI signed incremental $250B Azure commitment (Oct 28, 2025).</t>
  </si>
  <si>
    <t xml:space="preserve">FY26 Q4 press release: "commercial remaining performance obligation increased 84% to $678 billion"; Q4 call transcript (hosted on Microsoft IR events page): "RPO, including OpenAI, has a weighted average duration of 2.3 years."; FY26 Q2 press release: "commercial remaining performance obligation increased 110% to $625 billion"; Q2 call transcript: "Approximately 45% of our commercial RPO balance is from OpenAI."</t>
  </si>
  <si>
    <t xml:space="preserve">FY26 capacity statements: 'added nearly one gigawatt' in Q2 FY26, 'another gigawatt' in Q3 FY26, 'another gigawatt' in Q4 FY26; FY25: '&gt;2 GW over the past 12 months', '400+ datacenters, 70 regions'.</t>
  </si>
  <si>
    <t xml:space="preserve">Q2 FY26 call: "All up, we added nearly one gigawatt of total capacity this quarter alone." Q3 FY26 call: "All up, we added another gigawatt of capacity this quarter, and remain on track to double our overall footprint in just two years." Q4 FY26 call: "All up, we added another gigawatt of capacity this quarter and remain on track to roughly double our overall capacity in just two years." FY25 Q4 call: "We stood up more than two gigawatts of new capacity over the past 12 months alone." and "We opened new DCs across six continents, and now have over 400 datacenters across 70 regions, more than any other cloud provider."</t>
  </si>
  <si>
    <t xml:space="preserve">Amazon</t>
  </si>
  <si>
    <t xml:space="preserve">AWS-related backlog (commitments note in 10-Q) ~$496B at Jun 30, 2026, weighted-average remaining life 6.4 years; $364B at Mar 31, 2026; $244B at Dec 31, 2025.</t>
  </si>
  <si>
    <t xml:space="preserve">"For contracts with original terms that exceed one year, Amazon's commitments not yet recognized were approximately $496 billion as of June 30, 2026, with a weighted-average remaining life of 6.4 years." (search rendering of Q2 2026 10-Q, amzn-20260630.htm). Q1 2026 10-Q rendering: "approximately $364 billion as of March 31, 2026, with weighted-average remaining life of 5.5 years." 2025 10-K rendering: "$244 billion" backlog at Dec 31, 2025, "grew 40% year-over-year".</t>
  </si>
  <si>
    <t xml:space="preserve">AWS added 3.9 GW of power capacity in calendar 2025; on pace to double total power capacity by end-2027; committed up to 5 GW of capacity to Anthropic (Q2 2026 call).</t>
  </si>
  <si>
    <t xml:space="preserve">Q2 2026 call rendering: "AWS added 3.9 gigawatts of power capacity in 2025 and expects to double its total power capacity by the end of 2027. A lion's share of 2027 capacity is already largely reserved." Anthropic newsroom headline (Apr 2026): "Anthropic and Amazon expand collaboration for up to 5 gigawatts of new compute".</t>
  </si>
  <si>
    <t xml:space="preserve">AWS segment Q2 2026 revenue ~$35-36B; verify actual Q2 2026 AWS revenue and operating income, and trailing-12M AWS revenue ~$130B+.</t>
  </si>
  <si>
    <t xml:space="preserve">https://ir.aboutamazon.com/files/doc_earnings/2026/q2/earnings-result/AMZN-Q2-2026-Earnings-Release.pdf</t>
  </si>
  <si>
    <t xml:space="preserve">Q2 2026 press release rendering: "AWS segment sales increased 37% year-over-year to $42.2 billion... AWS segment operating income was $16.6 billion, compared with $10.2 billion in second quarter 2025." Jassy: "AWS is booming, growing 36.7% year-over-year in Q2—our fastest growth in 18 quarters". Q4 2025 release: "AWS segment sales increased 24% year-over-year to $35.6 billion" and "full year 2025... increased 20% year-over-year to $128.7 billion"; Q1 2026 release: "AWS segment sales increased 28% year-over-year to $37.6 billion".</t>
  </si>
  <si>
    <t xml:space="preserve">Alphabet</t>
  </si>
  <si>
    <t xml:space="preserve">Google Cloud revenue backlog $513.9B (of $519.5B total Alphabet RPO) at Jun 30, 2026; $462.3B at Mar 31, 2026; just over 50% to be recognized within 24 months.</t>
  </si>
  <si>
    <t xml:space="preserve">Q2 2026 10-Q rendering: "As of June 30, 2026, Alphabet had $519.5 billion of remaining performance obligations ('revenue backlog'), of which $513.9 billion related to Google Cloud... expects to recognize just over 50% of the revenue backlog as revenues over the next 24 months with the remainder to be recognized thereafter." Q1 2026 10-Q rendering: "revenue backlog of $467.6 billion as of March 31, 2026, with $462.3 billion related to Google Cloud."</t>
  </si>
  <si>
    <t xml:space="preserve">Google Cloud Q2 2026 revenue and operating income — verify actuals (annualized run-rate ~$99B claimed).</t>
  </si>
  <si>
    <t xml:space="preserve">https://s206.q4cdn.com/479360582/files/doc_financials/2026/q2/2026q2-alphabet-earnings-release.pdf</t>
  </si>
  <si>
    <t xml:space="preserve">"Google Cloud saw a meaningful acceleration in growth as revenues increased 82% to $24.8 billion, led by an increase in Google Cloud Platform (GCP) across enterprise AI Solutions and enterprise AI Infrastructure... Cloud operating income reached $8.8 billion, up from $2.8 billion in the same period a year earlier." Total Alphabet: "consolidated revenues increased 24% to $119.8 billion".</t>
  </si>
  <si>
    <t xml:space="preserve">Total RPO $638B at May 31, 2026 (+363% YoY); trajectory $455B (Q1 FY26) -&gt; ~$523B (Q2) -&gt; $553B (Q3) -&gt; $638B (Q4); FY2027 total revenue guidance ~$90B; FY2026 actual revenue $67.4B, IaaS $18.1B (+77%).</t>
  </si>
  <si>
    <t xml:space="preserve">Q4 FY26 press release (fetched directly from oracle.com): "Remaining Performance Obligations, or RPO, ended the quarter at $638 billion, up 363% USD year-over-year"; "Record FY 2026 Total Revenues $67.4 billion, up 17% USD"; "FY 2026 Cloud Infra (IaaS) Revenue $18.1 billion, up 77% USD"; "For fiscal year 2027, we confirm our prior revenue guidance of $90 billion total revenue". Q1 FY26 release: "Total Remaining Performance Obligations were up 359%... to $455 billion"; Q2 FY26 release: "up 438% year-over-year in USD to $523 billion"; Q3 FY26 release: "$553 billion, up 325%".</t>
  </si>
  <si>
    <t xml:space="preserve">Delivered &gt;1.2 GW of capacity to customers in FY2026; Q1 FY2027 delivery approaching 1 GW; OpenAI Stargate 4.5 GW partnership (Jul 2025); Abilene ~1.2 GW flagship '42% delivered'.</t>
  </si>
  <si>
    <t xml:space="preserve">Q4 FY26 call renderings: "Oracle delivered over 1.2 gigawatts in fiscal year 2026, with Q1 FY 2027 delivery expected to approach 1 gigawatt" and "The Abilene, Texas facility delivered 42% of total capacity, with 35% more expected in 90 days and the remaining balance in the next quarter." OpenAI announcement (Jul 22, 2025): "Stargate advances with 4.5 GW partnership with Oracle" — "Oracle and OpenAI entered an agreement to develop 4.5 gigawatts of additional Stargate data center capacity in the U.S."</t>
  </si>
  <si>
    <t xml:space="preserve">Net debt ~$97.6B (total borrowings $129,541M minus cash $31,289M minus $605M securities) per FY2026 10-K.</t>
  </si>
  <si>
    <t xml:space="preserve">Corroborated pieces via search renderings: "Oracle's long term debt for the quarter ending May 31, 2026 was $122.342 billion, which represents a 43.43% increase from 2025" (non-current notes payable per balance-sheet aggregators) and "Oracle held $31.3B in cash as of fiscal year 2026" (rendering of the FY26 10-K).</t>
  </si>
  <si>
    <t xml:space="preserve">Named clusters: Prometheus ~1 GW (Ohio, 2026), Hyperion up to 5 GW (Louisiana, Blue Owl JV ~$27B), El Paso 1 GW (2028); Reuters-reported internal memo (Jul 2026): ~7 GW deployed in 2026 doubling to ~14 GW in 2027.</t>
  </si>
  <si>
    <t xml:space="preserve">Prometheus: "a 1 gigawatt facility coming online in 2026" in New Albany, Ohio (NBC4/DCF renderings). Hyperion: "Meta forms $27bn joint venture with Blue Owl to fund gigawatt-scale AI data center campus in Louisiana" (DCD), with a 5 GW multi-year target. El Paso: "The state-of-the-art data center campus will have 1 gigawatt of compute capacity" with "the venture expecting to begin bringing capacity online in 2028" (Meta–BlackRock announcement, Jul 28, 2026). Reuters memo (Jul 9, 2026): "Meta this year plans to deploy seven gigawatts of computing infrastructure... plans to double capacity again next year to reach a total of 14 gigawatts in 2027."</t>
  </si>
  <si>
    <t xml:space="preserve">Q2 2026 revenue $60.80B, operating income ~$18.8B incl. $2.4B legal charge; 2026 capex guidance — verify current range; H1 2026 depreciation &amp; amortization from the Q2 2026 10-Q cash-flow statement.</t>
  </si>
  <si>
    <t xml:space="preserve">https://www.sec.gov/Archives/edgar/data/0001326801/000162828026050705/meta-20260630.htm</t>
  </si>
  <si>
    <t xml:space="preserve">Press-release renderings: "Revenue was $60.80 billion, an increase of 28% year-over-year"; "Operating income was $18.78 billion"; expenses "included $2.4 billion in charges related to legal proceedings and $1.2 billion in severance expenses in connection with the May 2026 headcount reduction"; "Meta anticipates 2026 capital expenditures, including principal payments on finance leases, to be in the range of $130-145 billion, narrowed from their prior outlook of $125-145 billion." 10-Q cash-flow rendering: "For the six months ended June 30, 2026, depreciation and amortization was $12.355 billion in the cash flow statement, compared to $8.242 billion for the same period in 2025."</t>
  </si>
  <si>
    <t xml:space="preserve">Applied Digital (APLD)</t>
  </si>
  <si>
    <t xml:space="preserve">verify:miners-verify-a</t>
  </si>
  <si>
    <t xml:space="preserve">1,410 MW of executed IT-load leases across five campuses: Polaris Forge 1 Ellendale ND 400 MW to CoreWeave (~$11B), Polaris Forge 2 200 MW (~$5B), Polaris Forge 3 300 MW (~$7.5B), Delta Forge 1 300 MW + Delta Forge 2 210 MW (~$20B, high investment-gr</t>
  </si>
  <si>
    <t xml:space="preserve">As of May 31, Applied Digital has executed long-term leases representing approximately 1,410 MW of contracted critical IT load across five campuses. The five AI Factory campuses are Polaris Forge 1, 2, and 3 in North Dakota, and Delta Forge 1 in Boyce, Louisiana, and Delta Forge 2 in an undisclosed southern state.</t>
  </si>
  <si>
    <t xml:space="preserve">~$36.2B total contracted lease revenue over initial terms (~$86B with renewals); 175 MW active at Polaris Forge 1; FY2026 revenue and net debt ~$800M</t>
  </si>
  <si>
    <t xml:space="preserve">These leases represent approximately $36 billion of total contracted revenue over the initial 15-year base lease terms, or approximately $86 billion if all renewal options are exercised. [...] Applied Digital ended May 31, 2026 with $4.2 billion in cash, cash equivalents and restricted cash and $5.0 billion of debt.</t>
  </si>
  <si>
    <t xml:space="preserve">Cipher (CIFR, renamed Cipher Digital Inc.)</t>
  </si>
  <si>
    <t xml:space="preserve">Contracted HPC: Black Pearl 300 MW to AWS (~$5.5B, 15-yr, Amazon parent guarantee), Barber Lake 168 MW IT to Fluidstack (10-yr ~$3B, $1.4B Google backstop, +39 MW expansion), Stingray 70 MW pre-leased (~$2B); total ~$11.4B contracted revenue; ~2.4-5.</t>
  </si>
  <si>
    <t xml:space="preserve">Cipher Digital showcased approximately $11.4 billion in contracted revenue in its Q2 2026 business update. [...] The company has a 5.3 gigawatt development portfolio, which includes 700 megawatts of contracted capacity and an additional 4.4 gigawatts in the pipeline. [...] Net debt stands at $1.46 billion, based on June 30, 2026 figures.</t>
  </si>
  <si>
    <t xml:space="preserve">TeraWulf (WULF)</t>
  </si>
  <si>
    <t xml:space="preserve">Contracted 839 MW IT: Fluidstack ~360 MW Lake Mariner (Google backstop ~$3.2B), Core42 72.5 MW (~$1.1B), Anthropic 401 MW Justified Data Campus Hawesville KY (20-yr, ~$19B initial, ~$33B w/ extensions, announced Aug 2026). Total ~$27B contracted</t>
  </si>
  <si>
    <t xml:space="preserve">TeraWulf reported 839 MW of contracted critical IT capacity across its platform and a 2.1 GW controlled development pipeline. [...] TeraWulf signed a 20-year lease with Anthropic covering roughly 401 MW at the Justified Data Campus, representing about $19 billion in contracted revenue over the initial term and up to $33 billion if both five-year extension options are exercised.</t>
  </si>
  <si>
    <t xml:space="preserve">102 MW active HPC (WULF's operating HPC MW at Jun 30, 2026), net debt ~$2.7B (converts ~$3.4B?)</t>
  </si>
  <si>
    <t xml:space="preserve">TeraWulf operated 81 MW of revenue-generating critical IT capacity at Lake Mariner as of June 30, 2026 and completed delivery of CB-3 in early July, increasing revenue-generating capacity to 102 MW.</t>
  </si>
  <si>
    <t xml:space="preserve">Q2 2026 (Aug 13, 2026): area in service 684,977 sqm; commitment rate 92.4%; utilization 79.2%; H1 2026 new bookings 470 MW; MW backlog 757 MW; 2026 revenue guidance ~RMB 13.4-13.9B; net debt ~$4.6B</t>
  </si>
  <si>
    <t xml:space="preserve">Commitment rate for area in service was 92.4% at the end of the second quarter of 2026 [...] Utilization rate (area utilized divided by area in service) was 79.2% as of June 30, 2026 [...] Area in service rose to 684,977 sqm, while area utilized reached 542,236 sqm. [...] GDS raised its 2026 revenue guidance from RMB12,400 million - RMB12,900 million to RMB12,700 million - RMB13,000 million, representing a year-over-year increase of between 11.1% to 13.7%.</t>
  </si>
  <si>
    <t xml:space="preserve">Q1 2026: wholesale in service 907 MW (util 75.7%), under construction 516 MW (85.8% pre-committed), total wholesale resource 2.48 GW; 2026 guidance revenue RMB 91-93B; net debt ~$2.0B; whether Q2 2026 was reported by Aug 17, 2026</t>
  </si>
  <si>
    <t xml:space="preserve">Capacity in service was 907MW as of March 31, 2026, compared with 889MW as of December 31, 2025 [...] Utilization rate of wholesale capacity was 75.7% as of March 31, 2026 [...] Capacity Under Construction was 516 megawatts, with a precommitment rate of 85.8% [...] VNET expects total net revenues to be in the range of RMB 11.5 billion to RMB 11.8 billion for the full year of 2026, representing year-over-year growth of 15.6% to 18.6%.</t>
  </si>
  <si>
    <t xml:space="preserve">Hut 8 (HUT)</t>
  </si>
  <si>
    <t xml:space="preserve">verify:miners-verify-b</t>
  </si>
  <si>
    <t xml:space="preserve">949 MW contracted IT capacity under signed AI-DC leases: Beacon Point TX 704 MW (incl. 352 MW 15-yr ~$9.8B lease; campus 1 GW gross, $19.6B campus base-term value) + River Bend LA 245 MW; total ~$26.6B base-term value; &gt;$1.75B expected avg annual NOI</t>
  </si>
  <si>
    <t xml:space="preserve">https://www.sec.gov/Archives/edgar/data/0001964789/000110465926090041/tm2621890d1_ex99-1.htm</t>
  </si>
  <si>
    <t xml:space="preserve">Contracted AI data center capacity reached 949 MW with approximately $26.6 billion of expected base-term contract value... more than $1.75 billion of expected average annual NOI, leased or backstopped exclusively by investment-grade counterparties... As of June 30, 2026, Hut 8's development pipeline totaled approximately 8,660 MW... Facilities representing 1,330 MW of utility capacity are in active construction across River Bend and Beacon Point, targeted for initial data hall delivery in Q2 2027 and Q3 2027, respectively. [Beacon Point PR title, verbatim: 'Hut 8 Fully Commercializes 1 GW Beacon Point AI Data Center Campus with Second 352 MW IT Lease, Bringing Campus-Level Base-Term Contract Value to $19.6 Billion'; 'second 15-year, $9.8 billion lease for 352 megawatts (MW) of IT capacity... leasing capacity with the said tenant stands at 704 MW'. River Bend PR title, verbatim: 'Hut 8 Si</t>
  </si>
  <si>
    <t xml:space="preserve">Galaxy (GLXY)</t>
  </si>
  <si>
    <t xml:space="preserve">Helios: 526 MW critical IT contracted to CoreWeave (Phases I-III = 800 MW gross approved), Phase I 133 MW CIT in service Jun 30, 2026; $10.4B minimum contracted lease payments 15-yr; Helios approved capacity expanded to 1.63 GW gross; any new phase/c</t>
  </si>
  <si>
    <t xml:space="preserve">Across Phases I through III, CoreWeave has committed to 526 MW of critical IT load — the full 800 MW of gross power currently approved and contracted at Helios — under 15-year leases that include two five-year extension options... Galaxy completed delivery of Phase I with 133 MW of critical IT load in service by quarter end... The minimum contracted lease payments total $10.4 billion over the 15-year initial term at 3% annual inflation, excluding a $100 million option payment. [ERCOT PR title, verbatim: 'Galaxy Completes ERCOT Interconnection Studies and Secures Approval for Additional 830 Megawatts at Helios Data Center Campus, Doubling Total Approved Power Capacity to over 1.6 Gigawatts'; 'Approved power capacity now totals 1.63 GW']</t>
  </si>
  <si>
    <t xml:space="preserve">Core Scientific (CORZ)</t>
  </si>
  <si>
    <t xml:space="preserve">CoreWeave acquisition terminated by shareholder vote ~Oct 2025; ~590 MW CoreWeave colocation (&gt; $10B potential revenue); NEW AMD partnership with Q2 2026 results: ~530 MW anchor, 15-yr, ~$14B+ base contracted revenue, ~380 MW direct triple-net at Pec</t>
  </si>
  <si>
    <t xml:space="preserve">https://www.datacenterdynamics.com/en/news/core-scientific-secures-amd-as-customer-at-five-sites/</t>
  </si>
  <si>
    <t xml:space="preserve">Core Scientific's stockholders did not receive the votes necessary to approve the merger agreement with CoreWeave, and on October 30, 2025, Core Scientific terminated the merger agreement effective immediately... Approximately 380 MW will be delivered directly to AMD under a triple-net lease across Pecos, Hunt, and Muskogee. The remaining approximately 150 MW across Auburn and Dalton will support a Neocloud through a modified gross lease for which AMD will provide full credit support... The initial 530 MW generates more than $14 billion in base contracted revenue over 15 years... AMD also secured exclusive reservation rights for up to 1,925 MW of additional capacity through December 28, 2028. If exercised in full, the partnership would expand to approximately 2.5GW.</t>
  </si>
  <si>
    <t xml:space="preserve">Riot (RIOT)</t>
  </si>
  <si>
    <t xml:space="preserve">NEW 20-year lease with a 'leading frontier AI lab' announced with Q2 2026 results (Aug 10, 2026): 191 MW critical IT at Rockdale TX, ~$9.1B expected initial-term revenue (~$16.1B with extensions), phase 1 96 MW due Dec 2027; plus existing AMD 50 MW l</t>
  </si>
  <si>
    <t xml:space="preserve">[SEC 8-K ex-99.1 (Aug 10, 2026), title as rendered by search: 'Executed 20-year data center lease with a leading frontier ...'] The Data Center Lease carries an initial term of 20 years, running through June 2048, and is expected to generate approximately $9.1 billion in total initial contract revenue... two five-year extension options at the tenant's election, representing a total potential contract value of approximately $16.1 billion... Riot expects to deliver the first 96 IT MW in December 2027 and the full 191 IT MW by June 2028... Riot now has 241 MW of contracted critical IT capacity and approximately $9.8 billion of expected revenue under the initial contract terms... Corsicana sits on Riot-owned land with 1 GW of fully approved utility power, which could support 756 MW of net critical IT capacity; CEO Jason Les said Corsicana's full site is under a nonbinding LOI with one tenant</t>
  </si>
  <si>
    <t xml:space="preserve">No third-party AI/HPC leases as of Q2 2026; 4.8 GW stated potential power portfolio; Long Ridge Energy acquisition (505 MW gas generation) closed?; any AI/HPC deal announced through Aug 17, 2026</t>
  </si>
  <si>
    <t xml:space="preserve">Cross-check (CRWV/NBIS/GOOGL/MSFT market data)</t>
  </si>
  <si>
    <t xml:space="preserve">CoreWeave market cap ~$58.1B at ~$105.5/share (~550M shares) and Nebius ~$75.5B at ~$277.9/share (~272M shares) as of Aug 14, 2026; GOOGL ~$4.23T and MSFT ~$3.68T same date</t>
  </si>
  <si>
    <t xml:space="preserve">verify:dc-reits</t>
  </si>
  <si>
    <t xml:space="preserve">contracted/secured=3000MW, active=null MW, unbuilt=182MW, pipeline=3000MW; 282 IBX data centers across 77 markets in 36 countries (FY2025 10-K: 280); backlog=$15,000M RPO per Q2 2026 10-Q; NTM rev=$10,245M and EBITDA=$5,240M as FY2026 guidance midpoi</t>
  </si>
  <si>
    <t xml:space="preserve">"total revenues are expected to range between $10.205 and $10.285 billion, an increase of approximately 11 - 12% over the previous year"; "Adjusted EBITDA is expected to range between $5.210 and $5.270 billion, reflecting an adjusted EBITDA margin of approximately 51%"; "282 data centers across 77 markets in 36 countries with approximately 3 gigawatts of developable capacity"; "3 gigawatts of land under development, with about 700 megawatts under active construction" (Q2 2026 earnings call); "196 megawatts of xScale capacity under development — 182 megawatts of which is leased"; "approximately $15.0 billion of remaining performance obligations as of June 30, 2026. About 65% of this is expected to be recognized as revenue over the next two years" (10-Q); "total debt principal outstanding was $22,153 million as of June 30, 2026" and "cash and cash equivalents of $979 million"; FY2025 10-K:</t>
  </si>
  <si>
    <t xml:space="preserve">contracted/secured=4500MW, active=3100MW (~310 data centers), unbuilt=1400MW, pipeline=11600MW (IT load basis); occupancy 89.8% at 6/30/26; backlog $1.9B annualized GAAP base rent at 100% share ($1.4B DLR share, +75% YTD, ~30% of in-place rent); NTM </t>
  </si>
  <si>
    <t xml:space="preserve">https://www.globenewswire.com/news-release/2026/07/23/3332571/0/en/digital-realty-reports-second-quarter-2026-results.html</t>
  </si>
  <si>
    <t xml:space="preserve">"record total backlog of $1.9 billion of annualized GAAP base rent at 100% share at the end of 2Q26; at Digital Realty's share, the backlog was $1.4 billion"; backlog "has risen 75% since the beginning of the year and now represents about 30% of in-place data center rent"; "310 data centers and about 3.1 gigawatts of IT capacity"; "1.4 gigawatts of development capacity under construction is 63% pre-leased... at a total cost of $20 billion"; "approximately 8.5 gigawatts of buildable IT capacity under active development and held for future development"; "Buildable IT Capacity is defined as the sum of Land, Shell, and Data Center under Construction"; consolidated "portfolio occupancy of 89.8%" at June 30, 2026; "Total revenue guidance (excluding promote income) rose to $6,850-$6,950 million from $6,600-$6,700 million, while adjusted EBITDA guidance increased to $3,750-$3,850 million from $3</t>
  </si>
  <si>
    <t xml:space="preserve">AI DATA CENTER CAPACITY EXTRACTION - METHODOLOGY</t>
  </si>
  <si>
    <t xml:space="preserve">Built: August 17, 2026. Request: replicate the user's CRWV-vs-NBIS capacity/valuation framework across neoclouds, hyperscalers, bitcoin-miner converts, Asia DCs, China clouds, and private AI labs, using public filings and earnings calls only.</t>
  </si>
  <si>
    <t xml:space="preserve">PROCESS</t>
  </si>
  <si>
    <t xml:space="preserve">1. Round 1: 15 parallel research agents extracted capacity (MW), backlog, NTM revenue/EBITDA, and net debt per company from SEC filings (10-K/10-Q/8-K/6-K/20-F), IR press releases, investor decks, and earnings-call transcripts. Every number carries a verbatim source quote (see Sources sheet).</t>
  </si>
  <si>
    <t xml:space="preserve">2. Round 2: 5 gap-fill agents (China clouds, OpenAI, private AI labs, Nebius detail, miner balance sheets) + 4 adversarial verification agents re-checked every headline claim against primary sources. Verdicts on the Sources sheet (rows marked VERIFICATION).</t>
  </si>
  <si>
    <t xml:space="preserve">3. Extraordinary post-2025 events (SpaceX-xAI merger + SPCX IPO, OpenAI $852B round, Anthropic $965B Series H) were independently re-confirmed.</t>
  </si>
  <si>
    <t xml:space="preserve">COLOR LEGEND</t>
  </si>
  <si>
    <t xml:space="preserve">Blue = hardcoded input (from filings/calls research). Black = formula. Orange fill = user-provided figure not verified in filings (NBIS 390 MW active). Cells with red corner markers carry comments.</t>
  </si>
  <si>
    <t xml:space="preserve">CRITICAL COMPARABILITY WARNINGS</t>
  </si>
  <si>
    <t xml:space="preserve">- MW definitions differ by company: critical IT load (APLD, CIFR-partial, WULF, HUT, GLXY, RIOT) vs gross utility power (IREN, MARA, most hyperscaler statements) vs company-defined "contracted power" (CRWV, NBIS). Do not treat cross-company MW as strictly comparable.</t>
  </si>
  <si>
    <t xml:space="preserve">- "Contracted/Secured" means CUSTOMER-CONTRACTED capacity for landlord-model names (APLD, CIFR, WULF, HUT, GLXY, CORZ, RIOT), but SELF-SECURED power (land/grid) for CRWV, NBIS, IREN - IREN's 5 GW has no customer attached to most of it.</t>
  </si>
  <si>
    <t xml:space="preserve">- Backlog definitions differ: GAAP-adjacent RPO (CRWV, MSFT, AMZN, GOOGL, ORCL) vs undiscounted total lease value over initial terms (miners) vs CFO-quoted committed backlog (NBIS) vs sum of announced TCVs (IREN). Backlog-per-MW and EV multiples inherit these inconsistencies.</t>
  </si>
  <si>
    <t xml:space="preserve">- Hyperscaler &amp; China-cloud columns: capacity/revenue are SEGMENT figures but EV/net debt are GROUP figures - EV multiples suppressed as n.m.</t>
  </si>
  <si>
    <t xml:space="preserve">- Private companies: "equity value" = last funding-round/transaction valuation, not a market price. OpenAI/Anthropic MW mix ceilings ("up to") with firm leases and are buyer-side (their commitments ARE the sellers' backlogs - do not sum the column).</t>
  </si>
  <si>
    <t xml:space="preserve">- Miner net debt excludes BTC treasuries (HUT 17,316 BTC ~$1.0B; MARA 35,577 ~$2.1B; RIOT 11,380 ~$0.7B; GLXY $3.5B digital assets + $1.6B stablecoins) and, for HUT, excludes $6.8B restricted escrowed project financing.</t>
  </si>
  <si>
    <t xml:space="preserve">- Market caps from Nasdaq stock screener, Aug 14, 2026 close, single source (cross-checks blocked by sandbox proxy). NBIS share count verified (271,855,218 at $277.90).</t>
  </si>
  <si>
    <t xml:space="preserve">- Known double-counts across columns: Anthropic capacity sits inside AWS/GOOGL/MSFT/WULF; OpenAI inside ORCL/MSFT/CRWV backlogs; CoreWeave leases sit inside APLD/GLXY/CORZ capacity.</t>
  </si>
  <si>
    <t xml:space="preserve">KNOWN GAPS</t>
  </si>
  <si>
    <t xml:space="preserve">- NBIS connected-power actual (mid-2026) not disclosed; user figure of 390 MW retained, flagged orange.</t>
  </si>
  <si>
    <t xml:space="preserve">- IREN FY2026 results due Aug 27, 2026; APLD figures are FY-end May 31, 2026; VNET Q2 2026 not yet reported; BIDU Q2 due Aug 18, 2026; BABA June-quarter due ~Aug 20+, 2026.</t>
  </si>
  <si>
    <t xml:space="preserve">- IREN net debt ($1,752M) and Oracle net debt ($97.6B) could not be independently re-verified (proxy blocks); treat as approximate.</t>
  </si>
  <si>
    <t xml:space="preserve">- xAI Colossus GPU/MW detail relies partly on second-tier trackers (flagged in Capacity Notes).</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</si>
</sst>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
    <numFmt numFmtId="168" formatCode="\$0.0;&quot;($&quot;0.0\);\-"/>
    <numFmt numFmtId="169" formatCode="0.0\x;\(0.0&quot;x)&quot;;\-"/>
    <numFmt numFmtId="170" formatCode="\$0.00;&quot;($&quot;0.00\);\-"/>
    <numFmt numFmtId="171" formatCode="0.0\x"/>
    <numFmt numFmtId="172" formatCode="\$#,##0.0;&quot;($&quot;#,##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8"/>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name val="Arial"/>
      <family val="0"/>
      <charset val="1"/>
    </font>
    <font>
      <sz val="10"/>
      <name val="Arial"/>
      <family val="2"/>
    </font>
    <font>
      <b val="true"/>
      <sz val="13"/>
      <name val="Arial"/>
      <family val="0"/>
      <charset val="1"/>
    </font>
    <font>
      <b val="true"/>
      <sz val="11"/>
      <name val="Arial"/>
      <family val="0"/>
      <charset val="1"/>
    </font>
    <font>
      <sz val="9"/>
      <name val="Arial"/>
      <family val="0"/>
      <charset val="1"/>
    </font>
    <font>
      <sz val="9"/>
      <name val="WenQuanYi Zen Hei"/>
      <family val="2"/>
    </font>
  </fonts>
  <fills count="6">
    <fill>
      <patternFill patternType="none"/>
    </fill>
    <fill>
      <patternFill patternType="gray125"/>
    </fill>
    <fill>
      <patternFill patternType="solid">
        <fgColor rgb="FF1F3864"/>
        <bgColor rgb="FF333333"/>
      </patternFill>
    </fill>
    <fill>
      <patternFill patternType="solid">
        <fgColor rgb="FFD9E1F2"/>
        <bgColor rgb="FFFCE4D6"/>
      </patternFill>
    </fill>
    <fill>
      <patternFill patternType="solid">
        <fgColor rgb="FFFCE4D6"/>
        <bgColor rgb="FFD9E1F2"/>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4"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8" fillId="5"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8" min="2" style="1" width="13"/>
  </cols>
  <sheetData>
    <row r="1" customFormat="false" ht="17.25" hidden="false" customHeight="true" outlineLevel="0" collapsed="false">
      <c r="A1" s="2" t="s">
        <v>0</v>
      </c>
    </row>
    <row r="2" customFormat="false" ht="15" hidden="false" customHeight="true" outlineLevel="0" collapsed="false">
      <c r="A2" s="3" t="s">
        <v>1</v>
      </c>
      <c r="B2" s="3"/>
      <c r="C2" s="3"/>
      <c r="D2" s="3"/>
      <c r="E2" s="3"/>
      <c r="F2" s="3"/>
      <c r="G2" s="3"/>
      <c r="H2" s="3"/>
      <c r="I2" s="3"/>
      <c r="J2" s="3"/>
      <c r="K2" s="3"/>
      <c r="L2" s="3"/>
      <c r="M2" s="3"/>
      <c r="N2" s="3"/>
      <c r="O2" s="3"/>
      <c r="P2" s="3"/>
      <c r="Q2" s="3"/>
      <c r="R2" s="3"/>
      <c r="S2" s="3"/>
    </row>
    <row r="3" customFormat="false" ht="15" hidden="false" customHeight="true" outlineLevel="0" collapsed="false">
      <c r="B3" s="4" t="s">
        <v>2</v>
      </c>
      <c r="C3" s="4"/>
      <c r="D3" s="4"/>
      <c r="E3" s="4" t="s">
        <v>3</v>
      </c>
      <c r="F3" s="4"/>
      <c r="G3" s="4"/>
      <c r="H3" s="4"/>
      <c r="I3" s="4"/>
      <c r="J3" s="4"/>
      <c r="K3" s="4"/>
      <c r="L3" s="4"/>
      <c r="M3" s="4" t="s">
        <v>4</v>
      </c>
      <c r="N3" s="4"/>
      <c r="O3" s="4" t="s">
        <v>5</v>
      </c>
      <c r="P3" s="4"/>
      <c r="Q3" s="4" t="s">
        <v>6</v>
      </c>
      <c r="R3" s="4"/>
      <c r="S3" s="4"/>
      <c r="T3" s="4"/>
      <c r="U3" s="4"/>
      <c r="V3" s="4" t="s">
        <v>7</v>
      </c>
      <c r="W3" s="4"/>
      <c r="X3" s="4"/>
      <c r="Y3" s="4" t="s">
        <v>8</v>
      </c>
      <c r="Z3" s="4"/>
      <c r="AA3" s="4"/>
      <c r="AB3" s="4"/>
    </row>
    <row r="4" customFormat="false" ht="23.25" hidden="false" customHeight="true" outlineLevel="0" collapsed="false">
      <c r="B4" s="5" t="s">
        <v>9</v>
      </c>
      <c r="C4" s="5" t="s">
        <v>10</v>
      </c>
      <c r="D4" s="5" t="s">
        <v>11</v>
      </c>
      <c r="E4" s="5" t="s">
        <v>12</v>
      </c>
      <c r="F4" s="5" t="s">
        <v>13</v>
      </c>
      <c r="G4" s="5" t="s">
        <v>14</v>
      </c>
      <c r="H4" s="5" t="s">
        <v>15</v>
      </c>
      <c r="I4" s="5" t="s">
        <v>16</v>
      </c>
      <c r="J4" s="5" t="s">
        <v>17</v>
      </c>
      <c r="K4" s="5" t="s">
        <v>18</v>
      </c>
      <c r="L4" s="5" t="s">
        <v>19</v>
      </c>
      <c r="M4" s="5" t="s">
        <v>20</v>
      </c>
      <c r="N4" s="5" t="s">
        <v>21</v>
      </c>
      <c r="O4" s="5" t="s">
        <v>22</v>
      </c>
      <c r="P4" s="5" t="s">
        <v>23</v>
      </c>
      <c r="Q4" s="5" t="s">
        <v>24</v>
      </c>
      <c r="R4" s="5" t="s">
        <v>25</v>
      </c>
      <c r="S4" s="5" t="s">
        <v>26</v>
      </c>
      <c r="T4" s="5" t="s">
        <v>27</v>
      </c>
      <c r="U4" s="5" t="s">
        <v>28</v>
      </c>
      <c r="V4" s="5" t="s">
        <v>29</v>
      </c>
      <c r="W4" s="5" t="s">
        <v>30</v>
      </c>
      <c r="X4" s="5" t="s">
        <v>31</v>
      </c>
      <c r="Y4" s="5" t="s">
        <v>32</v>
      </c>
      <c r="Z4" s="5" t="s">
        <v>33</v>
      </c>
      <c r="AA4" s="5" t="s">
        <v>34</v>
      </c>
      <c r="AB4" s="5" t="s">
        <v>35</v>
      </c>
    </row>
    <row r="5" customFormat="false" ht="15" hidden="false" customHeight="true" outlineLevel="0" collapsed="false">
      <c r="B5" s="6" t="s">
        <v>36</v>
      </c>
      <c r="C5" s="6" t="s">
        <v>37</v>
      </c>
      <c r="D5" s="6" t="s">
        <v>11</v>
      </c>
      <c r="E5" s="6" t="s">
        <v>38</v>
      </c>
      <c r="F5" s="6" t="s">
        <v>39</v>
      </c>
      <c r="G5" s="6" t="s">
        <v>40</v>
      </c>
      <c r="H5" s="6" t="s">
        <v>41</v>
      </c>
      <c r="I5" s="6" t="s">
        <v>42</v>
      </c>
      <c r="J5" s="6" t="s">
        <v>43</v>
      </c>
      <c r="K5" s="6" t="s">
        <v>44</v>
      </c>
      <c r="L5" s="6" t="s">
        <v>19</v>
      </c>
      <c r="M5" s="6" t="s">
        <v>45</v>
      </c>
      <c r="N5" s="6" t="s">
        <v>21</v>
      </c>
      <c r="O5" s="6" t="s">
        <v>46</v>
      </c>
      <c r="P5" s="6" t="s">
        <v>47</v>
      </c>
      <c r="Q5" s="6" t="s">
        <v>48</v>
      </c>
      <c r="R5" s="6" t="s">
        <v>49</v>
      </c>
      <c r="S5" s="6" t="s">
        <v>50</v>
      </c>
      <c r="T5" s="6" t="s">
        <v>51</v>
      </c>
      <c r="U5" s="6" t="s">
        <v>52</v>
      </c>
      <c r="V5" s="6" t="s">
        <v>53</v>
      </c>
      <c r="W5" s="6" t="s">
        <v>54</v>
      </c>
      <c r="X5" s="6" t="s">
        <v>55</v>
      </c>
      <c r="Y5" s="6" t="s">
        <v>56</v>
      </c>
      <c r="Z5" s="6" t="s">
        <v>56</v>
      </c>
      <c r="AA5" s="6" t="s">
        <v>57</v>
      </c>
      <c r="AB5" s="6" t="s">
        <v>58</v>
      </c>
    </row>
    <row r="7" customFormat="false" ht="15" hidden="false" customHeight="true" outlineLevel="0" collapsed="false">
      <c r="A7" s="7" t="s">
        <v>59</v>
      </c>
      <c r="B7" s="8" t="n">
        <f aca="false">IF(ISNUMBER(B30),B30+IF(ISNUMBER(B28),B28,0)+IF(ISNUMBER(B29),B29,0),"")</f>
        <v>88082</v>
      </c>
      <c r="C7" s="8" t="n">
        <f aca="false">IF(ISNUMBER(C30),C30+IF(ISNUMBER(C28),C28,0)+IF(ISNUMBER(C29),C29,0),"")</f>
        <v>76053</v>
      </c>
      <c r="D7" s="8" t="n">
        <f aca="false">IF(ISNUMBER(D30),D30+IF(ISNUMBER(D28),D28,0)+IF(ISNUMBER(D29),D29,0),"")</f>
        <v>17498</v>
      </c>
      <c r="E7" s="8" t="n">
        <f aca="false">IF(ISNUMBER(E30),E30+IF(ISNUMBER(E28),E28,0)+IF(ISNUMBER(E29),E29,0),"")</f>
        <v>9894</v>
      </c>
      <c r="F7" s="8" t="n">
        <f aca="false">IF(ISNUMBER(F30),F30+IF(ISNUMBER(F28),F28,0)+IF(ISNUMBER(F29),F29,0),"")</f>
        <v>8866</v>
      </c>
      <c r="G7" s="8" t="n">
        <f aca="false">IF(ISNUMBER(G30),G30+IF(ISNUMBER(G28),G28,0)+IF(ISNUMBER(G29),G29,0),"")</f>
        <v>11372</v>
      </c>
      <c r="H7" s="8" t="n">
        <f aca="false">IF(ISNUMBER(H30),H30+IF(ISNUMBER(H28),H28,0)+IF(ISNUMBER(H29),H29,0),"")</f>
        <v>11097</v>
      </c>
      <c r="I7" s="8" t="n">
        <f aca="false">IF(ISNUMBER(I30),I30+IF(ISNUMBER(I28),I28,0)+IF(ISNUMBER(I29),I29,0),"")</f>
        <v>10831</v>
      </c>
      <c r="J7" s="8" t="n">
        <f aca="false">IF(ISNUMBER(J30),J30+IF(ISNUMBER(J28),J28,0)+IF(ISNUMBER(J29),J29,0),"")</f>
        <v>9013</v>
      </c>
      <c r="K7" s="8" t="n">
        <f aca="false">IF(ISNUMBER(K30),K30+IF(ISNUMBER(K28),K28,0)+IF(ISNUMBER(K29),K29,0),"")</f>
        <v>7459</v>
      </c>
      <c r="L7" s="8" t="n">
        <f aca="false">IF(ISNUMBER(L30),L30+IF(ISNUMBER(L28),L28,0)+IF(ISNUMBER(L29),L29,0),"")</f>
        <v>5580</v>
      </c>
      <c r="M7" s="8" t="n">
        <f aca="false">IF(ISNUMBER(M30),M30+IF(ISNUMBER(M28),M28,0)+IF(ISNUMBER(M29),M29,0),"")</f>
        <v>11494</v>
      </c>
      <c r="N7" s="8" t="n">
        <f aca="false">IF(ISNUMBER(N30),N30+IF(ISNUMBER(N28),N28,0)+IF(ISNUMBER(N29),N29,0),"")</f>
        <v>4161</v>
      </c>
      <c r="O7" s="8" t="n">
        <f aca="false">IF(ISNUMBER(O30),O30+IF(ISNUMBER(O28),O28,0)+IF(ISNUMBER(O29),O29,0),"")</f>
        <v>129914</v>
      </c>
      <c r="P7" s="8" t="n">
        <f aca="false">IF(ISNUMBER(P30),P30+IF(ISNUMBER(P28),P28,0)+IF(ISNUMBER(P29),P29,0),"")</f>
        <v>88874</v>
      </c>
      <c r="Q7" s="8" t="n">
        <f aca="false">IF(ISNUMBER(Q30),Q30+IF(ISNUMBER(Q28),Q28,0)+IF(ISNUMBER(Q29),Q29,0),"")</f>
        <v>2883706</v>
      </c>
      <c r="R7" s="8" t="n">
        <f aca="false">IF(ISNUMBER(R30),R30+IF(ISNUMBER(R28),R28,0)+IF(ISNUMBER(R29),R29,0),"")</f>
        <v>3642066</v>
      </c>
      <c r="S7" s="8" t="n">
        <f aca="false">IF(ISNUMBER(S30),S30+IF(ISNUMBER(S28),S28,0)+IF(ISNUMBER(S29),S29,0),"")</f>
        <v>4086048</v>
      </c>
      <c r="T7" s="8" t="n">
        <f aca="false">IF(ISNUMBER(T30),T30+IF(ISNUMBER(T28),T28,0)+IF(ISNUMBER(T29),T29,0),"")</f>
        <v>531215</v>
      </c>
      <c r="U7" s="8" t="n">
        <f aca="false">IF(ISNUMBER(U30),U30+IF(ISNUMBER(U28),U28,0)+IF(ISNUMBER(U29),U29,0),"")</f>
        <v>1496047</v>
      </c>
      <c r="V7" s="8" t="n">
        <f aca="false">IF(ISNUMBER(V30),V30+IF(ISNUMBER(V28),V28,0)+IF(ISNUMBER(V29),V29,0),"")</f>
        <v>251825</v>
      </c>
      <c r="W7" s="8" t="n">
        <f aca="false">IF(ISNUMBER(W30),W30+IF(ISNUMBER(W28),W28,0)+IF(ISNUMBER(W29),W29,0),"")</f>
        <v>35274</v>
      </c>
      <c r="X7" s="8" t="str">
        <f aca="false">IF(ISNUMBER(X30),X30+IF(ISNUMBER(X28),X28,0)+IF(ISNUMBER(X29),X29,0),"")</f>
        <v/>
      </c>
      <c r="Y7" s="8" t="n">
        <f aca="false">IF(ISNUMBER(Y30),Y30+IF(ISNUMBER(Y28),Y28,0)+IF(ISNUMBER(Y29),Y29,0),"")</f>
        <v>852000</v>
      </c>
      <c r="Z7" s="8" t="n">
        <f aca="false">IF(ISNUMBER(Z30),Z30+IF(ISNUMBER(Z28),Z28,0)+IF(ISNUMBER(Z29),Z29,0),"")</f>
        <v>965000</v>
      </c>
      <c r="AA7" s="8" t="n">
        <f aca="false">IF(ISNUMBER(AA30),AA30+IF(ISNUMBER(AA28),AA28,0)+IF(ISNUMBER(AA29),AA29,0),"")</f>
        <v>250000</v>
      </c>
      <c r="AB7" s="8" t="n">
        <f aca="false">IF(ISNUMBER(AB30),AB30+IF(ISNUMBER(AB28),AB28,0)+IF(ISNUMBER(AB29),AB29,0),"")</f>
        <v>1844000</v>
      </c>
    </row>
    <row r="9" customFormat="false" ht="15" hidden="false" customHeight="true" outlineLevel="0" collapsed="false">
      <c r="A9" s="7" t="s">
        <v>60</v>
      </c>
      <c r="B9" s="9" t="n">
        <v>3700</v>
      </c>
      <c r="C9" s="9" t="n">
        <v>3500</v>
      </c>
      <c r="D9" s="9" t="n">
        <v>5000</v>
      </c>
      <c r="E9" s="9" t="n">
        <v>1410</v>
      </c>
      <c r="F9" s="9" t="n">
        <v>700</v>
      </c>
      <c r="G9" s="9" t="n">
        <v>839</v>
      </c>
      <c r="H9" s="9" t="n">
        <v>949</v>
      </c>
      <c r="I9" s="9" t="n">
        <v>526</v>
      </c>
      <c r="J9" s="9" t="n">
        <v>1120</v>
      </c>
      <c r="K9" s="9" t="n">
        <v>241</v>
      </c>
      <c r="L9" s="9" t="n">
        <v>0</v>
      </c>
      <c r="M9" s="10"/>
      <c r="N9" s="9" t="n">
        <v>1423</v>
      </c>
      <c r="O9" s="10"/>
      <c r="P9" s="9" t="n">
        <v>4500</v>
      </c>
      <c r="Q9" s="10"/>
      <c r="R9" s="10"/>
      <c r="S9" s="10"/>
      <c r="T9" s="10"/>
      <c r="U9" s="10"/>
      <c r="V9" s="10"/>
      <c r="W9" s="10"/>
      <c r="X9" s="10"/>
      <c r="Y9" s="9" t="n">
        <v>30000</v>
      </c>
      <c r="Z9" s="9" t="n">
        <v>10900</v>
      </c>
      <c r="AA9" s="9" t="n">
        <v>2500</v>
      </c>
      <c r="AB9" s="10"/>
    </row>
    <row r="10" customFormat="false" ht="15" hidden="false" customHeight="true" outlineLevel="0" collapsed="false">
      <c r="A10" s="11" t="s">
        <v>61</v>
      </c>
      <c r="B10" s="9" t="n">
        <v>1500</v>
      </c>
      <c r="C10" s="12" t="n">
        <v>390</v>
      </c>
      <c r="D10" s="9" t="n">
        <v>810</v>
      </c>
      <c r="E10" s="9" t="n">
        <v>175</v>
      </c>
      <c r="F10" s="9" t="n">
        <v>0</v>
      </c>
      <c r="G10" s="9" t="n">
        <v>81</v>
      </c>
      <c r="H10" s="9" t="n">
        <v>0</v>
      </c>
      <c r="I10" s="9" t="n">
        <v>133</v>
      </c>
      <c r="J10" s="10"/>
      <c r="K10" s="9" t="n">
        <v>0</v>
      </c>
      <c r="L10" s="9" t="n">
        <v>0</v>
      </c>
      <c r="M10" s="10"/>
      <c r="N10" s="9" t="n">
        <v>907</v>
      </c>
      <c r="O10" s="10"/>
      <c r="P10" s="9" t="n">
        <v>3100</v>
      </c>
      <c r="Q10" s="10"/>
      <c r="R10" s="10"/>
      <c r="S10" s="10"/>
      <c r="T10" s="10"/>
      <c r="U10" s="10"/>
      <c r="V10" s="10"/>
      <c r="W10" s="10"/>
      <c r="X10" s="10"/>
      <c r="Y10" s="9" t="n">
        <v>1900</v>
      </c>
      <c r="Z10" s="9" t="n">
        <v>2200</v>
      </c>
      <c r="AA10" s="10"/>
      <c r="AB10" s="10"/>
    </row>
    <row r="11" customFormat="false" ht="15" hidden="false" customHeight="true" outlineLevel="0" collapsed="false">
      <c r="A11" s="7" t="s">
        <v>62</v>
      </c>
      <c r="B11" s="13" t="n">
        <f aca="false">IF(AND(ISNUMBER(B9),ISNUMBER(B10)),B9-B10,"")</f>
        <v>2200</v>
      </c>
      <c r="C11" s="13" t="n">
        <f aca="false">IF(AND(ISNUMBER(C9),ISNUMBER(C10)),C9-C10,"")</f>
        <v>3110</v>
      </c>
      <c r="D11" s="13" t="n">
        <f aca="false">IF(AND(ISNUMBER(D9),ISNUMBER(D10)),D9-D10,"")</f>
        <v>4190</v>
      </c>
      <c r="E11" s="13" t="n">
        <f aca="false">IF(AND(ISNUMBER(E9),ISNUMBER(E10)),E9-E10,"")</f>
        <v>1235</v>
      </c>
      <c r="F11" s="13" t="n">
        <f aca="false">IF(AND(ISNUMBER(F9),ISNUMBER(F10)),F9-F10,"")</f>
        <v>700</v>
      </c>
      <c r="G11" s="13" t="n">
        <f aca="false">IF(AND(ISNUMBER(G9),ISNUMBER(G10)),G9-G10,"")</f>
        <v>758</v>
      </c>
      <c r="H11" s="13" t="n">
        <f aca="false">IF(AND(ISNUMBER(H9),ISNUMBER(H10)),H9-H10,"")</f>
        <v>949</v>
      </c>
      <c r="I11" s="13" t="n">
        <f aca="false">IF(AND(ISNUMBER(I9),ISNUMBER(I10)),I9-I10,"")</f>
        <v>393</v>
      </c>
      <c r="J11" s="13" t="str">
        <f aca="false">IF(AND(ISNUMBER(J9),ISNUMBER(J10)),J9-J10,"")</f>
        <v/>
      </c>
      <c r="K11" s="13" t="n">
        <f aca="false">IF(AND(ISNUMBER(K9),ISNUMBER(K10)),K9-K10,"")</f>
        <v>241</v>
      </c>
      <c r="L11" s="13" t="n">
        <f aca="false">IF(AND(ISNUMBER(L9),ISNUMBER(L10)),L9-L10,"")</f>
        <v>0</v>
      </c>
      <c r="M11" s="9" t="n">
        <v>757</v>
      </c>
      <c r="N11" s="9" t="n">
        <v>516</v>
      </c>
      <c r="O11" s="13" t="str">
        <f aca="false">IF(AND(ISNUMBER(O9),ISNUMBER(O10)),O9-O10,"")</f>
        <v/>
      </c>
      <c r="P11" s="9" t="n">
        <v>1400</v>
      </c>
      <c r="Q11" s="13" t="str">
        <f aca="false">IF(AND(ISNUMBER(Q9),ISNUMBER(Q10)),Q9-Q10,"")</f>
        <v/>
      </c>
      <c r="R11" s="13" t="str">
        <f aca="false">IF(AND(ISNUMBER(R9),ISNUMBER(R10)),R9-R10,"")</f>
        <v/>
      </c>
      <c r="S11" s="13" t="str">
        <f aca="false">IF(AND(ISNUMBER(S9),ISNUMBER(S10)),S9-S10,"")</f>
        <v/>
      </c>
      <c r="T11" s="9" t="n">
        <v>4500</v>
      </c>
      <c r="U11" s="13" t="str">
        <f aca="false">IF(AND(ISNUMBER(U9),ISNUMBER(U10)),U9-U10,"")</f>
        <v/>
      </c>
      <c r="V11" s="13" t="str">
        <f aca="false">IF(AND(ISNUMBER(V9),ISNUMBER(V10)),V9-V10,"")</f>
        <v/>
      </c>
      <c r="W11" s="13" t="str">
        <f aca="false">IF(AND(ISNUMBER(W9),ISNUMBER(W10)),W9-W10,"")</f>
        <v/>
      </c>
      <c r="X11" s="13" t="str">
        <f aca="false">IF(AND(ISNUMBER(X9),ISNUMBER(X10)),X9-X10,"")</f>
        <v/>
      </c>
      <c r="Y11" s="13" t="n">
        <f aca="false">IF(AND(ISNUMBER(Y9),ISNUMBER(Y10)),Y9-Y10,"")</f>
        <v>28100</v>
      </c>
      <c r="Z11" s="13" t="n">
        <f aca="false">IF(AND(ISNUMBER(Z9),ISNUMBER(Z10)),Z9-Z10,"")</f>
        <v>8700</v>
      </c>
      <c r="AA11" s="13" t="str">
        <f aca="false">IF(AND(ISNUMBER(AA9),ISNUMBER(AA10)),AA9-AA10,"")</f>
        <v/>
      </c>
      <c r="AB11" s="13" t="str">
        <f aca="false">IF(AND(ISNUMBER(AB9),ISNUMBER(AB10)),AB9-AB10,"")</f>
        <v/>
      </c>
    </row>
    <row r="12" customFormat="false" ht="15" hidden="false" customHeight="true" outlineLevel="0" collapsed="false">
      <c r="A12" s="7" t="s">
        <v>63</v>
      </c>
      <c r="B12" s="14" t="n">
        <f aca="false">IF(AND(ISNUMBER(B10),ISNUMBER(B9),B9&lt;&gt;0),B10/B9,"")</f>
        <v>0.405405405405405</v>
      </c>
      <c r="C12" s="14" t="n">
        <f aca="false">IF(AND(ISNUMBER(C10),ISNUMBER(C9),C9&lt;&gt;0),C10/C9,"")</f>
        <v>0.111428571428571</v>
      </c>
      <c r="D12" s="14" t="n">
        <f aca="false">IF(AND(ISNUMBER(D10),ISNUMBER(D9),D9&lt;&gt;0),D10/D9,"")</f>
        <v>0.162</v>
      </c>
      <c r="E12" s="14" t="n">
        <f aca="false">IF(AND(ISNUMBER(E10),ISNUMBER(E9),E9&lt;&gt;0),E10/E9,"")</f>
        <v>0.124113475177305</v>
      </c>
      <c r="F12" s="14" t="n">
        <f aca="false">IF(AND(ISNUMBER(F10),ISNUMBER(F9),F9&lt;&gt;0),F10/F9,"")</f>
        <v>0</v>
      </c>
      <c r="G12" s="14" t="n">
        <f aca="false">IF(AND(ISNUMBER(G10),ISNUMBER(G9),G9&lt;&gt;0),G10/G9,"")</f>
        <v>0.0965435041716329</v>
      </c>
      <c r="H12" s="14" t="n">
        <f aca="false">IF(AND(ISNUMBER(H10),ISNUMBER(H9),H9&lt;&gt;0),H10/H9,"")</f>
        <v>0</v>
      </c>
      <c r="I12" s="14" t="n">
        <f aca="false">IF(AND(ISNUMBER(I10),ISNUMBER(I9),I9&lt;&gt;0),I10/I9,"")</f>
        <v>0.252851711026616</v>
      </c>
      <c r="J12" s="14" t="str">
        <f aca="false">IF(AND(ISNUMBER(J10),ISNUMBER(J9),J9&lt;&gt;0),J10/J9,"")</f>
        <v/>
      </c>
      <c r="K12" s="14" t="n">
        <f aca="false">IF(AND(ISNUMBER(K10),ISNUMBER(K9),K9&lt;&gt;0),K10/K9,"")</f>
        <v>0</v>
      </c>
      <c r="L12" s="14" t="str">
        <f aca="false">IF(AND(ISNUMBER(L10),ISNUMBER(L9),L9&lt;&gt;0),L10/L9,"")</f>
        <v/>
      </c>
      <c r="M12" s="14" t="str">
        <f aca="false">IF(AND(ISNUMBER(M10),ISNUMBER(M9),M9&lt;&gt;0),M10/M9,"")</f>
        <v/>
      </c>
      <c r="N12" s="14" t="n">
        <f aca="false">IF(AND(ISNUMBER(N10),ISNUMBER(N9),N9&lt;&gt;0),N10/N9,"")</f>
        <v>0.637385804638089</v>
      </c>
      <c r="O12" s="14" t="str">
        <f aca="false">IF(AND(ISNUMBER(O10),ISNUMBER(O9),O9&lt;&gt;0),O10/O9,"")</f>
        <v/>
      </c>
      <c r="P12" s="14" t="n">
        <f aca="false">IF(AND(ISNUMBER(P10),ISNUMBER(P9),P9&lt;&gt;0),P10/P9,"")</f>
        <v>0.688888888888889</v>
      </c>
      <c r="Q12" s="14" t="str">
        <f aca="false">IF(AND(ISNUMBER(Q10),ISNUMBER(Q9),Q9&lt;&gt;0),Q10/Q9,"")</f>
        <v/>
      </c>
      <c r="R12" s="14" t="str">
        <f aca="false">IF(AND(ISNUMBER(R10),ISNUMBER(R9),R9&lt;&gt;0),R10/R9,"")</f>
        <v/>
      </c>
      <c r="S12" s="14" t="str">
        <f aca="false">IF(AND(ISNUMBER(S10),ISNUMBER(S9),S9&lt;&gt;0),S10/S9,"")</f>
        <v/>
      </c>
      <c r="T12" s="14" t="str">
        <f aca="false">IF(AND(ISNUMBER(T10),ISNUMBER(T9),T9&lt;&gt;0),T10/T9,"")</f>
        <v/>
      </c>
      <c r="U12" s="14" t="str">
        <f aca="false">IF(AND(ISNUMBER(U10),ISNUMBER(U9),U9&lt;&gt;0),U10/U9,"")</f>
        <v/>
      </c>
      <c r="V12" s="14" t="str">
        <f aca="false">IF(AND(ISNUMBER(V10),ISNUMBER(V9),V9&lt;&gt;0),V10/V9,"")</f>
        <v/>
      </c>
      <c r="W12" s="14" t="str">
        <f aca="false">IF(AND(ISNUMBER(W10),ISNUMBER(W9),W9&lt;&gt;0),W10/W9,"")</f>
        <v/>
      </c>
      <c r="X12" s="14" t="str">
        <f aca="false">IF(AND(ISNUMBER(X10),ISNUMBER(X9),X9&lt;&gt;0),X10/X9,"")</f>
        <v/>
      </c>
      <c r="Y12" s="14" t="n">
        <f aca="false">IF(AND(ISNUMBER(Y10),ISNUMBER(Y9),Y9&lt;&gt;0),Y10/Y9,"")</f>
        <v>0.0633333333333333</v>
      </c>
      <c r="Z12" s="14" t="n">
        <f aca="false">IF(AND(ISNUMBER(Z10),ISNUMBER(Z9),Z9&lt;&gt;0),Z10/Z9,"")</f>
        <v>0.201834862385321</v>
      </c>
      <c r="AA12" s="14" t="str">
        <f aca="false">IF(AND(ISNUMBER(AA10),ISNUMBER(AA9),AA9&lt;&gt;0),AA10/AA9,"")</f>
        <v/>
      </c>
      <c r="AB12" s="14" t="str">
        <f aca="false">IF(AND(ISNUMBER(AB10),ISNUMBER(AB9),AB9&lt;&gt;0),AB10/AB9,"")</f>
        <v/>
      </c>
    </row>
    <row r="13" customFormat="false" ht="15" hidden="false" customHeight="true" outlineLevel="0" collapsed="false">
      <c r="A13" s="7" t="s">
        <v>64</v>
      </c>
      <c r="B13" s="14" t="n">
        <f aca="false">IF(AND(ISNUMBER(B11),ISNUMBER(B9),B9&lt;&gt;0),B11/B9,"")</f>
        <v>0.594594594594595</v>
      </c>
      <c r="C13" s="14" t="n">
        <f aca="false">IF(AND(ISNUMBER(C11),ISNUMBER(C9),C9&lt;&gt;0),C11/C9,"")</f>
        <v>0.888571428571429</v>
      </c>
      <c r="D13" s="14" t="n">
        <f aca="false">IF(AND(ISNUMBER(D11),ISNUMBER(D9),D9&lt;&gt;0),D11/D9,"")</f>
        <v>0.838</v>
      </c>
      <c r="E13" s="14" t="n">
        <f aca="false">IF(AND(ISNUMBER(E11),ISNUMBER(E9),E9&lt;&gt;0),E11/E9,"")</f>
        <v>0.875886524822695</v>
      </c>
      <c r="F13" s="14" t="n">
        <f aca="false">IF(AND(ISNUMBER(F11),ISNUMBER(F9),F9&lt;&gt;0),F11/F9,"")</f>
        <v>1</v>
      </c>
      <c r="G13" s="14" t="n">
        <f aca="false">IF(AND(ISNUMBER(G11),ISNUMBER(G9),G9&lt;&gt;0),G11/G9,"")</f>
        <v>0.903456495828367</v>
      </c>
      <c r="H13" s="14" t="n">
        <f aca="false">IF(AND(ISNUMBER(H11),ISNUMBER(H9),H9&lt;&gt;0),H11/H9,"")</f>
        <v>1</v>
      </c>
      <c r="I13" s="14" t="n">
        <f aca="false">IF(AND(ISNUMBER(I11),ISNUMBER(I9),I9&lt;&gt;0),I11/I9,"")</f>
        <v>0.747148288973384</v>
      </c>
      <c r="J13" s="14" t="str">
        <f aca="false">IF(AND(ISNUMBER(J11),ISNUMBER(J9),J9&lt;&gt;0),J11/J9,"")</f>
        <v/>
      </c>
      <c r="K13" s="14" t="n">
        <f aca="false">IF(AND(ISNUMBER(K11),ISNUMBER(K9),K9&lt;&gt;0),K11/K9,"")</f>
        <v>1</v>
      </c>
      <c r="L13" s="14" t="str">
        <f aca="false">IF(AND(ISNUMBER(L11),ISNUMBER(L9),L9&lt;&gt;0),L11/L9,"")</f>
        <v/>
      </c>
      <c r="M13" s="14" t="str">
        <f aca="false">IF(AND(ISNUMBER(M11),ISNUMBER(M9),M9&lt;&gt;0),M11/M9,"")</f>
        <v/>
      </c>
      <c r="N13" s="14" t="n">
        <f aca="false">IF(AND(ISNUMBER(N11),ISNUMBER(N9),N9&lt;&gt;0),N11/N9,"")</f>
        <v>0.362614195361912</v>
      </c>
      <c r="O13" s="14" t="str">
        <f aca="false">IF(AND(ISNUMBER(O11),ISNUMBER(O9),O9&lt;&gt;0),O11/O9,"")</f>
        <v/>
      </c>
      <c r="P13" s="14" t="n">
        <f aca="false">IF(AND(ISNUMBER(P11),ISNUMBER(P9),P9&lt;&gt;0),P11/P9,"")</f>
        <v>0.311111111111111</v>
      </c>
      <c r="Q13" s="14" t="str">
        <f aca="false">IF(AND(ISNUMBER(Q11),ISNUMBER(Q9),Q9&lt;&gt;0),Q11/Q9,"")</f>
        <v/>
      </c>
      <c r="R13" s="14" t="str">
        <f aca="false">IF(AND(ISNUMBER(R11),ISNUMBER(R9),R9&lt;&gt;0),R11/R9,"")</f>
        <v/>
      </c>
      <c r="S13" s="14" t="str">
        <f aca="false">IF(AND(ISNUMBER(S11),ISNUMBER(S9),S9&lt;&gt;0),S11/S9,"")</f>
        <v/>
      </c>
      <c r="T13" s="14" t="str">
        <f aca="false">IF(AND(ISNUMBER(T11),ISNUMBER(T9),T9&lt;&gt;0),T11/T9,"")</f>
        <v/>
      </c>
      <c r="U13" s="14" t="str">
        <f aca="false">IF(AND(ISNUMBER(U11),ISNUMBER(U9),U9&lt;&gt;0),U11/U9,"")</f>
        <v/>
      </c>
      <c r="V13" s="14" t="str">
        <f aca="false">IF(AND(ISNUMBER(V11),ISNUMBER(V9),V9&lt;&gt;0),V11/V9,"")</f>
        <v/>
      </c>
      <c r="W13" s="14" t="str">
        <f aca="false">IF(AND(ISNUMBER(W11),ISNUMBER(W9),W9&lt;&gt;0),W11/W9,"")</f>
        <v/>
      </c>
      <c r="X13" s="14" t="str">
        <f aca="false">IF(AND(ISNUMBER(X11),ISNUMBER(X9),X9&lt;&gt;0),X11/X9,"")</f>
        <v/>
      </c>
      <c r="Y13" s="14" t="n">
        <f aca="false">IF(AND(ISNUMBER(Y11),ISNUMBER(Y9),Y9&lt;&gt;0),Y11/Y9,"")</f>
        <v>0.936666666666667</v>
      </c>
      <c r="Z13" s="14" t="n">
        <f aca="false">IF(AND(ISNUMBER(Z11),ISNUMBER(Z9),Z9&lt;&gt;0),Z11/Z9,"")</f>
        <v>0.798165137614679</v>
      </c>
      <c r="AA13" s="14" t="str">
        <f aca="false">IF(AND(ISNUMBER(AA11),ISNUMBER(AA9),AA9&lt;&gt;0),AA11/AA9,"")</f>
        <v/>
      </c>
      <c r="AB13" s="14" t="str">
        <f aca="false">IF(AND(ISNUMBER(AB11),ISNUMBER(AB9),AB9&lt;&gt;0),AB11/AB9,"")</f>
        <v/>
      </c>
    </row>
    <row r="14" customFormat="false" ht="15" hidden="false" customHeight="true" outlineLevel="0" collapsed="false">
      <c r="A14" s="11" t="s">
        <v>65</v>
      </c>
      <c r="B14" s="9" t="n">
        <v>6000</v>
      </c>
      <c r="C14" s="9" t="n">
        <v>5000</v>
      </c>
      <c r="D14" s="10"/>
      <c r="E14" s="9" t="n">
        <v>3000</v>
      </c>
      <c r="F14" s="9" t="n">
        <v>5300</v>
      </c>
      <c r="G14" s="9" t="n">
        <v>2100</v>
      </c>
      <c r="H14" s="9" t="n">
        <v>8660</v>
      </c>
      <c r="I14" s="9" t="n">
        <v>1630</v>
      </c>
      <c r="J14" s="9" t="n">
        <v>1925</v>
      </c>
      <c r="K14" s="9" t="n">
        <v>1000</v>
      </c>
      <c r="L14" s="9" t="n">
        <v>4800</v>
      </c>
      <c r="M14" s="10"/>
      <c r="N14" s="9" t="n">
        <v>2480</v>
      </c>
      <c r="O14" s="9" t="n">
        <v>3000</v>
      </c>
      <c r="P14" s="9" t="n">
        <v>8500</v>
      </c>
      <c r="Q14" s="10"/>
      <c r="R14" s="10"/>
      <c r="S14" s="10"/>
      <c r="T14" s="10"/>
      <c r="U14" s="9" t="n">
        <v>14000</v>
      </c>
      <c r="V14" s="10"/>
      <c r="W14" s="10"/>
      <c r="X14" s="10"/>
      <c r="Y14" s="9" t="n">
        <v>250000</v>
      </c>
      <c r="Z14" s="10"/>
      <c r="AA14" s="10"/>
      <c r="AB14" s="10"/>
    </row>
    <row r="16" customFormat="false" ht="15" hidden="false" customHeight="true" outlineLevel="0" collapsed="false">
      <c r="A16" s="7" t="s">
        <v>66</v>
      </c>
      <c r="B16" s="15" t="n">
        <v>104200</v>
      </c>
      <c r="C16" s="15" t="n">
        <v>40000</v>
      </c>
      <c r="D16" s="15" t="n">
        <v>15900</v>
      </c>
      <c r="E16" s="15" t="n">
        <v>36200</v>
      </c>
      <c r="F16" s="15" t="n">
        <v>11400</v>
      </c>
      <c r="G16" s="15" t="n">
        <v>27000</v>
      </c>
      <c r="H16" s="15" t="n">
        <v>26600</v>
      </c>
      <c r="I16" s="15" t="n">
        <v>10400</v>
      </c>
      <c r="J16" s="15" t="n">
        <v>24000</v>
      </c>
      <c r="K16" s="15" t="n">
        <v>9800</v>
      </c>
      <c r="L16" s="16"/>
      <c r="M16" s="16"/>
      <c r="N16" s="16"/>
      <c r="O16" s="15" t="n">
        <v>15000</v>
      </c>
      <c r="P16" s="16"/>
      <c r="Q16" s="15" t="n">
        <v>496000</v>
      </c>
      <c r="R16" s="15" t="n">
        <v>678000</v>
      </c>
      <c r="S16" s="15" t="n">
        <v>513900</v>
      </c>
      <c r="T16" s="15" t="n">
        <v>638000</v>
      </c>
      <c r="U16" s="16"/>
      <c r="V16" s="16"/>
      <c r="W16" s="16"/>
      <c r="X16" s="16"/>
      <c r="Y16" s="16"/>
      <c r="Z16" s="16"/>
      <c r="AA16" s="16"/>
      <c r="AB16" s="16"/>
    </row>
    <row r="17" customFormat="false" ht="15" hidden="false" customHeight="true" outlineLevel="0" collapsed="false">
      <c r="A17" s="7" t="s">
        <v>67</v>
      </c>
      <c r="B17" s="17" t="n">
        <f aca="false">IF(AND(ISNUMBER(B16),ISNUMBER(B9),B9&lt;&gt;0),B16/B9,"")</f>
        <v>28.1621621621622</v>
      </c>
      <c r="C17" s="17" t="n">
        <f aca="false">IF(AND(ISNUMBER(C16),ISNUMBER(C9),C9&lt;&gt;0),C16/C9,"")</f>
        <v>11.4285714285714</v>
      </c>
      <c r="D17" s="17" t="n">
        <f aca="false">IF(AND(ISNUMBER(D16),ISNUMBER(D9),D9&lt;&gt;0),D16/D9,"")</f>
        <v>3.18</v>
      </c>
      <c r="E17" s="17" t="n">
        <f aca="false">IF(AND(ISNUMBER(E16),ISNUMBER(E9),E9&lt;&gt;0),E16/E9,"")</f>
        <v>25.6737588652482</v>
      </c>
      <c r="F17" s="17" t="n">
        <f aca="false">IF(AND(ISNUMBER(F16),ISNUMBER(F9),F9&lt;&gt;0),F16/F9,"")</f>
        <v>16.2857142857143</v>
      </c>
      <c r="G17" s="17" t="n">
        <f aca="false">IF(AND(ISNUMBER(G16),ISNUMBER(G9),G9&lt;&gt;0),G16/G9,"")</f>
        <v>32.181168057211</v>
      </c>
      <c r="H17" s="17" t="n">
        <f aca="false">IF(AND(ISNUMBER(H16),ISNUMBER(H9),H9&lt;&gt;0),H16/H9,"")</f>
        <v>28.0295047418335</v>
      </c>
      <c r="I17" s="17" t="n">
        <f aca="false">IF(AND(ISNUMBER(I16),ISNUMBER(I9),I9&lt;&gt;0),I16/I9,"")</f>
        <v>19.7718631178707</v>
      </c>
      <c r="J17" s="17" t="n">
        <f aca="false">IF(AND(ISNUMBER(J16),ISNUMBER(J9),J9&lt;&gt;0),J16/J9,"")</f>
        <v>21.4285714285714</v>
      </c>
      <c r="K17" s="17" t="n">
        <f aca="false">IF(AND(ISNUMBER(K16),ISNUMBER(K9),K9&lt;&gt;0),K16/K9,"")</f>
        <v>40.6639004149378</v>
      </c>
      <c r="L17" s="17" t="str">
        <f aca="false">IF(AND(ISNUMBER(L16),ISNUMBER(L9),L9&lt;&gt;0),L16/L9,"")</f>
        <v/>
      </c>
      <c r="M17" s="17" t="str">
        <f aca="false">IF(AND(ISNUMBER(M16),ISNUMBER(M9),M9&lt;&gt;0),M16/M9,"")</f>
        <v/>
      </c>
      <c r="N17" s="17" t="str">
        <f aca="false">IF(AND(ISNUMBER(N16),ISNUMBER(N9),N9&lt;&gt;0),N16/N9,"")</f>
        <v/>
      </c>
      <c r="O17" s="17" t="str">
        <f aca="false">IF(AND(ISNUMBER(O16),ISNUMBER(O9),O9&lt;&gt;0),O16/O9,"")</f>
        <v/>
      </c>
      <c r="P17" s="17" t="str">
        <f aca="false">IF(AND(ISNUMBER(P16),ISNUMBER(P9),P9&lt;&gt;0),P16/P9,"")</f>
        <v/>
      </c>
      <c r="Q17" s="17" t="str">
        <f aca="false">IF(AND(ISNUMBER(Q16),ISNUMBER(Q9),Q9&lt;&gt;0),Q16/Q9,"")</f>
        <v/>
      </c>
      <c r="R17" s="17" t="str">
        <f aca="false">IF(AND(ISNUMBER(R16),ISNUMBER(R9),R9&lt;&gt;0),R16/R9,"")</f>
        <v/>
      </c>
      <c r="S17" s="17" t="str">
        <f aca="false">IF(AND(ISNUMBER(S16),ISNUMBER(S9),S9&lt;&gt;0),S16/S9,"")</f>
        <v/>
      </c>
      <c r="T17" s="17" t="str">
        <f aca="false">IF(AND(ISNUMBER(T16),ISNUMBER(T9),T9&lt;&gt;0),T16/T9,"")</f>
        <v/>
      </c>
      <c r="U17" s="17" t="str">
        <f aca="false">IF(AND(ISNUMBER(U16),ISNUMBER(U9),U9&lt;&gt;0),U16/U9,"")</f>
        <v/>
      </c>
      <c r="V17" s="17" t="str">
        <f aca="false">IF(AND(ISNUMBER(V16),ISNUMBER(V9),V9&lt;&gt;0),V16/V9,"")</f>
        <v/>
      </c>
      <c r="W17" s="17" t="str">
        <f aca="false">IF(AND(ISNUMBER(W16),ISNUMBER(W9),W9&lt;&gt;0),W16/W9,"")</f>
        <v/>
      </c>
      <c r="X17" s="17" t="str">
        <f aca="false">IF(AND(ISNUMBER(X16),ISNUMBER(X9),X9&lt;&gt;0),X16/X9,"")</f>
        <v/>
      </c>
      <c r="Y17" s="17" t="str">
        <f aca="false">IF(AND(ISNUMBER(Y16),ISNUMBER(Y9),Y9&lt;&gt;0),Y16/Y9,"")</f>
        <v/>
      </c>
      <c r="Z17" s="17" t="str">
        <f aca="false">IF(AND(ISNUMBER(Z16),ISNUMBER(Z9),Z9&lt;&gt;0),Z16/Z9,"")</f>
        <v/>
      </c>
      <c r="AA17" s="17" t="str">
        <f aca="false">IF(AND(ISNUMBER(AA16),ISNUMBER(AA9),AA9&lt;&gt;0),AA16/AA9,"")</f>
        <v/>
      </c>
      <c r="AB17" s="17" t="str">
        <f aca="false">IF(AND(ISNUMBER(AB16),ISNUMBER(AB9),AB9&lt;&gt;0),AB16/AB9,"")</f>
        <v/>
      </c>
    </row>
    <row r="19" customFormat="false" ht="15" hidden="false" customHeight="true" outlineLevel="0" collapsed="false">
      <c r="A19" s="7" t="s">
        <v>68</v>
      </c>
      <c r="B19" s="17" t="n">
        <f aca="false">IF(AND(ISNUMBER(B7),ISNUMBER(B9),B9&lt;&gt;0),B7/B9,"")</f>
        <v>23.8059459459459</v>
      </c>
      <c r="C19" s="17" t="n">
        <f aca="false">IF(AND(ISNUMBER(C7),ISNUMBER(C9),C9&lt;&gt;0),C7/C9,"")</f>
        <v>21.7294285714286</v>
      </c>
      <c r="D19" s="17" t="n">
        <f aca="false">IF(AND(ISNUMBER(D7),ISNUMBER(D9),D9&lt;&gt;0),D7/D9,"")</f>
        <v>3.4996</v>
      </c>
      <c r="E19" s="17" t="n">
        <f aca="false">IF(AND(ISNUMBER(E7),ISNUMBER(E9),E9&lt;&gt;0),E7/E9,"")</f>
        <v>7.01702127659574</v>
      </c>
      <c r="F19" s="17" t="n">
        <f aca="false">IF(AND(ISNUMBER(F7),ISNUMBER(F9),F9&lt;&gt;0),F7/F9,"")</f>
        <v>12.6657142857143</v>
      </c>
      <c r="G19" s="17" t="n">
        <f aca="false">IF(AND(ISNUMBER(G7),ISNUMBER(G9),G9&lt;&gt;0),G7/G9,"")</f>
        <v>13.554231227652</v>
      </c>
      <c r="H19" s="17" t="n">
        <f aca="false">IF(AND(ISNUMBER(H7),ISNUMBER(H9),H9&lt;&gt;0),H7/H9,"")</f>
        <v>11.6933614330875</v>
      </c>
      <c r="I19" s="17" t="n">
        <f aca="false">IF(AND(ISNUMBER(I7),ISNUMBER(I9),I9&lt;&gt;0),I7/I9,"")</f>
        <v>20.5912547528517</v>
      </c>
      <c r="J19" s="17" t="n">
        <f aca="false">IF(AND(ISNUMBER(J7),ISNUMBER(J9),J9&lt;&gt;0),J7/J9,"")</f>
        <v>8.04732142857143</v>
      </c>
      <c r="K19" s="17" t="n">
        <f aca="false">IF(AND(ISNUMBER(K7),ISNUMBER(K9),K9&lt;&gt;0),K7/K9,"")</f>
        <v>30.9502074688797</v>
      </c>
      <c r="L19" s="17" t="str">
        <f aca="false">IF(AND(ISNUMBER(L7),ISNUMBER(L9),L9&lt;&gt;0),L7/L9,"")</f>
        <v/>
      </c>
      <c r="M19" s="17" t="str">
        <f aca="false">IF(AND(ISNUMBER(M7),ISNUMBER(M9),M9&lt;&gt;0),M7/M9,"")</f>
        <v/>
      </c>
      <c r="N19" s="17" t="n">
        <f aca="false">IF(AND(ISNUMBER(N7),ISNUMBER(N9),N9&lt;&gt;0),N7/N9,"")</f>
        <v>2.92410400562193</v>
      </c>
      <c r="O19" s="17" t="str">
        <f aca="false">IF(AND(ISNUMBER(O7),ISNUMBER(O9),O9&lt;&gt;0),O7/O9,"")</f>
        <v/>
      </c>
      <c r="P19" s="17" t="n">
        <f aca="false">IF(AND(ISNUMBER(P7),ISNUMBER(P9),P9&lt;&gt;0),P7/P9,"")</f>
        <v>19.7497777777778</v>
      </c>
      <c r="Q19" s="17" t="str">
        <f aca="false">IF(AND(ISNUMBER(Q7),ISNUMBER(Q9),Q9&lt;&gt;0),Q7/Q9,"")</f>
        <v/>
      </c>
      <c r="R19" s="17" t="str">
        <f aca="false">IF(AND(ISNUMBER(R7),ISNUMBER(R9),R9&lt;&gt;0),R7/R9,"")</f>
        <v/>
      </c>
      <c r="S19" s="17" t="str">
        <f aca="false">IF(AND(ISNUMBER(S7),ISNUMBER(S9),S9&lt;&gt;0),S7/S9,"")</f>
        <v/>
      </c>
      <c r="T19" s="17" t="str">
        <f aca="false">IF(AND(ISNUMBER(T7),ISNUMBER(T9),T9&lt;&gt;0),T7/T9,"")</f>
        <v/>
      </c>
      <c r="U19" s="17" t="str">
        <f aca="false">IF(AND(ISNUMBER(U7),ISNUMBER(U9),U9&lt;&gt;0),U7/U9,"")</f>
        <v/>
      </c>
      <c r="V19" s="17" t="str">
        <f aca="false">IF(AND(ISNUMBER(V7),ISNUMBER(V9),V9&lt;&gt;0),V7/V9,"")</f>
        <v/>
      </c>
      <c r="W19" s="17" t="str">
        <f aca="false">IF(AND(ISNUMBER(W7),ISNUMBER(W9),W9&lt;&gt;0),W7/W9,"")</f>
        <v/>
      </c>
      <c r="X19" s="17" t="str">
        <f aca="false">IF(AND(ISNUMBER(X7),ISNUMBER(X9),X9&lt;&gt;0),X7/X9,"")</f>
        <v/>
      </c>
      <c r="Y19" s="17" t="n">
        <f aca="false">IF(AND(ISNUMBER(Y7),ISNUMBER(Y9),Y9&lt;&gt;0),Y7/Y9,"")</f>
        <v>28.4</v>
      </c>
      <c r="Z19" s="17" t="n">
        <f aca="false">IF(AND(ISNUMBER(Z7),ISNUMBER(Z9),Z9&lt;&gt;0),Z7/Z9,"")</f>
        <v>88.5321100917431</v>
      </c>
      <c r="AA19" s="17" t="n">
        <f aca="false">IF(AND(ISNUMBER(AA7),ISNUMBER(AA9),AA9&lt;&gt;0),AA7/AA9,"")</f>
        <v>100</v>
      </c>
      <c r="AB19" s="17" t="str">
        <f aca="false">IF(AND(ISNUMBER(AB7),ISNUMBER(AB9),AB9&lt;&gt;0),AB7/AB9,"")</f>
        <v/>
      </c>
    </row>
    <row r="20" customFormat="false" ht="15" hidden="false" customHeight="true" outlineLevel="0" collapsed="false">
      <c r="A20" s="7" t="s">
        <v>69</v>
      </c>
      <c r="B20" s="17" t="n">
        <f aca="false">IF(AND(ISNUMBER(B7),ISNUMBER(B10),B10&lt;&gt;0),B7/B10,"")</f>
        <v>58.7213333333333</v>
      </c>
      <c r="C20" s="17" t="n">
        <f aca="false">IF(AND(ISNUMBER(C7),ISNUMBER(C10),C10&lt;&gt;0),C7/C10,"")</f>
        <v>195.007692307692</v>
      </c>
      <c r="D20" s="17" t="n">
        <f aca="false">IF(AND(ISNUMBER(D7),ISNUMBER(D10),D10&lt;&gt;0),D7/D10,"")</f>
        <v>21.6024691358025</v>
      </c>
      <c r="E20" s="17" t="n">
        <f aca="false">IF(AND(ISNUMBER(E7),ISNUMBER(E10),E10&lt;&gt;0),E7/E10,"")</f>
        <v>56.5371428571429</v>
      </c>
      <c r="F20" s="17" t="str">
        <f aca="false">IF(AND(ISNUMBER(F7),ISNUMBER(F10),F10&lt;&gt;0),F7/F10,"")</f>
        <v/>
      </c>
      <c r="G20" s="17" t="n">
        <f aca="false">IF(AND(ISNUMBER(G7),ISNUMBER(G10),G10&lt;&gt;0),G7/G10,"")</f>
        <v>140.395061728395</v>
      </c>
      <c r="H20" s="17" t="str">
        <f aca="false">IF(AND(ISNUMBER(H7),ISNUMBER(H10),H10&lt;&gt;0),H7/H10,"")</f>
        <v/>
      </c>
      <c r="I20" s="17" t="n">
        <f aca="false">IF(AND(ISNUMBER(I7),ISNUMBER(I10),I10&lt;&gt;0),I7/I10,"")</f>
        <v>81.4360902255639</v>
      </c>
      <c r="J20" s="17" t="str">
        <f aca="false">IF(AND(ISNUMBER(J7),ISNUMBER(J10),J10&lt;&gt;0),J7/J10,"")</f>
        <v/>
      </c>
      <c r="K20" s="17" t="str">
        <f aca="false">IF(AND(ISNUMBER(K7),ISNUMBER(K10),K10&lt;&gt;0),K7/K10,"")</f>
        <v/>
      </c>
      <c r="L20" s="17" t="str">
        <f aca="false">IF(AND(ISNUMBER(L7),ISNUMBER(L10),L10&lt;&gt;0),L7/L10,"")</f>
        <v/>
      </c>
      <c r="M20" s="17" t="str">
        <f aca="false">IF(AND(ISNUMBER(M7),ISNUMBER(M10),M10&lt;&gt;0),M7/M10,"")</f>
        <v/>
      </c>
      <c r="N20" s="17" t="n">
        <f aca="false">IF(AND(ISNUMBER(N7),ISNUMBER(N10),N10&lt;&gt;0),N7/N10,"")</f>
        <v>4.58765159867696</v>
      </c>
      <c r="O20" s="17" t="str">
        <f aca="false">IF(AND(ISNUMBER(O7),ISNUMBER(O10),O10&lt;&gt;0),O7/O10,"")</f>
        <v/>
      </c>
      <c r="P20" s="17" t="n">
        <f aca="false">IF(AND(ISNUMBER(P7),ISNUMBER(P10),P10&lt;&gt;0),P7/P10,"")</f>
        <v>28.6690322580645</v>
      </c>
      <c r="Q20" s="17" t="str">
        <f aca="false">IF(AND(ISNUMBER(Q7),ISNUMBER(Q10),Q10&lt;&gt;0),Q7/Q10,"")</f>
        <v/>
      </c>
      <c r="R20" s="17" t="str">
        <f aca="false">IF(AND(ISNUMBER(R7),ISNUMBER(R10),R10&lt;&gt;0),R7/R10,"")</f>
        <v/>
      </c>
      <c r="S20" s="17" t="str">
        <f aca="false">IF(AND(ISNUMBER(S7),ISNUMBER(S10),S10&lt;&gt;0),S7/S10,"")</f>
        <v/>
      </c>
      <c r="T20" s="17" t="str">
        <f aca="false">IF(AND(ISNUMBER(T7),ISNUMBER(T10),T10&lt;&gt;0),T7/T10,"")</f>
        <v/>
      </c>
      <c r="U20" s="17" t="str">
        <f aca="false">IF(AND(ISNUMBER(U7),ISNUMBER(U10),U10&lt;&gt;0),U7/U10,"")</f>
        <v/>
      </c>
      <c r="V20" s="17" t="str">
        <f aca="false">IF(AND(ISNUMBER(V7),ISNUMBER(V10),V10&lt;&gt;0),V7/V10,"")</f>
        <v/>
      </c>
      <c r="W20" s="17" t="str">
        <f aca="false">IF(AND(ISNUMBER(W7),ISNUMBER(W10),W10&lt;&gt;0),W7/W10,"")</f>
        <v/>
      </c>
      <c r="X20" s="17" t="str">
        <f aca="false">IF(AND(ISNUMBER(X7),ISNUMBER(X10),X10&lt;&gt;0),X7/X10,"")</f>
        <v/>
      </c>
      <c r="Y20" s="17" t="n">
        <f aca="false">IF(AND(ISNUMBER(Y7),ISNUMBER(Y10),Y10&lt;&gt;0),Y7/Y10,"")</f>
        <v>448.421052631579</v>
      </c>
      <c r="Z20" s="17" t="n">
        <f aca="false">IF(AND(ISNUMBER(Z7),ISNUMBER(Z10),Z10&lt;&gt;0),Z7/Z10,"")</f>
        <v>438.636363636364</v>
      </c>
      <c r="AA20" s="17" t="str">
        <f aca="false">IF(AND(ISNUMBER(AA7),ISNUMBER(AA10),AA10&lt;&gt;0),AA7/AA10,"")</f>
        <v/>
      </c>
      <c r="AB20" s="17" t="str">
        <f aca="false">IF(AND(ISNUMBER(AB7),ISNUMBER(AB10),AB10&lt;&gt;0),AB7/AB10,"")</f>
        <v/>
      </c>
    </row>
    <row r="21" customFormat="false" ht="15" hidden="false" customHeight="true" outlineLevel="0" collapsed="false">
      <c r="A21" s="7" t="s">
        <v>70</v>
      </c>
      <c r="B21" s="17" t="n">
        <f aca="false">IF(AND(ISNUMBER(B7),ISNUMBER(B11),B11&lt;&gt;0),B7/B11,"")</f>
        <v>40.0372727272727</v>
      </c>
      <c r="C21" s="17" t="n">
        <f aca="false">IF(AND(ISNUMBER(C7),ISNUMBER(C11),C11&lt;&gt;0),C7/C11,"")</f>
        <v>24.4543408360129</v>
      </c>
      <c r="D21" s="17" t="n">
        <f aca="false">IF(AND(ISNUMBER(D7),ISNUMBER(D11),D11&lt;&gt;0),D7/D11,"")</f>
        <v>4.17613365155131</v>
      </c>
      <c r="E21" s="17" t="n">
        <f aca="false">IF(AND(ISNUMBER(E7),ISNUMBER(E11),E11&lt;&gt;0),E7/E11,"")</f>
        <v>8.01133603238866</v>
      </c>
      <c r="F21" s="17" t="n">
        <f aca="false">IF(AND(ISNUMBER(F7),ISNUMBER(F11),F11&lt;&gt;0),F7/F11,"")</f>
        <v>12.6657142857143</v>
      </c>
      <c r="G21" s="17" t="n">
        <f aca="false">IF(AND(ISNUMBER(G7),ISNUMBER(G11),G11&lt;&gt;0),G7/G11,"")</f>
        <v>15.0026385224274</v>
      </c>
      <c r="H21" s="17" t="n">
        <f aca="false">IF(AND(ISNUMBER(H7),ISNUMBER(H11),H11&lt;&gt;0),H7/H11,"")</f>
        <v>11.6933614330875</v>
      </c>
      <c r="I21" s="17" t="n">
        <f aca="false">IF(AND(ISNUMBER(I7),ISNUMBER(I11),I11&lt;&gt;0),I7/I11,"")</f>
        <v>27.559796437659</v>
      </c>
      <c r="J21" s="17" t="str">
        <f aca="false">IF(AND(ISNUMBER(J7),ISNUMBER(J11),J11&lt;&gt;0),J7/J11,"")</f>
        <v/>
      </c>
      <c r="K21" s="17" t="n">
        <f aca="false">IF(AND(ISNUMBER(K7),ISNUMBER(K11),K11&lt;&gt;0),K7/K11,"")</f>
        <v>30.9502074688797</v>
      </c>
      <c r="L21" s="17" t="str">
        <f aca="false">IF(AND(ISNUMBER(L7),ISNUMBER(L11),L11&lt;&gt;0),L7/L11,"")</f>
        <v/>
      </c>
      <c r="M21" s="17" t="n">
        <f aca="false">IF(AND(ISNUMBER(M7),ISNUMBER(M11),M11&lt;&gt;0),M7/M11,"")</f>
        <v>15.1836195508587</v>
      </c>
      <c r="N21" s="17" t="n">
        <f aca="false">IF(AND(ISNUMBER(N7),ISNUMBER(N11),N11&lt;&gt;0),N7/N11,"")</f>
        <v>8.06395348837209</v>
      </c>
      <c r="O21" s="17" t="str">
        <f aca="false">IF(AND(ISNUMBER(O7),ISNUMBER(O11),O11&lt;&gt;0),O7/O11,"")</f>
        <v/>
      </c>
      <c r="P21" s="17" t="n">
        <f aca="false">IF(AND(ISNUMBER(P7),ISNUMBER(P11),P11&lt;&gt;0),P7/P11,"")</f>
        <v>63.4814285714286</v>
      </c>
      <c r="Q21" s="17" t="str">
        <f aca="false">IF(AND(ISNUMBER(Q7),ISNUMBER(Q11),Q11&lt;&gt;0),Q7/Q11,"")</f>
        <v/>
      </c>
      <c r="R21" s="17" t="str">
        <f aca="false">IF(AND(ISNUMBER(R7),ISNUMBER(R11),R11&lt;&gt;0),R7/R11,"")</f>
        <v/>
      </c>
      <c r="S21" s="17" t="str">
        <f aca="false">IF(AND(ISNUMBER(S7),ISNUMBER(S11),S11&lt;&gt;0),S7/S11,"")</f>
        <v/>
      </c>
      <c r="T21" s="17" t="n">
        <f aca="false">IF(AND(ISNUMBER(T7),ISNUMBER(T11),T11&lt;&gt;0),T7/T11,"")</f>
        <v>118.047777777778</v>
      </c>
      <c r="U21" s="17" t="str">
        <f aca="false">IF(AND(ISNUMBER(U7),ISNUMBER(U11),U11&lt;&gt;0),U7/U11,"")</f>
        <v/>
      </c>
      <c r="V21" s="17" t="str">
        <f aca="false">IF(AND(ISNUMBER(V7),ISNUMBER(V11),V11&lt;&gt;0),V7/V11,"")</f>
        <v/>
      </c>
      <c r="W21" s="17" t="str">
        <f aca="false">IF(AND(ISNUMBER(W7),ISNUMBER(W11),W11&lt;&gt;0),W7/W11,"")</f>
        <v/>
      </c>
      <c r="X21" s="17" t="str">
        <f aca="false">IF(AND(ISNUMBER(X7),ISNUMBER(X11),X11&lt;&gt;0),X7/X11,"")</f>
        <v/>
      </c>
      <c r="Y21" s="17" t="n">
        <f aca="false">IF(AND(ISNUMBER(Y7),ISNUMBER(Y11),Y11&lt;&gt;0),Y7/Y11,"")</f>
        <v>30.3202846975089</v>
      </c>
      <c r="Z21" s="17" t="n">
        <f aca="false">IF(AND(ISNUMBER(Z7),ISNUMBER(Z11),Z11&lt;&gt;0),Z7/Z11,"")</f>
        <v>110.919540229885</v>
      </c>
      <c r="AA21" s="17" t="str">
        <f aca="false">IF(AND(ISNUMBER(AA7),ISNUMBER(AA11),AA11&lt;&gt;0),AA7/AA11,"")</f>
        <v/>
      </c>
      <c r="AB21" s="17" t="str">
        <f aca="false">IF(AND(ISNUMBER(AB7),ISNUMBER(AB11),AB11&lt;&gt;0),AB7/AB11,"")</f>
        <v/>
      </c>
    </row>
    <row r="23" customFormat="false" ht="15" hidden="false" customHeight="true" outlineLevel="0" collapsed="false">
      <c r="A23" s="7" t="s">
        <v>71</v>
      </c>
      <c r="B23" s="15" t="n">
        <v>12800</v>
      </c>
      <c r="C23" s="15" t="n">
        <v>3200</v>
      </c>
      <c r="D23" s="15" t="n">
        <v>2900</v>
      </c>
      <c r="E23" s="15" t="n">
        <v>1035</v>
      </c>
      <c r="F23" s="15" t="n">
        <v>870</v>
      </c>
      <c r="G23" s="15" t="n">
        <v>179</v>
      </c>
      <c r="H23" s="15" t="n">
        <v>300</v>
      </c>
      <c r="I23" s="15" t="n">
        <v>320</v>
      </c>
      <c r="J23" s="15" t="n">
        <v>657</v>
      </c>
      <c r="K23" s="15" t="n">
        <v>696</v>
      </c>
      <c r="L23" s="15" t="n">
        <v>700</v>
      </c>
      <c r="M23" s="15" t="n">
        <v>1894</v>
      </c>
      <c r="N23" s="15" t="n">
        <v>1717</v>
      </c>
      <c r="O23" s="15" t="n">
        <v>10245</v>
      </c>
      <c r="P23" s="15" t="n">
        <v>6900</v>
      </c>
      <c r="Q23" s="15" t="n">
        <v>169000</v>
      </c>
      <c r="R23" s="15" t="n">
        <v>360028</v>
      </c>
      <c r="S23" s="15" t="n">
        <v>99072</v>
      </c>
      <c r="T23" s="15" t="n">
        <v>90000</v>
      </c>
      <c r="U23" s="15" t="n">
        <v>243200</v>
      </c>
      <c r="V23" s="15" t="n">
        <v>23451</v>
      </c>
      <c r="W23" s="15" t="n">
        <v>6366</v>
      </c>
      <c r="X23" s="16"/>
      <c r="Y23" s="15" t="n">
        <v>40000</v>
      </c>
      <c r="Z23" s="15" t="n">
        <v>47000</v>
      </c>
      <c r="AA23" s="15" t="n">
        <v>2000</v>
      </c>
      <c r="AB23" s="16"/>
    </row>
    <row r="24" customFormat="false" ht="15" hidden="false" customHeight="true" outlineLevel="0" collapsed="false">
      <c r="A24" s="11" t="s">
        <v>72</v>
      </c>
      <c r="B24" s="15" t="n">
        <v>6000</v>
      </c>
      <c r="C24" s="15" t="n">
        <v>1280</v>
      </c>
      <c r="D24" s="16"/>
      <c r="E24" s="15" t="n">
        <v>170</v>
      </c>
      <c r="F24" s="16"/>
      <c r="G24" s="15" t="n">
        <v>-73</v>
      </c>
      <c r="H24" s="15" t="n">
        <v>42</v>
      </c>
      <c r="I24" s="16"/>
      <c r="J24" s="16"/>
      <c r="K24" s="16"/>
      <c r="L24" s="16"/>
      <c r="M24" s="15" t="n">
        <v>884</v>
      </c>
      <c r="N24" s="15" t="n">
        <v>538</v>
      </c>
      <c r="O24" s="15" t="n">
        <v>5240</v>
      </c>
      <c r="P24" s="15" t="n">
        <v>3800</v>
      </c>
      <c r="Q24" s="16"/>
      <c r="R24" s="15" t="n">
        <v>206500</v>
      </c>
      <c r="S24" s="16"/>
      <c r="T24" s="16"/>
      <c r="U24" s="15" t="n">
        <v>99800</v>
      </c>
      <c r="V24" s="15" t="n">
        <v>2139</v>
      </c>
      <c r="W24" s="16"/>
      <c r="X24" s="16"/>
      <c r="Y24" s="16"/>
      <c r="Z24" s="16"/>
      <c r="AA24" s="16"/>
      <c r="AB24" s="16"/>
    </row>
    <row r="25" customFormat="false" ht="15" hidden="false" customHeight="true" outlineLevel="0" collapsed="false">
      <c r="A25" s="7" t="s">
        <v>73</v>
      </c>
      <c r="B25" s="18" t="n">
        <f aca="false">IF(AND(ISNUMBER(B7),ISNUMBER(B23),B23&lt;&gt;0),B7/B23,"")</f>
        <v>6.88140625</v>
      </c>
      <c r="C25" s="18" t="n">
        <f aca="false">IF(AND(ISNUMBER(C7),ISNUMBER(C23),C23&lt;&gt;0),C7/C23,"")</f>
        <v>23.7665625</v>
      </c>
      <c r="D25" s="18" t="n">
        <f aca="false">IF(AND(ISNUMBER(D7),ISNUMBER(D23),D23&lt;&gt;0),D7/D23,"")</f>
        <v>6.03379310344828</v>
      </c>
      <c r="E25" s="18" t="n">
        <f aca="false">IF(AND(ISNUMBER(E7),ISNUMBER(E23),E23&lt;&gt;0),E7/E23,"")</f>
        <v>9.55942028985507</v>
      </c>
      <c r="F25" s="18" t="n">
        <f aca="false">IF(AND(ISNUMBER(F7),ISNUMBER(F23),F23&lt;&gt;0),F7/F23,"")</f>
        <v>10.1908045977011</v>
      </c>
      <c r="G25" s="18" t="n">
        <f aca="false">IF(AND(ISNUMBER(G7),ISNUMBER(G23),G23&lt;&gt;0),G7/G23,"")</f>
        <v>63.5307262569832</v>
      </c>
      <c r="H25" s="18" t="n">
        <f aca="false">IF(AND(ISNUMBER(H7),ISNUMBER(H23),H23&lt;&gt;0),H7/H23,"")</f>
        <v>36.99</v>
      </c>
      <c r="I25" s="18" t="n">
        <f aca="false">IF(AND(ISNUMBER(I7),ISNUMBER(I23),I23&lt;&gt;0),I7/I23,"")</f>
        <v>33.846875</v>
      </c>
      <c r="J25" s="18" t="n">
        <f aca="false">IF(AND(ISNUMBER(J7),ISNUMBER(J23),J23&lt;&gt;0),J7/J23,"")</f>
        <v>13.7184170471842</v>
      </c>
      <c r="K25" s="18" t="n">
        <f aca="false">IF(AND(ISNUMBER(K7),ISNUMBER(K23),K23&lt;&gt;0),K7/K23,"")</f>
        <v>10.7169540229885</v>
      </c>
      <c r="L25" s="18" t="n">
        <f aca="false">IF(AND(ISNUMBER(L7),ISNUMBER(L23),L23&lt;&gt;0),L7/L23,"")</f>
        <v>7.97142857142857</v>
      </c>
      <c r="M25" s="18" t="n">
        <f aca="false">IF(AND(ISNUMBER(M7),ISNUMBER(M23),M23&lt;&gt;0),M7/M23,"")</f>
        <v>6.06863780359029</v>
      </c>
      <c r="N25" s="18" t="n">
        <f aca="false">IF(AND(ISNUMBER(N7),ISNUMBER(N23),N23&lt;&gt;0),N7/N23,"")</f>
        <v>2.42341292952825</v>
      </c>
      <c r="O25" s="18" t="n">
        <f aca="false">IF(AND(ISNUMBER(O7),ISNUMBER(O23),O23&lt;&gt;0),O7/O23,"")</f>
        <v>12.6807223035627</v>
      </c>
      <c r="P25" s="18" t="n">
        <f aca="false">IF(AND(ISNUMBER(P7),ISNUMBER(P23),P23&lt;&gt;0),P7/P23,"")</f>
        <v>12.8802898550725</v>
      </c>
      <c r="Q25" s="19" t="s">
        <v>74</v>
      </c>
      <c r="R25" s="19" t="s">
        <v>74</v>
      </c>
      <c r="S25" s="19" t="s">
        <v>74</v>
      </c>
      <c r="T25" s="19" t="s">
        <v>74</v>
      </c>
      <c r="U25" s="19" t="s">
        <v>74</v>
      </c>
      <c r="V25" s="19" t="s">
        <v>74</v>
      </c>
      <c r="W25" s="19" t="s">
        <v>74</v>
      </c>
      <c r="X25" s="19" t="s">
        <v>74</v>
      </c>
      <c r="Y25" s="18" t="n">
        <f aca="false">IF(AND(ISNUMBER(Y7),ISNUMBER(Y23),Y23&lt;&gt;0),Y7/Y23,"")</f>
        <v>21.3</v>
      </c>
      <c r="Z25" s="18" t="n">
        <f aca="false">IF(AND(ISNUMBER(Z7),ISNUMBER(Z23),Z23&lt;&gt;0),Z7/Z23,"")</f>
        <v>20.531914893617</v>
      </c>
      <c r="AA25" s="18" t="n">
        <f aca="false">IF(AND(ISNUMBER(AA7),ISNUMBER(AA23),AA23&lt;&gt;0),AA7/AA23,"")</f>
        <v>125</v>
      </c>
      <c r="AB25" s="19" t="s">
        <v>74</v>
      </c>
    </row>
    <row r="26" customFormat="false" ht="15" hidden="false" customHeight="true" outlineLevel="0" collapsed="false">
      <c r="A26" s="7" t="s">
        <v>75</v>
      </c>
      <c r="B26" s="18" t="n">
        <f aca="false">IF(AND(ISNUMBER(B7),ISNUMBER(B24),B24&lt;&gt;0),B7/B24,"")</f>
        <v>14.6803333333333</v>
      </c>
      <c r="C26" s="18" t="n">
        <f aca="false">IF(AND(ISNUMBER(C7),ISNUMBER(C24),C24&lt;&gt;0),C7/C24,"")</f>
        <v>59.41640625</v>
      </c>
      <c r="D26" s="18" t="str">
        <f aca="false">IF(AND(ISNUMBER(D7),ISNUMBER(D24),D24&lt;&gt;0),D7/D24,"")</f>
        <v/>
      </c>
      <c r="E26" s="18" t="n">
        <f aca="false">IF(AND(ISNUMBER(E7),ISNUMBER(E24),E24&lt;&gt;0),E7/E24,"")</f>
        <v>58.2</v>
      </c>
      <c r="F26" s="18" t="str">
        <f aca="false">IF(AND(ISNUMBER(F7),ISNUMBER(F24),F24&lt;&gt;0),F7/F24,"")</f>
        <v/>
      </c>
      <c r="G26" s="18" t="n">
        <f aca="false">IF(AND(ISNUMBER(G7),ISNUMBER(G24),G24&lt;&gt;0),G7/G24,"")</f>
        <v>-155.780821917808</v>
      </c>
      <c r="H26" s="18" t="n">
        <f aca="false">IF(AND(ISNUMBER(H7),ISNUMBER(H24),H24&lt;&gt;0),H7/H24,"")</f>
        <v>264.214285714286</v>
      </c>
      <c r="I26" s="18" t="str">
        <f aca="false">IF(AND(ISNUMBER(I7),ISNUMBER(I24),I24&lt;&gt;0),I7/I24,"")</f>
        <v/>
      </c>
      <c r="J26" s="18" t="str">
        <f aca="false">IF(AND(ISNUMBER(J7),ISNUMBER(J24),J24&lt;&gt;0),J7/J24,"")</f>
        <v/>
      </c>
      <c r="K26" s="18" t="str">
        <f aca="false">IF(AND(ISNUMBER(K7),ISNUMBER(K24),K24&lt;&gt;0),K7/K24,"")</f>
        <v/>
      </c>
      <c r="L26" s="18" t="str">
        <f aca="false">IF(AND(ISNUMBER(L7),ISNUMBER(L24),L24&lt;&gt;0),L7/L24,"")</f>
        <v/>
      </c>
      <c r="M26" s="18" t="n">
        <f aca="false">IF(AND(ISNUMBER(M7),ISNUMBER(M24),M24&lt;&gt;0),M7/M24,"")</f>
        <v>13.0022624434389</v>
      </c>
      <c r="N26" s="18" t="n">
        <f aca="false">IF(AND(ISNUMBER(N7),ISNUMBER(N24),N24&lt;&gt;0),N7/N24,"")</f>
        <v>7.73420074349442</v>
      </c>
      <c r="O26" s="18" t="n">
        <f aca="false">IF(AND(ISNUMBER(O7),ISNUMBER(O24),O24&lt;&gt;0),O7/O24,"")</f>
        <v>24.7927480916031</v>
      </c>
      <c r="P26" s="18" t="n">
        <f aca="false">IF(AND(ISNUMBER(P7),ISNUMBER(P24),P24&lt;&gt;0),P7/P24,"")</f>
        <v>23.3878947368421</v>
      </c>
      <c r="Q26" s="19" t="s">
        <v>74</v>
      </c>
      <c r="R26" s="19" t="s">
        <v>74</v>
      </c>
      <c r="S26" s="19" t="s">
        <v>74</v>
      </c>
      <c r="T26" s="19" t="s">
        <v>74</v>
      </c>
      <c r="U26" s="19" t="s">
        <v>74</v>
      </c>
      <c r="V26" s="19" t="s">
        <v>74</v>
      </c>
      <c r="W26" s="19" t="s">
        <v>74</v>
      </c>
      <c r="X26" s="19" t="s">
        <v>74</v>
      </c>
      <c r="Y26" s="18" t="str">
        <f aca="false">IF(AND(ISNUMBER(Y7),ISNUMBER(Y24),Y24&lt;&gt;0),Y7/Y24,"")</f>
        <v/>
      </c>
      <c r="Z26" s="18" t="str">
        <f aca="false">IF(AND(ISNUMBER(Z7),ISNUMBER(Z24),Z24&lt;&gt;0),Z7/Z24,"")</f>
        <v/>
      </c>
      <c r="AA26" s="18" t="str">
        <f aca="false">IF(AND(ISNUMBER(AA7),ISNUMBER(AA24),AA24&lt;&gt;0),AA7/AA24,"")</f>
        <v/>
      </c>
      <c r="AB26" s="19" t="s">
        <v>74</v>
      </c>
    </row>
    <row r="28" customFormat="false" ht="15" hidden="false" customHeight="true" outlineLevel="0" collapsed="false">
      <c r="A28" s="11" t="s">
        <v>76</v>
      </c>
      <c r="B28" s="15" t="n">
        <v>30027</v>
      </c>
      <c r="C28" s="15" t="n">
        <v>504</v>
      </c>
      <c r="D28" s="15" t="n">
        <v>1752</v>
      </c>
      <c r="E28" s="15" t="n">
        <v>800</v>
      </c>
      <c r="F28" s="15" t="n">
        <v>1456</v>
      </c>
      <c r="G28" s="15" t="n">
        <v>2700</v>
      </c>
      <c r="H28" s="15" t="n">
        <v>566</v>
      </c>
      <c r="I28" s="15" t="n">
        <v>2364</v>
      </c>
      <c r="J28" s="15" t="n">
        <v>2528</v>
      </c>
      <c r="K28" s="15" t="n">
        <v>323</v>
      </c>
      <c r="L28" s="15" t="n">
        <v>2026</v>
      </c>
      <c r="M28" s="15" t="n">
        <v>4599</v>
      </c>
      <c r="N28" s="15" t="n">
        <v>1997</v>
      </c>
      <c r="O28" s="15" t="n">
        <v>21174</v>
      </c>
      <c r="P28" s="15" t="n">
        <v>16740</v>
      </c>
      <c r="Q28" s="15" t="n">
        <v>50681</v>
      </c>
      <c r="R28" s="15" t="n">
        <v>-36549</v>
      </c>
      <c r="S28" s="15" t="n">
        <v>-144309</v>
      </c>
      <c r="T28" s="15" t="n">
        <v>97647</v>
      </c>
      <c r="U28" s="15" t="n">
        <v>-6600</v>
      </c>
      <c r="V28" s="15" t="n">
        <v>-37115</v>
      </c>
      <c r="W28" s="16"/>
      <c r="X28" s="15" t="n">
        <v>-8197</v>
      </c>
      <c r="Y28" s="16"/>
      <c r="Z28" s="16"/>
      <c r="AA28" s="16"/>
      <c r="AB28" s="16"/>
    </row>
    <row r="29" customFormat="false" ht="15" hidden="false" customHeight="true" outlineLevel="0" collapsed="false">
      <c r="A29" s="11" t="s">
        <v>77</v>
      </c>
      <c r="B29" s="15" t="n">
        <v>0</v>
      </c>
      <c r="C29" s="15" t="n">
        <v>0</v>
      </c>
      <c r="D29" s="15" t="n">
        <v>0</v>
      </c>
      <c r="E29" s="15" t="n">
        <v>0</v>
      </c>
      <c r="F29" s="15" t="n">
        <v>0</v>
      </c>
      <c r="G29" s="15" t="n">
        <v>0</v>
      </c>
      <c r="H29" s="15" t="n">
        <v>0</v>
      </c>
      <c r="I29" s="15" t="n">
        <v>0</v>
      </c>
      <c r="J29" s="15" t="n">
        <v>0</v>
      </c>
      <c r="K29" s="15" t="n">
        <v>0</v>
      </c>
      <c r="L29" s="15" t="n">
        <v>0</v>
      </c>
      <c r="M29" s="15" t="n">
        <v>0</v>
      </c>
      <c r="N29" s="15" t="n">
        <v>0</v>
      </c>
      <c r="O29" s="15" t="n">
        <v>0</v>
      </c>
      <c r="P29" s="15" t="n">
        <v>0</v>
      </c>
      <c r="Q29" s="15" t="n">
        <v>0</v>
      </c>
      <c r="R29" s="15" t="n">
        <v>0</v>
      </c>
      <c r="S29" s="15" t="n">
        <v>0</v>
      </c>
      <c r="T29" s="15" t="n">
        <v>0</v>
      </c>
      <c r="U29" s="15" t="n">
        <v>0</v>
      </c>
      <c r="V29" s="15" t="n">
        <v>0</v>
      </c>
      <c r="W29" s="15" t="n">
        <v>0</v>
      </c>
      <c r="X29" s="15" t="n">
        <v>0</v>
      </c>
      <c r="Y29" s="15" t="n">
        <v>0</v>
      </c>
      <c r="Z29" s="15" t="n">
        <v>0</v>
      </c>
      <c r="AA29" s="15" t="n">
        <v>0</v>
      </c>
      <c r="AB29" s="15" t="n">
        <v>0</v>
      </c>
    </row>
    <row r="30" customFormat="false" ht="15" hidden="false" customHeight="true" outlineLevel="0" collapsed="false">
      <c r="A30" s="11" t="s">
        <v>78</v>
      </c>
      <c r="B30" s="15" t="n">
        <v>58055</v>
      </c>
      <c r="C30" s="15" t="n">
        <v>75549</v>
      </c>
      <c r="D30" s="15" t="n">
        <v>15746</v>
      </c>
      <c r="E30" s="15" t="n">
        <v>9094</v>
      </c>
      <c r="F30" s="15" t="n">
        <v>7410</v>
      </c>
      <c r="G30" s="15" t="n">
        <v>8672</v>
      </c>
      <c r="H30" s="15" t="n">
        <v>10531</v>
      </c>
      <c r="I30" s="15" t="n">
        <v>8467</v>
      </c>
      <c r="J30" s="15" t="n">
        <v>6485</v>
      </c>
      <c r="K30" s="15" t="n">
        <v>7136</v>
      </c>
      <c r="L30" s="15" t="n">
        <v>3554</v>
      </c>
      <c r="M30" s="15" t="n">
        <v>6895</v>
      </c>
      <c r="N30" s="15" t="n">
        <v>2164</v>
      </c>
      <c r="O30" s="15" t="n">
        <v>108740</v>
      </c>
      <c r="P30" s="15" t="n">
        <v>72134</v>
      </c>
      <c r="Q30" s="15" t="n">
        <v>2833025</v>
      </c>
      <c r="R30" s="15" t="n">
        <v>3678615</v>
      </c>
      <c r="S30" s="15" t="n">
        <v>4230357</v>
      </c>
      <c r="T30" s="15" t="n">
        <v>433568</v>
      </c>
      <c r="U30" s="15" t="n">
        <v>1502647</v>
      </c>
      <c r="V30" s="15" t="n">
        <v>288940</v>
      </c>
      <c r="W30" s="15" t="n">
        <v>35274</v>
      </c>
      <c r="X30" s="16"/>
      <c r="Y30" s="15" t="n">
        <v>852000</v>
      </c>
      <c r="Z30" s="15" t="n">
        <v>965000</v>
      </c>
      <c r="AA30" s="15" t="n">
        <v>250000</v>
      </c>
      <c r="AB30" s="15" t="n">
        <v>1844000</v>
      </c>
    </row>
    <row r="31" customFormat="false" ht="15" hidden="false" customHeight="true" outlineLevel="0" collapsed="false">
      <c r="A31" s="7" t="s">
        <v>79</v>
      </c>
      <c r="B31" s="17" t="n">
        <f aca="false">IF(AND(ISNUMBER(B30),ISNUMBER(B9),B9&lt;&gt;0),B30/B9,"")</f>
        <v>15.6905405405405</v>
      </c>
      <c r="C31" s="17" t="n">
        <f aca="false">IF(AND(ISNUMBER(C30),ISNUMBER(C9),C9&lt;&gt;0),C30/C9,"")</f>
        <v>21.5854285714286</v>
      </c>
      <c r="D31" s="17" t="n">
        <f aca="false">IF(AND(ISNUMBER(D30),ISNUMBER(D9),D9&lt;&gt;0),D30/D9,"")</f>
        <v>3.1492</v>
      </c>
      <c r="E31" s="17" t="n">
        <f aca="false">IF(AND(ISNUMBER(E30),ISNUMBER(E9),E9&lt;&gt;0),E30/E9,"")</f>
        <v>6.44964539007092</v>
      </c>
      <c r="F31" s="17" t="n">
        <f aca="false">IF(AND(ISNUMBER(F30),ISNUMBER(F9),F9&lt;&gt;0),F30/F9,"")</f>
        <v>10.5857142857143</v>
      </c>
      <c r="G31" s="17" t="n">
        <f aca="false">IF(AND(ISNUMBER(G30),ISNUMBER(G9),G9&lt;&gt;0),G30/G9,"")</f>
        <v>10.3361144219309</v>
      </c>
      <c r="H31" s="17" t="n">
        <f aca="false">IF(AND(ISNUMBER(H30),ISNUMBER(H9),H9&lt;&gt;0),H30/H9,"")</f>
        <v>11.0969441517387</v>
      </c>
      <c r="I31" s="17" t="n">
        <f aca="false">IF(AND(ISNUMBER(I30),ISNUMBER(I9),I9&lt;&gt;0),I30/I9,"")</f>
        <v>16.0969581749049</v>
      </c>
      <c r="J31" s="17" t="n">
        <f aca="false">IF(AND(ISNUMBER(J30),ISNUMBER(J9),J9&lt;&gt;0),J30/J9,"")</f>
        <v>5.79017857142857</v>
      </c>
      <c r="K31" s="17" t="n">
        <f aca="false">IF(AND(ISNUMBER(K30),ISNUMBER(K9),K9&lt;&gt;0),K30/K9,"")</f>
        <v>29.6099585062241</v>
      </c>
      <c r="L31" s="17" t="str">
        <f aca="false">IF(AND(ISNUMBER(L30),ISNUMBER(L9),L9&lt;&gt;0),L30/L9,"")</f>
        <v/>
      </c>
      <c r="M31" s="17" t="str">
        <f aca="false">IF(AND(ISNUMBER(M30),ISNUMBER(M9),M9&lt;&gt;0),M30/M9,"")</f>
        <v/>
      </c>
      <c r="N31" s="17" t="n">
        <f aca="false">IF(AND(ISNUMBER(N30),ISNUMBER(N9),N9&lt;&gt;0),N30/N9,"")</f>
        <v>1.52073085031623</v>
      </c>
      <c r="O31" s="17" t="str">
        <f aca="false">IF(AND(ISNUMBER(O30),ISNUMBER(O9),O9&lt;&gt;0),O30/O9,"")</f>
        <v/>
      </c>
      <c r="P31" s="17" t="n">
        <f aca="false">IF(AND(ISNUMBER(P30),ISNUMBER(P9),P9&lt;&gt;0),P30/P9,"")</f>
        <v>16.0297777777778</v>
      </c>
      <c r="Q31" s="17" t="str">
        <f aca="false">IF(AND(ISNUMBER(Q30),ISNUMBER(Q9),Q9&lt;&gt;0),Q30/Q9,"")</f>
        <v/>
      </c>
      <c r="R31" s="17" t="str">
        <f aca="false">IF(AND(ISNUMBER(R30),ISNUMBER(R9),R9&lt;&gt;0),R30/R9,"")</f>
        <v/>
      </c>
      <c r="S31" s="17" t="str">
        <f aca="false">IF(AND(ISNUMBER(S30),ISNUMBER(S9),S9&lt;&gt;0),S30/S9,"")</f>
        <v/>
      </c>
      <c r="T31" s="17" t="str">
        <f aca="false">IF(AND(ISNUMBER(T30),ISNUMBER(T9),T9&lt;&gt;0),T30/T9,"")</f>
        <v/>
      </c>
      <c r="U31" s="17" t="str">
        <f aca="false">IF(AND(ISNUMBER(U30),ISNUMBER(U9),U9&lt;&gt;0),U30/U9,"")</f>
        <v/>
      </c>
      <c r="V31" s="17" t="str">
        <f aca="false">IF(AND(ISNUMBER(V30),ISNUMBER(V9),V9&lt;&gt;0),V30/V9,"")</f>
        <v/>
      </c>
      <c r="W31" s="17" t="str">
        <f aca="false">IF(AND(ISNUMBER(W30),ISNUMBER(W9),W9&lt;&gt;0),W30/W9,"")</f>
        <v/>
      </c>
      <c r="X31" s="17" t="str">
        <f aca="false">IF(AND(ISNUMBER(X30),ISNUMBER(X9),X9&lt;&gt;0),X30/X9,"")</f>
        <v/>
      </c>
      <c r="Y31" s="17" t="n">
        <f aca="false">IF(AND(ISNUMBER(Y30),ISNUMBER(Y9),Y9&lt;&gt;0),Y30/Y9,"")</f>
        <v>28.4</v>
      </c>
      <c r="Z31" s="17" t="n">
        <f aca="false">IF(AND(ISNUMBER(Z30),ISNUMBER(Z9),Z9&lt;&gt;0),Z30/Z9,"")</f>
        <v>88.5321100917431</v>
      </c>
      <c r="AA31" s="17" t="n">
        <f aca="false">IF(AND(ISNUMBER(AA30),ISNUMBER(AA9),AA9&lt;&gt;0),AA30/AA9,"")</f>
        <v>100</v>
      </c>
      <c r="AB31" s="17" t="str">
        <f aca="false">IF(AND(ISNUMBER(AB30),ISNUMBER(AB9),AB9&lt;&gt;0),AB30/AB9,"")</f>
        <v/>
      </c>
    </row>
    <row r="33" customFormat="false" ht="63.75" hidden="false" customHeight="true" outlineLevel="0" collapsed="false">
      <c r="A33" s="11" t="s">
        <v>80</v>
      </c>
      <c r="B33" s="20" t="s">
        <v>81</v>
      </c>
      <c r="C33" s="20" t="s">
        <v>82</v>
      </c>
      <c r="D33" s="20" t="s">
        <v>83</v>
      </c>
      <c r="E33" s="20" t="s">
        <v>84</v>
      </c>
      <c r="F33" s="20" t="s">
        <v>85</v>
      </c>
      <c r="G33" s="20" t="s">
        <v>86</v>
      </c>
      <c r="H33" s="20" t="s">
        <v>87</v>
      </c>
      <c r="I33" s="20" t="s">
        <v>88</v>
      </c>
      <c r="J33" s="20" t="s">
        <v>89</v>
      </c>
      <c r="K33" s="20" t="s">
        <v>90</v>
      </c>
      <c r="L33" s="20" t="s">
        <v>91</v>
      </c>
      <c r="M33" s="20" t="s">
        <v>92</v>
      </c>
      <c r="N33" s="20" t="s">
        <v>93</v>
      </c>
      <c r="O33" s="20" t="s">
        <v>94</v>
      </c>
      <c r="P33" s="20" t="s">
        <v>95</v>
      </c>
      <c r="Q33" s="20" t="s">
        <v>96</v>
      </c>
      <c r="R33" s="20" t="s">
        <v>97</v>
      </c>
      <c r="S33" s="20" t="s">
        <v>98</v>
      </c>
      <c r="T33" s="20" t="s">
        <v>99</v>
      </c>
      <c r="U33" s="20" t="s">
        <v>100</v>
      </c>
      <c r="V33" s="20" t="s">
        <v>101</v>
      </c>
      <c r="W33" s="20" t="s">
        <v>102</v>
      </c>
      <c r="X33" s="20" t="s">
        <v>103</v>
      </c>
      <c r="Y33" s="20" t="s">
        <v>104</v>
      </c>
      <c r="Z33" s="20" t="s">
        <v>105</v>
      </c>
      <c r="AA33" s="20" t="s">
        <v>106</v>
      </c>
      <c r="AB33" s="20" t="s">
        <v>107</v>
      </c>
    </row>
    <row r="34" customFormat="false" ht="63.75" hidden="false" customHeight="true" outlineLevel="0" collapsed="false">
      <c r="A34" s="11" t="s">
        <v>108</v>
      </c>
      <c r="B34" s="20" t="s">
        <v>109</v>
      </c>
      <c r="C34" s="20" t="s">
        <v>110</v>
      </c>
      <c r="D34" s="20" t="s">
        <v>111</v>
      </c>
      <c r="E34" s="20" t="s">
        <v>112</v>
      </c>
      <c r="F34" s="20" t="s">
        <v>113</v>
      </c>
      <c r="G34" s="20" t="s">
        <v>114</v>
      </c>
      <c r="H34" s="20" t="s">
        <v>115</v>
      </c>
      <c r="I34" s="20" t="s">
        <v>116</v>
      </c>
      <c r="J34" s="20" t="s">
        <v>117</v>
      </c>
      <c r="K34" s="20" t="s">
        <v>118</v>
      </c>
      <c r="L34" s="20" t="s">
        <v>119</v>
      </c>
      <c r="M34" s="20" t="s">
        <v>120</v>
      </c>
      <c r="N34" s="20" t="s">
        <v>121</v>
      </c>
      <c r="O34" s="20" t="s">
        <v>122</v>
      </c>
      <c r="P34" s="20" t="s">
        <v>123</v>
      </c>
      <c r="Q34" s="20" t="s">
        <v>124</v>
      </c>
      <c r="R34" s="20" t="s">
        <v>125</v>
      </c>
      <c r="S34" s="20" t="s">
        <v>126</v>
      </c>
      <c r="T34" s="20" t="s">
        <v>127</v>
      </c>
      <c r="U34" s="20" t="s">
        <v>128</v>
      </c>
      <c r="V34" s="20" t="s">
        <v>129</v>
      </c>
      <c r="W34" s="20" t="s">
        <v>130</v>
      </c>
      <c r="X34" s="20" t="s">
        <v>131</v>
      </c>
      <c r="Y34" s="20" t="s">
        <v>132</v>
      </c>
      <c r="Z34" s="20" t="s">
        <v>133</v>
      </c>
      <c r="AA34" s="20" t="s">
        <v>134</v>
      </c>
      <c r="AB34" s="20" t="s">
        <v>135</v>
      </c>
    </row>
    <row r="35" customFormat="false" ht="63.75" hidden="false" customHeight="true" outlineLevel="0" collapsed="false">
      <c r="A35" s="11" t="s">
        <v>136</v>
      </c>
      <c r="B35" s="20" t="s">
        <v>137</v>
      </c>
      <c r="C35" s="20" t="s">
        <v>138</v>
      </c>
      <c r="D35" s="20" t="s">
        <v>139</v>
      </c>
      <c r="E35" s="20" t="s">
        <v>140</v>
      </c>
      <c r="F35" s="20" t="s">
        <v>141</v>
      </c>
      <c r="G35" s="20" t="s">
        <v>142</v>
      </c>
      <c r="H35" s="20" t="s">
        <v>143</v>
      </c>
      <c r="I35" s="20" t="s">
        <v>144</v>
      </c>
      <c r="J35" s="20" t="s">
        <v>145</v>
      </c>
      <c r="K35" s="20" t="s">
        <v>146</v>
      </c>
      <c r="L35" s="20" t="s">
        <v>147</v>
      </c>
      <c r="M35" s="20" t="s">
        <v>148</v>
      </c>
      <c r="N35" s="20" t="s">
        <v>149</v>
      </c>
      <c r="O35" s="20" t="s">
        <v>150</v>
      </c>
      <c r="P35" s="20" t="s">
        <v>151</v>
      </c>
      <c r="Q35" s="20" t="s">
        <v>152</v>
      </c>
      <c r="R35" s="20" t="s">
        <v>153</v>
      </c>
      <c r="S35" s="20" t="s">
        <v>154</v>
      </c>
      <c r="T35" s="20" t="s">
        <v>155</v>
      </c>
      <c r="U35" s="20" t="s">
        <v>156</v>
      </c>
      <c r="V35" s="20" t="s">
        <v>157</v>
      </c>
      <c r="W35" s="20" t="s">
        <v>147</v>
      </c>
      <c r="X35" s="20" t="s">
        <v>147</v>
      </c>
      <c r="Y35" s="20" t="s">
        <v>158</v>
      </c>
      <c r="Z35" s="20" t="s">
        <v>159</v>
      </c>
      <c r="AA35" s="20" t="s">
        <v>160</v>
      </c>
      <c r="AB35" s="20" t="s">
        <v>160</v>
      </c>
    </row>
    <row r="36" customFormat="false" ht="63.75" hidden="false" customHeight="true" outlineLevel="0" collapsed="false">
      <c r="A36" s="11" t="s">
        <v>161</v>
      </c>
      <c r="B36" s="20" t="s">
        <v>162</v>
      </c>
      <c r="C36" s="20" t="s">
        <v>163</v>
      </c>
      <c r="D36" s="20" t="s">
        <v>164</v>
      </c>
      <c r="E36" s="20" t="s">
        <v>165</v>
      </c>
      <c r="F36" s="20" t="s">
        <v>166</v>
      </c>
      <c r="G36" s="20" t="s">
        <v>167</v>
      </c>
      <c r="H36" s="20" t="s">
        <v>166</v>
      </c>
      <c r="I36" s="20" t="s">
        <v>168</v>
      </c>
      <c r="J36" s="20" t="s">
        <v>169</v>
      </c>
      <c r="K36" s="20" t="s">
        <v>170</v>
      </c>
      <c r="L36" s="20" t="s">
        <v>167</v>
      </c>
      <c r="M36" s="20" t="s">
        <v>171</v>
      </c>
      <c r="N36" s="20" t="s">
        <v>172</v>
      </c>
      <c r="O36" s="20" t="s">
        <v>173</v>
      </c>
      <c r="P36" s="20" t="s">
        <v>174</v>
      </c>
      <c r="Q36" s="20" t="s">
        <v>175</v>
      </c>
      <c r="R36" s="20" t="s">
        <v>176</v>
      </c>
      <c r="S36" s="20" t="s">
        <v>177</v>
      </c>
      <c r="T36" s="20" t="s">
        <v>178</v>
      </c>
      <c r="U36" s="20" t="s">
        <v>173</v>
      </c>
      <c r="V36" s="20" t="s">
        <v>179</v>
      </c>
      <c r="W36" s="20" t="s">
        <v>180</v>
      </c>
      <c r="X36" s="20" t="s">
        <v>181</v>
      </c>
      <c r="Y36" s="20" t="s">
        <v>182</v>
      </c>
      <c r="Z36" s="20" t="s">
        <v>183</v>
      </c>
      <c r="AA36" s="20" t="s">
        <v>184</v>
      </c>
      <c r="AB36" s="20" t="s">
        <v>185</v>
      </c>
    </row>
  </sheetData>
  <mergeCells count="8">
    <mergeCell ref="A2:S2"/>
    <mergeCell ref="B3:D3"/>
    <mergeCell ref="E3:L3"/>
    <mergeCell ref="M3:N3"/>
    <mergeCell ref="O3:P3"/>
    <mergeCell ref="Q3:U3"/>
    <mergeCell ref="V3:X3"/>
    <mergeCell ref="Y3:A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26"/>
    <col collapsed="false" customWidth="true" hidden="false" outlineLevel="0" max="7" min="2" style="1" width="13"/>
    <col collapsed="false" customWidth="true" hidden="false" outlineLevel="0" max="8" min="8" style="1" width="95"/>
    <col collapsed="false" customWidth="true" hidden="false" outlineLevel="0" max="9" min="9" style="1" width="22"/>
  </cols>
  <sheetData>
    <row r="1" customFormat="false" ht="15.75" hidden="false" customHeight="true" outlineLevel="0" collapsed="false">
      <c r="A1" s="21" t="s">
        <v>186</v>
      </c>
    </row>
    <row r="2" customFormat="false" ht="15" hidden="false" customHeight="true" outlineLevel="0" collapsed="false">
      <c r="A2" s="3" t="s">
        <v>187</v>
      </c>
      <c r="B2" s="3"/>
      <c r="C2" s="3"/>
      <c r="D2" s="3"/>
      <c r="E2" s="3"/>
      <c r="F2" s="3"/>
      <c r="G2" s="3"/>
      <c r="H2" s="3"/>
    </row>
    <row r="4" customFormat="false" ht="23.25" hidden="false" customHeight="true" outlineLevel="0" collapsed="false">
      <c r="A4" s="22" t="s">
        <v>188</v>
      </c>
      <c r="B4" s="22" t="s">
        <v>189</v>
      </c>
      <c r="C4" s="22" t="s">
        <v>190</v>
      </c>
      <c r="D4" s="22" t="s">
        <v>191</v>
      </c>
      <c r="E4" s="22" t="s">
        <v>192</v>
      </c>
      <c r="F4" s="22" t="s">
        <v>193</v>
      </c>
      <c r="G4" s="22" t="s">
        <v>194</v>
      </c>
      <c r="H4" s="22" t="s">
        <v>195</v>
      </c>
      <c r="I4" s="22" t="s">
        <v>196</v>
      </c>
    </row>
    <row r="5" customFormat="false" ht="15" hidden="false" customHeight="true" outlineLevel="0" collapsed="false">
      <c r="A5" s="23" t="s">
        <v>197</v>
      </c>
      <c r="B5" s="24"/>
      <c r="C5" s="24"/>
      <c r="D5" s="24"/>
      <c r="E5" s="24"/>
      <c r="F5" s="24"/>
      <c r="G5" s="24"/>
      <c r="H5" s="24"/>
      <c r="I5" s="24"/>
    </row>
    <row r="6" customFormat="false" ht="15" hidden="false" customHeight="true" outlineLevel="0" collapsed="false">
      <c r="A6" s="11" t="s">
        <v>9</v>
      </c>
      <c r="B6" s="9" t="n">
        <v>1500</v>
      </c>
      <c r="C6" s="9" t="n">
        <v>350</v>
      </c>
      <c r="D6" s="9" t="n">
        <v>6500</v>
      </c>
      <c r="E6" s="9" t="n">
        <v>6500</v>
      </c>
      <c r="F6" s="13" t="n">
        <f aca="false">IF(AND(ISNUMBER($B6),ISNUMBER(D6)),$B6+D6,"")</f>
        <v>8000</v>
      </c>
      <c r="G6" s="13" t="n">
        <f aca="false">IF(AND(ISNUMBER($B6),ISNUMBER(E6)),$B6+E6,"")</f>
        <v>8000</v>
      </c>
      <c r="H6" s="20" t="s">
        <v>198</v>
      </c>
      <c r="I6" s="20" t="s">
        <v>199</v>
      </c>
    </row>
    <row r="7" customFormat="false" ht="15" hidden="false" customHeight="true" outlineLevel="0" collapsed="false">
      <c r="A7" s="11" t="s">
        <v>10</v>
      </c>
      <c r="B7" s="9" t="n">
        <v>390</v>
      </c>
      <c r="C7" s="9" t="n">
        <v>1500</v>
      </c>
      <c r="D7" s="9" t="n">
        <v>3600</v>
      </c>
      <c r="E7" s="9" t="n">
        <v>4600</v>
      </c>
      <c r="F7" s="13" t="n">
        <f aca="false">IF(AND(ISNUMBER($B7),ISNUMBER(D7)),$B7+D7,"")</f>
        <v>3990</v>
      </c>
      <c r="G7" s="13" t="n">
        <f aca="false">IF(AND(ISNUMBER($B7),ISNUMBER(E7)),$B7+E7,"")</f>
        <v>4990</v>
      </c>
      <c r="H7" s="20" t="s">
        <v>200</v>
      </c>
      <c r="I7" s="20" t="s">
        <v>201</v>
      </c>
    </row>
    <row r="8" customFormat="false" ht="18.75" hidden="false" customHeight="true" outlineLevel="0" collapsed="false">
      <c r="A8" s="11" t="s">
        <v>11</v>
      </c>
      <c r="B8" s="9" t="n">
        <v>885</v>
      </c>
      <c r="C8" s="9" t="n">
        <v>700</v>
      </c>
      <c r="D8" s="9" t="n">
        <v>3000</v>
      </c>
      <c r="E8" s="9" t="n">
        <v>4100</v>
      </c>
      <c r="F8" s="13" t="n">
        <f aca="false">IF(AND(ISNUMBER($B8),ISNUMBER(D8)),$B8+D8,"")</f>
        <v>3885</v>
      </c>
      <c r="G8" s="13" t="n">
        <f aca="false">IF(AND(ISNUMBER($B8),ISNUMBER(E8)),$B8+E8,"")</f>
        <v>4985</v>
      </c>
      <c r="H8" s="20" t="s">
        <v>202</v>
      </c>
      <c r="I8" s="20" t="s">
        <v>203</v>
      </c>
    </row>
    <row r="9" customFormat="false" ht="15" hidden="false" customHeight="true" outlineLevel="0" collapsed="false">
      <c r="A9" s="23" t="s">
        <v>204</v>
      </c>
      <c r="B9" s="24"/>
      <c r="C9" s="24"/>
      <c r="D9" s="24"/>
      <c r="E9" s="24"/>
      <c r="F9" s="24"/>
      <c r="G9" s="24"/>
      <c r="H9" s="24"/>
      <c r="I9" s="24"/>
    </row>
    <row r="10" customFormat="false" ht="15" hidden="false" customHeight="true" outlineLevel="0" collapsed="false">
      <c r="A10" s="11" t="s">
        <v>12</v>
      </c>
      <c r="B10" s="9" t="n">
        <v>175</v>
      </c>
      <c r="C10" s="9" t="n">
        <v>400</v>
      </c>
      <c r="D10" s="9" t="n">
        <v>1235</v>
      </c>
      <c r="E10" s="9" t="n">
        <v>2000</v>
      </c>
      <c r="F10" s="13" t="n">
        <f aca="false">IF(AND(ISNUMBER($B10),ISNUMBER(D10)),$B10+D10,"")</f>
        <v>1410</v>
      </c>
      <c r="G10" s="13" t="n">
        <f aca="false">IF(AND(ISNUMBER($B10),ISNUMBER(E10)),$B10+E10,"")</f>
        <v>2175</v>
      </c>
      <c r="H10" s="20" t="s">
        <v>205</v>
      </c>
      <c r="I10" s="20" t="s">
        <v>206</v>
      </c>
    </row>
    <row r="11" customFormat="false" ht="15" hidden="false" customHeight="true" outlineLevel="0" collapsed="false">
      <c r="A11" s="11" t="s">
        <v>13</v>
      </c>
      <c r="B11" s="9" t="n">
        <v>0</v>
      </c>
      <c r="C11" s="9" t="n">
        <v>700</v>
      </c>
      <c r="D11" s="9" t="n">
        <v>700</v>
      </c>
      <c r="E11" s="9" t="n">
        <v>1500</v>
      </c>
      <c r="F11" s="13" t="n">
        <f aca="false">IF(AND(ISNUMBER($B11),ISNUMBER(D11)),$B11+D11,"")</f>
        <v>700</v>
      </c>
      <c r="G11" s="13" t="n">
        <f aca="false">IF(AND(ISNUMBER($B11),ISNUMBER(E11)),$B11+E11,"")</f>
        <v>1500</v>
      </c>
      <c r="H11" s="20" t="s">
        <v>207</v>
      </c>
      <c r="I11" s="20" t="s">
        <v>206</v>
      </c>
    </row>
    <row r="12" customFormat="false" ht="15" hidden="false" customHeight="true" outlineLevel="0" collapsed="false">
      <c r="A12" s="11" t="s">
        <v>14</v>
      </c>
      <c r="B12" s="9" t="n">
        <v>81</v>
      </c>
      <c r="C12" s="9" t="n">
        <v>500</v>
      </c>
      <c r="D12" s="9" t="n">
        <v>758</v>
      </c>
      <c r="E12" s="9" t="n">
        <v>1200</v>
      </c>
      <c r="F12" s="13" t="n">
        <f aca="false">IF(AND(ISNUMBER($B12),ISNUMBER(D12)),$B12+D12,"")</f>
        <v>839</v>
      </c>
      <c r="G12" s="13" t="n">
        <f aca="false">IF(AND(ISNUMBER($B12),ISNUMBER(E12)),$B12+E12,"")</f>
        <v>1281</v>
      </c>
      <c r="H12" s="20" t="s">
        <v>208</v>
      </c>
      <c r="I12" s="20" t="s">
        <v>206</v>
      </c>
    </row>
    <row r="13" customFormat="false" ht="15" hidden="false" customHeight="true" outlineLevel="0" collapsed="false">
      <c r="A13" s="11" t="s">
        <v>15</v>
      </c>
      <c r="B13" s="9" t="n">
        <v>0</v>
      </c>
      <c r="C13" s="9" t="n">
        <v>300</v>
      </c>
      <c r="D13" s="9" t="n">
        <v>949</v>
      </c>
      <c r="E13" s="9" t="n">
        <v>1500</v>
      </c>
      <c r="F13" s="13" t="n">
        <f aca="false">IF(AND(ISNUMBER($B13),ISNUMBER(D13)),$B13+D13,"")</f>
        <v>949</v>
      </c>
      <c r="G13" s="13" t="n">
        <f aca="false">IF(AND(ISNUMBER($B13),ISNUMBER(E13)),$B13+E13,"")</f>
        <v>1500</v>
      </c>
      <c r="H13" s="20" t="s">
        <v>209</v>
      </c>
      <c r="I13" s="20" t="s">
        <v>206</v>
      </c>
    </row>
    <row r="14" customFormat="false" ht="15" hidden="false" customHeight="true" outlineLevel="0" collapsed="false">
      <c r="A14" s="11" t="s">
        <v>210</v>
      </c>
      <c r="B14" s="9" t="n">
        <v>133</v>
      </c>
      <c r="C14" s="9" t="n">
        <v>260</v>
      </c>
      <c r="D14" s="9" t="n">
        <v>393</v>
      </c>
      <c r="E14" s="9" t="n">
        <v>950</v>
      </c>
      <c r="F14" s="13" t="n">
        <f aca="false">IF(AND(ISNUMBER($B14),ISNUMBER(D14)),$B14+D14,"")</f>
        <v>526</v>
      </c>
      <c r="G14" s="13" t="n">
        <f aca="false">IF(AND(ISNUMBER($B14),ISNUMBER(E14)),$B14+E14,"")</f>
        <v>1083</v>
      </c>
      <c r="H14" s="20" t="s">
        <v>211</v>
      </c>
      <c r="I14" s="20" t="s">
        <v>212</v>
      </c>
    </row>
    <row r="15" customFormat="false" ht="15" hidden="false" customHeight="true" outlineLevel="0" collapsed="false">
      <c r="A15" s="11" t="s">
        <v>17</v>
      </c>
      <c r="B15" s="9"/>
      <c r="C15" s="9" t="n">
        <v>300</v>
      </c>
      <c r="D15" s="9" t="n">
        <v>530</v>
      </c>
      <c r="E15" s="9" t="n">
        <v>1925</v>
      </c>
      <c r="F15" s="13" t="str">
        <f aca="false">IF(AND(ISNUMBER($B15),ISNUMBER(D15)),$B15+D15,"")</f>
        <v/>
      </c>
      <c r="G15" s="13" t="str">
        <f aca="false">IF(AND(ISNUMBER($B15),ISNUMBER(E15)),$B15+E15,"")</f>
        <v/>
      </c>
      <c r="H15" s="20" t="s">
        <v>213</v>
      </c>
      <c r="I15" s="20" t="s">
        <v>214</v>
      </c>
    </row>
    <row r="16" customFormat="false" ht="15" hidden="false" customHeight="true" outlineLevel="0" collapsed="false">
      <c r="A16" s="11" t="s">
        <v>215</v>
      </c>
      <c r="B16" s="9" t="n">
        <v>0</v>
      </c>
      <c r="C16" s="9" t="n">
        <v>0</v>
      </c>
      <c r="D16" s="9" t="n">
        <v>241</v>
      </c>
      <c r="E16" s="9" t="n">
        <v>1241</v>
      </c>
      <c r="F16" s="13" t="n">
        <f aca="false">IF(AND(ISNUMBER($B16),ISNUMBER(D16)),$B16+D16,"")</f>
        <v>241</v>
      </c>
      <c r="G16" s="13" t="n">
        <f aca="false">IF(AND(ISNUMBER($B16),ISNUMBER(E16)),$B16+E16,"")</f>
        <v>1241</v>
      </c>
      <c r="H16" s="20" t="s">
        <v>216</v>
      </c>
      <c r="I16" s="20" t="s">
        <v>217</v>
      </c>
    </row>
    <row r="17" customFormat="false" ht="15" hidden="false" customHeight="true" outlineLevel="0" collapsed="false">
      <c r="A17" s="11" t="s">
        <v>19</v>
      </c>
      <c r="B17" s="9" t="n">
        <v>0</v>
      </c>
      <c r="C17" s="9" t="n">
        <v>0</v>
      </c>
      <c r="D17" s="9" t="n">
        <v>0</v>
      </c>
      <c r="E17" s="9" t="n">
        <v>2000</v>
      </c>
      <c r="F17" s="13" t="n">
        <f aca="false">IF(AND(ISNUMBER($B17),ISNUMBER(D17)),$B17+D17,"")</f>
        <v>0</v>
      </c>
      <c r="G17" s="13" t="n">
        <f aca="false">IF(AND(ISNUMBER($B17),ISNUMBER(E17)),$B17+E17,"")</f>
        <v>2000</v>
      </c>
      <c r="H17" s="20" t="s">
        <v>218</v>
      </c>
      <c r="I17" s="20" t="s">
        <v>219</v>
      </c>
    </row>
    <row r="18" customFormat="false" ht="15" hidden="false" customHeight="true" outlineLevel="0" collapsed="false">
      <c r="A18" s="23" t="s">
        <v>220</v>
      </c>
      <c r="B18" s="24"/>
      <c r="C18" s="24"/>
      <c r="D18" s="24"/>
      <c r="E18" s="24"/>
      <c r="F18" s="24"/>
      <c r="G18" s="24"/>
      <c r="H18" s="24"/>
      <c r="I18" s="24"/>
    </row>
    <row r="19" customFormat="false" ht="15" hidden="false" customHeight="true" outlineLevel="0" collapsed="false">
      <c r="A19" s="11" t="s">
        <v>22</v>
      </c>
      <c r="B19" s="9"/>
      <c r="C19" s="9" t="n">
        <v>400</v>
      </c>
      <c r="D19" s="9" t="n">
        <v>700</v>
      </c>
      <c r="E19" s="9" t="n">
        <v>3000</v>
      </c>
      <c r="F19" s="13" t="str">
        <f aca="false">IF(AND(ISNUMBER($B19),ISNUMBER(D19)),$B19+D19,"")</f>
        <v/>
      </c>
      <c r="G19" s="13" t="str">
        <f aca="false">IF(AND(ISNUMBER($B19),ISNUMBER(E19)),$B19+E19,"")</f>
        <v/>
      </c>
      <c r="H19" s="20" t="s">
        <v>221</v>
      </c>
      <c r="I19" s="20" t="s">
        <v>222</v>
      </c>
    </row>
    <row r="20" customFormat="false" ht="15" hidden="false" customHeight="true" outlineLevel="0" collapsed="false">
      <c r="A20" s="11" t="s">
        <v>23</v>
      </c>
      <c r="B20" s="9" t="n">
        <v>3100</v>
      </c>
      <c r="C20" s="9" t="n">
        <v>800</v>
      </c>
      <c r="D20" s="9" t="n">
        <v>1400</v>
      </c>
      <c r="E20" s="9" t="n">
        <v>4000</v>
      </c>
      <c r="F20" s="13" t="n">
        <f aca="false">IF(AND(ISNUMBER($B20),ISNUMBER(D20)),$B20+D20,"")</f>
        <v>4500</v>
      </c>
      <c r="G20" s="13" t="n">
        <f aca="false">IF(AND(ISNUMBER($B20),ISNUMBER(E20)),$B20+E20,"")</f>
        <v>7100</v>
      </c>
      <c r="H20" s="20" t="s">
        <v>223</v>
      </c>
      <c r="I20" s="20" t="s">
        <v>224</v>
      </c>
    </row>
    <row r="21" customFormat="false" ht="15" hidden="false" customHeight="true" outlineLevel="0" collapsed="false">
      <c r="A21" s="11" t="s">
        <v>225</v>
      </c>
      <c r="B21" s="9"/>
      <c r="C21" s="9" t="n">
        <v>500</v>
      </c>
      <c r="D21" s="9" t="n">
        <v>757</v>
      </c>
      <c r="E21" s="9" t="n">
        <v>3000</v>
      </c>
      <c r="F21" s="13" t="str">
        <f aca="false">IF(AND(ISNUMBER($B21),ISNUMBER(D21)),$B21+D21,"")</f>
        <v/>
      </c>
      <c r="G21" s="13" t="str">
        <f aca="false">IF(AND(ISNUMBER($B21),ISNUMBER(E21)),$B21+E21,"")</f>
        <v/>
      </c>
      <c r="H21" s="20" t="s">
        <v>226</v>
      </c>
      <c r="I21" s="20" t="s">
        <v>227</v>
      </c>
    </row>
    <row r="22" customFormat="false" ht="15" hidden="false" customHeight="true" outlineLevel="0" collapsed="false">
      <c r="A22" s="11" t="s">
        <v>228</v>
      </c>
      <c r="B22" s="9" t="n">
        <v>907</v>
      </c>
      <c r="C22" s="9" t="n">
        <v>500</v>
      </c>
      <c r="D22" s="9" t="n">
        <v>516</v>
      </c>
      <c r="E22" s="9" t="n">
        <v>1573</v>
      </c>
      <c r="F22" s="13" t="n">
        <f aca="false">IF(AND(ISNUMBER($B22),ISNUMBER(D22)),$B22+D22,"")</f>
        <v>1423</v>
      </c>
      <c r="G22" s="13" t="n">
        <f aca="false">IF(AND(ISNUMBER($B22),ISNUMBER(E22)),$B22+E22,"")</f>
        <v>2480</v>
      </c>
      <c r="H22" s="20" t="s">
        <v>229</v>
      </c>
      <c r="I22" s="20" t="s">
        <v>230</v>
      </c>
    </row>
    <row r="23" customFormat="false" ht="15" hidden="false" customHeight="true" outlineLevel="0" collapsed="false">
      <c r="A23" s="23" t="s">
        <v>231</v>
      </c>
      <c r="B23" s="24"/>
      <c r="C23" s="24"/>
      <c r="D23" s="24"/>
      <c r="E23" s="24"/>
      <c r="F23" s="24"/>
      <c r="G23" s="24"/>
      <c r="H23" s="24"/>
      <c r="I23" s="24"/>
    </row>
    <row r="24" customFormat="false" ht="18.75" hidden="false" customHeight="true" outlineLevel="0" collapsed="false">
      <c r="A24" s="11" t="s">
        <v>232</v>
      </c>
      <c r="B24" s="9" t="n">
        <v>9500</v>
      </c>
      <c r="C24" s="9" t="n">
        <v>9500</v>
      </c>
      <c r="D24" s="9" t="n">
        <v>20000</v>
      </c>
      <c r="E24" s="9" t="n">
        <v>30000</v>
      </c>
      <c r="F24" s="13" t="n">
        <f aca="false">IF(AND(ISNUMBER($B24),ISNUMBER(D24)),$B24+D24,"")</f>
        <v>29500</v>
      </c>
      <c r="G24" s="13" t="n">
        <f aca="false">IF(AND(ISNUMBER($B24),ISNUMBER(E24)),$B24+E24,"")</f>
        <v>39500</v>
      </c>
      <c r="H24" s="20" t="s">
        <v>233</v>
      </c>
      <c r="I24" s="20" t="s">
        <v>234</v>
      </c>
    </row>
    <row r="25" customFormat="false" ht="15" hidden="false" customHeight="true" outlineLevel="0" collapsed="false">
      <c r="A25" s="11" t="s">
        <v>235</v>
      </c>
      <c r="B25" s="9" t="n">
        <v>12000</v>
      </c>
      <c r="C25" s="9" t="n">
        <v>12000</v>
      </c>
      <c r="D25" s="9" t="n">
        <v>18000</v>
      </c>
      <c r="E25" s="9" t="n">
        <v>26000</v>
      </c>
      <c r="F25" s="13" t="n">
        <f aca="false">IF(AND(ISNUMBER($B25),ISNUMBER(D25)),$B25+D25,"")</f>
        <v>30000</v>
      </c>
      <c r="G25" s="13" t="n">
        <f aca="false">IF(AND(ISNUMBER($B25),ISNUMBER(E25)),$B25+E25,"")</f>
        <v>38000</v>
      </c>
      <c r="H25" s="20" t="s">
        <v>236</v>
      </c>
      <c r="I25" s="20" t="s">
        <v>237</v>
      </c>
    </row>
    <row r="26" customFormat="false" ht="15" hidden="false" customHeight="true" outlineLevel="0" collapsed="false">
      <c r="A26" s="11" t="s">
        <v>238</v>
      </c>
      <c r="B26" s="9"/>
      <c r="C26" s="9"/>
      <c r="D26" s="9"/>
      <c r="E26" s="9"/>
      <c r="F26" s="13" t="str">
        <f aca="false">IF(AND(ISNUMBER($B26),ISNUMBER(D26)),$B26+D26,"")</f>
        <v/>
      </c>
      <c r="G26" s="13" t="str">
        <f aca="false">IF(AND(ISNUMBER($B26),ISNUMBER(E26)),$B26+E26,"")</f>
        <v/>
      </c>
      <c r="H26" s="20" t="s">
        <v>239</v>
      </c>
      <c r="I26" s="20" t="s">
        <v>240</v>
      </c>
    </row>
    <row r="27" customFormat="false" ht="15" hidden="false" customHeight="true" outlineLevel="0" collapsed="false">
      <c r="A27" s="11" t="s">
        <v>241</v>
      </c>
      <c r="B27" s="9"/>
      <c r="C27" s="9" t="n">
        <v>3000</v>
      </c>
      <c r="D27" s="9" t="n">
        <v>10000</v>
      </c>
      <c r="E27" s="9" t="n">
        <v>15000</v>
      </c>
      <c r="F27" s="13" t="str">
        <f aca="false">IF(AND(ISNUMBER($B27),ISNUMBER(D27)),$B27+D27,"")</f>
        <v/>
      </c>
      <c r="G27" s="13" t="str">
        <f aca="false">IF(AND(ISNUMBER($B27),ISNUMBER(E27)),$B27+E27,"")</f>
        <v/>
      </c>
      <c r="H27" s="20" t="s">
        <v>242</v>
      </c>
      <c r="I27" s="20" t="s">
        <v>243</v>
      </c>
    </row>
    <row r="28" customFormat="false" ht="18.75" hidden="false" customHeight="true" outlineLevel="0" collapsed="false">
      <c r="A28" s="11" t="s">
        <v>28</v>
      </c>
      <c r="B28" s="9" t="n">
        <v>5000</v>
      </c>
      <c r="C28" s="9" t="n">
        <v>9000</v>
      </c>
      <c r="D28" s="9" t="n">
        <v>15000</v>
      </c>
      <c r="E28" s="9" t="n">
        <v>20000</v>
      </c>
      <c r="F28" s="13" t="n">
        <f aca="false">IF(AND(ISNUMBER($B28),ISNUMBER(D28)),$B28+D28,"")</f>
        <v>20000</v>
      </c>
      <c r="G28" s="13" t="n">
        <f aca="false">IF(AND(ISNUMBER($B28),ISNUMBER(E28)),$B28+E28,"")</f>
        <v>25000</v>
      </c>
      <c r="H28" s="20" t="s">
        <v>244</v>
      </c>
      <c r="I28" s="20" t="s">
        <v>245</v>
      </c>
    </row>
    <row r="29" customFormat="false" ht="15" hidden="false" customHeight="true" outlineLevel="0" collapsed="false">
      <c r="A29" s="23" t="s">
        <v>246</v>
      </c>
      <c r="B29" s="24"/>
      <c r="C29" s="24"/>
      <c r="D29" s="24"/>
      <c r="E29" s="24"/>
      <c r="F29" s="24"/>
      <c r="G29" s="24"/>
      <c r="H29" s="24"/>
      <c r="I29" s="24"/>
    </row>
    <row r="30" customFormat="false" ht="18.75" hidden="false" customHeight="true" outlineLevel="0" collapsed="false">
      <c r="A30" s="11" t="s">
        <v>32</v>
      </c>
      <c r="B30" s="9" t="n">
        <v>1900</v>
      </c>
      <c r="C30" s="9" t="n">
        <v>4000</v>
      </c>
      <c r="D30" s="9" t="n">
        <v>15000</v>
      </c>
      <c r="E30" s="9" t="n">
        <v>28000</v>
      </c>
      <c r="F30" s="13" t="n">
        <f aca="false">IF(AND(ISNUMBER($B30),ISNUMBER(D30)),$B30+D30,"")</f>
        <v>16900</v>
      </c>
      <c r="G30" s="13" t="n">
        <f aca="false">IF(AND(ISNUMBER($B30),ISNUMBER(E30)),$B30+E30,"")</f>
        <v>29900</v>
      </c>
      <c r="H30" s="20" t="s">
        <v>247</v>
      </c>
      <c r="I30" s="20" t="s">
        <v>248</v>
      </c>
    </row>
    <row r="31" customFormat="false" ht="18.75" hidden="false" customHeight="true" outlineLevel="0" collapsed="false">
      <c r="A31" s="11" t="s">
        <v>33</v>
      </c>
      <c r="B31" s="9" t="n">
        <v>2200</v>
      </c>
      <c r="C31" s="9" t="n">
        <v>3000</v>
      </c>
      <c r="D31" s="9" t="n">
        <v>9000</v>
      </c>
      <c r="E31" s="9" t="n">
        <v>13000</v>
      </c>
      <c r="F31" s="13" t="n">
        <f aca="false">IF(AND(ISNUMBER($B31),ISNUMBER(D31)),$B31+D31,"")</f>
        <v>11200</v>
      </c>
      <c r="G31" s="13" t="n">
        <f aca="false">IF(AND(ISNUMBER($B31),ISNUMBER(E31)),$B31+E31,"")</f>
        <v>15200</v>
      </c>
      <c r="H31" s="20" t="s">
        <v>249</v>
      </c>
      <c r="I31" s="20" t="s">
        <v>250</v>
      </c>
    </row>
    <row r="32" customFormat="false" ht="18.75" hidden="false" customHeight="true" outlineLevel="0" collapsed="false">
      <c r="A32" s="11" t="s">
        <v>251</v>
      </c>
      <c r="B32" s="9" t="n">
        <v>1000</v>
      </c>
      <c r="C32" s="9" t="n">
        <v>1000</v>
      </c>
      <c r="D32" s="9" t="n">
        <v>1500</v>
      </c>
      <c r="E32" s="9" t="n">
        <v>4000</v>
      </c>
      <c r="F32" s="13" t="n">
        <f aca="false">IF(AND(ISNUMBER($B32),ISNUMBER(D32)),$B32+D32,"")</f>
        <v>2500</v>
      </c>
      <c r="G32" s="13" t="n">
        <f aca="false">IF(AND(ISNUMBER($B32),ISNUMBER(E32)),$B32+E32,"")</f>
        <v>5000</v>
      </c>
      <c r="H32" s="20" t="s">
        <v>252</v>
      </c>
      <c r="I32" s="20" t="s">
        <v>253</v>
      </c>
    </row>
    <row r="34" customFormat="false" ht="18.75" hidden="false" customHeight="true" outlineLevel="0" collapsed="false">
      <c r="A34" s="7" t="s">
        <v>254</v>
      </c>
      <c r="D34" s="25" t="n">
        <f aca="false">SUM(D6,D7,D8,D10,D11,D12,D13,D14,D15,D16,D17,D19,D20,D21,D22,D24,D25,D26,D27,D28)</f>
        <v>84279</v>
      </c>
      <c r="E34" s="25" t="n">
        <f aca="false">SUM(E6,E7,E8,E10,E11,E12,E13,E14,E15,E16,E17,E19,E20,E21,E22,E24,E25,E26,E27,E28)</f>
        <v>130089</v>
      </c>
      <c r="H34" s="20" t="s">
        <v>255</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44"/>
    <col collapsed="false" customWidth="true" hidden="false" outlineLevel="0" max="3" min="3" style="1" width="13"/>
    <col collapsed="false" customWidth="true" hidden="false" outlineLevel="0" max="4" min="4" style="1" width="11"/>
    <col collapsed="false" customWidth="true" hidden="false" outlineLevel="0" max="5" min="5" style="1" width="10"/>
    <col collapsed="false" customWidth="true" hidden="false" outlineLevel="0" max="6" min="6" style="1" width="13"/>
    <col collapsed="false" customWidth="true" hidden="false" outlineLevel="0" max="8" min="7" style="1" width="12"/>
    <col collapsed="false" customWidth="true" hidden="false" outlineLevel="0" max="9" min="9" style="1" width="11"/>
    <col collapsed="false" customWidth="true" hidden="false" outlineLevel="0" max="10" min="10" style="1" width="60"/>
    <col collapsed="false" customWidth="true" hidden="false" outlineLevel="0" max="11" min="11" style="1" width="10"/>
  </cols>
  <sheetData>
    <row r="1" customFormat="false" ht="15.75" hidden="false" customHeight="true" outlineLevel="0" collapsed="false">
      <c r="A1" s="21" t="s">
        <v>256</v>
      </c>
    </row>
    <row r="2" customFormat="false" ht="15" hidden="false" customHeight="true" outlineLevel="0" collapsed="false">
      <c r="A2" s="3" t="s">
        <v>257</v>
      </c>
      <c r="B2" s="3"/>
      <c r="C2" s="3"/>
      <c r="D2" s="3"/>
      <c r="E2" s="3"/>
      <c r="F2" s="3"/>
      <c r="G2" s="3"/>
      <c r="H2" s="3"/>
      <c r="I2" s="3"/>
      <c r="J2" s="3"/>
    </row>
    <row r="4" customFormat="false" ht="23.25" hidden="false" customHeight="true" outlineLevel="0" collapsed="false">
      <c r="A4" s="22" t="s">
        <v>258</v>
      </c>
      <c r="B4" s="22" t="s">
        <v>259</v>
      </c>
      <c r="C4" s="22" t="s">
        <v>260</v>
      </c>
      <c r="D4" s="22" t="s">
        <v>261</v>
      </c>
      <c r="E4" s="22" t="s">
        <v>262</v>
      </c>
      <c r="F4" s="22" t="s">
        <v>263</v>
      </c>
      <c r="G4" s="22" t="s">
        <v>264</v>
      </c>
      <c r="H4" s="22" t="s">
        <v>265</v>
      </c>
      <c r="I4" s="22" t="s">
        <v>266</v>
      </c>
      <c r="J4" s="22" t="s">
        <v>267</v>
      </c>
    </row>
    <row r="5" customFormat="false" ht="15" hidden="false" customHeight="true" outlineLevel="0" collapsed="false">
      <c r="A5" s="23" t="s">
        <v>268</v>
      </c>
      <c r="B5" s="24"/>
      <c r="C5" s="24"/>
      <c r="D5" s="24"/>
      <c r="E5" s="24"/>
      <c r="F5" s="24"/>
      <c r="G5" s="24"/>
      <c r="H5" s="24"/>
      <c r="I5" s="24"/>
      <c r="J5" s="24"/>
    </row>
    <row r="6" customFormat="false" ht="15" hidden="false" customHeight="true" outlineLevel="0" collapsed="false">
      <c r="A6" s="11" t="s">
        <v>12</v>
      </c>
      <c r="B6" s="26" t="s">
        <v>269</v>
      </c>
      <c r="C6" s="15" t="n">
        <v>36200</v>
      </c>
      <c r="D6" s="9" t="n">
        <v>1410</v>
      </c>
      <c r="E6" s="9" t="n">
        <v>15</v>
      </c>
      <c r="F6" s="15"/>
      <c r="G6" s="27"/>
      <c r="H6" s="28" t="n">
        <f aca="false">IF(ISNUMBER(G6),G6,IF(AND(ISNUMBER(C6),ISNUMBER(E6),ISNUMBER(D6),D6&lt;&gt;0,E6&lt;&gt;0),C6/E6/D6,IF(AND(ISNUMBER(F6),ISNUMBER(D6),D6&lt;&gt;0),F6/D6,"")))</f>
        <v>1.71158392434988</v>
      </c>
      <c r="I6" s="29" t="n">
        <f aca="false">IF(ISNUMBER(H6),H6*1000/12,"")</f>
        <v>142.631993695823</v>
      </c>
      <c r="J6" s="20" t="s">
        <v>270</v>
      </c>
    </row>
    <row r="7" customFormat="false" ht="15" hidden="false" customHeight="true" outlineLevel="0" collapsed="false">
      <c r="A7" s="11" t="s">
        <v>12</v>
      </c>
      <c r="B7" s="26" t="s">
        <v>271</v>
      </c>
      <c r="C7" s="15" t="n">
        <v>7500</v>
      </c>
      <c r="D7" s="9" t="n">
        <v>300</v>
      </c>
      <c r="E7" s="9" t="n">
        <v>15</v>
      </c>
      <c r="F7" s="15"/>
      <c r="G7" s="27"/>
      <c r="H7" s="28" t="n">
        <f aca="false">IF(ISNUMBER(G7),G7,IF(AND(ISNUMBER(C7),ISNUMBER(E7),ISNUMBER(D7),D7&lt;&gt;0,E7&lt;&gt;0),C7/E7/D7,IF(AND(ISNUMBER(F7),ISNUMBER(D7),D7&lt;&gt;0),F7/D7,"")))</f>
        <v>1.66666666666667</v>
      </c>
      <c r="I7" s="29" t="n">
        <f aca="false">IF(ISNUMBER(H7),H7*1000/12,"")</f>
        <v>138.888888888889</v>
      </c>
      <c r="J7" s="20" t="s">
        <v>272</v>
      </c>
    </row>
    <row r="8" customFormat="false" ht="15" hidden="false" customHeight="true" outlineLevel="0" collapsed="false">
      <c r="A8" s="11" t="s">
        <v>13</v>
      </c>
      <c r="B8" s="26" t="s">
        <v>273</v>
      </c>
      <c r="C8" s="15" t="n">
        <v>5500</v>
      </c>
      <c r="D8" s="9" t="n">
        <v>300</v>
      </c>
      <c r="E8" s="9" t="n">
        <v>15</v>
      </c>
      <c r="F8" s="15"/>
      <c r="G8" s="27"/>
      <c r="H8" s="28" t="n">
        <f aca="false">IF(ISNUMBER(G8),G8,IF(AND(ISNUMBER(C8),ISNUMBER(E8),ISNUMBER(D8),D8&lt;&gt;0,E8&lt;&gt;0),C8/E8/D8,IF(AND(ISNUMBER(F8),ISNUMBER(D8),D8&lt;&gt;0),F8/D8,"")))</f>
        <v>1.22222222222222</v>
      </c>
      <c r="I8" s="29" t="n">
        <f aca="false">IF(ISNUMBER(H8),H8*1000/12,"")</f>
        <v>101.851851851852</v>
      </c>
      <c r="J8" s="20" t="s">
        <v>274</v>
      </c>
    </row>
    <row r="9" customFormat="false" ht="15" hidden="false" customHeight="true" outlineLevel="0" collapsed="false">
      <c r="A9" s="11" t="s">
        <v>13</v>
      </c>
      <c r="B9" s="26" t="s">
        <v>275</v>
      </c>
      <c r="C9" s="15" t="n">
        <v>3000</v>
      </c>
      <c r="D9" s="9" t="n">
        <v>168</v>
      </c>
      <c r="E9" s="9" t="n">
        <v>10</v>
      </c>
      <c r="F9" s="15"/>
      <c r="G9" s="27"/>
      <c r="H9" s="28" t="n">
        <f aca="false">IF(ISNUMBER(G9),G9,IF(AND(ISNUMBER(C9),ISNUMBER(E9),ISNUMBER(D9),D9&lt;&gt;0,E9&lt;&gt;0),C9/E9/D9,IF(AND(ISNUMBER(F9),ISNUMBER(D9),D9&lt;&gt;0),F9/D9,"")))</f>
        <v>1.78571428571429</v>
      </c>
      <c r="I9" s="29" t="n">
        <f aca="false">IF(ISNUMBER(H9),H9*1000/12,"")</f>
        <v>148.809523809524</v>
      </c>
      <c r="J9" s="20" t="s">
        <v>276</v>
      </c>
    </row>
    <row r="10" customFormat="false" ht="15" hidden="false" customHeight="true" outlineLevel="0" collapsed="false">
      <c r="A10" s="11" t="s">
        <v>14</v>
      </c>
      <c r="B10" s="26" t="s">
        <v>277</v>
      </c>
      <c r="C10" s="15" t="n">
        <v>19000</v>
      </c>
      <c r="D10" s="9" t="n">
        <v>401</v>
      </c>
      <c r="E10" s="9" t="n">
        <v>20</v>
      </c>
      <c r="F10" s="15"/>
      <c r="G10" s="27"/>
      <c r="H10" s="28" t="n">
        <f aca="false">IF(ISNUMBER(G10),G10,IF(AND(ISNUMBER(C10),ISNUMBER(E10),ISNUMBER(D10),D10&lt;&gt;0,E10&lt;&gt;0),C10/E10/D10,IF(AND(ISNUMBER(F10),ISNUMBER(D10),D10&lt;&gt;0),F10/D10,"")))</f>
        <v>2.36907730673317</v>
      </c>
      <c r="I10" s="29" t="n">
        <f aca="false">IF(ISNUMBER(H10),H10*1000/12,"")</f>
        <v>197.423108894431</v>
      </c>
      <c r="J10" s="20" t="s">
        <v>278</v>
      </c>
    </row>
    <row r="11" customFormat="false" ht="15" hidden="false" customHeight="true" outlineLevel="0" collapsed="false">
      <c r="A11" s="11" t="s">
        <v>14</v>
      </c>
      <c r="B11" s="26" t="s">
        <v>279</v>
      </c>
      <c r="C11" s="15" t="n">
        <v>3700</v>
      </c>
      <c r="D11" s="9" t="n">
        <v>200</v>
      </c>
      <c r="E11" s="9" t="n">
        <v>10</v>
      </c>
      <c r="F11" s="15"/>
      <c r="G11" s="27"/>
      <c r="H11" s="28" t="n">
        <f aca="false">IF(ISNUMBER(G11),G11,IF(AND(ISNUMBER(C11),ISNUMBER(E11),ISNUMBER(D11),D11&lt;&gt;0,E11&lt;&gt;0),C11/E11/D11,IF(AND(ISNUMBER(F11),ISNUMBER(D11),D11&lt;&gt;0),F11/D11,"")))</f>
        <v>1.85</v>
      </c>
      <c r="I11" s="29" t="n">
        <f aca="false">IF(ISNUMBER(H11),H11*1000/12,"")</f>
        <v>154.166666666667</v>
      </c>
      <c r="J11" s="20" t="s">
        <v>280</v>
      </c>
    </row>
    <row r="12" customFormat="false" ht="15" hidden="false" customHeight="true" outlineLevel="0" collapsed="false">
      <c r="A12" s="11" t="s">
        <v>14</v>
      </c>
      <c r="B12" s="26" t="s">
        <v>281</v>
      </c>
      <c r="C12" s="15" t="n">
        <v>1100</v>
      </c>
      <c r="D12" s="9" t="n">
        <v>72.5</v>
      </c>
      <c r="E12" s="9" t="n">
        <v>10</v>
      </c>
      <c r="F12" s="15"/>
      <c r="G12" s="27"/>
      <c r="H12" s="28" t="n">
        <f aca="false">IF(ISNUMBER(G12),G12,IF(AND(ISNUMBER(C12),ISNUMBER(E12),ISNUMBER(D12),D12&lt;&gt;0,E12&lt;&gt;0),C12/E12/D12,IF(AND(ISNUMBER(F12),ISNUMBER(D12),D12&lt;&gt;0),F12/D12,"")))</f>
        <v>1.51724137931034</v>
      </c>
      <c r="I12" s="29" t="n">
        <f aca="false">IF(ISNUMBER(H12),H12*1000/12,"")</f>
        <v>126.436781609195</v>
      </c>
      <c r="J12" s="20" t="s">
        <v>282</v>
      </c>
    </row>
    <row r="13" customFormat="false" ht="15" hidden="false" customHeight="true" outlineLevel="0" collapsed="false">
      <c r="A13" s="11" t="s">
        <v>15</v>
      </c>
      <c r="B13" s="26" t="s">
        <v>283</v>
      </c>
      <c r="C13" s="15" t="n">
        <v>9800</v>
      </c>
      <c r="D13" s="9" t="n">
        <v>352</v>
      </c>
      <c r="E13" s="9" t="n">
        <v>15</v>
      </c>
      <c r="F13" s="15"/>
      <c r="G13" s="27"/>
      <c r="H13" s="28" t="n">
        <f aca="false">IF(ISNUMBER(G13),G13,IF(AND(ISNUMBER(C13),ISNUMBER(E13),ISNUMBER(D13),D13&lt;&gt;0,E13&lt;&gt;0),C13/E13/D13,IF(AND(ISNUMBER(F13),ISNUMBER(D13),D13&lt;&gt;0),F13/D13,"")))</f>
        <v>1.85606060606061</v>
      </c>
      <c r="I13" s="29" t="n">
        <f aca="false">IF(ISNUMBER(H13),H13*1000/12,"")</f>
        <v>154.671717171717</v>
      </c>
      <c r="J13" s="20" t="s">
        <v>284</v>
      </c>
    </row>
    <row r="14" customFormat="false" ht="15" hidden="false" customHeight="true" outlineLevel="0" collapsed="false">
      <c r="A14" s="11" t="s">
        <v>15</v>
      </c>
      <c r="B14" s="26" t="s">
        <v>285</v>
      </c>
      <c r="C14" s="15"/>
      <c r="D14" s="9" t="n">
        <v>949</v>
      </c>
      <c r="E14" s="9"/>
      <c r="F14" s="15" t="n">
        <v>1750</v>
      </c>
      <c r="G14" s="27"/>
      <c r="H14" s="28" t="n">
        <f aca="false">IF(ISNUMBER(G14),G14,IF(AND(ISNUMBER(C14),ISNUMBER(E14),ISNUMBER(D14),D14&lt;&gt;0,E14&lt;&gt;0),C14/E14/D14,IF(AND(ISNUMBER(F14),ISNUMBER(D14),D14&lt;&gt;0),F14/D14,"")))</f>
        <v>1.84404636459431</v>
      </c>
      <c r="I14" s="29" t="n">
        <f aca="false">IF(ISNUMBER(H14),H14*1000/12,"")</f>
        <v>153.670530382859</v>
      </c>
      <c r="J14" s="20" t="s">
        <v>286</v>
      </c>
    </row>
    <row r="15" customFormat="false" ht="15" hidden="false" customHeight="true" outlineLevel="0" collapsed="false">
      <c r="A15" s="11" t="s">
        <v>210</v>
      </c>
      <c r="B15" s="26" t="s">
        <v>287</v>
      </c>
      <c r="C15" s="15" t="n">
        <v>10400</v>
      </c>
      <c r="D15" s="9" t="n">
        <v>526</v>
      </c>
      <c r="E15" s="9" t="n">
        <v>15</v>
      </c>
      <c r="F15" s="15"/>
      <c r="G15" s="27"/>
      <c r="H15" s="28" t="n">
        <f aca="false">IF(ISNUMBER(G15),G15,IF(AND(ISNUMBER(C15),ISNUMBER(E15),ISNUMBER(D15),D15&lt;&gt;0,E15&lt;&gt;0),C15/E15/D15,IF(AND(ISNUMBER(F15),ISNUMBER(D15),D15&lt;&gt;0),F15/D15,"")))</f>
        <v>1.31812420785805</v>
      </c>
      <c r="I15" s="29" t="n">
        <f aca="false">IF(ISNUMBER(H15),H15*1000/12,"")</f>
        <v>109.843683988171</v>
      </c>
      <c r="J15" s="20" t="s">
        <v>288</v>
      </c>
    </row>
    <row r="16" customFormat="false" ht="15" hidden="false" customHeight="true" outlineLevel="0" collapsed="false">
      <c r="A16" s="11" t="s">
        <v>17</v>
      </c>
      <c r="B16" s="26" t="s">
        <v>289</v>
      </c>
      <c r="C16" s="15"/>
      <c r="D16" s="9" t="n">
        <v>590</v>
      </c>
      <c r="E16" s="9"/>
      <c r="F16" s="15" t="n">
        <v>850</v>
      </c>
      <c r="G16" s="27"/>
      <c r="H16" s="28" t="n">
        <f aca="false">IF(ISNUMBER(G16),G16,IF(AND(ISNUMBER(C16),ISNUMBER(E16),ISNUMBER(D16),D16&lt;&gt;0,E16&lt;&gt;0),C16/E16/D16,IF(AND(ISNUMBER(F16),ISNUMBER(D16),D16&lt;&gt;0),F16/D16,"")))</f>
        <v>1.44067796610169</v>
      </c>
      <c r="I16" s="29" t="n">
        <f aca="false">IF(ISNUMBER(H16),H16*1000/12,"")</f>
        <v>120.056497175141</v>
      </c>
      <c r="J16" s="20" t="s">
        <v>290</v>
      </c>
    </row>
    <row r="17" customFormat="false" ht="15" hidden="false" customHeight="true" outlineLevel="0" collapsed="false">
      <c r="A17" s="11" t="s">
        <v>17</v>
      </c>
      <c r="B17" s="26" t="s">
        <v>291</v>
      </c>
      <c r="C17" s="15" t="n">
        <v>14000</v>
      </c>
      <c r="D17" s="9" t="n">
        <v>530</v>
      </c>
      <c r="E17" s="9" t="n">
        <v>15</v>
      </c>
      <c r="F17" s="15"/>
      <c r="G17" s="27"/>
      <c r="H17" s="28" t="n">
        <f aca="false">IF(ISNUMBER(G17),G17,IF(AND(ISNUMBER(C17),ISNUMBER(E17),ISNUMBER(D17),D17&lt;&gt;0,E17&lt;&gt;0),C17/E17/D17,IF(AND(ISNUMBER(F17),ISNUMBER(D17),D17&lt;&gt;0),F17/D17,"")))</f>
        <v>1.76100628930818</v>
      </c>
      <c r="I17" s="29" t="n">
        <f aca="false">IF(ISNUMBER(H17),H17*1000/12,"")</f>
        <v>146.750524109015</v>
      </c>
      <c r="J17" s="20" t="s">
        <v>292</v>
      </c>
    </row>
    <row r="18" customFormat="false" ht="15" hidden="false" customHeight="true" outlineLevel="0" collapsed="false">
      <c r="A18" s="11" t="s">
        <v>215</v>
      </c>
      <c r="B18" s="26" t="s">
        <v>293</v>
      </c>
      <c r="C18" s="15" t="n">
        <v>9100</v>
      </c>
      <c r="D18" s="9" t="n">
        <v>191</v>
      </c>
      <c r="E18" s="9" t="n">
        <v>20</v>
      </c>
      <c r="F18" s="15"/>
      <c r="G18" s="27"/>
      <c r="H18" s="28" t="n">
        <f aca="false">IF(ISNUMBER(G18),G18,IF(AND(ISNUMBER(C18),ISNUMBER(E18),ISNUMBER(D18),D18&lt;&gt;0,E18&lt;&gt;0),C18/E18/D18,IF(AND(ISNUMBER(F18),ISNUMBER(D18),D18&lt;&gt;0),F18/D18,"")))</f>
        <v>2.38219895287958</v>
      </c>
      <c r="I18" s="29" t="n">
        <f aca="false">IF(ISNUMBER(H18),H18*1000/12,"")</f>
        <v>198.516579406632</v>
      </c>
      <c r="J18" s="20" t="s">
        <v>294</v>
      </c>
    </row>
    <row r="19" customFormat="false" ht="15" hidden="false" customHeight="true" outlineLevel="0" collapsed="false">
      <c r="A19" s="11" t="s">
        <v>23</v>
      </c>
      <c r="B19" s="26" t="s">
        <v>295</v>
      </c>
      <c r="C19" s="15"/>
      <c r="D19" s="9" t="n">
        <v>950</v>
      </c>
      <c r="E19" s="9"/>
      <c r="F19" s="15" t="n">
        <v>1900</v>
      </c>
      <c r="G19" s="27"/>
      <c r="H19" s="28" t="n">
        <f aca="false">IF(ISNUMBER(G19),G19,IF(AND(ISNUMBER(C19),ISNUMBER(E19),ISNUMBER(D19),D19&lt;&gt;0,E19&lt;&gt;0),C19/E19/D19,IF(AND(ISNUMBER(F19),ISNUMBER(D19),D19&lt;&gt;0),F19/D19,"")))</f>
        <v>2</v>
      </c>
      <c r="I19" s="29" t="n">
        <f aca="false">IF(ISNUMBER(H19),H19*1000/12,"")</f>
        <v>166.666666666667</v>
      </c>
      <c r="J19" s="20" t="s">
        <v>296</v>
      </c>
    </row>
    <row r="20" customFormat="false" ht="15" hidden="false" customHeight="true" outlineLevel="0" collapsed="false">
      <c r="B20" s="7" t="s">
        <v>297</v>
      </c>
      <c r="H20" s="28" t="n">
        <f aca="false">AVERAGE(H6:H19)</f>
        <v>1.76604429798564</v>
      </c>
      <c r="I20" s="29" t="n">
        <f aca="false">IF(ISNUMBER(H20),H20*1000/12,"")</f>
        <v>147.17035816547</v>
      </c>
      <c r="J20" s="30" t="s">
        <v>298</v>
      </c>
      <c r="K20" s="28" t="n">
        <f aca="false">MEDIAN(H6:H19)</f>
        <v>1.77336028751123</v>
      </c>
    </row>
    <row r="22" customFormat="false" ht="15" hidden="false" customHeight="true" outlineLevel="0" collapsed="false">
      <c r="A22" s="23" t="s">
        <v>299</v>
      </c>
      <c r="B22" s="24"/>
      <c r="C22" s="24"/>
      <c r="D22" s="24"/>
      <c r="E22" s="24"/>
      <c r="F22" s="24"/>
      <c r="G22" s="24"/>
      <c r="H22" s="24"/>
      <c r="I22" s="24"/>
      <c r="J22" s="24"/>
    </row>
    <row r="23" customFormat="false" ht="15" hidden="false" customHeight="true" outlineLevel="0" collapsed="false">
      <c r="A23" s="11" t="s">
        <v>300</v>
      </c>
      <c r="B23" s="26" t="s">
        <v>301</v>
      </c>
      <c r="C23" s="15" t="n">
        <v>300000</v>
      </c>
      <c r="D23" s="9" t="n">
        <v>4500</v>
      </c>
      <c r="E23" s="9" t="n">
        <v>5</v>
      </c>
      <c r="F23" s="15"/>
      <c r="G23" s="27"/>
      <c r="H23" s="28" t="n">
        <f aca="false">IF(ISNUMBER(G23),G23,IF(AND(ISNUMBER(C23),ISNUMBER(E23),ISNUMBER(D23),D23&lt;&gt;0,E23&lt;&gt;0),C23/E23/D23,IF(AND(ISNUMBER(F23),ISNUMBER(D23),D23&lt;&gt;0),F23/D23,"")))</f>
        <v>13.3333333333333</v>
      </c>
      <c r="I23" s="29" t="n">
        <f aca="false">IF(ISNUMBER(H23),H23*1000/12,"")</f>
        <v>1111.11111111111</v>
      </c>
      <c r="J23" s="20" t="s">
        <v>302</v>
      </c>
    </row>
    <row r="24" customFormat="false" ht="15" hidden="false" customHeight="true" outlineLevel="0" collapsed="false">
      <c r="A24" s="11" t="s">
        <v>10</v>
      </c>
      <c r="B24" s="26" t="s">
        <v>303</v>
      </c>
      <c r="C24" s="15"/>
      <c r="D24" s="9"/>
      <c r="E24" s="9"/>
      <c r="F24" s="15"/>
      <c r="G24" s="27" t="n">
        <v>22.5</v>
      </c>
      <c r="H24" s="28" t="n">
        <f aca="false">IF(ISNUMBER(G24),G24,IF(AND(ISNUMBER(C24),ISNUMBER(E24),ISNUMBER(D24),D24&lt;&gt;0,E24&lt;&gt;0),C24/E24/D24,IF(AND(ISNUMBER(F24),ISNUMBER(D24),D24&lt;&gt;0),F24/D24,"")))</f>
        <v>22.5</v>
      </c>
      <c r="I24" s="29" t="n">
        <f aca="false">IF(ISNUMBER(H24),H24*1000/12,"")</f>
        <v>1875</v>
      </c>
      <c r="J24" s="20" t="s">
        <v>304</v>
      </c>
    </row>
    <row r="25" customFormat="false" ht="15" hidden="false" customHeight="true" outlineLevel="0" collapsed="false">
      <c r="A25" s="11" t="s">
        <v>10</v>
      </c>
      <c r="B25" s="26" t="s">
        <v>305</v>
      </c>
      <c r="C25" s="15" t="n">
        <v>17400</v>
      </c>
      <c r="D25" s="9" t="n">
        <v>300</v>
      </c>
      <c r="E25" s="9" t="n">
        <v>5</v>
      </c>
      <c r="F25" s="15"/>
      <c r="G25" s="27"/>
      <c r="H25" s="28" t="n">
        <f aca="false">IF(ISNUMBER(G25),G25,IF(AND(ISNUMBER(C25),ISNUMBER(E25),ISNUMBER(D25),D25&lt;&gt;0,E25&lt;&gt;0),C25/E25/D25,IF(AND(ISNUMBER(F25),ISNUMBER(D25),D25&lt;&gt;0),F25/D25,"")))</f>
        <v>11.6</v>
      </c>
      <c r="I25" s="29" t="n">
        <f aca="false">IF(ISNUMBER(H25),H25*1000/12,"")</f>
        <v>966.666666666667</v>
      </c>
      <c r="J25" s="20" t="s">
        <v>306</v>
      </c>
    </row>
    <row r="26" customFormat="false" ht="15" hidden="false" customHeight="true" outlineLevel="0" collapsed="false">
      <c r="A26" s="11" t="s">
        <v>11</v>
      </c>
      <c r="B26" s="26" t="s">
        <v>307</v>
      </c>
      <c r="C26" s="15" t="n">
        <v>9700</v>
      </c>
      <c r="D26" s="9" t="n">
        <v>200</v>
      </c>
      <c r="E26" s="9" t="n">
        <v>5</v>
      </c>
      <c r="F26" s="15"/>
      <c r="G26" s="27"/>
      <c r="H26" s="28" t="n">
        <f aca="false">IF(ISNUMBER(G26),G26,IF(AND(ISNUMBER(C26),ISNUMBER(E26),ISNUMBER(D26),D26&lt;&gt;0,E26&lt;&gt;0),C26/E26/D26,IF(AND(ISNUMBER(F26),ISNUMBER(D26),D26&lt;&gt;0),F26/D26,"")))</f>
        <v>9.7</v>
      </c>
      <c r="I26" s="29" t="n">
        <f aca="false">IF(ISNUMBER(H26),H26*1000/12,"")</f>
        <v>808.333333333333</v>
      </c>
      <c r="J26" s="20" t="s">
        <v>308</v>
      </c>
    </row>
    <row r="27" customFormat="false" ht="15" hidden="false" customHeight="true" outlineLevel="0" collapsed="false">
      <c r="A27" s="11" t="s">
        <v>11</v>
      </c>
      <c r="B27" s="26" t="s">
        <v>309</v>
      </c>
      <c r="C27" s="15"/>
      <c r="D27" s="9" t="n">
        <v>300</v>
      </c>
      <c r="E27" s="9"/>
      <c r="F27" s="15" t="n">
        <v>4000</v>
      </c>
      <c r="G27" s="27"/>
      <c r="H27" s="28" t="n">
        <f aca="false">IF(ISNUMBER(G27),G27,IF(AND(ISNUMBER(C27),ISNUMBER(E27),ISNUMBER(D27),D27&lt;&gt;0,E27&lt;&gt;0),C27/E27/D27,IF(AND(ISNUMBER(F27),ISNUMBER(D27),D27&lt;&gt;0),F27/D27,"")))</f>
        <v>13.3333333333333</v>
      </c>
      <c r="I27" s="29" t="n">
        <f aca="false">IF(ISNUMBER(H27),H27*1000/12,"")</f>
        <v>1111.11111111111</v>
      </c>
      <c r="J27" s="20" t="s">
        <v>310</v>
      </c>
    </row>
    <row r="28" customFormat="false" ht="15" hidden="false" customHeight="true" outlineLevel="0" collapsed="false">
      <c r="A28" s="11" t="s">
        <v>9</v>
      </c>
      <c r="B28" s="26" t="s">
        <v>311</v>
      </c>
      <c r="C28" s="15"/>
      <c r="D28" s="9" t="n">
        <v>1850</v>
      </c>
      <c r="E28" s="9"/>
      <c r="F28" s="15" t="n">
        <v>19000</v>
      </c>
      <c r="G28" s="27"/>
      <c r="H28" s="28" t="n">
        <f aca="false">IF(ISNUMBER(G28),G28,IF(AND(ISNUMBER(C28),ISNUMBER(E28),ISNUMBER(D28),D28&lt;&gt;0,E28&lt;&gt;0),C28/E28/D28,IF(AND(ISNUMBER(F28),ISNUMBER(D28),D28&lt;&gt;0),F28/D28,"")))</f>
        <v>10.2702702702703</v>
      </c>
      <c r="I28" s="29" t="n">
        <f aca="false">IF(ISNUMBER(H28),H28*1000/12,"")</f>
        <v>855.855855855856</v>
      </c>
      <c r="J28" s="20" t="s">
        <v>312</v>
      </c>
    </row>
    <row r="29" customFormat="false" ht="15" hidden="false" customHeight="true" outlineLevel="0" collapsed="false">
      <c r="A29" s="11" t="s">
        <v>313</v>
      </c>
      <c r="B29" s="26" t="s">
        <v>314</v>
      </c>
      <c r="C29" s="15" t="n">
        <v>30000</v>
      </c>
      <c r="D29" s="9" t="n">
        <v>1000</v>
      </c>
      <c r="E29" s="9"/>
      <c r="F29" s="15"/>
      <c r="G29" s="27"/>
      <c r="H29" s="28" t="str">
        <f aca="false">IF(ISNUMBER(G29),G29,IF(AND(ISNUMBER(C29),ISNUMBER(E29),ISNUMBER(D29),D29&lt;&gt;0,E29&lt;&gt;0),C29/E29/D29,IF(AND(ISNUMBER(F29),ISNUMBER(D29),D29&lt;&gt;0),F29/D29,"")))</f>
        <v/>
      </c>
      <c r="I29" s="29" t="str">
        <f aca="false">IF(ISNUMBER(H29),H29*1000/12,"")</f>
        <v/>
      </c>
      <c r="J29" s="20" t="s">
        <v>315</v>
      </c>
    </row>
    <row r="30" customFormat="false" ht="18.75" hidden="false" customHeight="true" outlineLevel="0" collapsed="false">
      <c r="A30" s="11" t="s">
        <v>232</v>
      </c>
      <c r="B30" s="26" t="s">
        <v>316</v>
      </c>
      <c r="C30" s="15" t="n">
        <v>100000</v>
      </c>
      <c r="D30" s="9" t="n">
        <v>5000</v>
      </c>
      <c r="E30" s="9" t="n">
        <v>10</v>
      </c>
      <c r="F30" s="15"/>
      <c r="G30" s="27"/>
      <c r="H30" s="28" t="n">
        <f aca="false">IF(ISNUMBER(G30),G30,IF(AND(ISNUMBER(C30),ISNUMBER(E30),ISNUMBER(D30),D30&lt;&gt;0,E30&lt;&gt;0),C30/E30/D30,IF(AND(ISNUMBER(F30),ISNUMBER(D30),D30&lt;&gt;0),F30/D30,"")))</f>
        <v>2</v>
      </c>
      <c r="I30" s="29" t="n">
        <f aca="false">IF(ISNUMBER(H30),H30*1000/12,"")</f>
        <v>166.666666666667</v>
      </c>
      <c r="J30" s="20" t="s">
        <v>317</v>
      </c>
    </row>
    <row r="31" customFormat="false" ht="15" hidden="false" customHeight="true" outlineLevel="0" collapsed="false">
      <c r="B31" s="7" t="s">
        <v>318</v>
      </c>
      <c r="H31" s="28" t="n">
        <f aca="false">AVERAGE(H23:H29)</f>
        <v>13.4561561561562</v>
      </c>
      <c r="I31" s="29" t="n">
        <f aca="false">IF(ISNUMBER(H31),H31*1000/12,"")</f>
        <v>1121.34634634635</v>
      </c>
    </row>
    <row r="33" customFormat="false" ht="15" hidden="false" customHeight="true" outlineLevel="0" collapsed="false">
      <c r="A33" s="23" t="s">
        <v>319</v>
      </c>
      <c r="B33" s="24"/>
      <c r="C33" s="24"/>
      <c r="D33" s="24"/>
      <c r="E33" s="24"/>
      <c r="F33" s="24"/>
      <c r="G33" s="24"/>
      <c r="H33" s="24"/>
      <c r="I33" s="24"/>
      <c r="J33" s="24"/>
    </row>
    <row r="34" customFormat="false" ht="18.75" hidden="false" customHeight="true" outlineLevel="0" collapsed="false">
      <c r="B34" s="11" t="s">
        <v>320</v>
      </c>
      <c r="H34" s="31" t="n">
        <v>30</v>
      </c>
      <c r="J34" s="20" t="s">
        <v>321</v>
      </c>
    </row>
    <row r="35" customFormat="false" ht="15" hidden="false" customHeight="true" outlineLevel="0" collapsed="false">
      <c r="B35" s="11" t="s">
        <v>322</v>
      </c>
      <c r="H35" s="31" t="n">
        <v>55000</v>
      </c>
      <c r="J35" s="20" t="s">
        <v>323</v>
      </c>
    </row>
    <row r="36" customFormat="false" ht="15" hidden="false" customHeight="true" outlineLevel="0" collapsed="false">
      <c r="B36" s="11" t="s">
        <v>324</v>
      </c>
      <c r="H36" s="31" t="n">
        <v>5</v>
      </c>
      <c r="J36" s="20" t="s">
        <v>325</v>
      </c>
    </row>
    <row r="37" customFormat="false" ht="15" hidden="false" customHeight="true" outlineLevel="0" collapsed="false">
      <c r="B37" s="11" t="s">
        <v>326</v>
      </c>
      <c r="H37" s="28" t="n">
        <f aca="false">H35/H36/1000</f>
        <v>11</v>
      </c>
      <c r="J37" s="30" t="s">
        <v>327</v>
      </c>
    </row>
    <row r="38" customFormat="false" ht="15" hidden="false" customHeight="true" outlineLevel="0" collapsed="false">
      <c r="B38" s="11" t="s">
        <v>328</v>
      </c>
      <c r="H38" s="28" t="n">
        <f aca="false">H20+H37</f>
        <v>12.7660442979856</v>
      </c>
      <c r="J38" s="30" t="s">
        <v>329</v>
      </c>
    </row>
    <row r="39" customFormat="false" ht="15" hidden="false" customHeight="true" outlineLevel="0" collapsed="false">
      <c r="B39" s="11" t="s">
        <v>330</v>
      </c>
      <c r="H39" s="32" t="n">
        <f aca="false">H31/H20</f>
        <v>7.61937634945188</v>
      </c>
    </row>
    <row r="41" customFormat="false" ht="15" hidden="false" customHeight="true" outlineLevel="0" collapsed="false">
      <c r="A41" s="33" t="s">
        <v>331</v>
      </c>
      <c r="B41" s="33"/>
      <c r="C41" s="33"/>
      <c r="D41" s="33"/>
      <c r="E41" s="33"/>
      <c r="F41" s="33"/>
      <c r="G41" s="33"/>
      <c r="H41" s="33"/>
      <c r="I41" s="33"/>
      <c r="J41" s="33"/>
    </row>
    <row r="42" customFormat="false" ht="15" hidden="false" customHeight="true" outlineLevel="0" collapsed="false">
      <c r="A42" s="33"/>
      <c r="B42" s="33"/>
      <c r="C42" s="33"/>
      <c r="D42" s="33"/>
      <c r="E42" s="33"/>
      <c r="F42" s="33"/>
      <c r="G42" s="33"/>
      <c r="H42" s="33"/>
      <c r="I42" s="33"/>
      <c r="J42" s="33"/>
    </row>
    <row r="43" customFormat="false" ht="15" hidden="false" customHeight="true" outlineLevel="0" collapsed="false">
      <c r="A43" s="33"/>
      <c r="B43" s="33"/>
      <c r="C43" s="33"/>
      <c r="D43" s="33"/>
      <c r="E43" s="33"/>
      <c r="F43" s="33"/>
      <c r="G43" s="33"/>
      <c r="H43" s="33"/>
      <c r="I43" s="33"/>
      <c r="J43" s="33"/>
    </row>
  </sheetData>
  <mergeCells count="2">
    <mergeCell ref="A2:J2"/>
    <mergeCell ref="A41: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5" min="2" style="1" width="14"/>
  </cols>
  <sheetData>
    <row r="1" customFormat="false" ht="15" hidden="false" customHeight="true" outlineLevel="0" collapsed="false">
      <c r="A1" s="34" t="s">
        <v>332</v>
      </c>
    </row>
    <row r="3" customFormat="false" ht="15" hidden="false" customHeight="true" outlineLevel="0" collapsed="false">
      <c r="A3" s="35" t="s">
        <v>333</v>
      </c>
      <c r="B3" s="35" t="s">
        <v>9</v>
      </c>
      <c r="C3" s="35" t="s">
        <v>10</v>
      </c>
      <c r="D3" s="35" t="s">
        <v>334</v>
      </c>
      <c r="E3" s="35" t="s">
        <v>335</v>
      </c>
    </row>
    <row r="4" customFormat="false" ht="15" hidden="false" customHeight="true" outlineLevel="0" collapsed="false">
      <c r="A4" s="11" t="s">
        <v>336</v>
      </c>
      <c r="B4" s="15" t="n">
        <v>72887</v>
      </c>
      <c r="C4" s="15" t="n">
        <v>46566</v>
      </c>
      <c r="D4" s="15" t="n">
        <v>26321</v>
      </c>
      <c r="E4" s="36" t="s">
        <v>337</v>
      </c>
    </row>
    <row r="5" customFormat="false" ht="15" hidden="false" customHeight="true" outlineLevel="0" collapsed="false">
      <c r="A5" s="11" t="s">
        <v>60</v>
      </c>
      <c r="B5" s="15" t="n">
        <v>3500</v>
      </c>
      <c r="C5" s="15" t="n">
        <v>3500</v>
      </c>
      <c r="D5" s="36"/>
      <c r="E5" s="36"/>
    </row>
    <row r="6" customFormat="false" ht="15" hidden="false" customHeight="true" outlineLevel="0" collapsed="false">
      <c r="A6" s="11" t="s">
        <v>61</v>
      </c>
      <c r="B6" s="15" t="n">
        <v>1000</v>
      </c>
      <c r="C6" s="37" t="n">
        <v>390</v>
      </c>
      <c r="D6" s="15" t="n">
        <v>610</v>
      </c>
      <c r="E6" s="36" t="s">
        <v>338</v>
      </c>
    </row>
    <row r="7" customFormat="false" ht="15" hidden="false" customHeight="true" outlineLevel="0" collapsed="false">
      <c r="A7" s="11" t="s">
        <v>62</v>
      </c>
      <c r="B7" s="15" t="n">
        <v>2500</v>
      </c>
      <c r="C7" s="15" t="n">
        <v>3110</v>
      </c>
      <c r="D7" s="15" t="n">
        <v>-610</v>
      </c>
      <c r="E7" s="36" t="s">
        <v>339</v>
      </c>
    </row>
    <row r="8" customFormat="false" ht="15" hidden="false" customHeight="true" outlineLevel="0" collapsed="false">
      <c r="A8" s="11" t="s">
        <v>63</v>
      </c>
      <c r="B8" s="36" t="s">
        <v>340</v>
      </c>
      <c r="C8" s="36" t="s">
        <v>341</v>
      </c>
      <c r="D8" s="36" t="s">
        <v>342</v>
      </c>
      <c r="E8" s="36"/>
    </row>
    <row r="9" customFormat="false" ht="15" hidden="false" customHeight="true" outlineLevel="0" collapsed="false">
      <c r="A9" s="11" t="s">
        <v>64</v>
      </c>
      <c r="B9" s="36" t="s">
        <v>343</v>
      </c>
      <c r="C9" s="36" t="s">
        <v>344</v>
      </c>
      <c r="D9" s="36" t="s">
        <v>345</v>
      </c>
      <c r="E9" s="36"/>
    </row>
    <row r="10" customFormat="false" ht="15" hidden="false" customHeight="true" outlineLevel="0" collapsed="false">
      <c r="A10" s="11" t="s">
        <v>346</v>
      </c>
      <c r="B10" s="15" t="n">
        <v>99400</v>
      </c>
      <c r="C10" s="15" t="n">
        <v>45000</v>
      </c>
      <c r="D10" s="15" t="n">
        <v>54400</v>
      </c>
      <c r="E10" s="36" t="s">
        <v>347</v>
      </c>
    </row>
    <row r="11" customFormat="false" ht="15" hidden="false" customHeight="true" outlineLevel="0" collapsed="false">
      <c r="A11" s="11" t="s">
        <v>67</v>
      </c>
      <c r="B11" s="37" t="n">
        <v>28.4</v>
      </c>
      <c r="C11" s="37" t="n">
        <v>12.9</v>
      </c>
      <c r="D11" s="37" t="n">
        <v>15.5</v>
      </c>
      <c r="E11" s="36" t="s">
        <v>347</v>
      </c>
    </row>
    <row r="12" customFormat="false" ht="15" hidden="false" customHeight="true" outlineLevel="0" collapsed="false">
      <c r="A12" s="11" t="s">
        <v>68</v>
      </c>
      <c r="B12" s="37" t="n">
        <v>20.8</v>
      </c>
      <c r="C12" s="37" t="n">
        <v>13.3</v>
      </c>
      <c r="D12" s="37" t="n">
        <v>7.5</v>
      </c>
      <c r="E12" s="36" t="s">
        <v>337</v>
      </c>
    </row>
    <row r="13" customFormat="false" ht="15" hidden="false" customHeight="true" outlineLevel="0" collapsed="false">
      <c r="A13" s="11" t="s">
        <v>69</v>
      </c>
      <c r="B13" s="37" t="n">
        <v>72.9</v>
      </c>
      <c r="C13" s="37" t="n">
        <v>119.4</v>
      </c>
      <c r="D13" s="37" t="n">
        <v>-46.5</v>
      </c>
      <c r="E13" s="36" t="s">
        <v>348</v>
      </c>
    </row>
    <row r="14" customFormat="false" ht="15" hidden="false" customHeight="true" outlineLevel="0" collapsed="false">
      <c r="A14" s="11" t="s">
        <v>70</v>
      </c>
      <c r="B14" s="37" t="n">
        <v>29.2</v>
      </c>
      <c r="C14" s="37" t="n">
        <v>15</v>
      </c>
      <c r="D14" s="37" t="n">
        <v>14.2</v>
      </c>
      <c r="E14" s="36" t="s">
        <v>349</v>
      </c>
    </row>
    <row r="15" customFormat="false" ht="15" hidden="false" customHeight="true" outlineLevel="0" collapsed="false">
      <c r="A15" s="11" t="s">
        <v>350</v>
      </c>
      <c r="B15" s="15" t="n">
        <v>15672</v>
      </c>
      <c r="C15" s="15" t="n">
        <v>5079</v>
      </c>
      <c r="D15" s="15" t="n">
        <v>10593</v>
      </c>
      <c r="E15" s="36" t="s">
        <v>351</v>
      </c>
    </row>
    <row r="16" customFormat="false" ht="15" hidden="false" customHeight="true" outlineLevel="0" collapsed="false">
      <c r="A16" s="11" t="s">
        <v>352</v>
      </c>
      <c r="B16" s="15" t="n">
        <v>9266</v>
      </c>
      <c r="C16" s="15" t="n">
        <v>2423</v>
      </c>
      <c r="D16" s="15" t="n">
        <v>6843</v>
      </c>
      <c r="E16" s="36" t="s">
        <v>353</v>
      </c>
    </row>
    <row r="17" customFormat="false" ht="15" hidden="false" customHeight="true" outlineLevel="0" collapsed="false">
      <c r="A17" s="11" t="s">
        <v>75</v>
      </c>
      <c r="B17" s="36" t="s">
        <v>354</v>
      </c>
      <c r="C17" s="36" t="s">
        <v>355</v>
      </c>
      <c r="D17" s="36" t="s">
        <v>356</v>
      </c>
      <c r="E17" s="36" t="s">
        <v>357</v>
      </c>
    </row>
    <row r="18" customFormat="false" ht="15" hidden="false" customHeight="true" outlineLevel="0" collapsed="false">
      <c r="A18" s="11" t="s">
        <v>73</v>
      </c>
      <c r="B18" s="36" t="s">
        <v>358</v>
      </c>
      <c r="C18" s="36" t="s">
        <v>359</v>
      </c>
      <c r="D18" s="36" t="s">
        <v>360</v>
      </c>
      <c r="E18" s="36" t="s">
        <v>361</v>
      </c>
    </row>
    <row r="19" customFormat="false" ht="15" hidden="false" customHeight="true" outlineLevel="0" collapsed="false">
      <c r="A19" s="11" t="s">
        <v>362</v>
      </c>
      <c r="B19" s="15" t="n">
        <v>-32881</v>
      </c>
      <c r="C19" s="37" t="n">
        <v>-198</v>
      </c>
      <c r="D19" s="15" t="n">
        <v>-32683</v>
      </c>
      <c r="E19" s="36"/>
    </row>
    <row r="20" customFormat="false" ht="15" hidden="false" customHeight="true" outlineLevel="0" collapsed="false">
      <c r="A20" s="11" t="s">
        <v>363</v>
      </c>
      <c r="B20" s="36"/>
      <c r="C20" s="37" t="n">
        <v>-1</v>
      </c>
      <c r="D20" s="37" t="n">
        <v>1</v>
      </c>
      <c r="E20" s="36"/>
    </row>
    <row r="21" customFormat="false" ht="15" hidden="false" customHeight="true" outlineLevel="0" collapsed="false">
      <c r="A21" s="11" t="s">
        <v>364</v>
      </c>
      <c r="B21" s="15" t="n">
        <v>40006</v>
      </c>
      <c r="C21" s="15" t="n">
        <v>46367</v>
      </c>
      <c r="D21" s="15" t="n">
        <v>-6361</v>
      </c>
      <c r="E21" s="36"/>
    </row>
    <row r="22" customFormat="false" ht="15" hidden="false" customHeight="true" outlineLevel="0" collapsed="false">
      <c r="A22" s="11" t="s">
        <v>365</v>
      </c>
      <c r="B22" s="37" t="n">
        <v>11.4</v>
      </c>
      <c r="C22" s="37" t="n">
        <v>13.2</v>
      </c>
      <c r="D22" s="37" t="n">
        <v>-1.8</v>
      </c>
      <c r="E22" s="36"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6"/>
    <col collapsed="false" customWidth="true" hidden="false" outlineLevel="0" max="2" min="2" style="1" width="9"/>
    <col collapsed="false" customWidth="true" hidden="false" outlineLevel="0" max="3" min="3" style="1" width="14"/>
    <col collapsed="false" customWidth="true" hidden="false" outlineLevel="0" max="4" min="4" style="1" width="70"/>
    <col collapsed="false" customWidth="true" hidden="false" outlineLevel="0" max="6" min="5" style="1" width="55"/>
    <col collapsed="false" customWidth="true" hidden="false" outlineLevel="0" max="7" min="7" style="1" width="10"/>
  </cols>
  <sheetData>
    <row r="1" customFormat="false" ht="15" hidden="false" customHeight="true" outlineLevel="0" collapsed="false">
      <c r="A1" s="35" t="s">
        <v>367</v>
      </c>
      <c r="B1" s="35" t="s">
        <v>368</v>
      </c>
      <c r="C1" s="35" t="s">
        <v>369</v>
      </c>
      <c r="D1" s="35" t="s">
        <v>370</v>
      </c>
      <c r="E1" s="35" t="s">
        <v>371</v>
      </c>
      <c r="F1" s="35" t="s">
        <v>372</v>
      </c>
      <c r="G1" s="35" t="s">
        <v>196</v>
      </c>
    </row>
    <row r="2" customFormat="false" ht="283.5" hidden="false" customHeight="true" outlineLevel="0" collapsed="false">
      <c r="A2" s="38" t="s">
        <v>9</v>
      </c>
      <c r="B2" s="38" t="s">
        <v>36</v>
      </c>
      <c r="C2" s="38" t="s">
        <v>373</v>
      </c>
      <c r="D2" s="38" t="s">
        <v>374</v>
      </c>
      <c r="E2" s="38" t="s">
        <v>375</v>
      </c>
      <c r="F2" s="38" t="s">
        <v>376</v>
      </c>
      <c r="G2" s="38" t="s">
        <v>377</v>
      </c>
    </row>
    <row r="3" customFormat="false" ht="273" hidden="false" customHeight="true" outlineLevel="0" collapsed="false">
      <c r="A3" s="38" t="s">
        <v>378</v>
      </c>
      <c r="B3" s="38" t="s">
        <v>37</v>
      </c>
      <c r="C3" s="38" t="s">
        <v>379</v>
      </c>
      <c r="D3" s="38" t="s">
        <v>380</v>
      </c>
      <c r="E3" s="38" t="s">
        <v>381</v>
      </c>
      <c r="F3" s="38" t="s">
        <v>382</v>
      </c>
      <c r="G3" s="38" t="s">
        <v>377</v>
      </c>
    </row>
    <row r="4" customFormat="false" ht="231" hidden="false" customHeight="true" outlineLevel="0" collapsed="false">
      <c r="A4" s="38" t="s">
        <v>383</v>
      </c>
      <c r="B4" s="38" t="s">
        <v>48</v>
      </c>
      <c r="C4" s="38" t="s">
        <v>384</v>
      </c>
      <c r="D4" s="38" t="s">
        <v>385</v>
      </c>
      <c r="E4" s="38" t="s">
        <v>386</v>
      </c>
      <c r="F4" s="38" t="s">
        <v>387</v>
      </c>
      <c r="G4" s="38" t="s">
        <v>377</v>
      </c>
    </row>
    <row r="5" customFormat="false" ht="283.5" hidden="false" customHeight="true" outlineLevel="0" collapsed="false">
      <c r="A5" s="38" t="s">
        <v>388</v>
      </c>
      <c r="B5" s="38" t="s">
        <v>389</v>
      </c>
      <c r="C5" s="38" t="s">
        <v>390</v>
      </c>
      <c r="D5" s="38" t="s">
        <v>391</v>
      </c>
      <c r="E5" s="38" t="s">
        <v>392</v>
      </c>
      <c r="F5" s="38" t="s">
        <v>393</v>
      </c>
      <c r="G5" s="38" t="s">
        <v>394</v>
      </c>
    </row>
    <row r="6" customFormat="false" ht="303.75" hidden="false" customHeight="true" outlineLevel="0" collapsed="false">
      <c r="A6" s="38" t="s">
        <v>26</v>
      </c>
      <c r="B6" s="38" t="s">
        <v>50</v>
      </c>
      <c r="C6" s="38" t="s">
        <v>395</v>
      </c>
      <c r="D6" s="38" t="s">
        <v>396</v>
      </c>
      <c r="E6" s="38" t="s">
        <v>397</v>
      </c>
      <c r="F6" s="38" t="s">
        <v>398</v>
      </c>
      <c r="G6" s="38" t="s">
        <v>377</v>
      </c>
    </row>
    <row r="7" customFormat="false" ht="303.75" hidden="false" customHeight="true" outlineLevel="0" collapsed="false">
      <c r="A7" s="38" t="s">
        <v>399</v>
      </c>
      <c r="B7" s="38" t="s">
        <v>51</v>
      </c>
      <c r="C7" s="38" t="s">
        <v>400</v>
      </c>
      <c r="D7" s="38" t="s">
        <v>401</v>
      </c>
      <c r="E7" s="38" t="s">
        <v>402</v>
      </c>
      <c r="F7" s="38" t="s">
        <v>403</v>
      </c>
      <c r="G7" s="38" t="s">
        <v>377</v>
      </c>
    </row>
    <row r="8" customFormat="false" ht="273" hidden="false" customHeight="true" outlineLevel="0" collapsed="false">
      <c r="A8" s="38" t="s">
        <v>404</v>
      </c>
      <c r="B8" s="38" t="s">
        <v>52</v>
      </c>
      <c r="C8" s="38" t="s">
        <v>405</v>
      </c>
      <c r="D8" s="38" t="s">
        <v>406</v>
      </c>
      <c r="E8" s="38" t="s">
        <v>407</v>
      </c>
      <c r="F8" s="38" t="s">
        <v>408</v>
      </c>
      <c r="G8" s="38" t="s">
        <v>377</v>
      </c>
    </row>
    <row r="9" customFormat="false" ht="366" hidden="false" customHeight="true" outlineLevel="0" collapsed="false">
      <c r="A9" s="38" t="s">
        <v>409</v>
      </c>
      <c r="B9" s="38" t="s">
        <v>11</v>
      </c>
      <c r="C9" s="38" t="s">
        <v>410</v>
      </c>
      <c r="D9" s="38" t="s">
        <v>411</v>
      </c>
      <c r="E9" s="38" t="s">
        <v>412</v>
      </c>
      <c r="F9" s="38" t="s">
        <v>413</v>
      </c>
      <c r="G9" s="38" t="s">
        <v>377</v>
      </c>
    </row>
    <row r="10" customFormat="false" ht="137.25" hidden="false" customHeight="true" outlineLevel="0" collapsed="false">
      <c r="A10" s="38" t="s">
        <v>414</v>
      </c>
      <c r="B10" s="38" t="s">
        <v>415</v>
      </c>
      <c r="C10" s="38" t="s">
        <v>416</v>
      </c>
      <c r="D10" s="38" t="s">
        <v>417</v>
      </c>
      <c r="E10" s="38" t="s">
        <v>418</v>
      </c>
      <c r="F10" s="38" t="s">
        <v>419</v>
      </c>
      <c r="G10" s="38" t="s">
        <v>394</v>
      </c>
    </row>
    <row r="11" customFormat="false" ht="157.5" hidden="false" customHeight="true" outlineLevel="0" collapsed="false">
      <c r="A11" s="38" t="s">
        <v>420</v>
      </c>
      <c r="B11" s="38" t="s">
        <v>421</v>
      </c>
      <c r="C11" s="38" t="s">
        <v>416</v>
      </c>
      <c r="D11" s="38" t="s">
        <v>422</v>
      </c>
      <c r="E11" s="38" t="s">
        <v>423</v>
      </c>
      <c r="F11" s="38" t="s">
        <v>424</v>
      </c>
      <c r="G11" s="38" t="s">
        <v>377</v>
      </c>
    </row>
    <row r="12" customFormat="false" ht="147.75" hidden="false" customHeight="true" outlineLevel="0" collapsed="false">
      <c r="A12" s="38" t="s">
        <v>425</v>
      </c>
      <c r="B12" s="38" t="s">
        <v>426</v>
      </c>
      <c r="C12" s="38" t="s">
        <v>416</v>
      </c>
      <c r="D12" s="38" t="s">
        <v>427</v>
      </c>
      <c r="E12" s="38" t="s">
        <v>428</v>
      </c>
      <c r="F12" s="38" t="s">
        <v>429</v>
      </c>
      <c r="G12" s="38" t="s">
        <v>394</v>
      </c>
    </row>
    <row r="13" customFormat="false" ht="116.25" hidden="false" customHeight="true" outlineLevel="0" collapsed="false">
      <c r="A13" s="38" t="s">
        <v>430</v>
      </c>
      <c r="B13" s="38" t="s">
        <v>41</v>
      </c>
      <c r="C13" s="38" t="s">
        <v>431</v>
      </c>
      <c r="D13" s="38" t="s">
        <v>432</v>
      </c>
      <c r="E13" s="38" t="s">
        <v>433</v>
      </c>
      <c r="F13" s="38" t="s">
        <v>434</v>
      </c>
      <c r="G13" s="38" t="s">
        <v>394</v>
      </c>
    </row>
    <row r="14" customFormat="false" ht="116.25" hidden="false" customHeight="true" outlineLevel="0" collapsed="false">
      <c r="A14" s="38" t="s">
        <v>435</v>
      </c>
      <c r="B14" s="38" t="s">
        <v>42</v>
      </c>
      <c r="C14" s="38" t="s">
        <v>431</v>
      </c>
      <c r="D14" s="38" t="s">
        <v>436</v>
      </c>
      <c r="E14" s="38" t="s">
        <v>437</v>
      </c>
      <c r="F14" s="38" t="s">
        <v>438</v>
      </c>
      <c r="G14" s="38" t="s">
        <v>377</v>
      </c>
    </row>
    <row r="15" customFormat="false" ht="137.25" hidden="false" customHeight="true" outlineLevel="0" collapsed="false">
      <c r="A15" s="38" t="s">
        <v>439</v>
      </c>
      <c r="B15" s="38" t="s">
        <v>43</v>
      </c>
      <c r="C15" s="38" t="s">
        <v>431</v>
      </c>
      <c r="D15" s="38" t="s">
        <v>440</v>
      </c>
      <c r="E15" s="38" t="s">
        <v>441</v>
      </c>
      <c r="F15" s="38" t="s">
        <v>442</v>
      </c>
      <c r="G15" s="38" t="s">
        <v>377</v>
      </c>
    </row>
    <row r="16" customFormat="false" ht="105.75" hidden="false" customHeight="true" outlineLevel="0" collapsed="false">
      <c r="A16" s="38" t="s">
        <v>443</v>
      </c>
      <c r="B16" s="38" t="s">
        <v>44</v>
      </c>
      <c r="C16" s="38" t="s">
        <v>431</v>
      </c>
      <c r="D16" s="38" t="s">
        <v>444</v>
      </c>
      <c r="E16" s="38" t="s">
        <v>445</v>
      </c>
      <c r="F16" s="38" t="s">
        <v>446</v>
      </c>
      <c r="G16" s="38" t="s">
        <v>377</v>
      </c>
    </row>
    <row r="17" customFormat="false" ht="137.25" hidden="false" customHeight="true" outlineLevel="0" collapsed="false">
      <c r="A17" s="38" t="s">
        <v>447</v>
      </c>
      <c r="B17" s="38" t="s">
        <v>19</v>
      </c>
      <c r="C17" s="38" t="s">
        <v>431</v>
      </c>
      <c r="D17" s="38" t="s">
        <v>448</v>
      </c>
      <c r="E17" s="38" t="s">
        <v>449</v>
      </c>
      <c r="F17" s="38" t="s">
        <v>450</v>
      </c>
      <c r="G17" s="38" t="s">
        <v>451</v>
      </c>
    </row>
    <row r="18" customFormat="false" ht="189" hidden="false" customHeight="true" outlineLevel="0" collapsed="false">
      <c r="A18" s="38" t="s">
        <v>452</v>
      </c>
      <c r="B18" s="38" t="s">
        <v>453</v>
      </c>
      <c r="C18" s="38" t="s">
        <v>454</v>
      </c>
      <c r="D18" s="38" t="s">
        <v>455</v>
      </c>
      <c r="E18" s="38" t="s">
        <v>456</v>
      </c>
      <c r="F18" s="38" t="s">
        <v>457</v>
      </c>
      <c r="G18" s="38" t="s">
        <v>377</v>
      </c>
    </row>
    <row r="19" customFormat="false" ht="168" hidden="false" customHeight="true" outlineLevel="0" collapsed="false">
      <c r="A19" s="38" t="s">
        <v>458</v>
      </c>
      <c r="B19" s="38" t="s">
        <v>459</v>
      </c>
      <c r="C19" s="38" t="s">
        <v>454</v>
      </c>
      <c r="D19" s="38" t="s">
        <v>460</v>
      </c>
      <c r="E19" s="38" t="s">
        <v>461</v>
      </c>
      <c r="F19" s="38" t="s">
        <v>462</v>
      </c>
      <c r="G19" s="38" t="s">
        <v>377</v>
      </c>
    </row>
    <row r="20" customFormat="false" ht="169.5" hidden="false" customHeight="true" outlineLevel="0" collapsed="false">
      <c r="A20" s="38" t="s">
        <v>463</v>
      </c>
      <c r="B20" s="38" t="s">
        <v>53</v>
      </c>
      <c r="C20" s="38" t="s">
        <v>464</v>
      </c>
      <c r="D20" s="38" t="s">
        <v>465</v>
      </c>
      <c r="E20" s="38" t="s">
        <v>466</v>
      </c>
      <c r="F20" s="38" t="s">
        <v>467</v>
      </c>
      <c r="G20" s="38" t="s">
        <v>451</v>
      </c>
    </row>
    <row r="21" customFormat="false" ht="116.25" hidden="false" customHeight="true" outlineLevel="0" collapsed="false">
      <c r="A21" s="38" t="s">
        <v>468</v>
      </c>
      <c r="B21" s="38" t="s">
        <v>54</v>
      </c>
      <c r="C21" s="38" t="s">
        <v>464</v>
      </c>
      <c r="D21" s="38" t="s">
        <v>469</v>
      </c>
      <c r="E21" s="38" t="s">
        <v>470</v>
      </c>
      <c r="F21" s="38" t="s">
        <v>471</v>
      </c>
      <c r="G21" s="38" t="s">
        <v>451</v>
      </c>
    </row>
    <row r="22" customFormat="false" ht="116.25" hidden="false" customHeight="true" outlineLevel="0" collapsed="false">
      <c r="A22" s="38" t="s">
        <v>472</v>
      </c>
      <c r="B22" s="38" t="s">
        <v>473</v>
      </c>
      <c r="C22" s="38" t="s">
        <v>464</v>
      </c>
      <c r="D22" s="38" t="s">
        <v>474</v>
      </c>
      <c r="E22" s="38" t="s">
        <v>475</v>
      </c>
      <c r="F22" s="38" t="s">
        <v>476</v>
      </c>
      <c r="G22" s="38" t="s">
        <v>451</v>
      </c>
    </row>
    <row r="23" customFormat="false" ht="429" hidden="false" customHeight="true" outlineLevel="0" collapsed="false">
      <c r="A23" s="38" t="s">
        <v>477</v>
      </c>
      <c r="B23" s="38" t="s">
        <v>478</v>
      </c>
      <c r="C23" s="38" t="s">
        <v>479</v>
      </c>
      <c r="D23" s="38" t="s">
        <v>480</v>
      </c>
      <c r="E23" s="38" t="s">
        <v>481</v>
      </c>
      <c r="F23" s="38" t="s">
        <v>482</v>
      </c>
      <c r="G23" s="38" t="s">
        <v>451</v>
      </c>
    </row>
    <row r="24" customFormat="false" ht="157.5" hidden="false" customHeight="true" outlineLevel="0" collapsed="false">
      <c r="A24" s="38" t="s">
        <v>33</v>
      </c>
      <c r="B24" s="38" t="s">
        <v>483</v>
      </c>
      <c r="C24" s="38" t="s">
        <v>484</v>
      </c>
      <c r="D24" s="38" t="s">
        <v>485</v>
      </c>
      <c r="E24" s="38" t="s">
        <v>486</v>
      </c>
      <c r="F24" s="38" t="s">
        <v>487</v>
      </c>
      <c r="G24" s="38" t="s">
        <v>377</v>
      </c>
    </row>
    <row r="25" customFormat="false" ht="137.25" hidden="false" customHeight="true" outlineLevel="0" collapsed="false">
      <c r="A25" s="38" t="s">
        <v>488</v>
      </c>
      <c r="B25" s="38" t="s">
        <v>483</v>
      </c>
      <c r="C25" s="38" t="s">
        <v>484</v>
      </c>
      <c r="D25" s="38" t="s">
        <v>489</v>
      </c>
      <c r="E25" s="38" t="s">
        <v>490</v>
      </c>
      <c r="F25" s="38" t="s">
        <v>491</v>
      </c>
      <c r="G25" s="38" t="s">
        <v>451</v>
      </c>
    </row>
    <row r="26" customFormat="false" ht="137.25" hidden="false" customHeight="true" outlineLevel="0" collapsed="false">
      <c r="A26" s="38" t="s">
        <v>492</v>
      </c>
      <c r="B26" s="38" t="s">
        <v>483</v>
      </c>
      <c r="C26" s="38" t="s">
        <v>484</v>
      </c>
      <c r="D26" s="38" t="s">
        <v>493</v>
      </c>
      <c r="E26" s="38" t="s">
        <v>494</v>
      </c>
      <c r="F26" s="38" t="s">
        <v>495</v>
      </c>
      <c r="G26" s="38" t="s">
        <v>394</v>
      </c>
    </row>
    <row r="27" customFormat="false" ht="126.75" hidden="false" customHeight="true" outlineLevel="0" collapsed="false">
      <c r="A27" s="38" t="s">
        <v>496</v>
      </c>
      <c r="B27" s="38" t="s">
        <v>53</v>
      </c>
      <c r="C27" s="38" t="s">
        <v>497</v>
      </c>
      <c r="D27" s="38" t="s">
        <v>498</v>
      </c>
      <c r="E27" s="38" t="s">
        <v>499</v>
      </c>
      <c r="F27" s="38" t="s">
        <v>500</v>
      </c>
      <c r="G27" s="38" t="s">
        <v>394</v>
      </c>
    </row>
    <row r="28" customFormat="false" ht="116.25" hidden="false" customHeight="true" outlineLevel="0" collapsed="false">
      <c r="A28" s="38" t="s">
        <v>501</v>
      </c>
      <c r="B28" s="38" t="s">
        <v>54</v>
      </c>
      <c r="C28" s="38" t="s">
        <v>497</v>
      </c>
      <c r="D28" s="38" t="s">
        <v>502</v>
      </c>
      <c r="E28" s="38" t="s">
        <v>503</v>
      </c>
      <c r="F28" s="38" t="s">
        <v>504</v>
      </c>
      <c r="G28" s="38" t="s">
        <v>377</v>
      </c>
    </row>
    <row r="29" customFormat="false" ht="116.25" hidden="false" customHeight="true" outlineLevel="0" collapsed="false">
      <c r="A29" s="38" t="s">
        <v>505</v>
      </c>
      <c r="B29" s="38" t="s">
        <v>506</v>
      </c>
      <c r="C29" s="38" t="s">
        <v>497</v>
      </c>
      <c r="D29" s="38" t="s">
        <v>507</v>
      </c>
      <c r="E29" s="38" t="s">
        <v>508</v>
      </c>
      <c r="F29" s="38" t="s">
        <v>509</v>
      </c>
      <c r="G29" s="38" t="s">
        <v>377</v>
      </c>
    </row>
    <row r="30" customFormat="false" ht="189" hidden="false" customHeight="true" outlineLevel="0" collapsed="false">
      <c r="A30" s="38" t="s">
        <v>510</v>
      </c>
      <c r="B30" s="38" t="s">
        <v>511</v>
      </c>
      <c r="C30" s="38" t="s">
        <v>512</v>
      </c>
      <c r="D30" s="38" t="s">
        <v>513</v>
      </c>
      <c r="E30" s="38" t="s">
        <v>514</v>
      </c>
      <c r="F30" s="38" t="s">
        <v>515</v>
      </c>
      <c r="G30" s="38" t="s">
        <v>377</v>
      </c>
    </row>
    <row r="31" customFormat="false" ht="137.25" hidden="false" customHeight="true" outlineLevel="0" collapsed="false">
      <c r="A31" s="38" t="s">
        <v>33</v>
      </c>
      <c r="B31" s="38" t="s">
        <v>516</v>
      </c>
      <c r="C31" s="38" t="s">
        <v>517</v>
      </c>
      <c r="D31" s="38" t="s">
        <v>518</v>
      </c>
      <c r="E31" s="38" t="s">
        <v>519</v>
      </c>
      <c r="F31" s="38" t="s">
        <v>520</v>
      </c>
      <c r="G31" s="38" t="s">
        <v>394</v>
      </c>
    </row>
    <row r="32" customFormat="false" ht="137.25" hidden="false" customHeight="true" outlineLevel="0" collapsed="false">
      <c r="A32" s="38" t="s">
        <v>521</v>
      </c>
      <c r="B32" s="38" t="s">
        <v>522</v>
      </c>
      <c r="C32" s="38" t="s">
        <v>517</v>
      </c>
      <c r="D32" s="38" t="s">
        <v>523</v>
      </c>
      <c r="E32" s="38" t="s">
        <v>524</v>
      </c>
      <c r="F32" s="38" t="s">
        <v>525</v>
      </c>
      <c r="G32" s="38" t="s">
        <v>377</v>
      </c>
    </row>
    <row r="33" customFormat="false" ht="126.75" hidden="false" customHeight="true" outlineLevel="0" collapsed="false">
      <c r="A33" s="38" t="s">
        <v>526</v>
      </c>
      <c r="B33" s="38" t="s">
        <v>58</v>
      </c>
      <c r="C33" s="38" t="s">
        <v>517</v>
      </c>
      <c r="D33" s="38" t="s">
        <v>527</v>
      </c>
      <c r="E33" s="38" t="s">
        <v>528</v>
      </c>
      <c r="F33" s="38" t="s">
        <v>529</v>
      </c>
      <c r="G33" s="38" t="s">
        <v>394</v>
      </c>
    </row>
    <row r="34" customFormat="false" ht="178.5" hidden="false" customHeight="true" outlineLevel="0" collapsed="false">
      <c r="A34" s="38" t="s">
        <v>378</v>
      </c>
      <c r="B34" s="38" t="s">
        <v>37</v>
      </c>
      <c r="C34" s="38" t="s">
        <v>530</v>
      </c>
      <c r="D34" s="38" t="s">
        <v>531</v>
      </c>
      <c r="E34" s="38" t="s">
        <v>532</v>
      </c>
      <c r="F34" s="38" t="s">
        <v>533</v>
      </c>
      <c r="G34" s="38" t="s">
        <v>377</v>
      </c>
    </row>
    <row r="35" customFormat="false" ht="137.25" hidden="false" customHeight="true" outlineLevel="0" collapsed="false">
      <c r="A35" s="38" t="s">
        <v>430</v>
      </c>
      <c r="B35" s="38" t="s">
        <v>41</v>
      </c>
      <c r="C35" s="38" t="s">
        <v>534</v>
      </c>
      <c r="D35" s="38" t="s">
        <v>535</v>
      </c>
      <c r="E35" s="38"/>
      <c r="F35" s="38" t="s">
        <v>536</v>
      </c>
      <c r="G35" s="38" t="s">
        <v>377</v>
      </c>
    </row>
    <row r="36" customFormat="false" ht="137.25" hidden="false" customHeight="true" outlineLevel="0" collapsed="false">
      <c r="A36" s="38" t="s">
        <v>435</v>
      </c>
      <c r="B36" s="38" t="s">
        <v>42</v>
      </c>
      <c r="C36" s="38" t="s">
        <v>534</v>
      </c>
      <c r="D36" s="38" t="s">
        <v>537</v>
      </c>
      <c r="E36" s="38"/>
      <c r="F36" s="38" t="s">
        <v>538</v>
      </c>
      <c r="G36" s="38" t="s">
        <v>377</v>
      </c>
    </row>
    <row r="37" customFormat="false" ht="105.75" hidden="false" customHeight="true" outlineLevel="0" collapsed="false">
      <c r="A37" s="38" t="s">
        <v>439</v>
      </c>
      <c r="B37" s="38" t="s">
        <v>43</v>
      </c>
      <c r="C37" s="38" t="s">
        <v>534</v>
      </c>
      <c r="D37" s="38" t="s">
        <v>539</v>
      </c>
      <c r="E37" s="38"/>
      <c r="F37" s="38" t="s">
        <v>540</v>
      </c>
      <c r="G37" s="38" t="s">
        <v>377</v>
      </c>
    </row>
    <row r="38" customFormat="false" ht="105.75" hidden="false" customHeight="true" outlineLevel="0" collapsed="false">
      <c r="A38" s="38" t="s">
        <v>443</v>
      </c>
      <c r="B38" s="38" t="s">
        <v>44</v>
      </c>
      <c r="C38" s="38" t="s">
        <v>534</v>
      </c>
      <c r="D38" s="38" t="s">
        <v>541</v>
      </c>
      <c r="E38" s="38"/>
      <c r="F38" s="38" t="s">
        <v>542</v>
      </c>
      <c r="G38" s="38" t="s">
        <v>377</v>
      </c>
    </row>
    <row r="39" customFormat="false" ht="126.75" hidden="false" customHeight="true" outlineLevel="0" collapsed="false">
      <c r="A39" s="38" t="s">
        <v>447</v>
      </c>
      <c r="B39" s="38" t="s">
        <v>19</v>
      </c>
      <c r="C39" s="38" t="s">
        <v>534</v>
      </c>
      <c r="D39" s="38" t="s">
        <v>543</v>
      </c>
      <c r="E39" s="38"/>
      <c r="F39" s="38" t="s">
        <v>544</v>
      </c>
      <c r="G39" s="38" t="s">
        <v>394</v>
      </c>
    </row>
    <row r="40" customFormat="false" ht="294" hidden="false" customHeight="true" outlineLevel="0" collapsed="false">
      <c r="A40" s="38" t="s">
        <v>545</v>
      </c>
      <c r="B40" s="38" t="s">
        <v>546</v>
      </c>
      <c r="C40" s="38" t="s">
        <v>547</v>
      </c>
      <c r="D40" s="38" t="s">
        <v>548</v>
      </c>
      <c r="E40" s="38" t="s">
        <v>549</v>
      </c>
      <c r="F40" s="38" t="s">
        <v>550</v>
      </c>
      <c r="G40" s="38" t="s">
        <v>377</v>
      </c>
    </row>
    <row r="41" customFormat="false" ht="210" hidden="false" customHeight="true" outlineLevel="0" collapsed="false">
      <c r="A41" s="38" t="s">
        <v>551</v>
      </c>
      <c r="B41" s="38" t="s">
        <v>552</v>
      </c>
      <c r="C41" s="38" t="s">
        <v>553</v>
      </c>
      <c r="D41" s="38" t="s">
        <v>554</v>
      </c>
      <c r="E41" s="38" t="s">
        <v>555</v>
      </c>
      <c r="F41" s="38" t="s">
        <v>556</v>
      </c>
      <c r="G41" s="38" t="s">
        <v>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11"/>
    <col collapsed="false" customWidth="true" hidden="false" outlineLevel="0" max="6" min="5" style="1" width="45"/>
    <col collapsed="false" customWidth="true" hidden="false" outlineLevel="0" max="7" min="7" style="1" width="80"/>
  </cols>
  <sheetData>
    <row r="1" customFormat="false" ht="15" hidden="false" customHeight="true" outlineLevel="0" collapsed="false">
      <c r="A1" s="35" t="s">
        <v>367</v>
      </c>
      <c r="B1" s="35" t="s">
        <v>557</v>
      </c>
      <c r="C1" s="35" t="s">
        <v>558</v>
      </c>
      <c r="D1" s="35" t="s">
        <v>559</v>
      </c>
      <c r="E1" s="35" t="s">
        <v>560</v>
      </c>
      <c r="F1" s="35" t="s">
        <v>561</v>
      </c>
      <c r="G1" s="35" t="s">
        <v>562</v>
      </c>
    </row>
    <row r="2" customFormat="false" ht="21.75" hidden="false" customHeight="true" outlineLevel="0" collapsed="false">
      <c r="A2" s="38" t="s">
        <v>9</v>
      </c>
      <c r="B2" s="38" t="s">
        <v>373</v>
      </c>
      <c r="C2" s="38" t="s">
        <v>563</v>
      </c>
      <c r="D2" s="38" t="s">
        <v>564</v>
      </c>
      <c r="E2" s="38" t="s">
        <v>565</v>
      </c>
      <c r="F2" s="38" t="s">
        <v>566</v>
      </c>
      <c r="G2" s="38" t="s">
        <v>567</v>
      </c>
    </row>
    <row r="3" customFormat="false" ht="32.25" hidden="false" customHeight="true" outlineLevel="0" collapsed="false">
      <c r="A3" s="38" t="s">
        <v>9</v>
      </c>
      <c r="B3" s="38" t="s">
        <v>373</v>
      </c>
      <c r="C3" s="38" t="s">
        <v>568</v>
      </c>
      <c r="D3" s="38" t="s">
        <v>564</v>
      </c>
      <c r="E3" s="38" t="s">
        <v>569</v>
      </c>
      <c r="F3" s="38" t="s">
        <v>570</v>
      </c>
      <c r="G3" s="38" t="s">
        <v>571</v>
      </c>
    </row>
    <row r="4" customFormat="false" ht="42.75" hidden="false" customHeight="true" outlineLevel="0" collapsed="false">
      <c r="A4" s="38" t="s">
        <v>9</v>
      </c>
      <c r="B4" s="38" t="s">
        <v>373</v>
      </c>
      <c r="C4" s="38" t="s">
        <v>572</v>
      </c>
      <c r="D4" s="38" t="s">
        <v>573</v>
      </c>
      <c r="E4" s="38" t="s">
        <v>574</v>
      </c>
      <c r="F4" s="38" t="s">
        <v>575</v>
      </c>
      <c r="G4" s="38" t="s">
        <v>576</v>
      </c>
    </row>
    <row r="5" customFormat="false" ht="32.25" hidden="false" customHeight="true" outlineLevel="0" collapsed="false">
      <c r="A5" s="38" t="s">
        <v>9</v>
      </c>
      <c r="B5" s="38" t="s">
        <v>373</v>
      </c>
      <c r="C5" s="38" t="s">
        <v>577</v>
      </c>
      <c r="D5" s="38" t="s">
        <v>564</v>
      </c>
      <c r="E5" s="38" t="s">
        <v>578</v>
      </c>
      <c r="F5" s="38" t="s">
        <v>579</v>
      </c>
      <c r="G5" s="38" t="s">
        <v>580</v>
      </c>
    </row>
    <row r="6" customFormat="false" ht="32.25" hidden="false" customHeight="true" outlineLevel="0" collapsed="false">
      <c r="A6" s="38" t="s">
        <v>9</v>
      </c>
      <c r="B6" s="38" t="s">
        <v>373</v>
      </c>
      <c r="C6" s="38" t="s">
        <v>581</v>
      </c>
      <c r="D6" s="38" t="s">
        <v>564</v>
      </c>
      <c r="E6" s="38" t="s">
        <v>582</v>
      </c>
      <c r="F6" s="38" t="s">
        <v>583</v>
      </c>
      <c r="G6" s="38" t="s">
        <v>584</v>
      </c>
    </row>
    <row r="7" customFormat="false" ht="32.25" hidden="false" customHeight="true" outlineLevel="0" collapsed="false">
      <c r="A7" s="38" t="s">
        <v>9</v>
      </c>
      <c r="B7" s="38" t="s">
        <v>373</v>
      </c>
      <c r="C7" s="38" t="s">
        <v>581</v>
      </c>
      <c r="D7" s="38" t="s">
        <v>564</v>
      </c>
      <c r="E7" s="38" t="s">
        <v>585</v>
      </c>
      <c r="F7" s="38" t="s">
        <v>586</v>
      </c>
      <c r="G7" s="38" t="s">
        <v>587</v>
      </c>
    </row>
    <row r="8" customFormat="false" ht="21.75" hidden="false" customHeight="true" outlineLevel="0" collapsed="false">
      <c r="A8" s="38" t="s">
        <v>9</v>
      </c>
      <c r="B8" s="38" t="s">
        <v>373</v>
      </c>
      <c r="C8" s="38" t="s">
        <v>581</v>
      </c>
      <c r="D8" s="38" t="s">
        <v>573</v>
      </c>
      <c r="E8" s="38" t="s">
        <v>588</v>
      </c>
      <c r="F8" s="38" t="s">
        <v>589</v>
      </c>
      <c r="G8" s="38" t="s">
        <v>590</v>
      </c>
    </row>
    <row r="9" customFormat="false" ht="32.25" hidden="false" customHeight="true" outlineLevel="0" collapsed="false">
      <c r="A9" s="38" t="s">
        <v>9</v>
      </c>
      <c r="B9" s="38" t="s">
        <v>373</v>
      </c>
      <c r="C9" s="38" t="s">
        <v>581</v>
      </c>
      <c r="D9" s="38" t="s">
        <v>573</v>
      </c>
      <c r="E9" s="38" t="s">
        <v>591</v>
      </c>
      <c r="F9" s="38" t="s">
        <v>592</v>
      </c>
      <c r="G9" s="38" t="s">
        <v>593</v>
      </c>
    </row>
    <row r="10" customFormat="false" ht="32.25" hidden="false" customHeight="true" outlineLevel="0" collapsed="false">
      <c r="A10" s="38" t="s">
        <v>9</v>
      </c>
      <c r="B10" s="38" t="s">
        <v>373</v>
      </c>
      <c r="C10" s="38" t="s">
        <v>568</v>
      </c>
      <c r="D10" s="38" t="s">
        <v>594</v>
      </c>
      <c r="E10" s="38" t="s">
        <v>595</v>
      </c>
      <c r="F10" s="38" t="s">
        <v>596</v>
      </c>
      <c r="G10" s="38" t="s">
        <v>597</v>
      </c>
    </row>
    <row r="11" customFormat="false" ht="21.75" hidden="false" customHeight="true" outlineLevel="0" collapsed="false">
      <c r="A11" s="38" t="s">
        <v>9</v>
      </c>
      <c r="B11" s="38" t="s">
        <v>373</v>
      </c>
      <c r="C11" s="38" t="s">
        <v>581</v>
      </c>
      <c r="D11" s="38" t="s">
        <v>594</v>
      </c>
      <c r="E11" s="38" t="s">
        <v>598</v>
      </c>
      <c r="F11" s="38" t="s">
        <v>599</v>
      </c>
      <c r="G11" s="38" t="s">
        <v>600</v>
      </c>
    </row>
    <row r="12" customFormat="false" ht="21.75" hidden="false" customHeight="true" outlineLevel="0" collapsed="false">
      <c r="A12" s="38" t="s">
        <v>9</v>
      </c>
      <c r="B12" s="38" t="s">
        <v>373</v>
      </c>
      <c r="C12" s="38" t="s">
        <v>581</v>
      </c>
      <c r="D12" s="38" t="s">
        <v>573</v>
      </c>
      <c r="E12" s="38" t="s">
        <v>601</v>
      </c>
      <c r="F12" s="38" t="s">
        <v>602</v>
      </c>
      <c r="G12" s="38" t="s">
        <v>603</v>
      </c>
    </row>
    <row r="13" customFormat="false" ht="21.75" hidden="false" customHeight="true" outlineLevel="0" collapsed="false">
      <c r="A13" s="38" t="s">
        <v>9</v>
      </c>
      <c r="B13" s="38" t="s">
        <v>373</v>
      </c>
      <c r="C13" s="38" t="s">
        <v>581</v>
      </c>
      <c r="D13" s="38" t="s">
        <v>573</v>
      </c>
      <c r="E13" s="38" t="s">
        <v>604</v>
      </c>
      <c r="F13" s="38" t="s">
        <v>605</v>
      </c>
      <c r="G13" s="38" t="s">
        <v>606</v>
      </c>
    </row>
    <row r="14" customFormat="false" ht="32.25" hidden="false" customHeight="true" outlineLevel="0" collapsed="false">
      <c r="A14" s="38" t="s">
        <v>378</v>
      </c>
      <c r="B14" s="38" t="s">
        <v>379</v>
      </c>
      <c r="C14" s="38" t="s">
        <v>607</v>
      </c>
      <c r="D14" s="38" t="s">
        <v>573</v>
      </c>
      <c r="E14" s="38" t="s">
        <v>608</v>
      </c>
      <c r="F14" s="38" t="s">
        <v>609</v>
      </c>
      <c r="G14" s="38" t="s">
        <v>610</v>
      </c>
    </row>
    <row r="15" customFormat="false" ht="21.75" hidden="false" customHeight="true" outlineLevel="0" collapsed="false">
      <c r="A15" s="38" t="s">
        <v>378</v>
      </c>
      <c r="B15" s="38" t="s">
        <v>379</v>
      </c>
      <c r="C15" s="38" t="s">
        <v>611</v>
      </c>
      <c r="D15" s="38" t="s">
        <v>573</v>
      </c>
      <c r="E15" s="38" t="s">
        <v>612</v>
      </c>
      <c r="F15" s="38" t="s">
        <v>613</v>
      </c>
      <c r="G15" s="38" t="s">
        <v>614</v>
      </c>
    </row>
    <row r="16" customFormat="false" ht="32.25" hidden="false" customHeight="true" outlineLevel="0" collapsed="false">
      <c r="A16" s="38" t="s">
        <v>378</v>
      </c>
      <c r="B16" s="38" t="s">
        <v>379</v>
      </c>
      <c r="C16" s="38" t="s">
        <v>577</v>
      </c>
      <c r="D16" s="38" t="s">
        <v>615</v>
      </c>
      <c r="E16" s="38" t="s">
        <v>616</v>
      </c>
      <c r="F16" s="38" t="s">
        <v>617</v>
      </c>
      <c r="G16" s="38" t="s">
        <v>618</v>
      </c>
    </row>
    <row r="17" customFormat="false" ht="21.75" hidden="false" customHeight="true" outlineLevel="0" collapsed="false">
      <c r="A17" s="38" t="s">
        <v>378</v>
      </c>
      <c r="B17" s="38" t="s">
        <v>379</v>
      </c>
      <c r="C17" s="38" t="s">
        <v>577</v>
      </c>
      <c r="D17" s="38" t="s">
        <v>573</v>
      </c>
      <c r="E17" s="38" t="s">
        <v>619</v>
      </c>
      <c r="F17" s="38" t="s">
        <v>620</v>
      </c>
      <c r="G17" s="38" t="s">
        <v>621</v>
      </c>
    </row>
    <row r="18" customFormat="false" ht="21.75" hidden="false" customHeight="true" outlineLevel="0" collapsed="false">
      <c r="A18" s="38" t="s">
        <v>378</v>
      </c>
      <c r="B18" s="38" t="s">
        <v>379</v>
      </c>
      <c r="C18" s="38" t="s">
        <v>581</v>
      </c>
      <c r="D18" s="38" t="s">
        <v>573</v>
      </c>
      <c r="E18" s="38" t="s">
        <v>622</v>
      </c>
      <c r="F18" s="38" t="s">
        <v>623</v>
      </c>
      <c r="G18" s="38" t="s">
        <v>624</v>
      </c>
    </row>
    <row r="19" customFormat="false" ht="21.75" hidden="false" customHeight="true" outlineLevel="0" collapsed="false">
      <c r="A19" s="38" t="s">
        <v>378</v>
      </c>
      <c r="B19" s="38" t="s">
        <v>379</v>
      </c>
      <c r="C19" s="38" t="s">
        <v>577</v>
      </c>
      <c r="D19" s="38" t="s">
        <v>573</v>
      </c>
      <c r="E19" s="38" t="s">
        <v>625</v>
      </c>
      <c r="F19" s="38" t="s">
        <v>626</v>
      </c>
      <c r="G19" s="38" t="s">
        <v>627</v>
      </c>
    </row>
    <row r="20" customFormat="false" ht="21.75" hidden="false" customHeight="true" outlineLevel="0" collapsed="false">
      <c r="A20" s="38" t="s">
        <v>378</v>
      </c>
      <c r="B20" s="38" t="s">
        <v>379</v>
      </c>
      <c r="C20" s="38" t="s">
        <v>581</v>
      </c>
      <c r="D20" s="38" t="s">
        <v>628</v>
      </c>
      <c r="E20" s="38" t="s">
        <v>629</v>
      </c>
      <c r="F20" s="38" t="s">
        <v>630</v>
      </c>
      <c r="G20" s="38" t="s">
        <v>631</v>
      </c>
    </row>
    <row r="21" customFormat="false" ht="21.75" hidden="false" customHeight="true" outlineLevel="0" collapsed="false">
      <c r="A21" s="38" t="s">
        <v>378</v>
      </c>
      <c r="B21" s="38" t="s">
        <v>379</v>
      </c>
      <c r="C21" s="38" t="s">
        <v>581</v>
      </c>
      <c r="D21" s="38" t="s">
        <v>632</v>
      </c>
      <c r="E21" s="38" t="s">
        <v>633</v>
      </c>
      <c r="F21" s="38" t="s">
        <v>634</v>
      </c>
      <c r="G21" s="38" t="s">
        <v>635</v>
      </c>
    </row>
    <row r="22" customFormat="false" ht="21.75" hidden="false" customHeight="true" outlineLevel="0" collapsed="false">
      <c r="A22" s="38" t="s">
        <v>378</v>
      </c>
      <c r="B22" s="38" t="s">
        <v>379</v>
      </c>
      <c r="C22" s="38" t="s">
        <v>581</v>
      </c>
      <c r="D22" s="38" t="s">
        <v>636</v>
      </c>
      <c r="E22" s="38" t="s">
        <v>637</v>
      </c>
      <c r="F22" s="38" t="s">
        <v>638</v>
      </c>
      <c r="G22" s="38" t="s">
        <v>639</v>
      </c>
    </row>
    <row r="23" customFormat="false" ht="32.25" hidden="false" customHeight="true" outlineLevel="0" collapsed="false">
      <c r="A23" s="38" t="s">
        <v>378</v>
      </c>
      <c r="B23" s="38" t="s">
        <v>379</v>
      </c>
      <c r="C23" s="38" t="s">
        <v>581</v>
      </c>
      <c r="D23" s="38" t="s">
        <v>573</v>
      </c>
      <c r="E23" s="38" t="s">
        <v>640</v>
      </c>
      <c r="F23" s="38" t="s">
        <v>641</v>
      </c>
      <c r="G23" s="38" t="s">
        <v>642</v>
      </c>
    </row>
    <row r="24" customFormat="false" ht="53.25" hidden="false" customHeight="true" outlineLevel="0" collapsed="false">
      <c r="A24" s="38" t="s">
        <v>383</v>
      </c>
      <c r="B24" s="38" t="s">
        <v>384</v>
      </c>
      <c r="C24" s="38" t="s">
        <v>563</v>
      </c>
      <c r="D24" s="38" t="s">
        <v>643</v>
      </c>
      <c r="E24" s="38" t="s">
        <v>644</v>
      </c>
      <c r="F24" s="38" t="s">
        <v>645</v>
      </c>
      <c r="G24" s="38" t="s">
        <v>646</v>
      </c>
    </row>
    <row r="25" customFormat="false" ht="53.25" hidden="false" customHeight="true" outlineLevel="0" collapsed="false">
      <c r="A25" s="38" t="s">
        <v>383</v>
      </c>
      <c r="B25" s="38" t="s">
        <v>384</v>
      </c>
      <c r="C25" s="38" t="s">
        <v>572</v>
      </c>
      <c r="D25" s="38" t="s">
        <v>647</v>
      </c>
      <c r="E25" s="38" t="s">
        <v>648</v>
      </c>
      <c r="F25" s="38" t="s">
        <v>649</v>
      </c>
      <c r="G25" s="38" t="s">
        <v>650</v>
      </c>
    </row>
    <row r="26" customFormat="false" ht="53.25" hidden="false" customHeight="true" outlineLevel="0" collapsed="false">
      <c r="A26" s="38" t="s">
        <v>383</v>
      </c>
      <c r="B26" s="38" t="s">
        <v>384</v>
      </c>
      <c r="C26" s="38" t="s">
        <v>577</v>
      </c>
      <c r="D26" s="38" t="s">
        <v>643</v>
      </c>
      <c r="E26" s="38" t="s">
        <v>651</v>
      </c>
      <c r="F26" s="38" t="s">
        <v>652</v>
      </c>
      <c r="G26" s="38" t="s">
        <v>653</v>
      </c>
    </row>
    <row r="27" customFormat="false" ht="32.25" hidden="false" customHeight="true" outlineLevel="0" collapsed="false">
      <c r="A27" s="38" t="s">
        <v>383</v>
      </c>
      <c r="B27" s="38" t="s">
        <v>384</v>
      </c>
      <c r="C27" s="38" t="s">
        <v>654</v>
      </c>
      <c r="D27" s="38" t="s">
        <v>655</v>
      </c>
      <c r="E27" s="38" t="s">
        <v>656</v>
      </c>
      <c r="F27" s="38" t="s">
        <v>657</v>
      </c>
      <c r="G27" s="38" t="s">
        <v>658</v>
      </c>
    </row>
    <row r="28" customFormat="false" ht="53.25" hidden="false" customHeight="true" outlineLevel="0" collapsed="false">
      <c r="A28" s="38" t="s">
        <v>383</v>
      </c>
      <c r="B28" s="38" t="s">
        <v>384</v>
      </c>
      <c r="C28" s="38" t="s">
        <v>568</v>
      </c>
      <c r="D28" s="38" t="s">
        <v>659</v>
      </c>
      <c r="E28" s="38" t="s">
        <v>660</v>
      </c>
      <c r="F28" s="38" t="s">
        <v>661</v>
      </c>
      <c r="G28" s="38" t="s">
        <v>662</v>
      </c>
    </row>
    <row r="29" customFormat="false" ht="42.75" hidden="false" customHeight="true" outlineLevel="0" collapsed="false">
      <c r="A29" s="38" t="s">
        <v>383</v>
      </c>
      <c r="B29" s="38" t="s">
        <v>384</v>
      </c>
      <c r="C29" s="38" t="s">
        <v>568</v>
      </c>
      <c r="D29" s="38" t="s">
        <v>663</v>
      </c>
      <c r="E29" s="38" t="s">
        <v>664</v>
      </c>
      <c r="F29" s="38" t="s">
        <v>665</v>
      </c>
      <c r="G29" s="38" t="s">
        <v>666</v>
      </c>
    </row>
    <row r="30" customFormat="false" ht="42.75" hidden="false" customHeight="true" outlineLevel="0" collapsed="false">
      <c r="A30" s="38" t="s">
        <v>383</v>
      </c>
      <c r="B30" s="38" t="s">
        <v>384</v>
      </c>
      <c r="C30" s="38" t="s">
        <v>568</v>
      </c>
      <c r="D30" s="38" t="s">
        <v>667</v>
      </c>
      <c r="E30" s="38" t="s">
        <v>668</v>
      </c>
      <c r="F30" s="38" t="s">
        <v>669</v>
      </c>
      <c r="G30" s="38" t="s">
        <v>670</v>
      </c>
    </row>
    <row r="31" customFormat="false" ht="21.75" hidden="false" customHeight="true" outlineLevel="0" collapsed="false">
      <c r="A31" s="38" t="s">
        <v>383</v>
      </c>
      <c r="B31" s="38" t="s">
        <v>384</v>
      </c>
      <c r="C31" s="38" t="s">
        <v>563</v>
      </c>
      <c r="D31" s="38" t="s">
        <v>671</v>
      </c>
      <c r="E31" s="38" t="s">
        <v>672</v>
      </c>
      <c r="F31" s="38" t="s">
        <v>673</v>
      </c>
      <c r="G31" s="38" t="s">
        <v>674</v>
      </c>
    </row>
    <row r="32" customFormat="false" ht="21.75" hidden="false" customHeight="true" outlineLevel="0" collapsed="false">
      <c r="A32" s="38" t="s">
        <v>383</v>
      </c>
      <c r="B32" s="38" t="s">
        <v>384</v>
      </c>
      <c r="C32" s="38" t="s">
        <v>568</v>
      </c>
      <c r="D32" s="38" t="s">
        <v>594</v>
      </c>
      <c r="E32" s="38" t="s">
        <v>675</v>
      </c>
      <c r="F32" s="38" t="s">
        <v>676</v>
      </c>
      <c r="G32" s="38" t="s">
        <v>677</v>
      </c>
    </row>
    <row r="33" customFormat="false" ht="21.75" hidden="false" customHeight="true" outlineLevel="0" collapsed="false">
      <c r="A33" s="38" t="s">
        <v>383</v>
      </c>
      <c r="B33" s="38" t="s">
        <v>384</v>
      </c>
      <c r="C33" s="38" t="s">
        <v>581</v>
      </c>
      <c r="D33" s="38" t="s">
        <v>643</v>
      </c>
      <c r="E33" s="38" t="s">
        <v>678</v>
      </c>
      <c r="F33" s="38" t="s">
        <v>679</v>
      </c>
      <c r="G33" s="38" t="s">
        <v>680</v>
      </c>
    </row>
    <row r="34" customFormat="false" ht="21.75" hidden="false" customHeight="true" outlineLevel="0" collapsed="false">
      <c r="A34" s="38" t="s">
        <v>388</v>
      </c>
      <c r="B34" s="38" t="s">
        <v>390</v>
      </c>
      <c r="C34" s="38" t="s">
        <v>568</v>
      </c>
      <c r="D34" s="38" t="s">
        <v>681</v>
      </c>
      <c r="E34" s="38" t="s">
        <v>682</v>
      </c>
      <c r="F34" s="38" t="s">
        <v>683</v>
      </c>
      <c r="G34" s="38" t="s">
        <v>684</v>
      </c>
    </row>
    <row r="35" customFormat="false" ht="21.75" hidden="false" customHeight="true" outlineLevel="0" collapsed="false">
      <c r="A35" s="38" t="s">
        <v>388</v>
      </c>
      <c r="B35" s="38" t="s">
        <v>390</v>
      </c>
      <c r="C35" s="38" t="s">
        <v>568</v>
      </c>
      <c r="D35" s="38" t="s">
        <v>681</v>
      </c>
      <c r="E35" s="38" t="s">
        <v>685</v>
      </c>
      <c r="F35" s="38" t="s">
        <v>683</v>
      </c>
      <c r="G35" s="38" t="s">
        <v>686</v>
      </c>
    </row>
    <row r="36" customFormat="false" ht="32.25" hidden="false" customHeight="true" outlineLevel="0" collapsed="false">
      <c r="A36" s="38" t="s">
        <v>388</v>
      </c>
      <c r="B36" s="38" t="s">
        <v>390</v>
      </c>
      <c r="C36" s="38" t="s">
        <v>568</v>
      </c>
      <c r="D36" s="38" t="s">
        <v>681</v>
      </c>
      <c r="E36" s="38" t="s">
        <v>687</v>
      </c>
      <c r="F36" s="38" t="s">
        <v>683</v>
      </c>
      <c r="G36" s="38" t="s">
        <v>688</v>
      </c>
    </row>
    <row r="37" customFormat="false" ht="32.25" hidden="false" customHeight="true" outlineLevel="0" collapsed="false">
      <c r="A37" s="38" t="s">
        <v>388</v>
      </c>
      <c r="B37" s="38" t="s">
        <v>390</v>
      </c>
      <c r="C37" s="38" t="s">
        <v>577</v>
      </c>
      <c r="D37" s="38" t="s">
        <v>681</v>
      </c>
      <c r="E37" s="38" t="s">
        <v>689</v>
      </c>
      <c r="F37" s="38" t="s">
        <v>690</v>
      </c>
      <c r="G37" s="38" t="s">
        <v>691</v>
      </c>
    </row>
    <row r="38" customFormat="false" ht="42.75" hidden="false" customHeight="true" outlineLevel="0" collapsed="false">
      <c r="A38" s="38" t="s">
        <v>388</v>
      </c>
      <c r="B38" s="38" t="s">
        <v>390</v>
      </c>
      <c r="C38" s="38" t="s">
        <v>577</v>
      </c>
      <c r="D38" s="38" t="s">
        <v>681</v>
      </c>
      <c r="E38" s="38" t="s">
        <v>692</v>
      </c>
      <c r="F38" s="38" t="s">
        <v>690</v>
      </c>
      <c r="G38" s="38" t="s">
        <v>693</v>
      </c>
    </row>
    <row r="39" customFormat="false" ht="74.25" hidden="false" customHeight="true" outlineLevel="0" collapsed="false">
      <c r="A39" s="38" t="s">
        <v>388</v>
      </c>
      <c r="B39" s="38" t="s">
        <v>390</v>
      </c>
      <c r="C39" s="38" t="s">
        <v>577</v>
      </c>
      <c r="D39" s="38" t="s">
        <v>681</v>
      </c>
      <c r="E39" s="38" t="s">
        <v>694</v>
      </c>
      <c r="F39" s="38" t="s">
        <v>690</v>
      </c>
      <c r="G39" s="38" t="s">
        <v>695</v>
      </c>
    </row>
    <row r="40" customFormat="false" ht="21.75" hidden="false" customHeight="true" outlineLevel="0" collapsed="false">
      <c r="A40" s="38" t="s">
        <v>388</v>
      </c>
      <c r="B40" s="38" t="s">
        <v>390</v>
      </c>
      <c r="C40" s="38" t="s">
        <v>577</v>
      </c>
      <c r="D40" s="38" t="s">
        <v>681</v>
      </c>
      <c r="E40" s="38" t="s">
        <v>696</v>
      </c>
      <c r="F40" s="38" t="s">
        <v>690</v>
      </c>
      <c r="G40" s="38" t="s">
        <v>697</v>
      </c>
    </row>
    <row r="41" customFormat="false" ht="42.75" hidden="false" customHeight="true" outlineLevel="0" collapsed="false">
      <c r="A41" s="38" t="s">
        <v>388</v>
      </c>
      <c r="B41" s="38" t="s">
        <v>390</v>
      </c>
      <c r="C41" s="38" t="s">
        <v>577</v>
      </c>
      <c r="D41" s="38" t="s">
        <v>663</v>
      </c>
      <c r="E41" s="38" t="s">
        <v>698</v>
      </c>
      <c r="F41" s="38" t="s">
        <v>699</v>
      </c>
      <c r="G41" s="38" t="s">
        <v>700</v>
      </c>
    </row>
    <row r="42" customFormat="false" ht="42.75" hidden="false" customHeight="true" outlineLevel="0" collapsed="false">
      <c r="A42" s="38" t="s">
        <v>388</v>
      </c>
      <c r="B42" s="38" t="s">
        <v>390</v>
      </c>
      <c r="C42" s="38" t="s">
        <v>577</v>
      </c>
      <c r="D42" s="38" t="s">
        <v>701</v>
      </c>
      <c r="E42" s="38" t="s">
        <v>702</v>
      </c>
      <c r="F42" s="38" t="s">
        <v>703</v>
      </c>
      <c r="G42" s="38" t="s">
        <v>704</v>
      </c>
    </row>
    <row r="43" customFormat="false" ht="42.75" hidden="false" customHeight="true" outlineLevel="0" collapsed="false">
      <c r="A43" s="38" t="s">
        <v>388</v>
      </c>
      <c r="B43" s="38" t="s">
        <v>390</v>
      </c>
      <c r="C43" s="38" t="s">
        <v>577</v>
      </c>
      <c r="D43" s="38" t="s">
        <v>655</v>
      </c>
      <c r="E43" s="38" t="s">
        <v>705</v>
      </c>
      <c r="F43" s="38" t="s">
        <v>706</v>
      </c>
      <c r="G43" s="38" t="s">
        <v>707</v>
      </c>
    </row>
    <row r="44" customFormat="false" ht="21.75" hidden="false" customHeight="true" outlineLevel="0" collapsed="false">
      <c r="A44" s="38" t="s">
        <v>388</v>
      </c>
      <c r="B44" s="38" t="s">
        <v>390</v>
      </c>
      <c r="C44" s="38" t="s">
        <v>577</v>
      </c>
      <c r="D44" s="38" t="s">
        <v>708</v>
      </c>
      <c r="E44" s="38" t="s">
        <v>709</v>
      </c>
      <c r="F44" s="38" t="s">
        <v>710</v>
      </c>
      <c r="G44" s="38" t="s">
        <v>711</v>
      </c>
    </row>
    <row r="45" customFormat="false" ht="42.75" hidden="false" customHeight="true" outlineLevel="0" collapsed="false">
      <c r="A45" s="38" t="s">
        <v>388</v>
      </c>
      <c r="B45" s="38" t="s">
        <v>390</v>
      </c>
      <c r="C45" s="38" t="s">
        <v>654</v>
      </c>
      <c r="D45" s="38" t="s">
        <v>712</v>
      </c>
      <c r="E45" s="38" t="s">
        <v>713</v>
      </c>
      <c r="F45" s="38" t="s">
        <v>714</v>
      </c>
      <c r="G45" s="38" t="s">
        <v>715</v>
      </c>
    </row>
    <row r="46" customFormat="false" ht="32.25" hidden="false" customHeight="true" outlineLevel="0" collapsed="false">
      <c r="A46" s="38" t="s">
        <v>26</v>
      </c>
      <c r="B46" s="38" t="s">
        <v>395</v>
      </c>
      <c r="C46" s="38" t="s">
        <v>572</v>
      </c>
      <c r="D46" s="38" t="s">
        <v>716</v>
      </c>
      <c r="E46" s="38" t="s">
        <v>717</v>
      </c>
      <c r="F46" s="38" t="s">
        <v>718</v>
      </c>
      <c r="G46" s="38" t="s">
        <v>719</v>
      </c>
    </row>
    <row r="47" customFormat="false" ht="32.25" hidden="false" customHeight="true" outlineLevel="0" collapsed="false">
      <c r="A47" s="38" t="s">
        <v>26</v>
      </c>
      <c r="B47" s="38" t="s">
        <v>395</v>
      </c>
      <c r="C47" s="38" t="s">
        <v>568</v>
      </c>
      <c r="D47" s="38" t="s">
        <v>716</v>
      </c>
      <c r="E47" s="38" t="s">
        <v>720</v>
      </c>
      <c r="F47" s="38" t="s">
        <v>721</v>
      </c>
      <c r="G47" s="38" t="s">
        <v>722</v>
      </c>
    </row>
    <row r="48" customFormat="false" ht="53.25" hidden="false" customHeight="true" outlineLevel="0" collapsed="false">
      <c r="A48" s="38" t="s">
        <v>26</v>
      </c>
      <c r="B48" s="38" t="s">
        <v>395</v>
      </c>
      <c r="C48" s="38" t="s">
        <v>723</v>
      </c>
      <c r="D48" s="38" t="s">
        <v>716</v>
      </c>
      <c r="E48" s="38" t="s">
        <v>724</v>
      </c>
      <c r="F48" s="38" t="s">
        <v>725</v>
      </c>
      <c r="G48" s="38" t="s">
        <v>726</v>
      </c>
    </row>
    <row r="49" customFormat="false" ht="32.25" hidden="false" customHeight="true" outlineLevel="0" collapsed="false">
      <c r="A49" s="38" t="s">
        <v>26</v>
      </c>
      <c r="B49" s="38" t="s">
        <v>395</v>
      </c>
      <c r="C49" s="38" t="s">
        <v>577</v>
      </c>
      <c r="D49" s="38" t="s">
        <v>716</v>
      </c>
      <c r="E49" s="38" t="s">
        <v>727</v>
      </c>
      <c r="F49" s="38" t="s">
        <v>728</v>
      </c>
      <c r="G49" s="38" t="s">
        <v>729</v>
      </c>
    </row>
    <row r="50" customFormat="false" ht="32.25" hidden="false" customHeight="true" outlineLevel="0" collapsed="false">
      <c r="A50" s="38" t="s">
        <v>26</v>
      </c>
      <c r="B50" s="38" t="s">
        <v>395</v>
      </c>
      <c r="C50" s="38" t="s">
        <v>581</v>
      </c>
      <c r="D50" s="38" t="s">
        <v>716</v>
      </c>
      <c r="E50" s="38" t="s">
        <v>730</v>
      </c>
      <c r="F50" s="38" t="s">
        <v>731</v>
      </c>
      <c r="G50" s="38" t="s">
        <v>732</v>
      </c>
    </row>
    <row r="51" customFormat="false" ht="21.75" hidden="false" customHeight="true" outlineLevel="0" collapsed="false">
      <c r="A51" s="38" t="s">
        <v>26</v>
      </c>
      <c r="B51" s="38" t="s">
        <v>395</v>
      </c>
      <c r="C51" s="38" t="s">
        <v>568</v>
      </c>
      <c r="D51" s="38" t="s">
        <v>733</v>
      </c>
      <c r="E51" s="38" t="s">
        <v>734</v>
      </c>
      <c r="F51" s="38" t="s">
        <v>735</v>
      </c>
      <c r="G51" s="38" t="s">
        <v>736</v>
      </c>
    </row>
    <row r="52" customFormat="false" ht="32.25" hidden="false" customHeight="true" outlineLevel="0" collapsed="false">
      <c r="A52" s="38" t="s">
        <v>26</v>
      </c>
      <c r="B52" s="38" t="s">
        <v>395</v>
      </c>
      <c r="C52" s="38" t="s">
        <v>568</v>
      </c>
      <c r="D52" s="38" t="s">
        <v>737</v>
      </c>
      <c r="E52" s="38" t="s">
        <v>738</v>
      </c>
      <c r="F52" s="38" t="s">
        <v>739</v>
      </c>
      <c r="G52" s="38" t="s">
        <v>740</v>
      </c>
    </row>
    <row r="53" customFormat="false" ht="21.75" hidden="false" customHeight="true" outlineLevel="0" collapsed="false">
      <c r="A53" s="38" t="s">
        <v>26</v>
      </c>
      <c r="B53" s="38" t="s">
        <v>395</v>
      </c>
      <c r="C53" s="38" t="s">
        <v>572</v>
      </c>
      <c r="D53" s="38" t="s">
        <v>741</v>
      </c>
      <c r="E53" s="38" t="s">
        <v>742</v>
      </c>
      <c r="F53" s="38" t="s">
        <v>743</v>
      </c>
      <c r="G53" s="38" t="s">
        <v>744</v>
      </c>
    </row>
    <row r="54" customFormat="false" ht="32.25" hidden="false" customHeight="true" outlineLevel="0" collapsed="false">
      <c r="A54" s="38" t="s">
        <v>399</v>
      </c>
      <c r="B54" s="38" t="s">
        <v>400</v>
      </c>
      <c r="C54" s="38" t="s">
        <v>568</v>
      </c>
      <c r="D54" s="38" t="s">
        <v>745</v>
      </c>
      <c r="E54" s="38" t="s">
        <v>746</v>
      </c>
      <c r="F54" s="38" t="s">
        <v>747</v>
      </c>
      <c r="G54" s="38" t="s">
        <v>748</v>
      </c>
    </row>
    <row r="55" customFormat="false" ht="42.75" hidden="false" customHeight="true" outlineLevel="0" collapsed="false">
      <c r="A55" s="38" t="s">
        <v>399</v>
      </c>
      <c r="B55" s="38" t="s">
        <v>400</v>
      </c>
      <c r="C55" s="38" t="s">
        <v>568</v>
      </c>
      <c r="D55" s="38" t="s">
        <v>745</v>
      </c>
      <c r="E55" s="38" t="s">
        <v>749</v>
      </c>
      <c r="F55" s="38" t="s">
        <v>747</v>
      </c>
      <c r="G55" s="38" t="s">
        <v>750</v>
      </c>
    </row>
    <row r="56" customFormat="false" ht="32.25" hidden="false" customHeight="true" outlineLevel="0" collapsed="false">
      <c r="A56" s="38" t="s">
        <v>399</v>
      </c>
      <c r="B56" s="38" t="s">
        <v>400</v>
      </c>
      <c r="C56" s="38" t="s">
        <v>577</v>
      </c>
      <c r="D56" s="38" t="s">
        <v>745</v>
      </c>
      <c r="E56" s="38" t="s">
        <v>751</v>
      </c>
      <c r="F56" s="38" t="s">
        <v>752</v>
      </c>
      <c r="G56" s="38" t="s">
        <v>753</v>
      </c>
    </row>
    <row r="57" customFormat="false" ht="42.75" hidden="false" customHeight="true" outlineLevel="0" collapsed="false">
      <c r="A57" s="38" t="s">
        <v>399</v>
      </c>
      <c r="B57" s="38" t="s">
        <v>400</v>
      </c>
      <c r="C57" s="38" t="s">
        <v>577</v>
      </c>
      <c r="D57" s="38" t="s">
        <v>745</v>
      </c>
      <c r="E57" s="38" t="s">
        <v>754</v>
      </c>
      <c r="F57" s="38" t="s">
        <v>752</v>
      </c>
      <c r="G57" s="38" t="s">
        <v>755</v>
      </c>
    </row>
    <row r="58" customFormat="false" ht="32.25" hidden="false" customHeight="true" outlineLevel="0" collapsed="false">
      <c r="A58" s="38" t="s">
        <v>399</v>
      </c>
      <c r="B58" s="38" t="s">
        <v>400</v>
      </c>
      <c r="C58" s="38" t="s">
        <v>756</v>
      </c>
      <c r="D58" s="38" t="s">
        <v>757</v>
      </c>
      <c r="E58" s="38" t="s">
        <v>758</v>
      </c>
      <c r="F58" s="38" t="s">
        <v>759</v>
      </c>
      <c r="G58" s="38" t="s">
        <v>760</v>
      </c>
    </row>
    <row r="59" customFormat="false" ht="32.25" hidden="false" customHeight="true" outlineLevel="0" collapsed="false">
      <c r="A59" s="38" t="s">
        <v>399</v>
      </c>
      <c r="B59" s="38" t="s">
        <v>400</v>
      </c>
      <c r="C59" s="38" t="s">
        <v>654</v>
      </c>
      <c r="D59" s="38" t="s">
        <v>761</v>
      </c>
      <c r="E59" s="38" t="s">
        <v>762</v>
      </c>
      <c r="F59" s="38" t="s">
        <v>763</v>
      </c>
      <c r="G59" s="38" t="s">
        <v>764</v>
      </c>
    </row>
    <row r="60" customFormat="false" ht="21.75" hidden="false" customHeight="true" outlineLevel="0" collapsed="false">
      <c r="A60" s="38" t="s">
        <v>399</v>
      </c>
      <c r="B60" s="38" t="s">
        <v>400</v>
      </c>
      <c r="C60" s="38" t="s">
        <v>654</v>
      </c>
      <c r="D60" s="38" t="s">
        <v>761</v>
      </c>
      <c r="E60" s="38" t="s">
        <v>765</v>
      </c>
      <c r="F60" s="38" t="s">
        <v>766</v>
      </c>
      <c r="G60" s="38" t="s">
        <v>767</v>
      </c>
    </row>
    <row r="61" customFormat="false" ht="21.75" hidden="false" customHeight="true" outlineLevel="0" collapsed="false">
      <c r="A61" s="38" t="s">
        <v>399</v>
      </c>
      <c r="B61" s="38" t="s">
        <v>400</v>
      </c>
      <c r="C61" s="38" t="s">
        <v>568</v>
      </c>
      <c r="D61" s="38" t="s">
        <v>768</v>
      </c>
      <c r="E61" s="38" t="s">
        <v>769</v>
      </c>
      <c r="F61" s="38" t="s">
        <v>770</v>
      </c>
      <c r="G61" s="38" t="s">
        <v>771</v>
      </c>
    </row>
    <row r="62" customFormat="false" ht="21.75" hidden="false" customHeight="true" outlineLevel="0" collapsed="false">
      <c r="A62" s="38" t="s">
        <v>399</v>
      </c>
      <c r="B62" s="38" t="s">
        <v>400</v>
      </c>
      <c r="C62" s="38" t="s">
        <v>581</v>
      </c>
      <c r="D62" s="38" t="s">
        <v>772</v>
      </c>
      <c r="E62" s="38" t="s">
        <v>773</v>
      </c>
      <c r="F62" s="38" t="s">
        <v>774</v>
      </c>
      <c r="G62" s="38" t="s">
        <v>775</v>
      </c>
    </row>
    <row r="63" customFormat="false" ht="21.75" hidden="false" customHeight="true" outlineLevel="0" collapsed="false">
      <c r="A63" s="38" t="s">
        <v>399</v>
      </c>
      <c r="B63" s="38" t="s">
        <v>400</v>
      </c>
      <c r="C63" s="38" t="s">
        <v>581</v>
      </c>
      <c r="D63" s="38" t="s">
        <v>745</v>
      </c>
      <c r="E63" s="38" t="s">
        <v>776</v>
      </c>
      <c r="F63" s="38" t="s">
        <v>777</v>
      </c>
      <c r="G63" s="38" t="s">
        <v>778</v>
      </c>
    </row>
    <row r="64" customFormat="false" ht="21.75" hidden="false" customHeight="true" outlineLevel="0" collapsed="false">
      <c r="A64" s="38" t="s">
        <v>399</v>
      </c>
      <c r="B64" s="38" t="s">
        <v>400</v>
      </c>
      <c r="C64" s="38" t="s">
        <v>581</v>
      </c>
      <c r="D64" s="38" t="s">
        <v>779</v>
      </c>
      <c r="E64" s="38" t="s">
        <v>780</v>
      </c>
      <c r="F64" s="38" t="s">
        <v>781</v>
      </c>
      <c r="G64" s="38" t="s">
        <v>782</v>
      </c>
    </row>
    <row r="65" customFormat="false" ht="21.75" hidden="false" customHeight="true" outlineLevel="0" collapsed="false">
      <c r="A65" s="38" t="s">
        <v>399</v>
      </c>
      <c r="B65" s="38" t="s">
        <v>400</v>
      </c>
      <c r="C65" s="38" t="s">
        <v>568</v>
      </c>
      <c r="D65" s="38" t="s">
        <v>783</v>
      </c>
      <c r="E65" s="38" t="s">
        <v>784</v>
      </c>
      <c r="F65" s="38" t="s">
        <v>785</v>
      </c>
      <c r="G65" s="38" t="s">
        <v>786</v>
      </c>
    </row>
    <row r="66" customFormat="false" ht="42.75" hidden="false" customHeight="true" outlineLevel="0" collapsed="false">
      <c r="A66" s="38" t="s">
        <v>404</v>
      </c>
      <c r="B66" s="38" t="s">
        <v>405</v>
      </c>
      <c r="C66" s="38" t="s">
        <v>563</v>
      </c>
      <c r="D66" s="38" t="s">
        <v>681</v>
      </c>
      <c r="E66" s="38" t="s">
        <v>787</v>
      </c>
      <c r="F66" s="38" t="s">
        <v>788</v>
      </c>
      <c r="G66" s="38" t="s">
        <v>789</v>
      </c>
    </row>
    <row r="67" customFormat="false" ht="42.75" hidden="false" customHeight="true" outlineLevel="0" collapsed="false">
      <c r="A67" s="38" t="s">
        <v>404</v>
      </c>
      <c r="B67" s="38" t="s">
        <v>405</v>
      </c>
      <c r="C67" s="38" t="s">
        <v>568</v>
      </c>
      <c r="D67" s="38" t="s">
        <v>681</v>
      </c>
      <c r="E67" s="38" t="s">
        <v>790</v>
      </c>
      <c r="F67" s="38" t="s">
        <v>791</v>
      </c>
      <c r="G67" s="38" t="s">
        <v>792</v>
      </c>
    </row>
    <row r="68" customFormat="false" ht="32.25" hidden="false" customHeight="true" outlineLevel="0" collapsed="false">
      <c r="A68" s="38" t="s">
        <v>404</v>
      </c>
      <c r="B68" s="38" t="s">
        <v>405</v>
      </c>
      <c r="C68" s="38" t="s">
        <v>577</v>
      </c>
      <c r="D68" s="38" t="s">
        <v>681</v>
      </c>
      <c r="E68" s="38" t="s">
        <v>793</v>
      </c>
      <c r="F68" s="38" t="s">
        <v>794</v>
      </c>
      <c r="G68" s="38" t="s">
        <v>795</v>
      </c>
    </row>
    <row r="69" customFormat="false" ht="32.25" hidden="false" customHeight="true" outlineLevel="0" collapsed="false">
      <c r="A69" s="38" t="s">
        <v>404</v>
      </c>
      <c r="B69" s="38" t="s">
        <v>405</v>
      </c>
      <c r="C69" s="38" t="s">
        <v>654</v>
      </c>
      <c r="D69" s="38" t="s">
        <v>796</v>
      </c>
      <c r="E69" s="38" t="s">
        <v>797</v>
      </c>
      <c r="F69" s="38" t="s">
        <v>798</v>
      </c>
      <c r="G69" s="38" t="s">
        <v>799</v>
      </c>
    </row>
    <row r="70" customFormat="false" ht="32.25" hidden="false" customHeight="true" outlineLevel="0" collapsed="false">
      <c r="A70" s="38" t="s">
        <v>404</v>
      </c>
      <c r="B70" s="38" t="s">
        <v>405</v>
      </c>
      <c r="C70" s="38" t="s">
        <v>581</v>
      </c>
      <c r="D70" s="38" t="s">
        <v>800</v>
      </c>
      <c r="E70" s="38" t="s">
        <v>801</v>
      </c>
      <c r="F70" s="38" t="s">
        <v>802</v>
      </c>
      <c r="G70" s="38" t="s">
        <v>803</v>
      </c>
    </row>
    <row r="71" customFormat="false" ht="42.75" hidden="false" customHeight="true" outlineLevel="0" collapsed="false">
      <c r="A71" s="38" t="s">
        <v>404</v>
      </c>
      <c r="B71" s="38" t="s">
        <v>405</v>
      </c>
      <c r="C71" s="38" t="s">
        <v>568</v>
      </c>
      <c r="D71" s="38" t="s">
        <v>804</v>
      </c>
      <c r="E71" s="38" t="s">
        <v>805</v>
      </c>
      <c r="F71" s="38" t="s">
        <v>806</v>
      </c>
      <c r="G71" s="38" t="s">
        <v>807</v>
      </c>
    </row>
    <row r="72" customFormat="false" ht="42.75" hidden="false" customHeight="true" outlineLevel="0" collapsed="false">
      <c r="A72" s="38" t="s">
        <v>404</v>
      </c>
      <c r="B72" s="38" t="s">
        <v>405</v>
      </c>
      <c r="C72" s="38" t="s">
        <v>568</v>
      </c>
      <c r="D72" s="38" t="s">
        <v>808</v>
      </c>
      <c r="E72" s="38" t="s">
        <v>809</v>
      </c>
      <c r="F72" s="38" t="s">
        <v>810</v>
      </c>
      <c r="G72" s="38" t="s">
        <v>811</v>
      </c>
    </row>
    <row r="73" customFormat="false" ht="42.75" hidden="false" customHeight="true" outlineLevel="0" collapsed="false">
      <c r="A73" s="38" t="s">
        <v>404</v>
      </c>
      <c r="B73" s="38" t="s">
        <v>405</v>
      </c>
      <c r="C73" s="38" t="s">
        <v>563</v>
      </c>
      <c r="D73" s="38" t="s">
        <v>812</v>
      </c>
      <c r="E73" s="38" t="s">
        <v>813</v>
      </c>
      <c r="F73" s="38" t="s">
        <v>814</v>
      </c>
      <c r="G73" s="38" t="s">
        <v>815</v>
      </c>
    </row>
    <row r="74" customFormat="false" ht="21.75" hidden="false" customHeight="true" outlineLevel="0" collapsed="false">
      <c r="A74" s="38" t="s">
        <v>404</v>
      </c>
      <c r="B74" s="38" t="s">
        <v>405</v>
      </c>
      <c r="C74" s="38" t="s">
        <v>581</v>
      </c>
      <c r="D74" s="38" t="s">
        <v>816</v>
      </c>
      <c r="E74" s="38" t="s">
        <v>817</v>
      </c>
      <c r="F74" s="38" t="s">
        <v>818</v>
      </c>
      <c r="G74" s="38" t="s">
        <v>819</v>
      </c>
    </row>
    <row r="75" customFormat="false" ht="32.25" hidden="false" customHeight="true" outlineLevel="0" collapsed="false">
      <c r="A75" s="38" t="s">
        <v>404</v>
      </c>
      <c r="B75" s="38" t="s">
        <v>405</v>
      </c>
      <c r="C75" s="38" t="s">
        <v>581</v>
      </c>
      <c r="D75" s="38" t="s">
        <v>820</v>
      </c>
      <c r="E75" s="38" t="s">
        <v>821</v>
      </c>
      <c r="F75" s="38" t="s">
        <v>822</v>
      </c>
      <c r="G75" s="38" t="s">
        <v>823</v>
      </c>
    </row>
    <row r="76" customFormat="false" ht="42.75" hidden="false" customHeight="true" outlineLevel="0" collapsed="false">
      <c r="A76" s="38" t="s">
        <v>404</v>
      </c>
      <c r="B76" s="38" t="s">
        <v>405</v>
      </c>
      <c r="C76" s="38" t="s">
        <v>581</v>
      </c>
      <c r="D76" s="38" t="s">
        <v>824</v>
      </c>
      <c r="E76" s="38" t="s">
        <v>825</v>
      </c>
      <c r="F76" s="38" t="s">
        <v>826</v>
      </c>
      <c r="G76" s="38" t="s">
        <v>827</v>
      </c>
    </row>
    <row r="77" customFormat="false" ht="32.25" hidden="false" customHeight="true" outlineLevel="0" collapsed="false">
      <c r="A77" s="38" t="s">
        <v>404</v>
      </c>
      <c r="B77" s="38" t="s">
        <v>405</v>
      </c>
      <c r="C77" s="38" t="s">
        <v>581</v>
      </c>
      <c r="D77" s="38" t="s">
        <v>594</v>
      </c>
      <c r="E77" s="38" t="s">
        <v>828</v>
      </c>
      <c r="F77" s="38" t="s">
        <v>829</v>
      </c>
      <c r="G77" s="38" t="s">
        <v>830</v>
      </c>
    </row>
    <row r="78" customFormat="false" ht="32.25" hidden="false" customHeight="true" outlineLevel="0" collapsed="false">
      <c r="A78" s="38" t="s">
        <v>404</v>
      </c>
      <c r="B78" s="38" t="s">
        <v>405</v>
      </c>
      <c r="C78" s="38" t="s">
        <v>581</v>
      </c>
      <c r="D78" s="38" t="s">
        <v>831</v>
      </c>
      <c r="E78" s="38" t="s">
        <v>832</v>
      </c>
      <c r="F78" s="38" t="s">
        <v>833</v>
      </c>
      <c r="G78" s="38" t="s">
        <v>834</v>
      </c>
    </row>
    <row r="79" customFormat="false" ht="32.25" hidden="false" customHeight="true" outlineLevel="0" collapsed="false">
      <c r="A79" s="38" t="s">
        <v>404</v>
      </c>
      <c r="B79" s="38" t="s">
        <v>405</v>
      </c>
      <c r="C79" s="38" t="s">
        <v>572</v>
      </c>
      <c r="D79" s="38" t="s">
        <v>643</v>
      </c>
      <c r="E79" s="38" t="s">
        <v>835</v>
      </c>
      <c r="F79" s="38" t="s">
        <v>836</v>
      </c>
      <c r="G79" s="38" t="s">
        <v>837</v>
      </c>
    </row>
    <row r="80" customFormat="false" ht="21.75" hidden="false" customHeight="true" outlineLevel="0" collapsed="false">
      <c r="A80" s="38" t="s">
        <v>404</v>
      </c>
      <c r="B80" s="38" t="s">
        <v>405</v>
      </c>
      <c r="C80" s="38" t="s">
        <v>581</v>
      </c>
      <c r="D80" s="38" t="s">
        <v>838</v>
      </c>
      <c r="E80" s="38" t="s">
        <v>839</v>
      </c>
      <c r="F80" s="38" t="s">
        <v>840</v>
      </c>
      <c r="G80" s="38" t="s">
        <v>841</v>
      </c>
    </row>
    <row r="81" customFormat="false" ht="21.75" hidden="false" customHeight="true" outlineLevel="0" collapsed="false">
      <c r="A81" s="38" t="s">
        <v>409</v>
      </c>
      <c r="B81" s="38" t="s">
        <v>410</v>
      </c>
      <c r="C81" s="38" t="s">
        <v>563</v>
      </c>
      <c r="D81" s="38" t="s">
        <v>842</v>
      </c>
      <c r="E81" s="38" t="s">
        <v>843</v>
      </c>
      <c r="F81" s="38" t="s">
        <v>844</v>
      </c>
      <c r="G81" s="38" t="s">
        <v>845</v>
      </c>
    </row>
    <row r="82" customFormat="false" ht="32.25" hidden="false" customHeight="true" outlineLevel="0" collapsed="false">
      <c r="A82" s="38" t="s">
        <v>409</v>
      </c>
      <c r="B82" s="38" t="s">
        <v>410</v>
      </c>
      <c r="C82" s="38" t="s">
        <v>568</v>
      </c>
      <c r="D82" s="38" t="s">
        <v>842</v>
      </c>
      <c r="E82" s="38" t="s">
        <v>846</v>
      </c>
      <c r="F82" s="38" t="s">
        <v>847</v>
      </c>
      <c r="G82" s="38" t="s">
        <v>848</v>
      </c>
    </row>
    <row r="83" customFormat="false" ht="32.25" hidden="false" customHeight="true" outlineLevel="0" collapsed="false">
      <c r="A83" s="38" t="s">
        <v>409</v>
      </c>
      <c r="B83" s="38" t="s">
        <v>410</v>
      </c>
      <c r="C83" s="38" t="s">
        <v>568</v>
      </c>
      <c r="D83" s="38" t="s">
        <v>842</v>
      </c>
      <c r="E83" s="38" t="s">
        <v>849</v>
      </c>
      <c r="F83" s="38" t="s">
        <v>850</v>
      </c>
      <c r="G83" s="38" t="s">
        <v>851</v>
      </c>
    </row>
    <row r="84" customFormat="false" ht="32.25" hidden="false" customHeight="true" outlineLevel="0" collapsed="false">
      <c r="A84" s="38" t="s">
        <v>409</v>
      </c>
      <c r="B84" s="38" t="s">
        <v>410</v>
      </c>
      <c r="C84" s="38" t="s">
        <v>568</v>
      </c>
      <c r="D84" s="38" t="s">
        <v>842</v>
      </c>
      <c r="E84" s="38" t="s">
        <v>852</v>
      </c>
      <c r="F84" s="38" t="s">
        <v>853</v>
      </c>
      <c r="G84" s="38" t="s">
        <v>852</v>
      </c>
    </row>
    <row r="85" customFormat="false" ht="42.75" hidden="false" customHeight="true" outlineLevel="0" collapsed="false">
      <c r="A85" s="38" t="s">
        <v>409</v>
      </c>
      <c r="B85" s="38" t="s">
        <v>410</v>
      </c>
      <c r="C85" s="38" t="s">
        <v>563</v>
      </c>
      <c r="D85" s="38" t="s">
        <v>854</v>
      </c>
      <c r="E85" s="38" t="s">
        <v>855</v>
      </c>
      <c r="F85" s="38" t="s">
        <v>856</v>
      </c>
      <c r="G85" s="38" t="s">
        <v>857</v>
      </c>
    </row>
    <row r="86" customFormat="false" ht="32.25" hidden="false" customHeight="true" outlineLevel="0" collapsed="false">
      <c r="A86" s="38" t="s">
        <v>409</v>
      </c>
      <c r="B86" s="38" t="s">
        <v>410</v>
      </c>
      <c r="C86" s="38" t="s">
        <v>563</v>
      </c>
      <c r="D86" s="38" t="s">
        <v>671</v>
      </c>
      <c r="E86" s="38" t="s">
        <v>858</v>
      </c>
      <c r="F86" s="38" t="s">
        <v>859</v>
      </c>
      <c r="G86" s="38" t="s">
        <v>860</v>
      </c>
    </row>
    <row r="87" customFormat="false" ht="32.25" hidden="false" customHeight="true" outlineLevel="0" collapsed="false">
      <c r="A87" s="38" t="s">
        <v>409</v>
      </c>
      <c r="B87" s="38" t="s">
        <v>410</v>
      </c>
      <c r="C87" s="38" t="s">
        <v>568</v>
      </c>
      <c r="D87" s="38" t="s">
        <v>842</v>
      </c>
      <c r="E87" s="38" t="s">
        <v>861</v>
      </c>
      <c r="F87" s="38" t="s">
        <v>862</v>
      </c>
      <c r="G87" s="38" t="s">
        <v>863</v>
      </c>
    </row>
    <row r="88" customFormat="false" ht="32.25" hidden="false" customHeight="true" outlineLevel="0" collapsed="false">
      <c r="A88" s="38" t="s">
        <v>409</v>
      </c>
      <c r="B88" s="38" t="s">
        <v>410</v>
      </c>
      <c r="C88" s="38" t="s">
        <v>563</v>
      </c>
      <c r="D88" s="38" t="s">
        <v>864</v>
      </c>
      <c r="E88" s="38" t="s">
        <v>865</v>
      </c>
      <c r="F88" s="38" t="s">
        <v>866</v>
      </c>
      <c r="G88" s="38" t="s">
        <v>867</v>
      </c>
    </row>
    <row r="89" customFormat="false" ht="32.25" hidden="false" customHeight="true" outlineLevel="0" collapsed="false">
      <c r="A89" s="38" t="s">
        <v>409</v>
      </c>
      <c r="B89" s="38" t="s">
        <v>410</v>
      </c>
      <c r="C89" s="38" t="s">
        <v>568</v>
      </c>
      <c r="D89" s="38" t="s">
        <v>868</v>
      </c>
      <c r="E89" s="38" t="s">
        <v>869</v>
      </c>
      <c r="F89" s="38" t="s">
        <v>870</v>
      </c>
      <c r="G89" s="38" t="s">
        <v>871</v>
      </c>
    </row>
    <row r="90" customFormat="false" ht="42.75" hidden="false" customHeight="true" outlineLevel="0" collapsed="false">
      <c r="A90" s="38" t="s">
        <v>409</v>
      </c>
      <c r="B90" s="38" t="s">
        <v>410</v>
      </c>
      <c r="C90" s="38" t="s">
        <v>568</v>
      </c>
      <c r="D90" s="38" t="s">
        <v>872</v>
      </c>
      <c r="E90" s="38" t="s">
        <v>873</v>
      </c>
      <c r="F90" s="38" t="s">
        <v>874</v>
      </c>
      <c r="G90" s="38" t="s">
        <v>875</v>
      </c>
    </row>
    <row r="91" customFormat="false" ht="32.25" hidden="false" customHeight="true" outlineLevel="0" collapsed="false">
      <c r="A91" s="38" t="s">
        <v>409</v>
      </c>
      <c r="B91" s="38" t="s">
        <v>410</v>
      </c>
      <c r="C91" s="38" t="s">
        <v>568</v>
      </c>
      <c r="D91" s="38" t="s">
        <v>876</v>
      </c>
      <c r="E91" s="38" t="s">
        <v>877</v>
      </c>
      <c r="F91" s="38" t="s">
        <v>878</v>
      </c>
      <c r="G91" s="38" t="s">
        <v>879</v>
      </c>
    </row>
    <row r="92" customFormat="false" ht="32.25" hidden="false" customHeight="true" outlineLevel="0" collapsed="false">
      <c r="A92" s="38" t="s">
        <v>409</v>
      </c>
      <c r="B92" s="38" t="s">
        <v>410</v>
      </c>
      <c r="C92" s="38" t="s">
        <v>568</v>
      </c>
      <c r="D92" s="38" t="s">
        <v>880</v>
      </c>
      <c r="E92" s="38" t="s">
        <v>881</v>
      </c>
      <c r="F92" s="38" t="s">
        <v>882</v>
      </c>
      <c r="G92" s="38" t="s">
        <v>883</v>
      </c>
    </row>
    <row r="93" customFormat="false" ht="32.25" hidden="false" customHeight="true" outlineLevel="0" collapsed="false">
      <c r="A93" s="38" t="s">
        <v>409</v>
      </c>
      <c r="B93" s="38" t="s">
        <v>410</v>
      </c>
      <c r="C93" s="38" t="s">
        <v>568</v>
      </c>
      <c r="D93" s="38" t="s">
        <v>884</v>
      </c>
      <c r="E93" s="38" t="s">
        <v>885</v>
      </c>
      <c r="F93" s="38" t="s">
        <v>886</v>
      </c>
      <c r="G93" s="38" t="s">
        <v>887</v>
      </c>
    </row>
    <row r="94" customFormat="false" ht="32.25" hidden="false" customHeight="true" outlineLevel="0" collapsed="false">
      <c r="A94" s="38" t="s">
        <v>409</v>
      </c>
      <c r="B94" s="38" t="s">
        <v>410</v>
      </c>
      <c r="C94" s="38" t="s">
        <v>563</v>
      </c>
      <c r="D94" s="38" t="s">
        <v>888</v>
      </c>
      <c r="E94" s="38" t="s">
        <v>889</v>
      </c>
      <c r="F94" s="38" t="s">
        <v>890</v>
      </c>
      <c r="G94" s="38" t="s">
        <v>891</v>
      </c>
    </row>
    <row r="95" customFormat="false" ht="21.75" hidden="false" customHeight="true" outlineLevel="0" collapsed="false">
      <c r="A95" s="38" t="s">
        <v>409</v>
      </c>
      <c r="B95" s="38" t="s">
        <v>410</v>
      </c>
      <c r="C95" s="38" t="s">
        <v>568</v>
      </c>
      <c r="D95" s="38" t="s">
        <v>783</v>
      </c>
      <c r="E95" s="38" t="s">
        <v>892</v>
      </c>
      <c r="F95" s="38" t="s">
        <v>893</v>
      </c>
      <c r="G95" s="38" t="s">
        <v>894</v>
      </c>
    </row>
    <row r="96" customFormat="false" ht="21.75" hidden="false" customHeight="true" outlineLevel="0" collapsed="false">
      <c r="A96" s="38" t="s">
        <v>409</v>
      </c>
      <c r="B96" s="38" t="s">
        <v>410</v>
      </c>
      <c r="C96" s="38" t="s">
        <v>572</v>
      </c>
      <c r="D96" s="38" t="s">
        <v>842</v>
      </c>
      <c r="E96" s="38" t="s">
        <v>895</v>
      </c>
      <c r="F96" s="38" t="s">
        <v>896</v>
      </c>
      <c r="G96" s="38" t="s">
        <v>897</v>
      </c>
    </row>
    <row r="97" customFormat="false" ht="21.75" hidden="false" customHeight="true" outlineLevel="0" collapsed="false">
      <c r="A97" s="38" t="s">
        <v>409</v>
      </c>
      <c r="B97" s="38" t="s">
        <v>410</v>
      </c>
      <c r="C97" s="38" t="s">
        <v>723</v>
      </c>
      <c r="D97" s="38" t="s">
        <v>898</v>
      </c>
      <c r="E97" s="38" t="s">
        <v>899</v>
      </c>
      <c r="F97" s="38" t="s">
        <v>900</v>
      </c>
      <c r="G97" s="38" t="s">
        <v>901</v>
      </c>
    </row>
    <row r="98" customFormat="false" ht="21.75" hidden="false" customHeight="true" outlineLevel="0" collapsed="false">
      <c r="A98" s="38" t="s">
        <v>409</v>
      </c>
      <c r="B98" s="38" t="s">
        <v>410</v>
      </c>
      <c r="C98" s="38" t="s">
        <v>581</v>
      </c>
      <c r="D98" s="38" t="s">
        <v>902</v>
      </c>
      <c r="E98" s="38" t="s">
        <v>903</v>
      </c>
      <c r="F98" s="38" t="s">
        <v>904</v>
      </c>
      <c r="G98" s="38" t="s">
        <v>905</v>
      </c>
    </row>
    <row r="99" customFormat="false" ht="21.75" hidden="false" customHeight="true" outlineLevel="0" collapsed="false">
      <c r="A99" s="38" t="s">
        <v>409</v>
      </c>
      <c r="B99" s="38" t="s">
        <v>410</v>
      </c>
      <c r="C99" s="38" t="s">
        <v>577</v>
      </c>
      <c r="D99" s="38" t="s">
        <v>842</v>
      </c>
      <c r="E99" s="38" t="s">
        <v>906</v>
      </c>
      <c r="F99" s="38" t="s">
        <v>907</v>
      </c>
      <c r="G99" s="38" t="s">
        <v>908</v>
      </c>
    </row>
    <row r="100" customFormat="false" ht="21.75" hidden="false" customHeight="true" outlineLevel="0" collapsed="false">
      <c r="A100" s="38" t="s">
        <v>409</v>
      </c>
      <c r="B100" s="38" t="s">
        <v>410</v>
      </c>
      <c r="C100" s="38" t="s">
        <v>568</v>
      </c>
      <c r="D100" s="38" t="s">
        <v>876</v>
      </c>
      <c r="E100" s="38" t="s">
        <v>909</v>
      </c>
      <c r="F100" s="38" t="s">
        <v>910</v>
      </c>
      <c r="G100" s="38" t="s">
        <v>911</v>
      </c>
    </row>
    <row r="101" customFormat="false" ht="32.25" hidden="false" customHeight="true" outlineLevel="0" collapsed="false">
      <c r="A101" s="38" t="s">
        <v>414</v>
      </c>
      <c r="B101" s="38" t="s">
        <v>416</v>
      </c>
      <c r="C101" s="38" t="s">
        <v>568</v>
      </c>
      <c r="D101" s="38" t="s">
        <v>912</v>
      </c>
      <c r="E101" s="38" t="s">
        <v>913</v>
      </c>
      <c r="F101" s="38" t="s">
        <v>914</v>
      </c>
      <c r="G101" s="38" t="s">
        <v>915</v>
      </c>
    </row>
    <row r="102" customFormat="false" ht="32.25" hidden="false" customHeight="true" outlineLevel="0" collapsed="false">
      <c r="A102" s="38" t="s">
        <v>414</v>
      </c>
      <c r="B102" s="38" t="s">
        <v>416</v>
      </c>
      <c r="C102" s="38" t="s">
        <v>568</v>
      </c>
      <c r="D102" s="38" t="s">
        <v>912</v>
      </c>
      <c r="E102" s="38" t="s">
        <v>916</v>
      </c>
      <c r="F102" s="38" t="s">
        <v>914</v>
      </c>
      <c r="G102" s="38" t="s">
        <v>917</v>
      </c>
    </row>
    <row r="103" customFormat="false" ht="21.75" hidden="false" customHeight="true" outlineLevel="0" collapsed="false">
      <c r="A103" s="38" t="s">
        <v>414</v>
      </c>
      <c r="B103" s="38" t="s">
        <v>416</v>
      </c>
      <c r="C103" s="38" t="s">
        <v>756</v>
      </c>
      <c r="D103" s="38" t="s">
        <v>918</v>
      </c>
      <c r="E103" s="38" t="s">
        <v>919</v>
      </c>
      <c r="F103" s="38" t="s">
        <v>920</v>
      </c>
      <c r="G103" s="38" t="s">
        <v>921</v>
      </c>
    </row>
    <row r="104" customFormat="false" ht="32.25" hidden="false" customHeight="true" outlineLevel="0" collapsed="false">
      <c r="A104" s="38" t="s">
        <v>414</v>
      </c>
      <c r="B104" s="38" t="s">
        <v>416</v>
      </c>
      <c r="C104" s="38" t="s">
        <v>577</v>
      </c>
      <c r="D104" s="38" t="s">
        <v>912</v>
      </c>
      <c r="E104" s="38" t="s">
        <v>922</v>
      </c>
      <c r="F104" s="38" t="s">
        <v>923</v>
      </c>
      <c r="G104" s="38" t="s">
        <v>924</v>
      </c>
    </row>
    <row r="105" customFormat="false" ht="21.75" hidden="false" customHeight="true" outlineLevel="0" collapsed="false">
      <c r="A105" s="38" t="s">
        <v>414</v>
      </c>
      <c r="B105" s="38" t="s">
        <v>416</v>
      </c>
      <c r="C105" s="38" t="s">
        <v>568</v>
      </c>
      <c r="D105" s="38" t="s">
        <v>925</v>
      </c>
      <c r="E105" s="38" t="s">
        <v>926</v>
      </c>
      <c r="F105" s="38" t="s">
        <v>927</v>
      </c>
      <c r="G105" s="38" t="s">
        <v>928</v>
      </c>
    </row>
    <row r="106" customFormat="false" ht="21.75" hidden="false" customHeight="true" outlineLevel="0" collapsed="false">
      <c r="A106" s="38" t="s">
        <v>414</v>
      </c>
      <c r="B106" s="38" t="s">
        <v>416</v>
      </c>
      <c r="C106" s="38" t="s">
        <v>568</v>
      </c>
      <c r="D106" s="38" t="s">
        <v>929</v>
      </c>
      <c r="E106" s="38" t="s">
        <v>930</v>
      </c>
      <c r="F106" s="38" t="s">
        <v>931</v>
      </c>
      <c r="G106" s="38" t="s">
        <v>932</v>
      </c>
    </row>
    <row r="107" customFormat="false" ht="32.25" hidden="false" customHeight="true" outlineLevel="0" collapsed="false">
      <c r="A107" s="38" t="s">
        <v>420</v>
      </c>
      <c r="B107" s="38" t="s">
        <v>416</v>
      </c>
      <c r="C107" s="38" t="s">
        <v>568</v>
      </c>
      <c r="D107" s="38" t="s">
        <v>933</v>
      </c>
      <c r="E107" s="38" t="s">
        <v>934</v>
      </c>
      <c r="F107" s="38" t="s">
        <v>935</v>
      </c>
      <c r="G107" s="38" t="s">
        <v>936</v>
      </c>
    </row>
    <row r="108" customFormat="false" ht="32.25" hidden="false" customHeight="true" outlineLevel="0" collapsed="false">
      <c r="A108" s="38" t="s">
        <v>420</v>
      </c>
      <c r="B108" s="38" t="s">
        <v>416</v>
      </c>
      <c r="C108" s="38" t="s">
        <v>563</v>
      </c>
      <c r="D108" s="38" t="s">
        <v>933</v>
      </c>
      <c r="E108" s="38" t="s">
        <v>937</v>
      </c>
      <c r="F108" s="38" t="s">
        <v>938</v>
      </c>
      <c r="G108" s="38" t="s">
        <v>939</v>
      </c>
    </row>
    <row r="109" customFormat="false" ht="53.25" hidden="false" customHeight="true" outlineLevel="0" collapsed="false">
      <c r="A109" s="38" t="s">
        <v>420</v>
      </c>
      <c r="B109" s="38" t="s">
        <v>416</v>
      </c>
      <c r="C109" s="38" t="s">
        <v>572</v>
      </c>
      <c r="D109" s="38" t="s">
        <v>933</v>
      </c>
      <c r="E109" s="38" t="s">
        <v>940</v>
      </c>
      <c r="F109" s="38" t="s">
        <v>941</v>
      </c>
      <c r="G109" s="38" t="s">
        <v>942</v>
      </c>
    </row>
    <row r="110" customFormat="false" ht="21.75" hidden="false" customHeight="true" outlineLevel="0" collapsed="false">
      <c r="A110" s="38" t="s">
        <v>420</v>
      </c>
      <c r="B110" s="38" t="s">
        <v>416</v>
      </c>
      <c r="C110" s="38" t="s">
        <v>563</v>
      </c>
      <c r="D110" s="38" t="s">
        <v>854</v>
      </c>
      <c r="E110" s="38" t="s">
        <v>943</v>
      </c>
      <c r="F110" s="38" t="s">
        <v>944</v>
      </c>
      <c r="G110" s="38" t="s">
        <v>945</v>
      </c>
    </row>
    <row r="111" customFormat="false" ht="42.75" hidden="false" customHeight="true" outlineLevel="0" collapsed="false">
      <c r="A111" s="38" t="s">
        <v>420</v>
      </c>
      <c r="B111" s="38" t="s">
        <v>416</v>
      </c>
      <c r="C111" s="38" t="s">
        <v>563</v>
      </c>
      <c r="D111" s="38" t="s">
        <v>946</v>
      </c>
      <c r="E111" s="38" t="s">
        <v>947</v>
      </c>
      <c r="F111" s="38" t="s">
        <v>948</v>
      </c>
      <c r="G111" s="38" t="s">
        <v>949</v>
      </c>
    </row>
    <row r="112" customFormat="false" ht="42.75" hidden="false" customHeight="true" outlineLevel="0" collapsed="false">
      <c r="A112" s="38" t="s">
        <v>420</v>
      </c>
      <c r="B112" s="38" t="s">
        <v>416</v>
      </c>
      <c r="C112" s="38" t="s">
        <v>611</v>
      </c>
      <c r="D112" s="38" t="s">
        <v>933</v>
      </c>
      <c r="E112" s="38" t="s">
        <v>950</v>
      </c>
      <c r="F112" s="38" t="s">
        <v>951</v>
      </c>
      <c r="G112" s="38" t="s">
        <v>952</v>
      </c>
    </row>
    <row r="113" customFormat="false" ht="21.75" hidden="false" customHeight="true" outlineLevel="0" collapsed="false">
      <c r="A113" s="38" t="s">
        <v>420</v>
      </c>
      <c r="B113" s="38" t="s">
        <v>416</v>
      </c>
      <c r="C113" s="38" t="s">
        <v>723</v>
      </c>
      <c r="D113" s="38" t="s">
        <v>918</v>
      </c>
      <c r="E113" s="38" t="s">
        <v>953</v>
      </c>
      <c r="F113" s="38" t="s">
        <v>954</v>
      </c>
      <c r="G113" s="38" t="s">
        <v>955</v>
      </c>
    </row>
    <row r="114" customFormat="false" ht="53.25" hidden="false" customHeight="true" outlineLevel="0" collapsed="false">
      <c r="A114" s="38" t="s">
        <v>425</v>
      </c>
      <c r="B114" s="38" t="s">
        <v>416</v>
      </c>
      <c r="C114" s="38" t="s">
        <v>568</v>
      </c>
      <c r="D114" s="38" t="s">
        <v>956</v>
      </c>
      <c r="E114" s="38" t="s">
        <v>957</v>
      </c>
      <c r="F114" s="38" t="s">
        <v>958</v>
      </c>
      <c r="G114" s="38" t="s">
        <v>959</v>
      </c>
    </row>
    <row r="115" customFormat="false" ht="32.25" hidden="false" customHeight="true" outlineLevel="0" collapsed="false">
      <c r="A115" s="38" t="s">
        <v>425</v>
      </c>
      <c r="B115" s="38" t="s">
        <v>416</v>
      </c>
      <c r="C115" s="38" t="s">
        <v>563</v>
      </c>
      <c r="D115" s="38" t="s">
        <v>956</v>
      </c>
      <c r="E115" s="38" t="s">
        <v>960</v>
      </c>
      <c r="F115" s="38" t="s">
        <v>961</v>
      </c>
      <c r="G115" s="38" t="s">
        <v>962</v>
      </c>
    </row>
    <row r="116" customFormat="false" ht="53.25" hidden="false" customHeight="true" outlineLevel="0" collapsed="false">
      <c r="A116" s="38" t="s">
        <v>425</v>
      </c>
      <c r="B116" s="38" t="s">
        <v>416</v>
      </c>
      <c r="C116" s="38" t="s">
        <v>577</v>
      </c>
      <c r="D116" s="38" t="s">
        <v>956</v>
      </c>
      <c r="E116" s="38" t="s">
        <v>963</v>
      </c>
      <c r="F116" s="38" t="s">
        <v>964</v>
      </c>
      <c r="G116" s="38" t="s">
        <v>965</v>
      </c>
    </row>
    <row r="117" customFormat="false" ht="53.25" hidden="false" customHeight="true" outlineLevel="0" collapsed="false">
      <c r="A117" s="38" t="s">
        <v>425</v>
      </c>
      <c r="B117" s="38" t="s">
        <v>416</v>
      </c>
      <c r="C117" s="38" t="s">
        <v>568</v>
      </c>
      <c r="D117" s="38" t="s">
        <v>966</v>
      </c>
      <c r="E117" s="38" t="s">
        <v>967</v>
      </c>
      <c r="F117" s="38" t="s">
        <v>968</v>
      </c>
      <c r="G117" s="38" t="s">
        <v>969</v>
      </c>
    </row>
    <row r="118" customFormat="false" ht="32.25" hidden="false" customHeight="true" outlineLevel="0" collapsed="false">
      <c r="A118" s="38" t="s">
        <v>425</v>
      </c>
      <c r="B118" s="38" t="s">
        <v>416</v>
      </c>
      <c r="C118" s="38" t="s">
        <v>568</v>
      </c>
      <c r="D118" s="38" t="s">
        <v>970</v>
      </c>
      <c r="E118" s="38" t="s">
        <v>971</v>
      </c>
      <c r="F118" s="38" t="s">
        <v>972</v>
      </c>
      <c r="G118" s="38" t="s">
        <v>973</v>
      </c>
    </row>
    <row r="119" customFormat="false" ht="21.75" hidden="false" customHeight="true" outlineLevel="0" collapsed="false">
      <c r="A119" s="38" t="s">
        <v>425</v>
      </c>
      <c r="B119" s="38" t="s">
        <v>416</v>
      </c>
      <c r="C119" s="38" t="s">
        <v>563</v>
      </c>
      <c r="D119" s="38" t="s">
        <v>974</v>
      </c>
      <c r="E119" s="38" t="s">
        <v>975</v>
      </c>
      <c r="F119" s="38" t="s">
        <v>976</v>
      </c>
      <c r="G119" s="38" t="s">
        <v>977</v>
      </c>
    </row>
    <row r="120" customFormat="false" ht="21.75" hidden="false" customHeight="true" outlineLevel="0" collapsed="false">
      <c r="A120" s="38" t="s">
        <v>430</v>
      </c>
      <c r="B120" s="38" t="s">
        <v>431</v>
      </c>
      <c r="C120" s="38" t="s">
        <v>568</v>
      </c>
      <c r="D120" s="38" t="s">
        <v>933</v>
      </c>
      <c r="E120" s="38" t="s">
        <v>978</v>
      </c>
      <c r="F120" s="38" t="s">
        <v>979</v>
      </c>
      <c r="G120" s="38" t="s">
        <v>980</v>
      </c>
    </row>
    <row r="121" customFormat="false" ht="42.75" hidden="false" customHeight="true" outlineLevel="0" collapsed="false">
      <c r="A121" s="38" t="s">
        <v>430</v>
      </c>
      <c r="B121" s="38" t="s">
        <v>431</v>
      </c>
      <c r="C121" s="38" t="s">
        <v>568</v>
      </c>
      <c r="D121" s="38" t="s">
        <v>933</v>
      </c>
      <c r="E121" s="38" t="s">
        <v>981</v>
      </c>
      <c r="F121" s="38" t="s">
        <v>982</v>
      </c>
      <c r="G121" s="38" t="s">
        <v>983</v>
      </c>
    </row>
    <row r="122" customFormat="false" ht="21.75" hidden="false" customHeight="true" outlineLevel="0" collapsed="false">
      <c r="A122" s="38" t="s">
        <v>430</v>
      </c>
      <c r="B122" s="38" t="s">
        <v>431</v>
      </c>
      <c r="C122" s="38" t="s">
        <v>568</v>
      </c>
      <c r="D122" s="38" t="s">
        <v>933</v>
      </c>
      <c r="E122" s="38" t="s">
        <v>984</v>
      </c>
      <c r="F122" s="38" t="s">
        <v>985</v>
      </c>
      <c r="G122" s="38" t="s">
        <v>986</v>
      </c>
    </row>
    <row r="123" customFormat="false" ht="42.75" hidden="false" customHeight="true" outlineLevel="0" collapsed="false">
      <c r="A123" s="38" t="s">
        <v>430</v>
      </c>
      <c r="B123" s="38" t="s">
        <v>431</v>
      </c>
      <c r="C123" s="38" t="s">
        <v>577</v>
      </c>
      <c r="D123" s="38" t="s">
        <v>564</v>
      </c>
      <c r="E123" s="38" t="s">
        <v>987</v>
      </c>
      <c r="F123" s="38" t="s">
        <v>988</v>
      </c>
      <c r="G123" s="38" t="s">
        <v>989</v>
      </c>
    </row>
    <row r="124" customFormat="false" ht="42.75" hidden="false" customHeight="true" outlineLevel="0" collapsed="false">
      <c r="A124" s="38" t="s">
        <v>430</v>
      </c>
      <c r="B124" s="38" t="s">
        <v>431</v>
      </c>
      <c r="C124" s="38" t="s">
        <v>568</v>
      </c>
      <c r="D124" s="38" t="s">
        <v>990</v>
      </c>
      <c r="E124" s="38" t="s">
        <v>991</v>
      </c>
      <c r="F124" s="38" t="s">
        <v>992</v>
      </c>
      <c r="G124" s="38" t="s">
        <v>993</v>
      </c>
    </row>
    <row r="125" customFormat="false" ht="21.75" hidden="false" customHeight="true" outlineLevel="0" collapsed="false">
      <c r="A125" s="38" t="s">
        <v>435</v>
      </c>
      <c r="B125" s="38" t="s">
        <v>431</v>
      </c>
      <c r="C125" s="38" t="s">
        <v>568</v>
      </c>
      <c r="D125" s="38" t="s">
        <v>956</v>
      </c>
      <c r="E125" s="38" t="s">
        <v>994</v>
      </c>
      <c r="F125" s="38" t="s">
        <v>995</v>
      </c>
      <c r="G125" s="38" t="s">
        <v>996</v>
      </c>
    </row>
    <row r="126" customFormat="false" ht="42.75" hidden="false" customHeight="true" outlineLevel="0" collapsed="false">
      <c r="A126" s="38" t="s">
        <v>435</v>
      </c>
      <c r="B126" s="38" t="s">
        <v>431</v>
      </c>
      <c r="C126" s="38" t="s">
        <v>568</v>
      </c>
      <c r="D126" s="38" t="s">
        <v>997</v>
      </c>
      <c r="E126" s="38" t="s">
        <v>998</v>
      </c>
      <c r="F126" s="38" t="s">
        <v>999</v>
      </c>
      <c r="G126" s="38" t="s">
        <v>1000</v>
      </c>
    </row>
    <row r="127" customFormat="false" ht="21.75" hidden="false" customHeight="true" outlineLevel="0" collapsed="false">
      <c r="A127" s="38" t="s">
        <v>435</v>
      </c>
      <c r="B127" s="38" t="s">
        <v>431</v>
      </c>
      <c r="C127" s="38" t="s">
        <v>581</v>
      </c>
      <c r="D127" s="38" t="s">
        <v>918</v>
      </c>
      <c r="E127" s="38" t="s">
        <v>1001</v>
      </c>
      <c r="F127" s="38" t="s">
        <v>1002</v>
      </c>
      <c r="G127" s="38" t="s">
        <v>1003</v>
      </c>
    </row>
    <row r="128" customFormat="false" ht="42.75" hidden="false" customHeight="true" outlineLevel="0" collapsed="false">
      <c r="A128" s="38" t="s">
        <v>435</v>
      </c>
      <c r="B128" s="38" t="s">
        <v>431</v>
      </c>
      <c r="C128" s="38" t="s">
        <v>577</v>
      </c>
      <c r="D128" s="38" t="s">
        <v>573</v>
      </c>
      <c r="E128" s="38" t="s">
        <v>1004</v>
      </c>
      <c r="F128" s="38" t="s">
        <v>1005</v>
      </c>
      <c r="G128" s="38" t="s">
        <v>1006</v>
      </c>
    </row>
    <row r="129" customFormat="false" ht="32.25" hidden="false" customHeight="true" outlineLevel="0" collapsed="false">
      <c r="A129" s="38" t="s">
        <v>435</v>
      </c>
      <c r="B129" s="38" t="s">
        <v>431</v>
      </c>
      <c r="C129" s="38" t="s">
        <v>568</v>
      </c>
      <c r="D129" s="38" t="s">
        <v>772</v>
      </c>
      <c r="E129" s="38" t="s">
        <v>1007</v>
      </c>
      <c r="F129" s="38" t="s">
        <v>1008</v>
      </c>
      <c r="G129" s="38" t="s">
        <v>1009</v>
      </c>
    </row>
    <row r="130" customFormat="false" ht="42.75" hidden="false" customHeight="true" outlineLevel="0" collapsed="false">
      <c r="A130" s="38" t="s">
        <v>439</v>
      </c>
      <c r="B130" s="38" t="s">
        <v>431</v>
      </c>
      <c r="C130" s="38" t="s">
        <v>568</v>
      </c>
      <c r="D130" s="38" t="s">
        <v>804</v>
      </c>
      <c r="E130" s="38" t="s">
        <v>1010</v>
      </c>
      <c r="F130" s="38" t="s">
        <v>1011</v>
      </c>
      <c r="G130" s="38" t="s">
        <v>1012</v>
      </c>
    </row>
    <row r="131" customFormat="false" ht="21.75" hidden="false" customHeight="true" outlineLevel="0" collapsed="false">
      <c r="A131" s="38" t="s">
        <v>439</v>
      </c>
      <c r="B131" s="38" t="s">
        <v>431</v>
      </c>
      <c r="C131" s="38" t="s">
        <v>563</v>
      </c>
      <c r="D131" s="38" t="s">
        <v>804</v>
      </c>
      <c r="E131" s="38" t="s">
        <v>1013</v>
      </c>
      <c r="F131" s="38" t="s">
        <v>1014</v>
      </c>
      <c r="G131" s="38" t="s">
        <v>1015</v>
      </c>
    </row>
    <row r="132" customFormat="false" ht="32.25" hidden="false" customHeight="true" outlineLevel="0" collapsed="false">
      <c r="A132" s="38" t="s">
        <v>439</v>
      </c>
      <c r="B132" s="38" t="s">
        <v>431</v>
      </c>
      <c r="C132" s="38" t="s">
        <v>577</v>
      </c>
      <c r="D132" s="38" t="s">
        <v>804</v>
      </c>
      <c r="E132" s="38" t="s">
        <v>1016</v>
      </c>
      <c r="F132" s="38" t="s">
        <v>1017</v>
      </c>
      <c r="G132" s="38" t="s">
        <v>1018</v>
      </c>
    </row>
    <row r="133" customFormat="false" ht="42.75" hidden="false" customHeight="true" outlineLevel="0" collapsed="false">
      <c r="A133" s="38" t="s">
        <v>439</v>
      </c>
      <c r="B133" s="38" t="s">
        <v>431</v>
      </c>
      <c r="C133" s="38" t="s">
        <v>581</v>
      </c>
      <c r="D133" s="38" t="s">
        <v>594</v>
      </c>
      <c r="E133" s="38" t="s">
        <v>1019</v>
      </c>
      <c r="F133" s="38" t="s">
        <v>1020</v>
      </c>
      <c r="G133" s="38" t="s">
        <v>1021</v>
      </c>
    </row>
    <row r="134" customFormat="false" ht="21.75" hidden="false" customHeight="true" outlineLevel="0" collapsed="false">
      <c r="A134" s="38" t="s">
        <v>439</v>
      </c>
      <c r="B134" s="38" t="s">
        <v>431</v>
      </c>
      <c r="C134" s="38" t="s">
        <v>581</v>
      </c>
      <c r="D134" s="38" t="s">
        <v>804</v>
      </c>
      <c r="E134" s="38" t="s">
        <v>1022</v>
      </c>
      <c r="F134" s="38" t="s">
        <v>1023</v>
      </c>
      <c r="G134" s="38" t="s">
        <v>1024</v>
      </c>
    </row>
    <row r="135" customFormat="false" ht="42.75" hidden="false" customHeight="true" outlineLevel="0" collapsed="false">
      <c r="A135" s="38" t="s">
        <v>443</v>
      </c>
      <c r="B135" s="38" t="s">
        <v>431</v>
      </c>
      <c r="C135" s="38" t="s">
        <v>568</v>
      </c>
      <c r="D135" s="38" t="s">
        <v>1025</v>
      </c>
      <c r="E135" s="38" t="s">
        <v>1026</v>
      </c>
      <c r="F135" s="38" t="s">
        <v>1027</v>
      </c>
      <c r="G135" s="38" t="s">
        <v>1028</v>
      </c>
    </row>
    <row r="136" customFormat="false" ht="21.75" hidden="false" customHeight="true" outlineLevel="0" collapsed="false">
      <c r="A136" s="38" t="s">
        <v>443</v>
      </c>
      <c r="B136" s="38" t="s">
        <v>431</v>
      </c>
      <c r="C136" s="38" t="s">
        <v>563</v>
      </c>
      <c r="D136" s="38" t="s">
        <v>1025</v>
      </c>
      <c r="E136" s="38" t="s">
        <v>1029</v>
      </c>
      <c r="F136" s="38" t="s">
        <v>1030</v>
      </c>
      <c r="G136" s="38" t="s">
        <v>1031</v>
      </c>
    </row>
    <row r="137" customFormat="false" ht="42.75" hidden="false" customHeight="true" outlineLevel="0" collapsed="false">
      <c r="A137" s="38" t="s">
        <v>443</v>
      </c>
      <c r="B137" s="38" t="s">
        <v>431</v>
      </c>
      <c r="C137" s="38" t="s">
        <v>577</v>
      </c>
      <c r="D137" s="38" t="s">
        <v>1025</v>
      </c>
      <c r="E137" s="38" t="s">
        <v>1032</v>
      </c>
      <c r="F137" s="38" t="s">
        <v>1033</v>
      </c>
      <c r="G137" s="38" t="s">
        <v>1034</v>
      </c>
    </row>
    <row r="138" customFormat="false" ht="53.25" hidden="false" customHeight="true" outlineLevel="0" collapsed="false">
      <c r="A138" s="38" t="s">
        <v>443</v>
      </c>
      <c r="B138" s="38" t="s">
        <v>431</v>
      </c>
      <c r="C138" s="38" t="s">
        <v>581</v>
      </c>
      <c r="D138" s="38" t="s">
        <v>1025</v>
      </c>
      <c r="E138" s="38" t="s">
        <v>1035</v>
      </c>
      <c r="F138" s="38" t="s">
        <v>1036</v>
      </c>
      <c r="G138" s="38" t="s">
        <v>1037</v>
      </c>
    </row>
    <row r="139" customFormat="false" ht="32.25" hidden="false" customHeight="true" outlineLevel="0" collapsed="false">
      <c r="A139" s="38" t="s">
        <v>443</v>
      </c>
      <c r="B139" s="38" t="s">
        <v>431</v>
      </c>
      <c r="C139" s="38" t="s">
        <v>581</v>
      </c>
      <c r="D139" s="38" t="s">
        <v>564</v>
      </c>
      <c r="E139" s="38" t="s">
        <v>1038</v>
      </c>
      <c r="F139" s="38" t="s">
        <v>1039</v>
      </c>
      <c r="G139" s="38" t="s">
        <v>1040</v>
      </c>
    </row>
    <row r="140" customFormat="false" ht="32.25" hidden="false" customHeight="true" outlineLevel="0" collapsed="false">
      <c r="A140" s="38" t="s">
        <v>447</v>
      </c>
      <c r="B140" s="38" t="s">
        <v>431</v>
      </c>
      <c r="C140" s="38" t="s">
        <v>563</v>
      </c>
      <c r="D140" s="38" t="s">
        <v>1041</v>
      </c>
      <c r="E140" s="38" t="s">
        <v>1042</v>
      </c>
      <c r="F140" s="38" t="s">
        <v>1043</v>
      </c>
      <c r="G140" s="38" t="s">
        <v>1044</v>
      </c>
    </row>
    <row r="141" customFormat="false" ht="42.75" hidden="false" customHeight="true" outlineLevel="0" collapsed="false">
      <c r="A141" s="38" t="s">
        <v>447</v>
      </c>
      <c r="B141" s="38" t="s">
        <v>431</v>
      </c>
      <c r="C141" s="38" t="s">
        <v>577</v>
      </c>
      <c r="D141" s="38" t="s">
        <v>1041</v>
      </c>
      <c r="E141" s="38" t="s">
        <v>1045</v>
      </c>
      <c r="F141" s="38" t="s">
        <v>1046</v>
      </c>
      <c r="G141" s="38" t="s">
        <v>1047</v>
      </c>
    </row>
    <row r="142" customFormat="false" ht="32.25" hidden="false" customHeight="true" outlineLevel="0" collapsed="false">
      <c r="A142" s="38" t="s">
        <v>447</v>
      </c>
      <c r="B142" s="38" t="s">
        <v>431</v>
      </c>
      <c r="C142" s="38" t="s">
        <v>577</v>
      </c>
      <c r="D142" s="38" t="s">
        <v>1041</v>
      </c>
      <c r="E142" s="38" t="s">
        <v>1048</v>
      </c>
      <c r="F142" s="38" t="s">
        <v>1049</v>
      </c>
      <c r="G142" s="38" t="s">
        <v>1050</v>
      </c>
    </row>
    <row r="143" customFormat="false" ht="21.75" hidden="false" customHeight="true" outlineLevel="0" collapsed="false">
      <c r="A143" s="38" t="s">
        <v>447</v>
      </c>
      <c r="B143" s="38" t="s">
        <v>431</v>
      </c>
      <c r="C143" s="38" t="s">
        <v>581</v>
      </c>
      <c r="D143" s="38" t="s">
        <v>1051</v>
      </c>
      <c r="E143" s="38" t="s">
        <v>1052</v>
      </c>
      <c r="F143" s="38" t="s">
        <v>1053</v>
      </c>
      <c r="G143" s="38" t="s">
        <v>1054</v>
      </c>
    </row>
    <row r="144" customFormat="false" ht="32.25" hidden="false" customHeight="true" outlineLevel="0" collapsed="false">
      <c r="A144" s="38" t="s">
        <v>447</v>
      </c>
      <c r="B144" s="38" t="s">
        <v>431</v>
      </c>
      <c r="C144" s="38" t="s">
        <v>611</v>
      </c>
      <c r="D144" s="38" t="s">
        <v>1041</v>
      </c>
      <c r="E144" s="38" t="s">
        <v>1055</v>
      </c>
      <c r="F144" s="38" t="s">
        <v>1056</v>
      </c>
      <c r="G144" s="38" t="s">
        <v>1057</v>
      </c>
    </row>
    <row r="145" customFormat="false" ht="21.75" hidden="false" customHeight="true" outlineLevel="0" collapsed="false">
      <c r="A145" s="38" t="s">
        <v>452</v>
      </c>
      <c r="B145" s="38" t="s">
        <v>454</v>
      </c>
      <c r="C145" s="38" t="s">
        <v>568</v>
      </c>
      <c r="D145" s="38" t="s">
        <v>876</v>
      </c>
      <c r="E145" s="38" t="s">
        <v>1058</v>
      </c>
      <c r="F145" s="38" t="s">
        <v>1059</v>
      </c>
      <c r="G145" s="38" t="s">
        <v>1060</v>
      </c>
    </row>
    <row r="146" customFormat="false" ht="32.25" hidden="false" customHeight="true" outlineLevel="0" collapsed="false">
      <c r="A146" s="38" t="s">
        <v>452</v>
      </c>
      <c r="B146" s="38" t="s">
        <v>454</v>
      </c>
      <c r="C146" s="38" t="s">
        <v>568</v>
      </c>
      <c r="D146" s="38" t="s">
        <v>876</v>
      </c>
      <c r="E146" s="38" t="s">
        <v>1058</v>
      </c>
      <c r="F146" s="38" t="s">
        <v>1059</v>
      </c>
      <c r="G146" s="38" t="s">
        <v>1061</v>
      </c>
    </row>
    <row r="147" customFormat="false" ht="32.25" hidden="false" customHeight="true" outlineLevel="0" collapsed="false">
      <c r="A147" s="38" t="s">
        <v>452</v>
      </c>
      <c r="B147" s="38" t="s">
        <v>454</v>
      </c>
      <c r="C147" s="38" t="s">
        <v>568</v>
      </c>
      <c r="D147" s="38" t="s">
        <v>876</v>
      </c>
      <c r="E147" s="38" t="s">
        <v>1058</v>
      </c>
      <c r="F147" s="38" t="s">
        <v>1059</v>
      </c>
      <c r="G147" s="38" t="s">
        <v>1062</v>
      </c>
    </row>
    <row r="148" customFormat="false" ht="42.75" hidden="false" customHeight="true" outlineLevel="0" collapsed="false">
      <c r="A148" s="38" t="s">
        <v>452</v>
      </c>
      <c r="B148" s="38" t="s">
        <v>454</v>
      </c>
      <c r="C148" s="38" t="s">
        <v>568</v>
      </c>
      <c r="D148" s="38" t="s">
        <v>876</v>
      </c>
      <c r="E148" s="38" t="s">
        <v>1058</v>
      </c>
      <c r="F148" s="38" t="s">
        <v>1059</v>
      </c>
      <c r="G148" s="38" t="s">
        <v>1063</v>
      </c>
    </row>
    <row r="149" customFormat="false" ht="63.75" hidden="false" customHeight="true" outlineLevel="0" collapsed="false">
      <c r="A149" s="38" t="s">
        <v>452</v>
      </c>
      <c r="B149" s="38" t="s">
        <v>454</v>
      </c>
      <c r="C149" s="38" t="s">
        <v>568</v>
      </c>
      <c r="D149" s="38" t="s">
        <v>876</v>
      </c>
      <c r="E149" s="38" t="s">
        <v>1058</v>
      </c>
      <c r="F149" s="38" t="s">
        <v>1059</v>
      </c>
      <c r="G149" s="38" t="s">
        <v>1064</v>
      </c>
    </row>
    <row r="150" customFormat="false" ht="32.25" hidden="false" customHeight="true" outlineLevel="0" collapsed="false">
      <c r="A150" s="38" t="s">
        <v>452</v>
      </c>
      <c r="B150" s="38" t="s">
        <v>454</v>
      </c>
      <c r="C150" s="38" t="s">
        <v>577</v>
      </c>
      <c r="D150" s="38" t="s">
        <v>1065</v>
      </c>
      <c r="E150" s="38" t="s">
        <v>1066</v>
      </c>
      <c r="F150" s="38" t="s">
        <v>1067</v>
      </c>
      <c r="G150" s="38" t="s">
        <v>1068</v>
      </c>
    </row>
    <row r="151" customFormat="false" ht="21.75" hidden="false" customHeight="true" outlineLevel="0" collapsed="false">
      <c r="A151" s="38" t="s">
        <v>452</v>
      </c>
      <c r="B151" s="38" t="s">
        <v>454</v>
      </c>
      <c r="C151" s="38" t="s">
        <v>581</v>
      </c>
      <c r="D151" s="38" t="s">
        <v>918</v>
      </c>
      <c r="E151" s="38" t="s">
        <v>1069</v>
      </c>
      <c r="F151" s="38" t="s">
        <v>1070</v>
      </c>
      <c r="G151" s="38" t="s">
        <v>1071</v>
      </c>
    </row>
    <row r="152" customFormat="false" ht="21.75" hidden="false" customHeight="true" outlineLevel="0" collapsed="false">
      <c r="A152" s="38" t="s">
        <v>458</v>
      </c>
      <c r="B152" s="38" t="s">
        <v>454</v>
      </c>
      <c r="C152" s="38" t="s">
        <v>568</v>
      </c>
      <c r="D152" s="38" t="s">
        <v>868</v>
      </c>
      <c r="E152" s="38" t="s">
        <v>1072</v>
      </c>
      <c r="F152" s="38" t="s">
        <v>1073</v>
      </c>
      <c r="G152" s="38" t="s">
        <v>1074</v>
      </c>
    </row>
    <row r="153" customFormat="false" ht="21.75" hidden="false" customHeight="true" outlineLevel="0" collapsed="false">
      <c r="A153" s="38" t="s">
        <v>458</v>
      </c>
      <c r="B153" s="38" t="s">
        <v>454</v>
      </c>
      <c r="C153" s="38" t="s">
        <v>568</v>
      </c>
      <c r="D153" s="38" t="s">
        <v>868</v>
      </c>
      <c r="E153" s="38" t="s">
        <v>1072</v>
      </c>
      <c r="F153" s="38" t="s">
        <v>1073</v>
      </c>
      <c r="G153" s="38" t="s">
        <v>1075</v>
      </c>
    </row>
    <row r="154" customFormat="false" ht="32.25" hidden="false" customHeight="true" outlineLevel="0" collapsed="false">
      <c r="A154" s="38" t="s">
        <v>458</v>
      </c>
      <c r="B154" s="38" t="s">
        <v>454</v>
      </c>
      <c r="C154" s="38" t="s">
        <v>577</v>
      </c>
      <c r="D154" s="38" t="s">
        <v>868</v>
      </c>
      <c r="E154" s="38" t="s">
        <v>1076</v>
      </c>
      <c r="F154" s="38" t="s">
        <v>1077</v>
      </c>
      <c r="G154" s="38" t="s">
        <v>1078</v>
      </c>
    </row>
    <row r="155" customFormat="false" ht="42.75" hidden="false" customHeight="true" outlineLevel="0" collapsed="false">
      <c r="A155" s="38" t="s">
        <v>458</v>
      </c>
      <c r="B155" s="38" t="s">
        <v>454</v>
      </c>
      <c r="C155" s="38" t="s">
        <v>577</v>
      </c>
      <c r="D155" s="38" t="s">
        <v>868</v>
      </c>
      <c r="E155" s="38" t="s">
        <v>1076</v>
      </c>
      <c r="F155" s="38" t="s">
        <v>1077</v>
      </c>
      <c r="G155" s="38" t="s">
        <v>1079</v>
      </c>
    </row>
    <row r="156" customFormat="false" ht="21.75" hidden="false" customHeight="true" outlineLevel="0" collapsed="false">
      <c r="A156" s="38" t="s">
        <v>458</v>
      </c>
      <c r="B156" s="38" t="s">
        <v>454</v>
      </c>
      <c r="C156" s="38" t="s">
        <v>568</v>
      </c>
      <c r="D156" s="38" t="s">
        <v>918</v>
      </c>
      <c r="E156" s="38" t="s">
        <v>1080</v>
      </c>
      <c r="F156" s="38" t="s">
        <v>1081</v>
      </c>
      <c r="G156" s="38" t="s">
        <v>1082</v>
      </c>
    </row>
    <row r="157" customFormat="false" ht="53.25" hidden="false" customHeight="true" outlineLevel="0" collapsed="false">
      <c r="A157" s="38" t="s">
        <v>463</v>
      </c>
      <c r="B157" s="38" t="s">
        <v>464</v>
      </c>
      <c r="C157" s="38" t="s">
        <v>607</v>
      </c>
      <c r="D157" s="38" t="s">
        <v>1083</v>
      </c>
      <c r="E157" s="38" t="s">
        <v>1084</v>
      </c>
      <c r="F157" s="38" t="s">
        <v>1085</v>
      </c>
      <c r="G157" s="38"/>
    </row>
    <row r="158" customFormat="false" ht="53.25" hidden="false" customHeight="true" outlineLevel="0" collapsed="false">
      <c r="A158" s="38" t="s">
        <v>463</v>
      </c>
      <c r="B158" s="38" t="s">
        <v>464</v>
      </c>
      <c r="C158" s="38" t="s">
        <v>568</v>
      </c>
      <c r="D158" s="38" t="s">
        <v>1083</v>
      </c>
      <c r="E158" s="38" t="s">
        <v>1086</v>
      </c>
      <c r="F158" s="38" t="s">
        <v>1087</v>
      </c>
      <c r="G158" s="38"/>
    </row>
    <row r="159" customFormat="false" ht="53.25" hidden="false" customHeight="true" outlineLevel="0" collapsed="false">
      <c r="A159" s="38" t="s">
        <v>463</v>
      </c>
      <c r="B159" s="38" t="s">
        <v>464</v>
      </c>
      <c r="C159" s="38" t="s">
        <v>654</v>
      </c>
      <c r="D159" s="38" t="s">
        <v>1083</v>
      </c>
      <c r="E159" s="38" t="s">
        <v>1088</v>
      </c>
      <c r="F159" s="38" t="s">
        <v>1089</v>
      </c>
      <c r="G159" s="38"/>
    </row>
    <row r="160" customFormat="false" ht="53.25" hidden="false" customHeight="true" outlineLevel="0" collapsed="false">
      <c r="A160" s="38" t="s">
        <v>468</v>
      </c>
      <c r="B160" s="38" t="s">
        <v>464</v>
      </c>
      <c r="C160" s="38" t="s">
        <v>607</v>
      </c>
      <c r="D160" s="38" t="s">
        <v>1083</v>
      </c>
      <c r="E160" s="38" t="s">
        <v>1090</v>
      </c>
      <c r="F160" s="38" t="s">
        <v>1091</v>
      </c>
      <c r="G160" s="38"/>
    </row>
    <row r="161" customFormat="false" ht="53.25" hidden="false" customHeight="true" outlineLevel="0" collapsed="false">
      <c r="A161" s="38" t="s">
        <v>468</v>
      </c>
      <c r="B161" s="38" t="s">
        <v>464</v>
      </c>
      <c r="C161" s="38" t="s">
        <v>568</v>
      </c>
      <c r="D161" s="38" t="s">
        <v>1083</v>
      </c>
      <c r="E161" s="38" t="s">
        <v>1092</v>
      </c>
      <c r="F161" s="38" t="s">
        <v>1093</v>
      </c>
      <c r="G161" s="38"/>
    </row>
    <row r="162" customFormat="false" ht="53.25" hidden="false" customHeight="true" outlineLevel="0" collapsed="false">
      <c r="A162" s="38" t="s">
        <v>472</v>
      </c>
      <c r="B162" s="38" t="s">
        <v>464</v>
      </c>
      <c r="C162" s="38" t="s">
        <v>568</v>
      </c>
      <c r="D162" s="38" t="s">
        <v>1083</v>
      </c>
      <c r="E162" s="38" t="s">
        <v>1094</v>
      </c>
      <c r="F162" s="38" t="s">
        <v>1095</v>
      </c>
      <c r="G162" s="38"/>
    </row>
    <row r="163" customFormat="false" ht="53.25" hidden="false" customHeight="true" outlineLevel="0" collapsed="false">
      <c r="A163" s="38" t="s">
        <v>472</v>
      </c>
      <c r="B163" s="38" t="s">
        <v>464</v>
      </c>
      <c r="C163" s="38" t="s">
        <v>568</v>
      </c>
      <c r="D163" s="38" t="s">
        <v>1083</v>
      </c>
      <c r="E163" s="38" t="s">
        <v>1096</v>
      </c>
      <c r="F163" s="38" t="s">
        <v>1097</v>
      </c>
      <c r="G163" s="38"/>
    </row>
    <row r="164" customFormat="false" ht="21.75" hidden="false" customHeight="true" outlineLevel="0" collapsed="false">
      <c r="A164" s="38" t="s">
        <v>477</v>
      </c>
      <c r="B164" s="38" t="s">
        <v>479</v>
      </c>
      <c r="C164" s="38" t="s">
        <v>568</v>
      </c>
      <c r="D164" s="38" t="s">
        <v>745</v>
      </c>
      <c r="E164" s="38" t="s">
        <v>1098</v>
      </c>
      <c r="F164" s="38" t="s">
        <v>747</v>
      </c>
      <c r="G164" s="38" t="s">
        <v>1099</v>
      </c>
    </row>
    <row r="165" customFormat="false" ht="21.75" hidden="false" customHeight="true" outlineLevel="0" collapsed="false">
      <c r="A165" s="38" t="s">
        <v>477</v>
      </c>
      <c r="B165" s="38" t="s">
        <v>479</v>
      </c>
      <c r="C165" s="38" t="s">
        <v>568</v>
      </c>
      <c r="D165" s="38" t="s">
        <v>628</v>
      </c>
      <c r="E165" s="38" t="s">
        <v>1100</v>
      </c>
      <c r="F165" s="38" t="s">
        <v>1101</v>
      </c>
      <c r="G165" s="38" t="s">
        <v>1102</v>
      </c>
    </row>
    <row r="166" customFormat="false" ht="21.75" hidden="false" customHeight="true" outlineLevel="0" collapsed="false">
      <c r="A166" s="38" t="s">
        <v>477</v>
      </c>
      <c r="B166" s="38" t="s">
        <v>479</v>
      </c>
      <c r="C166" s="38" t="s">
        <v>568</v>
      </c>
      <c r="D166" s="38" t="s">
        <v>628</v>
      </c>
      <c r="E166" s="38" t="s">
        <v>1103</v>
      </c>
      <c r="F166" s="38" t="s">
        <v>1101</v>
      </c>
      <c r="G166" s="38" t="s">
        <v>1104</v>
      </c>
    </row>
    <row r="167" customFormat="false" ht="21.75" hidden="false" customHeight="true" outlineLevel="0" collapsed="false">
      <c r="A167" s="38" t="s">
        <v>477</v>
      </c>
      <c r="B167" s="38" t="s">
        <v>479</v>
      </c>
      <c r="C167" s="38" t="s">
        <v>568</v>
      </c>
      <c r="D167" s="38" t="s">
        <v>1105</v>
      </c>
      <c r="E167" s="38" t="s">
        <v>1106</v>
      </c>
      <c r="F167" s="38" t="s">
        <v>1107</v>
      </c>
      <c r="G167" s="38" t="s">
        <v>1108</v>
      </c>
    </row>
    <row r="168" customFormat="false" ht="21.75" hidden="false" customHeight="true" outlineLevel="0" collapsed="false">
      <c r="A168" s="38" t="s">
        <v>477</v>
      </c>
      <c r="B168" s="38" t="s">
        <v>479</v>
      </c>
      <c r="C168" s="38" t="s">
        <v>568</v>
      </c>
      <c r="D168" s="38" t="s">
        <v>1109</v>
      </c>
      <c r="E168" s="38" t="s">
        <v>1110</v>
      </c>
      <c r="F168" s="38" t="s">
        <v>1111</v>
      </c>
      <c r="G168" s="38" t="s">
        <v>1112</v>
      </c>
    </row>
    <row r="169" customFormat="false" ht="21.75" hidden="false" customHeight="true" outlineLevel="0" collapsed="false">
      <c r="A169" s="38" t="s">
        <v>477</v>
      </c>
      <c r="B169" s="38" t="s">
        <v>479</v>
      </c>
      <c r="C169" s="38" t="s">
        <v>654</v>
      </c>
      <c r="D169" s="38" t="s">
        <v>838</v>
      </c>
      <c r="E169" s="38" t="s">
        <v>1113</v>
      </c>
      <c r="F169" s="38" t="s">
        <v>1114</v>
      </c>
      <c r="G169" s="38" t="s">
        <v>1115</v>
      </c>
    </row>
    <row r="170" customFormat="false" ht="21.75" hidden="false" customHeight="true" outlineLevel="0" collapsed="false">
      <c r="A170" s="38" t="s">
        <v>477</v>
      </c>
      <c r="B170" s="38" t="s">
        <v>479</v>
      </c>
      <c r="C170" s="38" t="s">
        <v>568</v>
      </c>
      <c r="D170" s="38" t="s">
        <v>1116</v>
      </c>
      <c r="E170" s="38" t="s">
        <v>1117</v>
      </c>
      <c r="F170" s="38" t="s">
        <v>1118</v>
      </c>
      <c r="G170" s="38" t="s">
        <v>1119</v>
      </c>
    </row>
    <row r="171" customFormat="false" ht="32.25" hidden="false" customHeight="true" outlineLevel="0" collapsed="false">
      <c r="A171" s="38" t="s">
        <v>477</v>
      </c>
      <c r="B171" s="38" t="s">
        <v>479</v>
      </c>
      <c r="C171" s="38" t="s">
        <v>568</v>
      </c>
      <c r="D171" s="38" t="s">
        <v>1120</v>
      </c>
      <c r="E171" s="38" t="s">
        <v>1121</v>
      </c>
      <c r="F171" s="38" t="s">
        <v>1122</v>
      </c>
      <c r="G171" s="38" t="s">
        <v>1123</v>
      </c>
    </row>
    <row r="172" customFormat="false" ht="32.25" hidden="false" customHeight="true" outlineLevel="0" collapsed="false">
      <c r="A172" s="38" t="s">
        <v>477</v>
      </c>
      <c r="B172" s="38" t="s">
        <v>479</v>
      </c>
      <c r="C172" s="38" t="s">
        <v>568</v>
      </c>
      <c r="D172" s="38" t="s">
        <v>1120</v>
      </c>
      <c r="E172" s="38" t="s">
        <v>1124</v>
      </c>
      <c r="F172" s="38" t="s">
        <v>1122</v>
      </c>
      <c r="G172" s="38" t="s">
        <v>1125</v>
      </c>
    </row>
    <row r="173" customFormat="false" ht="21.75" hidden="false" customHeight="true" outlineLevel="0" collapsed="false">
      <c r="A173" s="38" t="s">
        <v>477</v>
      </c>
      <c r="B173" s="38" t="s">
        <v>479</v>
      </c>
      <c r="C173" s="38" t="s">
        <v>568</v>
      </c>
      <c r="D173" s="38" t="s">
        <v>564</v>
      </c>
      <c r="E173" s="38" t="s">
        <v>1126</v>
      </c>
      <c r="F173" s="38" t="s">
        <v>1127</v>
      </c>
      <c r="G173" s="38" t="s">
        <v>1128</v>
      </c>
    </row>
    <row r="174" customFormat="false" ht="21.75" hidden="false" customHeight="true" outlineLevel="0" collapsed="false">
      <c r="A174" s="38" t="s">
        <v>477</v>
      </c>
      <c r="B174" s="38" t="s">
        <v>479</v>
      </c>
      <c r="C174" s="38" t="s">
        <v>568</v>
      </c>
      <c r="D174" s="38" t="s">
        <v>1129</v>
      </c>
      <c r="E174" s="38" t="s">
        <v>1130</v>
      </c>
      <c r="F174" s="38" t="s">
        <v>683</v>
      </c>
      <c r="G174" s="38" t="s">
        <v>1131</v>
      </c>
    </row>
    <row r="175" customFormat="false" ht="21.75" hidden="false" customHeight="true" outlineLevel="0" collapsed="false">
      <c r="A175" s="38" t="s">
        <v>477</v>
      </c>
      <c r="B175" s="38" t="s">
        <v>479</v>
      </c>
      <c r="C175" s="38" t="s">
        <v>568</v>
      </c>
      <c r="D175" s="38" t="s">
        <v>1129</v>
      </c>
      <c r="E175" s="38" t="s">
        <v>1132</v>
      </c>
      <c r="F175" s="38" t="s">
        <v>683</v>
      </c>
      <c r="G175" s="38" t="s">
        <v>1133</v>
      </c>
    </row>
    <row r="176" customFormat="false" ht="21.75" hidden="false" customHeight="true" outlineLevel="0" collapsed="false">
      <c r="A176" s="38" t="s">
        <v>477</v>
      </c>
      <c r="B176" s="38" t="s">
        <v>479</v>
      </c>
      <c r="C176" s="38" t="s">
        <v>568</v>
      </c>
      <c r="D176" s="38" t="s">
        <v>1134</v>
      </c>
      <c r="E176" s="38" t="s">
        <v>1135</v>
      </c>
      <c r="F176" s="38" t="s">
        <v>1136</v>
      </c>
      <c r="G176" s="38" t="s">
        <v>1137</v>
      </c>
    </row>
    <row r="177" customFormat="false" ht="21.75" hidden="false" customHeight="true" outlineLevel="0" collapsed="false">
      <c r="A177" s="38" t="s">
        <v>477</v>
      </c>
      <c r="B177" s="38" t="s">
        <v>479</v>
      </c>
      <c r="C177" s="38" t="s">
        <v>568</v>
      </c>
      <c r="D177" s="38" t="s">
        <v>1134</v>
      </c>
      <c r="E177" s="38" t="s">
        <v>1138</v>
      </c>
      <c r="F177" s="38" t="s">
        <v>1136</v>
      </c>
      <c r="G177" s="38" t="s">
        <v>1139</v>
      </c>
    </row>
    <row r="178" customFormat="false" ht="21.75" hidden="false" customHeight="true" outlineLevel="0" collapsed="false">
      <c r="A178" s="38" t="s">
        <v>477</v>
      </c>
      <c r="B178" s="38" t="s">
        <v>479</v>
      </c>
      <c r="C178" s="38" t="s">
        <v>568</v>
      </c>
      <c r="D178" s="38" t="s">
        <v>970</v>
      </c>
      <c r="E178" s="38" t="s">
        <v>1140</v>
      </c>
      <c r="F178" s="38" t="s">
        <v>1141</v>
      </c>
      <c r="G178" s="38" t="s">
        <v>1142</v>
      </c>
    </row>
    <row r="179" customFormat="false" ht="32.25" hidden="false" customHeight="true" outlineLevel="0" collapsed="false">
      <c r="A179" s="38" t="s">
        <v>477</v>
      </c>
      <c r="B179" s="38" t="s">
        <v>479</v>
      </c>
      <c r="C179" s="38" t="s">
        <v>654</v>
      </c>
      <c r="D179" s="38" t="s">
        <v>1143</v>
      </c>
      <c r="E179" s="38" t="s">
        <v>1144</v>
      </c>
      <c r="F179" s="38" t="s">
        <v>1145</v>
      </c>
      <c r="G179" s="38"/>
    </row>
    <row r="180" customFormat="false" ht="42.75" hidden="false" customHeight="true" outlineLevel="0" collapsed="false">
      <c r="A180" s="38" t="s">
        <v>477</v>
      </c>
      <c r="B180" s="38" t="s">
        <v>479</v>
      </c>
      <c r="C180" s="38" t="s">
        <v>654</v>
      </c>
      <c r="D180" s="38" t="s">
        <v>1146</v>
      </c>
      <c r="E180" s="38" t="s">
        <v>1147</v>
      </c>
      <c r="F180" s="38" t="s">
        <v>1148</v>
      </c>
      <c r="G180" s="38"/>
    </row>
    <row r="181" customFormat="false" ht="42.75" hidden="false" customHeight="true" outlineLevel="0" collapsed="false">
      <c r="A181" s="38" t="s">
        <v>477</v>
      </c>
      <c r="B181" s="38" t="s">
        <v>479</v>
      </c>
      <c r="C181" s="38" t="s">
        <v>568</v>
      </c>
      <c r="D181" s="38" t="s">
        <v>1149</v>
      </c>
      <c r="E181" s="38" t="s">
        <v>1150</v>
      </c>
      <c r="F181" s="38" t="s">
        <v>1151</v>
      </c>
      <c r="G181" s="38"/>
    </row>
    <row r="182" customFormat="false" ht="42.75" hidden="false" customHeight="true" outlineLevel="0" collapsed="false">
      <c r="A182" s="38" t="s">
        <v>477</v>
      </c>
      <c r="B182" s="38" t="s">
        <v>479</v>
      </c>
      <c r="C182" s="38" t="s">
        <v>568</v>
      </c>
      <c r="D182" s="38" t="s">
        <v>1152</v>
      </c>
      <c r="E182" s="38" t="s">
        <v>1153</v>
      </c>
      <c r="F182" s="38" t="s">
        <v>1154</v>
      </c>
      <c r="G182" s="38"/>
    </row>
    <row r="183" customFormat="false" ht="42.75" hidden="false" customHeight="true" outlineLevel="0" collapsed="false">
      <c r="A183" s="38" t="s">
        <v>477</v>
      </c>
      <c r="B183" s="38" t="s">
        <v>479</v>
      </c>
      <c r="C183" s="38" t="s">
        <v>568</v>
      </c>
      <c r="D183" s="38" t="s">
        <v>1155</v>
      </c>
      <c r="E183" s="38" t="s">
        <v>1156</v>
      </c>
      <c r="F183" s="38" t="s">
        <v>1157</v>
      </c>
      <c r="G183" s="38"/>
    </row>
    <row r="184" customFormat="false" ht="53.25" hidden="false" customHeight="true" outlineLevel="0" collapsed="false">
      <c r="A184" s="38" t="s">
        <v>477</v>
      </c>
      <c r="B184" s="38" t="s">
        <v>479</v>
      </c>
      <c r="C184" s="38" t="s">
        <v>654</v>
      </c>
      <c r="D184" s="38" t="s">
        <v>712</v>
      </c>
      <c r="E184" s="38" t="s">
        <v>1158</v>
      </c>
      <c r="F184" s="38" t="s">
        <v>714</v>
      </c>
      <c r="G184" s="38"/>
    </row>
    <row r="185" customFormat="false" ht="32.25" hidden="false" customHeight="true" outlineLevel="0" collapsed="false">
      <c r="A185" s="38" t="s">
        <v>477</v>
      </c>
      <c r="B185" s="38" t="s">
        <v>479</v>
      </c>
      <c r="C185" s="38" t="s">
        <v>568</v>
      </c>
      <c r="D185" s="38" t="s">
        <v>854</v>
      </c>
      <c r="E185" s="38" t="s">
        <v>1159</v>
      </c>
      <c r="F185" s="38" t="s">
        <v>1160</v>
      </c>
      <c r="G185" s="38"/>
    </row>
    <row r="186" customFormat="false" ht="42.75" hidden="false" customHeight="true" outlineLevel="0" collapsed="false">
      <c r="A186" s="38" t="s">
        <v>477</v>
      </c>
      <c r="B186" s="38" t="s">
        <v>479</v>
      </c>
      <c r="C186" s="38" t="s">
        <v>581</v>
      </c>
      <c r="D186" s="38" t="s">
        <v>970</v>
      </c>
      <c r="E186" s="38" t="s">
        <v>1161</v>
      </c>
      <c r="F186" s="38" t="s">
        <v>1162</v>
      </c>
      <c r="G186" s="38"/>
    </row>
    <row r="187" customFormat="false" ht="21.75" hidden="false" customHeight="true" outlineLevel="0" collapsed="false">
      <c r="A187" s="38" t="s">
        <v>33</v>
      </c>
      <c r="B187" s="38" t="s">
        <v>484</v>
      </c>
      <c r="C187" s="38" t="s">
        <v>568</v>
      </c>
      <c r="D187" s="38" t="s">
        <v>1163</v>
      </c>
      <c r="E187" s="38" t="s">
        <v>1164</v>
      </c>
      <c r="F187" s="38" t="s">
        <v>1165</v>
      </c>
      <c r="G187" s="38"/>
    </row>
    <row r="188" customFormat="false" ht="21.75" hidden="false" customHeight="true" outlineLevel="0" collapsed="false">
      <c r="A188" s="38" t="s">
        <v>33</v>
      </c>
      <c r="B188" s="38" t="s">
        <v>484</v>
      </c>
      <c r="C188" s="38" t="s">
        <v>568</v>
      </c>
      <c r="D188" s="38" t="s">
        <v>733</v>
      </c>
      <c r="E188" s="38" t="s">
        <v>1166</v>
      </c>
      <c r="F188" s="38" t="s">
        <v>1167</v>
      </c>
      <c r="G188" s="38"/>
    </row>
    <row r="189" customFormat="false" ht="21.75" hidden="false" customHeight="true" outlineLevel="0" collapsed="false">
      <c r="A189" s="38" t="s">
        <v>33</v>
      </c>
      <c r="B189" s="38" t="s">
        <v>484</v>
      </c>
      <c r="C189" s="38" t="s">
        <v>568</v>
      </c>
      <c r="D189" s="38" t="s">
        <v>1168</v>
      </c>
      <c r="E189" s="38" t="s">
        <v>1169</v>
      </c>
      <c r="F189" s="38" t="s">
        <v>1170</v>
      </c>
      <c r="G189" s="38"/>
    </row>
    <row r="190" customFormat="false" ht="32.25" hidden="false" customHeight="true" outlineLevel="0" collapsed="false">
      <c r="A190" s="38" t="s">
        <v>33</v>
      </c>
      <c r="B190" s="38" t="s">
        <v>484</v>
      </c>
      <c r="C190" s="38" t="s">
        <v>568</v>
      </c>
      <c r="D190" s="38" t="s">
        <v>1171</v>
      </c>
      <c r="E190" s="38" t="s">
        <v>1172</v>
      </c>
      <c r="F190" s="38" t="s">
        <v>1173</v>
      </c>
      <c r="G190" s="38"/>
    </row>
    <row r="191" customFormat="false" ht="32.25" hidden="false" customHeight="true" outlineLevel="0" collapsed="false">
      <c r="A191" s="38" t="s">
        <v>33</v>
      </c>
      <c r="B191" s="38" t="s">
        <v>484</v>
      </c>
      <c r="C191" s="38" t="s">
        <v>568</v>
      </c>
      <c r="D191" s="38" t="s">
        <v>663</v>
      </c>
      <c r="E191" s="38" t="s">
        <v>1174</v>
      </c>
      <c r="F191" s="38" t="s">
        <v>1175</v>
      </c>
      <c r="G191" s="38"/>
    </row>
    <row r="192" customFormat="false" ht="32.25" hidden="false" customHeight="true" outlineLevel="0" collapsed="false">
      <c r="A192" s="38" t="s">
        <v>488</v>
      </c>
      <c r="B192" s="38" t="s">
        <v>484</v>
      </c>
      <c r="C192" s="38" t="s">
        <v>654</v>
      </c>
      <c r="D192" s="38" t="s">
        <v>768</v>
      </c>
      <c r="E192" s="38" t="s">
        <v>1176</v>
      </c>
      <c r="F192" s="38" t="s">
        <v>1177</v>
      </c>
      <c r="G192" s="38"/>
    </row>
    <row r="193" customFormat="false" ht="21.75" hidden="false" customHeight="true" outlineLevel="0" collapsed="false">
      <c r="A193" s="38" t="s">
        <v>488</v>
      </c>
      <c r="B193" s="38" t="s">
        <v>484</v>
      </c>
      <c r="C193" s="38" t="s">
        <v>654</v>
      </c>
      <c r="D193" s="38" t="s">
        <v>1178</v>
      </c>
      <c r="E193" s="38" t="s">
        <v>1179</v>
      </c>
      <c r="F193" s="38" t="s">
        <v>1177</v>
      </c>
      <c r="G193" s="38"/>
    </row>
    <row r="194" customFormat="false" ht="21.75" hidden="false" customHeight="true" outlineLevel="0" collapsed="false">
      <c r="A194" s="38" t="s">
        <v>488</v>
      </c>
      <c r="B194" s="38" t="s">
        <v>484</v>
      </c>
      <c r="C194" s="38" t="s">
        <v>581</v>
      </c>
      <c r="D194" s="38" t="s">
        <v>1180</v>
      </c>
      <c r="E194" s="38" t="s">
        <v>1181</v>
      </c>
      <c r="F194" s="38" t="s">
        <v>1182</v>
      </c>
      <c r="G194" s="38"/>
    </row>
    <row r="195" customFormat="false" ht="21.75" hidden="false" customHeight="true" outlineLevel="0" collapsed="false">
      <c r="A195" s="38" t="s">
        <v>488</v>
      </c>
      <c r="B195" s="38" t="s">
        <v>484</v>
      </c>
      <c r="C195" s="38" t="s">
        <v>581</v>
      </c>
      <c r="D195" s="38" t="s">
        <v>1183</v>
      </c>
      <c r="E195" s="38" t="s">
        <v>1184</v>
      </c>
      <c r="F195" s="38" t="s">
        <v>1162</v>
      </c>
      <c r="G195" s="38"/>
    </row>
    <row r="196" customFormat="false" ht="21.75" hidden="false" customHeight="true" outlineLevel="0" collapsed="false">
      <c r="A196" s="38" t="s">
        <v>488</v>
      </c>
      <c r="B196" s="38" t="s">
        <v>484</v>
      </c>
      <c r="C196" s="38" t="s">
        <v>581</v>
      </c>
      <c r="D196" s="38" t="s">
        <v>970</v>
      </c>
      <c r="E196" s="38" t="s">
        <v>1185</v>
      </c>
      <c r="F196" s="38" t="s">
        <v>1186</v>
      </c>
      <c r="G196" s="38"/>
    </row>
    <row r="197" customFormat="false" ht="21.75" hidden="false" customHeight="true" outlineLevel="0" collapsed="false">
      <c r="A197" s="38" t="s">
        <v>488</v>
      </c>
      <c r="B197" s="38" t="s">
        <v>484</v>
      </c>
      <c r="C197" s="38" t="s">
        <v>581</v>
      </c>
      <c r="D197" s="38" t="s">
        <v>708</v>
      </c>
      <c r="E197" s="38" t="s">
        <v>1187</v>
      </c>
      <c r="F197" s="38" t="s">
        <v>1188</v>
      </c>
      <c r="G197" s="38"/>
    </row>
    <row r="198" customFormat="false" ht="32.25" hidden="false" customHeight="true" outlineLevel="0" collapsed="false">
      <c r="A198" s="38" t="s">
        <v>492</v>
      </c>
      <c r="B198" s="38" t="s">
        <v>484</v>
      </c>
      <c r="C198" s="38" t="s">
        <v>654</v>
      </c>
      <c r="D198" s="38" t="s">
        <v>1189</v>
      </c>
      <c r="E198" s="38" t="s">
        <v>1190</v>
      </c>
      <c r="F198" s="38" t="s">
        <v>1177</v>
      </c>
      <c r="G198" s="38"/>
    </row>
    <row r="199" customFormat="false" ht="21.75" hidden="false" customHeight="true" outlineLevel="0" collapsed="false">
      <c r="A199" s="38" t="s">
        <v>492</v>
      </c>
      <c r="B199" s="38" t="s">
        <v>484</v>
      </c>
      <c r="C199" s="38" t="s">
        <v>581</v>
      </c>
      <c r="D199" s="38" t="s">
        <v>708</v>
      </c>
      <c r="E199" s="38" t="s">
        <v>1191</v>
      </c>
      <c r="F199" s="38" t="s">
        <v>1188</v>
      </c>
      <c r="G199" s="38"/>
    </row>
    <row r="200" customFormat="false" ht="21.75" hidden="false" customHeight="true" outlineLevel="0" collapsed="false">
      <c r="A200" s="38" t="s">
        <v>492</v>
      </c>
      <c r="B200" s="38" t="s">
        <v>484</v>
      </c>
      <c r="C200" s="38" t="s">
        <v>581</v>
      </c>
      <c r="D200" s="38" t="s">
        <v>708</v>
      </c>
      <c r="E200" s="38" t="s">
        <v>1192</v>
      </c>
      <c r="F200" s="38" t="s">
        <v>1186</v>
      </c>
      <c r="G200" s="38"/>
    </row>
    <row r="201" customFormat="false" ht="32.25" hidden="false" customHeight="true" outlineLevel="0" collapsed="false">
      <c r="A201" s="38" t="s">
        <v>492</v>
      </c>
      <c r="B201" s="38" t="s">
        <v>484</v>
      </c>
      <c r="C201" s="38" t="s">
        <v>581</v>
      </c>
      <c r="D201" s="38" t="s">
        <v>1193</v>
      </c>
      <c r="E201" s="38" t="s">
        <v>1194</v>
      </c>
      <c r="F201" s="38" t="s">
        <v>1186</v>
      </c>
      <c r="G201" s="38"/>
    </row>
    <row r="202" customFormat="false" ht="21.75" hidden="false" customHeight="true" outlineLevel="0" collapsed="false">
      <c r="A202" s="38" t="s">
        <v>492</v>
      </c>
      <c r="B202" s="38" t="s">
        <v>484</v>
      </c>
      <c r="C202" s="38" t="s">
        <v>654</v>
      </c>
      <c r="D202" s="38" t="s">
        <v>1195</v>
      </c>
      <c r="E202" s="38" t="s">
        <v>1196</v>
      </c>
      <c r="F202" s="38" t="s">
        <v>1177</v>
      </c>
      <c r="G202" s="38"/>
    </row>
    <row r="203" customFormat="false" ht="32.25" hidden="false" customHeight="true" outlineLevel="0" collapsed="false">
      <c r="A203" s="38" t="s">
        <v>496</v>
      </c>
      <c r="B203" s="38" t="s">
        <v>497</v>
      </c>
      <c r="C203" s="38" t="s">
        <v>1197</v>
      </c>
      <c r="D203" s="38" t="s">
        <v>636</v>
      </c>
      <c r="E203" s="38" t="s">
        <v>1198</v>
      </c>
      <c r="F203" s="38" t="s">
        <v>1199</v>
      </c>
      <c r="G203" s="38" t="s">
        <v>1200</v>
      </c>
    </row>
    <row r="204" customFormat="false" ht="32.25" hidden="false" customHeight="true" outlineLevel="0" collapsed="false">
      <c r="A204" s="38" t="s">
        <v>496</v>
      </c>
      <c r="B204" s="38" t="s">
        <v>497</v>
      </c>
      <c r="C204" s="38" t="s">
        <v>1201</v>
      </c>
      <c r="D204" s="38" t="s">
        <v>636</v>
      </c>
      <c r="E204" s="38" t="s">
        <v>1202</v>
      </c>
      <c r="F204" s="38" t="s">
        <v>1203</v>
      </c>
      <c r="G204" s="38" t="s">
        <v>1204</v>
      </c>
    </row>
    <row r="205" customFormat="false" ht="32.25" hidden="false" customHeight="true" outlineLevel="0" collapsed="false">
      <c r="A205" s="38" t="s">
        <v>496</v>
      </c>
      <c r="B205" s="38" t="s">
        <v>497</v>
      </c>
      <c r="C205" s="38" t="s">
        <v>1205</v>
      </c>
      <c r="D205" s="38" t="s">
        <v>636</v>
      </c>
      <c r="E205" s="38" t="s">
        <v>1206</v>
      </c>
      <c r="F205" s="38" t="s">
        <v>1207</v>
      </c>
      <c r="G205" s="38" t="s">
        <v>1208</v>
      </c>
    </row>
    <row r="206" customFormat="false" ht="32.25" hidden="false" customHeight="true" outlineLevel="0" collapsed="false">
      <c r="A206" s="38" t="s">
        <v>496</v>
      </c>
      <c r="B206" s="38" t="s">
        <v>497</v>
      </c>
      <c r="C206" s="38" t="s">
        <v>1209</v>
      </c>
      <c r="D206" s="38" t="s">
        <v>1210</v>
      </c>
      <c r="E206" s="38" t="s">
        <v>1211</v>
      </c>
      <c r="F206" s="38" t="s">
        <v>1212</v>
      </c>
      <c r="G206" s="38" t="s">
        <v>1213</v>
      </c>
    </row>
    <row r="207" customFormat="false" ht="32.25" hidden="false" customHeight="true" outlineLevel="0" collapsed="false">
      <c r="A207" s="38" t="s">
        <v>496</v>
      </c>
      <c r="B207" s="38" t="s">
        <v>497</v>
      </c>
      <c r="C207" s="38" t="s">
        <v>1214</v>
      </c>
      <c r="D207" s="38" t="s">
        <v>636</v>
      </c>
      <c r="E207" s="38" t="s">
        <v>1215</v>
      </c>
      <c r="F207" s="38" t="s">
        <v>1216</v>
      </c>
      <c r="G207" s="38" t="s">
        <v>1217</v>
      </c>
    </row>
    <row r="208" customFormat="false" ht="32.25" hidden="false" customHeight="true" outlineLevel="0" collapsed="false">
      <c r="A208" s="38" t="s">
        <v>496</v>
      </c>
      <c r="B208" s="38" t="s">
        <v>497</v>
      </c>
      <c r="C208" s="38" t="s">
        <v>1218</v>
      </c>
      <c r="D208" s="38" t="s">
        <v>1219</v>
      </c>
      <c r="E208" s="38" t="s">
        <v>1220</v>
      </c>
      <c r="F208" s="38" t="s">
        <v>1221</v>
      </c>
      <c r="G208" s="38" t="s">
        <v>1222</v>
      </c>
    </row>
    <row r="209" customFormat="false" ht="42.75" hidden="false" customHeight="true" outlineLevel="0" collapsed="false">
      <c r="A209" s="38" t="s">
        <v>496</v>
      </c>
      <c r="B209" s="38" t="s">
        <v>497</v>
      </c>
      <c r="C209" s="38" t="s">
        <v>1209</v>
      </c>
      <c r="D209" s="38" t="s">
        <v>636</v>
      </c>
      <c r="E209" s="38" t="s">
        <v>1223</v>
      </c>
      <c r="F209" s="38" t="s">
        <v>1224</v>
      </c>
      <c r="G209" s="38" t="s">
        <v>1225</v>
      </c>
    </row>
    <row r="210" customFormat="false" ht="32.25" hidden="false" customHeight="true" outlineLevel="0" collapsed="false">
      <c r="A210" s="38" t="s">
        <v>496</v>
      </c>
      <c r="B210" s="38" t="s">
        <v>497</v>
      </c>
      <c r="C210" s="38" t="s">
        <v>1226</v>
      </c>
      <c r="D210" s="38" t="s">
        <v>1227</v>
      </c>
      <c r="E210" s="38" t="s">
        <v>1228</v>
      </c>
      <c r="F210" s="38" t="s">
        <v>1229</v>
      </c>
      <c r="G210" s="38" t="s">
        <v>1230</v>
      </c>
    </row>
    <row r="211" customFormat="false" ht="42.75" hidden="false" customHeight="true" outlineLevel="0" collapsed="false">
      <c r="A211" s="38" t="s">
        <v>501</v>
      </c>
      <c r="B211" s="38" t="s">
        <v>497</v>
      </c>
      <c r="C211" s="38" t="s">
        <v>1197</v>
      </c>
      <c r="D211" s="38" t="s">
        <v>1231</v>
      </c>
      <c r="E211" s="38" t="s">
        <v>1232</v>
      </c>
      <c r="F211" s="38" t="s">
        <v>1233</v>
      </c>
      <c r="G211" s="38" t="s">
        <v>1234</v>
      </c>
    </row>
    <row r="212" customFormat="false" ht="53.25" hidden="false" customHeight="true" outlineLevel="0" collapsed="false">
      <c r="A212" s="38" t="s">
        <v>501</v>
      </c>
      <c r="B212" s="38" t="s">
        <v>497</v>
      </c>
      <c r="C212" s="38" t="s">
        <v>1235</v>
      </c>
      <c r="D212" s="38" t="s">
        <v>1231</v>
      </c>
      <c r="E212" s="38" t="s">
        <v>1236</v>
      </c>
      <c r="F212" s="38" t="s">
        <v>1237</v>
      </c>
      <c r="G212" s="38" t="s">
        <v>1238</v>
      </c>
    </row>
    <row r="213" customFormat="false" ht="32.25" hidden="false" customHeight="true" outlineLevel="0" collapsed="false">
      <c r="A213" s="38" t="s">
        <v>501</v>
      </c>
      <c r="B213" s="38" t="s">
        <v>497</v>
      </c>
      <c r="C213" s="38" t="s">
        <v>1239</v>
      </c>
      <c r="D213" s="38" t="s">
        <v>902</v>
      </c>
      <c r="E213" s="38" t="s">
        <v>1240</v>
      </c>
      <c r="F213" s="38" t="s">
        <v>1241</v>
      </c>
      <c r="G213" s="38" t="s">
        <v>1242</v>
      </c>
    </row>
    <row r="214" customFormat="false" ht="21.75" hidden="false" customHeight="true" outlineLevel="0" collapsed="false">
      <c r="A214" s="38" t="s">
        <v>501</v>
      </c>
      <c r="B214" s="38" t="s">
        <v>497</v>
      </c>
      <c r="C214" s="38" t="s">
        <v>1243</v>
      </c>
      <c r="D214" s="38" t="s">
        <v>902</v>
      </c>
      <c r="E214" s="38" t="s">
        <v>1244</v>
      </c>
      <c r="F214" s="38" t="s">
        <v>1245</v>
      </c>
      <c r="G214" s="38" t="s">
        <v>1244</v>
      </c>
    </row>
    <row r="215" customFormat="false" ht="21.75" hidden="false" customHeight="true" outlineLevel="0" collapsed="false">
      <c r="A215" s="38" t="s">
        <v>501</v>
      </c>
      <c r="B215" s="38" t="s">
        <v>497</v>
      </c>
      <c r="C215" s="38" t="s">
        <v>1246</v>
      </c>
      <c r="D215" s="38" t="s">
        <v>902</v>
      </c>
      <c r="E215" s="38" t="s">
        <v>1247</v>
      </c>
      <c r="F215" s="38" t="s">
        <v>1248</v>
      </c>
      <c r="G215" s="38" t="s">
        <v>1249</v>
      </c>
    </row>
    <row r="216" customFormat="false" ht="32.25" hidden="false" customHeight="true" outlineLevel="0" collapsed="false">
      <c r="A216" s="38" t="s">
        <v>501</v>
      </c>
      <c r="B216" s="38" t="s">
        <v>497</v>
      </c>
      <c r="C216" s="38" t="s">
        <v>1250</v>
      </c>
      <c r="D216" s="38" t="s">
        <v>1251</v>
      </c>
      <c r="E216" s="38" t="s">
        <v>1252</v>
      </c>
      <c r="F216" s="38" t="s">
        <v>1253</v>
      </c>
      <c r="G216" s="38" t="s">
        <v>1254</v>
      </c>
    </row>
    <row r="217" customFormat="false" ht="21.75" hidden="false" customHeight="true" outlineLevel="0" collapsed="false">
      <c r="A217" s="38" t="s">
        <v>501</v>
      </c>
      <c r="B217" s="38" t="s">
        <v>497</v>
      </c>
      <c r="C217" s="38" t="s">
        <v>1255</v>
      </c>
      <c r="D217" s="38" t="s">
        <v>902</v>
      </c>
      <c r="E217" s="38" t="s">
        <v>1256</v>
      </c>
      <c r="F217" s="38" t="s">
        <v>1257</v>
      </c>
      <c r="G217" s="38" t="s">
        <v>1258</v>
      </c>
    </row>
    <row r="218" customFormat="false" ht="42.75" hidden="false" customHeight="true" outlineLevel="0" collapsed="false">
      <c r="A218" s="38" t="s">
        <v>505</v>
      </c>
      <c r="B218" s="38" t="s">
        <v>497</v>
      </c>
      <c r="C218" s="38" t="s">
        <v>1197</v>
      </c>
      <c r="D218" s="38" t="s">
        <v>573</v>
      </c>
      <c r="E218" s="38" t="s">
        <v>1259</v>
      </c>
      <c r="F218" s="38" t="s">
        <v>1260</v>
      </c>
      <c r="G218" s="38" t="s">
        <v>1261</v>
      </c>
    </row>
    <row r="219" customFormat="false" ht="32.25" hidden="false" customHeight="true" outlineLevel="0" collapsed="false">
      <c r="A219" s="38" t="s">
        <v>505</v>
      </c>
      <c r="B219" s="38" t="s">
        <v>497</v>
      </c>
      <c r="C219" s="38" t="s">
        <v>1262</v>
      </c>
      <c r="D219" s="38" t="s">
        <v>573</v>
      </c>
      <c r="E219" s="38" t="s">
        <v>1263</v>
      </c>
      <c r="F219" s="38" t="s">
        <v>1264</v>
      </c>
      <c r="G219" s="38" t="s">
        <v>1265</v>
      </c>
    </row>
    <row r="220" customFormat="false" ht="32.25" hidden="false" customHeight="true" outlineLevel="0" collapsed="false">
      <c r="A220" s="38" t="s">
        <v>505</v>
      </c>
      <c r="B220" s="38" t="s">
        <v>497</v>
      </c>
      <c r="C220" s="38" t="s">
        <v>1266</v>
      </c>
      <c r="D220" s="38" t="s">
        <v>573</v>
      </c>
      <c r="E220" s="38" t="s">
        <v>1267</v>
      </c>
      <c r="F220" s="38" t="s">
        <v>1268</v>
      </c>
      <c r="G220" s="38" t="s">
        <v>1269</v>
      </c>
    </row>
    <row r="221" customFormat="false" ht="42.75" hidden="false" customHeight="true" outlineLevel="0" collapsed="false">
      <c r="A221" s="38" t="s">
        <v>505</v>
      </c>
      <c r="B221" s="38" t="s">
        <v>497</v>
      </c>
      <c r="C221" s="38" t="s">
        <v>1270</v>
      </c>
      <c r="D221" s="38" t="s">
        <v>573</v>
      </c>
      <c r="E221" s="38" t="s">
        <v>1271</v>
      </c>
      <c r="F221" s="38" t="s">
        <v>1272</v>
      </c>
      <c r="G221" s="38" t="s">
        <v>1273</v>
      </c>
    </row>
    <row r="222" customFormat="false" ht="32.25" hidden="false" customHeight="true" outlineLevel="0" collapsed="false">
      <c r="A222" s="38" t="s">
        <v>505</v>
      </c>
      <c r="B222" s="38" t="s">
        <v>497</v>
      </c>
      <c r="C222" s="38" t="s">
        <v>1218</v>
      </c>
      <c r="D222" s="38" t="s">
        <v>573</v>
      </c>
      <c r="E222" s="38" t="s">
        <v>1274</v>
      </c>
      <c r="F222" s="38" t="s">
        <v>1275</v>
      </c>
      <c r="G222" s="38" t="s">
        <v>1276</v>
      </c>
    </row>
    <row r="223" customFormat="false" ht="32.25" hidden="false" customHeight="true" outlineLevel="0" collapsed="false">
      <c r="A223" s="38" t="s">
        <v>505</v>
      </c>
      <c r="B223" s="38" t="s">
        <v>497</v>
      </c>
      <c r="C223" s="38" t="s">
        <v>1218</v>
      </c>
      <c r="D223" s="38" t="s">
        <v>573</v>
      </c>
      <c r="E223" s="38" t="s">
        <v>1277</v>
      </c>
      <c r="F223" s="38" t="s">
        <v>1278</v>
      </c>
      <c r="G223" s="38" t="s">
        <v>1279</v>
      </c>
    </row>
    <row r="224" customFormat="false" ht="32.25" hidden="false" customHeight="true" outlineLevel="0" collapsed="false">
      <c r="A224" s="38" t="s">
        <v>510</v>
      </c>
      <c r="B224" s="38" t="s">
        <v>512</v>
      </c>
      <c r="C224" s="38" t="s">
        <v>1280</v>
      </c>
      <c r="D224" s="38" t="s">
        <v>1227</v>
      </c>
      <c r="E224" s="38" t="s">
        <v>1281</v>
      </c>
      <c r="F224" s="38" t="s">
        <v>1282</v>
      </c>
      <c r="G224" s="38" t="s">
        <v>1283</v>
      </c>
    </row>
    <row r="225" customFormat="false" ht="42.75" hidden="false" customHeight="true" outlineLevel="0" collapsed="false">
      <c r="A225" s="38" t="s">
        <v>510</v>
      </c>
      <c r="B225" s="38" t="s">
        <v>512</v>
      </c>
      <c r="C225" s="38" t="s">
        <v>1284</v>
      </c>
      <c r="D225" s="38" t="s">
        <v>1025</v>
      </c>
      <c r="E225" s="38" t="s">
        <v>1285</v>
      </c>
      <c r="F225" s="38" t="s">
        <v>1286</v>
      </c>
      <c r="G225" s="38" t="s">
        <v>1287</v>
      </c>
    </row>
    <row r="226" customFormat="false" ht="32.25" hidden="false" customHeight="true" outlineLevel="0" collapsed="false">
      <c r="A226" s="38" t="s">
        <v>510</v>
      </c>
      <c r="B226" s="38" t="s">
        <v>512</v>
      </c>
      <c r="C226" s="38" t="s">
        <v>1280</v>
      </c>
      <c r="D226" s="38" t="s">
        <v>876</v>
      </c>
      <c r="E226" s="38" t="s">
        <v>1288</v>
      </c>
      <c r="F226" s="38" t="s">
        <v>1289</v>
      </c>
      <c r="G226" s="38" t="s">
        <v>1290</v>
      </c>
    </row>
    <row r="227" customFormat="false" ht="32.25" hidden="false" customHeight="true" outlineLevel="0" collapsed="false">
      <c r="A227" s="38" t="s">
        <v>510</v>
      </c>
      <c r="B227" s="38" t="s">
        <v>512</v>
      </c>
      <c r="C227" s="38" t="s">
        <v>1291</v>
      </c>
      <c r="D227" s="38" t="s">
        <v>1292</v>
      </c>
      <c r="E227" s="38" t="s">
        <v>1293</v>
      </c>
      <c r="F227" s="38" t="s">
        <v>1294</v>
      </c>
      <c r="G227" s="38" t="s">
        <v>1295</v>
      </c>
    </row>
    <row r="228" customFormat="false" ht="32.25" hidden="false" customHeight="true" outlineLevel="0" collapsed="false">
      <c r="A228" s="38" t="s">
        <v>510</v>
      </c>
      <c r="B228" s="38" t="s">
        <v>512</v>
      </c>
      <c r="C228" s="38" t="s">
        <v>1296</v>
      </c>
      <c r="D228" s="38" t="s">
        <v>1297</v>
      </c>
      <c r="E228" s="38" t="s">
        <v>1298</v>
      </c>
      <c r="F228" s="38" t="s">
        <v>1299</v>
      </c>
      <c r="G228" s="38" t="s">
        <v>1300</v>
      </c>
    </row>
    <row r="229" customFormat="false" ht="32.25" hidden="false" customHeight="true" outlineLevel="0" collapsed="false">
      <c r="A229" s="38" t="s">
        <v>510</v>
      </c>
      <c r="B229" s="38" t="s">
        <v>512</v>
      </c>
      <c r="C229" s="38" t="s">
        <v>1301</v>
      </c>
      <c r="D229" s="38" t="s">
        <v>1302</v>
      </c>
      <c r="E229" s="38" t="s">
        <v>1303</v>
      </c>
      <c r="F229" s="38" t="s">
        <v>1304</v>
      </c>
      <c r="G229" s="38" t="s">
        <v>1305</v>
      </c>
    </row>
    <row r="230" customFormat="false" ht="53.25" hidden="false" customHeight="true" outlineLevel="0" collapsed="false">
      <c r="A230" s="38" t="s">
        <v>510</v>
      </c>
      <c r="B230" s="38" t="s">
        <v>512</v>
      </c>
      <c r="C230" s="38" t="s">
        <v>1306</v>
      </c>
      <c r="D230" s="38" t="s">
        <v>1307</v>
      </c>
      <c r="E230" s="38" t="s">
        <v>1308</v>
      </c>
      <c r="F230" s="38" t="s">
        <v>1309</v>
      </c>
      <c r="G230" s="38" t="s">
        <v>1310</v>
      </c>
    </row>
    <row r="231" customFormat="false" ht="32.25" hidden="false" customHeight="true" outlineLevel="0" collapsed="false">
      <c r="A231" s="38" t="s">
        <v>510</v>
      </c>
      <c r="B231" s="38" t="s">
        <v>512</v>
      </c>
      <c r="C231" s="38" t="s">
        <v>1311</v>
      </c>
      <c r="D231" s="38" t="s">
        <v>1312</v>
      </c>
      <c r="E231" s="38" t="s">
        <v>1313</v>
      </c>
      <c r="F231" s="38" t="s">
        <v>1314</v>
      </c>
      <c r="G231" s="38" t="s">
        <v>1315</v>
      </c>
    </row>
    <row r="232" customFormat="false" ht="32.25" hidden="false" customHeight="true" outlineLevel="0" collapsed="false">
      <c r="A232" s="38" t="s">
        <v>510</v>
      </c>
      <c r="B232" s="38" t="s">
        <v>512</v>
      </c>
      <c r="C232" s="38" t="s">
        <v>1316</v>
      </c>
      <c r="D232" s="38" t="s">
        <v>1149</v>
      </c>
      <c r="E232" s="38" t="s">
        <v>1317</v>
      </c>
      <c r="F232" s="38" t="s">
        <v>1318</v>
      </c>
      <c r="G232" s="38" t="s">
        <v>1319</v>
      </c>
    </row>
    <row r="233" customFormat="false" ht="42.75" hidden="false" customHeight="true" outlineLevel="0" collapsed="false">
      <c r="A233" s="38" t="s">
        <v>510</v>
      </c>
      <c r="B233" s="38" t="s">
        <v>512</v>
      </c>
      <c r="C233" s="38" t="s">
        <v>1320</v>
      </c>
      <c r="D233" s="38" t="s">
        <v>1152</v>
      </c>
      <c r="E233" s="38" t="s">
        <v>1321</v>
      </c>
      <c r="F233" s="38" t="s">
        <v>1322</v>
      </c>
      <c r="G233" s="38" t="s">
        <v>1323</v>
      </c>
    </row>
    <row r="234" customFormat="false" ht="42.75" hidden="false" customHeight="true" outlineLevel="0" collapsed="false">
      <c r="A234" s="38" t="s">
        <v>510</v>
      </c>
      <c r="B234" s="38" t="s">
        <v>512</v>
      </c>
      <c r="C234" s="38" t="s">
        <v>1324</v>
      </c>
      <c r="D234" s="38" t="s">
        <v>712</v>
      </c>
      <c r="E234" s="38" t="s">
        <v>1325</v>
      </c>
      <c r="F234" s="38" t="s">
        <v>714</v>
      </c>
      <c r="G234" s="38" t="s">
        <v>1326</v>
      </c>
    </row>
    <row r="235" customFormat="false" ht="53.25" hidden="false" customHeight="true" outlineLevel="0" collapsed="false">
      <c r="A235" s="38" t="s">
        <v>510</v>
      </c>
      <c r="B235" s="38" t="s">
        <v>512</v>
      </c>
      <c r="C235" s="38" t="s">
        <v>1291</v>
      </c>
      <c r="D235" s="38" t="s">
        <v>1327</v>
      </c>
      <c r="E235" s="38" t="s">
        <v>1328</v>
      </c>
      <c r="F235" s="38" t="s">
        <v>1329</v>
      </c>
      <c r="G235" s="38" t="s">
        <v>1330</v>
      </c>
    </row>
    <row r="236" customFormat="false" ht="32.25" hidden="false" customHeight="true" outlineLevel="0" collapsed="false">
      <c r="A236" s="38" t="s">
        <v>510</v>
      </c>
      <c r="B236" s="38" t="s">
        <v>512</v>
      </c>
      <c r="C236" s="38" t="s">
        <v>1331</v>
      </c>
      <c r="D236" s="38" t="s">
        <v>1332</v>
      </c>
      <c r="E236" s="38" t="s">
        <v>1333</v>
      </c>
      <c r="F236" s="38" t="s">
        <v>1334</v>
      </c>
      <c r="G236" s="38" t="s">
        <v>1335</v>
      </c>
    </row>
    <row r="237" customFormat="false" ht="32.25" hidden="false" customHeight="true" outlineLevel="0" collapsed="false">
      <c r="A237" s="38" t="s">
        <v>33</v>
      </c>
      <c r="B237" s="38" t="s">
        <v>517</v>
      </c>
      <c r="C237" s="38" t="s">
        <v>1336</v>
      </c>
      <c r="D237" s="38" t="s">
        <v>1337</v>
      </c>
      <c r="E237" s="38" t="s">
        <v>1338</v>
      </c>
      <c r="F237" s="38" t="s">
        <v>1339</v>
      </c>
      <c r="G237" s="38" t="s">
        <v>1340</v>
      </c>
    </row>
    <row r="238" customFormat="false" ht="21.75" hidden="false" customHeight="true" outlineLevel="0" collapsed="false">
      <c r="A238" s="38" t="s">
        <v>33</v>
      </c>
      <c r="B238" s="38" t="s">
        <v>517</v>
      </c>
      <c r="C238" s="38" t="s">
        <v>1341</v>
      </c>
      <c r="D238" s="38" t="s">
        <v>902</v>
      </c>
      <c r="E238" s="38" t="s">
        <v>1342</v>
      </c>
      <c r="F238" s="38" t="s">
        <v>1343</v>
      </c>
      <c r="G238" s="38" t="s">
        <v>1344</v>
      </c>
    </row>
    <row r="239" customFormat="false" ht="21.75" hidden="false" customHeight="true" outlineLevel="0" collapsed="false">
      <c r="A239" s="38" t="s">
        <v>33</v>
      </c>
      <c r="B239" s="38" t="s">
        <v>517</v>
      </c>
      <c r="C239" s="38" t="s">
        <v>1345</v>
      </c>
      <c r="D239" s="38" t="s">
        <v>1337</v>
      </c>
      <c r="E239" s="38" t="s">
        <v>1346</v>
      </c>
      <c r="F239" s="38" t="s">
        <v>1347</v>
      </c>
      <c r="G239" s="38" t="s">
        <v>1346</v>
      </c>
    </row>
    <row r="240" customFormat="false" ht="21.75" hidden="false" customHeight="true" outlineLevel="0" collapsed="false">
      <c r="A240" s="38" t="s">
        <v>33</v>
      </c>
      <c r="B240" s="38" t="s">
        <v>517</v>
      </c>
      <c r="C240" s="38" t="s">
        <v>1348</v>
      </c>
      <c r="D240" s="38" t="s">
        <v>1349</v>
      </c>
      <c r="E240" s="38" t="s">
        <v>1350</v>
      </c>
      <c r="F240" s="38" t="s">
        <v>1351</v>
      </c>
      <c r="G240" s="38" t="s">
        <v>1352</v>
      </c>
    </row>
    <row r="241" customFormat="false" ht="21.75" hidden="false" customHeight="true" outlineLevel="0" collapsed="false">
      <c r="A241" s="38" t="s">
        <v>33</v>
      </c>
      <c r="B241" s="38" t="s">
        <v>517</v>
      </c>
      <c r="C241" s="38" t="s">
        <v>1353</v>
      </c>
      <c r="D241" s="38" t="s">
        <v>1354</v>
      </c>
      <c r="E241" s="38" t="s">
        <v>1355</v>
      </c>
      <c r="F241" s="38" t="s">
        <v>1356</v>
      </c>
      <c r="G241" s="38" t="s">
        <v>1355</v>
      </c>
    </row>
    <row r="242" customFormat="false" ht="42.75" hidden="false" customHeight="true" outlineLevel="0" collapsed="false">
      <c r="A242" s="38" t="s">
        <v>33</v>
      </c>
      <c r="B242" s="38" t="s">
        <v>517</v>
      </c>
      <c r="C242" s="38" t="s">
        <v>1357</v>
      </c>
      <c r="D242" s="38" t="s">
        <v>659</v>
      </c>
      <c r="E242" s="38" t="s">
        <v>660</v>
      </c>
      <c r="F242" s="38" t="s">
        <v>661</v>
      </c>
      <c r="G242" s="38" t="s">
        <v>1358</v>
      </c>
    </row>
    <row r="243" customFormat="false" ht="21.75" hidden="false" customHeight="true" outlineLevel="0" collapsed="false">
      <c r="A243" s="38" t="s">
        <v>33</v>
      </c>
      <c r="B243" s="38" t="s">
        <v>517</v>
      </c>
      <c r="C243" s="38" t="s">
        <v>1353</v>
      </c>
      <c r="D243" s="38" t="s">
        <v>663</v>
      </c>
      <c r="E243" s="38" t="s">
        <v>1359</v>
      </c>
      <c r="F243" s="38" t="s">
        <v>1360</v>
      </c>
      <c r="G243" s="38" t="s">
        <v>1361</v>
      </c>
    </row>
    <row r="244" customFormat="false" ht="21.75" hidden="false" customHeight="true" outlineLevel="0" collapsed="false">
      <c r="A244" s="38" t="s">
        <v>33</v>
      </c>
      <c r="B244" s="38" t="s">
        <v>517</v>
      </c>
      <c r="C244" s="38" t="s">
        <v>1341</v>
      </c>
      <c r="D244" s="38" t="s">
        <v>970</v>
      </c>
      <c r="E244" s="38" t="s">
        <v>1362</v>
      </c>
      <c r="F244" s="38" t="s">
        <v>1363</v>
      </c>
      <c r="G244" s="38" t="s">
        <v>1364</v>
      </c>
    </row>
    <row r="245" customFormat="false" ht="42.75" hidden="false" customHeight="true" outlineLevel="0" collapsed="false">
      <c r="A245" s="38" t="s">
        <v>33</v>
      </c>
      <c r="B245" s="38" t="s">
        <v>517</v>
      </c>
      <c r="C245" s="38" t="s">
        <v>1365</v>
      </c>
      <c r="D245" s="38" t="s">
        <v>737</v>
      </c>
      <c r="E245" s="38" t="s">
        <v>1366</v>
      </c>
      <c r="F245" s="38" t="s">
        <v>1367</v>
      </c>
      <c r="G245" s="38" t="s">
        <v>1368</v>
      </c>
    </row>
    <row r="246" customFormat="false" ht="21.75" hidden="false" customHeight="true" outlineLevel="0" collapsed="false">
      <c r="A246" s="38" t="s">
        <v>33</v>
      </c>
      <c r="B246" s="38" t="s">
        <v>517</v>
      </c>
      <c r="C246" s="38" t="s">
        <v>1369</v>
      </c>
      <c r="D246" s="38" t="s">
        <v>1171</v>
      </c>
      <c r="E246" s="38" t="s">
        <v>1370</v>
      </c>
      <c r="F246" s="38" t="s">
        <v>1371</v>
      </c>
      <c r="G246" s="38" t="s">
        <v>1372</v>
      </c>
    </row>
    <row r="247" customFormat="false" ht="32.25" hidden="false" customHeight="true" outlineLevel="0" collapsed="false">
      <c r="A247" s="38" t="s">
        <v>33</v>
      </c>
      <c r="B247" s="38" t="s">
        <v>517</v>
      </c>
      <c r="C247" s="38" t="s">
        <v>1373</v>
      </c>
      <c r="D247" s="38" t="s">
        <v>966</v>
      </c>
      <c r="E247" s="38" t="s">
        <v>1374</v>
      </c>
      <c r="F247" s="38" t="s">
        <v>968</v>
      </c>
      <c r="G247" s="38" t="s">
        <v>1375</v>
      </c>
    </row>
    <row r="248" customFormat="false" ht="21.75" hidden="false" customHeight="true" outlineLevel="0" collapsed="false">
      <c r="A248" s="38" t="s">
        <v>33</v>
      </c>
      <c r="B248" s="38" t="s">
        <v>517</v>
      </c>
      <c r="C248" s="38" t="s">
        <v>1376</v>
      </c>
      <c r="D248" s="38" t="s">
        <v>956</v>
      </c>
      <c r="E248" s="38" t="s">
        <v>957</v>
      </c>
      <c r="F248" s="38" t="s">
        <v>958</v>
      </c>
      <c r="G248" s="38" t="s">
        <v>1377</v>
      </c>
    </row>
    <row r="249" customFormat="false" ht="21.75" hidden="false" customHeight="true" outlineLevel="0" collapsed="false">
      <c r="A249" s="38" t="s">
        <v>33</v>
      </c>
      <c r="B249" s="38" t="s">
        <v>517</v>
      </c>
      <c r="C249" s="38" t="s">
        <v>1376</v>
      </c>
      <c r="D249" s="38" t="s">
        <v>1378</v>
      </c>
      <c r="E249" s="38" t="s">
        <v>1379</v>
      </c>
      <c r="F249" s="38" t="s">
        <v>1380</v>
      </c>
      <c r="G249" s="38" t="s">
        <v>1381</v>
      </c>
    </row>
    <row r="250" customFormat="false" ht="32.25" hidden="false" customHeight="true" outlineLevel="0" collapsed="false">
      <c r="A250" s="38" t="s">
        <v>33</v>
      </c>
      <c r="B250" s="38" t="s">
        <v>517</v>
      </c>
      <c r="C250" s="38" t="s">
        <v>1382</v>
      </c>
      <c r="D250" s="38" t="s">
        <v>1168</v>
      </c>
      <c r="E250" s="38" t="s">
        <v>1383</v>
      </c>
      <c r="F250" s="38" t="s">
        <v>1384</v>
      </c>
      <c r="G250" s="38" t="s">
        <v>1385</v>
      </c>
    </row>
    <row r="251" customFormat="false" ht="32.25" hidden="false" customHeight="true" outlineLevel="0" collapsed="false">
      <c r="A251" s="38" t="s">
        <v>33</v>
      </c>
      <c r="B251" s="38" t="s">
        <v>517</v>
      </c>
      <c r="C251" s="38" t="s">
        <v>1386</v>
      </c>
      <c r="D251" s="38" t="s">
        <v>918</v>
      </c>
      <c r="E251" s="38" t="s">
        <v>1387</v>
      </c>
      <c r="F251" s="38" t="s">
        <v>1388</v>
      </c>
      <c r="G251" s="38" t="s">
        <v>1389</v>
      </c>
    </row>
    <row r="252" customFormat="false" ht="32.25" hidden="false" customHeight="true" outlineLevel="0" collapsed="false">
      <c r="A252" s="38" t="s">
        <v>521</v>
      </c>
      <c r="B252" s="38" t="s">
        <v>517</v>
      </c>
      <c r="C252" s="38" t="s">
        <v>1353</v>
      </c>
      <c r="D252" s="38" t="s">
        <v>1390</v>
      </c>
      <c r="E252" s="38" t="s">
        <v>1391</v>
      </c>
      <c r="F252" s="38" t="s">
        <v>1392</v>
      </c>
      <c r="G252" s="38" t="s">
        <v>1393</v>
      </c>
    </row>
    <row r="253" customFormat="false" ht="32.25" hidden="false" customHeight="true" outlineLevel="0" collapsed="false">
      <c r="A253" s="38" t="s">
        <v>521</v>
      </c>
      <c r="B253" s="38" t="s">
        <v>517</v>
      </c>
      <c r="C253" s="38" t="s">
        <v>1394</v>
      </c>
      <c r="D253" s="38" t="s">
        <v>1395</v>
      </c>
      <c r="E253" s="38" t="s">
        <v>1396</v>
      </c>
      <c r="F253" s="38" t="s">
        <v>1397</v>
      </c>
      <c r="G253" s="38" t="s">
        <v>1396</v>
      </c>
    </row>
    <row r="254" customFormat="false" ht="32.25" hidden="false" customHeight="true" outlineLevel="0" collapsed="false">
      <c r="A254" s="38" t="s">
        <v>521</v>
      </c>
      <c r="B254" s="38" t="s">
        <v>517</v>
      </c>
      <c r="C254" s="38" t="s">
        <v>1353</v>
      </c>
      <c r="D254" s="38" t="s">
        <v>1398</v>
      </c>
      <c r="E254" s="38" t="s">
        <v>1399</v>
      </c>
      <c r="F254" s="38" t="s">
        <v>1400</v>
      </c>
      <c r="G254" s="38" t="s">
        <v>1401</v>
      </c>
    </row>
    <row r="255" customFormat="false" ht="32.25" hidden="false" customHeight="true" outlineLevel="0" collapsed="false">
      <c r="A255" s="38" t="s">
        <v>521</v>
      </c>
      <c r="B255" s="38" t="s">
        <v>517</v>
      </c>
      <c r="C255" s="38" t="s">
        <v>1402</v>
      </c>
      <c r="D255" s="38" t="s">
        <v>970</v>
      </c>
      <c r="E255" s="38" t="s">
        <v>1403</v>
      </c>
      <c r="F255" s="38" t="s">
        <v>1404</v>
      </c>
      <c r="G255" s="38" t="s">
        <v>1405</v>
      </c>
    </row>
    <row r="256" customFormat="false" ht="32.25" hidden="false" customHeight="true" outlineLevel="0" collapsed="false">
      <c r="A256" s="38" t="s">
        <v>521</v>
      </c>
      <c r="B256" s="38" t="s">
        <v>517</v>
      </c>
      <c r="C256" s="38" t="s">
        <v>1406</v>
      </c>
      <c r="D256" s="38" t="s">
        <v>701</v>
      </c>
      <c r="E256" s="38" t="s">
        <v>1407</v>
      </c>
      <c r="F256" s="38" t="s">
        <v>1408</v>
      </c>
      <c r="G256" s="38" t="s">
        <v>1409</v>
      </c>
    </row>
    <row r="257" customFormat="false" ht="32.25" hidden="false" customHeight="true" outlineLevel="0" collapsed="false">
      <c r="A257" s="38" t="s">
        <v>521</v>
      </c>
      <c r="B257" s="38" t="s">
        <v>517</v>
      </c>
      <c r="C257" s="38" t="s">
        <v>1410</v>
      </c>
      <c r="D257" s="38" t="s">
        <v>1193</v>
      </c>
      <c r="E257" s="38" t="s">
        <v>1411</v>
      </c>
      <c r="F257" s="38" t="s">
        <v>1412</v>
      </c>
      <c r="G257" s="38" t="s">
        <v>1413</v>
      </c>
    </row>
    <row r="258" customFormat="false" ht="32.25" hidden="false" customHeight="true" outlineLevel="0" collapsed="false">
      <c r="A258" s="38" t="s">
        <v>521</v>
      </c>
      <c r="B258" s="38" t="s">
        <v>517</v>
      </c>
      <c r="C258" s="38" t="s">
        <v>1414</v>
      </c>
      <c r="D258" s="38" t="s">
        <v>647</v>
      </c>
      <c r="E258" s="38" t="s">
        <v>1415</v>
      </c>
      <c r="F258" s="38" t="s">
        <v>1416</v>
      </c>
      <c r="G258" s="38" t="s">
        <v>1417</v>
      </c>
    </row>
    <row r="259" customFormat="false" ht="32.25" hidden="false" customHeight="true" outlineLevel="0" collapsed="false">
      <c r="A259" s="38" t="s">
        <v>521</v>
      </c>
      <c r="B259" s="38" t="s">
        <v>517</v>
      </c>
      <c r="C259" s="38" t="s">
        <v>1418</v>
      </c>
      <c r="D259" s="38" t="s">
        <v>868</v>
      </c>
      <c r="E259" s="38" t="s">
        <v>1419</v>
      </c>
      <c r="F259" s="38" t="s">
        <v>1420</v>
      </c>
      <c r="G259" s="38" t="s">
        <v>1421</v>
      </c>
    </row>
    <row r="260" customFormat="false" ht="21.75" hidden="false" customHeight="true" outlineLevel="0" collapsed="false">
      <c r="A260" s="38" t="s">
        <v>526</v>
      </c>
      <c r="B260" s="38" t="s">
        <v>517</v>
      </c>
      <c r="C260" s="38" t="s">
        <v>1353</v>
      </c>
      <c r="D260" s="38" t="s">
        <v>1422</v>
      </c>
      <c r="E260" s="38" t="s">
        <v>1423</v>
      </c>
      <c r="F260" s="38" t="s">
        <v>1424</v>
      </c>
      <c r="G260" s="38" t="s">
        <v>1425</v>
      </c>
    </row>
    <row r="261" customFormat="false" ht="21.75" hidden="false" customHeight="true" outlineLevel="0" collapsed="false">
      <c r="A261" s="38" t="s">
        <v>526</v>
      </c>
      <c r="B261" s="38" t="s">
        <v>517</v>
      </c>
      <c r="C261" s="38" t="s">
        <v>1426</v>
      </c>
      <c r="D261" s="38" t="s">
        <v>1422</v>
      </c>
      <c r="E261" s="38" t="s">
        <v>1427</v>
      </c>
      <c r="F261" s="38" t="s">
        <v>1428</v>
      </c>
      <c r="G261" s="38" t="s">
        <v>1429</v>
      </c>
    </row>
    <row r="262" customFormat="false" ht="21.75" hidden="false" customHeight="true" outlineLevel="0" collapsed="false">
      <c r="A262" s="38" t="s">
        <v>526</v>
      </c>
      <c r="B262" s="38" t="s">
        <v>517</v>
      </c>
      <c r="C262" s="38" t="s">
        <v>1430</v>
      </c>
      <c r="D262" s="38" t="s">
        <v>898</v>
      </c>
      <c r="E262" s="38" t="s">
        <v>1431</v>
      </c>
      <c r="F262" s="38" t="s">
        <v>1432</v>
      </c>
      <c r="G262" s="38" t="s">
        <v>1433</v>
      </c>
    </row>
    <row r="263" customFormat="false" ht="21.75" hidden="false" customHeight="true" outlineLevel="0" collapsed="false">
      <c r="A263" s="38" t="s">
        <v>526</v>
      </c>
      <c r="B263" s="38" t="s">
        <v>517</v>
      </c>
      <c r="C263" s="38" t="s">
        <v>1353</v>
      </c>
      <c r="D263" s="38" t="s">
        <v>1390</v>
      </c>
      <c r="E263" s="38" t="s">
        <v>1391</v>
      </c>
      <c r="F263" s="38" t="s">
        <v>1392</v>
      </c>
      <c r="G263" s="38" t="s">
        <v>1434</v>
      </c>
    </row>
    <row r="264" customFormat="false" ht="32.25" hidden="false" customHeight="true" outlineLevel="0" collapsed="false">
      <c r="A264" s="38" t="s">
        <v>526</v>
      </c>
      <c r="B264" s="38" t="s">
        <v>517</v>
      </c>
      <c r="C264" s="38" t="s">
        <v>1435</v>
      </c>
      <c r="D264" s="38" t="s">
        <v>1219</v>
      </c>
      <c r="E264" s="38" t="s">
        <v>1436</v>
      </c>
      <c r="F264" s="38" t="s">
        <v>1437</v>
      </c>
      <c r="G264" s="38" t="s">
        <v>1438</v>
      </c>
    </row>
    <row r="265" customFormat="false" ht="32.25" hidden="false" customHeight="true" outlineLevel="0" collapsed="false">
      <c r="A265" s="38" t="s">
        <v>526</v>
      </c>
      <c r="B265" s="38" t="s">
        <v>517</v>
      </c>
      <c r="C265" s="38" t="s">
        <v>1439</v>
      </c>
      <c r="D265" s="38" t="s">
        <v>1440</v>
      </c>
      <c r="E265" s="38" t="s">
        <v>1441</v>
      </c>
      <c r="F265" s="38" t="s">
        <v>1442</v>
      </c>
      <c r="G265" s="38" t="s">
        <v>1443</v>
      </c>
    </row>
    <row r="266" customFormat="false" ht="21.75" hidden="false" customHeight="true" outlineLevel="0" collapsed="false">
      <c r="A266" s="38" t="s">
        <v>526</v>
      </c>
      <c r="B266" s="38" t="s">
        <v>517</v>
      </c>
      <c r="C266" s="38" t="s">
        <v>1444</v>
      </c>
      <c r="D266" s="38" t="s">
        <v>1219</v>
      </c>
      <c r="E266" s="38" t="s">
        <v>1445</v>
      </c>
      <c r="F266" s="38" t="s">
        <v>1446</v>
      </c>
      <c r="G266" s="38" t="s">
        <v>1445</v>
      </c>
    </row>
    <row r="267" customFormat="false" ht="42.75" hidden="false" customHeight="true" outlineLevel="0" collapsed="false">
      <c r="A267" s="38" t="s">
        <v>378</v>
      </c>
      <c r="B267" s="38" t="s">
        <v>530</v>
      </c>
      <c r="C267" s="38" t="s">
        <v>1447</v>
      </c>
      <c r="D267" s="38" t="s">
        <v>573</v>
      </c>
      <c r="E267" s="38" t="s">
        <v>1448</v>
      </c>
      <c r="F267" s="38" t="s">
        <v>1449</v>
      </c>
      <c r="G267" s="38" t="s">
        <v>1450</v>
      </c>
    </row>
    <row r="268" customFormat="false" ht="32.25" hidden="false" customHeight="true" outlineLevel="0" collapsed="false">
      <c r="A268" s="38" t="s">
        <v>378</v>
      </c>
      <c r="B268" s="38" t="s">
        <v>530</v>
      </c>
      <c r="C268" s="38" t="s">
        <v>1451</v>
      </c>
      <c r="D268" s="38" t="s">
        <v>573</v>
      </c>
      <c r="E268" s="38" t="s">
        <v>1452</v>
      </c>
      <c r="F268" s="38" t="s">
        <v>1453</v>
      </c>
      <c r="G268" s="38" t="s">
        <v>1454</v>
      </c>
    </row>
    <row r="269" customFormat="false" ht="32.25" hidden="false" customHeight="true" outlineLevel="0" collapsed="false">
      <c r="A269" s="38" t="s">
        <v>378</v>
      </c>
      <c r="B269" s="38" t="s">
        <v>530</v>
      </c>
      <c r="C269" s="38" t="s">
        <v>1455</v>
      </c>
      <c r="D269" s="38" t="s">
        <v>573</v>
      </c>
      <c r="E269" s="38" t="s">
        <v>1456</v>
      </c>
      <c r="F269" s="38" t="s">
        <v>623</v>
      </c>
      <c r="G269" s="38" t="s">
        <v>1457</v>
      </c>
    </row>
    <row r="270" customFormat="false" ht="32.25" hidden="false" customHeight="true" outlineLevel="0" collapsed="false">
      <c r="A270" s="38" t="s">
        <v>378</v>
      </c>
      <c r="B270" s="38" t="s">
        <v>530</v>
      </c>
      <c r="C270" s="38" t="s">
        <v>1458</v>
      </c>
      <c r="D270" s="38" t="s">
        <v>1459</v>
      </c>
      <c r="E270" s="38" t="s">
        <v>1460</v>
      </c>
      <c r="F270" s="38" t="s">
        <v>1461</v>
      </c>
      <c r="G270" s="38" t="s">
        <v>1462</v>
      </c>
    </row>
    <row r="271" customFormat="false" ht="42.75" hidden="false" customHeight="true" outlineLevel="0" collapsed="false">
      <c r="A271" s="38" t="s">
        <v>378</v>
      </c>
      <c r="B271" s="38" t="s">
        <v>530</v>
      </c>
      <c r="C271" s="38" t="s">
        <v>1463</v>
      </c>
      <c r="D271" s="38" t="s">
        <v>573</v>
      </c>
      <c r="E271" s="38" t="s">
        <v>1464</v>
      </c>
      <c r="F271" s="38" t="s">
        <v>641</v>
      </c>
      <c r="G271" s="38" t="s">
        <v>1465</v>
      </c>
    </row>
    <row r="272" customFormat="false" ht="42.75" hidden="false" customHeight="true" outlineLevel="0" collapsed="false">
      <c r="A272" s="38" t="s">
        <v>378</v>
      </c>
      <c r="B272" s="38" t="s">
        <v>530</v>
      </c>
      <c r="C272" s="38" t="s">
        <v>1466</v>
      </c>
      <c r="D272" s="38" t="s">
        <v>1467</v>
      </c>
      <c r="E272" s="38" t="s">
        <v>1468</v>
      </c>
      <c r="F272" s="38" t="s">
        <v>1469</v>
      </c>
      <c r="G272" s="38" t="s">
        <v>1470</v>
      </c>
    </row>
    <row r="273" customFormat="false" ht="42.75" hidden="false" customHeight="true" outlineLevel="0" collapsed="false">
      <c r="A273" s="38" t="s">
        <v>378</v>
      </c>
      <c r="B273" s="38" t="s">
        <v>530</v>
      </c>
      <c r="C273" s="38" t="s">
        <v>1458</v>
      </c>
      <c r="D273" s="38" t="s">
        <v>632</v>
      </c>
      <c r="E273" s="38" t="s">
        <v>1471</v>
      </c>
      <c r="F273" s="38" t="s">
        <v>1472</v>
      </c>
      <c r="G273" s="38" t="s">
        <v>1473</v>
      </c>
    </row>
    <row r="274" customFormat="false" ht="32.25" hidden="false" customHeight="true" outlineLevel="0" collapsed="false">
      <c r="A274" s="38" t="s">
        <v>378</v>
      </c>
      <c r="B274" s="38" t="s">
        <v>530</v>
      </c>
      <c r="C274" s="38" t="s">
        <v>1474</v>
      </c>
      <c r="D274" s="38" t="s">
        <v>1475</v>
      </c>
      <c r="E274" s="38" t="s">
        <v>1476</v>
      </c>
      <c r="F274" s="38" t="s">
        <v>1477</v>
      </c>
      <c r="G274" s="38" t="s">
        <v>1478</v>
      </c>
    </row>
    <row r="275" customFormat="false" ht="42.75" hidden="false" customHeight="true" outlineLevel="0" collapsed="false">
      <c r="A275" s="38" t="s">
        <v>378</v>
      </c>
      <c r="B275" s="38" t="s">
        <v>530</v>
      </c>
      <c r="C275" s="38" t="s">
        <v>1479</v>
      </c>
      <c r="D275" s="38" t="s">
        <v>573</v>
      </c>
      <c r="E275" s="38" t="s">
        <v>1480</v>
      </c>
      <c r="F275" s="38" t="s">
        <v>1481</v>
      </c>
      <c r="G275" s="38" t="s">
        <v>1482</v>
      </c>
    </row>
    <row r="276" customFormat="false" ht="42.75" hidden="false" customHeight="true" outlineLevel="0" collapsed="false">
      <c r="A276" s="38" t="s">
        <v>430</v>
      </c>
      <c r="B276" s="38" t="s">
        <v>534</v>
      </c>
      <c r="C276" s="38" t="s">
        <v>1483</v>
      </c>
      <c r="D276" s="38" t="s">
        <v>933</v>
      </c>
      <c r="E276" s="38" t="s">
        <v>1484</v>
      </c>
      <c r="F276" s="38" t="s">
        <v>1485</v>
      </c>
      <c r="G276" s="38" t="s">
        <v>1486</v>
      </c>
    </row>
    <row r="277" customFormat="false" ht="42.75" hidden="false" customHeight="true" outlineLevel="0" collapsed="false">
      <c r="A277" s="38" t="s">
        <v>430</v>
      </c>
      <c r="B277" s="38" t="s">
        <v>534</v>
      </c>
      <c r="C277" s="38" t="s">
        <v>1487</v>
      </c>
      <c r="D277" s="38" t="s">
        <v>933</v>
      </c>
      <c r="E277" s="38" t="s">
        <v>981</v>
      </c>
      <c r="F277" s="38" t="s">
        <v>982</v>
      </c>
      <c r="G277" s="38" t="s">
        <v>1488</v>
      </c>
    </row>
    <row r="278" customFormat="false" ht="21.75" hidden="false" customHeight="true" outlineLevel="0" collapsed="false">
      <c r="A278" s="38" t="s">
        <v>430</v>
      </c>
      <c r="B278" s="38" t="s">
        <v>534</v>
      </c>
      <c r="C278" s="38" t="s">
        <v>1489</v>
      </c>
      <c r="D278" s="38" t="s">
        <v>918</v>
      </c>
      <c r="E278" s="38" t="s">
        <v>1490</v>
      </c>
      <c r="F278" s="38" t="s">
        <v>1491</v>
      </c>
      <c r="G278" s="38" t="s">
        <v>1492</v>
      </c>
    </row>
    <row r="279" customFormat="false" ht="32.25" hidden="false" customHeight="true" outlineLevel="0" collapsed="false">
      <c r="A279" s="38" t="s">
        <v>430</v>
      </c>
      <c r="B279" s="38" t="s">
        <v>534</v>
      </c>
      <c r="C279" s="38" t="s">
        <v>1493</v>
      </c>
      <c r="D279" s="38" t="s">
        <v>564</v>
      </c>
      <c r="E279" s="38" t="s">
        <v>987</v>
      </c>
      <c r="F279" s="38" t="s">
        <v>988</v>
      </c>
      <c r="G279" s="38" t="s">
        <v>1494</v>
      </c>
    </row>
    <row r="280" customFormat="false" ht="42.75" hidden="false" customHeight="true" outlineLevel="0" collapsed="false">
      <c r="A280" s="38" t="s">
        <v>435</v>
      </c>
      <c r="B280" s="38" t="s">
        <v>534</v>
      </c>
      <c r="C280" s="38" t="s">
        <v>1483</v>
      </c>
      <c r="D280" s="38" t="s">
        <v>918</v>
      </c>
      <c r="E280" s="38" t="s">
        <v>1495</v>
      </c>
      <c r="F280" s="38" t="s">
        <v>1496</v>
      </c>
      <c r="G280" s="38" t="s">
        <v>1497</v>
      </c>
    </row>
    <row r="281" customFormat="false" ht="32.25" hidden="false" customHeight="true" outlineLevel="0" collapsed="false">
      <c r="A281" s="38" t="s">
        <v>435</v>
      </c>
      <c r="B281" s="38" t="s">
        <v>534</v>
      </c>
      <c r="C281" s="38" t="s">
        <v>1498</v>
      </c>
      <c r="D281" s="38" t="s">
        <v>918</v>
      </c>
      <c r="E281" s="38" t="s">
        <v>1499</v>
      </c>
      <c r="F281" s="38" t="s">
        <v>1500</v>
      </c>
      <c r="G281" s="38" t="s">
        <v>1501</v>
      </c>
    </row>
    <row r="282" customFormat="false" ht="32.25" hidden="false" customHeight="true" outlineLevel="0" collapsed="false">
      <c r="A282" s="38" t="s">
        <v>435</v>
      </c>
      <c r="B282" s="38" t="s">
        <v>534</v>
      </c>
      <c r="C282" s="38" t="s">
        <v>1487</v>
      </c>
      <c r="D282" s="38" t="s">
        <v>918</v>
      </c>
      <c r="E282" s="38" t="s">
        <v>1502</v>
      </c>
      <c r="F282" s="38" t="s">
        <v>1503</v>
      </c>
      <c r="G282" s="38" t="s">
        <v>1504</v>
      </c>
    </row>
    <row r="283" customFormat="false" ht="42.75" hidden="false" customHeight="true" outlineLevel="0" collapsed="false">
      <c r="A283" s="38" t="s">
        <v>439</v>
      </c>
      <c r="B283" s="38" t="s">
        <v>534</v>
      </c>
      <c r="C283" s="38" t="s">
        <v>1505</v>
      </c>
      <c r="D283" s="38" t="s">
        <v>804</v>
      </c>
      <c r="E283" s="38" t="s">
        <v>1506</v>
      </c>
      <c r="F283" s="38" t="s">
        <v>1507</v>
      </c>
      <c r="G283" s="38" t="s">
        <v>1508</v>
      </c>
    </row>
    <row r="284" customFormat="false" ht="21.75" hidden="false" customHeight="true" outlineLevel="0" collapsed="false">
      <c r="A284" s="38" t="s">
        <v>439</v>
      </c>
      <c r="B284" s="38" t="s">
        <v>534</v>
      </c>
      <c r="C284" s="38" t="s">
        <v>1487</v>
      </c>
      <c r="D284" s="38" t="s">
        <v>804</v>
      </c>
      <c r="E284" s="38" t="s">
        <v>1509</v>
      </c>
      <c r="F284" s="38" t="s">
        <v>1011</v>
      </c>
      <c r="G284" s="38" t="s">
        <v>1510</v>
      </c>
    </row>
    <row r="285" customFormat="false" ht="21.75" hidden="false" customHeight="true" outlineLevel="0" collapsed="false">
      <c r="A285" s="38" t="s">
        <v>439</v>
      </c>
      <c r="B285" s="38" t="s">
        <v>534</v>
      </c>
      <c r="C285" s="38" t="s">
        <v>1498</v>
      </c>
      <c r="D285" s="38" t="s">
        <v>1467</v>
      </c>
      <c r="E285" s="38" t="s">
        <v>1511</v>
      </c>
      <c r="F285" s="38" t="s">
        <v>1512</v>
      </c>
      <c r="G285" s="38" t="s">
        <v>1513</v>
      </c>
    </row>
    <row r="286" customFormat="false" ht="42.75" hidden="false" customHeight="true" outlineLevel="0" collapsed="false">
      <c r="A286" s="38" t="s">
        <v>443</v>
      </c>
      <c r="B286" s="38" t="s">
        <v>534</v>
      </c>
      <c r="C286" s="38" t="s">
        <v>1483</v>
      </c>
      <c r="D286" s="38" t="s">
        <v>1025</v>
      </c>
      <c r="E286" s="38" t="s">
        <v>1514</v>
      </c>
      <c r="F286" s="38" t="s">
        <v>1515</v>
      </c>
      <c r="G286" s="38" t="s">
        <v>1516</v>
      </c>
    </row>
    <row r="287" customFormat="false" ht="21.75" hidden="false" customHeight="true" outlineLevel="0" collapsed="false">
      <c r="A287" s="38" t="s">
        <v>443</v>
      </c>
      <c r="B287" s="38" t="s">
        <v>534</v>
      </c>
      <c r="C287" s="38" t="s">
        <v>1517</v>
      </c>
      <c r="D287" s="38" t="s">
        <v>918</v>
      </c>
      <c r="E287" s="38" t="s">
        <v>1518</v>
      </c>
      <c r="F287" s="38" t="s">
        <v>1519</v>
      </c>
      <c r="G287" s="38" t="s">
        <v>1520</v>
      </c>
    </row>
    <row r="288" customFormat="false" ht="32.25" hidden="false" customHeight="true" outlineLevel="0" collapsed="false">
      <c r="A288" s="38" t="s">
        <v>443</v>
      </c>
      <c r="B288" s="38" t="s">
        <v>534</v>
      </c>
      <c r="C288" s="38" t="s">
        <v>1487</v>
      </c>
      <c r="D288" s="38" t="s">
        <v>1025</v>
      </c>
      <c r="E288" s="38" t="s">
        <v>1026</v>
      </c>
      <c r="F288" s="38" t="s">
        <v>1521</v>
      </c>
      <c r="G288" s="38" t="s">
        <v>1522</v>
      </c>
    </row>
    <row r="289" customFormat="false" ht="42.75" hidden="false" customHeight="true" outlineLevel="0" collapsed="false">
      <c r="A289" s="38" t="s">
        <v>447</v>
      </c>
      <c r="B289" s="38" t="s">
        <v>534</v>
      </c>
      <c r="C289" s="38" t="s">
        <v>1483</v>
      </c>
      <c r="D289" s="38" t="s">
        <v>1523</v>
      </c>
      <c r="E289" s="38" t="s">
        <v>1524</v>
      </c>
      <c r="F289" s="38" t="s">
        <v>1525</v>
      </c>
      <c r="G289" s="38" t="s">
        <v>1526</v>
      </c>
    </row>
    <row r="290" customFormat="false" ht="32.25" hidden="false" customHeight="true" outlineLevel="0" collapsed="false">
      <c r="A290" s="38" t="s">
        <v>447</v>
      </c>
      <c r="B290" s="38" t="s">
        <v>534</v>
      </c>
      <c r="C290" s="38" t="s">
        <v>1498</v>
      </c>
      <c r="D290" s="38" t="s">
        <v>918</v>
      </c>
      <c r="E290" s="38" t="s">
        <v>1527</v>
      </c>
      <c r="F290" s="38" t="s">
        <v>1528</v>
      </c>
      <c r="G290" s="38" t="s">
        <v>1529</v>
      </c>
    </row>
    <row r="291" customFormat="false" ht="32.25" hidden="false" customHeight="true" outlineLevel="0" collapsed="false">
      <c r="A291" s="38" t="s">
        <v>447</v>
      </c>
      <c r="B291" s="38" t="s">
        <v>534</v>
      </c>
      <c r="C291" s="38" t="s">
        <v>1530</v>
      </c>
      <c r="D291" s="38" t="s">
        <v>918</v>
      </c>
      <c r="E291" s="38" t="s">
        <v>1531</v>
      </c>
      <c r="F291" s="38" t="s">
        <v>1532</v>
      </c>
      <c r="G291" s="38" t="s">
        <v>1533</v>
      </c>
    </row>
    <row r="292" customFormat="false" ht="42.75" hidden="false" customHeight="true" outlineLevel="0" collapsed="false">
      <c r="A292" s="38" t="s">
        <v>545</v>
      </c>
      <c r="B292" s="38" t="s">
        <v>547</v>
      </c>
      <c r="C292" s="38" t="s">
        <v>1534</v>
      </c>
      <c r="D292" s="38" t="s">
        <v>681</v>
      </c>
      <c r="E292" s="38" t="s">
        <v>1535</v>
      </c>
      <c r="F292" s="38" t="s">
        <v>1536</v>
      </c>
      <c r="G292" s="38" t="s">
        <v>1537</v>
      </c>
    </row>
    <row r="293" customFormat="false" ht="42.75" hidden="false" customHeight="true" outlineLevel="0" collapsed="false">
      <c r="A293" s="38" t="s">
        <v>545</v>
      </c>
      <c r="B293" s="38" t="s">
        <v>547</v>
      </c>
      <c r="C293" s="38" t="s">
        <v>1538</v>
      </c>
      <c r="D293" s="38" t="s">
        <v>1539</v>
      </c>
      <c r="E293" s="38" t="s">
        <v>1540</v>
      </c>
      <c r="F293" s="38" t="s">
        <v>1541</v>
      </c>
      <c r="G293" s="38" t="s">
        <v>1542</v>
      </c>
    </row>
    <row r="294" customFormat="false" ht="53.25" hidden="false" customHeight="true" outlineLevel="0" collapsed="false">
      <c r="A294" s="38" t="s">
        <v>545</v>
      </c>
      <c r="B294" s="38" t="s">
        <v>547</v>
      </c>
      <c r="C294" s="38" t="s">
        <v>1543</v>
      </c>
      <c r="D294" s="38" t="s">
        <v>681</v>
      </c>
      <c r="E294" s="38" t="s">
        <v>1544</v>
      </c>
      <c r="F294" s="38" t="s">
        <v>1545</v>
      </c>
      <c r="G294" s="38" t="s">
        <v>1546</v>
      </c>
    </row>
    <row r="295" customFormat="false" ht="21.75" hidden="false" customHeight="true" outlineLevel="0" collapsed="false">
      <c r="A295" s="38" t="s">
        <v>545</v>
      </c>
      <c r="B295" s="38" t="s">
        <v>547</v>
      </c>
      <c r="C295" s="38" t="s">
        <v>1547</v>
      </c>
      <c r="D295" s="38" t="s">
        <v>1467</v>
      </c>
      <c r="E295" s="38" t="s">
        <v>1548</v>
      </c>
      <c r="F295" s="38" t="s">
        <v>1549</v>
      </c>
      <c r="G295" s="38" t="s">
        <v>1550</v>
      </c>
    </row>
    <row r="296" customFormat="false" ht="53.25" hidden="false" customHeight="true" outlineLevel="0" collapsed="false">
      <c r="A296" s="38" t="s">
        <v>545</v>
      </c>
      <c r="B296" s="38" t="s">
        <v>547</v>
      </c>
      <c r="C296" s="38" t="s">
        <v>1551</v>
      </c>
      <c r="D296" s="38" t="s">
        <v>681</v>
      </c>
      <c r="E296" s="38" t="s">
        <v>1552</v>
      </c>
      <c r="F296" s="38" t="s">
        <v>1553</v>
      </c>
      <c r="G296" s="38" t="s">
        <v>1554</v>
      </c>
    </row>
    <row r="297" customFormat="false" ht="32.25" hidden="false" customHeight="true" outlineLevel="0" collapsed="false">
      <c r="A297" s="38" t="s">
        <v>545</v>
      </c>
      <c r="B297" s="38" t="s">
        <v>547</v>
      </c>
      <c r="C297" s="38" t="s">
        <v>1555</v>
      </c>
      <c r="D297" s="38" t="s">
        <v>681</v>
      </c>
      <c r="E297" s="38" t="s">
        <v>1556</v>
      </c>
      <c r="F297" s="38" t="s">
        <v>1557</v>
      </c>
      <c r="G297" s="38" t="s">
        <v>1558</v>
      </c>
    </row>
    <row r="298" customFormat="false" ht="32.25" hidden="false" customHeight="true" outlineLevel="0" collapsed="false">
      <c r="A298" s="38" t="s">
        <v>545</v>
      </c>
      <c r="B298" s="38" t="s">
        <v>547</v>
      </c>
      <c r="C298" s="38" t="s">
        <v>1559</v>
      </c>
      <c r="D298" s="38" t="s">
        <v>1560</v>
      </c>
      <c r="E298" s="38" t="s">
        <v>1561</v>
      </c>
      <c r="F298" s="38" t="s">
        <v>1562</v>
      </c>
      <c r="G298" s="38" t="s">
        <v>1563</v>
      </c>
    </row>
    <row r="299" customFormat="false" ht="32.25" hidden="false" customHeight="true" outlineLevel="0" collapsed="false">
      <c r="A299" s="38" t="s">
        <v>545</v>
      </c>
      <c r="B299" s="38" t="s">
        <v>547</v>
      </c>
      <c r="C299" s="38" t="s">
        <v>1559</v>
      </c>
      <c r="D299" s="38" t="s">
        <v>1564</v>
      </c>
      <c r="E299" s="38" t="s">
        <v>1565</v>
      </c>
      <c r="F299" s="38" t="s">
        <v>1566</v>
      </c>
      <c r="G299" s="38" t="s">
        <v>1567</v>
      </c>
    </row>
    <row r="300" customFormat="false" ht="42.75" hidden="false" customHeight="true" outlineLevel="0" collapsed="false">
      <c r="A300" s="38" t="s">
        <v>545</v>
      </c>
      <c r="B300" s="38" t="s">
        <v>547</v>
      </c>
      <c r="C300" s="38" t="s">
        <v>1568</v>
      </c>
      <c r="D300" s="38" t="s">
        <v>1195</v>
      </c>
      <c r="E300" s="38" t="s">
        <v>1569</v>
      </c>
      <c r="F300" s="38" t="s">
        <v>1570</v>
      </c>
      <c r="G300" s="38" t="s">
        <v>1571</v>
      </c>
    </row>
    <row r="301" customFormat="false" ht="32.25" hidden="false" customHeight="true" outlineLevel="0" collapsed="false">
      <c r="A301" s="38" t="s">
        <v>545</v>
      </c>
      <c r="B301" s="38" t="s">
        <v>547</v>
      </c>
      <c r="C301" s="38" t="s">
        <v>1572</v>
      </c>
      <c r="D301" s="38" t="s">
        <v>1573</v>
      </c>
      <c r="E301" s="38" t="s">
        <v>1574</v>
      </c>
      <c r="F301" s="38" t="s">
        <v>1575</v>
      </c>
      <c r="G301" s="38" t="s">
        <v>1576</v>
      </c>
    </row>
    <row r="302" customFormat="false" ht="42.75" hidden="false" customHeight="true" outlineLevel="0" collapsed="false">
      <c r="A302" s="38" t="s">
        <v>545</v>
      </c>
      <c r="B302" s="38" t="s">
        <v>547</v>
      </c>
      <c r="C302" s="38" t="s">
        <v>1547</v>
      </c>
      <c r="D302" s="38" t="s">
        <v>643</v>
      </c>
      <c r="E302" s="38" t="s">
        <v>1577</v>
      </c>
      <c r="F302" s="38" t="s">
        <v>1578</v>
      </c>
      <c r="G302" s="38" t="s">
        <v>1579</v>
      </c>
    </row>
    <row r="303" customFormat="false" ht="63.75" hidden="false" customHeight="true" outlineLevel="0" collapsed="false">
      <c r="A303" s="38" t="s">
        <v>551</v>
      </c>
      <c r="B303" s="38" t="s">
        <v>553</v>
      </c>
      <c r="C303" s="38" t="s">
        <v>1580</v>
      </c>
      <c r="D303" s="38" t="s">
        <v>1581</v>
      </c>
      <c r="E303" s="38" t="s">
        <v>1582</v>
      </c>
      <c r="F303" s="38" t="s">
        <v>1583</v>
      </c>
      <c r="G303" s="38" t="s">
        <v>1584</v>
      </c>
    </row>
    <row r="304" customFormat="false" ht="21.75" hidden="false" customHeight="true" outlineLevel="0" collapsed="false">
      <c r="A304" s="38" t="s">
        <v>551</v>
      </c>
      <c r="B304" s="38" t="s">
        <v>553</v>
      </c>
      <c r="C304" s="38" t="s">
        <v>1585</v>
      </c>
      <c r="D304" s="38" t="s">
        <v>1581</v>
      </c>
      <c r="E304" s="38" t="s">
        <v>1586</v>
      </c>
      <c r="F304" s="38" t="s">
        <v>1587</v>
      </c>
      <c r="G304" s="38" t="s">
        <v>1588</v>
      </c>
    </row>
    <row r="305" customFormat="false" ht="32.25" hidden="false" customHeight="true" outlineLevel="0" collapsed="false">
      <c r="A305" s="38" t="s">
        <v>551</v>
      </c>
      <c r="B305" s="38" t="s">
        <v>553</v>
      </c>
      <c r="C305" s="38" t="s">
        <v>1589</v>
      </c>
      <c r="D305" s="38" t="s">
        <v>1581</v>
      </c>
      <c r="E305" s="38" t="s">
        <v>1590</v>
      </c>
      <c r="F305" s="38" t="s">
        <v>1591</v>
      </c>
      <c r="G305" s="38" t="s">
        <v>1592</v>
      </c>
    </row>
    <row r="306" customFormat="false" ht="32.25" hidden="false" customHeight="true" outlineLevel="0" collapsed="false">
      <c r="A306" s="38" t="s">
        <v>551</v>
      </c>
      <c r="B306" s="38" t="s">
        <v>553</v>
      </c>
      <c r="C306" s="38" t="s">
        <v>1538</v>
      </c>
      <c r="D306" s="38" t="s">
        <v>1593</v>
      </c>
      <c r="E306" s="38" t="s">
        <v>1594</v>
      </c>
      <c r="F306" s="38" t="s">
        <v>1595</v>
      </c>
      <c r="G306" s="38" t="s">
        <v>1596</v>
      </c>
    </row>
    <row r="307" customFormat="false" ht="21.75" hidden="false" customHeight="true" outlineLevel="0" collapsed="false">
      <c r="A307" s="38" t="s">
        <v>551</v>
      </c>
      <c r="B307" s="38" t="s">
        <v>553</v>
      </c>
      <c r="C307" s="38" t="s">
        <v>1597</v>
      </c>
      <c r="D307" s="38" t="s">
        <v>1598</v>
      </c>
      <c r="E307" s="38" t="s">
        <v>1599</v>
      </c>
      <c r="F307" s="38" t="s">
        <v>1600</v>
      </c>
      <c r="G307" s="38" t="s">
        <v>1601</v>
      </c>
    </row>
    <row r="308" customFormat="false" ht="42.75" hidden="false" customHeight="true" outlineLevel="0" collapsed="false">
      <c r="A308" s="38" t="s">
        <v>551</v>
      </c>
      <c r="B308" s="38" t="s">
        <v>553</v>
      </c>
      <c r="C308" s="38" t="s">
        <v>1602</v>
      </c>
      <c r="D308" s="38" t="s">
        <v>1598</v>
      </c>
      <c r="E308" s="38" t="s">
        <v>1603</v>
      </c>
      <c r="F308" s="38" t="s">
        <v>1604</v>
      </c>
      <c r="G308" s="38" t="s">
        <v>1605</v>
      </c>
    </row>
    <row r="309" customFormat="false" ht="84.75" hidden="false" customHeight="true" outlineLevel="0" collapsed="false">
      <c r="A309" s="38" t="s">
        <v>551</v>
      </c>
      <c r="B309" s="38" t="s">
        <v>553</v>
      </c>
      <c r="C309" s="38" t="s">
        <v>1606</v>
      </c>
      <c r="D309" s="38" t="s">
        <v>1598</v>
      </c>
      <c r="E309" s="38" t="s">
        <v>1607</v>
      </c>
      <c r="F309" s="38" t="s">
        <v>1608</v>
      </c>
      <c r="G309" s="38" t="s">
        <v>1609</v>
      </c>
    </row>
    <row r="310" customFormat="false" ht="53.25" hidden="false" customHeight="true" outlineLevel="0" collapsed="false">
      <c r="A310" s="38" t="s">
        <v>551</v>
      </c>
      <c r="B310" s="38" t="s">
        <v>553</v>
      </c>
      <c r="C310" s="38" t="s">
        <v>1610</v>
      </c>
      <c r="D310" s="38" t="s">
        <v>1611</v>
      </c>
      <c r="E310" s="38" t="s">
        <v>1612</v>
      </c>
      <c r="F310" s="38" t="s">
        <v>1613</v>
      </c>
      <c r="G310" s="38" t="s">
        <v>1614</v>
      </c>
    </row>
    <row r="311" customFormat="false" ht="32.25" hidden="false" customHeight="true" outlineLevel="0" collapsed="false">
      <c r="A311" s="38" t="s">
        <v>551</v>
      </c>
      <c r="B311" s="38" t="s">
        <v>553</v>
      </c>
      <c r="C311" s="38" t="s">
        <v>1458</v>
      </c>
      <c r="D311" s="38" t="s">
        <v>1615</v>
      </c>
      <c r="E311" s="38" t="s">
        <v>1616</v>
      </c>
      <c r="F311" s="38" t="s">
        <v>1617</v>
      </c>
      <c r="G311" s="38" t="s">
        <v>1618</v>
      </c>
    </row>
    <row r="312" customFormat="false" ht="53.25" hidden="false" customHeight="true" outlineLevel="0" collapsed="false">
      <c r="A312" s="38" t="s">
        <v>551</v>
      </c>
      <c r="B312" s="38" t="s">
        <v>553</v>
      </c>
      <c r="C312" s="38" t="s">
        <v>1619</v>
      </c>
      <c r="D312" s="38" t="s">
        <v>1581</v>
      </c>
      <c r="E312" s="38" t="s">
        <v>1620</v>
      </c>
      <c r="F312" s="38" t="s">
        <v>1621</v>
      </c>
      <c r="G312" s="38" t="s">
        <v>1622</v>
      </c>
    </row>
    <row r="313" customFormat="false" ht="32.25" hidden="false" customHeight="true" outlineLevel="0" collapsed="false">
      <c r="A313" s="38" t="s">
        <v>551</v>
      </c>
      <c r="B313" s="38" t="s">
        <v>553</v>
      </c>
      <c r="C313" s="38" t="s">
        <v>1623</v>
      </c>
      <c r="D313" s="38" t="s">
        <v>1624</v>
      </c>
      <c r="E313" s="38" t="s">
        <v>1625</v>
      </c>
      <c r="F313" s="38" t="s">
        <v>1626</v>
      </c>
      <c r="G313" s="38" t="s">
        <v>1627</v>
      </c>
    </row>
    <row r="314" customFormat="false" ht="53.25" hidden="false" customHeight="true" outlineLevel="0" collapsed="false">
      <c r="A314" s="38" t="s">
        <v>551</v>
      </c>
      <c r="B314" s="38" t="s">
        <v>553</v>
      </c>
      <c r="C314" s="38" t="s">
        <v>1628</v>
      </c>
      <c r="D314" s="38" t="s">
        <v>1581</v>
      </c>
      <c r="E314" s="38" t="s">
        <v>1629</v>
      </c>
      <c r="F314" s="38" t="s">
        <v>1630</v>
      </c>
      <c r="G314" s="38" t="s">
        <v>1631</v>
      </c>
    </row>
    <row r="315" customFormat="false" ht="32.25" hidden="false" customHeight="true" outlineLevel="0" collapsed="false">
      <c r="A315" s="38" t="s">
        <v>9</v>
      </c>
      <c r="B315" s="38" t="s">
        <v>1632</v>
      </c>
      <c r="C315" s="38" t="s">
        <v>1633</v>
      </c>
      <c r="D315" s="38"/>
      <c r="E315" s="38" t="s">
        <v>1634</v>
      </c>
      <c r="F315" s="38" t="s">
        <v>570</v>
      </c>
      <c r="G315" s="38" t="s">
        <v>1635</v>
      </c>
    </row>
    <row r="316" customFormat="false" ht="32.25" hidden="false" customHeight="true" outlineLevel="0" collapsed="false">
      <c r="A316" s="38" t="s">
        <v>9</v>
      </c>
      <c r="B316" s="38" t="s">
        <v>1632</v>
      </c>
      <c r="C316" s="38" t="s">
        <v>1636</v>
      </c>
      <c r="D316" s="38"/>
      <c r="E316" s="38" t="s">
        <v>1637</v>
      </c>
      <c r="F316" s="38" t="s">
        <v>570</v>
      </c>
      <c r="G316" s="38" t="s">
        <v>1638</v>
      </c>
    </row>
    <row r="317" customFormat="false" ht="21.75" hidden="false" customHeight="true" outlineLevel="0" collapsed="false">
      <c r="A317" s="38" t="s">
        <v>9</v>
      </c>
      <c r="B317" s="38" t="s">
        <v>1632</v>
      </c>
      <c r="C317" s="38" t="s">
        <v>1633</v>
      </c>
      <c r="D317" s="38"/>
      <c r="E317" s="38" t="s">
        <v>1639</v>
      </c>
      <c r="F317" s="38" t="s">
        <v>570</v>
      </c>
      <c r="G317" s="38" t="s">
        <v>1640</v>
      </c>
    </row>
    <row r="318" customFormat="false" ht="21.75" hidden="false" customHeight="true" outlineLevel="0" collapsed="false">
      <c r="A318" s="38" t="s">
        <v>9</v>
      </c>
      <c r="B318" s="38" t="s">
        <v>1632</v>
      </c>
      <c r="C318" s="38" t="s">
        <v>1633</v>
      </c>
      <c r="D318" s="38"/>
      <c r="E318" s="38" t="s">
        <v>1641</v>
      </c>
      <c r="F318" s="38" t="s">
        <v>575</v>
      </c>
      <c r="G318" s="38" t="s">
        <v>1642</v>
      </c>
    </row>
    <row r="319" customFormat="false" ht="32.25" hidden="false" customHeight="true" outlineLevel="0" collapsed="false">
      <c r="A319" s="38" t="s">
        <v>9</v>
      </c>
      <c r="B319" s="38" t="s">
        <v>1632</v>
      </c>
      <c r="C319" s="38" t="s">
        <v>1633</v>
      </c>
      <c r="D319" s="38"/>
      <c r="E319" s="38" t="s">
        <v>1643</v>
      </c>
      <c r="F319" s="38" t="s">
        <v>596</v>
      </c>
      <c r="G319" s="38" t="s">
        <v>1644</v>
      </c>
    </row>
    <row r="320" customFormat="false" ht="32.25" hidden="false" customHeight="true" outlineLevel="0" collapsed="false">
      <c r="A320" s="38" t="s">
        <v>10</v>
      </c>
      <c r="B320" s="38" t="s">
        <v>1632</v>
      </c>
      <c r="C320" s="38" t="s">
        <v>1633</v>
      </c>
      <c r="D320" s="38"/>
      <c r="E320" s="38" t="s">
        <v>1645</v>
      </c>
      <c r="F320" s="38" t="s">
        <v>1449</v>
      </c>
      <c r="G320" s="38" t="s">
        <v>1646</v>
      </c>
    </row>
    <row r="321" customFormat="false" ht="21.75" hidden="false" customHeight="true" outlineLevel="0" collapsed="false">
      <c r="A321" s="38" t="s">
        <v>10</v>
      </c>
      <c r="B321" s="38" t="s">
        <v>1632</v>
      </c>
      <c r="C321" s="38" t="s">
        <v>1633</v>
      </c>
      <c r="D321" s="38"/>
      <c r="E321" s="38" t="s">
        <v>1647</v>
      </c>
      <c r="F321" s="38" t="s">
        <v>1648</v>
      </c>
      <c r="G321" s="38" t="s">
        <v>1649</v>
      </c>
    </row>
    <row r="322" customFormat="false" ht="32.25" hidden="false" customHeight="true" outlineLevel="0" collapsed="false">
      <c r="A322" s="38" t="s">
        <v>10</v>
      </c>
      <c r="B322" s="38" t="s">
        <v>1632</v>
      </c>
      <c r="C322" s="38" t="s">
        <v>1633</v>
      </c>
      <c r="D322" s="38"/>
      <c r="E322" s="38" t="s">
        <v>1650</v>
      </c>
      <c r="F322" s="38" t="s">
        <v>609</v>
      </c>
      <c r="G322" s="38" t="s">
        <v>1651</v>
      </c>
    </row>
    <row r="323" customFormat="false" ht="32.25" hidden="false" customHeight="true" outlineLevel="0" collapsed="false">
      <c r="A323" s="38" t="s">
        <v>11</v>
      </c>
      <c r="B323" s="38" t="s">
        <v>1632</v>
      </c>
      <c r="C323" s="38" t="s">
        <v>1633</v>
      </c>
      <c r="D323" s="38"/>
      <c r="E323" s="38" t="s">
        <v>1652</v>
      </c>
      <c r="F323" s="38" t="s">
        <v>1653</v>
      </c>
      <c r="G323" s="38" t="s">
        <v>1654</v>
      </c>
    </row>
    <row r="324" customFormat="false" ht="42.75" hidden="false" customHeight="true" outlineLevel="0" collapsed="false">
      <c r="A324" s="38" t="s">
        <v>11</v>
      </c>
      <c r="B324" s="38" t="s">
        <v>1632</v>
      </c>
      <c r="C324" s="38" t="s">
        <v>1633</v>
      </c>
      <c r="D324" s="38"/>
      <c r="E324" s="38" t="s">
        <v>1655</v>
      </c>
      <c r="F324" s="38" t="s">
        <v>1656</v>
      </c>
      <c r="G324" s="38" t="s">
        <v>1657</v>
      </c>
    </row>
    <row r="325" customFormat="false" ht="21.75" hidden="false" customHeight="true" outlineLevel="0" collapsed="false">
      <c r="A325" s="38" t="s">
        <v>11</v>
      </c>
      <c r="B325" s="38" t="s">
        <v>1632</v>
      </c>
      <c r="C325" s="38" t="s">
        <v>1658</v>
      </c>
      <c r="D325" s="38"/>
      <c r="E325" s="38" t="s">
        <v>1659</v>
      </c>
      <c r="F325" s="38" t="s">
        <v>896</v>
      </c>
      <c r="G325" s="38" t="s">
        <v>1660</v>
      </c>
    </row>
    <row r="326" customFormat="false" ht="42.75" hidden="false" customHeight="true" outlineLevel="0" collapsed="false">
      <c r="A326" s="38" t="s">
        <v>235</v>
      </c>
      <c r="B326" s="38" t="s">
        <v>1661</v>
      </c>
      <c r="C326" s="38" t="s">
        <v>1633</v>
      </c>
      <c r="D326" s="38"/>
      <c r="E326" s="38" t="s">
        <v>1662</v>
      </c>
      <c r="F326" s="38" t="s">
        <v>683</v>
      </c>
      <c r="G326" s="38" t="s">
        <v>1663</v>
      </c>
    </row>
    <row r="327" customFormat="false" ht="53.25" hidden="false" customHeight="true" outlineLevel="0" collapsed="false">
      <c r="A327" s="38" t="s">
        <v>235</v>
      </c>
      <c r="B327" s="38" t="s">
        <v>1661</v>
      </c>
      <c r="C327" s="38" t="s">
        <v>1633</v>
      </c>
      <c r="D327" s="38"/>
      <c r="E327" s="38" t="s">
        <v>1664</v>
      </c>
      <c r="F327" s="38" t="s">
        <v>690</v>
      </c>
      <c r="G327" s="38" t="s">
        <v>1665</v>
      </c>
    </row>
    <row r="328" customFormat="false" ht="42.75" hidden="false" customHeight="true" outlineLevel="0" collapsed="false">
      <c r="A328" s="38" t="s">
        <v>1666</v>
      </c>
      <c r="B328" s="38" t="s">
        <v>1661</v>
      </c>
      <c r="C328" s="38" t="s">
        <v>1633</v>
      </c>
      <c r="D328" s="38"/>
      <c r="E328" s="38" t="s">
        <v>1667</v>
      </c>
      <c r="F328" s="38" t="s">
        <v>649</v>
      </c>
      <c r="G328" s="38" t="s">
        <v>1668</v>
      </c>
    </row>
    <row r="329" customFormat="false" ht="32.25" hidden="false" customHeight="true" outlineLevel="0" collapsed="false">
      <c r="A329" s="38" t="s">
        <v>1666</v>
      </c>
      <c r="B329" s="38" t="s">
        <v>1661</v>
      </c>
      <c r="C329" s="38" t="s">
        <v>1633</v>
      </c>
      <c r="D329" s="38"/>
      <c r="E329" s="38" t="s">
        <v>1669</v>
      </c>
      <c r="F329" s="38" t="s">
        <v>661</v>
      </c>
      <c r="G329" s="38" t="s">
        <v>1670</v>
      </c>
    </row>
    <row r="330" customFormat="false" ht="53.25" hidden="false" customHeight="true" outlineLevel="0" collapsed="false">
      <c r="A330" s="38" t="s">
        <v>1666</v>
      </c>
      <c r="B330" s="38" t="s">
        <v>1661</v>
      </c>
      <c r="C330" s="38" t="s">
        <v>1636</v>
      </c>
      <c r="D330" s="38"/>
      <c r="E330" s="38" t="s">
        <v>1671</v>
      </c>
      <c r="F330" s="38" t="s">
        <v>1672</v>
      </c>
      <c r="G330" s="38" t="s">
        <v>1673</v>
      </c>
    </row>
    <row r="331" customFormat="false" ht="42.75" hidden="false" customHeight="true" outlineLevel="0" collapsed="false">
      <c r="A331" s="38" t="s">
        <v>1674</v>
      </c>
      <c r="B331" s="38" t="s">
        <v>1661</v>
      </c>
      <c r="C331" s="38" t="s">
        <v>1633</v>
      </c>
      <c r="D331" s="38"/>
      <c r="E331" s="38" t="s">
        <v>1675</v>
      </c>
      <c r="F331" s="38" t="s">
        <v>718</v>
      </c>
      <c r="G331" s="38" t="s">
        <v>1676</v>
      </c>
    </row>
    <row r="332" customFormat="false" ht="32.25" hidden="false" customHeight="true" outlineLevel="0" collapsed="false">
      <c r="A332" s="38" t="s">
        <v>1674</v>
      </c>
      <c r="B332" s="38" t="s">
        <v>1661</v>
      </c>
      <c r="C332" s="38" t="s">
        <v>1633</v>
      </c>
      <c r="D332" s="38"/>
      <c r="E332" s="38" t="s">
        <v>1677</v>
      </c>
      <c r="F332" s="38" t="s">
        <v>1678</v>
      </c>
      <c r="G332" s="38" t="s">
        <v>1679</v>
      </c>
    </row>
    <row r="333" customFormat="false" ht="53.25" hidden="false" customHeight="true" outlineLevel="0" collapsed="false">
      <c r="A333" s="38" t="s">
        <v>300</v>
      </c>
      <c r="B333" s="38" t="s">
        <v>1661</v>
      </c>
      <c r="C333" s="38" t="s">
        <v>1633</v>
      </c>
      <c r="D333" s="38"/>
      <c r="E333" s="38" t="s">
        <v>1680</v>
      </c>
      <c r="F333" s="38" t="s">
        <v>747</v>
      </c>
      <c r="G333" s="38" t="s">
        <v>1681</v>
      </c>
    </row>
    <row r="334" customFormat="false" ht="42.75" hidden="false" customHeight="true" outlineLevel="0" collapsed="false">
      <c r="A334" s="38" t="s">
        <v>300</v>
      </c>
      <c r="B334" s="38" t="s">
        <v>1661</v>
      </c>
      <c r="C334" s="38" t="s">
        <v>1633</v>
      </c>
      <c r="D334" s="38"/>
      <c r="E334" s="38" t="s">
        <v>1682</v>
      </c>
      <c r="F334" s="38" t="s">
        <v>770</v>
      </c>
      <c r="G334" s="38" t="s">
        <v>1683</v>
      </c>
    </row>
    <row r="335" customFormat="false" ht="32.25" hidden="false" customHeight="true" outlineLevel="0" collapsed="false">
      <c r="A335" s="38" t="s">
        <v>300</v>
      </c>
      <c r="B335" s="38" t="s">
        <v>1661</v>
      </c>
      <c r="C335" s="38" t="s">
        <v>1658</v>
      </c>
      <c r="D335" s="38"/>
      <c r="E335" s="38" t="s">
        <v>1684</v>
      </c>
      <c r="F335" s="38" t="s">
        <v>759</v>
      </c>
      <c r="G335" s="38" t="s">
        <v>1685</v>
      </c>
    </row>
    <row r="336" customFormat="false" ht="53.25" hidden="false" customHeight="true" outlineLevel="0" collapsed="false">
      <c r="A336" s="38" t="s">
        <v>28</v>
      </c>
      <c r="B336" s="38" t="s">
        <v>1661</v>
      </c>
      <c r="C336" s="38" t="s">
        <v>1633</v>
      </c>
      <c r="D336" s="38"/>
      <c r="E336" s="38" t="s">
        <v>1686</v>
      </c>
      <c r="F336" s="38" t="s">
        <v>806</v>
      </c>
      <c r="G336" s="38" t="s">
        <v>1687</v>
      </c>
    </row>
    <row r="337" customFormat="false" ht="63.75" hidden="false" customHeight="true" outlineLevel="0" collapsed="false">
      <c r="A337" s="38" t="s">
        <v>28</v>
      </c>
      <c r="B337" s="38" t="s">
        <v>1661</v>
      </c>
      <c r="C337" s="38" t="s">
        <v>1633</v>
      </c>
      <c r="D337" s="38"/>
      <c r="E337" s="38" t="s">
        <v>1688</v>
      </c>
      <c r="F337" s="38" t="s">
        <v>1689</v>
      </c>
      <c r="G337" s="38" t="s">
        <v>1690</v>
      </c>
    </row>
    <row r="338" customFormat="false" ht="42.75" hidden="false" customHeight="true" outlineLevel="0" collapsed="false">
      <c r="A338" s="38" t="s">
        <v>1691</v>
      </c>
      <c r="B338" s="38" t="s">
        <v>1692</v>
      </c>
      <c r="C338" s="38" t="s">
        <v>1636</v>
      </c>
      <c r="D338" s="38"/>
      <c r="E338" s="38" t="s">
        <v>1693</v>
      </c>
      <c r="F338" s="38" t="s">
        <v>914</v>
      </c>
      <c r="G338" s="38" t="s">
        <v>1694</v>
      </c>
    </row>
    <row r="339" customFormat="false" ht="32.25" hidden="false" customHeight="true" outlineLevel="0" collapsed="false">
      <c r="A339" s="38" t="s">
        <v>1691</v>
      </c>
      <c r="B339" s="38" t="s">
        <v>1692</v>
      </c>
      <c r="C339" s="38" t="s">
        <v>1633</v>
      </c>
      <c r="D339" s="38"/>
      <c r="E339" s="38" t="s">
        <v>1695</v>
      </c>
      <c r="F339" s="38" t="s">
        <v>914</v>
      </c>
      <c r="G339" s="38" t="s">
        <v>1696</v>
      </c>
    </row>
    <row r="340" customFormat="false" ht="42.75" hidden="false" customHeight="true" outlineLevel="0" collapsed="false">
      <c r="A340" s="38" t="s">
        <v>1697</v>
      </c>
      <c r="B340" s="38" t="s">
        <v>1692</v>
      </c>
      <c r="C340" s="38" t="s">
        <v>1636</v>
      </c>
      <c r="D340" s="38"/>
      <c r="E340" s="38" t="s">
        <v>1698</v>
      </c>
      <c r="F340" s="38" t="s">
        <v>935</v>
      </c>
      <c r="G340" s="38" t="s">
        <v>1699</v>
      </c>
    </row>
    <row r="341" customFormat="false" ht="42.75" hidden="false" customHeight="true" outlineLevel="0" collapsed="false">
      <c r="A341" s="38" t="s">
        <v>1700</v>
      </c>
      <c r="B341" s="38" t="s">
        <v>1692</v>
      </c>
      <c r="C341" s="38" t="s">
        <v>1636</v>
      </c>
      <c r="D341" s="38"/>
      <c r="E341" s="38" t="s">
        <v>1701</v>
      </c>
      <c r="F341" s="38" t="s">
        <v>958</v>
      </c>
      <c r="G341" s="38" t="s">
        <v>1702</v>
      </c>
    </row>
    <row r="342" customFormat="false" ht="21.75" hidden="false" customHeight="true" outlineLevel="0" collapsed="false">
      <c r="A342" s="38" t="s">
        <v>1700</v>
      </c>
      <c r="B342" s="38" t="s">
        <v>1692</v>
      </c>
      <c r="C342" s="38" t="s">
        <v>1636</v>
      </c>
      <c r="D342" s="38"/>
      <c r="E342" s="38" t="s">
        <v>1703</v>
      </c>
      <c r="F342" s="38" t="s">
        <v>958</v>
      </c>
      <c r="G342" s="38" t="s">
        <v>1704</v>
      </c>
    </row>
    <row r="343" customFormat="false" ht="42.75" hidden="false" customHeight="true" outlineLevel="0" collapsed="false">
      <c r="A343" s="38" t="s">
        <v>20</v>
      </c>
      <c r="B343" s="38" t="s">
        <v>1692</v>
      </c>
      <c r="C343" s="38" t="s">
        <v>1636</v>
      </c>
      <c r="D343" s="38"/>
      <c r="E343" s="38" t="s">
        <v>1705</v>
      </c>
      <c r="F343" s="38" t="s">
        <v>1059</v>
      </c>
      <c r="G343" s="38" t="s">
        <v>1706</v>
      </c>
    </row>
    <row r="344" customFormat="false" ht="42.75" hidden="false" customHeight="true" outlineLevel="0" collapsed="false">
      <c r="A344" s="38" t="s">
        <v>21</v>
      </c>
      <c r="B344" s="38" t="s">
        <v>1692</v>
      </c>
      <c r="C344" s="38" t="s">
        <v>1636</v>
      </c>
      <c r="D344" s="38"/>
      <c r="E344" s="38" t="s">
        <v>1707</v>
      </c>
      <c r="F344" s="38" t="s">
        <v>1073</v>
      </c>
      <c r="G344" s="38" t="s">
        <v>1708</v>
      </c>
    </row>
    <row r="345" customFormat="false" ht="74.25" hidden="false" customHeight="true" outlineLevel="0" collapsed="false">
      <c r="A345" s="38" t="s">
        <v>1709</v>
      </c>
      <c r="B345" s="38" t="s">
        <v>1710</v>
      </c>
      <c r="C345" s="38" t="s">
        <v>1633</v>
      </c>
      <c r="D345" s="38"/>
      <c r="E345" s="38" t="s">
        <v>1711</v>
      </c>
      <c r="F345" s="38" t="s">
        <v>1712</v>
      </c>
      <c r="G345" s="38" t="s">
        <v>1713</v>
      </c>
    </row>
    <row r="346" customFormat="false" ht="63.75" hidden="false" customHeight="true" outlineLevel="0" collapsed="false">
      <c r="A346" s="38" t="s">
        <v>1714</v>
      </c>
      <c r="B346" s="38" t="s">
        <v>1710</v>
      </c>
      <c r="C346" s="38" t="s">
        <v>1633</v>
      </c>
      <c r="D346" s="38"/>
      <c r="E346" s="38" t="s">
        <v>1715</v>
      </c>
      <c r="F346" s="38" t="s">
        <v>1503</v>
      </c>
      <c r="G346" s="38" t="s">
        <v>1716</v>
      </c>
    </row>
    <row r="347" customFormat="false" ht="63.75" hidden="false" customHeight="true" outlineLevel="0" collapsed="false">
      <c r="A347" s="38" t="s">
        <v>1717</v>
      </c>
      <c r="B347" s="38" t="s">
        <v>1710</v>
      </c>
      <c r="C347" s="38" t="s">
        <v>1636</v>
      </c>
      <c r="D347" s="38"/>
      <c r="E347" s="38" t="s">
        <v>1718</v>
      </c>
      <c r="F347" s="38" t="s">
        <v>1719</v>
      </c>
      <c r="G347" s="38" t="s">
        <v>1720</v>
      </c>
    </row>
    <row r="348" customFormat="false" ht="74.25" hidden="false" customHeight="true" outlineLevel="0" collapsed="false">
      <c r="A348" s="38" t="s">
        <v>1721</v>
      </c>
      <c r="B348" s="38" t="s">
        <v>1710</v>
      </c>
      <c r="C348" s="38" t="s">
        <v>1633</v>
      </c>
      <c r="D348" s="38"/>
      <c r="E348" s="38" t="s">
        <v>1722</v>
      </c>
      <c r="F348" s="38" t="s">
        <v>1030</v>
      </c>
      <c r="G348" s="38" t="s">
        <v>1723</v>
      </c>
    </row>
    <row r="349" customFormat="false" ht="32.25" hidden="false" customHeight="true" outlineLevel="0" collapsed="false">
      <c r="A349" s="38" t="s">
        <v>19</v>
      </c>
      <c r="B349" s="38" t="s">
        <v>1710</v>
      </c>
      <c r="C349" s="38" t="s">
        <v>1658</v>
      </c>
      <c r="D349" s="38"/>
      <c r="E349" s="38" t="s">
        <v>1724</v>
      </c>
      <c r="F349" s="38"/>
      <c r="G349" s="38"/>
    </row>
    <row r="350" customFormat="false" ht="32.25" hidden="false" customHeight="true" outlineLevel="0" collapsed="false">
      <c r="A350" s="38" t="s">
        <v>1725</v>
      </c>
      <c r="B350" s="38" t="s">
        <v>1710</v>
      </c>
      <c r="C350" s="38" t="s">
        <v>1658</v>
      </c>
      <c r="D350" s="38"/>
      <c r="E350" s="38" t="s">
        <v>1726</v>
      </c>
      <c r="F350" s="38"/>
      <c r="G350" s="38"/>
    </row>
    <row r="351" customFormat="false" ht="74.25" hidden="false" customHeight="true" outlineLevel="0" collapsed="false">
      <c r="A351" s="38" t="s">
        <v>545</v>
      </c>
      <c r="B351" s="38" t="s">
        <v>1727</v>
      </c>
      <c r="C351" s="38" t="s">
        <v>1636</v>
      </c>
      <c r="D351" s="38"/>
      <c r="E351" s="38" t="s">
        <v>1728</v>
      </c>
      <c r="F351" s="38" t="s">
        <v>1536</v>
      </c>
      <c r="G351" s="38" t="s">
        <v>1729</v>
      </c>
    </row>
    <row r="352" customFormat="false" ht="74.25" hidden="false" customHeight="true" outlineLevel="0" collapsed="false">
      <c r="A352" s="38" t="s">
        <v>551</v>
      </c>
      <c r="B352" s="38" t="s">
        <v>1727</v>
      </c>
      <c r="C352" s="38" t="s">
        <v>1636</v>
      </c>
      <c r="D352" s="38"/>
      <c r="E352" s="38" t="s">
        <v>1730</v>
      </c>
      <c r="F352" s="38" t="s">
        <v>1731</v>
      </c>
      <c r="G352" s="38" t="s">
        <v>1732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50"/>
  </cols>
  <sheetData>
    <row r="1" customFormat="false" ht="15" hidden="false" customHeight="true" outlineLevel="0" collapsed="false">
      <c r="A1" s="39" t="s">
        <v>1733</v>
      </c>
    </row>
    <row r="2" customFormat="false" ht="23.25" hidden="false" customHeight="true" outlineLevel="0" collapsed="false">
      <c r="A2" s="26" t="s">
        <v>1734</v>
      </c>
    </row>
    <row r="3" customFormat="false" ht="15" hidden="false" customHeight="true" outlineLevel="0" collapsed="false">
      <c r="A3" s="26"/>
    </row>
    <row r="4" customFormat="false" ht="15" hidden="false" customHeight="true" outlineLevel="0" collapsed="false">
      <c r="A4" s="39" t="s">
        <v>1735</v>
      </c>
    </row>
    <row r="5" customFormat="false" ht="23.25" hidden="false" customHeight="true" outlineLevel="0" collapsed="false">
      <c r="A5" s="26" t="s">
        <v>1736</v>
      </c>
    </row>
    <row r="6" customFormat="false" ht="23.25" hidden="false" customHeight="true" outlineLevel="0" collapsed="false">
      <c r="A6" s="26" t="s">
        <v>1737</v>
      </c>
    </row>
    <row r="7" customFormat="false" ht="15" hidden="false" customHeight="true" outlineLevel="0" collapsed="false">
      <c r="A7" s="26" t="s">
        <v>1738</v>
      </c>
    </row>
    <row r="8" customFormat="false" ht="15" hidden="false" customHeight="true" outlineLevel="0" collapsed="false">
      <c r="A8" s="26"/>
    </row>
    <row r="9" customFormat="false" ht="15" hidden="false" customHeight="true" outlineLevel="0" collapsed="false">
      <c r="A9" s="39" t="s">
        <v>1739</v>
      </c>
    </row>
    <row r="10" customFormat="false" ht="15" hidden="false" customHeight="true" outlineLevel="0" collapsed="false">
      <c r="A10" s="26" t="s">
        <v>1740</v>
      </c>
    </row>
    <row r="11" customFormat="false" ht="15" hidden="false" customHeight="true" outlineLevel="0" collapsed="false">
      <c r="A11" s="26"/>
    </row>
    <row r="12" customFormat="false" ht="15" hidden="false" customHeight="true" outlineLevel="0" collapsed="false">
      <c r="A12" s="39" t="s">
        <v>1741</v>
      </c>
    </row>
    <row r="13" customFormat="false" ht="23.25" hidden="false" customHeight="true" outlineLevel="0" collapsed="false">
      <c r="A13" s="26" t="s">
        <v>1742</v>
      </c>
    </row>
    <row r="14" customFormat="false" ht="23.25" hidden="false" customHeight="true" outlineLevel="0" collapsed="false">
      <c r="A14" s="26" t="s">
        <v>1743</v>
      </c>
    </row>
    <row r="15" customFormat="false" ht="23.25" hidden="false" customHeight="true" outlineLevel="0" collapsed="false">
      <c r="A15" s="26" t="s">
        <v>1744</v>
      </c>
    </row>
    <row r="16" customFormat="false" ht="15" hidden="false" customHeight="true" outlineLevel="0" collapsed="false">
      <c r="A16" s="26" t="s">
        <v>1745</v>
      </c>
    </row>
    <row r="17" customFormat="false" ht="23.25" hidden="false" customHeight="true" outlineLevel="0" collapsed="false">
      <c r="A17" s="26" t="s">
        <v>1746</v>
      </c>
    </row>
    <row r="18" customFormat="false" ht="15" hidden="false" customHeight="true" outlineLevel="0" collapsed="false">
      <c r="A18" s="26" t="s">
        <v>1747</v>
      </c>
    </row>
    <row r="19" customFormat="false" ht="15" hidden="false" customHeight="true" outlineLevel="0" collapsed="false">
      <c r="A19" s="26" t="s">
        <v>1748</v>
      </c>
    </row>
    <row r="20" customFormat="false" ht="15" hidden="false" customHeight="true" outlineLevel="0" collapsed="false">
      <c r="A20" s="26" t="s">
        <v>1749</v>
      </c>
    </row>
    <row r="21" customFormat="false" ht="15" hidden="false" customHeight="true" outlineLevel="0" collapsed="false">
      <c r="A21" s="26"/>
    </row>
    <row r="22" customFormat="false" ht="15" hidden="false" customHeight="true" outlineLevel="0" collapsed="false">
      <c r="A22" s="39" t="s">
        <v>1750</v>
      </c>
    </row>
    <row r="23" customFormat="false" ht="15" hidden="false" customHeight="true" outlineLevel="0" collapsed="false">
      <c r="A23" s="26" t="s">
        <v>1751</v>
      </c>
    </row>
    <row r="24" customFormat="false" ht="15" hidden="false" customHeight="true" outlineLevel="0" collapsed="false">
      <c r="A24" s="26" t="s">
        <v>1752</v>
      </c>
    </row>
    <row r="25" customFormat="false" ht="15" hidden="false" customHeight="true" outlineLevel="0" collapsed="false">
      <c r="A25" s="26" t="s">
        <v>1753</v>
      </c>
    </row>
    <row r="26" customFormat="false" ht="15" hidden="false" customHeight="true" outlineLevel="0" collapsed="false">
      <c r="A26" s="26" t="s">
        <v>1754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2026-08-17T19:09:26Z</dcterms:created>
  <dc:creator>openpyxl</dc:creator>
  <dc:description/>
  <dc:language>en-US</dc:language>
  <cp:lastModifiedBy/>
  <dcterms:modified xsi:type="dcterms:W3CDTF">2026-09-24T12:57:20Z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