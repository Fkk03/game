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TNX" sheetId="2" state="visible" r:id="rId4"/>
    <sheet name="EVERPURE" sheetId="3" state="visible" r:id="rId5"/>
    <sheet name="SNOW" sheetId="4" state="visible" r:id="rId6"/>
    <sheet name="PLTR" sheetId="5" state="visible" r:id="rId7"/>
    <sheet name="NVDA" sheetId="6" state="visible" r:id="rId8"/>
    <sheet name="AMD" sheetId="7" state="visible" r:id="rId9"/>
    <sheet name="SKHYNIX" sheetId="8" state="visible" r:id="rId10"/>
    <sheet name="SAMSUNG" sheetId="9" state="visible" r:id="rId11"/>
    <sheet name="SNDK" sheetId="10" state="visible" r:id="rId12"/>
    <sheet name="KIOXIA" sheetId="11" state="visible" r:id="rId13"/>
    <sheet name="ReadM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<sst xmlns="http://schemas.openxmlformats.org/spreadsheetml/2006/main" count="725" uniqueCount="250">
  <si>
    <t xml:space="preserve">5-Year DCF Models — AI Infrastructure &amp; Data Platforms</t>
  </si>
  <si>
    <t xml:space="preserve">Valuation date: August 24, 2026. Prices = latest close/quote per tab. Green cells link live to each company tab; edit assumptions there (yellow cells).</t>
  </si>
  <si>
    <t xml:space="preserve">Ticker</t>
  </si>
  <si>
    <t xml:space="preserve">Company</t>
  </si>
  <si>
    <t xml:space="preserve">Ccy</t>
  </si>
  <si>
    <t xml:space="preserve">Price</t>
  </si>
  <si>
    <t xml:space="preserve">DCF value/sh</t>
  </si>
  <si>
    <t xml:space="preserve">Upside/(dn)</t>
  </si>
  <si>
    <t xml:space="preserve">Rev CAGR y1–5</t>
  </si>
  <si>
    <t xml:space="preserve">Yr-5 EBIT mgn</t>
  </si>
  <si>
    <t xml:space="preserve">WACC</t>
  </si>
  <si>
    <t xml:space="preserve">Term. g</t>
  </si>
  <si>
    <t xml:space="preserve">Term. mgn</t>
  </si>
  <si>
    <t xml:space="preserve">TV % of EV</t>
  </si>
  <si>
    <t xml:space="preserve">Fiscal window</t>
  </si>
  <si>
    <t xml:space="preserve">NTNX</t>
  </si>
  <si>
    <t xml:space="preserve">Nutanix</t>
  </si>
  <si>
    <t xml:space="preserve">US$</t>
  </si>
  <si>
    <t xml:space="preserve">FY2026E → FY2031E</t>
  </si>
  <si>
    <t xml:space="preserve">P</t>
  </si>
  <si>
    <t xml:space="preserve">Everpure (fka Pure Storage)</t>
  </si>
  <si>
    <t xml:space="preserve">FY2026A → FY2031E</t>
  </si>
  <si>
    <t xml:space="preserve">SNOW</t>
  </si>
  <si>
    <t xml:space="preserve">Snowflake</t>
  </si>
  <si>
    <t xml:space="preserve">PLTR</t>
  </si>
  <si>
    <t xml:space="preserve">Palantir</t>
  </si>
  <si>
    <t xml:space="preserve">2025A → 2030E</t>
  </si>
  <si>
    <t xml:space="preserve">NVDA</t>
  </si>
  <si>
    <t xml:space="preserve">NVIDIA</t>
  </si>
  <si>
    <t xml:space="preserve">AMD</t>
  </si>
  <si>
    <t xml:space="preserve">000660</t>
  </si>
  <si>
    <t xml:space="preserve">SK hynix</t>
  </si>
  <si>
    <t xml:space="preserve">₩</t>
  </si>
  <si>
    <t xml:space="preserve">005930</t>
  </si>
  <si>
    <t xml:space="preserve">Samsung Electronics</t>
  </si>
  <si>
    <t xml:space="preserve">SNDK</t>
  </si>
  <si>
    <t xml:space="preserve">Sandisk</t>
  </si>
  <si>
    <t xml:space="preserve">285A</t>
  </si>
  <si>
    <t xml:space="preserve">Kioxia Holdings</t>
  </si>
  <si>
    <t xml:space="preserve">¥</t>
  </si>
  <si>
    <t xml:space="preserve">FY2025A → FY2030E</t>
  </si>
  <si>
    <t xml:space="preserve">Economic EBIT margins treat stock-based compensation as a real expense (between GAAP and non-GAAP operating margin) — see ReadMe. KRW/JPY names valued in local currency.</t>
  </si>
  <si>
    <t xml:space="preserve">Nutanix (NASDAQ: NTNX) — 5-Year DCF</t>
  </si>
  <si>
    <t xml:space="preserve">Valuation date: August 24, 2026  |  All figures in US$ millions unless noted  |  FY ends Jul 31; base = FY2026E (guide midpoint; Q4 reports Aug 26, 2026)</t>
  </si>
  <si>
    <t xml:space="preserve">KEY INPUTS  (blue = hardcoded input; yellow = key levers)</t>
  </si>
  <si>
    <t xml:space="preserve">Current share price (US$)</t>
  </si>
  <si>
    <t xml:space="preserve">Aug 24, 2026 quote</t>
  </si>
  <si>
    <t xml:space="preserve">Diluted shares outstanding (mm)</t>
  </si>
  <si>
    <t xml:space="preserve">wtd diluted Q3 FY26 (incl. converts); 270.3mm Class A outstanding</t>
  </si>
  <si>
    <t xml:space="preserve">Net cash / (net debt), $mm</t>
  </si>
  <si>
    <t xml:space="preserve">$2,018mm cash+ST inv − $1,362.5mm converts (2027+2029), Apr 30, 2026</t>
  </si>
  <si>
    <t xml:space="preserve">Tax rate on EBIT</t>
  </si>
  <si>
    <t xml:space="preserve">GAAP ETR ~11% (NOLs); normalized</t>
  </si>
  <si>
    <t xml:space="preserve">WACC (discount rate)</t>
  </si>
  <si>
    <t xml:space="preserve">Terminal growth rate</t>
  </si>
  <si>
    <t xml:space="preserve">Per-share unit factor ($mm → US$/sh)</t>
  </si>
  <si>
    <t xml:space="preserve">1 for $mm &amp; mm shares; 1,000 for ₩bn/¥bn &amp; mm shares</t>
  </si>
  <si>
    <t xml:space="preserve">PROJECTIONS</t>
  </si>
  <si>
    <t xml:space="preserve">$mm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</si>
  <si>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</si>
  <si>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</si>
  <si>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</si>
  <si>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</si>
  <si>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</si>
  <si>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</si>
  <si>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Revenue</t>
  </si>
  <si>
    <t xml:space="preserve">  Revenue growth %</t>
  </si>
  <si>
    <t xml:space="preserve">  EBIT margin % (economic, incl. SBC)</t>
  </si>
  <si>
    <t xml:space="preserve">EBIT</t>
  </si>
  <si>
    <t xml:space="preserve">Cash taxes on EBIT</t>
  </si>
  <si>
    <t xml:space="preserve">NOPAT</t>
  </si>
  <si>
    <t xml:space="preserve">  D&amp;A % of revenue</t>
  </si>
  <si>
    <t xml:space="preserve">(+) D&amp;A</t>
  </si>
  <si>
    <t xml:space="preserve">  Capex % of revenue</t>
  </si>
  <si>
    <t xml:space="preserve">(–) Capex</t>
  </si>
  <si>
    <t xml:space="preserve">  ΔNWC as % of Δrevenue (neg = cash source)</t>
  </si>
  <si>
    <t xml:space="preserve">(–) Investment in working capital</t>
  </si>
  <si>
    <t xml:space="preserve">Unlevered free cash flow</t>
  </si>
  <si>
    <t xml:space="preserve">  uFCF margin %</t>
  </si>
  <si>
    <t xml:space="preserve">Discount period (mid-year conv.)</t>
  </si>
  <si>
    <t xml:space="preserve">Discount factor</t>
  </si>
  <si>
    <t xml:space="preserve">PV of uFCF</t>
  </si>
  <si>
    <t xml:space="preserve">TERMINAL VALUE (Gordon growth on normalized margin)</t>
  </si>
  <si>
    <t xml:space="preserve">Normalized terminal uFCF margin (× yr-5 revenue)</t>
  </si>
  <si>
    <t xml:space="preserve">derived: 18% steady-state econ EBIT (28% NG OM − 10% SBC) × 0.8 tax = 14.4% + ~1.2pt deferred-rev inflow &amp; D&amp;A&gt;capex</t>
  </si>
  <si>
    <t xml:space="preserve">Terminal uFCF (yr-5 revenue × (1+g) × margin)</t>
  </si>
  <si>
    <t xml:space="preserve">Terminal value at end of year 5</t>
  </si>
  <si>
    <t xml:space="preserve">PV of terminal value</t>
  </si>
  <si>
    <t xml:space="preserve">Implied terminal EV / yr-5 uFCF</t>
  </si>
  <si>
    <t xml:space="preserve">VALUATION</t>
  </si>
  <si>
    <t xml:space="preserve">PV of explicit-period uFCF (yrs 1–5)</t>
  </si>
  <si>
    <t xml:space="preserve">Enterprise value</t>
  </si>
  <si>
    <t xml:space="preserve">  Terminal value % of EV</t>
  </si>
  <si>
    <t xml:space="preserve">(+) Net cash / (net debt)</t>
  </si>
  <si>
    <t xml:space="preserve">Equity value</t>
  </si>
  <si>
    <t xml:space="preserve">Implied value per share (US$)</t>
  </si>
  <si>
    <t xml:space="preserve">Implied upside / (downside)</t>
  </si>
  <si>
    <t xml:space="preserve">SENSITIVITY — implied value per share (WACC ↓ × terminal growth →)</t>
  </si>
  <si>
    <t xml:space="preserve">WACC \ g</t>
  </si>
  <si>
    <t xml:space="preserve">ASSUMPTION NOTES &amp; SOURCES</t>
  </si>
  <si>
    <t xml:space="preserve">Growth: FY26 guide $2.82–2.84B (+11.5%) accelerating toward management's 'mid-to-high-teens by FY2029' framework (Q3 FY26 call, May 27, 2026) on VMware/Broadcom displacement; ARR $2.43B +15%. Sept-2023 investor-day $3B-ARR-by-FY27 target looks late by ~a year on the new ARR methodology.</t>
  </si>
  <si>
    <t xml:space="preserve">Margins: FY26 non-GAAP op margin ~22.5% guided, but SBC is ~13% of revenue — economic EBIT starts ~10% and scales to 18% as SBC leverage improves. FCF guide $760–780mm (~27%) is before SBC; to replicate a street-style model set margins to 22.5%→28% (lifts the DCF to ≈$60, near today's price). ΔNWC −20% of Δrev captures the deferred-revenue cash inflow of the subscription model.</t>
  </si>
  <si>
    <t xml:space="preserve">Net cash treats both converts as debt while using the diluted share count (conservative double-count on the ITM 2027 notes). $750mm buyback authorization added May 2026 not modeled.</t>
  </si>
  <si>
    <t xml:space="preserve">Cross-check: market cap ≈ 19,329 $mm. At the current price, EV ≈ 18,674 = 19.5x this model's year-5 economic uFCF (958) — vs the model's implied terminal multiple shown above. The gap between those two numbers is what the market is paying for growth beyond year 5.</t>
  </si>
  <si>
    <t xml:space="preserve">Sources: Q3 FY26 press release + 10-Q (May 27, 2026); FY25 10-K; Q3 FY26 earnings call (Seeking Alpha); stockanalysis.com/TipRanks consensus (Aug 2026)</t>
  </si>
  <si>
    <t xml:space="preserve">Everpure (fka Pure Storage) (NYSE: P) — 5-Year DCF</t>
  </si>
  <si>
    <t xml:space="preserve">Valuation date: August 24, 2026  |  All figures in US$ millions unless noted  |  FY ends early Feb; base = FY2026A (ended Feb 1, 2026); renamed from Pure Storage/PSTG Apr 2026</t>
  </si>
  <si>
    <t xml:space="preserve">Aug 19, 2026 close (post +22% pop on 2nd hyperscaler win)</t>
  </si>
  <si>
    <t xml:space="preserve">non-GAAP wtd diluted Q4 FY26; ~331.5mm outstanding</t>
  </si>
  <si>
    <t xml:space="preserve">cash+investments ~$1.5B, no debt (Q1 FY27)</t>
  </si>
  <si>
    <t xml:space="preserve">normalized; NOLs keep near-term cash taxes low</t>
  </si>
  <si>
    <t xml:space="preserve">FY2026A</t>
  </si>
  <si>
    <t xml:space="preserve">steady state: ~24% non-GAAP OM − ~9% SBC, taxed, + small sub inflow</t>
  </si>
  <si>
    <t xml:space="preserve">Growth: FY27 guide $4.41–4.51B (+~22%, raised May 27, 2026); Q1 FY27 +35% with product +55% on the Meta ramp ('low double-digit exabytes' in FY27, H2-weighted). Second top-5 hyperscaler DirectFlash win (Aug 10, 2026) starts contributing FY2028 — carries the 17–20% middle years. Analyst day Sep 23, 2026 may reset the long-term model.</t>
  </si>
  <si>
    <t xml:space="preserve">Margins: FY26 non-GAAP op margin 17.3% but SBC 13.1% of revenue → economic EBIT ~4% base, scaling to 14% on hyperscale operating leverage (mgmt: hyperscale GM 75–85%, accretive). Street-style: set margins to 17%→22%.</t>
  </si>
  <si>
    <t xml:space="preserve">Capex 6.5% of revenue (FY26: 7.2%) reflects testbed/hyperscale investment staying elevated.</t>
  </si>
  <si>
    <t xml:space="preserve">Cross-check: market cap ≈ 38,863 $mm. At the current price, EV ≈ 37,363 = 45.5x this model's year-5 economic uFCF (822) — vs the model's implied terminal multiple shown above. The gap between those two numbers is what the market is paying for growth beyond year 5.</t>
  </si>
  <si>
    <t xml:space="preserve">Sources: Q1 FY27 press release (May 27, 2026); Q4/FY26 press release (Feb 25, 2026); FY26 10-K; 2nd hyperscaler win release (Aug 10, 2026); Everpure rebrand release (Feb 23, 2026)</t>
  </si>
  <si>
    <t xml:space="preserve">Snowflake (NYSE: SNOW) — 5-Year DCF</t>
  </si>
  <si>
    <t xml:space="preserve">Valuation date: August 24, 2026  |  All figures in US$ millions unless noted  |  FY ends Jan 31; base = FY2026A; total revenue basis (product ≈ 95%)</t>
  </si>
  <si>
    <t xml:space="preserve">Aug 24, 2026 quote; Q2 FY27 reports Sep 2, 2026</t>
  </si>
  <si>
    <t xml:space="preserve">~354mm outstanding + ~4.5% dilution</t>
  </si>
  <si>
    <t xml:space="preserve">~$3.86B cash+inv − $2.3B 0% converts (2027/2029), Apr 30, 2026</t>
  </si>
  <si>
    <t xml:space="preserve">normalized; large NOLs defer cash taxes</t>
  </si>
  <si>
    <t xml:space="preserve">band 12–18%: Investor-Day glidepath (30% NG OM − 15% SBC, taxed, + inflows) derives ~12%; 18% needs ~35% NG OM at scale. Base = midpoint 15%</t>
  </si>
  <si>
    <t xml:space="preserve">Growth: FY27 product guide $5.84B +31% (raised May 27, 2026; Q1 product +34%, NRR 126%, RPO $9.2B +38%). Path hits ~$10B product revenue in FY2030 — one year later than the FY29 target reaffirmed at the Jun 2, 2026 Investor Day (management framed FY29 $10B as 'worst case'; this model is slightly more conservative). $6B/5-yr AWS pact, Observe deal.</t>
  </si>
  <si>
    <t xml:space="preserve">Margins: the SBC problem dominates — SBC still ~29% of revenue (down from 41% FY25; Investor Day glidepath to 27%, assumed to keep falling). Economic EBIT is negative until ~FY2029, consistent with the Investor Day commitment of GAAP profitability by Q4 FY28. Non-GAAP op margin 13.5% and adj FCF margin ~23–25% guided for FY27 — a street-style model (explicit margins 13.5%→28%, terminal 25%) roughly doubles the DCF value to ~$115, still ~65% below the price; that is the entire bull/bear debate on SNOW.</t>
  </si>
  <si>
    <t xml:space="preserve">ΔNWC −15% of Δrev captures the strong deferred-revenue/prepaid-consumption cash cycle.</t>
  </si>
  <si>
    <t xml:space="preserve">Cross-check: market cap ≈ 120,513 $mm. At the current price, EV ≈ 118,953 = 80.4x this model's year-5 economic uFCF (1,480) — vs the model's implied terminal multiple shown above. The gap between those two numbers is what the market is paying for growth beyond year 5.</t>
  </si>
  <si>
    <t xml:space="preserve">Sources: Q1 FY27 press release (May 27, 2026); Q4/FY26 press release (Feb 25, 2026); Investor Day deck (Jun 2, 2026); Morningstar Investor Day note (Jun 2026)</t>
  </si>
  <si>
    <t xml:space="preserve">Palantir (NASDAQ: PLTR) — 5-Year DCF</t>
  </si>
  <si>
    <t xml:space="preserve">Valuation date: August 24, 2026  |  All figures in US$ millions unless noted  |  Calendar FY; base = 2025A; Q2 2026 reported Aug 3, 2026</t>
  </si>
  <si>
    <t xml:space="preserve">Aug 24, 2026 quote (52-wk $106–208)</t>
  </si>
  <si>
    <t xml:space="preserve">wtd diluted Q2 2026 (10-Q)</t>
  </si>
  <si>
    <t xml:space="preserve">cash + ST Treasuries $9.2B, zero debt (Jun 30, 2026)</t>
  </si>
  <si>
    <t xml:space="preserve">~1.4% today (NOLs); normalized — NOLs likely consumed inside window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</si>
  <si>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</si>
  <si>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</si>
  <si>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</si>
  <si>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</si>
  <si>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</si>
  <si>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</si>
  <si>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~52% economic EBIT taxed + inflows; near current adj-FCF economics</t>
  </si>
  <si>
    <t xml:space="preserve">Growth: 2026 guide $8.15B +82% (raised three times; Q2 +93%, US commercial +149%, TCV $3.37B +49%, RDV $13.1B +83%). No formal analyst-day model exists — path decelerates 82%→22% (2030 ~$25B), ABOVE published consensus (2027 ~$10.2B, 2028 ~$14.4B) because street has under-modeled every quarter; anchors: US Army $10B EA, Maven, NATO, commercial ontology/agent traction, Rule of 40 at 155.</t>
  </si>
  <si>
    <t xml:space="preserve">Margins: Q2 2026 GAAP op margin 47%, adjusted 62%, SBC ~13% of revenue → economic ~46–50% held flat (best software margin structure ever printed at this scale).</t>
  </si>
  <si>
    <t xml:space="preserve">Valuation reality: even at a 41% 5-yr revenue CAGR and 50% margins, the DCF lands far below the price — at ~$455B diluted market cap the market is paying for the growth path to extend well beyond 2030 (see cross-check below). The yellow cells make it easy to test what must be true.</t>
  </si>
  <si>
    <t xml:space="preserve">Cross-check: market cap ≈ 455,330 $mm. At the current price, EV ≈ 446,130 = 44.3x this model's year-5 economic uFCF (10,070) — vs the model's implied terminal multiple shown above. The gap between those two numbers is what the market is paying for growth beyond year 5.</t>
  </si>
  <si>
    <t xml:space="preserve">Sources: Q2 2026 press release + 10-Q (Aug 3, 2026); Q4/FY25 release (Feb 2, 2026); CNBC/Investing.com Q2 coverage (Aug 2026); consensus aggregators (Aug 2026)</t>
  </si>
  <si>
    <t xml:space="preserve">NVIDIA (NASDAQ: NVDA) — 5-Year DCF</t>
  </si>
  <si>
    <t xml:space="preserve">Valuation date: August 24, 2026  |  All figures in US$ millions unless noted  |  FY ends late Jan; base = FY2026A (ended Jan 25, 2026); Q2 FY27 reports Aug 26, 2026</t>
  </si>
  <si>
    <t xml:space="preserve">Aug 24, 2026 quote; mkt cap ~$5.2T</t>
  </si>
  <si>
    <t xml:space="preserve">implied diluted (Q1 FY27 NI $58.3B / $2.39 EPS)</t>
  </si>
  <si>
    <t xml:space="preserve">$50.3B cash+securities − $8.5B debt (Apr 26, 2026); excl. equity stakes</t>
  </si>
  <si>
    <t xml:space="preserve">FY27 guide 16–18%</t>
  </si>
  <si>
    <t xml:space="preserve">≈ 56% EBIT taxed less reinvestment — near current FCF conversion</t>
  </si>
  <si>
    <t xml:space="preserve">Growth: FY27 ~$391B (+81%) per consensus, consistent with Q1 FY27 $81.6B actual + $91B Q2 guide and Huang's ≥$1T cumulative Blackwell+Rubin bookings through CY2027 (GTC Mar 2026; was $500B through CY2026). Deceleration to +8% by FY31 as the $3–4T-by-2030 AI-infra TAM matures and custom ASICs (~28% of 2026 AI-server units) take share. $0 China assumed, matching guidance.</t>
  </si>
  <si>
    <t xml:space="preserve">Margins: FY26 GAAP op ~60%, Q1 FY27 ~66%, SBC only 3% of revenue — economic EBIT held at 62% fading to 56% on competition. ΔNWC 10% of Δrev reflects receivable/inventory build (FY26 FCF $96.6B = 45% of revenue).</t>
  </si>
  <si>
    <t xml:space="preserve">Rubin ramps H2 2026; OpenAI 10GW/$100B frame, Anthropic/xAI stakes, $118.5B buyback authorization not separately modeled.</t>
  </si>
  <si>
    <t xml:space="preserve">Cross-check: market cap ≈ 5,129,856 $mm. At the current price, EV ≈ 5,087,956 = 15.9x this model's year-5 economic uFCF (319,414) — vs the model's implied terminal multiple shown above. The gap between those two numbers is what the market is paying for growth beyond year 5.</t>
  </si>
  <si>
    <t xml:space="preserve">Sources: Q1 FY27 press release + 10-Q (May 20, 2026); Q4/FY26 release + 10-K (Feb 25, 2026); GTC keynotes (Oct 2025 / Mar 2026); consensus aggregators (Aug 2026)</t>
  </si>
  <si>
    <t xml:space="preserve">AMD (NASDAQ: AMD) — 5-Year DCF</t>
  </si>
  <si>
    <t xml:space="preserve">Valuation date: August 24, 2026  |  All figures in US$ millions unless noted  |  Calendar FY; base = 2025A; Q2 2026 reported Aug 4, 2026</t>
  </si>
  <si>
    <t xml:space="preserve">Aug 24, 2026 quote; mkt cap ~$760B</t>
  </si>
  <si>
    <t xml:space="preserve">wtd diluted Q2 2026; excl. up to 160mm OpenAI warrants</t>
  </si>
  <si>
    <t xml:space="preserve">$13.1B cash+ST inv − $3.25B debt (Jun 27, 2026)</t>
  </si>
  <si>
    <t xml:space="preserve">non-GAAP rate 13% guided</t>
  </si>
  <si>
    <t xml:space="preserve">≈ 31% economic EBIT taxed less reinvestment</t>
  </si>
  <si>
    <t xml:space="preserve">Growth: anchored to the Nov 11, 2025 Financial Analyst Day model — company revenue CAGR &gt;35%, data center &gt;60%, DC AI &gt;80%, non-GAAP EPS &gt;$20 in 3–5 yrs. Path 43%→22% (~33% CAGR, 2030 ~$143B) sits slightly below the FAD headline, reflecting ramp risk. Backdrop: OpenAI 6GW + Meta 6GW + Anthropic up-to-2GW MI450 commitments; Helios shipping end-Q3 2026; mgmt guided 2027 DC revenue to more than double. Consensus: 2026 ~$49.5B, 2027 ~$68B.</t>
  </si>
  <si>
    <t xml:space="preserve">Margins: 2025 non-GAAP op 22.5% − SBC ~4.6% → economic ~18% base; path to 31% by 2030 tracks the FAD &gt;35% non-GAAP target minus SBC. Q2 2026 already 27% non-GAAP.</t>
  </si>
  <si>
    <t xml:space="preserve">OpenAI warrants (160mm shares, $0.01 strike, vest per GW + $600 stock milestone) excluded from the count — full vesting would dilute value/share ~9%; add to shares to test.</t>
  </si>
  <si>
    <t xml:space="preserve">Cross-check: market cap ≈ 790,328 $mm. At the current price, EV ≈ 780,428 = 22.8x this model's year-5 economic uFCF (34,285) — vs the model's implied terminal multiple shown above. The gap between those two numbers is what the market is paying for growth beyond year 5.</t>
  </si>
  <si>
    <t xml:space="preserve">Sources: Financial Analyst Day release (Nov 11, 2025); Q2 2026 release + 10-Q (Aug 4, 2026); OpenAI 6GW agreement (Oct 6, 2025); Advancing AI / Helios launch coverage (Jul 2026)</t>
  </si>
  <si>
    <t xml:space="preserve">SK hynix (KRX: 000660) — 5-Year DCF</t>
  </si>
  <si>
    <t xml:space="preserve">Valuation date: August 24, 2026  |  All figures in KRW billions unless noted  |  Calendar FY; base = 2025A; H1 2026 reported Jul 29, 2026. Figures in ₩bn</t>
  </si>
  <si>
    <t xml:space="preserve">Current share price (₩)</t>
  </si>
  <si>
    <t xml:space="preserve">Aug 24, 2026 close (₩1.73M; −42% off high); ADR 'SKHY' = 1/10 share</t>
  </si>
  <si>
    <t xml:space="preserve">common shares (mm); ₩40T buyback (3.3%) runs Aug–Nov 2026</t>
  </si>
  <si>
    <t xml:space="preserve">Net cash / (net debt), ₩bn</t>
  </si>
  <si>
    <t xml:space="preserve">₩88.0T cash − ₩18.6T debt (Jun 30, 2026, post-Kioxia-stake sale)</t>
  </si>
  <si>
    <t xml:space="preserve">statutory 26.4% less K-Chips credits</t>
  </si>
  <si>
    <t xml:space="preserve">Per-share unit factor (₩bn → ₩/sh)</t>
  </si>
  <si>
    <t xml:space="preserve">₩bn</t>
  </si>
  <si>
    <t xml:space="preserve">mid-cycle: ~33% OM taxed, less structural capex&gt;D&amp;A gap</t>
  </si>
  <si>
    <t xml:space="preserve">Implied value per share (₩)</t>
  </si>
  <si>
    <t xml:space="preserve">Cycle: 2025 was a record (rev ₩97.2T, OM 48.6%); H1 2026 rev ₩131.9T at 74% OM — the most extreme memory pricing environment ever (DRAM ASP +30% QoQ, NAND +55% QoQ in Q2; capacity sold out into 2027 with ~10 LTA customers). 2026E ~₩317T (+226%) assumes Q3/Q4 track TrendForce's +13–18% price momentum. An explicit down-cycle is modeled for 2028–29 (−20%/−10%, margins to 34%) as Yongin/M15X/P5-era supply lands — timing is the biggest uncertainty; 2027 FnGuide consensus OP is ₩392T i.e. street models NO down-cycle in 2027.</t>
  </si>
  <si>
    <t xml:space="preserve">HBM: &gt;40% of revenue, ~56–58% HBM market share, HBM4 shipping, HBM4E 2027; company sees AI-memory market +30%/yr through 2030 (terminal anchor). Capex: ₩27.5T 2025, rising steeply (₩54.3T Yongin Y2+M17 approved Aug 2026; ₩600T Yongin plan) — modeled as 13–24% of revenue with D&amp;A catching up.</t>
  </si>
  <si>
    <t xml:space="preserve">Terminal margin 15% of revenue in uFCF terms ≈ 33% mid-cycle OM — well above the pre-HBM era (2024: 35.5% peak-year OM) reflecting structurally better industry discipline; at the old-regime ~20% mid-cycle OM the value falls ~35%.</t>
  </si>
  <si>
    <t xml:space="preserve">Cross-check: market cap ≈ 1,260,997 ₩bn. At the current price, EV ≈ 1,191,597 = 14.0x this model's year-5 economic uFCF (85,275) — vs the model's implied terminal multiple shown above. The gap between those two numbers is what the market is paying for growth beyond year 5.</t>
  </si>
  <si>
    <t xml:space="preserve">Sources: FY25 results (Jan 28, 2026); Q2 2026 results (Jul 29, 2026); ₩40T buyback release (Aug 19, 2026); Yongin Y2/M17 approval (Aug 7, 2026); TrendForce price forecasts (Jun–Jul 2026); FnGuide consensus via Herald (Aug 2026)</t>
  </si>
  <si>
    <t xml:space="preserve">Samsung Electronics (KRX: 005930) — 5-Year DCF</t>
  </si>
  <si>
    <t xml:space="preserve">Valuation date: August 24, 2026  |  All figures in KRW billions unless noted  |  Calendar FY; base = 2025A; H1 2026 reported Jul 30, 2026. Figures in ₩bn</t>
  </si>
  <si>
    <t xml:space="preserve">Aug 24, 2026 close (−8.7% that day on return-plan disappointment)</t>
  </si>
  <si>
    <t xml:space="preserve">common 5,846mm + preferred 802mm (prefs valued at common price — see notes)</t>
  </si>
  <si>
    <t xml:space="preserve">~₩190T gross cash − ~₩22.4T debt (Jun 30, 2026), record</t>
  </si>
  <si>
    <t xml:space="preserve">~20% implied H1 2026 (credits)</t>
  </si>
  <si>
    <t xml:space="preserve">mid-cycle blended: memory ~30% OM + DX low-single-digit → ~18% group OM taxed</t>
  </si>
  <si>
    <t xml:space="preserve">Cycle: H1 2026 rev ₩305.4T with OP ₩146.7T (48% OM) — DS division alone printed a 70% margin in Q2 while mobile took its first loss since 2011 on memory input costs. 2026E ~₩681T (+104%), in line with ~₩300T consensus OP. Down-cycle modeled 2028–29 (group margin to 18%; DX/display/Harman cushion the swing vs pure-play memory).</t>
  </si>
  <si>
    <t xml:space="preserve">Structural anchors: HBM4/SOCAMM2 shipping for NVIDIA Vera Rubin since Q1 2026 (first mass HBM4 sales), foundry losses narrowing with Tesla AI5/AI6 (~₩23T, 2nm Taylor) and 2nm HPC wins, P5 Pyeongtaek + Giheung SR5 DRAM fabs building, &gt;₩110T 2026 semiconductor capex+R&amp;D. Record ₩90–110T 2026 shareholder return (~6–7% of market cap) approved Aug 21, 2026.</t>
  </si>
  <si>
    <t xml:space="preserve">Preferred shares (802mm) are valued at the common price here; they trade ~20% below common, so the blended equity value is ~2% conservative. Terminal margin 11% of revenue ≈ ~18% group mid-cycle OM taxed, less reinvestment.</t>
  </si>
  <si>
    <t xml:space="preserve">Cross-check: market cap ≈ 1,684,179 ₩bn. At the current price, EV ≈ 1,516,579 = 13.3x this model's year-5 economic uFCF (113,637) — vs the model's implied terminal multiple shown above. The gap between those two numbers is what the market is paying for growth beyond year 5.</t>
  </si>
  <si>
    <t xml:space="preserve">Sources: Q2 2026 results (Jul 30, 2026); FY2025 results (Jan 29, 2026); ₩90–110T return plan (Aug 21, 2026); Samsung newsroom segment data; TrendForce price forecasts (Jul 2026)</t>
  </si>
  <si>
    <t xml:space="preserve">Sandisk (NASDAQ: SNDK) — 5-Year DCF</t>
  </si>
  <si>
    <t xml:space="preserve">Valuation date: August 24, 2026  |  All figures in US$ millions unless noted  |  FY ends early Jul; base = FY2026A (ended Jul 3, 2026, reported Aug 5, 2026)</t>
  </si>
  <si>
    <t xml:space="preserve">Aug 21, 2026 close</t>
  </si>
  <si>
    <t xml:space="preserve">~146.4mm outstanding; ~155mm diluted (guide basis)</t>
  </si>
  <si>
    <t xml:space="preserve">$4.76B cash, zero debt (Jul 3, 2026); $14B buyback authorized Aug 2026</t>
  </si>
  <si>
    <t xml:space="preserve">implied non-GAAP ~16–18%</t>
  </si>
  <si>
    <t xml:space="preserve">managed-supply mid-cycle ~30% OM taxed; old-regime NAND was ~12%</t>
  </si>
  <si>
    <t xml:space="preserve">Cycle: the NAND super-cycle took FY26 revenue to $20.3B (+175%) with gross margin exiting at 84.6% (!) and Q4 adj FCF margin 56%. FY27 +141% tracks consensus (~$49B, EPS ~$202) and Q1 FY27 guide $10.3–10.8B. The Aug 13, 2026 'In Focus' investor day model (FY28–30: mid/high-teens revenue growth, ~80% GM, ~75% op margin, ~50% FCF margin, capex mid-single-digit % — on ~$42B of long-term supply agreements with price floors) is haircut here: margins fade 72%→38% with an explicit FY30 down-cycle (−12%), because no memory model has ever sustained 75% op margins through a cycle.</t>
  </si>
  <si>
    <t xml:space="preserve">Terminal margin 22% of revenue (uFCF) ≈ ~30% mid-cycle op margin — a bet that LTAs/supply discipline keep the new regime; at the historical ~12% NAND mid-cycle the DCF value roughly halves. Demand anchors: ~18% bit-CAGR through 2030, enterprise-SSD/HBF ramp (SK hynix partnership; OCP spec Aug 2026), 5 hyperscaler engagements.</t>
  </si>
  <si>
    <t xml:space="preserve">Zero debt; $14B buyback (9% of mkt cap) not modeled. Kioxia JV extended to 2034 secures captive supply.</t>
  </si>
  <si>
    <t xml:space="preserve">Cross-check: market cap ≈ 247,392 $mm. At the current price, EV ≈ 242,630 = 11.4x this model's year-5 economic uFCF (21,239) — vs the model's implied terminal multiple shown above. The gap between those two numbers is what the market is paying for growth beyond year 5.</t>
  </si>
  <si>
    <t xml:space="preserve">Sources: Q4/FY26 press release + 10-K (Aug 5, 2026); 'In Focus 2026' investor day (Aug 13, 2026); TrendForce NAND price data (2026); consensus via WallStreetZen/Motley Fool (Aug 2026)</t>
  </si>
  <si>
    <t xml:space="preserve">Kioxia Holdings (TSE: 285A) — 5-Year DCF</t>
  </si>
  <si>
    <t xml:space="preserve">Valuation date: August 24, 2026  |  All figures in JPY billions unless noted  |  FY ends Mar 31; base = FY2025A (ended Mar 31, 2026); IFRS. Figures in ¥bn; pre-split price (3:1 Oct 2026)</t>
  </si>
  <si>
    <t xml:space="preserve">Current share price (¥)</t>
  </si>
  <si>
    <t xml:space="preserve">Aug 24, 2026 quote (~50% off Jul-2026 peak)</t>
  </si>
  <si>
    <t xml:space="preserve">~547–554mm; ¥800B buyback announced Jul 2026</t>
  </si>
  <si>
    <t xml:space="preserve">Net cash / (net debt), ¥bn</t>
  </si>
  <si>
    <t xml:space="preserve">¥791B cash − ~¥604B debt (Jun 30, 2026) — first net-cash position ever</t>
  </si>
  <si>
    <t xml:space="preserve">Japan statutory ~30.6%</t>
  </si>
  <si>
    <t xml:space="preserve">Per-share unit factor (¥bn → ¥/sh)</t>
  </si>
  <si>
    <t xml:space="preserve">¥bn</t>
  </si>
  <si>
    <t xml:space="preserve">FY2025A</t>
  </si>
  <si>
    <t xml:space="preserve">mid-cycle ~28% OM at Japan tax; slightly below Sandisk on mix</t>
  </si>
  <si>
    <t xml:space="preserve">Implied value per share (¥)</t>
  </si>
  <si>
    <t xml:space="preserve">Cycle: Q1 FY26 (Jun-2026 qtr) revenue ¥1,767B (+416% YoY) at a 75% non-GAAP op margin; Q2 guide ¥2,390B at 79.5%. FY26E ¥9.6T (+311%) is the QUICK consensus; no company full-year guidance (withheld on uncertainty). Same explicit down-cycle shape as the other memory names (FY28–29), landing FY30 at ¥9.0T.</t>
  </si>
  <si>
    <t xml:space="preserve">Discipline anchors: 'price and profit first' stance; capex ~¥470B/yr FY26–28 (still below FY23 peak); doubling NAND output by FY2029 via Yokkaichi Fab7/Kitakami K2 shells; BiCS10 (332-layer) ramping for AI datacenter QLC eSSDs. Bain fully exited Jul 2026 (overhang gone); WD/Sandisk merger chatter recurring (not modeled); ¥800B buyback.</t>
  </si>
  <si>
    <t xml:space="preserve">3-for-1 split effective Oct 1, 2026 — divide price/value-per-share by 3 afterward. No HBM exposure: pure NAND, hence higher cyclicality and a lower terminal margin than the DRAM names.</t>
  </si>
  <si>
    <t xml:space="preserve">Cross-check: market cap ≈ 29,425 ¥bn. At the current price, EV ≈ 29,238 = 9.4x this model's year-5 economic uFCF (3,100) — vs the model's implied terminal multiple shown above. The gap between those two numbers is what the market is paying for growth beyond year 5.</t>
  </si>
  <si>
    <t xml:space="preserve">Sources: Q1 FY26 results (Jul 31 / Aug 3, 2026); FY25 results (May 2026); QUICK consensus via moomoo (Jul 2026); TrendForce capex/price notes (Jun 2026); Bain exit coverage (Jul 8, 2026)</t>
  </si>
  <si>
    <t xml:space="preserve">5-Year DCF Models — Methodology &amp; How to Use</t>
  </si>
  <si>
    <t xml:space="preserve">Built August 24, 2026. Estimates anchored to company guidance and analyst-day / investor-day targets; all base figures from latest filings and earnings releases (sources on each tab).</t>
  </si>
  <si>
    <t xml:space="preserve">HOW TO USE</t>
  </si>
  <si>
    <t xml:space="preserve">• Blue cells are hardcoded inputs; yellow-filled cells are the key levers (revenue growth, EBIT margin, WACC, terminal growth, terminal margin). Edit those — everything else recalculates.</t>
  </si>
  <si>
    <t xml:space="preserve">• Each company tab: inputs → 5-yr projection → terminal value → EV bridge → per-share value → WACC × terminal-growth sensitivity grid → assumption notes with sources.</t>
  </si>
  <si>
    <t xml:space="preserve">• The Summary tab links live to every company tab (green cells).</t>
  </si>
  <si>
    <t xml:space="preserve">METHODOLOGY</t>
  </si>
  <si>
    <t xml:space="preserve">• Unlevered DCF: uFCF = EBIT × (1 − tax) + D&amp;A − capex − ΔNWC. EBIT margins are 'economic' margins that treat stock-based compensation as a real expense (they sit between GAAP and non-GAAP operating margins). This avoids the classic software-DCF trap of capitalizing non-GAAP FCF while ignoring SBC dilution — it is the main reason the high-SBC software names (SNOW ~29% SBC/revenue, NTNX ~13%, Everpure ~13%) show DCF values far below market. To see a street-style non-GAAP valuation instead, set the yellow margin cells to the non-GAAP operating margins quoted in each tab's notes.</t>
  </si>
  <si>
    <t xml:space="preserve">• Mid-year discounting convention (periods 0.5 … 4.5). For companies whose fiscal year 1 is already partly elapsed (Jan/Feb/Jun/Jul FYE), this slightly flatters PV; immaterial to conclusions.</t>
  </si>
  <si>
    <t xml:space="preserve">• Terminal value: Gordon growth on a NORMALIZED terminal uFCF margin × year-5 revenue. For the cyclical memory names (SK hynix, Samsung, Sandisk, Kioxia) the terminal margin is set near MID-CYCLE, not the current super-cycle peak, so the perpetuity does not capitalize peak earnings. For the software names it is set at estimated steady-state economics rather than the year-5 point on the transition path. Each margin reconciles as: steady-state economic EBIT × (1−tax) + D&amp;A − capex − growth×NWC (the derivation is on each tab). Discounting is mid-year-consistent: PV(TV) = [TFCF/(WACC−g)] × DF(4.5) is the exact value of a perpetuity whose payments land at mid-year, matching the explicit period.</t>
  </si>
  <si>
    <t xml:space="preserve">• Net cash = latest-quarter cash + investments − total debt (incl. converts). Diluted shares = latest reported diluted count; future buybacks and dilution are not separately modeled.</t>
  </si>
  <si>
    <t xml:space="preserve">• Guidance anchors used: AMD FAD Nov-2025 (&gt;35% rev CAGR, &gt;60% DC CAGR, &gt;$20 EPS in 3–5 yrs); NVIDIA ≥$1T Blackwell+Rubin bookings through CY2027 and $3–4T AI-infra TAM by 2030; Snowflake Jun-2026 Investor Day ($10B product revenue FY29 reaffirmed, GAAP-profitable by Q4 FY28, SBC 41%→27% glidepath); Nutanix mid/high-teens growth by FY29 framework; Everpure (Pure Storage) Meta ramp + 2nd hyperscaler win (Aug-2026) ahead of its Sep-23-2026 analyst day; Sandisk Aug-2026 'In Focus' investor day (FY28–30: mid/high-teens growth, ~80% GM, ~75% op margin, ~50% FCF margin — haircut here for cycle risk); Kioxia capex-discipline plan (~¥470B/yr FY26–28); SK hynix HBM commitments and Samsung memory/foundry recovery (see tabs).</t>
  </si>
  <si>
    <t xml:space="preserve">CAVEATS</t>
  </si>
  <si>
    <t xml:space="preserve">• Terminal value is typically 60–90% of EV in these models: value/share swings a lot with WACC, terminal growth and terminal margin — use the sensitivity grids and yellow levers, not the point estimates.</t>
  </si>
  <si>
    <t xml:space="preserve">• For hyper-growth names (PLTR, NVDA, AMD, SNOW) a 5-year window structurally understates what the market is pricing: much of today's price is cash flows beyond year 5. Each tab's notes quantify the implied multiple gap. A negative 'upside' therefore reads as 'the market is paying for more than 5 years of this path', not necessarily 'sell'.</t>
  </si>
  <si>
    <t xml:space="preserve">• Memory names are modeled with an explicit down-cycle in the 5-year path; timing of memory cycles is the single biggest swing factor and is essentially unforecastable to the year.</t>
  </si>
  <si>
    <t xml:space="preserve">• KRW/JPY models are in local currency (₩bn / ¥bn; per-share in ₩/¥). Kioxia is pre-split (3-for-1 effective Oct 1, 2026 — divide by 3 after the split).</t>
  </si>
  <si>
    <t xml:space="preserve">• Prices are the latest quotes retrievable on Aug 24, 2026 (a few are Aug 19–22 closes; noted per tab).</t>
  </si>
  <si>
    <t xml:space="preserve">• This is an analytical exercise, not investment advice.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</si>
</sst>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0.0%;\(0.0%\)"/>
    <numFmt numFmtId="167" formatCode="#,##0"/>
    <numFmt numFmtId="168" formatCode="#,##0.0"/>
    <numFmt numFmtId="169" formatCode="\$#,##0;&quot;($&quot;#,##0\);\-"/>
    <numFmt numFmtId="170" formatCode="0.00"/>
    <numFmt numFmtId="171" formatCode="0.000"/>
    <numFmt numFmtId="172" formatCode="0.0\x"/>
    <numFmt numFmtId="173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10" min="9" style="0" width="9"/>
    <col collapsed="false" customWidth="true" hidden="false" outlineLevel="0" max="12" min="11" style="0" width="10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s">
        <v>16</v>
      </c>
      <c r="C5" s="6" t="s">
        <v>17</v>
      </c>
      <c r="D5" s="7" t="n">
        <f aca="false">NTNX!B5</f>
        <v>67.35</v>
      </c>
      <c r="E5" s="7" t="n">
        <f aca="false">NTNX!B48</f>
        <v>39.6371847059448</v>
      </c>
      <c r="F5" s="8" t="n">
        <f aca="false">NTNX!B50</f>
        <v>-0.411474614611065</v>
      </c>
      <c r="G5" s="8" t="n">
        <f aca="false">POWER(NTNX!G15/NTNX!B15,1/5)-1</f>
        <v>0.140883754704562</v>
      </c>
      <c r="H5" s="8" t="n">
        <f aca="false">NTNX!G17</f>
        <v>0.18</v>
      </c>
      <c r="I5" s="8" t="n">
        <f aca="false">NTNX!B9</f>
        <v>0.1</v>
      </c>
      <c r="J5" s="8" t="n">
        <f aca="false">NTNX!B10</f>
        <v>0.03</v>
      </c>
      <c r="K5" s="8" t="n">
        <f aca="false">NTNX!B35</f>
        <v>0.16</v>
      </c>
      <c r="L5" s="8" t="n">
        <f aca="false">NTNX!B45</f>
        <v>0.782267683189855</v>
      </c>
      <c r="M5" s="9" t="s">
        <v>18</v>
      </c>
    </row>
    <row r="6" customFormat="false" ht="15" hidden="false" customHeight="false" outlineLevel="0" collapsed="false">
      <c r="A6" s="4" t="s">
        <v>19</v>
      </c>
      <c r="B6" s="5" t="s">
        <v>20</v>
      </c>
      <c r="C6" s="6" t="s">
        <v>17</v>
      </c>
      <c r="D6" s="7" t="n">
        <f aca="false">EVERPURE!B5</f>
        <v>112.32</v>
      </c>
      <c r="E6" s="7" t="n">
        <f aca="false">EVERPURE!B48</f>
        <v>35.8553172627705</v>
      </c>
      <c r="F6" s="8" t="n">
        <f aca="false">EVERPURE!B50</f>
        <v>-0.680775309270206</v>
      </c>
      <c r="G6" s="8" t="n">
        <f aca="false">POWER(EVERPURE!G15/EVERPURE!B15,1/5)-1</f>
        <v>0.169418506665064</v>
      </c>
      <c r="H6" s="8" t="n">
        <f aca="false">EVERPURE!G17</f>
        <v>0.14</v>
      </c>
      <c r="I6" s="8" t="n">
        <f aca="false">EVERPURE!B9</f>
        <v>0.105</v>
      </c>
      <c r="J6" s="8" t="n">
        <f aca="false">EVERPURE!B10</f>
        <v>0.03</v>
      </c>
      <c r="K6" s="8" t="n">
        <f aca="false">EVERPURE!B35</f>
        <v>0.13</v>
      </c>
      <c r="L6" s="8" t="n">
        <f aca="false">EVERPURE!B45</f>
        <v>0.838381804597571</v>
      </c>
      <c r="M6" s="9" t="s">
        <v>21</v>
      </c>
    </row>
    <row r="7" customFormat="false" ht="15" hidden="false" customHeight="false" outlineLevel="0" collapsed="false">
      <c r="A7" s="4" t="s">
        <v>22</v>
      </c>
      <c r="B7" s="5" t="s">
        <v>23</v>
      </c>
      <c r="C7" s="6" t="s">
        <v>17</v>
      </c>
      <c r="D7" s="7" t="n">
        <f aca="false">SNOW!B5</f>
        <v>325.71</v>
      </c>
      <c r="E7" s="7" t="n">
        <f aca="false">SNOW!B48</f>
        <v>61.2947426707697</v>
      </c>
      <c r="F7" s="8" t="n">
        <f aca="false">SNOW!B50</f>
        <v>-0.811811910378037</v>
      </c>
      <c r="G7" s="8" t="n">
        <f aca="false">POWER(SNOW!G15/SNOW!B15,1/5)-1</f>
        <v>0.247248932800995</v>
      </c>
      <c r="H7" s="8" t="n">
        <f aca="false">SNOW!G17</f>
        <v>0.11</v>
      </c>
      <c r="I7" s="8" t="n">
        <f aca="false">SNOW!B9</f>
        <v>0.105</v>
      </c>
      <c r="J7" s="8" t="n">
        <f aca="false">SNOW!B10</f>
        <v>0.035</v>
      </c>
      <c r="K7" s="8" t="n">
        <f aca="false">SNOW!B35</f>
        <v>0.15</v>
      </c>
      <c r="L7" s="8" t="n">
        <f aca="false">SNOW!B45</f>
        <v>0.946543110988904</v>
      </c>
      <c r="M7" s="9" t="s">
        <v>21</v>
      </c>
    </row>
    <row r="8" customFormat="false" ht="15" hidden="false" customHeight="false" outlineLevel="0" collapsed="false">
      <c r="A8" s="4" t="s">
        <v>24</v>
      </c>
      <c r="B8" s="5" t="s">
        <v>25</v>
      </c>
      <c r="C8" s="6" t="s">
        <v>17</v>
      </c>
      <c r="D8" s="7" t="n">
        <f aca="false">PLTR!B5</f>
        <v>177.24</v>
      </c>
      <c r="E8" s="7" t="n">
        <f aca="false">PLTR!B48</f>
        <v>54.621617076022</v>
      </c>
      <c r="F8" s="8" t="n">
        <f aca="false">PLTR!B50</f>
        <v>-0.691821162965346</v>
      </c>
      <c r="G8" s="8" t="n">
        <f aca="false">POWER(PLTR!G15/PLTR!B15,1/5)-1</f>
        <v>0.409511396921432</v>
      </c>
      <c r="H8" s="8" t="n">
        <f aca="false">PLTR!G17</f>
        <v>0.5</v>
      </c>
      <c r="I8" s="8" t="n">
        <f aca="false">PLTR!B9</f>
        <v>0.105</v>
      </c>
      <c r="J8" s="8" t="n">
        <f aca="false">PLTR!B10</f>
        <v>0.04</v>
      </c>
      <c r="K8" s="8" t="n">
        <f aca="false">PLTR!B35</f>
        <v>0.42</v>
      </c>
      <c r="L8" s="8" t="n">
        <f aca="false">PLTR!B45</f>
        <v>0.815044527361748</v>
      </c>
      <c r="M8" s="9" t="s">
        <v>26</v>
      </c>
    </row>
    <row r="9" customFormat="false" ht="15" hidden="false" customHeight="false" outlineLevel="0" collapsed="false">
      <c r="A9" s="4" t="s">
        <v>27</v>
      </c>
      <c r="B9" s="5" t="s">
        <v>28</v>
      </c>
      <c r="C9" s="6" t="s">
        <v>17</v>
      </c>
      <c r="D9" s="7" t="n">
        <f aca="false">NVDA!B5</f>
        <v>210.24</v>
      </c>
      <c r="E9" s="7" t="n">
        <f aca="false">NVDA!B48</f>
        <v>153.910426588135</v>
      </c>
      <c r="F9" s="8" t="n">
        <f aca="false">NVDA!B50</f>
        <v>-0.267929858313666</v>
      </c>
      <c r="G9" s="8" t="n">
        <f aca="false">POWER(NVDA!G15/NVDA!B15,1/5)-1</f>
        <v>0.270230293664941</v>
      </c>
      <c r="H9" s="8" t="n">
        <f aca="false">NVDA!G17</f>
        <v>0.56</v>
      </c>
      <c r="I9" s="8" t="n">
        <f aca="false">NVDA!B9</f>
        <v>0.11</v>
      </c>
      <c r="J9" s="8" t="n">
        <f aca="false">NVDA!B10</f>
        <v>0.035</v>
      </c>
      <c r="K9" s="8" t="n">
        <f aca="false">NVDA!B35</f>
        <v>0.44</v>
      </c>
      <c r="L9" s="8" t="n">
        <f aca="false">NVDA!B45</f>
        <v>0.729891350815018</v>
      </c>
      <c r="M9" s="9" t="s">
        <v>21</v>
      </c>
    </row>
    <row r="10" customFormat="false" ht="15" hidden="false" customHeight="false" outlineLevel="0" collapsed="false">
      <c r="A10" s="4" t="s">
        <v>29</v>
      </c>
      <c r="B10" s="5" t="s">
        <v>29</v>
      </c>
      <c r="C10" s="6" t="s">
        <v>17</v>
      </c>
      <c r="D10" s="7" t="n">
        <f aca="false">AMD!B5</f>
        <v>473.25</v>
      </c>
      <c r="E10" s="7" t="n">
        <f aca="false">AMD!B48</f>
        <v>224.311346266886</v>
      </c>
      <c r="F10" s="8" t="n">
        <f aca="false">AMD!B50</f>
        <v>-0.526019342278107</v>
      </c>
      <c r="G10" s="8" t="n">
        <f aca="false">POWER(AMD!G15/AMD!B15,1/5)-1</f>
        <v>0.327938445654333</v>
      </c>
      <c r="H10" s="8" t="n">
        <f aca="false">AMD!G17</f>
        <v>0.31</v>
      </c>
      <c r="I10" s="8" t="n">
        <f aca="false">AMD!B9</f>
        <v>0.115</v>
      </c>
      <c r="J10" s="8" t="n">
        <f aca="false">AMD!B10</f>
        <v>0.035</v>
      </c>
      <c r="K10" s="8" t="n">
        <f aca="false">AMD!B35</f>
        <v>0.26</v>
      </c>
      <c r="L10" s="8" t="n">
        <f aca="false">AMD!B45</f>
        <v>0.807452395260025</v>
      </c>
      <c r="M10" s="9" t="s">
        <v>26</v>
      </c>
    </row>
    <row r="11" customFormat="false" ht="15" hidden="false" customHeight="false" outlineLevel="0" collapsed="false">
      <c r="A11" s="4" t="s">
        <v>30</v>
      </c>
      <c r="B11" s="5" t="s">
        <v>31</v>
      </c>
      <c r="C11" s="6" t="s">
        <v>32</v>
      </c>
      <c r="D11" s="10" t="n">
        <f aca="false">SKHYNIX!B5</f>
        <v>1730000</v>
      </c>
      <c r="E11" s="10" t="n">
        <f aca="false">SKHYNIX!B48</f>
        <v>1049118.67933414</v>
      </c>
      <c r="F11" s="8" t="n">
        <f aca="false">SKHYNIX!B50</f>
        <v>-0.393573017725929</v>
      </c>
      <c r="G11" s="8" t="n">
        <f aca="false">POWER(SKHYNIX!G15/SKHYNIX!B15,1/5)-1</f>
        <v>0.247651209374627</v>
      </c>
      <c r="H11" s="8" t="n">
        <f aca="false">SKHYNIX!G17</f>
        <v>0.44</v>
      </c>
      <c r="I11" s="8" t="n">
        <f aca="false">SKHYNIX!B9</f>
        <v>0.125</v>
      </c>
      <c r="J11" s="8" t="n">
        <f aca="false">SKHYNIX!B10</f>
        <v>0.025</v>
      </c>
      <c r="K11" s="8" t="n">
        <f aca="false">SKHYNIX!B35</f>
        <v>0.15</v>
      </c>
      <c r="L11" s="8" t="n">
        <f aca="false">SKHYNIX!B45</f>
        <v>0.382264247533566</v>
      </c>
      <c r="M11" s="9" t="s">
        <v>26</v>
      </c>
    </row>
    <row r="12" customFormat="false" ht="15" hidden="false" customHeight="false" outlineLevel="0" collapsed="false">
      <c r="A12" s="4" t="s">
        <v>33</v>
      </c>
      <c r="B12" s="5" t="s">
        <v>34</v>
      </c>
      <c r="C12" s="6" t="s">
        <v>32</v>
      </c>
      <c r="D12" s="10" t="n">
        <f aca="false">SAMSUNG!B5</f>
        <v>256500</v>
      </c>
      <c r="E12" s="10" t="n">
        <f aca="false">SAMSUNG!B48</f>
        <v>186835.972359752</v>
      </c>
      <c r="F12" s="8" t="n">
        <f aca="false">SAMSUNG!B50</f>
        <v>-0.271594649669584</v>
      </c>
      <c r="G12" s="8" t="n">
        <f aca="false">POWER(SAMSUNG!G15/SAMSUNG!B15,1/5)-1</f>
        <v>0.128261210913814</v>
      </c>
      <c r="H12" s="8" t="n">
        <f aca="false">SAMSUNG!G17</f>
        <v>0.26</v>
      </c>
      <c r="I12" s="8" t="n">
        <f aca="false">SAMSUNG!B9</f>
        <v>0.115</v>
      </c>
      <c r="J12" s="8" t="n">
        <f aca="false">SAMSUNG!B10</f>
        <v>0.025</v>
      </c>
      <c r="K12" s="8" t="n">
        <f aca="false">SAMSUNG!B35</f>
        <v>0.11</v>
      </c>
      <c r="L12" s="8" t="n">
        <f aca="false">SAMSUNG!B45</f>
        <v>0.442039284226069</v>
      </c>
      <c r="M12" s="9" t="s">
        <v>26</v>
      </c>
    </row>
    <row r="13" customFormat="false" ht="15" hidden="false" customHeight="false" outlineLevel="0" collapsed="false">
      <c r="A13" s="4" t="s">
        <v>35</v>
      </c>
      <c r="B13" s="5" t="s">
        <v>36</v>
      </c>
      <c r="C13" s="6" t="s">
        <v>17</v>
      </c>
      <c r="D13" s="7" t="n">
        <f aca="false">SNDK!B5</f>
        <v>1596.08</v>
      </c>
      <c r="E13" s="7" t="n">
        <f aca="false">SNDK!B48</f>
        <v>1137.4096758041</v>
      </c>
      <c r="F13" s="8" t="n">
        <f aca="false">SNDK!B50</f>
        <v>-0.287373016512893</v>
      </c>
      <c r="G13" s="8" t="n">
        <f aca="false">POWER(SNDK!G15/SNDK!B15,1/5)-1</f>
        <v>0.231966661106701</v>
      </c>
      <c r="H13" s="8" t="n">
        <f aca="false">SNDK!G17</f>
        <v>0.48</v>
      </c>
      <c r="I13" s="8" t="n">
        <f aca="false">SNDK!B9</f>
        <v>0.125</v>
      </c>
      <c r="J13" s="8" t="n">
        <f aca="false">SNDK!B10</f>
        <v>0.03</v>
      </c>
      <c r="K13" s="8" t="n">
        <f aca="false">SNDK!B35</f>
        <v>0.22</v>
      </c>
      <c r="L13" s="8" t="n">
        <f aca="false">SNDK!B45</f>
        <v>0.470434308996943</v>
      </c>
      <c r="M13" s="9" t="s">
        <v>21</v>
      </c>
    </row>
    <row r="14" customFormat="false" ht="15" hidden="false" customHeight="false" outlineLevel="0" collapsed="false">
      <c r="A14" s="4" t="s">
        <v>37</v>
      </c>
      <c r="B14" s="5" t="s">
        <v>38</v>
      </c>
      <c r="C14" s="6" t="s">
        <v>39</v>
      </c>
      <c r="D14" s="10" t="n">
        <f aca="false">KIOXIA!B5</f>
        <v>53500</v>
      </c>
      <c r="E14" s="10" t="n">
        <f aca="false">KIOXIA!B48</f>
        <v>45434.1045090856</v>
      </c>
      <c r="F14" s="8" t="n">
        <f aca="false">KIOXIA!B50</f>
        <v>-0.150764401699335</v>
      </c>
      <c r="G14" s="8" t="n">
        <f aca="false">POWER(KIOXIA!G15/KIOXIA!B15,1/5)-1</f>
        <v>0.308317852116838</v>
      </c>
      <c r="H14" s="8" t="n">
        <f aca="false">KIOXIA!G17</f>
        <v>0.5</v>
      </c>
      <c r="I14" s="8" t="n">
        <f aca="false">KIOXIA!B9</f>
        <v>0.115</v>
      </c>
      <c r="J14" s="8" t="n">
        <f aca="false">KIOXIA!B10</f>
        <v>0.02</v>
      </c>
      <c r="K14" s="8" t="n">
        <f aca="false">KIOXIA!B35</f>
        <v>0.17</v>
      </c>
      <c r="L14" s="8" t="n">
        <f aca="false">KIOXIA!B45</f>
        <v>0.404057026800151</v>
      </c>
      <c r="M14" s="9" t="s">
        <v>40</v>
      </c>
    </row>
    <row r="16" customFormat="false" ht="15" hidden="false" customHeight="false" outlineLevel="0" collapsed="false">
      <c r="A16" s="11" t="s">
        <v>41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</sheetData>
  <mergeCells count="1">
    <mergeCell ref="A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12" t="s">
        <v>44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45</v>
      </c>
      <c r="B5" s="15" t="n">
        <v>67.35</v>
      </c>
      <c r="C5" s="16" t="s">
        <v>46</v>
      </c>
    </row>
    <row r="6" customFormat="false" ht="15" hidden="false" customHeight="false" outlineLevel="0" collapsed="false">
      <c r="A6" s="14" t="s">
        <v>47</v>
      </c>
      <c r="B6" s="17" t="n">
        <v>287</v>
      </c>
      <c r="C6" s="16" t="s">
        <v>48</v>
      </c>
    </row>
    <row r="7" customFormat="false" ht="15" hidden="false" customHeight="false" outlineLevel="0" collapsed="false">
      <c r="A7" s="14" t="s">
        <v>49</v>
      </c>
      <c r="B7" s="18" t="n">
        <v>655</v>
      </c>
      <c r="C7" s="16" t="s">
        <v>50</v>
      </c>
    </row>
    <row r="8" customFormat="false" ht="15" hidden="false" customHeight="false" outlineLevel="0" collapsed="false">
      <c r="A8" s="14" t="s">
        <v>51</v>
      </c>
      <c r="B8" s="19" t="n">
        <v>0.2</v>
      </c>
      <c r="C8" s="16" t="s">
        <v>52</v>
      </c>
    </row>
    <row r="9" customFormat="false" ht="15" hidden="false" customHeight="false" outlineLevel="0" collapsed="false">
      <c r="A9" s="14" t="s">
        <v>53</v>
      </c>
      <c r="B9" s="20" t="n">
        <v>0.1</v>
      </c>
    </row>
    <row r="10" customFormat="false" ht="15" hidden="false" customHeight="false" outlineLevel="0" collapsed="false">
      <c r="A10" s="14" t="s">
        <v>54</v>
      </c>
      <c r="B10" s="20" t="n">
        <v>0.03</v>
      </c>
    </row>
    <row r="11" customFormat="false" ht="15" hidden="false" customHeight="false" outlineLevel="0" collapsed="false">
      <c r="A11" s="14" t="s">
        <v>55</v>
      </c>
      <c r="B11" s="21" t="n">
        <v>1</v>
      </c>
      <c r="C11" s="16" t="s">
        <v>56</v>
      </c>
    </row>
    <row r="13" customFormat="false" ht="15" hidden="false" customHeight="false" outlineLevel="0" collapsed="false">
      <c r="A13" s="12" t="s">
        <v>57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22" t="s">
        <v>58</v>
      </c>
      <c r="B14" s="23" t="s">
        <v>59</v>
      </c>
      <c r="C14" s="23" t="s">
        <v>60</v>
      </c>
      <c r="D14" s="23" t="s">
        <v>61</v>
      </c>
      <c r="E14" s="23" t="s">
        <v>62</v>
      </c>
      <c r="F14" s="23" t="s">
        <v>63</v>
      </c>
      <c r="G14" s="23" t="s">
        <v>64</v>
      </c>
    </row>
    <row r="15" customFormat="false" ht="15" hidden="false" customHeight="false" outlineLevel="0" collapsed="false">
      <c r="A15" s="24" t="s">
        <v>65</v>
      </c>
      <c r="B15" s="18" t="n">
        <v>2830</v>
      </c>
      <c r="C15" s="25" t="n">
        <f aca="false">B15*(1+C16)</f>
        <v>3155.45</v>
      </c>
      <c r="D15" s="25" t="n">
        <f aca="false">C15*(1+D16)</f>
        <v>3565.6585</v>
      </c>
      <c r="E15" s="25" t="n">
        <f aca="false">D15*(1+E16)</f>
        <v>4100.507275</v>
      </c>
      <c r="F15" s="25" t="n">
        <f aca="false">E15*(1+F16)</f>
        <v>4756.588439</v>
      </c>
      <c r="G15" s="25" t="n">
        <f aca="false">F15*(1+G16)</f>
        <v>5470.07670485</v>
      </c>
    </row>
    <row r="16" customFormat="false" ht="15" hidden="false" customHeight="false" outlineLevel="0" collapsed="false">
      <c r="A16" s="14" t="s">
        <v>66</v>
      </c>
      <c r="B16" s="26" t="n">
        <v>0.115</v>
      </c>
      <c r="C16" s="20" t="n">
        <v>0.115</v>
      </c>
      <c r="D16" s="20" t="n">
        <v>0.13</v>
      </c>
      <c r="E16" s="20" t="n">
        <v>0.15</v>
      </c>
      <c r="F16" s="20" t="n">
        <v>0.16</v>
      </c>
      <c r="G16" s="20" t="n">
        <v>0.15</v>
      </c>
    </row>
    <row r="17" customFormat="false" ht="15" hidden="false" customHeight="false" outlineLevel="0" collapsed="false">
      <c r="A17" s="14" t="s">
        <v>67</v>
      </c>
      <c r="B17" s="26" t="n">
        <v>0.09</v>
      </c>
      <c r="C17" s="20" t="n">
        <v>0.1</v>
      </c>
      <c r="D17" s="20" t="n">
        <v>0.12</v>
      </c>
      <c r="E17" s="20" t="n">
        <v>0.14</v>
      </c>
      <c r="F17" s="20" t="n">
        <v>0.16</v>
      </c>
      <c r="G17" s="20" t="n">
        <v>0.18</v>
      </c>
    </row>
    <row r="18" customFormat="false" ht="15" hidden="false" customHeight="false" outlineLevel="0" collapsed="false">
      <c r="A18" s="14" t="s">
        <v>68</v>
      </c>
      <c r="B18" s="27" t="n">
        <f aca="false">B15*B17</f>
        <v>254.7</v>
      </c>
      <c r="C18" s="28" t="n">
        <f aca="false">C15*C17</f>
        <v>315.545</v>
      </c>
      <c r="D18" s="28" t="n">
        <f aca="false">D15*D17</f>
        <v>427.87902</v>
      </c>
      <c r="E18" s="28" t="n">
        <f aca="false">E15*E17</f>
        <v>574.0710185</v>
      </c>
      <c r="F18" s="28" t="n">
        <f aca="false">F15*F17</f>
        <v>761.05415024</v>
      </c>
      <c r="G18" s="28" t="n">
        <f aca="false">G15*G17</f>
        <v>984.613806873</v>
      </c>
    </row>
    <row r="19" customFormat="false" ht="15" hidden="false" customHeight="false" outlineLevel="0" collapsed="false">
      <c r="A19" s="14" t="s">
        <v>69</v>
      </c>
      <c r="C19" s="28" t="n">
        <f aca="false">-C18*$B$8</f>
        <v>-63.109</v>
      </c>
      <c r="D19" s="28" t="n">
        <f aca="false">-D18*$B$8</f>
        <v>-85.575804</v>
      </c>
      <c r="E19" s="28" t="n">
        <f aca="false">-E18*$B$8</f>
        <v>-114.8142037</v>
      </c>
      <c r="F19" s="28" t="n">
        <f aca="false">-F18*$B$8</f>
        <v>-152.210830048</v>
      </c>
      <c r="G19" s="28" t="n">
        <f aca="false">-G18*$B$8</f>
        <v>-196.9227613746</v>
      </c>
    </row>
    <row r="20" customFormat="false" ht="15" hidden="false" customHeight="false" outlineLevel="0" collapsed="false">
      <c r="A20" s="14" t="s">
        <v>70</v>
      </c>
      <c r="C20" s="28" t="n">
        <f aca="false">C18+C19</f>
        <v>252.436</v>
      </c>
      <c r="D20" s="28" t="n">
        <f aca="false">D18+D19</f>
        <v>342.303216</v>
      </c>
      <c r="E20" s="28" t="n">
        <f aca="false">E18+E19</f>
        <v>459.2568148</v>
      </c>
      <c r="F20" s="28" t="n">
        <f aca="false">F18+F19</f>
        <v>608.843320192</v>
      </c>
      <c r="G20" s="28" t="n">
        <f aca="false">G18+G19</f>
        <v>787.6910454984</v>
      </c>
    </row>
    <row r="21" customFormat="false" ht="15" hidden="false" customHeight="false" outlineLevel="0" collapsed="false">
      <c r="A21" s="14" t="s">
        <v>71</v>
      </c>
      <c r="C21" s="19" t="n">
        <v>0.02</v>
      </c>
      <c r="D21" s="19" t="n">
        <v>0.02</v>
      </c>
      <c r="E21" s="19" t="n">
        <v>0.02</v>
      </c>
      <c r="F21" s="19" t="n">
        <v>0.02</v>
      </c>
      <c r="G21" s="19" t="n">
        <v>0.02</v>
      </c>
    </row>
    <row r="22" customFormat="false" ht="15" hidden="false" customHeight="false" outlineLevel="0" collapsed="false">
      <c r="A22" s="14" t="s">
        <v>72</v>
      </c>
      <c r="C22" s="28" t="n">
        <f aca="false">C15*C21</f>
        <v>63.109</v>
      </c>
      <c r="D22" s="28" t="n">
        <f aca="false">D15*D21</f>
        <v>71.31317</v>
      </c>
      <c r="E22" s="28" t="n">
        <f aca="false">E15*E21</f>
        <v>82.0101455</v>
      </c>
      <c r="F22" s="28" t="n">
        <f aca="false">F15*F21</f>
        <v>95.13176878</v>
      </c>
      <c r="G22" s="28" t="n">
        <f aca="false">G15*G21</f>
        <v>109.401534097</v>
      </c>
    </row>
    <row r="23" customFormat="false" ht="15" hidden="false" customHeight="false" outlineLevel="0" collapsed="false">
      <c r="A23" s="14" t="s">
        <v>73</v>
      </c>
      <c r="C23" s="19" t="n">
        <v>0.015</v>
      </c>
      <c r="D23" s="19" t="n">
        <v>0.015</v>
      </c>
      <c r="E23" s="19" t="n">
        <v>0.015</v>
      </c>
      <c r="F23" s="19" t="n">
        <v>0.015</v>
      </c>
      <c r="G23" s="19" t="n">
        <v>0.015</v>
      </c>
    </row>
    <row r="24" customFormat="false" ht="15" hidden="false" customHeight="false" outlineLevel="0" collapsed="false">
      <c r="A24" s="14" t="s">
        <v>74</v>
      </c>
      <c r="C24" s="28" t="n">
        <f aca="false">-C15*C23</f>
        <v>-47.33175</v>
      </c>
      <c r="D24" s="28" t="n">
        <f aca="false">-D15*D23</f>
        <v>-53.4848775</v>
      </c>
      <c r="E24" s="28" t="n">
        <f aca="false">-E15*E23</f>
        <v>-61.507609125</v>
      </c>
      <c r="F24" s="28" t="n">
        <f aca="false">-F15*F23</f>
        <v>-71.348826585</v>
      </c>
      <c r="G24" s="28" t="n">
        <f aca="false">-G15*G23</f>
        <v>-82.05115057275</v>
      </c>
    </row>
    <row r="25" customFormat="false" ht="15" hidden="false" customHeight="false" outlineLevel="0" collapsed="false">
      <c r="A25" s="14" t="s">
        <v>75</v>
      </c>
      <c r="C25" s="19" t="n">
        <v>-0.2</v>
      </c>
      <c r="D25" s="19" t="n">
        <v>-0.2</v>
      </c>
      <c r="E25" s="19" t="n">
        <v>-0.2</v>
      </c>
      <c r="F25" s="19" t="n">
        <v>-0.2</v>
      </c>
      <c r="G25" s="19" t="n">
        <v>-0.2</v>
      </c>
    </row>
    <row r="26" customFormat="false" ht="15" hidden="false" customHeight="false" outlineLevel="0" collapsed="false">
      <c r="A26" s="14" t="s">
        <v>76</v>
      </c>
      <c r="C26" s="28" t="n">
        <f aca="false">-(C15-B15)*C25</f>
        <v>65.09</v>
      </c>
      <c r="D26" s="28" t="n">
        <f aca="false">-(D15-C15)*D25</f>
        <v>82.0417</v>
      </c>
      <c r="E26" s="28" t="n">
        <f aca="false">-(E15-D15)*E25</f>
        <v>106.969755</v>
      </c>
      <c r="F26" s="28" t="n">
        <f aca="false">-(F15-E15)*F25</f>
        <v>131.2162328</v>
      </c>
      <c r="G26" s="28" t="n">
        <f aca="false">-(G15-F15)*G25</f>
        <v>142.69765317</v>
      </c>
    </row>
    <row r="27" customFormat="false" ht="15" hidden="false" customHeight="false" outlineLevel="0" collapsed="false">
      <c r="A27" s="24" t="s">
        <v>77</v>
      </c>
      <c r="C27" s="29" t="n">
        <f aca="false">C20+C22+C24+C26</f>
        <v>333.30325</v>
      </c>
      <c r="D27" s="29" t="n">
        <f aca="false">D20+D22+D24+D26</f>
        <v>442.1732085</v>
      </c>
      <c r="E27" s="29" t="n">
        <f aca="false">E20+E22+E24+E26</f>
        <v>586.729106175</v>
      </c>
      <c r="F27" s="29" t="n">
        <f aca="false">F20+F22+F24+F26</f>
        <v>763.842495187</v>
      </c>
      <c r="G27" s="29" t="n">
        <f aca="false">G20+G22+G24+G26</f>
        <v>957.739082192649</v>
      </c>
    </row>
    <row r="28" customFormat="false" ht="15" hidden="false" customHeight="false" outlineLevel="0" collapsed="false">
      <c r="A28" s="14" t="s">
        <v>78</v>
      </c>
      <c r="C28" s="30" t="n">
        <f aca="false">C27/C15</f>
        <v>0.105627802690583</v>
      </c>
      <c r="D28" s="30" t="n">
        <f aca="false">D27/D15</f>
        <v>0.124008849557522</v>
      </c>
      <c r="E28" s="30" t="n">
        <f aca="false">E27/E15</f>
        <v>0.143086956521739</v>
      </c>
      <c r="F28" s="30" t="n">
        <f aca="false">F27/F15</f>
        <v>0.160586206896552</v>
      </c>
      <c r="G28" s="30" t="n">
        <f aca="false">G27/G15</f>
        <v>0.175086956521739</v>
      </c>
    </row>
    <row r="30" customFormat="false" ht="15" hidden="false" customHeight="false" outlineLevel="0" collapsed="false">
      <c r="A30" s="14" t="s">
        <v>79</v>
      </c>
      <c r="C30" s="31" t="n">
        <v>0.5</v>
      </c>
      <c r="D30" s="32" t="n">
        <f aca="false">C30+1</f>
        <v>1.5</v>
      </c>
      <c r="E30" s="32" t="n">
        <f aca="false">D30+1</f>
        <v>2.5</v>
      </c>
      <c r="F30" s="32" t="n">
        <f aca="false">E30+1</f>
        <v>3.5</v>
      </c>
      <c r="G30" s="32" t="n">
        <f aca="false">F30+1</f>
        <v>4.5</v>
      </c>
    </row>
    <row r="31" customFormat="false" ht="15" hidden="false" customHeight="false" outlineLevel="0" collapsed="false">
      <c r="A31" s="14" t="s">
        <v>80</v>
      </c>
      <c r="C31" s="33" t="n">
        <f aca="false">1/POWER(1+$B$9,C30)</f>
        <v>0.953462589245592</v>
      </c>
      <c r="D31" s="33" t="n">
        <f aca="false">1/POWER(1+$B$9,D30)</f>
        <v>0.866784172041447</v>
      </c>
      <c r="E31" s="33" t="n">
        <f aca="false">1/POWER(1+$B$9,E30)</f>
        <v>0.78798561094677</v>
      </c>
      <c r="F31" s="33" t="n">
        <f aca="false">1/POWER(1+$B$9,F30)</f>
        <v>0.716350555406155</v>
      </c>
      <c r="G31" s="33" t="n">
        <f aca="false">1/POWER(1+$B$9,G30)</f>
        <v>0.651227777641959</v>
      </c>
    </row>
    <row r="32" customFormat="false" ht="15" hidden="false" customHeight="false" outlineLevel="0" collapsed="false">
      <c r="A32" s="24" t="s">
        <v>81</v>
      </c>
      <c r="C32" s="25" t="n">
        <f aca="false">C27*C31</f>
        <v>317.792179748971</v>
      </c>
      <c r="D32" s="25" t="n">
        <f aca="false">D27*D31</f>
        <v>383.268738428583</v>
      </c>
      <c r="E32" s="25" t="n">
        <f aca="false">E27*E31</f>
        <v>462.33409318956</v>
      </c>
      <c r="F32" s="25" t="n">
        <f aca="false">F27*F31</f>
        <v>547.17899567003</v>
      </c>
      <c r="G32" s="25" t="n">
        <f aca="false">G27*G31</f>
        <v>623.706294057168</v>
      </c>
    </row>
    <row r="34" customFormat="false" ht="15" hidden="false" customHeight="false" outlineLevel="0" collapsed="false">
      <c r="A34" s="12" t="s">
        <v>82</v>
      </c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4" t="s">
        <v>83</v>
      </c>
      <c r="B35" s="20" t="n">
        <v>0.16</v>
      </c>
      <c r="C35" s="16" t="s">
        <v>84</v>
      </c>
    </row>
    <row r="36" customFormat="false" ht="15" hidden="false" customHeight="false" outlineLevel="0" collapsed="false">
      <c r="A36" s="14" t="s">
        <v>85</v>
      </c>
      <c r="B36" s="28" t="n">
        <f aca="false">G15*(1+$B$10)*B35</f>
        <v>901.46864095928</v>
      </c>
    </row>
    <row r="37" customFormat="false" ht="15" hidden="false" customHeight="false" outlineLevel="0" collapsed="false">
      <c r="A37" s="14" t="s">
        <v>86</v>
      </c>
      <c r="B37" s="28" t="n">
        <f aca="false">B36/($B$9-$B$10)</f>
        <v>12878.1234422754</v>
      </c>
    </row>
    <row r="38" customFormat="false" ht="15" hidden="false" customHeight="false" outlineLevel="0" collapsed="false">
      <c r="A38" s="14" t="s">
        <v>87</v>
      </c>
      <c r="B38" s="28" t="n">
        <f aca="false">B37*G31</f>
        <v>8386.59170951184</v>
      </c>
    </row>
    <row r="39" customFormat="false" ht="15" hidden="false" customHeight="false" outlineLevel="0" collapsed="false">
      <c r="A39" s="14" t="s">
        <v>88</v>
      </c>
      <c r="B39" s="34" t="n">
        <f aca="false">B37/G27</f>
        <v>13.4463797935365</v>
      </c>
    </row>
    <row r="41" customFormat="false" ht="15" hidden="false" customHeight="false" outlineLevel="0" collapsed="false">
      <c r="A41" s="12" t="s">
        <v>89</v>
      </c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4" t="s">
        <v>90</v>
      </c>
      <c r="B42" s="28" t="n">
        <f aca="false">SUM(C32:G32)</f>
        <v>2334.28030109431</v>
      </c>
    </row>
    <row r="43" customFormat="false" ht="15" hidden="false" customHeight="false" outlineLevel="0" collapsed="false">
      <c r="A43" s="14" t="s">
        <v>87</v>
      </c>
      <c r="B43" s="28" t="n">
        <f aca="false">B38</f>
        <v>8386.59170951184</v>
      </c>
    </row>
    <row r="44" customFormat="false" ht="15" hidden="false" customHeight="false" outlineLevel="0" collapsed="false">
      <c r="A44" s="24" t="s">
        <v>91</v>
      </c>
      <c r="B44" s="25" t="n">
        <f aca="false">B42+B43</f>
        <v>10720.8720106061</v>
      </c>
    </row>
    <row r="45" customFormat="false" ht="15" hidden="false" customHeight="false" outlineLevel="0" collapsed="false">
      <c r="A45" s="14" t="s">
        <v>92</v>
      </c>
      <c r="B45" s="30" t="n">
        <f aca="false">B43/B44</f>
        <v>0.782267683189855</v>
      </c>
    </row>
    <row r="46" customFormat="false" ht="15" hidden="false" customHeight="false" outlineLevel="0" collapsed="false">
      <c r="A46" s="14" t="s">
        <v>93</v>
      </c>
      <c r="B46" s="28" t="n">
        <f aca="false">B7</f>
        <v>655</v>
      </c>
    </row>
    <row r="47" customFormat="false" ht="15" hidden="false" customHeight="false" outlineLevel="0" collapsed="false">
      <c r="A47" s="24" t="s">
        <v>94</v>
      </c>
      <c r="B47" s="25" t="n">
        <f aca="false">B44+B46</f>
        <v>11375.8720106061</v>
      </c>
    </row>
    <row r="48" customFormat="false" ht="15" hidden="false" customHeight="false" outlineLevel="0" collapsed="false">
      <c r="A48" s="24" t="s">
        <v>95</v>
      </c>
      <c r="B48" s="35" t="n">
        <f aca="false">B47*$B$11/B6</f>
        <v>39.6371847059448</v>
      </c>
    </row>
    <row r="49" customFormat="false" ht="15" hidden="false" customHeight="false" outlineLevel="0" collapsed="false">
      <c r="A49" s="14" t="s">
        <v>45</v>
      </c>
      <c r="B49" s="36" t="n">
        <f aca="false">B5</f>
        <v>67.35</v>
      </c>
    </row>
    <row r="50" customFormat="false" ht="15" hidden="false" customHeight="false" outlineLevel="0" collapsed="false">
      <c r="A50" s="24" t="s">
        <v>96</v>
      </c>
      <c r="B50" s="37" t="n">
        <f aca="false">B48/B49-1</f>
        <v>-0.411474614611065</v>
      </c>
    </row>
    <row r="52" customFormat="false" ht="15" hidden="false" customHeight="false" outlineLevel="0" collapsed="false">
      <c r="A52" s="12" t="s">
        <v>97</v>
      </c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B53" s="23" t="s">
        <v>98</v>
      </c>
      <c r="C53" s="38" t="n">
        <f aca="false">$B$10+-0.01</f>
        <v>0.02</v>
      </c>
      <c r="D53" s="38" t="n">
        <f aca="false">$B$10+-0.005</f>
        <v>0.025</v>
      </c>
      <c r="E53" s="38" t="n">
        <f aca="false">$B$10</f>
        <v>0.03</v>
      </c>
      <c r="F53" s="38" t="n">
        <f aca="false">$B$10+0.005</f>
        <v>0.035</v>
      </c>
      <c r="G53" s="38" t="n">
        <f aca="false">$B$10+0.01</f>
        <v>0.04</v>
      </c>
    </row>
    <row r="54" customFormat="false" ht="15" hidden="false" customHeight="false" outlineLevel="0" collapsed="false">
      <c r="B54" s="39" t="n">
        <f aca="false">$B$9+-0.01</f>
        <v>0.09</v>
      </c>
      <c r="C54" s="40" t="n">
        <f aca="false">(SUMPRODUCT($C$27:$G$27,1/POWER(1+$B54,$C$30:$G$30))+$G$15*(1+C$53)*$B$35/($B54-C$53)/POWER(1+$B54,$G$30)+$B$7)*$B$11/$B$6</f>
        <v>40.7812753705021</v>
      </c>
      <c r="D54" s="40" t="n">
        <f aca="false">(SUMPRODUCT($C$27:$G$27,1/POWER(1+$B54,$C$30:$G$30))+$G$15*(1+D$53)*$B$35/($B54-D$53)/POWER(1+$B54,$G$30)+$B$7)*$B$11/$B$6</f>
        <v>43.259823559909</v>
      </c>
      <c r="E54" s="40" t="n">
        <f aca="false">(SUMPRODUCT($C$27:$G$27,1/POWER(1+$B54,$C$30:$G$30))+$G$15*(1+E$53)*$B$35/($B54-E$53)/POWER(1+$B54,$G$30)+$B$7)*$B$11/$B$6</f>
        <v>46.1514631142172</v>
      </c>
      <c r="F54" s="40" t="n">
        <f aca="false">(SUMPRODUCT($C$27:$G$27,1/POWER(1+$B54,$C$30:$G$30))+$G$15*(1+F$53)*$B$35/($B54-F$53)/POWER(1+$B54,$G$30)+$B$7)*$B$11/$B$6</f>
        <v>49.5688553147632</v>
      </c>
      <c r="G54" s="40" t="n">
        <f aca="false">(SUMPRODUCT($C$27:$G$27,1/POWER(1+$B54,$C$30:$G$30))+$G$15*(1+G$53)*$B$35/($B54-G$53)/POWER(1+$B54,$G$30)+$B$7)*$B$11/$B$6</f>
        <v>53.6697259554183</v>
      </c>
    </row>
    <row r="55" customFormat="false" ht="15" hidden="false" customHeight="false" outlineLevel="0" collapsed="false">
      <c r="B55" s="39" t="n">
        <f aca="false">$B$9+-0.005</f>
        <v>0.095</v>
      </c>
      <c r="C55" s="40" t="n">
        <f aca="false">(SUMPRODUCT($C$27:$G$27,1/POWER(1+$B55,$C$30:$G$30))+$G$15*(1+C$53)*$B$35/($B55-C$53)/POWER(1+$B55,$G$30)+$B$7)*$B$11/$B$6</f>
        <v>38.0895052750003</v>
      </c>
      <c r="D55" s="40" t="n">
        <f aca="false">(SUMPRODUCT($C$27:$G$27,1/POWER(1+$B55,$C$30:$G$30))+$G$15*(1+D$53)*$B$35/($B55-D$53)/POWER(1+$B55,$G$30)+$B$7)*$B$11/$B$6</f>
        <v>40.2034459053641</v>
      </c>
      <c r="E55" s="40" t="n">
        <f aca="false">(SUMPRODUCT($C$27:$G$27,1/POWER(1+$B55,$C$30:$G$30))+$G$15*(1+E$53)*$B$35/($B55-E$53)/POWER(1+$B55,$G$30)+$B$7)*$B$11/$B$6</f>
        <v>42.6426081711685</v>
      </c>
      <c r="F55" s="40" t="n">
        <f aca="false">(SUMPRODUCT($C$27:$G$27,1/POWER(1+$B55,$C$30:$G$30))+$G$15*(1+F$53)*$B$35/($B55-F$53)/POWER(1+$B55,$G$30)+$B$7)*$B$11/$B$6</f>
        <v>45.4882974812737</v>
      </c>
      <c r="G55" s="40" t="n">
        <f aca="false">(SUMPRODUCT($C$27:$G$27,1/POWER(1+$B55,$C$30:$G$30))+$G$15*(1+G$53)*$B$35/($B55-G$53)/POWER(1+$B55,$G$30)+$B$7)*$B$11/$B$6</f>
        <v>48.8513848477616</v>
      </c>
    </row>
    <row r="56" customFormat="false" ht="15" hidden="false" customHeight="false" outlineLevel="0" collapsed="false">
      <c r="B56" s="39" t="n">
        <f aca="false">$B$9</f>
        <v>0.1</v>
      </c>
      <c r="C56" s="40" t="n">
        <f aca="false">(SUMPRODUCT($C$27:$G$27,1/POWER(1+$B56,$C$30:$G$30))+$G$15*(1+C$53)*$B$35/($B56-C$53)/POWER(1+$B56,$G$30)+$B$7)*$B$11/$B$6</f>
        <v>35.7362464424967</v>
      </c>
      <c r="D56" s="40" t="n">
        <f aca="false">(SUMPRODUCT($C$27:$G$27,1/POWER(1+$B56,$C$30:$G$30))+$G$15*(1+D$53)*$B$35/($B56-D$53)/POWER(1+$B56,$G$30)+$B$7)*$B$11/$B$6</f>
        <v>37.5566842987725</v>
      </c>
      <c r="E56" s="41" t="n">
        <f aca="false">(SUMPRODUCT($C$27:$G$27,1/POWER(1+$B56,$C$30:$G$30))+$G$15*(1+E$53)*$B$35/($B56-E$53)/POWER(1+$B56,$G$30)+$B$7)*$B$11/$B$6</f>
        <v>39.6371847059448</v>
      </c>
      <c r="F56" s="40" t="n">
        <f aca="false">(SUMPRODUCT($C$27:$G$27,1/POWER(1+$B56,$C$30:$G$30))+$G$15*(1+F$53)*$B$35/($B56-F$53)/POWER(1+$B56,$G$30)+$B$7)*$B$11/$B$6</f>
        <v>42.0377620988359</v>
      </c>
      <c r="G56" s="40" t="n">
        <f aca="false">(SUMPRODUCT($C$27:$G$27,1/POWER(1+$B56,$C$30:$G$30))+$G$15*(1+G$53)*$B$35/($B56-G$53)/POWER(1+$B56,$G$30)+$B$7)*$B$11/$B$6</f>
        <v>44.8384357238755</v>
      </c>
    </row>
    <row r="57" customFormat="false" ht="15" hidden="false" customHeight="false" outlineLevel="0" collapsed="false">
      <c r="B57" s="39" t="n">
        <f aca="false">$B$9+0.005</f>
        <v>0.105</v>
      </c>
      <c r="C57" s="40" t="n">
        <f aca="false">(SUMPRODUCT($C$27:$G$27,1/POWER(1+$B57,$C$30:$G$30))+$G$15*(1+C$53)*$B$35/($B57-C$53)/POWER(1+$B57,$G$30)+$B$7)*$B$11/$B$6</f>
        <v>33.6617266088555</v>
      </c>
      <c r="D57" s="40" t="n">
        <f aca="false">(SUMPRODUCT($C$27:$G$27,1/POWER(1+$B57,$C$30:$G$30))+$G$15*(1+D$53)*$B$35/($B57-D$53)/POWER(1+$B57,$G$30)+$B$7)*$B$11/$B$6</f>
        <v>35.2427002194427</v>
      </c>
      <c r="E57" s="40" t="n">
        <f aca="false">(SUMPRODUCT($C$27:$G$27,1/POWER(1+$B57,$C$30:$G$30))+$G$15*(1+E$53)*$B$35/($B57-E$53)/POWER(1+$B57,$G$30)+$B$7)*$B$11/$B$6</f>
        <v>37.0344703114415</v>
      </c>
      <c r="F57" s="40" t="n">
        <f aca="false">(SUMPRODUCT($C$27:$G$27,1/POWER(1+$B57,$C$30:$G$30))+$G$15*(1+F$53)*$B$35/($B57-F$53)/POWER(1+$B57,$G$30)+$B$7)*$B$11/$B$6</f>
        <v>39.0822075594401</v>
      </c>
      <c r="G57" s="40" t="n">
        <f aca="false">(SUMPRODUCT($C$27:$G$27,1/POWER(1+$B57,$C$30:$G$30))+$G$15*(1+G$53)*$B$35/($B57-G$53)/POWER(1+$B57,$G$30)+$B$7)*$B$11/$B$6</f>
        <v>41.4449813071308</v>
      </c>
    </row>
    <row r="58" customFormat="false" ht="15" hidden="false" customHeight="false" outlineLevel="0" collapsed="false">
      <c r="B58" s="39" t="n">
        <f aca="false">$B$9+0.01</f>
        <v>0.11</v>
      </c>
      <c r="C58" s="40" t="n">
        <f aca="false">(SUMPRODUCT($C$27:$G$27,1/POWER(1+$B58,$C$30:$G$30))+$G$15*(1+C$53)*$B$35/($B58-C$53)/POWER(1+$B58,$G$30)+$B$7)*$B$11/$B$6</f>
        <v>31.8194569193149</v>
      </c>
      <c r="D58" s="40" t="n">
        <f aca="false">(SUMPRODUCT($C$27:$G$27,1/POWER(1+$B58,$C$30:$G$30))+$G$15*(1+D$53)*$B$35/($B58-D$53)/POWER(1+$B58,$G$30)+$B$7)*$B$11/$B$6</f>
        <v>33.2027354792945</v>
      </c>
      <c r="E58" s="40" t="n">
        <f aca="false">(SUMPRODUCT($C$27:$G$27,1/POWER(1+$B58,$C$30:$G$30))+$G$15*(1+E$53)*$B$35/($B58-E$53)/POWER(1+$B58,$G$30)+$B$7)*$B$11/$B$6</f>
        <v>34.7589238592714</v>
      </c>
      <c r="F58" s="40" t="n">
        <f aca="false">(SUMPRODUCT($C$27:$G$27,1/POWER(1+$B58,$C$30:$G$30))+$G$15*(1+F$53)*$B$35/($B58-F$53)/POWER(1+$B58,$G$30)+$B$7)*$B$11/$B$6</f>
        <v>36.5226040232454</v>
      </c>
      <c r="G58" s="40" t="n">
        <f aca="false">(SUMPRODUCT($C$27:$G$27,1/POWER(1+$B58,$C$30:$G$30))+$G$15*(1+G$53)*$B$35/($B58-G$53)/POWER(1+$B58,$G$30)+$B$7)*$B$11/$B$6</f>
        <v>38.5382384963584</v>
      </c>
    </row>
    <row r="60" customFormat="false" ht="15" hidden="false" customHeight="false" outlineLevel="0" collapsed="false">
      <c r="A60" s="12" t="s">
        <v>99</v>
      </c>
      <c r="B60" s="13"/>
      <c r="C60" s="13"/>
      <c r="D60" s="13"/>
      <c r="E60" s="13"/>
      <c r="F60" s="13"/>
      <c r="G60" s="13"/>
    </row>
    <row r="61" customFormat="false" ht="36" hidden="false" customHeight="true" outlineLevel="0" collapsed="false">
      <c r="A61" s="42" t="s">
        <v>100</v>
      </c>
      <c r="B61" s="42"/>
      <c r="C61" s="42"/>
      <c r="D61" s="42"/>
      <c r="E61" s="42"/>
      <c r="F61" s="42"/>
      <c r="G61" s="42"/>
    </row>
    <row r="62" customFormat="false" ht="48" hidden="false" customHeight="true" outlineLevel="0" collapsed="false">
      <c r="A62" s="42" t="s">
        <v>101</v>
      </c>
      <c r="B62" s="42"/>
      <c r="C62" s="42"/>
      <c r="D62" s="42"/>
      <c r="E62" s="42"/>
      <c r="F62" s="42"/>
      <c r="G62" s="42"/>
    </row>
    <row r="63" customFormat="false" ht="24" hidden="false" customHeight="true" outlineLevel="0" collapsed="false">
      <c r="A63" s="42" t="s">
        <v>102</v>
      </c>
      <c r="B63" s="42"/>
      <c r="C63" s="42"/>
      <c r="D63" s="42"/>
      <c r="E63" s="42"/>
      <c r="F63" s="42"/>
      <c r="G63" s="42"/>
    </row>
    <row r="64" customFormat="false" ht="36" hidden="false" customHeight="true" outlineLevel="0" collapsed="false">
      <c r="A64" s="42" t="s">
        <v>103</v>
      </c>
      <c r="B64" s="42"/>
      <c r="C64" s="42"/>
      <c r="D64" s="42"/>
      <c r="E64" s="42"/>
      <c r="F64" s="42"/>
      <c r="G64" s="42"/>
    </row>
    <row r="65" customFormat="false" ht="24" hidden="false" customHeight="true" outlineLevel="0" collapsed="false">
      <c r="A65" s="42" t="s">
        <v>104</v>
      </c>
      <c r="B65" s="42"/>
      <c r="C65" s="42"/>
      <c r="D65" s="42"/>
      <c r="E65" s="42"/>
      <c r="F65" s="42"/>
      <c r="G65" s="42"/>
    </row>
  </sheetData>
  <mergeCells count="5">
    <mergeCell ref="A61:G61"/>
    <mergeCell ref="A62:G62"/>
    <mergeCell ref="A63:G63"/>
    <mergeCell ref="A64:G64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12" t="s">
        <v>44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45</v>
      </c>
      <c r="B5" s="15" t="n">
        <v>112.32</v>
      </c>
      <c r="C5" s="16" t="s">
        <v>107</v>
      </c>
    </row>
    <row r="6" customFormat="false" ht="15" hidden="false" customHeight="false" outlineLevel="0" collapsed="false">
      <c r="A6" s="14" t="s">
        <v>47</v>
      </c>
      <c r="B6" s="17" t="n">
        <v>346</v>
      </c>
      <c r="C6" s="16" t="s">
        <v>108</v>
      </c>
    </row>
    <row r="7" customFormat="false" ht="15" hidden="false" customHeight="false" outlineLevel="0" collapsed="false">
      <c r="A7" s="14" t="s">
        <v>49</v>
      </c>
      <c r="B7" s="18" t="n">
        <v>1500</v>
      </c>
      <c r="C7" s="16" t="s">
        <v>109</v>
      </c>
    </row>
    <row r="8" customFormat="false" ht="15" hidden="false" customHeight="false" outlineLevel="0" collapsed="false">
      <c r="A8" s="14" t="s">
        <v>51</v>
      </c>
      <c r="B8" s="19" t="n">
        <v>0.2</v>
      </c>
      <c r="C8" s="16" t="s">
        <v>110</v>
      </c>
    </row>
    <row r="9" customFormat="false" ht="15" hidden="false" customHeight="false" outlineLevel="0" collapsed="false">
      <c r="A9" s="14" t="s">
        <v>53</v>
      </c>
      <c r="B9" s="20" t="n">
        <v>0.105</v>
      </c>
    </row>
    <row r="10" customFormat="false" ht="15" hidden="false" customHeight="false" outlineLevel="0" collapsed="false">
      <c r="A10" s="14" t="s">
        <v>54</v>
      </c>
      <c r="B10" s="20" t="n">
        <v>0.03</v>
      </c>
    </row>
    <row r="11" customFormat="false" ht="15" hidden="false" customHeight="false" outlineLevel="0" collapsed="false">
      <c r="A11" s="14" t="s">
        <v>55</v>
      </c>
      <c r="B11" s="21" t="n">
        <v>1</v>
      </c>
      <c r="C11" s="16" t="s">
        <v>56</v>
      </c>
    </row>
    <row r="13" customFormat="false" ht="15" hidden="false" customHeight="false" outlineLevel="0" collapsed="false">
      <c r="A13" s="12" t="s">
        <v>57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22" t="s">
        <v>58</v>
      </c>
      <c r="B14" s="23" t="s">
        <v>111</v>
      </c>
      <c r="C14" s="23" t="s">
        <v>60</v>
      </c>
      <c r="D14" s="23" t="s">
        <v>61</v>
      </c>
      <c r="E14" s="23" t="s">
        <v>62</v>
      </c>
      <c r="F14" s="23" t="s">
        <v>63</v>
      </c>
      <c r="G14" s="23" t="s">
        <v>64</v>
      </c>
    </row>
    <row r="15" customFormat="false" ht="15" hidden="false" customHeight="false" outlineLevel="0" collapsed="false">
      <c r="A15" s="24" t="s">
        <v>65</v>
      </c>
      <c r="B15" s="18" t="n">
        <v>3670</v>
      </c>
      <c r="C15" s="25" t="n">
        <f aca="false">B15*(1+C16)</f>
        <v>4477.4</v>
      </c>
      <c r="D15" s="25" t="n">
        <f aca="false">C15*(1+D16)</f>
        <v>5372.88</v>
      </c>
      <c r="E15" s="25" t="n">
        <f aca="false">D15*(1+E16)</f>
        <v>6286.2696</v>
      </c>
      <c r="F15" s="25" t="n">
        <f aca="false">E15*(1+F16)</f>
        <v>7166.347344</v>
      </c>
      <c r="G15" s="25" t="n">
        <f aca="false">F15*(1+G16)</f>
        <v>8026.30902528</v>
      </c>
    </row>
    <row r="16" customFormat="false" ht="15" hidden="false" customHeight="false" outlineLevel="0" collapsed="false">
      <c r="A16" s="14" t="s">
        <v>66</v>
      </c>
      <c r="B16" s="26" t="n">
        <v>0.16</v>
      </c>
      <c r="C16" s="20" t="n">
        <v>0.22</v>
      </c>
      <c r="D16" s="20" t="n">
        <v>0.2</v>
      </c>
      <c r="E16" s="20" t="n">
        <v>0.17</v>
      </c>
      <c r="F16" s="20" t="n">
        <v>0.14</v>
      </c>
      <c r="G16" s="20" t="n">
        <v>0.12</v>
      </c>
    </row>
    <row r="17" customFormat="false" ht="15" hidden="false" customHeight="false" outlineLevel="0" collapsed="false">
      <c r="A17" s="14" t="s">
        <v>67</v>
      </c>
      <c r="B17" s="26" t="n">
        <v>0.042</v>
      </c>
      <c r="C17" s="20" t="n">
        <v>0.06</v>
      </c>
      <c r="D17" s="20" t="n">
        <v>0.08</v>
      </c>
      <c r="E17" s="20" t="n">
        <v>0.1</v>
      </c>
      <c r="F17" s="20" t="n">
        <v>0.12</v>
      </c>
      <c r="G17" s="20" t="n">
        <v>0.14</v>
      </c>
    </row>
    <row r="18" customFormat="false" ht="15" hidden="false" customHeight="false" outlineLevel="0" collapsed="false">
      <c r="A18" s="14" t="s">
        <v>68</v>
      </c>
      <c r="B18" s="27" t="n">
        <f aca="false">B15*B17</f>
        <v>154.14</v>
      </c>
      <c r="C18" s="28" t="n">
        <f aca="false">C15*C17</f>
        <v>268.644</v>
      </c>
      <c r="D18" s="28" t="n">
        <f aca="false">D15*D17</f>
        <v>429.8304</v>
      </c>
      <c r="E18" s="28" t="n">
        <f aca="false">E15*E17</f>
        <v>628.62696</v>
      </c>
      <c r="F18" s="28" t="n">
        <f aca="false">F15*F17</f>
        <v>859.96168128</v>
      </c>
      <c r="G18" s="28" t="n">
        <f aca="false">G15*G17</f>
        <v>1123.6832635392</v>
      </c>
    </row>
    <row r="19" customFormat="false" ht="15" hidden="false" customHeight="false" outlineLevel="0" collapsed="false">
      <c r="A19" s="14" t="s">
        <v>69</v>
      </c>
      <c r="C19" s="28" t="n">
        <f aca="false">-C18*$B$8</f>
        <v>-53.7288</v>
      </c>
      <c r="D19" s="28" t="n">
        <f aca="false">-D18*$B$8</f>
        <v>-85.96608</v>
      </c>
      <c r="E19" s="28" t="n">
        <f aca="false">-E18*$B$8</f>
        <v>-125.725392</v>
      </c>
      <c r="F19" s="28" t="n">
        <f aca="false">-F18*$B$8</f>
        <v>-171.992336256</v>
      </c>
      <c r="G19" s="28" t="n">
        <f aca="false">-G18*$B$8</f>
        <v>-224.73665270784</v>
      </c>
    </row>
    <row r="20" customFormat="false" ht="15" hidden="false" customHeight="false" outlineLevel="0" collapsed="false">
      <c r="A20" s="14" t="s">
        <v>70</v>
      </c>
      <c r="C20" s="28" t="n">
        <f aca="false">C18+C19</f>
        <v>214.9152</v>
      </c>
      <c r="D20" s="28" t="n">
        <f aca="false">D18+D19</f>
        <v>343.86432</v>
      </c>
      <c r="E20" s="28" t="n">
        <f aca="false">E18+E19</f>
        <v>502.901568</v>
      </c>
      <c r="F20" s="28" t="n">
        <f aca="false">F18+F19</f>
        <v>687.969345024</v>
      </c>
      <c r="G20" s="28" t="n">
        <f aca="false">G18+G19</f>
        <v>898.94661083136</v>
      </c>
    </row>
    <row r="21" customFormat="false" ht="15" hidden="false" customHeight="false" outlineLevel="0" collapsed="false">
      <c r="A21" s="14" t="s">
        <v>71</v>
      </c>
      <c r="C21" s="19" t="n">
        <v>0.05</v>
      </c>
      <c r="D21" s="19" t="n">
        <v>0.05</v>
      </c>
      <c r="E21" s="19" t="n">
        <v>0.05</v>
      </c>
      <c r="F21" s="19" t="n">
        <v>0.05</v>
      </c>
      <c r="G21" s="19" t="n">
        <v>0.05</v>
      </c>
    </row>
    <row r="22" customFormat="false" ht="15" hidden="false" customHeight="false" outlineLevel="0" collapsed="false">
      <c r="A22" s="14" t="s">
        <v>72</v>
      </c>
      <c r="C22" s="28" t="n">
        <f aca="false">C15*C21</f>
        <v>223.87</v>
      </c>
      <c r="D22" s="28" t="n">
        <f aca="false">D15*D21</f>
        <v>268.644</v>
      </c>
      <c r="E22" s="28" t="n">
        <f aca="false">E15*E21</f>
        <v>314.31348</v>
      </c>
      <c r="F22" s="28" t="n">
        <f aca="false">F15*F21</f>
        <v>358.3173672</v>
      </c>
      <c r="G22" s="28" t="n">
        <f aca="false">G15*G21</f>
        <v>401.315451264</v>
      </c>
    </row>
    <row r="23" customFormat="false" ht="15" hidden="false" customHeight="false" outlineLevel="0" collapsed="false">
      <c r="A23" s="14" t="s">
        <v>73</v>
      </c>
      <c r="C23" s="19" t="n">
        <v>0.065</v>
      </c>
      <c r="D23" s="19" t="n">
        <v>0.065</v>
      </c>
      <c r="E23" s="19" t="n">
        <v>0.065</v>
      </c>
      <c r="F23" s="19" t="n">
        <v>0.065</v>
      </c>
      <c r="G23" s="19" t="n">
        <v>0.065</v>
      </c>
    </row>
    <row r="24" customFormat="false" ht="15" hidden="false" customHeight="false" outlineLevel="0" collapsed="false">
      <c r="A24" s="14" t="s">
        <v>74</v>
      </c>
      <c r="C24" s="28" t="n">
        <f aca="false">-C15*C23</f>
        <v>-291.031</v>
      </c>
      <c r="D24" s="28" t="n">
        <f aca="false">-D15*D23</f>
        <v>-349.2372</v>
      </c>
      <c r="E24" s="28" t="n">
        <f aca="false">-E15*E23</f>
        <v>-408.607524</v>
      </c>
      <c r="F24" s="28" t="n">
        <f aca="false">-F15*F23</f>
        <v>-465.81257736</v>
      </c>
      <c r="G24" s="28" t="n">
        <f aca="false">-G15*G23</f>
        <v>-521.7100866432</v>
      </c>
    </row>
    <row r="25" customFormat="false" ht="15" hidden="false" customHeight="false" outlineLevel="0" collapsed="false">
      <c r="A25" s="14" t="s">
        <v>75</v>
      </c>
      <c r="C25" s="19" t="n">
        <v>-0.05</v>
      </c>
      <c r="D25" s="19" t="n">
        <v>-0.05</v>
      </c>
      <c r="E25" s="19" t="n">
        <v>-0.05</v>
      </c>
      <c r="F25" s="19" t="n">
        <v>-0.05</v>
      </c>
      <c r="G25" s="19" t="n">
        <v>-0.05</v>
      </c>
    </row>
    <row r="26" customFormat="false" ht="15" hidden="false" customHeight="false" outlineLevel="0" collapsed="false">
      <c r="A26" s="14" t="s">
        <v>76</v>
      </c>
      <c r="C26" s="28" t="n">
        <f aca="false">-(C15-B15)*C25</f>
        <v>40.37</v>
      </c>
      <c r="D26" s="28" t="n">
        <f aca="false">-(D15-C15)*D25</f>
        <v>44.774</v>
      </c>
      <c r="E26" s="28" t="n">
        <f aca="false">-(E15-D15)*E25</f>
        <v>45.66948</v>
      </c>
      <c r="F26" s="28" t="n">
        <f aca="false">-(F15-E15)*F25</f>
        <v>44.0038872</v>
      </c>
      <c r="G26" s="28" t="n">
        <f aca="false">-(G15-F15)*G25</f>
        <v>42.998084064</v>
      </c>
    </row>
    <row r="27" customFormat="false" ht="15" hidden="false" customHeight="false" outlineLevel="0" collapsed="false">
      <c r="A27" s="24" t="s">
        <v>77</v>
      </c>
      <c r="C27" s="29" t="n">
        <f aca="false">C20+C22+C24+C26</f>
        <v>188.1242</v>
      </c>
      <c r="D27" s="29" t="n">
        <f aca="false">D20+D22+D24+D26</f>
        <v>308.04512</v>
      </c>
      <c r="E27" s="29" t="n">
        <f aca="false">E20+E22+E24+E26</f>
        <v>454.277004</v>
      </c>
      <c r="F27" s="29" t="n">
        <f aca="false">F20+F22+F24+F26</f>
        <v>624.478022064</v>
      </c>
      <c r="G27" s="29" t="n">
        <f aca="false">G20+G22+G24+G26</f>
        <v>821.55005951616</v>
      </c>
    </row>
    <row r="28" customFormat="false" ht="15" hidden="false" customHeight="false" outlineLevel="0" collapsed="false">
      <c r="A28" s="14" t="s">
        <v>78</v>
      </c>
      <c r="C28" s="30" t="n">
        <f aca="false">C27/C15</f>
        <v>0.0420163934426229</v>
      </c>
      <c r="D28" s="30" t="n">
        <f aca="false">D27/D15</f>
        <v>0.0573333333333333</v>
      </c>
      <c r="E28" s="30" t="n">
        <f aca="false">E27/E15</f>
        <v>0.0722649572649573</v>
      </c>
      <c r="F28" s="30" t="n">
        <f aca="false">F27/F15</f>
        <v>0.087140350877193</v>
      </c>
      <c r="G28" s="30" t="n">
        <f aca="false">G27/G15</f>
        <v>0.102357142857143</v>
      </c>
    </row>
    <row r="30" customFormat="false" ht="15" hidden="false" customHeight="false" outlineLevel="0" collapsed="false">
      <c r="A30" s="14" t="s">
        <v>79</v>
      </c>
      <c r="C30" s="31" t="n">
        <v>0.5</v>
      </c>
      <c r="D30" s="32" t="n">
        <f aca="false">C30+1</f>
        <v>1.5</v>
      </c>
      <c r="E30" s="32" t="n">
        <f aca="false">D30+1</f>
        <v>2.5</v>
      </c>
      <c r="F30" s="32" t="n">
        <f aca="false">E30+1</f>
        <v>3.5</v>
      </c>
      <c r="G30" s="32" t="n">
        <f aca="false">F30+1</f>
        <v>4.5</v>
      </c>
    </row>
    <row r="31" customFormat="false" ht="15" hidden="false" customHeight="false" outlineLevel="0" collapsed="false">
      <c r="A31" s="14" t="s">
        <v>80</v>
      </c>
      <c r="C31" s="33" t="n">
        <f aca="false">1/POWER(1+$B$9,C30)</f>
        <v>0.951302988308988</v>
      </c>
      <c r="D31" s="33" t="n">
        <f aca="false">1/POWER(1+$B$9,D30)</f>
        <v>0.860907681727591</v>
      </c>
      <c r="E31" s="33" t="n">
        <f aca="false">1/POWER(1+$B$9,E30)</f>
        <v>0.77910197441411</v>
      </c>
      <c r="F31" s="33" t="n">
        <f aca="false">1/POWER(1+$B$9,F30)</f>
        <v>0.705069660103267</v>
      </c>
      <c r="G31" s="33" t="n">
        <f aca="false">1/POWER(1+$B$9,G30)</f>
        <v>0.638072090591192</v>
      </c>
    </row>
    <row r="32" customFormat="false" ht="15" hidden="false" customHeight="false" outlineLevel="0" collapsed="false">
      <c r="A32" s="24" t="s">
        <v>81</v>
      </c>
      <c r="C32" s="25" t="n">
        <f aca="false">C27*C31</f>
        <v>178.963113633238</v>
      </c>
      <c r="D32" s="25" t="n">
        <f aca="false">D27*D31</f>
        <v>265.198410126698</v>
      </c>
      <c r="E32" s="25" t="n">
        <f aca="false">E27*E31</f>
        <v>353.928110747326</v>
      </c>
      <c r="F32" s="25" t="n">
        <f aca="false">F27*F31</f>
        <v>440.300506758625</v>
      </c>
      <c r="G32" s="25" t="n">
        <f aca="false">G27*G31</f>
        <v>524.208164000794</v>
      </c>
    </row>
    <row r="34" customFormat="false" ht="15" hidden="false" customHeight="false" outlineLevel="0" collapsed="false">
      <c r="A34" s="12" t="s">
        <v>82</v>
      </c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4" t="s">
        <v>83</v>
      </c>
      <c r="B35" s="20" t="n">
        <v>0.13</v>
      </c>
      <c r="C35" s="16" t="s">
        <v>112</v>
      </c>
    </row>
    <row r="36" customFormat="false" ht="15" hidden="false" customHeight="false" outlineLevel="0" collapsed="false">
      <c r="A36" s="14" t="s">
        <v>85</v>
      </c>
      <c r="B36" s="28" t="n">
        <f aca="false">G15*(1+$B$10)*B35</f>
        <v>1074.72277848499</v>
      </c>
    </row>
    <row r="37" customFormat="false" ht="15" hidden="false" customHeight="false" outlineLevel="0" collapsed="false">
      <c r="A37" s="14" t="s">
        <v>86</v>
      </c>
      <c r="B37" s="28" t="n">
        <f aca="false">B36/($B$9-$B$10)</f>
        <v>14329.6370464666</v>
      </c>
    </row>
    <row r="38" customFormat="false" ht="15" hidden="false" customHeight="false" outlineLevel="0" collapsed="false">
      <c r="A38" s="14" t="s">
        <v>87</v>
      </c>
      <c r="B38" s="28" t="n">
        <f aca="false">B37*G31</f>
        <v>9143.3414676519</v>
      </c>
    </row>
    <row r="39" customFormat="false" ht="15" hidden="false" customHeight="false" outlineLevel="0" collapsed="false">
      <c r="A39" s="14" t="s">
        <v>88</v>
      </c>
      <c r="B39" s="34" t="n">
        <f aca="false">B37/G27</f>
        <v>17.4421958595022</v>
      </c>
    </row>
    <row r="41" customFormat="false" ht="15" hidden="false" customHeight="false" outlineLevel="0" collapsed="false">
      <c r="A41" s="12" t="s">
        <v>89</v>
      </c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4" t="s">
        <v>90</v>
      </c>
      <c r="B42" s="28" t="n">
        <f aca="false">SUM(C32:G32)</f>
        <v>1762.59830526668</v>
      </c>
    </row>
    <row r="43" customFormat="false" ht="15" hidden="false" customHeight="false" outlineLevel="0" collapsed="false">
      <c r="A43" s="14" t="s">
        <v>87</v>
      </c>
      <c r="B43" s="28" t="n">
        <f aca="false">B38</f>
        <v>9143.3414676519</v>
      </c>
    </row>
    <row r="44" customFormat="false" ht="15" hidden="false" customHeight="false" outlineLevel="0" collapsed="false">
      <c r="A44" s="24" t="s">
        <v>91</v>
      </c>
      <c r="B44" s="25" t="n">
        <f aca="false">B42+B43</f>
        <v>10905.9397729186</v>
      </c>
    </row>
    <row r="45" customFormat="false" ht="15" hidden="false" customHeight="false" outlineLevel="0" collapsed="false">
      <c r="A45" s="14" t="s">
        <v>92</v>
      </c>
      <c r="B45" s="30" t="n">
        <f aca="false">B43/B44</f>
        <v>0.838381804597571</v>
      </c>
    </row>
    <row r="46" customFormat="false" ht="15" hidden="false" customHeight="false" outlineLevel="0" collapsed="false">
      <c r="A46" s="14" t="s">
        <v>93</v>
      </c>
      <c r="B46" s="28" t="n">
        <f aca="false">B7</f>
        <v>1500</v>
      </c>
    </row>
    <row r="47" customFormat="false" ht="15" hidden="false" customHeight="false" outlineLevel="0" collapsed="false">
      <c r="A47" s="24" t="s">
        <v>94</v>
      </c>
      <c r="B47" s="25" t="n">
        <f aca="false">B44+B46</f>
        <v>12405.9397729186</v>
      </c>
    </row>
    <row r="48" customFormat="false" ht="15" hidden="false" customHeight="false" outlineLevel="0" collapsed="false">
      <c r="A48" s="24" t="s">
        <v>95</v>
      </c>
      <c r="B48" s="35" t="n">
        <f aca="false">B47*$B$11/B6</f>
        <v>35.8553172627705</v>
      </c>
    </row>
    <row r="49" customFormat="false" ht="15" hidden="false" customHeight="false" outlineLevel="0" collapsed="false">
      <c r="A49" s="14" t="s">
        <v>45</v>
      </c>
      <c r="B49" s="36" t="n">
        <f aca="false">B5</f>
        <v>112.32</v>
      </c>
    </row>
    <row r="50" customFormat="false" ht="15" hidden="false" customHeight="false" outlineLevel="0" collapsed="false">
      <c r="A50" s="24" t="s">
        <v>96</v>
      </c>
      <c r="B50" s="37" t="n">
        <f aca="false">B48/B49-1</f>
        <v>-0.680775309270206</v>
      </c>
    </row>
    <row r="52" customFormat="false" ht="15" hidden="false" customHeight="false" outlineLevel="0" collapsed="false">
      <c r="A52" s="12" t="s">
        <v>97</v>
      </c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B53" s="23" t="s">
        <v>98</v>
      </c>
      <c r="C53" s="38" t="n">
        <f aca="false">$B$10+-0.01</f>
        <v>0.02</v>
      </c>
      <c r="D53" s="38" t="n">
        <f aca="false">$B$10+-0.005</f>
        <v>0.025</v>
      </c>
      <c r="E53" s="38" t="n">
        <f aca="false">$B$10</f>
        <v>0.03</v>
      </c>
      <c r="F53" s="38" t="n">
        <f aca="false">$B$10+0.005</f>
        <v>0.035</v>
      </c>
      <c r="G53" s="38" t="n">
        <f aca="false">$B$10+0.01</f>
        <v>0.04</v>
      </c>
    </row>
    <row r="54" customFormat="false" ht="15" hidden="false" customHeight="false" outlineLevel="0" collapsed="false">
      <c r="B54" s="39" t="n">
        <f aca="false">$B$9+-0.01</f>
        <v>0.095</v>
      </c>
      <c r="C54" s="40" t="n">
        <f aca="false">(SUMPRODUCT($C$27:$G$27,1/POWER(1+$B54,$C$30:$G$30))+$G$15*(1+C$53)*$B$35/($B54-C$53)/POWER(1+$B54,$G$30)+$B$7)*$B$11/$B$6</f>
        <v>36.8323252234517</v>
      </c>
      <c r="D54" s="40" t="n">
        <f aca="false">(SUMPRODUCT($C$27:$G$27,1/POWER(1+$B54,$C$30:$G$30))+$G$15*(1+D$53)*$B$35/($B54-D$53)/POWER(1+$B54,$G$30)+$B$7)*$B$11/$B$6</f>
        <v>38.9227975080017</v>
      </c>
      <c r="E54" s="40" t="n">
        <f aca="false">(SUMPRODUCT($C$27:$G$27,1/POWER(1+$B54,$C$30:$G$30))+$G$15*(1+E$53)*$B$35/($B54-E$53)/POWER(1+$B54,$G$30)+$B$7)*$B$11/$B$6</f>
        <v>41.3348809132517</v>
      </c>
      <c r="F54" s="40" t="n">
        <f aca="false">(SUMPRODUCT($C$27:$G$27,1/POWER(1+$B54,$C$30:$G$30))+$G$15*(1+F$53)*$B$35/($B54-F$53)/POWER(1+$B54,$G$30)+$B$7)*$B$11/$B$6</f>
        <v>44.1489782193767</v>
      </c>
      <c r="G54" s="40" t="n">
        <f aca="false">(SUMPRODUCT($C$27:$G$27,1/POWER(1+$B54,$C$30:$G$30))+$G$15*(1+G$53)*$B$35/($B54-G$53)/POWER(1+$B54,$G$30)+$B$7)*$B$11/$B$6</f>
        <v>47.4747295811609</v>
      </c>
    </row>
    <row r="55" customFormat="false" ht="15" hidden="false" customHeight="false" outlineLevel="0" collapsed="false">
      <c r="B55" s="39" t="n">
        <f aca="false">$B$9+-0.005</f>
        <v>0.1</v>
      </c>
      <c r="C55" s="40" t="n">
        <f aca="false">(SUMPRODUCT($C$27:$G$27,1/POWER(1+$B55,$C$30:$G$30))+$G$15*(1+C$53)*$B$35/($B55-C$53)/POWER(1+$B55,$G$30)+$B$7)*$B$11/$B$6</f>
        <v>34.5386754875241</v>
      </c>
      <c r="D55" s="40" t="n">
        <f aca="false">(SUMPRODUCT($C$27:$G$27,1/POWER(1+$B55,$C$30:$G$30))+$G$15*(1+D$53)*$B$35/($B55-D$53)/POWER(1+$B55,$G$30)+$B$7)*$B$11/$B$6</f>
        <v>36.3389033792767</v>
      </c>
      <c r="E55" s="40" t="n">
        <f aca="false">(SUMPRODUCT($C$27:$G$27,1/POWER(1+$B55,$C$30:$G$30))+$G$15*(1+E$53)*$B$35/($B55-E$53)/POWER(1+$B55,$G$30)+$B$7)*$B$11/$B$6</f>
        <v>38.3963066841369</v>
      </c>
      <c r="F55" s="40" t="n">
        <f aca="false">(SUMPRODUCT($C$27:$G$27,1/POWER(1+$B55,$C$30:$G$30))+$G$15*(1+F$53)*$B$35/($B55-F$53)/POWER(1+$B55,$G$30)+$B$7)*$B$11/$B$6</f>
        <v>40.7702335743602</v>
      </c>
      <c r="G55" s="40" t="n">
        <f aca="false">(SUMPRODUCT($C$27:$G$27,1/POWER(1+$B55,$C$30:$G$30))+$G$15*(1+G$53)*$B$35/($B55-G$53)/POWER(1+$B55,$G$30)+$B$7)*$B$11/$B$6</f>
        <v>43.5398149462873</v>
      </c>
    </row>
    <row r="56" customFormat="false" ht="15" hidden="false" customHeight="false" outlineLevel="0" collapsed="false">
      <c r="B56" s="39" t="n">
        <f aca="false">$B$9</f>
        <v>0.105</v>
      </c>
      <c r="C56" s="40" t="n">
        <f aca="false">(SUMPRODUCT($C$27:$G$27,1/POWER(1+$B56,$C$30:$G$30))+$G$15*(1+C$53)*$B$35/($B56-C$53)/POWER(1+$B56,$G$30)+$B$7)*$B$11/$B$6</f>
        <v>32.5200167666855</v>
      </c>
      <c r="D56" s="40" t="n">
        <f aca="false">(SUMPRODUCT($C$27:$G$27,1/POWER(1+$B56,$C$30:$G$30))+$G$15*(1+D$53)*$B$35/($B56-D$53)/POWER(1+$B56,$G$30)+$B$7)*$B$11/$B$6</f>
        <v>34.0834388742254</v>
      </c>
      <c r="E56" s="41" t="n">
        <f aca="false">(SUMPRODUCT($C$27:$G$27,1/POWER(1+$B56,$C$30:$G$30))+$G$15*(1+E$53)*$B$35/($B56-E$53)/POWER(1+$B56,$G$30)+$B$7)*$B$11/$B$6</f>
        <v>35.8553172627705</v>
      </c>
      <c r="F56" s="40" t="n">
        <f aca="false">(SUMPRODUCT($C$27:$G$27,1/POWER(1+$B56,$C$30:$G$30))+$G$15*(1+F$53)*$B$35/($B56-F$53)/POWER(1+$B56,$G$30)+$B$7)*$B$11/$B$6</f>
        <v>37.8803211353935</v>
      </c>
      <c r="G56" s="40" t="n">
        <f aca="false">(SUMPRODUCT($C$27:$G$27,1/POWER(1+$B56,$C$30:$G$30))+$G$15*(1+G$53)*$B$35/($B56-G$53)/POWER(1+$B56,$G$30)+$B$7)*$B$11/$B$6</f>
        <v>40.2168640653431</v>
      </c>
    </row>
    <row r="57" customFormat="false" ht="15" hidden="false" customHeight="false" outlineLevel="0" collapsed="false">
      <c r="B57" s="39" t="n">
        <f aca="false">$B$9+0.005</f>
        <v>0.11</v>
      </c>
      <c r="C57" s="40" t="n">
        <f aca="false">(SUMPRODUCT($C$27:$G$27,1/POWER(1+$B57,$C$30:$G$30))+$G$15*(1+C$53)*$B$35/($B57-C$53)/POWER(1+$B57,$G$30)+$B$7)*$B$11/$B$6</f>
        <v>30.7303928266461</v>
      </c>
      <c r="D57" s="40" t="n">
        <f aca="false">(SUMPRODUCT($C$27:$G$27,1/POWER(1+$B57,$C$30:$G$30))+$G$15*(1+D$53)*$B$35/($B57-D$53)/POWER(1+$B57,$G$30)+$B$7)*$B$11/$B$6</f>
        <v>32.0983146357613</v>
      </c>
      <c r="E57" s="40" t="n">
        <f aca="false">(SUMPRODUCT($C$27:$G$27,1/POWER(1+$B57,$C$30:$G$30))+$G$15*(1+E$53)*$B$35/($B57-E$53)/POWER(1+$B57,$G$30)+$B$7)*$B$11/$B$6</f>
        <v>33.637226671016</v>
      </c>
      <c r="F57" s="40" t="n">
        <f aca="false">(SUMPRODUCT($C$27:$G$27,1/POWER(1+$B57,$C$30:$G$30))+$G$15*(1+F$53)*$B$35/($B57-F$53)/POWER(1+$B57,$G$30)+$B$7)*$B$11/$B$6</f>
        <v>35.3813269776379</v>
      </c>
      <c r="G57" s="40" t="n">
        <f aca="false">(SUMPRODUCT($C$27:$G$27,1/POWER(1+$B57,$C$30:$G$30))+$G$15*(1+G$53)*$B$35/($B57-G$53)/POWER(1+$B57,$G$30)+$B$7)*$B$11/$B$6</f>
        <v>37.3745844709202</v>
      </c>
    </row>
    <row r="58" customFormat="false" ht="15" hidden="false" customHeight="false" outlineLevel="0" collapsed="false">
      <c r="B58" s="39" t="n">
        <f aca="false">$B$9+0.01</f>
        <v>0.115</v>
      </c>
      <c r="C58" s="40" t="n">
        <f aca="false">(SUMPRODUCT($C$27:$G$27,1/POWER(1+$B58,$C$30:$G$30))+$G$15*(1+C$53)*$B$35/($B58-C$53)/POWER(1+$B58,$G$30)+$B$7)*$B$11/$B$6</f>
        <v>29.1335260317011</v>
      </c>
      <c r="D58" s="40" t="n">
        <f aca="false">(SUMPRODUCT($C$27:$G$27,1/POWER(1+$B58,$C$30:$G$30))+$G$15*(1+D$53)*$B$35/($B58-D$53)/POWER(1+$B58,$G$30)+$B$7)*$B$11/$B$6</f>
        <v>30.3383538433315</v>
      </c>
      <c r="E58" s="40" t="n">
        <f aca="false">(SUMPRODUCT($C$27:$G$27,1/POWER(1+$B58,$C$30:$G$30))+$G$15*(1+E$53)*$B$35/($B58-E$53)/POWER(1+$B58,$G$30)+$B$7)*$B$11/$B$6</f>
        <v>31.6849261033891</v>
      </c>
      <c r="F58" s="40" t="n">
        <f aca="false">(SUMPRODUCT($C$27:$G$27,1/POWER(1+$B58,$C$30:$G$30))+$G$15*(1+F$53)*$B$35/($B58-F$53)/POWER(1+$B58,$G$30)+$B$7)*$B$11/$B$6</f>
        <v>33.1998198959539</v>
      </c>
      <c r="G58" s="40" t="n">
        <f aca="false">(SUMPRODUCT($C$27:$G$27,1/POWER(1+$B58,$C$30:$G$30))+$G$15*(1+G$53)*$B$35/($B58-G$53)/POWER(1+$B58,$G$30)+$B$7)*$B$11/$B$6</f>
        <v>34.9166995275272</v>
      </c>
    </row>
    <row r="60" customFormat="false" ht="15" hidden="false" customHeight="false" outlineLevel="0" collapsed="false">
      <c r="A60" s="12" t="s">
        <v>99</v>
      </c>
      <c r="B60" s="13"/>
      <c r="C60" s="13"/>
      <c r="D60" s="13"/>
      <c r="E60" s="13"/>
      <c r="F60" s="13"/>
      <c r="G60" s="13"/>
    </row>
    <row r="61" customFormat="false" ht="48" hidden="false" customHeight="true" outlineLevel="0" collapsed="false">
      <c r="A61" s="42" t="s">
        <v>113</v>
      </c>
      <c r="B61" s="42"/>
      <c r="C61" s="42"/>
      <c r="D61" s="42"/>
      <c r="E61" s="42"/>
      <c r="F61" s="42"/>
      <c r="G61" s="42"/>
    </row>
    <row r="62" customFormat="false" ht="36" hidden="false" customHeight="true" outlineLevel="0" collapsed="false">
      <c r="A62" s="42" t="s">
        <v>114</v>
      </c>
      <c r="B62" s="42"/>
      <c r="C62" s="42"/>
      <c r="D62" s="42"/>
      <c r="E62" s="42"/>
      <c r="F62" s="42"/>
      <c r="G62" s="42"/>
    </row>
    <row r="63" customFormat="false" ht="12" hidden="false" customHeight="true" outlineLevel="0" collapsed="false">
      <c r="A63" s="42" t="s">
        <v>115</v>
      </c>
      <c r="B63" s="42"/>
      <c r="C63" s="42"/>
      <c r="D63" s="42"/>
      <c r="E63" s="42"/>
      <c r="F63" s="42"/>
      <c r="G63" s="42"/>
    </row>
    <row r="64" customFormat="false" ht="36" hidden="false" customHeight="true" outlineLevel="0" collapsed="false">
      <c r="A64" s="42" t="s">
        <v>116</v>
      </c>
      <c r="B64" s="42"/>
      <c r="C64" s="42"/>
      <c r="D64" s="42"/>
      <c r="E64" s="42"/>
      <c r="F64" s="42"/>
      <c r="G64" s="42"/>
    </row>
    <row r="65" customFormat="false" ht="24" hidden="false" customHeight="true" outlineLevel="0" collapsed="false">
      <c r="A65" s="42" t="s">
        <v>117</v>
      </c>
      <c r="B65" s="42"/>
      <c r="C65" s="42"/>
      <c r="D65" s="42"/>
      <c r="E65" s="42"/>
      <c r="F65" s="42"/>
      <c r="G65" s="42"/>
    </row>
  </sheetData>
  <mergeCells count="5">
    <mergeCell ref="A61:G61"/>
    <mergeCell ref="A62:G62"/>
    <mergeCell ref="A63:G63"/>
    <mergeCell ref="A64:G64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12" t="s">
        <v>44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45</v>
      </c>
      <c r="B5" s="15" t="n">
        <v>325.71</v>
      </c>
      <c r="C5" s="16" t="s">
        <v>120</v>
      </c>
    </row>
    <row r="6" customFormat="false" ht="15" hidden="false" customHeight="false" outlineLevel="0" collapsed="false">
      <c r="A6" s="14" t="s">
        <v>47</v>
      </c>
      <c r="B6" s="17" t="n">
        <v>370</v>
      </c>
      <c r="C6" s="16" t="s">
        <v>121</v>
      </c>
    </row>
    <row r="7" customFormat="false" ht="15" hidden="false" customHeight="false" outlineLevel="0" collapsed="false">
      <c r="A7" s="14" t="s">
        <v>49</v>
      </c>
      <c r="B7" s="18" t="n">
        <v>1560</v>
      </c>
      <c r="C7" s="16" t="s">
        <v>122</v>
      </c>
    </row>
    <row r="8" customFormat="false" ht="15" hidden="false" customHeight="false" outlineLevel="0" collapsed="false">
      <c r="A8" s="14" t="s">
        <v>51</v>
      </c>
      <c r="B8" s="19" t="n">
        <v>0.21</v>
      </c>
      <c r="C8" s="16" t="s">
        <v>123</v>
      </c>
    </row>
    <row r="9" customFormat="false" ht="15" hidden="false" customHeight="false" outlineLevel="0" collapsed="false">
      <c r="A9" s="14" t="s">
        <v>53</v>
      </c>
      <c r="B9" s="20" t="n">
        <v>0.105</v>
      </c>
    </row>
    <row r="10" customFormat="false" ht="15" hidden="false" customHeight="false" outlineLevel="0" collapsed="false">
      <c r="A10" s="14" t="s">
        <v>54</v>
      </c>
      <c r="B10" s="20" t="n">
        <v>0.035</v>
      </c>
    </row>
    <row r="11" customFormat="false" ht="15" hidden="false" customHeight="false" outlineLevel="0" collapsed="false">
      <c r="A11" s="14" t="s">
        <v>55</v>
      </c>
      <c r="B11" s="21" t="n">
        <v>1</v>
      </c>
      <c r="C11" s="16" t="s">
        <v>56</v>
      </c>
    </row>
    <row r="13" customFormat="false" ht="15" hidden="false" customHeight="false" outlineLevel="0" collapsed="false">
      <c r="A13" s="12" t="s">
        <v>57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22" t="s">
        <v>58</v>
      </c>
      <c r="B14" s="23" t="s">
        <v>111</v>
      </c>
      <c r="C14" s="23" t="s">
        <v>60</v>
      </c>
      <c r="D14" s="23" t="s">
        <v>61</v>
      </c>
      <c r="E14" s="23" t="s">
        <v>62</v>
      </c>
      <c r="F14" s="23" t="s">
        <v>63</v>
      </c>
      <c r="G14" s="23" t="s">
        <v>64</v>
      </c>
    </row>
    <row r="15" customFormat="false" ht="15" hidden="false" customHeight="false" outlineLevel="0" collapsed="false">
      <c r="A15" s="24" t="s">
        <v>65</v>
      </c>
      <c r="B15" s="18" t="n">
        <v>4680</v>
      </c>
      <c r="C15" s="25" t="n">
        <f aca="false">B15*(1+C16)</f>
        <v>6084</v>
      </c>
      <c r="D15" s="25" t="n">
        <f aca="false">C15*(1+D16)</f>
        <v>7787.52</v>
      </c>
      <c r="E15" s="25" t="n">
        <f aca="false">D15*(1+E16)</f>
        <v>9812.2752</v>
      </c>
      <c r="F15" s="25" t="n">
        <f aca="false">E15*(1+F16)</f>
        <v>11970.975744</v>
      </c>
      <c r="G15" s="25" t="n">
        <f aca="false">F15*(1+G16)</f>
        <v>14125.75137792</v>
      </c>
    </row>
    <row r="16" customFormat="false" ht="15" hidden="false" customHeight="false" outlineLevel="0" collapsed="false">
      <c r="A16" s="14" t="s">
        <v>66</v>
      </c>
      <c r="B16" s="26" t="n">
        <v>0.29</v>
      </c>
      <c r="C16" s="20" t="n">
        <v>0.3</v>
      </c>
      <c r="D16" s="20" t="n">
        <v>0.28</v>
      </c>
      <c r="E16" s="20" t="n">
        <v>0.26</v>
      </c>
      <c r="F16" s="20" t="n">
        <v>0.22</v>
      </c>
      <c r="G16" s="20" t="n">
        <v>0.18</v>
      </c>
    </row>
    <row r="17" customFormat="false" ht="15" hidden="false" customHeight="false" outlineLevel="0" collapsed="false">
      <c r="A17" s="14" t="s">
        <v>67</v>
      </c>
      <c r="B17" s="26" t="n">
        <v>-0.195</v>
      </c>
      <c r="C17" s="20" t="n">
        <v>-0.14</v>
      </c>
      <c r="D17" s="20" t="n">
        <v>-0.06</v>
      </c>
      <c r="E17" s="20" t="n">
        <v>0</v>
      </c>
      <c r="F17" s="20" t="n">
        <v>0.06</v>
      </c>
      <c r="G17" s="20" t="n">
        <v>0.11</v>
      </c>
    </row>
    <row r="18" customFormat="false" ht="15" hidden="false" customHeight="false" outlineLevel="0" collapsed="false">
      <c r="A18" s="14" t="s">
        <v>68</v>
      </c>
      <c r="B18" s="27" t="n">
        <f aca="false">B15*B17</f>
        <v>-912.6</v>
      </c>
      <c r="C18" s="28" t="n">
        <f aca="false">C15*C17</f>
        <v>-851.76</v>
      </c>
      <c r="D18" s="28" t="n">
        <f aca="false">D15*D17</f>
        <v>-467.2512</v>
      </c>
      <c r="E18" s="28" t="n">
        <f aca="false">E15*E17</f>
        <v>0</v>
      </c>
      <c r="F18" s="28" t="n">
        <f aca="false">F15*F17</f>
        <v>718.25854464</v>
      </c>
      <c r="G18" s="28" t="n">
        <f aca="false">G15*G17</f>
        <v>1553.8326515712</v>
      </c>
    </row>
    <row r="19" customFormat="false" ht="15" hidden="false" customHeight="false" outlineLevel="0" collapsed="false">
      <c r="A19" s="14" t="s">
        <v>69</v>
      </c>
      <c r="C19" s="28" t="n">
        <f aca="false">-C18*$B$8</f>
        <v>178.8696</v>
      </c>
      <c r="D19" s="28" t="n">
        <f aca="false">-D18*$B$8</f>
        <v>98.122752</v>
      </c>
      <c r="E19" s="28" t="n">
        <f aca="false">-E18*$B$8</f>
        <v>-0</v>
      </c>
      <c r="F19" s="28" t="n">
        <f aca="false">-F18*$B$8</f>
        <v>-150.8342943744</v>
      </c>
      <c r="G19" s="28" t="n">
        <f aca="false">-G18*$B$8</f>
        <v>-326.304856829952</v>
      </c>
    </row>
    <row r="20" customFormat="false" ht="15" hidden="false" customHeight="false" outlineLevel="0" collapsed="false">
      <c r="A20" s="14" t="s">
        <v>70</v>
      </c>
      <c r="C20" s="28" t="n">
        <f aca="false">C18+C19</f>
        <v>-672.8904</v>
      </c>
      <c r="D20" s="28" t="n">
        <f aca="false">D18+D19</f>
        <v>-369.128448</v>
      </c>
      <c r="E20" s="28" t="n">
        <f aca="false">E18+E19</f>
        <v>0</v>
      </c>
      <c r="F20" s="28" t="n">
        <f aca="false">F18+F19</f>
        <v>567.4242502656</v>
      </c>
      <c r="G20" s="28" t="n">
        <f aca="false">G18+G19</f>
        <v>1227.52779474125</v>
      </c>
    </row>
    <row r="21" customFormat="false" ht="15" hidden="false" customHeight="false" outlineLevel="0" collapsed="false">
      <c r="A21" s="14" t="s">
        <v>71</v>
      </c>
      <c r="C21" s="19" t="n">
        <v>0.03</v>
      </c>
      <c r="D21" s="19" t="n">
        <v>0.03</v>
      </c>
      <c r="E21" s="19" t="n">
        <v>0.03</v>
      </c>
      <c r="F21" s="19" t="n">
        <v>0.03</v>
      </c>
      <c r="G21" s="19" t="n">
        <v>0.03</v>
      </c>
    </row>
    <row r="22" customFormat="false" ht="15" hidden="false" customHeight="false" outlineLevel="0" collapsed="false">
      <c r="A22" s="14" t="s">
        <v>72</v>
      </c>
      <c r="C22" s="28" t="n">
        <f aca="false">C15*C21</f>
        <v>182.52</v>
      </c>
      <c r="D22" s="28" t="n">
        <f aca="false">D15*D21</f>
        <v>233.6256</v>
      </c>
      <c r="E22" s="28" t="n">
        <f aca="false">E15*E21</f>
        <v>294.368256</v>
      </c>
      <c r="F22" s="28" t="n">
        <f aca="false">F15*F21</f>
        <v>359.12927232</v>
      </c>
      <c r="G22" s="28" t="n">
        <f aca="false">G15*G21</f>
        <v>423.7725413376</v>
      </c>
    </row>
    <row r="23" customFormat="false" ht="15" hidden="false" customHeight="false" outlineLevel="0" collapsed="false">
      <c r="A23" s="14" t="s">
        <v>73</v>
      </c>
      <c r="C23" s="19" t="n">
        <v>0.035</v>
      </c>
      <c r="D23" s="19" t="n">
        <v>0.035</v>
      </c>
      <c r="E23" s="19" t="n">
        <v>0.035</v>
      </c>
      <c r="F23" s="19" t="n">
        <v>0.035</v>
      </c>
      <c r="G23" s="19" t="n">
        <v>0.035</v>
      </c>
    </row>
    <row r="24" customFormat="false" ht="15" hidden="false" customHeight="false" outlineLevel="0" collapsed="false">
      <c r="A24" s="14" t="s">
        <v>74</v>
      </c>
      <c r="C24" s="28" t="n">
        <f aca="false">-C15*C23</f>
        <v>-212.94</v>
      </c>
      <c r="D24" s="28" t="n">
        <f aca="false">-D15*D23</f>
        <v>-272.5632</v>
      </c>
      <c r="E24" s="28" t="n">
        <f aca="false">-E15*E23</f>
        <v>-343.429632</v>
      </c>
      <c r="F24" s="28" t="n">
        <f aca="false">-F15*F23</f>
        <v>-418.98415104</v>
      </c>
      <c r="G24" s="28" t="n">
        <f aca="false">-G15*G23</f>
        <v>-494.4012982272</v>
      </c>
    </row>
    <row r="25" customFormat="false" ht="15" hidden="false" customHeight="false" outlineLevel="0" collapsed="false">
      <c r="A25" s="14" t="s">
        <v>75</v>
      </c>
      <c r="C25" s="19" t="n">
        <v>-0.15</v>
      </c>
      <c r="D25" s="19" t="n">
        <v>-0.15</v>
      </c>
      <c r="E25" s="19" t="n">
        <v>-0.15</v>
      </c>
      <c r="F25" s="19" t="n">
        <v>-0.15</v>
      </c>
      <c r="G25" s="19" t="n">
        <v>-0.15</v>
      </c>
    </row>
    <row r="26" customFormat="false" ht="15" hidden="false" customHeight="false" outlineLevel="0" collapsed="false">
      <c r="A26" s="14" t="s">
        <v>76</v>
      </c>
      <c r="C26" s="28" t="n">
        <f aca="false">-(C15-B15)*C25</f>
        <v>210.6</v>
      </c>
      <c r="D26" s="28" t="n">
        <f aca="false">-(D15-C15)*D25</f>
        <v>255.528</v>
      </c>
      <c r="E26" s="28" t="n">
        <f aca="false">-(E15-D15)*E25</f>
        <v>303.71328</v>
      </c>
      <c r="F26" s="28" t="n">
        <f aca="false">-(F15-E15)*F25</f>
        <v>323.8050816</v>
      </c>
      <c r="G26" s="28" t="n">
        <f aca="false">-(G15-F15)*G25</f>
        <v>323.216345088</v>
      </c>
    </row>
    <row r="27" customFormat="false" ht="15" hidden="false" customHeight="false" outlineLevel="0" collapsed="false">
      <c r="A27" s="24" t="s">
        <v>77</v>
      </c>
      <c r="C27" s="29" t="n">
        <f aca="false">C20+C22+C24+C26</f>
        <v>-492.7104</v>
      </c>
      <c r="D27" s="29" t="n">
        <f aca="false">D20+D22+D24+D26</f>
        <v>-152.538048</v>
      </c>
      <c r="E27" s="29" t="n">
        <f aca="false">E20+E22+E24+E26</f>
        <v>254.651904</v>
      </c>
      <c r="F27" s="29" t="n">
        <f aca="false">F20+F22+F24+F26</f>
        <v>831.3744531456</v>
      </c>
      <c r="G27" s="29" t="n">
        <f aca="false">G20+G22+G24+G26</f>
        <v>1480.11538293965</v>
      </c>
    </row>
    <row r="28" customFormat="false" ht="15" hidden="false" customHeight="false" outlineLevel="0" collapsed="false">
      <c r="A28" s="14" t="s">
        <v>78</v>
      </c>
      <c r="C28" s="30" t="n">
        <f aca="false">C27/C15</f>
        <v>-0.0809846153846154</v>
      </c>
      <c r="D28" s="30" t="n">
        <f aca="false">D27/D15</f>
        <v>-0.0195875</v>
      </c>
      <c r="E28" s="30" t="n">
        <f aca="false">E27/E15</f>
        <v>0.0259523809523809</v>
      </c>
      <c r="F28" s="30" t="n">
        <f aca="false">F27/F15</f>
        <v>0.0694491803278688</v>
      </c>
      <c r="G28" s="30" t="n">
        <f aca="false">G27/G15</f>
        <v>0.104781355932203</v>
      </c>
    </row>
    <row r="30" customFormat="false" ht="15" hidden="false" customHeight="false" outlineLevel="0" collapsed="false">
      <c r="A30" s="14" t="s">
        <v>79</v>
      </c>
      <c r="C30" s="31" t="n">
        <v>0.5</v>
      </c>
      <c r="D30" s="32" t="n">
        <f aca="false">C30+1</f>
        <v>1.5</v>
      </c>
      <c r="E30" s="32" t="n">
        <f aca="false">D30+1</f>
        <v>2.5</v>
      </c>
      <c r="F30" s="32" t="n">
        <f aca="false">E30+1</f>
        <v>3.5</v>
      </c>
      <c r="G30" s="32" t="n">
        <f aca="false">F30+1</f>
        <v>4.5</v>
      </c>
    </row>
    <row r="31" customFormat="false" ht="15" hidden="false" customHeight="false" outlineLevel="0" collapsed="false">
      <c r="A31" s="14" t="s">
        <v>80</v>
      </c>
      <c r="C31" s="33" t="n">
        <f aca="false">1/POWER(1+$B$9,C30)</f>
        <v>0.951302988308988</v>
      </c>
      <c r="D31" s="33" t="n">
        <f aca="false">1/POWER(1+$B$9,D30)</f>
        <v>0.860907681727591</v>
      </c>
      <c r="E31" s="33" t="n">
        <f aca="false">1/POWER(1+$B$9,E30)</f>
        <v>0.77910197441411</v>
      </c>
      <c r="F31" s="33" t="n">
        <f aca="false">1/POWER(1+$B$9,F30)</f>
        <v>0.705069660103267</v>
      </c>
      <c r="G31" s="33" t="n">
        <f aca="false">1/POWER(1+$B$9,G30)</f>
        <v>0.638072090591192</v>
      </c>
    </row>
    <row r="32" customFormat="false" ht="15" hidden="false" customHeight="false" outlineLevel="0" collapsed="false">
      <c r="A32" s="24" t="s">
        <v>81</v>
      </c>
      <c r="C32" s="25" t="n">
        <f aca="false">C27*C31</f>
        <v>-468.716875890917</v>
      </c>
      <c r="D32" s="25" t="n">
        <f aca="false">D27*D31</f>
        <v>-131.321177278932</v>
      </c>
      <c r="E32" s="25" t="n">
        <f aca="false">E27*E31</f>
        <v>198.399801194712</v>
      </c>
      <c r="F32" s="25" t="n">
        <f aca="false">F27*F31</f>
        <v>586.176903097907</v>
      </c>
      <c r="G32" s="25" t="n">
        <f aca="false">G27*G31</f>
        <v>944.420316708483</v>
      </c>
    </row>
    <row r="34" customFormat="false" ht="15" hidden="false" customHeight="false" outlineLevel="0" collapsed="false">
      <c r="A34" s="12" t="s">
        <v>82</v>
      </c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4" t="s">
        <v>83</v>
      </c>
      <c r="B35" s="20" t="n">
        <v>0.15</v>
      </c>
      <c r="C35" s="16" t="s">
        <v>124</v>
      </c>
    </row>
    <row r="36" customFormat="false" ht="15" hidden="false" customHeight="false" outlineLevel="0" collapsed="false">
      <c r="A36" s="14" t="s">
        <v>85</v>
      </c>
      <c r="B36" s="28" t="n">
        <f aca="false">G15*(1+$B$10)*B35</f>
        <v>2193.02290142208</v>
      </c>
    </row>
    <row r="37" customFormat="false" ht="15" hidden="false" customHeight="false" outlineLevel="0" collapsed="false">
      <c r="A37" s="14" t="s">
        <v>86</v>
      </c>
      <c r="B37" s="28" t="n">
        <f aca="false">B36/($B$9-$B$10)</f>
        <v>31328.898591744</v>
      </c>
    </row>
    <row r="38" customFormat="false" ht="15" hidden="false" customHeight="false" outlineLevel="0" collapsed="false">
      <c r="A38" s="14" t="s">
        <v>87</v>
      </c>
      <c r="B38" s="28" t="n">
        <f aca="false">B37*G31</f>
        <v>19990.0958203535</v>
      </c>
    </row>
    <row r="39" customFormat="false" ht="15" hidden="false" customHeight="false" outlineLevel="0" collapsed="false">
      <c r="A39" s="14" t="s">
        <v>88</v>
      </c>
      <c r="B39" s="34" t="n">
        <f aca="false">B37/G27</f>
        <v>21.1665245512967</v>
      </c>
    </row>
    <row r="41" customFormat="false" ht="15" hidden="false" customHeight="false" outlineLevel="0" collapsed="false">
      <c r="A41" s="12" t="s">
        <v>89</v>
      </c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4" t="s">
        <v>90</v>
      </c>
      <c r="B42" s="28" t="n">
        <f aca="false">SUM(C32:G32)</f>
        <v>1128.95896783125</v>
      </c>
    </row>
    <row r="43" customFormat="false" ht="15" hidden="false" customHeight="false" outlineLevel="0" collapsed="false">
      <c r="A43" s="14" t="s">
        <v>87</v>
      </c>
      <c r="B43" s="28" t="n">
        <f aca="false">B38</f>
        <v>19990.0958203535</v>
      </c>
    </row>
    <row r="44" customFormat="false" ht="15" hidden="false" customHeight="false" outlineLevel="0" collapsed="false">
      <c r="A44" s="24" t="s">
        <v>91</v>
      </c>
      <c r="B44" s="25" t="n">
        <f aca="false">B42+B43</f>
        <v>21119.0547881848</v>
      </c>
    </row>
    <row r="45" customFormat="false" ht="15" hidden="false" customHeight="false" outlineLevel="0" collapsed="false">
      <c r="A45" s="14" t="s">
        <v>92</v>
      </c>
      <c r="B45" s="30" t="n">
        <f aca="false">B43/B44</f>
        <v>0.946543110988904</v>
      </c>
    </row>
    <row r="46" customFormat="false" ht="15" hidden="false" customHeight="false" outlineLevel="0" collapsed="false">
      <c r="A46" s="14" t="s">
        <v>93</v>
      </c>
      <c r="B46" s="28" t="n">
        <f aca="false">B7</f>
        <v>1560</v>
      </c>
    </row>
    <row r="47" customFormat="false" ht="15" hidden="false" customHeight="false" outlineLevel="0" collapsed="false">
      <c r="A47" s="24" t="s">
        <v>94</v>
      </c>
      <c r="B47" s="25" t="n">
        <f aca="false">B44+B46</f>
        <v>22679.0547881848</v>
      </c>
    </row>
    <row r="48" customFormat="false" ht="15" hidden="false" customHeight="false" outlineLevel="0" collapsed="false">
      <c r="A48" s="24" t="s">
        <v>95</v>
      </c>
      <c r="B48" s="35" t="n">
        <f aca="false">B47*$B$11/B6</f>
        <v>61.2947426707697</v>
      </c>
    </row>
    <row r="49" customFormat="false" ht="15" hidden="false" customHeight="false" outlineLevel="0" collapsed="false">
      <c r="A49" s="14" t="s">
        <v>45</v>
      </c>
      <c r="B49" s="36" t="n">
        <f aca="false">B5</f>
        <v>325.71</v>
      </c>
    </row>
    <row r="50" customFormat="false" ht="15" hidden="false" customHeight="false" outlineLevel="0" collapsed="false">
      <c r="A50" s="24" t="s">
        <v>96</v>
      </c>
      <c r="B50" s="37" t="n">
        <f aca="false">B48/B49-1</f>
        <v>-0.811811910378037</v>
      </c>
    </row>
    <row r="52" customFormat="false" ht="15" hidden="false" customHeight="false" outlineLevel="0" collapsed="false">
      <c r="A52" s="12" t="s">
        <v>97</v>
      </c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B53" s="23" t="s">
        <v>98</v>
      </c>
      <c r="C53" s="38" t="n">
        <f aca="false">$B$10+-0.01</f>
        <v>0.025</v>
      </c>
      <c r="D53" s="38" t="n">
        <f aca="false">$B$10+-0.005</f>
        <v>0.03</v>
      </c>
      <c r="E53" s="38" t="n">
        <f aca="false">$B$10</f>
        <v>0.035</v>
      </c>
      <c r="F53" s="38" t="n">
        <f aca="false">$B$10+0.005</f>
        <v>0.04</v>
      </c>
      <c r="G53" s="38" t="n">
        <f aca="false">$B$10+0.01</f>
        <v>0.045</v>
      </c>
    </row>
    <row r="54" customFormat="false" ht="15" hidden="false" customHeight="false" outlineLevel="0" collapsed="false">
      <c r="B54" s="39" t="n">
        <f aca="false">$B$9+-0.01</f>
        <v>0.095</v>
      </c>
      <c r="C54" s="40" t="n">
        <f aca="false">(SUMPRODUCT($C$27:$G$27,1/POWER(1+$B54,$C$30:$G$30))+$G$15*(1+C$53)*$B$35/($B54-C$53)/POWER(1+$B54,$G$30)+$B$7)*$B$11/$B$6</f>
        <v>63.1664840805736</v>
      </c>
      <c r="D54" s="40" t="n">
        <f aca="false">(SUMPRODUCT($C$27:$G$27,1/POWER(1+$B54,$C$30:$G$30))+$G$15*(1+D$53)*$B$35/($B54-D$53)/POWER(1+$B54,$G$30)+$B$7)*$B$11/$B$6</f>
        <v>67.7469566184109</v>
      </c>
      <c r="E54" s="40" t="n">
        <f aca="false">(SUMPRODUCT($C$27:$G$27,1/POWER(1+$B54,$C$30:$G$30))+$G$15*(1+E$53)*$B$35/($B54-E$53)/POWER(1+$B54,$G$30)+$B$7)*$B$11/$B$6</f>
        <v>73.0908412458878</v>
      </c>
      <c r="F54" s="40" t="n">
        <f aca="false">(SUMPRODUCT($C$27:$G$27,1/POWER(1+$B54,$C$30:$G$30))+$G$15*(1+F$53)*$B$35/($B54-F$53)/POWER(1+$B54,$G$30)+$B$7)*$B$11/$B$6</f>
        <v>79.4063412601788</v>
      </c>
      <c r="G54" s="40" t="n">
        <f aca="false">(SUMPRODUCT($C$27:$G$27,1/POWER(1+$B54,$C$30:$G$30))+$G$15*(1+G$53)*$B$35/($B54-G$53)/POWER(1+$B54,$G$30)+$B$7)*$B$11/$B$6</f>
        <v>86.9849412773279</v>
      </c>
    </row>
    <row r="55" customFormat="false" ht="15" hidden="false" customHeight="false" outlineLevel="0" collapsed="false">
      <c r="B55" s="39" t="n">
        <f aca="false">$B$9+-0.005</f>
        <v>0.1</v>
      </c>
      <c r="C55" s="40" t="n">
        <f aca="false">(SUMPRODUCT($C$27:$G$27,1/POWER(1+$B55,$C$30:$G$30))+$G$15*(1+C$53)*$B$35/($B55-C$53)/POWER(1+$B55,$G$30)+$B$7)*$B$11/$B$6</f>
        <v>58.3141318327727</v>
      </c>
      <c r="D55" s="40" t="n">
        <f aca="false">(SUMPRODUCT($C$27:$G$27,1/POWER(1+$B55,$C$30:$G$30))+$G$15*(1+D$53)*$B$35/($B55-D$53)/POWER(1+$B55,$G$30)+$B$7)*$B$11/$B$6</f>
        <v>62.2210777189126</v>
      </c>
      <c r="E55" s="40" t="n">
        <f aca="false">(SUMPRODUCT($C$27:$G$27,1/POWER(1+$B55,$C$30:$G$30))+$G$15*(1+E$53)*$B$35/($B55-E$53)/POWER(1+$B55,$G$30)+$B$7)*$B$11/$B$6</f>
        <v>66.7290922029201</v>
      </c>
      <c r="F55" s="40" t="n">
        <f aca="false">(SUMPRODUCT($C$27:$G$27,1/POWER(1+$B55,$C$30:$G$30))+$G$15*(1+F$53)*$B$35/($B55-F$53)/POWER(1+$B55,$G$30)+$B$7)*$B$11/$B$6</f>
        <v>71.9884424342623</v>
      </c>
      <c r="G55" s="40" t="n">
        <f aca="false">(SUMPRODUCT($C$27:$G$27,1/POWER(1+$B55,$C$30:$G$30))+$G$15*(1+G$53)*$B$35/($B55-G$53)/POWER(1+$B55,$G$30)+$B$7)*$B$11/$B$6</f>
        <v>78.204038162212</v>
      </c>
    </row>
    <row r="56" customFormat="false" ht="15" hidden="false" customHeight="false" outlineLevel="0" collapsed="false">
      <c r="B56" s="39" t="n">
        <f aca="false">$B$9</f>
        <v>0.105</v>
      </c>
      <c r="C56" s="40" t="n">
        <f aca="false">(SUMPRODUCT($C$27:$G$27,1/POWER(1+$B56,$C$30:$G$30))+$G$15*(1+C$53)*$B$35/($B56-C$53)/POWER(1+$B56,$G$30)+$B$7)*$B$11/$B$6</f>
        <v>54.0845795027678</v>
      </c>
      <c r="D56" s="40" t="n">
        <f aca="false">(SUMPRODUCT($C$27:$G$27,1/POWER(1+$B56,$C$30:$G$30))+$G$15*(1+D$53)*$B$35/($B56-D$53)/POWER(1+$B56,$G$30)+$B$7)*$B$11/$B$6</f>
        <v>57.449322314502</v>
      </c>
      <c r="E56" s="41" t="n">
        <f aca="false">(SUMPRODUCT($C$27:$G$27,1/POWER(1+$B56,$C$30:$G$30))+$G$15*(1+E$53)*$B$35/($B56-E$53)/POWER(1+$B56,$G$30)+$B$7)*$B$11/$B$6</f>
        <v>61.2947426707697</v>
      </c>
      <c r="F56" s="40" t="n">
        <f aca="false">(SUMPRODUCT($C$27:$G$27,1/POWER(1+$B56,$C$30:$G$30))+$G$15*(1+F$53)*$B$35/($B56-F$53)/POWER(1+$B56,$G$30)+$B$7)*$B$11/$B$6</f>
        <v>65.7317661587709</v>
      </c>
      <c r="G56" s="40" t="n">
        <f aca="false">(SUMPRODUCT($C$27:$G$27,1/POWER(1+$B56,$C$30:$G$30))+$G$15*(1+G$53)*$B$35/($B56-G$53)/POWER(1+$B56,$G$30)+$B$7)*$B$11/$B$6</f>
        <v>70.9082935614389</v>
      </c>
    </row>
    <row r="57" customFormat="false" ht="15" hidden="false" customHeight="false" outlineLevel="0" collapsed="false">
      <c r="B57" s="39" t="n">
        <f aca="false">$B$9+0.005</f>
        <v>0.11</v>
      </c>
      <c r="C57" s="40" t="n">
        <f aca="false">(SUMPRODUCT($C$27:$G$27,1/POWER(1+$B57,$C$30:$G$30))+$G$15*(1+C$53)*$B$35/($B57-C$53)/POWER(1+$B57,$G$30)+$B$7)*$B$11/$B$6</f>
        <v>50.3675366925798</v>
      </c>
      <c r="D57" s="40" t="n">
        <f aca="false">(SUMPRODUCT($C$27:$G$27,1/POWER(1+$B57,$C$30:$G$30))+$G$15*(1+D$53)*$B$35/($B57-D$53)/POWER(1+$B57,$G$30)+$B$7)*$B$11/$B$6</f>
        <v>53.2898835319507</v>
      </c>
      <c r="E57" s="40" t="n">
        <f aca="false">(SUMPRODUCT($C$27:$G$27,1/POWER(1+$B57,$C$30:$G$30))+$G$15*(1+E$53)*$B$35/($B57-E$53)/POWER(1+$B57,$G$30)+$B$7)*$B$11/$B$6</f>
        <v>56.601876616571</v>
      </c>
      <c r="F57" s="40" t="n">
        <f aca="false">(SUMPRODUCT($C$27:$G$27,1/POWER(1+$B57,$C$30:$G$30))+$G$15*(1+F$53)*$B$35/($B57-F$53)/POWER(1+$B57,$G$30)+$B$7)*$B$11/$B$6</f>
        <v>60.3870115704228</v>
      </c>
      <c r="G57" s="40" t="n">
        <f aca="false">(SUMPRODUCT($C$27:$G$27,1/POWER(1+$B57,$C$30:$G$30))+$G$15*(1+G$53)*$B$35/($B57-G$53)/POWER(1+$B57,$G$30)+$B$7)*$B$11/$B$6</f>
        <v>64.7544749787133</v>
      </c>
    </row>
    <row r="58" customFormat="false" ht="15" hidden="false" customHeight="false" outlineLevel="0" collapsed="false">
      <c r="B58" s="39" t="n">
        <f aca="false">$B$9+0.01</f>
        <v>0.115</v>
      </c>
      <c r="C58" s="40" t="n">
        <f aca="false">(SUMPRODUCT($C$27:$G$27,1/POWER(1+$B58,$C$30:$G$30))+$G$15*(1+C$53)*$B$35/($B58-C$53)/POWER(1+$B58,$G$30)+$B$7)*$B$11/$B$6</f>
        <v>47.077232976372</v>
      </c>
      <c r="D58" s="40" t="n">
        <f aca="false">(SUMPRODUCT($C$27:$G$27,1/POWER(1+$B58,$C$30:$G$30))+$G$15*(1+D$53)*$B$35/($B58-D$53)/POWER(1+$B58,$G$30)+$B$7)*$B$11/$B$6</f>
        <v>49.634332471349</v>
      </c>
      <c r="E58" s="40" t="n">
        <f aca="false">(SUMPRODUCT($C$27:$G$27,1/POWER(1+$B58,$C$30:$G$30))+$G$15*(1+E$53)*$B$35/($B58-E$53)/POWER(1+$B58,$G$30)+$B$7)*$B$11/$B$6</f>
        <v>52.5110694031981</v>
      </c>
      <c r="F58" s="40" t="n">
        <f aca="false">(SUMPRODUCT($C$27:$G$27,1/POWER(1+$B58,$C$30:$G$30))+$G$15*(1+F$53)*$B$35/($B58-F$53)/POWER(1+$B58,$G$30)+$B$7)*$B$11/$B$6</f>
        <v>55.7713712592938</v>
      </c>
      <c r="G58" s="40" t="n">
        <f aca="false">(SUMPRODUCT($C$27:$G$27,1/POWER(1+$B58,$C$30:$G$30))+$G$15*(1+G$53)*$B$35/($B58-G$53)/POWER(1+$B58,$G$30)+$B$7)*$B$11/$B$6</f>
        <v>59.4974305234031</v>
      </c>
    </row>
    <row r="60" customFormat="false" ht="15" hidden="false" customHeight="false" outlineLevel="0" collapsed="false">
      <c r="A60" s="12" t="s">
        <v>99</v>
      </c>
      <c r="B60" s="13"/>
      <c r="C60" s="13"/>
      <c r="D60" s="13"/>
      <c r="E60" s="13"/>
      <c r="F60" s="13"/>
      <c r="G60" s="13"/>
    </row>
    <row r="61" customFormat="false" ht="48" hidden="false" customHeight="true" outlineLevel="0" collapsed="false">
      <c r="A61" s="42" t="s">
        <v>125</v>
      </c>
      <c r="B61" s="42"/>
      <c r="C61" s="42"/>
      <c r="D61" s="42"/>
      <c r="E61" s="42"/>
      <c r="F61" s="42"/>
      <c r="G61" s="42"/>
    </row>
    <row r="62" customFormat="false" ht="60" hidden="false" customHeight="true" outlineLevel="0" collapsed="false">
      <c r="A62" s="42" t="s">
        <v>126</v>
      </c>
      <c r="B62" s="42"/>
      <c r="C62" s="42"/>
      <c r="D62" s="42"/>
      <c r="E62" s="42"/>
      <c r="F62" s="42"/>
      <c r="G62" s="42"/>
    </row>
    <row r="63" customFormat="false" ht="12" hidden="false" customHeight="true" outlineLevel="0" collapsed="false">
      <c r="A63" s="42" t="s">
        <v>127</v>
      </c>
      <c r="B63" s="42"/>
      <c r="C63" s="42"/>
      <c r="D63" s="42"/>
      <c r="E63" s="42"/>
      <c r="F63" s="42"/>
      <c r="G63" s="42"/>
    </row>
    <row r="64" customFormat="false" ht="36" hidden="false" customHeight="true" outlineLevel="0" collapsed="false">
      <c r="A64" s="42" t="s">
        <v>128</v>
      </c>
      <c r="B64" s="42"/>
      <c r="C64" s="42"/>
      <c r="D64" s="42"/>
      <c r="E64" s="42"/>
      <c r="F64" s="42"/>
      <c r="G64" s="42"/>
    </row>
    <row r="65" customFormat="false" ht="24" hidden="false" customHeight="true" outlineLevel="0" collapsed="false">
      <c r="A65" s="42" t="s">
        <v>129</v>
      </c>
      <c r="B65" s="42"/>
      <c r="C65" s="42"/>
      <c r="D65" s="42"/>
      <c r="E65" s="42"/>
      <c r="F65" s="42"/>
      <c r="G65" s="42"/>
    </row>
  </sheetData>
  <mergeCells count="5">
    <mergeCell ref="A61:G61"/>
    <mergeCell ref="A62:G62"/>
    <mergeCell ref="A63:G63"/>
    <mergeCell ref="A64:G64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15" hidden="false" customHeight="false" outlineLevel="0" collapsed="false">
      <c r="A4" s="12" t="s">
        <v>44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45</v>
      </c>
      <c r="B5" s="15" t="n">
        <v>177.24</v>
      </c>
      <c r="C5" s="16" t="s">
        <v>132</v>
      </c>
    </row>
    <row r="6" customFormat="false" ht="15" hidden="false" customHeight="false" outlineLevel="0" collapsed="false">
      <c r="A6" s="14" t="s">
        <v>47</v>
      </c>
      <c r="B6" s="17" t="n">
        <v>2569</v>
      </c>
      <c r="C6" s="16" t="s">
        <v>133</v>
      </c>
    </row>
    <row r="7" customFormat="false" ht="15" hidden="false" customHeight="false" outlineLevel="0" collapsed="false">
      <c r="A7" s="14" t="s">
        <v>49</v>
      </c>
      <c r="B7" s="18" t="n">
        <v>9200</v>
      </c>
      <c r="C7" s="16" t="s">
        <v>134</v>
      </c>
    </row>
    <row r="8" customFormat="false" ht="15" hidden="false" customHeight="false" outlineLevel="0" collapsed="false">
      <c r="A8" s="14" t="s">
        <v>51</v>
      </c>
      <c r="B8" s="19" t="n">
        <v>0.2</v>
      </c>
      <c r="C8" s="16" t="s">
        <v>135</v>
      </c>
    </row>
    <row r="9" customFormat="false" ht="15" hidden="false" customHeight="false" outlineLevel="0" collapsed="false">
      <c r="A9" s="14" t="s">
        <v>53</v>
      </c>
      <c r="B9" s="20" t="n">
        <v>0.105</v>
      </c>
    </row>
    <row r="10" customFormat="false" ht="15" hidden="false" customHeight="false" outlineLevel="0" collapsed="false">
      <c r="A10" s="14" t="s">
        <v>54</v>
      </c>
      <c r="B10" s="20" t="n">
        <v>0.04</v>
      </c>
    </row>
    <row r="11" customFormat="false" ht="15" hidden="false" customHeight="false" outlineLevel="0" collapsed="false">
      <c r="A11" s="14" t="s">
        <v>55</v>
      </c>
      <c r="B11" s="21" t="n">
        <v>1</v>
      </c>
      <c r="C11" s="16" t="s">
        <v>56</v>
      </c>
    </row>
    <row r="13" customFormat="false" ht="15" hidden="false" customHeight="false" outlineLevel="0" collapsed="false">
      <c r="A13" s="12" t="s">
        <v>57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22" t="s">
        <v>58</v>
      </c>
      <c r="B14" s="23" t="s">
        <v>136</v>
      </c>
      <c r="C14" s="23" t="s">
        <v>137</v>
      </c>
      <c r="D14" s="23" t="s">
        <v>138</v>
      </c>
      <c r="E14" s="23" t="s">
        <v>139</v>
      </c>
      <c r="F14" s="23" t="s">
        <v>140</v>
      </c>
      <c r="G14" s="23" t="s">
        <v>141</v>
      </c>
    </row>
    <row r="15" customFormat="false" ht="15" hidden="false" customHeight="false" outlineLevel="0" collapsed="false">
      <c r="A15" s="24" t="s">
        <v>65</v>
      </c>
      <c r="B15" s="18" t="n">
        <v>4480</v>
      </c>
      <c r="C15" s="25" t="n">
        <f aca="false">B15*(1+C16)</f>
        <v>8153.6</v>
      </c>
      <c r="D15" s="25" t="n">
        <f aca="false">C15*(1+D16)</f>
        <v>11822.72</v>
      </c>
      <c r="E15" s="25" t="n">
        <f aca="false">D15*(1+E16)</f>
        <v>15960.672</v>
      </c>
      <c r="F15" s="25" t="n">
        <f aca="false">E15*(1+F16)</f>
        <v>20429.66016</v>
      </c>
      <c r="G15" s="25" t="n">
        <f aca="false">F15*(1+G16)</f>
        <v>24924.1853952</v>
      </c>
    </row>
    <row r="16" customFormat="false" ht="15" hidden="false" customHeight="false" outlineLevel="0" collapsed="false">
      <c r="A16" s="14" t="s">
        <v>66</v>
      </c>
      <c r="B16" s="26" t="n">
        <v>0.56</v>
      </c>
      <c r="C16" s="20" t="n">
        <v>0.82</v>
      </c>
      <c r="D16" s="20" t="n">
        <v>0.45</v>
      </c>
      <c r="E16" s="20" t="n">
        <v>0.35</v>
      </c>
      <c r="F16" s="20" t="n">
        <v>0.28</v>
      </c>
      <c r="G16" s="20" t="n">
        <v>0.22</v>
      </c>
    </row>
    <row r="17" customFormat="false" ht="15" hidden="false" customHeight="false" outlineLevel="0" collapsed="false">
      <c r="A17" s="14" t="s">
        <v>67</v>
      </c>
      <c r="B17" s="26" t="n">
        <v>0.38</v>
      </c>
      <c r="C17" s="20" t="n">
        <v>0.46</v>
      </c>
      <c r="D17" s="20" t="n">
        <v>0.48</v>
      </c>
      <c r="E17" s="20" t="n">
        <v>0.49</v>
      </c>
      <c r="F17" s="20" t="n">
        <v>0.5</v>
      </c>
      <c r="G17" s="20" t="n">
        <v>0.5</v>
      </c>
    </row>
    <row r="18" customFormat="false" ht="15" hidden="false" customHeight="false" outlineLevel="0" collapsed="false">
      <c r="A18" s="14" t="s">
        <v>68</v>
      </c>
      <c r="B18" s="27" t="n">
        <f aca="false">B15*B17</f>
        <v>1702.4</v>
      </c>
      <c r="C18" s="28" t="n">
        <f aca="false">C15*C17</f>
        <v>3750.656</v>
      </c>
      <c r="D18" s="28" t="n">
        <f aca="false">D15*D17</f>
        <v>5674.9056</v>
      </c>
      <c r="E18" s="28" t="n">
        <f aca="false">E15*E17</f>
        <v>7820.72928</v>
      </c>
      <c r="F18" s="28" t="n">
        <f aca="false">F15*F17</f>
        <v>10214.83008</v>
      </c>
      <c r="G18" s="28" t="n">
        <f aca="false">G15*G17</f>
        <v>12462.0926976</v>
      </c>
    </row>
    <row r="19" customFormat="false" ht="15" hidden="false" customHeight="false" outlineLevel="0" collapsed="false">
      <c r="A19" s="14" t="s">
        <v>69</v>
      </c>
      <c r="C19" s="28" t="n">
        <f aca="false">-C18*$B$8</f>
        <v>-750.1312</v>
      </c>
      <c r="D19" s="28" t="n">
        <f aca="false">-D18*$B$8</f>
        <v>-1134.98112</v>
      </c>
      <c r="E19" s="28" t="n">
        <f aca="false">-E18*$B$8</f>
        <v>-1564.145856</v>
      </c>
      <c r="F19" s="28" t="n">
        <f aca="false">-F18*$B$8</f>
        <v>-2042.966016</v>
      </c>
      <c r="G19" s="28" t="n">
        <f aca="false">-G18*$B$8</f>
        <v>-2492.41853952</v>
      </c>
    </row>
    <row r="20" customFormat="false" ht="15" hidden="false" customHeight="false" outlineLevel="0" collapsed="false">
      <c r="A20" s="14" t="s">
        <v>70</v>
      </c>
      <c r="C20" s="28" t="n">
        <f aca="false">C18+C19</f>
        <v>3000.5248</v>
      </c>
      <c r="D20" s="28" t="n">
        <f aca="false">D18+D19</f>
        <v>4539.92448</v>
      </c>
      <c r="E20" s="28" t="n">
        <f aca="false">E18+E19</f>
        <v>6256.583424</v>
      </c>
      <c r="F20" s="28" t="n">
        <f aca="false">F18+F19</f>
        <v>8171.864064</v>
      </c>
      <c r="G20" s="28" t="n">
        <f aca="false">G18+G19</f>
        <v>9969.67415808</v>
      </c>
    </row>
    <row r="21" customFormat="false" ht="15" hidden="false" customHeight="false" outlineLevel="0" collapsed="false">
      <c r="A21" s="14" t="s">
        <v>71</v>
      </c>
      <c r="C21" s="19" t="n">
        <v>0.01</v>
      </c>
      <c r="D21" s="19" t="n">
        <v>0.01</v>
      </c>
      <c r="E21" s="19" t="n">
        <v>0.01</v>
      </c>
      <c r="F21" s="19" t="n">
        <v>0.01</v>
      </c>
      <c r="G21" s="19" t="n">
        <v>0.01</v>
      </c>
    </row>
    <row r="22" customFormat="false" ht="15" hidden="false" customHeight="false" outlineLevel="0" collapsed="false">
      <c r="A22" s="14" t="s">
        <v>72</v>
      </c>
      <c r="C22" s="28" t="n">
        <f aca="false">C15*C21</f>
        <v>81.536</v>
      </c>
      <c r="D22" s="28" t="n">
        <f aca="false">D15*D21</f>
        <v>118.2272</v>
      </c>
      <c r="E22" s="28" t="n">
        <f aca="false">E15*E21</f>
        <v>159.60672</v>
      </c>
      <c r="F22" s="28" t="n">
        <f aca="false">F15*F21</f>
        <v>204.2966016</v>
      </c>
      <c r="G22" s="28" t="n">
        <f aca="false">G15*G21</f>
        <v>249.241853952</v>
      </c>
    </row>
    <row r="23" customFormat="false" ht="15" hidden="false" customHeight="false" outlineLevel="0" collapsed="false">
      <c r="A23" s="14" t="s">
        <v>73</v>
      </c>
      <c r="C23" s="19" t="n">
        <v>0.015</v>
      </c>
      <c r="D23" s="19" t="n">
        <v>0.015</v>
      </c>
      <c r="E23" s="19" t="n">
        <v>0.015</v>
      </c>
      <c r="F23" s="19" t="n">
        <v>0.015</v>
      </c>
      <c r="G23" s="19" t="n">
        <v>0.015</v>
      </c>
    </row>
    <row r="24" customFormat="false" ht="15" hidden="false" customHeight="false" outlineLevel="0" collapsed="false">
      <c r="A24" s="14" t="s">
        <v>74</v>
      </c>
      <c r="C24" s="28" t="n">
        <f aca="false">-C15*C23</f>
        <v>-122.304</v>
      </c>
      <c r="D24" s="28" t="n">
        <f aca="false">-D15*D23</f>
        <v>-177.3408</v>
      </c>
      <c r="E24" s="28" t="n">
        <f aca="false">-E15*E23</f>
        <v>-239.41008</v>
      </c>
      <c r="F24" s="28" t="n">
        <f aca="false">-F15*F23</f>
        <v>-306.4449024</v>
      </c>
      <c r="G24" s="28" t="n">
        <f aca="false">-G15*G23</f>
        <v>-373.862780928</v>
      </c>
    </row>
    <row r="25" customFormat="false" ht="15" hidden="false" customHeight="false" outlineLevel="0" collapsed="false">
      <c r="A25" s="14" t="s">
        <v>75</v>
      </c>
      <c r="C25" s="19" t="n">
        <v>-0.05</v>
      </c>
      <c r="D25" s="19" t="n">
        <v>-0.05</v>
      </c>
      <c r="E25" s="19" t="n">
        <v>-0.05</v>
      </c>
      <c r="F25" s="19" t="n">
        <v>-0.05</v>
      </c>
      <c r="G25" s="19" t="n">
        <v>-0.05</v>
      </c>
    </row>
    <row r="26" customFormat="false" ht="15" hidden="false" customHeight="false" outlineLevel="0" collapsed="false">
      <c r="A26" s="14" t="s">
        <v>76</v>
      </c>
      <c r="C26" s="28" t="n">
        <f aca="false">-(C15-B15)*C25</f>
        <v>183.68</v>
      </c>
      <c r="D26" s="28" t="n">
        <f aca="false">-(D15-C15)*D25</f>
        <v>183.456</v>
      </c>
      <c r="E26" s="28" t="n">
        <f aca="false">-(E15-D15)*E25</f>
        <v>206.8976</v>
      </c>
      <c r="F26" s="28" t="n">
        <f aca="false">-(F15-E15)*F25</f>
        <v>223.449408</v>
      </c>
      <c r="G26" s="28" t="n">
        <f aca="false">-(G15-F15)*G25</f>
        <v>224.72626176</v>
      </c>
    </row>
    <row r="27" customFormat="false" ht="15" hidden="false" customHeight="false" outlineLevel="0" collapsed="false">
      <c r="A27" s="24" t="s">
        <v>77</v>
      </c>
      <c r="C27" s="29" t="n">
        <f aca="false">C20+C22+C24+C26</f>
        <v>3143.4368</v>
      </c>
      <c r="D27" s="29" t="n">
        <f aca="false">D20+D22+D24+D26</f>
        <v>4664.26688</v>
      </c>
      <c r="E27" s="29" t="n">
        <f aca="false">E20+E22+E24+E26</f>
        <v>6383.677664</v>
      </c>
      <c r="F27" s="29" t="n">
        <f aca="false">F20+F22+F24+F26</f>
        <v>8293.1651712</v>
      </c>
      <c r="G27" s="29" t="n">
        <f aca="false">G20+G22+G24+G26</f>
        <v>10069.779492864</v>
      </c>
    </row>
    <row r="28" customFormat="false" ht="15" hidden="false" customHeight="false" outlineLevel="0" collapsed="false">
      <c r="A28" s="14" t="s">
        <v>78</v>
      </c>
      <c r="C28" s="30" t="n">
        <f aca="false">C27/C15</f>
        <v>0.385527472527473</v>
      </c>
      <c r="D28" s="30" t="n">
        <f aca="false">D27/D15</f>
        <v>0.39451724137931</v>
      </c>
      <c r="E28" s="30" t="n">
        <f aca="false">E27/E15</f>
        <v>0.399962962962963</v>
      </c>
      <c r="F28" s="30" t="n">
        <f aca="false">F27/F15</f>
        <v>0.4059375</v>
      </c>
      <c r="G28" s="30" t="n">
        <f aca="false">G27/G15</f>
        <v>0.404016393442623</v>
      </c>
    </row>
    <row r="30" customFormat="false" ht="15" hidden="false" customHeight="false" outlineLevel="0" collapsed="false">
      <c r="A30" s="14" t="s">
        <v>79</v>
      </c>
      <c r="C30" s="31" t="n">
        <v>0.5</v>
      </c>
      <c r="D30" s="32" t="n">
        <f aca="false">C30+1</f>
        <v>1.5</v>
      </c>
      <c r="E30" s="32" t="n">
        <f aca="false">D30+1</f>
        <v>2.5</v>
      </c>
      <c r="F30" s="32" t="n">
        <f aca="false">E30+1</f>
        <v>3.5</v>
      </c>
      <c r="G30" s="32" t="n">
        <f aca="false">F30+1</f>
        <v>4.5</v>
      </c>
    </row>
    <row r="31" customFormat="false" ht="15" hidden="false" customHeight="false" outlineLevel="0" collapsed="false">
      <c r="A31" s="14" t="s">
        <v>80</v>
      </c>
      <c r="C31" s="33" t="n">
        <f aca="false">1/POWER(1+$B$9,C30)</f>
        <v>0.951302988308988</v>
      </c>
      <c r="D31" s="33" t="n">
        <f aca="false">1/POWER(1+$B$9,D30)</f>
        <v>0.860907681727591</v>
      </c>
      <c r="E31" s="33" t="n">
        <f aca="false">1/POWER(1+$B$9,E30)</f>
        <v>0.77910197441411</v>
      </c>
      <c r="F31" s="33" t="n">
        <f aca="false">1/POWER(1+$B$9,F30)</f>
        <v>0.705069660103267</v>
      </c>
      <c r="G31" s="33" t="n">
        <f aca="false">1/POWER(1+$B$9,G30)</f>
        <v>0.638072090591192</v>
      </c>
    </row>
    <row r="32" customFormat="false" ht="15" hidden="false" customHeight="false" outlineLevel="0" collapsed="false">
      <c r="A32" s="24" t="s">
        <v>81</v>
      </c>
      <c r="C32" s="25" t="n">
        <f aca="false">C27*C31</f>
        <v>2990.36082140044</v>
      </c>
      <c r="D32" s="25" t="n">
        <f aca="false">D27*D31</f>
        <v>4015.50318661958</v>
      </c>
      <c r="E32" s="25" t="n">
        <f aca="false">E27*E31</f>
        <v>4973.53587204565</v>
      </c>
      <c r="F32" s="25" t="n">
        <f aca="false">F27*F31</f>
        <v>5847.25914843823</v>
      </c>
      <c r="G32" s="25" t="n">
        <f aca="false">G27*G31</f>
        <v>6425.24525280404</v>
      </c>
    </row>
    <row r="34" customFormat="false" ht="15" hidden="false" customHeight="false" outlineLevel="0" collapsed="false">
      <c r="A34" s="12" t="s">
        <v>82</v>
      </c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4" t="s">
        <v>83</v>
      </c>
      <c r="B35" s="20" t="n">
        <v>0.42</v>
      </c>
      <c r="C35" s="16" t="s">
        <v>142</v>
      </c>
    </row>
    <row r="36" customFormat="false" ht="15" hidden="false" customHeight="false" outlineLevel="0" collapsed="false">
      <c r="A36" s="14" t="s">
        <v>85</v>
      </c>
      <c r="B36" s="28" t="n">
        <f aca="false">G15*(1+$B$10)*B35</f>
        <v>10886.8841806234</v>
      </c>
    </row>
    <row r="37" customFormat="false" ht="15" hidden="false" customHeight="false" outlineLevel="0" collapsed="false">
      <c r="A37" s="14" t="s">
        <v>86</v>
      </c>
      <c r="B37" s="28" t="n">
        <f aca="false">B36/($B$9-$B$10)</f>
        <v>167490.525855744</v>
      </c>
    </row>
    <row r="38" customFormat="false" ht="15" hidden="false" customHeight="false" outlineLevel="0" collapsed="false">
      <c r="A38" s="14" t="s">
        <v>87</v>
      </c>
      <c r="B38" s="28" t="n">
        <f aca="false">B37*G31</f>
        <v>106871.029986993</v>
      </c>
    </row>
    <row r="39" customFormat="false" ht="15" hidden="false" customHeight="false" outlineLevel="0" collapsed="false">
      <c r="A39" s="14" t="s">
        <v>88</v>
      </c>
      <c r="B39" s="34" t="n">
        <f aca="false">B37/G27</f>
        <v>16.6329884357882</v>
      </c>
    </row>
    <row r="41" customFormat="false" ht="15" hidden="false" customHeight="false" outlineLevel="0" collapsed="false">
      <c r="A41" s="12" t="s">
        <v>89</v>
      </c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4" t="s">
        <v>90</v>
      </c>
      <c r="B42" s="28" t="n">
        <f aca="false">SUM(C32:G32)</f>
        <v>24251.904281308</v>
      </c>
    </row>
    <row r="43" customFormat="false" ht="15" hidden="false" customHeight="false" outlineLevel="0" collapsed="false">
      <c r="A43" s="14" t="s">
        <v>87</v>
      </c>
      <c r="B43" s="28" t="n">
        <f aca="false">B38</f>
        <v>106871.029986993</v>
      </c>
    </row>
    <row r="44" customFormat="false" ht="15" hidden="false" customHeight="false" outlineLevel="0" collapsed="false">
      <c r="A44" s="24" t="s">
        <v>91</v>
      </c>
      <c r="B44" s="25" t="n">
        <f aca="false">B42+B43</f>
        <v>131122.934268301</v>
      </c>
    </row>
    <row r="45" customFormat="false" ht="15" hidden="false" customHeight="false" outlineLevel="0" collapsed="false">
      <c r="A45" s="14" t="s">
        <v>92</v>
      </c>
      <c r="B45" s="30" t="n">
        <f aca="false">B43/B44</f>
        <v>0.815044527361748</v>
      </c>
    </row>
    <row r="46" customFormat="false" ht="15" hidden="false" customHeight="false" outlineLevel="0" collapsed="false">
      <c r="A46" s="14" t="s">
        <v>93</v>
      </c>
      <c r="B46" s="28" t="n">
        <f aca="false">B7</f>
        <v>9200</v>
      </c>
    </row>
    <row r="47" customFormat="false" ht="15" hidden="false" customHeight="false" outlineLevel="0" collapsed="false">
      <c r="A47" s="24" t="s">
        <v>94</v>
      </c>
      <c r="B47" s="25" t="n">
        <f aca="false">B44+B46</f>
        <v>140322.934268301</v>
      </c>
    </row>
    <row r="48" customFormat="false" ht="15" hidden="false" customHeight="false" outlineLevel="0" collapsed="false">
      <c r="A48" s="24" t="s">
        <v>95</v>
      </c>
      <c r="B48" s="35" t="n">
        <f aca="false">B47*$B$11/B6</f>
        <v>54.621617076022</v>
      </c>
    </row>
    <row r="49" customFormat="false" ht="15" hidden="false" customHeight="false" outlineLevel="0" collapsed="false">
      <c r="A49" s="14" t="s">
        <v>45</v>
      </c>
      <c r="B49" s="36" t="n">
        <f aca="false">B5</f>
        <v>177.24</v>
      </c>
    </row>
    <row r="50" customFormat="false" ht="15" hidden="false" customHeight="false" outlineLevel="0" collapsed="false">
      <c r="A50" s="24" t="s">
        <v>96</v>
      </c>
      <c r="B50" s="37" t="n">
        <f aca="false">B48/B49-1</f>
        <v>-0.691821162965346</v>
      </c>
    </row>
    <row r="52" customFormat="false" ht="15" hidden="false" customHeight="false" outlineLevel="0" collapsed="false">
      <c r="A52" s="12" t="s">
        <v>97</v>
      </c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B53" s="23" t="s">
        <v>98</v>
      </c>
      <c r="C53" s="38" t="n">
        <f aca="false">$B$10+-0.01</f>
        <v>0.03</v>
      </c>
      <c r="D53" s="38" t="n">
        <f aca="false">$B$10+-0.005</f>
        <v>0.035</v>
      </c>
      <c r="E53" s="38" t="n">
        <f aca="false">$B$10</f>
        <v>0.04</v>
      </c>
      <c r="F53" s="38" t="n">
        <f aca="false">$B$10+0.005</f>
        <v>0.045</v>
      </c>
      <c r="G53" s="38" t="n">
        <f aca="false">$B$10+0.01</f>
        <v>0.05</v>
      </c>
    </row>
    <row r="54" customFormat="false" ht="15" hidden="false" customHeight="false" outlineLevel="0" collapsed="false">
      <c r="B54" s="39" t="n">
        <f aca="false">$B$9+-0.01</f>
        <v>0.095</v>
      </c>
      <c r="C54" s="40" t="n">
        <f aca="false">(SUMPRODUCT($C$27:$G$27,1/POWER(1+$B54,$C$30:$G$30))+$G$15*(1+C$53)*$B$35/($B54-C$53)/POWER(1+$B54,$G$30)+$B$7)*$B$11/$B$6</f>
        <v>56.1913337037998</v>
      </c>
      <c r="D54" s="40" t="n">
        <f aca="false">(SUMPRODUCT($C$27:$G$27,1/POWER(1+$B54,$C$30:$G$30))+$G$15*(1+D$53)*$B$35/($B54-D$53)/POWER(1+$B54,$G$30)+$B$7)*$B$11/$B$6</f>
        <v>59.9937716853413</v>
      </c>
      <c r="E54" s="40" t="n">
        <f aca="false">(SUMPRODUCT($C$27:$G$27,1/POWER(1+$B54,$C$30:$G$30))+$G$15*(1+E$53)*$B$35/($B54-E$53)/POWER(1+$B54,$G$30)+$B$7)*$B$11/$B$6</f>
        <v>64.4875620271629</v>
      </c>
      <c r="F54" s="40" t="n">
        <f aca="false">(SUMPRODUCT($C$27:$G$27,1/POWER(1+$B54,$C$30:$G$30))+$G$15*(1+F$53)*$B$35/($B54-F$53)/POWER(1+$B54,$G$30)+$B$7)*$B$11/$B$6</f>
        <v>69.8801104373489</v>
      </c>
      <c r="G54" s="40" t="n">
        <f aca="false">(SUMPRODUCT($C$27:$G$27,1/POWER(1+$B54,$C$30:$G$30))+$G$15*(1+G$53)*$B$35/($B54-G$53)/POWER(1+$B54,$G$30)+$B$7)*$B$11/$B$6</f>
        <v>76.4710029386874</v>
      </c>
    </row>
    <row r="55" customFormat="false" ht="15" hidden="false" customHeight="false" outlineLevel="0" collapsed="false">
      <c r="B55" s="39" t="n">
        <f aca="false">$B$9+-0.005</f>
        <v>0.1</v>
      </c>
      <c r="C55" s="40" t="n">
        <f aca="false">(SUMPRODUCT($C$27:$G$27,1/POWER(1+$B55,$C$30:$G$30))+$G$15*(1+C$53)*$B$35/($B55-C$53)/POWER(1+$B55,$G$30)+$B$7)*$B$11/$B$6</f>
        <v>52.1908956635402</v>
      </c>
      <c r="D55" s="40" t="n">
        <f aca="false">(SUMPRODUCT($C$27:$G$27,1/POWER(1+$B55,$C$30:$G$30))+$G$15*(1+D$53)*$B$35/($B55-D$53)/POWER(1+$B55,$G$30)+$B$7)*$B$11/$B$6</f>
        <v>55.3985707333185</v>
      </c>
      <c r="E55" s="40" t="n">
        <f aca="false">(SUMPRODUCT($C$27:$G$27,1/POWER(1+$B55,$C$30:$G$30))+$G$15*(1+E$53)*$B$35/($B55-E$53)/POWER(1+$B55,$G$30)+$B$7)*$B$11/$B$6</f>
        <v>59.1408583147265</v>
      </c>
      <c r="F55" s="40" t="n">
        <f aca="false">(SUMPRODUCT($C$27:$G$27,1/POWER(1+$B55,$C$30:$G$30))+$G$15*(1+F$53)*$B$35/($B55-F$53)/POWER(1+$B55,$G$30)+$B$7)*$B$11/$B$6</f>
        <v>63.5635618200268</v>
      </c>
      <c r="G55" s="40" t="n">
        <f aca="false">(SUMPRODUCT($C$27:$G$27,1/POWER(1+$B55,$C$30:$G$30))+$G$15*(1+G$53)*$B$35/($B55-G$53)/POWER(1+$B55,$G$30)+$B$7)*$B$11/$B$6</f>
        <v>68.8708060263872</v>
      </c>
    </row>
    <row r="56" customFormat="false" ht="15" hidden="false" customHeight="false" outlineLevel="0" collapsed="false">
      <c r="B56" s="39" t="n">
        <f aca="false">$B$9</f>
        <v>0.105</v>
      </c>
      <c r="C56" s="40" t="n">
        <f aca="false">(SUMPRODUCT($C$27:$G$27,1/POWER(1+$B56,$C$30:$G$30))+$G$15*(1+C$53)*$B$35/($B56-C$53)/POWER(1+$B56,$G$30)+$B$7)*$B$11/$B$6</f>
        <v>48.7282490022616</v>
      </c>
      <c r="D56" s="40" t="n">
        <f aca="false">(SUMPRODUCT($C$27:$G$27,1/POWER(1+$B56,$C$30:$G$30))+$G$15*(1+D$53)*$B$35/($B56-D$53)/POWER(1+$B56,$G$30)+$B$7)*$B$11/$B$6</f>
        <v>51.4644556079361</v>
      </c>
      <c r="E56" s="41" t="n">
        <f aca="false">(SUMPRODUCT($C$27:$G$27,1/POWER(1+$B56,$C$30:$G$30))+$G$15*(1+E$53)*$B$35/($B56-E$53)/POWER(1+$B56,$G$30)+$B$7)*$B$11/$B$6</f>
        <v>54.621617076022</v>
      </c>
      <c r="F56" s="40" t="n">
        <f aca="false">(SUMPRODUCT($C$27:$G$27,1/POWER(1+$B56,$C$30:$G$30))+$G$15*(1+F$53)*$B$35/($B56-F$53)/POWER(1+$B56,$G$30)+$B$7)*$B$11/$B$6</f>
        <v>58.3049721221223</v>
      </c>
      <c r="G56" s="40" t="n">
        <f aca="false">(SUMPRODUCT($C$27:$G$27,1/POWER(1+$B56,$C$30:$G$30))+$G$15*(1+G$53)*$B$35/($B56-G$53)/POWER(1+$B56,$G$30)+$B$7)*$B$11/$B$6</f>
        <v>62.6580280856954</v>
      </c>
    </row>
    <row r="57" customFormat="false" ht="15" hidden="false" customHeight="false" outlineLevel="0" collapsed="false">
      <c r="B57" s="39" t="n">
        <f aca="false">$B$9+0.005</f>
        <v>0.11</v>
      </c>
      <c r="C57" s="40" t="n">
        <f aca="false">(SUMPRODUCT($C$27:$G$27,1/POWER(1+$B57,$C$30:$G$30))+$G$15*(1+C$53)*$B$35/($B57-C$53)/POWER(1+$B57,$G$30)+$B$7)*$B$11/$B$6</f>
        <v>45.7024630467951</v>
      </c>
      <c r="D57" s="40" t="n">
        <f aca="false">(SUMPRODUCT($C$27:$G$27,1/POWER(1+$B57,$C$30:$G$30))+$G$15*(1+D$53)*$B$35/($B57-D$53)/POWER(1+$B57,$G$30)+$B$7)*$B$11/$B$6</f>
        <v>48.0591097892808</v>
      </c>
      <c r="E57" s="40" t="n">
        <f aca="false">(SUMPRODUCT($C$27:$G$27,1/POWER(1+$B57,$C$30:$G$30))+$G$15*(1+E$53)*$B$35/($B57-E$53)/POWER(1+$B57,$G$30)+$B$7)*$B$11/$B$6</f>
        <v>50.7524203521216</v>
      </c>
      <c r="F57" s="40" t="n">
        <f aca="false">(SUMPRODUCT($C$27:$G$27,1/POWER(1+$B57,$C$30:$G$30))+$G$15*(1+F$53)*$B$35/($B57-F$53)/POWER(1+$B57,$G$30)+$B$7)*$B$11/$B$6</f>
        <v>53.8600863861686</v>
      </c>
      <c r="G57" s="40" t="n">
        <f aca="false">(SUMPRODUCT($C$27:$G$27,1/POWER(1+$B57,$C$30:$G$30))+$G$15*(1+G$53)*$B$35/($B57-G$53)/POWER(1+$B57,$G$30)+$B$7)*$B$11/$B$6</f>
        <v>57.4856967592235</v>
      </c>
    </row>
    <row r="58" customFormat="false" ht="15" hidden="false" customHeight="false" outlineLevel="0" collapsed="false">
      <c r="B58" s="39" t="n">
        <f aca="false">$B$9+0.01</f>
        <v>0.115</v>
      </c>
      <c r="C58" s="40" t="n">
        <f aca="false">(SUMPRODUCT($C$27:$G$27,1/POWER(1+$B58,$C$30:$G$30))+$G$15*(1+C$53)*$B$35/($B58-C$53)/POWER(1+$B58,$G$30)+$B$7)*$B$11/$B$6</f>
        <v>43.0363580108687</v>
      </c>
      <c r="D58" s="40" t="n">
        <f aca="false">(SUMPRODUCT($C$27:$G$27,1/POWER(1+$B58,$C$30:$G$30))+$G$15*(1+D$53)*$B$35/($B58-D$53)/POWER(1+$B58,$G$30)+$B$7)*$B$11/$B$6</f>
        <v>45.0832984923908</v>
      </c>
      <c r="E58" s="40" t="n">
        <f aca="false">(SUMPRODUCT($C$27:$G$27,1/POWER(1+$B58,$C$30:$G$30))+$G$15*(1+E$53)*$B$35/($B58-E$53)/POWER(1+$B58,$G$30)+$B$7)*$B$11/$B$6</f>
        <v>47.4031643714491</v>
      </c>
      <c r="F58" s="40" t="n">
        <f aca="false">(SUMPRODUCT($C$27:$G$27,1/POWER(1+$B58,$C$30:$G$30))+$G$15*(1+F$53)*$B$35/($B58-F$53)/POWER(1+$B58,$G$30)+$B$7)*$B$11/$B$6</f>
        <v>50.0544396618015</v>
      </c>
      <c r="G58" s="40" t="n">
        <f aca="false">(SUMPRODUCT($C$27:$G$27,1/POWER(1+$B58,$C$30:$G$30))+$G$15*(1+G$53)*$B$35/($B58-G$53)/POWER(1+$B58,$G$30)+$B$7)*$B$11/$B$6</f>
        <v>53.1136034583619</v>
      </c>
    </row>
    <row r="60" customFormat="false" ht="15" hidden="false" customHeight="false" outlineLevel="0" collapsed="false">
      <c r="A60" s="12" t="s">
        <v>99</v>
      </c>
      <c r="B60" s="13"/>
      <c r="C60" s="13"/>
      <c r="D60" s="13"/>
      <c r="E60" s="13"/>
      <c r="F60" s="13"/>
      <c r="G60" s="13"/>
    </row>
    <row r="61" customFormat="false" ht="48" hidden="false" customHeight="true" outlineLevel="0" collapsed="false">
      <c r="A61" s="42" t="s">
        <v>143</v>
      </c>
      <c r="B61" s="42"/>
      <c r="C61" s="42"/>
      <c r="D61" s="42"/>
      <c r="E61" s="42"/>
      <c r="F61" s="42"/>
      <c r="G61" s="42"/>
    </row>
    <row r="62" customFormat="false" ht="24" hidden="false" customHeight="true" outlineLevel="0" collapsed="false">
      <c r="A62" s="42" t="s">
        <v>144</v>
      </c>
      <c r="B62" s="42"/>
      <c r="C62" s="42"/>
      <c r="D62" s="42"/>
      <c r="E62" s="42"/>
      <c r="F62" s="42"/>
      <c r="G62" s="42"/>
    </row>
    <row r="63" customFormat="false" ht="36" hidden="false" customHeight="true" outlineLevel="0" collapsed="false">
      <c r="A63" s="42" t="s">
        <v>145</v>
      </c>
      <c r="B63" s="42"/>
      <c r="C63" s="42"/>
      <c r="D63" s="42"/>
      <c r="E63" s="42"/>
      <c r="F63" s="42"/>
      <c r="G63" s="42"/>
    </row>
    <row r="64" customFormat="false" ht="36" hidden="false" customHeight="true" outlineLevel="0" collapsed="false">
      <c r="A64" s="42" t="s">
        <v>146</v>
      </c>
      <c r="B64" s="42"/>
      <c r="C64" s="42"/>
      <c r="D64" s="42"/>
      <c r="E64" s="42"/>
      <c r="F64" s="42"/>
      <c r="G64" s="42"/>
    </row>
    <row r="65" customFormat="false" ht="24" hidden="false" customHeight="true" outlineLevel="0" collapsed="false">
      <c r="A65" s="42" t="s">
        <v>147</v>
      </c>
      <c r="B65" s="42"/>
      <c r="C65" s="42"/>
      <c r="D65" s="42"/>
      <c r="E65" s="42"/>
      <c r="F65" s="42"/>
      <c r="G65" s="42"/>
    </row>
  </sheetData>
  <mergeCells count="5">
    <mergeCell ref="A61:G61"/>
    <mergeCell ref="A62:G62"/>
    <mergeCell ref="A63:G63"/>
    <mergeCell ref="A64:G64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15" hidden="false" customHeight="false" outlineLevel="0" collapsed="false">
      <c r="A4" s="12" t="s">
        <v>44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45</v>
      </c>
      <c r="B5" s="15" t="n">
        <v>210.24</v>
      </c>
      <c r="C5" s="16" t="s">
        <v>150</v>
      </c>
    </row>
    <row r="6" customFormat="false" ht="15" hidden="false" customHeight="false" outlineLevel="0" collapsed="false">
      <c r="A6" s="14" t="s">
        <v>47</v>
      </c>
      <c r="B6" s="17" t="n">
        <v>24400</v>
      </c>
      <c r="C6" s="16" t="s">
        <v>151</v>
      </c>
    </row>
    <row r="7" customFormat="false" ht="15" hidden="false" customHeight="false" outlineLevel="0" collapsed="false">
      <c r="A7" s="14" t="s">
        <v>49</v>
      </c>
      <c r="B7" s="18" t="n">
        <v>41900</v>
      </c>
      <c r="C7" s="16" t="s">
        <v>152</v>
      </c>
    </row>
    <row r="8" customFormat="false" ht="15" hidden="false" customHeight="false" outlineLevel="0" collapsed="false">
      <c r="A8" s="14" t="s">
        <v>51</v>
      </c>
      <c r="B8" s="19" t="n">
        <v>0.17</v>
      </c>
      <c r="C8" s="16" t="s">
        <v>153</v>
      </c>
    </row>
    <row r="9" customFormat="false" ht="15" hidden="false" customHeight="false" outlineLevel="0" collapsed="false">
      <c r="A9" s="14" t="s">
        <v>53</v>
      </c>
      <c r="B9" s="20" t="n">
        <v>0.11</v>
      </c>
    </row>
    <row r="10" customFormat="false" ht="15" hidden="false" customHeight="false" outlineLevel="0" collapsed="false">
      <c r="A10" s="14" t="s">
        <v>54</v>
      </c>
      <c r="B10" s="20" t="n">
        <v>0.035</v>
      </c>
    </row>
    <row r="11" customFormat="false" ht="15" hidden="false" customHeight="false" outlineLevel="0" collapsed="false">
      <c r="A11" s="14" t="s">
        <v>55</v>
      </c>
      <c r="B11" s="21" t="n">
        <v>1</v>
      </c>
      <c r="C11" s="16" t="s">
        <v>56</v>
      </c>
    </row>
    <row r="13" customFormat="false" ht="15" hidden="false" customHeight="false" outlineLevel="0" collapsed="false">
      <c r="A13" s="12" t="s">
        <v>57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22" t="s">
        <v>58</v>
      </c>
      <c r="B14" s="23" t="s">
        <v>111</v>
      </c>
      <c r="C14" s="23" t="s">
        <v>60</v>
      </c>
      <c r="D14" s="23" t="s">
        <v>61</v>
      </c>
      <c r="E14" s="23" t="s">
        <v>62</v>
      </c>
      <c r="F14" s="23" t="s">
        <v>63</v>
      </c>
      <c r="G14" s="23" t="s">
        <v>64</v>
      </c>
    </row>
    <row r="15" customFormat="false" ht="15" hidden="false" customHeight="false" outlineLevel="0" collapsed="false">
      <c r="A15" s="24" t="s">
        <v>65</v>
      </c>
      <c r="B15" s="18" t="n">
        <v>215900</v>
      </c>
      <c r="C15" s="25" t="n">
        <f aca="false">B15*(1+C16)</f>
        <v>390779</v>
      </c>
      <c r="D15" s="25" t="n">
        <f aca="false">C15*(1+D16)</f>
        <v>500197.12</v>
      </c>
      <c r="E15" s="25" t="n">
        <f aca="false">D15*(1+E16)</f>
        <v>590232.6016</v>
      </c>
      <c r="F15" s="25" t="n">
        <f aca="false">E15*(1+F16)</f>
        <v>661060.513792</v>
      </c>
      <c r="G15" s="25" t="n">
        <f aca="false">F15*(1+G16)</f>
        <v>713945.35489536</v>
      </c>
    </row>
    <row r="16" customFormat="false" ht="15" hidden="false" customHeight="false" outlineLevel="0" collapsed="false">
      <c r="A16" s="14" t="s">
        <v>66</v>
      </c>
      <c r="B16" s="26" t="n">
        <v>0.65</v>
      </c>
      <c r="C16" s="20" t="n">
        <v>0.81</v>
      </c>
      <c r="D16" s="20" t="n">
        <v>0.28</v>
      </c>
      <c r="E16" s="20" t="n">
        <v>0.18</v>
      </c>
      <c r="F16" s="20" t="n">
        <v>0.12</v>
      </c>
      <c r="G16" s="20" t="n">
        <v>0.08</v>
      </c>
    </row>
    <row r="17" customFormat="false" ht="15" hidden="false" customHeight="false" outlineLevel="0" collapsed="false">
      <c r="A17" s="14" t="s">
        <v>67</v>
      </c>
      <c r="B17" s="26" t="n">
        <v>0.58</v>
      </c>
      <c r="C17" s="20" t="n">
        <v>0.62</v>
      </c>
      <c r="D17" s="20" t="n">
        <v>0.62</v>
      </c>
      <c r="E17" s="20" t="n">
        <v>0.6</v>
      </c>
      <c r="F17" s="20" t="n">
        <v>0.58</v>
      </c>
      <c r="G17" s="20" t="n">
        <v>0.56</v>
      </c>
    </row>
    <row r="18" customFormat="false" ht="15" hidden="false" customHeight="false" outlineLevel="0" collapsed="false">
      <c r="A18" s="14" t="s">
        <v>68</v>
      </c>
      <c r="B18" s="27" t="n">
        <f aca="false">B15*B17</f>
        <v>125222</v>
      </c>
      <c r="C18" s="28" t="n">
        <f aca="false">C15*C17</f>
        <v>242282.98</v>
      </c>
      <c r="D18" s="28" t="n">
        <f aca="false">D15*D17</f>
        <v>310122.2144</v>
      </c>
      <c r="E18" s="28" t="n">
        <f aca="false">E15*E17</f>
        <v>354139.56096</v>
      </c>
      <c r="F18" s="28" t="n">
        <f aca="false">F15*F17</f>
        <v>383415.09799936</v>
      </c>
      <c r="G18" s="28" t="n">
        <f aca="false">G15*G17</f>
        <v>399809.398741402</v>
      </c>
    </row>
    <row r="19" customFormat="false" ht="15" hidden="false" customHeight="false" outlineLevel="0" collapsed="false">
      <c r="A19" s="14" t="s">
        <v>69</v>
      </c>
      <c r="C19" s="28" t="n">
        <f aca="false">-C18*$B$8</f>
        <v>-41188.1066</v>
      </c>
      <c r="D19" s="28" t="n">
        <f aca="false">-D18*$B$8</f>
        <v>-52720.776448</v>
      </c>
      <c r="E19" s="28" t="n">
        <f aca="false">-E18*$B$8</f>
        <v>-60203.7253632</v>
      </c>
      <c r="F19" s="28" t="n">
        <f aca="false">-F18*$B$8</f>
        <v>-65180.5666598912</v>
      </c>
      <c r="G19" s="28" t="n">
        <f aca="false">-G18*$B$8</f>
        <v>-67967.5977860383</v>
      </c>
    </row>
    <row r="20" customFormat="false" ht="15" hidden="false" customHeight="false" outlineLevel="0" collapsed="false">
      <c r="A20" s="14" t="s">
        <v>70</v>
      </c>
      <c r="C20" s="28" t="n">
        <f aca="false">C18+C19</f>
        <v>201094.8734</v>
      </c>
      <c r="D20" s="28" t="n">
        <f aca="false">D18+D19</f>
        <v>257401.437952</v>
      </c>
      <c r="E20" s="28" t="n">
        <f aca="false">E18+E19</f>
        <v>293935.8355968</v>
      </c>
      <c r="F20" s="28" t="n">
        <f aca="false">F18+F19</f>
        <v>318234.531339469</v>
      </c>
      <c r="G20" s="28" t="n">
        <f aca="false">G18+G19</f>
        <v>331841.800955363</v>
      </c>
    </row>
    <row r="21" customFormat="false" ht="15" hidden="false" customHeight="false" outlineLevel="0" collapsed="false">
      <c r="A21" s="14" t="s">
        <v>71</v>
      </c>
      <c r="C21" s="19" t="n">
        <v>0.025</v>
      </c>
      <c r="D21" s="19" t="n">
        <v>0.025</v>
      </c>
      <c r="E21" s="19" t="n">
        <v>0.025</v>
      </c>
      <c r="F21" s="19" t="n">
        <v>0.025</v>
      </c>
      <c r="G21" s="19" t="n">
        <v>0.025</v>
      </c>
    </row>
    <row r="22" customFormat="false" ht="15" hidden="false" customHeight="false" outlineLevel="0" collapsed="false">
      <c r="A22" s="14" t="s">
        <v>72</v>
      </c>
      <c r="C22" s="28" t="n">
        <f aca="false">C15*C21</f>
        <v>9769.475</v>
      </c>
      <c r="D22" s="28" t="n">
        <f aca="false">D15*D21</f>
        <v>12504.928</v>
      </c>
      <c r="E22" s="28" t="n">
        <f aca="false">E15*E21</f>
        <v>14755.81504</v>
      </c>
      <c r="F22" s="28" t="n">
        <f aca="false">F15*F21</f>
        <v>16526.5128448</v>
      </c>
      <c r="G22" s="28" t="n">
        <f aca="false">G15*G21</f>
        <v>17848.633872384</v>
      </c>
    </row>
    <row r="23" customFormat="false" ht="15" hidden="false" customHeight="false" outlineLevel="0" collapsed="false">
      <c r="A23" s="14" t="s">
        <v>73</v>
      </c>
      <c r="C23" s="19" t="n">
        <v>0.035</v>
      </c>
      <c r="D23" s="19" t="n">
        <v>0.035</v>
      </c>
      <c r="E23" s="19" t="n">
        <v>0.035</v>
      </c>
      <c r="F23" s="19" t="n">
        <v>0.035</v>
      </c>
      <c r="G23" s="19" t="n">
        <v>0.035</v>
      </c>
    </row>
    <row r="24" customFormat="false" ht="15" hidden="false" customHeight="false" outlineLevel="0" collapsed="false">
      <c r="A24" s="14" t="s">
        <v>74</v>
      </c>
      <c r="C24" s="28" t="n">
        <f aca="false">-C15*C23</f>
        <v>-13677.265</v>
      </c>
      <c r="D24" s="28" t="n">
        <f aca="false">-D15*D23</f>
        <v>-17506.8992</v>
      </c>
      <c r="E24" s="28" t="n">
        <f aca="false">-E15*E23</f>
        <v>-20658.141056</v>
      </c>
      <c r="F24" s="28" t="n">
        <f aca="false">-F15*F23</f>
        <v>-23137.11798272</v>
      </c>
      <c r="G24" s="28" t="n">
        <f aca="false">-G15*G23</f>
        <v>-24988.0874213376</v>
      </c>
    </row>
    <row r="25" customFormat="false" ht="15" hidden="false" customHeight="false" outlineLevel="0" collapsed="false">
      <c r="A25" s="14" t="s">
        <v>75</v>
      </c>
      <c r="C25" s="19" t="n">
        <v>0.1</v>
      </c>
      <c r="D25" s="19" t="n">
        <v>0.1</v>
      </c>
      <c r="E25" s="19" t="n">
        <v>0.1</v>
      </c>
      <c r="F25" s="19" t="n">
        <v>0.1</v>
      </c>
      <c r="G25" s="19" t="n">
        <v>0.1</v>
      </c>
    </row>
    <row r="26" customFormat="false" ht="15" hidden="false" customHeight="false" outlineLevel="0" collapsed="false">
      <c r="A26" s="14" t="s">
        <v>76</v>
      </c>
      <c r="C26" s="28" t="n">
        <f aca="false">-(C15-B15)*C25</f>
        <v>-17487.9</v>
      </c>
      <c r="D26" s="28" t="n">
        <f aca="false">-(D15-C15)*D25</f>
        <v>-10941.812</v>
      </c>
      <c r="E26" s="28" t="n">
        <f aca="false">-(E15-D15)*E25</f>
        <v>-9003.54816</v>
      </c>
      <c r="F26" s="28" t="n">
        <f aca="false">-(F15-E15)*F25</f>
        <v>-7082.79121920001</v>
      </c>
      <c r="G26" s="28" t="n">
        <f aca="false">-(G15-F15)*G25</f>
        <v>-5288.48411033601</v>
      </c>
    </row>
    <row r="27" customFormat="false" ht="15" hidden="false" customHeight="false" outlineLevel="0" collapsed="false">
      <c r="A27" s="24" t="s">
        <v>77</v>
      </c>
      <c r="C27" s="29" t="n">
        <f aca="false">C20+C22+C24+C26</f>
        <v>179699.1834</v>
      </c>
      <c r="D27" s="29" t="n">
        <f aca="false">D20+D22+D24+D26</f>
        <v>241457.654752</v>
      </c>
      <c r="E27" s="29" t="n">
        <f aca="false">E20+E22+E24+E26</f>
        <v>279029.9614208</v>
      </c>
      <c r="F27" s="29" t="n">
        <f aca="false">F20+F22+F24+F26</f>
        <v>304541.134982349</v>
      </c>
      <c r="G27" s="29" t="n">
        <f aca="false">G20+G22+G24+G26</f>
        <v>319413.863296074</v>
      </c>
    </row>
    <row r="28" customFormat="false" ht="15" hidden="false" customHeight="false" outlineLevel="0" collapsed="false">
      <c r="A28" s="14" t="s">
        <v>78</v>
      </c>
      <c r="C28" s="30" t="n">
        <f aca="false">C27/C15</f>
        <v>0.45984861878453</v>
      </c>
      <c r="D28" s="30" t="n">
        <f aca="false">D27/D15</f>
        <v>0.482725</v>
      </c>
      <c r="E28" s="30" t="n">
        <f aca="false">E27/E15</f>
        <v>0.472745762711864</v>
      </c>
      <c r="F28" s="30" t="n">
        <f aca="false">F27/F15</f>
        <v>0.460685714285714</v>
      </c>
      <c r="G28" s="30" t="n">
        <f aca="false">G27/G15</f>
        <v>0.447392592592593</v>
      </c>
    </row>
    <row r="30" customFormat="false" ht="15" hidden="false" customHeight="false" outlineLevel="0" collapsed="false">
      <c r="A30" s="14" t="s">
        <v>79</v>
      </c>
      <c r="C30" s="31" t="n">
        <v>0.5</v>
      </c>
      <c r="D30" s="32" t="n">
        <f aca="false">C30+1</f>
        <v>1.5</v>
      </c>
      <c r="E30" s="32" t="n">
        <f aca="false">D30+1</f>
        <v>2.5</v>
      </c>
      <c r="F30" s="32" t="n">
        <f aca="false">E30+1</f>
        <v>3.5</v>
      </c>
      <c r="G30" s="32" t="n">
        <f aca="false">F30+1</f>
        <v>4.5</v>
      </c>
    </row>
    <row r="31" customFormat="false" ht="15" hidden="false" customHeight="false" outlineLevel="0" collapsed="false">
      <c r="A31" s="14" t="s">
        <v>80</v>
      </c>
      <c r="C31" s="33" t="n">
        <f aca="false">1/POWER(1+$B$9,C30)</f>
        <v>0.949157995752499</v>
      </c>
      <c r="D31" s="33" t="n">
        <f aca="false">1/POWER(1+$B$9,D30)</f>
        <v>0.85509729347072</v>
      </c>
      <c r="E31" s="33" t="n">
        <f aca="false">1/POWER(1+$B$9,E30)</f>
        <v>0.770357922045693</v>
      </c>
      <c r="F31" s="33" t="n">
        <f aca="false">1/POWER(1+$B$9,F30)</f>
        <v>0.694016145987111</v>
      </c>
      <c r="G31" s="33" t="n">
        <f aca="false">1/POWER(1+$B$9,G30)</f>
        <v>0.62523977115956</v>
      </c>
    </row>
    <row r="32" customFormat="false" ht="15" hidden="false" customHeight="false" outlineLevel="0" collapsed="false">
      <c r="A32" s="24" t="s">
        <v>81</v>
      </c>
      <c r="C32" s="25" t="n">
        <f aca="false">C27*C31</f>
        <v>170562.916754305</v>
      </c>
      <c r="D32" s="25" t="n">
        <f aca="false">D27*D31</f>
        <v>206469.787066223</v>
      </c>
      <c r="E32" s="25" t="n">
        <f aca="false">E27*E31</f>
        <v>214952.941268617</v>
      </c>
      <c r="F32" s="25" t="n">
        <f aca="false">F27*F31</f>
        <v>211356.46479499</v>
      </c>
      <c r="G32" s="25" t="n">
        <f aca="false">G27*G31</f>
        <v>199710.250792428</v>
      </c>
    </row>
    <row r="34" customFormat="false" ht="15" hidden="false" customHeight="false" outlineLevel="0" collapsed="false">
      <c r="A34" s="12" t="s">
        <v>82</v>
      </c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4" t="s">
        <v>83</v>
      </c>
      <c r="B35" s="20" t="n">
        <v>0.44</v>
      </c>
      <c r="C35" s="16" t="s">
        <v>154</v>
      </c>
    </row>
    <row r="36" customFormat="false" ht="15" hidden="false" customHeight="false" outlineLevel="0" collapsed="false">
      <c r="A36" s="14" t="s">
        <v>85</v>
      </c>
      <c r="B36" s="28" t="n">
        <f aca="false">G15*(1+$B$10)*B35</f>
        <v>325130.714619347</v>
      </c>
    </row>
    <row r="37" customFormat="false" ht="15" hidden="false" customHeight="false" outlineLevel="0" collapsed="false">
      <c r="A37" s="14" t="s">
        <v>86</v>
      </c>
      <c r="B37" s="28" t="n">
        <f aca="false">B36/($B$9-$B$10)</f>
        <v>4335076.19492463</v>
      </c>
    </row>
    <row r="38" customFormat="false" ht="15" hidden="false" customHeight="false" outlineLevel="0" collapsed="false">
      <c r="A38" s="14" t="s">
        <v>87</v>
      </c>
      <c r="B38" s="28" t="n">
        <f aca="false">B37*G31</f>
        <v>2710462.04807393</v>
      </c>
    </row>
    <row r="39" customFormat="false" ht="15" hidden="false" customHeight="false" outlineLevel="0" collapsed="false">
      <c r="A39" s="14" t="s">
        <v>88</v>
      </c>
      <c r="B39" s="34" t="n">
        <f aca="false">B37/G27</f>
        <v>13.5719725818736</v>
      </c>
    </row>
    <row r="41" customFormat="false" ht="15" hidden="false" customHeight="false" outlineLevel="0" collapsed="false">
      <c r="A41" s="12" t="s">
        <v>89</v>
      </c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4" t="s">
        <v>90</v>
      </c>
      <c r="B42" s="28" t="n">
        <f aca="false">SUM(C32:G32)</f>
        <v>1003052.36067656</v>
      </c>
    </row>
    <row r="43" customFormat="false" ht="15" hidden="false" customHeight="false" outlineLevel="0" collapsed="false">
      <c r="A43" s="14" t="s">
        <v>87</v>
      </c>
      <c r="B43" s="28" t="n">
        <f aca="false">B38</f>
        <v>2710462.04807393</v>
      </c>
    </row>
    <row r="44" customFormat="false" ht="15" hidden="false" customHeight="false" outlineLevel="0" collapsed="false">
      <c r="A44" s="24" t="s">
        <v>91</v>
      </c>
      <c r="B44" s="25" t="n">
        <f aca="false">B42+B43</f>
        <v>3713514.40875049</v>
      </c>
    </row>
    <row r="45" customFormat="false" ht="15" hidden="false" customHeight="false" outlineLevel="0" collapsed="false">
      <c r="A45" s="14" t="s">
        <v>92</v>
      </c>
      <c r="B45" s="30" t="n">
        <f aca="false">B43/B44</f>
        <v>0.729891350815018</v>
      </c>
    </row>
    <row r="46" customFormat="false" ht="15" hidden="false" customHeight="false" outlineLevel="0" collapsed="false">
      <c r="A46" s="14" t="s">
        <v>93</v>
      </c>
      <c r="B46" s="28" t="n">
        <f aca="false">B7</f>
        <v>41900</v>
      </c>
    </row>
    <row r="47" customFormat="false" ht="15" hidden="false" customHeight="false" outlineLevel="0" collapsed="false">
      <c r="A47" s="24" t="s">
        <v>94</v>
      </c>
      <c r="B47" s="25" t="n">
        <f aca="false">B44+B46</f>
        <v>3755414.40875049</v>
      </c>
    </row>
    <row r="48" customFormat="false" ht="15" hidden="false" customHeight="false" outlineLevel="0" collapsed="false">
      <c r="A48" s="24" t="s">
        <v>95</v>
      </c>
      <c r="B48" s="35" t="n">
        <f aca="false">B47*$B$11/B6</f>
        <v>153.910426588135</v>
      </c>
    </row>
    <row r="49" customFormat="false" ht="15" hidden="false" customHeight="false" outlineLevel="0" collapsed="false">
      <c r="A49" s="14" t="s">
        <v>45</v>
      </c>
      <c r="B49" s="36" t="n">
        <f aca="false">B5</f>
        <v>210.24</v>
      </c>
    </row>
    <row r="50" customFormat="false" ht="15" hidden="false" customHeight="false" outlineLevel="0" collapsed="false">
      <c r="A50" s="24" t="s">
        <v>96</v>
      </c>
      <c r="B50" s="37" t="n">
        <f aca="false">B48/B49-1</f>
        <v>-0.267929858313666</v>
      </c>
    </row>
    <row r="52" customFormat="false" ht="15" hidden="false" customHeight="false" outlineLevel="0" collapsed="false">
      <c r="A52" s="12" t="s">
        <v>97</v>
      </c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B53" s="23" t="s">
        <v>98</v>
      </c>
      <c r="C53" s="38" t="n">
        <f aca="false">$B$10+-0.01</f>
        <v>0.025</v>
      </c>
      <c r="D53" s="38" t="n">
        <f aca="false">$B$10+-0.005</f>
        <v>0.03</v>
      </c>
      <c r="E53" s="38" t="n">
        <f aca="false">$B$10</f>
        <v>0.035</v>
      </c>
      <c r="F53" s="38" t="n">
        <f aca="false">$B$10+0.005</f>
        <v>0.04</v>
      </c>
      <c r="G53" s="38" t="n">
        <f aca="false">$B$10+0.01</f>
        <v>0.045</v>
      </c>
    </row>
    <row r="54" customFormat="false" ht="15" hidden="false" customHeight="false" outlineLevel="0" collapsed="false">
      <c r="B54" s="39" t="n">
        <f aca="false">$B$9+-0.01</f>
        <v>0.1</v>
      </c>
      <c r="C54" s="40" t="n">
        <f aca="false">(SUMPRODUCT($C$27:$G$27,1/POWER(1+$B54,$C$30:$G$30))+$G$15*(1+C$53)*$B$35/($B54-C$53)/POWER(1+$B54,$G$30)+$B$7)*$B$11/$B$6</f>
        <v>158.377647668699</v>
      </c>
      <c r="D54" s="40" t="n">
        <f aca="false">(SUMPRODUCT($C$27:$G$27,1/POWER(1+$B54,$C$30:$G$30))+$G$15*(1+D$53)*$B$35/($B54-D$53)/POWER(1+$B54,$G$30)+$B$7)*$B$11/$B$6</f>
        <v>167.161077280875</v>
      </c>
      <c r="E54" s="40" t="n">
        <f aca="false">(SUMPRODUCT($C$27:$G$27,1/POWER(1+$B54,$C$30:$G$30))+$G$15*(1+E$53)*$B$35/($B54-E$53)/POWER(1+$B54,$G$30)+$B$7)*$B$11/$B$6</f>
        <v>177.295803756461</v>
      </c>
      <c r="F54" s="40" t="n">
        <f aca="false">(SUMPRODUCT($C$27:$G$27,1/POWER(1+$B54,$C$30:$G$30))+$G$15*(1+F$53)*$B$35/($B54-F$53)/POWER(1+$B54,$G$30)+$B$7)*$B$11/$B$6</f>
        <v>189.119651311313</v>
      </c>
      <c r="G54" s="40" t="n">
        <f aca="false">(SUMPRODUCT($C$27:$G$27,1/POWER(1+$B54,$C$30:$G$30))+$G$15*(1+G$53)*$B$35/($B54-G$53)/POWER(1+$B54,$G$30)+$B$7)*$B$11/$B$6</f>
        <v>203.093289330683</v>
      </c>
    </row>
    <row r="55" customFormat="false" ht="15" hidden="false" customHeight="false" outlineLevel="0" collapsed="false">
      <c r="B55" s="39" t="n">
        <f aca="false">$B$9+-0.005</f>
        <v>0.105</v>
      </c>
      <c r="C55" s="40" t="n">
        <f aca="false">(SUMPRODUCT($C$27:$G$27,1/POWER(1+$B55,$C$30:$G$30))+$G$15*(1+C$53)*$B$35/($B55-C$53)/POWER(1+$B55,$G$30)+$B$7)*$B$11/$B$6</f>
        <v>148.557416454358</v>
      </c>
      <c r="D55" s="40" t="n">
        <f aca="false">(SUMPRODUCT($C$27:$G$27,1/POWER(1+$B55,$C$30:$G$30))+$G$15*(1+D$53)*$B$35/($B55-D$53)/POWER(1+$B55,$G$30)+$B$7)*$B$11/$B$6</f>
        <v>156.121888169921</v>
      </c>
      <c r="E55" s="40" t="n">
        <f aca="false">(SUMPRODUCT($C$27:$G$27,1/POWER(1+$B55,$C$30:$G$30))+$G$15*(1+E$53)*$B$35/($B55-E$53)/POWER(1+$B55,$G$30)+$B$7)*$B$11/$B$6</f>
        <v>164.766998701993</v>
      </c>
      <c r="F55" s="40" t="n">
        <f aca="false">(SUMPRODUCT($C$27:$G$27,1/POWER(1+$B55,$C$30:$G$30))+$G$15*(1+F$53)*$B$35/($B55-F$53)/POWER(1+$B55,$G$30)+$B$7)*$B$11/$B$6</f>
        <v>174.742126238999</v>
      </c>
      <c r="G55" s="40" t="n">
        <f aca="false">(SUMPRODUCT($C$27:$G$27,1/POWER(1+$B55,$C$30:$G$30))+$G$15*(1+G$53)*$B$35/($B55-G$53)/POWER(1+$B55,$G$30)+$B$7)*$B$11/$B$6</f>
        <v>186.379775032173</v>
      </c>
    </row>
    <row r="56" customFormat="false" ht="15" hidden="false" customHeight="false" outlineLevel="0" collapsed="false">
      <c r="B56" s="39" t="n">
        <f aca="false">$B$9</f>
        <v>0.11</v>
      </c>
      <c r="C56" s="40" t="n">
        <f aca="false">(SUMPRODUCT($C$27:$G$27,1/POWER(1+$B56,$C$30:$G$30))+$G$15*(1+C$53)*$B$35/($B56-C$53)/POWER(1+$B56,$G$30)+$B$7)*$B$11/$B$6</f>
        <v>139.894648664255</v>
      </c>
      <c r="D56" s="40" t="n">
        <f aca="false">(SUMPRODUCT($C$27:$G$27,1/POWER(1+$B56,$C$30:$G$30))+$G$15*(1+D$53)*$B$35/($B56-D$53)/POWER(1+$B56,$G$30)+$B$7)*$B$11/$B$6</f>
        <v>146.464544566074</v>
      </c>
      <c r="E56" s="41" t="n">
        <f aca="false">(SUMPRODUCT($C$27:$G$27,1/POWER(1+$B56,$C$30:$G$30))+$G$15*(1+E$53)*$B$35/($B56-E$53)/POWER(1+$B56,$G$30)+$B$7)*$B$11/$B$6</f>
        <v>153.910426588135</v>
      </c>
      <c r="F56" s="40" t="n">
        <f aca="false">(SUMPRODUCT($C$27:$G$27,1/POWER(1+$B56,$C$30:$G$30))+$G$15*(1+F$53)*$B$35/($B56-F$53)/POWER(1+$B56,$G$30)+$B$7)*$B$11/$B$6</f>
        <v>162.420006041919</v>
      </c>
      <c r="G56" s="40" t="n">
        <f aca="false">(SUMPRODUCT($C$27:$G$27,1/POWER(1+$B56,$C$30:$G$30))+$G$15*(1+G$53)*$B$35/($B56-G$53)/POWER(1+$B56,$G$30)+$B$7)*$B$11/$B$6</f>
        <v>172.238751565516</v>
      </c>
    </row>
    <row r="57" customFormat="false" ht="15" hidden="false" customHeight="false" outlineLevel="0" collapsed="false">
      <c r="B57" s="39" t="n">
        <f aca="false">$B$9+0.005</f>
        <v>0.115</v>
      </c>
      <c r="C57" s="40" t="n">
        <f aca="false">(SUMPRODUCT($C$27:$G$27,1/POWER(1+$B57,$C$30:$G$30))+$G$15*(1+C$53)*$B$35/($B57-C$53)/POWER(1+$B57,$G$30)+$B$7)*$B$11/$B$6</f>
        <v>132.196398450764</v>
      </c>
      <c r="D57" s="40" t="n">
        <f aca="false">(SUMPRODUCT($C$27:$G$27,1/POWER(1+$B57,$C$30:$G$30))+$G$15*(1+D$53)*$B$35/($B57-D$53)/POWER(1+$B57,$G$30)+$B$7)*$B$11/$B$6</f>
        <v>137.945160803767</v>
      </c>
      <c r="E57" s="40" t="n">
        <f aca="false">(SUMPRODUCT($C$27:$G$27,1/POWER(1+$B57,$C$30:$G$30))+$G$15*(1+E$53)*$B$35/($B57-E$53)/POWER(1+$B57,$G$30)+$B$7)*$B$11/$B$6</f>
        <v>144.412518450895</v>
      </c>
      <c r="F57" s="40" t="n">
        <f aca="false">(SUMPRODUCT($C$27:$G$27,1/POWER(1+$B57,$C$30:$G$30))+$G$15*(1+F$53)*$B$35/($B57-F$53)/POWER(1+$B57,$G$30)+$B$7)*$B$11/$B$6</f>
        <v>151.742190450973</v>
      </c>
      <c r="G57" s="40" t="n">
        <f aca="false">(SUMPRODUCT($C$27:$G$27,1/POWER(1+$B57,$C$30:$G$30))+$G$15*(1+G$53)*$B$35/($B57-G$53)/POWER(1+$B57,$G$30)+$B$7)*$B$11/$B$6</f>
        <v>160.118958451063</v>
      </c>
    </row>
    <row r="58" customFormat="false" ht="15" hidden="false" customHeight="false" outlineLevel="0" collapsed="false">
      <c r="B58" s="39" t="n">
        <f aca="false">$B$9+0.01</f>
        <v>0.12</v>
      </c>
      <c r="C58" s="40" t="n">
        <f aca="false">(SUMPRODUCT($C$27:$G$27,1/POWER(1+$B58,$C$30:$G$30))+$G$15*(1+C$53)*$B$35/($B58-C$53)/POWER(1+$B58,$G$30)+$B$7)*$B$11/$B$6</f>
        <v>125.310340787656</v>
      </c>
      <c r="D58" s="40" t="n">
        <f aca="false">(SUMPRODUCT($C$27:$G$27,1/POWER(1+$B58,$C$30:$G$30))+$G$15*(1+D$53)*$B$35/($B58-D$53)/POWER(1+$B58,$G$30)+$B$7)*$B$11/$B$6</f>
        <v>130.374048539234</v>
      </c>
      <c r="E58" s="40" t="n">
        <f aca="false">(SUMPRODUCT($C$27:$G$27,1/POWER(1+$B58,$C$30:$G$30))+$G$15*(1+E$53)*$B$35/($B58-E$53)/POWER(1+$B58,$G$30)+$B$7)*$B$11/$B$6</f>
        <v>136.033486614527</v>
      </c>
      <c r="F58" s="40" t="n">
        <f aca="false">(SUMPRODUCT($C$27:$G$27,1/POWER(1+$B58,$C$30:$G$30))+$G$15*(1+F$53)*$B$35/($B58-F$53)/POWER(1+$B58,$G$30)+$B$7)*$B$11/$B$6</f>
        <v>142.400354449231</v>
      </c>
      <c r="G58" s="40" t="n">
        <f aca="false">(SUMPRODUCT($C$27:$G$27,1/POWER(1+$B58,$C$30:$G$30))+$G$15*(1+G$53)*$B$35/($B58-G$53)/POWER(1+$B58,$G$30)+$B$7)*$B$11/$B$6</f>
        <v>149.616137995229</v>
      </c>
    </row>
    <row r="60" customFormat="false" ht="15" hidden="false" customHeight="false" outlineLevel="0" collapsed="false">
      <c r="A60" s="12" t="s">
        <v>99</v>
      </c>
      <c r="B60" s="13"/>
      <c r="C60" s="13"/>
      <c r="D60" s="13"/>
      <c r="E60" s="13"/>
      <c r="F60" s="13"/>
      <c r="G60" s="13"/>
    </row>
    <row r="61" customFormat="false" ht="48" hidden="false" customHeight="true" outlineLevel="0" collapsed="false">
      <c r="A61" s="42" t="s">
        <v>155</v>
      </c>
      <c r="B61" s="42"/>
      <c r="C61" s="42"/>
      <c r="D61" s="42"/>
      <c r="E61" s="42"/>
      <c r="F61" s="42"/>
      <c r="G61" s="42"/>
    </row>
    <row r="62" customFormat="false" ht="36" hidden="false" customHeight="true" outlineLevel="0" collapsed="false">
      <c r="A62" s="42" t="s">
        <v>156</v>
      </c>
      <c r="B62" s="42"/>
      <c r="C62" s="42"/>
      <c r="D62" s="42"/>
      <c r="E62" s="42"/>
      <c r="F62" s="42"/>
      <c r="G62" s="42"/>
    </row>
    <row r="63" customFormat="false" ht="24" hidden="false" customHeight="true" outlineLevel="0" collapsed="false">
      <c r="A63" s="42" t="s">
        <v>157</v>
      </c>
      <c r="B63" s="42"/>
      <c r="C63" s="42"/>
      <c r="D63" s="42"/>
      <c r="E63" s="42"/>
      <c r="F63" s="42"/>
      <c r="G63" s="42"/>
    </row>
    <row r="64" customFormat="false" ht="36" hidden="false" customHeight="true" outlineLevel="0" collapsed="false">
      <c r="A64" s="42" t="s">
        <v>158</v>
      </c>
      <c r="B64" s="42"/>
      <c r="C64" s="42"/>
      <c r="D64" s="42"/>
      <c r="E64" s="42"/>
      <c r="F64" s="42"/>
      <c r="G64" s="42"/>
    </row>
    <row r="65" customFormat="false" ht="24" hidden="false" customHeight="true" outlineLevel="0" collapsed="false">
      <c r="A65" s="42" t="s">
        <v>159</v>
      </c>
      <c r="B65" s="42"/>
      <c r="C65" s="42"/>
      <c r="D65" s="42"/>
      <c r="E65" s="42"/>
      <c r="F65" s="42"/>
      <c r="G65" s="42"/>
    </row>
  </sheetData>
  <mergeCells count="5">
    <mergeCell ref="A61:G61"/>
    <mergeCell ref="A62:G62"/>
    <mergeCell ref="A63:G63"/>
    <mergeCell ref="A64:G64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4" customFormat="false" ht="15" hidden="false" customHeight="false" outlineLevel="0" collapsed="false">
      <c r="A4" s="12" t="s">
        <v>44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45</v>
      </c>
      <c r="B5" s="15" t="n">
        <v>473.25</v>
      </c>
      <c r="C5" s="16" t="s">
        <v>162</v>
      </c>
    </row>
    <row r="6" customFormat="false" ht="15" hidden="false" customHeight="false" outlineLevel="0" collapsed="false">
      <c r="A6" s="14" t="s">
        <v>47</v>
      </c>
      <c r="B6" s="17" t="n">
        <v>1670</v>
      </c>
      <c r="C6" s="16" t="s">
        <v>163</v>
      </c>
    </row>
    <row r="7" customFormat="false" ht="15" hidden="false" customHeight="false" outlineLevel="0" collapsed="false">
      <c r="A7" s="14" t="s">
        <v>49</v>
      </c>
      <c r="B7" s="18" t="n">
        <v>9900</v>
      </c>
      <c r="C7" s="16" t="s">
        <v>164</v>
      </c>
    </row>
    <row r="8" customFormat="false" ht="15" hidden="false" customHeight="false" outlineLevel="0" collapsed="false">
      <c r="A8" s="14" t="s">
        <v>51</v>
      </c>
      <c r="B8" s="19" t="n">
        <v>0.14</v>
      </c>
      <c r="C8" s="16" t="s">
        <v>165</v>
      </c>
    </row>
    <row r="9" customFormat="false" ht="15" hidden="false" customHeight="false" outlineLevel="0" collapsed="false">
      <c r="A9" s="14" t="s">
        <v>53</v>
      </c>
      <c r="B9" s="20" t="n">
        <v>0.115</v>
      </c>
    </row>
    <row r="10" customFormat="false" ht="15" hidden="false" customHeight="false" outlineLevel="0" collapsed="false">
      <c r="A10" s="14" t="s">
        <v>54</v>
      </c>
      <c r="B10" s="20" t="n">
        <v>0.035</v>
      </c>
    </row>
    <row r="11" customFormat="false" ht="15" hidden="false" customHeight="false" outlineLevel="0" collapsed="false">
      <c r="A11" s="14" t="s">
        <v>55</v>
      </c>
      <c r="B11" s="21" t="n">
        <v>1</v>
      </c>
      <c r="C11" s="16" t="s">
        <v>56</v>
      </c>
    </row>
    <row r="13" customFormat="false" ht="15" hidden="false" customHeight="false" outlineLevel="0" collapsed="false">
      <c r="A13" s="12" t="s">
        <v>57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22" t="s">
        <v>58</v>
      </c>
      <c r="B14" s="23" t="s">
        <v>136</v>
      </c>
      <c r="C14" s="23" t="s">
        <v>137</v>
      </c>
      <c r="D14" s="23" t="s">
        <v>138</v>
      </c>
      <c r="E14" s="23" t="s">
        <v>139</v>
      </c>
      <c r="F14" s="23" t="s">
        <v>140</v>
      </c>
      <c r="G14" s="23" t="s">
        <v>141</v>
      </c>
    </row>
    <row r="15" customFormat="false" ht="15" hidden="false" customHeight="false" outlineLevel="0" collapsed="false">
      <c r="A15" s="24" t="s">
        <v>65</v>
      </c>
      <c r="B15" s="18" t="n">
        <v>34600</v>
      </c>
      <c r="C15" s="25" t="n">
        <f aca="false">B15*(1+C16)</f>
        <v>49478</v>
      </c>
      <c r="D15" s="25" t="n">
        <f aca="false">C15*(1+D16)</f>
        <v>68279.64</v>
      </c>
      <c r="E15" s="25" t="n">
        <f aca="false">D15*(1+E16)</f>
        <v>91494.7176</v>
      </c>
      <c r="F15" s="25" t="n">
        <f aca="false">E15*(1+F16)</f>
        <v>117113.238528</v>
      </c>
      <c r="G15" s="25" t="n">
        <f aca="false">F15*(1+G16)</f>
        <v>142878.15100416</v>
      </c>
    </row>
    <row r="16" customFormat="false" ht="15" hidden="false" customHeight="false" outlineLevel="0" collapsed="false">
      <c r="A16" s="14" t="s">
        <v>66</v>
      </c>
      <c r="B16" s="26" t="n">
        <v>0.34</v>
      </c>
      <c r="C16" s="20" t="n">
        <v>0.43</v>
      </c>
      <c r="D16" s="20" t="n">
        <v>0.38</v>
      </c>
      <c r="E16" s="20" t="n">
        <v>0.34</v>
      </c>
      <c r="F16" s="20" t="n">
        <v>0.28</v>
      </c>
      <c r="G16" s="20" t="n">
        <v>0.22</v>
      </c>
    </row>
    <row r="17" customFormat="false" ht="15" hidden="false" customHeight="false" outlineLevel="0" collapsed="false">
      <c r="A17" s="14" t="s">
        <v>67</v>
      </c>
      <c r="B17" s="26" t="n">
        <v>0.18</v>
      </c>
      <c r="C17" s="20" t="n">
        <v>0.225</v>
      </c>
      <c r="D17" s="20" t="n">
        <v>0.25</v>
      </c>
      <c r="E17" s="20" t="n">
        <v>0.275</v>
      </c>
      <c r="F17" s="20" t="n">
        <v>0.295</v>
      </c>
      <c r="G17" s="20" t="n">
        <v>0.31</v>
      </c>
    </row>
    <row r="18" customFormat="false" ht="15" hidden="false" customHeight="false" outlineLevel="0" collapsed="false">
      <c r="A18" s="14" t="s">
        <v>68</v>
      </c>
      <c r="B18" s="27" t="n">
        <f aca="false">B15*B17</f>
        <v>6228</v>
      </c>
      <c r="C18" s="28" t="n">
        <f aca="false">C15*C17</f>
        <v>11132.55</v>
      </c>
      <c r="D18" s="28" t="n">
        <f aca="false">D15*D17</f>
        <v>17069.91</v>
      </c>
      <c r="E18" s="28" t="n">
        <f aca="false">E15*E17</f>
        <v>25161.04734</v>
      </c>
      <c r="F18" s="28" t="n">
        <f aca="false">F15*F17</f>
        <v>34548.40536576</v>
      </c>
      <c r="G18" s="28" t="n">
        <f aca="false">G15*G17</f>
        <v>44292.2268112896</v>
      </c>
    </row>
    <row r="19" customFormat="false" ht="15" hidden="false" customHeight="false" outlineLevel="0" collapsed="false">
      <c r="A19" s="14" t="s">
        <v>69</v>
      </c>
      <c r="C19" s="28" t="n">
        <f aca="false">-C18*$B$8</f>
        <v>-1558.557</v>
      </c>
      <c r="D19" s="28" t="n">
        <f aca="false">-D18*$B$8</f>
        <v>-2389.7874</v>
      </c>
      <c r="E19" s="28" t="n">
        <f aca="false">-E18*$B$8</f>
        <v>-3522.5466276</v>
      </c>
      <c r="F19" s="28" t="n">
        <f aca="false">-F18*$B$8</f>
        <v>-4836.7767512064</v>
      </c>
      <c r="G19" s="28" t="n">
        <f aca="false">-G18*$B$8</f>
        <v>-6200.91175358054</v>
      </c>
    </row>
    <row r="20" customFormat="false" ht="15" hidden="false" customHeight="false" outlineLevel="0" collapsed="false">
      <c r="A20" s="14" t="s">
        <v>70</v>
      </c>
      <c r="C20" s="28" t="n">
        <f aca="false">C18+C19</f>
        <v>9573.993</v>
      </c>
      <c r="D20" s="28" t="n">
        <f aca="false">D18+D19</f>
        <v>14680.1226</v>
      </c>
      <c r="E20" s="28" t="n">
        <f aca="false">E18+E19</f>
        <v>21638.5007124</v>
      </c>
      <c r="F20" s="28" t="n">
        <f aca="false">F18+F19</f>
        <v>29711.6286145536</v>
      </c>
      <c r="G20" s="28" t="n">
        <f aca="false">G18+G19</f>
        <v>38091.3150577091</v>
      </c>
    </row>
    <row r="21" customFormat="false" ht="15" hidden="false" customHeight="false" outlineLevel="0" collapsed="false">
      <c r="A21" s="14" t="s">
        <v>71</v>
      </c>
      <c r="C21" s="19" t="n">
        <v>0.03</v>
      </c>
      <c r="D21" s="19" t="n">
        <v>0.03</v>
      </c>
      <c r="E21" s="19" t="n">
        <v>0.03</v>
      </c>
      <c r="F21" s="19" t="n">
        <v>0.03</v>
      </c>
      <c r="G21" s="19" t="n">
        <v>0.03</v>
      </c>
    </row>
    <row r="22" customFormat="false" ht="15" hidden="false" customHeight="false" outlineLevel="0" collapsed="false">
      <c r="A22" s="14" t="s">
        <v>72</v>
      </c>
      <c r="C22" s="28" t="n">
        <f aca="false">C15*C21</f>
        <v>1484.34</v>
      </c>
      <c r="D22" s="28" t="n">
        <f aca="false">D15*D21</f>
        <v>2048.3892</v>
      </c>
      <c r="E22" s="28" t="n">
        <f aca="false">E15*E21</f>
        <v>2744.841528</v>
      </c>
      <c r="F22" s="28" t="n">
        <f aca="false">F15*F21</f>
        <v>3513.39715584</v>
      </c>
      <c r="G22" s="28" t="n">
        <f aca="false">G15*G21</f>
        <v>4286.3445301248</v>
      </c>
    </row>
    <row r="23" customFormat="false" ht="15" hidden="false" customHeight="false" outlineLevel="0" collapsed="false">
      <c r="A23" s="14" t="s">
        <v>73</v>
      </c>
      <c r="C23" s="19" t="n">
        <v>0.035</v>
      </c>
      <c r="D23" s="19" t="n">
        <v>0.035</v>
      </c>
      <c r="E23" s="19" t="n">
        <v>0.035</v>
      </c>
      <c r="F23" s="19" t="n">
        <v>0.035</v>
      </c>
      <c r="G23" s="19" t="n">
        <v>0.035</v>
      </c>
    </row>
    <row r="24" customFormat="false" ht="15" hidden="false" customHeight="false" outlineLevel="0" collapsed="false">
      <c r="A24" s="14" t="s">
        <v>74</v>
      </c>
      <c r="C24" s="28" t="n">
        <f aca="false">-C15*C23</f>
        <v>-1731.73</v>
      </c>
      <c r="D24" s="28" t="n">
        <f aca="false">-D15*D23</f>
        <v>-2389.7874</v>
      </c>
      <c r="E24" s="28" t="n">
        <f aca="false">-E15*E23</f>
        <v>-3202.315116</v>
      </c>
      <c r="F24" s="28" t="n">
        <f aca="false">-F15*F23</f>
        <v>-4098.96334848</v>
      </c>
      <c r="G24" s="28" t="n">
        <f aca="false">-G15*G23</f>
        <v>-5000.7352851456</v>
      </c>
    </row>
    <row r="25" customFormat="false" ht="15" hidden="false" customHeight="false" outlineLevel="0" collapsed="false">
      <c r="A25" s="14" t="s">
        <v>75</v>
      </c>
      <c r="C25" s="19" t="n">
        <v>0.12</v>
      </c>
      <c r="D25" s="19" t="n">
        <v>0.12</v>
      </c>
      <c r="E25" s="19" t="n">
        <v>0.12</v>
      </c>
      <c r="F25" s="19" t="n">
        <v>0.12</v>
      </c>
      <c r="G25" s="19" t="n">
        <v>0.12</v>
      </c>
    </row>
    <row r="26" customFormat="false" ht="15" hidden="false" customHeight="false" outlineLevel="0" collapsed="false">
      <c r="A26" s="14" t="s">
        <v>76</v>
      </c>
      <c r="C26" s="28" t="n">
        <f aca="false">-(C15-B15)*C25</f>
        <v>-1785.36</v>
      </c>
      <c r="D26" s="28" t="n">
        <f aca="false">-(D15-C15)*D25</f>
        <v>-2256.1968</v>
      </c>
      <c r="E26" s="28" t="n">
        <f aca="false">-(E15-D15)*E25</f>
        <v>-2785.809312</v>
      </c>
      <c r="F26" s="28" t="n">
        <f aca="false">-(F15-E15)*F25</f>
        <v>-3074.22251136</v>
      </c>
      <c r="G26" s="28" t="n">
        <f aca="false">-(G15-F15)*G25</f>
        <v>-3091.7894971392</v>
      </c>
    </row>
    <row r="27" customFormat="false" ht="15" hidden="false" customHeight="false" outlineLevel="0" collapsed="false">
      <c r="A27" s="24" t="s">
        <v>77</v>
      </c>
      <c r="C27" s="29" t="n">
        <f aca="false">C20+C22+C24+C26</f>
        <v>7541.243</v>
      </c>
      <c r="D27" s="29" t="n">
        <f aca="false">D20+D22+D24+D26</f>
        <v>12082.5276</v>
      </c>
      <c r="E27" s="29" t="n">
        <f aca="false">E20+E22+E24+E26</f>
        <v>18395.2178124</v>
      </c>
      <c r="F27" s="29" t="n">
        <f aca="false">F20+F22+F24+F26</f>
        <v>26051.8399105536</v>
      </c>
      <c r="G27" s="29" t="n">
        <f aca="false">G20+G22+G24+G26</f>
        <v>34285.1348055491</v>
      </c>
    </row>
    <row r="28" customFormat="false" ht="15" hidden="false" customHeight="false" outlineLevel="0" collapsed="false">
      <c r="A28" s="14" t="s">
        <v>78</v>
      </c>
      <c r="C28" s="30" t="n">
        <f aca="false">C27/C15</f>
        <v>0.152416083916084</v>
      </c>
      <c r="D28" s="30" t="n">
        <f aca="false">D27/D15</f>
        <v>0.17695652173913</v>
      </c>
      <c r="E28" s="30" t="n">
        <f aca="false">E27/E15</f>
        <v>0.20105223880597</v>
      </c>
      <c r="F28" s="30" t="n">
        <f aca="false">F27/F15</f>
        <v>0.22245</v>
      </c>
      <c r="G28" s="30" t="n">
        <f aca="false">G27/G15</f>
        <v>0.239960655737705</v>
      </c>
    </row>
    <row r="30" customFormat="false" ht="15" hidden="false" customHeight="false" outlineLevel="0" collapsed="false">
      <c r="A30" s="14" t="s">
        <v>79</v>
      </c>
      <c r="C30" s="31" t="n">
        <v>0.5</v>
      </c>
      <c r="D30" s="32" t="n">
        <f aca="false">C30+1</f>
        <v>1.5</v>
      </c>
      <c r="E30" s="32" t="n">
        <f aca="false">D30+1</f>
        <v>2.5</v>
      </c>
      <c r="F30" s="32" t="n">
        <f aca="false">E30+1</f>
        <v>3.5</v>
      </c>
      <c r="G30" s="32" t="n">
        <f aca="false">F30+1</f>
        <v>4.5</v>
      </c>
    </row>
    <row r="31" customFormat="false" ht="15" hidden="false" customHeight="false" outlineLevel="0" collapsed="false">
      <c r="A31" s="14" t="s">
        <v>80</v>
      </c>
      <c r="C31" s="33" t="n">
        <f aca="false">1/POWER(1+$B$9,C30)</f>
        <v>0.947027447620757</v>
      </c>
      <c r="D31" s="33" t="n">
        <f aca="false">1/POWER(1+$B$9,D30)</f>
        <v>0.84935197096032</v>
      </c>
      <c r="E31" s="33" t="n">
        <f aca="false">1/POWER(1+$B$9,E30)</f>
        <v>0.761750646601184</v>
      </c>
      <c r="F31" s="33" t="n">
        <f aca="false">1/POWER(1+$B$9,F30)</f>
        <v>0.683184436413618</v>
      </c>
      <c r="G31" s="33" t="n">
        <f aca="false">1/POWER(1+$B$9,G30)</f>
        <v>0.612721467635532</v>
      </c>
    </row>
    <row r="32" customFormat="false" ht="15" hidden="false" customHeight="false" outlineLevel="0" collapsed="false">
      <c r="A32" s="24" t="s">
        <v>81</v>
      </c>
      <c r="C32" s="25" t="n">
        <f aca="false">C27*C31</f>
        <v>7141.7641101779</v>
      </c>
      <c r="D32" s="25" t="n">
        <f aca="false">D27*D31</f>
        <v>10262.3186312425</v>
      </c>
      <c r="E32" s="25" t="n">
        <f aca="false">E27*E31</f>
        <v>14012.5690629653</v>
      </c>
      <c r="F32" s="25" t="n">
        <f aca="false">F27*F31</f>
        <v>17798.2115668294</v>
      </c>
      <c r="G32" s="25" t="n">
        <f aca="false">G27*G31</f>
        <v>21007.2381161381</v>
      </c>
    </row>
    <row r="34" customFormat="false" ht="15" hidden="false" customHeight="false" outlineLevel="0" collapsed="false">
      <c r="A34" s="12" t="s">
        <v>82</v>
      </c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4" t="s">
        <v>83</v>
      </c>
      <c r="B35" s="20" t="n">
        <v>0.26</v>
      </c>
      <c r="C35" s="16" t="s">
        <v>166</v>
      </c>
    </row>
    <row r="36" customFormat="false" ht="15" hidden="false" customHeight="false" outlineLevel="0" collapsed="false">
      <c r="A36" s="14" t="s">
        <v>85</v>
      </c>
      <c r="B36" s="28" t="n">
        <f aca="false">G15*(1+$B$10)*B35</f>
        <v>38448.5104352195</v>
      </c>
    </row>
    <row r="37" customFormat="false" ht="15" hidden="false" customHeight="false" outlineLevel="0" collapsed="false">
      <c r="A37" s="14" t="s">
        <v>86</v>
      </c>
      <c r="B37" s="28" t="n">
        <f aca="false">B36/($B$9-$B$10)</f>
        <v>480606.380440243</v>
      </c>
    </row>
    <row r="38" customFormat="false" ht="15" hidden="false" customHeight="false" outlineLevel="0" collapsed="false">
      <c r="A38" s="14" t="s">
        <v>87</v>
      </c>
      <c r="B38" s="28" t="n">
        <f aca="false">B37*G31</f>
        <v>294477.846778347</v>
      </c>
    </row>
    <row r="39" customFormat="false" ht="15" hidden="false" customHeight="false" outlineLevel="0" collapsed="false">
      <c r="A39" s="14" t="s">
        <v>88</v>
      </c>
      <c r="B39" s="34" t="n">
        <f aca="false">B37/G27</f>
        <v>14.0179230201672</v>
      </c>
    </row>
    <row r="41" customFormat="false" ht="15" hidden="false" customHeight="false" outlineLevel="0" collapsed="false">
      <c r="A41" s="12" t="s">
        <v>89</v>
      </c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4" t="s">
        <v>90</v>
      </c>
      <c r="B42" s="28" t="n">
        <f aca="false">SUM(C32:G32)</f>
        <v>70222.1014873531</v>
      </c>
    </row>
    <row r="43" customFormat="false" ht="15" hidden="false" customHeight="false" outlineLevel="0" collapsed="false">
      <c r="A43" s="14" t="s">
        <v>87</v>
      </c>
      <c r="B43" s="28" t="n">
        <f aca="false">B38</f>
        <v>294477.846778347</v>
      </c>
    </row>
    <row r="44" customFormat="false" ht="15" hidden="false" customHeight="false" outlineLevel="0" collapsed="false">
      <c r="A44" s="24" t="s">
        <v>91</v>
      </c>
      <c r="B44" s="25" t="n">
        <f aca="false">B42+B43</f>
        <v>364699.9482657</v>
      </c>
    </row>
    <row r="45" customFormat="false" ht="15" hidden="false" customHeight="false" outlineLevel="0" collapsed="false">
      <c r="A45" s="14" t="s">
        <v>92</v>
      </c>
      <c r="B45" s="30" t="n">
        <f aca="false">B43/B44</f>
        <v>0.807452395260025</v>
      </c>
    </row>
    <row r="46" customFormat="false" ht="15" hidden="false" customHeight="false" outlineLevel="0" collapsed="false">
      <c r="A46" s="14" t="s">
        <v>93</v>
      </c>
      <c r="B46" s="28" t="n">
        <f aca="false">B7</f>
        <v>9900</v>
      </c>
    </row>
    <row r="47" customFormat="false" ht="15" hidden="false" customHeight="false" outlineLevel="0" collapsed="false">
      <c r="A47" s="24" t="s">
        <v>94</v>
      </c>
      <c r="B47" s="25" t="n">
        <f aca="false">B44+B46</f>
        <v>374599.9482657</v>
      </c>
    </row>
    <row r="48" customFormat="false" ht="15" hidden="false" customHeight="false" outlineLevel="0" collapsed="false">
      <c r="A48" s="24" t="s">
        <v>95</v>
      </c>
      <c r="B48" s="35" t="n">
        <f aca="false">B47*$B$11/B6</f>
        <v>224.311346266886</v>
      </c>
    </row>
    <row r="49" customFormat="false" ht="15" hidden="false" customHeight="false" outlineLevel="0" collapsed="false">
      <c r="A49" s="14" t="s">
        <v>45</v>
      </c>
      <c r="B49" s="36" t="n">
        <f aca="false">B5</f>
        <v>473.25</v>
      </c>
    </row>
    <row r="50" customFormat="false" ht="15" hidden="false" customHeight="false" outlineLevel="0" collapsed="false">
      <c r="A50" s="24" t="s">
        <v>96</v>
      </c>
      <c r="B50" s="37" t="n">
        <f aca="false">B48/B49-1</f>
        <v>-0.526019342278107</v>
      </c>
    </row>
    <row r="52" customFormat="false" ht="15" hidden="false" customHeight="false" outlineLevel="0" collapsed="false">
      <c r="A52" s="12" t="s">
        <v>97</v>
      </c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B53" s="23" t="s">
        <v>98</v>
      </c>
      <c r="C53" s="38" t="n">
        <f aca="false">$B$10+-0.01</f>
        <v>0.025</v>
      </c>
      <c r="D53" s="38" t="n">
        <f aca="false">$B$10+-0.005</f>
        <v>0.03</v>
      </c>
      <c r="E53" s="38" t="n">
        <f aca="false">$B$10</f>
        <v>0.035</v>
      </c>
      <c r="F53" s="38" t="n">
        <f aca="false">$B$10+0.005</f>
        <v>0.04</v>
      </c>
      <c r="G53" s="38" t="n">
        <f aca="false">$B$10+0.01</f>
        <v>0.045</v>
      </c>
    </row>
    <row r="54" customFormat="false" ht="15" hidden="false" customHeight="false" outlineLevel="0" collapsed="false">
      <c r="B54" s="39" t="n">
        <f aca="false">$B$9+-0.01</f>
        <v>0.105</v>
      </c>
      <c r="C54" s="40" t="n">
        <f aca="false">(SUMPRODUCT($C$27:$G$27,1/POWER(1+$B54,$C$30:$G$30))+$G$15*(1+C$53)*$B$35/($B54-C$53)/POWER(1+$B54,$G$30)+$B$7)*$B$11/$B$6</f>
        <v>230.988654250987</v>
      </c>
      <c r="D54" s="40" t="n">
        <f aca="false">(SUMPRODUCT($C$27:$G$27,1/POWER(1+$B54,$C$30:$G$30))+$G$15*(1+D$53)*$B$35/($B54-D$53)/POWER(1+$B54,$G$30)+$B$7)*$B$11/$B$6</f>
        <v>244.058590795307</v>
      </c>
      <c r="E54" s="40" t="n">
        <f aca="false">(SUMPRODUCT($C$27:$G$27,1/POWER(1+$B54,$C$30:$G$30))+$G$15*(1+E$53)*$B$35/($B54-E$53)/POWER(1+$B54,$G$30)+$B$7)*$B$11/$B$6</f>
        <v>258.995661131674</v>
      </c>
      <c r="F54" s="40" t="n">
        <f aca="false">(SUMPRODUCT($C$27:$G$27,1/POWER(1+$B54,$C$30:$G$30))+$G$15*(1+F$53)*$B$35/($B54-F$53)/POWER(1+$B54,$G$30)+$B$7)*$B$11/$B$6</f>
        <v>276.230742289019</v>
      </c>
      <c r="G54" s="40" t="n">
        <f aca="false">(SUMPRODUCT($C$27:$G$27,1/POWER(1+$B54,$C$30:$G$30))+$G$15*(1+G$53)*$B$35/($B54-G$53)/POWER(1+$B54,$G$30)+$B$7)*$B$11/$B$6</f>
        <v>296.338336972589</v>
      </c>
    </row>
    <row r="55" customFormat="false" ht="15" hidden="false" customHeight="false" outlineLevel="0" collapsed="false">
      <c r="B55" s="39" t="n">
        <f aca="false">$B$9+-0.005</f>
        <v>0.11</v>
      </c>
      <c r="C55" s="40" t="n">
        <f aca="false">(SUMPRODUCT($C$27:$G$27,1/POWER(1+$B55,$C$30:$G$30))+$G$15*(1+C$53)*$B$35/($B55-C$53)/POWER(1+$B55,$G$30)+$B$7)*$B$11/$B$6</f>
        <v>216.265178122231</v>
      </c>
      <c r="D55" s="40" t="n">
        <f aca="false">(SUMPRODUCT($C$27:$G$27,1/POWER(1+$B55,$C$30:$G$30))+$G$15*(1+D$53)*$B$35/($B55-D$53)/POWER(1+$B55,$G$30)+$B$7)*$B$11/$B$6</f>
        <v>227.616681012102</v>
      </c>
      <c r="E55" s="40" t="n">
        <f aca="false">(SUMPRODUCT($C$27:$G$27,1/POWER(1+$B55,$C$30:$G$30))+$G$15*(1+E$53)*$B$35/($B55-E$53)/POWER(1+$B55,$G$30)+$B$7)*$B$11/$B$6</f>
        <v>240.481717620622</v>
      </c>
      <c r="F55" s="40" t="n">
        <f aca="false">(SUMPRODUCT($C$27:$G$27,1/POWER(1+$B55,$C$30:$G$30))+$G$15*(1+F$53)*$B$35/($B55-F$53)/POWER(1+$B55,$G$30)+$B$7)*$B$11/$B$6</f>
        <v>255.184616601788</v>
      </c>
      <c r="G55" s="40" t="n">
        <f aca="false">(SUMPRODUCT($C$27:$G$27,1/POWER(1+$B55,$C$30:$G$30))+$G$15*(1+G$53)*$B$35/($B55-G$53)/POWER(1+$B55,$G$30)+$B$7)*$B$11/$B$6</f>
        <v>272.149500041595</v>
      </c>
    </row>
    <row r="56" customFormat="false" ht="15" hidden="false" customHeight="false" outlineLevel="0" collapsed="false">
      <c r="B56" s="39" t="n">
        <f aca="false">$B$9</f>
        <v>0.115</v>
      </c>
      <c r="C56" s="40" t="n">
        <f aca="false">(SUMPRODUCT($C$27:$G$27,1/POWER(1+$B56,$C$30:$G$30))+$G$15*(1+C$53)*$B$35/($B56-C$53)/POWER(1+$B56,$G$30)+$B$7)*$B$11/$B$6</f>
        <v>203.204265796082</v>
      </c>
      <c r="D56" s="40" t="n">
        <f aca="false">(SUMPRODUCT($C$27:$G$27,1/POWER(1+$B56,$C$30:$G$30))+$G$15*(1+D$53)*$B$35/($B56-D$53)/POWER(1+$B56,$G$30)+$B$7)*$B$11/$B$6</f>
        <v>213.137009547048</v>
      </c>
      <c r="E56" s="41" t="n">
        <f aca="false">(SUMPRODUCT($C$27:$G$27,1/POWER(1+$B56,$C$30:$G$30))+$G$15*(1+E$53)*$B$35/($B56-E$53)/POWER(1+$B56,$G$30)+$B$7)*$B$11/$B$6</f>
        <v>224.311346266886</v>
      </c>
      <c r="F56" s="40" t="n">
        <f aca="false">(SUMPRODUCT($C$27:$G$27,1/POWER(1+$B56,$C$30:$G$30))+$G$15*(1+F$53)*$B$35/($B56-F$53)/POWER(1+$B56,$G$30)+$B$7)*$B$11/$B$6</f>
        <v>236.975594549369</v>
      </c>
      <c r="G56" s="40" t="n">
        <f aca="false">(SUMPRODUCT($C$27:$G$27,1/POWER(1+$B56,$C$30:$G$30))+$G$15*(1+G$53)*$B$35/($B56-G$53)/POWER(1+$B56,$G$30)+$B$7)*$B$11/$B$6</f>
        <v>251.44902115792</v>
      </c>
    </row>
    <row r="57" customFormat="false" ht="15" hidden="false" customHeight="false" outlineLevel="0" collapsed="false">
      <c r="B57" s="39" t="n">
        <f aca="false">$B$9+0.005</f>
        <v>0.12</v>
      </c>
      <c r="C57" s="40" t="n">
        <f aca="false">(SUMPRODUCT($C$27:$G$27,1/POWER(1+$B57,$C$30:$G$30))+$G$15*(1+C$53)*$B$35/($B57-C$53)/POWER(1+$B57,$G$30)+$B$7)*$B$11/$B$6</f>
        <v>191.542815710851</v>
      </c>
      <c r="D57" s="40" t="n">
        <f aca="false">(SUMPRODUCT($C$27:$G$27,1/POWER(1+$B57,$C$30:$G$30))+$G$15*(1+D$53)*$B$35/($B57-D$53)/POWER(1+$B57,$G$30)+$B$7)*$B$11/$B$6</f>
        <v>200.291918289414</v>
      </c>
      <c r="E57" s="40" t="n">
        <f aca="false">(SUMPRODUCT($C$27:$G$27,1/POWER(1+$B57,$C$30:$G$30))+$G$15*(1+E$53)*$B$35/($B57-E$53)/POWER(1+$B57,$G$30)+$B$7)*$B$11/$B$6</f>
        <v>210.070327053691</v>
      </c>
      <c r="F57" s="40" t="n">
        <f aca="false">(SUMPRODUCT($C$27:$G$27,1/POWER(1+$B57,$C$30:$G$30))+$G$15*(1+F$53)*$B$35/($B57-F$53)/POWER(1+$B57,$G$30)+$B$7)*$B$11/$B$6</f>
        <v>221.071036913503</v>
      </c>
      <c r="G57" s="40" t="n">
        <f aca="false">(SUMPRODUCT($C$27:$G$27,1/POWER(1+$B57,$C$30:$G$30))+$G$15*(1+G$53)*$B$35/($B57-G$53)/POWER(1+$B57,$G$30)+$B$7)*$B$11/$B$6</f>
        <v>233.538508087956</v>
      </c>
    </row>
    <row r="58" customFormat="false" ht="15" hidden="false" customHeight="false" outlineLevel="0" collapsed="false">
      <c r="B58" s="39" t="n">
        <f aca="false">$B$9+0.01</f>
        <v>0.125</v>
      </c>
      <c r="C58" s="40" t="n">
        <f aca="false">(SUMPRODUCT($C$27:$G$27,1/POWER(1+$B58,$C$30:$G$30))+$G$15*(1+C$53)*$B$35/($B58-C$53)/POWER(1+$B58,$G$30)+$B$7)*$B$11/$B$6</f>
        <v>181.070362588688</v>
      </c>
      <c r="D58" s="40" t="n">
        <f aca="false">(SUMPRODUCT($C$27:$G$27,1/POWER(1+$B58,$C$30:$G$30))+$G$15*(1+D$53)*$B$35/($B58-D$53)/POWER(1+$B58,$G$30)+$B$7)*$B$11/$B$6</f>
        <v>188.822746447701</v>
      </c>
      <c r="E58" s="40" t="n">
        <f aca="false">(SUMPRODUCT($C$27:$G$27,1/POWER(1+$B58,$C$30:$G$30))+$G$15*(1+E$53)*$B$35/($B58-E$53)/POWER(1+$B58,$G$30)+$B$7)*$B$11/$B$6</f>
        <v>197.436506291049</v>
      </c>
      <c r="F58" s="40" t="n">
        <f aca="false">(SUMPRODUCT($C$27:$G$27,1/POWER(1+$B58,$C$30:$G$30))+$G$15*(1+F$53)*$B$35/($B58-F$53)/POWER(1+$B58,$G$30)+$B$7)*$B$11/$B$6</f>
        <v>207.06364964538</v>
      </c>
      <c r="G58" s="40" t="n">
        <f aca="false">(SUMPRODUCT($C$27:$G$27,1/POWER(1+$B58,$C$30:$G$30))+$G$15*(1+G$53)*$B$35/($B58-G$53)/POWER(1+$B58,$G$30)+$B$7)*$B$11/$B$6</f>
        <v>217.894185919001</v>
      </c>
    </row>
    <row r="60" customFormat="false" ht="15" hidden="false" customHeight="false" outlineLevel="0" collapsed="false">
      <c r="A60" s="12" t="s">
        <v>99</v>
      </c>
      <c r="B60" s="13"/>
      <c r="C60" s="13"/>
      <c r="D60" s="13"/>
      <c r="E60" s="13"/>
      <c r="F60" s="13"/>
      <c r="G60" s="13"/>
    </row>
    <row r="61" customFormat="false" ht="60" hidden="false" customHeight="true" outlineLevel="0" collapsed="false">
      <c r="A61" s="42" t="s">
        <v>167</v>
      </c>
      <c r="B61" s="42"/>
      <c r="C61" s="42"/>
      <c r="D61" s="42"/>
      <c r="E61" s="42"/>
      <c r="F61" s="42"/>
      <c r="G61" s="42"/>
    </row>
    <row r="62" customFormat="false" ht="24" hidden="false" customHeight="true" outlineLevel="0" collapsed="false">
      <c r="A62" s="42" t="s">
        <v>168</v>
      </c>
      <c r="B62" s="42"/>
      <c r="C62" s="42"/>
      <c r="D62" s="42"/>
      <c r="E62" s="42"/>
      <c r="F62" s="42"/>
      <c r="G62" s="42"/>
    </row>
    <row r="63" customFormat="false" ht="24" hidden="false" customHeight="true" outlineLevel="0" collapsed="false">
      <c r="A63" s="42" t="s">
        <v>169</v>
      </c>
      <c r="B63" s="42"/>
      <c r="C63" s="42"/>
      <c r="D63" s="42"/>
      <c r="E63" s="42"/>
      <c r="F63" s="42"/>
      <c r="G63" s="42"/>
    </row>
    <row r="64" customFormat="false" ht="36" hidden="false" customHeight="true" outlineLevel="0" collapsed="false">
      <c r="A64" s="42" t="s">
        <v>170</v>
      </c>
      <c r="B64" s="42"/>
      <c r="C64" s="42"/>
      <c r="D64" s="42"/>
      <c r="E64" s="42"/>
      <c r="F64" s="42"/>
      <c r="G64" s="42"/>
    </row>
    <row r="65" customFormat="false" ht="24" hidden="false" customHeight="true" outlineLevel="0" collapsed="false">
      <c r="A65" s="42" t="s">
        <v>171</v>
      </c>
      <c r="B65" s="42"/>
      <c r="C65" s="42"/>
      <c r="D65" s="42"/>
      <c r="E65" s="42"/>
      <c r="F65" s="42"/>
      <c r="G65" s="42"/>
    </row>
  </sheetData>
  <mergeCells count="5">
    <mergeCell ref="A61:G61"/>
    <mergeCell ref="A62:G62"/>
    <mergeCell ref="A63:G63"/>
    <mergeCell ref="A64:G64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4" customFormat="false" ht="15" hidden="false" customHeight="false" outlineLevel="0" collapsed="false">
      <c r="A4" s="12" t="s">
        <v>44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174</v>
      </c>
      <c r="B5" s="21" t="n">
        <v>1730000</v>
      </c>
      <c r="C5" s="16" t="s">
        <v>175</v>
      </c>
    </row>
    <row r="6" customFormat="false" ht="15" hidden="false" customHeight="false" outlineLevel="0" collapsed="false">
      <c r="A6" s="14" t="s">
        <v>47</v>
      </c>
      <c r="B6" s="17" t="n">
        <v>728.9</v>
      </c>
      <c r="C6" s="16" t="s">
        <v>176</v>
      </c>
    </row>
    <row r="7" customFormat="false" ht="15" hidden="false" customHeight="false" outlineLevel="0" collapsed="false">
      <c r="A7" s="14" t="s">
        <v>177</v>
      </c>
      <c r="B7" s="43" t="n">
        <v>69400</v>
      </c>
      <c r="C7" s="16" t="s">
        <v>178</v>
      </c>
    </row>
    <row r="8" customFormat="false" ht="15" hidden="false" customHeight="false" outlineLevel="0" collapsed="false">
      <c r="A8" s="14" t="s">
        <v>51</v>
      </c>
      <c r="B8" s="19" t="n">
        <v>0.22</v>
      </c>
      <c r="C8" s="16" t="s">
        <v>179</v>
      </c>
    </row>
    <row r="9" customFormat="false" ht="15" hidden="false" customHeight="false" outlineLevel="0" collapsed="false">
      <c r="A9" s="14" t="s">
        <v>53</v>
      </c>
      <c r="B9" s="20" t="n">
        <v>0.125</v>
      </c>
    </row>
    <row r="10" customFormat="false" ht="15" hidden="false" customHeight="false" outlineLevel="0" collapsed="false">
      <c r="A10" s="14" t="s">
        <v>54</v>
      </c>
      <c r="B10" s="20" t="n">
        <v>0.025</v>
      </c>
    </row>
    <row r="11" customFormat="false" ht="15" hidden="false" customHeight="false" outlineLevel="0" collapsed="false">
      <c r="A11" s="14" t="s">
        <v>180</v>
      </c>
      <c r="B11" s="21" t="n">
        <v>1000</v>
      </c>
      <c r="C11" s="16" t="s">
        <v>56</v>
      </c>
    </row>
    <row r="13" customFormat="false" ht="15" hidden="false" customHeight="false" outlineLevel="0" collapsed="false">
      <c r="A13" s="12" t="s">
        <v>57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22" t="s">
        <v>181</v>
      </c>
      <c r="B14" s="23" t="s">
        <v>136</v>
      </c>
      <c r="C14" s="23" t="s">
        <v>137</v>
      </c>
      <c r="D14" s="23" t="s">
        <v>138</v>
      </c>
      <c r="E14" s="23" t="s">
        <v>139</v>
      </c>
      <c r="F14" s="23" t="s">
        <v>140</v>
      </c>
      <c r="G14" s="23" t="s">
        <v>141</v>
      </c>
    </row>
    <row r="15" customFormat="false" ht="15" hidden="false" customHeight="false" outlineLevel="0" collapsed="false">
      <c r="A15" s="24" t="s">
        <v>65</v>
      </c>
      <c r="B15" s="43" t="n">
        <v>97150</v>
      </c>
      <c r="C15" s="44" t="n">
        <f aca="false">B15*(1+C16)</f>
        <v>316709</v>
      </c>
      <c r="D15" s="44" t="n">
        <f aca="false">C15*(1+D16)</f>
        <v>364215.35</v>
      </c>
      <c r="E15" s="44" t="n">
        <f aca="false">D15*(1+E16)</f>
        <v>291372.28</v>
      </c>
      <c r="F15" s="44" t="n">
        <f aca="false">E15*(1+F16)</f>
        <v>262235.052</v>
      </c>
      <c r="G15" s="44" t="n">
        <f aca="false">F15*(1+G16)</f>
        <v>293703.25824</v>
      </c>
    </row>
    <row r="16" customFormat="false" ht="15" hidden="false" customHeight="false" outlineLevel="0" collapsed="false">
      <c r="A16" s="14" t="s">
        <v>66</v>
      </c>
      <c r="B16" s="26" t="n">
        <v>0.468</v>
      </c>
      <c r="C16" s="20" t="n">
        <v>2.26</v>
      </c>
      <c r="D16" s="20" t="n">
        <v>0.15</v>
      </c>
      <c r="E16" s="20" t="n">
        <v>-0.2</v>
      </c>
      <c r="F16" s="20" t="n">
        <v>-0.1</v>
      </c>
      <c r="G16" s="20" t="n">
        <v>0.12</v>
      </c>
    </row>
    <row r="17" customFormat="false" ht="15" hidden="false" customHeight="false" outlineLevel="0" collapsed="false">
      <c r="A17" s="14" t="s">
        <v>67</v>
      </c>
      <c r="B17" s="26" t="n">
        <v>0.486</v>
      </c>
      <c r="C17" s="20" t="n">
        <v>0.74</v>
      </c>
      <c r="D17" s="20" t="n">
        <v>0.68</v>
      </c>
      <c r="E17" s="20" t="n">
        <v>0.48</v>
      </c>
      <c r="F17" s="20" t="n">
        <v>0.34</v>
      </c>
      <c r="G17" s="20" t="n">
        <v>0.44</v>
      </c>
    </row>
    <row r="18" customFormat="false" ht="15" hidden="false" customHeight="false" outlineLevel="0" collapsed="false">
      <c r="A18" s="14" t="s">
        <v>68</v>
      </c>
      <c r="B18" s="45" t="n">
        <f aca="false">B15*B17</f>
        <v>47214.9</v>
      </c>
      <c r="C18" s="46" t="n">
        <f aca="false">C15*C17</f>
        <v>234364.66</v>
      </c>
      <c r="D18" s="46" t="n">
        <f aca="false">D15*D17</f>
        <v>247666.438</v>
      </c>
      <c r="E18" s="46" t="n">
        <f aca="false">E15*E17</f>
        <v>139858.6944</v>
      </c>
      <c r="F18" s="46" t="n">
        <f aca="false">F15*F17</f>
        <v>89159.91768</v>
      </c>
      <c r="G18" s="46" t="n">
        <f aca="false">G15*G17</f>
        <v>129229.4336256</v>
      </c>
    </row>
    <row r="19" customFormat="false" ht="15" hidden="false" customHeight="false" outlineLevel="0" collapsed="false">
      <c r="A19" s="14" t="s">
        <v>69</v>
      </c>
      <c r="C19" s="46" t="n">
        <f aca="false">-C18*$B$8</f>
        <v>-51560.2252</v>
      </c>
      <c r="D19" s="46" t="n">
        <f aca="false">-D18*$B$8</f>
        <v>-54486.61636</v>
      </c>
      <c r="E19" s="46" t="n">
        <f aca="false">-E18*$B$8</f>
        <v>-30768.912768</v>
      </c>
      <c r="F19" s="46" t="n">
        <f aca="false">-F18*$B$8</f>
        <v>-19615.1818896</v>
      </c>
      <c r="G19" s="46" t="n">
        <f aca="false">-G18*$B$8</f>
        <v>-28430.475397632</v>
      </c>
    </row>
    <row r="20" customFormat="false" ht="15" hidden="false" customHeight="false" outlineLevel="0" collapsed="false">
      <c r="A20" s="14" t="s">
        <v>70</v>
      </c>
      <c r="C20" s="46" t="n">
        <f aca="false">C18+C19</f>
        <v>182804.4348</v>
      </c>
      <c r="D20" s="46" t="n">
        <f aca="false">D18+D19</f>
        <v>193179.82164</v>
      </c>
      <c r="E20" s="46" t="n">
        <f aca="false">E18+E19</f>
        <v>109089.781632</v>
      </c>
      <c r="F20" s="46" t="n">
        <f aca="false">F18+F19</f>
        <v>69544.7357904</v>
      </c>
      <c r="G20" s="46" t="n">
        <f aca="false">G18+G19</f>
        <v>100798.958227968</v>
      </c>
    </row>
    <row r="21" customFormat="false" ht="15" hidden="false" customHeight="false" outlineLevel="0" collapsed="false">
      <c r="A21" s="14" t="s">
        <v>71</v>
      </c>
      <c r="C21" s="19" t="n">
        <v>0.08</v>
      </c>
      <c r="D21" s="19" t="n">
        <v>0.1</v>
      </c>
      <c r="E21" s="19" t="n">
        <v>0.14</v>
      </c>
      <c r="F21" s="19" t="n">
        <v>0.16</v>
      </c>
      <c r="G21" s="19" t="n">
        <v>0.14</v>
      </c>
    </row>
    <row r="22" customFormat="false" ht="15" hidden="false" customHeight="false" outlineLevel="0" collapsed="false">
      <c r="A22" s="14" t="s">
        <v>72</v>
      </c>
      <c r="C22" s="46" t="n">
        <f aca="false">C15*C21</f>
        <v>25336.72</v>
      </c>
      <c r="D22" s="46" t="n">
        <f aca="false">D15*D21</f>
        <v>36421.535</v>
      </c>
      <c r="E22" s="46" t="n">
        <f aca="false">E15*E21</f>
        <v>40792.1192</v>
      </c>
      <c r="F22" s="46" t="n">
        <f aca="false">F15*F21</f>
        <v>41957.60832</v>
      </c>
      <c r="G22" s="46" t="n">
        <f aca="false">G15*G21</f>
        <v>41118.4561536</v>
      </c>
    </row>
    <row r="23" customFormat="false" ht="15" hidden="false" customHeight="false" outlineLevel="0" collapsed="false">
      <c r="A23" s="14" t="s">
        <v>73</v>
      </c>
      <c r="C23" s="19" t="n">
        <v>0.13</v>
      </c>
      <c r="D23" s="19" t="n">
        <v>0.15</v>
      </c>
      <c r="E23" s="19" t="n">
        <v>0.22</v>
      </c>
      <c r="F23" s="19" t="n">
        <v>0.24</v>
      </c>
      <c r="G23" s="19" t="n">
        <v>0.18</v>
      </c>
    </row>
    <row r="24" customFormat="false" ht="15" hidden="false" customHeight="false" outlineLevel="0" collapsed="false">
      <c r="A24" s="14" t="s">
        <v>74</v>
      </c>
      <c r="C24" s="46" t="n">
        <f aca="false">-C15*C23</f>
        <v>-41172.17</v>
      </c>
      <c r="D24" s="46" t="n">
        <f aca="false">-D15*D23</f>
        <v>-54632.3025</v>
      </c>
      <c r="E24" s="46" t="n">
        <f aca="false">-E15*E23</f>
        <v>-64101.9016</v>
      </c>
      <c r="F24" s="46" t="n">
        <f aca="false">-F15*F23</f>
        <v>-62936.41248</v>
      </c>
      <c r="G24" s="46" t="n">
        <f aca="false">-G15*G23</f>
        <v>-52866.5864832</v>
      </c>
    </row>
    <row r="25" customFormat="false" ht="15" hidden="false" customHeight="false" outlineLevel="0" collapsed="false">
      <c r="A25" s="14" t="s">
        <v>75</v>
      </c>
      <c r="C25" s="19" t="n">
        <v>0.12</v>
      </c>
      <c r="D25" s="19" t="n">
        <v>0.12</v>
      </c>
      <c r="E25" s="19" t="n">
        <v>0.12</v>
      </c>
      <c r="F25" s="19" t="n">
        <v>0.12</v>
      </c>
      <c r="G25" s="19" t="n">
        <v>0.12</v>
      </c>
    </row>
    <row r="26" customFormat="false" ht="15" hidden="false" customHeight="false" outlineLevel="0" collapsed="false">
      <c r="A26" s="14" t="s">
        <v>76</v>
      </c>
      <c r="C26" s="46" t="n">
        <f aca="false">-(C15-B15)*C25</f>
        <v>-26347.08</v>
      </c>
      <c r="D26" s="46" t="n">
        <f aca="false">-(D15-C15)*D25</f>
        <v>-5700.762</v>
      </c>
      <c r="E26" s="46" t="n">
        <f aca="false">-(E15-D15)*E25</f>
        <v>8741.1684</v>
      </c>
      <c r="F26" s="46" t="n">
        <f aca="false">-(F15-E15)*F25</f>
        <v>3496.46736</v>
      </c>
      <c r="G26" s="46" t="n">
        <f aca="false">-(G15-F15)*G25</f>
        <v>-3776.1847488</v>
      </c>
    </row>
    <row r="27" customFormat="false" ht="15" hidden="false" customHeight="false" outlineLevel="0" collapsed="false">
      <c r="A27" s="24" t="s">
        <v>77</v>
      </c>
      <c r="C27" s="47" t="n">
        <f aca="false">C20+C22+C24+C26</f>
        <v>140621.9048</v>
      </c>
      <c r="D27" s="47" t="n">
        <f aca="false">D20+D22+D24+D26</f>
        <v>169268.29214</v>
      </c>
      <c r="E27" s="47" t="n">
        <f aca="false">E20+E22+E24+E26</f>
        <v>94521.167632</v>
      </c>
      <c r="F27" s="47" t="n">
        <f aca="false">F20+F22+F24+F26</f>
        <v>52062.3989904</v>
      </c>
      <c r="G27" s="47" t="n">
        <f aca="false">G20+G22+G24+G26</f>
        <v>85274.643149568</v>
      </c>
    </row>
    <row r="28" customFormat="false" ht="15" hidden="false" customHeight="false" outlineLevel="0" collapsed="false">
      <c r="A28" s="14" t="s">
        <v>78</v>
      </c>
      <c r="C28" s="30" t="n">
        <f aca="false">C27/C15</f>
        <v>0.44400981595092</v>
      </c>
      <c r="D28" s="30" t="n">
        <f aca="false">D27/D15</f>
        <v>0.464747826086957</v>
      </c>
      <c r="E28" s="30" t="n">
        <f aca="false">E27/E15</f>
        <v>0.3244</v>
      </c>
      <c r="F28" s="30" t="n">
        <f aca="false">F27/F15</f>
        <v>0.198533333333333</v>
      </c>
      <c r="G28" s="30" t="n">
        <f aca="false">G27/G15</f>
        <v>0.290342857142857</v>
      </c>
    </row>
    <row r="30" customFormat="false" ht="15" hidden="false" customHeight="false" outlineLevel="0" collapsed="false">
      <c r="A30" s="14" t="s">
        <v>79</v>
      </c>
      <c r="C30" s="31" t="n">
        <v>0.5</v>
      </c>
      <c r="D30" s="32" t="n">
        <f aca="false">C30+1</f>
        <v>1.5</v>
      </c>
      <c r="E30" s="32" t="n">
        <f aca="false">D30+1</f>
        <v>2.5</v>
      </c>
      <c r="F30" s="32" t="n">
        <f aca="false">E30+1</f>
        <v>3.5</v>
      </c>
      <c r="G30" s="32" t="n">
        <f aca="false">F30+1</f>
        <v>4.5</v>
      </c>
    </row>
    <row r="31" customFormat="false" ht="15" hidden="false" customHeight="false" outlineLevel="0" collapsed="false">
      <c r="A31" s="14" t="s">
        <v>80</v>
      </c>
      <c r="C31" s="33" t="n">
        <f aca="false">1/POWER(1+$B$9,C30)</f>
        <v>0.942809041582064</v>
      </c>
      <c r="D31" s="33" t="n">
        <f aca="false">1/POWER(1+$B$9,D30)</f>
        <v>0.838052481406279</v>
      </c>
      <c r="E31" s="33" t="n">
        <f aca="false">1/POWER(1+$B$9,E30)</f>
        <v>0.744935539027803</v>
      </c>
      <c r="F31" s="33" t="n">
        <f aca="false">1/POWER(1+$B$9,F30)</f>
        <v>0.66216492358027</v>
      </c>
      <c r="G31" s="33" t="n">
        <f aca="false">1/POWER(1+$B$9,G30)</f>
        <v>0.588591043182462</v>
      </c>
    </row>
    <row r="32" customFormat="false" ht="15" hidden="false" customHeight="false" outlineLevel="0" collapsed="false">
      <c r="A32" s="24" t="s">
        <v>81</v>
      </c>
      <c r="C32" s="44" t="n">
        <f aca="false">C27*C31</f>
        <v>132579.603289932</v>
      </c>
      <c r="D32" s="44" t="n">
        <f aca="false">D27*D31</f>
        <v>141855.71225133</v>
      </c>
      <c r="E32" s="44" t="n">
        <f aca="false">E27*E31</f>
        <v>70412.1769594813</v>
      </c>
      <c r="F32" s="44" t="n">
        <f aca="false">F27*F31</f>
        <v>34473.8944488837</v>
      </c>
      <c r="G32" s="44" t="n">
        <f aca="false">G27*G31</f>
        <v>50191.8911684164</v>
      </c>
    </row>
    <row r="34" customFormat="false" ht="15" hidden="false" customHeight="false" outlineLevel="0" collapsed="false">
      <c r="A34" s="12" t="s">
        <v>82</v>
      </c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4" t="s">
        <v>83</v>
      </c>
      <c r="B35" s="20" t="n">
        <v>0.15</v>
      </c>
      <c r="C35" s="16" t="s">
        <v>182</v>
      </c>
    </row>
    <row r="36" customFormat="false" ht="15" hidden="false" customHeight="false" outlineLevel="0" collapsed="false">
      <c r="A36" s="14" t="s">
        <v>85</v>
      </c>
      <c r="B36" s="46" t="n">
        <f aca="false">G15*(1+$B$10)*B35</f>
        <v>45156.8759544</v>
      </c>
    </row>
    <row r="37" customFormat="false" ht="15" hidden="false" customHeight="false" outlineLevel="0" collapsed="false">
      <c r="A37" s="14" t="s">
        <v>86</v>
      </c>
      <c r="B37" s="46" t="n">
        <f aca="false">B36/($B$9-$B$10)</f>
        <v>451568.759544</v>
      </c>
    </row>
    <row r="38" customFormat="false" ht="15" hidden="false" customHeight="false" outlineLevel="0" collapsed="false">
      <c r="A38" s="14" t="s">
        <v>87</v>
      </c>
      <c r="B38" s="46" t="n">
        <f aca="false">B37*G31</f>
        <v>265789.327248613</v>
      </c>
    </row>
    <row r="39" customFormat="false" ht="15" hidden="false" customHeight="false" outlineLevel="0" collapsed="false">
      <c r="A39" s="14" t="s">
        <v>88</v>
      </c>
      <c r="B39" s="34" t="n">
        <f aca="false">B37/G27</f>
        <v>5.29546349143869</v>
      </c>
    </row>
    <row r="41" customFormat="false" ht="15" hidden="false" customHeight="false" outlineLevel="0" collapsed="false">
      <c r="A41" s="12" t="s">
        <v>89</v>
      </c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4" t="s">
        <v>90</v>
      </c>
      <c r="B42" s="46" t="n">
        <f aca="false">SUM(C32:G32)</f>
        <v>429513.278118043</v>
      </c>
    </row>
    <row r="43" customFormat="false" ht="15" hidden="false" customHeight="false" outlineLevel="0" collapsed="false">
      <c r="A43" s="14" t="s">
        <v>87</v>
      </c>
      <c r="B43" s="46" t="n">
        <f aca="false">B38</f>
        <v>265789.327248613</v>
      </c>
    </row>
    <row r="44" customFormat="false" ht="15" hidden="false" customHeight="false" outlineLevel="0" collapsed="false">
      <c r="A44" s="24" t="s">
        <v>91</v>
      </c>
      <c r="B44" s="44" t="n">
        <f aca="false">B42+B43</f>
        <v>695302.605366657</v>
      </c>
    </row>
    <row r="45" customFormat="false" ht="15" hidden="false" customHeight="false" outlineLevel="0" collapsed="false">
      <c r="A45" s="14" t="s">
        <v>92</v>
      </c>
      <c r="B45" s="30" t="n">
        <f aca="false">B43/B44</f>
        <v>0.382264247533566</v>
      </c>
    </row>
    <row r="46" customFormat="false" ht="15" hidden="false" customHeight="false" outlineLevel="0" collapsed="false">
      <c r="A46" s="14" t="s">
        <v>93</v>
      </c>
      <c r="B46" s="46" t="n">
        <f aca="false">B7</f>
        <v>69400</v>
      </c>
    </row>
    <row r="47" customFormat="false" ht="15" hidden="false" customHeight="false" outlineLevel="0" collapsed="false">
      <c r="A47" s="24" t="s">
        <v>94</v>
      </c>
      <c r="B47" s="44" t="n">
        <f aca="false">B44+B46</f>
        <v>764702.605366657</v>
      </c>
    </row>
    <row r="48" customFormat="false" ht="15" hidden="false" customHeight="false" outlineLevel="0" collapsed="false">
      <c r="A48" s="24" t="s">
        <v>183</v>
      </c>
      <c r="B48" s="48" t="n">
        <f aca="false">B47*$B$11/B6</f>
        <v>1049118.67933414</v>
      </c>
    </row>
    <row r="49" customFormat="false" ht="15" hidden="false" customHeight="false" outlineLevel="0" collapsed="false">
      <c r="A49" s="14" t="s">
        <v>174</v>
      </c>
      <c r="B49" s="49" t="n">
        <f aca="false">B5</f>
        <v>1730000</v>
      </c>
    </row>
    <row r="50" customFormat="false" ht="15" hidden="false" customHeight="false" outlineLevel="0" collapsed="false">
      <c r="A50" s="24" t="s">
        <v>96</v>
      </c>
      <c r="B50" s="37" t="n">
        <f aca="false">B48/B49-1</f>
        <v>-0.393573017725929</v>
      </c>
    </row>
    <row r="52" customFormat="false" ht="15" hidden="false" customHeight="false" outlineLevel="0" collapsed="false">
      <c r="A52" s="12" t="s">
        <v>97</v>
      </c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B53" s="23" t="s">
        <v>98</v>
      </c>
      <c r="C53" s="38" t="n">
        <f aca="false">$B$10+-0.01</f>
        <v>0.015</v>
      </c>
      <c r="D53" s="38" t="n">
        <f aca="false">$B$10+-0.005</f>
        <v>0.02</v>
      </c>
      <c r="E53" s="38" t="n">
        <f aca="false">$B$10</f>
        <v>0.025</v>
      </c>
      <c r="F53" s="38" t="n">
        <f aca="false">$B$10+0.005</f>
        <v>0.03</v>
      </c>
      <c r="G53" s="38" t="n">
        <f aca="false">$B$10+0.01</f>
        <v>0.035</v>
      </c>
    </row>
    <row r="54" customFormat="false" ht="15" hidden="false" customHeight="false" outlineLevel="0" collapsed="false">
      <c r="B54" s="39" t="n">
        <f aca="false">$B$9+-0.01</f>
        <v>0.115</v>
      </c>
      <c r="C54" s="50" t="n">
        <f aca="false">(SUMPRODUCT($C$27:$G$27,1/POWER(1+$B54,$C$30:$G$30))+$G$15*(1+C$53)*$B$35/($B54-C$53)/POWER(1+$B54,$G$30)+$B$7)*$B$11/$B$6</f>
        <v>1070307.37498088</v>
      </c>
      <c r="D54" s="50" t="n">
        <f aca="false">(SUMPRODUCT($C$27:$G$27,1/POWER(1+$B54,$C$30:$G$30))+$G$15*(1+D$53)*$B$35/($B54-D$53)/POWER(1+$B54,$G$30)+$B$7)*$B$11/$B$6</f>
        <v>1092040.21266927</v>
      </c>
      <c r="E54" s="50" t="n">
        <f aca="false">(SUMPRODUCT($C$27:$G$27,1/POWER(1+$B54,$C$30:$G$30))+$G$15*(1+E$53)*$B$35/($B54-E$53)/POWER(1+$B54,$G$30)+$B$7)*$B$11/$B$6</f>
        <v>1116187.81010082</v>
      </c>
      <c r="F54" s="50" t="n">
        <f aca="false">(SUMPRODUCT($C$27:$G$27,1/POWER(1+$B54,$C$30:$G$30))+$G$15*(1+F$53)*$B$35/($B54-F$53)/POWER(1+$B54,$G$30)+$B$7)*$B$11/$B$6</f>
        <v>1143176.30134784</v>
      </c>
      <c r="G54" s="50" t="n">
        <f aca="false">(SUMPRODUCT($C$27:$G$27,1/POWER(1+$B54,$C$30:$G$30))+$G$15*(1+G$53)*$B$35/($B54-G$53)/POWER(1+$B54,$G$30)+$B$7)*$B$11/$B$6</f>
        <v>1173538.35400074</v>
      </c>
    </row>
    <row r="55" customFormat="false" ht="15" hidden="false" customHeight="false" outlineLevel="0" collapsed="false">
      <c r="B55" s="39" t="n">
        <f aca="false">$B$9+-0.005</f>
        <v>0.12</v>
      </c>
      <c r="C55" s="50" t="n">
        <f aca="false">(SUMPRODUCT($C$27:$G$27,1/POWER(1+$B55,$C$30:$G$30))+$G$15*(1+C$53)*$B$35/($B55-C$53)/POWER(1+$B55,$G$30)+$B$7)*$B$11/$B$6</f>
        <v>1040258.58626982</v>
      </c>
      <c r="D55" s="50" t="n">
        <f aca="false">(SUMPRODUCT($C$27:$G$27,1/POWER(1+$B55,$C$30:$G$30))+$G$15*(1+D$53)*$B$35/($B55-D$53)/POWER(1+$B55,$G$30)+$B$7)*$B$11/$B$6</f>
        <v>1059616.10549256</v>
      </c>
      <c r="E55" s="50" t="n">
        <f aca="false">(SUMPRODUCT($C$27:$G$27,1/POWER(1+$B55,$C$30:$G$30))+$G$15*(1+E$53)*$B$35/($B55-E$53)/POWER(1+$B55,$G$30)+$B$7)*$B$11/$B$6</f>
        <v>1081011.25831769</v>
      </c>
      <c r="F55" s="50" t="n">
        <f aca="false">(SUMPRODUCT($C$27:$G$27,1/POWER(1+$B55,$C$30:$G$30))+$G$15*(1+F$53)*$B$35/($B55-F$53)/POWER(1+$B55,$G$30)+$B$7)*$B$11/$B$6</f>
        <v>1104783.65034561</v>
      </c>
      <c r="G55" s="50" t="n">
        <f aca="false">(SUMPRODUCT($C$27:$G$27,1/POWER(1+$B55,$C$30:$G$30))+$G$15*(1+G$53)*$B$35/($B55-G$53)/POWER(1+$B55,$G$30)+$B$7)*$B$11/$B$6</f>
        <v>1131352.79437682</v>
      </c>
    </row>
    <row r="56" customFormat="false" ht="15" hidden="false" customHeight="false" outlineLevel="0" collapsed="false">
      <c r="B56" s="39" t="n">
        <f aca="false">$B$9</f>
        <v>0.125</v>
      </c>
      <c r="C56" s="50" t="n">
        <f aca="false">(SUMPRODUCT($C$27:$G$27,1/POWER(1+$B56,$C$30:$G$30))+$G$15*(1+C$53)*$B$35/($B56-C$53)/POWER(1+$B56,$G$30)+$B$7)*$B$11/$B$6</f>
        <v>1012735.08845353</v>
      </c>
      <c r="D56" s="50" t="n">
        <f aca="false">(SUMPRODUCT($C$27:$G$27,1/POWER(1+$B56,$C$30:$G$30))+$G$15*(1+D$53)*$B$35/($B56-D$53)/POWER(1+$B56,$G$30)+$B$7)*$B$11/$B$6</f>
        <v>1030060.60792049</v>
      </c>
      <c r="E56" s="51" t="n">
        <f aca="false">(SUMPRODUCT($C$27:$G$27,1/POWER(1+$B56,$C$30:$G$30))+$G$15*(1+E$53)*$B$35/($B56-E$53)/POWER(1+$B56,$G$30)+$B$7)*$B$11/$B$6</f>
        <v>1049118.67933414</v>
      </c>
      <c r="F56" s="50" t="n">
        <f aca="false">(SUMPRODUCT($C$27:$G$27,1/POWER(1+$B56,$C$30:$G$30))+$G$15*(1+F$53)*$B$35/($B56-F$53)/POWER(1+$B56,$G$30)+$B$7)*$B$11/$B$6</f>
        <v>1070182.86352818</v>
      </c>
      <c r="G56" s="50" t="n">
        <f aca="false">(SUMPRODUCT($C$27:$G$27,1/POWER(1+$B56,$C$30:$G$30))+$G$15*(1+G$53)*$B$35/($B56-G$53)/POWER(1+$B56,$G$30)+$B$7)*$B$11/$B$6</f>
        <v>1093587.51263267</v>
      </c>
    </row>
    <row r="57" customFormat="false" ht="15" hidden="false" customHeight="false" outlineLevel="0" collapsed="false">
      <c r="B57" s="39" t="n">
        <f aca="false">$B$9+0.005</f>
        <v>0.13</v>
      </c>
      <c r="C57" s="50" t="n">
        <f aca="false">(SUMPRODUCT($C$27:$G$27,1/POWER(1+$B57,$C$30:$G$30))+$G$15*(1+C$53)*$B$35/($B57-C$53)/POWER(1+$B57,$G$30)+$B$7)*$B$11/$B$6</f>
        <v>987412.011769319</v>
      </c>
      <c r="D57" s="50" t="n">
        <f aca="false">(SUMPRODUCT($C$27:$G$27,1/POWER(1+$B57,$C$30:$G$30))+$G$15*(1+D$53)*$B$35/($B57-D$53)/POWER(1+$B57,$G$30)+$B$7)*$B$11/$B$6</f>
        <v>1002987.33255022</v>
      </c>
      <c r="E57" s="50" t="n">
        <f aca="false">(SUMPRODUCT($C$27:$G$27,1/POWER(1+$B57,$C$30:$G$30))+$G$15*(1+E$53)*$B$35/($B57-E$53)/POWER(1+$B57,$G$30)+$B$7)*$B$11/$B$6</f>
        <v>1020046.01721502</v>
      </c>
      <c r="F57" s="50" t="n">
        <f aca="false">(SUMPRODUCT($C$27:$G$27,1/POWER(1+$B57,$C$30:$G$30))+$G$15*(1+F$53)*$B$35/($B57-F$53)/POWER(1+$B57,$G$30)+$B$7)*$B$11/$B$6</f>
        <v>1038810.5703463</v>
      </c>
      <c r="G57" s="50" t="n">
        <f aca="false">(SUMPRODUCT($C$27:$G$27,1/POWER(1+$B57,$C$30:$G$30))+$G$15*(1+G$53)*$B$35/($B57-G$53)/POWER(1+$B57,$G$30)+$B$7)*$B$11/$B$6</f>
        <v>1059550.33959665</v>
      </c>
    </row>
    <row r="58" customFormat="false" ht="15" hidden="false" customHeight="false" outlineLevel="0" collapsed="false">
      <c r="B58" s="39" t="n">
        <f aca="false">$B$9+0.01</f>
        <v>0.135</v>
      </c>
      <c r="C58" s="50" t="n">
        <f aca="false">(SUMPRODUCT($C$27:$G$27,1/POWER(1+$B58,$C$30:$G$30))+$G$15*(1+C$53)*$B$35/($B58-C$53)/POWER(1+$B58,$G$30)+$B$7)*$B$11/$B$6</f>
        <v>964018.504250706</v>
      </c>
      <c r="D58" s="50" t="n">
        <f aca="false">(SUMPRODUCT($C$27:$G$27,1/POWER(1+$B58,$C$30:$G$30))+$G$15*(1+D$53)*$B$35/($B58-D$53)/POWER(1+$B58,$G$30)+$B$7)*$B$11/$B$6</f>
        <v>978076.955391406</v>
      </c>
      <c r="E58" s="50" t="n">
        <f aca="false">(SUMPRODUCT($C$27:$G$27,1/POWER(1+$B58,$C$30:$G$30))+$G$15*(1+E$53)*$B$35/($B58-E$53)/POWER(1+$B58,$G$30)+$B$7)*$B$11/$B$6</f>
        <v>993413.447544896</v>
      </c>
      <c r="F58" s="50" t="n">
        <f aca="false">(SUMPRODUCT($C$27:$G$27,1/POWER(1+$B58,$C$30:$G$30))+$G$15*(1+F$53)*$B$35/($B58-F$53)/POWER(1+$B58,$G$30)+$B$7)*$B$11/$B$6</f>
        <v>1010210.55799872</v>
      </c>
      <c r="G58" s="50" t="n">
        <f aca="false">(SUMPRODUCT($C$27:$G$27,1/POWER(1+$B58,$C$30:$G$30))+$G$15*(1+G$53)*$B$35/($B58-G$53)/POWER(1+$B58,$G$30)+$B$7)*$B$11/$B$6</f>
        <v>1028687.37949792</v>
      </c>
    </row>
    <row r="60" customFormat="false" ht="15" hidden="false" customHeight="false" outlineLevel="0" collapsed="false">
      <c r="A60" s="12" t="s">
        <v>99</v>
      </c>
      <c r="B60" s="13"/>
      <c r="C60" s="13"/>
      <c r="D60" s="13"/>
      <c r="E60" s="13"/>
      <c r="F60" s="13"/>
      <c r="G60" s="13"/>
    </row>
    <row r="61" customFormat="false" ht="60" hidden="false" customHeight="true" outlineLevel="0" collapsed="false">
      <c r="A61" s="42" t="s">
        <v>184</v>
      </c>
      <c r="B61" s="42"/>
      <c r="C61" s="42"/>
      <c r="D61" s="42"/>
      <c r="E61" s="42"/>
      <c r="F61" s="42"/>
      <c r="G61" s="42"/>
    </row>
    <row r="62" customFormat="false" ht="36" hidden="false" customHeight="true" outlineLevel="0" collapsed="false">
      <c r="A62" s="42" t="s">
        <v>185</v>
      </c>
      <c r="B62" s="42"/>
      <c r="C62" s="42"/>
      <c r="D62" s="42"/>
      <c r="E62" s="42"/>
      <c r="F62" s="42"/>
      <c r="G62" s="42"/>
    </row>
    <row r="63" customFormat="false" ht="36" hidden="false" customHeight="true" outlineLevel="0" collapsed="false">
      <c r="A63" s="42" t="s">
        <v>186</v>
      </c>
      <c r="B63" s="42"/>
      <c r="C63" s="42"/>
      <c r="D63" s="42"/>
      <c r="E63" s="42"/>
      <c r="F63" s="42"/>
      <c r="G63" s="42"/>
    </row>
    <row r="64" customFormat="false" ht="36" hidden="false" customHeight="true" outlineLevel="0" collapsed="false">
      <c r="A64" s="42" t="s">
        <v>187</v>
      </c>
      <c r="B64" s="42"/>
      <c r="C64" s="42"/>
      <c r="D64" s="42"/>
      <c r="E64" s="42"/>
      <c r="F64" s="42"/>
      <c r="G64" s="42"/>
    </row>
    <row r="65" customFormat="false" ht="36" hidden="false" customHeight="true" outlineLevel="0" collapsed="false">
      <c r="A65" s="42" t="s">
        <v>188</v>
      </c>
      <c r="B65" s="42"/>
      <c r="C65" s="42"/>
      <c r="D65" s="42"/>
      <c r="E65" s="42"/>
      <c r="F65" s="42"/>
      <c r="G65" s="42"/>
    </row>
  </sheetData>
  <mergeCells count="5">
    <mergeCell ref="A61:G61"/>
    <mergeCell ref="A62:G62"/>
    <mergeCell ref="A63:G63"/>
    <mergeCell ref="A64:G64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15" hidden="false" customHeight="false" outlineLevel="0" collapsed="false">
      <c r="A4" s="12" t="s">
        <v>44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174</v>
      </c>
      <c r="B5" s="21" t="n">
        <v>256500</v>
      </c>
      <c r="C5" s="16" t="s">
        <v>191</v>
      </c>
    </row>
    <row r="6" customFormat="false" ht="15" hidden="false" customHeight="false" outlineLevel="0" collapsed="false">
      <c r="A6" s="14" t="s">
        <v>47</v>
      </c>
      <c r="B6" s="17" t="n">
        <v>6566</v>
      </c>
      <c r="C6" s="16" t="s">
        <v>192</v>
      </c>
    </row>
    <row r="7" customFormat="false" ht="15" hidden="false" customHeight="false" outlineLevel="0" collapsed="false">
      <c r="A7" s="14" t="s">
        <v>177</v>
      </c>
      <c r="B7" s="43" t="n">
        <v>167600</v>
      </c>
      <c r="C7" s="16" t="s">
        <v>193</v>
      </c>
    </row>
    <row r="8" customFormat="false" ht="15" hidden="false" customHeight="false" outlineLevel="0" collapsed="false">
      <c r="A8" s="14" t="s">
        <v>51</v>
      </c>
      <c r="B8" s="19" t="n">
        <v>0.21</v>
      </c>
      <c r="C8" s="16" t="s">
        <v>194</v>
      </c>
    </row>
    <row r="9" customFormat="false" ht="15" hidden="false" customHeight="false" outlineLevel="0" collapsed="false">
      <c r="A9" s="14" t="s">
        <v>53</v>
      </c>
      <c r="B9" s="20" t="n">
        <v>0.115</v>
      </c>
    </row>
    <row r="10" customFormat="false" ht="15" hidden="false" customHeight="false" outlineLevel="0" collapsed="false">
      <c r="A10" s="14" t="s">
        <v>54</v>
      </c>
      <c r="B10" s="20" t="n">
        <v>0.025</v>
      </c>
    </row>
    <row r="11" customFormat="false" ht="15" hidden="false" customHeight="false" outlineLevel="0" collapsed="false">
      <c r="A11" s="14" t="s">
        <v>180</v>
      </c>
      <c r="B11" s="21" t="n">
        <v>1000</v>
      </c>
      <c r="C11" s="16" t="s">
        <v>56</v>
      </c>
    </row>
    <row r="13" customFormat="false" ht="15" hidden="false" customHeight="false" outlineLevel="0" collapsed="false">
      <c r="A13" s="12" t="s">
        <v>57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22" t="s">
        <v>181</v>
      </c>
      <c r="B14" s="23" t="s">
        <v>136</v>
      </c>
      <c r="C14" s="23" t="s">
        <v>137</v>
      </c>
      <c r="D14" s="23" t="s">
        <v>138</v>
      </c>
      <c r="E14" s="23" t="s">
        <v>139</v>
      </c>
      <c r="F14" s="23" t="s">
        <v>140</v>
      </c>
      <c r="G14" s="23" t="s">
        <v>141</v>
      </c>
    </row>
    <row r="15" customFormat="false" ht="15" hidden="false" customHeight="false" outlineLevel="0" collapsed="false">
      <c r="A15" s="24" t="s">
        <v>65</v>
      </c>
      <c r="B15" s="43" t="n">
        <v>333610</v>
      </c>
      <c r="C15" s="44" t="n">
        <f aca="false">B15*(1+C16)</f>
        <v>680564.4</v>
      </c>
      <c r="D15" s="44" t="n">
        <f aca="false">C15*(1+D16)</f>
        <v>735009.552</v>
      </c>
      <c r="E15" s="44" t="n">
        <f aca="false">D15*(1+E16)</f>
        <v>602707.83264</v>
      </c>
      <c r="F15" s="44" t="n">
        <f aca="false">E15*(1+F16)</f>
        <v>554491.2060288</v>
      </c>
      <c r="G15" s="44" t="n">
        <f aca="false">F15*(1+G16)</f>
        <v>609940.32663168</v>
      </c>
    </row>
    <row r="16" customFormat="false" ht="15" hidden="false" customHeight="false" outlineLevel="0" collapsed="false">
      <c r="A16" s="14" t="s">
        <v>66</v>
      </c>
      <c r="B16" s="26" t="n">
        <v>0.109</v>
      </c>
      <c r="C16" s="20" t="n">
        <v>1.04</v>
      </c>
      <c r="D16" s="20" t="n">
        <v>0.08</v>
      </c>
      <c r="E16" s="20" t="n">
        <v>-0.18</v>
      </c>
      <c r="F16" s="20" t="n">
        <v>-0.08</v>
      </c>
      <c r="G16" s="20" t="n">
        <v>0.1</v>
      </c>
    </row>
    <row r="17" customFormat="false" ht="15" hidden="false" customHeight="false" outlineLevel="0" collapsed="false">
      <c r="A17" s="14" t="s">
        <v>67</v>
      </c>
      <c r="B17" s="26" t="n">
        <v>0.131</v>
      </c>
      <c r="C17" s="20" t="n">
        <v>0.46</v>
      </c>
      <c r="D17" s="20" t="n">
        <v>0.42</v>
      </c>
      <c r="E17" s="20" t="n">
        <v>0.26</v>
      </c>
      <c r="F17" s="20" t="n">
        <v>0.18</v>
      </c>
      <c r="G17" s="20" t="n">
        <v>0.26</v>
      </c>
    </row>
    <row r="18" customFormat="false" ht="15" hidden="false" customHeight="false" outlineLevel="0" collapsed="false">
      <c r="A18" s="14" t="s">
        <v>68</v>
      </c>
      <c r="B18" s="45" t="n">
        <f aca="false">B15*B17</f>
        <v>43702.91</v>
      </c>
      <c r="C18" s="46" t="n">
        <f aca="false">C15*C17</f>
        <v>313059.624</v>
      </c>
      <c r="D18" s="46" t="n">
        <f aca="false">D15*D17</f>
        <v>308704.01184</v>
      </c>
      <c r="E18" s="46" t="n">
        <f aca="false">E15*E17</f>
        <v>156704.0364864</v>
      </c>
      <c r="F18" s="46" t="n">
        <f aca="false">F15*F17</f>
        <v>99808.417085184</v>
      </c>
      <c r="G18" s="46" t="n">
        <f aca="false">G15*G17</f>
        <v>158584.484924237</v>
      </c>
    </row>
    <row r="19" customFormat="false" ht="15" hidden="false" customHeight="false" outlineLevel="0" collapsed="false">
      <c r="A19" s="14" t="s">
        <v>69</v>
      </c>
      <c r="C19" s="46" t="n">
        <f aca="false">-C18*$B$8</f>
        <v>-65742.52104</v>
      </c>
      <c r="D19" s="46" t="n">
        <f aca="false">-D18*$B$8</f>
        <v>-64827.8424864</v>
      </c>
      <c r="E19" s="46" t="n">
        <f aca="false">-E18*$B$8</f>
        <v>-32907.847662144</v>
      </c>
      <c r="F19" s="46" t="n">
        <f aca="false">-F18*$B$8</f>
        <v>-20959.7675878886</v>
      </c>
      <c r="G19" s="46" t="n">
        <f aca="false">-G18*$B$8</f>
        <v>-33302.7418340897</v>
      </c>
    </row>
    <row r="20" customFormat="false" ht="15" hidden="false" customHeight="false" outlineLevel="0" collapsed="false">
      <c r="A20" s="14" t="s">
        <v>70</v>
      </c>
      <c r="C20" s="46" t="n">
        <f aca="false">C18+C19</f>
        <v>247317.10296</v>
      </c>
      <c r="D20" s="46" t="n">
        <f aca="false">D18+D19</f>
        <v>243876.1693536</v>
      </c>
      <c r="E20" s="46" t="n">
        <f aca="false">E18+E19</f>
        <v>123796.188824256</v>
      </c>
      <c r="F20" s="46" t="n">
        <f aca="false">F18+F19</f>
        <v>78848.6494972954</v>
      </c>
      <c r="G20" s="46" t="n">
        <f aca="false">G18+G19</f>
        <v>125281.743090147</v>
      </c>
    </row>
    <row r="21" customFormat="false" ht="15" hidden="false" customHeight="false" outlineLevel="0" collapsed="false">
      <c r="A21" s="14" t="s">
        <v>71</v>
      </c>
      <c r="C21" s="19" t="n">
        <v>0.09</v>
      </c>
      <c r="D21" s="19" t="n">
        <v>0.09</v>
      </c>
      <c r="E21" s="19" t="n">
        <v>0.11</v>
      </c>
      <c r="F21" s="19" t="n">
        <v>0.12</v>
      </c>
      <c r="G21" s="19" t="n">
        <v>0.11</v>
      </c>
    </row>
    <row r="22" customFormat="false" ht="15" hidden="false" customHeight="false" outlineLevel="0" collapsed="false">
      <c r="A22" s="14" t="s">
        <v>72</v>
      </c>
      <c r="C22" s="46" t="n">
        <f aca="false">C15*C21</f>
        <v>61250.796</v>
      </c>
      <c r="D22" s="46" t="n">
        <f aca="false">D15*D21</f>
        <v>66150.85968</v>
      </c>
      <c r="E22" s="46" t="n">
        <f aca="false">E15*E21</f>
        <v>66297.8615904</v>
      </c>
      <c r="F22" s="46" t="n">
        <f aca="false">F15*F21</f>
        <v>66538.944723456</v>
      </c>
      <c r="G22" s="46" t="n">
        <f aca="false">G15*G21</f>
        <v>67093.4359294848</v>
      </c>
    </row>
    <row r="23" customFormat="false" ht="15" hidden="false" customHeight="false" outlineLevel="0" collapsed="false">
      <c r="A23" s="14" t="s">
        <v>73</v>
      </c>
      <c r="C23" s="19" t="n">
        <v>0.1</v>
      </c>
      <c r="D23" s="19" t="n">
        <v>0.11</v>
      </c>
      <c r="E23" s="19" t="n">
        <v>0.14</v>
      </c>
      <c r="F23" s="19" t="n">
        <v>0.15</v>
      </c>
      <c r="G23" s="19" t="n">
        <v>0.12</v>
      </c>
    </row>
    <row r="24" customFormat="false" ht="15" hidden="false" customHeight="false" outlineLevel="0" collapsed="false">
      <c r="A24" s="14" t="s">
        <v>74</v>
      </c>
      <c r="C24" s="46" t="n">
        <f aca="false">-C15*C23</f>
        <v>-68056.44</v>
      </c>
      <c r="D24" s="46" t="n">
        <f aca="false">-D15*D23</f>
        <v>-80851.05072</v>
      </c>
      <c r="E24" s="46" t="n">
        <f aca="false">-E15*E23</f>
        <v>-84379.0965696</v>
      </c>
      <c r="F24" s="46" t="n">
        <f aca="false">-F15*F23</f>
        <v>-83173.68090432</v>
      </c>
      <c r="G24" s="46" t="n">
        <f aca="false">-G15*G23</f>
        <v>-73192.8391958016</v>
      </c>
    </row>
    <row r="25" customFormat="false" ht="15" hidden="false" customHeight="false" outlineLevel="0" collapsed="false">
      <c r="A25" s="14" t="s">
        <v>75</v>
      </c>
      <c r="C25" s="19" t="n">
        <v>0.1</v>
      </c>
      <c r="D25" s="19" t="n">
        <v>0.1</v>
      </c>
      <c r="E25" s="19" t="n">
        <v>0.1</v>
      </c>
      <c r="F25" s="19" t="n">
        <v>0.1</v>
      </c>
      <c r="G25" s="19" t="n">
        <v>0.1</v>
      </c>
    </row>
    <row r="26" customFormat="false" ht="15" hidden="false" customHeight="false" outlineLevel="0" collapsed="false">
      <c r="A26" s="14" t="s">
        <v>76</v>
      </c>
      <c r="C26" s="46" t="n">
        <f aca="false">-(C15-B15)*C25</f>
        <v>-34695.44</v>
      </c>
      <c r="D26" s="46" t="n">
        <f aca="false">-(D15-C15)*D25</f>
        <v>-5444.5152</v>
      </c>
      <c r="E26" s="46" t="n">
        <f aca="false">-(E15-D15)*E25</f>
        <v>13230.171936</v>
      </c>
      <c r="F26" s="46" t="n">
        <f aca="false">-(F15-E15)*F25</f>
        <v>4821.66266111999</v>
      </c>
      <c r="G26" s="46" t="n">
        <f aca="false">-(G15-F15)*G25</f>
        <v>-5544.912060288</v>
      </c>
    </row>
    <row r="27" customFormat="false" ht="15" hidden="false" customHeight="false" outlineLevel="0" collapsed="false">
      <c r="A27" s="24" t="s">
        <v>77</v>
      </c>
      <c r="C27" s="47" t="n">
        <f aca="false">C20+C22+C24+C26</f>
        <v>205816.01896</v>
      </c>
      <c r="D27" s="47" t="n">
        <f aca="false">D20+D22+D24+D26</f>
        <v>223731.4631136</v>
      </c>
      <c r="E27" s="47" t="n">
        <f aca="false">E20+E22+E24+E26</f>
        <v>118945.125781056</v>
      </c>
      <c r="F27" s="47" t="n">
        <f aca="false">F20+F22+F24+F26</f>
        <v>67035.5759775513</v>
      </c>
      <c r="G27" s="47" t="n">
        <f aca="false">G20+G22+G24+G26</f>
        <v>113637.427763542</v>
      </c>
    </row>
    <row r="28" customFormat="false" ht="15" hidden="false" customHeight="false" outlineLevel="0" collapsed="false">
      <c r="A28" s="14" t="s">
        <v>78</v>
      </c>
      <c r="C28" s="30" t="n">
        <f aca="false">C27/C15</f>
        <v>0.302419607843137</v>
      </c>
      <c r="D28" s="30" t="n">
        <f aca="false">D27/D15</f>
        <v>0.304392592592593</v>
      </c>
      <c r="E28" s="30" t="n">
        <f aca="false">E27/E15</f>
        <v>0.197351219512195</v>
      </c>
      <c r="F28" s="30" t="n">
        <f aca="false">F27/F15</f>
        <v>0.120895652173913</v>
      </c>
      <c r="G28" s="30" t="n">
        <f aca="false">G27/G15</f>
        <v>0.186309090909091</v>
      </c>
    </row>
    <row r="30" customFormat="false" ht="15" hidden="false" customHeight="false" outlineLevel="0" collapsed="false">
      <c r="A30" s="14" t="s">
        <v>79</v>
      </c>
      <c r="C30" s="31" t="n">
        <v>0.5</v>
      </c>
      <c r="D30" s="32" t="n">
        <f aca="false">C30+1</f>
        <v>1.5</v>
      </c>
      <c r="E30" s="32" t="n">
        <f aca="false">D30+1</f>
        <v>2.5</v>
      </c>
      <c r="F30" s="32" t="n">
        <f aca="false">E30+1</f>
        <v>3.5</v>
      </c>
      <c r="G30" s="32" t="n">
        <f aca="false">F30+1</f>
        <v>4.5</v>
      </c>
    </row>
    <row r="31" customFormat="false" ht="15" hidden="false" customHeight="false" outlineLevel="0" collapsed="false">
      <c r="A31" s="14" t="s">
        <v>80</v>
      </c>
      <c r="C31" s="33" t="n">
        <f aca="false">1/POWER(1+$B$9,C30)</f>
        <v>0.947027447620757</v>
      </c>
      <c r="D31" s="33" t="n">
        <f aca="false">1/POWER(1+$B$9,D30)</f>
        <v>0.84935197096032</v>
      </c>
      <c r="E31" s="33" t="n">
        <f aca="false">1/POWER(1+$B$9,E30)</f>
        <v>0.761750646601184</v>
      </c>
      <c r="F31" s="33" t="n">
        <f aca="false">1/POWER(1+$B$9,F30)</f>
        <v>0.683184436413618</v>
      </c>
      <c r="G31" s="33" t="n">
        <f aca="false">1/POWER(1+$B$9,G30)</f>
        <v>0.612721467635532</v>
      </c>
    </row>
    <row r="32" customFormat="false" ht="15" hidden="false" customHeight="false" outlineLevel="0" collapsed="false">
      <c r="A32" s="24" t="s">
        <v>81</v>
      </c>
      <c r="C32" s="44" t="n">
        <f aca="false">C27*C31</f>
        <v>194913.419115154</v>
      </c>
      <c r="D32" s="44" t="n">
        <f aca="false">D27*D31</f>
        <v>190026.759161372</v>
      </c>
      <c r="E32" s="44" t="n">
        <f aca="false">E27*E31</f>
        <v>90606.5264737786</v>
      </c>
      <c r="F32" s="44" t="n">
        <f aca="false">F27*F31</f>
        <v>45797.6621938857</v>
      </c>
      <c r="G32" s="44" t="n">
        <f aca="false">G27*G31</f>
        <v>69628.0915176044</v>
      </c>
    </row>
    <row r="34" customFormat="false" ht="15" hidden="false" customHeight="false" outlineLevel="0" collapsed="false">
      <c r="A34" s="12" t="s">
        <v>82</v>
      </c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4" t="s">
        <v>83</v>
      </c>
      <c r="B35" s="20" t="n">
        <v>0.11</v>
      </c>
      <c r="C35" s="16" t="s">
        <v>195</v>
      </c>
    </row>
    <row r="36" customFormat="false" ht="15" hidden="false" customHeight="false" outlineLevel="0" collapsed="false">
      <c r="A36" s="14" t="s">
        <v>85</v>
      </c>
      <c r="B36" s="46" t="n">
        <f aca="false">G15*(1+$B$10)*B35</f>
        <v>68770.7718277219</v>
      </c>
    </row>
    <row r="37" customFormat="false" ht="15" hidden="false" customHeight="false" outlineLevel="0" collapsed="false">
      <c r="A37" s="14" t="s">
        <v>86</v>
      </c>
      <c r="B37" s="46" t="n">
        <f aca="false">B36/($B$9-$B$10)</f>
        <v>764119.686974688</v>
      </c>
    </row>
    <row r="38" customFormat="false" ht="15" hidden="false" customHeight="false" outlineLevel="0" collapsed="false">
      <c r="A38" s="14" t="s">
        <v>87</v>
      </c>
      <c r="B38" s="46" t="n">
        <f aca="false">B37*G31</f>
        <v>468192.536052334</v>
      </c>
    </row>
    <row r="39" customFormat="false" ht="15" hidden="false" customHeight="false" outlineLevel="0" collapsed="false">
      <c r="A39" s="14" t="s">
        <v>88</v>
      </c>
      <c r="B39" s="34" t="n">
        <f aca="false">B37/G27</f>
        <v>6.72419027791332</v>
      </c>
    </row>
    <row r="41" customFormat="false" ht="15" hidden="false" customHeight="false" outlineLevel="0" collapsed="false">
      <c r="A41" s="12" t="s">
        <v>89</v>
      </c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4" t="s">
        <v>90</v>
      </c>
      <c r="B42" s="46" t="n">
        <f aca="false">SUM(C32:G32)</f>
        <v>590972.458461795</v>
      </c>
    </row>
    <row r="43" customFormat="false" ht="15" hidden="false" customHeight="false" outlineLevel="0" collapsed="false">
      <c r="A43" s="14" t="s">
        <v>87</v>
      </c>
      <c r="B43" s="46" t="n">
        <f aca="false">B38</f>
        <v>468192.536052334</v>
      </c>
    </row>
    <row r="44" customFormat="false" ht="15" hidden="false" customHeight="false" outlineLevel="0" collapsed="false">
      <c r="A44" s="24" t="s">
        <v>91</v>
      </c>
      <c r="B44" s="44" t="n">
        <f aca="false">B42+B43</f>
        <v>1059164.99451413</v>
      </c>
    </row>
    <row r="45" customFormat="false" ht="15" hidden="false" customHeight="false" outlineLevel="0" collapsed="false">
      <c r="A45" s="14" t="s">
        <v>92</v>
      </c>
      <c r="B45" s="30" t="n">
        <f aca="false">B43/B44</f>
        <v>0.442039284226069</v>
      </c>
    </row>
    <row r="46" customFormat="false" ht="15" hidden="false" customHeight="false" outlineLevel="0" collapsed="false">
      <c r="A46" s="14" t="s">
        <v>93</v>
      </c>
      <c r="B46" s="46" t="n">
        <f aca="false">B7</f>
        <v>167600</v>
      </c>
    </row>
    <row r="47" customFormat="false" ht="15" hidden="false" customHeight="false" outlineLevel="0" collapsed="false">
      <c r="A47" s="24" t="s">
        <v>94</v>
      </c>
      <c r="B47" s="44" t="n">
        <f aca="false">B44+B46</f>
        <v>1226764.99451413</v>
      </c>
    </row>
    <row r="48" customFormat="false" ht="15" hidden="false" customHeight="false" outlineLevel="0" collapsed="false">
      <c r="A48" s="24" t="s">
        <v>183</v>
      </c>
      <c r="B48" s="48" t="n">
        <f aca="false">B47*$B$11/B6</f>
        <v>186835.972359752</v>
      </c>
    </row>
    <row r="49" customFormat="false" ht="15" hidden="false" customHeight="false" outlineLevel="0" collapsed="false">
      <c r="A49" s="14" t="s">
        <v>174</v>
      </c>
      <c r="B49" s="49" t="n">
        <f aca="false">B5</f>
        <v>256500</v>
      </c>
    </row>
    <row r="50" customFormat="false" ht="15" hidden="false" customHeight="false" outlineLevel="0" collapsed="false">
      <c r="A50" s="24" t="s">
        <v>96</v>
      </c>
      <c r="B50" s="37" t="n">
        <f aca="false">B48/B49-1</f>
        <v>-0.271594649669584</v>
      </c>
    </row>
    <row r="52" customFormat="false" ht="15" hidden="false" customHeight="false" outlineLevel="0" collapsed="false">
      <c r="A52" s="12" t="s">
        <v>97</v>
      </c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B53" s="23" t="s">
        <v>98</v>
      </c>
      <c r="C53" s="38" t="n">
        <f aca="false">$B$10+-0.01</f>
        <v>0.015</v>
      </c>
      <c r="D53" s="38" t="n">
        <f aca="false">$B$10+-0.005</f>
        <v>0.02</v>
      </c>
      <c r="E53" s="38" t="n">
        <f aca="false">$B$10</f>
        <v>0.025</v>
      </c>
      <c r="F53" s="38" t="n">
        <f aca="false">$B$10+0.005</f>
        <v>0.03</v>
      </c>
      <c r="G53" s="38" t="n">
        <f aca="false">$B$10+0.01</f>
        <v>0.035</v>
      </c>
    </row>
    <row r="54" customFormat="false" ht="15" hidden="false" customHeight="false" outlineLevel="0" collapsed="false">
      <c r="B54" s="39" t="n">
        <f aca="false">$B$9+-0.01</f>
        <v>0.105</v>
      </c>
      <c r="C54" s="50" t="n">
        <f aca="false">(SUMPRODUCT($C$27:$G$27,1/POWER(1+$B54,$C$30:$G$30))+$G$15*(1+C$53)*$B$35/($B54-C$53)/POWER(1+$B54,$G$30)+$B$7)*$B$11/$B$6</f>
        <v>190565.985823049</v>
      </c>
      <c r="D54" s="50" t="n">
        <f aca="false">(SUMPRODUCT($C$27:$G$27,1/POWER(1+$B54,$C$30:$G$30))+$G$15*(1+D$53)*$B$35/($B54-D$53)/POWER(1+$B54,$G$30)+$B$7)*$B$11/$B$6</f>
        <v>195274.888893328</v>
      </c>
      <c r="E54" s="50" t="n">
        <f aca="false">(SUMPRODUCT($C$27:$G$27,1/POWER(1+$B54,$C$30:$G$30))+$G$15*(1+E$53)*$B$35/($B54-E$53)/POWER(1+$B54,$G$30)+$B$7)*$B$11/$B$6</f>
        <v>200572.404847392</v>
      </c>
      <c r="F54" s="50" t="n">
        <f aca="false">(SUMPRODUCT($C$27:$G$27,1/POWER(1+$B54,$C$30:$G$30))+$G$15*(1+F$53)*$B$35/($B54-F$53)/POWER(1+$B54,$G$30)+$B$7)*$B$11/$B$6</f>
        <v>206576.256261998</v>
      </c>
      <c r="G54" s="50" t="n">
        <f aca="false">(SUMPRODUCT($C$27:$G$27,1/POWER(1+$B54,$C$30:$G$30))+$G$15*(1+G$53)*$B$35/($B54-G$53)/POWER(1+$B54,$G$30)+$B$7)*$B$11/$B$6</f>
        <v>213437.800735833</v>
      </c>
    </row>
    <row r="55" customFormat="false" ht="15" hidden="false" customHeight="false" outlineLevel="0" collapsed="false">
      <c r="B55" s="39" t="n">
        <f aca="false">$B$9+-0.005</f>
        <v>0.11</v>
      </c>
      <c r="C55" s="50" t="n">
        <f aca="false">(SUMPRODUCT($C$27:$G$27,1/POWER(1+$B55,$C$30:$G$30))+$G$15*(1+C$53)*$B$35/($B55-C$53)/POWER(1+$B55,$G$30)+$B$7)*$B$11/$B$6</f>
        <v>184536.391124897</v>
      </c>
      <c r="D55" s="50" t="n">
        <f aca="false">(SUMPRODUCT($C$27:$G$27,1/POWER(1+$B55,$C$30:$G$30))+$G$15*(1+D$53)*$B$35/($B55-D$53)/POWER(1+$B55,$G$30)+$B$7)*$B$11/$B$6</f>
        <v>188683.568576772</v>
      </c>
      <c r="E55" s="50" t="n">
        <f aca="false">(SUMPRODUCT($C$27:$G$27,1/POWER(1+$B55,$C$30:$G$30))+$G$15*(1+E$53)*$B$35/($B55-E$53)/POWER(1+$B55,$G$30)+$B$7)*$B$11/$B$6</f>
        <v>193318.64925828</v>
      </c>
      <c r="F55" s="50" t="n">
        <f aca="false">(SUMPRODUCT($C$27:$G$27,1/POWER(1+$B55,$C$30:$G$30))+$G$15*(1+F$53)*$B$35/($B55-F$53)/POWER(1+$B55,$G$30)+$B$7)*$B$11/$B$6</f>
        <v>198533.115024977</v>
      </c>
      <c r="G55" s="50" t="n">
        <f aca="false">(SUMPRODUCT($C$27:$G$27,1/POWER(1+$B55,$C$30:$G$30))+$G$15*(1+G$53)*$B$35/($B55-G$53)/POWER(1+$B55,$G$30)+$B$7)*$B$11/$B$6</f>
        <v>204442.842893899</v>
      </c>
    </row>
    <row r="56" customFormat="false" ht="15" hidden="false" customHeight="false" outlineLevel="0" collapsed="false">
      <c r="B56" s="39" t="n">
        <f aca="false">$B$9</f>
        <v>0.115</v>
      </c>
      <c r="C56" s="50" t="n">
        <f aca="false">(SUMPRODUCT($C$27:$G$27,1/POWER(1+$B56,$C$30:$G$30))+$G$15*(1+C$53)*$B$35/($B56-C$53)/POWER(1+$B56,$G$30)+$B$7)*$B$11/$B$6</f>
        <v>179079.314964324</v>
      </c>
      <c r="D56" s="50" t="n">
        <f aca="false">(SUMPRODUCT($C$27:$G$27,1/POWER(1+$B56,$C$30:$G$30))+$G$15*(1+D$53)*$B$35/($B56-D$53)/POWER(1+$B56,$G$30)+$B$7)*$B$11/$B$6</f>
        <v>182753.521099</v>
      </c>
      <c r="E56" s="51" t="n">
        <f aca="false">(SUMPRODUCT($C$27:$G$27,1/POWER(1+$B56,$C$30:$G$30))+$G$15*(1+E$53)*$B$35/($B56-E$53)/POWER(1+$B56,$G$30)+$B$7)*$B$11/$B$6</f>
        <v>186835.972359752</v>
      </c>
      <c r="F56" s="50" t="n">
        <f aca="false">(SUMPRODUCT($C$27:$G$27,1/POWER(1+$B56,$C$30:$G$30))+$G$15*(1+F$53)*$B$35/($B56-F$53)/POWER(1+$B56,$G$30)+$B$7)*$B$11/$B$6</f>
        <v>191398.712004121</v>
      </c>
      <c r="G56" s="50" t="n">
        <f aca="false">(SUMPRODUCT($C$27:$G$27,1/POWER(1+$B56,$C$30:$G$30))+$G$15*(1+G$53)*$B$35/($B56-G$53)/POWER(1+$B56,$G$30)+$B$7)*$B$11/$B$6</f>
        <v>196531.794104036</v>
      </c>
    </row>
    <row r="57" customFormat="false" ht="15" hidden="false" customHeight="false" outlineLevel="0" collapsed="false">
      <c r="B57" s="39" t="n">
        <f aca="false">$B$9+0.005</f>
        <v>0.12</v>
      </c>
      <c r="C57" s="50" t="n">
        <f aca="false">(SUMPRODUCT($C$27:$G$27,1/POWER(1+$B57,$C$30:$G$30))+$G$15*(1+C$53)*$B$35/($B57-C$53)/POWER(1+$B57,$G$30)+$B$7)*$B$11/$B$6</f>
        <v>174113.61014797</v>
      </c>
      <c r="D57" s="50" t="n">
        <f aca="false">(SUMPRODUCT($C$27:$G$27,1/POWER(1+$B57,$C$30:$G$30))+$G$15*(1+D$53)*$B$35/($B57-D$53)/POWER(1+$B57,$G$30)+$B$7)*$B$11/$B$6</f>
        <v>177386.239194396</v>
      </c>
      <c r="E57" s="50" t="n">
        <f aca="false">(SUMPRODUCT($C$27:$G$27,1/POWER(1+$B57,$C$30:$G$30))+$G$15*(1+E$53)*$B$35/($B57-E$53)/POWER(1+$B57,$G$30)+$B$7)*$B$11/$B$6</f>
        <v>181003.355508866</v>
      </c>
      <c r="F57" s="50" t="n">
        <f aca="false">(SUMPRODUCT($C$27:$G$27,1/POWER(1+$B57,$C$30:$G$30))+$G$15*(1+F$53)*$B$35/($B57-F$53)/POWER(1+$B57,$G$30)+$B$7)*$B$11/$B$6</f>
        <v>185022.373636056</v>
      </c>
      <c r="G57" s="50" t="n">
        <f aca="false">(SUMPRODUCT($C$27:$G$27,1/POWER(1+$B57,$C$30:$G$30))+$G$15*(1+G$53)*$B$35/($B57-G$53)/POWER(1+$B57,$G$30)+$B$7)*$B$11/$B$6</f>
        <v>189514.217425268</v>
      </c>
    </row>
    <row r="58" customFormat="false" ht="15" hidden="false" customHeight="false" outlineLevel="0" collapsed="false">
      <c r="B58" s="39" t="n">
        <f aca="false">$B$9+0.01</f>
        <v>0.125</v>
      </c>
      <c r="C58" s="50" t="n">
        <f aca="false">(SUMPRODUCT($C$27:$G$27,1/POWER(1+$B58,$C$30:$G$30))+$G$15*(1+C$53)*$B$35/($B58-C$53)/POWER(1+$B58,$G$30)+$B$7)*$B$11/$B$6</f>
        <v>169572.865720648</v>
      </c>
      <c r="D58" s="50" t="n">
        <f aca="false">(SUMPRODUCT($C$27:$G$27,1/POWER(1+$B58,$C$30:$G$30))+$G$15*(1+D$53)*$B$35/($B58-D$53)/POWER(1+$B58,$G$30)+$B$7)*$B$11/$B$6</f>
        <v>172501.959970772</v>
      </c>
      <c r="E58" s="50" t="n">
        <f aca="false">(SUMPRODUCT($C$27:$G$27,1/POWER(1+$B58,$C$30:$G$30))+$G$15*(1+E$53)*$B$35/($B58-E$53)/POWER(1+$B58,$G$30)+$B$7)*$B$11/$B$6</f>
        <v>175723.963645908</v>
      </c>
      <c r="F58" s="50" t="n">
        <f aca="false">(SUMPRODUCT($C$27:$G$27,1/POWER(1+$B58,$C$30:$G$30))+$G$15*(1+F$53)*$B$35/($B58-F$53)/POWER(1+$B58,$G$30)+$B$7)*$B$11/$B$6</f>
        <v>179285.125602638</v>
      </c>
      <c r="G58" s="50" t="n">
        <f aca="false">(SUMPRODUCT($C$27:$G$27,1/POWER(1+$B58,$C$30:$G$30))+$G$15*(1+G$53)*$B$35/($B58-G$53)/POWER(1+$B58,$G$30)+$B$7)*$B$11/$B$6</f>
        <v>183241.972221226</v>
      </c>
    </row>
    <row r="60" customFormat="false" ht="15" hidden="false" customHeight="false" outlineLevel="0" collapsed="false">
      <c r="A60" s="12" t="s">
        <v>99</v>
      </c>
      <c r="B60" s="13"/>
      <c r="C60" s="13"/>
      <c r="D60" s="13"/>
      <c r="E60" s="13"/>
      <c r="F60" s="13"/>
      <c r="G60" s="13"/>
    </row>
    <row r="61" customFormat="false" ht="48" hidden="false" customHeight="true" outlineLevel="0" collapsed="false">
      <c r="A61" s="42" t="s">
        <v>196</v>
      </c>
      <c r="B61" s="42"/>
      <c r="C61" s="42"/>
      <c r="D61" s="42"/>
      <c r="E61" s="42"/>
      <c r="F61" s="42"/>
      <c r="G61" s="42"/>
    </row>
    <row r="62" customFormat="false" ht="48" hidden="false" customHeight="true" outlineLevel="0" collapsed="false">
      <c r="A62" s="42" t="s">
        <v>197</v>
      </c>
      <c r="B62" s="42"/>
      <c r="C62" s="42"/>
      <c r="D62" s="42"/>
      <c r="E62" s="42"/>
      <c r="F62" s="42"/>
      <c r="G62" s="42"/>
    </row>
    <row r="63" customFormat="false" ht="36" hidden="false" customHeight="true" outlineLevel="0" collapsed="false">
      <c r="A63" s="42" t="s">
        <v>198</v>
      </c>
      <c r="B63" s="42"/>
      <c r="C63" s="42"/>
      <c r="D63" s="42"/>
      <c r="E63" s="42"/>
      <c r="F63" s="42"/>
      <c r="G63" s="42"/>
    </row>
    <row r="64" customFormat="false" ht="36" hidden="false" customHeight="true" outlineLevel="0" collapsed="false">
      <c r="A64" s="42" t="s">
        <v>199</v>
      </c>
      <c r="B64" s="42"/>
      <c r="C64" s="42"/>
      <c r="D64" s="42"/>
      <c r="E64" s="42"/>
      <c r="F64" s="42"/>
      <c r="G64" s="42"/>
    </row>
    <row r="65" customFormat="false" ht="24" hidden="false" customHeight="true" outlineLevel="0" collapsed="false">
      <c r="A65" s="42" t="s">
        <v>200</v>
      </c>
      <c r="B65" s="42"/>
      <c r="C65" s="42"/>
      <c r="D65" s="42"/>
      <c r="E65" s="42"/>
      <c r="F65" s="42"/>
      <c r="G65" s="42"/>
    </row>
  </sheetData>
  <mergeCells count="5">
    <mergeCell ref="A61:G61"/>
    <mergeCell ref="A62:G62"/>
    <mergeCell ref="A63:G63"/>
    <mergeCell ref="A64:G64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15" hidden="false" customHeight="false" outlineLevel="0" collapsed="false">
      <c r="A4" s="12" t="s">
        <v>44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45</v>
      </c>
      <c r="B5" s="15" t="n">
        <v>1596.08</v>
      </c>
      <c r="C5" s="16" t="s">
        <v>203</v>
      </c>
    </row>
    <row r="6" customFormat="false" ht="15" hidden="false" customHeight="false" outlineLevel="0" collapsed="false">
      <c r="A6" s="14" t="s">
        <v>47</v>
      </c>
      <c r="B6" s="17" t="n">
        <v>155</v>
      </c>
      <c r="C6" s="16" t="s">
        <v>204</v>
      </c>
    </row>
    <row r="7" customFormat="false" ht="15" hidden="false" customHeight="false" outlineLevel="0" collapsed="false">
      <c r="A7" s="14" t="s">
        <v>49</v>
      </c>
      <c r="B7" s="18" t="n">
        <v>4762</v>
      </c>
      <c r="C7" s="16" t="s">
        <v>205</v>
      </c>
    </row>
    <row r="8" customFormat="false" ht="15" hidden="false" customHeight="false" outlineLevel="0" collapsed="false">
      <c r="A8" s="14" t="s">
        <v>51</v>
      </c>
      <c r="B8" s="19" t="n">
        <v>0.17</v>
      </c>
      <c r="C8" s="16" t="s">
        <v>206</v>
      </c>
    </row>
    <row r="9" customFormat="false" ht="15" hidden="false" customHeight="false" outlineLevel="0" collapsed="false">
      <c r="A9" s="14" t="s">
        <v>53</v>
      </c>
      <c r="B9" s="20" t="n">
        <v>0.125</v>
      </c>
    </row>
    <row r="10" customFormat="false" ht="15" hidden="false" customHeight="false" outlineLevel="0" collapsed="false">
      <c r="A10" s="14" t="s">
        <v>54</v>
      </c>
      <c r="B10" s="20" t="n">
        <v>0.03</v>
      </c>
    </row>
    <row r="11" customFormat="false" ht="15" hidden="false" customHeight="false" outlineLevel="0" collapsed="false">
      <c r="A11" s="14" t="s">
        <v>55</v>
      </c>
      <c r="B11" s="21" t="n">
        <v>1</v>
      </c>
      <c r="C11" s="16" t="s">
        <v>56</v>
      </c>
    </row>
    <row r="13" customFormat="false" ht="15" hidden="false" customHeight="false" outlineLevel="0" collapsed="false">
      <c r="A13" s="12" t="s">
        <v>57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22" t="s">
        <v>58</v>
      </c>
      <c r="B14" s="23" t="s">
        <v>111</v>
      </c>
      <c r="C14" s="23" t="s">
        <v>60</v>
      </c>
      <c r="D14" s="23" t="s">
        <v>61</v>
      </c>
      <c r="E14" s="23" t="s">
        <v>62</v>
      </c>
      <c r="F14" s="23" t="s">
        <v>63</v>
      </c>
      <c r="G14" s="23" t="s">
        <v>64</v>
      </c>
    </row>
    <row r="15" customFormat="false" ht="15" hidden="false" customHeight="false" outlineLevel="0" collapsed="false">
      <c r="A15" s="24" t="s">
        <v>65</v>
      </c>
      <c r="B15" s="18" t="n">
        <v>20254</v>
      </c>
      <c r="C15" s="25" t="n">
        <f aca="false">B15*(1+C16)</f>
        <v>48812.14</v>
      </c>
      <c r="D15" s="25" t="n">
        <f aca="false">C15*(1+D16)</f>
        <v>57598.3252</v>
      </c>
      <c r="E15" s="25" t="n">
        <f aca="false">D15*(1+E16)</f>
        <v>60478.24146</v>
      </c>
      <c r="F15" s="25" t="n">
        <f aca="false">E15*(1+F16)</f>
        <v>53220.8524848</v>
      </c>
      <c r="G15" s="25" t="n">
        <f aca="false">F15*(1+G16)</f>
        <v>57478.520683584</v>
      </c>
    </row>
    <row r="16" customFormat="false" ht="15" hidden="false" customHeight="false" outlineLevel="0" collapsed="false">
      <c r="A16" s="14" t="s">
        <v>66</v>
      </c>
      <c r="B16" s="26" t="n">
        <v>1.75</v>
      </c>
      <c r="C16" s="20" t="n">
        <v>1.41</v>
      </c>
      <c r="D16" s="20" t="n">
        <v>0.18</v>
      </c>
      <c r="E16" s="20" t="n">
        <v>0.05</v>
      </c>
      <c r="F16" s="20" t="n">
        <v>-0.12</v>
      </c>
      <c r="G16" s="20" t="n">
        <v>0.08</v>
      </c>
    </row>
    <row r="17" customFormat="false" ht="15" hidden="false" customHeight="false" outlineLevel="0" collapsed="false">
      <c r="A17" s="14" t="s">
        <v>67</v>
      </c>
      <c r="B17" s="26" t="n">
        <v>0.64</v>
      </c>
      <c r="C17" s="20" t="n">
        <v>0.72</v>
      </c>
      <c r="D17" s="20" t="n">
        <v>0.66</v>
      </c>
      <c r="E17" s="20" t="n">
        <v>0.55</v>
      </c>
      <c r="F17" s="20" t="n">
        <v>0.38</v>
      </c>
      <c r="G17" s="20" t="n">
        <v>0.48</v>
      </c>
    </row>
    <row r="18" customFormat="false" ht="15" hidden="false" customHeight="false" outlineLevel="0" collapsed="false">
      <c r="A18" s="14" t="s">
        <v>68</v>
      </c>
      <c r="B18" s="27" t="n">
        <f aca="false">B15*B17</f>
        <v>12962.56</v>
      </c>
      <c r="C18" s="28" t="n">
        <f aca="false">C15*C17</f>
        <v>35144.7408</v>
      </c>
      <c r="D18" s="28" t="n">
        <f aca="false">D15*D17</f>
        <v>38014.894632</v>
      </c>
      <c r="E18" s="28" t="n">
        <f aca="false">E15*E17</f>
        <v>33263.032803</v>
      </c>
      <c r="F18" s="28" t="n">
        <f aca="false">F15*F17</f>
        <v>20223.923944224</v>
      </c>
      <c r="G18" s="28" t="n">
        <f aca="false">G15*G17</f>
        <v>27589.6899281203</v>
      </c>
    </row>
    <row r="19" customFormat="false" ht="15" hidden="false" customHeight="false" outlineLevel="0" collapsed="false">
      <c r="A19" s="14" t="s">
        <v>69</v>
      </c>
      <c r="C19" s="28" t="n">
        <f aca="false">-C18*$B$8</f>
        <v>-5974.605936</v>
      </c>
      <c r="D19" s="28" t="n">
        <f aca="false">-D18*$B$8</f>
        <v>-6462.53208744</v>
      </c>
      <c r="E19" s="28" t="n">
        <f aca="false">-E18*$B$8</f>
        <v>-5654.71557651</v>
      </c>
      <c r="F19" s="28" t="n">
        <f aca="false">-F18*$B$8</f>
        <v>-3438.06707051808</v>
      </c>
      <c r="G19" s="28" t="n">
        <f aca="false">-G18*$B$8</f>
        <v>-4690.24728778046</v>
      </c>
    </row>
    <row r="20" customFormat="false" ht="15" hidden="false" customHeight="false" outlineLevel="0" collapsed="false">
      <c r="A20" s="14" t="s">
        <v>70</v>
      </c>
      <c r="C20" s="28" t="n">
        <f aca="false">C18+C19</f>
        <v>29170.134864</v>
      </c>
      <c r="D20" s="28" t="n">
        <f aca="false">D18+D19</f>
        <v>31552.36254456</v>
      </c>
      <c r="E20" s="28" t="n">
        <f aca="false">E18+E19</f>
        <v>27608.31722649</v>
      </c>
      <c r="F20" s="28" t="n">
        <f aca="false">F18+F19</f>
        <v>16785.8568737059</v>
      </c>
      <c r="G20" s="28" t="n">
        <f aca="false">G18+G19</f>
        <v>22899.4426403399</v>
      </c>
    </row>
    <row r="21" customFormat="false" ht="15" hidden="false" customHeight="false" outlineLevel="0" collapsed="false">
      <c r="A21" s="14" t="s">
        <v>71</v>
      </c>
      <c r="C21" s="19" t="n">
        <v>0.06</v>
      </c>
      <c r="D21" s="19" t="n">
        <v>0.06</v>
      </c>
      <c r="E21" s="19" t="n">
        <v>0.06</v>
      </c>
      <c r="F21" s="19" t="n">
        <v>0.06</v>
      </c>
      <c r="G21" s="19" t="n">
        <v>0.06</v>
      </c>
    </row>
    <row r="22" customFormat="false" ht="15" hidden="false" customHeight="false" outlineLevel="0" collapsed="false">
      <c r="A22" s="14" t="s">
        <v>72</v>
      </c>
      <c r="C22" s="28" t="n">
        <f aca="false">C15*C21</f>
        <v>2928.7284</v>
      </c>
      <c r="D22" s="28" t="n">
        <f aca="false">D15*D21</f>
        <v>3455.899512</v>
      </c>
      <c r="E22" s="28" t="n">
        <f aca="false">E15*E21</f>
        <v>3628.6944876</v>
      </c>
      <c r="F22" s="28" t="n">
        <f aca="false">F15*F21</f>
        <v>3193.251149088</v>
      </c>
      <c r="G22" s="28" t="n">
        <f aca="false">G15*G21</f>
        <v>3448.71124101504</v>
      </c>
    </row>
    <row r="23" customFormat="false" ht="15" hidden="false" customHeight="false" outlineLevel="0" collapsed="false">
      <c r="A23" s="14" t="s">
        <v>73</v>
      </c>
      <c r="C23" s="19" t="n">
        <v>0.08</v>
      </c>
      <c r="D23" s="19" t="n">
        <v>0.08</v>
      </c>
      <c r="E23" s="19" t="n">
        <v>0.08</v>
      </c>
      <c r="F23" s="19" t="n">
        <v>0.08</v>
      </c>
      <c r="G23" s="19" t="n">
        <v>0.08</v>
      </c>
    </row>
    <row r="24" customFormat="false" ht="15" hidden="false" customHeight="false" outlineLevel="0" collapsed="false">
      <c r="A24" s="14" t="s">
        <v>74</v>
      </c>
      <c r="C24" s="28" t="n">
        <f aca="false">-C15*C23</f>
        <v>-3904.9712</v>
      </c>
      <c r="D24" s="28" t="n">
        <f aca="false">-D15*D23</f>
        <v>-4607.866016</v>
      </c>
      <c r="E24" s="28" t="n">
        <f aca="false">-E15*E23</f>
        <v>-4838.2593168</v>
      </c>
      <c r="F24" s="28" t="n">
        <f aca="false">-F15*F23</f>
        <v>-4257.668198784</v>
      </c>
      <c r="G24" s="28" t="n">
        <f aca="false">-G15*G23</f>
        <v>-4598.28165468672</v>
      </c>
    </row>
    <row r="25" customFormat="false" ht="15" hidden="false" customHeight="false" outlineLevel="0" collapsed="false">
      <c r="A25" s="14" t="s">
        <v>75</v>
      </c>
      <c r="C25" s="19" t="n">
        <v>0.12</v>
      </c>
      <c r="D25" s="19" t="n">
        <v>0.12</v>
      </c>
      <c r="E25" s="19" t="n">
        <v>0.12</v>
      </c>
      <c r="F25" s="19" t="n">
        <v>0.12</v>
      </c>
      <c r="G25" s="19" t="n">
        <v>0.12</v>
      </c>
    </row>
    <row r="26" customFormat="false" ht="15" hidden="false" customHeight="false" outlineLevel="0" collapsed="false">
      <c r="A26" s="14" t="s">
        <v>76</v>
      </c>
      <c r="C26" s="28" t="n">
        <f aca="false">-(C15-B15)*C25</f>
        <v>-3426.9768</v>
      </c>
      <c r="D26" s="28" t="n">
        <f aca="false">-(D15-C15)*D25</f>
        <v>-1054.342224</v>
      </c>
      <c r="E26" s="28" t="n">
        <f aca="false">-(E15-D15)*E25</f>
        <v>-345.589951200001</v>
      </c>
      <c r="F26" s="28" t="n">
        <f aca="false">-(F15-E15)*F25</f>
        <v>870.886677024</v>
      </c>
      <c r="G26" s="28" t="n">
        <f aca="false">-(G15-F15)*G25</f>
        <v>-510.920183854081</v>
      </c>
    </row>
    <row r="27" customFormat="false" ht="15" hidden="false" customHeight="false" outlineLevel="0" collapsed="false">
      <c r="A27" s="24" t="s">
        <v>77</v>
      </c>
      <c r="C27" s="29" t="n">
        <f aca="false">C20+C22+C24+C26</f>
        <v>24766.915264</v>
      </c>
      <c r="D27" s="29" t="n">
        <f aca="false">D20+D22+D24+D26</f>
        <v>29346.05381656</v>
      </c>
      <c r="E27" s="29" t="n">
        <f aca="false">E20+E22+E24+E26</f>
        <v>26053.16244609</v>
      </c>
      <c r="F27" s="29" t="n">
        <f aca="false">F20+F22+F24+F26</f>
        <v>16592.3265010339</v>
      </c>
      <c r="G27" s="29" t="n">
        <f aca="false">G20+G22+G24+G26</f>
        <v>21238.9520428141</v>
      </c>
    </row>
    <row r="28" customFormat="false" ht="15" hidden="false" customHeight="false" outlineLevel="0" collapsed="false">
      <c r="A28" s="14" t="s">
        <v>78</v>
      </c>
      <c r="C28" s="30" t="n">
        <f aca="false">C27/C15</f>
        <v>0.507392531120332</v>
      </c>
      <c r="D28" s="30" t="n">
        <f aca="false">D27/D15</f>
        <v>0.509494915254237</v>
      </c>
      <c r="E28" s="30" t="n">
        <f aca="false">E27/E15</f>
        <v>0.430785714285714</v>
      </c>
      <c r="F28" s="30" t="n">
        <f aca="false">F27/F15</f>
        <v>0.311763636363636</v>
      </c>
      <c r="G28" s="30" t="n">
        <f aca="false">G27/G15</f>
        <v>0.369511111111111</v>
      </c>
    </row>
    <row r="30" customFormat="false" ht="15" hidden="false" customHeight="false" outlineLevel="0" collapsed="false">
      <c r="A30" s="14" t="s">
        <v>79</v>
      </c>
      <c r="C30" s="31" t="n">
        <v>0.5</v>
      </c>
      <c r="D30" s="32" t="n">
        <f aca="false">C30+1</f>
        <v>1.5</v>
      </c>
      <c r="E30" s="32" t="n">
        <f aca="false">D30+1</f>
        <v>2.5</v>
      </c>
      <c r="F30" s="32" t="n">
        <f aca="false">E30+1</f>
        <v>3.5</v>
      </c>
      <c r="G30" s="32" t="n">
        <f aca="false">F30+1</f>
        <v>4.5</v>
      </c>
    </row>
    <row r="31" customFormat="false" ht="15" hidden="false" customHeight="false" outlineLevel="0" collapsed="false">
      <c r="A31" s="14" t="s">
        <v>80</v>
      </c>
      <c r="C31" s="33" t="n">
        <f aca="false">1/POWER(1+$B$9,C30)</f>
        <v>0.942809041582064</v>
      </c>
      <c r="D31" s="33" t="n">
        <f aca="false">1/POWER(1+$B$9,D30)</f>
        <v>0.838052481406279</v>
      </c>
      <c r="E31" s="33" t="n">
        <f aca="false">1/POWER(1+$B$9,E30)</f>
        <v>0.744935539027803</v>
      </c>
      <c r="F31" s="33" t="n">
        <f aca="false">1/POWER(1+$B$9,F30)</f>
        <v>0.66216492358027</v>
      </c>
      <c r="G31" s="33" t="n">
        <f aca="false">1/POWER(1+$B$9,G30)</f>
        <v>0.588591043182462</v>
      </c>
    </row>
    <row r="32" customFormat="false" ht="15" hidden="false" customHeight="false" outlineLevel="0" collapsed="false">
      <c r="A32" s="24" t="s">
        <v>81</v>
      </c>
      <c r="C32" s="25" t="n">
        <f aca="false">C27*C31</f>
        <v>23350.471642996</v>
      </c>
      <c r="D32" s="25" t="n">
        <f aca="false">D27*D31</f>
        <v>24593.5332204503</v>
      </c>
      <c r="E32" s="25" t="n">
        <f aca="false">E27*E31</f>
        <v>19407.926610157</v>
      </c>
      <c r="F32" s="25" t="n">
        <f aca="false">F27*F31</f>
        <v>10986.856609576</v>
      </c>
      <c r="G32" s="25" t="n">
        <f aca="false">G27*G31</f>
        <v>12501.0569389822</v>
      </c>
    </row>
    <row r="34" customFormat="false" ht="15" hidden="false" customHeight="false" outlineLevel="0" collapsed="false">
      <c r="A34" s="12" t="s">
        <v>82</v>
      </c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4" t="s">
        <v>83</v>
      </c>
      <c r="B35" s="20" t="n">
        <v>0.22</v>
      </c>
      <c r="C35" s="16" t="s">
        <v>207</v>
      </c>
    </row>
    <row r="36" customFormat="false" ht="15" hidden="false" customHeight="false" outlineLevel="0" collapsed="false">
      <c r="A36" s="14" t="s">
        <v>85</v>
      </c>
      <c r="B36" s="28" t="n">
        <f aca="false">G15*(1+$B$10)*B35</f>
        <v>13024.6327869001</v>
      </c>
    </row>
    <row r="37" customFormat="false" ht="15" hidden="false" customHeight="false" outlineLevel="0" collapsed="false">
      <c r="A37" s="14" t="s">
        <v>86</v>
      </c>
      <c r="B37" s="28" t="n">
        <f aca="false">B36/($B$9-$B$10)</f>
        <v>137101.397756844</v>
      </c>
    </row>
    <row r="38" customFormat="false" ht="15" hidden="false" customHeight="false" outlineLevel="0" collapsed="false">
      <c r="A38" s="14" t="s">
        <v>87</v>
      </c>
      <c r="B38" s="28" t="n">
        <f aca="false">B37*G31</f>
        <v>80696.6547274742</v>
      </c>
    </row>
    <row r="39" customFormat="false" ht="15" hidden="false" customHeight="false" outlineLevel="0" collapsed="false">
      <c r="A39" s="14" t="s">
        <v>88</v>
      </c>
      <c r="B39" s="34" t="n">
        <f aca="false">B37/G27</f>
        <v>6.45518655913298</v>
      </c>
    </row>
    <row r="41" customFormat="false" ht="15" hidden="false" customHeight="false" outlineLevel="0" collapsed="false">
      <c r="A41" s="12" t="s">
        <v>89</v>
      </c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4" t="s">
        <v>90</v>
      </c>
      <c r="B42" s="28" t="n">
        <f aca="false">SUM(C32:G32)</f>
        <v>90839.8450221615</v>
      </c>
    </row>
    <row r="43" customFormat="false" ht="15" hidden="false" customHeight="false" outlineLevel="0" collapsed="false">
      <c r="A43" s="14" t="s">
        <v>87</v>
      </c>
      <c r="B43" s="28" t="n">
        <f aca="false">B38</f>
        <v>80696.6547274742</v>
      </c>
    </row>
    <row r="44" customFormat="false" ht="15" hidden="false" customHeight="false" outlineLevel="0" collapsed="false">
      <c r="A44" s="24" t="s">
        <v>91</v>
      </c>
      <c r="B44" s="25" t="n">
        <f aca="false">B42+B43</f>
        <v>171536.499749636</v>
      </c>
    </row>
    <row r="45" customFormat="false" ht="15" hidden="false" customHeight="false" outlineLevel="0" collapsed="false">
      <c r="A45" s="14" t="s">
        <v>92</v>
      </c>
      <c r="B45" s="30" t="n">
        <f aca="false">B43/B44</f>
        <v>0.470434308996943</v>
      </c>
    </row>
    <row r="46" customFormat="false" ht="15" hidden="false" customHeight="false" outlineLevel="0" collapsed="false">
      <c r="A46" s="14" t="s">
        <v>93</v>
      </c>
      <c r="B46" s="28" t="n">
        <f aca="false">B7</f>
        <v>4762</v>
      </c>
    </row>
    <row r="47" customFormat="false" ht="15" hidden="false" customHeight="false" outlineLevel="0" collapsed="false">
      <c r="A47" s="24" t="s">
        <v>94</v>
      </c>
      <c r="B47" s="25" t="n">
        <f aca="false">B44+B46</f>
        <v>176298.499749636</v>
      </c>
    </row>
    <row r="48" customFormat="false" ht="15" hidden="false" customHeight="false" outlineLevel="0" collapsed="false">
      <c r="A48" s="24" t="s">
        <v>95</v>
      </c>
      <c r="B48" s="35" t="n">
        <f aca="false">B47*$B$11/B6</f>
        <v>1137.4096758041</v>
      </c>
    </row>
    <row r="49" customFormat="false" ht="15" hidden="false" customHeight="false" outlineLevel="0" collapsed="false">
      <c r="A49" s="14" t="s">
        <v>45</v>
      </c>
      <c r="B49" s="36" t="n">
        <f aca="false">B5</f>
        <v>1596.08</v>
      </c>
    </row>
    <row r="50" customFormat="false" ht="15" hidden="false" customHeight="false" outlineLevel="0" collapsed="false">
      <c r="A50" s="24" t="s">
        <v>96</v>
      </c>
      <c r="B50" s="37" t="n">
        <f aca="false">B48/B49-1</f>
        <v>-0.287373016512893</v>
      </c>
    </row>
    <row r="52" customFormat="false" ht="15" hidden="false" customHeight="false" outlineLevel="0" collapsed="false">
      <c r="A52" s="12" t="s">
        <v>97</v>
      </c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B53" s="23" t="s">
        <v>98</v>
      </c>
      <c r="C53" s="38" t="n">
        <f aca="false">$B$10+-0.01</f>
        <v>0.02</v>
      </c>
      <c r="D53" s="38" t="n">
        <f aca="false">$B$10+-0.005</f>
        <v>0.025</v>
      </c>
      <c r="E53" s="38" t="n">
        <f aca="false">$B$10</f>
        <v>0.03</v>
      </c>
      <c r="F53" s="38" t="n">
        <f aca="false">$B$10+0.005</f>
        <v>0.035</v>
      </c>
      <c r="G53" s="38" t="n">
        <f aca="false">$B$10+0.01</f>
        <v>0.04</v>
      </c>
    </row>
    <row r="54" customFormat="false" ht="15" hidden="false" customHeight="false" outlineLevel="0" collapsed="false">
      <c r="B54" s="39" t="n">
        <f aca="false">$B$9+-0.01</f>
        <v>0.115</v>
      </c>
      <c r="C54" s="40" t="n">
        <f aca="false">(SUMPRODUCT($C$27:$G$27,1/POWER(1+$B54,$C$30:$G$30))+$G$15*(1+C$53)*$B$35/($B54-C$53)/POWER(1+$B54,$G$30)+$B$7)*$B$11/$B$6</f>
        <v>1164.68812291094</v>
      </c>
      <c r="D54" s="40" t="n">
        <f aca="false">(SUMPRODUCT($C$27:$G$27,1/POWER(1+$B54,$C$30:$G$30))+$G$15*(1+D$53)*$B$35/($B54-D$53)/POWER(1+$B54,$G$30)+$B$7)*$B$11/$B$6</f>
        <v>1197.28217975683</v>
      </c>
      <c r="E54" s="40" t="n">
        <f aca="false">(SUMPRODUCT($C$27:$G$27,1/POWER(1+$B54,$C$30:$G$30))+$G$15*(1+E$53)*$B$35/($B54-E$53)/POWER(1+$B54,$G$30)+$B$7)*$B$11/$B$6</f>
        <v>1233.71083152576</v>
      </c>
      <c r="F54" s="40" t="n">
        <f aca="false">(SUMPRODUCT($C$27:$G$27,1/POWER(1+$B54,$C$30:$G$30))+$G$15*(1+F$53)*$B$35/($B54-F$53)/POWER(1+$B54,$G$30)+$B$7)*$B$11/$B$6</f>
        <v>1274.69306476581</v>
      </c>
      <c r="G54" s="40" t="n">
        <f aca="false">(SUMPRODUCT($C$27:$G$27,1/POWER(1+$B54,$C$30:$G$30))+$G$15*(1+G$53)*$B$35/($B54-G$53)/POWER(1+$B54,$G$30)+$B$7)*$B$11/$B$6</f>
        <v>1321.1395957712</v>
      </c>
    </row>
    <row r="55" customFormat="false" ht="15" hidden="false" customHeight="false" outlineLevel="0" collapsed="false">
      <c r="B55" s="39" t="n">
        <f aca="false">$B$9+-0.005</f>
        <v>0.12</v>
      </c>
      <c r="C55" s="40" t="n">
        <f aca="false">(SUMPRODUCT($C$27:$G$27,1/POWER(1+$B55,$C$30:$G$30))+$G$15*(1+C$53)*$B$35/($B55-C$53)/POWER(1+$B55,$G$30)+$B$7)*$B$11/$B$6</f>
        <v>1122.04174509479</v>
      </c>
      <c r="D55" s="40" t="n">
        <f aca="false">(SUMPRODUCT($C$27:$G$27,1/POWER(1+$B55,$C$30:$G$30))+$G$15*(1+D$53)*$B$35/($B55-D$53)/POWER(1+$B55,$G$30)+$B$7)*$B$11/$B$6</f>
        <v>1150.92059440415</v>
      </c>
      <c r="E55" s="40" t="n">
        <f aca="false">(SUMPRODUCT($C$27:$G$27,1/POWER(1+$B55,$C$30:$G$30))+$G$15*(1+E$53)*$B$35/($B55-E$53)/POWER(1+$B55,$G$30)+$B$7)*$B$11/$B$6</f>
        <v>1183.00820474788</v>
      </c>
      <c r="F55" s="40" t="n">
        <f aca="false">(SUMPRODUCT($C$27:$G$27,1/POWER(1+$B55,$C$30:$G$30))+$G$15*(1+F$53)*$B$35/($B55-F$53)/POWER(1+$B55,$G$30)+$B$7)*$B$11/$B$6</f>
        <v>1218.87082807323</v>
      </c>
      <c r="G55" s="40" t="n">
        <f aca="false">(SUMPRODUCT($C$27:$G$27,1/POWER(1+$B55,$C$30:$G$30))+$G$15*(1+G$53)*$B$35/($B55-G$53)/POWER(1+$B55,$G$30)+$B$7)*$B$11/$B$6</f>
        <v>1259.21627931425</v>
      </c>
    </row>
    <row r="56" customFormat="false" ht="15" hidden="false" customHeight="false" outlineLevel="0" collapsed="false">
      <c r="B56" s="39" t="n">
        <f aca="false">$B$9</f>
        <v>0.125</v>
      </c>
      <c r="C56" s="40" t="n">
        <f aca="false">(SUMPRODUCT($C$27:$G$27,1/POWER(1+$B56,$C$30:$G$30))+$G$15*(1+C$53)*$B$35/($B56-C$53)/POWER(1+$B56,$G$30)+$B$7)*$B$11/$B$6</f>
        <v>1083.25327023334</v>
      </c>
      <c r="D56" s="40" t="n">
        <f aca="false">(SUMPRODUCT($C$27:$G$27,1/POWER(1+$B56,$C$30:$G$30))+$G$15*(1+D$53)*$B$35/($B56-D$53)/POWER(1+$B56,$G$30)+$B$7)*$B$11/$B$6</f>
        <v>1108.97756287945</v>
      </c>
      <c r="E56" s="41" t="n">
        <f aca="false">(SUMPRODUCT($C$27:$G$27,1/POWER(1+$B56,$C$30:$G$30))+$G$15*(1+E$53)*$B$35/($B56-E$53)/POWER(1+$B56,$G$30)+$B$7)*$B$11/$B$6</f>
        <v>1137.4096758041</v>
      </c>
      <c r="F56" s="40" t="n">
        <f aca="false">(SUMPRODUCT($C$27:$G$27,1/POWER(1+$B56,$C$30:$G$30))+$G$15*(1+F$53)*$B$35/($B56-F$53)/POWER(1+$B56,$G$30)+$B$7)*$B$11/$B$6</f>
        <v>1169.00091238705</v>
      </c>
      <c r="G56" s="40" t="n">
        <f aca="false">(SUMPRODUCT($C$27:$G$27,1/POWER(1+$B56,$C$30:$G$30))+$G$15*(1+G$53)*$B$35/($B56-G$53)/POWER(1+$B56,$G$30)+$B$7)*$B$11/$B$6</f>
        <v>1204.30876503857</v>
      </c>
    </row>
    <row r="57" customFormat="false" ht="15" hidden="false" customHeight="false" outlineLevel="0" collapsed="false">
      <c r="B57" s="39" t="n">
        <f aca="false">$B$9+0.005</f>
        <v>0.13</v>
      </c>
      <c r="C57" s="40" t="n">
        <f aca="false">(SUMPRODUCT($C$27:$G$27,1/POWER(1+$B57,$C$30:$G$30))+$G$15*(1+C$53)*$B$35/($B57-C$53)/POWER(1+$B57,$G$30)+$B$7)*$B$11/$B$6</f>
        <v>1047.80143569215</v>
      </c>
      <c r="D57" s="40" t="n">
        <f aca="false">(SUMPRODUCT($C$27:$G$27,1/POWER(1+$B57,$C$30:$G$30))+$G$15*(1+D$53)*$B$35/($B57-D$53)/POWER(1+$B57,$G$30)+$B$7)*$B$11/$B$6</f>
        <v>1070.82698675398</v>
      </c>
      <c r="E57" s="40" t="n">
        <f aca="false">(SUMPRODUCT($C$27:$G$27,1/POWER(1+$B57,$C$30:$G$30))+$G$15*(1+E$53)*$B$35/($B57-E$53)/POWER(1+$B57,$G$30)+$B$7)*$B$11/$B$6</f>
        <v>1096.15509292199</v>
      </c>
      <c r="F57" s="40" t="n">
        <f aca="false">(SUMPRODUCT($C$27:$G$27,1/POWER(1+$B57,$C$30:$G$30))+$G$15*(1+F$53)*$B$35/($B57-F$53)/POWER(1+$B57,$G$30)+$B$7)*$B$11/$B$6</f>
        <v>1124.14931552873</v>
      </c>
      <c r="G57" s="40" t="n">
        <f aca="false">(SUMPRODUCT($C$27:$G$27,1/POWER(1+$B57,$C$30:$G$30))+$G$15*(1+G$53)*$B$35/($B57-G$53)/POWER(1+$B57,$G$30)+$B$7)*$B$11/$B$6</f>
        <v>1155.25400731401</v>
      </c>
    </row>
    <row r="58" customFormat="false" ht="15" hidden="false" customHeight="false" outlineLevel="0" collapsed="false">
      <c r="B58" s="39" t="n">
        <f aca="false">$B$9+0.01</f>
        <v>0.135</v>
      </c>
      <c r="C58" s="40" t="n">
        <f aca="false">(SUMPRODUCT($C$27:$G$27,1/POWER(1+$B58,$C$30:$G$30))+$G$15*(1+C$53)*$B$35/($B58-C$53)/POWER(1+$B58,$G$30)+$B$7)*$B$11/$B$6</f>
        <v>1015.25549268351</v>
      </c>
      <c r="D58" s="40" t="n">
        <f aca="false">(SUMPRODUCT($C$27:$G$27,1/POWER(1+$B58,$C$30:$G$30))+$G$15*(1+D$53)*$B$35/($B58-D$53)/POWER(1+$B58,$G$30)+$B$7)*$B$11/$B$6</f>
        <v>1035.95645469368</v>
      </c>
      <c r="E58" s="40" t="n">
        <f aca="false">(SUMPRODUCT($C$27:$G$27,1/POWER(1+$B58,$C$30:$G$30))+$G$15*(1+E$53)*$B$35/($B58-E$53)/POWER(1+$B58,$G$30)+$B$7)*$B$11/$B$6</f>
        <v>1058.6289368953</v>
      </c>
      <c r="F58" s="40" t="n">
        <f aca="false">(SUMPRODUCT($C$27:$G$27,1/POWER(1+$B58,$C$30:$G$30))+$G$15*(1+F$53)*$B$35/($B58-F$53)/POWER(1+$B58,$G$30)+$B$7)*$B$11/$B$6</f>
        <v>1083.56866731708</v>
      </c>
      <c r="G58" s="40" t="n">
        <f aca="false">(SUMPRODUCT($C$27:$G$27,1/POWER(1+$B58,$C$30:$G$30))+$G$15*(1+G$53)*$B$35/($B58-G$53)/POWER(1+$B58,$G$30)+$B$7)*$B$11/$B$6</f>
        <v>1111.1336325201</v>
      </c>
    </row>
    <row r="60" customFormat="false" ht="15" hidden="false" customHeight="false" outlineLevel="0" collapsed="false">
      <c r="A60" s="12" t="s">
        <v>99</v>
      </c>
      <c r="B60" s="13"/>
      <c r="C60" s="13"/>
      <c r="D60" s="13"/>
      <c r="E60" s="13"/>
      <c r="F60" s="13"/>
      <c r="G60" s="13"/>
    </row>
    <row r="61" customFormat="false" ht="72" hidden="false" customHeight="true" outlineLevel="0" collapsed="false">
      <c r="A61" s="42" t="s">
        <v>208</v>
      </c>
      <c r="B61" s="42"/>
      <c r="C61" s="42"/>
      <c r="D61" s="42"/>
      <c r="E61" s="42"/>
      <c r="F61" s="42"/>
      <c r="G61" s="42"/>
    </row>
    <row r="62" customFormat="false" ht="48" hidden="false" customHeight="true" outlineLevel="0" collapsed="false">
      <c r="A62" s="42" t="s">
        <v>209</v>
      </c>
      <c r="B62" s="42"/>
      <c r="C62" s="42"/>
      <c r="D62" s="42"/>
      <c r="E62" s="42"/>
      <c r="F62" s="42"/>
      <c r="G62" s="42"/>
    </row>
    <row r="63" customFormat="false" ht="12" hidden="false" customHeight="true" outlineLevel="0" collapsed="false">
      <c r="A63" s="42" t="s">
        <v>210</v>
      </c>
      <c r="B63" s="42"/>
      <c r="C63" s="42"/>
      <c r="D63" s="42"/>
      <c r="E63" s="42"/>
      <c r="F63" s="42"/>
      <c r="G63" s="42"/>
    </row>
    <row r="64" customFormat="false" ht="36" hidden="false" customHeight="true" outlineLevel="0" collapsed="false">
      <c r="A64" s="42" t="s">
        <v>211</v>
      </c>
      <c r="B64" s="42"/>
      <c r="C64" s="42"/>
      <c r="D64" s="42"/>
      <c r="E64" s="42"/>
      <c r="F64" s="42"/>
      <c r="G64" s="42"/>
    </row>
    <row r="65" customFormat="false" ht="24" hidden="false" customHeight="true" outlineLevel="0" collapsed="false">
      <c r="A65" s="42" t="s">
        <v>212</v>
      </c>
      <c r="B65" s="42"/>
      <c r="C65" s="42"/>
      <c r="D65" s="42"/>
      <c r="E65" s="42"/>
      <c r="F65" s="42"/>
      <c r="G65" s="42"/>
    </row>
  </sheetData>
  <mergeCells count="5">
    <mergeCell ref="A61:G61"/>
    <mergeCell ref="A62:G62"/>
    <mergeCell ref="A63:G63"/>
    <mergeCell ref="A64:G64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1" t="s">
        <v>213</v>
      </c>
    </row>
    <row r="2" customFormat="false" ht="15" hidden="false" customHeight="false" outlineLevel="0" collapsed="false">
      <c r="A2" s="2" t="s">
        <v>214</v>
      </c>
    </row>
    <row r="4" customFormat="false" ht="15" hidden="false" customHeight="false" outlineLevel="0" collapsed="false">
      <c r="A4" s="12" t="s">
        <v>44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215</v>
      </c>
      <c r="B5" s="21" t="n">
        <v>53500</v>
      </c>
      <c r="C5" s="16" t="s">
        <v>216</v>
      </c>
    </row>
    <row r="6" customFormat="false" ht="15" hidden="false" customHeight="false" outlineLevel="0" collapsed="false">
      <c r="A6" s="14" t="s">
        <v>47</v>
      </c>
      <c r="B6" s="17" t="n">
        <v>550</v>
      </c>
      <c r="C6" s="16" t="s">
        <v>217</v>
      </c>
    </row>
    <row r="7" customFormat="false" ht="15" hidden="false" customHeight="false" outlineLevel="0" collapsed="false">
      <c r="A7" s="14" t="s">
        <v>218</v>
      </c>
      <c r="B7" s="43" t="n">
        <v>187</v>
      </c>
      <c r="C7" s="16" t="s">
        <v>219</v>
      </c>
    </row>
    <row r="8" customFormat="false" ht="15" hidden="false" customHeight="false" outlineLevel="0" collapsed="false">
      <c r="A8" s="14" t="s">
        <v>51</v>
      </c>
      <c r="B8" s="19" t="n">
        <v>0.31</v>
      </c>
      <c r="C8" s="16" t="s">
        <v>220</v>
      </c>
    </row>
    <row r="9" customFormat="false" ht="15" hidden="false" customHeight="false" outlineLevel="0" collapsed="false">
      <c r="A9" s="14" t="s">
        <v>53</v>
      </c>
      <c r="B9" s="20" t="n">
        <v>0.115</v>
      </c>
    </row>
    <row r="10" customFormat="false" ht="15" hidden="false" customHeight="false" outlineLevel="0" collapsed="false">
      <c r="A10" s="14" t="s">
        <v>54</v>
      </c>
      <c r="B10" s="20" t="n">
        <v>0.02</v>
      </c>
    </row>
    <row r="11" customFormat="false" ht="15" hidden="false" customHeight="false" outlineLevel="0" collapsed="false">
      <c r="A11" s="14" t="s">
        <v>221</v>
      </c>
      <c r="B11" s="21" t="n">
        <v>1000</v>
      </c>
      <c r="C11" s="16" t="s">
        <v>56</v>
      </c>
    </row>
    <row r="13" customFormat="false" ht="15" hidden="false" customHeight="false" outlineLevel="0" collapsed="false">
      <c r="A13" s="12" t="s">
        <v>57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22" t="s">
        <v>222</v>
      </c>
      <c r="B14" s="23" t="s">
        <v>223</v>
      </c>
      <c r="C14" s="23" t="s">
        <v>59</v>
      </c>
      <c r="D14" s="23" t="s">
        <v>60</v>
      </c>
      <c r="E14" s="23" t="s">
        <v>61</v>
      </c>
      <c r="F14" s="23" t="s">
        <v>62</v>
      </c>
      <c r="G14" s="23" t="s">
        <v>63</v>
      </c>
    </row>
    <row r="15" customFormat="false" ht="15" hidden="false" customHeight="false" outlineLevel="0" collapsed="false">
      <c r="A15" s="24" t="s">
        <v>65</v>
      </c>
      <c r="B15" s="43" t="n">
        <v>2337.6</v>
      </c>
      <c r="C15" s="44" t="n">
        <f aca="false">B15*(1+C16)</f>
        <v>9607.536</v>
      </c>
      <c r="D15" s="44" t="n">
        <f aca="false">C15*(1+D16)</f>
        <v>10087.9128</v>
      </c>
      <c r="E15" s="44" t="n">
        <f aca="false">D15*(1+E16)</f>
        <v>8574.72588</v>
      </c>
      <c r="F15" s="44" t="n">
        <f aca="false">E15*(1+F16)</f>
        <v>8145.989586</v>
      </c>
      <c r="G15" s="44" t="n">
        <f aca="false">F15*(1+G16)</f>
        <v>8960.5885446</v>
      </c>
    </row>
    <row r="16" customFormat="false" ht="15" hidden="false" customHeight="false" outlineLevel="0" collapsed="false">
      <c r="A16" s="14" t="s">
        <v>66</v>
      </c>
      <c r="B16" s="26" t="n">
        <v>0.37</v>
      </c>
      <c r="C16" s="20" t="n">
        <v>3.11</v>
      </c>
      <c r="D16" s="20" t="n">
        <v>0.05</v>
      </c>
      <c r="E16" s="20" t="n">
        <v>-0.15</v>
      </c>
      <c r="F16" s="20" t="n">
        <v>-0.05</v>
      </c>
      <c r="G16" s="20" t="n">
        <v>0.1</v>
      </c>
    </row>
    <row r="17" customFormat="false" ht="15" hidden="false" customHeight="false" outlineLevel="0" collapsed="false">
      <c r="A17" s="14" t="s">
        <v>67</v>
      </c>
      <c r="B17" s="26" t="n">
        <v>0.372</v>
      </c>
      <c r="C17" s="20" t="n">
        <v>0.78</v>
      </c>
      <c r="D17" s="20" t="n">
        <v>0.72</v>
      </c>
      <c r="E17" s="20" t="n">
        <v>0.55</v>
      </c>
      <c r="F17" s="20" t="n">
        <v>0.4</v>
      </c>
      <c r="G17" s="20" t="n">
        <v>0.5</v>
      </c>
    </row>
    <row r="18" customFormat="false" ht="15" hidden="false" customHeight="false" outlineLevel="0" collapsed="false">
      <c r="A18" s="14" t="s">
        <v>68</v>
      </c>
      <c r="B18" s="45" t="n">
        <f aca="false">B15*B17</f>
        <v>869.5872</v>
      </c>
      <c r="C18" s="46" t="n">
        <f aca="false">C15*C17</f>
        <v>7493.87808</v>
      </c>
      <c r="D18" s="46" t="n">
        <f aca="false">D15*D17</f>
        <v>7263.297216</v>
      </c>
      <c r="E18" s="46" t="n">
        <f aca="false">E15*E17</f>
        <v>4716.099234</v>
      </c>
      <c r="F18" s="46" t="n">
        <f aca="false">F15*F17</f>
        <v>3258.3958344</v>
      </c>
      <c r="G18" s="46" t="n">
        <f aca="false">G15*G17</f>
        <v>4480.2942723</v>
      </c>
    </row>
    <row r="19" customFormat="false" ht="15" hidden="false" customHeight="false" outlineLevel="0" collapsed="false">
      <c r="A19" s="14" t="s">
        <v>69</v>
      </c>
      <c r="C19" s="46" t="n">
        <f aca="false">-C18*$B$8</f>
        <v>-2323.1022048</v>
      </c>
      <c r="D19" s="46" t="n">
        <f aca="false">-D18*$B$8</f>
        <v>-2251.62213696</v>
      </c>
      <c r="E19" s="46" t="n">
        <f aca="false">-E18*$B$8</f>
        <v>-1461.99076254</v>
      </c>
      <c r="F19" s="46" t="n">
        <f aca="false">-F18*$B$8</f>
        <v>-1010.102708664</v>
      </c>
      <c r="G19" s="46" t="n">
        <f aca="false">-G18*$B$8</f>
        <v>-1388.891224413</v>
      </c>
    </row>
    <row r="20" customFormat="false" ht="15" hidden="false" customHeight="false" outlineLevel="0" collapsed="false">
      <c r="A20" s="14" t="s">
        <v>70</v>
      </c>
      <c r="C20" s="46" t="n">
        <f aca="false">C18+C19</f>
        <v>5170.7758752</v>
      </c>
      <c r="D20" s="46" t="n">
        <f aca="false">D18+D19</f>
        <v>5011.67507904</v>
      </c>
      <c r="E20" s="46" t="n">
        <f aca="false">E18+E19</f>
        <v>3254.10847146</v>
      </c>
      <c r="F20" s="46" t="n">
        <f aca="false">F18+F19</f>
        <v>2248.293125736</v>
      </c>
      <c r="G20" s="46" t="n">
        <f aca="false">G18+G19</f>
        <v>3091.403047887</v>
      </c>
    </row>
    <row r="21" customFormat="false" ht="15" hidden="false" customHeight="false" outlineLevel="0" collapsed="false">
      <c r="A21" s="14" t="s">
        <v>71</v>
      </c>
      <c r="C21" s="19" t="n">
        <v>0.08</v>
      </c>
      <c r="D21" s="19" t="n">
        <v>0.08</v>
      </c>
      <c r="E21" s="19" t="n">
        <v>0.08</v>
      </c>
      <c r="F21" s="19" t="n">
        <v>0.08</v>
      </c>
      <c r="G21" s="19" t="n">
        <v>0.08</v>
      </c>
    </row>
    <row r="22" customFormat="false" ht="15" hidden="false" customHeight="false" outlineLevel="0" collapsed="false">
      <c r="A22" s="14" t="s">
        <v>72</v>
      </c>
      <c r="C22" s="46" t="n">
        <f aca="false">C15*C21</f>
        <v>768.60288</v>
      </c>
      <c r="D22" s="46" t="n">
        <f aca="false">D15*D21</f>
        <v>807.033024</v>
      </c>
      <c r="E22" s="46" t="n">
        <f aca="false">E15*E21</f>
        <v>685.9780704</v>
      </c>
      <c r="F22" s="46" t="n">
        <f aca="false">F15*F21</f>
        <v>651.67916688</v>
      </c>
      <c r="G22" s="46" t="n">
        <f aca="false">G15*G21</f>
        <v>716.847083568</v>
      </c>
    </row>
    <row r="23" customFormat="false" ht="15" hidden="false" customHeight="false" outlineLevel="0" collapsed="false">
      <c r="A23" s="14" t="s">
        <v>73</v>
      </c>
      <c r="C23" s="19" t="n">
        <v>0.07</v>
      </c>
      <c r="D23" s="19" t="n">
        <v>0.07</v>
      </c>
      <c r="E23" s="19" t="n">
        <v>0.07</v>
      </c>
      <c r="F23" s="19" t="n">
        <v>0.07</v>
      </c>
      <c r="G23" s="19" t="n">
        <v>0.07</v>
      </c>
    </row>
    <row r="24" customFormat="false" ht="15" hidden="false" customHeight="false" outlineLevel="0" collapsed="false">
      <c r="A24" s="14" t="s">
        <v>74</v>
      </c>
      <c r="C24" s="46" t="n">
        <f aca="false">-C15*C23</f>
        <v>-672.52752</v>
      </c>
      <c r="D24" s="46" t="n">
        <f aca="false">-D15*D23</f>
        <v>-706.153896</v>
      </c>
      <c r="E24" s="46" t="n">
        <f aca="false">-E15*E23</f>
        <v>-600.2308116</v>
      </c>
      <c r="F24" s="46" t="n">
        <f aca="false">-F15*F23</f>
        <v>-570.21927102</v>
      </c>
      <c r="G24" s="46" t="n">
        <f aca="false">-G15*G23</f>
        <v>-627.241198122</v>
      </c>
    </row>
    <row r="25" customFormat="false" ht="15" hidden="false" customHeight="false" outlineLevel="0" collapsed="false">
      <c r="A25" s="14" t="s">
        <v>75</v>
      </c>
      <c r="C25" s="19" t="n">
        <v>0.1</v>
      </c>
      <c r="D25" s="19" t="n">
        <v>0.1</v>
      </c>
      <c r="E25" s="19" t="n">
        <v>0.1</v>
      </c>
      <c r="F25" s="19" t="n">
        <v>0.1</v>
      </c>
      <c r="G25" s="19" t="n">
        <v>0.1</v>
      </c>
    </row>
    <row r="26" customFormat="false" ht="15" hidden="false" customHeight="false" outlineLevel="0" collapsed="false">
      <c r="A26" s="14" t="s">
        <v>76</v>
      </c>
      <c r="C26" s="46" t="n">
        <f aca="false">-(C15-B15)*C25</f>
        <v>-726.9936</v>
      </c>
      <c r="D26" s="46" t="n">
        <f aca="false">-(D15-C15)*D25</f>
        <v>-48.03768</v>
      </c>
      <c r="E26" s="46" t="n">
        <f aca="false">-(E15-D15)*E25</f>
        <v>151.318692</v>
      </c>
      <c r="F26" s="46" t="n">
        <f aca="false">-(F15-E15)*F25</f>
        <v>42.8736294</v>
      </c>
      <c r="G26" s="46" t="n">
        <f aca="false">-(G15-F15)*G25</f>
        <v>-81.45989586</v>
      </c>
    </row>
    <row r="27" customFormat="false" ht="15" hidden="false" customHeight="false" outlineLevel="0" collapsed="false">
      <c r="A27" s="24" t="s">
        <v>77</v>
      </c>
      <c r="C27" s="47" t="n">
        <f aca="false">C20+C22+C24+C26</f>
        <v>4539.8576352</v>
      </c>
      <c r="D27" s="47" t="n">
        <f aca="false">D20+D22+D24+D26</f>
        <v>5064.51652704</v>
      </c>
      <c r="E27" s="47" t="n">
        <f aca="false">E20+E22+E24+E26</f>
        <v>3491.17442226</v>
      </c>
      <c r="F27" s="47" t="n">
        <f aca="false">F20+F22+F24+F26</f>
        <v>2372.626650996</v>
      </c>
      <c r="G27" s="47" t="n">
        <f aca="false">G20+G22+G24+G26</f>
        <v>3099.549037473</v>
      </c>
    </row>
    <row r="28" customFormat="false" ht="15" hidden="false" customHeight="false" outlineLevel="0" collapsed="false">
      <c r="A28" s="14" t="s">
        <v>78</v>
      </c>
      <c r="C28" s="30" t="n">
        <f aca="false">C27/C15</f>
        <v>0.472530900243309</v>
      </c>
      <c r="D28" s="30" t="n">
        <f aca="false">D27/D15</f>
        <v>0.502038095238095</v>
      </c>
      <c r="E28" s="30" t="n">
        <f aca="false">E27/E15</f>
        <v>0.407147058823529</v>
      </c>
      <c r="F28" s="30" t="n">
        <f aca="false">F27/F15</f>
        <v>0.291263157894737</v>
      </c>
      <c r="G28" s="30" t="n">
        <f aca="false">G27/G15</f>
        <v>0.345909090909091</v>
      </c>
    </row>
    <row r="30" customFormat="false" ht="15" hidden="false" customHeight="false" outlineLevel="0" collapsed="false">
      <c r="A30" s="14" t="s">
        <v>79</v>
      </c>
      <c r="C30" s="31" t="n">
        <v>0.5</v>
      </c>
      <c r="D30" s="32" t="n">
        <f aca="false">C30+1</f>
        <v>1.5</v>
      </c>
      <c r="E30" s="32" t="n">
        <f aca="false">D30+1</f>
        <v>2.5</v>
      </c>
      <c r="F30" s="32" t="n">
        <f aca="false">E30+1</f>
        <v>3.5</v>
      </c>
      <c r="G30" s="32" t="n">
        <f aca="false">F30+1</f>
        <v>4.5</v>
      </c>
    </row>
    <row r="31" customFormat="false" ht="15" hidden="false" customHeight="false" outlineLevel="0" collapsed="false">
      <c r="A31" s="14" t="s">
        <v>80</v>
      </c>
      <c r="C31" s="33" t="n">
        <f aca="false">1/POWER(1+$B$9,C30)</f>
        <v>0.947027447620757</v>
      </c>
      <c r="D31" s="33" t="n">
        <f aca="false">1/POWER(1+$B$9,D30)</f>
        <v>0.84935197096032</v>
      </c>
      <c r="E31" s="33" t="n">
        <f aca="false">1/POWER(1+$B$9,E30)</f>
        <v>0.761750646601184</v>
      </c>
      <c r="F31" s="33" t="n">
        <f aca="false">1/POWER(1+$B$9,F30)</f>
        <v>0.683184436413618</v>
      </c>
      <c r="G31" s="33" t="n">
        <f aca="false">1/POWER(1+$B$9,G30)</f>
        <v>0.612721467635532</v>
      </c>
    </row>
    <row r="32" customFormat="false" ht="15" hidden="false" customHeight="false" outlineLevel="0" collapsed="false">
      <c r="A32" s="24" t="s">
        <v>81</v>
      </c>
      <c r="C32" s="44" t="n">
        <f aca="false">C27*C31</f>
        <v>4299.36978882506</v>
      </c>
      <c r="D32" s="44" t="n">
        <f aca="false">D27*D31</f>
        <v>4301.55709420254</v>
      </c>
      <c r="E32" s="44" t="n">
        <f aca="false">E27*E31</f>
        <v>2659.40437355407</v>
      </c>
      <c r="F32" s="44" t="n">
        <f aca="false">F27*F31</f>
        <v>1620.94160138063</v>
      </c>
      <c r="G32" s="44" t="n">
        <f aca="false">G27*G31</f>
        <v>1899.16023524876</v>
      </c>
    </row>
    <row r="34" customFormat="false" ht="15" hidden="false" customHeight="false" outlineLevel="0" collapsed="false">
      <c r="A34" s="12" t="s">
        <v>82</v>
      </c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4" t="s">
        <v>83</v>
      </c>
      <c r="B35" s="20" t="n">
        <v>0.17</v>
      </c>
      <c r="C35" s="16" t="s">
        <v>224</v>
      </c>
    </row>
    <row r="36" customFormat="false" ht="15" hidden="false" customHeight="false" outlineLevel="0" collapsed="false">
      <c r="A36" s="14" t="s">
        <v>85</v>
      </c>
      <c r="B36" s="46" t="n">
        <f aca="false">G15*(1+$B$10)*B35</f>
        <v>1553.76605363364</v>
      </c>
    </row>
    <row r="37" customFormat="false" ht="15" hidden="false" customHeight="false" outlineLevel="0" collapsed="false">
      <c r="A37" s="14" t="s">
        <v>86</v>
      </c>
      <c r="B37" s="46" t="n">
        <f aca="false">B36/($B$9-$B$10)</f>
        <v>16355.432143512</v>
      </c>
    </row>
    <row r="38" customFormat="false" ht="15" hidden="false" customHeight="false" outlineLevel="0" collapsed="false">
      <c r="A38" s="14" t="s">
        <v>87</v>
      </c>
      <c r="B38" s="46" t="n">
        <f aca="false">B37*G31</f>
        <v>10021.324386786</v>
      </c>
    </row>
    <row r="39" customFormat="false" ht="15" hidden="false" customHeight="false" outlineLevel="0" collapsed="false">
      <c r="A39" s="14" t="s">
        <v>88</v>
      </c>
      <c r="B39" s="34" t="n">
        <f aca="false">B37/G27</f>
        <v>5.27671346566153</v>
      </c>
    </row>
    <row r="41" customFormat="false" ht="15" hidden="false" customHeight="false" outlineLevel="0" collapsed="false">
      <c r="A41" s="12" t="s">
        <v>89</v>
      </c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4" t="s">
        <v>90</v>
      </c>
      <c r="B42" s="46" t="n">
        <f aca="false">SUM(C32:G32)</f>
        <v>14780.4330932111</v>
      </c>
    </row>
    <row r="43" customFormat="false" ht="15" hidden="false" customHeight="false" outlineLevel="0" collapsed="false">
      <c r="A43" s="14" t="s">
        <v>87</v>
      </c>
      <c r="B43" s="46" t="n">
        <f aca="false">B38</f>
        <v>10021.324386786</v>
      </c>
    </row>
    <row r="44" customFormat="false" ht="15" hidden="false" customHeight="false" outlineLevel="0" collapsed="false">
      <c r="A44" s="24" t="s">
        <v>91</v>
      </c>
      <c r="B44" s="44" t="n">
        <f aca="false">B42+B43</f>
        <v>24801.7574799971</v>
      </c>
    </row>
    <row r="45" customFormat="false" ht="15" hidden="false" customHeight="false" outlineLevel="0" collapsed="false">
      <c r="A45" s="14" t="s">
        <v>92</v>
      </c>
      <c r="B45" s="30" t="n">
        <f aca="false">B43/B44</f>
        <v>0.404057026800151</v>
      </c>
    </row>
    <row r="46" customFormat="false" ht="15" hidden="false" customHeight="false" outlineLevel="0" collapsed="false">
      <c r="A46" s="14" t="s">
        <v>93</v>
      </c>
      <c r="B46" s="46" t="n">
        <f aca="false">B7</f>
        <v>187</v>
      </c>
    </row>
    <row r="47" customFormat="false" ht="15" hidden="false" customHeight="false" outlineLevel="0" collapsed="false">
      <c r="A47" s="24" t="s">
        <v>94</v>
      </c>
      <c r="B47" s="44" t="n">
        <f aca="false">B44+B46</f>
        <v>24988.7574799971</v>
      </c>
    </row>
    <row r="48" customFormat="false" ht="15" hidden="false" customHeight="false" outlineLevel="0" collapsed="false">
      <c r="A48" s="24" t="s">
        <v>225</v>
      </c>
      <c r="B48" s="48" t="n">
        <f aca="false">B47*$B$11/B6</f>
        <v>45434.1045090856</v>
      </c>
    </row>
    <row r="49" customFormat="false" ht="15" hidden="false" customHeight="false" outlineLevel="0" collapsed="false">
      <c r="A49" s="14" t="s">
        <v>215</v>
      </c>
      <c r="B49" s="49" t="n">
        <f aca="false">B5</f>
        <v>53500</v>
      </c>
    </row>
    <row r="50" customFormat="false" ht="15" hidden="false" customHeight="false" outlineLevel="0" collapsed="false">
      <c r="A50" s="24" t="s">
        <v>96</v>
      </c>
      <c r="B50" s="37" t="n">
        <f aca="false">B48/B49-1</f>
        <v>-0.150764401699335</v>
      </c>
    </row>
    <row r="52" customFormat="false" ht="15" hidden="false" customHeight="false" outlineLevel="0" collapsed="false">
      <c r="A52" s="12" t="s">
        <v>97</v>
      </c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B53" s="23" t="s">
        <v>98</v>
      </c>
      <c r="C53" s="38" t="n">
        <f aca="false">$B$10+-0.01</f>
        <v>0.01</v>
      </c>
      <c r="D53" s="38" t="n">
        <f aca="false">$B$10+-0.005</f>
        <v>0.015</v>
      </c>
      <c r="E53" s="38" t="n">
        <f aca="false">$B$10</f>
        <v>0.02</v>
      </c>
      <c r="F53" s="38" t="n">
        <f aca="false">$B$10+0.005</f>
        <v>0.025</v>
      </c>
      <c r="G53" s="38" t="n">
        <f aca="false">$B$10+0.01</f>
        <v>0.03</v>
      </c>
    </row>
    <row r="54" customFormat="false" ht="15" hidden="false" customHeight="false" outlineLevel="0" collapsed="false">
      <c r="B54" s="39" t="n">
        <f aca="false">$B$9+-0.01</f>
        <v>0.105</v>
      </c>
      <c r="C54" s="50" t="n">
        <f aca="false">(SUMPRODUCT($C$27:$G$27,1/POWER(1+$B54,$C$30:$G$30))+$G$15*(1+C$53)*$B$35/($B54-C$53)/POWER(1+$B54,$G$30)+$B$7)*$B$11/$B$6</f>
        <v>46491.0483626313</v>
      </c>
      <c r="D54" s="50" t="n">
        <f aca="false">(SUMPRODUCT($C$27:$G$27,1/POWER(1+$B54,$C$30:$G$30))+$G$15*(1+D$53)*$B$35/($B54-D$53)/POWER(1+$B54,$G$30)+$B$7)*$B$11/$B$6</f>
        <v>47633.0288520616</v>
      </c>
      <c r="E54" s="50" t="n">
        <f aca="false">(SUMPRODUCT($C$27:$G$27,1/POWER(1+$B54,$C$30:$G$30))+$G$15*(1+E$53)*$B$35/($B54-E$53)/POWER(1+$B54,$G$30)+$B$7)*$B$11/$B$6</f>
        <v>48909.3599873074</v>
      </c>
      <c r="F54" s="50" t="n">
        <f aca="false">(SUMPRODUCT($C$27:$G$27,1/POWER(1+$B54,$C$30:$G$30))+$G$15*(1+F$53)*$B$35/($B54-F$53)/POWER(1+$B54,$G$30)+$B$7)*$B$11/$B$6</f>
        <v>50345.2325144588</v>
      </c>
      <c r="G54" s="50" t="n">
        <f aca="false">(SUMPRODUCT($C$27:$G$27,1/POWER(1+$B54,$C$30:$G$30))+$G$15*(1+G$53)*$B$35/($B54-G$53)/POWER(1+$B54,$G$30)+$B$7)*$B$11/$B$6</f>
        <v>51972.5547118971</v>
      </c>
    </row>
    <row r="55" customFormat="false" ht="15" hidden="false" customHeight="false" outlineLevel="0" collapsed="false">
      <c r="B55" s="39" t="n">
        <f aca="false">$B$9+-0.005</f>
        <v>0.11</v>
      </c>
      <c r="C55" s="50" t="n">
        <f aca="false">(SUMPRODUCT($C$27:$G$27,1/POWER(1+$B55,$C$30:$G$30))+$G$15*(1+C$53)*$B$35/($B55-C$53)/POWER(1+$B55,$G$30)+$B$7)*$B$11/$B$6</f>
        <v>44945.9518145683</v>
      </c>
      <c r="D55" s="50" t="n">
        <f aca="false">(SUMPRODUCT($C$27:$G$27,1/POWER(1+$B55,$C$30:$G$30))+$G$15*(1+D$53)*$B$35/($B55-D$53)/POWER(1+$B55,$G$30)+$B$7)*$B$11/$B$6</f>
        <v>45957.621509951</v>
      </c>
      <c r="E55" s="50" t="n">
        <f aca="false">(SUMPRODUCT($C$27:$G$27,1/POWER(1+$B55,$C$30:$G$30))+$G$15*(1+E$53)*$B$35/($B55-E$53)/POWER(1+$B55,$G$30)+$B$7)*$B$11/$B$6</f>
        <v>47081.6989492651</v>
      </c>
      <c r="F55" s="50" t="n">
        <f aca="false">(SUMPRODUCT($C$27:$G$27,1/POWER(1+$B55,$C$30:$G$30))+$G$15*(1+F$53)*$B$35/($B55-F$53)/POWER(1+$B55,$G$30)+$B$7)*$B$11/$B$6</f>
        <v>48338.0207932044</v>
      </c>
      <c r="G55" s="50" t="n">
        <f aca="false">(SUMPRODUCT($C$27:$G$27,1/POWER(1+$B55,$C$30:$G$30))+$G$15*(1+G$53)*$B$35/($B55-G$53)/POWER(1+$B55,$G$30)+$B$7)*$B$11/$B$6</f>
        <v>49751.3828676361</v>
      </c>
    </row>
    <row r="56" customFormat="false" ht="15" hidden="false" customHeight="false" outlineLevel="0" collapsed="false">
      <c r="B56" s="39" t="n">
        <f aca="false">$B$9</f>
        <v>0.115</v>
      </c>
      <c r="C56" s="50" t="n">
        <f aca="false">(SUMPRODUCT($C$27:$G$27,1/POWER(1+$B56,$C$30:$G$30))+$G$15*(1+C$53)*$B$35/($B56-C$53)/POWER(1+$B56,$G$30)+$B$7)*$B$11/$B$6</f>
        <v>43537.1896985829</v>
      </c>
      <c r="D56" s="50" t="n">
        <f aca="false">(SUMPRODUCT($C$27:$G$27,1/POWER(1+$B56,$C$30:$G$30))+$G$15*(1+D$53)*$B$35/($B56-D$53)/POWER(1+$B56,$G$30)+$B$7)*$B$11/$B$6</f>
        <v>44438.2242335716</v>
      </c>
      <c r="E56" s="51" t="n">
        <f aca="false">(SUMPRODUCT($C$27:$G$27,1/POWER(1+$B56,$C$30:$G$30))+$G$15*(1+E$53)*$B$35/($B56-E$53)/POWER(1+$B56,$G$30)+$B$7)*$B$11/$B$6</f>
        <v>45434.1045090856</v>
      </c>
      <c r="F56" s="50" t="n">
        <f aca="false">(SUMPRODUCT($C$27:$G$27,1/POWER(1+$B56,$C$30:$G$30))+$G$15*(1+F$53)*$B$35/($B56-F$53)/POWER(1+$B56,$G$30)+$B$7)*$B$11/$B$6</f>
        <v>46540.6381485455</v>
      </c>
      <c r="G56" s="50" t="n">
        <f aca="false">(SUMPRODUCT($C$27:$G$27,1/POWER(1+$B56,$C$30:$G$30))+$G$15*(1+G$53)*$B$35/($B56-G$53)/POWER(1+$B56,$G$30)+$B$7)*$B$11/$B$6</f>
        <v>47777.3522161772</v>
      </c>
    </row>
    <row r="57" customFormat="false" ht="15" hidden="false" customHeight="false" outlineLevel="0" collapsed="false">
      <c r="B57" s="39" t="n">
        <f aca="false">$B$9+0.005</f>
        <v>0.12</v>
      </c>
      <c r="C57" s="50" t="n">
        <f aca="false">(SUMPRODUCT($C$27:$G$27,1/POWER(1+$B57,$C$30:$G$30))+$G$15*(1+C$53)*$B$35/($B57-C$53)/POWER(1+$B57,$G$30)+$B$7)*$B$11/$B$6</f>
        <v>42246.426803298</v>
      </c>
      <c r="D57" s="50" t="n">
        <f aca="false">(SUMPRODUCT($C$27:$G$27,1/POWER(1+$B57,$C$30:$G$30))+$G$15*(1+D$53)*$B$35/($B57-D$53)/POWER(1+$B57,$G$30)+$B$7)*$B$11/$B$6</f>
        <v>43052.8215842872</v>
      </c>
      <c r="E57" s="50" t="n">
        <f aca="false">(SUMPRODUCT($C$27:$G$27,1/POWER(1+$B57,$C$30:$G$30))+$G$15*(1+E$53)*$B$35/($B57-E$53)/POWER(1+$B57,$G$30)+$B$7)*$B$11/$B$6</f>
        <v>43939.8558433753</v>
      </c>
      <c r="F57" s="50" t="n">
        <f aca="false">(SUMPRODUCT($C$27:$G$27,1/POWER(1+$B57,$C$30:$G$30))+$G$15*(1+F$53)*$B$35/($B57-F$53)/POWER(1+$B57,$G$30)+$B$7)*$B$11/$B$6</f>
        <v>44920.2621297358</v>
      </c>
      <c r="G57" s="50" t="n">
        <f aca="false">(SUMPRODUCT($C$27:$G$27,1/POWER(1+$B57,$C$30:$G$30))+$G$15*(1+G$53)*$B$35/($B57-G$53)/POWER(1+$B57,$G$30)+$B$7)*$B$11/$B$6</f>
        <v>46009.6024479142</v>
      </c>
    </row>
    <row r="58" customFormat="false" ht="15" hidden="false" customHeight="false" outlineLevel="0" collapsed="false">
      <c r="B58" s="39" t="n">
        <f aca="false">$B$9+0.01</f>
        <v>0.125</v>
      </c>
      <c r="C58" s="50" t="n">
        <f aca="false">(SUMPRODUCT($C$27:$G$27,1/POWER(1+$B58,$C$30:$G$30))+$G$15*(1+C$53)*$B$35/($B58-C$53)/POWER(1+$B58,$G$30)+$B$7)*$B$11/$B$6</f>
        <v>41058.5091056336</v>
      </c>
      <c r="D58" s="50" t="n">
        <f aca="false">(SUMPRODUCT($C$27:$G$27,1/POWER(1+$B58,$C$30:$G$30))+$G$15*(1+D$53)*$B$35/($B58-D$53)/POWER(1+$B58,$G$30)+$B$7)*$B$11/$B$6</f>
        <v>41783.3929453086</v>
      </c>
      <c r="E58" s="50" t="n">
        <f aca="false">(SUMPRODUCT($C$27:$G$27,1/POWER(1+$B58,$C$30:$G$30))+$G$15*(1+E$53)*$B$35/($B58-E$53)/POWER(1+$B58,$G$30)+$B$7)*$B$11/$B$6</f>
        <v>42577.3133411431</v>
      </c>
      <c r="F58" s="50" t="n">
        <f aca="false">(SUMPRODUCT($C$27:$G$27,1/POWER(1+$B58,$C$30:$G$30))+$G$15*(1+F$53)*$B$35/($B58-F$53)/POWER(1+$B58,$G$30)+$B$7)*$B$11/$B$6</f>
        <v>43450.6257765611</v>
      </c>
      <c r="G58" s="50" t="n">
        <f aca="false">(SUMPRODUCT($C$27:$G$27,1/POWER(1+$B58,$C$30:$G$30))+$G$15*(1+G$53)*$B$35/($B58-G$53)/POWER(1+$B58,$G$30)+$B$7)*$B$11/$B$6</f>
        <v>44415.8658367599</v>
      </c>
    </row>
    <row r="60" customFormat="false" ht="15" hidden="false" customHeight="false" outlineLevel="0" collapsed="false">
      <c r="A60" s="12" t="s">
        <v>99</v>
      </c>
      <c r="B60" s="13"/>
      <c r="C60" s="13"/>
      <c r="D60" s="13"/>
      <c r="E60" s="13"/>
      <c r="F60" s="13"/>
      <c r="G60" s="13"/>
    </row>
    <row r="61" customFormat="false" ht="36" hidden="false" customHeight="true" outlineLevel="0" collapsed="false">
      <c r="A61" s="42" t="s">
        <v>226</v>
      </c>
      <c r="B61" s="42"/>
      <c r="C61" s="42"/>
      <c r="D61" s="42"/>
      <c r="E61" s="42"/>
      <c r="F61" s="42"/>
      <c r="G61" s="42"/>
    </row>
    <row r="62" customFormat="false" ht="48" hidden="false" customHeight="true" outlineLevel="0" collapsed="false">
      <c r="A62" s="42" t="s">
        <v>227</v>
      </c>
      <c r="B62" s="42"/>
      <c r="C62" s="42"/>
      <c r="D62" s="42"/>
      <c r="E62" s="42"/>
      <c r="F62" s="42"/>
      <c r="G62" s="42"/>
    </row>
    <row r="63" customFormat="false" ht="24" hidden="false" customHeight="true" outlineLevel="0" collapsed="false">
      <c r="A63" s="42" t="s">
        <v>228</v>
      </c>
      <c r="B63" s="42"/>
      <c r="C63" s="42"/>
      <c r="D63" s="42"/>
      <c r="E63" s="42"/>
      <c r="F63" s="42"/>
      <c r="G63" s="42"/>
    </row>
    <row r="64" customFormat="false" ht="36" hidden="false" customHeight="true" outlineLevel="0" collapsed="false">
      <c r="A64" s="42" t="s">
        <v>229</v>
      </c>
      <c r="B64" s="42"/>
      <c r="C64" s="42"/>
      <c r="D64" s="42"/>
      <c r="E64" s="42"/>
      <c r="F64" s="42"/>
      <c r="G64" s="42"/>
    </row>
    <row r="65" customFormat="false" ht="24" hidden="false" customHeight="true" outlineLevel="0" collapsed="false">
      <c r="A65" s="42" t="s">
        <v>230</v>
      </c>
      <c r="B65" s="42"/>
      <c r="C65" s="42"/>
      <c r="D65" s="42"/>
      <c r="E65" s="42"/>
      <c r="F65" s="42"/>
      <c r="G65" s="42"/>
    </row>
  </sheetData>
  <mergeCells count="5">
    <mergeCell ref="A61:G61"/>
    <mergeCell ref="A62:G62"/>
    <mergeCell ref="A63:G63"/>
    <mergeCell ref="A64:G64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52" t="s">
        <v>231</v>
      </c>
    </row>
    <row r="2" customFormat="false" ht="15" hidden="false" customHeight="false" outlineLevel="0" collapsed="false">
      <c r="A2" s="53" t="s">
        <v>232</v>
      </c>
    </row>
    <row r="3" customFormat="false" ht="15" hidden="false" customHeight="false" outlineLevel="0" collapsed="false">
      <c r="A3" s="54"/>
    </row>
    <row r="4" customFormat="false" ht="15" hidden="false" customHeight="false" outlineLevel="0" collapsed="false">
      <c r="A4" s="55" t="s">
        <v>233</v>
      </c>
    </row>
    <row r="5" customFormat="false" ht="24" hidden="false" customHeight="true" outlineLevel="0" collapsed="false">
      <c r="A5" s="54" t="s">
        <v>234</v>
      </c>
    </row>
    <row r="6" customFormat="false" ht="24" hidden="false" customHeight="true" outlineLevel="0" collapsed="false">
      <c r="A6" s="54" t="s">
        <v>235</v>
      </c>
    </row>
    <row r="7" customFormat="false" ht="15" hidden="false" customHeight="false" outlineLevel="0" collapsed="false">
      <c r="A7" s="54" t="s">
        <v>236</v>
      </c>
    </row>
    <row r="8" customFormat="false" ht="15" hidden="false" customHeight="false" outlineLevel="0" collapsed="false">
      <c r="A8" s="54"/>
    </row>
    <row r="9" customFormat="false" ht="15" hidden="false" customHeight="false" outlineLevel="0" collapsed="false">
      <c r="A9" s="55" t="s">
        <v>237</v>
      </c>
    </row>
    <row r="10" customFormat="false" ht="72" hidden="false" customHeight="true" outlineLevel="0" collapsed="false">
      <c r="A10" s="54" t="s">
        <v>238</v>
      </c>
    </row>
    <row r="11" customFormat="false" ht="24" hidden="false" customHeight="true" outlineLevel="0" collapsed="false">
      <c r="A11" s="54" t="s">
        <v>239</v>
      </c>
    </row>
    <row r="12" customFormat="false" ht="84" hidden="false" customHeight="true" outlineLevel="0" collapsed="false">
      <c r="A12" s="54" t="s">
        <v>240</v>
      </c>
    </row>
    <row r="13" customFormat="false" ht="24" hidden="false" customHeight="true" outlineLevel="0" collapsed="false">
      <c r="A13" s="54" t="s">
        <v>241</v>
      </c>
    </row>
    <row r="14" customFormat="false" ht="84" hidden="false" customHeight="true" outlineLevel="0" collapsed="false">
      <c r="A14" s="54" t="s">
        <v>242</v>
      </c>
    </row>
    <row r="15" customFormat="false" ht="15" hidden="false" customHeight="false" outlineLevel="0" collapsed="false">
      <c r="A15" s="54"/>
    </row>
    <row r="16" customFormat="false" ht="15" hidden="false" customHeight="false" outlineLevel="0" collapsed="false">
      <c r="A16" s="55" t="s">
        <v>243</v>
      </c>
    </row>
    <row r="17" customFormat="false" ht="24" hidden="false" customHeight="true" outlineLevel="0" collapsed="false">
      <c r="A17" s="54" t="s">
        <v>244</v>
      </c>
    </row>
    <row r="18" customFormat="false" ht="48" hidden="false" customHeight="true" outlineLevel="0" collapsed="false">
      <c r="A18" s="54" t="s">
        <v>245</v>
      </c>
    </row>
    <row r="19" customFormat="false" ht="24" hidden="false" customHeight="true" outlineLevel="0" collapsed="false">
      <c r="A19" s="54" t="s">
        <v>246</v>
      </c>
    </row>
    <row r="20" customFormat="false" ht="24" hidden="false" customHeight="true" outlineLevel="0" collapsed="false">
      <c r="A20" s="54" t="s">
        <v>247</v>
      </c>
    </row>
    <row r="21" customFormat="false" ht="12" hidden="false" customHeight="true" outlineLevel="0" collapsed="false">
      <c r="A21" s="54" t="s">
        <v>248</v>
      </c>
    </row>
    <row r="22" customFormat="false" ht="15" hidden="false" customHeight="false" outlineLevel="0" collapsed="false">
      <c r="A22" s="54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2026-08-24T18:07:30Z</dcterms:created>
  <dc:creator>openpyxl</dc:creator>
  <dc:description/>
  <dc:language>en-US</dc:language>
  <cp:lastModifiedBy/>
  <dcterms:modified xsi:type="dcterms:W3CDTF">2026-08-24T18:07:30Z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