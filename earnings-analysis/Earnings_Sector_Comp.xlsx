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sheets/sheet13.xml" ContentType="application/vnd.openxmlformats-officedocument.spreadsheetml.worksheet+xml"/>
  <Override PartName="/xl/comments/comment9.xml" ContentType="application/vnd.openxmlformats-officedocument.spreadsheetml.comments+xml"/>
  <Override PartName="/xl/worksheets/sheet14.xml" ContentType="application/vnd.openxmlformats-officedocument.spreadsheetml.worksheet+xml"/>
  <Override PartName="/xl/comments/comment10.xml" ContentType="application/vnd.openxmlformats-officedocument.spreadsheetml.comments+xml"/>
  <Override PartName="/xl/worksheets/sheet15.xml" ContentType="application/vnd.openxmlformats-officedocument.spreadsheetml.worksheet+xml"/>
  <Override PartName="/xl/comments/comment11.xml" ContentType="application/vnd.openxmlformats-officedocument.spreadsheetml.comments+xml"/>
  <Override PartName="/xl/worksheets/sheet16.xml" ContentType="application/vnd.openxmlformats-officedocument.spreadsheetml.worksheet+xml"/>
  <Override PartName="/xl/comments/comment12.xml" ContentType="application/vnd.openxmlformats-officedocument.spreadsheetml.comments+xml"/>
  <Override PartName="/xl/workbook.xml" ContentType="application/vnd.openxmlformats-officedocument.spreadsheetml.sheet.main+xml"/>
  <Override PartName="/xl/metadata.xml" ContentType="application/vnd.openxmlformats-officedocument.spreadsheetml.sheetMetadata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ickers" sheetId="2" state="visible" r:id="rId2"/>
    <sheet xmlns:r="http://schemas.openxmlformats.org/officeDocument/2006/relationships" name="SW Dashboard" sheetId="3" state="visible" r:id="rId3"/>
    <sheet xmlns:r="http://schemas.openxmlformats.org/officeDocument/2006/relationships" name="SW Focus" sheetId="4" state="visible" r:id="rId4"/>
    <sheet xmlns:r="http://schemas.openxmlformats.org/officeDocument/2006/relationships" name="SW Metrics" sheetId="5" state="visible" r:id="rId5"/>
    <sheet xmlns:r="http://schemas.openxmlformats.org/officeDocument/2006/relationships" name="SW Revisions" sheetId="6" state="visible" r:id="rId6"/>
    <sheet xmlns:r="http://schemas.openxmlformats.org/officeDocument/2006/relationships" name="SW Rev" sheetId="7" state="visible" r:id="rId7"/>
    <sheet xmlns:r="http://schemas.openxmlformats.org/officeDocument/2006/relationships" name="SW OpInc" sheetId="8" state="visible" r:id="rId8"/>
    <sheet xmlns:r="http://schemas.openxmlformats.org/officeDocument/2006/relationships" name="SW FCF" sheetId="9" state="visible" r:id="rId9"/>
    <sheet xmlns:r="http://schemas.openxmlformats.org/officeDocument/2006/relationships" name="Semi Dashboard" sheetId="10" state="visible" r:id="rId10"/>
    <sheet xmlns:r="http://schemas.openxmlformats.org/officeDocument/2006/relationships" name="Semi Focus" sheetId="11" state="visible" r:id="rId11"/>
    <sheet xmlns:r="http://schemas.openxmlformats.org/officeDocument/2006/relationships" name="Semi Metrics" sheetId="12" state="visible" r:id="rId12"/>
    <sheet xmlns:r="http://schemas.openxmlformats.org/officeDocument/2006/relationships" name="Semi Revisions" sheetId="13" state="visible" r:id="rId13"/>
    <sheet xmlns:r="http://schemas.openxmlformats.org/officeDocument/2006/relationships" name="Semi Rev" sheetId="14" state="visible" r:id="rId14"/>
    <sheet xmlns:r="http://schemas.openxmlformats.org/officeDocument/2006/relationships" name="Semi OpInc" sheetId="15" state="visible" r:id="rId15"/>
    <sheet xmlns:r="http://schemas.openxmlformats.org/officeDocument/2006/relationships" name="Semi FCF" sheetId="16" state="visible" r:id="rId16"/>
  </sheets>
  <definedNames/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7">
    <numFmt numFmtId="164" formatCode="#,##0;(#,##0);&quot;-&quot;"/>
    <numFmt numFmtId="165" formatCode="dd-mmm-yy"/>
    <numFmt numFmtId="166" formatCode="+0.0%;(0.0%);&quot;-&quot;"/>
    <numFmt numFmtId="167" formatCode="0.00;(0.00);&quot;-&quot;"/>
    <numFmt numFmtId="168" formatCode="0.0%;(0.0%);&quot;-&quot;"/>
    <numFmt numFmtId="169" formatCode="+#,##0&quot; bps&quot;;(#,##0)&quot; bps&quot;;&quot;-&quot;"/>
    <numFmt numFmtId="170" formatCode="0.00&quot;x&quot;"/>
  </numFmts>
  <fonts count="18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i val="1"/>
      <color rgb="00808080"/>
      <sz val="9"/>
    </font>
    <font>
      <name val="Arial"/>
      <b val="1"/>
      <color rgb="00C00000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color rgb="00808080"/>
      <sz val="10"/>
    </font>
    <font>
      <name val="Arial"/>
      <color rgb="00008000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000000"/>
      <sz val="11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FF"/>
      <sz val="10"/>
    </font>
    <font>
      <name val="Arial"/>
      <i val="1"/>
      <color rgb="00000000"/>
      <sz val="9"/>
    </font>
    <font>
      <name val="Arial"/>
      <color rgb="00000000"/>
      <sz val="9"/>
    </font>
    <font>
      <name val="Arial"/>
      <b val="1"/>
      <color rgb="00000000"/>
      <sz val="15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6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7" fillId="2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11" fillId="5" borderId="0" pivotButton="0" quotePrefix="0" xfId="0"/>
    <xf numFmtId="0" fontId="0" fillId="5" borderId="0" pivotButton="0" quotePrefix="0" xfId="0"/>
    <xf numFmtId="164" fontId="12" fillId="5" borderId="0" pivotButton="0" quotePrefix="0" xfId="0"/>
    <xf numFmtId="168" fontId="12" fillId="5" borderId="0" pivotButton="0" quotePrefix="0" xfId="0"/>
    <xf numFmtId="166" fontId="12" fillId="5" borderId="0" pivotButton="0" quotePrefix="0" xfId="0"/>
    <xf numFmtId="169" fontId="12" fillId="5" borderId="0" pivotButton="0" quotePrefix="0" xfId="0"/>
    <xf numFmtId="170" fontId="12" fillId="5" borderId="0" pivotButton="0" quotePrefix="0" xfId="0"/>
    <xf numFmtId="0" fontId="12" fillId="5" borderId="0" pivotButton="0" quotePrefix="0" xfId="0"/>
    <xf numFmtId="0" fontId="7" fillId="0" borderId="0" pivotButton="0" quotePrefix="0" xfId="0"/>
    <xf numFmtId="164" fontId="7" fillId="0" borderId="0" pivotButton="0" quotePrefix="0" xfId="0"/>
    <xf numFmtId="168" fontId="7" fillId="0" borderId="0" pivotButton="0" quotePrefix="0" xfId="0"/>
    <xf numFmtId="166" fontId="8" fillId="0" borderId="0" pivotButton="0" quotePrefix="0" xfId="0"/>
    <xf numFmtId="169" fontId="7" fillId="0" borderId="0" pivotButton="0" quotePrefix="0" xfId="0"/>
    <xf numFmtId="170" fontId="8" fillId="0" borderId="0" pivotButton="0" quotePrefix="0" xfId="0"/>
    <xf numFmtId="166" fontId="7" fillId="0" borderId="0" pivotButton="0" quotePrefix="0" xfId="0"/>
    <xf numFmtId="1" fontId="8" fillId="0" borderId="0" pivotButton="0" quotePrefix="0" xfId="0"/>
    <xf numFmtId="0" fontId="9" fillId="0" borderId="0" pivotButton="0" quotePrefix="0" xfId="0"/>
    <xf numFmtId="0" fontId="13" fillId="6" borderId="0" pivotButton="0" quotePrefix="0" xfId="0"/>
    <xf numFmtId="0" fontId="8" fillId="0" borderId="0" pivotButton="0" quotePrefix="0" xfId="0"/>
    <xf numFmtId="164" fontId="8" fillId="0" borderId="0" pivotButton="0" quotePrefix="0" xfId="0"/>
    <xf numFmtId="164" fontId="8" fillId="3" borderId="0" pivotButton="0" quotePrefix="0" xfId="0"/>
    <xf numFmtId="0" fontId="14" fillId="0" borderId="0" pivotButton="0" quotePrefix="0" xfId="0"/>
    <xf numFmtId="164" fontId="15" fillId="0" borderId="0" pivotButton="0" quotePrefix="0" xfId="0"/>
    <xf numFmtId="164" fontId="15" fillId="3" borderId="0" pivotButton="0" quotePrefix="0" xfId="0"/>
    <xf numFmtId="164" fontId="14" fillId="0" borderId="0" pivotButton="0" quotePrefix="0" xfId="0"/>
    <xf numFmtId="164" fontId="14" fillId="3" borderId="0" pivotButton="0" quotePrefix="0" xfId="0"/>
    <xf numFmtId="168" fontId="8" fillId="0" borderId="0" pivotButton="0" quotePrefix="0" xfId="0"/>
    <xf numFmtId="168" fontId="8" fillId="3" borderId="0" pivotButton="0" quotePrefix="0" xfId="0"/>
    <xf numFmtId="168" fontId="15" fillId="0" borderId="0" pivotButton="0" quotePrefix="0" xfId="0"/>
    <xf numFmtId="168" fontId="15" fillId="3" borderId="0" pivotButton="0" quotePrefix="0" xfId="0"/>
    <xf numFmtId="168" fontId="14" fillId="0" borderId="0" pivotButton="0" quotePrefix="0" xfId="0"/>
    <xf numFmtId="168" fontId="14" fillId="3" borderId="0" pivotButton="0" quotePrefix="0" xfId="0"/>
    <xf numFmtId="169" fontId="8" fillId="0" borderId="0" pivotButton="0" quotePrefix="0" xfId="0"/>
    <xf numFmtId="169" fontId="8" fillId="3" borderId="0" pivotButton="0" quotePrefix="0" xfId="0"/>
    <xf numFmtId="169" fontId="15" fillId="0" borderId="0" pivotButton="0" quotePrefix="0" xfId="0"/>
    <xf numFmtId="169" fontId="15" fillId="3" borderId="0" pivotButton="0" quotePrefix="0" xfId="0"/>
    <xf numFmtId="169" fontId="14" fillId="0" borderId="0" pivotButton="0" quotePrefix="0" xfId="0"/>
    <xf numFmtId="169" fontId="14" fillId="3" borderId="0" pivotButton="0" quotePrefix="0" xfId="0"/>
    <xf numFmtId="0" fontId="10" fillId="4" borderId="0" pivotButton="0" quotePrefix="0" xfId="0"/>
    <xf numFmtId="0" fontId="8" fillId="4" borderId="0" pivotButton="0" quotePrefix="0" xfId="0"/>
    <xf numFmtId="166" fontId="15" fillId="0" borderId="0" pivotButton="0" quotePrefix="0" xfId="0"/>
    <xf numFmtId="166" fontId="14" fillId="0" borderId="0" pivotButton="0" quotePrefix="0" xfId="0"/>
    <xf numFmtId="165" fontId="9" fillId="0" borderId="0" pivotButton="0" quotePrefix="0" xfId="0"/>
    <xf numFmtId="167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Relationship Id="rId19" Type="http://schemas.openxmlformats.org/officeDocument/2006/relationships/sheetMetadata" Target="metadata.xml"/></Relationships>
</file>

<file path=xl/comments/comment1.xml><?xml version="1.0" encoding="utf-8"?>
<comments xmlns="http://schemas.openxmlformats.org/spreadsheetml/2006/main">
  <authors>
    <author>Model notes</author>
  </authors>
  <commentList>
    <comment ref="C4" authorId="0" shapeId="0">
      <text>
        <t>Latest reported quarter, Bloomberg-adjusted, USD.</t>
      </text>
    </comment>
    <comment ref="E4" authorId="0" shapeId="0">
      <text>
        <t>Same metric one quarter earlier (FPO −1) — the base for acceleration.</t>
      </text>
    </comment>
    <comment ref="F4" authorId="0" shapeId="0">
      <text>
        <t>YoY growth this quarter minus YoY growth last quarter, in percentage points.</t>
      </text>
    </comment>
    <comment ref="J4" authorId="0" shapeId="0">
      <text>
        <t>Consensus FPO +1 revenue vs the same quarter last year (FPO −3).</t>
      </text>
    </comment>
    <comment ref="K4" authorId="0" shapeId="0">
      <text>
        <t>Adjusted operating margin, latest reported quarter.</t>
      </text>
    </comment>
    <comment ref="N4" authorId="0" shapeId="0">
      <text>
        <t>Incremental operating margin: ΔOpInc / ΔRev YoY. Above current margin = leverage.</t>
      </text>
    </comment>
    <comment ref="O4" authorId="0" shapeId="0">
      <text>
        <t>Op income YoY growth ÷ revenue YoY growth. Shown only when both are positive.</t>
      </text>
    </comment>
    <comment ref="Q4" authorId="0" shapeId="0">
      <text>
        <t>LTM FCF margin now vs LTM FCF margin a year ago.</t>
      </text>
    </comment>
    <comment ref="R4" authorId="0" shapeId="0">
      <text>
        <t>Change in NTM (1BF) consensus revenue over the last month.</t>
      </text>
    </comment>
    <comment ref="X4" authorId="0" shapeId="0">
      <text>
        <t>1 = fastest YoY growth in the peer set.</t>
      </text>
    </comment>
    <comment ref="Y4" authorId="0" shapeId="0">
      <text>
        <t>1 = biggest upward 3-month NTM revenue revision.</t>
      </text>
    </comment>
  </commentList>
</comments>
</file>

<file path=xl/comments/comment2.xml><?xml version="1.0" encoding="utf-8"?>
<comments xmlns="http://schemas.openxmlformats.org/spreadsheetml/2006/main">
  <authors>
    <author>Model notes</author>
  </authors>
  <commentList>
    <comment ref="A4" authorId="0" shapeId="0">
      <text>
        <t>Quarterly Bloomberg-adjusted revenue, USD mm — error-guarded mirror of the Rev data sheet (blank where Bloomberg returns #N/A, e.g. pre-IPO quarters).</t>
      </text>
    </comment>
    <comment ref="A106" authorId="0" shapeId="0">
      <text>
        <t>Rev(p) / Rev(p−4) − 1. Blank when the base quarter is missing or ≤ 0.</t>
      </text>
    </comment>
    <comment ref="A208" authorId="0" shapeId="0">
      <text>
        <t>Rev(p) / Rev(p−1) − 1.</t>
      </text>
    </comment>
    <comment ref="A310" authorId="0" shapeId="0">
      <text>
        <t>Rev(p) − Rev(p−4): incremental annualized-quarter revenue vs the same quarter last year.</t>
      </text>
    </comment>
    <comment ref="A412" authorId="0" shapeId="0">
      <text>
        <t>Rev(p) − Rev(p−1): sequential $ added.</t>
      </text>
    </comment>
    <comment ref="A514" authorId="0" shapeId="0">
      <text>
        <t>OpInc(p) / Rev(p).</t>
      </text>
    </comment>
    <comment ref="A616" authorId="0" shapeId="0">
      <text>
        <t>[OpInc(p)/Rev(p) − OpInc(p−4)/Rev(p−4)] × 10,000.</t>
      </text>
    </comment>
    <comment ref="A718" authorId="0" shapeId="0">
      <text>
        <t>OpInc(p) / OpInc(p−4) − 1. Blank when the base is ≤ 0 (growth % vs a negative base is meaningless).</t>
      </text>
    </comment>
    <comment ref="A820" authorId="0" shapeId="0">
      <text>
        <t>[OpInc(p) − OpInc(p−4)] / [Rev(p) − Rev(p−4)]: margin on each new $ of revenue. Blank when |Δrevenue| &lt; $1mm. Above the current margin = operating leverage.</t>
      </text>
    </comment>
    <comment ref="A922" authorId="0" shapeId="0">
      <text>
        <t>Σ FCF(p−3..p) / Σ Rev(p−3..p). LTM smooths quarterly FCF lumpiness (working-capital timing).</t>
      </text>
    </comment>
    <comment ref="A1024" authorId="0" shapeId="0">
      <text>
        <t>LTM FCF margin(p) − LTM FCF margin(p−4). Needs 8 trailing quarters, so starts at FPO −6.</t>
      </text>
    </comment>
  </commentList>
</comments>
</file>

<file path=xl/comments/comment3.xml><?xml version="1.0" encoding="utf-8"?>
<comments xmlns="http://schemas.openxmlformats.org/spreadsheetml/2006/main">
  <authors>
    <author>Model notes</author>
  </authors>
  <commentList>
    <comment ref="G5" authorId="0" shapeId="0">
      <text>
        <t>Δ = current NTM consensus / consensus as-of the earlier date − 1. Positive = upward revisions.</t>
      </text>
    </comment>
    <comment ref="O5" authorId="0" shapeId="0">
      <text>
        <t>EPS revision % is unreliable when EPS is near zero or negative (sign flips) — read together with the revenue revision.</t>
      </text>
    </comment>
  </commentList>
</comments>
</file>

<file path=xl/comments/comment4.xml><?xml version="1.0" encoding="utf-8"?>
<comments xmlns="http://schemas.openxmlformats.org/spreadsheetml/2006/main">
  <authors>
    <author>Model notes</author>
  </authors>
  <commentList>
    <comment ref="A4" authorId="0" shapeId="0">
      <text>
        <t>Tickers link to the Tickers sheet (single source of truth). Edit lists there.</t>
      </text>
    </comment>
    <comment ref="B4" authorId="0" shapeId="0">
      <text>
        <t>Pulled by BQL: period label of FPO 0 (the last reported fiscal quarter) for THIS company. Use it to see which calendar quarter each row's FPO 0 refers to.</t>
      </text>
    </comment>
  </commentList>
</comments>
</file>

<file path=xl/comments/comment5.xml><?xml version="1.0" encoding="utf-8"?>
<comments xmlns="http://schemas.openxmlformats.org/spreadsheetml/2006/main">
  <authors>
    <author>Model notes</author>
  </authors>
  <commentList>
    <comment ref="A4" authorId="0" shapeId="0">
      <text>
        <t>Tickers link to the Tickers sheet (single source of truth). Edit lists there.</t>
      </text>
    </comment>
    <comment ref="B4" authorId="0" shapeId="0">
      <text>
        <t>Pulled by BQL: period label of FPO 0 (the last reported fiscal quarter) for THIS company. Use it to see which calendar quarter each row's FPO 0 refers to.</t>
      </text>
    </comment>
  </commentList>
</comments>
</file>

<file path=xl/comments/comment6.xml><?xml version="1.0" encoding="utf-8"?>
<comments xmlns="http://schemas.openxmlformats.org/spreadsheetml/2006/main">
  <authors>
    <author>Model notes</author>
  </authors>
  <commentList>
    <comment ref="A4" authorId="0" shapeId="0">
      <text>
        <t>Tickers link to the Tickers sheet (single source of truth). Edit lists there.</t>
      </text>
    </comment>
    <comment ref="B4" authorId="0" shapeId="0">
      <text>
        <t>Pulled by BQL: period label of FPO 0 (the last reported fiscal quarter) for THIS company. Use it to see which calendar quarter each row's FPO 0 refers to.</t>
      </text>
    </comment>
  </commentList>
</comments>
</file>

<file path=xl/comments/comment7.xml><?xml version="1.0" encoding="utf-8"?>
<comments xmlns="http://schemas.openxmlformats.org/spreadsheetml/2006/main">
  <authors>
    <author>Model notes</author>
  </authors>
  <commentList>
    <comment ref="C4" authorId="0" shapeId="0">
      <text>
        <t>Latest reported quarter, Bloomberg-adjusted, USD.</t>
      </text>
    </comment>
    <comment ref="E4" authorId="0" shapeId="0">
      <text>
        <t>Same metric one quarter earlier (FPO −1) — the base for acceleration.</t>
      </text>
    </comment>
    <comment ref="F4" authorId="0" shapeId="0">
      <text>
        <t>YoY growth this quarter minus YoY growth last quarter, in percentage points.</t>
      </text>
    </comment>
    <comment ref="J4" authorId="0" shapeId="0">
      <text>
        <t>Consensus FPO +1 revenue vs the same quarter last year (FPO −3).</t>
      </text>
    </comment>
    <comment ref="K4" authorId="0" shapeId="0">
      <text>
        <t>Adjusted operating margin, latest reported quarter.</t>
      </text>
    </comment>
    <comment ref="N4" authorId="0" shapeId="0">
      <text>
        <t>Incremental operating margin: ΔOpInc / ΔRev YoY. Above current margin = leverage.</t>
      </text>
    </comment>
    <comment ref="O4" authorId="0" shapeId="0">
      <text>
        <t>Op income YoY growth ÷ revenue YoY growth. Shown only when both are positive.</t>
      </text>
    </comment>
    <comment ref="Q4" authorId="0" shapeId="0">
      <text>
        <t>LTM FCF margin now vs LTM FCF margin a year ago.</t>
      </text>
    </comment>
    <comment ref="R4" authorId="0" shapeId="0">
      <text>
        <t>Change in NTM (1BF) consensus revenue over the last month.</t>
      </text>
    </comment>
    <comment ref="X4" authorId="0" shapeId="0">
      <text>
        <t>1 = fastest YoY growth in the peer set.</t>
      </text>
    </comment>
    <comment ref="Y4" authorId="0" shapeId="0">
      <text>
        <t>1 = biggest upward 3-month NTM revenue revision.</t>
      </text>
    </comment>
  </commentList>
</comments>
</file>

<file path=xl/comments/comment8.xml><?xml version="1.0" encoding="utf-8"?>
<comments xmlns="http://schemas.openxmlformats.org/spreadsheetml/2006/main">
  <authors>
    <author>Model notes</author>
  </authors>
  <commentList>
    <comment ref="A4" authorId="0" shapeId="0">
      <text>
        <t>Quarterly Bloomberg-adjusted revenue, USD mm — error-guarded mirror of the Rev data sheet (blank where Bloomberg returns #N/A, e.g. pre-IPO quarters).</t>
      </text>
    </comment>
    <comment ref="A146" authorId="0" shapeId="0">
      <text>
        <t>Rev(p) / Rev(p−4) − 1. Blank when the base quarter is missing or ≤ 0.</t>
      </text>
    </comment>
    <comment ref="A288" authorId="0" shapeId="0">
      <text>
        <t>Rev(p) / Rev(p−1) − 1.</t>
      </text>
    </comment>
    <comment ref="A430" authorId="0" shapeId="0">
      <text>
        <t>Rev(p) − Rev(p−4): incremental annualized-quarter revenue vs the same quarter last year.</t>
      </text>
    </comment>
    <comment ref="A572" authorId="0" shapeId="0">
      <text>
        <t>Rev(p) − Rev(p−1): sequential $ added.</t>
      </text>
    </comment>
    <comment ref="A714" authorId="0" shapeId="0">
      <text>
        <t>OpInc(p) / Rev(p).</t>
      </text>
    </comment>
    <comment ref="A856" authorId="0" shapeId="0">
      <text>
        <t>[OpInc(p)/Rev(p) − OpInc(p−4)/Rev(p−4)] × 10,000.</t>
      </text>
    </comment>
    <comment ref="A998" authorId="0" shapeId="0">
      <text>
        <t>OpInc(p) / OpInc(p−4) − 1. Blank when the base is ≤ 0 (growth % vs a negative base is meaningless).</t>
      </text>
    </comment>
    <comment ref="A1140" authorId="0" shapeId="0">
      <text>
        <t>[OpInc(p) − OpInc(p−4)] / [Rev(p) − Rev(p−4)]: margin on each new $ of revenue. Blank when |Δrevenue| &lt; $1mm. Above the current margin = operating leverage.</t>
      </text>
    </comment>
    <comment ref="A1282" authorId="0" shapeId="0">
      <text>
        <t>Σ FCF(p−3..p) / Σ Rev(p−3..p). LTM smooths quarterly FCF lumpiness (working-capital timing).</t>
      </text>
    </comment>
    <comment ref="A1424" authorId="0" shapeId="0">
      <text>
        <t>LTM FCF margin(p) − LTM FCF margin(p−4). Needs 8 trailing quarters, so starts at FPO −6.</t>
      </text>
    </comment>
  </commentList>
</comments>
</file>

<file path=xl/comments/comment9.xml><?xml version="1.0" encoding="utf-8"?>
<comments xmlns="http://schemas.openxmlformats.org/spreadsheetml/2006/main">
  <authors>
    <author>Model notes</author>
  </authors>
  <commentList>
    <comment ref="G5" authorId="0" shapeId="0">
      <text>
        <t>Δ = current NTM consensus / consensus as-of the earlier date − 1. Positive = upward revisions.</t>
      </text>
    </comment>
    <comment ref="O5" authorId="0" shapeId="0">
      <text>
        <t>EPS revision % is unreliable when EPS is near zero or negative (sign flips) — read together with the revenue revision.</t>
      </text>
    </comment>
  </commentList>
</comments>
</file>

<file path=xl/comments/comment10.xml><?xml version="1.0" encoding="utf-8"?>
<comments xmlns="http://schemas.openxmlformats.org/spreadsheetml/2006/main">
  <authors>
    <author>Model notes</author>
  </authors>
  <commentList>
    <comment ref="A4" authorId="0" shapeId="0">
      <text>
        <t>Tickers link to the Tickers sheet (single source of truth). Edit lists there.</t>
      </text>
    </comment>
    <comment ref="B4" authorId="0" shapeId="0">
      <text>
        <t>Pulled by BQL: period label of FPO 0 (the last reported fiscal quarter) for THIS company. Use it to see which calendar quarter each row's FPO 0 refers to.</t>
      </text>
    </comment>
  </commentList>
</comments>
</file>

<file path=xl/comments/comment11.xml><?xml version="1.0" encoding="utf-8"?>
<comments xmlns="http://schemas.openxmlformats.org/spreadsheetml/2006/main">
  <authors>
    <author>Model notes</author>
  </authors>
  <commentList>
    <comment ref="A4" authorId="0" shapeId="0">
      <text>
        <t>Tickers link to the Tickers sheet (single source of truth). Edit lists there.</t>
      </text>
    </comment>
    <comment ref="B4" authorId="0" shapeId="0">
      <text>
        <t>Pulled by BQL: period label of FPO 0 (the last reported fiscal quarter) for THIS company. Use it to see which calendar quarter each row's FPO 0 refers to.</t>
      </text>
    </comment>
  </commentList>
</comments>
</file>

<file path=xl/comments/comment12.xml><?xml version="1.0" encoding="utf-8"?>
<comments xmlns="http://schemas.openxmlformats.org/spreadsheetml/2006/main">
  <authors>
    <author>Model notes</author>
  </authors>
  <commentList>
    <comment ref="A4" authorId="0" shapeId="0">
      <text>
        <t>Tickers link to the Tickers sheet (single source of truth). Edit lists there.</t>
      </text>
    </comment>
    <comment ref="B4" authorId="0" shapeId="0">
      <text>
        <t>Pulled by BQL: period label of FPO 0 (the last reported fiscal quarter) for THIS company. Use it to see which calendar quarter each row's FPO 0 refers to.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sheet1.xml><?xml version="1.0" encoding="utf-8"?>
<worksheet xmlns="http://schemas.openxmlformats.org/spreadsheetml/2006/main">
  <sheetPr>
    <tabColor rgb="00A6A6A6"/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Earnings by Sector — Peer Comp Workbook</t>
        </is>
      </c>
    </row>
    <row r="2" ht="28" customHeight="1">
      <c r="A2" s="2" t="inlineStr">
        <is>
          <t>Software (99 names) and Semiconductors (139 names) quarterly earnings analysis vs peers: revenue growth, $ added QoQ/YoY, margin expansion, operating leverage, FCF margin expansion, and NTM estimate revisions.</t>
        </is>
      </c>
    </row>
    <row r="3" ht="15" customHeight="1">
      <c r="A3" s="3" t="inlineStr"/>
    </row>
    <row r="4">
      <c r="A4" s="4" t="inlineStr">
        <is>
          <t>HOW TO REFRESH</t>
        </is>
      </c>
    </row>
    <row r="5" ht="15" customHeight="1">
      <c r="A5" s="3" t="inlineStr">
        <is>
          <t>1. Open this file in Excel on a machine with the Bloomberg Add-in (terminal) logged in.</t>
        </is>
      </c>
    </row>
    <row r="6" ht="28" customHeight="1">
      <c r="A6" s="3" t="inlineStr">
        <is>
          <t>2. Bloomberg ribbon &gt; Refresh All (or Ctrl+Alt+F9). The BQL spills and BDP calls will populate; the first refresh pulls ~950 BQL queries + ~1,900 BDP fields, so give it a few minutes.</t>
        </is>
      </c>
    </row>
    <row r="7" ht="15" customHeight="1">
      <c r="A7" s="3" t="inlineStr">
        <is>
          <t>3. All analysis sheets (Metrics, Dashboard, Focus) recalculate automatically from the data sheets.</t>
        </is>
      </c>
    </row>
    <row r="8" ht="15" customHeight="1">
      <c r="A8" s="3" t="inlineStr"/>
    </row>
    <row r="9">
      <c r="A9" s="4" t="inlineStr">
        <is>
          <t>SHEET GUIDE</t>
        </is>
      </c>
    </row>
    <row r="10" ht="15" customHeight="1">
      <c r="A10" s="3" t="inlineStr">
        <is>
          <t>Tickers — the only input sheet: both peer lists. Row order here drives every other sheet.</t>
        </is>
      </c>
    </row>
    <row r="11" ht="15" customHeight="1">
      <c r="A11" s="3" t="inlineStr">
        <is>
          <t>SW/Semi Rev, OpInc, FCF — raw quarterly data via one BQL spill per ticker (FPO −13 … +2, USD mm).</t>
        </is>
      </c>
    </row>
    <row r="12" ht="15" customHeight="1">
      <c r="A12" s="3" t="inlineStr">
        <is>
          <t>SW/Semi Revisions — NTM (1BF) consensus revenue &amp; EPS now vs 1M/3M/6M ago, and the % revisions.</t>
        </is>
      </c>
    </row>
    <row r="13" ht="28" customHeight="1">
      <c r="A13" s="3" t="inlineStr">
        <is>
          <t>SW/Semi Metrics — computed grids: YoY/QoQ growth, $ added, op margin &amp; expansion, op income growth, incremental margin (operating leverage), LTM FCF margin &amp; expansion.</t>
        </is>
      </c>
    </row>
    <row r="14" ht="28" customHeight="1">
      <c r="A14" s="3" t="inlineStr">
        <is>
          <t>SW/Semi Dashboard — one row per name, latest-quarter snapshot of every metric + revision columns, with peer median / quartiles on top and color scales.</t>
        </is>
      </c>
    </row>
    <row r="15" ht="15" customHeight="1">
      <c r="A15" s="3" t="inlineStr">
        <is>
          <t>SW/Semi Focus — type one ticker (e.g. ZM US Equity) and see its full time series vs the peer median.</t>
        </is>
      </c>
    </row>
    <row r="16" ht="15" customHeight="1">
      <c r="A16" s="3" t="inlineStr"/>
    </row>
    <row r="17">
      <c r="A17" s="4" t="inlineStr">
        <is>
          <t>METHODOLOGY / CONVENTIONS</t>
        </is>
      </c>
    </row>
    <row r="18" ht="42" customHeight="1">
      <c r="A18" s="3" t="inlineStr">
        <is>
          <t>Alignment: columns are fiscal period offsets (FPO). FPO 0 = each company's most recently reported quarter, FPO +1/+2 = consensus estimates (ae=ae). Fiscal calendars differ (ZM FY ends Jan), so FPO alignment — not calendar quarters — is used for the peer comp, matching the original sheet's design.</t>
        </is>
      </c>
    </row>
    <row r="19" ht="42" customHeight="1">
      <c r="A19" s="3" t="inlineStr">
        <is>
          <t>Currency: all BQL pulls request currency='USD' so cross-listed names (TWD/KRW/JPY/EUR/HKD/CNY) are comparable in $ terms. If your BQL version rejects the currency parameter, delete ",currency='USD'" from the formulas in column C of the data sheets (values then come in filing currency).</t>
        </is>
      </c>
    </row>
    <row r="20" ht="42" customHeight="1">
      <c r="A20" s="3" t="inlineStr">
        <is>
          <t>Fields: revenue = sales_rev_turn (fa_adjusted=y), op income = is_oper_inc (fa_adjusted=y), FCF = cf_free_cash_flow — all fpt=q, /1m. NTM = BDP BEST_SALES / BEST_EPS with BEST_FPERIOD_OVERRIDE=1BF; historical consensus via BEST_DATA_DATE_OVERRIDE at TODAY()−1M/3M/6M (dates recompute daily).</t>
        </is>
      </c>
    </row>
    <row r="21" ht="28" customHeight="1">
      <c r="A21" s="3" t="inlineStr">
        <is>
          <t>Operating leverage: primary gauge is the incremental operating margin (ΔOpInc/ΔRev YoY) — robust when margins are negative; the Op Lev (x) ratio (OpInc growth ÷ Rev growth) is shown only when both are positive.</t>
        </is>
      </c>
    </row>
    <row r="22" ht="15" customHeight="1">
      <c r="A22" s="3" t="inlineStr">
        <is>
          <t>FCF: analyzed on an LTM basis (4-quarter sums) because quarterly FCF is lumpy.</t>
        </is>
      </c>
    </row>
    <row r="23" ht="28" customHeight="1">
      <c r="A23" s="3" t="inlineStr">
        <is>
          <t>Blanks: a blank metric means insufficient history (recent IPOs: FIG, RBRK, KVYO…), a non-positive base, or no estimate coverage — guarded on purpose rather than showing junk.</t>
        </is>
      </c>
    </row>
    <row r="24" ht="15" customHeight="1">
      <c r="A24" s="3" t="inlineStr"/>
    </row>
    <row r="25">
      <c r="A25" s="4" t="inlineStr">
        <is>
          <t>WHAT WAS FIXED VS THE ORIGINAL QOQYOY SHEET</t>
        </is>
      </c>
    </row>
    <row r="26" ht="15" customHeight="1">
      <c r="A26" s="3" t="inlineStr">
        <is>
          <t>• Revenue-only → adds op income, FCF, margins, leverage and NTM revisions (the metrics you asked for).</t>
        </is>
      </c>
    </row>
    <row r="27" ht="28" customHeight="1">
      <c r="A27" s="3" t="inlineStr">
        <is>
          <t>• One 50-quarter spill per name (range(-40,10)) caused walls of #N/A for young names and 12,000+ stray columns → tightened to FPO −13…+2 with error-guarded metric formulas.</t>
        </is>
      </c>
    </row>
    <row r="28" ht="28" customHeight="1">
      <c r="A28" s="3" t="inlineStr">
        <is>
          <t>• Quarter headers were SAP's calendar applied to all rows → replaced with explicit FPO headers plus a per-company 'Latest Rpt Qtr' label pulled by BQL.</t>
        </is>
      </c>
    </row>
    <row r="29" ht="28" customHeight="1">
      <c r="A29" s="3" t="inlineStr">
        <is>
          <t>• Stale hardcoded labels ('2025 Q2 Estimate') and duplicate label rows → dynamic, per-company labels; mixed reporting currencies → USD-normalized pulls.</t>
        </is>
      </c>
    </row>
    <row r="30" ht="70" customHeight="1">
      <c r="A30" s="3" t="inlineStr">
        <is>
          <t>• Ticker universe = the two lists you supplied for this build (whitespace normalized), not the old sheet's list. Old-sheet names not on your new list were NOT carried over — several were acquired/delisted in 2025 (ALTR, ANSS, AZPN, BASE, INFA, SMAR, SWI…), but some still trade (CFLT, DBX, FFIV, JAMF, PRGS, QTWO, YEXT, YOU, COUR, OS; ZI renamed to GTM US Equity). To re-add any, insert them on the Tickers sheet and copy the sector-sheet formula rows down.</t>
        </is>
      </c>
    </row>
    <row r="31" ht="15" customHeight="1">
      <c r="A31" s="3" t="inlineStr">
        <is>
          <t>• No peer aggregation → dashboards with medians/quartiles/ranks and a Focus panel (ZM pre-loaded).</t>
        </is>
      </c>
    </row>
    <row r="32" ht="15" customHeight="1">
      <c r="A32" s="3" t="inlineStr"/>
    </row>
    <row r="33">
      <c r="A33" s="4" t="inlineStr">
        <is>
          <t>COLOR LEGEND</t>
        </is>
      </c>
    </row>
    <row r="34" ht="28" customHeight="1">
      <c r="A34" s="3" t="inlineStr">
        <is>
          <t>Blue text = input you can edit (tickers, Focus company).  Black = formula.  Green = link to another sheet.  Yellow fill = the cell to type in.  Shaded columns (FPO +1/+2) = consensus estimates.  Grey italic = notes.</t>
        </is>
      </c>
    </row>
    <row r="35" ht="15" customHeight="1">
      <c r="A35" s="3" t="inlineStr"/>
    </row>
    <row r="36">
      <c r="A36" s="4" t="inlineStr">
        <is>
          <t>KNOWN CAVEATS</t>
        </is>
      </c>
    </row>
    <row r="37" ht="28" customHeight="1">
      <c r="A37" s="3" t="inlineStr">
        <is>
          <t>• Verify unusual tickers on your terminal: 'P US Equity' (delisted Pandora?), '20 HK', '2241 CH' etc. — a row of #N/A means Bloomberg cannot resolve the ticker; fix it on the Tickers sheet.</t>
        </is>
      </c>
    </row>
    <row r="38" ht="15" customHeight="1">
      <c r="A38" s="3" t="inlineStr">
        <is>
          <t>• EPS revision % flips sign when EPS crosses zero — read with the revenue revision column.</t>
        </is>
      </c>
    </row>
    <row r="39" ht="15" customHeight="1">
      <c r="A39" s="3" t="inlineStr">
        <is>
          <t>• FCF estimates (FPO +1/+2) are sparse for smaller names; blanks there are normal.</t>
        </is>
      </c>
    </row>
    <row r="40" ht="15" customHeight="1">
      <c r="A40" s="3" t="inlineStr">
        <is>
          <t>• Sorting the Dashboard keeps each row internally consistent, but re-sorting is manual after a refresh.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A6A6A6"/>
    <outlinePr summaryBelow="1" summaryRight="1"/>
    <pageSetUpPr/>
  </sheetPr>
  <dimension ref="A1:H1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4" max="4"/>
  </cols>
  <sheetData>
    <row r="1">
      <c r="A1" s="5" t="inlineStr">
        <is>
          <t>Ticker Lists (edit here — every other sheet reads these cells)</t>
        </is>
      </c>
      <c r="H1" s="6" t="inlineStr">
        <is>
          <t>⚠ Cells blank? This is a LIVE Bloomberg workbook — it has no saved data until its first refresh. Open it in desktop Excel on your Bloomberg terminal PC (add-in logged in), then Bloomberg ribbon ▸ Refresh All (or Ctrl+Alt+F9), wait a few minutes, and save. See README.</t>
        </is>
      </c>
    </row>
    <row r="2">
      <c r="A2" s="7" t="inlineStr">
        <is>
          <t>Blue cells are inputs. Row order here = row order on every data/metric/dashboard sheet. If you add names, insert rows INSIDE the list on this sheet and copy formulas down on the sector sheets.</t>
        </is>
      </c>
    </row>
    <row r="4" ht="20" customHeight="1">
      <c r="A4" s="8" t="inlineStr">
        <is>
          <t>Software (99 tickers)</t>
        </is>
      </c>
      <c r="D4" s="8" t="inlineStr">
        <is>
          <t>Semiconductors (139 tickers)</t>
        </is>
      </c>
    </row>
    <row r="5">
      <c r="A5" s="9" t="inlineStr">
        <is>
          <t>GOOG US Equity</t>
        </is>
      </c>
      <c r="D5" s="9" t="inlineStr">
        <is>
          <t>STM US Equity</t>
        </is>
      </c>
    </row>
    <row r="6">
      <c r="A6" s="9" t="inlineStr">
        <is>
          <t>MSFT US Equity</t>
        </is>
      </c>
      <c r="D6" s="9" t="inlineStr">
        <is>
          <t>ARM US Equity</t>
        </is>
      </c>
    </row>
    <row r="7">
      <c r="A7" s="9" t="inlineStr">
        <is>
          <t>ORCL US Equity</t>
        </is>
      </c>
      <c r="D7" s="9" t="inlineStr">
        <is>
          <t>1347 HK Equity</t>
        </is>
      </c>
    </row>
    <row r="8">
      <c r="A8" s="9" t="inlineStr">
        <is>
          <t>AMD US Equity</t>
        </is>
      </c>
      <c r="D8" s="9" t="inlineStr">
        <is>
          <t>981 HK Equity</t>
        </is>
      </c>
    </row>
    <row r="9">
      <c r="A9" s="9" t="inlineStr">
        <is>
          <t>SAP GY Equity</t>
        </is>
      </c>
      <c r="D9" s="9" t="inlineStr">
        <is>
          <t>TSM US Equity</t>
        </is>
      </c>
    </row>
    <row r="10">
      <c r="A10" s="9" t="inlineStr">
        <is>
          <t>ARM US Equity</t>
        </is>
      </c>
      <c r="D10" s="9" t="inlineStr">
        <is>
          <t>UMC US Equity</t>
        </is>
      </c>
    </row>
    <row r="11">
      <c r="A11" s="9" t="inlineStr">
        <is>
          <t>CRM US Equity</t>
        </is>
      </c>
      <c r="D11" s="9" t="inlineStr">
        <is>
          <t>000660 KS Equity</t>
        </is>
      </c>
    </row>
    <row r="12">
      <c r="A12" s="9" t="inlineStr">
        <is>
          <t>SHOP US Equity</t>
        </is>
      </c>
      <c r="D12" s="9" t="inlineStr">
        <is>
          <t>SIMO US Equity</t>
        </is>
      </c>
    </row>
    <row r="13">
      <c r="A13" s="9" t="inlineStr">
        <is>
          <t>PANW US Equity</t>
        </is>
      </c>
      <c r="D13" s="9" t="inlineStr">
        <is>
          <t>005930 KS Equity</t>
        </is>
      </c>
    </row>
    <row r="14">
      <c r="A14" s="9" t="inlineStr">
        <is>
          <t>CRWD US Equity</t>
        </is>
      </c>
      <c r="D14" s="9" t="inlineStr">
        <is>
          <t>285A JP Equity</t>
        </is>
      </c>
    </row>
    <row r="15">
      <c r="A15" s="9" t="inlineStr">
        <is>
          <t>INTU US Equity</t>
        </is>
      </c>
      <c r="D15" s="9" t="inlineStr">
        <is>
          <t>PSTG US Equity</t>
        </is>
      </c>
    </row>
    <row r="16">
      <c r="A16" s="9" t="inlineStr">
        <is>
          <t>NOW US Equity</t>
        </is>
      </c>
      <c r="D16" s="9" t="inlineStr">
        <is>
          <t>005935 KS Equity</t>
        </is>
      </c>
    </row>
    <row r="17">
      <c r="A17" s="9" t="inlineStr">
        <is>
          <t>ADBE US Equity</t>
        </is>
      </c>
      <c r="D17" s="9" t="inlineStr">
        <is>
          <t>1415 HK Equity</t>
        </is>
      </c>
    </row>
    <row r="18">
      <c r="A18" s="9" t="inlineStr">
        <is>
          <t>CDNS US Equity</t>
        </is>
      </c>
      <c r="D18" s="9" t="inlineStr">
        <is>
          <t>2382 HK Equity</t>
        </is>
      </c>
    </row>
    <row r="19">
      <c r="A19" s="9" t="inlineStr">
        <is>
          <t>SNPS US Equity</t>
        </is>
      </c>
      <c r="D19" s="9" t="inlineStr">
        <is>
          <t>ASX US Equity</t>
        </is>
      </c>
    </row>
    <row r="20">
      <c r="A20" s="9" t="inlineStr">
        <is>
          <t>NET US Equity</t>
        </is>
      </c>
      <c r="D20" s="9" t="inlineStr">
        <is>
          <t>042700 KS Equity</t>
        </is>
      </c>
    </row>
    <row r="21">
      <c r="A21" s="9" t="inlineStr">
        <is>
          <t>FTNT US Equity</t>
        </is>
      </c>
      <c r="D21" s="9" t="inlineStr">
        <is>
          <t>522 HK Equity</t>
        </is>
      </c>
    </row>
    <row r="22">
      <c r="A22" s="9" t="inlineStr">
        <is>
          <t>CSU CN Equity</t>
        </is>
      </c>
      <c r="D22" s="9" t="inlineStr">
        <is>
          <t>ASML NA Equity</t>
        </is>
      </c>
    </row>
    <row r="23">
      <c r="A23" s="9" t="inlineStr">
        <is>
          <t>ADSK US Equity</t>
        </is>
      </c>
      <c r="D23" s="9" t="inlineStr">
        <is>
          <t>BESI NA Equity</t>
        </is>
      </c>
    </row>
    <row r="24">
      <c r="A24" s="9" t="inlineStr">
        <is>
          <t>SNOW US Equity</t>
        </is>
      </c>
      <c r="D24" s="9" t="inlineStr">
        <is>
          <t>1478 HK Equity</t>
        </is>
      </c>
    </row>
    <row r="25">
      <c r="A25" s="9" t="inlineStr">
        <is>
          <t>RBLX US Equity</t>
        </is>
      </c>
      <c r="D25" s="9" t="inlineStr">
        <is>
          <t>1810 HK Equity</t>
        </is>
      </c>
    </row>
    <row r="26">
      <c r="A26" s="9" t="inlineStr">
        <is>
          <t>DDOG US Equity</t>
        </is>
      </c>
      <c r="D26" s="9" t="inlineStr">
        <is>
          <t>20 HK Equity</t>
        </is>
      </c>
    </row>
    <row r="27">
      <c r="A27" s="9" t="inlineStr">
        <is>
          <t>WDAY US Equity</t>
        </is>
      </c>
      <c r="D27" s="9" t="inlineStr">
        <is>
          <t>2018 HK Equity</t>
        </is>
      </c>
    </row>
    <row r="28">
      <c r="A28" s="9" t="inlineStr">
        <is>
          <t>AXON US Equity</t>
        </is>
      </c>
      <c r="D28" s="9" t="inlineStr">
        <is>
          <t>2241 CH Equity</t>
        </is>
      </c>
    </row>
    <row r="29">
      <c r="A29" s="9" t="inlineStr">
        <is>
          <t>ZM US Equity</t>
        </is>
      </c>
      <c r="D29" s="9" t="inlineStr">
        <is>
          <t>2371 CH Equity</t>
        </is>
      </c>
    </row>
    <row r="30">
      <c r="A30" s="9" t="inlineStr">
        <is>
          <t>VEEV US Equity</t>
        </is>
      </c>
      <c r="D30" s="9" t="inlineStr">
        <is>
          <t>2475 CH Equity</t>
        </is>
      </c>
    </row>
    <row r="31">
      <c r="A31" s="9" t="inlineStr">
        <is>
          <t>DSY FP Equity</t>
        </is>
      </c>
      <c r="D31" s="9" t="inlineStr">
        <is>
          <t>2533 HK Equity</t>
        </is>
      </c>
    </row>
    <row r="32">
      <c r="A32" s="9" t="inlineStr">
        <is>
          <t>P US Equity</t>
        </is>
      </c>
      <c r="D32" s="9" t="inlineStr">
        <is>
          <t>2676 HK Equity</t>
        </is>
      </c>
    </row>
    <row r="33">
      <c r="A33" s="9" t="inlineStr">
        <is>
          <t>ZS US Equity</t>
        </is>
      </c>
      <c r="D33" s="9" t="inlineStr">
        <is>
          <t>285 HK Equity</t>
        </is>
      </c>
    </row>
    <row r="34">
      <c r="A34" s="9" t="inlineStr">
        <is>
          <t>TWLO US Equity</t>
        </is>
      </c>
      <c r="D34" s="9" t="inlineStr">
        <is>
          <t>6613 HK Equity</t>
        </is>
      </c>
    </row>
    <row r="35">
      <c r="A35" s="9" t="inlineStr">
        <is>
          <t>NTAP US Equity</t>
        </is>
      </c>
      <c r="D35" s="9" t="inlineStr">
        <is>
          <t>9660 HK Equity</t>
        </is>
      </c>
    </row>
    <row r="36">
      <c r="A36" s="9" t="inlineStr">
        <is>
          <t>MDB US Equity</t>
        </is>
      </c>
      <c r="D36" s="9" t="inlineStr">
        <is>
          <t>992 HK Equity</t>
        </is>
      </c>
    </row>
    <row r="37">
      <c r="A37" s="9" t="inlineStr">
        <is>
          <t>PTC US Equity</t>
        </is>
      </c>
      <c r="D37" s="9" t="inlineStr">
        <is>
          <t>GDS US Equity</t>
        </is>
      </c>
    </row>
    <row r="38">
      <c r="A38" s="9" t="inlineStr">
        <is>
          <t>SSNC US Equity</t>
        </is>
      </c>
      <c r="D38" s="9" t="inlineStr">
        <is>
          <t>HIMX US Equity</t>
        </is>
      </c>
    </row>
    <row r="39">
      <c r="A39" s="9" t="inlineStr">
        <is>
          <t>AKAM US Equity</t>
        </is>
      </c>
      <c r="D39" s="9" t="inlineStr">
        <is>
          <t>SMHN GY Equity</t>
        </is>
      </c>
    </row>
    <row r="40">
      <c r="A40" s="9" t="inlineStr">
        <is>
          <t>TEAM US Equity</t>
        </is>
      </c>
      <c r="D40" s="9" t="inlineStr">
        <is>
          <t>SWKS US Equity</t>
        </is>
      </c>
    </row>
    <row r="41">
      <c r="A41" s="9" t="inlineStr">
        <is>
          <t>IOT US Equity</t>
        </is>
      </c>
      <c r="D41" s="9" t="inlineStr">
        <is>
          <t>4919 TT Equity</t>
        </is>
      </c>
    </row>
    <row r="42">
      <c r="A42" s="9" t="inlineStr">
        <is>
          <t>TRMB US Equity</t>
        </is>
      </c>
      <c r="D42" s="9" t="inlineStr">
        <is>
          <t>SMCI US Equity</t>
        </is>
      </c>
    </row>
    <row r="43">
      <c r="A43" s="9" t="inlineStr">
        <is>
          <t>CHKP US Equity</t>
        </is>
      </c>
      <c r="D43" s="9" t="inlineStr">
        <is>
          <t>6789 TT Equity</t>
        </is>
      </c>
    </row>
    <row r="44">
      <c r="A44" s="9" t="inlineStr">
        <is>
          <t>TYL US Equity</t>
        </is>
      </c>
      <c r="D44" s="9" t="inlineStr">
        <is>
          <t>5269 TT Equity</t>
        </is>
      </c>
    </row>
    <row r="45">
      <c r="A45" s="9" t="inlineStr">
        <is>
          <t>OKTA US Equity</t>
        </is>
      </c>
      <c r="D45" s="9" t="inlineStr">
        <is>
          <t>3035 TT Equity</t>
        </is>
      </c>
    </row>
    <row r="46">
      <c r="A46" s="9" t="inlineStr">
        <is>
          <t>BSY US Equity</t>
        </is>
      </c>
      <c r="D46" s="9" t="inlineStr">
        <is>
          <t>NTAP US Equity</t>
        </is>
      </c>
    </row>
    <row r="47">
      <c r="A47" s="9" t="inlineStr">
        <is>
          <t>HUBS US Equity</t>
        </is>
      </c>
      <c r="D47" s="9" t="inlineStr">
        <is>
          <t>6770 TT Equity</t>
        </is>
      </c>
    </row>
    <row r="48">
      <c r="A48" s="9" t="inlineStr">
        <is>
          <t>GDDY US Equity</t>
        </is>
      </c>
      <c r="D48" s="9" t="inlineStr">
        <is>
          <t>2449 TT Equity</t>
        </is>
      </c>
    </row>
    <row r="49">
      <c r="A49" s="9" t="inlineStr">
        <is>
          <t>GWRE US Equity</t>
        </is>
      </c>
      <c r="D49" s="9" t="inlineStr">
        <is>
          <t>ACLS US Equity</t>
        </is>
      </c>
    </row>
    <row r="50">
      <c r="A50" s="9" t="inlineStr">
        <is>
          <t>DT US Equity</t>
        </is>
      </c>
      <c r="D50" s="9" t="inlineStr">
        <is>
          <t>3413 TT Equity</t>
        </is>
      </c>
    </row>
    <row r="51">
      <c r="A51" s="9" t="inlineStr">
        <is>
          <t>FIG US Equity</t>
        </is>
      </c>
      <c r="D51" s="9" t="inlineStr">
        <is>
          <t>6533 TT Equity</t>
        </is>
      </c>
    </row>
    <row r="52">
      <c r="A52" s="9" t="inlineStr">
        <is>
          <t>NTNX US Equity</t>
        </is>
      </c>
      <c r="D52" s="9" t="inlineStr">
        <is>
          <t>4968 TT Equity</t>
        </is>
      </c>
    </row>
    <row r="53">
      <c r="A53" s="9" t="inlineStr">
        <is>
          <t>TTD US Equity</t>
        </is>
      </c>
      <c r="D53" s="9" t="inlineStr">
        <is>
          <t>ALGM US Equity</t>
        </is>
      </c>
    </row>
    <row r="54">
      <c r="A54" s="9" t="inlineStr">
        <is>
          <t>U US Equity</t>
        </is>
      </c>
      <c r="D54" s="9" t="inlineStr">
        <is>
          <t>WDC US Equity</t>
        </is>
      </c>
    </row>
    <row r="55">
      <c r="A55" s="9" t="inlineStr">
        <is>
          <t>DOCN US Equity</t>
        </is>
      </c>
      <c r="D55" s="9" t="inlineStr">
        <is>
          <t>3034 TT Equity</t>
        </is>
      </c>
    </row>
    <row r="56">
      <c r="A56" s="9" t="inlineStr">
        <is>
          <t>DOCU US Equity</t>
        </is>
      </c>
      <c r="D56" s="9" t="inlineStr">
        <is>
          <t>GFS US Equity</t>
        </is>
      </c>
    </row>
    <row r="57">
      <c r="A57" s="9" t="inlineStr">
        <is>
          <t>PCOR US Equity</t>
        </is>
      </c>
      <c r="D57" s="9" t="inlineStr">
        <is>
          <t>2379 TT Equity</t>
        </is>
      </c>
    </row>
    <row r="58">
      <c r="A58" s="9" t="inlineStr">
        <is>
          <t>PEGA US Equity</t>
        </is>
      </c>
      <c r="D58" s="9" t="inlineStr">
        <is>
          <t>OLED US Equity</t>
        </is>
      </c>
    </row>
    <row r="59">
      <c r="A59" s="9" t="inlineStr">
        <is>
          <t>APPF US Equity</t>
        </is>
      </c>
      <c r="D59" s="9" t="inlineStr">
        <is>
          <t>ENTG US Equity</t>
        </is>
      </c>
    </row>
    <row r="60">
      <c r="A60" s="9" t="inlineStr">
        <is>
          <t>PAYC US Equity</t>
        </is>
      </c>
      <c r="D60" s="9" t="inlineStr">
        <is>
          <t>ON US Equity</t>
        </is>
      </c>
    </row>
    <row r="61">
      <c r="A61" s="9" t="inlineStr">
        <is>
          <t>FROG US Equity</t>
        </is>
      </c>
      <c r="D61" s="9" t="inlineStr">
        <is>
          <t>DELL US Equity</t>
        </is>
      </c>
    </row>
    <row r="62">
      <c r="A62" s="9" t="inlineStr">
        <is>
          <t>PATH US Equity</t>
        </is>
      </c>
      <c r="D62" s="9" t="inlineStr">
        <is>
          <t>QRVO US Equity</t>
        </is>
      </c>
    </row>
    <row r="63">
      <c r="A63" s="9" t="inlineStr">
        <is>
          <t>PCTY US Equity</t>
        </is>
      </c>
      <c r="D63" s="9" t="inlineStr">
        <is>
          <t>3592 TT Equity</t>
        </is>
      </c>
    </row>
    <row r="64">
      <c r="A64" s="9" t="inlineStr">
        <is>
          <t>FSLY US Equity</t>
        </is>
      </c>
      <c r="D64" s="9" t="inlineStr">
        <is>
          <t>4961 TT Equity</t>
        </is>
      </c>
    </row>
    <row r="65">
      <c r="A65" s="9" t="inlineStr">
        <is>
          <t>S US Equity</t>
        </is>
      </c>
      <c r="D65" s="9" t="inlineStr">
        <is>
          <t>2344 TT Equity</t>
        </is>
      </c>
    </row>
    <row r="66">
      <c r="A66" s="9" t="inlineStr">
        <is>
          <t>DUOL US Equity</t>
        </is>
      </c>
      <c r="D66" s="9" t="inlineStr">
        <is>
          <t>RMBS US Equity</t>
        </is>
      </c>
    </row>
    <row r="67">
      <c r="A67" s="9" t="inlineStr">
        <is>
          <t>KXS CN Equity</t>
        </is>
      </c>
      <c r="D67" s="9" t="inlineStr">
        <is>
          <t>MCHP US Equity</t>
        </is>
      </c>
    </row>
    <row r="68">
      <c r="A68" s="9" t="inlineStr">
        <is>
          <t>BILL US Equity</t>
        </is>
      </c>
      <c r="D68" s="9" t="inlineStr">
        <is>
          <t>ACMR US Equity</t>
        </is>
      </c>
    </row>
    <row r="69">
      <c r="A69" s="9" t="inlineStr">
        <is>
          <t>CVLT US Equity</t>
        </is>
      </c>
      <c r="D69" s="9" t="inlineStr">
        <is>
          <t>2303 TT Equity</t>
        </is>
      </c>
    </row>
    <row r="70">
      <c r="A70" s="9" t="inlineStr">
        <is>
          <t>GTLB US Equity</t>
        </is>
      </c>
      <c r="D70" s="9" t="inlineStr">
        <is>
          <t>AMKR US Equity</t>
        </is>
      </c>
    </row>
    <row r="71">
      <c r="A71" s="9" t="inlineStr">
        <is>
          <t>MNDY US Equity</t>
        </is>
      </c>
      <c r="D71" s="9" t="inlineStr">
        <is>
          <t>QCOM US Equity</t>
        </is>
      </c>
    </row>
    <row r="72">
      <c r="A72" s="9" t="inlineStr">
        <is>
          <t>WK US Equity</t>
        </is>
      </c>
      <c r="D72" s="9" t="inlineStr">
        <is>
          <t>2382 TT Equity</t>
        </is>
      </c>
    </row>
    <row r="73">
      <c r="A73" s="9" t="inlineStr">
        <is>
          <t>BOX US Equity</t>
        </is>
      </c>
      <c r="D73" s="9" t="inlineStr">
        <is>
          <t>2458 TT Equity</t>
        </is>
      </c>
    </row>
    <row r="74">
      <c r="A74" s="9" t="inlineStr">
        <is>
          <t>RNG US Equity</t>
        </is>
      </c>
      <c r="D74" s="9" t="inlineStr">
        <is>
          <t>2351 TT Equity</t>
        </is>
      </c>
    </row>
    <row r="75">
      <c r="A75" s="9" t="inlineStr">
        <is>
          <t>TDC US Equity</t>
        </is>
      </c>
      <c r="D75" s="9" t="inlineStr">
        <is>
          <t>6239 TT Equity</t>
        </is>
      </c>
    </row>
    <row r="76">
      <c r="A76" s="9" t="inlineStr">
        <is>
          <t>BRZE US Equity</t>
        </is>
      </c>
      <c r="D76" s="9" t="inlineStr">
        <is>
          <t>COHR US Equity</t>
        </is>
      </c>
    </row>
    <row r="77">
      <c r="A77" s="9" t="inlineStr">
        <is>
          <t>NCNO US Equity</t>
        </is>
      </c>
      <c r="D77" s="9" t="inlineStr">
        <is>
          <t>5222 TT Equity</t>
        </is>
      </c>
    </row>
    <row r="78">
      <c r="A78" s="9" t="inlineStr">
        <is>
          <t>SPSC US Equity</t>
        </is>
      </c>
      <c r="D78" s="9" t="inlineStr">
        <is>
          <t>STX US Equity</t>
        </is>
      </c>
    </row>
    <row r="79">
      <c r="A79" s="9" t="inlineStr">
        <is>
          <t>BL US Equity</t>
        </is>
      </c>
      <c r="D79" s="9" t="inlineStr">
        <is>
          <t>8081 TT Equity</t>
        </is>
      </c>
    </row>
    <row r="80">
      <c r="A80" s="9" t="inlineStr">
        <is>
          <t>TENB US Equity</t>
        </is>
      </c>
      <c r="D80" s="9" t="inlineStr">
        <is>
          <t>MPWR US Equity</t>
        </is>
      </c>
    </row>
    <row r="81">
      <c r="A81" s="9" t="inlineStr">
        <is>
          <t>VERX US Equity</t>
        </is>
      </c>
      <c r="D81" s="9" t="inlineStr">
        <is>
          <t>3231 TT Equity</t>
        </is>
      </c>
    </row>
    <row r="82">
      <c r="A82" s="9" t="inlineStr">
        <is>
          <t>BLKB US Equity</t>
        </is>
      </c>
      <c r="D82" s="9" t="inlineStr">
        <is>
          <t>TER US Equity</t>
        </is>
      </c>
    </row>
    <row r="83">
      <c r="A83" s="9" t="inlineStr">
        <is>
          <t>APPN US Equity</t>
        </is>
      </c>
      <c r="D83" s="9" t="inlineStr">
        <is>
          <t>3661 TT Equity</t>
        </is>
      </c>
    </row>
    <row r="84">
      <c r="A84" s="9" t="inlineStr">
        <is>
          <t>PLTR US Equity</t>
        </is>
      </c>
      <c r="D84" s="9" t="inlineStr">
        <is>
          <t>INTC US Equity</t>
        </is>
      </c>
    </row>
    <row r="85">
      <c r="A85" s="9" t="inlineStr">
        <is>
          <t>RBRK US Equity</t>
        </is>
      </c>
      <c r="D85" s="9" t="inlineStr">
        <is>
          <t>MU US Equity</t>
        </is>
      </c>
    </row>
    <row r="86">
      <c r="A86" s="9" t="inlineStr">
        <is>
          <t>KVYO US Equity</t>
        </is>
      </c>
      <c r="D86" s="9" t="inlineStr">
        <is>
          <t>6719 TT Equity</t>
        </is>
      </c>
    </row>
    <row r="87">
      <c r="A87" s="9" t="inlineStr">
        <is>
          <t>AI US Equity</t>
        </is>
      </c>
      <c r="D87" s="9" t="inlineStr">
        <is>
          <t>MRVL US Equity</t>
        </is>
      </c>
    </row>
    <row r="88">
      <c r="A88" s="9" t="inlineStr">
        <is>
          <t>QLYS US Equity</t>
        </is>
      </c>
      <c r="D88" s="9" t="inlineStr">
        <is>
          <t>2408 TT Equity</t>
        </is>
      </c>
    </row>
    <row r="89">
      <c r="A89" s="9" t="inlineStr">
        <is>
          <t>VRNS US Equity</t>
        </is>
      </c>
      <c r="D89" s="9" t="inlineStr">
        <is>
          <t>6415 TT Equity</t>
        </is>
      </c>
    </row>
    <row r="90">
      <c r="A90" s="9" t="inlineStr">
        <is>
          <t>RDWR US Equity</t>
        </is>
      </c>
      <c r="D90" s="9" t="inlineStr">
        <is>
          <t>6271 TT Equity</t>
        </is>
      </c>
    </row>
    <row r="91">
      <c r="A91" s="9" t="inlineStr">
        <is>
          <t>ESTC US Equity</t>
        </is>
      </c>
      <c r="D91" s="9" t="inlineStr">
        <is>
          <t>NXPI US Equity</t>
        </is>
      </c>
    </row>
    <row r="92">
      <c r="A92" s="9" t="inlineStr">
        <is>
          <t>NICE US Equity</t>
        </is>
      </c>
      <c r="D92" s="9" t="inlineStr">
        <is>
          <t>6285 TT Equity</t>
        </is>
      </c>
    </row>
    <row r="93">
      <c r="A93" s="9" t="inlineStr">
        <is>
          <t>WIX US Equity</t>
        </is>
      </c>
      <c r="D93" s="9" t="inlineStr">
        <is>
          <t>8150 TT Equity</t>
        </is>
      </c>
    </row>
    <row r="94">
      <c r="A94" s="9" t="inlineStr">
        <is>
          <t>FRSH US Equity</t>
        </is>
      </c>
      <c r="D94" s="9" t="inlineStr">
        <is>
          <t>SNPS US Equity</t>
        </is>
      </c>
    </row>
    <row r="95">
      <c r="A95" s="9" t="inlineStr">
        <is>
          <t>AMPL US Equity</t>
        </is>
      </c>
      <c r="D95" s="9" t="inlineStr">
        <is>
          <t>KLIC US Equity</t>
        </is>
      </c>
    </row>
    <row r="96">
      <c r="A96" s="9" t="inlineStr">
        <is>
          <t>ASAN US Equity</t>
        </is>
      </c>
      <c r="D96" s="9" t="inlineStr">
        <is>
          <t>KLAC US Equity</t>
        </is>
      </c>
    </row>
    <row r="97">
      <c r="A97" s="9" t="inlineStr">
        <is>
          <t>CXM US Equity</t>
        </is>
      </c>
      <c r="D97" s="9" t="inlineStr">
        <is>
          <t>3006 TT Equity</t>
        </is>
      </c>
    </row>
    <row r="98">
      <c r="A98" s="9" t="inlineStr">
        <is>
          <t>RPD US Equity</t>
        </is>
      </c>
      <c r="D98" s="9" t="inlineStr">
        <is>
          <t>CDNS US Equity</t>
        </is>
      </c>
    </row>
    <row r="99">
      <c r="A99" s="9" t="inlineStr">
        <is>
          <t>PD US Equity</t>
        </is>
      </c>
      <c r="D99" s="9" t="inlineStr">
        <is>
          <t>LRCX US Equity</t>
        </is>
      </c>
    </row>
    <row r="100">
      <c r="A100" s="9" t="inlineStr">
        <is>
          <t>FIVN US Equity</t>
        </is>
      </c>
      <c r="D100" s="9" t="inlineStr">
        <is>
          <t>6531 TT Equity</t>
        </is>
      </c>
    </row>
    <row r="101">
      <c r="A101" s="9" t="inlineStr">
        <is>
          <t>EGHT US Equity</t>
        </is>
      </c>
      <c r="D101" s="9" t="inlineStr">
        <is>
          <t>ADI US Equity</t>
        </is>
      </c>
    </row>
    <row r="102">
      <c r="A102" s="9" t="inlineStr">
        <is>
          <t>DOMO US Equity</t>
        </is>
      </c>
      <c r="D102" s="9" t="inlineStr">
        <is>
          <t>AMD US Equity</t>
        </is>
      </c>
    </row>
    <row r="103">
      <c r="A103" s="9" t="inlineStr">
        <is>
          <t>SPT US Equity</t>
        </is>
      </c>
      <c r="D103" s="9" t="inlineStr">
        <is>
          <t>2313 TT Equity</t>
        </is>
      </c>
    </row>
    <row r="104">
      <c r="D104" s="9" t="inlineStr">
        <is>
          <t>3189 TT Equity</t>
        </is>
      </c>
    </row>
    <row r="105">
      <c r="A105" s="10">
        <f>COUNTA(A5:A103)&amp;" tickers"</f>
        <v/>
      </c>
      <c r="D105" s="9" t="inlineStr">
        <is>
          <t>AMAT US Equity</t>
        </is>
      </c>
    </row>
    <row r="106">
      <c r="D106" s="9" t="inlineStr">
        <is>
          <t>3711 TT Equity</t>
        </is>
      </c>
    </row>
    <row r="107">
      <c r="D107" s="9" t="inlineStr">
        <is>
          <t>TXN US Equity</t>
        </is>
      </c>
    </row>
    <row r="108">
      <c r="D108" s="9" t="inlineStr">
        <is>
          <t>6799 TT Equity</t>
        </is>
      </c>
    </row>
    <row r="109">
      <c r="D109" s="9" t="inlineStr">
        <is>
          <t>NVDA US Equity</t>
        </is>
      </c>
    </row>
    <row r="110">
      <c r="D110" s="9" t="inlineStr">
        <is>
          <t>1560 TT Equity</t>
        </is>
      </c>
    </row>
    <row r="111">
      <c r="D111" s="9" t="inlineStr">
        <is>
          <t>AVGO US Equity</t>
        </is>
      </c>
    </row>
    <row r="112">
      <c r="D112" s="9" t="inlineStr">
        <is>
          <t>MSFT US Equity</t>
        </is>
      </c>
    </row>
    <row r="113">
      <c r="D113" s="9" t="inlineStr">
        <is>
          <t>AMZN US Equity</t>
        </is>
      </c>
    </row>
    <row r="114">
      <c r="D114" s="9" t="inlineStr">
        <is>
          <t>3443 TT Equity</t>
        </is>
      </c>
    </row>
    <row r="115">
      <c r="D115" s="9" t="inlineStr">
        <is>
          <t>6515 TT Equity</t>
        </is>
      </c>
    </row>
    <row r="116">
      <c r="D116" s="9" t="inlineStr">
        <is>
          <t>2360 TT Equity</t>
        </is>
      </c>
    </row>
    <row r="117">
      <c r="D117" s="9" t="inlineStr">
        <is>
          <t>GOOG US Equity</t>
        </is>
      </c>
    </row>
    <row r="118">
      <c r="D118" s="9" t="inlineStr">
        <is>
          <t>2317 TT Equity</t>
        </is>
      </c>
    </row>
    <row r="119">
      <c r="D119" s="9" t="inlineStr">
        <is>
          <t>3105 TT Equity</t>
        </is>
      </c>
    </row>
    <row r="120">
      <c r="D120" s="9" t="inlineStr">
        <is>
          <t>6147 TT Equity</t>
        </is>
      </c>
    </row>
    <row r="121">
      <c r="D121" s="9" t="inlineStr">
        <is>
          <t>2454 TT Equity</t>
        </is>
      </c>
    </row>
    <row r="122">
      <c r="D122" s="9" t="inlineStr">
        <is>
          <t>3491 TT Equity</t>
        </is>
      </c>
    </row>
    <row r="123">
      <c r="D123" s="9" t="inlineStr">
        <is>
          <t>8086 TT Equity</t>
        </is>
      </c>
    </row>
    <row r="124">
      <c r="D124" s="9" t="inlineStr">
        <is>
          <t>6488 TT Equity</t>
        </is>
      </c>
    </row>
    <row r="125">
      <c r="D125" s="9" t="inlineStr">
        <is>
          <t>8299 TT Equity</t>
        </is>
      </c>
    </row>
    <row r="126">
      <c r="D126" s="9" t="inlineStr">
        <is>
          <t>688052 CH Equity</t>
        </is>
      </c>
    </row>
    <row r="127">
      <c r="D127" s="9" t="inlineStr">
        <is>
          <t>300394 CH Equity</t>
        </is>
      </c>
    </row>
    <row r="128">
      <c r="D128" s="9" t="inlineStr">
        <is>
          <t>601138 CH Equity</t>
        </is>
      </c>
    </row>
    <row r="129">
      <c r="D129" s="9" t="inlineStr">
        <is>
          <t>300433 CH Equity</t>
        </is>
      </c>
    </row>
    <row r="130">
      <c r="D130" s="9" t="inlineStr">
        <is>
          <t>2330 TT Equity</t>
        </is>
      </c>
    </row>
    <row r="131">
      <c r="D131" s="9" t="inlineStr">
        <is>
          <t>688256 CH Equity</t>
        </is>
      </c>
    </row>
    <row r="132">
      <c r="D132" s="9" t="inlineStr">
        <is>
          <t>002371 CH Equity</t>
        </is>
      </c>
    </row>
    <row r="133">
      <c r="D133" s="9" t="inlineStr">
        <is>
          <t>688012 CH Equity</t>
        </is>
      </c>
    </row>
    <row r="134">
      <c r="D134" s="9" t="inlineStr">
        <is>
          <t>300782 CH Equity</t>
        </is>
      </c>
    </row>
    <row r="135">
      <c r="D135" s="9" t="inlineStr">
        <is>
          <t>300308 CH Equity</t>
        </is>
      </c>
    </row>
    <row r="136">
      <c r="D136" s="9" t="inlineStr">
        <is>
          <t>300661 CH Equity</t>
        </is>
      </c>
    </row>
    <row r="137">
      <c r="D137" s="9" t="inlineStr">
        <is>
          <t>688041 CH Equity</t>
        </is>
      </c>
    </row>
    <row r="138">
      <c r="D138" s="9" t="inlineStr">
        <is>
          <t>688981 CH Equity</t>
        </is>
      </c>
    </row>
    <row r="139">
      <c r="D139" s="9" t="inlineStr">
        <is>
          <t>603501 CH Equity</t>
        </is>
      </c>
    </row>
    <row r="140">
      <c r="D140" s="9" t="inlineStr">
        <is>
          <t>5347 TT Equity</t>
        </is>
      </c>
    </row>
    <row r="141">
      <c r="D141" s="9" t="inlineStr">
        <is>
          <t>688072 CH Equity</t>
        </is>
      </c>
    </row>
    <row r="142">
      <c r="D142" s="9" t="inlineStr">
        <is>
          <t>688347 CH Equity</t>
        </is>
      </c>
    </row>
    <row r="143">
      <c r="D143" s="9" t="inlineStr">
        <is>
          <t>3680 TT Equity</t>
        </is>
      </c>
    </row>
    <row r="145">
      <c r="D145" s="10">
        <f>COUNTA(D5:D143)&amp;" tickers"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0C0"/>
    <outlinePr summaryBelow="1" summaryRight="1"/>
    <pageSetUpPr/>
  </sheetPr>
  <dimension ref="A1:Y106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5" t="inlineStr">
        <is>
          <t>Software — Earnings Comp Dashboard (latest reported quarter)</t>
        </is>
      </c>
      <c r="H1" s="6" t="inlineStr">
        <is>
          <t>⚠ Cells blank? This is a LIVE Bloomberg workbook — it has no saved data until its first refresh. Open it in desktop Excel on your Bloomberg terminal PC (add-in logged in), then Bloomberg ribbon ▸ Refresh All (or Ctrl+Alt+F9), wait a few minutes, and save. See README.</t>
        </is>
      </c>
    </row>
    <row r="2">
      <c r="A2" s="7" t="inlineStr">
        <is>
          <t>USD mm unless noted. Every row reads the same-numbered row on the data/metric sheets. FPO 0 = each company's own latest reported quarter. Estimate-based columns note (Est).</t>
        </is>
      </c>
    </row>
    <row r="4" ht="42" customHeight="1">
      <c r="A4" s="8" t="inlineStr">
        <is>
          <t>Ticker</t>
        </is>
      </c>
      <c r="B4" s="8" t="inlineStr">
        <is>
          <t>Latest Rpt Qtr</t>
        </is>
      </c>
      <c r="C4" s="8" t="inlineStr">
        <is>
          <t>Revenue LQ (USD mm)</t>
        </is>
      </c>
      <c r="D4" s="8" t="inlineStr">
        <is>
          <t>Rev YoY %</t>
        </is>
      </c>
      <c r="E4" s="8" t="inlineStr">
        <is>
          <t>Rev YoY % (prior qtr)</t>
        </is>
      </c>
      <c r="F4" s="8" t="inlineStr">
        <is>
          <t>Accel / (Decel) (pp)</t>
        </is>
      </c>
      <c r="G4" s="8" t="inlineStr">
        <is>
          <t>Rev QoQ %</t>
        </is>
      </c>
      <c r="H4" s="8" t="inlineStr">
        <is>
          <t>$ Added QoQ (mm)</t>
        </is>
      </c>
      <c r="I4" s="8" t="inlineStr">
        <is>
          <t>$ Added YoY (mm)</t>
        </is>
      </c>
      <c r="J4" s="8" t="inlineStr">
        <is>
          <t>Next Qtr YoY % (Est)</t>
        </is>
      </c>
      <c r="K4" s="8" t="inlineStr">
        <is>
          <t>Op Margin %</t>
        </is>
      </c>
      <c r="L4" s="8" t="inlineStr">
        <is>
          <t>OpM Δ YoY (bps)</t>
        </is>
      </c>
      <c r="M4" s="8" t="inlineStr">
        <is>
          <t>Op Inc YoY %</t>
        </is>
      </c>
      <c r="N4" s="8" t="inlineStr">
        <is>
          <t>Incr OpM % (Op Leverage)</t>
        </is>
      </c>
      <c r="O4" s="8" t="inlineStr">
        <is>
          <t>Op Lev (x)</t>
        </is>
      </c>
      <c r="P4" s="8" t="inlineStr">
        <is>
          <t>FCF Margin LTM %</t>
        </is>
      </c>
      <c r="Q4" s="8" t="inlineStr">
        <is>
          <t>FCF Margin Δ YoY (bps)</t>
        </is>
      </c>
      <c r="R4" s="8" t="inlineStr">
        <is>
          <t>NTM Rev Rev Δ1M %</t>
        </is>
      </c>
      <c r="S4" s="8" t="inlineStr">
        <is>
          <t>NTM Rev Rev Δ3M %</t>
        </is>
      </c>
      <c r="T4" s="8" t="inlineStr">
        <is>
          <t>NTM Rev Rev Δ6M %</t>
        </is>
      </c>
      <c r="U4" s="8" t="inlineStr">
        <is>
          <t>NTM EPS Rev Δ1M %</t>
        </is>
      </c>
      <c r="V4" s="8" t="inlineStr">
        <is>
          <t>NTM EPS Rev Δ3M %</t>
        </is>
      </c>
      <c r="W4" s="8" t="inlineStr">
        <is>
          <t>NTM EPS Rev Δ6M %</t>
        </is>
      </c>
      <c r="X4" s="8" t="inlineStr">
        <is>
          <t>Rank: Rev YoY</t>
        </is>
      </c>
      <c r="Y4" s="8" t="inlineStr">
        <is>
          <t>Rank: NTM Rev Δ3M</t>
        </is>
      </c>
    </row>
    <row r="5">
      <c r="A5" s="11" t="inlineStr">
        <is>
          <t>Peer Median</t>
        </is>
      </c>
      <c r="B5" s="12" t="n"/>
      <c r="C5" s="13">
        <f>IFERROR(MEDIAN(C8:C106),"")</f>
        <v/>
      </c>
      <c r="D5" s="14">
        <f>IFERROR(MEDIAN(D8:D106),"")</f>
        <v/>
      </c>
      <c r="E5" s="14">
        <f>IFERROR(MEDIAN(E8:E106),"")</f>
        <v/>
      </c>
      <c r="F5" s="15">
        <f>IFERROR(MEDIAN(F8:F106),"")</f>
        <v/>
      </c>
      <c r="G5" s="14">
        <f>IFERROR(MEDIAN(G8:G106),"")</f>
        <v/>
      </c>
      <c r="H5" s="13">
        <f>IFERROR(MEDIAN(H8:H106),"")</f>
        <v/>
      </c>
      <c r="I5" s="13">
        <f>IFERROR(MEDIAN(I8:I106),"")</f>
        <v/>
      </c>
      <c r="J5" s="14">
        <f>IFERROR(MEDIAN(J8:J106),"")</f>
        <v/>
      </c>
      <c r="K5" s="14">
        <f>IFERROR(MEDIAN(K8:K106),"")</f>
        <v/>
      </c>
      <c r="L5" s="16">
        <f>IFERROR(MEDIAN(L8:L106),"")</f>
        <v/>
      </c>
      <c r="M5" s="14">
        <f>IFERROR(MEDIAN(M8:M106),"")</f>
        <v/>
      </c>
      <c r="N5" s="14">
        <f>IFERROR(MEDIAN(N8:N106),"")</f>
        <v/>
      </c>
      <c r="O5" s="17">
        <f>IFERROR(MEDIAN(O8:O106),"")</f>
        <v/>
      </c>
      <c r="P5" s="14">
        <f>IFERROR(MEDIAN(P8:P106),"")</f>
        <v/>
      </c>
      <c r="Q5" s="16">
        <f>IFERROR(MEDIAN(Q8:Q106),"")</f>
        <v/>
      </c>
      <c r="R5" s="15">
        <f>IFERROR(MEDIAN(R8:R106),"")</f>
        <v/>
      </c>
      <c r="S5" s="15">
        <f>IFERROR(MEDIAN(S8:S106),"")</f>
        <v/>
      </c>
      <c r="T5" s="15">
        <f>IFERROR(MEDIAN(T8:T106),"")</f>
        <v/>
      </c>
      <c r="U5" s="15">
        <f>IFERROR(MEDIAN(U8:U106),"")</f>
        <v/>
      </c>
      <c r="V5" s="15">
        <f>IFERROR(MEDIAN(V8:V106),"")</f>
        <v/>
      </c>
      <c r="W5" s="15">
        <f>IFERROR(MEDIAN(W8:W106),"")</f>
        <v/>
      </c>
      <c r="X5" s="18" t="n"/>
      <c r="Y5" s="18" t="n"/>
    </row>
    <row r="6">
      <c r="A6" s="11" t="inlineStr">
        <is>
          <t>Top Quartile (75th)</t>
        </is>
      </c>
      <c r="B6" s="12" t="n"/>
      <c r="C6" s="13">
        <f>IFERROR(QUARTILE(C8:C106,3),"")</f>
        <v/>
      </c>
      <c r="D6" s="14">
        <f>IFERROR(QUARTILE(D8:D106,3),"")</f>
        <v/>
      </c>
      <c r="E6" s="14">
        <f>IFERROR(QUARTILE(E8:E106,3),"")</f>
        <v/>
      </c>
      <c r="F6" s="15">
        <f>IFERROR(QUARTILE(F8:F106,3),"")</f>
        <v/>
      </c>
      <c r="G6" s="14">
        <f>IFERROR(QUARTILE(G8:G106,3),"")</f>
        <v/>
      </c>
      <c r="H6" s="13">
        <f>IFERROR(QUARTILE(H8:H106,3),"")</f>
        <v/>
      </c>
      <c r="I6" s="13">
        <f>IFERROR(QUARTILE(I8:I106,3),"")</f>
        <v/>
      </c>
      <c r="J6" s="14">
        <f>IFERROR(QUARTILE(J8:J106,3),"")</f>
        <v/>
      </c>
      <c r="K6" s="14">
        <f>IFERROR(QUARTILE(K8:K106,3),"")</f>
        <v/>
      </c>
      <c r="L6" s="16">
        <f>IFERROR(QUARTILE(L8:L106,3),"")</f>
        <v/>
      </c>
      <c r="M6" s="14">
        <f>IFERROR(QUARTILE(M8:M106,3),"")</f>
        <v/>
      </c>
      <c r="N6" s="14">
        <f>IFERROR(QUARTILE(N8:N106,3),"")</f>
        <v/>
      </c>
      <c r="O6" s="17">
        <f>IFERROR(QUARTILE(O8:O106,3),"")</f>
        <v/>
      </c>
      <c r="P6" s="14">
        <f>IFERROR(QUARTILE(P8:P106,3),"")</f>
        <v/>
      </c>
      <c r="Q6" s="16">
        <f>IFERROR(QUARTILE(Q8:Q106,3),"")</f>
        <v/>
      </c>
      <c r="R6" s="15">
        <f>IFERROR(QUARTILE(R8:R106,3),"")</f>
        <v/>
      </c>
      <c r="S6" s="15">
        <f>IFERROR(QUARTILE(S8:S106,3),"")</f>
        <v/>
      </c>
      <c r="T6" s="15">
        <f>IFERROR(QUARTILE(T8:T106,3),"")</f>
        <v/>
      </c>
      <c r="U6" s="15">
        <f>IFERROR(QUARTILE(U8:U106,3),"")</f>
        <v/>
      </c>
      <c r="V6" s="15">
        <f>IFERROR(QUARTILE(V8:V106,3),"")</f>
        <v/>
      </c>
      <c r="W6" s="15">
        <f>IFERROR(QUARTILE(W8:W106,3),"")</f>
        <v/>
      </c>
      <c r="X6" s="18" t="n"/>
      <c r="Y6" s="18" t="n"/>
    </row>
    <row r="7">
      <c r="A7" s="11" t="inlineStr">
        <is>
          <t>Bottom Quartile (25th)</t>
        </is>
      </c>
      <c r="B7" s="12" t="n"/>
      <c r="C7" s="13">
        <f>IFERROR(QUARTILE(C8:C106,1),"")</f>
        <v/>
      </c>
      <c r="D7" s="14">
        <f>IFERROR(QUARTILE(D8:D106,1),"")</f>
        <v/>
      </c>
      <c r="E7" s="14">
        <f>IFERROR(QUARTILE(E8:E106,1),"")</f>
        <v/>
      </c>
      <c r="F7" s="15">
        <f>IFERROR(QUARTILE(F8:F106,1),"")</f>
        <v/>
      </c>
      <c r="G7" s="14">
        <f>IFERROR(QUARTILE(G8:G106,1),"")</f>
        <v/>
      </c>
      <c r="H7" s="13">
        <f>IFERROR(QUARTILE(H8:H106,1),"")</f>
        <v/>
      </c>
      <c r="I7" s="13">
        <f>IFERROR(QUARTILE(I8:I106,1),"")</f>
        <v/>
      </c>
      <c r="J7" s="14">
        <f>IFERROR(QUARTILE(J8:J106,1),"")</f>
        <v/>
      </c>
      <c r="K7" s="14">
        <f>IFERROR(QUARTILE(K8:K106,1),"")</f>
        <v/>
      </c>
      <c r="L7" s="16">
        <f>IFERROR(QUARTILE(L8:L106,1),"")</f>
        <v/>
      </c>
      <c r="M7" s="14">
        <f>IFERROR(QUARTILE(M8:M106,1),"")</f>
        <v/>
      </c>
      <c r="N7" s="14">
        <f>IFERROR(QUARTILE(N8:N106,1),"")</f>
        <v/>
      </c>
      <c r="O7" s="17">
        <f>IFERROR(QUARTILE(O8:O106,1),"")</f>
        <v/>
      </c>
      <c r="P7" s="14">
        <f>IFERROR(QUARTILE(P8:P106,1),"")</f>
        <v/>
      </c>
      <c r="Q7" s="16">
        <f>IFERROR(QUARTILE(Q8:Q106,1),"")</f>
        <v/>
      </c>
      <c r="R7" s="15">
        <f>IFERROR(QUARTILE(R8:R106,1),"")</f>
        <v/>
      </c>
      <c r="S7" s="15">
        <f>IFERROR(QUARTILE(S8:S106,1),"")</f>
        <v/>
      </c>
      <c r="T7" s="15">
        <f>IFERROR(QUARTILE(T8:T106,1),"")</f>
        <v/>
      </c>
      <c r="U7" s="15">
        <f>IFERROR(QUARTILE(U8:U106,1),"")</f>
        <v/>
      </c>
      <c r="V7" s="15">
        <f>IFERROR(QUARTILE(V8:V106,1),"")</f>
        <v/>
      </c>
      <c r="W7" s="15">
        <f>IFERROR(QUARTILE(W8:W106,1),"")</f>
        <v/>
      </c>
      <c r="X7" s="18" t="n"/>
      <c r="Y7" s="18" t="n"/>
    </row>
    <row r="8">
      <c r="A8" s="19">
        <f>'SW Rev'!$A5</f>
        <v/>
      </c>
      <c r="B8" s="19">
        <f>'SW Rev'!$B5</f>
        <v/>
      </c>
      <c r="C8" s="20">
        <f>IF(ISNUMBER('SW Rev'!P5),'SW Rev'!P5,"")</f>
        <v/>
      </c>
      <c r="D8" s="21">
        <f>'SW Metrics'!L108</f>
        <v/>
      </c>
      <c r="E8" s="21">
        <f>'SW Metrics'!K108</f>
        <v/>
      </c>
      <c r="F8" s="22">
        <f>IF(OR(D8="",E8=""),"",D8-E8)</f>
        <v/>
      </c>
      <c r="G8" s="21">
        <f>'SW Metrics'!L210</f>
        <v/>
      </c>
      <c r="H8" s="20">
        <f>'SW Metrics'!L414</f>
        <v/>
      </c>
      <c r="I8" s="20">
        <f>'SW Metrics'!L312</f>
        <v/>
      </c>
      <c r="J8" s="21">
        <f>'SW Metrics'!M108</f>
        <v/>
      </c>
      <c r="K8" s="21">
        <f>'SW Metrics'!L516</f>
        <v/>
      </c>
      <c r="L8" s="23">
        <f>'SW Metrics'!L618</f>
        <v/>
      </c>
      <c r="M8" s="21">
        <f>'SW Metrics'!L720</f>
        <v/>
      </c>
      <c r="N8" s="21">
        <f>'SW Metrics'!L822</f>
        <v/>
      </c>
      <c r="O8" s="24">
        <f>IFERROR(IF(AND(N(D8)&gt;0,N(M8)&gt;0),M8/D8,""),"")</f>
        <v/>
      </c>
      <c r="P8" s="21">
        <f>'SW Metrics'!L924</f>
        <v/>
      </c>
      <c r="Q8" s="23">
        <f>'SW Metrics'!L1026</f>
        <v/>
      </c>
      <c r="R8" s="25">
        <f>'SW Revisions'!G6</f>
        <v/>
      </c>
      <c r="S8" s="25">
        <f>'SW Revisions'!H6</f>
        <v/>
      </c>
      <c r="T8" s="25">
        <f>'SW Revisions'!I6</f>
        <v/>
      </c>
      <c r="U8" s="25">
        <f>'SW Revisions'!O6</f>
        <v/>
      </c>
      <c r="V8" s="25">
        <f>'SW Revisions'!P6</f>
        <v/>
      </c>
      <c r="W8" s="25">
        <f>'SW Revisions'!Q6</f>
        <v/>
      </c>
      <c r="X8" s="26">
        <f>IFERROR(RANK(D8,D$8:D$106),"")</f>
        <v/>
      </c>
      <c r="Y8" s="26">
        <f>IFERROR(RANK(S8,S$8:S$106),"")</f>
        <v/>
      </c>
    </row>
    <row r="9">
      <c r="A9" s="19">
        <f>'SW Rev'!$A6</f>
        <v/>
      </c>
      <c r="B9" s="19">
        <f>'SW Rev'!$B6</f>
        <v/>
      </c>
      <c r="C9" s="20">
        <f>IF(ISNUMBER('SW Rev'!P6),'SW Rev'!P6,"")</f>
        <v/>
      </c>
      <c r="D9" s="21">
        <f>'SW Metrics'!L109</f>
        <v/>
      </c>
      <c r="E9" s="21">
        <f>'SW Metrics'!K109</f>
        <v/>
      </c>
      <c r="F9" s="22">
        <f>IF(OR(D9="",E9=""),"",D9-E9)</f>
        <v/>
      </c>
      <c r="G9" s="21">
        <f>'SW Metrics'!L211</f>
        <v/>
      </c>
      <c r="H9" s="20">
        <f>'SW Metrics'!L415</f>
        <v/>
      </c>
      <c r="I9" s="20">
        <f>'SW Metrics'!L313</f>
        <v/>
      </c>
      <c r="J9" s="21">
        <f>'SW Metrics'!M109</f>
        <v/>
      </c>
      <c r="K9" s="21">
        <f>'SW Metrics'!L517</f>
        <v/>
      </c>
      <c r="L9" s="23">
        <f>'SW Metrics'!L619</f>
        <v/>
      </c>
      <c r="M9" s="21">
        <f>'SW Metrics'!L721</f>
        <v/>
      </c>
      <c r="N9" s="21">
        <f>'SW Metrics'!L823</f>
        <v/>
      </c>
      <c r="O9" s="24">
        <f>IFERROR(IF(AND(N(D9)&gt;0,N(M9)&gt;0),M9/D9,""),"")</f>
        <v/>
      </c>
      <c r="P9" s="21">
        <f>'SW Metrics'!L925</f>
        <v/>
      </c>
      <c r="Q9" s="23">
        <f>'SW Metrics'!L1027</f>
        <v/>
      </c>
      <c r="R9" s="25">
        <f>'SW Revisions'!G7</f>
        <v/>
      </c>
      <c r="S9" s="25">
        <f>'SW Revisions'!H7</f>
        <v/>
      </c>
      <c r="T9" s="25">
        <f>'SW Revisions'!I7</f>
        <v/>
      </c>
      <c r="U9" s="25">
        <f>'SW Revisions'!O7</f>
        <v/>
      </c>
      <c r="V9" s="25">
        <f>'SW Revisions'!P7</f>
        <v/>
      </c>
      <c r="W9" s="25">
        <f>'SW Revisions'!Q7</f>
        <v/>
      </c>
      <c r="X9" s="26">
        <f>IFERROR(RANK(D9,D$8:D$106),"")</f>
        <v/>
      </c>
      <c r="Y9" s="26">
        <f>IFERROR(RANK(S9,S$8:S$106),"")</f>
        <v/>
      </c>
    </row>
    <row r="10">
      <c r="A10" s="19">
        <f>'SW Rev'!$A7</f>
        <v/>
      </c>
      <c r="B10" s="19">
        <f>'SW Rev'!$B7</f>
        <v/>
      </c>
      <c r="C10" s="20">
        <f>IF(ISNUMBER('SW Rev'!P7),'SW Rev'!P7,"")</f>
        <v/>
      </c>
      <c r="D10" s="21">
        <f>'SW Metrics'!L110</f>
        <v/>
      </c>
      <c r="E10" s="21">
        <f>'SW Metrics'!K110</f>
        <v/>
      </c>
      <c r="F10" s="22">
        <f>IF(OR(D10="",E10=""),"",D10-E10)</f>
        <v/>
      </c>
      <c r="G10" s="21">
        <f>'SW Metrics'!L212</f>
        <v/>
      </c>
      <c r="H10" s="20">
        <f>'SW Metrics'!L416</f>
        <v/>
      </c>
      <c r="I10" s="20">
        <f>'SW Metrics'!L314</f>
        <v/>
      </c>
      <c r="J10" s="21">
        <f>'SW Metrics'!M110</f>
        <v/>
      </c>
      <c r="K10" s="21">
        <f>'SW Metrics'!L518</f>
        <v/>
      </c>
      <c r="L10" s="23">
        <f>'SW Metrics'!L620</f>
        <v/>
      </c>
      <c r="M10" s="21">
        <f>'SW Metrics'!L722</f>
        <v/>
      </c>
      <c r="N10" s="21">
        <f>'SW Metrics'!L824</f>
        <v/>
      </c>
      <c r="O10" s="24">
        <f>IFERROR(IF(AND(N(D10)&gt;0,N(M10)&gt;0),M10/D10,""),"")</f>
        <v/>
      </c>
      <c r="P10" s="21">
        <f>'SW Metrics'!L926</f>
        <v/>
      </c>
      <c r="Q10" s="23">
        <f>'SW Metrics'!L1028</f>
        <v/>
      </c>
      <c r="R10" s="25">
        <f>'SW Revisions'!G8</f>
        <v/>
      </c>
      <c r="S10" s="25">
        <f>'SW Revisions'!H8</f>
        <v/>
      </c>
      <c r="T10" s="25">
        <f>'SW Revisions'!I8</f>
        <v/>
      </c>
      <c r="U10" s="25">
        <f>'SW Revisions'!O8</f>
        <v/>
      </c>
      <c r="V10" s="25">
        <f>'SW Revisions'!P8</f>
        <v/>
      </c>
      <c r="W10" s="25">
        <f>'SW Revisions'!Q8</f>
        <v/>
      </c>
      <c r="X10" s="26">
        <f>IFERROR(RANK(D10,D$8:D$106),"")</f>
        <v/>
      </c>
      <c r="Y10" s="26">
        <f>IFERROR(RANK(S10,S$8:S$106),"")</f>
        <v/>
      </c>
    </row>
    <row r="11">
      <c r="A11" s="19">
        <f>'SW Rev'!$A8</f>
        <v/>
      </c>
      <c r="B11" s="19">
        <f>'SW Rev'!$B8</f>
        <v/>
      </c>
      <c r="C11" s="20">
        <f>IF(ISNUMBER('SW Rev'!P8),'SW Rev'!P8,"")</f>
        <v/>
      </c>
      <c r="D11" s="21">
        <f>'SW Metrics'!L111</f>
        <v/>
      </c>
      <c r="E11" s="21">
        <f>'SW Metrics'!K111</f>
        <v/>
      </c>
      <c r="F11" s="22">
        <f>IF(OR(D11="",E11=""),"",D11-E11)</f>
        <v/>
      </c>
      <c r="G11" s="21">
        <f>'SW Metrics'!L213</f>
        <v/>
      </c>
      <c r="H11" s="20">
        <f>'SW Metrics'!L417</f>
        <v/>
      </c>
      <c r="I11" s="20">
        <f>'SW Metrics'!L315</f>
        <v/>
      </c>
      <c r="J11" s="21">
        <f>'SW Metrics'!M111</f>
        <v/>
      </c>
      <c r="K11" s="21">
        <f>'SW Metrics'!L519</f>
        <v/>
      </c>
      <c r="L11" s="23">
        <f>'SW Metrics'!L621</f>
        <v/>
      </c>
      <c r="M11" s="21">
        <f>'SW Metrics'!L723</f>
        <v/>
      </c>
      <c r="N11" s="21">
        <f>'SW Metrics'!L825</f>
        <v/>
      </c>
      <c r="O11" s="24">
        <f>IFERROR(IF(AND(N(D11)&gt;0,N(M11)&gt;0),M11/D11,""),"")</f>
        <v/>
      </c>
      <c r="P11" s="21">
        <f>'SW Metrics'!L927</f>
        <v/>
      </c>
      <c r="Q11" s="23">
        <f>'SW Metrics'!L1029</f>
        <v/>
      </c>
      <c r="R11" s="25">
        <f>'SW Revisions'!G9</f>
        <v/>
      </c>
      <c r="S11" s="25">
        <f>'SW Revisions'!H9</f>
        <v/>
      </c>
      <c r="T11" s="25">
        <f>'SW Revisions'!I9</f>
        <v/>
      </c>
      <c r="U11" s="25">
        <f>'SW Revisions'!O9</f>
        <v/>
      </c>
      <c r="V11" s="25">
        <f>'SW Revisions'!P9</f>
        <v/>
      </c>
      <c r="W11" s="25">
        <f>'SW Revisions'!Q9</f>
        <v/>
      </c>
      <c r="X11" s="26">
        <f>IFERROR(RANK(D11,D$8:D$106),"")</f>
        <v/>
      </c>
      <c r="Y11" s="26">
        <f>IFERROR(RANK(S11,S$8:S$106),"")</f>
        <v/>
      </c>
    </row>
    <row r="12">
      <c r="A12" s="19">
        <f>'SW Rev'!$A9</f>
        <v/>
      </c>
      <c r="B12" s="19">
        <f>'SW Rev'!$B9</f>
        <v/>
      </c>
      <c r="C12" s="20">
        <f>IF(ISNUMBER('SW Rev'!P9),'SW Rev'!P9,"")</f>
        <v/>
      </c>
      <c r="D12" s="21">
        <f>'SW Metrics'!L112</f>
        <v/>
      </c>
      <c r="E12" s="21">
        <f>'SW Metrics'!K112</f>
        <v/>
      </c>
      <c r="F12" s="22">
        <f>IF(OR(D12="",E12=""),"",D12-E12)</f>
        <v/>
      </c>
      <c r="G12" s="21">
        <f>'SW Metrics'!L214</f>
        <v/>
      </c>
      <c r="H12" s="20">
        <f>'SW Metrics'!L418</f>
        <v/>
      </c>
      <c r="I12" s="20">
        <f>'SW Metrics'!L316</f>
        <v/>
      </c>
      <c r="J12" s="21">
        <f>'SW Metrics'!M112</f>
        <v/>
      </c>
      <c r="K12" s="21">
        <f>'SW Metrics'!L520</f>
        <v/>
      </c>
      <c r="L12" s="23">
        <f>'SW Metrics'!L622</f>
        <v/>
      </c>
      <c r="M12" s="21">
        <f>'SW Metrics'!L724</f>
        <v/>
      </c>
      <c r="N12" s="21">
        <f>'SW Metrics'!L826</f>
        <v/>
      </c>
      <c r="O12" s="24">
        <f>IFERROR(IF(AND(N(D12)&gt;0,N(M12)&gt;0),M12/D12,""),"")</f>
        <v/>
      </c>
      <c r="P12" s="21">
        <f>'SW Metrics'!L928</f>
        <v/>
      </c>
      <c r="Q12" s="23">
        <f>'SW Metrics'!L1030</f>
        <v/>
      </c>
      <c r="R12" s="25">
        <f>'SW Revisions'!G10</f>
        <v/>
      </c>
      <c r="S12" s="25">
        <f>'SW Revisions'!H10</f>
        <v/>
      </c>
      <c r="T12" s="25">
        <f>'SW Revisions'!I10</f>
        <v/>
      </c>
      <c r="U12" s="25">
        <f>'SW Revisions'!O10</f>
        <v/>
      </c>
      <c r="V12" s="25">
        <f>'SW Revisions'!P10</f>
        <v/>
      </c>
      <c r="W12" s="25">
        <f>'SW Revisions'!Q10</f>
        <v/>
      </c>
      <c r="X12" s="26">
        <f>IFERROR(RANK(D12,D$8:D$106),"")</f>
        <v/>
      </c>
      <c r="Y12" s="26">
        <f>IFERROR(RANK(S12,S$8:S$106),"")</f>
        <v/>
      </c>
    </row>
    <row r="13">
      <c r="A13" s="19">
        <f>'SW Rev'!$A10</f>
        <v/>
      </c>
      <c r="B13" s="19">
        <f>'SW Rev'!$B10</f>
        <v/>
      </c>
      <c r="C13" s="20">
        <f>IF(ISNUMBER('SW Rev'!P10),'SW Rev'!P10,"")</f>
        <v/>
      </c>
      <c r="D13" s="21">
        <f>'SW Metrics'!L113</f>
        <v/>
      </c>
      <c r="E13" s="21">
        <f>'SW Metrics'!K113</f>
        <v/>
      </c>
      <c r="F13" s="22">
        <f>IF(OR(D13="",E13=""),"",D13-E13)</f>
        <v/>
      </c>
      <c r="G13" s="21">
        <f>'SW Metrics'!L215</f>
        <v/>
      </c>
      <c r="H13" s="20">
        <f>'SW Metrics'!L419</f>
        <v/>
      </c>
      <c r="I13" s="20">
        <f>'SW Metrics'!L317</f>
        <v/>
      </c>
      <c r="J13" s="21">
        <f>'SW Metrics'!M113</f>
        <v/>
      </c>
      <c r="K13" s="21">
        <f>'SW Metrics'!L521</f>
        <v/>
      </c>
      <c r="L13" s="23">
        <f>'SW Metrics'!L623</f>
        <v/>
      </c>
      <c r="M13" s="21">
        <f>'SW Metrics'!L725</f>
        <v/>
      </c>
      <c r="N13" s="21">
        <f>'SW Metrics'!L827</f>
        <v/>
      </c>
      <c r="O13" s="24">
        <f>IFERROR(IF(AND(N(D13)&gt;0,N(M13)&gt;0),M13/D13,""),"")</f>
        <v/>
      </c>
      <c r="P13" s="21">
        <f>'SW Metrics'!L929</f>
        <v/>
      </c>
      <c r="Q13" s="23">
        <f>'SW Metrics'!L1031</f>
        <v/>
      </c>
      <c r="R13" s="25">
        <f>'SW Revisions'!G11</f>
        <v/>
      </c>
      <c r="S13" s="25">
        <f>'SW Revisions'!H11</f>
        <v/>
      </c>
      <c r="T13" s="25">
        <f>'SW Revisions'!I11</f>
        <v/>
      </c>
      <c r="U13" s="25">
        <f>'SW Revisions'!O11</f>
        <v/>
      </c>
      <c r="V13" s="25">
        <f>'SW Revisions'!P11</f>
        <v/>
      </c>
      <c r="W13" s="25">
        <f>'SW Revisions'!Q11</f>
        <v/>
      </c>
      <c r="X13" s="26">
        <f>IFERROR(RANK(D13,D$8:D$106),"")</f>
        <v/>
      </c>
      <c r="Y13" s="26">
        <f>IFERROR(RANK(S13,S$8:S$106),"")</f>
        <v/>
      </c>
    </row>
    <row r="14">
      <c r="A14" s="19">
        <f>'SW Rev'!$A11</f>
        <v/>
      </c>
      <c r="B14" s="19">
        <f>'SW Rev'!$B11</f>
        <v/>
      </c>
      <c r="C14" s="20">
        <f>IF(ISNUMBER('SW Rev'!P11),'SW Rev'!P11,"")</f>
        <v/>
      </c>
      <c r="D14" s="21">
        <f>'SW Metrics'!L114</f>
        <v/>
      </c>
      <c r="E14" s="21">
        <f>'SW Metrics'!K114</f>
        <v/>
      </c>
      <c r="F14" s="22">
        <f>IF(OR(D14="",E14=""),"",D14-E14)</f>
        <v/>
      </c>
      <c r="G14" s="21">
        <f>'SW Metrics'!L216</f>
        <v/>
      </c>
      <c r="H14" s="20">
        <f>'SW Metrics'!L420</f>
        <v/>
      </c>
      <c r="I14" s="20">
        <f>'SW Metrics'!L318</f>
        <v/>
      </c>
      <c r="J14" s="21">
        <f>'SW Metrics'!M114</f>
        <v/>
      </c>
      <c r="K14" s="21">
        <f>'SW Metrics'!L522</f>
        <v/>
      </c>
      <c r="L14" s="23">
        <f>'SW Metrics'!L624</f>
        <v/>
      </c>
      <c r="M14" s="21">
        <f>'SW Metrics'!L726</f>
        <v/>
      </c>
      <c r="N14" s="21">
        <f>'SW Metrics'!L828</f>
        <v/>
      </c>
      <c r="O14" s="24">
        <f>IFERROR(IF(AND(N(D14)&gt;0,N(M14)&gt;0),M14/D14,""),"")</f>
        <v/>
      </c>
      <c r="P14" s="21">
        <f>'SW Metrics'!L930</f>
        <v/>
      </c>
      <c r="Q14" s="23">
        <f>'SW Metrics'!L1032</f>
        <v/>
      </c>
      <c r="R14" s="25">
        <f>'SW Revisions'!G12</f>
        <v/>
      </c>
      <c r="S14" s="25">
        <f>'SW Revisions'!H12</f>
        <v/>
      </c>
      <c r="T14" s="25">
        <f>'SW Revisions'!I12</f>
        <v/>
      </c>
      <c r="U14" s="25">
        <f>'SW Revisions'!O12</f>
        <v/>
      </c>
      <c r="V14" s="25">
        <f>'SW Revisions'!P12</f>
        <v/>
      </c>
      <c r="W14" s="25">
        <f>'SW Revisions'!Q12</f>
        <v/>
      </c>
      <c r="X14" s="26">
        <f>IFERROR(RANK(D14,D$8:D$106),"")</f>
        <v/>
      </c>
      <c r="Y14" s="26">
        <f>IFERROR(RANK(S14,S$8:S$106),"")</f>
        <v/>
      </c>
    </row>
    <row r="15">
      <c r="A15" s="19">
        <f>'SW Rev'!$A12</f>
        <v/>
      </c>
      <c r="B15" s="19">
        <f>'SW Rev'!$B12</f>
        <v/>
      </c>
      <c r="C15" s="20">
        <f>IF(ISNUMBER('SW Rev'!P12),'SW Rev'!P12,"")</f>
        <v/>
      </c>
      <c r="D15" s="21">
        <f>'SW Metrics'!L115</f>
        <v/>
      </c>
      <c r="E15" s="21">
        <f>'SW Metrics'!K115</f>
        <v/>
      </c>
      <c r="F15" s="22">
        <f>IF(OR(D15="",E15=""),"",D15-E15)</f>
        <v/>
      </c>
      <c r="G15" s="21">
        <f>'SW Metrics'!L217</f>
        <v/>
      </c>
      <c r="H15" s="20">
        <f>'SW Metrics'!L421</f>
        <v/>
      </c>
      <c r="I15" s="20">
        <f>'SW Metrics'!L319</f>
        <v/>
      </c>
      <c r="J15" s="21">
        <f>'SW Metrics'!M115</f>
        <v/>
      </c>
      <c r="K15" s="21">
        <f>'SW Metrics'!L523</f>
        <v/>
      </c>
      <c r="L15" s="23">
        <f>'SW Metrics'!L625</f>
        <v/>
      </c>
      <c r="M15" s="21">
        <f>'SW Metrics'!L727</f>
        <v/>
      </c>
      <c r="N15" s="21">
        <f>'SW Metrics'!L829</f>
        <v/>
      </c>
      <c r="O15" s="24">
        <f>IFERROR(IF(AND(N(D15)&gt;0,N(M15)&gt;0),M15/D15,""),"")</f>
        <v/>
      </c>
      <c r="P15" s="21">
        <f>'SW Metrics'!L931</f>
        <v/>
      </c>
      <c r="Q15" s="23">
        <f>'SW Metrics'!L1033</f>
        <v/>
      </c>
      <c r="R15" s="25">
        <f>'SW Revisions'!G13</f>
        <v/>
      </c>
      <c r="S15" s="25">
        <f>'SW Revisions'!H13</f>
        <v/>
      </c>
      <c r="T15" s="25">
        <f>'SW Revisions'!I13</f>
        <v/>
      </c>
      <c r="U15" s="25">
        <f>'SW Revisions'!O13</f>
        <v/>
      </c>
      <c r="V15" s="25">
        <f>'SW Revisions'!P13</f>
        <v/>
      </c>
      <c r="W15" s="25">
        <f>'SW Revisions'!Q13</f>
        <v/>
      </c>
      <c r="X15" s="26">
        <f>IFERROR(RANK(D15,D$8:D$106),"")</f>
        <v/>
      </c>
      <c r="Y15" s="26">
        <f>IFERROR(RANK(S15,S$8:S$106),"")</f>
        <v/>
      </c>
    </row>
    <row r="16">
      <c r="A16" s="19">
        <f>'SW Rev'!$A13</f>
        <v/>
      </c>
      <c r="B16" s="19">
        <f>'SW Rev'!$B13</f>
        <v/>
      </c>
      <c r="C16" s="20">
        <f>IF(ISNUMBER('SW Rev'!P13),'SW Rev'!P13,"")</f>
        <v/>
      </c>
      <c r="D16" s="21">
        <f>'SW Metrics'!L116</f>
        <v/>
      </c>
      <c r="E16" s="21">
        <f>'SW Metrics'!K116</f>
        <v/>
      </c>
      <c r="F16" s="22">
        <f>IF(OR(D16="",E16=""),"",D16-E16)</f>
        <v/>
      </c>
      <c r="G16" s="21">
        <f>'SW Metrics'!L218</f>
        <v/>
      </c>
      <c r="H16" s="20">
        <f>'SW Metrics'!L422</f>
        <v/>
      </c>
      <c r="I16" s="20">
        <f>'SW Metrics'!L320</f>
        <v/>
      </c>
      <c r="J16" s="21">
        <f>'SW Metrics'!M116</f>
        <v/>
      </c>
      <c r="K16" s="21">
        <f>'SW Metrics'!L524</f>
        <v/>
      </c>
      <c r="L16" s="23">
        <f>'SW Metrics'!L626</f>
        <v/>
      </c>
      <c r="M16" s="21">
        <f>'SW Metrics'!L728</f>
        <v/>
      </c>
      <c r="N16" s="21">
        <f>'SW Metrics'!L830</f>
        <v/>
      </c>
      <c r="O16" s="24">
        <f>IFERROR(IF(AND(N(D16)&gt;0,N(M16)&gt;0),M16/D16,""),"")</f>
        <v/>
      </c>
      <c r="P16" s="21">
        <f>'SW Metrics'!L932</f>
        <v/>
      </c>
      <c r="Q16" s="23">
        <f>'SW Metrics'!L1034</f>
        <v/>
      </c>
      <c r="R16" s="25">
        <f>'SW Revisions'!G14</f>
        <v/>
      </c>
      <c r="S16" s="25">
        <f>'SW Revisions'!H14</f>
        <v/>
      </c>
      <c r="T16" s="25">
        <f>'SW Revisions'!I14</f>
        <v/>
      </c>
      <c r="U16" s="25">
        <f>'SW Revisions'!O14</f>
        <v/>
      </c>
      <c r="V16" s="25">
        <f>'SW Revisions'!P14</f>
        <v/>
      </c>
      <c r="W16" s="25">
        <f>'SW Revisions'!Q14</f>
        <v/>
      </c>
      <c r="X16" s="26">
        <f>IFERROR(RANK(D16,D$8:D$106),"")</f>
        <v/>
      </c>
      <c r="Y16" s="26">
        <f>IFERROR(RANK(S16,S$8:S$106),"")</f>
        <v/>
      </c>
    </row>
    <row r="17">
      <c r="A17" s="19">
        <f>'SW Rev'!$A14</f>
        <v/>
      </c>
      <c r="B17" s="19">
        <f>'SW Rev'!$B14</f>
        <v/>
      </c>
      <c r="C17" s="20">
        <f>IF(ISNUMBER('SW Rev'!P14),'SW Rev'!P14,"")</f>
        <v/>
      </c>
      <c r="D17" s="21">
        <f>'SW Metrics'!L117</f>
        <v/>
      </c>
      <c r="E17" s="21">
        <f>'SW Metrics'!K117</f>
        <v/>
      </c>
      <c r="F17" s="22">
        <f>IF(OR(D17="",E17=""),"",D17-E17)</f>
        <v/>
      </c>
      <c r="G17" s="21">
        <f>'SW Metrics'!L219</f>
        <v/>
      </c>
      <c r="H17" s="20">
        <f>'SW Metrics'!L423</f>
        <v/>
      </c>
      <c r="I17" s="20">
        <f>'SW Metrics'!L321</f>
        <v/>
      </c>
      <c r="J17" s="21">
        <f>'SW Metrics'!M117</f>
        <v/>
      </c>
      <c r="K17" s="21">
        <f>'SW Metrics'!L525</f>
        <v/>
      </c>
      <c r="L17" s="23">
        <f>'SW Metrics'!L627</f>
        <v/>
      </c>
      <c r="M17" s="21">
        <f>'SW Metrics'!L729</f>
        <v/>
      </c>
      <c r="N17" s="21">
        <f>'SW Metrics'!L831</f>
        <v/>
      </c>
      <c r="O17" s="24">
        <f>IFERROR(IF(AND(N(D17)&gt;0,N(M17)&gt;0),M17/D17,""),"")</f>
        <v/>
      </c>
      <c r="P17" s="21">
        <f>'SW Metrics'!L933</f>
        <v/>
      </c>
      <c r="Q17" s="23">
        <f>'SW Metrics'!L1035</f>
        <v/>
      </c>
      <c r="R17" s="25">
        <f>'SW Revisions'!G15</f>
        <v/>
      </c>
      <c r="S17" s="25">
        <f>'SW Revisions'!H15</f>
        <v/>
      </c>
      <c r="T17" s="25">
        <f>'SW Revisions'!I15</f>
        <v/>
      </c>
      <c r="U17" s="25">
        <f>'SW Revisions'!O15</f>
        <v/>
      </c>
      <c r="V17" s="25">
        <f>'SW Revisions'!P15</f>
        <v/>
      </c>
      <c r="W17" s="25">
        <f>'SW Revisions'!Q15</f>
        <v/>
      </c>
      <c r="X17" s="26">
        <f>IFERROR(RANK(D17,D$8:D$106),"")</f>
        <v/>
      </c>
      <c r="Y17" s="26">
        <f>IFERROR(RANK(S17,S$8:S$106),"")</f>
        <v/>
      </c>
    </row>
    <row r="18">
      <c r="A18" s="19">
        <f>'SW Rev'!$A15</f>
        <v/>
      </c>
      <c r="B18" s="19">
        <f>'SW Rev'!$B15</f>
        <v/>
      </c>
      <c r="C18" s="20">
        <f>IF(ISNUMBER('SW Rev'!P15),'SW Rev'!P15,"")</f>
        <v/>
      </c>
      <c r="D18" s="21">
        <f>'SW Metrics'!L118</f>
        <v/>
      </c>
      <c r="E18" s="21">
        <f>'SW Metrics'!K118</f>
        <v/>
      </c>
      <c r="F18" s="22">
        <f>IF(OR(D18="",E18=""),"",D18-E18)</f>
        <v/>
      </c>
      <c r="G18" s="21">
        <f>'SW Metrics'!L220</f>
        <v/>
      </c>
      <c r="H18" s="20">
        <f>'SW Metrics'!L424</f>
        <v/>
      </c>
      <c r="I18" s="20">
        <f>'SW Metrics'!L322</f>
        <v/>
      </c>
      <c r="J18" s="21">
        <f>'SW Metrics'!M118</f>
        <v/>
      </c>
      <c r="K18" s="21">
        <f>'SW Metrics'!L526</f>
        <v/>
      </c>
      <c r="L18" s="23">
        <f>'SW Metrics'!L628</f>
        <v/>
      </c>
      <c r="M18" s="21">
        <f>'SW Metrics'!L730</f>
        <v/>
      </c>
      <c r="N18" s="21">
        <f>'SW Metrics'!L832</f>
        <v/>
      </c>
      <c r="O18" s="24">
        <f>IFERROR(IF(AND(N(D18)&gt;0,N(M18)&gt;0),M18/D18,""),"")</f>
        <v/>
      </c>
      <c r="P18" s="21">
        <f>'SW Metrics'!L934</f>
        <v/>
      </c>
      <c r="Q18" s="23">
        <f>'SW Metrics'!L1036</f>
        <v/>
      </c>
      <c r="R18" s="25">
        <f>'SW Revisions'!G16</f>
        <v/>
      </c>
      <c r="S18" s="25">
        <f>'SW Revisions'!H16</f>
        <v/>
      </c>
      <c r="T18" s="25">
        <f>'SW Revisions'!I16</f>
        <v/>
      </c>
      <c r="U18" s="25">
        <f>'SW Revisions'!O16</f>
        <v/>
      </c>
      <c r="V18" s="25">
        <f>'SW Revisions'!P16</f>
        <v/>
      </c>
      <c r="W18" s="25">
        <f>'SW Revisions'!Q16</f>
        <v/>
      </c>
      <c r="X18" s="26">
        <f>IFERROR(RANK(D18,D$8:D$106),"")</f>
        <v/>
      </c>
      <c r="Y18" s="26">
        <f>IFERROR(RANK(S18,S$8:S$106),"")</f>
        <v/>
      </c>
    </row>
    <row r="19">
      <c r="A19" s="19">
        <f>'SW Rev'!$A16</f>
        <v/>
      </c>
      <c r="B19" s="19">
        <f>'SW Rev'!$B16</f>
        <v/>
      </c>
      <c r="C19" s="20">
        <f>IF(ISNUMBER('SW Rev'!P16),'SW Rev'!P16,"")</f>
        <v/>
      </c>
      <c r="D19" s="21">
        <f>'SW Metrics'!L119</f>
        <v/>
      </c>
      <c r="E19" s="21">
        <f>'SW Metrics'!K119</f>
        <v/>
      </c>
      <c r="F19" s="22">
        <f>IF(OR(D19="",E19=""),"",D19-E19)</f>
        <v/>
      </c>
      <c r="G19" s="21">
        <f>'SW Metrics'!L221</f>
        <v/>
      </c>
      <c r="H19" s="20">
        <f>'SW Metrics'!L425</f>
        <v/>
      </c>
      <c r="I19" s="20">
        <f>'SW Metrics'!L323</f>
        <v/>
      </c>
      <c r="J19" s="21">
        <f>'SW Metrics'!M119</f>
        <v/>
      </c>
      <c r="K19" s="21">
        <f>'SW Metrics'!L527</f>
        <v/>
      </c>
      <c r="L19" s="23">
        <f>'SW Metrics'!L629</f>
        <v/>
      </c>
      <c r="M19" s="21">
        <f>'SW Metrics'!L731</f>
        <v/>
      </c>
      <c r="N19" s="21">
        <f>'SW Metrics'!L833</f>
        <v/>
      </c>
      <c r="O19" s="24">
        <f>IFERROR(IF(AND(N(D19)&gt;0,N(M19)&gt;0),M19/D19,""),"")</f>
        <v/>
      </c>
      <c r="P19" s="21">
        <f>'SW Metrics'!L935</f>
        <v/>
      </c>
      <c r="Q19" s="23">
        <f>'SW Metrics'!L1037</f>
        <v/>
      </c>
      <c r="R19" s="25">
        <f>'SW Revisions'!G17</f>
        <v/>
      </c>
      <c r="S19" s="25">
        <f>'SW Revisions'!H17</f>
        <v/>
      </c>
      <c r="T19" s="25">
        <f>'SW Revisions'!I17</f>
        <v/>
      </c>
      <c r="U19" s="25">
        <f>'SW Revisions'!O17</f>
        <v/>
      </c>
      <c r="V19" s="25">
        <f>'SW Revisions'!P17</f>
        <v/>
      </c>
      <c r="W19" s="25">
        <f>'SW Revisions'!Q17</f>
        <v/>
      </c>
      <c r="X19" s="26">
        <f>IFERROR(RANK(D19,D$8:D$106),"")</f>
        <v/>
      </c>
      <c r="Y19" s="26">
        <f>IFERROR(RANK(S19,S$8:S$106),"")</f>
        <v/>
      </c>
    </row>
    <row r="20">
      <c r="A20" s="19">
        <f>'SW Rev'!$A17</f>
        <v/>
      </c>
      <c r="B20" s="19">
        <f>'SW Rev'!$B17</f>
        <v/>
      </c>
      <c r="C20" s="20">
        <f>IF(ISNUMBER('SW Rev'!P17),'SW Rev'!P17,"")</f>
        <v/>
      </c>
      <c r="D20" s="21">
        <f>'SW Metrics'!L120</f>
        <v/>
      </c>
      <c r="E20" s="21">
        <f>'SW Metrics'!K120</f>
        <v/>
      </c>
      <c r="F20" s="22">
        <f>IF(OR(D20="",E20=""),"",D20-E20)</f>
        <v/>
      </c>
      <c r="G20" s="21">
        <f>'SW Metrics'!L222</f>
        <v/>
      </c>
      <c r="H20" s="20">
        <f>'SW Metrics'!L426</f>
        <v/>
      </c>
      <c r="I20" s="20">
        <f>'SW Metrics'!L324</f>
        <v/>
      </c>
      <c r="J20" s="21">
        <f>'SW Metrics'!M120</f>
        <v/>
      </c>
      <c r="K20" s="21">
        <f>'SW Metrics'!L528</f>
        <v/>
      </c>
      <c r="L20" s="23">
        <f>'SW Metrics'!L630</f>
        <v/>
      </c>
      <c r="M20" s="21">
        <f>'SW Metrics'!L732</f>
        <v/>
      </c>
      <c r="N20" s="21">
        <f>'SW Metrics'!L834</f>
        <v/>
      </c>
      <c r="O20" s="24">
        <f>IFERROR(IF(AND(N(D20)&gt;0,N(M20)&gt;0),M20/D20,""),"")</f>
        <v/>
      </c>
      <c r="P20" s="21">
        <f>'SW Metrics'!L936</f>
        <v/>
      </c>
      <c r="Q20" s="23">
        <f>'SW Metrics'!L1038</f>
        <v/>
      </c>
      <c r="R20" s="25">
        <f>'SW Revisions'!G18</f>
        <v/>
      </c>
      <c r="S20" s="25">
        <f>'SW Revisions'!H18</f>
        <v/>
      </c>
      <c r="T20" s="25">
        <f>'SW Revisions'!I18</f>
        <v/>
      </c>
      <c r="U20" s="25">
        <f>'SW Revisions'!O18</f>
        <v/>
      </c>
      <c r="V20" s="25">
        <f>'SW Revisions'!P18</f>
        <v/>
      </c>
      <c r="W20" s="25">
        <f>'SW Revisions'!Q18</f>
        <v/>
      </c>
      <c r="X20" s="26">
        <f>IFERROR(RANK(D20,D$8:D$106),"")</f>
        <v/>
      </c>
      <c r="Y20" s="26">
        <f>IFERROR(RANK(S20,S$8:S$106),"")</f>
        <v/>
      </c>
    </row>
    <row r="21">
      <c r="A21" s="19">
        <f>'SW Rev'!$A18</f>
        <v/>
      </c>
      <c r="B21" s="19">
        <f>'SW Rev'!$B18</f>
        <v/>
      </c>
      <c r="C21" s="20">
        <f>IF(ISNUMBER('SW Rev'!P18),'SW Rev'!P18,"")</f>
        <v/>
      </c>
      <c r="D21" s="21">
        <f>'SW Metrics'!L121</f>
        <v/>
      </c>
      <c r="E21" s="21">
        <f>'SW Metrics'!K121</f>
        <v/>
      </c>
      <c r="F21" s="22">
        <f>IF(OR(D21="",E21=""),"",D21-E21)</f>
        <v/>
      </c>
      <c r="G21" s="21">
        <f>'SW Metrics'!L223</f>
        <v/>
      </c>
      <c r="H21" s="20">
        <f>'SW Metrics'!L427</f>
        <v/>
      </c>
      <c r="I21" s="20">
        <f>'SW Metrics'!L325</f>
        <v/>
      </c>
      <c r="J21" s="21">
        <f>'SW Metrics'!M121</f>
        <v/>
      </c>
      <c r="K21" s="21">
        <f>'SW Metrics'!L529</f>
        <v/>
      </c>
      <c r="L21" s="23">
        <f>'SW Metrics'!L631</f>
        <v/>
      </c>
      <c r="M21" s="21">
        <f>'SW Metrics'!L733</f>
        <v/>
      </c>
      <c r="N21" s="21">
        <f>'SW Metrics'!L835</f>
        <v/>
      </c>
      <c r="O21" s="24">
        <f>IFERROR(IF(AND(N(D21)&gt;0,N(M21)&gt;0),M21/D21,""),"")</f>
        <v/>
      </c>
      <c r="P21" s="21">
        <f>'SW Metrics'!L937</f>
        <v/>
      </c>
      <c r="Q21" s="23">
        <f>'SW Metrics'!L1039</f>
        <v/>
      </c>
      <c r="R21" s="25">
        <f>'SW Revisions'!G19</f>
        <v/>
      </c>
      <c r="S21" s="25">
        <f>'SW Revisions'!H19</f>
        <v/>
      </c>
      <c r="T21" s="25">
        <f>'SW Revisions'!I19</f>
        <v/>
      </c>
      <c r="U21" s="25">
        <f>'SW Revisions'!O19</f>
        <v/>
      </c>
      <c r="V21" s="25">
        <f>'SW Revisions'!P19</f>
        <v/>
      </c>
      <c r="W21" s="25">
        <f>'SW Revisions'!Q19</f>
        <v/>
      </c>
      <c r="X21" s="26">
        <f>IFERROR(RANK(D21,D$8:D$106),"")</f>
        <v/>
      </c>
      <c r="Y21" s="26">
        <f>IFERROR(RANK(S21,S$8:S$106),"")</f>
        <v/>
      </c>
    </row>
    <row r="22">
      <c r="A22" s="19">
        <f>'SW Rev'!$A19</f>
        <v/>
      </c>
      <c r="B22" s="19">
        <f>'SW Rev'!$B19</f>
        <v/>
      </c>
      <c r="C22" s="20">
        <f>IF(ISNUMBER('SW Rev'!P19),'SW Rev'!P19,"")</f>
        <v/>
      </c>
      <c r="D22" s="21">
        <f>'SW Metrics'!L122</f>
        <v/>
      </c>
      <c r="E22" s="21">
        <f>'SW Metrics'!K122</f>
        <v/>
      </c>
      <c r="F22" s="22">
        <f>IF(OR(D22="",E22=""),"",D22-E22)</f>
        <v/>
      </c>
      <c r="G22" s="21">
        <f>'SW Metrics'!L224</f>
        <v/>
      </c>
      <c r="H22" s="20">
        <f>'SW Metrics'!L428</f>
        <v/>
      </c>
      <c r="I22" s="20">
        <f>'SW Metrics'!L326</f>
        <v/>
      </c>
      <c r="J22" s="21">
        <f>'SW Metrics'!M122</f>
        <v/>
      </c>
      <c r="K22" s="21">
        <f>'SW Metrics'!L530</f>
        <v/>
      </c>
      <c r="L22" s="23">
        <f>'SW Metrics'!L632</f>
        <v/>
      </c>
      <c r="M22" s="21">
        <f>'SW Metrics'!L734</f>
        <v/>
      </c>
      <c r="N22" s="21">
        <f>'SW Metrics'!L836</f>
        <v/>
      </c>
      <c r="O22" s="24">
        <f>IFERROR(IF(AND(N(D22)&gt;0,N(M22)&gt;0),M22/D22,""),"")</f>
        <v/>
      </c>
      <c r="P22" s="21">
        <f>'SW Metrics'!L938</f>
        <v/>
      </c>
      <c r="Q22" s="23">
        <f>'SW Metrics'!L1040</f>
        <v/>
      </c>
      <c r="R22" s="25">
        <f>'SW Revisions'!G20</f>
        <v/>
      </c>
      <c r="S22" s="25">
        <f>'SW Revisions'!H20</f>
        <v/>
      </c>
      <c r="T22" s="25">
        <f>'SW Revisions'!I20</f>
        <v/>
      </c>
      <c r="U22" s="25">
        <f>'SW Revisions'!O20</f>
        <v/>
      </c>
      <c r="V22" s="25">
        <f>'SW Revisions'!P20</f>
        <v/>
      </c>
      <c r="W22" s="25">
        <f>'SW Revisions'!Q20</f>
        <v/>
      </c>
      <c r="X22" s="26">
        <f>IFERROR(RANK(D22,D$8:D$106),"")</f>
        <v/>
      </c>
      <c r="Y22" s="26">
        <f>IFERROR(RANK(S22,S$8:S$106),"")</f>
        <v/>
      </c>
    </row>
    <row r="23">
      <c r="A23" s="19">
        <f>'SW Rev'!$A20</f>
        <v/>
      </c>
      <c r="B23" s="19">
        <f>'SW Rev'!$B20</f>
        <v/>
      </c>
      <c r="C23" s="20">
        <f>IF(ISNUMBER('SW Rev'!P20),'SW Rev'!P20,"")</f>
        <v/>
      </c>
      <c r="D23" s="21">
        <f>'SW Metrics'!L123</f>
        <v/>
      </c>
      <c r="E23" s="21">
        <f>'SW Metrics'!K123</f>
        <v/>
      </c>
      <c r="F23" s="22">
        <f>IF(OR(D23="",E23=""),"",D23-E23)</f>
        <v/>
      </c>
      <c r="G23" s="21">
        <f>'SW Metrics'!L225</f>
        <v/>
      </c>
      <c r="H23" s="20">
        <f>'SW Metrics'!L429</f>
        <v/>
      </c>
      <c r="I23" s="20">
        <f>'SW Metrics'!L327</f>
        <v/>
      </c>
      <c r="J23" s="21">
        <f>'SW Metrics'!M123</f>
        <v/>
      </c>
      <c r="K23" s="21">
        <f>'SW Metrics'!L531</f>
        <v/>
      </c>
      <c r="L23" s="23">
        <f>'SW Metrics'!L633</f>
        <v/>
      </c>
      <c r="M23" s="21">
        <f>'SW Metrics'!L735</f>
        <v/>
      </c>
      <c r="N23" s="21">
        <f>'SW Metrics'!L837</f>
        <v/>
      </c>
      <c r="O23" s="24">
        <f>IFERROR(IF(AND(N(D23)&gt;0,N(M23)&gt;0),M23/D23,""),"")</f>
        <v/>
      </c>
      <c r="P23" s="21">
        <f>'SW Metrics'!L939</f>
        <v/>
      </c>
      <c r="Q23" s="23">
        <f>'SW Metrics'!L1041</f>
        <v/>
      </c>
      <c r="R23" s="25">
        <f>'SW Revisions'!G21</f>
        <v/>
      </c>
      <c r="S23" s="25">
        <f>'SW Revisions'!H21</f>
        <v/>
      </c>
      <c r="T23" s="25">
        <f>'SW Revisions'!I21</f>
        <v/>
      </c>
      <c r="U23" s="25">
        <f>'SW Revisions'!O21</f>
        <v/>
      </c>
      <c r="V23" s="25">
        <f>'SW Revisions'!P21</f>
        <v/>
      </c>
      <c r="W23" s="25">
        <f>'SW Revisions'!Q21</f>
        <v/>
      </c>
      <c r="X23" s="26">
        <f>IFERROR(RANK(D23,D$8:D$106),"")</f>
        <v/>
      </c>
      <c r="Y23" s="26">
        <f>IFERROR(RANK(S23,S$8:S$106),"")</f>
        <v/>
      </c>
    </row>
    <row r="24">
      <c r="A24" s="19">
        <f>'SW Rev'!$A21</f>
        <v/>
      </c>
      <c r="B24" s="19">
        <f>'SW Rev'!$B21</f>
        <v/>
      </c>
      <c r="C24" s="20">
        <f>IF(ISNUMBER('SW Rev'!P21),'SW Rev'!P21,"")</f>
        <v/>
      </c>
      <c r="D24" s="21">
        <f>'SW Metrics'!L124</f>
        <v/>
      </c>
      <c r="E24" s="21">
        <f>'SW Metrics'!K124</f>
        <v/>
      </c>
      <c r="F24" s="22">
        <f>IF(OR(D24="",E24=""),"",D24-E24)</f>
        <v/>
      </c>
      <c r="G24" s="21">
        <f>'SW Metrics'!L226</f>
        <v/>
      </c>
      <c r="H24" s="20">
        <f>'SW Metrics'!L430</f>
        <v/>
      </c>
      <c r="I24" s="20">
        <f>'SW Metrics'!L328</f>
        <v/>
      </c>
      <c r="J24" s="21">
        <f>'SW Metrics'!M124</f>
        <v/>
      </c>
      <c r="K24" s="21">
        <f>'SW Metrics'!L532</f>
        <v/>
      </c>
      <c r="L24" s="23">
        <f>'SW Metrics'!L634</f>
        <v/>
      </c>
      <c r="M24" s="21">
        <f>'SW Metrics'!L736</f>
        <v/>
      </c>
      <c r="N24" s="21">
        <f>'SW Metrics'!L838</f>
        <v/>
      </c>
      <c r="O24" s="24">
        <f>IFERROR(IF(AND(N(D24)&gt;0,N(M24)&gt;0),M24/D24,""),"")</f>
        <v/>
      </c>
      <c r="P24" s="21">
        <f>'SW Metrics'!L940</f>
        <v/>
      </c>
      <c r="Q24" s="23">
        <f>'SW Metrics'!L1042</f>
        <v/>
      </c>
      <c r="R24" s="25">
        <f>'SW Revisions'!G22</f>
        <v/>
      </c>
      <c r="S24" s="25">
        <f>'SW Revisions'!H22</f>
        <v/>
      </c>
      <c r="T24" s="25">
        <f>'SW Revisions'!I22</f>
        <v/>
      </c>
      <c r="U24" s="25">
        <f>'SW Revisions'!O22</f>
        <v/>
      </c>
      <c r="V24" s="25">
        <f>'SW Revisions'!P22</f>
        <v/>
      </c>
      <c r="W24" s="25">
        <f>'SW Revisions'!Q22</f>
        <v/>
      </c>
      <c r="X24" s="26">
        <f>IFERROR(RANK(D24,D$8:D$106),"")</f>
        <v/>
      </c>
      <c r="Y24" s="26">
        <f>IFERROR(RANK(S24,S$8:S$106),"")</f>
        <v/>
      </c>
    </row>
    <row r="25">
      <c r="A25" s="19">
        <f>'SW Rev'!$A22</f>
        <v/>
      </c>
      <c r="B25" s="19">
        <f>'SW Rev'!$B22</f>
        <v/>
      </c>
      <c r="C25" s="20">
        <f>IF(ISNUMBER('SW Rev'!P22),'SW Rev'!P22,"")</f>
        <v/>
      </c>
      <c r="D25" s="21">
        <f>'SW Metrics'!L125</f>
        <v/>
      </c>
      <c r="E25" s="21">
        <f>'SW Metrics'!K125</f>
        <v/>
      </c>
      <c r="F25" s="22">
        <f>IF(OR(D25="",E25=""),"",D25-E25)</f>
        <v/>
      </c>
      <c r="G25" s="21">
        <f>'SW Metrics'!L227</f>
        <v/>
      </c>
      <c r="H25" s="20">
        <f>'SW Metrics'!L431</f>
        <v/>
      </c>
      <c r="I25" s="20">
        <f>'SW Metrics'!L329</f>
        <v/>
      </c>
      <c r="J25" s="21">
        <f>'SW Metrics'!M125</f>
        <v/>
      </c>
      <c r="K25" s="21">
        <f>'SW Metrics'!L533</f>
        <v/>
      </c>
      <c r="L25" s="23">
        <f>'SW Metrics'!L635</f>
        <v/>
      </c>
      <c r="M25" s="21">
        <f>'SW Metrics'!L737</f>
        <v/>
      </c>
      <c r="N25" s="21">
        <f>'SW Metrics'!L839</f>
        <v/>
      </c>
      <c r="O25" s="24">
        <f>IFERROR(IF(AND(N(D25)&gt;0,N(M25)&gt;0),M25/D25,""),"")</f>
        <v/>
      </c>
      <c r="P25" s="21">
        <f>'SW Metrics'!L941</f>
        <v/>
      </c>
      <c r="Q25" s="23">
        <f>'SW Metrics'!L1043</f>
        <v/>
      </c>
      <c r="R25" s="25">
        <f>'SW Revisions'!G23</f>
        <v/>
      </c>
      <c r="S25" s="25">
        <f>'SW Revisions'!H23</f>
        <v/>
      </c>
      <c r="T25" s="25">
        <f>'SW Revisions'!I23</f>
        <v/>
      </c>
      <c r="U25" s="25">
        <f>'SW Revisions'!O23</f>
        <v/>
      </c>
      <c r="V25" s="25">
        <f>'SW Revisions'!P23</f>
        <v/>
      </c>
      <c r="W25" s="25">
        <f>'SW Revisions'!Q23</f>
        <v/>
      </c>
      <c r="X25" s="26">
        <f>IFERROR(RANK(D25,D$8:D$106),"")</f>
        <v/>
      </c>
      <c r="Y25" s="26">
        <f>IFERROR(RANK(S25,S$8:S$106),"")</f>
        <v/>
      </c>
    </row>
    <row r="26">
      <c r="A26" s="19">
        <f>'SW Rev'!$A23</f>
        <v/>
      </c>
      <c r="B26" s="19">
        <f>'SW Rev'!$B23</f>
        <v/>
      </c>
      <c r="C26" s="20">
        <f>IF(ISNUMBER('SW Rev'!P23),'SW Rev'!P23,"")</f>
        <v/>
      </c>
      <c r="D26" s="21">
        <f>'SW Metrics'!L126</f>
        <v/>
      </c>
      <c r="E26" s="21">
        <f>'SW Metrics'!K126</f>
        <v/>
      </c>
      <c r="F26" s="22">
        <f>IF(OR(D26="",E26=""),"",D26-E26)</f>
        <v/>
      </c>
      <c r="G26" s="21">
        <f>'SW Metrics'!L228</f>
        <v/>
      </c>
      <c r="H26" s="20">
        <f>'SW Metrics'!L432</f>
        <v/>
      </c>
      <c r="I26" s="20">
        <f>'SW Metrics'!L330</f>
        <v/>
      </c>
      <c r="J26" s="21">
        <f>'SW Metrics'!M126</f>
        <v/>
      </c>
      <c r="K26" s="21">
        <f>'SW Metrics'!L534</f>
        <v/>
      </c>
      <c r="L26" s="23">
        <f>'SW Metrics'!L636</f>
        <v/>
      </c>
      <c r="M26" s="21">
        <f>'SW Metrics'!L738</f>
        <v/>
      </c>
      <c r="N26" s="21">
        <f>'SW Metrics'!L840</f>
        <v/>
      </c>
      <c r="O26" s="24">
        <f>IFERROR(IF(AND(N(D26)&gt;0,N(M26)&gt;0),M26/D26,""),"")</f>
        <v/>
      </c>
      <c r="P26" s="21">
        <f>'SW Metrics'!L942</f>
        <v/>
      </c>
      <c r="Q26" s="23">
        <f>'SW Metrics'!L1044</f>
        <v/>
      </c>
      <c r="R26" s="25">
        <f>'SW Revisions'!G24</f>
        <v/>
      </c>
      <c r="S26" s="25">
        <f>'SW Revisions'!H24</f>
        <v/>
      </c>
      <c r="T26" s="25">
        <f>'SW Revisions'!I24</f>
        <v/>
      </c>
      <c r="U26" s="25">
        <f>'SW Revisions'!O24</f>
        <v/>
      </c>
      <c r="V26" s="25">
        <f>'SW Revisions'!P24</f>
        <v/>
      </c>
      <c r="W26" s="25">
        <f>'SW Revisions'!Q24</f>
        <v/>
      </c>
      <c r="X26" s="26">
        <f>IFERROR(RANK(D26,D$8:D$106),"")</f>
        <v/>
      </c>
      <c r="Y26" s="26">
        <f>IFERROR(RANK(S26,S$8:S$106),"")</f>
        <v/>
      </c>
    </row>
    <row r="27">
      <c r="A27" s="19">
        <f>'SW Rev'!$A24</f>
        <v/>
      </c>
      <c r="B27" s="19">
        <f>'SW Rev'!$B24</f>
        <v/>
      </c>
      <c r="C27" s="20">
        <f>IF(ISNUMBER('SW Rev'!P24),'SW Rev'!P24,"")</f>
        <v/>
      </c>
      <c r="D27" s="21">
        <f>'SW Metrics'!L127</f>
        <v/>
      </c>
      <c r="E27" s="21">
        <f>'SW Metrics'!K127</f>
        <v/>
      </c>
      <c r="F27" s="22">
        <f>IF(OR(D27="",E27=""),"",D27-E27)</f>
        <v/>
      </c>
      <c r="G27" s="21">
        <f>'SW Metrics'!L229</f>
        <v/>
      </c>
      <c r="H27" s="20">
        <f>'SW Metrics'!L433</f>
        <v/>
      </c>
      <c r="I27" s="20">
        <f>'SW Metrics'!L331</f>
        <v/>
      </c>
      <c r="J27" s="21">
        <f>'SW Metrics'!M127</f>
        <v/>
      </c>
      <c r="K27" s="21">
        <f>'SW Metrics'!L535</f>
        <v/>
      </c>
      <c r="L27" s="23">
        <f>'SW Metrics'!L637</f>
        <v/>
      </c>
      <c r="M27" s="21">
        <f>'SW Metrics'!L739</f>
        <v/>
      </c>
      <c r="N27" s="21">
        <f>'SW Metrics'!L841</f>
        <v/>
      </c>
      <c r="O27" s="24">
        <f>IFERROR(IF(AND(N(D27)&gt;0,N(M27)&gt;0),M27/D27,""),"")</f>
        <v/>
      </c>
      <c r="P27" s="21">
        <f>'SW Metrics'!L943</f>
        <v/>
      </c>
      <c r="Q27" s="23">
        <f>'SW Metrics'!L1045</f>
        <v/>
      </c>
      <c r="R27" s="25">
        <f>'SW Revisions'!G25</f>
        <v/>
      </c>
      <c r="S27" s="25">
        <f>'SW Revisions'!H25</f>
        <v/>
      </c>
      <c r="T27" s="25">
        <f>'SW Revisions'!I25</f>
        <v/>
      </c>
      <c r="U27" s="25">
        <f>'SW Revisions'!O25</f>
        <v/>
      </c>
      <c r="V27" s="25">
        <f>'SW Revisions'!P25</f>
        <v/>
      </c>
      <c r="W27" s="25">
        <f>'SW Revisions'!Q25</f>
        <v/>
      </c>
      <c r="X27" s="26">
        <f>IFERROR(RANK(D27,D$8:D$106),"")</f>
        <v/>
      </c>
      <c r="Y27" s="26">
        <f>IFERROR(RANK(S27,S$8:S$106),"")</f>
        <v/>
      </c>
    </row>
    <row r="28">
      <c r="A28" s="19">
        <f>'SW Rev'!$A25</f>
        <v/>
      </c>
      <c r="B28" s="19">
        <f>'SW Rev'!$B25</f>
        <v/>
      </c>
      <c r="C28" s="20">
        <f>IF(ISNUMBER('SW Rev'!P25),'SW Rev'!P25,"")</f>
        <v/>
      </c>
      <c r="D28" s="21">
        <f>'SW Metrics'!L128</f>
        <v/>
      </c>
      <c r="E28" s="21">
        <f>'SW Metrics'!K128</f>
        <v/>
      </c>
      <c r="F28" s="22">
        <f>IF(OR(D28="",E28=""),"",D28-E28)</f>
        <v/>
      </c>
      <c r="G28" s="21">
        <f>'SW Metrics'!L230</f>
        <v/>
      </c>
      <c r="H28" s="20">
        <f>'SW Metrics'!L434</f>
        <v/>
      </c>
      <c r="I28" s="20">
        <f>'SW Metrics'!L332</f>
        <v/>
      </c>
      <c r="J28" s="21">
        <f>'SW Metrics'!M128</f>
        <v/>
      </c>
      <c r="K28" s="21">
        <f>'SW Metrics'!L536</f>
        <v/>
      </c>
      <c r="L28" s="23">
        <f>'SW Metrics'!L638</f>
        <v/>
      </c>
      <c r="M28" s="21">
        <f>'SW Metrics'!L740</f>
        <v/>
      </c>
      <c r="N28" s="21">
        <f>'SW Metrics'!L842</f>
        <v/>
      </c>
      <c r="O28" s="24">
        <f>IFERROR(IF(AND(N(D28)&gt;0,N(M28)&gt;0),M28/D28,""),"")</f>
        <v/>
      </c>
      <c r="P28" s="21">
        <f>'SW Metrics'!L944</f>
        <v/>
      </c>
      <c r="Q28" s="23">
        <f>'SW Metrics'!L1046</f>
        <v/>
      </c>
      <c r="R28" s="25">
        <f>'SW Revisions'!G26</f>
        <v/>
      </c>
      <c r="S28" s="25">
        <f>'SW Revisions'!H26</f>
        <v/>
      </c>
      <c r="T28" s="25">
        <f>'SW Revisions'!I26</f>
        <v/>
      </c>
      <c r="U28" s="25">
        <f>'SW Revisions'!O26</f>
        <v/>
      </c>
      <c r="V28" s="25">
        <f>'SW Revisions'!P26</f>
        <v/>
      </c>
      <c r="W28" s="25">
        <f>'SW Revisions'!Q26</f>
        <v/>
      </c>
      <c r="X28" s="26">
        <f>IFERROR(RANK(D28,D$8:D$106),"")</f>
        <v/>
      </c>
      <c r="Y28" s="26">
        <f>IFERROR(RANK(S28,S$8:S$106),"")</f>
        <v/>
      </c>
    </row>
    <row r="29">
      <c r="A29" s="19">
        <f>'SW Rev'!$A26</f>
        <v/>
      </c>
      <c r="B29" s="19">
        <f>'SW Rev'!$B26</f>
        <v/>
      </c>
      <c r="C29" s="20">
        <f>IF(ISNUMBER('SW Rev'!P26),'SW Rev'!P26,"")</f>
        <v/>
      </c>
      <c r="D29" s="21">
        <f>'SW Metrics'!L129</f>
        <v/>
      </c>
      <c r="E29" s="21">
        <f>'SW Metrics'!K129</f>
        <v/>
      </c>
      <c r="F29" s="22">
        <f>IF(OR(D29="",E29=""),"",D29-E29)</f>
        <v/>
      </c>
      <c r="G29" s="21">
        <f>'SW Metrics'!L231</f>
        <v/>
      </c>
      <c r="H29" s="20">
        <f>'SW Metrics'!L435</f>
        <v/>
      </c>
      <c r="I29" s="20">
        <f>'SW Metrics'!L333</f>
        <v/>
      </c>
      <c r="J29" s="21">
        <f>'SW Metrics'!M129</f>
        <v/>
      </c>
      <c r="K29" s="21">
        <f>'SW Metrics'!L537</f>
        <v/>
      </c>
      <c r="L29" s="23">
        <f>'SW Metrics'!L639</f>
        <v/>
      </c>
      <c r="M29" s="21">
        <f>'SW Metrics'!L741</f>
        <v/>
      </c>
      <c r="N29" s="21">
        <f>'SW Metrics'!L843</f>
        <v/>
      </c>
      <c r="O29" s="24">
        <f>IFERROR(IF(AND(N(D29)&gt;0,N(M29)&gt;0),M29/D29,""),"")</f>
        <v/>
      </c>
      <c r="P29" s="21">
        <f>'SW Metrics'!L945</f>
        <v/>
      </c>
      <c r="Q29" s="23">
        <f>'SW Metrics'!L1047</f>
        <v/>
      </c>
      <c r="R29" s="25">
        <f>'SW Revisions'!G27</f>
        <v/>
      </c>
      <c r="S29" s="25">
        <f>'SW Revisions'!H27</f>
        <v/>
      </c>
      <c r="T29" s="25">
        <f>'SW Revisions'!I27</f>
        <v/>
      </c>
      <c r="U29" s="25">
        <f>'SW Revisions'!O27</f>
        <v/>
      </c>
      <c r="V29" s="25">
        <f>'SW Revisions'!P27</f>
        <v/>
      </c>
      <c r="W29" s="25">
        <f>'SW Revisions'!Q27</f>
        <v/>
      </c>
      <c r="X29" s="26">
        <f>IFERROR(RANK(D29,D$8:D$106),"")</f>
        <v/>
      </c>
      <c r="Y29" s="26">
        <f>IFERROR(RANK(S29,S$8:S$106),"")</f>
        <v/>
      </c>
    </row>
    <row r="30">
      <c r="A30" s="19">
        <f>'SW Rev'!$A27</f>
        <v/>
      </c>
      <c r="B30" s="19">
        <f>'SW Rev'!$B27</f>
        <v/>
      </c>
      <c r="C30" s="20">
        <f>IF(ISNUMBER('SW Rev'!P27),'SW Rev'!P27,"")</f>
        <v/>
      </c>
      <c r="D30" s="21">
        <f>'SW Metrics'!L130</f>
        <v/>
      </c>
      <c r="E30" s="21">
        <f>'SW Metrics'!K130</f>
        <v/>
      </c>
      <c r="F30" s="22">
        <f>IF(OR(D30="",E30=""),"",D30-E30)</f>
        <v/>
      </c>
      <c r="G30" s="21">
        <f>'SW Metrics'!L232</f>
        <v/>
      </c>
      <c r="H30" s="20">
        <f>'SW Metrics'!L436</f>
        <v/>
      </c>
      <c r="I30" s="20">
        <f>'SW Metrics'!L334</f>
        <v/>
      </c>
      <c r="J30" s="21">
        <f>'SW Metrics'!M130</f>
        <v/>
      </c>
      <c r="K30" s="21">
        <f>'SW Metrics'!L538</f>
        <v/>
      </c>
      <c r="L30" s="23">
        <f>'SW Metrics'!L640</f>
        <v/>
      </c>
      <c r="M30" s="21">
        <f>'SW Metrics'!L742</f>
        <v/>
      </c>
      <c r="N30" s="21">
        <f>'SW Metrics'!L844</f>
        <v/>
      </c>
      <c r="O30" s="24">
        <f>IFERROR(IF(AND(N(D30)&gt;0,N(M30)&gt;0),M30/D30,""),"")</f>
        <v/>
      </c>
      <c r="P30" s="21">
        <f>'SW Metrics'!L946</f>
        <v/>
      </c>
      <c r="Q30" s="23">
        <f>'SW Metrics'!L1048</f>
        <v/>
      </c>
      <c r="R30" s="25">
        <f>'SW Revisions'!G28</f>
        <v/>
      </c>
      <c r="S30" s="25">
        <f>'SW Revisions'!H28</f>
        <v/>
      </c>
      <c r="T30" s="25">
        <f>'SW Revisions'!I28</f>
        <v/>
      </c>
      <c r="U30" s="25">
        <f>'SW Revisions'!O28</f>
        <v/>
      </c>
      <c r="V30" s="25">
        <f>'SW Revisions'!P28</f>
        <v/>
      </c>
      <c r="W30" s="25">
        <f>'SW Revisions'!Q28</f>
        <v/>
      </c>
      <c r="X30" s="26">
        <f>IFERROR(RANK(D30,D$8:D$106),"")</f>
        <v/>
      </c>
      <c r="Y30" s="26">
        <f>IFERROR(RANK(S30,S$8:S$106),"")</f>
        <v/>
      </c>
    </row>
    <row r="31">
      <c r="A31" s="19">
        <f>'SW Rev'!$A28</f>
        <v/>
      </c>
      <c r="B31" s="19">
        <f>'SW Rev'!$B28</f>
        <v/>
      </c>
      <c r="C31" s="20">
        <f>IF(ISNUMBER('SW Rev'!P28),'SW Rev'!P28,"")</f>
        <v/>
      </c>
      <c r="D31" s="21">
        <f>'SW Metrics'!L131</f>
        <v/>
      </c>
      <c r="E31" s="21">
        <f>'SW Metrics'!K131</f>
        <v/>
      </c>
      <c r="F31" s="22">
        <f>IF(OR(D31="",E31=""),"",D31-E31)</f>
        <v/>
      </c>
      <c r="G31" s="21">
        <f>'SW Metrics'!L233</f>
        <v/>
      </c>
      <c r="H31" s="20">
        <f>'SW Metrics'!L437</f>
        <v/>
      </c>
      <c r="I31" s="20">
        <f>'SW Metrics'!L335</f>
        <v/>
      </c>
      <c r="J31" s="21">
        <f>'SW Metrics'!M131</f>
        <v/>
      </c>
      <c r="K31" s="21">
        <f>'SW Metrics'!L539</f>
        <v/>
      </c>
      <c r="L31" s="23">
        <f>'SW Metrics'!L641</f>
        <v/>
      </c>
      <c r="M31" s="21">
        <f>'SW Metrics'!L743</f>
        <v/>
      </c>
      <c r="N31" s="21">
        <f>'SW Metrics'!L845</f>
        <v/>
      </c>
      <c r="O31" s="24">
        <f>IFERROR(IF(AND(N(D31)&gt;0,N(M31)&gt;0),M31/D31,""),"")</f>
        <v/>
      </c>
      <c r="P31" s="21">
        <f>'SW Metrics'!L947</f>
        <v/>
      </c>
      <c r="Q31" s="23">
        <f>'SW Metrics'!L1049</f>
        <v/>
      </c>
      <c r="R31" s="25">
        <f>'SW Revisions'!G29</f>
        <v/>
      </c>
      <c r="S31" s="25">
        <f>'SW Revisions'!H29</f>
        <v/>
      </c>
      <c r="T31" s="25">
        <f>'SW Revisions'!I29</f>
        <v/>
      </c>
      <c r="U31" s="25">
        <f>'SW Revisions'!O29</f>
        <v/>
      </c>
      <c r="V31" s="25">
        <f>'SW Revisions'!P29</f>
        <v/>
      </c>
      <c r="W31" s="25">
        <f>'SW Revisions'!Q29</f>
        <v/>
      </c>
      <c r="X31" s="26">
        <f>IFERROR(RANK(D31,D$8:D$106),"")</f>
        <v/>
      </c>
      <c r="Y31" s="26">
        <f>IFERROR(RANK(S31,S$8:S$106),"")</f>
        <v/>
      </c>
    </row>
    <row r="32">
      <c r="A32" s="19">
        <f>'SW Rev'!$A29</f>
        <v/>
      </c>
      <c r="B32" s="19">
        <f>'SW Rev'!$B29</f>
        <v/>
      </c>
      <c r="C32" s="20">
        <f>IF(ISNUMBER('SW Rev'!P29),'SW Rev'!P29,"")</f>
        <v/>
      </c>
      <c r="D32" s="21">
        <f>'SW Metrics'!L132</f>
        <v/>
      </c>
      <c r="E32" s="21">
        <f>'SW Metrics'!K132</f>
        <v/>
      </c>
      <c r="F32" s="22">
        <f>IF(OR(D32="",E32=""),"",D32-E32)</f>
        <v/>
      </c>
      <c r="G32" s="21">
        <f>'SW Metrics'!L234</f>
        <v/>
      </c>
      <c r="H32" s="20">
        <f>'SW Metrics'!L438</f>
        <v/>
      </c>
      <c r="I32" s="20">
        <f>'SW Metrics'!L336</f>
        <v/>
      </c>
      <c r="J32" s="21">
        <f>'SW Metrics'!M132</f>
        <v/>
      </c>
      <c r="K32" s="21">
        <f>'SW Metrics'!L540</f>
        <v/>
      </c>
      <c r="L32" s="23">
        <f>'SW Metrics'!L642</f>
        <v/>
      </c>
      <c r="M32" s="21">
        <f>'SW Metrics'!L744</f>
        <v/>
      </c>
      <c r="N32" s="21">
        <f>'SW Metrics'!L846</f>
        <v/>
      </c>
      <c r="O32" s="24">
        <f>IFERROR(IF(AND(N(D32)&gt;0,N(M32)&gt;0),M32/D32,""),"")</f>
        <v/>
      </c>
      <c r="P32" s="21">
        <f>'SW Metrics'!L948</f>
        <v/>
      </c>
      <c r="Q32" s="23">
        <f>'SW Metrics'!L1050</f>
        <v/>
      </c>
      <c r="R32" s="25">
        <f>'SW Revisions'!G30</f>
        <v/>
      </c>
      <c r="S32" s="25">
        <f>'SW Revisions'!H30</f>
        <v/>
      </c>
      <c r="T32" s="25">
        <f>'SW Revisions'!I30</f>
        <v/>
      </c>
      <c r="U32" s="25">
        <f>'SW Revisions'!O30</f>
        <v/>
      </c>
      <c r="V32" s="25">
        <f>'SW Revisions'!P30</f>
        <v/>
      </c>
      <c r="W32" s="25">
        <f>'SW Revisions'!Q30</f>
        <v/>
      </c>
      <c r="X32" s="26">
        <f>IFERROR(RANK(D32,D$8:D$106),"")</f>
        <v/>
      </c>
      <c r="Y32" s="26">
        <f>IFERROR(RANK(S32,S$8:S$106),"")</f>
        <v/>
      </c>
    </row>
    <row r="33">
      <c r="A33" s="19">
        <f>'SW Rev'!$A30</f>
        <v/>
      </c>
      <c r="B33" s="19">
        <f>'SW Rev'!$B30</f>
        <v/>
      </c>
      <c r="C33" s="20">
        <f>IF(ISNUMBER('SW Rev'!P30),'SW Rev'!P30,"")</f>
        <v/>
      </c>
      <c r="D33" s="21">
        <f>'SW Metrics'!L133</f>
        <v/>
      </c>
      <c r="E33" s="21">
        <f>'SW Metrics'!K133</f>
        <v/>
      </c>
      <c r="F33" s="22">
        <f>IF(OR(D33="",E33=""),"",D33-E33)</f>
        <v/>
      </c>
      <c r="G33" s="21">
        <f>'SW Metrics'!L235</f>
        <v/>
      </c>
      <c r="H33" s="20">
        <f>'SW Metrics'!L439</f>
        <v/>
      </c>
      <c r="I33" s="20">
        <f>'SW Metrics'!L337</f>
        <v/>
      </c>
      <c r="J33" s="21">
        <f>'SW Metrics'!M133</f>
        <v/>
      </c>
      <c r="K33" s="21">
        <f>'SW Metrics'!L541</f>
        <v/>
      </c>
      <c r="L33" s="23">
        <f>'SW Metrics'!L643</f>
        <v/>
      </c>
      <c r="M33" s="21">
        <f>'SW Metrics'!L745</f>
        <v/>
      </c>
      <c r="N33" s="21">
        <f>'SW Metrics'!L847</f>
        <v/>
      </c>
      <c r="O33" s="24">
        <f>IFERROR(IF(AND(N(D33)&gt;0,N(M33)&gt;0),M33/D33,""),"")</f>
        <v/>
      </c>
      <c r="P33" s="21">
        <f>'SW Metrics'!L949</f>
        <v/>
      </c>
      <c r="Q33" s="23">
        <f>'SW Metrics'!L1051</f>
        <v/>
      </c>
      <c r="R33" s="25">
        <f>'SW Revisions'!G31</f>
        <v/>
      </c>
      <c r="S33" s="25">
        <f>'SW Revisions'!H31</f>
        <v/>
      </c>
      <c r="T33" s="25">
        <f>'SW Revisions'!I31</f>
        <v/>
      </c>
      <c r="U33" s="25">
        <f>'SW Revisions'!O31</f>
        <v/>
      </c>
      <c r="V33" s="25">
        <f>'SW Revisions'!P31</f>
        <v/>
      </c>
      <c r="W33" s="25">
        <f>'SW Revisions'!Q31</f>
        <v/>
      </c>
      <c r="X33" s="26">
        <f>IFERROR(RANK(D33,D$8:D$106),"")</f>
        <v/>
      </c>
      <c r="Y33" s="26">
        <f>IFERROR(RANK(S33,S$8:S$106),"")</f>
        <v/>
      </c>
    </row>
    <row r="34">
      <c r="A34" s="19">
        <f>'SW Rev'!$A31</f>
        <v/>
      </c>
      <c r="B34" s="19">
        <f>'SW Rev'!$B31</f>
        <v/>
      </c>
      <c r="C34" s="20">
        <f>IF(ISNUMBER('SW Rev'!P31),'SW Rev'!P31,"")</f>
        <v/>
      </c>
      <c r="D34" s="21">
        <f>'SW Metrics'!L134</f>
        <v/>
      </c>
      <c r="E34" s="21">
        <f>'SW Metrics'!K134</f>
        <v/>
      </c>
      <c r="F34" s="22">
        <f>IF(OR(D34="",E34=""),"",D34-E34)</f>
        <v/>
      </c>
      <c r="G34" s="21">
        <f>'SW Metrics'!L236</f>
        <v/>
      </c>
      <c r="H34" s="20">
        <f>'SW Metrics'!L440</f>
        <v/>
      </c>
      <c r="I34" s="20">
        <f>'SW Metrics'!L338</f>
        <v/>
      </c>
      <c r="J34" s="21">
        <f>'SW Metrics'!M134</f>
        <v/>
      </c>
      <c r="K34" s="21">
        <f>'SW Metrics'!L542</f>
        <v/>
      </c>
      <c r="L34" s="23">
        <f>'SW Metrics'!L644</f>
        <v/>
      </c>
      <c r="M34" s="21">
        <f>'SW Metrics'!L746</f>
        <v/>
      </c>
      <c r="N34" s="21">
        <f>'SW Metrics'!L848</f>
        <v/>
      </c>
      <c r="O34" s="24">
        <f>IFERROR(IF(AND(N(D34)&gt;0,N(M34)&gt;0),M34/D34,""),"")</f>
        <v/>
      </c>
      <c r="P34" s="21">
        <f>'SW Metrics'!L950</f>
        <v/>
      </c>
      <c r="Q34" s="23">
        <f>'SW Metrics'!L1052</f>
        <v/>
      </c>
      <c r="R34" s="25">
        <f>'SW Revisions'!G32</f>
        <v/>
      </c>
      <c r="S34" s="25">
        <f>'SW Revisions'!H32</f>
        <v/>
      </c>
      <c r="T34" s="25">
        <f>'SW Revisions'!I32</f>
        <v/>
      </c>
      <c r="U34" s="25">
        <f>'SW Revisions'!O32</f>
        <v/>
      </c>
      <c r="V34" s="25">
        <f>'SW Revisions'!P32</f>
        <v/>
      </c>
      <c r="W34" s="25">
        <f>'SW Revisions'!Q32</f>
        <v/>
      </c>
      <c r="X34" s="26">
        <f>IFERROR(RANK(D34,D$8:D$106),"")</f>
        <v/>
      </c>
      <c r="Y34" s="26">
        <f>IFERROR(RANK(S34,S$8:S$106),"")</f>
        <v/>
      </c>
    </row>
    <row r="35">
      <c r="A35" s="19">
        <f>'SW Rev'!$A32</f>
        <v/>
      </c>
      <c r="B35" s="19">
        <f>'SW Rev'!$B32</f>
        <v/>
      </c>
      <c r="C35" s="20">
        <f>IF(ISNUMBER('SW Rev'!P32),'SW Rev'!P32,"")</f>
        <v/>
      </c>
      <c r="D35" s="21">
        <f>'SW Metrics'!L135</f>
        <v/>
      </c>
      <c r="E35" s="21">
        <f>'SW Metrics'!K135</f>
        <v/>
      </c>
      <c r="F35" s="22">
        <f>IF(OR(D35="",E35=""),"",D35-E35)</f>
        <v/>
      </c>
      <c r="G35" s="21">
        <f>'SW Metrics'!L237</f>
        <v/>
      </c>
      <c r="H35" s="20">
        <f>'SW Metrics'!L441</f>
        <v/>
      </c>
      <c r="I35" s="20">
        <f>'SW Metrics'!L339</f>
        <v/>
      </c>
      <c r="J35" s="21">
        <f>'SW Metrics'!M135</f>
        <v/>
      </c>
      <c r="K35" s="21">
        <f>'SW Metrics'!L543</f>
        <v/>
      </c>
      <c r="L35" s="23">
        <f>'SW Metrics'!L645</f>
        <v/>
      </c>
      <c r="M35" s="21">
        <f>'SW Metrics'!L747</f>
        <v/>
      </c>
      <c r="N35" s="21">
        <f>'SW Metrics'!L849</f>
        <v/>
      </c>
      <c r="O35" s="24">
        <f>IFERROR(IF(AND(N(D35)&gt;0,N(M35)&gt;0),M35/D35,""),"")</f>
        <v/>
      </c>
      <c r="P35" s="21">
        <f>'SW Metrics'!L951</f>
        <v/>
      </c>
      <c r="Q35" s="23">
        <f>'SW Metrics'!L1053</f>
        <v/>
      </c>
      <c r="R35" s="25">
        <f>'SW Revisions'!G33</f>
        <v/>
      </c>
      <c r="S35" s="25">
        <f>'SW Revisions'!H33</f>
        <v/>
      </c>
      <c r="T35" s="25">
        <f>'SW Revisions'!I33</f>
        <v/>
      </c>
      <c r="U35" s="25">
        <f>'SW Revisions'!O33</f>
        <v/>
      </c>
      <c r="V35" s="25">
        <f>'SW Revisions'!P33</f>
        <v/>
      </c>
      <c r="W35" s="25">
        <f>'SW Revisions'!Q33</f>
        <v/>
      </c>
      <c r="X35" s="26">
        <f>IFERROR(RANK(D35,D$8:D$106),"")</f>
        <v/>
      </c>
      <c r="Y35" s="26">
        <f>IFERROR(RANK(S35,S$8:S$106),"")</f>
        <v/>
      </c>
    </row>
    <row r="36">
      <c r="A36" s="19">
        <f>'SW Rev'!$A33</f>
        <v/>
      </c>
      <c r="B36" s="19">
        <f>'SW Rev'!$B33</f>
        <v/>
      </c>
      <c r="C36" s="20">
        <f>IF(ISNUMBER('SW Rev'!P33),'SW Rev'!P33,"")</f>
        <v/>
      </c>
      <c r="D36" s="21">
        <f>'SW Metrics'!L136</f>
        <v/>
      </c>
      <c r="E36" s="21">
        <f>'SW Metrics'!K136</f>
        <v/>
      </c>
      <c r="F36" s="22">
        <f>IF(OR(D36="",E36=""),"",D36-E36)</f>
        <v/>
      </c>
      <c r="G36" s="21">
        <f>'SW Metrics'!L238</f>
        <v/>
      </c>
      <c r="H36" s="20">
        <f>'SW Metrics'!L442</f>
        <v/>
      </c>
      <c r="I36" s="20">
        <f>'SW Metrics'!L340</f>
        <v/>
      </c>
      <c r="J36" s="21">
        <f>'SW Metrics'!M136</f>
        <v/>
      </c>
      <c r="K36" s="21">
        <f>'SW Metrics'!L544</f>
        <v/>
      </c>
      <c r="L36" s="23">
        <f>'SW Metrics'!L646</f>
        <v/>
      </c>
      <c r="M36" s="21">
        <f>'SW Metrics'!L748</f>
        <v/>
      </c>
      <c r="N36" s="21">
        <f>'SW Metrics'!L850</f>
        <v/>
      </c>
      <c r="O36" s="24">
        <f>IFERROR(IF(AND(N(D36)&gt;0,N(M36)&gt;0),M36/D36,""),"")</f>
        <v/>
      </c>
      <c r="P36" s="21">
        <f>'SW Metrics'!L952</f>
        <v/>
      </c>
      <c r="Q36" s="23">
        <f>'SW Metrics'!L1054</f>
        <v/>
      </c>
      <c r="R36" s="25">
        <f>'SW Revisions'!G34</f>
        <v/>
      </c>
      <c r="S36" s="25">
        <f>'SW Revisions'!H34</f>
        <v/>
      </c>
      <c r="T36" s="25">
        <f>'SW Revisions'!I34</f>
        <v/>
      </c>
      <c r="U36" s="25">
        <f>'SW Revisions'!O34</f>
        <v/>
      </c>
      <c r="V36" s="25">
        <f>'SW Revisions'!P34</f>
        <v/>
      </c>
      <c r="W36" s="25">
        <f>'SW Revisions'!Q34</f>
        <v/>
      </c>
      <c r="X36" s="26">
        <f>IFERROR(RANK(D36,D$8:D$106),"")</f>
        <v/>
      </c>
      <c r="Y36" s="26">
        <f>IFERROR(RANK(S36,S$8:S$106),"")</f>
        <v/>
      </c>
    </row>
    <row r="37">
      <c r="A37" s="19">
        <f>'SW Rev'!$A34</f>
        <v/>
      </c>
      <c r="B37" s="19">
        <f>'SW Rev'!$B34</f>
        <v/>
      </c>
      <c r="C37" s="20">
        <f>IF(ISNUMBER('SW Rev'!P34),'SW Rev'!P34,"")</f>
        <v/>
      </c>
      <c r="D37" s="21">
        <f>'SW Metrics'!L137</f>
        <v/>
      </c>
      <c r="E37" s="21">
        <f>'SW Metrics'!K137</f>
        <v/>
      </c>
      <c r="F37" s="22">
        <f>IF(OR(D37="",E37=""),"",D37-E37)</f>
        <v/>
      </c>
      <c r="G37" s="21">
        <f>'SW Metrics'!L239</f>
        <v/>
      </c>
      <c r="H37" s="20">
        <f>'SW Metrics'!L443</f>
        <v/>
      </c>
      <c r="I37" s="20">
        <f>'SW Metrics'!L341</f>
        <v/>
      </c>
      <c r="J37" s="21">
        <f>'SW Metrics'!M137</f>
        <v/>
      </c>
      <c r="K37" s="21">
        <f>'SW Metrics'!L545</f>
        <v/>
      </c>
      <c r="L37" s="23">
        <f>'SW Metrics'!L647</f>
        <v/>
      </c>
      <c r="M37" s="21">
        <f>'SW Metrics'!L749</f>
        <v/>
      </c>
      <c r="N37" s="21">
        <f>'SW Metrics'!L851</f>
        <v/>
      </c>
      <c r="O37" s="24">
        <f>IFERROR(IF(AND(N(D37)&gt;0,N(M37)&gt;0),M37/D37,""),"")</f>
        <v/>
      </c>
      <c r="P37" s="21">
        <f>'SW Metrics'!L953</f>
        <v/>
      </c>
      <c r="Q37" s="23">
        <f>'SW Metrics'!L1055</f>
        <v/>
      </c>
      <c r="R37" s="25">
        <f>'SW Revisions'!G35</f>
        <v/>
      </c>
      <c r="S37" s="25">
        <f>'SW Revisions'!H35</f>
        <v/>
      </c>
      <c r="T37" s="25">
        <f>'SW Revisions'!I35</f>
        <v/>
      </c>
      <c r="U37" s="25">
        <f>'SW Revisions'!O35</f>
        <v/>
      </c>
      <c r="V37" s="25">
        <f>'SW Revisions'!P35</f>
        <v/>
      </c>
      <c r="W37" s="25">
        <f>'SW Revisions'!Q35</f>
        <v/>
      </c>
      <c r="X37" s="26">
        <f>IFERROR(RANK(D37,D$8:D$106),"")</f>
        <v/>
      </c>
      <c r="Y37" s="26">
        <f>IFERROR(RANK(S37,S$8:S$106),"")</f>
        <v/>
      </c>
    </row>
    <row r="38">
      <c r="A38" s="19">
        <f>'SW Rev'!$A35</f>
        <v/>
      </c>
      <c r="B38" s="19">
        <f>'SW Rev'!$B35</f>
        <v/>
      </c>
      <c r="C38" s="20">
        <f>IF(ISNUMBER('SW Rev'!P35),'SW Rev'!P35,"")</f>
        <v/>
      </c>
      <c r="D38" s="21">
        <f>'SW Metrics'!L138</f>
        <v/>
      </c>
      <c r="E38" s="21">
        <f>'SW Metrics'!K138</f>
        <v/>
      </c>
      <c r="F38" s="22">
        <f>IF(OR(D38="",E38=""),"",D38-E38)</f>
        <v/>
      </c>
      <c r="G38" s="21">
        <f>'SW Metrics'!L240</f>
        <v/>
      </c>
      <c r="H38" s="20">
        <f>'SW Metrics'!L444</f>
        <v/>
      </c>
      <c r="I38" s="20">
        <f>'SW Metrics'!L342</f>
        <v/>
      </c>
      <c r="J38" s="21">
        <f>'SW Metrics'!M138</f>
        <v/>
      </c>
      <c r="K38" s="21">
        <f>'SW Metrics'!L546</f>
        <v/>
      </c>
      <c r="L38" s="23">
        <f>'SW Metrics'!L648</f>
        <v/>
      </c>
      <c r="M38" s="21">
        <f>'SW Metrics'!L750</f>
        <v/>
      </c>
      <c r="N38" s="21">
        <f>'SW Metrics'!L852</f>
        <v/>
      </c>
      <c r="O38" s="24">
        <f>IFERROR(IF(AND(N(D38)&gt;0,N(M38)&gt;0),M38/D38,""),"")</f>
        <v/>
      </c>
      <c r="P38" s="21">
        <f>'SW Metrics'!L954</f>
        <v/>
      </c>
      <c r="Q38" s="23">
        <f>'SW Metrics'!L1056</f>
        <v/>
      </c>
      <c r="R38" s="25">
        <f>'SW Revisions'!G36</f>
        <v/>
      </c>
      <c r="S38" s="25">
        <f>'SW Revisions'!H36</f>
        <v/>
      </c>
      <c r="T38" s="25">
        <f>'SW Revisions'!I36</f>
        <v/>
      </c>
      <c r="U38" s="25">
        <f>'SW Revisions'!O36</f>
        <v/>
      </c>
      <c r="V38" s="25">
        <f>'SW Revisions'!P36</f>
        <v/>
      </c>
      <c r="W38" s="25">
        <f>'SW Revisions'!Q36</f>
        <v/>
      </c>
      <c r="X38" s="26">
        <f>IFERROR(RANK(D38,D$8:D$106),"")</f>
        <v/>
      </c>
      <c r="Y38" s="26">
        <f>IFERROR(RANK(S38,S$8:S$106),"")</f>
        <v/>
      </c>
    </row>
    <row r="39">
      <c r="A39" s="19">
        <f>'SW Rev'!$A36</f>
        <v/>
      </c>
      <c r="B39" s="19">
        <f>'SW Rev'!$B36</f>
        <v/>
      </c>
      <c r="C39" s="20">
        <f>IF(ISNUMBER('SW Rev'!P36),'SW Rev'!P36,"")</f>
        <v/>
      </c>
      <c r="D39" s="21">
        <f>'SW Metrics'!L139</f>
        <v/>
      </c>
      <c r="E39" s="21">
        <f>'SW Metrics'!K139</f>
        <v/>
      </c>
      <c r="F39" s="22">
        <f>IF(OR(D39="",E39=""),"",D39-E39)</f>
        <v/>
      </c>
      <c r="G39" s="21">
        <f>'SW Metrics'!L241</f>
        <v/>
      </c>
      <c r="H39" s="20">
        <f>'SW Metrics'!L445</f>
        <v/>
      </c>
      <c r="I39" s="20">
        <f>'SW Metrics'!L343</f>
        <v/>
      </c>
      <c r="J39" s="21">
        <f>'SW Metrics'!M139</f>
        <v/>
      </c>
      <c r="K39" s="21">
        <f>'SW Metrics'!L547</f>
        <v/>
      </c>
      <c r="L39" s="23">
        <f>'SW Metrics'!L649</f>
        <v/>
      </c>
      <c r="M39" s="21">
        <f>'SW Metrics'!L751</f>
        <v/>
      </c>
      <c r="N39" s="21">
        <f>'SW Metrics'!L853</f>
        <v/>
      </c>
      <c r="O39" s="24">
        <f>IFERROR(IF(AND(N(D39)&gt;0,N(M39)&gt;0),M39/D39,""),"")</f>
        <v/>
      </c>
      <c r="P39" s="21">
        <f>'SW Metrics'!L955</f>
        <v/>
      </c>
      <c r="Q39" s="23">
        <f>'SW Metrics'!L1057</f>
        <v/>
      </c>
      <c r="R39" s="25">
        <f>'SW Revisions'!G37</f>
        <v/>
      </c>
      <c r="S39" s="25">
        <f>'SW Revisions'!H37</f>
        <v/>
      </c>
      <c r="T39" s="25">
        <f>'SW Revisions'!I37</f>
        <v/>
      </c>
      <c r="U39" s="25">
        <f>'SW Revisions'!O37</f>
        <v/>
      </c>
      <c r="V39" s="25">
        <f>'SW Revisions'!P37</f>
        <v/>
      </c>
      <c r="W39" s="25">
        <f>'SW Revisions'!Q37</f>
        <v/>
      </c>
      <c r="X39" s="26">
        <f>IFERROR(RANK(D39,D$8:D$106),"")</f>
        <v/>
      </c>
      <c r="Y39" s="26">
        <f>IFERROR(RANK(S39,S$8:S$106),"")</f>
        <v/>
      </c>
    </row>
    <row r="40">
      <c r="A40" s="19">
        <f>'SW Rev'!$A37</f>
        <v/>
      </c>
      <c r="B40" s="19">
        <f>'SW Rev'!$B37</f>
        <v/>
      </c>
      <c r="C40" s="20">
        <f>IF(ISNUMBER('SW Rev'!P37),'SW Rev'!P37,"")</f>
        <v/>
      </c>
      <c r="D40" s="21">
        <f>'SW Metrics'!L140</f>
        <v/>
      </c>
      <c r="E40" s="21">
        <f>'SW Metrics'!K140</f>
        <v/>
      </c>
      <c r="F40" s="22">
        <f>IF(OR(D40="",E40=""),"",D40-E40)</f>
        <v/>
      </c>
      <c r="G40" s="21">
        <f>'SW Metrics'!L242</f>
        <v/>
      </c>
      <c r="H40" s="20">
        <f>'SW Metrics'!L446</f>
        <v/>
      </c>
      <c r="I40" s="20">
        <f>'SW Metrics'!L344</f>
        <v/>
      </c>
      <c r="J40" s="21">
        <f>'SW Metrics'!M140</f>
        <v/>
      </c>
      <c r="K40" s="21">
        <f>'SW Metrics'!L548</f>
        <v/>
      </c>
      <c r="L40" s="23">
        <f>'SW Metrics'!L650</f>
        <v/>
      </c>
      <c r="M40" s="21">
        <f>'SW Metrics'!L752</f>
        <v/>
      </c>
      <c r="N40" s="21">
        <f>'SW Metrics'!L854</f>
        <v/>
      </c>
      <c r="O40" s="24">
        <f>IFERROR(IF(AND(N(D40)&gt;0,N(M40)&gt;0),M40/D40,""),"")</f>
        <v/>
      </c>
      <c r="P40" s="21">
        <f>'SW Metrics'!L956</f>
        <v/>
      </c>
      <c r="Q40" s="23">
        <f>'SW Metrics'!L1058</f>
        <v/>
      </c>
      <c r="R40" s="25">
        <f>'SW Revisions'!G38</f>
        <v/>
      </c>
      <c r="S40" s="25">
        <f>'SW Revisions'!H38</f>
        <v/>
      </c>
      <c r="T40" s="25">
        <f>'SW Revisions'!I38</f>
        <v/>
      </c>
      <c r="U40" s="25">
        <f>'SW Revisions'!O38</f>
        <v/>
      </c>
      <c r="V40" s="25">
        <f>'SW Revisions'!P38</f>
        <v/>
      </c>
      <c r="W40" s="25">
        <f>'SW Revisions'!Q38</f>
        <v/>
      </c>
      <c r="X40" s="26">
        <f>IFERROR(RANK(D40,D$8:D$106),"")</f>
        <v/>
      </c>
      <c r="Y40" s="26">
        <f>IFERROR(RANK(S40,S$8:S$106),"")</f>
        <v/>
      </c>
    </row>
    <row r="41">
      <c r="A41" s="19">
        <f>'SW Rev'!$A38</f>
        <v/>
      </c>
      <c r="B41" s="19">
        <f>'SW Rev'!$B38</f>
        <v/>
      </c>
      <c r="C41" s="20">
        <f>IF(ISNUMBER('SW Rev'!P38),'SW Rev'!P38,"")</f>
        <v/>
      </c>
      <c r="D41" s="21">
        <f>'SW Metrics'!L141</f>
        <v/>
      </c>
      <c r="E41" s="21">
        <f>'SW Metrics'!K141</f>
        <v/>
      </c>
      <c r="F41" s="22">
        <f>IF(OR(D41="",E41=""),"",D41-E41)</f>
        <v/>
      </c>
      <c r="G41" s="21">
        <f>'SW Metrics'!L243</f>
        <v/>
      </c>
      <c r="H41" s="20">
        <f>'SW Metrics'!L447</f>
        <v/>
      </c>
      <c r="I41" s="20">
        <f>'SW Metrics'!L345</f>
        <v/>
      </c>
      <c r="J41" s="21">
        <f>'SW Metrics'!M141</f>
        <v/>
      </c>
      <c r="K41" s="21">
        <f>'SW Metrics'!L549</f>
        <v/>
      </c>
      <c r="L41" s="23">
        <f>'SW Metrics'!L651</f>
        <v/>
      </c>
      <c r="M41" s="21">
        <f>'SW Metrics'!L753</f>
        <v/>
      </c>
      <c r="N41" s="21">
        <f>'SW Metrics'!L855</f>
        <v/>
      </c>
      <c r="O41" s="24">
        <f>IFERROR(IF(AND(N(D41)&gt;0,N(M41)&gt;0),M41/D41,""),"")</f>
        <v/>
      </c>
      <c r="P41" s="21">
        <f>'SW Metrics'!L957</f>
        <v/>
      </c>
      <c r="Q41" s="23">
        <f>'SW Metrics'!L1059</f>
        <v/>
      </c>
      <c r="R41" s="25">
        <f>'SW Revisions'!G39</f>
        <v/>
      </c>
      <c r="S41" s="25">
        <f>'SW Revisions'!H39</f>
        <v/>
      </c>
      <c r="T41" s="25">
        <f>'SW Revisions'!I39</f>
        <v/>
      </c>
      <c r="U41" s="25">
        <f>'SW Revisions'!O39</f>
        <v/>
      </c>
      <c r="V41" s="25">
        <f>'SW Revisions'!P39</f>
        <v/>
      </c>
      <c r="W41" s="25">
        <f>'SW Revisions'!Q39</f>
        <v/>
      </c>
      <c r="X41" s="26">
        <f>IFERROR(RANK(D41,D$8:D$106),"")</f>
        <v/>
      </c>
      <c r="Y41" s="26">
        <f>IFERROR(RANK(S41,S$8:S$106),"")</f>
        <v/>
      </c>
    </row>
    <row r="42">
      <c r="A42" s="19">
        <f>'SW Rev'!$A39</f>
        <v/>
      </c>
      <c r="B42" s="19">
        <f>'SW Rev'!$B39</f>
        <v/>
      </c>
      <c r="C42" s="20">
        <f>IF(ISNUMBER('SW Rev'!P39),'SW Rev'!P39,"")</f>
        <v/>
      </c>
      <c r="D42" s="21">
        <f>'SW Metrics'!L142</f>
        <v/>
      </c>
      <c r="E42" s="21">
        <f>'SW Metrics'!K142</f>
        <v/>
      </c>
      <c r="F42" s="22">
        <f>IF(OR(D42="",E42=""),"",D42-E42)</f>
        <v/>
      </c>
      <c r="G42" s="21">
        <f>'SW Metrics'!L244</f>
        <v/>
      </c>
      <c r="H42" s="20">
        <f>'SW Metrics'!L448</f>
        <v/>
      </c>
      <c r="I42" s="20">
        <f>'SW Metrics'!L346</f>
        <v/>
      </c>
      <c r="J42" s="21">
        <f>'SW Metrics'!M142</f>
        <v/>
      </c>
      <c r="K42" s="21">
        <f>'SW Metrics'!L550</f>
        <v/>
      </c>
      <c r="L42" s="23">
        <f>'SW Metrics'!L652</f>
        <v/>
      </c>
      <c r="M42" s="21">
        <f>'SW Metrics'!L754</f>
        <v/>
      </c>
      <c r="N42" s="21">
        <f>'SW Metrics'!L856</f>
        <v/>
      </c>
      <c r="O42" s="24">
        <f>IFERROR(IF(AND(N(D42)&gt;0,N(M42)&gt;0),M42/D42,""),"")</f>
        <v/>
      </c>
      <c r="P42" s="21">
        <f>'SW Metrics'!L958</f>
        <v/>
      </c>
      <c r="Q42" s="23">
        <f>'SW Metrics'!L1060</f>
        <v/>
      </c>
      <c r="R42" s="25">
        <f>'SW Revisions'!G40</f>
        <v/>
      </c>
      <c r="S42" s="25">
        <f>'SW Revisions'!H40</f>
        <v/>
      </c>
      <c r="T42" s="25">
        <f>'SW Revisions'!I40</f>
        <v/>
      </c>
      <c r="U42" s="25">
        <f>'SW Revisions'!O40</f>
        <v/>
      </c>
      <c r="V42" s="25">
        <f>'SW Revisions'!P40</f>
        <v/>
      </c>
      <c r="W42" s="25">
        <f>'SW Revisions'!Q40</f>
        <v/>
      </c>
      <c r="X42" s="26">
        <f>IFERROR(RANK(D42,D$8:D$106),"")</f>
        <v/>
      </c>
      <c r="Y42" s="26">
        <f>IFERROR(RANK(S42,S$8:S$106),"")</f>
        <v/>
      </c>
    </row>
    <row r="43">
      <c r="A43" s="19">
        <f>'SW Rev'!$A40</f>
        <v/>
      </c>
      <c r="B43" s="19">
        <f>'SW Rev'!$B40</f>
        <v/>
      </c>
      <c r="C43" s="20">
        <f>IF(ISNUMBER('SW Rev'!P40),'SW Rev'!P40,"")</f>
        <v/>
      </c>
      <c r="D43" s="21">
        <f>'SW Metrics'!L143</f>
        <v/>
      </c>
      <c r="E43" s="21">
        <f>'SW Metrics'!K143</f>
        <v/>
      </c>
      <c r="F43" s="22">
        <f>IF(OR(D43="",E43=""),"",D43-E43)</f>
        <v/>
      </c>
      <c r="G43" s="21">
        <f>'SW Metrics'!L245</f>
        <v/>
      </c>
      <c r="H43" s="20">
        <f>'SW Metrics'!L449</f>
        <v/>
      </c>
      <c r="I43" s="20">
        <f>'SW Metrics'!L347</f>
        <v/>
      </c>
      <c r="J43" s="21">
        <f>'SW Metrics'!M143</f>
        <v/>
      </c>
      <c r="K43" s="21">
        <f>'SW Metrics'!L551</f>
        <v/>
      </c>
      <c r="L43" s="23">
        <f>'SW Metrics'!L653</f>
        <v/>
      </c>
      <c r="M43" s="21">
        <f>'SW Metrics'!L755</f>
        <v/>
      </c>
      <c r="N43" s="21">
        <f>'SW Metrics'!L857</f>
        <v/>
      </c>
      <c r="O43" s="24">
        <f>IFERROR(IF(AND(N(D43)&gt;0,N(M43)&gt;0),M43/D43,""),"")</f>
        <v/>
      </c>
      <c r="P43" s="21">
        <f>'SW Metrics'!L959</f>
        <v/>
      </c>
      <c r="Q43" s="23">
        <f>'SW Metrics'!L1061</f>
        <v/>
      </c>
      <c r="R43" s="25">
        <f>'SW Revisions'!G41</f>
        <v/>
      </c>
      <c r="S43" s="25">
        <f>'SW Revisions'!H41</f>
        <v/>
      </c>
      <c r="T43" s="25">
        <f>'SW Revisions'!I41</f>
        <v/>
      </c>
      <c r="U43" s="25">
        <f>'SW Revisions'!O41</f>
        <v/>
      </c>
      <c r="V43" s="25">
        <f>'SW Revisions'!P41</f>
        <v/>
      </c>
      <c r="W43" s="25">
        <f>'SW Revisions'!Q41</f>
        <v/>
      </c>
      <c r="X43" s="26">
        <f>IFERROR(RANK(D43,D$8:D$106),"")</f>
        <v/>
      </c>
      <c r="Y43" s="26">
        <f>IFERROR(RANK(S43,S$8:S$106),"")</f>
        <v/>
      </c>
    </row>
    <row r="44">
      <c r="A44" s="19">
        <f>'SW Rev'!$A41</f>
        <v/>
      </c>
      <c r="B44" s="19">
        <f>'SW Rev'!$B41</f>
        <v/>
      </c>
      <c r="C44" s="20">
        <f>IF(ISNUMBER('SW Rev'!P41),'SW Rev'!P41,"")</f>
        <v/>
      </c>
      <c r="D44" s="21">
        <f>'SW Metrics'!L144</f>
        <v/>
      </c>
      <c r="E44" s="21">
        <f>'SW Metrics'!K144</f>
        <v/>
      </c>
      <c r="F44" s="22">
        <f>IF(OR(D44="",E44=""),"",D44-E44)</f>
        <v/>
      </c>
      <c r="G44" s="21">
        <f>'SW Metrics'!L246</f>
        <v/>
      </c>
      <c r="H44" s="20">
        <f>'SW Metrics'!L450</f>
        <v/>
      </c>
      <c r="I44" s="20">
        <f>'SW Metrics'!L348</f>
        <v/>
      </c>
      <c r="J44" s="21">
        <f>'SW Metrics'!M144</f>
        <v/>
      </c>
      <c r="K44" s="21">
        <f>'SW Metrics'!L552</f>
        <v/>
      </c>
      <c r="L44" s="23">
        <f>'SW Metrics'!L654</f>
        <v/>
      </c>
      <c r="M44" s="21">
        <f>'SW Metrics'!L756</f>
        <v/>
      </c>
      <c r="N44" s="21">
        <f>'SW Metrics'!L858</f>
        <v/>
      </c>
      <c r="O44" s="24">
        <f>IFERROR(IF(AND(N(D44)&gt;0,N(M44)&gt;0),M44/D44,""),"")</f>
        <v/>
      </c>
      <c r="P44" s="21">
        <f>'SW Metrics'!L960</f>
        <v/>
      </c>
      <c r="Q44" s="23">
        <f>'SW Metrics'!L1062</f>
        <v/>
      </c>
      <c r="R44" s="25">
        <f>'SW Revisions'!G42</f>
        <v/>
      </c>
      <c r="S44" s="25">
        <f>'SW Revisions'!H42</f>
        <v/>
      </c>
      <c r="T44" s="25">
        <f>'SW Revisions'!I42</f>
        <v/>
      </c>
      <c r="U44" s="25">
        <f>'SW Revisions'!O42</f>
        <v/>
      </c>
      <c r="V44" s="25">
        <f>'SW Revisions'!P42</f>
        <v/>
      </c>
      <c r="W44" s="25">
        <f>'SW Revisions'!Q42</f>
        <v/>
      </c>
      <c r="X44" s="26">
        <f>IFERROR(RANK(D44,D$8:D$106),"")</f>
        <v/>
      </c>
      <c r="Y44" s="26">
        <f>IFERROR(RANK(S44,S$8:S$106),"")</f>
        <v/>
      </c>
    </row>
    <row r="45">
      <c r="A45" s="19">
        <f>'SW Rev'!$A42</f>
        <v/>
      </c>
      <c r="B45" s="19">
        <f>'SW Rev'!$B42</f>
        <v/>
      </c>
      <c r="C45" s="20">
        <f>IF(ISNUMBER('SW Rev'!P42),'SW Rev'!P42,"")</f>
        <v/>
      </c>
      <c r="D45" s="21">
        <f>'SW Metrics'!L145</f>
        <v/>
      </c>
      <c r="E45" s="21">
        <f>'SW Metrics'!K145</f>
        <v/>
      </c>
      <c r="F45" s="22">
        <f>IF(OR(D45="",E45=""),"",D45-E45)</f>
        <v/>
      </c>
      <c r="G45" s="21">
        <f>'SW Metrics'!L247</f>
        <v/>
      </c>
      <c r="H45" s="20">
        <f>'SW Metrics'!L451</f>
        <v/>
      </c>
      <c r="I45" s="20">
        <f>'SW Metrics'!L349</f>
        <v/>
      </c>
      <c r="J45" s="21">
        <f>'SW Metrics'!M145</f>
        <v/>
      </c>
      <c r="K45" s="21">
        <f>'SW Metrics'!L553</f>
        <v/>
      </c>
      <c r="L45" s="23">
        <f>'SW Metrics'!L655</f>
        <v/>
      </c>
      <c r="M45" s="21">
        <f>'SW Metrics'!L757</f>
        <v/>
      </c>
      <c r="N45" s="21">
        <f>'SW Metrics'!L859</f>
        <v/>
      </c>
      <c r="O45" s="24">
        <f>IFERROR(IF(AND(N(D45)&gt;0,N(M45)&gt;0),M45/D45,""),"")</f>
        <v/>
      </c>
      <c r="P45" s="21">
        <f>'SW Metrics'!L961</f>
        <v/>
      </c>
      <c r="Q45" s="23">
        <f>'SW Metrics'!L1063</f>
        <v/>
      </c>
      <c r="R45" s="25">
        <f>'SW Revisions'!G43</f>
        <v/>
      </c>
      <c r="S45" s="25">
        <f>'SW Revisions'!H43</f>
        <v/>
      </c>
      <c r="T45" s="25">
        <f>'SW Revisions'!I43</f>
        <v/>
      </c>
      <c r="U45" s="25">
        <f>'SW Revisions'!O43</f>
        <v/>
      </c>
      <c r="V45" s="25">
        <f>'SW Revisions'!P43</f>
        <v/>
      </c>
      <c r="W45" s="25">
        <f>'SW Revisions'!Q43</f>
        <v/>
      </c>
      <c r="X45" s="26">
        <f>IFERROR(RANK(D45,D$8:D$106),"")</f>
        <v/>
      </c>
      <c r="Y45" s="26">
        <f>IFERROR(RANK(S45,S$8:S$106),"")</f>
        <v/>
      </c>
    </row>
    <row r="46">
      <c r="A46" s="19">
        <f>'SW Rev'!$A43</f>
        <v/>
      </c>
      <c r="B46" s="19">
        <f>'SW Rev'!$B43</f>
        <v/>
      </c>
      <c r="C46" s="20">
        <f>IF(ISNUMBER('SW Rev'!P43),'SW Rev'!P43,"")</f>
        <v/>
      </c>
      <c r="D46" s="21">
        <f>'SW Metrics'!L146</f>
        <v/>
      </c>
      <c r="E46" s="21">
        <f>'SW Metrics'!K146</f>
        <v/>
      </c>
      <c r="F46" s="22">
        <f>IF(OR(D46="",E46=""),"",D46-E46)</f>
        <v/>
      </c>
      <c r="G46" s="21">
        <f>'SW Metrics'!L248</f>
        <v/>
      </c>
      <c r="H46" s="20">
        <f>'SW Metrics'!L452</f>
        <v/>
      </c>
      <c r="I46" s="20">
        <f>'SW Metrics'!L350</f>
        <v/>
      </c>
      <c r="J46" s="21">
        <f>'SW Metrics'!M146</f>
        <v/>
      </c>
      <c r="K46" s="21">
        <f>'SW Metrics'!L554</f>
        <v/>
      </c>
      <c r="L46" s="23">
        <f>'SW Metrics'!L656</f>
        <v/>
      </c>
      <c r="M46" s="21">
        <f>'SW Metrics'!L758</f>
        <v/>
      </c>
      <c r="N46" s="21">
        <f>'SW Metrics'!L860</f>
        <v/>
      </c>
      <c r="O46" s="24">
        <f>IFERROR(IF(AND(N(D46)&gt;0,N(M46)&gt;0),M46/D46,""),"")</f>
        <v/>
      </c>
      <c r="P46" s="21">
        <f>'SW Metrics'!L962</f>
        <v/>
      </c>
      <c r="Q46" s="23">
        <f>'SW Metrics'!L1064</f>
        <v/>
      </c>
      <c r="R46" s="25">
        <f>'SW Revisions'!G44</f>
        <v/>
      </c>
      <c r="S46" s="25">
        <f>'SW Revisions'!H44</f>
        <v/>
      </c>
      <c r="T46" s="25">
        <f>'SW Revisions'!I44</f>
        <v/>
      </c>
      <c r="U46" s="25">
        <f>'SW Revisions'!O44</f>
        <v/>
      </c>
      <c r="V46" s="25">
        <f>'SW Revisions'!P44</f>
        <v/>
      </c>
      <c r="W46" s="25">
        <f>'SW Revisions'!Q44</f>
        <v/>
      </c>
      <c r="X46" s="26">
        <f>IFERROR(RANK(D46,D$8:D$106),"")</f>
        <v/>
      </c>
      <c r="Y46" s="26">
        <f>IFERROR(RANK(S46,S$8:S$106),"")</f>
        <v/>
      </c>
    </row>
    <row r="47">
      <c r="A47" s="19">
        <f>'SW Rev'!$A44</f>
        <v/>
      </c>
      <c r="B47" s="19">
        <f>'SW Rev'!$B44</f>
        <v/>
      </c>
      <c r="C47" s="20">
        <f>IF(ISNUMBER('SW Rev'!P44),'SW Rev'!P44,"")</f>
        <v/>
      </c>
      <c r="D47" s="21">
        <f>'SW Metrics'!L147</f>
        <v/>
      </c>
      <c r="E47" s="21">
        <f>'SW Metrics'!K147</f>
        <v/>
      </c>
      <c r="F47" s="22">
        <f>IF(OR(D47="",E47=""),"",D47-E47)</f>
        <v/>
      </c>
      <c r="G47" s="21">
        <f>'SW Metrics'!L249</f>
        <v/>
      </c>
      <c r="H47" s="20">
        <f>'SW Metrics'!L453</f>
        <v/>
      </c>
      <c r="I47" s="20">
        <f>'SW Metrics'!L351</f>
        <v/>
      </c>
      <c r="J47" s="21">
        <f>'SW Metrics'!M147</f>
        <v/>
      </c>
      <c r="K47" s="21">
        <f>'SW Metrics'!L555</f>
        <v/>
      </c>
      <c r="L47" s="23">
        <f>'SW Metrics'!L657</f>
        <v/>
      </c>
      <c r="M47" s="21">
        <f>'SW Metrics'!L759</f>
        <v/>
      </c>
      <c r="N47" s="21">
        <f>'SW Metrics'!L861</f>
        <v/>
      </c>
      <c r="O47" s="24">
        <f>IFERROR(IF(AND(N(D47)&gt;0,N(M47)&gt;0),M47/D47,""),"")</f>
        <v/>
      </c>
      <c r="P47" s="21">
        <f>'SW Metrics'!L963</f>
        <v/>
      </c>
      <c r="Q47" s="23">
        <f>'SW Metrics'!L1065</f>
        <v/>
      </c>
      <c r="R47" s="25">
        <f>'SW Revisions'!G45</f>
        <v/>
      </c>
      <c r="S47" s="25">
        <f>'SW Revisions'!H45</f>
        <v/>
      </c>
      <c r="T47" s="25">
        <f>'SW Revisions'!I45</f>
        <v/>
      </c>
      <c r="U47" s="25">
        <f>'SW Revisions'!O45</f>
        <v/>
      </c>
      <c r="V47" s="25">
        <f>'SW Revisions'!P45</f>
        <v/>
      </c>
      <c r="W47" s="25">
        <f>'SW Revisions'!Q45</f>
        <v/>
      </c>
      <c r="X47" s="26">
        <f>IFERROR(RANK(D47,D$8:D$106),"")</f>
        <v/>
      </c>
      <c r="Y47" s="26">
        <f>IFERROR(RANK(S47,S$8:S$106),"")</f>
        <v/>
      </c>
    </row>
    <row r="48">
      <c r="A48" s="19">
        <f>'SW Rev'!$A45</f>
        <v/>
      </c>
      <c r="B48" s="19">
        <f>'SW Rev'!$B45</f>
        <v/>
      </c>
      <c r="C48" s="20">
        <f>IF(ISNUMBER('SW Rev'!P45),'SW Rev'!P45,"")</f>
        <v/>
      </c>
      <c r="D48" s="21">
        <f>'SW Metrics'!L148</f>
        <v/>
      </c>
      <c r="E48" s="21">
        <f>'SW Metrics'!K148</f>
        <v/>
      </c>
      <c r="F48" s="22">
        <f>IF(OR(D48="",E48=""),"",D48-E48)</f>
        <v/>
      </c>
      <c r="G48" s="21">
        <f>'SW Metrics'!L250</f>
        <v/>
      </c>
      <c r="H48" s="20">
        <f>'SW Metrics'!L454</f>
        <v/>
      </c>
      <c r="I48" s="20">
        <f>'SW Metrics'!L352</f>
        <v/>
      </c>
      <c r="J48" s="21">
        <f>'SW Metrics'!M148</f>
        <v/>
      </c>
      <c r="K48" s="21">
        <f>'SW Metrics'!L556</f>
        <v/>
      </c>
      <c r="L48" s="23">
        <f>'SW Metrics'!L658</f>
        <v/>
      </c>
      <c r="M48" s="21">
        <f>'SW Metrics'!L760</f>
        <v/>
      </c>
      <c r="N48" s="21">
        <f>'SW Metrics'!L862</f>
        <v/>
      </c>
      <c r="O48" s="24">
        <f>IFERROR(IF(AND(N(D48)&gt;0,N(M48)&gt;0),M48/D48,""),"")</f>
        <v/>
      </c>
      <c r="P48" s="21">
        <f>'SW Metrics'!L964</f>
        <v/>
      </c>
      <c r="Q48" s="23">
        <f>'SW Metrics'!L1066</f>
        <v/>
      </c>
      <c r="R48" s="25">
        <f>'SW Revisions'!G46</f>
        <v/>
      </c>
      <c r="S48" s="25">
        <f>'SW Revisions'!H46</f>
        <v/>
      </c>
      <c r="T48" s="25">
        <f>'SW Revisions'!I46</f>
        <v/>
      </c>
      <c r="U48" s="25">
        <f>'SW Revisions'!O46</f>
        <v/>
      </c>
      <c r="V48" s="25">
        <f>'SW Revisions'!P46</f>
        <v/>
      </c>
      <c r="W48" s="25">
        <f>'SW Revisions'!Q46</f>
        <v/>
      </c>
      <c r="X48" s="26">
        <f>IFERROR(RANK(D48,D$8:D$106),"")</f>
        <v/>
      </c>
      <c r="Y48" s="26">
        <f>IFERROR(RANK(S48,S$8:S$106),"")</f>
        <v/>
      </c>
    </row>
    <row r="49">
      <c r="A49" s="19">
        <f>'SW Rev'!$A46</f>
        <v/>
      </c>
      <c r="B49" s="19">
        <f>'SW Rev'!$B46</f>
        <v/>
      </c>
      <c r="C49" s="20">
        <f>IF(ISNUMBER('SW Rev'!P46),'SW Rev'!P46,"")</f>
        <v/>
      </c>
      <c r="D49" s="21">
        <f>'SW Metrics'!L149</f>
        <v/>
      </c>
      <c r="E49" s="21">
        <f>'SW Metrics'!K149</f>
        <v/>
      </c>
      <c r="F49" s="22">
        <f>IF(OR(D49="",E49=""),"",D49-E49)</f>
        <v/>
      </c>
      <c r="G49" s="21">
        <f>'SW Metrics'!L251</f>
        <v/>
      </c>
      <c r="H49" s="20">
        <f>'SW Metrics'!L455</f>
        <v/>
      </c>
      <c r="I49" s="20">
        <f>'SW Metrics'!L353</f>
        <v/>
      </c>
      <c r="J49" s="21">
        <f>'SW Metrics'!M149</f>
        <v/>
      </c>
      <c r="K49" s="21">
        <f>'SW Metrics'!L557</f>
        <v/>
      </c>
      <c r="L49" s="23">
        <f>'SW Metrics'!L659</f>
        <v/>
      </c>
      <c r="M49" s="21">
        <f>'SW Metrics'!L761</f>
        <v/>
      </c>
      <c r="N49" s="21">
        <f>'SW Metrics'!L863</f>
        <v/>
      </c>
      <c r="O49" s="24">
        <f>IFERROR(IF(AND(N(D49)&gt;0,N(M49)&gt;0),M49/D49,""),"")</f>
        <v/>
      </c>
      <c r="P49" s="21">
        <f>'SW Metrics'!L965</f>
        <v/>
      </c>
      <c r="Q49" s="23">
        <f>'SW Metrics'!L1067</f>
        <v/>
      </c>
      <c r="R49" s="25">
        <f>'SW Revisions'!G47</f>
        <v/>
      </c>
      <c r="S49" s="25">
        <f>'SW Revisions'!H47</f>
        <v/>
      </c>
      <c r="T49" s="25">
        <f>'SW Revisions'!I47</f>
        <v/>
      </c>
      <c r="U49" s="25">
        <f>'SW Revisions'!O47</f>
        <v/>
      </c>
      <c r="V49" s="25">
        <f>'SW Revisions'!P47</f>
        <v/>
      </c>
      <c r="W49" s="25">
        <f>'SW Revisions'!Q47</f>
        <v/>
      </c>
      <c r="X49" s="26">
        <f>IFERROR(RANK(D49,D$8:D$106),"")</f>
        <v/>
      </c>
      <c r="Y49" s="26">
        <f>IFERROR(RANK(S49,S$8:S$106),"")</f>
        <v/>
      </c>
    </row>
    <row r="50">
      <c r="A50" s="19">
        <f>'SW Rev'!$A47</f>
        <v/>
      </c>
      <c r="B50" s="19">
        <f>'SW Rev'!$B47</f>
        <v/>
      </c>
      <c r="C50" s="20">
        <f>IF(ISNUMBER('SW Rev'!P47),'SW Rev'!P47,"")</f>
        <v/>
      </c>
      <c r="D50" s="21">
        <f>'SW Metrics'!L150</f>
        <v/>
      </c>
      <c r="E50" s="21">
        <f>'SW Metrics'!K150</f>
        <v/>
      </c>
      <c r="F50" s="22">
        <f>IF(OR(D50="",E50=""),"",D50-E50)</f>
        <v/>
      </c>
      <c r="G50" s="21">
        <f>'SW Metrics'!L252</f>
        <v/>
      </c>
      <c r="H50" s="20">
        <f>'SW Metrics'!L456</f>
        <v/>
      </c>
      <c r="I50" s="20">
        <f>'SW Metrics'!L354</f>
        <v/>
      </c>
      <c r="J50" s="21">
        <f>'SW Metrics'!M150</f>
        <v/>
      </c>
      <c r="K50" s="21">
        <f>'SW Metrics'!L558</f>
        <v/>
      </c>
      <c r="L50" s="23">
        <f>'SW Metrics'!L660</f>
        <v/>
      </c>
      <c r="M50" s="21">
        <f>'SW Metrics'!L762</f>
        <v/>
      </c>
      <c r="N50" s="21">
        <f>'SW Metrics'!L864</f>
        <v/>
      </c>
      <c r="O50" s="24">
        <f>IFERROR(IF(AND(N(D50)&gt;0,N(M50)&gt;0),M50/D50,""),"")</f>
        <v/>
      </c>
      <c r="P50" s="21">
        <f>'SW Metrics'!L966</f>
        <v/>
      </c>
      <c r="Q50" s="23">
        <f>'SW Metrics'!L1068</f>
        <v/>
      </c>
      <c r="R50" s="25">
        <f>'SW Revisions'!G48</f>
        <v/>
      </c>
      <c r="S50" s="25">
        <f>'SW Revisions'!H48</f>
        <v/>
      </c>
      <c r="T50" s="25">
        <f>'SW Revisions'!I48</f>
        <v/>
      </c>
      <c r="U50" s="25">
        <f>'SW Revisions'!O48</f>
        <v/>
      </c>
      <c r="V50" s="25">
        <f>'SW Revisions'!P48</f>
        <v/>
      </c>
      <c r="W50" s="25">
        <f>'SW Revisions'!Q48</f>
        <v/>
      </c>
      <c r="X50" s="26">
        <f>IFERROR(RANK(D50,D$8:D$106),"")</f>
        <v/>
      </c>
      <c r="Y50" s="26">
        <f>IFERROR(RANK(S50,S$8:S$106),"")</f>
        <v/>
      </c>
    </row>
    <row r="51">
      <c r="A51" s="19">
        <f>'SW Rev'!$A48</f>
        <v/>
      </c>
      <c r="B51" s="19">
        <f>'SW Rev'!$B48</f>
        <v/>
      </c>
      <c r="C51" s="20">
        <f>IF(ISNUMBER('SW Rev'!P48),'SW Rev'!P48,"")</f>
        <v/>
      </c>
      <c r="D51" s="21">
        <f>'SW Metrics'!L151</f>
        <v/>
      </c>
      <c r="E51" s="21">
        <f>'SW Metrics'!K151</f>
        <v/>
      </c>
      <c r="F51" s="22">
        <f>IF(OR(D51="",E51=""),"",D51-E51)</f>
        <v/>
      </c>
      <c r="G51" s="21">
        <f>'SW Metrics'!L253</f>
        <v/>
      </c>
      <c r="H51" s="20">
        <f>'SW Metrics'!L457</f>
        <v/>
      </c>
      <c r="I51" s="20">
        <f>'SW Metrics'!L355</f>
        <v/>
      </c>
      <c r="J51" s="21">
        <f>'SW Metrics'!M151</f>
        <v/>
      </c>
      <c r="K51" s="21">
        <f>'SW Metrics'!L559</f>
        <v/>
      </c>
      <c r="L51" s="23">
        <f>'SW Metrics'!L661</f>
        <v/>
      </c>
      <c r="M51" s="21">
        <f>'SW Metrics'!L763</f>
        <v/>
      </c>
      <c r="N51" s="21">
        <f>'SW Metrics'!L865</f>
        <v/>
      </c>
      <c r="O51" s="24">
        <f>IFERROR(IF(AND(N(D51)&gt;0,N(M51)&gt;0),M51/D51,""),"")</f>
        <v/>
      </c>
      <c r="P51" s="21">
        <f>'SW Metrics'!L967</f>
        <v/>
      </c>
      <c r="Q51" s="23">
        <f>'SW Metrics'!L1069</f>
        <v/>
      </c>
      <c r="R51" s="25">
        <f>'SW Revisions'!G49</f>
        <v/>
      </c>
      <c r="S51" s="25">
        <f>'SW Revisions'!H49</f>
        <v/>
      </c>
      <c r="T51" s="25">
        <f>'SW Revisions'!I49</f>
        <v/>
      </c>
      <c r="U51" s="25">
        <f>'SW Revisions'!O49</f>
        <v/>
      </c>
      <c r="V51" s="25">
        <f>'SW Revisions'!P49</f>
        <v/>
      </c>
      <c r="W51" s="25">
        <f>'SW Revisions'!Q49</f>
        <v/>
      </c>
      <c r="X51" s="26">
        <f>IFERROR(RANK(D51,D$8:D$106),"")</f>
        <v/>
      </c>
      <c r="Y51" s="26">
        <f>IFERROR(RANK(S51,S$8:S$106),"")</f>
        <v/>
      </c>
    </row>
    <row r="52">
      <c r="A52" s="19">
        <f>'SW Rev'!$A49</f>
        <v/>
      </c>
      <c r="B52" s="19">
        <f>'SW Rev'!$B49</f>
        <v/>
      </c>
      <c r="C52" s="20">
        <f>IF(ISNUMBER('SW Rev'!P49),'SW Rev'!P49,"")</f>
        <v/>
      </c>
      <c r="D52" s="21">
        <f>'SW Metrics'!L152</f>
        <v/>
      </c>
      <c r="E52" s="21">
        <f>'SW Metrics'!K152</f>
        <v/>
      </c>
      <c r="F52" s="22">
        <f>IF(OR(D52="",E52=""),"",D52-E52)</f>
        <v/>
      </c>
      <c r="G52" s="21">
        <f>'SW Metrics'!L254</f>
        <v/>
      </c>
      <c r="H52" s="20">
        <f>'SW Metrics'!L458</f>
        <v/>
      </c>
      <c r="I52" s="20">
        <f>'SW Metrics'!L356</f>
        <v/>
      </c>
      <c r="J52" s="21">
        <f>'SW Metrics'!M152</f>
        <v/>
      </c>
      <c r="K52" s="21">
        <f>'SW Metrics'!L560</f>
        <v/>
      </c>
      <c r="L52" s="23">
        <f>'SW Metrics'!L662</f>
        <v/>
      </c>
      <c r="M52" s="21">
        <f>'SW Metrics'!L764</f>
        <v/>
      </c>
      <c r="N52" s="21">
        <f>'SW Metrics'!L866</f>
        <v/>
      </c>
      <c r="O52" s="24">
        <f>IFERROR(IF(AND(N(D52)&gt;0,N(M52)&gt;0),M52/D52,""),"")</f>
        <v/>
      </c>
      <c r="P52" s="21">
        <f>'SW Metrics'!L968</f>
        <v/>
      </c>
      <c r="Q52" s="23">
        <f>'SW Metrics'!L1070</f>
        <v/>
      </c>
      <c r="R52" s="25">
        <f>'SW Revisions'!G50</f>
        <v/>
      </c>
      <c r="S52" s="25">
        <f>'SW Revisions'!H50</f>
        <v/>
      </c>
      <c r="T52" s="25">
        <f>'SW Revisions'!I50</f>
        <v/>
      </c>
      <c r="U52" s="25">
        <f>'SW Revisions'!O50</f>
        <v/>
      </c>
      <c r="V52" s="25">
        <f>'SW Revisions'!P50</f>
        <v/>
      </c>
      <c r="W52" s="25">
        <f>'SW Revisions'!Q50</f>
        <v/>
      </c>
      <c r="X52" s="26">
        <f>IFERROR(RANK(D52,D$8:D$106),"")</f>
        <v/>
      </c>
      <c r="Y52" s="26">
        <f>IFERROR(RANK(S52,S$8:S$106),"")</f>
        <v/>
      </c>
    </row>
    <row r="53">
      <c r="A53" s="19">
        <f>'SW Rev'!$A50</f>
        <v/>
      </c>
      <c r="B53" s="19">
        <f>'SW Rev'!$B50</f>
        <v/>
      </c>
      <c r="C53" s="20">
        <f>IF(ISNUMBER('SW Rev'!P50),'SW Rev'!P50,"")</f>
        <v/>
      </c>
      <c r="D53" s="21">
        <f>'SW Metrics'!L153</f>
        <v/>
      </c>
      <c r="E53" s="21">
        <f>'SW Metrics'!K153</f>
        <v/>
      </c>
      <c r="F53" s="22">
        <f>IF(OR(D53="",E53=""),"",D53-E53)</f>
        <v/>
      </c>
      <c r="G53" s="21">
        <f>'SW Metrics'!L255</f>
        <v/>
      </c>
      <c r="H53" s="20">
        <f>'SW Metrics'!L459</f>
        <v/>
      </c>
      <c r="I53" s="20">
        <f>'SW Metrics'!L357</f>
        <v/>
      </c>
      <c r="J53" s="21">
        <f>'SW Metrics'!M153</f>
        <v/>
      </c>
      <c r="K53" s="21">
        <f>'SW Metrics'!L561</f>
        <v/>
      </c>
      <c r="L53" s="23">
        <f>'SW Metrics'!L663</f>
        <v/>
      </c>
      <c r="M53" s="21">
        <f>'SW Metrics'!L765</f>
        <v/>
      </c>
      <c r="N53" s="21">
        <f>'SW Metrics'!L867</f>
        <v/>
      </c>
      <c r="O53" s="24">
        <f>IFERROR(IF(AND(N(D53)&gt;0,N(M53)&gt;0),M53/D53,""),"")</f>
        <v/>
      </c>
      <c r="P53" s="21">
        <f>'SW Metrics'!L969</f>
        <v/>
      </c>
      <c r="Q53" s="23">
        <f>'SW Metrics'!L1071</f>
        <v/>
      </c>
      <c r="R53" s="25">
        <f>'SW Revisions'!G51</f>
        <v/>
      </c>
      <c r="S53" s="25">
        <f>'SW Revisions'!H51</f>
        <v/>
      </c>
      <c r="T53" s="25">
        <f>'SW Revisions'!I51</f>
        <v/>
      </c>
      <c r="U53" s="25">
        <f>'SW Revisions'!O51</f>
        <v/>
      </c>
      <c r="V53" s="25">
        <f>'SW Revisions'!P51</f>
        <v/>
      </c>
      <c r="W53" s="25">
        <f>'SW Revisions'!Q51</f>
        <v/>
      </c>
      <c r="X53" s="26">
        <f>IFERROR(RANK(D53,D$8:D$106),"")</f>
        <v/>
      </c>
      <c r="Y53" s="26">
        <f>IFERROR(RANK(S53,S$8:S$106),"")</f>
        <v/>
      </c>
    </row>
    <row r="54">
      <c r="A54" s="19">
        <f>'SW Rev'!$A51</f>
        <v/>
      </c>
      <c r="B54" s="19">
        <f>'SW Rev'!$B51</f>
        <v/>
      </c>
      <c r="C54" s="20">
        <f>IF(ISNUMBER('SW Rev'!P51),'SW Rev'!P51,"")</f>
        <v/>
      </c>
      <c r="D54" s="21">
        <f>'SW Metrics'!L154</f>
        <v/>
      </c>
      <c r="E54" s="21">
        <f>'SW Metrics'!K154</f>
        <v/>
      </c>
      <c r="F54" s="22">
        <f>IF(OR(D54="",E54=""),"",D54-E54)</f>
        <v/>
      </c>
      <c r="G54" s="21">
        <f>'SW Metrics'!L256</f>
        <v/>
      </c>
      <c r="H54" s="20">
        <f>'SW Metrics'!L460</f>
        <v/>
      </c>
      <c r="I54" s="20">
        <f>'SW Metrics'!L358</f>
        <v/>
      </c>
      <c r="J54" s="21">
        <f>'SW Metrics'!M154</f>
        <v/>
      </c>
      <c r="K54" s="21">
        <f>'SW Metrics'!L562</f>
        <v/>
      </c>
      <c r="L54" s="23">
        <f>'SW Metrics'!L664</f>
        <v/>
      </c>
      <c r="M54" s="21">
        <f>'SW Metrics'!L766</f>
        <v/>
      </c>
      <c r="N54" s="21">
        <f>'SW Metrics'!L868</f>
        <v/>
      </c>
      <c r="O54" s="24">
        <f>IFERROR(IF(AND(N(D54)&gt;0,N(M54)&gt;0),M54/D54,""),"")</f>
        <v/>
      </c>
      <c r="P54" s="21">
        <f>'SW Metrics'!L970</f>
        <v/>
      </c>
      <c r="Q54" s="23">
        <f>'SW Metrics'!L1072</f>
        <v/>
      </c>
      <c r="R54" s="25">
        <f>'SW Revisions'!G52</f>
        <v/>
      </c>
      <c r="S54" s="25">
        <f>'SW Revisions'!H52</f>
        <v/>
      </c>
      <c r="T54" s="25">
        <f>'SW Revisions'!I52</f>
        <v/>
      </c>
      <c r="U54" s="25">
        <f>'SW Revisions'!O52</f>
        <v/>
      </c>
      <c r="V54" s="25">
        <f>'SW Revisions'!P52</f>
        <v/>
      </c>
      <c r="W54" s="25">
        <f>'SW Revisions'!Q52</f>
        <v/>
      </c>
      <c r="X54" s="26">
        <f>IFERROR(RANK(D54,D$8:D$106),"")</f>
        <v/>
      </c>
      <c r="Y54" s="26">
        <f>IFERROR(RANK(S54,S$8:S$106),"")</f>
        <v/>
      </c>
    </row>
    <row r="55">
      <c r="A55" s="19">
        <f>'SW Rev'!$A52</f>
        <v/>
      </c>
      <c r="B55" s="19">
        <f>'SW Rev'!$B52</f>
        <v/>
      </c>
      <c r="C55" s="20">
        <f>IF(ISNUMBER('SW Rev'!P52),'SW Rev'!P52,"")</f>
        <v/>
      </c>
      <c r="D55" s="21">
        <f>'SW Metrics'!L155</f>
        <v/>
      </c>
      <c r="E55" s="21">
        <f>'SW Metrics'!K155</f>
        <v/>
      </c>
      <c r="F55" s="22">
        <f>IF(OR(D55="",E55=""),"",D55-E55)</f>
        <v/>
      </c>
      <c r="G55" s="21">
        <f>'SW Metrics'!L257</f>
        <v/>
      </c>
      <c r="H55" s="20">
        <f>'SW Metrics'!L461</f>
        <v/>
      </c>
      <c r="I55" s="20">
        <f>'SW Metrics'!L359</f>
        <v/>
      </c>
      <c r="J55" s="21">
        <f>'SW Metrics'!M155</f>
        <v/>
      </c>
      <c r="K55" s="21">
        <f>'SW Metrics'!L563</f>
        <v/>
      </c>
      <c r="L55" s="23">
        <f>'SW Metrics'!L665</f>
        <v/>
      </c>
      <c r="M55" s="21">
        <f>'SW Metrics'!L767</f>
        <v/>
      </c>
      <c r="N55" s="21">
        <f>'SW Metrics'!L869</f>
        <v/>
      </c>
      <c r="O55" s="24">
        <f>IFERROR(IF(AND(N(D55)&gt;0,N(M55)&gt;0),M55/D55,""),"")</f>
        <v/>
      </c>
      <c r="P55" s="21">
        <f>'SW Metrics'!L971</f>
        <v/>
      </c>
      <c r="Q55" s="23">
        <f>'SW Metrics'!L1073</f>
        <v/>
      </c>
      <c r="R55" s="25">
        <f>'SW Revisions'!G53</f>
        <v/>
      </c>
      <c r="S55" s="25">
        <f>'SW Revisions'!H53</f>
        <v/>
      </c>
      <c r="T55" s="25">
        <f>'SW Revisions'!I53</f>
        <v/>
      </c>
      <c r="U55" s="25">
        <f>'SW Revisions'!O53</f>
        <v/>
      </c>
      <c r="V55" s="25">
        <f>'SW Revisions'!P53</f>
        <v/>
      </c>
      <c r="W55" s="25">
        <f>'SW Revisions'!Q53</f>
        <v/>
      </c>
      <c r="X55" s="26">
        <f>IFERROR(RANK(D55,D$8:D$106),"")</f>
        <v/>
      </c>
      <c r="Y55" s="26">
        <f>IFERROR(RANK(S55,S$8:S$106),"")</f>
        <v/>
      </c>
    </row>
    <row r="56">
      <c r="A56" s="19">
        <f>'SW Rev'!$A53</f>
        <v/>
      </c>
      <c r="B56" s="19">
        <f>'SW Rev'!$B53</f>
        <v/>
      </c>
      <c r="C56" s="20">
        <f>IF(ISNUMBER('SW Rev'!P53),'SW Rev'!P53,"")</f>
        <v/>
      </c>
      <c r="D56" s="21">
        <f>'SW Metrics'!L156</f>
        <v/>
      </c>
      <c r="E56" s="21">
        <f>'SW Metrics'!K156</f>
        <v/>
      </c>
      <c r="F56" s="22">
        <f>IF(OR(D56="",E56=""),"",D56-E56)</f>
        <v/>
      </c>
      <c r="G56" s="21">
        <f>'SW Metrics'!L258</f>
        <v/>
      </c>
      <c r="H56" s="20">
        <f>'SW Metrics'!L462</f>
        <v/>
      </c>
      <c r="I56" s="20">
        <f>'SW Metrics'!L360</f>
        <v/>
      </c>
      <c r="J56" s="21">
        <f>'SW Metrics'!M156</f>
        <v/>
      </c>
      <c r="K56" s="21">
        <f>'SW Metrics'!L564</f>
        <v/>
      </c>
      <c r="L56" s="23">
        <f>'SW Metrics'!L666</f>
        <v/>
      </c>
      <c r="M56" s="21">
        <f>'SW Metrics'!L768</f>
        <v/>
      </c>
      <c r="N56" s="21">
        <f>'SW Metrics'!L870</f>
        <v/>
      </c>
      <c r="O56" s="24">
        <f>IFERROR(IF(AND(N(D56)&gt;0,N(M56)&gt;0),M56/D56,""),"")</f>
        <v/>
      </c>
      <c r="P56" s="21">
        <f>'SW Metrics'!L972</f>
        <v/>
      </c>
      <c r="Q56" s="23">
        <f>'SW Metrics'!L1074</f>
        <v/>
      </c>
      <c r="R56" s="25">
        <f>'SW Revisions'!G54</f>
        <v/>
      </c>
      <c r="S56" s="25">
        <f>'SW Revisions'!H54</f>
        <v/>
      </c>
      <c r="T56" s="25">
        <f>'SW Revisions'!I54</f>
        <v/>
      </c>
      <c r="U56" s="25">
        <f>'SW Revisions'!O54</f>
        <v/>
      </c>
      <c r="V56" s="25">
        <f>'SW Revisions'!P54</f>
        <v/>
      </c>
      <c r="W56" s="25">
        <f>'SW Revisions'!Q54</f>
        <v/>
      </c>
      <c r="X56" s="26">
        <f>IFERROR(RANK(D56,D$8:D$106),"")</f>
        <v/>
      </c>
      <c r="Y56" s="26">
        <f>IFERROR(RANK(S56,S$8:S$106),"")</f>
        <v/>
      </c>
    </row>
    <row r="57">
      <c r="A57" s="19">
        <f>'SW Rev'!$A54</f>
        <v/>
      </c>
      <c r="B57" s="19">
        <f>'SW Rev'!$B54</f>
        <v/>
      </c>
      <c r="C57" s="20">
        <f>IF(ISNUMBER('SW Rev'!P54),'SW Rev'!P54,"")</f>
        <v/>
      </c>
      <c r="D57" s="21">
        <f>'SW Metrics'!L157</f>
        <v/>
      </c>
      <c r="E57" s="21">
        <f>'SW Metrics'!K157</f>
        <v/>
      </c>
      <c r="F57" s="22">
        <f>IF(OR(D57="",E57=""),"",D57-E57)</f>
        <v/>
      </c>
      <c r="G57" s="21">
        <f>'SW Metrics'!L259</f>
        <v/>
      </c>
      <c r="H57" s="20">
        <f>'SW Metrics'!L463</f>
        <v/>
      </c>
      <c r="I57" s="20">
        <f>'SW Metrics'!L361</f>
        <v/>
      </c>
      <c r="J57" s="21">
        <f>'SW Metrics'!M157</f>
        <v/>
      </c>
      <c r="K57" s="21">
        <f>'SW Metrics'!L565</f>
        <v/>
      </c>
      <c r="L57" s="23">
        <f>'SW Metrics'!L667</f>
        <v/>
      </c>
      <c r="M57" s="21">
        <f>'SW Metrics'!L769</f>
        <v/>
      </c>
      <c r="N57" s="21">
        <f>'SW Metrics'!L871</f>
        <v/>
      </c>
      <c r="O57" s="24">
        <f>IFERROR(IF(AND(N(D57)&gt;0,N(M57)&gt;0),M57/D57,""),"")</f>
        <v/>
      </c>
      <c r="P57" s="21">
        <f>'SW Metrics'!L973</f>
        <v/>
      </c>
      <c r="Q57" s="23">
        <f>'SW Metrics'!L1075</f>
        <v/>
      </c>
      <c r="R57" s="25">
        <f>'SW Revisions'!G55</f>
        <v/>
      </c>
      <c r="S57" s="25">
        <f>'SW Revisions'!H55</f>
        <v/>
      </c>
      <c r="T57" s="25">
        <f>'SW Revisions'!I55</f>
        <v/>
      </c>
      <c r="U57" s="25">
        <f>'SW Revisions'!O55</f>
        <v/>
      </c>
      <c r="V57" s="25">
        <f>'SW Revisions'!P55</f>
        <v/>
      </c>
      <c r="W57" s="25">
        <f>'SW Revisions'!Q55</f>
        <v/>
      </c>
      <c r="X57" s="26">
        <f>IFERROR(RANK(D57,D$8:D$106),"")</f>
        <v/>
      </c>
      <c r="Y57" s="26">
        <f>IFERROR(RANK(S57,S$8:S$106),"")</f>
        <v/>
      </c>
    </row>
    <row r="58">
      <c r="A58" s="19">
        <f>'SW Rev'!$A55</f>
        <v/>
      </c>
      <c r="B58" s="19">
        <f>'SW Rev'!$B55</f>
        <v/>
      </c>
      <c r="C58" s="20">
        <f>IF(ISNUMBER('SW Rev'!P55),'SW Rev'!P55,"")</f>
        <v/>
      </c>
      <c r="D58" s="21">
        <f>'SW Metrics'!L158</f>
        <v/>
      </c>
      <c r="E58" s="21">
        <f>'SW Metrics'!K158</f>
        <v/>
      </c>
      <c r="F58" s="22">
        <f>IF(OR(D58="",E58=""),"",D58-E58)</f>
        <v/>
      </c>
      <c r="G58" s="21">
        <f>'SW Metrics'!L260</f>
        <v/>
      </c>
      <c r="H58" s="20">
        <f>'SW Metrics'!L464</f>
        <v/>
      </c>
      <c r="I58" s="20">
        <f>'SW Metrics'!L362</f>
        <v/>
      </c>
      <c r="J58" s="21">
        <f>'SW Metrics'!M158</f>
        <v/>
      </c>
      <c r="K58" s="21">
        <f>'SW Metrics'!L566</f>
        <v/>
      </c>
      <c r="L58" s="23">
        <f>'SW Metrics'!L668</f>
        <v/>
      </c>
      <c r="M58" s="21">
        <f>'SW Metrics'!L770</f>
        <v/>
      </c>
      <c r="N58" s="21">
        <f>'SW Metrics'!L872</f>
        <v/>
      </c>
      <c r="O58" s="24">
        <f>IFERROR(IF(AND(N(D58)&gt;0,N(M58)&gt;0),M58/D58,""),"")</f>
        <v/>
      </c>
      <c r="P58" s="21">
        <f>'SW Metrics'!L974</f>
        <v/>
      </c>
      <c r="Q58" s="23">
        <f>'SW Metrics'!L1076</f>
        <v/>
      </c>
      <c r="R58" s="25">
        <f>'SW Revisions'!G56</f>
        <v/>
      </c>
      <c r="S58" s="25">
        <f>'SW Revisions'!H56</f>
        <v/>
      </c>
      <c r="T58" s="25">
        <f>'SW Revisions'!I56</f>
        <v/>
      </c>
      <c r="U58" s="25">
        <f>'SW Revisions'!O56</f>
        <v/>
      </c>
      <c r="V58" s="25">
        <f>'SW Revisions'!P56</f>
        <v/>
      </c>
      <c r="W58" s="25">
        <f>'SW Revisions'!Q56</f>
        <v/>
      </c>
      <c r="X58" s="26">
        <f>IFERROR(RANK(D58,D$8:D$106),"")</f>
        <v/>
      </c>
      <c r="Y58" s="26">
        <f>IFERROR(RANK(S58,S$8:S$106),"")</f>
        <v/>
      </c>
    </row>
    <row r="59">
      <c r="A59" s="19">
        <f>'SW Rev'!$A56</f>
        <v/>
      </c>
      <c r="B59" s="19">
        <f>'SW Rev'!$B56</f>
        <v/>
      </c>
      <c r="C59" s="20">
        <f>IF(ISNUMBER('SW Rev'!P56),'SW Rev'!P56,"")</f>
        <v/>
      </c>
      <c r="D59" s="21">
        <f>'SW Metrics'!L159</f>
        <v/>
      </c>
      <c r="E59" s="21">
        <f>'SW Metrics'!K159</f>
        <v/>
      </c>
      <c r="F59" s="22">
        <f>IF(OR(D59="",E59=""),"",D59-E59)</f>
        <v/>
      </c>
      <c r="G59" s="21">
        <f>'SW Metrics'!L261</f>
        <v/>
      </c>
      <c r="H59" s="20">
        <f>'SW Metrics'!L465</f>
        <v/>
      </c>
      <c r="I59" s="20">
        <f>'SW Metrics'!L363</f>
        <v/>
      </c>
      <c r="J59" s="21">
        <f>'SW Metrics'!M159</f>
        <v/>
      </c>
      <c r="K59" s="21">
        <f>'SW Metrics'!L567</f>
        <v/>
      </c>
      <c r="L59" s="23">
        <f>'SW Metrics'!L669</f>
        <v/>
      </c>
      <c r="M59" s="21">
        <f>'SW Metrics'!L771</f>
        <v/>
      </c>
      <c r="N59" s="21">
        <f>'SW Metrics'!L873</f>
        <v/>
      </c>
      <c r="O59" s="24">
        <f>IFERROR(IF(AND(N(D59)&gt;0,N(M59)&gt;0),M59/D59,""),"")</f>
        <v/>
      </c>
      <c r="P59" s="21">
        <f>'SW Metrics'!L975</f>
        <v/>
      </c>
      <c r="Q59" s="23">
        <f>'SW Metrics'!L1077</f>
        <v/>
      </c>
      <c r="R59" s="25">
        <f>'SW Revisions'!G57</f>
        <v/>
      </c>
      <c r="S59" s="25">
        <f>'SW Revisions'!H57</f>
        <v/>
      </c>
      <c r="T59" s="25">
        <f>'SW Revisions'!I57</f>
        <v/>
      </c>
      <c r="U59" s="25">
        <f>'SW Revisions'!O57</f>
        <v/>
      </c>
      <c r="V59" s="25">
        <f>'SW Revisions'!P57</f>
        <v/>
      </c>
      <c r="W59" s="25">
        <f>'SW Revisions'!Q57</f>
        <v/>
      </c>
      <c r="X59" s="26">
        <f>IFERROR(RANK(D59,D$8:D$106),"")</f>
        <v/>
      </c>
      <c r="Y59" s="26">
        <f>IFERROR(RANK(S59,S$8:S$106),"")</f>
        <v/>
      </c>
    </row>
    <row r="60">
      <c r="A60" s="19">
        <f>'SW Rev'!$A57</f>
        <v/>
      </c>
      <c r="B60" s="19">
        <f>'SW Rev'!$B57</f>
        <v/>
      </c>
      <c r="C60" s="20">
        <f>IF(ISNUMBER('SW Rev'!P57),'SW Rev'!P57,"")</f>
        <v/>
      </c>
      <c r="D60" s="21">
        <f>'SW Metrics'!L160</f>
        <v/>
      </c>
      <c r="E60" s="21">
        <f>'SW Metrics'!K160</f>
        <v/>
      </c>
      <c r="F60" s="22">
        <f>IF(OR(D60="",E60=""),"",D60-E60)</f>
        <v/>
      </c>
      <c r="G60" s="21">
        <f>'SW Metrics'!L262</f>
        <v/>
      </c>
      <c r="H60" s="20">
        <f>'SW Metrics'!L466</f>
        <v/>
      </c>
      <c r="I60" s="20">
        <f>'SW Metrics'!L364</f>
        <v/>
      </c>
      <c r="J60" s="21">
        <f>'SW Metrics'!M160</f>
        <v/>
      </c>
      <c r="K60" s="21">
        <f>'SW Metrics'!L568</f>
        <v/>
      </c>
      <c r="L60" s="23">
        <f>'SW Metrics'!L670</f>
        <v/>
      </c>
      <c r="M60" s="21">
        <f>'SW Metrics'!L772</f>
        <v/>
      </c>
      <c r="N60" s="21">
        <f>'SW Metrics'!L874</f>
        <v/>
      </c>
      <c r="O60" s="24">
        <f>IFERROR(IF(AND(N(D60)&gt;0,N(M60)&gt;0),M60/D60,""),"")</f>
        <v/>
      </c>
      <c r="P60" s="21">
        <f>'SW Metrics'!L976</f>
        <v/>
      </c>
      <c r="Q60" s="23">
        <f>'SW Metrics'!L1078</f>
        <v/>
      </c>
      <c r="R60" s="25">
        <f>'SW Revisions'!G58</f>
        <v/>
      </c>
      <c r="S60" s="25">
        <f>'SW Revisions'!H58</f>
        <v/>
      </c>
      <c r="T60" s="25">
        <f>'SW Revisions'!I58</f>
        <v/>
      </c>
      <c r="U60" s="25">
        <f>'SW Revisions'!O58</f>
        <v/>
      </c>
      <c r="V60" s="25">
        <f>'SW Revisions'!P58</f>
        <v/>
      </c>
      <c r="W60" s="25">
        <f>'SW Revisions'!Q58</f>
        <v/>
      </c>
      <c r="X60" s="26">
        <f>IFERROR(RANK(D60,D$8:D$106),"")</f>
        <v/>
      </c>
      <c r="Y60" s="26">
        <f>IFERROR(RANK(S60,S$8:S$106),"")</f>
        <v/>
      </c>
    </row>
    <row r="61">
      <c r="A61" s="19">
        <f>'SW Rev'!$A58</f>
        <v/>
      </c>
      <c r="B61" s="19">
        <f>'SW Rev'!$B58</f>
        <v/>
      </c>
      <c r="C61" s="20">
        <f>IF(ISNUMBER('SW Rev'!P58),'SW Rev'!P58,"")</f>
        <v/>
      </c>
      <c r="D61" s="21">
        <f>'SW Metrics'!L161</f>
        <v/>
      </c>
      <c r="E61" s="21">
        <f>'SW Metrics'!K161</f>
        <v/>
      </c>
      <c r="F61" s="22">
        <f>IF(OR(D61="",E61=""),"",D61-E61)</f>
        <v/>
      </c>
      <c r="G61" s="21">
        <f>'SW Metrics'!L263</f>
        <v/>
      </c>
      <c r="H61" s="20">
        <f>'SW Metrics'!L467</f>
        <v/>
      </c>
      <c r="I61" s="20">
        <f>'SW Metrics'!L365</f>
        <v/>
      </c>
      <c r="J61" s="21">
        <f>'SW Metrics'!M161</f>
        <v/>
      </c>
      <c r="K61" s="21">
        <f>'SW Metrics'!L569</f>
        <v/>
      </c>
      <c r="L61" s="23">
        <f>'SW Metrics'!L671</f>
        <v/>
      </c>
      <c r="M61" s="21">
        <f>'SW Metrics'!L773</f>
        <v/>
      </c>
      <c r="N61" s="21">
        <f>'SW Metrics'!L875</f>
        <v/>
      </c>
      <c r="O61" s="24">
        <f>IFERROR(IF(AND(N(D61)&gt;0,N(M61)&gt;0),M61/D61,""),"")</f>
        <v/>
      </c>
      <c r="P61" s="21">
        <f>'SW Metrics'!L977</f>
        <v/>
      </c>
      <c r="Q61" s="23">
        <f>'SW Metrics'!L1079</f>
        <v/>
      </c>
      <c r="R61" s="25">
        <f>'SW Revisions'!G59</f>
        <v/>
      </c>
      <c r="S61" s="25">
        <f>'SW Revisions'!H59</f>
        <v/>
      </c>
      <c r="T61" s="25">
        <f>'SW Revisions'!I59</f>
        <v/>
      </c>
      <c r="U61" s="25">
        <f>'SW Revisions'!O59</f>
        <v/>
      </c>
      <c r="V61" s="25">
        <f>'SW Revisions'!P59</f>
        <v/>
      </c>
      <c r="W61" s="25">
        <f>'SW Revisions'!Q59</f>
        <v/>
      </c>
      <c r="X61" s="26">
        <f>IFERROR(RANK(D61,D$8:D$106),"")</f>
        <v/>
      </c>
      <c r="Y61" s="26">
        <f>IFERROR(RANK(S61,S$8:S$106),"")</f>
        <v/>
      </c>
    </row>
    <row r="62">
      <c r="A62" s="19">
        <f>'SW Rev'!$A59</f>
        <v/>
      </c>
      <c r="B62" s="19">
        <f>'SW Rev'!$B59</f>
        <v/>
      </c>
      <c r="C62" s="20">
        <f>IF(ISNUMBER('SW Rev'!P59),'SW Rev'!P59,"")</f>
        <v/>
      </c>
      <c r="D62" s="21">
        <f>'SW Metrics'!L162</f>
        <v/>
      </c>
      <c r="E62" s="21">
        <f>'SW Metrics'!K162</f>
        <v/>
      </c>
      <c r="F62" s="22">
        <f>IF(OR(D62="",E62=""),"",D62-E62)</f>
        <v/>
      </c>
      <c r="G62" s="21">
        <f>'SW Metrics'!L264</f>
        <v/>
      </c>
      <c r="H62" s="20">
        <f>'SW Metrics'!L468</f>
        <v/>
      </c>
      <c r="I62" s="20">
        <f>'SW Metrics'!L366</f>
        <v/>
      </c>
      <c r="J62" s="21">
        <f>'SW Metrics'!M162</f>
        <v/>
      </c>
      <c r="K62" s="21">
        <f>'SW Metrics'!L570</f>
        <v/>
      </c>
      <c r="L62" s="23">
        <f>'SW Metrics'!L672</f>
        <v/>
      </c>
      <c r="M62" s="21">
        <f>'SW Metrics'!L774</f>
        <v/>
      </c>
      <c r="N62" s="21">
        <f>'SW Metrics'!L876</f>
        <v/>
      </c>
      <c r="O62" s="24">
        <f>IFERROR(IF(AND(N(D62)&gt;0,N(M62)&gt;0),M62/D62,""),"")</f>
        <v/>
      </c>
      <c r="P62" s="21">
        <f>'SW Metrics'!L978</f>
        <v/>
      </c>
      <c r="Q62" s="23">
        <f>'SW Metrics'!L1080</f>
        <v/>
      </c>
      <c r="R62" s="25">
        <f>'SW Revisions'!G60</f>
        <v/>
      </c>
      <c r="S62" s="25">
        <f>'SW Revisions'!H60</f>
        <v/>
      </c>
      <c r="T62" s="25">
        <f>'SW Revisions'!I60</f>
        <v/>
      </c>
      <c r="U62" s="25">
        <f>'SW Revisions'!O60</f>
        <v/>
      </c>
      <c r="V62" s="25">
        <f>'SW Revisions'!P60</f>
        <v/>
      </c>
      <c r="W62" s="25">
        <f>'SW Revisions'!Q60</f>
        <v/>
      </c>
      <c r="X62" s="26">
        <f>IFERROR(RANK(D62,D$8:D$106),"")</f>
        <v/>
      </c>
      <c r="Y62" s="26">
        <f>IFERROR(RANK(S62,S$8:S$106),"")</f>
        <v/>
      </c>
    </row>
    <row r="63">
      <c r="A63" s="19">
        <f>'SW Rev'!$A60</f>
        <v/>
      </c>
      <c r="B63" s="19">
        <f>'SW Rev'!$B60</f>
        <v/>
      </c>
      <c r="C63" s="20">
        <f>IF(ISNUMBER('SW Rev'!P60),'SW Rev'!P60,"")</f>
        <v/>
      </c>
      <c r="D63" s="21">
        <f>'SW Metrics'!L163</f>
        <v/>
      </c>
      <c r="E63" s="21">
        <f>'SW Metrics'!K163</f>
        <v/>
      </c>
      <c r="F63" s="22">
        <f>IF(OR(D63="",E63=""),"",D63-E63)</f>
        <v/>
      </c>
      <c r="G63" s="21">
        <f>'SW Metrics'!L265</f>
        <v/>
      </c>
      <c r="H63" s="20">
        <f>'SW Metrics'!L469</f>
        <v/>
      </c>
      <c r="I63" s="20">
        <f>'SW Metrics'!L367</f>
        <v/>
      </c>
      <c r="J63" s="21">
        <f>'SW Metrics'!M163</f>
        <v/>
      </c>
      <c r="K63" s="21">
        <f>'SW Metrics'!L571</f>
        <v/>
      </c>
      <c r="L63" s="23">
        <f>'SW Metrics'!L673</f>
        <v/>
      </c>
      <c r="M63" s="21">
        <f>'SW Metrics'!L775</f>
        <v/>
      </c>
      <c r="N63" s="21">
        <f>'SW Metrics'!L877</f>
        <v/>
      </c>
      <c r="O63" s="24">
        <f>IFERROR(IF(AND(N(D63)&gt;0,N(M63)&gt;0),M63/D63,""),"")</f>
        <v/>
      </c>
      <c r="P63" s="21">
        <f>'SW Metrics'!L979</f>
        <v/>
      </c>
      <c r="Q63" s="23">
        <f>'SW Metrics'!L1081</f>
        <v/>
      </c>
      <c r="R63" s="25">
        <f>'SW Revisions'!G61</f>
        <v/>
      </c>
      <c r="S63" s="25">
        <f>'SW Revisions'!H61</f>
        <v/>
      </c>
      <c r="T63" s="25">
        <f>'SW Revisions'!I61</f>
        <v/>
      </c>
      <c r="U63" s="25">
        <f>'SW Revisions'!O61</f>
        <v/>
      </c>
      <c r="V63" s="25">
        <f>'SW Revisions'!P61</f>
        <v/>
      </c>
      <c r="W63" s="25">
        <f>'SW Revisions'!Q61</f>
        <v/>
      </c>
      <c r="X63" s="26">
        <f>IFERROR(RANK(D63,D$8:D$106),"")</f>
        <v/>
      </c>
      <c r="Y63" s="26">
        <f>IFERROR(RANK(S63,S$8:S$106),"")</f>
        <v/>
      </c>
    </row>
    <row r="64">
      <c r="A64" s="19">
        <f>'SW Rev'!$A61</f>
        <v/>
      </c>
      <c r="B64" s="19">
        <f>'SW Rev'!$B61</f>
        <v/>
      </c>
      <c r="C64" s="20">
        <f>IF(ISNUMBER('SW Rev'!P61),'SW Rev'!P61,"")</f>
        <v/>
      </c>
      <c r="D64" s="21">
        <f>'SW Metrics'!L164</f>
        <v/>
      </c>
      <c r="E64" s="21">
        <f>'SW Metrics'!K164</f>
        <v/>
      </c>
      <c r="F64" s="22">
        <f>IF(OR(D64="",E64=""),"",D64-E64)</f>
        <v/>
      </c>
      <c r="G64" s="21">
        <f>'SW Metrics'!L266</f>
        <v/>
      </c>
      <c r="H64" s="20">
        <f>'SW Metrics'!L470</f>
        <v/>
      </c>
      <c r="I64" s="20">
        <f>'SW Metrics'!L368</f>
        <v/>
      </c>
      <c r="J64" s="21">
        <f>'SW Metrics'!M164</f>
        <v/>
      </c>
      <c r="K64" s="21">
        <f>'SW Metrics'!L572</f>
        <v/>
      </c>
      <c r="L64" s="23">
        <f>'SW Metrics'!L674</f>
        <v/>
      </c>
      <c r="M64" s="21">
        <f>'SW Metrics'!L776</f>
        <v/>
      </c>
      <c r="N64" s="21">
        <f>'SW Metrics'!L878</f>
        <v/>
      </c>
      <c r="O64" s="24">
        <f>IFERROR(IF(AND(N(D64)&gt;0,N(M64)&gt;0),M64/D64,""),"")</f>
        <v/>
      </c>
      <c r="P64" s="21">
        <f>'SW Metrics'!L980</f>
        <v/>
      </c>
      <c r="Q64" s="23">
        <f>'SW Metrics'!L1082</f>
        <v/>
      </c>
      <c r="R64" s="25">
        <f>'SW Revisions'!G62</f>
        <v/>
      </c>
      <c r="S64" s="25">
        <f>'SW Revisions'!H62</f>
        <v/>
      </c>
      <c r="T64" s="25">
        <f>'SW Revisions'!I62</f>
        <v/>
      </c>
      <c r="U64" s="25">
        <f>'SW Revisions'!O62</f>
        <v/>
      </c>
      <c r="V64" s="25">
        <f>'SW Revisions'!P62</f>
        <v/>
      </c>
      <c r="W64" s="25">
        <f>'SW Revisions'!Q62</f>
        <v/>
      </c>
      <c r="X64" s="26">
        <f>IFERROR(RANK(D64,D$8:D$106),"")</f>
        <v/>
      </c>
      <c r="Y64" s="26">
        <f>IFERROR(RANK(S64,S$8:S$106),"")</f>
        <v/>
      </c>
    </row>
    <row r="65">
      <c r="A65" s="19">
        <f>'SW Rev'!$A62</f>
        <v/>
      </c>
      <c r="B65" s="19">
        <f>'SW Rev'!$B62</f>
        <v/>
      </c>
      <c r="C65" s="20">
        <f>IF(ISNUMBER('SW Rev'!P62),'SW Rev'!P62,"")</f>
        <v/>
      </c>
      <c r="D65" s="21">
        <f>'SW Metrics'!L165</f>
        <v/>
      </c>
      <c r="E65" s="21">
        <f>'SW Metrics'!K165</f>
        <v/>
      </c>
      <c r="F65" s="22">
        <f>IF(OR(D65="",E65=""),"",D65-E65)</f>
        <v/>
      </c>
      <c r="G65" s="21">
        <f>'SW Metrics'!L267</f>
        <v/>
      </c>
      <c r="H65" s="20">
        <f>'SW Metrics'!L471</f>
        <v/>
      </c>
      <c r="I65" s="20">
        <f>'SW Metrics'!L369</f>
        <v/>
      </c>
      <c r="J65" s="21">
        <f>'SW Metrics'!M165</f>
        <v/>
      </c>
      <c r="K65" s="21">
        <f>'SW Metrics'!L573</f>
        <v/>
      </c>
      <c r="L65" s="23">
        <f>'SW Metrics'!L675</f>
        <v/>
      </c>
      <c r="M65" s="21">
        <f>'SW Metrics'!L777</f>
        <v/>
      </c>
      <c r="N65" s="21">
        <f>'SW Metrics'!L879</f>
        <v/>
      </c>
      <c r="O65" s="24">
        <f>IFERROR(IF(AND(N(D65)&gt;0,N(M65)&gt;0),M65/D65,""),"")</f>
        <v/>
      </c>
      <c r="P65" s="21">
        <f>'SW Metrics'!L981</f>
        <v/>
      </c>
      <c r="Q65" s="23">
        <f>'SW Metrics'!L1083</f>
        <v/>
      </c>
      <c r="R65" s="25">
        <f>'SW Revisions'!G63</f>
        <v/>
      </c>
      <c r="S65" s="25">
        <f>'SW Revisions'!H63</f>
        <v/>
      </c>
      <c r="T65" s="25">
        <f>'SW Revisions'!I63</f>
        <v/>
      </c>
      <c r="U65" s="25">
        <f>'SW Revisions'!O63</f>
        <v/>
      </c>
      <c r="V65" s="25">
        <f>'SW Revisions'!P63</f>
        <v/>
      </c>
      <c r="W65" s="25">
        <f>'SW Revisions'!Q63</f>
        <v/>
      </c>
      <c r="X65" s="26">
        <f>IFERROR(RANK(D65,D$8:D$106),"")</f>
        <v/>
      </c>
      <c r="Y65" s="26">
        <f>IFERROR(RANK(S65,S$8:S$106),"")</f>
        <v/>
      </c>
    </row>
    <row r="66">
      <c r="A66" s="19">
        <f>'SW Rev'!$A63</f>
        <v/>
      </c>
      <c r="B66" s="19">
        <f>'SW Rev'!$B63</f>
        <v/>
      </c>
      <c r="C66" s="20">
        <f>IF(ISNUMBER('SW Rev'!P63),'SW Rev'!P63,"")</f>
        <v/>
      </c>
      <c r="D66" s="21">
        <f>'SW Metrics'!L166</f>
        <v/>
      </c>
      <c r="E66" s="21">
        <f>'SW Metrics'!K166</f>
        <v/>
      </c>
      <c r="F66" s="22">
        <f>IF(OR(D66="",E66=""),"",D66-E66)</f>
        <v/>
      </c>
      <c r="G66" s="21">
        <f>'SW Metrics'!L268</f>
        <v/>
      </c>
      <c r="H66" s="20">
        <f>'SW Metrics'!L472</f>
        <v/>
      </c>
      <c r="I66" s="20">
        <f>'SW Metrics'!L370</f>
        <v/>
      </c>
      <c r="J66" s="21">
        <f>'SW Metrics'!M166</f>
        <v/>
      </c>
      <c r="K66" s="21">
        <f>'SW Metrics'!L574</f>
        <v/>
      </c>
      <c r="L66" s="23">
        <f>'SW Metrics'!L676</f>
        <v/>
      </c>
      <c r="M66" s="21">
        <f>'SW Metrics'!L778</f>
        <v/>
      </c>
      <c r="N66" s="21">
        <f>'SW Metrics'!L880</f>
        <v/>
      </c>
      <c r="O66" s="24">
        <f>IFERROR(IF(AND(N(D66)&gt;0,N(M66)&gt;0),M66/D66,""),"")</f>
        <v/>
      </c>
      <c r="P66" s="21">
        <f>'SW Metrics'!L982</f>
        <v/>
      </c>
      <c r="Q66" s="23">
        <f>'SW Metrics'!L1084</f>
        <v/>
      </c>
      <c r="R66" s="25">
        <f>'SW Revisions'!G64</f>
        <v/>
      </c>
      <c r="S66" s="25">
        <f>'SW Revisions'!H64</f>
        <v/>
      </c>
      <c r="T66" s="25">
        <f>'SW Revisions'!I64</f>
        <v/>
      </c>
      <c r="U66" s="25">
        <f>'SW Revisions'!O64</f>
        <v/>
      </c>
      <c r="V66" s="25">
        <f>'SW Revisions'!P64</f>
        <v/>
      </c>
      <c r="W66" s="25">
        <f>'SW Revisions'!Q64</f>
        <v/>
      </c>
      <c r="X66" s="26">
        <f>IFERROR(RANK(D66,D$8:D$106),"")</f>
        <v/>
      </c>
      <c r="Y66" s="26">
        <f>IFERROR(RANK(S66,S$8:S$106),"")</f>
        <v/>
      </c>
    </row>
    <row r="67">
      <c r="A67" s="19">
        <f>'SW Rev'!$A64</f>
        <v/>
      </c>
      <c r="B67" s="19">
        <f>'SW Rev'!$B64</f>
        <v/>
      </c>
      <c r="C67" s="20">
        <f>IF(ISNUMBER('SW Rev'!P64),'SW Rev'!P64,"")</f>
        <v/>
      </c>
      <c r="D67" s="21">
        <f>'SW Metrics'!L167</f>
        <v/>
      </c>
      <c r="E67" s="21">
        <f>'SW Metrics'!K167</f>
        <v/>
      </c>
      <c r="F67" s="22">
        <f>IF(OR(D67="",E67=""),"",D67-E67)</f>
        <v/>
      </c>
      <c r="G67" s="21">
        <f>'SW Metrics'!L269</f>
        <v/>
      </c>
      <c r="H67" s="20">
        <f>'SW Metrics'!L473</f>
        <v/>
      </c>
      <c r="I67" s="20">
        <f>'SW Metrics'!L371</f>
        <v/>
      </c>
      <c r="J67" s="21">
        <f>'SW Metrics'!M167</f>
        <v/>
      </c>
      <c r="K67" s="21">
        <f>'SW Metrics'!L575</f>
        <v/>
      </c>
      <c r="L67" s="23">
        <f>'SW Metrics'!L677</f>
        <v/>
      </c>
      <c r="M67" s="21">
        <f>'SW Metrics'!L779</f>
        <v/>
      </c>
      <c r="N67" s="21">
        <f>'SW Metrics'!L881</f>
        <v/>
      </c>
      <c r="O67" s="24">
        <f>IFERROR(IF(AND(N(D67)&gt;0,N(M67)&gt;0),M67/D67,""),"")</f>
        <v/>
      </c>
      <c r="P67" s="21">
        <f>'SW Metrics'!L983</f>
        <v/>
      </c>
      <c r="Q67" s="23">
        <f>'SW Metrics'!L1085</f>
        <v/>
      </c>
      <c r="R67" s="25">
        <f>'SW Revisions'!G65</f>
        <v/>
      </c>
      <c r="S67" s="25">
        <f>'SW Revisions'!H65</f>
        <v/>
      </c>
      <c r="T67" s="25">
        <f>'SW Revisions'!I65</f>
        <v/>
      </c>
      <c r="U67" s="25">
        <f>'SW Revisions'!O65</f>
        <v/>
      </c>
      <c r="V67" s="25">
        <f>'SW Revisions'!P65</f>
        <v/>
      </c>
      <c r="W67" s="25">
        <f>'SW Revisions'!Q65</f>
        <v/>
      </c>
      <c r="X67" s="26">
        <f>IFERROR(RANK(D67,D$8:D$106),"")</f>
        <v/>
      </c>
      <c r="Y67" s="26">
        <f>IFERROR(RANK(S67,S$8:S$106),"")</f>
        <v/>
      </c>
    </row>
    <row r="68">
      <c r="A68" s="19">
        <f>'SW Rev'!$A65</f>
        <v/>
      </c>
      <c r="B68" s="19">
        <f>'SW Rev'!$B65</f>
        <v/>
      </c>
      <c r="C68" s="20">
        <f>IF(ISNUMBER('SW Rev'!P65),'SW Rev'!P65,"")</f>
        <v/>
      </c>
      <c r="D68" s="21">
        <f>'SW Metrics'!L168</f>
        <v/>
      </c>
      <c r="E68" s="21">
        <f>'SW Metrics'!K168</f>
        <v/>
      </c>
      <c r="F68" s="22">
        <f>IF(OR(D68="",E68=""),"",D68-E68)</f>
        <v/>
      </c>
      <c r="G68" s="21">
        <f>'SW Metrics'!L270</f>
        <v/>
      </c>
      <c r="H68" s="20">
        <f>'SW Metrics'!L474</f>
        <v/>
      </c>
      <c r="I68" s="20">
        <f>'SW Metrics'!L372</f>
        <v/>
      </c>
      <c r="J68" s="21">
        <f>'SW Metrics'!M168</f>
        <v/>
      </c>
      <c r="K68" s="21">
        <f>'SW Metrics'!L576</f>
        <v/>
      </c>
      <c r="L68" s="23">
        <f>'SW Metrics'!L678</f>
        <v/>
      </c>
      <c r="M68" s="21">
        <f>'SW Metrics'!L780</f>
        <v/>
      </c>
      <c r="N68" s="21">
        <f>'SW Metrics'!L882</f>
        <v/>
      </c>
      <c r="O68" s="24">
        <f>IFERROR(IF(AND(N(D68)&gt;0,N(M68)&gt;0),M68/D68,""),"")</f>
        <v/>
      </c>
      <c r="P68" s="21">
        <f>'SW Metrics'!L984</f>
        <v/>
      </c>
      <c r="Q68" s="23">
        <f>'SW Metrics'!L1086</f>
        <v/>
      </c>
      <c r="R68" s="25">
        <f>'SW Revisions'!G66</f>
        <v/>
      </c>
      <c r="S68" s="25">
        <f>'SW Revisions'!H66</f>
        <v/>
      </c>
      <c r="T68" s="25">
        <f>'SW Revisions'!I66</f>
        <v/>
      </c>
      <c r="U68" s="25">
        <f>'SW Revisions'!O66</f>
        <v/>
      </c>
      <c r="V68" s="25">
        <f>'SW Revisions'!P66</f>
        <v/>
      </c>
      <c r="W68" s="25">
        <f>'SW Revisions'!Q66</f>
        <v/>
      </c>
      <c r="X68" s="26">
        <f>IFERROR(RANK(D68,D$8:D$106),"")</f>
        <v/>
      </c>
      <c r="Y68" s="26">
        <f>IFERROR(RANK(S68,S$8:S$106),"")</f>
        <v/>
      </c>
    </row>
    <row r="69">
      <c r="A69" s="19">
        <f>'SW Rev'!$A66</f>
        <v/>
      </c>
      <c r="B69" s="19">
        <f>'SW Rev'!$B66</f>
        <v/>
      </c>
      <c r="C69" s="20">
        <f>IF(ISNUMBER('SW Rev'!P66),'SW Rev'!P66,"")</f>
        <v/>
      </c>
      <c r="D69" s="21">
        <f>'SW Metrics'!L169</f>
        <v/>
      </c>
      <c r="E69" s="21">
        <f>'SW Metrics'!K169</f>
        <v/>
      </c>
      <c r="F69" s="22">
        <f>IF(OR(D69="",E69=""),"",D69-E69)</f>
        <v/>
      </c>
      <c r="G69" s="21">
        <f>'SW Metrics'!L271</f>
        <v/>
      </c>
      <c r="H69" s="20">
        <f>'SW Metrics'!L475</f>
        <v/>
      </c>
      <c r="I69" s="20">
        <f>'SW Metrics'!L373</f>
        <v/>
      </c>
      <c r="J69" s="21">
        <f>'SW Metrics'!M169</f>
        <v/>
      </c>
      <c r="K69" s="21">
        <f>'SW Metrics'!L577</f>
        <v/>
      </c>
      <c r="L69" s="23">
        <f>'SW Metrics'!L679</f>
        <v/>
      </c>
      <c r="M69" s="21">
        <f>'SW Metrics'!L781</f>
        <v/>
      </c>
      <c r="N69" s="21">
        <f>'SW Metrics'!L883</f>
        <v/>
      </c>
      <c r="O69" s="24">
        <f>IFERROR(IF(AND(N(D69)&gt;0,N(M69)&gt;0),M69/D69,""),"")</f>
        <v/>
      </c>
      <c r="P69" s="21">
        <f>'SW Metrics'!L985</f>
        <v/>
      </c>
      <c r="Q69" s="23">
        <f>'SW Metrics'!L1087</f>
        <v/>
      </c>
      <c r="R69" s="25">
        <f>'SW Revisions'!G67</f>
        <v/>
      </c>
      <c r="S69" s="25">
        <f>'SW Revisions'!H67</f>
        <v/>
      </c>
      <c r="T69" s="25">
        <f>'SW Revisions'!I67</f>
        <v/>
      </c>
      <c r="U69" s="25">
        <f>'SW Revisions'!O67</f>
        <v/>
      </c>
      <c r="V69" s="25">
        <f>'SW Revisions'!P67</f>
        <v/>
      </c>
      <c r="W69" s="25">
        <f>'SW Revisions'!Q67</f>
        <v/>
      </c>
      <c r="X69" s="26">
        <f>IFERROR(RANK(D69,D$8:D$106),"")</f>
        <v/>
      </c>
      <c r="Y69" s="26">
        <f>IFERROR(RANK(S69,S$8:S$106),"")</f>
        <v/>
      </c>
    </row>
    <row r="70">
      <c r="A70" s="19">
        <f>'SW Rev'!$A67</f>
        <v/>
      </c>
      <c r="B70" s="19">
        <f>'SW Rev'!$B67</f>
        <v/>
      </c>
      <c r="C70" s="20">
        <f>IF(ISNUMBER('SW Rev'!P67),'SW Rev'!P67,"")</f>
        <v/>
      </c>
      <c r="D70" s="21">
        <f>'SW Metrics'!L170</f>
        <v/>
      </c>
      <c r="E70" s="21">
        <f>'SW Metrics'!K170</f>
        <v/>
      </c>
      <c r="F70" s="22">
        <f>IF(OR(D70="",E70=""),"",D70-E70)</f>
        <v/>
      </c>
      <c r="G70" s="21">
        <f>'SW Metrics'!L272</f>
        <v/>
      </c>
      <c r="H70" s="20">
        <f>'SW Metrics'!L476</f>
        <v/>
      </c>
      <c r="I70" s="20">
        <f>'SW Metrics'!L374</f>
        <v/>
      </c>
      <c r="J70" s="21">
        <f>'SW Metrics'!M170</f>
        <v/>
      </c>
      <c r="K70" s="21">
        <f>'SW Metrics'!L578</f>
        <v/>
      </c>
      <c r="L70" s="23">
        <f>'SW Metrics'!L680</f>
        <v/>
      </c>
      <c r="M70" s="21">
        <f>'SW Metrics'!L782</f>
        <v/>
      </c>
      <c r="N70" s="21">
        <f>'SW Metrics'!L884</f>
        <v/>
      </c>
      <c r="O70" s="24">
        <f>IFERROR(IF(AND(N(D70)&gt;0,N(M70)&gt;0),M70/D70,""),"")</f>
        <v/>
      </c>
      <c r="P70" s="21">
        <f>'SW Metrics'!L986</f>
        <v/>
      </c>
      <c r="Q70" s="23">
        <f>'SW Metrics'!L1088</f>
        <v/>
      </c>
      <c r="R70" s="25">
        <f>'SW Revisions'!G68</f>
        <v/>
      </c>
      <c r="S70" s="25">
        <f>'SW Revisions'!H68</f>
        <v/>
      </c>
      <c r="T70" s="25">
        <f>'SW Revisions'!I68</f>
        <v/>
      </c>
      <c r="U70" s="25">
        <f>'SW Revisions'!O68</f>
        <v/>
      </c>
      <c r="V70" s="25">
        <f>'SW Revisions'!P68</f>
        <v/>
      </c>
      <c r="W70" s="25">
        <f>'SW Revisions'!Q68</f>
        <v/>
      </c>
      <c r="X70" s="26">
        <f>IFERROR(RANK(D70,D$8:D$106),"")</f>
        <v/>
      </c>
      <c r="Y70" s="26">
        <f>IFERROR(RANK(S70,S$8:S$106),"")</f>
        <v/>
      </c>
    </row>
    <row r="71">
      <c r="A71" s="19">
        <f>'SW Rev'!$A68</f>
        <v/>
      </c>
      <c r="B71" s="19">
        <f>'SW Rev'!$B68</f>
        <v/>
      </c>
      <c r="C71" s="20">
        <f>IF(ISNUMBER('SW Rev'!P68),'SW Rev'!P68,"")</f>
        <v/>
      </c>
      <c r="D71" s="21">
        <f>'SW Metrics'!L171</f>
        <v/>
      </c>
      <c r="E71" s="21">
        <f>'SW Metrics'!K171</f>
        <v/>
      </c>
      <c r="F71" s="22">
        <f>IF(OR(D71="",E71=""),"",D71-E71)</f>
        <v/>
      </c>
      <c r="G71" s="21">
        <f>'SW Metrics'!L273</f>
        <v/>
      </c>
      <c r="H71" s="20">
        <f>'SW Metrics'!L477</f>
        <v/>
      </c>
      <c r="I71" s="20">
        <f>'SW Metrics'!L375</f>
        <v/>
      </c>
      <c r="J71" s="21">
        <f>'SW Metrics'!M171</f>
        <v/>
      </c>
      <c r="K71" s="21">
        <f>'SW Metrics'!L579</f>
        <v/>
      </c>
      <c r="L71" s="23">
        <f>'SW Metrics'!L681</f>
        <v/>
      </c>
      <c r="M71" s="21">
        <f>'SW Metrics'!L783</f>
        <v/>
      </c>
      <c r="N71" s="21">
        <f>'SW Metrics'!L885</f>
        <v/>
      </c>
      <c r="O71" s="24">
        <f>IFERROR(IF(AND(N(D71)&gt;0,N(M71)&gt;0),M71/D71,""),"")</f>
        <v/>
      </c>
      <c r="P71" s="21">
        <f>'SW Metrics'!L987</f>
        <v/>
      </c>
      <c r="Q71" s="23">
        <f>'SW Metrics'!L1089</f>
        <v/>
      </c>
      <c r="R71" s="25">
        <f>'SW Revisions'!G69</f>
        <v/>
      </c>
      <c r="S71" s="25">
        <f>'SW Revisions'!H69</f>
        <v/>
      </c>
      <c r="T71" s="25">
        <f>'SW Revisions'!I69</f>
        <v/>
      </c>
      <c r="U71" s="25">
        <f>'SW Revisions'!O69</f>
        <v/>
      </c>
      <c r="V71" s="25">
        <f>'SW Revisions'!P69</f>
        <v/>
      </c>
      <c r="W71" s="25">
        <f>'SW Revisions'!Q69</f>
        <v/>
      </c>
      <c r="X71" s="26">
        <f>IFERROR(RANK(D71,D$8:D$106),"")</f>
        <v/>
      </c>
      <c r="Y71" s="26">
        <f>IFERROR(RANK(S71,S$8:S$106),"")</f>
        <v/>
      </c>
    </row>
    <row r="72">
      <c r="A72" s="19">
        <f>'SW Rev'!$A69</f>
        <v/>
      </c>
      <c r="B72" s="19">
        <f>'SW Rev'!$B69</f>
        <v/>
      </c>
      <c r="C72" s="20">
        <f>IF(ISNUMBER('SW Rev'!P69),'SW Rev'!P69,"")</f>
        <v/>
      </c>
      <c r="D72" s="21">
        <f>'SW Metrics'!L172</f>
        <v/>
      </c>
      <c r="E72" s="21">
        <f>'SW Metrics'!K172</f>
        <v/>
      </c>
      <c r="F72" s="22">
        <f>IF(OR(D72="",E72=""),"",D72-E72)</f>
        <v/>
      </c>
      <c r="G72" s="21">
        <f>'SW Metrics'!L274</f>
        <v/>
      </c>
      <c r="H72" s="20">
        <f>'SW Metrics'!L478</f>
        <v/>
      </c>
      <c r="I72" s="20">
        <f>'SW Metrics'!L376</f>
        <v/>
      </c>
      <c r="J72" s="21">
        <f>'SW Metrics'!M172</f>
        <v/>
      </c>
      <c r="K72" s="21">
        <f>'SW Metrics'!L580</f>
        <v/>
      </c>
      <c r="L72" s="23">
        <f>'SW Metrics'!L682</f>
        <v/>
      </c>
      <c r="M72" s="21">
        <f>'SW Metrics'!L784</f>
        <v/>
      </c>
      <c r="N72" s="21">
        <f>'SW Metrics'!L886</f>
        <v/>
      </c>
      <c r="O72" s="24">
        <f>IFERROR(IF(AND(N(D72)&gt;0,N(M72)&gt;0),M72/D72,""),"")</f>
        <v/>
      </c>
      <c r="P72" s="21">
        <f>'SW Metrics'!L988</f>
        <v/>
      </c>
      <c r="Q72" s="23">
        <f>'SW Metrics'!L1090</f>
        <v/>
      </c>
      <c r="R72" s="25">
        <f>'SW Revisions'!G70</f>
        <v/>
      </c>
      <c r="S72" s="25">
        <f>'SW Revisions'!H70</f>
        <v/>
      </c>
      <c r="T72" s="25">
        <f>'SW Revisions'!I70</f>
        <v/>
      </c>
      <c r="U72" s="25">
        <f>'SW Revisions'!O70</f>
        <v/>
      </c>
      <c r="V72" s="25">
        <f>'SW Revisions'!P70</f>
        <v/>
      </c>
      <c r="W72" s="25">
        <f>'SW Revisions'!Q70</f>
        <v/>
      </c>
      <c r="X72" s="26">
        <f>IFERROR(RANK(D72,D$8:D$106),"")</f>
        <v/>
      </c>
      <c r="Y72" s="26">
        <f>IFERROR(RANK(S72,S$8:S$106),"")</f>
        <v/>
      </c>
    </row>
    <row r="73">
      <c r="A73" s="19">
        <f>'SW Rev'!$A70</f>
        <v/>
      </c>
      <c r="B73" s="19">
        <f>'SW Rev'!$B70</f>
        <v/>
      </c>
      <c r="C73" s="20">
        <f>IF(ISNUMBER('SW Rev'!P70),'SW Rev'!P70,"")</f>
        <v/>
      </c>
      <c r="D73" s="21">
        <f>'SW Metrics'!L173</f>
        <v/>
      </c>
      <c r="E73" s="21">
        <f>'SW Metrics'!K173</f>
        <v/>
      </c>
      <c r="F73" s="22">
        <f>IF(OR(D73="",E73=""),"",D73-E73)</f>
        <v/>
      </c>
      <c r="G73" s="21">
        <f>'SW Metrics'!L275</f>
        <v/>
      </c>
      <c r="H73" s="20">
        <f>'SW Metrics'!L479</f>
        <v/>
      </c>
      <c r="I73" s="20">
        <f>'SW Metrics'!L377</f>
        <v/>
      </c>
      <c r="J73" s="21">
        <f>'SW Metrics'!M173</f>
        <v/>
      </c>
      <c r="K73" s="21">
        <f>'SW Metrics'!L581</f>
        <v/>
      </c>
      <c r="L73" s="23">
        <f>'SW Metrics'!L683</f>
        <v/>
      </c>
      <c r="M73" s="21">
        <f>'SW Metrics'!L785</f>
        <v/>
      </c>
      <c r="N73" s="21">
        <f>'SW Metrics'!L887</f>
        <v/>
      </c>
      <c r="O73" s="24">
        <f>IFERROR(IF(AND(N(D73)&gt;0,N(M73)&gt;0),M73/D73,""),"")</f>
        <v/>
      </c>
      <c r="P73" s="21">
        <f>'SW Metrics'!L989</f>
        <v/>
      </c>
      <c r="Q73" s="23">
        <f>'SW Metrics'!L1091</f>
        <v/>
      </c>
      <c r="R73" s="25">
        <f>'SW Revisions'!G71</f>
        <v/>
      </c>
      <c r="S73" s="25">
        <f>'SW Revisions'!H71</f>
        <v/>
      </c>
      <c r="T73" s="25">
        <f>'SW Revisions'!I71</f>
        <v/>
      </c>
      <c r="U73" s="25">
        <f>'SW Revisions'!O71</f>
        <v/>
      </c>
      <c r="V73" s="25">
        <f>'SW Revisions'!P71</f>
        <v/>
      </c>
      <c r="W73" s="25">
        <f>'SW Revisions'!Q71</f>
        <v/>
      </c>
      <c r="X73" s="26">
        <f>IFERROR(RANK(D73,D$8:D$106),"")</f>
        <v/>
      </c>
      <c r="Y73" s="26">
        <f>IFERROR(RANK(S73,S$8:S$106),"")</f>
        <v/>
      </c>
    </row>
    <row r="74">
      <c r="A74" s="19">
        <f>'SW Rev'!$A71</f>
        <v/>
      </c>
      <c r="B74" s="19">
        <f>'SW Rev'!$B71</f>
        <v/>
      </c>
      <c r="C74" s="20">
        <f>IF(ISNUMBER('SW Rev'!P71),'SW Rev'!P71,"")</f>
        <v/>
      </c>
      <c r="D74" s="21">
        <f>'SW Metrics'!L174</f>
        <v/>
      </c>
      <c r="E74" s="21">
        <f>'SW Metrics'!K174</f>
        <v/>
      </c>
      <c r="F74" s="22">
        <f>IF(OR(D74="",E74=""),"",D74-E74)</f>
        <v/>
      </c>
      <c r="G74" s="21">
        <f>'SW Metrics'!L276</f>
        <v/>
      </c>
      <c r="H74" s="20">
        <f>'SW Metrics'!L480</f>
        <v/>
      </c>
      <c r="I74" s="20">
        <f>'SW Metrics'!L378</f>
        <v/>
      </c>
      <c r="J74" s="21">
        <f>'SW Metrics'!M174</f>
        <v/>
      </c>
      <c r="K74" s="21">
        <f>'SW Metrics'!L582</f>
        <v/>
      </c>
      <c r="L74" s="23">
        <f>'SW Metrics'!L684</f>
        <v/>
      </c>
      <c r="M74" s="21">
        <f>'SW Metrics'!L786</f>
        <v/>
      </c>
      <c r="N74" s="21">
        <f>'SW Metrics'!L888</f>
        <v/>
      </c>
      <c r="O74" s="24">
        <f>IFERROR(IF(AND(N(D74)&gt;0,N(M74)&gt;0),M74/D74,""),"")</f>
        <v/>
      </c>
      <c r="P74" s="21">
        <f>'SW Metrics'!L990</f>
        <v/>
      </c>
      <c r="Q74" s="23">
        <f>'SW Metrics'!L1092</f>
        <v/>
      </c>
      <c r="R74" s="25">
        <f>'SW Revisions'!G72</f>
        <v/>
      </c>
      <c r="S74" s="25">
        <f>'SW Revisions'!H72</f>
        <v/>
      </c>
      <c r="T74" s="25">
        <f>'SW Revisions'!I72</f>
        <v/>
      </c>
      <c r="U74" s="25">
        <f>'SW Revisions'!O72</f>
        <v/>
      </c>
      <c r="V74" s="25">
        <f>'SW Revisions'!P72</f>
        <v/>
      </c>
      <c r="W74" s="25">
        <f>'SW Revisions'!Q72</f>
        <v/>
      </c>
      <c r="X74" s="26">
        <f>IFERROR(RANK(D74,D$8:D$106),"")</f>
        <v/>
      </c>
      <c r="Y74" s="26">
        <f>IFERROR(RANK(S74,S$8:S$106),"")</f>
        <v/>
      </c>
    </row>
    <row r="75">
      <c r="A75" s="19">
        <f>'SW Rev'!$A72</f>
        <v/>
      </c>
      <c r="B75" s="19">
        <f>'SW Rev'!$B72</f>
        <v/>
      </c>
      <c r="C75" s="20">
        <f>IF(ISNUMBER('SW Rev'!P72),'SW Rev'!P72,"")</f>
        <v/>
      </c>
      <c r="D75" s="21">
        <f>'SW Metrics'!L175</f>
        <v/>
      </c>
      <c r="E75" s="21">
        <f>'SW Metrics'!K175</f>
        <v/>
      </c>
      <c r="F75" s="22">
        <f>IF(OR(D75="",E75=""),"",D75-E75)</f>
        <v/>
      </c>
      <c r="G75" s="21">
        <f>'SW Metrics'!L277</f>
        <v/>
      </c>
      <c r="H75" s="20">
        <f>'SW Metrics'!L481</f>
        <v/>
      </c>
      <c r="I75" s="20">
        <f>'SW Metrics'!L379</f>
        <v/>
      </c>
      <c r="J75" s="21">
        <f>'SW Metrics'!M175</f>
        <v/>
      </c>
      <c r="K75" s="21">
        <f>'SW Metrics'!L583</f>
        <v/>
      </c>
      <c r="L75" s="23">
        <f>'SW Metrics'!L685</f>
        <v/>
      </c>
      <c r="M75" s="21">
        <f>'SW Metrics'!L787</f>
        <v/>
      </c>
      <c r="N75" s="21">
        <f>'SW Metrics'!L889</f>
        <v/>
      </c>
      <c r="O75" s="24">
        <f>IFERROR(IF(AND(N(D75)&gt;0,N(M75)&gt;0),M75/D75,""),"")</f>
        <v/>
      </c>
      <c r="P75" s="21">
        <f>'SW Metrics'!L991</f>
        <v/>
      </c>
      <c r="Q75" s="23">
        <f>'SW Metrics'!L1093</f>
        <v/>
      </c>
      <c r="R75" s="25">
        <f>'SW Revisions'!G73</f>
        <v/>
      </c>
      <c r="S75" s="25">
        <f>'SW Revisions'!H73</f>
        <v/>
      </c>
      <c r="T75" s="25">
        <f>'SW Revisions'!I73</f>
        <v/>
      </c>
      <c r="U75" s="25">
        <f>'SW Revisions'!O73</f>
        <v/>
      </c>
      <c r="V75" s="25">
        <f>'SW Revisions'!P73</f>
        <v/>
      </c>
      <c r="W75" s="25">
        <f>'SW Revisions'!Q73</f>
        <v/>
      </c>
      <c r="X75" s="26">
        <f>IFERROR(RANK(D75,D$8:D$106),"")</f>
        <v/>
      </c>
      <c r="Y75" s="26">
        <f>IFERROR(RANK(S75,S$8:S$106),"")</f>
        <v/>
      </c>
    </row>
    <row r="76">
      <c r="A76" s="19">
        <f>'SW Rev'!$A73</f>
        <v/>
      </c>
      <c r="B76" s="19">
        <f>'SW Rev'!$B73</f>
        <v/>
      </c>
      <c r="C76" s="20">
        <f>IF(ISNUMBER('SW Rev'!P73),'SW Rev'!P73,"")</f>
        <v/>
      </c>
      <c r="D76" s="21">
        <f>'SW Metrics'!L176</f>
        <v/>
      </c>
      <c r="E76" s="21">
        <f>'SW Metrics'!K176</f>
        <v/>
      </c>
      <c r="F76" s="22">
        <f>IF(OR(D76="",E76=""),"",D76-E76)</f>
        <v/>
      </c>
      <c r="G76" s="21">
        <f>'SW Metrics'!L278</f>
        <v/>
      </c>
      <c r="H76" s="20">
        <f>'SW Metrics'!L482</f>
        <v/>
      </c>
      <c r="I76" s="20">
        <f>'SW Metrics'!L380</f>
        <v/>
      </c>
      <c r="J76" s="21">
        <f>'SW Metrics'!M176</f>
        <v/>
      </c>
      <c r="K76" s="21">
        <f>'SW Metrics'!L584</f>
        <v/>
      </c>
      <c r="L76" s="23">
        <f>'SW Metrics'!L686</f>
        <v/>
      </c>
      <c r="M76" s="21">
        <f>'SW Metrics'!L788</f>
        <v/>
      </c>
      <c r="N76" s="21">
        <f>'SW Metrics'!L890</f>
        <v/>
      </c>
      <c r="O76" s="24">
        <f>IFERROR(IF(AND(N(D76)&gt;0,N(M76)&gt;0),M76/D76,""),"")</f>
        <v/>
      </c>
      <c r="P76" s="21">
        <f>'SW Metrics'!L992</f>
        <v/>
      </c>
      <c r="Q76" s="23">
        <f>'SW Metrics'!L1094</f>
        <v/>
      </c>
      <c r="R76" s="25">
        <f>'SW Revisions'!G74</f>
        <v/>
      </c>
      <c r="S76" s="25">
        <f>'SW Revisions'!H74</f>
        <v/>
      </c>
      <c r="T76" s="25">
        <f>'SW Revisions'!I74</f>
        <v/>
      </c>
      <c r="U76" s="25">
        <f>'SW Revisions'!O74</f>
        <v/>
      </c>
      <c r="V76" s="25">
        <f>'SW Revisions'!P74</f>
        <v/>
      </c>
      <c r="W76" s="25">
        <f>'SW Revisions'!Q74</f>
        <v/>
      </c>
      <c r="X76" s="26">
        <f>IFERROR(RANK(D76,D$8:D$106),"")</f>
        <v/>
      </c>
      <c r="Y76" s="26">
        <f>IFERROR(RANK(S76,S$8:S$106),"")</f>
        <v/>
      </c>
    </row>
    <row r="77">
      <c r="A77" s="19">
        <f>'SW Rev'!$A74</f>
        <v/>
      </c>
      <c r="B77" s="19">
        <f>'SW Rev'!$B74</f>
        <v/>
      </c>
      <c r="C77" s="20">
        <f>IF(ISNUMBER('SW Rev'!P74),'SW Rev'!P74,"")</f>
        <v/>
      </c>
      <c r="D77" s="21">
        <f>'SW Metrics'!L177</f>
        <v/>
      </c>
      <c r="E77" s="21">
        <f>'SW Metrics'!K177</f>
        <v/>
      </c>
      <c r="F77" s="22">
        <f>IF(OR(D77="",E77=""),"",D77-E77)</f>
        <v/>
      </c>
      <c r="G77" s="21">
        <f>'SW Metrics'!L279</f>
        <v/>
      </c>
      <c r="H77" s="20">
        <f>'SW Metrics'!L483</f>
        <v/>
      </c>
      <c r="I77" s="20">
        <f>'SW Metrics'!L381</f>
        <v/>
      </c>
      <c r="J77" s="21">
        <f>'SW Metrics'!M177</f>
        <v/>
      </c>
      <c r="K77" s="21">
        <f>'SW Metrics'!L585</f>
        <v/>
      </c>
      <c r="L77" s="23">
        <f>'SW Metrics'!L687</f>
        <v/>
      </c>
      <c r="M77" s="21">
        <f>'SW Metrics'!L789</f>
        <v/>
      </c>
      <c r="N77" s="21">
        <f>'SW Metrics'!L891</f>
        <v/>
      </c>
      <c r="O77" s="24">
        <f>IFERROR(IF(AND(N(D77)&gt;0,N(M77)&gt;0),M77/D77,""),"")</f>
        <v/>
      </c>
      <c r="P77" s="21">
        <f>'SW Metrics'!L993</f>
        <v/>
      </c>
      <c r="Q77" s="23">
        <f>'SW Metrics'!L1095</f>
        <v/>
      </c>
      <c r="R77" s="25">
        <f>'SW Revisions'!G75</f>
        <v/>
      </c>
      <c r="S77" s="25">
        <f>'SW Revisions'!H75</f>
        <v/>
      </c>
      <c r="T77" s="25">
        <f>'SW Revisions'!I75</f>
        <v/>
      </c>
      <c r="U77" s="25">
        <f>'SW Revisions'!O75</f>
        <v/>
      </c>
      <c r="V77" s="25">
        <f>'SW Revisions'!P75</f>
        <v/>
      </c>
      <c r="W77" s="25">
        <f>'SW Revisions'!Q75</f>
        <v/>
      </c>
      <c r="X77" s="26">
        <f>IFERROR(RANK(D77,D$8:D$106),"")</f>
        <v/>
      </c>
      <c r="Y77" s="26">
        <f>IFERROR(RANK(S77,S$8:S$106),"")</f>
        <v/>
      </c>
    </row>
    <row r="78">
      <c r="A78" s="19">
        <f>'SW Rev'!$A75</f>
        <v/>
      </c>
      <c r="B78" s="19">
        <f>'SW Rev'!$B75</f>
        <v/>
      </c>
      <c r="C78" s="20">
        <f>IF(ISNUMBER('SW Rev'!P75),'SW Rev'!P75,"")</f>
        <v/>
      </c>
      <c r="D78" s="21">
        <f>'SW Metrics'!L178</f>
        <v/>
      </c>
      <c r="E78" s="21">
        <f>'SW Metrics'!K178</f>
        <v/>
      </c>
      <c r="F78" s="22">
        <f>IF(OR(D78="",E78=""),"",D78-E78)</f>
        <v/>
      </c>
      <c r="G78" s="21">
        <f>'SW Metrics'!L280</f>
        <v/>
      </c>
      <c r="H78" s="20">
        <f>'SW Metrics'!L484</f>
        <v/>
      </c>
      <c r="I78" s="20">
        <f>'SW Metrics'!L382</f>
        <v/>
      </c>
      <c r="J78" s="21">
        <f>'SW Metrics'!M178</f>
        <v/>
      </c>
      <c r="K78" s="21">
        <f>'SW Metrics'!L586</f>
        <v/>
      </c>
      <c r="L78" s="23">
        <f>'SW Metrics'!L688</f>
        <v/>
      </c>
      <c r="M78" s="21">
        <f>'SW Metrics'!L790</f>
        <v/>
      </c>
      <c r="N78" s="21">
        <f>'SW Metrics'!L892</f>
        <v/>
      </c>
      <c r="O78" s="24">
        <f>IFERROR(IF(AND(N(D78)&gt;0,N(M78)&gt;0),M78/D78,""),"")</f>
        <v/>
      </c>
      <c r="P78" s="21">
        <f>'SW Metrics'!L994</f>
        <v/>
      </c>
      <c r="Q78" s="23">
        <f>'SW Metrics'!L1096</f>
        <v/>
      </c>
      <c r="R78" s="25">
        <f>'SW Revisions'!G76</f>
        <v/>
      </c>
      <c r="S78" s="25">
        <f>'SW Revisions'!H76</f>
        <v/>
      </c>
      <c r="T78" s="25">
        <f>'SW Revisions'!I76</f>
        <v/>
      </c>
      <c r="U78" s="25">
        <f>'SW Revisions'!O76</f>
        <v/>
      </c>
      <c r="V78" s="25">
        <f>'SW Revisions'!P76</f>
        <v/>
      </c>
      <c r="W78" s="25">
        <f>'SW Revisions'!Q76</f>
        <v/>
      </c>
      <c r="X78" s="26">
        <f>IFERROR(RANK(D78,D$8:D$106),"")</f>
        <v/>
      </c>
      <c r="Y78" s="26">
        <f>IFERROR(RANK(S78,S$8:S$106),"")</f>
        <v/>
      </c>
    </row>
    <row r="79">
      <c r="A79" s="19">
        <f>'SW Rev'!$A76</f>
        <v/>
      </c>
      <c r="B79" s="19">
        <f>'SW Rev'!$B76</f>
        <v/>
      </c>
      <c r="C79" s="20">
        <f>IF(ISNUMBER('SW Rev'!P76),'SW Rev'!P76,"")</f>
        <v/>
      </c>
      <c r="D79" s="21">
        <f>'SW Metrics'!L179</f>
        <v/>
      </c>
      <c r="E79" s="21">
        <f>'SW Metrics'!K179</f>
        <v/>
      </c>
      <c r="F79" s="22">
        <f>IF(OR(D79="",E79=""),"",D79-E79)</f>
        <v/>
      </c>
      <c r="G79" s="21">
        <f>'SW Metrics'!L281</f>
        <v/>
      </c>
      <c r="H79" s="20">
        <f>'SW Metrics'!L485</f>
        <v/>
      </c>
      <c r="I79" s="20">
        <f>'SW Metrics'!L383</f>
        <v/>
      </c>
      <c r="J79" s="21">
        <f>'SW Metrics'!M179</f>
        <v/>
      </c>
      <c r="K79" s="21">
        <f>'SW Metrics'!L587</f>
        <v/>
      </c>
      <c r="L79" s="23">
        <f>'SW Metrics'!L689</f>
        <v/>
      </c>
      <c r="M79" s="21">
        <f>'SW Metrics'!L791</f>
        <v/>
      </c>
      <c r="N79" s="21">
        <f>'SW Metrics'!L893</f>
        <v/>
      </c>
      <c r="O79" s="24">
        <f>IFERROR(IF(AND(N(D79)&gt;0,N(M79)&gt;0),M79/D79,""),"")</f>
        <v/>
      </c>
      <c r="P79" s="21">
        <f>'SW Metrics'!L995</f>
        <v/>
      </c>
      <c r="Q79" s="23">
        <f>'SW Metrics'!L1097</f>
        <v/>
      </c>
      <c r="R79" s="25">
        <f>'SW Revisions'!G77</f>
        <v/>
      </c>
      <c r="S79" s="25">
        <f>'SW Revisions'!H77</f>
        <v/>
      </c>
      <c r="T79" s="25">
        <f>'SW Revisions'!I77</f>
        <v/>
      </c>
      <c r="U79" s="25">
        <f>'SW Revisions'!O77</f>
        <v/>
      </c>
      <c r="V79" s="25">
        <f>'SW Revisions'!P77</f>
        <v/>
      </c>
      <c r="W79" s="25">
        <f>'SW Revisions'!Q77</f>
        <v/>
      </c>
      <c r="X79" s="26">
        <f>IFERROR(RANK(D79,D$8:D$106),"")</f>
        <v/>
      </c>
      <c r="Y79" s="26">
        <f>IFERROR(RANK(S79,S$8:S$106),"")</f>
        <v/>
      </c>
    </row>
    <row r="80">
      <c r="A80" s="19">
        <f>'SW Rev'!$A77</f>
        <v/>
      </c>
      <c r="B80" s="19">
        <f>'SW Rev'!$B77</f>
        <v/>
      </c>
      <c r="C80" s="20">
        <f>IF(ISNUMBER('SW Rev'!P77),'SW Rev'!P77,"")</f>
        <v/>
      </c>
      <c r="D80" s="21">
        <f>'SW Metrics'!L180</f>
        <v/>
      </c>
      <c r="E80" s="21">
        <f>'SW Metrics'!K180</f>
        <v/>
      </c>
      <c r="F80" s="22">
        <f>IF(OR(D80="",E80=""),"",D80-E80)</f>
        <v/>
      </c>
      <c r="G80" s="21">
        <f>'SW Metrics'!L282</f>
        <v/>
      </c>
      <c r="H80" s="20">
        <f>'SW Metrics'!L486</f>
        <v/>
      </c>
      <c r="I80" s="20">
        <f>'SW Metrics'!L384</f>
        <v/>
      </c>
      <c r="J80" s="21">
        <f>'SW Metrics'!M180</f>
        <v/>
      </c>
      <c r="K80" s="21">
        <f>'SW Metrics'!L588</f>
        <v/>
      </c>
      <c r="L80" s="23">
        <f>'SW Metrics'!L690</f>
        <v/>
      </c>
      <c r="M80" s="21">
        <f>'SW Metrics'!L792</f>
        <v/>
      </c>
      <c r="N80" s="21">
        <f>'SW Metrics'!L894</f>
        <v/>
      </c>
      <c r="O80" s="24">
        <f>IFERROR(IF(AND(N(D80)&gt;0,N(M80)&gt;0),M80/D80,""),"")</f>
        <v/>
      </c>
      <c r="P80" s="21">
        <f>'SW Metrics'!L996</f>
        <v/>
      </c>
      <c r="Q80" s="23">
        <f>'SW Metrics'!L1098</f>
        <v/>
      </c>
      <c r="R80" s="25">
        <f>'SW Revisions'!G78</f>
        <v/>
      </c>
      <c r="S80" s="25">
        <f>'SW Revisions'!H78</f>
        <v/>
      </c>
      <c r="T80" s="25">
        <f>'SW Revisions'!I78</f>
        <v/>
      </c>
      <c r="U80" s="25">
        <f>'SW Revisions'!O78</f>
        <v/>
      </c>
      <c r="V80" s="25">
        <f>'SW Revisions'!P78</f>
        <v/>
      </c>
      <c r="W80" s="25">
        <f>'SW Revisions'!Q78</f>
        <v/>
      </c>
      <c r="X80" s="26">
        <f>IFERROR(RANK(D80,D$8:D$106),"")</f>
        <v/>
      </c>
      <c r="Y80" s="26">
        <f>IFERROR(RANK(S80,S$8:S$106),"")</f>
        <v/>
      </c>
    </row>
    <row r="81">
      <c r="A81" s="19">
        <f>'SW Rev'!$A78</f>
        <v/>
      </c>
      <c r="B81" s="19">
        <f>'SW Rev'!$B78</f>
        <v/>
      </c>
      <c r="C81" s="20">
        <f>IF(ISNUMBER('SW Rev'!P78),'SW Rev'!P78,"")</f>
        <v/>
      </c>
      <c r="D81" s="21">
        <f>'SW Metrics'!L181</f>
        <v/>
      </c>
      <c r="E81" s="21">
        <f>'SW Metrics'!K181</f>
        <v/>
      </c>
      <c r="F81" s="22">
        <f>IF(OR(D81="",E81=""),"",D81-E81)</f>
        <v/>
      </c>
      <c r="G81" s="21">
        <f>'SW Metrics'!L283</f>
        <v/>
      </c>
      <c r="H81" s="20">
        <f>'SW Metrics'!L487</f>
        <v/>
      </c>
      <c r="I81" s="20">
        <f>'SW Metrics'!L385</f>
        <v/>
      </c>
      <c r="J81" s="21">
        <f>'SW Metrics'!M181</f>
        <v/>
      </c>
      <c r="K81" s="21">
        <f>'SW Metrics'!L589</f>
        <v/>
      </c>
      <c r="L81" s="23">
        <f>'SW Metrics'!L691</f>
        <v/>
      </c>
      <c r="M81" s="21">
        <f>'SW Metrics'!L793</f>
        <v/>
      </c>
      <c r="N81" s="21">
        <f>'SW Metrics'!L895</f>
        <v/>
      </c>
      <c r="O81" s="24">
        <f>IFERROR(IF(AND(N(D81)&gt;0,N(M81)&gt;0),M81/D81,""),"")</f>
        <v/>
      </c>
      <c r="P81" s="21">
        <f>'SW Metrics'!L997</f>
        <v/>
      </c>
      <c r="Q81" s="23">
        <f>'SW Metrics'!L1099</f>
        <v/>
      </c>
      <c r="R81" s="25">
        <f>'SW Revisions'!G79</f>
        <v/>
      </c>
      <c r="S81" s="25">
        <f>'SW Revisions'!H79</f>
        <v/>
      </c>
      <c r="T81" s="25">
        <f>'SW Revisions'!I79</f>
        <v/>
      </c>
      <c r="U81" s="25">
        <f>'SW Revisions'!O79</f>
        <v/>
      </c>
      <c r="V81" s="25">
        <f>'SW Revisions'!P79</f>
        <v/>
      </c>
      <c r="W81" s="25">
        <f>'SW Revisions'!Q79</f>
        <v/>
      </c>
      <c r="X81" s="26">
        <f>IFERROR(RANK(D81,D$8:D$106),"")</f>
        <v/>
      </c>
      <c r="Y81" s="26">
        <f>IFERROR(RANK(S81,S$8:S$106),"")</f>
        <v/>
      </c>
    </row>
    <row r="82">
      <c r="A82" s="19">
        <f>'SW Rev'!$A79</f>
        <v/>
      </c>
      <c r="B82" s="19">
        <f>'SW Rev'!$B79</f>
        <v/>
      </c>
      <c r="C82" s="20">
        <f>IF(ISNUMBER('SW Rev'!P79),'SW Rev'!P79,"")</f>
        <v/>
      </c>
      <c r="D82" s="21">
        <f>'SW Metrics'!L182</f>
        <v/>
      </c>
      <c r="E82" s="21">
        <f>'SW Metrics'!K182</f>
        <v/>
      </c>
      <c r="F82" s="22">
        <f>IF(OR(D82="",E82=""),"",D82-E82)</f>
        <v/>
      </c>
      <c r="G82" s="21">
        <f>'SW Metrics'!L284</f>
        <v/>
      </c>
      <c r="H82" s="20">
        <f>'SW Metrics'!L488</f>
        <v/>
      </c>
      <c r="I82" s="20">
        <f>'SW Metrics'!L386</f>
        <v/>
      </c>
      <c r="J82" s="21">
        <f>'SW Metrics'!M182</f>
        <v/>
      </c>
      <c r="K82" s="21">
        <f>'SW Metrics'!L590</f>
        <v/>
      </c>
      <c r="L82" s="23">
        <f>'SW Metrics'!L692</f>
        <v/>
      </c>
      <c r="M82" s="21">
        <f>'SW Metrics'!L794</f>
        <v/>
      </c>
      <c r="N82" s="21">
        <f>'SW Metrics'!L896</f>
        <v/>
      </c>
      <c r="O82" s="24">
        <f>IFERROR(IF(AND(N(D82)&gt;0,N(M82)&gt;0),M82/D82,""),"")</f>
        <v/>
      </c>
      <c r="P82" s="21">
        <f>'SW Metrics'!L998</f>
        <v/>
      </c>
      <c r="Q82" s="23">
        <f>'SW Metrics'!L1100</f>
        <v/>
      </c>
      <c r="R82" s="25">
        <f>'SW Revisions'!G80</f>
        <v/>
      </c>
      <c r="S82" s="25">
        <f>'SW Revisions'!H80</f>
        <v/>
      </c>
      <c r="T82" s="25">
        <f>'SW Revisions'!I80</f>
        <v/>
      </c>
      <c r="U82" s="25">
        <f>'SW Revisions'!O80</f>
        <v/>
      </c>
      <c r="V82" s="25">
        <f>'SW Revisions'!P80</f>
        <v/>
      </c>
      <c r="W82" s="25">
        <f>'SW Revisions'!Q80</f>
        <v/>
      </c>
      <c r="X82" s="26">
        <f>IFERROR(RANK(D82,D$8:D$106),"")</f>
        <v/>
      </c>
      <c r="Y82" s="26">
        <f>IFERROR(RANK(S82,S$8:S$106),"")</f>
        <v/>
      </c>
    </row>
    <row r="83">
      <c r="A83" s="19">
        <f>'SW Rev'!$A80</f>
        <v/>
      </c>
      <c r="B83" s="19">
        <f>'SW Rev'!$B80</f>
        <v/>
      </c>
      <c r="C83" s="20">
        <f>IF(ISNUMBER('SW Rev'!P80),'SW Rev'!P80,"")</f>
        <v/>
      </c>
      <c r="D83" s="21">
        <f>'SW Metrics'!L183</f>
        <v/>
      </c>
      <c r="E83" s="21">
        <f>'SW Metrics'!K183</f>
        <v/>
      </c>
      <c r="F83" s="22">
        <f>IF(OR(D83="",E83=""),"",D83-E83)</f>
        <v/>
      </c>
      <c r="G83" s="21">
        <f>'SW Metrics'!L285</f>
        <v/>
      </c>
      <c r="H83" s="20">
        <f>'SW Metrics'!L489</f>
        <v/>
      </c>
      <c r="I83" s="20">
        <f>'SW Metrics'!L387</f>
        <v/>
      </c>
      <c r="J83" s="21">
        <f>'SW Metrics'!M183</f>
        <v/>
      </c>
      <c r="K83" s="21">
        <f>'SW Metrics'!L591</f>
        <v/>
      </c>
      <c r="L83" s="23">
        <f>'SW Metrics'!L693</f>
        <v/>
      </c>
      <c r="M83" s="21">
        <f>'SW Metrics'!L795</f>
        <v/>
      </c>
      <c r="N83" s="21">
        <f>'SW Metrics'!L897</f>
        <v/>
      </c>
      <c r="O83" s="24">
        <f>IFERROR(IF(AND(N(D83)&gt;0,N(M83)&gt;0),M83/D83,""),"")</f>
        <v/>
      </c>
      <c r="P83" s="21">
        <f>'SW Metrics'!L999</f>
        <v/>
      </c>
      <c r="Q83" s="23">
        <f>'SW Metrics'!L1101</f>
        <v/>
      </c>
      <c r="R83" s="25">
        <f>'SW Revisions'!G81</f>
        <v/>
      </c>
      <c r="S83" s="25">
        <f>'SW Revisions'!H81</f>
        <v/>
      </c>
      <c r="T83" s="25">
        <f>'SW Revisions'!I81</f>
        <v/>
      </c>
      <c r="U83" s="25">
        <f>'SW Revisions'!O81</f>
        <v/>
      </c>
      <c r="V83" s="25">
        <f>'SW Revisions'!P81</f>
        <v/>
      </c>
      <c r="W83" s="25">
        <f>'SW Revisions'!Q81</f>
        <v/>
      </c>
      <c r="X83" s="26">
        <f>IFERROR(RANK(D83,D$8:D$106),"")</f>
        <v/>
      </c>
      <c r="Y83" s="26">
        <f>IFERROR(RANK(S83,S$8:S$106),"")</f>
        <v/>
      </c>
    </row>
    <row r="84">
      <c r="A84" s="19">
        <f>'SW Rev'!$A81</f>
        <v/>
      </c>
      <c r="B84" s="19">
        <f>'SW Rev'!$B81</f>
        <v/>
      </c>
      <c r="C84" s="20">
        <f>IF(ISNUMBER('SW Rev'!P81),'SW Rev'!P81,"")</f>
        <v/>
      </c>
      <c r="D84" s="21">
        <f>'SW Metrics'!L184</f>
        <v/>
      </c>
      <c r="E84" s="21">
        <f>'SW Metrics'!K184</f>
        <v/>
      </c>
      <c r="F84" s="22">
        <f>IF(OR(D84="",E84=""),"",D84-E84)</f>
        <v/>
      </c>
      <c r="G84" s="21">
        <f>'SW Metrics'!L286</f>
        <v/>
      </c>
      <c r="H84" s="20">
        <f>'SW Metrics'!L490</f>
        <v/>
      </c>
      <c r="I84" s="20">
        <f>'SW Metrics'!L388</f>
        <v/>
      </c>
      <c r="J84" s="21">
        <f>'SW Metrics'!M184</f>
        <v/>
      </c>
      <c r="K84" s="21">
        <f>'SW Metrics'!L592</f>
        <v/>
      </c>
      <c r="L84" s="23">
        <f>'SW Metrics'!L694</f>
        <v/>
      </c>
      <c r="M84" s="21">
        <f>'SW Metrics'!L796</f>
        <v/>
      </c>
      <c r="N84" s="21">
        <f>'SW Metrics'!L898</f>
        <v/>
      </c>
      <c r="O84" s="24">
        <f>IFERROR(IF(AND(N(D84)&gt;0,N(M84)&gt;0),M84/D84,""),"")</f>
        <v/>
      </c>
      <c r="P84" s="21">
        <f>'SW Metrics'!L1000</f>
        <v/>
      </c>
      <c r="Q84" s="23">
        <f>'SW Metrics'!L1102</f>
        <v/>
      </c>
      <c r="R84" s="25">
        <f>'SW Revisions'!G82</f>
        <v/>
      </c>
      <c r="S84" s="25">
        <f>'SW Revisions'!H82</f>
        <v/>
      </c>
      <c r="T84" s="25">
        <f>'SW Revisions'!I82</f>
        <v/>
      </c>
      <c r="U84" s="25">
        <f>'SW Revisions'!O82</f>
        <v/>
      </c>
      <c r="V84" s="25">
        <f>'SW Revisions'!P82</f>
        <v/>
      </c>
      <c r="W84" s="25">
        <f>'SW Revisions'!Q82</f>
        <v/>
      </c>
      <c r="X84" s="26">
        <f>IFERROR(RANK(D84,D$8:D$106),"")</f>
        <v/>
      </c>
      <c r="Y84" s="26">
        <f>IFERROR(RANK(S84,S$8:S$106),"")</f>
        <v/>
      </c>
    </row>
    <row r="85">
      <c r="A85" s="19">
        <f>'SW Rev'!$A82</f>
        <v/>
      </c>
      <c r="B85" s="19">
        <f>'SW Rev'!$B82</f>
        <v/>
      </c>
      <c r="C85" s="20">
        <f>IF(ISNUMBER('SW Rev'!P82),'SW Rev'!P82,"")</f>
        <v/>
      </c>
      <c r="D85" s="21">
        <f>'SW Metrics'!L185</f>
        <v/>
      </c>
      <c r="E85" s="21">
        <f>'SW Metrics'!K185</f>
        <v/>
      </c>
      <c r="F85" s="22">
        <f>IF(OR(D85="",E85=""),"",D85-E85)</f>
        <v/>
      </c>
      <c r="G85" s="21">
        <f>'SW Metrics'!L287</f>
        <v/>
      </c>
      <c r="H85" s="20">
        <f>'SW Metrics'!L491</f>
        <v/>
      </c>
      <c r="I85" s="20">
        <f>'SW Metrics'!L389</f>
        <v/>
      </c>
      <c r="J85" s="21">
        <f>'SW Metrics'!M185</f>
        <v/>
      </c>
      <c r="K85" s="21">
        <f>'SW Metrics'!L593</f>
        <v/>
      </c>
      <c r="L85" s="23">
        <f>'SW Metrics'!L695</f>
        <v/>
      </c>
      <c r="M85" s="21">
        <f>'SW Metrics'!L797</f>
        <v/>
      </c>
      <c r="N85" s="21">
        <f>'SW Metrics'!L899</f>
        <v/>
      </c>
      <c r="O85" s="24">
        <f>IFERROR(IF(AND(N(D85)&gt;0,N(M85)&gt;0),M85/D85,""),"")</f>
        <v/>
      </c>
      <c r="P85" s="21">
        <f>'SW Metrics'!L1001</f>
        <v/>
      </c>
      <c r="Q85" s="23">
        <f>'SW Metrics'!L1103</f>
        <v/>
      </c>
      <c r="R85" s="25">
        <f>'SW Revisions'!G83</f>
        <v/>
      </c>
      <c r="S85" s="25">
        <f>'SW Revisions'!H83</f>
        <v/>
      </c>
      <c r="T85" s="25">
        <f>'SW Revisions'!I83</f>
        <v/>
      </c>
      <c r="U85" s="25">
        <f>'SW Revisions'!O83</f>
        <v/>
      </c>
      <c r="V85" s="25">
        <f>'SW Revisions'!P83</f>
        <v/>
      </c>
      <c r="W85" s="25">
        <f>'SW Revisions'!Q83</f>
        <v/>
      </c>
      <c r="X85" s="26">
        <f>IFERROR(RANK(D85,D$8:D$106),"")</f>
        <v/>
      </c>
      <c r="Y85" s="26">
        <f>IFERROR(RANK(S85,S$8:S$106),"")</f>
        <v/>
      </c>
    </row>
    <row r="86">
      <c r="A86" s="19">
        <f>'SW Rev'!$A83</f>
        <v/>
      </c>
      <c r="B86" s="19">
        <f>'SW Rev'!$B83</f>
        <v/>
      </c>
      <c r="C86" s="20">
        <f>IF(ISNUMBER('SW Rev'!P83),'SW Rev'!P83,"")</f>
        <v/>
      </c>
      <c r="D86" s="21">
        <f>'SW Metrics'!L186</f>
        <v/>
      </c>
      <c r="E86" s="21">
        <f>'SW Metrics'!K186</f>
        <v/>
      </c>
      <c r="F86" s="22">
        <f>IF(OR(D86="",E86=""),"",D86-E86)</f>
        <v/>
      </c>
      <c r="G86" s="21">
        <f>'SW Metrics'!L288</f>
        <v/>
      </c>
      <c r="H86" s="20">
        <f>'SW Metrics'!L492</f>
        <v/>
      </c>
      <c r="I86" s="20">
        <f>'SW Metrics'!L390</f>
        <v/>
      </c>
      <c r="J86" s="21">
        <f>'SW Metrics'!M186</f>
        <v/>
      </c>
      <c r="K86" s="21">
        <f>'SW Metrics'!L594</f>
        <v/>
      </c>
      <c r="L86" s="23">
        <f>'SW Metrics'!L696</f>
        <v/>
      </c>
      <c r="M86" s="21">
        <f>'SW Metrics'!L798</f>
        <v/>
      </c>
      <c r="N86" s="21">
        <f>'SW Metrics'!L900</f>
        <v/>
      </c>
      <c r="O86" s="24">
        <f>IFERROR(IF(AND(N(D86)&gt;0,N(M86)&gt;0),M86/D86,""),"")</f>
        <v/>
      </c>
      <c r="P86" s="21">
        <f>'SW Metrics'!L1002</f>
        <v/>
      </c>
      <c r="Q86" s="23">
        <f>'SW Metrics'!L1104</f>
        <v/>
      </c>
      <c r="R86" s="25">
        <f>'SW Revisions'!G84</f>
        <v/>
      </c>
      <c r="S86" s="25">
        <f>'SW Revisions'!H84</f>
        <v/>
      </c>
      <c r="T86" s="25">
        <f>'SW Revisions'!I84</f>
        <v/>
      </c>
      <c r="U86" s="25">
        <f>'SW Revisions'!O84</f>
        <v/>
      </c>
      <c r="V86" s="25">
        <f>'SW Revisions'!P84</f>
        <v/>
      </c>
      <c r="W86" s="25">
        <f>'SW Revisions'!Q84</f>
        <v/>
      </c>
      <c r="X86" s="26">
        <f>IFERROR(RANK(D86,D$8:D$106),"")</f>
        <v/>
      </c>
      <c r="Y86" s="26">
        <f>IFERROR(RANK(S86,S$8:S$106),"")</f>
        <v/>
      </c>
    </row>
    <row r="87">
      <c r="A87" s="19">
        <f>'SW Rev'!$A84</f>
        <v/>
      </c>
      <c r="B87" s="19">
        <f>'SW Rev'!$B84</f>
        <v/>
      </c>
      <c r="C87" s="20">
        <f>IF(ISNUMBER('SW Rev'!P84),'SW Rev'!P84,"")</f>
        <v/>
      </c>
      <c r="D87" s="21">
        <f>'SW Metrics'!L187</f>
        <v/>
      </c>
      <c r="E87" s="21">
        <f>'SW Metrics'!K187</f>
        <v/>
      </c>
      <c r="F87" s="22">
        <f>IF(OR(D87="",E87=""),"",D87-E87)</f>
        <v/>
      </c>
      <c r="G87" s="21">
        <f>'SW Metrics'!L289</f>
        <v/>
      </c>
      <c r="H87" s="20">
        <f>'SW Metrics'!L493</f>
        <v/>
      </c>
      <c r="I87" s="20">
        <f>'SW Metrics'!L391</f>
        <v/>
      </c>
      <c r="J87" s="21">
        <f>'SW Metrics'!M187</f>
        <v/>
      </c>
      <c r="K87" s="21">
        <f>'SW Metrics'!L595</f>
        <v/>
      </c>
      <c r="L87" s="23">
        <f>'SW Metrics'!L697</f>
        <v/>
      </c>
      <c r="M87" s="21">
        <f>'SW Metrics'!L799</f>
        <v/>
      </c>
      <c r="N87" s="21">
        <f>'SW Metrics'!L901</f>
        <v/>
      </c>
      <c r="O87" s="24">
        <f>IFERROR(IF(AND(N(D87)&gt;0,N(M87)&gt;0),M87/D87,""),"")</f>
        <v/>
      </c>
      <c r="P87" s="21">
        <f>'SW Metrics'!L1003</f>
        <v/>
      </c>
      <c r="Q87" s="23">
        <f>'SW Metrics'!L1105</f>
        <v/>
      </c>
      <c r="R87" s="25">
        <f>'SW Revisions'!G85</f>
        <v/>
      </c>
      <c r="S87" s="25">
        <f>'SW Revisions'!H85</f>
        <v/>
      </c>
      <c r="T87" s="25">
        <f>'SW Revisions'!I85</f>
        <v/>
      </c>
      <c r="U87" s="25">
        <f>'SW Revisions'!O85</f>
        <v/>
      </c>
      <c r="V87" s="25">
        <f>'SW Revisions'!P85</f>
        <v/>
      </c>
      <c r="W87" s="25">
        <f>'SW Revisions'!Q85</f>
        <v/>
      </c>
      <c r="X87" s="26">
        <f>IFERROR(RANK(D87,D$8:D$106),"")</f>
        <v/>
      </c>
      <c r="Y87" s="26">
        <f>IFERROR(RANK(S87,S$8:S$106),"")</f>
        <v/>
      </c>
    </row>
    <row r="88">
      <c r="A88" s="19">
        <f>'SW Rev'!$A85</f>
        <v/>
      </c>
      <c r="B88" s="19">
        <f>'SW Rev'!$B85</f>
        <v/>
      </c>
      <c r="C88" s="20">
        <f>IF(ISNUMBER('SW Rev'!P85),'SW Rev'!P85,"")</f>
        <v/>
      </c>
      <c r="D88" s="21">
        <f>'SW Metrics'!L188</f>
        <v/>
      </c>
      <c r="E88" s="21">
        <f>'SW Metrics'!K188</f>
        <v/>
      </c>
      <c r="F88" s="22">
        <f>IF(OR(D88="",E88=""),"",D88-E88)</f>
        <v/>
      </c>
      <c r="G88" s="21">
        <f>'SW Metrics'!L290</f>
        <v/>
      </c>
      <c r="H88" s="20">
        <f>'SW Metrics'!L494</f>
        <v/>
      </c>
      <c r="I88" s="20">
        <f>'SW Metrics'!L392</f>
        <v/>
      </c>
      <c r="J88" s="21">
        <f>'SW Metrics'!M188</f>
        <v/>
      </c>
      <c r="K88" s="21">
        <f>'SW Metrics'!L596</f>
        <v/>
      </c>
      <c r="L88" s="23">
        <f>'SW Metrics'!L698</f>
        <v/>
      </c>
      <c r="M88" s="21">
        <f>'SW Metrics'!L800</f>
        <v/>
      </c>
      <c r="N88" s="21">
        <f>'SW Metrics'!L902</f>
        <v/>
      </c>
      <c r="O88" s="24">
        <f>IFERROR(IF(AND(N(D88)&gt;0,N(M88)&gt;0),M88/D88,""),"")</f>
        <v/>
      </c>
      <c r="P88" s="21">
        <f>'SW Metrics'!L1004</f>
        <v/>
      </c>
      <c r="Q88" s="23">
        <f>'SW Metrics'!L1106</f>
        <v/>
      </c>
      <c r="R88" s="25">
        <f>'SW Revisions'!G86</f>
        <v/>
      </c>
      <c r="S88" s="25">
        <f>'SW Revisions'!H86</f>
        <v/>
      </c>
      <c r="T88" s="25">
        <f>'SW Revisions'!I86</f>
        <v/>
      </c>
      <c r="U88" s="25">
        <f>'SW Revisions'!O86</f>
        <v/>
      </c>
      <c r="V88" s="25">
        <f>'SW Revisions'!P86</f>
        <v/>
      </c>
      <c r="W88" s="25">
        <f>'SW Revisions'!Q86</f>
        <v/>
      </c>
      <c r="X88" s="26">
        <f>IFERROR(RANK(D88,D$8:D$106),"")</f>
        <v/>
      </c>
      <c r="Y88" s="26">
        <f>IFERROR(RANK(S88,S$8:S$106),"")</f>
        <v/>
      </c>
    </row>
    <row r="89">
      <c r="A89" s="19">
        <f>'SW Rev'!$A86</f>
        <v/>
      </c>
      <c r="B89" s="19">
        <f>'SW Rev'!$B86</f>
        <v/>
      </c>
      <c r="C89" s="20">
        <f>IF(ISNUMBER('SW Rev'!P86),'SW Rev'!P86,"")</f>
        <v/>
      </c>
      <c r="D89" s="21">
        <f>'SW Metrics'!L189</f>
        <v/>
      </c>
      <c r="E89" s="21">
        <f>'SW Metrics'!K189</f>
        <v/>
      </c>
      <c r="F89" s="22">
        <f>IF(OR(D89="",E89=""),"",D89-E89)</f>
        <v/>
      </c>
      <c r="G89" s="21">
        <f>'SW Metrics'!L291</f>
        <v/>
      </c>
      <c r="H89" s="20">
        <f>'SW Metrics'!L495</f>
        <v/>
      </c>
      <c r="I89" s="20">
        <f>'SW Metrics'!L393</f>
        <v/>
      </c>
      <c r="J89" s="21">
        <f>'SW Metrics'!M189</f>
        <v/>
      </c>
      <c r="K89" s="21">
        <f>'SW Metrics'!L597</f>
        <v/>
      </c>
      <c r="L89" s="23">
        <f>'SW Metrics'!L699</f>
        <v/>
      </c>
      <c r="M89" s="21">
        <f>'SW Metrics'!L801</f>
        <v/>
      </c>
      <c r="N89" s="21">
        <f>'SW Metrics'!L903</f>
        <v/>
      </c>
      <c r="O89" s="24">
        <f>IFERROR(IF(AND(N(D89)&gt;0,N(M89)&gt;0),M89/D89,""),"")</f>
        <v/>
      </c>
      <c r="P89" s="21">
        <f>'SW Metrics'!L1005</f>
        <v/>
      </c>
      <c r="Q89" s="23">
        <f>'SW Metrics'!L1107</f>
        <v/>
      </c>
      <c r="R89" s="25">
        <f>'SW Revisions'!G87</f>
        <v/>
      </c>
      <c r="S89" s="25">
        <f>'SW Revisions'!H87</f>
        <v/>
      </c>
      <c r="T89" s="25">
        <f>'SW Revisions'!I87</f>
        <v/>
      </c>
      <c r="U89" s="25">
        <f>'SW Revisions'!O87</f>
        <v/>
      </c>
      <c r="V89" s="25">
        <f>'SW Revisions'!P87</f>
        <v/>
      </c>
      <c r="W89" s="25">
        <f>'SW Revisions'!Q87</f>
        <v/>
      </c>
      <c r="X89" s="26">
        <f>IFERROR(RANK(D89,D$8:D$106),"")</f>
        <v/>
      </c>
      <c r="Y89" s="26">
        <f>IFERROR(RANK(S89,S$8:S$106),"")</f>
        <v/>
      </c>
    </row>
    <row r="90">
      <c r="A90" s="19">
        <f>'SW Rev'!$A87</f>
        <v/>
      </c>
      <c r="B90" s="19">
        <f>'SW Rev'!$B87</f>
        <v/>
      </c>
      <c r="C90" s="20">
        <f>IF(ISNUMBER('SW Rev'!P87),'SW Rev'!P87,"")</f>
        <v/>
      </c>
      <c r="D90" s="21">
        <f>'SW Metrics'!L190</f>
        <v/>
      </c>
      <c r="E90" s="21">
        <f>'SW Metrics'!K190</f>
        <v/>
      </c>
      <c r="F90" s="22">
        <f>IF(OR(D90="",E90=""),"",D90-E90)</f>
        <v/>
      </c>
      <c r="G90" s="21">
        <f>'SW Metrics'!L292</f>
        <v/>
      </c>
      <c r="H90" s="20">
        <f>'SW Metrics'!L496</f>
        <v/>
      </c>
      <c r="I90" s="20">
        <f>'SW Metrics'!L394</f>
        <v/>
      </c>
      <c r="J90" s="21">
        <f>'SW Metrics'!M190</f>
        <v/>
      </c>
      <c r="K90" s="21">
        <f>'SW Metrics'!L598</f>
        <v/>
      </c>
      <c r="L90" s="23">
        <f>'SW Metrics'!L700</f>
        <v/>
      </c>
      <c r="M90" s="21">
        <f>'SW Metrics'!L802</f>
        <v/>
      </c>
      <c r="N90" s="21">
        <f>'SW Metrics'!L904</f>
        <v/>
      </c>
      <c r="O90" s="24">
        <f>IFERROR(IF(AND(N(D90)&gt;0,N(M90)&gt;0),M90/D90,""),"")</f>
        <v/>
      </c>
      <c r="P90" s="21">
        <f>'SW Metrics'!L1006</f>
        <v/>
      </c>
      <c r="Q90" s="23">
        <f>'SW Metrics'!L1108</f>
        <v/>
      </c>
      <c r="R90" s="25">
        <f>'SW Revisions'!G88</f>
        <v/>
      </c>
      <c r="S90" s="25">
        <f>'SW Revisions'!H88</f>
        <v/>
      </c>
      <c r="T90" s="25">
        <f>'SW Revisions'!I88</f>
        <v/>
      </c>
      <c r="U90" s="25">
        <f>'SW Revisions'!O88</f>
        <v/>
      </c>
      <c r="V90" s="25">
        <f>'SW Revisions'!P88</f>
        <v/>
      </c>
      <c r="W90" s="25">
        <f>'SW Revisions'!Q88</f>
        <v/>
      </c>
      <c r="X90" s="26">
        <f>IFERROR(RANK(D90,D$8:D$106),"")</f>
        <v/>
      </c>
      <c r="Y90" s="26">
        <f>IFERROR(RANK(S90,S$8:S$106),"")</f>
        <v/>
      </c>
    </row>
    <row r="91">
      <c r="A91" s="19">
        <f>'SW Rev'!$A88</f>
        <v/>
      </c>
      <c r="B91" s="19">
        <f>'SW Rev'!$B88</f>
        <v/>
      </c>
      <c r="C91" s="20">
        <f>IF(ISNUMBER('SW Rev'!P88),'SW Rev'!P88,"")</f>
        <v/>
      </c>
      <c r="D91" s="21">
        <f>'SW Metrics'!L191</f>
        <v/>
      </c>
      <c r="E91" s="21">
        <f>'SW Metrics'!K191</f>
        <v/>
      </c>
      <c r="F91" s="22">
        <f>IF(OR(D91="",E91=""),"",D91-E91)</f>
        <v/>
      </c>
      <c r="G91" s="21">
        <f>'SW Metrics'!L293</f>
        <v/>
      </c>
      <c r="H91" s="20">
        <f>'SW Metrics'!L497</f>
        <v/>
      </c>
      <c r="I91" s="20">
        <f>'SW Metrics'!L395</f>
        <v/>
      </c>
      <c r="J91" s="21">
        <f>'SW Metrics'!M191</f>
        <v/>
      </c>
      <c r="K91" s="21">
        <f>'SW Metrics'!L599</f>
        <v/>
      </c>
      <c r="L91" s="23">
        <f>'SW Metrics'!L701</f>
        <v/>
      </c>
      <c r="M91" s="21">
        <f>'SW Metrics'!L803</f>
        <v/>
      </c>
      <c r="N91" s="21">
        <f>'SW Metrics'!L905</f>
        <v/>
      </c>
      <c r="O91" s="24">
        <f>IFERROR(IF(AND(N(D91)&gt;0,N(M91)&gt;0),M91/D91,""),"")</f>
        <v/>
      </c>
      <c r="P91" s="21">
        <f>'SW Metrics'!L1007</f>
        <v/>
      </c>
      <c r="Q91" s="23">
        <f>'SW Metrics'!L1109</f>
        <v/>
      </c>
      <c r="R91" s="25">
        <f>'SW Revisions'!G89</f>
        <v/>
      </c>
      <c r="S91" s="25">
        <f>'SW Revisions'!H89</f>
        <v/>
      </c>
      <c r="T91" s="25">
        <f>'SW Revisions'!I89</f>
        <v/>
      </c>
      <c r="U91" s="25">
        <f>'SW Revisions'!O89</f>
        <v/>
      </c>
      <c r="V91" s="25">
        <f>'SW Revisions'!P89</f>
        <v/>
      </c>
      <c r="W91" s="25">
        <f>'SW Revisions'!Q89</f>
        <v/>
      </c>
      <c r="X91" s="26">
        <f>IFERROR(RANK(D91,D$8:D$106),"")</f>
        <v/>
      </c>
      <c r="Y91" s="26">
        <f>IFERROR(RANK(S91,S$8:S$106),"")</f>
        <v/>
      </c>
    </row>
    <row r="92">
      <c r="A92" s="19">
        <f>'SW Rev'!$A89</f>
        <v/>
      </c>
      <c r="B92" s="19">
        <f>'SW Rev'!$B89</f>
        <v/>
      </c>
      <c r="C92" s="20">
        <f>IF(ISNUMBER('SW Rev'!P89),'SW Rev'!P89,"")</f>
        <v/>
      </c>
      <c r="D92" s="21">
        <f>'SW Metrics'!L192</f>
        <v/>
      </c>
      <c r="E92" s="21">
        <f>'SW Metrics'!K192</f>
        <v/>
      </c>
      <c r="F92" s="22">
        <f>IF(OR(D92="",E92=""),"",D92-E92)</f>
        <v/>
      </c>
      <c r="G92" s="21">
        <f>'SW Metrics'!L294</f>
        <v/>
      </c>
      <c r="H92" s="20">
        <f>'SW Metrics'!L498</f>
        <v/>
      </c>
      <c r="I92" s="20">
        <f>'SW Metrics'!L396</f>
        <v/>
      </c>
      <c r="J92" s="21">
        <f>'SW Metrics'!M192</f>
        <v/>
      </c>
      <c r="K92" s="21">
        <f>'SW Metrics'!L600</f>
        <v/>
      </c>
      <c r="L92" s="23">
        <f>'SW Metrics'!L702</f>
        <v/>
      </c>
      <c r="M92" s="21">
        <f>'SW Metrics'!L804</f>
        <v/>
      </c>
      <c r="N92" s="21">
        <f>'SW Metrics'!L906</f>
        <v/>
      </c>
      <c r="O92" s="24">
        <f>IFERROR(IF(AND(N(D92)&gt;0,N(M92)&gt;0),M92/D92,""),"")</f>
        <v/>
      </c>
      <c r="P92" s="21">
        <f>'SW Metrics'!L1008</f>
        <v/>
      </c>
      <c r="Q92" s="23">
        <f>'SW Metrics'!L1110</f>
        <v/>
      </c>
      <c r="R92" s="25">
        <f>'SW Revisions'!G90</f>
        <v/>
      </c>
      <c r="S92" s="25">
        <f>'SW Revisions'!H90</f>
        <v/>
      </c>
      <c r="T92" s="25">
        <f>'SW Revisions'!I90</f>
        <v/>
      </c>
      <c r="U92" s="25">
        <f>'SW Revisions'!O90</f>
        <v/>
      </c>
      <c r="V92" s="25">
        <f>'SW Revisions'!P90</f>
        <v/>
      </c>
      <c r="W92" s="25">
        <f>'SW Revisions'!Q90</f>
        <v/>
      </c>
      <c r="X92" s="26">
        <f>IFERROR(RANK(D92,D$8:D$106),"")</f>
        <v/>
      </c>
      <c r="Y92" s="26">
        <f>IFERROR(RANK(S92,S$8:S$106),"")</f>
        <v/>
      </c>
    </row>
    <row r="93">
      <c r="A93" s="19">
        <f>'SW Rev'!$A90</f>
        <v/>
      </c>
      <c r="B93" s="19">
        <f>'SW Rev'!$B90</f>
        <v/>
      </c>
      <c r="C93" s="20">
        <f>IF(ISNUMBER('SW Rev'!P90),'SW Rev'!P90,"")</f>
        <v/>
      </c>
      <c r="D93" s="21">
        <f>'SW Metrics'!L193</f>
        <v/>
      </c>
      <c r="E93" s="21">
        <f>'SW Metrics'!K193</f>
        <v/>
      </c>
      <c r="F93" s="22">
        <f>IF(OR(D93="",E93=""),"",D93-E93)</f>
        <v/>
      </c>
      <c r="G93" s="21">
        <f>'SW Metrics'!L295</f>
        <v/>
      </c>
      <c r="H93" s="20">
        <f>'SW Metrics'!L499</f>
        <v/>
      </c>
      <c r="I93" s="20">
        <f>'SW Metrics'!L397</f>
        <v/>
      </c>
      <c r="J93" s="21">
        <f>'SW Metrics'!M193</f>
        <v/>
      </c>
      <c r="K93" s="21">
        <f>'SW Metrics'!L601</f>
        <v/>
      </c>
      <c r="L93" s="23">
        <f>'SW Metrics'!L703</f>
        <v/>
      </c>
      <c r="M93" s="21">
        <f>'SW Metrics'!L805</f>
        <v/>
      </c>
      <c r="N93" s="21">
        <f>'SW Metrics'!L907</f>
        <v/>
      </c>
      <c r="O93" s="24">
        <f>IFERROR(IF(AND(N(D93)&gt;0,N(M93)&gt;0),M93/D93,""),"")</f>
        <v/>
      </c>
      <c r="P93" s="21">
        <f>'SW Metrics'!L1009</f>
        <v/>
      </c>
      <c r="Q93" s="23">
        <f>'SW Metrics'!L1111</f>
        <v/>
      </c>
      <c r="R93" s="25">
        <f>'SW Revisions'!G91</f>
        <v/>
      </c>
      <c r="S93" s="25">
        <f>'SW Revisions'!H91</f>
        <v/>
      </c>
      <c r="T93" s="25">
        <f>'SW Revisions'!I91</f>
        <v/>
      </c>
      <c r="U93" s="25">
        <f>'SW Revisions'!O91</f>
        <v/>
      </c>
      <c r="V93" s="25">
        <f>'SW Revisions'!P91</f>
        <v/>
      </c>
      <c r="W93" s="25">
        <f>'SW Revisions'!Q91</f>
        <v/>
      </c>
      <c r="X93" s="26">
        <f>IFERROR(RANK(D93,D$8:D$106),"")</f>
        <v/>
      </c>
      <c r="Y93" s="26">
        <f>IFERROR(RANK(S93,S$8:S$106),"")</f>
        <v/>
      </c>
    </row>
    <row r="94">
      <c r="A94" s="19">
        <f>'SW Rev'!$A91</f>
        <v/>
      </c>
      <c r="B94" s="19">
        <f>'SW Rev'!$B91</f>
        <v/>
      </c>
      <c r="C94" s="20">
        <f>IF(ISNUMBER('SW Rev'!P91),'SW Rev'!P91,"")</f>
        <v/>
      </c>
      <c r="D94" s="21">
        <f>'SW Metrics'!L194</f>
        <v/>
      </c>
      <c r="E94" s="21">
        <f>'SW Metrics'!K194</f>
        <v/>
      </c>
      <c r="F94" s="22">
        <f>IF(OR(D94="",E94=""),"",D94-E94)</f>
        <v/>
      </c>
      <c r="G94" s="21">
        <f>'SW Metrics'!L296</f>
        <v/>
      </c>
      <c r="H94" s="20">
        <f>'SW Metrics'!L500</f>
        <v/>
      </c>
      <c r="I94" s="20">
        <f>'SW Metrics'!L398</f>
        <v/>
      </c>
      <c r="J94" s="21">
        <f>'SW Metrics'!M194</f>
        <v/>
      </c>
      <c r="K94" s="21">
        <f>'SW Metrics'!L602</f>
        <v/>
      </c>
      <c r="L94" s="23">
        <f>'SW Metrics'!L704</f>
        <v/>
      </c>
      <c r="M94" s="21">
        <f>'SW Metrics'!L806</f>
        <v/>
      </c>
      <c r="N94" s="21">
        <f>'SW Metrics'!L908</f>
        <v/>
      </c>
      <c r="O94" s="24">
        <f>IFERROR(IF(AND(N(D94)&gt;0,N(M94)&gt;0),M94/D94,""),"")</f>
        <v/>
      </c>
      <c r="P94" s="21">
        <f>'SW Metrics'!L1010</f>
        <v/>
      </c>
      <c r="Q94" s="23">
        <f>'SW Metrics'!L1112</f>
        <v/>
      </c>
      <c r="R94" s="25">
        <f>'SW Revisions'!G92</f>
        <v/>
      </c>
      <c r="S94" s="25">
        <f>'SW Revisions'!H92</f>
        <v/>
      </c>
      <c r="T94" s="25">
        <f>'SW Revisions'!I92</f>
        <v/>
      </c>
      <c r="U94" s="25">
        <f>'SW Revisions'!O92</f>
        <v/>
      </c>
      <c r="V94" s="25">
        <f>'SW Revisions'!P92</f>
        <v/>
      </c>
      <c r="W94" s="25">
        <f>'SW Revisions'!Q92</f>
        <v/>
      </c>
      <c r="X94" s="26">
        <f>IFERROR(RANK(D94,D$8:D$106),"")</f>
        <v/>
      </c>
      <c r="Y94" s="26">
        <f>IFERROR(RANK(S94,S$8:S$106),"")</f>
        <v/>
      </c>
    </row>
    <row r="95">
      <c r="A95" s="19">
        <f>'SW Rev'!$A92</f>
        <v/>
      </c>
      <c r="B95" s="19">
        <f>'SW Rev'!$B92</f>
        <v/>
      </c>
      <c r="C95" s="20">
        <f>IF(ISNUMBER('SW Rev'!P92),'SW Rev'!P92,"")</f>
        <v/>
      </c>
      <c r="D95" s="21">
        <f>'SW Metrics'!L195</f>
        <v/>
      </c>
      <c r="E95" s="21">
        <f>'SW Metrics'!K195</f>
        <v/>
      </c>
      <c r="F95" s="22">
        <f>IF(OR(D95="",E95=""),"",D95-E95)</f>
        <v/>
      </c>
      <c r="G95" s="21">
        <f>'SW Metrics'!L297</f>
        <v/>
      </c>
      <c r="H95" s="20">
        <f>'SW Metrics'!L501</f>
        <v/>
      </c>
      <c r="I95" s="20">
        <f>'SW Metrics'!L399</f>
        <v/>
      </c>
      <c r="J95" s="21">
        <f>'SW Metrics'!M195</f>
        <v/>
      </c>
      <c r="K95" s="21">
        <f>'SW Metrics'!L603</f>
        <v/>
      </c>
      <c r="L95" s="23">
        <f>'SW Metrics'!L705</f>
        <v/>
      </c>
      <c r="M95" s="21">
        <f>'SW Metrics'!L807</f>
        <v/>
      </c>
      <c r="N95" s="21">
        <f>'SW Metrics'!L909</f>
        <v/>
      </c>
      <c r="O95" s="24">
        <f>IFERROR(IF(AND(N(D95)&gt;0,N(M95)&gt;0),M95/D95,""),"")</f>
        <v/>
      </c>
      <c r="P95" s="21">
        <f>'SW Metrics'!L1011</f>
        <v/>
      </c>
      <c r="Q95" s="23">
        <f>'SW Metrics'!L1113</f>
        <v/>
      </c>
      <c r="R95" s="25">
        <f>'SW Revisions'!G93</f>
        <v/>
      </c>
      <c r="S95" s="25">
        <f>'SW Revisions'!H93</f>
        <v/>
      </c>
      <c r="T95" s="25">
        <f>'SW Revisions'!I93</f>
        <v/>
      </c>
      <c r="U95" s="25">
        <f>'SW Revisions'!O93</f>
        <v/>
      </c>
      <c r="V95" s="25">
        <f>'SW Revisions'!P93</f>
        <v/>
      </c>
      <c r="W95" s="25">
        <f>'SW Revisions'!Q93</f>
        <v/>
      </c>
      <c r="X95" s="26">
        <f>IFERROR(RANK(D95,D$8:D$106),"")</f>
        <v/>
      </c>
      <c r="Y95" s="26">
        <f>IFERROR(RANK(S95,S$8:S$106),"")</f>
        <v/>
      </c>
    </row>
    <row r="96">
      <c r="A96" s="19">
        <f>'SW Rev'!$A93</f>
        <v/>
      </c>
      <c r="B96" s="19">
        <f>'SW Rev'!$B93</f>
        <v/>
      </c>
      <c r="C96" s="20">
        <f>IF(ISNUMBER('SW Rev'!P93),'SW Rev'!P93,"")</f>
        <v/>
      </c>
      <c r="D96" s="21">
        <f>'SW Metrics'!L196</f>
        <v/>
      </c>
      <c r="E96" s="21">
        <f>'SW Metrics'!K196</f>
        <v/>
      </c>
      <c r="F96" s="22">
        <f>IF(OR(D96="",E96=""),"",D96-E96)</f>
        <v/>
      </c>
      <c r="G96" s="21">
        <f>'SW Metrics'!L298</f>
        <v/>
      </c>
      <c r="H96" s="20">
        <f>'SW Metrics'!L502</f>
        <v/>
      </c>
      <c r="I96" s="20">
        <f>'SW Metrics'!L400</f>
        <v/>
      </c>
      <c r="J96" s="21">
        <f>'SW Metrics'!M196</f>
        <v/>
      </c>
      <c r="K96" s="21">
        <f>'SW Metrics'!L604</f>
        <v/>
      </c>
      <c r="L96" s="23">
        <f>'SW Metrics'!L706</f>
        <v/>
      </c>
      <c r="M96" s="21">
        <f>'SW Metrics'!L808</f>
        <v/>
      </c>
      <c r="N96" s="21">
        <f>'SW Metrics'!L910</f>
        <v/>
      </c>
      <c r="O96" s="24">
        <f>IFERROR(IF(AND(N(D96)&gt;0,N(M96)&gt;0),M96/D96,""),"")</f>
        <v/>
      </c>
      <c r="P96" s="21">
        <f>'SW Metrics'!L1012</f>
        <v/>
      </c>
      <c r="Q96" s="23">
        <f>'SW Metrics'!L1114</f>
        <v/>
      </c>
      <c r="R96" s="25">
        <f>'SW Revisions'!G94</f>
        <v/>
      </c>
      <c r="S96" s="25">
        <f>'SW Revisions'!H94</f>
        <v/>
      </c>
      <c r="T96" s="25">
        <f>'SW Revisions'!I94</f>
        <v/>
      </c>
      <c r="U96" s="25">
        <f>'SW Revisions'!O94</f>
        <v/>
      </c>
      <c r="V96" s="25">
        <f>'SW Revisions'!P94</f>
        <v/>
      </c>
      <c r="W96" s="25">
        <f>'SW Revisions'!Q94</f>
        <v/>
      </c>
      <c r="X96" s="26">
        <f>IFERROR(RANK(D96,D$8:D$106),"")</f>
        <v/>
      </c>
      <c r="Y96" s="26">
        <f>IFERROR(RANK(S96,S$8:S$106),"")</f>
        <v/>
      </c>
    </row>
    <row r="97">
      <c r="A97" s="19">
        <f>'SW Rev'!$A94</f>
        <v/>
      </c>
      <c r="B97" s="19">
        <f>'SW Rev'!$B94</f>
        <v/>
      </c>
      <c r="C97" s="20">
        <f>IF(ISNUMBER('SW Rev'!P94),'SW Rev'!P94,"")</f>
        <v/>
      </c>
      <c r="D97" s="21">
        <f>'SW Metrics'!L197</f>
        <v/>
      </c>
      <c r="E97" s="21">
        <f>'SW Metrics'!K197</f>
        <v/>
      </c>
      <c r="F97" s="22">
        <f>IF(OR(D97="",E97=""),"",D97-E97)</f>
        <v/>
      </c>
      <c r="G97" s="21">
        <f>'SW Metrics'!L299</f>
        <v/>
      </c>
      <c r="H97" s="20">
        <f>'SW Metrics'!L503</f>
        <v/>
      </c>
      <c r="I97" s="20">
        <f>'SW Metrics'!L401</f>
        <v/>
      </c>
      <c r="J97" s="21">
        <f>'SW Metrics'!M197</f>
        <v/>
      </c>
      <c r="K97" s="21">
        <f>'SW Metrics'!L605</f>
        <v/>
      </c>
      <c r="L97" s="23">
        <f>'SW Metrics'!L707</f>
        <v/>
      </c>
      <c r="M97" s="21">
        <f>'SW Metrics'!L809</f>
        <v/>
      </c>
      <c r="N97" s="21">
        <f>'SW Metrics'!L911</f>
        <v/>
      </c>
      <c r="O97" s="24">
        <f>IFERROR(IF(AND(N(D97)&gt;0,N(M97)&gt;0),M97/D97,""),"")</f>
        <v/>
      </c>
      <c r="P97" s="21">
        <f>'SW Metrics'!L1013</f>
        <v/>
      </c>
      <c r="Q97" s="23">
        <f>'SW Metrics'!L1115</f>
        <v/>
      </c>
      <c r="R97" s="25">
        <f>'SW Revisions'!G95</f>
        <v/>
      </c>
      <c r="S97" s="25">
        <f>'SW Revisions'!H95</f>
        <v/>
      </c>
      <c r="T97" s="25">
        <f>'SW Revisions'!I95</f>
        <v/>
      </c>
      <c r="U97" s="25">
        <f>'SW Revisions'!O95</f>
        <v/>
      </c>
      <c r="V97" s="25">
        <f>'SW Revisions'!P95</f>
        <v/>
      </c>
      <c r="W97" s="25">
        <f>'SW Revisions'!Q95</f>
        <v/>
      </c>
      <c r="X97" s="26">
        <f>IFERROR(RANK(D97,D$8:D$106),"")</f>
        <v/>
      </c>
      <c r="Y97" s="26">
        <f>IFERROR(RANK(S97,S$8:S$106),"")</f>
        <v/>
      </c>
    </row>
    <row r="98">
      <c r="A98" s="19">
        <f>'SW Rev'!$A95</f>
        <v/>
      </c>
      <c r="B98" s="19">
        <f>'SW Rev'!$B95</f>
        <v/>
      </c>
      <c r="C98" s="20">
        <f>IF(ISNUMBER('SW Rev'!P95),'SW Rev'!P95,"")</f>
        <v/>
      </c>
      <c r="D98" s="21">
        <f>'SW Metrics'!L198</f>
        <v/>
      </c>
      <c r="E98" s="21">
        <f>'SW Metrics'!K198</f>
        <v/>
      </c>
      <c r="F98" s="22">
        <f>IF(OR(D98="",E98=""),"",D98-E98)</f>
        <v/>
      </c>
      <c r="G98" s="21">
        <f>'SW Metrics'!L300</f>
        <v/>
      </c>
      <c r="H98" s="20">
        <f>'SW Metrics'!L504</f>
        <v/>
      </c>
      <c r="I98" s="20">
        <f>'SW Metrics'!L402</f>
        <v/>
      </c>
      <c r="J98" s="21">
        <f>'SW Metrics'!M198</f>
        <v/>
      </c>
      <c r="K98" s="21">
        <f>'SW Metrics'!L606</f>
        <v/>
      </c>
      <c r="L98" s="23">
        <f>'SW Metrics'!L708</f>
        <v/>
      </c>
      <c r="M98" s="21">
        <f>'SW Metrics'!L810</f>
        <v/>
      </c>
      <c r="N98" s="21">
        <f>'SW Metrics'!L912</f>
        <v/>
      </c>
      <c r="O98" s="24">
        <f>IFERROR(IF(AND(N(D98)&gt;0,N(M98)&gt;0),M98/D98,""),"")</f>
        <v/>
      </c>
      <c r="P98" s="21">
        <f>'SW Metrics'!L1014</f>
        <v/>
      </c>
      <c r="Q98" s="23">
        <f>'SW Metrics'!L1116</f>
        <v/>
      </c>
      <c r="R98" s="25">
        <f>'SW Revisions'!G96</f>
        <v/>
      </c>
      <c r="S98" s="25">
        <f>'SW Revisions'!H96</f>
        <v/>
      </c>
      <c r="T98" s="25">
        <f>'SW Revisions'!I96</f>
        <v/>
      </c>
      <c r="U98" s="25">
        <f>'SW Revisions'!O96</f>
        <v/>
      </c>
      <c r="V98" s="25">
        <f>'SW Revisions'!P96</f>
        <v/>
      </c>
      <c r="W98" s="25">
        <f>'SW Revisions'!Q96</f>
        <v/>
      </c>
      <c r="X98" s="26">
        <f>IFERROR(RANK(D98,D$8:D$106),"")</f>
        <v/>
      </c>
      <c r="Y98" s="26">
        <f>IFERROR(RANK(S98,S$8:S$106),"")</f>
        <v/>
      </c>
    </row>
    <row r="99">
      <c r="A99" s="19">
        <f>'SW Rev'!$A96</f>
        <v/>
      </c>
      <c r="B99" s="19">
        <f>'SW Rev'!$B96</f>
        <v/>
      </c>
      <c r="C99" s="20">
        <f>IF(ISNUMBER('SW Rev'!P96),'SW Rev'!P96,"")</f>
        <v/>
      </c>
      <c r="D99" s="21">
        <f>'SW Metrics'!L199</f>
        <v/>
      </c>
      <c r="E99" s="21">
        <f>'SW Metrics'!K199</f>
        <v/>
      </c>
      <c r="F99" s="22">
        <f>IF(OR(D99="",E99=""),"",D99-E99)</f>
        <v/>
      </c>
      <c r="G99" s="21">
        <f>'SW Metrics'!L301</f>
        <v/>
      </c>
      <c r="H99" s="20">
        <f>'SW Metrics'!L505</f>
        <v/>
      </c>
      <c r="I99" s="20">
        <f>'SW Metrics'!L403</f>
        <v/>
      </c>
      <c r="J99" s="21">
        <f>'SW Metrics'!M199</f>
        <v/>
      </c>
      <c r="K99" s="21">
        <f>'SW Metrics'!L607</f>
        <v/>
      </c>
      <c r="L99" s="23">
        <f>'SW Metrics'!L709</f>
        <v/>
      </c>
      <c r="M99" s="21">
        <f>'SW Metrics'!L811</f>
        <v/>
      </c>
      <c r="N99" s="21">
        <f>'SW Metrics'!L913</f>
        <v/>
      </c>
      <c r="O99" s="24">
        <f>IFERROR(IF(AND(N(D99)&gt;0,N(M99)&gt;0),M99/D99,""),"")</f>
        <v/>
      </c>
      <c r="P99" s="21">
        <f>'SW Metrics'!L1015</f>
        <v/>
      </c>
      <c r="Q99" s="23">
        <f>'SW Metrics'!L1117</f>
        <v/>
      </c>
      <c r="R99" s="25">
        <f>'SW Revisions'!G97</f>
        <v/>
      </c>
      <c r="S99" s="25">
        <f>'SW Revisions'!H97</f>
        <v/>
      </c>
      <c r="T99" s="25">
        <f>'SW Revisions'!I97</f>
        <v/>
      </c>
      <c r="U99" s="25">
        <f>'SW Revisions'!O97</f>
        <v/>
      </c>
      <c r="V99" s="25">
        <f>'SW Revisions'!P97</f>
        <v/>
      </c>
      <c r="W99" s="25">
        <f>'SW Revisions'!Q97</f>
        <v/>
      </c>
      <c r="X99" s="26">
        <f>IFERROR(RANK(D99,D$8:D$106),"")</f>
        <v/>
      </c>
      <c r="Y99" s="26">
        <f>IFERROR(RANK(S99,S$8:S$106),"")</f>
        <v/>
      </c>
    </row>
    <row r="100">
      <c r="A100" s="19">
        <f>'SW Rev'!$A97</f>
        <v/>
      </c>
      <c r="B100" s="19">
        <f>'SW Rev'!$B97</f>
        <v/>
      </c>
      <c r="C100" s="20">
        <f>IF(ISNUMBER('SW Rev'!P97),'SW Rev'!P97,"")</f>
        <v/>
      </c>
      <c r="D100" s="21">
        <f>'SW Metrics'!L200</f>
        <v/>
      </c>
      <c r="E100" s="21">
        <f>'SW Metrics'!K200</f>
        <v/>
      </c>
      <c r="F100" s="22">
        <f>IF(OR(D100="",E100=""),"",D100-E100)</f>
        <v/>
      </c>
      <c r="G100" s="21">
        <f>'SW Metrics'!L302</f>
        <v/>
      </c>
      <c r="H100" s="20">
        <f>'SW Metrics'!L506</f>
        <v/>
      </c>
      <c r="I100" s="20">
        <f>'SW Metrics'!L404</f>
        <v/>
      </c>
      <c r="J100" s="21">
        <f>'SW Metrics'!M200</f>
        <v/>
      </c>
      <c r="K100" s="21">
        <f>'SW Metrics'!L608</f>
        <v/>
      </c>
      <c r="L100" s="23">
        <f>'SW Metrics'!L710</f>
        <v/>
      </c>
      <c r="M100" s="21">
        <f>'SW Metrics'!L812</f>
        <v/>
      </c>
      <c r="N100" s="21">
        <f>'SW Metrics'!L914</f>
        <v/>
      </c>
      <c r="O100" s="24">
        <f>IFERROR(IF(AND(N(D100)&gt;0,N(M100)&gt;0),M100/D100,""),"")</f>
        <v/>
      </c>
      <c r="P100" s="21">
        <f>'SW Metrics'!L1016</f>
        <v/>
      </c>
      <c r="Q100" s="23">
        <f>'SW Metrics'!L1118</f>
        <v/>
      </c>
      <c r="R100" s="25">
        <f>'SW Revisions'!G98</f>
        <v/>
      </c>
      <c r="S100" s="25">
        <f>'SW Revisions'!H98</f>
        <v/>
      </c>
      <c r="T100" s="25">
        <f>'SW Revisions'!I98</f>
        <v/>
      </c>
      <c r="U100" s="25">
        <f>'SW Revisions'!O98</f>
        <v/>
      </c>
      <c r="V100" s="25">
        <f>'SW Revisions'!P98</f>
        <v/>
      </c>
      <c r="W100" s="25">
        <f>'SW Revisions'!Q98</f>
        <v/>
      </c>
      <c r="X100" s="26">
        <f>IFERROR(RANK(D100,D$8:D$106),"")</f>
        <v/>
      </c>
      <c r="Y100" s="26">
        <f>IFERROR(RANK(S100,S$8:S$106),"")</f>
        <v/>
      </c>
    </row>
    <row r="101">
      <c r="A101" s="19">
        <f>'SW Rev'!$A98</f>
        <v/>
      </c>
      <c r="B101" s="19">
        <f>'SW Rev'!$B98</f>
        <v/>
      </c>
      <c r="C101" s="20">
        <f>IF(ISNUMBER('SW Rev'!P98),'SW Rev'!P98,"")</f>
        <v/>
      </c>
      <c r="D101" s="21">
        <f>'SW Metrics'!L201</f>
        <v/>
      </c>
      <c r="E101" s="21">
        <f>'SW Metrics'!K201</f>
        <v/>
      </c>
      <c r="F101" s="22">
        <f>IF(OR(D101="",E101=""),"",D101-E101)</f>
        <v/>
      </c>
      <c r="G101" s="21">
        <f>'SW Metrics'!L303</f>
        <v/>
      </c>
      <c r="H101" s="20">
        <f>'SW Metrics'!L507</f>
        <v/>
      </c>
      <c r="I101" s="20">
        <f>'SW Metrics'!L405</f>
        <v/>
      </c>
      <c r="J101" s="21">
        <f>'SW Metrics'!M201</f>
        <v/>
      </c>
      <c r="K101" s="21">
        <f>'SW Metrics'!L609</f>
        <v/>
      </c>
      <c r="L101" s="23">
        <f>'SW Metrics'!L711</f>
        <v/>
      </c>
      <c r="M101" s="21">
        <f>'SW Metrics'!L813</f>
        <v/>
      </c>
      <c r="N101" s="21">
        <f>'SW Metrics'!L915</f>
        <v/>
      </c>
      <c r="O101" s="24">
        <f>IFERROR(IF(AND(N(D101)&gt;0,N(M101)&gt;0),M101/D101,""),"")</f>
        <v/>
      </c>
      <c r="P101" s="21">
        <f>'SW Metrics'!L1017</f>
        <v/>
      </c>
      <c r="Q101" s="23">
        <f>'SW Metrics'!L1119</f>
        <v/>
      </c>
      <c r="R101" s="25">
        <f>'SW Revisions'!G99</f>
        <v/>
      </c>
      <c r="S101" s="25">
        <f>'SW Revisions'!H99</f>
        <v/>
      </c>
      <c r="T101" s="25">
        <f>'SW Revisions'!I99</f>
        <v/>
      </c>
      <c r="U101" s="25">
        <f>'SW Revisions'!O99</f>
        <v/>
      </c>
      <c r="V101" s="25">
        <f>'SW Revisions'!P99</f>
        <v/>
      </c>
      <c r="W101" s="25">
        <f>'SW Revisions'!Q99</f>
        <v/>
      </c>
      <c r="X101" s="26">
        <f>IFERROR(RANK(D101,D$8:D$106),"")</f>
        <v/>
      </c>
      <c r="Y101" s="26">
        <f>IFERROR(RANK(S101,S$8:S$106),"")</f>
        <v/>
      </c>
    </row>
    <row r="102">
      <c r="A102" s="19">
        <f>'SW Rev'!$A99</f>
        <v/>
      </c>
      <c r="B102" s="19">
        <f>'SW Rev'!$B99</f>
        <v/>
      </c>
      <c r="C102" s="20">
        <f>IF(ISNUMBER('SW Rev'!P99),'SW Rev'!P99,"")</f>
        <v/>
      </c>
      <c r="D102" s="21">
        <f>'SW Metrics'!L202</f>
        <v/>
      </c>
      <c r="E102" s="21">
        <f>'SW Metrics'!K202</f>
        <v/>
      </c>
      <c r="F102" s="22">
        <f>IF(OR(D102="",E102=""),"",D102-E102)</f>
        <v/>
      </c>
      <c r="G102" s="21">
        <f>'SW Metrics'!L304</f>
        <v/>
      </c>
      <c r="H102" s="20">
        <f>'SW Metrics'!L508</f>
        <v/>
      </c>
      <c r="I102" s="20">
        <f>'SW Metrics'!L406</f>
        <v/>
      </c>
      <c r="J102" s="21">
        <f>'SW Metrics'!M202</f>
        <v/>
      </c>
      <c r="K102" s="21">
        <f>'SW Metrics'!L610</f>
        <v/>
      </c>
      <c r="L102" s="23">
        <f>'SW Metrics'!L712</f>
        <v/>
      </c>
      <c r="M102" s="21">
        <f>'SW Metrics'!L814</f>
        <v/>
      </c>
      <c r="N102" s="21">
        <f>'SW Metrics'!L916</f>
        <v/>
      </c>
      <c r="O102" s="24">
        <f>IFERROR(IF(AND(N(D102)&gt;0,N(M102)&gt;0),M102/D102,""),"")</f>
        <v/>
      </c>
      <c r="P102" s="21">
        <f>'SW Metrics'!L1018</f>
        <v/>
      </c>
      <c r="Q102" s="23">
        <f>'SW Metrics'!L1120</f>
        <v/>
      </c>
      <c r="R102" s="25">
        <f>'SW Revisions'!G100</f>
        <v/>
      </c>
      <c r="S102" s="25">
        <f>'SW Revisions'!H100</f>
        <v/>
      </c>
      <c r="T102" s="25">
        <f>'SW Revisions'!I100</f>
        <v/>
      </c>
      <c r="U102" s="25">
        <f>'SW Revisions'!O100</f>
        <v/>
      </c>
      <c r="V102" s="25">
        <f>'SW Revisions'!P100</f>
        <v/>
      </c>
      <c r="W102" s="25">
        <f>'SW Revisions'!Q100</f>
        <v/>
      </c>
      <c r="X102" s="26">
        <f>IFERROR(RANK(D102,D$8:D$106),"")</f>
        <v/>
      </c>
      <c r="Y102" s="26">
        <f>IFERROR(RANK(S102,S$8:S$106),"")</f>
        <v/>
      </c>
    </row>
    <row r="103">
      <c r="A103" s="19">
        <f>'SW Rev'!$A100</f>
        <v/>
      </c>
      <c r="B103" s="19">
        <f>'SW Rev'!$B100</f>
        <v/>
      </c>
      <c r="C103" s="20">
        <f>IF(ISNUMBER('SW Rev'!P100),'SW Rev'!P100,"")</f>
        <v/>
      </c>
      <c r="D103" s="21">
        <f>'SW Metrics'!L203</f>
        <v/>
      </c>
      <c r="E103" s="21">
        <f>'SW Metrics'!K203</f>
        <v/>
      </c>
      <c r="F103" s="22">
        <f>IF(OR(D103="",E103=""),"",D103-E103)</f>
        <v/>
      </c>
      <c r="G103" s="21">
        <f>'SW Metrics'!L305</f>
        <v/>
      </c>
      <c r="H103" s="20">
        <f>'SW Metrics'!L509</f>
        <v/>
      </c>
      <c r="I103" s="20">
        <f>'SW Metrics'!L407</f>
        <v/>
      </c>
      <c r="J103" s="21">
        <f>'SW Metrics'!M203</f>
        <v/>
      </c>
      <c r="K103" s="21">
        <f>'SW Metrics'!L611</f>
        <v/>
      </c>
      <c r="L103" s="23">
        <f>'SW Metrics'!L713</f>
        <v/>
      </c>
      <c r="M103" s="21">
        <f>'SW Metrics'!L815</f>
        <v/>
      </c>
      <c r="N103" s="21">
        <f>'SW Metrics'!L917</f>
        <v/>
      </c>
      <c r="O103" s="24">
        <f>IFERROR(IF(AND(N(D103)&gt;0,N(M103)&gt;0),M103/D103,""),"")</f>
        <v/>
      </c>
      <c r="P103" s="21">
        <f>'SW Metrics'!L1019</f>
        <v/>
      </c>
      <c r="Q103" s="23">
        <f>'SW Metrics'!L1121</f>
        <v/>
      </c>
      <c r="R103" s="25">
        <f>'SW Revisions'!G101</f>
        <v/>
      </c>
      <c r="S103" s="25">
        <f>'SW Revisions'!H101</f>
        <v/>
      </c>
      <c r="T103" s="25">
        <f>'SW Revisions'!I101</f>
        <v/>
      </c>
      <c r="U103" s="25">
        <f>'SW Revisions'!O101</f>
        <v/>
      </c>
      <c r="V103" s="25">
        <f>'SW Revisions'!P101</f>
        <v/>
      </c>
      <c r="W103" s="25">
        <f>'SW Revisions'!Q101</f>
        <v/>
      </c>
      <c r="X103" s="26">
        <f>IFERROR(RANK(D103,D$8:D$106),"")</f>
        <v/>
      </c>
      <c r="Y103" s="26">
        <f>IFERROR(RANK(S103,S$8:S$106),"")</f>
        <v/>
      </c>
    </row>
    <row r="104">
      <c r="A104" s="19">
        <f>'SW Rev'!$A101</f>
        <v/>
      </c>
      <c r="B104" s="19">
        <f>'SW Rev'!$B101</f>
        <v/>
      </c>
      <c r="C104" s="20">
        <f>IF(ISNUMBER('SW Rev'!P101),'SW Rev'!P101,"")</f>
        <v/>
      </c>
      <c r="D104" s="21">
        <f>'SW Metrics'!L204</f>
        <v/>
      </c>
      <c r="E104" s="21">
        <f>'SW Metrics'!K204</f>
        <v/>
      </c>
      <c r="F104" s="22">
        <f>IF(OR(D104="",E104=""),"",D104-E104)</f>
        <v/>
      </c>
      <c r="G104" s="21">
        <f>'SW Metrics'!L306</f>
        <v/>
      </c>
      <c r="H104" s="20">
        <f>'SW Metrics'!L510</f>
        <v/>
      </c>
      <c r="I104" s="20">
        <f>'SW Metrics'!L408</f>
        <v/>
      </c>
      <c r="J104" s="21">
        <f>'SW Metrics'!M204</f>
        <v/>
      </c>
      <c r="K104" s="21">
        <f>'SW Metrics'!L612</f>
        <v/>
      </c>
      <c r="L104" s="23">
        <f>'SW Metrics'!L714</f>
        <v/>
      </c>
      <c r="M104" s="21">
        <f>'SW Metrics'!L816</f>
        <v/>
      </c>
      <c r="N104" s="21">
        <f>'SW Metrics'!L918</f>
        <v/>
      </c>
      <c r="O104" s="24">
        <f>IFERROR(IF(AND(N(D104)&gt;0,N(M104)&gt;0),M104/D104,""),"")</f>
        <v/>
      </c>
      <c r="P104" s="21">
        <f>'SW Metrics'!L1020</f>
        <v/>
      </c>
      <c r="Q104" s="23">
        <f>'SW Metrics'!L1122</f>
        <v/>
      </c>
      <c r="R104" s="25">
        <f>'SW Revisions'!G102</f>
        <v/>
      </c>
      <c r="S104" s="25">
        <f>'SW Revisions'!H102</f>
        <v/>
      </c>
      <c r="T104" s="25">
        <f>'SW Revisions'!I102</f>
        <v/>
      </c>
      <c r="U104" s="25">
        <f>'SW Revisions'!O102</f>
        <v/>
      </c>
      <c r="V104" s="25">
        <f>'SW Revisions'!P102</f>
        <v/>
      </c>
      <c r="W104" s="25">
        <f>'SW Revisions'!Q102</f>
        <v/>
      </c>
      <c r="X104" s="26">
        <f>IFERROR(RANK(D104,D$8:D$106),"")</f>
        <v/>
      </c>
      <c r="Y104" s="26">
        <f>IFERROR(RANK(S104,S$8:S$106),"")</f>
        <v/>
      </c>
    </row>
    <row r="105">
      <c r="A105" s="19">
        <f>'SW Rev'!$A102</f>
        <v/>
      </c>
      <c r="B105" s="19">
        <f>'SW Rev'!$B102</f>
        <v/>
      </c>
      <c r="C105" s="20">
        <f>IF(ISNUMBER('SW Rev'!P102),'SW Rev'!P102,"")</f>
        <v/>
      </c>
      <c r="D105" s="21">
        <f>'SW Metrics'!L205</f>
        <v/>
      </c>
      <c r="E105" s="21">
        <f>'SW Metrics'!K205</f>
        <v/>
      </c>
      <c r="F105" s="22">
        <f>IF(OR(D105="",E105=""),"",D105-E105)</f>
        <v/>
      </c>
      <c r="G105" s="21">
        <f>'SW Metrics'!L307</f>
        <v/>
      </c>
      <c r="H105" s="20">
        <f>'SW Metrics'!L511</f>
        <v/>
      </c>
      <c r="I105" s="20">
        <f>'SW Metrics'!L409</f>
        <v/>
      </c>
      <c r="J105" s="21">
        <f>'SW Metrics'!M205</f>
        <v/>
      </c>
      <c r="K105" s="21">
        <f>'SW Metrics'!L613</f>
        <v/>
      </c>
      <c r="L105" s="23">
        <f>'SW Metrics'!L715</f>
        <v/>
      </c>
      <c r="M105" s="21">
        <f>'SW Metrics'!L817</f>
        <v/>
      </c>
      <c r="N105" s="21">
        <f>'SW Metrics'!L919</f>
        <v/>
      </c>
      <c r="O105" s="24">
        <f>IFERROR(IF(AND(N(D105)&gt;0,N(M105)&gt;0),M105/D105,""),"")</f>
        <v/>
      </c>
      <c r="P105" s="21">
        <f>'SW Metrics'!L1021</f>
        <v/>
      </c>
      <c r="Q105" s="23">
        <f>'SW Metrics'!L1123</f>
        <v/>
      </c>
      <c r="R105" s="25">
        <f>'SW Revisions'!G103</f>
        <v/>
      </c>
      <c r="S105" s="25">
        <f>'SW Revisions'!H103</f>
        <v/>
      </c>
      <c r="T105" s="25">
        <f>'SW Revisions'!I103</f>
        <v/>
      </c>
      <c r="U105" s="25">
        <f>'SW Revisions'!O103</f>
        <v/>
      </c>
      <c r="V105" s="25">
        <f>'SW Revisions'!P103</f>
        <v/>
      </c>
      <c r="W105" s="25">
        <f>'SW Revisions'!Q103</f>
        <v/>
      </c>
      <c r="X105" s="26">
        <f>IFERROR(RANK(D105,D$8:D$106),"")</f>
        <v/>
      </c>
      <c r="Y105" s="26">
        <f>IFERROR(RANK(S105,S$8:S$106),"")</f>
        <v/>
      </c>
    </row>
    <row r="106">
      <c r="A106" s="19">
        <f>'SW Rev'!$A103</f>
        <v/>
      </c>
      <c r="B106" s="19">
        <f>'SW Rev'!$B103</f>
        <v/>
      </c>
      <c r="C106" s="20">
        <f>IF(ISNUMBER('SW Rev'!P103),'SW Rev'!P103,"")</f>
        <v/>
      </c>
      <c r="D106" s="21">
        <f>'SW Metrics'!L206</f>
        <v/>
      </c>
      <c r="E106" s="21">
        <f>'SW Metrics'!K206</f>
        <v/>
      </c>
      <c r="F106" s="22">
        <f>IF(OR(D106="",E106=""),"",D106-E106)</f>
        <v/>
      </c>
      <c r="G106" s="21">
        <f>'SW Metrics'!L308</f>
        <v/>
      </c>
      <c r="H106" s="20">
        <f>'SW Metrics'!L512</f>
        <v/>
      </c>
      <c r="I106" s="20">
        <f>'SW Metrics'!L410</f>
        <v/>
      </c>
      <c r="J106" s="21">
        <f>'SW Metrics'!M206</f>
        <v/>
      </c>
      <c r="K106" s="21">
        <f>'SW Metrics'!L614</f>
        <v/>
      </c>
      <c r="L106" s="23">
        <f>'SW Metrics'!L716</f>
        <v/>
      </c>
      <c r="M106" s="21">
        <f>'SW Metrics'!L818</f>
        <v/>
      </c>
      <c r="N106" s="21">
        <f>'SW Metrics'!L920</f>
        <v/>
      </c>
      <c r="O106" s="24">
        <f>IFERROR(IF(AND(N(D106)&gt;0,N(M106)&gt;0),M106/D106,""),"")</f>
        <v/>
      </c>
      <c r="P106" s="21">
        <f>'SW Metrics'!L1022</f>
        <v/>
      </c>
      <c r="Q106" s="23">
        <f>'SW Metrics'!L1124</f>
        <v/>
      </c>
      <c r="R106" s="25">
        <f>'SW Revisions'!G104</f>
        <v/>
      </c>
      <c r="S106" s="25">
        <f>'SW Revisions'!H104</f>
        <v/>
      </c>
      <c r="T106" s="25">
        <f>'SW Revisions'!I104</f>
        <v/>
      </c>
      <c r="U106" s="25">
        <f>'SW Revisions'!O104</f>
        <v/>
      </c>
      <c r="V106" s="25">
        <f>'SW Revisions'!P104</f>
        <v/>
      </c>
      <c r="W106" s="25">
        <f>'SW Revisions'!Q104</f>
        <v/>
      </c>
      <c r="X106" s="26">
        <f>IFERROR(RANK(D106,D$8:D$106),"")</f>
        <v/>
      </c>
      <c r="Y106" s="26">
        <f>IFERROR(RANK(S106,S$8:S$106),"")</f>
        <v/>
      </c>
    </row>
  </sheetData>
  <conditionalFormatting sqref="D8:D106">
    <cfRule type="colorScale" priority="1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F8:F106">
    <cfRule type="colorScale" priority="2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J8:J106">
    <cfRule type="colorScale" priority="3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L8:L106">
    <cfRule type="colorScale" priority="4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N8:N106">
    <cfRule type="colorScale" priority="5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Q8:Q106">
    <cfRule type="colorScale" priority="6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R8:R106">
    <cfRule type="colorScale" priority="7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S8:S106">
    <cfRule type="colorScale" priority="8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T8:T106">
    <cfRule type="colorScale" priority="9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U8:U106">
    <cfRule type="colorScale" priority="10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V8:V106">
    <cfRule type="colorScale" priority="11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W8:W106">
    <cfRule type="colorScale" priority="12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0070C0"/>
    <outlinePr summaryBelow="1" summaryRight="1"/>
    <pageSetUpPr/>
  </sheetPr>
  <dimension ref="A1:N59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5" t="inlineStr">
        <is>
          <t>Software — Single-Name vs Peers</t>
        </is>
      </c>
      <c r="H1" s="6" t="inlineStr">
        <is>
          <t>⚠ Cells blank? This is a LIVE Bloomberg workbook — it has no saved data until its first refresh. Open it in desktop Excel on your Bloomberg terminal PC (add-in logged in), then Bloomberg ribbon ▸ Refresh All (or Ctrl+Alt+F9), wait a few minutes, and save. See README.</t>
        </is>
      </c>
    </row>
    <row r="2">
      <c r="A2" s="7" t="inlineStr">
        <is>
          <t>Type any ticker from the Tickers sheet into the yellow cell. Each metric shows the company, the peer-set median (computed over the full list, selected name included), and the gap. Columns aligned by FPO (company's own fiscal quarters).</t>
        </is>
      </c>
    </row>
    <row r="4">
      <c r="A4" s="27" t="inlineStr">
        <is>
          <t>Company (edit):</t>
        </is>
      </c>
      <c r="B4" s="28" t="inlineStr">
        <is>
          <t>ZM US Equity</t>
        </is>
      </c>
      <c r="C4" s="10">
        <f>IFERROR("Latest reported qtr: "&amp;INDEX('SW Rev'!$B$5:$B$103,MATCH($B$4,'SW Rev'!$A$5:$A$103,0)),"⚠ ticker not found in Tickers list")</f>
        <v/>
      </c>
    </row>
    <row r="6" ht="28" customHeight="1">
      <c r="A6" s="8" t="inlineStr">
        <is>
          <t>Metric</t>
        </is>
      </c>
      <c r="B6" s="8" t="inlineStr">
        <is>
          <t>Series</t>
        </is>
      </c>
      <c r="C6" s="8" t="inlineStr">
        <is>
          <t>FPO -9</t>
        </is>
      </c>
      <c r="D6" s="8" t="inlineStr">
        <is>
          <t>FPO -8</t>
        </is>
      </c>
      <c r="E6" s="8" t="inlineStr">
        <is>
          <t>FPO -7</t>
        </is>
      </c>
      <c r="F6" s="8" t="inlineStr">
        <is>
          <t>FPO -6</t>
        </is>
      </c>
      <c r="G6" s="8" t="inlineStr">
        <is>
          <t>FPO -5</t>
        </is>
      </c>
      <c r="H6" s="8" t="inlineStr">
        <is>
          <t>FPO -4</t>
        </is>
      </c>
      <c r="I6" s="8" t="inlineStr">
        <is>
          <t>FPO -3</t>
        </is>
      </c>
      <c r="J6" s="8" t="inlineStr">
        <is>
          <t>FPO -2</t>
        </is>
      </c>
      <c r="K6" s="8" t="inlineStr">
        <is>
          <t>FPO -1</t>
        </is>
      </c>
      <c r="L6" s="8" t="inlineStr">
        <is>
          <t>FPO 0 (latest rpt)</t>
        </is>
      </c>
      <c r="M6" s="8" t="inlineStr">
        <is>
          <t>FPO +1E</t>
        </is>
      </c>
      <c r="N6" s="8" t="inlineStr">
        <is>
          <t>FPO +2E</t>
        </is>
      </c>
    </row>
    <row r="7">
      <c r="A7" s="27" t="inlineStr">
        <is>
          <t>Revenue (USD mm)</t>
        </is>
      </c>
      <c r="B7" s="29" t="inlineStr">
        <is>
          <t>Company</t>
        </is>
      </c>
      <c r="C7" s="30">
        <f>IFERROR(INDEX('SW Metrics'!$C$6:$C$104,MATCH($B$4,'SW Metrics'!$A$6:$A$104,0)),"")</f>
        <v/>
      </c>
      <c r="D7" s="30">
        <f>IFERROR(INDEX('SW Metrics'!$D$6:$D$104,MATCH($B$4,'SW Metrics'!$A$6:$A$104,0)),"")</f>
        <v/>
      </c>
      <c r="E7" s="30">
        <f>IFERROR(INDEX('SW Metrics'!$E$6:$E$104,MATCH($B$4,'SW Metrics'!$A$6:$A$104,0)),"")</f>
        <v/>
      </c>
      <c r="F7" s="30">
        <f>IFERROR(INDEX('SW Metrics'!$F$6:$F$104,MATCH($B$4,'SW Metrics'!$A$6:$A$104,0)),"")</f>
        <v/>
      </c>
      <c r="G7" s="30">
        <f>IFERROR(INDEX('SW Metrics'!$G$6:$G$104,MATCH($B$4,'SW Metrics'!$A$6:$A$104,0)),"")</f>
        <v/>
      </c>
      <c r="H7" s="30">
        <f>IFERROR(INDEX('SW Metrics'!$H$6:$H$104,MATCH($B$4,'SW Metrics'!$A$6:$A$104,0)),"")</f>
        <v/>
      </c>
      <c r="I7" s="30">
        <f>IFERROR(INDEX('SW Metrics'!$I$6:$I$104,MATCH($B$4,'SW Metrics'!$A$6:$A$104,0)),"")</f>
        <v/>
      </c>
      <c r="J7" s="30">
        <f>IFERROR(INDEX('SW Metrics'!$J$6:$J$104,MATCH($B$4,'SW Metrics'!$A$6:$A$104,0)),"")</f>
        <v/>
      </c>
      <c r="K7" s="30">
        <f>IFERROR(INDEX('SW Metrics'!$K$6:$K$104,MATCH($B$4,'SW Metrics'!$A$6:$A$104,0)),"")</f>
        <v/>
      </c>
      <c r="L7" s="30">
        <f>IFERROR(INDEX('SW Metrics'!$L$6:$L$104,MATCH($B$4,'SW Metrics'!$A$6:$A$104,0)),"")</f>
        <v/>
      </c>
      <c r="M7" s="31">
        <f>IFERROR(INDEX('SW Metrics'!$M$6:$M$104,MATCH($B$4,'SW Metrics'!$A$6:$A$104,0)),"")</f>
        <v/>
      </c>
      <c r="N7" s="31">
        <f>IFERROR(INDEX('SW Metrics'!$N$6:$N$104,MATCH($B$4,'SW Metrics'!$A$6:$A$104,0)),"")</f>
        <v/>
      </c>
    </row>
    <row r="8">
      <c r="A8" s="29" t="inlineStr"/>
      <c r="B8" s="32" t="inlineStr">
        <is>
          <t>Peer median</t>
        </is>
      </c>
      <c r="C8" s="33">
        <f>IFERROR(MEDIAN('SW Metrics'!$C$6:$C$104),"")</f>
        <v/>
      </c>
      <c r="D8" s="33">
        <f>IFERROR(MEDIAN('SW Metrics'!$D$6:$D$104),"")</f>
        <v/>
      </c>
      <c r="E8" s="33">
        <f>IFERROR(MEDIAN('SW Metrics'!$E$6:$E$104),"")</f>
        <v/>
      </c>
      <c r="F8" s="33">
        <f>IFERROR(MEDIAN('SW Metrics'!$F$6:$F$104),"")</f>
        <v/>
      </c>
      <c r="G8" s="33">
        <f>IFERROR(MEDIAN('SW Metrics'!$G$6:$G$104),"")</f>
        <v/>
      </c>
      <c r="H8" s="33">
        <f>IFERROR(MEDIAN('SW Metrics'!$H$6:$H$104),"")</f>
        <v/>
      </c>
      <c r="I8" s="33">
        <f>IFERROR(MEDIAN('SW Metrics'!$I$6:$I$104),"")</f>
        <v/>
      </c>
      <c r="J8" s="33">
        <f>IFERROR(MEDIAN('SW Metrics'!$J$6:$J$104),"")</f>
        <v/>
      </c>
      <c r="K8" s="33">
        <f>IFERROR(MEDIAN('SW Metrics'!$K$6:$K$104),"")</f>
        <v/>
      </c>
      <c r="L8" s="33">
        <f>IFERROR(MEDIAN('SW Metrics'!$L$6:$L$104),"")</f>
        <v/>
      </c>
      <c r="M8" s="34">
        <f>IFERROR(MEDIAN('SW Metrics'!$M$6:$M$104),"")</f>
        <v/>
      </c>
      <c r="N8" s="34">
        <f>IFERROR(MEDIAN('SW Metrics'!$N$6:$N$104),"")</f>
        <v/>
      </c>
    </row>
    <row r="9">
      <c r="A9" s="29" t="inlineStr"/>
      <c r="B9" s="32" t="inlineStr">
        <is>
          <t>vs median</t>
        </is>
      </c>
      <c r="C9" s="35">
        <f>IF(OR(C7="",C8=""),"",C7-C8)</f>
        <v/>
      </c>
      <c r="D9" s="35">
        <f>IF(OR(D7="",D8=""),"",D7-D8)</f>
        <v/>
      </c>
      <c r="E9" s="35">
        <f>IF(OR(E7="",E8=""),"",E7-E8)</f>
        <v/>
      </c>
      <c r="F9" s="35">
        <f>IF(OR(F7="",F8=""),"",F7-F8)</f>
        <v/>
      </c>
      <c r="G9" s="35">
        <f>IF(OR(G7="",G8=""),"",G7-G8)</f>
        <v/>
      </c>
      <c r="H9" s="35">
        <f>IF(OR(H7="",H8=""),"",H7-H8)</f>
        <v/>
      </c>
      <c r="I9" s="35">
        <f>IF(OR(I7="",I8=""),"",I7-I8)</f>
        <v/>
      </c>
      <c r="J9" s="35">
        <f>IF(OR(J7="",J8=""),"",J7-J8)</f>
        <v/>
      </c>
      <c r="K9" s="35">
        <f>IF(OR(K7="",K8=""),"",K7-K8)</f>
        <v/>
      </c>
      <c r="L9" s="35">
        <f>IF(OR(L7="",L8=""),"",L7-L8)</f>
        <v/>
      </c>
      <c r="M9" s="36">
        <f>IF(OR(M7="",M8=""),"",M7-M8)</f>
        <v/>
      </c>
      <c r="N9" s="36">
        <f>IF(OR(N7="",N8=""),"",N7-N8)</f>
        <v/>
      </c>
    </row>
    <row r="11">
      <c r="A11" s="27" t="inlineStr">
        <is>
          <t>Revenue growth YoY %</t>
        </is>
      </c>
      <c r="B11" s="29" t="inlineStr">
        <is>
          <t>Company</t>
        </is>
      </c>
      <c r="C11" s="37">
        <f>IFERROR(INDEX('SW Metrics'!$C$108:$C$206,MATCH($B$4,'SW Metrics'!$A$108:$A$206,0)),"")</f>
        <v/>
      </c>
      <c r="D11" s="37">
        <f>IFERROR(INDEX('SW Metrics'!$D$108:$D$206,MATCH($B$4,'SW Metrics'!$A$108:$A$206,0)),"")</f>
        <v/>
      </c>
      <c r="E11" s="37">
        <f>IFERROR(INDEX('SW Metrics'!$E$108:$E$206,MATCH($B$4,'SW Metrics'!$A$108:$A$206,0)),"")</f>
        <v/>
      </c>
      <c r="F11" s="37">
        <f>IFERROR(INDEX('SW Metrics'!$F$108:$F$206,MATCH($B$4,'SW Metrics'!$A$108:$A$206,0)),"")</f>
        <v/>
      </c>
      <c r="G11" s="37">
        <f>IFERROR(INDEX('SW Metrics'!$G$108:$G$206,MATCH($B$4,'SW Metrics'!$A$108:$A$206,0)),"")</f>
        <v/>
      </c>
      <c r="H11" s="37">
        <f>IFERROR(INDEX('SW Metrics'!$H$108:$H$206,MATCH($B$4,'SW Metrics'!$A$108:$A$206,0)),"")</f>
        <v/>
      </c>
      <c r="I11" s="37">
        <f>IFERROR(INDEX('SW Metrics'!$I$108:$I$206,MATCH($B$4,'SW Metrics'!$A$108:$A$206,0)),"")</f>
        <v/>
      </c>
      <c r="J11" s="37">
        <f>IFERROR(INDEX('SW Metrics'!$J$108:$J$206,MATCH($B$4,'SW Metrics'!$A$108:$A$206,0)),"")</f>
        <v/>
      </c>
      <c r="K11" s="37">
        <f>IFERROR(INDEX('SW Metrics'!$K$108:$K$206,MATCH($B$4,'SW Metrics'!$A$108:$A$206,0)),"")</f>
        <v/>
      </c>
      <c r="L11" s="37">
        <f>IFERROR(INDEX('SW Metrics'!$L$108:$L$206,MATCH($B$4,'SW Metrics'!$A$108:$A$206,0)),"")</f>
        <v/>
      </c>
      <c r="M11" s="38">
        <f>IFERROR(INDEX('SW Metrics'!$M$108:$M$206,MATCH($B$4,'SW Metrics'!$A$108:$A$206,0)),"")</f>
        <v/>
      </c>
      <c r="N11" s="38">
        <f>IFERROR(INDEX('SW Metrics'!$N$108:$N$206,MATCH($B$4,'SW Metrics'!$A$108:$A$206,0)),"")</f>
        <v/>
      </c>
    </row>
    <row r="12">
      <c r="A12" s="29" t="inlineStr"/>
      <c r="B12" s="32" t="inlineStr">
        <is>
          <t>Peer median</t>
        </is>
      </c>
      <c r="C12" s="39">
        <f>IFERROR(MEDIAN('SW Metrics'!$C$108:$C$206),"")</f>
        <v/>
      </c>
      <c r="D12" s="39">
        <f>IFERROR(MEDIAN('SW Metrics'!$D$108:$D$206),"")</f>
        <v/>
      </c>
      <c r="E12" s="39">
        <f>IFERROR(MEDIAN('SW Metrics'!$E$108:$E$206),"")</f>
        <v/>
      </c>
      <c r="F12" s="39">
        <f>IFERROR(MEDIAN('SW Metrics'!$F$108:$F$206),"")</f>
        <v/>
      </c>
      <c r="G12" s="39">
        <f>IFERROR(MEDIAN('SW Metrics'!$G$108:$G$206),"")</f>
        <v/>
      </c>
      <c r="H12" s="39">
        <f>IFERROR(MEDIAN('SW Metrics'!$H$108:$H$206),"")</f>
        <v/>
      </c>
      <c r="I12" s="39">
        <f>IFERROR(MEDIAN('SW Metrics'!$I$108:$I$206),"")</f>
        <v/>
      </c>
      <c r="J12" s="39">
        <f>IFERROR(MEDIAN('SW Metrics'!$J$108:$J$206),"")</f>
        <v/>
      </c>
      <c r="K12" s="39">
        <f>IFERROR(MEDIAN('SW Metrics'!$K$108:$K$206),"")</f>
        <v/>
      </c>
      <c r="L12" s="39">
        <f>IFERROR(MEDIAN('SW Metrics'!$L$108:$L$206),"")</f>
        <v/>
      </c>
      <c r="M12" s="40">
        <f>IFERROR(MEDIAN('SW Metrics'!$M$108:$M$206),"")</f>
        <v/>
      </c>
      <c r="N12" s="40">
        <f>IFERROR(MEDIAN('SW Metrics'!$N$108:$N$206),"")</f>
        <v/>
      </c>
    </row>
    <row r="13">
      <c r="A13" s="29" t="inlineStr"/>
      <c r="B13" s="32" t="inlineStr">
        <is>
          <t>vs median</t>
        </is>
      </c>
      <c r="C13" s="41">
        <f>IF(OR(C11="",C12=""),"",C11-C12)</f>
        <v/>
      </c>
      <c r="D13" s="41">
        <f>IF(OR(D11="",D12=""),"",D11-D12)</f>
        <v/>
      </c>
      <c r="E13" s="41">
        <f>IF(OR(E11="",E12=""),"",E11-E12)</f>
        <v/>
      </c>
      <c r="F13" s="41">
        <f>IF(OR(F11="",F12=""),"",F11-F12)</f>
        <v/>
      </c>
      <c r="G13" s="41">
        <f>IF(OR(G11="",G12=""),"",G11-G12)</f>
        <v/>
      </c>
      <c r="H13" s="41">
        <f>IF(OR(H11="",H12=""),"",H11-H12)</f>
        <v/>
      </c>
      <c r="I13" s="41">
        <f>IF(OR(I11="",I12=""),"",I11-I12)</f>
        <v/>
      </c>
      <c r="J13" s="41">
        <f>IF(OR(J11="",J12=""),"",J11-J12)</f>
        <v/>
      </c>
      <c r="K13" s="41">
        <f>IF(OR(K11="",K12=""),"",K11-K12)</f>
        <v/>
      </c>
      <c r="L13" s="41">
        <f>IF(OR(L11="",L12=""),"",L11-L12)</f>
        <v/>
      </c>
      <c r="M13" s="42">
        <f>IF(OR(M11="",M12=""),"",M11-M12)</f>
        <v/>
      </c>
      <c r="N13" s="42">
        <f>IF(OR(N11="",N12=""),"",N11-N12)</f>
        <v/>
      </c>
    </row>
    <row r="15">
      <c r="A15" s="27" t="inlineStr">
        <is>
          <t>Revenue growth QoQ %</t>
        </is>
      </c>
      <c r="B15" s="29" t="inlineStr">
        <is>
          <t>Company</t>
        </is>
      </c>
      <c r="C15" s="37">
        <f>IFERROR(INDEX('SW Metrics'!$C$210:$C$308,MATCH($B$4,'SW Metrics'!$A$210:$A$308,0)),"")</f>
        <v/>
      </c>
      <c r="D15" s="37">
        <f>IFERROR(INDEX('SW Metrics'!$D$210:$D$308,MATCH($B$4,'SW Metrics'!$A$210:$A$308,0)),"")</f>
        <v/>
      </c>
      <c r="E15" s="37">
        <f>IFERROR(INDEX('SW Metrics'!$E$210:$E$308,MATCH($B$4,'SW Metrics'!$A$210:$A$308,0)),"")</f>
        <v/>
      </c>
      <c r="F15" s="37">
        <f>IFERROR(INDEX('SW Metrics'!$F$210:$F$308,MATCH($B$4,'SW Metrics'!$A$210:$A$308,0)),"")</f>
        <v/>
      </c>
      <c r="G15" s="37">
        <f>IFERROR(INDEX('SW Metrics'!$G$210:$G$308,MATCH($B$4,'SW Metrics'!$A$210:$A$308,0)),"")</f>
        <v/>
      </c>
      <c r="H15" s="37">
        <f>IFERROR(INDEX('SW Metrics'!$H$210:$H$308,MATCH($B$4,'SW Metrics'!$A$210:$A$308,0)),"")</f>
        <v/>
      </c>
      <c r="I15" s="37">
        <f>IFERROR(INDEX('SW Metrics'!$I$210:$I$308,MATCH($B$4,'SW Metrics'!$A$210:$A$308,0)),"")</f>
        <v/>
      </c>
      <c r="J15" s="37">
        <f>IFERROR(INDEX('SW Metrics'!$J$210:$J$308,MATCH($B$4,'SW Metrics'!$A$210:$A$308,0)),"")</f>
        <v/>
      </c>
      <c r="K15" s="37">
        <f>IFERROR(INDEX('SW Metrics'!$K$210:$K$308,MATCH($B$4,'SW Metrics'!$A$210:$A$308,0)),"")</f>
        <v/>
      </c>
      <c r="L15" s="37">
        <f>IFERROR(INDEX('SW Metrics'!$L$210:$L$308,MATCH($B$4,'SW Metrics'!$A$210:$A$308,0)),"")</f>
        <v/>
      </c>
      <c r="M15" s="38">
        <f>IFERROR(INDEX('SW Metrics'!$M$210:$M$308,MATCH($B$4,'SW Metrics'!$A$210:$A$308,0)),"")</f>
        <v/>
      </c>
      <c r="N15" s="38">
        <f>IFERROR(INDEX('SW Metrics'!$N$210:$N$308,MATCH($B$4,'SW Metrics'!$A$210:$A$308,0)),"")</f>
        <v/>
      </c>
    </row>
    <row r="16">
      <c r="A16" s="29" t="inlineStr"/>
      <c r="B16" s="32" t="inlineStr">
        <is>
          <t>Peer median</t>
        </is>
      </c>
      <c r="C16" s="39">
        <f>IFERROR(MEDIAN('SW Metrics'!$C$210:$C$308),"")</f>
        <v/>
      </c>
      <c r="D16" s="39">
        <f>IFERROR(MEDIAN('SW Metrics'!$D$210:$D$308),"")</f>
        <v/>
      </c>
      <c r="E16" s="39">
        <f>IFERROR(MEDIAN('SW Metrics'!$E$210:$E$308),"")</f>
        <v/>
      </c>
      <c r="F16" s="39">
        <f>IFERROR(MEDIAN('SW Metrics'!$F$210:$F$308),"")</f>
        <v/>
      </c>
      <c r="G16" s="39">
        <f>IFERROR(MEDIAN('SW Metrics'!$G$210:$G$308),"")</f>
        <v/>
      </c>
      <c r="H16" s="39">
        <f>IFERROR(MEDIAN('SW Metrics'!$H$210:$H$308),"")</f>
        <v/>
      </c>
      <c r="I16" s="39">
        <f>IFERROR(MEDIAN('SW Metrics'!$I$210:$I$308),"")</f>
        <v/>
      </c>
      <c r="J16" s="39">
        <f>IFERROR(MEDIAN('SW Metrics'!$J$210:$J$308),"")</f>
        <v/>
      </c>
      <c r="K16" s="39">
        <f>IFERROR(MEDIAN('SW Metrics'!$K$210:$K$308),"")</f>
        <v/>
      </c>
      <c r="L16" s="39">
        <f>IFERROR(MEDIAN('SW Metrics'!$L$210:$L$308),"")</f>
        <v/>
      </c>
      <c r="M16" s="40">
        <f>IFERROR(MEDIAN('SW Metrics'!$M$210:$M$308),"")</f>
        <v/>
      </c>
      <c r="N16" s="40">
        <f>IFERROR(MEDIAN('SW Metrics'!$N$210:$N$308),"")</f>
        <v/>
      </c>
    </row>
    <row r="17">
      <c r="A17" s="29" t="inlineStr"/>
      <c r="B17" s="32" t="inlineStr">
        <is>
          <t>vs median</t>
        </is>
      </c>
      <c r="C17" s="41">
        <f>IF(OR(C15="",C16=""),"",C15-C16)</f>
        <v/>
      </c>
      <c r="D17" s="41">
        <f>IF(OR(D15="",D16=""),"",D15-D16)</f>
        <v/>
      </c>
      <c r="E17" s="41">
        <f>IF(OR(E15="",E16=""),"",E15-E16)</f>
        <v/>
      </c>
      <c r="F17" s="41">
        <f>IF(OR(F15="",F16=""),"",F15-F16)</f>
        <v/>
      </c>
      <c r="G17" s="41">
        <f>IF(OR(G15="",G16=""),"",G15-G16)</f>
        <v/>
      </c>
      <c r="H17" s="41">
        <f>IF(OR(H15="",H16=""),"",H15-H16)</f>
        <v/>
      </c>
      <c r="I17" s="41">
        <f>IF(OR(I15="",I16=""),"",I15-I16)</f>
        <v/>
      </c>
      <c r="J17" s="41">
        <f>IF(OR(J15="",J16=""),"",J15-J16)</f>
        <v/>
      </c>
      <c r="K17" s="41">
        <f>IF(OR(K15="",K16=""),"",K15-K16)</f>
        <v/>
      </c>
      <c r="L17" s="41">
        <f>IF(OR(L15="",L16=""),"",L15-L16)</f>
        <v/>
      </c>
      <c r="M17" s="42">
        <f>IF(OR(M15="",M16=""),"",M15-M16)</f>
        <v/>
      </c>
      <c r="N17" s="42">
        <f>IF(OR(N15="",N16=""),"",N15-N16)</f>
        <v/>
      </c>
    </row>
    <row r="19">
      <c r="A19" s="27" t="inlineStr">
        <is>
          <t>$ Added YoY (USD mm)</t>
        </is>
      </c>
      <c r="B19" s="29" t="inlineStr">
        <is>
          <t>Company</t>
        </is>
      </c>
      <c r="C19" s="30">
        <f>IFERROR(INDEX('SW Metrics'!$C$312:$C$410,MATCH($B$4,'SW Metrics'!$A$312:$A$410,0)),"")</f>
        <v/>
      </c>
      <c r="D19" s="30">
        <f>IFERROR(INDEX('SW Metrics'!$D$312:$D$410,MATCH($B$4,'SW Metrics'!$A$312:$A$410,0)),"")</f>
        <v/>
      </c>
      <c r="E19" s="30">
        <f>IFERROR(INDEX('SW Metrics'!$E$312:$E$410,MATCH($B$4,'SW Metrics'!$A$312:$A$410,0)),"")</f>
        <v/>
      </c>
      <c r="F19" s="30">
        <f>IFERROR(INDEX('SW Metrics'!$F$312:$F$410,MATCH($B$4,'SW Metrics'!$A$312:$A$410,0)),"")</f>
        <v/>
      </c>
      <c r="G19" s="30">
        <f>IFERROR(INDEX('SW Metrics'!$G$312:$G$410,MATCH($B$4,'SW Metrics'!$A$312:$A$410,0)),"")</f>
        <v/>
      </c>
      <c r="H19" s="30">
        <f>IFERROR(INDEX('SW Metrics'!$H$312:$H$410,MATCH($B$4,'SW Metrics'!$A$312:$A$410,0)),"")</f>
        <v/>
      </c>
      <c r="I19" s="30">
        <f>IFERROR(INDEX('SW Metrics'!$I$312:$I$410,MATCH($B$4,'SW Metrics'!$A$312:$A$410,0)),"")</f>
        <v/>
      </c>
      <c r="J19" s="30">
        <f>IFERROR(INDEX('SW Metrics'!$J$312:$J$410,MATCH($B$4,'SW Metrics'!$A$312:$A$410,0)),"")</f>
        <v/>
      </c>
      <c r="K19" s="30">
        <f>IFERROR(INDEX('SW Metrics'!$K$312:$K$410,MATCH($B$4,'SW Metrics'!$A$312:$A$410,0)),"")</f>
        <v/>
      </c>
      <c r="L19" s="30">
        <f>IFERROR(INDEX('SW Metrics'!$L$312:$L$410,MATCH($B$4,'SW Metrics'!$A$312:$A$410,0)),"")</f>
        <v/>
      </c>
      <c r="M19" s="31">
        <f>IFERROR(INDEX('SW Metrics'!$M$312:$M$410,MATCH($B$4,'SW Metrics'!$A$312:$A$410,0)),"")</f>
        <v/>
      </c>
      <c r="N19" s="31">
        <f>IFERROR(INDEX('SW Metrics'!$N$312:$N$410,MATCH($B$4,'SW Metrics'!$A$312:$A$410,0)),"")</f>
        <v/>
      </c>
    </row>
    <row r="20">
      <c r="A20" s="29" t="inlineStr"/>
      <c r="B20" s="32" t="inlineStr">
        <is>
          <t>Peer median</t>
        </is>
      </c>
      <c r="C20" s="33">
        <f>IFERROR(MEDIAN('SW Metrics'!$C$312:$C$410),"")</f>
        <v/>
      </c>
      <c r="D20" s="33">
        <f>IFERROR(MEDIAN('SW Metrics'!$D$312:$D$410),"")</f>
        <v/>
      </c>
      <c r="E20" s="33">
        <f>IFERROR(MEDIAN('SW Metrics'!$E$312:$E$410),"")</f>
        <v/>
      </c>
      <c r="F20" s="33">
        <f>IFERROR(MEDIAN('SW Metrics'!$F$312:$F$410),"")</f>
        <v/>
      </c>
      <c r="G20" s="33">
        <f>IFERROR(MEDIAN('SW Metrics'!$G$312:$G$410),"")</f>
        <v/>
      </c>
      <c r="H20" s="33">
        <f>IFERROR(MEDIAN('SW Metrics'!$H$312:$H$410),"")</f>
        <v/>
      </c>
      <c r="I20" s="33">
        <f>IFERROR(MEDIAN('SW Metrics'!$I$312:$I$410),"")</f>
        <v/>
      </c>
      <c r="J20" s="33">
        <f>IFERROR(MEDIAN('SW Metrics'!$J$312:$J$410),"")</f>
        <v/>
      </c>
      <c r="K20" s="33">
        <f>IFERROR(MEDIAN('SW Metrics'!$K$312:$K$410),"")</f>
        <v/>
      </c>
      <c r="L20" s="33">
        <f>IFERROR(MEDIAN('SW Metrics'!$L$312:$L$410),"")</f>
        <v/>
      </c>
      <c r="M20" s="34">
        <f>IFERROR(MEDIAN('SW Metrics'!$M$312:$M$410),"")</f>
        <v/>
      </c>
      <c r="N20" s="34">
        <f>IFERROR(MEDIAN('SW Metrics'!$N$312:$N$410),"")</f>
        <v/>
      </c>
    </row>
    <row r="21">
      <c r="A21" s="29" t="inlineStr"/>
      <c r="B21" s="32" t="inlineStr">
        <is>
          <t>vs median</t>
        </is>
      </c>
      <c r="C21" s="35">
        <f>IF(OR(C19="",C20=""),"",C19-C20)</f>
        <v/>
      </c>
      <c r="D21" s="35">
        <f>IF(OR(D19="",D20=""),"",D19-D20)</f>
        <v/>
      </c>
      <c r="E21" s="35">
        <f>IF(OR(E19="",E20=""),"",E19-E20)</f>
        <v/>
      </c>
      <c r="F21" s="35">
        <f>IF(OR(F19="",F20=""),"",F19-F20)</f>
        <v/>
      </c>
      <c r="G21" s="35">
        <f>IF(OR(G19="",G20=""),"",G19-G20)</f>
        <v/>
      </c>
      <c r="H21" s="35">
        <f>IF(OR(H19="",H20=""),"",H19-H20)</f>
        <v/>
      </c>
      <c r="I21" s="35">
        <f>IF(OR(I19="",I20=""),"",I19-I20)</f>
        <v/>
      </c>
      <c r="J21" s="35">
        <f>IF(OR(J19="",J20=""),"",J19-J20)</f>
        <v/>
      </c>
      <c r="K21" s="35">
        <f>IF(OR(K19="",K20=""),"",K19-K20)</f>
        <v/>
      </c>
      <c r="L21" s="35">
        <f>IF(OR(L19="",L20=""),"",L19-L20)</f>
        <v/>
      </c>
      <c r="M21" s="36">
        <f>IF(OR(M19="",M20=""),"",M19-M20)</f>
        <v/>
      </c>
      <c r="N21" s="36">
        <f>IF(OR(N19="",N20=""),"",N19-N20)</f>
        <v/>
      </c>
    </row>
    <row r="23">
      <c r="A23" s="27" t="inlineStr">
        <is>
          <t>$ Added QoQ (USD mm)</t>
        </is>
      </c>
      <c r="B23" s="29" t="inlineStr">
        <is>
          <t>Company</t>
        </is>
      </c>
      <c r="C23" s="30">
        <f>IFERROR(INDEX('SW Metrics'!$C$414:$C$512,MATCH($B$4,'SW Metrics'!$A$414:$A$512,0)),"")</f>
        <v/>
      </c>
      <c r="D23" s="30">
        <f>IFERROR(INDEX('SW Metrics'!$D$414:$D$512,MATCH($B$4,'SW Metrics'!$A$414:$A$512,0)),"")</f>
        <v/>
      </c>
      <c r="E23" s="30">
        <f>IFERROR(INDEX('SW Metrics'!$E$414:$E$512,MATCH($B$4,'SW Metrics'!$A$414:$A$512,0)),"")</f>
        <v/>
      </c>
      <c r="F23" s="30">
        <f>IFERROR(INDEX('SW Metrics'!$F$414:$F$512,MATCH($B$4,'SW Metrics'!$A$414:$A$512,0)),"")</f>
        <v/>
      </c>
      <c r="G23" s="30">
        <f>IFERROR(INDEX('SW Metrics'!$G$414:$G$512,MATCH($B$4,'SW Metrics'!$A$414:$A$512,0)),"")</f>
        <v/>
      </c>
      <c r="H23" s="30">
        <f>IFERROR(INDEX('SW Metrics'!$H$414:$H$512,MATCH($B$4,'SW Metrics'!$A$414:$A$512,0)),"")</f>
        <v/>
      </c>
      <c r="I23" s="30">
        <f>IFERROR(INDEX('SW Metrics'!$I$414:$I$512,MATCH($B$4,'SW Metrics'!$A$414:$A$512,0)),"")</f>
        <v/>
      </c>
      <c r="J23" s="30">
        <f>IFERROR(INDEX('SW Metrics'!$J$414:$J$512,MATCH($B$4,'SW Metrics'!$A$414:$A$512,0)),"")</f>
        <v/>
      </c>
      <c r="K23" s="30">
        <f>IFERROR(INDEX('SW Metrics'!$K$414:$K$512,MATCH($B$4,'SW Metrics'!$A$414:$A$512,0)),"")</f>
        <v/>
      </c>
      <c r="L23" s="30">
        <f>IFERROR(INDEX('SW Metrics'!$L$414:$L$512,MATCH($B$4,'SW Metrics'!$A$414:$A$512,0)),"")</f>
        <v/>
      </c>
      <c r="M23" s="31">
        <f>IFERROR(INDEX('SW Metrics'!$M$414:$M$512,MATCH($B$4,'SW Metrics'!$A$414:$A$512,0)),"")</f>
        <v/>
      </c>
      <c r="N23" s="31">
        <f>IFERROR(INDEX('SW Metrics'!$N$414:$N$512,MATCH($B$4,'SW Metrics'!$A$414:$A$512,0)),"")</f>
        <v/>
      </c>
    </row>
    <row r="24">
      <c r="A24" s="29" t="inlineStr"/>
      <c r="B24" s="32" t="inlineStr">
        <is>
          <t>Peer median</t>
        </is>
      </c>
      <c r="C24" s="33">
        <f>IFERROR(MEDIAN('SW Metrics'!$C$414:$C$512),"")</f>
        <v/>
      </c>
      <c r="D24" s="33">
        <f>IFERROR(MEDIAN('SW Metrics'!$D$414:$D$512),"")</f>
        <v/>
      </c>
      <c r="E24" s="33">
        <f>IFERROR(MEDIAN('SW Metrics'!$E$414:$E$512),"")</f>
        <v/>
      </c>
      <c r="F24" s="33">
        <f>IFERROR(MEDIAN('SW Metrics'!$F$414:$F$512),"")</f>
        <v/>
      </c>
      <c r="G24" s="33">
        <f>IFERROR(MEDIAN('SW Metrics'!$G$414:$G$512),"")</f>
        <v/>
      </c>
      <c r="H24" s="33">
        <f>IFERROR(MEDIAN('SW Metrics'!$H$414:$H$512),"")</f>
        <v/>
      </c>
      <c r="I24" s="33">
        <f>IFERROR(MEDIAN('SW Metrics'!$I$414:$I$512),"")</f>
        <v/>
      </c>
      <c r="J24" s="33">
        <f>IFERROR(MEDIAN('SW Metrics'!$J$414:$J$512),"")</f>
        <v/>
      </c>
      <c r="K24" s="33">
        <f>IFERROR(MEDIAN('SW Metrics'!$K$414:$K$512),"")</f>
        <v/>
      </c>
      <c r="L24" s="33">
        <f>IFERROR(MEDIAN('SW Metrics'!$L$414:$L$512),"")</f>
        <v/>
      </c>
      <c r="M24" s="34">
        <f>IFERROR(MEDIAN('SW Metrics'!$M$414:$M$512),"")</f>
        <v/>
      </c>
      <c r="N24" s="34">
        <f>IFERROR(MEDIAN('SW Metrics'!$N$414:$N$512),"")</f>
        <v/>
      </c>
    </row>
    <row r="25">
      <c r="A25" s="29" t="inlineStr"/>
      <c r="B25" s="32" t="inlineStr">
        <is>
          <t>vs median</t>
        </is>
      </c>
      <c r="C25" s="35">
        <f>IF(OR(C23="",C24=""),"",C23-C24)</f>
        <v/>
      </c>
      <c r="D25" s="35">
        <f>IF(OR(D23="",D24=""),"",D23-D24)</f>
        <v/>
      </c>
      <c r="E25" s="35">
        <f>IF(OR(E23="",E24=""),"",E23-E24)</f>
        <v/>
      </c>
      <c r="F25" s="35">
        <f>IF(OR(F23="",F24=""),"",F23-F24)</f>
        <v/>
      </c>
      <c r="G25" s="35">
        <f>IF(OR(G23="",G24=""),"",G23-G24)</f>
        <v/>
      </c>
      <c r="H25" s="35">
        <f>IF(OR(H23="",H24=""),"",H23-H24)</f>
        <v/>
      </c>
      <c r="I25" s="35">
        <f>IF(OR(I23="",I24=""),"",I23-I24)</f>
        <v/>
      </c>
      <c r="J25" s="35">
        <f>IF(OR(J23="",J24=""),"",J23-J24)</f>
        <v/>
      </c>
      <c r="K25" s="35">
        <f>IF(OR(K23="",K24=""),"",K23-K24)</f>
        <v/>
      </c>
      <c r="L25" s="35">
        <f>IF(OR(L23="",L24=""),"",L23-L24)</f>
        <v/>
      </c>
      <c r="M25" s="36">
        <f>IF(OR(M23="",M24=""),"",M23-M24)</f>
        <v/>
      </c>
      <c r="N25" s="36">
        <f>IF(OR(N23="",N24=""),"",N23-N24)</f>
        <v/>
      </c>
    </row>
    <row r="27">
      <c r="A27" s="27" t="inlineStr">
        <is>
          <t>Op margin %</t>
        </is>
      </c>
      <c r="B27" s="29" t="inlineStr">
        <is>
          <t>Company</t>
        </is>
      </c>
      <c r="C27" s="37">
        <f>IFERROR(INDEX('SW Metrics'!$C$516:$C$614,MATCH($B$4,'SW Metrics'!$A$516:$A$614,0)),"")</f>
        <v/>
      </c>
      <c r="D27" s="37">
        <f>IFERROR(INDEX('SW Metrics'!$D$516:$D$614,MATCH($B$4,'SW Metrics'!$A$516:$A$614,0)),"")</f>
        <v/>
      </c>
      <c r="E27" s="37">
        <f>IFERROR(INDEX('SW Metrics'!$E$516:$E$614,MATCH($B$4,'SW Metrics'!$A$516:$A$614,0)),"")</f>
        <v/>
      </c>
      <c r="F27" s="37">
        <f>IFERROR(INDEX('SW Metrics'!$F$516:$F$614,MATCH($B$4,'SW Metrics'!$A$516:$A$614,0)),"")</f>
        <v/>
      </c>
      <c r="G27" s="37">
        <f>IFERROR(INDEX('SW Metrics'!$G$516:$G$614,MATCH($B$4,'SW Metrics'!$A$516:$A$614,0)),"")</f>
        <v/>
      </c>
      <c r="H27" s="37">
        <f>IFERROR(INDEX('SW Metrics'!$H$516:$H$614,MATCH($B$4,'SW Metrics'!$A$516:$A$614,0)),"")</f>
        <v/>
      </c>
      <c r="I27" s="37">
        <f>IFERROR(INDEX('SW Metrics'!$I$516:$I$614,MATCH($B$4,'SW Metrics'!$A$516:$A$614,0)),"")</f>
        <v/>
      </c>
      <c r="J27" s="37">
        <f>IFERROR(INDEX('SW Metrics'!$J$516:$J$614,MATCH($B$4,'SW Metrics'!$A$516:$A$614,0)),"")</f>
        <v/>
      </c>
      <c r="K27" s="37">
        <f>IFERROR(INDEX('SW Metrics'!$K$516:$K$614,MATCH($B$4,'SW Metrics'!$A$516:$A$614,0)),"")</f>
        <v/>
      </c>
      <c r="L27" s="37">
        <f>IFERROR(INDEX('SW Metrics'!$L$516:$L$614,MATCH($B$4,'SW Metrics'!$A$516:$A$614,0)),"")</f>
        <v/>
      </c>
      <c r="M27" s="38">
        <f>IFERROR(INDEX('SW Metrics'!$M$516:$M$614,MATCH($B$4,'SW Metrics'!$A$516:$A$614,0)),"")</f>
        <v/>
      </c>
      <c r="N27" s="38">
        <f>IFERROR(INDEX('SW Metrics'!$N$516:$N$614,MATCH($B$4,'SW Metrics'!$A$516:$A$614,0)),"")</f>
        <v/>
      </c>
    </row>
    <row r="28">
      <c r="A28" s="29" t="inlineStr"/>
      <c r="B28" s="32" t="inlineStr">
        <is>
          <t>Peer median</t>
        </is>
      </c>
      <c r="C28" s="39">
        <f>IFERROR(MEDIAN('SW Metrics'!$C$516:$C$614),"")</f>
        <v/>
      </c>
      <c r="D28" s="39">
        <f>IFERROR(MEDIAN('SW Metrics'!$D$516:$D$614),"")</f>
        <v/>
      </c>
      <c r="E28" s="39">
        <f>IFERROR(MEDIAN('SW Metrics'!$E$516:$E$614),"")</f>
        <v/>
      </c>
      <c r="F28" s="39">
        <f>IFERROR(MEDIAN('SW Metrics'!$F$516:$F$614),"")</f>
        <v/>
      </c>
      <c r="G28" s="39">
        <f>IFERROR(MEDIAN('SW Metrics'!$G$516:$G$614),"")</f>
        <v/>
      </c>
      <c r="H28" s="39">
        <f>IFERROR(MEDIAN('SW Metrics'!$H$516:$H$614),"")</f>
        <v/>
      </c>
      <c r="I28" s="39">
        <f>IFERROR(MEDIAN('SW Metrics'!$I$516:$I$614),"")</f>
        <v/>
      </c>
      <c r="J28" s="39">
        <f>IFERROR(MEDIAN('SW Metrics'!$J$516:$J$614),"")</f>
        <v/>
      </c>
      <c r="K28" s="39">
        <f>IFERROR(MEDIAN('SW Metrics'!$K$516:$K$614),"")</f>
        <v/>
      </c>
      <c r="L28" s="39">
        <f>IFERROR(MEDIAN('SW Metrics'!$L$516:$L$614),"")</f>
        <v/>
      </c>
      <c r="M28" s="40">
        <f>IFERROR(MEDIAN('SW Metrics'!$M$516:$M$614),"")</f>
        <v/>
      </c>
      <c r="N28" s="40">
        <f>IFERROR(MEDIAN('SW Metrics'!$N$516:$N$614),"")</f>
        <v/>
      </c>
    </row>
    <row r="29">
      <c r="A29" s="29" t="inlineStr"/>
      <c r="B29" s="32" t="inlineStr">
        <is>
          <t>vs median</t>
        </is>
      </c>
      <c r="C29" s="41">
        <f>IF(OR(C27="",C28=""),"",C27-C28)</f>
        <v/>
      </c>
      <c r="D29" s="41">
        <f>IF(OR(D27="",D28=""),"",D27-D28)</f>
        <v/>
      </c>
      <c r="E29" s="41">
        <f>IF(OR(E27="",E28=""),"",E27-E28)</f>
        <v/>
      </c>
      <c r="F29" s="41">
        <f>IF(OR(F27="",F28=""),"",F27-F28)</f>
        <v/>
      </c>
      <c r="G29" s="41">
        <f>IF(OR(G27="",G28=""),"",G27-G28)</f>
        <v/>
      </c>
      <c r="H29" s="41">
        <f>IF(OR(H27="",H28=""),"",H27-H28)</f>
        <v/>
      </c>
      <c r="I29" s="41">
        <f>IF(OR(I27="",I28=""),"",I27-I28)</f>
        <v/>
      </c>
      <c r="J29" s="41">
        <f>IF(OR(J27="",J28=""),"",J27-J28)</f>
        <v/>
      </c>
      <c r="K29" s="41">
        <f>IF(OR(K27="",K28=""),"",K27-K28)</f>
        <v/>
      </c>
      <c r="L29" s="41">
        <f>IF(OR(L27="",L28=""),"",L27-L28)</f>
        <v/>
      </c>
      <c r="M29" s="42">
        <f>IF(OR(M27="",M28=""),"",M27-M28)</f>
        <v/>
      </c>
      <c r="N29" s="42">
        <f>IF(OR(N27="",N28=""),"",N27-N28)</f>
        <v/>
      </c>
    </row>
    <row r="31">
      <c r="A31" s="27" t="inlineStr">
        <is>
          <t>Op margin Δ YoY (bps)</t>
        </is>
      </c>
      <c r="B31" s="29" t="inlineStr">
        <is>
          <t>Company</t>
        </is>
      </c>
      <c r="C31" s="43">
        <f>IFERROR(INDEX('SW Metrics'!$C$618:$C$716,MATCH($B$4,'SW Metrics'!$A$618:$A$716,0)),"")</f>
        <v/>
      </c>
      <c r="D31" s="43">
        <f>IFERROR(INDEX('SW Metrics'!$D$618:$D$716,MATCH($B$4,'SW Metrics'!$A$618:$A$716,0)),"")</f>
        <v/>
      </c>
      <c r="E31" s="43">
        <f>IFERROR(INDEX('SW Metrics'!$E$618:$E$716,MATCH($B$4,'SW Metrics'!$A$618:$A$716,0)),"")</f>
        <v/>
      </c>
      <c r="F31" s="43">
        <f>IFERROR(INDEX('SW Metrics'!$F$618:$F$716,MATCH($B$4,'SW Metrics'!$A$618:$A$716,0)),"")</f>
        <v/>
      </c>
      <c r="G31" s="43">
        <f>IFERROR(INDEX('SW Metrics'!$G$618:$G$716,MATCH($B$4,'SW Metrics'!$A$618:$A$716,0)),"")</f>
        <v/>
      </c>
      <c r="H31" s="43">
        <f>IFERROR(INDEX('SW Metrics'!$H$618:$H$716,MATCH($B$4,'SW Metrics'!$A$618:$A$716,0)),"")</f>
        <v/>
      </c>
      <c r="I31" s="43">
        <f>IFERROR(INDEX('SW Metrics'!$I$618:$I$716,MATCH($B$4,'SW Metrics'!$A$618:$A$716,0)),"")</f>
        <v/>
      </c>
      <c r="J31" s="43">
        <f>IFERROR(INDEX('SW Metrics'!$J$618:$J$716,MATCH($B$4,'SW Metrics'!$A$618:$A$716,0)),"")</f>
        <v/>
      </c>
      <c r="K31" s="43">
        <f>IFERROR(INDEX('SW Metrics'!$K$618:$K$716,MATCH($B$4,'SW Metrics'!$A$618:$A$716,0)),"")</f>
        <v/>
      </c>
      <c r="L31" s="43">
        <f>IFERROR(INDEX('SW Metrics'!$L$618:$L$716,MATCH($B$4,'SW Metrics'!$A$618:$A$716,0)),"")</f>
        <v/>
      </c>
      <c r="M31" s="44">
        <f>IFERROR(INDEX('SW Metrics'!$M$618:$M$716,MATCH($B$4,'SW Metrics'!$A$618:$A$716,0)),"")</f>
        <v/>
      </c>
      <c r="N31" s="44">
        <f>IFERROR(INDEX('SW Metrics'!$N$618:$N$716,MATCH($B$4,'SW Metrics'!$A$618:$A$716,0)),"")</f>
        <v/>
      </c>
    </row>
    <row r="32">
      <c r="A32" s="29" t="inlineStr"/>
      <c r="B32" s="32" t="inlineStr">
        <is>
          <t>Peer median</t>
        </is>
      </c>
      <c r="C32" s="45">
        <f>IFERROR(MEDIAN('SW Metrics'!$C$618:$C$716),"")</f>
        <v/>
      </c>
      <c r="D32" s="45">
        <f>IFERROR(MEDIAN('SW Metrics'!$D$618:$D$716),"")</f>
        <v/>
      </c>
      <c r="E32" s="45">
        <f>IFERROR(MEDIAN('SW Metrics'!$E$618:$E$716),"")</f>
        <v/>
      </c>
      <c r="F32" s="45">
        <f>IFERROR(MEDIAN('SW Metrics'!$F$618:$F$716),"")</f>
        <v/>
      </c>
      <c r="G32" s="45">
        <f>IFERROR(MEDIAN('SW Metrics'!$G$618:$G$716),"")</f>
        <v/>
      </c>
      <c r="H32" s="45">
        <f>IFERROR(MEDIAN('SW Metrics'!$H$618:$H$716),"")</f>
        <v/>
      </c>
      <c r="I32" s="45">
        <f>IFERROR(MEDIAN('SW Metrics'!$I$618:$I$716),"")</f>
        <v/>
      </c>
      <c r="J32" s="45">
        <f>IFERROR(MEDIAN('SW Metrics'!$J$618:$J$716),"")</f>
        <v/>
      </c>
      <c r="K32" s="45">
        <f>IFERROR(MEDIAN('SW Metrics'!$K$618:$K$716),"")</f>
        <v/>
      </c>
      <c r="L32" s="45">
        <f>IFERROR(MEDIAN('SW Metrics'!$L$618:$L$716),"")</f>
        <v/>
      </c>
      <c r="M32" s="46">
        <f>IFERROR(MEDIAN('SW Metrics'!$M$618:$M$716),"")</f>
        <v/>
      </c>
      <c r="N32" s="46">
        <f>IFERROR(MEDIAN('SW Metrics'!$N$618:$N$716),"")</f>
        <v/>
      </c>
    </row>
    <row r="33">
      <c r="A33" s="29" t="inlineStr"/>
      <c r="B33" s="32" t="inlineStr">
        <is>
          <t>vs median</t>
        </is>
      </c>
      <c r="C33" s="47">
        <f>IF(OR(C31="",C32=""),"",C31-C32)</f>
        <v/>
      </c>
      <c r="D33" s="47">
        <f>IF(OR(D31="",D32=""),"",D31-D32)</f>
        <v/>
      </c>
      <c r="E33" s="47">
        <f>IF(OR(E31="",E32=""),"",E31-E32)</f>
        <v/>
      </c>
      <c r="F33" s="47">
        <f>IF(OR(F31="",F32=""),"",F31-F32)</f>
        <v/>
      </c>
      <c r="G33" s="47">
        <f>IF(OR(G31="",G32=""),"",G31-G32)</f>
        <v/>
      </c>
      <c r="H33" s="47">
        <f>IF(OR(H31="",H32=""),"",H31-H32)</f>
        <v/>
      </c>
      <c r="I33" s="47">
        <f>IF(OR(I31="",I32=""),"",I31-I32)</f>
        <v/>
      </c>
      <c r="J33" s="47">
        <f>IF(OR(J31="",J32=""),"",J31-J32)</f>
        <v/>
      </c>
      <c r="K33" s="47">
        <f>IF(OR(K31="",K32=""),"",K31-K32)</f>
        <v/>
      </c>
      <c r="L33" s="47">
        <f>IF(OR(L31="",L32=""),"",L31-L32)</f>
        <v/>
      </c>
      <c r="M33" s="48">
        <f>IF(OR(M31="",M32=""),"",M31-M32)</f>
        <v/>
      </c>
      <c r="N33" s="48">
        <f>IF(OR(N31="",N32=""),"",N31-N32)</f>
        <v/>
      </c>
    </row>
    <row r="35">
      <c r="A35" s="27" t="inlineStr">
        <is>
          <t>Op income YoY %</t>
        </is>
      </c>
      <c r="B35" s="29" t="inlineStr">
        <is>
          <t>Company</t>
        </is>
      </c>
      <c r="C35" s="37">
        <f>IFERROR(INDEX('SW Metrics'!$C$720:$C$818,MATCH($B$4,'SW Metrics'!$A$720:$A$818,0)),"")</f>
        <v/>
      </c>
      <c r="D35" s="37">
        <f>IFERROR(INDEX('SW Metrics'!$D$720:$D$818,MATCH($B$4,'SW Metrics'!$A$720:$A$818,0)),"")</f>
        <v/>
      </c>
      <c r="E35" s="37">
        <f>IFERROR(INDEX('SW Metrics'!$E$720:$E$818,MATCH($B$4,'SW Metrics'!$A$720:$A$818,0)),"")</f>
        <v/>
      </c>
      <c r="F35" s="37">
        <f>IFERROR(INDEX('SW Metrics'!$F$720:$F$818,MATCH($B$4,'SW Metrics'!$A$720:$A$818,0)),"")</f>
        <v/>
      </c>
      <c r="G35" s="37">
        <f>IFERROR(INDEX('SW Metrics'!$G$720:$G$818,MATCH($B$4,'SW Metrics'!$A$720:$A$818,0)),"")</f>
        <v/>
      </c>
      <c r="H35" s="37">
        <f>IFERROR(INDEX('SW Metrics'!$H$720:$H$818,MATCH($B$4,'SW Metrics'!$A$720:$A$818,0)),"")</f>
        <v/>
      </c>
      <c r="I35" s="37">
        <f>IFERROR(INDEX('SW Metrics'!$I$720:$I$818,MATCH($B$4,'SW Metrics'!$A$720:$A$818,0)),"")</f>
        <v/>
      </c>
      <c r="J35" s="37">
        <f>IFERROR(INDEX('SW Metrics'!$J$720:$J$818,MATCH($B$4,'SW Metrics'!$A$720:$A$818,0)),"")</f>
        <v/>
      </c>
      <c r="K35" s="37">
        <f>IFERROR(INDEX('SW Metrics'!$K$720:$K$818,MATCH($B$4,'SW Metrics'!$A$720:$A$818,0)),"")</f>
        <v/>
      </c>
      <c r="L35" s="37">
        <f>IFERROR(INDEX('SW Metrics'!$L$720:$L$818,MATCH($B$4,'SW Metrics'!$A$720:$A$818,0)),"")</f>
        <v/>
      </c>
      <c r="M35" s="38">
        <f>IFERROR(INDEX('SW Metrics'!$M$720:$M$818,MATCH($B$4,'SW Metrics'!$A$720:$A$818,0)),"")</f>
        <v/>
      </c>
      <c r="N35" s="38">
        <f>IFERROR(INDEX('SW Metrics'!$N$720:$N$818,MATCH($B$4,'SW Metrics'!$A$720:$A$818,0)),"")</f>
        <v/>
      </c>
    </row>
    <row r="36">
      <c r="A36" s="29" t="inlineStr"/>
      <c r="B36" s="32" t="inlineStr">
        <is>
          <t>Peer median</t>
        </is>
      </c>
      <c r="C36" s="39">
        <f>IFERROR(MEDIAN('SW Metrics'!$C$720:$C$818),"")</f>
        <v/>
      </c>
      <c r="D36" s="39">
        <f>IFERROR(MEDIAN('SW Metrics'!$D$720:$D$818),"")</f>
        <v/>
      </c>
      <c r="E36" s="39">
        <f>IFERROR(MEDIAN('SW Metrics'!$E$720:$E$818),"")</f>
        <v/>
      </c>
      <c r="F36" s="39">
        <f>IFERROR(MEDIAN('SW Metrics'!$F$720:$F$818),"")</f>
        <v/>
      </c>
      <c r="G36" s="39">
        <f>IFERROR(MEDIAN('SW Metrics'!$G$720:$G$818),"")</f>
        <v/>
      </c>
      <c r="H36" s="39">
        <f>IFERROR(MEDIAN('SW Metrics'!$H$720:$H$818),"")</f>
        <v/>
      </c>
      <c r="I36" s="39">
        <f>IFERROR(MEDIAN('SW Metrics'!$I$720:$I$818),"")</f>
        <v/>
      </c>
      <c r="J36" s="39">
        <f>IFERROR(MEDIAN('SW Metrics'!$J$720:$J$818),"")</f>
        <v/>
      </c>
      <c r="K36" s="39">
        <f>IFERROR(MEDIAN('SW Metrics'!$K$720:$K$818),"")</f>
        <v/>
      </c>
      <c r="L36" s="39">
        <f>IFERROR(MEDIAN('SW Metrics'!$L$720:$L$818),"")</f>
        <v/>
      </c>
      <c r="M36" s="40">
        <f>IFERROR(MEDIAN('SW Metrics'!$M$720:$M$818),"")</f>
        <v/>
      </c>
      <c r="N36" s="40">
        <f>IFERROR(MEDIAN('SW Metrics'!$N$720:$N$818),"")</f>
        <v/>
      </c>
    </row>
    <row r="37">
      <c r="A37" s="29" t="inlineStr"/>
      <c r="B37" s="32" t="inlineStr">
        <is>
          <t>vs median</t>
        </is>
      </c>
      <c r="C37" s="41">
        <f>IF(OR(C35="",C36=""),"",C35-C36)</f>
        <v/>
      </c>
      <c r="D37" s="41">
        <f>IF(OR(D35="",D36=""),"",D35-D36)</f>
        <v/>
      </c>
      <c r="E37" s="41">
        <f>IF(OR(E35="",E36=""),"",E35-E36)</f>
        <v/>
      </c>
      <c r="F37" s="41">
        <f>IF(OR(F35="",F36=""),"",F35-F36)</f>
        <v/>
      </c>
      <c r="G37" s="41">
        <f>IF(OR(G35="",G36=""),"",G35-G36)</f>
        <v/>
      </c>
      <c r="H37" s="41">
        <f>IF(OR(H35="",H36=""),"",H35-H36)</f>
        <v/>
      </c>
      <c r="I37" s="41">
        <f>IF(OR(I35="",I36=""),"",I35-I36)</f>
        <v/>
      </c>
      <c r="J37" s="41">
        <f>IF(OR(J35="",J36=""),"",J35-J36)</f>
        <v/>
      </c>
      <c r="K37" s="41">
        <f>IF(OR(K35="",K36=""),"",K35-K36)</f>
        <v/>
      </c>
      <c r="L37" s="41">
        <f>IF(OR(L35="",L36=""),"",L35-L36)</f>
        <v/>
      </c>
      <c r="M37" s="42">
        <f>IF(OR(M35="",M36=""),"",M35-M36)</f>
        <v/>
      </c>
      <c r="N37" s="42">
        <f>IF(OR(N35="",N36=""),"",N35-N36)</f>
        <v/>
      </c>
    </row>
    <row r="39">
      <c r="A39" s="27" t="inlineStr">
        <is>
          <t>Incremental OpM % (leverage)</t>
        </is>
      </c>
      <c r="B39" s="29" t="inlineStr">
        <is>
          <t>Company</t>
        </is>
      </c>
      <c r="C39" s="37">
        <f>IFERROR(INDEX('SW Metrics'!$C$822:$C$920,MATCH($B$4,'SW Metrics'!$A$822:$A$920,0)),"")</f>
        <v/>
      </c>
      <c r="D39" s="37">
        <f>IFERROR(INDEX('SW Metrics'!$D$822:$D$920,MATCH($B$4,'SW Metrics'!$A$822:$A$920,0)),"")</f>
        <v/>
      </c>
      <c r="E39" s="37">
        <f>IFERROR(INDEX('SW Metrics'!$E$822:$E$920,MATCH($B$4,'SW Metrics'!$A$822:$A$920,0)),"")</f>
        <v/>
      </c>
      <c r="F39" s="37">
        <f>IFERROR(INDEX('SW Metrics'!$F$822:$F$920,MATCH($B$4,'SW Metrics'!$A$822:$A$920,0)),"")</f>
        <v/>
      </c>
      <c r="G39" s="37">
        <f>IFERROR(INDEX('SW Metrics'!$G$822:$G$920,MATCH($B$4,'SW Metrics'!$A$822:$A$920,0)),"")</f>
        <v/>
      </c>
      <c r="H39" s="37">
        <f>IFERROR(INDEX('SW Metrics'!$H$822:$H$920,MATCH($B$4,'SW Metrics'!$A$822:$A$920,0)),"")</f>
        <v/>
      </c>
      <c r="I39" s="37">
        <f>IFERROR(INDEX('SW Metrics'!$I$822:$I$920,MATCH($B$4,'SW Metrics'!$A$822:$A$920,0)),"")</f>
        <v/>
      </c>
      <c r="J39" s="37">
        <f>IFERROR(INDEX('SW Metrics'!$J$822:$J$920,MATCH($B$4,'SW Metrics'!$A$822:$A$920,0)),"")</f>
        <v/>
      </c>
      <c r="K39" s="37">
        <f>IFERROR(INDEX('SW Metrics'!$K$822:$K$920,MATCH($B$4,'SW Metrics'!$A$822:$A$920,0)),"")</f>
        <v/>
      </c>
      <c r="L39" s="37">
        <f>IFERROR(INDEX('SW Metrics'!$L$822:$L$920,MATCH($B$4,'SW Metrics'!$A$822:$A$920,0)),"")</f>
        <v/>
      </c>
      <c r="M39" s="38">
        <f>IFERROR(INDEX('SW Metrics'!$M$822:$M$920,MATCH($B$4,'SW Metrics'!$A$822:$A$920,0)),"")</f>
        <v/>
      </c>
      <c r="N39" s="38">
        <f>IFERROR(INDEX('SW Metrics'!$N$822:$N$920,MATCH($B$4,'SW Metrics'!$A$822:$A$920,0)),"")</f>
        <v/>
      </c>
    </row>
    <row r="40">
      <c r="A40" s="29" t="inlineStr"/>
      <c r="B40" s="32" t="inlineStr">
        <is>
          <t>Peer median</t>
        </is>
      </c>
      <c r="C40" s="39">
        <f>IFERROR(MEDIAN('SW Metrics'!$C$822:$C$920),"")</f>
        <v/>
      </c>
      <c r="D40" s="39">
        <f>IFERROR(MEDIAN('SW Metrics'!$D$822:$D$920),"")</f>
        <v/>
      </c>
      <c r="E40" s="39">
        <f>IFERROR(MEDIAN('SW Metrics'!$E$822:$E$920),"")</f>
        <v/>
      </c>
      <c r="F40" s="39">
        <f>IFERROR(MEDIAN('SW Metrics'!$F$822:$F$920),"")</f>
        <v/>
      </c>
      <c r="G40" s="39">
        <f>IFERROR(MEDIAN('SW Metrics'!$G$822:$G$920),"")</f>
        <v/>
      </c>
      <c r="H40" s="39">
        <f>IFERROR(MEDIAN('SW Metrics'!$H$822:$H$920),"")</f>
        <v/>
      </c>
      <c r="I40" s="39">
        <f>IFERROR(MEDIAN('SW Metrics'!$I$822:$I$920),"")</f>
        <v/>
      </c>
      <c r="J40" s="39">
        <f>IFERROR(MEDIAN('SW Metrics'!$J$822:$J$920),"")</f>
        <v/>
      </c>
      <c r="K40" s="39">
        <f>IFERROR(MEDIAN('SW Metrics'!$K$822:$K$920),"")</f>
        <v/>
      </c>
      <c r="L40" s="39">
        <f>IFERROR(MEDIAN('SW Metrics'!$L$822:$L$920),"")</f>
        <v/>
      </c>
      <c r="M40" s="40">
        <f>IFERROR(MEDIAN('SW Metrics'!$M$822:$M$920),"")</f>
        <v/>
      </c>
      <c r="N40" s="40">
        <f>IFERROR(MEDIAN('SW Metrics'!$N$822:$N$920),"")</f>
        <v/>
      </c>
    </row>
    <row r="41">
      <c r="A41" s="29" t="inlineStr"/>
      <c r="B41" s="32" t="inlineStr">
        <is>
          <t>vs median</t>
        </is>
      </c>
      <c r="C41" s="41">
        <f>IF(OR(C39="",C40=""),"",C39-C40)</f>
        <v/>
      </c>
      <c r="D41" s="41">
        <f>IF(OR(D39="",D40=""),"",D39-D40)</f>
        <v/>
      </c>
      <c r="E41" s="41">
        <f>IF(OR(E39="",E40=""),"",E39-E40)</f>
        <v/>
      </c>
      <c r="F41" s="41">
        <f>IF(OR(F39="",F40=""),"",F39-F40)</f>
        <v/>
      </c>
      <c r="G41" s="41">
        <f>IF(OR(G39="",G40=""),"",G39-G40)</f>
        <v/>
      </c>
      <c r="H41" s="41">
        <f>IF(OR(H39="",H40=""),"",H39-H40)</f>
        <v/>
      </c>
      <c r="I41" s="41">
        <f>IF(OR(I39="",I40=""),"",I39-I40)</f>
        <v/>
      </c>
      <c r="J41" s="41">
        <f>IF(OR(J39="",J40=""),"",J39-J40)</f>
        <v/>
      </c>
      <c r="K41" s="41">
        <f>IF(OR(K39="",K40=""),"",K39-K40)</f>
        <v/>
      </c>
      <c r="L41" s="41">
        <f>IF(OR(L39="",L40=""),"",L39-L40)</f>
        <v/>
      </c>
      <c r="M41" s="42">
        <f>IF(OR(M39="",M40=""),"",M39-M40)</f>
        <v/>
      </c>
      <c r="N41" s="42">
        <f>IF(OR(N39="",N40=""),"",N39-N40)</f>
        <v/>
      </c>
    </row>
    <row r="43">
      <c r="A43" s="27" t="inlineStr">
        <is>
          <t>FCF margin LTM %</t>
        </is>
      </c>
      <c r="B43" s="29" t="inlineStr">
        <is>
          <t>Company</t>
        </is>
      </c>
      <c r="C43" s="37">
        <f>IFERROR(INDEX('SW Metrics'!$C$924:$C$1022,MATCH($B$4,'SW Metrics'!$A$924:$A$1022,0)),"")</f>
        <v/>
      </c>
      <c r="D43" s="37">
        <f>IFERROR(INDEX('SW Metrics'!$D$924:$D$1022,MATCH($B$4,'SW Metrics'!$A$924:$A$1022,0)),"")</f>
        <v/>
      </c>
      <c r="E43" s="37">
        <f>IFERROR(INDEX('SW Metrics'!$E$924:$E$1022,MATCH($B$4,'SW Metrics'!$A$924:$A$1022,0)),"")</f>
        <v/>
      </c>
      <c r="F43" s="37">
        <f>IFERROR(INDEX('SW Metrics'!$F$924:$F$1022,MATCH($B$4,'SW Metrics'!$A$924:$A$1022,0)),"")</f>
        <v/>
      </c>
      <c r="G43" s="37">
        <f>IFERROR(INDEX('SW Metrics'!$G$924:$G$1022,MATCH($B$4,'SW Metrics'!$A$924:$A$1022,0)),"")</f>
        <v/>
      </c>
      <c r="H43" s="37">
        <f>IFERROR(INDEX('SW Metrics'!$H$924:$H$1022,MATCH($B$4,'SW Metrics'!$A$924:$A$1022,0)),"")</f>
        <v/>
      </c>
      <c r="I43" s="37">
        <f>IFERROR(INDEX('SW Metrics'!$I$924:$I$1022,MATCH($B$4,'SW Metrics'!$A$924:$A$1022,0)),"")</f>
        <v/>
      </c>
      <c r="J43" s="37">
        <f>IFERROR(INDEX('SW Metrics'!$J$924:$J$1022,MATCH($B$4,'SW Metrics'!$A$924:$A$1022,0)),"")</f>
        <v/>
      </c>
      <c r="K43" s="37">
        <f>IFERROR(INDEX('SW Metrics'!$K$924:$K$1022,MATCH($B$4,'SW Metrics'!$A$924:$A$1022,0)),"")</f>
        <v/>
      </c>
      <c r="L43" s="37">
        <f>IFERROR(INDEX('SW Metrics'!$L$924:$L$1022,MATCH($B$4,'SW Metrics'!$A$924:$A$1022,0)),"")</f>
        <v/>
      </c>
      <c r="M43" s="38">
        <f>IFERROR(INDEX('SW Metrics'!$M$924:$M$1022,MATCH($B$4,'SW Metrics'!$A$924:$A$1022,0)),"")</f>
        <v/>
      </c>
      <c r="N43" s="38">
        <f>IFERROR(INDEX('SW Metrics'!$N$924:$N$1022,MATCH($B$4,'SW Metrics'!$A$924:$A$1022,0)),"")</f>
        <v/>
      </c>
    </row>
    <row r="44">
      <c r="A44" s="29" t="inlineStr"/>
      <c r="B44" s="32" t="inlineStr">
        <is>
          <t>Peer median</t>
        </is>
      </c>
      <c r="C44" s="39">
        <f>IFERROR(MEDIAN('SW Metrics'!$C$924:$C$1022),"")</f>
        <v/>
      </c>
      <c r="D44" s="39">
        <f>IFERROR(MEDIAN('SW Metrics'!$D$924:$D$1022),"")</f>
        <v/>
      </c>
      <c r="E44" s="39">
        <f>IFERROR(MEDIAN('SW Metrics'!$E$924:$E$1022),"")</f>
        <v/>
      </c>
      <c r="F44" s="39">
        <f>IFERROR(MEDIAN('SW Metrics'!$F$924:$F$1022),"")</f>
        <v/>
      </c>
      <c r="G44" s="39">
        <f>IFERROR(MEDIAN('SW Metrics'!$G$924:$G$1022),"")</f>
        <v/>
      </c>
      <c r="H44" s="39">
        <f>IFERROR(MEDIAN('SW Metrics'!$H$924:$H$1022),"")</f>
        <v/>
      </c>
      <c r="I44" s="39">
        <f>IFERROR(MEDIAN('SW Metrics'!$I$924:$I$1022),"")</f>
        <v/>
      </c>
      <c r="J44" s="39">
        <f>IFERROR(MEDIAN('SW Metrics'!$J$924:$J$1022),"")</f>
        <v/>
      </c>
      <c r="K44" s="39">
        <f>IFERROR(MEDIAN('SW Metrics'!$K$924:$K$1022),"")</f>
        <v/>
      </c>
      <c r="L44" s="39">
        <f>IFERROR(MEDIAN('SW Metrics'!$L$924:$L$1022),"")</f>
        <v/>
      </c>
      <c r="M44" s="40">
        <f>IFERROR(MEDIAN('SW Metrics'!$M$924:$M$1022),"")</f>
        <v/>
      </c>
      <c r="N44" s="40">
        <f>IFERROR(MEDIAN('SW Metrics'!$N$924:$N$1022),"")</f>
        <v/>
      </c>
    </row>
    <row r="45">
      <c r="A45" s="29" t="inlineStr"/>
      <c r="B45" s="32" t="inlineStr">
        <is>
          <t>vs median</t>
        </is>
      </c>
      <c r="C45" s="41">
        <f>IF(OR(C43="",C44=""),"",C43-C44)</f>
        <v/>
      </c>
      <c r="D45" s="41">
        <f>IF(OR(D43="",D44=""),"",D43-D44)</f>
        <v/>
      </c>
      <c r="E45" s="41">
        <f>IF(OR(E43="",E44=""),"",E43-E44)</f>
        <v/>
      </c>
      <c r="F45" s="41">
        <f>IF(OR(F43="",F44=""),"",F43-F44)</f>
        <v/>
      </c>
      <c r="G45" s="41">
        <f>IF(OR(G43="",G44=""),"",G43-G44)</f>
        <v/>
      </c>
      <c r="H45" s="41">
        <f>IF(OR(H43="",H44=""),"",H43-H44)</f>
        <v/>
      </c>
      <c r="I45" s="41">
        <f>IF(OR(I43="",I44=""),"",I43-I44)</f>
        <v/>
      </c>
      <c r="J45" s="41">
        <f>IF(OR(J43="",J44=""),"",J43-J44)</f>
        <v/>
      </c>
      <c r="K45" s="41">
        <f>IF(OR(K43="",K44=""),"",K43-K44)</f>
        <v/>
      </c>
      <c r="L45" s="41">
        <f>IF(OR(L43="",L44=""),"",L43-L44)</f>
        <v/>
      </c>
      <c r="M45" s="42">
        <f>IF(OR(M43="",M44=""),"",M43-M44)</f>
        <v/>
      </c>
      <c r="N45" s="42">
        <f>IF(OR(N43="",N44=""),"",N43-N44)</f>
        <v/>
      </c>
    </row>
    <row r="47">
      <c r="A47" s="27" t="inlineStr">
        <is>
          <t>FCF margin Δ YoY (bps)</t>
        </is>
      </c>
      <c r="B47" s="29" t="inlineStr">
        <is>
          <t>Company</t>
        </is>
      </c>
      <c r="C47" s="43">
        <f>IFERROR(INDEX('SW Metrics'!$C$1026:$C$1124,MATCH($B$4,'SW Metrics'!$A$1026:$A$1124,0)),"")</f>
        <v/>
      </c>
      <c r="D47" s="43">
        <f>IFERROR(INDEX('SW Metrics'!$D$1026:$D$1124,MATCH($B$4,'SW Metrics'!$A$1026:$A$1124,0)),"")</f>
        <v/>
      </c>
      <c r="E47" s="43">
        <f>IFERROR(INDEX('SW Metrics'!$E$1026:$E$1124,MATCH($B$4,'SW Metrics'!$A$1026:$A$1124,0)),"")</f>
        <v/>
      </c>
      <c r="F47" s="43">
        <f>IFERROR(INDEX('SW Metrics'!$F$1026:$F$1124,MATCH($B$4,'SW Metrics'!$A$1026:$A$1124,0)),"")</f>
        <v/>
      </c>
      <c r="G47" s="43">
        <f>IFERROR(INDEX('SW Metrics'!$G$1026:$G$1124,MATCH($B$4,'SW Metrics'!$A$1026:$A$1124,0)),"")</f>
        <v/>
      </c>
      <c r="H47" s="43">
        <f>IFERROR(INDEX('SW Metrics'!$H$1026:$H$1124,MATCH($B$4,'SW Metrics'!$A$1026:$A$1124,0)),"")</f>
        <v/>
      </c>
      <c r="I47" s="43">
        <f>IFERROR(INDEX('SW Metrics'!$I$1026:$I$1124,MATCH($B$4,'SW Metrics'!$A$1026:$A$1124,0)),"")</f>
        <v/>
      </c>
      <c r="J47" s="43">
        <f>IFERROR(INDEX('SW Metrics'!$J$1026:$J$1124,MATCH($B$4,'SW Metrics'!$A$1026:$A$1124,0)),"")</f>
        <v/>
      </c>
      <c r="K47" s="43">
        <f>IFERROR(INDEX('SW Metrics'!$K$1026:$K$1124,MATCH($B$4,'SW Metrics'!$A$1026:$A$1124,0)),"")</f>
        <v/>
      </c>
      <c r="L47" s="43">
        <f>IFERROR(INDEX('SW Metrics'!$L$1026:$L$1124,MATCH($B$4,'SW Metrics'!$A$1026:$A$1124,0)),"")</f>
        <v/>
      </c>
      <c r="M47" s="44">
        <f>IFERROR(INDEX('SW Metrics'!$M$1026:$M$1124,MATCH($B$4,'SW Metrics'!$A$1026:$A$1124,0)),"")</f>
        <v/>
      </c>
      <c r="N47" s="44">
        <f>IFERROR(INDEX('SW Metrics'!$N$1026:$N$1124,MATCH($B$4,'SW Metrics'!$A$1026:$A$1124,0)),"")</f>
        <v/>
      </c>
    </row>
    <row r="48">
      <c r="A48" s="29" t="inlineStr"/>
      <c r="B48" s="32" t="inlineStr">
        <is>
          <t>Peer median</t>
        </is>
      </c>
      <c r="C48" s="45">
        <f>IFERROR(MEDIAN('SW Metrics'!$C$1026:$C$1124),"")</f>
        <v/>
      </c>
      <c r="D48" s="45">
        <f>IFERROR(MEDIAN('SW Metrics'!$D$1026:$D$1124),"")</f>
        <v/>
      </c>
      <c r="E48" s="45">
        <f>IFERROR(MEDIAN('SW Metrics'!$E$1026:$E$1124),"")</f>
        <v/>
      </c>
      <c r="F48" s="45">
        <f>IFERROR(MEDIAN('SW Metrics'!$F$1026:$F$1124),"")</f>
        <v/>
      </c>
      <c r="G48" s="45">
        <f>IFERROR(MEDIAN('SW Metrics'!$G$1026:$G$1124),"")</f>
        <v/>
      </c>
      <c r="H48" s="45">
        <f>IFERROR(MEDIAN('SW Metrics'!$H$1026:$H$1124),"")</f>
        <v/>
      </c>
      <c r="I48" s="45">
        <f>IFERROR(MEDIAN('SW Metrics'!$I$1026:$I$1124),"")</f>
        <v/>
      </c>
      <c r="J48" s="45">
        <f>IFERROR(MEDIAN('SW Metrics'!$J$1026:$J$1124),"")</f>
        <v/>
      </c>
      <c r="K48" s="45">
        <f>IFERROR(MEDIAN('SW Metrics'!$K$1026:$K$1124),"")</f>
        <v/>
      </c>
      <c r="L48" s="45">
        <f>IFERROR(MEDIAN('SW Metrics'!$L$1026:$L$1124),"")</f>
        <v/>
      </c>
      <c r="M48" s="46">
        <f>IFERROR(MEDIAN('SW Metrics'!$M$1026:$M$1124),"")</f>
        <v/>
      </c>
      <c r="N48" s="46">
        <f>IFERROR(MEDIAN('SW Metrics'!$N$1026:$N$1124),"")</f>
        <v/>
      </c>
    </row>
    <row r="49">
      <c r="A49" s="29" t="inlineStr"/>
      <c r="B49" s="32" t="inlineStr">
        <is>
          <t>vs median</t>
        </is>
      </c>
      <c r="C49" s="47">
        <f>IF(OR(C47="",C48=""),"",C47-C48)</f>
        <v/>
      </c>
      <c r="D49" s="47">
        <f>IF(OR(D47="",D48=""),"",D47-D48)</f>
        <v/>
      </c>
      <c r="E49" s="47">
        <f>IF(OR(E47="",E48=""),"",E47-E48)</f>
        <v/>
      </c>
      <c r="F49" s="47">
        <f>IF(OR(F47="",F48=""),"",F47-F48)</f>
        <v/>
      </c>
      <c r="G49" s="47">
        <f>IF(OR(G47="",G48=""),"",G47-G48)</f>
        <v/>
      </c>
      <c r="H49" s="47">
        <f>IF(OR(H47="",H48=""),"",H47-H48)</f>
        <v/>
      </c>
      <c r="I49" s="47">
        <f>IF(OR(I47="",I48=""),"",I47-I48)</f>
        <v/>
      </c>
      <c r="J49" s="47">
        <f>IF(OR(J47="",J48=""),"",J47-J48)</f>
        <v/>
      </c>
      <c r="K49" s="47">
        <f>IF(OR(K47="",K48=""),"",K47-K48)</f>
        <v/>
      </c>
      <c r="L49" s="47">
        <f>IF(OR(L47="",L48=""),"",L47-L48)</f>
        <v/>
      </c>
      <c r="M49" s="48">
        <f>IF(OR(M47="",M48=""),"",M47-M48)</f>
        <v/>
      </c>
      <c r="N49" s="48">
        <f>IF(OR(N47="",N48=""),"",N47-N48)</f>
        <v/>
      </c>
    </row>
    <row r="51">
      <c r="A51" s="49" t="inlineStr">
        <is>
          <t>NTM estimate revisions</t>
        </is>
      </c>
      <c r="B51" s="50" t="n"/>
      <c r="C51" s="50" t="n"/>
      <c r="D51" s="50" t="n"/>
      <c r="E51" s="50" t="n"/>
    </row>
    <row r="52">
      <c r="A52" s="8" t="inlineStr">
        <is>
          <t>Metric</t>
        </is>
      </c>
      <c r="B52" s="8" t="inlineStr">
        <is>
          <t>Series</t>
        </is>
      </c>
      <c r="C52" s="8" t="inlineStr">
        <is>
          <t>Δ1M %</t>
        </is>
      </c>
      <c r="D52" s="8" t="inlineStr">
        <is>
          <t>Δ3M %</t>
        </is>
      </c>
      <c r="E52" s="8" t="inlineStr">
        <is>
          <t>Δ6M %</t>
        </is>
      </c>
    </row>
    <row r="53">
      <c r="A53" s="27" t="inlineStr">
        <is>
          <t>NTM Revenue revision</t>
        </is>
      </c>
      <c r="B53" s="29" t="inlineStr">
        <is>
          <t>Company</t>
        </is>
      </c>
      <c r="C53" s="22">
        <f>IFERROR(INDEX('SW Revisions'!$G$6:$G$104,MATCH($B$4,'SW Revisions'!$A$6:$A$104,0)),"")</f>
        <v/>
      </c>
      <c r="D53" s="22">
        <f>IFERROR(INDEX('SW Revisions'!$H$6:$H$104,MATCH($B$4,'SW Revisions'!$A$6:$A$104,0)),"")</f>
        <v/>
      </c>
      <c r="E53" s="22">
        <f>IFERROR(INDEX('SW Revisions'!$I$6:$I$104,MATCH($B$4,'SW Revisions'!$A$6:$A$104,0)),"")</f>
        <v/>
      </c>
    </row>
    <row r="54">
      <c r="A54" s="29" t="inlineStr"/>
      <c r="B54" s="32" t="inlineStr">
        <is>
          <t>Peer median</t>
        </is>
      </c>
      <c r="C54" s="51">
        <f>IFERROR(MEDIAN('SW Revisions'!$G$6:$G$104),"")</f>
        <v/>
      </c>
      <c r="D54" s="51">
        <f>IFERROR(MEDIAN('SW Revisions'!$H$6:$H$104),"")</f>
        <v/>
      </c>
      <c r="E54" s="51">
        <f>IFERROR(MEDIAN('SW Revisions'!$I$6:$I$104),"")</f>
        <v/>
      </c>
    </row>
    <row r="55">
      <c r="A55" s="29" t="inlineStr"/>
      <c r="B55" s="32" t="inlineStr">
        <is>
          <t>vs median</t>
        </is>
      </c>
      <c r="C55" s="52">
        <f>IF(OR(C53="",C54=""),"",C53-C54)</f>
        <v/>
      </c>
      <c r="D55" s="52">
        <f>IF(OR(D53="",D54=""),"",D53-D54)</f>
        <v/>
      </c>
      <c r="E55" s="52">
        <f>IF(OR(E53="",E54=""),"",E53-E54)</f>
        <v/>
      </c>
    </row>
    <row r="57">
      <c r="A57" s="27" t="inlineStr">
        <is>
          <t>NTM EPS revision</t>
        </is>
      </c>
      <c r="B57" s="29" t="inlineStr">
        <is>
          <t>Company</t>
        </is>
      </c>
      <c r="C57" s="22">
        <f>IFERROR(INDEX('SW Revisions'!$O$6:$O$104,MATCH($B$4,'SW Revisions'!$A$6:$A$104,0)),"")</f>
        <v/>
      </c>
      <c r="D57" s="22">
        <f>IFERROR(INDEX('SW Revisions'!$P$6:$P$104,MATCH($B$4,'SW Revisions'!$A$6:$A$104,0)),"")</f>
        <v/>
      </c>
      <c r="E57" s="22">
        <f>IFERROR(INDEX('SW Revisions'!$Q$6:$Q$104,MATCH($B$4,'SW Revisions'!$A$6:$A$104,0)),"")</f>
        <v/>
      </c>
    </row>
    <row r="58">
      <c r="A58" s="29" t="inlineStr"/>
      <c r="B58" s="32" t="inlineStr">
        <is>
          <t>Peer median</t>
        </is>
      </c>
      <c r="C58" s="51">
        <f>IFERROR(MEDIAN('SW Revisions'!$O$6:$O$104),"")</f>
        <v/>
      </c>
      <c r="D58" s="51">
        <f>IFERROR(MEDIAN('SW Revisions'!$P$6:$P$104),"")</f>
        <v/>
      </c>
      <c r="E58" s="51">
        <f>IFERROR(MEDIAN('SW Revisions'!$Q$6:$Q$104),"")</f>
        <v/>
      </c>
    </row>
    <row r="59">
      <c r="A59" s="29" t="inlineStr"/>
      <c r="B59" s="32" t="inlineStr">
        <is>
          <t>vs median</t>
        </is>
      </c>
      <c r="C59" s="52">
        <f>IF(OR(C57="",C58=""),"",C57-C58)</f>
        <v/>
      </c>
      <c r="D59" s="52">
        <f>IF(OR(D57="",D58=""),"",D57-D58)</f>
        <v/>
      </c>
      <c r="E59" s="52">
        <f>IF(OR(E57="",E58=""),"",E57-E58)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70C0"/>
    <outlinePr summaryBelow="1" summaryRight="1"/>
    <pageSetUpPr/>
  </sheetPr>
  <dimension ref="A1:N11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5" t="inlineStr">
        <is>
          <t>Software — Metric Grids (by fiscal period offset)</t>
        </is>
      </c>
      <c r="H1" s="6" t="inlineStr">
        <is>
          <t>⚠ Cells blank? This is a LIVE Bloomberg workbook — it has no saved data until its first refresh. Open it in desktop Excel on your Bloomberg terminal PC (add-in logged in), then Bloomberg ribbon ▸ Refresh All (or Ctrl+Alt+F9), wait a few minutes, and save. See README.</t>
        </is>
      </c>
    </row>
    <row r="2">
      <c r="A2" s="7" t="inlineStr">
        <is>
          <t>All inputs from the BQL data sheets. FPO 0 = latest reported quarter per company; +1/+2 = consensus estimates (shaded). Blank cells = insufficient history / no estimate. Hover column headers and block titles for definitions.</t>
        </is>
      </c>
    </row>
    <row r="4">
      <c r="A4" s="49" t="inlineStr">
        <is>
          <t>Revenue (USD mm)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5" ht="28" customHeight="1">
      <c r="A5" s="8" t="inlineStr">
        <is>
          <t>Ticker</t>
        </is>
      </c>
      <c r="B5" s="8" t="inlineStr">
        <is>
          <t>Latest Rpt Qtr</t>
        </is>
      </c>
      <c r="C5" s="8" t="inlineStr">
        <is>
          <t>FPO -9</t>
        </is>
      </c>
      <c r="D5" s="8" t="inlineStr">
        <is>
          <t>FPO -8</t>
        </is>
      </c>
      <c r="E5" s="8" t="inlineStr">
        <is>
          <t>FPO -7</t>
        </is>
      </c>
      <c r="F5" s="8" t="inlineStr">
        <is>
          <t>FPO -6</t>
        </is>
      </c>
      <c r="G5" s="8" t="inlineStr">
        <is>
          <t>FPO -5</t>
        </is>
      </c>
      <c r="H5" s="8" t="inlineStr">
        <is>
          <t>FPO -4</t>
        </is>
      </c>
      <c r="I5" s="8" t="inlineStr">
        <is>
          <t>FPO -3</t>
        </is>
      </c>
      <c r="J5" s="8" t="inlineStr">
        <is>
          <t>FPO -2</t>
        </is>
      </c>
      <c r="K5" s="8" t="inlineStr">
        <is>
          <t>FPO -1</t>
        </is>
      </c>
      <c r="L5" s="8" t="inlineStr">
        <is>
          <t>FPO 0 (latest rpt)</t>
        </is>
      </c>
      <c r="M5" s="8" t="inlineStr">
        <is>
          <t>FPO +1E</t>
        </is>
      </c>
      <c r="N5" s="8" t="inlineStr">
        <is>
          <t>FPO +2E</t>
        </is>
      </c>
    </row>
    <row r="6">
      <c r="A6" s="19">
        <f>'SW Rev'!$A5</f>
        <v/>
      </c>
      <c r="B6" s="19">
        <f>'SW Rev'!$B5</f>
        <v/>
      </c>
      <c r="C6" s="30">
        <f>IFERROR(IF(ISNUMBER('SW Rev'!G5),'SW Rev'!G5,""),"")</f>
        <v/>
      </c>
      <c r="D6" s="30">
        <f>IFERROR(IF(ISNUMBER('SW Rev'!H5),'SW Rev'!H5,""),"")</f>
        <v/>
      </c>
      <c r="E6" s="30">
        <f>IFERROR(IF(ISNUMBER('SW Rev'!I5),'SW Rev'!I5,""),"")</f>
        <v/>
      </c>
      <c r="F6" s="30">
        <f>IFERROR(IF(ISNUMBER('SW Rev'!J5),'SW Rev'!J5,""),"")</f>
        <v/>
      </c>
      <c r="G6" s="30">
        <f>IFERROR(IF(ISNUMBER('SW Rev'!K5),'SW Rev'!K5,""),"")</f>
        <v/>
      </c>
      <c r="H6" s="30">
        <f>IFERROR(IF(ISNUMBER('SW Rev'!L5),'SW Rev'!L5,""),"")</f>
        <v/>
      </c>
      <c r="I6" s="30">
        <f>IFERROR(IF(ISNUMBER('SW Rev'!M5),'SW Rev'!M5,""),"")</f>
        <v/>
      </c>
      <c r="J6" s="30">
        <f>IFERROR(IF(ISNUMBER('SW Rev'!N5),'SW Rev'!N5,""),"")</f>
        <v/>
      </c>
      <c r="K6" s="30">
        <f>IFERROR(IF(ISNUMBER('SW Rev'!O5),'SW Rev'!O5,""),"")</f>
        <v/>
      </c>
      <c r="L6" s="30">
        <f>IFERROR(IF(ISNUMBER('SW Rev'!P5),'SW Rev'!P5,""),"")</f>
        <v/>
      </c>
      <c r="M6" s="31">
        <f>IFERROR(IF(ISNUMBER('SW Rev'!Q5),'SW Rev'!Q5,""),"")</f>
        <v/>
      </c>
      <c r="N6" s="31">
        <f>IFERROR(IF(ISNUMBER('SW Rev'!R5),'SW Rev'!R5,""),"")</f>
        <v/>
      </c>
    </row>
    <row r="7">
      <c r="A7" s="19">
        <f>'SW Rev'!$A6</f>
        <v/>
      </c>
      <c r="B7" s="19">
        <f>'SW Rev'!$B6</f>
        <v/>
      </c>
      <c r="C7" s="30">
        <f>IFERROR(IF(ISNUMBER('SW Rev'!G6),'SW Rev'!G6,""),"")</f>
        <v/>
      </c>
      <c r="D7" s="30">
        <f>IFERROR(IF(ISNUMBER('SW Rev'!H6),'SW Rev'!H6,""),"")</f>
        <v/>
      </c>
      <c r="E7" s="30">
        <f>IFERROR(IF(ISNUMBER('SW Rev'!I6),'SW Rev'!I6,""),"")</f>
        <v/>
      </c>
      <c r="F7" s="30">
        <f>IFERROR(IF(ISNUMBER('SW Rev'!J6),'SW Rev'!J6,""),"")</f>
        <v/>
      </c>
      <c r="G7" s="30">
        <f>IFERROR(IF(ISNUMBER('SW Rev'!K6),'SW Rev'!K6,""),"")</f>
        <v/>
      </c>
      <c r="H7" s="30">
        <f>IFERROR(IF(ISNUMBER('SW Rev'!L6),'SW Rev'!L6,""),"")</f>
        <v/>
      </c>
      <c r="I7" s="30">
        <f>IFERROR(IF(ISNUMBER('SW Rev'!M6),'SW Rev'!M6,""),"")</f>
        <v/>
      </c>
      <c r="J7" s="30">
        <f>IFERROR(IF(ISNUMBER('SW Rev'!N6),'SW Rev'!N6,""),"")</f>
        <v/>
      </c>
      <c r="K7" s="30">
        <f>IFERROR(IF(ISNUMBER('SW Rev'!O6),'SW Rev'!O6,""),"")</f>
        <v/>
      </c>
      <c r="L7" s="30">
        <f>IFERROR(IF(ISNUMBER('SW Rev'!P6),'SW Rev'!P6,""),"")</f>
        <v/>
      </c>
      <c r="M7" s="31">
        <f>IFERROR(IF(ISNUMBER('SW Rev'!Q6),'SW Rev'!Q6,""),"")</f>
        <v/>
      </c>
      <c r="N7" s="31">
        <f>IFERROR(IF(ISNUMBER('SW Rev'!R6),'SW Rev'!R6,""),"")</f>
        <v/>
      </c>
    </row>
    <row r="8">
      <c r="A8" s="19">
        <f>'SW Rev'!$A7</f>
        <v/>
      </c>
      <c r="B8" s="19">
        <f>'SW Rev'!$B7</f>
        <v/>
      </c>
      <c r="C8" s="30">
        <f>IFERROR(IF(ISNUMBER('SW Rev'!G7),'SW Rev'!G7,""),"")</f>
        <v/>
      </c>
      <c r="D8" s="30">
        <f>IFERROR(IF(ISNUMBER('SW Rev'!H7),'SW Rev'!H7,""),"")</f>
        <v/>
      </c>
      <c r="E8" s="30">
        <f>IFERROR(IF(ISNUMBER('SW Rev'!I7),'SW Rev'!I7,""),"")</f>
        <v/>
      </c>
      <c r="F8" s="30">
        <f>IFERROR(IF(ISNUMBER('SW Rev'!J7),'SW Rev'!J7,""),"")</f>
        <v/>
      </c>
      <c r="G8" s="30">
        <f>IFERROR(IF(ISNUMBER('SW Rev'!K7),'SW Rev'!K7,""),"")</f>
        <v/>
      </c>
      <c r="H8" s="30">
        <f>IFERROR(IF(ISNUMBER('SW Rev'!L7),'SW Rev'!L7,""),"")</f>
        <v/>
      </c>
      <c r="I8" s="30">
        <f>IFERROR(IF(ISNUMBER('SW Rev'!M7),'SW Rev'!M7,""),"")</f>
        <v/>
      </c>
      <c r="J8" s="30">
        <f>IFERROR(IF(ISNUMBER('SW Rev'!N7),'SW Rev'!N7,""),"")</f>
        <v/>
      </c>
      <c r="K8" s="30">
        <f>IFERROR(IF(ISNUMBER('SW Rev'!O7),'SW Rev'!O7,""),"")</f>
        <v/>
      </c>
      <c r="L8" s="30">
        <f>IFERROR(IF(ISNUMBER('SW Rev'!P7),'SW Rev'!P7,""),"")</f>
        <v/>
      </c>
      <c r="M8" s="31">
        <f>IFERROR(IF(ISNUMBER('SW Rev'!Q7),'SW Rev'!Q7,""),"")</f>
        <v/>
      </c>
      <c r="N8" s="31">
        <f>IFERROR(IF(ISNUMBER('SW Rev'!R7),'SW Rev'!R7,""),"")</f>
        <v/>
      </c>
    </row>
    <row r="9">
      <c r="A9" s="19">
        <f>'SW Rev'!$A8</f>
        <v/>
      </c>
      <c r="B9" s="19">
        <f>'SW Rev'!$B8</f>
        <v/>
      </c>
      <c r="C9" s="30">
        <f>IFERROR(IF(ISNUMBER('SW Rev'!G8),'SW Rev'!G8,""),"")</f>
        <v/>
      </c>
      <c r="D9" s="30">
        <f>IFERROR(IF(ISNUMBER('SW Rev'!H8),'SW Rev'!H8,""),"")</f>
        <v/>
      </c>
      <c r="E9" s="30">
        <f>IFERROR(IF(ISNUMBER('SW Rev'!I8),'SW Rev'!I8,""),"")</f>
        <v/>
      </c>
      <c r="F9" s="30">
        <f>IFERROR(IF(ISNUMBER('SW Rev'!J8),'SW Rev'!J8,""),"")</f>
        <v/>
      </c>
      <c r="G9" s="30">
        <f>IFERROR(IF(ISNUMBER('SW Rev'!K8),'SW Rev'!K8,""),"")</f>
        <v/>
      </c>
      <c r="H9" s="30">
        <f>IFERROR(IF(ISNUMBER('SW Rev'!L8),'SW Rev'!L8,""),"")</f>
        <v/>
      </c>
      <c r="I9" s="30">
        <f>IFERROR(IF(ISNUMBER('SW Rev'!M8),'SW Rev'!M8,""),"")</f>
        <v/>
      </c>
      <c r="J9" s="30">
        <f>IFERROR(IF(ISNUMBER('SW Rev'!N8),'SW Rev'!N8,""),"")</f>
        <v/>
      </c>
      <c r="K9" s="30">
        <f>IFERROR(IF(ISNUMBER('SW Rev'!O8),'SW Rev'!O8,""),"")</f>
        <v/>
      </c>
      <c r="L9" s="30">
        <f>IFERROR(IF(ISNUMBER('SW Rev'!P8),'SW Rev'!P8,""),"")</f>
        <v/>
      </c>
      <c r="M9" s="31">
        <f>IFERROR(IF(ISNUMBER('SW Rev'!Q8),'SW Rev'!Q8,""),"")</f>
        <v/>
      </c>
      <c r="N9" s="31">
        <f>IFERROR(IF(ISNUMBER('SW Rev'!R8),'SW Rev'!R8,""),"")</f>
        <v/>
      </c>
    </row>
    <row r="10">
      <c r="A10" s="19">
        <f>'SW Rev'!$A9</f>
        <v/>
      </c>
      <c r="B10" s="19">
        <f>'SW Rev'!$B9</f>
        <v/>
      </c>
      <c r="C10" s="30">
        <f>IFERROR(IF(ISNUMBER('SW Rev'!G9),'SW Rev'!G9,""),"")</f>
        <v/>
      </c>
      <c r="D10" s="30">
        <f>IFERROR(IF(ISNUMBER('SW Rev'!H9),'SW Rev'!H9,""),"")</f>
        <v/>
      </c>
      <c r="E10" s="30">
        <f>IFERROR(IF(ISNUMBER('SW Rev'!I9),'SW Rev'!I9,""),"")</f>
        <v/>
      </c>
      <c r="F10" s="30">
        <f>IFERROR(IF(ISNUMBER('SW Rev'!J9),'SW Rev'!J9,""),"")</f>
        <v/>
      </c>
      <c r="G10" s="30">
        <f>IFERROR(IF(ISNUMBER('SW Rev'!K9),'SW Rev'!K9,""),"")</f>
        <v/>
      </c>
      <c r="H10" s="30">
        <f>IFERROR(IF(ISNUMBER('SW Rev'!L9),'SW Rev'!L9,""),"")</f>
        <v/>
      </c>
      <c r="I10" s="30">
        <f>IFERROR(IF(ISNUMBER('SW Rev'!M9),'SW Rev'!M9,""),"")</f>
        <v/>
      </c>
      <c r="J10" s="30">
        <f>IFERROR(IF(ISNUMBER('SW Rev'!N9),'SW Rev'!N9,""),"")</f>
        <v/>
      </c>
      <c r="K10" s="30">
        <f>IFERROR(IF(ISNUMBER('SW Rev'!O9),'SW Rev'!O9,""),"")</f>
        <v/>
      </c>
      <c r="L10" s="30">
        <f>IFERROR(IF(ISNUMBER('SW Rev'!P9),'SW Rev'!P9,""),"")</f>
        <v/>
      </c>
      <c r="M10" s="31">
        <f>IFERROR(IF(ISNUMBER('SW Rev'!Q9),'SW Rev'!Q9,""),"")</f>
        <v/>
      </c>
      <c r="N10" s="31">
        <f>IFERROR(IF(ISNUMBER('SW Rev'!R9),'SW Rev'!R9,""),"")</f>
        <v/>
      </c>
    </row>
    <row r="11">
      <c r="A11" s="19">
        <f>'SW Rev'!$A10</f>
        <v/>
      </c>
      <c r="B11" s="19">
        <f>'SW Rev'!$B10</f>
        <v/>
      </c>
      <c r="C11" s="30">
        <f>IFERROR(IF(ISNUMBER('SW Rev'!G10),'SW Rev'!G10,""),"")</f>
        <v/>
      </c>
      <c r="D11" s="30">
        <f>IFERROR(IF(ISNUMBER('SW Rev'!H10),'SW Rev'!H10,""),"")</f>
        <v/>
      </c>
      <c r="E11" s="30">
        <f>IFERROR(IF(ISNUMBER('SW Rev'!I10),'SW Rev'!I10,""),"")</f>
        <v/>
      </c>
      <c r="F11" s="30">
        <f>IFERROR(IF(ISNUMBER('SW Rev'!J10),'SW Rev'!J10,""),"")</f>
        <v/>
      </c>
      <c r="G11" s="30">
        <f>IFERROR(IF(ISNUMBER('SW Rev'!K10),'SW Rev'!K10,""),"")</f>
        <v/>
      </c>
      <c r="H11" s="30">
        <f>IFERROR(IF(ISNUMBER('SW Rev'!L10),'SW Rev'!L10,""),"")</f>
        <v/>
      </c>
      <c r="I11" s="30">
        <f>IFERROR(IF(ISNUMBER('SW Rev'!M10),'SW Rev'!M10,""),"")</f>
        <v/>
      </c>
      <c r="J11" s="30">
        <f>IFERROR(IF(ISNUMBER('SW Rev'!N10),'SW Rev'!N10,""),"")</f>
        <v/>
      </c>
      <c r="K11" s="30">
        <f>IFERROR(IF(ISNUMBER('SW Rev'!O10),'SW Rev'!O10,""),"")</f>
        <v/>
      </c>
      <c r="L11" s="30">
        <f>IFERROR(IF(ISNUMBER('SW Rev'!P10),'SW Rev'!P10,""),"")</f>
        <v/>
      </c>
      <c r="M11" s="31">
        <f>IFERROR(IF(ISNUMBER('SW Rev'!Q10),'SW Rev'!Q10,""),"")</f>
        <v/>
      </c>
      <c r="N11" s="31">
        <f>IFERROR(IF(ISNUMBER('SW Rev'!R10),'SW Rev'!R10,""),"")</f>
        <v/>
      </c>
    </row>
    <row r="12">
      <c r="A12" s="19">
        <f>'SW Rev'!$A11</f>
        <v/>
      </c>
      <c r="B12" s="19">
        <f>'SW Rev'!$B11</f>
        <v/>
      </c>
      <c r="C12" s="30">
        <f>IFERROR(IF(ISNUMBER('SW Rev'!G11),'SW Rev'!G11,""),"")</f>
        <v/>
      </c>
      <c r="D12" s="30">
        <f>IFERROR(IF(ISNUMBER('SW Rev'!H11),'SW Rev'!H11,""),"")</f>
        <v/>
      </c>
      <c r="E12" s="30">
        <f>IFERROR(IF(ISNUMBER('SW Rev'!I11),'SW Rev'!I11,""),"")</f>
        <v/>
      </c>
      <c r="F12" s="30">
        <f>IFERROR(IF(ISNUMBER('SW Rev'!J11),'SW Rev'!J11,""),"")</f>
        <v/>
      </c>
      <c r="G12" s="30">
        <f>IFERROR(IF(ISNUMBER('SW Rev'!K11),'SW Rev'!K11,""),"")</f>
        <v/>
      </c>
      <c r="H12" s="30">
        <f>IFERROR(IF(ISNUMBER('SW Rev'!L11),'SW Rev'!L11,""),"")</f>
        <v/>
      </c>
      <c r="I12" s="30">
        <f>IFERROR(IF(ISNUMBER('SW Rev'!M11),'SW Rev'!M11,""),"")</f>
        <v/>
      </c>
      <c r="J12" s="30">
        <f>IFERROR(IF(ISNUMBER('SW Rev'!N11),'SW Rev'!N11,""),"")</f>
        <v/>
      </c>
      <c r="K12" s="30">
        <f>IFERROR(IF(ISNUMBER('SW Rev'!O11),'SW Rev'!O11,""),"")</f>
        <v/>
      </c>
      <c r="L12" s="30">
        <f>IFERROR(IF(ISNUMBER('SW Rev'!P11),'SW Rev'!P11,""),"")</f>
        <v/>
      </c>
      <c r="M12" s="31">
        <f>IFERROR(IF(ISNUMBER('SW Rev'!Q11),'SW Rev'!Q11,""),"")</f>
        <v/>
      </c>
      <c r="N12" s="31">
        <f>IFERROR(IF(ISNUMBER('SW Rev'!R11),'SW Rev'!R11,""),"")</f>
        <v/>
      </c>
    </row>
    <row r="13">
      <c r="A13" s="19">
        <f>'SW Rev'!$A12</f>
        <v/>
      </c>
      <c r="B13" s="19">
        <f>'SW Rev'!$B12</f>
        <v/>
      </c>
      <c r="C13" s="30">
        <f>IFERROR(IF(ISNUMBER('SW Rev'!G12),'SW Rev'!G12,""),"")</f>
        <v/>
      </c>
      <c r="D13" s="30">
        <f>IFERROR(IF(ISNUMBER('SW Rev'!H12),'SW Rev'!H12,""),"")</f>
        <v/>
      </c>
      <c r="E13" s="30">
        <f>IFERROR(IF(ISNUMBER('SW Rev'!I12),'SW Rev'!I12,""),"")</f>
        <v/>
      </c>
      <c r="F13" s="30">
        <f>IFERROR(IF(ISNUMBER('SW Rev'!J12),'SW Rev'!J12,""),"")</f>
        <v/>
      </c>
      <c r="G13" s="30">
        <f>IFERROR(IF(ISNUMBER('SW Rev'!K12),'SW Rev'!K12,""),"")</f>
        <v/>
      </c>
      <c r="H13" s="30">
        <f>IFERROR(IF(ISNUMBER('SW Rev'!L12),'SW Rev'!L12,""),"")</f>
        <v/>
      </c>
      <c r="I13" s="30">
        <f>IFERROR(IF(ISNUMBER('SW Rev'!M12),'SW Rev'!M12,""),"")</f>
        <v/>
      </c>
      <c r="J13" s="30">
        <f>IFERROR(IF(ISNUMBER('SW Rev'!N12),'SW Rev'!N12,""),"")</f>
        <v/>
      </c>
      <c r="K13" s="30">
        <f>IFERROR(IF(ISNUMBER('SW Rev'!O12),'SW Rev'!O12,""),"")</f>
        <v/>
      </c>
      <c r="L13" s="30">
        <f>IFERROR(IF(ISNUMBER('SW Rev'!P12),'SW Rev'!P12,""),"")</f>
        <v/>
      </c>
      <c r="M13" s="31">
        <f>IFERROR(IF(ISNUMBER('SW Rev'!Q12),'SW Rev'!Q12,""),"")</f>
        <v/>
      </c>
      <c r="N13" s="31">
        <f>IFERROR(IF(ISNUMBER('SW Rev'!R12),'SW Rev'!R12,""),"")</f>
        <v/>
      </c>
    </row>
    <row r="14">
      <c r="A14" s="19">
        <f>'SW Rev'!$A13</f>
        <v/>
      </c>
      <c r="B14" s="19">
        <f>'SW Rev'!$B13</f>
        <v/>
      </c>
      <c r="C14" s="30">
        <f>IFERROR(IF(ISNUMBER('SW Rev'!G13),'SW Rev'!G13,""),"")</f>
        <v/>
      </c>
      <c r="D14" s="30">
        <f>IFERROR(IF(ISNUMBER('SW Rev'!H13),'SW Rev'!H13,""),"")</f>
        <v/>
      </c>
      <c r="E14" s="30">
        <f>IFERROR(IF(ISNUMBER('SW Rev'!I13),'SW Rev'!I13,""),"")</f>
        <v/>
      </c>
      <c r="F14" s="30">
        <f>IFERROR(IF(ISNUMBER('SW Rev'!J13),'SW Rev'!J13,""),"")</f>
        <v/>
      </c>
      <c r="G14" s="30">
        <f>IFERROR(IF(ISNUMBER('SW Rev'!K13),'SW Rev'!K13,""),"")</f>
        <v/>
      </c>
      <c r="H14" s="30">
        <f>IFERROR(IF(ISNUMBER('SW Rev'!L13),'SW Rev'!L13,""),"")</f>
        <v/>
      </c>
      <c r="I14" s="30">
        <f>IFERROR(IF(ISNUMBER('SW Rev'!M13),'SW Rev'!M13,""),"")</f>
        <v/>
      </c>
      <c r="J14" s="30">
        <f>IFERROR(IF(ISNUMBER('SW Rev'!N13),'SW Rev'!N13,""),"")</f>
        <v/>
      </c>
      <c r="K14" s="30">
        <f>IFERROR(IF(ISNUMBER('SW Rev'!O13),'SW Rev'!O13,""),"")</f>
        <v/>
      </c>
      <c r="L14" s="30">
        <f>IFERROR(IF(ISNUMBER('SW Rev'!P13),'SW Rev'!P13,""),"")</f>
        <v/>
      </c>
      <c r="M14" s="31">
        <f>IFERROR(IF(ISNUMBER('SW Rev'!Q13),'SW Rev'!Q13,""),"")</f>
        <v/>
      </c>
      <c r="N14" s="31">
        <f>IFERROR(IF(ISNUMBER('SW Rev'!R13),'SW Rev'!R13,""),"")</f>
        <v/>
      </c>
    </row>
    <row r="15">
      <c r="A15" s="19">
        <f>'SW Rev'!$A14</f>
        <v/>
      </c>
      <c r="B15" s="19">
        <f>'SW Rev'!$B14</f>
        <v/>
      </c>
      <c r="C15" s="30">
        <f>IFERROR(IF(ISNUMBER('SW Rev'!G14),'SW Rev'!G14,""),"")</f>
        <v/>
      </c>
      <c r="D15" s="30">
        <f>IFERROR(IF(ISNUMBER('SW Rev'!H14),'SW Rev'!H14,""),"")</f>
        <v/>
      </c>
      <c r="E15" s="30">
        <f>IFERROR(IF(ISNUMBER('SW Rev'!I14),'SW Rev'!I14,""),"")</f>
        <v/>
      </c>
      <c r="F15" s="30">
        <f>IFERROR(IF(ISNUMBER('SW Rev'!J14),'SW Rev'!J14,""),"")</f>
        <v/>
      </c>
      <c r="G15" s="30">
        <f>IFERROR(IF(ISNUMBER('SW Rev'!K14),'SW Rev'!K14,""),"")</f>
        <v/>
      </c>
      <c r="H15" s="30">
        <f>IFERROR(IF(ISNUMBER('SW Rev'!L14),'SW Rev'!L14,""),"")</f>
        <v/>
      </c>
      <c r="I15" s="30">
        <f>IFERROR(IF(ISNUMBER('SW Rev'!M14),'SW Rev'!M14,""),"")</f>
        <v/>
      </c>
      <c r="J15" s="30">
        <f>IFERROR(IF(ISNUMBER('SW Rev'!N14),'SW Rev'!N14,""),"")</f>
        <v/>
      </c>
      <c r="K15" s="30">
        <f>IFERROR(IF(ISNUMBER('SW Rev'!O14),'SW Rev'!O14,""),"")</f>
        <v/>
      </c>
      <c r="L15" s="30">
        <f>IFERROR(IF(ISNUMBER('SW Rev'!P14),'SW Rev'!P14,""),"")</f>
        <v/>
      </c>
      <c r="M15" s="31">
        <f>IFERROR(IF(ISNUMBER('SW Rev'!Q14),'SW Rev'!Q14,""),"")</f>
        <v/>
      </c>
      <c r="N15" s="31">
        <f>IFERROR(IF(ISNUMBER('SW Rev'!R14),'SW Rev'!R14,""),"")</f>
        <v/>
      </c>
    </row>
    <row r="16">
      <c r="A16" s="19">
        <f>'SW Rev'!$A15</f>
        <v/>
      </c>
      <c r="B16" s="19">
        <f>'SW Rev'!$B15</f>
        <v/>
      </c>
      <c r="C16" s="30">
        <f>IFERROR(IF(ISNUMBER('SW Rev'!G15),'SW Rev'!G15,""),"")</f>
        <v/>
      </c>
      <c r="D16" s="30">
        <f>IFERROR(IF(ISNUMBER('SW Rev'!H15),'SW Rev'!H15,""),"")</f>
        <v/>
      </c>
      <c r="E16" s="30">
        <f>IFERROR(IF(ISNUMBER('SW Rev'!I15),'SW Rev'!I15,""),"")</f>
        <v/>
      </c>
      <c r="F16" s="30">
        <f>IFERROR(IF(ISNUMBER('SW Rev'!J15),'SW Rev'!J15,""),"")</f>
        <v/>
      </c>
      <c r="G16" s="30">
        <f>IFERROR(IF(ISNUMBER('SW Rev'!K15),'SW Rev'!K15,""),"")</f>
        <v/>
      </c>
      <c r="H16" s="30">
        <f>IFERROR(IF(ISNUMBER('SW Rev'!L15),'SW Rev'!L15,""),"")</f>
        <v/>
      </c>
      <c r="I16" s="30">
        <f>IFERROR(IF(ISNUMBER('SW Rev'!M15),'SW Rev'!M15,""),"")</f>
        <v/>
      </c>
      <c r="J16" s="30">
        <f>IFERROR(IF(ISNUMBER('SW Rev'!N15),'SW Rev'!N15,""),"")</f>
        <v/>
      </c>
      <c r="K16" s="30">
        <f>IFERROR(IF(ISNUMBER('SW Rev'!O15),'SW Rev'!O15,""),"")</f>
        <v/>
      </c>
      <c r="L16" s="30">
        <f>IFERROR(IF(ISNUMBER('SW Rev'!P15),'SW Rev'!P15,""),"")</f>
        <v/>
      </c>
      <c r="M16" s="31">
        <f>IFERROR(IF(ISNUMBER('SW Rev'!Q15),'SW Rev'!Q15,""),"")</f>
        <v/>
      </c>
      <c r="N16" s="31">
        <f>IFERROR(IF(ISNUMBER('SW Rev'!R15),'SW Rev'!R15,""),"")</f>
        <v/>
      </c>
    </row>
    <row r="17">
      <c r="A17" s="19">
        <f>'SW Rev'!$A16</f>
        <v/>
      </c>
      <c r="B17" s="19">
        <f>'SW Rev'!$B16</f>
        <v/>
      </c>
      <c r="C17" s="30">
        <f>IFERROR(IF(ISNUMBER('SW Rev'!G16),'SW Rev'!G16,""),"")</f>
        <v/>
      </c>
      <c r="D17" s="30">
        <f>IFERROR(IF(ISNUMBER('SW Rev'!H16),'SW Rev'!H16,""),"")</f>
        <v/>
      </c>
      <c r="E17" s="30">
        <f>IFERROR(IF(ISNUMBER('SW Rev'!I16),'SW Rev'!I16,""),"")</f>
        <v/>
      </c>
      <c r="F17" s="30">
        <f>IFERROR(IF(ISNUMBER('SW Rev'!J16),'SW Rev'!J16,""),"")</f>
        <v/>
      </c>
      <c r="G17" s="30">
        <f>IFERROR(IF(ISNUMBER('SW Rev'!K16),'SW Rev'!K16,""),"")</f>
        <v/>
      </c>
      <c r="H17" s="30">
        <f>IFERROR(IF(ISNUMBER('SW Rev'!L16),'SW Rev'!L16,""),"")</f>
        <v/>
      </c>
      <c r="I17" s="30">
        <f>IFERROR(IF(ISNUMBER('SW Rev'!M16),'SW Rev'!M16,""),"")</f>
        <v/>
      </c>
      <c r="J17" s="30">
        <f>IFERROR(IF(ISNUMBER('SW Rev'!N16),'SW Rev'!N16,""),"")</f>
        <v/>
      </c>
      <c r="K17" s="30">
        <f>IFERROR(IF(ISNUMBER('SW Rev'!O16),'SW Rev'!O16,""),"")</f>
        <v/>
      </c>
      <c r="L17" s="30">
        <f>IFERROR(IF(ISNUMBER('SW Rev'!P16),'SW Rev'!P16,""),"")</f>
        <v/>
      </c>
      <c r="M17" s="31">
        <f>IFERROR(IF(ISNUMBER('SW Rev'!Q16),'SW Rev'!Q16,""),"")</f>
        <v/>
      </c>
      <c r="N17" s="31">
        <f>IFERROR(IF(ISNUMBER('SW Rev'!R16),'SW Rev'!R16,""),"")</f>
        <v/>
      </c>
    </row>
    <row r="18">
      <c r="A18" s="19">
        <f>'SW Rev'!$A17</f>
        <v/>
      </c>
      <c r="B18" s="19">
        <f>'SW Rev'!$B17</f>
        <v/>
      </c>
      <c r="C18" s="30">
        <f>IFERROR(IF(ISNUMBER('SW Rev'!G17),'SW Rev'!G17,""),"")</f>
        <v/>
      </c>
      <c r="D18" s="30">
        <f>IFERROR(IF(ISNUMBER('SW Rev'!H17),'SW Rev'!H17,""),"")</f>
        <v/>
      </c>
      <c r="E18" s="30">
        <f>IFERROR(IF(ISNUMBER('SW Rev'!I17),'SW Rev'!I17,""),"")</f>
        <v/>
      </c>
      <c r="F18" s="30">
        <f>IFERROR(IF(ISNUMBER('SW Rev'!J17),'SW Rev'!J17,""),"")</f>
        <v/>
      </c>
      <c r="G18" s="30">
        <f>IFERROR(IF(ISNUMBER('SW Rev'!K17),'SW Rev'!K17,""),"")</f>
        <v/>
      </c>
      <c r="H18" s="30">
        <f>IFERROR(IF(ISNUMBER('SW Rev'!L17),'SW Rev'!L17,""),"")</f>
        <v/>
      </c>
      <c r="I18" s="30">
        <f>IFERROR(IF(ISNUMBER('SW Rev'!M17),'SW Rev'!M17,""),"")</f>
        <v/>
      </c>
      <c r="J18" s="30">
        <f>IFERROR(IF(ISNUMBER('SW Rev'!N17),'SW Rev'!N17,""),"")</f>
        <v/>
      </c>
      <c r="K18" s="30">
        <f>IFERROR(IF(ISNUMBER('SW Rev'!O17),'SW Rev'!O17,""),"")</f>
        <v/>
      </c>
      <c r="L18" s="30">
        <f>IFERROR(IF(ISNUMBER('SW Rev'!P17),'SW Rev'!P17,""),"")</f>
        <v/>
      </c>
      <c r="M18" s="31">
        <f>IFERROR(IF(ISNUMBER('SW Rev'!Q17),'SW Rev'!Q17,""),"")</f>
        <v/>
      </c>
      <c r="N18" s="31">
        <f>IFERROR(IF(ISNUMBER('SW Rev'!R17),'SW Rev'!R17,""),"")</f>
        <v/>
      </c>
    </row>
    <row r="19">
      <c r="A19" s="19">
        <f>'SW Rev'!$A18</f>
        <v/>
      </c>
      <c r="B19" s="19">
        <f>'SW Rev'!$B18</f>
        <v/>
      </c>
      <c r="C19" s="30">
        <f>IFERROR(IF(ISNUMBER('SW Rev'!G18),'SW Rev'!G18,""),"")</f>
        <v/>
      </c>
      <c r="D19" s="30">
        <f>IFERROR(IF(ISNUMBER('SW Rev'!H18),'SW Rev'!H18,""),"")</f>
        <v/>
      </c>
      <c r="E19" s="30">
        <f>IFERROR(IF(ISNUMBER('SW Rev'!I18),'SW Rev'!I18,""),"")</f>
        <v/>
      </c>
      <c r="F19" s="30">
        <f>IFERROR(IF(ISNUMBER('SW Rev'!J18),'SW Rev'!J18,""),"")</f>
        <v/>
      </c>
      <c r="G19" s="30">
        <f>IFERROR(IF(ISNUMBER('SW Rev'!K18),'SW Rev'!K18,""),"")</f>
        <v/>
      </c>
      <c r="H19" s="30">
        <f>IFERROR(IF(ISNUMBER('SW Rev'!L18),'SW Rev'!L18,""),"")</f>
        <v/>
      </c>
      <c r="I19" s="30">
        <f>IFERROR(IF(ISNUMBER('SW Rev'!M18),'SW Rev'!M18,""),"")</f>
        <v/>
      </c>
      <c r="J19" s="30">
        <f>IFERROR(IF(ISNUMBER('SW Rev'!N18),'SW Rev'!N18,""),"")</f>
        <v/>
      </c>
      <c r="K19" s="30">
        <f>IFERROR(IF(ISNUMBER('SW Rev'!O18),'SW Rev'!O18,""),"")</f>
        <v/>
      </c>
      <c r="L19" s="30">
        <f>IFERROR(IF(ISNUMBER('SW Rev'!P18),'SW Rev'!P18,""),"")</f>
        <v/>
      </c>
      <c r="M19" s="31">
        <f>IFERROR(IF(ISNUMBER('SW Rev'!Q18),'SW Rev'!Q18,""),"")</f>
        <v/>
      </c>
      <c r="N19" s="31">
        <f>IFERROR(IF(ISNUMBER('SW Rev'!R18),'SW Rev'!R18,""),"")</f>
        <v/>
      </c>
    </row>
    <row r="20">
      <c r="A20" s="19">
        <f>'SW Rev'!$A19</f>
        <v/>
      </c>
      <c r="B20" s="19">
        <f>'SW Rev'!$B19</f>
        <v/>
      </c>
      <c r="C20" s="30">
        <f>IFERROR(IF(ISNUMBER('SW Rev'!G19),'SW Rev'!G19,""),"")</f>
        <v/>
      </c>
      <c r="D20" s="30">
        <f>IFERROR(IF(ISNUMBER('SW Rev'!H19),'SW Rev'!H19,""),"")</f>
        <v/>
      </c>
      <c r="E20" s="30">
        <f>IFERROR(IF(ISNUMBER('SW Rev'!I19),'SW Rev'!I19,""),"")</f>
        <v/>
      </c>
      <c r="F20" s="30">
        <f>IFERROR(IF(ISNUMBER('SW Rev'!J19),'SW Rev'!J19,""),"")</f>
        <v/>
      </c>
      <c r="G20" s="30">
        <f>IFERROR(IF(ISNUMBER('SW Rev'!K19),'SW Rev'!K19,""),"")</f>
        <v/>
      </c>
      <c r="H20" s="30">
        <f>IFERROR(IF(ISNUMBER('SW Rev'!L19),'SW Rev'!L19,""),"")</f>
        <v/>
      </c>
      <c r="I20" s="30">
        <f>IFERROR(IF(ISNUMBER('SW Rev'!M19),'SW Rev'!M19,""),"")</f>
        <v/>
      </c>
      <c r="J20" s="30">
        <f>IFERROR(IF(ISNUMBER('SW Rev'!N19),'SW Rev'!N19,""),"")</f>
        <v/>
      </c>
      <c r="K20" s="30">
        <f>IFERROR(IF(ISNUMBER('SW Rev'!O19),'SW Rev'!O19,""),"")</f>
        <v/>
      </c>
      <c r="L20" s="30">
        <f>IFERROR(IF(ISNUMBER('SW Rev'!P19),'SW Rev'!P19,""),"")</f>
        <v/>
      </c>
      <c r="M20" s="31">
        <f>IFERROR(IF(ISNUMBER('SW Rev'!Q19),'SW Rev'!Q19,""),"")</f>
        <v/>
      </c>
      <c r="N20" s="31">
        <f>IFERROR(IF(ISNUMBER('SW Rev'!R19),'SW Rev'!R19,""),"")</f>
        <v/>
      </c>
    </row>
    <row r="21">
      <c r="A21" s="19">
        <f>'SW Rev'!$A20</f>
        <v/>
      </c>
      <c r="B21" s="19">
        <f>'SW Rev'!$B20</f>
        <v/>
      </c>
      <c r="C21" s="30">
        <f>IFERROR(IF(ISNUMBER('SW Rev'!G20),'SW Rev'!G20,""),"")</f>
        <v/>
      </c>
      <c r="D21" s="30">
        <f>IFERROR(IF(ISNUMBER('SW Rev'!H20),'SW Rev'!H20,""),"")</f>
        <v/>
      </c>
      <c r="E21" s="30">
        <f>IFERROR(IF(ISNUMBER('SW Rev'!I20),'SW Rev'!I20,""),"")</f>
        <v/>
      </c>
      <c r="F21" s="30">
        <f>IFERROR(IF(ISNUMBER('SW Rev'!J20),'SW Rev'!J20,""),"")</f>
        <v/>
      </c>
      <c r="G21" s="30">
        <f>IFERROR(IF(ISNUMBER('SW Rev'!K20),'SW Rev'!K20,""),"")</f>
        <v/>
      </c>
      <c r="H21" s="30">
        <f>IFERROR(IF(ISNUMBER('SW Rev'!L20),'SW Rev'!L20,""),"")</f>
        <v/>
      </c>
      <c r="I21" s="30">
        <f>IFERROR(IF(ISNUMBER('SW Rev'!M20),'SW Rev'!M20,""),"")</f>
        <v/>
      </c>
      <c r="J21" s="30">
        <f>IFERROR(IF(ISNUMBER('SW Rev'!N20),'SW Rev'!N20,""),"")</f>
        <v/>
      </c>
      <c r="K21" s="30">
        <f>IFERROR(IF(ISNUMBER('SW Rev'!O20),'SW Rev'!O20,""),"")</f>
        <v/>
      </c>
      <c r="L21" s="30">
        <f>IFERROR(IF(ISNUMBER('SW Rev'!P20),'SW Rev'!P20,""),"")</f>
        <v/>
      </c>
      <c r="M21" s="31">
        <f>IFERROR(IF(ISNUMBER('SW Rev'!Q20),'SW Rev'!Q20,""),"")</f>
        <v/>
      </c>
      <c r="N21" s="31">
        <f>IFERROR(IF(ISNUMBER('SW Rev'!R20),'SW Rev'!R20,""),"")</f>
        <v/>
      </c>
    </row>
    <row r="22">
      <c r="A22" s="19">
        <f>'SW Rev'!$A21</f>
        <v/>
      </c>
      <c r="B22" s="19">
        <f>'SW Rev'!$B21</f>
        <v/>
      </c>
      <c r="C22" s="30">
        <f>IFERROR(IF(ISNUMBER('SW Rev'!G21),'SW Rev'!G21,""),"")</f>
        <v/>
      </c>
      <c r="D22" s="30">
        <f>IFERROR(IF(ISNUMBER('SW Rev'!H21),'SW Rev'!H21,""),"")</f>
        <v/>
      </c>
      <c r="E22" s="30">
        <f>IFERROR(IF(ISNUMBER('SW Rev'!I21),'SW Rev'!I21,""),"")</f>
        <v/>
      </c>
      <c r="F22" s="30">
        <f>IFERROR(IF(ISNUMBER('SW Rev'!J21),'SW Rev'!J21,""),"")</f>
        <v/>
      </c>
      <c r="G22" s="30">
        <f>IFERROR(IF(ISNUMBER('SW Rev'!K21),'SW Rev'!K21,""),"")</f>
        <v/>
      </c>
      <c r="H22" s="30">
        <f>IFERROR(IF(ISNUMBER('SW Rev'!L21),'SW Rev'!L21,""),"")</f>
        <v/>
      </c>
      <c r="I22" s="30">
        <f>IFERROR(IF(ISNUMBER('SW Rev'!M21),'SW Rev'!M21,""),"")</f>
        <v/>
      </c>
      <c r="J22" s="30">
        <f>IFERROR(IF(ISNUMBER('SW Rev'!N21),'SW Rev'!N21,""),"")</f>
        <v/>
      </c>
      <c r="K22" s="30">
        <f>IFERROR(IF(ISNUMBER('SW Rev'!O21),'SW Rev'!O21,""),"")</f>
        <v/>
      </c>
      <c r="L22" s="30">
        <f>IFERROR(IF(ISNUMBER('SW Rev'!P21),'SW Rev'!P21,""),"")</f>
        <v/>
      </c>
      <c r="M22" s="31">
        <f>IFERROR(IF(ISNUMBER('SW Rev'!Q21),'SW Rev'!Q21,""),"")</f>
        <v/>
      </c>
      <c r="N22" s="31">
        <f>IFERROR(IF(ISNUMBER('SW Rev'!R21),'SW Rev'!R21,""),"")</f>
        <v/>
      </c>
    </row>
    <row r="23">
      <c r="A23" s="19">
        <f>'SW Rev'!$A22</f>
        <v/>
      </c>
      <c r="B23" s="19">
        <f>'SW Rev'!$B22</f>
        <v/>
      </c>
      <c r="C23" s="30">
        <f>IFERROR(IF(ISNUMBER('SW Rev'!G22),'SW Rev'!G22,""),"")</f>
        <v/>
      </c>
      <c r="D23" s="30">
        <f>IFERROR(IF(ISNUMBER('SW Rev'!H22),'SW Rev'!H22,""),"")</f>
        <v/>
      </c>
      <c r="E23" s="30">
        <f>IFERROR(IF(ISNUMBER('SW Rev'!I22),'SW Rev'!I22,""),"")</f>
        <v/>
      </c>
      <c r="F23" s="30">
        <f>IFERROR(IF(ISNUMBER('SW Rev'!J22),'SW Rev'!J22,""),"")</f>
        <v/>
      </c>
      <c r="G23" s="30">
        <f>IFERROR(IF(ISNUMBER('SW Rev'!K22),'SW Rev'!K22,""),"")</f>
        <v/>
      </c>
      <c r="H23" s="30">
        <f>IFERROR(IF(ISNUMBER('SW Rev'!L22),'SW Rev'!L22,""),"")</f>
        <v/>
      </c>
      <c r="I23" s="30">
        <f>IFERROR(IF(ISNUMBER('SW Rev'!M22),'SW Rev'!M22,""),"")</f>
        <v/>
      </c>
      <c r="J23" s="30">
        <f>IFERROR(IF(ISNUMBER('SW Rev'!N22),'SW Rev'!N22,""),"")</f>
        <v/>
      </c>
      <c r="K23" s="30">
        <f>IFERROR(IF(ISNUMBER('SW Rev'!O22),'SW Rev'!O22,""),"")</f>
        <v/>
      </c>
      <c r="L23" s="30">
        <f>IFERROR(IF(ISNUMBER('SW Rev'!P22),'SW Rev'!P22,""),"")</f>
        <v/>
      </c>
      <c r="M23" s="31">
        <f>IFERROR(IF(ISNUMBER('SW Rev'!Q22),'SW Rev'!Q22,""),"")</f>
        <v/>
      </c>
      <c r="N23" s="31">
        <f>IFERROR(IF(ISNUMBER('SW Rev'!R22),'SW Rev'!R22,""),"")</f>
        <v/>
      </c>
    </row>
    <row r="24">
      <c r="A24" s="19">
        <f>'SW Rev'!$A23</f>
        <v/>
      </c>
      <c r="B24" s="19">
        <f>'SW Rev'!$B23</f>
        <v/>
      </c>
      <c r="C24" s="30">
        <f>IFERROR(IF(ISNUMBER('SW Rev'!G23),'SW Rev'!G23,""),"")</f>
        <v/>
      </c>
      <c r="D24" s="30">
        <f>IFERROR(IF(ISNUMBER('SW Rev'!H23),'SW Rev'!H23,""),"")</f>
        <v/>
      </c>
      <c r="E24" s="30">
        <f>IFERROR(IF(ISNUMBER('SW Rev'!I23),'SW Rev'!I23,""),"")</f>
        <v/>
      </c>
      <c r="F24" s="30">
        <f>IFERROR(IF(ISNUMBER('SW Rev'!J23),'SW Rev'!J23,""),"")</f>
        <v/>
      </c>
      <c r="G24" s="30">
        <f>IFERROR(IF(ISNUMBER('SW Rev'!K23),'SW Rev'!K23,""),"")</f>
        <v/>
      </c>
      <c r="H24" s="30">
        <f>IFERROR(IF(ISNUMBER('SW Rev'!L23),'SW Rev'!L23,""),"")</f>
        <v/>
      </c>
      <c r="I24" s="30">
        <f>IFERROR(IF(ISNUMBER('SW Rev'!M23),'SW Rev'!M23,""),"")</f>
        <v/>
      </c>
      <c r="J24" s="30">
        <f>IFERROR(IF(ISNUMBER('SW Rev'!N23),'SW Rev'!N23,""),"")</f>
        <v/>
      </c>
      <c r="K24" s="30">
        <f>IFERROR(IF(ISNUMBER('SW Rev'!O23),'SW Rev'!O23,""),"")</f>
        <v/>
      </c>
      <c r="L24" s="30">
        <f>IFERROR(IF(ISNUMBER('SW Rev'!P23),'SW Rev'!P23,""),"")</f>
        <v/>
      </c>
      <c r="M24" s="31">
        <f>IFERROR(IF(ISNUMBER('SW Rev'!Q23),'SW Rev'!Q23,""),"")</f>
        <v/>
      </c>
      <c r="N24" s="31">
        <f>IFERROR(IF(ISNUMBER('SW Rev'!R23),'SW Rev'!R23,""),"")</f>
        <v/>
      </c>
    </row>
    <row r="25">
      <c r="A25" s="19">
        <f>'SW Rev'!$A24</f>
        <v/>
      </c>
      <c r="B25" s="19">
        <f>'SW Rev'!$B24</f>
        <v/>
      </c>
      <c r="C25" s="30">
        <f>IFERROR(IF(ISNUMBER('SW Rev'!G24),'SW Rev'!G24,""),"")</f>
        <v/>
      </c>
      <c r="D25" s="30">
        <f>IFERROR(IF(ISNUMBER('SW Rev'!H24),'SW Rev'!H24,""),"")</f>
        <v/>
      </c>
      <c r="E25" s="30">
        <f>IFERROR(IF(ISNUMBER('SW Rev'!I24),'SW Rev'!I24,""),"")</f>
        <v/>
      </c>
      <c r="F25" s="30">
        <f>IFERROR(IF(ISNUMBER('SW Rev'!J24),'SW Rev'!J24,""),"")</f>
        <v/>
      </c>
      <c r="G25" s="30">
        <f>IFERROR(IF(ISNUMBER('SW Rev'!K24),'SW Rev'!K24,""),"")</f>
        <v/>
      </c>
      <c r="H25" s="30">
        <f>IFERROR(IF(ISNUMBER('SW Rev'!L24),'SW Rev'!L24,""),"")</f>
        <v/>
      </c>
      <c r="I25" s="30">
        <f>IFERROR(IF(ISNUMBER('SW Rev'!M24),'SW Rev'!M24,""),"")</f>
        <v/>
      </c>
      <c r="J25" s="30">
        <f>IFERROR(IF(ISNUMBER('SW Rev'!N24),'SW Rev'!N24,""),"")</f>
        <v/>
      </c>
      <c r="K25" s="30">
        <f>IFERROR(IF(ISNUMBER('SW Rev'!O24),'SW Rev'!O24,""),"")</f>
        <v/>
      </c>
      <c r="L25" s="30">
        <f>IFERROR(IF(ISNUMBER('SW Rev'!P24),'SW Rev'!P24,""),"")</f>
        <v/>
      </c>
      <c r="M25" s="31">
        <f>IFERROR(IF(ISNUMBER('SW Rev'!Q24),'SW Rev'!Q24,""),"")</f>
        <v/>
      </c>
      <c r="N25" s="31">
        <f>IFERROR(IF(ISNUMBER('SW Rev'!R24),'SW Rev'!R24,""),"")</f>
        <v/>
      </c>
    </row>
    <row r="26">
      <c r="A26" s="19">
        <f>'SW Rev'!$A25</f>
        <v/>
      </c>
      <c r="B26" s="19">
        <f>'SW Rev'!$B25</f>
        <v/>
      </c>
      <c r="C26" s="30">
        <f>IFERROR(IF(ISNUMBER('SW Rev'!G25),'SW Rev'!G25,""),"")</f>
        <v/>
      </c>
      <c r="D26" s="30">
        <f>IFERROR(IF(ISNUMBER('SW Rev'!H25),'SW Rev'!H25,""),"")</f>
        <v/>
      </c>
      <c r="E26" s="30">
        <f>IFERROR(IF(ISNUMBER('SW Rev'!I25),'SW Rev'!I25,""),"")</f>
        <v/>
      </c>
      <c r="F26" s="30">
        <f>IFERROR(IF(ISNUMBER('SW Rev'!J25),'SW Rev'!J25,""),"")</f>
        <v/>
      </c>
      <c r="G26" s="30">
        <f>IFERROR(IF(ISNUMBER('SW Rev'!K25),'SW Rev'!K25,""),"")</f>
        <v/>
      </c>
      <c r="H26" s="30">
        <f>IFERROR(IF(ISNUMBER('SW Rev'!L25),'SW Rev'!L25,""),"")</f>
        <v/>
      </c>
      <c r="I26" s="30">
        <f>IFERROR(IF(ISNUMBER('SW Rev'!M25),'SW Rev'!M25,""),"")</f>
        <v/>
      </c>
      <c r="J26" s="30">
        <f>IFERROR(IF(ISNUMBER('SW Rev'!N25),'SW Rev'!N25,""),"")</f>
        <v/>
      </c>
      <c r="K26" s="30">
        <f>IFERROR(IF(ISNUMBER('SW Rev'!O25),'SW Rev'!O25,""),"")</f>
        <v/>
      </c>
      <c r="L26" s="30">
        <f>IFERROR(IF(ISNUMBER('SW Rev'!P25),'SW Rev'!P25,""),"")</f>
        <v/>
      </c>
      <c r="M26" s="31">
        <f>IFERROR(IF(ISNUMBER('SW Rev'!Q25),'SW Rev'!Q25,""),"")</f>
        <v/>
      </c>
      <c r="N26" s="31">
        <f>IFERROR(IF(ISNUMBER('SW Rev'!R25),'SW Rev'!R25,""),"")</f>
        <v/>
      </c>
    </row>
    <row r="27">
      <c r="A27" s="19">
        <f>'SW Rev'!$A26</f>
        <v/>
      </c>
      <c r="B27" s="19">
        <f>'SW Rev'!$B26</f>
        <v/>
      </c>
      <c r="C27" s="30">
        <f>IFERROR(IF(ISNUMBER('SW Rev'!G26),'SW Rev'!G26,""),"")</f>
        <v/>
      </c>
      <c r="D27" s="30">
        <f>IFERROR(IF(ISNUMBER('SW Rev'!H26),'SW Rev'!H26,""),"")</f>
        <v/>
      </c>
      <c r="E27" s="30">
        <f>IFERROR(IF(ISNUMBER('SW Rev'!I26),'SW Rev'!I26,""),"")</f>
        <v/>
      </c>
      <c r="F27" s="30">
        <f>IFERROR(IF(ISNUMBER('SW Rev'!J26),'SW Rev'!J26,""),"")</f>
        <v/>
      </c>
      <c r="G27" s="30">
        <f>IFERROR(IF(ISNUMBER('SW Rev'!K26),'SW Rev'!K26,""),"")</f>
        <v/>
      </c>
      <c r="H27" s="30">
        <f>IFERROR(IF(ISNUMBER('SW Rev'!L26),'SW Rev'!L26,""),"")</f>
        <v/>
      </c>
      <c r="I27" s="30">
        <f>IFERROR(IF(ISNUMBER('SW Rev'!M26),'SW Rev'!M26,""),"")</f>
        <v/>
      </c>
      <c r="J27" s="30">
        <f>IFERROR(IF(ISNUMBER('SW Rev'!N26),'SW Rev'!N26,""),"")</f>
        <v/>
      </c>
      <c r="K27" s="30">
        <f>IFERROR(IF(ISNUMBER('SW Rev'!O26),'SW Rev'!O26,""),"")</f>
        <v/>
      </c>
      <c r="L27" s="30">
        <f>IFERROR(IF(ISNUMBER('SW Rev'!P26),'SW Rev'!P26,""),"")</f>
        <v/>
      </c>
      <c r="M27" s="31">
        <f>IFERROR(IF(ISNUMBER('SW Rev'!Q26),'SW Rev'!Q26,""),"")</f>
        <v/>
      </c>
      <c r="N27" s="31">
        <f>IFERROR(IF(ISNUMBER('SW Rev'!R26),'SW Rev'!R26,""),"")</f>
        <v/>
      </c>
    </row>
    <row r="28">
      <c r="A28" s="19">
        <f>'SW Rev'!$A27</f>
        <v/>
      </c>
      <c r="B28" s="19">
        <f>'SW Rev'!$B27</f>
        <v/>
      </c>
      <c r="C28" s="30">
        <f>IFERROR(IF(ISNUMBER('SW Rev'!G27),'SW Rev'!G27,""),"")</f>
        <v/>
      </c>
      <c r="D28" s="30">
        <f>IFERROR(IF(ISNUMBER('SW Rev'!H27),'SW Rev'!H27,""),"")</f>
        <v/>
      </c>
      <c r="E28" s="30">
        <f>IFERROR(IF(ISNUMBER('SW Rev'!I27),'SW Rev'!I27,""),"")</f>
        <v/>
      </c>
      <c r="F28" s="30">
        <f>IFERROR(IF(ISNUMBER('SW Rev'!J27),'SW Rev'!J27,""),"")</f>
        <v/>
      </c>
      <c r="G28" s="30">
        <f>IFERROR(IF(ISNUMBER('SW Rev'!K27),'SW Rev'!K27,""),"")</f>
        <v/>
      </c>
      <c r="H28" s="30">
        <f>IFERROR(IF(ISNUMBER('SW Rev'!L27),'SW Rev'!L27,""),"")</f>
        <v/>
      </c>
      <c r="I28" s="30">
        <f>IFERROR(IF(ISNUMBER('SW Rev'!M27),'SW Rev'!M27,""),"")</f>
        <v/>
      </c>
      <c r="J28" s="30">
        <f>IFERROR(IF(ISNUMBER('SW Rev'!N27),'SW Rev'!N27,""),"")</f>
        <v/>
      </c>
      <c r="K28" s="30">
        <f>IFERROR(IF(ISNUMBER('SW Rev'!O27),'SW Rev'!O27,""),"")</f>
        <v/>
      </c>
      <c r="L28" s="30">
        <f>IFERROR(IF(ISNUMBER('SW Rev'!P27),'SW Rev'!P27,""),"")</f>
        <v/>
      </c>
      <c r="M28" s="31">
        <f>IFERROR(IF(ISNUMBER('SW Rev'!Q27),'SW Rev'!Q27,""),"")</f>
        <v/>
      </c>
      <c r="N28" s="31">
        <f>IFERROR(IF(ISNUMBER('SW Rev'!R27),'SW Rev'!R27,""),"")</f>
        <v/>
      </c>
    </row>
    <row r="29">
      <c r="A29" s="19">
        <f>'SW Rev'!$A28</f>
        <v/>
      </c>
      <c r="B29" s="19">
        <f>'SW Rev'!$B28</f>
        <v/>
      </c>
      <c r="C29" s="30">
        <f>IFERROR(IF(ISNUMBER('SW Rev'!G28),'SW Rev'!G28,""),"")</f>
        <v/>
      </c>
      <c r="D29" s="30">
        <f>IFERROR(IF(ISNUMBER('SW Rev'!H28),'SW Rev'!H28,""),"")</f>
        <v/>
      </c>
      <c r="E29" s="30">
        <f>IFERROR(IF(ISNUMBER('SW Rev'!I28),'SW Rev'!I28,""),"")</f>
        <v/>
      </c>
      <c r="F29" s="30">
        <f>IFERROR(IF(ISNUMBER('SW Rev'!J28),'SW Rev'!J28,""),"")</f>
        <v/>
      </c>
      <c r="G29" s="30">
        <f>IFERROR(IF(ISNUMBER('SW Rev'!K28),'SW Rev'!K28,""),"")</f>
        <v/>
      </c>
      <c r="H29" s="30">
        <f>IFERROR(IF(ISNUMBER('SW Rev'!L28),'SW Rev'!L28,""),"")</f>
        <v/>
      </c>
      <c r="I29" s="30">
        <f>IFERROR(IF(ISNUMBER('SW Rev'!M28),'SW Rev'!M28,""),"")</f>
        <v/>
      </c>
      <c r="J29" s="30">
        <f>IFERROR(IF(ISNUMBER('SW Rev'!N28),'SW Rev'!N28,""),"")</f>
        <v/>
      </c>
      <c r="K29" s="30">
        <f>IFERROR(IF(ISNUMBER('SW Rev'!O28),'SW Rev'!O28,""),"")</f>
        <v/>
      </c>
      <c r="L29" s="30">
        <f>IFERROR(IF(ISNUMBER('SW Rev'!P28),'SW Rev'!P28,""),"")</f>
        <v/>
      </c>
      <c r="M29" s="31">
        <f>IFERROR(IF(ISNUMBER('SW Rev'!Q28),'SW Rev'!Q28,""),"")</f>
        <v/>
      </c>
      <c r="N29" s="31">
        <f>IFERROR(IF(ISNUMBER('SW Rev'!R28),'SW Rev'!R28,""),"")</f>
        <v/>
      </c>
    </row>
    <row r="30">
      <c r="A30" s="19">
        <f>'SW Rev'!$A29</f>
        <v/>
      </c>
      <c r="B30" s="19">
        <f>'SW Rev'!$B29</f>
        <v/>
      </c>
      <c r="C30" s="30">
        <f>IFERROR(IF(ISNUMBER('SW Rev'!G29),'SW Rev'!G29,""),"")</f>
        <v/>
      </c>
      <c r="D30" s="30">
        <f>IFERROR(IF(ISNUMBER('SW Rev'!H29),'SW Rev'!H29,""),"")</f>
        <v/>
      </c>
      <c r="E30" s="30">
        <f>IFERROR(IF(ISNUMBER('SW Rev'!I29),'SW Rev'!I29,""),"")</f>
        <v/>
      </c>
      <c r="F30" s="30">
        <f>IFERROR(IF(ISNUMBER('SW Rev'!J29),'SW Rev'!J29,""),"")</f>
        <v/>
      </c>
      <c r="G30" s="30">
        <f>IFERROR(IF(ISNUMBER('SW Rev'!K29),'SW Rev'!K29,""),"")</f>
        <v/>
      </c>
      <c r="H30" s="30">
        <f>IFERROR(IF(ISNUMBER('SW Rev'!L29),'SW Rev'!L29,""),"")</f>
        <v/>
      </c>
      <c r="I30" s="30">
        <f>IFERROR(IF(ISNUMBER('SW Rev'!M29),'SW Rev'!M29,""),"")</f>
        <v/>
      </c>
      <c r="J30" s="30">
        <f>IFERROR(IF(ISNUMBER('SW Rev'!N29),'SW Rev'!N29,""),"")</f>
        <v/>
      </c>
      <c r="K30" s="30">
        <f>IFERROR(IF(ISNUMBER('SW Rev'!O29),'SW Rev'!O29,""),"")</f>
        <v/>
      </c>
      <c r="L30" s="30">
        <f>IFERROR(IF(ISNUMBER('SW Rev'!P29),'SW Rev'!P29,""),"")</f>
        <v/>
      </c>
      <c r="M30" s="31">
        <f>IFERROR(IF(ISNUMBER('SW Rev'!Q29),'SW Rev'!Q29,""),"")</f>
        <v/>
      </c>
      <c r="N30" s="31">
        <f>IFERROR(IF(ISNUMBER('SW Rev'!R29),'SW Rev'!R29,""),"")</f>
        <v/>
      </c>
    </row>
    <row r="31">
      <c r="A31" s="19">
        <f>'SW Rev'!$A30</f>
        <v/>
      </c>
      <c r="B31" s="19">
        <f>'SW Rev'!$B30</f>
        <v/>
      </c>
      <c r="C31" s="30">
        <f>IFERROR(IF(ISNUMBER('SW Rev'!G30),'SW Rev'!G30,""),"")</f>
        <v/>
      </c>
      <c r="D31" s="30">
        <f>IFERROR(IF(ISNUMBER('SW Rev'!H30),'SW Rev'!H30,""),"")</f>
        <v/>
      </c>
      <c r="E31" s="30">
        <f>IFERROR(IF(ISNUMBER('SW Rev'!I30),'SW Rev'!I30,""),"")</f>
        <v/>
      </c>
      <c r="F31" s="30">
        <f>IFERROR(IF(ISNUMBER('SW Rev'!J30),'SW Rev'!J30,""),"")</f>
        <v/>
      </c>
      <c r="G31" s="30">
        <f>IFERROR(IF(ISNUMBER('SW Rev'!K30),'SW Rev'!K30,""),"")</f>
        <v/>
      </c>
      <c r="H31" s="30">
        <f>IFERROR(IF(ISNUMBER('SW Rev'!L30),'SW Rev'!L30,""),"")</f>
        <v/>
      </c>
      <c r="I31" s="30">
        <f>IFERROR(IF(ISNUMBER('SW Rev'!M30),'SW Rev'!M30,""),"")</f>
        <v/>
      </c>
      <c r="J31" s="30">
        <f>IFERROR(IF(ISNUMBER('SW Rev'!N30),'SW Rev'!N30,""),"")</f>
        <v/>
      </c>
      <c r="K31" s="30">
        <f>IFERROR(IF(ISNUMBER('SW Rev'!O30),'SW Rev'!O30,""),"")</f>
        <v/>
      </c>
      <c r="L31" s="30">
        <f>IFERROR(IF(ISNUMBER('SW Rev'!P30),'SW Rev'!P30,""),"")</f>
        <v/>
      </c>
      <c r="M31" s="31">
        <f>IFERROR(IF(ISNUMBER('SW Rev'!Q30),'SW Rev'!Q30,""),"")</f>
        <v/>
      </c>
      <c r="N31" s="31">
        <f>IFERROR(IF(ISNUMBER('SW Rev'!R30),'SW Rev'!R30,""),"")</f>
        <v/>
      </c>
    </row>
    <row r="32">
      <c r="A32" s="19">
        <f>'SW Rev'!$A31</f>
        <v/>
      </c>
      <c r="B32" s="19">
        <f>'SW Rev'!$B31</f>
        <v/>
      </c>
      <c r="C32" s="30">
        <f>IFERROR(IF(ISNUMBER('SW Rev'!G31),'SW Rev'!G31,""),"")</f>
        <v/>
      </c>
      <c r="D32" s="30">
        <f>IFERROR(IF(ISNUMBER('SW Rev'!H31),'SW Rev'!H31,""),"")</f>
        <v/>
      </c>
      <c r="E32" s="30">
        <f>IFERROR(IF(ISNUMBER('SW Rev'!I31),'SW Rev'!I31,""),"")</f>
        <v/>
      </c>
      <c r="F32" s="30">
        <f>IFERROR(IF(ISNUMBER('SW Rev'!J31),'SW Rev'!J31,""),"")</f>
        <v/>
      </c>
      <c r="G32" s="30">
        <f>IFERROR(IF(ISNUMBER('SW Rev'!K31),'SW Rev'!K31,""),"")</f>
        <v/>
      </c>
      <c r="H32" s="30">
        <f>IFERROR(IF(ISNUMBER('SW Rev'!L31),'SW Rev'!L31,""),"")</f>
        <v/>
      </c>
      <c r="I32" s="30">
        <f>IFERROR(IF(ISNUMBER('SW Rev'!M31),'SW Rev'!M31,""),"")</f>
        <v/>
      </c>
      <c r="J32" s="30">
        <f>IFERROR(IF(ISNUMBER('SW Rev'!N31),'SW Rev'!N31,""),"")</f>
        <v/>
      </c>
      <c r="K32" s="30">
        <f>IFERROR(IF(ISNUMBER('SW Rev'!O31),'SW Rev'!O31,""),"")</f>
        <v/>
      </c>
      <c r="L32" s="30">
        <f>IFERROR(IF(ISNUMBER('SW Rev'!P31),'SW Rev'!P31,""),"")</f>
        <v/>
      </c>
      <c r="M32" s="31">
        <f>IFERROR(IF(ISNUMBER('SW Rev'!Q31),'SW Rev'!Q31,""),"")</f>
        <v/>
      </c>
      <c r="N32" s="31">
        <f>IFERROR(IF(ISNUMBER('SW Rev'!R31),'SW Rev'!R31,""),"")</f>
        <v/>
      </c>
    </row>
    <row r="33">
      <c r="A33" s="19">
        <f>'SW Rev'!$A32</f>
        <v/>
      </c>
      <c r="B33" s="19">
        <f>'SW Rev'!$B32</f>
        <v/>
      </c>
      <c r="C33" s="30">
        <f>IFERROR(IF(ISNUMBER('SW Rev'!G32),'SW Rev'!G32,""),"")</f>
        <v/>
      </c>
      <c r="D33" s="30">
        <f>IFERROR(IF(ISNUMBER('SW Rev'!H32),'SW Rev'!H32,""),"")</f>
        <v/>
      </c>
      <c r="E33" s="30">
        <f>IFERROR(IF(ISNUMBER('SW Rev'!I32),'SW Rev'!I32,""),"")</f>
        <v/>
      </c>
      <c r="F33" s="30">
        <f>IFERROR(IF(ISNUMBER('SW Rev'!J32),'SW Rev'!J32,""),"")</f>
        <v/>
      </c>
      <c r="G33" s="30">
        <f>IFERROR(IF(ISNUMBER('SW Rev'!K32),'SW Rev'!K32,""),"")</f>
        <v/>
      </c>
      <c r="H33" s="30">
        <f>IFERROR(IF(ISNUMBER('SW Rev'!L32),'SW Rev'!L32,""),"")</f>
        <v/>
      </c>
      <c r="I33" s="30">
        <f>IFERROR(IF(ISNUMBER('SW Rev'!M32),'SW Rev'!M32,""),"")</f>
        <v/>
      </c>
      <c r="J33" s="30">
        <f>IFERROR(IF(ISNUMBER('SW Rev'!N32),'SW Rev'!N32,""),"")</f>
        <v/>
      </c>
      <c r="K33" s="30">
        <f>IFERROR(IF(ISNUMBER('SW Rev'!O32),'SW Rev'!O32,""),"")</f>
        <v/>
      </c>
      <c r="L33" s="30">
        <f>IFERROR(IF(ISNUMBER('SW Rev'!P32),'SW Rev'!P32,""),"")</f>
        <v/>
      </c>
      <c r="M33" s="31">
        <f>IFERROR(IF(ISNUMBER('SW Rev'!Q32),'SW Rev'!Q32,""),"")</f>
        <v/>
      </c>
      <c r="N33" s="31">
        <f>IFERROR(IF(ISNUMBER('SW Rev'!R32),'SW Rev'!R32,""),"")</f>
        <v/>
      </c>
    </row>
    <row r="34">
      <c r="A34" s="19">
        <f>'SW Rev'!$A33</f>
        <v/>
      </c>
      <c r="B34" s="19">
        <f>'SW Rev'!$B33</f>
        <v/>
      </c>
      <c r="C34" s="30">
        <f>IFERROR(IF(ISNUMBER('SW Rev'!G33),'SW Rev'!G33,""),"")</f>
        <v/>
      </c>
      <c r="D34" s="30">
        <f>IFERROR(IF(ISNUMBER('SW Rev'!H33),'SW Rev'!H33,""),"")</f>
        <v/>
      </c>
      <c r="E34" s="30">
        <f>IFERROR(IF(ISNUMBER('SW Rev'!I33),'SW Rev'!I33,""),"")</f>
        <v/>
      </c>
      <c r="F34" s="30">
        <f>IFERROR(IF(ISNUMBER('SW Rev'!J33),'SW Rev'!J33,""),"")</f>
        <v/>
      </c>
      <c r="G34" s="30">
        <f>IFERROR(IF(ISNUMBER('SW Rev'!K33),'SW Rev'!K33,""),"")</f>
        <v/>
      </c>
      <c r="H34" s="30">
        <f>IFERROR(IF(ISNUMBER('SW Rev'!L33),'SW Rev'!L33,""),"")</f>
        <v/>
      </c>
      <c r="I34" s="30">
        <f>IFERROR(IF(ISNUMBER('SW Rev'!M33),'SW Rev'!M33,""),"")</f>
        <v/>
      </c>
      <c r="J34" s="30">
        <f>IFERROR(IF(ISNUMBER('SW Rev'!N33),'SW Rev'!N33,""),"")</f>
        <v/>
      </c>
      <c r="K34" s="30">
        <f>IFERROR(IF(ISNUMBER('SW Rev'!O33),'SW Rev'!O33,""),"")</f>
        <v/>
      </c>
      <c r="L34" s="30">
        <f>IFERROR(IF(ISNUMBER('SW Rev'!P33),'SW Rev'!P33,""),"")</f>
        <v/>
      </c>
      <c r="M34" s="31">
        <f>IFERROR(IF(ISNUMBER('SW Rev'!Q33),'SW Rev'!Q33,""),"")</f>
        <v/>
      </c>
      <c r="N34" s="31">
        <f>IFERROR(IF(ISNUMBER('SW Rev'!R33),'SW Rev'!R33,""),"")</f>
        <v/>
      </c>
    </row>
    <row r="35">
      <c r="A35" s="19">
        <f>'SW Rev'!$A34</f>
        <v/>
      </c>
      <c r="B35" s="19">
        <f>'SW Rev'!$B34</f>
        <v/>
      </c>
      <c r="C35" s="30">
        <f>IFERROR(IF(ISNUMBER('SW Rev'!G34),'SW Rev'!G34,""),"")</f>
        <v/>
      </c>
      <c r="D35" s="30">
        <f>IFERROR(IF(ISNUMBER('SW Rev'!H34),'SW Rev'!H34,""),"")</f>
        <v/>
      </c>
      <c r="E35" s="30">
        <f>IFERROR(IF(ISNUMBER('SW Rev'!I34),'SW Rev'!I34,""),"")</f>
        <v/>
      </c>
      <c r="F35" s="30">
        <f>IFERROR(IF(ISNUMBER('SW Rev'!J34),'SW Rev'!J34,""),"")</f>
        <v/>
      </c>
      <c r="G35" s="30">
        <f>IFERROR(IF(ISNUMBER('SW Rev'!K34),'SW Rev'!K34,""),"")</f>
        <v/>
      </c>
      <c r="H35" s="30">
        <f>IFERROR(IF(ISNUMBER('SW Rev'!L34),'SW Rev'!L34,""),"")</f>
        <v/>
      </c>
      <c r="I35" s="30">
        <f>IFERROR(IF(ISNUMBER('SW Rev'!M34),'SW Rev'!M34,""),"")</f>
        <v/>
      </c>
      <c r="J35" s="30">
        <f>IFERROR(IF(ISNUMBER('SW Rev'!N34),'SW Rev'!N34,""),"")</f>
        <v/>
      </c>
      <c r="K35" s="30">
        <f>IFERROR(IF(ISNUMBER('SW Rev'!O34),'SW Rev'!O34,""),"")</f>
        <v/>
      </c>
      <c r="L35" s="30">
        <f>IFERROR(IF(ISNUMBER('SW Rev'!P34),'SW Rev'!P34,""),"")</f>
        <v/>
      </c>
      <c r="M35" s="31">
        <f>IFERROR(IF(ISNUMBER('SW Rev'!Q34),'SW Rev'!Q34,""),"")</f>
        <v/>
      </c>
      <c r="N35" s="31">
        <f>IFERROR(IF(ISNUMBER('SW Rev'!R34),'SW Rev'!R34,""),"")</f>
        <v/>
      </c>
    </row>
    <row r="36">
      <c r="A36" s="19">
        <f>'SW Rev'!$A35</f>
        <v/>
      </c>
      <c r="B36" s="19">
        <f>'SW Rev'!$B35</f>
        <v/>
      </c>
      <c r="C36" s="30">
        <f>IFERROR(IF(ISNUMBER('SW Rev'!G35),'SW Rev'!G35,""),"")</f>
        <v/>
      </c>
      <c r="D36" s="30">
        <f>IFERROR(IF(ISNUMBER('SW Rev'!H35),'SW Rev'!H35,""),"")</f>
        <v/>
      </c>
      <c r="E36" s="30">
        <f>IFERROR(IF(ISNUMBER('SW Rev'!I35),'SW Rev'!I35,""),"")</f>
        <v/>
      </c>
      <c r="F36" s="30">
        <f>IFERROR(IF(ISNUMBER('SW Rev'!J35),'SW Rev'!J35,""),"")</f>
        <v/>
      </c>
      <c r="G36" s="30">
        <f>IFERROR(IF(ISNUMBER('SW Rev'!K35),'SW Rev'!K35,""),"")</f>
        <v/>
      </c>
      <c r="H36" s="30">
        <f>IFERROR(IF(ISNUMBER('SW Rev'!L35),'SW Rev'!L35,""),"")</f>
        <v/>
      </c>
      <c r="I36" s="30">
        <f>IFERROR(IF(ISNUMBER('SW Rev'!M35),'SW Rev'!M35,""),"")</f>
        <v/>
      </c>
      <c r="J36" s="30">
        <f>IFERROR(IF(ISNUMBER('SW Rev'!N35),'SW Rev'!N35,""),"")</f>
        <v/>
      </c>
      <c r="K36" s="30">
        <f>IFERROR(IF(ISNUMBER('SW Rev'!O35),'SW Rev'!O35,""),"")</f>
        <v/>
      </c>
      <c r="L36" s="30">
        <f>IFERROR(IF(ISNUMBER('SW Rev'!P35),'SW Rev'!P35,""),"")</f>
        <v/>
      </c>
      <c r="M36" s="31">
        <f>IFERROR(IF(ISNUMBER('SW Rev'!Q35),'SW Rev'!Q35,""),"")</f>
        <v/>
      </c>
      <c r="N36" s="31">
        <f>IFERROR(IF(ISNUMBER('SW Rev'!R35),'SW Rev'!R35,""),"")</f>
        <v/>
      </c>
    </row>
    <row r="37">
      <c r="A37" s="19">
        <f>'SW Rev'!$A36</f>
        <v/>
      </c>
      <c r="B37" s="19">
        <f>'SW Rev'!$B36</f>
        <v/>
      </c>
      <c r="C37" s="30">
        <f>IFERROR(IF(ISNUMBER('SW Rev'!G36),'SW Rev'!G36,""),"")</f>
        <v/>
      </c>
      <c r="D37" s="30">
        <f>IFERROR(IF(ISNUMBER('SW Rev'!H36),'SW Rev'!H36,""),"")</f>
        <v/>
      </c>
      <c r="E37" s="30">
        <f>IFERROR(IF(ISNUMBER('SW Rev'!I36),'SW Rev'!I36,""),"")</f>
        <v/>
      </c>
      <c r="F37" s="30">
        <f>IFERROR(IF(ISNUMBER('SW Rev'!J36),'SW Rev'!J36,""),"")</f>
        <v/>
      </c>
      <c r="G37" s="30">
        <f>IFERROR(IF(ISNUMBER('SW Rev'!K36),'SW Rev'!K36,""),"")</f>
        <v/>
      </c>
      <c r="H37" s="30">
        <f>IFERROR(IF(ISNUMBER('SW Rev'!L36),'SW Rev'!L36,""),"")</f>
        <v/>
      </c>
      <c r="I37" s="30">
        <f>IFERROR(IF(ISNUMBER('SW Rev'!M36),'SW Rev'!M36,""),"")</f>
        <v/>
      </c>
      <c r="J37" s="30">
        <f>IFERROR(IF(ISNUMBER('SW Rev'!N36),'SW Rev'!N36,""),"")</f>
        <v/>
      </c>
      <c r="K37" s="30">
        <f>IFERROR(IF(ISNUMBER('SW Rev'!O36),'SW Rev'!O36,""),"")</f>
        <v/>
      </c>
      <c r="L37" s="30">
        <f>IFERROR(IF(ISNUMBER('SW Rev'!P36),'SW Rev'!P36,""),"")</f>
        <v/>
      </c>
      <c r="M37" s="31">
        <f>IFERROR(IF(ISNUMBER('SW Rev'!Q36),'SW Rev'!Q36,""),"")</f>
        <v/>
      </c>
      <c r="N37" s="31">
        <f>IFERROR(IF(ISNUMBER('SW Rev'!R36),'SW Rev'!R36,""),"")</f>
        <v/>
      </c>
    </row>
    <row r="38">
      <c r="A38" s="19">
        <f>'SW Rev'!$A37</f>
        <v/>
      </c>
      <c r="B38" s="19">
        <f>'SW Rev'!$B37</f>
        <v/>
      </c>
      <c r="C38" s="30">
        <f>IFERROR(IF(ISNUMBER('SW Rev'!G37),'SW Rev'!G37,""),"")</f>
        <v/>
      </c>
      <c r="D38" s="30">
        <f>IFERROR(IF(ISNUMBER('SW Rev'!H37),'SW Rev'!H37,""),"")</f>
        <v/>
      </c>
      <c r="E38" s="30">
        <f>IFERROR(IF(ISNUMBER('SW Rev'!I37),'SW Rev'!I37,""),"")</f>
        <v/>
      </c>
      <c r="F38" s="30">
        <f>IFERROR(IF(ISNUMBER('SW Rev'!J37),'SW Rev'!J37,""),"")</f>
        <v/>
      </c>
      <c r="G38" s="30">
        <f>IFERROR(IF(ISNUMBER('SW Rev'!K37),'SW Rev'!K37,""),"")</f>
        <v/>
      </c>
      <c r="H38" s="30">
        <f>IFERROR(IF(ISNUMBER('SW Rev'!L37),'SW Rev'!L37,""),"")</f>
        <v/>
      </c>
      <c r="I38" s="30">
        <f>IFERROR(IF(ISNUMBER('SW Rev'!M37),'SW Rev'!M37,""),"")</f>
        <v/>
      </c>
      <c r="J38" s="30">
        <f>IFERROR(IF(ISNUMBER('SW Rev'!N37),'SW Rev'!N37,""),"")</f>
        <v/>
      </c>
      <c r="K38" s="30">
        <f>IFERROR(IF(ISNUMBER('SW Rev'!O37),'SW Rev'!O37,""),"")</f>
        <v/>
      </c>
      <c r="L38" s="30">
        <f>IFERROR(IF(ISNUMBER('SW Rev'!P37),'SW Rev'!P37,""),"")</f>
        <v/>
      </c>
      <c r="M38" s="31">
        <f>IFERROR(IF(ISNUMBER('SW Rev'!Q37),'SW Rev'!Q37,""),"")</f>
        <v/>
      </c>
      <c r="N38" s="31">
        <f>IFERROR(IF(ISNUMBER('SW Rev'!R37),'SW Rev'!R37,""),"")</f>
        <v/>
      </c>
    </row>
    <row r="39">
      <c r="A39" s="19">
        <f>'SW Rev'!$A38</f>
        <v/>
      </c>
      <c r="B39" s="19">
        <f>'SW Rev'!$B38</f>
        <v/>
      </c>
      <c r="C39" s="30">
        <f>IFERROR(IF(ISNUMBER('SW Rev'!G38),'SW Rev'!G38,""),"")</f>
        <v/>
      </c>
      <c r="D39" s="30">
        <f>IFERROR(IF(ISNUMBER('SW Rev'!H38),'SW Rev'!H38,""),"")</f>
        <v/>
      </c>
      <c r="E39" s="30">
        <f>IFERROR(IF(ISNUMBER('SW Rev'!I38),'SW Rev'!I38,""),"")</f>
        <v/>
      </c>
      <c r="F39" s="30">
        <f>IFERROR(IF(ISNUMBER('SW Rev'!J38),'SW Rev'!J38,""),"")</f>
        <v/>
      </c>
      <c r="G39" s="30">
        <f>IFERROR(IF(ISNUMBER('SW Rev'!K38),'SW Rev'!K38,""),"")</f>
        <v/>
      </c>
      <c r="H39" s="30">
        <f>IFERROR(IF(ISNUMBER('SW Rev'!L38),'SW Rev'!L38,""),"")</f>
        <v/>
      </c>
      <c r="I39" s="30">
        <f>IFERROR(IF(ISNUMBER('SW Rev'!M38),'SW Rev'!M38,""),"")</f>
        <v/>
      </c>
      <c r="J39" s="30">
        <f>IFERROR(IF(ISNUMBER('SW Rev'!N38),'SW Rev'!N38,""),"")</f>
        <v/>
      </c>
      <c r="K39" s="30">
        <f>IFERROR(IF(ISNUMBER('SW Rev'!O38),'SW Rev'!O38,""),"")</f>
        <v/>
      </c>
      <c r="L39" s="30">
        <f>IFERROR(IF(ISNUMBER('SW Rev'!P38),'SW Rev'!P38,""),"")</f>
        <v/>
      </c>
      <c r="M39" s="31">
        <f>IFERROR(IF(ISNUMBER('SW Rev'!Q38),'SW Rev'!Q38,""),"")</f>
        <v/>
      </c>
      <c r="N39" s="31">
        <f>IFERROR(IF(ISNUMBER('SW Rev'!R38),'SW Rev'!R38,""),"")</f>
        <v/>
      </c>
    </row>
    <row r="40">
      <c r="A40" s="19">
        <f>'SW Rev'!$A39</f>
        <v/>
      </c>
      <c r="B40" s="19">
        <f>'SW Rev'!$B39</f>
        <v/>
      </c>
      <c r="C40" s="30">
        <f>IFERROR(IF(ISNUMBER('SW Rev'!G39),'SW Rev'!G39,""),"")</f>
        <v/>
      </c>
      <c r="D40" s="30">
        <f>IFERROR(IF(ISNUMBER('SW Rev'!H39),'SW Rev'!H39,""),"")</f>
        <v/>
      </c>
      <c r="E40" s="30">
        <f>IFERROR(IF(ISNUMBER('SW Rev'!I39),'SW Rev'!I39,""),"")</f>
        <v/>
      </c>
      <c r="F40" s="30">
        <f>IFERROR(IF(ISNUMBER('SW Rev'!J39),'SW Rev'!J39,""),"")</f>
        <v/>
      </c>
      <c r="G40" s="30">
        <f>IFERROR(IF(ISNUMBER('SW Rev'!K39),'SW Rev'!K39,""),"")</f>
        <v/>
      </c>
      <c r="H40" s="30">
        <f>IFERROR(IF(ISNUMBER('SW Rev'!L39),'SW Rev'!L39,""),"")</f>
        <v/>
      </c>
      <c r="I40" s="30">
        <f>IFERROR(IF(ISNUMBER('SW Rev'!M39),'SW Rev'!M39,""),"")</f>
        <v/>
      </c>
      <c r="J40" s="30">
        <f>IFERROR(IF(ISNUMBER('SW Rev'!N39),'SW Rev'!N39,""),"")</f>
        <v/>
      </c>
      <c r="K40" s="30">
        <f>IFERROR(IF(ISNUMBER('SW Rev'!O39),'SW Rev'!O39,""),"")</f>
        <v/>
      </c>
      <c r="L40" s="30">
        <f>IFERROR(IF(ISNUMBER('SW Rev'!P39),'SW Rev'!P39,""),"")</f>
        <v/>
      </c>
      <c r="M40" s="31">
        <f>IFERROR(IF(ISNUMBER('SW Rev'!Q39),'SW Rev'!Q39,""),"")</f>
        <v/>
      </c>
      <c r="N40" s="31">
        <f>IFERROR(IF(ISNUMBER('SW Rev'!R39),'SW Rev'!R39,""),"")</f>
        <v/>
      </c>
    </row>
    <row r="41">
      <c r="A41" s="19">
        <f>'SW Rev'!$A40</f>
        <v/>
      </c>
      <c r="B41" s="19">
        <f>'SW Rev'!$B40</f>
        <v/>
      </c>
      <c r="C41" s="30">
        <f>IFERROR(IF(ISNUMBER('SW Rev'!G40),'SW Rev'!G40,""),"")</f>
        <v/>
      </c>
      <c r="D41" s="30">
        <f>IFERROR(IF(ISNUMBER('SW Rev'!H40),'SW Rev'!H40,""),"")</f>
        <v/>
      </c>
      <c r="E41" s="30">
        <f>IFERROR(IF(ISNUMBER('SW Rev'!I40),'SW Rev'!I40,""),"")</f>
        <v/>
      </c>
      <c r="F41" s="30">
        <f>IFERROR(IF(ISNUMBER('SW Rev'!J40),'SW Rev'!J40,""),"")</f>
        <v/>
      </c>
      <c r="G41" s="30">
        <f>IFERROR(IF(ISNUMBER('SW Rev'!K40),'SW Rev'!K40,""),"")</f>
        <v/>
      </c>
      <c r="H41" s="30">
        <f>IFERROR(IF(ISNUMBER('SW Rev'!L40),'SW Rev'!L40,""),"")</f>
        <v/>
      </c>
      <c r="I41" s="30">
        <f>IFERROR(IF(ISNUMBER('SW Rev'!M40),'SW Rev'!M40,""),"")</f>
        <v/>
      </c>
      <c r="J41" s="30">
        <f>IFERROR(IF(ISNUMBER('SW Rev'!N40),'SW Rev'!N40,""),"")</f>
        <v/>
      </c>
      <c r="K41" s="30">
        <f>IFERROR(IF(ISNUMBER('SW Rev'!O40),'SW Rev'!O40,""),"")</f>
        <v/>
      </c>
      <c r="L41" s="30">
        <f>IFERROR(IF(ISNUMBER('SW Rev'!P40),'SW Rev'!P40,""),"")</f>
        <v/>
      </c>
      <c r="M41" s="31">
        <f>IFERROR(IF(ISNUMBER('SW Rev'!Q40),'SW Rev'!Q40,""),"")</f>
        <v/>
      </c>
      <c r="N41" s="31">
        <f>IFERROR(IF(ISNUMBER('SW Rev'!R40),'SW Rev'!R40,""),"")</f>
        <v/>
      </c>
    </row>
    <row r="42">
      <c r="A42" s="19">
        <f>'SW Rev'!$A41</f>
        <v/>
      </c>
      <c r="B42" s="19">
        <f>'SW Rev'!$B41</f>
        <v/>
      </c>
      <c r="C42" s="30">
        <f>IFERROR(IF(ISNUMBER('SW Rev'!G41),'SW Rev'!G41,""),"")</f>
        <v/>
      </c>
      <c r="D42" s="30">
        <f>IFERROR(IF(ISNUMBER('SW Rev'!H41),'SW Rev'!H41,""),"")</f>
        <v/>
      </c>
      <c r="E42" s="30">
        <f>IFERROR(IF(ISNUMBER('SW Rev'!I41),'SW Rev'!I41,""),"")</f>
        <v/>
      </c>
      <c r="F42" s="30">
        <f>IFERROR(IF(ISNUMBER('SW Rev'!J41),'SW Rev'!J41,""),"")</f>
        <v/>
      </c>
      <c r="G42" s="30">
        <f>IFERROR(IF(ISNUMBER('SW Rev'!K41),'SW Rev'!K41,""),"")</f>
        <v/>
      </c>
      <c r="H42" s="30">
        <f>IFERROR(IF(ISNUMBER('SW Rev'!L41),'SW Rev'!L41,""),"")</f>
        <v/>
      </c>
      <c r="I42" s="30">
        <f>IFERROR(IF(ISNUMBER('SW Rev'!M41),'SW Rev'!M41,""),"")</f>
        <v/>
      </c>
      <c r="J42" s="30">
        <f>IFERROR(IF(ISNUMBER('SW Rev'!N41),'SW Rev'!N41,""),"")</f>
        <v/>
      </c>
      <c r="K42" s="30">
        <f>IFERROR(IF(ISNUMBER('SW Rev'!O41),'SW Rev'!O41,""),"")</f>
        <v/>
      </c>
      <c r="L42" s="30">
        <f>IFERROR(IF(ISNUMBER('SW Rev'!P41),'SW Rev'!P41,""),"")</f>
        <v/>
      </c>
      <c r="M42" s="31">
        <f>IFERROR(IF(ISNUMBER('SW Rev'!Q41),'SW Rev'!Q41,""),"")</f>
        <v/>
      </c>
      <c r="N42" s="31">
        <f>IFERROR(IF(ISNUMBER('SW Rev'!R41),'SW Rev'!R41,""),"")</f>
        <v/>
      </c>
    </row>
    <row r="43">
      <c r="A43" s="19">
        <f>'SW Rev'!$A42</f>
        <v/>
      </c>
      <c r="B43" s="19">
        <f>'SW Rev'!$B42</f>
        <v/>
      </c>
      <c r="C43" s="30">
        <f>IFERROR(IF(ISNUMBER('SW Rev'!G42),'SW Rev'!G42,""),"")</f>
        <v/>
      </c>
      <c r="D43" s="30">
        <f>IFERROR(IF(ISNUMBER('SW Rev'!H42),'SW Rev'!H42,""),"")</f>
        <v/>
      </c>
      <c r="E43" s="30">
        <f>IFERROR(IF(ISNUMBER('SW Rev'!I42),'SW Rev'!I42,""),"")</f>
        <v/>
      </c>
      <c r="F43" s="30">
        <f>IFERROR(IF(ISNUMBER('SW Rev'!J42),'SW Rev'!J42,""),"")</f>
        <v/>
      </c>
      <c r="G43" s="30">
        <f>IFERROR(IF(ISNUMBER('SW Rev'!K42),'SW Rev'!K42,""),"")</f>
        <v/>
      </c>
      <c r="H43" s="30">
        <f>IFERROR(IF(ISNUMBER('SW Rev'!L42),'SW Rev'!L42,""),"")</f>
        <v/>
      </c>
      <c r="I43" s="30">
        <f>IFERROR(IF(ISNUMBER('SW Rev'!M42),'SW Rev'!M42,""),"")</f>
        <v/>
      </c>
      <c r="J43" s="30">
        <f>IFERROR(IF(ISNUMBER('SW Rev'!N42),'SW Rev'!N42,""),"")</f>
        <v/>
      </c>
      <c r="K43" s="30">
        <f>IFERROR(IF(ISNUMBER('SW Rev'!O42),'SW Rev'!O42,""),"")</f>
        <v/>
      </c>
      <c r="L43" s="30">
        <f>IFERROR(IF(ISNUMBER('SW Rev'!P42),'SW Rev'!P42,""),"")</f>
        <v/>
      </c>
      <c r="M43" s="31">
        <f>IFERROR(IF(ISNUMBER('SW Rev'!Q42),'SW Rev'!Q42,""),"")</f>
        <v/>
      </c>
      <c r="N43" s="31">
        <f>IFERROR(IF(ISNUMBER('SW Rev'!R42),'SW Rev'!R42,""),"")</f>
        <v/>
      </c>
    </row>
    <row r="44">
      <c r="A44" s="19">
        <f>'SW Rev'!$A43</f>
        <v/>
      </c>
      <c r="B44" s="19">
        <f>'SW Rev'!$B43</f>
        <v/>
      </c>
      <c r="C44" s="30">
        <f>IFERROR(IF(ISNUMBER('SW Rev'!G43),'SW Rev'!G43,""),"")</f>
        <v/>
      </c>
      <c r="D44" s="30">
        <f>IFERROR(IF(ISNUMBER('SW Rev'!H43),'SW Rev'!H43,""),"")</f>
        <v/>
      </c>
      <c r="E44" s="30">
        <f>IFERROR(IF(ISNUMBER('SW Rev'!I43),'SW Rev'!I43,""),"")</f>
        <v/>
      </c>
      <c r="F44" s="30">
        <f>IFERROR(IF(ISNUMBER('SW Rev'!J43),'SW Rev'!J43,""),"")</f>
        <v/>
      </c>
      <c r="G44" s="30">
        <f>IFERROR(IF(ISNUMBER('SW Rev'!K43),'SW Rev'!K43,""),"")</f>
        <v/>
      </c>
      <c r="H44" s="30">
        <f>IFERROR(IF(ISNUMBER('SW Rev'!L43),'SW Rev'!L43,""),"")</f>
        <v/>
      </c>
      <c r="I44" s="30">
        <f>IFERROR(IF(ISNUMBER('SW Rev'!M43),'SW Rev'!M43,""),"")</f>
        <v/>
      </c>
      <c r="J44" s="30">
        <f>IFERROR(IF(ISNUMBER('SW Rev'!N43),'SW Rev'!N43,""),"")</f>
        <v/>
      </c>
      <c r="K44" s="30">
        <f>IFERROR(IF(ISNUMBER('SW Rev'!O43),'SW Rev'!O43,""),"")</f>
        <v/>
      </c>
      <c r="L44" s="30">
        <f>IFERROR(IF(ISNUMBER('SW Rev'!P43),'SW Rev'!P43,""),"")</f>
        <v/>
      </c>
      <c r="M44" s="31">
        <f>IFERROR(IF(ISNUMBER('SW Rev'!Q43),'SW Rev'!Q43,""),"")</f>
        <v/>
      </c>
      <c r="N44" s="31">
        <f>IFERROR(IF(ISNUMBER('SW Rev'!R43),'SW Rev'!R43,""),"")</f>
        <v/>
      </c>
    </row>
    <row r="45">
      <c r="A45" s="19">
        <f>'SW Rev'!$A44</f>
        <v/>
      </c>
      <c r="B45" s="19">
        <f>'SW Rev'!$B44</f>
        <v/>
      </c>
      <c r="C45" s="30">
        <f>IFERROR(IF(ISNUMBER('SW Rev'!G44),'SW Rev'!G44,""),"")</f>
        <v/>
      </c>
      <c r="D45" s="30">
        <f>IFERROR(IF(ISNUMBER('SW Rev'!H44),'SW Rev'!H44,""),"")</f>
        <v/>
      </c>
      <c r="E45" s="30">
        <f>IFERROR(IF(ISNUMBER('SW Rev'!I44),'SW Rev'!I44,""),"")</f>
        <v/>
      </c>
      <c r="F45" s="30">
        <f>IFERROR(IF(ISNUMBER('SW Rev'!J44),'SW Rev'!J44,""),"")</f>
        <v/>
      </c>
      <c r="G45" s="30">
        <f>IFERROR(IF(ISNUMBER('SW Rev'!K44),'SW Rev'!K44,""),"")</f>
        <v/>
      </c>
      <c r="H45" s="30">
        <f>IFERROR(IF(ISNUMBER('SW Rev'!L44),'SW Rev'!L44,""),"")</f>
        <v/>
      </c>
      <c r="I45" s="30">
        <f>IFERROR(IF(ISNUMBER('SW Rev'!M44),'SW Rev'!M44,""),"")</f>
        <v/>
      </c>
      <c r="J45" s="30">
        <f>IFERROR(IF(ISNUMBER('SW Rev'!N44),'SW Rev'!N44,""),"")</f>
        <v/>
      </c>
      <c r="K45" s="30">
        <f>IFERROR(IF(ISNUMBER('SW Rev'!O44),'SW Rev'!O44,""),"")</f>
        <v/>
      </c>
      <c r="L45" s="30">
        <f>IFERROR(IF(ISNUMBER('SW Rev'!P44),'SW Rev'!P44,""),"")</f>
        <v/>
      </c>
      <c r="M45" s="31">
        <f>IFERROR(IF(ISNUMBER('SW Rev'!Q44),'SW Rev'!Q44,""),"")</f>
        <v/>
      </c>
      <c r="N45" s="31">
        <f>IFERROR(IF(ISNUMBER('SW Rev'!R44),'SW Rev'!R44,""),"")</f>
        <v/>
      </c>
    </row>
    <row r="46">
      <c r="A46" s="19">
        <f>'SW Rev'!$A45</f>
        <v/>
      </c>
      <c r="B46" s="19">
        <f>'SW Rev'!$B45</f>
        <v/>
      </c>
      <c r="C46" s="30">
        <f>IFERROR(IF(ISNUMBER('SW Rev'!G45),'SW Rev'!G45,""),"")</f>
        <v/>
      </c>
      <c r="D46" s="30">
        <f>IFERROR(IF(ISNUMBER('SW Rev'!H45),'SW Rev'!H45,""),"")</f>
        <v/>
      </c>
      <c r="E46" s="30">
        <f>IFERROR(IF(ISNUMBER('SW Rev'!I45),'SW Rev'!I45,""),"")</f>
        <v/>
      </c>
      <c r="F46" s="30">
        <f>IFERROR(IF(ISNUMBER('SW Rev'!J45),'SW Rev'!J45,""),"")</f>
        <v/>
      </c>
      <c r="G46" s="30">
        <f>IFERROR(IF(ISNUMBER('SW Rev'!K45),'SW Rev'!K45,""),"")</f>
        <v/>
      </c>
      <c r="H46" s="30">
        <f>IFERROR(IF(ISNUMBER('SW Rev'!L45),'SW Rev'!L45,""),"")</f>
        <v/>
      </c>
      <c r="I46" s="30">
        <f>IFERROR(IF(ISNUMBER('SW Rev'!M45),'SW Rev'!M45,""),"")</f>
        <v/>
      </c>
      <c r="J46" s="30">
        <f>IFERROR(IF(ISNUMBER('SW Rev'!N45),'SW Rev'!N45,""),"")</f>
        <v/>
      </c>
      <c r="K46" s="30">
        <f>IFERROR(IF(ISNUMBER('SW Rev'!O45),'SW Rev'!O45,""),"")</f>
        <v/>
      </c>
      <c r="L46" s="30">
        <f>IFERROR(IF(ISNUMBER('SW Rev'!P45),'SW Rev'!P45,""),"")</f>
        <v/>
      </c>
      <c r="M46" s="31">
        <f>IFERROR(IF(ISNUMBER('SW Rev'!Q45),'SW Rev'!Q45,""),"")</f>
        <v/>
      </c>
      <c r="N46" s="31">
        <f>IFERROR(IF(ISNUMBER('SW Rev'!R45),'SW Rev'!R45,""),"")</f>
        <v/>
      </c>
    </row>
    <row r="47">
      <c r="A47" s="19">
        <f>'SW Rev'!$A46</f>
        <v/>
      </c>
      <c r="B47" s="19">
        <f>'SW Rev'!$B46</f>
        <v/>
      </c>
      <c r="C47" s="30">
        <f>IFERROR(IF(ISNUMBER('SW Rev'!G46),'SW Rev'!G46,""),"")</f>
        <v/>
      </c>
      <c r="D47" s="30">
        <f>IFERROR(IF(ISNUMBER('SW Rev'!H46),'SW Rev'!H46,""),"")</f>
        <v/>
      </c>
      <c r="E47" s="30">
        <f>IFERROR(IF(ISNUMBER('SW Rev'!I46),'SW Rev'!I46,""),"")</f>
        <v/>
      </c>
      <c r="F47" s="30">
        <f>IFERROR(IF(ISNUMBER('SW Rev'!J46),'SW Rev'!J46,""),"")</f>
        <v/>
      </c>
      <c r="G47" s="30">
        <f>IFERROR(IF(ISNUMBER('SW Rev'!K46),'SW Rev'!K46,""),"")</f>
        <v/>
      </c>
      <c r="H47" s="30">
        <f>IFERROR(IF(ISNUMBER('SW Rev'!L46),'SW Rev'!L46,""),"")</f>
        <v/>
      </c>
      <c r="I47" s="30">
        <f>IFERROR(IF(ISNUMBER('SW Rev'!M46),'SW Rev'!M46,""),"")</f>
        <v/>
      </c>
      <c r="J47" s="30">
        <f>IFERROR(IF(ISNUMBER('SW Rev'!N46),'SW Rev'!N46,""),"")</f>
        <v/>
      </c>
      <c r="K47" s="30">
        <f>IFERROR(IF(ISNUMBER('SW Rev'!O46),'SW Rev'!O46,""),"")</f>
        <v/>
      </c>
      <c r="L47" s="30">
        <f>IFERROR(IF(ISNUMBER('SW Rev'!P46),'SW Rev'!P46,""),"")</f>
        <v/>
      </c>
      <c r="M47" s="31">
        <f>IFERROR(IF(ISNUMBER('SW Rev'!Q46),'SW Rev'!Q46,""),"")</f>
        <v/>
      </c>
      <c r="N47" s="31">
        <f>IFERROR(IF(ISNUMBER('SW Rev'!R46),'SW Rev'!R46,""),"")</f>
        <v/>
      </c>
    </row>
    <row r="48">
      <c r="A48" s="19">
        <f>'SW Rev'!$A47</f>
        <v/>
      </c>
      <c r="B48" s="19">
        <f>'SW Rev'!$B47</f>
        <v/>
      </c>
      <c r="C48" s="30">
        <f>IFERROR(IF(ISNUMBER('SW Rev'!G47),'SW Rev'!G47,""),"")</f>
        <v/>
      </c>
      <c r="D48" s="30">
        <f>IFERROR(IF(ISNUMBER('SW Rev'!H47),'SW Rev'!H47,""),"")</f>
        <v/>
      </c>
      <c r="E48" s="30">
        <f>IFERROR(IF(ISNUMBER('SW Rev'!I47),'SW Rev'!I47,""),"")</f>
        <v/>
      </c>
      <c r="F48" s="30">
        <f>IFERROR(IF(ISNUMBER('SW Rev'!J47),'SW Rev'!J47,""),"")</f>
        <v/>
      </c>
      <c r="G48" s="30">
        <f>IFERROR(IF(ISNUMBER('SW Rev'!K47),'SW Rev'!K47,""),"")</f>
        <v/>
      </c>
      <c r="H48" s="30">
        <f>IFERROR(IF(ISNUMBER('SW Rev'!L47),'SW Rev'!L47,""),"")</f>
        <v/>
      </c>
      <c r="I48" s="30">
        <f>IFERROR(IF(ISNUMBER('SW Rev'!M47),'SW Rev'!M47,""),"")</f>
        <v/>
      </c>
      <c r="J48" s="30">
        <f>IFERROR(IF(ISNUMBER('SW Rev'!N47),'SW Rev'!N47,""),"")</f>
        <v/>
      </c>
      <c r="K48" s="30">
        <f>IFERROR(IF(ISNUMBER('SW Rev'!O47),'SW Rev'!O47,""),"")</f>
        <v/>
      </c>
      <c r="L48" s="30">
        <f>IFERROR(IF(ISNUMBER('SW Rev'!P47),'SW Rev'!P47,""),"")</f>
        <v/>
      </c>
      <c r="M48" s="31">
        <f>IFERROR(IF(ISNUMBER('SW Rev'!Q47),'SW Rev'!Q47,""),"")</f>
        <v/>
      </c>
      <c r="N48" s="31">
        <f>IFERROR(IF(ISNUMBER('SW Rev'!R47),'SW Rev'!R47,""),"")</f>
        <v/>
      </c>
    </row>
    <row r="49">
      <c r="A49" s="19">
        <f>'SW Rev'!$A48</f>
        <v/>
      </c>
      <c r="B49" s="19">
        <f>'SW Rev'!$B48</f>
        <v/>
      </c>
      <c r="C49" s="30">
        <f>IFERROR(IF(ISNUMBER('SW Rev'!G48),'SW Rev'!G48,""),"")</f>
        <v/>
      </c>
      <c r="D49" s="30">
        <f>IFERROR(IF(ISNUMBER('SW Rev'!H48),'SW Rev'!H48,""),"")</f>
        <v/>
      </c>
      <c r="E49" s="30">
        <f>IFERROR(IF(ISNUMBER('SW Rev'!I48),'SW Rev'!I48,""),"")</f>
        <v/>
      </c>
      <c r="F49" s="30">
        <f>IFERROR(IF(ISNUMBER('SW Rev'!J48),'SW Rev'!J48,""),"")</f>
        <v/>
      </c>
      <c r="G49" s="30">
        <f>IFERROR(IF(ISNUMBER('SW Rev'!K48),'SW Rev'!K48,""),"")</f>
        <v/>
      </c>
      <c r="H49" s="30">
        <f>IFERROR(IF(ISNUMBER('SW Rev'!L48),'SW Rev'!L48,""),"")</f>
        <v/>
      </c>
      <c r="I49" s="30">
        <f>IFERROR(IF(ISNUMBER('SW Rev'!M48),'SW Rev'!M48,""),"")</f>
        <v/>
      </c>
      <c r="J49" s="30">
        <f>IFERROR(IF(ISNUMBER('SW Rev'!N48),'SW Rev'!N48,""),"")</f>
        <v/>
      </c>
      <c r="K49" s="30">
        <f>IFERROR(IF(ISNUMBER('SW Rev'!O48),'SW Rev'!O48,""),"")</f>
        <v/>
      </c>
      <c r="L49" s="30">
        <f>IFERROR(IF(ISNUMBER('SW Rev'!P48),'SW Rev'!P48,""),"")</f>
        <v/>
      </c>
      <c r="M49" s="31">
        <f>IFERROR(IF(ISNUMBER('SW Rev'!Q48),'SW Rev'!Q48,""),"")</f>
        <v/>
      </c>
      <c r="N49" s="31">
        <f>IFERROR(IF(ISNUMBER('SW Rev'!R48),'SW Rev'!R48,""),"")</f>
        <v/>
      </c>
    </row>
    <row r="50">
      <c r="A50" s="19">
        <f>'SW Rev'!$A49</f>
        <v/>
      </c>
      <c r="B50" s="19">
        <f>'SW Rev'!$B49</f>
        <v/>
      </c>
      <c r="C50" s="30">
        <f>IFERROR(IF(ISNUMBER('SW Rev'!G49),'SW Rev'!G49,""),"")</f>
        <v/>
      </c>
      <c r="D50" s="30">
        <f>IFERROR(IF(ISNUMBER('SW Rev'!H49),'SW Rev'!H49,""),"")</f>
        <v/>
      </c>
      <c r="E50" s="30">
        <f>IFERROR(IF(ISNUMBER('SW Rev'!I49),'SW Rev'!I49,""),"")</f>
        <v/>
      </c>
      <c r="F50" s="30">
        <f>IFERROR(IF(ISNUMBER('SW Rev'!J49),'SW Rev'!J49,""),"")</f>
        <v/>
      </c>
      <c r="G50" s="30">
        <f>IFERROR(IF(ISNUMBER('SW Rev'!K49),'SW Rev'!K49,""),"")</f>
        <v/>
      </c>
      <c r="H50" s="30">
        <f>IFERROR(IF(ISNUMBER('SW Rev'!L49),'SW Rev'!L49,""),"")</f>
        <v/>
      </c>
      <c r="I50" s="30">
        <f>IFERROR(IF(ISNUMBER('SW Rev'!M49),'SW Rev'!M49,""),"")</f>
        <v/>
      </c>
      <c r="J50" s="30">
        <f>IFERROR(IF(ISNUMBER('SW Rev'!N49),'SW Rev'!N49,""),"")</f>
        <v/>
      </c>
      <c r="K50" s="30">
        <f>IFERROR(IF(ISNUMBER('SW Rev'!O49),'SW Rev'!O49,""),"")</f>
        <v/>
      </c>
      <c r="L50" s="30">
        <f>IFERROR(IF(ISNUMBER('SW Rev'!P49),'SW Rev'!P49,""),"")</f>
        <v/>
      </c>
      <c r="M50" s="31">
        <f>IFERROR(IF(ISNUMBER('SW Rev'!Q49),'SW Rev'!Q49,""),"")</f>
        <v/>
      </c>
      <c r="N50" s="31">
        <f>IFERROR(IF(ISNUMBER('SW Rev'!R49),'SW Rev'!R49,""),"")</f>
        <v/>
      </c>
    </row>
    <row r="51">
      <c r="A51" s="19">
        <f>'SW Rev'!$A50</f>
        <v/>
      </c>
      <c r="B51" s="19">
        <f>'SW Rev'!$B50</f>
        <v/>
      </c>
      <c r="C51" s="30">
        <f>IFERROR(IF(ISNUMBER('SW Rev'!G50),'SW Rev'!G50,""),"")</f>
        <v/>
      </c>
      <c r="D51" s="30">
        <f>IFERROR(IF(ISNUMBER('SW Rev'!H50),'SW Rev'!H50,""),"")</f>
        <v/>
      </c>
      <c r="E51" s="30">
        <f>IFERROR(IF(ISNUMBER('SW Rev'!I50),'SW Rev'!I50,""),"")</f>
        <v/>
      </c>
      <c r="F51" s="30">
        <f>IFERROR(IF(ISNUMBER('SW Rev'!J50),'SW Rev'!J50,""),"")</f>
        <v/>
      </c>
      <c r="G51" s="30">
        <f>IFERROR(IF(ISNUMBER('SW Rev'!K50),'SW Rev'!K50,""),"")</f>
        <v/>
      </c>
      <c r="H51" s="30">
        <f>IFERROR(IF(ISNUMBER('SW Rev'!L50),'SW Rev'!L50,""),"")</f>
        <v/>
      </c>
      <c r="I51" s="30">
        <f>IFERROR(IF(ISNUMBER('SW Rev'!M50),'SW Rev'!M50,""),"")</f>
        <v/>
      </c>
      <c r="J51" s="30">
        <f>IFERROR(IF(ISNUMBER('SW Rev'!N50),'SW Rev'!N50,""),"")</f>
        <v/>
      </c>
      <c r="K51" s="30">
        <f>IFERROR(IF(ISNUMBER('SW Rev'!O50),'SW Rev'!O50,""),"")</f>
        <v/>
      </c>
      <c r="L51" s="30">
        <f>IFERROR(IF(ISNUMBER('SW Rev'!P50),'SW Rev'!P50,""),"")</f>
        <v/>
      </c>
      <c r="M51" s="31">
        <f>IFERROR(IF(ISNUMBER('SW Rev'!Q50),'SW Rev'!Q50,""),"")</f>
        <v/>
      </c>
      <c r="N51" s="31">
        <f>IFERROR(IF(ISNUMBER('SW Rev'!R50),'SW Rev'!R50,""),"")</f>
        <v/>
      </c>
    </row>
    <row r="52">
      <c r="A52" s="19">
        <f>'SW Rev'!$A51</f>
        <v/>
      </c>
      <c r="B52" s="19">
        <f>'SW Rev'!$B51</f>
        <v/>
      </c>
      <c r="C52" s="30">
        <f>IFERROR(IF(ISNUMBER('SW Rev'!G51),'SW Rev'!G51,""),"")</f>
        <v/>
      </c>
      <c r="D52" s="30">
        <f>IFERROR(IF(ISNUMBER('SW Rev'!H51),'SW Rev'!H51,""),"")</f>
        <v/>
      </c>
      <c r="E52" s="30">
        <f>IFERROR(IF(ISNUMBER('SW Rev'!I51),'SW Rev'!I51,""),"")</f>
        <v/>
      </c>
      <c r="F52" s="30">
        <f>IFERROR(IF(ISNUMBER('SW Rev'!J51),'SW Rev'!J51,""),"")</f>
        <v/>
      </c>
      <c r="G52" s="30">
        <f>IFERROR(IF(ISNUMBER('SW Rev'!K51),'SW Rev'!K51,""),"")</f>
        <v/>
      </c>
      <c r="H52" s="30">
        <f>IFERROR(IF(ISNUMBER('SW Rev'!L51),'SW Rev'!L51,""),"")</f>
        <v/>
      </c>
      <c r="I52" s="30">
        <f>IFERROR(IF(ISNUMBER('SW Rev'!M51),'SW Rev'!M51,""),"")</f>
        <v/>
      </c>
      <c r="J52" s="30">
        <f>IFERROR(IF(ISNUMBER('SW Rev'!N51),'SW Rev'!N51,""),"")</f>
        <v/>
      </c>
      <c r="K52" s="30">
        <f>IFERROR(IF(ISNUMBER('SW Rev'!O51),'SW Rev'!O51,""),"")</f>
        <v/>
      </c>
      <c r="L52" s="30">
        <f>IFERROR(IF(ISNUMBER('SW Rev'!P51),'SW Rev'!P51,""),"")</f>
        <v/>
      </c>
      <c r="M52" s="31">
        <f>IFERROR(IF(ISNUMBER('SW Rev'!Q51),'SW Rev'!Q51,""),"")</f>
        <v/>
      </c>
      <c r="N52" s="31">
        <f>IFERROR(IF(ISNUMBER('SW Rev'!R51),'SW Rev'!R51,""),"")</f>
        <v/>
      </c>
    </row>
    <row r="53">
      <c r="A53" s="19">
        <f>'SW Rev'!$A52</f>
        <v/>
      </c>
      <c r="B53" s="19">
        <f>'SW Rev'!$B52</f>
        <v/>
      </c>
      <c r="C53" s="30">
        <f>IFERROR(IF(ISNUMBER('SW Rev'!G52),'SW Rev'!G52,""),"")</f>
        <v/>
      </c>
      <c r="D53" s="30">
        <f>IFERROR(IF(ISNUMBER('SW Rev'!H52),'SW Rev'!H52,""),"")</f>
        <v/>
      </c>
      <c r="E53" s="30">
        <f>IFERROR(IF(ISNUMBER('SW Rev'!I52),'SW Rev'!I52,""),"")</f>
        <v/>
      </c>
      <c r="F53" s="30">
        <f>IFERROR(IF(ISNUMBER('SW Rev'!J52),'SW Rev'!J52,""),"")</f>
        <v/>
      </c>
      <c r="G53" s="30">
        <f>IFERROR(IF(ISNUMBER('SW Rev'!K52),'SW Rev'!K52,""),"")</f>
        <v/>
      </c>
      <c r="H53" s="30">
        <f>IFERROR(IF(ISNUMBER('SW Rev'!L52),'SW Rev'!L52,""),"")</f>
        <v/>
      </c>
      <c r="I53" s="30">
        <f>IFERROR(IF(ISNUMBER('SW Rev'!M52),'SW Rev'!M52,""),"")</f>
        <v/>
      </c>
      <c r="J53" s="30">
        <f>IFERROR(IF(ISNUMBER('SW Rev'!N52),'SW Rev'!N52,""),"")</f>
        <v/>
      </c>
      <c r="K53" s="30">
        <f>IFERROR(IF(ISNUMBER('SW Rev'!O52),'SW Rev'!O52,""),"")</f>
        <v/>
      </c>
      <c r="L53" s="30">
        <f>IFERROR(IF(ISNUMBER('SW Rev'!P52),'SW Rev'!P52,""),"")</f>
        <v/>
      </c>
      <c r="M53" s="31">
        <f>IFERROR(IF(ISNUMBER('SW Rev'!Q52),'SW Rev'!Q52,""),"")</f>
        <v/>
      </c>
      <c r="N53" s="31">
        <f>IFERROR(IF(ISNUMBER('SW Rev'!R52),'SW Rev'!R52,""),"")</f>
        <v/>
      </c>
    </row>
    <row r="54">
      <c r="A54" s="19">
        <f>'SW Rev'!$A53</f>
        <v/>
      </c>
      <c r="B54" s="19">
        <f>'SW Rev'!$B53</f>
        <v/>
      </c>
      <c r="C54" s="30">
        <f>IFERROR(IF(ISNUMBER('SW Rev'!G53),'SW Rev'!G53,""),"")</f>
        <v/>
      </c>
      <c r="D54" s="30">
        <f>IFERROR(IF(ISNUMBER('SW Rev'!H53),'SW Rev'!H53,""),"")</f>
        <v/>
      </c>
      <c r="E54" s="30">
        <f>IFERROR(IF(ISNUMBER('SW Rev'!I53),'SW Rev'!I53,""),"")</f>
        <v/>
      </c>
      <c r="F54" s="30">
        <f>IFERROR(IF(ISNUMBER('SW Rev'!J53),'SW Rev'!J53,""),"")</f>
        <v/>
      </c>
      <c r="G54" s="30">
        <f>IFERROR(IF(ISNUMBER('SW Rev'!K53),'SW Rev'!K53,""),"")</f>
        <v/>
      </c>
      <c r="H54" s="30">
        <f>IFERROR(IF(ISNUMBER('SW Rev'!L53),'SW Rev'!L53,""),"")</f>
        <v/>
      </c>
      <c r="I54" s="30">
        <f>IFERROR(IF(ISNUMBER('SW Rev'!M53),'SW Rev'!M53,""),"")</f>
        <v/>
      </c>
      <c r="J54" s="30">
        <f>IFERROR(IF(ISNUMBER('SW Rev'!N53),'SW Rev'!N53,""),"")</f>
        <v/>
      </c>
      <c r="K54" s="30">
        <f>IFERROR(IF(ISNUMBER('SW Rev'!O53),'SW Rev'!O53,""),"")</f>
        <v/>
      </c>
      <c r="L54" s="30">
        <f>IFERROR(IF(ISNUMBER('SW Rev'!P53),'SW Rev'!P53,""),"")</f>
        <v/>
      </c>
      <c r="M54" s="31">
        <f>IFERROR(IF(ISNUMBER('SW Rev'!Q53),'SW Rev'!Q53,""),"")</f>
        <v/>
      </c>
      <c r="N54" s="31">
        <f>IFERROR(IF(ISNUMBER('SW Rev'!R53),'SW Rev'!R53,""),"")</f>
        <v/>
      </c>
    </row>
    <row r="55">
      <c r="A55" s="19">
        <f>'SW Rev'!$A54</f>
        <v/>
      </c>
      <c r="B55" s="19">
        <f>'SW Rev'!$B54</f>
        <v/>
      </c>
      <c r="C55" s="30">
        <f>IFERROR(IF(ISNUMBER('SW Rev'!G54),'SW Rev'!G54,""),"")</f>
        <v/>
      </c>
      <c r="D55" s="30">
        <f>IFERROR(IF(ISNUMBER('SW Rev'!H54),'SW Rev'!H54,""),"")</f>
        <v/>
      </c>
      <c r="E55" s="30">
        <f>IFERROR(IF(ISNUMBER('SW Rev'!I54),'SW Rev'!I54,""),"")</f>
        <v/>
      </c>
      <c r="F55" s="30">
        <f>IFERROR(IF(ISNUMBER('SW Rev'!J54),'SW Rev'!J54,""),"")</f>
        <v/>
      </c>
      <c r="G55" s="30">
        <f>IFERROR(IF(ISNUMBER('SW Rev'!K54),'SW Rev'!K54,""),"")</f>
        <v/>
      </c>
      <c r="H55" s="30">
        <f>IFERROR(IF(ISNUMBER('SW Rev'!L54),'SW Rev'!L54,""),"")</f>
        <v/>
      </c>
      <c r="I55" s="30">
        <f>IFERROR(IF(ISNUMBER('SW Rev'!M54),'SW Rev'!M54,""),"")</f>
        <v/>
      </c>
      <c r="J55" s="30">
        <f>IFERROR(IF(ISNUMBER('SW Rev'!N54),'SW Rev'!N54,""),"")</f>
        <v/>
      </c>
      <c r="K55" s="30">
        <f>IFERROR(IF(ISNUMBER('SW Rev'!O54),'SW Rev'!O54,""),"")</f>
        <v/>
      </c>
      <c r="L55" s="30">
        <f>IFERROR(IF(ISNUMBER('SW Rev'!P54),'SW Rev'!P54,""),"")</f>
        <v/>
      </c>
      <c r="M55" s="31">
        <f>IFERROR(IF(ISNUMBER('SW Rev'!Q54),'SW Rev'!Q54,""),"")</f>
        <v/>
      </c>
      <c r="N55" s="31">
        <f>IFERROR(IF(ISNUMBER('SW Rev'!R54),'SW Rev'!R54,""),"")</f>
        <v/>
      </c>
    </row>
    <row r="56">
      <c r="A56" s="19">
        <f>'SW Rev'!$A55</f>
        <v/>
      </c>
      <c r="B56" s="19">
        <f>'SW Rev'!$B55</f>
        <v/>
      </c>
      <c r="C56" s="30">
        <f>IFERROR(IF(ISNUMBER('SW Rev'!G55),'SW Rev'!G55,""),"")</f>
        <v/>
      </c>
      <c r="D56" s="30">
        <f>IFERROR(IF(ISNUMBER('SW Rev'!H55),'SW Rev'!H55,""),"")</f>
        <v/>
      </c>
      <c r="E56" s="30">
        <f>IFERROR(IF(ISNUMBER('SW Rev'!I55),'SW Rev'!I55,""),"")</f>
        <v/>
      </c>
      <c r="F56" s="30">
        <f>IFERROR(IF(ISNUMBER('SW Rev'!J55),'SW Rev'!J55,""),"")</f>
        <v/>
      </c>
      <c r="G56" s="30">
        <f>IFERROR(IF(ISNUMBER('SW Rev'!K55),'SW Rev'!K55,""),"")</f>
        <v/>
      </c>
      <c r="H56" s="30">
        <f>IFERROR(IF(ISNUMBER('SW Rev'!L55),'SW Rev'!L55,""),"")</f>
        <v/>
      </c>
      <c r="I56" s="30">
        <f>IFERROR(IF(ISNUMBER('SW Rev'!M55),'SW Rev'!M55,""),"")</f>
        <v/>
      </c>
      <c r="J56" s="30">
        <f>IFERROR(IF(ISNUMBER('SW Rev'!N55),'SW Rev'!N55,""),"")</f>
        <v/>
      </c>
      <c r="K56" s="30">
        <f>IFERROR(IF(ISNUMBER('SW Rev'!O55),'SW Rev'!O55,""),"")</f>
        <v/>
      </c>
      <c r="L56" s="30">
        <f>IFERROR(IF(ISNUMBER('SW Rev'!P55),'SW Rev'!P55,""),"")</f>
        <v/>
      </c>
      <c r="M56" s="31">
        <f>IFERROR(IF(ISNUMBER('SW Rev'!Q55),'SW Rev'!Q55,""),"")</f>
        <v/>
      </c>
      <c r="N56" s="31">
        <f>IFERROR(IF(ISNUMBER('SW Rev'!R55),'SW Rev'!R55,""),"")</f>
        <v/>
      </c>
    </row>
    <row r="57">
      <c r="A57" s="19">
        <f>'SW Rev'!$A56</f>
        <v/>
      </c>
      <c r="B57" s="19">
        <f>'SW Rev'!$B56</f>
        <v/>
      </c>
      <c r="C57" s="30">
        <f>IFERROR(IF(ISNUMBER('SW Rev'!G56),'SW Rev'!G56,""),"")</f>
        <v/>
      </c>
      <c r="D57" s="30">
        <f>IFERROR(IF(ISNUMBER('SW Rev'!H56),'SW Rev'!H56,""),"")</f>
        <v/>
      </c>
      <c r="E57" s="30">
        <f>IFERROR(IF(ISNUMBER('SW Rev'!I56),'SW Rev'!I56,""),"")</f>
        <v/>
      </c>
      <c r="F57" s="30">
        <f>IFERROR(IF(ISNUMBER('SW Rev'!J56),'SW Rev'!J56,""),"")</f>
        <v/>
      </c>
      <c r="G57" s="30">
        <f>IFERROR(IF(ISNUMBER('SW Rev'!K56),'SW Rev'!K56,""),"")</f>
        <v/>
      </c>
      <c r="H57" s="30">
        <f>IFERROR(IF(ISNUMBER('SW Rev'!L56),'SW Rev'!L56,""),"")</f>
        <v/>
      </c>
      <c r="I57" s="30">
        <f>IFERROR(IF(ISNUMBER('SW Rev'!M56),'SW Rev'!M56,""),"")</f>
        <v/>
      </c>
      <c r="J57" s="30">
        <f>IFERROR(IF(ISNUMBER('SW Rev'!N56),'SW Rev'!N56,""),"")</f>
        <v/>
      </c>
      <c r="K57" s="30">
        <f>IFERROR(IF(ISNUMBER('SW Rev'!O56),'SW Rev'!O56,""),"")</f>
        <v/>
      </c>
      <c r="L57" s="30">
        <f>IFERROR(IF(ISNUMBER('SW Rev'!P56),'SW Rev'!P56,""),"")</f>
        <v/>
      </c>
      <c r="M57" s="31">
        <f>IFERROR(IF(ISNUMBER('SW Rev'!Q56),'SW Rev'!Q56,""),"")</f>
        <v/>
      </c>
      <c r="N57" s="31">
        <f>IFERROR(IF(ISNUMBER('SW Rev'!R56),'SW Rev'!R56,""),"")</f>
        <v/>
      </c>
    </row>
    <row r="58">
      <c r="A58" s="19">
        <f>'SW Rev'!$A57</f>
        <v/>
      </c>
      <c r="B58" s="19">
        <f>'SW Rev'!$B57</f>
        <v/>
      </c>
      <c r="C58" s="30">
        <f>IFERROR(IF(ISNUMBER('SW Rev'!G57),'SW Rev'!G57,""),"")</f>
        <v/>
      </c>
      <c r="D58" s="30">
        <f>IFERROR(IF(ISNUMBER('SW Rev'!H57),'SW Rev'!H57,""),"")</f>
        <v/>
      </c>
      <c r="E58" s="30">
        <f>IFERROR(IF(ISNUMBER('SW Rev'!I57),'SW Rev'!I57,""),"")</f>
        <v/>
      </c>
      <c r="F58" s="30">
        <f>IFERROR(IF(ISNUMBER('SW Rev'!J57),'SW Rev'!J57,""),"")</f>
        <v/>
      </c>
      <c r="G58" s="30">
        <f>IFERROR(IF(ISNUMBER('SW Rev'!K57),'SW Rev'!K57,""),"")</f>
        <v/>
      </c>
      <c r="H58" s="30">
        <f>IFERROR(IF(ISNUMBER('SW Rev'!L57),'SW Rev'!L57,""),"")</f>
        <v/>
      </c>
      <c r="I58" s="30">
        <f>IFERROR(IF(ISNUMBER('SW Rev'!M57),'SW Rev'!M57,""),"")</f>
        <v/>
      </c>
      <c r="J58" s="30">
        <f>IFERROR(IF(ISNUMBER('SW Rev'!N57),'SW Rev'!N57,""),"")</f>
        <v/>
      </c>
      <c r="K58" s="30">
        <f>IFERROR(IF(ISNUMBER('SW Rev'!O57),'SW Rev'!O57,""),"")</f>
        <v/>
      </c>
      <c r="L58" s="30">
        <f>IFERROR(IF(ISNUMBER('SW Rev'!P57),'SW Rev'!P57,""),"")</f>
        <v/>
      </c>
      <c r="M58" s="31">
        <f>IFERROR(IF(ISNUMBER('SW Rev'!Q57),'SW Rev'!Q57,""),"")</f>
        <v/>
      </c>
      <c r="N58" s="31">
        <f>IFERROR(IF(ISNUMBER('SW Rev'!R57),'SW Rev'!R57,""),"")</f>
        <v/>
      </c>
    </row>
    <row r="59">
      <c r="A59" s="19">
        <f>'SW Rev'!$A58</f>
        <v/>
      </c>
      <c r="B59" s="19">
        <f>'SW Rev'!$B58</f>
        <v/>
      </c>
      <c r="C59" s="30">
        <f>IFERROR(IF(ISNUMBER('SW Rev'!G58),'SW Rev'!G58,""),"")</f>
        <v/>
      </c>
      <c r="D59" s="30">
        <f>IFERROR(IF(ISNUMBER('SW Rev'!H58),'SW Rev'!H58,""),"")</f>
        <v/>
      </c>
      <c r="E59" s="30">
        <f>IFERROR(IF(ISNUMBER('SW Rev'!I58),'SW Rev'!I58,""),"")</f>
        <v/>
      </c>
      <c r="F59" s="30">
        <f>IFERROR(IF(ISNUMBER('SW Rev'!J58),'SW Rev'!J58,""),"")</f>
        <v/>
      </c>
      <c r="G59" s="30">
        <f>IFERROR(IF(ISNUMBER('SW Rev'!K58),'SW Rev'!K58,""),"")</f>
        <v/>
      </c>
      <c r="H59" s="30">
        <f>IFERROR(IF(ISNUMBER('SW Rev'!L58),'SW Rev'!L58,""),"")</f>
        <v/>
      </c>
      <c r="I59" s="30">
        <f>IFERROR(IF(ISNUMBER('SW Rev'!M58),'SW Rev'!M58,""),"")</f>
        <v/>
      </c>
      <c r="J59" s="30">
        <f>IFERROR(IF(ISNUMBER('SW Rev'!N58),'SW Rev'!N58,""),"")</f>
        <v/>
      </c>
      <c r="K59" s="30">
        <f>IFERROR(IF(ISNUMBER('SW Rev'!O58),'SW Rev'!O58,""),"")</f>
        <v/>
      </c>
      <c r="L59" s="30">
        <f>IFERROR(IF(ISNUMBER('SW Rev'!P58),'SW Rev'!P58,""),"")</f>
        <v/>
      </c>
      <c r="M59" s="31">
        <f>IFERROR(IF(ISNUMBER('SW Rev'!Q58),'SW Rev'!Q58,""),"")</f>
        <v/>
      </c>
      <c r="N59" s="31">
        <f>IFERROR(IF(ISNUMBER('SW Rev'!R58),'SW Rev'!R58,""),"")</f>
        <v/>
      </c>
    </row>
    <row r="60">
      <c r="A60" s="19">
        <f>'SW Rev'!$A59</f>
        <v/>
      </c>
      <c r="B60" s="19">
        <f>'SW Rev'!$B59</f>
        <v/>
      </c>
      <c r="C60" s="30">
        <f>IFERROR(IF(ISNUMBER('SW Rev'!G59),'SW Rev'!G59,""),"")</f>
        <v/>
      </c>
      <c r="D60" s="30">
        <f>IFERROR(IF(ISNUMBER('SW Rev'!H59),'SW Rev'!H59,""),"")</f>
        <v/>
      </c>
      <c r="E60" s="30">
        <f>IFERROR(IF(ISNUMBER('SW Rev'!I59),'SW Rev'!I59,""),"")</f>
        <v/>
      </c>
      <c r="F60" s="30">
        <f>IFERROR(IF(ISNUMBER('SW Rev'!J59),'SW Rev'!J59,""),"")</f>
        <v/>
      </c>
      <c r="G60" s="30">
        <f>IFERROR(IF(ISNUMBER('SW Rev'!K59),'SW Rev'!K59,""),"")</f>
        <v/>
      </c>
      <c r="H60" s="30">
        <f>IFERROR(IF(ISNUMBER('SW Rev'!L59),'SW Rev'!L59,""),"")</f>
        <v/>
      </c>
      <c r="I60" s="30">
        <f>IFERROR(IF(ISNUMBER('SW Rev'!M59),'SW Rev'!M59,""),"")</f>
        <v/>
      </c>
      <c r="J60" s="30">
        <f>IFERROR(IF(ISNUMBER('SW Rev'!N59),'SW Rev'!N59,""),"")</f>
        <v/>
      </c>
      <c r="K60" s="30">
        <f>IFERROR(IF(ISNUMBER('SW Rev'!O59),'SW Rev'!O59,""),"")</f>
        <v/>
      </c>
      <c r="L60" s="30">
        <f>IFERROR(IF(ISNUMBER('SW Rev'!P59),'SW Rev'!P59,""),"")</f>
        <v/>
      </c>
      <c r="M60" s="31">
        <f>IFERROR(IF(ISNUMBER('SW Rev'!Q59),'SW Rev'!Q59,""),"")</f>
        <v/>
      </c>
      <c r="N60" s="31">
        <f>IFERROR(IF(ISNUMBER('SW Rev'!R59),'SW Rev'!R59,""),"")</f>
        <v/>
      </c>
    </row>
    <row r="61">
      <c r="A61" s="19">
        <f>'SW Rev'!$A60</f>
        <v/>
      </c>
      <c r="B61" s="19">
        <f>'SW Rev'!$B60</f>
        <v/>
      </c>
      <c r="C61" s="30">
        <f>IFERROR(IF(ISNUMBER('SW Rev'!G60),'SW Rev'!G60,""),"")</f>
        <v/>
      </c>
      <c r="D61" s="30">
        <f>IFERROR(IF(ISNUMBER('SW Rev'!H60),'SW Rev'!H60,""),"")</f>
        <v/>
      </c>
      <c r="E61" s="30">
        <f>IFERROR(IF(ISNUMBER('SW Rev'!I60),'SW Rev'!I60,""),"")</f>
        <v/>
      </c>
      <c r="F61" s="30">
        <f>IFERROR(IF(ISNUMBER('SW Rev'!J60),'SW Rev'!J60,""),"")</f>
        <v/>
      </c>
      <c r="G61" s="30">
        <f>IFERROR(IF(ISNUMBER('SW Rev'!K60),'SW Rev'!K60,""),"")</f>
        <v/>
      </c>
      <c r="H61" s="30">
        <f>IFERROR(IF(ISNUMBER('SW Rev'!L60),'SW Rev'!L60,""),"")</f>
        <v/>
      </c>
      <c r="I61" s="30">
        <f>IFERROR(IF(ISNUMBER('SW Rev'!M60),'SW Rev'!M60,""),"")</f>
        <v/>
      </c>
      <c r="J61" s="30">
        <f>IFERROR(IF(ISNUMBER('SW Rev'!N60),'SW Rev'!N60,""),"")</f>
        <v/>
      </c>
      <c r="K61" s="30">
        <f>IFERROR(IF(ISNUMBER('SW Rev'!O60),'SW Rev'!O60,""),"")</f>
        <v/>
      </c>
      <c r="L61" s="30">
        <f>IFERROR(IF(ISNUMBER('SW Rev'!P60),'SW Rev'!P60,""),"")</f>
        <v/>
      </c>
      <c r="M61" s="31">
        <f>IFERROR(IF(ISNUMBER('SW Rev'!Q60),'SW Rev'!Q60,""),"")</f>
        <v/>
      </c>
      <c r="N61" s="31">
        <f>IFERROR(IF(ISNUMBER('SW Rev'!R60),'SW Rev'!R60,""),"")</f>
        <v/>
      </c>
    </row>
    <row r="62">
      <c r="A62" s="19">
        <f>'SW Rev'!$A61</f>
        <v/>
      </c>
      <c r="B62" s="19">
        <f>'SW Rev'!$B61</f>
        <v/>
      </c>
      <c r="C62" s="30">
        <f>IFERROR(IF(ISNUMBER('SW Rev'!G61),'SW Rev'!G61,""),"")</f>
        <v/>
      </c>
      <c r="D62" s="30">
        <f>IFERROR(IF(ISNUMBER('SW Rev'!H61),'SW Rev'!H61,""),"")</f>
        <v/>
      </c>
      <c r="E62" s="30">
        <f>IFERROR(IF(ISNUMBER('SW Rev'!I61),'SW Rev'!I61,""),"")</f>
        <v/>
      </c>
      <c r="F62" s="30">
        <f>IFERROR(IF(ISNUMBER('SW Rev'!J61),'SW Rev'!J61,""),"")</f>
        <v/>
      </c>
      <c r="G62" s="30">
        <f>IFERROR(IF(ISNUMBER('SW Rev'!K61),'SW Rev'!K61,""),"")</f>
        <v/>
      </c>
      <c r="H62" s="30">
        <f>IFERROR(IF(ISNUMBER('SW Rev'!L61),'SW Rev'!L61,""),"")</f>
        <v/>
      </c>
      <c r="I62" s="30">
        <f>IFERROR(IF(ISNUMBER('SW Rev'!M61),'SW Rev'!M61,""),"")</f>
        <v/>
      </c>
      <c r="J62" s="30">
        <f>IFERROR(IF(ISNUMBER('SW Rev'!N61),'SW Rev'!N61,""),"")</f>
        <v/>
      </c>
      <c r="K62" s="30">
        <f>IFERROR(IF(ISNUMBER('SW Rev'!O61),'SW Rev'!O61,""),"")</f>
        <v/>
      </c>
      <c r="L62" s="30">
        <f>IFERROR(IF(ISNUMBER('SW Rev'!P61),'SW Rev'!P61,""),"")</f>
        <v/>
      </c>
      <c r="M62" s="31">
        <f>IFERROR(IF(ISNUMBER('SW Rev'!Q61),'SW Rev'!Q61,""),"")</f>
        <v/>
      </c>
      <c r="N62" s="31">
        <f>IFERROR(IF(ISNUMBER('SW Rev'!R61),'SW Rev'!R61,""),"")</f>
        <v/>
      </c>
    </row>
    <row r="63">
      <c r="A63" s="19">
        <f>'SW Rev'!$A62</f>
        <v/>
      </c>
      <c r="B63" s="19">
        <f>'SW Rev'!$B62</f>
        <v/>
      </c>
      <c r="C63" s="30">
        <f>IFERROR(IF(ISNUMBER('SW Rev'!G62),'SW Rev'!G62,""),"")</f>
        <v/>
      </c>
      <c r="D63" s="30">
        <f>IFERROR(IF(ISNUMBER('SW Rev'!H62),'SW Rev'!H62,""),"")</f>
        <v/>
      </c>
      <c r="E63" s="30">
        <f>IFERROR(IF(ISNUMBER('SW Rev'!I62),'SW Rev'!I62,""),"")</f>
        <v/>
      </c>
      <c r="F63" s="30">
        <f>IFERROR(IF(ISNUMBER('SW Rev'!J62),'SW Rev'!J62,""),"")</f>
        <v/>
      </c>
      <c r="G63" s="30">
        <f>IFERROR(IF(ISNUMBER('SW Rev'!K62),'SW Rev'!K62,""),"")</f>
        <v/>
      </c>
      <c r="H63" s="30">
        <f>IFERROR(IF(ISNUMBER('SW Rev'!L62),'SW Rev'!L62,""),"")</f>
        <v/>
      </c>
      <c r="I63" s="30">
        <f>IFERROR(IF(ISNUMBER('SW Rev'!M62),'SW Rev'!M62,""),"")</f>
        <v/>
      </c>
      <c r="J63" s="30">
        <f>IFERROR(IF(ISNUMBER('SW Rev'!N62),'SW Rev'!N62,""),"")</f>
        <v/>
      </c>
      <c r="K63" s="30">
        <f>IFERROR(IF(ISNUMBER('SW Rev'!O62),'SW Rev'!O62,""),"")</f>
        <v/>
      </c>
      <c r="L63" s="30">
        <f>IFERROR(IF(ISNUMBER('SW Rev'!P62),'SW Rev'!P62,""),"")</f>
        <v/>
      </c>
      <c r="M63" s="31">
        <f>IFERROR(IF(ISNUMBER('SW Rev'!Q62),'SW Rev'!Q62,""),"")</f>
        <v/>
      </c>
      <c r="N63" s="31">
        <f>IFERROR(IF(ISNUMBER('SW Rev'!R62),'SW Rev'!R62,""),"")</f>
        <v/>
      </c>
    </row>
    <row r="64">
      <c r="A64" s="19">
        <f>'SW Rev'!$A63</f>
        <v/>
      </c>
      <c r="B64" s="19">
        <f>'SW Rev'!$B63</f>
        <v/>
      </c>
      <c r="C64" s="30">
        <f>IFERROR(IF(ISNUMBER('SW Rev'!G63),'SW Rev'!G63,""),"")</f>
        <v/>
      </c>
      <c r="D64" s="30">
        <f>IFERROR(IF(ISNUMBER('SW Rev'!H63),'SW Rev'!H63,""),"")</f>
        <v/>
      </c>
      <c r="E64" s="30">
        <f>IFERROR(IF(ISNUMBER('SW Rev'!I63),'SW Rev'!I63,""),"")</f>
        <v/>
      </c>
      <c r="F64" s="30">
        <f>IFERROR(IF(ISNUMBER('SW Rev'!J63),'SW Rev'!J63,""),"")</f>
        <v/>
      </c>
      <c r="G64" s="30">
        <f>IFERROR(IF(ISNUMBER('SW Rev'!K63),'SW Rev'!K63,""),"")</f>
        <v/>
      </c>
      <c r="H64" s="30">
        <f>IFERROR(IF(ISNUMBER('SW Rev'!L63),'SW Rev'!L63,""),"")</f>
        <v/>
      </c>
      <c r="I64" s="30">
        <f>IFERROR(IF(ISNUMBER('SW Rev'!M63),'SW Rev'!M63,""),"")</f>
        <v/>
      </c>
      <c r="J64" s="30">
        <f>IFERROR(IF(ISNUMBER('SW Rev'!N63),'SW Rev'!N63,""),"")</f>
        <v/>
      </c>
      <c r="K64" s="30">
        <f>IFERROR(IF(ISNUMBER('SW Rev'!O63),'SW Rev'!O63,""),"")</f>
        <v/>
      </c>
      <c r="L64" s="30">
        <f>IFERROR(IF(ISNUMBER('SW Rev'!P63),'SW Rev'!P63,""),"")</f>
        <v/>
      </c>
      <c r="M64" s="31">
        <f>IFERROR(IF(ISNUMBER('SW Rev'!Q63),'SW Rev'!Q63,""),"")</f>
        <v/>
      </c>
      <c r="N64" s="31">
        <f>IFERROR(IF(ISNUMBER('SW Rev'!R63),'SW Rev'!R63,""),"")</f>
        <v/>
      </c>
    </row>
    <row r="65">
      <c r="A65" s="19">
        <f>'SW Rev'!$A64</f>
        <v/>
      </c>
      <c r="B65" s="19">
        <f>'SW Rev'!$B64</f>
        <v/>
      </c>
      <c r="C65" s="30">
        <f>IFERROR(IF(ISNUMBER('SW Rev'!G64),'SW Rev'!G64,""),"")</f>
        <v/>
      </c>
      <c r="D65" s="30">
        <f>IFERROR(IF(ISNUMBER('SW Rev'!H64),'SW Rev'!H64,""),"")</f>
        <v/>
      </c>
      <c r="E65" s="30">
        <f>IFERROR(IF(ISNUMBER('SW Rev'!I64),'SW Rev'!I64,""),"")</f>
        <v/>
      </c>
      <c r="F65" s="30">
        <f>IFERROR(IF(ISNUMBER('SW Rev'!J64),'SW Rev'!J64,""),"")</f>
        <v/>
      </c>
      <c r="G65" s="30">
        <f>IFERROR(IF(ISNUMBER('SW Rev'!K64),'SW Rev'!K64,""),"")</f>
        <v/>
      </c>
      <c r="H65" s="30">
        <f>IFERROR(IF(ISNUMBER('SW Rev'!L64),'SW Rev'!L64,""),"")</f>
        <v/>
      </c>
      <c r="I65" s="30">
        <f>IFERROR(IF(ISNUMBER('SW Rev'!M64),'SW Rev'!M64,""),"")</f>
        <v/>
      </c>
      <c r="J65" s="30">
        <f>IFERROR(IF(ISNUMBER('SW Rev'!N64),'SW Rev'!N64,""),"")</f>
        <v/>
      </c>
      <c r="K65" s="30">
        <f>IFERROR(IF(ISNUMBER('SW Rev'!O64),'SW Rev'!O64,""),"")</f>
        <v/>
      </c>
      <c r="L65" s="30">
        <f>IFERROR(IF(ISNUMBER('SW Rev'!P64),'SW Rev'!P64,""),"")</f>
        <v/>
      </c>
      <c r="M65" s="31">
        <f>IFERROR(IF(ISNUMBER('SW Rev'!Q64),'SW Rev'!Q64,""),"")</f>
        <v/>
      </c>
      <c r="N65" s="31">
        <f>IFERROR(IF(ISNUMBER('SW Rev'!R64),'SW Rev'!R64,""),"")</f>
        <v/>
      </c>
    </row>
    <row r="66">
      <c r="A66" s="19">
        <f>'SW Rev'!$A65</f>
        <v/>
      </c>
      <c r="B66" s="19">
        <f>'SW Rev'!$B65</f>
        <v/>
      </c>
      <c r="C66" s="30">
        <f>IFERROR(IF(ISNUMBER('SW Rev'!G65),'SW Rev'!G65,""),"")</f>
        <v/>
      </c>
      <c r="D66" s="30">
        <f>IFERROR(IF(ISNUMBER('SW Rev'!H65),'SW Rev'!H65,""),"")</f>
        <v/>
      </c>
      <c r="E66" s="30">
        <f>IFERROR(IF(ISNUMBER('SW Rev'!I65),'SW Rev'!I65,""),"")</f>
        <v/>
      </c>
      <c r="F66" s="30">
        <f>IFERROR(IF(ISNUMBER('SW Rev'!J65),'SW Rev'!J65,""),"")</f>
        <v/>
      </c>
      <c r="G66" s="30">
        <f>IFERROR(IF(ISNUMBER('SW Rev'!K65),'SW Rev'!K65,""),"")</f>
        <v/>
      </c>
      <c r="H66" s="30">
        <f>IFERROR(IF(ISNUMBER('SW Rev'!L65),'SW Rev'!L65,""),"")</f>
        <v/>
      </c>
      <c r="I66" s="30">
        <f>IFERROR(IF(ISNUMBER('SW Rev'!M65),'SW Rev'!M65,""),"")</f>
        <v/>
      </c>
      <c r="J66" s="30">
        <f>IFERROR(IF(ISNUMBER('SW Rev'!N65),'SW Rev'!N65,""),"")</f>
        <v/>
      </c>
      <c r="K66" s="30">
        <f>IFERROR(IF(ISNUMBER('SW Rev'!O65),'SW Rev'!O65,""),"")</f>
        <v/>
      </c>
      <c r="L66" s="30">
        <f>IFERROR(IF(ISNUMBER('SW Rev'!P65),'SW Rev'!P65,""),"")</f>
        <v/>
      </c>
      <c r="M66" s="31">
        <f>IFERROR(IF(ISNUMBER('SW Rev'!Q65),'SW Rev'!Q65,""),"")</f>
        <v/>
      </c>
      <c r="N66" s="31">
        <f>IFERROR(IF(ISNUMBER('SW Rev'!R65),'SW Rev'!R65,""),"")</f>
        <v/>
      </c>
    </row>
    <row r="67">
      <c r="A67" s="19">
        <f>'SW Rev'!$A66</f>
        <v/>
      </c>
      <c r="B67" s="19">
        <f>'SW Rev'!$B66</f>
        <v/>
      </c>
      <c r="C67" s="30">
        <f>IFERROR(IF(ISNUMBER('SW Rev'!G66),'SW Rev'!G66,""),"")</f>
        <v/>
      </c>
      <c r="D67" s="30">
        <f>IFERROR(IF(ISNUMBER('SW Rev'!H66),'SW Rev'!H66,""),"")</f>
        <v/>
      </c>
      <c r="E67" s="30">
        <f>IFERROR(IF(ISNUMBER('SW Rev'!I66),'SW Rev'!I66,""),"")</f>
        <v/>
      </c>
      <c r="F67" s="30">
        <f>IFERROR(IF(ISNUMBER('SW Rev'!J66),'SW Rev'!J66,""),"")</f>
        <v/>
      </c>
      <c r="G67" s="30">
        <f>IFERROR(IF(ISNUMBER('SW Rev'!K66),'SW Rev'!K66,""),"")</f>
        <v/>
      </c>
      <c r="H67" s="30">
        <f>IFERROR(IF(ISNUMBER('SW Rev'!L66),'SW Rev'!L66,""),"")</f>
        <v/>
      </c>
      <c r="I67" s="30">
        <f>IFERROR(IF(ISNUMBER('SW Rev'!M66),'SW Rev'!M66,""),"")</f>
        <v/>
      </c>
      <c r="J67" s="30">
        <f>IFERROR(IF(ISNUMBER('SW Rev'!N66),'SW Rev'!N66,""),"")</f>
        <v/>
      </c>
      <c r="K67" s="30">
        <f>IFERROR(IF(ISNUMBER('SW Rev'!O66),'SW Rev'!O66,""),"")</f>
        <v/>
      </c>
      <c r="L67" s="30">
        <f>IFERROR(IF(ISNUMBER('SW Rev'!P66),'SW Rev'!P66,""),"")</f>
        <v/>
      </c>
      <c r="M67" s="31">
        <f>IFERROR(IF(ISNUMBER('SW Rev'!Q66),'SW Rev'!Q66,""),"")</f>
        <v/>
      </c>
      <c r="N67" s="31">
        <f>IFERROR(IF(ISNUMBER('SW Rev'!R66),'SW Rev'!R66,""),"")</f>
        <v/>
      </c>
    </row>
    <row r="68">
      <c r="A68" s="19">
        <f>'SW Rev'!$A67</f>
        <v/>
      </c>
      <c r="B68" s="19">
        <f>'SW Rev'!$B67</f>
        <v/>
      </c>
      <c r="C68" s="30">
        <f>IFERROR(IF(ISNUMBER('SW Rev'!G67),'SW Rev'!G67,""),"")</f>
        <v/>
      </c>
      <c r="D68" s="30">
        <f>IFERROR(IF(ISNUMBER('SW Rev'!H67),'SW Rev'!H67,""),"")</f>
        <v/>
      </c>
      <c r="E68" s="30">
        <f>IFERROR(IF(ISNUMBER('SW Rev'!I67),'SW Rev'!I67,""),"")</f>
        <v/>
      </c>
      <c r="F68" s="30">
        <f>IFERROR(IF(ISNUMBER('SW Rev'!J67),'SW Rev'!J67,""),"")</f>
        <v/>
      </c>
      <c r="G68" s="30">
        <f>IFERROR(IF(ISNUMBER('SW Rev'!K67),'SW Rev'!K67,""),"")</f>
        <v/>
      </c>
      <c r="H68" s="30">
        <f>IFERROR(IF(ISNUMBER('SW Rev'!L67),'SW Rev'!L67,""),"")</f>
        <v/>
      </c>
      <c r="I68" s="30">
        <f>IFERROR(IF(ISNUMBER('SW Rev'!M67),'SW Rev'!M67,""),"")</f>
        <v/>
      </c>
      <c r="J68" s="30">
        <f>IFERROR(IF(ISNUMBER('SW Rev'!N67),'SW Rev'!N67,""),"")</f>
        <v/>
      </c>
      <c r="K68" s="30">
        <f>IFERROR(IF(ISNUMBER('SW Rev'!O67),'SW Rev'!O67,""),"")</f>
        <v/>
      </c>
      <c r="L68" s="30">
        <f>IFERROR(IF(ISNUMBER('SW Rev'!P67),'SW Rev'!P67,""),"")</f>
        <v/>
      </c>
      <c r="M68" s="31">
        <f>IFERROR(IF(ISNUMBER('SW Rev'!Q67),'SW Rev'!Q67,""),"")</f>
        <v/>
      </c>
      <c r="N68" s="31">
        <f>IFERROR(IF(ISNUMBER('SW Rev'!R67),'SW Rev'!R67,""),"")</f>
        <v/>
      </c>
    </row>
    <row r="69">
      <c r="A69" s="19">
        <f>'SW Rev'!$A68</f>
        <v/>
      </c>
      <c r="B69" s="19">
        <f>'SW Rev'!$B68</f>
        <v/>
      </c>
      <c r="C69" s="30">
        <f>IFERROR(IF(ISNUMBER('SW Rev'!G68),'SW Rev'!G68,""),"")</f>
        <v/>
      </c>
      <c r="D69" s="30">
        <f>IFERROR(IF(ISNUMBER('SW Rev'!H68),'SW Rev'!H68,""),"")</f>
        <v/>
      </c>
      <c r="E69" s="30">
        <f>IFERROR(IF(ISNUMBER('SW Rev'!I68),'SW Rev'!I68,""),"")</f>
        <v/>
      </c>
      <c r="F69" s="30">
        <f>IFERROR(IF(ISNUMBER('SW Rev'!J68),'SW Rev'!J68,""),"")</f>
        <v/>
      </c>
      <c r="G69" s="30">
        <f>IFERROR(IF(ISNUMBER('SW Rev'!K68),'SW Rev'!K68,""),"")</f>
        <v/>
      </c>
      <c r="H69" s="30">
        <f>IFERROR(IF(ISNUMBER('SW Rev'!L68),'SW Rev'!L68,""),"")</f>
        <v/>
      </c>
      <c r="I69" s="30">
        <f>IFERROR(IF(ISNUMBER('SW Rev'!M68),'SW Rev'!M68,""),"")</f>
        <v/>
      </c>
      <c r="J69" s="30">
        <f>IFERROR(IF(ISNUMBER('SW Rev'!N68),'SW Rev'!N68,""),"")</f>
        <v/>
      </c>
      <c r="K69" s="30">
        <f>IFERROR(IF(ISNUMBER('SW Rev'!O68),'SW Rev'!O68,""),"")</f>
        <v/>
      </c>
      <c r="L69" s="30">
        <f>IFERROR(IF(ISNUMBER('SW Rev'!P68),'SW Rev'!P68,""),"")</f>
        <v/>
      </c>
      <c r="M69" s="31">
        <f>IFERROR(IF(ISNUMBER('SW Rev'!Q68),'SW Rev'!Q68,""),"")</f>
        <v/>
      </c>
      <c r="N69" s="31">
        <f>IFERROR(IF(ISNUMBER('SW Rev'!R68),'SW Rev'!R68,""),"")</f>
        <v/>
      </c>
    </row>
    <row r="70">
      <c r="A70" s="19">
        <f>'SW Rev'!$A69</f>
        <v/>
      </c>
      <c r="B70" s="19">
        <f>'SW Rev'!$B69</f>
        <v/>
      </c>
      <c r="C70" s="30">
        <f>IFERROR(IF(ISNUMBER('SW Rev'!G69),'SW Rev'!G69,""),"")</f>
        <v/>
      </c>
      <c r="D70" s="30">
        <f>IFERROR(IF(ISNUMBER('SW Rev'!H69),'SW Rev'!H69,""),"")</f>
        <v/>
      </c>
      <c r="E70" s="30">
        <f>IFERROR(IF(ISNUMBER('SW Rev'!I69),'SW Rev'!I69,""),"")</f>
        <v/>
      </c>
      <c r="F70" s="30">
        <f>IFERROR(IF(ISNUMBER('SW Rev'!J69),'SW Rev'!J69,""),"")</f>
        <v/>
      </c>
      <c r="G70" s="30">
        <f>IFERROR(IF(ISNUMBER('SW Rev'!K69),'SW Rev'!K69,""),"")</f>
        <v/>
      </c>
      <c r="H70" s="30">
        <f>IFERROR(IF(ISNUMBER('SW Rev'!L69),'SW Rev'!L69,""),"")</f>
        <v/>
      </c>
      <c r="I70" s="30">
        <f>IFERROR(IF(ISNUMBER('SW Rev'!M69),'SW Rev'!M69,""),"")</f>
        <v/>
      </c>
      <c r="J70" s="30">
        <f>IFERROR(IF(ISNUMBER('SW Rev'!N69),'SW Rev'!N69,""),"")</f>
        <v/>
      </c>
      <c r="K70" s="30">
        <f>IFERROR(IF(ISNUMBER('SW Rev'!O69),'SW Rev'!O69,""),"")</f>
        <v/>
      </c>
      <c r="L70" s="30">
        <f>IFERROR(IF(ISNUMBER('SW Rev'!P69),'SW Rev'!P69,""),"")</f>
        <v/>
      </c>
      <c r="M70" s="31">
        <f>IFERROR(IF(ISNUMBER('SW Rev'!Q69),'SW Rev'!Q69,""),"")</f>
        <v/>
      </c>
      <c r="N70" s="31">
        <f>IFERROR(IF(ISNUMBER('SW Rev'!R69),'SW Rev'!R69,""),"")</f>
        <v/>
      </c>
    </row>
    <row r="71">
      <c r="A71" s="19">
        <f>'SW Rev'!$A70</f>
        <v/>
      </c>
      <c r="B71" s="19">
        <f>'SW Rev'!$B70</f>
        <v/>
      </c>
      <c r="C71" s="30">
        <f>IFERROR(IF(ISNUMBER('SW Rev'!G70),'SW Rev'!G70,""),"")</f>
        <v/>
      </c>
      <c r="D71" s="30">
        <f>IFERROR(IF(ISNUMBER('SW Rev'!H70),'SW Rev'!H70,""),"")</f>
        <v/>
      </c>
      <c r="E71" s="30">
        <f>IFERROR(IF(ISNUMBER('SW Rev'!I70),'SW Rev'!I70,""),"")</f>
        <v/>
      </c>
      <c r="F71" s="30">
        <f>IFERROR(IF(ISNUMBER('SW Rev'!J70),'SW Rev'!J70,""),"")</f>
        <v/>
      </c>
      <c r="G71" s="30">
        <f>IFERROR(IF(ISNUMBER('SW Rev'!K70),'SW Rev'!K70,""),"")</f>
        <v/>
      </c>
      <c r="H71" s="30">
        <f>IFERROR(IF(ISNUMBER('SW Rev'!L70),'SW Rev'!L70,""),"")</f>
        <v/>
      </c>
      <c r="I71" s="30">
        <f>IFERROR(IF(ISNUMBER('SW Rev'!M70),'SW Rev'!M70,""),"")</f>
        <v/>
      </c>
      <c r="J71" s="30">
        <f>IFERROR(IF(ISNUMBER('SW Rev'!N70),'SW Rev'!N70,""),"")</f>
        <v/>
      </c>
      <c r="K71" s="30">
        <f>IFERROR(IF(ISNUMBER('SW Rev'!O70),'SW Rev'!O70,""),"")</f>
        <v/>
      </c>
      <c r="L71" s="30">
        <f>IFERROR(IF(ISNUMBER('SW Rev'!P70),'SW Rev'!P70,""),"")</f>
        <v/>
      </c>
      <c r="M71" s="31">
        <f>IFERROR(IF(ISNUMBER('SW Rev'!Q70),'SW Rev'!Q70,""),"")</f>
        <v/>
      </c>
      <c r="N71" s="31">
        <f>IFERROR(IF(ISNUMBER('SW Rev'!R70),'SW Rev'!R70,""),"")</f>
        <v/>
      </c>
    </row>
    <row r="72">
      <c r="A72" s="19">
        <f>'SW Rev'!$A71</f>
        <v/>
      </c>
      <c r="B72" s="19">
        <f>'SW Rev'!$B71</f>
        <v/>
      </c>
      <c r="C72" s="30">
        <f>IFERROR(IF(ISNUMBER('SW Rev'!G71),'SW Rev'!G71,""),"")</f>
        <v/>
      </c>
      <c r="D72" s="30">
        <f>IFERROR(IF(ISNUMBER('SW Rev'!H71),'SW Rev'!H71,""),"")</f>
        <v/>
      </c>
      <c r="E72" s="30">
        <f>IFERROR(IF(ISNUMBER('SW Rev'!I71),'SW Rev'!I71,""),"")</f>
        <v/>
      </c>
      <c r="F72" s="30">
        <f>IFERROR(IF(ISNUMBER('SW Rev'!J71),'SW Rev'!J71,""),"")</f>
        <v/>
      </c>
      <c r="G72" s="30">
        <f>IFERROR(IF(ISNUMBER('SW Rev'!K71),'SW Rev'!K71,""),"")</f>
        <v/>
      </c>
      <c r="H72" s="30">
        <f>IFERROR(IF(ISNUMBER('SW Rev'!L71),'SW Rev'!L71,""),"")</f>
        <v/>
      </c>
      <c r="I72" s="30">
        <f>IFERROR(IF(ISNUMBER('SW Rev'!M71),'SW Rev'!M71,""),"")</f>
        <v/>
      </c>
      <c r="J72" s="30">
        <f>IFERROR(IF(ISNUMBER('SW Rev'!N71),'SW Rev'!N71,""),"")</f>
        <v/>
      </c>
      <c r="K72" s="30">
        <f>IFERROR(IF(ISNUMBER('SW Rev'!O71),'SW Rev'!O71,""),"")</f>
        <v/>
      </c>
      <c r="L72" s="30">
        <f>IFERROR(IF(ISNUMBER('SW Rev'!P71),'SW Rev'!P71,""),"")</f>
        <v/>
      </c>
      <c r="M72" s="31">
        <f>IFERROR(IF(ISNUMBER('SW Rev'!Q71),'SW Rev'!Q71,""),"")</f>
        <v/>
      </c>
      <c r="N72" s="31">
        <f>IFERROR(IF(ISNUMBER('SW Rev'!R71),'SW Rev'!R71,""),"")</f>
        <v/>
      </c>
    </row>
    <row r="73">
      <c r="A73" s="19">
        <f>'SW Rev'!$A72</f>
        <v/>
      </c>
      <c r="B73" s="19">
        <f>'SW Rev'!$B72</f>
        <v/>
      </c>
      <c r="C73" s="30">
        <f>IFERROR(IF(ISNUMBER('SW Rev'!G72),'SW Rev'!G72,""),"")</f>
        <v/>
      </c>
      <c r="D73" s="30">
        <f>IFERROR(IF(ISNUMBER('SW Rev'!H72),'SW Rev'!H72,""),"")</f>
        <v/>
      </c>
      <c r="E73" s="30">
        <f>IFERROR(IF(ISNUMBER('SW Rev'!I72),'SW Rev'!I72,""),"")</f>
        <v/>
      </c>
      <c r="F73" s="30">
        <f>IFERROR(IF(ISNUMBER('SW Rev'!J72),'SW Rev'!J72,""),"")</f>
        <v/>
      </c>
      <c r="G73" s="30">
        <f>IFERROR(IF(ISNUMBER('SW Rev'!K72),'SW Rev'!K72,""),"")</f>
        <v/>
      </c>
      <c r="H73" s="30">
        <f>IFERROR(IF(ISNUMBER('SW Rev'!L72),'SW Rev'!L72,""),"")</f>
        <v/>
      </c>
      <c r="I73" s="30">
        <f>IFERROR(IF(ISNUMBER('SW Rev'!M72),'SW Rev'!M72,""),"")</f>
        <v/>
      </c>
      <c r="J73" s="30">
        <f>IFERROR(IF(ISNUMBER('SW Rev'!N72),'SW Rev'!N72,""),"")</f>
        <v/>
      </c>
      <c r="K73" s="30">
        <f>IFERROR(IF(ISNUMBER('SW Rev'!O72),'SW Rev'!O72,""),"")</f>
        <v/>
      </c>
      <c r="L73" s="30">
        <f>IFERROR(IF(ISNUMBER('SW Rev'!P72),'SW Rev'!P72,""),"")</f>
        <v/>
      </c>
      <c r="M73" s="31">
        <f>IFERROR(IF(ISNUMBER('SW Rev'!Q72),'SW Rev'!Q72,""),"")</f>
        <v/>
      </c>
      <c r="N73" s="31">
        <f>IFERROR(IF(ISNUMBER('SW Rev'!R72),'SW Rev'!R72,""),"")</f>
        <v/>
      </c>
    </row>
    <row r="74">
      <c r="A74" s="19">
        <f>'SW Rev'!$A73</f>
        <v/>
      </c>
      <c r="B74" s="19">
        <f>'SW Rev'!$B73</f>
        <v/>
      </c>
      <c r="C74" s="30">
        <f>IFERROR(IF(ISNUMBER('SW Rev'!G73),'SW Rev'!G73,""),"")</f>
        <v/>
      </c>
      <c r="D74" s="30">
        <f>IFERROR(IF(ISNUMBER('SW Rev'!H73),'SW Rev'!H73,""),"")</f>
        <v/>
      </c>
      <c r="E74" s="30">
        <f>IFERROR(IF(ISNUMBER('SW Rev'!I73),'SW Rev'!I73,""),"")</f>
        <v/>
      </c>
      <c r="F74" s="30">
        <f>IFERROR(IF(ISNUMBER('SW Rev'!J73),'SW Rev'!J73,""),"")</f>
        <v/>
      </c>
      <c r="G74" s="30">
        <f>IFERROR(IF(ISNUMBER('SW Rev'!K73),'SW Rev'!K73,""),"")</f>
        <v/>
      </c>
      <c r="H74" s="30">
        <f>IFERROR(IF(ISNUMBER('SW Rev'!L73),'SW Rev'!L73,""),"")</f>
        <v/>
      </c>
      <c r="I74" s="30">
        <f>IFERROR(IF(ISNUMBER('SW Rev'!M73),'SW Rev'!M73,""),"")</f>
        <v/>
      </c>
      <c r="J74" s="30">
        <f>IFERROR(IF(ISNUMBER('SW Rev'!N73),'SW Rev'!N73,""),"")</f>
        <v/>
      </c>
      <c r="K74" s="30">
        <f>IFERROR(IF(ISNUMBER('SW Rev'!O73),'SW Rev'!O73,""),"")</f>
        <v/>
      </c>
      <c r="L74" s="30">
        <f>IFERROR(IF(ISNUMBER('SW Rev'!P73),'SW Rev'!P73,""),"")</f>
        <v/>
      </c>
      <c r="M74" s="31">
        <f>IFERROR(IF(ISNUMBER('SW Rev'!Q73),'SW Rev'!Q73,""),"")</f>
        <v/>
      </c>
      <c r="N74" s="31">
        <f>IFERROR(IF(ISNUMBER('SW Rev'!R73),'SW Rev'!R73,""),"")</f>
        <v/>
      </c>
    </row>
    <row r="75">
      <c r="A75" s="19">
        <f>'SW Rev'!$A74</f>
        <v/>
      </c>
      <c r="B75" s="19">
        <f>'SW Rev'!$B74</f>
        <v/>
      </c>
      <c r="C75" s="30">
        <f>IFERROR(IF(ISNUMBER('SW Rev'!G74),'SW Rev'!G74,""),"")</f>
        <v/>
      </c>
      <c r="D75" s="30">
        <f>IFERROR(IF(ISNUMBER('SW Rev'!H74),'SW Rev'!H74,""),"")</f>
        <v/>
      </c>
      <c r="E75" s="30">
        <f>IFERROR(IF(ISNUMBER('SW Rev'!I74),'SW Rev'!I74,""),"")</f>
        <v/>
      </c>
      <c r="F75" s="30">
        <f>IFERROR(IF(ISNUMBER('SW Rev'!J74),'SW Rev'!J74,""),"")</f>
        <v/>
      </c>
      <c r="G75" s="30">
        <f>IFERROR(IF(ISNUMBER('SW Rev'!K74),'SW Rev'!K74,""),"")</f>
        <v/>
      </c>
      <c r="H75" s="30">
        <f>IFERROR(IF(ISNUMBER('SW Rev'!L74),'SW Rev'!L74,""),"")</f>
        <v/>
      </c>
      <c r="I75" s="30">
        <f>IFERROR(IF(ISNUMBER('SW Rev'!M74),'SW Rev'!M74,""),"")</f>
        <v/>
      </c>
      <c r="J75" s="30">
        <f>IFERROR(IF(ISNUMBER('SW Rev'!N74),'SW Rev'!N74,""),"")</f>
        <v/>
      </c>
      <c r="K75" s="30">
        <f>IFERROR(IF(ISNUMBER('SW Rev'!O74),'SW Rev'!O74,""),"")</f>
        <v/>
      </c>
      <c r="L75" s="30">
        <f>IFERROR(IF(ISNUMBER('SW Rev'!P74),'SW Rev'!P74,""),"")</f>
        <v/>
      </c>
      <c r="M75" s="31">
        <f>IFERROR(IF(ISNUMBER('SW Rev'!Q74),'SW Rev'!Q74,""),"")</f>
        <v/>
      </c>
      <c r="N75" s="31">
        <f>IFERROR(IF(ISNUMBER('SW Rev'!R74),'SW Rev'!R74,""),"")</f>
        <v/>
      </c>
    </row>
    <row r="76">
      <c r="A76" s="19">
        <f>'SW Rev'!$A75</f>
        <v/>
      </c>
      <c r="B76" s="19">
        <f>'SW Rev'!$B75</f>
        <v/>
      </c>
      <c r="C76" s="30">
        <f>IFERROR(IF(ISNUMBER('SW Rev'!G75),'SW Rev'!G75,""),"")</f>
        <v/>
      </c>
      <c r="D76" s="30">
        <f>IFERROR(IF(ISNUMBER('SW Rev'!H75),'SW Rev'!H75,""),"")</f>
        <v/>
      </c>
      <c r="E76" s="30">
        <f>IFERROR(IF(ISNUMBER('SW Rev'!I75),'SW Rev'!I75,""),"")</f>
        <v/>
      </c>
      <c r="F76" s="30">
        <f>IFERROR(IF(ISNUMBER('SW Rev'!J75),'SW Rev'!J75,""),"")</f>
        <v/>
      </c>
      <c r="G76" s="30">
        <f>IFERROR(IF(ISNUMBER('SW Rev'!K75),'SW Rev'!K75,""),"")</f>
        <v/>
      </c>
      <c r="H76" s="30">
        <f>IFERROR(IF(ISNUMBER('SW Rev'!L75),'SW Rev'!L75,""),"")</f>
        <v/>
      </c>
      <c r="I76" s="30">
        <f>IFERROR(IF(ISNUMBER('SW Rev'!M75),'SW Rev'!M75,""),"")</f>
        <v/>
      </c>
      <c r="J76" s="30">
        <f>IFERROR(IF(ISNUMBER('SW Rev'!N75),'SW Rev'!N75,""),"")</f>
        <v/>
      </c>
      <c r="K76" s="30">
        <f>IFERROR(IF(ISNUMBER('SW Rev'!O75),'SW Rev'!O75,""),"")</f>
        <v/>
      </c>
      <c r="L76" s="30">
        <f>IFERROR(IF(ISNUMBER('SW Rev'!P75),'SW Rev'!P75,""),"")</f>
        <v/>
      </c>
      <c r="M76" s="31">
        <f>IFERROR(IF(ISNUMBER('SW Rev'!Q75),'SW Rev'!Q75,""),"")</f>
        <v/>
      </c>
      <c r="N76" s="31">
        <f>IFERROR(IF(ISNUMBER('SW Rev'!R75),'SW Rev'!R75,""),"")</f>
        <v/>
      </c>
    </row>
    <row r="77">
      <c r="A77" s="19">
        <f>'SW Rev'!$A76</f>
        <v/>
      </c>
      <c r="B77" s="19">
        <f>'SW Rev'!$B76</f>
        <v/>
      </c>
      <c r="C77" s="30">
        <f>IFERROR(IF(ISNUMBER('SW Rev'!G76),'SW Rev'!G76,""),"")</f>
        <v/>
      </c>
      <c r="D77" s="30">
        <f>IFERROR(IF(ISNUMBER('SW Rev'!H76),'SW Rev'!H76,""),"")</f>
        <v/>
      </c>
      <c r="E77" s="30">
        <f>IFERROR(IF(ISNUMBER('SW Rev'!I76),'SW Rev'!I76,""),"")</f>
        <v/>
      </c>
      <c r="F77" s="30">
        <f>IFERROR(IF(ISNUMBER('SW Rev'!J76),'SW Rev'!J76,""),"")</f>
        <v/>
      </c>
      <c r="G77" s="30">
        <f>IFERROR(IF(ISNUMBER('SW Rev'!K76),'SW Rev'!K76,""),"")</f>
        <v/>
      </c>
      <c r="H77" s="30">
        <f>IFERROR(IF(ISNUMBER('SW Rev'!L76),'SW Rev'!L76,""),"")</f>
        <v/>
      </c>
      <c r="I77" s="30">
        <f>IFERROR(IF(ISNUMBER('SW Rev'!M76),'SW Rev'!M76,""),"")</f>
        <v/>
      </c>
      <c r="J77" s="30">
        <f>IFERROR(IF(ISNUMBER('SW Rev'!N76),'SW Rev'!N76,""),"")</f>
        <v/>
      </c>
      <c r="K77" s="30">
        <f>IFERROR(IF(ISNUMBER('SW Rev'!O76),'SW Rev'!O76,""),"")</f>
        <v/>
      </c>
      <c r="L77" s="30">
        <f>IFERROR(IF(ISNUMBER('SW Rev'!P76),'SW Rev'!P76,""),"")</f>
        <v/>
      </c>
      <c r="M77" s="31">
        <f>IFERROR(IF(ISNUMBER('SW Rev'!Q76),'SW Rev'!Q76,""),"")</f>
        <v/>
      </c>
      <c r="N77" s="31">
        <f>IFERROR(IF(ISNUMBER('SW Rev'!R76),'SW Rev'!R76,""),"")</f>
        <v/>
      </c>
    </row>
    <row r="78">
      <c r="A78" s="19">
        <f>'SW Rev'!$A77</f>
        <v/>
      </c>
      <c r="B78" s="19">
        <f>'SW Rev'!$B77</f>
        <v/>
      </c>
      <c r="C78" s="30">
        <f>IFERROR(IF(ISNUMBER('SW Rev'!G77),'SW Rev'!G77,""),"")</f>
        <v/>
      </c>
      <c r="D78" s="30">
        <f>IFERROR(IF(ISNUMBER('SW Rev'!H77),'SW Rev'!H77,""),"")</f>
        <v/>
      </c>
      <c r="E78" s="30">
        <f>IFERROR(IF(ISNUMBER('SW Rev'!I77),'SW Rev'!I77,""),"")</f>
        <v/>
      </c>
      <c r="F78" s="30">
        <f>IFERROR(IF(ISNUMBER('SW Rev'!J77),'SW Rev'!J77,""),"")</f>
        <v/>
      </c>
      <c r="G78" s="30">
        <f>IFERROR(IF(ISNUMBER('SW Rev'!K77),'SW Rev'!K77,""),"")</f>
        <v/>
      </c>
      <c r="H78" s="30">
        <f>IFERROR(IF(ISNUMBER('SW Rev'!L77),'SW Rev'!L77,""),"")</f>
        <v/>
      </c>
      <c r="I78" s="30">
        <f>IFERROR(IF(ISNUMBER('SW Rev'!M77),'SW Rev'!M77,""),"")</f>
        <v/>
      </c>
      <c r="J78" s="30">
        <f>IFERROR(IF(ISNUMBER('SW Rev'!N77),'SW Rev'!N77,""),"")</f>
        <v/>
      </c>
      <c r="K78" s="30">
        <f>IFERROR(IF(ISNUMBER('SW Rev'!O77),'SW Rev'!O77,""),"")</f>
        <v/>
      </c>
      <c r="L78" s="30">
        <f>IFERROR(IF(ISNUMBER('SW Rev'!P77),'SW Rev'!P77,""),"")</f>
        <v/>
      </c>
      <c r="M78" s="31">
        <f>IFERROR(IF(ISNUMBER('SW Rev'!Q77),'SW Rev'!Q77,""),"")</f>
        <v/>
      </c>
      <c r="N78" s="31">
        <f>IFERROR(IF(ISNUMBER('SW Rev'!R77),'SW Rev'!R77,""),"")</f>
        <v/>
      </c>
    </row>
    <row r="79">
      <c r="A79" s="19">
        <f>'SW Rev'!$A78</f>
        <v/>
      </c>
      <c r="B79" s="19">
        <f>'SW Rev'!$B78</f>
        <v/>
      </c>
      <c r="C79" s="30">
        <f>IFERROR(IF(ISNUMBER('SW Rev'!G78),'SW Rev'!G78,""),"")</f>
        <v/>
      </c>
      <c r="D79" s="30">
        <f>IFERROR(IF(ISNUMBER('SW Rev'!H78),'SW Rev'!H78,""),"")</f>
        <v/>
      </c>
      <c r="E79" s="30">
        <f>IFERROR(IF(ISNUMBER('SW Rev'!I78),'SW Rev'!I78,""),"")</f>
        <v/>
      </c>
      <c r="F79" s="30">
        <f>IFERROR(IF(ISNUMBER('SW Rev'!J78),'SW Rev'!J78,""),"")</f>
        <v/>
      </c>
      <c r="G79" s="30">
        <f>IFERROR(IF(ISNUMBER('SW Rev'!K78),'SW Rev'!K78,""),"")</f>
        <v/>
      </c>
      <c r="H79" s="30">
        <f>IFERROR(IF(ISNUMBER('SW Rev'!L78),'SW Rev'!L78,""),"")</f>
        <v/>
      </c>
      <c r="I79" s="30">
        <f>IFERROR(IF(ISNUMBER('SW Rev'!M78),'SW Rev'!M78,""),"")</f>
        <v/>
      </c>
      <c r="J79" s="30">
        <f>IFERROR(IF(ISNUMBER('SW Rev'!N78),'SW Rev'!N78,""),"")</f>
        <v/>
      </c>
      <c r="K79" s="30">
        <f>IFERROR(IF(ISNUMBER('SW Rev'!O78),'SW Rev'!O78,""),"")</f>
        <v/>
      </c>
      <c r="L79" s="30">
        <f>IFERROR(IF(ISNUMBER('SW Rev'!P78),'SW Rev'!P78,""),"")</f>
        <v/>
      </c>
      <c r="M79" s="31">
        <f>IFERROR(IF(ISNUMBER('SW Rev'!Q78),'SW Rev'!Q78,""),"")</f>
        <v/>
      </c>
      <c r="N79" s="31">
        <f>IFERROR(IF(ISNUMBER('SW Rev'!R78),'SW Rev'!R78,""),"")</f>
        <v/>
      </c>
    </row>
    <row r="80">
      <c r="A80" s="19">
        <f>'SW Rev'!$A79</f>
        <v/>
      </c>
      <c r="B80" s="19">
        <f>'SW Rev'!$B79</f>
        <v/>
      </c>
      <c r="C80" s="30">
        <f>IFERROR(IF(ISNUMBER('SW Rev'!G79),'SW Rev'!G79,""),"")</f>
        <v/>
      </c>
      <c r="D80" s="30">
        <f>IFERROR(IF(ISNUMBER('SW Rev'!H79),'SW Rev'!H79,""),"")</f>
        <v/>
      </c>
      <c r="E80" s="30">
        <f>IFERROR(IF(ISNUMBER('SW Rev'!I79),'SW Rev'!I79,""),"")</f>
        <v/>
      </c>
      <c r="F80" s="30">
        <f>IFERROR(IF(ISNUMBER('SW Rev'!J79),'SW Rev'!J79,""),"")</f>
        <v/>
      </c>
      <c r="G80" s="30">
        <f>IFERROR(IF(ISNUMBER('SW Rev'!K79),'SW Rev'!K79,""),"")</f>
        <v/>
      </c>
      <c r="H80" s="30">
        <f>IFERROR(IF(ISNUMBER('SW Rev'!L79),'SW Rev'!L79,""),"")</f>
        <v/>
      </c>
      <c r="I80" s="30">
        <f>IFERROR(IF(ISNUMBER('SW Rev'!M79),'SW Rev'!M79,""),"")</f>
        <v/>
      </c>
      <c r="J80" s="30">
        <f>IFERROR(IF(ISNUMBER('SW Rev'!N79),'SW Rev'!N79,""),"")</f>
        <v/>
      </c>
      <c r="K80" s="30">
        <f>IFERROR(IF(ISNUMBER('SW Rev'!O79),'SW Rev'!O79,""),"")</f>
        <v/>
      </c>
      <c r="L80" s="30">
        <f>IFERROR(IF(ISNUMBER('SW Rev'!P79),'SW Rev'!P79,""),"")</f>
        <v/>
      </c>
      <c r="M80" s="31">
        <f>IFERROR(IF(ISNUMBER('SW Rev'!Q79),'SW Rev'!Q79,""),"")</f>
        <v/>
      </c>
      <c r="N80" s="31">
        <f>IFERROR(IF(ISNUMBER('SW Rev'!R79),'SW Rev'!R79,""),"")</f>
        <v/>
      </c>
    </row>
    <row r="81">
      <c r="A81" s="19">
        <f>'SW Rev'!$A80</f>
        <v/>
      </c>
      <c r="B81" s="19">
        <f>'SW Rev'!$B80</f>
        <v/>
      </c>
      <c r="C81" s="30">
        <f>IFERROR(IF(ISNUMBER('SW Rev'!G80),'SW Rev'!G80,""),"")</f>
        <v/>
      </c>
      <c r="D81" s="30">
        <f>IFERROR(IF(ISNUMBER('SW Rev'!H80),'SW Rev'!H80,""),"")</f>
        <v/>
      </c>
      <c r="E81" s="30">
        <f>IFERROR(IF(ISNUMBER('SW Rev'!I80),'SW Rev'!I80,""),"")</f>
        <v/>
      </c>
      <c r="F81" s="30">
        <f>IFERROR(IF(ISNUMBER('SW Rev'!J80),'SW Rev'!J80,""),"")</f>
        <v/>
      </c>
      <c r="G81" s="30">
        <f>IFERROR(IF(ISNUMBER('SW Rev'!K80),'SW Rev'!K80,""),"")</f>
        <v/>
      </c>
      <c r="H81" s="30">
        <f>IFERROR(IF(ISNUMBER('SW Rev'!L80),'SW Rev'!L80,""),"")</f>
        <v/>
      </c>
      <c r="I81" s="30">
        <f>IFERROR(IF(ISNUMBER('SW Rev'!M80),'SW Rev'!M80,""),"")</f>
        <v/>
      </c>
      <c r="J81" s="30">
        <f>IFERROR(IF(ISNUMBER('SW Rev'!N80),'SW Rev'!N80,""),"")</f>
        <v/>
      </c>
      <c r="K81" s="30">
        <f>IFERROR(IF(ISNUMBER('SW Rev'!O80),'SW Rev'!O80,""),"")</f>
        <v/>
      </c>
      <c r="L81" s="30">
        <f>IFERROR(IF(ISNUMBER('SW Rev'!P80),'SW Rev'!P80,""),"")</f>
        <v/>
      </c>
      <c r="M81" s="31">
        <f>IFERROR(IF(ISNUMBER('SW Rev'!Q80),'SW Rev'!Q80,""),"")</f>
        <v/>
      </c>
      <c r="N81" s="31">
        <f>IFERROR(IF(ISNUMBER('SW Rev'!R80),'SW Rev'!R80,""),"")</f>
        <v/>
      </c>
    </row>
    <row r="82">
      <c r="A82" s="19">
        <f>'SW Rev'!$A81</f>
        <v/>
      </c>
      <c r="B82" s="19">
        <f>'SW Rev'!$B81</f>
        <v/>
      </c>
      <c r="C82" s="30">
        <f>IFERROR(IF(ISNUMBER('SW Rev'!G81),'SW Rev'!G81,""),"")</f>
        <v/>
      </c>
      <c r="D82" s="30">
        <f>IFERROR(IF(ISNUMBER('SW Rev'!H81),'SW Rev'!H81,""),"")</f>
        <v/>
      </c>
      <c r="E82" s="30">
        <f>IFERROR(IF(ISNUMBER('SW Rev'!I81),'SW Rev'!I81,""),"")</f>
        <v/>
      </c>
      <c r="F82" s="30">
        <f>IFERROR(IF(ISNUMBER('SW Rev'!J81),'SW Rev'!J81,""),"")</f>
        <v/>
      </c>
      <c r="G82" s="30">
        <f>IFERROR(IF(ISNUMBER('SW Rev'!K81),'SW Rev'!K81,""),"")</f>
        <v/>
      </c>
      <c r="H82" s="30">
        <f>IFERROR(IF(ISNUMBER('SW Rev'!L81),'SW Rev'!L81,""),"")</f>
        <v/>
      </c>
      <c r="I82" s="30">
        <f>IFERROR(IF(ISNUMBER('SW Rev'!M81),'SW Rev'!M81,""),"")</f>
        <v/>
      </c>
      <c r="J82" s="30">
        <f>IFERROR(IF(ISNUMBER('SW Rev'!N81),'SW Rev'!N81,""),"")</f>
        <v/>
      </c>
      <c r="K82" s="30">
        <f>IFERROR(IF(ISNUMBER('SW Rev'!O81),'SW Rev'!O81,""),"")</f>
        <v/>
      </c>
      <c r="L82" s="30">
        <f>IFERROR(IF(ISNUMBER('SW Rev'!P81),'SW Rev'!P81,""),"")</f>
        <v/>
      </c>
      <c r="M82" s="31">
        <f>IFERROR(IF(ISNUMBER('SW Rev'!Q81),'SW Rev'!Q81,""),"")</f>
        <v/>
      </c>
      <c r="N82" s="31">
        <f>IFERROR(IF(ISNUMBER('SW Rev'!R81),'SW Rev'!R81,""),"")</f>
        <v/>
      </c>
    </row>
    <row r="83">
      <c r="A83" s="19">
        <f>'SW Rev'!$A82</f>
        <v/>
      </c>
      <c r="B83" s="19">
        <f>'SW Rev'!$B82</f>
        <v/>
      </c>
      <c r="C83" s="30">
        <f>IFERROR(IF(ISNUMBER('SW Rev'!G82),'SW Rev'!G82,""),"")</f>
        <v/>
      </c>
      <c r="D83" s="30">
        <f>IFERROR(IF(ISNUMBER('SW Rev'!H82),'SW Rev'!H82,""),"")</f>
        <v/>
      </c>
      <c r="E83" s="30">
        <f>IFERROR(IF(ISNUMBER('SW Rev'!I82),'SW Rev'!I82,""),"")</f>
        <v/>
      </c>
      <c r="F83" s="30">
        <f>IFERROR(IF(ISNUMBER('SW Rev'!J82),'SW Rev'!J82,""),"")</f>
        <v/>
      </c>
      <c r="G83" s="30">
        <f>IFERROR(IF(ISNUMBER('SW Rev'!K82),'SW Rev'!K82,""),"")</f>
        <v/>
      </c>
      <c r="H83" s="30">
        <f>IFERROR(IF(ISNUMBER('SW Rev'!L82),'SW Rev'!L82,""),"")</f>
        <v/>
      </c>
      <c r="I83" s="30">
        <f>IFERROR(IF(ISNUMBER('SW Rev'!M82),'SW Rev'!M82,""),"")</f>
        <v/>
      </c>
      <c r="J83" s="30">
        <f>IFERROR(IF(ISNUMBER('SW Rev'!N82),'SW Rev'!N82,""),"")</f>
        <v/>
      </c>
      <c r="K83" s="30">
        <f>IFERROR(IF(ISNUMBER('SW Rev'!O82),'SW Rev'!O82,""),"")</f>
        <v/>
      </c>
      <c r="L83" s="30">
        <f>IFERROR(IF(ISNUMBER('SW Rev'!P82),'SW Rev'!P82,""),"")</f>
        <v/>
      </c>
      <c r="M83" s="31">
        <f>IFERROR(IF(ISNUMBER('SW Rev'!Q82),'SW Rev'!Q82,""),"")</f>
        <v/>
      </c>
      <c r="N83" s="31">
        <f>IFERROR(IF(ISNUMBER('SW Rev'!R82),'SW Rev'!R82,""),"")</f>
        <v/>
      </c>
    </row>
    <row r="84">
      <c r="A84" s="19">
        <f>'SW Rev'!$A83</f>
        <v/>
      </c>
      <c r="B84" s="19">
        <f>'SW Rev'!$B83</f>
        <v/>
      </c>
      <c r="C84" s="30">
        <f>IFERROR(IF(ISNUMBER('SW Rev'!G83),'SW Rev'!G83,""),"")</f>
        <v/>
      </c>
      <c r="D84" s="30">
        <f>IFERROR(IF(ISNUMBER('SW Rev'!H83),'SW Rev'!H83,""),"")</f>
        <v/>
      </c>
      <c r="E84" s="30">
        <f>IFERROR(IF(ISNUMBER('SW Rev'!I83),'SW Rev'!I83,""),"")</f>
        <v/>
      </c>
      <c r="F84" s="30">
        <f>IFERROR(IF(ISNUMBER('SW Rev'!J83),'SW Rev'!J83,""),"")</f>
        <v/>
      </c>
      <c r="G84" s="30">
        <f>IFERROR(IF(ISNUMBER('SW Rev'!K83),'SW Rev'!K83,""),"")</f>
        <v/>
      </c>
      <c r="H84" s="30">
        <f>IFERROR(IF(ISNUMBER('SW Rev'!L83),'SW Rev'!L83,""),"")</f>
        <v/>
      </c>
      <c r="I84" s="30">
        <f>IFERROR(IF(ISNUMBER('SW Rev'!M83),'SW Rev'!M83,""),"")</f>
        <v/>
      </c>
      <c r="J84" s="30">
        <f>IFERROR(IF(ISNUMBER('SW Rev'!N83),'SW Rev'!N83,""),"")</f>
        <v/>
      </c>
      <c r="K84" s="30">
        <f>IFERROR(IF(ISNUMBER('SW Rev'!O83),'SW Rev'!O83,""),"")</f>
        <v/>
      </c>
      <c r="L84" s="30">
        <f>IFERROR(IF(ISNUMBER('SW Rev'!P83),'SW Rev'!P83,""),"")</f>
        <v/>
      </c>
      <c r="M84" s="31">
        <f>IFERROR(IF(ISNUMBER('SW Rev'!Q83),'SW Rev'!Q83,""),"")</f>
        <v/>
      </c>
      <c r="N84" s="31">
        <f>IFERROR(IF(ISNUMBER('SW Rev'!R83),'SW Rev'!R83,""),"")</f>
        <v/>
      </c>
    </row>
    <row r="85">
      <c r="A85" s="19">
        <f>'SW Rev'!$A84</f>
        <v/>
      </c>
      <c r="B85" s="19">
        <f>'SW Rev'!$B84</f>
        <v/>
      </c>
      <c r="C85" s="30">
        <f>IFERROR(IF(ISNUMBER('SW Rev'!G84),'SW Rev'!G84,""),"")</f>
        <v/>
      </c>
      <c r="D85" s="30">
        <f>IFERROR(IF(ISNUMBER('SW Rev'!H84),'SW Rev'!H84,""),"")</f>
        <v/>
      </c>
      <c r="E85" s="30">
        <f>IFERROR(IF(ISNUMBER('SW Rev'!I84),'SW Rev'!I84,""),"")</f>
        <v/>
      </c>
      <c r="F85" s="30">
        <f>IFERROR(IF(ISNUMBER('SW Rev'!J84),'SW Rev'!J84,""),"")</f>
        <v/>
      </c>
      <c r="G85" s="30">
        <f>IFERROR(IF(ISNUMBER('SW Rev'!K84),'SW Rev'!K84,""),"")</f>
        <v/>
      </c>
      <c r="H85" s="30">
        <f>IFERROR(IF(ISNUMBER('SW Rev'!L84),'SW Rev'!L84,""),"")</f>
        <v/>
      </c>
      <c r="I85" s="30">
        <f>IFERROR(IF(ISNUMBER('SW Rev'!M84),'SW Rev'!M84,""),"")</f>
        <v/>
      </c>
      <c r="J85" s="30">
        <f>IFERROR(IF(ISNUMBER('SW Rev'!N84),'SW Rev'!N84,""),"")</f>
        <v/>
      </c>
      <c r="K85" s="30">
        <f>IFERROR(IF(ISNUMBER('SW Rev'!O84),'SW Rev'!O84,""),"")</f>
        <v/>
      </c>
      <c r="L85" s="30">
        <f>IFERROR(IF(ISNUMBER('SW Rev'!P84),'SW Rev'!P84,""),"")</f>
        <v/>
      </c>
      <c r="M85" s="31">
        <f>IFERROR(IF(ISNUMBER('SW Rev'!Q84),'SW Rev'!Q84,""),"")</f>
        <v/>
      </c>
      <c r="N85" s="31">
        <f>IFERROR(IF(ISNUMBER('SW Rev'!R84),'SW Rev'!R84,""),"")</f>
        <v/>
      </c>
    </row>
    <row r="86">
      <c r="A86" s="19">
        <f>'SW Rev'!$A85</f>
        <v/>
      </c>
      <c r="B86" s="19">
        <f>'SW Rev'!$B85</f>
        <v/>
      </c>
      <c r="C86" s="30">
        <f>IFERROR(IF(ISNUMBER('SW Rev'!G85),'SW Rev'!G85,""),"")</f>
        <v/>
      </c>
      <c r="D86" s="30">
        <f>IFERROR(IF(ISNUMBER('SW Rev'!H85),'SW Rev'!H85,""),"")</f>
        <v/>
      </c>
      <c r="E86" s="30">
        <f>IFERROR(IF(ISNUMBER('SW Rev'!I85),'SW Rev'!I85,""),"")</f>
        <v/>
      </c>
      <c r="F86" s="30">
        <f>IFERROR(IF(ISNUMBER('SW Rev'!J85),'SW Rev'!J85,""),"")</f>
        <v/>
      </c>
      <c r="G86" s="30">
        <f>IFERROR(IF(ISNUMBER('SW Rev'!K85),'SW Rev'!K85,""),"")</f>
        <v/>
      </c>
      <c r="H86" s="30">
        <f>IFERROR(IF(ISNUMBER('SW Rev'!L85),'SW Rev'!L85,""),"")</f>
        <v/>
      </c>
      <c r="I86" s="30">
        <f>IFERROR(IF(ISNUMBER('SW Rev'!M85),'SW Rev'!M85,""),"")</f>
        <v/>
      </c>
      <c r="J86" s="30">
        <f>IFERROR(IF(ISNUMBER('SW Rev'!N85),'SW Rev'!N85,""),"")</f>
        <v/>
      </c>
      <c r="K86" s="30">
        <f>IFERROR(IF(ISNUMBER('SW Rev'!O85),'SW Rev'!O85,""),"")</f>
        <v/>
      </c>
      <c r="L86" s="30">
        <f>IFERROR(IF(ISNUMBER('SW Rev'!P85),'SW Rev'!P85,""),"")</f>
        <v/>
      </c>
      <c r="M86" s="31">
        <f>IFERROR(IF(ISNUMBER('SW Rev'!Q85),'SW Rev'!Q85,""),"")</f>
        <v/>
      </c>
      <c r="N86" s="31">
        <f>IFERROR(IF(ISNUMBER('SW Rev'!R85),'SW Rev'!R85,""),"")</f>
        <v/>
      </c>
    </row>
    <row r="87">
      <c r="A87" s="19">
        <f>'SW Rev'!$A86</f>
        <v/>
      </c>
      <c r="B87" s="19">
        <f>'SW Rev'!$B86</f>
        <v/>
      </c>
      <c r="C87" s="30">
        <f>IFERROR(IF(ISNUMBER('SW Rev'!G86),'SW Rev'!G86,""),"")</f>
        <v/>
      </c>
      <c r="D87" s="30">
        <f>IFERROR(IF(ISNUMBER('SW Rev'!H86),'SW Rev'!H86,""),"")</f>
        <v/>
      </c>
      <c r="E87" s="30">
        <f>IFERROR(IF(ISNUMBER('SW Rev'!I86),'SW Rev'!I86,""),"")</f>
        <v/>
      </c>
      <c r="F87" s="30">
        <f>IFERROR(IF(ISNUMBER('SW Rev'!J86),'SW Rev'!J86,""),"")</f>
        <v/>
      </c>
      <c r="G87" s="30">
        <f>IFERROR(IF(ISNUMBER('SW Rev'!K86),'SW Rev'!K86,""),"")</f>
        <v/>
      </c>
      <c r="H87" s="30">
        <f>IFERROR(IF(ISNUMBER('SW Rev'!L86),'SW Rev'!L86,""),"")</f>
        <v/>
      </c>
      <c r="I87" s="30">
        <f>IFERROR(IF(ISNUMBER('SW Rev'!M86),'SW Rev'!M86,""),"")</f>
        <v/>
      </c>
      <c r="J87" s="30">
        <f>IFERROR(IF(ISNUMBER('SW Rev'!N86),'SW Rev'!N86,""),"")</f>
        <v/>
      </c>
      <c r="K87" s="30">
        <f>IFERROR(IF(ISNUMBER('SW Rev'!O86),'SW Rev'!O86,""),"")</f>
        <v/>
      </c>
      <c r="L87" s="30">
        <f>IFERROR(IF(ISNUMBER('SW Rev'!P86),'SW Rev'!P86,""),"")</f>
        <v/>
      </c>
      <c r="M87" s="31">
        <f>IFERROR(IF(ISNUMBER('SW Rev'!Q86),'SW Rev'!Q86,""),"")</f>
        <v/>
      </c>
      <c r="N87" s="31">
        <f>IFERROR(IF(ISNUMBER('SW Rev'!R86),'SW Rev'!R86,""),"")</f>
        <v/>
      </c>
    </row>
    <row r="88">
      <c r="A88" s="19">
        <f>'SW Rev'!$A87</f>
        <v/>
      </c>
      <c r="B88" s="19">
        <f>'SW Rev'!$B87</f>
        <v/>
      </c>
      <c r="C88" s="30">
        <f>IFERROR(IF(ISNUMBER('SW Rev'!G87),'SW Rev'!G87,""),"")</f>
        <v/>
      </c>
      <c r="D88" s="30">
        <f>IFERROR(IF(ISNUMBER('SW Rev'!H87),'SW Rev'!H87,""),"")</f>
        <v/>
      </c>
      <c r="E88" s="30">
        <f>IFERROR(IF(ISNUMBER('SW Rev'!I87),'SW Rev'!I87,""),"")</f>
        <v/>
      </c>
      <c r="F88" s="30">
        <f>IFERROR(IF(ISNUMBER('SW Rev'!J87),'SW Rev'!J87,""),"")</f>
        <v/>
      </c>
      <c r="G88" s="30">
        <f>IFERROR(IF(ISNUMBER('SW Rev'!K87),'SW Rev'!K87,""),"")</f>
        <v/>
      </c>
      <c r="H88" s="30">
        <f>IFERROR(IF(ISNUMBER('SW Rev'!L87),'SW Rev'!L87,""),"")</f>
        <v/>
      </c>
      <c r="I88" s="30">
        <f>IFERROR(IF(ISNUMBER('SW Rev'!M87),'SW Rev'!M87,""),"")</f>
        <v/>
      </c>
      <c r="J88" s="30">
        <f>IFERROR(IF(ISNUMBER('SW Rev'!N87),'SW Rev'!N87,""),"")</f>
        <v/>
      </c>
      <c r="K88" s="30">
        <f>IFERROR(IF(ISNUMBER('SW Rev'!O87),'SW Rev'!O87,""),"")</f>
        <v/>
      </c>
      <c r="L88" s="30">
        <f>IFERROR(IF(ISNUMBER('SW Rev'!P87),'SW Rev'!P87,""),"")</f>
        <v/>
      </c>
      <c r="M88" s="31">
        <f>IFERROR(IF(ISNUMBER('SW Rev'!Q87),'SW Rev'!Q87,""),"")</f>
        <v/>
      </c>
      <c r="N88" s="31">
        <f>IFERROR(IF(ISNUMBER('SW Rev'!R87),'SW Rev'!R87,""),"")</f>
        <v/>
      </c>
    </row>
    <row r="89">
      <c r="A89" s="19">
        <f>'SW Rev'!$A88</f>
        <v/>
      </c>
      <c r="B89" s="19">
        <f>'SW Rev'!$B88</f>
        <v/>
      </c>
      <c r="C89" s="30">
        <f>IFERROR(IF(ISNUMBER('SW Rev'!G88),'SW Rev'!G88,""),"")</f>
        <v/>
      </c>
      <c r="D89" s="30">
        <f>IFERROR(IF(ISNUMBER('SW Rev'!H88),'SW Rev'!H88,""),"")</f>
        <v/>
      </c>
      <c r="E89" s="30">
        <f>IFERROR(IF(ISNUMBER('SW Rev'!I88),'SW Rev'!I88,""),"")</f>
        <v/>
      </c>
      <c r="F89" s="30">
        <f>IFERROR(IF(ISNUMBER('SW Rev'!J88),'SW Rev'!J88,""),"")</f>
        <v/>
      </c>
      <c r="G89" s="30">
        <f>IFERROR(IF(ISNUMBER('SW Rev'!K88),'SW Rev'!K88,""),"")</f>
        <v/>
      </c>
      <c r="H89" s="30">
        <f>IFERROR(IF(ISNUMBER('SW Rev'!L88),'SW Rev'!L88,""),"")</f>
        <v/>
      </c>
      <c r="I89" s="30">
        <f>IFERROR(IF(ISNUMBER('SW Rev'!M88),'SW Rev'!M88,""),"")</f>
        <v/>
      </c>
      <c r="J89" s="30">
        <f>IFERROR(IF(ISNUMBER('SW Rev'!N88),'SW Rev'!N88,""),"")</f>
        <v/>
      </c>
      <c r="K89" s="30">
        <f>IFERROR(IF(ISNUMBER('SW Rev'!O88),'SW Rev'!O88,""),"")</f>
        <v/>
      </c>
      <c r="L89" s="30">
        <f>IFERROR(IF(ISNUMBER('SW Rev'!P88),'SW Rev'!P88,""),"")</f>
        <v/>
      </c>
      <c r="M89" s="31">
        <f>IFERROR(IF(ISNUMBER('SW Rev'!Q88),'SW Rev'!Q88,""),"")</f>
        <v/>
      </c>
      <c r="N89" s="31">
        <f>IFERROR(IF(ISNUMBER('SW Rev'!R88),'SW Rev'!R88,""),"")</f>
        <v/>
      </c>
    </row>
    <row r="90">
      <c r="A90" s="19">
        <f>'SW Rev'!$A89</f>
        <v/>
      </c>
      <c r="B90" s="19">
        <f>'SW Rev'!$B89</f>
        <v/>
      </c>
      <c r="C90" s="30">
        <f>IFERROR(IF(ISNUMBER('SW Rev'!G89),'SW Rev'!G89,""),"")</f>
        <v/>
      </c>
      <c r="D90" s="30">
        <f>IFERROR(IF(ISNUMBER('SW Rev'!H89),'SW Rev'!H89,""),"")</f>
        <v/>
      </c>
      <c r="E90" s="30">
        <f>IFERROR(IF(ISNUMBER('SW Rev'!I89),'SW Rev'!I89,""),"")</f>
        <v/>
      </c>
      <c r="F90" s="30">
        <f>IFERROR(IF(ISNUMBER('SW Rev'!J89),'SW Rev'!J89,""),"")</f>
        <v/>
      </c>
      <c r="G90" s="30">
        <f>IFERROR(IF(ISNUMBER('SW Rev'!K89),'SW Rev'!K89,""),"")</f>
        <v/>
      </c>
      <c r="H90" s="30">
        <f>IFERROR(IF(ISNUMBER('SW Rev'!L89),'SW Rev'!L89,""),"")</f>
        <v/>
      </c>
      <c r="I90" s="30">
        <f>IFERROR(IF(ISNUMBER('SW Rev'!M89),'SW Rev'!M89,""),"")</f>
        <v/>
      </c>
      <c r="J90" s="30">
        <f>IFERROR(IF(ISNUMBER('SW Rev'!N89),'SW Rev'!N89,""),"")</f>
        <v/>
      </c>
      <c r="K90" s="30">
        <f>IFERROR(IF(ISNUMBER('SW Rev'!O89),'SW Rev'!O89,""),"")</f>
        <v/>
      </c>
      <c r="L90" s="30">
        <f>IFERROR(IF(ISNUMBER('SW Rev'!P89),'SW Rev'!P89,""),"")</f>
        <v/>
      </c>
      <c r="M90" s="31">
        <f>IFERROR(IF(ISNUMBER('SW Rev'!Q89),'SW Rev'!Q89,""),"")</f>
        <v/>
      </c>
      <c r="N90" s="31">
        <f>IFERROR(IF(ISNUMBER('SW Rev'!R89),'SW Rev'!R89,""),"")</f>
        <v/>
      </c>
    </row>
    <row r="91">
      <c r="A91" s="19">
        <f>'SW Rev'!$A90</f>
        <v/>
      </c>
      <c r="B91" s="19">
        <f>'SW Rev'!$B90</f>
        <v/>
      </c>
      <c r="C91" s="30">
        <f>IFERROR(IF(ISNUMBER('SW Rev'!G90),'SW Rev'!G90,""),"")</f>
        <v/>
      </c>
      <c r="D91" s="30">
        <f>IFERROR(IF(ISNUMBER('SW Rev'!H90),'SW Rev'!H90,""),"")</f>
        <v/>
      </c>
      <c r="E91" s="30">
        <f>IFERROR(IF(ISNUMBER('SW Rev'!I90),'SW Rev'!I90,""),"")</f>
        <v/>
      </c>
      <c r="F91" s="30">
        <f>IFERROR(IF(ISNUMBER('SW Rev'!J90),'SW Rev'!J90,""),"")</f>
        <v/>
      </c>
      <c r="G91" s="30">
        <f>IFERROR(IF(ISNUMBER('SW Rev'!K90),'SW Rev'!K90,""),"")</f>
        <v/>
      </c>
      <c r="H91" s="30">
        <f>IFERROR(IF(ISNUMBER('SW Rev'!L90),'SW Rev'!L90,""),"")</f>
        <v/>
      </c>
      <c r="I91" s="30">
        <f>IFERROR(IF(ISNUMBER('SW Rev'!M90),'SW Rev'!M90,""),"")</f>
        <v/>
      </c>
      <c r="J91" s="30">
        <f>IFERROR(IF(ISNUMBER('SW Rev'!N90),'SW Rev'!N90,""),"")</f>
        <v/>
      </c>
      <c r="K91" s="30">
        <f>IFERROR(IF(ISNUMBER('SW Rev'!O90),'SW Rev'!O90,""),"")</f>
        <v/>
      </c>
      <c r="L91" s="30">
        <f>IFERROR(IF(ISNUMBER('SW Rev'!P90),'SW Rev'!P90,""),"")</f>
        <v/>
      </c>
      <c r="M91" s="31">
        <f>IFERROR(IF(ISNUMBER('SW Rev'!Q90),'SW Rev'!Q90,""),"")</f>
        <v/>
      </c>
      <c r="N91" s="31">
        <f>IFERROR(IF(ISNUMBER('SW Rev'!R90),'SW Rev'!R90,""),"")</f>
        <v/>
      </c>
    </row>
    <row r="92">
      <c r="A92" s="19">
        <f>'SW Rev'!$A91</f>
        <v/>
      </c>
      <c r="B92" s="19">
        <f>'SW Rev'!$B91</f>
        <v/>
      </c>
      <c r="C92" s="30">
        <f>IFERROR(IF(ISNUMBER('SW Rev'!G91),'SW Rev'!G91,""),"")</f>
        <v/>
      </c>
      <c r="D92" s="30">
        <f>IFERROR(IF(ISNUMBER('SW Rev'!H91),'SW Rev'!H91,""),"")</f>
        <v/>
      </c>
      <c r="E92" s="30">
        <f>IFERROR(IF(ISNUMBER('SW Rev'!I91),'SW Rev'!I91,""),"")</f>
        <v/>
      </c>
      <c r="F92" s="30">
        <f>IFERROR(IF(ISNUMBER('SW Rev'!J91),'SW Rev'!J91,""),"")</f>
        <v/>
      </c>
      <c r="G92" s="30">
        <f>IFERROR(IF(ISNUMBER('SW Rev'!K91),'SW Rev'!K91,""),"")</f>
        <v/>
      </c>
      <c r="H92" s="30">
        <f>IFERROR(IF(ISNUMBER('SW Rev'!L91),'SW Rev'!L91,""),"")</f>
        <v/>
      </c>
      <c r="I92" s="30">
        <f>IFERROR(IF(ISNUMBER('SW Rev'!M91),'SW Rev'!M91,""),"")</f>
        <v/>
      </c>
      <c r="J92" s="30">
        <f>IFERROR(IF(ISNUMBER('SW Rev'!N91),'SW Rev'!N91,""),"")</f>
        <v/>
      </c>
      <c r="K92" s="30">
        <f>IFERROR(IF(ISNUMBER('SW Rev'!O91),'SW Rev'!O91,""),"")</f>
        <v/>
      </c>
      <c r="L92" s="30">
        <f>IFERROR(IF(ISNUMBER('SW Rev'!P91),'SW Rev'!P91,""),"")</f>
        <v/>
      </c>
      <c r="M92" s="31">
        <f>IFERROR(IF(ISNUMBER('SW Rev'!Q91),'SW Rev'!Q91,""),"")</f>
        <v/>
      </c>
      <c r="N92" s="31">
        <f>IFERROR(IF(ISNUMBER('SW Rev'!R91),'SW Rev'!R91,""),"")</f>
        <v/>
      </c>
    </row>
    <row r="93">
      <c r="A93" s="19">
        <f>'SW Rev'!$A92</f>
        <v/>
      </c>
      <c r="B93" s="19">
        <f>'SW Rev'!$B92</f>
        <v/>
      </c>
      <c r="C93" s="30">
        <f>IFERROR(IF(ISNUMBER('SW Rev'!G92),'SW Rev'!G92,""),"")</f>
        <v/>
      </c>
      <c r="D93" s="30">
        <f>IFERROR(IF(ISNUMBER('SW Rev'!H92),'SW Rev'!H92,""),"")</f>
        <v/>
      </c>
      <c r="E93" s="30">
        <f>IFERROR(IF(ISNUMBER('SW Rev'!I92),'SW Rev'!I92,""),"")</f>
        <v/>
      </c>
      <c r="F93" s="30">
        <f>IFERROR(IF(ISNUMBER('SW Rev'!J92),'SW Rev'!J92,""),"")</f>
        <v/>
      </c>
      <c r="G93" s="30">
        <f>IFERROR(IF(ISNUMBER('SW Rev'!K92),'SW Rev'!K92,""),"")</f>
        <v/>
      </c>
      <c r="H93" s="30">
        <f>IFERROR(IF(ISNUMBER('SW Rev'!L92),'SW Rev'!L92,""),"")</f>
        <v/>
      </c>
      <c r="I93" s="30">
        <f>IFERROR(IF(ISNUMBER('SW Rev'!M92),'SW Rev'!M92,""),"")</f>
        <v/>
      </c>
      <c r="J93" s="30">
        <f>IFERROR(IF(ISNUMBER('SW Rev'!N92),'SW Rev'!N92,""),"")</f>
        <v/>
      </c>
      <c r="K93" s="30">
        <f>IFERROR(IF(ISNUMBER('SW Rev'!O92),'SW Rev'!O92,""),"")</f>
        <v/>
      </c>
      <c r="L93" s="30">
        <f>IFERROR(IF(ISNUMBER('SW Rev'!P92),'SW Rev'!P92,""),"")</f>
        <v/>
      </c>
      <c r="M93" s="31">
        <f>IFERROR(IF(ISNUMBER('SW Rev'!Q92),'SW Rev'!Q92,""),"")</f>
        <v/>
      </c>
      <c r="N93" s="31">
        <f>IFERROR(IF(ISNUMBER('SW Rev'!R92),'SW Rev'!R92,""),"")</f>
        <v/>
      </c>
    </row>
    <row r="94">
      <c r="A94" s="19">
        <f>'SW Rev'!$A93</f>
        <v/>
      </c>
      <c r="B94" s="19">
        <f>'SW Rev'!$B93</f>
        <v/>
      </c>
      <c r="C94" s="30">
        <f>IFERROR(IF(ISNUMBER('SW Rev'!G93),'SW Rev'!G93,""),"")</f>
        <v/>
      </c>
      <c r="D94" s="30">
        <f>IFERROR(IF(ISNUMBER('SW Rev'!H93),'SW Rev'!H93,""),"")</f>
        <v/>
      </c>
      <c r="E94" s="30">
        <f>IFERROR(IF(ISNUMBER('SW Rev'!I93),'SW Rev'!I93,""),"")</f>
        <v/>
      </c>
      <c r="F94" s="30">
        <f>IFERROR(IF(ISNUMBER('SW Rev'!J93),'SW Rev'!J93,""),"")</f>
        <v/>
      </c>
      <c r="G94" s="30">
        <f>IFERROR(IF(ISNUMBER('SW Rev'!K93),'SW Rev'!K93,""),"")</f>
        <v/>
      </c>
      <c r="H94" s="30">
        <f>IFERROR(IF(ISNUMBER('SW Rev'!L93),'SW Rev'!L93,""),"")</f>
        <v/>
      </c>
      <c r="I94" s="30">
        <f>IFERROR(IF(ISNUMBER('SW Rev'!M93),'SW Rev'!M93,""),"")</f>
        <v/>
      </c>
      <c r="J94" s="30">
        <f>IFERROR(IF(ISNUMBER('SW Rev'!N93),'SW Rev'!N93,""),"")</f>
        <v/>
      </c>
      <c r="K94" s="30">
        <f>IFERROR(IF(ISNUMBER('SW Rev'!O93),'SW Rev'!O93,""),"")</f>
        <v/>
      </c>
      <c r="L94" s="30">
        <f>IFERROR(IF(ISNUMBER('SW Rev'!P93),'SW Rev'!P93,""),"")</f>
        <v/>
      </c>
      <c r="M94" s="31">
        <f>IFERROR(IF(ISNUMBER('SW Rev'!Q93),'SW Rev'!Q93,""),"")</f>
        <v/>
      </c>
      <c r="N94" s="31">
        <f>IFERROR(IF(ISNUMBER('SW Rev'!R93),'SW Rev'!R93,""),"")</f>
        <v/>
      </c>
    </row>
    <row r="95">
      <c r="A95" s="19">
        <f>'SW Rev'!$A94</f>
        <v/>
      </c>
      <c r="B95" s="19">
        <f>'SW Rev'!$B94</f>
        <v/>
      </c>
      <c r="C95" s="30">
        <f>IFERROR(IF(ISNUMBER('SW Rev'!G94),'SW Rev'!G94,""),"")</f>
        <v/>
      </c>
      <c r="D95" s="30">
        <f>IFERROR(IF(ISNUMBER('SW Rev'!H94),'SW Rev'!H94,""),"")</f>
        <v/>
      </c>
      <c r="E95" s="30">
        <f>IFERROR(IF(ISNUMBER('SW Rev'!I94),'SW Rev'!I94,""),"")</f>
        <v/>
      </c>
      <c r="F95" s="30">
        <f>IFERROR(IF(ISNUMBER('SW Rev'!J94),'SW Rev'!J94,""),"")</f>
        <v/>
      </c>
      <c r="G95" s="30">
        <f>IFERROR(IF(ISNUMBER('SW Rev'!K94),'SW Rev'!K94,""),"")</f>
        <v/>
      </c>
      <c r="H95" s="30">
        <f>IFERROR(IF(ISNUMBER('SW Rev'!L94),'SW Rev'!L94,""),"")</f>
        <v/>
      </c>
      <c r="I95" s="30">
        <f>IFERROR(IF(ISNUMBER('SW Rev'!M94),'SW Rev'!M94,""),"")</f>
        <v/>
      </c>
      <c r="J95" s="30">
        <f>IFERROR(IF(ISNUMBER('SW Rev'!N94),'SW Rev'!N94,""),"")</f>
        <v/>
      </c>
      <c r="K95" s="30">
        <f>IFERROR(IF(ISNUMBER('SW Rev'!O94),'SW Rev'!O94,""),"")</f>
        <v/>
      </c>
      <c r="L95" s="30">
        <f>IFERROR(IF(ISNUMBER('SW Rev'!P94),'SW Rev'!P94,""),"")</f>
        <v/>
      </c>
      <c r="M95" s="31">
        <f>IFERROR(IF(ISNUMBER('SW Rev'!Q94),'SW Rev'!Q94,""),"")</f>
        <v/>
      </c>
      <c r="N95" s="31">
        <f>IFERROR(IF(ISNUMBER('SW Rev'!R94),'SW Rev'!R94,""),"")</f>
        <v/>
      </c>
    </row>
    <row r="96">
      <c r="A96" s="19">
        <f>'SW Rev'!$A95</f>
        <v/>
      </c>
      <c r="B96" s="19">
        <f>'SW Rev'!$B95</f>
        <v/>
      </c>
      <c r="C96" s="30">
        <f>IFERROR(IF(ISNUMBER('SW Rev'!G95),'SW Rev'!G95,""),"")</f>
        <v/>
      </c>
      <c r="D96" s="30">
        <f>IFERROR(IF(ISNUMBER('SW Rev'!H95),'SW Rev'!H95,""),"")</f>
        <v/>
      </c>
      <c r="E96" s="30">
        <f>IFERROR(IF(ISNUMBER('SW Rev'!I95),'SW Rev'!I95,""),"")</f>
        <v/>
      </c>
      <c r="F96" s="30">
        <f>IFERROR(IF(ISNUMBER('SW Rev'!J95),'SW Rev'!J95,""),"")</f>
        <v/>
      </c>
      <c r="G96" s="30">
        <f>IFERROR(IF(ISNUMBER('SW Rev'!K95),'SW Rev'!K95,""),"")</f>
        <v/>
      </c>
      <c r="H96" s="30">
        <f>IFERROR(IF(ISNUMBER('SW Rev'!L95),'SW Rev'!L95,""),"")</f>
        <v/>
      </c>
      <c r="I96" s="30">
        <f>IFERROR(IF(ISNUMBER('SW Rev'!M95),'SW Rev'!M95,""),"")</f>
        <v/>
      </c>
      <c r="J96" s="30">
        <f>IFERROR(IF(ISNUMBER('SW Rev'!N95),'SW Rev'!N95,""),"")</f>
        <v/>
      </c>
      <c r="K96" s="30">
        <f>IFERROR(IF(ISNUMBER('SW Rev'!O95),'SW Rev'!O95,""),"")</f>
        <v/>
      </c>
      <c r="L96" s="30">
        <f>IFERROR(IF(ISNUMBER('SW Rev'!P95),'SW Rev'!P95,""),"")</f>
        <v/>
      </c>
      <c r="M96" s="31">
        <f>IFERROR(IF(ISNUMBER('SW Rev'!Q95),'SW Rev'!Q95,""),"")</f>
        <v/>
      </c>
      <c r="N96" s="31">
        <f>IFERROR(IF(ISNUMBER('SW Rev'!R95),'SW Rev'!R95,""),"")</f>
        <v/>
      </c>
    </row>
    <row r="97">
      <c r="A97" s="19">
        <f>'SW Rev'!$A96</f>
        <v/>
      </c>
      <c r="B97" s="19">
        <f>'SW Rev'!$B96</f>
        <v/>
      </c>
      <c r="C97" s="30">
        <f>IFERROR(IF(ISNUMBER('SW Rev'!G96),'SW Rev'!G96,""),"")</f>
        <v/>
      </c>
      <c r="D97" s="30">
        <f>IFERROR(IF(ISNUMBER('SW Rev'!H96),'SW Rev'!H96,""),"")</f>
        <v/>
      </c>
      <c r="E97" s="30">
        <f>IFERROR(IF(ISNUMBER('SW Rev'!I96),'SW Rev'!I96,""),"")</f>
        <v/>
      </c>
      <c r="F97" s="30">
        <f>IFERROR(IF(ISNUMBER('SW Rev'!J96),'SW Rev'!J96,""),"")</f>
        <v/>
      </c>
      <c r="G97" s="30">
        <f>IFERROR(IF(ISNUMBER('SW Rev'!K96),'SW Rev'!K96,""),"")</f>
        <v/>
      </c>
      <c r="H97" s="30">
        <f>IFERROR(IF(ISNUMBER('SW Rev'!L96),'SW Rev'!L96,""),"")</f>
        <v/>
      </c>
      <c r="I97" s="30">
        <f>IFERROR(IF(ISNUMBER('SW Rev'!M96),'SW Rev'!M96,""),"")</f>
        <v/>
      </c>
      <c r="J97" s="30">
        <f>IFERROR(IF(ISNUMBER('SW Rev'!N96),'SW Rev'!N96,""),"")</f>
        <v/>
      </c>
      <c r="K97" s="30">
        <f>IFERROR(IF(ISNUMBER('SW Rev'!O96),'SW Rev'!O96,""),"")</f>
        <v/>
      </c>
      <c r="L97" s="30">
        <f>IFERROR(IF(ISNUMBER('SW Rev'!P96),'SW Rev'!P96,""),"")</f>
        <v/>
      </c>
      <c r="M97" s="31">
        <f>IFERROR(IF(ISNUMBER('SW Rev'!Q96),'SW Rev'!Q96,""),"")</f>
        <v/>
      </c>
      <c r="N97" s="31">
        <f>IFERROR(IF(ISNUMBER('SW Rev'!R96),'SW Rev'!R96,""),"")</f>
        <v/>
      </c>
    </row>
    <row r="98">
      <c r="A98" s="19">
        <f>'SW Rev'!$A97</f>
        <v/>
      </c>
      <c r="B98" s="19">
        <f>'SW Rev'!$B97</f>
        <v/>
      </c>
      <c r="C98" s="30">
        <f>IFERROR(IF(ISNUMBER('SW Rev'!G97),'SW Rev'!G97,""),"")</f>
        <v/>
      </c>
      <c r="D98" s="30">
        <f>IFERROR(IF(ISNUMBER('SW Rev'!H97),'SW Rev'!H97,""),"")</f>
        <v/>
      </c>
      <c r="E98" s="30">
        <f>IFERROR(IF(ISNUMBER('SW Rev'!I97),'SW Rev'!I97,""),"")</f>
        <v/>
      </c>
      <c r="F98" s="30">
        <f>IFERROR(IF(ISNUMBER('SW Rev'!J97),'SW Rev'!J97,""),"")</f>
        <v/>
      </c>
      <c r="G98" s="30">
        <f>IFERROR(IF(ISNUMBER('SW Rev'!K97),'SW Rev'!K97,""),"")</f>
        <v/>
      </c>
      <c r="H98" s="30">
        <f>IFERROR(IF(ISNUMBER('SW Rev'!L97),'SW Rev'!L97,""),"")</f>
        <v/>
      </c>
      <c r="I98" s="30">
        <f>IFERROR(IF(ISNUMBER('SW Rev'!M97),'SW Rev'!M97,""),"")</f>
        <v/>
      </c>
      <c r="J98" s="30">
        <f>IFERROR(IF(ISNUMBER('SW Rev'!N97),'SW Rev'!N97,""),"")</f>
        <v/>
      </c>
      <c r="K98" s="30">
        <f>IFERROR(IF(ISNUMBER('SW Rev'!O97),'SW Rev'!O97,""),"")</f>
        <v/>
      </c>
      <c r="L98" s="30">
        <f>IFERROR(IF(ISNUMBER('SW Rev'!P97),'SW Rev'!P97,""),"")</f>
        <v/>
      </c>
      <c r="M98" s="31">
        <f>IFERROR(IF(ISNUMBER('SW Rev'!Q97),'SW Rev'!Q97,""),"")</f>
        <v/>
      </c>
      <c r="N98" s="31">
        <f>IFERROR(IF(ISNUMBER('SW Rev'!R97),'SW Rev'!R97,""),"")</f>
        <v/>
      </c>
    </row>
    <row r="99">
      <c r="A99" s="19">
        <f>'SW Rev'!$A98</f>
        <v/>
      </c>
      <c r="B99" s="19">
        <f>'SW Rev'!$B98</f>
        <v/>
      </c>
      <c r="C99" s="30">
        <f>IFERROR(IF(ISNUMBER('SW Rev'!G98),'SW Rev'!G98,""),"")</f>
        <v/>
      </c>
      <c r="D99" s="30">
        <f>IFERROR(IF(ISNUMBER('SW Rev'!H98),'SW Rev'!H98,""),"")</f>
        <v/>
      </c>
      <c r="E99" s="30">
        <f>IFERROR(IF(ISNUMBER('SW Rev'!I98),'SW Rev'!I98,""),"")</f>
        <v/>
      </c>
      <c r="F99" s="30">
        <f>IFERROR(IF(ISNUMBER('SW Rev'!J98),'SW Rev'!J98,""),"")</f>
        <v/>
      </c>
      <c r="G99" s="30">
        <f>IFERROR(IF(ISNUMBER('SW Rev'!K98),'SW Rev'!K98,""),"")</f>
        <v/>
      </c>
      <c r="H99" s="30">
        <f>IFERROR(IF(ISNUMBER('SW Rev'!L98),'SW Rev'!L98,""),"")</f>
        <v/>
      </c>
      <c r="I99" s="30">
        <f>IFERROR(IF(ISNUMBER('SW Rev'!M98),'SW Rev'!M98,""),"")</f>
        <v/>
      </c>
      <c r="J99" s="30">
        <f>IFERROR(IF(ISNUMBER('SW Rev'!N98),'SW Rev'!N98,""),"")</f>
        <v/>
      </c>
      <c r="K99" s="30">
        <f>IFERROR(IF(ISNUMBER('SW Rev'!O98),'SW Rev'!O98,""),"")</f>
        <v/>
      </c>
      <c r="L99" s="30">
        <f>IFERROR(IF(ISNUMBER('SW Rev'!P98),'SW Rev'!P98,""),"")</f>
        <v/>
      </c>
      <c r="M99" s="31">
        <f>IFERROR(IF(ISNUMBER('SW Rev'!Q98),'SW Rev'!Q98,""),"")</f>
        <v/>
      </c>
      <c r="N99" s="31">
        <f>IFERROR(IF(ISNUMBER('SW Rev'!R98),'SW Rev'!R98,""),"")</f>
        <v/>
      </c>
    </row>
    <row r="100">
      <c r="A100" s="19">
        <f>'SW Rev'!$A99</f>
        <v/>
      </c>
      <c r="B100" s="19">
        <f>'SW Rev'!$B99</f>
        <v/>
      </c>
      <c r="C100" s="30">
        <f>IFERROR(IF(ISNUMBER('SW Rev'!G99),'SW Rev'!G99,""),"")</f>
        <v/>
      </c>
      <c r="D100" s="30">
        <f>IFERROR(IF(ISNUMBER('SW Rev'!H99),'SW Rev'!H99,""),"")</f>
        <v/>
      </c>
      <c r="E100" s="30">
        <f>IFERROR(IF(ISNUMBER('SW Rev'!I99),'SW Rev'!I99,""),"")</f>
        <v/>
      </c>
      <c r="F100" s="30">
        <f>IFERROR(IF(ISNUMBER('SW Rev'!J99),'SW Rev'!J99,""),"")</f>
        <v/>
      </c>
      <c r="G100" s="30">
        <f>IFERROR(IF(ISNUMBER('SW Rev'!K99),'SW Rev'!K99,""),"")</f>
        <v/>
      </c>
      <c r="H100" s="30">
        <f>IFERROR(IF(ISNUMBER('SW Rev'!L99),'SW Rev'!L99,""),"")</f>
        <v/>
      </c>
      <c r="I100" s="30">
        <f>IFERROR(IF(ISNUMBER('SW Rev'!M99),'SW Rev'!M99,""),"")</f>
        <v/>
      </c>
      <c r="J100" s="30">
        <f>IFERROR(IF(ISNUMBER('SW Rev'!N99),'SW Rev'!N99,""),"")</f>
        <v/>
      </c>
      <c r="K100" s="30">
        <f>IFERROR(IF(ISNUMBER('SW Rev'!O99),'SW Rev'!O99,""),"")</f>
        <v/>
      </c>
      <c r="L100" s="30">
        <f>IFERROR(IF(ISNUMBER('SW Rev'!P99),'SW Rev'!P99,""),"")</f>
        <v/>
      </c>
      <c r="M100" s="31">
        <f>IFERROR(IF(ISNUMBER('SW Rev'!Q99),'SW Rev'!Q99,""),"")</f>
        <v/>
      </c>
      <c r="N100" s="31">
        <f>IFERROR(IF(ISNUMBER('SW Rev'!R99),'SW Rev'!R99,""),"")</f>
        <v/>
      </c>
    </row>
    <row r="101">
      <c r="A101" s="19">
        <f>'SW Rev'!$A100</f>
        <v/>
      </c>
      <c r="B101" s="19">
        <f>'SW Rev'!$B100</f>
        <v/>
      </c>
      <c r="C101" s="30">
        <f>IFERROR(IF(ISNUMBER('SW Rev'!G100),'SW Rev'!G100,""),"")</f>
        <v/>
      </c>
      <c r="D101" s="30">
        <f>IFERROR(IF(ISNUMBER('SW Rev'!H100),'SW Rev'!H100,""),"")</f>
        <v/>
      </c>
      <c r="E101" s="30">
        <f>IFERROR(IF(ISNUMBER('SW Rev'!I100),'SW Rev'!I100,""),"")</f>
        <v/>
      </c>
      <c r="F101" s="30">
        <f>IFERROR(IF(ISNUMBER('SW Rev'!J100),'SW Rev'!J100,""),"")</f>
        <v/>
      </c>
      <c r="G101" s="30">
        <f>IFERROR(IF(ISNUMBER('SW Rev'!K100),'SW Rev'!K100,""),"")</f>
        <v/>
      </c>
      <c r="H101" s="30">
        <f>IFERROR(IF(ISNUMBER('SW Rev'!L100),'SW Rev'!L100,""),"")</f>
        <v/>
      </c>
      <c r="I101" s="30">
        <f>IFERROR(IF(ISNUMBER('SW Rev'!M100),'SW Rev'!M100,""),"")</f>
        <v/>
      </c>
      <c r="J101" s="30">
        <f>IFERROR(IF(ISNUMBER('SW Rev'!N100),'SW Rev'!N100,""),"")</f>
        <v/>
      </c>
      <c r="K101" s="30">
        <f>IFERROR(IF(ISNUMBER('SW Rev'!O100),'SW Rev'!O100,""),"")</f>
        <v/>
      </c>
      <c r="L101" s="30">
        <f>IFERROR(IF(ISNUMBER('SW Rev'!P100),'SW Rev'!P100,""),"")</f>
        <v/>
      </c>
      <c r="M101" s="31">
        <f>IFERROR(IF(ISNUMBER('SW Rev'!Q100),'SW Rev'!Q100,""),"")</f>
        <v/>
      </c>
      <c r="N101" s="31">
        <f>IFERROR(IF(ISNUMBER('SW Rev'!R100),'SW Rev'!R100,""),"")</f>
        <v/>
      </c>
    </row>
    <row r="102">
      <c r="A102" s="19">
        <f>'SW Rev'!$A101</f>
        <v/>
      </c>
      <c r="B102" s="19">
        <f>'SW Rev'!$B101</f>
        <v/>
      </c>
      <c r="C102" s="30">
        <f>IFERROR(IF(ISNUMBER('SW Rev'!G101),'SW Rev'!G101,""),"")</f>
        <v/>
      </c>
      <c r="D102" s="30">
        <f>IFERROR(IF(ISNUMBER('SW Rev'!H101),'SW Rev'!H101,""),"")</f>
        <v/>
      </c>
      <c r="E102" s="30">
        <f>IFERROR(IF(ISNUMBER('SW Rev'!I101),'SW Rev'!I101,""),"")</f>
        <v/>
      </c>
      <c r="F102" s="30">
        <f>IFERROR(IF(ISNUMBER('SW Rev'!J101),'SW Rev'!J101,""),"")</f>
        <v/>
      </c>
      <c r="G102" s="30">
        <f>IFERROR(IF(ISNUMBER('SW Rev'!K101),'SW Rev'!K101,""),"")</f>
        <v/>
      </c>
      <c r="H102" s="30">
        <f>IFERROR(IF(ISNUMBER('SW Rev'!L101),'SW Rev'!L101,""),"")</f>
        <v/>
      </c>
      <c r="I102" s="30">
        <f>IFERROR(IF(ISNUMBER('SW Rev'!M101),'SW Rev'!M101,""),"")</f>
        <v/>
      </c>
      <c r="J102" s="30">
        <f>IFERROR(IF(ISNUMBER('SW Rev'!N101),'SW Rev'!N101,""),"")</f>
        <v/>
      </c>
      <c r="K102" s="30">
        <f>IFERROR(IF(ISNUMBER('SW Rev'!O101),'SW Rev'!O101,""),"")</f>
        <v/>
      </c>
      <c r="L102" s="30">
        <f>IFERROR(IF(ISNUMBER('SW Rev'!P101),'SW Rev'!P101,""),"")</f>
        <v/>
      </c>
      <c r="M102" s="31">
        <f>IFERROR(IF(ISNUMBER('SW Rev'!Q101),'SW Rev'!Q101,""),"")</f>
        <v/>
      </c>
      <c r="N102" s="31">
        <f>IFERROR(IF(ISNUMBER('SW Rev'!R101),'SW Rev'!R101,""),"")</f>
        <v/>
      </c>
    </row>
    <row r="103">
      <c r="A103" s="19">
        <f>'SW Rev'!$A102</f>
        <v/>
      </c>
      <c r="B103" s="19">
        <f>'SW Rev'!$B102</f>
        <v/>
      </c>
      <c r="C103" s="30">
        <f>IFERROR(IF(ISNUMBER('SW Rev'!G102),'SW Rev'!G102,""),"")</f>
        <v/>
      </c>
      <c r="D103" s="30">
        <f>IFERROR(IF(ISNUMBER('SW Rev'!H102),'SW Rev'!H102,""),"")</f>
        <v/>
      </c>
      <c r="E103" s="30">
        <f>IFERROR(IF(ISNUMBER('SW Rev'!I102),'SW Rev'!I102,""),"")</f>
        <v/>
      </c>
      <c r="F103" s="30">
        <f>IFERROR(IF(ISNUMBER('SW Rev'!J102),'SW Rev'!J102,""),"")</f>
        <v/>
      </c>
      <c r="G103" s="30">
        <f>IFERROR(IF(ISNUMBER('SW Rev'!K102),'SW Rev'!K102,""),"")</f>
        <v/>
      </c>
      <c r="H103" s="30">
        <f>IFERROR(IF(ISNUMBER('SW Rev'!L102),'SW Rev'!L102,""),"")</f>
        <v/>
      </c>
      <c r="I103" s="30">
        <f>IFERROR(IF(ISNUMBER('SW Rev'!M102),'SW Rev'!M102,""),"")</f>
        <v/>
      </c>
      <c r="J103" s="30">
        <f>IFERROR(IF(ISNUMBER('SW Rev'!N102),'SW Rev'!N102,""),"")</f>
        <v/>
      </c>
      <c r="K103" s="30">
        <f>IFERROR(IF(ISNUMBER('SW Rev'!O102),'SW Rev'!O102,""),"")</f>
        <v/>
      </c>
      <c r="L103" s="30">
        <f>IFERROR(IF(ISNUMBER('SW Rev'!P102),'SW Rev'!P102,""),"")</f>
        <v/>
      </c>
      <c r="M103" s="31">
        <f>IFERROR(IF(ISNUMBER('SW Rev'!Q102),'SW Rev'!Q102,""),"")</f>
        <v/>
      </c>
      <c r="N103" s="31">
        <f>IFERROR(IF(ISNUMBER('SW Rev'!R102),'SW Rev'!R102,""),"")</f>
        <v/>
      </c>
    </row>
    <row r="104">
      <c r="A104" s="19">
        <f>'SW Rev'!$A103</f>
        <v/>
      </c>
      <c r="B104" s="19">
        <f>'SW Rev'!$B103</f>
        <v/>
      </c>
      <c r="C104" s="30">
        <f>IFERROR(IF(ISNUMBER('SW Rev'!G103),'SW Rev'!G103,""),"")</f>
        <v/>
      </c>
      <c r="D104" s="30">
        <f>IFERROR(IF(ISNUMBER('SW Rev'!H103),'SW Rev'!H103,""),"")</f>
        <v/>
      </c>
      <c r="E104" s="30">
        <f>IFERROR(IF(ISNUMBER('SW Rev'!I103),'SW Rev'!I103,""),"")</f>
        <v/>
      </c>
      <c r="F104" s="30">
        <f>IFERROR(IF(ISNUMBER('SW Rev'!J103),'SW Rev'!J103,""),"")</f>
        <v/>
      </c>
      <c r="G104" s="30">
        <f>IFERROR(IF(ISNUMBER('SW Rev'!K103),'SW Rev'!K103,""),"")</f>
        <v/>
      </c>
      <c r="H104" s="30">
        <f>IFERROR(IF(ISNUMBER('SW Rev'!L103),'SW Rev'!L103,""),"")</f>
        <v/>
      </c>
      <c r="I104" s="30">
        <f>IFERROR(IF(ISNUMBER('SW Rev'!M103),'SW Rev'!M103,""),"")</f>
        <v/>
      </c>
      <c r="J104" s="30">
        <f>IFERROR(IF(ISNUMBER('SW Rev'!N103),'SW Rev'!N103,""),"")</f>
        <v/>
      </c>
      <c r="K104" s="30">
        <f>IFERROR(IF(ISNUMBER('SW Rev'!O103),'SW Rev'!O103,""),"")</f>
        <v/>
      </c>
      <c r="L104" s="30">
        <f>IFERROR(IF(ISNUMBER('SW Rev'!P103),'SW Rev'!P103,""),"")</f>
        <v/>
      </c>
      <c r="M104" s="31">
        <f>IFERROR(IF(ISNUMBER('SW Rev'!Q103),'SW Rev'!Q103,""),"")</f>
        <v/>
      </c>
      <c r="N104" s="31">
        <f>IFERROR(IF(ISNUMBER('SW Rev'!R103),'SW Rev'!R103,""),"")</f>
        <v/>
      </c>
    </row>
    <row r="106">
      <c r="A106" s="49" t="inlineStr">
        <is>
          <t>Revenue growth YoY %</t>
        </is>
      </c>
      <c r="B106" s="50" t="n"/>
      <c r="C106" s="50" t="n"/>
      <c r="D106" s="50" t="n"/>
      <c r="E106" s="50" t="n"/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</row>
    <row r="107" ht="28" customHeight="1">
      <c r="A107" s="8" t="inlineStr">
        <is>
          <t>Ticker</t>
        </is>
      </c>
      <c r="B107" s="8" t="inlineStr">
        <is>
          <t>Latest Rpt Qtr</t>
        </is>
      </c>
      <c r="C107" s="8" t="inlineStr">
        <is>
          <t>FPO -9</t>
        </is>
      </c>
      <c r="D107" s="8" t="inlineStr">
        <is>
          <t>FPO -8</t>
        </is>
      </c>
      <c r="E107" s="8" t="inlineStr">
        <is>
          <t>FPO -7</t>
        </is>
      </c>
      <c r="F107" s="8" t="inlineStr">
        <is>
          <t>FPO -6</t>
        </is>
      </c>
      <c r="G107" s="8" t="inlineStr">
        <is>
          <t>FPO -5</t>
        </is>
      </c>
      <c r="H107" s="8" t="inlineStr">
        <is>
          <t>FPO -4</t>
        </is>
      </c>
      <c r="I107" s="8" t="inlineStr">
        <is>
          <t>FPO -3</t>
        </is>
      </c>
      <c r="J107" s="8" t="inlineStr">
        <is>
          <t>FPO -2</t>
        </is>
      </c>
      <c r="K107" s="8" t="inlineStr">
        <is>
          <t>FPO -1</t>
        </is>
      </c>
      <c r="L107" s="8" t="inlineStr">
        <is>
          <t>FPO 0 (latest rpt)</t>
        </is>
      </c>
      <c r="M107" s="8" t="inlineStr">
        <is>
          <t>FPO +1E</t>
        </is>
      </c>
      <c r="N107" s="8" t="inlineStr">
        <is>
          <t>FPO +2E</t>
        </is>
      </c>
    </row>
    <row r="108">
      <c r="A108" s="19">
        <f>'SW Rev'!$A5</f>
        <v/>
      </c>
      <c r="B108" s="19">
        <f>'SW Rev'!$B5</f>
        <v/>
      </c>
      <c r="C108" s="37">
        <f>IFERROR(IF(AND(ISNUMBER('SW Rev'!G5),ISNUMBER('SW Rev'!C5),'SW Rev'!C5&gt;0),'SW Rev'!G5/'SW Rev'!C5-1,""),"")</f>
        <v/>
      </c>
      <c r="D108" s="37">
        <f>IFERROR(IF(AND(ISNUMBER('SW Rev'!H5),ISNUMBER('SW Rev'!D5),'SW Rev'!D5&gt;0),'SW Rev'!H5/'SW Rev'!D5-1,""),"")</f>
        <v/>
      </c>
      <c r="E108" s="37">
        <f>IFERROR(IF(AND(ISNUMBER('SW Rev'!I5),ISNUMBER('SW Rev'!E5),'SW Rev'!E5&gt;0),'SW Rev'!I5/'SW Rev'!E5-1,""),"")</f>
        <v/>
      </c>
      <c r="F108" s="37">
        <f>IFERROR(IF(AND(ISNUMBER('SW Rev'!J5),ISNUMBER('SW Rev'!F5),'SW Rev'!F5&gt;0),'SW Rev'!J5/'SW Rev'!F5-1,""),"")</f>
        <v/>
      </c>
      <c r="G108" s="37">
        <f>IFERROR(IF(AND(ISNUMBER('SW Rev'!K5),ISNUMBER('SW Rev'!G5),'SW Rev'!G5&gt;0),'SW Rev'!K5/'SW Rev'!G5-1,""),"")</f>
        <v/>
      </c>
      <c r="H108" s="37">
        <f>IFERROR(IF(AND(ISNUMBER('SW Rev'!L5),ISNUMBER('SW Rev'!H5),'SW Rev'!H5&gt;0),'SW Rev'!L5/'SW Rev'!H5-1,""),"")</f>
        <v/>
      </c>
      <c r="I108" s="37">
        <f>IFERROR(IF(AND(ISNUMBER('SW Rev'!M5),ISNUMBER('SW Rev'!I5),'SW Rev'!I5&gt;0),'SW Rev'!M5/'SW Rev'!I5-1,""),"")</f>
        <v/>
      </c>
      <c r="J108" s="37">
        <f>IFERROR(IF(AND(ISNUMBER('SW Rev'!N5),ISNUMBER('SW Rev'!J5),'SW Rev'!J5&gt;0),'SW Rev'!N5/'SW Rev'!J5-1,""),"")</f>
        <v/>
      </c>
      <c r="K108" s="37">
        <f>IFERROR(IF(AND(ISNUMBER('SW Rev'!O5),ISNUMBER('SW Rev'!K5),'SW Rev'!K5&gt;0),'SW Rev'!O5/'SW Rev'!K5-1,""),"")</f>
        <v/>
      </c>
      <c r="L108" s="37">
        <f>IFERROR(IF(AND(ISNUMBER('SW Rev'!P5),ISNUMBER('SW Rev'!L5),'SW Rev'!L5&gt;0),'SW Rev'!P5/'SW Rev'!L5-1,""),"")</f>
        <v/>
      </c>
      <c r="M108" s="38">
        <f>IFERROR(IF(AND(ISNUMBER('SW Rev'!Q5),ISNUMBER('SW Rev'!M5),'SW Rev'!M5&gt;0),'SW Rev'!Q5/'SW Rev'!M5-1,""),"")</f>
        <v/>
      </c>
      <c r="N108" s="38">
        <f>IFERROR(IF(AND(ISNUMBER('SW Rev'!R5),ISNUMBER('SW Rev'!N5),'SW Rev'!N5&gt;0),'SW Rev'!R5/'SW Rev'!N5-1,""),"")</f>
        <v/>
      </c>
    </row>
    <row r="109">
      <c r="A109" s="19">
        <f>'SW Rev'!$A6</f>
        <v/>
      </c>
      <c r="B109" s="19">
        <f>'SW Rev'!$B6</f>
        <v/>
      </c>
      <c r="C109" s="37">
        <f>IFERROR(IF(AND(ISNUMBER('SW Rev'!G6),ISNUMBER('SW Rev'!C6),'SW Rev'!C6&gt;0),'SW Rev'!G6/'SW Rev'!C6-1,""),"")</f>
        <v/>
      </c>
      <c r="D109" s="37">
        <f>IFERROR(IF(AND(ISNUMBER('SW Rev'!H6),ISNUMBER('SW Rev'!D6),'SW Rev'!D6&gt;0),'SW Rev'!H6/'SW Rev'!D6-1,""),"")</f>
        <v/>
      </c>
      <c r="E109" s="37">
        <f>IFERROR(IF(AND(ISNUMBER('SW Rev'!I6),ISNUMBER('SW Rev'!E6),'SW Rev'!E6&gt;0),'SW Rev'!I6/'SW Rev'!E6-1,""),"")</f>
        <v/>
      </c>
      <c r="F109" s="37">
        <f>IFERROR(IF(AND(ISNUMBER('SW Rev'!J6),ISNUMBER('SW Rev'!F6),'SW Rev'!F6&gt;0),'SW Rev'!J6/'SW Rev'!F6-1,""),"")</f>
        <v/>
      </c>
      <c r="G109" s="37">
        <f>IFERROR(IF(AND(ISNUMBER('SW Rev'!K6),ISNUMBER('SW Rev'!G6),'SW Rev'!G6&gt;0),'SW Rev'!K6/'SW Rev'!G6-1,""),"")</f>
        <v/>
      </c>
      <c r="H109" s="37">
        <f>IFERROR(IF(AND(ISNUMBER('SW Rev'!L6),ISNUMBER('SW Rev'!H6),'SW Rev'!H6&gt;0),'SW Rev'!L6/'SW Rev'!H6-1,""),"")</f>
        <v/>
      </c>
      <c r="I109" s="37">
        <f>IFERROR(IF(AND(ISNUMBER('SW Rev'!M6),ISNUMBER('SW Rev'!I6),'SW Rev'!I6&gt;0),'SW Rev'!M6/'SW Rev'!I6-1,""),"")</f>
        <v/>
      </c>
      <c r="J109" s="37">
        <f>IFERROR(IF(AND(ISNUMBER('SW Rev'!N6),ISNUMBER('SW Rev'!J6),'SW Rev'!J6&gt;0),'SW Rev'!N6/'SW Rev'!J6-1,""),"")</f>
        <v/>
      </c>
      <c r="K109" s="37">
        <f>IFERROR(IF(AND(ISNUMBER('SW Rev'!O6),ISNUMBER('SW Rev'!K6),'SW Rev'!K6&gt;0),'SW Rev'!O6/'SW Rev'!K6-1,""),"")</f>
        <v/>
      </c>
      <c r="L109" s="37">
        <f>IFERROR(IF(AND(ISNUMBER('SW Rev'!P6),ISNUMBER('SW Rev'!L6),'SW Rev'!L6&gt;0),'SW Rev'!P6/'SW Rev'!L6-1,""),"")</f>
        <v/>
      </c>
      <c r="M109" s="38">
        <f>IFERROR(IF(AND(ISNUMBER('SW Rev'!Q6),ISNUMBER('SW Rev'!M6),'SW Rev'!M6&gt;0),'SW Rev'!Q6/'SW Rev'!M6-1,""),"")</f>
        <v/>
      </c>
      <c r="N109" s="38">
        <f>IFERROR(IF(AND(ISNUMBER('SW Rev'!R6),ISNUMBER('SW Rev'!N6),'SW Rev'!N6&gt;0),'SW Rev'!R6/'SW Rev'!N6-1,""),"")</f>
        <v/>
      </c>
    </row>
    <row r="110">
      <c r="A110" s="19">
        <f>'SW Rev'!$A7</f>
        <v/>
      </c>
      <c r="B110" s="19">
        <f>'SW Rev'!$B7</f>
        <v/>
      </c>
      <c r="C110" s="37">
        <f>IFERROR(IF(AND(ISNUMBER('SW Rev'!G7),ISNUMBER('SW Rev'!C7),'SW Rev'!C7&gt;0),'SW Rev'!G7/'SW Rev'!C7-1,""),"")</f>
        <v/>
      </c>
      <c r="D110" s="37">
        <f>IFERROR(IF(AND(ISNUMBER('SW Rev'!H7),ISNUMBER('SW Rev'!D7),'SW Rev'!D7&gt;0),'SW Rev'!H7/'SW Rev'!D7-1,""),"")</f>
        <v/>
      </c>
      <c r="E110" s="37">
        <f>IFERROR(IF(AND(ISNUMBER('SW Rev'!I7),ISNUMBER('SW Rev'!E7),'SW Rev'!E7&gt;0),'SW Rev'!I7/'SW Rev'!E7-1,""),"")</f>
        <v/>
      </c>
      <c r="F110" s="37">
        <f>IFERROR(IF(AND(ISNUMBER('SW Rev'!J7),ISNUMBER('SW Rev'!F7),'SW Rev'!F7&gt;0),'SW Rev'!J7/'SW Rev'!F7-1,""),"")</f>
        <v/>
      </c>
      <c r="G110" s="37">
        <f>IFERROR(IF(AND(ISNUMBER('SW Rev'!K7),ISNUMBER('SW Rev'!G7),'SW Rev'!G7&gt;0),'SW Rev'!K7/'SW Rev'!G7-1,""),"")</f>
        <v/>
      </c>
      <c r="H110" s="37">
        <f>IFERROR(IF(AND(ISNUMBER('SW Rev'!L7),ISNUMBER('SW Rev'!H7),'SW Rev'!H7&gt;0),'SW Rev'!L7/'SW Rev'!H7-1,""),"")</f>
        <v/>
      </c>
      <c r="I110" s="37">
        <f>IFERROR(IF(AND(ISNUMBER('SW Rev'!M7),ISNUMBER('SW Rev'!I7),'SW Rev'!I7&gt;0),'SW Rev'!M7/'SW Rev'!I7-1,""),"")</f>
        <v/>
      </c>
      <c r="J110" s="37">
        <f>IFERROR(IF(AND(ISNUMBER('SW Rev'!N7),ISNUMBER('SW Rev'!J7),'SW Rev'!J7&gt;0),'SW Rev'!N7/'SW Rev'!J7-1,""),"")</f>
        <v/>
      </c>
      <c r="K110" s="37">
        <f>IFERROR(IF(AND(ISNUMBER('SW Rev'!O7),ISNUMBER('SW Rev'!K7),'SW Rev'!K7&gt;0),'SW Rev'!O7/'SW Rev'!K7-1,""),"")</f>
        <v/>
      </c>
      <c r="L110" s="37">
        <f>IFERROR(IF(AND(ISNUMBER('SW Rev'!P7),ISNUMBER('SW Rev'!L7),'SW Rev'!L7&gt;0),'SW Rev'!P7/'SW Rev'!L7-1,""),"")</f>
        <v/>
      </c>
      <c r="M110" s="38">
        <f>IFERROR(IF(AND(ISNUMBER('SW Rev'!Q7),ISNUMBER('SW Rev'!M7),'SW Rev'!M7&gt;0),'SW Rev'!Q7/'SW Rev'!M7-1,""),"")</f>
        <v/>
      </c>
      <c r="N110" s="38">
        <f>IFERROR(IF(AND(ISNUMBER('SW Rev'!R7),ISNUMBER('SW Rev'!N7),'SW Rev'!N7&gt;0),'SW Rev'!R7/'SW Rev'!N7-1,""),"")</f>
        <v/>
      </c>
    </row>
    <row r="111">
      <c r="A111" s="19">
        <f>'SW Rev'!$A8</f>
        <v/>
      </c>
      <c r="B111" s="19">
        <f>'SW Rev'!$B8</f>
        <v/>
      </c>
      <c r="C111" s="37">
        <f>IFERROR(IF(AND(ISNUMBER('SW Rev'!G8),ISNUMBER('SW Rev'!C8),'SW Rev'!C8&gt;0),'SW Rev'!G8/'SW Rev'!C8-1,""),"")</f>
        <v/>
      </c>
      <c r="D111" s="37">
        <f>IFERROR(IF(AND(ISNUMBER('SW Rev'!H8),ISNUMBER('SW Rev'!D8),'SW Rev'!D8&gt;0),'SW Rev'!H8/'SW Rev'!D8-1,""),"")</f>
        <v/>
      </c>
      <c r="E111" s="37">
        <f>IFERROR(IF(AND(ISNUMBER('SW Rev'!I8),ISNUMBER('SW Rev'!E8),'SW Rev'!E8&gt;0),'SW Rev'!I8/'SW Rev'!E8-1,""),"")</f>
        <v/>
      </c>
      <c r="F111" s="37">
        <f>IFERROR(IF(AND(ISNUMBER('SW Rev'!J8),ISNUMBER('SW Rev'!F8),'SW Rev'!F8&gt;0),'SW Rev'!J8/'SW Rev'!F8-1,""),"")</f>
        <v/>
      </c>
      <c r="G111" s="37">
        <f>IFERROR(IF(AND(ISNUMBER('SW Rev'!K8),ISNUMBER('SW Rev'!G8),'SW Rev'!G8&gt;0),'SW Rev'!K8/'SW Rev'!G8-1,""),"")</f>
        <v/>
      </c>
      <c r="H111" s="37">
        <f>IFERROR(IF(AND(ISNUMBER('SW Rev'!L8),ISNUMBER('SW Rev'!H8),'SW Rev'!H8&gt;0),'SW Rev'!L8/'SW Rev'!H8-1,""),"")</f>
        <v/>
      </c>
      <c r="I111" s="37">
        <f>IFERROR(IF(AND(ISNUMBER('SW Rev'!M8),ISNUMBER('SW Rev'!I8),'SW Rev'!I8&gt;0),'SW Rev'!M8/'SW Rev'!I8-1,""),"")</f>
        <v/>
      </c>
      <c r="J111" s="37">
        <f>IFERROR(IF(AND(ISNUMBER('SW Rev'!N8),ISNUMBER('SW Rev'!J8),'SW Rev'!J8&gt;0),'SW Rev'!N8/'SW Rev'!J8-1,""),"")</f>
        <v/>
      </c>
      <c r="K111" s="37">
        <f>IFERROR(IF(AND(ISNUMBER('SW Rev'!O8),ISNUMBER('SW Rev'!K8),'SW Rev'!K8&gt;0),'SW Rev'!O8/'SW Rev'!K8-1,""),"")</f>
        <v/>
      </c>
      <c r="L111" s="37">
        <f>IFERROR(IF(AND(ISNUMBER('SW Rev'!P8),ISNUMBER('SW Rev'!L8),'SW Rev'!L8&gt;0),'SW Rev'!P8/'SW Rev'!L8-1,""),"")</f>
        <v/>
      </c>
      <c r="M111" s="38">
        <f>IFERROR(IF(AND(ISNUMBER('SW Rev'!Q8),ISNUMBER('SW Rev'!M8),'SW Rev'!M8&gt;0),'SW Rev'!Q8/'SW Rev'!M8-1,""),"")</f>
        <v/>
      </c>
      <c r="N111" s="38">
        <f>IFERROR(IF(AND(ISNUMBER('SW Rev'!R8),ISNUMBER('SW Rev'!N8),'SW Rev'!N8&gt;0),'SW Rev'!R8/'SW Rev'!N8-1,""),"")</f>
        <v/>
      </c>
    </row>
    <row r="112">
      <c r="A112" s="19">
        <f>'SW Rev'!$A9</f>
        <v/>
      </c>
      <c r="B112" s="19">
        <f>'SW Rev'!$B9</f>
        <v/>
      </c>
      <c r="C112" s="37">
        <f>IFERROR(IF(AND(ISNUMBER('SW Rev'!G9),ISNUMBER('SW Rev'!C9),'SW Rev'!C9&gt;0),'SW Rev'!G9/'SW Rev'!C9-1,""),"")</f>
        <v/>
      </c>
      <c r="D112" s="37">
        <f>IFERROR(IF(AND(ISNUMBER('SW Rev'!H9),ISNUMBER('SW Rev'!D9),'SW Rev'!D9&gt;0),'SW Rev'!H9/'SW Rev'!D9-1,""),"")</f>
        <v/>
      </c>
      <c r="E112" s="37">
        <f>IFERROR(IF(AND(ISNUMBER('SW Rev'!I9),ISNUMBER('SW Rev'!E9),'SW Rev'!E9&gt;0),'SW Rev'!I9/'SW Rev'!E9-1,""),"")</f>
        <v/>
      </c>
      <c r="F112" s="37">
        <f>IFERROR(IF(AND(ISNUMBER('SW Rev'!J9),ISNUMBER('SW Rev'!F9),'SW Rev'!F9&gt;0),'SW Rev'!J9/'SW Rev'!F9-1,""),"")</f>
        <v/>
      </c>
      <c r="G112" s="37">
        <f>IFERROR(IF(AND(ISNUMBER('SW Rev'!K9),ISNUMBER('SW Rev'!G9),'SW Rev'!G9&gt;0),'SW Rev'!K9/'SW Rev'!G9-1,""),"")</f>
        <v/>
      </c>
      <c r="H112" s="37">
        <f>IFERROR(IF(AND(ISNUMBER('SW Rev'!L9),ISNUMBER('SW Rev'!H9),'SW Rev'!H9&gt;0),'SW Rev'!L9/'SW Rev'!H9-1,""),"")</f>
        <v/>
      </c>
      <c r="I112" s="37">
        <f>IFERROR(IF(AND(ISNUMBER('SW Rev'!M9),ISNUMBER('SW Rev'!I9),'SW Rev'!I9&gt;0),'SW Rev'!M9/'SW Rev'!I9-1,""),"")</f>
        <v/>
      </c>
      <c r="J112" s="37">
        <f>IFERROR(IF(AND(ISNUMBER('SW Rev'!N9),ISNUMBER('SW Rev'!J9),'SW Rev'!J9&gt;0),'SW Rev'!N9/'SW Rev'!J9-1,""),"")</f>
        <v/>
      </c>
      <c r="K112" s="37">
        <f>IFERROR(IF(AND(ISNUMBER('SW Rev'!O9),ISNUMBER('SW Rev'!K9),'SW Rev'!K9&gt;0),'SW Rev'!O9/'SW Rev'!K9-1,""),"")</f>
        <v/>
      </c>
      <c r="L112" s="37">
        <f>IFERROR(IF(AND(ISNUMBER('SW Rev'!P9),ISNUMBER('SW Rev'!L9),'SW Rev'!L9&gt;0),'SW Rev'!P9/'SW Rev'!L9-1,""),"")</f>
        <v/>
      </c>
      <c r="M112" s="38">
        <f>IFERROR(IF(AND(ISNUMBER('SW Rev'!Q9),ISNUMBER('SW Rev'!M9),'SW Rev'!M9&gt;0),'SW Rev'!Q9/'SW Rev'!M9-1,""),"")</f>
        <v/>
      </c>
      <c r="N112" s="38">
        <f>IFERROR(IF(AND(ISNUMBER('SW Rev'!R9),ISNUMBER('SW Rev'!N9),'SW Rev'!N9&gt;0),'SW Rev'!R9/'SW Rev'!N9-1,""),"")</f>
        <v/>
      </c>
    </row>
    <row r="113">
      <c r="A113" s="19">
        <f>'SW Rev'!$A10</f>
        <v/>
      </c>
      <c r="B113" s="19">
        <f>'SW Rev'!$B10</f>
        <v/>
      </c>
      <c r="C113" s="37">
        <f>IFERROR(IF(AND(ISNUMBER('SW Rev'!G10),ISNUMBER('SW Rev'!C10),'SW Rev'!C10&gt;0),'SW Rev'!G10/'SW Rev'!C10-1,""),"")</f>
        <v/>
      </c>
      <c r="D113" s="37">
        <f>IFERROR(IF(AND(ISNUMBER('SW Rev'!H10),ISNUMBER('SW Rev'!D10),'SW Rev'!D10&gt;0),'SW Rev'!H10/'SW Rev'!D10-1,""),"")</f>
        <v/>
      </c>
      <c r="E113" s="37">
        <f>IFERROR(IF(AND(ISNUMBER('SW Rev'!I10),ISNUMBER('SW Rev'!E10),'SW Rev'!E10&gt;0),'SW Rev'!I10/'SW Rev'!E10-1,""),"")</f>
        <v/>
      </c>
      <c r="F113" s="37">
        <f>IFERROR(IF(AND(ISNUMBER('SW Rev'!J10),ISNUMBER('SW Rev'!F10),'SW Rev'!F10&gt;0),'SW Rev'!J10/'SW Rev'!F10-1,""),"")</f>
        <v/>
      </c>
      <c r="G113" s="37">
        <f>IFERROR(IF(AND(ISNUMBER('SW Rev'!K10),ISNUMBER('SW Rev'!G10),'SW Rev'!G10&gt;0),'SW Rev'!K10/'SW Rev'!G10-1,""),"")</f>
        <v/>
      </c>
      <c r="H113" s="37">
        <f>IFERROR(IF(AND(ISNUMBER('SW Rev'!L10),ISNUMBER('SW Rev'!H10),'SW Rev'!H10&gt;0),'SW Rev'!L10/'SW Rev'!H10-1,""),"")</f>
        <v/>
      </c>
      <c r="I113" s="37">
        <f>IFERROR(IF(AND(ISNUMBER('SW Rev'!M10),ISNUMBER('SW Rev'!I10),'SW Rev'!I10&gt;0),'SW Rev'!M10/'SW Rev'!I10-1,""),"")</f>
        <v/>
      </c>
      <c r="J113" s="37">
        <f>IFERROR(IF(AND(ISNUMBER('SW Rev'!N10),ISNUMBER('SW Rev'!J10),'SW Rev'!J10&gt;0),'SW Rev'!N10/'SW Rev'!J10-1,""),"")</f>
        <v/>
      </c>
      <c r="K113" s="37">
        <f>IFERROR(IF(AND(ISNUMBER('SW Rev'!O10),ISNUMBER('SW Rev'!K10),'SW Rev'!K10&gt;0),'SW Rev'!O10/'SW Rev'!K10-1,""),"")</f>
        <v/>
      </c>
      <c r="L113" s="37">
        <f>IFERROR(IF(AND(ISNUMBER('SW Rev'!P10),ISNUMBER('SW Rev'!L10),'SW Rev'!L10&gt;0),'SW Rev'!P10/'SW Rev'!L10-1,""),"")</f>
        <v/>
      </c>
      <c r="M113" s="38">
        <f>IFERROR(IF(AND(ISNUMBER('SW Rev'!Q10),ISNUMBER('SW Rev'!M10),'SW Rev'!M10&gt;0),'SW Rev'!Q10/'SW Rev'!M10-1,""),"")</f>
        <v/>
      </c>
      <c r="N113" s="38">
        <f>IFERROR(IF(AND(ISNUMBER('SW Rev'!R10),ISNUMBER('SW Rev'!N10),'SW Rev'!N10&gt;0),'SW Rev'!R10/'SW Rev'!N10-1,""),"")</f>
        <v/>
      </c>
    </row>
    <row r="114">
      <c r="A114" s="19">
        <f>'SW Rev'!$A11</f>
        <v/>
      </c>
      <c r="B114" s="19">
        <f>'SW Rev'!$B11</f>
        <v/>
      </c>
      <c r="C114" s="37">
        <f>IFERROR(IF(AND(ISNUMBER('SW Rev'!G11),ISNUMBER('SW Rev'!C11),'SW Rev'!C11&gt;0),'SW Rev'!G11/'SW Rev'!C11-1,""),"")</f>
        <v/>
      </c>
      <c r="D114" s="37">
        <f>IFERROR(IF(AND(ISNUMBER('SW Rev'!H11),ISNUMBER('SW Rev'!D11),'SW Rev'!D11&gt;0),'SW Rev'!H11/'SW Rev'!D11-1,""),"")</f>
        <v/>
      </c>
      <c r="E114" s="37">
        <f>IFERROR(IF(AND(ISNUMBER('SW Rev'!I11),ISNUMBER('SW Rev'!E11),'SW Rev'!E11&gt;0),'SW Rev'!I11/'SW Rev'!E11-1,""),"")</f>
        <v/>
      </c>
      <c r="F114" s="37">
        <f>IFERROR(IF(AND(ISNUMBER('SW Rev'!J11),ISNUMBER('SW Rev'!F11),'SW Rev'!F11&gt;0),'SW Rev'!J11/'SW Rev'!F11-1,""),"")</f>
        <v/>
      </c>
      <c r="G114" s="37">
        <f>IFERROR(IF(AND(ISNUMBER('SW Rev'!K11),ISNUMBER('SW Rev'!G11),'SW Rev'!G11&gt;0),'SW Rev'!K11/'SW Rev'!G11-1,""),"")</f>
        <v/>
      </c>
      <c r="H114" s="37">
        <f>IFERROR(IF(AND(ISNUMBER('SW Rev'!L11),ISNUMBER('SW Rev'!H11),'SW Rev'!H11&gt;0),'SW Rev'!L11/'SW Rev'!H11-1,""),"")</f>
        <v/>
      </c>
      <c r="I114" s="37">
        <f>IFERROR(IF(AND(ISNUMBER('SW Rev'!M11),ISNUMBER('SW Rev'!I11),'SW Rev'!I11&gt;0),'SW Rev'!M11/'SW Rev'!I11-1,""),"")</f>
        <v/>
      </c>
      <c r="J114" s="37">
        <f>IFERROR(IF(AND(ISNUMBER('SW Rev'!N11),ISNUMBER('SW Rev'!J11),'SW Rev'!J11&gt;0),'SW Rev'!N11/'SW Rev'!J11-1,""),"")</f>
        <v/>
      </c>
      <c r="K114" s="37">
        <f>IFERROR(IF(AND(ISNUMBER('SW Rev'!O11),ISNUMBER('SW Rev'!K11),'SW Rev'!K11&gt;0),'SW Rev'!O11/'SW Rev'!K11-1,""),"")</f>
        <v/>
      </c>
      <c r="L114" s="37">
        <f>IFERROR(IF(AND(ISNUMBER('SW Rev'!P11),ISNUMBER('SW Rev'!L11),'SW Rev'!L11&gt;0),'SW Rev'!P11/'SW Rev'!L11-1,""),"")</f>
        <v/>
      </c>
      <c r="M114" s="38">
        <f>IFERROR(IF(AND(ISNUMBER('SW Rev'!Q11),ISNUMBER('SW Rev'!M11),'SW Rev'!M11&gt;0),'SW Rev'!Q11/'SW Rev'!M11-1,""),"")</f>
        <v/>
      </c>
      <c r="N114" s="38">
        <f>IFERROR(IF(AND(ISNUMBER('SW Rev'!R11),ISNUMBER('SW Rev'!N11),'SW Rev'!N11&gt;0),'SW Rev'!R11/'SW Rev'!N11-1,""),"")</f>
        <v/>
      </c>
    </row>
    <row r="115">
      <c r="A115" s="19">
        <f>'SW Rev'!$A12</f>
        <v/>
      </c>
      <c r="B115" s="19">
        <f>'SW Rev'!$B12</f>
        <v/>
      </c>
      <c r="C115" s="37">
        <f>IFERROR(IF(AND(ISNUMBER('SW Rev'!G12),ISNUMBER('SW Rev'!C12),'SW Rev'!C12&gt;0),'SW Rev'!G12/'SW Rev'!C12-1,""),"")</f>
        <v/>
      </c>
      <c r="D115" s="37">
        <f>IFERROR(IF(AND(ISNUMBER('SW Rev'!H12),ISNUMBER('SW Rev'!D12),'SW Rev'!D12&gt;0),'SW Rev'!H12/'SW Rev'!D12-1,""),"")</f>
        <v/>
      </c>
      <c r="E115" s="37">
        <f>IFERROR(IF(AND(ISNUMBER('SW Rev'!I12),ISNUMBER('SW Rev'!E12),'SW Rev'!E12&gt;0),'SW Rev'!I12/'SW Rev'!E12-1,""),"")</f>
        <v/>
      </c>
      <c r="F115" s="37">
        <f>IFERROR(IF(AND(ISNUMBER('SW Rev'!J12),ISNUMBER('SW Rev'!F12),'SW Rev'!F12&gt;0),'SW Rev'!J12/'SW Rev'!F12-1,""),"")</f>
        <v/>
      </c>
      <c r="G115" s="37">
        <f>IFERROR(IF(AND(ISNUMBER('SW Rev'!K12),ISNUMBER('SW Rev'!G12),'SW Rev'!G12&gt;0),'SW Rev'!K12/'SW Rev'!G12-1,""),"")</f>
        <v/>
      </c>
      <c r="H115" s="37">
        <f>IFERROR(IF(AND(ISNUMBER('SW Rev'!L12),ISNUMBER('SW Rev'!H12),'SW Rev'!H12&gt;0),'SW Rev'!L12/'SW Rev'!H12-1,""),"")</f>
        <v/>
      </c>
      <c r="I115" s="37">
        <f>IFERROR(IF(AND(ISNUMBER('SW Rev'!M12),ISNUMBER('SW Rev'!I12),'SW Rev'!I12&gt;0),'SW Rev'!M12/'SW Rev'!I12-1,""),"")</f>
        <v/>
      </c>
      <c r="J115" s="37">
        <f>IFERROR(IF(AND(ISNUMBER('SW Rev'!N12),ISNUMBER('SW Rev'!J12),'SW Rev'!J12&gt;0),'SW Rev'!N12/'SW Rev'!J12-1,""),"")</f>
        <v/>
      </c>
      <c r="K115" s="37">
        <f>IFERROR(IF(AND(ISNUMBER('SW Rev'!O12),ISNUMBER('SW Rev'!K12),'SW Rev'!K12&gt;0),'SW Rev'!O12/'SW Rev'!K12-1,""),"")</f>
        <v/>
      </c>
      <c r="L115" s="37">
        <f>IFERROR(IF(AND(ISNUMBER('SW Rev'!P12),ISNUMBER('SW Rev'!L12),'SW Rev'!L12&gt;0),'SW Rev'!P12/'SW Rev'!L12-1,""),"")</f>
        <v/>
      </c>
      <c r="M115" s="38">
        <f>IFERROR(IF(AND(ISNUMBER('SW Rev'!Q12),ISNUMBER('SW Rev'!M12),'SW Rev'!M12&gt;0),'SW Rev'!Q12/'SW Rev'!M12-1,""),"")</f>
        <v/>
      </c>
      <c r="N115" s="38">
        <f>IFERROR(IF(AND(ISNUMBER('SW Rev'!R12),ISNUMBER('SW Rev'!N12),'SW Rev'!N12&gt;0),'SW Rev'!R12/'SW Rev'!N12-1,""),"")</f>
        <v/>
      </c>
    </row>
    <row r="116">
      <c r="A116" s="19">
        <f>'SW Rev'!$A13</f>
        <v/>
      </c>
      <c r="B116" s="19">
        <f>'SW Rev'!$B13</f>
        <v/>
      </c>
      <c r="C116" s="37">
        <f>IFERROR(IF(AND(ISNUMBER('SW Rev'!G13),ISNUMBER('SW Rev'!C13),'SW Rev'!C13&gt;0),'SW Rev'!G13/'SW Rev'!C13-1,""),"")</f>
        <v/>
      </c>
      <c r="D116" s="37">
        <f>IFERROR(IF(AND(ISNUMBER('SW Rev'!H13),ISNUMBER('SW Rev'!D13),'SW Rev'!D13&gt;0),'SW Rev'!H13/'SW Rev'!D13-1,""),"")</f>
        <v/>
      </c>
      <c r="E116" s="37">
        <f>IFERROR(IF(AND(ISNUMBER('SW Rev'!I13),ISNUMBER('SW Rev'!E13),'SW Rev'!E13&gt;0),'SW Rev'!I13/'SW Rev'!E13-1,""),"")</f>
        <v/>
      </c>
      <c r="F116" s="37">
        <f>IFERROR(IF(AND(ISNUMBER('SW Rev'!J13),ISNUMBER('SW Rev'!F13),'SW Rev'!F13&gt;0),'SW Rev'!J13/'SW Rev'!F13-1,""),"")</f>
        <v/>
      </c>
      <c r="G116" s="37">
        <f>IFERROR(IF(AND(ISNUMBER('SW Rev'!K13),ISNUMBER('SW Rev'!G13),'SW Rev'!G13&gt;0),'SW Rev'!K13/'SW Rev'!G13-1,""),"")</f>
        <v/>
      </c>
      <c r="H116" s="37">
        <f>IFERROR(IF(AND(ISNUMBER('SW Rev'!L13),ISNUMBER('SW Rev'!H13),'SW Rev'!H13&gt;0),'SW Rev'!L13/'SW Rev'!H13-1,""),"")</f>
        <v/>
      </c>
      <c r="I116" s="37">
        <f>IFERROR(IF(AND(ISNUMBER('SW Rev'!M13),ISNUMBER('SW Rev'!I13),'SW Rev'!I13&gt;0),'SW Rev'!M13/'SW Rev'!I13-1,""),"")</f>
        <v/>
      </c>
      <c r="J116" s="37">
        <f>IFERROR(IF(AND(ISNUMBER('SW Rev'!N13),ISNUMBER('SW Rev'!J13),'SW Rev'!J13&gt;0),'SW Rev'!N13/'SW Rev'!J13-1,""),"")</f>
        <v/>
      </c>
      <c r="K116" s="37">
        <f>IFERROR(IF(AND(ISNUMBER('SW Rev'!O13),ISNUMBER('SW Rev'!K13),'SW Rev'!K13&gt;0),'SW Rev'!O13/'SW Rev'!K13-1,""),"")</f>
        <v/>
      </c>
      <c r="L116" s="37">
        <f>IFERROR(IF(AND(ISNUMBER('SW Rev'!P13),ISNUMBER('SW Rev'!L13),'SW Rev'!L13&gt;0),'SW Rev'!P13/'SW Rev'!L13-1,""),"")</f>
        <v/>
      </c>
      <c r="M116" s="38">
        <f>IFERROR(IF(AND(ISNUMBER('SW Rev'!Q13),ISNUMBER('SW Rev'!M13),'SW Rev'!M13&gt;0),'SW Rev'!Q13/'SW Rev'!M13-1,""),"")</f>
        <v/>
      </c>
      <c r="N116" s="38">
        <f>IFERROR(IF(AND(ISNUMBER('SW Rev'!R13),ISNUMBER('SW Rev'!N13),'SW Rev'!N13&gt;0),'SW Rev'!R13/'SW Rev'!N13-1,""),"")</f>
        <v/>
      </c>
    </row>
    <row r="117">
      <c r="A117" s="19">
        <f>'SW Rev'!$A14</f>
        <v/>
      </c>
      <c r="B117" s="19">
        <f>'SW Rev'!$B14</f>
        <v/>
      </c>
      <c r="C117" s="37">
        <f>IFERROR(IF(AND(ISNUMBER('SW Rev'!G14),ISNUMBER('SW Rev'!C14),'SW Rev'!C14&gt;0),'SW Rev'!G14/'SW Rev'!C14-1,""),"")</f>
        <v/>
      </c>
      <c r="D117" s="37">
        <f>IFERROR(IF(AND(ISNUMBER('SW Rev'!H14),ISNUMBER('SW Rev'!D14),'SW Rev'!D14&gt;0),'SW Rev'!H14/'SW Rev'!D14-1,""),"")</f>
        <v/>
      </c>
      <c r="E117" s="37">
        <f>IFERROR(IF(AND(ISNUMBER('SW Rev'!I14),ISNUMBER('SW Rev'!E14),'SW Rev'!E14&gt;0),'SW Rev'!I14/'SW Rev'!E14-1,""),"")</f>
        <v/>
      </c>
      <c r="F117" s="37">
        <f>IFERROR(IF(AND(ISNUMBER('SW Rev'!J14),ISNUMBER('SW Rev'!F14),'SW Rev'!F14&gt;0),'SW Rev'!J14/'SW Rev'!F14-1,""),"")</f>
        <v/>
      </c>
      <c r="G117" s="37">
        <f>IFERROR(IF(AND(ISNUMBER('SW Rev'!K14),ISNUMBER('SW Rev'!G14),'SW Rev'!G14&gt;0),'SW Rev'!K14/'SW Rev'!G14-1,""),"")</f>
        <v/>
      </c>
      <c r="H117" s="37">
        <f>IFERROR(IF(AND(ISNUMBER('SW Rev'!L14),ISNUMBER('SW Rev'!H14),'SW Rev'!H14&gt;0),'SW Rev'!L14/'SW Rev'!H14-1,""),"")</f>
        <v/>
      </c>
      <c r="I117" s="37">
        <f>IFERROR(IF(AND(ISNUMBER('SW Rev'!M14),ISNUMBER('SW Rev'!I14),'SW Rev'!I14&gt;0),'SW Rev'!M14/'SW Rev'!I14-1,""),"")</f>
        <v/>
      </c>
      <c r="J117" s="37">
        <f>IFERROR(IF(AND(ISNUMBER('SW Rev'!N14),ISNUMBER('SW Rev'!J14),'SW Rev'!J14&gt;0),'SW Rev'!N14/'SW Rev'!J14-1,""),"")</f>
        <v/>
      </c>
      <c r="K117" s="37">
        <f>IFERROR(IF(AND(ISNUMBER('SW Rev'!O14),ISNUMBER('SW Rev'!K14),'SW Rev'!K14&gt;0),'SW Rev'!O14/'SW Rev'!K14-1,""),"")</f>
        <v/>
      </c>
      <c r="L117" s="37">
        <f>IFERROR(IF(AND(ISNUMBER('SW Rev'!P14),ISNUMBER('SW Rev'!L14),'SW Rev'!L14&gt;0),'SW Rev'!P14/'SW Rev'!L14-1,""),"")</f>
        <v/>
      </c>
      <c r="M117" s="38">
        <f>IFERROR(IF(AND(ISNUMBER('SW Rev'!Q14),ISNUMBER('SW Rev'!M14),'SW Rev'!M14&gt;0),'SW Rev'!Q14/'SW Rev'!M14-1,""),"")</f>
        <v/>
      </c>
      <c r="N117" s="38">
        <f>IFERROR(IF(AND(ISNUMBER('SW Rev'!R14),ISNUMBER('SW Rev'!N14),'SW Rev'!N14&gt;0),'SW Rev'!R14/'SW Rev'!N14-1,""),"")</f>
        <v/>
      </c>
    </row>
    <row r="118">
      <c r="A118" s="19">
        <f>'SW Rev'!$A15</f>
        <v/>
      </c>
      <c r="B118" s="19">
        <f>'SW Rev'!$B15</f>
        <v/>
      </c>
      <c r="C118" s="37">
        <f>IFERROR(IF(AND(ISNUMBER('SW Rev'!G15),ISNUMBER('SW Rev'!C15),'SW Rev'!C15&gt;0),'SW Rev'!G15/'SW Rev'!C15-1,""),"")</f>
        <v/>
      </c>
      <c r="D118" s="37">
        <f>IFERROR(IF(AND(ISNUMBER('SW Rev'!H15),ISNUMBER('SW Rev'!D15),'SW Rev'!D15&gt;0),'SW Rev'!H15/'SW Rev'!D15-1,""),"")</f>
        <v/>
      </c>
      <c r="E118" s="37">
        <f>IFERROR(IF(AND(ISNUMBER('SW Rev'!I15),ISNUMBER('SW Rev'!E15),'SW Rev'!E15&gt;0),'SW Rev'!I15/'SW Rev'!E15-1,""),"")</f>
        <v/>
      </c>
      <c r="F118" s="37">
        <f>IFERROR(IF(AND(ISNUMBER('SW Rev'!J15),ISNUMBER('SW Rev'!F15),'SW Rev'!F15&gt;0),'SW Rev'!J15/'SW Rev'!F15-1,""),"")</f>
        <v/>
      </c>
      <c r="G118" s="37">
        <f>IFERROR(IF(AND(ISNUMBER('SW Rev'!K15),ISNUMBER('SW Rev'!G15),'SW Rev'!G15&gt;0),'SW Rev'!K15/'SW Rev'!G15-1,""),"")</f>
        <v/>
      </c>
      <c r="H118" s="37">
        <f>IFERROR(IF(AND(ISNUMBER('SW Rev'!L15),ISNUMBER('SW Rev'!H15),'SW Rev'!H15&gt;0),'SW Rev'!L15/'SW Rev'!H15-1,""),"")</f>
        <v/>
      </c>
      <c r="I118" s="37">
        <f>IFERROR(IF(AND(ISNUMBER('SW Rev'!M15),ISNUMBER('SW Rev'!I15),'SW Rev'!I15&gt;0),'SW Rev'!M15/'SW Rev'!I15-1,""),"")</f>
        <v/>
      </c>
      <c r="J118" s="37">
        <f>IFERROR(IF(AND(ISNUMBER('SW Rev'!N15),ISNUMBER('SW Rev'!J15),'SW Rev'!J15&gt;0),'SW Rev'!N15/'SW Rev'!J15-1,""),"")</f>
        <v/>
      </c>
      <c r="K118" s="37">
        <f>IFERROR(IF(AND(ISNUMBER('SW Rev'!O15),ISNUMBER('SW Rev'!K15),'SW Rev'!K15&gt;0),'SW Rev'!O15/'SW Rev'!K15-1,""),"")</f>
        <v/>
      </c>
      <c r="L118" s="37">
        <f>IFERROR(IF(AND(ISNUMBER('SW Rev'!P15),ISNUMBER('SW Rev'!L15),'SW Rev'!L15&gt;0),'SW Rev'!P15/'SW Rev'!L15-1,""),"")</f>
        <v/>
      </c>
      <c r="M118" s="38">
        <f>IFERROR(IF(AND(ISNUMBER('SW Rev'!Q15),ISNUMBER('SW Rev'!M15),'SW Rev'!M15&gt;0),'SW Rev'!Q15/'SW Rev'!M15-1,""),"")</f>
        <v/>
      </c>
      <c r="N118" s="38">
        <f>IFERROR(IF(AND(ISNUMBER('SW Rev'!R15),ISNUMBER('SW Rev'!N15),'SW Rev'!N15&gt;0),'SW Rev'!R15/'SW Rev'!N15-1,""),"")</f>
        <v/>
      </c>
    </row>
    <row r="119">
      <c r="A119" s="19">
        <f>'SW Rev'!$A16</f>
        <v/>
      </c>
      <c r="B119" s="19">
        <f>'SW Rev'!$B16</f>
        <v/>
      </c>
      <c r="C119" s="37">
        <f>IFERROR(IF(AND(ISNUMBER('SW Rev'!G16),ISNUMBER('SW Rev'!C16),'SW Rev'!C16&gt;0),'SW Rev'!G16/'SW Rev'!C16-1,""),"")</f>
        <v/>
      </c>
      <c r="D119" s="37">
        <f>IFERROR(IF(AND(ISNUMBER('SW Rev'!H16),ISNUMBER('SW Rev'!D16),'SW Rev'!D16&gt;0),'SW Rev'!H16/'SW Rev'!D16-1,""),"")</f>
        <v/>
      </c>
      <c r="E119" s="37">
        <f>IFERROR(IF(AND(ISNUMBER('SW Rev'!I16),ISNUMBER('SW Rev'!E16),'SW Rev'!E16&gt;0),'SW Rev'!I16/'SW Rev'!E16-1,""),"")</f>
        <v/>
      </c>
      <c r="F119" s="37">
        <f>IFERROR(IF(AND(ISNUMBER('SW Rev'!J16),ISNUMBER('SW Rev'!F16),'SW Rev'!F16&gt;0),'SW Rev'!J16/'SW Rev'!F16-1,""),"")</f>
        <v/>
      </c>
      <c r="G119" s="37">
        <f>IFERROR(IF(AND(ISNUMBER('SW Rev'!K16),ISNUMBER('SW Rev'!G16),'SW Rev'!G16&gt;0),'SW Rev'!K16/'SW Rev'!G16-1,""),"")</f>
        <v/>
      </c>
      <c r="H119" s="37">
        <f>IFERROR(IF(AND(ISNUMBER('SW Rev'!L16),ISNUMBER('SW Rev'!H16),'SW Rev'!H16&gt;0),'SW Rev'!L16/'SW Rev'!H16-1,""),"")</f>
        <v/>
      </c>
      <c r="I119" s="37">
        <f>IFERROR(IF(AND(ISNUMBER('SW Rev'!M16),ISNUMBER('SW Rev'!I16),'SW Rev'!I16&gt;0),'SW Rev'!M16/'SW Rev'!I16-1,""),"")</f>
        <v/>
      </c>
      <c r="J119" s="37">
        <f>IFERROR(IF(AND(ISNUMBER('SW Rev'!N16),ISNUMBER('SW Rev'!J16),'SW Rev'!J16&gt;0),'SW Rev'!N16/'SW Rev'!J16-1,""),"")</f>
        <v/>
      </c>
      <c r="K119" s="37">
        <f>IFERROR(IF(AND(ISNUMBER('SW Rev'!O16),ISNUMBER('SW Rev'!K16),'SW Rev'!K16&gt;0),'SW Rev'!O16/'SW Rev'!K16-1,""),"")</f>
        <v/>
      </c>
      <c r="L119" s="37">
        <f>IFERROR(IF(AND(ISNUMBER('SW Rev'!P16),ISNUMBER('SW Rev'!L16),'SW Rev'!L16&gt;0),'SW Rev'!P16/'SW Rev'!L16-1,""),"")</f>
        <v/>
      </c>
      <c r="M119" s="38">
        <f>IFERROR(IF(AND(ISNUMBER('SW Rev'!Q16),ISNUMBER('SW Rev'!M16),'SW Rev'!M16&gt;0),'SW Rev'!Q16/'SW Rev'!M16-1,""),"")</f>
        <v/>
      </c>
      <c r="N119" s="38">
        <f>IFERROR(IF(AND(ISNUMBER('SW Rev'!R16),ISNUMBER('SW Rev'!N16),'SW Rev'!N16&gt;0),'SW Rev'!R16/'SW Rev'!N16-1,""),"")</f>
        <v/>
      </c>
    </row>
    <row r="120">
      <c r="A120" s="19">
        <f>'SW Rev'!$A17</f>
        <v/>
      </c>
      <c r="B120" s="19">
        <f>'SW Rev'!$B17</f>
        <v/>
      </c>
      <c r="C120" s="37">
        <f>IFERROR(IF(AND(ISNUMBER('SW Rev'!G17),ISNUMBER('SW Rev'!C17),'SW Rev'!C17&gt;0),'SW Rev'!G17/'SW Rev'!C17-1,""),"")</f>
        <v/>
      </c>
      <c r="D120" s="37">
        <f>IFERROR(IF(AND(ISNUMBER('SW Rev'!H17),ISNUMBER('SW Rev'!D17),'SW Rev'!D17&gt;0),'SW Rev'!H17/'SW Rev'!D17-1,""),"")</f>
        <v/>
      </c>
      <c r="E120" s="37">
        <f>IFERROR(IF(AND(ISNUMBER('SW Rev'!I17),ISNUMBER('SW Rev'!E17),'SW Rev'!E17&gt;0),'SW Rev'!I17/'SW Rev'!E17-1,""),"")</f>
        <v/>
      </c>
      <c r="F120" s="37">
        <f>IFERROR(IF(AND(ISNUMBER('SW Rev'!J17),ISNUMBER('SW Rev'!F17),'SW Rev'!F17&gt;0),'SW Rev'!J17/'SW Rev'!F17-1,""),"")</f>
        <v/>
      </c>
      <c r="G120" s="37">
        <f>IFERROR(IF(AND(ISNUMBER('SW Rev'!K17),ISNUMBER('SW Rev'!G17),'SW Rev'!G17&gt;0),'SW Rev'!K17/'SW Rev'!G17-1,""),"")</f>
        <v/>
      </c>
      <c r="H120" s="37">
        <f>IFERROR(IF(AND(ISNUMBER('SW Rev'!L17),ISNUMBER('SW Rev'!H17),'SW Rev'!H17&gt;0),'SW Rev'!L17/'SW Rev'!H17-1,""),"")</f>
        <v/>
      </c>
      <c r="I120" s="37">
        <f>IFERROR(IF(AND(ISNUMBER('SW Rev'!M17),ISNUMBER('SW Rev'!I17),'SW Rev'!I17&gt;0),'SW Rev'!M17/'SW Rev'!I17-1,""),"")</f>
        <v/>
      </c>
      <c r="J120" s="37">
        <f>IFERROR(IF(AND(ISNUMBER('SW Rev'!N17),ISNUMBER('SW Rev'!J17),'SW Rev'!J17&gt;0),'SW Rev'!N17/'SW Rev'!J17-1,""),"")</f>
        <v/>
      </c>
      <c r="K120" s="37">
        <f>IFERROR(IF(AND(ISNUMBER('SW Rev'!O17),ISNUMBER('SW Rev'!K17),'SW Rev'!K17&gt;0),'SW Rev'!O17/'SW Rev'!K17-1,""),"")</f>
        <v/>
      </c>
      <c r="L120" s="37">
        <f>IFERROR(IF(AND(ISNUMBER('SW Rev'!P17),ISNUMBER('SW Rev'!L17),'SW Rev'!L17&gt;0),'SW Rev'!P17/'SW Rev'!L17-1,""),"")</f>
        <v/>
      </c>
      <c r="M120" s="38">
        <f>IFERROR(IF(AND(ISNUMBER('SW Rev'!Q17),ISNUMBER('SW Rev'!M17),'SW Rev'!M17&gt;0),'SW Rev'!Q17/'SW Rev'!M17-1,""),"")</f>
        <v/>
      </c>
      <c r="N120" s="38">
        <f>IFERROR(IF(AND(ISNUMBER('SW Rev'!R17),ISNUMBER('SW Rev'!N17),'SW Rev'!N17&gt;0),'SW Rev'!R17/'SW Rev'!N17-1,""),"")</f>
        <v/>
      </c>
    </row>
    <row r="121">
      <c r="A121" s="19">
        <f>'SW Rev'!$A18</f>
        <v/>
      </c>
      <c r="B121" s="19">
        <f>'SW Rev'!$B18</f>
        <v/>
      </c>
      <c r="C121" s="37">
        <f>IFERROR(IF(AND(ISNUMBER('SW Rev'!G18),ISNUMBER('SW Rev'!C18),'SW Rev'!C18&gt;0),'SW Rev'!G18/'SW Rev'!C18-1,""),"")</f>
        <v/>
      </c>
      <c r="D121" s="37">
        <f>IFERROR(IF(AND(ISNUMBER('SW Rev'!H18),ISNUMBER('SW Rev'!D18),'SW Rev'!D18&gt;0),'SW Rev'!H18/'SW Rev'!D18-1,""),"")</f>
        <v/>
      </c>
      <c r="E121" s="37">
        <f>IFERROR(IF(AND(ISNUMBER('SW Rev'!I18),ISNUMBER('SW Rev'!E18),'SW Rev'!E18&gt;0),'SW Rev'!I18/'SW Rev'!E18-1,""),"")</f>
        <v/>
      </c>
      <c r="F121" s="37">
        <f>IFERROR(IF(AND(ISNUMBER('SW Rev'!J18),ISNUMBER('SW Rev'!F18),'SW Rev'!F18&gt;0),'SW Rev'!J18/'SW Rev'!F18-1,""),"")</f>
        <v/>
      </c>
      <c r="G121" s="37">
        <f>IFERROR(IF(AND(ISNUMBER('SW Rev'!K18),ISNUMBER('SW Rev'!G18),'SW Rev'!G18&gt;0),'SW Rev'!K18/'SW Rev'!G18-1,""),"")</f>
        <v/>
      </c>
      <c r="H121" s="37">
        <f>IFERROR(IF(AND(ISNUMBER('SW Rev'!L18),ISNUMBER('SW Rev'!H18),'SW Rev'!H18&gt;0),'SW Rev'!L18/'SW Rev'!H18-1,""),"")</f>
        <v/>
      </c>
      <c r="I121" s="37">
        <f>IFERROR(IF(AND(ISNUMBER('SW Rev'!M18),ISNUMBER('SW Rev'!I18),'SW Rev'!I18&gt;0),'SW Rev'!M18/'SW Rev'!I18-1,""),"")</f>
        <v/>
      </c>
      <c r="J121" s="37">
        <f>IFERROR(IF(AND(ISNUMBER('SW Rev'!N18),ISNUMBER('SW Rev'!J18),'SW Rev'!J18&gt;0),'SW Rev'!N18/'SW Rev'!J18-1,""),"")</f>
        <v/>
      </c>
      <c r="K121" s="37">
        <f>IFERROR(IF(AND(ISNUMBER('SW Rev'!O18),ISNUMBER('SW Rev'!K18),'SW Rev'!K18&gt;0),'SW Rev'!O18/'SW Rev'!K18-1,""),"")</f>
        <v/>
      </c>
      <c r="L121" s="37">
        <f>IFERROR(IF(AND(ISNUMBER('SW Rev'!P18),ISNUMBER('SW Rev'!L18),'SW Rev'!L18&gt;0),'SW Rev'!P18/'SW Rev'!L18-1,""),"")</f>
        <v/>
      </c>
      <c r="M121" s="38">
        <f>IFERROR(IF(AND(ISNUMBER('SW Rev'!Q18),ISNUMBER('SW Rev'!M18),'SW Rev'!M18&gt;0),'SW Rev'!Q18/'SW Rev'!M18-1,""),"")</f>
        <v/>
      </c>
      <c r="N121" s="38">
        <f>IFERROR(IF(AND(ISNUMBER('SW Rev'!R18),ISNUMBER('SW Rev'!N18),'SW Rev'!N18&gt;0),'SW Rev'!R18/'SW Rev'!N18-1,""),"")</f>
        <v/>
      </c>
    </row>
    <row r="122">
      <c r="A122" s="19">
        <f>'SW Rev'!$A19</f>
        <v/>
      </c>
      <c r="B122" s="19">
        <f>'SW Rev'!$B19</f>
        <v/>
      </c>
      <c r="C122" s="37">
        <f>IFERROR(IF(AND(ISNUMBER('SW Rev'!G19),ISNUMBER('SW Rev'!C19),'SW Rev'!C19&gt;0),'SW Rev'!G19/'SW Rev'!C19-1,""),"")</f>
        <v/>
      </c>
      <c r="D122" s="37">
        <f>IFERROR(IF(AND(ISNUMBER('SW Rev'!H19),ISNUMBER('SW Rev'!D19),'SW Rev'!D19&gt;0),'SW Rev'!H19/'SW Rev'!D19-1,""),"")</f>
        <v/>
      </c>
      <c r="E122" s="37">
        <f>IFERROR(IF(AND(ISNUMBER('SW Rev'!I19),ISNUMBER('SW Rev'!E19),'SW Rev'!E19&gt;0),'SW Rev'!I19/'SW Rev'!E19-1,""),"")</f>
        <v/>
      </c>
      <c r="F122" s="37">
        <f>IFERROR(IF(AND(ISNUMBER('SW Rev'!J19),ISNUMBER('SW Rev'!F19),'SW Rev'!F19&gt;0),'SW Rev'!J19/'SW Rev'!F19-1,""),"")</f>
        <v/>
      </c>
      <c r="G122" s="37">
        <f>IFERROR(IF(AND(ISNUMBER('SW Rev'!K19),ISNUMBER('SW Rev'!G19),'SW Rev'!G19&gt;0),'SW Rev'!K19/'SW Rev'!G19-1,""),"")</f>
        <v/>
      </c>
      <c r="H122" s="37">
        <f>IFERROR(IF(AND(ISNUMBER('SW Rev'!L19),ISNUMBER('SW Rev'!H19),'SW Rev'!H19&gt;0),'SW Rev'!L19/'SW Rev'!H19-1,""),"")</f>
        <v/>
      </c>
      <c r="I122" s="37">
        <f>IFERROR(IF(AND(ISNUMBER('SW Rev'!M19),ISNUMBER('SW Rev'!I19),'SW Rev'!I19&gt;0),'SW Rev'!M19/'SW Rev'!I19-1,""),"")</f>
        <v/>
      </c>
      <c r="J122" s="37">
        <f>IFERROR(IF(AND(ISNUMBER('SW Rev'!N19),ISNUMBER('SW Rev'!J19),'SW Rev'!J19&gt;0),'SW Rev'!N19/'SW Rev'!J19-1,""),"")</f>
        <v/>
      </c>
      <c r="K122" s="37">
        <f>IFERROR(IF(AND(ISNUMBER('SW Rev'!O19),ISNUMBER('SW Rev'!K19),'SW Rev'!K19&gt;0),'SW Rev'!O19/'SW Rev'!K19-1,""),"")</f>
        <v/>
      </c>
      <c r="L122" s="37">
        <f>IFERROR(IF(AND(ISNUMBER('SW Rev'!P19),ISNUMBER('SW Rev'!L19),'SW Rev'!L19&gt;0),'SW Rev'!P19/'SW Rev'!L19-1,""),"")</f>
        <v/>
      </c>
      <c r="M122" s="38">
        <f>IFERROR(IF(AND(ISNUMBER('SW Rev'!Q19),ISNUMBER('SW Rev'!M19),'SW Rev'!M19&gt;0),'SW Rev'!Q19/'SW Rev'!M19-1,""),"")</f>
        <v/>
      </c>
      <c r="N122" s="38">
        <f>IFERROR(IF(AND(ISNUMBER('SW Rev'!R19),ISNUMBER('SW Rev'!N19),'SW Rev'!N19&gt;0),'SW Rev'!R19/'SW Rev'!N19-1,""),"")</f>
        <v/>
      </c>
    </row>
    <row r="123">
      <c r="A123" s="19">
        <f>'SW Rev'!$A20</f>
        <v/>
      </c>
      <c r="B123" s="19">
        <f>'SW Rev'!$B20</f>
        <v/>
      </c>
      <c r="C123" s="37">
        <f>IFERROR(IF(AND(ISNUMBER('SW Rev'!G20),ISNUMBER('SW Rev'!C20),'SW Rev'!C20&gt;0),'SW Rev'!G20/'SW Rev'!C20-1,""),"")</f>
        <v/>
      </c>
      <c r="D123" s="37">
        <f>IFERROR(IF(AND(ISNUMBER('SW Rev'!H20),ISNUMBER('SW Rev'!D20),'SW Rev'!D20&gt;0),'SW Rev'!H20/'SW Rev'!D20-1,""),"")</f>
        <v/>
      </c>
      <c r="E123" s="37">
        <f>IFERROR(IF(AND(ISNUMBER('SW Rev'!I20),ISNUMBER('SW Rev'!E20),'SW Rev'!E20&gt;0),'SW Rev'!I20/'SW Rev'!E20-1,""),"")</f>
        <v/>
      </c>
      <c r="F123" s="37">
        <f>IFERROR(IF(AND(ISNUMBER('SW Rev'!J20),ISNUMBER('SW Rev'!F20),'SW Rev'!F20&gt;0),'SW Rev'!J20/'SW Rev'!F20-1,""),"")</f>
        <v/>
      </c>
      <c r="G123" s="37">
        <f>IFERROR(IF(AND(ISNUMBER('SW Rev'!K20),ISNUMBER('SW Rev'!G20),'SW Rev'!G20&gt;0),'SW Rev'!K20/'SW Rev'!G20-1,""),"")</f>
        <v/>
      </c>
      <c r="H123" s="37">
        <f>IFERROR(IF(AND(ISNUMBER('SW Rev'!L20),ISNUMBER('SW Rev'!H20),'SW Rev'!H20&gt;0),'SW Rev'!L20/'SW Rev'!H20-1,""),"")</f>
        <v/>
      </c>
      <c r="I123" s="37">
        <f>IFERROR(IF(AND(ISNUMBER('SW Rev'!M20),ISNUMBER('SW Rev'!I20),'SW Rev'!I20&gt;0),'SW Rev'!M20/'SW Rev'!I20-1,""),"")</f>
        <v/>
      </c>
      <c r="J123" s="37">
        <f>IFERROR(IF(AND(ISNUMBER('SW Rev'!N20),ISNUMBER('SW Rev'!J20),'SW Rev'!J20&gt;0),'SW Rev'!N20/'SW Rev'!J20-1,""),"")</f>
        <v/>
      </c>
      <c r="K123" s="37">
        <f>IFERROR(IF(AND(ISNUMBER('SW Rev'!O20),ISNUMBER('SW Rev'!K20),'SW Rev'!K20&gt;0),'SW Rev'!O20/'SW Rev'!K20-1,""),"")</f>
        <v/>
      </c>
      <c r="L123" s="37">
        <f>IFERROR(IF(AND(ISNUMBER('SW Rev'!P20),ISNUMBER('SW Rev'!L20),'SW Rev'!L20&gt;0),'SW Rev'!P20/'SW Rev'!L20-1,""),"")</f>
        <v/>
      </c>
      <c r="M123" s="38">
        <f>IFERROR(IF(AND(ISNUMBER('SW Rev'!Q20),ISNUMBER('SW Rev'!M20),'SW Rev'!M20&gt;0),'SW Rev'!Q20/'SW Rev'!M20-1,""),"")</f>
        <v/>
      </c>
      <c r="N123" s="38">
        <f>IFERROR(IF(AND(ISNUMBER('SW Rev'!R20),ISNUMBER('SW Rev'!N20),'SW Rev'!N20&gt;0),'SW Rev'!R20/'SW Rev'!N20-1,""),"")</f>
        <v/>
      </c>
    </row>
    <row r="124">
      <c r="A124" s="19">
        <f>'SW Rev'!$A21</f>
        <v/>
      </c>
      <c r="B124" s="19">
        <f>'SW Rev'!$B21</f>
        <v/>
      </c>
      <c r="C124" s="37">
        <f>IFERROR(IF(AND(ISNUMBER('SW Rev'!G21),ISNUMBER('SW Rev'!C21),'SW Rev'!C21&gt;0),'SW Rev'!G21/'SW Rev'!C21-1,""),"")</f>
        <v/>
      </c>
      <c r="D124" s="37">
        <f>IFERROR(IF(AND(ISNUMBER('SW Rev'!H21),ISNUMBER('SW Rev'!D21),'SW Rev'!D21&gt;0),'SW Rev'!H21/'SW Rev'!D21-1,""),"")</f>
        <v/>
      </c>
      <c r="E124" s="37">
        <f>IFERROR(IF(AND(ISNUMBER('SW Rev'!I21),ISNUMBER('SW Rev'!E21),'SW Rev'!E21&gt;0),'SW Rev'!I21/'SW Rev'!E21-1,""),"")</f>
        <v/>
      </c>
      <c r="F124" s="37">
        <f>IFERROR(IF(AND(ISNUMBER('SW Rev'!J21),ISNUMBER('SW Rev'!F21),'SW Rev'!F21&gt;0),'SW Rev'!J21/'SW Rev'!F21-1,""),"")</f>
        <v/>
      </c>
      <c r="G124" s="37">
        <f>IFERROR(IF(AND(ISNUMBER('SW Rev'!K21),ISNUMBER('SW Rev'!G21),'SW Rev'!G21&gt;0),'SW Rev'!K21/'SW Rev'!G21-1,""),"")</f>
        <v/>
      </c>
      <c r="H124" s="37">
        <f>IFERROR(IF(AND(ISNUMBER('SW Rev'!L21),ISNUMBER('SW Rev'!H21),'SW Rev'!H21&gt;0),'SW Rev'!L21/'SW Rev'!H21-1,""),"")</f>
        <v/>
      </c>
      <c r="I124" s="37">
        <f>IFERROR(IF(AND(ISNUMBER('SW Rev'!M21),ISNUMBER('SW Rev'!I21),'SW Rev'!I21&gt;0),'SW Rev'!M21/'SW Rev'!I21-1,""),"")</f>
        <v/>
      </c>
      <c r="J124" s="37">
        <f>IFERROR(IF(AND(ISNUMBER('SW Rev'!N21),ISNUMBER('SW Rev'!J21),'SW Rev'!J21&gt;0),'SW Rev'!N21/'SW Rev'!J21-1,""),"")</f>
        <v/>
      </c>
      <c r="K124" s="37">
        <f>IFERROR(IF(AND(ISNUMBER('SW Rev'!O21),ISNUMBER('SW Rev'!K21),'SW Rev'!K21&gt;0),'SW Rev'!O21/'SW Rev'!K21-1,""),"")</f>
        <v/>
      </c>
      <c r="L124" s="37">
        <f>IFERROR(IF(AND(ISNUMBER('SW Rev'!P21),ISNUMBER('SW Rev'!L21),'SW Rev'!L21&gt;0),'SW Rev'!P21/'SW Rev'!L21-1,""),"")</f>
        <v/>
      </c>
      <c r="M124" s="38">
        <f>IFERROR(IF(AND(ISNUMBER('SW Rev'!Q21),ISNUMBER('SW Rev'!M21),'SW Rev'!M21&gt;0),'SW Rev'!Q21/'SW Rev'!M21-1,""),"")</f>
        <v/>
      </c>
      <c r="N124" s="38">
        <f>IFERROR(IF(AND(ISNUMBER('SW Rev'!R21),ISNUMBER('SW Rev'!N21),'SW Rev'!N21&gt;0),'SW Rev'!R21/'SW Rev'!N21-1,""),"")</f>
        <v/>
      </c>
    </row>
    <row r="125">
      <c r="A125" s="19">
        <f>'SW Rev'!$A22</f>
        <v/>
      </c>
      <c r="B125" s="19">
        <f>'SW Rev'!$B22</f>
        <v/>
      </c>
      <c r="C125" s="37">
        <f>IFERROR(IF(AND(ISNUMBER('SW Rev'!G22),ISNUMBER('SW Rev'!C22),'SW Rev'!C22&gt;0),'SW Rev'!G22/'SW Rev'!C22-1,""),"")</f>
        <v/>
      </c>
      <c r="D125" s="37">
        <f>IFERROR(IF(AND(ISNUMBER('SW Rev'!H22),ISNUMBER('SW Rev'!D22),'SW Rev'!D22&gt;0),'SW Rev'!H22/'SW Rev'!D22-1,""),"")</f>
        <v/>
      </c>
      <c r="E125" s="37">
        <f>IFERROR(IF(AND(ISNUMBER('SW Rev'!I22),ISNUMBER('SW Rev'!E22),'SW Rev'!E22&gt;0),'SW Rev'!I22/'SW Rev'!E22-1,""),"")</f>
        <v/>
      </c>
      <c r="F125" s="37">
        <f>IFERROR(IF(AND(ISNUMBER('SW Rev'!J22),ISNUMBER('SW Rev'!F22),'SW Rev'!F22&gt;0),'SW Rev'!J22/'SW Rev'!F22-1,""),"")</f>
        <v/>
      </c>
      <c r="G125" s="37">
        <f>IFERROR(IF(AND(ISNUMBER('SW Rev'!K22),ISNUMBER('SW Rev'!G22),'SW Rev'!G22&gt;0),'SW Rev'!K22/'SW Rev'!G22-1,""),"")</f>
        <v/>
      </c>
      <c r="H125" s="37">
        <f>IFERROR(IF(AND(ISNUMBER('SW Rev'!L22),ISNUMBER('SW Rev'!H22),'SW Rev'!H22&gt;0),'SW Rev'!L22/'SW Rev'!H22-1,""),"")</f>
        <v/>
      </c>
      <c r="I125" s="37">
        <f>IFERROR(IF(AND(ISNUMBER('SW Rev'!M22),ISNUMBER('SW Rev'!I22),'SW Rev'!I22&gt;0),'SW Rev'!M22/'SW Rev'!I22-1,""),"")</f>
        <v/>
      </c>
      <c r="J125" s="37">
        <f>IFERROR(IF(AND(ISNUMBER('SW Rev'!N22),ISNUMBER('SW Rev'!J22),'SW Rev'!J22&gt;0),'SW Rev'!N22/'SW Rev'!J22-1,""),"")</f>
        <v/>
      </c>
      <c r="K125" s="37">
        <f>IFERROR(IF(AND(ISNUMBER('SW Rev'!O22),ISNUMBER('SW Rev'!K22),'SW Rev'!K22&gt;0),'SW Rev'!O22/'SW Rev'!K22-1,""),"")</f>
        <v/>
      </c>
      <c r="L125" s="37">
        <f>IFERROR(IF(AND(ISNUMBER('SW Rev'!P22),ISNUMBER('SW Rev'!L22),'SW Rev'!L22&gt;0),'SW Rev'!P22/'SW Rev'!L22-1,""),"")</f>
        <v/>
      </c>
      <c r="M125" s="38">
        <f>IFERROR(IF(AND(ISNUMBER('SW Rev'!Q22),ISNUMBER('SW Rev'!M22),'SW Rev'!M22&gt;0),'SW Rev'!Q22/'SW Rev'!M22-1,""),"")</f>
        <v/>
      </c>
      <c r="N125" s="38">
        <f>IFERROR(IF(AND(ISNUMBER('SW Rev'!R22),ISNUMBER('SW Rev'!N22),'SW Rev'!N22&gt;0),'SW Rev'!R22/'SW Rev'!N22-1,""),"")</f>
        <v/>
      </c>
    </row>
    <row r="126">
      <c r="A126" s="19">
        <f>'SW Rev'!$A23</f>
        <v/>
      </c>
      <c r="B126" s="19">
        <f>'SW Rev'!$B23</f>
        <v/>
      </c>
      <c r="C126" s="37">
        <f>IFERROR(IF(AND(ISNUMBER('SW Rev'!G23),ISNUMBER('SW Rev'!C23),'SW Rev'!C23&gt;0),'SW Rev'!G23/'SW Rev'!C23-1,""),"")</f>
        <v/>
      </c>
      <c r="D126" s="37">
        <f>IFERROR(IF(AND(ISNUMBER('SW Rev'!H23),ISNUMBER('SW Rev'!D23),'SW Rev'!D23&gt;0),'SW Rev'!H23/'SW Rev'!D23-1,""),"")</f>
        <v/>
      </c>
      <c r="E126" s="37">
        <f>IFERROR(IF(AND(ISNUMBER('SW Rev'!I23),ISNUMBER('SW Rev'!E23),'SW Rev'!E23&gt;0),'SW Rev'!I23/'SW Rev'!E23-1,""),"")</f>
        <v/>
      </c>
      <c r="F126" s="37">
        <f>IFERROR(IF(AND(ISNUMBER('SW Rev'!J23),ISNUMBER('SW Rev'!F23),'SW Rev'!F23&gt;0),'SW Rev'!J23/'SW Rev'!F23-1,""),"")</f>
        <v/>
      </c>
      <c r="G126" s="37">
        <f>IFERROR(IF(AND(ISNUMBER('SW Rev'!K23),ISNUMBER('SW Rev'!G23),'SW Rev'!G23&gt;0),'SW Rev'!K23/'SW Rev'!G23-1,""),"")</f>
        <v/>
      </c>
      <c r="H126" s="37">
        <f>IFERROR(IF(AND(ISNUMBER('SW Rev'!L23),ISNUMBER('SW Rev'!H23),'SW Rev'!H23&gt;0),'SW Rev'!L23/'SW Rev'!H23-1,""),"")</f>
        <v/>
      </c>
      <c r="I126" s="37">
        <f>IFERROR(IF(AND(ISNUMBER('SW Rev'!M23),ISNUMBER('SW Rev'!I23),'SW Rev'!I23&gt;0),'SW Rev'!M23/'SW Rev'!I23-1,""),"")</f>
        <v/>
      </c>
      <c r="J126" s="37">
        <f>IFERROR(IF(AND(ISNUMBER('SW Rev'!N23),ISNUMBER('SW Rev'!J23),'SW Rev'!J23&gt;0),'SW Rev'!N23/'SW Rev'!J23-1,""),"")</f>
        <v/>
      </c>
      <c r="K126" s="37">
        <f>IFERROR(IF(AND(ISNUMBER('SW Rev'!O23),ISNUMBER('SW Rev'!K23),'SW Rev'!K23&gt;0),'SW Rev'!O23/'SW Rev'!K23-1,""),"")</f>
        <v/>
      </c>
      <c r="L126" s="37">
        <f>IFERROR(IF(AND(ISNUMBER('SW Rev'!P23),ISNUMBER('SW Rev'!L23),'SW Rev'!L23&gt;0),'SW Rev'!P23/'SW Rev'!L23-1,""),"")</f>
        <v/>
      </c>
      <c r="M126" s="38">
        <f>IFERROR(IF(AND(ISNUMBER('SW Rev'!Q23),ISNUMBER('SW Rev'!M23),'SW Rev'!M23&gt;0),'SW Rev'!Q23/'SW Rev'!M23-1,""),"")</f>
        <v/>
      </c>
      <c r="N126" s="38">
        <f>IFERROR(IF(AND(ISNUMBER('SW Rev'!R23),ISNUMBER('SW Rev'!N23),'SW Rev'!N23&gt;0),'SW Rev'!R23/'SW Rev'!N23-1,""),"")</f>
        <v/>
      </c>
    </row>
    <row r="127">
      <c r="A127" s="19">
        <f>'SW Rev'!$A24</f>
        <v/>
      </c>
      <c r="B127" s="19">
        <f>'SW Rev'!$B24</f>
        <v/>
      </c>
      <c r="C127" s="37">
        <f>IFERROR(IF(AND(ISNUMBER('SW Rev'!G24),ISNUMBER('SW Rev'!C24),'SW Rev'!C24&gt;0),'SW Rev'!G24/'SW Rev'!C24-1,""),"")</f>
        <v/>
      </c>
      <c r="D127" s="37">
        <f>IFERROR(IF(AND(ISNUMBER('SW Rev'!H24),ISNUMBER('SW Rev'!D24),'SW Rev'!D24&gt;0),'SW Rev'!H24/'SW Rev'!D24-1,""),"")</f>
        <v/>
      </c>
      <c r="E127" s="37">
        <f>IFERROR(IF(AND(ISNUMBER('SW Rev'!I24),ISNUMBER('SW Rev'!E24),'SW Rev'!E24&gt;0),'SW Rev'!I24/'SW Rev'!E24-1,""),"")</f>
        <v/>
      </c>
      <c r="F127" s="37">
        <f>IFERROR(IF(AND(ISNUMBER('SW Rev'!J24),ISNUMBER('SW Rev'!F24),'SW Rev'!F24&gt;0),'SW Rev'!J24/'SW Rev'!F24-1,""),"")</f>
        <v/>
      </c>
      <c r="G127" s="37">
        <f>IFERROR(IF(AND(ISNUMBER('SW Rev'!K24),ISNUMBER('SW Rev'!G24),'SW Rev'!G24&gt;0),'SW Rev'!K24/'SW Rev'!G24-1,""),"")</f>
        <v/>
      </c>
      <c r="H127" s="37">
        <f>IFERROR(IF(AND(ISNUMBER('SW Rev'!L24),ISNUMBER('SW Rev'!H24),'SW Rev'!H24&gt;0),'SW Rev'!L24/'SW Rev'!H24-1,""),"")</f>
        <v/>
      </c>
      <c r="I127" s="37">
        <f>IFERROR(IF(AND(ISNUMBER('SW Rev'!M24),ISNUMBER('SW Rev'!I24),'SW Rev'!I24&gt;0),'SW Rev'!M24/'SW Rev'!I24-1,""),"")</f>
        <v/>
      </c>
      <c r="J127" s="37">
        <f>IFERROR(IF(AND(ISNUMBER('SW Rev'!N24),ISNUMBER('SW Rev'!J24),'SW Rev'!J24&gt;0),'SW Rev'!N24/'SW Rev'!J24-1,""),"")</f>
        <v/>
      </c>
      <c r="K127" s="37">
        <f>IFERROR(IF(AND(ISNUMBER('SW Rev'!O24),ISNUMBER('SW Rev'!K24),'SW Rev'!K24&gt;0),'SW Rev'!O24/'SW Rev'!K24-1,""),"")</f>
        <v/>
      </c>
      <c r="L127" s="37">
        <f>IFERROR(IF(AND(ISNUMBER('SW Rev'!P24),ISNUMBER('SW Rev'!L24),'SW Rev'!L24&gt;0),'SW Rev'!P24/'SW Rev'!L24-1,""),"")</f>
        <v/>
      </c>
      <c r="M127" s="38">
        <f>IFERROR(IF(AND(ISNUMBER('SW Rev'!Q24),ISNUMBER('SW Rev'!M24),'SW Rev'!M24&gt;0),'SW Rev'!Q24/'SW Rev'!M24-1,""),"")</f>
        <v/>
      </c>
      <c r="N127" s="38">
        <f>IFERROR(IF(AND(ISNUMBER('SW Rev'!R24),ISNUMBER('SW Rev'!N24),'SW Rev'!N24&gt;0),'SW Rev'!R24/'SW Rev'!N24-1,""),"")</f>
        <v/>
      </c>
    </row>
    <row r="128">
      <c r="A128" s="19">
        <f>'SW Rev'!$A25</f>
        <v/>
      </c>
      <c r="B128" s="19">
        <f>'SW Rev'!$B25</f>
        <v/>
      </c>
      <c r="C128" s="37">
        <f>IFERROR(IF(AND(ISNUMBER('SW Rev'!G25),ISNUMBER('SW Rev'!C25),'SW Rev'!C25&gt;0),'SW Rev'!G25/'SW Rev'!C25-1,""),"")</f>
        <v/>
      </c>
      <c r="D128" s="37">
        <f>IFERROR(IF(AND(ISNUMBER('SW Rev'!H25),ISNUMBER('SW Rev'!D25),'SW Rev'!D25&gt;0),'SW Rev'!H25/'SW Rev'!D25-1,""),"")</f>
        <v/>
      </c>
      <c r="E128" s="37">
        <f>IFERROR(IF(AND(ISNUMBER('SW Rev'!I25),ISNUMBER('SW Rev'!E25),'SW Rev'!E25&gt;0),'SW Rev'!I25/'SW Rev'!E25-1,""),"")</f>
        <v/>
      </c>
      <c r="F128" s="37">
        <f>IFERROR(IF(AND(ISNUMBER('SW Rev'!J25),ISNUMBER('SW Rev'!F25),'SW Rev'!F25&gt;0),'SW Rev'!J25/'SW Rev'!F25-1,""),"")</f>
        <v/>
      </c>
      <c r="G128" s="37">
        <f>IFERROR(IF(AND(ISNUMBER('SW Rev'!K25),ISNUMBER('SW Rev'!G25),'SW Rev'!G25&gt;0),'SW Rev'!K25/'SW Rev'!G25-1,""),"")</f>
        <v/>
      </c>
      <c r="H128" s="37">
        <f>IFERROR(IF(AND(ISNUMBER('SW Rev'!L25),ISNUMBER('SW Rev'!H25),'SW Rev'!H25&gt;0),'SW Rev'!L25/'SW Rev'!H25-1,""),"")</f>
        <v/>
      </c>
      <c r="I128" s="37">
        <f>IFERROR(IF(AND(ISNUMBER('SW Rev'!M25),ISNUMBER('SW Rev'!I25),'SW Rev'!I25&gt;0),'SW Rev'!M25/'SW Rev'!I25-1,""),"")</f>
        <v/>
      </c>
      <c r="J128" s="37">
        <f>IFERROR(IF(AND(ISNUMBER('SW Rev'!N25),ISNUMBER('SW Rev'!J25),'SW Rev'!J25&gt;0),'SW Rev'!N25/'SW Rev'!J25-1,""),"")</f>
        <v/>
      </c>
      <c r="K128" s="37">
        <f>IFERROR(IF(AND(ISNUMBER('SW Rev'!O25),ISNUMBER('SW Rev'!K25),'SW Rev'!K25&gt;0),'SW Rev'!O25/'SW Rev'!K25-1,""),"")</f>
        <v/>
      </c>
      <c r="L128" s="37">
        <f>IFERROR(IF(AND(ISNUMBER('SW Rev'!P25),ISNUMBER('SW Rev'!L25),'SW Rev'!L25&gt;0),'SW Rev'!P25/'SW Rev'!L25-1,""),"")</f>
        <v/>
      </c>
      <c r="M128" s="38">
        <f>IFERROR(IF(AND(ISNUMBER('SW Rev'!Q25),ISNUMBER('SW Rev'!M25),'SW Rev'!M25&gt;0),'SW Rev'!Q25/'SW Rev'!M25-1,""),"")</f>
        <v/>
      </c>
      <c r="N128" s="38">
        <f>IFERROR(IF(AND(ISNUMBER('SW Rev'!R25),ISNUMBER('SW Rev'!N25),'SW Rev'!N25&gt;0),'SW Rev'!R25/'SW Rev'!N25-1,""),"")</f>
        <v/>
      </c>
    </row>
    <row r="129">
      <c r="A129" s="19">
        <f>'SW Rev'!$A26</f>
        <v/>
      </c>
      <c r="B129" s="19">
        <f>'SW Rev'!$B26</f>
        <v/>
      </c>
      <c r="C129" s="37">
        <f>IFERROR(IF(AND(ISNUMBER('SW Rev'!G26),ISNUMBER('SW Rev'!C26),'SW Rev'!C26&gt;0),'SW Rev'!G26/'SW Rev'!C26-1,""),"")</f>
        <v/>
      </c>
      <c r="D129" s="37">
        <f>IFERROR(IF(AND(ISNUMBER('SW Rev'!H26),ISNUMBER('SW Rev'!D26),'SW Rev'!D26&gt;0),'SW Rev'!H26/'SW Rev'!D26-1,""),"")</f>
        <v/>
      </c>
      <c r="E129" s="37">
        <f>IFERROR(IF(AND(ISNUMBER('SW Rev'!I26),ISNUMBER('SW Rev'!E26),'SW Rev'!E26&gt;0),'SW Rev'!I26/'SW Rev'!E26-1,""),"")</f>
        <v/>
      </c>
      <c r="F129" s="37">
        <f>IFERROR(IF(AND(ISNUMBER('SW Rev'!J26),ISNUMBER('SW Rev'!F26),'SW Rev'!F26&gt;0),'SW Rev'!J26/'SW Rev'!F26-1,""),"")</f>
        <v/>
      </c>
      <c r="G129" s="37">
        <f>IFERROR(IF(AND(ISNUMBER('SW Rev'!K26),ISNUMBER('SW Rev'!G26),'SW Rev'!G26&gt;0),'SW Rev'!K26/'SW Rev'!G26-1,""),"")</f>
        <v/>
      </c>
      <c r="H129" s="37">
        <f>IFERROR(IF(AND(ISNUMBER('SW Rev'!L26),ISNUMBER('SW Rev'!H26),'SW Rev'!H26&gt;0),'SW Rev'!L26/'SW Rev'!H26-1,""),"")</f>
        <v/>
      </c>
      <c r="I129" s="37">
        <f>IFERROR(IF(AND(ISNUMBER('SW Rev'!M26),ISNUMBER('SW Rev'!I26),'SW Rev'!I26&gt;0),'SW Rev'!M26/'SW Rev'!I26-1,""),"")</f>
        <v/>
      </c>
      <c r="J129" s="37">
        <f>IFERROR(IF(AND(ISNUMBER('SW Rev'!N26),ISNUMBER('SW Rev'!J26),'SW Rev'!J26&gt;0),'SW Rev'!N26/'SW Rev'!J26-1,""),"")</f>
        <v/>
      </c>
      <c r="K129" s="37">
        <f>IFERROR(IF(AND(ISNUMBER('SW Rev'!O26),ISNUMBER('SW Rev'!K26),'SW Rev'!K26&gt;0),'SW Rev'!O26/'SW Rev'!K26-1,""),"")</f>
        <v/>
      </c>
      <c r="L129" s="37">
        <f>IFERROR(IF(AND(ISNUMBER('SW Rev'!P26),ISNUMBER('SW Rev'!L26),'SW Rev'!L26&gt;0),'SW Rev'!P26/'SW Rev'!L26-1,""),"")</f>
        <v/>
      </c>
      <c r="M129" s="38">
        <f>IFERROR(IF(AND(ISNUMBER('SW Rev'!Q26),ISNUMBER('SW Rev'!M26),'SW Rev'!M26&gt;0),'SW Rev'!Q26/'SW Rev'!M26-1,""),"")</f>
        <v/>
      </c>
      <c r="N129" s="38">
        <f>IFERROR(IF(AND(ISNUMBER('SW Rev'!R26),ISNUMBER('SW Rev'!N26),'SW Rev'!N26&gt;0),'SW Rev'!R26/'SW Rev'!N26-1,""),"")</f>
        <v/>
      </c>
    </row>
    <row r="130">
      <c r="A130" s="19">
        <f>'SW Rev'!$A27</f>
        <v/>
      </c>
      <c r="B130" s="19">
        <f>'SW Rev'!$B27</f>
        <v/>
      </c>
      <c r="C130" s="37">
        <f>IFERROR(IF(AND(ISNUMBER('SW Rev'!G27),ISNUMBER('SW Rev'!C27),'SW Rev'!C27&gt;0),'SW Rev'!G27/'SW Rev'!C27-1,""),"")</f>
        <v/>
      </c>
      <c r="D130" s="37">
        <f>IFERROR(IF(AND(ISNUMBER('SW Rev'!H27),ISNUMBER('SW Rev'!D27),'SW Rev'!D27&gt;0),'SW Rev'!H27/'SW Rev'!D27-1,""),"")</f>
        <v/>
      </c>
      <c r="E130" s="37">
        <f>IFERROR(IF(AND(ISNUMBER('SW Rev'!I27),ISNUMBER('SW Rev'!E27),'SW Rev'!E27&gt;0),'SW Rev'!I27/'SW Rev'!E27-1,""),"")</f>
        <v/>
      </c>
      <c r="F130" s="37">
        <f>IFERROR(IF(AND(ISNUMBER('SW Rev'!J27),ISNUMBER('SW Rev'!F27),'SW Rev'!F27&gt;0),'SW Rev'!J27/'SW Rev'!F27-1,""),"")</f>
        <v/>
      </c>
      <c r="G130" s="37">
        <f>IFERROR(IF(AND(ISNUMBER('SW Rev'!K27),ISNUMBER('SW Rev'!G27),'SW Rev'!G27&gt;0),'SW Rev'!K27/'SW Rev'!G27-1,""),"")</f>
        <v/>
      </c>
      <c r="H130" s="37">
        <f>IFERROR(IF(AND(ISNUMBER('SW Rev'!L27),ISNUMBER('SW Rev'!H27),'SW Rev'!H27&gt;0),'SW Rev'!L27/'SW Rev'!H27-1,""),"")</f>
        <v/>
      </c>
      <c r="I130" s="37">
        <f>IFERROR(IF(AND(ISNUMBER('SW Rev'!M27),ISNUMBER('SW Rev'!I27),'SW Rev'!I27&gt;0),'SW Rev'!M27/'SW Rev'!I27-1,""),"")</f>
        <v/>
      </c>
      <c r="J130" s="37">
        <f>IFERROR(IF(AND(ISNUMBER('SW Rev'!N27),ISNUMBER('SW Rev'!J27),'SW Rev'!J27&gt;0),'SW Rev'!N27/'SW Rev'!J27-1,""),"")</f>
        <v/>
      </c>
      <c r="K130" s="37">
        <f>IFERROR(IF(AND(ISNUMBER('SW Rev'!O27),ISNUMBER('SW Rev'!K27),'SW Rev'!K27&gt;0),'SW Rev'!O27/'SW Rev'!K27-1,""),"")</f>
        <v/>
      </c>
      <c r="L130" s="37">
        <f>IFERROR(IF(AND(ISNUMBER('SW Rev'!P27),ISNUMBER('SW Rev'!L27),'SW Rev'!L27&gt;0),'SW Rev'!P27/'SW Rev'!L27-1,""),"")</f>
        <v/>
      </c>
      <c r="M130" s="38">
        <f>IFERROR(IF(AND(ISNUMBER('SW Rev'!Q27),ISNUMBER('SW Rev'!M27),'SW Rev'!M27&gt;0),'SW Rev'!Q27/'SW Rev'!M27-1,""),"")</f>
        <v/>
      </c>
      <c r="N130" s="38">
        <f>IFERROR(IF(AND(ISNUMBER('SW Rev'!R27),ISNUMBER('SW Rev'!N27),'SW Rev'!N27&gt;0),'SW Rev'!R27/'SW Rev'!N27-1,""),"")</f>
        <v/>
      </c>
    </row>
    <row r="131">
      <c r="A131" s="19">
        <f>'SW Rev'!$A28</f>
        <v/>
      </c>
      <c r="B131" s="19">
        <f>'SW Rev'!$B28</f>
        <v/>
      </c>
      <c r="C131" s="37">
        <f>IFERROR(IF(AND(ISNUMBER('SW Rev'!G28),ISNUMBER('SW Rev'!C28),'SW Rev'!C28&gt;0),'SW Rev'!G28/'SW Rev'!C28-1,""),"")</f>
        <v/>
      </c>
      <c r="D131" s="37">
        <f>IFERROR(IF(AND(ISNUMBER('SW Rev'!H28),ISNUMBER('SW Rev'!D28),'SW Rev'!D28&gt;0),'SW Rev'!H28/'SW Rev'!D28-1,""),"")</f>
        <v/>
      </c>
      <c r="E131" s="37">
        <f>IFERROR(IF(AND(ISNUMBER('SW Rev'!I28),ISNUMBER('SW Rev'!E28),'SW Rev'!E28&gt;0),'SW Rev'!I28/'SW Rev'!E28-1,""),"")</f>
        <v/>
      </c>
      <c r="F131" s="37">
        <f>IFERROR(IF(AND(ISNUMBER('SW Rev'!J28),ISNUMBER('SW Rev'!F28),'SW Rev'!F28&gt;0),'SW Rev'!J28/'SW Rev'!F28-1,""),"")</f>
        <v/>
      </c>
      <c r="G131" s="37">
        <f>IFERROR(IF(AND(ISNUMBER('SW Rev'!K28),ISNUMBER('SW Rev'!G28),'SW Rev'!G28&gt;0),'SW Rev'!K28/'SW Rev'!G28-1,""),"")</f>
        <v/>
      </c>
      <c r="H131" s="37">
        <f>IFERROR(IF(AND(ISNUMBER('SW Rev'!L28),ISNUMBER('SW Rev'!H28),'SW Rev'!H28&gt;0),'SW Rev'!L28/'SW Rev'!H28-1,""),"")</f>
        <v/>
      </c>
      <c r="I131" s="37">
        <f>IFERROR(IF(AND(ISNUMBER('SW Rev'!M28),ISNUMBER('SW Rev'!I28),'SW Rev'!I28&gt;0),'SW Rev'!M28/'SW Rev'!I28-1,""),"")</f>
        <v/>
      </c>
      <c r="J131" s="37">
        <f>IFERROR(IF(AND(ISNUMBER('SW Rev'!N28),ISNUMBER('SW Rev'!J28),'SW Rev'!J28&gt;0),'SW Rev'!N28/'SW Rev'!J28-1,""),"")</f>
        <v/>
      </c>
      <c r="K131" s="37">
        <f>IFERROR(IF(AND(ISNUMBER('SW Rev'!O28),ISNUMBER('SW Rev'!K28),'SW Rev'!K28&gt;0),'SW Rev'!O28/'SW Rev'!K28-1,""),"")</f>
        <v/>
      </c>
      <c r="L131" s="37">
        <f>IFERROR(IF(AND(ISNUMBER('SW Rev'!P28),ISNUMBER('SW Rev'!L28),'SW Rev'!L28&gt;0),'SW Rev'!P28/'SW Rev'!L28-1,""),"")</f>
        <v/>
      </c>
      <c r="M131" s="38">
        <f>IFERROR(IF(AND(ISNUMBER('SW Rev'!Q28),ISNUMBER('SW Rev'!M28),'SW Rev'!M28&gt;0),'SW Rev'!Q28/'SW Rev'!M28-1,""),"")</f>
        <v/>
      </c>
      <c r="N131" s="38">
        <f>IFERROR(IF(AND(ISNUMBER('SW Rev'!R28),ISNUMBER('SW Rev'!N28),'SW Rev'!N28&gt;0),'SW Rev'!R28/'SW Rev'!N28-1,""),"")</f>
        <v/>
      </c>
    </row>
    <row r="132">
      <c r="A132" s="19">
        <f>'SW Rev'!$A29</f>
        <v/>
      </c>
      <c r="B132" s="19">
        <f>'SW Rev'!$B29</f>
        <v/>
      </c>
      <c r="C132" s="37">
        <f>IFERROR(IF(AND(ISNUMBER('SW Rev'!G29),ISNUMBER('SW Rev'!C29),'SW Rev'!C29&gt;0),'SW Rev'!G29/'SW Rev'!C29-1,""),"")</f>
        <v/>
      </c>
      <c r="D132" s="37">
        <f>IFERROR(IF(AND(ISNUMBER('SW Rev'!H29),ISNUMBER('SW Rev'!D29),'SW Rev'!D29&gt;0),'SW Rev'!H29/'SW Rev'!D29-1,""),"")</f>
        <v/>
      </c>
      <c r="E132" s="37">
        <f>IFERROR(IF(AND(ISNUMBER('SW Rev'!I29),ISNUMBER('SW Rev'!E29),'SW Rev'!E29&gt;0),'SW Rev'!I29/'SW Rev'!E29-1,""),"")</f>
        <v/>
      </c>
      <c r="F132" s="37">
        <f>IFERROR(IF(AND(ISNUMBER('SW Rev'!J29),ISNUMBER('SW Rev'!F29),'SW Rev'!F29&gt;0),'SW Rev'!J29/'SW Rev'!F29-1,""),"")</f>
        <v/>
      </c>
      <c r="G132" s="37">
        <f>IFERROR(IF(AND(ISNUMBER('SW Rev'!K29),ISNUMBER('SW Rev'!G29),'SW Rev'!G29&gt;0),'SW Rev'!K29/'SW Rev'!G29-1,""),"")</f>
        <v/>
      </c>
      <c r="H132" s="37">
        <f>IFERROR(IF(AND(ISNUMBER('SW Rev'!L29),ISNUMBER('SW Rev'!H29),'SW Rev'!H29&gt;0),'SW Rev'!L29/'SW Rev'!H29-1,""),"")</f>
        <v/>
      </c>
      <c r="I132" s="37">
        <f>IFERROR(IF(AND(ISNUMBER('SW Rev'!M29),ISNUMBER('SW Rev'!I29),'SW Rev'!I29&gt;0),'SW Rev'!M29/'SW Rev'!I29-1,""),"")</f>
        <v/>
      </c>
      <c r="J132" s="37">
        <f>IFERROR(IF(AND(ISNUMBER('SW Rev'!N29),ISNUMBER('SW Rev'!J29),'SW Rev'!J29&gt;0),'SW Rev'!N29/'SW Rev'!J29-1,""),"")</f>
        <v/>
      </c>
      <c r="K132" s="37">
        <f>IFERROR(IF(AND(ISNUMBER('SW Rev'!O29),ISNUMBER('SW Rev'!K29),'SW Rev'!K29&gt;0),'SW Rev'!O29/'SW Rev'!K29-1,""),"")</f>
        <v/>
      </c>
      <c r="L132" s="37">
        <f>IFERROR(IF(AND(ISNUMBER('SW Rev'!P29),ISNUMBER('SW Rev'!L29),'SW Rev'!L29&gt;0),'SW Rev'!P29/'SW Rev'!L29-1,""),"")</f>
        <v/>
      </c>
      <c r="M132" s="38">
        <f>IFERROR(IF(AND(ISNUMBER('SW Rev'!Q29),ISNUMBER('SW Rev'!M29),'SW Rev'!M29&gt;0),'SW Rev'!Q29/'SW Rev'!M29-1,""),"")</f>
        <v/>
      </c>
      <c r="N132" s="38">
        <f>IFERROR(IF(AND(ISNUMBER('SW Rev'!R29),ISNUMBER('SW Rev'!N29),'SW Rev'!N29&gt;0),'SW Rev'!R29/'SW Rev'!N29-1,""),"")</f>
        <v/>
      </c>
    </row>
    <row r="133">
      <c r="A133" s="19">
        <f>'SW Rev'!$A30</f>
        <v/>
      </c>
      <c r="B133" s="19">
        <f>'SW Rev'!$B30</f>
        <v/>
      </c>
      <c r="C133" s="37">
        <f>IFERROR(IF(AND(ISNUMBER('SW Rev'!G30),ISNUMBER('SW Rev'!C30),'SW Rev'!C30&gt;0),'SW Rev'!G30/'SW Rev'!C30-1,""),"")</f>
        <v/>
      </c>
      <c r="D133" s="37">
        <f>IFERROR(IF(AND(ISNUMBER('SW Rev'!H30),ISNUMBER('SW Rev'!D30),'SW Rev'!D30&gt;0),'SW Rev'!H30/'SW Rev'!D30-1,""),"")</f>
        <v/>
      </c>
      <c r="E133" s="37">
        <f>IFERROR(IF(AND(ISNUMBER('SW Rev'!I30),ISNUMBER('SW Rev'!E30),'SW Rev'!E30&gt;0),'SW Rev'!I30/'SW Rev'!E30-1,""),"")</f>
        <v/>
      </c>
      <c r="F133" s="37">
        <f>IFERROR(IF(AND(ISNUMBER('SW Rev'!J30),ISNUMBER('SW Rev'!F30),'SW Rev'!F30&gt;0),'SW Rev'!J30/'SW Rev'!F30-1,""),"")</f>
        <v/>
      </c>
      <c r="G133" s="37">
        <f>IFERROR(IF(AND(ISNUMBER('SW Rev'!K30),ISNUMBER('SW Rev'!G30),'SW Rev'!G30&gt;0),'SW Rev'!K30/'SW Rev'!G30-1,""),"")</f>
        <v/>
      </c>
      <c r="H133" s="37">
        <f>IFERROR(IF(AND(ISNUMBER('SW Rev'!L30),ISNUMBER('SW Rev'!H30),'SW Rev'!H30&gt;0),'SW Rev'!L30/'SW Rev'!H30-1,""),"")</f>
        <v/>
      </c>
      <c r="I133" s="37">
        <f>IFERROR(IF(AND(ISNUMBER('SW Rev'!M30),ISNUMBER('SW Rev'!I30),'SW Rev'!I30&gt;0),'SW Rev'!M30/'SW Rev'!I30-1,""),"")</f>
        <v/>
      </c>
      <c r="J133" s="37">
        <f>IFERROR(IF(AND(ISNUMBER('SW Rev'!N30),ISNUMBER('SW Rev'!J30),'SW Rev'!J30&gt;0),'SW Rev'!N30/'SW Rev'!J30-1,""),"")</f>
        <v/>
      </c>
      <c r="K133" s="37">
        <f>IFERROR(IF(AND(ISNUMBER('SW Rev'!O30),ISNUMBER('SW Rev'!K30),'SW Rev'!K30&gt;0),'SW Rev'!O30/'SW Rev'!K30-1,""),"")</f>
        <v/>
      </c>
      <c r="L133" s="37">
        <f>IFERROR(IF(AND(ISNUMBER('SW Rev'!P30),ISNUMBER('SW Rev'!L30),'SW Rev'!L30&gt;0),'SW Rev'!P30/'SW Rev'!L30-1,""),"")</f>
        <v/>
      </c>
      <c r="M133" s="38">
        <f>IFERROR(IF(AND(ISNUMBER('SW Rev'!Q30),ISNUMBER('SW Rev'!M30),'SW Rev'!M30&gt;0),'SW Rev'!Q30/'SW Rev'!M30-1,""),"")</f>
        <v/>
      </c>
      <c r="N133" s="38">
        <f>IFERROR(IF(AND(ISNUMBER('SW Rev'!R30),ISNUMBER('SW Rev'!N30),'SW Rev'!N30&gt;0),'SW Rev'!R30/'SW Rev'!N30-1,""),"")</f>
        <v/>
      </c>
    </row>
    <row r="134">
      <c r="A134" s="19">
        <f>'SW Rev'!$A31</f>
        <v/>
      </c>
      <c r="B134" s="19">
        <f>'SW Rev'!$B31</f>
        <v/>
      </c>
      <c r="C134" s="37">
        <f>IFERROR(IF(AND(ISNUMBER('SW Rev'!G31),ISNUMBER('SW Rev'!C31),'SW Rev'!C31&gt;0),'SW Rev'!G31/'SW Rev'!C31-1,""),"")</f>
        <v/>
      </c>
      <c r="D134" s="37">
        <f>IFERROR(IF(AND(ISNUMBER('SW Rev'!H31),ISNUMBER('SW Rev'!D31),'SW Rev'!D31&gt;0),'SW Rev'!H31/'SW Rev'!D31-1,""),"")</f>
        <v/>
      </c>
      <c r="E134" s="37">
        <f>IFERROR(IF(AND(ISNUMBER('SW Rev'!I31),ISNUMBER('SW Rev'!E31),'SW Rev'!E31&gt;0),'SW Rev'!I31/'SW Rev'!E31-1,""),"")</f>
        <v/>
      </c>
      <c r="F134" s="37">
        <f>IFERROR(IF(AND(ISNUMBER('SW Rev'!J31),ISNUMBER('SW Rev'!F31),'SW Rev'!F31&gt;0),'SW Rev'!J31/'SW Rev'!F31-1,""),"")</f>
        <v/>
      </c>
      <c r="G134" s="37">
        <f>IFERROR(IF(AND(ISNUMBER('SW Rev'!K31),ISNUMBER('SW Rev'!G31),'SW Rev'!G31&gt;0),'SW Rev'!K31/'SW Rev'!G31-1,""),"")</f>
        <v/>
      </c>
      <c r="H134" s="37">
        <f>IFERROR(IF(AND(ISNUMBER('SW Rev'!L31),ISNUMBER('SW Rev'!H31),'SW Rev'!H31&gt;0),'SW Rev'!L31/'SW Rev'!H31-1,""),"")</f>
        <v/>
      </c>
      <c r="I134" s="37">
        <f>IFERROR(IF(AND(ISNUMBER('SW Rev'!M31),ISNUMBER('SW Rev'!I31),'SW Rev'!I31&gt;0),'SW Rev'!M31/'SW Rev'!I31-1,""),"")</f>
        <v/>
      </c>
      <c r="J134" s="37">
        <f>IFERROR(IF(AND(ISNUMBER('SW Rev'!N31),ISNUMBER('SW Rev'!J31),'SW Rev'!J31&gt;0),'SW Rev'!N31/'SW Rev'!J31-1,""),"")</f>
        <v/>
      </c>
      <c r="K134" s="37">
        <f>IFERROR(IF(AND(ISNUMBER('SW Rev'!O31),ISNUMBER('SW Rev'!K31),'SW Rev'!K31&gt;0),'SW Rev'!O31/'SW Rev'!K31-1,""),"")</f>
        <v/>
      </c>
      <c r="L134" s="37">
        <f>IFERROR(IF(AND(ISNUMBER('SW Rev'!P31),ISNUMBER('SW Rev'!L31),'SW Rev'!L31&gt;0),'SW Rev'!P31/'SW Rev'!L31-1,""),"")</f>
        <v/>
      </c>
      <c r="M134" s="38">
        <f>IFERROR(IF(AND(ISNUMBER('SW Rev'!Q31),ISNUMBER('SW Rev'!M31),'SW Rev'!M31&gt;0),'SW Rev'!Q31/'SW Rev'!M31-1,""),"")</f>
        <v/>
      </c>
      <c r="N134" s="38">
        <f>IFERROR(IF(AND(ISNUMBER('SW Rev'!R31),ISNUMBER('SW Rev'!N31),'SW Rev'!N31&gt;0),'SW Rev'!R31/'SW Rev'!N31-1,""),"")</f>
        <v/>
      </c>
    </row>
    <row r="135">
      <c r="A135" s="19">
        <f>'SW Rev'!$A32</f>
        <v/>
      </c>
      <c r="B135" s="19">
        <f>'SW Rev'!$B32</f>
        <v/>
      </c>
      <c r="C135" s="37">
        <f>IFERROR(IF(AND(ISNUMBER('SW Rev'!G32),ISNUMBER('SW Rev'!C32),'SW Rev'!C32&gt;0),'SW Rev'!G32/'SW Rev'!C32-1,""),"")</f>
        <v/>
      </c>
      <c r="D135" s="37">
        <f>IFERROR(IF(AND(ISNUMBER('SW Rev'!H32),ISNUMBER('SW Rev'!D32),'SW Rev'!D32&gt;0),'SW Rev'!H32/'SW Rev'!D32-1,""),"")</f>
        <v/>
      </c>
      <c r="E135" s="37">
        <f>IFERROR(IF(AND(ISNUMBER('SW Rev'!I32),ISNUMBER('SW Rev'!E32),'SW Rev'!E32&gt;0),'SW Rev'!I32/'SW Rev'!E32-1,""),"")</f>
        <v/>
      </c>
      <c r="F135" s="37">
        <f>IFERROR(IF(AND(ISNUMBER('SW Rev'!J32),ISNUMBER('SW Rev'!F32),'SW Rev'!F32&gt;0),'SW Rev'!J32/'SW Rev'!F32-1,""),"")</f>
        <v/>
      </c>
      <c r="G135" s="37">
        <f>IFERROR(IF(AND(ISNUMBER('SW Rev'!K32),ISNUMBER('SW Rev'!G32),'SW Rev'!G32&gt;0),'SW Rev'!K32/'SW Rev'!G32-1,""),"")</f>
        <v/>
      </c>
      <c r="H135" s="37">
        <f>IFERROR(IF(AND(ISNUMBER('SW Rev'!L32),ISNUMBER('SW Rev'!H32),'SW Rev'!H32&gt;0),'SW Rev'!L32/'SW Rev'!H32-1,""),"")</f>
        <v/>
      </c>
      <c r="I135" s="37">
        <f>IFERROR(IF(AND(ISNUMBER('SW Rev'!M32),ISNUMBER('SW Rev'!I32),'SW Rev'!I32&gt;0),'SW Rev'!M32/'SW Rev'!I32-1,""),"")</f>
        <v/>
      </c>
      <c r="J135" s="37">
        <f>IFERROR(IF(AND(ISNUMBER('SW Rev'!N32),ISNUMBER('SW Rev'!J32),'SW Rev'!J32&gt;0),'SW Rev'!N32/'SW Rev'!J32-1,""),"")</f>
        <v/>
      </c>
      <c r="K135" s="37">
        <f>IFERROR(IF(AND(ISNUMBER('SW Rev'!O32),ISNUMBER('SW Rev'!K32),'SW Rev'!K32&gt;0),'SW Rev'!O32/'SW Rev'!K32-1,""),"")</f>
        <v/>
      </c>
      <c r="L135" s="37">
        <f>IFERROR(IF(AND(ISNUMBER('SW Rev'!P32),ISNUMBER('SW Rev'!L32),'SW Rev'!L32&gt;0),'SW Rev'!P32/'SW Rev'!L32-1,""),"")</f>
        <v/>
      </c>
      <c r="M135" s="38">
        <f>IFERROR(IF(AND(ISNUMBER('SW Rev'!Q32),ISNUMBER('SW Rev'!M32),'SW Rev'!M32&gt;0),'SW Rev'!Q32/'SW Rev'!M32-1,""),"")</f>
        <v/>
      </c>
      <c r="N135" s="38">
        <f>IFERROR(IF(AND(ISNUMBER('SW Rev'!R32),ISNUMBER('SW Rev'!N32),'SW Rev'!N32&gt;0),'SW Rev'!R32/'SW Rev'!N32-1,""),"")</f>
        <v/>
      </c>
    </row>
    <row r="136">
      <c r="A136" s="19">
        <f>'SW Rev'!$A33</f>
        <v/>
      </c>
      <c r="B136" s="19">
        <f>'SW Rev'!$B33</f>
        <v/>
      </c>
      <c r="C136" s="37">
        <f>IFERROR(IF(AND(ISNUMBER('SW Rev'!G33),ISNUMBER('SW Rev'!C33),'SW Rev'!C33&gt;0),'SW Rev'!G33/'SW Rev'!C33-1,""),"")</f>
        <v/>
      </c>
      <c r="D136" s="37">
        <f>IFERROR(IF(AND(ISNUMBER('SW Rev'!H33),ISNUMBER('SW Rev'!D33),'SW Rev'!D33&gt;0),'SW Rev'!H33/'SW Rev'!D33-1,""),"")</f>
        <v/>
      </c>
      <c r="E136" s="37">
        <f>IFERROR(IF(AND(ISNUMBER('SW Rev'!I33),ISNUMBER('SW Rev'!E33),'SW Rev'!E33&gt;0),'SW Rev'!I33/'SW Rev'!E33-1,""),"")</f>
        <v/>
      </c>
      <c r="F136" s="37">
        <f>IFERROR(IF(AND(ISNUMBER('SW Rev'!J33),ISNUMBER('SW Rev'!F33),'SW Rev'!F33&gt;0),'SW Rev'!J33/'SW Rev'!F33-1,""),"")</f>
        <v/>
      </c>
      <c r="G136" s="37">
        <f>IFERROR(IF(AND(ISNUMBER('SW Rev'!K33),ISNUMBER('SW Rev'!G33),'SW Rev'!G33&gt;0),'SW Rev'!K33/'SW Rev'!G33-1,""),"")</f>
        <v/>
      </c>
      <c r="H136" s="37">
        <f>IFERROR(IF(AND(ISNUMBER('SW Rev'!L33),ISNUMBER('SW Rev'!H33),'SW Rev'!H33&gt;0),'SW Rev'!L33/'SW Rev'!H33-1,""),"")</f>
        <v/>
      </c>
      <c r="I136" s="37">
        <f>IFERROR(IF(AND(ISNUMBER('SW Rev'!M33),ISNUMBER('SW Rev'!I33),'SW Rev'!I33&gt;0),'SW Rev'!M33/'SW Rev'!I33-1,""),"")</f>
        <v/>
      </c>
      <c r="J136" s="37">
        <f>IFERROR(IF(AND(ISNUMBER('SW Rev'!N33),ISNUMBER('SW Rev'!J33),'SW Rev'!J33&gt;0),'SW Rev'!N33/'SW Rev'!J33-1,""),"")</f>
        <v/>
      </c>
      <c r="K136" s="37">
        <f>IFERROR(IF(AND(ISNUMBER('SW Rev'!O33),ISNUMBER('SW Rev'!K33),'SW Rev'!K33&gt;0),'SW Rev'!O33/'SW Rev'!K33-1,""),"")</f>
        <v/>
      </c>
      <c r="L136" s="37">
        <f>IFERROR(IF(AND(ISNUMBER('SW Rev'!P33),ISNUMBER('SW Rev'!L33),'SW Rev'!L33&gt;0),'SW Rev'!P33/'SW Rev'!L33-1,""),"")</f>
        <v/>
      </c>
      <c r="M136" s="38">
        <f>IFERROR(IF(AND(ISNUMBER('SW Rev'!Q33),ISNUMBER('SW Rev'!M33),'SW Rev'!M33&gt;0),'SW Rev'!Q33/'SW Rev'!M33-1,""),"")</f>
        <v/>
      </c>
      <c r="N136" s="38">
        <f>IFERROR(IF(AND(ISNUMBER('SW Rev'!R33),ISNUMBER('SW Rev'!N33),'SW Rev'!N33&gt;0),'SW Rev'!R33/'SW Rev'!N33-1,""),"")</f>
        <v/>
      </c>
    </row>
    <row r="137">
      <c r="A137" s="19">
        <f>'SW Rev'!$A34</f>
        <v/>
      </c>
      <c r="B137" s="19">
        <f>'SW Rev'!$B34</f>
        <v/>
      </c>
      <c r="C137" s="37">
        <f>IFERROR(IF(AND(ISNUMBER('SW Rev'!G34),ISNUMBER('SW Rev'!C34),'SW Rev'!C34&gt;0),'SW Rev'!G34/'SW Rev'!C34-1,""),"")</f>
        <v/>
      </c>
      <c r="D137" s="37">
        <f>IFERROR(IF(AND(ISNUMBER('SW Rev'!H34),ISNUMBER('SW Rev'!D34),'SW Rev'!D34&gt;0),'SW Rev'!H34/'SW Rev'!D34-1,""),"")</f>
        <v/>
      </c>
      <c r="E137" s="37">
        <f>IFERROR(IF(AND(ISNUMBER('SW Rev'!I34),ISNUMBER('SW Rev'!E34),'SW Rev'!E34&gt;0),'SW Rev'!I34/'SW Rev'!E34-1,""),"")</f>
        <v/>
      </c>
      <c r="F137" s="37">
        <f>IFERROR(IF(AND(ISNUMBER('SW Rev'!J34),ISNUMBER('SW Rev'!F34),'SW Rev'!F34&gt;0),'SW Rev'!J34/'SW Rev'!F34-1,""),"")</f>
        <v/>
      </c>
      <c r="G137" s="37">
        <f>IFERROR(IF(AND(ISNUMBER('SW Rev'!K34),ISNUMBER('SW Rev'!G34),'SW Rev'!G34&gt;0),'SW Rev'!K34/'SW Rev'!G34-1,""),"")</f>
        <v/>
      </c>
      <c r="H137" s="37">
        <f>IFERROR(IF(AND(ISNUMBER('SW Rev'!L34),ISNUMBER('SW Rev'!H34),'SW Rev'!H34&gt;0),'SW Rev'!L34/'SW Rev'!H34-1,""),"")</f>
        <v/>
      </c>
      <c r="I137" s="37">
        <f>IFERROR(IF(AND(ISNUMBER('SW Rev'!M34),ISNUMBER('SW Rev'!I34),'SW Rev'!I34&gt;0),'SW Rev'!M34/'SW Rev'!I34-1,""),"")</f>
        <v/>
      </c>
      <c r="J137" s="37">
        <f>IFERROR(IF(AND(ISNUMBER('SW Rev'!N34),ISNUMBER('SW Rev'!J34),'SW Rev'!J34&gt;0),'SW Rev'!N34/'SW Rev'!J34-1,""),"")</f>
        <v/>
      </c>
      <c r="K137" s="37">
        <f>IFERROR(IF(AND(ISNUMBER('SW Rev'!O34),ISNUMBER('SW Rev'!K34),'SW Rev'!K34&gt;0),'SW Rev'!O34/'SW Rev'!K34-1,""),"")</f>
        <v/>
      </c>
      <c r="L137" s="37">
        <f>IFERROR(IF(AND(ISNUMBER('SW Rev'!P34),ISNUMBER('SW Rev'!L34),'SW Rev'!L34&gt;0),'SW Rev'!P34/'SW Rev'!L34-1,""),"")</f>
        <v/>
      </c>
      <c r="M137" s="38">
        <f>IFERROR(IF(AND(ISNUMBER('SW Rev'!Q34),ISNUMBER('SW Rev'!M34),'SW Rev'!M34&gt;0),'SW Rev'!Q34/'SW Rev'!M34-1,""),"")</f>
        <v/>
      </c>
      <c r="N137" s="38">
        <f>IFERROR(IF(AND(ISNUMBER('SW Rev'!R34),ISNUMBER('SW Rev'!N34),'SW Rev'!N34&gt;0),'SW Rev'!R34/'SW Rev'!N34-1,""),"")</f>
        <v/>
      </c>
    </row>
    <row r="138">
      <c r="A138" s="19">
        <f>'SW Rev'!$A35</f>
        <v/>
      </c>
      <c r="B138" s="19">
        <f>'SW Rev'!$B35</f>
        <v/>
      </c>
      <c r="C138" s="37">
        <f>IFERROR(IF(AND(ISNUMBER('SW Rev'!G35),ISNUMBER('SW Rev'!C35),'SW Rev'!C35&gt;0),'SW Rev'!G35/'SW Rev'!C35-1,""),"")</f>
        <v/>
      </c>
      <c r="D138" s="37">
        <f>IFERROR(IF(AND(ISNUMBER('SW Rev'!H35),ISNUMBER('SW Rev'!D35),'SW Rev'!D35&gt;0),'SW Rev'!H35/'SW Rev'!D35-1,""),"")</f>
        <v/>
      </c>
      <c r="E138" s="37">
        <f>IFERROR(IF(AND(ISNUMBER('SW Rev'!I35),ISNUMBER('SW Rev'!E35),'SW Rev'!E35&gt;0),'SW Rev'!I35/'SW Rev'!E35-1,""),"")</f>
        <v/>
      </c>
      <c r="F138" s="37">
        <f>IFERROR(IF(AND(ISNUMBER('SW Rev'!J35),ISNUMBER('SW Rev'!F35),'SW Rev'!F35&gt;0),'SW Rev'!J35/'SW Rev'!F35-1,""),"")</f>
        <v/>
      </c>
      <c r="G138" s="37">
        <f>IFERROR(IF(AND(ISNUMBER('SW Rev'!K35),ISNUMBER('SW Rev'!G35),'SW Rev'!G35&gt;0),'SW Rev'!K35/'SW Rev'!G35-1,""),"")</f>
        <v/>
      </c>
      <c r="H138" s="37">
        <f>IFERROR(IF(AND(ISNUMBER('SW Rev'!L35),ISNUMBER('SW Rev'!H35),'SW Rev'!H35&gt;0),'SW Rev'!L35/'SW Rev'!H35-1,""),"")</f>
        <v/>
      </c>
      <c r="I138" s="37">
        <f>IFERROR(IF(AND(ISNUMBER('SW Rev'!M35),ISNUMBER('SW Rev'!I35),'SW Rev'!I35&gt;0),'SW Rev'!M35/'SW Rev'!I35-1,""),"")</f>
        <v/>
      </c>
      <c r="J138" s="37">
        <f>IFERROR(IF(AND(ISNUMBER('SW Rev'!N35),ISNUMBER('SW Rev'!J35),'SW Rev'!J35&gt;0),'SW Rev'!N35/'SW Rev'!J35-1,""),"")</f>
        <v/>
      </c>
      <c r="K138" s="37">
        <f>IFERROR(IF(AND(ISNUMBER('SW Rev'!O35),ISNUMBER('SW Rev'!K35),'SW Rev'!K35&gt;0),'SW Rev'!O35/'SW Rev'!K35-1,""),"")</f>
        <v/>
      </c>
      <c r="L138" s="37">
        <f>IFERROR(IF(AND(ISNUMBER('SW Rev'!P35),ISNUMBER('SW Rev'!L35),'SW Rev'!L35&gt;0),'SW Rev'!P35/'SW Rev'!L35-1,""),"")</f>
        <v/>
      </c>
      <c r="M138" s="38">
        <f>IFERROR(IF(AND(ISNUMBER('SW Rev'!Q35),ISNUMBER('SW Rev'!M35),'SW Rev'!M35&gt;0),'SW Rev'!Q35/'SW Rev'!M35-1,""),"")</f>
        <v/>
      </c>
      <c r="N138" s="38">
        <f>IFERROR(IF(AND(ISNUMBER('SW Rev'!R35),ISNUMBER('SW Rev'!N35),'SW Rev'!N35&gt;0),'SW Rev'!R35/'SW Rev'!N35-1,""),"")</f>
        <v/>
      </c>
    </row>
    <row r="139">
      <c r="A139" s="19">
        <f>'SW Rev'!$A36</f>
        <v/>
      </c>
      <c r="B139" s="19">
        <f>'SW Rev'!$B36</f>
        <v/>
      </c>
      <c r="C139" s="37">
        <f>IFERROR(IF(AND(ISNUMBER('SW Rev'!G36),ISNUMBER('SW Rev'!C36),'SW Rev'!C36&gt;0),'SW Rev'!G36/'SW Rev'!C36-1,""),"")</f>
        <v/>
      </c>
      <c r="D139" s="37">
        <f>IFERROR(IF(AND(ISNUMBER('SW Rev'!H36),ISNUMBER('SW Rev'!D36),'SW Rev'!D36&gt;0),'SW Rev'!H36/'SW Rev'!D36-1,""),"")</f>
        <v/>
      </c>
      <c r="E139" s="37">
        <f>IFERROR(IF(AND(ISNUMBER('SW Rev'!I36),ISNUMBER('SW Rev'!E36),'SW Rev'!E36&gt;0),'SW Rev'!I36/'SW Rev'!E36-1,""),"")</f>
        <v/>
      </c>
      <c r="F139" s="37">
        <f>IFERROR(IF(AND(ISNUMBER('SW Rev'!J36),ISNUMBER('SW Rev'!F36),'SW Rev'!F36&gt;0),'SW Rev'!J36/'SW Rev'!F36-1,""),"")</f>
        <v/>
      </c>
      <c r="G139" s="37">
        <f>IFERROR(IF(AND(ISNUMBER('SW Rev'!K36),ISNUMBER('SW Rev'!G36),'SW Rev'!G36&gt;0),'SW Rev'!K36/'SW Rev'!G36-1,""),"")</f>
        <v/>
      </c>
      <c r="H139" s="37">
        <f>IFERROR(IF(AND(ISNUMBER('SW Rev'!L36),ISNUMBER('SW Rev'!H36),'SW Rev'!H36&gt;0),'SW Rev'!L36/'SW Rev'!H36-1,""),"")</f>
        <v/>
      </c>
      <c r="I139" s="37">
        <f>IFERROR(IF(AND(ISNUMBER('SW Rev'!M36),ISNUMBER('SW Rev'!I36),'SW Rev'!I36&gt;0),'SW Rev'!M36/'SW Rev'!I36-1,""),"")</f>
        <v/>
      </c>
      <c r="J139" s="37">
        <f>IFERROR(IF(AND(ISNUMBER('SW Rev'!N36),ISNUMBER('SW Rev'!J36),'SW Rev'!J36&gt;0),'SW Rev'!N36/'SW Rev'!J36-1,""),"")</f>
        <v/>
      </c>
      <c r="K139" s="37">
        <f>IFERROR(IF(AND(ISNUMBER('SW Rev'!O36),ISNUMBER('SW Rev'!K36),'SW Rev'!K36&gt;0),'SW Rev'!O36/'SW Rev'!K36-1,""),"")</f>
        <v/>
      </c>
      <c r="L139" s="37">
        <f>IFERROR(IF(AND(ISNUMBER('SW Rev'!P36),ISNUMBER('SW Rev'!L36),'SW Rev'!L36&gt;0),'SW Rev'!P36/'SW Rev'!L36-1,""),"")</f>
        <v/>
      </c>
      <c r="M139" s="38">
        <f>IFERROR(IF(AND(ISNUMBER('SW Rev'!Q36),ISNUMBER('SW Rev'!M36),'SW Rev'!M36&gt;0),'SW Rev'!Q36/'SW Rev'!M36-1,""),"")</f>
        <v/>
      </c>
      <c r="N139" s="38">
        <f>IFERROR(IF(AND(ISNUMBER('SW Rev'!R36),ISNUMBER('SW Rev'!N36),'SW Rev'!N36&gt;0),'SW Rev'!R36/'SW Rev'!N36-1,""),"")</f>
        <v/>
      </c>
    </row>
    <row r="140">
      <c r="A140" s="19">
        <f>'SW Rev'!$A37</f>
        <v/>
      </c>
      <c r="B140" s="19">
        <f>'SW Rev'!$B37</f>
        <v/>
      </c>
      <c r="C140" s="37">
        <f>IFERROR(IF(AND(ISNUMBER('SW Rev'!G37),ISNUMBER('SW Rev'!C37),'SW Rev'!C37&gt;0),'SW Rev'!G37/'SW Rev'!C37-1,""),"")</f>
        <v/>
      </c>
      <c r="D140" s="37">
        <f>IFERROR(IF(AND(ISNUMBER('SW Rev'!H37),ISNUMBER('SW Rev'!D37),'SW Rev'!D37&gt;0),'SW Rev'!H37/'SW Rev'!D37-1,""),"")</f>
        <v/>
      </c>
      <c r="E140" s="37">
        <f>IFERROR(IF(AND(ISNUMBER('SW Rev'!I37),ISNUMBER('SW Rev'!E37),'SW Rev'!E37&gt;0),'SW Rev'!I37/'SW Rev'!E37-1,""),"")</f>
        <v/>
      </c>
      <c r="F140" s="37">
        <f>IFERROR(IF(AND(ISNUMBER('SW Rev'!J37),ISNUMBER('SW Rev'!F37),'SW Rev'!F37&gt;0),'SW Rev'!J37/'SW Rev'!F37-1,""),"")</f>
        <v/>
      </c>
      <c r="G140" s="37">
        <f>IFERROR(IF(AND(ISNUMBER('SW Rev'!K37),ISNUMBER('SW Rev'!G37),'SW Rev'!G37&gt;0),'SW Rev'!K37/'SW Rev'!G37-1,""),"")</f>
        <v/>
      </c>
      <c r="H140" s="37">
        <f>IFERROR(IF(AND(ISNUMBER('SW Rev'!L37),ISNUMBER('SW Rev'!H37),'SW Rev'!H37&gt;0),'SW Rev'!L37/'SW Rev'!H37-1,""),"")</f>
        <v/>
      </c>
      <c r="I140" s="37">
        <f>IFERROR(IF(AND(ISNUMBER('SW Rev'!M37),ISNUMBER('SW Rev'!I37),'SW Rev'!I37&gt;0),'SW Rev'!M37/'SW Rev'!I37-1,""),"")</f>
        <v/>
      </c>
      <c r="J140" s="37">
        <f>IFERROR(IF(AND(ISNUMBER('SW Rev'!N37),ISNUMBER('SW Rev'!J37),'SW Rev'!J37&gt;0),'SW Rev'!N37/'SW Rev'!J37-1,""),"")</f>
        <v/>
      </c>
      <c r="K140" s="37">
        <f>IFERROR(IF(AND(ISNUMBER('SW Rev'!O37),ISNUMBER('SW Rev'!K37),'SW Rev'!K37&gt;0),'SW Rev'!O37/'SW Rev'!K37-1,""),"")</f>
        <v/>
      </c>
      <c r="L140" s="37">
        <f>IFERROR(IF(AND(ISNUMBER('SW Rev'!P37),ISNUMBER('SW Rev'!L37),'SW Rev'!L37&gt;0),'SW Rev'!P37/'SW Rev'!L37-1,""),"")</f>
        <v/>
      </c>
      <c r="M140" s="38">
        <f>IFERROR(IF(AND(ISNUMBER('SW Rev'!Q37),ISNUMBER('SW Rev'!M37),'SW Rev'!M37&gt;0),'SW Rev'!Q37/'SW Rev'!M37-1,""),"")</f>
        <v/>
      </c>
      <c r="N140" s="38">
        <f>IFERROR(IF(AND(ISNUMBER('SW Rev'!R37),ISNUMBER('SW Rev'!N37),'SW Rev'!N37&gt;0),'SW Rev'!R37/'SW Rev'!N37-1,""),"")</f>
        <v/>
      </c>
    </row>
    <row r="141">
      <c r="A141" s="19">
        <f>'SW Rev'!$A38</f>
        <v/>
      </c>
      <c r="B141" s="19">
        <f>'SW Rev'!$B38</f>
        <v/>
      </c>
      <c r="C141" s="37">
        <f>IFERROR(IF(AND(ISNUMBER('SW Rev'!G38),ISNUMBER('SW Rev'!C38),'SW Rev'!C38&gt;0),'SW Rev'!G38/'SW Rev'!C38-1,""),"")</f>
        <v/>
      </c>
      <c r="D141" s="37">
        <f>IFERROR(IF(AND(ISNUMBER('SW Rev'!H38),ISNUMBER('SW Rev'!D38),'SW Rev'!D38&gt;0),'SW Rev'!H38/'SW Rev'!D38-1,""),"")</f>
        <v/>
      </c>
      <c r="E141" s="37">
        <f>IFERROR(IF(AND(ISNUMBER('SW Rev'!I38),ISNUMBER('SW Rev'!E38),'SW Rev'!E38&gt;0),'SW Rev'!I38/'SW Rev'!E38-1,""),"")</f>
        <v/>
      </c>
      <c r="F141" s="37">
        <f>IFERROR(IF(AND(ISNUMBER('SW Rev'!J38),ISNUMBER('SW Rev'!F38),'SW Rev'!F38&gt;0),'SW Rev'!J38/'SW Rev'!F38-1,""),"")</f>
        <v/>
      </c>
      <c r="G141" s="37">
        <f>IFERROR(IF(AND(ISNUMBER('SW Rev'!K38),ISNUMBER('SW Rev'!G38),'SW Rev'!G38&gt;0),'SW Rev'!K38/'SW Rev'!G38-1,""),"")</f>
        <v/>
      </c>
      <c r="H141" s="37">
        <f>IFERROR(IF(AND(ISNUMBER('SW Rev'!L38),ISNUMBER('SW Rev'!H38),'SW Rev'!H38&gt;0),'SW Rev'!L38/'SW Rev'!H38-1,""),"")</f>
        <v/>
      </c>
      <c r="I141" s="37">
        <f>IFERROR(IF(AND(ISNUMBER('SW Rev'!M38),ISNUMBER('SW Rev'!I38),'SW Rev'!I38&gt;0),'SW Rev'!M38/'SW Rev'!I38-1,""),"")</f>
        <v/>
      </c>
      <c r="J141" s="37">
        <f>IFERROR(IF(AND(ISNUMBER('SW Rev'!N38),ISNUMBER('SW Rev'!J38),'SW Rev'!J38&gt;0),'SW Rev'!N38/'SW Rev'!J38-1,""),"")</f>
        <v/>
      </c>
      <c r="K141" s="37">
        <f>IFERROR(IF(AND(ISNUMBER('SW Rev'!O38),ISNUMBER('SW Rev'!K38),'SW Rev'!K38&gt;0),'SW Rev'!O38/'SW Rev'!K38-1,""),"")</f>
        <v/>
      </c>
      <c r="L141" s="37">
        <f>IFERROR(IF(AND(ISNUMBER('SW Rev'!P38),ISNUMBER('SW Rev'!L38),'SW Rev'!L38&gt;0),'SW Rev'!P38/'SW Rev'!L38-1,""),"")</f>
        <v/>
      </c>
      <c r="M141" s="38">
        <f>IFERROR(IF(AND(ISNUMBER('SW Rev'!Q38),ISNUMBER('SW Rev'!M38),'SW Rev'!M38&gt;0),'SW Rev'!Q38/'SW Rev'!M38-1,""),"")</f>
        <v/>
      </c>
      <c r="N141" s="38">
        <f>IFERROR(IF(AND(ISNUMBER('SW Rev'!R38),ISNUMBER('SW Rev'!N38),'SW Rev'!N38&gt;0),'SW Rev'!R38/'SW Rev'!N38-1,""),"")</f>
        <v/>
      </c>
    </row>
    <row r="142">
      <c r="A142" s="19">
        <f>'SW Rev'!$A39</f>
        <v/>
      </c>
      <c r="B142" s="19">
        <f>'SW Rev'!$B39</f>
        <v/>
      </c>
      <c r="C142" s="37">
        <f>IFERROR(IF(AND(ISNUMBER('SW Rev'!G39),ISNUMBER('SW Rev'!C39),'SW Rev'!C39&gt;0),'SW Rev'!G39/'SW Rev'!C39-1,""),"")</f>
        <v/>
      </c>
      <c r="D142" s="37">
        <f>IFERROR(IF(AND(ISNUMBER('SW Rev'!H39),ISNUMBER('SW Rev'!D39),'SW Rev'!D39&gt;0),'SW Rev'!H39/'SW Rev'!D39-1,""),"")</f>
        <v/>
      </c>
      <c r="E142" s="37">
        <f>IFERROR(IF(AND(ISNUMBER('SW Rev'!I39),ISNUMBER('SW Rev'!E39),'SW Rev'!E39&gt;0),'SW Rev'!I39/'SW Rev'!E39-1,""),"")</f>
        <v/>
      </c>
      <c r="F142" s="37">
        <f>IFERROR(IF(AND(ISNUMBER('SW Rev'!J39),ISNUMBER('SW Rev'!F39),'SW Rev'!F39&gt;0),'SW Rev'!J39/'SW Rev'!F39-1,""),"")</f>
        <v/>
      </c>
      <c r="G142" s="37">
        <f>IFERROR(IF(AND(ISNUMBER('SW Rev'!K39),ISNUMBER('SW Rev'!G39),'SW Rev'!G39&gt;0),'SW Rev'!K39/'SW Rev'!G39-1,""),"")</f>
        <v/>
      </c>
      <c r="H142" s="37">
        <f>IFERROR(IF(AND(ISNUMBER('SW Rev'!L39),ISNUMBER('SW Rev'!H39),'SW Rev'!H39&gt;0),'SW Rev'!L39/'SW Rev'!H39-1,""),"")</f>
        <v/>
      </c>
      <c r="I142" s="37">
        <f>IFERROR(IF(AND(ISNUMBER('SW Rev'!M39),ISNUMBER('SW Rev'!I39),'SW Rev'!I39&gt;0),'SW Rev'!M39/'SW Rev'!I39-1,""),"")</f>
        <v/>
      </c>
      <c r="J142" s="37">
        <f>IFERROR(IF(AND(ISNUMBER('SW Rev'!N39),ISNUMBER('SW Rev'!J39),'SW Rev'!J39&gt;0),'SW Rev'!N39/'SW Rev'!J39-1,""),"")</f>
        <v/>
      </c>
      <c r="K142" s="37">
        <f>IFERROR(IF(AND(ISNUMBER('SW Rev'!O39),ISNUMBER('SW Rev'!K39),'SW Rev'!K39&gt;0),'SW Rev'!O39/'SW Rev'!K39-1,""),"")</f>
        <v/>
      </c>
      <c r="L142" s="37">
        <f>IFERROR(IF(AND(ISNUMBER('SW Rev'!P39),ISNUMBER('SW Rev'!L39),'SW Rev'!L39&gt;0),'SW Rev'!P39/'SW Rev'!L39-1,""),"")</f>
        <v/>
      </c>
      <c r="M142" s="38">
        <f>IFERROR(IF(AND(ISNUMBER('SW Rev'!Q39),ISNUMBER('SW Rev'!M39),'SW Rev'!M39&gt;0),'SW Rev'!Q39/'SW Rev'!M39-1,""),"")</f>
        <v/>
      </c>
      <c r="N142" s="38">
        <f>IFERROR(IF(AND(ISNUMBER('SW Rev'!R39),ISNUMBER('SW Rev'!N39),'SW Rev'!N39&gt;0),'SW Rev'!R39/'SW Rev'!N39-1,""),"")</f>
        <v/>
      </c>
    </row>
    <row r="143">
      <c r="A143" s="19">
        <f>'SW Rev'!$A40</f>
        <v/>
      </c>
      <c r="B143" s="19">
        <f>'SW Rev'!$B40</f>
        <v/>
      </c>
      <c r="C143" s="37">
        <f>IFERROR(IF(AND(ISNUMBER('SW Rev'!G40),ISNUMBER('SW Rev'!C40),'SW Rev'!C40&gt;0),'SW Rev'!G40/'SW Rev'!C40-1,""),"")</f>
        <v/>
      </c>
      <c r="D143" s="37">
        <f>IFERROR(IF(AND(ISNUMBER('SW Rev'!H40),ISNUMBER('SW Rev'!D40),'SW Rev'!D40&gt;0),'SW Rev'!H40/'SW Rev'!D40-1,""),"")</f>
        <v/>
      </c>
      <c r="E143" s="37">
        <f>IFERROR(IF(AND(ISNUMBER('SW Rev'!I40),ISNUMBER('SW Rev'!E40),'SW Rev'!E40&gt;0),'SW Rev'!I40/'SW Rev'!E40-1,""),"")</f>
        <v/>
      </c>
      <c r="F143" s="37">
        <f>IFERROR(IF(AND(ISNUMBER('SW Rev'!J40),ISNUMBER('SW Rev'!F40),'SW Rev'!F40&gt;0),'SW Rev'!J40/'SW Rev'!F40-1,""),"")</f>
        <v/>
      </c>
      <c r="G143" s="37">
        <f>IFERROR(IF(AND(ISNUMBER('SW Rev'!K40),ISNUMBER('SW Rev'!G40),'SW Rev'!G40&gt;0),'SW Rev'!K40/'SW Rev'!G40-1,""),"")</f>
        <v/>
      </c>
      <c r="H143" s="37">
        <f>IFERROR(IF(AND(ISNUMBER('SW Rev'!L40),ISNUMBER('SW Rev'!H40),'SW Rev'!H40&gt;0),'SW Rev'!L40/'SW Rev'!H40-1,""),"")</f>
        <v/>
      </c>
      <c r="I143" s="37">
        <f>IFERROR(IF(AND(ISNUMBER('SW Rev'!M40),ISNUMBER('SW Rev'!I40),'SW Rev'!I40&gt;0),'SW Rev'!M40/'SW Rev'!I40-1,""),"")</f>
        <v/>
      </c>
      <c r="J143" s="37">
        <f>IFERROR(IF(AND(ISNUMBER('SW Rev'!N40),ISNUMBER('SW Rev'!J40),'SW Rev'!J40&gt;0),'SW Rev'!N40/'SW Rev'!J40-1,""),"")</f>
        <v/>
      </c>
      <c r="K143" s="37">
        <f>IFERROR(IF(AND(ISNUMBER('SW Rev'!O40),ISNUMBER('SW Rev'!K40),'SW Rev'!K40&gt;0),'SW Rev'!O40/'SW Rev'!K40-1,""),"")</f>
        <v/>
      </c>
      <c r="L143" s="37">
        <f>IFERROR(IF(AND(ISNUMBER('SW Rev'!P40),ISNUMBER('SW Rev'!L40),'SW Rev'!L40&gt;0),'SW Rev'!P40/'SW Rev'!L40-1,""),"")</f>
        <v/>
      </c>
      <c r="M143" s="38">
        <f>IFERROR(IF(AND(ISNUMBER('SW Rev'!Q40),ISNUMBER('SW Rev'!M40),'SW Rev'!M40&gt;0),'SW Rev'!Q40/'SW Rev'!M40-1,""),"")</f>
        <v/>
      </c>
      <c r="N143" s="38">
        <f>IFERROR(IF(AND(ISNUMBER('SW Rev'!R40),ISNUMBER('SW Rev'!N40),'SW Rev'!N40&gt;0),'SW Rev'!R40/'SW Rev'!N40-1,""),"")</f>
        <v/>
      </c>
    </row>
    <row r="144">
      <c r="A144" s="19">
        <f>'SW Rev'!$A41</f>
        <v/>
      </c>
      <c r="B144" s="19">
        <f>'SW Rev'!$B41</f>
        <v/>
      </c>
      <c r="C144" s="37">
        <f>IFERROR(IF(AND(ISNUMBER('SW Rev'!G41),ISNUMBER('SW Rev'!C41),'SW Rev'!C41&gt;0),'SW Rev'!G41/'SW Rev'!C41-1,""),"")</f>
        <v/>
      </c>
      <c r="D144" s="37">
        <f>IFERROR(IF(AND(ISNUMBER('SW Rev'!H41),ISNUMBER('SW Rev'!D41),'SW Rev'!D41&gt;0),'SW Rev'!H41/'SW Rev'!D41-1,""),"")</f>
        <v/>
      </c>
      <c r="E144" s="37">
        <f>IFERROR(IF(AND(ISNUMBER('SW Rev'!I41),ISNUMBER('SW Rev'!E41),'SW Rev'!E41&gt;0),'SW Rev'!I41/'SW Rev'!E41-1,""),"")</f>
        <v/>
      </c>
      <c r="F144" s="37">
        <f>IFERROR(IF(AND(ISNUMBER('SW Rev'!J41),ISNUMBER('SW Rev'!F41),'SW Rev'!F41&gt;0),'SW Rev'!J41/'SW Rev'!F41-1,""),"")</f>
        <v/>
      </c>
      <c r="G144" s="37">
        <f>IFERROR(IF(AND(ISNUMBER('SW Rev'!K41),ISNUMBER('SW Rev'!G41),'SW Rev'!G41&gt;0),'SW Rev'!K41/'SW Rev'!G41-1,""),"")</f>
        <v/>
      </c>
      <c r="H144" s="37">
        <f>IFERROR(IF(AND(ISNUMBER('SW Rev'!L41),ISNUMBER('SW Rev'!H41),'SW Rev'!H41&gt;0),'SW Rev'!L41/'SW Rev'!H41-1,""),"")</f>
        <v/>
      </c>
      <c r="I144" s="37">
        <f>IFERROR(IF(AND(ISNUMBER('SW Rev'!M41),ISNUMBER('SW Rev'!I41),'SW Rev'!I41&gt;0),'SW Rev'!M41/'SW Rev'!I41-1,""),"")</f>
        <v/>
      </c>
      <c r="J144" s="37">
        <f>IFERROR(IF(AND(ISNUMBER('SW Rev'!N41),ISNUMBER('SW Rev'!J41),'SW Rev'!J41&gt;0),'SW Rev'!N41/'SW Rev'!J41-1,""),"")</f>
        <v/>
      </c>
      <c r="K144" s="37">
        <f>IFERROR(IF(AND(ISNUMBER('SW Rev'!O41),ISNUMBER('SW Rev'!K41),'SW Rev'!K41&gt;0),'SW Rev'!O41/'SW Rev'!K41-1,""),"")</f>
        <v/>
      </c>
      <c r="L144" s="37">
        <f>IFERROR(IF(AND(ISNUMBER('SW Rev'!P41),ISNUMBER('SW Rev'!L41),'SW Rev'!L41&gt;0),'SW Rev'!P41/'SW Rev'!L41-1,""),"")</f>
        <v/>
      </c>
      <c r="M144" s="38">
        <f>IFERROR(IF(AND(ISNUMBER('SW Rev'!Q41),ISNUMBER('SW Rev'!M41),'SW Rev'!M41&gt;0),'SW Rev'!Q41/'SW Rev'!M41-1,""),"")</f>
        <v/>
      </c>
      <c r="N144" s="38">
        <f>IFERROR(IF(AND(ISNUMBER('SW Rev'!R41),ISNUMBER('SW Rev'!N41),'SW Rev'!N41&gt;0),'SW Rev'!R41/'SW Rev'!N41-1,""),"")</f>
        <v/>
      </c>
    </row>
    <row r="145">
      <c r="A145" s="19">
        <f>'SW Rev'!$A42</f>
        <v/>
      </c>
      <c r="B145" s="19">
        <f>'SW Rev'!$B42</f>
        <v/>
      </c>
      <c r="C145" s="37">
        <f>IFERROR(IF(AND(ISNUMBER('SW Rev'!G42),ISNUMBER('SW Rev'!C42),'SW Rev'!C42&gt;0),'SW Rev'!G42/'SW Rev'!C42-1,""),"")</f>
        <v/>
      </c>
      <c r="D145" s="37">
        <f>IFERROR(IF(AND(ISNUMBER('SW Rev'!H42),ISNUMBER('SW Rev'!D42),'SW Rev'!D42&gt;0),'SW Rev'!H42/'SW Rev'!D42-1,""),"")</f>
        <v/>
      </c>
      <c r="E145" s="37">
        <f>IFERROR(IF(AND(ISNUMBER('SW Rev'!I42),ISNUMBER('SW Rev'!E42),'SW Rev'!E42&gt;0),'SW Rev'!I42/'SW Rev'!E42-1,""),"")</f>
        <v/>
      </c>
      <c r="F145" s="37">
        <f>IFERROR(IF(AND(ISNUMBER('SW Rev'!J42),ISNUMBER('SW Rev'!F42),'SW Rev'!F42&gt;0),'SW Rev'!J42/'SW Rev'!F42-1,""),"")</f>
        <v/>
      </c>
      <c r="G145" s="37">
        <f>IFERROR(IF(AND(ISNUMBER('SW Rev'!K42),ISNUMBER('SW Rev'!G42),'SW Rev'!G42&gt;0),'SW Rev'!K42/'SW Rev'!G42-1,""),"")</f>
        <v/>
      </c>
      <c r="H145" s="37">
        <f>IFERROR(IF(AND(ISNUMBER('SW Rev'!L42),ISNUMBER('SW Rev'!H42),'SW Rev'!H42&gt;0),'SW Rev'!L42/'SW Rev'!H42-1,""),"")</f>
        <v/>
      </c>
      <c r="I145" s="37">
        <f>IFERROR(IF(AND(ISNUMBER('SW Rev'!M42),ISNUMBER('SW Rev'!I42),'SW Rev'!I42&gt;0),'SW Rev'!M42/'SW Rev'!I42-1,""),"")</f>
        <v/>
      </c>
      <c r="J145" s="37">
        <f>IFERROR(IF(AND(ISNUMBER('SW Rev'!N42),ISNUMBER('SW Rev'!J42),'SW Rev'!J42&gt;0),'SW Rev'!N42/'SW Rev'!J42-1,""),"")</f>
        <v/>
      </c>
      <c r="K145" s="37">
        <f>IFERROR(IF(AND(ISNUMBER('SW Rev'!O42),ISNUMBER('SW Rev'!K42),'SW Rev'!K42&gt;0),'SW Rev'!O42/'SW Rev'!K42-1,""),"")</f>
        <v/>
      </c>
      <c r="L145" s="37">
        <f>IFERROR(IF(AND(ISNUMBER('SW Rev'!P42),ISNUMBER('SW Rev'!L42),'SW Rev'!L42&gt;0),'SW Rev'!P42/'SW Rev'!L42-1,""),"")</f>
        <v/>
      </c>
      <c r="M145" s="38">
        <f>IFERROR(IF(AND(ISNUMBER('SW Rev'!Q42),ISNUMBER('SW Rev'!M42),'SW Rev'!M42&gt;0),'SW Rev'!Q42/'SW Rev'!M42-1,""),"")</f>
        <v/>
      </c>
      <c r="N145" s="38">
        <f>IFERROR(IF(AND(ISNUMBER('SW Rev'!R42),ISNUMBER('SW Rev'!N42),'SW Rev'!N42&gt;0),'SW Rev'!R42/'SW Rev'!N42-1,""),"")</f>
        <v/>
      </c>
    </row>
    <row r="146">
      <c r="A146" s="19">
        <f>'SW Rev'!$A43</f>
        <v/>
      </c>
      <c r="B146" s="19">
        <f>'SW Rev'!$B43</f>
        <v/>
      </c>
      <c r="C146" s="37">
        <f>IFERROR(IF(AND(ISNUMBER('SW Rev'!G43),ISNUMBER('SW Rev'!C43),'SW Rev'!C43&gt;0),'SW Rev'!G43/'SW Rev'!C43-1,""),"")</f>
        <v/>
      </c>
      <c r="D146" s="37">
        <f>IFERROR(IF(AND(ISNUMBER('SW Rev'!H43),ISNUMBER('SW Rev'!D43),'SW Rev'!D43&gt;0),'SW Rev'!H43/'SW Rev'!D43-1,""),"")</f>
        <v/>
      </c>
      <c r="E146" s="37">
        <f>IFERROR(IF(AND(ISNUMBER('SW Rev'!I43),ISNUMBER('SW Rev'!E43),'SW Rev'!E43&gt;0),'SW Rev'!I43/'SW Rev'!E43-1,""),"")</f>
        <v/>
      </c>
      <c r="F146" s="37">
        <f>IFERROR(IF(AND(ISNUMBER('SW Rev'!J43),ISNUMBER('SW Rev'!F43),'SW Rev'!F43&gt;0),'SW Rev'!J43/'SW Rev'!F43-1,""),"")</f>
        <v/>
      </c>
      <c r="G146" s="37">
        <f>IFERROR(IF(AND(ISNUMBER('SW Rev'!K43),ISNUMBER('SW Rev'!G43),'SW Rev'!G43&gt;0),'SW Rev'!K43/'SW Rev'!G43-1,""),"")</f>
        <v/>
      </c>
      <c r="H146" s="37">
        <f>IFERROR(IF(AND(ISNUMBER('SW Rev'!L43),ISNUMBER('SW Rev'!H43),'SW Rev'!H43&gt;0),'SW Rev'!L43/'SW Rev'!H43-1,""),"")</f>
        <v/>
      </c>
      <c r="I146" s="37">
        <f>IFERROR(IF(AND(ISNUMBER('SW Rev'!M43),ISNUMBER('SW Rev'!I43),'SW Rev'!I43&gt;0),'SW Rev'!M43/'SW Rev'!I43-1,""),"")</f>
        <v/>
      </c>
      <c r="J146" s="37">
        <f>IFERROR(IF(AND(ISNUMBER('SW Rev'!N43),ISNUMBER('SW Rev'!J43),'SW Rev'!J43&gt;0),'SW Rev'!N43/'SW Rev'!J43-1,""),"")</f>
        <v/>
      </c>
      <c r="K146" s="37">
        <f>IFERROR(IF(AND(ISNUMBER('SW Rev'!O43),ISNUMBER('SW Rev'!K43),'SW Rev'!K43&gt;0),'SW Rev'!O43/'SW Rev'!K43-1,""),"")</f>
        <v/>
      </c>
      <c r="L146" s="37">
        <f>IFERROR(IF(AND(ISNUMBER('SW Rev'!P43),ISNUMBER('SW Rev'!L43),'SW Rev'!L43&gt;0),'SW Rev'!P43/'SW Rev'!L43-1,""),"")</f>
        <v/>
      </c>
      <c r="M146" s="38">
        <f>IFERROR(IF(AND(ISNUMBER('SW Rev'!Q43),ISNUMBER('SW Rev'!M43),'SW Rev'!M43&gt;0),'SW Rev'!Q43/'SW Rev'!M43-1,""),"")</f>
        <v/>
      </c>
      <c r="N146" s="38">
        <f>IFERROR(IF(AND(ISNUMBER('SW Rev'!R43),ISNUMBER('SW Rev'!N43),'SW Rev'!N43&gt;0),'SW Rev'!R43/'SW Rev'!N43-1,""),"")</f>
        <v/>
      </c>
    </row>
    <row r="147">
      <c r="A147" s="19">
        <f>'SW Rev'!$A44</f>
        <v/>
      </c>
      <c r="B147" s="19">
        <f>'SW Rev'!$B44</f>
        <v/>
      </c>
      <c r="C147" s="37">
        <f>IFERROR(IF(AND(ISNUMBER('SW Rev'!G44),ISNUMBER('SW Rev'!C44),'SW Rev'!C44&gt;0),'SW Rev'!G44/'SW Rev'!C44-1,""),"")</f>
        <v/>
      </c>
      <c r="D147" s="37">
        <f>IFERROR(IF(AND(ISNUMBER('SW Rev'!H44),ISNUMBER('SW Rev'!D44),'SW Rev'!D44&gt;0),'SW Rev'!H44/'SW Rev'!D44-1,""),"")</f>
        <v/>
      </c>
      <c r="E147" s="37">
        <f>IFERROR(IF(AND(ISNUMBER('SW Rev'!I44),ISNUMBER('SW Rev'!E44),'SW Rev'!E44&gt;0),'SW Rev'!I44/'SW Rev'!E44-1,""),"")</f>
        <v/>
      </c>
      <c r="F147" s="37">
        <f>IFERROR(IF(AND(ISNUMBER('SW Rev'!J44),ISNUMBER('SW Rev'!F44),'SW Rev'!F44&gt;0),'SW Rev'!J44/'SW Rev'!F44-1,""),"")</f>
        <v/>
      </c>
      <c r="G147" s="37">
        <f>IFERROR(IF(AND(ISNUMBER('SW Rev'!K44),ISNUMBER('SW Rev'!G44),'SW Rev'!G44&gt;0),'SW Rev'!K44/'SW Rev'!G44-1,""),"")</f>
        <v/>
      </c>
      <c r="H147" s="37">
        <f>IFERROR(IF(AND(ISNUMBER('SW Rev'!L44),ISNUMBER('SW Rev'!H44),'SW Rev'!H44&gt;0),'SW Rev'!L44/'SW Rev'!H44-1,""),"")</f>
        <v/>
      </c>
      <c r="I147" s="37">
        <f>IFERROR(IF(AND(ISNUMBER('SW Rev'!M44),ISNUMBER('SW Rev'!I44),'SW Rev'!I44&gt;0),'SW Rev'!M44/'SW Rev'!I44-1,""),"")</f>
        <v/>
      </c>
      <c r="J147" s="37">
        <f>IFERROR(IF(AND(ISNUMBER('SW Rev'!N44),ISNUMBER('SW Rev'!J44),'SW Rev'!J44&gt;0),'SW Rev'!N44/'SW Rev'!J44-1,""),"")</f>
        <v/>
      </c>
      <c r="K147" s="37">
        <f>IFERROR(IF(AND(ISNUMBER('SW Rev'!O44),ISNUMBER('SW Rev'!K44),'SW Rev'!K44&gt;0),'SW Rev'!O44/'SW Rev'!K44-1,""),"")</f>
        <v/>
      </c>
      <c r="L147" s="37">
        <f>IFERROR(IF(AND(ISNUMBER('SW Rev'!P44),ISNUMBER('SW Rev'!L44),'SW Rev'!L44&gt;0),'SW Rev'!P44/'SW Rev'!L44-1,""),"")</f>
        <v/>
      </c>
      <c r="M147" s="38">
        <f>IFERROR(IF(AND(ISNUMBER('SW Rev'!Q44),ISNUMBER('SW Rev'!M44),'SW Rev'!M44&gt;0),'SW Rev'!Q44/'SW Rev'!M44-1,""),"")</f>
        <v/>
      </c>
      <c r="N147" s="38">
        <f>IFERROR(IF(AND(ISNUMBER('SW Rev'!R44),ISNUMBER('SW Rev'!N44),'SW Rev'!N44&gt;0),'SW Rev'!R44/'SW Rev'!N44-1,""),"")</f>
        <v/>
      </c>
    </row>
    <row r="148">
      <c r="A148" s="19">
        <f>'SW Rev'!$A45</f>
        <v/>
      </c>
      <c r="B148" s="19">
        <f>'SW Rev'!$B45</f>
        <v/>
      </c>
      <c r="C148" s="37">
        <f>IFERROR(IF(AND(ISNUMBER('SW Rev'!G45),ISNUMBER('SW Rev'!C45),'SW Rev'!C45&gt;0),'SW Rev'!G45/'SW Rev'!C45-1,""),"")</f>
        <v/>
      </c>
      <c r="D148" s="37">
        <f>IFERROR(IF(AND(ISNUMBER('SW Rev'!H45),ISNUMBER('SW Rev'!D45),'SW Rev'!D45&gt;0),'SW Rev'!H45/'SW Rev'!D45-1,""),"")</f>
        <v/>
      </c>
      <c r="E148" s="37">
        <f>IFERROR(IF(AND(ISNUMBER('SW Rev'!I45),ISNUMBER('SW Rev'!E45),'SW Rev'!E45&gt;0),'SW Rev'!I45/'SW Rev'!E45-1,""),"")</f>
        <v/>
      </c>
      <c r="F148" s="37">
        <f>IFERROR(IF(AND(ISNUMBER('SW Rev'!J45),ISNUMBER('SW Rev'!F45),'SW Rev'!F45&gt;0),'SW Rev'!J45/'SW Rev'!F45-1,""),"")</f>
        <v/>
      </c>
      <c r="G148" s="37">
        <f>IFERROR(IF(AND(ISNUMBER('SW Rev'!K45),ISNUMBER('SW Rev'!G45),'SW Rev'!G45&gt;0),'SW Rev'!K45/'SW Rev'!G45-1,""),"")</f>
        <v/>
      </c>
      <c r="H148" s="37">
        <f>IFERROR(IF(AND(ISNUMBER('SW Rev'!L45),ISNUMBER('SW Rev'!H45),'SW Rev'!H45&gt;0),'SW Rev'!L45/'SW Rev'!H45-1,""),"")</f>
        <v/>
      </c>
      <c r="I148" s="37">
        <f>IFERROR(IF(AND(ISNUMBER('SW Rev'!M45),ISNUMBER('SW Rev'!I45),'SW Rev'!I45&gt;0),'SW Rev'!M45/'SW Rev'!I45-1,""),"")</f>
        <v/>
      </c>
      <c r="J148" s="37">
        <f>IFERROR(IF(AND(ISNUMBER('SW Rev'!N45),ISNUMBER('SW Rev'!J45),'SW Rev'!J45&gt;0),'SW Rev'!N45/'SW Rev'!J45-1,""),"")</f>
        <v/>
      </c>
      <c r="K148" s="37">
        <f>IFERROR(IF(AND(ISNUMBER('SW Rev'!O45),ISNUMBER('SW Rev'!K45),'SW Rev'!K45&gt;0),'SW Rev'!O45/'SW Rev'!K45-1,""),"")</f>
        <v/>
      </c>
      <c r="L148" s="37">
        <f>IFERROR(IF(AND(ISNUMBER('SW Rev'!P45),ISNUMBER('SW Rev'!L45),'SW Rev'!L45&gt;0),'SW Rev'!P45/'SW Rev'!L45-1,""),"")</f>
        <v/>
      </c>
      <c r="M148" s="38">
        <f>IFERROR(IF(AND(ISNUMBER('SW Rev'!Q45),ISNUMBER('SW Rev'!M45),'SW Rev'!M45&gt;0),'SW Rev'!Q45/'SW Rev'!M45-1,""),"")</f>
        <v/>
      </c>
      <c r="N148" s="38">
        <f>IFERROR(IF(AND(ISNUMBER('SW Rev'!R45),ISNUMBER('SW Rev'!N45),'SW Rev'!N45&gt;0),'SW Rev'!R45/'SW Rev'!N45-1,""),"")</f>
        <v/>
      </c>
    </row>
    <row r="149">
      <c r="A149" s="19">
        <f>'SW Rev'!$A46</f>
        <v/>
      </c>
      <c r="B149" s="19">
        <f>'SW Rev'!$B46</f>
        <v/>
      </c>
      <c r="C149" s="37">
        <f>IFERROR(IF(AND(ISNUMBER('SW Rev'!G46),ISNUMBER('SW Rev'!C46),'SW Rev'!C46&gt;0),'SW Rev'!G46/'SW Rev'!C46-1,""),"")</f>
        <v/>
      </c>
      <c r="D149" s="37">
        <f>IFERROR(IF(AND(ISNUMBER('SW Rev'!H46),ISNUMBER('SW Rev'!D46),'SW Rev'!D46&gt;0),'SW Rev'!H46/'SW Rev'!D46-1,""),"")</f>
        <v/>
      </c>
      <c r="E149" s="37">
        <f>IFERROR(IF(AND(ISNUMBER('SW Rev'!I46),ISNUMBER('SW Rev'!E46),'SW Rev'!E46&gt;0),'SW Rev'!I46/'SW Rev'!E46-1,""),"")</f>
        <v/>
      </c>
      <c r="F149" s="37">
        <f>IFERROR(IF(AND(ISNUMBER('SW Rev'!J46),ISNUMBER('SW Rev'!F46),'SW Rev'!F46&gt;0),'SW Rev'!J46/'SW Rev'!F46-1,""),"")</f>
        <v/>
      </c>
      <c r="G149" s="37">
        <f>IFERROR(IF(AND(ISNUMBER('SW Rev'!K46),ISNUMBER('SW Rev'!G46),'SW Rev'!G46&gt;0),'SW Rev'!K46/'SW Rev'!G46-1,""),"")</f>
        <v/>
      </c>
      <c r="H149" s="37">
        <f>IFERROR(IF(AND(ISNUMBER('SW Rev'!L46),ISNUMBER('SW Rev'!H46),'SW Rev'!H46&gt;0),'SW Rev'!L46/'SW Rev'!H46-1,""),"")</f>
        <v/>
      </c>
      <c r="I149" s="37">
        <f>IFERROR(IF(AND(ISNUMBER('SW Rev'!M46),ISNUMBER('SW Rev'!I46),'SW Rev'!I46&gt;0),'SW Rev'!M46/'SW Rev'!I46-1,""),"")</f>
        <v/>
      </c>
      <c r="J149" s="37">
        <f>IFERROR(IF(AND(ISNUMBER('SW Rev'!N46),ISNUMBER('SW Rev'!J46),'SW Rev'!J46&gt;0),'SW Rev'!N46/'SW Rev'!J46-1,""),"")</f>
        <v/>
      </c>
      <c r="K149" s="37">
        <f>IFERROR(IF(AND(ISNUMBER('SW Rev'!O46),ISNUMBER('SW Rev'!K46),'SW Rev'!K46&gt;0),'SW Rev'!O46/'SW Rev'!K46-1,""),"")</f>
        <v/>
      </c>
      <c r="L149" s="37">
        <f>IFERROR(IF(AND(ISNUMBER('SW Rev'!P46),ISNUMBER('SW Rev'!L46),'SW Rev'!L46&gt;0),'SW Rev'!P46/'SW Rev'!L46-1,""),"")</f>
        <v/>
      </c>
      <c r="M149" s="38">
        <f>IFERROR(IF(AND(ISNUMBER('SW Rev'!Q46),ISNUMBER('SW Rev'!M46),'SW Rev'!M46&gt;0),'SW Rev'!Q46/'SW Rev'!M46-1,""),"")</f>
        <v/>
      </c>
      <c r="N149" s="38">
        <f>IFERROR(IF(AND(ISNUMBER('SW Rev'!R46),ISNUMBER('SW Rev'!N46),'SW Rev'!N46&gt;0),'SW Rev'!R46/'SW Rev'!N46-1,""),"")</f>
        <v/>
      </c>
    </row>
    <row r="150">
      <c r="A150" s="19">
        <f>'SW Rev'!$A47</f>
        <v/>
      </c>
      <c r="B150" s="19">
        <f>'SW Rev'!$B47</f>
        <v/>
      </c>
      <c r="C150" s="37">
        <f>IFERROR(IF(AND(ISNUMBER('SW Rev'!G47),ISNUMBER('SW Rev'!C47),'SW Rev'!C47&gt;0),'SW Rev'!G47/'SW Rev'!C47-1,""),"")</f>
        <v/>
      </c>
      <c r="D150" s="37">
        <f>IFERROR(IF(AND(ISNUMBER('SW Rev'!H47),ISNUMBER('SW Rev'!D47),'SW Rev'!D47&gt;0),'SW Rev'!H47/'SW Rev'!D47-1,""),"")</f>
        <v/>
      </c>
      <c r="E150" s="37">
        <f>IFERROR(IF(AND(ISNUMBER('SW Rev'!I47),ISNUMBER('SW Rev'!E47),'SW Rev'!E47&gt;0),'SW Rev'!I47/'SW Rev'!E47-1,""),"")</f>
        <v/>
      </c>
      <c r="F150" s="37">
        <f>IFERROR(IF(AND(ISNUMBER('SW Rev'!J47),ISNUMBER('SW Rev'!F47),'SW Rev'!F47&gt;0),'SW Rev'!J47/'SW Rev'!F47-1,""),"")</f>
        <v/>
      </c>
      <c r="G150" s="37">
        <f>IFERROR(IF(AND(ISNUMBER('SW Rev'!K47),ISNUMBER('SW Rev'!G47),'SW Rev'!G47&gt;0),'SW Rev'!K47/'SW Rev'!G47-1,""),"")</f>
        <v/>
      </c>
      <c r="H150" s="37">
        <f>IFERROR(IF(AND(ISNUMBER('SW Rev'!L47),ISNUMBER('SW Rev'!H47),'SW Rev'!H47&gt;0),'SW Rev'!L47/'SW Rev'!H47-1,""),"")</f>
        <v/>
      </c>
      <c r="I150" s="37">
        <f>IFERROR(IF(AND(ISNUMBER('SW Rev'!M47),ISNUMBER('SW Rev'!I47),'SW Rev'!I47&gt;0),'SW Rev'!M47/'SW Rev'!I47-1,""),"")</f>
        <v/>
      </c>
      <c r="J150" s="37">
        <f>IFERROR(IF(AND(ISNUMBER('SW Rev'!N47),ISNUMBER('SW Rev'!J47),'SW Rev'!J47&gt;0),'SW Rev'!N47/'SW Rev'!J47-1,""),"")</f>
        <v/>
      </c>
      <c r="K150" s="37">
        <f>IFERROR(IF(AND(ISNUMBER('SW Rev'!O47),ISNUMBER('SW Rev'!K47),'SW Rev'!K47&gt;0),'SW Rev'!O47/'SW Rev'!K47-1,""),"")</f>
        <v/>
      </c>
      <c r="L150" s="37">
        <f>IFERROR(IF(AND(ISNUMBER('SW Rev'!P47),ISNUMBER('SW Rev'!L47),'SW Rev'!L47&gt;0),'SW Rev'!P47/'SW Rev'!L47-1,""),"")</f>
        <v/>
      </c>
      <c r="M150" s="38">
        <f>IFERROR(IF(AND(ISNUMBER('SW Rev'!Q47),ISNUMBER('SW Rev'!M47),'SW Rev'!M47&gt;0),'SW Rev'!Q47/'SW Rev'!M47-1,""),"")</f>
        <v/>
      </c>
      <c r="N150" s="38">
        <f>IFERROR(IF(AND(ISNUMBER('SW Rev'!R47),ISNUMBER('SW Rev'!N47),'SW Rev'!N47&gt;0),'SW Rev'!R47/'SW Rev'!N47-1,""),"")</f>
        <v/>
      </c>
    </row>
    <row r="151">
      <c r="A151" s="19">
        <f>'SW Rev'!$A48</f>
        <v/>
      </c>
      <c r="B151" s="19">
        <f>'SW Rev'!$B48</f>
        <v/>
      </c>
      <c r="C151" s="37">
        <f>IFERROR(IF(AND(ISNUMBER('SW Rev'!G48),ISNUMBER('SW Rev'!C48),'SW Rev'!C48&gt;0),'SW Rev'!G48/'SW Rev'!C48-1,""),"")</f>
        <v/>
      </c>
      <c r="D151" s="37">
        <f>IFERROR(IF(AND(ISNUMBER('SW Rev'!H48),ISNUMBER('SW Rev'!D48),'SW Rev'!D48&gt;0),'SW Rev'!H48/'SW Rev'!D48-1,""),"")</f>
        <v/>
      </c>
      <c r="E151" s="37">
        <f>IFERROR(IF(AND(ISNUMBER('SW Rev'!I48),ISNUMBER('SW Rev'!E48),'SW Rev'!E48&gt;0),'SW Rev'!I48/'SW Rev'!E48-1,""),"")</f>
        <v/>
      </c>
      <c r="F151" s="37">
        <f>IFERROR(IF(AND(ISNUMBER('SW Rev'!J48),ISNUMBER('SW Rev'!F48),'SW Rev'!F48&gt;0),'SW Rev'!J48/'SW Rev'!F48-1,""),"")</f>
        <v/>
      </c>
      <c r="G151" s="37">
        <f>IFERROR(IF(AND(ISNUMBER('SW Rev'!K48),ISNUMBER('SW Rev'!G48),'SW Rev'!G48&gt;0),'SW Rev'!K48/'SW Rev'!G48-1,""),"")</f>
        <v/>
      </c>
      <c r="H151" s="37">
        <f>IFERROR(IF(AND(ISNUMBER('SW Rev'!L48),ISNUMBER('SW Rev'!H48),'SW Rev'!H48&gt;0),'SW Rev'!L48/'SW Rev'!H48-1,""),"")</f>
        <v/>
      </c>
      <c r="I151" s="37">
        <f>IFERROR(IF(AND(ISNUMBER('SW Rev'!M48),ISNUMBER('SW Rev'!I48),'SW Rev'!I48&gt;0),'SW Rev'!M48/'SW Rev'!I48-1,""),"")</f>
        <v/>
      </c>
      <c r="J151" s="37">
        <f>IFERROR(IF(AND(ISNUMBER('SW Rev'!N48),ISNUMBER('SW Rev'!J48),'SW Rev'!J48&gt;0),'SW Rev'!N48/'SW Rev'!J48-1,""),"")</f>
        <v/>
      </c>
      <c r="K151" s="37">
        <f>IFERROR(IF(AND(ISNUMBER('SW Rev'!O48),ISNUMBER('SW Rev'!K48),'SW Rev'!K48&gt;0),'SW Rev'!O48/'SW Rev'!K48-1,""),"")</f>
        <v/>
      </c>
      <c r="L151" s="37">
        <f>IFERROR(IF(AND(ISNUMBER('SW Rev'!P48),ISNUMBER('SW Rev'!L48),'SW Rev'!L48&gt;0),'SW Rev'!P48/'SW Rev'!L48-1,""),"")</f>
        <v/>
      </c>
      <c r="M151" s="38">
        <f>IFERROR(IF(AND(ISNUMBER('SW Rev'!Q48),ISNUMBER('SW Rev'!M48),'SW Rev'!M48&gt;0),'SW Rev'!Q48/'SW Rev'!M48-1,""),"")</f>
        <v/>
      </c>
      <c r="N151" s="38">
        <f>IFERROR(IF(AND(ISNUMBER('SW Rev'!R48),ISNUMBER('SW Rev'!N48),'SW Rev'!N48&gt;0),'SW Rev'!R48/'SW Rev'!N48-1,""),"")</f>
        <v/>
      </c>
    </row>
    <row r="152">
      <c r="A152" s="19">
        <f>'SW Rev'!$A49</f>
        <v/>
      </c>
      <c r="B152" s="19">
        <f>'SW Rev'!$B49</f>
        <v/>
      </c>
      <c r="C152" s="37">
        <f>IFERROR(IF(AND(ISNUMBER('SW Rev'!G49),ISNUMBER('SW Rev'!C49),'SW Rev'!C49&gt;0),'SW Rev'!G49/'SW Rev'!C49-1,""),"")</f>
        <v/>
      </c>
      <c r="D152" s="37">
        <f>IFERROR(IF(AND(ISNUMBER('SW Rev'!H49),ISNUMBER('SW Rev'!D49),'SW Rev'!D49&gt;0),'SW Rev'!H49/'SW Rev'!D49-1,""),"")</f>
        <v/>
      </c>
      <c r="E152" s="37">
        <f>IFERROR(IF(AND(ISNUMBER('SW Rev'!I49),ISNUMBER('SW Rev'!E49),'SW Rev'!E49&gt;0),'SW Rev'!I49/'SW Rev'!E49-1,""),"")</f>
        <v/>
      </c>
      <c r="F152" s="37">
        <f>IFERROR(IF(AND(ISNUMBER('SW Rev'!J49),ISNUMBER('SW Rev'!F49),'SW Rev'!F49&gt;0),'SW Rev'!J49/'SW Rev'!F49-1,""),"")</f>
        <v/>
      </c>
      <c r="G152" s="37">
        <f>IFERROR(IF(AND(ISNUMBER('SW Rev'!K49),ISNUMBER('SW Rev'!G49),'SW Rev'!G49&gt;0),'SW Rev'!K49/'SW Rev'!G49-1,""),"")</f>
        <v/>
      </c>
      <c r="H152" s="37">
        <f>IFERROR(IF(AND(ISNUMBER('SW Rev'!L49),ISNUMBER('SW Rev'!H49),'SW Rev'!H49&gt;0),'SW Rev'!L49/'SW Rev'!H49-1,""),"")</f>
        <v/>
      </c>
      <c r="I152" s="37">
        <f>IFERROR(IF(AND(ISNUMBER('SW Rev'!M49),ISNUMBER('SW Rev'!I49),'SW Rev'!I49&gt;0),'SW Rev'!M49/'SW Rev'!I49-1,""),"")</f>
        <v/>
      </c>
      <c r="J152" s="37">
        <f>IFERROR(IF(AND(ISNUMBER('SW Rev'!N49),ISNUMBER('SW Rev'!J49),'SW Rev'!J49&gt;0),'SW Rev'!N49/'SW Rev'!J49-1,""),"")</f>
        <v/>
      </c>
      <c r="K152" s="37">
        <f>IFERROR(IF(AND(ISNUMBER('SW Rev'!O49),ISNUMBER('SW Rev'!K49),'SW Rev'!K49&gt;0),'SW Rev'!O49/'SW Rev'!K49-1,""),"")</f>
        <v/>
      </c>
      <c r="L152" s="37">
        <f>IFERROR(IF(AND(ISNUMBER('SW Rev'!P49),ISNUMBER('SW Rev'!L49),'SW Rev'!L49&gt;0),'SW Rev'!P49/'SW Rev'!L49-1,""),"")</f>
        <v/>
      </c>
      <c r="M152" s="38">
        <f>IFERROR(IF(AND(ISNUMBER('SW Rev'!Q49),ISNUMBER('SW Rev'!M49),'SW Rev'!M49&gt;0),'SW Rev'!Q49/'SW Rev'!M49-1,""),"")</f>
        <v/>
      </c>
      <c r="N152" s="38">
        <f>IFERROR(IF(AND(ISNUMBER('SW Rev'!R49),ISNUMBER('SW Rev'!N49),'SW Rev'!N49&gt;0),'SW Rev'!R49/'SW Rev'!N49-1,""),"")</f>
        <v/>
      </c>
    </row>
    <row r="153">
      <c r="A153" s="19">
        <f>'SW Rev'!$A50</f>
        <v/>
      </c>
      <c r="B153" s="19">
        <f>'SW Rev'!$B50</f>
        <v/>
      </c>
      <c r="C153" s="37">
        <f>IFERROR(IF(AND(ISNUMBER('SW Rev'!G50),ISNUMBER('SW Rev'!C50),'SW Rev'!C50&gt;0),'SW Rev'!G50/'SW Rev'!C50-1,""),"")</f>
        <v/>
      </c>
      <c r="D153" s="37">
        <f>IFERROR(IF(AND(ISNUMBER('SW Rev'!H50),ISNUMBER('SW Rev'!D50),'SW Rev'!D50&gt;0),'SW Rev'!H50/'SW Rev'!D50-1,""),"")</f>
        <v/>
      </c>
      <c r="E153" s="37">
        <f>IFERROR(IF(AND(ISNUMBER('SW Rev'!I50),ISNUMBER('SW Rev'!E50),'SW Rev'!E50&gt;0),'SW Rev'!I50/'SW Rev'!E50-1,""),"")</f>
        <v/>
      </c>
      <c r="F153" s="37">
        <f>IFERROR(IF(AND(ISNUMBER('SW Rev'!J50),ISNUMBER('SW Rev'!F50),'SW Rev'!F50&gt;0),'SW Rev'!J50/'SW Rev'!F50-1,""),"")</f>
        <v/>
      </c>
      <c r="G153" s="37">
        <f>IFERROR(IF(AND(ISNUMBER('SW Rev'!K50),ISNUMBER('SW Rev'!G50),'SW Rev'!G50&gt;0),'SW Rev'!K50/'SW Rev'!G50-1,""),"")</f>
        <v/>
      </c>
      <c r="H153" s="37">
        <f>IFERROR(IF(AND(ISNUMBER('SW Rev'!L50),ISNUMBER('SW Rev'!H50),'SW Rev'!H50&gt;0),'SW Rev'!L50/'SW Rev'!H50-1,""),"")</f>
        <v/>
      </c>
      <c r="I153" s="37">
        <f>IFERROR(IF(AND(ISNUMBER('SW Rev'!M50),ISNUMBER('SW Rev'!I50),'SW Rev'!I50&gt;0),'SW Rev'!M50/'SW Rev'!I50-1,""),"")</f>
        <v/>
      </c>
      <c r="J153" s="37">
        <f>IFERROR(IF(AND(ISNUMBER('SW Rev'!N50),ISNUMBER('SW Rev'!J50),'SW Rev'!J50&gt;0),'SW Rev'!N50/'SW Rev'!J50-1,""),"")</f>
        <v/>
      </c>
      <c r="K153" s="37">
        <f>IFERROR(IF(AND(ISNUMBER('SW Rev'!O50),ISNUMBER('SW Rev'!K50),'SW Rev'!K50&gt;0),'SW Rev'!O50/'SW Rev'!K50-1,""),"")</f>
        <v/>
      </c>
      <c r="L153" s="37">
        <f>IFERROR(IF(AND(ISNUMBER('SW Rev'!P50),ISNUMBER('SW Rev'!L50),'SW Rev'!L50&gt;0),'SW Rev'!P50/'SW Rev'!L50-1,""),"")</f>
        <v/>
      </c>
      <c r="M153" s="38">
        <f>IFERROR(IF(AND(ISNUMBER('SW Rev'!Q50),ISNUMBER('SW Rev'!M50),'SW Rev'!M50&gt;0),'SW Rev'!Q50/'SW Rev'!M50-1,""),"")</f>
        <v/>
      </c>
      <c r="N153" s="38">
        <f>IFERROR(IF(AND(ISNUMBER('SW Rev'!R50),ISNUMBER('SW Rev'!N50),'SW Rev'!N50&gt;0),'SW Rev'!R50/'SW Rev'!N50-1,""),"")</f>
        <v/>
      </c>
    </row>
    <row r="154">
      <c r="A154" s="19">
        <f>'SW Rev'!$A51</f>
        <v/>
      </c>
      <c r="B154" s="19">
        <f>'SW Rev'!$B51</f>
        <v/>
      </c>
      <c r="C154" s="37">
        <f>IFERROR(IF(AND(ISNUMBER('SW Rev'!G51),ISNUMBER('SW Rev'!C51),'SW Rev'!C51&gt;0),'SW Rev'!G51/'SW Rev'!C51-1,""),"")</f>
        <v/>
      </c>
      <c r="D154" s="37">
        <f>IFERROR(IF(AND(ISNUMBER('SW Rev'!H51),ISNUMBER('SW Rev'!D51),'SW Rev'!D51&gt;0),'SW Rev'!H51/'SW Rev'!D51-1,""),"")</f>
        <v/>
      </c>
      <c r="E154" s="37">
        <f>IFERROR(IF(AND(ISNUMBER('SW Rev'!I51),ISNUMBER('SW Rev'!E51),'SW Rev'!E51&gt;0),'SW Rev'!I51/'SW Rev'!E51-1,""),"")</f>
        <v/>
      </c>
      <c r="F154" s="37">
        <f>IFERROR(IF(AND(ISNUMBER('SW Rev'!J51),ISNUMBER('SW Rev'!F51),'SW Rev'!F51&gt;0),'SW Rev'!J51/'SW Rev'!F51-1,""),"")</f>
        <v/>
      </c>
      <c r="G154" s="37">
        <f>IFERROR(IF(AND(ISNUMBER('SW Rev'!K51),ISNUMBER('SW Rev'!G51),'SW Rev'!G51&gt;0),'SW Rev'!K51/'SW Rev'!G51-1,""),"")</f>
        <v/>
      </c>
      <c r="H154" s="37">
        <f>IFERROR(IF(AND(ISNUMBER('SW Rev'!L51),ISNUMBER('SW Rev'!H51),'SW Rev'!H51&gt;0),'SW Rev'!L51/'SW Rev'!H51-1,""),"")</f>
        <v/>
      </c>
      <c r="I154" s="37">
        <f>IFERROR(IF(AND(ISNUMBER('SW Rev'!M51),ISNUMBER('SW Rev'!I51),'SW Rev'!I51&gt;0),'SW Rev'!M51/'SW Rev'!I51-1,""),"")</f>
        <v/>
      </c>
      <c r="J154" s="37">
        <f>IFERROR(IF(AND(ISNUMBER('SW Rev'!N51),ISNUMBER('SW Rev'!J51),'SW Rev'!J51&gt;0),'SW Rev'!N51/'SW Rev'!J51-1,""),"")</f>
        <v/>
      </c>
      <c r="K154" s="37">
        <f>IFERROR(IF(AND(ISNUMBER('SW Rev'!O51),ISNUMBER('SW Rev'!K51),'SW Rev'!K51&gt;0),'SW Rev'!O51/'SW Rev'!K51-1,""),"")</f>
        <v/>
      </c>
      <c r="L154" s="37">
        <f>IFERROR(IF(AND(ISNUMBER('SW Rev'!P51),ISNUMBER('SW Rev'!L51),'SW Rev'!L51&gt;0),'SW Rev'!P51/'SW Rev'!L51-1,""),"")</f>
        <v/>
      </c>
      <c r="M154" s="38">
        <f>IFERROR(IF(AND(ISNUMBER('SW Rev'!Q51),ISNUMBER('SW Rev'!M51),'SW Rev'!M51&gt;0),'SW Rev'!Q51/'SW Rev'!M51-1,""),"")</f>
        <v/>
      </c>
      <c r="N154" s="38">
        <f>IFERROR(IF(AND(ISNUMBER('SW Rev'!R51),ISNUMBER('SW Rev'!N51),'SW Rev'!N51&gt;0),'SW Rev'!R51/'SW Rev'!N51-1,""),"")</f>
        <v/>
      </c>
    </row>
    <row r="155">
      <c r="A155" s="19">
        <f>'SW Rev'!$A52</f>
        <v/>
      </c>
      <c r="B155" s="19">
        <f>'SW Rev'!$B52</f>
        <v/>
      </c>
      <c r="C155" s="37">
        <f>IFERROR(IF(AND(ISNUMBER('SW Rev'!G52),ISNUMBER('SW Rev'!C52),'SW Rev'!C52&gt;0),'SW Rev'!G52/'SW Rev'!C52-1,""),"")</f>
        <v/>
      </c>
      <c r="D155" s="37">
        <f>IFERROR(IF(AND(ISNUMBER('SW Rev'!H52),ISNUMBER('SW Rev'!D52),'SW Rev'!D52&gt;0),'SW Rev'!H52/'SW Rev'!D52-1,""),"")</f>
        <v/>
      </c>
      <c r="E155" s="37">
        <f>IFERROR(IF(AND(ISNUMBER('SW Rev'!I52),ISNUMBER('SW Rev'!E52),'SW Rev'!E52&gt;0),'SW Rev'!I52/'SW Rev'!E52-1,""),"")</f>
        <v/>
      </c>
      <c r="F155" s="37">
        <f>IFERROR(IF(AND(ISNUMBER('SW Rev'!J52),ISNUMBER('SW Rev'!F52),'SW Rev'!F52&gt;0),'SW Rev'!J52/'SW Rev'!F52-1,""),"")</f>
        <v/>
      </c>
      <c r="G155" s="37">
        <f>IFERROR(IF(AND(ISNUMBER('SW Rev'!K52),ISNUMBER('SW Rev'!G52),'SW Rev'!G52&gt;0),'SW Rev'!K52/'SW Rev'!G52-1,""),"")</f>
        <v/>
      </c>
      <c r="H155" s="37">
        <f>IFERROR(IF(AND(ISNUMBER('SW Rev'!L52),ISNUMBER('SW Rev'!H52),'SW Rev'!H52&gt;0),'SW Rev'!L52/'SW Rev'!H52-1,""),"")</f>
        <v/>
      </c>
      <c r="I155" s="37">
        <f>IFERROR(IF(AND(ISNUMBER('SW Rev'!M52),ISNUMBER('SW Rev'!I52),'SW Rev'!I52&gt;0),'SW Rev'!M52/'SW Rev'!I52-1,""),"")</f>
        <v/>
      </c>
      <c r="J155" s="37">
        <f>IFERROR(IF(AND(ISNUMBER('SW Rev'!N52),ISNUMBER('SW Rev'!J52),'SW Rev'!J52&gt;0),'SW Rev'!N52/'SW Rev'!J52-1,""),"")</f>
        <v/>
      </c>
      <c r="K155" s="37">
        <f>IFERROR(IF(AND(ISNUMBER('SW Rev'!O52),ISNUMBER('SW Rev'!K52),'SW Rev'!K52&gt;0),'SW Rev'!O52/'SW Rev'!K52-1,""),"")</f>
        <v/>
      </c>
      <c r="L155" s="37">
        <f>IFERROR(IF(AND(ISNUMBER('SW Rev'!P52),ISNUMBER('SW Rev'!L52),'SW Rev'!L52&gt;0),'SW Rev'!P52/'SW Rev'!L52-1,""),"")</f>
        <v/>
      </c>
      <c r="M155" s="38">
        <f>IFERROR(IF(AND(ISNUMBER('SW Rev'!Q52),ISNUMBER('SW Rev'!M52),'SW Rev'!M52&gt;0),'SW Rev'!Q52/'SW Rev'!M52-1,""),"")</f>
        <v/>
      </c>
      <c r="N155" s="38">
        <f>IFERROR(IF(AND(ISNUMBER('SW Rev'!R52),ISNUMBER('SW Rev'!N52),'SW Rev'!N52&gt;0),'SW Rev'!R52/'SW Rev'!N52-1,""),"")</f>
        <v/>
      </c>
    </row>
    <row r="156">
      <c r="A156" s="19">
        <f>'SW Rev'!$A53</f>
        <v/>
      </c>
      <c r="B156" s="19">
        <f>'SW Rev'!$B53</f>
        <v/>
      </c>
      <c r="C156" s="37">
        <f>IFERROR(IF(AND(ISNUMBER('SW Rev'!G53),ISNUMBER('SW Rev'!C53),'SW Rev'!C53&gt;0),'SW Rev'!G53/'SW Rev'!C53-1,""),"")</f>
        <v/>
      </c>
      <c r="D156" s="37">
        <f>IFERROR(IF(AND(ISNUMBER('SW Rev'!H53),ISNUMBER('SW Rev'!D53),'SW Rev'!D53&gt;0),'SW Rev'!H53/'SW Rev'!D53-1,""),"")</f>
        <v/>
      </c>
      <c r="E156" s="37">
        <f>IFERROR(IF(AND(ISNUMBER('SW Rev'!I53),ISNUMBER('SW Rev'!E53),'SW Rev'!E53&gt;0),'SW Rev'!I53/'SW Rev'!E53-1,""),"")</f>
        <v/>
      </c>
      <c r="F156" s="37">
        <f>IFERROR(IF(AND(ISNUMBER('SW Rev'!J53),ISNUMBER('SW Rev'!F53),'SW Rev'!F53&gt;0),'SW Rev'!J53/'SW Rev'!F53-1,""),"")</f>
        <v/>
      </c>
      <c r="G156" s="37">
        <f>IFERROR(IF(AND(ISNUMBER('SW Rev'!K53),ISNUMBER('SW Rev'!G53),'SW Rev'!G53&gt;0),'SW Rev'!K53/'SW Rev'!G53-1,""),"")</f>
        <v/>
      </c>
      <c r="H156" s="37">
        <f>IFERROR(IF(AND(ISNUMBER('SW Rev'!L53),ISNUMBER('SW Rev'!H53),'SW Rev'!H53&gt;0),'SW Rev'!L53/'SW Rev'!H53-1,""),"")</f>
        <v/>
      </c>
      <c r="I156" s="37">
        <f>IFERROR(IF(AND(ISNUMBER('SW Rev'!M53),ISNUMBER('SW Rev'!I53),'SW Rev'!I53&gt;0),'SW Rev'!M53/'SW Rev'!I53-1,""),"")</f>
        <v/>
      </c>
      <c r="J156" s="37">
        <f>IFERROR(IF(AND(ISNUMBER('SW Rev'!N53),ISNUMBER('SW Rev'!J53),'SW Rev'!J53&gt;0),'SW Rev'!N53/'SW Rev'!J53-1,""),"")</f>
        <v/>
      </c>
      <c r="K156" s="37">
        <f>IFERROR(IF(AND(ISNUMBER('SW Rev'!O53),ISNUMBER('SW Rev'!K53),'SW Rev'!K53&gt;0),'SW Rev'!O53/'SW Rev'!K53-1,""),"")</f>
        <v/>
      </c>
      <c r="L156" s="37">
        <f>IFERROR(IF(AND(ISNUMBER('SW Rev'!P53),ISNUMBER('SW Rev'!L53),'SW Rev'!L53&gt;0),'SW Rev'!P53/'SW Rev'!L53-1,""),"")</f>
        <v/>
      </c>
      <c r="M156" s="38">
        <f>IFERROR(IF(AND(ISNUMBER('SW Rev'!Q53),ISNUMBER('SW Rev'!M53),'SW Rev'!M53&gt;0),'SW Rev'!Q53/'SW Rev'!M53-1,""),"")</f>
        <v/>
      </c>
      <c r="N156" s="38">
        <f>IFERROR(IF(AND(ISNUMBER('SW Rev'!R53),ISNUMBER('SW Rev'!N53),'SW Rev'!N53&gt;0),'SW Rev'!R53/'SW Rev'!N53-1,""),"")</f>
        <v/>
      </c>
    </row>
    <row r="157">
      <c r="A157" s="19">
        <f>'SW Rev'!$A54</f>
        <v/>
      </c>
      <c r="B157" s="19">
        <f>'SW Rev'!$B54</f>
        <v/>
      </c>
      <c r="C157" s="37">
        <f>IFERROR(IF(AND(ISNUMBER('SW Rev'!G54),ISNUMBER('SW Rev'!C54),'SW Rev'!C54&gt;0),'SW Rev'!G54/'SW Rev'!C54-1,""),"")</f>
        <v/>
      </c>
      <c r="D157" s="37">
        <f>IFERROR(IF(AND(ISNUMBER('SW Rev'!H54),ISNUMBER('SW Rev'!D54),'SW Rev'!D54&gt;0),'SW Rev'!H54/'SW Rev'!D54-1,""),"")</f>
        <v/>
      </c>
      <c r="E157" s="37">
        <f>IFERROR(IF(AND(ISNUMBER('SW Rev'!I54),ISNUMBER('SW Rev'!E54),'SW Rev'!E54&gt;0),'SW Rev'!I54/'SW Rev'!E54-1,""),"")</f>
        <v/>
      </c>
      <c r="F157" s="37">
        <f>IFERROR(IF(AND(ISNUMBER('SW Rev'!J54),ISNUMBER('SW Rev'!F54),'SW Rev'!F54&gt;0),'SW Rev'!J54/'SW Rev'!F54-1,""),"")</f>
        <v/>
      </c>
      <c r="G157" s="37">
        <f>IFERROR(IF(AND(ISNUMBER('SW Rev'!K54),ISNUMBER('SW Rev'!G54),'SW Rev'!G54&gt;0),'SW Rev'!K54/'SW Rev'!G54-1,""),"")</f>
        <v/>
      </c>
      <c r="H157" s="37">
        <f>IFERROR(IF(AND(ISNUMBER('SW Rev'!L54),ISNUMBER('SW Rev'!H54),'SW Rev'!H54&gt;0),'SW Rev'!L54/'SW Rev'!H54-1,""),"")</f>
        <v/>
      </c>
      <c r="I157" s="37">
        <f>IFERROR(IF(AND(ISNUMBER('SW Rev'!M54),ISNUMBER('SW Rev'!I54),'SW Rev'!I54&gt;0),'SW Rev'!M54/'SW Rev'!I54-1,""),"")</f>
        <v/>
      </c>
      <c r="J157" s="37">
        <f>IFERROR(IF(AND(ISNUMBER('SW Rev'!N54),ISNUMBER('SW Rev'!J54),'SW Rev'!J54&gt;0),'SW Rev'!N54/'SW Rev'!J54-1,""),"")</f>
        <v/>
      </c>
      <c r="K157" s="37">
        <f>IFERROR(IF(AND(ISNUMBER('SW Rev'!O54),ISNUMBER('SW Rev'!K54),'SW Rev'!K54&gt;0),'SW Rev'!O54/'SW Rev'!K54-1,""),"")</f>
        <v/>
      </c>
      <c r="L157" s="37">
        <f>IFERROR(IF(AND(ISNUMBER('SW Rev'!P54),ISNUMBER('SW Rev'!L54),'SW Rev'!L54&gt;0),'SW Rev'!P54/'SW Rev'!L54-1,""),"")</f>
        <v/>
      </c>
      <c r="M157" s="38">
        <f>IFERROR(IF(AND(ISNUMBER('SW Rev'!Q54),ISNUMBER('SW Rev'!M54),'SW Rev'!M54&gt;0),'SW Rev'!Q54/'SW Rev'!M54-1,""),"")</f>
        <v/>
      </c>
      <c r="N157" s="38">
        <f>IFERROR(IF(AND(ISNUMBER('SW Rev'!R54),ISNUMBER('SW Rev'!N54),'SW Rev'!N54&gt;0),'SW Rev'!R54/'SW Rev'!N54-1,""),"")</f>
        <v/>
      </c>
    </row>
    <row r="158">
      <c r="A158" s="19">
        <f>'SW Rev'!$A55</f>
        <v/>
      </c>
      <c r="B158" s="19">
        <f>'SW Rev'!$B55</f>
        <v/>
      </c>
      <c r="C158" s="37">
        <f>IFERROR(IF(AND(ISNUMBER('SW Rev'!G55),ISNUMBER('SW Rev'!C55),'SW Rev'!C55&gt;0),'SW Rev'!G55/'SW Rev'!C55-1,""),"")</f>
        <v/>
      </c>
      <c r="D158" s="37">
        <f>IFERROR(IF(AND(ISNUMBER('SW Rev'!H55),ISNUMBER('SW Rev'!D55),'SW Rev'!D55&gt;0),'SW Rev'!H55/'SW Rev'!D55-1,""),"")</f>
        <v/>
      </c>
      <c r="E158" s="37">
        <f>IFERROR(IF(AND(ISNUMBER('SW Rev'!I55),ISNUMBER('SW Rev'!E55),'SW Rev'!E55&gt;0),'SW Rev'!I55/'SW Rev'!E55-1,""),"")</f>
        <v/>
      </c>
      <c r="F158" s="37">
        <f>IFERROR(IF(AND(ISNUMBER('SW Rev'!J55),ISNUMBER('SW Rev'!F55),'SW Rev'!F55&gt;0),'SW Rev'!J55/'SW Rev'!F55-1,""),"")</f>
        <v/>
      </c>
      <c r="G158" s="37">
        <f>IFERROR(IF(AND(ISNUMBER('SW Rev'!K55),ISNUMBER('SW Rev'!G55),'SW Rev'!G55&gt;0),'SW Rev'!K55/'SW Rev'!G55-1,""),"")</f>
        <v/>
      </c>
      <c r="H158" s="37">
        <f>IFERROR(IF(AND(ISNUMBER('SW Rev'!L55),ISNUMBER('SW Rev'!H55),'SW Rev'!H55&gt;0),'SW Rev'!L55/'SW Rev'!H55-1,""),"")</f>
        <v/>
      </c>
      <c r="I158" s="37">
        <f>IFERROR(IF(AND(ISNUMBER('SW Rev'!M55),ISNUMBER('SW Rev'!I55),'SW Rev'!I55&gt;0),'SW Rev'!M55/'SW Rev'!I55-1,""),"")</f>
        <v/>
      </c>
      <c r="J158" s="37">
        <f>IFERROR(IF(AND(ISNUMBER('SW Rev'!N55),ISNUMBER('SW Rev'!J55),'SW Rev'!J55&gt;0),'SW Rev'!N55/'SW Rev'!J55-1,""),"")</f>
        <v/>
      </c>
      <c r="K158" s="37">
        <f>IFERROR(IF(AND(ISNUMBER('SW Rev'!O55),ISNUMBER('SW Rev'!K55),'SW Rev'!K55&gt;0),'SW Rev'!O55/'SW Rev'!K55-1,""),"")</f>
        <v/>
      </c>
      <c r="L158" s="37">
        <f>IFERROR(IF(AND(ISNUMBER('SW Rev'!P55),ISNUMBER('SW Rev'!L55),'SW Rev'!L55&gt;0),'SW Rev'!P55/'SW Rev'!L55-1,""),"")</f>
        <v/>
      </c>
      <c r="M158" s="38">
        <f>IFERROR(IF(AND(ISNUMBER('SW Rev'!Q55),ISNUMBER('SW Rev'!M55),'SW Rev'!M55&gt;0),'SW Rev'!Q55/'SW Rev'!M55-1,""),"")</f>
        <v/>
      </c>
      <c r="N158" s="38">
        <f>IFERROR(IF(AND(ISNUMBER('SW Rev'!R55),ISNUMBER('SW Rev'!N55),'SW Rev'!N55&gt;0),'SW Rev'!R55/'SW Rev'!N55-1,""),"")</f>
        <v/>
      </c>
    </row>
    <row r="159">
      <c r="A159" s="19">
        <f>'SW Rev'!$A56</f>
        <v/>
      </c>
      <c r="B159" s="19">
        <f>'SW Rev'!$B56</f>
        <v/>
      </c>
      <c r="C159" s="37">
        <f>IFERROR(IF(AND(ISNUMBER('SW Rev'!G56),ISNUMBER('SW Rev'!C56),'SW Rev'!C56&gt;0),'SW Rev'!G56/'SW Rev'!C56-1,""),"")</f>
        <v/>
      </c>
      <c r="D159" s="37">
        <f>IFERROR(IF(AND(ISNUMBER('SW Rev'!H56),ISNUMBER('SW Rev'!D56),'SW Rev'!D56&gt;0),'SW Rev'!H56/'SW Rev'!D56-1,""),"")</f>
        <v/>
      </c>
      <c r="E159" s="37">
        <f>IFERROR(IF(AND(ISNUMBER('SW Rev'!I56),ISNUMBER('SW Rev'!E56),'SW Rev'!E56&gt;0),'SW Rev'!I56/'SW Rev'!E56-1,""),"")</f>
        <v/>
      </c>
      <c r="F159" s="37">
        <f>IFERROR(IF(AND(ISNUMBER('SW Rev'!J56),ISNUMBER('SW Rev'!F56),'SW Rev'!F56&gt;0),'SW Rev'!J56/'SW Rev'!F56-1,""),"")</f>
        <v/>
      </c>
      <c r="G159" s="37">
        <f>IFERROR(IF(AND(ISNUMBER('SW Rev'!K56),ISNUMBER('SW Rev'!G56),'SW Rev'!G56&gt;0),'SW Rev'!K56/'SW Rev'!G56-1,""),"")</f>
        <v/>
      </c>
      <c r="H159" s="37">
        <f>IFERROR(IF(AND(ISNUMBER('SW Rev'!L56),ISNUMBER('SW Rev'!H56),'SW Rev'!H56&gt;0),'SW Rev'!L56/'SW Rev'!H56-1,""),"")</f>
        <v/>
      </c>
      <c r="I159" s="37">
        <f>IFERROR(IF(AND(ISNUMBER('SW Rev'!M56),ISNUMBER('SW Rev'!I56),'SW Rev'!I56&gt;0),'SW Rev'!M56/'SW Rev'!I56-1,""),"")</f>
        <v/>
      </c>
      <c r="J159" s="37">
        <f>IFERROR(IF(AND(ISNUMBER('SW Rev'!N56),ISNUMBER('SW Rev'!J56),'SW Rev'!J56&gt;0),'SW Rev'!N56/'SW Rev'!J56-1,""),"")</f>
        <v/>
      </c>
      <c r="K159" s="37">
        <f>IFERROR(IF(AND(ISNUMBER('SW Rev'!O56),ISNUMBER('SW Rev'!K56),'SW Rev'!K56&gt;0),'SW Rev'!O56/'SW Rev'!K56-1,""),"")</f>
        <v/>
      </c>
      <c r="L159" s="37">
        <f>IFERROR(IF(AND(ISNUMBER('SW Rev'!P56),ISNUMBER('SW Rev'!L56),'SW Rev'!L56&gt;0),'SW Rev'!P56/'SW Rev'!L56-1,""),"")</f>
        <v/>
      </c>
      <c r="M159" s="38">
        <f>IFERROR(IF(AND(ISNUMBER('SW Rev'!Q56),ISNUMBER('SW Rev'!M56),'SW Rev'!M56&gt;0),'SW Rev'!Q56/'SW Rev'!M56-1,""),"")</f>
        <v/>
      </c>
      <c r="N159" s="38">
        <f>IFERROR(IF(AND(ISNUMBER('SW Rev'!R56),ISNUMBER('SW Rev'!N56),'SW Rev'!N56&gt;0),'SW Rev'!R56/'SW Rev'!N56-1,""),"")</f>
        <v/>
      </c>
    </row>
    <row r="160">
      <c r="A160" s="19">
        <f>'SW Rev'!$A57</f>
        <v/>
      </c>
      <c r="B160" s="19">
        <f>'SW Rev'!$B57</f>
        <v/>
      </c>
      <c r="C160" s="37">
        <f>IFERROR(IF(AND(ISNUMBER('SW Rev'!G57),ISNUMBER('SW Rev'!C57),'SW Rev'!C57&gt;0),'SW Rev'!G57/'SW Rev'!C57-1,""),"")</f>
        <v/>
      </c>
      <c r="D160" s="37">
        <f>IFERROR(IF(AND(ISNUMBER('SW Rev'!H57),ISNUMBER('SW Rev'!D57),'SW Rev'!D57&gt;0),'SW Rev'!H57/'SW Rev'!D57-1,""),"")</f>
        <v/>
      </c>
      <c r="E160" s="37">
        <f>IFERROR(IF(AND(ISNUMBER('SW Rev'!I57),ISNUMBER('SW Rev'!E57),'SW Rev'!E57&gt;0),'SW Rev'!I57/'SW Rev'!E57-1,""),"")</f>
        <v/>
      </c>
      <c r="F160" s="37">
        <f>IFERROR(IF(AND(ISNUMBER('SW Rev'!J57),ISNUMBER('SW Rev'!F57),'SW Rev'!F57&gt;0),'SW Rev'!J57/'SW Rev'!F57-1,""),"")</f>
        <v/>
      </c>
      <c r="G160" s="37">
        <f>IFERROR(IF(AND(ISNUMBER('SW Rev'!K57),ISNUMBER('SW Rev'!G57),'SW Rev'!G57&gt;0),'SW Rev'!K57/'SW Rev'!G57-1,""),"")</f>
        <v/>
      </c>
      <c r="H160" s="37">
        <f>IFERROR(IF(AND(ISNUMBER('SW Rev'!L57),ISNUMBER('SW Rev'!H57),'SW Rev'!H57&gt;0),'SW Rev'!L57/'SW Rev'!H57-1,""),"")</f>
        <v/>
      </c>
      <c r="I160" s="37">
        <f>IFERROR(IF(AND(ISNUMBER('SW Rev'!M57),ISNUMBER('SW Rev'!I57),'SW Rev'!I57&gt;0),'SW Rev'!M57/'SW Rev'!I57-1,""),"")</f>
        <v/>
      </c>
      <c r="J160" s="37">
        <f>IFERROR(IF(AND(ISNUMBER('SW Rev'!N57),ISNUMBER('SW Rev'!J57),'SW Rev'!J57&gt;0),'SW Rev'!N57/'SW Rev'!J57-1,""),"")</f>
        <v/>
      </c>
      <c r="K160" s="37">
        <f>IFERROR(IF(AND(ISNUMBER('SW Rev'!O57),ISNUMBER('SW Rev'!K57),'SW Rev'!K57&gt;0),'SW Rev'!O57/'SW Rev'!K57-1,""),"")</f>
        <v/>
      </c>
      <c r="L160" s="37">
        <f>IFERROR(IF(AND(ISNUMBER('SW Rev'!P57),ISNUMBER('SW Rev'!L57),'SW Rev'!L57&gt;0),'SW Rev'!P57/'SW Rev'!L57-1,""),"")</f>
        <v/>
      </c>
      <c r="M160" s="38">
        <f>IFERROR(IF(AND(ISNUMBER('SW Rev'!Q57),ISNUMBER('SW Rev'!M57),'SW Rev'!M57&gt;0),'SW Rev'!Q57/'SW Rev'!M57-1,""),"")</f>
        <v/>
      </c>
      <c r="N160" s="38">
        <f>IFERROR(IF(AND(ISNUMBER('SW Rev'!R57),ISNUMBER('SW Rev'!N57),'SW Rev'!N57&gt;0),'SW Rev'!R57/'SW Rev'!N57-1,""),"")</f>
        <v/>
      </c>
    </row>
    <row r="161">
      <c r="A161" s="19">
        <f>'SW Rev'!$A58</f>
        <v/>
      </c>
      <c r="B161" s="19">
        <f>'SW Rev'!$B58</f>
        <v/>
      </c>
      <c r="C161" s="37">
        <f>IFERROR(IF(AND(ISNUMBER('SW Rev'!G58),ISNUMBER('SW Rev'!C58),'SW Rev'!C58&gt;0),'SW Rev'!G58/'SW Rev'!C58-1,""),"")</f>
        <v/>
      </c>
      <c r="D161" s="37">
        <f>IFERROR(IF(AND(ISNUMBER('SW Rev'!H58),ISNUMBER('SW Rev'!D58),'SW Rev'!D58&gt;0),'SW Rev'!H58/'SW Rev'!D58-1,""),"")</f>
        <v/>
      </c>
      <c r="E161" s="37">
        <f>IFERROR(IF(AND(ISNUMBER('SW Rev'!I58),ISNUMBER('SW Rev'!E58),'SW Rev'!E58&gt;0),'SW Rev'!I58/'SW Rev'!E58-1,""),"")</f>
        <v/>
      </c>
      <c r="F161" s="37">
        <f>IFERROR(IF(AND(ISNUMBER('SW Rev'!J58),ISNUMBER('SW Rev'!F58),'SW Rev'!F58&gt;0),'SW Rev'!J58/'SW Rev'!F58-1,""),"")</f>
        <v/>
      </c>
      <c r="G161" s="37">
        <f>IFERROR(IF(AND(ISNUMBER('SW Rev'!K58),ISNUMBER('SW Rev'!G58),'SW Rev'!G58&gt;0),'SW Rev'!K58/'SW Rev'!G58-1,""),"")</f>
        <v/>
      </c>
      <c r="H161" s="37">
        <f>IFERROR(IF(AND(ISNUMBER('SW Rev'!L58),ISNUMBER('SW Rev'!H58),'SW Rev'!H58&gt;0),'SW Rev'!L58/'SW Rev'!H58-1,""),"")</f>
        <v/>
      </c>
      <c r="I161" s="37">
        <f>IFERROR(IF(AND(ISNUMBER('SW Rev'!M58),ISNUMBER('SW Rev'!I58),'SW Rev'!I58&gt;0),'SW Rev'!M58/'SW Rev'!I58-1,""),"")</f>
        <v/>
      </c>
      <c r="J161" s="37">
        <f>IFERROR(IF(AND(ISNUMBER('SW Rev'!N58),ISNUMBER('SW Rev'!J58),'SW Rev'!J58&gt;0),'SW Rev'!N58/'SW Rev'!J58-1,""),"")</f>
        <v/>
      </c>
      <c r="K161" s="37">
        <f>IFERROR(IF(AND(ISNUMBER('SW Rev'!O58),ISNUMBER('SW Rev'!K58),'SW Rev'!K58&gt;0),'SW Rev'!O58/'SW Rev'!K58-1,""),"")</f>
        <v/>
      </c>
      <c r="L161" s="37">
        <f>IFERROR(IF(AND(ISNUMBER('SW Rev'!P58),ISNUMBER('SW Rev'!L58),'SW Rev'!L58&gt;0),'SW Rev'!P58/'SW Rev'!L58-1,""),"")</f>
        <v/>
      </c>
      <c r="M161" s="38">
        <f>IFERROR(IF(AND(ISNUMBER('SW Rev'!Q58),ISNUMBER('SW Rev'!M58),'SW Rev'!M58&gt;0),'SW Rev'!Q58/'SW Rev'!M58-1,""),"")</f>
        <v/>
      </c>
      <c r="N161" s="38">
        <f>IFERROR(IF(AND(ISNUMBER('SW Rev'!R58),ISNUMBER('SW Rev'!N58),'SW Rev'!N58&gt;0),'SW Rev'!R58/'SW Rev'!N58-1,""),"")</f>
        <v/>
      </c>
    </row>
    <row r="162">
      <c r="A162" s="19">
        <f>'SW Rev'!$A59</f>
        <v/>
      </c>
      <c r="B162" s="19">
        <f>'SW Rev'!$B59</f>
        <v/>
      </c>
      <c r="C162" s="37">
        <f>IFERROR(IF(AND(ISNUMBER('SW Rev'!G59),ISNUMBER('SW Rev'!C59),'SW Rev'!C59&gt;0),'SW Rev'!G59/'SW Rev'!C59-1,""),"")</f>
        <v/>
      </c>
      <c r="D162" s="37">
        <f>IFERROR(IF(AND(ISNUMBER('SW Rev'!H59),ISNUMBER('SW Rev'!D59),'SW Rev'!D59&gt;0),'SW Rev'!H59/'SW Rev'!D59-1,""),"")</f>
        <v/>
      </c>
      <c r="E162" s="37">
        <f>IFERROR(IF(AND(ISNUMBER('SW Rev'!I59),ISNUMBER('SW Rev'!E59),'SW Rev'!E59&gt;0),'SW Rev'!I59/'SW Rev'!E59-1,""),"")</f>
        <v/>
      </c>
      <c r="F162" s="37">
        <f>IFERROR(IF(AND(ISNUMBER('SW Rev'!J59),ISNUMBER('SW Rev'!F59),'SW Rev'!F59&gt;0),'SW Rev'!J59/'SW Rev'!F59-1,""),"")</f>
        <v/>
      </c>
      <c r="G162" s="37">
        <f>IFERROR(IF(AND(ISNUMBER('SW Rev'!K59),ISNUMBER('SW Rev'!G59),'SW Rev'!G59&gt;0),'SW Rev'!K59/'SW Rev'!G59-1,""),"")</f>
        <v/>
      </c>
      <c r="H162" s="37">
        <f>IFERROR(IF(AND(ISNUMBER('SW Rev'!L59),ISNUMBER('SW Rev'!H59),'SW Rev'!H59&gt;0),'SW Rev'!L59/'SW Rev'!H59-1,""),"")</f>
        <v/>
      </c>
      <c r="I162" s="37">
        <f>IFERROR(IF(AND(ISNUMBER('SW Rev'!M59),ISNUMBER('SW Rev'!I59),'SW Rev'!I59&gt;0),'SW Rev'!M59/'SW Rev'!I59-1,""),"")</f>
        <v/>
      </c>
      <c r="J162" s="37">
        <f>IFERROR(IF(AND(ISNUMBER('SW Rev'!N59),ISNUMBER('SW Rev'!J59),'SW Rev'!J59&gt;0),'SW Rev'!N59/'SW Rev'!J59-1,""),"")</f>
        <v/>
      </c>
      <c r="K162" s="37">
        <f>IFERROR(IF(AND(ISNUMBER('SW Rev'!O59),ISNUMBER('SW Rev'!K59),'SW Rev'!K59&gt;0),'SW Rev'!O59/'SW Rev'!K59-1,""),"")</f>
        <v/>
      </c>
      <c r="L162" s="37">
        <f>IFERROR(IF(AND(ISNUMBER('SW Rev'!P59),ISNUMBER('SW Rev'!L59),'SW Rev'!L59&gt;0),'SW Rev'!P59/'SW Rev'!L59-1,""),"")</f>
        <v/>
      </c>
      <c r="M162" s="38">
        <f>IFERROR(IF(AND(ISNUMBER('SW Rev'!Q59),ISNUMBER('SW Rev'!M59),'SW Rev'!M59&gt;0),'SW Rev'!Q59/'SW Rev'!M59-1,""),"")</f>
        <v/>
      </c>
      <c r="N162" s="38">
        <f>IFERROR(IF(AND(ISNUMBER('SW Rev'!R59),ISNUMBER('SW Rev'!N59),'SW Rev'!N59&gt;0),'SW Rev'!R59/'SW Rev'!N59-1,""),"")</f>
        <v/>
      </c>
    </row>
    <row r="163">
      <c r="A163" s="19">
        <f>'SW Rev'!$A60</f>
        <v/>
      </c>
      <c r="B163" s="19">
        <f>'SW Rev'!$B60</f>
        <v/>
      </c>
      <c r="C163" s="37">
        <f>IFERROR(IF(AND(ISNUMBER('SW Rev'!G60),ISNUMBER('SW Rev'!C60),'SW Rev'!C60&gt;0),'SW Rev'!G60/'SW Rev'!C60-1,""),"")</f>
        <v/>
      </c>
      <c r="D163" s="37">
        <f>IFERROR(IF(AND(ISNUMBER('SW Rev'!H60),ISNUMBER('SW Rev'!D60),'SW Rev'!D60&gt;0),'SW Rev'!H60/'SW Rev'!D60-1,""),"")</f>
        <v/>
      </c>
      <c r="E163" s="37">
        <f>IFERROR(IF(AND(ISNUMBER('SW Rev'!I60),ISNUMBER('SW Rev'!E60),'SW Rev'!E60&gt;0),'SW Rev'!I60/'SW Rev'!E60-1,""),"")</f>
        <v/>
      </c>
      <c r="F163" s="37">
        <f>IFERROR(IF(AND(ISNUMBER('SW Rev'!J60),ISNUMBER('SW Rev'!F60),'SW Rev'!F60&gt;0),'SW Rev'!J60/'SW Rev'!F60-1,""),"")</f>
        <v/>
      </c>
      <c r="G163" s="37">
        <f>IFERROR(IF(AND(ISNUMBER('SW Rev'!K60),ISNUMBER('SW Rev'!G60),'SW Rev'!G60&gt;0),'SW Rev'!K60/'SW Rev'!G60-1,""),"")</f>
        <v/>
      </c>
      <c r="H163" s="37">
        <f>IFERROR(IF(AND(ISNUMBER('SW Rev'!L60),ISNUMBER('SW Rev'!H60),'SW Rev'!H60&gt;0),'SW Rev'!L60/'SW Rev'!H60-1,""),"")</f>
        <v/>
      </c>
      <c r="I163" s="37">
        <f>IFERROR(IF(AND(ISNUMBER('SW Rev'!M60),ISNUMBER('SW Rev'!I60),'SW Rev'!I60&gt;0),'SW Rev'!M60/'SW Rev'!I60-1,""),"")</f>
        <v/>
      </c>
      <c r="J163" s="37">
        <f>IFERROR(IF(AND(ISNUMBER('SW Rev'!N60),ISNUMBER('SW Rev'!J60),'SW Rev'!J60&gt;0),'SW Rev'!N60/'SW Rev'!J60-1,""),"")</f>
        <v/>
      </c>
      <c r="K163" s="37">
        <f>IFERROR(IF(AND(ISNUMBER('SW Rev'!O60),ISNUMBER('SW Rev'!K60),'SW Rev'!K60&gt;0),'SW Rev'!O60/'SW Rev'!K60-1,""),"")</f>
        <v/>
      </c>
      <c r="L163" s="37">
        <f>IFERROR(IF(AND(ISNUMBER('SW Rev'!P60),ISNUMBER('SW Rev'!L60),'SW Rev'!L60&gt;0),'SW Rev'!P60/'SW Rev'!L60-1,""),"")</f>
        <v/>
      </c>
      <c r="M163" s="38">
        <f>IFERROR(IF(AND(ISNUMBER('SW Rev'!Q60),ISNUMBER('SW Rev'!M60),'SW Rev'!M60&gt;0),'SW Rev'!Q60/'SW Rev'!M60-1,""),"")</f>
        <v/>
      </c>
      <c r="N163" s="38">
        <f>IFERROR(IF(AND(ISNUMBER('SW Rev'!R60),ISNUMBER('SW Rev'!N60),'SW Rev'!N60&gt;0),'SW Rev'!R60/'SW Rev'!N60-1,""),"")</f>
        <v/>
      </c>
    </row>
    <row r="164">
      <c r="A164" s="19">
        <f>'SW Rev'!$A61</f>
        <v/>
      </c>
      <c r="B164" s="19">
        <f>'SW Rev'!$B61</f>
        <v/>
      </c>
      <c r="C164" s="37">
        <f>IFERROR(IF(AND(ISNUMBER('SW Rev'!G61),ISNUMBER('SW Rev'!C61),'SW Rev'!C61&gt;0),'SW Rev'!G61/'SW Rev'!C61-1,""),"")</f>
        <v/>
      </c>
      <c r="D164" s="37">
        <f>IFERROR(IF(AND(ISNUMBER('SW Rev'!H61),ISNUMBER('SW Rev'!D61),'SW Rev'!D61&gt;0),'SW Rev'!H61/'SW Rev'!D61-1,""),"")</f>
        <v/>
      </c>
      <c r="E164" s="37">
        <f>IFERROR(IF(AND(ISNUMBER('SW Rev'!I61),ISNUMBER('SW Rev'!E61),'SW Rev'!E61&gt;0),'SW Rev'!I61/'SW Rev'!E61-1,""),"")</f>
        <v/>
      </c>
      <c r="F164" s="37">
        <f>IFERROR(IF(AND(ISNUMBER('SW Rev'!J61),ISNUMBER('SW Rev'!F61),'SW Rev'!F61&gt;0),'SW Rev'!J61/'SW Rev'!F61-1,""),"")</f>
        <v/>
      </c>
      <c r="G164" s="37">
        <f>IFERROR(IF(AND(ISNUMBER('SW Rev'!K61),ISNUMBER('SW Rev'!G61),'SW Rev'!G61&gt;0),'SW Rev'!K61/'SW Rev'!G61-1,""),"")</f>
        <v/>
      </c>
      <c r="H164" s="37">
        <f>IFERROR(IF(AND(ISNUMBER('SW Rev'!L61),ISNUMBER('SW Rev'!H61),'SW Rev'!H61&gt;0),'SW Rev'!L61/'SW Rev'!H61-1,""),"")</f>
        <v/>
      </c>
      <c r="I164" s="37">
        <f>IFERROR(IF(AND(ISNUMBER('SW Rev'!M61),ISNUMBER('SW Rev'!I61),'SW Rev'!I61&gt;0),'SW Rev'!M61/'SW Rev'!I61-1,""),"")</f>
        <v/>
      </c>
      <c r="J164" s="37">
        <f>IFERROR(IF(AND(ISNUMBER('SW Rev'!N61),ISNUMBER('SW Rev'!J61),'SW Rev'!J61&gt;0),'SW Rev'!N61/'SW Rev'!J61-1,""),"")</f>
        <v/>
      </c>
      <c r="K164" s="37">
        <f>IFERROR(IF(AND(ISNUMBER('SW Rev'!O61),ISNUMBER('SW Rev'!K61),'SW Rev'!K61&gt;0),'SW Rev'!O61/'SW Rev'!K61-1,""),"")</f>
        <v/>
      </c>
      <c r="L164" s="37">
        <f>IFERROR(IF(AND(ISNUMBER('SW Rev'!P61),ISNUMBER('SW Rev'!L61),'SW Rev'!L61&gt;0),'SW Rev'!P61/'SW Rev'!L61-1,""),"")</f>
        <v/>
      </c>
      <c r="M164" s="38">
        <f>IFERROR(IF(AND(ISNUMBER('SW Rev'!Q61),ISNUMBER('SW Rev'!M61),'SW Rev'!M61&gt;0),'SW Rev'!Q61/'SW Rev'!M61-1,""),"")</f>
        <v/>
      </c>
      <c r="N164" s="38">
        <f>IFERROR(IF(AND(ISNUMBER('SW Rev'!R61),ISNUMBER('SW Rev'!N61),'SW Rev'!N61&gt;0),'SW Rev'!R61/'SW Rev'!N61-1,""),"")</f>
        <v/>
      </c>
    </row>
    <row r="165">
      <c r="A165" s="19">
        <f>'SW Rev'!$A62</f>
        <v/>
      </c>
      <c r="B165" s="19">
        <f>'SW Rev'!$B62</f>
        <v/>
      </c>
      <c r="C165" s="37">
        <f>IFERROR(IF(AND(ISNUMBER('SW Rev'!G62),ISNUMBER('SW Rev'!C62),'SW Rev'!C62&gt;0),'SW Rev'!G62/'SW Rev'!C62-1,""),"")</f>
        <v/>
      </c>
      <c r="D165" s="37">
        <f>IFERROR(IF(AND(ISNUMBER('SW Rev'!H62),ISNUMBER('SW Rev'!D62),'SW Rev'!D62&gt;0),'SW Rev'!H62/'SW Rev'!D62-1,""),"")</f>
        <v/>
      </c>
      <c r="E165" s="37">
        <f>IFERROR(IF(AND(ISNUMBER('SW Rev'!I62),ISNUMBER('SW Rev'!E62),'SW Rev'!E62&gt;0),'SW Rev'!I62/'SW Rev'!E62-1,""),"")</f>
        <v/>
      </c>
      <c r="F165" s="37">
        <f>IFERROR(IF(AND(ISNUMBER('SW Rev'!J62),ISNUMBER('SW Rev'!F62),'SW Rev'!F62&gt;0),'SW Rev'!J62/'SW Rev'!F62-1,""),"")</f>
        <v/>
      </c>
      <c r="G165" s="37">
        <f>IFERROR(IF(AND(ISNUMBER('SW Rev'!K62),ISNUMBER('SW Rev'!G62),'SW Rev'!G62&gt;0),'SW Rev'!K62/'SW Rev'!G62-1,""),"")</f>
        <v/>
      </c>
      <c r="H165" s="37">
        <f>IFERROR(IF(AND(ISNUMBER('SW Rev'!L62),ISNUMBER('SW Rev'!H62),'SW Rev'!H62&gt;0),'SW Rev'!L62/'SW Rev'!H62-1,""),"")</f>
        <v/>
      </c>
      <c r="I165" s="37">
        <f>IFERROR(IF(AND(ISNUMBER('SW Rev'!M62),ISNUMBER('SW Rev'!I62),'SW Rev'!I62&gt;0),'SW Rev'!M62/'SW Rev'!I62-1,""),"")</f>
        <v/>
      </c>
      <c r="J165" s="37">
        <f>IFERROR(IF(AND(ISNUMBER('SW Rev'!N62),ISNUMBER('SW Rev'!J62),'SW Rev'!J62&gt;0),'SW Rev'!N62/'SW Rev'!J62-1,""),"")</f>
        <v/>
      </c>
      <c r="K165" s="37">
        <f>IFERROR(IF(AND(ISNUMBER('SW Rev'!O62),ISNUMBER('SW Rev'!K62),'SW Rev'!K62&gt;0),'SW Rev'!O62/'SW Rev'!K62-1,""),"")</f>
        <v/>
      </c>
      <c r="L165" s="37">
        <f>IFERROR(IF(AND(ISNUMBER('SW Rev'!P62),ISNUMBER('SW Rev'!L62),'SW Rev'!L62&gt;0),'SW Rev'!P62/'SW Rev'!L62-1,""),"")</f>
        <v/>
      </c>
      <c r="M165" s="38">
        <f>IFERROR(IF(AND(ISNUMBER('SW Rev'!Q62),ISNUMBER('SW Rev'!M62),'SW Rev'!M62&gt;0),'SW Rev'!Q62/'SW Rev'!M62-1,""),"")</f>
        <v/>
      </c>
      <c r="N165" s="38">
        <f>IFERROR(IF(AND(ISNUMBER('SW Rev'!R62),ISNUMBER('SW Rev'!N62),'SW Rev'!N62&gt;0),'SW Rev'!R62/'SW Rev'!N62-1,""),"")</f>
        <v/>
      </c>
    </row>
    <row r="166">
      <c r="A166" s="19">
        <f>'SW Rev'!$A63</f>
        <v/>
      </c>
      <c r="B166" s="19">
        <f>'SW Rev'!$B63</f>
        <v/>
      </c>
      <c r="C166" s="37">
        <f>IFERROR(IF(AND(ISNUMBER('SW Rev'!G63),ISNUMBER('SW Rev'!C63),'SW Rev'!C63&gt;0),'SW Rev'!G63/'SW Rev'!C63-1,""),"")</f>
        <v/>
      </c>
      <c r="D166" s="37">
        <f>IFERROR(IF(AND(ISNUMBER('SW Rev'!H63),ISNUMBER('SW Rev'!D63),'SW Rev'!D63&gt;0),'SW Rev'!H63/'SW Rev'!D63-1,""),"")</f>
        <v/>
      </c>
      <c r="E166" s="37">
        <f>IFERROR(IF(AND(ISNUMBER('SW Rev'!I63),ISNUMBER('SW Rev'!E63),'SW Rev'!E63&gt;0),'SW Rev'!I63/'SW Rev'!E63-1,""),"")</f>
        <v/>
      </c>
      <c r="F166" s="37">
        <f>IFERROR(IF(AND(ISNUMBER('SW Rev'!J63),ISNUMBER('SW Rev'!F63),'SW Rev'!F63&gt;0),'SW Rev'!J63/'SW Rev'!F63-1,""),"")</f>
        <v/>
      </c>
      <c r="G166" s="37">
        <f>IFERROR(IF(AND(ISNUMBER('SW Rev'!K63),ISNUMBER('SW Rev'!G63),'SW Rev'!G63&gt;0),'SW Rev'!K63/'SW Rev'!G63-1,""),"")</f>
        <v/>
      </c>
      <c r="H166" s="37">
        <f>IFERROR(IF(AND(ISNUMBER('SW Rev'!L63),ISNUMBER('SW Rev'!H63),'SW Rev'!H63&gt;0),'SW Rev'!L63/'SW Rev'!H63-1,""),"")</f>
        <v/>
      </c>
      <c r="I166" s="37">
        <f>IFERROR(IF(AND(ISNUMBER('SW Rev'!M63),ISNUMBER('SW Rev'!I63),'SW Rev'!I63&gt;0),'SW Rev'!M63/'SW Rev'!I63-1,""),"")</f>
        <v/>
      </c>
      <c r="J166" s="37">
        <f>IFERROR(IF(AND(ISNUMBER('SW Rev'!N63),ISNUMBER('SW Rev'!J63),'SW Rev'!J63&gt;0),'SW Rev'!N63/'SW Rev'!J63-1,""),"")</f>
        <v/>
      </c>
      <c r="K166" s="37">
        <f>IFERROR(IF(AND(ISNUMBER('SW Rev'!O63),ISNUMBER('SW Rev'!K63),'SW Rev'!K63&gt;0),'SW Rev'!O63/'SW Rev'!K63-1,""),"")</f>
        <v/>
      </c>
      <c r="L166" s="37">
        <f>IFERROR(IF(AND(ISNUMBER('SW Rev'!P63),ISNUMBER('SW Rev'!L63),'SW Rev'!L63&gt;0),'SW Rev'!P63/'SW Rev'!L63-1,""),"")</f>
        <v/>
      </c>
      <c r="M166" s="38">
        <f>IFERROR(IF(AND(ISNUMBER('SW Rev'!Q63),ISNUMBER('SW Rev'!M63),'SW Rev'!M63&gt;0),'SW Rev'!Q63/'SW Rev'!M63-1,""),"")</f>
        <v/>
      </c>
      <c r="N166" s="38">
        <f>IFERROR(IF(AND(ISNUMBER('SW Rev'!R63),ISNUMBER('SW Rev'!N63),'SW Rev'!N63&gt;0),'SW Rev'!R63/'SW Rev'!N63-1,""),"")</f>
        <v/>
      </c>
    </row>
    <row r="167">
      <c r="A167" s="19">
        <f>'SW Rev'!$A64</f>
        <v/>
      </c>
      <c r="B167" s="19">
        <f>'SW Rev'!$B64</f>
        <v/>
      </c>
      <c r="C167" s="37">
        <f>IFERROR(IF(AND(ISNUMBER('SW Rev'!G64),ISNUMBER('SW Rev'!C64),'SW Rev'!C64&gt;0),'SW Rev'!G64/'SW Rev'!C64-1,""),"")</f>
        <v/>
      </c>
      <c r="D167" s="37">
        <f>IFERROR(IF(AND(ISNUMBER('SW Rev'!H64),ISNUMBER('SW Rev'!D64),'SW Rev'!D64&gt;0),'SW Rev'!H64/'SW Rev'!D64-1,""),"")</f>
        <v/>
      </c>
      <c r="E167" s="37">
        <f>IFERROR(IF(AND(ISNUMBER('SW Rev'!I64),ISNUMBER('SW Rev'!E64),'SW Rev'!E64&gt;0),'SW Rev'!I64/'SW Rev'!E64-1,""),"")</f>
        <v/>
      </c>
      <c r="F167" s="37">
        <f>IFERROR(IF(AND(ISNUMBER('SW Rev'!J64),ISNUMBER('SW Rev'!F64),'SW Rev'!F64&gt;0),'SW Rev'!J64/'SW Rev'!F64-1,""),"")</f>
        <v/>
      </c>
      <c r="G167" s="37">
        <f>IFERROR(IF(AND(ISNUMBER('SW Rev'!K64),ISNUMBER('SW Rev'!G64),'SW Rev'!G64&gt;0),'SW Rev'!K64/'SW Rev'!G64-1,""),"")</f>
        <v/>
      </c>
      <c r="H167" s="37">
        <f>IFERROR(IF(AND(ISNUMBER('SW Rev'!L64),ISNUMBER('SW Rev'!H64),'SW Rev'!H64&gt;0),'SW Rev'!L64/'SW Rev'!H64-1,""),"")</f>
        <v/>
      </c>
      <c r="I167" s="37">
        <f>IFERROR(IF(AND(ISNUMBER('SW Rev'!M64),ISNUMBER('SW Rev'!I64),'SW Rev'!I64&gt;0),'SW Rev'!M64/'SW Rev'!I64-1,""),"")</f>
        <v/>
      </c>
      <c r="J167" s="37">
        <f>IFERROR(IF(AND(ISNUMBER('SW Rev'!N64),ISNUMBER('SW Rev'!J64),'SW Rev'!J64&gt;0),'SW Rev'!N64/'SW Rev'!J64-1,""),"")</f>
        <v/>
      </c>
      <c r="K167" s="37">
        <f>IFERROR(IF(AND(ISNUMBER('SW Rev'!O64),ISNUMBER('SW Rev'!K64),'SW Rev'!K64&gt;0),'SW Rev'!O64/'SW Rev'!K64-1,""),"")</f>
        <v/>
      </c>
      <c r="L167" s="37">
        <f>IFERROR(IF(AND(ISNUMBER('SW Rev'!P64),ISNUMBER('SW Rev'!L64),'SW Rev'!L64&gt;0),'SW Rev'!P64/'SW Rev'!L64-1,""),"")</f>
        <v/>
      </c>
      <c r="M167" s="38">
        <f>IFERROR(IF(AND(ISNUMBER('SW Rev'!Q64),ISNUMBER('SW Rev'!M64),'SW Rev'!M64&gt;0),'SW Rev'!Q64/'SW Rev'!M64-1,""),"")</f>
        <v/>
      </c>
      <c r="N167" s="38">
        <f>IFERROR(IF(AND(ISNUMBER('SW Rev'!R64),ISNUMBER('SW Rev'!N64),'SW Rev'!N64&gt;0),'SW Rev'!R64/'SW Rev'!N64-1,""),"")</f>
        <v/>
      </c>
    </row>
    <row r="168">
      <c r="A168" s="19">
        <f>'SW Rev'!$A65</f>
        <v/>
      </c>
      <c r="B168" s="19">
        <f>'SW Rev'!$B65</f>
        <v/>
      </c>
      <c r="C168" s="37">
        <f>IFERROR(IF(AND(ISNUMBER('SW Rev'!G65),ISNUMBER('SW Rev'!C65),'SW Rev'!C65&gt;0),'SW Rev'!G65/'SW Rev'!C65-1,""),"")</f>
        <v/>
      </c>
      <c r="D168" s="37">
        <f>IFERROR(IF(AND(ISNUMBER('SW Rev'!H65),ISNUMBER('SW Rev'!D65),'SW Rev'!D65&gt;0),'SW Rev'!H65/'SW Rev'!D65-1,""),"")</f>
        <v/>
      </c>
      <c r="E168" s="37">
        <f>IFERROR(IF(AND(ISNUMBER('SW Rev'!I65),ISNUMBER('SW Rev'!E65),'SW Rev'!E65&gt;0),'SW Rev'!I65/'SW Rev'!E65-1,""),"")</f>
        <v/>
      </c>
      <c r="F168" s="37">
        <f>IFERROR(IF(AND(ISNUMBER('SW Rev'!J65),ISNUMBER('SW Rev'!F65),'SW Rev'!F65&gt;0),'SW Rev'!J65/'SW Rev'!F65-1,""),"")</f>
        <v/>
      </c>
      <c r="G168" s="37">
        <f>IFERROR(IF(AND(ISNUMBER('SW Rev'!K65),ISNUMBER('SW Rev'!G65),'SW Rev'!G65&gt;0),'SW Rev'!K65/'SW Rev'!G65-1,""),"")</f>
        <v/>
      </c>
      <c r="H168" s="37">
        <f>IFERROR(IF(AND(ISNUMBER('SW Rev'!L65),ISNUMBER('SW Rev'!H65),'SW Rev'!H65&gt;0),'SW Rev'!L65/'SW Rev'!H65-1,""),"")</f>
        <v/>
      </c>
      <c r="I168" s="37">
        <f>IFERROR(IF(AND(ISNUMBER('SW Rev'!M65),ISNUMBER('SW Rev'!I65),'SW Rev'!I65&gt;0),'SW Rev'!M65/'SW Rev'!I65-1,""),"")</f>
        <v/>
      </c>
      <c r="J168" s="37">
        <f>IFERROR(IF(AND(ISNUMBER('SW Rev'!N65),ISNUMBER('SW Rev'!J65),'SW Rev'!J65&gt;0),'SW Rev'!N65/'SW Rev'!J65-1,""),"")</f>
        <v/>
      </c>
      <c r="K168" s="37">
        <f>IFERROR(IF(AND(ISNUMBER('SW Rev'!O65),ISNUMBER('SW Rev'!K65),'SW Rev'!K65&gt;0),'SW Rev'!O65/'SW Rev'!K65-1,""),"")</f>
        <v/>
      </c>
      <c r="L168" s="37">
        <f>IFERROR(IF(AND(ISNUMBER('SW Rev'!P65),ISNUMBER('SW Rev'!L65),'SW Rev'!L65&gt;0),'SW Rev'!P65/'SW Rev'!L65-1,""),"")</f>
        <v/>
      </c>
      <c r="M168" s="38">
        <f>IFERROR(IF(AND(ISNUMBER('SW Rev'!Q65),ISNUMBER('SW Rev'!M65),'SW Rev'!M65&gt;0),'SW Rev'!Q65/'SW Rev'!M65-1,""),"")</f>
        <v/>
      </c>
      <c r="N168" s="38">
        <f>IFERROR(IF(AND(ISNUMBER('SW Rev'!R65),ISNUMBER('SW Rev'!N65),'SW Rev'!N65&gt;0),'SW Rev'!R65/'SW Rev'!N65-1,""),"")</f>
        <v/>
      </c>
    </row>
    <row r="169">
      <c r="A169" s="19">
        <f>'SW Rev'!$A66</f>
        <v/>
      </c>
      <c r="B169" s="19">
        <f>'SW Rev'!$B66</f>
        <v/>
      </c>
      <c r="C169" s="37">
        <f>IFERROR(IF(AND(ISNUMBER('SW Rev'!G66),ISNUMBER('SW Rev'!C66),'SW Rev'!C66&gt;0),'SW Rev'!G66/'SW Rev'!C66-1,""),"")</f>
        <v/>
      </c>
      <c r="D169" s="37">
        <f>IFERROR(IF(AND(ISNUMBER('SW Rev'!H66),ISNUMBER('SW Rev'!D66),'SW Rev'!D66&gt;0),'SW Rev'!H66/'SW Rev'!D66-1,""),"")</f>
        <v/>
      </c>
      <c r="E169" s="37">
        <f>IFERROR(IF(AND(ISNUMBER('SW Rev'!I66),ISNUMBER('SW Rev'!E66),'SW Rev'!E66&gt;0),'SW Rev'!I66/'SW Rev'!E66-1,""),"")</f>
        <v/>
      </c>
      <c r="F169" s="37">
        <f>IFERROR(IF(AND(ISNUMBER('SW Rev'!J66),ISNUMBER('SW Rev'!F66),'SW Rev'!F66&gt;0),'SW Rev'!J66/'SW Rev'!F66-1,""),"")</f>
        <v/>
      </c>
      <c r="G169" s="37">
        <f>IFERROR(IF(AND(ISNUMBER('SW Rev'!K66),ISNUMBER('SW Rev'!G66),'SW Rev'!G66&gt;0),'SW Rev'!K66/'SW Rev'!G66-1,""),"")</f>
        <v/>
      </c>
      <c r="H169" s="37">
        <f>IFERROR(IF(AND(ISNUMBER('SW Rev'!L66),ISNUMBER('SW Rev'!H66),'SW Rev'!H66&gt;0),'SW Rev'!L66/'SW Rev'!H66-1,""),"")</f>
        <v/>
      </c>
      <c r="I169" s="37">
        <f>IFERROR(IF(AND(ISNUMBER('SW Rev'!M66),ISNUMBER('SW Rev'!I66),'SW Rev'!I66&gt;0),'SW Rev'!M66/'SW Rev'!I66-1,""),"")</f>
        <v/>
      </c>
      <c r="J169" s="37">
        <f>IFERROR(IF(AND(ISNUMBER('SW Rev'!N66),ISNUMBER('SW Rev'!J66),'SW Rev'!J66&gt;0),'SW Rev'!N66/'SW Rev'!J66-1,""),"")</f>
        <v/>
      </c>
      <c r="K169" s="37">
        <f>IFERROR(IF(AND(ISNUMBER('SW Rev'!O66),ISNUMBER('SW Rev'!K66),'SW Rev'!K66&gt;0),'SW Rev'!O66/'SW Rev'!K66-1,""),"")</f>
        <v/>
      </c>
      <c r="L169" s="37">
        <f>IFERROR(IF(AND(ISNUMBER('SW Rev'!P66),ISNUMBER('SW Rev'!L66),'SW Rev'!L66&gt;0),'SW Rev'!P66/'SW Rev'!L66-1,""),"")</f>
        <v/>
      </c>
      <c r="M169" s="38">
        <f>IFERROR(IF(AND(ISNUMBER('SW Rev'!Q66),ISNUMBER('SW Rev'!M66),'SW Rev'!M66&gt;0),'SW Rev'!Q66/'SW Rev'!M66-1,""),"")</f>
        <v/>
      </c>
      <c r="N169" s="38">
        <f>IFERROR(IF(AND(ISNUMBER('SW Rev'!R66),ISNUMBER('SW Rev'!N66),'SW Rev'!N66&gt;0),'SW Rev'!R66/'SW Rev'!N66-1,""),"")</f>
        <v/>
      </c>
    </row>
    <row r="170">
      <c r="A170" s="19">
        <f>'SW Rev'!$A67</f>
        <v/>
      </c>
      <c r="B170" s="19">
        <f>'SW Rev'!$B67</f>
        <v/>
      </c>
      <c r="C170" s="37">
        <f>IFERROR(IF(AND(ISNUMBER('SW Rev'!G67),ISNUMBER('SW Rev'!C67),'SW Rev'!C67&gt;0),'SW Rev'!G67/'SW Rev'!C67-1,""),"")</f>
        <v/>
      </c>
      <c r="D170" s="37">
        <f>IFERROR(IF(AND(ISNUMBER('SW Rev'!H67),ISNUMBER('SW Rev'!D67),'SW Rev'!D67&gt;0),'SW Rev'!H67/'SW Rev'!D67-1,""),"")</f>
        <v/>
      </c>
      <c r="E170" s="37">
        <f>IFERROR(IF(AND(ISNUMBER('SW Rev'!I67),ISNUMBER('SW Rev'!E67),'SW Rev'!E67&gt;0),'SW Rev'!I67/'SW Rev'!E67-1,""),"")</f>
        <v/>
      </c>
      <c r="F170" s="37">
        <f>IFERROR(IF(AND(ISNUMBER('SW Rev'!J67),ISNUMBER('SW Rev'!F67),'SW Rev'!F67&gt;0),'SW Rev'!J67/'SW Rev'!F67-1,""),"")</f>
        <v/>
      </c>
      <c r="G170" s="37">
        <f>IFERROR(IF(AND(ISNUMBER('SW Rev'!K67),ISNUMBER('SW Rev'!G67),'SW Rev'!G67&gt;0),'SW Rev'!K67/'SW Rev'!G67-1,""),"")</f>
        <v/>
      </c>
      <c r="H170" s="37">
        <f>IFERROR(IF(AND(ISNUMBER('SW Rev'!L67),ISNUMBER('SW Rev'!H67),'SW Rev'!H67&gt;0),'SW Rev'!L67/'SW Rev'!H67-1,""),"")</f>
        <v/>
      </c>
      <c r="I170" s="37">
        <f>IFERROR(IF(AND(ISNUMBER('SW Rev'!M67),ISNUMBER('SW Rev'!I67),'SW Rev'!I67&gt;0),'SW Rev'!M67/'SW Rev'!I67-1,""),"")</f>
        <v/>
      </c>
      <c r="J170" s="37">
        <f>IFERROR(IF(AND(ISNUMBER('SW Rev'!N67),ISNUMBER('SW Rev'!J67),'SW Rev'!J67&gt;0),'SW Rev'!N67/'SW Rev'!J67-1,""),"")</f>
        <v/>
      </c>
      <c r="K170" s="37">
        <f>IFERROR(IF(AND(ISNUMBER('SW Rev'!O67),ISNUMBER('SW Rev'!K67),'SW Rev'!K67&gt;0),'SW Rev'!O67/'SW Rev'!K67-1,""),"")</f>
        <v/>
      </c>
      <c r="L170" s="37">
        <f>IFERROR(IF(AND(ISNUMBER('SW Rev'!P67),ISNUMBER('SW Rev'!L67),'SW Rev'!L67&gt;0),'SW Rev'!P67/'SW Rev'!L67-1,""),"")</f>
        <v/>
      </c>
      <c r="M170" s="38">
        <f>IFERROR(IF(AND(ISNUMBER('SW Rev'!Q67),ISNUMBER('SW Rev'!M67),'SW Rev'!M67&gt;0),'SW Rev'!Q67/'SW Rev'!M67-1,""),"")</f>
        <v/>
      </c>
      <c r="N170" s="38">
        <f>IFERROR(IF(AND(ISNUMBER('SW Rev'!R67),ISNUMBER('SW Rev'!N67),'SW Rev'!N67&gt;0),'SW Rev'!R67/'SW Rev'!N67-1,""),"")</f>
        <v/>
      </c>
    </row>
    <row r="171">
      <c r="A171" s="19">
        <f>'SW Rev'!$A68</f>
        <v/>
      </c>
      <c r="B171" s="19">
        <f>'SW Rev'!$B68</f>
        <v/>
      </c>
      <c r="C171" s="37">
        <f>IFERROR(IF(AND(ISNUMBER('SW Rev'!G68),ISNUMBER('SW Rev'!C68),'SW Rev'!C68&gt;0),'SW Rev'!G68/'SW Rev'!C68-1,""),"")</f>
        <v/>
      </c>
      <c r="D171" s="37">
        <f>IFERROR(IF(AND(ISNUMBER('SW Rev'!H68),ISNUMBER('SW Rev'!D68),'SW Rev'!D68&gt;0),'SW Rev'!H68/'SW Rev'!D68-1,""),"")</f>
        <v/>
      </c>
      <c r="E171" s="37">
        <f>IFERROR(IF(AND(ISNUMBER('SW Rev'!I68),ISNUMBER('SW Rev'!E68),'SW Rev'!E68&gt;0),'SW Rev'!I68/'SW Rev'!E68-1,""),"")</f>
        <v/>
      </c>
      <c r="F171" s="37">
        <f>IFERROR(IF(AND(ISNUMBER('SW Rev'!J68),ISNUMBER('SW Rev'!F68),'SW Rev'!F68&gt;0),'SW Rev'!J68/'SW Rev'!F68-1,""),"")</f>
        <v/>
      </c>
      <c r="G171" s="37">
        <f>IFERROR(IF(AND(ISNUMBER('SW Rev'!K68),ISNUMBER('SW Rev'!G68),'SW Rev'!G68&gt;0),'SW Rev'!K68/'SW Rev'!G68-1,""),"")</f>
        <v/>
      </c>
      <c r="H171" s="37">
        <f>IFERROR(IF(AND(ISNUMBER('SW Rev'!L68),ISNUMBER('SW Rev'!H68),'SW Rev'!H68&gt;0),'SW Rev'!L68/'SW Rev'!H68-1,""),"")</f>
        <v/>
      </c>
      <c r="I171" s="37">
        <f>IFERROR(IF(AND(ISNUMBER('SW Rev'!M68),ISNUMBER('SW Rev'!I68),'SW Rev'!I68&gt;0),'SW Rev'!M68/'SW Rev'!I68-1,""),"")</f>
        <v/>
      </c>
      <c r="J171" s="37">
        <f>IFERROR(IF(AND(ISNUMBER('SW Rev'!N68),ISNUMBER('SW Rev'!J68),'SW Rev'!J68&gt;0),'SW Rev'!N68/'SW Rev'!J68-1,""),"")</f>
        <v/>
      </c>
      <c r="K171" s="37">
        <f>IFERROR(IF(AND(ISNUMBER('SW Rev'!O68),ISNUMBER('SW Rev'!K68),'SW Rev'!K68&gt;0),'SW Rev'!O68/'SW Rev'!K68-1,""),"")</f>
        <v/>
      </c>
      <c r="L171" s="37">
        <f>IFERROR(IF(AND(ISNUMBER('SW Rev'!P68),ISNUMBER('SW Rev'!L68),'SW Rev'!L68&gt;0),'SW Rev'!P68/'SW Rev'!L68-1,""),"")</f>
        <v/>
      </c>
      <c r="M171" s="38">
        <f>IFERROR(IF(AND(ISNUMBER('SW Rev'!Q68),ISNUMBER('SW Rev'!M68),'SW Rev'!M68&gt;0),'SW Rev'!Q68/'SW Rev'!M68-1,""),"")</f>
        <v/>
      </c>
      <c r="N171" s="38">
        <f>IFERROR(IF(AND(ISNUMBER('SW Rev'!R68),ISNUMBER('SW Rev'!N68),'SW Rev'!N68&gt;0),'SW Rev'!R68/'SW Rev'!N68-1,""),"")</f>
        <v/>
      </c>
    </row>
    <row r="172">
      <c r="A172" s="19">
        <f>'SW Rev'!$A69</f>
        <v/>
      </c>
      <c r="B172" s="19">
        <f>'SW Rev'!$B69</f>
        <v/>
      </c>
      <c r="C172" s="37">
        <f>IFERROR(IF(AND(ISNUMBER('SW Rev'!G69),ISNUMBER('SW Rev'!C69),'SW Rev'!C69&gt;0),'SW Rev'!G69/'SW Rev'!C69-1,""),"")</f>
        <v/>
      </c>
      <c r="D172" s="37">
        <f>IFERROR(IF(AND(ISNUMBER('SW Rev'!H69),ISNUMBER('SW Rev'!D69),'SW Rev'!D69&gt;0),'SW Rev'!H69/'SW Rev'!D69-1,""),"")</f>
        <v/>
      </c>
      <c r="E172" s="37">
        <f>IFERROR(IF(AND(ISNUMBER('SW Rev'!I69),ISNUMBER('SW Rev'!E69),'SW Rev'!E69&gt;0),'SW Rev'!I69/'SW Rev'!E69-1,""),"")</f>
        <v/>
      </c>
      <c r="F172" s="37">
        <f>IFERROR(IF(AND(ISNUMBER('SW Rev'!J69),ISNUMBER('SW Rev'!F69),'SW Rev'!F69&gt;0),'SW Rev'!J69/'SW Rev'!F69-1,""),"")</f>
        <v/>
      </c>
      <c r="G172" s="37">
        <f>IFERROR(IF(AND(ISNUMBER('SW Rev'!K69),ISNUMBER('SW Rev'!G69),'SW Rev'!G69&gt;0),'SW Rev'!K69/'SW Rev'!G69-1,""),"")</f>
        <v/>
      </c>
      <c r="H172" s="37">
        <f>IFERROR(IF(AND(ISNUMBER('SW Rev'!L69),ISNUMBER('SW Rev'!H69),'SW Rev'!H69&gt;0),'SW Rev'!L69/'SW Rev'!H69-1,""),"")</f>
        <v/>
      </c>
      <c r="I172" s="37">
        <f>IFERROR(IF(AND(ISNUMBER('SW Rev'!M69),ISNUMBER('SW Rev'!I69),'SW Rev'!I69&gt;0),'SW Rev'!M69/'SW Rev'!I69-1,""),"")</f>
        <v/>
      </c>
      <c r="J172" s="37">
        <f>IFERROR(IF(AND(ISNUMBER('SW Rev'!N69),ISNUMBER('SW Rev'!J69),'SW Rev'!J69&gt;0),'SW Rev'!N69/'SW Rev'!J69-1,""),"")</f>
        <v/>
      </c>
      <c r="K172" s="37">
        <f>IFERROR(IF(AND(ISNUMBER('SW Rev'!O69),ISNUMBER('SW Rev'!K69),'SW Rev'!K69&gt;0),'SW Rev'!O69/'SW Rev'!K69-1,""),"")</f>
        <v/>
      </c>
      <c r="L172" s="37">
        <f>IFERROR(IF(AND(ISNUMBER('SW Rev'!P69),ISNUMBER('SW Rev'!L69),'SW Rev'!L69&gt;0),'SW Rev'!P69/'SW Rev'!L69-1,""),"")</f>
        <v/>
      </c>
      <c r="M172" s="38">
        <f>IFERROR(IF(AND(ISNUMBER('SW Rev'!Q69),ISNUMBER('SW Rev'!M69),'SW Rev'!M69&gt;0),'SW Rev'!Q69/'SW Rev'!M69-1,""),"")</f>
        <v/>
      </c>
      <c r="N172" s="38">
        <f>IFERROR(IF(AND(ISNUMBER('SW Rev'!R69),ISNUMBER('SW Rev'!N69),'SW Rev'!N69&gt;0),'SW Rev'!R69/'SW Rev'!N69-1,""),"")</f>
        <v/>
      </c>
    </row>
    <row r="173">
      <c r="A173" s="19">
        <f>'SW Rev'!$A70</f>
        <v/>
      </c>
      <c r="B173" s="19">
        <f>'SW Rev'!$B70</f>
        <v/>
      </c>
      <c r="C173" s="37">
        <f>IFERROR(IF(AND(ISNUMBER('SW Rev'!G70),ISNUMBER('SW Rev'!C70),'SW Rev'!C70&gt;0),'SW Rev'!G70/'SW Rev'!C70-1,""),"")</f>
        <v/>
      </c>
      <c r="D173" s="37">
        <f>IFERROR(IF(AND(ISNUMBER('SW Rev'!H70),ISNUMBER('SW Rev'!D70),'SW Rev'!D70&gt;0),'SW Rev'!H70/'SW Rev'!D70-1,""),"")</f>
        <v/>
      </c>
      <c r="E173" s="37">
        <f>IFERROR(IF(AND(ISNUMBER('SW Rev'!I70),ISNUMBER('SW Rev'!E70),'SW Rev'!E70&gt;0),'SW Rev'!I70/'SW Rev'!E70-1,""),"")</f>
        <v/>
      </c>
      <c r="F173" s="37">
        <f>IFERROR(IF(AND(ISNUMBER('SW Rev'!J70),ISNUMBER('SW Rev'!F70),'SW Rev'!F70&gt;0),'SW Rev'!J70/'SW Rev'!F70-1,""),"")</f>
        <v/>
      </c>
      <c r="G173" s="37">
        <f>IFERROR(IF(AND(ISNUMBER('SW Rev'!K70),ISNUMBER('SW Rev'!G70),'SW Rev'!G70&gt;0),'SW Rev'!K70/'SW Rev'!G70-1,""),"")</f>
        <v/>
      </c>
      <c r="H173" s="37">
        <f>IFERROR(IF(AND(ISNUMBER('SW Rev'!L70),ISNUMBER('SW Rev'!H70),'SW Rev'!H70&gt;0),'SW Rev'!L70/'SW Rev'!H70-1,""),"")</f>
        <v/>
      </c>
      <c r="I173" s="37">
        <f>IFERROR(IF(AND(ISNUMBER('SW Rev'!M70),ISNUMBER('SW Rev'!I70),'SW Rev'!I70&gt;0),'SW Rev'!M70/'SW Rev'!I70-1,""),"")</f>
        <v/>
      </c>
      <c r="J173" s="37">
        <f>IFERROR(IF(AND(ISNUMBER('SW Rev'!N70),ISNUMBER('SW Rev'!J70),'SW Rev'!J70&gt;0),'SW Rev'!N70/'SW Rev'!J70-1,""),"")</f>
        <v/>
      </c>
      <c r="K173" s="37">
        <f>IFERROR(IF(AND(ISNUMBER('SW Rev'!O70),ISNUMBER('SW Rev'!K70),'SW Rev'!K70&gt;0),'SW Rev'!O70/'SW Rev'!K70-1,""),"")</f>
        <v/>
      </c>
      <c r="L173" s="37">
        <f>IFERROR(IF(AND(ISNUMBER('SW Rev'!P70),ISNUMBER('SW Rev'!L70),'SW Rev'!L70&gt;0),'SW Rev'!P70/'SW Rev'!L70-1,""),"")</f>
        <v/>
      </c>
      <c r="M173" s="38">
        <f>IFERROR(IF(AND(ISNUMBER('SW Rev'!Q70),ISNUMBER('SW Rev'!M70),'SW Rev'!M70&gt;0),'SW Rev'!Q70/'SW Rev'!M70-1,""),"")</f>
        <v/>
      </c>
      <c r="N173" s="38">
        <f>IFERROR(IF(AND(ISNUMBER('SW Rev'!R70),ISNUMBER('SW Rev'!N70),'SW Rev'!N70&gt;0),'SW Rev'!R70/'SW Rev'!N70-1,""),"")</f>
        <v/>
      </c>
    </row>
    <row r="174">
      <c r="A174" s="19">
        <f>'SW Rev'!$A71</f>
        <v/>
      </c>
      <c r="B174" s="19">
        <f>'SW Rev'!$B71</f>
        <v/>
      </c>
      <c r="C174" s="37">
        <f>IFERROR(IF(AND(ISNUMBER('SW Rev'!G71),ISNUMBER('SW Rev'!C71),'SW Rev'!C71&gt;0),'SW Rev'!G71/'SW Rev'!C71-1,""),"")</f>
        <v/>
      </c>
      <c r="D174" s="37">
        <f>IFERROR(IF(AND(ISNUMBER('SW Rev'!H71),ISNUMBER('SW Rev'!D71),'SW Rev'!D71&gt;0),'SW Rev'!H71/'SW Rev'!D71-1,""),"")</f>
        <v/>
      </c>
      <c r="E174" s="37">
        <f>IFERROR(IF(AND(ISNUMBER('SW Rev'!I71),ISNUMBER('SW Rev'!E71),'SW Rev'!E71&gt;0),'SW Rev'!I71/'SW Rev'!E71-1,""),"")</f>
        <v/>
      </c>
      <c r="F174" s="37">
        <f>IFERROR(IF(AND(ISNUMBER('SW Rev'!J71),ISNUMBER('SW Rev'!F71),'SW Rev'!F71&gt;0),'SW Rev'!J71/'SW Rev'!F71-1,""),"")</f>
        <v/>
      </c>
      <c r="G174" s="37">
        <f>IFERROR(IF(AND(ISNUMBER('SW Rev'!K71),ISNUMBER('SW Rev'!G71),'SW Rev'!G71&gt;0),'SW Rev'!K71/'SW Rev'!G71-1,""),"")</f>
        <v/>
      </c>
      <c r="H174" s="37">
        <f>IFERROR(IF(AND(ISNUMBER('SW Rev'!L71),ISNUMBER('SW Rev'!H71),'SW Rev'!H71&gt;0),'SW Rev'!L71/'SW Rev'!H71-1,""),"")</f>
        <v/>
      </c>
      <c r="I174" s="37">
        <f>IFERROR(IF(AND(ISNUMBER('SW Rev'!M71),ISNUMBER('SW Rev'!I71),'SW Rev'!I71&gt;0),'SW Rev'!M71/'SW Rev'!I71-1,""),"")</f>
        <v/>
      </c>
      <c r="J174" s="37">
        <f>IFERROR(IF(AND(ISNUMBER('SW Rev'!N71),ISNUMBER('SW Rev'!J71),'SW Rev'!J71&gt;0),'SW Rev'!N71/'SW Rev'!J71-1,""),"")</f>
        <v/>
      </c>
      <c r="K174" s="37">
        <f>IFERROR(IF(AND(ISNUMBER('SW Rev'!O71),ISNUMBER('SW Rev'!K71),'SW Rev'!K71&gt;0),'SW Rev'!O71/'SW Rev'!K71-1,""),"")</f>
        <v/>
      </c>
      <c r="L174" s="37">
        <f>IFERROR(IF(AND(ISNUMBER('SW Rev'!P71),ISNUMBER('SW Rev'!L71),'SW Rev'!L71&gt;0),'SW Rev'!P71/'SW Rev'!L71-1,""),"")</f>
        <v/>
      </c>
      <c r="M174" s="38">
        <f>IFERROR(IF(AND(ISNUMBER('SW Rev'!Q71),ISNUMBER('SW Rev'!M71),'SW Rev'!M71&gt;0),'SW Rev'!Q71/'SW Rev'!M71-1,""),"")</f>
        <v/>
      </c>
      <c r="N174" s="38">
        <f>IFERROR(IF(AND(ISNUMBER('SW Rev'!R71),ISNUMBER('SW Rev'!N71),'SW Rev'!N71&gt;0),'SW Rev'!R71/'SW Rev'!N71-1,""),"")</f>
        <v/>
      </c>
    </row>
    <row r="175">
      <c r="A175" s="19">
        <f>'SW Rev'!$A72</f>
        <v/>
      </c>
      <c r="B175" s="19">
        <f>'SW Rev'!$B72</f>
        <v/>
      </c>
      <c r="C175" s="37">
        <f>IFERROR(IF(AND(ISNUMBER('SW Rev'!G72),ISNUMBER('SW Rev'!C72),'SW Rev'!C72&gt;0),'SW Rev'!G72/'SW Rev'!C72-1,""),"")</f>
        <v/>
      </c>
      <c r="D175" s="37">
        <f>IFERROR(IF(AND(ISNUMBER('SW Rev'!H72),ISNUMBER('SW Rev'!D72),'SW Rev'!D72&gt;0),'SW Rev'!H72/'SW Rev'!D72-1,""),"")</f>
        <v/>
      </c>
      <c r="E175" s="37">
        <f>IFERROR(IF(AND(ISNUMBER('SW Rev'!I72),ISNUMBER('SW Rev'!E72),'SW Rev'!E72&gt;0),'SW Rev'!I72/'SW Rev'!E72-1,""),"")</f>
        <v/>
      </c>
      <c r="F175" s="37">
        <f>IFERROR(IF(AND(ISNUMBER('SW Rev'!J72),ISNUMBER('SW Rev'!F72),'SW Rev'!F72&gt;0),'SW Rev'!J72/'SW Rev'!F72-1,""),"")</f>
        <v/>
      </c>
      <c r="G175" s="37">
        <f>IFERROR(IF(AND(ISNUMBER('SW Rev'!K72),ISNUMBER('SW Rev'!G72),'SW Rev'!G72&gt;0),'SW Rev'!K72/'SW Rev'!G72-1,""),"")</f>
        <v/>
      </c>
      <c r="H175" s="37">
        <f>IFERROR(IF(AND(ISNUMBER('SW Rev'!L72),ISNUMBER('SW Rev'!H72),'SW Rev'!H72&gt;0),'SW Rev'!L72/'SW Rev'!H72-1,""),"")</f>
        <v/>
      </c>
      <c r="I175" s="37">
        <f>IFERROR(IF(AND(ISNUMBER('SW Rev'!M72),ISNUMBER('SW Rev'!I72),'SW Rev'!I72&gt;0),'SW Rev'!M72/'SW Rev'!I72-1,""),"")</f>
        <v/>
      </c>
      <c r="J175" s="37">
        <f>IFERROR(IF(AND(ISNUMBER('SW Rev'!N72),ISNUMBER('SW Rev'!J72),'SW Rev'!J72&gt;0),'SW Rev'!N72/'SW Rev'!J72-1,""),"")</f>
        <v/>
      </c>
      <c r="K175" s="37">
        <f>IFERROR(IF(AND(ISNUMBER('SW Rev'!O72),ISNUMBER('SW Rev'!K72),'SW Rev'!K72&gt;0),'SW Rev'!O72/'SW Rev'!K72-1,""),"")</f>
        <v/>
      </c>
      <c r="L175" s="37">
        <f>IFERROR(IF(AND(ISNUMBER('SW Rev'!P72),ISNUMBER('SW Rev'!L72),'SW Rev'!L72&gt;0),'SW Rev'!P72/'SW Rev'!L72-1,""),"")</f>
        <v/>
      </c>
      <c r="M175" s="38">
        <f>IFERROR(IF(AND(ISNUMBER('SW Rev'!Q72),ISNUMBER('SW Rev'!M72),'SW Rev'!M72&gt;0),'SW Rev'!Q72/'SW Rev'!M72-1,""),"")</f>
        <v/>
      </c>
      <c r="N175" s="38">
        <f>IFERROR(IF(AND(ISNUMBER('SW Rev'!R72),ISNUMBER('SW Rev'!N72),'SW Rev'!N72&gt;0),'SW Rev'!R72/'SW Rev'!N72-1,""),"")</f>
        <v/>
      </c>
    </row>
    <row r="176">
      <c r="A176" s="19">
        <f>'SW Rev'!$A73</f>
        <v/>
      </c>
      <c r="B176" s="19">
        <f>'SW Rev'!$B73</f>
        <v/>
      </c>
      <c r="C176" s="37">
        <f>IFERROR(IF(AND(ISNUMBER('SW Rev'!G73),ISNUMBER('SW Rev'!C73),'SW Rev'!C73&gt;0),'SW Rev'!G73/'SW Rev'!C73-1,""),"")</f>
        <v/>
      </c>
      <c r="D176" s="37">
        <f>IFERROR(IF(AND(ISNUMBER('SW Rev'!H73),ISNUMBER('SW Rev'!D73),'SW Rev'!D73&gt;0),'SW Rev'!H73/'SW Rev'!D73-1,""),"")</f>
        <v/>
      </c>
      <c r="E176" s="37">
        <f>IFERROR(IF(AND(ISNUMBER('SW Rev'!I73),ISNUMBER('SW Rev'!E73),'SW Rev'!E73&gt;0),'SW Rev'!I73/'SW Rev'!E73-1,""),"")</f>
        <v/>
      </c>
      <c r="F176" s="37">
        <f>IFERROR(IF(AND(ISNUMBER('SW Rev'!J73),ISNUMBER('SW Rev'!F73),'SW Rev'!F73&gt;0),'SW Rev'!J73/'SW Rev'!F73-1,""),"")</f>
        <v/>
      </c>
      <c r="G176" s="37">
        <f>IFERROR(IF(AND(ISNUMBER('SW Rev'!K73),ISNUMBER('SW Rev'!G73),'SW Rev'!G73&gt;0),'SW Rev'!K73/'SW Rev'!G73-1,""),"")</f>
        <v/>
      </c>
      <c r="H176" s="37">
        <f>IFERROR(IF(AND(ISNUMBER('SW Rev'!L73),ISNUMBER('SW Rev'!H73),'SW Rev'!H73&gt;0),'SW Rev'!L73/'SW Rev'!H73-1,""),"")</f>
        <v/>
      </c>
      <c r="I176" s="37">
        <f>IFERROR(IF(AND(ISNUMBER('SW Rev'!M73),ISNUMBER('SW Rev'!I73),'SW Rev'!I73&gt;0),'SW Rev'!M73/'SW Rev'!I73-1,""),"")</f>
        <v/>
      </c>
      <c r="J176" s="37">
        <f>IFERROR(IF(AND(ISNUMBER('SW Rev'!N73),ISNUMBER('SW Rev'!J73),'SW Rev'!J73&gt;0),'SW Rev'!N73/'SW Rev'!J73-1,""),"")</f>
        <v/>
      </c>
      <c r="K176" s="37">
        <f>IFERROR(IF(AND(ISNUMBER('SW Rev'!O73),ISNUMBER('SW Rev'!K73),'SW Rev'!K73&gt;0),'SW Rev'!O73/'SW Rev'!K73-1,""),"")</f>
        <v/>
      </c>
      <c r="L176" s="37">
        <f>IFERROR(IF(AND(ISNUMBER('SW Rev'!P73),ISNUMBER('SW Rev'!L73),'SW Rev'!L73&gt;0),'SW Rev'!P73/'SW Rev'!L73-1,""),"")</f>
        <v/>
      </c>
      <c r="M176" s="38">
        <f>IFERROR(IF(AND(ISNUMBER('SW Rev'!Q73),ISNUMBER('SW Rev'!M73),'SW Rev'!M73&gt;0),'SW Rev'!Q73/'SW Rev'!M73-1,""),"")</f>
        <v/>
      </c>
      <c r="N176" s="38">
        <f>IFERROR(IF(AND(ISNUMBER('SW Rev'!R73),ISNUMBER('SW Rev'!N73),'SW Rev'!N73&gt;0),'SW Rev'!R73/'SW Rev'!N73-1,""),"")</f>
        <v/>
      </c>
    </row>
    <row r="177">
      <c r="A177" s="19">
        <f>'SW Rev'!$A74</f>
        <v/>
      </c>
      <c r="B177" s="19">
        <f>'SW Rev'!$B74</f>
        <v/>
      </c>
      <c r="C177" s="37">
        <f>IFERROR(IF(AND(ISNUMBER('SW Rev'!G74),ISNUMBER('SW Rev'!C74),'SW Rev'!C74&gt;0),'SW Rev'!G74/'SW Rev'!C74-1,""),"")</f>
        <v/>
      </c>
      <c r="D177" s="37">
        <f>IFERROR(IF(AND(ISNUMBER('SW Rev'!H74),ISNUMBER('SW Rev'!D74),'SW Rev'!D74&gt;0),'SW Rev'!H74/'SW Rev'!D74-1,""),"")</f>
        <v/>
      </c>
      <c r="E177" s="37">
        <f>IFERROR(IF(AND(ISNUMBER('SW Rev'!I74),ISNUMBER('SW Rev'!E74),'SW Rev'!E74&gt;0),'SW Rev'!I74/'SW Rev'!E74-1,""),"")</f>
        <v/>
      </c>
      <c r="F177" s="37">
        <f>IFERROR(IF(AND(ISNUMBER('SW Rev'!J74),ISNUMBER('SW Rev'!F74),'SW Rev'!F74&gt;0),'SW Rev'!J74/'SW Rev'!F74-1,""),"")</f>
        <v/>
      </c>
      <c r="G177" s="37">
        <f>IFERROR(IF(AND(ISNUMBER('SW Rev'!K74),ISNUMBER('SW Rev'!G74),'SW Rev'!G74&gt;0),'SW Rev'!K74/'SW Rev'!G74-1,""),"")</f>
        <v/>
      </c>
      <c r="H177" s="37">
        <f>IFERROR(IF(AND(ISNUMBER('SW Rev'!L74),ISNUMBER('SW Rev'!H74),'SW Rev'!H74&gt;0),'SW Rev'!L74/'SW Rev'!H74-1,""),"")</f>
        <v/>
      </c>
      <c r="I177" s="37">
        <f>IFERROR(IF(AND(ISNUMBER('SW Rev'!M74),ISNUMBER('SW Rev'!I74),'SW Rev'!I74&gt;0),'SW Rev'!M74/'SW Rev'!I74-1,""),"")</f>
        <v/>
      </c>
      <c r="J177" s="37">
        <f>IFERROR(IF(AND(ISNUMBER('SW Rev'!N74),ISNUMBER('SW Rev'!J74),'SW Rev'!J74&gt;0),'SW Rev'!N74/'SW Rev'!J74-1,""),"")</f>
        <v/>
      </c>
      <c r="K177" s="37">
        <f>IFERROR(IF(AND(ISNUMBER('SW Rev'!O74),ISNUMBER('SW Rev'!K74),'SW Rev'!K74&gt;0),'SW Rev'!O74/'SW Rev'!K74-1,""),"")</f>
        <v/>
      </c>
      <c r="L177" s="37">
        <f>IFERROR(IF(AND(ISNUMBER('SW Rev'!P74),ISNUMBER('SW Rev'!L74),'SW Rev'!L74&gt;0),'SW Rev'!P74/'SW Rev'!L74-1,""),"")</f>
        <v/>
      </c>
      <c r="M177" s="38">
        <f>IFERROR(IF(AND(ISNUMBER('SW Rev'!Q74),ISNUMBER('SW Rev'!M74),'SW Rev'!M74&gt;0),'SW Rev'!Q74/'SW Rev'!M74-1,""),"")</f>
        <v/>
      </c>
      <c r="N177" s="38">
        <f>IFERROR(IF(AND(ISNUMBER('SW Rev'!R74),ISNUMBER('SW Rev'!N74),'SW Rev'!N74&gt;0),'SW Rev'!R74/'SW Rev'!N74-1,""),"")</f>
        <v/>
      </c>
    </row>
    <row r="178">
      <c r="A178" s="19">
        <f>'SW Rev'!$A75</f>
        <v/>
      </c>
      <c r="B178" s="19">
        <f>'SW Rev'!$B75</f>
        <v/>
      </c>
      <c r="C178" s="37">
        <f>IFERROR(IF(AND(ISNUMBER('SW Rev'!G75),ISNUMBER('SW Rev'!C75),'SW Rev'!C75&gt;0),'SW Rev'!G75/'SW Rev'!C75-1,""),"")</f>
        <v/>
      </c>
      <c r="D178" s="37">
        <f>IFERROR(IF(AND(ISNUMBER('SW Rev'!H75),ISNUMBER('SW Rev'!D75),'SW Rev'!D75&gt;0),'SW Rev'!H75/'SW Rev'!D75-1,""),"")</f>
        <v/>
      </c>
      <c r="E178" s="37">
        <f>IFERROR(IF(AND(ISNUMBER('SW Rev'!I75),ISNUMBER('SW Rev'!E75),'SW Rev'!E75&gt;0),'SW Rev'!I75/'SW Rev'!E75-1,""),"")</f>
        <v/>
      </c>
      <c r="F178" s="37">
        <f>IFERROR(IF(AND(ISNUMBER('SW Rev'!J75),ISNUMBER('SW Rev'!F75),'SW Rev'!F75&gt;0),'SW Rev'!J75/'SW Rev'!F75-1,""),"")</f>
        <v/>
      </c>
      <c r="G178" s="37">
        <f>IFERROR(IF(AND(ISNUMBER('SW Rev'!K75),ISNUMBER('SW Rev'!G75),'SW Rev'!G75&gt;0),'SW Rev'!K75/'SW Rev'!G75-1,""),"")</f>
        <v/>
      </c>
      <c r="H178" s="37">
        <f>IFERROR(IF(AND(ISNUMBER('SW Rev'!L75),ISNUMBER('SW Rev'!H75),'SW Rev'!H75&gt;0),'SW Rev'!L75/'SW Rev'!H75-1,""),"")</f>
        <v/>
      </c>
      <c r="I178" s="37">
        <f>IFERROR(IF(AND(ISNUMBER('SW Rev'!M75),ISNUMBER('SW Rev'!I75),'SW Rev'!I75&gt;0),'SW Rev'!M75/'SW Rev'!I75-1,""),"")</f>
        <v/>
      </c>
      <c r="J178" s="37">
        <f>IFERROR(IF(AND(ISNUMBER('SW Rev'!N75),ISNUMBER('SW Rev'!J75),'SW Rev'!J75&gt;0),'SW Rev'!N75/'SW Rev'!J75-1,""),"")</f>
        <v/>
      </c>
      <c r="K178" s="37">
        <f>IFERROR(IF(AND(ISNUMBER('SW Rev'!O75),ISNUMBER('SW Rev'!K75),'SW Rev'!K75&gt;0),'SW Rev'!O75/'SW Rev'!K75-1,""),"")</f>
        <v/>
      </c>
      <c r="L178" s="37">
        <f>IFERROR(IF(AND(ISNUMBER('SW Rev'!P75),ISNUMBER('SW Rev'!L75),'SW Rev'!L75&gt;0),'SW Rev'!P75/'SW Rev'!L75-1,""),"")</f>
        <v/>
      </c>
      <c r="M178" s="38">
        <f>IFERROR(IF(AND(ISNUMBER('SW Rev'!Q75),ISNUMBER('SW Rev'!M75),'SW Rev'!M75&gt;0),'SW Rev'!Q75/'SW Rev'!M75-1,""),"")</f>
        <v/>
      </c>
      <c r="N178" s="38">
        <f>IFERROR(IF(AND(ISNUMBER('SW Rev'!R75),ISNUMBER('SW Rev'!N75),'SW Rev'!N75&gt;0),'SW Rev'!R75/'SW Rev'!N75-1,""),"")</f>
        <v/>
      </c>
    </row>
    <row r="179">
      <c r="A179" s="19">
        <f>'SW Rev'!$A76</f>
        <v/>
      </c>
      <c r="B179" s="19">
        <f>'SW Rev'!$B76</f>
        <v/>
      </c>
      <c r="C179" s="37">
        <f>IFERROR(IF(AND(ISNUMBER('SW Rev'!G76),ISNUMBER('SW Rev'!C76),'SW Rev'!C76&gt;0),'SW Rev'!G76/'SW Rev'!C76-1,""),"")</f>
        <v/>
      </c>
      <c r="D179" s="37">
        <f>IFERROR(IF(AND(ISNUMBER('SW Rev'!H76),ISNUMBER('SW Rev'!D76),'SW Rev'!D76&gt;0),'SW Rev'!H76/'SW Rev'!D76-1,""),"")</f>
        <v/>
      </c>
      <c r="E179" s="37">
        <f>IFERROR(IF(AND(ISNUMBER('SW Rev'!I76),ISNUMBER('SW Rev'!E76),'SW Rev'!E76&gt;0),'SW Rev'!I76/'SW Rev'!E76-1,""),"")</f>
        <v/>
      </c>
      <c r="F179" s="37">
        <f>IFERROR(IF(AND(ISNUMBER('SW Rev'!J76),ISNUMBER('SW Rev'!F76),'SW Rev'!F76&gt;0),'SW Rev'!J76/'SW Rev'!F76-1,""),"")</f>
        <v/>
      </c>
      <c r="G179" s="37">
        <f>IFERROR(IF(AND(ISNUMBER('SW Rev'!K76),ISNUMBER('SW Rev'!G76),'SW Rev'!G76&gt;0),'SW Rev'!K76/'SW Rev'!G76-1,""),"")</f>
        <v/>
      </c>
      <c r="H179" s="37">
        <f>IFERROR(IF(AND(ISNUMBER('SW Rev'!L76),ISNUMBER('SW Rev'!H76),'SW Rev'!H76&gt;0),'SW Rev'!L76/'SW Rev'!H76-1,""),"")</f>
        <v/>
      </c>
      <c r="I179" s="37">
        <f>IFERROR(IF(AND(ISNUMBER('SW Rev'!M76),ISNUMBER('SW Rev'!I76),'SW Rev'!I76&gt;0),'SW Rev'!M76/'SW Rev'!I76-1,""),"")</f>
        <v/>
      </c>
      <c r="J179" s="37">
        <f>IFERROR(IF(AND(ISNUMBER('SW Rev'!N76),ISNUMBER('SW Rev'!J76),'SW Rev'!J76&gt;0),'SW Rev'!N76/'SW Rev'!J76-1,""),"")</f>
        <v/>
      </c>
      <c r="K179" s="37">
        <f>IFERROR(IF(AND(ISNUMBER('SW Rev'!O76),ISNUMBER('SW Rev'!K76),'SW Rev'!K76&gt;0),'SW Rev'!O76/'SW Rev'!K76-1,""),"")</f>
        <v/>
      </c>
      <c r="L179" s="37">
        <f>IFERROR(IF(AND(ISNUMBER('SW Rev'!P76),ISNUMBER('SW Rev'!L76),'SW Rev'!L76&gt;0),'SW Rev'!P76/'SW Rev'!L76-1,""),"")</f>
        <v/>
      </c>
      <c r="M179" s="38">
        <f>IFERROR(IF(AND(ISNUMBER('SW Rev'!Q76),ISNUMBER('SW Rev'!M76),'SW Rev'!M76&gt;0),'SW Rev'!Q76/'SW Rev'!M76-1,""),"")</f>
        <v/>
      </c>
      <c r="N179" s="38">
        <f>IFERROR(IF(AND(ISNUMBER('SW Rev'!R76),ISNUMBER('SW Rev'!N76),'SW Rev'!N76&gt;0),'SW Rev'!R76/'SW Rev'!N76-1,""),"")</f>
        <v/>
      </c>
    </row>
    <row r="180">
      <c r="A180" s="19">
        <f>'SW Rev'!$A77</f>
        <v/>
      </c>
      <c r="B180" s="19">
        <f>'SW Rev'!$B77</f>
        <v/>
      </c>
      <c r="C180" s="37">
        <f>IFERROR(IF(AND(ISNUMBER('SW Rev'!G77),ISNUMBER('SW Rev'!C77),'SW Rev'!C77&gt;0),'SW Rev'!G77/'SW Rev'!C77-1,""),"")</f>
        <v/>
      </c>
      <c r="D180" s="37">
        <f>IFERROR(IF(AND(ISNUMBER('SW Rev'!H77),ISNUMBER('SW Rev'!D77),'SW Rev'!D77&gt;0),'SW Rev'!H77/'SW Rev'!D77-1,""),"")</f>
        <v/>
      </c>
      <c r="E180" s="37">
        <f>IFERROR(IF(AND(ISNUMBER('SW Rev'!I77),ISNUMBER('SW Rev'!E77),'SW Rev'!E77&gt;0),'SW Rev'!I77/'SW Rev'!E77-1,""),"")</f>
        <v/>
      </c>
      <c r="F180" s="37">
        <f>IFERROR(IF(AND(ISNUMBER('SW Rev'!J77),ISNUMBER('SW Rev'!F77),'SW Rev'!F77&gt;0),'SW Rev'!J77/'SW Rev'!F77-1,""),"")</f>
        <v/>
      </c>
      <c r="G180" s="37">
        <f>IFERROR(IF(AND(ISNUMBER('SW Rev'!K77),ISNUMBER('SW Rev'!G77),'SW Rev'!G77&gt;0),'SW Rev'!K77/'SW Rev'!G77-1,""),"")</f>
        <v/>
      </c>
      <c r="H180" s="37">
        <f>IFERROR(IF(AND(ISNUMBER('SW Rev'!L77),ISNUMBER('SW Rev'!H77),'SW Rev'!H77&gt;0),'SW Rev'!L77/'SW Rev'!H77-1,""),"")</f>
        <v/>
      </c>
      <c r="I180" s="37">
        <f>IFERROR(IF(AND(ISNUMBER('SW Rev'!M77),ISNUMBER('SW Rev'!I77),'SW Rev'!I77&gt;0),'SW Rev'!M77/'SW Rev'!I77-1,""),"")</f>
        <v/>
      </c>
      <c r="J180" s="37">
        <f>IFERROR(IF(AND(ISNUMBER('SW Rev'!N77),ISNUMBER('SW Rev'!J77),'SW Rev'!J77&gt;0),'SW Rev'!N77/'SW Rev'!J77-1,""),"")</f>
        <v/>
      </c>
      <c r="K180" s="37">
        <f>IFERROR(IF(AND(ISNUMBER('SW Rev'!O77),ISNUMBER('SW Rev'!K77),'SW Rev'!K77&gt;0),'SW Rev'!O77/'SW Rev'!K77-1,""),"")</f>
        <v/>
      </c>
      <c r="L180" s="37">
        <f>IFERROR(IF(AND(ISNUMBER('SW Rev'!P77),ISNUMBER('SW Rev'!L77),'SW Rev'!L77&gt;0),'SW Rev'!P77/'SW Rev'!L77-1,""),"")</f>
        <v/>
      </c>
      <c r="M180" s="38">
        <f>IFERROR(IF(AND(ISNUMBER('SW Rev'!Q77),ISNUMBER('SW Rev'!M77),'SW Rev'!M77&gt;0),'SW Rev'!Q77/'SW Rev'!M77-1,""),"")</f>
        <v/>
      </c>
      <c r="N180" s="38">
        <f>IFERROR(IF(AND(ISNUMBER('SW Rev'!R77),ISNUMBER('SW Rev'!N77),'SW Rev'!N77&gt;0),'SW Rev'!R77/'SW Rev'!N77-1,""),"")</f>
        <v/>
      </c>
    </row>
    <row r="181">
      <c r="A181" s="19">
        <f>'SW Rev'!$A78</f>
        <v/>
      </c>
      <c r="B181" s="19">
        <f>'SW Rev'!$B78</f>
        <v/>
      </c>
      <c r="C181" s="37">
        <f>IFERROR(IF(AND(ISNUMBER('SW Rev'!G78),ISNUMBER('SW Rev'!C78),'SW Rev'!C78&gt;0),'SW Rev'!G78/'SW Rev'!C78-1,""),"")</f>
        <v/>
      </c>
      <c r="D181" s="37">
        <f>IFERROR(IF(AND(ISNUMBER('SW Rev'!H78),ISNUMBER('SW Rev'!D78),'SW Rev'!D78&gt;0),'SW Rev'!H78/'SW Rev'!D78-1,""),"")</f>
        <v/>
      </c>
      <c r="E181" s="37">
        <f>IFERROR(IF(AND(ISNUMBER('SW Rev'!I78),ISNUMBER('SW Rev'!E78),'SW Rev'!E78&gt;0),'SW Rev'!I78/'SW Rev'!E78-1,""),"")</f>
        <v/>
      </c>
      <c r="F181" s="37">
        <f>IFERROR(IF(AND(ISNUMBER('SW Rev'!J78),ISNUMBER('SW Rev'!F78),'SW Rev'!F78&gt;0),'SW Rev'!J78/'SW Rev'!F78-1,""),"")</f>
        <v/>
      </c>
      <c r="G181" s="37">
        <f>IFERROR(IF(AND(ISNUMBER('SW Rev'!K78),ISNUMBER('SW Rev'!G78),'SW Rev'!G78&gt;0),'SW Rev'!K78/'SW Rev'!G78-1,""),"")</f>
        <v/>
      </c>
      <c r="H181" s="37">
        <f>IFERROR(IF(AND(ISNUMBER('SW Rev'!L78),ISNUMBER('SW Rev'!H78),'SW Rev'!H78&gt;0),'SW Rev'!L78/'SW Rev'!H78-1,""),"")</f>
        <v/>
      </c>
      <c r="I181" s="37">
        <f>IFERROR(IF(AND(ISNUMBER('SW Rev'!M78),ISNUMBER('SW Rev'!I78),'SW Rev'!I78&gt;0),'SW Rev'!M78/'SW Rev'!I78-1,""),"")</f>
        <v/>
      </c>
      <c r="J181" s="37">
        <f>IFERROR(IF(AND(ISNUMBER('SW Rev'!N78),ISNUMBER('SW Rev'!J78),'SW Rev'!J78&gt;0),'SW Rev'!N78/'SW Rev'!J78-1,""),"")</f>
        <v/>
      </c>
      <c r="K181" s="37">
        <f>IFERROR(IF(AND(ISNUMBER('SW Rev'!O78),ISNUMBER('SW Rev'!K78),'SW Rev'!K78&gt;0),'SW Rev'!O78/'SW Rev'!K78-1,""),"")</f>
        <v/>
      </c>
      <c r="L181" s="37">
        <f>IFERROR(IF(AND(ISNUMBER('SW Rev'!P78),ISNUMBER('SW Rev'!L78),'SW Rev'!L78&gt;0),'SW Rev'!P78/'SW Rev'!L78-1,""),"")</f>
        <v/>
      </c>
      <c r="M181" s="38">
        <f>IFERROR(IF(AND(ISNUMBER('SW Rev'!Q78),ISNUMBER('SW Rev'!M78),'SW Rev'!M78&gt;0),'SW Rev'!Q78/'SW Rev'!M78-1,""),"")</f>
        <v/>
      </c>
      <c r="N181" s="38">
        <f>IFERROR(IF(AND(ISNUMBER('SW Rev'!R78),ISNUMBER('SW Rev'!N78),'SW Rev'!N78&gt;0),'SW Rev'!R78/'SW Rev'!N78-1,""),"")</f>
        <v/>
      </c>
    </row>
    <row r="182">
      <c r="A182" s="19">
        <f>'SW Rev'!$A79</f>
        <v/>
      </c>
      <c r="B182" s="19">
        <f>'SW Rev'!$B79</f>
        <v/>
      </c>
      <c r="C182" s="37">
        <f>IFERROR(IF(AND(ISNUMBER('SW Rev'!G79),ISNUMBER('SW Rev'!C79),'SW Rev'!C79&gt;0),'SW Rev'!G79/'SW Rev'!C79-1,""),"")</f>
        <v/>
      </c>
      <c r="D182" s="37">
        <f>IFERROR(IF(AND(ISNUMBER('SW Rev'!H79),ISNUMBER('SW Rev'!D79),'SW Rev'!D79&gt;0),'SW Rev'!H79/'SW Rev'!D79-1,""),"")</f>
        <v/>
      </c>
      <c r="E182" s="37">
        <f>IFERROR(IF(AND(ISNUMBER('SW Rev'!I79),ISNUMBER('SW Rev'!E79),'SW Rev'!E79&gt;0),'SW Rev'!I79/'SW Rev'!E79-1,""),"")</f>
        <v/>
      </c>
      <c r="F182" s="37">
        <f>IFERROR(IF(AND(ISNUMBER('SW Rev'!J79),ISNUMBER('SW Rev'!F79),'SW Rev'!F79&gt;0),'SW Rev'!J79/'SW Rev'!F79-1,""),"")</f>
        <v/>
      </c>
      <c r="G182" s="37">
        <f>IFERROR(IF(AND(ISNUMBER('SW Rev'!K79),ISNUMBER('SW Rev'!G79),'SW Rev'!G79&gt;0),'SW Rev'!K79/'SW Rev'!G79-1,""),"")</f>
        <v/>
      </c>
      <c r="H182" s="37">
        <f>IFERROR(IF(AND(ISNUMBER('SW Rev'!L79),ISNUMBER('SW Rev'!H79),'SW Rev'!H79&gt;0),'SW Rev'!L79/'SW Rev'!H79-1,""),"")</f>
        <v/>
      </c>
      <c r="I182" s="37">
        <f>IFERROR(IF(AND(ISNUMBER('SW Rev'!M79),ISNUMBER('SW Rev'!I79),'SW Rev'!I79&gt;0),'SW Rev'!M79/'SW Rev'!I79-1,""),"")</f>
        <v/>
      </c>
      <c r="J182" s="37">
        <f>IFERROR(IF(AND(ISNUMBER('SW Rev'!N79),ISNUMBER('SW Rev'!J79),'SW Rev'!J79&gt;0),'SW Rev'!N79/'SW Rev'!J79-1,""),"")</f>
        <v/>
      </c>
      <c r="K182" s="37">
        <f>IFERROR(IF(AND(ISNUMBER('SW Rev'!O79),ISNUMBER('SW Rev'!K79),'SW Rev'!K79&gt;0),'SW Rev'!O79/'SW Rev'!K79-1,""),"")</f>
        <v/>
      </c>
      <c r="L182" s="37">
        <f>IFERROR(IF(AND(ISNUMBER('SW Rev'!P79),ISNUMBER('SW Rev'!L79),'SW Rev'!L79&gt;0),'SW Rev'!P79/'SW Rev'!L79-1,""),"")</f>
        <v/>
      </c>
      <c r="M182" s="38">
        <f>IFERROR(IF(AND(ISNUMBER('SW Rev'!Q79),ISNUMBER('SW Rev'!M79),'SW Rev'!M79&gt;0),'SW Rev'!Q79/'SW Rev'!M79-1,""),"")</f>
        <v/>
      </c>
      <c r="N182" s="38">
        <f>IFERROR(IF(AND(ISNUMBER('SW Rev'!R79),ISNUMBER('SW Rev'!N79),'SW Rev'!N79&gt;0),'SW Rev'!R79/'SW Rev'!N79-1,""),"")</f>
        <v/>
      </c>
    </row>
    <row r="183">
      <c r="A183" s="19">
        <f>'SW Rev'!$A80</f>
        <v/>
      </c>
      <c r="B183" s="19">
        <f>'SW Rev'!$B80</f>
        <v/>
      </c>
      <c r="C183" s="37">
        <f>IFERROR(IF(AND(ISNUMBER('SW Rev'!G80),ISNUMBER('SW Rev'!C80),'SW Rev'!C80&gt;0),'SW Rev'!G80/'SW Rev'!C80-1,""),"")</f>
        <v/>
      </c>
      <c r="D183" s="37">
        <f>IFERROR(IF(AND(ISNUMBER('SW Rev'!H80),ISNUMBER('SW Rev'!D80),'SW Rev'!D80&gt;0),'SW Rev'!H80/'SW Rev'!D80-1,""),"")</f>
        <v/>
      </c>
      <c r="E183" s="37">
        <f>IFERROR(IF(AND(ISNUMBER('SW Rev'!I80),ISNUMBER('SW Rev'!E80),'SW Rev'!E80&gt;0),'SW Rev'!I80/'SW Rev'!E80-1,""),"")</f>
        <v/>
      </c>
      <c r="F183" s="37">
        <f>IFERROR(IF(AND(ISNUMBER('SW Rev'!J80),ISNUMBER('SW Rev'!F80),'SW Rev'!F80&gt;0),'SW Rev'!J80/'SW Rev'!F80-1,""),"")</f>
        <v/>
      </c>
      <c r="G183" s="37">
        <f>IFERROR(IF(AND(ISNUMBER('SW Rev'!K80),ISNUMBER('SW Rev'!G80),'SW Rev'!G80&gt;0),'SW Rev'!K80/'SW Rev'!G80-1,""),"")</f>
        <v/>
      </c>
      <c r="H183" s="37">
        <f>IFERROR(IF(AND(ISNUMBER('SW Rev'!L80),ISNUMBER('SW Rev'!H80),'SW Rev'!H80&gt;0),'SW Rev'!L80/'SW Rev'!H80-1,""),"")</f>
        <v/>
      </c>
      <c r="I183" s="37">
        <f>IFERROR(IF(AND(ISNUMBER('SW Rev'!M80),ISNUMBER('SW Rev'!I80),'SW Rev'!I80&gt;0),'SW Rev'!M80/'SW Rev'!I80-1,""),"")</f>
        <v/>
      </c>
      <c r="J183" s="37">
        <f>IFERROR(IF(AND(ISNUMBER('SW Rev'!N80),ISNUMBER('SW Rev'!J80),'SW Rev'!J80&gt;0),'SW Rev'!N80/'SW Rev'!J80-1,""),"")</f>
        <v/>
      </c>
      <c r="K183" s="37">
        <f>IFERROR(IF(AND(ISNUMBER('SW Rev'!O80),ISNUMBER('SW Rev'!K80),'SW Rev'!K80&gt;0),'SW Rev'!O80/'SW Rev'!K80-1,""),"")</f>
        <v/>
      </c>
      <c r="L183" s="37">
        <f>IFERROR(IF(AND(ISNUMBER('SW Rev'!P80),ISNUMBER('SW Rev'!L80),'SW Rev'!L80&gt;0),'SW Rev'!P80/'SW Rev'!L80-1,""),"")</f>
        <v/>
      </c>
      <c r="M183" s="38">
        <f>IFERROR(IF(AND(ISNUMBER('SW Rev'!Q80),ISNUMBER('SW Rev'!M80),'SW Rev'!M80&gt;0),'SW Rev'!Q80/'SW Rev'!M80-1,""),"")</f>
        <v/>
      </c>
      <c r="N183" s="38">
        <f>IFERROR(IF(AND(ISNUMBER('SW Rev'!R80),ISNUMBER('SW Rev'!N80),'SW Rev'!N80&gt;0),'SW Rev'!R80/'SW Rev'!N80-1,""),"")</f>
        <v/>
      </c>
    </row>
    <row r="184">
      <c r="A184" s="19">
        <f>'SW Rev'!$A81</f>
        <v/>
      </c>
      <c r="B184" s="19">
        <f>'SW Rev'!$B81</f>
        <v/>
      </c>
      <c r="C184" s="37">
        <f>IFERROR(IF(AND(ISNUMBER('SW Rev'!G81),ISNUMBER('SW Rev'!C81),'SW Rev'!C81&gt;0),'SW Rev'!G81/'SW Rev'!C81-1,""),"")</f>
        <v/>
      </c>
      <c r="D184" s="37">
        <f>IFERROR(IF(AND(ISNUMBER('SW Rev'!H81),ISNUMBER('SW Rev'!D81),'SW Rev'!D81&gt;0),'SW Rev'!H81/'SW Rev'!D81-1,""),"")</f>
        <v/>
      </c>
      <c r="E184" s="37">
        <f>IFERROR(IF(AND(ISNUMBER('SW Rev'!I81),ISNUMBER('SW Rev'!E81),'SW Rev'!E81&gt;0),'SW Rev'!I81/'SW Rev'!E81-1,""),"")</f>
        <v/>
      </c>
      <c r="F184" s="37">
        <f>IFERROR(IF(AND(ISNUMBER('SW Rev'!J81),ISNUMBER('SW Rev'!F81),'SW Rev'!F81&gt;0),'SW Rev'!J81/'SW Rev'!F81-1,""),"")</f>
        <v/>
      </c>
      <c r="G184" s="37">
        <f>IFERROR(IF(AND(ISNUMBER('SW Rev'!K81),ISNUMBER('SW Rev'!G81),'SW Rev'!G81&gt;0),'SW Rev'!K81/'SW Rev'!G81-1,""),"")</f>
        <v/>
      </c>
      <c r="H184" s="37">
        <f>IFERROR(IF(AND(ISNUMBER('SW Rev'!L81),ISNUMBER('SW Rev'!H81),'SW Rev'!H81&gt;0),'SW Rev'!L81/'SW Rev'!H81-1,""),"")</f>
        <v/>
      </c>
      <c r="I184" s="37">
        <f>IFERROR(IF(AND(ISNUMBER('SW Rev'!M81),ISNUMBER('SW Rev'!I81),'SW Rev'!I81&gt;0),'SW Rev'!M81/'SW Rev'!I81-1,""),"")</f>
        <v/>
      </c>
      <c r="J184" s="37">
        <f>IFERROR(IF(AND(ISNUMBER('SW Rev'!N81),ISNUMBER('SW Rev'!J81),'SW Rev'!J81&gt;0),'SW Rev'!N81/'SW Rev'!J81-1,""),"")</f>
        <v/>
      </c>
      <c r="K184" s="37">
        <f>IFERROR(IF(AND(ISNUMBER('SW Rev'!O81),ISNUMBER('SW Rev'!K81),'SW Rev'!K81&gt;0),'SW Rev'!O81/'SW Rev'!K81-1,""),"")</f>
        <v/>
      </c>
      <c r="L184" s="37">
        <f>IFERROR(IF(AND(ISNUMBER('SW Rev'!P81),ISNUMBER('SW Rev'!L81),'SW Rev'!L81&gt;0),'SW Rev'!P81/'SW Rev'!L81-1,""),"")</f>
        <v/>
      </c>
      <c r="M184" s="38">
        <f>IFERROR(IF(AND(ISNUMBER('SW Rev'!Q81),ISNUMBER('SW Rev'!M81),'SW Rev'!M81&gt;0),'SW Rev'!Q81/'SW Rev'!M81-1,""),"")</f>
        <v/>
      </c>
      <c r="N184" s="38">
        <f>IFERROR(IF(AND(ISNUMBER('SW Rev'!R81),ISNUMBER('SW Rev'!N81),'SW Rev'!N81&gt;0),'SW Rev'!R81/'SW Rev'!N81-1,""),"")</f>
        <v/>
      </c>
    </row>
    <row r="185">
      <c r="A185" s="19">
        <f>'SW Rev'!$A82</f>
        <v/>
      </c>
      <c r="B185" s="19">
        <f>'SW Rev'!$B82</f>
        <v/>
      </c>
      <c r="C185" s="37">
        <f>IFERROR(IF(AND(ISNUMBER('SW Rev'!G82),ISNUMBER('SW Rev'!C82),'SW Rev'!C82&gt;0),'SW Rev'!G82/'SW Rev'!C82-1,""),"")</f>
        <v/>
      </c>
      <c r="D185" s="37">
        <f>IFERROR(IF(AND(ISNUMBER('SW Rev'!H82),ISNUMBER('SW Rev'!D82),'SW Rev'!D82&gt;0),'SW Rev'!H82/'SW Rev'!D82-1,""),"")</f>
        <v/>
      </c>
      <c r="E185" s="37">
        <f>IFERROR(IF(AND(ISNUMBER('SW Rev'!I82),ISNUMBER('SW Rev'!E82),'SW Rev'!E82&gt;0),'SW Rev'!I82/'SW Rev'!E82-1,""),"")</f>
        <v/>
      </c>
      <c r="F185" s="37">
        <f>IFERROR(IF(AND(ISNUMBER('SW Rev'!J82),ISNUMBER('SW Rev'!F82),'SW Rev'!F82&gt;0),'SW Rev'!J82/'SW Rev'!F82-1,""),"")</f>
        <v/>
      </c>
      <c r="G185" s="37">
        <f>IFERROR(IF(AND(ISNUMBER('SW Rev'!K82),ISNUMBER('SW Rev'!G82),'SW Rev'!G82&gt;0),'SW Rev'!K82/'SW Rev'!G82-1,""),"")</f>
        <v/>
      </c>
      <c r="H185" s="37">
        <f>IFERROR(IF(AND(ISNUMBER('SW Rev'!L82),ISNUMBER('SW Rev'!H82),'SW Rev'!H82&gt;0),'SW Rev'!L82/'SW Rev'!H82-1,""),"")</f>
        <v/>
      </c>
      <c r="I185" s="37">
        <f>IFERROR(IF(AND(ISNUMBER('SW Rev'!M82),ISNUMBER('SW Rev'!I82),'SW Rev'!I82&gt;0),'SW Rev'!M82/'SW Rev'!I82-1,""),"")</f>
        <v/>
      </c>
      <c r="J185" s="37">
        <f>IFERROR(IF(AND(ISNUMBER('SW Rev'!N82),ISNUMBER('SW Rev'!J82),'SW Rev'!J82&gt;0),'SW Rev'!N82/'SW Rev'!J82-1,""),"")</f>
        <v/>
      </c>
      <c r="K185" s="37">
        <f>IFERROR(IF(AND(ISNUMBER('SW Rev'!O82),ISNUMBER('SW Rev'!K82),'SW Rev'!K82&gt;0),'SW Rev'!O82/'SW Rev'!K82-1,""),"")</f>
        <v/>
      </c>
      <c r="L185" s="37">
        <f>IFERROR(IF(AND(ISNUMBER('SW Rev'!P82),ISNUMBER('SW Rev'!L82),'SW Rev'!L82&gt;0),'SW Rev'!P82/'SW Rev'!L82-1,""),"")</f>
        <v/>
      </c>
      <c r="M185" s="38">
        <f>IFERROR(IF(AND(ISNUMBER('SW Rev'!Q82),ISNUMBER('SW Rev'!M82),'SW Rev'!M82&gt;0),'SW Rev'!Q82/'SW Rev'!M82-1,""),"")</f>
        <v/>
      </c>
      <c r="N185" s="38">
        <f>IFERROR(IF(AND(ISNUMBER('SW Rev'!R82),ISNUMBER('SW Rev'!N82),'SW Rev'!N82&gt;0),'SW Rev'!R82/'SW Rev'!N82-1,""),"")</f>
        <v/>
      </c>
    </row>
    <row r="186">
      <c r="A186" s="19">
        <f>'SW Rev'!$A83</f>
        <v/>
      </c>
      <c r="B186" s="19">
        <f>'SW Rev'!$B83</f>
        <v/>
      </c>
      <c r="C186" s="37">
        <f>IFERROR(IF(AND(ISNUMBER('SW Rev'!G83),ISNUMBER('SW Rev'!C83),'SW Rev'!C83&gt;0),'SW Rev'!G83/'SW Rev'!C83-1,""),"")</f>
        <v/>
      </c>
      <c r="D186" s="37">
        <f>IFERROR(IF(AND(ISNUMBER('SW Rev'!H83),ISNUMBER('SW Rev'!D83),'SW Rev'!D83&gt;0),'SW Rev'!H83/'SW Rev'!D83-1,""),"")</f>
        <v/>
      </c>
      <c r="E186" s="37">
        <f>IFERROR(IF(AND(ISNUMBER('SW Rev'!I83),ISNUMBER('SW Rev'!E83),'SW Rev'!E83&gt;0),'SW Rev'!I83/'SW Rev'!E83-1,""),"")</f>
        <v/>
      </c>
      <c r="F186" s="37">
        <f>IFERROR(IF(AND(ISNUMBER('SW Rev'!J83),ISNUMBER('SW Rev'!F83),'SW Rev'!F83&gt;0),'SW Rev'!J83/'SW Rev'!F83-1,""),"")</f>
        <v/>
      </c>
      <c r="G186" s="37">
        <f>IFERROR(IF(AND(ISNUMBER('SW Rev'!K83),ISNUMBER('SW Rev'!G83),'SW Rev'!G83&gt;0),'SW Rev'!K83/'SW Rev'!G83-1,""),"")</f>
        <v/>
      </c>
      <c r="H186" s="37">
        <f>IFERROR(IF(AND(ISNUMBER('SW Rev'!L83),ISNUMBER('SW Rev'!H83),'SW Rev'!H83&gt;0),'SW Rev'!L83/'SW Rev'!H83-1,""),"")</f>
        <v/>
      </c>
      <c r="I186" s="37">
        <f>IFERROR(IF(AND(ISNUMBER('SW Rev'!M83),ISNUMBER('SW Rev'!I83),'SW Rev'!I83&gt;0),'SW Rev'!M83/'SW Rev'!I83-1,""),"")</f>
        <v/>
      </c>
      <c r="J186" s="37">
        <f>IFERROR(IF(AND(ISNUMBER('SW Rev'!N83),ISNUMBER('SW Rev'!J83),'SW Rev'!J83&gt;0),'SW Rev'!N83/'SW Rev'!J83-1,""),"")</f>
        <v/>
      </c>
      <c r="K186" s="37">
        <f>IFERROR(IF(AND(ISNUMBER('SW Rev'!O83),ISNUMBER('SW Rev'!K83),'SW Rev'!K83&gt;0),'SW Rev'!O83/'SW Rev'!K83-1,""),"")</f>
        <v/>
      </c>
      <c r="L186" s="37">
        <f>IFERROR(IF(AND(ISNUMBER('SW Rev'!P83),ISNUMBER('SW Rev'!L83),'SW Rev'!L83&gt;0),'SW Rev'!P83/'SW Rev'!L83-1,""),"")</f>
        <v/>
      </c>
      <c r="M186" s="38">
        <f>IFERROR(IF(AND(ISNUMBER('SW Rev'!Q83),ISNUMBER('SW Rev'!M83),'SW Rev'!M83&gt;0),'SW Rev'!Q83/'SW Rev'!M83-1,""),"")</f>
        <v/>
      </c>
      <c r="N186" s="38">
        <f>IFERROR(IF(AND(ISNUMBER('SW Rev'!R83),ISNUMBER('SW Rev'!N83),'SW Rev'!N83&gt;0),'SW Rev'!R83/'SW Rev'!N83-1,""),"")</f>
        <v/>
      </c>
    </row>
    <row r="187">
      <c r="A187" s="19">
        <f>'SW Rev'!$A84</f>
        <v/>
      </c>
      <c r="B187" s="19">
        <f>'SW Rev'!$B84</f>
        <v/>
      </c>
      <c r="C187" s="37">
        <f>IFERROR(IF(AND(ISNUMBER('SW Rev'!G84),ISNUMBER('SW Rev'!C84),'SW Rev'!C84&gt;0),'SW Rev'!G84/'SW Rev'!C84-1,""),"")</f>
        <v/>
      </c>
      <c r="D187" s="37">
        <f>IFERROR(IF(AND(ISNUMBER('SW Rev'!H84),ISNUMBER('SW Rev'!D84),'SW Rev'!D84&gt;0),'SW Rev'!H84/'SW Rev'!D84-1,""),"")</f>
        <v/>
      </c>
      <c r="E187" s="37">
        <f>IFERROR(IF(AND(ISNUMBER('SW Rev'!I84),ISNUMBER('SW Rev'!E84),'SW Rev'!E84&gt;0),'SW Rev'!I84/'SW Rev'!E84-1,""),"")</f>
        <v/>
      </c>
      <c r="F187" s="37">
        <f>IFERROR(IF(AND(ISNUMBER('SW Rev'!J84),ISNUMBER('SW Rev'!F84),'SW Rev'!F84&gt;0),'SW Rev'!J84/'SW Rev'!F84-1,""),"")</f>
        <v/>
      </c>
      <c r="G187" s="37">
        <f>IFERROR(IF(AND(ISNUMBER('SW Rev'!K84),ISNUMBER('SW Rev'!G84),'SW Rev'!G84&gt;0),'SW Rev'!K84/'SW Rev'!G84-1,""),"")</f>
        <v/>
      </c>
      <c r="H187" s="37">
        <f>IFERROR(IF(AND(ISNUMBER('SW Rev'!L84),ISNUMBER('SW Rev'!H84),'SW Rev'!H84&gt;0),'SW Rev'!L84/'SW Rev'!H84-1,""),"")</f>
        <v/>
      </c>
      <c r="I187" s="37">
        <f>IFERROR(IF(AND(ISNUMBER('SW Rev'!M84),ISNUMBER('SW Rev'!I84),'SW Rev'!I84&gt;0),'SW Rev'!M84/'SW Rev'!I84-1,""),"")</f>
        <v/>
      </c>
      <c r="J187" s="37">
        <f>IFERROR(IF(AND(ISNUMBER('SW Rev'!N84),ISNUMBER('SW Rev'!J84),'SW Rev'!J84&gt;0),'SW Rev'!N84/'SW Rev'!J84-1,""),"")</f>
        <v/>
      </c>
      <c r="K187" s="37">
        <f>IFERROR(IF(AND(ISNUMBER('SW Rev'!O84),ISNUMBER('SW Rev'!K84),'SW Rev'!K84&gt;0),'SW Rev'!O84/'SW Rev'!K84-1,""),"")</f>
        <v/>
      </c>
      <c r="L187" s="37">
        <f>IFERROR(IF(AND(ISNUMBER('SW Rev'!P84),ISNUMBER('SW Rev'!L84),'SW Rev'!L84&gt;0),'SW Rev'!P84/'SW Rev'!L84-1,""),"")</f>
        <v/>
      </c>
      <c r="M187" s="38">
        <f>IFERROR(IF(AND(ISNUMBER('SW Rev'!Q84),ISNUMBER('SW Rev'!M84),'SW Rev'!M84&gt;0),'SW Rev'!Q84/'SW Rev'!M84-1,""),"")</f>
        <v/>
      </c>
      <c r="N187" s="38">
        <f>IFERROR(IF(AND(ISNUMBER('SW Rev'!R84),ISNUMBER('SW Rev'!N84),'SW Rev'!N84&gt;0),'SW Rev'!R84/'SW Rev'!N84-1,""),"")</f>
        <v/>
      </c>
    </row>
    <row r="188">
      <c r="A188" s="19">
        <f>'SW Rev'!$A85</f>
        <v/>
      </c>
      <c r="B188" s="19">
        <f>'SW Rev'!$B85</f>
        <v/>
      </c>
      <c r="C188" s="37">
        <f>IFERROR(IF(AND(ISNUMBER('SW Rev'!G85),ISNUMBER('SW Rev'!C85),'SW Rev'!C85&gt;0),'SW Rev'!G85/'SW Rev'!C85-1,""),"")</f>
        <v/>
      </c>
      <c r="D188" s="37">
        <f>IFERROR(IF(AND(ISNUMBER('SW Rev'!H85),ISNUMBER('SW Rev'!D85),'SW Rev'!D85&gt;0),'SW Rev'!H85/'SW Rev'!D85-1,""),"")</f>
        <v/>
      </c>
      <c r="E188" s="37">
        <f>IFERROR(IF(AND(ISNUMBER('SW Rev'!I85),ISNUMBER('SW Rev'!E85),'SW Rev'!E85&gt;0),'SW Rev'!I85/'SW Rev'!E85-1,""),"")</f>
        <v/>
      </c>
      <c r="F188" s="37">
        <f>IFERROR(IF(AND(ISNUMBER('SW Rev'!J85),ISNUMBER('SW Rev'!F85),'SW Rev'!F85&gt;0),'SW Rev'!J85/'SW Rev'!F85-1,""),"")</f>
        <v/>
      </c>
      <c r="G188" s="37">
        <f>IFERROR(IF(AND(ISNUMBER('SW Rev'!K85),ISNUMBER('SW Rev'!G85),'SW Rev'!G85&gt;0),'SW Rev'!K85/'SW Rev'!G85-1,""),"")</f>
        <v/>
      </c>
      <c r="H188" s="37">
        <f>IFERROR(IF(AND(ISNUMBER('SW Rev'!L85),ISNUMBER('SW Rev'!H85),'SW Rev'!H85&gt;0),'SW Rev'!L85/'SW Rev'!H85-1,""),"")</f>
        <v/>
      </c>
      <c r="I188" s="37">
        <f>IFERROR(IF(AND(ISNUMBER('SW Rev'!M85),ISNUMBER('SW Rev'!I85),'SW Rev'!I85&gt;0),'SW Rev'!M85/'SW Rev'!I85-1,""),"")</f>
        <v/>
      </c>
      <c r="J188" s="37">
        <f>IFERROR(IF(AND(ISNUMBER('SW Rev'!N85),ISNUMBER('SW Rev'!J85),'SW Rev'!J85&gt;0),'SW Rev'!N85/'SW Rev'!J85-1,""),"")</f>
        <v/>
      </c>
      <c r="K188" s="37">
        <f>IFERROR(IF(AND(ISNUMBER('SW Rev'!O85),ISNUMBER('SW Rev'!K85),'SW Rev'!K85&gt;0),'SW Rev'!O85/'SW Rev'!K85-1,""),"")</f>
        <v/>
      </c>
      <c r="L188" s="37">
        <f>IFERROR(IF(AND(ISNUMBER('SW Rev'!P85),ISNUMBER('SW Rev'!L85),'SW Rev'!L85&gt;0),'SW Rev'!P85/'SW Rev'!L85-1,""),"")</f>
        <v/>
      </c>
      <c r="M188" s="38">
        <f>IFERROR(IF(AND(ISNUMBER('SW Rev'!Q85),ISNUMBER('SW Rev'!M85),'SW Rev'!M85&gt;0),'SW Rev'!Q85/'SW Rev'!M85-1,""),"")</f>
        <v/>
      </c>
      <c r="N188" s="38">
        <f>IFERROR(IF(AND(ISNUMBER('SW Rev'!R85),ISNUMBER('SW Rev'!N85),'SW Rev'!N85&gt;0),'SW Rev'!R85/'SW Rev'!N85-1,""),"")</f>
        <v/>
      </c>
    </row>
    <row r="189">
      <c r="A189" s="19">
        <f>'SW Rev'!$A86</f>
        <v/>
      </c>
      <c r="B189" s="19">
        <f>'SW Rev'!$B86</f>
        <v/>
      </c>
      <c r="C189" s="37">
        <f>IFERROR(IF(AND(ISNUMBER('SW Rev'!G86),ISNUMBER('SW Rev'!C86),'SW Rev'!C86&gt;0),'SW Rev'!G86/'SW Rev'!C86-1,""),"")</f>
        <v/>
      </c>
      <c r="D189" s="37">
        <f>IFERROR(IF(AND(ISNUMBER('SW Rev'!H86),ISNUMBER('SW Rev'!D86),'SW Rev'!D86&gt;0),'SW Rev'!H86/'SW Rev'!D86-1,""),"")</f>
        <v/>
      </c>
      <c r="E189" s="37">
        <f>IFERROR(IF(AND(ISNUMBER('SW Rev'!I86),ISNUMBER('SW Rev'!E86),'SW Rev'!E86&gt;0),'SW Rev'!I86/'SW Rev'!E86-1,""),"")</f>
        <v/>
      </c>
      <c r="F189" s="37">
        <f>IFERROR(IF(AND(ISNUMBER('SW Rev'!J86),ISNUMBER('SW Rev'!F86),'SW Rev'!F86&gt;0),'SW Rev'!J86/'SW Rev'!F86-1,""),"")</f>
        <v/>
      </c>
      <c r="G189" s="37">
        <f>IFERROR(IF(AND(ISNUMBER('SW Rev'!K86),ISNUMBER('SW Rev'!G86),'SW Rev'!G86&gt;0),'SW Rev'!K86/'SW Rev'!G86-1,""),"")</f>
        <v/>
      </c>
      <c r="H189" s="37">
        <f>IFERROR(IF(AND(ISNUMBER('SW Rev'!L86),ISNUMBER('SW Rev'!H86),'SW Rev'!H86&gt;0),'SW Rev'!L86/'SW Rev'!H86-1,""),"")</f>
        <v/>
      </c>
      <c r="I189" s="37">
        <f>IFERROR(IF(AND(ISNUMBER('SW Rev'!M86),ISNUMBER('SW Rev'!I86),'SW Rev'!I86&gt;0),'SW Rev'!M86/'SW Rev'!I86-1,""),"")</f>
        <v/>
      </c>
      <c r="J189" s="37">
        <f>IFERROR(IF(AND(ISNUMBER('SW Rev'!N86),ISNUMBER('SW Rev'!J86),'SW Rev'!J86&gt;0),'SW Rev'!N86/'SW Rev'!J86-1,""),"")</f>
        <v/>
      </c>
      <c r="K189" s="37">
        <f>IFERROR(IF(AND(ISNUMBER('SW Rev'!O86),ISNUMBER('SW Rev'!K86),'SW Rev'!K86&gt;0),'SW Rev'!O86/'SW Rev'!K86-1,""),"")</f>
        <v/>
      </c>
      <c r="L189" s="37">
        <f>IFERROR(IF(AND(ISNUMBER('SW Rev'!P86),ISNUMBER('SW Rev'!L86),'SW Rev'!L86&gt;0),'SW Rev'!P86/'SW Rev'!L86-1,""),"")</f>
        <v/>
      </c>
      <c r="M189" s="38">
        <f>IFERROR(IF(AND(ISNUMBER('SW Rev'!Q86),ISNUMBER('SW Rev'!M86),'SW Rev'!M86&gt;0),'SW Rev'!Q86/'SW Rev'!M86-1,""),"")</f>
        <v/>
      </c>
      <c r="N189" s="38">
        <f>IFERROR(IF(AND(ISNUMBER('SW Rev'!R86),ISNUMBER('SW Rev'!N86),'SW Rev'!N86&gt;0),'SW Rev'!R86/'SW Rev'!N86-1,""),"")</f>
        <v/>
      </c>
    </row>
    <row r="190">
      <c r="A190" s="19">
        <f>'SW Rev'!$A87</f>
        <v/>
      </c>
      <c r="B190" s="19">
        <f>'SW Rev'!$B87</f>
        <v/>
      </c>
      <c r="C190" s="37">
        <f>IFERROR(IF(AND(ISNUMBER('SW Rev'!G87),ISNUMBER('SW Rev'!C87),'SW Rev'!C87&gt;0),'SW Rev'!G87/'SW Rev'!C87-1,""),"")</f>
        <v/>
      </c>
      <c r="D190" s="37">
        <f>IFERROR(IF(AND(ISNUMBER('SW Rev'!H87),ISNUMBER('SW Rev'!D87),'SW Rev'!D87&gt;0),'SW Rev'!H87/'SW Rev'!D87-1,""),"")</f>
        <v/>
      </c>
      <c r="E190" s="37">
        <f>IFERROR(IF(AND(ISNUMBER('SW Rev'!I87),ISNUMBER('SW Rev'!E87),'SW Rev'!E87&gt;0),'SW Rev'!I87/'SW Rev'!E87-1,""),"")</f>
        <v/>
      </c>
      <c r="F190" s="37">
        <f>IFERROR(IF(AND(ISNUMBER('SW Rev'!J87),ISNUMBER('SW Rev'!F87),'SW Rev'!F87&gt;0),'SW Rev'!J87/'SW Rev'!F87-1,""),"")</f>
        <v/>
      </c>
      <c r="G190" s="37">
        <f>IFERROR(IF(AND(ISNUMBER('SW Rev'!K87),ISNUMBER('SW Rev'!G87),'SW Rev'!G87&gt;0),'SW Rev'!K87/'SW Rev'!G87-1,""),"")</f>
        <v/>
      </c>
      <c r="H190" s="37">
        <f>IFERROR(IF(AND(ISNUMBER('SW Rev'!L87),ISNUMBER('SW Rev'!H87),'SW Rev'!H87&gt;0),'SW Rev'!L87/'SW Rev'!H87-1,""),"")</f>
        <v/>
      </c>
      <c r="I190" s="37">
        <f>IFERROR(IF(AND(ISNUMBER('SW Rev'!M87),ISNUMBER('SW Rev'!I87),'SW Rev'!I87&gt;0),'SW Rev'!M87/'SW Rev'!I87-1,""),"")</f>
        <v/>
      </c>
      <c r="J190" s="37">
        <f>IFERROR(IF(AND(ISNUMBER('SW Rev'!N87),ISNUMBER('SW Rev'!J87),'SW Rev'!J87&gt;0),'SW Rev'!N87/'SW Rev'!J87-1,""),"")</f>
        <v/>
      </c>
      <c r="K190" s="37">
        <f>IFERROR(IF(AND(ISNUMBER('SW Rev'!O87),ISNUMBER('SW Rev'!K87),'SW Rev'!K87&gt;0),'SW Rev'!O87/'SW Rev'!K87-1,""),"")</f>
        <v/>
      </c>
      <c r="L190" s="37">
        <f>IFERROR(IF(AND(ISNUMBER('SW Rev'!P87),ISNUMBER('SW Rev'!L87),'SW Rev'!L87&gt;0),'SW Rev'!P87/'SW Rev'!L87-1,""),"")</f>
        <v/>
      </c>
      <c r="M190" s="38">
        <f>IFERROR(IF(AND(ISNUMBER('SW Rev'!Q87),ISNUMBER('SW Rev'!M87),'SW Rev'!M87&gt;0),'SW Rev'!Q87/'SW Rev'!M87-1,""),"")</f>
        <v/>
      </c>
      <c r="N190" s="38">
        <f>IFERROR(IF(AND(ISNUMBER('SW Rev'!R87),ISNUMBER('SW Rev'!N87),'SW Rev'!N87&gt;0),'SW Rev'!R87/'SW Rev'!N87-1,""),"")</f>
        <v/>
      </c>
    </row>
    <row r="191">
      <c r="A191" s="19">
        <f>'SW Rev'!$A88</f>
        <v/>
      </c>
      <c r="B191" s="19">
        <f>'SW Rev'!$B88</f>
        <v/>
      </c>
      <c r="C191" s="37">
        <f>IFERROR(IF(AND(ISNUMBER('SW Rev'!G88),ISNUMBER('SW Rev'!C88),'SW Rev'!C88&gt;0),'SW Rev'!G88/'SW Rev'!C88-1,""),"")</f>
        <v/>
      </c>
      <c r="D191" s="37">
        <f>IFERROR(IF(AND(ISNUMBER('SW Rev'!H88),ISNUMBER('SW Rev'!D88),'SW Rev'!D88&gt;0),'SW Rev'!H88/'SW Rev'!D88-1,""),"")</f>
        <v/>
      </c>
      <c r="E191" s="37">
        <f>IFERROR(IF(AND(ISNUMBER('SW Rev'!I88),ISNUMBER('SW Rev'!E88),'SW Rev'!E88&gt;0),'SW Rev'!I88/'SW Rev'!E88-1,""),"")</f>
        <v/>
      </c>
      <c r="F191" s="37">
        <f>IFERROR(IF(AND(ISNUMBER('SW Rev'!J88),ISNUMBER('SW Rev'!F88),'SW Rev'!F88&gt;0),'SW Rev'!J88/'SW Rev'!F88-1,""),"")</f>
        <v/>
      </c>
      <c r="G191" s="37">
        <f>IFERROR(IF(AND(ISNUMBER('SW Rev'!K88),ISNUMBER('SW Rev'!G88),'SW Rev'!G88&gt;0),'SW Rev'!K88/'SW Rev'!G88-1,""),"")</f>
        <v/>
      </c>
      <c r="H191" s="37">
        <f>IFERROR(IF(AND(ISNUMBER('SW Rev'!L88),ISNUMBER('SW Rev'!H88),'SW Rev'!H88&gt;0),'SW Rev'!L88/'SW Rev'!H88-1,""),"")</f>
        <v/>
      </c>
      <c r="I191" s="37">
        <f>IFERROR(IF(AND(ISNUMBER('SW Rev'!M88),ISNUMBER('SW Rev'!I88),'SW Rev'!I88&gt;0),'SW Rev'!M88/'SW Rev'!I88-1,""),"")</f>
        <v/>
      </c>
      <c r="J191" s="37">
        <f>IFERROR(IF(AND(ISNUMBER('SW Rev'!N88),ISNUMBER('SW Rev'!J88),'SW Rev'!J88&gt;0),'SW Rev'!N88/'SW Rev'!J88-1,""),"")</f>
        <v/>
      </c>
      <c r="K191" s="37">
        <f>IFERROR(IF(AND(ISNUMBER('SW Rev'!O88),ISNUMBER('SW Rev'!K88),'SW Rev'!K88&gt;0),'SW Rev'!O88/'SW Rev'!K88-1,""),"")</f>
        <v/>
      </c>
      <c r="L191" s="37">
        <f>IFERROR(IF(AND(ISNUMBER('SW Rev'!P88),ISNUMBER('SW Rev'!L88),'SW Rev'!L88&gt;0),'SW Rev'!P88/'SW Rev'!L88-1,""),"")</f>
        <v/>
      </c>
      <c r="M191" s="38">
        <f>IFERROR(IF(AND(ISNUMBER('SW Rev'!Q88),ISNUMBER('SW Rev'!M88),'SW Rev'!M88&gt;0),'SW Rev'!Q88/'SW Rev'!M88-1,""),"")</f>
        <v/>
      </c>
      <c r="N191" s="38">
        <f>IFERROR(IF(AND(ISNUMBER('SW Rev'!R88),ISNUMBER('SW Rev'!N88),'SW Rev'!N88&gt;0),'SW Rev'!R88/'SW Rev'!N88-1,""),"")</f>
        <v/>
      </c>
    </row>
    <row r="192">
      <c r="A192" s="19">
        <f>'SW Rev'!$A89</f>
        <v/>
      </c>
      <c r="B192" s="19">
        <f>'SW Rev'!$B89</f>
        <v/>
      </c>
      <c r="C192" s="37">
        <f>IFERROR(IF(AND(ISNUMBER('SW Rev'!G89),ISNUMBER('SW Rev'!C89),'SW Rev'!C89&gt;0),'SW Rev'!G89/'SW Rev'!C89-1,""),"")</f>
        <v/>
      </c>
      <c r="D192" s="37">
        <f>IFERROR(IF(AND(ISNUMBER('SW Rev'!H89),ISNUMBER('SW Rev'!D89),'SW Rev'!D89&gt;0),'SW Rev'!H89/'SW Rev'!D89-1,""),"")</f>
        <v/>
      </c>
      <c r="E192" s="37">
        <f>IFERROR(IF(AND(ISNUMBER('SW Rev'!I89),ISNUMBER('SW Rev'!E89),'SW Rev'!E89&gt;0),'SW Rev'!I89/'SW Rev'!E89-1,""),"")</f>
        <v/>
      </c>
      <c r="F192" s="37">
        <f>IFERROR(IF(AND(ISNUMBER('SW Rev'!J89),ISNUMBER('SW Rev'!F89),'SW Rev'!F89&gt;0),'SW Rev'!J89/'SW Rev'!F89-1,""),"")</f>
        <v/>
      </c>
      <c r="G192" s="37">
        <f>IFERROR(IF(AND(ISNUMBER('SW Rev'!K89),ISNUMBER('SW Rev'!G89),'SW Rev'!G89&gt;0),'SW Rev'!K89/'SW Rev'!G89-1,""),"")</f>
        <v/>
      </c>
      <c r="H192" s="37">
        <f>IFERROR(IF(AND(ISNUMBER('SW Rev'!L89),ISNUMBER('SW Rev'!H89),'SW Rev'!H89&gt;0),'SW Rev'!L89/'SW Rev'!H89-1,""),"")</f>
        <v/>
      </c>
      <c r="I192" s="37">
        <f>IFERROR(IF(AND(ISNUMBER('SW Rev'!M89),ISNUMBER('SW Rev'!I89),'SW Rev'!I89&gt;0),'SW Rev'!M89/'SW Rev'!I89-1,""),"")</f>
        <v/>
      </c>
      <c r="J192" s="37">
        <f>IFERROR(IF(AND(ISNUMBER('SW Rev'!N89),ISNUMBER('SW Rev'!J89),'SW Rev'!J89&gt;0),'SW Rev'!N89/'SW Rev'!J89-1,""),"")</f>
        <v/>
      </c>
      <c r="K192" s="37">
        <f>IFERROR(IF(AND(ISNUMBER('SW Rev'!O89),ISNUMBER('SW Rev'!K89),'SW Rev'!K89&gt;0),'SW Rev'!O89/'SW Rev'!K89-1,""),"")</f>
        <v/>
      </c>
      <c r="L192" s="37">
        <f>IFERROR(IF(AND(ISNUMBER('SW Rev'!P89),ISNUMBER('SW Rev'!L89),'SW Rev'!L89&gt;0),'SW Rev'!P89/'SW Rev'!L89-1,""),"")</f>
        <v/>
      </c>
      <c r="M192" s="38">
        <f>IFERROR(IF(AND(ISNUMBER('SW Rev'!Q89),ISNUMBER('SW Rev'!M89),'SW Rev'!M89&gt;0),'SW Rev'!Q89/'SW Rev'!M89-1,""),"")</f>
        <v/>
      </c>
      <c r="N192" s="38">
        <f>IFERROR(IF(AND(ISNUMBER('SW Rev'!R89),ISNUMBER('SW Rev'!N89),'SW Rev'!N89&gt;0),'SW Rev'!R89/'SW Rev'!N89-1,""),"")</f>
        <v/>
      </c>
    </row>
    <row r="193">
      <c r="A193" s="19">
        <f>'SW Rev'!$A90</f>
        <v/>
      </c>
      <c r="B193" s="19">
        <f>'SW Rev'!$B90</f>
        <v/>
      </c>
      <c r="C193" s="37">
        <f>IFERROR(IF(AND(ISNUMBER('SW Rev'!G90),ISNUMBER('SW Rev'!C90),'SW Rev'!C90&gt;0),'SW Rev'!G90/'SW Rev'!C90-1,""),"")</f>
        <v/>
      </c>
      <c r="D193" s="37">
        <f>IFERROR(IF(AND(ISNUMBER('SW Rev'!H90),ISNUMBER('SW Rev'!D90),'SW Rev'!D90&gt;0),'SW Rev'!H90/'SW Rev'!D90-1,""),"")</f>
        <v/>
      </c>
      <c r="E193" s="37">
        <f>IFERROR(IF(AND(ISNUMBER('SW Rev'!I90),ISNUMBER('SW Rev'!E90),'SW Rev'!E90&gt;0),'SW Rev'!I90/'SW Rev'!E90-1,""),"")</f>
        <v/>
      </c>
      <c r="F193" s="37">
        <f>IFERROR(IF(AND(ISNUMBER('SW Rev'!J90),ISNUMBER('SW Rev'!F90),'SW Rev'!F90&gt;0),'SW Rev'!J90/'SW Rev'!F90-1,""),"")</f>
        <v/>
      </c>
      <c r="G193" s="37">
        <f>IFERROR(IF(AND(ISNUMBER('SW Rev'!K90),ISNUMBER('SW Rev'!G90),'SW Rev'!G90&gt;0),'SW Rev'!K90/'SW Rev'!G90-1,""),"")</f>
        <v/>
      </c>
      <c r="H193" s="37">
        <f>IFERROR(IF(AND(ISNUMBER('SW Rev'!L90),ISNUMBER('SW Rev'!H90),'SW Rev'!H90&gt;0),'SW Rev'!L90/'SW Rev'!H90-1,""),"")</f>
        <v/>
      </c>
      <c r="I193" s="37">
        <f>IFERROR(IF(AND(ISNUMBER('SW Rev'!M90),ISNUMBER('SW Rev'!I90),'SW Rev'!I90&gt;0),'SW Rev'!M90/'SW Rev'!I90-1,""),"")</f>
        <v/>
      </c>
      <c r="J193" s="37">
        <f>IFERROR(IF(AND(ISNUMBER('SW Rev'!N90),ISNUMBER('SW Rev'!J90),'SW Rev'!J90&gt;0),'SW Rev'!N90/'SW Rev'!J90-1,""),"")</f>
        <v/>
      </c>
      <c r="K193" s="37">
        <f>IFERROR(IF(AND(ISNUMBER('SW Rev'!O90),ISNUMBER('SW Rev'!K90),'SW Rev'!K90&gt;0),'SW Rev'!O90/'SW Rev'!K90-1,""),"")</f>
        <v/>
      </c>
      <c r="L193" s="37">
        <f>IFERROR(IF(AND(ISNUMBER('SW Rev'!P90),ISNUMBER('SW Rev'!L90),'SW Rev'!L90&gt;0),'SW Rev'!P90/'SW Rev'!L90-1,""),"")</f>
        <v/>
      </c>
      <c r="M193" s="38">
        <f>IFERROR(IF(AND(ISNUMBER('SW Rev'!Q90),ISNUMBER('SW Rev'!M90),'SW Rev'!M90&gt;0),'SW Rev'!Q90/'SW Rev'!M90-1,""),"")</f>
        <v/>
      </c>
      <c r="N193" s="38">
        <f>IFERROR(IF(AND(ISNUMBER('SW Rev'!R90),ISNUMBER('SW Rev'!N90),'SW Rev'!N90&gt;0),'SW Rev'!R90/'SW Rev'!N90-1,""),"")</f>
        <v/>
      </c>
    </row>
    <row r="194">
      <c r="A194" s="19">
        <f>'SW Rev'!$A91</f>
        <v/>
      </c>
      <c r="B194" s="19">
        <f>'SW Rev'!$B91</f>
        <v/>
      </c>
      <c r="C194" s="37">
        <f>IFERROR(IF(AND(ISNUMBER('SW Rev'!G91),ISNUMBER('SW Rev'!C91),'SW Rev'!C91&gt;0),'SW Rev'!G91/'SW Rev'!C91-1,""),"")</f>
        <v/>
      </c>
      <c r="D194" s="37">
        <f>IFERROR(IF(AND(ISNUMBER('SW Rev'!H91),ISNUMBER('SW Rev'!D91),'SW Rev'!D91&gt;0),'SW Rev'!H91/'SW Rev'!D91-1,""),"")</f>
        <v/>
      </c>
      <c r="E194" s="37">
        <f>IFERROR(IF(AND(ISNUMBER('SW Rev'!I91),ISNUMBER('SW Rev'!E91),'SW Rev'!E91&gt;0),'SW Rev'!I91/'SW Rev'!E91-1,""),"")</f>
        <v/>
      </c>
      <c r="F194" s="37">
        <f>IFERROR(IF(AND(ISNUMBER('SW Rev'!J91),ISNUMBER('SW Rev'!F91),'SW Rev'!F91&gt;0),'SW Rev'!J91/'SW Rev'!F91-1,""),"")</f>
        <v/>
      </c>
      <c r="G194" s="37">
        <f>IFERROR(IF(AND(ISNUMBER('SW Rev'!K91),ISNUMBER('SW Rev'!G91),'SW Rev'!G91&gt;0),'SW Rev'!K91/'SW Rev'!G91-1,""),"")</f>
        <v/>
      </c>
      <c r="H194" s="37">
        <f>IFERROR(IF(AND(ISNUMBER('SW Rev'!L91),ISNUMBER('SW Rev'!H91),'SW Rev'!H91&gt;0),'SW Rev'!L91/'SW Rev'!H91-1,""),"")</f>
        <v/>
      </c>
      <c r="I194" s="37">
        <f>IFERROR(IF(AND(ISNUMBER('SW Rev'!M91),ISNUMBER('SW Rev'!I91),'SW Rev'!I91&gt;0),'SW Rev'!M91/'SW Rev'!I91-1,""),"")</f>
        <v/>
      </c>
      <c r="J194" s="37">
        <f>IFERROR(IF(AND(ISNUMBER('SW Rev'!N91),ISNUMBER('SW Rev'!J91),'SW Rev'!J91&gt;0),'SW Rev'!N91/'SW Rev'!J91-1,""),"")</f>
        <v/>
      </c>
      <c r="K194" s="37">
        <f>IFERROR(IF(AND(ISNUMBER('SW Rev'!O91),ISNUMBER('SW Rev'!K91),'SW Rev'!K91&gt;0),'SW Rev'!O91/'SW Rev'!K91-1,""),"")</f>
        <v/>
      </c>
      <c r="L194" s="37">
        <f>IFERROR(IF(AND(ISNUMBER('SW Rev'!P91),ISNUMBER('SW Rev'!L91),'SW Rev'!L91&gt;0),'SW Rev'!P91/'SW Rev'!L91-1,""),"")</f>
        <v/>
      </c>
      <c r="M194" s="38">
        <f>IFERROR(IF(AND(ISNUMBER('SW Rev'!Q91),ISNUMBER('SW Rev'!M91),'SW Rev'!M91&gt;0),'SW Rev'!Q91/'SW Rev'!M91-1,""),"")</f>
        <v/>
      </c>
      <c r="N194" s="38">
        <f>IFERROR(IF(AND(ISNUMBER('SW Rev'!R91),ISNUMBER('SW Rev'!N91),'SW Rev'!N91&gt;0),'SW Rev'!R91/'SW Rev'!N91-1,""),"")</f>
        <v/>
      </c>
    </row>
    <row r="195">
      <c r="A195" s="19">
        <f>'SW Rev'!$A92</f>
        <v/>
      </c>
      <c r="B195" s="19">
        <f>'SW Rev'!$B92</f>
        <v/>
      </c>
      <c r="C195" s="37">
        <f>IFERROR(IF(AND(ISNUMBER('SW Rev'!G92),ISNUMBER('SW Rev'!C92),'SW Rev'!C92&gt;0),'SW Rev'!G92/'SW Rev'!C92-1,""),"")</f>
        <v/>
      </c>
      <c r="D195" s="37">
        <f>IFERROR(IF(AND(ISNUMBER('SW Rev'!H92),ISNUMBER('SW Rev'!D92),'SW Rev'!D92&gt;0),'SW Rev'!H92/'SW Rev'!D92-1,""),"")</f>
        <v/>
      </c>
      <c r="E195" s="37">
        <f>IFERROR(IF(AND(ISNUMBER('SW Rev'!I92),ISNUMBER('SW Rev'!E92),'SW Rev'!E92&gt;0),'SW Rev'!I92/'SW Rev'!E92-1,""),"")</f>
        <v/>
      </c>
      <c r="F195" s="37">
        <f>IFERROR(IF(AND(ISNUMBER('SW Rev'!J92),ISNUMBER('SW Rev'!F92),'SW Rev'!F92&gt;0),'SW Rev'!J92/'SW Rev'!F92-1,""),"")</f>
        <v/>
      </c>
      <c r="G195" s="37">
        <f>IFERROR(IF(AND(ISNUMBER('SW Rev'!K92),ISNUMBER('SW Rev'!G92),'SW Rev'!G92&gt;0),'SW Rev'!K92/'SW Rev'!G92-1,""),"")</f>
        <v/>
      </c>
      <c r="H195" s="37">
        <f>IFERROR(IF(AND(ISNUMBER('SW Rev'!L92),ISNUMBER('SW Rev'!H92),'SW Rev'!H92&gt;0),'SW Rev'!L92/'SW Rev'!H92-1,""),"")</f>
        <v/>
      </c>
      <c r="I195" s="37">
        <f>IFERROR(IF(AND(ISNUMBER('SW Rev'!M92),ISNUMBER('SW Rev'!I92),'SW Rev'!I92&gt;0),'SW Rev'!M92/'SW Rev'!I92-1,""),"")</f>
        <v/>
      </c>
      <c r="J195" s="37">
        <f>IFERROR(IF(AND(ISNUMBER('SW Rev'!N92),ISNUMBER('SW Rev'!J92),'SW Rev'!J92&gt;0),'SW Rev'!N92/'SW Rev'!J92-1,""),"")</f>
        <v/>
      </c>
      <c r="K195" s="37">
        <f>IFERROR(IF(AND(ISNUMBER('SW Rev'!O92),ISNUMBER('SW Rev'!K92),'SW Rev'!K92&gt;0),'SW Rev'!O92/'SW Rev'!K92-1,""),"")</f>
        <v/>
      </c>
      <c r="L195" s="37">
        <f>IFERROR(IF(AND(ISNUMBER('SW Rev'!P92),ISNUMBER('SW Rev'!L92),'SW Rev'!L92&gt;0),'SW Rev'!P92/'SW Rev'!L92-1,""),"")</f>
        <v/>
      </c>
      <c r="M195" s="38">
        <f>IFERROR(IF(AND(ISNUMBER('SW Rev'!Q92),ISNUMBER('SW Rev'!M92),'SW Rev'!M92&gt;0),'SW Rev'!Q92/'SW Rev'!M92-1,""),"")</f>
        <v/>
      </c>
      <c r="N195" s="38">
        <f>IFERROR(IF(AND(ISNUMBER('SW Rev'!R92),ISNUMBER('SW Rev'!N92),'SW Rev'!N92&gt;0),'SW Rev'!R92/'SW Rev'!N92-1,""),"")</f>
        <v/>
      </c>
    </row>
    <row r="196">
      <c r="A196" s="19">
        <f>'SW Rev'!$A93</f>
        <v/>
      </c>
      <c r="B196" s="19">
        <f>'SW Rev'!$B93</f>
        <v/>
      </c>
      <c r="C196" s="37">
        <f>IFERROR(IF(AND(ISNUMBER('SW Rev'!G93),ISNUMBER('SW Rev'!C93),'SW Rev'!C93&gt;0),'SW Rev'!G93/'SW Rev'!C93-1,""),"")</f>
        <v/>
      </c>
      <c r="D196" s="37">
        <f>IFERROR(IF(AND(ISNUMBER('SW Rev'!H93),ISNUMBER('SW Rev'!D93),'SW Rev'!D93&gt;0),'SW Rev'!H93/'SW Rev'!D93-1,""),"")</f>
        <v/>
      </c>
      <c r="E196" s="37">
        <f>IFERROR(IF(AND(ISNUMBER('SW Rev'!I93),ISNUMBER('SW Rev'!E93),'SW Rev'!E93&gt;0),'SW Rev'!I93/'SW Rev'!E93-1,""),"")</f>
        <v/>
      </c>
      <c r="F196" s="37">
        <f>IFERROR(IF(AND(ISNUMBER('SW Rev'!J93),ISNUMBER('SW Rev'!F93),'SW Rev'!F93&gt;0),'SW Rev'!J93/'SW Rev'!F93-1,""),"")</f>
        <v/>
      </c>
      <c r="G196" s="37">
        <f>IFERROR(IF(AND(ISNUMBER('SW Rev'!K93),ISNUMBER('SW Rev'!G93),'SW Rev'!G93&gt;0),'SW Rev'!K93/'SW Rev'!G93-1,""),"")</f>
        <v/>
      </c>
      <c r="H196" s="37">
        <f>IFERROR(IF(AND(ISNUMBER('SW Rev'!L93),ISNUMBER('SW Rev'!H93),'SW Rev'!H93&gt;0),'SW Rev'!L93/'SW Rev'!H93-1,""),"")</f>
        <v/>
      </c>
      <c r="I196" s="37">
        <f>IFERROR(IF(AND(ISNUMBER('SW Rev'!M93),ISNUMBER('SW Rev'!I93),'SW Rev'!I93&gt;0),'SW Rev'!M93/'SW Rev'!I93-1,""),"")</f>
        <v/>
      </c>
      <c r="J196" s="37">
        <f>IFERROR(IF(AND(ISNUMBER('SW Rev'!N93),ISNUMBER('SW Rev'!J93),'SW Rev'!J93&gt;0),'SW Rev'!N93/'SW Rev'!J93-1,""),"")</f>
        <v/>
      </c>
      <c r="K196" s="37">
        <f>IFERROR(IF(AND(ISNUMBER('SW Rev'!O93),ISNUMBER('SW Rev'!K93),'SW Rev'!K93&gt;0),'SW Rev'!O93/'SW Rev'!K93-1,""),"")</f>
        <v/>
      </c>
      <c r="L196" s="37">
        <f>IFERROR(IF(AND(ISNUMBER('SW Rev'!P93),ISNUMBER('SW Rev'!L93),'SW Rev'!L93&gt;0),'SW Rev'!P93/'SW Rev'!L93-1,""),"")</f>
        <v/>
      </c>
      <c r="M196" s="38">
        <f>IFERROR(IF(AND(ISNUMBER('SW Rev'!Q93),ISNUMBER('SW Rev'!M93),'SW Rev'!M93&gt;0),'SW Rev'!Q93/'SW Rev'!M93-1,""),"")</f>
        <v/>
      </c>
      <c r="N196" s="38">
        <f>IFERROR(IF(AND(ISNUMBER('SW Rev'!R93),ISNUMBER('SW Rev'!N93),'SW Rev'!N93&gt;0),'SW Rev'!R93/'SW Rev'!N93-1,""),"")</f>
        <v/>
      </c>
    </row>
    <row r="197">
      <c r="A197" s="19">
        <f>'SW Rev'!$A94</f>
        <v/>
      </c>
      <c r="B197" s="19">
        <f>'SW Rev'!$B94</f>
        <v/>
      </c>
      <c r="C197" s="37">
        <f>IFERROR(IF(AND(ISNUMBER('SW Rev'!G94),ISNUMBER('SW Rev'!C94),'SW Rev'!C94&gt;0),'SW Rev'!G94/'SW Rev'!C94-1,""),"")</f>
        <v/>
      </c>
      <c r="D197" s="37">
        <f>IFERROR(IF(AND(ISNUMBER('SW Rev'!H94),ISNUMBER('SW Rev'!D94),'SW Rev'!D94&gt;0),'SW Rev'!H94/'SW Rev'!D94-1,""),"")</f>
        <v/>
      </c>
      <c r="E197" s="37">
        <f>IFERROR(IF(AND(ISNUMBER('SW Rev'!I94),ISNUMBER('SW Rev'!E94),'SW Rev'!E94&gt;0),'SW Rev'!I94/'SW Rev'!E94-1,""),"")</f>
        <v/>
      </c>
      <c r="F197" s="37">
        <f>IFERROR(IF(AND(ISNUMBER('SW Rev'!J94),ISNUMBER('SW Rev'!F94),'SW Rev'!F94&gt;0),'SW Rev'!J94/'SW Rev'!F94-1,""),"")</f>
        <v/>
      </c>
      <c r="G197" s="37">
        <f>IFERROR(IF(AND(ISNUMBER('SW Rev'!K94),ISNUMBER('SW Rev'!G94),'SW Rev'!G94&gt;0),'SW Rev'!K94/'SW Rev'!G94-1,""),"")</f>
        <v/>
      </c>
      <c r="H197" s="37">
        <f>IFERROR(IF(AND(ISNUMBER('SW Rev'!L94),ISNUMBER('SW Rev'!H94),'SW Rev'!H94&gt;0),'SW Rev'!L94/'SW Rev'!H94-1,""),"")</f>
        <v/>
      </c>
      <c r="I197" s="37">
        <f>IFERROR(IF(AND(ISNUMBER('SW Rev'!M94),ISNUMBER('SW Rev'!I94),'SW Rev'!I94&gt;0),'SW Rev'!M94/'SW Rev'!I94-1,""),"")</f>
        <v/>
      </c>
      <c r="J197" s="37">
        <f>IFERROR(IF(AND(ISNUMBER('SW Rev'!N94),ISNUMBER('SW Rev'!J94),'SW Rev'!J94&gt;0),'SW Rev'!N94/'SW Rev'!J94-1,""),"")</f>
        <v/>
      </c>
      <c r="K197" s="37">
        <f>IFERROR(IF(AND(ISNUMBER('SW Rev'!O94),ISNUMBER('SW Rev'!K94),'SW Rev'!K94&gt;0),'SW Rev'!O94/'SW Rev'!K94-1,""),"")</f>
        <v/>
      </c>
      <c r="L197" s="37">
        <f>IFERROR(IF(AND(ISNUMBER('SW Rev'!P94),ISNUMBER('SW Rev'!L94),'SW Rev'!L94&gt;0),'SW Rev'!P94/'SW Rev'!L94-1,""),"")</f>
        <v/>
      </c>
      <c r="M197" s="38">
        <f>IFERROR(IF(AND(ISNUMBER('SW Rev'!Q94),ISNUMBER('SW Rev'!M94),'SW Rev'!M94&gt;0),'SW Rev'!Q94/'SW Rev'!M94-1,""),"")</f>
        <v/>
      </c>
      <c r="N197" s="38">
        <f>IFERROR(IF(AND(ISNUMBER('SW Rev'!R94),ISNUMBER('SW Rev'!N94),'SW Rev'!N94&gt;0),'SW Rev'!R94/'SW Rev'!N94-1,""),"")</f>
        <v/>
      </c>
    </row>
    <row r="198">
      <c r="A198" s="19">
        <f>'SW Rev'!$A95</f>
        <v/>
      </c>
      <c r="B198" s="19">
        <f>'SW Rev'!$B95</f>
        <v/>
      </c>
      <c r="C198" s="37">
        <f>IFERROR(IF(AND(ISNUMBER('SW Rev'!G95),ISNUMBER('SW Rev'!C95),'SW Rev'!C95&gt;0),'SW Rev'!G95/'SW Rev'!C95-1,""),"")</f>
        <v/>
      </c>
      <c r="D198" s="37">
        <f>IFERROR(IF(AND(ISNUMBER('SW Rev'!H95),ISNUMBER('SW Rev'!D95),'SW Rev'!D95&gt;0),'SW Rev'!H95/'SW Rev'!D95-1,""),"")</f>
        <v/>
      </c>
      <c r="E198" s="37">
        <f>IFERROR(IF(AND(ISNUMBER('SW Rev'!I95),ISNUMBER('SW Rev'!E95),'SW Rev'!E95&gt;0),'SW Rev'!I95/'SW Rev'!E95-1,""),"")</f>
        <v/>
      </c>
      <c r="F198" s="37">
        <f>IFERROR(IF(AND(ISNUMBER('SW Rev'!J95),ISNUMBER('SW Rev'!F95),'SW Rev'!F95&gt;0),'SW Rev'!J95/'SW Rev'!F95-1,""),"")</f>
        <v/>
      </c>
      <c r="G198" s="37">
        <f>IFERROR(IF(AND(ISNUMBER('SW Rev'!K95),ISNUMBER('SW Rev'!G95),'SW Rev'!G95&gt;0),'SW Rev'!K95/'SW Rev'!G95-1,""),"")</f>
        <v/>
      </c>
      <c r="H198" s="37">
        <f>IFERROR(IF(AND(ISNUMBER('SW Rev'!L95),ISNUMBER('SW Rev'!H95),'SW Rev'!H95&gt;0),'SW Rev'!L95/'SW Rev'!H95-1,""),"")</f>
        <v/>
      </c>
      <c r="I198" s="37">
        <f>IFERROR(IF(AND(ISNUMBER('SW Rev'!M95),ISNUMBER('SW Rev'!I95),'SW Rev'!I95&gt;0),'SW Rev'!M95/'SW Rev'!I95-1,""),"")</f>
        <v/>
      </c>
      <c r="J198" s="37">
        <f>IFERROR(IF(AND(ISNUMBER('SW Rev'!N95),ISNUMBER('SW Rev'!J95),'SW Rev'!J95&gt;0),'SW Rev'!N95/'SW Rev'!J95-1,""),"")</f>
        <v/>
      </c>
      <c r="K198" s="37">
        <f>IFERROR(IF(AND(ISNUMBER('SW Rev'!O95),ISNUMBER('SW Rev'!K95),'SW Rev'!K95&gt;0),'SW Rev'!O95/'SW Rev'!K95-1,""),"")</f>
        <v/>
      </c>
      <c r="L198" s="37">
        <f>IFERROR(IF(AND(ISNUMBER('SW Rev'!P95),ISNUMBER('SW Rev'!L95),'SW Rev'!L95&gt;0),'SW Rev'!P95/'SW Rev'!L95-1,""),"")</f>
        <v/>
      </c>
      <c r="M198" s="38">
        <f>IFERROR(IF(AND(ISNUMBER('SW Rev'!Q95),ISNUMBER('SW Rev'!M95),'SW Rev'!M95&gt;0),'SW Rev'!Q95/'SW Rev'!M95-1,""),"")</f>
        <v/>
      </c>
      <c r="N198" s="38">
        <f>IFERROR(IF(AND(ISNUMBER('SW Rev'!R95),ISNUMBER('SW Rev'!N95),'SW Rev'!N95&gt;0),'SW Rev'!R95/'SW Rev'!N95-1,""),"")</f>
        <v/>
      </c>
    </row>
    <row r="199">
      <c r="A199" s="19">
        <f>'SW Rev'!$A96</f>
        <v/>
      </c>
      <c r="B199" s="19">
        <f>'SW Rev'!$B96</f>
        <v/>
      </c>
      <c r="C199" s="37">
        <f>IFERROR(IF(AND(ISNUMBER('SW Rev'!G96),ISNUMBER('SW Rev'!C96),'SW Rev'!C96&gt;0),'SW Rev'!G96/'SW Rev'!C96-1,""),"")</f>
        <v/>
      </c>
      <c r="D199" s="37">
        <f>IFERROR(IF(AND(ISNUMBER('SW Rev'!H96),ISNUMBER('SW Rev'!D96),'SW Rev'!D96&gt;0),'SW Rev'!H96/'SW Rev'!D96-1,""),"")</f>
        <v/>
      </c>
      <c r="E199" s="37">
        <f>IFERROR(IF(AND(ISNUMBER('SW Rev'!I96),ISNUMBER('SW Rev'!E96),'SW Rev'!E96&gt;0),'SW Rev'!I96/'SW Rev'!E96-1,""),"")</f>
        <v/>
      </c>
      <c r="F199" s="37">
        <f>IFERROR(IF(AND(ISNUMBER('SW Rev'!J96),ISNUMBER('SW Rev'!F96),'SW Rev'!F96&gt;0),'SW Rev'!J96/'SW Rev'!F96-1,""),"")</f>
        <v/>
      </c>
      <c r="G199" s="37">
        <f>IFERROR(IF(AND(ISNUMBER('SW Rev'!K96),ISNUMBER('SW Rev'!G96),'SW Rev'!G96&gt;0),'SW Rev'!K96/'SW Rev'!G96-1,""),"")</f>
        <v/>
      </c>
      <c r="H199" s="37">
        <f>IFERROR(IF(AND(ISNUMBER('SW Rev'!L96),ISNUMBER('SW Rev'!H96),'SW Rev'!H96&gt;0),'SW Rev'!L96/'SW Rev'!H96-1,""),"")</f>
        <v/>
      </c>
      <c r="I199" s="37">
        <f>IFERROR(IF(AND(ISNUMBER('SW Rev'!M96),ISNUMBER('SW Rev'!I96),'SW Rev'!I96&gt;0),'SW Rev'!M96/'SW Rev'!I96-1,""),"")</f>
        <v/>
      </c>
      <c r="J199" s="37">
        <f>IFERROR(IF(AND(ISNUMBER('SW Rev'!N96),ISNUMBER('SW Rev'!J96),'SW Rev'!J96&gt;0),'SW Rev'!N96/'SW Rev'!J96-1,""),"")</f>
        <v/>
      </c>
      <c r="K199" s="37">
        <f>IFERROR(IF(AND(ISNUMBER('SW Rev'!O96),ISNUMBER('SW Rev'!K96),'SW Rev'!K96&gt;0),'SW Rev'!O96/'SW Rev'!K96-1,""),"")</f>
        <v/>
      </c>
      <c r="L199" s="37">
        <f>IFERROR(IF(AND(ISNUMBER('SW Rev'!P96),ISNUMBER('SW Rev'!L96),'SW Rev'!L96&gt;0),'SW Rev'!P96/'SW Rev'!L96-1,""),"")</f>
        <v/>
      </c>
      <c r="M199" s="38">
        <f>IFERROR(IF(AND(ISNUMBER('SW Rev'!Q96),ISNUMBER('SW Rev'!M96),'SW Rev'!M96&gt;0),'SW Rev'!Q96/'SW Rev'!M96-1,""),"")</f>
        <v/>
      </c>
      <c r="N199" s="38">
        <f>IFERROR(IF(AND(ISNUMBER('SW Rev'!R96),ISNUMBER('SW Rev'!N96),'SW Rev'!N96&gt;0),'SW Rev'!R96/'SW Rev'!N96-1,""),"")</f>
        <v/>
      </c>
    </row>
    <row r="200">
      <c r="A200" s="19">
        <f>'SW Rev'!$A97</f>
        <v/>
      </c>
      <c r="B200" s="19">
        <f>'SW Rev'!$B97</f>
        <v/>
      </c>
      <c r="C200" s="37">
        <f>IFERROR(IF(AND(ISNUMBER('SW Rev'!G97),ISNUMBER('SW Rev'!C97),'SW Rev'!C97&gt;0),'SW Rev'!G97/'SW Rev'!C97-1,""),"")</f>
        <v/>
      </c>
      <c r="D200" s="37">
        <f>IFERROR(IF(AND(ISNUMBER('SW Rev'!H97),ISNUMBER('SW Rev'!D97),'SW Rev'!D97&gt;0),'SW Rev'!H97/'SW Rev'!D97-1,""),"")</f>
        <v/>
      </c>
      <c r="E200" s="37">
        <f>IFERROR(IF(AND(ISNUMBER('SW Rev'!I97),ISNUMBER('SW Rev'!E97),'SW Rev'!E97&gt;0),'SW Rev'!I97/'SW Rev'!E97-1,""),"")</f>
        <v/>
      </c>
      <c r="F200" s="37">
        <f>IFERROR(IF(AND(ISNUMBER('SW Rev'!J97),ISNUMBER('SW Rev'!F97),'SW Rev'!F97&gt;0),'SW Rev'!J97/'SW Rev'!F97-1,""),"")</f>
        <v/>
      </c>
      <c r="G200" s="37">
        <f>IFERROR(IF(AND(ISNUMBER('SW Rev'!K97),ISNUMBER('SW Rev'!G97),'SW Rev'!G97&gt;0),'SW Rev'!K97/'SW Rev'!G97-1,""),"")</f>
        <v/>
      </c>
      <c r="H200" s="37">
        <f>IFERROR(IF(AND(ISNUMBER('SW Rev'!L97),ISNUMBER('SW Rev'!H97),'SW Rev'!H97&gt;0),'SW Rev'!L97/'SW Rev'!H97-1,""),"")</f>
        <v/>
      </c>
      <c r="I200" s="37">
        <f>IFERROR(IF(AND(ISNUMBER('SW Rev'!M97),ISNUMBER('SW Rev'!I97),'SW Rev'!I97&gt;0),'SW Rev'!M97/'SW Rev'!I97-1,""),"")</f>
        <v/>
      </c>
      <c r="J200" s="37">
        <f>IFERROR(IF(AND(ISNUMBER('SW Rev'!N97),ISNUMBER('SW Rev'!J97),'SW Rev'!J97&gt;0),'SW Rev'!N97/'SW Rev'!J97-1,""),"")</f>
        <v/>
      </c>
      <c r="K200" s="37">
        <f>IFERROR(IF(AND(ISNUMBER('SW Rev'!O97),ISNUMBER('SW Rev'!K97),'SW Rev'!K97&gt;0),'SW Rev'!O97/'SW Rev'!K97-1,""),"")</f>
        <v/>
      </c>
      <c r="L200" s="37">
        <f>IFERROR(IF(AND(ISNUMBER('SW Rev'!P97),ISNUMBER('SW Rev'!L97),'SW Rev'!L97&gt;0),'SW Rev'!P97/'SW Rev'!L97-1,""),"")</f>
        <v/>
      </c>
      <c r="M200" s="38">
        <f>IFERROR(IF(AND(ISNUMBER('SW Rev'!Q97),ISNUMBER('SW Rev'!M97),'SW Rev'!M97&gt;0),'SW Rev'!Q97/'SW Rev'!M97-1,""),"")</f>
        <v/>
      </c>
      <c r="N200" s="38">
        <f>IFERROR(IF(AND(ISNUMBER('SW Rev'!R97),ISNUMBER('SW Rev'!N97),'SW Rev'!N97&gt;0),'SW Rev'!R97/'SW Rev'!N97-1,""),"")</f>
        <v/>
      </c>
    </row>
    <row r="201">
      <c r="A201" s="19">
        <f>'SW Rev'!$A98</f>
        <v/>
      </c>
      <c r="B201" s="19">
        <f>'SW Rev'!$B98</f>
        <v/>
      </c>
      <c r="C201" s="37">
        <f>IFERROR(IF(AND(ISNUMBER('SW Rev'!G98),ISNUMBER('SW Rev'!C98),'SW Rev'!C98&gt;0),'SW Rev'!G98/'SW Rev'!C98-1,""),"")</f>
        <v/>
      </c>
      <c r="D201" s="37">
        <f>IFERROR(IF(AND(ISNUMBER('SW Rev'!H98),ISNUMBER('SW Rev'!D98),'SW Rev'!D98&gt;0),'SW Rev'!H98/'SW Rev'!D98-1,""),"")</f>
        <v/>
      </c>
      <c r="E201" s="37">
        <f>IFERROR(IF(AND(ISNUMBER('SW Rev'!I98),ISNUMBER('SW Rev'!E98),'SW Rev'!E98&gt;0),'SW Rev'!I98/'SW Rev'!E98-1,""),"")</f>
        <v/>
      </c>
      <c r="F201" s="37">
        <f>IFERROR(IF(AND(ISNUMBER('SW Rev'!J98),ISNUMBER('SW Rev'!F98),'SW Rev'!F98&gt;0),'SW Rev'!J98/'SW Rev'!F98-1,""),"")</f>
        <v/>
      </c>
      <c r="G201" s="37">
        <f>IFERROR(IF(AND(ISNUMBER('SW Rev'!K98),ISNUMBER('SW Rev'!G98),'SW Rev'!G98&gt;0),'SW Rev'!K98/'SW Rev'!G98-1,""),"")</f>
        <v/>
      </c>
      <c r="H201" s="37">
        <f>IFERROR(IF(AND(ISNUMBER('SW Rev'!L98),ISNUMBER('SW Rev'!H98),'SW Rev'!H98&gt;0),'SW Rev'!L98/'SW Rev'!H98-1,""),"")</f>
        <v/>
      </c>
      <c r="I201" s="37">
        <f>IFERROR(IF(AND(ISNUMBER('SW Rev'!M98),ISNUMBER('SW Rev'!I98),'SW Rev'!I98&gt;0),'SW Rev'!M98/'SW Rev'!I98-1,""),"")</f>
        <v/>
      </c>
      <c r="J201" s="37">
        <f>IFERROR(IF(AND(ISNUMBER('SW Rev'!N98),ISNUMBER('SW Rev'!J98),'SW Rev'!J98&gt;0),'SW Rev'!N98/'SW Rev'!J98-1,""),"")</f>
        <v/>
      </c>
      <c r="K201" s="37">
        <f>IFERROR(IF(AND(ISNUMBER('SW Rev'!O98),ISNUMBER('SW Rev'!K98),'SW Rev'!K98&gt;0),'SW Rev'!O98/'SW Rev'!K98-1,""),"")</f>
        <v/>
      </c>
      <c r="L201" s="37">
        <f>IFERROR(IF(AND(ISNUMBER('SW Rev'!P98),ISNUMBER('SW Rev'!L98),'SW Rev'!L98&gt;0),'SW Rev'!P98/'SW Rev'!L98-1,""),"")</f>
        <v/>
      </c>
      <c r="M201" s="38">
        <f>IFERROR(IF(AND(ISNUMBER('SW Rev'!Q98),ISNUMBER('SW Rev'!M98),'SW Rev'!M98&gt;0),'SW Rev'!Q98/'SW Rev'!M98-1,""),"")</f>
        <v/>
      </c>
      <c r="N201" s="38">
        <f>IFERROR(IF(AND(ISNUMBER('SW Rev'!R98),ISNUMBER('SW Rev'!N98),'SW Rev'!N98&gt;0),'SW Rev'!R98/'SW Rev'!N98-1,""),"")</f>
        <v/>
      </c>
    </row>
    <row r="202">
      <c r="A202" s="19">
        <f>'SW Rev'!$A99</f>
        <v/>
      </c>
      <c r="B202" s="19">
        <f>'SW Rev'!$B99</f>
        <v/>
      </c>
      <c r="C202" s="37">
        <f>IFERROR(IF(AND(ISNUMBER('SW Rev'!G99),ISNUMBER('SW Rev'!C99),'SW Rev'!C99&gt;0),'SW Rev'!G99/'SW Rev'!C99-1,""),"")</f>
        <v/>
      </c>
      <c r="D202" s="37">
        <f>IFERROR(IF(AND(ISNUMBER('SW Rev'!H99),ISNUMBER('SW Rev'!D99),'SW Rev'!D99&gt;0),'SW Rev'!H99/'SW Rev'!D99-1,""),"")</f>
        <v/>
      </c>
      <c r="E202" s="37">
        <f>IFERROR(IF(AND(ISNUMBER('SW Rev'!I99),ISNUMBER('SW Rev'!E99),'SW Rev'!E99&gt;0),'SW Rev'!I99/'SW Rev'!E99-1,""),"")</f>
        <v/>
      </c>
      <c r="F202" s="37">
        <f>IFERROR(IF(AND(ISNUMBER('SW Rev'!J99),ISNUMBER('SW Rev'!F99),'SW Rev'!F99&gt;0),'SW Rev'!J99/'SW Rev'!F99-1,""),"")</f>
        <v/>
      </c>
      <c r="G202" s="37">
        <f>IFERROR(IF(AND(ISNUMBER('SW Rev'!K99),ISNUMBER('SW Rev'!G99),'SW Rev'!G99&gt;0),'SW Rev'!K99/'SW Rev'!G99-1,""),"")</f>
        <v/>
      </c>
      <c r="H202" s="37">
        <f>IFERROR(IF(AND(ISNUMBER('SW Rev'!L99),ISNUMBER('SW Rev'!H99),'SW Rev'!H99&gt;0),'SW Rev'!L99/'SW Rev'!H99-1,""),"")</f>
        <v/>
      </c>
      <c r="I202" s="37">
        <f>IFERROR(IF(AND(ISNUMBER('SW Rev'!M99),ISNUMBER('SW Rev'!I99),'SW Rev'!I99&gt;0),'SW Rev'!M99/'SW Rev'!I99-1,""),"")</f>
        <v/>
      </c>
      <c r="J202" s="37">
        <f>IFERROR(IF(AND(ISNUMBER('SW Rev'!N99),ISNUMBER('SW Rev'!J99),'SW Rev'!J99&gt;0),'SW Rev'!N99/'SW Rev'!J99-1,""),"")</f>
        <v/>
      </c>
      <c r="K202" s="37">
        <f>IFERROR(IF(AND(ISNUMBER('SW Rev'!O99),ISNUMBER('SW Rev'!K99),'SW Rev'!K99&gt;0),'SW Rev'!O99/'SW Rev'!K99-1,""),"")</f>
        <v/>
      </c>
      <c r="L202" s="37">
        <f>IFERROR(IF(AND(ISNUMBER('SW Rev'!P99),ISNUMBER('SW Rev'!L99),'SW Rev'!L99&gt;0),'SW Rev'!P99/'SW Rev'!L99-1,""),"")</f>
        <v/>
      </c>
      <c r="M202" s="38">
        <f>IFERROR(IF(AND(ISNUMBER('SW Rev'!Q99),ISNUMBER('SW Rev'!M99),'SW Rev'!M99&gt;0),'SW Rev'!Q99/'SW Rev'!M99-1,""),"")</f>
        <v/>
      </c>
      <c r="N202" s="38">
        <f>IFERROR(IF(AND(ISNUMBER('SW Rev'!R99),ISNUMBER('SW Rev'!N99),'SW Rev'!N99&gt;0),'SW Rev'!R99/'SW Rev'!N99-1,""),"")</f>
        <v/>
      </c>
    </row>
    <row r="203">
      <c r="A203" s="19">
        <f>'SW Rev'!$A100</f>
        <v/>
      </c>
      <c r="B203" s="19">
        <f>'SW Rev'!$B100</f>
        <v/>
      </c>
      <c r="C203" s="37">
        <f>IFERROR(IF(AND(ISNUMBER('SW Rev'!G100),ISNUMBER('SW Rev'!C100),'SW Rev'!C100&gt;0),'SW Rev'!G100/'SW Rev'!C100-1,""),"")</f>
        <v/>
      </c>
      <c r="D203" s="37">
        <f>IFERROR(IF(AND(ISNUMBER('SW Rev'!H100),ISNUMBER('SW Rev'!D100),'SW Rev'!D100&gt;0),'SW Rev'!H100/'SW Rev'!D100-1,""),"")</f>
        <v/>
      </c>
      <c r="E203" s="37">
        <f>IFERROR(IF(AND(ISNUMBER('SW Rev'!I100),ISNUMBER('SW Rev'!E100),'SW Rev'!E100&gt;0),'SW Rev'!I100/'SW Rev'!E100-1,""),"")</f>
        <v/>
      </c>
      <c r="F203" s="37">
        <f>IFERROR(IF(AND(ISNUMBER('SW Rev'!J100),ISNUMBER('SW Rev'!F100),'SW Rev'!F100&gt;0),'SW Rev'!J100/'SW Rev'!F100-1,""),"")</f>
        <v/>
      </c>
      <c r="G203" s="37">
        <f>IFERROR(IF(AND(ISNUMBER('SW Rev'!K100),ISNUMBER('SW Rev'!G100),'SW Rev'!G100&gt;0),'SW Rev'!K100/'SW Rev'!G100-1,""),"")</f>
        <v/>
      </c>
      <c r="H203" s="37">
        <f>IFERROR(IF(AND(ISNUMBER('SW Rev'!L100),ISNUMBER('SW Rev'!H100),'SW Rev'!H100&gt;0),'SW Rev'!L100/'SW Rev'!H100-1,""),"")</f>
        <v/>
      </c>
      <c r="I203" s="37">
        <f>IFERROR(IF(AND(ISNUMBER('SW Rev'!M100),ISNUMBER('SW Rev'!I100),'SW Rev'!I100&gt;0),'SW Rev'!M100/'SW Rev'!I100-1,""),"")</f>
        <v/>
      </c>
      <c r="J203" s="37">
        <f>IFERROR(IF(AND(ISNUMBER('SW Rev'!N100),ISNUMBER('SW Rev'!J100),'SW Rev'!J100&gt;0),'SW Rev'!N100/'SW Rev'!J100-1,""),"")</f>
        <v/>
      </c>
      <c r="K203" s="37">
        <f>IFERROR(IF(AND(ISNUMBER('SW Rev'!O100),ISNUMBER('SW Rev'!K100),'SW Rev'!K100&gt;0),'SW Rev'!O100/'SW Rev'!K100-1,""),"")</f>
        <v/>
      </c>
      <c r="L203" s="37">
        <f>IFERROR(IF(AND(ISNUMBER('SW Rev'!P100),ISNUMBER('SW Rev'!L100),'SW Rev'!L100&gt;0),'SW Rev'!P100/'SW Rev'!L100-1,""),"")</f>
        <v/>
      </c>
      <c r="M203" s="38">
        <f>IFERROR(IF(AND(ISNUMBER('SW Rev'!Q100),ISNUMBER('SW Rev'!M100),'SW Rev'!M100&gt;0),'SW Rev'!Q100/'SW Rev'!M100-1,""),"")</f>
        <v/>
      </c>
      <c r="N203" s="38">
        <f>IFERROR(IF(AND(ISNUMBER('SW Rev'!R100),ISNUMBER('SW Rev'!N100),'SW Rev'!N100&gt;0),'SW Rev'!R100/'SW Rev'!N100-1,""),"")</f>
        <v/>
      </c>
    </row>
    <row r="204">
      <c r="A204" s="19">
        <f>'SW Rev'!$A101</f>
        <v/>
      </c>
      <c r="B204" s="19">
        <f>'SW Rev'!$B101</f>
        <v/>
      </c>
      <c r="C204" s="37">
        <f>IFERROR(IF(AND(ISNUMBER('SW Rev'!G101),ISNUMBER('SW Rev'!C101),'SW Rev'!C101&gt;0),'SW Rev'!G101/'SW Rev'!C101-1,""),"")</f>
        <v/>
      </c>
      <c r="D204" s="37">
        <f>IFERROR(IF(AND(ISNUMBER('SW Rev'!H101),ISNUMBER('SW Rev'!D101),'SW Rev'!D101&gt;0),'SW Rev'!H101/'SW Rev'!D101-1,""),"")</f>
        <v/>
      </c>
      <c r="E204" s="37">
        <f>IFERROR(IF(AND(ISNUMBER('SW Rev'!I101),ISNUMBER('SW Rev'!E101),'SW Rev'!E101&gt;0),'SW Rev'!I101/'SW Rev'!E101-1,""),"")</f>
        <v/>
      </c>
      <c r="F204" s="37">
        <f>IFERROR(IF(AND(ISNUMBER('SW Rev'!J101),ISNUMBER('SW Rev'!F101),'SW Rev'!F101&gt;0),'SW Rev'!J101/'SW Rev'!F101-1,""),"")</f>
        <v/>
      </c>
      <c r="G204" s="37">
        <f>IFERROR(IF(AND(ISNUMBER('SW Rev'!K101),ISNUMBER('SW Rev'!G101),'SW Rev'!G101&gt;0),'SW Rev'!K101/'SW Rev'!G101-1,""),"")</f>
        <v/>
      </c>
      <c r="H204" s="37">
        <f>IFERROR(IF(AND(ISNUMBER('SW Rev'!L101),ISNUMBER('SW Rev'!H101),'SW Rev'!H101&gt;0),'SW Rev'!L101/'SW Rev'!H101-1,""),"")</f>
        <v/>
      </c>
      <c r="I204" s="37">
        <f>IFERROR(IF(AND(ISNUMBER('SW Rev'!M101),ISNUMBER('SW Rev'!I101),'SW Rev'!I101&gt;0),'SW Rev'!M101/'SW Rev'!I101-1,""),"")</f>
        <v/>
      </c>
      <c r="J204" s="37">
        <f>IFERROR(IF(AND(ISNUMBER('SW Rev'!N101),ISNUMBER('SW Rev'!J101),'SW Rev'!J101&gt;0),'SW Rev'!N101/'SW Rev'!J101-1,""),"")</f>
        <v/>
      </c>
      <c r="K204" s="37">
        <f>IFERROR(IF(AND(ISNUMBER('SW Rev'!O101),ISNUMBER('SW Rev'!K101),'SW Rev'!K101&gt;0),'SW Rev'!O101/'SW Rev'!K101-1,""),"")</f>
        <v/>
      </c>
      <c r="L204" s="37">
        <f>IFERROR(IF(AND(ISNUMBER('SW Rev'!P101),ISNUMBER('SW Rev'!L101),'SW Rev'!L101&gt;0),'SW Rev'!P101/'SW Rev'!L101-1,""),"")</f>
        <v/>
      </c>
      <c r="M204" s="38">
        <f>IFERROR(IF(AND(ISNUMBER('SW Rev'!Q101),ISNUMBER('SW Rev'!M101),'SW Rev'!M101&gt;0),'SW Rev'!Q101/'SW Rev'!M101-1,""),"")</f>
        <v/>
      </c>
      <c r="N204" s="38">
        <f>IFERROR(IF(AND(ISNUMBER('SW Rev'!R101),ISNUMBER('SW Rev'!N101),'SW Rev'!N101&gt;0),'SW Rev'!R101/'SW Rev'!N101-1,""),"")</f>
        <v/>
      </c>
    </row>
    <row r="205">
      <c r="A205" s="19">
        <f>'SW Rev'!$A102</f>
        <v/>
      </c>
      <c r="B205" s="19">
        <f>'SW Rev'!$B102</f>
        <v/>
      </c>
      <c r="C205" s="37">
        <f>IFERROR(IF(AND(ISNUMBER('SW Rev'!G102),ISNUMBER('SW Rev'!C102),'SW Rev'!C102&gt;0),'SW Rev'!G102/'SW Rev'!C102-1,""),"")</f>
        <v/>
      </c>
      <c r="D205" s="37">
        <f>IFERROR(IF(AND(ISNUMBER('SW Rev'!H102),ISNUMBER('SW Rev'!D102),'SW Rev'!D102&gt;0),'SW Rev'!H102/'SW Rev'!D102-1,""),"")</f>
        <v/>
      </c>
      <c r="E205" s="37">
        <f>IFERROR(IF(AND(ISNUMBER('SW Rev'!I102),ISNUMBER('SW Rev'!E102),'SW Rev'!E102&gt;0),'SW Rev'!I102/'SW Rev'!E102-1,""),"")</f>
        <v/>
      </c>
      <c r="F205" s="37">
        <f>IFERROR(IF(AND(ISNUMBER('SW Rev'!J102),ISNUMBER('SW Rev'!F102),'SW Rev'!F102&gt;0),'SW Rev'!J102/'SW Rev'!F102-1,""),"")</f>
        <v/>
      </c>
      <c r="G205" s="37">
        <f>IFERROR(IF(AND(ISNUMBER('SW Rev'!K102),ISNUMBER('SW Rev'!G102),'SW Rev'!G102&gt;0),'SW Rev'!K102/'SW Rev'!G102-1,""),"")</f>
        <v/>
      </c>
      <c r="H205" s="37">
        <f>IFERROR(IF(AND(ISNUMBER('SW Rev'!L102),ISNUMBER('SW Rev'!H102),'SW Rev'!H102&gt;0),'SW Rev'!L102/'SW Rev'!H102-1,""),"")</f>
        <v/>
      </c>
      <c r="I205" s="37">
        <f>IFERROR(IF(AND(ISNUMBER('SW Rev'!M102),ISNUMBER('SW Rev'!I102),'SW Rev'!I102&gt;0),'SW Rev'!M102/'SW Rev'!I102-1,""),"")</f>
        <v/>
      </c>
      <c r="J205" s="37">
        <f>IFERROR(IF(AND(ISNUMBER('SW Rev'!N102),ISNUMBER('SW Rev'!J102),'SW Rev'!J102&gt;0),'SW Rev'!N102/'SW Rev'!J102-1,""),"")</f>
        <v/>
      </c>
      <c r="K205" s="37">
        <f>IFERROR(IF(AND(ISNUMBER('SW Rev'!O102),ISNUMBER('SW Rev'!K102),'SW Rev'!K102&gt;0),'SW Rev'!O102/'SW Rev'!K102-1,""),"")</f>
        <v/>
      </c>
      <c r="L205" s="37">
        <f>IFERROR(IF(AND(ISNUMBER('SW Rev'!P102),ISNUMBER('SW Rev'!L102),'SW Rev'!L102&gt;0),'SW Rev'!P102/'SW Rev'!L102-1,""),"")</f>
        <v/>
      </c>
      <c r="M205" s="38">
        <f>IFERROR(IF(AND(ISNUMBER('SW Rev'!Q102),ISNUMBER('SW Rev'!M102),'SW Rev'!M102&gt;0),'SW Rev'!Q102/'SW Rev'!M102-1,""),"")</f>
        <v/>
      </c>
      <c r="N205" s="38">
        <f>IFERROR(IF(AND(ISNUMBER('SW Rev'!R102),ISNUMBER('SW Rev'!N102),'SW Rev'!N102&gt;0),'SW Rev'!R102/'SW Rev'!N102-1,""),"")</f>
        <v/>
      </c>
    </row>
    <row r="206">
      <c r="A206" s="19">
        <f>'SW Rev'!$A103</f>
        <v/>
      </c>
      <c r="B206" s="19">
        <f>'SW Rev'!$B103</f>
        <v/>
      </c>
      <c r="C206" s="37">
        <f>IFERROR(IF(AND(ISNUMBER('SW Rev'!G103),ISNUMBER('SW Rev'!C103),'SW Rev'!C103&gt;0),'SW Rev'!G103/'SW Rev'!C103-1,""),"")</f>
        <v/>
      </c>
      <c r="D206" s="37">
        <f>IFERROR(IF(AND(ISNUMBER('SW Rev'!H103),ISNUMBER('SW Rev'!D103),'SW Rev'!D103&gt;0),'SW Rev'!H103/'SW Rev'!D103-1,""),"")</f>
        <v/>
      </c>
      <c r="E206" s="37">
        <f>IFERROR(IF(AND(ISNUMBER('SW Rev'!I103),ISNUMBER('SW Rev'!E103),'SW Rev'!E103&gt;0),'SW Rev'!I103/'SW Rev'!E103-1,""),"")</f>
        <v/>
      </c>
      <c r="F206" s="37">
        <f>IFERROR(IF(AND(ISNUMBER('SW Rev'!J103),ISNUMBER('SW Rev'!F103),'SW Rev'!F103&gt;0),'SW Rev'!J103/'SW Rev'!F103-1,""),"")</f>
        <v/>
      </c>
      <c r="G206" s="37">
        <f>IFERROR(IF(AND(ISNUMBER('SW Rev'!K103),ISNUMBER('SW Rev'!G103),'SW Rev'!G103&gt;0),'SW Rev'!K103/'SW Rev'!G103-1,""),"")</f>
        <v/>
      </c>
      <c r="H206" s="37">
        <f>IFERROR(IF(AND(ISNUMBER('SW Rev'!L103),ISNUMBER('SW Rev'!H103),'SW Rev'!H103&gt;0),'SW Rev'!L103/'SW Rev'!H103-1,""),"")</f>
        <v/>
      </c>
      <c r="I206" s="37">
        <f>IFERROR(IF(AND(ISNUMBER('SW Rev'!M103),ISNUMBER('SW Rev'!I103),'SW Rev'!I103&gt;0),'SW Rev'!M103/'SW Rev'!I103-1,""),"")</f>
        <v/>
      </c>
      <c r="J206" s="37">
        <f>IFERROR(IF(AND(ISNUMBER('SW Rev'!N103),ISNUMBER('SW Rev'!J103),'SW Rev'!J103&gt;0),'SW Rev'!N103/'SW Rev'!J103-1,""),"")</f>
        <v/>
      </c>
      <c r="K206" s="37">
        <f>IFERROR(IF(AND(ISNUMBER('SW Rev'!O103),ISNUMBER('SW Rev'!K103),'SW Rev'!K103&gt;0),'SW Rev'!O103/'SW Rev'!K103-1,""),"")</f>
        <v/>
      </c>
      <c r="L206" s="37">
        <f>IFERROR(IF(AND(ISNUMBER('SW Rev'!P103),ISNUMBER('SW Rev'!L103),'SW Rev'!L103&gt;0),'SW Rev'!P103/'SW Rev'!L103-1,""),"")</f>
        <v/>
      </c>
      <c r="M206" s="38">
        <f>IFERROR(IF(AND(ISNUMBER('SW Rev'!Q103),ISNUMBER('SW Rev'!M103),'SW Rev'!M103&gt;0),'SW Rev'!Q103/'SW Rev'!M103-1,""),"")</f>
        <v/>
      </c>
      <c r="N206" s="38">
        <f>IFERROR(IF(AND(ISNUMBER('SW Rev'!R103),ISNUMBER('SW Rev'!N103),'SW Rev'!N103&gt;0),'SW Rev'!R103/'SW Rev'!N103-1,""),"")</f>
        <v/>
      </c>
    </row>
    <row r="208">
      <c r="A208" s="49" t="inlineStr">
        <is>
          <t>Revenue growth QoQ %</t>
        </is>
      </c>
      <c r="B208" s="50" t="n"/>
      <c r="C208" s="50" t="n"/>
      <c r="D208" s="50" t="n"/>
      <c r="E208" s="50" t="n"/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</row>
    <row r="209" ht="28" customHeight="1">
      <c r="A209" s="8" t="inlineStr">
        <is>
          <t>Ticker</t>
        </is>
      </c>
      <c r="B209" s="8" t="inlineStr">
        <is>
          <t>Latest Rpt Qtr</t>
        </is>
      </c>
      <c r="C209" s="8" t="inlineStr">
        <is>
          <t>FPO -9</t>
        </is>
      </c>
      <c r="D209" s="8" t="inlineStr">
        <is>
          <t>FPO -8</t>
        </is>
      </c>
      <c r="E209" s="8" t="inlineStr">
        <is>
          <t>FPO -7</t>
        </is>
      </c>
      <c r="F209" s="8" t="inlineStr">
        <is>
          <t>FPO -6</t>
        </is>
      </c>
      <c r="G209" s="8" t="inlineStr">
        <is>
          <t>FPO -5</t>
        </is>
      </c>
      <c r="H209" s="8" t="inlineStr">
        <is>
          <t>FPO -4</t>
        </is>
      </c>
      <c r="I209" s="8" t="inlineStr">
        <is>
          <t>FPO -3</t>
        </is>
      </c>
      <c r="J209" s="8" t="inlineStr">
        <is>
          <t>FPO -2</t>
        </is>
      </c>
      <c r="K209" s="8" t="inlineStr">
        <is>
          <t>FPO -1</t>
        </is>
      </c>
      <c r="L209" s="8" t="inlineStr">
        <is>
          <t>FPO 0 (latest rpt)</t>
        </is>
      </c>
      <c r="M209" s="8" t="inlineStr">
        <is>
          <t>FPO +1E</t>
        </is>
      </c>
      <c r="N209" s="8" t="inlineStr">
        <is>
          <t>FPO +2E</t>
        </is>
      </c>
    </row>
    <row r="210">
      <c r="A210" s="19">
        <f>'SW Rev'!$A5</f>
        <v/>
      </c>
      <c r="B210" s="19">
        <f>'SW Rev'!$B5</f>
        <v/>
      </c>
      <c r="C210" s="37">
        <f>IFERROR(IF(AND(ISNUMBER('SW Rev'!G5),ISNUMBER('SW Rev'!F5),'SW Rev'!F5&gt;0),'SW Rev'!G5/'SW Rev'!F5-1,""),"")</f>
        <v/>
      </c>
      <c r="D210" s="37">
        <f>IFERROR(IF(AND(ISNUMBER('SW Rev'!H5),ISNUMBER('SW Rev'!G5),'SW Rev'!G5&gt;0),'SW Rev'!H5/'SW Rev'!G5-1,""),"")</f>
        <v/>
      </c>
      <c r="E210" s="37">
        <f>IFERROR(IF(AND(ISNUMBER('SW Rev'!I5),ISNUMBER('SW Rev'!H5),'SW Rev'!H5&gt;0),'SW Rev'!I5/'SW Rev'!H5-1,""),"")</f>
        <v/>
      </c>
      <c r="F210" s="37">
        <f>IFERROR(IF(AND(ISNUMBER('SW Rev'!J5),ISNUMBER('SW Rev'!I5),'SW Rev'!I5&gt;0),'SW Rev'!J5/'SW Rev'!I5-1,""),"")</f>
        <v/>
      </c>
      <c r="G210" s="37">
        <f>IFERROR(IF(AND(ISNUMBER('SW Rev'!K5),ISNUMBER('SW Rev'!J5),'SW Rev'!J5&gt;0),'SW Rev'!K5/'SW Rev'!J5-1,""),"")</f>
        <v/>
      </c>
      <c r="H210" s="37">
        <f>IFERROR(IF(AND(ISNUMBER('SW Rev'!L5),ISNUMBER('SW Rev'!K5),'SW Rev'!K5&gt;0),'SW Rev'!L5/'SW Rev'!K5-1,""),"")</f>
        <v/>
      </c>
      <c r="I210" s="37">
        <f>IFERROR(IF(AND(ISNUMBER('SW Rev'!M5),ISNUMBER('SW Rev'!L5),'SW Rev'!L5&gt;0),'SW Rev'!M5/'SW Rev'!L5-1,""),"")</f>
        <v/>
      </c>
      <c r="J210" s="37">
        <f>IFERROR(IF(AND(ISNUMBER('SW Rev'!N5),ISNUMBER('SW Rev'!M5),'SW Rev'!M5&gt;0),'SW Rev'!N5/'SW Rev'!M5-1,""),"")</f>
        <v/>
      </c>
      <c r="K210" s="37">
        <f>IFERROR(IF(AND(ISNUMBER('SW Rev'!O5),ISNUMBER('SW Rev'!N5),'SW Rev'!N5&gt;0),'SW Rev'!O5/'SW Rev'!N5-1,""),"")</f>
        <v/>
      </c>
      <c r="L210" s="37">
        <f>IFERROR(IF(AND(ISNUMBER('SW Rev'!P5),ISNUMBER('SW Rev'!O5),'SW Rev'!O5&gt;0),'SW Rev'!P5/'SW Rev'!O5-1,""),"")</f>
        <v/>
      </c>
      <c r="M210" s="38">
        <f>IFERROR(IF(AND(ISNUMBER('SW Rev'!Q5),ISNUMBER('SW Rev'!P5),'SW Rev'!P5&gt;0),'SW Rev'!Q5/'SW Rev'!P5-1,""),"")</f>
        <v/>
      </c>
      <c r="N210" s="38">
        <f>IFERROR(IF(AND(ISNUMBER('SW Rev'!R5),ISNUMBER('SW Rev'!Q5),'SW Rev'!Q5&gt;0),'SW Rev'!R5/'SW Rev'!Q5-1,""),"")</f>
        <v/>
      </c>
    </row>
    <row r="211">
      <c r="A211" s="19">
        <f>'SW Rev'!$A6</f>
        <v/>
      </c>
      <c r="B211" s="19">
        <f>'SW Rev'!$B6</f>
        <v/>
      </c>
      <c r="C211" s="37">
        <f>IFERROR(IF(AND(ISNUMBER('SW Rev'!G6),ISNUMBER('SW Rev'!F6),'SW Rev'!F6&gt;0),'SW Rev'!G6/'SW Rev'!F6-1,""),"")</f>
        <v/>
      </c>
      <c r="D211" s="37">
        <f>IFERROR(IF(AND(ISNUMBER('SW Rev'!H6),ISNUMBER('SW Rev'!G6),'SW Rev'!G6&gt;0),'SW Rev'!H6/'SW Rev'!G6-1,""),"")</f>
        <v/>
      </c>
      <c r="E211" s="37">
        <f>IFERROR(IF(AND(ISNUMBER('SW Rev'!I6),ISNUMBER('SW Rev'!H6),'SW Rev'!H6&gt;0),'SW Rev'!I6/'SW Rev'!H6-1,""),"")</f>
        <v/>
      </c>
      <c r="F211" s="37">
        <f>IFERROR(IF(AND(ISNUMBER('SW Rev'!J6),ISNUMBER('SW Rev'!I6),'SW Rev'!I6&gt;0),'SW Rev'!J6/'SW Rev'!I6-1,""),"")</f>
        <v/>
      </c>
      <c r="G211" s="37">
        <f>IFERROR(IF(AND(ISNUMBER('SW Rev'!K6),ISNUMBER('SW Rev'!J6),'SW Rev'!J6&gt;0),'SW Rev'!K6/'SW Rev'!J6-1,""),"")</f>
        <v/>
      </c>
      <c r="H211" s="37">
        <f>IFERROR(IF(AND(ISNUMBER('SW Rev'!L6),ISNUMBER('SW Rev'!K6),'SW Rev'!K6&gt;0),'SW Rev'!L6/'SW Rev'!K6-1,""),"")</f>
        <v/>
      </c>
      <c r="I211" s="37">
        <f>IFERROR(IF(AND(ISNUMBER('SW Rev'!M6),ISNUMBER('SW Rev'!L6),'SW Rev'!L6&gt;0),'SW Rev'!M6/'SW Rev'!L6-1,""),"")</f>
        <v/>
      </c>
      <c r="J211" s="37">
        <f>IFERROR(IF(AND(ISNUMBER('SW Rev'!N6),ISNUMBER('SW Rev'!M6),'SW Rev'!M6&gt;0),'SW Rev'!N6/'SW Rev'!M6-1,""),"")</f>
        <v/>
      </c>
      <c r="K211" s="37">
        <f>IFERROR(IF(AND(ISNUMBER('SW Rev'!O6),ISNUMBER('SW Rev'!N6),'SW Rev'!N6&gt;0),'SW Rev'!O6/'SW Rev'!N6-1,""),"")</f>
        <v/>
      </c>
      <c r="L211" s="37">
        <f>IFERROR(IF(AND(ISNUMBER('SW Rev'!P6),ISNUMBER('SW Rev'!O6),'SW Rev'!O6&gt;0),'SW Rev'!P6/'SW Rev'!O6-1,""),"")</f>
        <v/>
      </c>
      <c r="M211" s="38">
        <f>IFERROR(IF(AND(ISNUMBER('SW Rev'!Q6),ISNUMBER('SW Rev'!P6),'SW Rev'!P6&gt;0),'SW Rev'!Q6/'SW Rev'!P6-1,""),"")</f>
        <v/>
      </c>
      <c r="N211" s="38">
        <f>IFERROR(IF(AND(ISNUMBER('SW Rev'!R6),ISNUMBER('SW Rev'!Q6),'SW Rev'!Q6&gt;0),'SW Rev'!R6/'SW Rev'!Q6-1,""),"")</f>
        <v/>
      </c>
    </row>
    <row r="212">
      <c r="A212" s="19">
        <f>'SW Rev'!$A7</f>
        <v/>
      </c>
      <c r="B212" s="19">
        <f>'SW Rev'!$B7</f>
        <v/>
      </c>
      <c r="C212" s="37">
        <f>IFERROR(IF(AND(ISNUMBER('SW Rev'!G7),ISNUMBER('SW Rev'!F7),'SW Rev'!F7&gt;0),'SW Rev'!G7/'SW Rev'!F7-1,""),"")</f>
        <v/>
      </c>
      <c r="D212" s="37">
        <f>IFERROR(IF(AND(ISNUMBER('SW Rev'!H7),ISNUMBER('SW Rev'!G7),'SW Rev'!G7&gt;0),'SW Rev'!H7/'SW Rev'!G7-1,""),"")</f>
        <v/>
      </c>
      <c r="E212" s="37">
        <f>IFERROR(IF(AND(ISNUMBER('SW Rev'!I7),ISNUMBER('SW Rev'!H7),'SW Rev'!H7&gt;0),'SW Rev'!I7/'SW Rev'!H7-1,""),"")</f>
        <v/>
      </c>
      <c r="F212" s="37">
        <f>IFERROR(IF(AND(ISNUMBER('SW Rev'!J7),ISNUMBER('SW Rev'!I7),'SW Rev'!I7&gt;0),'SW Rev'!J7/'SW Rev'!I7-1,""),"")</f>
        <v/>
      </c>
      <c r="G212" s="37">
        <f>IFERROR(IF(AND(ISNUMBER('SW Rev'!K7),ISNUMBER('SW Rev'!J7),'SW Rev'!J7&gt;0),'SW Rev'!K7/'SW Rev'!J7-1,""),"")</f>
        <v/>
      </c>
      <c r="H212" s="37">
        <f>IFERROR(IF(AND(ISNUMBER('SW Rev'!L7),ISNUMBER('SW Rev'!K7),'SW Rev'!K7&gt;0),'SW Rev'!L7/'SW Rev'!K7-1,""),"")</f>
        <v/>
      </c>
      <c r="I212" s="37">
        <f>IFERROR(IF(AND(ISNUMBER('SW Rev'!M7),ISNUMBER('SW Rev'!L7),'SW Rev'!L7&gt;0),'SW Rev'!M7/'SW Rev'!L7-1,""),"")</f>
        <v/>
      </c>
      <c r="J212" s="37">
        <f>IFERROR(IF(AND(ISNUMBER('SW Rev'!N7),ISNUMBER('SW Rev'!M7),'SW Rev'!M7&gt;0),'SW Rev'!N7/'SW Rev'!M7-1,""),"")</f>
        <v/>
      </c>
      <c r="K212" s="37">
        <f>IFERROR(IF(AND(ISNUMBER('SW Rev'!O7),ISNUMBER('SW Rev'!N7),'SW Rev'!N7&gt;0),'SW Rev'!O7/'SW Rev'!N7-1,""),"")</f>
        <v/>
      </c>
      <c r="L212" s="37">
        <f>IFERROR(IF(AND(ISNUMBER('SW Rev'!P7),ISNUMBER('SW Rev'!O7),'SW Rev'!O7&gt;0),'SW Rev'!P7/'SW Rev'!O7-1,""),"")</f>
        <v/>
      </c>
      <c r="M212" s="38">
        <f>IFERROR(IF(AND(ISNUMBER('SW Rev'!Q7),ISNUMBER('SW Rev'!P7),'SW Rev'!P7&gt;0),'SW Rev'!Q7/'SW Rev'!P7-1,""),"")</f>
        <v/>
      </c>
      <c r="N212" s="38">
        <f>IFERROR(IF(AND(ISNUMBER('SW Rev'!R7),ISNUMBER('SW Rev'!Q7),'SW Rev'!Q7&gt;0),'SW Rev'!R7/'SW Rev'!Q7-1,""),"")</f>
        <v/>
      </c>
    </row>
    <row r="213">
      <c r="A213" s="19">
        <f>'SW Rev'!$A8</f>
        <v/>
      </c>
      <c r="B213" s="19">
        <f>'SW Rev'!$B8</f>
        <v/>
      </c>
      <c r="C213" s="37">
        <f>IFERROR(IF(AND(ISNUMBER('SW Rev'!G8),ISNUMBER('SW Rev'!F8),'SW Rev'!F8&gt;0),'SW Rev'!G8/'SW Rev'!F8-1,""),"")</f>
        <v/>
      </c>
      <c r="D213" s="37">
        <f>IFERROR(IF(AND(ISNUMBER('SW Rev'!H8),ISNUMBER('SW Rev'!G8),'SW Rev'!G8&gt;0),'SW Rev'!H8/'SW Rev'!G8-1,""),"")</f>
        <v/>
      </c>
      <c r="E213" s="37">
        <f>IFERROR(IF(AND(ISNUMBER('SW Rev'!I8),ISNUMBER('SW Rev'!H8),'SW Rev'!H8&gt;0),'SW Rev'!I8/'SW Rev'!H8-1,""),"")</f>
        <v/>
      </c>
      <c r="F213" s="37">
        <f>IFERROR(IF(AND(ISNUMBER('SW Rev'!J8),ISNUMBER('SW Rev'!I8),'SW Rev'!I8&gt;0),'SW Rev'!J8/'SW Rev'!I8-1,""),"")</f>
        <v/>
      </c>
      <c r="G213" s="37">
        <f>IFERROR(IF(AND(ISNUMBER('SW Rev'!K8),ISNUMBER('SW Rev'!J8),'SW Rev'!J8&gt;0),'SW Rev'!K8/'SW Rev'!J8-1,""),"")</f>
        <v/>
      </c>
      <c r="H213" s="37">
        <f>IFERROR(IF(AND(ISNUMBER('SW Rev'!L8),ISNUMBER('SW Rev'!K8),'SW Rev'!K8&gt;0),'SW Rev'!L8/'SW Rev'!K8-1,""),"")</f>
        <v/>
      </c>
      <c r="I213" s="37">
        <f>IFERROR(IF(AND(ISNUMBER('SW Rev'!M8),ISNUMBER('SW Rev'!L8),'SW Rev'!L8&gt;0),'SW Rev'!M8/'SW Rev'!L8-1,""),"")</f>
        <v/>
      </c>
      <c r="J213" s="37">
        <f>IFERROR(IF(AND(ISNUMBER('SW Rev'!N8),ISNUMBER('SW Rev'!M8),'SW Rev'!M8&gt;0),'SW Rev'!N8/'SW Rev'!M8-1,""),"")</f>
        <v/>
      </c>
      <c r="K213" s="37">
        <f>IFERROR(IF(AND(ISNUMBER('SW Rev'!O8),ISNUMBER('SW Rev'!N8),'SW Rev'!N8&gt;0),'SW Rev'!O8/'SW Rev'!N8-1,""),"")</f>
        <v/>
      </c>
      <c r="L213" s="37">
        <f>IFERROR(IF(AND(ISNUMBER('SW Rev'!P8),ISNUMBER('SW Rev'!O8),'SW Rev'!O8&gt;0),'SW Rev'!P8/'SW Rev'!O8-1,""),"")</f>
        <v/>
      </c>
      <c r="M213" s="38">
        <f>IFERROR(IF(AND(ISNUMBER('SW Rev'!Q8),ISNUMBER('SW Rev'!P8),'SW Rev'!P8&gt;0),'SW Rev'!Q8/'SW Rev'!P8-1,""),"")</f>
        <v/>
      </c>
      <c r="N213" s="38">
        <f>IFERROR(IF(AND(ISNUMBER('SW Rev'!R8),ISNUMBER('SW Rev'!Q8),'SW Rev'!Q8&gt;0),'SW Rev'!R8/'SW Rev'!Q8-1,""),"")</f>
        <v/>
      </c>
    </row>
    <row r="214">
      <c r="A214" s="19">
        <f>'SW Rev'!$A9</f>
        <v/>
      </c>
      <c r="B214" s="19">
        <f>'SW Rev'!$B9</f>
        <v/>
      </c>
      <c r="C214" s="37">
        <f>IFERROR(IF(AND(ISNUMBER('SW Rev'!G9),ISNUMBER('SW Rev'!F9),'SW Rev'!F9&gt;0),'SW Rev'!G9/'SW Rev'!F9-1,""),"")</f>
        <v/>
      </c>
      <c r="D214" s="37">
        <f>IFERROR(IF(AND(ISNUMBER('SW Rev'!H9),ISNUMBER('SW Rev'!G9),'SW Rev'!G9&gt;0),'SW Rev'!H9/'SW Rev'!G9-1,""),"")</f>
        <v/>
      </c>
      <c r="E214" s="37">
        <f>IFERROR(IF(AND(ISNUMBER('SW Rev'!I9),ISNUMBER('SW Rev'!H9),'SW Rev'!H9&gt;0),'SW Rev'!I9/'SW Rev'!H9-1,""),"")</f>
        <v/>
      </c>
      <c r="F214" s="37">
        <f>IFERROR(IF(AND(ISNUMBER('SW Rev'!J9),ISNUMBER('SW Rev'!I9),'SW Rev'!I9&gt;0),'SW Rev'!J9/'SW Rev'!I9-1,""),"")</f>
        <v/>
      </c>
      <c r="G214" s="37">
        <f>IFERROR(IF(AND(ISNUMBER('SW Rev'!K9),ISNUMBER('SW Rev'!J9),'SW Rev'!J9&gt;0),'SW Rev'!K9/'SW Rev'!J9-1,""),"")</f>
        <v/>
      </c>
      <c r="H214" s="37">
        <f>IFERROR(IF(AND(ISNUMBER('SW Rev'!L9),ISNUMBER('SW Rev'!K9),'SW Rev'!K9&gt;0),'SW Rev'!L9/'SW Rev'!K9-1,""),"")</f>
        <v/>
      </c>
      <c r="I214" s="37">
        <f>IFERROR(IF(AND(ISNUMBER('SW Rev'!M9),ISNUMBER('SW Rev'!L9),'SW Rev'!L9&gt;0),'SW Rev'!M9/'SW Rev'!L9-1,""),"")</f>
        <v/>
      </c>
      <c r="J214" s="37">
        <f>IFERROR(IF(AND(ISNUMBER('SW Rev'!N9),ISNUMBER('SW Rev'!M9),'SW Rev'!M9&gt;0),'SW Rev'!N9/'SW Rev'!M9-1,""),"")</f>
        <v/>
      </c>
      <c r="K214" s="37">
        <f>IFERROR(IF(AND(ISNUMBER('SW Rev'!O9),ISNUMBER('SW Rev'!N9),'SW Rev'!N9&gt;0),'SW Rev'!O9/'SW Rev'!N9-1,""),"")</f>
        <v/>
      </c>
      <c r="L214" s="37">
        <f>IFERROR(IF(AND(ISNUMBER('SW Rev'!P9),ISNUMBER('SW Rev'!O9),'SW Rev'!O9&gt;0),'SW Rev'!P9/'SW Rev'!O9-1,""),"")</f>
        <v/>
      </c>
      <c r="M214" s="38">
        <f>IFERROR(IF(AND(ISNUMBER('SW Rev'!Q9),ISNUMBER('SW Rev'!P9),'SW Rev'!P9&gt;0),'SW Rev'!Q9/'SW Rev'!P9-1,""),"")</f>
        <v/>
      </c>
      <c r="N214" s="38">
        <f>IFERROR(IF(AND(ISNUMBER('SW Rev'!R9),ISNUMBER('SW Rev'!Q9),'SW Rev'!Q9&gt;0),'SW Rev'!R9/'SW Rev'!Q9-1,""),"")</f>
        <v/>
      </c>
    </row>
    <row r="215">
      <c r="A215" s="19">
        <f>'SW Rev'!$A10</f>
        <v/>
      </c>
      <c r="B215" s="19">
        <f>'SW Rev'!$B10</f>
        <v/>
      </c>
      <c r="C215" s="37">
        <f>IFERROR(IF(AND(ISNUMBER('SW Rev'!G10),ISNUMBER('SW Rev'!F10),'SW Rev'!F10&gt;0),'SW Rev'!G10/'SW Rev'!F10-1,""),"")</f>
        <v/>
      </c>
      <c r="D215" s="37">
        <f>IFERROR(IF(AND(ISNUMBER('SW Rev'!H10),ISNUMBER('SW Rev'!G10),'SW Rev'!G10&gt;0),'SW Rev'!H10/'SW Rev'!G10-1,""),"")</f>
        <v/>
      </c>
      <c r="E215" s="37">
        <f>IFERROR(IF(AND(ISNUMBER('SW Rev'!I10),ISNUMBER('SW Rev'!H10),'SW Rev'!H10&gt;0),'SW Rev'!I10/'SW Rev'!H10-1,""),"")</f>
        <v/>
      </c>
      <c r="F215" s="37">
        <f>IFERROR(IF(AND(ISNUMBER('SW Rev'!J10),ISNUMBER('SW Rev'!I10),'SW Rev'!I10&gt;0),'SW Rev'!J10/'SW Rev'!I10-1,""),"")</f>
        <v/>
      </c>
      <c r="G215" s="37">
        <f>IFERROR(IF(AND(ISNUMBER('SW Rev'!K10),ISNUMBER('SW Rev'!J10),'SW Rev'!J10&gt;0),'SW Rev'!K10/'SW Rev'!J10-1,""),"")</f>
        <v/>
      </c>
      <c r="H215" s="37">
        <f>IFERROR(IF(AND(ISNUMBER('SW Rev'!L10),ISNUMBER('SW Rev'!K10),'SW Rev'!K10&gt;0),'SW Rev'!L10/'SW Rev'!K10-1,""),"")</f>
        <v/>
      </c>
      <c r="I215" s="37">
        <f>IFERROR(IF(AND(ISNUMBER('SW Rev'!M10),ISNUMBER('SW Rev'!L10),'SW Rev'!L10&gt;0),'SW Rev'!M10/'SW Rev'!L10-1,""),"")</f>
        <v/>
      </c>
      <c r="J215" s="37">
        <f>IFERROR(IF(AND(ISNUMBER('SW Rev'!N10),ISNUMBER('SW Rev'!M10),'SW Rev'!M10&gt;0),'SW Rev'!N10/'SW Rev'!M10-1,""),"")</f>
        <v/>
      </c>
      <c r="K215" s="37">
        <f>IFERROR(IF(AND(ISNUMBER('SW Rev'!O10),ISNUMBER('SW Rev'!N10),'SW Rev'!N10&gt;0),'SW Rev'!O10/'SW Rev'!N10-1,""),"")</f>
        <v/>
      </c>
      <c r="L215" s="37">
        <f>IFERROR(IF(AND(ISNUMBER('SW Rev'!P10),ISNUMBER('SW Rev'!O10),'SW Rev'!O10&gt;0),'SW Rev'!P10/'SW Rev'!O10-1,""),"")</f>
        <v/>
      </c>
      <c r="M215" s="38">
        <f>IFERROR(IF(AND(ISNUMBER('SW Rev'!Q10),ISNUMBER('SW Rev'!P10),'SW Rev'!P10&gt;0),'SW Rev'!Q10/'SW Rev'!P10-1,""),"")</f>
        <v/>
      </c>
      <c r="N215" s="38">
        <f>IFERROR(IF(AND(ISNUMBER('SW Rev'!R10),ISNUMBER('SW Rev'!Q10),'SW Rev'!Q10&gt;0),'SW Rev'!R10/'SW Rev'!Q10-1,""),"")</f>
        <v/>
      </c>
    </row>
    <row r="216">
      <c r="A216" s="19">
        <f>'SW Rev'!$A11</f>
        <v/>
      </c>
      <c r="B216" s="19">
        <f>'SW Rev'!$B11</f>
        <v/>
      </c>
      <c r="C216" s="37">
        <f>IFERROR(IF(AND(ISNUMBER('SW Rev'!G11),ISNUMBER('SW Rev'!F11),'SW Rev'!F11&gt;0),'SW Rev'!G11/'SW Rev'!F11-1,""),"")</f>
        <v/>
      </c>
      <c r="D216" s="37">
        <f>IFERROR(IF(AND(ISNUMBER('SW Rev'!H11),ISNUMBER('SW Rev'!G11),'SW Rev'!G11&gt;0),'SW Rev'!H11/'SW Rev'!G11-1,""),"")</f>
        <v/>
      </c>
      <c r="E216" s="37">
        <f>IFERROR(IF(AND(ISNUMBER('SW Rev'!I11),ISNUMBER('SW Rev'!H11),'SW Rev'!H11&gt;0),'SW Rev'!I11/'SW Rev'!H11-1,""),"")</f>
        <v/>
      </c>
      <c r="F216" s="37">
        <f>IFERROR(IF(AND(ISNUMBER('SW Rev'!J11),ISNUMBER('SW Rev'!I11),'SW Rev'!I11&gt;0),'SW Rev'!J11/'SW Rev'!I11-1,""),"")</f>
        <v/>
      </c>
      <c r="G216" s="37">
        <f>IFERROR(IF(AND(ISNUMBER('SW Rev'!K11),ISNUMBER('SW Rev'!J11),'SW Rev'!J11&gt;0),'SW Rev'!K11/'SW Rev'!J11-1,""),"")</f>
        <v/>
      </c>
      <c r="H216" s="37">
        <f>IFERROR(IF(AND(ISNUMBER('SW Rev'!L11),ISNUMBER('SW Rev'!K11),'SW Rev'!K11&gt;0),'SW Rev'!L11/'SW Rev'!K11-1,""),"")</f>
        <v/>
      </c>
      <c r="I216" s="37">
        <f>IFERROR(IF(AND(ISNUMBER('SW Rev'!M11),ISNUMBER('SW Rev'!L11),'SW Rev'!L11&gt;0),'SW Rev'!M11/'SW Rev'!L11-1,""),"")</f>
        <v/>
      </c>
      <c r="J216" s="37">
        <f>IFERROR(IF(AND(ISNUMBER('SW Rev'!N11),ISNUMBER('SW Rev'!M11),'SW Rev'!M11&gt;0),'SW Rev'!N11/'SW Rev'!M11-1,""),"")</f>
        <v/>
      </c>
      <c r="K216" s="37">
        <f>IFERROR(IF(AND(ISNUMBER('SW Rev'!O11),ISNUMBER('SW Rev'!N11),'SW Rev'!N11&gt;0),'SW Rev'!O11/'SW Rev'!N11-1,""),"")</f>
        <v/>
      </c>
      <c r="L216" s="37">
        <f>IFERROR(IF(AND(ISNUMBER('SW Rev'!P11),ISNUMBER('SW Rev'!O11),'SW Rev'!O11&gt;0),'SW Rev'!P11/'SW Rev'!O11-1,""),"")</f>
        <v/>
      </c>
      <c r="M216" s="38">
        <f>IFERROR(IF(AND(ISNUMBER('SW Rev'!Q11),ISNUMBER('SW Rev'!P11),'SW Rev'!P11&gt;0),'SW Rev'!Q11/'SW Rev'!P11-1,""),"")</f>
        <v/>
      </c>
      <c r="N216" s="38">
        <f>IFERROR(IF(AND(ISNUMBER('SW Rev'!R11),ISNUMBER('SW Rev'!Q11),'SW Rev'!Q11&gt;0),'SW Rev'!R11/'SW Rev'!Q11-1,""),"")</f>
        <v/>
      </c>
    </row>
    <row r="217">
      <c r="A217" s="19">
        <f>'SW Rev'!$A12</f>
        <v/>
      </c>
      <c r="B217" s="19">
        <f>'SW Rev'!$B12</f>
        <v/>
      </c>
      <c r="C217" s="37">
        <f>IFERROR(IF(AND(ISNUMBER('SW Rev'!G12),ISNUMBER('SW Rev'!F12),'SW Rev'!F12&gt;0),'SW Rev'!G12/'SW Rev'!F12-1,""),"")</f>
        <v/>
      </c>
      <c r="D217" s="37">
        <f>IFERROR(IF(AND(ISNUMBER('SW Rev'!H12),ISNUMBER('SW Rev'!G12),'SW Rev'!G12&gt;0),'SW Rev'!H12/'SW Rev'!G12-1,""),"")</f>
        <v/>
      </c>
      <c r="E217" s="37">
        <f>IFERROR(IF(AND(ISNUMBER('SW Rev'!I12),ISNUMBER('SW Rev'!H12),'SW Rev'!H12&gt;0),'SW Rev'!I12/'SW Rev'!H12-1,""),"")</f>
        <v/>
      </c>
      <c r="F217" s="37">
        <f>IFERROR(IF(AND(ISNUMBER('SW Rev'!J12),ISNUMBER('SW Rev'!I12),'SW Rev'!I12&gt;0),'SW Rev'!J12/'SW Rev'!I12-1,""),"")</f>
        <v/>
      </c>
      <c r="G217" s="37">
        <f>IFERROR(IF(AND(ISNUMBER('SW Rev'!K12),ISNUMBER('SW Rev'!J12),'SW Rev'!J12&gt;0),'SW Rev'!K12/'SW Rev'!J12-1,""),"")</f>
        <v/>
      </c>
      <c r="H217" s="37">
        <f>IFERROR(IF(AND(ISNUMBER('SW Rev'!L12),ISNUMBER('SW Rev'!K12),'SW Rev'!K12&gt;0),'SW Rev'!L12/'SW Rev'!K12-1,""),"")</f>
        <v/>
      </c>
      <c r="I217" s="37">
        <f>IFERROR(IF(AND(ISNUMBER('SW Rev'!M12),ISNUMBER('SW Rev'!L12),'SW Rev'!L12&gt;0),'SW Rev'!M12/'SW Rev'!L12-1,""),"")</f>
        <v/>
      </c>
      <c r="J217" s="37">
        <f>IFERROR(IF(AND(ISNUMBER('SW Rev'!N12),ISNUMBER('SW Rev'!M12),'SW Rev'!M12&gt;0),'SW Rev'!N12/'SW Rev'!M12-1,""),"")</f>
        <v/>
      </c>
      <c r="K217" s="37">
        <f>IFERROR(IF(AND(ISNUMBER('SW Rev'!O12),ISNUMBER('SW Rev'!N12),'SW Rev'!N12&gt;0),'SW Rev'!O12/'SW Rev'!N12-1,""),"")</f>
        <v/>
      </c>
      <c r="L217" s="37">
        <f>IFERROR(IF(AND(ISNUMBER('SW Rev'!P12),ISNUMBER('SW Rev'!O12),'SW Rev'!O12&gt;0),'SW Rev'!P12/'SW Rev'!O12-1,""),"")</f>
        <v/>
      </c>
      <c r="M217" s="38">
        <f>IFERROR(IF(AND(ISNUMBER('SW Rev'!Q12),ISNUMBER('SW Rev'!P12),'SW Rev'!P12&gt;0),'SW Rev'!Q12/'SW Rev'!P12-1,""),"")</f>
        <v/>
      </c>
      <c r="N217" s="38">
        <f>IFERROR(IF(AND(ISNUMBER('SW Rev'!R12),ISNUMBER('SW Rev'!Q12),'SW Rev'!Q12&gt;0),'SW Rev'!R12/'SW Rev'!Q12-1,""),"")</f>
        <v/>
      </c>
    </row>
    <row r="218">
      <c r="A218" s="19">
        <f>'SW Rev'!$A13</f>
        <v/>
      </c>
      <c r="B218" s="19">
        <f>'SW Rev'!$B13</f>
        <v/>
      </c>
      <c r="C218" s="37">
        <f>IFERROR(IF(AND(ISNUMBER('SW Rev'!G13),ISNUMBER('SW Rev'!F13),'SW Rev'!F13&gt;0),'SW Rev'!G13/'SW Rev'!F13-1,""),"")</f>
        <v/>
      </c>
      <c r="D218" s="37">
        <f>IFERROR(IF(AND(ISNUMBER('SW Rev'!H13),ISNUMBER('SW Rev'!G13),'SW Rev'!G13&gt;0),'SW Rev'!H13/'SW Rev'!G13-1,""),"")</f>
        <v/>
      </c>
      <c r="E218" s="37">
        <f>IFERROR(IF(AND(ISNUMBER('SW Rev'!I13),ISNUMBER('SW Rev'!H13),'SW Rev'!H13&gt;0),'SW Rev'!I13/'SW Rev'!H13-1,""),"")</f>
        <v/>
      </c>
      <c r="F218" s="37">
        <f>IFERROR(IF(AND(ISNUMBER('SW Rev'!J13),ISNUMBER('SW Rev'!I13),'SW Rev'!I13&gt;0),'SW Rev'!J13/'SW Rev'!I13-1,""),"")</f>
        <v/>
      </c>
      <c r="G218" s="37">
        <f>IFERROR(IF(AND(ISNUMBER('SW Rev'!K13),ISNUMBER('SW Rev'!J13),'SW Rev'!J13&gt;0),'SW Rev'!K13/'SW Rev'!J13-1,""),"")</f>
        <v/>
      </c>
      <c r="H218" s="37">
        <f>IFERROR(IF(AND(ISNUMBER('SW Rev'!L13),ISNUMBER('SW Rev'!K13),'SW Rev'!K13&gt;0),'SW Rev'!L13/'SW Rev'!K13-1,""),"")</f>
        <v/>
      </c>
      <c r="I218" s="37">
        <f>IFERROR(IF(AND(ISNUMBER('SW Rev'!M13),ISNUMBER('SW Rev'!L13),'SW Rev'!L13&gt;0),'SW Rev'!M13/'SW Rev'!L13-1,""),"")</f>
        <v/>
      </c>
      <c r="J218" s="37">
        <f>IFERROR(IF(AND(ISNUMBER('SW Rev'!N13),ISNUMBER('SW Rev'!M13),'SW Rev'!M13&gt;0),'SW Rev'!N13/'SW Rev'!M13-1,""),"")</f>
        <v/>
      </c>
      <c r="K218" s="37">
        <f>IFERROR(IF(AND(ISNUMBER('SW Rev'!O13),ISNUMBER('SW Rev'!N13),'SW Rev'!N13&gt;0),'SW Rev'!O13/'SW Rev'!N13-1,""),"")</f>
        <v/>
      </c>
      <c r="L218" s="37">
        <f>IFERROR(IF(AND(ISNUMBER('SW Rev'!P13),ISNUMBER('SW Rev'!O13),'SW Rev'!O13&gt;0),'SW Rev'!P13/'SW Rev'!O13-1,""),"")</f>
        <v/>
      </c>
      <c r="M218" s="38">
        <f>IFERROR(IF(AND(ISNUMBER('SW Rev'!Q13),ISNUMBER('SW Rev'!P13),'SW Rev'!P13&gt;0),'SW Rev'!Q13/'SW Rev'!P13-1,""),"")</f>
        <v/>
      </c>
      <c r="N218" s="38">
        <f>IFERROR(IF(AND(ISNUMBER('SW Rev'!R13),ISNUMBER('SW Rev'!Q13),'SW Rev'!Q13&gt;0),'SW Rev'!R13/'SW Rev'!Q13-1,""),"")</f>
        <v/>
      </c>
    </row>
    <row r="219">
      <c r="A219" s="19">
        <f>'SW Rev'!$A14</f>
        <v/>
      </c>
      <c r="B219" s="19">
        <f>'SW Rev'!$B14</f>
        <v/>
      </c>
      <c r="C219" s="37">
        <f>IFERROR(IF(AND(ISNUMBER('SW Rev'!G14),ISNUMBER('SW Rev'!F14),'SW Rev'!F14&gt;0),'SW Rev'!G14/'SW Rev'!F14-1,""),"")</f>
        <v/>
      </c>
      <c r="D219" s="37">
        <f>IFERROR(IF(AND(ISNUMBER('SW Rev'!H14),ISNUMBER('SW Rev'!G14),'SW Rev'!G14&gt;0),'SW Rev'!H14/'SW Rev'!G14-1,""),"")</f>
        <v/>
      </c>
      <c r="E219" s="37">
        <f>IFERROR(IF(AND(ISNUMBER('SW Rev'!I14),ISNUMBER('SW Rev'!H14),'SW Rev'!H14&gt;0),'SW Rev'!I14/'SW Rev'!H14-1,""),"")</f>
        <v/>
      </c>
      <c r="F219" s="37">
        <f>IFERROR(IF(AND(ISNUMBER('SW Rev'!J14),ISNUMBER('SW Rev'!I14),'SW Rev'!I14&gt;0),'SW Rev'!J14/'SW Rev'!I14-1,""),"")</f>
        <v/>
      </c>
      <c r="G219" s="37">
        <f>IFERROR(IF(AND(ISNUMBER('SW Rev'!K14),ISNUMBER('SW Rev'!J14),'SW Rev'!J14&gt;0),'SW Rev'!K14/'SW Rev'!J14-1,""),"")</f>
        <v/>
      </c>
      <c r="H219" s="37">
        <f>IFERROR(IF(AND(ISNUMBER('SW Rev'!L14),ISNUMBER('SW Rev'!K14),'SW Rev'!K14&gt;0),'SW Rev'!L14/'SW Rev'!K14-1,""),"")</f>
        <v/>
      </c>
      <c r="I219" s="37">
        <f>IFERROR(IF(AND(ISNUMBER('SW Rev'!M14),ISNUMBER('SW Rev'!L14),'SW Rev'!L14&gt;0),'SW Rev'!M14/'SW Rev'!L14-1,""),"")</f>
        <v/>
      </c>
      <c r="J219" s="37">
        <f>IFERROR(IF(AND(ISNUMBER('SW Rev'!N14),ISNUMBER('SW Rev'!M14),'SW Rev'!M14&gt;0),'SW Rev'!N14/'SW Rev'!M14-1,""),"")</f>
        <v/>
      </c>
      <c r="K219" s="37">
        <f>IFERROR(IF(AND(ISNUMBER('SW Rev'!O14),ISNUMBER('SW Rev'!N14),'SW Rev'!N14&gt;0),'SW Rev'!O14/'SW Rev'!N14-1,""),"")</f>
        <v/>
      </c>
      <c r="L219" s="37">
        <f>IFERROR(IF(AND(ISNUMBER('SW Rev'!P14),ISNUMBER('SW Rev'!O14),'SW Rev'!O14&gt;0),'SW Rev'!P14/'SW Rev'!O14-1,""),"")</f>
        <v/>
      </c>
      <c r="M219" s="38">
        <f>IFERROR(IF(AND(ISNUMBER('SW Rev'!Q14),ISNUMBER('SW Rev'!P14),'SW Rev'!P14&gt;0),'SW Rev'!Q14/'SW Rev'!P14-1,""),"")</f>
        <v/>
      </c>
      <c r="N219" s="38">
        <f>IFERROR(IF(AND(ISNUMBER('SW Rev'!R14),ISNUMBER('SW Rev'!Q14),'SW Rev'!Q14&gt;0),'SW Rev'!R14/'SW Rev'!Q14-1,""),"")</f>
        <v/>
      </c>
    </row>
    <row r="220">
      <c r="A220" s="19">
        <f>'SW Rev'!$A15</f>
        <v/>
      </c>
      <c r="B220" s="19">
        <f>'SW Rev'!$B15</f>
        <v/>
      </c>
      <c r="C220" s="37">
        <f>IFERROR(IF(AND(ISNUMBER('SW Rev'!G15),ISNUMBER('SW Rev'!F15),'SW Rev'!F15&gt;0),'SW Rev'!G15/'SW Rev'!F15-1,""),"")</f>
        <v/>
      </c>
      <c r="D220" s="37">
        <f>IFERROR(IF(AND(ISNUMBER('SW Rev'!H15),ISNUMBER('SW Rev'!G15),'SW Rev'!G15&gt;0),'SW Rev'!H15/'SW Rev'!G15-1,""),"")</f>
        <v/>
      </c>
      <c r="E220" s="37">
        <f>IFERROR(IF(AND(ISNUMBER('SW Rev'!I15),ISNUMBER('SW Rev'!H15),'SW Rev'!H15&gt;0),'SW Rev'!I15/'SW Rev'!H15-1,""),"")</f>
        <v/>
      </c>
      <c r="F220" s="37">
        <f>IFERROR(IF(AND(ISNUMBER('SW Rev'!J15),ISNUMBER('SW Rev'!I15),'SW Rev'!I15&gt;0),'SW Rev'!J15/'SW Rev'!I15-1,""),"")</f>
        <v/>
      </c>
      <c r="G220" s="37">
        <f>IFERROR(IF(AND(ISNUMBER('SW Rev'!K15),ISNUMBER('SW Rev'!J15),'SW Rev'!J15&gt;0),'SW Rev'!K15/'SW Rev'!J15-1,""),"")</f>
        <v/>
      </c>
      <c r="H220" s="37">
        <f>IFERROR(IF(AND(ISNUMBER('SW Rev'!L15),ISNUMBER('SW Rev'!K15),'SW Rev'!K15&gt;0),'SW Rev'!L15/'SW Rev'!K15-1,""),"")</f>
        <v/>
      </c>
      <c r="I220" s="37">
        <f>IFERROR(IF(AND(ISNUMBER('SW Rev'!M15),ISNUMBER('SW Rev'!L15),'SW Rev'!L15&gt;0),'SW Rev'!M15/'SW Rev'!L15-1,""),"")</f>
        <v/>
      </c>
      <c r="J220" s="37">
        <f>IFERROR(IF(AND(ISNUMBER('SW Rev'!N15),ISNUMBER('SW Rev'!M15),'SW Rev'!M15&gt;0),'SW Rev'!N15/'SW Rev'!M15-1,""),"")</f>
        <v/>
      </c>
      <c r="K220" s="37">
        <f>IFERROR(IF(AND(ISNUMBER('SW Rev'!O15),ISNUMBER('SW Rev'!N15),'SW Rev'!N15&gt;0),'SW Rev'!O15/'SW Rev'!N15-1,""),"")</f>
        <v/>
      </c>
      <c r="L220" s="37">
        <f>IFERROR(IF(AND(ISNUMBER('SW Rev'!P15),ISNUMBER('SW Rev'!O15),'SW Rev'!O15&gt;0),'SW Rev'!P15/'SW Rev'!O15-1,""),"")</f>
        <v/>
      </c>
      <c r="M220" s="38">
        <f>IFERROR(IF(AND(ISNUMBER('SW Rev'!Q15),ISNUMBER('SW Rev'!P15),'SW Rev'!P15&gt;0),'SW Rev'!Q15/'SW Rev'!P15-1,""),"")</f>
        <v/>
      </c>
      <c r="N220" s="38">
        <f>IFERROR(IF(AND(ISNUMBER('SW Rev'!R15),ISNUMBER('SW Rev'!Q15),'SW Rev'!Q15&gt;0),'SW Rev'!R15/'SW Rev'!Q15-1,""),"")</f>
        <v/>
      </c>
    </row>
    <row r="221">
      <c r="A221" s="19">
        <f>'SW Rev'!$A16</f>
        <v/>
      </c>
      <c r="B221" s="19">
        <f>'SW Rev'!$B16</f>
        <v/>
      </c>
      <c r="C221" s="37">
        <f>IFERROR(IF(AND(ISNUMBER('SW Rev'!G16),ISNUMBER('SW Rev'!F16),'SW Rev'!F16&gt;0),'SW Rev'!G16/'SW Rev'!F16-1,""),"")</f>
        <v/>
      </c>
      <c r="D221" s="37">
        <f>IFERROR(IF(AND(ISNUMBER('SW Rev'!H16),ISNUMBER('SW Rev'!G16),'SW Rev'!G16&gt;0),'SW Rev'!H16/'SW Rev'!G16-1,""),"")</f>
        <v/>
      </c>
      <c r="E221" s="37">
        <f>IFERROR(IF(AND(ISNUMBER('SW Rev'!I16),ISNUMBER('SW Rev'!H16),'SW Rev'!H16&gt;0),'SW Rev'!I16/'SW Rev'!H16-1,""),"")</f>
        <v/>
      </c>
      <c r="F221" s="37">
        <f>IFERROR(IF(AND(ISNUMBER('SW Rev'!J16),ISNUMBER('SW Rev'!I16),'SW Rev'!I16&gt;0),'SW Rev'!J16/'SW Rev'!I16-1,""),"")</f>
        <v/>
      </c>
      <c r="G221" s="37">
        <f>IFERROR(IF(AND(ISNUMBER('SW Rev'!K16),ISNUMBER('SW Rev'!J16),'SW Rev'!J16&gt;0),'SW Rev'!K16/'SW Rev'!J16-1,""),"")</f>
        <v/>
      </c>
      <c r="H221" s="37">
        <f>IFERROR(IF(AND(ISNUMBER('SW Rev'!L16),ISNUMBER('SW Rev'!K16),'SW Rev'!K16&gt;0),'SW Rev'!L16/'SW Rev'!K16-1,""),"")</f>
        <v/>
      </c>
      <c r="I221" s="37">
        <f>IFERROR(IF(AND(ISNUMBER('SW Rev'!M16),ISNUMBER('SW Rev'!L16),'SW Rev'!L16&gt;0),'SW Rev'!M16/'SW Rev'!L16-1,""),"")</f>
        <v/>
      </c>
      <c r="J221" s="37">
        <f>IFERROR(IF(AND(ISNUMBER('SW Rev'!N16),ISNUMBER('SW Rev'!M16),'SW Rev'!M16&gt;0),'SW Rev'!N16/'SW Rev'!M16-1,""),"")</f>
        <v/>
      </c>
      <c r="K221" s="37">
        <f>IFERROR(IF(AND(ISNUMBER('SW Rev'!O16),ISNUMBER('SW Rev'!N16),'SW Rev'!N16&gt;0),'SW Rev'!O16/'SW Rev'!N16-1,""),"")</f>
        <v/>
      </c>
      <c r="L221" s="37">
        <f>IFERROR(IF(AND(ISNUMBER('SW Rev'!P16),ISNUMBER('SW Rev'!O16),'SW Rev'!O16&gt;0),'SW Rev'!P16/'SW Rev'!O16-1,""),"")</f>
        <v/>
      </c>
      <c r="M221" s="38">
        <f>IFERROR(IF(AND(ISNUMBER('SW Rev'!Q16),ISNUMBER('SW Rev'!P16),'SW Rev'!P16&gt;0),'SW Rev'!Q16/'SW Rev'!P16-1,""),"")</f>
        <v/>
      </c>
      <c r="N221" s="38">
        <f>IFERROR(IF(AND(ISNUMBER('SW Rev'!R16),ISNUMBER('SW Rev'!Q16),'SW Rev'!Q16&gt;0),'SW Rev'!R16/'SW Rev'!Q16-1,""),"")</f>
        <v/>
      </c>
    </row>
    <row r="222">
      <c r="A222" s="19">
        <f>'SW Rev'!$A17</f>
        <v/>
      </c>
      <c r="B222" s="19">
        <f>'SW Rev'!$B17</f>
        <v/>
      </c>
      <c r="C222" s="37">
        <f>IFERROR(IF(AND(ISNUMBER('SW Rev'!G17),ISNUMBER('SW Rev'!F17),'SW Rev'!F17&gt;0),'SW Rev'!G17/'SW Rev'!F17-1,""),"")</f>
        <v/>
      </c>
      <c r="D222" s="37">
        <f>IFERROR(IF(AND(ISNUMBER('SW Rev'!H17),ISNUMBER('SW Rev'!G17),'SW Rev'!G17&gt;0),'SW Rev'!H17/'SW Rev'!G17-1,""),"")</f>
        <v/>
      </c>
      <c r="E222" s="37">
        <f>IFERROR(IF(AND(ISNUMBER('SW Rev'!I17),ISNUMBER('SW Rev'!H17),'SW Rev'!H17&gt;0),'SW Rev'!I17/'SW Rev'!H17-1,""),"")</f>
        <v/>
      </c>
      <c r="F222" s="37">
        <f>IFERROR(IF(AND(ISNUMBER('SW Rev'!J17),ISNUMBER('SW Rev'!I17),'SW Rev'!I17&gt;0),'SW Rev'!J17/'SW Rev'!I17-1,""),"")</f>
        <v/>
      </c>
      <c r="G222" s="37">
        <f>IFERROR(IF(AND(ISNUMBER('SW Rev'!K17),ISNUMBER('SW Rev'!J17),'SW Rev'!J17&gt;0),'SW Rev'!K17/'SW Rev'!J17-1,""),"")</f>
        <v/>
      </c>
      <c r="H222" s="37">
        <f>IFERROR(IF(AND(ISNUMBER('SW Rev'!L17),ISNUMBER('SW Rev'!K17),'SW Rev'!K17&gt;0),'SW Rev'!L17/'SW Rev'!K17-1,""),"")</f>
        <v/>
      </c>
      <c r="I222" s="37">
        <f>IFERROR(IF(AND(ISNUMBER('SW Rev'!M17),ISNUMBER('SW Rev'!L17),'SW Rev'!L17&gt;0),'SW Rev'!M17/'SW Rev'!L17-1,""),"")</f>
        <v/>
      </c>
      <c r="J222" s="37">
        <f>IFERROR(IF(AND(ISNUMBER('SW Rev'!N17),ISNUMBER('SW Rev'!M17),'SW Rev'!M17&gt;0),'SW Rev'!N17/'SW Rev'!M17-1,""),"")</f>
        <v/>
      </c>
      <c r="K222" s="37">
        <f>IFERROR(IF(AND(ISNUMBER('SW Rev'!O17),ISNUMBER('SW Rev'!N17),'SW Rev'!N17&gt;0),'SW Rev'!O17/'SW Rev'!N17-1,""),"")</f>
        <v/>
      </c>
      <c r="L222" s="37">
        <f>IFERROR(IF(AND(ISNUMBER('SW Rev'!P17),ISNUMBER('SW Rev'!O17),'SW Rev'!O17&gt;0),'SW Rev'!P17/'SW Rev'!O17-1,""),"")</f>
        <v/>
      </c>
      <c r="M222" s="38">
        <f>IFERROR(IF(AND(ISNUMBER('SW Rev'!Q17),ISNUMBER('SW Rev'!P17),'SW Rev'!P17&gt;0),'SW Rev'!Q17/'SW Rev'!P17-1,""),"")</f>
        <v/>
      </c>
      <c r="N222" s="38">
        <f>IFERROR(IF(AND(ISNUMBER('SW Rev'!R17),ISNUMBER('SW Rev'!Q17),'SW Rev'!Q17&gt;0),'SW Rev'!R17/'SW Rev'!Q17-1,""),"")</f>
        <v/>
      </c>
    </row>
    <row r="223">
      <c r="A223" s="19">
        <f>'SW Rev'!$A18</f>
        <v/>
      </c>
      <c r="B223" s="19">
        <f>'SW Rev'!$B18</f>
        <v/>
      </c>
      <c r="C223" s="37">
        <f>IFERROR(IF(AND(ISNUMBER('SW Rev'!G18),ISNUMBER('SW Rev'!F18),'SW Rev'!F18&gt;0),'SW Rev'!G18/'SW Rev'!F18-1,""),"")</f>
        <v/>
      </c>
      <c r="D223" s="37">
        <f>IFERROR(IF(AND(ISNUMBER('SW Rev'!H18),ISNUMBER('SW Rev'!G18),'SW Rev'!G18&gt;0),'SW Rev'!H18/'SW Rev'!G18-1,""),"")</f>
        <v/>
      </c>
      <c r="E223" s="37">
        <f>IFERROR(IF(AND(ISNUMBER('SW Rev'!I18),ISNUMBER('SW Rev'!H18),'SW Rev'!H18&gt;0),'SW Rev'!I18/'SW Rev'!H18-1,""),"")</f>
        <v/>
      </c>
      <c r="F223" s="37">
        <f>IFERROR(IF(AND(ISNUMBER('SW Rev'!J18),ISNUMBER('SW Rev'!I18),'SW Rev'!I18&gt;0),'SW Rev'!J18/'SW Rev'!I18-1,""),"")</f>
        <v/>
      </c>
      <c r="G223" s="37">
        <f>IFERROR(IF(AND(ISNUMBER('SW Rev'!K18),ISNUMBER('SW Rev'!J18),'SW Rev'!J18&gt;0),'SW Rev'!K18/'SW Rev'!J18-1,""),"")</f>
        <v/>
      </c>
      <c r="H223" s="37">
        <f>IFERROR(IF(AND(ISNUMBER('SW Rev'!L18),ISNUMBER('SW Rev'!K18),'SW Rev'!K18&gt;0),'SW Rev'!L18/'SW Rev'!K18-1,""),"")</f>
        <v/>
      </c>
      <c r="I223" s="37">
        <f>IFERROR(IF(AND(ISNUMBER('SW Rev'!M18),ISNUMBER('SW Rev'!L18),'SW Rev'!L18&gt;0),'SW Rev'!M18/'SW Rev'!L18-1,""),"")</f>
        <v/>
      </c>
      <c r="J223" s="37">
        <f>IFERROR(IF(AND(ISNUMBER('SW Rev'!N18),ISNUMBER('SW Rev'!M18),'SW Rev'!M18&gt;0),'SW Rev'!N18/'SW Rev'!M18-1,""),"")</f>
        <v/>
      </c>
      <c r="K223" s="37">
        <f>IFERROR(IF(AND(ISNUMBER('SW Rev'!O18),ISNUMBER('SW Rev'!N18),'SW Rev'!N18&gt;0),'SW Rev'!O18/'SW Rev'!N18-1,""),"")</f>
        <v/>
      </c>
      <c r="L223" s="37">
        <f>IFERROR(IF(AND(ISNUMBER('SW Rev'!P18),ISNUMBER('SW Rev'!O18),'SW Rev'!O18&gt;0),'SW Rev'!P18/'SW Rev'!O18-1,""),"")</f>
        <v/>
      </c>
      <c r="M223" s="38">
        <f>IFERROR(IF(AND(ISNUMBER('SW Rev'!Q18),ISNUMBER('SW Rev'!P18),'SW Rev'!P18&gt;0),'SW Rev'!Q18/'SW Rev'!P18-1,""),"")</f>
        <v/>
      </c>
      <c r="N223" s="38">
        <f>IFERROR(IF(AND(ISNUMBER('SW Rev'!R18),ISNUMBER('SW Rev'!Q18),'SW Rev'!Q18&gt;0),'SW Rev'!R18/'SW Rev'!Q18-1,""),"")</f>
        <v/>
      </c>
    </row>
    <row r="224">
      <c r="A224" s="19">
        <f>'SW Rev'!$A19</f>
        <v/>
      </c>
      <c r="B224" s="19">
        <f>'SW Rev'!$B19</f>
        <v/>
      </c>
      <c r="C224" s="37">
        <f>IFERROR(IF(AND(ISNUMBER('SW Rev'!G19),ISNUMBER('SW Rev'!F19),'SW Rev'!F19&gt;0),'SW Rev'!G19/'SW Rev'!F19-1,""),"")</f>
        <v/>
      </c>
      <c r="D224" s="37">
        <f>IFERROR(IF(AND(ISNUMBER('SW Rev'!H19),ISNUMBER('SW Rev'!G19),'SW Rev'!G19&gt;0),'SW Rev'!H19/'SW Rev'!G19-1,""),"")</f>
        <v/>
      </c>
      <c r="E224" s="37">
        <f>IFERROR(IF(AND(ISNUMBER('SW Rev'!I19),ISNUMBER('SW Rev'!H19),'SW Rev'!H19&gt;0),'SW Rev'!I19/'SW Rev'!H19-1,""),"")</f>
        <v/>
      </c>
      <c r="F224" s="37">
        <f>IFERROR(IF(AND(ISNUMBER('SW Rev'!J19),ISNUMBER('SW Rev'!I19),'SW Rev'!I19&gt;0),'SW Rev'!J19/'SW Rev'!I19-1,""),"")</f>
        <v/>
      </c>
      <c r="G224" s="37">
        <f>IFERROR(IF(AND(ISNUMBER('SW Rev'!K19),ISNUMBER('SW Rev'!J19),'SW Rev'!J19&gt;0),'SW Rev'!K19/'SW Rev'!J19-1,""),"")</f>
        <v/>
      </c>
      <c r="H224" s="37">
        <f>IFERROR(IF(AND(ISNUMBER('SW Rev'!L19),ISNUMBER('SW Rev'!K19),'SW Rev'!K19&gt;0),'SW Rev'!L19/'SW Rev'!K19-1,""),"")</f>
        <v/>
      </c>
      <c r="I224" s="37">
        <f>IFERROR(IF(AND(ISNUMBER('SW Rev'!M19),ISNUMBER('SW Rev'!L19),'SW Rev'!L19&gt;0),'SW Rev'!M19/'SW Rev'!L19-1,""),"")</f>
        <v/>
      </c>
      <c r="J224" s="37">
        <f>IFERROR(IF(AND(ISNUMBER('SW Rev'!N19),ISNUMBER('SW Rev'!M19),'SW Rev'!M19&gt;0),'SW Rev'!N19/'SW Rev'!M19-1,""),"")</f>
        <v/>
      </c>
      <c r="K224" s="37">
        <f>IFERROR(IF(AND(ISNUMBER('SW Rev'!O19),ISNUMBER('SW Rev'!N19),'SW Rev'!N19&gt;0),'SW Rev'!O19/'SW Rev'!N19-1,""),"")</f>
        <v/>
      </c>
      <c r="L224" s="37">
        <f>IFERROR(IF(AND(ISNUMBER('SW Rev'!P19),ISNUMBER('SW Rev'!O19),'SW Rev'!O19&gt;0),'SW Rev'!P19/'SW Rev'!O19-1,""),"")</f>
        <v/>
      </c>
      <c r="M224" s="38">
        <f>IFERROR(IF(AND(ISNUMBER('SW Rev'!Q19),ISNUMBER('SW Rev'!P19),'SW Rev'!P19&gt;0),'SW Rev'!Q19/'SW Rev'!P19-1,""),"")</f>
        <v/>
      </c>
      <c r="N224" s="38">
        <f>IFERROR(IF(AND(ISNUMBER('SW Rev'!R19),ISNUMBER('SW Rev'!Q19),'SW Rev'!Q19&gt;0),'SW Rev'!R19/'SW Rev'!Q19-1,""),"")</f>
        <v/>
      </c>
    </row>
    <row r="225">
      <c r="A225" s="19">
        <f>'SW Rev'!$A20</f>
        <v/>
      </c>
      <c r="B225" s="19">
        <f>'SW Rev'!$B20</f>
        <v/>
      </c>
      <c r="C225" s="37">
        <f>IFERROR(IF(AND(ISNUMBER('SW Rev'!G20),ISNUMBER('SW Rev'!F20),'SW Rev'!F20&gt;0),'SW Rev'!G20/'SW Rev'!F20-1,""),"")</f>
        <v/>
      </c>
      <c r="D225" s="37">
        <f>IFERROR(IF(AND(ISNUMBER('SW Rev'!H20),ISNUMBER('SW Rev'!G20),'SW Rev'!G20&gt;0),'SW Rev'!H20/'SW Rev'!G20-1,""),"")</f>
        <v/>
      </c>
      <c r="E225" s="37">
        <f>IFERROR(IF(AND(ISNUMBER('SW Rev'!I20),ISNUMBER('SW Rev'!H20),'SW Rev'!H20&gt;0),'SW Rev'!I20/'SW Rev'!H20-1,""),"")</f>
        <v/>
      </c>
      <c r="F225" s="37">
        <f>IFERROR(IF(AND(ISNUMBER('SW Rev'!J20),ISNUMBER('SW Rev'!I20),'SW Rev'!I20&gt;0),'SW Rev'!J20/'SW Rev'!I20-1,""),"")</f>
        <v/>
      </c>
      <c r="G225" s="37">
        <f>IFERROR(IF(AND(ISNUMBER('SW Rev'!K20),ISNUMBER('SW Rev'!J20),'SW Rev'!J20&gt;0),'SW Rev'!K20/'SW Rev'!J20-1,""),"")</f>
        <v/>
      </c>
      <c r="H225" s="37">
        <f>IFERROR(IF(AND(ISNUMBER('SW Rev'!L20),ISNUMBER('SW Rev'!K20),'SW Rev'!K20&gt;0),'SW Rev'!L20/'SW Rev'!K20-1,""),"")</f>
        <v/>
      </c>
      <c r="I225" s="37">
        <f>IFERROR(IF(AND(ISNUMBER('SW Rev'!M20),ISNUMBER('SW Rev'!L20),'SW Rev'!L20&gt;0),'SW Rev'!M20/'SW Rev'!L20-1,""),"")</f>
        <v/>
      </c>
      <c r="J225" s="37">
        <f>IFERROR(IF(AND(ISNUMBER('SW Rev'!N20),ISNUMBER('SW Rev'!M20),'SW Rev'!M20&gt;0),'SW Rev'!N20/'SW Rev'!M20-1,""),"")</f>
        <v/>
      </c>
      <c r="K225" s="37">
        <f>IFERROR(IF(AND(ISNUMBER('SW Rev'!O20),ISNUMBER('SW Rev'!N20),'SW Rev'!N20&gt;0),'SW Rev'!O20/'SW Rev'!N20-1,""),"")</f>
        <v/>
      </c>
      <c r="L225" s="37">
        <f>IFERROR(IF(AND(ISNUMBER('SW Rev'!P20),ISNUMBER('SW Rev'!O20),'SW Rev'!O20&gt;0),'SW Rev'!P20/'SW Rev'!O20-1,""),"")</f>
        <v/>
      </c>
      <c r="M225" s="38">
        <f>IFERROR(IF(AND(ISNUMBER('SW Rev'!Q20),ISNUMBER('SW Rev'!P20),'SW Rev'!P20&gt;0),'SW Rev'!Q20/'SW Rev'!P20-1,""),"")</f>
        <v/>
      </c>
      <c r="N225" s="38">
        <f>IFERROR(IF(AND(ISNUMBER('SW Rev'!R20),ISNUMBER('SW Rev'!Q20),'SW Rev'!Q20&gt;0),'SW Rev'!R20/'SW Rev'!Q20-1,""),"")</f>
        <v/>
      </c>
    </row>
    <row r="226">
      <c r="A226" s="19">
        <f>'SW Rev'!$A21</f>
        <v/>
      </c>
      <c r="B226" s="19">
        <f>'SW Rev'!$B21</f>
        <v/>
      </c>
      <c r="C226" s="37">
        <f>IFERROR(IF(AND(ISNUMBER('SW Rev'!G21),ISNUMBER('SW Rev'!F21),'SW Rev'!F21&gt;0),'SW Rev'!G21/'SW Rev'!F21-1,""),"")</f>
        <v/>
      </c>
      <c r="D226" s="37">
        <f>IFERROR(IF(AND(ISNUMBER('SW Rev'!H21),ISNUMBER('SW Rev'!G21),'SW Rev'!G21&gt;0),'SW Rev'!H21/'SW Rev'!G21-1,""),"")</f>
        <v/>
      </c>
      <c r="E226" s="37">
        <f>IFERROR(IF(AND(ISNUMBER('SW Rev'!I21),ISNUMBER('SW Rev'!H21),'SW Rev'!H21&gt;0),'SW Rev'!I21/'SW Rev'!H21-1,""),"")</f>
        <v/>
      </c>
      <c r="F226" s="37">
        <f>IFERROR(IF(AND(ISNUMBER('SW Rev'!J21),ISNUMBER('SW Rev'!I21),'SW Rev'!I21&gt;0),'SW Rev'!J21/'SW Rev'!I21-1,""),"")</f>
        <v/>
      </c>
      <c r="G226" s="37">
        <f>IFERROR(IF(AND(ISNUMBER('SW Rev'!K21),ISNUMBER('SW Rev'!J21),'SW Rev'!J21&gt;0),'SW Rev'!K21/'SW Rev'!J21-1,""),"")</f>
        <v/>
      </c>
      <c r="H226" s="37">
        <f>IFERROR(IF(AND(ISNUMBER('SW Rev'!L21),ISNUMBER('SW Rev'!K21),'SW Rev'!K21&gt;0),'SW Rev'!L21/'SW Rev'!K21-1,""),"")</f>
        <v/>
      </c>
      <c r="I226" s="37">
        <f>IFERROR(IF(AND(ISNUMBER('SW Rev'!M21),ISNUMBER('SW Rev'!L21),'SW Rev'!L21&gt;0),'SW Rev'!M21/'SW Rev'!L21-1,""),"")</f>
        <v/>
      </c>
      <c r="J226" s="37">
        <f>IFERROR(IF(AND(ISNUMBER('SW Rev'!N21),ISNUMBER('SW Rev'!M21),'SW Rev'!M21&gt;0),'SW Rev'!N21/'SW Rev'!M21-1,""),"")</f>
        <v/>
      </c>
      <c r="K226" s="37">
        <f>IFERROR(IF(AND(ISNUMBER('SW Rev'!O21),ISNUMBER('SW Rev'!N21),'SW Rev'!N21&gt;0),'SW Rev'!O21/'SW Rev'!N21-1,""),"")</f>
        <v/>
      </c>
      <c r="L226" s="37">
        <f>IFERROR(IF(AND(ISNUMBER('SW Rev'!P21),ISNUMBER('SW Rev'!O21),'SW Rev'!O21&gt;0),'SW Rev'!P21/'SW Rev'!O21-1,""),"")</f>
        <v/>
      </c>
      <c r="M226" s="38">
        <f>IFERROR(IF(AND(ISNUMBER('SW Rev'!Q21),ISNUMBER('SW Rev'!P21),'SW Rev'!P21&gt;0),'SW Rev'!Q21/'SW Rev'!P21-1,""),"")</f>
        <v/>
      </c>
      <c r="N226" s="38">
        <f>IFERROR(IF(AND(ISNUMBER('SW Rev'!R21),ISNUMBER('SW Rev'!Q21),'SW Rev'!Q21&gt;0),'SW Rev'!R21/'SW Rev'!Q21-1,""),"")</f>
        <v/>
      </c>
    </row>
    <row r="227">
      <c r="A227" s="19">
        <f>'SW Rev'!$A22</f>
        <v/>
      </c>
      <c r="B227" s="19">
        <f>'SW Rev'!$B22</f>
        <v/>
      </c>
      <c r="C227" s="37">
        <f>IFERROR(IF(AND(ISNUMBER('SW Rev'!G22),ISNUMBER('SW Rev'!F22),'SW Rev'!F22&gt;0),'SW Rev'!G22/'SW Rev'!F22-1,""),"")</f>
        <v/>
      </c>
      <c r="D227" s="37">
        <f>IFERROR(IF(AND(ISNUMBER('SW Rev'!H22),ISNUMBER('SW Rev'!G22),'SW Rev'!G22&gt;0),'SW Rev'!H22/'SW Rev'!G22-1,""),"")</f>
        <v/>
      </c>
      <c r="E227" s="37">
        <f>IFERROR(IF(AND(ISNUMBER('SW Rev'!I22),ISNUMBER('SW Rev'!H22),'SW Rev'!H22&gt;0),'SW Rev'!I22/'SW Rev'!H22-1,""),"")</f>
        <v/>
      </c>
      <c r="F227" s="37">
        <f>IFERROR(IF(AND(ISNUMBER('SW Rev'!J22),ISNUMBER('SW Rev'!I22),'SW Rev'!I22&gt;0),'SW Rev'!J22/'SW Rev'!I22-1,""),"")</f>
        <v/>
      </c>
      <c r="G227" s="37">
        <f>IFERROR(IF(AND(ISNUMBER('SW Rev'!K22),ISNUMBER('SW Rev'!J22),'SW Rev'!J22&gt;0),'SW Rev'!K22/'SW Rev'!J22-1,""),"")</f>
        <v/>
      </c>
      <c r="H227" s="37">
        <f>IFERROR(IF(AND(ISNUMBER('SW Rev'!L22),ISNUMBER('SW Rev'!K22),'SW Rev'!K22&gt;0),'SW Rev'!L22/'SW Rev'!K22-1,""),"")</f>
        <v/>
      </c>
      <c r="I227" s="37">
        <f>IFERROR(IF(AND(ISNUMBER('SW Rev'!M22),ISNUMBER('SW Rev'!L22),'SW Rev'!L22&gt;0),'SW Rev'!M22/'SW Rev'!L22-1,""),"")</f>
        <v/>
      </c>
      <c r="J227" s="37">
        <f>IFERROR(IF(AND(ISNUMBER('SW Rev'!N22),ISNUMBER('SW Rev'!M22),'SW Rev'!M22&gt;0),'SW Rev'!N22/'SW Rev'!M22-1,""),"")</f>
        <v/>
      </c>
      <c r="K227" s="37">
        <f>IFERROR(IF(AND(ISNUMBER('SW Rev'!O22),ISNUMBER('SW Rev'!N22),'SW Rev'!N22&gt;0),'SW Rev'!O22/'SW Rev'!N22-1,""),"")</f>
        <v/>
      </c>
      <c r="L227" s="37">
        <f>IFERROR(IF(AND(ISNUMBER('SW Rev'!P22),ISNUMBER('SW Rev'!O22),'SW Rev'!O22&gt;0),'SW Rev'!P22/'SW Rev'!O22-1,""),"")</f>
        <v/>
      </c>
      <c r="M227" s="38">
        <f>IFERROR(IF(AND(ISNUMBER('SW Rev'!Q22),ISNUMBER('SW Rev'!P22),'SW Rev'!P22&gt;0),'SW Rev'!Q22/'SW Rev'!P22-1,""),"")</f>
        <v/>
      </c>
      <c r="N227" s="38">
        <f>IFERROR(IF(AND(ISNUMBER('SW Rev'!R22),ISNUMBER('SW Rev'!Q22),'SW Rev'!Q22&gt;0),'SW Rev'!R22/'SW Rev'!Q22-1,""),"")</f>
        <v/>
      </c>
    </row>
    <row r="228">
      <c r="A228" s="19">
        <f>'SW Rev'!$A23</f>
        <v/>
      </c>
      <c r="B228" s="19">
        <f>'SW Rev'!$B23</f>
        <v/>
      </c>
      <c r="C228" s="37">
        <f>IFERROR(IF(AND(ISNUMBER('SW Rev'!G23),ISNUMBER('SW Rev'!F23),'SW Rev'!F23&gt;0),'SW Rev'!G23/'SW Rev'!F23-1,""),"")</f>
        <v/>
      </c>
      <c r="D228" s="37">
        <f>IFERROR(IF(AND(ISNUMBER('SW Rev'!H23),ISNUMBER('SW Rev'!G23),'SW Rev'!G23&gt;0),'SW Rev'!H23/'SW Rev'!G23-1,""),"")</f>
        <v/>
      </c>
      <c r="E228" s="37">
        <f>IFERROR(IF(AND(ISNUMBER('SW Rev'!I23),ISNUMBER('SW Rev'!H23),'SW Rev'!H23&gt;0),'SW Rev'!I23/'SW Rev'!H23-1,""),"")</f>
        <v/>
      </c>
      <c r="F228" s="37">
        <f>IFERROR(IF(AND(ISNUMBER('SW Rev'!J23),ISNUMBER('SW Rev'!I23),'SW Rev'!I23&gt;0),'SW Rev'!J23/'SW Rev'!I23-1,""),"")</f>
        <v/>
      </c>
      <c r="G228" s="37">
        <f>IFERROR(IF(AND(ISNUMBER('SW Rev'!K23),ISNUMBER('SW Rev'!J23),'SW Rev'!J23&gt;0),'SW Rev'!K23/'SW Rev'!J23-1,""),"")</f>
        <v/>
      </c>
      <c r="H228" s="37">
        <f>IFERROR(IF(AND(ISNUMBER('SW Rev'!L23),ISNUMBER('SW Rev'!K23),'SW Rev'!K23&gt;0),'SW Rev'!L23/'SW Rev'!K23-1,""),"")</f>
        <v/>
      </c>
      <c r="I228" s="37">
        <f>IFERROR(IF(AND(ISNUMBER('SW Rev'!M23),ISNUMBER('SW Rev'!L23),'SW Rev'!L23&gt;0),'SW Rev'!M23/'SW Rev'!L23-1,""),"")</f>
        <v/>
      </c>
      <c r="J228" s="37">
        <f>IFERROR(IF(AND(ISNUMBER('SW Rev'!N23),ISNUMBER('SW Rev'!M23),'SW Rev'!M23&gt;0),'SW Rev'!N23/'SW Rev'!M23-1,""),"")</f>
        <v/>
      </c>
      <c r="K228" s="37">
        <f>IFERROR(IF(AND(ISNUMBER('SW Rev'!O23),ISNUMBER('SW Rev'!N23),'SW Rev'!N23&gt;0),'SW Rev'!O23/'SW Rev'!N23-1,""),"")</f>
        <v/>
      </c>
      <c r="L228" s="37">
        <f>IFERROR(IF(AND(ISNUMBER('SW Rev'!P23),ISNUMBER('SW Rev'!O23),'SW Rev'!O23&gt;0),'SW Rev'!P23/'SW Rev'!O23-1,""),"")</f>
        <v/>
      </c>
      <c r="M228" s="38">
        <f>IFERROR(IF(AND(ISNUMBER('SW Rev'!Q23),ISNUMBER('SW Rev'!P23),'SW Rev'!P23&gt;0),'SW Rev'!Q23/'SW Rev'!P23-1,""),"")</f>
        <v/>
      </c>
      <c r="N228" s="38">
        <f>IFERROR(IF(AND(ISNUMBER('SW Rev'!R23),ISNUMBER('SW Rev'!Q23),'SW Rev'!Q23&gt;0),'SW Rev'!R23/'SW Rev'!Q23-1,""),"")</f>
        <v/>
      </c>
    </row>
    <row r="229">
      <c r="A229" s="19">
        <f>'SW Rev'!$A24</f>
        <v/>
      </c>
      <c r="B229" s="19">
        <f>'SW Rev'!$B24</f>
        <v/>
      </c>
      <c r="C229" s="37">
        <f>IFERROR(IF(AND(ISNUMBER('SW Rev'!G24),ISNUMBER('SW Rev'!F24),'SW Rev'!F24&gt;0),'SW Rev'!G24/'SW Rev'!F24-1,""),"")</f>
        <v/>
      </c>
      <c r="D229" s="37">
        <f>IFERROR(IF(AND(ISNUMBER('SW Rev'!H24),ISNUMBER('SW Rev'!G24),'SW Rev'!G24&gt;0),'SW Rev'!H24/'SW Rev'!G24-1,""),"")</f>
        <v/>
      </c>
      <c r="E229" s="37">
        <f>IFERROR(IF(AND(ISNUMBER('SW Rev'!I24),ISNUMBER('SW Rev'!H24),'SW Rev'!H24&gt;0),'SW Rev'!I24/'SW Rev'!H24-1,""),"")</f>
        <v/>
      </c>
      <c r="F229" s="37">
        <f>IFERROR(IF(AND(ISNUMBER('SW Rev'!J24),ISNUMBER('SW Rev'!I24),'SW Rev'!I24&gt;0),'SW Rev'!J24/'SW Rev'!I24-1,""),"")</f>
        <v/>
      </c>
      <c r="G229" s="37">
        <f>IFERROR(IF(AND(ISNUMBER('SW Rev'!K24),ISNUMBER('SW Rev'!J24),'SW Rev'!J24&gt;0),'SW Rev'!K24/'SW Rev'!J24-1,""),"")</f>
        <v/>
      </c>
      <c r="H229" s="37">
        <f>IFERROR(IF(AND(ISNUMBER('SW Rev'!L24),ISNUMBER('SW Rev'!K24),'SW Rev'!K24&gt;0),'SW Rev'!L24/'SW Rev'!K24-1,""),"")</f>
        <v/>
      </c>
      <c r="I229" s="37">
        <f>IFERROR(IF(AND(ISNUMBER('SW Rev'!M24),ISNUMBER('SW Rev'!L24),'SW Rev'!L24&gt;0),'SW Rev'!M24/'SW Rev'!L24-1,""),"")</f>
        <v/>
      </c>
      <c r="J229" s="37">
        <f>IFERROR(IF(AND(ISNUMBER('SW Rev'!N24),ISNUMBER('SW Rev'!M24),'SW Rev'!M24&gt;0),'SW Rev'!N24/'SW Rev'!M24-1,""),"")</f>
        <v/>
      </c>
      <c r="K229" s="37">
        <f>IFERROR(IF(AND(ISNUMBER('SW Rev'!O24),ISNUMBER('SW Rev'!N24),'SW Rev'!N24&gt;0),'SW Rev'!O24/'SW Rev'!N24-1,""),"")</f>
        <v/>
      </c>
      <c r="L229" s="37">
        <f>IFERROR(IF(AND(ISNUMBER('SW Rev'!P24),ISNUMBER('SW Rev'!O24),'SW Rev'!O24&gt;0),'SW Rev'!P24/'SW Rev'!O24-1,""),"")</f>
        <v/>
      </c>
      <c r="M229" s="38">
        <f>IFERROR(IF(AND(ISNUMBER('SW Rev'!Q24),ISNUMBER('SW Rev'!P24),'SW Rev'!P24&gt;0),'SW Rev'!Q24/'SW Rev'!P24-1,""),"")</f>
        <v/>
      </c>
      <c r="N229" s="38">
        <f>IFERROR(IF(AND(ISNUMBER('SW Rev'!R24),ISNUMBER('SW Rev'!Q24),'SW Rev'!Q24&gt;0),'SW Rev'!R24/'SW Rev'!Q24-1,""),"")</f>
        <v/>
      </c>
    </row>
    <row r="230">
      <c r="A230" s="19">
        <f>'SW Rev'!$A25</f>
        <v/>
      </c>
      <c r="B230" s="19">
        <f>'SW Rev'!$B25</f>
        <v/>
      </c>
      <c r="C230" s="37">
        <f>IFERROR(IF(AND(ISNUMBER('SW Rev'!G25),ISNUMBER('SW Rev'!F25),'SW Rev'!F25&gt;0),'SW Rev'!G25/'SW Rev'!F25-1,""),"")</f>
        <v/>
      </c>
      <c r="D230" s="37">
        <f>IFERROR(IF(AND(ISNUMBER('SW Rev'!H25),ISNUMBER('SW Rev'!G25),'SW Rev'!G25&gt;0),'SW Rev'!H25/'SW Rev'!G25-1,""),"")</f>
        <v/>
      </c>
      <c r="E230" s="37">
        <f>IFERROR(IF(AND(ISNUMBER('SW Rev'!I25),ISNUMBER('SW Rev'!H25),'SW Rev'!H25&gt;0),'SW Rev'!I25/'SW Rev'!H25-1,""),"")</f>
        <v/>
      </c>
      <c r="F230" s="37">
        <f>IFERROR(IF(AND(ISNUMBER('SW Rev'!J25),ISNUMBER('SW Rev'!I25),'SW Rev'!I25&gt;0),'SW Rev'!J25/'SW Rev'!I25-1,""),"")</f>
        <v/>
      </c>
      <c r="G230" s="37">
        <f>IFERROR(IF(AND(ISNUMBER('SW Rev'!K25),ISNUMBER('SW Rev'!J25),'SW Rev'!J25&gt;0),'SW Rev'!K25/'SW Rev'!J25-1,""),"")</f>
        <v/>
      </c>
      <c r="H230" s="37">
        <f>IFERROR(IF(AND(ISNUMBER('SW Rev'!L25),ISNUMBER('SW Rev'!K25),'SW Rev'!K25&gt;0),'SW Rev'!L25/'SW Rev'!K25-1,""),"")</f>
        <v/>
      </c>
      <c r="I230" s="37">
        <f>IFERROR(IF(AND(ISNUMBER('SW Rev'!M25),ISNUMBER('SW Rev'!L25),'SW Rev'!L25&gt;0),'SW Rev'!M25/'SW Rev'!L25-1,""),"")</f>
        <v/>
      </c>
      <c r="J230" s="37">
        <f>IFERROR(IF(AND(ISNUMBER('SW Rev'!N25),ISNUMBER('SW Rev'!M25),'SW Rev'!M25&gt;0),'SW Rev'!N25/'SW Rev'!M25-1,""),"")</f>
        <v/>
      </c>
      <c r="K230" s="37">
        <f>IFERROR(IF(AND(ISNUMBER('SW Rev'!O25),ISNUMBER('SW Rev'!N25),'SW Rev'!N25&gt;0),'SW Rev'!O25/'SW Rev'!N25-1,""),"")</f>
        <v/>
      </c>
      <c r="L230" s="37">
        <f>IFERROR(IF(AND(ISNUMBER('SW Rev'!P25),ISNUMBER('SW Rev'!O25),'SW Rev'!O25&gt;0),'SW Rev'!P25/'SW Rev'!O25-1,""),"")</f>
        <v/>
      </c>
      <c r="M230" s="38">
        <f>IFERROR(IF(AND(ISNUMBER('SW Rev'!Q25),ISNUMBER('SW Rev'!P25),'SW Rev'!P25&gt;0),'SW Rev'!Q25/'SW Rev'!P25-1,""),"")</f>
        <v/>
      </c>
      <c r="N230" s="38">
        <f>IFERROR(IF(AND(ISNUMBER('SW Rev'!R25),ISNUMBER('SW Rev'!Q25),'SW Rev'!Q25&gt;0),'SW Rev'!R25/'SW Rev'!Q25-1,""),"")</f>
        <v/>
      </c>
    </row>
    <row r="231">
      <c r="A231" s="19">
        <f>'SW Rev'!$A26</f>
        <v/>
      </c>
      <c r="B231" s="19">
        <f>'SW Rev'!$B26</f>
        <v/>
      </c>
      <c r="C231" s="37">
        <f>IFERROR(IF(AND(ISNUMBER('SW Rev'!G26),ISNUMBER('SW Rev'!F26),'SW Rev'!F26&gt;0),'SW Rev'!G26/'SW Rev'!F26-1,""),"")</f>
        <v/>
      </c>
      <c r="D231" s="37">
        <f>IFERROR(IF(AND(ISNUMBER('SW Rev'!H26),ISNUMBER('SW Rev'!G26),'SW Rev'!G26&gt;0),'SW Rev'!H26/'SW Rev'!G26-1,""),"")</f>
        <v/>
      </c>
      <c r="E231" s="37">
        <f>IFERROR(IF(AND(ISNUMBER('SW Rev'!I26),ISNUMBER('SW Rev'!H26),'SW Rev'!H26&gt;0),'SW Rev'!I26/'SW Rev'!H26-1,""),"")</f>
        <v/>
      </c>
      <c r="F231" s="37">
        <f>IFERROR(IF(AND(ISNUMBER('SW Rev'!J26),ISNUMBER('SW Rev'!I26),'SW Rev'!I26&gt;0),'SW Rev'!J26/'SW Rev'!I26-1,""),"")</f>
        <v/>
      </c>
      <c r="G231" s="37">
        <f>IFERROR(IF(AND(ISNUMBER('SW Rev'!K26),ISNUMBER('SW Rev'!J26),'SW Rev'!J26&gt;0),'SW Rev'!K26/'SW Rev'!J26-1,""),"")</f>
        <v/>
      </c>
      <c r="H231" s="37">
        <f>IFERROR(IF(AND(ISNUMBER('SW Rev'!L26),ISNUMBER('SW Rev'!K26),'SW Rev'!K26&gt;0),'SW Rev'!L26/'SW Rev'!K26-1,""),"")</f>
        <v/>
      </c>
      <c r="I231" s="37">
        <f>IFERROR(IF(AND(ISNUMBER('SW Rev'!M26),ISNUMBER('SW Rev'!L26),'SW Rev'!L26&gt;0),'SW Rev'!M26/'SW Rev'!L26-1,""),"")</f>
        <v/>
      </c>
      <c r="J231" s="37">
        <f>IFERROR(IF(AND(ISNUMBER('SW Rev'!N26),ISNUMBER('SW Rev'!M26),'SW Rev'!M26&gt;0),'SW Rev'!N26/'SW Rev'!M26-1,""),"")</f>
        <v/>
      </c>
      <c r="K231" s="37">
        <f>IFERROR(IF(AND(ISNUMBER('SW Rev'!O26),ISNUMBER('SW Rev'!N26),'SW Rev'!N26&gt;0),'SW Rev'!O26/'SW Rev'!N26-1,""),"")</f>
        <v/>
      </c>
      <c r="L231" s="37">
        <f>IFERROR(IF(AND(ISNUMBER('SW Rev'!P26),ISNUMBER('SW Rev'!O26),'SW Rev'!O26&gt;0),'SW Rev'!P26/'SW Rev'!O26-1,""),"")</f>
        <v/>
      </c>
      <c r="M231" s="38">
        <f>IFERROR(IF(AND(ISNUMBER('SW Rev'!Q26),ISNUMBER('SW Rev'!P26),'SW Rev'!P26&gt;0),'SW Rev'!Q26/'SW Rev'!P26-1,""),"")</f>
        <v/>
      </c>
      <c r="N231" s="38">
        <f>IFERROR(IF(AND(ISNUMBER('SW Rev'!R26),ISNUMBER('SW Rev'!Q26),'SW Rev'!Q26&gt;0),'SW Rev'!R26/'SW Rev'!Q26-1,""),"")</f>
        <v/>
      </c>
    </row>
    <row r="232">
      <c r="A232" s="19">
        <f>'SW Rev'!$A27</f>
        <v/>
      </c>
      <c r="B232" s="19">
        <f>'SW Rev'!$B27</f>
        <v/>
      </c>
      <c r="C232" s="37">
        <f>IFERROR(IF(AND(ISNUMBER('SW Rev'!G27),ISNUMBER('SW Rev'!F27),'SW Rev'!F27&gt;0),'SW Rev'!G27/'SW Rev'!F27-1,""),"")</f>
        <v/>
      </c>
      <c r="D232" s="37">
        <f>IFERROR(IF(AND(ISNUMBER('SW Rev'!H27),ISNUMBER('SW Rev'!G27),'SW Rev'!G27&gt;0),'SW Rev'!H27/'SW Rev'!G27-1,""),"")</f>
        <v/>
      </c>
      <c r="E232" s="37">
        <f>IFERROR(IF(AND(ISNUMBER('SW Rev'!I27),ISNUMBER('SW Rev'!H27),'SW Rev'!H27&gt;0),'SW Rev'!I27/'SW Rev'!H27-1,""),"")</f>
        <v/>
      </c>
      <c r="F232" s="37">
        <f>IFERROR(IF(AND(ISNUMBER('SW Rev'!J27),ISNUMBER('SW Rev'!I27),'SW Rev'!I27&gt;0),'SW Rev'!J27/'SW Rev'!I27-1,""),"")</f>
        <v/>
      </c>
      <c r="G232" s="37">
        <f>IFERROR(IF(AND(ISNUMBER('SW Rev'!K27),ISNUMBER('SW Rev'!J27),'SW Rev'!J27&gt;0),'SW Rev'!K27/'SW Rev'!J27-1,""),"")</f>
        <v/>
      </c>
      <c r="H232" s="37">
        <f>IFERROR(IF(AND(ISNUMBER('SW Rev'!L27),ISNUMBER('SW Rev'!K27),'SW Rev'!K27&gt;0),'SW Rev'!L27/'SW Rev'!K27-1,""),"")</f>
        <v/>
      </c>
      <c r="I232" s="37">
        <f>IFERROR(IF(AND(ISNUMBER('SW Rev'!M27),ISNUMBER('SW Rev'!L27),'SW Rev'!L27&gt;0),'SW Rev'!M27/'SW Rev'!L27-1,""),"")</f>
        <v/>
      </c>
      <c r="J232" s="37">
        <f>IFERROR(IF(AND(ISNUMBER('SW Rev'!N27),ISNUMBER('SW Rev'!M27),'SW Rev'!M27&gt;0),'SW Rev'!N27/'SW Rev'!M27-1,""),"")</f>
        <v/>
      </c>
      <c r="K232" s="37">
        <f>IFERROR(IF(AND(ISNUMBER('SW Rev'!O27),ISNUMBER('SW Rev'!N27),'SW Rev'!N27&gt;0),'SW Rev'!O27/'SW Rev'!N27-1,""),"")</f>
        <v/>
      </c>
      <c r="L232" s="37">
        <f>IFERROR(IF(AND(ISNUMBER('SW Rev'!P27),ISNUMBER('SW Rev'!O27),'SW Rev'!O27&gt;0),'SW Rev'!P27/'SW Rev'!O27-1,""),"")</f>
        <v/>
      </c>
      <c r="M232" s="38">
        <f>IFERROR(IF(AND(ISNUMBER('SW Rev'!Q27),ISNUMBER('SW Rev'!P27),'SW Rev'!P27&gt;0),'SW Rev'!Q27/'SW Rev'!P27-1,""),"")</f>
        <v/>
      </c>
      <c r="N232" s="38">
        <f>IFERROR(IF(AND(ISNUMBER('SW Rev'!R27),ISNUMBER('SW Rev'!Q27),'SW Rev'!Q27&gt;0),'SW Rev'!R27/'SW Rev'!Q27-1,""),"")</f>
        <v/>
      </c>
    </row>
    <row r="233">
      <c r="A233" s="19">
        <f>'SW Rev'!$A28</f>
        <v/>
      </c>
      <c r="B233" s="19">
        <f>'SW Rev'!$B28</f>
        <v/>
      </c>
      <c r="C233" s="37">
        <f>IFERROR(IF(AND(ISNUMBER('SW Rev'!G28),ISNUMBER('SW Rev'!F28),'SW Rev'!F28&gt;0),'SW Rev'!G28/'SW Rev'!F28-1,""),"")</f>
        <v/>
      </c>
      <c r="D233" s="37">
        <f>IFERROR(IF(AND(ISNUMBER('SW Rev'!H28),ISNUMBER('SW Rev'!G28),'SW Rev'!G28&gt;0),'SW Rev'!H28/'SW Rev'!G28-1,""),"")</f>
        <v/>
      </c>
      <c r="E233" s="37">
        <f>IFERROR(IF(AND(ISNUMBER('SW Rev'!I28),ISNUMBER('SW Rev'!H28),'SW Rev'!H28&gt;0),'SW Rev'!I28/'SW Rev'!H28-1,""),"")</f>
        <v/>
      </c>
      <c r="F233" s="37">
        <f>IFERROR(IF(AND(ISNUMBER('SW Rev'!J28),ISNUMBER('SW Rev'!I28),'SW Rev'!I28&gt;0),'SW Rev'!J28/'SW Rev'!I28-1,""),"")</f>
        <v/>
      </c>
      <c r="G233" s="37">
        <f>IFERROR(IF(AND(ISNUMBER('SW Rev'!K28),ISNUMBER('SW Rev'!J28),'SW Rev'!J28&gt;0),'SW Rev'!K28/'SW Rev'!J28-1,""),"")</f>
        <v/>
      </c>
      <c r="H233" s="37">
        <f>IFERROR(IF(AND(ISNUMBER('SW Rev'!L28),ISNUMBER('SW Rev'!K28),'SW Rev'!K28&gt;0),'SW Rev'!L28/'SW Rev'!K28-1,""),"")</f>
        <v/>
      </c>
      <c r="I233" s="37">
        <f>IFERROR(IF(AND(ISNUMBER('SW Rev'!M28),ISNUMBER('SW Rev'!L28),'SW Rev'!L28&gt;0),'SW Rev'!M28/'SW Rev'!L28-1,""),"")</f>
        <v/>
      </c>
      <c r="J233" s="37">
        <f>IFERROR(IF(AND(ISNUMBER('SW Rev'!N28),ISNUMBER('SW Rev'!M28),'SW Rev'!M28&gt;0),'SW Rev'!N28/'SW Rev'!M28-1,""),"")</f>
        <v/>
      </c>
      <c r="K233" s="37">
        <f>IFERROR(IF(AND(ISNUMBER('SW Rev'!O28),ISNUMBER('SW Rev'!N28),'SW Rev'!N28&gt;0),'SW Rev'!O28/'SW Rev'!N28-1,""),"")</f>
        <v/>
      </c>
      <c r="L233" s="37">
        <f>IFERROR(IF(AND(ISNUMBER('SW Rev'!P28),ISNUMBER('SW Rev'!O28),'SW Rev'!O28&gt;0),'SW Rev'!P28/'SW Rev'!O28-1,""),"")</f>
        <v/>
      </c>
      <c r="M233" s="38">
        <f>IFERROR(IF(AND(ISNUMBER('SW Rev'!Q28),ISNUMBER('SW Rev'!P28),'SW Rev'!P28&gt;0),'SW Rev'!Q28/'SW Rev'!P28-1,""),"")</f>
        <v/>
      </c>
      <c r="N233" s="38">
        <f>IFERROR(IF(AND(ISNUMBER('SW Rev'!R28),ISNUMBER('SW Rev'!Q28),'SW Rev'!Q28&gt;0),'SW Rev'!R28/'SW Rev'!Q28-1,""),"")</f>
        <v/>
      </c>
    </row>
    <row r="234">
      <c r="A234" s="19">
        <f>'SW Rev'!$A29</f>
        <v/>
      </c>
      <c r="B234" s="19">
        <f>'SW Rev'!$B29</f>
        <v/>
      </c>
      <c r="C234" s="37">
        <f>IFERROR(IF(AND(ISNUMBER('SW Rev'!G29),ISNUMBER('SW Rev'!F29),'SW Rev'!F29&gt;0),'SW Rev'!G29/'SW Rev'!F29-1,""),"")</f>
        <v/>
      </c>
      <c r="D234" s="37">
        <f>IFERROR(IF(AND(ISNUMBER('SW Rev'!H29),ISNUMBER('SW Rev'!G29),'SW Rev'!G29&gt;0),'SW Rev'!H29/'SW Rev'!G29-1,""),"")</f>
        <v/>
      </c>
      <c r="E234" s="37">
        <f>IFERROR(IF(AND(ISNUMBER('SW Rev'!I29),ISNUMBER('SW Rev'!H29),'SW Rev'!H29&gt;0),'SW Rev'!I29/'SW Rev'!H29-1,""),"")</f>
        <v/>
      </c>
      <c r="F234" s="37">
        <f>IFERROR(IF(AND(ISNUMBER('SW Rev'!J29),ISNUMBER('SW Rev'!I29),'SW Rev'!I29&gt;0),'SW Rev'!J29/'SW Rev'!I29-1,""),"")</f>
        <v/>
      </c>
      <c r="G234" s="37">
        <f>IFERROR(IF(AND(ISNUMBER('SW Rev'!K29),ISNUMBER('SW Rev'!J29),'SW Rev'!J29&gt;0),'SW Rev'!K29/'SW Rev'!J29-1,""),"")</f>
        <v/>
      </c>
      <c r="H234" s="37">
        <f>IFERROR(IF(AND(ISNUMBER('SW Rev'!L29),ISNUMBER('SW Rev'!K29),'SW Rev'!K29&gt;0),'SW Rev'!L29/'SW Rev'!K29-1,""),"")</f>
        <v/>
      </c>
      <c r="I234" s="37">
        <f>IFERROR(IF(AND(ISNUMBER('SW Rev'!M29),ISNUMBER('SW Rev'!L29),'SW Rev'!L29&gt;0),'SW Rev'!M29/'SW Rev'!L29-1,""),"")</f>
        <v/>
      </c>
      <c r="J234" s="37">
        <f>IFERROR(IF(AND(ISNUMBER('SW Rev'!N29),ISNUMBER('SW Rev'!M29),'SW Rev'!M29&gt;0),'SW Rev'!N29/'SW Rev'!M29-1,""),"")</f>
        <v/>
      </c>
      <c r="K234" s="37">
        <f>IFERROR(IF(AND(ISNUMBER('SW Rev'!O29),ISNUMBER('SW Rev'!N29),'SW Rev'!N29&gt;0),'SW Rev'!O29/'SW Rev'!N29-1,""),"")</f>
        <v/>
      </c>
      <c r="L234" s="37">
        <f>IFERROR(IF(AND(ISNUMBER('SW Rev'!P29),ISNUMBER('SW Rev'!O29),'SW Rev'!O29&gt;0),'SW Rev'!P29/'SW Rev'!O29-1,""),"")</f>
        <v/>
      </c>
      <c r="M234" s="38">
        <f>IFERROR(IF(AND(ISNUMBER('SW Rev'!Q29),ISNUMBER('SW Rev'!P29),'SW Rev'!P29&gt;0),'SW Rev'!Q29/'SW Rev'!P29-1,""),"")</f>
        <v/>
      </c>
      <c r="N234" s="38">
        <f>IFERROR(IF(AND(ISNUMBER('SW Rev'!R29),ISNUMBER('SW Rev'!Q29),'SW Rev'!Q29&gt;0),'SW Rev'!R29/'SW Rev'!Q29-1,""),"")</f>
        <v/>
      </c>
    </row>
    <row r="235">
      <c r="A235" s="19">
        <f>'SW Rev'!$A30</f>
        <v/>
      </c>
      <c r="B235" s="19">
        <f>'SW Rev'!$B30</f>
        <v/>
      </c>
      <c r="C235" s="37">
        <f>IFERROR(IF(AND(ISNUMBER('SW Rev'!G30),ISNUMBER('SW Rev'!F30),'SW Rev'!F30&gt;0),'SW Rev'!G30/'SW Rev'!F30-1,""),"")</f>
        <v/>
      </c>
      <c r="D235" s="37">
        <f>IFERROR(IF(AND(ISNUMBER('SW Rev'!H30),ISNUMBER('SW Rev'!G30),'SW Rev'!G30&gt;0),'SW Rev'!H30/'SW Rev'!G30-1,""),"")</f>
        <v/>
      </c>
      <c r="E235" s="37">
        <f>IFERROR(IF(AND(ISNUMBER('SW Rev'!I30),ISNUMBER('SW Rev'!H30),'SW Rev'!H30&gt;0),'SW Rev'!I30/'SW Rev'!H30-1,""),"")</f>
        <v/>
      </c>
      <c r="F235" s="37">
        <f>IFERROR(IF(AND(ISNUMBER('SW Rev'!J30),ISNUMBER('SW Rev'!I30),'SW Rev'!I30&gt;0),'SW Rev'!J30/'SW Rev'!I30-1,""),"")</f>
        <v/>
      </c>
      <c r="G235" s="37">
        <f>IFERROR(IF(AND(ISNUMBER('SW Rev'!K30),ISNUMBER('SW Rev'!J30),'SW Rev'!J30&gt;0),'SW Rev'!K30/'SW Rev'!J30-1,""),"")</f>
        <v/>
      </c>
      <c r="H235" s="37">
        <f>IFERROR(IF(AND(ISNUMBER('SW Rev'!L30),ISNUMBER('SW Rev'!K30),'SW Rev'!K30&gt;0),'SW Rev'!L30/'SW Rev'!K30-1,""),"")</f>
        <v/>
      </c>
      <c r="I235" s="37">
        <f>IFERROR(IF(AND(ISNUMBER('SW Rev'!M30),ISNUMBER('SW Rev'!L30),'SW Rev'!L30&gt;0),'SW Rev'!M30/'SW Rev'!L30-1,""),"")</f>
        <v/>
      </c>
      <c r="J235" s="37">
        <f>IFERROR(IF(AND(ISNUMBER('SW Rev'!N30),ISNUMBER('SW Rev'!M30),'SW Rev'!M30&gt;0),'SW Rev'!N30/'SW Rev'!M30-1,""),"")</f>
        <v/>
      </c>
      <c r="K235" s="37">
        <f>IFERROR(IF(AND(ISNUMBER('SW Rev'!O30),ISNUMBER('SW Rev'!N30),'SW Rev'!N30&gt;0),'SW Rev'!O30/'SW Rev'!N30-1,""),"")</f>
        <v/>
      </c>
      <c r="L235" s="37">
        <f>IFERROR(IF(AND(ISNUMBER('SW Rev'!P30),ISNUMBER('SW Rev'!O30),'SW Rev'!O30&gt;0),'SW Rev'!P30/'SW Rev'!O30-1,""),"")</f>
        <v/>
      </c>
      <c r="M235" s="38">
        <f>IFERROR(IF(AND(ISNUMBER('SW Rev'!Q30),ISNUMBER('SW Rev'!P30),'SW Rev'!P30&gt;0),'SW Rev'!Q30/'SW Rev'!P30-1,""),"")</f>
        <v/>
      </c>
      <c r="N235" s="38">
        <f>IFERROR(IF(AND(ISNUMBER('SW Rev'!R30),ISNUMBER('SW Rev'!Q30),'SW Rev'!Q30&gt;0),'SW Rev'!R30/'SW Rev'!Q30-1,""),"")</f>
        <v/>
      </c>
    </row>
    <row r="236">
      <c r="A236" s="19">
        <f>'SW Rev'!$A31</f>
        <v/>
      </c>
      <c r="B236" s="19">
        <f>'SW Rev'!$B31</f>
        <v/>
      </c>
      <c r="C236" s="37">
        <f>IFERROR(IF(AND(ISNUMBER('SW Rev'!G31),ISNUMBER('SW Rev'!F31),'SW Rev'!F31&gt;0),'SW Rev'!G31/'SW Rev'!F31-1,""),"")</f>
        <v/>
      </c>
      <c r="D236" s="37">
        <f>IFERROR(IF(AND(ISNUMBER('SW Rev'!H31),ISNUMBER('SW Rev'!G31),'SW Rev'!G31&gt;0),'SW Rev'!H31/'SW Rev'!G31-1,""),"")</f>
        <v/>
      </c>
      <c r="E236" s="37">
        <f>IFERROR(IF(AND(ISNUMBER('SW Rev'!I31),ISNUMBER('SW Rev'!H31),'SW Rev'!H31&gt;0),'SW Rev'!I31/'SW Rev'!H31-1,""),"")</f>
        <v/>
      </c>
      <c r="F236" s="37">
        <f>IFERROR(IF(AND(ISNUMBER('SW Rev'!J31),ISNUMBER('SW Rev'!I31),'SW Rev'!I31&gt;0),'SW Rev'!J31/'SW Rev'!I31-1,""),"")</f>
        <v/>
      </c>
      <c r="G236" s="37">
        <f>IFERROR(IF(AND(ISNUMBER('SW Rev'!K31),ISNUMBER('SW Rev'!J31),'SW Rev'!J31&gt;0),'SW Rev'!K31/'SW Rev'!J31-1,""),"")</f>
        <v/>
      </c>
      <c r="H236" s="37">
        <f>IFERROR(IF(AND(ISNUMBER('SW Rev'!L31),ISNUMBER('SW Rev'!K31),'SW Rev'!K31&gt;0),'SW Rev'!L31/'SW Rev'!K31-1,""),"")</f>
        <v/>
      </c>
      <c r="I236" s="37">
        <f>IFERROR(IF(AND(ISNUMBER('SW Rev'!M31),ISNUMBER('SW Rev'!L31),'SW Rev'!L31&gt;0),'SW Rev'!M31/'SW Rev'!L31-1,""),"")</f>
        <v/>
      </c>
      <c r="J236" s="37">
        <f>IFERROR(IF(AND(ISNUMBER('SW Rev'!N31),ISNUMBER('SW Rev'!M31),'SW Rev'!M31&gt;0),'SW Rev'!N31/'SW Rev'!M31-1,""),"")</f>
        <v/>
      </c>
      <c r="K236" s="37">
        <f>IFERROR(IF(AND(ISNUMBER('SW Rev'!O31),ISNUMBER('SW Rev'!N31),'SW Rev'!N31&gt;0),'SW Rev'!O31/'SW Rev'!N31-1,""),"")</f>
        <v/>
      </c>
      <c r="L236" s="37">
        <f>IFERROR(IF(AND(ISNUMBER('SW Rev'!P31),ISNUMBER('SW Rev'!O31),'SW Rev'!O31&gt;0),'SW Rev'!P31/'SW Rev'!O31-1,""),"")</f>
        <v/>
      </c>
      <c r="M236" s="38">
        <f>IFERROR(IF(AND(ISNUMBER('SW Rev'!Q31),ISNUMBER('SW Rev'!P31),'SW Rev'!P31&gt;0),'SW Rev'!Q31/'SW Rev'!P31-1,""),"")</f>
        <v/>
      </c>
      <c r="N236" s="38">
        <f>IFERROR(IF(AND(ISNUMBER('SW Rev'!R31),ISNUMBER('SW Rev'!Q31),'SW Rev'!Q31&gt;0),'SW Rev'!R31/'SW Rev'!Q31-1,""),"")</f>
        <v/>
      </c>
    </row>
    <row r="237">
      <c r="A237" s="19">
        <f>'SW Rev'!$A32</f>
        <v/>
      </c>
      <c r="B237" s="19">
        <f>'SW Rev'!$B32</f>
        <v/>
      </c>
      <c r="C237" s="37">
        <f>IFERROR(IF(AND(ISNUMBER('SW Rev'!G32),ISNUMBER('SW Rev'!F32),'SW Rev'!F32&gt;0),'SW Rev'!G32/'SW Rev'!F32-1,""),"")</f>
        <v/>
      </c>
      <c r="D237" s="37">
        <f>IFERROR(IF(AND(ISNUMBER('SW Rev'!H32),ISNUMBER('SW Rev'!G32),'SW Rev'!G32&gt;0),'SW Rev'!H32/'SW Rev'!G32-1,""),"")</f>
        <v/>
      </c>
      <c r="E237" s="37">
        <f>IFERROR(IF(AND(ISNUMBER('SW Rev'!I32),ISNUMBER('SW Rev'!H32),'SW Rev'!H32&gt;0),'SW Rev'!I32/'SW Rev'!H32-1,""),"")</f>
        <v/>
      </c>
      <c r="F237" s="37">
        <f>IFERROR(IF(AND(ISNUMBER('SW Rev'!J32),ISNUMBER('SW Rev'!I32),'SW Rev'!I32&gt;0),'SW Rev'!J32/'SW Rev'!I32-1,""),"")</f>
        <v/>
      </c>
      <c r="G237" s="37">
        <f>IFERROR(IF(AND(ISNUMBER('SW Rev'!K32),ISNUMBER('SW Rev'!J32),'SW Rev'!J32&gt;0),'SW Rev'!K32/'SW Rev'!J32-1,""),"")</f>
        <v/>
      </c>
      <c r="H237" s="37">
        <f>IFERROR(IF(AND(ISNUMBER('SW Rev'!L32),ISNUMBER('SW Rev'!K32),'SW Rev'!K32&gt;0),'SW Rev'!L32/'SW Rev'!K32-1,""),"")</f>
        <v/>
      </c>
      <c r="I237" s="37">
        <f>IFERROR(IF(AND(ISNUMBER('SW Rev'!M32),ISNUMBER('SW Rev'!L32),'SW Rev'!L32&gt;0),'SW Rev'!M32/'SW Rev'!L32-1,""),"")</f>
        <v/>
      </c>
      <c r="J237" s="37">
        <f>IFERROR(IF(AND(ISNUMBER('SW Rev'!N32),ISNUMBER('SW Rev'!M32),'SW Rev'!M32&gt;0),'SW Rev'!N32/'SW Rev'!M32-1,""),"")</f>
        <v/>
      </c>
      <c r="K237" s="37">
        <f>IFERROR(IF(AND(ISNUMBER('SW Rev'!O32),ISNUMBER('SW Rev'!N32),'SW Rev'!N32&gt;0),'SW Rev'!O32/'SW Rev'!N32-1,""),"")</f>
        <v/>
      </c>
      <c r="L237" s="37">
        <f>IFERROR(IF(AND(ISNUMBER('SW Rev'!P32),ISNUMBER('SW Rev'!O32),'SW Rev'!O32&gt;0),'SW Rev'!P32/'SW Rev'!O32-1,""),"")</f>
        <v/>
      </c>
      <c r="M237" s="38">
        <f>IFERROR(IF(AND(ISNUMBER('SW Rev'!Q32),ISNUMBER('SW Rev'!P32),'SW Rev'!P32&gt;0),'SW Rev'!Q32/'SW Rev'!P32-1,""),"")</f>
        <v/>
      </c>
      <c r="N237" s="38">
        <f>IFERROR(IF(AND(ISNUMBER('SW Rev'!R32),ISNUMBER('SW Rev'!Q32),'SW Rev'!Q32&gt;0),'SW Rev'!R32/'SW Rev'!Q32-1,""),"")</f>
        <v/>
      </c>
    </row>
    <row r="238">
      <c r="A238" s="19">
        <f>'SW Rev'!$A33</f>
        <v/>
      </c>
      <c r="B238" s="19">
        <f>'SW Rev'!$B33</f>
        <v/>
      </c>
      <c r="C238" s="37">
        <f>IFERROR(IF(AND(ISNUMBER('SW Rev'!G33),ISNUMBER('SW Rev'!F33),'SW Rev'!F33&gt;0),'SW Rev'!G33/'SW Rev'!F33-1,""),"")</f>
        <v/>
      </c>
      <c r="D238" s="37">
        <f>IFERROR(IF(AND(ISNUMBER('SW Rev'!H33),ISNUMBER('SW Rev'!G33),'SW Rev'!G33&gt;0),'SW Rev'!H33/'SW Rev'!G33-1,""),"")</f>
        <v/>
      </c>
      <c r="E238" s="37">
        <f>IFERROR(IF(AND(ISNUMBER('SW Rev'!I33),ISNUMBER('SW Rev'!H33),'SW Rev'!H33&gt;0),'SW Rev'!I33/'SW Rev'!H33-1,""),"")</f>
        <v/>
      </c>
      <c r="F238" s="37">
        <f>IFERROR(IF(AND(ISNUMBER('SW Rev'!J33),ISNUMBER('SW Rev'!I33),'SW Rev'!I33&gt;0),'SW Rev'!J33/'SW Rev'!I33-1,""),"")</f>
        <v/>
      </c>
      <c r="G238" s="37">
        <f>IFERROR(IF(AND(ISNUMBER('SW Rev'!K33),ISNUMBER('SW Rev'!J33),'SW Rev'!J33&gt;0),'SW Rev'!K33/'SW Rev'!J33-1,""),"")</f>
        <v/>
      </c>
      <c r="H238" s="37">
        <f>IFERROR(IF(AND(ISNUMBER('SW Rev'!L33),ISNUMBER('SW Rev'!K33),'SW Rev'!K33&gt;0),'SW Rev'!L33/'SW Rev'!K33-1,""),"")</f>
        <v/>
      </c>
      <c r="I238" s="37">
        <f>IFERROR(IF(AND(ISNUMBER('SW Rev'!M33),ISNUMBER('SW Rev'!L33),'SW Rev'!L33&gt;0),'SW Rev'!M33/'SW Rev'!L33-1,""),"")</f>
        <v/>
      </c>
      <c r="J238" s="37">
        <f>IFERROR(IF(AND(ISNUMBER('SW Rev'!N33),ISNUMBER('SW Rev'!M33),'SW Rev'!M33&gt;0),'SW Rev'!N33/'SW Rev'!M33-1,""),"")</f>
        <v/>
      </c>
      <c r="K238" s="37">
        <f>IFERROR(IF(AND(ISNUMBER('SW Rev'!O33),ISNUMBER('SW Rev'!N33),'SW Rev'!N33&gt;0),'SW Rev'!O33/'SW Rev'!N33-1,""),"")</f>
        <v/>
      </c>
      <c r="L238" s="37">
        <f>IFERROR(IF(AND(ISNUMBER('SW Rev'!P33),ISNUMBER('SW Rev'!O33),'SW Rev'!O33&gt;0),'SW Rev'!P33/'SW Rev'!O33-1,""),"")</f>
        <v/>
      </c>
      <c r="M238" s="38">
        <f>IFERROR(IF(AND(ISNUMBER('SW Rev'!Q33),ISNUMBER('SW Rev'!P33),'SW Rev'!P33&gt;0),'SW Rev'!Q33/'SW Rev'!P33-1,""),"")</f>
        <v/>
      </c>
      <c r="N238" s="38">
        <f>IFERROR(IF(AND(ISNUMBER('SW Rev'!R33),ISNUMBER('SW Rev'!Q33),'SW Rev'!Q33&gt;0),'SW Rev'!R33/'SW Rev'!Q33-1,""),"")</f>
        <v/>
      </c>
    </row>
    <row r="239">
      <c r="A239" s="19">
        <f>'SW Rev'!$A34</f>
        <v/>
      </c>
      <c r="B239" s="19">
        <f>'SW Rev'!$B34</f>
        <v/>
      </c>
      <c r="C239" s="37">
        <f>IFERROR(IF(AND(ISNUMBER('SW Rev'!G34),ISNUMBER('SW Rev'!F34),'SW Rev'!F34&gt;0),'SW Rev'!G34/'SW Rev'!F34-1,""),"")</f>
        <v/>
      </c>
      <c r="D239" s="37">
        <f>IFERROR(IF(AND(ISNUMBER('SW Rev'!H34),ISNUMBER('SW Rev'!G34),'SW Rev'!G34&gt;0),'SW Rev'!H34/'SW Rev'!G34-1,""),"")</f>
        <v/>
      </c>
      <c r="E239" s="37">
        <f>IFERROR(IF(AND(ISNUMBER('SW Rev'!I34),ISNUMBER('SW Rev'!H34),'SW Rev'!H34&gt;0),'SW Rev'!I34/'SW Rev'!H34-1,""),"")</f>
        <v/>
      </c>
      <c r="F239" s="37">
        <f>IFERROR(IF(AND(ISNUMBER('SW Rev'!J34),ISNUMBER('SW Rev'!I34),'SW Rev'!I34&gt;0),'SW Rev'!J34/'SW Rev'!I34-1,""),"")</f>
        <v/>
      </c>
      <c r="G239" s="37">
        <f>IFERROR(IF(AND(ISNUMBER('SW Rev'!K34),ISNUMBER('SW Rev'!J34),'SW Rev'!J34&gt;0),'SW Rev'!K34/'SW Rev'!J34-1,""),"")</f>
        <v/>
      </c>
      <c r="H239" s="37">
        <f>IFERROR(IF(AND(ISNUMBER('SW Rev'!L34),ISNUMBER('SW Rev'!K34),'SW Rev'!K34&gt;0),'SW Rev'!L34/'SW Rev'!K34-1,""),"")</f>
        <v/>
      </c>
      <c r="I239" s="37">
        <f>IFERROR(IF(AND(ISNUMBER('SW Rev'!M34),ISNUMBER('SW Rev'!L34),'SW Rev'!L34&gt;0),'SW Rev'!M34/'SW Rev'!L34-1,""),"")</f>
        <v/>
      </c>
      <c r="J239" s="37">
        <f>IFERROR(IF(AND(ISNUMBER('SW Rev'!N34),ISNUMBER('SW Rev'!M34),'SW Rev'!M34&gt;0),'SW Rev'!N34/'SW Rev'!M34-1,""),"")</f>
        <v/>
      </c>
      <c r="K239" s="37">
        <f>IFERROR(IF(AND(ISNUMBER('SW Rev'!O34),ISNUMBER('SW Rev'!N34),'SW Rev'!N34&gt;0),'SW Rev'!O34/'SW Rev'!N34-1,""),"")</f>
        <v/>
      </c>
      <c r="L239" s="37">
        <f>IFERROR(IF(AND(ISNUMBER('SW Rev'!P34),ISNUMBER('SW Rev'!O34),'SW Rev'!O34&gt;0),'SW Rev'!P34/'SW Rev'!O34-1,""),"")</f>
        <v/>
      </c>
      <c r="M239" s="38">
        <f>IFERROR(IF(AND(ISNUMBER('SW Rev'!Q34),ISNUMBER('SW Rev'!P34),'SW Rev'!P34&gt;0),'SW Rev'!Q34/'SW Rev'!P34-1,""),"")</f>
        <v/>
      </c>
      <c r="N239" s="38">
        <f>IFERROR(IF(AND(ISNUMBER('SW Rev'!R34),ISNUMBER('SW Rev'!Q34),'SW Rev'!Q34&gt;0),'SW Rev'!R34/'SW Rev'!Q34-1,""),"")</f>
        <v/>
      </c>
    </row>
    <row r="240">
      <c r="A240" s="19">
        <f>'SW Rev'!$A35</f>
        <v/>
      </c>
      <c r="B240" s="19">
        <f>'SW Rev'!$B35</f>
        <v/>
      </c>
      <c r="C240" s="37">
        <f>IFERROR(IF(AND(ISNUMBER('SW Rev'!G35),ISNUMBER('SW Rev'!F35),'SW Rev'!F35&gt;0),'SW Rev'!G35/'SW Rev'!F35-1,""),"")</f>
        <v/>
      </c>
      <c r="D240" s="37">
        <f>IFERROR(IF(AND(ISNUMBER('SW Rev'!H35),ISNUMBER('SW Rev'!G35),'SW Rev'!G35&gt;0),'SW Rev'!H35/'SW Rev'!G35-1,""),"")</f>
        <v/>
      </c>
      <c r="E240" s="37">
        <f>IFERROR(IF(AND(ISNUMBER('SW Rev'!I35),ISNUMBER('SW Rev'!H35),'SW Rev'!H35&gt;0),'SW Rev'!I35/'SW Rev'!H35-1,""),"")</f>
        <v/>
      </c>
      <c r="F240" s="37">
        <f>IFERROR(IF(AND(ISNUMBER('SW Rev'!J35),ISNUMBER('SW Rev'!I35),'SW Rev'!I35&gt;0),'SW Rev'!J35/'SW Rev'!I35-1,""),"")</f>
        <v/>
      </c>
      <c r="G240" s="37">
        <f>IFERROR(IF(AND(ISNUMBER('SW Rev'!K35),ISNUMBER('SW Rev'!J35),'SW Rev'!J35&gt;0),'SW Rev'!K35/'SW Rev'!J35-1,""),"")</f>
        <v/>
      </c>
      <c r="H240" s="37">
        <f>IFERROR(IF(AND(ISNUMBER('SW Rev'!L35),ISNUMBER('SW Rev'!K35),'SW Rev'!K35&gt;0),'SW Rev'!L35/'SW Rev'!K35-1,""),"")</f>
        <v/>
      </c>
      <c r="I240" s="37">
        <f>IFERROR(IF(AND(ISNUMBER('SW Rev'!M35),ISNUMBER('SW Rev'!L35),'SW Rev'!L35&gt;0),'SW Rev'!M35/'SW Rev'!L35-1,""),"")</f>
        <v/>
      </c>
      <c r="J240" s="37">
        <f>IFERROR(IF(AND(ISNUMBER('SW Rev'!N35),ISNUMBER('SW Rev'!M35),'SW Rev'!M35&gt;0),'SW Rev'!N35/'SW Rev'!M35-1,""),"")</f>
        <v/>
      </c>
      <c r="K240" s="37">
        <f>IFERROR(IF(AND(ISNUMBER('SW Rev'!O35),ISNUMBER('SW Rev'!N35),'SW Rev'!N35&gt;0),'SW Rev'!O35/'SW Rev'!N35-1,""),"")</f>
        <v/>
      </c>
      <c r="L240" s="37">
        <f>IFERROR(IF(AND(ISNUMBER('SW Rev'!P35),ISNUMBER('SW Rev'!O35),'SW Rev'!O35&gt;0),'SW Rev'!P35/'SW Rev'!O35-1,""),"")</f>
        <v/>
      </c>
      <c r="M240" s="38">
        <f>IFERROR(IF(AND(ISNUMBER('SW Rev'!Q35),ISNUMBER('SW Rev'!P35),'SW Rev'!P35&gt;0),'SW Rev'!Q35/'SW Rev'!P35-1,""),"")</f>
        <v/>
      </c>
      <c r="N240" s="38">
        <f>IFERROR(IF(AND(ISNUMBER('SW Rev'!R35),ISNUMBER('SW Rev'!Q35),'SW Rev'!Q35&gt;0),'SW Rev'!R35/'SW Rev'!Q35-1,""),"")</f>
        <v/>
      </c>
    </row>
    <row r="241">
      <c r="A241" s="19">
        <f>'SW Rev'!$A36</f>
        <v/>
      </c>
      <c r="B241" s="19">
        <f>'SW Rev'!$B36</f>
        <v/>
      </c>
      <c r="C241" s="37">
        <f>IFERROR(IF(AND(ISNUMBER('SW Rev'!G36),ISNUMBER('SW Rev'!F36),'SW Rev'!F36&gt;0),'SW Rev'!G36/'SW Rev'!F36-1,""),"")</f>
        <v/>
      </c>
      <c r="D241" s="37">
        <f>IFERROR(IF(AND(ISNUMBER('SW Rev'!H36),ISNUMBER('SW Rev'!G36),'SW Rev'!G36&gt;0),'SW Rev'!H36/'SW Rev'!G36-1,""),"")</f>
        <v/>
      </c>
      <c r="E241" s="37">
        <f>IFERROR(IF(AND(ISNUMBER('SW Rev'!I36),ISNUMBER('SW Rev'!H36),'SW Rev'!H36&gt;0),'SW Rev'!I36/'SW Rev'!H36-1,""),"")</f>
        <v/>
      </c>
      <c r="F241" s="37">
        <f>IFERROR(IF(AND(ISNUMBER('SW Rev'!J36),ISNUMBER('SW Rev'!I36),'SW Rev'!I36&gt;0),'SW Rev'!J36/'SW Rev'!I36-1,""),"")</f>
        <v/>
      </c>
      <c r="G241" s="37">
        <f>IFERROR(IF(AND(ISNUMBER('SW Rev'!K36),ISNUMBER('SW Rev'!J36),'SW Rev'!J36&gt;0),'SW Rev'!K36/'SW Rev'!J36-1,""),"")</f>
        <v/>
      </c>
      <c r="H241" s="37">
        <f>IFERROR(IF(AND(ISNUMBER('SW Rev'!L36),ISNUMBER('SW Rev'!K36),'SW Rev'!K36&gt;0),'SW Rev'!L36/'SW Rev'!K36-1,""),"")</f>
        <v/>
      </c>
      <c r="I241" s="37">
        <f>IFERROR(IF(AND(ISNUMBER('SW Rev'!M36),ISNUMBER('SW Rev'!L36),'SW Rev'!L36&gt;0),'SW Rev'!M36/'SW Rev'!L36-1,""),"")</f>
        <v/>
      </c>
      <c r="J241" s="37">
        <f>IFERROR(IF(AND(ISNUMBER('SW Rev'!N36),ISNUMBER('SW Rev'!M36),'SW Rev'!M36&gt;0),'SW Rev'!N36/'SW Rev'!M36-1,""),"")</f>
        <v/>
      </c>
      <c r="K241" s="37">
        <f>IFERROR(IF(AND(ISNUMBER('SW Rev'!O36),ISNUMBER('SW Rev'!N36),'SW Rev'!N36&gt;0),'SW Rev'!O36/'SW Rev'!N36-1,""),"")</f>
        <v/>
      </c>
      <c r="L241" s="37">
        <f>IFERROR(IF(AND(ISNUMBER('SW Rev'!P36),ISNUMBER('SW Rev'!O36),'SW Rev'!O36&gt;0),'SW Rev'!P36/'SW Rev'!O36-1,""),"")</f>
        <v/>
      </c>
      <c r="M241" s="38">
        <f>IFERROR(IF(AND(ISNUMBER('SW Rev'!Q36),ISNUMBER('SW Rev'!P36),'SW Rev'!P36&gt;0),'SW Rev'!Q36/'SW Rev'!P36-1,""),"")</f>
        <v/>
      </c>
      <c r="N241" s="38">
        <f>IFERROR(IF(AND(ISNUMBER('SW Rev'!R36),ISNUMBER('SW Rev'!Q36),'SW Rev'!Q36&gt;0),'SW Rev'!R36/'SW Rev'!Q36-1,""),"")</f>
        <v/>
      </c>
    </row>
    <row r="242">
      <c r="A242" s="19">
        <f>'SW Rev'!$A37</f>
        <v/>
      </c>
      <c r="B242" s="19">
        <f>'SW Rev'!$B37</f>
        <v/>
      </c>
      <c r="C242" s="37">
        <f>IFERROR(IF(AND(ISNUMBER('SW Rev'!G37),ISNUMBER('SW Rev'!F37),'SW Rev'!F37&gt;0),'SW Rev'!G37/'SW Rev'!F37-1,""),"")</f>
        <v/>
      </c>
      <c r="D242" s="37">
        <f>IFERROR(IF(AND(ISNUMBER('SW Rev'!H37),ISNUMBER('SW Rev'!G37),'SW Rev'!G37&gt;0),'SW Rev'!H37/'SW Rev'!G37-1,""),"")</f>
        <v/>
      </c>
      <c r="E242" s="37">
        <f>IFERROR(IF(AND(ISNUMBER('SW Rev'!I37),ISNUMBER('SW Rev'!H37),'SW Rev'!H37&gt;0),'SW Rev'!I37/'SW Rev'!H37-1,""),"")</f>
        <v/>
      </c>
      <c r="F242" s="37">
        <f>IFERROR(IF(AND(ISNUMBER('SW Rev'!J37),ISNUMBER('SW Rev'!I37),'SW Rev'!I37&gt;0),'SW Rev'!J37/'SW Rev'!I37-1,""),"")</f>
        <v/>
      </c>
      <c r="G242" s="37">
        <f>IFERROR(IF(AND(ISNUMBER('SW Rev'!K37),ISNUMBER('SW Rev'!J37),'SW Rev'!J37&gt;0),'SW Rev'!K37/'SW Rev'!J37-1,""),"")</f>
        <v/>
      </c>
      <c r="H242" s="37">
        <f>IFERROR(IF(AND(ISNUMBER('SW Rev'!L37),ISNUMBER('SW Rev'!K37),'SW Rev'!K37&gt;0),'SW Rev'!L37/'SW Rev'!K37-1,""),"")</f>
        <v/>
      </c>
      <c r="I242" s="37">
        <f>IFERROR(IF(AND(ISNUMBER('SW Rev'!M37),ISNUMBER('SW Rev'!L37),'SW Rev'!L37&gt;0),'SW Rev'!M37/'SW Rev'!L37-1,""),"")</f>
        <v/>
      </c>
      <c r="J242" s="37">
        <f>IFERROR(IF(AND(ISNUMBER('SW Rev'!N37),ISNUMBER('SW Rev'!M37),'SW Rev'!M37&gt;0),'SW Rev'!N37/'SW Rev'!M37-1,""),"")</f>
        <v/>
      </c>
      <c r="K242" s="37">
        <f>IFERROR(IF(AND(ISNUMBER('SW Rev'!O37),ISNUMBER('SW Rev'!N37),'SW Rev'!N37&gt;0),'SW Rev'!O37/'SW Rev'!N37-1,""),"")</f>
        <v/>
      </c>
      <c r="L242" s="37">
        <f>IFERROR(IF(AND(ISNUMBER('SW Rev'!P37),ISNUMBER('SW Rev'!O37),'SW Rev'!O37&gt;0),'SW Rev'!P37/'SW Rev'!O37-1,""),"")</f>
        <v/>
      </c>
      <c r="M242" s="38">
        <f>IFERROR(IF(AND(ISNUMBER('SW Rev'!Q37),ISNUMBER('SW Rev'!P37),'SW Rev'!P37&gt;0),'SW Rev'!Q37/'SW Rev'!P37-1,""),"")</f>
        <v/>
      </c>
      <c r="N242" s="38">
        <f>IFERROR(IF(AND(ISNUMBER('SW Rev'!R37),ISNUMBER('SW Rev'!Q37),'SW Rev'!Q37&gt;0),'SW Rev'!R37/'SW Rev'!Q37-1,""),"")</f>
        <v/>
      </c>
    </row>
    <row r="243">
      <c r="A243" s="19">
        <f>'SW Rev'!$A38</f>
        <v/>
      </c>
      <c r="B243" s="19">
        <f>'SW Rev'!$B38</f>
        <v/>
      </c>
      <c r="C243" s="37">
        <f>IFERROR(IF(AND(ISNUMBER('SW Rev'!G38),ISNUMBER('SW Rev'!F38),'SW Rev'!F38&gt;0),'SW Rev'!G38/'SW Rev'!F38-1,""),"")</f>
        <v/>
      </c>
      <c r="D243" s="37">
        <f>IFERROR(IF(AND(ISNUMBER('SW Rev'!H38),ISNUMBER('SW Rev'!G38),'SW Rev'!G38&gt;0),'SW Rev'!H38/'SW Rev'!G38-1,""),"")</f>
        <v/>
      </c>
      <c r="E243" s="37">
        <f>IFERROR(IF(AND(ISNUMBER('SW Rev'!I38),ISNUMBER('SW Rev'!H38),'SW Rev'!H38&gt;0),'SW Rev'!I38/'SW Rev'!H38-1,""),"")</f>
        <v/>
      </c>
      <c r="F243" s="37">
        <f>IFERROR(IF(AND(ISNUMBER('SW Rev'!J38),ISNUMBER('SW Rev'!I38),'SW Rev'!I38&gt;0),'SW Rev'!J38/'SW Rev'!I38-1,""),"")</f>
        <v/>
      </c>
      <c r="G243" s="37">
        <f>IFERROR(IF(AND(ISNUMBER('SW Rev'!K38),ISNUMBER('SW Rev'!J38),'SW Rev'!J38&gt;0),'SW Rev'!K38/'SW Rev'!J38-1,""),"")</f>
        <v/>
      </c>
      <c r="H243" s="37">
        <f>IFERROR(IF(AND(ISNUMBER('SW Rev'!L38),ISNUMBER('SW Rev'!K38),'SW Rev'!K38&gt;0),'SW Rev'!L38/'SW Rev'!K38-1,""),"")</f>
        <v/>
      </c>
      <c r="I243" s="37">
        <f>IFERROR(IF(AND(ISNUMBER('SW Rev'!M38),ISNUMBER('SW Rev'!L38),'SW Rev'!L38&gt;0),'SW Rev'!M38/'SW Rev'!L38-1,""),"")</f>
        <v/>
      </c>
      <c r="J243" s="37">
        <f>IFERROR(IF(AND(ISNUMBER('SW Rev'!N38),ISNUMBER('SW Rev'!M38),'SW Rev'!M38&gt;0),'SW Rev'!N38/'SW Rev'!M38-1,""),"")</f>
        <v/>
      </c>
      <c r="K243" s="37">
        <f>IFERROR(IF(AND(ISNUMBER('SW Rev'!O38),ISNUMBER('SW Rev'!N38),'SW Rev'!N38&gt;0),'SW Rev'!O38/'SW Rev'!N38-1,""),"")</f>
        <v/>
      </c>
      <c r="L243" s="37">
        <f>IFERROR(IF(AND(ISNUMBER('SW Rev'!P38),ISNUMBER('SW Rev'!O38),'SW Rev'!O38&gt;0),'SW Rev'!P38/'SW Rev'!O38-1,""),"")</f>
        <v/>
      </c>
      <c r="M243" s="38">
        <f>IFERROR(IF(AND(ISNUMBER('SW Rev'!Q38),ISNUMBER('SW Rev'!P38),'SW Rev'!P38&gt;0),'SW Rev'!Q38/'SW Rev'!P38-1,""),"")</f>
        <v/>
      </c>
      <c r="N243" s="38">
        <f>IFERROR(IF(AND(ISNUMBER('SW Rev'!R38),ISNUMBER('SW Rev'!Q38),'SW Rev'!Q38&gt;0),'SW Rev'!R38/'SW Rev'!Q38-1,""),"")</f>
        <v/>
      </c>
    </row>
    <row r="244">
      <c r="A244" s="19">
        <f>'SW Rev'!$A39</f>
        <v/>
      </c>
      <c r="B244" s="19">
        <f>'SW Rev'!$B39</f>
        <v/>
      </c>
      <c r="C244" s="37">
        <f>IFERROR(IF(AND(ISNUMBER('SW Rev'!G39),ISNUMBER('SW Rev'!F39),'SW Rev'!F39&gt;0),'SW Rev'!G39/'SW Rev'!F39-1,""),"")</f>
        <v/>
      </c>
      <c r="D244" s="37">
        <f>IFERROR(IF(AND(ISNUMBER('SW Rev'!H39),ISNUMBER('SW Rev'!G39),'SW Rev'!G39&gt;0),'SW Rev'!H39/'SW Rev'!G39-1,""),"")</f>
        <v/>
      </c>
      <c r="E244" s="37">
        <f>IFERROR(IF(AND(ISNUMBER('SW Rev'!I39),ISNUMBER('SW Rev'!H39),'SW Rev'!H39&gt;0),'SW Rev'!I39/'SW Rev'!H39-1,""),"")</f>
        <v/>
      </c>
      <c r="F244" s="37">
        <f>IFERROR(IF(AND(ISNUMBER('SW Rev'!J39),ISNUMBER('SW Rev'!I39),'SW Rev'!I39&gt;0),'SW Rev'!J39/'SW Rev'!I39-1,""),"")</f>
        <v/>
      </c>
      <c r="G244" s="37">
        <f>IFERROR(IF(AND(ISNUMBER('SW Rev'!K39),ISNUMBER('SW Rev'!J39),'SW Rev'!J39&gt;0),'SW Rev'!K39/'SW Rev'!J39-1,""),"")</f>
        <v/>
      </c>
      <c r="H244" s="37">
        <f>IFERROR(IF(AND(ISNUMBER('SW Rev'!L39),ISNUMBER('SW Rev'!K39),'SW Rev'!K39&gt;0),'SW Rev'!L39/'SW Rev'!K39-1,""),"")</f>
        <v/>
      </c>
      <c r="I244" s="37">
        <f>IFERROR(IF(AND(ISNUMBER('SW Rev'!M39),ISNUMBER('SW Rev'!L39),'SW Rev'!L39&gt;0),'SW Rev'!M39/'SW Rev'!L39-1,""),"")</f>
        <v/>
      </c>
      <c r="J244" s="37">
        <f>IFERROR(IF(AND(ISNUMBER('SW Rev'!N39),ISNUMBER('SW Rev'!M39),'SW Rev'!M39&gt;0),'SW Rev'!N39/'SW Rev'!M39-1,""),"")</f>
        <v/>
      </c>
      <c r="K244" s="37">
        <f>IFERROR(IF(AND(ISNUMBER('SW Rev'!O39),ISNUMBER('SW Rev'!N39),'SW Rev'!N39&gt;0),'SW Rev'!O39/'SW Rev'!N39-1,""),"")</f>
        <v/>
      </c>
      <c r="L244" s="37">
        <f>IFERROR(IF(AND(ISNUMBER('SW Rev'!P39),ISNUMBER('SW Rev'!O39),'SW Rev'!O39&gt;0),'SW Rev'!P39/'SW Rev'!O39-1,""),"")</f>
        <v/>
      </c>
      <c r="M244" s="38">
        <f>IFERROR(IF(AND(ISNUMBER('SW Rev'!Q39),ISNUMBER('SW Rev'!P39),'SW Rev'!P39&gt;0),'SW Rev'!Q39/'SW Rev'!P39-1,""),"")</f>
        <v/>
      </c>
      <c r="N244" s="38">
        <f>IFERROR(IF(AND(ISNUMBER('SW Rev'!R39),ISNUMBER('SW Rev'!Q39),'SW Rev'!Q39&gt;0),'SW Rev'!R39/'SW Rev'!Q39-1,""),"")</f>
        <v/>
      </c>
    </row>
    <row r="245">
      <c r="A245" s="19">
        <f>'SW Rev'!$A40</f>
        <v/>
      </c>
      <c r="B245" s="19">
        <f>'SW Rev'!$B40</f>
        <v/>
      </c>
      <c r="C245" s="37">
        <f>IFERROR(IF(AND(ISNUMBER('SW Rev'!G40),ISNUMBER('SW Rev'!F40),'SW Rev'!F40&gt;0),'SW Rev'!G40/'SW Rev'!F40-1,""),"")</f>
        <v/>
      </c>
      <c r="D245" s="37">
        <f>IFERROR(IF(AND(ISNUMBER('SW Rev'!H40),ISNUMBER('SW Rev'!G40),'SW Rev'!G40&gt;0),'SW Rev'!H40/'SW Rev'!G40-1,""),"")</f>
        <v/>
      </c>
      <c r="E245" s="37">
        <f>IFERROR(IF(AND(ISNUMBER('SW Rev'!I40),ISNUMBER('SW Rev'!H40),'SW Rev'!H40&gt;0),'SW Rev'!I40/'SW Rev'!H40-1,""),"")</f>
        <v/>
      </c>
      <c r="F245" s="37">
        <f>IFERROR(IF(AND(ISNUMBER('SW Rev'!J40),ISNUMBER('SW Rev'!I40),'SW Rev'!I40&gt;0),'SW Rev'!J40/'SW Rev'!I40-1,""),"")</f>
        <v/>
      </c>
      <c r="G245" s="37">
        <f>IFERROR(IF(AND(ISNUMBER('SW Rev'!K40),ISNUMBER('SW Rev'!J40),'SW Rev'!J40&gt;0),'SW Rev'!K40/'SW Rev'!J40-1,""),"")</f>
        <v/>
      </c>
      <c r="H245" s="37">
        <f>IFERROR(IF(AND(ISNUMBER('SW Rev'!L40),ISNUMBER('SW Rev'!K40),'SW Rev'!K40&gt;0),'SW Rev'!L40/'SW Rev'!K40-1,""),"")</f>
        <v/>
      </c>
      <c r="I245" s="37">
        <f>IFERROR(IF(AND(ISNUMBER('SW Rev'!M40),ISNUMBER('SW Rev'!L40),'SW Rev'!L40&gt;0),'SW Rev'!M40/'SW Rev'!L40-1,""),"")</f>
        <v/>
      </c>
      <c r="J245" s="37">
        <f>IFERROR(IF(AND(ISNUMBER('SW Rev'!N40),ISNUMBER('SW Rev'!M40),'SW Rev'!M40&gt;0),'SW Rev'!N40/'SW Rev'!M40-1,""),"")</f>
        <v/>
      </c>
      <c r="K245" s="37">
        <f>IFERROR(IF(AND(ISNUMBER('SW Rev'!O40),ISNUMBER('SW Rev'!N40),'SW Rev'!N40&gt;0),'SW Rev'!O40/'SW Rev'!N40-1,""),"")</f>
        <v/>
      </c>
      <c r="L245" s="37">
        <f>IFERROR(IF(AND(ISNUMBER('SW Rev'!P40),ISNUMBER('SW Rev'!O40),'SW Rev'!O40&gt;0),'SW Rev'!P40/'SW Rev'!O40-1,""),"")</f>
        <v/>
      </c>
      <c r="M245" s="38">
        <f>IFERROR(IF(AND(ISNUMBER('SW Rev'!Q40),ISNUMBER('SW Rev'!P40),'SW Rev'!P40&gt;0),'SW Rev'!Q40/'SW Rev'!P40-1,""),"")</f>
        <v/>
      </c>
      <c r="N245" s="38">
        <f>IFERROR(IF(AND(ISNUMBER('SW Rev'!R40),ISNUMBER('SW Rev'!Q40),'SW Rev'!Q40&gt;0),'SW Rev'!R40/'SW Rev'!Q40-1,""),"")</f>
        <v/>
      </c>
    </row>
    <row r="246">
      <c r="A246" s="19">
        <f>'SW Rev'!$A41</f>
        <v/>
      </c>
      <c r="B246" s="19">
        <f>'SW Rev'!$B41</f>
        <v/>
      </c>
      <c r="C246" s="37">
        <f>IFERROR(IF(AND(ISNUMBER('SW Rev'!G41),ISNUMBER('SW Rev'!F41),'SW Rev'!F41&gt;0),'SW Rev'!G41/'SW Rev'!F41-1,""),"")</f>
        <v/>
      </c>
      <c r="D246" s="37">
        <f>IFERROR(IF(AND(ISNUMBER('SW Rev'!H41),ISNUMBER('SW Rev'!G41),'SW Rev'!G41&gt;0),'SW Rev'!H41/'SW Rev'!G41-1,""),"")</f>
        <v/>
      </c>
      <c r="E246" s="37">
        <f>IFERROR(IF(AND(ISNUMBER('SW Rev'!I41),ISNUMBER('SW Rev'!H41),'SW Rev'!H41&gt;0),'SW Rev'!I41/'SW Rev'!H41-1,""),"")</f>
        <v/>
      </c>
      <c r="F246" s="37">
        <f>IFERROR(IF(AND(ISNUMBER('SW Rev'!J41),ISNUMBER('SW Rev'!I41),'SW Rev'!I41&gt;0),'SW Rev'!J41/'SW Rev'!I41-1,""),"")</f>
        <v/>
      </c>
      <c r="G246" s="37">
        <f>IFERROR(IF(AND(ISNUMBER('SW Rev'!K41),ISNUMBER('SW Rev'!J41),'SW Rev'!J41&gt;0),'SW Rev'!K41/'SW Rev'!J41-1,""),"")</f>
        <v/>
      </c>
      <c r="H246" s="37">
        <f>IFERROR(IF(AND(ISNUMBER('SW Rev'!L41),ISNUMBER('SW Rev'!K41),'SW Rev'!K41&gt;0),'SW Rev'!L41/'SW Rev'!K41-1,""),"")</f>
        <v/>
      </c>
      <c r="I246" s="37">
        <f>IFERROR(IF(AND(ISNUMBER('SW Rev'!M41),ISNUMBER('SW Rev'!L41),'SW Rev'!L41&gt;0),'SW Rev'!M41/'SW Rev'!L41-1,""),"")</f>
        <v/>
      </c>
      <c r="J246" s="37">
        <f>IFERROR(IF(AND(ISNUMBER('SW Rev'!N41),ISNUMBER('SW Rev'!M41),'SW Rev'!M41&gt;0),'SW Rev'!N41/'SW Rev'!M41-1,""),"")</f>
        <v/>
      </c>
      <c r="K246" s="37">
        <f>IFERROR(IF(AND(ISNUMBER('SW Rev'!O41),ISNUMBER('SW Rev'!N41),'SW Rev'!N41&gt;0),'SW Rev'!O41/'SW Rev'!N41-1,""),"")</f>
        <v/>
      </c>
      <c r="L246" s="37">
        <f>IFERROR(IF(AND(ISNUMBER('SW Rev'!P41),ISNUMBER('SW Rev'!O41),'SW Rev'!O41&gt;0),'SW Rev'!P41/'SW Rev'!O41-1,""),"")</f>
        <v/>
      </c>
      <c r="M246" s="38">
        <f>IFERROR(IF(AND(ISNUMBER('SW Rev'!Q41),ISNUMBER('SW Rev'!P41),'SW Rev'!P41&gt;0),'SW Rev'!Q41/'SW Rev'!P41-1,""),"")</f>
        <v/>
      </c>
      <c r="N246" s="38">
        <f>IFERROR(IF(AND(ISNUMBER('SW Rev'!R41),ISNUMBER('SW Rev'!Q41),'SW Rev'!Q41&gt;0),'SW Rev'!R41/'SW Rev'!Q41-1,""),"")</f>
        <v/>
      </c>
    </row>
    <row r="247">
      <c r="A247" s="19">
        <f>'SW Rev'!$A42</f>
        <v/>
      </c>
      <c r="B247" s="19">
        <f>'SW Rev'!$B42</f>
        <v/>
      </c>
      <c r="C247" s="37">
        <f>IFERROR(IF(AND(ISNUMBER('SW Rev'!G42),ISNUMBER('SW Rev'!F42),'SW Rev'!F42&gt;0),'SW Rev'!G42/'SW Rev'!F42-1,""),"")</f>
        <v/>
      </c>
      <c r="D247" s="37">
        <f>IFERROR(IF(AND(ISNUMBER('SW Rev'!H42),ISNUMBER('SW Rev'!G42),'SW Rev'!G42&gt;0),'SW Rev'!H42/'SW Rev'!G42-1,""),"")</f>
        <v/>
      </c>
      <c r="E247" s="37">
        <f>IFERROR(IF(AND(ISNUMBER('SW Rev'!I42),ISNUMBER('SW Rev'!H42),'SW Rev'!H42&gt;0),'SW Rev'!I42/'SW Rev'!H42-1,""),"")</f>
        <v/>
      </c>
      <c r="F247" s="37">
        <f>IFERROR(IF(AND(ISNUMBER('SW Rev'!J42),ISNUMBER('SW Rev'!I42),'SW Rev'!I42&gt;0),'SW Rev'!J42/'SW Rev'!I42-1,""),"")</f>
        <v/>
      </c>
      <c r="G247" s="37">
        <f>IFERROR(IF(AND(ISNUMBER('SW Rev'!K42),ISNUMBER('SW Rev'!J42),'SW Rev'!J42&gt;0),'SW Rev'!K42/'SW Rev'!J42-1,""),"")</f>
        <v/>
      </c>
      <c r="H247" s="37">
        <f>IFERROR(IF(AND(ISNUMBER('SW Rev'!L42),ISNUMBER('SW Rev'!K42),'SW Rev'!K42&gt;0),'SW Rev'!L42/'SW Rev'!K42-1,""),"")</f>
        <v/>
      </c>
      <c r="I247" s="37">
        <f>IFERROR(IF(AND(ISNUMBER('SW Rev'!M42),ISNUMBER('SW Rev'!L42),'SW Rev'!L42&gt;0),'SW Rev'!M42/'SW Rev'!L42-1,""),"")</f>
        <v/>
      </c>
      <c r="J247" s="37">
        <f>IFERROR(IF(AND(ISNUMBER('SW Rev'!N42),ISNUMBER('SW Rev'!M42),'SW Rev'!M42&gt;0),'SW Rev'!N42/'SW Rev'!M42-1,""),"")</f>
        <v/>
      </c>
      <c r="K247" s="37">
        <f>IFERROR(IF(AND(ISNUMBER('SW Rev'!O42),ISNUMBER('SW Rev'!N42),'SW Rev'!N42&gt;0),'SW Rev'!O42/'SW Rev'!N42-1,""),"")</f>
        <v/>
      </c>
      <c r="L247" s="37">
        <f>IFERROR(IF(AND(ISNUMBER('SW Rev'!P42),ISNUMBER('SW Rev'!O42),'SW Rev'!O42&gt;0),'SW Rev'!P42/'SW Rev'!O42-1,""),"")</f>
        <v/>
      </c>
      <c r="M247" s="38">
        <f>IFERROR(IF(AND(ISNUMBER('SW Rev'!Q42),ISNUMBER('SW Rev'!P42),'SW Rev'!P42&gt;0),'SW Rev'!Q42/'SW Rev'!P42-1,""),"")</f>
        <v/>
      </c>
      <c r="N247" s="38">
        <f>IFERROR(IF(AND(ISNUMBER('SW Rev'!R42),ISNUMBER('SW Rev'!Q42),'SW Rev'!Q42&gt;0),'SW Rev'!R42/'SW Rev'!Q42-1,""),"")</f>
        <v/>
      </c>
    </row>
    <row r="248">
      <c r="A248" s="19">
        <f>'SW Rev'!$A43</f>
        <v/>
      </c>
      <c r="B248" s="19">
        <f>'SW Rev'!$B43</f>
        <v/>
      </c>
      <c r="C248" s="37">
        <f>IFERROR(IF(AND(ISNUMBER('SW Rev'!G43),ISNUMBER('SW Rev'!F43),'SW Rev'!F43&gt;0),'SW Rev'!G43/'SW Rev'!F43-1,""),"")</f>
        <v/>
      </c>
      <c r="D248" s="37">
        <f>IFERROR(IF(AND(ISNUMBER('SW Rev'!H43),ISNUMBER('SW Rev'!G43),'SW Rev'!G43&gt;0),'SW Rev'!H43/'SW Rev'!G43-1,""),"")</f>
        <v/>
      </c>
      <c r="E248" s="37">
        <f>IFERROR(IF(AND(ISNUMBER('SW Rev'!I43),ISNUMBER('SW Rev'!H43),'SW Rev'!H43&gt;0),'SW Rev'!I43/'SW Rev'!H43-1,""),"")</f>
        <v/>
      </c>
      <c r="F248" s="37">
        <f>IFERROR(IF(AND(ISNUMBER('SW Rev'!J43),ISNUMBER('SW Rev'!I43),'SW Rev'!I43&gt;0),'SW Rev'!J43/'SW Rev'!I43-1,""),"")</f>
        <v/>
      </c>
      <c r="G248" s="37">
        <f>IFERROR(IF(AND(ISNUMBER('SW Rev'!K43),ISNUMBER('SW Rev'!J43),'SW Rev'!J43&gt;0),'SW Rev'!K43/'SW Rev'!J43-1,""),"")</f>
        <v/>
      </c>
      <c r="H248" s="37">
        <f>IFERROR(IF(AND(ISNUMBER('SW Rev'!L43),ISNUMBER('SW Rev'!K43),'SW Rev'!K43&gt;0),'SW Rev'!L43/'SW Rev'!K43-1,""),"")</f>
        <v/>
      </c>
      <c r="I248" s="37">
        <f>IFERROR(IF(AND(ISNUMBER('SW Rev'!M43),ISNUMBER('SW Rev'!L43),'SW Rev'!L43&gt;0),'SW Rev'!M43/'SW Rev'!L43-1,""),"")</f>
        <v/>
      </c>
      <c r="J248" s="37">
        <f>IFERROR(IF(AND(ISNUMBER('SW Rev'!N43),ISNUMBER('SW Rev'!M43),'SW Rev'!M43&gt;0),'SW Rev'!N43/'SW Rev'!M43-1,""),"")</f>
        <v/>
      </c>
      <c r="K248" s="37">
        <f>IFERROR(IF(AND(ISNUMBER('SW Rev'!O43),ISNUMBER('SW Rev'!N43),'SW Rev'!N43&gt;0),'SW Rev'!O43/'SW Rev'!N43-1,""),"")</f>
        <v/>
      </c>
      <c r="L248" s="37">
        <f>IFERROR(IF(AND(ISNUMBER('SW Rev'!P43),ISNUMBER('SW Rev'!O43),'SW Rev'!O43&gt;0),'SW Rev'!P43/'SW Rev'!O43-1,""),"")</f>
        <v/>
      </c>
      <c r="M248" s="38">
        <f>IFERROR(IF(AND(ISNUMBER('SW Rev'!Q43),ISNUMBER('SW Rev'!P43),'SW Rev'!P43&gt;0),'SW Rev'!Q43/'SW Rev'!P43-1,""),"")</f>
        <v/>
      </c>
      <c r="N248" s="38">
        <f>IFERROR(IF(AND(ISNUMBER('SW Rev'!R43),ISNUMBER('SW Rev'!Q43),'SW Rev'!Q43&gt;0),'SW Rev'!R43/'SW Rev'!Q43-1,""),"")</f>
        <v/>
      </c>
    </row>
    <row r="249">
      <c r="A249" s="19">
        <f>'SW Rev'!$A44</f>
        <v/>
      </c>
      <c r="B249" s="19">
        <f>'SW Rev'!$B44</f>
        <v/>
      </c>
      <c r="C249" s="37">
        <f>IFERROR(IF(AND(ISNUMBER('SW Rev'!G44),ISNUMBER('SW Rev'!F44),'SW Rev'!F44&gt;0),'SW Rev'!G44/'SW Rev'!F44-1,""),"")</f>
        <v/>
      </c>
      <c r="D249" s="37">
        <f>IFERROR(IF(AND(ISNUMBER('SW Rev'!H44),ISNUMBER('SW Rev'!G44),'SW Rev'!G44&gt;0),'SW Rev'!H44/'SW Rev'!G44-1,""),"")</f>
        <v/>
      </c>
      <c r="E249" s="37">
        <f>IFERROR(IF(AND(ISNUMBER('SW Rev'!I44),ISNUMBER('SW Rev'!H44),'SW Rev'!H44&gt;0),'SW Rev'!I44/'SW Rev'!H44-1,""),"")</f>
        <v/>
      </c>
      <c r="F249" s="37">
        <f>IFERROR(IF(AND(ISNUMBER('SW Rev'!J44),ISNUMBER('SW Rev'!I44),'SW Rev'!I44&gt;0),'SW Rev'!J44/'SW Rev'!I44-1,""),"")</f>
        <v/>
      </c>
      <c r="G249" s="37">
        <f>IFERROR(IF(AND(ISNUMBER('SW Rev'!K44),ISNUMBER('SW Rev'!J44),'SW Rev'!J44&gt;0),'SW Rev'!K44/'SW Rev'!J44-1,""),"")</f>
        <v/>
      </c>
      <c r="H249" s="37">
        <f>IFERROR(IF(AND(ISNUMBER('SW Rev'!L44),ISNUMBER('SW Rev'!K44),'SW Rev'!K44&gt;0),'SW Rev'!L44/'SW Rev'!K44-1,""),"")</f>
        <v/>
      </c>
      <c r="I249" s="37">
        <f>IFERROR(IF(AND(ISNUMBER('SW Rev'!M44),ISNUMBER('SW Rev'!L44),'SW Rev'!L44&gt;0),'SW Rev'!M44/'SW Rev'!L44-1,""),"")</f>
        <v/>
      </c>
      <c r="J249" s="37">
        <f>IFERROR(IF(AND(ISNUMBER('SW Rev'!N44),ISNUMBER('SW Rev'!M44),'SW Rev'!M44&gt;0),'SW Rev'!N44/'SW Rev'!M44-1,""),"")</f>
        <v/>
      </c>
      <c r="K249" s="37">
        <f>IFERROR(IF(AND(ISNUMBER('SW Rev'!O44),ISNUMBER('SW Rev'!N44),'SW Rev'!N44&gt;0),'SW Rev'!O44/'SW Rev'!N44-1,""),"")</f>
        <v/>
      </c>
      <c r="L249" s="37">
        <f>IFERROR(IF(AND(ISNUMBER('SW Rev'!P44),ISNUMBER('SW Rev'!O44),'SW Rev'!O44&gt;0),'SW Rev'!P44/'SW Rev'!O44-1,""),"")</f>
        <v/>
      </c>
      <c r="M249" s="38">
        <f>IFERROR(IF(AND(ISNUMBER('SW Rev'!Q44),ISNUMBER('SW Rev'!P44),'SW Rev'!P44&gt;0),'SW Rev'!Q44/'SW Rev'!P44-1,""),"")</f>
        <v/>
      </c>
      <c r="N249" s="38">
        <f>IFERROR(IF(AND(ISNUMBER('SW Rev'!R44),ISNUMBER('SW Rev'!Q44),'SW Rev'!Q44&gt;0),'SW Rev'!R44/'SW Rev'!Q44-1,""),"")</f>
        <v/>
      </c>
    </row>
    <row r="250">
      <c r="A250" s="19">
        <f>'SW Rev'!$A45</f>
        <v/>
      </c>
      <c r="B250" s="19">
        <f>'SW Rev'!$B45</f>
        <v/>
      </c>
      <c r="C250" s="37">
        <f>IFERROR(IF(AND(ISNUMBER('SW Rev'!G45),ISNUMBER('SW Rev'!F45),'SW Rev'!F45&gt;0),'SW Rev'!G45/'SW Rev'!F45-1,""),"")</f>
        <v/>
      </c>
      <c r="D250" s="37">
        <f>IFERROR(IF(AND(ISNUMBER('SW Rev'!H45),ISNUMBER('SW Rev'!G45),'SW Rev'!G45&gt;0),'SW Rev'!H45/'SW Rev'!G45-1,""),"")</f>
        <v/>
      </c>
      <c r="E250" s="37">
        <f>IFERROR(IF(AND(ISNUMBER('SW Rev'!I45),ISNUMBER('SW Rev'!H45),'SW Rev'!H45&gt;0),'SW Rev'!I45/'SW Rev'!H45-1,""),"")</f>
        <v/>
      </c>
      <c r="F250" s="37">
        <f>IFERROR(IF(AND(ISNUMBER('SW Rev'!J45),ISNUMBER('SW Rev'!I45),'SW Rev'!I45&gt;0),'SW Rev'!J45/'SW Rev'!I45-1,""),"")</f>
        <v/>
      </c>
      <c r="G250" s="37">
        <f>IFERROR(IF(AND(ISNUMBER('SW Rev'!K45),ISNUMBER('SW Rev'!J45),'SW Rev'!J45&gt;0),'SW Rev'!K45/'SW Rev'!J45-1,""),"")</f>
        <v/>
      </c>
      <c r="H250" s="37">
        <f>IFERROR(IF(AND(ISNUMBER('SW Rev'!L45),ISNUMBER('SW Rev'!K45),'SW Rev'!K45&gt;0),'SW Rev'!L45/'SW Rev'!K45-1,""),"")</f>
        <v/>
      </c>
      <c r="I250" s="37">
        <f>IFERROR(IF(AND(ISNUMBER('SW Rev'!M45),ISNUMBER('SW Rev'!L45),'SW Rev'!L45&gt;0),'SW Rev'!M45/'SW Rev'!L45-1,""),"")</f>
        <v/>
      </c>
      <c r="J250" s="37">
        <f>IFERROR(IF(AND(ISNUMBER('SW Rev'!N45),ISNUMBER('SW Rev'!M45),'SW Rev'!M45&gt;0),'SW Rev'!N45/'SW Rev'!M45-1,""),"")</f>
        <v/>
      </c>
      <c r="K250" s="37">
        <f>IFERROR(IF(AND(ISNUMBER('SW Rev'!O45),ISNUMBER('SW Rev'!N45),'SW Rev'!N45&gt;0),'SW Rev'!O45/'SW Rev'!N45-1,""),"")</f>
        <v/>
      </c>
      <c r="L250" s="37">
        <f>IFERROR(IF(AND(ISNUMBER('SW Rev'!P45),ISNUMBER('SW Rev'!O45),'SW Rev'!O45&gt;0),'SW Rev'!P45/'SW Rev'!O45-1,""),"")</f>
        <v/>
      </c>
      <c r="M250" s="38">
        <f>IFERROR(IF(AND(ISNUMBER('SW Rev'!Q45),ISNUMBER('SW Rev'!P45),'SW Rev'!P45&gt;0),'SW Rev'!Q45/'SW Rev'!P45-1,""),"")</f>
        <v/>
      </c>
      <c r="N250" s="38">
        <f>IFERROR(IF(AND(ISNUMBER('SW Rev'!R45),ISNUMBER('SW Rev'!Q45),'SW Rev'!Q45&gt;0),'SW Rev'!R45/'SW Rev'!Q45-1,""),"")</f>
        <v/>
      </c>
    </row>
    <row r="251">
      <c r="A251" s="19">
        <f>'SW Rev'!$A46</f>
        <v/>
      </c>
      <c r="B251" s="19">
        <f>'SW Rev'!$B46</f>
        <v/>
      </c>
      <c r="C251" s="37">
        <f>IFERROR(IF(AND(ISNUMBER('SW Rev'!G46),ISNUMBER('SW Rev'!F46),'SW Rev'!F46&gt;0),'SW Rev'!G46/'SW Rev'!F46-1,""),"")</f>
        <v/>
      </c>
      <c r="D251" s="37">
        <f>IFERROR(IF(AND(ISNUMBER('SW Rev'!H46),ISNUMBER('SW Rev'!G46),'SW Rev'!G46&gt;0),'SW Rev'!H46/'SW Rev'!G46-1,""),"")</f>
        <v/>
      </c>
      <c r="E251" s="37">
        <f>IFERROR(IF(AND(ISNUMBER('SW Rev'!I46),ISNUMBER('SW Rev'!H46),'SW Rev'!H46&gt;0),'SW Rev'!I46/'SW Rev'!H46-1,""),"")</f>
        <v/>
      </c>
      <c r="F251" s="37">
        <f>IFERROR(IF(AND(ISNUMBER('SW Rev'!J46),ISNUMBER('SW Rev'!I46),'SW Rev'!I46&gt;0),'SW Rev'!J46/'SW Rev'!I46-1,""),"")</f>
        <v/>
      </c>
      <c r="G251" s="37">
        <f>IFERROR(IF(AND(ISNUMBER('SW Rev'!K46),ISNUMBER('SW Rev'!J46),'SW Rev'!J46&gt;0),'SW Rev'!K46/'SW Rev'!J46-1,""),"")</f>
        <v/>
      </c>
      <c r="H251" s="37">
        <f>IFERROR(IF(AND(ISNUMBER('SW Rev'!L46),ISNUMBER('SW Rev'!K46),'SW Rev'!K46&gt;0),'SW Rev'!L46/'SW Rev'!K46-1,""),"")</f>
        <v/>
      </c>
      <c r="I251" s="37">
        <f>IFERROR(IF(AND(ISNUMBER('SW Rev'!M46),ISNUMBER('SW Rev'!L46),'SW Rev'!L46&gt;0),'SW Rev'!M46/'SW Rev'!L46-1,""),"")</f>
        <v/>
      </c>
      <c r="J251" s="37">
        <f>IFERROR(IF(AND(ISNUMBER('SW Rev'!N46),ISNUMBER('SW Rev'!M46),'SW Rev'!M46&gt;0),'SW Rev'!N46/'SW Rev'!M46-1,""),"")</f>
        <v/>
      </c>
      <c r="K251" s="37">
        <f>IFERROR(IF(AND(ISNUMBER('SW Rev'!O46),ISNUMBER('SW Rev'!N46),'SW Rev'!N46&gt;0),'SW Rev'!O46/'SW Rev'!N46-1,""),"")</f>
        <v/>
      </c>
      <c r="L251" s="37">
        <f>IFERROR(IF(AND(ISNUMBER('SW Rev'!P46),ISNUMBER('SW Rev'!O46),'SW Rev'!O46&gt;0),'SW Rev'!P46/'SW Rev'!O46-1,""),"")</f>
        <v/>
      </c>
      <c r="M251" s="38">
        <f>IFERROR(IF(AND(ISNUMBER('SW Rev'!Q46),ISNUMBER('SW Rev'!P46),'SW Rev'!P46&gt;0),'SW Rev'!Q46/'SW Rev'!P46-1,""),"")</f>
        <v/>
      </c>
      <c r="N251" s="38">
        <f>IFERROR(IF(AND(ISNUMBER('SW Rev'!R46),ISNUMBER('SW Rev'!Q46),'SW Rev'!Q46&gt;0),'SW Rev'!R46/'SW Rev'!Q46-1,""),"")</f>
        <v/>
      </c>
    </row>
    <row r="252">
      <c r="A252" s="19">
        <f>'SW Rev'!$A47</f>
        <v/>
      </c>
      <c r="B252" s="19">
        <f>'SW Rev'!$B47</f>
        <v/>
      </c>
      <c r="C252" s="37">
        <f>IFERROR(IF(AND(ISNUMBER('SW Rev'!G47),ISNUMBER('SW Rev'!F47),'SW Rev'!F47&gt;0),'SW Rev'!G47/'SW Rev'!F47-1,""),"")</f>
        <v/>
      </c>
      <c r="D252" s="37">
        <f>IFERROR(IF(AND(ISNUMBER('SW Rev'!H47),ISNUMBER('SW Rev'!G47),'SW Rev'!G47&gt;0),'SW Rev'!H47/'SW Rev'!G47-1,""),"")</f>
        <v/>
      </c>
      <c r="E252" s="37">
        <f>IFERROR(IF(AND(ISNUMBER('SW Rev'!I47),ISNUMBER('SW Rev'!H47),'SW Rev'!H47&gt;0),'SW Rev'!I47/'SW Rev'!H47-1,""),"")</f>
        <v/>
      </c>
      <c r="F252" s="37">
        <f>IFERROR(IF(AND(ISNUMBER('SW Rev'!J47),ISNUMBER('SW Rev'!I47),'SW Rev'!I47&gt;0),'SW Rev'!J47/'SW Rev'!I47-1,""),"")</f>
        <v/>
      </c>
      <c r="G252" s="37">
        <f>IFERROR(IF(AND(ISNUMBER('SW Rev'!K47),ISNUMBER('SW Rev'!J47),'SW Rev'!J47&gt;0),'SW Rev'!K47/'SW Rev'!J47-1,""),"")</f>
        <v/>
      </c>
      <c r="H252" s="37">
        <f>IFERROR(IF(AND(ISNUMBER('SW Rev'!L47),ISNUMBER('SW Rev'!K47),'SW Rev'!K47&gt;0),'SW Rev'!L47/'SW Rev'!K47-1,""),"")</f>
        <v/>
      </c>
      <c r="I252" s="37">
        <f>IFERROR(IF(AND(ISNUMBER('SW Rev'!M47),ISNUMBER('SW Rev'!L47),'SW Rev'!L47&gt;0),'SW Rev'!M47/'SW Rev'!L47-1,""),"")</f>
        <v/>
      </c>
      <c r="J252" s="37">
        <f>IFERROR(IF(AND(ISNUMBER('SW Rev'!N47),ISNUMBER('SW Rev'!M47),'SW Rev'!M47&gt;0),'SW Rev'!N47/'SW Rev'!M47-1,""),"")</f>
        <v/>
      </c>
      <c r="K252" s="37">
        <f>IFERROR(IF(AND(ISNUMBER('SW Rev'!O47),ISNUMBER('SW Rev'!N47),'SW Rev'!N47&gt;0),'SW Rev'!O47/'SW Rev'!N47-1,""),"")</f>
        <v/>
      </c>
      <c r="L252" s="37">
        <f>IFERROR(IF(AND(ISNUMBER('SW Rev'!P47),ISNUMBER('SW Rev'!O47),'SW Rev'!O47&gt;0),'SW Rev'!P47/'SW Rev'!O47-1,""),"")</f>
        <v/>
      </c>
      <c r="M252" s="38">
        <f>IFERROR(IF(AND(ISNUMBER('SW Rev'!Q47),ISNUMBER('SW Rev'!P47),'SW Rev'!P47&gt;0),'SW Rev'!Q47/'SW Rev'!P47-1,""),"")</f>
        <v/>
      </c>
      <c r="N252" s="38">
        <f>IFERROR(IF(AND(ISNUMBER('SW Rev'!R47),ISNUMBER('SW Rev'!Q47),'SW Rev'!Q47&gt;0),'SW Rev'!R47/'SW Rev'!Q47-1,""),"")</f>
        <v/>
      </c>
    </row>
    <row r="253">
      <c r="A253" s="19">
        <f>'SW Rev'!$A48</f>
        <v/>
      </c>
      <c r="B253" s="19">
        <f>'SW Rev'!$B48</f>
        <v/>
      </c>
      <c r="C253" s="37">
        <f>IFERROR(IF(AND(ISNUMBER('SW Rev'!G48),ISNUMBER('SW Rev'!F48),'SW Rev'!F48&gt;0),'SW Rev'!G48/'SW Rev'!F48-1,""),"")</f>
        <v/>
      </c>
      <c r="D253" s="37">
        <f>IFERROR(IF(AND(ISNUMBER('SW Rev'!H48),ISNUMBER('SW Rev'!G48),'SW Rev'!G48&gt;0),'SW Rev'!H48/'SW Rev'!G48-1,""),"")</f>
        <v/>
      </c>
      <c r="E253" s="37">
        <f>IFERROR(IF(AND(ISNUMBER('SW Rev'!I48),ISNUMBER('SW Rev'!H48),'SW Rev'!H48&gt;0),'SW Rev'!I48/'SW Rev'!H48-1,""),"")</f>
        <v/>
      </c>
      <c r="F253" s="37">
        <f>IFERROR(IF(AND(ISNUMBER('SW Rev'!J48),ISNUMBER('SW Rev'!I48),'SW Rev'!I48&gt;0),'SW Rev'!J48/'SW Rev'!I48-1,""),"")</f>
        <v/>
      </c>
      <c r="G253" s="37">
        <f>IFERROR(IF(AND(ISNUMBER('SW Rev'!K48),ISNUMBER('SW Rev'!J48),'SW Rev'!J48&gt;0),'SW Rev'!K48/'SW Rev'!J48-1,""),"")</f>
        <v/>
      </c>
      <c r="H253" s="37">
        <f>IFERROR(IF(AND(ISNUMBER('SW Rev'!L48),ISNUMBER('SW Rev'!K48),'SW Rev'!K48&gt;0),'SW Rev'!L48/'SW Rev'!K48-1,""),"")</f>
        <v/>
      </c>
      <c r="I253" s="37">
        <f>IFERROR(IF(AND(ISNUMBER('SW Rev'!M48),ISNUMBER('SW Rev'!L48),'SW Rev'!L48&gt;0),'SW Rev'!M48/'SW Rev'!L48-1,""),"")</f>
        <v/>
      </c>
      <c r="J253" s="37">
        <f>IFERROR(IF(AND(ISNUMBER('SW Rev'!N48),ISNUMBER('SW Rev'!M48),'SW Rev'!M48&gt;0),'SW Rev'!N48/'SW Rev'!M48-1,""),"")</f>
        <v/>
      </c>
      <c r="K253" s="37">
        <f>IFERROR(IF(AND(ISNUMBER('SW Rev'!O48),ISNUMBER('SW Rev'!N48),'SW Rev'!N48&gt;0),'SW Rev'!O48/'SW Rev'!N48-1,""),"")</f>
        <v/>
      </c>
      <c r="L253" s="37">
        <f>IFERROR(IF(AND(ISNUMBER('SW Rev'!P48),ISNUMBER('SW Rev'!O48),'SW Rev'!O48&gt;0),'SW Rev'!P48/'SW Rev'!O48-1,""),"")</f>
        <v/>
      </c>
      <c r="M253" s="38">
        <f>IFERROR(IF(AND(ISNUMBER('SW Rev'!Q48),ISNUMBER('SW Rev'!P48),'SW Rev'!P48&gt;0),'SW Rev'!Q48/'SW Rev'!P48-1,""),"")</f>
        <v/>
      </c>
      <c r="N253" s="38">
        <f>IFERROR(IF(AND(ISNUMBER('SW Rev'!R48),ISNUMBER('SW Rev'!Q48),'SW Rev'!Q48&gt;0),'SW Rev'!R48/'SW Rev'!Q48-1,""),"")</f>
        <v/>
      </c>
    </row>
    <row r="254">
      <c r="A254" s="19">
        <f>'SW Rev'!$A49</f>
        <v/>
      </c>
      <c r="B254" s="19">
        <f>'SW Rev'!$B49</f>
        <v/>
      </c>
      <c r="C254" s="37">
        <f>IFERROR(IF(AND(ISNUMBER('SW Rev'!G49),ISNUMBER('SW Rev'!F49),'SW Rev'!F49&gt;0),'SW Rev'!G49/'SW Rev'!F49-1,""),"")</f>
        <v/>
      </c>
      <c r="D254" s="37">
        <f>IFERROR(IF(AND(ISNUMBER('SW Rev'!H49),ISNUMBER('SW Rev'!G49),'SW Rev'!G49&gt;0),'SW Rev'!H49/'SW Rev'!G49-1,""),"")</f>
        <v/>
      </c>
      <c r="E254" s="37">
        <f>IFERROR(IF(AND(ISNUMBER('SW Rev'!I49),ISNUMBER('SW Rev'!H49),'SW Rev'!H49&gt;0),'SW Rev'!I49/'SW Rev'!H49-1,""),"")</f>
        <v/>
      </c>
      <c r="F254" s="37">
        <f>IFERROR(IF(AND(ISNUMBER('SW Rev'!J49),ISNUMBER('SW Rev'!I49),'SW Rev'!I49&gt;0),'SW Rev'!J49/'SW Rev'!I49-1,""),"")</f>
        <v/>
      </c>
      <c r="G254" s="37">
        <f>IFERROR(IF(AND(ISNUMBER('SW Rev'!K49),ISNUMBER('SW Rev'!J49),'SW Rev'!J49&gt;0),'SW Rev'!K49/'SW Rev'!J49-1,""),"")</f>
        <v/>
      </c>
      <c r="H254" s="37">
        <f>IFERROR(IF(AND(ISNUMBER('SW Rev'!L49),ISNUMBER('SW Rev'!K49),'SW Rev'!K49&gt;0),'SW Rev'!L49/'SW Rev'!K49-1,""),"")</f>
        <v/>
      </c>
      <c r="I254" s="37">
        <f>IFERROR(IF(AND(ISNUMBER('SW Rev'!M49),ISNUMBER('SW Rev'!L49),'SW Rev'!L49&gt;0),'SW Rev'!M49/'SW Rev'!L49-1,""),"")</f>
        <v/>
      </c>
      <c r="J254" s="37">
        <f>IFERROR(IF(AND(ISNUMBER('SW Rev'!N49),ISNUMBER('SW Rev'!M49),'SW Rev'!M49&gt;0),'SW Rev'!N49/'SW Rev'!M49-1,""),"")</f>
        <v/>
      </c>
      <c r="K254" s="37">
        <f>IFERROR(IF(AND(ISNUMBER('SW Rev'!O49),ISNUMBER('SW Rev'!N49),'SW Rev'!N49&gt;0),'SW Rev'!O49/'SW Rev'!N49-1,""),"")</f>
        <v/>
      </c>
      <c r="L254" s="37">
        <f>IFERROR(IF(AND(ISNUMBER('SW Rev'!P49),ISNUMBER('SW Rev'!O49),'SW Rev'!O49&gt;0),'SW Rev'!P49/'SW Rev'!O49-1,""),"")</f>
        <v/>
      </c>
      <c r="M254" s="38">
        <f>IFERROR(IF(AND(ISNUMBER('SW Rev'!Q49),ISNUMBER('SW Rev'!P49),'SW Rev'!P49&gt;0),'SW Rev'!Q49/'SW Rev'!P49-1,""),"")</f>
        <v/>
      </c>
      <c r="N254" s="38">
        <f>IFERROR(IF(AND(ISNUMBER('SW Rev'!R49),ISNUMBER('SW Rev'!Q49),'SW Rev'!Q49&gt;0),'SW Rev'!R49/'SW Rev'!Q49-1,""),"")</f>
        <v/>
      </c>
    </row>
    <row r="255">
      <c r="A255" s="19">
        <f>'SW Rev'!$A50</f>
        <v/>
      </c>
      <c r="B255" s="19">
        <f>'SW Rev'!$B50</f>
        <v/>
      </c>
      <c r="C255" s="37">
        <f>IFERROR(IF(AND(ISNUMBER('SW Rev'!G50),ISNUMBER('SW Rev'!F50),'SW Rev'!F50&gt;0),'SW Rev'!G50/'SW Rev'!F50-1,""),"")</f>
        <v/>
      </c>
      <c r="D255" s="37">
        <f>IFERROR(IF(AND(ISNUMBER('SW Rev'!H50),ISNUMBER('SW Rev'!G50),'SW Rev'!G50&gt;0),'SW Rev'!H50/'SW Rev'!G50-1,""),"")</f>
        <v/>
      </c>
      <c r="E255" s="37">
        <f>IFERROR(IF(AND(ISNUMBER('SW Rev'!I50),ISNUMBER('SW Rev'!H50),'SW Rev'!H50&gt;0),'SW Rev'!I50/'SW Rev'!H50-1,""),"")</f>
        <v/>
      </c>
      <c r="F255" s="37">
        <f>IFERROR(IF(AND(ISNUMBER('SW Rev'!J50),ISNUMBER('SW Rev'!I50),'SW Rev'!I50&gt;0),'SW Rev'!J50/'SW Rev'!I50-1,""),"")</f>
        <v/>
      </c>
      <c r="G255" s="37">
        <f>IFERROR(IF(AND(ISNUMBER('SW Rev'!K50),ISNUMBER('SW Rev'!J50),'SW Rev'!J50&gt;0),'SW Rev'!K50/'SW Rev'!J50-1,""),"")</f>
        <v/>
      </c>
      <c r="H255" s="37">
        <f>IFERROR(IF(AND(ISNUMBER('SW Rev'!L50),ISNUMBER('SW Rev'!K50),'SW Rev'!K50&gt;0),'SW Rev'!L50/'SW Rev'!K50-1,""),"")</f>
        <v/>
      </c>
      <c r="I255" s="37">
        <f>IFERROR(IF(AND(ISNUMBER('SW Rev'!M50),ISNUMBER('SW Rev'!L50),'SW Rev'!L50&gt;0),'SW Rev'!M50/'SW Rev'!L50-1,""),"")</f>
        <v/>
      </c>
      <c r="J255" s="37">
        <f>IFERROR(IF(AND(ISNUMBER('SW Rev'!N50),ISNUMBER('SW Rev'!M50),'SW Rev'!M50&gt;0),'SW Rev'!N50/'SW Rev'!M50-1,""),"")</f>
        <v/>
      </c>
      <c r="K255" s="37">
        <f>IFERROR(IF(AND(ISNUMBER('SW Rev'!O50),ISNUMBER('SW Rev'!N50),'SW Rev'!N50&gt;0),'SW Rev'!O50/'SW Rev'!N50-1,""),"")</f>
        <v/>
      </c>
      <c r="L255" s="37">
        <f>IFERROR(IF(AND(ISNUMBER('SW Rev'!P50),ISNUMBER('SW Rev'!O50),'SW Rev'!O50&gt;0),'SW Rev'!P50/'SW Rev'!O50-1,""),"")</f>
        <v/>
      </c>
      <c r="M255" s="38">
        <f>IFERROR(IF(AND(ISNUMBER('SW Rev'!Q50),ISNUMBER('SW Rev'!P50),'SW Rev'!P50&gt;0),'SW Rev'!Q50/'SW Rev'!P50-1,""),"")</f>
        <v/>
      </c>
      <c r="N255" s="38">
        <f>IFERROR(IF(AND(ISNUMBER('SW Rev'!R50),ISNUMBER('SW Rev'!Q50),'SW Rev'!Q50&gt;0),'SW Rev'!R50/'SW Rev'!Q50-1,""),"")</f>
        <v/>
      </c>
    </row>
    <row r="256">
      <c r="A256" s="19">
        <f>'SW Rev'!$A51</f>
        <v/>
      </c>
      <c r="B256" s="19">
        <f>'SW Rev'!$B51</f>
        <v/>
      </c>
      <c r="C256" s="37">
        <f>IFERROR(IF(AND(ISNUMBER('SW Rev'!G51),ISNUMBER('SW Rev'!F51),'SW Rev'!F51&gt;0),'SW Rev'!G51/'SW Rev'!F51-1,""),"")</f>
        <v/>
      </c>
      <c r="D256" s="37">
        <f>IFERROR(IF(AND(ISNUMBER('SW Rev'!H51),ISNUMBER('SW Rev'!G51),'SW Rev'!G51&gt;0),'SW Rev'!H51/'SW Rev'!G51-1,""),"")</f>
        <v/>
      </c>
      <c r="E256" s="37">
        <f>IFERROR(IF(AND(ISNUMBER('SW Rev'!I51),ISNUMBER('SW Rev'!H51),'SW Rev'!H51&gt;0),'SW Rev'!I51/'SW Rev'!H51-1,""),"")</f>
        <v/>
      </c>
      <c r="F256" s="37">
        <f>IFERROR(IF(AND(ISNUMBER('SW Rev'!J51),ISNUMBER('SW Rev'!I51),'SW Rev'!I51&gt;0),'SW Rev'!J51/'SW Rev'!I51-1,""),"")</f>
        <v/>
      </c>
      <c r="G256" s="37">
        <f>IFERROR(IF(AND(ISNUMBER('SW Rev'!K51),ISNUMBER('SW Rev'!J51),'SW Rev'!J51&gt;0),'SW Rev'!K51/'SW Rev'!J51-1,""),"")</f>
        <v/>
      </c>
      <c r="H256" s="37">
        <f>IFERROR(IF(AND(ISNUMBER('SW Rev'!L51),ISNUMBER('SW Rev'!K51),'SW Rev'!K51&gt;0),'SW Rev'!L51/'SW Rev'!K51-1,""),"")</f>
        <v/>
      </c>
      <c r="I256" s="37">
        <f>IFERROR(IF(AND(ISNUMBER('SW Rev'!M51),ISNUMBER('SW Rev'!L51),'SW Rev'!L51&gt;0),'SW Rev'!M51/'SW Rev'!L51-1,""),"")</f>
        <v/>
      </c>
      <c r="J256" s="37">
        <f>IFERROR(IF(AND(ISNUMBER('SW Rev'!N51),ISNUMBER('SW Rev'!M51),'SW Rev'!M51&gt;0),'SW Rev'!N51/'SW Rev'!M51-1,""),"")</f>
        <v/>
      </c>
      <c r="K256" s="37">
        <f>IFERROR(IF(AND(ISNUMBER('SW Rev'!O51),ISNUMBER('SW Rev'!N51),'SW Rev'!N51&gt;0),'SW Rev'!O51/'SW Rev'!N51-1,""),"")</f>
        <v/>
      </c>
      <c r="L256" s="37">
        <f>IFERROR(IF(AND(ISNUMBER('SW Rev'!P51),ISNUMBER('SW Rev'!O51),'SW Rev'!O51&gt;0),'SW Rev'!P51/'SW Rev'!O51-1,""),"")</f>
        <v/>
      </c>
      <c r="M256" s="38">
        <f>IFERROR(IF(AND(ISNUMBER('SW Rev'!Q51),ISNUMBER('SW Rev'!P51),'SW Rev'!P51&gt;0),'SW Rev'!Q51/'SW Rev'!P51-1,""),"")</f>
        <v/>
      </c>
      <c r="N256" s="38">
        <f>IFERROR(IF(AND(ISNUMBER('SW Rev'!R51),ISNUMBER('SW Rev'!Q51),'SW Rev'!Q51&gt;0),'SW Rev'!R51/'SW Rev'!Q51-1,""),"")</f>
        <v/>
      </c>
    </row>
    <row r="257">
      <c r="A257" s="19">
        <f>'SW Rev'!$A52</f>
        <v/>
      </c>
      <c r="B257" s="19">
        <f>'SW Rev'!$B52</f>
        <v/>
      </c>
      <c r="C257" s="37">
        <f>IFERROR(IF(AND(ISNUMBER('SW Rev'!G52),ISNUMBER('SW Rev'!F52),'SW Rev'!F52&gt;0),'SW Rev'!G52/'SW Rev'!F52-1,""),"")</f>
        <v/>
      </c>
      <c r="D257" s="37">
        <f>IFERROR(IF(AND(ISNUMBER('SW Rev'!H52),ISNUMBER('SW Rev'!G52),'SW Rev'!G52&gt;0),'SW Rev'!H52/'SW Rev'!G52-1,""),"")</f>
        <v/>
      </c>
      <c r="E257" s="37">
        <f>IFERROR(IF(AND(ISNUMBER('SW Rev'!I52),ISNUMBER('SW Rev'!H52),'SW Rev'!H52&gt;0),'SW Rev'!I52/'SW Rev'!H52-1,""),"")</f>
        <v/>
      </c>
      <c r="F257" s="37">
        <f>IFERROR(IF(AND(ISNUMBER('SW Rev'!J52),ISNUMBER('SW Rev'!I52),'SW Rev'!I52&gt;0),'SW Rev'!J52/'SW Rev'!I52-1,""),"")</f>
        <v/>
      </c>
      <c r="G257" s="37">
        <f>IFERROR(IF(AND(ISNUMBER('SW Rev'!K52),ISNUMBER('SW Rev'!J52),'SW Rev'!J52&gt;0),'SW Rev'!K52/'SW Rev'!J52-1,""),"")</f>
        <v/>
      </c>
      <c r="H257" s="37">
        <f>IFERROR(IF(AND(ISNUMBER('SW Rev'!L52),ISNUMBER('SW Rev'!K52),'SW Rev'!K52&gt;0),'SW Rev'!L52/'SW Rev'!K52-1,""),"")</f>
        <v/>
      </c>
      <c r="I257" s="37">
        <f>IFERROR(IF(AND(ISNUMBER('SW Rev'!M52),ISNUMBER('SW Rev'!L52),'SW Rev'!L52&gt;0),'SW Rev'!M52/'SW Rev'!L52-1,""),"")</f>
        <v/>
      </c>
      <c r="J257" s="37">
        <f>IFERROR(IF(AND(ISNUMBER('SW Rev'!N52),ISNUMBER('SW Rev'!M52),'SW Rev'!M52&gt;0),'SW Rev'!N52/'SW Rev'!M52-1,""),"")</f>
        <v/>
      </c>
      <c r="K257" s="37">
        <f>IFERROR(IF(AND(ISNUMBER('SW Rev'!O52),ISNUMBER('SW Rev'!N52),'SW Rev'!N52&gt;0),'SW Rev'!O52/'SW Rev'!N52-1,""),"")</f>
        <v/>
      </c>
      <c r="L257" s="37">
        <f>IFERROR(IF(AND(ISNUMBER('SW Rev'!P52),ISNUMBER('SW Rev'!O52),'SW Rev'!O52&gt;0),'SW Rev'!P52/'SW Rev'!O52-1,""),"")</f>
        <v/>
      </c>
      <c r="M257" s="38">
        <f>IFERROR(IF(AND(ISNUMBER('SW Rev'!Q52),ISNUMBER('SW Rev'!P52),'SW Rev'!P52&gt;0),'SW Rev'!Q52/'SW Rev'!P52-1,""),"")</f>
        <v/>
      </c>
      <c r="N257" s="38">
        <f>IFERROR(IF(AND(ISNUMBER('SW Rev'!R52),ISNUMBER('SW Rev'!Q52),'SW Rev'!Q52&gt;0),'SW Rev'!R52/'SW Rev'!Q52-1,""),"")</f>
        <v/>
      </c>
    </row>
    <row r="258">
      <c r="A258" s="19">
        <f>'SW Rev'!$A53</f>
        <v/>
      </c>
      <c r="B258" s="19">
        <f>'SW Rev'!$B53</f>
        <v/>
      </c>
      <c r="C258" s="37">
        <f>IFERROR(IF(AND(ISNUMBER('SW Rev'!G53),ISNUMBER('SW Rev'!F53),'SW Rev'!F53&gt;0),'SW Rev'!G53/'SW Rev'!F53-1,""),"")</f>
        <v/>
      </c>
      <c r="D258" s="37">
        <f>IFERROR(IF(AND(ISNUMBER('SW Rev'!H53),ISNUMBER('SW Rev'!G53),'SW Rev'!G53&gt;0),'SW Rev'!H53/'SW Rev'!G53-1,""),"")</f>
        <v/>
      </c>
      <c r="E258" s="37">
        <f>IFERROR(IF(AND(ISNUMBER('SW Rev'!I53),ISNUMBER('SW Rev'!H53),'SW Rev'!H53&gt;0),'SW Rev'!I53/'SW Rev'!H53-1,""),"")</f>
        <v/>
      </c>
      <c r="F258" s="37">
        <f>IFERROR(IF(AND(ISNUMBER('SW Rev'!J53),ISNUMBER('SW Rev'!I53),'SW Rev'!I53&gt;0),'SW Rev'!J53/'SW Rev'!I53-1,""),"")</f>
        <v/>
      </c>
      <c r="G258" s="37">
        <f>IFERROR(IF(AND(ISNUMBER('SW Rev'!K53),ISNUMBER('SW Rev'!J53),'SW Rev'!J53&gt;0),'SW Rev'!K53/'SW Rev'!J53-1,""),"")</f>
        <v/>
      </c>
      <c r="H258" s="37">
        <f>IFERROR(IF(AND(ISNUMBER('SW Rev'!L53),ISNUMBER('SW Rev'!K53),'SW Rev'!K53&gt;0),'SW Rev'!L53/'SW Rev'!K53-1,""),"")</f>
        <v/>
      </c>
      <c r="I258" s="37">
        <f>IFERROR(IF(AND(ISNUMBER('SW Rev'!M53),ISNUMBER('SW Rev'!L53),'SW Rev'!L53&gt;0),'SW Rev'!M53/'SW Rev'!L53-1,""),"")</f>
        <v/>
      </c>
      <c r="J258" s="37">
        <f>IFERROR(IF(AND(ISNUMBER('SW Rev'!N53),ISNUMBER('SW Rev'!M53),'SW Rev'!M53&gt;0),'SW Rev'!N53/'SW Rev'!M53-1,""),"")</f>
        <v/>
      </c>
      <c r="K258" s="37">
        <f>IFERROR(IF(AND(ISNUMBER('SW Rev'!O53),ISNUMBER('SW Rev'!N53),'SW Rev'!N53&gt;0),'SW Rev'!O53/'SW Rev'!N53-1,""),"")</f>
        <v/>
      </c>
      <c r="L258" s="37">
        <f>IFERROR(IF(AND(ISNUMBER('SW Rev'!P53),ISNUMBER('SW Rev'!O53),'SW Rev'!O53&gt;0),'SW Rev'!P53/'SW Rev'!O53-1,""),"")</f>
        <v/>
      </c>
      <c r="M258" s="38">
        <f>IFERROR(IF(AND(ISNUMBER('SW Rev'!Q53),ISNUMBER('SW Rev'!P53),'SW Rev'!P53&gt;0),'SW Rev'!Q53/'SW Rev'!P53-1,""),"")</f>
        <v/>
      </c>
      <c r="N258" s="38">
        <f>IFERROR(IF(AND(ISNUMBER('SW Rev'!R53),ISNUMBER('SW Rev'!Q53),'SW Rev'!Q53&gt;0),'SW Rev'!R53/'SW Rev'!Q53-1,""),"")</f>
        <v/>
      </c>
    </row>
    <row r="259">
      <c r="A259" s="19">
        <f>'SW Rev'!$A54</f>
        <v/>
      </c>
      <c r="B259" s="19">
        <f>'SW Rev'!$B54</f>
        <v/>
      </c>
      <c r="C259" s="37">
        <f>IFERROR(IF(AND(ISNUMBER('SW Rev'!G54),ISNUMBER('SW Rev'!F54),'SW Rev'!F54&gt;0),'SW Rev'!G54/'SW Rev'!F54-1,""),"")</f>
        <v/>
      </c>
      <c r="D259" s="37">
        <f>IFERROR(IF(AND(ISNUMBER('SW Rev'!H54),ISNUMBER('SW Rev'!G54),'SW Rev'!G54&gt;0),'SW Rev'!H54/'SW Rev'!G54-1,""),"")</f>
        <v/>
      </c>
      <c r="E259" s="37">
        <f>IFERROR(IF(AND(ISNUMBER('SW Rev'!I54),ISNUMBER('SW Rev'!H54),'SW Rev'!H54&gt;0),'SW Rev'!I54/'SW Rev'!H54-1,""),"")</f>
        <v/>
      </c>
      <c r="F259" s="37">
        <f>IFERROR(IF(AND(ISNUMBER('SW Rev'!J54),ISNUMBER('SW Rev'!I54),'SW Rev'!I54&gt;0),'SW Rev'!J54/'SW Rev'!I54-1,""),"")</f>
        <v/>
      </c>
      <c r="G259" s="37">
        <f>IFERROR(IF(AND(ISNUMBER('SW Rev'!K54),ISNUMBER('SW Rev'!J54),'SW Rev'!J54&gt;0),'SW Rev'!K54/'SW Rev'!J54-1,""),"")</f>
        <v/>
      </c>
      <c r="H259" s="37">
        <f>IFERROR(IF(AND(ISNUMBER('SW Rev'!L54),ISNUMBER('SW Rev'!K54),'SW Rev'!K54&gt;0),'SW Rev'!L54/'SW Rev'!K54-1,""),"")</f>
        <v/>
      </c>
      <c r="I259" s="37">
        <f>IFERROR(IF(AND(ISNUMBER('SW Rev'!M54),ISNUMBER('SW Rev'!L54),'SW Rev'!L54&gt;0),'SW Rev'!M54/'SW Rev'!L54-1,""),"")</f>
        <v/>
      </c>
      <c r="J259" s="37">
        <f>IFERROR(IF(AND(ISNUMBER('SW Rev'!N54),ISNUMBER('SW Rev'!M54),'SW Rev'!M54&gt;0),'SW Rev'!N54/'SW Rev'!M54-1,""),"")</f>
        <v/>
      </c>
      <c r="K259" s="37">
        <f>IFERROR(IF(AND(ISNUMBER('SW Rev'!O54),ISNUMBER('SW Rev'!N54),'SW Rev'!N54&gt;0),'SW Rev'!O54/'SW Rev'!N54-1,""),"")</f>
        <v/>
      </c>
      <c r="L259" s="37">
        <f>IFERROR(IF(AND(ISNUMBER('SW Rev'!P54),ISNUMBER('SW Rev'!O54),'SW Rev'!O54&gt;0),'SW Rev'!P54/'SW Rev'!O54-1,""),"")</f>
        <v/>
      </c>
      <c r="M259" s="38">
        <f>IFERROR(IF(AND(ISNUMBER('SW Rev'!Q54),ISNUMBER('SW Rev'!P54),'SW Rev'!P54&gt;0),'SW Rev'!Q54/'SW Rev'!P54-1,""),"")</f>
        <v/>
      </c>
      <c r="N259" s="38">
        <f>IFERROR(IF(AND(ISNUMBER('SW Rev'!R54),ISNUMBER('SW Rev'!Q54),'SW Rev'!Q54&gt;0),'SW Rev'!R54/'SW Rev'!Q54-1,""),"")</f>
        <v/>
      </c>
    </row>
    <row r="260">
      <c r="A260" s="19">
        <f>'SW Rev'!$A55</f>
        <v/>
      </c>
      <c r="B260" s="19">
        <f>'SW Rev'!$B55</f>
        <v/>
      </c>
      <c r="C260" s="37">
        <f>IFERROR(IF(AND(ISNUMBER('SW Rev'!G55),ISNUMBER('SW Rev'!F55),'SW Rev'!F55&gt;0),'SW Rev'!G55/'SW Rev'!F55-1,""),"")</f>
        <v/>
      </c>
      <c r="D260" s="37">
        <f>IFERROR(IF(AND(ISNUMBER('SW Rev'!H55),ISNUMBER('SW Rev'!G55),'SW Rev'!G55&gt;0),'SW Rev'!H55/'SW Rev'!G55-1,""),"")</f>
        <v/>
      </c>
      <c r="E260" s="37">
        <f>IFERROR(IF(AND(ISNUMBER('SW Rev'!I55),ISNUMBER('SW Rev'!H55),'SW Rev'!H55&gt;0),'SW Rev'!I55/'SW Rev'!H55-1,""),"")</f>
        <v/>
      </c>
      <c r="F260" s="37">
        <f>IFERROR(IF(AND(ISNUMBER('SW Rev'!J55),ISNUMBER('SW Rev'!I55),'SW Rev'!I55&gt;0),'SW Rev'!J55/'SW Rev'!I55-1,""),"")</f>
        <v/>
      </c>
      <c r="G260" s="37">
        <f>IFERROR(IF(AND(ISNUMBER('SW Rev'!K55),ISNUMBER('SW Rev'!J55),'SW Rev'!J55&gt;0),'SW Rev'!K55/'SW Rev'!J55-1,""),"")</f>
        <v/>
      </c>
      <c r="H260" s="37">
        <f>IFERROR(IF(AND(ISNUMBER('SW Rev'!L55),ISNUMBER('SW Rev'!K55),'SW Rev'!K55&gt;0),'SW Rev'!L55/'SW Rev'!K55-1,""),"")</f>
        <v/>
      </c>
      <c r="I260" s="37">
        <f>IFERROR(IF(AND(ISNUMBER('SW Rev'!M55),ISNUMBER('SW Rev'!L55),'SW Rev'!L55&gt;0),'SW Rev'!M55/'SW Rev'!L55-1,""),"")</f>
        <v/>
      </c>
      <c r="J260" s="37">
        <f>IFERROR(IF(AND(ISNUMBER('SW Rev'!N55),ISNUMBER('SW Rev'!M55),'SW Rev'!M55&gt;0),'SW Rev'!N55/'SW Rev'!M55-1,""),"")</f>
        <v/>
      </c>
      <c r="K260" s="37">
        <f>IFERROR(IF(AND(ISNUMBER('SW Rev'!O55),ISNUMBER('SW Rev'!N55),'SW Rev'!N55&gt;0),'SW Rev'!O55/'SW Rev'!N55-1,""),"")</f>
        <v/>
      </c>
      <c r="L260" s="37">
        <f>IFERROR(IF(AND(ISNUMBER('SW Rev'!P55),ISNUMBER('SW Rev'!O55),'SW Rev'!O55&gt;0),'SW Rev'!P55/'SW Rev'!O55-1,""),"")</f>
        <v/>
      </c>
      <c r="M260" s="38">
        <f>IFERROR(IF(AND(ISNUMBER('SW Rev'!Q55),ISNUMBER('SW Rev'!P55),'SW Rev'!P55&gt;0),'SW Rev'!Q55/'SW Rev'!P55-1,""),"")</f>
        <v/>
      </c>
      <c r="N260" s="38">
        <f>IFERROR(IF(AND(ISNUMBER('SW Rev'!R55),ISNUMBER('SW Rev'!Q55),'SW Rev'!Q55&gt;0),'SW Rev'!R55/'SW Rev'!Q55-1,""),"")</f>
        <v/>
      </c>
    </row>
    <row r="261">
      <c r="A261" s="19">
        <f>'SW Rev'!$A56</f>
        <v/>
      </c>
      <c r="B261" s="19">
        <f>'SW Rev'!$B56</f>
        <v/>
      </c>
      <c r="C261" s="37">
        <f>IFERROR(IF(AND(ISNUMBER('SW Rev'!G56),ISNUMBER('SW Rev'!F56),'SW Rev'!F56&gt;0),'SW Rev'!G56/'SW Rev'!F56-1,""),"")</f>
        <v/>
      </c>
      <c r="D261" s="37">
        <f>IFERROR(IF(AND(ISNUMBER('SW Rev'!H56),ISNUMBER('SW Rev'!G56),'SW Rev'!G56&gt;0),'SW Rev'!H56/'SW Rev'!G56-1,""),"")</f>
        <v/>
      </c>
      <c r="E261" s="37">
        <f>IFERROR(IF(AND(ISNUMBER('SW Rev'!I56),ISNUMBER('SW Rev'!H56),'SW Rev'!H56&gt;0),'SW Rev'!I56/'SW Rev'!H56-1,""),"")</f>
        <v/>
      </c>
      <c r="F261" s="37">
        <f>IFERROR(IF(AND(ISNUMBER('SW Rev'!J56),ISNUMBER('SW Rev'!I56),'SW Rev'!I56&gt;0),'SW Rev'!J56/'SW Rev'!I56-1,""),"")</f>
        <v/>
      </c>
      <c r="G261" s="37">
        <f>IFERROR(IF(AND(ISNUMBER('SW Rev'!K56),ISNUMBER('SW Rev'!J56),'SW Rev'!J56&gt;0),'SW Rev'!K56/'SW Rev'!J56-1,""),"")</f>
        <v/>
      </c>
      <c r="H261" s="37">
        <f>IFERROR(IF(AND(ISNUMBER('SW Rev'!L56),ISNUMBER('SW Rev'!K56),'SW Rev'!K56&gt;0),'SW Rev'!L56/'SW Rev'!K56-1,""),"")</f>
        <v/>
      </c>
      <c r="I261" s="37">
        <f>IFERROR(IF(AND(ISNUMBER('SW Rev'!M56),ISNUMBER('SW Rev'!L56),'SW Rev'!L56&gt;0),'SW Rev'!M56/'SW Rev'!L56-1,""),"")</f>
        <v/>
      </c>
      <c r="J261" s="37">
        <f>IFERROR(IF(AND(ISNUMBER('SW Rev'!N56),ISNUMBER('SW Rev'!M56),'SW Rev'!M56&gt;0),'SW Rev'!N56/'SW Rev'!M56-1,""),"")</f>
        <v/>
      </c>
      <c r="K261" s="37">
        <f>IFERROR(IF(AND(ISNUMBER('SW Rev'!O56),ISNUMBER('SW Rev'!N56),'SW Rev'!N56&gt;0),'SW Rev'!O56/'SW Rev'!N56-1,""),"")</f>
        <v/>
      </c>
      <c r="L261" s="37">
        <f>IFERROR(IF(AND(ISNUMBER('SW Rev'!P56),ISNUMBER('SW Rev'!O56),'SW Rev'!O56&gt;0),'SW Rev'!P56/'SW Rev'!O56-1,""),"")</f>
        <v/>
      </c>
      <c r="M261" s="38">
        <f>IFERROR(IF(AND(ISNUMBER('SW Rev'!Q56),ISNUMBER('SW Rev'!P56),'SW Rev'!P56&gt;0),'SW Rev'!Q56/'SW Rev'!P56-1,""),"")</f>
        <v/>
      </c>
      <c r="N261" s="38">
        <f>IFERROR(IF(AND(ISNUMBER('SW Rev'!R56),ISNUMBER('SW Rev'!Q56),'SW Rev'!Q56&gt;0),'SW Rev'!R56/'SW Rev'!Q56-1,""),"")</f>
        <v/>
      </c>
    </row>
    <row r="262">
      <c r="A262" s="19">
        <f>'SW Rev'!$A57</f>
        <v/>
      </c>
      <c r="B262" s="19">
        <f>'SW Rev'!$B57</f>
        <v/>
      </c>
      <c r="C262" s="37">
        <f>IFERROR(IF(AND(ISNUMBER('SW Rev'!G57),ISNUMBER('SW Rev'!F57),'SW Rev'!F57&gt;0),'SW Rev'!G57/'SW Rev'!F57-1,""),"")</f>
        <v/>
      </c>
      <c r="D262" s="37">
        <f>IFERROR(IF(AND(ISNUMBER('SW Rev'!H57),ISNUMBER('SW Rev'!G57),'SW Rev'!G57&gt;0),'SW Rev'!H57/'SW Rev'!G57-1,""),"")</f>
        <v/>
      </c>
      <c r="E262" s="37">
        <f>IFERROR(IF(AND(ISNUMBER('SW Rev'!I57),ISNUMBER('SW Rev'!H57),'SW Rev'!H57&gt;0),'SW Rev'!I57/'SW Rev'!H57-1,""),"")</f>
        <v/>
      </c>
      <c r="F262" s="37">
        <f>IFERROR(IF(AND(ISNUMBER('SW Rev'!J57),ISNUMBER('SW Rev'!I57),'SW Rev'!I57&gt;0),'SW Rev'!J57/'SW Rev'!I57-1,""),"")</f>
        <v/>
      </c>
      <c r="G262" s="37">
        <f>IFERROR(IF(AND(ISNUMBER('SW Rev'!K57),ISNUMBER('SW Rev'!J57),'SW Rev'!J57&gt;0),'SW Rev'!K57/'SW Rev'!J57-1,""),"")</f>
        <v/>
      </c>
      <c r="H262" s="37">
        <f>IFERROR(IF(AND(ISNUMBER('SW Rev'!L57),ISNUMBER('SW Rev'!K57),'SW Rev'!K57&gt;0),'SW Rev'!L57/'SW Rev'!K57-1,""),"")</f>
        <v/>
      </c>
      <c r="I262" s="37">
        <f>IFERROR(IF(AND(ISNUMBER('SW Rev'!M57),ISNUMBER('SW Rev'!L57),'SW Rev'!L57&gt;0),'SW Rev'!M57/'SW Rev'!L57-1,""),"")</f>
        <v/>
      </c>
      <c r="J262" s="37">
        <f>IFERROR(IF(AND(ISNUMBER('SW Rev'!N57),ISNUMBER('SW Rev'!M57),'SW Rev'!M57&gt;0),'SW Rev'!N57/'SW Rev'!M57-1,""),"")</f>
        <v/>
      </c>
      <c r="K262" s="37">
        <f>IFERROR(IF(AND(ISNUMBER('SW Rev'!O57),ISNUMBER('SW Rev'!N57),'SW Rev'!N57&gt;0),'SW Rev'!O57/'SW Rev'!N57-1,""),"")</f>
        <v/>
      </c>
      <c r="L262" s="37">
        <f>IFERROR(IF(AND(ISNUMBER('SW Rev'!P57),ISNUMBER('SW Rev'!O57),'SW Rev'!O57&gt;0),'SW Rev'!P57/'SW Rev'!O57-1,""),"")</f>
        <v/>
      </c>
      <c r="M262" s="38">
        <f>IFERROR(IF(AND(ISNUMBER('SW Rev'!Q57),ISNUMBER('SW Rev'!P57),'SW Rev'!P57&gt;0),'SW Rev'!Q57/'SW Rev'!P57-1,""),"")</f>
        <v/>
      </c>
      <c r="N262" s="38">
        <f>IFERROR(IF(AND(ISNUMBER('SW Rev'!R57),ISNUMBER('SW Rev'!Q57),'SW Rev'!Q57&gt;0),'SW Rev'!R57/'SW Rev'!Q57-1,""),"")</f>
        <v/>
      </c>
    </row>
    <row r="263">
      <c r="A263" s="19">
        <f>'SW Rev'!$A58</f>
        <v/>
      </c>
      <c r="B263" s="19">
        <f>'SW Rev'!$B58</f>
        <v/>
      </c>
      <c r="C263" s="37">
        <f>IFERROR(IF(AND(ISNUMBER('SW Rev'!G58),ISNUMBER('SW Rev'!F58),'SW Rev'!F58&gt;0),'SW Rev'!G58/'SW Rev'!F58-1,""),"")</f>
        <v/>
      </c>
      <c r="D263" s="37">
        <f>IFERROR(IF(AND(ISNUMBER('SW Rev'!H58),ISNUMBER('SW Rev'!G58),'SW Rev'!G58&gt;0),'SW Rev'!H58/'SW Rev'!G58-1,""),"")</f>
        <v/>
      </c>
      <c r="E263" s="37">
        <f>IFERROR(IF(AND(ISNUMBER('SW Rev'!I58),ISNUMBER('SW Rev'!H58),'SW Rev'!H58&gt;0),'SW Rev'!I58/'SW Rev'!H58-1,""),"")</f>
        <v/>
      </c>
      <c r="F263" s="37">
        <f>IFERROR(IF(AND(ISNUMBER('SW Rev'!J58),ISNUMBER('SW Rev'!I58),'SW Rev'!I58&gt;0),'SW Rev'!J58/'SW Rev'!I58-1,""),"")</f>
        <v/>
      </c>
      <c r="G263" s="37">
        <f>IFERROR(IF(AND(ISNUMBER('SW Rev'!K58),ISNUMBER('SW Rev'!J58),'SW Rev'!J58&gt;0),'SW Rev'!K58/'SW Rev'!J58-1,""),"")</f>
        <v/>
      </c>
      <c r="H263" s="37">
        <f>IFERROR(IF(AND(ISNUMBER('SW Rev'!L58),ISNUMBER('SW Rev'!K58),'SW Rev'!K58&gt;0),'SW Rev'!L58/'SW Rev'!K58-1,""),"")</f>
        <v/>
      </c>
      <c r="I263" s="37">
        <f>IFERROR(IF(AND(ISNUMBER('SW Rev'!M58),ISNUMBER('SW Rev'!L58),'SW Rev'!L58&gt;0),'SW Rev'!M58/'SW Rev'!L58-1,""),"")</f>
        <v/>
      </c>
      <c r="J263" s="37">
        <f>IFERROR(IF(AND(ISNUMBER('SW Rev'!N58),ISNUMBER('SW Rev'!M58),'SW Rev'!M58&gt;0),'SW Rev'!N58/'SW Rev'!M58-1,""),"")</f>
        <v/>
      </c>
      <c r="K263" s="37">
        <f>IFERROR(IF(AND(ISNUMBER('SW Rev'!O58),ISNUMBER('SW Rev'!N58),'SW Rev'!N58&gt;0),'SW Rev'!O58/'SW Rev'!N58-1,""),"")</f>
        <v/>
      </c>
      <c r="L263" s="37">
        <f>IFERROR(IF(AND(ISNUMBER('SW Rev'!P58),ISNUMBER('SW Rev'!O58),'SW Rev'!O58&gt;0),'SW Rev'!P58/'SW Rev'!O58-1,""),"")</f>
        <v/>
      </c>
      <c r="M263" s="38">
        <f>IFERROR(IF(AND(ISNUMBER('SW Rev'!Q58),ISNUMBER('SW Rev'!P58),'SW Rev'!P58&gt;0),'SW Rev'!Q58/'SW Rev'!P58-1,""),"")</f>
        <v/>
      </c>
      <c r="N263" s="38">
        <f>IFERROR(IF(AND(ISNUMBER('SW Rev'!R58),ISNUMBER('SW Rev'!Q58),'SW Rev'!Q58&gt;0),'SW Rev'!R58/'SW Rev'!Q58-1,""),"")</f>
        <v/>
      </c>
    </row>
    <row r="264">
      <c r="A264" s="19">
        <f>'SW Rev'!$A59</f>
        <v/>
      </c>
      <c r="B264" s="19">
        <f>'SW Rev'!$B59</f>
        <v/>
      </c>
      <c r="C264" s="37">
        <f>IFERROR(IF(AND(ISNUMBER('SW Rev'!G59),ISNUMBER('SW Rev'!F59),'SW Rev'!F59&gt;0),'SW Rev'!G59/'SW Rev'!F59-1,""),"")</f>
        <v/>
      </c>
      <c r="D264" s="37">
        <f>IFERROR(IF(AND(ISNUMBER('SW Rev'!H59),ISNUMBER('SW Rev'!G59),'SW Rev'!G59&gt;0),'SW Rev'!H59/'SW Rev'!G59-1,""),"")</f>
        <v/>
      </c>
      <c r="E264" s="37">
        <f>IFERROR(IF(AND(ISNUMBER('SW Rev'!I59),ISNUMBER('SW Rev'!H59),'SW Rev'!H59&gt;0),'SW Rev'!I59/'SW Rev'!H59-1,""),"")</f>
        <v/>
      </c>
      <c r="F264" s="37">
        <f>IFERROR(IF(AND(ISNUMBER('SW Rev'!J59),ISNUMBER('SW Rev'!I59),'SW Rev'!I59&gt;0),'SW Rev'!J59/'SW Rev'!I59-1,""),"")</f>
        <v/>
      </c>
      <c r="G264" s="37">
        <f>IFERROR(IF(AND(ISNUMBER('SW Rev'!K59),ISNUMBER('SW Rev'!J59),'SW Rev'!J59&gt;0),'SW Rev'!K59/'SW Rev'!J59-1,""),"")</f>
        <v/>
      </c>
      <c r="H264" s="37">
        <f>IFERROR(IF(AND(ISNUMBER('SW Rev'!L59),ISNUMBER('SW Rev'!K59),'SW Rev'!K59&gt;0),'SW Rev'!L59/'SW Rev'!K59-1,""),"")</f>
        <v/>
      </c>
      <c r="I264" s="37">
        <f>IFERROR(IF(AND(ISNUMBER('SW Rev'!M59),ISNUMBER('SW Rev'!L59),'SW Rev'!L59&gt;0),'SW Rev'!M59/'SW Rev'!L59-1,""),"")</f>
        <v/>
      </c>
      <c r="J264" s="37">
        <f>IFERROR(IF(AND(ISNUMBER('SW Rev'!N59),ISNUMBER('SW Rev'!M59),'SW Rev'!M59&gt;0),'SW Rev'!N59/'SW Rev'!M59-1,""),"")</f>
        <v/>
      </c>
      <c r="K264" s="37">
        <f>IFERROR(IF(AND(ISNUMBER('SW Rev'!O59),ISNUMBER('SW Rev'!N59),'SW Rev'!N59&gt;0),'SW Rev'!O59/'SW Rev'!N59-1,""),"")</f>
        <v/>
      </c>
      <c r="L264" s="37">
        <f>IFERROR(IF(AND(ISNUMBER('SW Rev'!P59),ISNUMBER('SW Rev'!O59),'SW Rev'!O59&gt;0),'SW Rev'!P59/'SW Rev'!O59-1,""),"")</f>
        <v/>
      </c>
      <c r="M264" s="38">
        <f>IFERROR(IF(AND(ISNUMBER('SW Rev'!Q59),ISNUMBER('SW Rev'!P59),'SW Rev'!P59&gt;0),'SW Rev'!Q59/'SW Rev'!P59-1,""),"")</f>
        <v/>
      </c>
      <c r="N264" s="38">
        <f>IFERROR(IF(AND(ISNUMBER('SW Rev'!R59),ISNUMBER('SW Rev'!Q59),'SW Rev'!Q59&gt;0),'SW Rev'!R59/'SW Rev'!Q59-1,""),"")</f>
        <v/>
      </c>
    </row>
    <row r="265">
      <c r="A265" s="19">
        <f>'SW Rev'!$A60</f>
        <v/>
      </c>
      <c r="B265" s="19">
        <f>'SW Rev'!$B60</f>
        <v/>
      </c>
      <c r="C265" s="37">
        <f>IFERROR(IF(AND(ISNUMBER('SW Rev'!G60),ISNUMBER('SW Rev'!F60),'SW Rev'!F60&gt;0),'SW Rev'!G60/'SW Rev'!F60-1,""),"")</f>
        <v/>
      </c>
      <c r="D265" s="37">
        <f>IFERROR(IF(AND(ISNUMBER('SW Rev'!H60),ISNUMBER('SW Rev'!G60),'SW Rev'!G60&gt;0),'SW Rev'!H60/'SW Rev'!G60-1,""),"")</f>
        <v/>
      </c>
      <c r="E265" s="37">
        <f>IFERROR(IF(AND(ISNUMBER('SW Rev'!I60),ISNUMBER('SW Rev'!H60),'SW Rev'!H60&gt;0),'SW Rev'!I60/'SW Rev'!H60-1,""),"")</f>
        <v/>
      </c>
      <c r="F265" s="37">
        <f>IFERROR(IF(AND(ISNUMBER('SW Rev'!J60),ISNUMBER('SW Rev'!I60),'SW Rev'!I60&gt;0),'SW Rev'!J60/'SW Rev'!I60-1,""),"")</f>
        <v/>
      </c>
      <c r="G265" s="37">
        <f>IFERROR(IF(AND(ISNUMBER('SW Rev'!K60),ISNUMBER('SW Rev'!J60),'SW Rev'!J60&gt;0),'SW Rev'!K60/'SW Rev'!J60-1,""),"")</f>
        <v/>
      </c>
      <c r="H265" s="37">
        <f>IFERROR(IF(AND(ISNUMBER('SW Rev'!L60),ISNUMBER('SW Rev'!K60),'SW Rev'!K60&gt;0),'SW Rev'!L60/'SW Rev'!K60-1,""),"")</f>
        <v/>
      </c>
      <c r="I265" s="37">
        <f>IFERROR(IF(AND(ISNUMBER('SW Rev'!M60),ISNUMBER('SW Rev'!L60),'SW Rev'!L60&gt;0),'SW Rev'!M60/'SW Rev'!L60-1,""),"")</f>
        <v/>
      </c>
      <c r="J265" s="37">
        <f>IFERROR(IF(AND(ISNUMBER('SW Rev'!N60),ISNUMBER('SW Rev'!M60),'SW Rev'!M60&gt;0),'SW Rev'!N60/'SW Rev'!M60-1,""),"")</f>
        <v/>
      </c>
      <c r="K265" s="37">
        <f>IFERROR(IF(AND(ISNUMBER('SW Rev'!O60),ISNUMBER('SW Rev'!N60),'SW Rev'!N60&gt;0),'SW Rev'!O60/'SW Rev'!N60-1,""),"")</f>
        <v/>
      </c>
      <c r="L265" s="37">
        <f>IFERROR(IF(AND(ISNUMBER('SW Rev'!P60),ISNUMBER('SW Rev'!O60),'SW Rev'!O60&gt;0),'SW Rev'!P60/'SW Rev'!O60-1,""),"")</f>
        <v/>
      </c>
      <c r="M265" s="38">
        <f>IFERROR(IF(AND(ISNUMBER('SW Rev'!Q60),ISNUMBER('SW Rev'!P60),'SW Rev'!P60&gt;0),'SW Rev'!Q60/'SW Rev'!P60-1,""),"")</f>
        <v/>
      </c>
      <c r="N265" s="38">
        <f>IFERROR(IF(AND(ISNUMBER('SW Rev'!R60),ISNUMBER('SW Rev'!Q60),'SW Rev'!Q60&gt;0),'SW Rev'!R60/'SW Rev'!Q60-1,""),"")</f>
        <v/>
      </c>
    </row>
    <row r="266">
      <c r="A266" s="19">
        <f>'SW Rev'!$A61</f>
        <v/>
      </c>
      <c r="B266" s="19">
        <f>'SW Rev'!$B61</f>
        <v/>
      </c>
      <c r="C266" s="37">
        <f>IFERROR(IF(AND(ISNUMBER('SW Rev'!G61),ISNUMBER('SW Rev'!F61),'SW Rev'!F61&gt;0),'SW Rev'!G61/'SW Rev'!F61-1,""),"")</f>
        <v/>
      </c>
      <c r="D266" s="37">
        <f>IFERROR(IF(AND(ISNUMBER('SW Rev'!H61),ISNUMBER('SW Rev'!G61),'SW Rev'!G61&gt;0),'SW Rev'!H61/'SW Rev'!G61-1,""),"")</f>
        <v/>
      </c>
      <c r="E266" s="37">
        <f>IFERROR(IF(AND(ISNUMBER('SW Rev'!I61),ISNUMBER('SW Rev'!H61),'SW Rev'!H61&gt;0),'SW Rev'!I61/'SW Rev'!H61-1,""),"")</f>
        <v/>
      </c>
      <c r="F266" s="37">
        <f>IFERROR(IF(AND(ISNUMBER('SW Rev'!J61),ISNUMBER('SW Rev'!I61),'SW Rev'!I61&gt;0),'SW Rev'!J61/'SW Rev'!I61-1,""),"")</f>
        <v/>
      </c>
      <c r="G266" s="37">
        <f>IFERROR(IF(AND(ISNUMBER('SW Rev'!K61),ISNUMBER('SW Rev'!J61),'SW Rev'!J61&gt;0),'SW Rev'!K61/'SW Rev'!J61-1,""),"")</f>
        <v/>
      </c>
      <c r="H266" s="37">
        <f>IFERROR(IF(AND(ISNUMBER('SW Rev'!L61),ISNUMBER('SW Rev'!K61),'SW Rev'!K61&gt;0),'SW Rev'!L61/'SW Rev'!K61-1,""),"")</f>
        <v/>
      </c>
      <c r="I266" s="37">
        <f>IFERROR(IF(AND(ISNUMBER('SW Rev'!M61),ISNUMBER('SW Rev'!L61),'SW Rev'!L61&gt;0),'SW Rev'!M61/'SW Rev'!L61-1,""),"")</f>
        <v/>
      </c>
      <c r="J266" s="37">
        <f>IFERROR(IF(AND(ISNUMBER('SW Rev'!N61),ISNUMBER('SW Rev'!M61),'SW Rev'!M61&gt;0),'SW Rev'!N61/'SW Rev'!M61-1,""),"")</f>
        <v/>
      </c>
      <c r="K266" s="37">
        <f>IFERROR(IF(AND(ISNUMBER('SW Rev'!O61),ISNUMBER('SW Rev'!N61),'SW Rev'!N61&gt;0),'SW Rev'!O61/'SW Rev'!N61-1,""),"")</f>
        <v/>
      </c>
      <c r="L266" s="37">
        <f>IFERROR(IF(AND(ISNUMBER('SW Rev'!P61),ISNUMBER('SW Rev'!O61),'SW Rev'!O61&gt;0),'SW Rev'!P61/'SW Rev'!O61-1,""),"")</f>
        <v/>
      </c>
      <c r="M266" s="38">
        <f>IFERROR(IF(AND(ISNUMBER('SW Rev'!Q61),ISNUMBER('SW Rev'!P61),'SW Rev'!P61&gt;0),'SW Rev'!Q61/'SW Rev'!P61-1,""),"")</f>
        <v/>
      </c>
      <c r="N266" s="38">
        <f>IFERROR(IF(AND(ISNUMBER('SW Rev'!R61),ISNUMBER('SW Rev'!Q61),'SW Rev'!Q61&gt;0),'SW Rev'!R61/'SW Rev'!Q61-1,""),"")</f>
        <v/>
      </c>
    </row>
    <row r="267">
      <c r="A267" s="19">
        <f>'SW Rev'!$A62</f>
        <v/>
      </c>
      <c r="B267" s="19">
        <f>'SW Rev'!$B62</f>
        <v/>
      </c>
      <c r="C267" s="37">
        <f>IFERROR(IF(AND(ISNUMBER('SW Rev'!G62),ISNUMBER('SW Rev'!F62),'SW Rev'!F62&gt;0),'SW Rev'!G62/'SW Rev'!F62-1,""),"")</f>
        <v/>
      </c>
      <c r="D267" s="37">
        <f>IFERROR(IF(AND(ISNUMBER('SW Rev'!H62),ISNUMBER('SW Rev'!G62),'SW Rev'!G62&gt;0),'SW Rev'!H62/'SW Rev'!G62-1,""),"")</f>
        <v/>
      </c>
      <c r="E267" s="37">
        <f>IFERROR(IF(AND(ISNUMBER('SW Rev'!I62),ISNUMBER('SW Rev'!H62),'SW Rev'!H62&gt;0),'SW Rev'!I62/'SW Rev'!H62-1,""),"")</f>
        <v/>
      </c>
      <c r="F267" s="37">
        <f>IFERROR(IF(AND(ISNUMBER('SW Rev'!J62),ISNUMBER('SW Rev'!I62),'SW Rev'!I62&gt;0),'SW Rev'!J62/'SW Rev'!I62-1,""),"")</f>
        <v/>
      </c>
      <c r="G267" s="37">
        <f>IFERROR(IF(AND(ISNUMBER('SW Rev'!K62),ISNUMBER('SW Rev'!J62),'SW Rev'!J62&gt;0),'SW Rev'!K62/'SW Rev'!J62-1,""),"")</f>
        <v/>
      </c>
      <c r="H267" s="37">
        <f>IFERROR(IF(AND(ISNUMBER('SW Rev'!L62),ISNUMBER('SW Rev'!K62),'SW Rev'!K62&gt;0),'SW Rev'!L62/'SW Rev'!K62-1,""),"")</f>
        <v/>
      </c>
      <c r="I267" s="37">
        <f>IFERROR(IF(AND(ISNUMBER('SW Rev'!M62),ISNUMBER('SW Rev'!L62),'SW Rev'!L62&gt;0),'SW Rev'!M62/'SW Rev'!L62-1,""),"")</f>
        <v/>
      </c>
      <c r="J267" s="37">
        <f>IFERROR(IF(AND(ISNUMBER('SW Rev'!N62),ISNUMBER('SW Rev'!M62),'SW Rev'!M62&gt;0),'SW Rev'!N62/'SW Rev'!M62-1,""),"")</f>
        <v/>
      </c>
      <c r="K267" s="37">
        <f>IFERROR(IF(AND(ISNUMBER('SW Rev'!O62),ISNUMBER('SW Rev'!N62),'SW Rev'!N62&gt;0),'SW Rev'!O62/'SW Rev'!N62-1,""),"")</f>
        <v/>
      </c>
      <c r="L267" s="37">
        <f>IFERROR(IF(AND(ISNUMBER('SW Rev'!P62),ISNUMBER('SW Rev'!O62),'SW Rev'!O62&gt;0),'SW Rev'!P62/'SW Rev'!O62-1,""),"")</f>
        <v/>
      </c>
      <c r="M267" s="38">
        <f>IFERROR(IF(AND(ISNUMBER('SW Rev'!Q62),ISNUMBER('SW Rev'!P62),'SW Rev'!P62&gt;0),'SW Rev'!Q62/'SW Rev'!P62-1,""),"")</f>
        <v/>
      </c>
      <c r="N267" s="38">
        <f>IFERROR(IF(AND(ISNUMBER('SW Rev'!R62),ISNUMBER('SW Rev'!Q62),'SW Rev'!Q62&gt;0),'SW Rev'!R62/'SW Rev'!Q62-1,""),"")</f>
        <v/>
      </c>
    </row>
    <row r="268">
      <c r="A268" s="19">
        <f>'SW Rev'!$A63</f>
        <v/>
      </c>
      <c r="B268" s="19">
        <f>'SW Rev'!$B63</f>
        <v/>
      </c>
      <c r="C268" s="37">
        <f>IFERROR(IF(AND(ISNUMBER('SW Rev'!G63),ISNUMBER('SW Rev'!F63),'SW Rev'!F63&gt;0),'SW Rev'!G63/'SW Rev'!F63-1,""),"")</f>
        <v/>
      </c>
      <c r="D268" s="37">
        <f>IFERROR(IF(AND(ISNUMBER('SW Rev'!H63),ISNUMBER('SW Rev'!G63),'SW Rev'!G63&gt;0),'SW Rev'!H63/'SW Rev'!G63-1,""),"")</f>
        <v/>
      </c>
      <c r="E268" s="37">
        <f>IFERROR(IF(AND(ISNUMBER('SW Rev'!I63),ISNUMBER('SW Rev'!H63),'SW Rev'!H63&gt;0),'SW Rev'!I63/'SW Rev'!H63-1,""),"")</f>
        <v/>
      </c>
      <c r="F268" s="37">
        <f>IFERROR(IF(AND(ISNUMBER('SW Rev'!J63),ISNUMBER('SW Rev'!I63),'SW Rev'!I63&gt;0),'SW Rev'!J63/'SW Rev'!I63-1,""),"")</f>
        <v/>
      </c>
      <c r="G268" s="37">
        <f>IFERROR(IF(AND(ISNUMBER('SW Rev'!K63),ISNUMBER('SW Rev'!J63),'SW Rev'!J63&gt;0),'SW Rev'!K63/'SW Rev'!J63-1,""),"")</f>
        <v/>
      </c>
      <c r="H268" s="37">
        <f>IFERROR(IF(AND(ISNUMBER('SW Rev'!L63),ISNUMBER('SW Rev'!K63),'SW Rev'!K63&gt;0),'SW Rev'!L63/'SW Rev'!K63-1,""),"")</f>
        <v/>
      </c>
      <c r="I268" s="37">
        <f>IFERROR(IF(AND(ISNUMBER('SW Rev'!M63),ISNUMBER('SW Rev'!L63),'SW Rev'!L63&gt;0),'SW Rev'!M63/'SW Rev'!L63-1,""),"")</f>
        <v/>
      </c>
      <c r="J268" s="37">
        <f>IFERROR(IF(AND(ISNUMBER('SW Rev'!N63),ISNUMBER('SW Rev'!M63),'SW Rev'!M63&gt;0),'SW Rev'!N63/'SW Rev'!M63-1,""),"")</f>
        <v/>
      </c>
      <c r="K268" s="37">
        <f>IFERROR(IF(AND(ISNUMBER('SW Rev'!O63),ISNUMBER('SW Rev'!N63),'SW Rev'!N63&gt;0),'SW Rev'!O63/'SW Rev'!N63-1,""),"")</f>
        <v/>
      </c>
      <c r="L268" s="37">
        <f>IFERROR(IF(AND(ISNUMBER('SW Rev'!P63),ISNUMBER('SW Rev'!O63),'SW Rev'!O63&gt;0),'SW Rev'!P63/'SW Rev'!O63-1,""),"")</f>
        <v/>
      </c>
      <c r="M268" s="38">
        <f>IFERROR(IF(AND(ISNUMBER('SW Rev'!Q63),ISNUMBER('SW Rev'!P63),'SW Rev'!P63&gt;0),'SW Rev'!Q63/'SW Rev'!P63-1,""),"")</f>
        <v/>
      </c>
      <c r="N268" s="38">
        <f>IFERROR(IF(AND(ISNUMBER('SW Rev'!R63),ISNUMBER('SW Rev'!Q63),'SW Rev'!Q63&gt;0),'SW Rev'!R63/'SW Rev'!Q63-1,""),"")</f>
        <v/>
      </c>
    </row>
    <row r="269">
      <c r="A269" s="19">
        <f>'SW Rev'!$A64</f>
        <v/>
      </c>
      <c r="B269" s="19">
        <f>'SW Rev'!$B64</f>
        <v/>
      </c>
      <c r="C269" s="37">
        <f>IFERROR(IF(AND(ISNUMBER('SW Rev'!G64),ISNUMBER('SW Rev'!F64),'SW Rev'!F64&gt;0),'SW Rev'!G64/'SW Rev'!F64-1,""),"")</f>
        <v/>
      </c>
      <c r="D269" s="37">
        <f>IFERROR(IF(AND(ISNUMBER('SW Rev'!H64),ISNUMBER('SW Rev'!G64),'SW Rev'!G64&gt;0),'SW Rev'!H64/'SW Rev'!G64-1,""),"")</f>
        <v/>
      </c>
      <c r="E269" s="37">
        <f>IFERROR(IF(AND(ISNUMBER('SW Rev'!I64),ISNUMBER('SW Rev'!H64),'SW Rev'!H64&gt;0),'SW Rev'!I64/'SW Rev'!H64-1,""),"")</f>
        <v/>
      </c>
      <c r="F269" s="37">
        <f>IFERROR(IF(AND(ISNUMBER('SW Rev'!J64),ISNUMBER('SW Rev'!I64),'SW Rev'!I64&gt;0),'SW Rev'!J64/'SW Rev'!I64-1,""),"")</f>
        <v/>
      </c>
      <c r="G269" s="37">
        <f>IFERROR(IF(AND(ISNUMBER('SW Rev'!K64),ISNUMBER('SW Rev'!J64),'SW Rev'!J64&gt;0),'SW Rev'!K64/'SW Rev'!J64-1,""),"")</f>
        <v/>
      </c>
      <c r="H269" s="37">
        <f>IFERROR(IF(AND(ISNUMBER('SW Rev'!L64),ISNUMBER('SW Rev'!K64),'SW Rev'!K64&gt;0),'SW Rev'!L64/'SW Rev'!K64-1,""),"")</f>
        <v/>
      </c>
      <c r="I269" s="37">
        <f>IFERROR(IF(AND(ISNUMBER('SW Rev'!M64),ISNUMBER('SW Rev'!L64),'SW Rev'!L64&gt;0),'SW Rev'!M64/'SW Rev'!L64-1,""),"")</f>
        <v/>
      </c>
      <c r="J269" s="37">
        <f>IFERROR(IF(AND(ISNUMBER('SW Rev'!N64),ISNUMBER('SW Rev'!M64),'SW Rev'!M64&gt;0),'SW Rev'!N64/'SW Rev'!M64-1,""),"")</f>
        <v/>
      </c>
      <c r="K269" s="37">
        <f>IFERROR(IF(AND(ISNUMBER('SW Rev'!O64),ISNUMBER('SW Rev'!N64),'SW Rev'!N64&gt;0),'SW Rev'!O64/'SW Rev'!N64-1,""),"")</f>
        <v/>
      </c>
      <c r="L269" s="37">
        <f>IFERROR(IF(AND(ISNUMBER('SW Rev'!P64),ISNUMBER('SW Rev'!O64),'SW Rev'!O64&gt;0),'SW Rev'!P64/'SW Rev'!O64-1,""),"")</f>
        <v/>
      </c>
      <c r="M269" s="38">
        <f>IFERROR(IF(AND(ISNUMBER('SW Rev'!Q64),ISNUMBER('SW Rev'!P64),'SW Rev'!P64&gt;0),'SW Rev'!Q64/'SW Rev'!P64-1,""),"")</f>
        <v/>
      </c>
      <c r="N269" s="38">
        <f>IFERROR(IF(AND(ISNUMBER('SW Rev'!R64),ISNUMBER('SW Rev'!Q64),'SW Rev'!Q64&gt;0),'SW Rev'!R64/'SW Rev'!Q64-1,""),"")</f>
        <v/>
      </c>
    </row>
    <row r="270">
      <c r="A270" s="19">
        <f>'SW Rev'!$A65</f>
        <v/>
      </c>
      <c r="B270" s="19">
        <f>'SW Rev'!$B65</f>
        <v/>
      </c>
      <c r="C270" s="37">
        <f>IFERROR(IF(AND(ISNUMBER('SW Rev'!G65),ISNUMBER('SW Rev'!F65),'SW Rev'!F65&gt;0),'SW Rev'!G65/'SW Rev'!F65-1,""),"")</f>
        <v/>
      </c>
      <c r="D270" s="37">
        <f>IFERROR(IF(AND(ISNUMBER('SW Rev'!H65),ISNUMBER('SW Rev'!G65),'SW Rev'!G65&gt;0),'SW Rev'!H65/'SW Rev'!G65-1,""),"")</f>
        <v/>
      </c>
      <c r="E270" s="37">
        <f>IFERROR(IF(AND(ISNUMBER('SW Rev'!I65),ISNUMBER('SW Rev'!H65),'SW Rev'!H65&gt;0),'SW Rev'!I65/'SW Rev'!H65-1,""),"")</f>
        <v/>
      </c>
      <c r="F270" s="37">
        <f>IFERROR(IF(AND(ISNUMBER('SW Rev'!J65),ISNUMBER('SW Rev'!I65),'SW Rev'!I65&gt;0),'SW Rev'!J65/'SW Rev'!I65-1,""),"")</f>
        <v/>
      </c>
      <c r="G270" s="37">
        <f>IFERROR(IF(AND(ISNUMBER('SW Rev'!K65),ISNUMBER('SW Rev'!J65),'SW Rev'!J65&gt;0),'SW Rev'!K65/'SW Rev'!J65-1,""),"")</f>
        <v/>
      </c>
      <c r="H270" s="37">
        <f>IFERROR(IF(AND(ISNUMBER('SW Rev'!L65),ISNUMBER('SW Rev'!K65),'SW Rev'!K65&gt;0),'SW Rev'!L65/'SW Rev'!K65-1,""),"")</f>
        <v/>
      </c>
      <c r="I270" s="37">
        <f>IFERROR(IF(AND(ISNUMBER('SW Rev'!M65),ISNUMBER('SW Rev'!L65),'SW Rev'!L65&gt;0),'SW Rev'!M65/'SW Rev'!L65-1,""),"")</f>
        <v/>
      </c>
      <c r="J270" s="37">
        <f>IFERROR(IF(AND(ISNUMBER('SW Rev'!N65),ISNUMBER('SW Rev'!M65),'SW Rev'!M65&gt;0),'SW Rev'!N65/'SW Rev'!M65-1,""),"")</f>
        <v/>
      </c>
      <c r="K270" s="37">
        <f>IFERROR(IF(AND(ISNUMBER('SW Rev'!O65),ISNUMBER('SW Rev'!N65),'SW Rev'!N65&gt;0),'SW Rev'!O65/'SW Rev'!N65-1,""),"")</f>
        <v/>
      </c>
      <c r="L270" s="37">
        <f>IFERROR(IF(AND(ISNUMBER('SW Rev'!P65),ISNUMBER('SW Rev'!O65),'SW Rev'!O65&gt;0),'SW Rev'!P65/'SW Rev'!O65-1,""),"")</f>
        <v/>
      </c>
      <c r="M270" s="38">
        <f>IFERROR(IF(AND(ISNUMBER('SW Rev'!Q65),ISNUMBER('SW Rev'!P65),'SW Rev'!P65&gt;0),'SW Rev'!Q65/'SW Rev'!P65-1,""),"")</f>
        <v/>
      </c>
      <c r="N270" s="38">
        <f>IFERROR(IF(AND(ISNUMBER('SW Rev'!R65),ISNUMBER('SW Rev'!Q65),'SW Rev'!Q65&gt;0),'SW Rev'!R65/'SW Rev'!Q65-1,""),"")</f>
        <v/>
      </c>
    </row>
    <row r="271">
      <c r="A271" s="19">
        <f>'SW Rev'!$A66</f>
        <v/>
      </c>
      <c r="B271" s="19">
        <f>'SW Rev'!$B66</f>
        <v/>
      </c>
      <c r="C271" s="37">
        <f>IFERROR(IF(AND(ISNUMBER('SW Rev'!G66),ISNUMBER('SW Rev'!F66),'SW Rev'!F66&gt;0),'SW Rev'!G66/'SW Rev'!F66-1,""),"")</f>
        <v/>
      </c>
      <c r="D271" s="37">
        <f>IFERROR(IF(AND(ISNUMBER('SW Rev'!H66),ISNUMBER('SW Rev'!G66),'SW Rev'!G66&gt;0),'SW Rev'!H66/'SW Rev'!G66-1,""),"")</f>
        <v/>
      </c>
      <c r="E271" s="37">
        <f>IFERROR(IF(AND(ISNUMBER('SW Rev'!I66),ISNUMBER('SW Rev'!H66),'SW Rev'!H66&gt;0),'SW Rev'!I66/'SW Rev'!H66-1,""),"")</f>
        <v/>
      </c>
      <c r="F271" s="37">
        <f>IFERROR(IF(AND(ISNUMBER('SW Rev'!J66),ISNUMBER('SW Rev'!I66),'SW Rev'!I66&gt;0),'SW Rev'!J66/'SW Rev'!I66-1,""),"")</f>
        <v/>
      </c>
      <c r="G271" s="37">
        <f>IFERROR(IF(AND(ISNUMBER('SW Rev'!K66),ISNUMBER('SW Rev'!J66),'SW Rev'!J66&gt;0),'SW Rev'!K66/'SW Rev'!J66-1,""),"")</f>
        <v/>
      </c>
      <c r="H271" s="37">
        <f>IFERROR(IF(AND(ISNUMBER('SW Rev'!L66),ISNUMBER('SW Rev'!K66),'SW Rev'!K66&gt;0),'SW Rev'!L66/'SW Rev'!K66-1,""),"")</f>
        <v/>
      </c>
      <c r="I271" s="37">
        <f>IFERROR(IF(AND(ISNUMBER('SW Rev'!M66),ISNUMBER('SW Rev'!L66),'SW Rev'!L66&gt;0),'SW Rev'!M66/'SW Rev'!L66-1,""),"")</f>
        <v/>
      </c>
      <c r="J271" s="37">
        <f>IFERROR(IF(AND(ISNUMBER('SW Rev'!N66),ISNUMBER('SW Rev'!M66),'SW Rev'!M66&gt;0),'SW Rev'!N66/'SW Rev'!M66-1,""),"")</f>
        <v/>
      </c>
      <c r="K271" s="37">
        <f>IFERROR(IF(AND(ISNUMBER('SW Rev'!O66),ISNUMBER('SW Rev'!N66),'SW Rev'!N66&gt;0),'SW Rev'!O66/'SW Rev'!N66-1,""),"")</f>
        <v/>
      </c>
      <c r="L271" s="37">
        <f>IFERROR(IF(AND(ISNUMBER('SW Rev'!P66),ISNUMBER('SW Rev'!O66),'SW Rev'!O66&gt;0),'SW Rev'!P66/'SW Rev'!O66-1,""),"")</f>
        <v/>
      </c>
      <c r="M271" s="38">
        <f>IFERROR(IF(AND(ISNUMBER('SW Rev'!Q66),ISNUMBER('SW Rev'!P66),'SW Rev'!P66&gt;0),'SW Rev'!Q66/'SW Rev'!P66-1,""),"")</f>
        <v/>
      </c>
      <c r="N271" s="38">
        <f>IFERROR(IF(AND(ISNUMBER('SW Rev'!R66),ISNUMBER('SW Rev'!Q66),'SW Rev'!Q66&gt;0),'SW Rev'!R66/'SW Rev'!Q66-1,""),"")</f>
        <v/>
      </c>
    </row>
    <row r="272">
      <c r="A272" s="19">
        <f>'SW Rev'!$A67</f>
        <v/>
      </c>
      <c r="B272" s="19">
        <f>'SW Rev'!$B67</f>
        <v/>
      </c>
      <c r="C272" s="37">
        <f>IFERROR(IF(AND(ISNUMBER('SW Rev'!G67),ISNUMBER('SW Rev'!F67),'SW Rev'!F67&gt;0),'SW Rev'!G67/'SW Rev'!F67-1,""),"")</f>
        <v/>
      </c>
      <c r="D272" s="37">
        <f>IFERROR(IF(AND(ISNUMBER('SW Rev'!H67),ISNUMBER('SW Rev'!G67),'SW Rev'!G67&gt;0),'SW Rev'!H67/'SW Rev'!G67-1,""),"")</f>
        <v/>
      </c>
      <c r="E272" s="37">
        <f>IFERROR(IF(AND(ISNUMBER('SW Rev'!I67),ISNUMBER('SW Rev'!H67),'SW Rev'!H67&gt;0),'SW Rev'!I67/'SW Rev'!H67-1,""),"")</f>
        <v/>
      </c>
      <c r="F272" s="37">
        <f>IFERROR(IF(AND(ISNUMBER('SW Rev'!J67),ISNUMBER('SW Rev'!I67),'SW Rev'!I67&gt;0),'SW Rev'!J67/'SW Rev'!I67-1,""),"")</f>
        <v/>
      </c>
      <c r="G272" s="37">
        <f>IFERROR(IF(AND(ISNUMBER('SW Rev'!K67),ISNUMBER('SW Rev'!J67),'SW Rev'!J67&gt;0),'SW Rev'!K67/'SW Rev'!J67-1,""),"")</f>
        <v/>
      </c>
      <c r="H272" s="37">
        <f>IFERROR(IF(AND(ISNUMBER('SW Rev'!L67),ISNUMBER('SW Rev'!K67),'SW Rev'!K67&gt;0),'SW Rev'!L67/'SW Rev'!K67-1,""),"")</f>
        <v/>
      </c>
      <c r="I272" s="37">
        <f>IFERROR(IF(AND(ISNUMBER('SW Rev'!M67),ISNUMBER('SW Rev'!L67),'SW Rev'!L67&gt;0),'SW Rev'!M67/'SW Rev'!L67-1,""),"")</f>
        <v/>
      </c>
      <c r="J272" s="37">
        <f>IFERROR(IF(AND(ISNUMBER('SW Rev'!N67),ISNUMBER('SW Rev'!M67),'SW Rev'!M67&gt;0),'SW Rev'!N67/'SW Rev'!M67-1,""),"")</f>
        <v/>
      </c>
      <c r="K272" s="37">
        <f>IFERROR(IF(AND(ISNUMBER('SW Rev'!O67),ISNUMBER('SW Rev'!N67),'SW Rev'!N67&gt;0),'SW Rev'!O67/'SW Rev'!N67-1,""),"")</f>
        <v/>
      </c>
      <c r="L272" s="37">
        <f>IFERROR(IF(AND(ISNUMBER('SW Rev'!P67),ISNUMBER('SW Rev'!O67),'SW Rev'!O67&gt;0),'SW Rev'!P67/'SW Rev'!O67-1,""),"")</f>
        <v/>
      </c>
      <c r="M272" s="38">
        <f>IFERROR(IF(AND(ISNUMBER('SW Rev'!Q67),ISNUMBER('SW Rev'!P67),'SW Rev'!P67&gt;0),'SW Rev'!Q67/'SW Rev'!P67-1,""),"")</f>
        <v/>
      </c>
      <c r="N272" s="38">
        <f>IFERROR(IF(AND(ISNUMBER('SW Rev'!R67),ISNUMBER('SW Rev'!Q67),'SW Rev'!Q67&gt;0),'SW Rev'!R67/'SW Rev'!Q67-1,""),"")</f>
        <v/>
      </c>
    </row>
    <row r="273">
      <c r="A273" s="19">
        <f>'SW Rev'!$A68</f>
        <v/>
      </c>
      <c r="B273" s="19">
        <f>'SW Rev'!$B68</f>
        <v/>
      </c>
      <c r="C273" s="37">
        <f>IFERROR(IF(AND(ISNUMBER('SW Rev'!G68),ISNUMBER('SW Rev'!F68),'SW Rev'!F68&gt;0),'SW Rev'!G68/'SW Rev'!F68-1,""),"")</f>
        <v/>
      </c>
      <c r="D273" s="37">
        <f>IFERROR(IF(AND(ISNUMBER('SW Rev'!H68),ISNUMBER('SW Rev'!G68),'SW Rev'!G68&gt;0),'SW Rev'!H68/'SW Rev'!G68-1,""),"")</f>
        <v/>
      </c>
      <c r="E273" s="37">
        <f>IFERROR(IF(AND(ISNUMBER('SW Rev'!I68),ISNUMBER('SW Rev'!H68),'SW Rev'!H68&gt;0),'SW Rev'!I68/'SW Rev'!H68-1,""),"")</f>
        <v/>
      </c>
      <c r="F273" s="37">
        <f>IFERROR(IF(AND(ISNUMBER('SW Rev'!J68),ISNUMBER('SW Rev'!I68),'SW Rev'!I68&gt;0),'SW Rev'!J68/'SW Rev'!I68-1,""),"")</f>
        <v/>
      </c>
      <c r="G273" s="37">
        <f>IFERROR(IF(AND(ISNUMBER('SW Rev'!K68),ISNUMBER('SW Rev'!J68),'SW Rev'!J68&gt;0),'SW Rev'!K68/'SW Rev'!J68-1,""),"")</f>
        <v/>
      </c>
      <c r="H273" s="37">
        <f>IFERROR(IF(AND(ISNUMBER('SW Rev'!L68),ISNUMBER('SW Rev'!K68),'SW Rev'!K68&gt;0),'SW Rev'!L68/'SW Rev'!K68-1,""),"")</f>
        <v/>
      </c>
      <c r="I273" s="37">
        <f>IFERROR(IF(AND(ISNUMBER('SW Rev'!M68),ISNUMBER('SW Rev'!L68),'SW Rev'!L68&gt;0),'SW Rev'!M68/'SW Rev'!L68-1,""),"")</f>
        <v/>
      </c>
      <c r="J273" s="37">
        <f>IFERROR(IF(AND(ISNUMBER('SW Rev'!N68),ISNUMBER('SW Rev'!M68),'SW Rev'!M68&gt;0),'SW Rev'!N68/'SW Rev'!M68-1,""),"")</f>
        <v/>
      </c>
      <c r="K273" s="37">
        <f>IFERROR(IF(AND(ISNUMBER('SW Rev'!O68),ISNUMBER('SW Rev'!N68),'SW Rev'!N68&gt;0),'SW Rev'!O68/'SW Rev'!N68-1,""),"")</f>
        <v/>
      </c>
      <c r="L273" s="37">
        <f>IFERROR(IF(AND(ISNUMBER('SW Rev'!P68),ISNUMBER('SW Rev'!O68),'SW Rev'!O68&gt;0),'SW Rev'!P68/'SW Rev'!O68-1,""),"")</f>
        <v/>
      </c>
      <c r="M273" s="38">
        <f>IFERROR(IF(AND(ISNUMBER('SW Rev'!Q68),ISNUMBER('SW Rev'!P68),'SW Rev'!P68&gt;0),'SW Rev'!Q68/'SW Rev'!P68-1,""),"")</f>
        <v/>
      </c>
      <c r="N273" s="38">
        <f>IFERROR(IF(AND(ISNUMBER('SW Rev'!R68),ISNUMBER('SW Rev'!Q68),'SW Rev'!Q68&gt;0),'SW Rev'!R68/'SW Rev'!Q68-1,""),"")</f>
        <v/>
      </c>
    </row>
    <row r="274">
      <c r="A274" s="19">
        <f>'SW Rev'!$A69</f>
        <v/>
      </c>
      <c r="B274" s="19">
        <f>'SW Rev'!$B69</f>
        <v/>
      </c>
      <c r="C274" s="37">
        <f>IFERROR(IF(AND(ISNUMBER('SW Rev'!G69),ISNUMBER('SW Rev'!F69),'SW Rev'!F69&gt;0),'SW Rev'!G69/'SW Rev'!F69-1,""),"")</f>
        <v/>
      </c>
      <c r="D274" s="37">
        <f>IFERROR(IF(AND(ISNUMBER('SW Rev'!H69),ISNUMBER('SW Rev'!G69),'SW Rev'!G69&gt;0),'SW Rev'!H69/'SW Rev'!G69-1,""),"")</f>
        <v/>
      </c>
      <c r="E274" s="37">
        <f>IFERROR(IF(AND(ISNUMBER('SW Rev'!I69),ISNUMBER('SW Rev'!H69),'SW Rev'!H69&gt;0),'SW Rev'!I69/'SW Rev'!H69-1,""),"")</f>
        <v/>
      </c>
      <c r="F274" s="37">
        <f>IFERROR(IF(AND(ISNUMBER('SW Rev'!J69),ISNUMBER('SW Rev'!I69),'SW Rev'!I69&gt;0),'SW Rev'!J69/'SW Rev'!I69-1,""),"")</f>
        <v/>
      </c>
      <c r="G274" s="37">
        <f>IFERROR(IF(AND(ISNUMBER('SW Rev'!K69),ISNUMBER('SW Rev'!J69),'SW Rev'!J69&gt;0),'SW Rev'!K69/'SW Rev'!J69-1,""),"")</f>
        <v/>
      </c>
      <c r="H274" s="37">
        <f>IFERROR(IF(AND(ISNUMBER('SW Rev'!L69),ISNUMBER('SW Rev'!K69),'SW Rev'!K69&gt;0),'SW Rev'!L69/'SW Rev'!K69-1,""),"")</f>
        <v/>
      </c>
      <c r="I274" s="37">
        <f>IFERROR(IF(AND(ISNUMBER('SW Rev'!M69),ISNUMBER('SW Rev'!L69),'SW Rev'!L69&gt;0),'SW Rev'!M69/'SW Rev'!L69-1,""),"")</f>
        <v/>
      </c>
      <c r="J274" s="37">
        <f>IFERROR(IF(AND(ISNUMBER('SW Rev'!N69),ISNUMBER('SW Rev'!M69),'SW Rev'!M69&gt;0),'SW Rev'!N69/'SW Rev'!M69-1,""),"")</f>
        <v/>
      </c>
      <c r="K274" s="37">
        <f>IFERROR(IF(AND(ISNUMBER('SW Rev'!O69),ISNUMBER('SW Rev'!N69),'SW Rev'!N69&gt;0),'SW Rev'!O69/'SW Rev'!N69-1,""),"")</f>
        <v/>
      </c>
      <c r="L274" s="37">
        <f>IFERROR(IF(AND(ISNUMBER('SW Rev'!P69),ISNUMBER('SW Rev'!O69),'SW Rev'!O69&gt;0),'SW Rev'!P69/'SW Rev'!O69-1,""),"")</f>
        <v/>
      </c>
      <c r="M274" s="38">
        <f>IFERROR(IF(AND(ISNUMBER('SW Rev'!Q69),ISNUMBER('SW Rev'!P69),'SW Rev'!P69&gt;0),'SW Rev'!Q69/'SW Rev'!P69-1,""),"")</f>
        <v/>
      </c>
      <c r="N274" s="38">
        <f>IFERROR(IF(AND(ISNUMBER('SW Rev'!R69),ISNUMBER('SW Rev'!Q69),'SW Rev'!Q69&gt;0),'SW Rev'!R69/'SW Rev'!Q69-1,""),"")</f>
        <v/>
      </c>
    </row>
    <row r="275">
      <c r="A275" s="19">
        <f>'SW Rev'!$A70</f>
        <v/>
      </c>
      <c r="B275" s="19">
        <f>'SW Rev'!$B70</f>
        <v/>
      </c>
      <c r="C275" s="37">
        <f>IFERROR(IF(AND(ISNUMBER('SW Rev'!G70),ISNUMBER('SW Rev'!F70),'SW Rev'!F70&gt;0),'SW Rev'!G70/'SW Rev'!F70-1,""),"")</f>
        <v/>
      </c>
      <c r="D275" s="37">
        <f>IFERROR(IF(AND(ISNUMBER('SW Rev'!H70),ISNUMBER('SW Rev'!G70),'SW Rev'!G70&gt;0),'SW Rev'!H70/'SW Rev'!G70-1,""),"")</f>
        <v/>
      </c>
      <c r="E275" s="37">
        <f>IFERROR(IF(AND(ISNUMBER('SW Rev'!I70),ISNUMBER('SW Rev'!H70),'SW Rev'!H70&gt;0),'SW Rev'!I70/'SW Rev'!H70-1,""),"")</f>
        <v/>
      </c>
      <c r="F275" s="37">
        <f>IFERROR(IF(AND(ISNUMBER('SW Rev'!J70),ISNUMBER('SW Rev'!I70),'SW Rev'!I70&gt;0),'SW Rev'!J70/'SW Rev'!I70-1,""),"")</f>
        <v/>
      </c>
      <c r="G275" s="37">
        <f>IFERROR(IF(AND(ISNUMBER('SW Rev'!K70),ISNUMBER('SW Rev'!J70),'SW Rev'!J70&gt;0),'SW Rev'!K70/'SW Rev'!J70-1,""),"")</f>
        <v/>
      </c>
      <c r="H275" s="37">
        <f>IFERROR(IF(AND(ISNUMBER('SW Rev'!L70),ISNUMBER('SW Rev'!K70),'SW Rev'!K70&gt;0),'SW Rev'!L70/'SW Rev'!K70-1,""),"")</f>
        <v/>
      </c>
      <c r="I275" s="37">
        <f>IFERROR(IF(AND(ISNUMBER('SW Rev'!M70),ISNUMBER('SW Rev'!L70),'SW Rev'!L70&gt;0),'SW Rev'!M70/'SW Rev'!L70-1,""),"")</f>
        <v/>
      </c>
      <c r="J275" s="37">
        <f>IFERROR(IF(AND(ISNUMBER('SW Rev'!N70),ISNUMBER('SW Rev'!M70),'SW Rev'!M70&gt;0),'SW Rev'!N70/'SW Rev'!M70-1,""),"")</f>
        <v/>
      </c>
      <c r="K275" s="37">
        <f>IFERROR(IF(AND(ISNUMBER('SW Rev'!O70),ISNUMBER('SW Rev'!N70),'SW Rev'!N70&gt;0),'SW Rev'!O70/'SW Rev'!N70-1,""),"")</f>
        <v/>
      </c>
      <c r="L275" s="37">
        <f>IFERROR(IF(AND(ISNUMBER('SW Rev'!P70),ISNUMBER('SW Rev'!O70),'SW Rev'!O70&gt;0),'SW Rev'!P70/'SW Rev'!O70-1,""),"")</f>
        <v/>
      </c>
      <c r="M275" s="38">
        <f>IFERROR(IF(AND(ISNUMBER('SW Rev'!Q70),ISNUMBER('SW Rev'!P70),'SW Rev'!P70&gt;0),'SW Rev'!Q70/'SW Rev'!P70-1,""),"")</f>
        <v/>
      </c>
      <c r="N275" s="38">
        <f>IFERROR(IF(AND(ISNUMBER('SW Rev'!R70),ISNUMBER('SW Rev'!Q70),'SW Rev'!Q70&gt;0),'SW Rev'!R70/'SW Rev'!Q70-1,""),"")</f>
        <v/>
      </c>
    </row>
    <row r="276">
      <c r="A276" s="19">
        <f>'SW Rev'!$A71</f>
        <v/>
      </c>
      <c r="B276" s="19">
        <f>'SW Rev'!$B71</f>
        <v/>
      </c>
      <c r="C276" s="37">
        <f>IFERROR(IF(AND(ISNUMBER('SW Rev'!G71),ISNUMBER('SW Rev'!F71),'SW Rev'!F71&gt;0),'SW Rev'!G71/'SW Rev'!F71-1,""),"")</f>
        <v/>
      </c>
      <c r="D276" s="37">
        <f>IFERROR(IF(AND(ISNUMBER('SW Rev'!H71),ISNUMBER('SW Rev'!G71),'SW Rev'!G71&gt;0),'SW Rev'!H71/'SW Rev'!G71-1,""),"")</f>
        <v/>
      </c>
      <c r="E276" s="37">
        <f>IFERROR(IF(AND(ISNUMBER('SW Rev'!I71),ISNUMBER('SW Rev'!H71),'SW Rev'!H71&gt;0),'SW Rev'!I71/'SW Rev'!H71-1,""),"")</f>
        <v/>
      </c>
      <c r="F276" s="37">
        <f>IFERROR(IF(AND(ISNUMBER('SW Rev'!J71),ISNUMBER('SW Rev'!I71),'SW Rev'!I71&gt;0),'SW Rev'!J71/'SW Rev'!I71-1,""),"")</f>
        <v/>
      </c>
      <c r="G276" s="37">
        <f>IFERROR(IF(AND(ISNUMBER('SW Rev'!K71),ISNUMBER('SW Rev'!J71),'SW Rev'!J71&gt;0),'SW Rev'!K71/'SW Rev'!J71-1,""),"")</f>
        <v/>
      </c>
      <c r="H276" s="37">
        <f>IFERROR(IF(AND(ISNUMBER('SW Rev'!L71),ISNUMBER('SW Rev'!K71),'SW Rev'!K71&gt;0),'SW Rev'!L71/'SW Rev'!K71-1,""),"")</f>
        <v/>
      </c>
      <c r="I276" s="37">
        <f>IFERROR(IF(AND(ISNUMBER('SW Rev'!M71),ISNUMBER('SW Rev'!L71),'SW Rev'!L71&gt;0),'SW Rev'!M71/'SW Rev'!L71-1,""),"")</f>
        <v/>
      </c>
      <c r="J276" s="37">
        <f>IFERROR(IF(AND(ISNUMBER('SW Rev'!N71),ISNUMBER('SW Rev'!M71),'SW Rev'!M71&gt;0),'SW Rev'!N71/'SW Rev'!M71-1,""),"")</f>
        <v/>
      </c>
      <c r="K276" s="37">
        <f>IFERROR(IF(AND(ISNUMBER('SW Rev'!O71),ISNUMBER('SW Rev'!N71),'SW Rev'!N71&gt;0),'SW Rev'!O71/'SW Rev'!N71-1,""),"")</f>
        <v/>
      </c>
      <c r="L276" s="37">
        <f>IFERROR(IF(AND(ISNUMBER('SW Rev'!P71),ISNUMBER('SW Rev'!O71),'SW Rev'!O71&gt;0),'SW Rev'!P71/'SW Rev'!O71-1,""),"")</f>
        <v/>
      </c>
      <c r="M276" s="38">
        <f>IFERROR(IF(AND(ISNUMBER('SW Rev'!Q71),ISNUMBER('SW Rev'!P71),'SW Rev'!P71&gt;0),'SW Rev'!Q71/'SW Rev'!P71-1,""),"")</f>
        <v/>
      </c>
      <c r="N276" s="38">
        <f>IFERROR(IF(AND(ISNUMBER('SW Rev'!R71),ISNUMBER('SW Rev'!Q71),'SW Rev'!Q71&gt;0),'SW Rev'!R71/'SW Rev'!Q71-1,""),"")</f>
        <v/>
      </c>
    </row>
    <row r="277">
      <c r="A277" s="19">
        <f>'SW Rev'!$A72</f>
        <v/>
      </c>
      <c r="B277" s="19">
        <f>'SW Rev'!$B72</f>
        <v/>
      </c>
      <c r="C277" s="37">
        <f>IFERROR(IF(AND(ISNUMBER('SW Rev'!G72),ISNUMBER('SW Rev'!F72),'SW Rev'!F72&gt;0),'SW Rev'!G72/'SW Rev'!F72-1,""),"")</f>
        <v/>
      </c>
      <c r="D277" s="37">
        <f>IFERROR(IF(AND(ISNUMBER('SW Rev'!H72),ISNUMBER('SW Rev'!G72),'SW Rev'!G72&gt;0),'SW Rev'!H72/'SW Rev'!G72-1,""),"")</f>
        <v/>
      </c>
      <c r="E277" s="37">
        <f>IFERROR(IF(AND(ISNUMBER('SW Rev'!I72),ISNUMBER('SW Rev'!H72),'SW Rev'!H72&gt;0),'SW Rev'!I72/'SW Rev'!H72-1,""),"")</f>
        <v/>
      </c>
      <c r="F277" s="37">
        <f>IFERROR(IF(AND(ISNUMBER('SW Rev'!J72),ISNUMBER('SW Rev'!I72),'SW Rev'!I72&gt;0),'SW Rev'!J72/'SW Rev'!I72-1,""),"")</f>
        <v/>
      </c>
      <c r="G277" s="37">
        <f>IFERROR(IF(AND(ISNUMBER('SW Rev'!K72),ISNUMBER('SW Rev'!J72),'SW Rev'!J72&gt;0),'SW Rev'!K72/'SW Rev'!J72-1,""),"")</f>
        <v/>
      </c>
      <c r="H277" s="37">
        <f>IFERROR(IF(AND(ISNUMBER('SW Rev'!L72),ISNUMBER('SW Rev'!K72),'SW Rev'!K72&gt;0),'SW Rev'!L72/'SW Rev'!K72-1,""),"")</f>
        <v/>
      </c>
      <c r="I277" s="37">
        <f>IFERROR(IF(AND(ISNUMBER('SW Rev'!M72),ISNUMBER('SW Rev'!L72),'SW Rev'!L72&gt;0),'SW Rev'!M72/'SW Rev'!L72-1,""),"")</f>
        <v/>
      </c>
      <c r="J277" s="37">
        <f>IFERROR(IF(AND(ISNUMBER('SW Rev'!N72),ISNUMBER('SW Rev'!M72),'SW Rev'!M72&gt;0),'SW Rev'!N72/'SW Rev'!M72-1,""),"")</f>
        <v/>
      </c>
      <c r="K277" s="37">
        <f>IFERROR(IF(AND(ISNUMBER('SW Rev'!O72),ISNUMBER('SW Rev'!N72),'SW Rev'!N72&gt;0),'SW Rev'!O72/'SW Rev'!N72-1,""),"")</f>
        <v/>
      </c>
      <c r="L277" s="37">
        <f>IFERROR(IF(AND(ISNUMBER('SW Rev'!P72),ISNUMBER('SW Rev'!O72),'SW Rev'!O72&gt;0),'SW Rev'!P72/'SW Rev'!O72-1,""),"")</f>
        <v/>
      </c>
      <c r="M277" s="38">
        <f>IFERROR(IF(AND(ISNUMBER('SW Rev'!Q72),ISNUMBER('SW Rev'!P72),'SW Rev'!P72&gt;0),'SW Rev'!Q72/'SW Rev'!P72-1,""),"")</f>
        <v/>
      </c>
      <c r="N277" s="38">
        <f>IFERROR(IF(AND(ISNUMBER('SW Rev'!R72),ISNUMBER('SW Rev'!Q72),'SW Rev'!Q72&gt;0),'SW Rev'!R72/'SW Rev'!Q72-1,""),"")</f>
        <v/>
      </c>
    </row>
    <row r="278">
      <c r="A278" s="19">
        <f>'SW Rev'!$A73</f>
        <v/>
      </c>
      <c r="B278" s="19">
        <f>'SW Rev'!$B73</f>
        <v/>
      </c>
      <c r="C278" s="37">
        <f>IFERROR(IF(AND(ISNUMBER('SW Rev'!G73),ISNUMBER('SW Rev'!F73),'SW Rev'!F73&gt;0),'SW Rev'!G73/'SW Rev'!F73-1,""),"")</f>
        <v/>
      </c>
      <c r="D278" s="37">
        <f>IFERROR(IF(AND(ISNUMBER('SW Rev'!H73),ISNUMBER('SW Rev'!G73),'SW Rev'!G73&gt;0),'SW Rev'!H73/'SW Rev'!G73-1,""),"")</f>
        <v/>
      </c>
      <c r="E278" s="37">
        <f>IFERROR(IF(AND(ISNUMBER('SW Rev'!I73),ISNUMBER('SW Rev'!H73),'SW Rev'!H73&gt;0),'SW Rev'!I73/'SW Rev'!H73-1,""),"")</f>
        <v/>
      </c>
      <c r="F278" s="37">
        <f>IFERROR(IF(AND(ISNUMBER('SW Rev'!J73),ISNUMBER('SW Rev'!I73),'SW Rev'!I73&gt;0),'SW Rev'!J73/'SW Rev'!I73-1,""),"")</f>
        <v/>
      </c>
      <c r="G278" s="37">
        <f>IFERROR(IF(AND(ISNUMBER('SW Rev'!K73),ISNUMBER('SW Rev'!J73),'SW Rev'!J73&gt;0),'SW Rev'!K73/'SW Rev'!J73-1,""),"")</f>
        <v/>
      </c>
      <c r="H278" s="37">
        <f>IFERROR(IF(AND(ISNUMBER('SW Rev'!L73),ISNUMBER('SW Rev'!K73),'SW Rev'!K73&gt;0),'SW Rev'!L73/'SW Rev'!K73-1,""),"")</f>
        <v/>
      </c>
      <c r="I278" s="37">
        <f>IFERROR(IF(AND(ISNUMBER('SW Rev'!M73),ISNUMBER('SW Rev'!L73),'SW Rev'!L73&gt;0),'SW Rev'!M73/'SW Rev'!L73-1,""),"")</f>
        <v/>
      </c>
      <c r="J278" s="37">
        <f>IFERROR(IF(AND(ISNUMBER('SW Rev'!N73),ISNUMBER('SW Rev'!M73),'SW Rev'!M73&gt;0),'SW Rev'!N73/'SW Rev'!M73-1,""),"")</f>
        <v/>
      </c>
      <c r="K278" s="37">
        <f>IFERROR(IF(AND(ISNUMBER('SW Rev'!O73),ISNUMBER('SW Rev'!N73),'SW Rev'!N73&gt;0),'SW Rev'!O73/'SW Rev'!N73-1,""),"")</f>
        <v/>
      </c>
      <c r="L278" s="37">
        <f>IFERROR(IF(AND(ISNUMBER('SW Rev'!P73),ISNUMBER('SW Rev'!O73),'SW Rev'!O73&gt;0),'SW Rev'!P73/'SW Rev'!O73-1,""),"")</f>
        <v/>
      </c>
      <c r="M278" s="38">
        <f>IFERROR(IF(AND(ISNUMBER('SW Rev'!Q73),ISNUMBER('SW Rev'!P73),'SW Rev'!P73&gt;0),'SW Rev'!Q73/'SW Rev'!P73-1,""),"")</f>
        <v/>
      </c>
      <c r="N278" s="38">
        <f>IFERROR(IF(AND(ISNUMBER('SW Rev'!R73),ISNUMBER('SW Rev'!Q73),'SW Rev'!Q73&gt;0),'SW Rev'!R73/'SW Rev'!Q73-1,""),"")</f>
        <v/>
      </c>
    </row>
    <row r="279">
      <c r="A279" s="19">
        <f>'SW Rev'!$A74</f>
        <v/>
      </c>
      <c r="B279" s="19">
        <f>'SW Rev'!$B74</f>
        <v/>
      </c>
      <c r="C279" s="37">
        <f>IFERROR(IF(AND(ISNUMBER('SW Rev'!G74),ISNUMBER('SW Rev'!F74),'SW Rev'!F74&gt;0),'SW Rev'!G74/'SW Rev'!F74-1,""),"")</f>
        <v/>
      </c>
      <c r="D279" s="37">
        <f>IFERROR(IF(AND(ISNUMBER('SW Rev'!H74),ISNUMBER('SW Rev'!G74),'SW Rev'!G74&gt;0),'SW Rev'!H74/'SW Rev'!G74-1,""),"")</f>
        <v/>
      </c>
      <c r="E279" s="37">
        <f>IFERROR(IF(AND(ISNUMBER('SW Rev'!I74),ISNUMBER('SW Rev'!H74),'SW Rev'!H74&gt;0),'SW Rev'!I74/'SW Rev'!H74-1,""),"")</f>
        <v/>
      </c>
      <c r="F279" s="37">
        <f>IFERROR(IF(AND(ISNUMBER('SW Rev'!J74),ISNUMBER('SW Rev'!I74),'SW Rev'!I74&gt;0),'SW Rev'!J74/'SW Rev'!I74-1,""),"")</f>
        <v/>
      </c>
      <c r="G279" s="37">
        <f>IFERROR(IF(AND(ISNUMBER('SW Rev'!K74),ISNUMBER('SW Rev'!J74),'SW Rev'!J74&gt;0),'SW Rev'!K74/'SW Rev'!J74-1,""),"")</f>
        <v/>
      </c>
      <c r="H279" s="37">
        <f>IFERROR(IF(AND(ISNUMBER('SW Rev'!L74),ISNUMBER('SW Rev'!K74),'SW Rev'!K74&gt;0),'SW Rev'!L74/'SW Rev'!K74-1,""),"")</f>
        <v/>
      </c>
      <c r="I279" s="37">
        <f>IFERROR(IF(AND(ISNUMBER('SW Rev'!M74),ISNUMBER('SW Rev'!L74),'SW Rev'!L74&gt;0),'SW Rev'!M74/'SW Rev'!L74-1,""),"")</f>
        <v/>
      </c>
      <c r="J279" s="37">
        <f>IFERROR(IF(AND(ISNUMBER('SW Rev'!N74),ISNUMBER('SW Rev'!M74),'SW Rev'!M74&gt;0),'SW Rev'!N74/'SW Rev'!M74-1,""),"")</f>
        <v/>
      </c>
      <c r="K279" s="37">
        <f>IFERROR(IF(AND(ISNUMBER('SW Rev'!O74),ISNUMBER('SW Rev'!N74),'SW Rev'!N74&gt;0),'SW Rev'!O74/'SW Rev'!N74-1,""),"")</f>
        <v/>
      </c>
      <c r="L279" s="37">
        <f>IFERROR(IF(AND(ISNUMBER('SW Rev'!P74),ISNUMBER('SW Rev'!O74),'SW Rev'!O74&gt;0),'SW Rev'!P74/'SW Rev'!O74-1,""),"")</f>
        <v/>
      </c>
      <c r="M279" s="38">
        <f>IFERROR(IF(AND(ISNUMBER('SW Rev'!Q74),ISNUMBER('SW Rev'!P74),'SW Rev'!P74&gt;0),'SW Rev'!Q74/'SW Rev'!P74-1,""),"")</f>
        <v/>
      </c>
      <c r="N279" s="38">
        <f>IFERROR(IF(AND(ISNUMBER('SW Rev'!R74),ISNUMBER('SW Rev'!Q74),'SW Rev'!Q74&gt;0),'SW Rev'!R74/'SW Rev'!Q74-1,""),"")</f>
        <v/>
      </c>
    </row>
    <row r="280">
      <c r="A280" s="19">
        <f>'SW Rev'!$A75</f>
        <v/>
      </c>
      <c r="B280" s="19">
        <f>'SW Rev'!$B75</f>
        <v/>
      </c>
      <c r="C280" s="37">
        <f>IFERROR(IF(AND(ISNUMBER('SW Rev'!G75),ISNUMBER('SW Rev'!F75),'SW Rev'!F75&gt;0),'SW Rev'!G75/'SW Rev'!F75-1,""),"")</f>
        <v/>
      </c>
      <c r="D280" s="37">
        <f>IFERROR(IF(AND(ISNUMBER('SW Rev'!H75),ISNUMBER('SW Rev'!G75),'SW Rev'!G75&gt;0),'SW Rev'!H75/'SW Rev'!G75-1,""),"")</f>
        <v/>
      </c>
      <c r="E280" s="37">
        <f>IFERROR(IF(AND(ISNUMBER('SW Rev'!I75),ISNUMBER('SW Rev'!H75),'SW Rev'!H75&gt;0),'SW Rev'!I75/'SW Rev'!H75-1,""),"")</f>
        <v/>
      </c>
      <c r="F280" s="37">
        <f>IFERROR(IF(AND(ISNUMBER('SW Rev'!J75),ISNUMBER('SW Rev'!I75),'SW Rev'!I75&gt;0),'SW Rev'!J75/'SW Rev'!I75-1,""),"")</f>
        <v/>
      </c>
      <c r="G280" s="37">
        <f>IFERROR(IF(AND(ISNUMBER('SW Rev'!K75),ISNUMBER('SW Rev'!J75),'SW Rev'!J75&gt;0),'SW Rev'!K75/'SW Rev'!J75-1,""),"")</f>
        <v/>
      </c>
      <c r="H280" s="37">
        <f>IFERROR(IF(AND(ISNUMBER('SW Rev'!L75),ISNUMBER('SW Rev'!K75),'SW Rev'!K75&gt;0),'SW Rev'!L75/'SW Rev'!K75-1,""),"")</f>
        <v/>
      </c>
      <c r="I280" s="37">
        <f>IFERROR(IF(AND(ISNUMBER('SW Rev'!M75),ISNUMBER('SW Rev'!L75),'SW Rev'!L75&gt;0),'SW Rev'!M75/'SW Rev'!L75-1,""),"")</f>
        <v/>
      </c>
      <c r="J280" s="37">
        <f>IFERROR(IF(AND(ISNUMBER('SW Rev'!N75),ISNUMBER('SW Rev'!M75),'SW Rev'!M75&gt;0),'SW Rev'!N75/'SW Rev'!M75-1,""),"")</f>
        <v/>
      </c>
      <c r="K280" s="37">
        <f>IFERROR(IF(AND(ISNUMBER('SW Rev'!O75),ISNUMBER('SW Rev'!N75),'SW Rev'!N75&gt;0),'SW Rev'!O75/'SW Rev'!N75-1,""),"")</f>
        <v/>
      </c>
      <c r="L280" s="37">
        <f>IFERROR(IF(AND(ISNUMBER('SW Rev'!P75),ISNUMBER('SW Rev'!O75),'SW Rev'!O75&gt;0),'SW Rev'!P75/'SW Rev'!O75-1,""),"")</f>
        <v/>
      </c>
      <c r="M280" s="38">
        <f>IFERROR(IF(AND(ISNUMBER('SW Rev'!Q75),ISNUMBER('SW Rev'!P75),'SW Rev'!P75&gt;0),'SW Rev'!Q75/'SW Rev'!P75-1,""),"")</f>
        <v/>
      </c>
      <c r="N280" s="38">
        <f>IFERROR(IF(AND(ISNUMBER('SW Rev'!R75),ISNUMBER('SW Rev'!Q75),'SW Rev'!Q75&gt;0),'SW Rev'!R75/'SW Rev'!Q75-1,""),"")</f>
        <v/>
      </c>
    </row>
    <row r="281">
      <c r="A281" s="19">
        <f>'SW Rev'!$A76</f>
        <v/>
      </c>
      <c r="B281" s="19">
        <f>'SW Rev'!$B76</f>
        <v/>
      </c>
      <c r="C281" s="37">
        <f>IFERROR(IF(AND(ISNUMBER('SW Rev'!G76),ISNUMBER('SW Rev'!F76),'SW Rev'!F76&gt;0),'SW Rev'!G76/'SW Rev'!F76-1,""),"")</f>
        <v/>
      </c>
      <c r="D281" s="37">
        <f>IFERROR(IF(AND(ISNUMBER('SW Rev'!H76),ISNUMBER('SW Rev'!G76),'SW Rev'!G76&gt;0),'SW Rev'!H76/'SW Rev'!G76-1,""),"")</f>
        <v/>
      </c>
      <c r="E281" s="37">
        <f>IFERROR(IF(AND(ISNUMBER('SW Rev'!I76),ISNUMBER('SW Rev'!H76),'SW Rev'!H76&gt;0),'SW Rev'!I76/'SW Rev'!H76-1,""),"")</f>
        <v/>
      </c>
      <c r="F281" s="37">
        <f>IFERROR(IF(AND(ISNUMBER('SW Rev'!J76),ISNUMBER('SW Rev'!I76),'SW Rev'!I76&gt;0),'SW Rev'!J76/'SW Rev'!I76-1,""),"")</f>
        <v/>
      </c>
      <c r="G281" s="37">
        <f>IFERROR(IF(AND(ISNUMBER('SW Rev'!K76),ISNUMBER('SW Rev'!J76),'SW Rev'!J76&gt;0),'SW Rev'!K76/'SW Rev'!J76-1,""),"")</f>
        <v/>
      </c>
      <c r="H281" s="37">
        <f>IFERROR(IF(AND(ISNUMBER('SW Rev'!L76),ISNUMBER('SW Rev'!K76),'SW Rev'!K76&gt;0),'SW Rev'!L76/'SW Rev'!K76-1,""),"")</f>
        <v/>
      </c>
      <c r="I281" s="37">
        <f>IFERROR(IF(AND(ISNUMBER('SW Rev'!M76),ISNUMBER('SW Rev'!L76),'SW Rev'!L76&gt;0),'SW Rev'!M76/'SW Rev'!L76-1,""),"")</f>
        <v/>
      </c>
      <c r="J281" s="37">
        <f>IFERROR(IF(AND(ISNUMBER('SW Rev'!N76),ISNUMBER('SW Rev'!M76),'SW Rev'!M76&gt;0),'SW Rev'!N76/'SW Rev'!M76-1,""),"")</f>
        <v/>
      </c>
      <c r="K281" s="37">
        <f>IFERROR(IF(AND(ISNUMBER('SW Rev'!O76),ISNUMBER('SW Rev'!N76),'SW Rev'!N76&gt;0),'SW Rev'!O76/'SW Rev'!N76-1,""),"")</f>
        <v/>
      </c>
      <c r="L281" s="37">
        <f>IFERROR(IF(AND(ISNUMBER('SW Rev'!P76),ISNUMBER('SW Rev'!O76),'SW Rev'!O76&gt;0),'SW Rev'!P76/'SW Rev'!O76-1,""),"")</f>
        <v/>
      </c>
      <c r="M281" s="38">
        <f>IFERROR(IF(AND(ISNUMBER('SW Rev'!Q76),ISNUMBER('SW Rev'!P76),'SW Rev'!P76&gt;0),'SW Rev'!Q76/'SW Rev'!P76-1,""),"")</f>
        <v/>
      </c>
      <c r="N281" s="38">
        <f>IFERROR(IF(AND(ISNUMBER('SW Rev'!R76),ISNUMBER('SW Rev'!Q76),'SW Rev'!Q76&gt;0),'SW Rev'!R76/'SW Rev'!Q76-1,""),"")</f>
        <v/>
      </c>
    </row>
    <row r="282">
      <c r="A282" s="19">
        <f>'SW Rev'!$A77</f>
        <v/>
      </c>
      <c r="B282" s="19">
        <f>'SW Rev'!$B77</f>
        <v/>
      </c>
      <c r="C282" s="37">
        <f>IFERROR(IF(AND(ISNUMBER('SW Rev'!G77),ISNUMBER('SW Rev'!F77),'SW Rev'!F77&gt;0),'SW Rev'!G77/'SW Rev'!F77-1,""),"")</f>
        <v/>
      </c>
      <c r="D282" s="37">
        <f>IFERROR(IF(AND(ISNUMBER('SW Rev'!H77),ISNUMBER('SW Rev'!G77),'SW Rev'!G77&gt;0),'SW Rev'!H77/'SW Rev'!G77-1,""),"")</f>
        <v/>
      </c>
      <c r="E282" s="37">
        <f>IFERROR(IF(AND(ISNUMBER('SW Rev'!I77),ISNUMBER('SW Rev'!H77),'SW Rev'!H77&gt;0),'SW Rev'!I77/'SW Rev'!H77-1,""),"")</f>
        <v/>
      </c>
      <c r="F282" s="37">
        <f>IFERROR(IF(AND(ISNUMBER('SW Rev'!J77),ISNUMBER('SW Rev'!I77),'SW Rev'!I77&gt;0),'SW Rev'!J77/'SW Rev'!I77-1,""),"")</f>
        <v/>
      </c>
      <c r="G282" s="37">
        <f>IFERROR(IF(AND(ISNUMBER('SW Rev'!K77),ISNUMBER('SW Rev'!J77),'SW Rev'!J77&gt;0),'SW Rev'!K77/'SW Rev'!J77-1,""),"")</f>
        <v/>
      </c>
      <c r="H282" s="37">
        <f>IFERROR(IF(AND(ISNUMBER('SW Rev'!L77),ISNUMBER('SW Rev'!K77),'SW Rev'!K77&gt;0),'SW Rev'!L77/'SW Rev'!K77-1,""),"")</f>
        <v/>
      </c>
      <c r="I282" s="37">
        <f>IFERROR(IF(AND(ISNUMBER('SW Rev'!M77),ISNUMBER('SW Rev'!L77),'SW Rev'!L77&gt;0),'SW Rev'!M77/'SW Rev'!L77-1,""),"")</f>
        <v/>
      </c>
      <c r="J282" s="37">
        <f>IFERROR(IF(AND(ISNUMBER('SW Rev'!N77),ISNUMBER('SW Rev'!M77),'SW Rev'!M77&gt;0),'SW Rev'!N77/'SW Rev'!M77-1,""),"")</f>
        <v/>
      </c>
      <c r="K282" s="37">
        <f>IFERROR(IF(AND(ISNUMBER('SW Rev'!O77),ISNUMBER('SW Rev'!N77),'SW Rev'!N77&gt;0),'SW Rev'!O77/'SW Rev'!N77-1,""),"")</f>
        <v/>
      </c>
      <c r="L282" s="37">
        <f>IFERROR(IF(AND(ISNUMBER('SW Rev'!P77),ISNUMBER('SW Rev'!O77),'SW Rev'!O77&gt;0),'SW Rev'!P77/'SW Rev'!O77-1,""),"")</f>
        <v/>
      </c>
      <c r="M282" s="38">
        <f>IFERROR(IF(AND(ISNUMBER('SW Rev'!Q77),ISNUMBER('SW Rev'!P77),'SW Rev'!P77&gt;0),'SW Rev'!Q77/'SW Rev'!P77-1,""),"")</f>
        <v/>
      </c>
      <c r="N282" s="38">
        <f>IFERROR(IF(AND(ISNUMBER('SW Rev'!R77),ISNUMBER('SW Rev'!Q77),'SW Rev'!Q77&gt;0),'SW Rev'!R77/'SW Rev'!Q77-1,""),"")</f>
        <v/>
      </c>
    </row>
    <row r="283">
      <c r="A283" s="19">
        <f>'SW Rev'!$A78</f>
        <v/>
      </c>
      <c r="B283" s="19">
        <f>'SW Rev'!$B78</f>
        <v/>
      </c>
      <c r="C283" s="37">
        <f>IFERROR(IF(AND(ISNUMBER('SW Rev'!G78),ISNUMBER('SW Rev'!F78),'SW Rev'!F78&gt;0),'SW Rev'!G78/'SW Rev'!F78-1,""),"")</f>
        <v/>
      </c>
      <c r="D283" s="37">
        <f>IFERROR(IF(AND(ISNUMBER('SW Rev'!H78),ISNUMBER('SW Rev'!G78),'SW Rev'!G78&gt;0),'SW Rev'!H78/'SW Rev'!G78-1,""),"")</f>
        <v/>
      </c>
      <c r="E283" s="37">
        <f>IFERROR(IF(AND(ISNUMBER('SW Rev'!I78),ISNUMBER('SW Rev'!H78),'SW Rev'!H78&gt;0),'SW Rev'!I78/'SW Rev'!H78-1,""),"")</f>
        <v/>
      </c>
      <c r="F283" s="37">
        <f>IFERROR(IF(AND(ISNUMBER('SW Rev'!J78),ISNUMBER('SW Rev'!I78),'SW Rev'!I78&gt;0),'SW Rev'!J78/'SW Rev'!I78-1,""),"")</f>
        <v/>
      </c>
      <c r="G283" s="37">
        <f>IFERROR(IF(AND(ISNUMBER('SW Rev'!K78),ISNUMBER('SW Rev'!J78),'SW Rev'!J78&gt;0),'SW Rev'!K78/'SW Rev'!J78-1,""),"")</f>
        <v/>
      </c>
      <c r="H283" s="37">
        <f>IFERROR(IF(AND(ISNUMBER('SW Rev'!L78),ISNUMBER('SW Rev'!K78),'SW Rev'!K78&gt;0),'SW Rev'!L78/'SW Rev'!K78-1,""),"")</f>
        <v/>
      </c>
      <c r="I283" s="37">
        <f>IFERROR(IF(AND(ISNUMBER('SW Rev'!M78),ISNUMBER('SW Rev'!L78),'SW Rev'!L78&gt;0),'SW Rev'!M78/'SW Rev'!L78-1,""),"")</f>
        <v/>
      </c>
      <c r="J283" s="37">
        <f>IFERROR(IF(AND(ISNUMBER('SW Rev'!N78),ISNUMBER('SW Rev'!M78),'SW Rev'!M78&gt;0),'SW Rev'!N78/'SW Rev'!M78-1,""),"")</f>
        <v/>
      </c>
      <c r="K283" s="37">
        <f>IFERROR(IF(AND(ISNUMBER('SW Rev'!O78),ISNUMBER('SW Rev'!N78),'SW Rev'!N78&gt;0),'SW Rev'!O78/'SW Rev'!N78-1,""),"")</f>
        <v/>
      </c>
      <c r="L283" s="37">
        <f>IFERROR(IF(AND(ISNUMBER('SW Rev'!P78),ISNUMBER('SW Rev'!O78),'SW Rev'!O78&gt;0),'SW Rev'!P78/'SW Rev'!O78-1,""),"")</f>
        <v/>
      </c>
      <c r="M283" s="38">
        <f>IFERROR(IF(AND(ISNUMBER('SW Rev'!Q78),ISNUMBER('SW Rev'!P78),'SW Rev'!P78&gt;0),'SW Rev'!Q78/'SW Rev'!P78-1,""),"")</f>
        <v/>
      </c>
      <c r="N283" s="38">
        <f>IFERROR(IF(AND(ISNUMBER('SW Rev'!R78),ISNUMBER('SW Rev'!Q78),'SW Rev'!Q78&gt;0),'SW Rev'!R78/'SW Rev'!Q78-1,""),"")</f>
        <v/>
      </c>
    </row>
    <row r="284">
      <c r="A284" s="19">
        <f>'SW Rev'!$A79</f>
        <v/>
      </c>
      <c r="B284" s="19">
        <f>'SW Rev'!$B79</f>
        <v/>
      </c>
      <c r="C284" s="37">
        <f>IFERROR(IF(AND(ISNUMBER('SW Rev'!G79),ISNUMBER('SW Rev'!F79),'SW Rev'!F79&gt;0),'SW Rev'!G79/'SW Rev'!F79-1,""),"")</f>
        <v/>
      </c>
      <c r="D284" s="37">
        <f>IFERROR(IF(AND(ISNUMBER('SW Rev'!H79),ISNUMBER('SW Rev'!G79),'SW Rev'!G79&gt;0),'SW Rev'!H79/'SW Rev'!G79-1,""),"")</f>
        <v/>
      </c>
      <c r="E284" s="37">
        <f>IFERROR(IF(AND(ISNUMBER('SW Rev'!I79),ISNUMBER('SW Rev'!H79),'SW Rev'!H79&gt;0),'SW Rev'!I79/'SW Rev'!H79-1,""),"")</f>
        <v/>
      </c>
      <c r="F284" s="37">
        <f>IFERROR(IF(AND(ISNUMBER('SW Rev'!J79),ISNUMBER('SW Rev'!I79),'SW Rev'!I79&gt;0),'SW Rev'!J79/'SW Rev'!I79-1,""),"")</f>
        <v/>
      </c>
      <c r="G284" s="37">
        <f>IFERROR(IF(AND(ISNUMBER('SW Rev'!K79),ISNUMBER('SW Rev'!J79),'SW Rev'!J79&gt;0),'SW Rev'!K79/'SW Rev'!J79-1,""),"")</f>
        <v/>
      </c>
      <c r="H284" s="37">
        <f>IFERROR(IF(AND(ISNUMBER('SW Rev'!L79),ISNUMBER('SW Rev'!K79),'SW Rev'!K79&gt;0),'SW Rev'!L79/'SW Rev'!K79-1,""),"")</f>
        <v/>
      </c>
      <c r="I284" s="37">
        <f>IFERROR(IF(AND(ISNUMBER('SW Rev'!M79),ISNUMBER('SW Rev'!L79),'SW Rev'!L79&gt;0),'SW Rev'!M79/'SW Rev'!L79-1,""),"")</f>
        <v/>
      </c>
      <c r="J284" s="37">
        <f>IFERROR(IF(AND(ISNUMBER('SW Rev'!N79),ISNUMBER('SW Rev'!M79),'SW Rev'!M79&gt;0),'SW Rev'!N79/'SW Rev'!M79-1,""),"")</f>
        <v/>
      </c>
      <c r="K284" s="37">
        <f>IFERROR(IF(AND(ISNUMBER('SW Rev'!O79),ISNUMBER('SW Rev'!N79),'SW Rev'!N79&gt;0),'SW Rev'!O79/'SW Rev'!N79-1,""),"")</f>
        <v/>
      </c>
      <c r="L284" s="37">
        <f>IFERROR(IF(AND(ISNUMBER('SW Rev'!P79),ISNUMBER('SW Rev'!O79),'SW Rev'!O79&gt;0),'SW Rev'!P79/'SW Rev'!O79-1,""),"")</f>
        <v/>
      </c>
      <c r="M284" s="38">
        <f>IFERROR(IF(AND(ISNUMBER('SW Rev'!Q79),ISNUMBER('SW Rev'!P79),'SW Rev'!P79&gt;0),'SW Rev'!Q79/'SW Rev'!P79-1,""),"")</f>
        <v/>
      </c>
      <c r="N284" s="38">
        <f>IFERROR(IF(AND(ISNUMBER('SW Rev'!R79),ISNUMBER('SW Rev'!Q79),'SW Rev'!Q79&gt;0),'SW Rev'!R79/'SW Rev'!Q79-1,""),"")</f>
        <v/>
      </c>
    </row>
    <row r="285">
      <c r="A285" s="19">
        <f>'SW Rev'!$A80</f>
        <v/>
      </c>
      <c r="B285" s="19">
        <f>'SW Rev'!$B80</f>
        <v/>
      </c>
      <c r="C285" s="37">
        <f>IFERROR(IF(AND(ISNUMBER('SW Rev'!G80),ISNUMBER('SW Rev'!F80),'SW Rev'!F80&gt;0),'SW Rev'!G80/'SW Rev'!F80-1,""),"")</f>
        <v/>
      </c>
      <c r="D285" s="37">
        <f>IFERROR(IF(AND(ISNUMBER('SW Rev'!H80),ISNUMBER('SW Rev'!G80),'SW Rev'!G80&gt;0),'SW Rev'!H80/'SW Rev'!G80-1,""),"")</f>
        <v/>
      </c>
      <c r="E285" s="37">
        <f>IFERROR(IF(AND(ISNUMBER('SW Rev'!I80),ISNUMBER('SW Rev'!H80),'SW Rev'!H80&gt;0),'SW Rev'!I80/'SW Rev'!H80-1,""),"")</f>
        <v/>
      </c>
      <c r="F285" s="37">
        <f>IFERROR(IF(AND(ISNUMBER('SW Rev'!J80),ISNUMBER('SW Rev'!I80),'SW Rev'!I80&gt;0),'SW Rev'!J80/'SW Rev'!I80-1,""),"")</f>
        <v/>
      </c>
      <c r="G285" s="37">
        <f>IFERROR(IF(AND(ISNUMBER('SW Rev'!K80),ISNUMBER('SW Rev'!J80),'SW Rev'!J80&gt;0),'SW Rev'!K80/'SW Rev'!J80-1,""),"")</f>
        <v/>
      </c>
      <c r="H285" s="37">
        <f>IFERROR(IF(AND(ISNUMBER('SW Rev'!L80),ISNUMBER('SW Rev'!K80),'SW Rev'!K80&gt;0),'SW Rev'!L80/'SW Rev'!K80-1,""),"")</f>
        <v/>
      </c>
      <c r="I285" s="37">
        <f>IFERROR(IF(AND(ISNUMBER('SW Rev'!M80),ISNUMBER('SW Rev'!L80),'SW Rev'!L80&gt;0),'SW Rev'!M80/'SW Rev'!L80-1,""),"")</f>
        <v/>
      </c>
      <c r="J285" s="37">
        <f>IFERROR(IF(AND(ISNUMBER('SW Rev'!N80),ISNUMBER('SW Rev'!M80),'SW Rev'!M80&gt;0),'SW Rev'!N80/'SW Rev'!M80-1,""),"")</f>
        <v/>
      </c>
      <c r="K285" s="37">
        <f>IFERROR(IF(AND(ISNUMBER('SW Rev'!O80),ISNUMBER('SW Rev'!N80),'SW Rev'!N80&gt;0),'SW Rev'!O80/'SW Rev'!N80-1,""),"")</f>
        <v/>
      </c>
      <c r="L285" s="37">
        <f>IFERROR(IF(AND(ISNUMBER('SW Rev'!P80),ISNUMBER('SW Rev'!O80),'SW Rev'!O80&gt;0),'SW Rev'!P80/'SW Rev'!O80-1,""),"")</f>
        <v/>
      </c>
      <c r="M285" s="38">
        <f>IFERROR(IF(AND(ISNUMBER('SW Rev'!Q80),ISNUMBER('SW Rev'!P80),'SW Rev'!P80&gt;0),'SW Rev'!Q80/'SW Rev'!P80-1,""),"")</f>
        <v/>
      </c>
      <c r="N285" s="38">
        <f>IFERROR(IF(AND(ISNUMBER('SW Rev'!R80),ISNUMBER('SW Rev'!Q80),'SW Rev'!Q80&gt;0),'SW Rev'!R80/'SW Rev'!Q80-1,""),"")</f>
        <v/>
      </c>
    </row>
    <row r="286">
      <c r="A286" s="19">
        <f>'SW Rev'!$A81</f>
        <v/>
      </c>
      <c r="B286" s="19">
        <f>'SW Rev'!$B81</f>
        <v/>
      </c>
      <c r="C286" s="37">
        <f>IFERROR(IF(AND(ISNUMBER('SW Rev'!G81),ISNUMBER('SW Rev'!F81),'SW Rev'!F81&gt;0),'SW Rev'!G81/'SW Rev'!F81-1,""),"")</f>
        <v/>
      </c>
      <c r="D286" s="37">
        <f>IFERROR(IF(AND(ISNUMBER('SW Rev'!H81),ISNUMBER('SW Rev'!G81),'SW Rev'!G81&gt;0),'SW Rev'!H81/'SW Rev'!G81-1,""),"")</f>
        <v/>
      </c>
      <c r="E286" s="37">
        <f>IFERROR(IF(AND(ISNUMBER('SW Rev'!I81),ISNUMBER('SW Rev'!H81),'SW Rev'!H81&gt;0),'SW Rev'!I81/'SW Rev'!H81-1,""),"")</f>
        <v/>
      </c>
      <c r="F286" s="37">
        <f>IFERROR(IF(AND(ISNUMBER('SW Rev'!J81),ISNUMBER('SW Rev'!I81),'SW Rev'!I81&gt;0),'SW Rev'!J81/'SW Rev'!I81-1,""),"")</f>
        <v/>
      </c>
      <c r="G286" s="37">
        <f>IFERROR(IF(AND(ISNUMBER('SW Rev'!K81),ISNUMBER('SW Rev'!J81),'SW Rev'!J81&gt;0),'SW Rev'!K81/'SW Rev'!J81-1,""),"")</f>
        <v/>
      </c>
      <c r="H286" s="37">
        <f>IFERROR(IF(AND(ISNUMBER('SW Rev'!L81),ISNUMBER('SW Rev'!K81),'SW Rev'!K81&gt;0),'SW Rev'!L81/'SW Rev'!K81-1,""),"")</f>
        <v/>
      </c>
      <c r="I286" s="37">
        <f>IFERROR(IF(AND(ISNUMBER('SW Rev'!M81),ISNUMBER('SW Rev'!L81),'SW Rev'!L81&gt;0),'SW Rev'!M81/'SW Rev'!L81-1,""),"")</f>
        <v/>
      </c>
      <c r="J286" s="37">
        <f>IFERROR(IF(AND(ISNUMBER('SW Rev'!N81),ISNUMBER('SW Rev'!M81),'SW Rev'!M81&gt;0),'SW Rev'!N81/'SW Rev'!M81-1,""),"")</f>
        <v/>
      </c>
      <c r="K286" s="37">
        <f>IFERROR(IF(AND(ISNUMBER('SW Rev'!O81),ISNUMBER('SW Rev'!N81),'SW Rev'!N81&gt;0),'SW Rev'!O81/'SW Rev'!N81-1,""),"")</f>
        <v/>
      </c>
      <c r="L286" s="37">
        <f>IFERROR(IF(AND(ISNUMBER('SW Rev'!P81),ISNUMBER('SW Rev'!O81),'SW Rev'!O81&gt;0),'SW Rev'!P81/'SW Rev'!O81-1,""),"")</f>
        <v/>
      </c>
      <c r="M286" s="38">
        <f>IFERROR(IF(AND(ISNUMBER('SW Rev'!Q81),ISNUMBER('SW Rev'!P81),'SW Rev'!P81&gt;0),'SW Rev'!Q81/'SW Rev'!P81-1,""),"")</f>
        <v/>
      </c>
      <c r="N286" s="38">
        <f>IFERROR(IF(AND(ISNUMBER('SW Rev'!R81),ISNUMBER('SW Rev'!Q81),'SW Rev'!Q81&gt;0),'SW Rev'!R81/'SW Rev'!Q81-1,""),"")</f>
        <v/>
      </c>
    </row>
    <row r="287">
      <c r="A287" s="19">
        <f>'SW Rev'!$A82</f>
        <v/>
      </c>
      <c r="B287" s="19">
        <f>'SW Rev'!$B82</f>
        <v/>
      </c>
      <c r="C287" s="37">
        <f>IFERROR(IF(AND(ISNUMBER('SW Rev'!G82),ISNUMBER('SW Rev'!F82),'SW Rev'!F82&gt;0),'SW Rev'!G82/'SW Rev'!F82-1,""),"")</f>
        <v/>
      </c>
      <c r="D287" s="37">
        <f>IFERROR(IF(AND(ISNUMBER('SW Rev'!H82),ISNUMBER('SW Rev'!G82),'SW Rev'!G82&gt;0),'SW Rev'!H82/'SW Rev'!G82-1,""),"")</f>
        <v/>
      </c>
      <c r="E287" s="37">
        <f>IFERROR(IF(AND(ISNUMBER('SW Rev'!I82),ISNUMBER('SW Rev'!H82),'SW Rev'!H82&gt;0),'SW Rev'!I82/'SW Rev'!H82-1,""),"")</f>
        <v/>
      </c>
      <c r="F287" s="37">
        <f>IFERROR(IF(AND(ISNUMBER('SW Rev'!J82),ISNUMBER('SW Rev'!I82),'SW Rev'!I82&gt;0),'SW Rev'!J82/'SW Rev'!I82-1,""),"")</f>
        <v/>
      </c>
      <c r="G287" s="37">
        <f>IFERROR(IF(AND(ISNUMBER('SW Rev'!K82),ISNUMBER('SW Rev'!J82),'SW Rev'!J82&gt;0),'SW Rev'!K82/'SW Rev'!J82-1,""),"")</f>
        <v/>
      </c>
      <c r="H287" s="37">
        <f>IFERROR(IF(AND(ISNUMBER('SW Rev'!L82),ISNUMBER('SW Rev'!K82),'SW Rev'!K82&gt;0),'SW Rev'!L82/'SW Rev'!K82-1,""),"")</f>
        <v/>
      </c>
      <c r="I287" s="37">
        <f>IFERROR(IF(AND(ISNUMBER('SW Rev'!M82),ISNUMBER('SW Rev'!L82),'SW Rev'!L82&gt;0),'SW Rev'!M82/'SW Rev'!L82-1,""),"")</f>
        <v/>
      </c>
      <c r="J287" s="37">
        <f>IFERROR(IF(AND(ISNUMBER('SW Rev'!N82),ISNUMBER('SW Rev'!M82),'SW Rev'!M82&gt;0),'SW Rev'!N82/'SW Rev'!M82-1,""),"")</f>
        <v/>
      </c>
      <c r="K287" s="37">
        <f>IFERROR(IF(AND(ISNUMBER('SW Rev'!O82),ISNUMBER('SW Rev'!N82),'SW Rev'!N82&gt;0),'SW Rev'!O82/'SW Rev'!N82-1,""),"")</f>
        <v/>
      </c>
      <c r="L287" s="37">
        <f>IFERROR(IF(AND(ISNUMBER('SW Rev'!P82),ISNUMBER('SW Rev'!O82),'SW Rev'!O82&gt;0),'SW Rev'!P82/'SW Rev'!O82-1,""),"")</f>
        <v/>
      </c>
      <c r="M287" s="38">
        <f>IFERROR(IF(AND(ISNUMBER('SW Rev'!Q82),ISNUMBER('SW Rev'!P82),'SW Rev'!P82&gt;0),'SW Rev'!Q82/'SW Rev'!P82-1,""),"")</f>
        <v/>
      </c>
      <c r="N287" s="38">
        <f>IFERROR(IF(AND(ISNUMBER('SW Rev'!R82),ISNUMBER('SW Rev'!Q82),'SW Rev'!Q82&gt;0),'SW Rev'!R82/'SW Rev'!Q82-1,""),"")</f>
        <v/>
      </c>
    </row>
    <row r="288">
      <c r="A288" s="19">
        <f>'SW Rev'!$A83</f>
        <v/>
      </c>
      <c r="B288" s="19">
        <f>'SW Rev'!$B83</f>
        <v/>
      </c>
      <c r="C288" s="37">
        <f>IFERROR(IF(AND(ISNUMBER('SW Rev'!G83),ISNUMBER('SW Rev'!F83),'SW Rev'!F83&gt;0),'SW Rev'!G83/'SW Rev'!F83-1,""),"")</f>
        <v/>
      </c>
      <c r="D288" s="37">
        <f>IFERROR(IF(AND(ISNUMBER('SW Rev'!H83),ISNUMBER('SW Rev'!G83),'SW Rev'!G83&gt;0),'SW Rev'!H83/'SW Rev'!G83-1,""),"")</f>
        <v/>
      </c>
      <c r="E288" s="37">
        <f>IFERROR(IF(AND(ISNUMBER('SW Rev'!I83),ISNUMBER('SW Rev'!H83),'SW Rev'!H83&gt;0),'SW Rev'!I83/'SW Rev'!H83-1,""),"")</f>
        <v/>
      </c>
      <c r="F288" s="37">
        <f>IFERROR(IF(AND(ISNUMBER('SW Rev'!J83),ISNUMBER('SW Rev'!I83),'SW Rev'!I83&gt;0),'SW Rev'!J83/'SW Rev'!I83-1,""),"")</f>
        <v/>
      </c>
      <c r="G288" s="37">
        <f>IFERROR(IF(AND(ISNUMBER('SW Rev'!K83),ISNUMBER('SW Rev'!J83),'SW Rev'!J83&gt;0),'SW Rev'!K83/'SW Rev'!J83-1,""),"")</f>
        <v/>
      </c>
      <c r="H288" s="37">
        <f>IFERROR(IF(AND(ISNUMBER('SW Rev'!L83),ISNUMBER('SW Rev'!K83),'SW Rev'!K83&gt;0),'SW Rev'!L83/'SW Rev'!K83-1,""),"")</f>
        <v/>
      </c>
      <c r="I288" s="37">
        <f>IFERROR(IF(AND(ISNUMBER('SW Rev'!M83),ISNUMBER('SW Rev'!L83),'SW Rev'!L83&gt;0),'SW Rev'!M83/'SW Rev'!L83-1,""),"")</f>
        <v/>
      </c>
      <c r="J288" s="37">
        <f>IFERROR(IF(AND(ISNUMBER('SW Rev'!N83),ISNUMBER('SW Rev'!M83),'SW Rev'!M83&gt;0),'SW Rev'!N83/'SW Rev'!M83-1,""),"")</f>
        <v/>
      </c>
      <c r="K288" s="37">
        <f>IFERROR(IF(AND(ISNUMBER('SW Rev'!O83),ISNUMBER('SW Rev'!N83),'SW Rev'!N83&gt;0),'SW Rev'!O83/'SW Rev'!N83-1,""),"")</f>
        <v/>
      </c>
      <c r="L288" s="37">
        <f>IFERROR(IF(AND(ISNUMBER('SW Rev'!P83),ISNUMBER('SW Rev'!O83),'SW Rev'!O83&gt;0),'SW Rev'!P83/'SW Rev'!O83-1,""),"")</f>
        <v/>
      </c>
      <c r="M288" s="38">
        <f>IFERROR(IF(AND(ISNUMBER('SW Rev'!Q83),ISNUMBER('SW Rev'!P83),'SW Rev'!P83&gt;0),'SW Rev'!Q83/'SW Rev'!P83-1,""),"")</f>
        <v/>
      </c>
      <c r="N288" s="38">
        <f>IFERROR(IF(AND(ISNUMBER('SW Rev'!R83),ISNUMBER('SW Rev'!Q83),'SW Rev'!Q83&gt;0),'SW Rev'!R83/'SW Rev'!Q83-1,""),"")</f>
        <v/>
      </c>
    </row>
    <row r="289">
      <c r="A289" s="19">
        <f>'SW Rev'!$A84</f>
        <v/>
      </c>
      <c r="B289" s="19">
        <f>'SW Rev'!$B84</f>
        <v/>
      </c>
      <c r="C289" s="37">
        <f>IFERROR(IF(AND(ISNUMBER('SW Rev'!G84),ISNUMBER('SW Rev'!F84),'SW Rev'!F84&gt;0),'SW Rev'!G84/'SW Rev'!F84-1,""),"")</f>
        <v/>
      </c>
      <c r="D289" s="37">
        <f>IFERROR(IF(AND(ISNUMBER('SW Rev'!H84),ISNUMBER('SW Rev'!G84),'SW Rev'!G84&gt;0),'SW Rev'!H84/'SW Rev'!G84-1,""),"")</f>
        <v/>
      </c>
      <c r="E289" s="37">
        <f>IFERROR(IF(AND(ISNUMBER('SW Rev'!I84),ISNUMBER('SW Rev'!H84),'SW Rev'!H84&gt;0),'SW Rev'!I84/'SW Rev'!H84-1,""),"")</f>
        <v/>
      </c>
      <c r="F289" s="37">
        <f>IFERROR(IF(AND(ISNUMBER('SW Rev'!J84),ISNUMBER('SW Rev'!I84),'SW Rev'!I84&gt;0),'SW Rev'!J84/'SW Rev'!I84-1,""),"")</f>
        <v/>
      </c>
      <c r="G289" s="37">
        <f>IFERROR(IF(AND(ISNUMBER('SW Rev'!K84),ISNUMBER('SW Rev'!J84),'SW Rev'!J84&gt;0),'SW Rev'!K84/'SW Rev'!J84-1,""),"")</f>
        <v/>
      </c>
      <c r="H289" s="37">
        <f>IFERROR(IF(AND(ISNUMBER('SW Rev'!L84),ISNUMBER('SW Rev'!K84),'SW Rev'!K84&gt;0),'SW Rev'!L84/'SW Rev'!K84-1,""),"")</f>
        <v/>
      </c>
      <c r="I289" s="37">
        <f>IFERROR(IF(AND(ISNUMBER('SW Rev'!M84),ISNUMBER('SW Rev'!L84),'SW Rev'!L84&gt;0),'SW Rev'!M84/'SW Rev'!L84-1,""),"")</f>
        <v/>
      </c>
      <c r="J289" s="37">
        <f>IFERROR(IF(AND(ISNUMBER('SW Rev'!N84),ISNUMBER('SW Rev'!M84),'SW Rev'!M84&gt;0),'SW Rev'!N84/'SW Rev'!M84-1,""),"")</f>
        <v/>
      </c>
      <c r="K289" s="37">
        <f>IFERROR(IF(AND(ISNUMBER('SW Rev'!O84),ISNUMBER('SW Rev'!N84),'SW Rev'!N84&gt;0),'SW Rev'!O84/'SW Rev'!N84-1,""),"")</f>
        <v/>
      </c>
      <c r="L289" s="37">
        <f>IFERROR(IF(AND(ISNUMBER('SW Rev'!P84),ISNUMBER('SW Rev'!O84),'SW Rev'!O84&gt;0),'SW Rev'!P84/'SW Rev'!O84-1,""),"")</f>
        <v/>
      </c>
      <c r="M289" s="38">
        <f>IFERROR(IF(AND(ISNUMBER('SW Rev'!Q84),ISNUMBER('SW Rev'!P84),'SW Rev'!P84&gt;0),'SW Rev'!Q84/'SW Rev'!P84-1,""),"")</f>
        <v/>
      </c>
      <c r="N289" s="38">
        <f>IFERROR(IF(AND(ISNUMBER('SW Rev'!R84),ISNUMBER('SW Rev'!Q84),'SW Rev'!Q84&gt;0),'SW Rev'!R84/'SW Rev'!Q84-1,""),"")</f>
        <v/>
      </c>
    </row>
    <row r="290">
      <c r="A290" s="19">
        <f>'SW Rev'!$A85</f>
        <v/>
      </c>
      <c r="B290" s="19">
        <f>'SW Rev'!$B85</f>
        <v/>
      </c>
      <c r="C290" s="37">
        <f>IFERROR(IF(AND(ISNUMBER('SW Rev'!G85),ISNUMBER('SW Rev'!F85),'SW Rev'!F85&gt;0),'SW Rev'!G85/'SW Rev'!F85-1,""),"")</f>
        <v/>
      </c>
      <c r="D290" s="37">
        <f>IFERROR(IF(AND(ISNUMBER('SW Rev'!H85),ISNUMBER('SW Rev'!G85),'SW Rev'!G85&gt;0),'SW Rev'!H85/'SW Rev'!G85-1,""),"")</f>
        <v/>
      </c>
      <c r="E290" s="37">
        <f>IFERROR(IF(AND(ISNUMBER('SW Rev'!I85),ISNUMBER('SW Rev'!H85),'SW Rev'!H85&gt;0),'SW Rev'!I85/'SW Rev'!H85-1,""),"")</f>
        <v/>
      </c>
      <c r="F290" s="37">
        <f>IFERROR(IF(AND(ISNUMBER('SW Rev'!J85),ISNUMBER('SW Rev'!I85),'SW Rev'!I85&gt;0),'SW Rev'!J85/'SW Rev'!I85-1,""),"")</f>
        <v/>
      </c>
      <c r="G290" s="37">
        <f>IFERROR(IF(AND(ISNUMBER('SW Rev'!K85),ISNUMBER('SW Rev'!J85),'SW Rev'!J85&gt;0),'SW Rev'!K85/'SW Rev'!J85-1,""),"")</f>
        <v/>
      </c>
      <c r="H290" s="37">
        <f>IFERROR(IF(AND(ISNUMBER('SW Rev'!L85),ISNUMBER('SW Rev'!K85),'SW Rev'!K85&gt;0),'SW Rev'!L85/'SW Rev'!K85-1,""),"")</f>
        <v/>
      </c>
      <c r="I290" s="37">
        <f>IFERROR(IF(AND(ISNUMBER('SW Rev'!M85),ISNUMBER('SW Rev'!L85),'SW Rev'!L85&gt;0),'SW Rev'!M85/'SW Rev'!L85-1,""),"")</f>
        <v/>
      </c>
      <c r="J290" s="37">
        <f>IFERROR(IF(AND(ISNUMBER('SW Rev'!N85),ISNUMBER('SW Rev'!M85),'SW Rev'!M85&gt;0),'SW Rev'!N85/'SW Rev'!M85-1,""),"")</f>
        <v/>
      </c>
      <c r="K290" s="37">
        <f>IFERROR(IF(AND(ISNUMBER('SW Rev'!O85),ISNUMBER('SW Rev'!N85),'SW Rev'!N85&gt;0),'SW Rev'!O85/'SW Rev'!N85-1,""),"")</f>
        <v/>
      </c>
      <c r="L290" s="37">
        <f>IFERROR(IF(AND(ISNUMBER('SW Rev'!P85),ISNUMBER('SW Rev'!O85),'SW Rev'!O85&gt;0),'SW Rev'!P85/'SW Rev'!O85-1,""),"")</f>
        <v/>
      </c>
      <c r="M290" s="38">
        <f>IFERROR(IF(AND(ISNUMBER('SW Rev'!Q85),ISNUMBER('SW Rev'!P85),'SW Rev'!P85&gt;0),'SW Rev'!Q85/'SW Rev'!P85-1,""),"")</f>
        <v/>
      </c>
      <c r="N290" s="38">
        <f>IFERROR(IF(AND(ISNUMBER('SW Rev'!R85),ISNUMBER('SW Rev'!Q85),'SW Rev'!Q85&gt;0),'SW Rev'!R85/'SW Rev'!Q85-1,""),"")</f>
        <v/>
      </c>
    </row>
    <row r="291">
      <c r="A291" s="19">
        <f>'SW Rev'!$A86</f>
        <v/>
      </c>
      <c r="B291" s="19">
        <f>'SW Rev'!$B86</f>
        <v/>
      </c>
      <c r="C291" s="37">
        <f>IFERROR(IF(AND(ISNUMBER('SW Rev'!G86),ISNUMBER('SW Rev'!F86),'SW Rev'!F86&gt;0),'SW Rev'!G86/'SW Rev'!F86-1,""),"")</f>
        <v/>
      </c>
      <c r="D291" s="37">
        <f>IFERROR(IF(AND(ISNUMBER('SW Rev'!H86),ISNUMBER('SW Rev'!G86),'SW Rev'!G86&gt;0),'SW Rev'!H86/'SW Rev'!G86-1,""),"")</f>
        <v/>
      </c>
      <c r="E291" s="37">
        <f>IFERROR(IF(AND(ISNUMBER('SW Rev'!I86),ISNUMBER('SW Rev'!H86),'SW Rev'!H86&gt;0),'SW Rev'!I86/'SW Rev'!H86-1,""),"")</f>
        <v/>
      </c>
      <c r="F291" s="37">
        <f>IFERROR(IF(AND(ISNUMBER('SW Rev'!J86),ISNUMBER('SW Rev'!I86),'SW Rev'!I86&gt;0),'SW Rev'!J86/'SW Rev'!I86-1,""),"")</f>
        <v/>
      </c>
      <c r="G291" s="37">
        <f>IFERROR(IF(AND(ISNUMBER('SW Rev'!K86),ISNUMBER('SW Rev'!J86),'SW Rev'!J86&gt;0),'SW Rev'!K86/'SW Rev'!J86-1,""),"")</f>
        <v/>
      </c>
      <c r="H291" s="37">
        <f>IFERROR(IF(AND(ISNUMBER('SW Rev'!L86),ISNUMBER('SW Rev'!K86),'SW Rev'!K86&gt;0),'SW Rev'!L86/'SW Rev'!K86-1,""),"")</f>
        <v/>
      </c>
      <c r="I291" s="37">
        <f>IFERROR(IF(AND(ISNUMBER('SW Rev'!M86),ISNUMBER('SW Rev'!L86),'SW Rev'!L86&gt;0),'SW Rev'!M86/'SW Rev'!L86-1,""),"")</f>
        <v/>
      </c>
      <c r="J291" s="37">
        <f>IFERROR(IF(AND(ISNUMBER('SW Rev'!N86),ISNUMBER('SW Rev'!M86),'SW Rev'!M86&gt;0),'SW Rev'!N86/'SW Rev'!M86-1,""),"")</f>
        <v/>
      </c>
      <c r="K291" s="37">
        <f>IFERROR(IF(AND(ISNUMBER('SW Rev'!O86),ISNUMBER('SW Rev'!N86),'SW Rev'!N86&gt;0),'SW Rev'!O86/'SW Rev'!N86-1,""),"")</f>
        <v/>
      </c>
      <c r="L291" s="37">
        <f>IFERROR(IF(AND(ISNUMBER('SW Rev'!P86),ISNUMBER('SW Rev'!O86),'SW Rev'!O86&gt;0),'SW Rev'!P86/'SW Rev'!O86-1,""),"")</f>
        <v/>
      </c>
      <c r="M291" s="38">
        <f>IFERROR(IF(AND(ISNUMBER('SW Rev'!Q86),ISNUMBER('SW Rev'!P86),'SW Rev'!P86&gt;0),'SW Rev'!Q86/'SW Rev'!P86-1,""),"")</f>
        <v/>
      </c>
      <c r="N291" s="38">
        <f>IFERROR(IF(AND(ISNUMBER('SW Rev'!R86),ISNUMBER('SW Rev'!Q86),'SW Rev'!Q86&gt;0),'SW Rev'!R86/'SW Rev'!Q86-1,""),"")</f>
        <v/>
      </c>
    </row>
    <row r="292">
      <c r="A292" s="19">
        <f>'SW Rev'!$A87</f>
        <v/>
      </c>
      <c r="B292" s="19">
        <f>'SW Rev'!$B87</f>
        <v/>
      </c>
      <c r="C292" s="37">
        <f>IFERROR(IF(AND(ISNUMBER('SW Rev'!G87),ISNUMBER('SW Rev'!F87),'SW Rev'!F87&gt;0),'SW Rev'!G87/'SW Rev'!F87-1,""),"")</f>
        <v/>
      </c>
      <c r="D292" s="37">
        <f>IFERROR(IF(AND(ISNUMBER('SW Rev'!H87),ISNUMBER('SW Rev'!G87),'SW Rev'!G87&gt;0),'SW Rev'!H87/'SW Rev'!G87-1,""),"")</f>
        <v/>
      </c>
      <c r="E292" s="37">
        <f>IFERROR(IF(AND(ISNUMBER('SW Rev'!I87),ISNUMBER('SW Rev'!H87),'SW Rev'!H87&gt;0),'SW Rev'!I87/'SW Rev'!H87-1,""),"")</f>
        <v/>
      </c>
      <c r="F292" s="37">
        <f>IFERROR(IF(AND(ISNUMBER('SW Rev'!J87),ISNUMBER('SW Rev'!I87),'SW Rev'!I87&gt;0),'SW Rev'!J87/'SW Rev'!I87-1,""),"")</f>
        <v/>
      </c>
      <c r="G292" s="37">
        <f>IFERROR(IF(AND(ISNUMBER('SW Rev'!K87),ISNUMBER('SW Rev'!J87),'SW Rev'!J87&gt;0),'SW Rev'!K87/'SW Rev'!J87-1,""),"")</f>
        <v/>
      </c>
      <c r="H292" s="37">
        <f>IFERROR(IF(AND(ISNUMBER('SW Rev'!L87),ISNUMBER('SW Rev'!K87),'SW Rev'!K87&gt;0),'SW Rev'!L87/'SW Rev'!K87-1,""),"")</f>
        <v/>
      </c>
      <c r="I292" s="37">
        <f>IFERROR(IF(AND(ISNUMBER('SW Rev'!M87),ISNUMBER('SW Rev'!L87),'SW Rev'!L87&gt;0),'SW Rev'!M87/'SW Rev'!L87-1,""),"")</f>
        <v/>
      </c>
      <c r="J292" s="37">
        <f>IFERROR(IF(AND(ISNUMBER('SW Rev'!N87),ISNUMBER('SW Rev'!M87),'SW Rev'!M87&gt;0),'SW Rev'!N87/'SW Rev'!M87-1,""),"")</f>
        <v/>
      </c>
      <c r="K292" s="37">
        <f>IFERROR(IF(AND(ISNUMBER('SW Rev'!O87),ISNUMBER('SW Rev'!N87),'SW Rev'!N87&gt;0),'SW Rev'!O87/'SW Rev'!N87-1,""),"")</f>
        <v/>
      </c>
      <c r="L292" s="37">
        <f>IFERROR(IF(AND(ISNUMBER('SW Rev'!P87),ISNUMBER('SW Rev'!O87),'SW Rev'!O87&gt;0),'SW Rev'!P87/'SW Rev'!O87-1,""),"")</f>
        <v/>
      </c>
      <c r="M292" s="38">
        <f>IFERROR(IF(AND(ISNUMBER('SW Rev'!Q87),ISNUMBER('SW Rev'!P87),'SW Rev'!P87&gt;0),'SW Rev'!Q87/'SW Rev'!P87-1,""),"")</f>
        <v/>
      </c>
      <c r="N292" s="38">
        <f>IFERROR(IF(AND(ISNUMBER('SW Rev'!R87),ISNUMBER('SW Rev'!Q87),'SW Rev'!Q87&gt;0),'SW Rev'!R87/'SW Rev'!Q87-1,""),"")</f>
        <v/>
      </c>
    </row>
    <row r="293">
      <c r="A293" s="19">
        <f>'SW Rev'!$A88</f>
        <v/>
      </c>
      <c r="B293" s="19">
        <f>'SW Rev'!$B88</f>
        <v/>
      </c>
      <c r="C293" s="37">
        <f>IFERROR(IF(AND(ISNUMBER('SW Rev'!G88),ISNUMBER('SW Rev'!F88),'SW Rev'!F88&gt;0),'SW Rev'!G88/'SW Rev'!F88-1,""),"")</f>
        <v/>
      </c>
      <c r="D293" s="37">
        <f>IFERROR(IF(AND(ISNUMBER('SW Rev'!H88),ISNUMBER('SW Rev'!G88),'SW Rev'!G88&gt;0),'SW Rev'!H88/'SW Rev'!G88-1,""),"")</f>
        <v/>
      </c>
      <c r="E293" s="37">
        <f>IFERROR(IF(AND(ISNUMBER('SW Rev'!I88),ISNUMBER('SW Rev'!H88),'SW Rev'!H88&gt;0),'SW Rev'!I88/'SW Rev'!H88-1,""),"")</f>
        <v/>
      </c>
      <c r="F293" s="37">
        <f>IFERROR(IF(AND(ISNUMBER('SW Rev'!J88),ISNUMBER('SW Rev'!I88),'SW Rev'!I88&gt;0),'SW Rev'!J88/'SW Rev'!I88-1,""),"")</f>
        <v/>
      </c>
      <c r="G293" s="37">
        <f>IFERROR(IF(AND(ISNUMBER('SW Rev'!K88),ISNUMBER('SW Rev'!J88),'SW Rev'!J88&gt;0),'SW Rev'!K88/'SW Rev'!J88-1,""),"")</f>
        <v/>
      </c>
      <c r="H293" s="37">
        <f>IFERROR(IF(AND(ISNUMBER('SW Rev'!L88),ISNUMBER('SW Rev'!K88),'SW Rev'!K88&gt;0),'SW Rev'!L88/'SW Rev'!K88-1,""),"")</f>
        <v/>
      </c>
      <c r="I293" s="37">
        <f>IFERROR(IF(AND(ISNUMBER('SW Rev'!M88),ISNUMBER('SW Rev'!L88),'SW Rev'!L88&gt;0),'SW Rev'!M88/'SW Rev'!L88-1,""),"")</f>
        <v/>
      </c>
      <c r="J293" s="37">
        <f>IFERROR(IF(AND(ISNUMBER('SW Rev'!N88),ISNUMBER('SW Rev'!M88),'SW Rev'!M88&gt;0),'SW Rev'!N88/'SW Rev'!M88-1,""),"")</f>
        <v/>
      </c>
      <c r="K293" s="37">
        <f>IFERROR(IF(AND(ISNUMBER('SW Rev'!O88),ISNUMBER('SW Rev'!N88),'SW Rev'!N88&gt;0),'SW Rev'!O88/'SW Rev'!N88-1,""),"")</f>
        <v/>
      </c>
      <c r="L293" s="37">
        <f>IFERROR(IF(AND(ISNUMBER('SW Rev'!P88),ISNUMBER('SW Rev'!O88),'SW Rev'!O88&gt;0),'SW Rev'!P88/'SW Rev'!O88-1,""),"")</f>
        <v/>
      </c>
      <c r="M293" s="38">
        <f>IFERROR(IF(AND(ISNUMBER('SW Rev'!Q88),ISNUMBER('SW Rev'!P88),'SW Rev'!P88&gt;0),'SW Rev'!Q88/'SW Rev'!P88-1,""),"")</f>
        <v/>
      </c>
      <c r="N293" s="38">
        <f>IFERROR(IF(AND(ISNUMBER('SW Rev'!R88),ISNUMBER('SW Rev'!Q88),'SW Rev'!Q88&gt;0),'SW Rev'!R88/'SW Rev'!Q88-1,""),"")</f>
        <v/>
      </c>
    </row>
    <row r="294">
      <c r="A294" s="19">
        <f>'SW Rev'!$A89</f>
        <v/>
      </c>
      <c r="B294" s="19">
        <f>'SW Rev'!$B89</f>
        <v/>
      </c>
      <c r="C294" s="37">
        <f>IFERROR(IF(AND(ISNUMBER('SW Rev'!G89),ISNUMBER('SW Rev'!F89),'SW Rev'!F89&gt;0),'SW Rev'!G89/'SW Rev'!F89-1,""),"")</f>
        <v/>
      </c>
      <c r="D294" s="37">
        <f>IFERROR(IF(AND(ISNUMBER('SW Rev'!H89),ISNUMBER('SW Rev'!G89),'SW Rev'!G89&gt;0),'SW Rev'!H89/'SW Rev'!G89-1,""),"")</f>
        <v/>
      </c>
      <c r="E294" s="37">
        <f>IFERROR(IF(AND(ISNUMBER('SW Rev'!I89),ISNUMBER('SW Rev'!H89),'SW Rev'!H89&gt;0),'SW Rev'!I89/'SW Rev'!H89-1,""),"")</f>
        <v/>
      </c>
      <c r="F294" s="37">
        <f>IFERROR(IF(AND(ISNUMBER('SW Rev'!J89),ISNUMBER('SW Rev'!I89),'SW Rev'!I89&gt;0),'SW Rev'!J89/'SW Rev'!I89-1,""),"")</f>
        <v/>
      </c>
      <c r="G294" s="37">
        <f>IFERROR(IF(AND(ISNUMBER('SW Rev'!K89),ISNUMBER('SW Rev'!J89),'SW Rev'!J89&gt;0),'SW Rev'!K89/'SW Rev'!J89-1,""),"")</f>
        <v/>
      </c>
      <c r="H294" s="37">
        <f>IFERROR(IF(AND(ISNUMBER('SW Rev'!L89),ISNUMBER('SW Rev'!K89),'SW Rev'!K89&gt;0),'SW Rev'!L89/'SW Rev'!K89-1,""),"")</f>
        <v/>
      </c>
      <c r="I294" s="37">
        <f>IFERROR(IF(AND(ISNUMBER('SW Rev'!M89),ISNUMBER('SW Rev'!L89),'SW Rev'!L89&gt;0),'SW Rev'!M89/'SW Rev'!L89-1,""),"")</f>
        <v/>
      </c>
      <c r="J294" s="37">
        <f>IFERROR(IF(AND(ISNUMBER('SW Rev'!N89),ISNUMBER('SW Rev'!M89),'SW Rev'!M89&gt;0),'SW Rev'!N89/'SW Rev'!M89-1,""),"")</f>
        <v/>
      </c>
      <c r="K294" s="37">
        <f>IFERROR(IF(AND(ISNUMBER('SW Rev'!O89),ISNUMBER('SW Rev'!N89),'SW Rev'!N89&gt;0),'SW Rev'!O89/'SW Rev'!N89-1,""),"")</f>
        <v/>
      </c>
      <c r="L294" s="37">
        <f>IFERROR(IF(AND(ISNUMBER('SW Rev'!P89),ISNUMBER('SW Rev'!O89),'SW Rev'!O89&gt;0),'SW Rev'!P89/'SW Rev'!O89-1,""),"")</f>
        <v/>
      </c>
      <c r="M294" s="38">
        <f>IFERROR(IF(AND(ISNUMBER('SW Rev'!Q89),ISNUMBER('SW Rev'!P89),'SW Rev'!P89&gt;0),'SW Rev'!Q89/'SW Rev'!P89-1,""),"")</f>
        <v/>
      </c>
      <c r="N294" s="38">
        <f>IFERROR(IF(AND(ISNUMBER('SW Rev'!R89),ISNUMBER('SW Rev'!Q89),'SW Rev'!Q89&gt;0),'SW Rev'!R89/'SW Rev'!Q89-1,""),"")</f>
        <v/>
      </c>
    </row>
    <row r="295">
      <c r="A295" s="19">
        <f>'SW Rev'!$A90</f>
        <v/>
      </c>
      <c r="B295" s="19">
        <f>'SW Rev'!$B90</f>
        <v/>
      </c>
      <c r="C295" s="37">
        <f>IFERROR(IF(AND(ISNUMBER('SW Rev'!G90),ISNUMBER('SW Rev'!F90),'SW Rev'!F90&gt;0),'SW Rev'!G90/'SW Rev'!F90-1,""),"")</f>
        <v/>
      </c>
      <c r="D295" s="37">
        <f>IFERROR(IF(AND(ISNUMBER('SW Rev'!H90),ISNUMBER('SW Rev'!G90),'SW Rev'!G90&gt;0),'SW Rev'!H90/'SW Rev'!G90-1,""),"")</f>
        <v/>
      </c>
      <c r="E295" s="37">
        <f>IFERROR(IF(AND(ISNUMBER('SW Rev'!I90),ISNUMBER('SW Rev'!H90),'SW Rev'!H90&gt;0),'SW Rev'!I90/'SW Rev'!H90-1,""),"")</f>
        <v/>
      </c>
      <c r="F295" s="37">
        <f>IFERROR(IF(AND(ISNUMBER('SW Rev'!J90),ISNUMBER('SW Rev'!I90),'SW Rev'!I90&gt;0),'SW Rev'!J90/'SW Rev'!I90-1,""),"")</f>
        <v/>
      </c>
      <c r="G295" s="37">
        <f>IFERROR(IF(AND(ISNUMBER('SW Rev'!K90),ISNUMBER('SW Rev'!J90),'SW Rev'!J90&gt;0),'SW Rev'!K90/'SW Rev'!J90-1,""),"")</f>
        <v/>
      </c>
      <c r="H295" s="37">
        <f>IFERROR(IF(AND(ISNUMBER('SW Rev'!L90),ISNUMBER('SW Rev'!K90),'SW Rev'!K90&gt;0),'SW Rev'!L90/'SW Rev'!K90-1,""),"")</f>
        <v/>
      </c>
      <c r="I295" s="37">
        <f>IFERROR(IF(AND(ISNUMBER('SW Rev'!M90),ISNUMBER('SW Rev'!L90),'SW Rev'!L90&gt;0),'SW Rev'!M90/'SW Rev'!L90-1,""),"")</f>
        <v/>
      </c>
      <c r="J295" s="37">
        <f>IFERROR(IF(AND(ISNUMBER('SW Rev'!N90),ISNUMBER('SW Rev'!M90),'SW Rev'!M90&gt;0),'SW Rev'!N90/'SW Rev'!M90-1,""),"")</f>
        <v/>
      </c>
      <c r="K295" s="37">
        <f>IFERROR(IF(AND(ISNUMBER('SW Rev'!O90),ISNUMBER('SW Rev'!N90),'SW Rev'!N90&gt;0),'SW Rev'!O90/'SW Rev'!N90-1,""),"")</f>
        <v/>
      </c>
      <c r="L295" s="37">
        <f>IFERROR(IF(AND(ISNUMBER('SW Rev'!P90),ISNUMBER('SW Rev'!O90),'SW Rev'!O90&gt;0),'SW Rev'!P90/'SW Rev'!O90-1,""),"")</f>
        <v/>
      </c>
      <c r="M295" s="38">
        <f>IFERROR(IF(AND(ISNUMBER('SW Rev'!Q90),ISNUMBER('SW Rev'!P90),'SW Rev'!P90&gt;0),'SW Rev'!Q90/'SW Rev'!P90-1,""),"")</f>
        <v/>
      </c>
      <c r="N295" s="38">
        <f>IFERROR(IF(AND(ISNUMBER('SW Rev'!R90),ISNUMBER('SW Rev'!Q90),'SW Rev'!Q90&gt;0),'SW Rev'!R90/'SW Rev'!Q90-1,""),"")</f>
        <v/>
      </c>
    </row>
    <row r="296">
      <c r="A296" s="19">
        <f>'SW Rev'!$A91</f>
        <v/>
      </c>
      <c r="B296" s="19">
        <f>'SW Rev'!$B91</f>
        <v/>
      </c>
      <c r="C296" s="37">
        <f>IFERROR(IF(AND(ISNUMBER('SW Rev'!G91),ISNUMBER('SW Rev'!F91),'SW Rev'!F91&gt;0),'SW Rev'!G91/'SW Rev'!F91-1,""),"")</f>
        <v/>
      </c>
      <c r="D296" s="37">
        <f>IFERROR(IF(AND(ISNUMBER('SW Rev'!H91),ISNUMBER('SW Rev'!G91),'SW Rev'!G91&gt;0),'SW Rev'!H91/'SW Rev'!G91-1,""),"")</f>
        <v/>
      </c>
      <c r="E296" s="37">
        <f>IFERROR(IF(AND(ISNUMBER('SW Rev'!I91),ISNUMBER('SW Rev'!H91),'SW Rev'!H91&gt;0),'SW Rev'!I91/'SW Rev'!H91-1,""),"")</f>
        <v/>
      </c>
      <c r="F296" s="37">
        <f>IFERROR(IF(AND(ISNUMBER('SW Rev'!J91),ISNUMBER('SW Rev'!I91),'SW Rev'!I91&gt;0),'SW Rev'!J91/'SW Rev'!I91-1,""),"")</f>
        <v/>
      </c>
      <c r="G296" s="37">
        <f>IFERROR(IF(AND(ISNUMBER('SW Rev'!K91),ISNUMBER('SW Rev'!J91),'SW Rev'!J91&gt;0),'SW Rev'!K91/'SW Rev'!J91-1,""),"")</f>
        <v/>
      </c>
      <c r="H296" s="37">
        <f>IFERROR(IF(AND(ISNUMBER('SW Rev'!L91),ISNUMBER('SW Rev'!K91),'SW Rev'!K91&gt;0),'SW Rev'!L91/'SW Rev'!K91-1,""),"")</f>
        <v/>
      </c>
      <c r="I296" s="37">
        <f>IFERROR(IF(AND(ISNUMBER('SW Rev'!M91),ISNUMBER('SW Rev'!L91),'SW Rev'!L91&gt;0),'SW Rev'!M91/'SW Rev'!L91-1,""),"")</f>
        <v/>
      </c>
      <c r="J296" s="37">
        <f>IFERROR(IF(AND(ISNUMBER('SW Rev'!N91),ISNUMBER('SW Rev'!M91),'SW Rev'!M91&gt;0),'SW Rev'!N91/'SW Rev'!M91-1,""),"")</f>
        <v/>
      </c>
      <c r="K296" s="37">
        <f>IFERROR(IF(AND(ISNUMBER('SW Rev'!O91),ISNUMBER('SW Rev'!N91),'SW Rev'!N91&gt;0),'SW Rev'!O91/'SW Rev'!N91-1,""),"")</f>
        <v/>
      </c>
      <c r="L296" s="37">
        <f>IFERROR(IF(AND(ISNUMBER('SW Rev'!P91),ISNUMBER('SW Rev'!O91),'SW Rev'!O91&gt;0),'SW Rev'!P91/'SW Rev'!O91-1,""),"")</f>
        <v/>
      </c>
      <c r="M296" s="38">
        <f>IFERROR(IF(AND(ISNUMBER('SW Rev'!Q91),ISNUMBER('SW Rev'!P91),'SW Rev'!P91&gt;0),'SW Rev'!Q91/'SW Rev'!P91-1,""),"")</f>
        <v/>
      </c>
      <c r="N296" s="38">
        <f>IFERROR(IF(AND(ISNUMBER('SW Rev'!R91),ISNUMBER('SW Rev'!Q91),'SW Rev'!Q91&gt;0),'SW Rev'!R91/'SW Rev'!Q91-1,""),"")</f>
        <v/>
      </c>
    </row>
    <row r="297">
      <c r="A297" s="19">
        <f>'SW Rev'!$A92</f>
        <v/>
      </c>
      <c r="B297" s="19">
        <f>'SW Rev'!$B92</f>
        <v/>
      </c>
      <c r="C297" s="37">
        <f>IFERROR(IF(AND(ISNUMBER('SW Rev'!G92),ISNUMBER('SW Rev'!F92),'SW Rev'!F92&gt;0),'SW Rev'!G92/'SW Rev'!F92-1,""),"")</f>
        <v/>
      </c>
      <c r="D297" s="37">
        <f>IFERROR(IF(AND(ISNUMBER('SW Rev'!H92),ISNUMBER('SW Rev'!G92),'SW Rev'!G92&gt;0),'SW Rev'!H92/'SW Rev'!G92-1,""),"")</f>
        <v/>
      </c>
      <c r="E297" s="37">
        <f>IFERROR(IF(AND(ISNUMBER('SW Rev'!I92),ISNUMBER('SW Rev'!H92),'SW Rev'!H92&gt;0),'SW Rev'!I92/'SW Rev'!H92-1,""),"")</f>
        <v/>
      </c>
      <c r="F297" s="37">
        <f>IFERROR(IF(AND(ISNUMBER('SW Rev'!J92),ISNUMBER('SW Rev'!I92),'SW Rev'!I92&gt;0),'SW Rev'!J92/'SW Rev'!I92-1,""),"")</f>
        <v/>
      </c>
      <c r="G297" s="37">
        <f>IFERROR(IF(AND(ISNUMBER('SW Rev'!K92),ISNUMBER('SW Rev'!J92),'SW Rev'!J92&gt;0),'SW Rev'!K92/'SW Rev'!J92-1,""),"")</f>
        <v/>
      </c>
      <c r="H297" s="37">
        <f>IFERROR(IF(AND(ISNUMBER('SW Rev'!L92),ISNUMBER('SW Rev'!K92),'SW Rev'!K92&gt;0),'SW Rev'!L92/'SW Rev'!K92-1,""),"")</f>
        <v/>
      </c>
      <c r="I297" s="37">
        <f>IFERROR(IF(AND(ISNUMBER('SW Rev'!M92),ISNUMBER('SW Rev'!L92),'SW Rev'!L92&gt;0),'SW Rev'!M92/'SW Rev'!L92-1,""),"")</f>
        <v/>
      </c>
      <c r="J297" s="37">
        <f>IFERROR(IF(AND(ISNUMBER('SW Rev'!N92),ISNUMBER('SW Rev'!M92),'SW Rev'!M92&gt;0),'SW Rev'!N92/'SW Rev'!M92-1,""),"")</f>
        <v/>
      </c>
      <c r="K297" s="37">
        <f>IFERROR(IF(AND(ISNUMBER('SW Rev'!O92),ISNUMBER('SW Rev'!N92),'SW Rev'!N92&gt;0),'SW Rev'!O92/'SW Rev'!N92-1,""),"")</f>
        <v/>
      </c>
      <c r="L297" s="37">
        <f>IFERROR(IF(AND(ISNUMBER('SW Rev'!P92),ISNUMBER('SW Rev'!O92),'SW Rev'!O92&gt;0),'SW Rev'!P92/'SW Rev'!O92-1,""),"")</f>
        <v/>
      </c>
      <c r="M297" s="38">
        <f>IFERROR(IF(AND(ISNUMBER('SW Rev'!Q92),ISNUMBER('SW Rev'!P92),'SW Rev'!P92&gt;0),'SW Rev'!Q92/'SW Rev'!P92-1,""),"")</f>
        <v/>
      </c>
      <c r="N297" s="38">
        <f>IFERROR(IF(AND(ISNUMBER('SW Rev'!R92),ISNUMBER('SW Rev'!Q92),'SW Rev'!Q92&gt;0),'SW Rev'!R92/'SW Rev'!Q92-1,""),"")</f>
        <v/>
      </c>
    </row>
    <row r="298">
      <c r="A298" s="19">
        <f>'SW Rev'!$A93</f>
        <v/>
      </c>
      <c r="B298" s="19">
        <f>'SW Rev'!$B93</f>
        <v/>
      </c>
      <c r="C298" s="37">
        <f>IFERROR(IF(AND(ISNUMBER('SW Rev'!G93),ISNUMBER('SW Rev'!F93),'SW Rev'!F93&gt;0),'SW Rev'!G93/'SW Rev'!F93-1,""),"")</f>
        <v/>
      </c>
      <c r="D298" s="37">
        <f>IFERROR(IF(AND(ISNUMBER('SW Rev'!H93),ISNUMBER('SW Rev'!G93),'SW Rev'!G93&gt;0),'SW Rev'!H93/'SW Rev'!G93-1,""),"")</f>
        <v/>
      </c>
      <c r="E298" s="37">
        <f>IFERROR(IF(AND(ISNUMBER('SW Rev'!I93),ISNUMBER('SW Rev'!H93),'SW Rev'!H93&gt;0),'SW Rev'!I93/'SW Rev'!H93-1,""),"")</f>
        <v/>
      </c>
      <c r="F298" s="37">
        <f>IFERROR(IF(AND(ISNUMBER('SW Rev'!J93),ISNUMBER('SW Rev'!I93),'SW Rev'!I93&gt;0),'SW Rev'!J93/'SW Rev'!I93-1,""),"")</f>
        <v/>
      </c>
      <c r="G298" s="37">
        <f>IFERROR(IF(AND(ISNUMBER('SW Rev'!K93),ISNUMBER('SW Rev'!J93),'SW Rev'!J93&gt;0),'SW Rev'!K93/'SW Rev'!J93-1,""),"")</f>
        <v/>
      </c>
      <c r="H298" s="37">
        <f>IFERROR(IF(AND(ISNUMBER('SW Rev'!L93),ISNUMBER('SW Rev'!K93),'SW Rev'!K93&gt;0),'SW Rev'!L93/'SW Rev'!K93-1,""),"")</f>
        <v/>
      </c>
      <c r="I298" s="37">
        <f>IFERROR(IF(AND(ISNUMBER('SW Rev'!M93),ISNUMBER('SW Rev'!L93),'SW Rev'!L93&gt;0),'SW Rev'!M93/'SW Rev'!L93-1,""),"")</f>
        <v/>
      </c>
      <c r="J298" s="37">
        <f>IFERROR(IF(AND(ISNUMBER('SW Rev'!N93),ISNUMBER('SW Rev'!M93),'SW Rev'!M93&gt;0),'SW Rev'!N93/'SW Rev'!M93-1,""),"")</f>
        <v/>
      </c>
      <c r="K298" s="37">
        <f>IFERROR(IF(AND(ISNUMBER('SW Rev'!O93),ISNUMBER('SW Rev'!N93),'SW Rev'!N93&gt;0),'SW Rev'!O93/'SW Rev'!N93-1,""),"")</f>
        <v/>
      </c>
      <c r="L298" s="37">
        <f>IFERROR(IF(AND(ISNUMBER('SW Rev'!P93),ISNUMBER('SW Rev'!O93),'SW Rev'!O93&gt;0),'SW Rev'!P93/'SW Rev'!O93-1,""),"")</f>
        <v/>
      </c>
      <c r="M298" s="38">
        <f>IFERROR(IF(AND(ISNUMBER('SW Rev'!Q93),ISNUMBER('SW Rev'!P93),'SW Rev'!P93&gt;0),'SW Rev'!Q93/'SW Rev'!P93-1,""),"")</f>
        <v/>
      </c>
      <c r="N298" s="38">
        <f>IFERROR(IF(AND(ISNUMBER('SW Rev'!R93),ISNUMBER('SW Rev'!Q93),'SW Rev'!Q93&gt;0),'SW Rev'!R93/'SW Rev'!Q93-1,""),"")</f>
        <v/>
      </c>
    </row>
    <row r="299">
      <c r="A299" s="19">
        <f>'SW Rev'!$A94</f>
        <v/>
      </c>
      <c r="B299" s="19">
        <f>'SW Rev'!$B94</f>
        <v/>
      </c>
      <c r="C299" s="37">
        <f>IFERROR(IF(AND(ISNUMBER('SW Rev'!G94),ISNUMBER('SW Rev'!F94),'SW Rev'!F94&gt;0),'SW Rev'!G94/'SW Rev'!F94-1,""),"")</f>
        <v/>
      </c>
      <c r="D299" s="37">
        <f>IFERROR(IF(AND(ISNUMBER('SW Rev'!H94),ISNUMBER('SW Rev'!G94),'SW Rev'!G94&gt;0),'SW Rev'!H94/'SW Rev'!G94-1,""),"")</f>
        <v/>
      </c>
      <c r="E299" s="37">
        <f>IFERROR(IF(AND(ISNUMBER('SW Rev'!I94),ISNUMBER('SW Rev'!H94),'SW Rev'!H94&gt;0),'SW Rev'!I94/'SW Rev'!H94-1,""),"")</f>
        <v/>
      </c>
      <c r="F299" s="37">
        <f>IFERROR(IF(AND(ISNUMBER('SW Rev'!J94),ISNUMBER('SW Rev'!I94),'SW Rev'!I94&gt;0),'SW Rev'!J94/'SW Rev'!I94-1,""),"")</f>
        <v/>
      </c>
      <c r="G299" s="37">
        <f>IFERROR(IF(AND(ISNUMBER('SW Rev'!K94),ISNUMBER('SW Rev'!J94),'SW Rev'!J94&gt;0),'SW Rev'!K94/'SW Rev'!J94-1,""),"")</f>
        <v/>
      </c>
      <c r="H299" s="37">
        <f>IFERROR(IF(AND(ISNUMBER('SW Rev'!L94),ISNUMBER('SW Rev'!K94),'SW Rev'!K94&gt;0),'SW Rev'!L94/'SW Rev'!K94-1,""),"")</f>
        <v/>
      </c>
      <c r="I299" s="37">
        <f>IFERROR(IF(AND(ISNUMBER('SW Rev'!M94),ISNUMBER('SW Rev'!L94),'SW Rev'!L94&gt;0),'SW Rev'!M94/'SW Rev'!L94-1,""),"")</f>
        <v/>
      </c>
      <c r="J299" s="37">
        <f>IFERROR(IF(AND(ISNUMBER('SW Rev'!N94),ISNUMBER('SW Rev'!M94),'SW Rev'!M94&gt;0),'SW Rev'!N94/'SW Rev'!M94-1,""),"")</f>
        <v/>
      </c>
      <c r="K299" s="37">
        <f>IFERROR(IF(AND(ISNUMBER('SW Rev'!O94),ISNUMBER('SW Rev'!N94),'SW Rev'!N94&gt;0),'SW Rev'!O94/'SW Rev'!N94-1,""),"")</f>
        <v/>
      </c>
      <c r="L299" s="37">
        <f>IFERROR(IF(AND(ISNUMBER('SW Rev'!P94),ISNUMBER('SW Rev'!O94),'SW Rev'!O94&gt;0),'SW Rev'!P94/'SW Rev'!O94-1,""),"")</f>
        <v/>
      </c>
      <c r="M299" s="38">
        <f>IFERROR(IF(AND(ISNUMBER('SW Rev'!Q94),ISNUMBER('SW Rev'!P94),'SW Rev'!P94&gt;0),'SW Rev'!Q94/'SW Rev'!P94-1,""),"")</f>
        <v/>
      </c>
      <c r="N299" s="38">
        <f>IFERROR(IF(AND(ISNUMBER('SW Rev'!R94),ISNUMBER('SW Rev'!Q94),'SW Rev'!Q94&gt;0),'SW Rev'!R94/'SW Rev'!Q94-1,""),"")</f>
        <v/>
      </c>
    </row>
    <row r="300">
      <c r="A300" s="19">
        <f>'SW Rev'!$A95</f>
        <v/>
      </c>
      <c r="B300" s="19">
        <f>'SW Rev'!$B95</f>
        <v/>
      </c>
      <c r="C300" s="37">
        <f>IFERROR(IF(AND(ISNUMBER('SW Rev'!G95),ISNUMBER('SW Rev'!F95),'SW Rev'!F95&gt;0),'SW Rev'!G95/'SW Rev'!F95-1,""),"")</f>
        <v/>
      </c>
      <c r="D300" s="37">
        <f>IFERROR(IF(AND(ISNUMBER('SW Rev'!H95),ISNUMBER('SW Rev'!G95),'SW Rev'!G95&gt;0),'SW Rev'!H95/'SW Rev'!G95-1,""),"")</f>
        <v/>
      </c>
      <c r="E300" s="37">
        <f>IFERROR(IF(AND(ISNUMBER('SW Rev'!I95),ISNUMBER('SW Rev'!H95),'SW Rev'!H95&gt;0),'SW Rev'!I95/'SW Rev'!H95-1,""),"")</f>
        <v/>
      </c>
      <c r="F300" s="37">
        <f>IFERROR(IF(AND(ISNUMBER('SW Rev'!J95),ISNUMBER('SW Rev'!I95),'SW Rev'!I95&gt;0),'SW Rev'!J95/'SW Rev'!I95-1,""),"")</f>
        <v/>
      </c>
      <c r="G300" s="37">
        <f>IFERROR(IF(AND(ISNUMBER('SW Rev'!K95),ISNUMBER('SW Rev'!J95),'SW Rev'!J95&gt;0),'SW Rev'!K95/'SW Rev'!J95-1,""),"")</f>
        <v/>
      </c>
      <c r="H300" s="37">
        <f>IFERROR(IF(AND(ISNUMBER('SW Rev'!L95),ISNUMBER('SW Rev'!K95),'SW Rev'!K95&gt;0),'SW Rev'!L95/'SW Rev'!K95-1,""),"")</f>
        <v/>
      </c>
      <c r="I300" s="37">
        <f>IFERROR(IF(AND(ISNUMBER('SW Rev'!M95),ISNUMBER('SW Rev'!L95),'SW Rev'!L95&gt;0),'SW Rev'!M95/'SW Rev'!L95-1,""),"")</f>
        <v/>
      </c>
      <c r="J300" s="37">
        <f>IFERROR(IF(AND(ISNUMBER('SW Rev'!N95),ISNUMBER('SW Rev'!M95),'SW Rev'!M95&gt;0),'SW Rev'!N95/'SW Rev'!M95-1,""),"")</f>
        <v/>
      </c>
      <c r="K300" s="37">
        <f>IFERROR(IF(AND(ISNUMBER('SW Rev'!O95),ISNUMBER('SW Rev'!N95),'SW Rev'!N95&gt;0),'SW Rev'!O95/'SW Rev'!N95-1,""),"")</f>
        <v/>
      </c>
      <c r="L300" s="37">
        <f>IFERROR(IF(AND(ISNUMBER('SW Rev'!P95),ISNUMBER('SW Rev'!O95),'SW Rev'!O95&gt;0),'SW Rev'!P95/'SW Rev'!O95-1,""),"")</f>
        <v/>
      </c>
      <c r="M300" s="38">
        <f>IFERROR(IF(AND(ISNUMBER('SW Rev'!Q95),ISNUMBER('SW Rev'!P95),'SW Rev'!P95&gt;0),'SW Rev'!Q95/'SW Rev'!P95-1,""),"")</f>
        <v/>
      </c>
      <c r="N300" s="38">
        <f>IFERROR(IF(AND(ISNUMBER('SW Rev'!R95),ISNUMBER('SW Rev'!Q95),'SW Rev'!Q95&gt;0),'SW Rev'!R95/'SW Rev'!Q95-1,""),"")</f>
        <v/>
      </c>
    </row>
    <row r="301">
      <c r="A301" s="19">
        <f>'SW Rev'!$A96</f>
        <v/>
      </c>
      <c r="B301" s="19">
        <f>'SW Rev'!$B96</f>
        <v/>
      </c>
      <c r="C301" s="37">
        <f>IFERROR(IF(AND(ISNUMBER('SW Rev'!G96),ISNUMBER('SW Rev'!F96),'SW Rev'!F96&gt;0),'SW Rev'!G96/'SW Rev'!F96-1,""),"")</f>
        <v/>
      </c>
      <c r="D301" s="37">
        <f>IFERROR(IF(AND(ISNUMBER('SW Rev'!H96),ISNUMBER('SW Rev'!G96),'SW Rev'!G96&gt;0),'SW Rev'!H96/'SW Rev'!G96-1,""),"")</f>
        <v/>
      </c>
      <c r="E301" s="37">
        <f>IFERROR(IF(AND(ISNUMBER('SW Rev'!I96),ISNUMBER('SW Rev'!H96),'SW Rev'!H96&gt;0),'SW Rev'!I96/'SW Rev'!H96-1,""),"")</f>
        <v/>
      </c>
      <c r="F301" s="37">
        <f>IFERROR(IF(AND(ISNUMBER('SW Rev'!J96),ISNUMBER('SW Rev'!I96),'SW Rev'!I96&gt;0),'SW Rev'!J96/'SW Rev'!I96-1,""),"")</f>
        <v/>
      </c>
      <c r="G301" s="37">
        <f>IFERROR(IF(AND(ISNUMBER('SW Rev'!K96),ISNUMBER('SW Rev'!J96),'SW Rev'!J96&gt;0),'SW Rev'!K96/'SW Rev'!J96-1,""),"")</f>
        <v/>
      </c>
      <c r="H301" s="37">
        <f>IFERROR(IF(AND(ISNUMBER('SW Rev'!L96),ISNUMBER('SW Rev'!K96),'SW Rev'!K96&gt;0),'SW Rev'!L96/'SW Rev'!K96-1,""),"")</f>
        <v/>
      </c>
      <c r="I301" s="37">
        <f>IFERROR(IF(AND(ISNUMBER('SW Rev'!M96),ISNUMBER('SW Rev'!L96),'SW Rev'!L96&gt;0),'SW Rev'!M96/'SW Rev'!L96-1,""),"")</f>
        <v/>
      </c>
      <c r="J301" s="37">
        <f>IFERROR(IF(AND(ISNUMBER('SW Rev'!N96),ISNUMBER('SW Rev'!M96),'SW Rev'!M96&gt;0),'SW Rev'!N96/'SW Rev'!M96-1,""),"")</f>
        <v/>
      </c>
      <c r="K301" s="37">
        <f>IFERROR(IF(AND(ISNUMBER('SW Rev'!O96),ISNUMBER('SW Rev'!N96),'SW Rev'!N96&gt;0),'SW Rev'!O96/'SW Rev'!N96-1,""),"")</f>
        <v/>
      </c>
      <c r="L301" s="37">
        <f>IFERROR(IF(AND(ISNUMBER('SW Rev'!P96),ISNUMBER('SW Rev'!O96),'SW Rev'!O96&gt;0),'SW Rev'!P96/'SW Rev'!O96-1,""),"")</f>
        <v/>
      </c>
      <c r="M301" s="38">
        <f>IFERROR(IF(AND(ISNUMBER('SW Rev'!Q96),ISNUMBER('SW Rev'!P96),'SW Rev'!P96&gt;0),'SW Rev'!Q96/'SW Rev'!P96-1,""),"")</f>
        <v/>
      </c>
      <c r="N301" s="38">
        <f>IFERROR(IF(AND(ISNUMBER('SW Rev'!R96),ISNUMBER('SW Rev'!Q96),'SW Rev'!Q96&gt;0),'SW Rev'!R96/'SW Rev'!Q96-1,""),"")</f>
        <v/>
      </c>
    </row>
    <row r="302">
      <c r="A302" s="19">
        <f>'SW Rev'!$A97</f>
        <v/>
      </c>
      <c r="B302" s="19">
        <f>'SW Rev'!$B97</f>
        <v/>
      </c>
      <c r="C302" s="37">
        <f>IFERROR(IF(AND(ISNUMBER('SW Rev'!G97),ISNUMBER('SW Rev'!F97),'SW Rev'!F97&gt;0),'SW Rev'!G97/'SW Rev'!F97-1,""),"")</f>
        <v/>
      </c>
      <c r="D302" s="37">
        <f>IFERROR(IF(AND(ISNUMBER('SW Rev'!H97),ISNUMBER('SW Rev'!G97),'SW Rev'!G97&gt;0),'SW Rev'!H97/'SW Rev'!G97-1,""),"")</f>
        <v/>
      </c>
      <c r="E302" s="37">
        <f>IFERROR(IF(AND(ISNUMBER('SW Rev'!I97),ISNUMBER('SW Rev'!H97),'SW Rev'!H97&gt;0),'SW Rev'!I97/'SW Rev'!H97-1,""),"")</f>
        <v/>
      </c>
      <c r="F302" s="37">
        <f>IFERROR(IF(AND(ISNUMBER('SW Rev'!J97),ISNUMBER('SW Rev'!I97),'SW Rev'!I97&gt;0),'SW Rev'!J97/'SW Rev'!I97-1,""),"")</f>
        <v/>
      </c>
      <c r="G302" s="37">
        <f>IFERROR(IF(AND(ISNUMBER('SW Rev'!K97),ISNUMBER('SW Rev'!J97),'SW Rev'!J97&gt;0),'SW Rev'!K97/'SW Rev'!J97-1,""),"")</f>
        <v/>
      </c>
      <c r="H302" s="37">
        <f>IFERROR(IF(AND(ISNUMBER('SW Rev'!L97),ISNUMBER('SW Rev'!K97),'SW Rev'!K97&gt;0),'SW Rev'!L97/'SW Rev'!K97-1,""),"")</f>
        <v/>
      </c>
      <c r="I302" s="37">
        <f>IFERROR(IF(AND(ISNUMBER('SW Rev'!M97),ISNUMBER('SW Rev'!L97),'SW Rev'!L97&gt;0),'SW Rev'!M97/'SW Rev'!L97-1,""),"")</f>
        <v/>
      </c>
      <c r="J302" s="37">
        <f>IFERROR(IF(AND(ISNUMBER('SW Rev'!N97),ISNUMBER('SW Rev'!M97),'SW Rev'!M97&gt;0),'SW Rev'!N97/'SW Rev'!M97-1,""),"")</f>
        <v/>
      </c>
      <c r="K302" s="37">
        <f>IFERROR(IF(AND(ISNUMBER('SW Rev'!O97),ISNUMBER('SW Rev'!N97),'SW Rev'!N97&gt;0),'SW Rev'!O97/'SW Rev'!N97-1,""),"")</f>
        <v/>
      </c>
      <c r="L302" s="37">
        <f>IFERROR(IF(AND(ISNUMBER('SW Rev'!P97),ISNUMBER('SW Rev'!O97),'SW Rev'!O97&gt;0),'SW Rev'!P97/'SW Rev'!O97-1,""),"")</f>
        <v/>
      </c>
      <c r="M302" s="38">
        <f>IFERROR(IF(AND(ISNUMBER('SW Rev'!Q97),ISNUMBER('SW Rev'!P97),'SW Rev'!P97&gt;0),'SW Rev'!Q97/'SW Rev'!P97-1,""),"")</f>
        <v/>
      </c>
      <c r="N302" s="38">
        <f>IFERROR(IF(AND(ISNUMBER('SW Rev'!R97),ISNUMBER('SW Rev'!Q97),'SW Rev'!Q97&gt;0),'SW Rev'!R97/'SW Rev'!Q97-1,""),"")</f>
        <v/>
      </c>
    </row>
    <row r="303">
      <c r="A303" s="19">
        <f>'SW Rev'!$A98</f>
        <v/>
      </c>
      <c r="B303" s="19">
        <f>'SW Rev'!$B98</f>
        <v/>
      </c>
      <c r="C303" s="37">
        <f>IFERROR(IF(AND(ISNUMBER('SW Rev'!G98),ISNUMBER('SW Rev'!F98),'SW Rev'!F98&gt;0),'SW Rev'!G98/'SW Rev'!F98-1,""),"")</f>
        <v/>
      </c>
      <c r="D303" s="37">
        <f>IFERROR(IF(AND(ISNUMBER('SW Rev'!H98),ISNUMBER('SW Rev'!G98),'SW Rev'!G98&gt;0),'SW Rev'!H98/'SW Rev'!G98-1,""),"")</f>
        <v/>
      </c>
      <c r="E303" s="37">
        <f>IFERROR(IF(AND(ISNUMBER('SW Rev'!I98),ISNUMBER('SW Rev'!H98),'SW Rev'!H98&gt;0),'SW Rev'!I98/'SW Rev'!H98-1,""),"")</f>
        <v/>
      </c>
      <c r="F303" s="37">
        <f>IFERROR(IF(AND(ISNUMBER('SW Rev'!J98),ISNUMBER('SW Rev'!I98),'SW Rev'!I98&gt;0),'SW Rev'!J98/'SW Rev'!I98-1,""),"")</f>
        <v/>
      </c>
      <c r="G303" s="37">
        <f>IFERROR(IF(AND(ISNUMBER('SW Rev'!K98),ISNUMBER('SW Rev'!J98),'SW Rev'!J98&gt;0),'SW Rev'!K98/'SW Rev'!J98-1,""),"")</f>
        <v/>
      </c>
      <c r="H303" s="37">
        <f>IFERROR(IF(AND(ISNUMBER('SW Rev'!L98),ISNUMBER('SW Rev'!K98),'SW Rev'!K98&gt;0),'SW Rev'!L98/'SW Rev'!K98-1,""),"")</f>
        <v/>
      </c>
      <c r="I303" s="37">
        <f>IFERROR(IF(AND(ISNUMBER('SW Rev'!M98),ISNUMBER('SW Rev'!L98),'SW Rev'!L98&gt;0),'SW Rev'!M98/'SW Rev'!L98-1,""),"")</f>
        <v/>
      </c>
      <c r="J303" s="37">
        <f>IFERROR(IF(AND(ISNUMBER('SW Rev'!N98),ISNUMBER('SW Rev'!M98),'SW Rev'!M98&gt;0),'SW Rev'!N98/'SW Rev'!M98-1,""),"")</f>
        <v/>
      </c>
      <c r="K303" s="37">
        <f>IFERROR(IF(AND(ISNUMBER('SW Rev'!O98),ISNUMBER('SW Rev'!N98),'SW Rev'!N98&gt;0),'SW Rev'!O98/'SW Rev'!N98-1,""),"")</f>
        <v/>
      </c>
      <c r="L303" s="37">
        <f>IFERROR(IF(AND(ISNUMBER('SW Rev'!P98),ISNUMBER('SW Rev'!O98),'SW Rev'!O98&gt;0),'SW Rev'!P98/'SW Rev'!O98-1,""),"")</f>
        <v/>
      </c>
      <c r="M303" s="38">
        <f>IFERROR(IF(AND(ISNUMBER('SW Rev'!Q98),ISNUMBER('SW Rev'!P98),'SW Rev'!P98&gt;0),'SW Rev'!Q98/'SW Rev'!P98-1,""),"")</f>
        <v/>
      </c>
      <c r="N303" s="38">
        <f>IFERROR(IF(AND(ISNUMBER('SW Rev'!R98),ISNUMBER('SW Rev'!Q98),'SW Rev'!Q98&gt;0),'SW Rev'!R98/'SW Rev'!Q98-1,""),"")</f>
        <v/>
      </c>
    </row>
    <row r="304">
      <c r="A304" s="19">
        <f>'SW Rev'!$A99</f>
        <v/>
      </c>
      <c r="B304" s="19">
        <f>'SW Rev'!$B99</f>
        <v/>
      </c>
      <c r="C304" s="37">
        <f>IFERROR(IF(AND(ISNUMBER('SW Rev'!G99),ISNUMBER('SW Rev'!F99),'SW Rev'!F99&gt;0),'SW Rev'!G99/'SW Rev'!F99-1,""),"")</f>
        <v/>
      </c>
      <c r="D304" s="37">
        <f>IFERROR(IF(AND(ISNUMBER('SW Rev'!H99),ISNUMBER('SW Rev'!G99),'SW Rev'!G99&gt;0),'SW Rev'!H99/'SW Rev'!G99-1,""),"")</f>
        <v/>
      </c>
      <c r="E304" s="37">
        <f>IFERROR(IF(AND(ISNUMBER('SW Rev'!I99),ISNUMBER('SW Rev'!H99),'SW Rev'!H99&gt;0),'SW Rev'!I99/'SW Rev'!H99-1,""),"")</f>
        <v/>
      </c>
      <c r="F304" s="37">
        <f>IFERROR(IF(AND(ISNUMBER('SW Rev'!J99),ISNUMBER('SW Rev'!I99),'SW Rev'!I99&gt;0),'SW Rev'!J99/'SW Rev'!I99-1,""),"")</f>
        <v/>
      </c>
      <c r="G304" s="37">
        <f>IFERROR(IF(AND(ISNUMBER('SW Rev'!K99),ISNUMBER('SW Rev'!J99),'SW Rev'!J99&gt;0),'SW Rev'!K99/'SW Rev'!J99-1,""),"")</f>
        <v/>
      </c>
      <c r="H304" s="37">
        <f>IFERROR(IF(AND(ISNUMBER('SW Rev'!L99),ISNUMBER('SW Rev'!K99),'SW Rev'!K99&gt;0),'SW Rev'!L99/'SW Rev'!K99-1,""),"")</f>
        <v/>
      </c>
      <c r="I304" s="37">
        <f>IFERROR(IF(AND(ISNUMBER('SW Rev'!M99),ISNUMBER('SW Rev'!L99),'SW Rev'!L99&gt;0),'SW Rev'!M99/'SW Rev'!L99-1,""),"")</f>
        <v/>
      </c>
      <c r="J304" s="37">
        <f>IFERROR(IF(AND(ISNUMBER('SW Rev'!N99),ISNUMBER('SW Rev'!M99),'SW Rev'!M99&gt;0),'SW Rev'!N99/'SW Rev'!M99-1,""),"")</f>
        <v/>
      </c>
      <c r="K304" s="37">
        <f>IFERROR(IF(AND(ISNUMBER('SW Rev'!O99),ISNUMBER('SW Rev'!N99),'SW Rev'!N99&gt;0),'SW Rev'!O99/'SW Rev'!N99-1,""),"")</f>
        <v/>
      </c>
      <c r="L304" s="37">
        <f>IFERROR(IF(AND(ISNUMBER('SW Rev'!P99),ISNUMBER('SW Rev'!O99),'SW Rev'!O99&gt;0),'SW Rev'!P99/'SW Rev'!O99-1,""),"")</f>
        <v/>
      </c>
      <c r="M304" s="38">
        <f>IFERROR(IF(AND(ISNUMBER('SW Rev'!Q99),ISNUMBER('SW Rev'!P99),'SW Rev'!P99&gt;0),'SW Rev'!Q99/'SW Rev'!P99-1,""),"")</f>
        <v/>
      </c>
      <c r="N304" s="38">
        <f>IFERROR(IF(AND(ISNUMBER('SW Rev'!R99),ISNUMBER('SW Rev'!Q99),'SW Rev'!Q99&gt;0),'SW Rev'!R99/'SW Rev'!Q99-1,""),"")</f>
        <v/>
      </c>
    </row>
    <row r="305">
      <c r="A305" s="19">
        <f>'SW Rev'!$A100</f>
        <v/>
      </c>
      <c r="B305" s="19">
        <f>'SW Rev'!$B100</f>
        <v/>
      </c>
      <c r="C305" s="37">
        <f>IFERROR(IF(AND(ISNUMBER('SW Rev'!G100),ISNUMBER('SW Rev'!F100),'SW Rev'!F100&gt;0),'SW Rev'!G100/'SW Rev'!F100-1,""),"")</f>
        <v/>
      </c>
      <c r="D305" s="37">
        <f>IFERROR(IF(AND(ISNUMBER('SW Rev'!H100),ISNUMBER('SW Rev'!G100),'SW Rev'!G100&gt;0),'SW Rev'!H100/'SW Rev'!G100-1,""),"")</f>
        <v/>
      </c>
      <c r="E305" s="37">
        <f>IFERROR(IF(AND(ISNUMBER('SW Rev'!I100),ISNUMBER('SW Rev'!H100),'SW Rev'!H100&gt;0),'SW Rev'!I100/'SW Rev'!H100-1,""),"")</f>
        <v/>
      </c>
      <c r="F305" s="37">
        <f>IFERROR(IF(AND(ISNUMBER('SW Rev'!J100),ISNUMBER('SW Rev'!I100),'SW Rev'!I100&gt;0),'SW Rev'!J100/'SW Rev'!I100-1,""),"")</f>
        <v/>
      </c>
      <c r="G305" s="37">
        <f>IFERROR(IF(AND(ISNUMBER('SW Rev'!K100),ISNUMBER('SW Rev'!J100),'SW Rev'!J100&gt;0),'SW Rev'!K100/'SW Rev'!J100-1,""),"")</f>
        <v/>
      </c>
      <c r="H305" s="37">
        <f>IFERROR(IF(AND(ISNUMBER('SW Rev'!L100),ISNUMBER('SW Rev'!K100),'SW Rev'!K100&gt;0),'SW Rev'!L100/'SW Rev'!K100-1,""),"")</f>
        <v/>
      </c>
      <c r="I305" s="37">
        <f>IFERROR(IF(AND(ISNUMBER('SW Rev'!M100),ISNUMBER('SW Rev'!L100),'SW Rev'!L100&gt;0),'SW Rev'!M100/'SW Rev'!L100-1,""),"")</f>
        <v/>
      </c>
      <c r="J305" s="37">
        <f>IFERROR(IF(AND(ISNUMBER('SW Rev'!N100),ISNUMBER('SW Rev'!M100),'SW Rev'!M100&gt;0),'SW Rev'!N100/'SW Rev'!M100-1,""),"")</f>
        <v/>
      </c>
      <c r="K305" s="37">
        <f>IFERROR(IF(AND(ISNUMBER('SW Rev'!O100),ISNUMBER('SW Rev'!N100),'SW Rev'!N100&gt;0),'SW Rev'!O100/'SW Rev'!N100-1,""),"")</f>
        <v/>
      </c>
      <c r="L305" s="37">
        <f>IFERROR(IF(AND(ISNUMBER('SW Rev'!P100),ISNUMBER('SW Rev'!O100),'SW Rev'!O100&gt;0),'SW Rev'!P100/'SW Rev'!O100-1,""),"")</f>
        <v/>
      </c>
      <c r="M305" s="38">
        <f>IFERROR(IF(AND(ISNUMBER('SW Rev'!Q100),ISNUMBER('SW Rev'!P100),'SW Rev'!P100&gt;0),'SW Rev'!Q100/'SW Rev'!P100-1,""),"")</f>
        <v/>
      </c>
      <c r="N305" s="38">
        <f>IFERROR(IF(AND(ISNUMBER('SW Rev'!R100),ISNUMBER('SW Rev'!Q100),'SW Rev'!Q100&gt;0),'SW Rev'!R100/'SW Rev'!Q100-1,""),"")</f>
        <v/>
      </c>
    </row>
    <row r="306">
      <c r="A306" s="19">
        <f>'SW Rev'!$A101</f>
        <v/>
      </c>
      <c r="B306" s="19">
        <f>'SW Rev'!$B101</f>
        <v/>
      </c>
      <c r="C306" s="37">
        <f>IFERROR(IF(AND(ISNUMBER('SW Rev'!G101),ISNUMBER('SW Rev'!F101),'SW Rev'!F101&gt;0),'SW Rev'!G101/'SW Rev'!F101-1,""),"")</f>
        <v/>
      </c>
      <c r="D306" s="37">
        <f>IFERROR(IF(AND(ISNUMBER('SW Rev'!H101),ISNUMBER('SW Rev'!G101),'SW Rev'!G101&gt;0),'SW Rev'!H101/'SW Rev'!G101-1,""),"")</f>
        <v/>
      </c>
      <c r="E306" s="37">
        <f>IFERROR(IF(AND(ISNUMBER('SW Rev'!I101),ISNUMBER('SW Rev'!H101),'SW Rev'!H101&gt;0),'SW Rev'!I101/'SW Rev'!H101-1,""),"")</f>
        <v/>
      </c>
      <c r="F306" s="37">
        <f>IFERROR(IF(AND(ISNUMBER('SW Rev'!J101),ISNUMBER('SW Rev'!I101),'SW Rev'!I101&gt;0),'SW Rev'!J101/'SW Rev'!I101-1,""),"")</f>
        <v/>
      </c>
      <c r="G306" s="37">
        <f>IFERROR(IF(AND(ISNUMBER('SW Rev'!K101),ISNUMBER('SW Rev'!J101),'SW Rev'!J101&gt;0),'SW Rev'!K101/'SW Rev'!J101-1,""),"")</f>
        <v/>
      </c>
      <c r="H306" s="37">
        <f>IFERROR(IF(AND(ISNUMBER('SW Rev'!L101),ISNUMBER('SW Rev'!K101),'SW Rev'!K101&gt;0),'SW Rev'!L101/'SW Rev'!K101-1,""),"")</f>
        <v/>
      </c>
      <c r="I306" s="37">
        <f>IFERROR(IF(AND(ISNUMBER('SW Rev'!M101),ISNUMBER('SW Rev'!L101),'SW Rev'!L101&gt;0),'SW Rev'!M101/'SW Rev'!L101-1,""),"")</f>
        <v/>
      </c>
      <c r="J306" s="37">
        <f>IFERROR(IF(AND(ISNUMBER('SW Rev'!N101),ISNUMBER('SW Rev'!M101),'SW Rev'!M101&gt;0),'SW Rev'!N101/'SW Rev'!M101-1,""),"")</f>
        <v/>
      </c>
      <c r="K306" s="37">
        <f>IFERROR(IF(AND(ISNUMBER('SW Rev'!O101),ISNUMBER('SW Rev'!N101),'SW Rev'!N101&gt;0),'SW Rev'!O101/'SW Rev'!N101-1,""),"")</f>
        <v/>
      </c>
      <c r="L306" s="37">
        <f>IFERROR(IF(AND(ISNUMBER('SW Rev'!P101),ISNUMBER('SW Rev'!O101),'SW Rev'!O101&gt;0),'SW Rev'!P101/'SW Rev'!O101-1,""),"")</f>
        <v/>
      </c>
      <c r="M306" s="38">
        <f>IFERROR(IF(AND(ISNUMBER('SW Rev'!Q101),ISNUMBER('SW Rev'!P101),'SW Rev'!P101&gt;0),'SW Rev'!Q101/'SW Rev'!P101-1,""),"")</f>
        <v/>
      </c>
      <c r="N306" s="38">
        <f>IFERROR(IF(AND(ISNUMBER('SW Rev'!R101),ISNUMBER('SW Rev'!Q101),'SW Rev'!Q101&gt;0),'SW Rev'!R101/'SW Rev'!Q101-1,""),"")</f>
        <v/>
      </c>
    </row>
    <row r="307">
      <c r="A307" s="19">
        <f>'SW Rev'!$A102</f>
        <v/>
      </c>
      <c r="B307" s="19">
        <f>'SW Rev'!$B102</f>
        <v/>
      </c>
      <c r="C307" s="37">
        <f>IFERROR(IF(AND(ISNUMBER('SW Rev'!G102),ISNUMBER('SW Rev'!F102),'SW Rev'!F102&gt;0),'SW Rev'!G102/'SW Rev'!F102-1,""),"")</f>
        <v/>
      </c>
      <c r="D307" s="37">
        <f>IFERROR(IF(AND(ISNUMBER('SW Rev'!H102),ISNUMBER('SW Rev'!G102),'SW Rev'!G102&gt;0),'SW Rev'!H102/'SW Rev'!G102-1,""),"")</f>
        <v/>
      </c>
      <c r="E307" s="37">
        <f>IFERROR(IF(AND(ISNUMBER('SW Rev'!I102),ISNUMBER('SW Rev'!H102),'SW Rev'!H102&gt;0),'SW Rev'!I102/'SW Rev'!H102-1,""),"")</f>
        <v/>
      </c>
      <c r="F307" s="37">
        <f>IFERROR(IF(AND(ISNUMBER('SW Rev'!J102),ISNUMBER('SW Rev'!I102),'SW Rev'!I102&gt;0),'SW Rev'!J102/'SW Rev'!I102-1,""),"")</f>
        <v/>
      </c>
      <c r="G307" s="37">
        <f>IFERROR(IF(AND(ISNUMBER('SW Rev'!K102),ISNUMBER('SW Rev'!J102),'SW Rev'!J102&gt;0),'SW Rev'!K102/'SW Rev'!J102-1,""),"")</f>
        <v/>
      </c>
      <c r="H307" s="37">
        <f>IFERROR(IF(AND(ISNUMBER('SW Rev'!L102),ISNUMBER('SW Rev'!K102),'SW Rev'!K102&gt;0),'SW Rev'!L102/'SW Rev'!K102-1,""),"")</f>
        <v/>
      </c>
      <c r="I307" s="37">
        <f>IFERROR(IF(AND(ISNUMBER('SW Rev'!M102),ISNUMBER('SW Rev'!L102),'SW Rev'!L102&gt;0),'SW Rev'!M102/'SW Rev'!L102-1,""),"")</f>
        <v/>
      </c>
      <c r="J307" s="37">
        <f>IFERROR(IF(AND(ISNUMBER('SW Rev'!N102),ISNUMBER('SW Rev'!M102),'SW Rev'!M102&gt;0),'SW Rev'!N102/'SW Rev'!M102-1,""),"")</f>
        <v/>
      </c>
      <c r="K307" s="37">
        <f>IFERROR(IF(AND(ISNUMBER('SW Rev'!O102),ISNUMBER('SW Rev'!N102),'SW Rev'!N102&gt;0),'SW Rev'!O102/'SW Rev'!N102-1,""),"")</f>
        <v/>
      </c>
      <c r="L307" s="37">
        <f>IFERROR(IF(AND(ISNUMBER('SW Rev'!P102),ISNUMBER('SW Rev'!O102),'SW Rev'!O102&gt;0),'SW Rev'!P102/'SW Rev'!O102-1,""),"")</f>
        <v/>
      </c>
      <c r="M307" s="38">
        <f>IFERROR(IF(AND(ISNUMBER('SW Rev'!Q102),ISNUMBER('SW Rev'!P102),'SW Rev'!P102&gt;0),'SW Rev'!Q102/'SW Rev'!P102-1,""),"")</f>
        <v/>
      </c>
      <c r="N307" s="38">
        <f>IFERROR(IF(AND(ISNUMBER('SW Rev'!R102),ISNUMBER('SW Rev'!Q102),'SW Rev'!Q102&gt;0),'SW Rev'!R102/'SW Rev'!Q102-1,""),"")</f>
        <v/>
      </c>
    </row>
    <row r="308">
      <c r="A308" s="19">
        <f>'SW Rev'!$A103</f>
        <v/>
      </c>
      <c r="B308" s="19">
        <f>'SW Rev'!$B103</f>
        <v/>
      </c>
      <c r="C308" s="37">
        <f>IFERROR(IF(AND(ISNUMBER('SW Rev'!G103),ISNUMBER('SW Rev'!F103),'SW Rev'!F103&gt;0),'SW Rev'!G103/'SW Rev'!F103-1,""),"")</f>
        <v/>
      </c>
      <c r="D308" s="37">
        <f>IFERROR(IF(AND(ISNUMBER('SW Rev'!H103),ISNUMBER('SW Rev'!G103),'SW Rev'!G103&gt;0),'SW Rev'!H103/'SW Rev'!G103-1,""),"")</f>
        <v/>
      </c>
      <c r="E308" s="37">
        <f>IFERROR(IF(AND(ISNUMBER('SW Rev'!I103),ISNUMBER('SW Rev'!H103),'SW Rev'!H103&gt;0),'SW Rev'!I103/'SW Rev'!H103-1,""),"")</f>
        <v/>
      </c>
      <c r="F308" s="37">
        <f>IFERROR(IF(AND(ISNUMBER('SW Rev'!J103),ISNUMBER('SW Rev'!I103),'SW Rev'!I103&gt;0),'SW Rev'!J103/'SW Rev'!I103-1,""),"")</f>
        <v/>
      </c>
      <c r="G308" s="37">
        <f>IFERROR(IF(AND(ISNUMBER('SW Rev'!K103),ISNUMBER('SW Rev'!J103),'SW Rev'!J103&gt;0),'SW Rev'!K103/'SW Rev'!J103-1,""),"")</f>
        <v/>
      </c>
      <c r="H308" s="37">
        <f>IFERROR(IF(AND(ISNUMBER('SW Rev'!L103),ISNUMBER('SW Rev'!K103),'SW Rev'!K103&gt;0),'SW Rev'!L103/'SW Rev'!K103-1,""),"")</f>
        <v/>
      </c>
      <c r="I308" s="37">
        <f>IFERROR(IF(AND(ISNUMBER('SW Rev'!M103),ISNUMBER('SW Rev'!L103),'SW Rev'!L103&gt;0),'SW Rev'!M103/'SW Rev'!L103-1,""),"")</f>
        <v/>
      </c>
      <c r="J308" s="37">
        <f>IFERROR(IF(AND(ISNUMBER('SW Rev'!N103),ISNUMBER('SW Rev'!M103),'SW Rev'!M103&gt;0),'SW Rev'!N103/'SW Rev'!M103-1,""),"")</f>
        <v/>
      </c>
      <c r="K308" s="37">
        <f>IFERROR(IF(AND(ISNUMBER('SW Rev'!O103),ISNUMBER('SW Rev'!N103),'SW Rev'!N103&gt;0),'SW Rev'!O103/'SW Rev'!N103-1,""),"")</f>
        <v/>
      </c>
      <c r="L308" s="37">
        <f>IFERROR(IF(AND(ISNUMBER('SW Rev'!P103),ISNUMBER('SW Rev'!O103),'SW Rev'!O103&gt;0),'SW Rev'!P103/'SW Rev'!O103-1,""),"")</f>
        <v/>
      </c>
      <c r="M308" s="38">
        <f>IFERROR(IF(AND(ISNUMBER('SW Rev'!Q103),ISNUMBER('SW Rev'!P103),'SW Rev'!P103&gt;0),'SW Rev'!Q103/'SW Rev'!P103-1,""),"")</f>
        <v/>
      </c>
      <c r="N308" s="38">
        <f>IFERROR(IF(AND(ISNUMBER('SW Rev'!R103),ISNUMBER('SW Rev'!Q103),'SW Rev'!Q103&gt;0),'SW Rev'!R103/'SW Rev'!Q103-1,""),"")</f>
        <v/>
      </c>
    </row>
    <row r="310">
      <c r="A310" s="49" t="inlineStr">
        <is>
          <t>Revenue $ added YoY (USD mm)</t>
        </is>
      </c>
      <c r="B310" s="50" t="n"/>
      <c r="C310" s="50" t="n"/>
      <c r="D310" s="50" t="n"/>
      <c r="E310" s="50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</row>
    <row r="311" ht="28" customHeight="1">
      <c r="A311" s="8" t="inlineStr">
        <is>
          <t>Ticker</t>
        </is>
      </c>
      <c r="B311" s="8" t="inlineStr">
        <is>
          <t>Latest Rpt Qtr</t>
        </is>
      </c>
      <c r="C311" s="8" t="inlineStr">
        <is>
          <t>FPO -9</t>
        </is>
      </c>
      <c r="D311" s="8" t="inlineStr">
        <is>
          <t>FPO -8</t>
        </is>
      </c>
      <c r="E311" s="8" t="inlineStr">
        <is>
          <t>FPO -7</t>
        </is>
      </c>
      <c r="F311" s="8" t="inlineStr">
        <is>
          <t>FPO -6</t>
        </is>
      </c>
      <c r="G311" s="8" t="inlineStr">
        <is>
          <t>FPO -5</t>
        </is>
      </c>
      <c r="H311" s="8" t="inlineStr">
        <is>
          <t>FPO -4</t>
        </is>
      </c>
      <c r="I311" s="8" t="inlineStr">
        <is>
          <t>FPO -3</t>
        </is>
      </c>
      <c r="J311" s="8" t="inlineStr">
        <is>
          <t>FPO -2</t>
        </is>
      </c>
      <c r="K311" s="8" t="inlineStr">
        <is>
          <t>FPO -1</t>
        </is>
      </c>
      <c r="L311" s="8" t="inlineStr">
        <is>
          <t>FPO 0 (latest rpt)</t>
        </is>
      </c>
      <c r="M311" s="8" t="inlineStr">
        <is>
          <t>FPO +1E</t>
        </is>
      </c>
      <c r="N311" s="8" t="inlineStr">
        <is>
          <t>FPO +2E</t>
        </is>
      </c>
    </row>
    <row r="312">
      <c r="A312" s="19">
        <f>'SW Rev'!$A5</f>
        <v/>
      </c>
      <c r="B312" s="19">
        <f>'SW Rev'!$B5</f>
        <v/>
      </c>
      <c r="C312" s="30">
        <f>IFERROR(IF(AND(ISNUMBER('SW Rev'!G5),ISNUMBER('SW Rev'!C5)),'SW Rev'!G5-'SW Rev'!C5,""),"")</f>
        <v/>
      </c>
      <c r="D312" s="30">
        <f>IFERROR(IF(AND(ISNUMBER('SW Rev'!H5),ISNUMBER('SW Rev'!D5)),'SW Rev'!H5-'SW Rev'!D5,""),"")</f>
        <v/>
      </c>
      <c r="E312" s="30">
        <f>IFERROR(IF(AND(ISNUMBER('SW Rev'!I5),ISNUMBER('SW Rev'!E5)),'SW Rev'!I5-'SW Rev'!E5,""),"")</f>
        <v/>
      </c>
      <c r="F312" s="30">
        <f>IFERROR(IF(AND(ISNUMBER('SW Rev'!J5),ISNUMBER('SW Rev'!F5)),'SW Rev'!J5-'SW Rev'!F5,""),"")</f>
        <v/>
      </c>
      <c r="G312" s="30">
        <f>IFERROR(IF(AND(ISNUMBER('SW Rev'!K5),ISNUMBER('SW Rev'!G5)),'SW Rev'!K5-'SW Rev'!G5,""),"")</f>
        <v/>
      </c>
      <c r="H312" s="30">
        <f>IFERROR(IF(AND(ISNUMBER('SW Rev'!L5),ISNUMBER('SW Rev'!H5)),'SW Rev'!L5-'SW Rev'!H5,""),"")</f>
        <v/>
      </c>
      <c r="I312" s="30">
        <f>IFERROR(IF(AND(ISNUMBER('SW Rev'!M5),ISNUMBER('SW Rev'!I5)),'SW Rev'!M5-'SW Rev'!I5,""),"")</f>
        <v/>
      </c>
      <c r="J312" s="30">
        <f>IFERROR(IF(AND(ISNUMBER('SW Rev'!N5),ISNUMBER('SW Rev'!J5)),'SW Rev'!N5-'SW Rev'!J5,""),"")</f>
        <v/>
      </c>
      <c r="K312" s="30">
        <f>IFERROR(IF(AND(ISNUMBER('SW Rev'!O5),ISNUMBER('SW Rev'!K5)),'SW Rev'!O5-'SW Rev'!K5,""),"")</f>
        <v/>
      </c>
      <c r="L312" s="30">
        <f>IFERROR(IF(AND(ISNUMBER('SW Rev'!P5),ISNUMBER('SW Rev'!L5)),'SW Rev'!P5-'SW Rev'!L5,""),"")</f>
        <v/>
      </c>
      <c r="M312" s="31">
        <f>IFERROR(IF(AND(ISNUMBER('SW Rev'!Q5),ISNUMBER('SW Rev'!M5)),'SW Rev'!Q5-'SW Rev'!M5,""),"")</f>
        <v/>
      </c>
      <c r="N312" s="31">
        <f>IFERROR(IF(AND(ISNUMBER('SW Rev'!R5),ISNUMBER('SW Rev'!N5)),'SW Rev'!R5-'SW Rev'!N5,""),"")</f>
        <v/>
      </c>
    </row>
    <row r="313">
      <c r="A313" s="19">
        <f>'SW Rev'!$A6</f>
        <v/>
      </c>
      <c r="B313" s="19">
        <f>'SW Rev'!$B6</f>
        <v/>
      </c>
      <c r="C313" s="30">
        <f>IFERROR(IF(AND(ISNUMBER('SW Rev'!G6),ISNUMBER('SW Rev'!C6)),'SW Rev'!G6-'SW Rev'!C6,""),"")</f>
        <v/>
      </c>
      <c r="D313" s="30">
        <f>IFERROR(IF(AND(ISNUMBER('SW Rev'!H6),ISNUMBER('SW Rev'!D6)),'SW Rev'!H6-'SW Rev'!D6,""),"")</f>
        <v/>
      </c>
      <c r="E313" s="30">
        <f>IFERROR(IF(AND(ISNUMBER('SW Rev'!I6),ISNUMBER('SW Rev'!E6)),'SW Rev'!I6-'SW Rev'!E6,""),"")</f>
        <v/>
      </c>
      <c r="F313" s="30">
        <f>IFERROR(IF(AND(ISNUMBER('SW Rev'!J6),ISNUMBER('SW Rev'!F6)),'SW Rev'!J6-'SW Rev'!F6,""),"")</f>
        <v/>
      </c>
      <c r="G313" s="30">
        <f>IFERROR(IF(AND(ISNUMBER('SW Rev'!K6),ISNUMBER('SW Rev'!G6)),'SW Rev'!K6-'SW Rev'!G6,""),"")</f>
        <v/>
      </c>
      <c r="H313" s="30">
        <f>IFERROR(IF(AND(ISNUMBER('SW Rev'!L6),ISNUMBER('SW Rev'!H6)),'SW Rev'!L6-'SW Rev'!H6,""),"")</f>
        <v/>
      </c>
      <c r="I313" s="30">
        <f>IFERROR(IF(AND(ISNUMBER('SW Rev'!M6),ISNUMBER('SW Rev'!I6)),'SW Rev'!M6-'SW Rev'!I6,""),"")</f>
        <v/>
      </c>
      <c r="J313" s="30">
        <f>IFERROR(IF(AND(ISNUMBER('SW Rev'!N6),ISNUMBER('SW Rev'!J6)),'SW Rev'!N6-'SW Rev'!J6,""),"")</f>
        <v/>
      </c>
      <c r="K313" s="30">
        <f>IFERROR(IF(AND(ISNUMBER('SW Rev'!O6),ISNUMBER('SW Rev'!K6)),'SW Rev'!O6-'SW Rev'!K6,""),"")</f>
        <v/>
      </c>
      <c r="L313" s="30">
        <f>IFERROR(IF(AND(ISNUMBER('SW Rev'!P6),ISNUMBER('SW Rev'!L6)),'SW Rev'!P6-'SW Rev'!L6,""),"")</f>
        <v/>
      </c>
      <c r="M313" s="31">
        <f>IFERROR(IF(AND(ISNUMBER('SW Rev'!Q6),ISNUMBER('SW Rev'!M6)),'SW Rev'!Q6-'SW Rev'!M6,""),"")</f>
        <v/>
      </c>
      <c r="N313" s="31">
        <f>IFERROR(IF(AND(ISNUMBER('SW Rev'!R6),ISNUMBER('SW Rev'!N6)),'SW Rev'!R6-'SW Rev'!N6,""),"")</f>
        <v/>
      </c>
    </row>
    <row r="314">
      <c r="A314" s="19">
        <f>'SW Rev'!$A7</f>
        <v/>
      </c>
      <c r="B314" s="19">
        <f>'SW Rev'!$B7</f>
        <v/>
      </c>
      <c r="C314" s="30">
        <f>IFERROR(IF(AND(ISNUMBER('SW Rev'!G7),ISNUMBER('SW Rev'!C7)),'SW Rev'!G7-'SW Rev'!C7,""),"")</f>
        <v/>
      </c>
      <c r="D314" s="30">
        <f>IFERROR(IF(AND(ISNUMBER('SW Rev'!H7),ISNUMBER('SW Rev'!D7)),'SW Rev'!H7-'SW Rev'!D7,""),"")</f>
        <v/>
      </c>
      <c r="E314" s="30">
        <f>IFERROR(IF(AND(ISNUMBER('SW Rev'!I7),ISNUMBER('SW Rev'!E7)),'SW Rev'!I7-'SW Rev'!E7,""),"")</f>
        <v/>
      </c>
      <c r="F314" s="30">
        <f>IFERROR(IF(AND(ISNUMBER('SW Rev'!J7),ISNUMBER('SW Rev'!F7)),'SW Rev'!J7-'SW Rev'!F7,""),"")</f>
        <v/>
      </c>
      <c r="G314" s="30">
        <f>IFERROR(IF(AND(ISNUMBER('SW Rev'!K7),ISNUMBER('SW Rev'!G7)),'SW Rev'!K7-'SW Rev'!G7,""),"")</f>
        <v/>
      </c>
      <c r="H314" s="30">
        <f>IFERROR(IF(AND(ISNUMBER('SW Rev'!L7),ISNUMBER('SW Rev'!H7)),'SW Rev'!L7-'SW Rev'!H7,""),"")</f>
        <v/>
      </c>
      <c r="I314" s="30">
        <f>IFERROR(IF(AND(ISNUMBER('SW Rev'!M7),ISNUMBER('SW Rev'!I7)),'SW Rev'!M7-'SW Rev'!I7,""),"")</f>
        <v/>
      </c>
      <c r="J314" s="30">
        <f>IFERROR(IF(AND(ISNUMBER('SW Rev'!N7),ISNUMBER('SW Rev'!J7)),'SW Rev'!N7-'SW Rev'!J7,""),"")</f>
        <v/>
      </c>
      <c r="K314" s="30">
        <f>IFERROR(IF(AND(ISNUMBER('SW Rev'!O7),ISNUMBER('SW Rev'!K7)),'SW Rev'!O7-'SW Rev'!K7,""),"")</f>
        <v/>
      </c>
      <c r="L314" s="30">
        <f>IFERROR(IF(AND(ISNUMBER('SW Rev'!P7),ISNUMBER('SW Rev'!L7)),'SW Rev'!P7-'SW Rev'!L7,""),"")</f>
        <v/>
      </c>
      <c r="M314" s="31">
        <f>IFERROR(IF(AND(ISNUMBER('SW Rev'!Q7),ISNUMBER('SW Rev'!M7)),'SW Rev'!Q7-'SW Rev'!M7,""),"")</f>
        <v/>
      </c>
      <c r="N314" s="31">
        <f>IFERROR(IF(AND(ISNUMBER('SW Rev'!R7),ISNUMBER('SW Rev'!N7)),'SW Rev'!R7-'SW Rev'!N7,""),"")</f>
        <v/>
      </c>
    </row>
    <row r="315">
      <c r="A315" s="19">
        <f>'SW Rev'!$A8</f>
        <v/>
      </c>
      <c r="B315" s="19">
        <f>'SW Rev'!$B8</f>
        <v/>
      </c>
      <c r="C315" s="30">
        <f>IFERROR(IF(AND(ISNUMBER('SW Rev'!G8),ISNUMBER('SW Rev'!C8)),'SW Rev'!G8-'SW Rev'!C8,""),"")</f>
        <v/>
      </c>
      <c r="D315" s="30">
        <f>IFERROR(IF(AND(ISNUMBER('SW Rev'!H8),ISNUMBER('SW Rev'!D8)),'SW Rev'!H8-'SW Rev'!D8,""),"")</f>
        <v/>
      </c>
      <c r="E315" s="30">
        <f>IFERROR(IF(AND(ISNUMBER('SW Rev'!I8),ISNUMBER('SW Rev'!E8)),'SW Rev'!I8-'SW Rev'!E8,""),"")</f>
        <v/>
      </c>
      <c r="F315" s="30">
        <f>IFERROR(IF(AND(ISNUMBER('SW Rev'!J8),ISNUMBER('SW Rev'!F8)),'SW Rev'!J8-'SW Rev'!F8,""),"")</f>
        <v/>
      </c>
      <c r="G315" s="30">
        <f>IFERROR(IF(AND(ISNUMBER('SW Rev'!K8),ISNUMBER('SW Rev'!G8)),'SW Rev'!K8-'SW Rev'!G8,""),"")</f>
        <v/>
      </c>
      <c r="H315" s="30">
        <f>IFERROR(IF(AND(ISNUMBER('SW Rev'!L8),ISNUMBER('SW Rev'!H8)),'SW Rev'!L8-'SW Rev'!H8,""),"")</f>
        <v/>
      </c>
      <c r="I315" s="30">
        <f>IFERROR(IF(AND(ISNUMBER('SW Rev'!M8),ISNUMBER('SW Rev'!I8)),'SW Rev'!M8-'SW Rev'!I8,""),"")</f>
        <v/>
      </c>
      <c r="J315" s="30">
        <f>IFERROR(IF(AND(ISNUMBER('SW Rev'!N8),ISNUMBER('SW Rev'!J8)),'SW Rev'!N8-'SW Rev'!J8,""),"")</f>
        <v/>
      </c>
      <c r="K315" s="30">
        <f>IFERROR(IF(AND(ISNUMBER('SW Rev'!O8),ISNUMBER('SW Rev'!K8)),'SW Rev'!O8-'SW Rev'!K8,""),"")</f>
        <v/>
      </c>
      <c r="L315" s="30">
        <f>IFERROR(IF(AND(ISNUMBER('SW Rev'!P8),ISNUMBER('SW Rev'!L8)),'SW Rev'!P8-'SW Rev'!L8,""),"")</f>
        <v/>
      </c>
      <c r="M315" s="31">
        <f>IFERROR(IF(AND(ISNUMBER('SW Rev'!Q8),ISNUMBER('SW Rev'!M8)),'SW Rev'!Q8-'SW Rev'!M8,""),"")</f>
        <v/>
      </c>
      <c r="N315" s="31">
        <f>IFERROR(IF(AND(ISNUMBER('SW Rev'!R8),ISNUMBER('SW Rev'!N8)),'SW Rev'!R8-'SW Rev'!N8,""),"")</f>
        <v/>
      </c>
    </row>
    <row r="316">
      <c r="A316" s="19">
        <f>'SW Rev'!$A9</f>
        <v/>
      </c>
      <c r="B316" s="19">
        <f>'SW Rev'!$B9</f>
        <v/>
      </c>
      <c r="C316" s="30">
        <f>IFERROR(IF(AND(ISNUMBER('SW Rev'!G9),ISNUMBER('SW Rev'!C9)),'SW Rev'!G9-'SW Rev'!C9,""),"")</f>
        <v/>
      </c>
      <c r="D316" s="30">
        <f>IFERROR(IF(AND(ISNUMBER('SW Rev'!H9),ISNUMBER('SW Rev'!D9)),'SW Rev'!H9-'SW Rev'!D9,""),"")</f>
        <v/>
      </c>
      <c r="E316" s="30">
        <f>IFERROR(IF(AND(ISNUMBER('SW Rev'!I9),ISNUMBER('SW Rev'!E9)),'SW Rev'!I9-'SW Rev'!E9,""),"")</f>
        <v/>
      </c>
      <c r="F316" s="30">
        <f>IFERROR(IF(AND(ISNUMBER('SW Rev'!J9),ISNUMBER('SW Rev'!F9)),'SW Rev'!J9-'SW Rev'!F9,""),"")</f>
        <v/>
      </c>
      <c r="G316" s="30">
        <f>IFERROR(IF(AND(ISNUMBER('SW Rev'!K9),ISNUMBER('SW Rev'!G9)),'SW Rev'!K9-'SW Rev'!G9,""),"")</f>
        <v/>
      </c>
      <c r="H316" s="30">
        <f>IFERROR(IF(AND(ISNUMBER('SW Rev'!L9),ISNUMBER('SW Rev'!H9)),'SW Rev'!L9-'SW Rev'!H9,""),"")</f>
        <v/>
      </c>
      <c r="I316" s="30">
        <f>IFERROR(IF(AND(ISNUMBER('SW Rev'!M9),ISNUMBER('SW Rev'!I9)),'SW Rev'!M9-'SW Rev'!I9,""),"")</f>
        <v/>
      </c>
      <c r="J316" s="30">
        <f>IFERROR(IF(AND(ISNUMBER('SW Rev'!N9),ISNUMBER('SW Rev'!J9)),'SW Rev'!N9-'SW Rev'!J9,""),"")</f>
        <v/>
      </c>
      <c r="K316" s="30">
        <f>IFERROR(IF(AND(ISNUMBER('SW Rev'!O9),ISNUMBER('SW Rev'!K9)),'SW Rev'!O9-'SW Rev'!K9,""),"")</f>
        <v/>
      </c>
      <c r="L316" s="30">
        <f>IFERROR(IF(AND(ISNUMBER('SW Rev'!P9),ISNUMBER('SW Rev'!L9)),'SW Rev'!P9-'SW Rev'!L9,""),"")</f>
        <v/>
      </c>
      <c r="M316" s="31">
        <f>IFERROR(IF(AND(ISNUMBER('SW Rev'!Q9),ISNUMBER('SW Rev'!M9)),'SW Rev'!Q9-'SW Rev'!M9,""),"")</f>
        <v/>
      </c>
      <c r="N316" s="31">
        <f>IFERROR(IF(AND(ISNUMBER('SW Rev'!R9),ISNUMBER('SW Rev'!N9)),'SW Rev'!R9-'SW Rev'!N9,""),"")</f>
        <v/>
      </c>
    </row>
    <row r="317">
      <c r="A317" s="19">
        <f>'SW Rev'!$A10</f>
        <v/>
      </c>
      <c r="B317" s="19">
        <f>'SW Rev'!$B10</f>
        <v/>
      </c>
      <c r="C317" s="30">
        <f>IFERROR(IF(AND(ISNUMBER('SW Rev'!G10),ISNUMBER('SW Rev'!C10)),'SW Rev'!G10-'SW Rev'!C10,""),"")</f>
        <v/>
      </c>
      <c r="D317" s="30">
        <f>IFERROR(IF(AND(ISNUMBER('SW Rev'!H10),ISNUMBER('SW Rev'!D10)),'SW Rev'!H10-'SW Rev'!D10,""),"")</f>
        <v/>
      </c>
      <c r="E317" s="30">
        <f>IFERROR(IF(AND(ISNUMBER('SW Rev'!I10),ISNUMBER('SW Rev'!E10)),'SW Rev'!I10-'SW Rev'!E10,""),"")</f>
        <v/>
      </c>
      <c r="F317" s="30">
        <f>IFERROR(IF(AND(ISNUMBER('SW Rev'!J10),ISNUMBER('SW Rev'!F10)),'SW Rev'!J10-'SW Rev'!F10,""),"")</f>
        <v/>
      </c>
      <c r="G317" s="30">
        <f>IFERROR(IF(AND(ISNUMBER('SW Rev'!K10),ISNUMBER('SW Rev'!G10)),'SW Rev'!K10-'SW Rev'!G10,""),"")</f>
        <v/>
      </c>
      <c r="H317" s="30">
        <f>IFERROR(IF(AND(ISNUMBER('SW Rev'!L10),ISNUMBER('SW Rev'!H10)),'SW Rev'!L10-'SW Rev'!H10,""),"")</f>
        <v/>
      </c>
      <c r="I317" s="30">
        <f>IFERROR(IF(AND(ISNUMBER('SW Rev'!M10),ISNUMBER('SW Rev'!I10)),'SW Rev'!M10-'SW Rev'!I10,""),"")</f>
        <v/>
      </c>
      <c r="J317" s="30">
        <f>IFERROR(IF(AND(ISNUMBER('SW Rev'!N10),ISNUMBER('SW Rev'!J10)),'SW Rev'!N10-'SW Rev'!J10,""),"")</f>
        <v/>
      </c>
      <c r="K317" s="30">
        <f>IFERROR(IF(AND(ISNUMBER('SW Rev'!O10),ISNUMBER('SW Rev'!K10)),'SW Rev'!O10-'SW Rev'!K10,""),"")</f>
        <v/>
      </c>
      <c r="L317" s="30">
        <f>IFERROR(IF(AND(ISNUMBER('SW Rev'!P10),ISNUMBER('SW Rev'!L10)),'SW Rev'!P10-'SW Rev'!L10,""),"")</f>
        <v/>
      </c>
      <c r="M317" s="31">
        <f>IFERROR(IF(AND(ISNUMBER('SW Rev'!Q10),ISNUMBER('SW Rev'!M10)),'SW Rev'!Q10-'SW Rev'!M10,""),"")</f>
        <v/>
      </c>
      <c r="N317" s="31">
        <f>IFERROR(IF(AND(ISNUMBER('SW Rev'!R10),ISNUMBER('SW Rev'!N10)),'SW Rev'!R10-'SW Rev'!N10,""),"")</f>
        <v/>
      </c>
    </row>
    <row r="318">
      <c r="A318" s="19">
        <f>'SW Rev'!$A11</f>
        <v/>
      </c>
      <c r="B318" s="19">
        <f>'SW Rev'!$B11</f>
        <v/>
      </c>
      <c r="C318" s="30">
        <f>IFERROR(IF(AND(ISNUMBER('SW Rev'!G11),ISNUMBER('SW Rev'!C11)),'SW Rev'!G11-'SW Rev'!C11,""),"")</f>
        <v/>
      </c>
      <c r="D318" s="30">
        <f>IFERROR(IF(AND(ISNUMBER('SW Rev'!H11),ISNUMBER('SW Rev'!D11)),'SW Rev'!H11-'SW Rev'!D11,""),"")</f>
        <v/>
      </c>
      <c r="E318" s="30">
        <f>IFERROR(IF(AND(ISNUMBER('SW Rev'!I11),ISNUMBER('SW Rev'!E11)),'SW Rev'!I11-'SW Rev'!E11,""),"")</f>
        <v/>
      </c>
      <c r="F318" s="30">
        <f>IFERROR(IF(AND(ISNUMBER('SW Rev'!J11),ISNUMBER('SW Rev'!F11)),'SW Rev'!J11-'SW Rev'!F11,""),"")</f>
        <v/>
      </c>
      <c r="G318" s="30">
        <f>IFERROR(IF(AND(ISNUMBER('SW Rev'!K11),ISNUMBER('SW Rev'!G11)),'SW Rev'!K11-'SW Rev'!G11,""),"")</f>
        <v/>
      </c>
      <c r="H318" s="30">
        <f>IFERROR(IF(AND(ISNUMBER('SW Rev'!L11),ISNUMBER('SW Rev'!H11)),'SW Rev'!L11-'SW Rev'!H11,""),"")</f>
        <v/>
      </c>
      <c r="I318" s="30">
        <f>IFERROR(IF(AND(ISNUMBER('SW Rev'!M11),ISNUMBER('SW Rev'!I11)),'SW Rev'!M11-'SW Rev'!I11,""),"")</f>
        <v/>
      </c>
      <c r="J318" s="30">
        <f>IFERROR(IF(AND(ISNUMBER('SW Rev'!N11),ISNUMBER('SW Rev'!J11)),'SW Rev'!N11-'SW Rev'!J11,""),"")</f>
        <v/>
      </c>
      <c r="K318" s="30">
        <f>IFERROR(IF(AND(ISNUMBER('SW Rev'!O11),ISNUMBER('SW Rev'!K11)),'SW Rev'!O11-'SW Rev'!K11,""),"")</f>
        <v/>
      </c>
      <c r="L318" s="30">
        <f>IFERROR(IF(AND(ISNUMBER('SW Rev'!P11),ISNUMBER('SW Rev'!L11)),'SW Rev'!P11-'SW Rev'!L11,""),"")</f>
        <v/>
      </c>
      <c r="M318" s="31">
        <f>IFERROR(IF(AND(ISNUMBER('SW Rev'!Q11),ISNUMBER('SW Rev'!M11)),'SW Rev'!Q11-'SW Rev'!M11,""),"")</f>
        <v/>
      </c>
      <c r="N318" s="31">
        <f>IFERROR(IF(AND(ISNUMBER('SW Rev'!R11),ISNUMBER('SW Rev'!N11)),'SW Rev'!R11-'SW Rev'!N11,""),"")</f>
        <v/>
      </c>
    </row>
    <row r="319">
      <c r="A319" s="19">
        <f>'SW Rev'!$A12</f>
        <v/>
      </c>
      <c r="B319" s="19">
        <f>'SW Rev'!$B12</f>
        <v/>
      </c>
      <c r="C319" s="30">
        <f>IFERROR(IF(AND(ISNUMBER('SW Rev'!G12),ISNUMBER('SW Rev'!C12)),'SW Rev'!G12-'SW Rev'!C12,""),"")</f>
        <v/>
      </c>
      <c r="D319" s="30">
        <f>IFERROR(IF(AND(ISNUMBER('SW Rev'!H12),ISNUMBER('SW Rev'!D12)),'SW Rev'!H12-'SW Rev'!D12,""),"")</f>
        <v/>
      </c>
      <c r="E319" s="30">
        <f>IFERROR(IF(AND(ISNUMBER('SW Rev'!I12),ISNUMBER('SW Rev'!E12)),'SW Rev'!I12-'SW Rev'!E12,""),"")</f>
        <v/>
      </c>
      <c r="F319" s="30">
        <f>IFERROR(IF(AND(ISNUMBER('SW Rev'!J12),ISNUMBER('SW Rev'!F12)),'SW Rev'!J12-'SW Rev'!F12,""),"")</f>
        <v/>
      </c>
      <c r="G319" s="30">
        <f>IFERROR(IF(AND(ISNUMBER('SW Rev'!K12),ISNUMBER('SW Rev'!G12)),'SW Rev'!K12-'SW Rev'!G12,""),"")</f>
        <v/>
      </c>
      <c r="H319" s="30">
        <f>IFERROR(IF(AND(ISNUMBER('SW Rev'!L12),ISNUMBER('SW Rev'!H12)),'SW Rev'!L12-'SW Rev'!H12,""),"")</f>
        <v/>
      </c>
      <c r="I319" s="30">
        <f>IFERROR(IF(AND(ISNUMBER('SW Rev'!M12),ISNUMBER('SW Rev'!I12)),'SW Rev'!M12-'SW Rev'!I12,""),"")</f>
        <v/>
      </c>
      <c r="J319" s="30">
        <f>IFERROR(IF(AND(ISNUMBER('SW Rev'!N12),ISNUMBER('SW Rev'!J12)),'SW Rev'!N12-'SW Rev'!J12,""),"")</f>
        <v/>
      </c>
      <c r="K319" s="30">
        <f>IFERROR(IF(AND(ISNUMBER('SW Rev'!O12),ISNUMBER('SW Rev'!K12)),'SW Rev'!O12-'SW Rev'!K12,""),"")</f>
        <v/>
      </c>
      <c r="L319" s="30">
        <f>IFERROR(IF(AND(ISNUMBER('SW Rev'!P12),ISNUMBER('SW Rev'!L12)),'SW Rev'!P12-'SW Rev'!L12,""),"")</f>
        <v/>
      </c>
      <c r="M319" s="31">
        <f>IFERROR(IF(AND(ISNUMBER('SW Rev'!Q12),ISNUMBER('SW Rev'!M12)),'SW Rev'!Q12-'SW Rev'!M12,""),"")</f>
        <v/>
      </c>
      <c r="N319" s="31">
        <f>IFERROR(IF(AND(ISNUMBER('SW Rev'!R12),ISNUMBER('SW Rev'!N12)),'SW Rev'!R12-'SW Rev'!N12,""),"")</f>
        <v/>
      </c>
    </row>
    <row r="320">
      <c r="A320" s="19">
        <f>'SW Rev'!$A13</f>
        <v/>
      </c>
      <c r="B320" s="19">
        <f>'SW Rev'!$B13</f>
        <v/>
      </c>
      <c r="C320" s="30">
        <f>IFERROR(IF(AND(ISNUMBER('SW Rev'!G13),ISNUMBER('SW Rev'!C13)),'SW Rev'!G13-'SW Rev'!C13,""),"")</f>
        <v/>
      </c>
      <c r="D320" s="30">
        <f>IFERROR(IF(AND(ISNUMBER('SW Rev'!H13),ISNUMBER('SW Rev'!D13)),'SW Rev'!H13-'SW Rev'!D13,""),"")</f>
        <v/>
      </c>
      <c r="E320" s="30">
        <f>IFERROR(IF(AND(ISNUMBER('SW Rev'!I13),ISNUMBER('SW Rev'!E13)),'SW Rev'!I13-'SW Rev'!E13,""),"")</f>
        <v/>
      </c>
      <c r="F320" s="30">
        <f>IFERROR(IF(AND(ISNUMBER('SW Rev'!J13),ISNUMBER('SW Rev'!F13)),'SW Rev'!J13-'SW Rev'!F13,""),"")</f>
        <v/>
      </c>
      <c r="G320" s="30">
        <f>IFERROR(IF(AND(ISNUMBER('SW Rev'!K13),ISNUMBER('SW Rev'!G13)),'SW Rev'!K13-'SW Rev'!G13,""),"")</f>
        <v/>
      </c>
      <c r="H320" s="30">
        <f>IFERROR(IF(AND(ISNUMBER('SW Rev'!L13),ISNUMBER('SW Rev'!H13)),'SW Rev'!L13-'SW Rev'!H13,""),"")</f>
        <v/>
      </c>
      <c r="I320" s="30">
        <f>IFERROR(IF(AND(ISNUMBER('SW Rev'!M13),ISNUMBER('SW Rev'!I13)),'SW Rev'!M13-'SW Rev'!I13,""),"")</f>
        <v/>
      </c>
      <c r="J320" s="30">
        <f>IFERROR(IF(AND(ISNUMBER('SW Rev'!N13),ISNUMBER('SW Rev'!J13)),'SW Rev'!N13-'SW Rev'!J13,""),"")</f>
        <v/>
      </c>
      <c r="K320" s="30">
        <f>IFERROR(IF(AND(ISNUMBER('SW Rev'!O13),ISNUMBER('SW Rev'!K13)),'SW Rev'!O13-'SW Rev'!K13,""),"")</f>
        <v/>
      </c>
      <c r="L320" s="30">
        <f>IFERROR(IF(AND(ISNUMBER('SW Rev'!P13),ISNUMBER('SW Rev'!L13)),'SW Rev'!P13-'SW Rev'!L13,""),"")</f>
        <v/>
      </c>
      <c r="M320" s="31">
        <f>IFERROR(IF(AND(ISNUMBER('SW Rev'!Q13),ISNUMBER('SW Rev'!M13)),'SW Rev'!Q13-'SW Rev'!M13,""),"")</f>
        <v/>
      </c>
      <c r="N320" s="31">
        <f>IFERROR(IF(AND(ISNUMBER('SW Rev'!R13),ISNUMBER('SW Rev'!N13)),'SW Rev'!R13-'SW Rev'!N13,""),"")</f>
        <v/>
      </c>
    </row>
    <row r="321">
      <c r="A321" s="19">
        <f>'SW Rev'!$A14</f>
        <v/>
      </c>
      <c r="B321" s="19">
        <f>'SW Rev'!$B14</f>
        <v/>
      </c>
      <c r="C321" s="30">
        <f>IFERROR(IF(AND(ISNUMBER('SW Rev'!G14),ISNUMBER('SW Rev'!C14)),'SW Rev'!G14-'SW Rev'!C14,""),"")</f>
        <v/>
      </c>
      <c r="D321" s="30">
        <f>IFERROR(IF(AND(ISNUMBER('SW Rev'!H14),ISNUMBER('SW Rev'!D14)),'SW Rev'!H14-'SW Rev'!D14,""),"")</f>
        <v/>
      </c>
      <c r="E321" s="30">
        <f>IFERROR(IF(AND(ISNUMBER('SW Rev'!I14),ISNUMBER('SW Rev'!E14)),'SW Rev'!I14-'SW Rev'!E14,""),"")</f>
        <v/>
      </c>
      <c r="F321" s="30">
        <f>IFERROR(IF(AND(ISNUMBER('SW Rev'!J14),ISNUMBER('SW Rev'!F14)),'SW Rev'!J14-'SW Rev'!F14,""),"")</f>
        <v/>
      </c>
      <c r="G321" s="30">
        <f>IFERROR(IF(AND(ISNUMBER('SW Rev'!K14),ISNUMBER('SW Rev'!G14)),'SW Rev'!K14-'SW Rev'!G14,""),"")</f>
        <v/>
      </c>
      <c r="H321" s="30">
        <f>IFERROR(IF(AND(ISNUMBER('SW Rev'!L14),ISNUMBER('SW Rev'!H14)),'SW Rev'!L14-'SW Rev'!H14,""),"")</f>
        <v/>
      </c>
      <c r="I321" s="30">
        <f>IFERROR(IF(AND(ISNUMBER('SW Rev'!M14),ISNUMBER('SW Rev'!I14)),'SW Rev'!M14-'SW Rev'!I14,""),"")</f>
        <v/>
      </c>
      <c r="J321" s="30">
        <f>IFERROR(IF(AND(ISNUMBER('SW Rev'!N14),ISNUMBER('SW Rev'!J14)),'SW Rev'!N14-'SW Rev'!J14,""),"")</f>
        <v/>
      </c>
      <c r="K321" s="30">
        <f>IFERROR(IF(AND(ISNUMBER('SW Rev'!O14),ISNUMBER('SW Rev'!K14)),'SW Rev'!O14-'SW Rev'!K14,""),"")</f>
        <v/>
      </c>
      <c r="L321" s="30">
        <f>IFERROR(IF(AND(ISNUMBER('SW Rev'!P14),ISNUMBER('SW Rev'!L14)),'SW Rev'!P14-'SW Rev'!L14,""),"")</f>
        <v/>
      </c>
      <c r="M321" s="31">
        <f>IFERROR(IF(AND(ISNUMBER('SW Rev'!Q14),ISNUMBER('SW Rev'!M14)),'SW Rev'!Q14-'SW Rev'!M14,""),"")</f>
        <v/>
      </c>
      <c r="N321" s="31">
        <f>IFERROR(IF(AND(ISNUMBER('SW Rev'!R14),ISNUMBER('SW Rev'!N14)),'SW Rev'!R14-'SW Rev'!N14,""),"")</f>
        <v/>
      </c>
    </row>
    <row r="322">
      <c r="A322" s="19">
        <f>'SW Rev'!$A15</f>
        <v/>
      </c>
      <c r="B322" s="19">
        <f>'SW Rev'!$B15</f>
        <v/>
      </c>
      <c r="C322" s="30">
        <f>IFERROR(IF(AND(ISNUMBER('SW Rev'!G15),ISNUMBER('SW Rev'!C15)),'SW Rev'!G15-'SW Rev'!C15,""),"")</f>
        <v/>
      </c>
      <c r="D322" s="30">
        <f>IFERROR(IF(AND(ISNUMBER('SW Rev'!H15),ISNUMBER('SW Rev'!D15)),'SW Rev'!H15-'SW Rev'!D15,""),"")</f>
        <v/>
      </c>
      <c r="E322" s="30">
        <f>IFERROR(IF(AND(ISNUMBER('SW Rev'!I15),ISNUMBER('SW Rev'!E15)),'SW Rev'!I15-'SW Rev'!E15,""),"")</f>
        <v/>
      </c>
      <c r="F322" s="30">
        <f>IFERROR(IF(AND(ISNUMBER('SW Rev'!J15),ISNUMBER('SW Rev'!F15)),'SW Rev'!J15-'SW Rev'!F15,""),"")</f>
        <v/>
      </c>
      <c r="G322" s="30">
        <f>IFERROR(IF(AND(ISNUMBER('SW Rev'!K15),ISNUMBER('SW Rev'!G15)),'SW Rev'!K15-'SW Rev'!G15,""),"")</f>
        <v/>
      </c>
      <c r="H322" s="30">
        <f>IFERROR(IF(AND(ISNUMBER('SW Rev'!L15),ISNUMBER('SW Rev'!H15)),'SW Rev'!L15-'SW Rev'!H15,""),"")</f>
        <v/>
      </c>
      <c r="I322" s="30">
        <f>IFERROR(IF(AND(ISNUMBER('SW Rev'!M15),ISNUMBER('SW Rev'!I15)),'SW Rev'!M15-'SW Rev'!I15,""),"")</f>
        <v/>
      </c>
      <c r="J322" s="30">
        <f>IFERROR(IF(AND(ISNUMBER('SW Rev'!N15),ISNUMBER('SW Rev'!J15)),'SW Rev'!N15-'SW Rev'!J15,""),"")</f>
        <v/>
      </c>
      <c r="K322" s="30">
        <f>IFERROR(IF(AND(ISNUMBER('SW Rev'!O15),ISNUMBER('SW Rev'!K15)),'SW Rev'!O15-'SW Rev'!K15,""),"")</f>
        <v/>
      </c>
      <c r="L322" s="30">
        <f>IFERROR(IF(AND(ISNUMBER('SW Rev'!P15),ISNUMBER('SW Rev'!L15)),'SW Rev'!P15-'SW Rev'!L15,""),"")</f>
        <v/>
      </c>
      <c r="M322" s="31">
        <f>IFERROR(IF(AND(ISNUMBER('SW Rev'!Q15),ISNUMBER('SW Rev'!M15)),'SW Rev'!Q15-'SW Rev'!M15,""),"")</f>
        <v/>
      </c>
      <c r="N322" s="31">
        <f>IFERROR(IF(AND(ISNUMBER('SW Rev'!R15),ISNUMBER('SW Rev'!N15)),'SW Rev'!R15-'SW Rev'!N15,""),"")</f>
        <v/>
      </c>
    </row>
    <row r="323">
      <c r="A323" s="19">
        <f>'SW Rev'!$A16</f>
        <v/>
      </c>
      <c r="B323" s="19">
        <f>'SW Rev'!$B16</f>
        <v/>
      </c>
      <c r="C323" s="30">
        <f>IFERROR(IF(AND(ISNUMBER('SW Rev'!G16),ISNUMBER('SW Rev'!C16)),'SW Rev'!G16-'SW Rev'!C16,""),"")</f>
        <v/>
      </c>
      <c r="D323" s="30">
        <f>IFERROR(IF(AND(ISNUMBER('SW Rev'!H16),ISNUMBER('SW Rev'!D16)),'SW Rev'!H16-'SW Rev'!D16,""),"")</f>
        <v/>
      </c>
      <c r="E323" s="30">
        <f>IFERROR(IF(AND(ISNUMBER('SW Rev'!I16),ISNUMBER('SW Rev'!E16)),'SW Rev'!I16-'SW Rev'!E16,""),"")</f>
        <v/>
      </c>
      <c r="F323" s="30">
        <f>IFERROR(IF(AND(ISNUMBER('SW Rev'!J16),ISNUMBER('SW Rev'!F16)),'SW Rev'!J16-'SW Rev'!F16,""),"")</f>
        <v/>
      </c>
      <c r="G323" s="30">
        <f>IFERROR(IF(AND(ISNUMBER('SW Rev'!K16),ISNUMBER('SW Rev'!G16)),'SW Rev'!K16-'SW Rev'!G16,""),"")</f>
        <v/>
      </c>
      <c r="H323" s="30">
        <f>IFERROR(IF(AND(ISNUMBER('SW Rev'!L16),ISNUMBER('SW Rev'!H16)),'SW Rev'!L16-'SW Rev'!H16,""),"")</f>
        <v/>
      </c>
      <c r="I323" s="30">
        <f>IFERROR(IF(AND(ISNUMBER('SW Rev'!M16),ISNUMBER('SW Rev'!I16)),'SW Rev'!M16-'SW Rev'!I16,""),"")</f>
        <v/>
      </c>
      <c r="J323" s="30">
        <f>IFERROR(IF(AND(ISNUMBER('SW Rev'!N16),ISNUMBER('SW Rev'!J16)),'SW Rev'!N16-'SW Rev'!J16,""),"")</f>
        <v/>
      </c>
      <c r="K323" s="30">
        <f>IFERROR(IF(AND(ISNUMBER('SW Rev'!O16),ISNUMBER('SW Rev'!K16)),'SW Rev'!O16-'SW Rev'!K16,""),"")</f>
        <v/>
      </c>
      <c r="L323" s="30">
        <f>IFERROR(IF(AND(ISNUMBER('SW Rev'!P16),ISNUMBER('SW Rev'!L16)),'SW Rev'!P16-'SW Rev'!L16,""),"")</f>
        <v/>
      </c>
      <c r="M323" s="31">
        <f>IFERROR(IF(AND(ISNUMBER('SW Rev'!Q16),ISNUMBER('SW Rev'!M16)),'SW Rev'!Q16-'SW Rev'!M16,""),"")</f>
        <v/>
      </c>
      <c r="N323" s="31">
        <f>IFERROR(IF(AND(ISNUMBER('SW Rev'!R16),ISNUMBER('SW Rev'!N16)),'SW Rev'!R16-'SW Rev'!N16,""),"")</f>
        <v/>
      </c>
    </row>
    <row r="324">
      <c r="A324" s="19">
        <f>'SW Rev'!$A17</f>
        <v/>
      </c>
      <c r="B324" s="19">
        <f>'SW Rev'!$B17</f>
        <v/>
      </c>
      <c r="C324" s="30">
        <f>IFERROR(IF(AND(ISNUMBER('SW Rev'!G17),ISNUMBER('SW Rev'!C17)),'SW Rev'!G17-'SW Rev'!C17,""),"")</f>
        <v/>
      </c>
      <c r="D324" s="30">
        <f>IFERROR(IF(AND(ISNUMBER('SW Rev'!H17),ISNUMBER('SW Rev'!D17)),'SW Rev'!H17-'SW Rev'!D17,""),"")</f>
        <v/>
      </c>
      <c r="E324" s="30">
        <f>IFERROR(IF(AND(ISNUMBER('SW Rev'!I17),ISNUMBER('SW Rev'!E17)),'SW Rev'!I17-'SW Rev'!E17,""),"")</f>
        <v/>
      </c>
      <c r="F324" s="30">
        <f>IFERROR(IF(AND(ISNUMBER('SW Rev'!J17),ISNUMBER('SW Rev'!F17)),'SW Rev'!J17-'SW Rev'!F17,""),"")</f>
        <v/>
      </c>
      <c r="G324" s="30">
        <f>IFERROR(IF(AND(ISNUMBER('SW Rev'!K17),ISNUMBER('SW Rev'!G17)),'SW Rev'!K17-'SW Rev'!G17,""),"")</f>
        <v/>
      </c>
      <c r="H324" s="30">
        <f>IFERROR(IF(AND(ISNUMBER('SW Rev'!L17),ISNUMBER('SW Rev'!H17)),'SW Rev'!L17-'SW Rev'!H17,""),"")</f>
        <v/>
      </c>
      <c r="I324" s="30">
        <f>IFERROR(IF(AND(ISNUMBER('SW Rev'!M17),ISNUMBER('SW Rev'!I17)),'SW Rev'!M17-'SW Rev'!I17,""),"")</f>
        <v/>
      </c>
      <c r="J324" s="30">
        <f>IFERROR(IF(AND(ISNUMBER('SW Rev'!N17),ISNUMBER('SW Rev'!J17)),'SW Rev'!N17-'SW Rev'!J17,""),"")</f>
        <v/>
      </c>
      <c r="K324" s="30">
        <f>IFERROR(IF(AND(ISNUMBER('SW Rev'!O17),ISNUMBER('SW Rev'!K17)),'SW Rev'!O17-'SW Rev'!K17,""),"")</f>
        <v/>
      </c>
      <c r="L324" s="30">
        <f>IFERROR(IF(AND(ISNUMBER('SW Rev'!P17),ISNUMBER('SW Rev'!L17)),'SW Rev'!P17-'SW Rev'!L17,""),"")</f>
        <v/>
      </c>
      <c r="M324" s="31">
        <f>IFERROR(IF(AND(ISNUMBER('SW Rev'!Q17),ISNUMBER('SW Rev'!M17)),'SW Rev'!Q17-'SW Rev'!M17,""),"")</f>
        <v/>
      </c>
      <c r="N324" s="31">
        <f>IFERROR(IF(AND(ISNUMBER('SW Rev'!R17),ISNUMBER('SW Rev'!N17)),'SW Rev'!R17-'SW Rev'!N17,""),"")</f>
        <v/>
      </c>
    </row>
    <row r="325">
      <c r="A325" s="19">
        <f>'SW Rev'!$A18</f>
        <v/>
      </c>
      <c r="B325" s="19">
        <f>'SW Rev'!$B18</f>
        <v/>
      </c>
      <c r="C325" s="30">
        <f>IFERROR(IF(AND(ISNUMBER('SW Rev'!G18),ISNUMBER('SW Rev'!C18)),'SW Rev'!G18-'SW Rev'!C18,""),"")</f>
        <v/>
      </c>
      <c r="D325" s="30">
        <f>IFERROR(IF(AND(ISNUMBER('SW Rev'!H18),ISNUMBER('SW Rev'!D18)),'SW Rev'!H18-'SW Rev'!D18,""),"")</f>
        <v/>
      </c>
      <c r="E325" s="30">
        <f>IFERROR(IF(AND(ISNUMBER('SW Rev'!I18),ISNUMBER('SW Rev'!E18)),'SW Rev'!I18-'SW Rev'!E18,""),"")</f>
        <v/>
      </c>
      <c r="F325" s="30">
        <f>IFERROR(IF(AND(ISNUMBER('SW Rev'!J18),ISNUMBER('SW Rev'!F18)),'SW Rev'!J18-'SW Rev'!F18,""),"")</f>
        <v/>
      </c>
      <c r="G325" s="30">
        <f>IFERROR(IF(AND(ISNUMBER('SW Rev'!K18),ISNUMBER('SW Rev'!G18)),'SW Rev'!K18-'SW Rev'!G18,""),"")</f>
        <v/>
      </c>
      <c r="H325" s="30">
        <f>IFERROR(IF(AND(ISNUMBER('SW Rev'!L18),ISNUMBER('SW Rev'!H18)),'SW Rev'!L18-'SW Rev'!H18,""),"")</f>
        <v/>
      </c>
      <c r="I325" s="30">
        <f>IFERROR(IF(AND(ISNUMBER('SW Rev'!M18),ISNUMBER('SW Rev'!I18)),'SW Rev'!M18-'SW Rev'!I18,""),"")</f>
        <v/>
      </c>
      <c r="J325" s="30">
        <f>IFERROR(IF(AND(ISNUMBER('SW Rev'!N18),ISNUMBER('SW Rev'!J18)),'SW Rev'!N18-'SW Rev'!J18,""),"")</f>
        <v/>
      </c>
      <c r="K325" s="30">
        <f>IFERROR(IF(AND(ISNUMBER('SW Rev'!O18),ISNUMBER('SW Rev'!K18)),'SW Rev'!O18-'SW Rev'!K18,""),"")</f>
        <v/>
      </c>
      <c r="L325" s="30">
        <f>IFERROR(IF(AND(ISNUMBER('SW Rev'!P18),ISNUMBER('SW Rev'!L18)),'SW Rev'!P18-'SW Rev'!L18,""),"")</f>
        <v/>
      </c>
      <c r="M325" s="31">
        <f>IFERROR(IF(AND(ISNUMBER('SW Rev'!Q18),ISNUMBER('SW Rev'!M18)),'SW Rev'!Q18-'SW Rev'!M18,""),"")</f>
        <v/>
      </c>
      <c r="N325" s="31">
        <f>IFERROR(IF(AND(ISNUMBER('SW Rev'!R18),ISNUMBER('SW Rev'!N18)),'SW Rev'!R18-'SW Rev'!N18,""),"")</f>
        <v/>
      </c>
    </row>
    <row r="326">
      <c r="A326" s="19">
        <f>'SW Rev'!$A19</f>
        <v/>
      </c>
      <c r="B326" s="19">
        <f>'SW Rev'!$B19</f>
        <v/>
      </c>
      <c r="C326" s="30">
        <f>IFERROR(IF(AND(ISNUMBER('SW Rev'!G19),ISNUMBER('SW Rev'!C19)),'SW Rev'!G19-'SW Rev'!C19,""),"")</f>
        <v/>
      </c>
      <c r="D326" s="30">
        <f>IFERROR(IF(AND(ISNUMBER('SW Rev'!H19),ISNUMBER('SW Rev'!D19)),'SW Rev'!H19-'SW Rev'!D19,""),"")</f>
        <v/>
      </c>
      <c r="E326" s="30">
        <f>IFERROR(IF(AND(ISNUMBER('SW Rev'!I19),ISNUMBER('SW Rev'!E19)),'SW Rev'!I19-'SW Rev'!E19,""),"")</f>
        <v/>
      </c>
      <c r="F326" s="30">
        <f>IFERROR(IF(AND(ISNUMBER('SW Rev'!J19),ISNUMBER('SW Rev'!F19)),'SW Rev'!J19-'SW Rev'!F19,""),"")</f>
        <v/>
      </c>
      <c r="G326" s="30">
        <f>IFERROR(IF(AND(ISNUMBER('SW Rev'!K19),ISNUMBER('SW Rev'!G19)),'SW Rev'!K19-'SW Rev'!G19,""),"")</f>
        <v/>
      </c>
      <c r="H326" s="30">
        <f>IFERROR(IF(AND(ISNUMBER('SW Rev'!L19),ISNUMBER('SW Rev'!H19)),'SW Rev'!L19-'SW Rev'!H19,""),"")</f>
        <v/>
      </c>
      <c r="I326" s="30">
        <f>IFERROR(IF(AND(ISNUMBER('SW Rev'!M19),ISNUMBER('SW Rev'!I19)),'SW Rev'!M19-'SW Rev'!I19,""),"")</f>
        <v/>
      </c>
      <c r="J326" s="30">
        <f>IFERROR(IF(AND(ISNUMBER('SW Rev'!N19),ISNUMBER('SW Rev'!J19)),'SW Rev'!N19-'SW Rev'!J19,""),"")</f>
        <v/>
      </c>
      <c r="K326" s="30">
        <f>IFERROR(IF(AND(ISNUMBER('SW Rev'!O19),ISNUMBER('SW Rev'!K19)),'SW Rev'!O19-'SW Rev'!K19,""),"")</f>
        <v/>
      </c>
      <c r="L326" s="30">
        <f>IFERROR(IF(AND(ISNUMBER('SW Rev'!P19),ISNUMBER('SW Rev'!L19)),'SW Rev'!P19-'SW Rev'!L19,""),"")</f>
        <v/>
      </c>
      <c r="M326" s="31">
        <f>IFERROR(IF(AND(ISNUMBER('SW Rev'!Q19),ISNUMBER('SW Rev'!M19)),'SW Rev'!Q19-'SW Rev'!M19,""),"")</f>
        <v/>
      </c>
      <c r="N326" s="31">
        <f>IFERROR(IF(AND(ISNUMBER('SW Rev'!R19),ISNUMBER('SW Rev'!N19)),'SW Rev'!R19-'SW Rev'!N19,""),"")</f>
        <v/>
      </c>
    </row>
    <row r="327">
      <c r="A327" s="19">
        <f>'SW Rev'!$A20</f>
        <v/>
      </c>
      <c r="B327" s="19">
        <f>'SW Rev'!$B20</f>
        <v/>
      </c>
      <c r="C327" s="30">
        <f>IFERROR(IF(AND(ISNUMBER('SW Rev'!G20),ISNUMBER('SW Rev'!C20)),'SW Rev'!G20-'SW Rev'!C20,""),"")</f>
        <v/>
      </c>
      <c r="D327" s="30">
        <f>IFERROR(IF(AND(ISNUMBER('SW Rev'!H20),ISNUMBER('SW Rev'!D20)),'SW Rev'!H20-'SW Rev'!D20,""),"")</f>
        <v/>
      </c>
      <c r="E327" s="30">
        <f>IFERROR(IF(AND(ISNUMBER('SW Rev'!I20),ISNUMBER('SW Rev'!E20)),'SW Rev'!I20-'SW Rev'!E20,""),"")</f>
        <v/>
      </c>
      <c r="F327" s="30">
        <f>IFERROR(IF(AND(ISNUMBER('SW Rev'!J20),ISNUMBER('SW Rev'!F20)),'SW Rev'!J20-'SW Rev'!F20,""),"")</f>
        <v/>
      </c>
      <c r="G327" s="30">
        <f>IFERROR(IF(AND(ISNUMBER('SW Rev'!K20),ISNUMBER('SW Rev'!G20)),'SW Rev'!K20-'SW Rev'!G20,""),"")</f>
        <v/>
      </c>
      <c r="H327" s="30">
        <f>IFERROR(IF(AND(ISNUMBER('SW Rev'!L20),ISNUMBER('SW Rev'!H20)),'SW Rev'!L20-'SW Rev'!H20,""),"")</f>
        <v/>
      </c>
      <c r="I327" s="30">
        <f>IFERROR(IF(AND(ISNUMBER('SW Rev'!M20),ISNUMBER('SW Rev'!I20)),'SW Rev'!M20-'SW Rev'!I20,""),"")</f>
        <v/>
      </c>
      <c r="J327" s="30">
        <f>IFERROR(IF(AND(ISNUMBER('SW Rev'!N20),ISNUMBER('SW Rev'!J20)),'SW Rev'!N20-'SW Rev'!J20,""),"")</f>
        <v/>
      </c>
      <c r="K327" s="30">
        <f>IFERROR(IF(AND(ISNUMBER('SW Rev'!O20),ISNUMBER('SW Rev'!K20)),'SW Rev'!O20-'SW Rev'!K20,""),"")</f>
        <v/>
      </c>
      <c r="L327" s="30">
        <f>IFERROR(IF(AND(ISNUMBER('SW Rev'!P20),ISNUMBER('SW Rev'!L20)),'SW Rev'!P20-'SW Rev'!L20,""),"")</f>
        <v/>
      </c>
      <c r="M327" s="31">
        <f>IFERROR(IF(AND(ISNUMBER('SW Rev'!Q20),ISNUMBER('SW Rev'!M20)),'SW Rev'!Q20-'SW Rev'!M20,""),"")</f>
        <v/>
      </c>
      <c r="N327" s="31">
        <f>IFERROR(IF(AND(ISNUMBER('SW Rev'!R20),ISNUMBER('SW Rev'!N20)),'SW Rev'!R20-'SW Rev'!N20,""),"")</f>
        <v/>
      </c>
    </row>
    <row r="328">
      <c r="A328" s="19">
        <f>'SW Rev'!$A21</f>
        <v/>
      </c>
      <c r="B328" s="19">
        <f>'SW Rev'!$B21</f>
        <v/>
      </c>
      <c r="C328" s="30">
        <f>IFERROR(IF(AND(ISNUMBER('SW Rev'!G21),ISNUMBER('SW Rev'!C21)),'SW Rev'!G21-'SW Rev'!C21,""),"")</f>
        <v/>
      </c>
      <c r="D328" s="30">
        <f>IFERROR(IF(AND(ISNUMBER('SW Rev'!H21),ISNUMBER('SW Rev'!D21)),'SW Rev'!H21-'SW Rev'!D21,""),"")</f>
        <v/>
      </c>
      <c r="E328" s="30">
        <f>IFERROR(IF(AND(ISNUMBER('SW Rev'!I21),ISNUMBER('SW Rev'!E21)),'SW Rev'!I21-'SW Rev'!E21,""),"")</f>
        <v/>
      </c>
      <c r="F328" s="30">
        <f>IFERROR(IF(AND(ISNUMBER('SW Rev'!J21),ISNUMBER('SW Rev'!F21)),'SW Rev'!J21-'SW Rev'!F21,""),"")</f>
        <v/>
      </c>
      <c r="G328" s="30">
        <f>IFERROR(IF(AND(ISNUMBER('SW Rev'!K21),ISNUMBER('SW Rev'!G21)),'SW Rev'!K21-'SW Rev'!G21,""),"")</f>
        <v/>
      </c>
      <c r="H328" s="30">
        <f>IFERROR(IF(AND(ISNUMBER('SW Rev'!L21),ISNUMBER('SW Rev'!H21)),'SW Rev'!L21-'SW Rev'!H21,""),"")</f>
        <v/>
      </c>
      <c r="I328" s="30">
        <f>IFERROR(IF(AND(ISNUMBER('SW Rev'!M21),ISNUMBER('SW Rev'!I21)),'SW Rev'!M21-'SW Rev'!I21,""),"")</f>
        <v/>
      </c>
      <c r="J328" s="30">
        <f>IFERROR(IF(AND(ISNUMBER('SW Rev'!N21),ISNUMBER('SW Rev'!J21)),'SW Rev'!N21-'SW Rev'!J21,""),"")</f>
        <v/>
      </c>
      <c r="K328" s="30">
        <f>IFERROR(IF(AND(ISNUMBER('SW Rev'!O21),ISNUMBER('SW Rev'!K21)),'SW Rev'!O21-'SW Rev'!K21,""),"")</f>
        <v/>
      </c>
      <c r="L328" s="30">
        <f>IFERROR(IF(AND(ISNUMBER('SW Rev'!P21),ISNUMBER('SW Rev'!L21)),'SW Rev'!P21-'SW Rev'!L21,""),"")</f>
        <v/>
      </c>
      <c r="M328" s="31">
        <f>IFERROR(IF(AND(ISNUMBER('SW Rev'!Q21),ISNUMBER('SW Rev'!M21)),'SW Rev'!Q21-'SW Rev'!M21,""),"")</f>
        <v/>
      </c>
      <c r="N328" s="31">
        <f>IFERROR(IF(AND(ISNUMBER('SW Rev'!R21),ISNUMBER('SW Rev'!N21)),'SW Rev'!R21-'SW Rev'!N21,""),"")</f>
        <v/>
      </c>
    </row>
    <row r="329">
      <c r="A329" s="19">
        <f>'SW Rev'!$A22</f>
        <v/>
      </c>
      <c r="B329" s="19">
        <f>'SW Rev'!$B22</f>
        <v/>
      </c>
      <c r="C329" s="30">
        <f>IFERROR(IF(AND(ISNUMBER('SW Rev'!G22),ISNUMBER('SW Rev'!C22)),'SW Rev'!G22-'SW Rev'!C22,""),"")</f>
        <v/>
      </c>
      <c r="D329" s="30">
        <f>IFERROR(IF(AND(ISNUMBER('SW Rev'!H22),ISNUMBER('SW Rev'!D22)),'SW Rev'!H22-'SW Rev'!D22,""),"")</f>
        <v/>
      </c>
      <c r="E329" s="30">
        <f>IFERROR(IF(AND(ISNUMBER('SW Rev'!I22),ISNUMBER('SW Rev'!E22)),'SW Rev'!I22-'SW Rev'!E22,""),"")</f>
        <v/>
      </c>
      <c r="F329" s="30">
        <f>IFERROR(IF(AND(ISNUMBER('SW Rev'!J22),ISNUMBER('SW Rev'!F22)),'SW Rev'!J22-'SW Rev'!F22,""),"")</f>
        <v/>
      </c>
      <c r="G329" s="30">
        <f>IFERROR(IF(AND(ISNUMBER('SW Rev'!K22),ISNUMBER('SW Rev'!G22)),'SW Rev'!K22-'SW Rev'!G22,""),"")</f>
        <v/>
      </c>
      <c r="H329" s="30">
        <f>IFERROR(IF(AND(ISNUMBER('SW Rev'!L22),ISNUMBER('SW Rev'!H22)),'SW Rev'!L22-'SW Rev'!H22,""),"")</f>
        <v/>
      </c>
      <c r="I329" s="30">
        <f>IFERROR(IF(AND(ISNUMBER('SW Rev'!M22),ISNUMBER('SW Rev'!I22)),'SW Rev'!M22-'SW Rev'!I22,""),"")</f>
        <v/>
      </c>
      <c r="J329" s="30">
        <f>IFERROR(IF(AND(ISNUMBER('SW Rev'!N22),ISNUMBER('SW Rev'!J22)),'SW Rev'!N22-'SW Rev'!J22,""),"")</f>
        <v/>
      </c>
      <c r="K329" s="30">
        <f>IFERROR(IF(AND(ISNUMBER('SW Rev'!O22),ISNUMBER('SW Rev'!K22)),'SW Rev'!O22-'SW Rev'!K22,""),"")</f>
        <v/>
      </c>
      <c r="L329" s="30">
        <f>IFERROR(IF(AND(ISNUMBER('SW Rev'!P22),ISNUMBER('SW Rev'!L22)),'SW Rev'!P22-'SW Rev'!L22,""),"")</f>
        <v/>
      </c>
      <c r="M329" s="31">
        <f>IFERROR(IF(AND(ISNUMBER('SW Rev'!Q22),ISNUMBER('SW Rev'!M22)),'SW Rev'!Q22-'SW Rev'!M22,""),"")</f>
        <v/>
      </c>
      <c r="N329" s="31">
        <f>IFERROR(IF(AND(ISNUMBER('SW Rev'!R22),ISNUMBER('SW Rev'!N22)),'SW Rev'!R22-'SW Rev'!N22,""),"")</f>
        <v/>
      </c>
    </row>
    <row r="330">
      <c r="A330" s="19">
        <f>'SW Rev'!$A23</f>
        <v/>
      </c>
      <c r="B330" s="19">
        <f>'SW Rev'!$B23</f>
        <v/>
      </c>
      <c r="C330" s="30">
        <f>IFERROR(IF(AND(ISNUMBER('SW Rev'!G23),ISNUMBER('SW Rev'!C23)),'SW Rev'!G23-'SW Rev'!C23,""),"")</f>
        <v/>
      </c>
      <c r="D330" s="30">
        <f>IFERROR(IF(AND(ISNUMBER('SW Rev'!H23),ISNUMBER('SW Rev'!D23)),'SW Rev'!H23-'SW Rev'!D23,""),"")</f>
        <v/>
      </c>
      <c r="E330" s="30">
        <f>IFERROR(IF(AND(ISNUMBER('SW Rev'!I23),ISNUMBER('SW Rev'!E23)),'SW Rev'!I23-'SW Rev'!E23,""),"")</f>
        <v/>
      </c>
      <c r="F330" s="30">
        <f>IFERROR(IF(AND(ISNUMBER('SW Rev'!J23),ISNUMBER('SW Rev'!F23)),'SW Rev'!J23-'SW Rev'!F23,""),"")</f>
        <v/>
      </c>
      <c r="G330" s="30">
        <f>IFERROR(IF(AND(ISNUMBER('SW Rev'!K23),ISNUMBER('SW Rev'!G23)),'SW Rev'!K23-'SW Rev'!G23,""),"")</f>
        <v/>
      </c>
      <c r="H330" s="30">
        <f>IFERROR(IF(AND(ISNUMBER('SW Rev'!L23),ISNUMBER('SW Rev'!H23)),'SW Rev'!L23-'SW Rev'!H23,""),"")</f>
        <v/>
      </c>
      <c r="I330" s="30">
        <f>IFERROR(IF(AND(ISNUMBER('SW Rev'!M23),ISNUMBER('SW Rev'!I23)),'SW Rev'!M23-'SW Rev'!I23,""),"")</f>
        <v/>
      </c>
      <c r="J330" s="30">
        <f>IFERROR(IF(AND(ISNUMBER('SW Rev'!N23),ISNUMBER('SW Rev'!J23)),'SW Rev'!N23-'SW Rev'!J23,""),"")</f>
        <v/>
      </c>
      <c r="K330" s="30">
        <f>IFERROR(IF(AND(ISNUMBER('SW Rev'!O23),ISNUMBER('SW Rev'!K23)),'SW Rev'!O23-'SW Rev'!K23,""),"")</f>
        <v/>
      </c>
      <c r="L330" s="30">
        <f>IFERROR(IF(AND(ISNUMBER('SW Rev'!P23),ISNUMBER('SW Rev'!L23)),'SW Rev'!P23-'SW Rev'!L23,""),"")</f>
        <v/>
      </c>
      <c r="M330" s="31">
        <f>IFERROR(IF(AND(ISNUMBER('SW Rev'!Q23),ISNUMBER('SW Rev'!M23)),'SW Rev'!Q23-'SW Rev'!M23,""),"")</f>
        <v/>
      </c>
      <c r="N330" s="31">
        <f>IFERROR(IF(AND(ISNUMBER('SW Rev'!R23),ISNUMBER('SW Rev'!N23)),'SW Rev'!R23-'SW Rev'!N23,""),"")</f>
        <v/>
      </c>
    </row>
    <row r="331">
      <c r="A331" s="19">
        <f>'SW Rev'!$A24</f>
        <v/>
      </c>
      <c r="B331" s="19">
        <f>'SW Rev'!$B24</f>
        <v/>
      </c>
      <c r="C331" s="30">
        <f>IFERROR(IF(AND(ISNUMBER('SW Rev'!G24),ISNUMBER('SW Rev'!C24)),'SW Rev'!G24-'SW Rev'!C24,""),"")</f>
        <v/>
      </c>
      <c r="D331" s="30">
        <f>IFERROR(IF(AND(ISNUMBER('SW Rev'!H24),ISNUMBER('SW Rev'!D24)),'SW Rev'!H24-'SW Rev'!D24,""),"")</f>
        <v/>
      </c>
      <c r="E331" s="30">
        <f>IFERROR(IF(AND(ISNUMBER('SW Rev'!I24),ISNUMBER('SW Rev'!E24)),'SW Rev'!I24-'SW Rev'!E24,""),"")</f>
        <v/>
      </c>
      <c r="F331" s="30">
        <f>IFERROR(IF(AND(ISNUMBER('SW Rev'!J24),ISNUMBER('SW Rev'!F24)),'SW Rev'!J24-'SW Rev'!F24,""),"")</f>
        <v/>
      </c>
      <c r="G331" s="30">
        <f>IFERROR(IF(AND(ISNUMBER('SW Rev'!K24),ISNUMBER('SW Rev'!G24)),'SW Rev'!K24-'SW Rev'!G24,""),"")</f>
        <v/>
      </c>
      <c r="H331" s="30">
        <f>IFERROR(IF(AND(ISNUMBER('SW Rev'!L24),ISNUMBER('SW Rev'!H24)),'SW Rev'!L24-'SW Rev'!H24,""),"")</f>
        <v/>
      </c>
      <c r="I331" s="30">
        <f>IFERROR(IF(AND(ISNUMBER('SW Rev'!M24),ISNUMBER('SW Rev'!I24)),'SW Rev'!M24-'SW Rev'!I24,""),"")</f>
        <v/>
      </c>
      <c r="J331" s="30">
        <f>IFERROR(IF(AND(ISNUMBER('SW Rev'!N24),ISNUMBER('SW Rev'!J24)),'SW Rev'!N24-'SW Rev'!J24,""),"")</f>
        <v/>
      </c>
      <c r="K331" s="30">
        <f>IFERROR(IF(AND(ISNUMBER('SW Rev'!O24),ISNUMBER('SW Rev'!K24)),'SW Rev'!O24-'SW Rev'!K24,""),"")</f>
        <v/>
      </c>
      <c r="L331" s="30">
        <f>IFERROR(IF(AND(ISNUMBER('SW Rev'!P24),ISNUMBER('SW Rev'!L24)),'SW Rev'!P24-'SW Rev'!L24,""),"")</f>
        <v/>
      </c>
      <c r="M331" s="31">
        <f>IFERROR(IF(AND(ISNUMBER('SW Rev'!Q24),ISNUMBER('SW Rev'!M24)),'SW Rev'!Q24-'SW Rev'!M24,""),"")</f>
        <v/>
      </c>
      <c r="N331" s="31">
        <f>IFERROR(IF(AND(ISNUMBER('SW Rev'!R24),ISNUMBER('SW Rev'!N24)),'SW Rev'!R24-'SW Rev'!N24,""),"")</f>
        <v/>
      </c>
    </row>
    <row r="332">
      <c r="A332" s="19">
        <f>'SW Rev'!$A25</f>
        <v/>
      </c>
      <c r="B332" s="19">
        <f>'SW Rev'!$B25</f>
        <v/>
      </c>
      <c r="C332" s="30">
        <f>IFERROR(IF(AND(ISNUMBER('SW Rev'!G25),ISNUMBER('SW Rev'!C25)),'SW Rev'!G25-'SW Rev'!C25,""),"")</f>
        <v/>
      </c>
      <c r="D332" s="30">
        <f>IFERROR(IF(AND(ISNUMBER('SW Rev'!H25),ISNUMBER('SW Rev'!D25)),'SW Rev'!H25-'SW Rev'!D25,""),"")</f>
        <v/>
      </c>
      <c r="E332" s="30">
        <f>IFERROR(IF(AND(ISNUMBER('SW Rev'!I25),ISNUMBER('SW Rev'!E25)),'SW Rev'!I25-'SW Rev'!E25,""),"")</f>
        <v/>
      </c>
      <c r="F332" s="30">
        <f>IFERROR(IF(AND(ISNUMBER('SW Rev'!J25),ISNUMBER('SW Rev'!F25)),'SW Rev'!J25-'SW Rev'!F25,""),"")</f>
        <v/>
      </c>
      <c r="G332" s="30">
        <f>IFERROR(IF(AND(ISNUMBER('SW Rev'!K25),ISNUMBER('SW Rev'!G25)),'SW Rev'!K25-'SW Rev'!G25,""),"")</f>
        <v/>
      </c>
      <c r="H332" s="30">
        <f>IFERROR(IF(AND(ISNUMBER('SW Rev'!L25),ISNUMBER('SW Rev'!H25)),'SW Rev'!L25-'SW Rev'!H25,""),"")</f>
        <v/>
      </c>
      <c r="I332" s="30">
        <f>IFERROR(IF(AND(ISNUMBER('SW Rev'!M25),ISNUMBER('SW Rev'!I25)),'SW Rev'!M25-'SW Rev'!I25,""),"")</f>
        <v/>
      </c>
      <c r="J332" s="30">
        <f>IFERROR(IF(AND(ISNUMBER('SW Rev'!N25),ISNUMBER('SW Rev'!J25)),'SW Rev'!N25-'SW Rev'!J25,""),"")</f>
        <v/>
      </c>
      <c r="K332" s="30">
        <f>IFERROR(IF(AND(ISNUMBER('SW Rev'!O25),ISNUMBER('SW Rev'!K25)),'SW Rev'!O25-'SW Rev'!K25,""),"")</f>
        <v/>
      </c>
      <c r="L332" s="30">
        <f>IFERROR(IF(AND(ISNUMBER('SW Rev'!P25),ISNUMBER('SW Rev'!L25)),'SW Rev'!P25-'SW Rev'!L25,""),"")</f>
        <v/>
      </c>
      <c r="M332" s="31">
        <f>IFERROR(IF(AND(ISNUMBER('SW Rev'!Q25),ISNUMBER('SW Rev'!M25)),'SW Rev'!Q25-'SW Rev'!M25,""),"")</f>
        <v/>
      </c>
      <c r="N332" s="31">
        <f>IFERROR(IF(AND(ISNUMBER('SW Rev'!R25),ISNUMBER('SW Rev'!N25)),'SW Rev'!R25-'SW Rev'!N25,""),"")</f>
        <v/>
      </c>
    </row>
    <row r="333">
      <c r="A333" s="19">
        <f>'SW Rev'!$A26</f>
        <v/>
      </c>
      <c r="B333" s="19">
        <f>'SW Rev'!$B26</f>
        <v/>
      </c>
      <c r="C333" s="30">
        <f>IFERROR(IF(AND(ISNUMBER('SW Rev'!G26),ISNUMBER('SW Rev'!C26)),'SW Rev'!G26-'SW Rev'!C26,""),"")</f>
        <v/>
      </c>
      <c r="D333" s="30">
        <f>IFERROR(IF(AND(ISNUMBER('SW Rev'!H26),ISNUMBER('SW Rev'!D26)),'SW Rev'!H26-'SW Rev'!D26,""),"")</f>
        <v/>
      </c>
      <c r="E333" s="30">
        <f>IFERROR(IF(AND(ISNUMBER('SW Rev'!I26),ISNUMBER('SW Rev'!E26)),'SW Rev'!I26-'SW Rev'!E26,""),"")</f>
        <v/>
      </c>
      <c r="F333" s="30">
        <f>IFERROR(IF(AND(ISNUMBER('SW Rev'!J26),ISNUMBER('SW Rev'!F26)),'SW Rev'!J26-'SW Rev'!F26,""),"")</f>
        <v/>
      </c>
      <c r="G333" s="30">
        <f>IFERROR(IF(AND(ISNUMBER('SW Rev'!K26),ISNUMBER('SW Rev'!G26)),'SW Rev'!K26-'SW Rev'!G26,""),"")</f>
        <v/>
      </c>
      <c r="H333" s="30">
        <f>IFERROR(IF(AND(ISNUMBER('SW Rev'!L26),ISNUMBER('SW Rev'!H26)),'SW Rev'!L26-'SW Rev'!H26,""),"")</f>
        <v/>
      </c>
      <c r="I333" s="30">
        <f>IFERROR(IF(AND(ISNUMBER('SW Rev'!M26),ISNUMBER('SW Rev'!I26)),'SW Rev'!M26-'SW Rev'!I26,""),"")</f>
        <v/>
      </c>
      <c r="J333" s="30">
        <f>IFERROR(IF(AND(ISNUMBER('SW Rev'!N26),ISNUMBER('SW Rev'!J26)),'SW Rev'!N26-'SW Rev'!J26,""),"")</f>
        <v/>
      </c>
      <c r="K333" s="30">
        <f>IFERROR(IF(AND(ISNUMBER('SW Rev'!O26),ISNUMBER('SW Rev'!K26)),'SW Rev'!O26-'SW Rev'!K26,""),"")</f>
        <v/>
      </c>
      <c r="L333" s="30">
        <f>IFERROR(IF(AND(ISNUMBER('SW Rev'!P26),ISNUMBER('SW Rev'!L26)),'SW Rev'!P26-'SW Rev'!L26,""),"")</f>
        <v/>
      </c>
      <c r="M333" s="31">
        <f>IFERROR(IF(AND(ISNUMBER('SW Rev'!Q26),ISNUMBER('SW Rev'!M26)),'SW Rev'!Q26-'SW Rev'!M26,""),"")</f>
        <v/>
      </c>
      <c r="N333" s="31">
        <f>IFERROR(IF(AND(ISNUMBER('SW Rev'!R26),ISNUMBER('SW Rev'!N26)),'SW Rev'!R26-'SW Rev'!N26,""),"")</f>
        <v/>
      </c>
    </row>
    <row r="334">
      <c r="A334" s="19">
        <f>'SW Rev'!$A27</f>
        <v/>
      </c>
      <c r="B334" s="19">
        <f>'SW Rev'!$B27</f>
        <v/>
      </c>
      <c r="C334" s="30">
        <f>IFERROR(IF(AND(ISNUMBER('SW Rev'!G27),ISNUMBER('SW Rev'!C27)),'SW Rev'!G27-'SW Rev'!C27,""),"")</f>
        <v/>
      </c>
      <c r="D334" s="30">
        <f>IFERROR(IF(AND(ISNUMBER('SW Rev'!H27),ISNUMBER('SW Rev'!D27)),'SW Rev'!H27-'SW Rev'!D27,""),"")</f>
        <v/>
      </c>
      <c r="E334" s="30">
        <f>IFERROR(IF(AND(ISNUMBER('SW Rev'!I27),ISNUMBER('SW Rev'!E27)),'SW Rev'!I27-'SW Rev'!E27,""),"")</f>
        <v/>
      </c>
      <c r="F334" s="30">
        <f>IFERROR(IF(AND(ISNUMBER('SW Rev'!J27),ISNUMBER('SW Rev'!F27)),'SW Rev'!J27-'SW Rev'!F27,""),"")</f>
        <v/>
      </c>
      <c r="G334" s="30">
        <f>IFERROR(IF(AND(ISNUMBER('SW Rev'!K27),ISNUMBER('SW Rev'!G27)),'SW Rev'!K27-'SW Rev'!G27,""),"")</f>
        <v/>
      </c>
      <c r="H334" s="30">
        <f>IFERROR(IF(AND(ISNUMBER('SW Rev'!L27),ISNUMBER('SW Rev'!H27)),'SW Rev'!L27-'SW Rev'!H27,""),"")</f>
        <v/>
      </c>
      <c r="I334" s="30">
        <f>IFERROR(IF(AND(ISNUMBER('SW Rev'!M27),ISNUMBER('SW Rev'!I27)),'SW Rev'!M27-'SW Rev'!I27,""),"")</f>
        <v/>
      </c>
      <c r="J334" s="30">
        <f>IFERROR(IF(AND(ISNUMBER('SW Rev'!N27),ISNUMBER('SW Rev'!J27)),'SW Rev'!N27-'SW Rev'!J27,""),"")</f>
        <v/>
      </c>
      <c r="K334" s="30">
        <f>IFERROR(IF(AND(ISNUMBER('SW Rev'!O27),ISNUMBER('SW Rev'!K27)),'SW Rev'!O27-'SW Rev'!K27,""),"")</f>
        <v/>
      </c>
      <c r="L334" s="30">
        <f>IFERROR(IF(AND(ISNUMBER('SW Rev'!P27),ISNUMBER('SW Rev'!L27)),'SW Rev'!P27-'SW Rev'!L27,""),"")</f>
        <v/>
      </c>
      <c r="M334" s="31">
        <f>IFERROR(IF(AND(ISNUMBER('SW Rev'!Q27),ISNUMBER('SW Rev'!M27)),'SW Rev'!Q27-'SW Rev'!M27,""),"")</f>
        <v/>
      </c>
      <c r="N334" s="31">
        <f>IFERROR(IF(AND(ISNUMBER('SW Rev'!R27),ISNUMBER('SW Rev'!N27)),'SW Rev'!R27-'SW Rev'!N27,""),"")</f>
        <v/>
      </c>
    </row>
    <row r="335">
      <c r="A335" s="19">
        <f>'SW Rev'!$A28</f>
        <v/>
      </c>
      <c r="B335" s="19">
        <f>'SW Rev'!$B28</f>
        <v/>
      </c>
      <c r="C335" s="30">
        <f>IFERROR(IF(AND(ISNUMBER('SW Rev'!G28),ISNUMBER('SW Rev'!C28)),'SW Rev'!G28-'SW Rev'!C28,""),"")</f>
        <v/>
      </c>
      <c r="D335" s="30">
        <f>IFERROR(IF(AND(ISNUMBER('SW Rev'!H28),ISNUMBER('SW Rev'!D28)),'SW Rev'!H28-'SW Rev'!D28,""),"")</f>
        <v/>
      </c>
      <c r="E335" s="30">
        <f>IFERROR(IF(AND(ISNUMBER('SW Rev'!I28),ISNUMBER('SW Rev'!E28)),'SW Rev'!I28-'SW Rev'!E28,""),"")</f>
        <v/>
      </c>
      <c r="F335" s="30">
        <f>IFERROR(IF(AND(ISNUMBER('SW Rev'!J28),ISNUMBER('SW Rev'!F28)),'SW Rev'!J28-'SW Rev'!F28,""),"")</f>
        <v/>
      </c>
      <c r="G335" s="30">
        <f>IFERROR(IF(AND(ISNUMBER('SW Rev'!K28),ISNUMBER('SW Rev'!G28)),'SW Rev'!K28-'SW Rev'!G28,""),"")</f>
        <v/>
      </c>
      <c r="H335" s="30">
        <f>IFERROR(IF(AND(ISNUMBER('SW Rev'!L28),ISNUMBER('SW Rev'!H28)),'SW Rev'!L28-'SW Rev'!H28,""),"")</f>
        <v/>
      </c>
      <c r="I335" s="30">
        <f>IFERROR(IF(AND(ISNUMBER('SW Rev'!M28),ISNUMBER('SW Rev'!I28)),'SW Rev'!M28-'SW Rev'!I28,""),"")</f>
        <v/>
      </c>
      <c r="J335" s="30">
        <f>IFERROR(IF(AND(ISNUMBER('SW Rev'!N28),ISNUMBER('SW Rev'!J28)),'SW Rev'!N28-'SW Rev'!J28,""),"")</f>
        <v/>
      </c>
      <c r="K335" s="30">
        <f>IFERROR(IF(AND(ISNUMBER('SW Rev'!O28),ISNUMBER('SW Rev'!K28)),'SW Rev'!O28-'SW Rev'!K28,""),"")</f>
        <v/>
      </c>
      <c r="L335" s="30">
        <f>IFERROR(IF(AND(ISNUMBER('SW Rev'!P28),ISNUMBER('SW Rev'!L28)),'SW Rev'!P28-'SW Rev'!L28,""),"")</f>
        <v/>
      </c>
      <c r="M335" s="31">
        <f>IFERROR(IF(AND(ISNUMBER('SW Rev'!Q28),ISNUMBER('SW Rev'!M28)),'SW Rev'!Q28-'SW Rev'!M28,""),"")</f>
        <v/>
      </c>
      <c r="N335" s="31">
        <f>IFERROR(IF(AND(ISNUMBER('SW Rev'!R28),ISNUMBER('SW Rev'!N28)),'SW Rev'!R28-'SW Rev'!N28,""),"")</f>
        <v/>
      </c>
    </row>
    <row r="336">
      <c r="A336" s="19">
        <f>'SW Rev'!$A29</f>
        <v/>
      </c>
      <c r="B336" s="19">
        <f>'SW Rev'!$B29</f>
        <v/>
      </c>
      <c r="C336" s="30">
        <f>IFERROR(IF(AND(ISNUMBER('SW Rev'!G29),ISNUMBER('SW Rev'!C29)),'SW Rev'!G29-'SW Rev'!C29,""),"")</f>
        <v/>
      </c>
      <c r="D336" s="30">
        <f>IFERROR(IF(AND(ISNUMBER('SW Rev'!H29),ISNUMBER('SW Rev'!D29)),'SW Rev'!H29-'SW Rev'!D29,""),"")</f>
        <v/>
      </c>
      <c r="E336" s="30">
        <f>IFERROR(IF(AND(ISNUMBER('SW Rev'!I29),ISNUMBER('SW Rev'!E29)),'SW Rev'!I29-'SW Rev'!E29,""),"")</f>
        <v/>
      </c>
      <c r="F336" s="30">
        <f>IFERROR(IF(AND(ISNUMBER('SW Rev'!J29),ISNUMBER('SW Rev'!F29)),'SW Rev'!J29-'SW Rev'!F29,""),"")</f>
        <v/>
      </c>
      <c r="G336" s="30">
        <f>IFERROR(IF(AND(ISNUMBER('SW Rev'!K29),ISNUMBER('SW Rev'!G29)),'SW Rev'!K29-'SW Rev'!G29,""),"")</f>
        <v/>
      </c>
      <c r="H336" s="30">
        <f>IFERROR(IF(AND(ISNUMBER('SW Rev'!L29),ISNUMBER('SW Rev'!H29)),'SW Rev'!L29-'SW Rev'!H29,""),"")</f>
        <v/>
      </c>
      <c r="I336" s="30">
        <f>IFERROR(IF(AND(ISNUMBER('SW Rev'!M29),ISNUMBER('SW Rev'!I29)),'SW Rev'!M29-'SW Rev'!I29,""),"")</f>
        <v/>
      </c>
      <c r="J336" s="30">
        <f>IFERROR(IF(AND(ISNUMBER('SW Rev'!N29),ISNUMBER('SW Rev'!J29)),'SW Rev'!N29-'SW Rev'!J29,""),"")</f>
        <v/>
      </c>
      <c r="K336" s="30">
        <f>IFERROR(IF(AND(ISNUMBER('SW Rev'!O29),ISNUMBER('SW Rev'!K29)),'SW Rev'!O29-'SW Rev'!K29,""),"")</f>
        <v/>
      </c>
      <c r="L336" s="30">
        <f>IFERROR(IF(AND(ISNUMBER('SW Rev'!P29),ISNUMBER('SW Rev'!L29)),'SW Rev'!P29-'SW Rev'!L29,""),"")</f>
        <v/>
      </c>
      <c r="M336" s="31">
        <f>IFERROR(IF(AND(ISNUMBER('SW Rev'!Q29),ISNUMBER('SW Rev'!M29)),'SW Rev'!Q29-'SW Rev'!M29,""),"")</f>
        <v/>
      </c>
      <c r="N336" s="31">
        <f>IFERROR(IF(AND(ISNUMBER('SW Rev'!R29),ISNUMBER('SW Rev'!N29)),'SW Rev'!R29-'SW Rev'!N29,""),"")</f>
        <v/>
      </c>
    </row>
    <row r="337">
      <c r="A337" s="19">
        <f>'SW Rev'!$A30</f>
        <v/>
      </c>
      <c r="B337" s="19">
        <f>'SW Rev'!$B30</f>
        <v/>
      </c>
      <c r="C337" s="30">
        <f>IFERROR(IF(AND(ISNUMBER('SW Rev'!G30),ISNUMBER('SW Rev'!C30)),'SW Rev'!G30-'SW Rev'!C30,""),"")</f>
        <v/>
      </c>
      <c r="D337" s="30">
        <f>IFERROR(IF(AND(ISNUMBER('SW Rev'!H30),ISNUMBER('SW Rev'!D30)),'SW Rev'!H30-'SW Rev'!D30,""),"")</f>
        <v/>
      </c>
      <c r="E337" s="30">
        <f>IFERROR(IF(AND(ISNUMBER('SW Rev'!I30),ISNUMBER('SW Rev'!E30)),'SW Rev'!I30-'SW Rev'!E30,""),"")</f>
        <v/>
      </c>
      <c r="F337" s="30">
        <f>IFERROR(IF(AND(ISNUMBER('SW Rev'!J30),ISNUMBER('SW Rev'!F30)),'SW Rev'!J30-'SW Rev'!F30,""),"")</f>
        <v/>
      </c>
      <c r="G337" s="30">
        <f>IFERROR(IF(AND(ISNUMBER('SW Rev'!K30),ISNUMBER('SW Rev'!G30)),'SW Rev'!K30-'SW Rev'!G30,""),"")</f>
        <v/>
      </c>
      <c r="H337" s="30">
        <f>IFERROR(IF(AND(ISNUMBER('SW Rev'!L30),ISNUMBER('SW Rev'!H30)),'SW Rev'!L30-'SW Rev'!H30,""),"")</f>
        <v/>
      </c>
      <c r="I337" s="30">
        <f>IFERROR(IF(AND(ISNUMBER('SW Rev'!M30),ISNUMBER('SW Rev'!I30)),'SW Rev'!M30-'SW Rev'!I30,""),"")</f>
        <v/>
      </c>
      <c r="J337" s="30">
        <f>IFERROR(IF(AND(ISNUMBER('SW Rev'!N30),ISNUMBER('SW Rev'!J30)),'SW Rev'!N30-'SW Rev'!J30,""),"")</f>
        <v/>
      </c>
      <c r="K337" s="30">
        <f>IFERROR(IF(AND(ISNUMBER('SW Rev'!O30),ISNUMBER('SW Rev'!K30)),'SW Rev'!O30-'SW Rev'!K30,""),"")</f>
        <v/>
      </c>
      <c r="L337" s="30">
        <f>IFERROR(IF(AND(ISNUMBER('SW Rev'!P30),ISNUMBER('SW Rev'!L30)),'SW Rev'!P30-'SW Rev'!L30,""),"")</f>
        <v/>
      </c>
      <c r="M337" s="31">
        <f>IFERROR(IF(AND(ISNUMBER('SW Rev'!Q30),ISNUMBER('SW Rev'!M30)),'SW Rev'!Q30-'SW Rev'!M30,""),"")</f>
        <v/>
      </c>
      <c r="N337" s="31">
        <f>IFERROR(IF(AND(ISNUMBER('SW Rev'!R30),ISNUMBER('SW Rev'!N30)),'SW Rev'!R30-'SW Rev'!N30,""),"")</f>
        <v/>
      </c>
    </row>
    <row r="338">
      <c r="A338" s="19">
        <f>'SW Rev'!$A31</f>
        <v/>
      </c>
      <c r="B338" s="19">
        <f>'SW Rev'!$B31</f>
        <v/>
      </c>
      <c r="C338" s="30">
        <f>IFERROR(IF(AND(ISNUMBER('SW Rev'!G31),ISNUMBER('SW Rev'!C31)),'SW Rev'!G31-'SW Rev'!C31,""),"")</f>
        <v/>
      </c>
      <c r="D338" s="30">
        <f>IFERROR(IF(AND(ISNUMBER('SW Rev'!H31),ISNUMBER('SW Rev'!D31)),'SW Rev'!H31-'SW Rev'!D31,""),"")</f>
        <v/>
      </c>
      <c r="E338" s="30">
        <f>IFERROR(IF(AND(ISNUMBER('SW Rev'!I31),ISNUMBER('SW Rev'!E31)),'SW Rev'!I31-'SW Rev'!E31,""),"")</f>
        <v/>
      </c>
      <c r="F338" s="30">
        <f>IFERROR(IF(AND(ISNUMBER('SW Rev'!J31),ISNUMBER('SW Rev'!F31)),'SW Rev'!J31-'SW Rev'!F31,""),"")</f>
        <v/>
      </c>
      <c r="G338" s="30">
        <f>IFERROR(IF(AND(ISNUMBER('SW Rev'!K31),ISNUMBER('SW Rev'!G31)),'SW Rev'!K31-'SW Rev'!G31,""),"")</f>
        <v/>
      </c>
      <c r="H338" s="30">
        <f>IFERROR(IF(AND(ISNUMBER('SW Rev'!L31),ISNUMBER('SW Rev'!H31)),'SW Rev'!L31-'SW Rev'!H31,""),"")</f>
        <v/>
      </c>
      <c r="I338" s="30">
        <f>IFERROR(IF(AND(ISNUMBER('SW Rev'!M31),ISNUMBER('SW Rev'!I31)),'SW Rev'!M31-'SW Rev'!I31,""),"")</f>
        <v/>
      </c>
      <c r="J338" s="30">
        <f>IFERROR(IF(AND(ISNUMBER('SW Rev'!N31),ISNUMBER('SW Rev'!J31)),'SW Rev'!N31-'SW Rev'!J31,""),"")</f>
        <v/>
      </c>
      <c r="K338" s="30">
        <f>IFERROR(IF(AND(ISNUMBER('SW Rev'!O31),ISNUMBER('SW Rev'!K31)),'SW Rev'!O31-'SW Rev'!K31,""),"")</f>
        <v/>
      </c>
      <c r="L338" s="30">
        <f>IFERROR(IF(AND(ISNUMBER('SW Rev'!P31),ISNUMBER('SW Rev'!L31)),'SW Rev'!P31-'SW Rev'!L31,""),"")</f>
        <v/>
      </c>
      <c r="M338" s="31">
        <f>IFERROR(IF(AND(ISNUMBER('SW Rev'!Q31),ISNUMBER('SW Rev'!M31)),'SW Rev'!Q31-'SW Rev'!M31,""),"")</f>
        <v/>
      </c>
      <c r="N338" s="31">
        <f>IFERROR(IF(AND(ISNUMBER('SW Rev'!R31),ISNUMBER('SW Rev'!N31)),'SW Rev'!R31-'SW Rev'!N31,""),"")</f>
        <v/>
      </c>
    </row>
    <row r="339">
      <c r="A339" s="19">
        <f>'SW Rev'!$A32</f>
        <v/>
      </c>
      <c r="B339" s="19">
        <f>'SW Rev'!$B32</f>
        <v/>
      </c>
      <c r="C339" s="30">
        <f>IFERROR(IF(AND(ISNUMBER('SW Rev'!G32),ISNUMBER('SW Rev'!C32)),'SW Rev'!G32-'SW Rev'!C32,""),"")</f>
        <v/>
      </c>
      <c r="D339" s="30">
        <f>IFERROR(IF(AND(ISNUMBER('SW Rev'!H32),ISNUMBER('SW Rev'!D32)),'SW Rev'!H32-'SW Rev'!D32,""),"")</f>
        <v/>
      </c>
      <c r="E339" s="30">
        <f>IFERROR(IF(AND(ISNUMBER('SW Rev'!I32),ISNUMBER('SW Rev'!E32)),'SW Rev'!I32-'SW Rev'!E32,""),"")</f>
        <v/>
      </c>
      <c r="F339" s="30">
        <f>IFERROR(IF(AND(ISNUMBER('SW Rev'!J32),ISNUMBER('SW Rev'!F32)),'SW Rev'!J32-'SW Rev'!F32,""),"")</f>
        <v/>
      </c>
      <c r="G339" s="30">
        <f>IFERROR(IF(AND(ISNUMBER('SW Rev'!K32),ISNUMBER('SW Rev'!G32)),'SW Rev'!K32-'SW Rev'!G32,""),"")</f>
        <v/>
      </c>
      <c r="H339" s="30">
        <f>IFERROR(IF(AND(ISNUMBER('SW Rev'!L32),ISNUMBER('SW Rev'!H32)),'SW Rev'!L32-'SW Rev'!H32,""),"")</f>
        <v/>
      </c>
      <c r="I339" s="30">
        <f>IFERROR(IF(AND(ISNUMBER('SW Rev'!M32),ISNUMBER('SW Rev'!I32)),'SW Rev'!M32-'SW Rev'!I32,""),"")</f>
        <v/>
      </c>
      <c r="J339" s="30">
        <f>IFERROR(IF(AND(ISNUMBER('SW Rev'!N32),ISNUMBER('SW Rev'!J32)),'SW Rev'!N32-'SW Rev'!J32,""),"")</f>
        <v/>
      </c>
      <c r="K339" s="30">
        <f>IFERROR(IF(AND(ISNUMBER('SW Rev'!O32),ISNUMBER('SW Rev'!K32)),'SW Rev'!O32-'SW Rev'!K32,""),"")</f>
        <v/>
      </c>
      <c r="L339" s="30">
        <f>IFERROR(IF(AND(ISNUMBER('SW Rev'!P32),ISNUMBER('SW Rev'!L32)),'SW Rev'!P32-'SW Rev'!L32,""),"")</f>
        <v/>
      </c>
      <c r="M339" s="31">
        <f>IFERROR(IF(AND(ISNUMBER('SW Rev'!Q32),ISNUMBER('SW Rev'!M32)),'SW Rev'!Q32-'SW Rev'!M32,""),"")</f>
        <v/>
      </c>
      <c r="N339" s="31">
        <f>IFERROR(IF(AND(ISNUMBER('SW Rev'!R32),ISNUMBER('SW Rev'!N32)),'SW Rev'!R32-'SW Rev'!N32,""),"")</f>
        <v/>
      </c>
    </row>
    <row r="340">
      <c r="A340" s="19">
        <f>'SW Rev'!$A33</f>
        <v/>
      </c>
      <c r="B340" s="19">
        <f>'SW Rev'!$B33</f>
        <v/>
      </c>
      <c r="C340" s="30">
        <f>IFERROR(IF(AND(ISNUMBER('SW Rev'!G33),ISNUMBER('SW Rev'!C33)),'SW Rev'!G33-'SW Rev'!C33,""),"")</f>
        <v/>
      </c>
      <c r="D340" s="30">
        <f>IFERROR(IF(AND(ISNUMBER('SW Rev'!H33),ISNUMBER('SW Rev'!D33)),'SW Rev'!H33-'SW Rev'!D33,""),"")</f>
        <v/>
      </c>
      <c r="E340" s="30">
        <f>IFERROR(IF(AND(ISNUMBER('SW Rev'!I33),ISNUMBER('SW Rev'!E33)),'SW Rev'!I33-'SW Rev'!E33,""),"")</f>
        <v/>
      </c>
      <c r="F340" s="30">
        <f>IFERROR(IF(AND(ISNUMBER('SW Rev'!J33),ISNUMBER('SW Rev'!F33)),'SW Rev'!J33-'SW Rev'!F33,""),"")</f>
        <v/>
      </c>
      <c r="G340" s="30">
        <f>IFERROR(IF(AND(ISNUMBER('SW Rev'!K33),ISNUMBER('SW Rev'!G33)),'SW Rev'!K33-'SW Rev'!G33,""),"")</f>
        <v/>
      </c>
      <c r="H340" s="30">
        <f>IFERROR(IF(AND(ISNUMBER('SW Rev'!L33),ISNUMBER('SW Rev'!H33)),'SW Rev'!L33-'SW Rev'!H33,""),"")</f>
        <v/>
      </c>
      <c r="I340" s="30">
        <f>IFERROR(IF(AND(ISNUMBER('SW Rev'!M33),ISNUMBER('SW Rev'!I33)),'SW Rev'!M33-'SW Rev'!I33,""),"")</f>
        <v/>
      </c>
      <c r="J340" s="30">
        <f>IFERROR(IF(AND(ISNUMBER('SW Rev'!N33),ISNUMBER('SW Rev'!J33)),'SW Rev'!N33-'SW Rev'!J33,""),"")</f>
        <v/>
      </c>
      <c r="K340" s="30">
        <f>IFERROR(IF(AND(ISNUMBER('SW Rev'!O33),ISNUMBER('SW Rev'!K33)),'SW Rev'!O33-'SW Rev'!K33,""),"")</f>
        <v/>
      </c>
      <c r="L340" s="30">
        <f>IFERROR(IF(AND(ISNUMBER('SW Rev'!P33),ISNUMBER('SW Rev'!L33)),'SW Rev'!P33-'SW Rev'!L33,""),"")</f>
        <v/>
      </c>
      <c r="M340" s="31">
        <f>IFERROR(IF(AND(ISNUMBER('SW Rev'!Q33),ISNUMBER('SW Rev'!M33)),'SW Rev'!Q33-'SW Rev'!M33,""),"")</f>
        <v/>
      </c>
      <c r="N340" s="31">
        <f>IFERROR(IF(AND(ISNUMBER('SW Rev'!R33),ISNUMBER('SW Rev'!N33)),'SW Rev'!R33-'SW Rev'!N33,""),"")</f>
        <v/>
      </c>
    </row>
    <row r="341">
      <c r="A341" s="19">
        <f>'SW Rev'!$A34</f>
        <v/>
      </c>
      <c r="B341" s="19">
        <f>'SW Rev'!$B34</f>
        <v/>
      </c>
      <c r="C341" s="30">
        <f>IFERROR(IF(AND(ISNUMBER('SW Rev'!G34),ISNUMBER('SW Rev'!C34)),'SW Rev'!G34-'SW Rev'!C34,""),"")</f>
        <v/>
      </c>
      <c r="D341" s="30">
        <f>IFERROR(IF(AND(ISNUMBER('SW Rev'!H34),ISNUMBER('SW Rev'!D34)),'SW Rev'!H34-'SW Rev'!D34,""),"")</f>
        <v/>
      </c>
      <c r="E341" s="30">
        <f>IFERROR(IF(AND(ISNUMBER('SW Rev'!I34),ISNUMBER('SW Rev'!E34)),'SW Rev'!I34-'SW Rev'!E34,""),"")</f>
        <v/>
      </c>
      <c r="F341" s="30">
        <f>IFERROR(IF(AND(ISNUMBER('SW Rev'!J34),ISNUMBER('SW Rev'!F34)),'SW Rev'!J34-'SW Rev'!F34,""),"")</f>
        <v/>
      </c>
      <c r="G341" s="30">
        <f>IFERROR(IF(AND(ISNUMBER('SW Rev'!K34),ISNUMBER('SW Rev'!G34)),'SW Rev'!K34-'SW Rev'!G34,""),"")</f>
        <v/>
      </c>
      <c r="H341" s="30">
        <f>IFERROR(IF(AND(ISNUMBER('SW Rev'!L34),ISNUMBER('SW Rev'!H34)),'SW Rev'!L34-'SW Rev'!H34,""),"")</f>
        <v/>
      </c>
      <c r="I341" s="30">
        <f>IFERROR(IF(AND(ISNUMBER('SW Rev'!M34),ISNUMBER('SW Rev'!I34)),'SW Rev'!M34-'SW Rev'!I34,""),"")</f>
        <v/>
      </c>
      <c r="J341" s="30">
        <f>IFERROR(IF(AND(ISNUMBER('SW Rev'!N34),ISNUMBER('SW Rev'!J34)),'SW Rev'!N34-'SW Rev'!J34,""),"")</f>
        <v/>
      </c>
      <c r="K341" s="30">
        <f>IFERROR(IF(AND(ISNUMBER('SW Rev'!O34),ISNUMBER('SW Rev'!K34)),'SW Rev'!O34-'SW Rev'!K34,""),"")</f>
        <v/>
      </c>
      <c r="L341" s="30">
        <f>IFERROR(IF(AND(ISNUMBER('SW Rev'!P34),ISNUMBER('SW Rev'!L34)),'SW Rev'!P34-'SW Rev'!L34,""),"")</f>
        <v/>
      </c>
      <c r="M341" s="31">
        <f>IFERROR(IF(AND(ISNUMBER('SW Rev'!Q34),ISNUMBER('SW Rev'!M34)),'SW Rev'!Q34-'SW Rev'!M34,""),"")</f>
        <v/>
      </c>
      <c r="N341" s="31">
        <f>IFERROR(IF(AND(ISNUMBER('SW Rev'!R34),ISNUMBER('SW Rev'!N34)),'SW Rev'!R34-'SW Rev'!N34,""),"")</f>
        <v/>
      </c>
    </row>
    <row r="342">
      <c r="A342" s="19">
        <f>'SW Rev'!$A35</f>
        <v/>
      </c>
      <c r="B342" s="19">
        <f>'SW Rev'!$B35</f>
        <v/>
      </c>
      <c r="C342" s="30">
        <f>IFERROR(IF(AND(ISNUMBER('SW Rev'!G35),ISNUMBER('SW Rev'!C35)),'SW Rev'!G35-'SW Rev'!C35,""),"")</f>
        <v/>
      </c>
      <c r="D342" s="30">
        <f>IFERROR(IF(AND(ISNUMBER('SW Rev'!H35),ISNUMBER('SW Rev'!D35)),'SW Rev'!H35-'SW Rev'!D35,""),"")</f>
        <v/>
      </c>
      <c r="E342" s="30">
        <f>IFERROR(IF(AND(ISNUMBER('SW Rev'!I35),ISNUMBER('SW Rev'!E35)),'SW Rev'!I35-'SW Rev'!E35,""),"")</f>
        <v/>
      </c>
      <c r="F342" s="30">
        <f>IFERROR(IF(AND(ISNUMBER('SW Rev'!J35),ISNUMBER('SW Rev'!F35)),'SW Rev'!J35-'SW Rev'!F35,""),"")</f>
        <v/>
      </c>
      <c r="G342" s="30">
        <f>IFERROR(IF(AND(ISNUMBER('SW Rev'!K35),ISNUMBER('SW Rev'!G35)),'SW Rev'!K35-'SW Rev'!G35,""),"")</f>
        <v/>
      </c>
      <c r="H342" s="30">
        <f>IFERROR(IF(AND(ISNUMBER('SW Rev'!L35),ISNUMBER('SW Rev'!H35)),'SW Rev'!L35-'SW Rev'!H35,""),"")</f>
        <v/>
      </c>
      <c r="I342" s="30">
        <f>IFERROR(IF(AND(ISNUMBER('SW Rev'!M35),ISNUMBER('SW Rev'!I35)),'SW Rev'!M35-'SW Rev'!I35,""),"")</f>
        <v/>
      </c>
      <c r="J342" s="30">
        <f>IFERROR(IF(AND(ISNUMBER('SW Rev'!N35),ISNUMBER('SW Rev'!J35)),'SW Rev'!N35-'SW Rev'!J35,""),"")</f>
        <v/>
      </c>
      <c r="K342" s="30">
        <f>IFERROR(IF(AND(ISNUMBER('SW Rev'!O35),ISNUMBER('SW Rev'!K35)),'SW Rev'!O35-'SW Rev'!K35,""),"")</f>
        <v/>
      </c>
      <c r="L342" s="30">
        <f>IFERROR(IF(AND(ISNUMBER('SW Rev'!P35),ISNUMBER('SW Rev'!L35)),'SW Rev'!P35-'SW Rev'!L35,""),"")</f>
        <v/>
      </c>
      <c r="M342" s="31">
        <f>IFERROR(IF(AND(ISNUMBER('SW Rev'!Q35),ISNUMBER('SW Rev'!M35)),'SW Rev'!Q35-'SW Rev'!M35,""),"")</f>
        <v/>
      </c>
      <c r="N342" s="31">
        <f>IFERROR(IF(AND(ISNUMBER('SW Rev'!R35),ISNUMBER('SW Rev'!N35)),'SW Rev'!R35-'SW Rev'!N35,""),"")</f>
        <v/>
      </c>
    </row>
    <row r="343">
      <c r="A343" s="19">
        <f>'SW Rev'!$A36</f>
        <v/>
      </c>
      <c r="B343" s="19">
        <f>'SW Rev'!$B36</f>
        <v/>
      </c>
      <c r="C343" s="30">
        <f>IFERROR(IF(AND(ISNUMBER('SW Rev'!G36),ISNUMBER('SW Rev'!C36)),'SW Rev'!G36-'SW Rev'!C36,""),"")</f>
        <v/>
      </c>
      <c r="D343" s="30">
        <f>IFERROR(IF(AND(ISNUMBER('SW Rev'!H36),ISNUMBER('SW Rev'!D36)),'SW Rev'!H36-'SW Rev'!D36,""),"")</f>
        <v/>
      </c>
      <c r="E343" s="30">
        <f>IFERROR(IF(AND(ISNUMBER('SW Rev'!I36),ISNUMBER('SW Rev'!E36)),'SW Rev'!I36-'SW Rev'!E36,""),"")</f>
        <v/>
      </c>
      <c r="F343" s="30">
        <f>IFERROR(IF(AND(ISNUMBER('SW Rev'!J36),ISNUMBER('SW Rev'!F36)),'SW Rev'!J36-'SW Rev'!F36,""),"")</f>
        <v/>
      </c>
      <c r="G343" s="30">
        <f>IFERROR(IF(AND(ISNUMBER('SW Rev'!K36),ISNUMBER('SW Rev'!G36)),'SW Rev'!K36-'SW Rev'!G36,""),"")</f>
        <v/>
      </c>
      <c r="H343" s="30">
        <f>IFERROR(IF(AND(ISNUMBER('SW Rev'!L36),ISNUMBER('SW Rev'!H36)),'SW Rev'!L36-'SW Rev'!H36,""),"")</f>
        <v/>
      </c>
      <c r="I343" s="30">
        <f>IFERROR(IF(AND(ISNUMBER('SW Rev'!M36),ISNUMBER('SW Rev'!I36)),'SW Rev'!M36-'SW Rev'!I36,""),"")</f>
        <v/>
      </c>
      <c r="J343" s="30">
        <f>IFERROR(IF(AND(ISNUMBER('SW Rev'!N36),ISNUMBER('SW Rev'!J36)),'SW Rev'!N36-'SW Rev'!J36,""),"")</f>
        <v/>
      </c>
      <c r="K343" s="30">
        <f>IFERROR(IF(AND(ISNUMBER('SW Rev'!O36),ISNUMBER('SW Rev'!K36)),'SW Rev'!O36-'SW Rev'!K36,""),"")</f>
        <v/>
      </c>
      <c r="L343" s="30">
        <f>IFERROR(IF(AND(ISNUMBER('SW Rev'!P36),ISNUMBER('SW Rev'!L36)),'SW Rev'!P36-'SW Rev'!L36,""),"")</f>
        <v/>
      </c>
      <c r="M343" s="31">
        <f>IFERROR(IF(AND(ISNUMBER('SW Rev'!Q36),ISNUMBER('SW Rev'!M36)),'SW Rev'!Q36-'SW Rev'!M36,""),"")</f>
        <v/>
      </c>
      <c r="N343" s="31">
        <f>IFERROR(IF(AND(ISNUMBER('SW Rev'!R36),ISNUMBER('SW Rev'!N36)),'SW Rev'!R36-'SW Rev'!N36,""),"")</f>
        <v/>
      </c>
    </row>
    <row r="344">
      <c r="A344" s="19">
        <f>'SW Rev'!$A37</f>
        <v/>
      </c>
      <c r="B344" s="19">
        <f>'SW Rev'!$B37</f>
        <v/>
      </c>
      <c r="C344" s="30">
        <f>IFERROR(IF(AND(ISNUMBER('SW Rev'!G37),ISNUMBER('SW Rev'!C37)),'SW Rev'!G37-'SW Rev'!C37,""),"")</f>
        <v/>
      </c>
      <c r="D344" s="30">
        <f>IFERROR(IF(AND(ISNUMBER('SW Rev'!H37),ISNUMBER('SW Rev'!D37)),'SW Rev'!H37-'SW Rev'!D37,""),"")</f>
        <v/>
      </c>
      <c r="E344" s="30">
        <f>IFERROR(IF(AND(ISNUMBER('SW Rev'!I37),ISNUMBER('SW Rev'!E37)),'SW Rev'!I37-'SW Rev'!E37,""),"")</f>
        <v/>
      </c>
      <c r="F344" s="30">
        <f>IFERROR(IF(AND(ISNUMBER('SW Rev'!J37),ISNUMBER('SW Rev'!F37)),'SW Rev'!J37-'SW Rev'!F37,""),"")</f>
        <v/>
      </c>
      <c r="G344" s="30">
        <f>IFERROR(IF(AND(ISNUMBER('SW Rev'!K37),ISNUMBER('SW Rev'!G37)),'SW Rev'!K37-'SW Rev'!G37,""),"")</f>
        <v/>
      </c>
      <c r="H344" s="30">
        <f>IFERROR(IF(AND(ISNUMBER('SW Rev'!L37),ISNUMBER('SW Rev'!H37)),'SW Rev'!L37-'SW Rev'!H37,""),"")</f>
        <v/>
      </c>
      <c r="I344" s="30">
        <f>IFERROR(IF(AND(ISNUMBER('SW Rev'!M37),ISNUMBER('SW Rev'!I37)),'SW Rev'!M37-'SW Rev'!I37,""),"")</f>
        <v/>
      </c>
      <c r="J344" s="30">
        <f>IFERROR(IF(AND(ISNUMBER('SW Rev'!N37),ISNUMBER('SW Rev'!J37)),'SW Rev'!N37-'SW Rev'!J37,""),"")</f>
        <v/>
      </c>
      <c r="K344" s="30">
        <f>IFERROR(IF(AND(ISNUMBER('SW Rev'!O37),ISNUMBER('SW Rev'!K37)),'SW Rev'!O37-'SW Rev'!K37,""),"")</f>
        <v/>
      </c>
      <c r="L344" s="30">
        <f>IFERROR(IF(AND(ISNUMBER('SW Rev'!P37),ISNUMBER('SW Rev'!L37)),'SW Rev'!P37-'SW Rev'!L37,""),"")</f>
        <v/>
      </c>
      <c r="M344" s="31">
        <f>IFERROR(IF(AND(ISNUMBER('SW Rev'!Q37),ISNUMBER('SW Rev'!M37)),'SW Rev'!Q37-'SW Rev'!M37,""),"")</f>
        <v/>
      </c>
      <c r="N344" s="31">
        <f>IFERROR(IF(AND(ISNUMBER('SW Rev'!R37),ISNUMBER('SW Rev'!N37)),'SW Rev'!R37-'SW Rev'!N37,""),"")</f>
        <v/>
      </c>
    </row>
    <row r="345">
      <c r="A345" s="19">
        <f>'SW Rev'!$A38</f>
        <v/>
      </c>
      <c r="B345" s="19">
        <f>'SW Rev'!$B38</f>
        <v/>
      </c>
      <c r="C345" s="30">
        <f>IFERROR(IF(AND(ISNUMBER('SW Rev'!G38),ISNUMBER('SW Rev'!C38)),'SW Rev'!G38-'SW Rev'!C38,""),"")</f>
        <v/>
      </c>
      <c r="D345" s="30">
        <f>IFERROR(IF(AND(ISNUMBER('SW Rev'!H38),ISNUMBER('SW Rev'!D38)),'SW Rev'!H38-'SW Rev'!D38,""),"")</f>
        <v/>
      </c>
      <c r="E345" s="30">
        <f>IFERROR(IF(AND(ISNUMBER('SW Rev'!I38),ISNUMBER('SW Rev'!E38)),'SW Rev'!I38-'SW Rev'!E38,""),"")</f>
        <v/>
      </c>
      <c r="F345" s="30">
        <f>IFERROR(IF(AND(ISNUMBER('SW Rev'!J38),ISNUMBER('SW Rev'!F38)),'SW Rev'!J38-'SW Rev'!F38,""),"")</f>
        <v/>
      </c>
      <c r="G345" s="30">
        <f>IFERROR(IF(AND(ISNUMBER('SW Rev'!K38),ISNUMBER('SW Rev'!G38)),'SW Rev'!K38-'SW Rev'!G38,""),"")</f>
        <v/>
      </c>
      <c r="H345" s="30">
        <f>IFERROR(IF(AND(ISNUMBER('SW Rev'!L38),ISNUMBER('SW Rev'!H38)),'SW Rev'!L38-'SW Rev'!H38,""),"")</f>
        <v/>
      </c>
      <c r="I345" s="30">
        <f>IFERROR(IF(AND(ISNUMBER('SW Rev'!M38),ISNUMBER('SW Rev'!I38)),'SW Rev'!M38-'SW Rev'!I38,""),"")</f>
        <v/>
      </c>
      <c r="J345" s="30">
        <f>IFERROR(IF(AND(ISNUMBER('SW Rev'!N38),ISNUMBER('SW Rev'!J38)),'SW Rev'!N38-'SW Rev'!J38,""),"")</f>
        <v/>
      </c>
      <c r="K345" s="30">
        <f>IFERROR(IF(AND(ISNUMBER('SW Rev'!O38),ISNUMBER('SW Rev'!K38)),'SW Rev'!O38-'SW Rev'!K38,""),"")</f>
        <v/>
      </c>
      <c r="L345" s="30">
        <f>IFERROR(IF(AND(ISNUMBER('SW Rev'!P38),ISNUMBER('SW Rev'!L38)),'SW Rev'!P38-'SW Rev'!L38,""),"")</f>
        <v/>
      </c>
      <c r="M345" s="31">
        <f>IFERROR(IF(AND(ISNUMBER('SW Rev'!Q38),ISNUMBER('SW Rev'!M38)),'SW Rev'!Q38-'SW Rev'!M38,""),"")</f>
        <v/>
      </c>
      <c r="N345" s="31">
        <f>IFERROR(IF(AND(ISNUMBER('SW Rev'!R38),ISNUMBER('SW Rev'!N38)),'SW Rev'!R38-'SW Rev'!N38,""),"")</f>
        <v/>
      </c>
    </row>
    <row r="346">
      <c r="A346" s="19">
        <f>'SW Rev'!$A39</f>
        <v/>
      </c>
      <c r="B346" s="19">
        <f>'SW Rev'!$B39</f>
        <v/>
      </c>
      <c r="C346" s="30">
        <f>IFERROR(IF(AND(ISNUMBER('SW Rev'!G39),ISNUMBER('SW Rev'!C39)),'SW Rev'!G39-'SW Rev'!C39,""),"")</f>
        <v/>
      </c>
      <c r="D346" s="30">
        <f>IFERROR(IF(AND(ISNUMBER('SW Rev'!H39),ISNUMBER('SW Rev'!D39)),'SW Rev'!H39-'SW Rev'!D39,""),"")</f>
        <v/>
      </c>
      <c r="E346" s="30">
        <f>IFERROR(IF(AND(ISNUMBER('SW Rev'!I39),ISNUMBER('SW Rev'!E39)),'SW Rev'!I39-'SW Rev'!E39,""),"")</f>
        <v/>
      </c>
      <c r="F346" s="30">
        <f>IFERROR(IF(AND(ISNUMBER('SW Rev'!J39),ISNUMBER('SW Rev'!F39)),'SW Rev'!J39-'SW Rev'!F39,""),"")</f>
        <v/>
      </c>
      <c r="G346" s="30">
        <f>IFERROR(IF(AND(ISNUMBER('SW Rev'!K39),ISNUMBER('SW Rev'!G39)),'SW Rev'!K39-'SW Rev'!G39,""),"")</f>
        <v/>
      </c>
      <c r="H346" s="30">
        <f>IFERROR(IF(AND(ISNUMBER('SW Rev'!L39),ISNUMBER('SW Rev'!H39)),'SW Rev'!L39-'SW Rev'!H39,""),"")</f>
        <v/>
      </c>
      <c r="I346" s="30">
        <f>IFERROR(IF(AND(ISNUMBER('SW Rev'!M39),ISNUMBER('SW Rev'!I39)),'SW Rev'!M39-'SW Rev'!I39,""),"")</f>
        <v/>
      </c>
      <c r="J346" s="30">
        <f>IFERROR(IF(AND(ISNUMBER('SW Rev'!N39),ISNUMBER('SW Rev'!J39)),'SW Rev'!N39-'SW Rev'!J39,""),"")</f>
        <v/>
      </c>
      <c r="K346" s="30">
        <f>IFERROR(IF(AND(ISNUMBER('SW Rev'!O39),ISNUMBER('SW Rev'!K39)),'SW Rev'!O39-'SW Rev'!K39,""),"")</f>
        <v/>
      </c>
      <c r="L346" s="30">
        <f>IFERROR(IF(AND(ISNUMBER('SW Rev'!P39),ISNUMBER('SW Rev'!L39)),'SW Rev'!P39-'SW Rev'!L39,""),"")</f>
        <v/>
      </c>
      <c r="M346" s="31">
        <f>IFERROR(IF(AND(ISNUMBER('SW Rev'!Q39),ISNUMBER('SW Rev'!M39)),'SW Rev'!Q39-'SW Rev'!M39,""),"")</f>
        <v/>
      </c>
      <c r="N346" s="31">
        <f>IFERROR(IF(AND(ISNUMBER('SW Rev'!R39),ISNUMBER('SW Rev'!N39)),'SW Rev'!R39-'SW Rev'!N39,""),"")</f>
        <v/>
      </c>
    </row>
    <row r="347">
      <c r="A347" s="19">
        <f>'SW Rev'!$A40</f>
        <v/>
      </c>
      <c r="B347" s="19">
        <f>'SW Rev'!$B40</f>
        <v/>
      </c>
      <c r="C347" s="30">
        <f>IFERROR(IF(AND(ISNUMBER('SW Rev'!G40),ISNUMBER('SW Rev'!C40)),'SW Rev'!G40-'SW Rev'!C40,""),"")</f>
        <v/>
      </c>
      <c r="D347" s="30">
        <f>IFERROR(IF(AND(ISNUMBER('SW Rev'!H40),ISNUMBER('SW Rev'!D40)),'SW Rev'!H40-'SW Rev'!D40,""),"")</f>
        <v/>
      </c>
      <c r="E347" s="30">
        <f>IFERROR(IF(AND(ISNUMBER('SW Rev'!I40),ISNUMBER('SW Rev'!E40)),'SW Rev'!I40-'SW Rev'!E40,""),"")</f>
        <v/>
      </c>
      <c r="F347" s="30">
        <f>IFERROR(IF(AND(ISNUMBER('SW Rev'!J40),ISNUMBER('SW Rev'!F40)),'SW Rev'!J40-'SW Rev'!F40,""),"")</f>
        <v/>
      </c>
      <c r="G347" s="30">
        <f>IFERROR(IF(AND(ISNUMBER('SW Rev'!K40),ISNUMBER('SW Rev'!G40)),'SW Rev'!K40-'SW Rev'!G40,""),"")</f>
        <v/>
      </c>
      <c r="H347" s="30">
        <f>IFERROR(IF(AND(ISNUMBER('SW Rev'!L40),ISNUMBER('SW Rev'!H40)),'SW Rev'!L40-'SW Rev'!H40,""),"")</f>
        <v/>
      </c>
      <c r="I347" s="30">
        <f>IFERROR(IF(AND(ISNUMBER('SW Rev'!M40),ISNUMBER('SW Rev'!I40)),'SW Rev'!M40-'SW Rev'!I40,""),"")</f>
        <v/>
      </c>
      <c r="J347" s="30">
        <f>IFERROR(IF(AND(ISNUMBER('SW Rev'!N40),ISNUMBER('SW Rev'!J40)),'SW Rev'!N40-'SW Rev'!J40,""),"")</f>
        <v/>
      </c>
      <c r="K347" s="30">
        <f>IFERROR(IF(AND(ISNUMBER('SW Rev'!O40),ISNUMBER('SW Rev'!K40)),'SW Rev'!O40-'SW Rev'!K40,""),"")</f>
        <v/>
      </c>
      <c r="L347" s="30">
        <f>IFERROR(IF(AND(ISNUMBER('SW Rev'!P40),ISNUMBER('SW Rev'!L40)),'SW Rev'!P40-'SW Rev'!L40,""),"")</f>
        <v/>
      </c>
      <c r="M347" s="31">
        <f>IFERROR(IF(AND(ISNUMBER('SW Rev'!Q40),ISNUMBER('SW Rev'!M40)),'SW Rev'!Q40-'SW Rev'!M40,""),"")</f>
        <v/>
      </c>
      <c r="N347" s="31">
        <f>IFERROR(IF(AND(ISNUMBER('SW Rev'!R40),ISNUMBER('SW Rev'!N40)),'SW Rev'!R40-'SW Rev'!N40,""),"")</f>
        <v/>
      </c>
    </row>
    <row r="348">
      <c r="A348" s="19">
        <f>'SW Rev'!$A41</f>
        <v/>
      </c>
      <c r="B348" s="19">
        <f>'SW Rev'!$B41</f>
        <v/>
      </c>
      <c r="C348" s="30">
        <f>IFERROR(IF(AND(ISNUMBER('SW Rev'!G41),ISNUMBER('SW Rev'!C41)),'SW Rev'!G41-'SW Rev'!C41,""),"")</f>
        <v/>
      </c>
      <c r="D348" s="30">
        <f>IFERROR(IF(AND(ISNUMBER('SW Rev'!H41),ISNUMBER('SW Rev'!D41)),'SW Rev'!H41-'SW Rev'!D41,""),"")</f>
        <v/>
      </c>
      <c r="E348" s="30">
        <f>IFERROR(IF(AND(ISNUMBER('SW Rev'!I41),ISNUMBER('SW Rev'!E41)),'SW Rev'!I41-'SW Rev'!E41,""),"")</f>
        <v/>
      </c>
      <c r="F348" s="30">
        <f>IFERROR(IF(AND(ISNUMBER('SW Rev'!J41),ISNUMBER('SW Rev'!F41)),'SW Rev'!J41-'SW Rev'!F41,""),"")</f>
        <v/>
      </c>
      <c r="G348" s="30">
        <f>IFERROR(IF(AND(ISNUMBER('SW Rev'!K41),ISNUMBER('SW Rev'!G41)),'SW Rev'!K41-'SW Rev'!G41,""),"")</f>
        <v/>
      </c>
      <c r="H348" s="30">
        <f>IFERROR(IF(AND(ISNUMBER('SW Rev'!L41),ISNUMBER('SW Rev'!H41)),'SW Rev'!L41-'SW Rev'!H41,""),"")</f>
        <v/>
      </c>
      <c r="I348" s="30">
        <f>IFERROR(IF(AND(ISNUMBER('SW Rev'!M41),ISNUMBER('SW Rev'!I41)),'SW Rev'!M41-'SW Rev'!I41,""),"")</f>
        <v/>
      </c>
      <c r="J348" s="30">
        <f>IFERROR(IF(AND(ISNUMBER('SW Rev'!N41),ISNUMBER('SW Rev'!J41)),'SW Rev'!N41-'SW Rev'!J41,""),"")</f>
        <v/>
      </c>
      <c r="K348" s="30">
        <f>IFERROR(IF(AND(ISNUMBER('SW Rev'!O41),ISNUMBER('SW Rev'!K41)),'SW Rev'!O41-'SW Rev'!K41,""),"")</f>
        <v/>
      </c>
      <c r="L348" s="30">
        <f>IFERROR(IF(AND(ISNUMBER('SW Rev'!P41),ISNUMBER('SW Rev'!L41)),'SW Rev'!P41-'SW Rev'!L41,""),"")</f>
        <v/>
      </c>
      <c r="M348" s="31">
        <f>IFERROR(IF(AND(ISNUMBER('SW Rev'!Q41),ISNUMBER('SW Rev'!M41)),'SW Rev'!Q41-'SW Rev'!M41,""),"")</f>
        <v/>
      </c>
      <c r="N348" s="31">
        <f>IFERROR(IF(AND(ISNUMBER('SW Rev'!R41),ISNUMBER('SW Rev'!N41)),'SW Rev'!R41-'SW Rev'!N41,""),"")</f>
        <v/>
      </c>
    </row>
    <row r="349">
      <c r="A349" s="19">
        <f>'SW Rev'!$A42</f>
        <v/>
      </c>
      <c r="B349" s="19">
        <f>'SW Rev'!$B42</f>
        <v/>
      </c>
      <c r="C349" s="30">
        <f>IFERROR(IF(AND(ISNUMBER('SW Rev'!G42),ISNUMBER('SW Rev'!C42)),'SW Rev'!G42-'SW Rev'!C42,""),"")</f>
        <v/>
      </c>
      <c r="D349" s="30">
        <f>IFERROR(IF(AND(ISNUMBER('SW Rev'!H42),ISNUMBER('SW Rev'!D42)),'SW Rev'!H42-'SW Rev'!D42,""),"")</f>
        <v/>
      </c>
      <c r="E349" s="30">
        <f>IFERROR(IF(AND(ISNUMBER('SW Rev'!I42),ISNUMBER('SW Rev'!E42)),'SW Rev'!I42-'SW Rev'!E42,""),"")</f>
        <v/>
      </c>
      <c r="F349" s="30">
        <f>IFERROR(IF(AND(ISNUMBER('SW Rev'!J42),ISNUMBER('SW Rev'!F42)),'SW Rev'!J42-'SW Rev'!F42,""),"")</f>
        <v/>
      </c>
      <c r="G349" s="30">
        <f>IFERROR(IF(AND(ISNUMBER('SW Rev'!K42),ISNUMBER('SW Rev'!G42)),'SW Rev'!K42-'SW Rev'!G42,""),"")</f>
        <v/>
      </c>
      <c r="H349" s="30">
        <f>IFERROR(IF(AND(ISNUMBER('SW Rev'!L42),ISNUMBER('SW Rev'!H42)),'SW Rev'!L42-'SW Rev'!H42,""),"")</f>
        <v/>
      </c>
      <c r="I349" s="30">
        <f>IFERROR(IF(AND(ISNUMBER('SW Rev'!M42),ISNUMBER('SW Rev'!I42)),'SW Rev'!M42-'SW Rev'!I42,""),"")</f>
        <v/>
      </c>
      <c r="J349" s="30">
        <f>IFERROR(IF(AND(ISNUMBER('SW Rev'!N42),ISNUMBER('SW Rev'!J42)),'SW Rev'!N42-'SW Rev'!J42,""),"")</f>
        <v/>
      </c>
      <c r="K349" s="30">
        <f>IFERROR(IF(AND(ISNUMBER('SW Rev'!O42),ISNUMBER('SW Rev'!K42)),'SW Rev'!O42-'SW Rev'!K42,""),"")</f>
        <v/>
      </c>
      <c r="L349" s="30">
        <f>IFERROR(IF(AND(ISNUMBER('SW Rev'!P42),ISNUMBER('SW Rev'!L42)),'SW Rev'!P42-'SW Rev'!L42,""),"")</f>
        <v/>
      </c>
      <c r="M349" s="31">
        <f>IFERROR(IF(AND(ISNUMBER('SW Rev'!Q42),ISNUMBER('SW Rev'!M42)),'SW Rev'!Q42-'SW Rev'!M42,""),"")</f>
        <v/>
      </c>
      <c r="N349" s="31">
        <f>IFERROR(IF(AND(ISNUMBER('SW Rev'!R42),ISNUMBER('SW Rev'!N42)),'SW Rev'!R42-'SW Rev'!N42,""),"")</f>
        <v/>
      </c>
    </row>
    <row r="350">
      <c r="A350" s="19">
        <f>'SW Rev'!$A43</f>
        <v/>
      </c>
      <c r="B350" s="19">
        <f>'SW Rev'!$B43</f>
        <v/>
      </c>
      <c r="C350" s="30">
        <f>IFERROR(IF(AND(ISNUMBER('SW Rev'!G43),ISNUMBER('SW Rev'!C43)),'SW Rev'!G43-'SW Rev'!C43,""),"")</f>
        <v/>
      </c>
      <c r="D350" s="30">
        <f>IFERROR(IF(AND(ISNUMBER('SW Rev'!H43),ISNUMBER('SW Rev'!D43)),'SW Rev'!H43-'SW Rev'!D43,""),"")</f>
        <v/>
      </c>
      <c r="E350" s="30">
        <f>IFERROR(IF(AND(ISNUMBER('SW Rev'!I43),ISNUMBER('SW Rev'!E43)),'SW Rev'!I43-'SW Rev'!E43,""),"")</f>
        <v/>
      </c>
      <c r="F350" s="30">
        <f>IFERROR(IF(AND(ISNUMBER('SW Rev'!J43),ISNUMBER('SW Rev'!F43)),'SW Rev'!J43-'SW Rev'!F43,""),"")</f>
        <v/>
      </c>
      <c r="G350" s="30">
        <f>IFERROR(IF(AND(ISNUMBER('SW Rev'!K43),ISNUMBER('SW Rev'!G43)),'SW Rev'!K43-'SW Rev'!G43,""),"")</f>
        <v/>
      </c>
      <c r="H350" s="30">
        <f>IFERROR(IF(AND(ISNUMBER('SW Rev'!L43),ISNUMBER('SW Rev'!H43)),'SW Rev'!L43-'SW Rev'!H43,""),"")</f>
        <v/>
      </c>
      <c r="I350" s="30">
        <f>IFERROR(IF(AND(ISNUMBER('SW Rev'!M43),ISNUMBER('SW Rev'!I43)),'SW Rev'!M43-'SW Rev'!I43,""),"")</f>
        <v/>
      </c>
      <c r="J350" s="30">
        <f>IFERROR(IF(AND(ISNUMBER('SW Rev'!N43),ISNUMBER('SW Rev'!J43)),'SW Rev'!N43-'SW Rev'!J43,""),"")</f>
        <v/>
      </c>
      <c r="K350" s="30">
        <f>IFERROR(IF(AND(ISNUMBER('SW Rev'!O43),ISNUMBER('SW Rev'!K43)),'SW Rev'!O43-'SW Rev'!K43,""),"")</f>
        <v/>
      </c>
      <c r="L350" s="30">
        <f>IFERROR(IF(AND(ISNUMBER('SW Rev'!P43),ISNUMBER('SW Rev'!L43)),'SW Rev'!P43-'SW Rev'!L43,""),"")</f>
        <v/>
      </c>
      <c r="M350" s="31">
        <f>IFERROR(IF(AND(ISNUMBER('SW Rev'!Q43),ISNUMBER('SW Rev'!M43)),'SW Rev'!Q43-'SW Rev'!M43,""),"")</f>
        <v/>
      </c>
      <c r="N350" s="31">
        <f>IFERROR(IF(AND(ISNUMBER('SW Rev'!R43),ISNUMBER('SW Rev'!N43)),'SW Rev'!R43-'SW Rev'!N43,""),"")</f>
        <v/>
      </c>
    </row>
    <row r="351">
      <c r="A351" s="19">
        <f>'SW Rev'!$A44</f>
        <v/>
      </c>
      <c r="B351" s="19">
        <f>'SW Rev'!$B44</f>
        <v/>
      </c>
      <c r="C351" s="30">
        <f>IFERROR(IF(AND(ISNUMBER('SW Rev'!G44),ISNUMBER('SW Rev'!C44)),'SW Rev'!G44-'SW Rev'!C44,""),"")</f>
        <v/>
      </c>
      <c r="D351" s="30">
        <f>IFERROR(IF(AND(ISNUMBER('SW Rev'!H44),ISNUMBER('SW Rev'!D44)),'SW Rev'!H44-'SW Rev'!D44,""),"")</f>
        <v/>
      </c>
      <c r="E351" s="30">
        <f>IFERROR(IF(AND(ISNUMBER('SW Rev'!I44),ISNUMBER('SW Rev'!E44)),'SW Rev'!I44-'SW Rev'!E44,""),"")</f>
        <v/>
      </c>
      <c r="F351" s="30">
        <f>IFERROR(IF(AND(ISNUMBER('SW Rev'!J44),ISNUMBER('SW Rev'!F44)),'SW Rev'!J44-'SW Rev'!F44,""),"")</f>
        <v/>
      </c>
      <c r="G351" s="30">
        <f>IFERROR(IF(AND(ISNUMBER('SW Rev'!K44),ISNUMBER('SW Rev'!G44)),'SW Rev'!K44-'SW Rev'!G44,""),"")</f>
        <v/>
      </c>
      <c r="H351" s="30">
        <f>IFERROR(IF(AND(ISNUMBER('SW Rev'!L44),ISNUMBER('SW Rev'!H44)),'SW Rev'!L44-'SW Rev'!H44,""),"")</f>
        <v/>
      </c>
      <c r="I351" s="30">
        <f>IFERROR(IF(AND(ISNUMBER('SW Rev'!M44),ISNUMBER('SW Rev'!I44)),'SW Rev'!M44-'SW Rev'!I44,""),"")</f>
        <v/>
      </c>
      <c r="J351" s="30">
        <f>IFERROR(IF(AND(ISNUMBER('SW Rev'!N44),ISNUMBER('SW Rev'!J44)),'SW Rev'!N44-'SW Rev'!J44,""),"")</f>
        <v/>
      </c>
      <c r="K351" s="30">
        <f>IFERROR(IF(AND(ISNUMBER('SW Rev'!O44),ISNUMBER('SW Rev'!K44)),'SW Rev'!O44-'SW Rev'!K44,""),"")</f>
        <v/>
      </c>
      <c r="L351" s="30">
        <f>IFERROR(IF(AND(ISNUMBER('SW Rev'!P44),ISNUMBER('SW Rev'!L44)),'SW Rev'!P44-'SW Rev'!L44,""),"")</f>
        <v/>
      </c>
      <c r="M351" s="31">
        <f>IFERROR(IF(AND(ISNUMBER('SW Rev'!Q44),ISNUMBER('SW Rev'!M44)),'SW Rev'!Q44-'SW Rev'!M44,""),"")</f>
        <v/>
      </c>
      <c r="N351" s="31">
        <f>IFERROR(IF(AND(ISNUMBER('SW Rev'!R44),ISNUMBER('SW Rev'!N44)),'SW Rev'!R44-'SW Rev'!N44,""),"")</f>
        <v/>
      </c>
    </row>
    <row r="352">
      <c r="A352" s="19">
        <f>'SW Rev'!$A45</f>
        <v/>
      </c>
      <c r="B352" s="19">
        <f>'SW Rev'!$B45</f>
        <v/>
      </c>
      <c r="C352" s="30">
        <f>IFERROR(IF(AND(ISNUMBER('SW Rev'!G45),ISNUMBER('SW Rev'!C45)),'SW Rev'!G45-'SW Rev'!C45,""),"")</f>
        <v/>
      </c>
      <c r="D352" s="30">
        <f>IFERROR(IF(AND(ISNUMBER('SW Rev'!H45),ISNUMBER('SW Rev'!D45)),'SW Rev'!H45-'SW Rev'!D45,""),"")</f>
        <v/>
      </c>
      <c r="E352" s="30">
        <f>IFERROR(IF(AND(ISNUMBER('SW Rev'!I45),ISNUMBER('SW Rev'!E45)),'SW Rev'!I45-'SW Rev'!E45,""),"")</f>
        <v/>
      </c>
      <c r="F352" s="30">
        <f>IFERROR(IF(AND(ISNUMBER('SW Rev'!J45),ISNUMBER('SW Rev'!F45)),'SW Rev'!J45-'SW Rev'!F45,""),"")</f>
        <v/>
      </c>
      <c r="G352" s="30">
        <f>IFERROR(IF(AND(ISNUMBER('SW Rev'!K45),ISNUMBER('SW Rev'!G45)),'SW Rev'!K45-'SW Rev'!G45,""),"")</f>
        <v/>
      </c>
      <c r="H352" s="30">
        <f>IFERROR(IF(AND(ISNUMBER('SW Rev'!L45),ISNUMBER('SW Rev'!H45)),'SW Rev'!L45-'SW Rev'!H45,""),"")</f>
        <v/>
      </c>
      <c r="I352" s="30">
        <f>IFERROR(IF(AND(ISNUMBER('SW Rev'!M45),ISNUMBER('SW Rev'!I45)),'SW Rev'!M45-'SW Rev'!I45,""),"")</f>
        <v/>
      </c>
      <c r="J352" s="30">
        <f>IFERROR(IF(AND(ISNUMBER('SW Rev'!N45),ISNUMBER('SW Rev'!J45)),'SW Rev'!N45-'SW Rev'!J45,""),"")</f>
        <v/>
      </c>
      <c r="K352" s="30">
        <f>IFERROR(IF(AND(ISNUMBER('SW Rev'!O45),ISNUMBER('SW Rev'!K45)),'SW Rev'!O45-'SW Rev'!K45,""),"")</f>
        <v/>
      </c>
      <c r="L352" s="30">
        <f>IFERROR(IF(AND(ISNUMBER('SW Rev'!P45),ISNUMBER('SW Rev'!L45)),'SW Rev'!P45-'SW Rev'!L45,""),"")</f>
        <v/>
      </c>
      <c r="M352" s="31">
        <f>IFERROR(IF(AND(ISNUMBER('SW Rev'!Q45),ISNUMBER('SW Rev'!M45)),'SW Rev'!Q45-'SW Rev'!M45,""),"")</f>
        <v/>
      </c>
      <c r="N352" s="31">
        <f>IFERROR(IF(AND(ISNUMBER('SW Rev'!R45),ISNUMBER('SW Rev'!N45)),'SW Rev'!R45-'SW Rev'!N45,""),"")</f>
        <v/>
      </c>
    </row>
    <row r="353">
      <c r="A353" s="19">
        <f>'SW Rev'!$A46</f>
        <v/>
      </c>
      <c r="B353" s="19">
        <f>'SW Rev'!$B46</f>
        <v/>
      </c>
      <c r="C353" s="30">
        <f>IFERROR(IF(AND(ISNUMBER('SW Rev'!G46),ISNUMBER('SW Rev'!C46)),'SW Rev'!G46-'SW Rev'!C46,""),"")</f>
        <v/>
      </c>
      <c r="D353" s="30">
        <f>IFERROR(IF(AND(ISNUMBER('SW Rev'!H46),ISNUMBER('SW Rev'!D46)),'SW Rev'!H46-'SW Rev'!D46,""),"")</f>
        <v/>
      </c>
      <c r="E353" s="30">
        <f>IFERROR(IF(AND(ISNUMBER('SW Rev'!I46),ISNUMBER('SW Rev'!E46)),'SW Rev'!I46-'SW Rev'!E46,""),"")</f>
        <v/>
      </c>
      <c r="F353" s="30">
        <f>IFERROR(IF(AND(ISNUMBER('SW Rev'!J46),ISNUMBER('SW Rev'!F46)),'SW Rev'!J46-'SW Rev'!F46,""),"")</f>
        <v/>
      </c>
      <c r="G353" s="30">
        <f>IFERROR(IF(AND(ISNUMBER('SW Rev'!K46),ISNUMBER('SW Rev'!G46)),'SW Rev'!K46-'SW Rev'!G46,""),"")</f>
        <v/>
      </c>
      <c r="H353" s="30">
        <f>IFERROR(IF(AND(ISNUMBER('SW Rev'!L46),ISNUMBER('SW Rev'!H46)),'SW Rev'!L46-'SW Rev'!H46,""),"")</f>
        <v/>
      </c>
      <c r="I353" s="30">
        <f>IFERROR(IF(AND(ISNUMBER('SW Rev'!M46),ISNUMBER('SW Rev'!I46)),'SW Rev'!M46-'SW Rev'!I46,""),"")</f>
        <v/>
      </c>
      <c r="J353" s="30">
        <f>IFERROR(IF(AND(ISNUMBER('SW Rev'!N46),ISNUMBER('SW Rev'!J46)),'SW Rev'!N46-'SW Rev'!J46,""),"")</f>
        <v/>
      </c>
      <c r="K353" s="30">
        <f>IFERROR(IF(AND(ISNUMBER('SW Rev'!O46),ISNUMBER('SW Rev'!K46)),'SW Rev'!O46-'SW Rev'!K46,""),"")</f>
        <v/>
      </c>
      <c r="L353" s="30">
        <f>IFERROR(IF(AND(ISNUMBER('SW Rev'!P46),ISNUMBER('SW Rev'!L46)),'SW Rev'!P46-'SW Rev'!L46,""),"")</f>
        <v/>
      </c>
      <c r="M353" s="31">
        <f>IFERROR(IF(AND(ISNUMBER('SW Rev'!Q46),ISNUMBER('SW Rev'!M46)),'SW Rev'!Q46-'SW Rev'!M46,""),"")</f>
        <v/>
      </c>
      <c r="N353" s="31">
        <f>IFERROR(IF(AND(ISNUMBER('SW Rev'!R46),ISNUMBER('SW Rev'!N46)),'SW Rev'!R46-'SW Rev'!N46,""),"")</f>
        <v/>
      </c>
    </row>
    <row r="354">
      <c r="A354" s="19">
        <f>'SW Rev'!$A47</f>
        <v/>
      </c>
      <c r="B354" s="19">
        <f>'SW Rev'!$B47</f>
        <v/>
      </c>
      <c r="C354" s="30">
        <f>IFERROR(IF(AND(ISNUMBER('SW Rev'!G47),ISNUMBER('SW Rev'!C47)),'SW Rev'!G47-'SW Rev'!C47,""),"")</f>
        <v/>
      </c>
      <c r="D354" s="30">
        <f>IFERROR(IF(AND(ISNUMBER('SW Rev'!H47),ISNUMBER('SW Rev'!D47)),'SW Rev'!H47-'SW Rev'!D47,""),"")</f>
        <v/>
      </c>
      <c r="E354" s="30">
        <f>IFERROR(IF(AND(ISNUMBER('SW Rev'!I47),ISNUMBER('SW Rev'!E47)),'SW Rev'!I47-'SW Rev'!E47,""),"")</f>
        <v/>
      </c>
      <c r="F354" s="30">
        <f>IFERROR(IF(AND(ISNUMBER('SW Rev'!J47),ISNUMBER('SW Rev'!F47)),'SW Rev'!J47-'SW Rev'!F47,""),"")</f>
        <v/>
      </c>
      <c r="G354" s="30">
        <f>IFERROR(IF(AND(ISNUMBER('SW Rev'!K47),ISNUMBER('SW Rev'!G47)),'SW Rev'!K47-'SW Rev'!G47,""),"")</f>
        <v/>
      </c>
      <c r="H354" s="30">
        <f>IFERROR(IF(AND(ISNUMBER('SW Rev'!L47),ISNUMBER('SW Rev'!H47)),'SW Rev'!L47-'SW Rev'!H47,""),"")</f>
        <v/>
      </c>
      <c r="I354" s="30">
        <f>IFERROR(IF(AND(ISNUMBER('SW Rev'!M47),ISNUMBER('SW Rev'!I47)),'SW Rev'!M47-'SW Rev'!I47,""),"")</f>
        <v/>
      </c>
      <c r="J354" s="30">
        <f>IFERROR(IF(AND(ISNUMBER('SW Rev'!N47),ISNUMBER('SW Rev'!J47)),'SW Rev'!N47-'SW Rev'!J47,""),"")</f>
        <v/>
      </c>
      <c r="K354" s="30">
        <f>IFERROR(IF(AND(ISNUMBER('SW Rev'!O47),ISNUMBER('SW Rev'!K47)),'SW Rev'!O47-'SW Rev'!K47,""),"")</f>
        <v/>
      </c>
      <c r="L354" s="30">
        <f>IFERROR(IF(AND(ISNUMBER('SW Rev'!P47),ISNUMBER('SW Rev'!L47)),'SW Rev'!P47-'SW Rev'!L47,""),"")</f>
        <v/>
      </c>
      <c r="M354" s="31">
        <f>IFERROR(IF(AND(ISNUMBER('SW Rev'!Q47),ISNUMBER('SW Rev'!M47)),'SW Rev'!Q47-'SW Rev'!M47,""),"")</f>
        <v/>
      </c>
      <c r="N354" s="31">
        <f>IFERROR(IF(AND(ISNUMBER('SW Rev'!R47),ISNUMBER('SW Rev'!N47)),'SW Rev'!R47-'SW Rev'!N47,""),"")</f>
        <v/>
      </c>
    </row>
    <row r="355">
      <c r="A355" s="19">
        <f>'SW Rev'!$A48</f>
        <v/>
      </c>
      <c r="B355" s="19">
        <f>'SW Rev'!$B48</f>
        <v/>
      </c>
      <c r="C355" s="30">
        <f>IFERROR(IF(AND(ISNUMBER('SW Rev'!G48),ISNUMBER('SW Rev'!C48)),'SW Rev'!G48-'SW Rev'!C48,""),"")</f>
        <v/>
      </c>
      <c r="D355" s="30">
        <f>IFERROR(IF(AND(ISNUMBER('SW Rev'!H48),ISNUMBER('SW Rev'!D48)),'SW Rev'!H48-'SW Rev'!D48,""),"")</f>
        <v/>
      </c>
      <c r="E355" s="30">
        <f>IFERROR(IF(AND(ISNUMBER('SW Rev'!I48),ISNUMBER('SW Rev'!E48)),'SW Rev'!I48-'SW Rev'!E48,""),"")</f>
        <v/>
      </c>
      <c r="F355" s="30">
        <f>IFERROR(IF(AND(ISNUMBER('SW Rev'!J48),ISNUMBER('SW Rev'!F48)),'SW Rev'!J48-'SW Rev'!F48,""),"")</f>
        <v/>
      </c>
      <c r="G355" s="30">
        <f>IFERROR(IF(AND(ISNUMBER('SW Rev'!K48),ISNUMBER('SW Rev'!G48)),'SW Rev'!K48-'SW Rev'!G48,""),"")</f>
        <v/>
      </c>
      <c r="H355" s="30">
        <f>IFERROR(IF(AND(ISNUMBER('SW Rev'!L48),ISNUMBER('SW Rev'!H48)),'SW Rev'!L48-'SW Rev'!H48,""),"")</f>
        <v/>
      </c>
      <c r="I355" s="30">
        <f>IFERROR(IF(AND(ISNUMBER('SW Rev'!M48),ISNUMBER('SW Rev'!I48)),'SW Rev'!M48-'SW Rev'!I48,""),"")</f>
        <v/>
      </c>
      <c r="J355" s="30">
        <f>IFERROR(IF(AND(ISNUMBER('SW Rev'!N48),ISNUMBER('SW Rev'!J48)),'SW Rev'!N48-'SW Rev'!J48,""),"")</f>
        <v/>
      </c>
      <c r="K355" s="30">
        <f>IFERROR(IF(AND(ISNUMBER('SW Rev'!O48),ISNUMBER('SW Rev'!K48)),'SW Rev'!O48-'SW Rev'!K48,""),"")</f>
        <v/>
      </c>
      <c r="L355" s="30">
        <f>IFERROR(IF(AND(ISNUMBER('SW Rev'!P48),ISNUMBER('SW Rev'!L48)),'SW Rev'!P48-'SW Rev'!L48,""),"")</f>
        <v/>
      </c>
      <c r="M355" s="31">
        <f>IFERROR(IF(AND(ISNUMBER('SW Rev'!Q48),ISNUMBER('SW Rev'!M48)),'SW Rev'!Q48-'SW Rev'!M48,""),"")</f>
        <v/>
      </c>
      <c r="N355" s="31">
        <f>IFERROR(IF(AND(ISNUMBER('SW Rev'!R48),ISNUMBER('SW Rev'!N48)),'SW Rev'!R48-'SW Rev'!N48,""),"")</f>
        <v/>
      </c>
    </row>
    <row r="356">
      <c r="A356" s="19">
        <f>'SW Rev'!$A49</f>
        <v/>
      </c>
      <c r="B356" s="19">
        <f>'SW Rev'!$B49</f>
        <v/>
      </c>
      <c r="C356" s="30">
        <f>IFERROR(IF(AND(ISNUMBER('SW Rev'!G49),ISNUMBER('SW Rev'!C49)),'SW Rev'!G49-'SW Rev'!C49,""),"")</f>
        <v/>
      </c>
      <c r="D356" s="30">
        <f>IFERROR(IF(AND(ISNUMBER('SW Rev'!H49),ISNUMBER('SW Rev'!D49)),'SW Rev'!H49-'SW Rev'!D49,""),"")</f>
        <v/>
      </c>
      <c r="E356" s="30">
        <f>IFERROR(IF(AND(ISNUMBER('SW Rev'!I49),ISNUMBER('SW Rev'!E49)),'SW Rev'!I49-'SW Rev'!E49,""),"")</f>
        <v/>
      </c>
      <c r="F356" s="30">
        <f>IFERROR(IF(AND(ISNUMBER('SW Rev'!J49),ISNUMBER('SW Rev'!F49)),'SW Rev'!J49-'SW Rev'!F49,""),"")</f>
        <v/>
      </c>
      <c r="G356" s="30">
        <f>IFERROR(IF(AND(ISNUMBER('SW Rev'!K49),ISNUMBER('SW Rev'!G49)),'SW Rev'!K49-'SW Rev'!G49,""),"")</f>
        <v/>
      </c>
      <c r="H356" s="30">
        <f>IFERROR(IF(AND(ISNUMBER('SW Rev'!L49),ISNUMBER('SW Rev'!H49)),'SW Rev'!L49-'SW Rev'!H49,""),"")</f>
        <v/>
      </c>
      <c r="I356" s="30">
        <f>IFERROR(IF(AND(ISNUMBER('SW Rev'!M49),ISNUMBER('SW Rev'!I49)),'SW Rev'!M49-'SW Rev'!I49,""),"")</f>
        <v/>
      </c>
      <c r="J356" s="30">
        <f>IFERROR(IF(AND(ISNUMBER('SW Rev'!N49),ISNUMBER('SW Rev'!J49)),'SW Rev'!N49-'SW Rev'!J49,""),"")</f>
        <v/>
      </c>
      <c r="K356" s="30">
        <f>IFERROR(IF(AND(ISNUMBER('SW Rev'!O49),ISNUMBER('SW Rev'!K49)),'SW Rev'!O49-'SW Rev'!K49,""),"")</f>
        <v/>
      </c>
      <c r="L356" s="30">
        <f>IFERROR(IF(AND(ISNUMBER('SW Rev'!P49),ISNUMBER('SW Rev'!L49)),'SW Rev'!P49-'SW Rev'!L49,""),"")</f>
        <v/>
      </c>
      <c r="M356" s="31">
        <f>IFERROR(IF(AND(ISNUMBER('SW Rev'!Q49),ISNUMBER('SW Rev'!M49)),'SW Rev'!Q49-'SW Rev'!M49,""),"")</f>
        <v/>
      </c>
      <c r="N356" s="31">
        <f>IFERROR(IF(AND(ISNUMBER('SW Rev'!R49),ISNUMBER('SW Rev'!N49)),'SW Rev'!R49-'SW Rev'!N49,""),"")</f>
        <v/>
      </c>
    </row>
    <row r="357">
      <c r="A357" s="19">
        <f>'SW Rev'!$A50</f>
        <v/>
      </c>
      <c r="B357" s="19">
        <f>'SW Rev'!$B50</f>
        <v/>
      </c>
      <c r="C357" s="30">
        <f>IFERROR(IF(AND(ISNUMBER('SW Rev'!G50),ISNUMBER('SW Rev'!C50)),'SW Rev'!G50-'SW Rev'!C50,""),"")</f>
        <v/>
      </c>
      <c r="D357" s="30">
        <f>IFERROR(IF(AND(ISNUMBER('SW Rev'!H50),ISNUMBER('SW Rev'!D50)),'SW Rev'!H50-'SW Rev'!D50,""),"")</f>
        <v/>
      </c>
      <c r="E357" s="30">
        <f>IFERROR(IF(AND(ISNUMBER('SW Rev'!I50),ISNUMBER('SW Rev'!E50)),'SW Rev'!I50-'SW Rev'!E50,""),"")</f>
        <v/>
      </c>
      <c r="F357" s="30">
        <f>IFERROR(IF(AND(ISNUMBER('SW Rev'!J50),ISNUMBER('SW Rev'!F50)),'SW Rev'!J50-'SW Rev'!F50,""),"")</f>
        <v/>
      </c>
      <c r="G357" s="30">
        <f>IFERROR(IF(AND(ISNUMBER('SW Rev'!K50),ISNUMBER('SW Rev'!G50)),'SW Rev'!K50-'SW Rev'!G50,""),"")</f>
        <v/>
      </c>
      <c r="H357" s="30">
        <f>IFERROR(IF(AND(ISNUMBER('SW Rev'!L50),ISNUMBER('SW Rev'!H50)),'SW Rev'!L50-'SW Rev'!H50,""),"")</f>
        <v/>
      </c>
      <c r="I357" s="30">
        <f>IFERROR(IF(AND(ISNUMBER('SW Rev'!M50),ISNUMBER('SW Rev'!I50)),'SW Rev'!M50-'SW Rev'!I50,""),"")</f>
        <v/>
      </c>
      <c r="J357" s="30">
        <f>IFERROR(IF(AND(ISNUMBER('SW Rev'!N50),ISNUMBER('SW Rev'!J50)),'SW Rev'!N50-'SW Rev'!J50,""),"")</f>
        <v/>
      </c>
      <c r="K357" s="30">
        <f>IFERROR(IF(AND(ISNUMBER('SW Rev'!O50),ISNUMBER('SW Rev'!K50)),'SW Rev'!O50-'SW Rev'!K50,""),"")</f>
        <v/>
      </c>
      <c r="L357" s="30">
        <f>IFERROR(IF(AND(ISNUMBER('SW Rev'!P50),ISNUMBER('SW Rev'!L50)),'SW Rev'!P50-'SW Rev'!L50,""),"")</f>
        <v/>
      </c>
      <c r="M357" s="31">
        <f>IFERROR(IF(AND(ISNUMBER('SW Rev'!Q50),ISNUMBER('SW Rev'!M50)),'SW Rev'!Q50-'SW Rev'!M50,""),"")</f>
        <v/>
      </c>
      <c r="N357" s="31">
        <f>IFERROR(IF(AND(ISNUMBER('SW Rev'!R50),ISNUMBER('SW Rev'!N50)),'SW Rev'!R50-'SW Rev'!N50,""),"")</f>
        <v/>
      </c>
    </row>
    <row r="358">
      <c r="A358" s="19">
        <f>'SW Rev'!$A51</f>
        <v/>
      </c>
      <c r="B358" s="19">
        <f>'SW Rev'!$B51</f>
        <v/>
      </c>
      <c r="C358" s="30">
        <f>IFERROR(IF(AND(ISNUMBER('SW Rev'!G51),ISNUMBER('SW Rev'!C51)),'SW Rev'!G51-'SW Rev'!C51,""),"")</f>
        <v/>
      </c>
      <c r="D358" s="30">
        <f>IFERROR(IF(AND(ISNUMBER('SW Rev'!H51),ISNUMBER('SW Rev'!D51)),'SW Rev'!H51-'SW Rev'!D51,""),"")</f>
        <v/>
      </c>
      <c r="E358" s="30">
        <f>IFERROR(IF(AND(ISNUMBER('SW Rev'!I51),ISNUMBER('SW Rev'!E51)),'SW Rev'!I51-'SW Rev'!E51,""),"")</f>
        <v/>
      </c>
      <c r="F358" s="30">
        <f>IFERROR(IF(AND(ISNUMBER('SW Rev'!J51),ISNUMBER('SW Rev'!F51)),'SW Rev'!J51-'SW Rev'!F51,""),"")</f>
        <v/>
      </c>
      <c r="G358" s="30">
        <f>IFERROR(IF(AND(ISNUMBER('SW Rev'!K51),ISNUMBER('SW Rev'!G51)),'SW Rev'!K51-'SW Rev'!G51,""),"")</f>
        <v/>
      </c>
      <c r="H358" s="30">
        <f>IFERROR(IF(AND(ISNUMBER('SW Rev'!L51),ISNUMBER('SW Rev'!H51)),'SW Rev'!L51-'SW Rev'!H51,""),"")</f>
        <v/>
      </c>
      <c r="I358" s="30">
        <f>IFERROR(IF(AND(ISNUMBER('SW Rev'!M51),ISNUMBER('SW Rev'!I51)),'SW Rev'!M51-'SW Rev'!I51,""),"")</f>
        <v/>
      </c>
      <c r="J358" s="30">
        <f>IFERROR(IF(AND(ISNUMBER('SW Rev'!N51),ISNUMBER('SW Rev'!J51)),'SW Rev'!N51-'SW Rev'!J51,""),"")</f>
        <v/>
      </c>
      <c r="K358" s="30">
        <f>IFERROR(IF(AND(ISNUMBER('SW Rev'!O51),ISNUMBER('SW Rev'!K51)),'SW Rev'!O51-'SW Rev'!K51,""),"")</f>
        <v/>
      </c>
      <c r="L358" s="30">
        <f>IFERROR(IF(AND(ISNUMBER('SW Rev'!P51),ISNUMBER('SW Rev'!L51)),'SW Rev'!P51-'SW Rev'!L51,""),"")</f>
        <v/>
      </c>
      <c r="M358" s="31">
        <f>IFERROR(IF(AND(ISNUMBER('SW Rev'!Q51),ISNUMBER('SW Rev'!M51)),'SW Rev'!Q51-'SW Rev'!M51,""),"")</f>
        <v/>
      </c>
      <c r="N358" s="31">
        <f>IFERROR(IF(AND(ISNUMBER('SW Rev'!R51),ISNUMBER('SW Rev'!N51)),'SW Rev'!R51-'SW Rev'!N51,""),"")</f>
        <v/>
      </c>
    </row>
    <row r="359">
      <c r="A359" s="19">
        <f>'SW Rev'!$A52</f>
        <v/>
      </c>
      <c r="B359" s="19">
        <f>'SW Rev'!$B52</f>
        <v/>
      </c>
      <c r="C359" s="30">
        <f>IFERROR(IF(AND(ISNUMBER('SW Rev'!G52),ISNUMBER('SW Rev'!C52)),'SW Rev'!G52-'SW Rev'!C52,""),"")</f>
        <v/>
      </c>
      <c r="D359" s="30">
        <f>IFERROR(IF(AND(ISNUMBER('SW Rev'!H52),ISNUMBER('SW Rev'!D52)),'SW Rev'!H52-'SW Rev'!D52,""),"")</f>
        <v/>
      </c>
      <c r="E359" s="30">
        <f>IFERROR(IF(AND(ISNUMBER('SW Rev'!I52),ISNUMBER('SW Rev'!E52)),'SW Rev'!I52-'SW Rev'!E52,""),"")</f>
        <v/>
      </c>
      <c r="F359" s="30">
        <f>IFERROR(IF(AND(ISNUMBER('SW Rev'!J52),ISNUMBER('SW Rev'!F52)),'SW Rev'!J52-'SW Rev'!F52,""),"")</f>
        <v/>
      </c>
      <c r="G359" s="30">
        <f>IFERROR(IF(AND(ISNUMBER('SW Rev'!K52),ISNUMBER('SW Rev'!G52)),'SW Rev'!K52-'SW Rev'!G52,""),"")</f>
        <v/>
      </c>
      <c r="H359" s="30">
        <f>IFERROR(IF(AND(ISNUMBER('SW Rev'!L52),ISNUMBER('SW Rev'!H52)),'SW Rev'!L52-'SW Rev'!H52,""),"")</f>
        <v/>
      </c>
      <c r="I359" s="30">
        <f>IFERROR(IF(AND(ISNUMBER('SW Rev'!M52),ISNUMBER('SW Rev'!I52)),'SW Rev'!M52-'SW Rev'!I52,""),"")</f>
        <v/>
      </c>
      <c r="J359" s="30">
        <f>IFERROR(IF(AND(ISNUMBER('SW Rev'!N52),ISNUMBER('SW Rev'!J52)),'SW Rev'!N52-'SW Rev'!J52,""),"")</f>
        <v/>
      </c>
      <c r="K359" s="30">
        <f>IFERROR(IF(AND(ISNUMBER('SW Rev'!O52),ISNUMBER('SW Rev'!K52)),'SW Rev'!O52-'SW Rev'!K52,""),"")</f>
        <v/>
      </c>
      <c r="L359" s="30">
        <f>IFERROR(IF(AND(ISNUMBER('SW Rev'!P52),ISNUMBER('SW Rev'!L52)),'SW Rev'!P52-'SW Rev'!L52,""),"")</f>
        <v/>
      </c>
      <c r="M359" s="31">
        <f>IFERROR(IF(AND(ISNUMBER('SW Rev'!Q52),ISNUMBER('SW Rev'!M52)),'SW Rev'!Q52-'SW Rev'!M52,""),"")</f>
        <v/>
      </c>
      <c r="N359" s="31">
        <f>IFERROR(IF(AND(ISNUMBER('SW Rev'!R52),ISNUMBER('SW Rev'!N52)),'SW Rev'!R52-'SW Rev'!N52,""),"")</f>
        <v/>
      </c>
    </row>
    <row r="360">
      <c r="A360" s="19">
        <f>'SW Rev'!$A53</f>
        <v/>
      </c>
      <c r="B360" s="19">
        <f>'SW Rev'!$B53</f>
        <v/>
      </c>
      <c r="C360" s="30">
        <f>IFERROR(IF(AND(ISNUMBER('SW Rev'!G53),ISNUMBER('SW Rev'!C53)),'SW Rev'!G53-'SW Rev'!C53,""),"")</f>
        <v/>
      </c>
      <c r="D360" s="30">
        <f>IFERROR(IF(AND(ISNUMBER('SW Rev'!H53),ISNUMBER('SW Rev'!D53)),'SW Rev'!H53-'SW Rev'!D53,""),"")</f>
        <v/>
      </c>
      <c r="E360" s="30">
        <f>IFERROR(IF(AND(ISNUMBER('SW Rev'!I53),ISNUMBER('SW Rev'!E53)),'SW Rev'!I53-'SW Rev'!E53,""),"")</f>
        <v/>
      </c>
      <c r="F360" s="30">
        <f>IFERROR(IF(AND(ISNUMBER('SW Rev'!J53),ISNUMBER('SW Rev'!F53)),'SW Rev'!J53-'SW Rev'!F53,""),"")</f>
        <v/>
      </c>
      <c r="G360" s="30">
        <f>IFERROR(IF(AND(ISNUMBER('SW Rev'!K53),ISNUMBER('SW Rev'!G53)),'SW Rev'!K53-'SW Rev'!G53,""),"")</f>
        <v/>
      </c>
      <c r="H360" s="30">
        <f>IFERROR(IF(AND(ISNUMBER('SW Rev'!L53),ISNUMBER('SW Rev'!H53)),'SW Rev'!L53-'SW Rev'!H53,""),"")</f>
        <v/>
      </c>
      <c r="I360" s="30">
        <f>IFERROR(IF(AND(ISNUMBER('SW Rev'!M53),ISNUMBER('SW Rev'!I53)),'SW Rev'!M53-'SW Rev'!I53,""),"")</f>
        <v/>
      </c>
      <c r="J360" s="30">
        <f>IFERROR(IF(AND(ISNUMBER('SW Rev'!N53),ISNUMBER('SW Rev'!J53)),'SW Rev'!N53-'SW Rev'!J53,""),"")</f>
        <v/>
      </c>
      <c r="K360" s="30">
        <f>IFERROR(IF(AND(ISNUMBER('SW Rev'!O53),ISNUMBER('SW Rev'!K53)),'SW Rev'!O53-'SW Rev'!K53,""),"")</f>
        <v/>
      </c>
      <c r="L360" s="30">
        <f>IFERROR(IF(AND(ISNUMBER('SW Rev'!P53),ISNUMBER('SW Rev'!L53)),'SW Rev'!P53-'SW Rev'!L53,""),"")</f>
        <v/>
      </c>
      <c r="M360" s="31">
        <f>IFERROR(IF(AND(ISNUMBER('SW Rev'!Q53),ISNUMBER('SW Rev'!M53)),'SW Rev'!Q53-'SW Rev'!M53,""),"")</f>
        <v/>
      </c>
      <c r="N360" s="31">
        <f>IFERROR(IF(AND(ISNUMBER('SW Rev'!R53),ISNUMBER('SW Rev'!N53)),'SW Rev'!R53-'SW Rev'!N53,""),"")</f>
        <v/>
      </c>
    </row>
    <row r="361">
      <c r="A361" s="19">
        <f>'SW Rev'!$A54</f>
        <v/>
      </c>
      <c r="B361" s="19">
        <f>'SW Rev'!$B54</f>
        <v/>
      </c>
      <c r="C361" s="30">
        <f>IFERROR(IF(AND(ISNUMBER('SW Rev'!G54),ISNUMBER('SW Rev'!C54)),'SW Rev'!G54-'SW Rev'!C54,""),"")</f>
        <v/>
      </c>
      <c r="D361" s="30">
        <f>IFERROR(IF(AND(ISNUMBER('SW Rev'!H54),ISNUMBER('SW Rev'!D54)),'SW Rev'!H54-'SW Rev'!D54,""),"")</f>
        <v/>
      </c>
      <c r="E361" s="30">
        <f>IFERROR(IF(AND(ISNUMBER('SW Rev'!I54),ISNUMBER('SW Rev'!E54)),'SW Rev'!I54-'SW Rev'!E54,""),"")</f>
        <v/>
      </c>
      <c r="F361" s="30">
        <f>IFERROR(IF(AND(ISNUMBER('SW Rev'!J54),ISNUMBER('SW Rev'!F54)),'SW Rev'!J54-'SW Rev'!F54,""),"")</f>
        <v/>
      </c>
      <c r="G361" s="30">
        <f>IFERROR(IF(AND(ISNUMBER('SW Rev'!K54),ISNUMBER('SW Rev'!G54)),'SW Rev'!K54-'SW Rev'!G54,""),"")</f>
        <v/>
      </c>
      <c r="H361" s="30">
        <f>IFERROR(IF(AND(ISNUMBER('SW Rev'!L54),ISNUMBER('SW Rev'!H54)),'SW Rev'!L54-'SW Rev'!H54,""),"")</f>
        <v/>
      </c>
      <c r="I361" s="30">
        <f>IFERROR(IF(AND(ISNUMBER('SW Rev'!M54),ISNUMBER('SW Rev'!I54)),'SW Rev'!M54-'SW Rev'!I54,""),"")</f>
        <v/>
      </c>
      <c r="J361" s="30">
        <f>IFERROR(IF(AND(ISNUMBER('SW Rev'!N54),ISNUMBER('SW Rev'!J54)),'SW Rev'!N54-'SW Rev'!J54,""),"")</f>
        <v/>
      </c>
      <c r="K361" s="30">
        <f>IFERROR(IF(AND(ISNUMBER('SW Rev'!O54),ISNUMBER('SW Rev'!K54)),'SW Rev'!O54-'SW Rev'!K54,""),"")</f>
        <v/>
      </c>
      <c r="L361" s="30">
        <f>IFERROR(IF(AND(ISNUMBER('SW Rev'!P54),ISNUMBER('SW Rev'!L54)),'SW Rev'!P54-'SW Rev'!L54,""),"")</f>
        <v/>
      </c>
      <c r="M361" s="31">
        <f>IFERROR(IF(AND(ISNUMBER('SW Rev'!Q54),ISNUMBER('SW Rev'!M54)),'SW Rev'!Q54-'SW Rev'!M54,""),"")</f>
        <v/>
      </c>
      <c r="N361" s="31">
        <f>IFERROR(IF(AND(ISNUMBER('SW Rev'!R54),ISNUMBER('SW Rev'!N54)),'SW Rev'!R54-'SW Rev'!N54,""),"")</f>
        <v/>
      </c>
    </row>
    <row r="362">
      <c r="A362" s="19">
        <f>'SW Rev'!$A55</f>
        <v/>
      </c>
      <c r="B362" s="19">
        <f>'SW Rev'!$B55</f>
        <v/>
      </c>
      <c r="C362" s="30">
        <f>IFERROR(IF(AND(ISNUMBER('SW Rev'!G55),ISNUMBER('SW Rev'!C55)),'SW Rev'!G55-'SW Rev'!C55,""),"")</f>
        <v/>
      </c>
      <c r="D362" s="30">
        <f>IFERROR(IF(AND(ISNUMBER('SW Rev'!H55),ISNUMBER('SW Rev'!D55)),'SW Rev'!H55-'SW Rev'!D55,""),"")</f>
        <v/>
      </c>
      <c r="E362" s="30">
        <f>IFERROR(IF(AND(ISNUMBER('SW Rev'!I55),ISNUMBER('SW Rev'!E55)),'SW Rev'!I55-'SW Rev'!E55,""),"")</f>
        <v/>
      </c>
      <c r="F362" s="30">
        <f>IFERROR(IF(AND(ISNUMBER('SW Rev'!J55),ISNUMBER('SW Rev'!F55)),'SW Rev'!J55-'SW Rev'!F55,""),"")</f>
        <v/>
      </c>
      <c r="G362" s="30">
        <f>IFERROR(IF(AND(ISNUMBER('SW Rev'!K55),ISNUMBER('SW Rev'!G55)),'SW Rev'!K55-'SW Rev'!G55,""),"")</f>
        <v/>
      </c>
      <c r="H362" s="30">
        <f>IFERROR(IF(AND(ISNUMBER('SW Rev'!L55),ISNUMBER('SW Rev'!H55)),'SW Rev'!L55-'SW Rev'!H55,""),"")</f>
        <v/>
      </c>
      <c r="I362" s="30">
        <f>IFERROR(IF(AND(ISNUMBER('SW Rev'!M55),ISNUMBER('SW Rev'!I55)),'SW Rev'!M55-'SW Rev'!I55,""),"")</f>
        <v/>
      </c>
      <c r="J362" s="30">
        <f>IFERROR(IF(AND(ISNUMBER('SW Rev'!N55),ISNUMBER('SW Rev'!J55)),'SW Rev'!N55-'SW Rev'!J55,""),"")</f>
        <v/>
      </c>
      <c r="K362" s="30">
        <f>IFERROR(IF(AND(ISNUMBER('SW Rev'!O55),ISNUMBER('SW Rev'!K55)),'SW Rev'!O55-'SW Rev'!K55,""),"")</f>
        <v/>
      </c>
      <c r="L362" s="30">
        <f>IFERROR(IF(AND(ISNUMBER('SW Rev'!P55),ISNUMBER('SW Rev'!L55)),'SW Rev'!P55-'SW Rev'!L55,""),"")</f>
        <v/>
      </c>
      <c r="M362" s="31">
        <f>IFERROR(IF(AND(ISNUMBER('SW Rev'!Q55),ISNUMBER('SW Rev'!M55)),'SW Rev'!Q55-'SW Rev'!M55,""),"")</f>
        <v/>
      </c>
      <c r="N362" s="31">
        <f>IFERROR(IF(AND(ISNUMBER('SW Rev'!R55),ISNUMBER('SW Rev'!N55)),'SW Rev'!R55-'SW Rev'!N55,""),"")</f>
        <v/>
      </c>
    </row>
    <row r="363">
      <c r="A363" s="19">
        <f>'SW Rev'!$A56</f>
        <v/>
      </c>
      <c r="B363" s="19">
        <f>'SW Rev'!$B56</f>
        <v/>
      </c>
      <c r="C363" s="30">
        <f>IFERROR(IF(AND(ISNUMBER('SW Rev'!G56),ISNUMBER('SW Rev'!C56)),'SW Rev'!G56-'SW Rev'!C56,""),"")</f>
        <v/>
      </c>
      <c r="D363" s="30">
        <f>IFERROR(IF(AND(ISNUMBER('SW Rev'!H56),ISNUMBER('SW Rev'!D56)),'SW Rev'!H56-'SW Rev'!D56,""),"")</f>
        <v/>
      </c>
      <c r="E363" s="30">
        <f>IFERROR(IF(AND(ISNUMBER('SW Rev'!I56),ISNUMBER('SW Rev'!E56)),'SW Rev'!I56-'SW Rev'!E56,""),"")</f>
        <v/>
      </c>
      <c r="F363" s="30">
        <f>IFERROR(IF(AND(ISNUMBER('SW Rev'!J56),ISNUMBER('SW Rev'!F56)),'SW Rev'!J56-'SW Rev'!F56,""),"")</f>
        <v/>
      </c>
      <c r="G363" s="30">
        <f>IFERROR(IF(AND(ISNUMBER('SW Rev'!K56),ISNUMBER('SW Rev'!G56)),'SW Rev'!K56-'SW Rev'!G56,""),"")</f>
        <v/>
      </c>
      <c r="H363" s="30">
        <f>IFERROR(IF(AND(ISNUMBER('SW Rev'!L56),ISNUMBER('SW Rev'!H56)),'SW Rev'!L56-'SW Rev'!H56,""),"")</f>
        <v/>
      </c>
      <c r="I363" s="30">
        <f>IFERROR(IF(AND(ISNUMBER('SW Rev'!M56),ISNUMBER('SW Rev'!I56)),'SW Rev'!M56-'SW Rev'!I56,""),"")</f>
        <v/>
      </c>
      <c r="J363" s="30">
        <f>IFERROR(IF(AND(ISNUMBER('SW Rev'!N56),ISNUMBER('SW Rev'!J56)),'SW Rev'!N56-'SW Rev'!J56,""),"")</f>
        <v/>
      </c>
      <c r="K363" s="30">
        <f>IFERROR(IF(AND(ISNUMBER('SW Rev'!O56),ISNUMBER('SW Rev'!K56)),'SW Rev'!O56-'SW Rev'!K56,""),"")</f>
        <v/>
      </c>
      <c r="L363" s="30">
        <f>IFERROR(IF(AND(ISNUMBER('SW Rev'!P56),ISNUMBER('SW Rev'!L56)),'SW Rev'!P56-'SW Rev'!L56,""),"")</f>
        <v/>
      </c>
      <c r="M363" s="31">
        <f>IFERROR(IF(AND(ISNUMBER('SW Rev'!Q56),ISNUMBER('SW Rev'!M56)),'SW Rev'!Q56-'SW Rev'!M56,""),"")</f>
        <v/>
      </c>
      <c r="N363" s="31">
        <f>IFERROR(IF(AND(ISNUMBER('SW Rev'!R56),ISNUMBER('SW Rev'!N56)),'SW Rev'!R56-'SW Rev'!N56,""),"")</f>
        <v/>
      </c>
    </row>
    <row r="364">
      <c r="A364" s="19">
        <f>'SW Rev'!$A57</f>
        <v/>
      </c>
      <c r="B364" s="19">
        <f>'SW Rev'!$B57</f>
        <v/>
      </c>
      <c r="C364" s="30">
        <f>IFERROR(IF(AND(ISNUMBER('SW Rev'!G57),ISNUMBER('SW Rev'!C57)),'SW Rev'!G57-'SW Rev'!C57,""),"")</f>
        <v/>
      </c>
      <c r="D364" s="30">
        <f>IFERROR(IF(AND(ISNUMBER('SW Rev'!H57),ISNUMBER('SW Rev'!D57)),'SW Rev'!H57-'SW Rev'!D57,""),"")</f>
        <v/>
      </c>
      <c r="E364" s="30">
        <f>IFERROR(IF(AND(ISNUMBER('SW Rev'!I57),ISNUMBER('SW Rev'!E57)),'SW Rev'!I57-'SW Rev'!E57,""),"")</f>
        <v/>
      </c>
      <c r="F364" s="30">
        <f>IFERROR(IF(AND(ISNUMBER('SW Rev'!J57),ISNUMBER('SW Rev'!F57)),'SW Rev'!J57-'SW Rev'!F57,""),"")</f>
        <v/>
      </c>
      <c r="G364" s="30">
        <f>IFERROR(IF(AND(ISNUMBER('SW Rev'!K57),ISNUMBER('SW Rev'!G57)),'SW Rev'!K57-'SW Rev'!G57,""),"")</f>
        <v/>
      </c>
      <c r="H364" s="30">
        <f>IFERROR(IF(AND(ISNUMBER('SW Rev'!L57),ISNUMBER('SW Rev'!H57)),'SW Rev'!L57-'SW Rev'!H57,""),"")</f>
        <v/>
      </c>
      <c r="I364" s="30">
        <f>IFERROR(IF(AND(ISNUMBER('SW Rev'!M57),ISNUMBER('SW Rev'!I57)),'SW Rev'!M57-'SW Rev'!I57,""),"")</f>
        <v/>
      </c>
      <c r="J364" s="30">
        <f>IFERROR(IF(AND(ISNUMBER('SW Rev'!N57),ISNUMBER('SW Rev'!J57)),'SW Rev'!N57-'SW Rev'!J57,""),"")</f>
        <v/>
      </c>
      <c r="K364" s="30">
        <f>IFERROR(IF(AND(ISNUMBER('SW Rev'!O57),ISNUMBER('SW Rev'!K57)),'SW Rev'!O57-'SW Rev'!K57,""),"")</f>
        <v/>
      </c>
      <c r="L364" s="30">
        <f>IFERROR(IF(AND(ISNUMBER('SW Rev'!P57),ISNUMBER('SW Rev'!L57)),'SW Rev'!P57-'SW Rev'!L57,""),"")</f>
        <v/>
      </c>
      <c r="M364" s="31">
        <f>IFERROR(IF(AND(ISNUMBER('SW Rev'!Q57),ISNUMBER('SW Rev'!M57)),'SW Rev'!Q57-'SW Rev'!M57,""),"")</f>
        <v/>
      </c>
      <c r="N364" s="31">
        <f>IFERROR(IF(AND(ISNUMBER('SW Rev'!R57),ISNUMBER('SW Rev'!N57)),'SW Rev'!R57-'SW Rev'!N57,""),"")</f>
        <v/>
      </c>
    </row>
    <row r="365">
      <c r="A365" s="19">
        <f>'SW Rev'!$A58</f>
        <v/>
      </c>
      <c r="B365" s="19">
        <f>'SW Rev'!$B58</f>
        <v/>
      </c>
      <c r="C365" s="30">
        <f>IFERROR(IF(AND(ISNUMBER('SW Rev'!G58),ISNUMBER('SW Rev'!C58)),'SW Rev'!G58-'SW Rev'!C58,""),"")</f>
        <v/>
      </c>
      <c r="D365" s="30">
        <f>IFERROR(IF(AND(ISNUMBER('SW Rev'!H58),ISNUMBER('SW Rev'!D58)),'SW Rev'!H58-'SW Rev'!D58,""),"")</f>
        <v/>
      </c>
      <c r="E365" s="30">
        <f>IFERROR(IF(AND(ISNUMBER('SW Rev'!I58),ISNUMBER('SW Rev'!E58)),'SW Rev'!I58-'SW Rev'!E58,""),"")</f>
        <v/>
      </c>
      <c r="F365" s="30">
        <f>IFERROR(IF(AND(ISNUMBER('SW Rev'!J58),ISNUMBER('SW Rev'!F58)),'SW Rev'!J58-'SW Rev'!F58,""),"")</f>
        <v/>
      </c>
      <c r="G365" s="30">
        <f>IFERROR(IF(AND(ISNUMBER('SW Rev'!K58),ISNUMBER('SW Rev'!G58)),'SW Rev'!K58-'SW Rev'!G58,""),"")</f>
        <v/>
      </c>
      <c r="H365" s="30">
        <f>IFERROR(IF(AND(ISNUMBER('SW Rev'!L58),ISNUMBER('SW Rev'!H58)),'SW Rev'!L58-'SW Rev'!H58,""),"")</f>
        <v/>
      </c>
      <c r="I365" s="30">
        <f>IFERROR(IF(AND(ISNUMBER('SW Rev'!M58),ISNUMBER('SW Rev'!I58)),'SW Rev'!M58-'SW Rev'!I58,""),"")</f>
        <v/>
      </c>
      <c r="J365" s="30">
        <f>IFERROR(IF(AND(ISNUMBER('SW Rev'!N58),ISNUMBER('SW Rev'!J58)),'SW Rev'!N58-'SW Rev'!J58,""),"")</f>
        <v/>
      </c>
      <c r="K365" s="30">
        <f>IFERROR(IF(AND(ISNUMBER('SW Rev'!O58),ISNUMBER('SW Rev'!K58)),'SW Rev'!O58-'SW Rev'!K58,""),"")</f>
        <v/>
      </c>
      <c r="L365" s="30">
        <f>IFERROR(IF(AND(ISNUMBER('SW Rev'!P58),ISNUMBER('SW Rev'!L58)),'SW Rev'!P58-'SW Rev'!L58,""),"")</f>
        <v/>
      </c>
      <c r="M365" s="31">
        <f>IFERROR(IF(AND(ISNUMBER('SW Rev'!Q58),ISNUMBER('SW Rev'!M58)),'SW Rev'!Q58-'SW Rev'!M58,""),"")</f>
        <v/>
      </c>
      <c r="N365" s="31">
        <f>IFERROR(IF(AND(ISNUMBER('SW Rev'!R58),ISNUMBER('SW Rev'!N58)),'SW Rev'!R58-'SW Rev'!N58,""),"")</f>
        <v/>
      </c>
    </row>
    <row r="366">
      <c r="A366" s="19">
        <f>'SW Rev'!$A59</f>
        <v/>
      </c>
      <c r="B366" s="19">
        <f>'SW Rev'!$B59</f>
        <v/>
      </c>
      <c r="C366" s="30">
        <f>IFERROR(IF(AND(ISNUMBER('SW Rev'!G59),ISNUMBER('SW Rev'!C59)),'SW Rev'!G59-'SW Rev'!C59,""),"")</f>
        <v/>
      </c>
      <c r="D366" s="30">
        <f>IFERROR(IF(AND(ISNUMBER('SW Rev'!H59),ISNUMBER('SW Rev'!D59)),'SW Rev'!H59-'SW Rev'!D59,""),"")</f>
        <v/>
      </c>
      <c r="E366" s="30">
        <f>IFERROR(IF(AND(ISNUMBER('SW Rev'!I59),ISNUMBER('SW Rev'!E59)),'SW Rev'!I59-'SW Rev'!E59,""),"")</f>
        <v/>
      </c>
      <c r="F366" s="30">
        <f>IFERROR(IF(AND(ISNUMBER('SW Rev'!J59),ISNUMBER('SW Rev'!F59)),'SW Rev'!J59-'SW Rev'!F59,""),"")</f>
        <v/>
      </c>
      <c r="G366" s="30">
        <f>IFERROR(IF(AND(ISNUMBER('SW Rev'!K59),ISNUMBER('SW Rev'!G59)),'SW Rev'!K59-'SW Rev'!G59,""),"")</f>
        <v/>
      </c>
      <c r="H366" s="30">
        <f>IFERROR(IF(AND(ISNUMBER('SW Rev'!L59),ISNUMBER('SW Rev'!H59)),'SW Rev'!L59-'SW Rev'!H59,""),"")</f>
        <v/>
      </c>
      <c r="I366" s="30">
        <f>IFERROR(IF(AND(ISNUMBER('SW Rev'!M59),ISNUMBER('SW Rev'!I59)),'SW Rev'!M59-'SW Rev'!I59,""),"")</f>
        <v/>
      </c>
      <c r="J366" s="30">
        <f>IFERROR(IF(AND(ISNUMBER('SW Rev'!N59),ISNUMBER('SW Rev'!J59)),'SW Rev'!N59-'SW Rev'!J59,""),"")</f>
        <v/>
      </c>
      <c r="K366" s="30">
        <f>IFERROR(IF(AND(ISNUMBER('SW Rev'!O59),ISNUMBER('SW Rev'!K59)),'SW Rev'!O59-'SW Rev'!K59,""),"")</f>
        <v/>
      </c>
      <c r="L366" s="30">
        <f>IFERROR(IF(AND(ISNUMBER('SW Rev'!P59),ISNUMBER('SW Rev'!L59)),'SW Rev'!P59-'SW Rev'!L59,""),"")</f>
        <v/>
      </c>
      <c r="M366" s="31">
        <f>IFERROR(IF(AND(ISNUMBER('SW Rev'!Q59),ISNUMBER('SW Rev'!M59)),'SW Rev'!Q59-'SW Rev'!M59,""),"")</f>
        <v/>
      </c>
      <c r="N366" s="31">
        <f>IFERROR(IF(AND(ISNUMBER('SW Rev'!R59),ISNUMBER('SW Rev'!N59)),'SW Rev'!R59-'SW Rev'!N59,""),"")</f>
        <v/>
      </c>
    </row>
    <row r="367">
      <c r="A367" s="19">
        <f>'SW Rev'!$A60</f>
        <v/>
      </c>
      <c r="B367" s="19">
        <f>'SW Rev'!$B60</f>
        <v/>
      </c>
      <c r="C367" s="30">
        <f>IFERROR(IF(AND(ISNUMBER('SW Rev'!G60),ISNUMBER('SW Rev'!C60)),'SW Rev'!G60-'SW Rev'!C60,""),"")</f>
        <v/>
      </c>
      <c r="D367" s="30">
        <f>IFERROR(IF(AND(ISNUMBER('SW Rev'!H60),ISNUMBER('SW Rev'!D60)),'SW Rev'!H60-'SW Rev'!D60,""),"")</f>
        <v/>
      </c>
      <c r="E367" s="30">
        <f>IFERROR(IF(AND(ISNUMBER('SW Rev'!I60),ISNUMBER('SW Rev'!E60)),'SW Rev'!I60-'SW Rev'!E60,""),"")</f>
        <v/>
      </c>
      <c r="F367" s="30">
        <f>IFERROR(IF(AND(ISNUMBER('SW Rev'!J60),ISNUMBER('SW Rev'!F60)),'SW Rev'!J60-'SW Rev'!F60,""),"")</f>
        <v/>
      </c>
      <c r="G367" s="30">
        <f>IFERROR(IF(AND(ISNUMBER('SW Rev'!K60),ISNUMBER('SW Rev'!G60)),'SW Rev'!K60-'SW Rev'!G60,""),"")</f>
        <v/>
      </c>
      <c r="H367" s="30">
        <f>IFERROR(IF(AND(ISNUMBER('SW Rev'!L60),ISNUMBER('SW Rev'!H60)),'SW Rev'!L60-'SW Rev'!H60,""),"")</f>
        <v/>
      </c>
      <c r="I367" s="30">
        <f>IFERROR(IF(AND(ISNUMBER('SW Rev'!M60),ISNUMBER('SW Rev'!I60)),'SW Rev'!M60-'SW Rev'!I60,""),"")</f>
        <v/>
      </c>
      <c r="J367" s="30">
        <f>IFERROR(IF(AND(ISNUMBER('SW Rev'!N60),ISNUMBER('SW Rev'!J60)),'SW Rev'!N60-'SW Rev'!J60,""),"")</f>
        <v/>
      </c>
      <c r="K367" s="30">
        <f>IFERROR(IF(AND(ISNUMBER('SW Rev'!O60),ISNUMBER('SW Rev'!K60)),'SW Rev'!O60-'SW Rev'!K60,""),"")</f>
        <v/>
      </c>
      <c r="L367" s="30">
        <f>IFERROR(IF(AND(ISNUMBER('SW Rev'!P60),ISNUMBER('SW Rev'!L60)),'SW Rev'!P60-'SW Rev'!L60,""),"")</f>
        <v/>
      </c>
      <c r="M367" s="31">
        <f>IFERROR(IF(AND(ISNUMBER('SW Rev'!Q60),ISNUMBER('SW Rev'!M60)),'SW Rev'!Q60-'SW Rev'!M60,""),"")</f>
        <v/>
      </c>
      <c r="N367" s="31">
        <f>IFERROR(IF(AND(ISNUMBER('SW Rev'!R60),ISNUMBER('SW Rev'!N60)),'SW Rev'!R60-'SW Rev'!N60,""),"")</f>
        <v/>
      </c>
    </row>
    <row r="368">
      <c r="A368" s="19">
        <f>'SW Rev'!$A61</f>
        <v/>
      </c>
      <c r="B368" s="19">
        <f>'SW Rev'!$B61</f>
        <v/>
      </c>
      <c r="C368" s="30">
        <f>IFERROR(IF(AND(ISNUMBER('SW Rev'!G61),ISNUMBER('SW Rev'!C61)),'SW Rev'!G61-'SW Rev'!C61,""),"")</f>
        <v/>
      </c>
      <c r="D368" s="30">
        <f>IFERROR(IF(AND(ISNUMBER('SW Rev'!H61),ISNUMBER('SW Rev'!D61)),'SW Rev'!H61-'SW Rev'!D61,""),"")</f>
        <v/>
      </c>
      <c r="E368" s="30">
        <f>IFERROR(IF(AND(ISNUMBER('SW Rev'!I61),ISNUMBER('SW Rev'!E61)),'SW Rev'!I61-'SW Rev'!E61,""),"")</f>
        <v/>
      </c>
      <c r="F368" s="30">
        <f>IFERROR(IF(AND(ISNUMBER('SW Rev'!J61),ISNUMBER('SW Rev'!F61)),'SW Rev'!J61-'SW Rev'!F61,""),"")</f>
        <v/>
      </c>
      <c r="G368" s="30">
        <f>IFERROR(IF(AND(ISNUMBER('SW Rev'!K61),ISNUMBER('SW Rev'!G61)),'SW Rev'!K61-'SW Rev'!G61,""),"")</f>
        <v/>
      </c>
      <c r="H368" s="30">
        <f>IFERROR(IF(AND(ISNUMBER('SW Rev'!L61),ISNUMBER('SW Rev'!H61)),'SW Rev'!L61-'SW Rev'!H61,""),"")</f>
        <v/>
      </c>
      <c r="I368" s="30">
        <f>IFERROR(IF(AND(ISNUMBER('SW Rev'!M61),ISNUMBER('SW Rev'!I61)),'SW Rev'!M61-'SW Rev'!I61,""),"")</f>
        <v/>
      </c>
      <c r="J368" s="30">
        <f>IFERROR(IF(AND(ISNUMBER('SW Rev'!N61),ISNUMBER('SW Rev'!J61)),'SW Rev'!N61-'SW Rev'!J61,""),"")</f>
        <v/>
      </c>
      <c r="K368" s="30">
        <f>IFERROR(IF(AND(ISNUMBER('SW Rev'!O61),ISNUMBER('SW Rev'!K61)),'SW Rev'!O61-'SW Rev'!K61,""),"")</f>
        <v/>
      </c>
      <c r="L368" s="30">
        <f>IFERROR(IF(AND(ISNUMBER('SW Rev'!P61),ISNUMBER('SW Rev'!L61)),'SW Rev'!P61-'SW Rev'!L61,""),"")</f>
        <v/>
      </c>
      <c r="M368" s="31">
        <f>IFERROR(IF(AND(ISNUMBER('SW Rev'!Q61),ISNUMBER('SW Rev'!M61)),'SW Rev'!Q61-'SW Rev'!M61,""),"")</f>
        <v/>
      </c>
      <c r="N368" s="31">
        <f>IFERROR(IF(AND(ISNUMBER('SW Rev'!R61),ISNUMBER('SW Rev'!N61)),'SW Rev'!R61-'SW Rev'!N61,""),"")</f>
        <v/>
      </c>
    </row>
    <row r="369">
      <c r="A369" s="19">
        <f>'SW Rev'!$A62</f>
        <v/>
      </c>
      <c r="B369" s="19">
        <f>'SW Rev'!$B62</f>
        <v/>
      </c>
      <c r="C369" s="30">
        <f>IFERROR(IF(AND(ISNUMBER('SW Rev'!G62),ISNUMBER('SW Rev'!C62)),'SW Rev'!G62-'SW Rev'!C62,""),"")</f>
        <v/>
      </c>
      <c r="D369" s="30">
        <f>IFERROR(IF(AND(ISNUMBER('SW Rev'!H62),ISNUMBER('SW Rev'!D62)),'SW Rev'!H62-'SW Rev'!D62,""),"")</f>
        <v/>
      </c>
      <c r="E369" s="30">
        <f>IFERROR(IF(AND(ISNUMBER('SW Rev'!I62),ISNUMBER('SW Rev'!E62)),'SW Rev'!I62-'SW Rev'!E62,""),"")</f>
        <v/>
      </c>
      <c r="F369" s="30">
        <f>IFERROR(IF(AND(ISNUMBER('SW Rev'!J62),ISNUMBER('SW Rev'!F62)),'SW Rev'!J62-'SW Rev'!F62,""),"")</f>
        <v/>
      </c>
      <c r="G369" s="30">
        <f>IFERROR(IF(AND(ISNUMBER('SW Rev'!K62),ISNUMBER('SW Rev'!G62)),'SW Rev'!K62-'SW Rev'!G62,""),"")</f>
        <v/>
      </c>
      <c r="H369" s="30">
        <f>IFERROR(IF(AND(ISNUMBER('SW Rev'!L62),ISNUMBER('SW Rev'!H62)),'SW Rev'!L62-'SW Rev'!H62,""),"")</f>
        <v/>
      </c>
      <c r="I369" s="30">
        <f>IFERROR(IF(AND(ISNUMBER('SW Rev'!M62),ISNUMBER('SW Rev'!I62)),'SW Rev'!M62-'SW Rev'!I62,""),"")</f>
        <v/>
      </c>
      <c r="J369" s="30">
        <f>IFERROR(IF(AND(ISNUMBER('SW Rev'!N62),ISNUMBER('SW Rev'!J62)),'SW Rev'!N62-'SW Rev'!J62,""),"")</f>
        <v/>
      </c>
      <c r="K369" s="30">
        <f>IFERROR(IF(AND(ISNUMBER('SW Rev'!O62),ISNUMBER('SW Rev'!K62)),'SW Rev'!O62-'SW Rev'!K62,""),"")</f>
        <v/>
      </c>
      <c r="L369" s="30">
        <f>IFERROR(IF(AND(ISNUMBER('SW Rev'!P62),ISNUMBER('SW Rev'!L62)),'SW Rev'!P62-'SW Rev'!L62,""),"")</f>
        <v/>
      </c>
      <c r="M369" s="31">
        <f>IFERROR(IF(AND(ISNUMBER('SW Rev'!Q62),ISNUMBER('SW Rev'!M62)),'SW Rev'!Q62-'SW Rev'!M62,""),"")</f>
        <v/>
      </c>
      <c r="N369" s="31">
        <f>IFERROR(IF(AND(ISNUMBER('SW Rev'!R62),ISNUMBER('SW Rev'!N62)),'SW Rev'!R62-'SW Rev'!N62,""),"")</f>
        <v/>
      </c>
    </row>
    <row r="370">
      <c r="A370" s="19">
        <f>'SW Rev'!$A63</f>
        <v/>
      </c>
      <c r="B370" s="19">
        <f>'SW Rev'!$B63</f>
        <v/>
      </c>
      <c r="C370" s="30">
        <f>IFERROR(IF(AND(ISNUMBER('SW Rev'!G63),ISNUMBER('SW Rev'!C63)),'SW Rev'!G63-'SW Rev'!C63,""),"")</f>
        <v/>
      </c>
      <c r="D370" s="30">
        <f>IFERROR(IF(AND(ISNUMBER('SW Rev'!H63),ISNUMBER('SW Rev'!D63)),'SW Rev'!H63-'SW Rev'!D63,""),"")</f>
        <v/>
      </c>
      <c r="E370" s="30">
        <f>IFERROR(IF(AND(ISNUMBER('SW Rev'!I63),ISNUMBER('SW Rev'!E63)),'SW Rev'!I63-'SW Rev'!E63,""),"")</f>
        <v/>
      </c>
      <c r="F370" s="30">
        <f>IFERROR(IF(AND(ISNUMBER('SW Rev'!J63),ISNUMBER('SW Rev'!F63)),'SW Rev'!J63-'SW Rev'!F63,""),"")</f>
        <v/>
      </c>
      <c r="G370" s="30">
        <f>IFERROR(IF(AND(ISNUMBER('SW Rev'!K63),ISNUMBER('SW Rev'!G63)),'SW Rev'!K63-'SW Rev'!G63,""),"")</f>
        <v/>
      </c>
      <c r="H370" s="30">
        <f>IFERROR(IF(AND(ISNUMBER('SW Rev'!L63),ISNUMBER('SW Rev'!H63)),'SW Rev'!L63-'SW Rev'!H63,""),"")</f>
        <v/>
      </c>
      <c r="I370" s="30">
        <f>IFERROR(IF(AND(ISNUMBER('SW Rev'!M63),ISNUMBER('SW Rev'!I63)),'SW Rev'!M63-'SW Rev'!I63,""),"")</f>
        <v/>
      </c>
      <c r="J370" s="30">
        <f>IFERROR(IF(AND(ISNUMBER('SW Rev'!N63),ISNUMBER('SW Rev'!J63)),'SW Rev'!N63-'SW Rev'!J63,""),"")</f>
        <v/>
      </c>
      <c r="K370" s="30">
        <f>IFERROR(IF(AND(ISNUMBER('SW Rev'!O63),ISNUMBER('SW Rev'!K63)),'SW Rev'!O63-'SW Rev'!K63,""),"")</f>
        <v/>
      </c>
      <c r="L370" s="30">
        <f>IFERROR(IF(AND(ISNUMBER('SW Rev'!P63),ISNUMBER('SW Rev'!L63)),'SW Rev'!P63-'SW Rev'!L63,""),"")</f>
        <v/>
      </c>
      <c r="M370" s="31">
        <f>IFERROR(IF(AND(ISNUMBER('SW Rev'!Q63),ISNUMBER('SW Rev'!M63)),'SW Rev'!Q63-'SW Rev'!M63,""),"")</f>
        <v/>
      </c>
      <c r="N370" s="31">
        <f>IFERROR(IF(AND(ISNUMBER('SW Rev'!R63),ISNUMBER('SW Rev'!N63)),'SW Rev'!R63-'SW Rev'!N63,""),"")</f>
        <v/>
      </c>
    </row>
    <row r="371">
      <c r="A371" s="19">
        <f>'SW Rev'!$A64</f>
        <v/>
      </c>
      <c r="B371" s="19">
        <f>'SW Rev'!$B64</f>
        <v/>
      </c>
      <c r="C371" s="30">
        <f>IFERROR(IF(AND(ISNUMBER('SW Rev'!G64),ISNUMBER('SW Rev'!C64)),'SW Rev'!G64-'SW Rev'!C64,""),"")</f>
        <v/>
      </c>
      <c r="D371" s="30">
        <f>IFERROR(IF(AND(ISNUMBER('SW Rev'!H64),ISNUMBER('SW Rev'!D64)),'SW Rev'!H64-'SW Rev'!D64,""),"")</f>
        <v/>
      </c>
      <c r="E371" s="30">
        <f>IFERROR(IF(AND(ISNUMBER('SW Rev'!I64),ISNUMBER('SW Rev'!E64)),'SW Rev'!I64-'SW Rev'!E64,""),"")</f>
        <v/>
      </c>
      <c r="F371" s="30">
        <f>IFERROR(IF(AND(ISNUMBER('SW Rev'!J64),ISNUMBER('SW Rev'!F64)),'SW Rev'!J64-'SW Rev'!F64,""),"")</f>
        <v/>
      </c>
      <c r="G371" s="30">
        <f>IFERROR(IF(AND(ISNUMBER('SW Rev'!K64),ISNUMBER('SW Rev'!G64)),'SW Rev'!K64-'SW Rev'!G64,""),"")</f>
        <v/>
      </c>
      <c r="H371" s="30">
        <f>IFERROR(IF(AND(ISNUMBER('SW Rev'!L64),ISNUMBER('SW Rev'!H64)),'SW Rev'!L64-'SW Rev'!H64,""),"")</f>
        <v/>
      </c>
      <c r="I371" s="30">
        <f>IFERROR(IF(AND(ISNUMBER('SW Rev'!M64),ISNUMBER('SW Rev'!I64)),'SW Rev'!M64-'SW Rev'!I64,""),"")</f>
        <v/>
      </c>
      <c r="J371" s="30">
        <f>IFERROR(IF(AND(ISNUMBER('SW Rev'!N64),ISNUMBER('SW Rev'!J64)),'SW Rev'!N64-'SW Rev'!J64,""),"")</f>
        <v/>
      </c>
      <c r="K371" s="30">
        <f>IFERROR(IF(AND(ISNUMBER('SW Rev'!O64),ISNUMBER('SW Rev'!K64)),'SW Rev'!O64-'SW Rev'!K64,""),"")</f>
        <v/>
      </c>
      <c r="L371" s="30">
        <f>IFERROR(IF(AND(ISNUMBER('SW Rev'!P64),ISNUMBER('SW Rev'!L64)),'SW Rev'!P64-'SW Rev'!L64,""),"")</f>
        <v/>
      </c>
      <c r="M371" s="31">
        <f>IFERROR(IF(AND(ISNUMBER('SW Rev'!Q64),ISNUMBER('SW Rev'!M64)),'SW Rev'!Q64-'SW Rev'!M64,""),"")</f>
        <v/>
      </c>
      <c r="N371" s="31">
        <f>IFERROR(IF(AND(ISNUMBER('SW Rev'!R64),ISNUMBER('SW Rev'!N64)),'SW Rev'!R64-'SW Rev'!N64,""),"")</f>
        <v/>
      </c>
    </row>
    <row r="372">
      <c r="A372" s="19">
        <f>'SW Rev'!$A65</f>
        <v/>
      </c>
      <c r="B372" s="19">
        <f>'SW Rev'!$B65</f>
        <v/>
      </c>
      <c r="C372" s="30">
        <f>IFERROR(IF(AND(ISNUMBER('SW Rev'!G65),ISNUMBER('SW Rev'!C65)),'SW Rev'!G65-'SW Rev'!C65,""),"")</f>
        <v/>
      </c>
      <c r="D372" s="30">
        <f>IFERROR(IF(AND(ISNUMBER('SW Rev'!H65),ISNUMBER('SW Rev'!D65)),'SW Rev'!H65-'SW Rev'!D65,""),"")</f>
        <v/>
      </c>
      <c r="E372" s="30">
        <f>IFERROR(IF(AND(ISNUMBER('SW Rev'!I65),ISNUMBER('SW Rev'!E65)),'SW Rev'!I65-'SW Rev'!E65,""),"")</f>
        <v/>
      </c>
      <c r="F372" s="30">
        <f>IFERROR(IF(AND(ISNUMBER('SW Rev'!J65),ISNUMBER('SW Rev'!F65)),'SW Rev'!J65-'SW Rev'!F65,""),"")</f>
        <v/>
      </c>
      <c r="G372" s="30">
        <f>IFERROR(IF(AND(ISNUMBER('SW Rev'!K65),ISNUMBER('SW Rev'!G65)),'SW Rev'!K65-'SW Rev'!G65,""),"")</f>
        <v/>
      </c>
      <c r="H372" s="30">
        <f>IFERROR(IF(AND(ISNUMBER('SW Rev'!L65),ISNUMBER('SW Rev'!H65)),'SW Rev'!L65-'SW Rev'!H65,""),"")</f>
        <v/>
      </c>
      <c r="I372" s="30">
        <f>IFERROR(IF(AND(ISNUMBER('SW Rev'!M65),ISNUMBER('SW Rev'!I65)),'SW Rev'!M65-'SW Rev'!I65,""),"")</f>
        <v/>
      </c>
      <c r="J372" s="30">
        <f>IFERROR(IF(AND(ISNUMBER('SW Rev'!N65),ISNUMBER('SW Rev'!J65)),'SW Rev'!N65-'SW Rev'!J65,""),"")</f>
        <v/>
      </c>
      <c r="K372" s="30">
        <f>IFERROR(IF(AND(ISNUMBER('SW Rev'!O65),ISNUMBER('SW Rev'!K65)),'SW Rev'!O65-'SW Rev'!K65,""),"")</f>
        <v/>
      </c>
      <c r="L372" s="30">
        <f>IFERROR(IF(AND(ISNUMBER('SW Rev'!P65),ISNUMBER('SW Rev'!L65)),'SW Rev'!P65-'SW Rev'!L65,""),"")</f>
        <v/>
      </c>
      <c r="M372" s="31">
        <f>IFERROR(IF(AND(ISNUMBER('SW Rev'!Q65),ISNUMBER('SW Rev'!M65)),'SW Rev'!Q65-'SW Rev'!M65,""),"")</f>
        <v/>
      </c>
      <c r="N372" s="31">
        <f>IFERROR(IF(AND(ISNUMBER('SW Rev'!R65),ISNUMBER('SW Rev'!N65)),'SW Rev'!R65-'SW Rev'!N65,""),"")</f>
        <v/>
      </c>
    </row>
    <row r="373">
      <c r="A373" s="19">
        <f>'SW Rev'!$A66</f>
        <v/>
      </c>
      <c r="B373" s="19">
        <f>'SW Rev'!$B66</f>
        <v/>
      </c>
      <c r="C373" s="30">
        <f>IFERROR(IF(AND(ISNUMBER('SW Rev'!G66),ISNUMBER('SW Rev'!C66)),'SW Rev'!G66-'SW Rev'!C66,""),"")</f>
        <v/>
      </c>
      <c r="D373" s="30">
        <f>IFERROR(IF(AND(ISNUMBER('SW Rev'!H66),ISNUMBER('SW Rev'!D66)),'SW Rev'!H66-'SW Rev'!D66,""),"")</f>
        <v/>
      </c>
      <c r="E373" s="30">
        <f>IFERROR(IF(AND(ISNUMBER('SW Rev'!I66),ISNUMBER('SW Rev'!E66)),'SW Rev'!I66-'SW Rev'!E66,""),"")</f>
        <v/>
      </c>
      <c r="F373" s="30">
        <f>IFERROR(IF(AND(ISNUMBER('SW Rev'!J66),ISNUMBER('SW Rev'!F66)),'SW Rev'!J66-'SW Rev'!F66,""),"")</f>
        <v/>
      </c>
      <c r="G373" s="30">
        <f>IFERROR(IF(AND(ISNUMBER('SW Rev'!K66),ISNUMBER('SW Rev'!G66)),'SW Rev'!K66-'SW Rev'!G66,""),"")</f>
        <v/>
      </c>
      <c r="H373" s="30">
        <f>IFERROR(IF(AND(ISNUMBER('SW Rev'!L66),ISNUMBER('SW Rev'!H66)),'SW Rev'!L66-'SW Rev'!H66,""),"")</f>
        <v/>
      </c>
      <c r="I373" s="30">
        <f>IFERROR(IF(AND(ISNUMBER('SW Rev'!M66),ISNUMBER('SW Rev'!I66)),'SW Rev'!M66-'SW Rev'!I66,""),"")</f>
        <v/>
      </c>
      <c r="J373" s="30">
        <f>IFERROR(IF(AND(ISNUMBER('SW Rev'!N66),ISNUMBER('SW Rev'!J66)),'SW Rev'!N66-'SW Rev'!J66,""),"")</f>
        <v/>
      </c>
      <c r="K373" s="30">
        <f>IFERROR(IF(AND(ISNUMBER('SW Rev'!O66),ISNUMBER('SW Rev'!K66)),'SW Rev'!O66-'SW Rev'!K66,""),"")</f>
        <v/>
      </c>
      <c r="L373" s="30">
        <f>IFERROR(IF(AND(ISNUMBER('SW Rev'!P66),ISNUMBER('SW Rev'!L66)),'SW Rev'!P66-'SW Rev'!L66,""),"")</f>
        <v/>
      </c>
      <c r="M373" s="31">
        <f>IFERROR(IF(AND(ISNUMBER('SW Rev'!Q66),ISNUMBER('SW Rev'!M66)),'SW Rev'!Q66-'SW Rev'!M66,""),"")</f>
        <v/>
      </c>
      <c r="N373" s="31">
        <f>IFERROR(IF(AND(ISNUMBER('SW Rev'!R66),ISNUMBER('SW Rev'!N66)),'SW Rev'!R66-'SW Rev'!N66,""),"")</f>
        <v/>
      </c>
    </row>
    <row r="374">
      <c r="A374" s="19">
        <f>'SW Rev'!$A67</f>
        <v/>
      </c>
      <c r="B374" s="19">
        <f>'SW Rev'!$B67</f>
        <v/>
      </c>
      <c r="C374" s="30">
        <f>IFERROR(IF(AND(ISNUMBER('SW Rev'!G67),ISNUMBER('SW Rev'!C67)),'SW Rev'!G67-'SW Rev'!C67,""),"")</f>
        <v/>
      </c>
      <c r="D374" s="30">
        <f>IFERROR(IF(AND(ISNUMBER('SW Rev'!H67),ISNUMBER('SW Rev'!D67)),'SW Rev'!H67-'SW Rev'!D67,""),"")</f>
        <v/>
      </c>
      <c r="E374" s="30">
        <f>IFERROR(IF(AND(ISNUMBER('SW Rev'!I67),ISNUMBER('SW Rev'!E67)),'SW Rev'!I67-'SW Rev'!E67,""),"")</f>
        <v/>
      </c>
      <c r="F374" s="30">
        <f>IFERROR(IF(AND(ISNUMBER('SW Rev'!J67),ISNUMBER('SW Rev'!F67)),'SW Rev'!J67-'SW Rev'!F67,""),"")</f>
        <v/>
      </c>
      <c r="G374" s="30">
        <f>IFERROR(IF(AND(ISNUMBER('SW Rev'!K67),ISNUMBER('SW Rev'!G67)),'SW Rev'!K67-'SW Rev'!G67,""),"")</f>
        <v/>
      </c>
      <c r="H374" s="30">
        <f>IFERROR(IF(AND(ISNUMBER('SW Rev'!L67),ISNUMBER('SW Rev'!H67)),'SW Rev'!L67-'SW Rev'!H67,""),"")</f>
        <v/>
      </c>
      <c r="I374" s="30">
        <f>IFERROR(IF(AND(ISNUMBER('SW Rev'!M67),ISNUMBER('SW Rev'!I67)),'SW Rev'!M67-'SW Rev'!I67,""),"")</f>
        <v/>
      </c>
      <c r="J374" s="30">
        <f>IFERROR(IF(AND(ISNUMBER('SW Rev'!N67),ISNUMBER('SW Rev'!J67)),'SW Rev'!N67-'SW Rev'!J67,""),"")</f>
        <v/>
      </c>
      <c r="K374" s="30">
        <f>IFERROR(IF(AND(ISNUMBER('SW Rev'!O67),ISNUMBER('SW Rev'!K67)),'SW Rev'!O67-'SW Rev'!K67,""),"")</f>
        <v/>
      </c>
      <c r="L374" s="30">
        <f>IFERROR(IF(AND(ISNUMBER('SW Rev'!P67),ISNUMBER('SW Rev'!L67)),'SW Rev'!P67-'SW Rev'!L67,""),"")</f>
        <v/>
      </c>
      <c r="M374" s="31">
        <f>IFERROR(IF(AND(ISNUMBER('SW Rev'!Q67),ISNUMBER('SW Rev'!M67)),'SW Rev'!Q67-'SW Rev'!M67,""),"")</f>
        <v/>
      </c>
      <c r="N374" s="31">
        <f>IFERROR(IF(AND(ISNUMBER('SW Rev'!R67),ISNUMBER('SW Rev'!N67)),'SW Rev'!R67-'SW Rev'!N67,""),"")</f>
        <v/>
      </c>
    </row>
    <row r="375">
      <c r="A375" s="19">
        <f>'SW Rev'!$A68</f>
        <v/>
      </c>
      <c r="B375" s="19">
        <f>'SW Rev'!$B68</f>
        <v/>
      </c>
      <c r="C375" s="30">
        <f>IFERROR(IF(AND(ISNUMBER('SW Rev'!G68),ISNUMBER('SW Rev'!C68)),'SW Rev'!G68-'SW Rev'!C68,""),"")</f>
        <v/>
      </c>
      <c r="D375" s="30">
        <f>IFERROR(IF(AND(ISNUMBER('SW Rev'!H68),ISNUMBER('SW Rev'!D68)),'SW Rev'!H68-'SW Rev'!D68,""),"")</f>
        <v/>
      </c>
      <c r="E375" s="30">
        <f>IFERROR(IF(AND(ISNUMBER('SW Rev'!I68),ISNUMBER('SW Rev'!E68)),'SW Rev'!I68-'SW Rev'!E68,""),"")</f>
        <v/>
      </c>
      <c r="F375" s="30">
        <f>IFERROR(IF(AND(ISNUMBER('SW Rev'!J68),ISNUMBER('SW Rev'!F68)),'SW Rev'!J68-'SW Rev'!F68,""),"")</f>
        <v/>
      </c>
      <c r="G375" s="30">
        <f>IFERROR(IF(AND(ISNUMBER('SW Rev'!K68),ISNUMBER('SW Rev'!G68)),'SW Rev'!K68-'SW Rev'!G68,""),"")</f>
        <v/>
      </c>
      <c r="H375" s="30">
        <f>IFERROR(IF(AND(ISNUMBER('SW Rev'!L68),ISNUMBER('SW Rev'!H68)),'SW Rev'!L68-'SW Rev'!H68,""),"")</f>
        <v/>
      </c>
      <c r="I375" s="30">
        <f>IFERROR(IF(AND(ISNUMBER('SW Rev'!M68),ISNUMBER('SW Rev'!I68)),'SW Rev'!M68-'SW Rev'!I68,""),"")</f>
        <v/>
      </c>
      <c r="J375" s="30">
        <f>IFERROR(IF(AND(ISNUMBER('SW Rev'!N68),ISNUMBER('SW Rev'!J68)),'SW Rev'!N68-'SW Rev'!J68,""),"")</f>
        <v/>
      </c>
      <c r="K375" s="30">
        <f>IFERROR(IF(AND(ISNUMBER('SW Rev'!O68),ISNUMBER('SW Rev'!K68)),'SW Rev'!O68-'SW Rev'!K68,""),"")</f>
        <v/>
      </c>
      <c r="L375" s="30">
        <f>IFERROR(IF(AND(ISNUMBER('SW Rev'!P68),ISNUMBER('SW Rev'!L68)),'SW Rev'!P68-'SW Rev'!L68,""),"")</f>
        <v/>
      </c>
      <c r="M375" s="31">
        <f>IFERROR(IF(AND(ISNUMBER('SW Rev'!Q68),ISNUMBER('SW Rev'!M68)),'SW Rev'!Q68-'SW Rev'!M68,""),"")</f>
        <v/>
      </c>
      <c r="N375" s="31">
        <f>IFERROR(IF(AND(ISNUMBER('SW Rev'!R68),ISNUMBER('SW Rev'!N68)),'SW Rev'!R68-'SW Rev'!N68,""),"")</f>
        <v/>
      </c>
    </row>
    <row r="376">
      <c r="A376" s="19">
        <f>'SW Rev'!$A69</f>
        <v/>
      </c>
      <c r="B376" s="19">
        <f>'SW Rev'!$B69</f>
        <v/>
      </c>
      <c r="C376" s="30">
        <f>IFERROR(IF(AND(ISNUMBER('SW Rev'!G69),ISNUMBER('SW Rev'!C69)),'SW Rev'!G69-'SW Rev'!C69,""),"")</f>
        <v/>
      </c>
      <c r="D376" s="30">
        <f>IFERROR(IF(AND(ISNUMBER('SW Rev'!H69),ISNUMBER('SW Rev'!D69)),'SW Rev'!H69-'SW Rev'!D69,""),"")</f>
        <v/>
      </c>
      <c r="E376" s="30">
        <f>IFERROR(IF(AND(ISNUMBER('SW Rev'!I69),ISNUMBER('SW Rev'!E69)),'SW Rev'!I69-'SW Rev'!E69,""),"")</f>
        <v/>
      </c>
      <c r="F376" s="30">
        <f>IFERROR(IF(AND(ISNUMBER('SW Rev'!J69),ISNUMBER('SW Rev'!F69)),'SW Rev'!J69-'SW Rev'!F69,""),"")</f>
        <v/>
      </c>
      <c r="G376" s="30">
        <f>IFERROR(IF(AND(ISNUMBER('SW Rev'!K69),ISNUMBER('SW Rev'!G69)),'SW Rev'!K69-'SW Rev'!G69,""),"")</f>
        <v/>
      </c>
      <c r="H376" s="30">
        <f>IFERROR(IF(AND(ISNUMBER('SW Rev'!L69),ISNUMBER('SW Rev'!H69)),'SW Rev'!L69-'SW Rev'!H69,""),"")</f>
        <v/>
      </c>
      <c r="I376" s="30">
        <f>IFERROR(IF(AND(ISNUMBER('SW Rev'!M69),ISNUMBER('SW Rev'!I69)),'SW Rev'!M69-'SW Rev'!I69,""),"")</f>
        <v/>
      </c>
      <c r="J376" s="30">
        <f>IFERROR(IF(AND(ISNUMBER('SW Rev'!N69),ISNUMBER('SW Rev'!J69)),'SW Rev'!N69-'SW Rev'!J69,""),"")</f>
        <v/>
      </c>
      <c r="K376" s="30">
        <f>IFERROR(IF(AND(ISNUMBER('SW Rev'!O69),ISNUMBER('SW Rev'!K69)),'SW Rev'!O69-'SW Rev'!K69,""),"")</f>
        <v/>
      </c>
      <c r="L376" s="30">
        <f>IFERROR(IF(AND(ISNUMBER('SW Rev'!P69),ISNUMBER('SW Rev'!L69)),'SW Rev'!P69-'SW Rev'!L69,""),"")</f>
        <v/>
      </c>
      <c r="M376" s="31">
        <f>IFERROR(IF(AND(ISNUMBER('SW Rev'!Q69),ISNUMBER('SW Rev'!M69)),'SW Rev'!Q69-'SW Rev'!M69,""),"")</f>
        <v/>
      </c>
      <c r="N376" s="31">
        <f>IFERROR(IF(AND(ISNUMBER('SW Rev'!R69),ISNUMBER('SW Rev'!N69)),'SW Rev'!R69-'SW Rev'!N69,""),"")</f>
        <v/>
      </c>
    </row>
    <row r="377">
      <c r="A377" s="19">
        <f>'SW Rev'!$A70</f>
        <v/>
      </c>
      <c r="B377" s="19">
        <f>'SW Rev'!$B70</f>
        <v/>
      </c>
      <c r="C377" s="30">
        <f>IFERROR(IF(AND(ISNUMBER('SW Rev'!G70),ISNUMBER('SW Rev'!C70)),'SW Rev'!G70-'SW Rev'!C70,""),"")</f>
        <v/>
      </c>
      <c r="D377" s="30">
        <f>IFERROR(IF(AND(ISNUMBER('SW Rev'!H70),ISNUMBER('SW Rev'!D70)),'SW Rev'!H70-'SW Rev'!D70,""),"")</f>
        <v/>
      </c>
      <c r="E377" s="30">
        <f>IFERROR(IF(AND(ISNUMBER('SW Rev'!I70),ISNUMBER('SW Rev'!E70)),'SW Rev'!I70-'SW Rev'!E70,""),"")</f>
        <v/>
      </c>
      <c r="F377" s="30">
        <f>IFERROR(IF(AND(ISNUMBER('SW Rev'!J70),ISNUMBER('SW Rev'!F70)),'SW Rev'!J70-'SW Rev'!F70,""),"")</f>
        <v/>
      </c>
      <c r="G377" s="30">
        <f>IFERROR(IF(AND(ISNUMBER('SW Rev'!K70),ISNUMBER('SW Rev'!G70)),'SW Rev'!K70-'SW Rev'!G70,""),"")</f>
        <v/>
      </c>
      <c r="H377" s="30">
        <f>IFERROR(IF(AND(ISNUMBER('SW Rev'!L70),ISNUMBER('SW Rev'!H70)),'SW Rev'!L70-'SW Rev'!H70,""),"")</f>
        <v/>
      </c>
      <c r="I377" s="30">
        <f>IFERROR(IF(AND(ISNUMBER('SW Rev'!M70),ISNUMBER('SW Rev'!I70)),'SW Rev'!M70-'SW Rev'!I70,""),"")</f>
        <v/>
      </c>
      <c r="J377" s="30">
        <f>IFERROR(IF(AND(ISNUMBER('SW Rev'!N70),ISNUMBER('SW Rev'!J70)),'SW Rev'!N70-'SW Rev'!J70,""),"")</f>
        <v/>
      </c>
      <c r="K377" s="30">
        <f>IFERROR(IF(AND(ISNUMBER('SW Rev'!O70),ISNUMBER('SW Rev'!K70)),'SW Rev'!O70-'SW Rev'!K70,""),"")</f>
        <v/>
      </c>
      <c r="L377" s="30">
        <f>IFERROR(IF(AND(ISNUMBER('SW Rev'!P70),ISNUMBER('SW Rev'!L70)),'SW Rev'!P70-'SW Rev'!L70,""),"")</f>
        <v/>
      </c>
      <c r="M377" s="31">
        <f>IFERROR(IF(AND(ISNUMBER('SW Rev'!Q70),ISNUMBER('SW Rev'!M70)),'SW Rev'!Q70-'SW Rev'!M70,""),"")</f>
        <v/>
      </c>
      <c r="N377" s="31">
        <f>IFERROR(IF(AND(ISNUMBER('SW Rev'!R70),ISNUMBER('SW Rev'!N70)),'SW Rev'!R70-'SW Rev'!N70,""),"")</f>
        <v/>
      </c>
    </row>
    <row r="378">
      <c r="A378" s="19">
        <f>'SW Rev'!$A71</f>
        <v/>
      </c>
      <c r="B378" s="19">
        <f>'SW Rev'!$B71</f>
        <v/>
      </c>
      <c r="C378" s="30">
        <f>IFERROR(IF(AND(ISNUMBER('SW Rev'!G71),ISNUMBER('SW Rev'!C71)),'SW Rev'!G71-'SW Rev'!C71,""),"")</f>
        <v/>
      </c>
      <c r="D378" s="30">
        <f>IFERROR(IF(AND(ISNUMBER('SW Rev'!H71),ISNUMBER('SW Rev'!D71)),'SW Rev'!H71-'SW Rev'!D71,""),"")</f>
        <v/>
      </c>
      <c r="E378" s="30">
        <f>IFERROR(IF(AND(ISNUMBER('SW Rev'!I71),ISNUMBER('SW Rev'!E71)),'SW Rev'!I71-'SW Rev'!E71,""),"")</f>
        <v/>
      </c>
      <c r="F378" s="30">
        <f>IFERROR(IF(AND(ISNUMBER('SW Rev'!J71),ISNUMBER('SW Rev'!F71)),'SW Rev'!J71-'SW Rev'!F71,""),"")</f>
        <v/>
      </c>
      <c r="G378" s="30">
        <f>IFERROR(IF(AND(ISNUMBER('SW Rev'!K71),ISNUMBER('SW Rev'!G71)),'SW Rev'!K71-'SW Rev'!G71,""),"")</f>
        <v/>
      </c>
      <c r="H378" s="30">
        <f>IFERROR(IF(AND(ISNUMBER('SW Rev'!L71),ISNUMBER('SW Rev'!H71)),'SW Rev'!L71-'SW Rev'!H71,""),"")</f>
        <v/>
      </c>
      <c r="I378" s="30">
        <f>IFERROR(IF(AND(ISNUMBER('SW Rev'!M71),ISNUMBER('SW Rev'!I71)),'SW Rev'!M71-'SW Rev'!I71,""),"")</f>
        <v/>
      </c>
      <c r="J378" s="30">
        <f>IFERROR(IF(AND(ISNUMBER('SW Rev'!N71),ISNUMBER('SW Rev'!J71)),'SW Rev'!N71-'SW Rev'!J71,""),"")</f>
        <v/>
      </c>
      <c r="K378" s="30">
        <f>IFERROR(IF(AND(ISNUMBER('SW Rev'!O71),ISNUMBER('SW Rev'!K71)),'SW Rev'!O71-'SW Rev'!K71,""),"")</f>
        <v/>
      </c>
      <c r="L378" s="30">
        <f>IFERROR(IF(AND(ISNUMBER('SW Rev'!P71),ISNUMBER('SW Rev'!L71)),'SW Rev'!P71-'SW Rev'!L71,""),"")</f>
        <v/>
      </c>
      <c r="M378" s="31">
        <f>IFERROR(IF(AND(ISNUMBER('SW Rev'!Q71),ISNUMBER('SW Rev'!M71)),'SW Rev'!Q71-'SW Rev'!M71,""),"")</f>
        <v/>
      </c>
      <c r="N378" s="31">
        <f>IFERROR(IF(AND(ISNUMBER('SW Rev'!R71),ISNUMBER('SW Rev'!N71)),'SW Rev'!R71-'SW Rev'!N71,""),"")</f>
        <v/>
      </c>
    </row>
    <row r="379">
      <c r="A379" s="19">
        <f>'SW Rev'!$A72</f>
        <v/>
      </c>
      <c r="B379" s="19">
        <f>'SW Rev'!$B72</f>
        <v/>
      </c>
      <c r="C379" s="30">
        <f>IFERROR(IF(AND(ISNUMBER('SW Rev'!G72),ISNUMBER('SW Rev'!C72)),'SW Rev'!G72-'SW Rev'!C72,""),"")</f>
        <v/>
      </c>
      <c r="D379" s="30">
        <f>IFERROR(IF(AND(ISNUMBER('SW Rev'!H72),ISNUMBER('SW Rev'!D72)),'SW Rev'!H72-'SW Rev'!D72,""),"")</f>
        <v/>
      </c>
      <c r="E379" s="30">
        <f>IFERROR(IF(AND(ISNUMBER('SW Rev'!I72),ISNUMBER('SW Rev'!E72)),'SW Rev'!I72-'SW Rev'!E72,""),"")</f>
        <v/>
      </c>
      <c r="F379" s="30">
        <f>IFERROR(IF(AND(ISNUMBER('SW Rev'!J72),ISNUMBER('SW Rev'!F72)),'SW Rev'!J72-'SW Rev'!F72,""),"")</f>
        <v/>
      </c>
      <c r="G379" s="30">
        <f>IFERROR(IF(AND(ISNUMBER('SW Rev'!K72),ISNUMBER('SW Rev'!G72)),'SW Rev'!K72-'SW Rev'!G72,""),"")</f>
        <v/>
      </c>
      <c r="H379" s="30">
        <f>IFERROR(IF(AND(ISNUMBER('SW Rev'!L72),ISNUMBER('SW Rev'!H72)),'SW Rev'!L72-'SW Rev'!H72,""),"")</f>
        <v/>
      </c>
      <c r="I379" s="30">
        <f>IFERROR(IF(AND(ISNUMBER('SW Rev'!M72),ISNUMBER('SW Rev'!I72)),'SW Rev'!M72-'SW Rev'!I72,""),"")</f>
        <v/>
      </c>
      <c r="J379" s="30">
        <f>IFERROR(IF(AND(ISNUMBER('SW Rev'!N72),ISNUMBER('SW Rev'!J72)),'SW Rev'!N72-'SW Rev'!J72,""),"")</f>
        <v/>
      </c>
      <c r="K379" s="30">
        <f>IFERROR(IF(AND(ISNUMBER('SW Rev'!O72),ISNUMBER('SW Rev'!K72)),'SW Rev'!O72-'SW Rev'!K72,""),"")</f>
        <v/>
      </c>
      <c r="L379" s="30">
        <f>IFERROR(IF(AND(ISNUMBER('SW Rev'!P72),ISNUMBER('SW Rev'!L72)),'SW Rev'!P72-'SW Rev'!L72,""),"")</f>
        <v/>
      </c>
      <c r="M379" s="31">
        <f>IFERROR(IF(AND(ISNUMBER('SW Rev'!Q72),ISNUMBER('SW Rev'!M72)),'SW Rev'!Q72-'SW Rev'!M72,""),"")</f>
        <v/>
      </c>
      <c r="N379" s="31">
        <f>IFERROR(IF(AND(ISNUMBER('SW Rev'!R72),ISNUMBER('SW Rev'!N72)),'SW Rev'!R72-'SW Rev'!N72,""),"")</f>
        <v/>
      </c>
    </row>
    <row r="380">
      <c r="A380" s="19">
        <f>'SW Rev'!$A73</f>
        <v/>
      </c>
      <c r="B380" s="19">
        <f>'SW Rev'!$B73</f>
        <v/>
      </c>
      <c r="C380" s="30">
        <f>IFERROR(IF(AND(ISNUMBER('SW Rev'!G73),ISNUMBER('SW Rev'!C73)),'SW Rev'!G73-'SW Rev'!C73,""),"")</f>
        <v/>
      </c>
      <c r="D380" s="30">
        <f>IFERROR(IF(AND(ISNUMBER('SW Rev'!H73),ISNUMBER('SW Rev'!D73)),'SW Rev'!H73-'SW Rev'!D73,""),"")</f>
        <v/>
      </c>
      <c r="E380" s="30">
        <f>IFERROR(IF(AND(ISNUMBER('SW Rev'!I73),ISNUMBER('SW Rev'!E73)),'SW Rev'!I73-'SW Rev'!E73,""),"")</f>
        <v/>
      </c>
      <c r="F380" s="30">
        <f>IFERROR(IF(AND(ISNUMBER('SW Rev'!J73),ISNUMBER('SW Rev'!F73)),'SW Rev'!J73-'SW Rev'!F73,""),"")</f>
        <v/>
      </c>
      <c r="G380" s="30">
        <f>IFERROR(IF(AND(ISNUMBER('SW Rev'!K73),ISNUMBER('SW Rev'!G73)),'SW Rev'!K73-'SW Rev'!G73,""),"")</f>
        <v/>
      </c>
      <c r="H380" s="30">
        <f>IFERROR(IF(AND(ISNUMBER('SW Rev'!L73),ISNUMBER('SW Rev'!H73)),'SW Rev'!L73-'SW Rev'!H73,""),"")</f>
        <v/>
      </c>
      <c r="I380" s="30">
        <f>IFERROR(IF(AND(ISNUMBER('SW Rev'!M73),ISNUMBER('SW Rev'!I73)),'SW Rev'!M73-'SW Rev'!I73,""),"")</f>
        <v/>
      </c>
      <c r="J380" s="30">
        <f>IFERROR(IF(AND(ISNUMBER('SW Rev'!N73),ISNUMBER('SW Rev'!J73)),'SW Rev'!N73-'SW Rev'!J73,""),"")</f>
        <v/>
      </c>
      <c r="K380" s="30">
        <f>IFERROR(IF(AND(ISNUMBER('SW Rev'!O73),ISNUMBER('SW Rev'!K73)),'SW Rev'!O73-'SW Rev'!K73,""),"")</f>
        <v/>
      </c>
      <c r="L380" s="30">
        <f>IFERROR(IF(AND(ISNUMBER('SW Rev'!P73),ISNUMBER('SW Rev'!L73)),'SW Rev'!P73-'SW Rev'!L73,""),"")</f>
        <v/>
      </c>
      <c r="M380" s="31">
        <f>IFERROR(IF(AND(ISNUMBER('SW Rev'!Q73),ISNUMBER('SW Rev'!M73)),'SW Rev'!Q73-'SW Rev'!M73,""),"")</f>
        <v/>
      </c>
      <c r="N380" s="31">
        <f>IFERROR(IF(AND(ISNUMBER('SW Rev'!R73),ISNUMBER('SW Rev'!N73)),'SW Rev'!R73-'SW Rev'!N73,""),"")</f>
        <v/>
      </c>
    </row>
    <row r="381">
      <c r="A381" s="19">
        <f>'SW Rev'!$A74</f>
        <v/>
      </c>
      <c r="B381" s="19">
        <f>'SW Rev'!$B74</f>
        <v/>
      </c>
      <c r="C381" s="30">
        <f>IFERROR(IF(AND(ISNUMBER('SW Rev'!G74),ISNUMBER('SW Rev'!C74)),'SW Rev'!G74-'SW Rev'!C74,""),"")</f>
        <v/>
      </c>
      <c r="D381" s="30">
        <f>IFERROR(IF(AND(ISNUMBER('SW Rev'!H74),ISNUMBER('SW Rev'!D74)),'SW Rev'!H74-'SW Rev'!D74,""),"")</f>
        <v/>
      </c>
      <c r="E381" s="30">
        <f>IFERROR(IF(AND(ISNUMBER('SW Rev'!I74),ISNUMBER('SW Rev'!E74)),'SW Rev'!I74-'SW Rev'!E74,""),"")</f>
        <v/>
      </c>
      <c r="F381" s="30">
        <f>IFERROR(IF(AND(ISNUMBER('SW Rev'!J74),ISNUMBER('SW Rev'!F74)),'SW Rev'!J74-'SW Rev'!F74,""),"")</f>
        <v/>
      </c>
      <c r="G381" s="30">
        <f>IFERROR(IF(AND(ISNUMBER('SW Rev'!K74),ISNUMBER('SW Rev'!G74)),'SW Rev'!K74-'SW Rev'!G74,""),"")</f>
        <v/>
      </c>
      <c r="H381" s="30">
        <f>IFERROR(IF(AND(ISNUMBER('SW Rev'!L74),ISNUMBER('SW Rev'!H74)),'SW Rev'!L74-'SW Rev'!H74,""),"")</f>
        <v/>
      </c>
      <c r="I381" s="30">
        <f>IFERROR(IF(AND(ISNUMBER('SW Rev'!M74),ISNUMBER('SW Rev'!I74)),'SW Rev'!M74-'SW Rev'!I74,""),"")</f>
        <v/>
      </c>
      <c r="J381" s="30">
        <f>IFERROR(IF(AND(ISNUMBER('SW Rev'!N74),ISNUMBER('SW Rev'!J74)),'SW Rev'!N74-'SW Rev'!J74,""),"")</f>
        <v/>
      </c>
      <c r="K381" s="30">
        <f>IFERROR(IF(AND(ISNUMBER('SW Rev'!O74),ISNUMBER('SW Rev'!K74)),'SW Rev'!O74-'SW Rev'!K74,""),"")</f>
        <v/>
      </c>
      <c r="L381" s="30">
        <f>IFERROR(IF(AND(ISNUMBER('SW Rev'!P74),ISNUMBER('SW Rev'!L74)),'SW Rev'!P74-'SW Rev'!L74,""),"")</f>
        <v/>
      </c>
      <c r="M381" s="31">
        <f>IFERROR(IF(AND(ISNUMBER('SW Rev'!Q74),ISNUMBER('SW Rev'!M74)),'SW Rev'!Q74-'SW Rev'!M74,""),"")</f>
        <v/>
      </c>
      <c r="N381" s="31">
        <f>IFERROR(IF(AND(ISNUMBER('SW Rev'!R74),ISNUMBER('SW Rev'!N74)),'SW Rev'!R74-'SW Rev'!N74,""),"")</f>
        <v/>
      </c>
    </row>
    <row r="382">
      <c r="A382" s="19">
        <f>'SW Rev'!$A75</f>
        <v/>
      </c>
      <c r="B382" s="19">
        <f>'SW Rev'!$B75</f>
        <v/>
      </c>
      <c r="C382" s="30">
        <f>IFERROR(IF(AND(ISNUMBER('SW Rev'!G75),ISNUMBER('SW Rev'!C75)),'SW Rev'!G75-'SW Rev'!C75,""),"")</f>
        <v/>
      </c>
      <c r="D382" s="30">
        <f>IFERROR(IF(AND(ISNUMBER('SW Rev'!H75),ISNUMBER('SW Rev'!D75)),'SW Rev'!H75-'SW Rev'!D75,""),"")</f>
        <v/>
      </c>
      <c r="E382" s="30">
        <f>IFERROR(IF(AND(ISNUMBER('SW Rev'!I75),ISNUMBER('SW Rev'!E75)),'SW Rev'!I75-'SW Rev'!E75,""),"")</f>
        <v/>
      </c>
      <c r="F382" s="30">
        <f>IFERROR(IF(AND(ISNUMBER('SW Rev'!J75),ISNUMBER('SW Rev'!F75)),'SW Rev'!J75-'SW Rev'!F75,""),"")</f>
        <v/>
      </c>
      <c r="G382" s="30">
        <f>IFERROR(IF(AND(ISNUMBER('SW Rev'!K75),ISNUMBER('SW Rev'!G75)),'SW Rev'!K75-'SW Rev'!G75,""),"")</f>
        <v/>
      </c>
      <c r="H382" s="30">
        <f>IFERROR(IF(AND(ISNUMBER('SW Rev'!L75),ISNUMBER('SW Rev'!H75)),'SW Rev'!L75-'SW Rev'!H75,""),"")</f>
        <v/>
      </c>
      <c r="I382" s="30">
        <f>IFERROR(IF(AND(ISNUMBER('SW Rev'!M75),ISNUMBER('SW Rev'!I75)),'SW Rev'!M75-'SW Rev'!I75,""),"")</f>
        <v/>
      </c>
      <c r="J382" s="30">
        <f>IFERROR(IF(AND(ISNUMBER('SW Rev'!N75),ISNUMBER('SW Rev'!J75)),'SW Rev'!N75-'SW Rev'!J75,""),"")</f>
        <v/>
      </c>
      <c r="K382" s="30">
        <f>IFERROR(IF(AND(ISNUMBER('SW Rev'!O75),ISNUMBER('SW Rev'!K75)),'SW Rev'!O75-'SW Rev'!K75,""),"")</f>
        <v/>
      </c>
      <c r="L382" s="30">
        <f>IFERROR(IF(AND(ISNUMBER('SW Rev'!P75),ISNUMBER('SW Rev'!L75)),'SW Rev'!P75-'SW Rev'!L75,""),"")</f>
        <v/>
      </c>
      <c r="M382" s="31">
        <f>IFERROR(IF(AND(ISNUMBER('SW Rev'!Q75),ISNUMBER('SW Rev'!M75)),'SW Rev'!Q75-'SW Rev'!M75,""),"")</f>
        <v/>
      </c>
      <c r="N382" s="31">
        <f>IFERROR(IF(AND(ISNUMBER('SW Rev'!R75),ISNUMBER('SW Rev'!N75)),'SW Rev'!R75-'SW Rev'!N75,""),"")</f>
        <v/>
      </c>
    </row>
    <row r="383">
      <c r="A383" s="19">
        <f>'SW Rev'!$A76</f>
        <v/>
      </c>
      <c r="B383" s="19">
        <f>'SW Rev'!$B76</f>
        <v/>
      </c>
      <c r="C383" s="30">
        <f>IFERROR(IF(AND(ISNUMBER('SW Rev'!G76),ISNUMBER('SW Rev'!C76)),'SW Rev'!G76-'SW Rev'!C76,""),"")</f>
        <v/>
      </c>
      <c r="D383" s="30">
        <f>IFERROR(IF(AND(ISNUMBER('SW Rev'!H76),ISNUMBER('SW Rev'!D76)),'SW Rev'!H76-'SW Rev'!D76,""),"")</f>
        <v/>
      </c>
      <c r="E383" s="30">
        <f>IFERROR(IF(AND(ISNUMBER('SW Rev'!I76),ISNUMBER('SW Rev'!E76)),'SW Rev'!I76-'SW Rev'!E76,""),"")</f>
        <v/>
      </c>
      <c r="F383" s="30">
        <f>IFERROR(IF(AND(ISNUMBER('SW Rev'!J76),ISNUMBER('SW Rev'!F76)),'SW Rev'!J76-'SW Rev'!F76,""),"")</f>
        <v/>
      </c>
      <c r="G383" s="30">
        <f>IFERROR(IF(AND(ISNUMBER('SW Rev'!K76),ISNUMBER('SW Rev'!G76)),'SW Rev'!K76-'SW Rev'!G76,""),"")</f>
        <v/>
      </c>
      <c r="H383" s="30">
        <f>IFERROR(IF(AND(ISNUMBER('SW Rev'!L76),ISNUMBER('SW Rev'!H76)),'SW Rev'!L76-'SW Rev'!H76,""),"")</f>
        <v/>
      </c>
      <c r="I383" s="30">
        <f>IFERROR(IF(AND(ISNUMBER('SW Rev'!M76),ISNUMBER('SW Rev'!I76)),'SW Rev'!M76-'SW Rev'!I76,""),"")</f>
        <v/>
      </c>
      <c r="J383" s="30">
        <f>IFERROR(IF(AND(ISNUMBER('SW Rev'!N76),ISNUMBER('SW Rev'!J76)),'SW Rev'!N76-'SW Rev'!J76,""),"")</f>
        <v/>
      </c>
      <c r="K383" s="30">
        <f>IFERROR(IF(AND(ISNUMBER('SW Rev'!O76),ISNUMBER('SW Rev'!K76)),'SW Rev'!O76-'SW Rev'!K76,""),"")</f>
        <v/>
      </c>
      <c r="L383" s="30">
        <f>IFERROR(IF(AND(ISNUMBER('SW Rev'!P76),ISNUMBER('SW Rev'!L76)),'SW Rev'!P76-'SW Rev'!L76,""),"")</f>
        <v/>
      </c>
      <c r="M383" s="31">
        <f>IFERROR(IF(AND(ISNUMBER('SW Rev'!Q76),ISNUMBER('SW Rev'!M76)),'SW Rev'!Q76-'SW Rev'!M76,""),"")</f>
        <v/>
      </c>
      <c r="N383" s="31">
        <f>IFERROR(IF(AND(ISNUMBER('SW Rev'!R76),ISNUMBER('SW Rev'!N76)),'SW Rev'!R76-'SW Rev'!N76,""),"")</f>
        <v/>
      </c>
    </row>
    <row r="384">
      <c r="A384" s="19">
        <f>'SW Rev'!$A77</f>
        <v/>
      </c>
      <c r="B384" s="19">
        <f>'SW Rev'!$B77</f>
        <v/>
      </c>
      <c r="C384" s="30">
        <f>IFERROR(IF(AND(ISNUMBER('SW Rev'!G77),ISNUMBER('SW Rev'!C77)),'SW Rev'!G77-'SW Rev'!C77,""),"")</f>
        <v/>
      </c>
      <c r="D384" s="30">
        <f>IFERROR(IF(AND(ISNUMBER('SW Rev'!H77),ISNUMBER('SW Rev'!D77)),'SW Rev'!H77-'SW Rev'!D77,""),"")</f>
        <v/>
      </c>
      <c r="E384" s="30">
        <f>IFERROR(IF(AND(ISNUMBER('SW Rev'!I77),ISNUMBER('SW Rev'!E77)),'SW Rev'!I77-'SW Rev'!E77,""),"")</f>
        <v/>
      </c>
      <c r="F384" s="30">
        <f>IFERROR(IF(AND(ISNUMBER('SW Rev'!J77),ISNUMBER('SW Rev'!F77)),'SW Rev'!J77-'SW Rev'!F77,""),"")</f>
        <v/>
      </c>
      <c r="G384" s="30">
        <f>IFERROR(IF(AND(ISNUMBER('SW Rev'!K77),ISNUMBER('SW Rev'!G77)),'SW Rev'!K77-'SW Rev'!G77,""),"")</f>
        <v/>
      </c>
      <c r="H384" s="30">
        <f>IFERROR(IF(AND(ISNUMBER('SW Rev'!L77),ISNUMBER('SW Rev'!H77)),'SW Rev'!L77-'SW Rev'!H77,""),"")</f>
        <v/>
      </c>
      <c r="I384" s="30">
        <f>IFERROR(IF(AND(ISNUMBER('SW Rev'!M77),ISNUMBER('SW Rev'!I77)),'SW Rev'!M77-'SW Rev'!I77,""),"")</f>
        <v/>
      </c>
      <c r="J384" s="30">
        <f>IFERROR(IF(AND(ISNUMBER('SW Rev'!N77),ISNUMBER('SW Rev'!J77)),'SW Rev'!N77-'SW Rev'!J77,""),"")</f>
        <v/>
      </c>
      <c r="K384" s="30">
        <f>IFERROR(IF(AND(ISNUMBER('SW Rev'!O77),ISNUMBER('SW Rev'!K77)),'SW Rev'!O77-'SW Rev'!K77,""),"")</f>
        <v/>
      </c>
      <c r="L384" s="30">
        <f>IFERROR(IF(AND(ISNUMBER('SW Rev'!P77),ISNUMBER('SW Rev'!L77)),'SW Rev'!P77-'SW Rev'!L77,""),"")</f>
        <v/>
      </c>
      <c r="M384" s="31">
        <f>IFERROR(IF(AND(ISNUMBER('SW Rev'!Q77),ISNUMBER('SW Rev'!M77)),'SW Rev'!Q77-'SW Rev'!M77,""),"")</f>
        <v/>
      </c>
      <c r="N384" s="31">
        <f>IFERROR(IF(AND(ISNUMBER('SW Rev'!R77),ISNUMBER('SW Rev'!N77)),'SW Rev'!R77-'SW Rev'!N77,""),"")</f>
        <v/>
      </c>
    </row>
    <row r="385">
      <c r="A385" s="19">
        <f>'SW Rev'!$A78</f>
        <v/>
      </c>
      <c r="B385" s="19">
        <f>'SW Rev'!$B78</f>
        <v/>
      </c>
      <c r="C385" s="30">
        <f>IFERROR(IF(AND(ISNUMBER('SW Rev'!G78),ISNUMBER('SW Rev'!C78)),'SW Rev'!G78-'SW Rev'!C78,""),"")</f>
        <v/>
      </c>
      <c r="D385" s="30">
        <f>IFERROR(IF(AND(ISNUMBER('SW Rev'!H78),ISNUMBER('SW Rev'!D78)),'SW Rev'!H78-'SW Rev'!D78,""),"")</f>
        <v/>
      </c>
      <c r="E385" s="30">
        <f>IFERROR(IF(AND(ISNUMBER('SW Rev'!I78),ISNUMBER('SW Rev'!E78)),'SW Rev'!I78-'SW Rev'!E78,""),"")</f>
        <v/>
      </c>
      <c r="F385" s="30">
        <f>IFERROR(IF(AND(ISNUMBER('SW Rev'!J78),ISNUMBER('SW Rev'!F78)),'SW Rev'!J78-'SW Rev'!F78,""),"")</f>
        <v/>
      </c>
      <c r="G385" s="30">
        <f>IFERROR(IF(AND(ISNUMBER('SW Rev'!K78),ISNUMBER('SW Rev'!G78)),'SW Rev'!K78-'SW Rev'!G78,""),"")</f>
        <v/>
      </c>
      <c r="H385" s="30">
        <f>IFERROR(IF(AND(ISNUMBER('SW Rev'!L78),ISNUMBER('SW Rev'!H78)),'SW Rev'!L78-'SW Rev'!H78,""),"")</f>
        <v/>
      </c>
      <c r="I385" s="30">
        <f>IFERROR(IF(AND(ISNUMBER('SW Rev'!M78),ISNUMBER('SW Rev'!I78)),'SW Rev'!M78-'SW Rev'!I78,""),"")</f>
        <v/>
      </c>
      <c r="J385" s="30">
        <f>IFERROR(IF(AND(ISNUMBER('SW Rev'!N78),ISNUMBER('SW Rev'!J78)),'SW Rev'!N78-'SW Rev'!J78,""),"")</f>
        <v/>
      </c>
      <c r="K385" s="30">
        <f>IFERROR(IF(AND(ISNUMBER('SW Rev'!O78),ISNUMBER('SW Rev'!K78)),'SW Rev'!O78-'SW Rev'!K78,""),"")</f>
        <v/>
      </c>
      <c r="L385" s="30">
        <f>IFERROR(IF(AND(ISNUMBER('SW Rev'!P78),ISNUMBER('SW Rev'!L78)),'SW Rev'!P78-'SW Rev'!L78,""),"")</f>
        <v/>
      </c>
      <c r="M385" s="31">
        <f>IFERROR(IF(AND(ISNUMBER('SW Rev'!Q78),ISNUMBER('SW Rev'!M78)),'SW Rev'!Q78-'SW Rev'!M78,""),"")</f>
        <v/>
      </c>
      <c r="N385" s="31">
        <f>IFERROR(IF(AND(ISNUMBER('SW Rev'!R78),ISNUMBER('SW Rev'!N78)),'SW Rev'!R78-'SW Rev'!N78,""),"")</f>
        <v/>
      </c>
    </row>
    <row r="386">
      <c r="A386" s="19">
        <f>'SW Rev'!$A79</f>
        <v/>
      </c>
      <c r="B386" s="19">
        <f>'SW Rev'!$B79</f>
        <v/>
      </c>
      <c r="C386" s="30">
        <f>IFERROR(IF(AND(ISNUMBER('SW Rev'!G79),ISNUMBER('SW Rev'!C79)),'SW Rev'!G79-'SW Rev'!C79,""),"")</f>
        <v/>
      </c>
      <c r="D386" s="30">
        <f>IFERROR(IF(AND(ISNUMBER('SW Rev'!H79),ISNUMBER('SW Rev'!D79)),'SW Rev'!H79-'SW Rev'!D79,""),"")</f>
        <v/>
      </c>
      <c r="E386" s="30">
        <f>IFERROR(IF(AND(ISNUMBER('SW Rev'!I79),ISNUMBER('SW Rev'!E79)),'SW Rev'!I79-'SW Rev'!E79,""),"")</f>
        <v/>
      </c>
      <c r="F386" s="30">
        <f>IFERROR(IF(AND(ISNUMBER('SW Rev'!J79),ISNUMBER('SW Rev'!F79)),'SW Rev'!J79-'SW Rev'!F79,""),"")</f>
        <v/>
      </c>
      <c r="G386" s="30">
        <f>IFERROR(IF(AND(ISNUMBER('SW Rev'!K79),ISNUMBER('SW Rev'!G79)),'SW Rev'!K79-'SW Rev'!G79,""),"")</f>
        <v/>
      </c>
      <c r="H386" s="30">
        <f>IFERROR(IF(AND(ISNUMBER('SW Rev'!L79),ISNUMBER('SW Rev'!H79)),'SW Rev'!L79-'SW Rev'!H79,""),"")</f>
        <v/>
      </c>
      <c r="I386" s="30">
        <f>IFERROR(IF(AND(ISNUMBER('SW Rev'!M79),ISNUMBER('SW Rev'!I79)),'SW Rev'!M79-'SW Rev'!I79,""),"")</f>
        <v/>
      </c>
      <c r="J386" s="30">
        <f>IFERROR(IF(AND(ISNUMBER('SW Rev'!N79),ISNUMBER('SW Rev'!J79)),'SW Rev'!N79-'SW Rev'!J79,""),"")</f>
        <v/>
      </c>
      <c r="K386" s="30">
        <f>IFERROR(IF(AND(ISNUMBER('SW Rev'!O79),ISNUMBER('SW Rev'!K79)),'SW Rev'!O79-'SW Rev'!K79,""),"")</f>
        <v/>
      </c>
      <c r="L386" s="30">
        <f>IFERROR(IF(AND(ISNUMBER('SW Rev'!P79),ISNUMBER('SW Rev'!L79)),'SW Rev'!P79-'SW Rev'!L79,""),"")</f>
        <v/>
      </c>
      <c r="M386" s="31">
        <f>IFERROR(IF(AND(ISNUMBER('SW Rev'!Q79),ISNUMBER('SW Rev'!M79)),'SW Rev'!Q79-'SW Rev'!M79,""),"")</f>
        <v/>
      </c>
      <c r="N386" s="31">
        <f>IFERROR(IF(AND(ISNUMBER('SW Rev'!R79),ISNUMBER('SW Rev'!N79)),'SW Rev'!R79-'SW Rev'!N79,""),"")</f>
        <v/>
      </c>
    </row>
    <row r="387">
      <c r="A387" s="19">
        <f>'SW Rev'!$A80</f>
        <v/>
      </c>
      <c r="B387" s="19">
        <f>'SW Rev'!$B80</f>
        <v/>
      </c>
      <c r="C387" s="30">
        <f>IFERROR(IF(AND(ISNUMBER('SW Rev'!G80),ISNUMBER('SW Rev'!C80)),'SW Rev'!G80-'SW Rev'!C80,""),"")</f>
        <v/>
      </c>
      <c r="D387" s="30">
        <f>IFERROR(IF(AND(ISNUMBER('SW Rev'!H80),ISNUMBER('SW Rev'!D80)),'SW Rev'!H80-'SW Rev'!D80,""),"")</f>
        <v/>
      </c>
      <c r="E387" s="30">
        <f>IFERROR(IF(AND(ISNUMBER('SW Rev'!I80),ISNUMBER('SW Rev'!E80)),'SW Rev'!I80-'SW Rev'!E80,""),"")</f>
        <v/>
      </c>
      <c r="F387" s="30">
        <f>IFERROR(IF(AND(ISNUMBER('SW Rev'!J80),ISNUMBER('SW Rev'!F80)),'SW Rev'!J80-'SW Rev'!F80,""),"")</f>
        <v/>
      </c>
      <c r="G387" s="30">
        <f>IFERROR(IF(AND(ISNUMBER('SW Rev'!K80),ISNUMBER('SW Rev'!G80)),'SW Rev'!K80-'SW Rev'!G80,""),"")</f>
        <v/>
      </c>
      <c r="H387" s="30">
        <f>IFERROR(IF(AND(ISNUMBER('SW Rev'!L80),ISNUMBER('SW Rev'!H80)),'SW Rev'!L80-'SW Rev'!H80,""),"")</f>
        <v/>
      </c>
      <c r="I387" s="30">
        <f>IFERROR(IF(AND(ISNUMBER('SW Rev'!M80),ISNUMBER('SW Rev'!I80)),'SW Rev'!M80-'SW Rev'!I80,""),"")</f>
        <v/>
      </c>
      <c r="J387" s="30">
        <f>IFERROR(IF(AND(ISNUMBER('SW Rev'!N80),ISNUMBER('SW Rev'!J80)),'SW Rev'!N80-'SW Rev'!J80,""),"")</f>
        <v/>
      </c>
      <c r="K387" s="30">
        <f>IFERROR(IF(AND(ISNUMBER('SW Rev'!O80),ISNUMBER('SW Rev'!K80)),'SW Rev'!O80-'SW Rev'!K80,""),"")</f>
        <v/>
      </c>
      <c r="L387" s="30">
        <f>IFERROR(IF(AND(ISNUMBER('SW Rev'!P80),ISNUMBER('SW Rev'!L80)),'SW Rev'!P80-'SW Rev'!L80,""),"")</f>
        <v/>
      </c>
      <c r="M387" s="31">
        <f>IFERROR(IF(AND(ISNUMBER('SW Rev'!Q80),ISNUMBER('SW Rev'!M80)),'SW Rev'!Q80-'SW Rev'!M80,""),"")</f>
        <v/>
      </c>
      <c r="N387" s="31">
        <f>IFERROR(IF(AND(ISNUMBER('SW Rev'!R80),ISNUMBER('SW Rev'!N80)),'SW Rev'!R80-'SW Rev'!N80,""),"")</f>
        <v/>
      </c>
    </row>
    <row r="388">
      <c r="A388" s="19">
        <f>'SW Rev'!$A81</f>
        <v/>
      </c>
      <c r="B388" s="19">
        <f>'SW Rev'!$B81</f>
        <v/>
      </c>
      <c r="C388" s="30">
        <f>IFERROR(IF(AND(ISNUMBER('SW Rev'!G81),ISNUMBER('SW Rev'!C81)),'SW Rev'!G81-'SW Rev'!C81,""),"")</f>
        <v/>
      </c>
      <c r="D388" s="30">
        <f>IFERROR(IF(AND(ISNUMBER('SW Rev'!H81),ISNUMBER('SW Rev'!D81)),'SW Rev'!H81-'SW Rev'!D81,""),"")</f>
        <v/>
      </c>
      <c r="E388" s="30">
        <f>IFERROR(IF(AND(ISNUMBER('SW Rev'!I81),ISNUMBER('SW Rev'!E81)),'SW Rev'!I81-'SW Rev'!E81,""),"")</f>
        <v/>
      </c>
      <c r="F388" s="30">
        <f>IFERROR(IF(AND(ISNUMBER('SW Rev'!J81),ISNUMBER('SW Rev'!F81)),'SW Rev'!J81-'SW Rev'!F81,""),"")</f>
        <v/>
      </c>
      <c r="G388" s="30">
        <f>IFERROR(IF(AND(ISNUMBER('SW Rev'!K81),ISNUMBER('SW Rev'!G81)),'SW Rev'!K81-'SW Rev'!G81,""),"")</f>
        <v/>
      </c>
      <c r="H388" s="30">
        <f>IFERROR(IF(AND(ISNUMBER('SW Rev'!L81),ISNUMBER('SW Rev'!H81)),'SW Rev'!L81-'SW Rev'!H81,""),"")</f>
        <v/>
      </c>
      <c r="I388" s="30">
        <f>IFERROR(IF(AND(ISNUMBER('SW Rev'!M81),ISNUMBER('SW Rev'!I81)),'SW Rev'!M81-'SW Rev'!I81,""),"")</f>
        <v/>
      </c>
      <c r="J388" s="30">
        <f>IFERROR(IF(AND(ISNUMBER('SW Rev'!N81),ISNUMBER('SW Rev'!J81)),'SW Rev'!N81-'SW Rev'!J81,""),"")</f>
        <v/>
      </c>
      <c r="K388" s="30">
        <f>IFERROR(IF(AND(ISNUMBER('SW Rev'!O81),ISNUMBER('SW Rev'!K81)),'SW Rev'!O81-'SW Rev'!K81,""),"")</f>
        <v/>
      </c>
      <c r="L388" s="30">
        <f>IFERROR(IF(AND(ISNUMBER('SW Rev'!P81),ISNUMBER('SW Rev'!L81)),'SW Rev'!P81-'SW Rev'!L81,""),"")</f>
        <v/>
      </c>
      <c r="M388" s="31">
        <f>IFERROR(IF(AND(ISNUMBER('SW Rev'!Q81),ISNUMBER('SW Rev'!M81)),'SW Rev'!Q81-'SW Rev'!M81,""),"")</f>
        <v/>
      </c>
      <c r="N388" s="31">
        <f>IFERROR(IF(AND(ISNUMBER('SW Rev'!R81),ISNUMBER('SW Rev'!N81)),'SW Rev'!R81-'SW Rev'!N81,""),"")</f>
        <v/>
      </c>
    </row>
    <row r="389">
      <c r="A389" s="19">
        <f>'SW Rev'!$A82</f>
        <v/>
      </c>
      <c r="B389" s="19">
        <f>'SW Rev'!$B82</f>
        <v/>
      </c>
      <c r="C389" s="30">
        <f>IFERROR(IF(AND(ISNUMBER('SW Rev'!G82),ISNUMBER('SW Rev'!C82)),'SW Rev'!G82-'SW Rev'!C82,""),"")</f>
        <v/>
      </c>
      <c r="D389" s="30">
        <f>IFERROR(IF(AND(ISNUMBER('SW Rev'!H82),ISNUMBER('SW Rev'!D82)),'SW Rev'!H82-'SW Rev'!D82,""),"")</f>
        <v/>
      </c>
      <c r="E389" s="30">
        <f>IFERROR(IF(AND(ISNUMBER('SW Rev'!I82),ISNUMBER('SW Rev'!E82)),'SW Rev'!I82-'SW Rev'!E82,""),"")</f>
        <v/>
      </c>
      <c r="F389" s="30">
        <f>IFERROR(IF(AND(ISNUMBER('SW Rev'!J82),ISNUMBER('SW Rev'!F82)),'SW Rev'!J82-'SW Rev'!F82,""),"")</f>
        <v/>
      </c>
      <c r="G389" s="30">
        <f>IFERROR(IF(AND(ISNUMBER('SW Rev'!K82),ISNUMBER('SW Rev'!G82)),'SW Rev'!K82-'SW Rev'!G82,""),"")</f>
        <v/>
      </c>
      <c r="H389" s="30">
        <f>IFERROR(IF(AND(ISNUMBER('SW Rev'!L82),ISNUMBER('SW Rev'!H82)),'SW Rev'!L82-'SW Rev'!H82,""),"")</f>
        <v/>
      </c>
      <c r="I389" s="30">
        <f>IFERROR(IF(AND(ISNUMBER('SW Rev'!M82),ISNUMBER('SW Rev'!I82)),'SW Rev'!M82-'SW Rev'!I82,""),"")</f>
        <v/>
      </c>
      <c r="J389" s="30">
        <f>IFERROR(IF(AND(ISNUMBER('SW Rev'!N82),ISNUMBER('SW Rev'!J82)),'SW Rev'!N82-'SW Rev'!J82,""),"")</f>
        <v/>
      </c>
      <c r="K389" s="30">
        <f>IFERROR(IF(AND(ISNUMBER('SW Rev'!O82),ISNUMBER('SW Rev'!K82)),'SW Rev'!O82-'SW Rev'!K82,""),"")</f>
        <v/>
      </c>
      <c r="L389" s="30">
        <f>IFERROR(IF(AND(ISNUMBER('SW Rev'!P82),ISNUMBER('SW Rev'!L82)),'SW Rev'!P82-'SW Rev'!L82,""),"")</f>
        <v/>
      </c>
      <c r="M389" s="31">
        <f>IFERROR(IF(AND(ISNUMBER('SW Rev'!Q82),ISNUMBER('SW Rev'!M82)),'SW Rev'!Q82-'SW Rev'!M82,""),"")</f>
        <v/>
      </c>
      <c r="N389" s="31">
        <f>IFERROR(IF(AND(ISNUMBER('SW Rev'!R82),ISNUMBER('SW Rev'!N82)),'SW Rev'!R82-'SW Rev'!N82,""),"")</f>
        <v/>
      </c>
    </row>
    <row r="390">
      <c r="A390" s="19">
        <f>'SW Rev'!$A83</f>
        <v/>
      </c>
      <c r="B390" s="19">
        <f>'SW Rev'!$B83</f>
        <v/>
      </c>
      <c r="C390" s="30">
        <f>IFERROR(IF(AND(ISNUMBER('SW Rev'!G83),ISNUMBER('SW Rev'!C83)),'SW Rev'!G83-'SW Rev'!C83,""),"")</f>
        <v/>
      </c>
      <c r="D390" s="30">
        <f>IFERROR(IF(AND(ISNUMBER('SW Rev'!H83),ISNUMBER('SW Rev'!D83)),'SW Rev'!H83-'SW Rev'!D83,""),"")</f>
        <v/>
      </c>
      <c r="E390" s="30">
        <f>IFERROR(IF(AND(ISNUMBER('SW Rev'!I83),ISNUMBER('SW Rev'!E83)),'SW Rev'!I83-'SW Rev'!E83,""),"")</f>
        <v/>
      </c>
      <c r="F390" s="30">
        <f>IFERROR(IF(AND(ISNUMBER('SW Rev'!J83),ISNUMBER('SW Rev'!F83)),'SW Rev'!J83-'SW Rev'!F83,""),"")</f>
        <v/>
      </c>
      <c r="G390" s="30">
        <f>IFERROR(IF(AND(ISNUMBER('SW Rev'!K83),ISNUMBER('SW Rev'!G83)),'SW Rev'!K83-'SW Rev'!G83,""),"")</f>
        <v/>
      </c>
      <c r="H390" s="30">
        <f>IFERROR(IF(AND(ISNUMBER('SW Rev'!L83),ISNUMBER('SW Rev'!H83)),'SW Rev'!L83-'SW Rev'!H83,""),"")</f>
        <v/>
      </c>
      <c r="I390" s="30">
        <f>IFERROR(IF(AND(ISNUMBER('SW Rev'!M83),ISNUMBER('SW Rev'!I83)),'SW Rev'!M83-'SW Rev'!I83,""),"")</f>
        <v/>
      </c>
      <c r="J390" s="30">
        <f>IFERROR(IF(AND(ISNUMBER('SW Rev'!N83),ISNUMBER('SW Rev'!J83)),'SW Rev'!N83-'SW Rev'!J83,""),"")</f>
        <v/>
      </c>
      <c r="K390" s="30">
        <f>IFERROR(IF(AND(ISNUMBER('SW Rev'!O83),ISNUMBER('SW Rev'!K83)),'SW Rev'!O83-'SW Rev'!K83,""),"")</f>
        <v/>
      </c>
      <c r="L390" s="30">
        <f>IFERROR(IF(AND(ISNUMBER('SW Rev'!P83),ISNUMBER('SW Rev'!L83)),'SW Rev'!P83-'SW Rev'!L83,""),"")</f>
        <v/>
      </c>
      <c r="M390" s="31">
        <f>IFERROR(IF(AND(ISNUMBER('SW Rev'!Q83),ISNUMBER('SW Rev'!M83)),'SW Rev'!Q83-'SW Rev'!M83,""),"")</f>
        <v/>
      </c>
      <c r="N390" s="31">
        <f>IFERROR(IF(AND(ISNUMBER('SW Rev'!R83),ISNUMBER('SW Rev'!N83)),'SW Rev'!R83-'SW Rev'!N83,""),"")</f>
        <v/>
      </c>
    </row>
    <row r="391">
      <c r="A391" s="19">
        <f>'SW Rev'!$A84</f>
        <v/>
      </c>
      <c r="B391" s="19">
        <f>'SW Rev'!$B84</f>
        <v/>
      </c>
      <c r="C391" s="30">
        <f>IFERROR(IF(AND(ISNUMBER('SW Rev'!G84),ISNUMBER('SW Rev'!C84)),'SW Rev'!G84-'SW Rev'!C84,""),"")</f>
        <v/>
      </c>
      <c r="D391" s="30">
        <f>IFERROR(IF(AND(ISNUMBER('SW Rev'!H84),ISNUMBER('SW Rev'!D84)),'SW Rev'!H84-'SW Rev'!D84,""),"")</f>
        <v/>
      </c>
      <c r="E391" s="30">
        <f>IFERROR(IF(AND(ISNUMBER('SW Rev'!I84),ISNUMBER('SW Rev'!E84)),'SW Rev'!I84-'SW Rev'!E84,""),"")</f>
        <v/>
      </c>
      <c r="F391" s="30">
        <f>IFERROR(IF(AND(ISNUMBER('SW Rev'!J84),ISNUMBER('SW Rev'!F84)),'SW Rev'!J84-'SW Rev'!F84,""),"")</f>
        <v/>
      </c>
      <c r="G391" s="30">
        <f>IFERROR(IF(AND(ISNUMBER('SW Rev'!K84),ISNUMBER('SW Rev'!G84)),'SW Rev'!K84-'SW Rev'!G84,""),"")</f>
        <v/>
      </c>
      <c r="H391" s="30">
        <f>IFERROR(IF(AND(ISNUMBER('SW Rev'!L84),ISNUMBER('SW Rev'!H84)),'SW Rev'!L84-'SW Rev'!H84,""),"")</f>
        <v/>
      </c>
      <c r="I391" s="30">
        <f>IFERROR(IF(AND(ISNUMBER('SW Rev'!M84),ISNUMBER('SW Rev'!I84)),'SW Rev'!M84-'SW Rev'!I84,""),"")</f>
        <v/>
      </c>
      <c r="J391" s="30">
        <f>IFERROR(IF(AND(ISNUMBER('SW Rev'!N84),ISNUMBER('SW Rev'!J84)),'SW Rev'!N84-'SW Rev'!J84,""),"")</f>
        <v/>
      </c>
      <c r="K391" s="30">
        <f>IFERROR(IF(AND(ISNUMBER('SW Rev'!O84),ISNUMBER('SW Rev'!K84)),'SW Rev'!O84-'SW Rev'!K84,""),"")</f>
        <v/>
      </c>
      <c r="L391" s="30">
        <f>IFERROR(IF(AND(ISNUMBER('SW Rev'!P84),ISNUMBER('SW Rev'!L84)),'SW Rev'!P84-'SW Rev'!L84,""),"")</f>
        <v/>
      </c>
      <c r="M391" s="31">
        <f>IFERROR(IF(AND(ISNUMBER('SW Rev'!Q84),ISNUMBER('SW Rev'!M84)),'SW Rev'!Q84-'SW Rev'!M84,""),"")</f>
        <v/>
      </c>
      <c r="N391" s="31">
        <f>IFERROR(IF(AND(ISNUMBER('SW Rev'!R84),ISNUMBER('SW Rev'!N84)),'SW Rev'!R84-'SW Rev'!N84,""),"")</f>
        <v/>
      </c>
    </row>
    <row r="392">
      <c r="A392" s="19">
        <f>'SW Rev'!$A85</f>
        <v/>
      </c>
      <c r="B392" s="19">
        <f>'SW Rev'!$B85</f>
        <v/>
      </c>
      <c r="C392" s="30">
        <f>IFERROR(IF(AND(ISNUMBER('SW Rev'!G85),ISNUMBER('SW Rev'!C85)),'SW Rev'!G85-'SW Rev'!C85,""),"")</f>
        <v/>
      </c>
      <c r="D392" s="30">
        <f>IFERROR(IF(AND(ISNUMBER('SW Rev'!H85),ISNUMBER('SW Rev'!D85)),'SW Rev'!H85-'SW Rev'!D85,""),"")</f>
        <v/>
      </c>
      <c r="E392" s="30">
        <f>IFERROR(IF(AND(ISNUMBER('SW Rev'!I85),ISNUMBER('SW Rev'!E85)),'SW Rev'!I85-'SW Rev'!E85,""),"")</f>
        <v/>
      </c>
      <c r="F392" s="30">
        <f>IFERROR(IF(AND(ISNUMBER('SW Rev'!J85),ISNUMBER('SW Rev'!F85)),'SW Rev'!J85-'SW Rev'!F85,""),"")</f>
        <v/>
      </c>
      <c r="G392" s="30">
        <f>IFERROR(IF(AND(ISNUMBER('SW Rev'!K85),ISNUMBER('SW Rev'!G85)),'SW Rev'!K85-'SW Rev'!G85,""),"")</f>
        <v/>
      </c>
      <c r="H392" s="30">
        <f>IFERROR(IF(AND(ISNUMBER('SW Rev'!L85),ISNUMBER('SW Rev'!H85)),'SW Rev'!L85-'SW Rev'!H85,""),"")</f>
        <v/>
      </c>
      <c r="I392" s="30">
        <f>IFERROR(IF(AND(ISNUMBER('SW Rev'!M85),ISNUMBER('SW Rev'!I85)),'SW Rev'!M85-'SW Rev'!I85,""),"")</f>
        <v/>
      </c>
      <c r="J392" s="30">
        <f>IFERROR(IF(AND(ISNUMBER('SW Rev'!N85),ISNUMBER('SW Rev'!J85)),'SW Rev'!N85-'SW Rev'!J85,""),"")</f>
        <v/>
      </c>
      <c r="K392" s="30">
        <f>IFERROR(IF(AND(ISNUMBER('SW Rev'!O85),ISNUMBER('SW Rev'!K85)),'SW Rev'!O85-'SW Rev'!K85,""),"")</f>
        <v/>
      </c>
      <c r="L392" s="30">
        <f>IFERROR(IF(AND(ISNUMBER('SW Rev'!P85),ISNUMBER('SW Rev'!L85)),'SW Rev'!P85-'SW Rev'!L85,""),"")</f>
        <v/>
      </c>
      <c r="M392" s="31">
        <f>IFERROR(IF(AND(ISNUMBER('SW Rev'!Q85),ISNUMBER('SW Rev'!M85)),'SW Rev'!Q85-'SW Rev'!M85,""),"")</f>
        <v/>
      </c>
      <c r="N392" s="31">
        <f>IFERROR(IF(AND(ISNUMBER('SW Rev'!R85),ISNUMBER('SW Rev'!N85)),'SW Rev'!R85-'SW Rev'!N85,""),"")</f>
        <v/>
      </c>
    </row>
    <row r="393">
      <c r="A393" s="19">
        <f>'SW Rev'!$A86</f>
        <v/>
      </c>
      <c r="B393" s="19">
        <f>'SW Rev'!$B86</f>
        <v/>
      </c>
      <c r="C393" s="30">
        <f>IFERROR(IF(AND(ISNUMBER('SW Rev'!G86),ISNUMBER('SW Rev'!C86)),'SW Rev'!G86-'SW Rev'!C86,""),"")</f>
        <v/>
      </c>
      <c r="D393" s="30">
        <f>IFERROR(IF(AND(ISNUMBER('SW Rev'!H86),ISNUMBER('SW Rev'!D86)),'SW Rev'!H86-'SW Rev'!D86,""),"")</f>
        <v/>
      </c>
      <c r="E393" s="30">
        <f>IFERROR(IF(AND(ISNUMBER('SW Rev'!I86),ISNUMBER('SW Rev'!E86)),'SW Rev'!I86-'SW Rev'!E86,""),"")</f>
        <v/>
      </c>
      <c r="F393" s="30">
        <f>IFERROR(IF(AND(ISNUMBER('SW Rev'!J86),ISNUMBER('SW Rev'!F86)),'SW Rev'!J86-'SW Rev'!F86,""),"")</f>
        <v/>
      </c>
      <c r="G393" s="30">
        <f>IFERROR(IF(AND(ISNUMBER('SW Rev'!K86),ISNUMBER('SW Rev'!G86)),'SW Rev'!K86-'SW Rev'!G86,""),"")</f>
        <v/>
      </c>
      <c r="H393" s="30">
        <f>IFERROR(IF(AND(ISNUMBER('SW Rev'!L86),ISNUMBER('SW Rev'!H86)),'SW Rev'!L86-'SW Rev'!H86,""),"")</f>
        <v/>
      </c>
      <c r="I393" s="30">
        <f>IFERROR(IF(AND(ISNUMBER('SW Rev'!M86),ISNUMBER('SW Rev'!I86)),'SW Rev'!M86-'SW Rev'!I86,""),"")</f>
        <v/>
      </c>
      <c r="J393" s="30">
        <f>IFERROR(IF(AND(ISNUMBER('SW Rev'!N86),ISNUMBER('SW Rev'!J86)),'SW Rev'!N86-'SW Rev'!J86,""),"")</f>
        <v/>
      </c>
      <c r="K393" s="30">
        <f>IFERROR(IF(AND(ISNUMBER('SW Rev'!O86),ISNUMBER('SW Rev'!K86)),'SW Rev'!O86-'SW Rev'!K86,""),"")</f>
        <v/>
      </c>
      <c r="L393" s="30">
        <f>IFERROR(IF(AND(ISNUMBER('SW Rev'!P86),ISNUMBER('SW Rev'!L86)),'SW Rev'!P86-'SW Rev'!L86,""),"")</f>
        <v/>
      </c>
      <c r="M393" s="31">
        <f>IFERROR(IF(AND(ISNUMBER('SW Rev'!Q86),ISNUMBER('SW Rev'!M86)),'SW Rev'!Q86-'SW Rev'!M86,""),"")</f>
        <v/>
      </c>
      <c r="N393" s="31">
        <f>IFERROR(IF(AND(ISNUMBER('SW Rev'!R86),ISNUMBER('SW Rev'!N86)),'SW Rev'!R86-'SW Rev'!N86,""),"")</f>
        <v/>
      </c>
    </row>
    <row r="394">
      <c r="A394" s="19">
        <f>'SW Rev'!$A87</f>
        <v/>
      </c>
      <c r="B394" s="19">
        <f>'SW Rev'!$B87</f>
        <v/>
      </c>
      <c r="C394" s="30">
        <f>IFERROR(IF(AND(ISNUMBER('SW Rev'!G87),ISNUMBER('SW Rev'!C87)),'SW Rev'!G87-'SW Rev'!C87,""),"")</f>
        <v/>
      </c>
      <c r="D394" s="30">
        <f>IFERROR(IF(AND(ISNUMBER('SW Rev'!H87),ISNUMBER('SW Rev'!D87)),'SW Rev'!H87-'SW Rev'!D87,""),"")</f>
        <v/>
      </c>
      <c r="E394" s="30">
        <f>IFERROR(IF(AND(ISNUMBER('SW Rev'!I87),ISNUMBER('SW Rev'!E87)),'SW Rev'!I87-'SW Rev'!E87,""),"")</f>
        <v/>
      </c>
      <c r="F394" s="30">
        <f>IFERROR(IF(AND(ISNUMBER('SW Rev'!J87),ISNUMBER('SW Rev'!F87)),'SW Rev'!J87-'SW Rev'!F87,""),"")</f>
        <v/>
      </c>
      <c r="G394" s="30">
        <f>IFERROR(IF(AND(ISNUMBER('SW Rev'!K87),ISNUMBER('SW Rev'!G87)),'SW Rev'!K87-'SW Rev'!G87,""),"")</f>
        <v/>
      </c>
      <c r="H394" s="30">
        <f>IFERROR(IF(AND(ISNUMBER('SW Rev'!L87),ISNUMBER('SW Rev'!H87)),'SW Rev'!L87-'SW Rev'!H87,""),"")</f>
        <v/>
      </c>
      <c r="I394" s="30">
        <f>IFERROR(IF(AND(ISNUMBER('SW Rev'!M87),ISNUMBER('SW Rev'!I87)),'SW Rev'!M87-'SW Rev'!I87,""),"")</f>
        <v/>
      </c>
      <c r="J394" s="30">
        <f>IFERROR(IF(AND(ISNUMBER('SW Rev'!N87),ISNUMBER('SW Rev'!J87)),'SW Rev'!N87-'SW Rev'!J87,""),"")</f>
        <v/>
      </c>
      <c r="K394" s="30">
        <f>IFERROR(IF(AND(ISNUMBER('SW Rev'!O87),ISNUMBER('SW Rev'!K87)),'SW Rev'!O87-'SW Rev'!K87,""),"")</f>
        <v/>
      </c>
      <c r="L394" s="30">
        <f>IFERROR(IF(AND(ISNUMBER('SW Rev'!P87),ISNUMBER('SW Rev'!L87)),'SW Rev'!P87-'SW Rev'!L87,""),"")</f>
        <v/>
      </c>
      <c r="M394" s="31">
        <f>IFERROR(IF(AND(ISNUMBER('SW Rev'!Q87),ISNUMBER('SW Rev'!M87)),'SW Rev'!Q87-'SW Rev'!M87,""),"")</f>
        <v/>
      </c>
      <c r="N394" s="31">
        <f>IFERROR(IF(AND(ISNUMBER('SW Rev'!R87),ISNUMBER('SW Rev'!N87)),'SW Rev'!R87-'SW Rev'!N87,""),"")</f>
        <v/>
      </c>
    </row>
    <row r="395">
      <c r="A395" s="19">
        <f>'SW Rev'!$A88</f>
        <v/>
      </c>
      <c r="B395" s="19">
        <f>'SW Rev'!$B88</f>
        <v/>
      </c>
      <c r="C395" s="30">
        <f>IFERROR(IF(AND(ISNUMBER('SW Rev'!G88),ISNUMBER('SW Rev'!C88)),'SW Rev'!G88-'SW Rev'!C88,""),"")</f>
        <v/>
      </c>
      <c r="D395" s="30">
        <f>IFERROR(IF(AND(ISNUMBER('SW Rev'!H88),ISNUMBER('SW Rev'!D88)),'SW Rev'!H88-'SW Rev'!D88,""),"")</f>
        <v/>
      </c>
      <c r="E395" s="30">
        <f>IFERROR(IF(AND(ISNUMBER('SW Rev'!I88),ISNUMBER('SW Rev'!E88)),'SW Rev'!I88-'SW Rev'!E88,""),"")</f>
        <v/>
      </c>
      <c r="F395" s="30">
        <f>IFERROR(IF(AND(ISNUMBER('SW Rev'!J88),ISNUMBER('SW Rev'!F88)),'SW Rev'!J88-'SW Rev'!F88,""),"")</f>
        <v/>
      </c>
      <c r="G395" s="30">
        <f>IFERROR(IF(AND(ISNUMBER('SW Rev'!K88),ISNUMBER('SW Rev'!G88)),'SW Rev'!K88-'SW Rev'!G88,""),"")</f>
        <v/>
      </c>
      <c r="H395" s="30">
        <f>IFERROR(IF(AND(ISNUMBER('SW Rev'!L88),ISNUMBER('SW Rev'!H88)),'SW Rev'!L88-'SW Rev'!H88,""),"")</f>
        <v/>
      </c>
      <c r="I395" s="30">
        <f>IFERROR(IF(AND(ISNUMBER('SW Rev'!M88),ISNUMBER('SW Rev'!I88)),'SW Rev'!M88-'SW Rev'!I88,""),"")</f>
        <v/>
      </c>
      <c r="J395" s="30">
        <f>IFERROR(IF(AND(ISNUMBER('SW Rev'!N88),ISNUMBER('SW Rev'!J88)),'SW Rev'!N88-'SW Rev'!J88,""),"")</f>
        <v/>
      </c>
      <c r="K395" s="30">
        <f>IFERROR(IF(AND(ISNUMBER('SW Rev'!O88),ISNUMBER('SW Rev'!K88)),'SW Rev'!O88-'SW Rev'!K88,""),"")</f>
        <v/>
      </c>
      <c r="L395" s="30">
        <f>IFERROR(IF(AND(ISNUMBER('SW Rev'!P88),ISNUMBER('SW Rev'!L88)),'SW Rev'!P88-'SW Rev'!L88,""),"")</f>
        <v/>
      </c>
      <c r="M395" s="31">
        <f>IFERROR(IF(AND(ISNUMBER('SW Rev'!Q88),ISNUMBER('SW Rev'!M88)),'SW Rev'!Q88-'SW Rev'!M88,""),"")</f>
        <v/>
      </c>
      <c r="N395" s="31">
        <f>IFERROR(IF(AND(ISNUMBER('SW Rev'!R88),ISNUMBER('SW Rev'!N88)),'SW Rev'!R88-'SW Rev'!N88,""),"")</f>
        <v/>
      </c>
    </row>
    <row r="396">
      <c r="A396" s="19">
        <f>'SW Rev'!$A89</f>
        <v/>
      </c>
      <c r="B396" s="19">
        <f>'SW Rev'!$B89</f>
        <v/>
      </c>
      <c r="C396" s="30">
        <f>IFERROR(IF(AND(ISNUMBER('SW Rev'!G89),ISNUMBER('SW Rev'!C89)),'SW Rev'!G89-'SW Rev'!C89,""),"")</f>
        <v/>
      </c>
      <c r="D396" s="30">
        <f>IFERROR(IF(AND(ISNUMBER('SW Rev'!H89),ISNUMBER('SW Rev'!D89)),'SW Rev'!H89-'SW Rev'!D89,""),"")</f>
        <v/>
      </c>
      <c r="E396" s="30">
        <f>IFERROR(IF(AND(ISNUMBER('SW Rev'!I89),ISNUMBER('SW Rev'!E89)),'SW Rev'!I89-'SW Rev'!E89,""),"")</f>
        <v/>
      </c>
      <c r="F396" s="30">
        <f>IFERROR(IF(AND(ISNUMBER('SW Rev'!J89),ISNUMBER('SW Rev'!F89)),'SW Rev'!J89-'SW Rev'!F89,""),"")</f>
        <v/>
      </c>
      <c r="G396" s="30">
        <f>IFERROR(IF(AND(ISNUMBER('SW Rev'!K89),ISNUMBER('SW Rev'!G89)),'SW Rev'!K89-'SW Rev'!G89,""),"")</f>
        <v/>
      </c>
      <c r="H396" s="30">
        <f>IFERROR(IF(AND(ISNUMBER('SW Rev'!L89),ISNUMBER('SW Rev'!H89)),'SW Rev'!L89-'SW Rev'!H89,""),"")</f>
        <v/>
      </c>
      <c r="I396" s="30">
        <f>IFERROR(IF(AND(ISNUMBER('SW Rev'!M89),ISNUMBER('SW Rev'!I89)),'SW Rev'!M89-'SW Rev'!I89,""),"")</f>
        <v/>
      </c>
      <c r="J396" s="30">
        <f>IFERROR(IF(AND(ISNUMBER('SW Rev'!N89),ISNUMBER('SW Rev'!J89)),'SW Rev'!N89-'SW Rev'!J89,""),"")</f>
        <v/>
      </c>
      <c r="K396" s="30">
        <f>IFERROR(IF(AND(ISNUMBER('SW Rev'!O89),ISNUMBER('SW Rev'!K89)),'SW Rev'!O89-'SW Rev'!K89,""),"")</f>
        <v/>
      </c>
      <c r="L396" s="30">
        <f>IFERROR(IF(AND(ISNUMBER('SW Rev'!P89),ISNUMBER('SW Rev'!L89)),'SW Rev'!P89-'SW Rev'!L89,""),"")</f>
        <v/>
      </c>
      <c r="M396" s="31">
        <f>IFERROR(IF(AND(ISNUMBER('SW Rev'!Q89),ISNUMBER('SW Rev'!M89)),'SW Rev'!Q89-'SW Rev'!M89,""),"")</f>
        <v/>
      </c>
      <c r="N396" s="31">
        <f>IFERROR(IF(AND(ISNUMBER('SW Rev'!R89),ISNUMBER('SW Rev'!N89)),'SW Rev'!R89-'SW Rev'!N89,""),"")</f>
        <v/>
      </c>
    </row>
    <row r="397">
      <c r="A397" s="19">
        <f>'SW Rev'!$A90</f>
        <v/>
      </c>
      <c r="B397" s="19">
        <f>'SW Rev'!$B90</f>
        <v/>
      </c>
      <c r="C397" s="30">
        <f>IFERROR(IF(AND(ISNUMBER('SW Rev'!G90),ISNUMBER('SW Rev'!C90)),'SW Rev'!G90-'SW Rev'!C90,""),"")</f>
        <v/>
      </c>
      <c r="D397" s="30">
        <f>IFERROR(IF(AND(ISNUMBER('SW Rev'!H90),ISNUMBER('SW Rev'!D90)),'SW Rev'!H90-'SW Rev'!D90,""),"")</f>
        <v/>
      </c>
      <c r="E397" s="30">
        <f>IFERROR(IF(AND(ISNUMBER('SW Rev'!I90),ISNUMBER('SW Rev'!E90)),'SW Rev'!I90-'SW Rev'!E90,""),"")</f>
        <v/>
      </c>
      <c r="F397" s="30">
        <f>IFERROR(IF(AND(ISNUMBER('SW Rev'!J90),ISNUMBER('SW Rev'!F90)),'SW Rev'!J90-'SW Rev'!F90,""),"")</f>
        <v/>
      </c>
      <c r="G397" s="30">
        <f>IFERROR(IF(AND(ISNUMBER('SW Rev'!K90),ISNUMBER('SW Rev'!G90)),'SW Rev'!K90-'SW Rev'!G90,""),"")</f>
        <v/>
      </c>
      <c r="H397" s="30">
        <f>IFERROR(IF(AND(ISNUMBER('SW Rev'!L90),ISNUMBER('SW Rev'!H90)),'SW Rev'!L90-'SW Rev'!H90,""),"")</f>
        <v/>
      </c>
      <c r="I397" s="30">
        <f>IFERROR(IF(AND(ISNUMBER('SW Rev'!M90),ISNUMBER('SW Rev'!I90)),'SW Rev'!M90-'SW Rev'!I90,""),"")</f>
        <v/>
      </c>
      <c r="J397" s="30">
        <f>IFERROR(IF(AND(ISNUMBER('SW Rev'!N90),ISNUMBER('SW Rev'!J90)),'SW Rev'!N90-'SW Rev'!J90,""),"")</f>
        <v/>
      </c>
      <c r="K397" s="30">
        <f>IFERROR(IF(AND(ISNUMBER('SW Rev'!O90),ISNUMBER('SW Rev'!K90)),'SW Rev'!O90-'SW Rev'!K90,""),"")</f>
        <v/>
      </c>
      <c r="L397" s="30">
        <f>IFERROR(IF(AND(ISNUMBER('SW Rev'!P90),ISNUMBER('SW Rev'!L90)),'SW Rev'!P90-'SW Rev'!L90,""),"")</f>
        <v/>
      </c>
      <c r="M397" s="31">
        <f>IFERROR(IF(AND(ISNUMBER('SW Rev'!Q90),ISNUMBER('SW Rev'!M90)),'SW Rev'!Q90-'SW Rev'!M90,""),"")</f>
        <v/>
      </c>
      <c r="N397" s="31">
        <f>IFERROR(IF(AND(ISNUMBER('SW Rev'!R90),ISNUMBER('SW Rev'!N90)),'SW Rev'!R90-'SW Rev'!N90,""),"")</f>
        <v/>
      </c>
    </row>
    <row r="398">
      <c r="A398" s="19">
        <f>'SW Rev'!$A91</f>
        <v/>
      </c>
      <c r="B398" s="19">
        <f>'SW Rev'!$B91</f>
        <v/>
      </c>
      <c r="C398" s="30">
        <f>IFERROR(IF(AND(ISNUMBER('SW Rev'!G91),ISNUMBER('SW Rev'!C91)),'SW Rev'!G91-'SW Rev'!C91,""),"")</f>
        <v/>
      </c>
      <c r="D398" s="30">
        <f>IFERROR(IF(AND(ISNUMBER('SW Rev'!H91),ISNUMBER('SW Rev'!D91)),'SW Rev'!H91-'SW Rev'!D91,""),"")</f>
        <v/>
      </c>
      <c r="E398" s="30">
        <f>IFERROR(IF(AND(ISNUMBER('SW Rev'!I91),ISNUMBER('SW Rev'!E91)),'SW Rev'!I91-'SW Rev'!E91,""),"")</f>
        <v/>
      </c>
      <c r="F398" s="30">
        <f>IFERROR(IF(AND(ISNUMBER('SW Rev'!J91),ISNUMBER('SW Rev'!F91)),'SW Rev'!J91-'SW Rev'!F91,""),"")</f>
        <v/>
      </c>
      <c r="G398" s="30">
        <f>IFERROR(IF(AND(ISNUMBER('SW Rev'!K91),ISNUMBER('SW Rev'!G91)),'SW Rev'!K91-'SW Rev'!G91,""),"")</f>
        <v/>
      </c>
      <c r="H398" s="30">
        <f>IFERROR(IF(AND(ISNUMBER('SW Rev'!L91),ISNUMBER('SW Rev'!H91)),'SW Rev'!L91-'SW Rev'!H91,""),"")</f>
        <v/>
      </c>
      <c r="I398" s="30">
        <f>IFERROR(IF(AND(ISNUMBER('SW Rev'!M91),ISNUMBER('SW Rev'!I91)),'SW Rev'!M91-'SW Rev'!I91,""),"")</f>
        <v/>
      </c>
      <c r="J398" s="30">
        <f>IFERROR(IF(AND(ISNUMBER('SW Rev'!N91),ISNUMBER('SW Rev'!J91)),'SW Rev'!N91-'SW Rev'!J91,""),"")</f>
        <v/>
      </c>
      <c r="K398" s="30">
        <f>IFERROR(IF(AND(ISNUMBER('SW Rev'!O91),ISNUMBER('SW Rev'!K91)),'SW Rev'!O91-'SW Rev'!K91,""),"")</f>
        <v/>
      </c>
      <c r="L398" s="30">
        <f>IFERROR(IF(AND(ISNUMBER('SW Rev'!P91),ISNUMBER('SW Rev'!L91)),'SW Rev'!P91-'SW Rev'!L91,""),"")</f>
        <v/>
      </c>
      <c r="M398" s="31">
        <f>IFERROR(IF(AND(ISNUMBER('SW Rev'!Q91),ISNUMBER('SW Rev'!M91)),'SW Rev'!Q91-'SW Rev'!M91,""),"")</f>
        <v/>
      </c>
      <c r="N398" s="31">
        <f>IFERROR(IF(AND(ISNUMBER('SW Rev'!R91),ISNUMBER('SW Rev'!N91)),'SW Rev'!R91-'SW Rev'!N91,""),"")</f>
        <v/>
      </c>
    </row>
    <row r="399">
      <c r="A399" s="19">
        <f>'SW Rev'!$A92</f>
        <v/>
      </c>
      <c r="B399" s="19">
        <f>'SW Rev'!$B92</f>
        <v/>
      </c>
      <c r="C399" s="30">
        <f>IFERROR(IF(AND(ISNUMBER('SW Rev'!G92),ISNUMBER('SW Rev'!C92)),'SW Rev'!G92-'SW Rev'!C92,""),"")</f>
        <v/>
      </c>
      <c r="D399" s="30">
        <f>IFERROR(IF(AND(ISNUMBER('SW Rev'!H92),ISNUMBER('SW Rev'!D92)),'SW Rev'!H92-'SW Rev'!D92,""),"")</f>
        <v/>
      </c>
      <c r="E399" s="30">
        <f>IFERROR(IF(AND(ISNUMBER('SW Rev'!I92),ISNUMBER('SW Rev'!E92)),'SW Rev'!I92-'SW Rev'!E92,""),"")</f>
        <v/>
      </c>
      <c r="F399" s="30">
        <f>IFERROR(IF(AND(ISNUMBER('SW Rev'!J92),ISNUMBER('SW Rev'!F92)),'SW Rev'!J92-'SW Rev'!F92,""),"")</f>
        <v/>
      </c>
      <c r="G399" s="30">
        <f>IFERROR(IF(AND(ISNUMBER('SW Rev'!K92),ISNUMBER('SW Rev'!G92)),'SW Rev'!K92-'SW Rev'!G92,""),"")</f>
        <v/>
      </c>
      <c r="H399" s="30">
        <f>IFERROR(IF(AND(ISNUMBER('SW Rev'!L92),ISNUMBER('SW Rev'!H92)),'SW Rev'!L92-'SW Rev'!H92,""),"")</f>
        <v/>
      </c>
      <c r="I399" s="30">
        <f>IFERROR(IF(AND(ISNUMBER('SW Rev'!M92),ISNUMBER('SW Rev'!I92)),'SW Rev'!M92-'SW Rev'!I92,""),"")</f>
        <v/>
      </c>
      <c r="J399" s="30">
        <f>IFERROR(IF(AND(ISNUMBER('SW Rev'!N92),ISNUMBER('SW Rev'!J92)),'SW Rev'!N92-'SW Rev'!J92,""),"")</f>
        <v/>
      </c>
      <c r="K399" s="30">
        <f>IFERROR(IF(AND(ISNUMBER('SW Rev'!O92),ISNUMBER('SW Rev'!K92)),'SW Rev'!O92-'SW Rev'!K92,""),"")</f>
        <v/>
      </c>
      <c r="L399" s="30">
        <f>IFERROR(IF(AND(ISNUMBER('SW Rev'!P92),ISNUMBER('SW Rev'!L92)),'SW Rev'!P92-'SW Rev'!L92,""),"")</f>
        <v/>
      </c>
      <c r="M399" s="31">
        <f>IFERROR(IF(AND(ISNUMBER('SW Rev'!Q92),ISNUMBER('SW Rev'!M92)),'SW Rev'!Q92-'SW Rev'!M92,""),"")</f>
        <v/>
      </c>
      <c r="N399" s="31">
        <f>IFERROR(IF(AND(ISNUMBER('SW Rev'!R92),ISNUMBER('SW Rev'!N92)),'SW Rev'!R92-'SW Rev'!N92,""),"")</f>
        <v/>
      </c>
    </row>
    <row r="400">
      <c r="A400" s="19">
        <f>'SW Rev'!$A93</f>
        <v/>
      </c>
      <c r="B400" s="19">
        <f>'SW Rev'!$B93</f>
        <v/>
      </c>
      <c r="C400" s="30">
        <f>IFERROR(IF(AND(ISNUMBER('SW Rev'!G93),ISNUMBER('SW Rev'!C93)),'SW Rev'!G93-'SW Rev'!C93,""),"")</f>
        <v/>
      </c>
      <c r="D400" s="30">
        <f>IFERROR(IF(AND(ISNUMBER('SW Rev'!H93),ISNUMBER('SW Rev'!D93)),'SW Rev'!H93-'SW Rev'!D93,""),"")</f>
        <v/>
      </c>
      <c r="E400" s="30">
        <f>IFERROR(IF(AND(ISNUMBER('SW Rev'!I93),ISNUMBER('SW Rev'!E93)),'SW Rev'!I93-'SW Rev'!E93,""),"")</f>
        <v/>
      </c>
      <c r="F400" s="30">
        <f>IFERROR(IF(AND(ISNUMBER('SW Rev'!J93),ISNUMBER('SW Rev'!F93)),'SW Rev'!J93-'SW Rev'!F93,""),"")</f>
        <v/>
      </c>
      <c r="G400" s="30">
        <f>IFERROR(IF(AND(ISNUMBER('SW Rev'!K93),ISNUMBER('SW Rev'!G93)),'SW Rev'!K93-'SW Rev'!G93,""),"")</f>
        <v/>
      </c>
      <c r="H400" s="30">
        <f>IFERROR(IF(AND(ISNUMBER('SW Rev'!L93),ISNUMBER('SW Rev'!H93)),'SW Rev'!L93-'SW Rev'!H93,""),"")</f>
        <v/>
      </c>
      <c r="I400" s="30">
        <f>IFERROR(IF(AND(ISNUMBER('SW Rev'!M93),ISNUMBER('SW Rev'!I93)),'SW Rev'!M93-'SW Rev'!I93,""),"")</f>
        <v/>
      </c>
      <c r="J400" s="30">
        <f>IFERROR(IF(AND(ISNUMBER('SW Rev'!N93),ISNUMBER('SW Rev'!J93)),'SW Rev'!N93-'SW Rev'!J93,""),"")</f>
        <v/>
      </c>
      <c r="K400" s="30">
        <f>IFERROR(IF(AND(ISNUMBER('SW Rev'!O93),ISNUMBER('SW Rev'!K93)),'SW Rev'!O93-'SW Rev'!K93,""),"")</f>
        <v/>
      </c>
      <c r="L400" s="30">
        <f>IFERROR(IF(AND(ISNUMBER('SW Rev'!P93),ISNUMBER('SW Rev'!L93)),'SW Rev'!P93-'SW Rev'!L93,""),"")</f>
        <v/>
      </c>
      <c r="M400" s="31">
        <f>IFERROR(IF(AND(ISNUMBER('SW Rev'!Q93),ISNUMBER('SW Rev'!M93)),'SW Rev'!Q93-'SW Rev'!M93,""),"")</f>
        <v/>
      </c>
      <c r="N400" s="31">
        <f>IFERROR(IF(AND(ISNUMBER('SW Rev'!R93),ISNUMBER('SW Rev'!N93)),'SW Rev'!R93-'SW Rev'!N93,""),"")</f>
        <v/>
      </c>
    </row>
    <row r="401">
      <c r="A401" s="19">
        <f>'SW Rev'!$A94</f>
        <v/>
      </c>
      <c r="B401" s="19">
        <f>'SW Rev'!$B94</f>
        <v/>
      </c>
      <c r="C401" s="30">
        <f>IFERROR(IF(AND(ISNUMBER('SW Rev'!G94),ISNUMBER('SW Rev'!C94)),'SW Rev'!G94-'SW Rev'!C94,""),"")</f>
        <v/>
      </c>
      <c r="D401" s="30">
        <f>IFERROR(IF(AND(ISNUMBER('SW Rev'!H94),ISNUMBER('SW Rev'!D94)),'SW Rev'!H94-'SW Rev'!D94,""),"")</f>
        <v/>
      </c>
      <c r="E401" s="30">
        <f>IFERROR(IF(AND(ISNUMBER('SW Rev'!I94),ISNUMBER('SW Rev'!E94)),'SW Rev'!I94-'SW Rev'!E94,""),"")</f>
        <v/>
      </c>
      <c r="F401" s="30">
        <f>IFERROR(IF(AND(ISNUMBER('SW Rev'!J94),ISNUMBER('SW Rev'!F94)),'SW Rev'!J94-'SW Rev'!F94,""),"")</f>
        <v/>
      </c>
      <c r="G401" s="30">
        <f>IFERROR(IF(AND(ISNUMBER('SW Rev'!K94),ISNUMBER('SW Rev'!G94)),'SW Rev'!K94-'SW Rev'!G94,""),"")</f>
        <v/>
      </c>
      <c r="H401" s="30">
        <f>IFERROR(IF(AND(ISNUMBER('SW Rev'!L94),ISNUMBER('SW Rev'!H94)),'SW Rev'!L94-'SW Rev'!H94,""),"")</f>
        <v/>
      </c>
      <c r="I401" s="30">
        <f>IFERROR(IF(AND(ISNUMBER('SW Rev'!M94),ISNUMBER('SW Rev'!I94)),'SW Rev'!M94-'SW Rev'!I94,""),"")</f>
        <v/>
      </c>
      <c r="J401" s="30">
        <f>IFERROR(IF(AND(ISNUMBER('SW Rev'!N94),ISNUMBER('SW Rev'!J94)),'SW Rev'!N94-'SW Rev'!J94,""),"")</f>
        <v/>
      </c>
      <c r="K401" s="30">
        <f>IFERROR(IF(AND(ISNUMBER('SW Rev'!O94),ISNUMBER('SW Rev'!K94)),'SW Rev'!O94-'SW Rev'!K94,""),"")</f>
        <v/>
      </c>
      <c r="L401" s="30">
        <f>IFERROR(IF(AND(ISNUMBER('SW Rev'!P94),ISNUMBER('SW Rev'!L94)),'SW Rev'!P94-'SW Rev'!L94,""),"")</f>
        <v/>
      </c>
      <c r="M401" s="31">
        <f>IFERROR(IF(AND(ISNUMBER('SW Rev'!Q94),ISNUMBER('SW Rev'!M94)),'SW Rev'!Q94-'SW Rev'!M94,""),"")</f>
        <v/>
      </c>
      <c r="N401" s="31">
        <f>IFERROR(IF(AND(ISNUMBER('SW Rev'!R94),ISNUMBER('SW Rev'!N94)),'SW Rev'!R94-'SW Rev'!N94,""),"")</f>
        <v/>
      </c>
    </row>
    <row r="402">
      <c r="A402" s="19">
        <f>'SW Rev'!$A95</f>
        <v/>
      </c>
      <c r="B402" s="19">
        <f>'SW Rev'!$B95</f>
        <v/>
      </c>
      <c r="C402" s="30">
        <f>IFERROR(IF(AND(ISNUMBER('SW Rev'!G95),ISNUMBER('SW Rev'!C95)),'SW Rev'!G95-'SW Rev'!C95,""),"")</f>
        <v/>
      </c>
      <c r="D402" s="30">
        <f>IFERROR(IF(AND(ISNUMBER('SW Rev'!H95),ISNUMBER('SW Rev'!D95)),'SW Rev'!H95-'SW Rev'!D95,""),"")</f>
        <v/>
      </c>
      <c r="E402" s="30">
        <f>IFERROR(IF(AND(ISNUMBER('SW Rev'!I95),ISNUMBER('SW Rev'!E95)),'SW Rev'!I95-'SW Rev'!E95,""),"")</f>
        <v/>
      </c>
      <c r="F402" s="30">
        <f>IFERROR(IF(AND(ISNUMBER('SW Rev'!J95),ISNUMBER('SW Rev'!F95)),'SW Rev'!J95-'SW Rev'!F95,""),"")</f>
        <v/>
      </c>
      <c r="G402" s="30">
        <f>IFERROR(IF(AND(ISNUMBER('SW Rev'!K95),ISNUMBER('SW Rev'!G95)),'SW Rev'!K95-'SW Rev'!G95,""),"")</f>
        <v/>
      </c>
      <c r="H402" s="30">
        <f>IFERROR(IF(AND(ISNUMBER('SW Rev'!L95),ISNUMBER('SW Rev'!H95)),'SW Rev'!L95-'SW Rev'!H95,""),"")</f>
        <v/>
      </c>
      <c r="I402" s="30">
        <f>IFERROR(IF(AND(ISNUMBER('SW Rev'!M95),ISNUMBER('SW Rev'!I95)),'SW Rev'!M95-'SW Rev'!I95,""),"")</f>
        <v/>
      </c>
      <c r="J402" s="30">
        <f>IFERROR(IF(AND(ISNUMBER('SW Rev'!N95),ISNUMBER('SW Rev'!J95)),'SW Rev'!N95-'SW Rev'!J95,""),"")</f>
        <v/>
      </c>
      <c r="K402" s="30">
        <f>IFERROR(IF(AND(ISNUMBER('SW Rev'!O95),ISNUMBER('SW Rev'!K95)),'SW Rev'!O95-'SW Rev'!K95,""),"")</f>
        <v/>
      </c>
      <c r="L402" s="30">
        <f>IFERROR(IF(AND(ISNUMBER('SW Rev'!P95),ISNUMBER('SW Rev'!L95)),'SW Rev'!P95-'SW Rev'!L95,""),"")</f>
        <v/>
      </c>
      <c r="M402" s="31">
        <f>IFERROR(IF(AND(ISNUMBER('SW Rev'!Q95),ISNUMBER('SW Rev'!M95)),'SW Rev'!Q95-'SW Rev'!M95,""),"")</f>
        <v/>
      </c>
      <c r="N402" s="31">
        <f>IFERROR(IF(AND(ISNUMBER('SW Rev'!R95),ISNUMBER('SW Rev'!N95)),'SW Rev'!R95-'SW Rev'!N95,""),"")</f>
        <v/>
      </c>
    </row>
    <row r="403">
      <c r="A403" s="19">
        <f>'SW Rev'!$A96</f>
        <v/>
      </c>
      <c r="B403" s="19">
        <f>'SW Rev'!$B96</f>
        <v/>
      </c>
      <c r="C403" s="30">
        <f>IFERROR(IF(AND(ISNUMBER('SW Rev'!G96),ISNUMBER('SW Rev'!C96)),'SW Rev'!G96-'SW Rev'!C96,""),"")</f>
        <v/>
      </c>
      <c r="D403" s="30">
        <f>IFERROR(IF(AND(ISNUMBER('SW Rev'!H96),ISNUMBER('SW Rev'!D96)),'SW Rev'!H96-'SW Rev'!D96,""),"")</f>
        <v/>
      </c>
      <c r="E403" s="30">
        <f>IFERROR(IF(AND(ISNUMBER('SW Rev'!I96),ISNUMBER('SW Rev'!E96)),'SW Rev'!I96-'SW Rev'!E96,""),"")</f>
        <v/>
      </c>
      <c r="F403" s="30">
        <f>IFERROR(IF(AND(ISNUMBER('SW Rev'!J96),ISNUMBER('SW Rev'!F96)),'SW Rev'!J96-'SW Rev'!F96,""),"")</f>
        <v/>
      </c>
      <c r="G403" s="30">
        <f>IFERROR(IF(AND(ISNUMBER('SW Rev'!K96),ISNUMBER('SW Rev'!G96)),'SW Rev'!K96-'SW Rev'!G96,""),"")</f>
        <v/>
      </c>
      <c r="H403" s="30">
        <f>IFERROR(IF(AND(ISNUMBER('SW Rev'!L96),ISNUMBER('SW Rev'!H96)),'SW Rev'!L96-'SW Rev'!H96,""),"")</f>
        <v/>
      </c>
      <c r="I403" s="30">
        <f>IFERROR(IF(AND(ISNUMBER('SW Rev'!M96),ISNUMBER('SW Rev'!I96)),'SW Rev'!M96-'SW Rev'!I96,""),"")</f>
        <v/>
      </c>
      <c r="J403" s="30">
        <f>IFERROR(IF(AND(ISNUMBER('SW Rev'!N96),ISNUMBER('SW Rev'!J96)),'SW Rev'!N96-'SW Rev'!J96,""),"")</f>
        <v/>
      </c>
      <c r="K403" s="30">
        <f>IFERROR(IF(AND(ISNUMBER('SW Rev'!O96),ISNUMBER('SW Rev'!K96)),'SW Rev'!O96-'SW Rev'!K96,""),"")</f>
        <v/>
      </c>
      <c r="L403" s="30">
        <f>IFERROR(IF(AND(ISNUMBER('SW Rev'!P96),ISNUMBER('SW Rev'!L96)),'SW Rev'!P96-'SW Rev'!L96,""),"")</f>
        <v/>
      </c>
      <c r="M403" s="31">
        <f>IFERROR(IF(AND(ISNUMBER('SW Rev'!Q96),ISNUMBER('SW Rev'!M96)),'SW Rev'!Q96-'SW Rev'!M96,""),"")</f>
        <v/>
      </c>
      <c r="N403" s="31">
        <f>IFERROR(IF(AND(ISNUMBER('SW Rev'!R96),ISNUMBER('SW Rev'!N96)),'SW Rev'!R96-'SW Rev'!N96,""),"")</f>
        <v/>
      </c>
    </row>
    <row r="404">
      <c r="A404" s="19">
        <f>'SW Rev'!$A97</f>
        <v/>
      </c>
      <c r="B404" s="19">
        <f>'SW Rev'!$B97</f>
        <v/>
      </c>
      <c r="C404" s="30">
        <f>IFERROR(IF(AND(ISNUMBER('SW Rev'!G97),ISNUMBER('SW Rev'!C97)),'SW Rev'!G97-'SW Rev'!C97,""),"")</f>
        <v/>
      </c>
      <c r="D404" s="30">
        <f>IFERROR(IF(AND(ISNUMBER('SW Rev'!H97),ISNUMBER('SW Rev'!D97)),'SW Rev'!H97-'SW Rev'!D97,""),"")</f>
        <v/>
      </c>
      <c r="E404" s="30">
        <f>IFERROR(IF(AND(ISNUMBER('SW Rev'!I97),ISNUMBER('SW Rev'!E97)),'SW Rev'!I97-'SW Rev'!E97,""),"")</f>
        <v/>
      </c>
      <c r="F404" s="30">
        <f>IFERROR(IF(AND(ISNUMBER('SW Rev'!J97),ISNUMBER('SW Rev'!F97)),'SW Rev'!J97-'SW Rev'!F97,""),"")</f>
        <v/>
      </c>
      <c r="G404" s="30">
        <f>IFERROR(IF(AND(ISNUMBER('SW Rev'!K97),ISNUMBER('SW Rev'!G97)),'SW Rev'!K97-'SW Rev'!G97,""),"")</f>
        <v/>
      </c>
      <c r="H404" s="30">
        <f>IFERROR(IF(AND(ISNUMBER('SW Rev'!L97),ISNUMBER('SW Rev'!H97)),'SW Rev'!L97-'SW Rev'!H97,""),"")</f>
        <v/>
      </c>
      <c r="I404" s="30">
        <f>IFERROR(IF(AND(ISNUMBER('SW Rev'!M97),ISNUMBER('SW Rev'!I97)),'SW Rev'!M97-'SW Rev'!I97,""),"")</f>
        <v/>
      </c>
      <c r="J404" s="30">
        <f>IFERROR(IF(AND(ISNUMBER('SW Rev'!N97),ISNUMBER('SW Rev'!J97)),'SW Rev'!N97-'SW Rev'!J97,""),"")</f>
        <v/>
      </c>
      <c r="K404" s="30">
        <f>IFERROR(IF(AND(ISNUMBER('SW Rev'!O97),ISNUMBER('SW Rev'!K97)),'SW Rev'!O97-'SW Rev'!K97,""),"")</f>
        <v/>
      </c>
      <c r="L404" s="30">
        <f>IFERROR(IF(AND(ISNUMBER('SW Rev'!P97),ISNUMBER('SW Rev'!L97)),'SW Rev'!P97-'SW Rev'!L97,""),"")</f>
        <v/>
      </c>
      <c r="M404" s="31">
        <f>IFERROR(IF(AND(ISNUMBER('SW Rev'!Q97),ISNUMBER('SW Rev'!M97)),'SW Rev'!Q97-'SW Rev'!M97,""),"")</f>
        <v/>
      </c>
      <c r="N404" s="31">
        <f>IFERROR(IF(AND(ISNUMBER('SW Rev'!R97),ISNUMBER('SW Rev'!N97)),'SW Rev'!R97-'SW Rev'!N97,""),"")</f>
        <v/>
      </c>
    </row>
    <row r="405">
      <c r="A405" s="19">
        <f>'SW Rev'!$A98</f>
        <v/>
      </c>
      <c r="B405" s="19">
        <f>'SW Rev'!$B98</f>
        <v/>
      </c>
      <c r="C405" s="30">
        <f>IFERROR(IF(AND(ISNUMBER('SW Rev'!G98),ISNUMBER('SW Rev'!C98)),'SW Rev'!G98-'SW Rev'!C98,""),"")</f>
        <v/>
      </c>
      <c r="D405" s="30">
        <f>IFERROR(IF(AND(ISNUMBER('SW Rev'!H98),ISNUMBER('SW Rev'!D98)),'SW Rev'!H98-'SW Rev'!D98,""),"")</f>
        <v/>
      </c>
      <c r="E405" s="30">
        <f>IFERROR(IF(AND(ISNUMBER('SW Rev'!I98),ISNUMBER('SW Rev'!E98)),'SW Rev'!I98-'SW Rev'!E98,""),"")</f>
        <v/>
      </c>
      <c r="F405" s="30">
        <f>IFERROR(IF(AND(ISNUMBER('SW Rev'!J98),ISNUMBER('SW Rev'!F98)),'SW Rev'!J98-'SW Rev'!F98,""),"")</f>
        <v/>
      </c>
      <c r="G405" s="30">
        <f>IFERROR(IF(AND(ISNUMBER('SW Rev'!K98),ISNUMBER('SW Rev'!G98)),'SW Rev'!K98-'SW Rev'!G98,""),"")</f>
        <v/>
      </c>
      <c r="H405" s="30">
        <f>IFERROR(IF(AND(ISNUMBER('SW Rev'!L98),ISNUMBER('SW Rev'!H98)),'SW Rev'!L98-'SW Rev'!H98,""),"")</f>
        <v/>
      </c>
      <c r="I405" s="30">
        <f>IFERROR(IF(AND(ISNUMBER('SW Rev'!M98),ISNUMBER('SW Rev'!I98)),'SW Rev'!M98-'SW Rev'!I98,""),"")</f>
        <v/>
      </c>
      <c r="J405" s="30">
        <f>IFERROR(IF(AND(ISNUMBER('SW Rev'!N98),ISNUMBER('SW Rev'!J98)),'SW Rev'!N98-'SW Rev'!J98,""),"")</f>
        <v/>
      </c>
      <c r="K405" s="30">
        <f>IFERROR(IF(AND(ISNUMBER('SW Rev'!O98),ISNUMBER('SW Rev'!K98)),'SW Rev'!O98-'SW Rev'!K98,""),"")</f>
        <v/>
      </c>
      <c r="L405" s="30">
        <f>IFERROR(IF(AND(ISNUMBER('SW Rev'!P98),ISNUMBER('SW Rev'!L98)),'SW Rev'!P98-'SW Rev'!L98,""),"")</f>
        <v/>
      </c>
      <c r="M405" s="31">
        <f>IFERROR(IF(AND(ISNUMBER('SW Rev'!Q98),ISNUMBER('SW Rev'!M98)),'SW Rev'!Q98-'SW Rev'!M98,""),"")</f>
        <v/>
      </c>
      <c r="N405" s="31">
        <f>IFERROR(IF(AND(ISNUMBER('SW Rev'!R98),ISNUMBER('SW Rev'!N98)),'SW Rev'!R98-'SW Rev'!N98,""),"")</f>
        <v/>
      </c>
    </row>
    <row r="406">
      <c r="A406" s="19">
        <f>'SW Rev'!$A99</f>
        <v/>
      </c>
      <c r="B406" s="19">
        <f>'SW Rev'!$B99</f>
        <v/>
      </c>
      <c r="C406" s="30">
        <f>IFERROR(IF(AND(ISNUMBER('SW Rev'!G99),ISNUMBER('SW Rev'!C99)),'SW Rev'!G99-'SW Rev'!C99,""),"")</f>
        <v/>
      </c>
      <c r="D406" s="30">
        <f>IFERROR(IF(AND(ISNUMBER('SW Rev'!H99),ISNUMBER('SW Rev'!D99)),'SW Rev'!H99-'SW Rev'!D99,""),"")</f>
        <v/>
      </c>
      <c r="E406" s="30">
        <f>IFERROR(IF(AND(ISNUMBER('SW Rev'!I99),ISNUMBER('SW Rev'!E99)),'SW Rev'!I99-'SW Rev'!E99,""),"")</f>
        <v/>
      </c>
      <c r="F406" s="30">
        <f>IFERROR(IF(AND(ISNUMBER('SW Rev'!J99),ISNUMBER('SW Rev'!F99)),'SW Rev'!J99-'SW Rev'!F99,""),"")</f>
        <v/>
      </c>
      <c r="G406" s="30">
        <f>IFERROR(IF(AND(ISNUMBER('SW Rev'!K99),ISNUMBER('SW Rev'!G99)),'SW Rev'!K99-'SW Rev'!G99,""),"")</f>
        <v/>
      </c>
      <c r="H406" s="30">
        <f>IFERROR(IF(AND(ISNUMBER('SW Rev'!L99),ISNUMBER('SW Rev'!H99)),'SW Rev'!L99-'SW Rev'!H99,""),"")</f>
        <v/>
      </c>
      <c r="I406" s="30">
        <f>IFERROR(IF(AND(ISNUMBER('SW Rev'!M99),ISNUMBER('SW Rev'!I99)),'SW Rev'!M99-'SW Rev'!I99,""),"")</f>
        <v/>
      </c>
      <c r="J406" s="30">
        <f>IFERROR(IF(AND(ISNUMBER('SW Rev'!N99),ISNUMBER('SW Rev'!J99)),'SW Rev'!N99-'SW Rev'!J99,""),"")</f>
        <v/>
      </c>
      <c r="K406" s="30">
        <f>IFERROR(IF(AND(ISNUMBER('SW Rev'!O99),ISNUMBER('SW Rev'!K99)),'SW Rev'!O99-'SW Rev'!K99,""),"")</f>
        <v/>
      </c>
      <c r="L406" s="30">
        <f>IFERROR(IF(AND(ISNUMBER('SW Rev'!P99),ISNUMBER('SW Rev'!L99)),'SW Rev'!P99-'SW Rev'!L99,""),"")</f>
        <v/>
      </c>
      <c r="M406" s="31">
        <f>IFERROR(IF(AND(ISNUMBER('SW Rev'!Q99),ISNUMBER('SW Rev'!M99)),'SW Rev'!Q99-'SW Rev'!M99,""),"")</f>
        <v/>
      </c>
      <c r="N406" s="31">
        <f>IFERROR(IF(AND(ISNUMBER('SW Rev'!R99),ISNUMBER('SW Rev'!N99)),'SW Rev'!R99-'SW Rev'!N99,""),"")</f>
        <v/>
      </c>
    </row>
    <row r="407">
      <c r="A407" s="19">
        <f>'SW Rev'!$A100</f>
        <v/>
      </c>
      <c r="B407" s="19">
        <f>'SW Rev'!$B100</f>
        <v/>
      </c>
      <c r="C407" s="30">
        <f>IFERROR(IF(AND(ISNUMBER('SW Rev'!G100),ISNUMBER('SW Rev'!C100)),'SW Rev'!G100-'SW Rev'!C100,""),"")</f>
        <v/>
      </c>
      <c r="D407" s="30">
        <f>IFERROR(IF(AND(ISNUMBER('SW Rev'!H100),ISNUMBER('SW Rev'!D100)),'SW Rev'!H100-'SW Rev'!D100,""),"")</f>
        <v/>
      </c>
      <c r="E407" s="30">
        <f>IFERROR(IF(AND(ISNUMBER('SW Rev'!I100),ISNUMBER('SW Rev'!E100)),'SW Rev'!I100-'SW Rev'!E100,""),"")</f>
        <v/>
      </c>
      <c r="F407" s="30">
        <f>IFERROR(IF(AND(ISNUMBER('SW Rev'!J100),ISNUMBER('SW Rev'!F100)),'SW Rev'!J100-'SW Rev'!F100,""),"")</f>
        <v/>
      </c>
      <c r="G407" s="30">
        <f>IFERROR(IF(AND(ISNUMBER('SW Rev'!K100),ISNUMBER('SW Rev'!G100)),'SW Rev'!K100-'SW Rev'!G100,""),"")</f>
        <v/>
      </c>
      <c r="H407" s="30">
        <f>IFERROR(IF(AND(ISNUMBER('SW Rev'!L100),ISNUMBER('SW Rev'!H100)),'SW Rev'!L100-'SW Rev'!H100,""),"")</f>
        <v/>
      </c>
      <c r="I407" s="30">
        <f>IFERROR(IF(AND(ISNUMBER('SW Rev'!M100),ISNUMBER('SW Rev'!I100)),'SW Rev'!M100-'SW Rev'!I100,""),"")</f>
        <v/>
      </c>
      <c r="J407" s="30">
        <f>IFERROR(IF(AND(ISNUMBER('SW Rev'!N100),ISNUMBER('SW Rev'!J100)),'SW Rev'!N100-'SW Rev'!J100,""),"")</f>
        <v/>
      </c>
      <c r="K407" s="30">
        <f>IFERROR(IF(AND(ISNUMBER('SW Rev'!O100),ISNUMBER('SW Rev'!K100)),'SW Rev'!O100-'SW Rev'!K100,""),"")</f>
        <v/>
      </c>
      <c r="L407" s="30">
        <f>IFERROR(IF(AND(ISNUMBER('SW Rev'!P100),ISNUMBER('SW Rev'!L100)),'SW Rev'!P100-'SW Rev'!L100,""),"")</f>
        <v/>
      </c>
      <c r="M407" s="31">
        <f>IFERROR(IF(AND(ISNUMBER('SW Rev'!Q100),ISNUMBER('SW Rev'!M100)),'SW Rev'!Q100-'SW Rev'!M100,""),"")</f>
        <v/>
      </c>
      <c r="N407" s="31">
        <f>IFERROR(IF(AND(ISNUMBER('SW Rev'!R100),ISNUMBER('SW Rev'!N100)),'SW Rev'!R100-'SW Rev'!N100,""),"")</f>
        <v/>
      </c>
    </row>
    <row r="408">
      <c r="A408" s="19">
        <f>'SW Rev'!$A101</f>
        <v/>
      </c>
      <c r="B408" s="19">
        <f>'SW Rev'!$B101</f>
        <v/>
      </c>
      <c r="C408" s="30">
        <f>IFERROR(IF(AND(ISNUMBER('SW Rev'!G101),ISNUMBER('SW Rev'!C101)),'SW Rev'!G101-'SW Rev'!C101,""),"")</f>
        <v/>
      </c>
      <c r="D408" s="30">
        <f>IFERROR(IF(AND(ISNUMBER('SW Rev'!H101),ISNUMBER('SW Rev'!D101)),'SW Rev'!H101-'SW Rev'!D101,""),"")</f>
        <v/>
      </c>
      <c r="E408" s="30">
        <f>IFERROR(IF(AND(ISNUMBER('SW Rev'!I101),ISNUMBER('SW Rev'!E101)),'SW Rev'!I101-'SW Rev'!E101,""),"")</f>
        <v/>
      </c>
      <c r="F408" s="30">
        <f>IFERROR(IF(AND(ISNUMBER('SW Rev'!J101),ISNUMBER('SW Rev'!F101)),'SW Rev'!J101-'SW Rev'!F101,""),"")</f>
        <v/>
      </c>
      <c r="G408" s="30">
        <f>IFERROR(IF(AND(ISNUMBER('SW Rev'!K101),ISNUMBER('SW Rev'!G101)),'SW Rev'!K101-'SW Rev'!G101,""),"")</f>
        <v/>
      </c>
      <c r="H408" s="30">
        <f>IFERROR(IF(AND(ISNUMBER('SW Rev'!L101),ISNUMBER('SW Rev'!H101)),'SW Rev'!L101-'SW Rev'!H101,""),"")</f>
        <v/>
      </c>
      <c r="I408" s="30">
        <f>IFERROR(IF(AND(ISNUMBER('SW Rev'!M101),ISNUMBER('SW Rev'!I101)),'SW Rev'!M101-'SW Rev'!I101,""),"")</f>
        <v/>
      </c>
      <c r="J408" s="30">
        <f>IFERROR(IF(AND(ISNUMBER('SW Rev'!N101),ISNUMBER('SW Rev'!J101)),'SW Rev'!N101-'SW Rev'!J101,""),"")</f>
        <v/>
      </c>
      <c r="K408" s="30">
        <f>IFERROR(IF(AND(ISNUMBER('SW Rev'!O101),ISNUMBER('SW Rev'!K101)),'SW Rev'!O101-'SW Rev'!K101,""),"")</f>
        <v/>
      </c>
      <c r="L408" s="30">
        <f>IFERROR(IF(AND(ISNUMBER('SW Rev'!P101),ISNUMBER('SW Rev'!L101)),'SW Rev'!P101-'SW Rev'!L101,""),"")</f>
        <v/>
      </c>
      <c r="M408" s="31">
        <f>IFERROR(IF(AND(ISNUMBER('SW Rev'!Q101),ISNUMBER('SW Rev'!M101)),'SW Rev'!Q101-'SW Rev'!M101,""),"")</f>
        <v/>
      </c>
      <c r="N408" s="31">
        <f>IFERROR(IF(AND(ISNUMBER('SW Rev'!R101),ISNUMBER('SW Rev'!N101)),'SW Rev'!R101-'SW Rev'!N101,""),"")</f>
        <v/>
      </c>
    </row>
    <row r="409">
      <c r="A409" s="19">
        <f>'SW Rev'!$A102</f>
        <v/>
      </c>
      <c r="B409" s="19">
        <f>'SW Rev'!$B102</f>
        <v/>
      </c>
      <c r="C409" s="30">
        <f>IFERROR(IF(AND(ISNUMBER('SW Rev'!G102),ISNUMBER('SW Rev'!C102)),'SW Rev'!G102-'SW Rev'!C102,""),"")</f>
        <v/>
      </c>
      <c r="D409" s="30">
        <f>IFERROR(IF(AND(ISNUMBER('SW Rev'!H102),ISNUMBER('SW Rev'!D102)),'SW Rev'!H102-'SW Rev'!D102,""),"")</f>
        <v/>
      </c>
      <c r="E409" s="30">
        <f>IFERROR(IF(AND(ISNUMBER('SW Rev'!I102),ISNUMBER('SW Rev'!E102)),'SW Rev'!I102-'SW Rev'!E102,""),"")</f>
        <v/>
      </c>
      <c r="F409" s="30">
        <f>IFERROR(IF(AND(ISNUMBER('SW Rev'!J102),ISNUMBER('SW Rev'!F102)),'SW Rev'!J102-'SW Rev'!F102,""),"")</f>
        <v/>
      </c>
      <c r="G409" s="30">
        <f>IFERROR(IF(AND(ISNUMBER('SW Rev'!K102),ISNUMBER('SW Rev'!G102)),'SW Rev'!K102-'SW Rev'!G102,""),"")</f>
        <v/>
      </c>
      <c r="H409" s="30">
        <f>IFERROR(IF(AND(ISNUMBER('SW Rev'!L102),ISNUMBER('SW Rev'!H102)),'SW Rev'!L102-'SW Rev'!H102,""),"")</f>
        <v/>
      </c>
      <c r="I409" s="30">
        <f>IFERROR(IF(AND(ISNUMBER('SW Rev'!M102),ISNUMBER('SW Rev'!I102)),'SW Rev'!M102-'SW Rev'!I102,""),"")</f>
        <v/>
      </c>
      <c r="J409" s="30">
        <f>IFERROR(IF(AND(ISNUMBER('SW Rev'!N102),ISNUMBER('SW Rev'!J102)),'SW Rev'!N102-'SW Rev'!J102,""),"")</f>
        <v/>
      </c>
      <c r="K409" s="30">
        <f>IFERROR(IF(AND(ISNUMBER('SW Rev'!O102),ISNUMBER('SW Rev'!K102)),'SW Rev'!O102-'SW Rev'!K102,""),"")</f>
        <v/>
      </c>
      <c r="L409" s="30">
        <f>IFERROR(IF(AND(ISNUMBER('SW Rev'!P102),ISNUMBER('SW Rev'!L102)),'SW Rev'!P102-'SW Rev'!L102,""),"")</f>
        <v/>
      </c>
      <c r="M409" s="31">
        <f>IFERROR(IF(AND(ISNUMBER('SW Rev'!Q102),ISNUMBER('SW Rev'!M102)),'SW Rev'!Q102-'SW Rev'!M102,""),"")</f>
        <v/>
      </c>
      <c r="N409" s="31">
        <f>IFERROR(IF(AND(ISNUMBER('SW Rev'!R102),ISNUMBER('SW Rev'!N102)),'SW Rev'!R102-'SW Rev'!N102,""),"")</f>
        <v/>
      </c>
    </row>
    <row r="410">
      <c r="A410" s="19">
        <f>'SW Rev'!$A103</f>
        <v/>
      </c>
      <c r="B410" s="19">
        <f>'SW Rev'!$B103</f>
        <v/>
      </c>
      <c r="C410" s="30">
        <f>IFERROR(IF(AND(ISNUMBER('SW Rev'!G103),ISNUMBER('SW Rev'!C103)),'SW Rev'!G103-'SW Rev'!C103,""),"")</f>
        <v/>
      </c>
      <c r="D410" s="30">
        <f>IFERROR(IF(AND(ISNUMBER('SW Rev'!H103),ISNUMBER('SW Rev'!D103)),'SW Rev'!H103-'SW Rev'!D103,""),"")</f>
        <v/>
      </c>
      <c r="E410" s="30">
        <f>IFERROR(IF(AND(ISNUMBER('SW Rev'!I103),ISNUMBER('SW Rev'!E103)),'SW Rev'!I103-'SW Rev'!E103,""),"")</f>
        <v/>
      </c>
      <c r="F410" s="30">
        <f>IFERROR(IF(AND(ISNUMBER('SW Rev'!J103),ISNUMBER('SW Rev'!F103)),'SW Rev'!J103-'SW Rev'!F103,""),"")</f>
        <v/>
      </c>
      <c r="G410" s="30">
        <f>IFERROR(IF(AND(ISNUMBER('SW Rev'!K103),ISNUMBER('SW Rev'!G103)),'SW Rev'!K103-'SW Rev'!G103,""),"")</f>
        <v/>
      </c>
      <c r="H410" s="30">
        <f>IFERROR(IF(AND(ISNUMBER('SW Rev'!L103),ISNUMBER('SW Rev'!H103)),'SW Rev'!L103-'SW Rev'!H103,""),"")</f>
        <v/>
      </c>
      <c r="I410" s="30">
        <f>IFERROR(IF(AND(ISNUMBER('SW Rev'!M103),ISNUMBER('SW Rev'!I103)),'SW Rev'!M103-'SW Rev'!I103,""),"")</f>
        <v/>
      </c>
      <c r="J410" s="30">
        <f>IFERROR(IF(AND(ISNUMBER('SW Rev'!N103),ISNUMBER('SW Rev'!J103)),'SW Rev'!N103-'SW Rev'!J103,""),"")</f>
        <v/>
      </c>
      <c r="K410" s="30">
        <f>IFERROR(IF(AND(ISNUMBER('SW Rev'!O103),ISNUMBER('SW Rev'!K103)),'SW Rev'!O103-'SW Rev'!K103,""),"")</f>
        <v/>
      </c>
      <c r="L410" s="30">
        <f>IFERROR(IF(AND(ISNUMBER('SW Rev'!P103),ISNUMBER('SW Rev'!L103)),'SW Rev'!P103-'SW Rev'!L103,""),"")</f>
        <v/>
      </c>
      <c r="M410" s="31">
        <f>IFERROR(IF(AND(ISNUMBER('SW Rev'!Q103),ISNUMBER('SW Rev'!M103)),'SW Rev'!Q103-'SW Rev'!M103,""),"")</f>
        <v/>
      </c>
      <c r="N410" s="31">
        <f>IFERROR(IF(AND(ISNUMBER('SW Rev'!R103),ISNUMBER('SW Rev'!N103)),'SW Rev'!R103-'SW Rev'!N103,""),"")</f>
        <v/>
      </c>
    </row>
    <row r="412">
      <c r="A412" s="49" t="inlineStr">
        <is>
          <t>Revenue $ added QoQ (USD mm)</t>
        </is>
      </c>
      <c r="B412" s="50" t="n"/>
      <c r="C412" s="50" t="n"/>
      <c r="D412" s="50" t="n"/>
      <c r="E412" s="50" t="n"/>
      <c r="F412" s="50" t="n"/>
      <c r="G412" s="50" t="n"/>
      <c r="H412" s="50" t="n"/>
      <c r="I412" s="50" t="n"/>
      <c r="J412" s="50" t="n"/>
      <c r="K412" s="50" t="n"/>
      <c r="L412" s="50" t="n"/>
      <c r="M412" s="50" t="n"/>
      <c r="N412" s="50" t="n"/>
    </row>
    <row r="413" ht="28" customHeight="1">
      <c r="A413" s="8" t="inlineStr">
        <is>
          <t>Ticker</t>
        </is>
      </c>
      <c r="B413" s="8" t="inlineStr">
        <is>
          <t>Latest Rpt Qtr</t>
        </is>
      </c>
      <c r="C413" s="8" t="inlineStr">
        <is>
          <t>FPO -9</t>
        </is>
      </c>
      <c r="D413" s="8" t="inlineStr">
        <is>
          <t>FPO -8</t>
        </is>
      </c>
      <c r="E413" s="8" t="inlineStr">
        <is>
          <t>FPO -7</t>
        </is>
      </c>
      <c r="F413" s="8" t="inlineStr">
        <is>
          <t>FPO -6</t>
        </is>
      </c>
      <c r="G413" s="8" t="inlineStr">
        <is>
          <t>FPO -5</t>
        </is>
      </c>
      <c r="H413" s="8" t="inlineStr">
        <is>
          <t>FPO -4</t>
        </is>
      </c>
      <c r="I413" s="8" t="inlineStr">
        <is>
          <t>FPO -3</t>
        </is>
      </c>
      <c r="J413" s="8" t="inlineStr">
        <is>
          <t>FPO -2</t>
        </is>
      </c>
      <c r="K413" s="8" t="inlineStr">
        <is>
          <t>FPO -1</t>
        </is>
      </c>
      <c r="L413" s="8" t="inlineStr">
        <is>
          <t>FPO 0 (latest rpt)</t>
        </is>
      </c>
      <c r="M413" s="8" t="inlineStr">
        <is>
          <t>FPO +1E</t>
        </is>
      </c>
      <c r="N413" s="8" t="inlineStr">
        <is>
          <t>FPO +2E</t>
        </is>
      </c>
    </row>
    <row r="414">
      <c r="A414" s="19">
        <f>'SW Rev'!$A5</f>
        <v/>
      </c>
      <c r="B414" s="19">
        <f>'SW Rev'!$B5</f>
        <v/>
      </c>
      <c r="C414" s="30">
        <f>IFERROR(IF(AND(ISNUMBER('SW Rev'!G5),ISNUMBER('SW Rev'!F5)),'SW Rev'!G5-'SW Rev'!F5,""),"")</f>
        <v/>
      </c>
      <c r="D414" s="30">
        <f>IFERROR(IF(AND(ISNUMBER('SW Rev'!H5),ISNUMBER('SW Rev'!G5)),'SW Rev'!H5-'SW Rev'!G5,""),"")</f>
        <v/>
      </c>
      <c r="E414" s="30">
        <f>IFERROR(IF(AND(ISNUMBER('SW Rev'!I5),ISNUMBER('SW Rev'!H5)),'SW Rev'!I5-'SW Rev'!H5,""),"")</f>
        <v/>
      </c>
      <c r="F414" s="30">
        <f>IFERROR(IF(AND(ISNUMBER('SW Rev'!J5),ISNUMBER('SW Rev'!I5)),'SW Rev'!J5-'SW Rev'!I5,""),"")</f>
        <v/>
      </c>
      <c r="G414" s="30">
        <f>IFERROR(IF(AND(ISNUMBER('SW Rev'!K5),ISNUMBER('SW Rev'!J5)),'SW Rev'!K5-'SW Rev'!J5,""),"")</f>
        <v/>
      </c>
      <c r="H414" s="30">
        <f>IFERROR(IF(AND(ISNUMBER('SW Rev'!L5),ISNUMBER('SW Rev'!K5)),'SW Rev'!L5-'SW Rev'!K5,""),"")</f>
        <v/>
      </c>
      <c r="I414" s="30">
        <f>IFERROR(IF(AND(ISNUMBER('SW Rev'!M5),ISNUMBER('SW Rev'!L5)),'SW Rev'!M5-'SW Rev'!L5,""),"")</f>
        <v/>
      </c>
      <c r="J414" s="30">
        <f>IFERROR(IF(AND(ISNUMBER('SW Rev'!N5),ISNUMBER('SW Rev'!M5)),'SW Rev'!N5-'SW Rev'!M5,""),"")</f>
        <v/>
      </c>
      <c r="K414" s="30">
        <f>IFERROR(IF(AND(ISNUMBER('SW Rev'!O5),ISNUMBER('SW Rev'!N5)),'SW Rev'!O5-'SW Rev'!N5,""),"")</f>
        <v/>
      </c>
      <c r="L414" s="30">
        <f>IFERROR(IF(AND(ISNUMBER('SW Rev'!P5),ISNUMBER('SW Rev'!O5)),'SW Rev'!P5-'SW Rev'!O5,""),"")</f>
        <v/>
      </c>
      <c r="M414" s="31">
        <f>IFERROR(IF(AND(ISNUMBER('SW Rev'!Q5),ISNUMBER('SW Rev'!P5)),'SW Rev'!Q5-'SW Rev'!P5,""),"")</f>
        <v/>
      </c>
      <c r="N414" s="31">
        <f>IFERROR(IF(AND(ISNUMBER('SW Rev'!R5),ISNUMBER('SW Rev'!Q5)),'SW Rev'!R5-'SW Rev'!Q5,""),"")</f>
        <v/>
      </c>
    </row>
    <row r="415">
      <c r="A415" s="19">
        <f>'SW Rev'!$A6</f>
        <v/>
      </c>
      <c r="B415" s="19">
        <f>'SW Rev'!$B6</f>
        <v/>
      </c>
      <c r="C415" s="30">
        <f>IFERROR(IF(AND(ISNUMBER('SW Rev'!G6),ISNUMBER('SW Rev'!F6)),'SW Rev'!G6-'SW Rev'!F6,""),"")</f>
        <v/>
      </c>
      <c r="D415" s="30">
        <f>IFERROR(IF(AND(ISNUMBER('SW Rev'!H6),ISNUMBER('SW Rev'!G6)),'SW Rev'!H6-'SW Rev'!G6,""),"")</f>
        <v/>
      </c>
      <c r="E415" s="30">
        <f>IFERROR(IF(AND(ISNUMBER('SW Rev'!I6),ISNUMBER('SW Rev'!H6)),'SW Rev'!I6-'SW Rev'!H6,""),"")</f>
        <v/>
      </c>
      <c r="F415" s="30">
        <f>IFERROR(IF(AND(ISNUMBER('SW Rev'!J6),ISNUMBER('SW Rev'!I6)),'SW Rev'!J6-'SW Rev'!I6,""),"")</f>
        <v/>
      </c>
      <c r="G415" s="30">
        <f>IFERROR(IF(AND(ISNUMBER('SW Rev'!K6),ISNUMBER('SW Rev'!J6)),'SW Rev'!K6-'SW Rev'!J6,""),"")</f>
        <v/>
      </c>
      <c r="H415" s="30">
        <f>IFERROR(IF(AND(ISNUMBER('SW Rev'!L6),ISNUMBER('SW Rev'!K6)),'SW Rev'!L6-'SW Rev'!K6,""),"")</f>
        <v/>
      </c>
      <c r="I415" s="30">
        <f>IFERROR(IF(AND(ISNUMBER('SW Rev'!M6),ISNUMBER('SW Rev'!L6)),'SW Rev'!M6-'SW Rev'!L6,""),"")</f>
        <v/>
      </c>
      <c r="J415" s="30">
        <f>IFERROR(IF(AND(ISNUMBER('SW Rev'!N6),ISNUMBER('SW Rev'!M6)),'SW Rev'!N6-'SW Rev'!M6,""),"")</f>
        <v/>
      </c>
      <c r="K415" s="30">
        <f>IFERROR(IF(AND(ISNUMBER('SW Rev'!O6),ISNUMBER('SW Rev'!N6)),'SW Rev'!O6-'SW Rev'!N6,""),"")</f>
        <v/>
      </c>
      <c r="L415" s="30">
        <f>IFERROR(IF(AND(ISNUMBER('SW Rev'!P6),ISNUMBER('SW Rev'!O6)),'SW Rev'!P6-'SW Rev'!O6,""),"")</f>
        <v/>
      </c>
      <c r="M415" s="31">
        <f>IFERROR(IF(AND(ISNUMBER('SW Rev'!Q6),ISNUMBER('SW Rev'!P6)),'SW Rev'!Q6-'SW Rev'!P6,""),"")</f>
        <v/>
      </c>
      <c r="N415" s="31">
        <f>IFERROR(IF(AND(ISNUMBER('SW Rev'!R6),ISNUMBER('SW Rev'!Q6)),'SW Rev'!R6-'SW Rev'!Q6,""),"")</f>
        <v/>
      </c>
    </row>
    <row r="416">
      <c r="A416" s="19">
        <f>'SW Rev'!$A7</f>
        <v/>
      </c>
      <c r="B416" s="19">
        <f>'SW Rev'!$B7</f>
        <v/>
      </c>
      <c r="C416" s="30">
        <f>IFERROR(IF(AND(ISNUMBER('SW Rev'!G7),ISNUMBER('SW Rev'!F7)),'SW Rev'!G7-'SW Rev'!F7,""),"")</f>
        <v/>
      </c>
      <c r="D416" s="30">
        <f>IFERROR(IF(AND(ISNUMBER('SW Rev'!H7),ISNUMBER('SW Rev'!G7)),'SW Rev'!H7-'SW Rev'!G7,""),"")</f>
        <v/>
      </c>
      <c r="E416" s="30">
        <f>IFERROR(IF(AND(ISNUMBER('SW Rev'!I7),ISNUMBER('SW Rev'!H7)),'SW Rev'!I7-'SW Rev'!H7,""),"")</f>
        <v/>
      </c>
      <c r="F416" s="30">
        <f>IFERROR(IF(AND(ISNUMBER('SW Rev'!J7),ISNUMBER('SW Rev'!I7)),'SW Rev'!J7-'SW Rev'!I7,""),"")</f>
        <v/>
      </c>
      <c r="G416" s="30">
        <f>IFERROR(IF(AND(ISNUMBER('SW Rev'!K7),ISNUMBER('SW Rev'!J7)),'SW Rev'!K7-'SW Rev'!J7,""),"")</f>
        <v/>
      </c>
      <c r="H416" s="30">
        <f>IFERROR(IF(AND(ISNUMBER('SW Rev'!L7),ISNUMBER('SW Rev'!K7)),'SW Rev'!L7-'SW Rev'!K7,""),"")</f>
        <v/>
      </c>
      <c r="I416" s="30">
        <f>IFERROR(IF(AND(ISNUMBER('SW Rev'!M7),ISNUMBER('SW Rev'!L7)),'SW Rev'!M7-'SW Rev'!L7,""),"")</f>
        <v/>
      </c>
      <c r="J416" s="30">
        <f>IFERROR(IF(AND(ISNUMBER('SW Rev'!N7),ISNUMBER('SW Rev'!M7)),'SW Rev'!N7-'SW Rev'!M7,""),"")</f>
        <v/>
      </c>
      <c r="K416" s="30">
        <f>IFERROR(IF(AND(ISNUMBER('SW Rev'!O7),ISNUMBER('SW Rev'!N7)),'SW Rev'!O7-'SW Rev'!N7,""),"")</f>
        <v/>
      </c>
      <c r="L416" s="30">
        <f>IFERROR(IF(AND(ISNUMBER('SW Rev'!P7),ISNUMBER('SW Rev'!O7)),'SW Rev'!P7-'SW Rev'!O7,""),"")</f>
        <v/>
      </c>
      <c r="M416" s="31">
        <f>IFERROR(IF(AND(ISNUMBER('SW Rev'!Q7),ISNUMBER('SW Rev'!P7)),'SW Rev'!Q7-'SW Rev'!P7,""),"")</f>
        <v/>
      </c>
      <c r="N416" s="31">
        <f>IFERROR(IF(AND(ISNUMBER('SW Rev'!R7),ISNUMBER('SW Rev'!Q7)),'SW Rev'!R7-'SW Rev'!Q7,""),"")</f>
        <v/>
      </c>
    </row>
    <row r="417">
      <c r="A417" s="19">
        <f>'SW Rev'!$A8</f>
        <v/>
      </c>
      <c r="B417" s="19">
        <f>'SW Rev'!$B8</f>
        <v/>
      </c>
      <c r="C417" s="30">
        <f>IFERROR(IF(AND(ISNUMBER('SW Rev'!G8),ISNUMBER('SW Rev'!F8)),'SW Rev'!G8-'SW Rev'!F8,""),"")</f>
        <v/>
      </c>
      <c r="D417" s="30">
        <f>IFERROR(IF(AND(ISNUMBER('SW Rev'!H8),ISNUMBER('SW Rev'!G8)),'SW Rev'!H8-'SW Rev'!G8,""),"")</f>
        <v/>
      </c>
      <c r="E417" s="30">
        <f>IFERROR(IF(AND(ISNUMBER('SW Rev'!I8),ISNUMBER('SW Rev'!H8)),'SW Rev'!I8-'SW Rev'!H8,""),"")</f>
        <v/>
      </c>
      <c r="F417" s="30">
        <f>IFERROR(IF(AND(ISNUMBER('SW Rev'!J8),ISNUMBER('SW Rev'!I8)),'SW Rev'!J8-'SW Rev'!I8,""),"")</f>
        <v/>
      </c>
      <c r="G417" s="30">
        <f>IFERROR(IF(AND(ISNUMBER('SW Rev'!K8),ISNUMBER('SW Rev'!J8)),'SW Rev'!K8-'SW Rev'!J8,""),"")</f>
        <v/>
      </c>
      <c r="H417" s="30">
        <f>IFERROR(IF(AND(ISNUMBER('SW Rev'!L8),ISNUMBER('SW Rev'!K8)),'SW Rev'!L8-'SW Rev'!K8,""),"")</f>
        <v/>
      </c>
      <c r="I417" s="30">
        <f>IFERROR(IF(AND(ISNUMBER('SW Rev'!M8),ISNUMBER('SW Rev'!L8)),'SW Rev'!M8-'SW Rev'!L8,""),"")</f>
        <v/>
      </c>
      <c r="J417" s="30">
        <f>IFERROR(IF(AND(ISNUMBER('SW Rev'!N8),ISNUMBER('SW Rev'!M8)),'SW Rev'!N8-'SW Rev'!M8,""),"")</f>
        <v/>
      </c>
      <c r="K417" s="30">
        <f>IFERROR(IF(AND(ISNUMBER('SW Rev'!O8),ISNUMBER('SW Rev'!N8)),'SW Rev'!O8-'SW Rev'!N8,""),"")</f>
        <v/>
      </c>
      <c r="L417" s="30">
        <f>IFERROR(IF(AND(ISNUMBER('SW Rev'!P8),ISNUMBER('SW Rev'!O8)),'SW Rev'!P8-'SW Rev'!O8,""),"")</f>
        <v/>
      </c>
      <c r="M417" s="31">
        <f>IFERROR(IF(AND(ISNUMBER('SW Rev'!Q8),ISNUMBER('SW Rev'!P8)),'SW Rev'!Q8-'SW Rev'!P8,""),"")</f>
        <v/>
      </c>
      <c r="N417" s="31">
        <f>IFERROR(IF(AND(ISNUMBER('SW Rev'!R8),ISNUMBER('SW Rev'!Q8)),'SW Rev'!R8-'SW Rev'!Q8,""),"")</f>
        <v/>
      </c>
    </row>
    <row r="418">
      <c r="A418" s="19">
        <f>'SW Rev'!$A9</f>
        <v/>
      </c>
      <c r="B418" s="19">
        <f>'SW Rev'!$B9</f>
        <v/>
      </c>
      <c r="C418" s="30">
        <f>IFERROR(IF(AND(ISNUMBER('SW Rev'!G9),ISNUMBER('SW Rev'!F9)),'SW Rev'!G9-'SW Rev'!F9,""),"")</f>
        <v/>
      </c>
      <c r="D418" s="30">
        <f>IFERROR(IF(AND(ISNUMBER('SW Rev'!H9),ISNUMBER('SW Rev'!G9)),'SW Rev'!H9-'SW Rev'!G9,""),"")</f>
        <v/>
      </c>
      <c r="E418" s="30">
        <f>IFERROR(IF(AND(ISNUMBER('SW Rev'!I9),ISNUMBER('SW Rev'!H9)),'SW Rev'!I9-'SW Rev'!H9,""),"")</f>
        <v/>
      </c>
      <c r="F418" s="30">
        <f>IFERROR(IF(AND(ISNUMBER('SW Rev'!J9),ISNUMBER('SW Rev'!I9)),'SW Rev'!J9-'SW Rev'!I9,""),"")</f>
        <v/>
      </c>
      <c r="G418" s="30">
        <f>IFERROR(IF(AND(ISNUMBER('SW Rev'!K9),ISNUMBER('SW Rev'!J9)),'SW Rev'!K9-'SW Rev'!J9,""),"")</f>
        <v/>
      </c>
      <c r="H418" s="30">
        <f>IFERROR(IF(AND(ISNUMBER('SW Rev'!L9),ISNUMBER('SW Rev'!K9)),'SW Rev'!L9-'SW Rev'!K9,""),"")</f>
        <v/>
      </c>
      <c r="I418" s="30">
        <f>IFERROR(IF(AND(ISNUMBER('SW Rev'!M9),ISNUMBER('SW Rev'!L9)),'SW Rev'!M9-'SW Rev'!L9,""),"")</f>
        <v/>
      </c>
      <c r="J418" s="30">
        <f>IFERROR(IF(AND(ISNUMBER('SW Rev'!N9),ISNUMBER('SW Rev'!M9)),'SW Rev'!N9-'SW Rev'!M9,""),"")</f>
        <v/>
      </c>
      <c r="K418" s="30">
        <f>IFERROR(IF(AND(ISNUMBER('SW Rev'!O9),ISNUMBER('SW Rev'!N9)),'SW Rev'!O9-'SW Rev'!N9,""),"")</f>
        <v/>
      </c>
      <c r="L418" s="30">
        <f>IFERROR(IF(AND(ISNUMBER('SW Rev'!P9),ISNUMBER('SW Rev'!O9)),'SW Rev'!P9-'SW Rev'!O9,""),"")</f>
        <v/>
      </c>
      <c r="M418" s="31">
        <f>IFERROR(IF(AND(ISNUMBER('SW Rev'!Q9),ISNUMBER('SW Rev'!P9)),'SW Rev'!Q9-'SW Rev'!P9,""),"")</f>
        <v/>
      </c>
      <c r="N418" s="31">
        <f>IFERROR(IF(AND(ISNUMBER('SW Rev'!R9),ISNUMBER('SW Rev'!Q9)),'SW Rev'!R9-'SW Rev'!Q9,""),"")</f>
        <v/>
      </c>
    </row>
    <row r="419">
      <c r="A419" s="19">
        <f>'SW Rev'!$A10</f>
        <v/>
      </c>
      <c r="B419" s="19">
        <f>'SW Rev'!$B10</f>
        <v/>
      </c>
      <c r="C419" s="30">
        <f>IFERROR(IF(AND(ISNUMBER('SW Rev'!G10),ISNUMBER('SW Rev'!F10)),'SW Rev'!G10-'SW Rev'!F10,""),"")</f>
        <v/>
      </c>
      <c r="D419" s="30">
        <f>IFERROR(IF(AND(ISNUMBER('SW Rev'!H10),ISNUMBER('SW Rev'!G10)),'SW Rev'!H10-'SW Rev'!G10,""),"")</f>
        <v/>
      </c>
      <c r="E419" s="30">
        <f>IFERROR(IF(AND(ISNUMBER('SW Rev'!I10),ISNUMBER('SW Rev'!H10)),'SW Rev'!I10-'SW Rev'!H10,""),"")</f>
        <v/>
      </c>
      <c r="F419" s="30">
        <f>IFERROR(IF(AND(ISNUMBER('SW Rev'!J10),ISNUMBER('SW Rev'!I10)),'SW Rev'!J10-'SW Rev'!I10,""),"")</f>
        <v/>
      </c>
      <c r="G419" s="30">
        <f>IFERROR(IF(AND(ISNUMBER('SW Rev'!K10),ISNUMBER('SW Rev'!J10)),'SW Rev'!K10-'SW Rev'!J10,""),"")</f>
        <v/>
      </c>
      <c r="H419" s="30">
        <f>IFERROR(IF(AND(ISNUMBER('SW Rev'!L10),ISNUMBER('SW Rev'!K10)),'SW Rev'!L10-'SW Rev'!K10,""),"")</f>
        <v/>
      </c>
      <c r="I419" s="30">
        <f>IFERROR(IF(AND(ISNUMBER('SW Rev'!M10),ISNUMBER('SW Rev'!L10)),'SW Rev'!M10-'SW Rev'!L10,""),"")</f>
        <v/>
      </c>
      <c r="J419" s="30">
        <f>IFERROR(IF(AND(ISNUMBER('SW Rev'!N10),ISNUMBER('SW Rev'!M10)),'SW Rev'!N10-'SW Rev'!M10,""),"")</f>
        <v/>
      </c>
      <c r="K419" s="30">
        <f>IFERROR(IF(AND(ISNUMBER('SW Rev'!O10),ISNUMBER('SW Rev'!N10)),'SW Rev'!O10-'SW Rev'!N10,""),"")</f>
        <v/>
      </c>
      <c r="L419" s="30">
        <f>IFERROR(IF(AND(ISNUMBER('SW Rev'!P10),ISNUMBER('SW Rev'!O10)),'SW Rev'!P10-'SW Rev'!O10,""),"")</f>
        <v/>
      </c>
      <c r="M419" s="31">
        <f>IFERROR(IF(AND(ISNUMBER('SW Rev'!Q10),ISNUMBER('SW Rev'!P10)),'SW Rev'!Q10-'SW Rev'!P10,""),"")</f>
        <v/>
      </c>
      <c r="N419" s="31">
        <f>IFERROR(IF(AND(ISNUMBER('SW Rev'!R10),ISNUMBER('SW Rev'!Q10)),'SW Rev'!R10-'SW Rev'!Q10,""),"")</f>
        <v/>
      </c>
    </row>
    <row r="420">
      <c r="A420" s="19">
        <f>'SW Rev'!$A11</f>
        <v/>
      </c>
      <c r="B420" s="19">
        <f>'SW Rev'!$B11</f>
        <v/>
      </c>
      <c r="C420" s="30">
        <f>IFERROR(IF(AND(ISNUMBER('SW Rev'!G11),ISNUMBER('SW Rev'!F11)),'SW Rev'!G11-'SW Rev'!F11,""),"")</f>
        <v/>
      </c>
      <c r="D420" s="30">
        <f>IFERROR(IF(AND(ISNUMBER('SW Rev'!H11),ISNUMBER('SW Rev'!G11)),'SW Rev'!H11-'SW Rev'!G11,""),"")</f>
        <v/>
      </c>
      <c r="E420" s="30">
        <f>IFERROR(IF(AND(ISNUMBER('SW Rev'!I11),ISNUMBER('SW Rev'!H11)),'SW Rev'!I11-'SW Rev'!H11,""),"")</f>
        <v/>
      </c>
      <c r="F420" s="30">
        <f>IFERROR(IF(AND(ISNUMBER('SW Rev'!J11),ISNUMBER('SW Rev'!I11)),'SW Rev'!J11-'SW Rev'!I11,""),"")</f>
        <v/>
      </c>
      <c r="G420" s="30">
        <f>IFERROR(IF(AND(ISNUMBER('SW Rev'!K11),ISNUMBER('SW Rev'!J11)),'SW Rev'!K11-'SW Rev'!J11,""),"")</f>
        <v/>
      </c>
      <c r="H420" s="30">
        <f>IFERROR(IF(AND(ISNUMBER('SW Rev'!L11),ISNUMBER('SW Rev'!K11)),'SW Rev'!L11-'SW Rev'!K11,""),"")</f>
        <v/>
      </c>
      <c r="I420" s="30">
        <f>IFERROR(IF(AND(ISNUMBER('SW Rev'!M11),ISNUMBER('SW Rev'!L11)),'SW Rev'!M11-'SW Rev'!L11,""),"")</f>
        <v/>
      </c>
      <c r="J420" s="30">
        <f>IFERROR(IF(AND(ISNUMBER('SW Rev'!N11),ISNUMBER('SW Rev'!M11)),'SW Rev'!N11-'SW Rev'!M11,""),"")</f>
        <v/>
      </c>
      <c r="K420" s="30">
        <f>IFERROR(IF(AND(ISNUMBER('SW Rev'!O11),ISNUMBER('SW Rev'!N11)),'SW Rev'!O11-'SW Rev'!N11,""),"")</f>
        <v/>
      </c>
      <c r="L420" s="30">
        <f>IFERROR(IF(AND(ISNUMBER('SW Rev'!P11),ISNUMBER('SW Rev'!O11)),'SW Rev'!P11-'SW Rev'!O11,""),"")</f>
        <v/>
      </c>
      <c r="M420" s="31">
        <f>IFERROR(IF(AND(ISNUMBER('SW Rev'!Q11),ISNUMBER('SW Rev'!P11)),'SW Rev'!Q11-'SW Rev'!P11,""),"")</f>
        <v/>
      </c>
      <c r="N420" s="31">
        <f>IFERROR(IF(AND(ISNUMBER('SW Rev'!R11),ISNUMBER('SW Rev'!Q11)),'SW Rev'!R11-'SW Rev'!Q11,""),"")</f>
        <v/>
      </c>
    </row>
    <row r="421">
      <c r="A421" s="19">
        <f>'SW Rev'!$A12</f>
        <v/>
      </c>
      <c r="B421" s="19">
        <f>'SW Rev'!$B12</f>
        <v/>
      </c>
      <c r="C421" s="30">
        <f>IFERROR(IF(AND(ISNUMBER('SW Rev'!G12),ISNUMBER('SW Rev'!F12)),'SW Rev'!G12-'SW Rev'!F12,""),"")</f>
        <v/>
      </c>
      <c r="D421" s="30">
        <f>IFERROR(IF(AND(ISNUMBER('SW Rev'!H12),ISNUMBER('SW Rev'!G12)),'SW Rev'!H12-'SW Rev'!G12,""),"")</f>
        <v/>
      </c>
      <c r="E421" s="30">
        <f>IFERROR(IF(AND(ISNUMBER('SW Rev'!I12),ISNUMBER('SW Rev'!H12)),'SW Rev'!I12-'SW Rev'!H12,""),"")</f>
        <v/>
      </c>
      <c r="F421" s="30">
        <f>IFERROR(IF(AND(ISNUMBER('SW Rev'!J12),ISNUMBER('SW Rev'!I12)),'SW Rev'!J12-'SW Rev'!I12,""),"")</f>
        <v/>
      </c>
      <c r="G421" s="30">
        <f>IFERROR(IF(AND(ISNUMBER('SW Rev'!K12),ISNUMBER('SW Rev'!J12)),'SW Rev'!K12-'SW Rev'!J12,""),"")</f>
        <v/>
      </c>
      <c r="H421" s="30">
        <f>IFERROR(IF(AND(ISNUMBER('SW Rev'!L12),ISNUMBER('SW Rev'!K12)),'SW Rev'!L12-'SW Rev'!K12,""),"")</f>
        <v/>
      </c>
      <c r="I421" s="30">
        <f>IFERROR(IF(AND(ISNUMBER('SW Rev'!M12),ISNUMBER('SW Rev'!L12)),'SW Rev'!M12-'SW Rev'!L12,""),"")</f>
        <v/>
      </c>
      <c r="J421" s="30">
        <f>IFERROR(IF(AND(ISNUMBER('SW Rev'!N12),ISNUMBER('SW Rev'!M12)),'SW Rev'!N12-'SW Rev'!M12,""),"")</f>
        <v/>
      </c>
      <c r="K421" s="30">
        <f>IFERROR(IF(AND(ISNUMBER('SW Rev'!O12),ISNUMBER('SW Rev'!N12)),'SW Rev'!O12-'SW Rev'!N12,""),"")</f>
        <v/>
      </c>
      <c r="L421" s="30">
        <f>IFERROR(IF(AND(ISNUMBER('SW Rev'!P12),ISNUMBER('SW Rev'!O12)),'SW Rev'!P12-'SW Rev'!O12,""),"")</f>
        <v/>
      </c>
      <c r="M421" s="31">
        <f>IFERROR(IF(AND(ISNUMBER('SW Rev'!Q12),ISNUMBER('SW Rev'!P12)),'SW Rev'!Q12-'SW Rev'!P12,""),"")</f>
        <v/>
      </c>
      <c r="N421" s="31">
        <f>IFERROR(IF(AND(ISNUMBER('SW Rev'!R12),ISNUMBER('SW Rev'!Q12)),'SW Rev'!R12-'SW Rev'!Q12,""),"")</f>
        <v/>
      </c>
    </row>
    <row r="422">
      <c r="A422" s="19">
        <f>'SW Rev'!$A13</f>
        <v/>
      </c>
      <c r="B422" s="19">
        <f>'SW Rev'!$B13</f>
        <v/>
      </c>
      <c r="C422" s="30">
        <f>IFERROR(IF(AND(ISNUMBER('SW Rev'!G13),ISNUMBER('SW Rev'!F13)),'SW Rev'!G13-'SW Rev'!F13,""),"")</f>
        <v/>
      </c>
      <c r="D422" s="30">
        <f>IFERROR(IF(AND(ISNUMBER('SW Rev'!H13),ISNUMBER('SW Rev'!G13)),'SW Rev'!H13-'SW Rev'!G13,""),"")</f>
        <v/>
      </c>
      <c r="E422" s="30">
        <f>IFERROR(IF(AND(ISNUMBER('SW Rev'!I13),ISNUMBER('SW Rev'!H13)),'SW Rev'!I13-'SW Rev'!H13,""),"")</f>
        <v/>
      </c>
      <c r="F422" s="30">
        <f>IFERROR(IF(AND(ISNUMBER('SW Rev'!J13),ISNUMBER('SW Rev'!I13)),'SW Rev'!J13-'SW Rev'!I13,""),"")</f>
        <v/>
      </c>
      <c r="G422" s="30">
        <f>IFERROR(IF(AND(ISNUMBER('SW Rev'!K13),ISNUMBER('SW Rev'!J13)),'SW Rev'!K13-'SW Rev'!J13,""),"")</f>
        <v/>
      </c>
      <c r="H422" s="30">
        <f>IFERROR(IF(AND(ISNUMBER('SW Rev'!L13),ISNUMBER('SW Rev'!K13)),'SW Rev'!L13-'SW Rev'!K13,""),"")</f>
        <v/>
      </c>
      <c r="I422" s="30">
        <f>IFERROR(IF(AND(ISNUMBER('SW Rev'!M13),ISNUMBER('SW Rev'!L13)),'SW Rev'!M13-'SW Rev'!L13,""),"")</f>
        <v/>
      </c>
      <c r="J422" s="30">
        <f>IFERROR(IF(AND(ISNUMBER('SW Rev'!N13),ISNUMBER('SW Rev'!M13)),'SW Rev'!N13-'SW Rev'!M13,""),"")</f>
        <v/>
      </c>
      <c r="K422" s="30">
        <f>IFERROR(IF(AND(ISNUMBER('SW Rev'!O13),ISNUMBER('SW Rev'!N13)),'SW Rev'!O13-'SW Rev'!N13,""),"")</f>
        <v/>
      </c>
      <c r="L422" s="30">
        <f>IFERROR(IF(AND(ISNUMBER('SW Rev'!P13),ISNUMBER('SW Rev'!O13)),'SW Rev'!P13-'SW Rev'!O13,""),"")</f>
        <v/>
      </c>
      <c r="M422" s="31">
        <f>IFERROR(IF(AND(ISNUMBER('SW Rev'!Q13),ISNUMBER('SW Rev'!P13)),'SW Rev'!Q13-'SW Rev'!P13,""),"")</f>
        <v/>
      </c>
      <c r="N422" s="31">
        <f>IFERROR(IF(AND(ISNUMBER('SW Rev'!R13),ISNUMBER('SW Rev'!Q13)),'SW Rev'!R13-'SW Rev'!Q13,""),"")</f>
        <v/>
      </c>
    </row>
    <row r="423">
      <c r="A423" s="19">
        <f>'SW Rev'!$A14</f>
        <v/>
      </c>
      <c r="B423" s="19">
        <f>'SW Rev'!$B14</f>
        <v/>
      </c>
      <c r="C423" s="30">
        <f>IFERROR(IF(AND(ISNUMBER('SW Rev'!G14),ISNUMBER('SW Rev'!F14)),'SW Rev'!G14-'SW Rev'!F14,""),"")</f>
        <v/>
      </c>
      <c r="D423" s="30">
        <f>IFERROR(IF(AND(ISNUMBER('SW Rev'!H14),ISNUMBER('SW Rev'!G14)),'SW Rev'!H14-'SW Rev'!G14,""),"")</f>
        <v/>
      </c>
      <c r="E423" s="30">
        <f>IFERROR(IF(AND(ISNUMBER('SW Rev'!I14),ISNUMBER('SW Rev'!H14)),'SW Rev'!I14-'SW Rev'!H14,""),"")</f>
        <v/>
      </c>
      <c r="F423" s="30">
        <f>IFERROR(IF(AND(ISNUMBER('SW Rev'!J14),ISNUMBER('SW Rev'!I14)),'SW Rev'!J14-'SW Rev'!I14,""),"")</f>
        <v/>
      </c>
      <c r="G423" s="30">
        <f>IFERROR(IF(AND(ISNUMBER('SW Rev'!K14),ISNUMBER('SW Rev'!J14)),'SW Rev'!K14-'SW Rev'!J14,""),"")</f>
        <v/>
      </c>
      <c r="H423" s="30">
        <f>IFERROR(IF(AND(ISNUMBER('SW Rev'!L14),ISNUMBER('SW Rev'!K14)),'SW Rev'!L14-'SW Rev'!K14,""),"")</f>
        <v/>
      </c>
      <c r="I423" s="30">
        <f>IFERROR(IF(AND(ISNUMBER('SW Rev'!M14),ISNUMBER('SW Rev'!L14)),'SW Rev'!M14-'SW Rev'!L14,""),"")</f>
        <v/>
      </c>
      <c r="J423" s="30">
        <f>IFERROR(IF(AND(ISNUMBER('SW Rev'!N14),ISNUMBER('SW Rev'!M14)),'SW Rev'!N14-'SW Rev'!M14,""),"")</f>
        <v/>
      </c>
      <c r="K423" s="30">
        <f>IFERROR(IF(AND(ISNUMBER('SW Rev'!O14),ISNUMBER('SW Rev'!N14)),'SW Rev'!O14-'SW Rev'!N14,""),"")</f>
        <v/>
      </c>
      <c r="L423" s="30">
        <f>IFERROR(IF(AND(ISNUMBER('SW Rev'!P14),ISNUMBER('SW Rev'!O14)),'SW Rev'!P14-'SW Rev'!O14,""),"")</f>
        <v/>
      </c>
      <c r="M423" s="31">
        <f>IFERROR(IF(AND(ISNUMBER('SW Rev'!Q14),ISNUMBER('SW Rev'!P14)),'SW Rev'!Q14-'SW Rev'!P14,""),"")</f>
        <v/>
      </c>
      <c r="N423" s="31">
        <f>IFERROR(IF(AND(ISNUMBER('SW Rev'!R14),ISNUMBER('SW Rev'!Q14)),'SW Rev'!R14-'SW Rev'!Q14,""),"")</f>
        <v/>
      </c>
    </row>
    <row r="424">
      <c r="A424" s="19">
        <f>'SW Rev'!$A15</f>
        <v/>
      </c>
      <c r="B424" s="19">
        <f>'SW Rev'!$B15</f>
        <v/>
      </c>
      <c r="C424" s="30">
        <f>IFERROR(IF(AND(ISNUMBER('SW Rev'!G15),ISNUMBER('SW Rev'!F15)),'SW Rev'!G15-'SW Rev'!F15,""),"")</f>
        <v/>
      </c>
      <c r="D424" s="30">
        <f>IFERROR(IF(AND(ISNUMBER('SW Rev'!H15),ISNUMBER('SW Rev'!G15)),'SW Rev'!H15-'SW Rev'!G15,""),"")</f>
        <v/>
      </c>
      <c r="E424" s="30">
        <f>IFERROR(IF(AND(ISNUMBER('SW Rev'!I15),ISNUMBER('SW Rev'!H15)),'SW Rev'!I15-'SW Rev'!H15,""),"")</f>
        <v/>
      </c>
      <c r="F424" s="30">
        <f>IFERROR(IF(AND(ISNUMBER('SW Rev'!J15),ISNUMBER('SW Rev'!I15)),'SW Rev'!J15-'SW Rev'!I15,""),"")</f>
        <v/>
      </c>
      <c r="G424" s="30">
        <f>IFERROR(IF(AND(ISNUMBER('SW Rev'!K15),ISNUMBER('SW Rev'!J15)),'SW Rev'!K15-'SW Rev'!J15,""),"")</f>
        <v/>
      </c>
      <c r="H424" s="30">
        <f>IFERROR(IF(AND(ISNUMBER('SW Rev'!L15),ISNUMBER('SW Rev'!K15)),'SW Rev'!L15-'SW Rev'!K15,""),"")</f>
        <v/>
      </c>
      <c r="I424" s="30">
        <f>IFERROR(IF(AND(ISNUMBER('SW Rev'!M15),ISNUMBER('SW Rev'!L15)),'SW Rev'!M15-'SW Rev'!L15,""),"")</f>
        <v/>
      </c>
      <c r="J424" s="30">
        <f>IFERROR(IF(AND(ISNUMBER('SW Rev'!N15),ISNUMBER('SW Rev'!M15)),'SW Rev'!N15-'SW Rev'!M15,""),"")</f>
        <v/>
      </c>
      <c r="K424" s="30">
        <f>IFERROR(IF(AND(ISNUMBER('SW Rev'!O15),ISNUMBER('SW Rev'!N15)),'SW Rev'!O15-'SW Rev'!N15,""),"")</f>
        <v/>
      </c>
      <c r="L424" s="30">
        <f>IFERROR(IF(AND(ISNUMBER('SW Rev'!P15),ISNUMBER('SW Rev'!O15)),'SW Rev'!P15-'SW Rev'!O15,""),"")</f>
        <v/>
      </c>
      <c r="M424" s="31">
        <f>IFERROR(IF(AND(ISNUMBER('SW Rev'!Q15),ISNUMBER('SW Rev'!P15)),'SW Rev'!Q15-'SW Rev'!P15,""),"")</f>
        <v/>
      </c>
      <c r="N424" s="31">
        <f>IFERROR(IF(AND(ISNUMBER('SW Rev'!R15),ISNUMBER('SW Rev'!Q15)),'SW Rev'!R15-'SW Rev'!Q15,""),"")</f>
        <v/>
      </c>
    </row>
    <row r="425">
      <c r="A425" s="19">
        <f>'SW Rev'!$A16</f>
        <v/>
      </c>
      <c r="B425" s="19">
        <f>'SW Rev'!$B16</f>
        <v/>
      </c>
      <c r="C425" s="30">
        <f>IFERROR(IF(AND(ISNUMBER('SW Rev'!G16),ISNUMBER('SW Rev'!F16)),'SW Rev'!G16-'SW Rev'!F16,""),"")</f>
        <v/>
      </c>
      <c r="D425" s="30">
        <f>IFERROR(IF(AND(ISNUMBER('SW Rev'!H16),ISNUMBER('SW Rev'!G16)),'SW Rev'!H16-'SW Rev'!G16,""),"")</f>
        <v/>
      </c>
      <c r="E425" s="30">
        <f>IFERROR(IF(AND(ISNUMBER('SW Rev'!I16),ISNUMBER('SW Rev'!H16)),'SW Rev'!I16-'SW Rev'!H16,""),"")</f>
        <v/>
      </c>
      <c r="F425" s="30">
        <f>IFERROR(IF(AND(ISNUMBER('SW Rev'!J16),ISNUMBER('SW Rev'!I16)),'SW Rev'!J16-'SW Rev'!I16,""),"")</f>
        <v/>
      </c>
      <c r="G425" s="30">
        <f>IFERROR(IF(AND(ISNUMBER('SW Rev'!K16),ISNUMBER('SW Rev'!J16)),'SW Rev'!K16-'SW Rev'!J16,""),"")</f>
        <v/>
      </c>
      <c r="H425" s="30">
        <f>IFERROR(IF(AND(ISNUMBER('SW Rev'!L16),ISNUMBER('SW Rev'!K16)),'SW Rev'!L16-'SW Rev'!K16,""),"")</f>
        <v/>
      </c>
      <c r="I425" s="30">
        <f>IFERROR(IF(AND(ISNUMBER('SW Rev'!M16),ISNUMBER('SW Rev'!L16)),'SW Rev'!M16-'SW Rev'!L16,""),"")</f>
        <v/>
      </c>
      <c r="J425" s="30">
        <f>IFERROR(IF(AND(ISNUMBER('SW Rev'!N16),ISNUMBER('SW Rev'!M16)),'SW Rev'!N16-'SW Rev'!M16,""),"")</f>
        <v/>
      </c>
      <c r="K425" s="30">
        <f>IFERROR(IF(AND(ISNUMBER('SW Rev'!O16),ISNUMBER('SW Rev'!N16)),'SW Rev'!O16-'SW Rev'!N16,""),"")</f>
        <v/>
      </c>
      <c r="L425" s="30">
        <f>IFERROR(IF(AND(ISNUMBER('SW Rev'!P16),ISNUMBER('SW Rev'!O16)),'SW Rev'!P16-'SW Rev'!O16,""),"")</f>
        <v/>
      </c>
      <c r="M425" s="31">
        <f>IFERROR(IF(AND(ISNUMBER('SW Rev'!Q16),ISNUMBER('SW Rev'!P16)),'SW Rev'!Q16-'SW Rev'!P16,""),"")</f>
        <v/>
      </c>
      <c r="N425" s="31">
        <f>IFERROR(IF(AND(ISNUMBER('SW Rev'!R16),ISNUMBER('SW Rev'!Q16)),'SW Rev'!R16-'SW Rev'!Q16,""),"")</f>
        <v/>
      </c>
    </row>
    <row r="426">
      <c r="A426" s="19">
        <f>'SW Rev'!$A17</f>
        <v/>
      </c>
      <c r="B426" s="19">
        <f>'SW Rev'!$B17</f>
        <v/>
      </c>
      <c r="C426" s="30">
        <f>IFERROR(IF(AND(ISNUMBER('SW Rev'!G17),ISNUMBER('SW Rev'!F17)),'SW Rev'!G17-'SW Rev'!F17,""),"")</f>
        <v/>
      </c>
      <c r="D426" s="30">
        <f>IFERROR(IF(AND(ISNUMBER('SW Rev'!H17),ISNUMBER('SW Rev'!G17)),'SW Rev'!H17-'SW Rev'!G17,""),"")</f>
        <v/>
      </c>
      <c r="E426" s="30">
        <f>IFERROR(IF(AND(ISNUMBER('SW Rev'!I17),ISNUMBER('SW Rev'!H17)),'SW Rev'!I17-'SW Rev'!H17,""),"")</f>
        <v/>
      </c>
      <c r="F426" s="30">
        <f>IFERROR(IF(AND(ISNUMBER('SW Rev'!J17),ISNUMBER('SW Rev'!I17)),'SW Rev'!J17-'SW Rev'!I17,""),"")</f>
        <v/>
      </c>
      <c r="G426" s="30">
        <f>IFERROR(IF(AND(ISNUMBER('SW Rev'!K17),ISNUMBER('SW Rev'!J17)),'SW Rev'!K17-'SW Rev'!J17,""),"")</f>
        <v/>
      </c>
      <c r="H426" s="30">
        <f>IFERROR(IF(AND(ISNUMBER('SW Rev'!L17),ISNUMBER('SW Rev'!K17)),'SW Rev'!L17-'SW Rev'!K17,""),"")</f>
        <v/>
      </c>
      <c r="I426" s="30">
        <f>IFERROR(IF(AND(ISNUMBER('SW Rev'!M17),ISNUMBER('SW Rev'!L17)),'SW Rev'!M17-'SW Rev'!L17,""),"")</f>
        <v/>
      </c>
      <c r="J426" s="30">
        <f>IFERROR(IF(AND(ISNUMBER('SW Rev'!N17),ISNUMBER('SW Rev'!M17)),'SW Rev'!N17-'SW Rev'!M17,""),"")</f>
        <v/>
      </c>
      <c r="K426" s="30">
        <f>IFERROR(IF(AND(ISNUMBER('SW Rev'!O17),ISNUMBER('SW Rev'!N17)),'SW Rev'!O17-'SW Rev'!N17,""),"")</f>
        <v/>
      </c>
      <c r="L426" s="30">
        <f>IFERROR(IF(AND(ISNUMBER('SW Rev'!P17),ISNUMBER('SW Rev'!O17)),'SW Rev'!P17-'SW Rev'!O17,""),"")</f>
        <v/>
      </c>
      <c r="M426" s="31">
        <f>IFERROR(IF(AND(ISNUMBER('SW Rev'!Q17),ISNUMBER('SW Rev'!P17)),'SW Rev'!Q17-'SW Rev'!P17,""),"")</f>
        <v/>
      </c>
      <c r="N426" s="31">
        <f>IFERROR(IF(AND(ISNUMBER('SW Rev'!R17),ISNUMBER('SW Rev'!Q17)),'SW Rev'!R17-'SW Rev'!Q17,""),"")</f>
        <v/>
      </c>
    </row>
    <row r="427">
      <c r="A427" s="19">
        <f>'SW Rev'!$A18</f>
        <v/>
      </c>
      <c r="B427" s="19">
        <f>'SW Rev'!$B18</f>
        <v/>
      </c>
      <c r="C427" s="30">
        <f>IFERROR(IF(AND(ISNUMBER('SW Rev'!G18),ISNUMBER('SW Rev'!F18)),'SW Rev'!G18-'SW Rev'!F18,""),"")</f>
        <v/>
      </c>
      <c r="D427" s="30">
        <f>IFERROR(IF(AND(ISNUMBER('SW Rev'!H18),ISNUMBER('SW Rev'!G18)),'SW Rev'!H18-'SW Rev'!G18,""),"")</f>
        <v/>
      </c>
      <c r="E427" s="30">
        <f>IFERROR(IF(AND(ISNUMBER('SW Rev'!I18),ISNUMBER('SW Rev'!H18)),'SW Rev'!I18-'SW Rev'!H18,""),"")</f>
        <v/>
      </c>
      <c r="F427" s="30">
        <f>IFERROR(IF(AND(ISNUMBER('SW Rev'!J18),ISNUMBER('SW Rev'!I18)),'SW Rev'!J18-'SW Rev'!I18,""),"")</f>
        <v/>
      </c>
      <c r="G427" s="30">
        <f>IFERROR(IF(AND(ISNUMBER('SW Rev'!K18),ISNUMBER('SW Rev'!J18)),'SW Rev'!K18-'SW Rev'!J18,""),"")</f>
        <v/>
      </c>
      <c r="H427" s="30">
        <f>IFERROR(IF(AND(ISNUMBER('SW Rev'!L18),ISNUMBER('SW Rev'!K18)),'SW Rev'!L18-'SW Rev'!K18,""),"")</f>
        <v/>
      </c>
      <c r="I427" s="30">
        <f>IFERROR(IF(AND(ISNUMBER('SW Rev'!M18),ISNUMBER('SW Rev'!L18)),'SW Rev'!M18-'SW Rev'!L18,""),"")</f>
        <v/>
      </c>
      <c r="J427" s="30">
        <f>IFERROR(IF(AND(ISNUMBER('SW Rev'!N18),ISNUMBER('SW Rev'!M18)),'SW Rev'!N18-'SW Rev'!M18,""),"")</f>
        <v/>
      </c>
      <c r="K427" s="30">
        <f>IFERROR(IF(AND(ISNUMBER('SW Rev'!O18),ISNUMBER('SW Rev'!N18)),'SW Rev'!O18-'SW Rev'!N18,""),"")</f>
        <v/>
      </c>
      <c r="L427" s="30">
        <f>IFERROR(IF(AND(ISNUMBER('SW Rev'!P18),ISNUMBER('SW Rev'!O18)),'SW Rev'!P18-'SW Rev'!O18,""),"")</f>
        <v/>
      </c>
      <c r="M427" s="31">
        <f>IFERROR(IF(AND(ISNUMBER('SW Rev'!Q18),ISNUMBER('SW Rev'!P18)),'SW Rev'!Q18-'SW Rev'!P18,""),"")</f>
        <v/>
      </c>
      <c r="N427" s="31">
        <f>IFERROR(IF(AND(ISNUMBER('SW Rev'!R18),ISNUMBER('SW Rev'!Q18)),'SW Rev'!R18-'SW Rev'!Q18,""),"")</f>
        <v/>
      </c>
    </row>
    <row r="428">
      <c r="A428" s="19">
        <f>'SW Rev'!$A19</f>
        <v/>
      </c>
      <c r="B428" s="19">
        <f>'SW Rev'!$B19</f>
        <v/>
      </c>
      <c r="C428" s="30">
        <f>IFERROR(IF(AND(ISNUMBER('SW Rev'!G19),ISNUMBER('SW Rev'!F19)),'SW Rev'!G19-'SW Rev'!F19,""),"")</f>
        <v/>
      </c>
      <c r="D428" s="30">
        <f>IFERROR(IF(AND(ISNUMBER('SW Rev'!H19),ISNUMBER('SW Rev'!G19)),'SW Rev'!H19-'SW Rev'!G19,""),"")</f>
        <v/>
      </c>
      <c r="E428" s="30">
        <f>IFERROR(IF(AND(ISNUMBER('SW Rev'!I19),ISNUMBER('SW Rev'!H19)),'SW Rev'!I19-'SW Rev'!H19,""),"")</f>
        <v/>
      </c>
      <c r="F428" s="30">
        <f>IFERROR(IF(AND(ISNUMBER('SW Rev'!J19),ISNUMBER('SW Rev'!I19)),'SW Rev'!J19-'SW Rev'!I19,""),"")</f>
        <v/>
      </c>
      <c r="G428" s="30">
        <f>IFERROR(IF(AND(ISNUMBER('SW Rev'!K19),ISNUMBER('SW Rev'!J19)),'SW Rev'!K19-'SW Rev'!J19,""),"")</f>
        <v/>
      </c>
      <c r="H428" s="30">
        <f>IFERROR(IF(AND(ISNUMBER('SW Rev'!L19),ISNUMBER('SW Rev'!K19)),'SW Rev'!L19-'SW Rev'!K19,""),"")</f>
        <v/>
      </c>
      <c r="I428" s="30">
        <f>IFERROR(IF(AND(ISNUMBER('SW Rev'!M19),ISNUMBER('SW Rev'!L19)),'SW Rev'!M19-'SW Rev'!L19,""),"")</f>
        <v/>
      </c>
      <c r="J428" s="30">
        <f>IFERROR(IF(AND(ISNUMBER('SW Rev'!N19),ISNUMBER('SW Rev'!M19)),'SW Rev'!N19-'SW Rev'!M19,""),"")</f>
        <v/>
      </c>
      <c r="K428" s="30">
        <f>IFERROR(IF(AND(ISNUMBER('SW Rev'!O19),ISNUMBER('SW Rev'!N19)),'SW Rev'!O19-'SW Rev'!N19,""),"")</f>
        <v/>
      </c>
      <c r="L428" s="30">
        <f>IFERROR(IF(AND(ISNUMBER('SW Rev'!P19),ISNUMBER('SW Rev'!O19)),'SW Rev'!P19-'SW Rev'!O19,""),"")</f>
        <v/>
      </c>
      <c r="M428" s="31">
        <f>IFERROR(IF(AND(ISNUMBER('SW Rev'!Q19),ISNUMBER('SW Rev'!P19)),'SW Rev'!Q19-'SW Rev'!P19,""),"")</f>
        <v/>
      </c>
      <c r="N428" s="31">
        <f>IFERROR(IF(AND(ISNUMBER('SW Rev'!R19),ISNUMBER('SW Rev'!Q19)),'SW Rev'!R19-'SW Rev'!Q19,""),"")</f>
        <v/>
      </c>
    </row>
    <row r="429">
      <c r="A429" s="19">
        <f>'SW Rev'!$A20</f>
        <v/>
      </c>
      <c r="B429" s="19">
        <f>'SW Rev'!$B20</f>
        <v/>
      </c>
      <c r="C429" s="30">
        <f>IFERROR(IF(AND(ISNUMBER('SW Rev'!G20),ISNUMBER('SW Rev'!F20)),'SW Rev'!G20-'SW Rev'!F20,""),"")</f>
        <v/>
      </c>
      <c r="D429" s="30">
        <f>IFERROR(IF(AND(ISNUMBER('SW Rev'!H20),ISNUMBER('SW Rev'!G20)),'SW Rev'!H20-'SW Rev'!G20,""),"")</f>
        <v/>
      </c>
      <c r="E429" s="30">
        <f>IFERROR(IF(AND(ISNUMBER('SW Rev'!I20),ISNUMBER('SW Rev'!H20)),'SW Rev'!I20-'SW Rev'!H20,""),"")</f>
        <v/>
      </c>
      <c r="F429" s="30">
        <f>IFERROR(IF(AND(ISNUMBER('SW Rev'!J20),ISNUMBER('SW Rev'!I20)),'SW Rev'!J20-'SW Rev'!I20,""),"")</f>
        <v/>
      </c>
      <c r="G429" s="30">
        <f>IFERROR(IF(AND(ISNUMBER('SW Rev'!K20),ISNUMBER('SW Rev'!J20)),'SW Rev'!K20-'SW Rev'!J20,""),"")</f>
        <v/>
      </c>
      <c r="H429" s="30">
        <f>IFERROR(IF(AND(ISNUMBER('SW Rev'!L20),ISNUMBER('SW Rev'!K20)),'SW Rev'!L20-'SW Rev'!K20,""),"")</f>
        <v/>
      </c>
      <c r="I429" s="30">
        <f>IFERROR(IF(AND(ISNUMBER('SW Rev'!M20),ISNUMBER('SW Rev'!L20)),'SW Rev'!M20-'SW Rev'!L20,""),"")</f>
        <v/>
      </c>
      <c r="J429" s="30">
        <f>IFERROR(IF(AND(ISNUMBER('SW Rev'!N20),ISNUMBER('SW Rev'!M20)),'SW Rev'!N20-'SW Rev'!M20,""),"")</f>
        <v/>
      </c>
      <c r="K429" s="30">
        <f>IFERROR(IF(AND(ISNUMBER('SW Rev'!O20),ISNUMBER('SW Rev'!N20)),'SW Rev'!O20-'SW Rev'!N20,""),"")</f>
        <v/>
      </c>
      <c r="L429" s="30">
        <f>IFERROR(IF(AND(ISNUMBER('SW Rev'!P20),ISNUMBER('SW Rev'!O20)),'SW Rev'!P20-'SW Rev'!O20,""),"")</f>
        <v/>
      </c>
      <c r="M429" s="31">
        <f>IFERROR(IF(AND(ISNUMBER('SW Rev'!Q20),ISNUMBER('SW Rev'!P20)),'SW Rev'!Q20-'SW Rev'!P20,""),"")</f>
        <v/>
      </c>
      <c r="N429" s="31">
        <f>IFERROR(IF(AND(ISNUMBER('SW Rev'!R20),ISNUMBER('SW Rev'!Q20)),'SW Rev'!R20-'SW Rev'!Q20,""),"")</f>
        <v/>
      </c>
    </row>
    <row r="430">
      <c r="A430" s="19">
        <f>'SW Rev'!$A21</f>
        <v/>
      </c>
      <c r="B430" s="19">
        <f>'SW Rev'!$B21</f>
        <v/>
      </c>
      <c r="C430" s="30">
        <f>IFERROR(IF(AND(ISNUMBER('SW Rev'!G21),ISNUMBER('SW Rev'!F21)),'SW Rev'!G21-'SW Rev'!F21,""),"")</f>
        <v/>
      </c>
      <c r="D430" s="30">
        <f>IFERROR(IF(AND(ISNUMBER('SW Rev'!H21),ISNUMBER('SW Rev'!G21)),'SW Rev'!H21-'SW Rev'!G21,""),"")</f>
        <v/>
      </c>
      <c r="E430" s="30">
        <f>IFERROR(IF(AND(ISNUMBER('SW Rev'!I21),ISNUMBER('SW Rev'!H21)),'SW Rev'!I21-'SW Rev'!H21,""),"")</f>
        <v/>
      </c>
      <c r="F430" s="30">
        <f>IFERROR(IF(AND(ISNUMBER('SW Rev'!J21),ISNUMBER('SW Rev'!I21)),'SW Rev'!J21-'SW Rev'!I21,""),"")</f>
        <v/>
      </c>
      <c r="G430" s="30">
        <f>IFERROR(IF(AND(ISNUMBER('SW Rev'!K21),ISNUMBER('SW Rev'!J21)),'SW Rev'!K21-'SW Rev'!J21,""),"")</f>
        <v/>
      </c>
      <c r="H430" s="30">
        <f>IFERROR(IF(AND(ISNUMBER('SW Rev'!L21),ISNUMBER('SW Rev'!K21)),'SW Rev'!L21-'SW Rev'!K21,""),"")</f>
        <v/>
      </c>
      <c r="I430" s="30">
        <f>IFERROR(IF(AND(ISNUMBER('SW Rev'!M21),ISNUMBER('SW Rev'!L21)),'SW Rev'!M21-'SW Rev'!L21,""),"")</f>
        <v/>
      </c>
      <c r="J430" s="30">
        <f>IFERROR(IF(AND(ISNUMBER('SW Rev'!N21),ISNUMBER('SW Rev'!M21)),'SW Rev'!N21-'SW Rev'!M21,""),"")</f>
        <v/>
      </c>
      <c r="K430" s="30">
        <f>IFERROR(IF(AND(ISNUMBER('SW Rev'!O21),ISNUMBER('SW Rev'!N21)),'SW Rev'!O21-'SW Rev'!N21,""),"")</f>
        <v/>
      </c>
      <c r="L430" s="30">
        <f>IFERROR(IF(AND(ISNUMBER('SW Rev'!P21),ISNUMBER('SW Rev'!O21)),'SW Rev'!P21-'SW Rev'!O21,""),"")</f>
        <v/>
      </c>
      <c r="M430" s="31">
        <f>IFERROR(IF(AND(ISNUMBER('SW Rev'!Q21),ISNUMBER('SW Rev'!P21)),'SW Rev'!Q21-'SW Rev'!P21,""),"")</f>
        <v/>
      </c>
      <c r="N430" s="31">
        <f>IFERROR(IF(AND(ISNUMBER('SW Rev'!R21),ISNUMBER('SW Rev'!Q21)),'SW Rev'!R21-'SW Rev'!Q21,""),"")</f>
        <v/>
      </c>
    </row>
    <row r="431">
      <c r="A431" s="19">
        <f>'SW Rev'!$A22</f>
        <v/>
      </c>
      <c r="B431" s="19">
        <f>'SW Rev'!$B22</f>
        <v/>
      </c>
      <c r="C431" s="30">
        <f>IFERROR(IF(AND(ISNUMBER('SW Rev'!G22),ISNUMBER('SW Rev'!F22)),'SW Rev'!G22-'SW Rev'!F22,""),"")</f>
        <v/>
      </c>
      <c r="D431" s="30">
        <f>IFERROR(IF(AND(ISNUMBER('SW Rev'!H22),ISNUMBER('SW Rev'!G22)),'SW Rev'!H22-'SW Rev'!G22,""),"")</f>
        <v/>
      </c>
      <c r="E431" s="30">
        <f>IFERROR(IF(AND(ISNUMBER('SW Rev'!I22),ISNUMBER('SW Rev'!H22)),'SW Rev'!I22-'SW Rev'!H22,""),"")</f>
        <v/>
      </c>
      <c r="F431" s="30">
        <f>IFERROR(IF(AND(ISNUMBER('SW Rev'!J22),ISNUMBER('SW Rev'!I22)),'SW Rev'!J22-'SW Rev'!I22,""),"")</f>
        <v/>
      </c>
      <c r="G431" s="30">
        <f>IFERROR(IF(AND(ISNUMBER('SW Rev'!K22),ISNUMBER('SW Rev'!J22)),'SW Rev'!K22-'SW Rev'!J22,""),"")</f>
        <v/>
      </c>
      <c r="H431" s="30">
        <f>IFERROR(IF(AND(ISNUMBER('SW Rev'!L22),ISNUMBER('SW Rev'!K22)),'SW Rev'!L22-'SW Rev'!K22,""),"")</f>
        <v/>
      </c>
      <c r="I431" s="30">
        <f>IFERROR(IF(AND(ISNUMBER('SW Rev'!M22),ISNUMBER('SW Rev'!L22)),'SW Rev'!M22-'SW Rev'!L22,""),"")</f>
        <v/>
      </c>
      <c r="J431" s="30">
        <f>IFERROR(IF(AND(ISNUMBER('SW Rev'!N22),ISNUMBER('SW Rev'!M22)),'SW Rev'!N22-'SW Rev'!M22,""),"")</f>
        <v/>
      </c>
      <c r="K431" s="30">
        <f>IFERROR(IF(AND(ISNUMBER('SW Rev'!O22),ISNUMBER('SW Rev'!N22)),'SW Rev'!O22-'SW Rev'!N22,""),"")</f>
        <v/>
      </c>
      <c r="L431" s="30">
        <f>IFERROR(IF(AND(ISNUMBER('SW Rev'!P22),ISNUMBER('SW Rev'!O22)),'SW Rev'!P22-'SW Rev'!O22,""),"")</f>
        <v/>
      </c>
      <c r="M431" s="31">
        <f>IFERROR(IF(AND(ISNUMBER('SW Rev'!Q22),ISNUMBER('SW Rev'!P22)),'SW Rev'!Q22-'SW Rev'!P22,""),"")</f>
        <v/>
      </c>
      <c r="N431" s="31">
        <f>IFERROR(IF(AND(ISNUMBER('SW Rev'!R22),ISNUMBER('SW Rev'!Q22)),'SW Rev'!R22-'SW Rev'!Q22,""),"")</f>
        <v/>
      </c>
    </row>
    <row r="432">
      <c r="A432" s="19">
        <f>'SW Rev'!$A23</f>
        <v/>
      </c>
      <c r="B432" s="19">
        <f>'SW Rev'!$B23</f>
        <v/>
      </c>
      <c r="C432" s="30">
        <f>IFERROR(IF(AND(ISNUMBER('SW Rev'!G23),ISNUMBER('SW Rev'!F23)),'SW Rev'!G23-'SW Rev'!F23,""),"")</f>
        <v/>
      </c>
      <c r="D432" s="30">
        <f>IFERROR(IF(AND(ISNUMBER('SW Rev'!H23),ISNUMBER('SW Rev'!G23)),'SW Rev'!H23-'SW Rev'!G23,""),"")</f>
        <v/>
      </c>
      <c r="E432" s="30">
        <f>IFERROR(IF(AND(ISNUMBER('SW Rev'!I23),ISNUMBER('SW Rev'!H23)),'SW Rev'!I23-'SW Rev'!H23,""),"")</f>
        <v/>
      </c>
      <c r="F432" s="30">
        <f>IFERROR(IF(AND(ISNUMBER('SW Rev'!J23),ISNUMBER('SW Rev'!I23)),'SW Rev'!J23-'SW Rev'!I23,""),"")</f>
        <v/>
      </c>
      <c r="G432" s="30">
        <f>IFERROR(IF(AND(ISNUMBER('SW Rev'!K23),ISNUMBER('SW Rev'!J23)),'SW Rev'!K23-'SW Rev'!J23,""),"")</f>
        <v/>
      </c>
      <c r="H432" s="30">
        <f>IFERROR(IF(AND(ISNUMBER('SW Rev'!L23),ISNUMBER('SW Rev'!K23)),'SW Rev'!L23-'SW Rev'!K23,""),"")</f>
        <v/>
      </c>
      <c r="I432" s="30">
        <f>IFERROR(IF(AND(ISNUMBER('SW Rev'!M23),ISNUMBER('SW Rev'!L23)),'SW Rev'!M23-'SW Rev'!L23,""),"")</f>
        <v/>
      </c>
      <c r="J432" s="30">
        <f>IFERROR(IF(AND(ISNUMBER('SW Rev'!N23),ISNUMBER('SW Rev'!M23)),'SW Rev'!N23-'SW Rev'!M23,""),"")</f>
        <v/>
      </c>
      <c r="K432" s="30">
        <f>IFERROR(IF(AND(ISNUMBER('SW Rev'!O23),ISNUMBER('SW Rev'!N23)),'SW Rev'!O23-'SW Rev'!N23,""),"")</f>
        <v/>
      </c>
      <c r="L432" s="30">
        <f>IFERROR(IF(AND(ISNUMBER('SW Rev'!P23),ISNUMBER('SW Rev'!O23)),'SW Rev'!P23-'SW Rev'!O23,""),"")</f>
        <v/>
      </c>
      <c r="M432" s="31">
        <f>IFERROR(IF(AND(ISNUMBER('SW Rev'!Q23),ISNUMBER('SW Rev'!P23)),'SW Rev'!Q23-'SW Rev'!P23,""),"")</f>
        <v/>
      </c>
      <c r="N432" s="31">
        <f>IFERROR(IF(AND(ISNUMBER('SW Rev'!R23),ISNUMBER('SW Rev'!Q23)),'SW Rev'!R23-'SW Rev'!Q23,""),"")</f>
        <v/>
      </c>
    </row>
    <row r="433">
      <c r="A433" s="19">
        <f>'SW Rev'!$A24</f>
        <v/>
      </c>
      <c r="B433" s="19">
        <f>'SW Rev'!$B24</f>
        <v/>
      </c>
      <c r="C433" s="30">
        <f>IFERROR(IF(AND(ISNUMBER('SW Rev'!G24),ISNUMBER('SW Rev'!F24)),'SW Rev'!G24-'SW Rev'!F24,""),"")</f>
        <v/>
      </c>
      <c r="D433" s="30">
        <f>IFERROR(IF(AND(ISNUMBER('SW Rev'!H24),ISNUMBER('SW Rev'!G24)),'SW Rev'!H24-'SW Rev'!G24,""),"")</f>
        <v/>
      </c>
      <c r="E433" s="30">
        <f>IFERROR(IF(AND(ISNUMBER('SW Rev'!I24),ISNUMBER('SW Rev'!H24)),'SW Rev'!I24-'SW Rev'!H24,""),"")</f>
        <v/>
      </c>
      <c r="F433" s="30">
        <f>IFERROR(IF(AND(ISNUMBER('SW Rev'!J24),ISNUMBER('SW Rev'!I24)),'SW Rev'!J24-'SW Rev'!I24,""),"")</f>
        <v/>
      </c>
      <c r="G433" s="30">
        <f>IFERROR(IF(AND(ISNUMBER('SW Rev'!K24),ISNUMBER('SW Rev'!J24)),'SW Rev'!K24-'SW Rev'!J24,""),"")</f>
        <v/>
      </c>
      <c r="H433" s="30">
        <f>IFERROR(IF(AND(ISNUMBER('SW Rev'!L24),ISNUMBER('SW Rev'!K24)),'SW Rev'!L24-'SW Rev'!K24,""),"")</f>
        <v/>
      </c>
      <c r="I433" s="30">
        <f>IFERROR(IF(AND(ISNUMBER('SW Rev'!M24),ISNUMBER('SW Rev'!L24)),'SW Rev'!M24-'SW Rev'!L24,""),"")</f>
        <v/>
      </c>
      <c r="J433" s="30">
        <f>IFERROR(IF(AND(ISNUMBER('SW Rev'!N24),ISNUMBER('SW Rev'!M24)),'SW Rev'!N24-'SW Rev'!M24,""),"")</f>
        <v/>
      </c>
      <c r="K433" s="30">
        <f>IFERROR(IF(AND(ISNUMBER('SW Rev'!O24),ISNUMBER('SW Rev'!N24)),'SW Rev'!O24-'SW Rev'!N24,""),"")</f>
        <v/>
      </c>
      <c r="L433" s="30">
        <f>IFERROR(IF(AND(ISNUMBER('SW Rev'!P24),ISNUMBER('SW Rev'!O24)),'SW Rev'!P24-'SW Rev'!O24,""),"")</f>
        <v/>
      </c>
      <c r="M433" s="31">
        <f>IFERROR(IF(AND(ISNUMBER('SW Rev'!Q24),ISNUMBER('SW Rev'!P24)),'SW Rev'!Q24-'SW Rev'!P24,""),"")</f>
        <v/>
      </c>
      <c r="N433" s="31">
        <f>IFERROR(IF(AND(ISNUMBER('SW Rev'!R24),ISNUMBER('SW Rev'!Q24)),'SW Rev'!R24-'SW Rev'!Q24,""),"")</f>
        <v/>
      </c>
    </row>
    <row r="434">
      <c r="A434" s="19">
        <f>'SW Rev'!$A25</f>
        <v/>
      </c>
      <c r="B434" s="19">
        <f>'SW Rev'!$B25</f>
        <v/>
      </c>
      <c r="C434" s="30">
        <f>IFERROR(IF(AND(ISNUMBER('SW Rev'!G25),ISNUMBER('SW Rev'!F25)),'SW Rev'!G25-'SW Rev'!F25,""),"")</f>
        <v/>
      </c>
      <c r="D434" s="30">
        <f>IFERROR(IF(AND(ISNUMBER('SW Rev'!H25),ISNUMBER('SW Rev'!G25)),'SW Rev'!H25-'SW Rev'!G25,""),"")</f>
        <v/>
      </c>
      <c r="E434" s="30">
        <f>IFERROR(IF(AND(ISNUMBER('SW Rev'!I25),ISNUMBER('SW Rev'!H25)),'SW Rev'!I25-'SW Rev'!H25,""),"")</f>
        <v/>
      </c>
      <c r="F434" s="30">
        <f>IFERROR(IF(AND(ISNUMBER('SW Rev'!J25),ISNUMBER('SW Rev'!I25)),'SW Rev'!J25-'SW Rev'!I25,""),"")</f>
        <v/>
      </c>
      <c r="G434" s="30">
        <f>IFERROR(IF(AND(ISNUMBER('SW Rev'!K25),ISNUMBER('SW Rev'!J25)),'SW Rev'!K25-'SW Rev'!J25,""),"")</f>
        <v/>
      </c>
      <c r="H434" s="30">
        <f>IFERROR(IF(AND(ISNUMBER('SW Rev'!L25),ISNUMBER('SW Rev'!K25)),'SW Rev'!L25-'SW Rev'!K25,""),"")</f>
        <v/>
      </c>
      <c r="I434" s="30">
        <f>IFERROR(IF(AND(ISNUMBER('SW Rev'!M25),ISNUMBER('SW Rev'!L25)),'SW Rev'!M25-'SW Rev'!L25,""),"")</f>
        <v/>
      </c>
      <c r="J434" s="30">
        <f>IFERROR(IF(AND(ISNUMBER('SW Rev'!N25),ISNUMBER('SW Rev'!M25)),'SW Rev'!N25-'SW Rev'!M25,""),"")</f>
        <v/>
      </c>
      <c r="K434" s="30">
        <f>IFERROR(IF(AND(ISNUMBER('SW Rev'!O25),ISNUMBER('SW Rev'!N25)),'SW Rev'!O25-'SW Rev'!N25,""),"")</f>
        <v/>
      </c>
      <c r="L434" s="30">
        <f>IFERROR(IF(AND(ISNUMBER('SW Rev'!P25),ISNUMBER('SW Rev'!O25)),'SW Rev'!P25-'SW Rev'!O25,""),"")</f>
        <v/>
      </c>
      <c r="M434" s="31">
        <f>IFERROR(IF(AND(ISNUMBER('SW Rev'!Q25),ISNUMBER('SW Rev'!P25)),'SW Rev'!Q25-'SW Rev'!P25,""),"")</f>
        <v/>
      </c>
      <c r="N434" s="31">
        <f>IFERROR(IF(AND(ISNUMBER('SW Rev'!R25),ISNUMBER('SW Rev'!Q25)),'SW Rev'!R25-'SW Rev'!Q25,""),"")</f>
        <v/>
      </c>
    </row>
    <row r="435">
      <c r="A435" s="19">
        <f>'SW Rev'!$A26</f>
        <v/>
      </c>
      <c r="B435" s="19">
        <f>'SW Rev'!$B26</f>
        <v/>
      </c>
      <c r="C435" s="30">
        <f>IFERROR(IF(AND(ISNUMBER('SW Rev'!G26),ISNUMBER('SW Rev'!F26)),'SW Rev'!G26-'SW Rev'!F26,""),"")</f>
        <v/>
      </c>
      <c r="D435" s="30">
        <f>IFERROR(IF(AND(ISNUMBER('SW Rev'!H26),ISNUMBER('SW Rev'!G26)),'SW Rev'!H26-'SW Rev'!G26,""),"")</f>
        <v/>
      </c>
      <c r="E435" s="30">
        <f>IFERROR(IF(AND(ISNUMBER('SW Rev'!I26),ISNUMBER('SW Rev'!H26)),'SW Rev'!I26-'SW Rev'!H26,""),"")</f>
        <v/>
      </c>
      <c r="F435" s="30">
        <f>IFERROR(IF(AND(ISNUMBER('SW Rev'!J26),ISNUMBER('SW Rev'!I26)),'SW Rev'!J26-'SW Rev'!I26,""),"")</f>
        <v/>
      </c>
      <c r="G435" s="30">
        <f>IFERROR(IF(AND(ISNUMBER('SW Rev'!K26),ISNUMBER('SW Rev'!J26)),'SW Rev'!K26-'SW Rev'!J26,""),"")</f>
        <v/>
      </c>
      <c r="H435" s="30">
        <f>IFERROR(IF(AND(ISNUMBER('SW Rev'!L26),ISNUMBER('SW Rev'!K26)),'SW Rev'!L26-'SW Rev'!K26,""),"")</f>
        <v/>
      </c>
      <c r="I435" s="30">
        <f>IFERROR(IF(AND(ISNUMBER('SW Rev'!M26),ISNUMBER('SW Rev'!L26)),'SW Rev'!M26-'SW Rev'!L26,""),"")</f>
        <v/>
      </c>
      <c r="J435" s="30">
        <f>IFERROR(IF(AND(ISNUMBER('SW Rev'!N26),ISNUMBER('SW Rev'!M26)),'SW Rev'!N26-'SW Rev'!M26,""),"")</f>
        <v/>
      </c>
      <c r="K435" s="30">
        <f>IFERROR(IF(AND(ISNUMBER('SW Rev'!O26),ISNUMBER('SW Rev'!N26)),'SW Rev'!O26-'SW Rev'!N26,""),"")</f>
        <v/>
      </c>
      <c r="L435" s="30">
        <f>IFERROR(IF(AND(ISNUMBER('SW Rev'!P26),ISNUMBER('SW Rev'!O26)),'SW Rev'!P26-'SW Rev'!O26,""),"")</f>
        <v/>
      </c>
      <c r="M435" s="31">
        <f>IFERROR(IF(AND(ISNUMBER('SW Rev'!Q26),ISNUMBER('SW Rev'!P26)),'SW Rev'!Q26-'SW Rev'!P26,""),"")</f>
        <v/>
      </c>
      <c r="N435" s="31">
        <f>IFERROR(IF(AND(ISNUMBER('SW Rev'!R26),ISNUMBER('SW Rev'!Q26)),'SW Rev'!R26-'SW Rev'!Q26,""),"")</f>
        <v/>
      </c>
    </row>
    <row r="436">
      <c r="A436" s="19">
        <f>'SW Rev'!$A27</f>
        <v/>
      </c>
      <c r="B436" s="19">
        <f>'SW Rev'!$B27</f>
        <v/>
      </c>
      <c r="C436" s="30">
        <f>IFERROR(IF(AND(ISNUMBER('SW Rev'!G27),ISNUMBER('SW Rev'!F27)),'SW Rev'!G27-'SW Rev'!F27,""),"")</f>
        <v/>
      </c>
      <c r="D436" s="30">
        <f>IFERROR(IF(AND(ISNUMBER('SW Rev'!H27),ISNUMBER('SW Rev'!G27)),'SW Rev'!H27-'SW Rev'!G27,""),"")</f>
        <v/>
      </c>
      <c r="E436" s="30">
        <f>IFERROR(IF(AND(ISNUMBER('SW Rev'!I27),ISNUMBER('SW Rev'!H27)),'SW Rev'!I27-'SW Rev'!H27,""),"")</f>
        <v/>
      </c>
      <c r="F436" s="30">
        <f>IFERROR(IF(AND(ISNUMBER('SW Rev'!J27),ISNUMBER('SW Rev'!I27)),'SW Rev'!J27-'SW Rev'!I27,""),"")</f>
        <v/>
      </c>
      <c r="G436" s="30">
        <f>IFERROR(IF(AND(ISNUMBER('SW Rev'!K27),ISNUMBER('SW Rev'!J27)),'SW Rev'!K27-'SW Rev'!J27,""),"")</f>
        <v/>
      </c>
      <c r="H436" s="30">
        <f>IFERROR(IF(AND(ISNUMBER('SW Rev'!L27),ISNUMBER('SW Rev'!K27)),'SW Rev'!L27-'SW Rev'!K27,""),"")</f>
        <v/>
      </c>
      <c r="I436" s="30">
        <f>IFERROR(IF(AND(ISNUMBER('SW Rev'!M27),ISNUMBER('SW Rev'!L27)),'SW Rev'!M27-'SW Rev'!L27,""),"")</f>
        <v/>
      </c>
      <c r="J436" s="30">
        <f>IFERROR(IF(AND(ISNUMBER('SW Rev'!N27),ISNUMBER('SW Rev'!M27)),'SW Rev'!N27-'SW Rev'!M27,""),"")</f>
        <v/>
      </c>
      <c r="K436" s="30">
        <f>IFERROR(IF(AND(ISNUMBER('SW Rev'!O27),ISNUMBER('SW Rev'!N27)),'SW Rev'!O27-'SW Rev'!N27,""),"")</f>
        <v/>
      </c>
      <c r="L436" s="30">
        <f>IFERROR(IF(AND(ISNUMBER('SW Rev'!P27),ISNUMBER('SW Rev'!O27)),'SW Rev'!P27-'SW Rev'!O27,""),"")</f>
        <v/>
      </c>
      <c r="M436" s="31">
        <f>IFERROR(IF(AND(ISNUMBER('SW Rev'!Q27),ISNUMBER('SW Rev'!P27)),'SW Rev'!Q27-'SW Rev'!P27,""),"")</f>
        <v/>
      </c>
      <c r="N436" s="31">
        <f>IFERROR(IF(AND(ISNUMBER('SW Rev'!R27),ISNUMBER('SW Rev'!Q27)),'SW Rev'!R27-'SW Rev'!Q27,""),"")</f>
        <v/>
      </c>
    </row>
    <row r="437">
      <c r="A437" s="19">
        <f>'SW Rev'!$A28</f>
        <v/>
      </c>
      <c r="B437" s="19">
        <f>'SW Rev'!$B28</f>
        <v/>
      </c>
      <c r="C437" s="30">
        <f>IFERROR(IF(AND(ISNUMBER('SW Rev'!G28),ISNUMBER('SW Rev'!F28)),'SW Rev'!G28-'SW Rev'!F28,""),"")</f>
        <v/>
      </c>
      <c r="D437" s="30">
        <f>IFERROR(IF(AND(ISNUMBER('SW Rev'!H28),ISNUMBER('SW Rev'!G28)),'SW Rev'!H28-'SW Rev'!G28,""),"")</f>
        <v/>
      </c>
      <c r="E437" s="30">
        <f>IFERROR(IF(AND(ISNUMBER('SW Rev'!I28),ISNUMBER('SW Rev'!H28)),'SW Rev'!I28-'SW Rev'!H28,""),"")</f>
        <v/>
      </c>
      <c r="F437" s="30">
        <f>IFERROR(IF(AND(ISNUMBER('SW Rev'!J28),ISNUMBER('SW Rev'!I28)),'SW Rev'!J28-'SW Rev'!I28,""),"")</f>
        <v/>
      </c>
      <c r="G437" s="30">
        <f>IFERROR(IF(AND(ISNUMBER('SW Rev'!K28),ISNUMBER('SW Rev'!J28)),'SW Rev'!K28-'SW Rev'!J28,""),"")</f>
        <v/>
      </c>
      <c r="H437" s="30">
        <f>IFERROR(IF(AND(ISNUMBER('SW Rev'!L28),ISNUMBER('SW Rev'!K28)),'SW Rev'!L28-'SW Rev'!K28,""),"")</f>
        <v/>
      </c>
      <c r="I437" s="30">
        <f>IFERROR(IF(AND(ISNUMBER('SW Rev'!M28),ISNUMBER('SW Rev'!L28)),'SW Rev'!M28-'SW Rev'!L28,""),"")</f>
        <v/>
      </c>
      <c r="J437" s="30">
        <f>IFERROR(IF(AND(ISNUMBER('SW Rev'!N28),ISNUMBER('SW Rev'!M28)),'SW Rev'!N28-'SW Rev'!M28,""),"")</f>
        <v/>
      </c>
      <c r="K437" s="30">
        <f>IFERROR(IF(AND(ISNUMBER('SW Rev'!O28),ISNUMBER('SW Rev'!N28)),'SW Rev'!O28-'SW Rev'!N28,""),"")</f>
        <v/>
      </c>
      <c r="L437" s="30">
        <f>IFERROR(IF(AND(ISNUMBER('SW Rev'!P28),ISNUMBER('SW Rev'!O28)),'SW Rev'!P28-'SW Rev'!O28,""),"")</f>
        <v/>
      </c>
      <c r="M437" s="31">
        <f>IFERROR(IF(AND(ISNUMBER('SW Rev'!Q28),ISNUMBER('SW Rev'!P28)),'SW Rev'!Q28-'SW Rev'!P28,""),"")</f>
        <v/>
      </c>
      <c r="N437" s="31">
        <f>IFERROR(IF(AND(ISNUMBER('SW Rev'!R28),ISNUMBER('SW Rev'!Q28)),'SW Rev'!R28-'SW Rev'!Q28,""),"")</f>
        <v/>
      </c>
    </row>
    <row r="438">
      <c r="A438" s="19">
        <f>'SW Rev'!$A29</f>
        <v/>
      </c>
      <c r="B438" s="19">
        <f>'SW Rev'!$B29</f>
        <v/>
      </c>
      <c r="C438" s="30">
        <f>IFERROR(IF(AND(ISNUMBER('SW Rev'!G29),ISNUMBER('SW Rev'!F29)),'SW Rev'!G29-'SW Rev'!F29,""),"")</f>
        <v/>
      </c>
      <c r="D438" s="30">
        <f>IFERROR(IF(AND(ISNUMBER('SW Rev'!H29),ISNUMBER('SW Rev'!G29)),'SW Rev'!H29-'SW Rev'!G29,""),"")</f>
        <v/>
      </c>
      <c r="E438" s="30">
        <f>IFERROR(IF(AND(ISNUMBER('SW Rev'!I29),ISNUMBER('SW Rev'!H29)),'SW Rev'!I29-'SW Rev'!H29,""),"")</f>
        <v/>
      </c>
      <c r="F438" s="30">
        <f>IFERROR(IF(AND(ISNUMBER('SW Rev'!J29),ISNUMBER('SW Rev'!I29)),'SW Rev'!J29-'SW Rev'!I29,""),"")</f>
        <v/>
      </c>
      <c r="G438" s="30">
        <f>IFERROR(IF(AND(ISNUMBER('SW Rev'!K29),ISNUMBER('SW Rev'!J29)),'SW Rev'!K29-'SW Rev'!J29,""),"")</f>
        <v/>
      </c>
      <c r="H438" s="30">
        <f>IFERROR(IF(AND(ISNUMBER('SW Rev'!L29),ISNUMBER('SW Rev'!K29)),'SW Rev'!L29-'SW Rev'!K29,""),"")</f>
        <v/>
      </c>
      <c r="I438" s="30">
        <f>IFERROR(IF(AND(ISNUMBER('SW Rev'!M29),ISNUMBER('SW Rev'!L29)),'SW Rev'!M29-'SW Rev'!L29,""),"")</f>
        <v/>
      </c>
      <c r="J438" s="30">
        <f>IFERROR(IF(AND(ISNUMBER('SW Rev'!N29),ISNUMBER('SW Rev'!M29)),'SW Rev'!N29-'SW Rev'!M29,""),"")</f>
        <v/>
      </c>
      <c r="K438" s="30">
        <f>IFERROR(IF(AND(ISNUMBER('SW Rev'!O29),ISNUMBER('SW Rev'!N29)),'SW Rev'!O29-'SW Rev'!N29,""),"")</f>
        <v/>
      </c>
      <c r="L438" s="30">
        <f>IFERROR(IF(AND(ISNUMBER('SW Rev'!P29),ISNUMBER('SW Rev'!O29)),'SW Rev'!P29-'SW Rev'!O29,""),"")</f>
        <v/>
      </c>
      <c r="M438" s="31">
        <f>IFERROR(IF(AND(ISNUMBER('SW Rev'!Q29),ISNUMBER('SW Rev'!P29)),'SW Rev'!Q29-'SW Rev'!P29,""),"")</f>
        <v/>
      </c>
      <c r="N438" s="31">
        <f>IFERROR(IF(AND(ISNUMBER('SW Rev'!R29),ISNUMBER('SW Rev'!Q29)),'SW Rev'!R29-'SW Rev'!Q29,""),"")</f>
        <v/>
      </c>
    </row>
    <row r="439">
      <c r="A439" s="19">
        <f>'SW Rev'!$A30</f>
        <v/>
      </c>
      <c r="B439" s="19">
        <f>'SW Rev'!$B30</f>
        <v/>
      </c>
      <c r="C439" s="30">
        <f>IFERROR(IF(AND(ISNUMBER('SW Rev'!G30),ISNUMBER('SW Rev'!F30)),'SW Rev'!G30-'SW Rev'!F30,""),"")</f>
        <v/>
      </c>
      <c r="D439" s="30">
        <f>IFERROR(IF(AND(ISNUMBER('SW Rev'!H30),ISNUMBER('SW Rev'!G30)),'SW Rev'!H30-'SW Rev'!G30,""),"")</f>
        <v/>
      </c>
      <c r="E439" s="30">
        <f>IFERROR(IF(AND(ISNUMBER('SW Rev'!I30),ISNUMBER('SW Rev'!H30)),'SW Rev'!I30-'SW Rev'!H30,""),"")</f>
        <v/>
      </c>
      <c r="F439" s="30">
        <f>IFERROR(IF(AND(ISNUMBER('SW Rev'!J30),ISNUMBER('SW Rev'!I30)),'SW Rev'!J30-'SW Rev'!I30,""),"")</f>
        <v/>
      </c>
      <c r="G439" s="30">
        <f>IFERROR(IF(AND(ISNUMBER('SW Rev'!K30),ISNUMBER('SW Rev'!J30)),'SW Rev'!K30-'SW Rev'!J30,""),"")</f>
        <v/>
      </c>
      <c r="H439" s="30">
        <f>IFERROR(IF(AND(ISNUMBER('SW Rev'!L30),ISNUMBER('SW Rev'!K30)),'SW Rev'!L30-'SW Rev'!K30,""),"")</f>
        <v/>
      </c>
      <c r="I439" s="30">
        <f>IFERROR(IF(AND(ISNUMBER('SW Rev'!M30),ISNUMBER('SW Rev'!L30)),'SW Rev'!M30-'SW Rev'!L30,""),"")</f>
        <v/>
      </c>
      <c r="J439" s="30">
        <f>IFERROR(IF(AND(ISNUMBER('SW Rev'!N30),ISNUMBER('SW Rev'!M30)),'SW Rev'!N30-'SW Rev'!M30,""),"")</f>
        <v/>
      </c>
      <c r="K439" s="30">
        <f>IFERROR(IF(AND(ISNUMBER('SW Rev'!O30),ISNUMBER('SW Rev'!N30)),'SW Rev'!O30-'SW Rev'!N30,""),"")</f>
        <v/>
      </c>
      <c r="L439" s="30">
        <f>IFERROR(IF(AND(ISNUMBER('SW Rev'!P30),ISNUMBER('SW Rev'!O30)),'SW Rev'!P30-'SW Rev'!O30,""),"")</f>
        <v/>
      </c>
      <c r="M439" s="31">
        <f>IFERROR(IF(AND(ISNUMBER('SW Rev'!Q30),ISNUMBER('SW Rev'!P30)),'SW Rev'!Q30-'SW Rev'!P30,""),"")</f>
        <v/>
      </c>
      <c r="N439" s="31">
        <f>IFERROR(IF(AND(ISNUMBER('SW Rev'!R30),ISNUMBER('SW Rev'!Q30)),'SW Rev'!R30-'SW Rev'!Q30,""),"")</f>
        <v/>
      </c>
    </row>
    <row r="440">
      <c r="A440" s="19">
        <f>'SW Rev'!$A31</f>
        <v/>
      </c>
      <c r="B440" s="19">
        <f>'SW Rev'!$B31</f>
        <v/>
      </c>
      <c r="C440" s="30">
        <f>IFERROR(IF(AND(ISNUMBER('SW Rev'!G31),ISNUMBER('SW Rev'!F31)),'SW Rev'!G31-'SW Rev'!F31,""),"")</f>
        <v/>
      </c>
      <c r="D440" s="30">
        <f>IFERROR(IF(AND(ISNUMBER('SW Rev'!H31),ISNUMBER('SW Rev'!G31)),'SW Rev'!H31-'SW Rev'!G31,""),"")</f>
        <v/>
      </c>
      <c r="E440" s="30">
        <f>IFERROR(IF(AND(ISNUMBER('SW Rev'!I31),ISNUMBER('SW Rev'!H31)),'SW Rev'!I31-'SW Rev'!H31,""),"")</f>
        <v/>
      </c>
      <c r="F440" s="30">
        <f>IFERROR(IF(AND(ISNUMBER('SW Rev'!J31),ISNUMBER('SW Rev'!I31)),'SW Rev'!J31-'SW Rev'!I31,""),"")</f>
        <v/>
      </c>
      <c r="G440" s="30">
        <f>IFERROR(IF(AND(ISNUMBER('SW Rev'!K31),ISNUMBER('SW Rev'!J31)),'SW Rev'!K31-'SW Rev'!J31,""),"")</f>
        <v/>
      </c>
      <c r="H440" s="30">
        <f>IFERROR(IF(AND(ISNUMBER('SW Rev'!L31),ISNUMBER('SW Rev'!K31)),'SW Rev'!L31-'SW Rev'!K31,""),"")</f>
        <v/>
      </c>
      <c r="I440" s="30">
        <f>IFERROR(IF(AND(ISNUMBER('SW Rev'!M31),ISNUMBER('SW Rev'!L31)),'SW Rev'!M31-'SW Rev'!L31,""),"")</f>
        <v/>
      </c>
      <c r="J440" s="30">
        <f>IFERROR(IF(AND(ISNUMBER('SW Rev'!N31),ISNUMBER('SW Rev'!M31)),'SW Rev'!N31-'SW Rev'!M31,""),"")</f>
        <v/>
      </c>
      <c r="K440" s="30">
        <f>IFERROR(IF(AND(ISNUMBER('SW Rev'!O31),ISNUMBER('SW Rev'!N31)),'SW Rev'!O31-'SW Rev'!N31,""),"")</f>
        <v/>
      </c>
      <c r="L440" s="30">
        <f>IFERROR(IF(AND(ISNUMBER('SW Rev'!P31),ISNUMBER('SW Rev'!O31)),'SW Rev'!P31-'SW Rev'!O31,""),"")</f>
        <v/>
      </c>
      <c r="M440" s="31">
        <f>IFERROR(IF(AND(ISNUMBER('SW Rev'!Q31),ISNUMBER('SW Rev'!P31)),'SW Rev'!Q31-'SW Rev'!P31,""),"")</f>
        <v/>
      </c>
      <c r="N440" s="31">
        <f>IFERROR(IF(AND(ISNUMBER('SW Rev'!R31),ISNUMBER('SW Rev'!Q31)),'SW Rev'!R31-'SW Rev'!Q31,""),"")</f>
        <v/>
      </c>
    </row>
    <row r="441">
      <c r="A441" s="19">
        <f>'SW Rev'!$A32</f>
        <v/>
      </c>
      <c r="B441" s="19">
        <f>'SW Rev'!$B32</f>
        <v/>
      </c>
      <c r="C441" s="30">
        <f>IFERROR(IF(AND(ISNUMBER('SW Rev'!G32),ISNUMBER('SW Rev'!F32)),'SW Rev'!G32-'SW Rev'!F32,""),"")</f>
        <v/>
      </c>
      <c r="D441" s="30">
        <f>IFERROR(IF(AND(ISNUMBER('SW Rev'!H32),ISNUMBER('SW Rev'!G32)),'SW Rev'!H32-'SW Rev'!G32,""),"")</f>
        <v/>
      </c>
      <c r="E441" s="30">
        <f>IFERROR(IF(AND(ISNUMBER('SW Rev'!I32),ISNUMBER('SW Rev'!H32)),'SW Rev'!I32-'SW Rev'!H32,""),"")</f>
        <v/>
      </c>
      <c r="F441" s="30">
        <f>IFERROR(IF(AND(ISNUMBER('SW Rev'!J32),ISNUMBER('SW Rev'!I32)),'SW Rev'!J32-'SW Rev'!I32,""),"")</f>
        <v/>
      </c>
      <c r="G441" s="30">
        <f>IFERROR(IF(AND(ISNUMBER('SW Rev'!K32),ISNUMBER('SW Rev'!J32)),'SW Rev'!K32-'SW Rev'!J32,""),"")</f>
        <v/>
      </c>
      <c r="H441" s="30">
        <f>IFERROR(IF(AND(ISNUMBER('SW Rev'!L32),ISNUMBER('SW Rev'!K32)),'SW Rev'!L32-'SW Rev'!K32,""),"")</f>
        <v/>
      </c>
      <c r="I441" s="30">
        <f>IFERROR(IF(AND(ISNUMBER('SW Rev'!M32),ISNUMBER('SW Rev'!L32)),'SW Rev'!M32-'SW Rev'!L32,""),"")</f>
        <v/>
      </c>
      <c r="J441" s="30">
        <f>IFERROR(IF(AND(ISNUMBER('SW Rev'!N32),ISNUMBER('SW Rev'!M32)),'SW Rev'!N32-'SW Rev'!M32,""),"")</f>
        <v/>
      </c>
      <c r="K441" s="30">
        <f>IFERROR(IF(AND(ISNUMBER('SW Rev'!O32),ISNUMBER('SW Rev'!N32)),'SW Rev'!O32-'SW Rev'!N32,""),"")</f>
        <v/>
      </c>
      <c r="L441" s="30">
        <f>IFERROR(IF(AND(ISNUMBER('SW Rev'!P32),ISNUMBER('SW Rev'!O32)),'SW Rev'!P32-'SW Rev'!O32,""),"")</f>
        <v/>
      </c>
      <c r="M441" s="31">
        <f>IFERROR(IF(AND(ISNUMBER('SW Rev'!Q32),ISNUMBER('SW Rev'!P32)),'SW Rev'!Q32-'SW Rev'!P32,""),"")</f>
        <v/>
      </c>
      <c r="N441" s="31">
        <f>IFERROR(IF(AND(ISNUMBER('SW Rev'!R32),ISNUMBER('SW Rev'!Q32)),'SW Rev'!R32-'SW Rev'!Q32,""),"")</f>
        <v/>
      </c>
    </row>
    <row r="442">
      <c r="A442" s="19">
        <f>'SW Rev'!$A33</f>
        <v/>
      </c>
      <c r="B442" s="19">
        <f>'SW Rev'!$B33</f>
        <v/>
      </c>
      <c r="C442" s="30">
        <f>IFERROR(IF(AND(ISNUMBER('SW Rev'!G33),ISNUMBER('SW Rev'!F33)),'SW Rev'!G33-'SW Rev'!F33,""),"")</f>
        <v/>
      </c>
      <c r="D442" s="30">
        <f>IFERROR(IF(AND(ISNUMBER('SW Rev'!H33),ISNUMBER('SW Rev'!G33)),'SW Rev'!H33-'SW Rev'!G33,""),"")</f>
        <v/>
      </c>
      <c r="E442" s="30">
        <f>IFERROR(IF(AND(ISNUMBER('SW Rev'!I33),ISNUMBER('SW Rev'!H33)),'SW Rev'!I33-'SW Rev'!H33,""),"")</f>
        <v/>
      </c>
      <c r="F442" s="30">
        <f>IFERROR(IF(AND(ISNUMBER('SW Rev'!J33),ISNUMBER('SW Rev'!I33)),'SW Rev'!J33-'SW Rev'!I33,""),"")</f>
        <v/>
      </c>
      <c r="G442" s="30">
        <f>IFERROR(IF(AND(ISNUMBER('SW Rev'!K33),ISNUMBER('SW Rev'!J33)),'SW Rev'!K33-'SW Rev'!J33,""),"")</f>
        <v/>
      </c>
      <c r="H442" s="30">
        <f>IFERROR(IF(AND(ISNUMBER('SW Rev'!L33),ISNUMBER('SW Rev'!K33)),'SW Rev'!L33-'SW Rev'!K33,""),"")</f>
        <v/>
      </c>
      <c r="I442" s="30">
        <f>IFERROR(IF(AND(ISNUMBER('SW Rev'!M33),ISNUMBER('SW Rev'!L33)),'SW Rev'!M33-'SW Rev'!L33,""),"")</f>
        <v/>
      </c>
      <c r="J442" s="30">
        <f>IFERROR(IF(AND(ISNUMBER('SW Rev'!N33),ISNUMBER('SW Rev'!M33)),'SW Rev'!N33-'SW Rev'!M33,""),"")</f>
        <v/>
      </c>
      <c r="K442" s="30">
        <f>IFERROR(IF(AND(ISNUMBER('SW Rev'!O33),ISNUMBER('SW Rev'!N33)),'SW Rev'!O33-'SW Rev'!N33,""),"")</f>
        <v/>
      </c>
      <c r="L442" s="30">
        <f>IFERROR(IF(AND(ISNUMBER('SW Rev'!P33),ISNUMBER('SW Rev'!O33)),'SW Rev'!P33-'SW Rev'!O33,""),"")</f>
        <v/>
      </c>
      <c r="M442" s="31">
        <f>IFERROR(IF(AND(ISNUMBER('SW Rev'!Q33),ISNUMBER('SW Rev'!P33)),'SW Rev'!Q33-'SW Rev'!P33,""),"")</f>
        <v/>
      </c>
      <c r="N442" s="31">
        <f>IFERROR(IF(AND(ISNUMBER('SW Rev'!R33),ISNUMBER('SW Rev'!Q33)),'SW Rev'!R33-'SW Rev'!Q33,""),"")</f>
        <v/>
      </c>
    </row>
    <row r="443">
      <c r="A443" s="19">
        <f>'SW Rev'!$A34</f>
        <v/>
      </c>
      <c r="B443" s="19">
        <f>'SW Rev'!$B34</f>
        <v/>
      </c>
      <c r="C443" s="30">
        <f>IFERROR(IF(AND(ISNUMBER('SW Rev'!G34),ISNUMBER('SW Rev'!F34)),'SW Rev'!G34-'SW Rev'!F34,""),"")</f>
        <v/>
      </c>
      <c r="D443" s="30">
        <f>IFERROR(IF(AND(ISNUMBER('SW Rev'!H34),ISNUMBER('SW Rev'!G34)),'SW Rev'!H34-'SW Rev'!G34,""),"")</f>
        <v/>
      </c>
      <c r="E443" s="30">
        <f>IFERROR(IF(AND(ISNUMBER('SW Rev'!I34),ISNUMBER('SW Rev'!H34)),'SW Rev'!I34-'SW Rev'!H34,""),"")</f>
        <v/>
      </c>
      <c r="F443" s="30">
        <f>IFERROR(IF(AND(ISNUMBER('SW Rev'!J34),ISNUMBER('SW Rev'!I34)),'SW Rev'!J34-'SW Rev'!I34,""),"")</f>
        <v/>
      </c>
      <c r="G443" s="30">
        <f>IFERROR(IF(AND(ISNUMBER('SW Rev'!K34),ISNUMBER('SW Rev'!J34)),'SW Rev'!K34-'SW Rev'!J34,""),"")</f>
        <v/>
      </c>
      <c r="H443" s="30">
        <f>IFERROR(IF(AND(ISNUMBER('SW Rev'!L34),ISNUMBER('SW Rev'!K34)),'SW Rev'!L34-'SW Rev'!K34,""),"")</f>
        <v/>
      </c>
      <c r="I443" s="30">
        <f>IFERROR(IF(AND(ISNUMBER('SW Rev'!M34),ISNUMBER('SW Rev'!L34)),'SW Rev'!M34-'SW Rev'!L34,""),"")</f>
        <v/>
      </c>
      <c r="J443" s="30">
        <f>IFERROR(IF(AND(ISNUMBER('SW Rev'!N34),ISNUMBER('SW Rev'!M34)),'SW Rev'!N34-'SW Rev'!M34,""),"")</f>
        <v/>
      </c>
      <c r="K443" s="30">
        <f>IFERROR(IF(AND(ISNUMBER('SW Rev'!O34),ISNUMBER('SW Rev'!N34)),'SW Rev'!O34-'SW Rev'!N34,""),"")</f>
        <v/>
      </c>
      <c r="L443" s="30">
        <f>IFERROR(IF(AND(ISNUMBER('SW Rev'!P34),ISNUMBER('SW Rev'!O34)),'SW Rev'!P34-'SW Rev'!O34,""),"")</f>
        <v/>
      </c>
      <c r="M443" s="31">
        <f>IFERROR(IF(AND(ISNUMBER('SW Rev'!Q34),ISNUMBER('SW Rev'!P34)),'SW Rev'!Q34-'SW Rev'!P34,""),"")</f>
        <v/>
      </c>
      <c r="N443" s="31">
        <f>IFERROR(IF(AND(ISNUMBER('SW Rev'!R34),ISNUMBER('SW Rev'!Q34)),'SW Rev'!R34-'SW Rev'!Q34,""),"")</f>
        <v/>
      </c>
    </row>
    <row r="444">
      <c r="A444" s="19">
        <f>'SW Rev'!$A35</f>
        <v/>
      </c>
      <c r="B444" s="19">
        <f>'SW Rev'!$B35</f>
        <v/>
      </c>
      <c r="C444" s="30">
        <f>IFERROR(IF(AND(ISNUMBER('SW Rev'!G35),ISNUMBER('SW Rev'!F35)),'SW Rev'!G35-'SW Rev'!F35,""),"")</f>
        <v/>
      </c>
      <c r="D444" s="30">
        <f>IFERROR(IF(AND(ISNUMBER('SW Rev'!H35),ISNUMBER('SW Rev'!G35)),'SW Rev'!H35-'SW Rev'!G35,""),"")</f>
        <v/>
      </c>
      <c r="E444" s="30">
        <f>IFERROR(IF(AND(ISNUMBER('SW Rev'!I35),ISNUMBER('SW Rev'!H35)),'SW Rev'!I35-'SW Rev'!H35,""),"")</f>
        <v/>
      </c>
      <c r="F444" s="30">
        <f>IFERROR(IF(AND(ISNUMBER('SW Rev'!J35),ISNUMBER('SW Rev'!I35)),'SW Rev'!J35-'SW Rev'!I35,""),"")</f>
        <v/>
      </c>
      <c r="G444" s="30">
        <f>IFERROR(IF(AND(ISNUMBER('SW Rev'!K35),ISNUMBER('SW Rev'!J35)),'SW Rev'!K35-'SW Rev'!J35,""),"")</f>
        <v/>
      </c>
      <c r="H444" s="30">
        <f>IFERROR(IF(AND(ISNUMBER('SW Rev'!L35),ISNUMBER('SW Rev'!K35)),'SW Rev'!L35-'SW Rev'!K35,""),"")</f>
        <v/>
      </c>
      <c r="I444" s="30">
        <f>IFERROR(IF(AND(ISNUMBER('SW Rev'!M35),ISNUMBER('SW Rev'!L35)),'SW Rev'!M35-'SW Rev'!L35,""),"")</f>
        <v/>
      </c>
      <c r="J444" s="30">
        <f>IFERROR(IF(AND(ISNUMBER('SW Rev'!N35),ISNUMBER('SW Rev'!M35)),'SW Rev'!N35-'SW Rev'!M35,""),"")</f>
        <v/>
      </c>
      <c r="K444" s="30">
        <f>IFERROR(IF(AND(ISNUMBER('SW Rev'!O35),ISNUMBER('SW Rev'!N35)),'SW Rev'!O35-'SW Rev'!N35,""),"")</f>
        <v/>
      </c>
      <c r="L444" s="30">
        <f>IFERROR(IF(AND(ISNUMBER('SW Rev'!P35),ISNUMBER('SW Rev'!O35)),'SW Rev'!P35-'SW Rev'!O35,""),"")</f>
        <v/>
      </c>
      <c r="M444" s="31">
        <f>IFERROR(IF(AND(ISNUMBER('SW Rev'!Q35),ISNUMBER('SW Rev'!P35)),'SW Rev'!Q35-'SW Rev'!P35,""),"")</f>
        <v/>
      </c>
      <c r="N444" s="31">
        <f>IFERROR(IF(AND(ISNUMBER('SW Rev'!R35),ISNUMBER('SW Rev'!Q35)),'SW Rev'!R35-'SW Rev'!Q35,""),"")</f>
        <v/>
      </c>
    </row>
    <row r="445">
      <c r="A445" s="19">
        <f>'SW Rev'!$A36</f>
        <v/>
      </c>
      <c r="B445" s="19">
        <f>'SW Rev'!$B36</f>
        <v/>
      </c>
      <c r="C445" s="30">
        <f>IFERROR(IF(AND(ISNUMBER('SW Rev'!G36),ISNUMBER('SW Rev'!F36)),'SW Rev'!G36-'SW Rev'!F36,""),"")</f>
        <v/>
      </c>
      <c r="D445" s="30">
        <f>IFERROR(IF(AND(ISNUMBER('SW Rev'!H36),ISNUMBER('SW Rev'!G36)),'SW Rev'!H36-'SW Rev'!G36,""),"")</f>
        <v/>
      </c>
      <c r="E445" s="30">
        <f>IFERROR(IF(AND(ISNUMBER('SW Rev'!I36),ISNUMBER('SW Rev'!H36)),'SW Rev'!I36-'SW Rev'!H36,""),"")</f>
        <v/>
      </c>
      <c r="F445" s="30">
        <f>IFERROR(IF(AND(ISNUMBER('SW Rev'!J36),ISNUMBER('SW Rev'!I36)),'SW Rev'!J36-'SW Rev'!I36,""),"")</f>
        <v/>
      </c>
      <c r="G445" s="30">
        <f>IFERROR(IF(AND(ISNUMBER('SW Rev'!K36),ISNUMBER('SW Rev'!J36)),'SW Rev'!K36-'SW Rev'!J36,""),"")</f>
        <v/>
      </c>
      <c r="H445" s="30">
        <f>IFERROR(IF(AND(ISNUMBER('SW Rev'!L36),ISNUMBER('SW Rev'!K36)),'SW Rev'!L36-'SW Rev'!K36,""),"")</f>
        <v/>
      </c>
      <c r="I445" s="30">
        <f>IFERROR(IF(AND(ISNUMBER('SW Rev'!M36),ISNUMBER('SW Rev'!L36)),'SW Rev'!M36-'SW Rev'!L36,""),"")</f>
        <v/>
      </c>
      <c r="J445" s="30">
        <f>IFERROR(IF(AND(ISNUMBER('SW Rev'!N36),ISNUMBER('SW Rev'!M36)),'SW Rev'!N36-'SW Rev'!M36,""),"")</f>
        <v/>
      </c>
      <c r="K445" s="30">
        <f>IFERROR(IF(AND(ISNUMBER('SW Rev'!O36),ISNUMBER('SW Rev'!N36)),'SW Rev'!O36-'SW Rev'!N36,""),"")</f>
        <v/>
      </c>
      <c r="L445" s="30">
        <f>IFERROR(IF(AND(ISNUMBER('SW Rev'!P36),ISNUMBER('SW Rev'!O36)),'SW Rev'!P36-'SW Rev'!O36,""),"")</f>
        <v/>
      </c>
      <c r="M445" s="31">
        <f>IFERROR(IF(AND(ISNUMBER('SW Rev'!Q36),ISNUMBER('SW Rev'!P36)),'SW Rev'!Q36-'SW Rev'!P36,""),"")</f>
        <v/>
      </c>
      <c r="N445" s="31">
        <f>IFERROR(IF(AND(ISNUMBER('SW Rev'!R36),ISNUMBER('SW Rev'!Q36)),'SW Rev'!R36-'SW Rev'!Q36,""),"")</f>
        <v/>
      </c>
    </row>
    <row r="446">
      <c r="A446" s="19">
        <f>'SW Rev'!$A37</f>
        <v/>
      </c>
      <c r="B446" s="19">
        <f>'SW Rev'!$B37</f>
        <v/>
      </c>
      <c r="C446" s="30">
        <f>IFERROR(IF(AND(ISNUMBER('SW Rev'!G37),ISNUMBER('SW Rev'!F37)),'SW Rev'!G37-'SW Rev'!F37,""),"")</f>
        <v/>
      </c>
      <c r="D446" s="30">
        <f>IFERROR(IF(AND(ISNUMBER('SW Rev'!H37),ISNUMBER('SW Rev'!G37)),'SW Rev'!H37-'SW Rev'!G37,""),"")</f>
        <v/>
      </c>
      <c r="E446" s="30">
        <f>IFERROR(IF(AND(ISNUMBER('SW Rev'!I37),ISNUMBER('SW Rev'!H37)),'SW Rev'!I37-'SW Rev'!H37,""),"")</f>
        <v/>
      </c>
      <c r="F446" s="30">
        <f>IFERROR(IF(AND(ISNUMBER('SW Rev'!J37),ISNUMBER('SW Rev'!I37)),'SW Rev'!J37-'SW Rev'!I37,""),"")</f>
        <v/>
      </c>
      <c r="G446" s="30">
        <f>IFERROR(IF(AND(ISNUMBER('SW Rev'!K37),ISNUMBER('SW Rev'!J37)),'SW Rev'!K37-'SW Rev'!J37,""),"")</f>
        <v/>
      </c>
      <c r="H446" s="30">
        <f>IFERROR(IF(AND(ISNUMBER('SW Rev'!L37),ISNUMBER('SW Rev'!K37)),'SW Rev'!L37-'SW Rev'!K37,""),"")</f>
        <v/>
      </c>
      <c r="I446" s="30">
        <f>IFERROR(IF(AND(ISNUMBER('SW Rev'!M37),ISNUMBER('SW Rev'!L37)),'SW Rev'!M37-'SW Rev'!L37,""),"")</f>
        <v/>
      </c>
      <c r="J446" s="30">
        <f>IFERROR(IF(AND(ISNUMBER('SW Rev'!N37),ISNUMBER('SW Rev'!M37)),'SW Rev'!N37-'SW Rev'!M37,""),"")</f>
        <v/>
      </c>
      <c r="K446" s="30">
        <f>IFERROR(IF(AND(ISNUMBER('SW Rev'!O37),ISNUMBER('SW Rev'!N37)),'SW Rev'!O37-'SW Rev'!N37,""),"")</f>
        <v/>
      </c>
      <c r="L446" s="30">
        <f>IFERROR(IF(AND(ISNUMBER('SW Rev'!P37),ISNUMBER('SW Rev'!O37)),'SW Rev'!P37-'SW Rev'!O37,""),"")</f>
        <v/>
      </c>
      <c r="M446" s="31">
        <f>IFERROR(IF(AND(ISNUMBER('SW Rev'!Q37),ISNUMBER('SW Rev'!P37)),'SW Rev'!Q37-'SW Rev'!P37,""),"")</f>
        <v/>
      </c>
      <c r="N446" s="31">
        <f>IFERROR(IF(AND(ISNUMBER('SW Rev'!R37),ISNUMBER('SW Rev'!Q37)),'SW Rev'!R37-'SW Rev'!Q37,""),"")</f>
        <v/>
      </c>
    </row>
    <row r="447">
      <c r="A447" s="19">
        <f>'SW Rev'!$A38</f>
        <v/>
      </c>
      <c r="B447" s="19">
        <f>'SW Rev'!$B38</f>
        <v/>
      </c>
      <c r="C447" s="30">
        <f>IFERROR(IF(AND(ISNUMBER('SW Rev'!G38),ISNUMBER('SW Rev'!F38)),'SW Rev'!G38-'SW Rev'!F38,""),"")</f>
        <v/>
      </c>
      <c r="D447" s="30">
        <f>IFERROR(IF(AND(ISNUMBER('SW Rev'!H38),ISNUMBER('SW Rev'!G38)),'SW Rev'!H38-'SW Rev'!G38,""),"")</f>
        <v/>
      </c>
      <c r="E447" s="30">
        <f>IFERROR(IF(AND(ISNUMBER('SW Rev'!I38),ISNUMBER('SW Rev'!H38)),'SW Rev'!I38-'SW Rev'!H38,""),"")</f>
        <v/>
      </c>
      <c r="F447" s="30">
        <f>IFERROR(IF(AND(ISNUMBER('SW Rev'!J38),ISNUMBER('SW Rev'!I38)),'SW Rev'!J38-'SW Rev'!I38,""),"")</f>
        <v/>
      </c>
      <c r="G447" s="30">
        <f>IFERROR(IF(AND(ISNUMBER('SW Rev'!K38),ISNUMBER('SW Rev'!J38)),'SW Rev'!K38-'SW Rev'!J38,""),"")</f>
        <v/>
      </c>
      <c r="H447" s="30">
        <f>IFERROR(IF(AND(ISNUMBER('SW Rev'!L38),ISNUMBER('SW Rev'!K38)),'SW Rev'!L38-'SW Rev'!K38,""),"")</f>
        <v/>
      </c>
      <c r="I447" s="30">
        <f>IFERROR(IF(AND(ISNUMBER('SW Rev'!M38),ISNUMBER('SW Rev'!L38)),'SW Rev'!M38-'SW Rev'!L38,""),"")</f>
        <v/>
      </c>
      <c r="J447" s="30">
        <f>IFERROR(IF(AND(ISNUMBER('SW Rev'!N38),ISNUMBER('SW Rev'!M38)),'SW Rev'!N38-'SW Rev'!M38,""),"")</f>
        <v/>
      </c>
      <c r="K447" s="30">
        <f>IFERROR(IF(AND(ISNUMBER('SW Rev'!O38),ISNUMBER('SW Rev'!N38)),'SW Rev'!O38-'SW Rev'!N38,""),"")</f>
        <v/>
      </c>
      <c r="L447" s="30">
        <f>IFERROR(IF(AND(ISNUMBER('SW Rev'!P38),ISNUMBER('SW Rev'!O38)),'SW Rev'!P38-'SW Rev'!O38,""),"")</f>
        <v/>
      </c>
      <c r="M447" s="31">
        <f>IFERROR(IF(AND(ISNUMBER('SW Rev'!Q38),ISNUMBER('SW Rev'!P38)),'SW Rev'!Q38-'SW Rev'!P38,""),"")</f>
        <v/>
      </c>
      <c r="N447" s="31">
        <f>IFERROR(IF(AND(ISNUMBER('SW Rev'!R38),ISNUMBER('SW Rev'!Q38)),'SW Rev'!R38-'SW Rev'!Q38,""),"")</f>
        <v/>
      </c>
    </row>
    <row r="448">
      <c r="A448" s="19">
        <f>'SW Rev'!$A39</f>
        <v/>
      </c>
      <c r="B448" s="19">
        <f>'SW Rev'!$B39</f>
        <v/>
      </c>
      <c r="C448" s="30">
        <f>IFERROR(IF(AND(ISNUMBER('SW Rev'!G39),ISNUMBER('SW Rev'!F39)),'SW Rev'!G39-'SW Rev'!F39,""),"")</f>
        <v/>
      </c>
      <c r="D448" s="30">
        <f>IFERROR(IF(AND(ISNUMBER('SW Rev'!H39),ISNUMBER('SW Rev'!G39)),'SW Rev'!H39-'SW Rev'!G39,""),"")</f>
        <v/>
      </c>
      <c r="E448" s="30">
        <f>IFERROR(IF(AND(ISNUMBER('SW Rev'!I39),ISNUMBER('SW Rev'!H39)),'SW Rev'!I39-'SW Rev'!H39,""),"")</f>
        <v/>
      </c>
      <c r="F448" s="30">
        <f>IFERROR(IF(AND(ISNUMBER('SW Rev'!J39),ISNUMBER('SW Rev'!I39)),'SW Rev'!J39-'SW Rev'!I39,""),"")</f>
        <v/>
      </c>
      <c r="G448" s="30">
        <f>IFERROR(IF(AND(ISNUMBER('SW Rev'!K39),ISNUMBER('SW Rev'!J39)),'SW Rev'!K39-'SW Rev'!J39,""),"")</f>
        <v/>
      </c>
      <c r="H448" s="30">
        <f>IFERROR(IF(AND(ISNUMBER('SW Rev'!L39),ISNUMBER('SW Rev'!K39)),'SW Rev'!L39-'SW Rev'!K39,""),"")</f>
        <v/>
      </c>
      <c r="I448" s="30">
        <f>IFERROR(IF(AND(ISNUMBER('SW Rev'!M39),ISNUMBER('SW Rev'!L39)),'SW Rev'!M39-'SW Rev'!L39,""),"")</f>
        <v/>
      </c>
      <c r="J448" s="30">
        <f>IFERROR(IF(AND(ISNUMBER('SW Rev'!N39),ISNUMBER('SW Rev'!M39)),'SW Rev'!N39-'SW Rev'!M39,""),"")</f>
        <v/>
      </c>
      <c r="K448" s="30">
        <f>IFERROR(IF(AND(ISNUMBER('SW Rev'!O39),ISNUMBER('SW Rev'!N39)),'SW Rev'!O39-'SW Rev'!N39,""),"")</f>
        <v/>
      </c>
      <c r="L448" s="30">
        <f>IFERROR(IF(AND(ISNUMBER('SW Rev'!P39),ISNUMBER('SW Rev'!O39)),'SW Rev'!P39-'SW Rev'!O39,""),"")</f>
        <v/>
      </c>
      <c r="M448" s="31">
        <f>IFERROR(IF(AND(ISNUMBER('SW Rev'!Q39),ISNUMBER('SW Rev'!P39)),'SW Rev'!Q39-'SW Rev'!P39,""),"")</f>
        <v/>
      </c>
      <c r="N448" s="31">
        <f>IFERROR(IF(AND(ISNUMBER('SW Rev'!R39),ISNUMBER('SW Rev'!Q39)),'SW Rev'!R39-'SW Rev'!Q39,""),"")</f>
        <v/>
      </c>
    </row>
    <row r="449">
      <c r="A449" s="19">
        <f>'SW Rev'!$A40</f>
        <v/>
      </c>
      <c r="B449" s="19">
        <f>'SW Rev'!$B40</f>
        <v/>
      </c>
      <c r="C449" s="30">
        <f>IFERROR(IF(AND(ISNUMBER('SW Rev'!G40),ISNUMBER('SW Rev'!F40)),'SW Rev'!G40-'SW Rev'!F40,""),"")</f>
        <v/>
      </c>
      <c r="D449" s="30">
        <f>IFERROR(IF(AND(ISNUMBER('SW Rev'!H40),ISNUMBER('SW Rev'!G40)),'SW Rev'!H40-'SW Rev'!G40,""),"")</f>
        <v/>
      </c>
      <c r="E449" s="30">
        <f>IFERROR(IF(AND(ISNUMBER('SW Rev'!I40),ISNUMBER('SW Rev'!H40)),'SW Rev'!I40-'SW Rev'!H40,""),"")</f>
        <v/>
      </c>
      <c r="F449" s="30">
        <f>IFERROR(IF(AND(ISNUMBER('SW Rev'!J40),ISNUMBER('SW Rev'!I40)),'SW Rev'!J40-'SW Rev'!I40,""),"")</f>
        <v/>
      </c>
      <c r="G449" s="30">
        <f>IFERROR(IF(AND(ISNUMBER('SW Rev'!K40),ISNUMBER('SW Rev'!J40)),'SW Rev'!K40-'SW Rev'!J40,""),"")</f>
        <v/>
      </c>
      <c r="H449" s="30">
        <f>IFERROR(IF(AND(ISNUMBER('SW Rev'!L40),ISNUMBER('SW Rev'!K40)),'SW Rev'!L40-'SW Rev'!K40,""),"")</f>
        <v/>
      </c>
      <c r="I449" s="30">
        <f>IFERROR(IF(AND(ISNUMBER('SW Rev'!M40),ISNUMBER('SW Rev'!L40)),'SW Rev'!M40-'SW Rev'!L40,""),"")</f>
        <v/>
      </c>
      <c r="J449" s="30">
        <f>IFERROR(IF(AND(ISNUMBER('SW Rev'!N40),ISNUMBER('SW Rev'!M40)),'SW Rev'!N40-'SW Rev'!M40,""),"")</f>
        <v/>
      </c>
      <c r="K449" s="30">
        <f>IFERROR(IF(AND(ISNUMBER('SW Rev'!O40),ISNUMBER('SW Rev'!N40)),'SW Rev'!O40-'SW Rev'!N40,""),"")</f>
        <v/>
      </c>
      <c r="L449" s="30">
        <f>IFERROR(IF(AND(ISNUMBER('SW Rev'!P40),ISNUMBER('SW Rev'!O40)),'SW Rev'!P40-'SW Rev'!O40,""),"")</f>
        <v/>
      </c>
      <c r="M449" s="31">
        <f>IFERROR(IF(AND(ISNUMBER('SW Rev'!Q40),ISNUMBER('SW Rev'!P40)),'SW Rev'!Q40-'SW Rev'!P40,""),"")</f>
        <v/>
      </c>
      <c r="N449" s="31">
        <f>IFERROR(IF(AND(ISNUMBER('SW Rev'!R40),ISNUMBER('SW Rev'!Q40)),'SW Rev'!R40-'SW Rev'!Q40,""),"")</f>
        <v/>
      </c>
    </row>
    <row r="450">
      <c r="A450" s="19">
        <f>'SW Rev'!$A41</f>
        <v/>
      </c>
      <c r="B450" s="19">
        <f>'SW Rev'!$B41</f>
        <v/>
      </c>
      <c r="C450" s="30">
        <f>IFERROR(IF(AND(ISNUMBER('SW Rev'!G41),ISNUMBER('SW Rev'!F41)),'SW Rev'!G41-'SW Rev'!F41,""),"")</f>
        <v/>
      </c>
      <c r="D450" s="30">
        <f>IFERROR(IF(AND(ISNUMBER('SW Rev'!H41),ISNUMBER('SW Rev'!G41)),'SW Rev'!H41-'SW Rev'!G41,""),"")</f>
        <v/>
      </c>
      <c r="E450" s="30">
        <f>IFERROR(IF(AND(ISNUMBER('SW Rev'!I41),ISNUMBER('SW Rev'!H41)),'SW Rev'!I41-'SW Rev'!H41,""),"")</f>
        <v/>
      </c>
      <c r="F450" s="30">
        <f>IFERROR(IF(AND(ISNUMBER('SW Rev'!J41),ISNUMBER('SW Rev'!I41)),'SW Rev'!J41-'SW Rev'!I41,""),"")</f>
        <v/>
      </c>
      <c r="G450" s="30">
        <f>IFERROR(IF(AND(ISNUMBER('SW Rev'!K41),ISNUMBER('SW Rev'!J41)),'SW Rev'!K41-'SW Rev'!J41,""),"")</f>
        <v/>
      </c>
      <c r="H450" s="30">
        <f>IFERROR(IF(AND(ISNUMBER('SW Rev'!L41),ISNUMBER('SW Rev'!K41)),'SW Rev'!L41-'SW Rev'!K41,""),"")</f>
        <v/>
      </c>
      <c r="I450" s="30">
        <f>IFERROR(IF(AND(ISNUMBER('SW Rev'!M41),ISNUMBER('SW Rev'!L41)),'SW Rev'!M41-'SW Rev'!L41,""),"")</f>
        <v/>
      </c>
      <c r="J450" s="30">
        <f>IFERROR(IF(AND(ISNUMBER('SW Rev'!N41),ISNUMBER('SW Rev'!M41)),'SW Rev'!N41-'SW Rev'!M41,""),"")</f>
        <v/>
      </c>
      <c r="K450" s="30">
        <f>IFERROR(IF(AND(ISNUMBER('SW Rev'!O41),ISNUMBER('SW Rev'!N41)),'SW Rev'!O41-'SW Rev'!N41,""),"")</f>
        <v/>
      </c>
      <c r="L450" s="30">
        <f>IFERROR(IF(AND(ISNUMBER('SW Rev'!P41),ISNUMBER('SW Rev'!O41)),'SW Rev'!P41-'SW Rev'!O41,""),"")</f>
        <v/>
      </c>
      <c r="M450" s="31">
        <f>IFERROR(IF(AND(ISNUMBER('SW Rev'!Q41),ISNUMBER('SW Rev'!P41)),'SW Rev'!Q41-'SW Rev'!P41,""),"")</f>
        <v/>
      </c>
      <c r="N450" s="31">
        <f>IFERROR(IF(AND(ISNUMBER('SW Rev'!R41),ISNUMBER('SW Rev'!Q41)),'SW Rev'!R41-'SW Rev'!Q41,""),"")</f>
        <v/>
      </c>
    </row>
    <row r="451">
      <c r="A451" s="19">
        <f>'SW Rev'!$A42</f>
        <v/>
      </c>
      <c r="B451" s="19">
        <f>'SW Rev'!$B42</f>
        <v/>
      </c>
      <c r="C451" s="30">
        <f>IFERROR(IF(AND(ISNUMBER('SW Rev'!G42),ISNUMBER('SW Rev'!F42)),'SW Rev'!G42-'SW Rev'!F42,""),"")</f>
        <v/>
      </c>
      <c r="D451" s="30">
        <f>IFERROR(IF(AND(ISNUMBER('SW Rev'!H42),ISNUMBER('SW Rev'!G42)),'SW Rev'!H42-'SW Rev'!G42,""),"")</f>
        <v/>
      </c>
      <c r="E451" s="30">
        <f>IFERROR(IF(AND(ISNUMBER('SW Rev'!I42),ISNUMBER('SW Rev'!H42)),'SW Rev'!I42-'SW Rev'!H42,""),"")</f>
        <v/>
      </c>
      <c r="F451" s="30">
        <f>IFERROR(IF(AND(ISNUMBER('SW Rev'!J42),ISNUMBER('SW Rev'!I42)),'SW Rev'!J42-'SW Rev'!I42,""),"")</f>
        <v/>
      </c>
      <c r="G451" s="30">
        <f>IFERROR(IF(AND(ISNUMBER('SW Rev'!K42),ISNUMBER('SW Rev'!J42)),'SW Rev'!K42-'SW Rev'!J42,""),"")</f>
        <v/>
      </c>
      <c r="H451" s="30">
        <f>IFERROR(IF(AND(ISNUMBER('SW Rev'!L42),ISNUMBER('SW Rev'!K42)),'SW Rev'!L42-'SW Rev'!K42,""),"")</f>
        <v/>
      </c>
      <c r="I451" s="30">
        <f>IFERROR(IF(AND(ISNUMBER('SW Rev'!M42),ISNUMBER('SW Rev'!L42)),'SW Rev'!M42-'SW Rev'!L42,""),"")</f>
        <v/>
      </c>
      <c r="J451" s="30">
        <f>IFERROR(IF(AND(ISNUMBER('SW Rev'!N42),ISNUMBER('SW Rev'!M42)),'SW Rev'!N42-'SW Rev'!M42,""),"")</f>
        <v/>
      </c>
      <c r="K451" s="30">
        <f>IFERROR(IF(AND(ISNUMBER('SW Rev'!O42),ISNUMBER('SW Rev'!N42)),'SW Rev'!O42-'SW Rev'!N42,""),"")</f>
        <v/>
      </c>
      <c r="L451" s="30">
        <f>IFERROR(IF(AND(ISNUMBER('SW Rev'!P42),ISNUMBER('SW Rev'!O42)),'SW Rev'!P42-'SW Rev'!O42,""),"")</f>
        <v/>
      </c>
      <c r="M451" s="31">
        <f>IFERROR(IF(AND(ISNUMBER('SW Rev'!Q42),ISNUMBER('SW Rev'!P42)),'SW Rev'!Q42-'SW Rev'!P42,""),"")</f>
        <v/>
      </c>
      <c r="N451" s="31">
        <f>IFERROR(IF(AND(ISNUMBER('SW Rev'!R42),ISNUMBER('SW Rev'!Q42)),'SW Rev'!R42-'SW Rev'!Q42,""),"")</f>
        <v/>
      </c>
    </row>
    <row r="452">
      <c r="A452" s="19">
        <f>'SW Rev'!$A43</f>
        <v/>
      </c>
      <c r="B452" s="19">
        <f>'SW Rev'!$B43</f>
        <v/>
      </c>
      <c r="C452" s="30">
        <f>IFERROR(IF(AND(ISNUMBER('SW Rev'!G43),ISNUMBER('SW Rev'!F43)),'SW Rev'!G43-'SW Rev'!F43,""),"")</f>
        <v/>
      </c>
      <c r="D452" s="30">
        <f>IFERROR(IF(AND(ISNUMBER('SW Rev'!H43),ISNUMBER('SW Rev'!G43)),'SW Rev'!H43-'SW Rev'!G43,""),"")</f>
        <v/>
      </c>
      <c r="E452" s="30">
        <f>IFERROR(IF(AND(ISNUMBER('SW Rev'!I43),ISNUMBER('SW Rev'!H43)),'SW Rev'!I43-'SW Rev'!H43,""),"")</f>
        <v/>
      </c>
      <c r="F452" s="30">
        <f>IFERROR(IF(AND(ISNUMBER('SW Rev'!J43),ISNUMBER('SW Rev'!I43)),'SW Rev'!J43-'SW Rev'!I43,""),"")</f>
        <v/>
      </c>
      <c r="G452" s="30">
        <f>IFERROR(IF(AND(ISNUMBER('SW Rev'!K43),ISNUMBER('SW Rev'!J43)),'SW Rev'!K43-'SW Rev'!J43,""),"")</f>
        <v/>
      </c>
      <c r="H452" s="30">
        <f>IFERROR(IF(AND(ISNUMBER('SW Rev'!L43),ISNUMBER('SW Rev'!K43)),'SW Rev'!L43-'SW Rev'!K43,""),"")</f>
        <v/>
      </c>
      <c r="I452" s="30">
        <f>IFERROR(IF(AND(ISNUMBER('SW Rev'!M43),ISNUMBER('SW Rev'!L43)),'SW Rev'!M43-'SW Rev'!L43,""),"")</f>
        <v/>
      </c>
      <c r="J452" s="30">
        <f>IFERROR(IF(AND(ISNUMBER('SW Rev'!N43),ISNUMBER('SW Rev'!M43)),'SW Rev'!N43-'SW Rev'!M43,""),"")</f>
        <v/>
      </c>
      <c r="K452" s="30">
        <f>IFERROR(IF(AND(ISNUMBER('SW Rev'!O43),ISNUMBER('SW Rev'!N43)),'SW Rev'!O43-'SW Rev'!N43,""),"")</f>
        <v/>
      </c>
      <c r="L452" s="30">
        <f>IFERROR(IF(AND(ISNUMBER('SW Rev'!P43),ISNUMBER('SW Rev'!O43)),'SW Rev'!P43-'SW Rev'!O43,""),"")</f>
        <v/>
      </c>
      <c r="M452" s="31">
        <f>IFERROR(IF(AND(ISNUMBER('SW Rev'!Q43),ISNUMBER('SW Rev'!P43)),'SW Rev'!Q43-'SW Rev'!P43,""),"")</f>
        <v/>
      </c>
      <c r="N452" s="31">
        <f>IFERROR(IF(AND(ISNUMBER('SW Rev'!R43),ISNUMBER('SW Rev'!Q43)),'SW Rev'!R43-'SW Rev'!Q43,""),"")</f>
        <v/>
      </c>
    </row>
    <row r="453">
      <c r="A453" s="19">
        <f>'SW Rev'!$A44</f>
        <v/>
      </c>
      <c r="B453" s="19">
        <f>'SW Rev'!$B44</f>
        <v/>
      </c>
      <c r="C453" s="30">
        <f>IFERROR(IF(AND(ISNUMBER('SW Rev'!G44),ISNUMBER('SW Rev'!F44)),'SW Rev'!G44-'SW Rev'!F44,""),"")</f>
        <v/>
      </c>
      <c r="D453" s="30">
        <f>IFERROR(IF(AND(ISNUMBER('SW Rev'!H44),ISNUMBER('SW Rev'!G44)),'SW Rev'!H44-'SW Rev'!G44,""),"")</f>
        <v/>
      </c>
      <c r="E453" s="30">
        <f>IFERROR(IF(AND(ISNUMBER('SW Rev'!I44),ISNUMBER('SW Rev'!H44)),'SW Rev'!I44-'SW Rev'!H44,""),"")</f>
        <v/>
      </c>
      <c r="F453" s="30">
        <f>IFERROR(IF(AND(ISNUMBER('SW Rev'!J44),ISNUMBER('SW Rev'!I44)),'SW Rev'!J44-'SW Rev'!I44,""),"")</f>
        <v/>
      </c>
      <c r="G453" s="30">
        <f>IFERROR(IF(AND(ISNUMBER('SW Rev'!K44),ISNUMBER('SW Rev'!J44)),'SW Rev'!K44-'SW Rev'!J44,""),"")</f>
        <v/>
      </c>
      <c r="H453" s="30">
        <f>IFERROR(IF(AND(ISNUMBER('SW Rev'!L44),ISNUMBER('SW Rev'!K44)),'SW Rev'!L44-'SW Rev'!K44,""),"")</f>
        <v/>
      </c>
      <c r="I453" s="30">
        <f>IFERROR(IF(AND(ISNUMBER('SW Rev'!M44),ISNUMBER('SW Rev'!L44)),'SW Rev'!M44-'SW Rev'!L44,""),"")</f>
        <v/>
      </c>
      <c r="J453" s="30">
        <f>IFERROR(IF(AND(ISNUMBER('SW Rev'!N44),ISNUMBER('SW Rev'!M44)),'SW Rev'!N44-'SW Rev'!M44,""),"")</f>
        <v/>
      </c>
      <c r="K453" s="30">
        <f>IFERROR(IF(AND(ISNUMBER('SW Rev'!O44),ISNUMBER('SW Rev'!N44)),'SW Rev'!O44-'SW Rev'!N44,""),"")</f>
        <v/>
      </c>
      <c r="L453" s="30">
        <f>IFERROR(IF(AND(ISNUMBER('SW Rev'!P44),ISNUMBER('SW Rev'!O44)),'SW Rev'!P44-'SW Rev'!O44,""),"")</f>
        <v/>
      </c>
      <c r="M453" s="31">
        <f>IFERROR(IF(AND(ISNUMBER('SW Rev'!Q44),ISNUMBER('SW Rev'!P44)),'SW Rev'!Q44-'SW Rev'!P44,""),"")</f>
        <v/>
      </c>
      <c r="N453" s="31">
        <f>IFERROR(IF(AND(ISNUMBER('SW Rev'!R44),ISNUMBER('SW Rev'!Q44)),'SW Rev'!R44-'SW Rev'!Q44,""),"")</f>
        <v/>
      </c>
    </row>
    <row r="454">
      <c r="A454" s="19">
        <f>'SW Rev'!$A45</f>
        <v/>
      </c>
      <c r="B454" s="19">
        <f>'SW Rev'!$B45</f>
        <v/>
      </c>
      <c r="C454" s="30">
        <f>IFERROR(IF(AND(ISNUMBER('SW Rev'!G45),ISNUMBER('SW Rev'!F45)),'SW Rev'!G45-'SW Rev'!F45,""),"")</f>
        <v/>
      </c>
      <c r="D454" s="30">
        <f>IFERROR(IF(AND(ISNUMBER('SW Rev'!H45),ISNUMBER('SW Rev'!G45)),'SW Rev'!H45-'SW Rev'!G45,""),"")</f>
        <v/>
      </c>
      <c r="E454" s="30">
        <f>IFERROR(IF(AND(ISNUMBER('SW Rev'!I45),ISNUMBER('SW Rev'!H45)),'SW Rev'!I45-'SW Rev'!H45,""),"")</f>
        <v/>
      </c>
      <c r="F454" s="30">
        <f>IFERROR(IF(AND(ISNUMBER('SW Rev'!J45),ISNUMBER('SW Rev'!I45)),'SW Rev'!J45-'SW Rev'!I45,""),"")</f>
        <v/>
      </c>
      <c r="G454" s="30">
        <f>IFERROR(IF(AND(ISNUMBER('SW Rev'!K45),ISNUMBER('SW Rev'!J45)),'SW Rev'!K45-'SW Rev'!J45,""),"")</f>
        <v/>
      </c>
      <c r="H454" s="30">
        <f>IFERROR(IF(AND(ISNUMBER('SW Rev'!L45),ISNUMBER('SW Rev'!K45)),'SW Rev'!L45-'SW Rev'!K45,""),"")</f>
        <v/>
      </c>
      <c r="I454" s="30">
        <f>IFERROR(IF(AND(ISNUMBER('SW Rev'!M45),ISNUMBER('SW Rev'!L45)),'SW Rev'!M45-'SW Rev'!L45,""),"")</f>
        <v/>
      </c>
      <c r="J454" s="30">
        <f>IFERROR(IF(AND(ISNUMBER('SW Rev'!N45),ISNUMBER('SW Rev'!M45)),'SW Rev'!N45-'SW Rev'!M45,""),"")</f>
        <v/>
      </c>
      <c r="K454" s="30">
        <f>IFERROR(IF(AND(ISNUMBER('SW Rev'!O45),ISNUMBER('SW Rev'!N45)),'SW Rev'!O45-'SW Rev'!N45,""),"")</f>
        <v/>
      </c>
      <c r="L454" s="30">
        <f>IFERROR(IF(AND(ISNUMBER('SW Rev'!P45),ISNUMBER('SW Rev'!O45)),'SW Rev'!P45-'SW Rev'!O45,""),"")</f>
        <v/>
      </c>
      <c r="M454" s="31">
        <f>IFERROR(IF(AND(ISNUMBER('SW Rev'!Q45),ISNUMBER('SW Rev'!P45)),'SW Rev'!Q45-'SW Rev'!P45,""),"")</f>
        <v/>
      </c>
      <c r="N454" s="31">
        <f>IFERROR(IF(AND(ISNUMBER('SW Rev'!R45),ISNUMBER('SW Rev'!Q45)),'SW Rev'!R45-'SW Rev'!Q45,""),"")</f>
        <v/>
      </c>
    </row>
    <row r="455">
      <c r="A455" s="19">
        <f>'SW Rev'!$A46</f>
        <v/>
      </c>
      <c r="B455" s="19">
        <f>'SW Rev'!$B46</f>
        <v/>
      </c>
      <c r="C455" s="30">
        <f>IFERROR(IF(AND(ISNUMBER('SW Rev'!G46),ISNUMBER('SW Rev'!F46)),'SW Rev'!G46-'SW Rev'!F46,""),"")</f>
        <v/>
      </c>
      <c r="D455" s="30">
        <f>IFERROR(IF(AND(ISNUMBER('SW Rev'!H46),ISNUMBER('SW Rev'!G46)),'SW Rev'!H46-'SW Rev'!G46,""),"")</f>
        <v/>
      </c>
      <c r="E455" s="30">
        <f>IFERROR(IF(AND(ISNUMBER('SW Rev'!I46),ISNUMBER('SW Rev'!H46)),'SW Rev'!I46-'SW Rev'!H46,""),"")</f>
        <v/>
      </c>
      <c r="F455" s="30">
        <f>IFERROR(IF(AND(ISNUMBER('SW Rev'!J46),ISNUMBER('SW Rev'!I46)),'SW Rev'!J46-'SW Rev'!I46,""),"")</f>
        <v/>
      </c>
      <c r="G455" s="30">
        <f>IFERROR(IF(AND(ISNUMBER('SW Rev'!K46),ISNUMBER('SW Rev'!J46)),'SW Rev'!K46-'SW Rev'!J46,""),"")</f>
        <v/>
      </c>
      <c r="H455" s="30">
        <f>IFERROR(IF(AND(ISNUMBER('SW Rev'!L46),ISNUMBER('SW Rev'!K46)),'SW Rev'!L46-'SW Rev'!K46,""),"")</f>
        <v/>
      </c>
      <c r="I455" s="30">
        <f>IFERROR(IF(AND(ISNUMBER('SW Rev'!M46),ISNUMBER('SW Rev'!L46)),'SW Rev'!M46-'SW Rev'!L46,""),"")</f>
        <v/>
      </c>
      <c r="J455" s="30">
        <f>IFERROR(IF(AND(ISNUMBER('SW Rev'!N46),ISNUMBER('SW Rev'!M46)),'SW Rev'!N46-'SW Rev'!M46,""),"")</f>
        <v/>
      </c>
      <c r="K455" s="30">
        <f>IFERROR(IF(AND(ISNUMBER('SW Rev'!O46),ISNUMBER('SW Rev'!N46)),'SW Rev'!O46-'SW Rev'!N46,""),"")</f>
        <v/>
      </c>
      <c r="L455" s="30">
        <f>IFERROR(IF(AND(ISNUMBER('SW Rev'!P46),ISNUMBER('SW Rev'!O46)),'SW Rev'!P46-'SW Rev'!O46,""),"")</f>
        <v/>
      </c>
      <c r="M455" s="31">
        <f>IFERROR(IF(AND(ISNUMBER('SW Rev'!Q46),ISNUMBER('SW Rev'!P46)),'SW Rev'!Q46-'SW Rev'!P46,""),"")</f>
        <v/>
      </c>
      <c r="N455" s="31">
        <f>IFERROR(IF(AND(ISNUMBER('SW Rev'!R46),ISNUMBER('SW Rev'!Q46)),'SW Rev'!R46-'SW Rev'!Q46,""),"")</f>
        <v/>
      </c>
    </row>
    <row r="456">
      <c r="A456" s="19">
        <f>'SW Rev'!$A47</f>
        <v/>
      </c>
      <c r="B456" s="19">
        <f>'SW Rev'!$B47</f>
        <v/>
      </c>
      <c r="C456" s="30">
        <f>IFERROR(IF(AND(ISNUMBER('SW Rev'!G47),ISNUMBER('SW Rev'!F47)),'SW Rev'!G47-'SW Rev'!F47,""),"")</f>
        <v/>
      </c>
      <c r="D456" s="30">
        <f>IFERROR(IF(AND(ISNUMBER('SW Rev'!H47),ISNUMBER('SW Rev'!G47)),'SW Rev'!H47-'SW Rev'!G47,""),"")</f>
        <v/>
      </c>
      <c r="E456" s="30">
        <f>IFERROR(IF(AND(ISNUMBER('SW Rev'!I47),ISNUMBER('SW Rev'!H47)),'SW Rev'!I47-'SW Rev'!H47,""),"")</f>
        <v/>
      </c>
      <c r="F456" s="30">
        <f>IFERROR(IF(AND(ISNUMBER('SW Rev'!J47),ISNUMBER('SW Rev'!I47)),'SW Rev'!J47-'SW Rev'!I47,""),"")</f>
        <v/>
      </c>
      <c r="G456" s="30">
        <f>IFERROR(IF(AND(ISNUMBER('SW Rev'!K47),ISNUMBER('SW Rev'!J47)),'SW Rev'!K47-'SW Rev'!J47,""),"")</f>
        <v/>
      </c>
      <c r="H456" s="30">
        <f>IFERROR(IF(AND(ISNUMBER('SW Rev'!L47),ISNUMBER('SW Rev'!K47)),'SW Rev'!L47-'SW Rev'!K47,""),"")</f>
        <v/>
      </c>
      <c r="I456" s="30">
        <f>IFERROR(IF(AND(ISNUMBER('SW Rev'!M47),ISNUMBER('SW Rev'!L47)),'SW Rev'!M47-'SW Rev'!L47,""),"")</f>
        <v/>
      </c>
      <c r="J456" s="30">
        <f>IFERROR(IF(AND(ISNUMBER('SW Rev'!N47),ISNUMBER('SW Rev'!M47)),'SW Rev'!N47-'SW Rev'!M47,""),"")</f>
        <v/>
      </c>
      <c r="K456" s="30">
        <f>IFERROR(IF(AND(ISNUMBER('SW Rev'!O47),ISNUMBER('SW Rev'!N47)),'SW Rev'!O47-'SW Rev'!N47,""),"")</f>
        <v/>
      </c>
      <c r="L456" s="30">
        <f>IFERROR(IF(AND(ISNUMBER('SW Rev'!P47),ISNUMBER('SW Rev'!O47)),'SW Rev'!P47-'SW Rev'!O47,""),"")</f>
        <v/>
      </c>
      <c r="M456" s="31">
        <f>IFERROR(IF(AND(ISNUMBER('SW Rev'!Q47),ISNUMBER('SW Rev'!P47)),'SW Rev'!Q47-'SW Rev'!P47,""),"")</f>
        <v/>
      </c>
      <c r="N456" s="31">
        <f>IFERROR(IF(AND(ISNUMBER('SW Rev'!R47),ISNUMBER('SW Rev'!Q47)),'SW Rev'!R47-'SW Rev'!Q47,""),"")</f>
        <v/>
      </c>
    </row>
    <row r="457">
      <c r="A457" s="19">
        <f>'SW Rev'!$A48</f>
        <v/>
      </c>
      <c r="B457" s="19">
        <f>'SW Rev'!$B48</f>
        <v/>
      </c>
      <c r="C457" s="30">
        <f>IFERROR(IF(AND(ISNUMBER('SW Rev'!G48),ISNUMBER('SW Rev'!F48)),'SW Rev'!G48-'SW Rev'!F48,""),"")</f>
        <v/>
      </c>
      <c r="D457" s="30">
        <f>IFERROR(IF(AND(ISNUMBER('SW Rev'!H48),ISNUMBER('SW Rev'!G48)),'SW Rev'!H48-'SW Rev'!G48,""),"")</f>
        <v/>
      </c>
      <c r="E457" s="30">
        <f>IFERROR(IF(AND(ISNUMBER('SW Rev'!I48),ISNUMBER('SW Rev'!H48)),'SW Rev'!I48-'SW Rev'!H48,""),"")</f>
        <v/>
      </c>
      <c r="F457" s="30">
        <f>IFERROR(IF(AND(ISNUMBER('SW Rev'!J48),ISNUMBER('SW Rev'!I48)),'SW Rev'!J48-'SW Rev'!I48,""),"")</f>
        <v/>
      </c>
      <c r="G457" s="30">
        <f>IFERROR(IF(AND(ISNUMBER('SW Rev'!K48),ISNUMBER('SW Rev'!J48)),'SW Rev'!K48-'SW Rev'!J48,""),"")</f>
        <v/>
      </c>
      <c r="H457" s="30">
        <f>IFERROR(IF(AND(ISNUMBER('SW Rev'!L48),ISNUMBER('SW Rev'!K48)),'SW Rev'!L48-'SW Rev'!K48,""),"")</f>
        <v/>
      </c>
      <c r="I457" s="30">
        <f>IFERROR(IF(AND(ISNUMBER('SW Rev'!M48),ISNUMBER('SW Rev'!L48)),'SW Rev'!M48-'SW Rev'!L48,""),"")</f>
        <v/>
      </c>
      <c r="J457" s="30">
        <f>IFERROR(IF(AND(ISNUMBER('SW Rev'!N48),ISNUMBER('SW Rev'!M48)),'SW Rev'!N48-'SW Rev'!M48,""),"")</f>
        <v/>
      </c>
      <c r="K457" s="30">
        <f>IFERROR(IF(AND(ISNUMBER('SW Rev'!O48),ISNUMBER('SW Rev'!N48)),'SW Rev'!O48-'SW Rev'!N48,""),"")</f>
        <v/>
      </c>
      <c r="L457" s="30">
        <f>IFERROR(IF(AND(ISNUMBER('SW Rev'!P48),ISNUMBER('SW Rev'!O48)),'SW Rev'!P48-'SW Rev'!O48,""),"")</f>
        <v/>
      </c>
      <c r="M457" s="31">
        <f>IFERROR(IF(AND(ISNUMBER('SW Rev'!Q48),ISNUMBER('SW Rev'!P48)),'SW Rev'!Q48-'SW Rev'!P48,""),"")</f>
        <v/>
      </c>
      <c r="N457" s="31">
        <f>IFERROR(IF(AND(ISNUMBER('SW Rev'!R48),ISNUMBER('SW Rev'!Q48)),'SW Rev'!R48-'SW Rev'!Q48,""),"")</f>
        <v/>
      </c>
    </row>
    <row r="458">
      <c r="A458" s="19">
        <f>'SW Rev'!$A49</f>
        <v/>
      </c>
      <c r="B458" s="19">
        <f>'SW Rev'!$B49</f>
        <v/>
      </c>
      <c r="C458" s="30">
        <f>IFERROR(IF(AND(ISNUMBER('SW Rev'!G49),ISNUMBER('SW Rev'!F49)),'SW Rev'!G49-'SW Rev'!F49,""),"")</f>
        <v/>
      </c>
      <c r="D458" s="30">
        <f>IFERROR(IF(AND(ISNUMBER('SW Rev'!H49),ISNUMBER('SW Rev'!G49)),'SW Rev'!H49-'SW Rev'!G49,""),"")</f>
        <v/>
      </c>
      <c r="E458" s="30">
        <f>IFERROR(IF(AND(ISNUMBER('SW Rev'!I49),ISNUMBER('SW Rev'!H49)),'SW Rev'!I49-'SW Rev'!H49,""),"")</f>
        <v/>
      </c>
      <c r="F458" s="30">
        <f>IFERROR(IF(AND(ISNUMBER('SW Rev'!J49),ISNUMBER('SW Rev'!I49)),'SW Rev'!J49-'SW Rev'!I49,""),"")</f>
        <v/>
      </c>
      <c r="G458" s="30">
        <f>IFERROR(IF(AND(ISNUMBER('SW Rev'!K49),ISNUMBER('SW Rev'!J49)),'SW Rev'!K49-'SW Rev'!J49,""),"")</f>
        <v/>
      </c>
      <c r="H458" s="30">
        <f>IFERROR(IF(AND(ISNUMBER('SW Rev'!L49),ISNUMBER('SW Rev'!K49)),'SW Rev'!L49-'SW Rev'!K49,""),"")</f>
        <v/>
      </c>
      <c r="I458" s="30">
        <f>IFERROR(IF(AND(ISNUMBER('SW Rev'!M49),ISNUMBER('SW Rev'!L49)),'SW Rev'!M49-'SW Rev'!L49,""),"")</f>
        <v/>
      </c>
      <c r="J458" s="30">
        <f>IFERROR(IF(AND(ISNUMBER('SW Rev'!N49),ISNUMBER('SW Rev'!M49)),'SW Rev'!N49-'SW Rev'!M49,""),"")</f>
        <v/>
      </c>
      <c r="K458" s="30">
        <f>IFERROR(IF(AND(ISNUMBER('SW Rev'!O49),ISNUMBER('SW Rev'!N49)),'SW Rev'!O49-'SW Rev'!N49,""),"")</f>
        <v/>
      </c>
      <c r="L458" s="30">
        <f>IFERROR(IF(AND(ISNUMBER('SW Rev'!P49),ISNUMBER('SW Rev'!O49)),'SW Rev'!P49-'SW Rev'!O49,""),"")</f>
        <v/>
      </c>
      <c r="M458" s="31">
        <f>IFERROR(IF(AND(ISNUMBER('SW Rev'!Q49),ISNUMBER('SW Rev'!P49)),'SW Rev'!Q49-'SW Rev'!P49,""),"")</f>
        <v/>
      </c>
      <c r="N458" s="31">
        <f>IFERROR(IF(AND(ISNUMBER('SW Rev'!R49),ISNUMBER('SW Rev'!Q49)),'SW Rev'!R49-'SW Rev'!Q49,""),"")</f>
        <v/>
      </c>
    </row>
    <row r="459">
      <c r="A459" s="19">
        <f>'SW Rev'!$A50</f>
        <v/>
      </c>
      <c r="B459" s="19">
        <f>'SW Rev'!$B50</f>
        <v/>
      </c>
      <c r="C459" s="30">
        <f>IFERROR(IF(AND(ISNUMBER('SW Rev'!G50),ISNUMBER('SW Rev'!F50)),'SW Rev'!G50-'SW Rev'!F50,""),"")</f>
        <v/>
      </c>
      <c r="D459" s="30">
        <f>IFERROR(IF(AND(ISNUMBER('SW Rev'!H50),ISNUMBER('SW Rev'!G50)),'SW Rev'!H50-'SW Rev'!G50,""),"")</f>
        <v/>
      </c>
      <c r="E459" s="30">
        <f>IFERROR(IF(AND(ISNUMBER('SW Rev'!I50),ISNUMBER('SW Rev'!H50)),'SW Rev'!I50-'SW Rev'!H50,""),"")</f>
        <v/>
      </c>
      <c r="F459" s="30">
        <f>IFERROR(IF(AND(ISNUMBER('SW Rev'!J50),ISNUMBER('SW Rev'!I50)),'SW Rev'!J50-'SW Rev'!I50,""),"")</f>
        <v/>
      </c>
      <c r="G459" s="30">
        <f>IFERROR(IF(AND(ISNUMBER('SW Rev'!K50),ISNUMBER('SW Rev'!J50)),'SW Rev'!K50-'SW Rev'!J50,""),"")</f>
        <v/>
      </c>
      <c r="H459" s="30">
        <f>IFERROR(IF(AND(ISNUMBER('SW Rev'!L50),ISNUMBER('SW Rev'!K50)),'SW Rev'!L50-'SW Rev'!K50,""),"")</f>
        <v/>
      </c>
      <c r="I459" s="30">
        <f>IFERROR(IF(AND(ISNUMBER('SW Rev'!M50),ISNUMBER('SW Rev'!L50)),'SW Rev'!M50-'SW Rev'!L50,""),"")</f>
        <v/>
      </c>
      <c r="J459" s="30">
        <f>IFERROR(IF(AND(ISNUMBER('SW Rev'!N50),ISNUMBER('SW Rev'!M50)),'SW Rev'!N50-'SW Rev'!M50,""),"")</f>
        <v/>
      </c>
      <c r="K459" s="30">
        <f>IFERROR(IF(AND(ISNUMBER('SW Rev'!O50),ISNUMBER('SW Rev'!N50)),'SW Rev'!O50-'SW Rev'!N50,""),"")</f>
        <v/>
      </c>
      <c r="L459" s="30">
        <f>IFERROR(IF(AND(ISNUMBER('SW Rev'!P50),ISNUMBER('SW Rev'!O50)),'SW Rev'!P50-'SW Rev'!O50,""),"")</f>
        <v/>
      </c>
      <c r="M459" s="31">
        <f>IFERROR(IF(AND(ISNUMBER('SW Rev'!Q50),ISNUMBER('SW Rev'!P50)),'SW Rev'!Q50-'SW Rev'!P50,""),"")</f>
        <v/>
      </c>
      <c r="N459" s="31">
        <f>IFERROR(IF(AND(ISNUMBER('SW Rev'!R50),ISNUMBER('SW Rev'!Q50)),'SW Rev'!R50-'SW Rev'!Q50,""),"")</f>
        <v/>
      </c>
    </row>
    <row r="460">
      <c r="A460" s="19">
        <f>'SW Rev'!$A51</f>
        <v/>
      </c>
      <c r="B460" s="19">
        <f>'SW Rev'!$B51</f>
        <v/>
      </c>
      <c r="C460" s="30">
        <f>IFERROR(IF(AND(ISNUMBER('SW Rev'!G51),ISNUMBER('SW Rev'!F51)),'SW Rev'!G51-'SW Rev'!F51,""),"")</f>
        <v/>
      </c>
      <c r="D460" s="30">
        <f>IFERROR(IF(AND(ISNUMBER('SW Rev'!H51),ISNUMBER('SW Rev'!G51)),'SW Rev'!H51-'SW Rev'!G51,""),"")</f>
        <v/>
      </c>
      <c r="E460" s="30">
        <f>IFERROR(IF(AND(ISNUMBER('SW Rev'!I51),ISNUMBER('SW Rev'!H51)),'SW Rev'!I51-'SW Rev'!H51,""),"")</f>
        <v/>
      </c>
      <c r="F460" s="30">
        <f>IFERROR(IF(AND(ISNUMBER('SW Rev'!J51),ISNUMBER('SW Rev'!I51)),'SW Rev'!J51-'SW Rev'!I51,""),"")</f>
        <v/>
      </c>
      <c r="G460" s="30">
        <f>IFERROR(IF(AND(ISNUMBER('SW Rev'!K51),ISNUMBER('SW Rev'!J51)),'SW Rev'!K51-'SW Rev'!J51,""),"")</f>
        <v/>
      </c>
      <c r="H460" s="30">
        <f>IFERROR(IF(AND(ISNUMBER('SW Rev'!L51),ISNUMBER('SW Rev'!K51)),'SW Rev'!L51-'SW Rev'!K51,""),"")</f>
        <v/>
      </c>
      <c r="I460" s="30">
        <f>IFERROR(IF(AND(ISNUMBER('SW Rev'!M51),ISNUMBER('SW Rev'!L51)),'SW Rev'!M51-'SW Rev'!L51,""),"")</f>
        <v/>
      </c>
      <c r="J460" s="30">
        <f>IFERROR(IF(AND(ISNUMBER('SW Rev'!N51),ISNUMBER('SW Rev'!M51)),'SW Rev'!N51-'SW Rev'!M51,""),"")</f>
        <v/>
      </c>
      <c r="K460" s="30">
        <f>IFERROR(IF(AND(ISNUMBER('SW Rev'!O51),ISNUMBER('SW Rev'!N51)),'SW Rev'!O51-'SW Rev'!N51,""),"")</f>
        <v/>
      </c>
      <c r="L460" s="30">
        <f>IFERROR(IF(AND(ISNUMBER('SW Rev'!P51),ISNUMBER('SW Rev'!O51)),'SW Rev'!P51-'SW Rev'!O51,""),"")</f>
        <v/>
      </c>
      <c r="M460" s="31">
        <f>IFERROR(IF(AND(ISNUMBER('SW Rev'!Q51),ISNUMBER('SW Rev'!P51)),'SW Rev'!Q51-'SW Rev'!P51,""),"")</f>
        <v/>
      </c>
      <c r="N460" s="31">
        <f>IFERROR(IF(AND(ISNUMBER('SW Rev'!R51),ISNUMBER('SW Rev'!Q51)),'SW Rev'!R51-'SW Rev'!Q51,""),"")</f>
        <v/>
      </c>
    </row>
    <row r="461">
      <c r="A461" s="19">
        <f>'SW Rev'!$A52</f>
        <v/>
      </c>
      <c r="B461" s="19">
        <f>'SW Rev'!$B52</f>
        <v/>
      </c>
      <c r="C461" s="30">
        <f>IFERROR(IF(AND(ISNUMBER('SW Rev'!G52),ISNUMBER('SW Rev'!F52)),'SW Rev'!G52-'SW Rev'!F52,""),"")</f>
        <v/>
      </c>
      <c r="D461" s="30">
        <f>IFERROR(IF(AND(ISNUMBER('SW Rev'!H52),ISNUMBER('SW Rev'!G52)),'SW Rev'!H52-'SW Rev'!G52,""),"")</f>
        <v/>
      </c>
      <c r="E461" s="30">
        <f>IFERROR(IF(AND(ISNUMBER('SW Rev'!I52),ISNUMBER('SW Rev'!H52)),'SW Rev'!I52-'SW Rev'!H52,""),"")</f>
        <v/>
      </c>
      <c r="F461" s="30">
        <f>IFERROR(IF(AND(ISNUMBER('SW Rev'!J52),ISNUMBER('SW Rev'!I52)),'SW Rev'!J52-'SW Rev'!I52,""),"")</f>
        <v/>
      </c>
      <c r="G461" s="30">
        <f>IFERROR(IF(AND(ISNUMBER('SW Rev'!K52),ISNUMBER('SW Rev'!J52)),'SW Rev'!K52-'SW Rev'!J52,""),"")</f>
        <v/>
      </c>
      <c r="H461" s="30">
        <f>IFERROR(IF(AND(ISNUMBER('SW Rev'!L52),ISNUMBER('SW Rev'!K52)),'SW Rev'!L52-'SW Rev'!K52,""),"")</f>
        <v/>
      </c>
      <c r="I461" s="30">
        <f>IFERROR(IF(AND(ISNUMBER('SW Rev'!M52),ISNUMBER('SW Rev'!L52)),'SW Rev'!M52-'SW Rev'!L52,""),"")</f>
        <v/>
      </c>
      <c r="J461" s="30">
        <f>IFERROR(IF(AND(ISNUMBER('SW Rev'!N52),ISNUMBER('SW Rev'!M52)),'SW Rev'!N52-'SW Rev'!M52,""),"")</f>
        <v/>
      </c>
      <c r="K461" s="30">
        <f>IFERROR(IF(AND(ISNUMBER('SW Rev'!O52),ISNUMBER('SW Rev'!N52)),'SW Rev'!O52-'SW Rev'!N52,""),"")</f>
        <v/>
      </c>
      <c r="L461" s="30">
        <f>IFERROR(IF(AND(ISNUMBER('SW Rev'!P52),ISNUMBER('SW Rev'!O52)),'SW Rev'!P52-'SW Rev'!O52,""),"")</f>
        <v/>
      </c>
      <c r="M461" s="31">
        <f>IFERROR(IF(AND(ISNUMBER('SW Rev'!Q52),ISNUMBER('SW Rev'!P52)),'SW Rev'!Q52-'SW Rev'!P52,""),"")</f>
        <v/>
      </c>
      <c r="N461" s="31">
        <f>IFERROR(IF(AND(ISNUMBER('SW Rev'!R52),ISNUMBER('SW Rev'!Q52)),'SW Rev'!R52-'SW Rev'!Q52,""),"")</f>
        <v/>
      </c>
    </row>
    <row r="462">
      <c r="A462" s="19">
        <f>'SW Rev'!$A53</f>
        <v/>
      </c>
      <c r="B462" s="19">
        <f>'SW Rev'!$B53</f>
        <v/>
      </c>
      <c r="C462" s="30">
        <f>IFERROR(IF(AND(ISNUMBER('SW Rev'!G53),ISNUMBER('SW Rev'!F53)),'SW Rev'!G53-'SW Rev'!F53,""),"")</f>
        <v/>
      </c>
      <c r="D462" s="30">
        <f>IFERROR(IF(AND(ISNUMBER('SW Rev'!H53),ISNUMBER('SW Rev'!G53)),'SW Rev'!H53-'SW Rev'!G53,""),"")</f>
        <v/>
      </c>
      <c r="E462" s="30">
        <f>IFERROR(IF(AND(ISNUMBER('SW Rev'!I53),ISNUMBER('SW Rev'!H53)),'SW Rev'!I53-'SW Rev'!H53,""),"")</f>
        <v/>
      </c>
      <c r="F462" s="30">
        <f>IFERROR(IF(AND(ISNUMBER('SW Rev'!J53),ISNUMBER('SW Rev'!I53)),'SW Rev'!J53-'SW Rev'!I53,""),"")</f>
        <v/>
      </c>
      <c r="G462" s="30">
        <f>IFERROR(IF(AND(ISNUMBER('SW Rev'!K53),ISNUMBER('SW Rev'!J53)),'SW Rev'!K53-'SW Rev'!J53,""),"")</f>
        <v/>
      </c>
      <c r="H462" s="30">
        <f>IFERROR(IF(AND(ISNUMBER('SW Rev'!L53),ISNUMBER('SW Rev'!K53)),'SW Rev'!L53-'SW Rev'!K53,""),"")</f>
        <v/>
      </c>
      <c r="I462" s="30">
        <f>IFERROR(IF(AND(ISNUMBER('SW Rev'!M53),ISNUMBER('SW Rev'!L53)),'SW Rev'!M53-'SW Rev'!L53,""),"")</f>
        <v/>
      </c>
      <c r="J462" s="30">
        <f>IFERROR(IF(AND(ISNUMBER('SW Rev'!N53),ISNUMBER('SW Rev'!M53)),'SW Rev'!N53-'SW Rev'!M53,""),"")</f>
        <v/>
      </c>
      <c r="K462" s="30">
        <f>IFERROR(IF(AND(ISNUMBER('SW Rev'!O53),ISNUMBER('SW Rev'!N53)),'SW Rev'!O53-'SW Rev'!N53,""),"")</f>
        <v/>
      </c>
      <c r="L462" s="30">
        <f>IFERROR(IF(AND(ISNUMBER('SW Rev'!P53),ISNUMBER('SW Rev'!O53)),'SW Rev'!P53-'SW Rev'!O53,""),"")</f>
        <v/>
      </c>
      <c r="M462" s="31">
        <f>IFERROR(IF(AND(ISNUMBER('SW Rev'!Q53),ISNUMBER('SW Rev'!P53)),'SW Rev'!Q53-'SW Rev'!P53,""),"")</f>
        <v/>
      </c>
      <c r="N462" s="31">
        <f>IFERROR(IF(AND(ISNUMBER('SW Rev'!R53),ISNUMBER('SW Rev'!Q53)),'SW Rev'!R53-'SW Rev'!Q53,""),"")</f>
        <v/>
      </c>
    </row>
    <row r="463">
      <c r="A463" s="19">
        <f>'SW Rev'!$A54</f>
        <v/>
      </c>
      <c r="B463" s="19">
        <f>'SW Rev'!$B54</f>
        <v/>
      </c>
      <c r="C463" s="30">
        <f>IFERROR(IF(AND(ISNUMBER('SW Rev'!G54),ISNUMBER('SW Rev'!F54)),'SW Rev'!G54-'SW Rev'!F54,""),"")</f>
        <v/>
      </c>
      <c r="D463" s="30">
        <f>IFERROR(IF(AND(ISNUMBER('SW Rev'!H54),ISNUMBER('SW Rev'!G54)),'SW Rev'!H54-'SW Rev'!G54,""),"")</f>
        <v/>
      </c>
      <c r="E463" s="30">
        <f>IFERROR(IF(AND(ISNUMBER('SW Rev'!I54),ISNUMBER('SW Rev'!H54)),'SW Rev'!I54-'SW Rev'!H54,""),"")</f>
        <v/>
      </c>
      <c r="F463" s="30">
        <f>IFERROR(IF(AND(ISNUMBER('SW Rev'!J54),ISNUMBER('SW Rev'!I54)),'SW Rev'!J54-'SW Rev'!I54,""),"")</f>
        <v/>
      </c>
      <c r="G463" s="30">
        <f>IFERROR(IF(AND(ISNUMBER('SW Rev'!K54),ISNUMBER('SW Rev'!J54)),'SW Rev'!K54-'SW Rev'!J54,""),"")</f>
        <v/>
      </c>
      <c r="H463" s="30">
        <f>IFERROR(IF(AND(ISNUMBER('SW Rev'!L54),ISNUMBER('SW Rev'!K54)),'SW Rev'!L54-'SW Rev'!K54,""),"")</f>
        <v/>
      </c>
      <c r="I463" s="30">
        <f>IFERROR(IF(AND(ISNUMBER('SW Rev'!M54),ISNUMBER('SW Rev'!L54)),'SW Rev'!M54-'SW Rev'!L54,""),"")</f>
        <v/>
      </c>
      <c r="J463" s="30">
        <f>IFERROR(IF(AND(ISNUMBER('SW Rev'!N54),ISNUMBER('SW Rev'!M54)),'SW Rev'!N54-'SW Rev'!M54,""),"")</f>
        <v/>
      </c>
      <c r="K463" s="30">
        <f>IFERROR(IF(AND(ISNUMBER('SW Rev'!O54),ISNUMBER('SW Rev'!N54)),'SW Rev'!O54-'SW Rev'!N54,""),"")</f>
        <v/>
      </c>
      <c r="L463" s="30">
        <f>IFERROR(IF(AND(ISNUMBER('SW Rev'!P54),ISNUMBER('SW Rev'!O54)),'SW Rev'!P54-'SW Rev'!O54,""),"")</f>
        <v/>
      </c>
      <c r="M463" s="31">
        <f>IFERROR(IF(AND(ISNUMBER('SW Rev'!Q54),ISNUMBER('SW Rev'!P54)),'SW Rev'!Q54-'SW Rev'!P54,""),"")</f>
        <v/>
      </c>
      <c r="N463" s="31">
        <f>IFERROR(IF(AND(ISNUMBER('SW Rev'!R54),ISNUMBER('SW Rev'!Q54)),'SW Rev'!R54-'SW Rev'!Q54,""),"")</f>
        <v/>
      </c>
    </row>
    <row r="464">
      <c r="A464" s="19">
        <f>'SW Rev'!$A55</f>
        <v/>
      </c>
      <c r="B464" s="19">
        <f>'SW Rev'!$B55</f>
        <v/>
      </c>
      <c r="C464" s="30">
        <f>IFERROR(IF(AND(ISNUMBER('SW Rev'!G55),ISNUMBER('SW Rev'!F55)),'SW Rev'!G55-'SW Rev'!F55,""),"")</f>
        <v/>
      </c>
      <c r="D464" s="30">
        <f>IFERROR(IF(AND(ISNUMBER('SW Rev'!H55),ISNUMBER('SW Rev'!G55)),'SW Rev'!H55-'SW Rev'!G55,""),"")</f>
        <v/>
      </c>
      <c r="E464" s="30">
        <f>IFERROR(IF(AND(ISNUMBER('SW Rev'!I55),ISNUMBER('SW Rev'!H55)),'SW Rev'!I55-'SW Rev'!H55,""),"")</f>
        <v/>
      </c>
      <c r="F464" s="30">
        <f>IFERROR(IF(AND(ISNUMBER('SW Rev'!J55),ISNUMBER('SW Rev'!I55)),'SW Rev'!J55-'SW Rev'!I55,""),"")</f>
        <v/>
      </c>
      <c r="G464" s="30">
        <f>IFERROR(IF(AND(ISNUMBER('SW Rev'!K55),ISNUMBER('SW Rev'!J55)),'SW Rev'!K55-'SW Rev'!J55,""),"")</f>
        <v/>
      </c>
      <c r="H464" s="30">
        <f>IFERROR(IF(AND(ISNUMBER('SW Rev'!L55),ISNUMBER('SW Rev'!K55)),'SW Rev'!L55-'SW Rev'!K55,""),"")</f>
        <v/>
      </c>
      <c r="I464" s="30">
        <f>IFERROR(IF(AND(ISNUMBER('SW Rev'!M55),ISNUMBER('SW Rev'!L55)),'SW Rev'!M55-'SW Rev'!L55,""),"")</f>
        <v/>
      </c>
      <c r="J464" s="30">
        <f>IFERROR(IF(AND(ISNUMBER('SW Rev'!N55),ISNUMBER('SW Rev'!M55)),'SW Rev'!N55-'SW Rev'!M55,""),"")</f>
        <v/>
      </c>
      <c r="K464" s="30">
        <f>IFERROR(IF(AND(ISNUMBER('SW Rev'!O55),ISNUMBER('SW Rev'!N55)),'SW Rev'!O55-'SW Rev'!N55,""),"")</f>
        <v/>
      </c>
      <c r="L464" s="30">
        <f>IFERROR(IF(AND(ISNUMBER('SW Rev'!P55),ISNUMBER('SW Rev'!O55)),'SW Rev'!P55-'SW Rev'!O55,""),"")</f>
        <v/>
      </c>
      <c r="M464" s="31">
        <f>IFERROR(IF(AND(ISNUMBER('SW Rev'!Q55),ISNUMBER('SW Rev'!P55)),'SW Rev'!Q55-'SW Rev'!P55,""),"")</f>
        <v/>
      </c>
      <c r="N464" s="31">
        <f>IFERROR(IF(AND(ISNUMBER('SW Rev'!R55),ISNUMBER('SW Rev'!Q55)),'SW Rev'!R55-'SW Rev'!Q55,""),"")</f>
        <v/>
      </c>
    </row>
    <row r="465">
      <c r="A465" s="19">
        <f>'SW Rev'!$A56</f>
        <v/>
      </c>
      <c r="B465" s="19">
        <f>'SW Rev'!$B56</f>
        <v/>
      </c>
      <c r="C465" s="30">
        <f>IFERROR(IF(AND(ISNUMBER('SW Rev'!G56),ISNUMBER('SW Rev'!F56)),'SW Rev'!G56-'SW Rev'!F56,""),"")</f>
        <v/>
      </c>
      <c r="D465" s="30">
        <f>IFERROR(IF(AND(ISNUMBER('SW Rev'!H56),ISNUMBER('SW Rev'!G56)),'SW Rev'!H56-'SW Rev'!G56,""),"")</f>
        <v/>
      </c>
      <c r="E465" s="30">
        <f>IFERROR(IF(AND(ISNUMBER('SW Rev'!I56),ISNUMBER('SW Rev'!H56)),'SW Rev'!I56-'SW Rev'!H56,""),"")</f>
        <v/>
      </c>
      <c r="F465" s="30">
        <f>IFERROR(IF(AND(ISNUMBER('SW Rev'!J56),ISNUMBER('SW Rev'!I56)),'SW Rev'!J56-'SW Rev'!I56,""),"")</f>
        <v/>
      </c>
      <c r="G465" s="30">
        <f>IFERROR(IF(AND(ISNUMBER('SW Rev'!K56),ISNUMBER('SW Rev'!J56)),'SW Rev'!K56-'SW Rev'!J56,""),"")</f>
        <v/>
      </c>
      <c r="H465" s="30">
        <f>IFERROR(IF(AND(ISNUMBER('SW Rev'!L56),ISNUMBER('SW Rev'!K56)),'SW Rev'!L56-'SW Rev'!K56,""),"")</f>
        <v/>
      </c>
      <c r="I465" s="30">
        <f>IFERROR(IF(AND(ISNUMBER('SW Rev'!M56),ISNUMBER('SW Rev'!L56)),'SW Rev'!M56-'SW Rev'!L56,""),"")</f>
        <v/>
      </c>
      <c r="J465" s="30">
        <f>IFERROR(IF(AND(ISNUMBER('SW Rev'!N56),ISNUMBER('SW Rev'!M56)),'SW Rev'!N56-'SW Rev'!M56,""),"")</f>
        <v/>
      </c>
      <c r="K465" s="30">
        <f>IFERROR(IF(AND(ISNUMBER('SW Rev'!O56),ISNUMBER('SW Rev'!N56)),'SW Rev'!O56-'SW Rev'!N56,""),"")</f>
        <v/>
      </c>
      <c r="L465" s="30">
        <f>IFERROR(IF(AND(ISNUMBER('SW Rev'!P56),ISNUMBER('SW Rev'!O56)),'SW Rev'!P56-'SW Rev'!O56,""),"")</f>
        <v/>
      </c>
      <c r="M465" s="31">
        <f>IFERROR(IF(AND(ISNUMBER('SW Rev'!Q56),ISNUMBER('SW Rev'!P56)),'SW Rev'!Q56-'SW Rev'!P56,""),"")</f>
        <v/>
      </c>
      <c r="N465" s="31">
        <f>IFERROR(IF(AND(ISNUMBER('SW Rev'!R56),ISNUMBER('SW Rev'!Q56)),'SW Rev'!R56-'SW Rev'!Q56,""),"")</f>
        <v/>
      </c>
    </row>
    <row r="466">
      <c r="A466" s="19">
        <f>'SW Rev'!$A57</f>
        <v/>
      </c>
      <c r="B466" s="19">
        <f>'SW Rev'!$B57</f>
        <v/>
      </c>
      <c r="C466" s="30">
        <f>IFERROR(IF(AND(ISNUMBER('SW Rev'!G57),ISNUMBER('SW Rev'!F57)),'SW Rev'!G57-'SW Rev'!F57,""),"")</f>
        <v/>
      </c>
      <c r="D466" s="30">
        <f>IFERROR(IF(AND(ISNUMBER('SW Rev'!H57),ISNUMBER('SW Rev'!G57)),'SW Rev'!H57-'SW Rev'!G57,""),"")</f>
        <v/>
      </c>
      <c r="E466" s="30">
        <f>IFERROR(IF(AND(ISNUMBER('SW Rev'!I57),ISNUMBER('SW Rev'!H57)),'SW Rev'!I57-'SW Rev'!H57,""),"")</f>
        <v/>
      </c>
      <c r="F466" s="30">
        <f>IFERROR(IF(AND(ISNUMBER('SW Rev'!J57),ISNUMBER('SW Rev'!I57)),'SW Rev'!J57-'SW Rev'!I57,""),"")</f>
        <v/>
      </c>
      <c r="G466" s="30">
        <f>IFERROR(IF(AND(ISNUMBER('SW Rev'!K57),ISNUMBER('SW Rev'!J57)),'SW Rev'!K57-'SW Rev'!J57,""),"")</f>
        <v/>
      </c>
      <c r="H466" s="30">
        <f>IFERROR(IF(AND(ISNUMBER('SW Rev'!L57),ISNUMBER('SW Rev'!K57)),'SW Rev'!L57-'SW Rev'!K57,""),"")</f>
        <v/>
      </c>
      <c r="I466" s="30">
        <f>IFERROR(IF(AND(ISNUMBER('SW Rev'!M57),ISNUMBER('SW Rev'!L57)),'SW Rev'!M57-'SW Rev'!L57,""),"")</f>
        <v/>
      </c>
      <c r="J466" s="30">
        <f>IFERROR(IF(AND(ISNUMBER('SW Rev'!N57),ISNUMBER('SW Rev'!M57)),'SW Rev'!N57-'SW Rev'!M57,""),"")</f>
        <v/>
      </c>
      <c r="K466" s="30">
        <f>IFERROR(IF(AND(ISNUMBER('SW Rev'!O57),ISNUMBER('SW Rev'!N57)),'SW Rev'!O57-'SW Rev'!N57,""),"")</f>
        <v/>
      </c>
      <c r="L466" s="30">
        <f>IFERROR(IF(AND(ISNUMBER('SW Rev'!P57),ISNUMBER('SW Rev'!O57)),'SW Rev'!P57-'SW Rev'!O57,""),"")</f>
        <v/>
      </c>
      <c r="M466" s="31">
        <f>IFERROR(IF(AND(ISNUMBER('SW Rev'!Q57),ISNUMBER('SW Rev'!P57)),'SW Rev'!Q57-'SW Rev'!P57,""),"")</f>
        <v/>
      </c>
      <c r="N466" s="31">
        <f>IFERROR(IF(AND(ISNUMBER('SW Rev'!R57),ISNUMBER('SW Rev'!Q57)),'SW Rev'!R57-'SW Rev'!Q57,""),"")</f>
        <v/>
      </c>
    </row>
    <row r="467">
      <c r="A467" s="19">
        <f>'SW Rev'!$A58</f>
        <v/>
      </c>
      <c r="B467" s="19">
        <f>'SW Rev'!$B58</f>
        <v/>
      </c>
      <c r="C467" s="30">
        <f>IFERROR(IF(AND(ISNUMBER('SW Rev'!G58),ISNUMBER('SW Rev'!F58)),'SW Rev'!G58-'SW Rev'!F58,""),"")</f>
        <v/>
      </c>
      <c r="D467" s="30">
        <f>IFERROR(IF(AND(ISNUMBER('SW Rev'!H58),ISNUMBER('SW Rev'!G58)),'SW Rev'!H58-'SW Rev'!G58,""),"")</f>
        <v/>
      </c>
      <c r="E467" s="30">
        <f>IFERROR(IF(AND(ISNUMBER('SW Rev'!I58),ISNUMBER('SW Rev'!H58)),'SW Rev'!I58-'SW Rev'!H58,""),"")</f>
        <v/>
      </c>
      <c r="F467" s="30">
        <f>IFERROR(IF(AND(ISNUMBER('SW Rev'!J58),ISNUMBER('SW Rev'!I58)),'SW Rev'!J58-'SW Rev'!I58,""),"")</f>
        <v/>
      </c>
      <c r="G467" s="30">
        <f>IFERROR(IF(AND(ISNUMBER('SW Rev'!K58),ISNUMBER('SW Rev'!J58)),'SW Rev'!K58-'SW Rev'!J58,""),"")</f>
        <v/>
      </c>
      <c r="H467" s="30">
        <f>IFERROR(IF(AND(ISNUMBER('SW Rev'!L58),ISNUMBER('SW Rev'!K58)),'SW Rev'!L58-'SW Rev'!K58,""),"")</f>
        <v/>
      </c>
      <c r="I467" s="30">
        <f>IFERROR(IF(AND(ISNUMBER('SW Rev'!M58),ISNUMBER('SW Rev'!L58)),'SW Rev'!M58-'SW Rev'!L58,""),"")</f>
        <v/>
      </c>
      <c r="J467" s="30">
        <f>IFERROR(IF(AND(ISNUMBER('SW Rev'!N58),ISNUMBER('SW Rev'!M58)),'SW Rev'!N58-'SW Rev'!M58,""),"")</f>
        <v/>
      </c>
      <c r="K467" s="30">
        <f>IFERROR(IF(AND(ISNUMBER('SW Rev'!O58),ISNUMBER('SW Rev'!N58)),'SW Rev'!O58-'SW Rev'!N58,""),"")</f>
        <v/>
      </c>
      <c r="L467" s="30">
        <f>IFERROR(IF(AND(ISNUMBER('SW Rev'!P58),ISNUMBER('SW Rev'!O58)),'SW Rev'!P58-'SW Rev'!O58,""),"")</f>
        <v/>
      </c>
      <c r="M467" s="31">
        <f>IFERROR(IF(AND(ISNUMBER('SW Rev'!Q58),ISNUMBER('SW Rev'!P58)),'SW Rev'!Q58-'SW Rev'!P58,""),"")</f>
        <v/>
      </c>
      <c r="N467" s="31">
        <f>IFERROR(IF(AND(ISNUMBER('SW Rev'!R58),ISNUMBER('SW Rev'!Q58)),'SW Rev'!R58-'SW Rev'!Q58,""),"")</f>
        <v/>
      </c>
    </row>
    <row r="468">
      <c r="A468" s="19">
        <f>'SW Rev'!$A59</f>
        <v/>
      </c>
      <c r="B468" s="19">
        <f>'SW Rev'!$B59</f>
        <v/>
      </c>
      <c r="C468" s="30">
        <f>IFERROR(IF(AND(ISNUMBER('SW Rev'!G59),ISNUMBER('SW Rev'!F59)),'SW Rev'!G59-'SW Rev'!F59,""),"")</f>
        <v/>
      </c>
      <c r="D468" s="30">
        <f>IFERROR(IF(AND(ISNUMBER('SW Rev'!H59),ISNUMBER('SW Rev'!G59)),'SW Rev'!H59-'SW Rev'!G59,""),"")</f>
        <v/>
      </c>
      <c r="E468" s="30">
        <f>IFERROR(IF(AND(ISNUMBER('SW Rev'!I59),ISNUMBER('SW Rev'!H59)),'SW Rev'!I59-'SW Rev'!H59,""),"")</f>
        <v/>
      </c>
      <c r="F468" s="30">
        <f>IFERROR(IF(AND(ISNUMBER('SW Rev'!J59),ISNUMBER('SW Rev'!I59)),'SW Rev'!J59-'SW Rev'!I59,""),"")</f>
        <v/>
      </c>
      <c r="G468" s="30">
        <f>IFERROR(IF(AND(ISNUMBER('SW Rev'!K59),ISNUMBER('SW Rev'!J59)),'SW Rev'!K59-'SW Rev'!J59,""),"")</f>
        <v/>
      </c>
      <c r="H468" s="30">
        <f>IFERROR(IF(AND(ISNUMBER('SW Rev'!L59),ISNUMBER('SW Rev'!K59)),'SW Rev'!L59-'SW Rev'!K59,""),"")</f>
        <v/>
      </c>
      <c r="I468" s="30">
        <f>IFERROR(IF(AND(ISNUMBER('SW Rev'!M59),ISNUMBER('SW Rev'!L59)),'SW Rev'!M59-'SW Rev'!L59,""),"")</f>
        <v/>
      </c>
      <c r="J468" s="30">
        <f>IFERROR(IF(AND(ISNUMBER('SW Rev'!N59),ISNUMBER('SW Rev'!M59)),'SW Rev'!N59-'SW Rev'!M59,""),"")</f>
        <v/>
      </c>
      <c r="K468" s="30">
        <f>IFERROR(IF(AND(ISNUMBER('SW Rev'!O59),ISNUMBER('SW Rev'!N59)),'SW Rev'!O59-'SW Rev'!N59,""),"")</f>
        <v/>
      </c>
      <c r="L468" s="30">
        <f>IFERROR(IF(AND(ISNUMBER('SW Rev'!P59),ISNUMBER('SW Rev'!O59)),'SW Rev'!P59-'SW Rev'!O59,""),"")</f>
        <v/>
      </c>
      <c r="M468" s="31">
        <f>IFERROR(IF(AND(ISNUMBER('SW Rev'!Q59),ISNUMBER('SW Rev'!P59)),'SW Rev'!Q59-'SW Rev'!P59,""),"")</f>
        <v/>
      </c>
      <c r="N468" s="31">
        <f>IFERROR(IF(AND(ISNUMBER('SW Rev'!R59),ISNUMBER('SW Rev'!Q59)),'SW Rev'!R59-'SW Rev'!Q59,""),"")</f>
        <v/>
      </c>
    </row>
    <row r="469">
      <c r="A469" s="19">
        <f>'SW Rev'!$A60</f>
        <v/>
      </c>
      <c r="B469" s="19">
        <f>'SW Rev'!$B60</f>
        <v/>
      </c>
      <c r="C469" s="30">
        <f>IFERROR(IF(AND(ISNUMBER('SW Rev'!G60),ISNUMBER('SW Rev'!F60)),'SW Rev'!G60-'SW Rev'!F60,""),"")</f>
        <v/>
      </c>
      <c r="D469" s="30">
        <f>IFERROR(IF(AND(ISNUMBER('SW Rev'!H60),ISNUMBER('SW Rev'!G60)),'SW Rev'!H60-'SW Rev'!G60,""),"")</f>
        <v/>
      </c>
      <c r="E469" s="30">
        <f>IFERROR(IF(AND(ISNUMBER('SW Rev'!I60),ISNUMBER('SW Rev'!H60)),'SW Rev'!I60-'SW Rev'!H60,""),"")</f>
        <v/>
      </c>
      <c r="F469" s="30">
        <f>IFERROR(IF(AND(ISNUMBER('SW Rev'!J60),ISNUMBER('SW Rev'!I60)),'SW Rev'!J60-'SW Rev'!I60,""),"")</f>
        <v/>
      </c>
      <c r="G469" s="30">
        <f>IFERROR(IF(AND(ISNUMBER('SW Rev'!K60),ISNUMBER('SW Rev'!J60)),'SW Rev'!K60-'SW Rev'!J60,""),"")</f>
        <v/>
      </c>
      <c r="H469" s="30">
        <f>IFERROR(IF(AND(ISNUMBER('SW Rev'!L60),ISNUMBER('SW Rev'!K60)),'SW Rev'!L60-'SW Rev'!K60,""),"")</f>
        <v/>
      </c>
      <c r="I469" s="30">
        <f>IFERROR(IF(AND(ISNUMBER('SW Rev'!M60),ISNUMBER('SW Rev'!L60)),'SW Rev'!M60-'SW Rev'!L60,""),"")</f>
        <v/>
      </c>
      <c r="J469" s="30">
        <f>IFERROR(IF(AND(ISNUMBER('SW Rev'!N60),ISNUMBER('SW Rev'!M60)),'SW Rev'!N60-'SW Rev'!M60,""),"")</f>
        <v/>
      </c>
      <c r="K469" s="30">
        <f>IFERROR(IF(AND(ISNUMBER('SW Rev'!O60),ISNUMBER('SW Rev'!N60)),'SW Rev'!O60-'SW Rev'!N60,""),"")</f>
        <v/>
      </c>
      <c r="L469" s="30">
        <f>IFERROR(IF(AND(ISNUMBER('SW Rev'!P60),ISNUMBER('SW Rev'!O60)),'SW Rev'!P60-'SW Rev'!O60,""),"")</f>
        <v/>
      </c>
      <c r="M469" s="31">
        <f>IFERROR(IF(AND(ISNUMBER('SW Rev'!Q60),ISNUMBER('SW Rev'!P60)),'SW Rev'!Q60-'SW Rev'!P60,""),"")</f>
        <v/>
      </c>
      <c r="N469" s="31">
        <f>IFERROR(IF(AND(ISNUMBER('SW Rev'!R60),ISNUMBER('SW Rev'!Q60)),'SW Rev'!R60-'SW Rev'!Q60,""),"")</f>
        <v/>
      </c>
    </row>
    <row r="470">
      <c r="A470" s="19">
        <f>'SW Rev'!$A61</f>
        <v/>
      </c>
      <c r="B470" s="19">
        <f>'SW Rev'!$B61</f>
        <v/>
      </c>
      <c r="C470" s="30">
        <f>IFERROR(IF(AND(ISNUMBER('SW Rev'!G61),ISNUMBER('SW Rev'!F61)),'SW Rev'!G61-'SW Rev'!F61,""),"")</f>
        <v/>
      </c>
      <c r="D470" s="30">
        <f>IFERROR(IF(AND(ISNUMBER('SW Rev'!H61),ISNUMBER('SW Rev'!G61)),'SW Rev'!H61-'SW Rev'!G61,""),"")</f>
        <v/>
      </c>
      <c r="E470" s="30">
        <f>IFERROR(IF(AND(ISNUMBER('SW Rev'!I61),ISNUMBER('SW Rev'!H61)),'SW Rev'!I61-'SW Rev'!H61,""),"")</f>
        <v/>
      </c>
      <c r="F470" s="30">
        <f>IFERROR(IF(AND(ISNUMBER('SW Rev'!J61),ISNUMBER('SW Rev'!I61)),'SW Rev'!J61-'SW Rev'!I61,""),"")</f>
        <v/>
      </c>
      <c r="G470" s="30">
        <f>IFERROR(IF(AND(ISNUMBER('SW Rev'!K61),ISNUMBER('SW Rev'!J61)),'SW Rev'!K61-'SW Rev'!J61,""),"")</f>
        <v/>
      </c>
      <c r="H470" s="30">
        <f>IFERROR(IF(AND(ISNUMBER('SW Rev'!L61),ISNUMBER('SW Rev'!K61)),'SW Rev'!L61-'SW Rev'!K61,""),"")</f>
        <v/>
      </c>
      <c r="I470" s="30">
        <f>IFERROR(IF(AND(ISNUMBER('SW Rev'!M61),ISNUMBER('SW Rev'!L61)),'SW Rev'!M61-'SW Rev'!L61,""),"")</f>
        <v/>
      </c>
      <c r="J470" s="30">
        <f>IFERROR(IF(AND(ISNUMBER('SW Rev'!N61),ISNUMBER('SW Rev'!M61)),'SW Rev'!N61-'SW Rev'!M61,""),"")</f>
        <v/>
      </c>
      <c r="K470" s="30">
        <f>IFERROR(IF(AND(ISNUMBER('SW Rev'!O61),ISNUMBER('SW Rev'!N61)),'SW Rev'!O61-'SW Rev'!N61,""),"")</f>
        <v/>
      </c>
      <c r="L470" s="30">
        <f>IFERROR(IF(AND(ISNUMBER('SW Rev'!P61),ISNUMBER('SW Rev'!O61)),'SW Rev'!P61-'SW Rev'!O61,""),"")</f>
        <v/>
      </c>
      <c r="M470" s="31">
        <f>IFERROR(IF(AND(ISNUMBER('SW Rev'!Q61),ISNUMBER('SW Rev'!P61)),'SW Rev'!Q61-'SW Rev'!P61,""),"")</f>
        <v/>
      </c>
      <c r="N470" s="31">
        <f>IFERROR(IF(AND(ISNUMBER('SW Rev'!R61),ISNUMBER('SW Rev'!Q61)),'SW Rev'!R61-'SW Rev'!Q61,""),"")</f>
        <v/>
      </c>
    </row>
    <row r="471">
      <c r="A471" s="19">
        <f>'SW Rev'!$A62</f>
        <v/>
      </c>
      <c r="B471" s="19">
        <f>'SW Rev'!$B62</f>
        <v/>
      </c>
      <c r="C471" s="30">
        <f>IFERROR(IF(AND(ISNUMBER('SW Rev'!G62),ISNUMBER('SW Rev'!F62)),'SW Rev'!G62-'SW Rev'!F62,""),"")</f>
        <v/>
      </c>
      <c r="D471" s="30">
        <f>IFERROR(IF(AND(ISNUMBER('SW Rev'!H62),ISNUMBER('SW Rev'!G62)),'SW Rev'!H62-'SW Rev'!G62,""),"")</f>
        <v/>
      </c>
      <c r="E471" s="30">
        <f>IFERROR(IF(AND(ISNUMBER('SW Rev'!I62),ISNUMBER('SW Rev'!H62)),'SW Rev'!I62-'SW Rev'!H62,""),"")</f>
        <v/>
      </c>
      <c r="F471" s="30">
        <f>IFERROR(IF(AND(ISNUMBER('SW Rev'!J62),ISNUMBER('SW Rev'!I62)),'SW Rev'!J62-'SW Rev'!I62,""),"")</f>
        <v/>
      </c>
      <c r="G471" s="30">
        <f>IFERROR(IF(AND(ISNUMBER('SW Rev'!K62),ISNUMBER('SW Rev'!J62)),'SW Rev'!K62-'SW Rev'!J62,""),"")</f>
        <v/>
      </c>
      <c r="H471" s="30">
        <f>IFERROR(IF(AND(ISNUMBER('SW Rev'!L62),ISNUMBER('SW Rev'!K62)),'SW Rev'!L62-'SW Rev'!K62,""),"")</f>
        <v/>
      </c>
      <c r="I471" s="30">
        <f>IFERROR(IF(AND(ISNUMBER('SW Rev'!M62),ISNUMBER('SW Rev'!L62)),'SW Rev'!M62-'SW Rev'!L62,""),"")</f>
        <v/>
      </c>
      <c r="J471" s="30">
        <f>IFERROR(IF(AND(ISNUMBER('SW Rev'!N62),ISNUMBER('SW Rev'!M62)),'SW Rev'!N62-'SW Rev'!M62,""),"")</f>
        <v/>
      </c>
      <c r="K471" s="30">
        <f>IFERROR(IF(AND(ISNUMBER('SW Rev'!O62),ISNUMBER('SW Rev'!N62)),'SW Rev'!O62-'SW Rev'!N62,""),"")</f>
        <v/>
      </c>
      <c r="L471" s="30">
        <f>IFERROR(IF(AND(ISNUMBER('SW Rev'!P62),ISNUMBER('SW Rev'!O62)),'SW Rev'!P62-'SW Rev'!O62,""),"")</f>
        <v/>
      </c>
      <c r="M471" s="31">
        <f>IFERROR(IF(AND(ISNUMBER('SW Rev'!Q62),ISNUMBER('SW Rev'!P62)),'SW Rev'!Q62-'SW Rev'!P62,""),"")</f>
        <v/>
      </c>
      <c r="N471" s="31">
        <f>IFERROR(IF(AND(ISNUMBER('SW Rev'!R62),ISNUMBER('SW Rev'!Q62)),'SW Rev'!R62-'SW Rev'!Q62,""),"")</f>
        <v/>
      </c>
    </row>
    <row r="472">
      <c r="A472" s="19">
        <f>'SW Rev'!$A63</f>
        <v/>
      </c>
      <c r="B472" s="19">
        <f>'SW Rev'!$B63</f>
        <v/>
      </c>
      <c r="C472" s="30">
        <f>IFERROR(IF(AND(ISNUMBER('SW Rev'!G63),ISNUMBER('SW Rev'!F63)),'SW Rev'!G63-'SW Rev'!F63,""),"")</f>
        <v/>
      </c>
      <c r="D472" s="30">
        <f>IFERROR(IF(AND(ISNUMBER('SW Rev'!H63),ISNUMBER('SW Rev'!G63)),'SW Rev'!H63-'SW Rev'!G63,""),"")</f>
        <v/>
      </c>
      <c r="E472" s="30">
        <f>IFERROR(IF(AND(ISNUMBER('SW Rev'!I63),ISNUMBER('SW Rev'!H63)),'SW Rev'!I63-'SW Rev'!H63,""),"")</f>
        <v/>
      </c>
      <c r="F472" s="30">
        <f>IFERROR(IF(AND(ISNUMBER('SW Rev'!J63),ISNUMBER('SW Rev'!I63)),'SW Rev'!J63-'SW Rev'!I63,""),"")</f>
        <v/>
      </c>
      <c r="G472" s="30">
        <f>IFERROR(IF(AND(ISNUMBER('SW Rev'!K63),ISNUMBER('SW Rev'!J63)),'SW Rev'!K63-'SW Rev'!J63,""),"")</f>
        <v/>
      </c>
      <c r="H472" s="30">
        <f>IFERROR(IF(AND(ISNUMBER('SW Rev'!L63),ISNUMBER('SW Rev'!K63)),'SW Rev'!L63-'SW Rev'!K63,""),"")</f>
        <v/>
      </c>
      <c r="I472" s="30">
        <f>IFERROR(IF(AND(ISNUMBER('SW Rev'!M63),ISNUMBER('SW Rev'!L63)),'SW Rev'!M63-'SW Rev'!L63,""),"")</f>
        <v/>
      </c>
      <c r="J472" s="30">
        <f>IFERROR(IF(AND(ISNUMBER('SW Rev'!N63),ISNUMBER('SW Rev'!M63)),'SW Rev'!N63-'SW Rev'!M63,""),"")</f>
        <v/>
      </c>
      <c r="K472" s="30">
        <f>IFERROR(IF(AND(ISNUMBER('SW Rev'!O63),ISNUMBER('SW Rev'!N63)),'SW Rev'!O63-'SW Rev'!N63,""),"")</f>
        <v/>
      </c>
      <c r="L472" s="30">
        <f>IFERROR(IF(AND(ISNUMBER('SW Rev'!P63),ISNUMBER('SW Rev'!O63)),'SW Rev'!P63-'SW Rev'!O63,""),"")</f>
        <v/>
      </c>
      <c r="M472" s="31">
        <f>IFERROR(IF(AND(ISNUMBER('SW Rev'!Q63),ISNUMBER('SW Rev'!P63)),'SW Rev'!Q63-'SW Rev'!P63,""),"")</f>
        <v/>
      </c>
      <c r="N472" s="31">
        <f>IFERROR(IF(AND(ISNUMBER('SW Rev'!R63),ISNUMBER('SW Rev'!Q63)),'SW Rev'!R63-'SW Rev'!Q63,""),"")</f>
        <v/>
      </c>
    </row>
    <row r="473">
      <c r="A473" s="19">
        <f>'SW Rev'!$A64</f>
        <v/>
      </c>
      <c r="B473" s="19">
        <f>'SW Rev'!$B64</f>
        <v/>
      </c>
      <c r="C473" s="30">
        <f>IFERROR(IF(AND(ISNUMBER('SW Rev'!G64),ISNUMBER('SW Rev'!F64)),'SW Rev'!G64-'SW Rev'!F64,""),"")</f>
        <v/>
      </c>
      <c r="D473" s="30">
        <f>IFERROR(IF(AND(ISNUMBER('SW Rev'!H64),ISNUMBER('SW Rev'!G64)),'SW Rev'!H64-'SW Rev'!G64,""),"")</f>
        <v/>
      </c>
      <c r="E473" s="30">
        <f>IFERROR(IF(AND(ISNUMBER('SW Rev'!I64),ISNUMBER('SW Rev'!H64)),'SW Rev'!I64-'SW Rev'!H64,""),"")</f>
        <v/>
      </c>
      <c r="F473" s="30">
        <f>IFERROR(IF(AND(ISNUMBER('SW Rev'!J64),ISNUMBER('SW Rev'!I64)),'SW Rev'!J64-'SW Rev'!I64,""),"")</f>
        <v/>
      </c>
      <c r="G473" s="30">
        <f>IFERROR(IF(AND(ISNUMBER('SW Rev'!K64),ISNUMBER('SW Rev'!J64)),'SW Rev'!K64-'SW Rev'!J64,""),"")</f>
        <v/>
      </c>
      <c r="H473" s="30">
        <f>IFERROR(IF(AND(ISNUMBER('SW Rev'!L64),ISNUMBER('SW Rev'!K64)),'SW Rev'!L64-'SW Rev'!K64,""),"")</f>
        <v/>
      </c>
      <c r="I473" s="30">
        <f>IFERROR(IF(AND(ISNUMBER('SW Rev'!M64),ISNUMBER('SW Rev'!L64)),'SW Rev'!M64-'SW Rev'!L64,""),"")</f>
        <v/>
      </c>
      <c r="J473" s="30">
        <f>IFERROR(IF(AND(ISNUMBER('SW Rev'!N64),ISNUMBER('SW Rev'!M64)),'SW Rev'!N64-'SW Rev'!M64,""),"")</f>
        <v/>
      </c>
      <c r="K473" s="30">
        <f>IFERROR(IF(AND(ISNUMBER('SW Rev'!O64),ISNUMBER('SW Rev'!N64)),'SW Rev'!O64-'SW Rev'!N64,""),"")</f>
        <v/>
      </c>
      <c r="L473" s="30">
        <f>IFERROR(IF(AND(ISNUMBER('SW Rev'!P64),ISNUMBER('SW Rev'!O64)),'SW Rev'!P64-'SW Rev'!O64,""),"")</f>
        <v/>
      </c>
      <c r="M473" s="31">
        <f>IFERROR(IF(AND(ISNUMBER('SW Rev'!Q64),ISNUMBER('SW Rev'!P64)),'SW Rev'!Q64-'SW Rev'!P64,""),"")</f>
        <v/>
      </c>
      <c r="N473" s="31">
        <f>IFERROR(IF(AND(ISNUMBER('SW Rev'!R64),ISNUMBER('SW Rev'!Q64)),'SW Rev'!R64-'SW Rev'!Q64,""),"")</f>
        <v/>
      </c>
    </row>
    <row r="474">
      <c r="A474" s="19">
        <f>'SW Rev'!$A65</f>
        <v/>
      </c>
      <c r="B474" s="19">
        <f>'SW Rev'!$B65</f>
        <v/>
      </c>
      <c r="C474" s="30">
        <f>IFERROR(IF(AND(ISNUMBER('SW Rev'!G65),ISNUMBER('SW Rev'!F65)),'SW Rev'!G65-'SW Rev'!F65,""),"")</f>
        <v/>
      </c>
      <c r="D474" s="30">
        <f>IFERROR(IF(AND(ISNUMBER('SW Rev'!H65),ISNUMBER('SW Rev'!G65)),'SW Rev'!H65-'SW Rev'!G65,""),"")</f>
        <v/>
      </c>
      <c r="E474" s="30">
        <f>IFERROR(IF(AND(ISNUMBER('SW Rev'!I65),ISNUMBER('SW Rev'!H65)),'SW Rev'!I65-'SW Rev'!H65,""),"")</f>
        <v/>
      </c>
      <c r="F474" s="30">
        <f>IFERROR(IF(AND(ISNUMBER('SW Rev'!J65),ISNUMBER('SW Rev'!I65)),'SW Rev'!J65-'SW Rev'!I65,""),"")</f>
        <v/>
      </c>
      <c r="G474" s="30">
        <f>IFERROR(IF(AND(ISNUMBER('SW Rev'!K65),ISNUMBER('SW Rev'!J65)),'SW Rev'!K65-'SW Rev'!J65,""),"")</f>
        <v/>
      </c>
      <c r="H474" s="30">
        <f>IFERROR(IF(AND(ISNUMBER('SW Rev'!L65),ISNUMBER('SW Rev'!K65)),'SW Rev'!L65-'SW Rev'!K65,""),"")</f>
        <v/>
      </c>
      <c r="I474" s="30">
        <f>IFERROR(IF(AND(ISNUMBER('SW Rev'!M65),ISNUMBER('SW Rev'!L65)),'SW Rev'!M65-'SW Rev'!L65,""),"")</f>
        <v/>
      </c>
      <c r="J474" s="30">
        <f>IFERROR(IF(AND(ISNUMBER('SW Rev'!N65),ISNUMBER('SW Rev'!M65)),'SW Rev'!N65-'SW Rev'!M65,""),"")</f>
        <v/>
      </c>
      <c r="K474" s="30">
        <f>IFERROR(IF(AND(ISNUMBER('SW Rev'!O65),ISNUMBER('SW Rev'!N65)),'SW Rev'!O65-'SW Rev'!N65,""),"")</f>
        <v/>
      </c>
      <c r="L474" s="30">
        <f>IFERROR(IF(AND(ISNUMBER('SW Rev'!P65),ISNUMBER('SW Rev'!O65)),'SW Rev'!P65-'SW Rev'!O65,""),"")</f>
        <v/>
      </c>
      <c r="M474" s="31">
        <f>IFERROR(IF(AND(ISNUMBER('SW Rev'!Q65),ISNUMBER('SW Rev'!P65)),'SW Rev'!Q65-'SW Rev'!P65,""),"")</f>
        <v/>
      </c>
      <c r="N474" s="31">
        <f>IFERROR(IF(AND(ISNUMBER('SW Rev'!R65),ISNUMBER('SW Rev'!Q65)),'SW Rev'!R65-'SW Rev'!Q65,""),"")</f>
        <v/>
      </c>
    </row>
    <row r="475">
      <c r="A475" s="19">
        <f>'SW Rev'!$A66</f>
        <v/>
      </c>
      <c r="B475" s="19">
        <f>'SW Rev'!$B66</f>
        <v/>
      </c>
      <c r="C475" s="30">
        <f>IFERROR(IF(AND(ISNUMBER('SW Rev'!G66),ISNUMBER('SW Rev'!F66)),'SW Rev'!G66-'SW Rev'!F66,""),"")</f>
        <v/>
      </c>
      <c r="D475" s="30">
        <f>IFERROR(IF(AND(ISNUMBER('SW Rev'!H66),ISNUMBER('SW Rev'!G66)),'SW Rev'!H66-'SW Rev'!G66,""),"")</f>
        <v/>
      </c>
      <c r="E475" s="30">
        <f>IFERROR(IF(AND(ISNUMBER('SW Rev'!I66),ISNUMBER('SW Rev'!H66)),'SW Rev'!I66-'SW Rev'!H66,""),"")</f>
        <v/>
      </c>
      <c r="F475" s="30">
        <f>IFERROR(IF(AND(ISNUMBER('SW Rev'!J66),ISNUMBER('SW Rev'!I66)),'SW Rev'!J66-'SW Rev'!I66,""),"")</f>
        <v/>
      </c>
      <c r="G475" s="30">
        <f>IFERROR(IF(AND(ISNUMBER('SW Rev'!K66),ISNUMBER('SW Rev'!J66)),'SW Rev'!K66-'SW Rev'!J66,""),"")</f>
        <v/>
      </c>
      <c r="H475" s="30">
        <f>IFERROR(IF(AND(ISNUMBER('SW Rev'!L66),ISNUMBER('SW Rev'!K66)),'SW Rev'!L66-'SW Rev'!K66,""),"")</f>
        <v/>
      </c>
      <c r="I475" s="30">
        <f>IFERROR(IF(AND(ISNUMBER('SW Rev'!M66),ISNUMBER('SW Rev'!L66)),'SW Rev'!M66-'SW Rev'!L66,""),"")</f>
        <v/>
      </c>
      <c r="J475" s="30">
        <f>IFERROR(IF(AND(ISNUMBER('SW Rev'!N66),ISNUMBER('SW Rev'!M66)),'SW Rev'!N66-'SW Rev'!M66,""),"")</f>
        <v/>
      </c>
      <c r="K475" s="30">
        <f>IFERROR(IF(AND(ISNUMBER('SW Rev'!O66),ISNUMBER('SW Rev'!N66)),'SW Rev'!O66-'SW Rev'!N66,""),"")</f>
        <v/>
      </c>
      <c r="L475" s="30">
        <f>IFERROR(IF(AND(ISNUMBER('SW Rev'!P66),ISNUMBER('SW Rev'!O66)),'SW Rev'!P66-'SW Rev'!O66,""),"")</f>
        <v/>
      </c>
      <c r="M475" s="31">
        <f>IFERROR(IF(AND(ISNUMBER('SW Rev'!Q66),ISNUMBER('SW Rev'!P66)),'SW Rev'!Q66-'SW Rev'!P66,""),"")</f>
        <v/>
      </c>
      <c r="N475" s="31">
        <f>IFERROR(IF(AND(ISNUMBER('SW Rev'!R66),ISNUMBER('SW Rev'!Q66)),'SW Rev'!R66-'SW Rev'!Q66,""),"")</f>
        <v/>
      </c>
    </row>
    <row r="476">
      <c r="A476" s="19">
        <f>'SW Rev'!$A67</f>
        <v/>
      </c>
      <c r="B476" s="19">
        <f>'SW Rev'!$B67</f>
        <v/>
      </c>
      <c r="C476" s="30">
        <f>IFERROR(IF(AND(ISNUMBER('SW Rev'!G67),ISNUMBER('SW Rev'!F67)),'SW Rev'!G67-'SW Rev'!F67,""),"")</f>
        <v/>
      </c>
      <c r="D476" s="30">
        <f>IFERROR(IF(AND(ISNUMBER('SW Rev'!H67),ISNUMBER('SW Rev'!G67)),'SW Rev'!H67-'SW Rev'!G67,""),"")</f>
        <v/>
      </c>
      <c r="E476" s="30">
        <f>IFERROR(IF(AND(ISNUMBER('SW Rev'!I67),ISNUMBER('SW Rev'!H67)),'SW Rev'!I67-'SW Rev'!H67,""),"")</f>
        <v/>
      </c>
      <c r="F476" s="30">
        <f>IFERROR(IF(AND(ISNUMBER('SW Rev'!J67),ISNUMBER('SW Rev'!I67)),'SW Rev'!J67-'SW Rev'!I67,""),"")</f>
        <v/>
      </c>
      <c r="G476" s="30">
        <f>IFERROR(IF(AND(ISNUMBER('SW Rev'!K67),ISNUMBER('SW Rev'!J67)),'SW Rev'!K67-'SW Rev'!J67,""),"")</f>
        <v/>
      </c>
      <c r="H476" s="30">
        <f>IFERROR(IF(AND(ISNUMBER('SW Rev'!L67),ISNUMBER('SW Rev'!K67)),'SW Rev'!L67-'SW Rev'!K67,""),"")</f>
        <v/>
      </c>
      <c r="I476" s="30">
        <f>IFERROR(IF(AND(ISNUMBER('SW Rev'!M67),ISNUMBER('SW Rev'!L67)),'SW Rev'!M67-'SW Rev'!L67,""),"")</f>
        <v/>
      </c>
      <c r="J476" s="30">
        <f>IFERROR(IF(AND(ISNUMBER('SW Rev'!N67),ISNUMBER('SW Rev'!M67)),'SW Rev'!N67-'SW Rev'!M67,""),"")</f>
        <v/>
      </c>
      <c r="K476" s="30">
        <f>IFERROR(IF(AND(ISNUMBER('SW Rev'!O67),ISNUMBER('SW Rev'!N67)),'SW Rev'!O67-'SW Rev'!N67,""),"")</f>
        <v/>
      </c>
      <c r="L476" s="30">
        <f>IFERROR(IF(AND(ISNUMBER('SW Rev'!P67),ISNUMBER('SW Rev'!O67)),'SW Rev'!P67-'SW Rev'!O67,""),"")</f>
        <v/>
      </c>
      <c r="M476" s="31">
        <f>IFERROR(IF(AND(ISNUMBER('SW Rev'!Q67),ISNUMBER('SW Rev'!P67)),'SW Rev'!Q67-'SW Rev'!P67,""),"")</f>
        <v/>
      </c>
      <c r="N476" s="31">
        <f>IFERROR(IF(AND(ISNUMBER('SW Rev'!R67),ISNUMBER('SW Rev'!Q67)),'SW Rev'!R67-'SW Rev'!Q67,""),"")</f>
        <v/>
      </c>
    </row>
    <row r="477">
      <c r="A477" s="19">
        <f>'SW Rev'!$A68</f>
        <v/>
      </c>
      <c r="B477" s="19">
        <f>'SW Rev'!$B68</f>
        <v/>
      </c>
      <c r="C477" s="30">
        <f>IFERROR(IF(AND(ISNUMBER('SW Rev'!G68),ISNUMBER('SW Rev'!F68)),'SW Rev'!G68-'SW Rev'!F68,""),"")</f>
        <v/>
      </c>
      <c r="D477" s="30">
        <f>IFERROR(IF(AND(ISNUMBER('SW Rev'!H68),ISNUMBER('SW Rev'!G68)),'SW Rev'!H68-'SW Rev'!G68,""),"")</f>
        <v/>
      </c>
      <c r="E477" s="30">
        <f>IFERROR(IF(AND(ISNUMBER('SW Rev'!I68),ISNUMBER('SW Rev'!H68)),'SW Rev'!I68-'SW Rev'!H68,""),"")</f>
        <v/>
      </c>
      <c r="F477" s="30">
        <f>IFERROR(IF(AND(ISNUMBER('SW Rev'!J68),ISNUMBER('SW Rev'!I68)),'SW Rev'!J68-'SW Rev'!I68,""),"")</f>
        <v/>
      </c>
      <c r="G477" s="30">
        <f>IFERROR(IF(AND(ISNUMBER('SW Rev'!K68),ISNUMBER('SW Rev'!J68)),'SW Rev'!K68-'SW Rev'!J68,""),"")</f>
        <v/>
      </c>
      <c r="H477" s="30">
        <f>IFERROR(IF(AND(ISNUMBER('SW Rev'!L68),ISNUMBER('SW Rev'!K68)),'SW Rev'!L68-'SW Rev'!K68,""),"")</f>
        <v/>
      </c>
      <c r="I477" s="30">
        <f>IFERROR(IF(AND(ISNUMBER('SW Rev'!M68),ISNUMBER('SW Rev'!L68)),'SW Rev'!M68-'SW Rev'!L68,""),"")</f>
        <v/>
      </c>
      <c r="J477" s="30">
        <f>IFERROR(IF(AND(ISNUMBER('SW Rev'!N68),ISNUMBER('SW Rev'!M68)),'SW Rev'!N68-'SW Rev'!M68,""),"")</f>
        <v/>
      </c>
      <c r="K477" s="30">
        <f>IFERROR(IF(AND(ISNUMBER('SW Rev'!O68),ISNUMBER('SW Rev'!N68)),'SW Rev'!O68-'SW Rev'!N68,""),"")</f>
        <v/>
      </c>
      <c r="L477" s="30">
        <f>IFERROR(IF(AND(ISNUMBER('SW Rev'!P68),ISNUMBER('SW Rev'!O68)),'SW Rev'!P68-'SW Rev'!O68,""),"")</f>
        <v/>
      </c>
      <c r="M477" s="31">
        <f>IFERROR(IF(AND(ISNUMBER('SW Rev'!Q68),ISNUMBER('SW Rev'!P68)),'SW Rev'!Q68-'SW Rev'!P68,""),"")</f>
        <v/>
      </c>
      <c r="N477" s="31">
        <f>IFERROR(IF(AND(ISNUMBER('SW Rev'!R68),ISNUMBER('SW Rev'!Q68)),'SW Rev'!R68-'SW Rev'!Q68,""),"")</f>
        <v/>
      </c>
    </row>
    <row r="478">
      <c r="A478" s="19">
        <f>'SW Rev'!$A69</f>
        <v/>
      </c>
      <c r="B478" s="19">
        <f>'SW Rev'!$B69</f>
        <v/>
      </c>
      <c r="C478" s="30">
        <f>IFERROR(IF(AND(ISNUMBER('SW Rev'!G69),ISNUMBER('SW Rev'!F69)),'SW Rev'!G69-'SW Rev'!F69,""),"")</f>
        <v/>
      </c>
      <c r="D478" s="30">
        <f>IFERROR(IF(AND(ISNUMBER('SW Rev'!H69),ISNUMBER('SW Rev'!G69)),'SW Rev'!H69-'SW Rev'!G69,""),"")</f>
        <v/>
      </c>
      <c r="E478" s="30">
        <f>IFERROR(IF(AND(ISNUMBER('SW Rev'!I69),ISNUMBER('SW Rev'!H69)),'SW Rev'!I69-'SW Rev'!H69,""),"")</f>
        <v/>
      </c>
      <c r="F478" s="30">
        <f>IFERROR(IF(AND(ISNUMBER('SW Rev'!J69),ISNUMBER('SW Rev'!I69)),'SW Rev'!J69-'SW Rev'!I69,""),"")</f>
        <v/>
      </c>
      <c r="G478" s="30">
        <f>IFERROR(IF(AND(ISNUMBER('SW Rev'!K69),ISNUMBER('SW Rev'!J69)),'SW Rev'!K69-'SW Rev'!J69,""),"")</f>
        <v/>
      </c>
      <c r="H478" s="30">
        <f>IFERROR(IF(AND(ISNUMBER('SW Rev'!L69),ISNUMBER('SW Rev'!K69)),'SW Rev'!L69-'SW Rev'!K69,""),"")</f>
        <v/>
      </c>
      <c r="I478" s="30">
        <f>IFERROR(IF(AND(ISNUMBER('SW Rev'!M69),ISNUMBER('SW Rev'!L69)),'SW Rev'!M69-'SW Rev'!L69,""),"")</f>
        <v/>
      </c>
      <c r="J478" s="30">
        <f>IFERROR(IF(AND(ISNUMBER('SW Rev'!N69),ISNUMBER('SW Rev'!M69)),'SW Rev'!N69-'SW Rev'!M69,""),"")</f>
        <v/>
      </c>
      <c r="K478" s="30">
        <f>IFERROR(IF(AND(ISNUMBER('SW Rev'!O69),ISNUMBER('SW Rev'!N69)),'SW Rev'!O69-'SW Rev'!N69,""),"")</f>
        <v/>
      </c>
      <c r="L478" s="30">
        <f>IFERROR(IF(AND(ISNUMBER('SW Rev'!P69),ISNUMBER('SW Rev'!O69)),'SW Rev'!P69-'SW Rev'!O69,""),"")</f>
        <v/>
      </c>
      <c r="M478" s="31">
        <f>IFERROR(IF(AND(ISNUMBER('SW Rev'!Q69),ISNUMBER('SW Rev'!P69)),'SW Rev'!Q69-'SW Rev'!P69,""),"")</f>
        <v/>
      </c>
      <c r="N478" s="31">
        <f>IFERROR(IF(AND(ISNUMBER('SW Rev'!R69),ISNUMBER('SW Rev'!Q69)),'SW Rev'!R69-'SW Rev'!Q69,""),"")</f>
        <v/>
      </c>
    </row>
    <row r="479">
      <c r="A479" s="19">
        <f>'SW Rev'!$A70</f>
        <v/>
      </c>
      <c r="B479" s="19">
        <f>'SW Rev'!$B70</f>
        <v/>
      </c>
      <c r="C479" s="30">
        <f>IFERROR(IF(AND(ISNUMBER('SW Rev'!G70),ISNUMBER('SW Rev'!F70)),'SW Rev'!G70-'SW Rev'!F70,""),"")</f>
        <v/>
      </c>
      <c r="D479" s="30">
        <f>IFERROR(IF(AND(ISNUMBER('SW Rev'!H70),ISNUMBER('SW Rev'!G70)),'SW Rev'!H70-'SW Rev'!G70,""),"")</f>
        <v/>
      </c>
      <c r="E479" s="30">
        <f>IFERROR(IF(AND(ISNUMBER('SW Rev'!I70),ISNUMBER('SW Rev'!H70)),'SW Rev'!I70-'SW Rev'!H70,""),"")</f>
        <v/>
      </c>
      <c r="F479" s="30">
        <f>IFERROR(IF(AND(ISNUMBER('SW Rev'!J70),ISNUMBER('SW Rev'!I70)),'SW Rev'!J70-'SW Rev'!I70,""),"")</f>
        <v/>
      </c>
      <c r="G479" s="30">
        <f>IFERROR(IF(AND(ISNUMBER('SW Rev'!K70),ISNUMBER('SW Rev'!J70)),'SW Rev'!K70-'SW Rev'!J70,""),"")</f>
        <v/>
      </c>
      <c r="H479" s="30">
        <f>IFERROR(IF(AND(ISNUMBER('SW Rev'!L70),ISNUMBER('SW Rev'!K70)),'SW Rev'!L70-'SW Rev'!K70,""),"")</f>
        <v/>
      </c>
      <c r="I479" s="30">
        <f>IFERROR(IF(AND(ISNUMBER('SW Rev'!M70),ISNUMBER('SW Rev'!L70)),'SW Rev'!M70-'SW Rev'!L70,""),"")</f>
        <v/>
      </c>
      <c r="J479" s="30">
        <f>IFERROR(IF(AND(ISNUMBER('SW Rev'!N70),ISNUMBER('SW Rev'!M70)),'SW Rev'!N70-'SW Rev'!M70,""),"")</f>
        <v/>
      </c>
      <c r="K479" s="30">
        <f>IFERROR(IF(AND(ISNUMBER('SW Rev'!O70),ISNUMBER('SW Rev'!N70)),'SW Rev'!O70-'SW Rev'!N70,""),"")</f>
        <v/>
      </c>
      <c r="L479" s="30">
        <f>IFERROR(IF(AND(ISNUMBER('SW Rev'!P70),ISNUMBER('SW Rev'!O70)),'SW Rev'!P70-'SW Rev'!O70,""),"")</f>
        <v/>
      </c>
      <c r="M479" s="31">
        <f>IFERROR(IF(AND(ISNUMBER('SW Rev'!Q70),ISNUMBER('SW Rev'!P70)),'SW Rev'!Q70-'SW Rev'!P70,""),"")</f>
        <v/>
      </c>
      <c r="N479" s="31">
        <f>IFERROR(IF(AND(ISNUMBER('SW Rev'!R70),ISNUMBER('SW Rev'!Q70)),'SW Rev'!R70-'SW Rev'!Q70,""),"")</f>
        <v/>
      </c>
    </row>
    <row r="480">
      <c r="A480" s="19">
        <f>'SW Rev'!$A71</f>
        <v/>
      </c>
      <c r="B480" s="19">
        <f>'SW Rev'!$B71</f>
        <v/>
      </c>
      <c r="C480" s="30">
        <f>IFERROR(IF(AND(ISNUMBER('SW Rev'!G71),ISNUMBER('SW Rev'!F71)),'SW Rev'!G71-'SW Rev'!F71,""),"")</f>
        <v/>
      </c>
      <c r="D480" s="30">
        <f>IFERROR(IF(AND(ISNUMBER('SW Rev'!H71),ISNUMBER('SW Rev'!G71)),'SW Rev'!H71-'SW Rev'!G71,""),"")</f>
        <v/>
      </c>
      <c r="E480" s="30">
        <f>IFERROR(IF(AND(ISNUMBER('SW Rev'!I71),ISNUMBER('SW Rev'!H71)),'SW Rev'!I71-'SW Rev'!H71,""),"")</f>
        <v/>
      </c>
      <c r="F480" s="30">
        <f>IFERROR(IF(AND(ISNUMBER('SW Rev'!J71),ISNUMBER('SW Rev'!I71)),'SW Rev'!J71-'SW Rev'!I71,""),"")</f>
        <v/>
      </c>
      <c r="G480" s="30">
        <f>IFERROR(IF(AND(ISNUMBER('SW Rev'!K71),ISNUMBER('SW Rev'!J71)),'SW Rev'!K71-'SW Rev'!J71,""),"")</f>
        <v/>
      </c>
      <c r="H480" s="30">
        <f>IFERROR(IF(AND(ISNUMBER('SW Rev'!L71),ISNUMBER('SW Rev'!K71)),'SW Rev'!L71-'SW Rev'!K71,""),"")</f>
        <v/>
      </c>
      <c r="I480" s="30">
        <f>IFERROR(IF(AND(ISNUMBER('SW Rev'!M71),ISNUMBER('SW Rev'!L71)),'SW Rev'!M71-'SW Rev'!L71,""),"")</f>
        <v/>
      </c>
      <c r="J480" s="30">
        <f>IFERROR(IF(AND(ISNUMBER('SW Rev'!N71),ISNUMBER('SW Rev'!M71)),'SW Rev'!N71-'SW Rev'!M71,""),"")</f>
        <v/>
      </c>
      <c r="K480" s="30">
        <f>IFERROR(IF(AND(ISNUMBER('SW Rev'!O71),ISNUMBER('SW Rev'!N71)),'SW Rev'!O71-'SW Rev'!N71,""),"")</f>
        <v/>
      </c>
      <c r="L480" s="30">
        <f>IFERROR(IF(AND(ISNUMBER('SW Rev'!P71),ISNUMBER('SW Rev'!O71)),'SW Rev'!P71-'SW Rev'!O71,""),"")</f>
        <v/>
      </c>
      <c r="M480" s="31">
        <f>IFERROR(IF(AND(ISNUMBER('SW Rev'!Q71),ISNUMBER('SW Rev'!P71)),'SW Rev'!Q71-'SW Rev'!P71,""),"")</f>
        <v/>
      </c>
      <c r="N480" s="31">
        <f>IFERROR(IF(AND(ISNUMBER('SW Rev'!R71),ISNUMBER('SW Rev'!Q71)),'SW Rev'!R71-'SW Rev'!Q71,""),"")</f>
        <v/>
      </c>
    </row>
    <row r="481">
      <c r="A481" s="19">
        <f>'SW Rev'!$A72</f>
        <v/>
      </c>
      <c r="B481" s="19">
        <f>'SW Rev'!$B72</f>
        <v/>
      </c>
      <c r="C481" s="30">
        <f>IFERROR(IF(AND(ISNUMBER('SW Rev'!G72),ISNUMBER('SW Rev'!F72)),'SW Rev'!G72-'SW Rev'!F72,""),"")</f>
        <v/>
      </c>
      <c r="D481" s="30">
        <f>IFERROR(IF(AND(ISNUMBER('SW Rev'!H72),ISNUMBER('SW Rev'!G72)),'SW Rev'!H72-'SW Rev'!G72,""),"")</f>
        <v/>
      </c>
      <c r="E481" s="30">
        <f>IFERROR(IF(AND(ISNUMBER('SW Rev'!I72),ISNUMBER('SW Rev'!H72)),'SW Rev'!I72-'SW Rev'!H72,""),"")</f>
        <v/>
      </c>
      <c r="F481" s="30">
        <f>IFERROR(IF(AND(ISNUMBER('SW Rev'!J72),ISNUMBER('SW Rev'!I72)),'SW Rev'!J72-'SW Rev'!I72,""),"")</f>
        <v/>
      </c>
      <c r="G481" s="30">
        <f>IFERROR(IF(AND(ISNUMBER('SW Rev'!K72),ISNUMBER('SW Rev'!J72)),'SW Rev'!K72-'SW Rev'!J72,""),"")</f>
        <v/>
      </c>
      <c r="H481" s="30">
        <f>IFERROR(IF(AND(ISNUMBER('SW Rev'!L72),ISNUMBER('SW Rev'!K72)),'SW Rev'!L72-'SW Rev'!K72,""),"")</f>
        <v/>
      </c>
      <c r="I481" s="30">
        <f>IFERROR(IF(AND(ISNUMBER('SW Rev'!M72),ISNUMBER('SW Rev'!L72)),'SW Rev'!M72-'SW Rev'!L72,""),"")</f>
        <v/>
      </c>
      <c r="J481" s="30">
        <f>IFERROR(IF(AND(ISNUMBER('SW Rev'!N72),ISNUMBER('SW Rev'!M72)),'SW Rev'!N72-'SW Rev'!M72,""),"")</f>
        <v/>
      </c>
      <c r="K481" s="30">
        <f>IFERROR(IF(AND(ISNUMBER('SW Rev'!O72),ISNUMBER('SW Rev'!N72)),'SW Rev'!O72-'SW Rev'!N72,""),"")</f>
        <v/>
      </c>
      <c r="L481" s="30">
        <f>IFERROR(IF(AND(ISNUMBER('SW Rev'!P72),ISNUMBER('SW Rev'!O72)),'SW Rev'!P72-'SW Rev'!O72,""),"")</f>
        <v/>
      </c>
      <c r="M481" s="31">
        <f>IFERROR(IF(AND(ISNUMBER('SW Rev'!Q72),ISNUMBER('SW Rev'!P72)),'SW Rev'!Q72-'SW Rev'!P72,""),"")</f>
        <v/>
      </c>
      <c r="N481" s="31">
        <f>IFERROR(IF(AND(ISNUMBER('SW Rev'!R72),ISNUMBER('SW Rev'!Q72)),'SW Rev'!R72-'SW Rev'!Q72,""),"")</f>
        <v/>
      </c>
    </row>
    <row r="482">
      <c r="A482" s="19">
        <f>'SW Rev'!$A73</f>
        <v/>
      </c>
      <c r="B482" s="19">
        <f>'SW Rev'!$B73</f>
        <v/>
      </c>
      <c r="C482" s="30">
        <f>IFERROR(IF(AND(ISNUMBER('SW Rev'!G73),ISNUMBER('SW Rev'!F73)),'SW Rev'!G73-'SW Rev'!F73,""),"")</f>
        <v/>
      </c>
      <c r="D482" s="30">
        <f>IFERROR(IF(AND(ISNUMBER('SW Rev'!H73),ISNUMBER('SW Rev'!G73)),'SW Rev'!H73-'SW Rev'!G73,""),"")</f>
        <v/>
      </c>
      <c r="E482" s="30">
        <f>IFERROR(IF(AND(ISNUMBER('SW Rev'!I73),ISNUMBER('SW Rev'!H73)),'SW Rev'!I73-'SW Rev'!H73,""),"")</f>
        <v/>
      </c>
      <c r="F482" s="30">
        <f>IFERROR(IF(AND(ISNUMBER('SW Rev'!J73),ISNUMBER('SW Rev'!I73)),'SW Rev'!J73-'SW Rev'!I73,""),"")</f>
        <v/>
      </c>
      <c r="G482" s="30">
        <f>IFERROR(IF(AND(ISNUMBER('SW Rev'!K73),ISNUMBER('SW Rev'!J73)),'SW Rev'!K73-'SW Rev'!J73,""),"")</f>
        <v/>
      </c>
      <c r="H482" s="30">
        <f>IFERROR(IF(AND(ISNUMBER('SW Rev'!L73),ISNUMBER('SW Rev'!K73)),'SW Rev'!L73-'SW Rev'!K73,""),"")</f>
        <v/>
      </c>
      <c r="I482" s="30">
        <f>IFERROR(IF(AND(ISNUMBER('SW Rev'!M73),ISNUMBER('SW Rev'!L73)),'SW Rev'!M73-'SW Rev'!L73,""),"")</f>
        <v/>
      </c>
      <c r="J482" s="30">
        <f>IFERROR(IF(AND(ISNUMBER('SW Rev'!N73),ISNUMBER('SW Rev'!M73)),'SW Rev'!N73-'SW Rev'!M73,""),"")</f>
        <v/>
      </c>
      <c r="K482" s="30">
        <f>IFERROR(IF(AND(ISNUMBER('SW Rev'!O73),ISNUMBER('SW Rev'!N73)),'SW Rev'!O73-'SW Rev'!N73,""),"")</f>
        <v/>
      </c>
      <c r="L482" s="30">
        <f>IFERROR(IF(AND(ISNUMBER('SW Rev'!P73),ISNUMBER('SW Rev'!O73)),'SW Rev'!P73-'SW Rev'!O73,""),"")</f>
        <v/>
      </c>
      <c r="M482" s="31">
        <f>IFERROR(IF(AND(ISNUMBER('SW Rev'!Q73),ISNUMBER('SW Rev'!P73)),'SW Rev'!Q73-'SW Rev'!P73,""),"")</f>
        <v/>
      </c>
      <c r="N482" s="31">
        <f>IFERROR(IF(AND(ISNUMBER('SW Rev'!R73),ISNUMBER('SW Rev'!Q73)),'SW Rev'!R73-'SW Rev'!Q73,""),"")</f>
        <v/>
      </c>
    </row>
    <row r="483">
      <c r="A483" s="19">
        <f>'SW Rev'!$A74</f>
        <v/>
      </c>
      <c r="B483" s="19">
        <f>'SW Rev'!$B74</f>
        <v/>
      </c>
      <c r="C483" s="30">
        <f>IFERROR(IF(AND(ISNUMBER('SW Rev'!G74),ISNUMBER('SW Rev'!F74)),'SW Rev'!G74-'SW Rev'!F74,""),"")</f>
        <v/>
      </c>
      <c r="D483" s="30">
        <f>IFERROR(IF(AND(ISNUMBER('SW Rev'!H74),ISNUMBER('SW Rev'!G74)),'SW Rev'!H74-'SW Rev'!G74,""),"")</f>
        <v/>
      </c>
      <c r="E483" s="30">
        <f>IFERROR(IF(AND(ISNUMBER('SW Rev'!I74),ISNUMBER('SW Rev'!H74)),'SW Rev'!I74-'SW Rev'!H74,""),"")</f>
        <v/>
      </c>
      <c r="F483" s="30">
        <f>IFERROR(IF(AND(ISNUMBER('SW Rev'!J74),ISNUMBER('SW Rev'!I74)),'SW Rev'!J74-'SW Rev'!I74,""),"")</f>
        <v/>
      </c>
      <c r="G483" s="30">
        <f>IFERROR(IF(AND(ISNUMBER('SW Rev'!K74),ISNUMBER('SW Rev'!J74)),'SW Rev'!K74-'SW Rev'!J74,""),"")</f>
        <v/>
      </c>
      <c r="H483" s="30">
        <f>IFERROR(IF(AND(ISNUMBER('SW Rev'!L74),ISNUMBER('SW Rev'!K74)),'SW Rev'!L74-'SW Rev'!K74,""),"")</f>
        <v/>
      </c>
      <c r="I483" s="30">
        <f>IFERROR(IF(AND(ISNUMBER('SW Rev'!M74),ISNUMBER('SW Rev'!L74)),'SW Rev'!M74-'SW Rev'!L74,""),"")</f>
        <v/>
      </c>
      <c r="J483" s="30">
        <f>IFERROR(IF(AND(ISNUMBER('SW Rev'!N74),ISNUMBER('SW Rev'!M74)),'SW Rev'!N74-'SW Rev'!M74,""),"")</f>
        <v/>
      </c>
      <c r="K483" s="30">
        <f>IFERROR(IF(AND(ISNUMBER('SW Rev'!O74),ISNUMBER('SW Rev'!N74)),'SW Rev'!O74-'SW Rev'!N74,""),"")</f>
        <v/>
      </c>
      <c r="L483" s="30">
        <f>IFERROR(IF(AND(ISNUMBER('SW Rev'!P74),ISNUMBER('SW Rev'!O74)),'SW Rev'!P74-'SW Rev'!O74,""),"")</f>
        <v/>
      </c>
      <c r="M483" s="31">
        <f>IFERROR(IF(AND(ISNUMBER('SW Rev'!Q74),ISNUMBER('SW Rev'!P74)),'SW Rev'!Q74-'SW Rev'!P74,""),"")</f>
        <v/>
      </c>
      <c r="N483" s="31">
        <f>IFERROR(IF(AND(ISNUMBER('SW Rev'!R74),ISNUMBER('SW Rev'!Q74)),'SW Rev'!R74-'SW Rev'!Q74,""),"")</f>
        <v/>
      </c>
    </row>
    <row r="484">
      <c r="A484" s="19">
        <f>'SW Rev'!$A75</f>
        <v/>
      </c>
      <c r="B484" s="19">
        <f>'SW Rev'!$B75</f>
        <v/>
      </c>
      <c r="C484" s="30">
        <f>IFERROR(IF(AND(ISNUMBER('SW Rev'!G75),ISNUMBER('SW Rev'!F75)),'SW Rev'!G75-'SW Rev'!F75,""),"")</f>
        <v/>
      </c>
      <c r="D484" s="30">
        <f>IFERROR(IF(AND(ISNUMBER('SW Rev'!H75),ISNUMBER('SW Rev'!G75)),'SW Rev'!H75-'SW Rev'!G75,""),"")</f>
        <v/>
      </c>
      <c r="E484" s="30">
        <f>IFERROR(IF(AND(ISNUMBER('SW Rev'!I75),ISNUMBER('SW Rev'!H75)),'SW Rev'!I75-'SW Rev'!H75,""),"")</f>
        <v/>
      </c>
      <c r="F484" s="30">
        <f>IFERROR(IF(AND(ISNUMBER('SW Rev'!J75),ISNUMBER('SW Rev'!I75)),'SW Rev'!J75-'SW Rev'!I75,""),"")</f>
        <v/>
      </c>
      <c r="G484" s="30">
        <f>IFERROR(IF(AND(ISNUMBER('SW Rev'!K75),ISNUMBER('SW Rev'!J75)),'SW Rev'!K75-'SW Rev'!J75,""),"")</f>
        <v/>
      </c>
      <c r="H484" s="30">
        <f>IFERROR(IF(AND(ISNUMBER('SW Rev'!L75),ISNUMBER('SW Rev'!K75)),'SW Rev'!L75-'SW Rev'!K75,""),"")</f>
        <v/>
      </c>
      <c r="I484" s="30">
        <f>IFERROR(IF(AND(ISNUMBER('SW Rev'!M75),ISNUMBER('SW Rev'!L75)),'SW Rev'!M75-'SW Rev'!L75,""),"")</f>
        <v/>
      </c>
      <c r="J484" s="30">
        <f>IFERROR(IF(AND(ISNUMBER('SW Rev'!N75),ISNUMBER('SW Rev'!M75)),'SW Rev'!N75-'SW Rev'!M75,""),"")</f>
        <v/>
      </c>
      <c r="K484" s="30">
        <f>IFERROR(IF(AND(ISNUMBER('SW Rev'!O75),ISNUMBER('SW Rev'!N75)),'SW Rev'!O75-'SW Rev'!N75,""),"")</f>
        <v/>
      </c>
      <c r="L484" s="30">
        <f>IFERROR(IF(AND(ISNUMBER('SW Rev'!P75),ISNUMBER('SW Rev'!O75)),'SW Rev'!P75-'SW Rev'!O75,""),"")</f>
        <v/>
      </c>
      <c r="M484" s="31">
        <f>IFERROR(IF(AND(ISNUMBER('SW Rev'!Q75),ISNUMBER('SW Rev'!P75)),'SW Rev'!Q75-'SW Rev'!P75,""),"")</f>
        <v/>
      </c>
      <c r="N484" s="31">
        <f>IFERROR(IF(AND(ISNUMBER('SW Rev'!R75),ISNUMBER('SW Rev'!Q75)),'SW Rev'!R75-'SW Rev'!Q75,""),"")</f>
        <v/>
      </c>
    </row>
    <row r="485">
      <c r="A485" s="19">
        <f>'SW Rev'!$A76</f>
        <v/>
      </c>
      <c r="B485" s="19">
        <f>'SW Rev'!$B76</f>
        <v/>
      </c>
      <c r="C485" s="30">
        <f>IFERROR(IF(AND(ISNUMBER('SW Rev'!G76),ISNUMBER('SW Rev'!F76)),'SW Rev'!G76-'SW Rev'!F76,""),"")</f>
        <v/>
      </c>
      <c r="D485" s="30">
        <f>IFERROR(IF(AND(ISNUMBER('SW Rev'!H76),ISNUMBER('SW Rev'!G76)),'SW Rev'!H76-'SW Rev'!G76,""),"")</f>
        <v/>
      </c>
      <c r="E485" s="30">
        <f>IFERROR(IF(AND(ISNUMBER('SW Rev'!I76),ISNUMBER('SW Rev'!H76)),'SW Rev'!I76-'SW Rev'!H76,""),"")</f>
        <v/>
      </c>
      <c r="F485" s="30">
        <f>IFERROR(IF(AND(ISNUMBER('SW Rev'!J76),ISNUMBER('SW Rev'!I76)),'SW Rev'!J76-'SW Rev'!I76,""),"")</f>
        <v/>
      </c>
      <c r="G485" s="30">
        <f>IFERROR(IF(AND(ISNUMBER('SW Rev'!K76),ISNUMBER('SW Rev'!J76)),'SW Rev'!K76-'SW Rev'!J76,""),"")</f>
        <v/>
      </c>
      <c r="H485" s="30">
        <f>IFERROR(IF(AND(ISNUMBER('SW Rev'!L76),ISNUMBER('SW Rev'!K76)),'SW Rev'!L76-'SW Rev'!K76,""),"")</f>
        <v/>
      </c>
      <c r="I485" s="30">
        <f>IFERROR(IF(AND(ISNUMBER('SW Rev'!M76),ISNUMBER('SW Rev'!L76)),'SW Rev'!M76-'SW Rev'!L76,""),"")</f>
        <v/>
      </c>
      <c r="J485" s="30">
        <f>IFERROR(IF(AND(ISNUMBER('SW Rev'!N76),ISNUMBER('SW Rev'!M76)),'SW Rev'!N76-'SW Rev'!M76,""),"")</f>
        <v/>
      </c>
      <c r="K485" s="30">
        <f>IFERROR(IF(AND(ISNUMBER('SW Rev'!O76),ISNUMBER('SW Rev'!N76)),'SW Rev'!O76-'SW Rev'!N76,""),"")</f>
        <v/>
      </c>
      <c r="L485" s="30">
        <f>IFERROR(IF(AND(ISNUMBER('SW Rev'!P76),ISNUMBER('SW Rev'!O76)),'SW Rev'!P76-'SW Rev'!O76,""),"")</f>
        <v/>
      </c>
      <c r="M485" s="31">
        <f>IFERROR(IF(AND(ISNUMBER('SW Rev'!Q76),ISNUMBER('SW Rev'!P76)),'SW Rev'!Q76-'SW Rev'!P76,""),"")</f>
        <v/>
      </c>
      <c r="N485" s="31">
        <f>IFERROR(IF(AND(ISNUMBER('SW Rev'!R76),ISNUMBER('SW Rev'!Q76)),'SW Rev'!R76-'SW Rev'!Q76,""),"")</f>
        <v/>
      </c>
    </row>
    <row r="486">
      <c r="A486" s="19">
        <f>'SW Rev'!$A77</f>
        <v/>
      </c>
      <c r="B486" s="19">
        <f>'SW Rev'!$B77</f>
        <v/>
      </c>
      <c r="C486" s="30">
        <f>IFERROR(IF(AND(ISNUMBER('SW Rev'!G77),ISNUMBER('SW Rev'!F77)),'SW Rev'!G77-'SW Rev'!F77,""),"")</f>
        <v/>
      </c>
      <c r="D486" s="30">
        <f>IFERROR(IF(AND(ISNUMBER('SW Rev'!H77),ISNUMBER('SW Rev'!G77)),'SW Rev'!H77-'SW Rev'!G77,""),"")</f>
        <v/>
      </c>
      <c r="E486" s="30">
        <f>IFERROR(IF(AND(ISNUMBER('SW Rev'!I77),ISNUMBER('SW Rev'!H77)),'SW Rev'!I77-'SW Rev'!H77,""),"")</f>
        <v/>
      </c>
      <c r="F486" s="30">
        <f>IFERROR(IF(AND(ISNUMBER('SW Rev'!J77),ISNUMBER('SW Rev'!I77)),'SW Rev'!J77-'SW Rev'!I77,""),"")</f>
        <v/>
      </c>
      <c r="G486" s="30">
        <f>IFERROR(IF(AND(ISNUMBER('SW Rev'!K77),ISNUMBER('SW Rev'!J77)),'SW Rev'!K77-'SW Rev'!J77,""),"")</f>
        <v/>
      </c>
      <c r="H486" s="30">
        <f>IFERROR(IF(AND(ISNUMBER('SW Rev'!L77),ISNUMBER('SW Rev'!K77)),'SW Rev'!L77-'SW Rev'!K77,""),"")</f>
        <v/>
      </c>
      <c r="I486" s="30">
        <f>IFERROR(IF(AND(ISNUMBER('SW Rev'!M77),ISNUMBER('SW Rev'!L77)),'SW Rev'!M77-'SW Rev'!L77,""),"")</f>
        <v/>
      </c>
      <c r="J486" s="30">
        <f>IFERROR(IF(AND(ISNUMBER('SW Rev'!N77),ISNUMBER('SW Rev'!M77)),'SW Rev'!N77-'SW Rev'!M77,""),"")</f>
        <v/>
      </c>
      <c r="K486" s="30">
        <f>IFERROR(IF(AND(ISNUMBER('SW Rev'!O77),ISNUMBER('SW Rev'!N77)),'SW Rev'!O77-'SW Rev'!N77,""),"")</f>
        <v/>
      </c>
      <c r="L486" s="30">
        <f>IFERROR(IF(AND(ISNUMBER('SW Rev'!P77),ISNUMBER('SW Rev'!O77)),'SW Rev'!P77-'SW Rev'!O77,""),"")</f>
        <v/>
      </c>
      <c r="M486" s="31">
        <f>IFERROR(IF(AND(ISNUMBER('SW Rev'!Q77),ISNUMBER('SW Rev'!P77)),'SW Rev'!Q77-'SW Rev'!P77,""),"")</f>
        <v/>
      </c>
      <c r="N486" s="31">
        <f>IFERROR(IF(AND(ISNUMBER('SW Rev'!R77),ISNUMBER('SW Rev'!Q77)),'SW Rev'!R77-'SW Rev'!Q77,""),"")</f>
        <v/>
      </c>
    </row>
    <row r="487">
      <c r="A487" s="19">
        <f>'SW Rev'!$A78</f>
        <v/>
      </c>
      <c r="B487" s="19">
        <f>'SW Rev'!$B78</f>
        <v/>
      </c>
      <c r="C487" s="30">
        <f>IFERROR(IF(AND(ISNUMBER('SW Rev'!G78),ISNUMBER('SW Rev'!F78)),'SW Rev'!G78-'SW Rev'!F78,""),"")</f>
        <v/>
      </c>
      <c r="D487" s="30">
        <f>IFERROR(IF(AND(ISNUMBER('SW Rev'!H78),ISNUMBER('SW Rev'!G78)),'SW Rev'!H78-'SW Rev'!G78,""),"")</f>
        <v/>
      </c>
      <c r="E487" s="30">
        <f>IFERROR(IF(AND(ISNUMBER('SW Rev'!I78),ISNUMBER('SW Rev'!H78)),'SW Rev'!I78-'SW Rev'!H78,""),"")</f>
        <v/>
      </c>
      <c r="F487" s="30">
        <f>IFERROR(IF(AND(ISNUMBER('SW Rev'!J78),ISNUMBER('SW Rev'!I78)),'SW Rev'!J78-'SW Rev'!I78,""),"")</f>
        <v/>
      </c>
      <c r="G487" s="30">
        <f>IFERROR(IF(AND(ISNUMBER('SW Rev'!K78),ISNUMBER('SW Rev'!J78)),'SW Rev'!K78-'SW Rev'!J78,""),"")</f>
        <v/>
      </c>
      <c r="H487" s="30">
        <f>IFERROR(IF(AND(ISNUMBER('SW Rev'!L78),ISNUMBER('SW Rev'!K78)),'SW Rev'!L78-'SW Rev'!K78,""),"")</f>
        <v/>
      </c>
      <c r="I487" s="30">
        <f>IFERROR(IF(AND(ISNUMBER('SW Rev'!M78),ISNUMBER('SW Rev'!L78)),'SW Rev'!M78-'SW Rev'!L78,""),"")</f>
        <v/>
      </c>
      <c r="J487" s="30">
        <f>IFERROR(IF(AND(ISNUMBER('SW Rev'!N78),ISNUMBER('SW Rev'!M78)),'SW Rev'!N78-'SW Rev'!M78,""),"")</f>
        <v/>
      </c>
      <c r="K487" s="30">
        <f>IFERROR(IF(AND(ISNUMBER('SW Rev'!O78),ISNUMBER('SW Rev'!N78)),'SW Rev'!O78-'SW Rev'!N78,""),"")</f>
        <v/>
      </c>
      <c r="L487" s="30">
        <f>IFERROR(IF(AND(ISNUMBER('SW Rev'!P78),ISNUMBER('SW Rev'!O78)),'SW Rev'!P78-'SW Rev'!O78,""),"")</f>
        <v/>
      </c>
      <c r="M487" s="31">
        <f>IFERROR(IF(AND(ISNUMBER('SW Rev'!Q78),ISNUMBER('SW Rev'!P78)),'SW Rev'!Q78-'SW Rev'!P78,""),"")</f>
        <v/>
      </c>
      <c r="N487" s="31">
        <f>IFERROR(IF(AND(ISNUMBER('SW Rev'!R78),ISNUMBER('SW Rev'!Q78)),'SW Rev'!R78-'SW Rev'!Q78,""),"")</f>
        <v/>
      </c>
    </row>
    <row r="488">
      <c r="A488" s="19">
        <f>'SW Rev'!$A79</f>
        <v/>
      </c>
      <c r="B488" s="19">
        <f>'SW Rev'!$B79</f>
        <v/>
      </c>
      <c r="C488" s="30">
        <f>IFERROR(IF(AND(ISNUMBER('SW Rev'!G79),ISNUMBER('SW Rev'!F79)),'SW Rev'!G79-'SW Rev'!F79,""),"")</f>
        <v/>
      </c>
      <c r="D488" s="30">
        <f>IFERROR(IF(AND(ISNUMBER('SW Rev'!H79),ISNUMBER('SW Rev'!G79)),'SW Rev'!H79-'SW Rev'!G79,""),"")</f>
        <v/>
      </c>
      <c r="E488" s="30">
        <f>IFERROR(IF(AND(ISNUMBER('SW Rev'!I79),ISNUMBER('SW Rev'!H79)),'SW Rev'!I79-'SW Rev'!H79,""),"")</f>
        <v/>
      </c>
      <c r="F488" s="30">
        <f>IFERROR(IF(AND(ISNUMBER('SW Rev'!J79),ISNUMBER('SW Rev'!I79)),'SW Rev'!J79-'SW Rev'!I79,""),"")</f>
        <v/>
      </c>
      <c r="G488" s="30">
        <f>IFERROR(IF(AND(ISNUMBER('SW Rev'!K79),ISNUMBER('SW Rev'!J79)),'SW Rev'!K79-'SW Rev'!J79,""),"")</f>
        <v/>
      </c>
      <c r="H488" s="30">
        <f>IFERROR(IF(AND(ISNUMBER('SW Rev'!L79),ISNUMBER('SW Rev'!K79)),'SW Rev'!L79-'SW Rev'!K79,""),"")</f>
        <v/>
      </c>
      <c r="I488" s="30">
        <f>IFERROR(IF(AND(ISNUMBER('SW Rev'!M79),ISNUMBER('SW Rev'!L79)),'SW Rev'!M79-'SW Rev'!L79,""),"")</f>
        <v/>
      </c>
      <c r="J488" s="30">
        <f>IFERROR(IF(AND(ISNUMBER('SW Rev'!N79),ISNUMBER('SW Rev'!M79)),'SW Rev'!N79-'SW Rev'!M79,""),"")</f>
        <v/>
      </c>
      <c r="K488" s="30">
        <f>IFERROR(IF(AND(ISNUMBER('SW Rev'!O79),ISNUMBER('SW Rev'!N79)),'SW Rev'!O79-'SW Rev'!N79,""),"")</f>
        <v/>
      </c>
      <c r="L488" s="30">
        <f>IFERROR(IF(AND(ISNUMBER('SW Rev'!P79),ISNUMBER('SW Rev'!O79)),'SW Rev'!P79-'SW Rev'!O79,""),"")</f>
        <v/>
      </c>
      <c r="M488" s="31">
        <f>IFERROR(IF(AND(ISNUMBER('SW Rev'!Q79),ISNUMBER('SW Rev'!P79)),'SW Rev'!Q79-'SW Rev'!P79,""),"")</f>
        <v/>
      </c>
      <c r="N488" s="31">
        <f>IFERROR(IF(AND(ISNUMBER('SW Rev'!R79),ISNUMBER('SW Rev'!Q79)),'SW Rev'!R79-'SW Rev'!Q79,""),"")</f>
        <v/>
      </c>
    </row>
    <row r="489">
      <c r="A489" s="19">
        <f>'SW Rev'!$A80</f>
        <v/>
      </c>
      <c r="B489" s="19">
        <f>'SW Rev'!$B80</f>
        <v/>
      </c>
      <c r="C489" s="30">
        <f>IFERROR(IF(AND(ISNUMBER('SW Rev'!G80),ISNUMBER('SW Rev'!F80)),'SW Rev'!G80-'SW Rev'!F80,""),"")</f>
        <v/>
      </c>
      <c r="D489" s="30">
        <f>IFERROR(IF(AND(ISNUMBER('SW Rev'!H80),ISNUMBER('SW Rev'!G80)),'SW Rev'!H80-'SW Rev'!G80,""),"")</f>
        <v/>
      </c>
      <c r="E489" s="30">
        <f>IFERROR(IF(AND(ISNUMBER('SW Rev'!I80),ISNUMBER('SW Rev'!H80)),'SW Rev'!I80-'SW Rev'!H80,""),"")</f>
        <v/>
      </c>
      <c r="F489" s="30">
        <f>IFERROR(IF(AND(ISNUMBER('SW Rev'!J80),ISNUMBER('SW Rev'!I80)),'SW Rev'!J80-'SW Rev'!I80,""),"")</f>
        <v/>
      </c>
      <c r="G489" s="30">
        <f>IFERROR(IF(AND(ISNUMBER('SW Rev'!K80),ISNUMBER('SW Rev'!J80)),'SW Rev'!K80-'SW Rev'!J80,""),"")</f>
        <v/>
      </c>
      <c r="H489" s="30">
        <f>IFERROR(IF(AND(ISNUMBER('SW Rev'!L80),ISNUMBER('SW Rev'!K80)),'SW Rev'!L80-'SW Rev'!K80,""),"")</f>
        <v/>
      </c>
      <c r="I489" s="30">
        <f>IFERROR(IF(AND(ISNUMBER('SW Rev'!M80),ISNUMBER('SW Rev'!L80)),'SW Rev'!M80-'SW Rev'!L80,""),"")</f>
        <v/>
      </c>
      <c r="J489" s="30">
        <f>IFERROR(IF(AND(ISNUMBER('SW Rev'!N80),ISNUMBER('SW Rev'!M80)),'SW Rev'!N80-'SW Rev'!M80,""),"")</f>
        <v/>
      </c>
      <c r="K489" s="30">
        <f>IFERROR(IF(AND(ISNUMBER('SW Rev'!O80),ISNUMBER('SW Rev'!N80)),'SW Rev'!O80-'SW Rev'!N80,""),"")</f>
        <v/>
      </c>
      <c r="L489" s="30">
        <f>IFERROR(IF(AND(ISNUMBER('SW Rev'!P80),ISNUMBER('SW Rev'!O80)),'SW Rev'!P80-'SW Rev'!O80,""),"")</f>
        <v/>
      </c>
      <c r="M489" s="31">
        <f>IFERROR(IF(AND(ISNUMBER('SW Rev'!Q80),ISNUMBER('SW Rev'!P80)),'SW Rev'!Q80-'SW Rev'!P80,""),"")</f>
        <v/>
      </c>
      <c r="N489" s="31">
        <f>IFERROR(IF(AND(ISNUMBER('SW Rev'!R80),ISNUMBER('SW Rev'!Q80)),'SW Rev'!R80-'SW Rev'!Q80,""),"")</f>
        <v/>
      </c>
    </row>
    <row r="490">
      <c r="A490" s="19">
        <f>'SW Rev'!$A81</f>
        <v/>
      </c>
      <c r="B490" s="19">
        <f>'SW Rev'!$B81</f>
        <v/>
      </c>
      <c r="C490" s="30">
        <f>IFERROR(IF(AND(ISNUMBER('SW Rev'!G81),ISNUMBER('SW Rev'!F81)),'SW Rev'!G81-'SW Rev'!F81,""),"")</f>
        <v/>
      </c>
      <c r="D490" s="30">
        <f>IFERROR(IF(AND(ISNUMBER('SW Rev'!H81),ISNUMBER('SW Rev'!G81)),'SW Rev'!H81-'SW Rev'!G81,""),"")</f>
        <v/>
      </c>
      <c r="E490" s="30">
        <f>IFERROR(IF(AND(ISNUMBER('SW Rev'!I81),ISNUMBER('SW Rev'!H81)),'SW Rev'!I81-'SW Rev'!H81,""),"")</f>
        <v/>
      </c>
      <c r="F490" s="30">
        <f>IFERROR(IF(AND(ISNUMBER('SW Rev'!J81),ISNUMBER('SW Rev'!I81)),'SW Rev'!J81-'SW Rev'!I81,""),"")</f>
        <v/>
      </c>
      <c r="G490" s="30">
        <f>IFERROR(IF(AND(ISNUMBER('SW Rev'!K81),ISNUMBER('SW Rev'!J81)),'SW Rev'!K81-'SW Rev'!J81,""),"")</f>
        <v/>
      </c>
      <c r="H490" s="30">
        <f>IFERROR(IF(AND(ISNUMBER('SW Rev'!L81),ISNUMBER('SW Rev'!K81)),'SW Rev'!L81-'SW Rev'!K81,""),"")</f>
        <v/>
      </c>
      <c r="I490" s="30">
        <f>IFERROR(IF(AND(ISNUMBER('SW Rev'!M81),ISNUMBER('SW Rev'!L81)),'SW Rev'!M81-'SW Rev'!L81,""),"")</f>
        <v/>
      </c>
      <c r="J490" s="30">
        <f>IFERROR(IF(AND(ISNUMBER('SW Rev'!N81),ISNUMBER('SW Rev'!M81)),'SW Rev'!N81-'SW Rev'!M81,""),"")</f>
        <v/>
      </c>
      <c r="K490" s="30">
        <f>IFERROR(IF(AND(ISNUMBER('SW Rev'!O81),ISNUMBER('SW Rev'!N81)),'SW Rev'!O81-'SW Rev'!N81,""),"")</f>
        <v/>
      </c>
      <c r="L490" s="30">
        <f>IFERROR(IF(AND(ISNUMBER('SW Rev'!P81),ISNUMBER('SW Rev'!O81)),'SW Rev'!P81-'SW Rev'!O81,""),"")</f>
        <v/>
      </c>
      <c r="M490" s="31">
        <f>IFERROR(IF(AND(ISNUMBER('SW Rev'!Q81),ISNUMBER('SW Rev'!P81)),'SW Rev'!Q81-'SW Rev'!P81,""),"")</f>
        <v/>
      </c>
      <c r="N490" s="31">
        <f>IFERROR(IF(AND(ISNUMBER('SW Rev'!R81),ISNUMBER('SW Rev'!Q81)),'SW Rev'!R81-'SW Rev'!Q81,""),"")</f>
        <v/>
      </c>
    </row>
    <row r="491">
      <c r="A491" s="19">
        <f>'SW Rev'!$A82</f>
        <v/>
      </c>
      <c r="B491" s="19">
        <f>'SW Rev'!$B82</f>
        <v/>
      </c>
      <c r="C491" s="30">
        <f>IFERROR(IF(AND(ISNUMBER('SW Rev'!G82),ISNUMBER('SW Rev'!F82)),'SW Rev'!G82-'SW Rev'!F82,""),"")</f>
        <v/>
      </c>
      <c r="D491" s="30">
        <f>IFERROR(IF(AND(ISNUMBER('SW Rev'!H82),ISNUMBER('SW Rev'!G82)),'SW Rev'!H82-'SW Rev'!G82,""),"")</f>
        <v/>
      </c>
      <c r="E491" s="30">
        <f>IFERROR(IF(AND(ISNUMBER('SW Rev'!I82),ISNUMBER('SW Rev'!H82)),'SW Rev'!I82-'SW Rev'!H82,""),"")</f>
        <v/>
      </c>
      <c r="F491" s="30">
        <f>IFERROR(IF(AND(ISNUMBER('SW Rev'!J82),ISNUMBER('SW Rev'!I82)),'SW Rev'!J82-'SW Rev'!I82,""),"")</f>
        <v/>
      </c>
      <c r="G491" s="30">
        <f>IFERROR(IF(AND(ISNUMBER('SW Rev'!K82),ISNUMBER('SW Rev'!J82)),'SW Rev'!K82-'SW Rev'!J82,""),"")</f>
        <v/>
      </c>
      <c r="H491" s="30">
        <f>IFERROR(IF(AND(ISNUMBER('SW Rev'!L82),ISNUMBER('SW Rev'!K82)),'SW Rev'!L82-'SW Rev'!K82,""),"")</f>
        <v/>
      </c>
      <c r="I491" s="30">
        <f>IFERROR(IF(AND(ISNUMBER('SW Rev'!M82),ISNUMBER('SW Rev'!L82)),'SW Rev'!M82-'SW Rev'!L82,""),"")</f>
        <v/>
      </c>
      <c r="J491" s="30">
        <f>IFERROR(IF(AND(ISNUMBER('SW Rev'!N82),ISNUMBER('SW Rev'!M82)),'SW Rev'!N82-'SW Rev'!M82,""),"")</f>
        <v/>
      </c>
      <c r="K491" s="30">
        <f>IFERROR(IF(AND(ISNUMBER('SW Rev'!O82),ISNUMBER('SW Rev'!N82)),'SW Rev'!O82-'SW Rev'!N82,""),"")</f>
        <v/>
      </c>
      <c r="L491" s="30">
        <f>IFERROR(IF(AND(ISNUMBER('SW Rev'!P82),ISNUMBER('SW Rev'!O82)),'SW Rev'!P82-'SW Rev'!O82,""),"")</f>
        <v/>
      </c>
      <c r="M491" s="31">
        <f>IFERROR(IF(AND(ISNUMBER('SW Rev'!Q82),ISNUMBER('SW Rev'!P82)),'SW Rev'!Q82-'SW Rev'!P82,""),"")</f>
        <v/>
      </c>
      <c r="N491" s="31">
        <f>IFERROR(IF(AND(ISNUMBER('SW Rev'!R82),ISNUMBER('SW Rev'!Q82)),'SW Rev'!R82-'SW Rev'!Q82,""),"")</f>
        <v/>
      </c>
    </row>
    <row r="492">
      <c r="A492" s="19">
        <f>'SW Rev'!$A83</f>
        <v/>
      </c>
      <c r="B492" s="19">
        <f>'SW Rev'!$B83</f>
        <v/>
      </c>
      <c r="C492" s="30">
        <f>IFERROR(IF(AND(ISNUMBER('SW Rev'!G83),ISNUMBER('SW Rev'!F83)),'SW Rev'!G83-'SW Rev'!F83,""),"")</f>
        <v/>
      </c>
      <c r="D492" s="30">
        <f>IFERROR(IF(AND(ISNUMBER('SW Rev'!H83),ISNUMBER('SW Rev'!G83)),'SW Rev'!H83-'SW Rev'!G83,""),"")</f>
        <v/>
      </c>
      <c r="E492" s="30">
        <f>IFERROR(IF(AND(ISNUMBER('SW Rev'!I83),ISNUMBER('SW Rev'!H83)),'SW Rev'!I83-'SW Rev'!H83,""),"")</f>
        <v/>
      </c>
      <c r="F492" s="30">
        <f>IFERROR(IF(AND(ISNUMBER('SW Rev'!J83),ISNUMBER('SW Rev'!I83)),'SW Rev'!J83-'SW Rev'!I83,""),"")</f>
        <v/>
      </c>
      <c r="G492" s="30">
        <f>IFERROR(IF(AND(ISNUMBER('SW Rev'!K83),ISNUMBER('SW Rev'!J83)),'SW Rev'!K83-'SW Rev'!J83,""),"")</f>
        <v/>
      </c>
      <c r="H492" s="30">
        <f>IFERROR(IF(AND(ISNUMBER('SW Rev'!L83),ISNUMBER('SW Rev'!K83)),'SW Rev'!L83-'SW Rev'!K83,""),"")</f>
        <v/>
      </c>
      <c r="I492" s="30">
        <f>IFERROR(IF(AND(ISNUMBER('SW Rev'!M83),ISNUMBER('SW Rev'!L83)),'SW Rev'!M83-'SW Rev'!L83,""),"")</f>
        <v/>
      </c>
      <c r="J492" s="30">
        <f>IFERROR(IF(AND(ISNUMBER('SW Rev'!N83),ISNUMBER('SW Rev'!M83)),'SW Rev'!N83-'SW Rev'!M83,""),"")</f>
        <v/>
      </c>
      <c r="K492" s="30">
        <f>IFERROR(IF(AND(ISNUMBER('SW Rev'!O83),ISNUMBER('SW Rev'!N83)),'SW Rev'!O83-'SW Rev'!N83,""),"")</f>
        <v/>
      </c>
      <c r="L492" s="30">
        <f>IFERROR(IF(AND(ISNUMBER('SW Rev'!P83),ISNUMBER('SW Rev'!O83)),'SW Rev'!P83-'SW Rev'!O83,""),"")</f>
        <v/>
      </c>
      <c r="M492" s="31">
        <f>IFERROR(IF(AND(ISNUMBER('SW Rev'!Q83),ISNUMBER('SW Rev'!P83)),'SW Rev'!Q83-'SW Rev'!P83,""),"")</f>
        <v/>
      </c>
      <c r="N492" s="31">
        <f>IFERROR(IF(AND(ISNUMBER('SW Rev'!R83),ISNUMBER('SW Rev'!Q83)),'SW Rev'!R83-'SW Rev'!Q83,""),"")</f>
        <v/>
      </c>
    </row>
    <row r="493">
      <c r="A493" s="19">
        <f>'SW Rev'!$A84</f>
        <v/>
      </c>
      <c r="B493" s="19">
        <f>'SW Rev'!$B84</f>
        <v/>
      </c>
      <c r="C493" s="30">
        <f>IFERROR(IF(AND(ISNUMBER('SW Rev'!G84),ISNUMBER('SW Rev'!F84)),'SW Rev'!G84-'SW Rev'!F84,""),"")</f>
        <v/>
      </c>
      <c r="D493" s="30">
        <f>IFERROR(IF(AND(ISNUMBER('SW Rev'!H84),ISNUMBER('SW Rev'!G84)),'SW Rev'!H84-'SW Rev'!G84,""),"")</f>
        <v/>
      </c>
      <c r="E493" s="30">
        <f>IFERROR(IF(AND(ISNUMBER('SW Rev'!I84),ISNUMBER('SW Rev'!H84)),'SW Rev'!I84-'SW Rev'!H84,""),"")</f>
        <v/>
      </c>
      <c r="F493" s="30">
        <f>IFERROR(IF(AND(ISNUMBER('SW Rev'!J84),ISNUMBER('SW Rev'!I84)),'SW Rev'!J84-'SW Rev'!I84,""),"")</f>
        <v/>
      </c>
      <c r="G493" s="30">
        <f>IFERROR(IF(AND(ISNUMBER('SW Rev'!K84),ISNUMBER('SW Rev'!J84)),'SW Rev'!K84-'SW Rev'!J84,""),"")</f>
        <v/>
      </c>
      <c r="H493" s="30">
        <f>IFERROR(IF(AND(ISNUMBER('SW Rev'!L84),ISNUMBER('SW Rev'!K84)),'SW Rev'!L84-'SW Rev'!K84,""),"")</f>
        <v/>
      </c>
      <c r="I493" s="30">
        <f>IFERROR(IF(AND(ISNUMBER('SW Rev'!M84),ISNUMBER('SW Rev'!L84)),'SW Rev'!M84-'SW Rev'!L84,""),"")</f>
        <v/>
      </c>
      <c r="J493" s="30">
        <f>IFERROR(IF(AND(ISNUMBER('SW Rev'!N84),ISNUMBER('SW Rev'!M84)),'SW Rev'!N84-'SW Rev'!M84,""),"")</f>
        <v/>
      </c>
      <c r="K493" s="30">
        <f>IFERROR(IF(AND(ISNUMBER('SW Rev'!O84),ISNUMBER('SW Rev'!N84)),'SW Rev'!O84-'SW Rev'!N84,""),"")</f>
        <v/>
      </c>
      <c r="L493" s="30">
        <f>IFERROR(IF(AND(ISNUMBER('SW Rev'!P84),ISNUMBER('SW Rev'!O84)),'SW Rev'!P84-'SW Rev'!O84,""),"")</f>
        <v/>
      </c>
      <c r="M493" s="31">
        <f>IFERROR(IF(AND(ISNUMBER('SW Rev'!Q84),ISNUMBER('SW Rev'!P84)),'SW Rev'!Q84-'SW Rev'!P84,""),"")</f>
        <v/>
      </c>
      <c r="N493" s="31">
        <f>IFERROR(IF(AND(ISNUMBER('SW Rev'!R84),ISNUMBER('SW Rev'!Q84)),'SW Rev'!R84-'SW Rev'!Q84,""),"")</f>
        <v/>
      </c>
    </row>
    <row r="494">
      <c r="A494" s="19">
        <f>'SW Rev'!$A85</f>
        <v/>
      </c>
      <c r="B494" s="19">
        <f>'SW Rev'!$B85</f>
        <v/>
      </c>
      <c r="C494" s="30">
        <f>IFERROR(IF(AND(ISNUMBER('SW Rev'!G85),ISNUMBER('SW Rev'!F85)),'SW Rev'!G85-'SW Rev'!F85,""),"")</f>
        <v/>
      </c>
      <c r="D494" s="30">
        <f>IFERROR(IF(AND(ISNUMBER('SW Rev'!H85),ISNUMBER('SW Rev'!G85)),'SW Rev'!H85-'SW Rev'!G85,""),"")</f>
        <v/>
      </c>
      <c r="E494" s="30">
        <f>IFERROR(IF(AND(ISNUMBER('SW Rev'!I85),ISNUMBER('SW Rev'!H85)),'SW Rev'!I85-'SW Rev'!H85,""),"")</f>
        <v/>
      </c>
      <c r="F494" s="30">
        <f>IFERROR(IF(AND(ISNUMBER('SW Rev'!J85),ISNUMBER('SW Rev'!I85)),'SW Rev'!J85-'SW Rev'!I85,""),"")</f>
        <v/>
      </c>
      <c r="G494" s="30">
        <f>IFERROR(IF(AND(ISNUMBER('SW Rev'!K85),ISNUMBER('SW Rev'!J85)),'SW Rev'!K85-'SW Rev'!J85,""),"")</f>
        <v/>
      </c>
      <c r="H494" s="30">
        <f>IFERROR(IF(AND(ISNUMBER('SW Rev'!L85),ISNUMBER('SW Rev'!K85)),'SW Rev'!L85-'SW Rev'!K85,""),"")</f>
        <v/>
      </c>
      <c r="I494" s="30">
        <f>IFERROR(IF(AND(ISNUMBER('SW Rev'!M85),ISNUMBER('SW Rev'!L85)),'SW Rev'!M85-'SW Rev'!L85,""),"")</f>
        <v/>
      </c>
      <c r="J494" s="30">
        <f>IFERROR(IF(AND(ISNUMBER('SW Rev'!N85),ISNUMBER('SW Rev'!M85)),'SW Rev'!N85-'SW Rev'!M85,""),"")</f>
        <v/>
      </c>
      <c r="K494" s="30">
        <f>IFERROR(IF(AND(ISNUMBER('SW Rev'!O85),ISNUMBER('SW Rev'!N85)),'SW Rev'!O85-'SW Rev'!N85,""),"")</f>
        <v/>
      </c>
      <c r="L494" s="30">
        <f>IFERROR(IF(AND(ISNUMBER('SW Rev'!P85),ISNUMBER('SW Rev'!O85)),'SW Rev'!P85-'SW Rev'!O85,""),"")</f>
        <v/>
      </c>
      <c r="M494" s="31">
        <f>IFERROR(IF(AND(ISNUMBER('SW Rev'!Q85),ISNUMBER('SW Rev'!P85)),'SW Rev'!Q85-'SW Rev'!P85,""),"")</f>
        <v/>
      </c>
      <c r="N494" s="31">
        <f>IFERROR(IF(AND(ISNUMBER('SW Rev'!R85),ISNUMBER('SW Rev'!Q85)),'SW Rev'!R85-'SW Rev'!Q85,""),"")</f>
        <v/>
      </c>
    </row>
    <row r="495">
      <c r="A495" s="19">
        <f>'SW Rev'!$A86</f>
        <v/>
      </c>
      <c r="B495" s="19">
        <f>'SW Rev'!$B86</f>
        <v/>
      </c>
      <c r="C495" s="30">
        <f>IFERROR(IF(AND(ISNUMBER('SW Rev'!G86),ISNUMBER('SW Rev'!F86)),'SW Rev'!G86-'SW Rev'!F86,""),"")</f>
        <v/>
      </c>
      <c r="D495" s="30">
        <f>IFERROR(IF(AND(ISNUMBER('SW Rev'!H86),ISNUMBER('SW Rev'!G86)),'SW Rev'!H86-'SW Rev'!G86,""),"")</f>
        <v/>
      </c>
      <c r="E495" s="30">
        <f>IFERROR(IF(AND(ISNUMBER('SW Rev'!I86),ISNUMBER('SW Rev'!H86)),'SW Rev'!I86-'SW Rev'!H86,""),"")</f>
        <v/>
      </c>
      <c r="F495" s="30">
        <f>IFERROR(IF(AND(ISNUMBER('SW Rev'!J86),ISNUMBER('SW Rev'!I86)),'SW Rev'!J86-'SW Rev'!I86,""),"")</f>
        <v/>
      </c>
      <c r="G495" s="30">
        <f>IFERROR(IF(AND(ISNUMBER('SW Rev'!K86),ISNUMBER('SW Rev'!J86)),'SW Rev'!K86-'SW Rev'!J86,""),"")</f>
        <v/>
      </c>
      <c r="H495" s="30">
        <f>IFERROR(IF(AND(ISNUMBER('SW Rev'!L86),ISNUMBER('SW Rev'!K86)),'SW Rev'!L86-'SW Rev'!K86,""),"")</f>
        <v/>
      </c>
      <c r="I495" s="30">
        <f>IFERROR(IF(AND(ISNUMBER('SW Rev'!M86),ISNUMBER('SW Rev'!L86)),'SW Rev'!M86-'SW Rev'!L86,""),"")</f>
        <v/>
      </c>
      <c r="J495" s="30">
        <f>IFERROR(IF(AND(ISNUMBER('SW Rev'!N86),ISNUMBER('SW Rev'!M86)),'SW Rev'!N86-'SW Rev'!M86,""),"")</f>
        <v/>
      </c>
      <c r="K495" s="30">
        <f>IFERROR(IF(AND(ISNUMBER('SW Rev'!O86),ISNUMBER('SW Rev'!N86)),'SW Rev'!O86-'SW Rev'!N86,""),"")</f>
        <v/>
      </c>
      <c r="L495" s="30">
        <f>IFERROR(IF(AND(ISNUMBER('SW Rev'!P86),ISNUMBER('SW Rev'!O86)),'SW Rev'!P86-'SW Rev'!O86,""),"")</f>
        <v/>
      </c>
      <c r="M495" s="31">
        <f>IFERROR(IF(AND(ISNUMBER('SW Rev'!Q86),ISNUMBER('SW Rev'!P86)),'SW Rev'!Q86-'SW Rev'!P86,""),"")</f>
        <v/>
      </c>
      <c r="N495" s="31">
        <f>IFERROR(IF(AND(ISNUMBER('SW Rev'!R86),ISNUMBER('SW Rev'!Q86)),'SW Rev'!R86-'SW Rev'!Q86,""),"")</f>
        <v/>
      </c>
    </row>
    <row r="496">
      <c r="A496" s="19">
        <f>'SW Rev'!$A87</f>
        <v/>
      </c>
      <c r="B496" s="19">
        <f>'SW Rev'!$B87</f>
        <v/>
      </c>
      <c r="C496" s="30">
        <f>IFERROR(IF(AND(ISNUMBER('SW Rev'!G87),ISNUMBER('SW Rev'!F87)),'SW Rev'!G87-'SW Rev'!F87,""),"")</f>
        <v/>
      </c>
      <c r="D496" s="30">
        <f>IFERROR(IF(AND(ISNUMBER('SW Rev'!H87),ISNUMBER('SW Rev'!G87)),'SW Rev'!H87-'SW Rev'!G87,""),"")</f>
        <v/>
      </c>
      <c r="E496" s="30">
        <f>IFERROR(IF(AND(ISNUMBER('SW Rev'!I87),ISNUMBER('SW Rev'!H87)),'SW Rev'!I87-'SW Rev'!H87,""),"")</f>
        <v/>
      </c>
      <c r="F496" s="30">
        <f>IFERROR(IF(AND(ISNUMBER('SW Rev'!J87),ISNUMBER('SW Rev'!I87)),'SW Rev'!J87-'SW Rev'!I87,""),"")</f>
        <v/>
      </c>
      <c r="G496" s="30">
        <f>IFERROR(IF(AND(ISNUMBER('SW Rev'!K87),ISNUMBER('SW Rev'!J87)),'SW Rev'!K87-'SW Rev'!J87,""),"")</f>
        <v/>
      </c>
      <c r="H496" s="30">
        <f>IFERROR(IF(AND(ISNUMBER('SW Rev'!L87),ISNUMBER('SW Rev'!K87)),'SW Rev'!L87-'SW Rev'!K87,""),"")</f>
        <v/>
      </c>
      <c r="I496" s="30">
        <f>IFERROR(IF(AND(ISNUMBER('SW Rev'!M87),ISNUMBER('SW Rev'!L87)),'SW Rev'!M87-'SW Rev'!L87,""),"")</f>
        <v/>
      </c>
      <c r="J496" s="30">
        <f>IFERROR(IF(AND(ISNUMBER('SW Rev'!N87),ISNUMBER('SW Rev'!M87)),'SW Rev'!N87-'SW Rev'!M87,""),"")</f>
        <v/>
      </c>
      <c r="K496" s="30">
        <f>IFERROR(IF(AND(ISNUMBER('SW Rev'!O87),ISNUMBER('SW Rev'!N87)),'SW Rev'!O87-'SW Rev'!N87,""),"")</f>
        <v/>
      </c>
      <c r="L496" s="30">
        <f>IFERROR(IF(AND(ISNUMBER('SW Rev'!P87),ISNUMBER('SW Rev'!O87)),'SW Rev'!P87-'SW Rev'!O87,""),"")</f>
        <v/>
      </c>
      <c r="M496" s="31">
        <f>IFERROR(IF(AND(ISNUMBER('SW Rev'!Q87),ISNUMBER('SW Rev'!P87)),'SW Rev'!Q87-'SW Rev'!P87,""),"")</f>
        <v/>
      </c>
      <c r="N496" s="31">
        <f>IFERROR(IF(AND(ISNUMBER('SW Rev'!R87),ISNUMBER('SW Rev'!Q87)),'SW Rev'!R87-'SW Rev'!Q87,""),"")</f>
        <v/>
      </c>
    </row>
    <row r="497">
      <c r="A497" s="19">
        <f>'SW Rev'!$A88</f>
        <v/>
      </c>
      <c r="B497" s="19">
        <f>'SW Rev'!$B88</f>
        <v/>
      </c>
      <c r="C497" s="30">
        <f>IFERROR(IF(AND(ISNUMBER('SW Rev'!G88),ISNUMBER('SW Rev'!F88)),'SW Rev'!G88-'SW Rev'!F88,""),"")</f>
        <v/>
      </c>
      <c r="D497" s="30">
        <f>IFERROR(IF(AND(ISNUMBER('SW Rev'!H88),ISNUMBER('SW Rev'!G88)),'SW Rev'!H88-'SW Rev'!G88,""),"")</f>
        <v/>
      </c>
      <c r="E497" s="30">
        <f>IFERROR(IF(AND(ISNUMBER('SW Rev'!I88),ISNUMBER('SW Rev'!H88)),'SW Rev'!I88-'SW Rev'!H88,""),"")</f>
        <v/>
      </c>
      <c r="F497" s="30">
        <f>IFERROR(IF(AND(ISNUMBER('SW Rev'!J88),ISNUMBER('SW Rev'!I88)),'SW Rev'!J88-'SW Rev'!I88,""),"")</f>
        <v/>
      </c>
      <c r="G497" s="30">
        <f>IFERROR(IF(AND(ISNUMBER('SW Rev'!K88),ISNUMBER('SW Rev'!J88)),'SW Rev'!K88-'SW Rev'!J88,""),"")</f>
        <v/>
      </c>
      <c r="H497" s="30">
        <f>IFERROR(IF(AND(ISNUMBER('SW Rev'!L88),ISNUMBER('SW Rev'!K88)),'SW Rev'!L88-'SW Rev'!K88,""),"")</f>
        <v/>
      </c>
      <c r="I497" s="30">
        <f>IFERROR(IF(AND(ISNUMBER('SW Rev'!M88),ISNUMBER('SW Rev'!L88)),'SW Rev'!M88-'SW Rev'!L88,""),"")</f>
        <v/>
      </c>
      <c r="J497" s="30">
        <f>IFERROR(IF(AND(ISNUMBER('SW Rev'!N88),ISNUMBER('SW Rev'!M88)),'SW Rev'!N88-'SW Rev'!M88,""),"")</f>
        <v/>
      </c>
      <c r="K497" s="30">
        <f>IFERROR(IF(AND(ISNUMBER('SW Rev'!O88),ISNUMBER('SW Rev'!N88)),'SW Rev'!O88-'SW Rev'!N88,""),"")</f>
        <v/>
      </c>
      <c r="L497" s="30">
        <f>IFERROR(IF(AND(ISNUMBER('SW Rev'!P88),ISNUMBER('SW Rev'!O88)),'SW Rev'!P88-'SW Rev'!O88,""),"")</f>
        <v/>
      </c>
      <c r="M497" s="31">
        <f>IFERROR(IF(AND(ISNUMBER('SW Rev'!Q88),ISNUMBER('SW Rev'!P88)),'SW Rev'!Q88-'SW Rev'!P88,""),"")</f>
        <v/>
      </c>
      <c r="N497" s="31">
        <f>IFERROR(IF(AND(ISNUMBER('SW Rev'!R88),ISNUMBER('SW Rev'!Q88)),'SW Rev'!R88-'SW Rev'!Q88,""),"")</f>
        <v/>
      </c>
    </row>
    <row r="498">
      <c r="A498" s="19">
        <f>'SW Rev'!$A89</f>
        <v/>
      </c>
      <c r="B498" s="19">
        <f>'SW Rev'!$B89</f>
        <v/>
      </c>
      <c r="C498" s="30">
        <f>IFERROR(IF(AND(ISNUMBER('SW Rev'!G89),ISNUMBER('SW Rev'!F89)),'SW Rev'!G89-'SW Rev'!F89,""),"")</f>
        <v/>
      </c>
      <c r="D498" s="30">
        <f>IFERROR(IF(AND(ISNUMBER('SW Rev'!H89),ISNUMBER('SW Rev'!G89)),'SW Rev'!H89-'SW Rev'!G89,""),"")</f>
        <v/>
      </c>
      <c r="E498" s="30">
        <f>IFERROR(IF(AND(ISNUMBER('SW Rev'!I89),ISNUMBER('SW Rev'!H89)),'SW Rev'!I89-'SW Rev'!H89,""),"")</f>
        <v/>
      </c>
      <c r="F498" s="30">
        <f>IFERROR(IF(AND(ISNUMBER('SW Rev'!J89),ISNUMBER('SW Rev'!I89)),'SW Rev'!J89-'SW Rev'!I89,""),"")</f>
        <v/>
      </c>
      <c r="G498" s="30">
        <f>IFERROR(IF(AND(ISNUMBER('SW Rev'!K89),ISNUMBER('SW Rev'!J89)),'SW Rev'!K89-'SW Rev'!J89,""),"")</f>
        <v/>
      </c>
      <c r="H498" s="30">
        <f>IFERROR(IF(AND(ISNUMBER('SW Rev'!L89),ISNUMBER('SW Rev'!K89)),'SW Rev'!L89-'SW Rev'!K89,""),"")</f>
        <v/>
      </c>
      <c r="I498" s="30">
        <f>IFERROR(IF(AND(ISNUMBER('SW Rev'!M89),ISNUMBER('SW Rev'!L89)),'SW Rev'!M89-'SW Rev'!L89,""),"")</f>
        <v/>
      </c>
      <c r="J498" s="30">
        <f>IFERROR(IF(AND(ISNUMBER('SW Rev'!N89),ISNUMBER('SW Rev'!M89)),'SW Rev'!N89-'SW Rev'!M89,""),"")</f>
        <v/>
      </c>
      <c r="K498" s="30">
        <f>IFERROR(IF(AND(ISNUMBER('SW Rev'!O89),ISNUMBER('SW Rev'!N89)),'SW Rev'!O89-'SW Rev'!N89,""),"")</f>
        <v/>
      </c>
      <c r="L498" s="30">
        <f>IFERROR(IF(AND(ISNUMBER('SW Rev'!P89),ISNUMBER('SW Rev'!O89)),'SW Rev'!P89-'SW Rev'!O89,""),"")</f>
        <v/>
      </c>
      <c r="M498" s="31">
        <f>IFERROR(IF(AND(ISNUMBER('SW Rev'!Q89),ISNUMBER('SW Rev'!P89)),'SW Rev'!Q89-'SW Rev'!P89,""),"")</f>
        <v/>
      </c>
      <c r="N498" s="31">
        <f>IFERROR(IF(AND(ISNUMBER('SW Rev'!R89),ISNUMBER('SW Rev'!Q89)),'SW Rev'!R89-'SW Rev'!Q89,""),"")</f>
        <v/>
      </c>
    </row>
    <row r="499">
      <c r="A499" s="19">
        <f>'SW Rev'!$A90</f>
        <v/>
      </c>
      <c r="B499" s="19">
        <f>'SW Rev'!$B90</f>
        <v/>
      </c>
      <c r="C499" s="30">
        <f>IFERROR(IF(AND(ISNUMBER('SW Rev'!G90),ISNUMBER('SW Rev'!F90)),'SW Rev'!G90-'SW Rev'!F90,""),"")</f>
        <v/>
      </c>
      <c r="D499" s="30">
        <f>IFERROR(IF(AND(ISNUMBER('SW Rev'!H90),ISNUMBER('SW Rev'!G90)),'SW Rev'!H90-'SW Rev'!G90,""),"")</f>
        <v/>
      </c>
      <c r="E499" s="30">
        <f>IFERROR(IF(AND(ISNUMBER('SW Rev'!I90),ISNUMBER('SW Rev'!H90)),'SW Rev'!I90-'SW Rev'!H90,""),"")</f>
        <v/>
      </c>
      <c r="F499" s="30">
        <f>IFERROR(IF(AND(ISNUMBER('SW Rev'!J90),ISNUMBER('SW Rev'!I90)),'SW Rev'!J90-'SW Rev'!I90,""),"")</f>
        <v/>
      </c>
      <c r="G499" s="30">
        <f>IFERROR(IF(AND(ISNUMBER('SW Rev'!K90),ISNUMBER('SW Rev'!J90)),'SW Rev'!K90-'SW Rev'!J90,""),"")</f>
        <v/>
      </c>
      <c r="H499" s="30">
        <f>IFERROR(IF(AND(ISNUMBER('SW Rev'!L90),ISNUMBER('SW Rev'!K90)),'SW Rev'!L90-'SW Rev'!K90,""),"")</f>
        <v/>
      </c>
      <c r="I499" s="30">
        <f>IFERROR(IF(AND(ISNUMBER('SW Rev'!M90),ISNUMBER('SW Rev'!L90)),'SW Rev'!M90-'SW Rev'!L90,""),"")</f>
        <v/>
      </c>
      <c r="J499" s="30">
        <f>IFERROR(IF(AND(ISNUMBER('SW Rev'!N90),ISNUMBER('SW Rev'!M90)),'SW Rev'!N90-'SW Rev'!M90,""),"")</f>
        <v/>
      </c>
      <c r="K499" s="30">
        <f>IFERROR(IF(AND(ISNUMBER('SW Rev'!O90),ISNUMBER('SW Rev'!N90)),'SW Rev'!O90-'SW Rev'!N90,""),"")</f>
        <v/>
      </c>
      <c r="L499" s="30">
        <f>IFERROR(IF(AND(ISNUMBER('SW Rev'!P90),ISNUMBER('SW Rev'!O90)),'SW Rev'!P90-'SW Rev'!O90,""),"")</f>
        <v/>
      </c>
      <c r="M499" s="31">
        <f>IFERROR(IF(AND(ISNUMBER('SW Rev'!Q90),ISNUMBER('SW Rev'!P90)),'SW Rev'!Q90-'SW Rev'!P90,""),"")</f>
        <v/>
      </c>
      <c r="N499" s="31">
        <f>IFERROR(IF(AND(ISNUMBER('SW Rev'!R90),ISNUMBER('SW Rev'!Q90)),'SW Rev'!R90-'SW Rev'!Q90,""),"")</f>
        <v/>
      </c>
    </row>
    <row r="500">
      <c r="A500" s="19">
        <f>'SW Rev'!$A91</f>
        <v/>
      </c>
      <c r="B500" s="19">
        <f>'SW Rev'!$B91</f>
        <v/>
      </c>
      <c r="C500" s="30">
        <f>IFERROR(IF(AND(ISNUMBER('SW Rev'!G91),ISNUMBER('SW Rev'!F91)),'SW Rev'!G91-'SW Rev'!F91,""),"")</f>
        <v/>
      </c>
      <c r="D500" s="30">
        <f>IFERROR(IF(AND(ISNUMBER('SW Rev'!H91),ISNUMBER('SW Rev'!G91)),'SW Rev'!H91-'SW Rev'!G91,""),"")</f>
        <v/>
      </c>
      <c r="E500" s="30">
        <f>IFERROR(IF(AND(ISNUMBER('SW Rev'!I91),ISNUMBER('SW Rev'!H91)),'SW Rev'!I91-'SW Rev'!H91,""),"")</f>
        <v/>
      </c>
      <c r="F500" s="30">
        <f>IFERROR(IF(AND(ISNUMBER('SW Rev'!J91),ISNUMBER('SW Rev'!I91)),'SW Rev'!J91-'SW Rev'!I91,""),"")</f>
        <v/>
      </c>
      <c r="G500" s="30">
        <f>IFERROR(IF(AND(ISNUMBER('SW Rev'!K91),ISNUMBER('SW Rev'!J91)),'SW Rev'!K91-'SW Rev'!J91,""),"")</f>
        <v/>
      </c>
      <c r="H500" s="30">
        <f>IFERROR(IF(AND(ISNUMBER('SW Rev'!L91),ISNUMBER('SW Rev'!K91)),'SW Rev'!L91-'SW Rev'!K91,""),"")</f>
        <v/>
      </c>
      <c r="I500" s="30">
        <f>IFERROR(IF(AND(ISNUMBER('SW Rev'!M91),ISNUMBER('SW Rev'!L91)),'SW Rev'!M91-'SW Rev'!L91,""),"")</f>
        <v/>
      </c>
      <c r="J500" s="30">
        <f>IFERROR(IF(AND(ISNUMBER('SW Rev'!N91),ISNUMBER('SW Rev'!M91)),'SW Rev'!N91-'SW Rev'!M91,""),"")</f>
        <v/>
      </c>
      <c r="K500" s="30">
        <f>IFERROR(IF(AND(ISNUMBER('SW Rev'!O91),ISNUMBER('SW Rev'!N91)),'SW Rev'!O91-'SW Rev'!N91,""),"")</f>
        <v/>
      </c>
      <c r="L500" s="30">
        <f>IFERROR(IF(AND(ISNUMBER('SW Rev'!P91),ISNUMBER('SW Rev'!O91)),'SW Rev'!P91-'SW Rev'!O91,""),"")</f>
        <v/>
      </c>
      <c r="M500" s="31">
        <f>IFERROR(IF(AND(ISNUMBER('SW Rev'!Q91),ISNUMBER('SW Rev'!P91)),'SW Rev'!Q91-'SW Rev'!P91,""),"")</f>
        <v/>
      </c>
      <c r="N500" s="31">
        <f>IFERROR(IF(AND(ISNUMBER('SW Rev'!R91),ISNUMBER('SW Rev'!Q91)),'SW Rev'!R91-'SW Rev'!Q91,""),"")</f>
        <v/>
      </c>
    </row>
    <row r="501">
      <c r="A501" s="19">
        <f>'SW Rev'!$A92</f>
        <v/>
      </c>
      <c r="B501" s="19">
        <f>'SW Rev'!$B92</f>
        <v/>
      </c>
      <c r="C501" s="30">
        <f>IFERROR(IF(AND(ISNUMBER('SW Rev'!G92),ISNUMBER('SW Rev'!F92)),'SW Rev'!G92-'SW Rev'!F92,""),"")</f>
        <v/>
      </c>
      <c r="D501" s="30">
        <f>IFERROR(IF(AND(ISNUMBER('SW Rev'!H92),ISNUMBER('SW Rev'!G92)),'SW Rev'!H92-'SW Rev'!G92,""),"")</f>
        <v/>
      </c>
      <c r="E501" s="30">
        <f>IFERROR(IF(AND(ISNUMBER('SW Rev'!I92),ISNUMBER('SW Rev'!H92)),'SW Rev'!I92-'SW Rev'!H92,""),"")</f>
        <v/>
      </c>
      <c r="F501" s="30">
        <f>IFERROR(IF(AND(ISNUMBER('SW Rev'!J92),ISNUMBER('SW Rev'!I92)),'SW Rev'!J92-'SW Rev'!I92,""),"")</f>
        <v/>
      </c>
      <c r="G501" s="30">
        <f>IFERROR(IF(AND(ISNUMBER('SW Rev'!K92),ISNUMBER('SW Rev'!J92)),'SW Rev'!K92-'SW Rev'!J92,""),"")</f>
        <v/>
      </c>
      <c r="H501" s="30">
        <f>IFERROR(IF(AND(ISNUMBER('SW Rev'!L92),ISNUMBER('SW Rev'!K92)),'SW Rev'!L92-'SW Rev'!K92,""),"")</f>
        <v/>
      </c>
      <c r="I501" s="30">
        <f>IFERROR(IF(AND(ISNUMBER('SW Rev'!M92),ISNUMBER('SW Rev'!L92)),'SW Rev'!M92-'SW Rev'!L92,""),"")</f>
        <v/>
      </c>
      <c r="J501" s="30">
        <f>IFERROR(IF(AND(ISNUMBER('SW Rev'!N92),ISNUMBER('SW Rev'!M92)),'SW Rev'!N92-'SW Rev'!M92,""),"")</f>
        <v/>
      </c>
      <c r="K501" s="30">
        <f>IFERROR(IF(AND(ISNUMBER('SW Rev'!O92),ISNUMBER('SW Rev'!N92)),'SW Rev'!O92-'SW Rev'!N92,""),"")</f>
        <v/>
      </c>
      <c r="L501" s="30">
        <f>IFERROR(IF(AND(ISNUMBER('SW Rev'!P92),ISNUMBER('SW Rev'!O92)),'SW Rev'!P92-'SW Rev'!O92,""),"")</f>
        <v/>
      </c>
      <c r="M501" s="31">
        <f>IFERROR(IF(AND(ISNUMBER('SW Rev'!Q92),ISNUMBER('SW Rev'!P92)),'SW Rev'!Q92-'SW Rev'!P92,""),"")</f>
        <v/>
      </c>
      <c r="N501" s="31">
        <f>IFERROR(IF(AND(ISNUMBER('SW Rev'!R92),ISNUMBER('SW Rev'!Q92)),'SW Rev'!R92-'SW Rev'!Q92,""),"")</f>
        <v/>
      </c>
    </row>
    <row r="502">
      <c r="A502" s="19">
        <f>'SW Rev'!$A93</f>
        <v/>
      </c>
      <c r="B502" s="19">
        <f>'SW Rev'!$B93</f>
        <v/>
      </c>
      <c r="C502" s="30">
        <f>IFERROR(IF(AND(ISNUMBER('SW Rev'!G93),ISNUMBER('SW Rev'!F93)),'SW Rev'!G93-'SW Rev'!F93,""),"")</f>
        <v/>
      </c>
      <c r="D502" s="30">
        <f>IFERROR(IF(AND(ISNUMBER('SW Rev'!H93),ISNUMBER('SW Rev'!G93)),'SW Rev'!H93-'SW Rev'!G93,""),"")</f>
        <v/>
      </c>
      <c r="E502" s="30">
        <f>IFERROR(IF(AND(ISNUMBER('SW Rev'!I93),ISNUMBER('SW Rev'!H93)),'SW Rev'!I93-'SW Rev'!H93,""),"")</f>
        <v/>
      </c>
      <c r="F502" s="30">
        <f>IFERROR(IF(AND(ISNUMBER('SW Rev'!J93),ISNUMBER('SW Rev'!I93)),'SW Rev'!J93-'SW Rev'!I93,""),"")</f>
        <v/>
      </c>
      <c r="G502" s="30">
        <f>IFERROR(IF(AND(ISNUMBER('SW Rev'!K93),ISNUMBER('SW Rev'!J93)),'SW Rev'!K93-'SW Rev'!J93,""),"")</f>
        <v/>
      </c>
      <c r="H502" s="30">
        <f>IFERROR(IF(AND(ISNUMBER('SW Rev'!L93),ISNUMBER('SW Rev'!K93)),'SW Rev'!L93-'SW Rev'!K93,""),"")</f>
        <v/>
      </c>
      <c r="I502" s="30">
        <f>IFERROR(IF(AND(ISNUMBER('SW Rev'!M93),ISNUMBER('SW Rev'!L93)),'SW Rev'!M93-'SW Rev'!L93,""),"")</f>
        <v/>
      </c>
      <c r="J502" s="30">
        <f>IFERROR(IF(AND(ISNUMBER('SW Rev'!N93),ISNUMBER('SW Rev'!M93)),'SW Rev'!N93-'SW Rev'!M93,""),"")</f>
        <v/>
      </c>
      <c r="K502" s="30">
        <f>IFERROR(IF(AND(ISNUMBER('SW Rev'!O93),ISNUMBER('SW Rev'!N93)),'SW Rev'!O93-'SW Rev'!N93,""),"")</f>
        <v/>
      </c>
      <c r="L502" s="30">
        <f>IFERROR(IF(AND(ISNUMBER('SW Rev'!P93),ISNUMBER('SW Rev'!O93)),'SW Rev'!P93-'SW Rev'!O93,""),"")</f>
        <v/>
      </c>
      <c r="M502" s="31">
        <f>IFERROR(IF(AND(ISNUMBER('SW Rev'!Q93),ISNUMBER('SW Rev'!P93)),'SW Rev'!Q93-'SW Rev'!P93,""),"")</f>
        <v/>
      </c>
      <c r="N502" s="31">
        <f>IFERROR(IF(AND(ISNUMBER('SW Rev'!R93),ISNUMBER('SW Rev'!Q93)),'SW Rev'!R93-'SW Rev'!Q93,""),"")</f>
        <v/>
      </c>
    </row>
    <row r="503">
      <c r="A503" s="19">
        <f>'SW Rev'!$A94</f>
        <v/>
      </c>
      <c r="B503" s="19">
        <f>'SW Rev'!$B94</f>
        <v/>
      </c>
      <c r="C503" s="30">
        <f>IFERROR(IF(AND(ISNUMBER('SW Rev'!G94),ISNUMBER('SW Rev'!F94)),'SW Rev'!G94-'SW Rev'!F94,""),"")</f>
        <v/>
      </c>
      <c r="D503" s="30">
        <f>IFERROR(IF(AND(ISNUMBER('SW Rev'!H94),ISNUMBER('SW Rev'!G94)),'SW Rev'!H94-'SW Rev'!G94,""),"")</f>
        <v/>
      </c>
      <c r="E503" s="30">
        <f>IFERROR(IF(AND(ISNUMBER('SW Rev'!I94),ISNUMBER('SW Rev'!H94)),'SW Rev'!I94-'SW Rev'!H94,""),"")</f>
        <v/>
      </c>
      <c r="F503" s="30">
        <f>IFERROR(IF(AND(ISNUMBER('SW Rev'!J94),ISNUMBER('SW Rev'!I94)),'SW Rev'!J94-'SW Rev'!I94,""),"")</f>
        <v/>
      </c>
      <c r="G503" s="30">
        <f>IFERROR(IF(AND(ISNUMBER('SW Rev'!K94),ISNUMBER('SW Rev'!J94)),'SW Rev'!K94-'SW Rev'!J94,""),"")</f>
        <v/>
      </c>
      <c r="H503" s="30">
        <f>IFERROR(IF(AND(ISNUMBER('SW Rev'!L94),ISNUMBER('SW Rev'!K94)),'SW Rev'!L94-'SW Rev'!K94,""),"")</f>
        <v/>
      </c>
      <c r="I503" s="30">
        <f>IFERROR(IF(AND(ISNUMBER('SW Rev'!M94),ISNUMBER('SW Rev'!L94)),'SW Rev'!M94-'SW Rev'!L94,""),"")</f>
        <v/>
      </c>
      <c r="J503" s="30">
        <f>IFERROR(IF(AND(ISNUMBER('SW Rev'!N94),ISNUMBER('SW Rev'!M94)),'SW Rev'!N94-'SW Rev'!M94,""),"")</f>
        <v/>
      </c>
      <c r="K503" s="30">
        <f>IFERROR(IF(AND(ISNUMBER('SW Rev'!O94),ISNUMBER('SW Rev'!N94)),'SW Rev'!O94-'SW Rev'!N94,""),"")</f>
        <v/>
      </c>
      <c r="L503" s="30">
        <f>IFERROR(IF(AND(ISNUMBER('SW Rev'!P94),ISNUMBER('SW Rev'!O94)),'SW Rev'!P94-'SW Rev'!O94,""),"")</f>
        <v/>
      </c>
      <c r="M503" s="31">
        <f>IFERROR(IF(AND(ISNUMBER('SW Rev'!Q94),ISNUMBER('SW Rev'!P94)),'SW Rev'!Q94-'SW Rev'!P94,""),"")</f>
        <v/>
      </c>
      <c r="N503" s="31">
        <f>IFERROR(IF(AND(ISNUMBER('SW Rev'!R94),ISNUMBER('SW Rev'!Q94)),'SW Rev'!R94-'SW Rev'!Q94,""),"")</f>
        <v/>
      </c>
    </row>
    <row r="504">
      <c r="A504" s="19">
        <f>'SW Rev'!$A95</f>
        <v/>
      </c>
      <c r="B504" s="19">
        <f>'SW Rev'!$B95</f>
        <v/>
      </c>
      <c r="C504" s="30">
        <f>IFERROR(IF(AND(ISNUMBER('SW Rev'!G95),ISNUMBER('SW Rev'!F95)),'SW Rev'!G95-'SW Rev'!F95,""),"")</f>
        <v/>
      </c>
      <c r="D504" s="30">
        <f>IFERROR(IF(AND(ISNUMBER('SW Rev'!H95),ISNUMBER('SW Rev'!G95)),'SW Rev'!H95-'SW Rev'!G95,""),"")</f>
        <v/>
      </c>
      <c r="E504" s="30">
        <f>IFERROR(IF(AND(ISNUMBER('SW Rev'!I95),ISNUMBER('SW Rev'!H95)),'SW Rev'!I95-'SW Rev'!H95,""),"")</f>
        <v/>
      </c>
      <c r="F504" s="30">
        <f>IFERROR(IF(AND(ISNUMBER('SW Rev'!J95),ISNUMBER('SW Rev'!I95)),'SW Rev'!J95-'SW Rev'!I95,""),"")</f>
        <v/>
      </c>
      <c r="G504" s="30">
        <f>IFERROR(IF(AND(ISNUMBER('SW Rev'!K95),ISNUMBER('SW Rev'!J95)),'SW Rev'!K95-'SW Rev'!J95,""),"")</f>
        <v/>
      </c>
      <c r="H504" s="30">
        <f>IFERROR(IF(AND(ISNUMBER('SW Rev'!L95),ISNUMBER('SW Rev'!K95)),'SW Rev'!L95-'SW Rev'!K95,""),"")</f>
        <v/>
      </c>
      <c r="I504" s="30">
        <f>IFERROR(IF(AND(ISNUMBER('SW Rev'!M95),ISNUMBER('SW Rev'!L95)),'SW Rev'!M95-'SW Rev'!L95,""),"")</f>
        <v/>
      </c>
      <c r="J504" s="30">
        <f>IFERROR(IF(AND(ISNUMBER('SW Rev'!N95),ISNUMBER('SW Rev'!M95)),'SW Rev'!N95-'SW Rev'!M95,""),"")</f>
        <v/>
      </c>
      <c r="K504" s="30">
        <f>IFERROR(IF(AND(ISNUMBER('SW Rev'!O95),ISNUMBER('SW Rev'!N95)),'SW Rev'!O95-'SW Rev'!N95,""),"")</f>
        <v/>
      </c>
      <c r="L504" s="30">
        <f>IFERROR(IF(AND(ISNUMBER('SW Rev'!P95),ISNUMBER('SW Rev'!O95)),'SW Rev'!P95-'SW Rev'!O95,""),"")</f>
        <v/>
      </c>
      <c r="M504" s="31">
        <f>IFERROR(IF(AND(ISNUMBER('SW Rev'!Q95),ISNUMBER('SW Rev'!P95)),'SW Rev'!Q95-'SW Rev'!P95,""),"")</f>
        <v/>
      </c>
      <c r="N504" s="31">
        <f>IFERROR(IF(AND(ISNUMBER('SW Rev'!R95),ISNUMBER('SW Rev'!Q95)),'SW Rev'!R95-'SW Rev'!Q95,""),"")</f>
        <v/>
      </c>
    </row>
    <row r="505">
      <c r="A505" s="19">
        <f>'SW Rev'!$A96</f>
        <v/>
      </c>
      <c r="B505" s="19">
        <f>'SW Rev'!$B96</f>
        <v/>
      </c>
      <c r="C505" s="30">
        <f>IFERROR(IF(AND(ISNUMBER('SW Rev'!G96),ISNUMBER('SW Rev'!F96)),'SW Rev'!G96-'SW Rev'!F96,""),"")</f>
        <v/>
      </c>
      <c r="D505" s="30">
        <f>IFERROR(IF(AND(ISNUMBER('SW Rev'!H96),ISNUMBER('SW Rev'!G96)),'SW Rev'!H96-'SW Rev'!G96,""),"")</f>
        <v/>
      </c>
      <c r="E505" s="30">
        <f>IFERROR(IF(AND(ISNUMBER('SW Rev'!I96),ISNUMBER('SW Rev'!H96)),'SW Rev'!I96-'SW Rev'!H96,""),"")</f>
        <v/>
      </c>
      <c r="F505" s="30">
        <f>IFERROR(IF(AND(ISNUMBER('SW Rev'!J96),ISNUMBER('SW Rev'!I96)),'SW Rev'!J96-'SW Rev'!I96,""),"")</f>
        <v/>
      </c>
      <c r="G505" s="30">
        <f>IFERROR(IF(AND(ISNUMBER('SW Rev'!K96),ISNUMBER('SW Rev'!J96)),'SW Rev'!K96-'SW Rev'!J96,""),"")</f>
        <v/>
      </c>
      <c r="H505" s="30">
        <f>IFERROR(IF(AND(ISNUMBER('SW Rev'!L96),ISNUMBER('SW Rev'!K96)),'SW Rev'!L96-'SW Rev'!K96,""),"")</f>
        <v/>
      </c>
      <c r="I505" s="30">
        <f>IFERROR(IF(AND(ISNUMBER('SW Rev'!M96),ISNUMBER('SW Rev'!L96)),'SW Rev'!M96-'SW Rev'!L96,""),"")</f>
        <v/>
      </c>
      <c r="J505" s="30">
        <f>IFERROR(IF(AND(ISNUMBER('SW Rev'!N96),ISNUMBER('SW Rev'!M96)),'SW Rev'!N96-'SW Rev'!M96,""),"")</f>
        <v/>
      </c>
      <c r="K505" s="30">
        <f>IFERROR(IF(AND(ISNUMBER('SW Rev'!O96),ISNUMBER('SW Rev'!N96)),'SW Rev'!O96-'SW Rev'!N96,""),"")</f>
        <v/>
      </c>
      <c r="L505" s="30">
        <f>IFERROR(IF(AND(ISNUMBER('SW Rev'!P96),ISNUMBER('SW Rev'!O96)),'SW Rev'!P96-'SW Rev'!O96,""),"")</f>
        <v/>
      </c>
      <c r="M505" s="31">
        <f>IFERROR(IF(AND(ISNUMBER('SW Rev'!Q96),ISNUMBER('SW Rev'!P96)),'SW Rev'!Q96-'SW Rev'!P96,""),"")</f>
        <v/>
      </c>
      <c r="N505" s="31">
        <f>IFERROR(IF(AND(ISNUMBER('SW Rev'!R96),ISNUMBER('SW Rev'!Q96)),'SW Rev'!R96-'SW Rev'!Q96,""),"")</f>
        <v/>
      </c>
    </row>
    <row r="506">
      <c r="A506" s="19">
        <f>'SW Rev'!$A97</f>
        <v/>
      </c>
      <c r="B506" s="19">
        <f>'SW Rev'!$B97</f>
        <v/>
      </c>
      <c r="C506" s="30">
        <f>IFERROR(IF(AND(ISNUMBER('SW Rev'!G97),ISNUMBER('SW Rev'!F97)),'SW Rev'!G97-'SW Rev'!F97,""),"")</f>
        <v/>
      </c>
      <c r="D506" s="30">
        <f>IFERROR(IF(AND(ISNUMBER('SW Rev'!H97),ISNUMBER('SW Rev'!G97)),'SW Rev'!H97-'SW Rev'!G97,""),"")</f>
        <v/>
      </c>
      <c r="E506" s="30">
        <f>IFERROR(IF(AND(ISNUMBER('SW Rev'!I97),ISNUMBER('SW Rev'!H97)),'SW Rev'!I97-'SW Rev'!H97,""),"")</f>
        <v/>
      </c>
      <c r="F506" s="30">
        <f>IFERROR(IF(AND(ISNUMBER('SW Rev'!J97),ISNUMBER('SW Rev'!I97)),'SW Rev'!J97-'SW Rev'!I97,""),"")</f>
        <v/>
      </c>
      <c r="G506" s="30">
        <f>IFERROR(IF(AND(ISNUMBER('SW Rev'!K97),ISNUMBER('SW Rev'!J97)),'SW Rev'!K97-'SW Rev'!J97,""),"")</f>
        <v/>
      </c>
      <c r="H506" s="30">
        <f>IFERROR(IF(AND(ISNUMBER('SW Rev'!L97),ISNUMBER('SW Rev'!K97)),'SW Rev'!L97-'SW Rev'!K97,""),"")</f>
        <v/>
      </c>
      <c r="I506" s="30">
        <f>IFERROR(IF(AND(ISNUMBER('SW Rev'!M97),ISNUMBER('SW Rev'!L97)),'SW Rev'!M97-'SW Rev'!L97,""),"")</f>
        <v/>
      </c>
      <c r="J506" s="30">
        <f>IFERROR(IF(AND(ISNUMBER('SW Rev'!N97),ISNUMBER('SW Rev'!M97)),'SW Rev'!N97-'SW Rev'!M97,""),"")</f>
        <v/>
      </c>
      <c r="K506" s="30">
        <f>IFERROR(IF(AND(ISNUMBER('SW Rev'!O97),ISNUMBER('SW Rev'!N97)),'SW Rev'!O97-'SW Rev'!N97,""),"")</f>
        <v/>
      </c>
      <c r="L506" s="30">
        <f>IFERROR(IF(AND(ISNUMBER('SW Rev'!P97),ISNUMBER('SW Rev'!O97)),'SW Rev'!P97-'SW Rev'!O97,""),"")</f>
        <v/>
      </c>
      <c r="M506" s="31">
        <f>IFERROR(IF(AND(ISNUMBER('SW Rev'!Q97),ISNUMBER('SW Rev'!P97)),'SW Rev'!Q97-'SW Rev'!P97,""),"")</f>
        <v/>
      </c>
      <c r="N506" s="31">
        <f>IFERROR(IF(AND(ISNUMBER('SW Rev'!R97),ISNUMBER('SW Rev'!Q97)),'SW Rev'!R97-'SW Rev'!Q97,""),"")</f>
        <v/>
      </c>
    </row>
    <row r="507">
      <c r="A507" s="19">
        <f>'SW Rev'!$A98</f>
        <v/>
      </c>
      <c r="B507" s="19">
        <f>'SW Rev'!$B98</f>
        <v/>
      </c>
      <c r="C507" s="30">
        <f>IFERROR(IF(AND(ISNUMBER('SW Rev'!G98),ISNUMBER('SW Rev'!F98)),'SW Rev'!G98-'SW Rev'!F98,""),"")</f>
        <v/>
      </c>
      <c r="D507" s="30">
        <f>IFERROR(IF(AND(ISNUMBER('SW Rev'!H98),ISNUMBER('SW Rev'!G98)),'SW Rev'!H98-'SW Rev'!G98,""),"")</f>
        <v/>
      </c>
      <c r="E507" s="30">
        <f>IFERROR(IF(AND(ISNUMBER('SW Rev'!I98),ISNUMBER('SW Rev'!H98)),'SW Rev'!I98-'SW Rev'!H98,""),"")</f>
        <v/>
      </c>
      <c r="F507" s="30">
        <f>IFERROR(IF(AND(ISNUMBER('SW Rev'!J98),ISNUMBER('SW Rev'!I98)),'SW Rev'!J98-'SW Rev'!I98,""),"")</f>
        <v/>
      </c>
      <c r="G507" s="30">
        <f>IFERROR(IF(AND(ISNUMBER('SW Rev'!K98),ISNUMBER('SW Rev'!J98)),'SW Rev'!K98-'SW Rev'!J98,""),"")</f>
        <v/>
      </c>
      <c r="H507" s="30">
        <f>IFERROR(IF(AND(ISNUMBER('SW Rev'!L98),ISNUMBER('SW Rev'!K98)),'SW Rev'!L98-'SW Rev'!K98,""),"")</f>
        <v/>
      </c>
      <c r="I507" s="30">
        <f>IFERROR(IF(AND(ISNUMBER('SW Rev'!M98),ISNUMBER('SW Rev'!L98)),'SW Rev'!M98-'SW Rev'!L98,""),"")</f>
        <v/>
      </c>
      <c r="J507" s="30">
        <f>IFERROR(IF(AND(ISNUMBER('SW Rev'!N98),ISNUMBER('SW Rev'!M98)),'SW Rev'!N98-'SW Rev'!M98,""),"")</f>
        <v/>
      </c>
      <c r="K507" s="30">
        <f>IFERROR(IF(AND(ISNUMBER('SW Rev'!O98),ISNUMBER('SW Rev'!N98)),'SW Rev'!O98-'SW Rev'!N98,""),"")</f>
        <v/>
      </c>
      <c r="L507" s="30">
        <f>IFERROR(IF(AND(ISNUMBER('SW Rev'!P98),ISNUMBER('SW Rev'!O98)),'SW Rev'!P98-'SW Rev'!O98,""),"")</f>
        <v/>
      </c>
      <c r="M507" s="31">
        <f>IFERROR(IF(AND(ISNUMBER('SW Rev'!Q98),ISNUMBER('SW Rev'!P98)),'SW Rev'!Q98-'SW Rev'!P98,""),"")</f>
        <v/>
      </c>
      <c r="N507" s="31">
        <f>IFERROR(IF(AND(ISNUMBER('SW Rev'!R98),ISNUMBER('SW Rev'!Q98)),'SW Rev'!R98-'SW Rev'!Q98,""),"")</f>
        <v/>
      </c>
    </row>
    <row r="508">
      <c r="A508" s="19">
        <f>'SW Rev'!$A99</f>
        <v/>
      </c>
      <c r="B508" s="19">
        <f>'SW Rev'!$B99</f>
        <v/>
      </c>
      <c r="C508" s="30">
        <f>IFERROR(IF(AND(ISNUMBER('SW Rev'!G99),ISNUMBER('SW Rev'!F99)),'SW Rev'!G99-'SW Rev'!F99,""),"")</f>
        <v/>
      </c>
      <c r="D508" s="30">
        <f>IFERROR(IF(AND(ISNUMBER('SW Rev'!H99),ISNUMBER('SW Rev'!G99)),'SW Rev'!H99-'SW Rev'!G99,""),"")</f>
        <v/>
      </c>
      <c r="E508" s="30">
        <f>IFERROR(IF(AND(ISNUMBER('SW Rev'!I99),ISNUMBER('SW Rev'!H99)),'SW Rev'!I99-'SW Rev'!H99,""),"")</f>
        <v/>
      </c>
      <c r="F508" s="30">
        <f>IFERROR(IF(AND(ISNUMBER('SW Rev'!J99),ISNUMBER('SW Rev'!I99)),'SW Rev'!J99-'SW Rev'!I99,""),"")</f>
        <v/>
      </c>
      <c r="G508" s="30">
        <f>IFERROR(IF(AND(ISNUMBER('SW Rev'!K99),ISNUMBER('SW Rev'!J99)),'SW Rev'!K99-'SW Rev'!J99,""),"")</f>
        <v/>
      </c>
      <c r="H508" s="30">
        <f>IFERROR(IF(AND(ISNUMBER('SW Rev'!L99),ISNUMBER('SW Rev'!K99)),'SW Rev'!L99-'SW Rev'!K99,""),"")</f>
        <v/>
      </c>
      <c r="I508" s="30">
        <f>IFERROR(IF(AND(ISNUMBER('SW Rev'!M99),ISNUMBER('SW Rev'!L99)),'SW Rev'!M99-'SW Rev'!L99,""),"")</f>
        <v/>
      </c>
      <c r="J508" s="30">
        <f>IFERROR(IF(AND(ISNUMBER('SW Rev'!N99),ISNUMBER('SW Rev'!M99)),'SW Rev'!N99-'SW Rev'!M99,""),"")</f>
        <v/>
      </c>
      <c r="K508" s="30">
        <f>IFERROR(IF(AND(ISNUMBER('SW Rev'!O99),ISNUMBER('SW Rev'!N99)),'SW Rev'!O99-'SW Rev'!N99,""),"")</f>
        <v/>
      </c>
      <c r="L508" s="30">
        <f>IFERROR(IF(AND(ISNUMBER('SW Rev'!P99),ISNUMBER('SW Rev'!O99)),'SW Rev'!P99-'SW Rev'!O99,""),"")</f>
        <v/>
      </c>
      <c r="M508" s="31">
        <f>IFERROR(IF(AND(ISNUMBER('SW Rev'!Q99),ISNUMBER('SW Rev'!P99)),'SW Rev'!Q99-'SW Rev'!P99,""),"")</f>
        <v/>
      </c>
      <c r="N508" s="31">
        <f>IFERROR(IF(AND(ISNUMBER('SW Rev'!R99),ISNUMBER('SW Rev'!Q99)),'SW Rev'!R99-'SW Rev'!Q99,""),"")</f>
        <v/>
      </c>
    </row>
    <row r="509">
      <c r="A509" s="19">
        <f>'SW Rev'!$A100</f>
        <v/>
      </c>
      <c r="B509" s="19">
        <f>'SW Rev'!$B100</f>
        <v/>
      </c>
      <c r="C509" s="30">
        <f>IFERROR(IF(AND(ISNUMBER('SW Rev'!G100),ISNUMBER('SW Rev'!F100)),'SW Rev'!G100-'SW Rev'!F100,""),"")</f>
        <v/>
      </c>
      <c r="D509" s="30">
        <f>IFERROR(IF(AND(ISNUMBER('SW Rev'!H100),ISNUMBER('SW Rev'!G100)),'SW Rev'!H100-'SW Rev'!G100,""),"")</f>
        <v/>
      </c>
      <c r="E509" s="30">
        <f>IFERROR(IF(AND(ISNUMBER('SW Rev'!I100),ISNUMBER('SW Rev'!H100)),'SW Rev'!I100-'SW Rev'!H100,""),"")</f>
        <v/>
      </c>
      <c r="F509" s="30">
        <f>IFERROR(IF(AND(ISNUMBER('SW Rev'!J100),ISNUMBER('SW Rev'!I100)),'SW Rev'!J100-'SW Rev'!I100,""),"")</f>
        <v/>
      </c>
      <c r="G509" s="30">
        <f>IFERROR(IF(AND(ISNUMBER('SW Rev'!K100),ISNUMBER('SW Rev'!J100)),'SW Rev'!K100-'SW Rev'!J100,""),"")</f>
        <v/>
      </c>
      <c r="H509" s="30">
        <f>IFERROR(IF(AND(ISNUMBER('SW Rev'!L100),ISNUMBER('SW Rev'!K100)),'SW Rev'!L100-'SW Rev'!K100,""),"")</f>
        <v/>
      </c>
      <c r="I509" s="30">
        <f>IFERROR(IF(AND(ISNUMBER('SW Rev'!M100),ISNUMBER('SW Rev'!L100)),'SW Rev'!M100-'SW Rev'!L100,""),"")</f>
        <v/>
      </c>
      <c r="J509" s="30">
        <f>IFERROR(IF(AND(ISNUMBER('SW Rev'!N100),ISNUMBER('SW Rev'!M100)),'SW Rev'!N100-'SW Rev'!M100,""),"")</f>
        <v/>
      </c>
      <c r="K509" s="30">
        <f>IFERROR(IF(AND(ISNUMBER('SW Rev'!O100),ISNUMBER('SW Rev'!N100)),'SW Rev'!O100-'SW Rev'!N100,""),"")</f>
        <v/>
      </c>
      <c r="L509" s="30">
        <f>IFERROR(IF(AND(ISNUMBER('SW Rev'!P100),ISNUMBER('SW Rev'!O100)),'SW Rev'!P100-'SW Rev'!O100,""),"")</f>
        <v/>
      </c>
      <c r="M509" s="31">
        <f>IFERROR(IF(AND(ISNUMBER('SW Rev'!Q100),ISNUMBER('SW Rev'!P100)),'SW Rev'!Q100-'SW Rev'!P100,""),"")</f>
        <v/>
      </c>
      <c r="N509" s="31">
        <f>IFERROR(IF(AND(ISNUMBER('SW Rev'!R100),ISNUMBER('SW Rev'!Q100)),'SW Rev'!R100-'SW Rev'!Q100,""),"")</f>
        <v/>
      </c>
    </row>
    <row r="510">
      <c r="A510" s="19">
        <f>'SW Rev'!$A101</f>
        <v/>
      </c>
      <c r="B510" s="19">
        <f>'SW Rev'!$B101</f>
        <v/>
      </c>
      <c r="C510" s="30">
        <f>IFERROR(IF(AND(ISNUMBER('SW Rev'!G101),ISNUMBER('SW Rev'!F101)),'SW Rev'!G101-'SW Rev'!F101,""),"")</f>
        <v/>
      </c>
      <c r="D510" s="30">
        <f>IFERROR(IF(AND(ISNUMBER('SW Rev'!H101),ISNUMBER('SW Rev'!G101)),'SW Rev'!H101-'SW Rev'!G101,""),"")</f>
        <v/>
      </c>
      <c r="E510" s="30">
        <f>IFERROR(IF(AND(ISNUMBER('SW Rev'!I101),ISNUMBER('SW Rev'!H101)),'SW Rev'!I101-'SW Rev'!H101,""),"")</f>
        <v/>
      </c>
      <c r="F510" s="30">
        <f>IFERROR(IF(AND(ISNUMBER('SW Rev'!J101),ISNUMBER('SW Rev'!I101)),'SW Rev'!J101-'SW Rev'!I101,""),"")</f>
        <v/>
      </c>
      <c r="G510" s="30">
        <f>IFERROR(IF(AND(ISNUMBER('SW Rev'!K101),ISNUMBER('SW Rev'!J101)),'SW Rev'!K101-'SW Rev'!J101,""),"")</f>
        <v/>
      </c>
      <c r="H510" s="30">
        <f>IFERROR(IF(AND(ISNUMBER('SW Rev'!L101),ISNUMBER('SW Rev'!K101)),'SW Rev'!L101-'SW Rev'!K101,""),"")</f>
        <v/>
      </c>
      <c r="I510" s="30">
        <f>IFERROR(IF(AND(ISNUMBER('SW Rev'!M101),ISNUMBER('SW Rev'!L101)),'SW Rev'!M101-'SW Rev'!L101,""),"")</f>
        <v/>
      </c>
      <c r="J510" s="30">
        <f>IFERROR(IF(AND(ISNUMBER('SW Rev'!N101),ISNUMBER('SW Rev'!M101)),'SW Rev'!N101-'SW Rev'!M101,""),"")</f>
        <v/>
      </c>
      <c r="K510" s="30">
        <f>IFERROR(IF(AND(ISNUMBER('SW Rev'!O101),ISNUMBER('SW Rev'!N101)),'SW Rev'!O101-'SW Rev'!N101,""),"")</f>
        <v/>
      </c>
      <c r="L510" s="30">
        <f>IFERROR(IF(AND(ISNUMBER('SW Rev'!P101),ISNUMBER('SW Rev'!O101)),'SW Rev'!P101-'SW Rev'!O101,""),"")</f>
        <v/>
      </c>
      <c r="M510" s="31">
        <f>IFERROR(IF(AND(ISNUMBER('SW Rev'!Q101),ISNUMBER('SW Rev'!P101)),'SW Rev'!Q101-'SW Rev'!P101,""),"")</f>
        <v/>
      </c>
      <c r="N510" s="31">
        <f>IFERROR(IF(AND(ISNUMBER('SW Rev'!R101),ISNUMBER('SW Rev'!Q101)),'SW Rev'!R101-'SW Rev'!Q101,""),"")</f>
        <v/>
      </c>
    </row>
    <row r="511">
      <c r="A511" s="19">
        <f>'SW Rev'!$A102</f>
        <v/>
      </c>
      <c r="B511" s="19">
        <f>'SW Rev'!$B102</f>
        <v/>
      </c>
      <c r="C511" s="30">
        <f>IFERROR(IF(AND(ISNUMBER('SW Rev'!G102),ISNUMBER('SW Rev'!F102)),'SW Rev'!G102-'SW Rev'!F102,""),"")</f>
        <v/>
      </c>
      <c r="D511" s="30">
        <f>IFERROR(IF(AND(ISNUMBER('SW Rev'!H102),ISNUMBER('SW Rev'!G102)),'SW Rev'!H102-'SW Rev'!G102,""),"")</f>
        <v/>
      </c>
      <c r="E511" s="30">
        <f>IFERROR(IF(AND(ISNUMBER('SW Rev'!I102),ISNUMBER('SW Rev'!H102)),'SW Rev'!I102-'SW Rev'!H102,""),"")</f>
        <v/>
      </c>
      <c r="F511" s="30">
        <f>IFERROR(IF(AND(ISNUMBER('SW Rev'!J102),ISNUMBER('SW Rev'!I102)),'SW Rev'!J102-'SW Rev'!I102,""),"")</f>
        <v/>
      </c>
      <c r="G511" s="30">
        <f>IFERROR(IF(AND(ISNUMBER('SW Rev'!K102),ISNUMBER('SW Rev'!J102)),'SW Rev'!K102-'SW Rev'!J102,""),"")</f>
        <v/>
      </c>
      <c r="H511" s="30">
        <f>IFERROR(IF(AND(ISNUMBER('SW Rev'!L102),ISNUMBER('SW Rev'!K102)),'SW Rev'!L102-'SW Rev'!K102,""),"")</f>
        <v/>
      </c>
      <c r="I511" s="30">
        <f>IFERROR(IF(AND(ISNUMBER('SW Rev'!M102),ISNUMBER('SW Rev'!L102)),'SW Rev'!M102-'SW Rev'!L102,""),"")</f>
        <v/>
      </c>
      <c r="J511" s="30">
        <f>IFERROR(IF(AND(ISNUMBER('SW Rev'!N102),ISNUMBER('SW Rev'!M102)),'SW Rev'!N102-'SW Rev'!M102,""),"")</f>
        <v/>
      </c>
      <c r="K511" s="30">
        <f>IFERROR(IF(AND(ISNUMBER('SW Rev'!O102),ISNUMBER('SW Rev'!N102)),'SW Rev'!O102-'SW Rev'!N102,""),"")</f>
        <v/>
      </c>
      <c r="L511" s="30">
        <f>IFERROR(IF(AND(ISNUMBER('SW Rev'!P102),ISNUMBER('SW Rev'!O102)),'SW Rev'!P102-'SW Rev'!O102,""),"")</f>
        <v/>
      </c>
      <c r="M511" s="31">
        <f>IFERROR(IF(AND(ISNUMBER('SW Rev'!Q102),ISNUMBER('SW Rev'!P102)),'SW Rev'!Q102-'SW Rev'!P102,""),"")</f>
        <v/>
      </c>
      <c r="N511" s="31">
        <f>IFERROR(IF(AND(ISNUMBER('SW Rev'!R102),ISNUMBER('SW Rev'!Q102)),'SW Rev'!R102-'SW Rev'!Q102,""),"")</f>
        <v/>
      </c>
    </row>
    <row r="512">
      <c r="A512" s="19">
        <f>'SW Rev'!$A103</f>
        <v/>
      </c>
      <c r="B512" s="19">
        <f>'SW Rev'!$B103</f>
        <v/>
      </c>
      <c r="C512" s="30">
        <f>IFERROR(IF(AND(ISNUMBER('SW Rev'!G103),ISNUMBER('SW Rev'!F103)),'SW Rev'!G103-'SW Rev'!F103,""),"")</f>
        <v/>
      </c>
      <c r="D512" s="30">
        <f>IFERROR(IF(AND(ISNUMBER('SW Rev'!H103),ISNUMBER('SW Rev'!G103)),'SW Rev'!H103-'SW Rev'!G103,""),"")</f>
        <v/>
      </c>
      <c r="E512" s="30">
        <f>IFERROR(IF(AND(ISNUMBER('SW Rev'!I103),ISNUMBER('SW Rev'!H103)),'SW Rev'!I103-'SW Rev'!H103,""),"")</f>
        <v/>
      </c>
      <c r="F512" s="30">
        <f>IFERROR(IF(AND(ISNUMBER('SW Rev'!J103),ISNUMBER('SW Rev'!I103)),'SW Rev'!J103-'SW Rev'!I103,""),"")</f>
        <v/>
      </c>
      <c r="G512" s="30">
        <f>IFERROR(IF(AND(ISNUMBER('SW Rev'!K103),ISNUMBER('SW Rev'!J103)),'SW Rev'!K103-'SW Rev'!J103,""),"")</f>
        <v/>
      </c>
      <c r="H512" s="30">
        <f>IFERROR(IF(AND(ISNUMBER('SW Rev'!L103),ISNUMBER('SW Rev'!K103)),'SW Rev'!L103-'SW Rev'!K103,""),"")</f>
        <v/>
      </c>
      <c r="I512" s="30">
        <f>IFERROR(IF(AND(ISNUMBER('SW Rev'!M103),ISNUMBER('SW Rev'!L103)),'SW Rev'!M103-'SW Rev'!L103,""),"")</f>
        <v/>
      </c>
      <c r="J512" s="30">
        <f>IFERROR(IF(AND(ISNUMBER('SW Rev'!N103),ISNUMBER('SW Rev'!M103)),'SW Rev'!N103-'SW Rev'!M103,""),"")</f>
        <v/>
      </c>
      <c r="K512" s="30">
        <f>IFERROR(IF(AND(ISNUMBER('SW Rev'!O103),ISNUMBER('SW Rev'!N103)),'SW Rev'!O103-'SW Rev'!N103,""),"")</f>
        <v/>
      </c>
      <c r="L512" s="30">
        <f>IFERROR(IF(AND(ISNUMBER('SW Rev'!P103),ISNUMBER('SW Rev'!O103)),'SW Rev'!P103-'SW Rev'!O103,""),"")</f>
        <v/>
      </c>
      <c r="M512" s="31">
        <f>IFERROR(IF(AND(ISNUMBER('SW Rev'!Q103),ISNUMBER('SW Rev'!P103)),'SW Rev'!Q103-'SW Rev'!P103,""),"")</f>
        <v/>
      </c>
      <c r="N512" s="31">
        <f>IFERROR(IF(AND(ISNUMBER('SW Rev'!R103),ISNUMBER('SW Rev'!Q103)),'SW Rev'!R103-'SW Rev'!Q103,""),"")</f>
        <v/>
      </c>
    </row>
    <row r="514">
      <c r="A514" s="49" t="inlineStr">
        <is>
          <t>Adj. operating margin %</t>
        </is>
      </c>
      <c r="B514" s="50" t="n"/>
      <c r="C514" s="50" t="n"/>
      <c r="D514" s="50" t="n"/>
      <c r="E514" s="50" t="n"/>
      <c r="F514" s="50" t="n"/>
      <c r="G514" s="50" t="n"/>
      <c r="H514" s="50" t="n"/>
      <c r="I514" s="50" t="n"/>
      <c r="J514" s="50" t="n"/>
      <c r="K514" s="50" t="n"/>
      <c r="L514" s="50" t="n"/>
      <c r="M514" s="50" t="n"/>
      <c r="N514" s="50" t="n"/>
    </row>
    <row r="515" ht="28" customHeight="1">
      <c r="A515" s="8" t="inlineStr">
        <is>
          <t>Ticker</t>
        </is>
      </c>
      <c r="B515" s="8" t="inlineStr">
        <is>
          <t>Latest Rpt Qtr</t>
        </is>
      </c>
      <c r="C515" s="8" t="inlineStr">
        <is>
          <t>FPO -9</t>
        </is>
      </c>
      <c r="D515" s="8" t="inlineStr">
        <is>
          <t>FPO -8</t>
        </is>
      </c>
      <c r="E515" s="8" t="inlineStr">
        <is>
          <t>FPO -7</t>
        </is>
      </c>
      <c r="F515" s="8" t="inlineStr">
        <is>
          <t>FPO -6</t>
        </is>
      </c>
      <c r="G515" s="8" t="inlineStr">
        <is>
          <t>FPO -5</t>
        </is>
      </c>
      <c r="H515" s="8" t="inlineStr">
        <is>
          <t>FPO -4</t>
        </is>
      </c>
      <c r="I515" s="8" t="inlineStr">
        <is>
          <t>FPO -3</t>
        </is>
      </c>
      <c r="J515" s="8" t="inlineStr">
        <is>
          <t>FPO -2</t>
        </is>
      </c>
      <c r="K515" s="8" t="inlineStr">
        <is>
          <t>FPO -1</t>
        </is>
      </c>
      <c r="L515" s="8" t="inlineStr">
        <is>
          <t>FPO 0 (latest rpt)</t>
        </is>
      </c>
      <c r="M515" s="8" t="inlineStr">
        <is>
          <t>FPO +1E</t>
        </is>
      </c>
      <c r="N515" s="8" t="inlineStr">
        <is>
          <t>FPO +2E</t>
        </is>
      </c>
    </row>
    <row r="516">
      <c r="A516" s="19">
        <f>'SW Rev'!$A5</f>
        <v/>
      </c>
      <c r="B516" s="19">
        <f>'SW Rev'!$B5</f>
        <v/>
      </c>
      <c r="C516" s="37">
        <f>IFERROR(IF(AND(ISNUMBER('SW OpInc'!G5),ISNUMBER('SW Rev'!G5),'SW Rev'!G5&gt;0),'SW OpInc'!G5/'SW Rev'!G5,""),"")</f>
        <v/>
      </c>
      <c r="D516" s="37">
        <f>IFERROR(IF(AND(ISNUMBER('SW OpInc'!H5),ISNUMBER('SW Rev'!H5),'SW Rev'!H5&gt;0),'SW OpInc'!H5/'SW Rev'!H5,""),"")</f>
        <v/>
      </c>
      <c r="E516" s="37">
        <f>IFERROR(IF(AND(ISNUMBER('SW OpInc'!I5),ISNUMBER('SW Rev'!I5),'SW Rev'!I5&gt;0),'SW OpInc'!I5/'SW Rev'!I5,""),"")</f>
        <v/>
      </c>
      <c r="F516" s="37">
        <f>IFERROR(IF(AND(ISNUMBER('SW OpInc'!J5),ISNUMBER('SW Rev'!J5),'SW Rev'!J5&gt;0),'SW OpInc'!J5/'SW Rev'!J5,""),"")</f>
        <v/>
      </c>
      <c r="G516" s="37">
        <f>IFERROR(IF(AND(ISNUMBER('SW OpInc'!K5),ISNUMBER('SW Rev'!K5),'SW Rev'!K5&gt;0),'SW OpInc'!K5/'SW Rev'!K5,""),"")</f>
        <v/>
      </c>
      <c r="H516" s="37">
        <f>IFERROR(IF(AND(ISNUMBER('SW OpInc'!L5),ISNUMBER('SW Rev'!L5),'SW Rev'!L5&gt;0),'SW OpInc'!L5/'SW Rev'!L5,""),"")</f>
        <v/>
      </c>
      <c r="I516" s="37">
        <f>IFERROR(IF(AND(ISNUMBER('SW OpInc'!M5),ISNUMBER('SW Rev'!M5),'SW Rev'!M5&gt;0),'SW OpInc'!M5/'SW Rev'!M5,""),"")</f>
        <v/>
      </c>
      <c r="J516" s="37">
        <f>IFERROR(IF(AND(ISNUMBER('SW OpInc'!N5),ISNUMBER('SW Rev'!N5),'SW Rev'!N5&gt;0),'SW OpInc'!N5/'SW Rev'!N5,""),"")</f>
        <v/>
      </c>
      <c r="K516" s="37">
        <f>IFERROR(IF(AND(ISNUMBER('SW OpInc'!O5),ISNUMBER('SW Rev'!O5),'SW Rev'!O5&gt;0),'SW OpInc'!O5/'SW Rev'!O5,""),"")</f>
        <v/>
      </c>
      <c r="L516" s="37">
        <f>IFERROR(IF(AND(ISNUMBER('SW OpInc'!P5),ISNUMBER('SW Rev'!P5),'SW Rev'!P5&gt;0),'SW OpInc'!P5/'SW Rev'!P5,""),"")</f>
        <v/>
      </c>
      <c r="M516" s="38">
        <f>IFERROR(IF(AND(ISNUMBER('SW OpInc'!Q5),ISNUMBER('SW Rev'!Q5),'SW Rev'!Q5&gt;0),'SW OpInc'!Q5/'SW Rev'!Q5,""),"")</f>
        <v/>
      </c>
      <c r="N516" s="38">
        <f>IFERROR(IF(AND(ISNUMBER('SW OpInc'!R5),ISNUMBER('SW Rev'!R5),'SW Rev'!R5&gt;0),'SW OpInc'!R5/'SW Rev'!R5,""),"")</f>
        <v/>
      </c>
    </row>
    <row r="517">
      <c r="A517" s="19">
        <f>'SW Rev'!$A6</f>
        <v/>
      </c>
      <c r="B517" s="19">
        <f>'SW Rev'!$B6</f>
        <v/>
      </c>
      <c r="C517" s="37">
        <f>IFERROR(IF(AND(ISNUMBER('SW OpInc'!G6),ISNUMBER('SW Rev'!G6),'SW Rev'!G6&gt;0),'SW OpInc'!G6/'SW Rev'!G6,""),"")</f>
        <v/>
      </c>
      <c r="D517" s="37">
        <f>IFERROR(IF(AND(ISNUMBER('SW OpInc'!H6),ISNUMBER('SW Rev'!H6),'SW Rev'!H6&gt;0),'SW OpInc'!H6/'SW Rev'!H6,""),"")</f>
        <v/>
      </c>
      <c r="E517" s="37">
        <f>IFERROR(IF(AND(ISNUMBER('SW OpInc'!I6),ISNUMBER('SW Rev'!I6),'SW Rev'!I6&gt;0),'SW OpInc'!I6/'SW Rev'!I6,""),"")</f>
        <v/>
      </c>
      <c r="F517" s="37">
        <f>IFERROR(IF(AND(ISNUMBER('SW OpInc'!J6),ISNUMBER('SW Rev'!J6),'SW Rev'!J6&gt;0),'SW OpInc'!J6/'SW Rev'!J6,""),"")</f>
        <v/>
      </c>
      <c r="G517" s="37">
        <f>IFERROR(IF(AND(ISNUMBER('SW OpInc'!K6),ISNUMBER('SW Rev'!K6),'SW Rev'!K6&gt;0),'SW OpInc'!K6/'SW Rev'!K6,""),"")</f>
        <v/>
      </c>
      <c r="H517" s="37">
        <f>IFERROR(IF(AND(ISNUMBER('SW OpInc'!L6),ISNUMBER('SW Rev'!L6),'SW Rev'!L6&gt;0),'SW OpInc'!L6/'SW Rev'!L6,""),"")</f>
        <v/>
      </c>
      <c r="I517" s="37">
        <f>IFERROR(IF(AND(ISNUMBER('SW OpInc'!M6),ISNUMBER('SW Rev'!M6),'SW Rev'!M6&gt;0),'SW OpInc'!M6/'SW Rev'!M6,""),"")</f>
        <v/>
      </c>
      <c r="J517" s="37">
        <f>IFERROR(IF(AND(ISNUMBER('SW OpInc'!N6),ISNUMBER('SW Rev'!N6),'SW Rev'!N6&gt;0),'SW OpInc'!N6/'SW Rev'!N6,""),"")</f>
        <v/>
      </c>
      <c r="K517" s="37">
        <f>IFERROR(IF(AND(ISNUMBER('SW OpInc'!O6),ISNUMBER('SW Rev'!O6),'SW Rev'!O6&gt;0),'SW OpInc'!O6/'SW Rev'!O6,""),"")</f>
        <v/>
      </c>
      <c r="L517" s="37">
        <f>IFERROR(IF(AND(ISNUMBER('SW OpInc'!P6),ISNUMBER('SW Rev'!P6),'SW Rev'!P6&gt;0),'SW OpInc'!P6/'SW Rev'!P6,""),"")</f>
        <v/>
      </c>
      <c r="M517" s="38">
        <f>IFERROR(IF(AND(ISNUMBER('SW OpInc'!Q6),ISNUMBER('SW Rev'!Q6),'SW Rev'!Q6&gt;0),'SW OpInc'!Q6/'SW Rev'!Q6,""),"")</f>
        <v/>
      </c>
      <c r="N517" s="38">
        <f>IFERROR(IF(AND(ISNUMBER('SW OpInc'!R6),ISNUMBER('SW Rev'!R6),'SW Rev'!R6&gt;0),'SW OpInc'!R6/'SW Rev'!R6,""),"")</f>
        <v/>
      </c>
    </row>
    <row r="518">
      <c r="A518" s="19">
        <f>'SW Rev'!$A7</f>
        <v/>
      </c>
      <c r="B518" s="19">
        <f>'SW Rev'!$B7</f>
        <v/>
      </c>
      <c r="C518" s="37">
        <f>IFERROR(IF(AND(ISNUMBER('SW OpInc'!G7),ISNUMBER('SW Rev'!G7),'SW Rev'!G7&gt;0),'SW OpInc'!G7/'SW Rev'!G7,""),"")</f>
        <v/>
      </c>
      <c r="D518" s="37">
        <f>IFERROR(IF(AND(ISNUMBER('SW OpInc'!H7),ISNUMBER('SW Rev'!H7),'SW Rev'!H7&gt;0),'SW OpInc'!H7/'SW Rev'!H7,""),"")</f>
        <v/>
      </c>
      <c r="E518" s="37">
        <f>IFERROR(IF(AND(ISNUMBER('SW OpInc'!I7),ISNUMBER('SW Rev'!I7),'SW Rev'!I7&gt;0),'SW OpInc'!I7/'SW Rev'!I7,""),"")</f>
        <v/>
      </c>
      <c r="F518" s="37">
        <f>IFERROR(IF(AND(ISNUMBER('SW OpInc'!J7),ISNUMBER('SW Rev'!J7),'SW Rev'!J7&gt;0),'SW OpInc'!J7/'SW Rev'!J7,""),"")</f>
        <v/>
      </c>
      <c r="G518" s="37">
        <f>IFERROR(IF(AND(ISNUMBER('SW OpInc'!K7),ISNUMBER('SW Rev'!K7),'SW Rev'!K7&gt;0),'SW OpInc'!K7/'SW Rev'!K7,""),"")</f>
        <v/>
      </c>
      <c r="H518" s="37">
        <f>IFERROR(IF(AND(ISNUMBER('SW OpInc'!L7),ISNUMBER('SW Rev'!L7),'SW Rev'!L7&gt;0),'SW OpInc'!L7/'SW Rev'!L7,""),"")</f>
        <v/>
      </c>
      <c r="I518" s="37">
        <f>IFERROR(IF(AND(ISNUMBER('SW OpInc'!M7),ISNUMBER('SW Rev'!M7),'SW Rev'!M7&gt;0),'SW OpInc'!M7/'SW Rev'!M7,""),"")</f>
        <v/>
      </c>
      <c r="J518" s="37">
        <f>IFERROR(IF(AND(ISNUMBER('SW OpInc'!N7),ISNUMBER('SW Rev'!N7),'SW Rev'!N7&gt;0),'SW OpInc'!N7/'SW Rev'!N7,""),"")</f>
        <v/>
      </c>
      <c r="K518" s="37">
        <f>IFERROR(IF(AND(ISNUMBER('SW OpInc'!O7),ISNUMBER('SW Rev'!O7),'SW Rev'!O7&gt;0),'SW OpInc'!O7/'SW Rev'!O7,""),"")</f>
        <v/>
      </c>
      <c r="L518" s="37">
        <f>IFERROR(IF(AND(ISNUMBER('SW OpInc'!P7),ISNUMBER('SW Rev'!P7),'SW Rev'!P7&gt;0),'SW OpInc'!P7/'SW Rev'!P7,""),"")</f>
        <v/>
      </c>
      <c r="M518" s="38">
        <f>IFERROR(IF(AND(ISNUMBER('SW OpInc'!Q7),ISNUMBER('SW Rev'!Q7),'SW Rev'!Q7&gt;0),'SW OpInc'!Q7/'SW Rev'!Q7,""),"")</f>
        <v/>
      </c>
      <c r="N518" s="38">
        <f>IFERROR(IF(AND(ISNUMBER('SW OpInc'!R7),ISNUMBER('SW Rev'!R7),'SW Rev'!R7&gt;0),'SW OpInc'!R7/'SW Rev'!R7,""),"")</f>
        <v/>
      </c>
    </row>
    <row r="519">
      <c r="A519" s="19">
        <f>'SW Rev'!$A8</f>
        <v/>
      </c>
      <c r="B519" s="19">
        <f>'SW Rev'!$B8</f>
        <v/>
      </c>
      <c r="C519" s="37">
        <f>IFERROR(IF(AND(ISNUMBER('SW OpInc'!G8),ISNUMBER('SW Rev'!G8),'SW Rev'!G8&gt;0),'SW OpInc'!G8/'SW Rev'!G8,""),"")</f>
        <v/>
      </c>
      <c r="D519" s="37">
        <f>IFERROR(IF(AND(ISNUMBER('SW OpInc'!H8),ISNUMBER('SW Rev'!H8),'SW Rev'!H8&gt;0),'SW OpInc'!H8/'SW Rev'!H8,""),"")</f>
        <v/>
      </c>
      <c r="E519" s="37">
        <f>IFERROR(IF(AND(ISNUMBER('SW OpInc'!I8),ISNUMBER('SW Rev'!I8),'SW Rev'!I8&gt;0),'SW OpInc'!I8/'SW Rev'!I8,""),"")</f>
        <v/>
      </c>
      <c r="F519" s="37">
        <f>IFERROR(IF(AND(ISNUMBER('SW OpInc'!J8),ISNUMBER('SW Rev'!J8),'SW Rev'!J8&gt;0),'SW OpInc'!J8/'SW Rev'!J8,""),"")</f>
        <v/>
      </c>
      <c r="G519" s="37">
        <f>IFERROR(IF(AND(ISNUMBER('SW OpInc'!K8),ISNUMBER('SW Rev'!K8),'SW Rev'!K8&gt;0),'SW OpInc'!K8/'SW Rev'!K8,""),"")</f>
        <v/>
      </c>
      <c r="H519" s="37">
        <f>IFERROR(IF(AND(ISNUMBER('SW OpInc'!L8),ISNUMBER('SW Rev'!L8),'SW Rev'!L8&gt;0),'SW OpInc'!L8/'SW Rev'!L8,""),"")</f>
        <v/>
      </c>
      <c r="I519" s="37">
        <f>IFERROR(IF(AND(ISNUMBER('SW OpInc'!M8),ISNUMBER('SW Rev'!M8),'SW Rev'!M8&gt;0),'SW OpInc'!M8/'SW Rev'!M8,""),"")</f>
        <v/>
      </c>
      <c r="J519" s="37">
        <f>IFERROR(IF(AND(ISNUMBER('SW OpInc'!N8),ISNUMBER('SW Rev'!N8),'SW Rev'!N8&gt;0),'SW OpInc'!N8/'SW Rev'!N8,""),"")</f>
        <v/>
      </c>
      <c r="K519" s="37">
        <f>IFERROR(IF(AND(ISNUMBER('SW OpInc'!O8),ISNUMBER('SW Rev'!O8),'SW Rev'!O8&gt;0),'SW OpInc'!O8/'SW Rev'!O8,""),"")</f>
        <v/>
      </c>
      <c r="L519" s="37">
        <f>IFERROR(IF(AND(ISNUMBER('SW OpInc'!P8),ISNUMBER('SW Rev'!P8),'SW Rev'!P8&gt;0),'SW OpInc'!P8/'SW Rev'!P8,""),"")</f>
        <v/>
      </c>
      <c r="M519" s="38">
        <f>IFERROR(IF(AND(ISNUMBER('SW OpInc'!Q8),ISNUMBER('SW Rev'!Q8),'SW Rev'!Q8&gt;0),'SW OpInc'!Q8/'SW Rev'!Q8,""),"")</f>
        <v/>
      </c>
      <c r="N519" s="38">
        <f>IFERROR(IF(AND(ISNUMBER('SW OpInc'!R8),ISNUMBER('SW Rev'!R8),'SW Rev'!R8&gt;0),'SW OpInc'!R8/'SW Rev'!R8,""),"")</f>
        <v/>
      </c>
    </row>
    <row r="520">
      <c r="A520" s="19">
        <f>'SW Rev'!$A9</f>
        <v/>
      </c>
      <c r="B520" s="19">
        <f>'SW Rev'!$B9</f>
        <v/>
      </c>
      <c r="C520" s="37">
        <f>IFERROR(IF(AND(ISNUMBER('SW OpInc'!G9),ISNUMBER('SW Rev'!G9),'SW Rev'!G9&gt;0),'SW OpInc'!G9/'SW Rev'!G9,""),"")</f>
        <v/>
      </c>
      <c r="D520" s="37">
        <f>IFERROR(IF(AND(ISNUMBER('SW OpInc'!H9),ISNUMBER('SW Rev'!H9),'SW Rev'!H9&gt;0),'SW OpInc'!H9/'SW Rev'!H9,""),"")</f>
        <v/>
      </c>
      <c r="E520" s="37">
        <f>IFERROR(IF(AND(ISNUMBER('SW OpInc'!I9),ISNUMBER('SW Rev'!I9),'SW Rev'!I9&gt;0),'SW OpInc'!I9/'SW Rev'!I9,""),"")</f>
        <v/>
      </c>
      <c r="F520" s="37">
        <f>IFERROR(IF(AND(ISNUMBER('SW OpInc'!J9),ISNUMBER('SW Rev'!J9),'SW Rev'!J9&gt;0),'SW OpInc'!J9/'SW Rev'!J9,""),"")</f>
        <v/>
      </c>
      <c r="G520" s="37">
        <f>IFERROR(IF(AND(ISNUMBER('SW OpInc'!K9),ISNUMBER('SW Rev'!K9),'SW Rev'!K9&gt;0),'SW OpInc'!K9/'SW Rev'!K9,""),"")</f>
        <v/>
      </c>
      <c r="H520" s="37">
        <f>IFERROR(IF(AND(ISNUMBER('SW OpInc'!L9),ISNUMBER('SW Rev'!L9),'SW Rev'!L9&gt;0),'SW OpInc'!L9/'SW Rev'!L9,""),"")</f>
        <v/>
      </c>
      <c r="I520" s="37">
        <f>IFERROR(IF(AND(ISNUMBER('SW OpInc'!M9),ISNUMBER('SW Rev'!M9),'SW Rev'!M9&gt;0),'SW OpInc'!M9/'SW Rev'!M9,""),"")</f>
        <v/>
      </c>
      <c r="J520" s="37">
        <f>IFERROR(IF(AND(ISNUMBER('SW OpInc'!N9),ISNUMBER('SW Rev'!N9),'SW Rev'!N9&gt;0),'SW OpInc'!N9/'SW Rev'!N9,""),"")</f>
        <v/>
      </c>
      <c r="K520" s="37">
        <f>IFERROR(IF(AND(ISNUMBER('SW OpInc'!O9),ISNUMBER('SW Rev'!O9),'SW Rev'!O9&gt;0),'SW OpInc'!O9/'SW Rev'!O9,""),"")</f>
        <v/>
      </c>
      <c r="L520" s="37">
        <f>IFERROR(IF(AND(ISNUMBER('SW OpInc'!P9),ISNUMBER('SW Rev'!P9),'SW Rev'!P9&gt;0),'SW OpInc'!P9/'SW Rev'!P9,""),"")</f>
        <v/>
      </c>
      <c r="M520" s="38">
        <f>IFERROR(IF(AND(ISNUMBER('SW OpInc'!Q9),ISNUMBER('SW Rev'!Q9),'SW Rev'!Q9&gt;0),'SW OpInc'!Q9/'SW Rev'!Q9,""),"")</f>
        <v/>
      </c>
      <c r="N520" s="38">
        <f>IFERROR(IF(AND(ISNUMBER('SW OpInc'!R9),ISNUMBER('SW Rev'!R9),'SW Rev'!R9&gt;0),'SW OpInc'!R9/'SW Rev'!R9,""),"")</f>
        <v/>
      </c>
    </row>
    <row r="521">
      <c r="A521" s="19">
        <f>'SW Rev'!$A10</f>
        <v/>
      </c>
      <c r="B521" s="19">
        <f>'SW Rev'!$B10</f>
        <v/>
      </c>
      <c r="C521" s="37">
        <f>IFERROR(IF(AND(ISNUMBER('SW OpInc'!G10),ISNUMBER('SW Rev'!G10),'SW Rev'!G10&gt;0),'SW OpInc'!G10/'SW Rev'!G10,""),"")</f>
        <v/>
      </c>
      <c r="D521" s="37">
        <f>IFERROR(IF(AND(ISNUMBER('SW OpInc'!H10),ISNUMBER('SW Rev'!H10),'SW Rev'!H10&gt;0),'SW OpInc'!H10/'SW Rev'!H10,""),"")</f>
        <v/>
      </c>
      <c r="E521" s="37">
        <f>IFERROR(IF(AND(ISNUMBER('SW OpInc'!I10),ISNUMBER('SW Rev'!I10),'SW Rev'!I10&gt;0),'SW OpInc'!I10/'SW Rev'!I10,""),"")</f>
        <v/>
      </c>
      <c r="F521" s="37">
        <f>IFERROR(IF(AND(ISNUMBER('SW OpInc'!J10),ISNUMBER('SW Rev'!J10),'SW Rev'!J10&gt;0),'SW OpInc'!J10/'SW Rev'!J10,""),"")</f>
        <v/>
      </c>
      <c r="G521" s="37">
        <f>IFERROR(IF(AND(ISNUMBER('SW OpInc'!K10),ISNUMBER('SW Rev'!K10),'SW Rev'!K10&gt;0),'SW OpInc'!K10/'SW Rev'!K10,""),"")</f>
        <v/>
      </c>
      <c r="H521" s="37">
        <f>IFERROR(IF(AND(ISNUMBER('SW OpInc'!L10),ISNUMBER('SW Rev'!L10),'SW Rev'!L10&gt;0),'SW OpInc'!L10/'SW Rev'!L10,""),"")</f>
        <v/>
      </c>
      <c r="I521" s="37">
        <f>IFERROR(IF(AND(ISNUMBER('SW OpInc'!M10),ISNUMBER('SW Rev'!M10),'SW Rev'!M10&gt;0),'SW OpInc'!M10/'SW Rev'!M10,""),"")</f>
        <v/>
      </c>
      <c r="J521" s="37">
        <f>IFERROR(IF(AND(ISNUMBER('SW OpInc'!N10),ISNUMBER('SW Rev'!N10),'SW Rev'!N10&gt;0),'SW OpInc'!N10/'SW Rev'!N10,""),"")</f>
        <v/>
      </c>
      <c r="K521" s="37">
        <f>IFERROR(IF(AND(ISNUMBER('SW OpInc'!O10),ISNUMBER('SW Rev'!O10),'SW Rev'!O10&gt;0),'SW OpInc'!O10/'SW Rev'!O10,""),"")</f>
        <v/>
      </c>
      <c r="L521" s="37">
        <f>IFERROR(IF(AND(ISNUMBER('SW OpInc'!P10),ISNUMBER('SW Rev'!P10),'SW Rev'!P10&gt;0),'SW OpInc'!P10/'SW Rev'!P10,""),"")</f>
        <v/>
      </c>
      <c r="M521" s="38">
        <f>IFERROR(IF(AND(ISNUMBER('SW OpInc'!Q10),ISNUMBER('SW Rev'!Q10),'SW Rev'!Q10&gt;0),'SW OpInc'!Q10/'SW Rev'!Q10,""),"")</f>
        <v/>
      </c>
      <c r="N521" s="38">
        <f>IFERROR(IF(AND(ISNUMBER('SW OpInc'!R10),ISNUMBER('SW Rev'!R10),'SW Rev'!R10&gt;0),'SW OpInc'!R10/'SW Rev'!R10,""),"")</f>
        <v/>
      </c>
    </row>
    <row r="522">
      <c r="A522" s="19">
        <f>'SW Rev'!$A11</f>
        <v/>
      </c>
      <c r="B522" s="19">
        <f>'SW Rev'!$B11</f>
        <v/>
      </c>
      <c r="C522" s="37">
        <f>IFERROR(IF(AND(ISNUMBER('SW OpInc'!G11),ISNUMBER('SW Rev'!G11),'SW Rev'!G11&gt;0),'SW OpInc'!G11/'SW Rev'!G11,""),"")</f>
        <v/>
      </c>
      <c r="D522" s="37">
        <f>IFERROR(IF(AND(ISNUMBER('SW OpInc'!H11),ISNUMBER('SW Rev'!H11),'SW Rev'!H11&gt;0),'SW OpInc'!H11/'SW Rev'!H11,""),"")</f>
        <v/>
      </c>
      <c r="E522" s="37">
        <f>IFERROR(IF(AND(ISNUMBER('SW OpInc'!I11),ISNUMBER('SW Rev'!I11),'SW Rev'!I11&gt;0),'SW OpInc'!I11/'SW Rev'!I11,""),"")</f>
        <v/>
      </c>
      <c r="F522" s="37">
        <f>IFERROR(IF(AND(ISNUMBER('SW OpInc'!J11),ISNUMBER('SW Rev'!J11),'SW Rev'!J11&gt;0),'SW OpInc'!J11/'SW Rev'!J11,""),"")</f>
        <v/>
      </c>
      <c r="G522" s="37">
        <f>IFERROR(IF(AND(ISNUMBER('SW OpInc'!K11),ISNUMBER('SW Rev'!K11),'SW Rev'!K11&gt;0),'SW OpInc'!K11/'SW Rev'!K11,""),"")</f>
        <v/>
      </c>
      <c r="H522" s="37">
        <f>IFERROR(IF(AND(ISNUMBER('SW OpInc'!L11),ISNUMBER('SW Rev'!L11),'SW Rev'!L11&gt;0),'SW OpInc'!L11/'SW Rev'!L11,""),"")</f>
        <v/>
      </c>
      <c r="I522" s="37">
        <f>IFERROR(IF(AND(ISNUMBER('SW OpInc'!M11),ISNUMBER('SW Rev'!M11),'SW Rev'!M11&gt;0),'SW OpInc'!M11/'SW Rev'!M11,""),"")</f>
        <v/>
      </c>
      <c r="J522" s="37">
        <f>IFERROR(IF(AND(ISNUMBER('SW OpInc'!N11),ISNUMBER('SW Rev'!N11),'SW Rev'!N11&gt;0),'SW OpInc'!N11/'SW Rev'!N11,""),"")</f>
        <v/>
      </c>
      <c r="K522" s="37">
        <f>IFERROR(IF(AND(ISNUMBER('SW OpInc'!O11),ISNUMBER('SW Rev'!O11),'SW Rev'!O11&gt;0),'SW OpInc'!O11/'SW Rev'!O11,""),"")</f>
        <v/>
      </c>
      <c r="L522" s="37">
        <f>IFERROR(IF(AND(ISNUMBER('SW OpInc'!P11),ISNUMBER('SW Rev'!P11),'SW Rev'!P11&gt;0),'SW OpInc'!P11/'SW Rev'!P11,""),"")</f>
        <v/>
      </c>
      <c r="M522" s="38">
        <f>IFERROR(IF(AND(ISNUMBER('SW OpInc'!Q11),ISNUMBER('SW Rev'!Q11),'SW Rev'!Q11&gt;0),'SW OpInc'!Q11/'SW Rev'!Q11,""),"")</f>
        <v/>
      </c>
      <c r="N522" s="38">
        <f>IFERROR(IF(AND(ISNUMBER('SW OpInc'!R11),ISNUMBER('SW Rev'!R11),'SW Rev'!R11&gt;0),'SW OpInc'!R11/'SW Rev'!R11,""),"")</f>
        <v/>
      </c>
    </row>
    <row r="523">
      <c r="A523" s="19">
        <f>'SW Rev'!$A12</f>
        <v/>
      </c>
      <c r="B523" s="19">
        <f>'SW Rev'!$B12</f>
        <v/>
      </c>
      <c r="C523" s="37">
        <f>IFERROR(IF(AND(ISNUMBER('SW OpInc'!G12),ISNUMBER('SW Rev'!G12),'SW Rev'!G12&gt;0),'SW OpInc'!G12/'SW Rev'!G12,""),"")</f>
        <v/>
      </c>
      <c r="D523" s="37">
        <f>IFERROR(IF(AND(ISNUMBER('SW OpInc'!H12),ISNUMBER('SW Rev'!H12),'SW Rev'!H12&gt;0),'SW OpInc'!H12/'SW Rev'!H12,""),"")</f>
        <v/>
      </c>
      <c r="E523" s="37">
        <f>IFERROR(IF(AND(ISNUMBER('SW OpInc'!I12),ISNUMBER('SW Rev'!I12),'SW Rev'!I12&gt;0),'SW OpInc'!I12/'SW Rev'!I12,""),"")</f>
        <v/>
      </c>
      <c r="F523" s="37">
        <f>IFERROR(IF(AND(ISNUMBER('SW OpInc'!J12),ISNUMBER('SW Rev'!J12),'SW Rev'!J12&gt;0),'SW OpInc'!J12/'SW Rev'!J12,""),"")</f>
        <v/>
      </c>
      <c r="G523" s="37">
        <f>IFERROR(IF(AND(ISNUMBER('SW OpInc'!K12),ISNUMBER('SW Rev'!K12),'SW Rev'!K12&gt;0),'SW OpInc'!K12/'SW Rev'!K12,""),"")</f>
        <v/>
      </c>
      <c r="H523" s="37">
        <f>IFERROR(IF(AND(ISNUMBER('SW OpInc'!L12),ISNUMBER('SW Rev'!L12),'SW Rev'!L12&gt;0),'SW OpInc'!L12/'SW Rev'!L12,""),"")</f>
        <v/>
      </c>
      <c r="I523" s="37">
        <f>IFERROR(IF(AND(ISNUMBER('SW OpInc'!M12),ISNUMBER('SW Rev'!M12),'SW Rev'!M12&gt;0),'SW OpInc'!M12/'SW Rev'!M12,""),"")</f>
        <v/>
      </c>
      <c r="J523" s="37">
        <f>IFERROR(IF(AND(ISNUMBER('SW OpInc'!N12),ISNUMBER('SW Rev'!N12),'SW Rev'!N12&gt;0),'SW OpInc'!N12/'SW Rev'!N12,""),"")</f>
        <v/>
      </c>
      <c r="K523" s="37">
        <f>IFERROR(IF(AND(ISNUMBER('SW OpInc'!O12),ISNUMBER('SW Rev'!O12),'SW Rev'!O12&gt;0),'SW OpInc'!O12/'SW Rev'!O12,""),"")</f>
        <v/>
      </c>
      <c r="L523" s="37">
        <f>IFERROR(IF(AND(ISNUMBER('SW OpInc'!P12),ISNUMBER('SW Rev'!P12),'SW Rev'!P12&gt;0),'SW OpInc'!P12/'SW Rev'!P12,""),"")</f>
        <v/>
      </c>
      <c r="M523" s="38">
        <f>IFERROR(IF(AND(ISNUMBER('SW OpInc'!Q12),ISNUMBER('SW Rev'!Q12),'SW Rev'!Q12&gt;0),'SW OpInc'!Q12/'SW Rev'!Q12,""),"")</f>
        <v/>
      </c>
      <c r="N523" s="38">
        <f>IFERROR(IF(AND(ISNUMBER('SW OpInc'!R12),ISNUMBER('SW Rev'!R12),'SW Rev'!R12&gt;0),'SW OpInc'!R12/'SW Rev'!R12,""),"")</f>
        <v/>
      </c>
    </row>
    <row r="524">
      <c r="A524" s="19">
        <f>'SW Rev'!$A13</f>
        <v/>
      </c>
      <c r="B524" s="19">
        <f>'SW Rev'!$B13</f>
        <v/>
      </c>
      <c r="C524" s="37">
        <f>IFERROR(IF(AND(ISNUMBER('SW OpInc'!G13),ISNUMBER('SW Rev'!G13),'SW Rev'!G13&gt;0),'SW OpInc'!G13/'SW Rev'!G13,""),"")</f>
        <v/>
      </c>
      <c r="D524" s="37">
        <f>IFERROR(IF(AND(ISNUMBER('SW OpInc'!H13),ISNUMBER('SW Rev'!H13),'SW Rev'!H13&gt;0),'SW OpInc'!H13/'SW Rev'!H13,""),"")</f>
        <v/>
      </c>
      <c r="E524" s="37">
        <f>IFERROR(IF(AND(ISNUMBER('SW OpInc'!I13),ISNUMBER('SW Rev'!I13),'SW Rev'!I13&gt;0),'SW OpInc'!I13/'SW Rev'!I13,""),"")</f>
        <v/>
      </c>
      <c r="F524" s="37">
        <f>IFERROR(IF(AND(ISNUMBER('SW OpInc'!J13),ISNUMBER('SW Rev'!J13),'SW Rev'!J13&gt;0),'SW OpInc'!J13/'SW Rev'!J13,""),"")</f>
        <v/>
      </c>
      <c r="G524" s="37">
        <f>IFERROR(IF(AND(ISNUMBER('SW OpInc'!K13),ISNUMBER('SW Rev'!K13),'SW Rev'!K13&gt;0),'SW OpInc'!K13/'SW Rev'!K13,""),"")</f>
        <v/>
      </c>
      <c r="H524" s="37">
        <f>IFERROR(IF(AND(ISNUMBER('SW OpInc'!L13),ISNUMBER('SW Rev'!L13),'SW Rev'!L13&gt;0),'SW OpInc'!L13/'SW Rev'!L13,""),"")</f>
        <v/>
      </c>
      <c r="I524" s="37">
        <f>IFERROR(IF(AND(ISNUMBER('SW OpInc'!M13),ISNUMBER('SW Rev'!M13),'SW Rev'!M13&gt;0),'SW OpInc'!M13/'SW Rev'!M13,""),"")</f>
        <v/>
      </c>
      <c r="J524" s="37">
        <f>IFERROR(IF(AND(ISNUMBER('SW OpInc'!N13),ISNUMBER('SW Rev'!N13),'SW Rev'!N13&gt;0),'SW OpInc'!N13/'SW Rev'!N13,""),"")</f>
        <v/>
      </c>
      <c r="K524" s="37">
        <f>IFERROR(IF(AND(ISNUMBER('SW OpInc'!O13),ISNUMBER('SW Rev'!O13),'SW Rev'!O13&gt;0),'SW OpInc'!O13/'SW Rev'!O13,""),"")</f>
        <v/>
      </c>
      <c r="L524" s="37">
        <f>IFERROR(IF(AND(ISNUMBER('SW OpInc'!P13),ISNUMBER('SW Rev'!P13),'SW Rev'!P13&gt;0),'SW OpInc'!P13/'SW Rev'!P13,""),"")</f>
        <v/>
      </c>
      <c r="M524" s="38">
        <f>IFERROR(IF(AND(ISNUMBER('SW OpInc'!Q13),ISNUMBER('SW Rev'!Q13),'SW Rev'!Q13&gt;0),'SW OpInc'!Q13/'SW Rev'!Q13,""),"")</f>
        <v/>
      </c>
      <c r="N524" s="38">
        <f>IFERROR(IF(AND(ISNUMBER('SW OpInc'!R13),ISNUMBER('SW Rev'!R13),'SW Rev'!R13&gt;0),'SW OpInc'!R13/'SW Rev'!R13,""),"")</f>
        <v/>
      </c>
    </row>
    <row r="525">
      <c r="A525" s="19">
        <f>'SW Rev'!$A14</f>
        <v/>
      </c>
      <c r="B525" s="19">
        <f>'SW Rev'!$B14</f>
        <v/>
      </c>
      <c r="C525" s="37">
        <f>IFERROR(IF(AND(ISNUMBER('SW OpInc'!G14),ISNUMBER('SW Rev'!G14),'SW Rev'!G14&gt;0),'SW OpInc'!G14/'SW Rev'!G14,""),"")</f>
        <v/>
      </c>
      <c r="D525" s="37">
        <f>IFERROR(IF(AND(ISNUMBER('SW OpInc'!H14),ISNUMBER('SW Rev'!H14),'SW Rev'!H14&gt;0),'SW OpInc'!H14/'SW Rev'!H14,""),"")</f>
        <v/>
      </c>
      <c r="E525" s="37">
        <f>IFERROR(IF(AND(ISNUMBER('SW OpInc'!I14),ISNUMBER('SW Rev'!I14),'SW Rev'!I14&gt;0),'SW OpInc'!I14/'SW Rev'!I14,""),"")</f>
        <v/>
      </c>
      <c r="F525" s="37">
        <f>IFERROR(IF(AND(ISNUMBER('SW OpInc'!J14),ISNUMBER('SW Rev'!J14),'SW Rev'!J14&gt;0),'SW OpInc'!J14/'SW Rev'!J14,""),"")</f>
        <v/>
      </c>
      <c r="G525" s="37">
        <f>IFERROR(IF(AND(ISNUMBER('SW OpInc'!K14),ISNUMBER('SW Rev'!K14),'SW Rev'!K14&gt;0),'SW OpInc'!K14/'SW Rev'!K14,""),"")</f>
        <v/>
      </c>
      <c r="H525" s="37">
        <f>IFERROR(IF(AND(ISNUMBER('SW OpInc'!L14),ISNUMBER('SW Rev'!L14),'SW Rev'!L14&gt;0),'SW OpInc'!L14/'SW Rev'!L14,""),"")</f>
        <v/>
      </c>
      <c r="I525" s="37">
        <f>IFERROR(IF(AND(ISNUMBER('SW OpInc'!M14),ISNUMBER('SW Rev'!M14),'SW Rev'!M14&gt;0),'SW OpInc'!M14/'SW Rev'!M14,""),"")</f>
        <v/>
      </c>
      <c r="J525" s="37">
        <f>IFERROR(IF(AND(ISNUMBER('SW OpInc'!N14),ISNUMBER('SW Rev'!N14),'SW Rev'!N14&gt;0),'SW OpInc'!N14/'SW Rev'!N14,""),"")</f>
        <v/>
      </c>
      <c r="K525" s="37">
        <f>IFERROR(IF(AND(ISNUMBER('SW OpInc'!O14),ISNUMBER('SW Rev'!O14),'SW Rev'!O14&gt;0),'SW OpInc'!O14/'SW Rev'!O14,""),"")</f>
        <v/>
      </c>
      <c r="L525" s="37">
        <f>IFERROR(IF(AND(ISNUMBER('SW OpInc'!P14),ISNUMBER('SW Rev'!P14),'SW Rev'!P14&gt;0),'SW OpInc'!P14/'SW Rev'!P14,""),"")</f>
        <v/>
      </c>
      <c r="M525" s="38">
        <f>IFERROR(IF(AND(ISNUMBER('SW OpInc'!Q14),ISNUMBER('SW Rev'!Q14),'SW Rev'!Q14&gt;0),'SW OpInc'!Q14/'SW Rev'!Q14,""),"")</f>
        <v/>
      </c>
      <c r="N525" s="38">
        <f>IFERROR(IF(AND(ISNUMBER('SW OpInc'!R14),ISNUMBER('SW Rev'!R14),'SW Rev'!R14&gt;0),'SW OpInc'!R14/'SW Rev'!R14,""),"")</f>
        <v/>
      </c>
    </row>
    <row r="526">
      <c r="A526" s="19">
        <f>'SW Rev'!$A15</f>
        <v/>
      </c>
      <c r="B526" s="19">
        <f>'SW Rev'!$B15</f>
        <v/>
      </c>
      <c r="C526" s="37">
        <f>IFERROR(IF(AND(ISNUMBER('SW OpInc'!G15),ISNUMBER('SW Rev'!G15),'SW Rev'!G15&gt;0),'SW OpInc'!G15/'SW Rev'!G15,""),"")</f>
        <v/>
      </c>
      <c r="D526" s="37">
        <f>IFERROR(IF(AND(ISNUMBER('SW OpInc'!H15),ISNUMBER('SW Rev'!H15),'SW Rev'!H15&gt;0),'SW OpInc'!H15/'SW Rev'!H15,""),"")</f>
        <v/>
      </c>
      <c r="E526" s="37">
        <f>IFERROR(IF(AND(ISNUMBER('SW OpInc'!I15),ISNUMBER('SW Rev'!I15),'SW Rev'!I15&gt;0),'SW OpInc'!I15/'SW Rev'!I15,""),"")</f>
        <v/>
      </c>
      <c r="F526" s="37">
        <f>IFERROR(IF(AND(ISNUMBER('SW OpInc'!J15),ISNUMBER('SW Rev'!J15),'SW Rev'!J15&gt;0),'SW OpInc'!J15/'SW Rev'!J15,""),"")</f>
        <v/>
      </c>
      <c r="G526" s="37">
        <f>IFERROR(IF(AND(ISNUMBER('SW OpInc'!K15),ISNUMBER('SW Rev'!K15),'SW Rev'!K15&gt;0),'SW OpInc'!K15/'SW Rev'!K15,""),"")</f>
        <v/>
      </c>
      <c r="H526" s="37">
        <f>IFERROR(IF(AND(ISNUMBER('SW OpInc'!L15),ISNUMBER('SW Rev'!L15),'SW Rev'!L15&gt;0),'SW OpInc'!L15/'SW Rev'!L15,""),"")</f>
        <v/>
      </c>
      <c r="I526" s="37">
        <f>IFERROR(IF(AND(ISNUMBER('SW OpInc'!M15),ISNUMBER('SW Rev'!M15),'SW Rev'!M15&gt;0),'SW OpInc'!M15/'SW Rev'!M15,""),"")</f>
        <v/>
      </c>
      <c r="J526" s="37">
        <f>IFERROR(IF(AND(ISNUMBER('SW OpInc'!N15),ISNUMBER('SW Rev'!N15),'SW Rev'!N15&gt;0),'SW OpInc'!N15/'SW Rev'!N15,""),"")</f>
        <v/>
      </c>
      <c r="K526" s="37">
        <f>IFERROR(IF(AND(ISNUMBER('SW OpInc'!O15),ISNUMBER('SW Rev'!O15),'SW Rev'!O15&gt;0),'SW OpInc'!O15/'SW Rev'!O15,""),"")</f>
        <v/>
      </c>
      <c r="L526" s="37">
        <f>IFERROR(IF(AND(ISNUMBER('SW OpInc'!P15),ISNUMBER('SW Rev'!P15),'SW Rev'!P15&gt;0),'SW OpInc'!P15/'SW Rev'!P15,""),"")</f>
        <v/>
      </c>
      <c r="M526" s="38">
        <f>IFERROR(IF(AND(ISNUMBER('SW OpInc'!Q15),ISNUMBER('SW Rev'!Q15),'SW Rev'!Q15&gt;0),'SW OpInc'!Q15/'SW Rev'!Q15,""),"")</f>
        <v/>
      </c>
      <c r="N526" s="38">
        <f>IFERROR(IF(AND(ISNUMBER('SW OpInc'!R15),ISNUMBER('SW Rev'!R15),'SW Rev'!R15&gt;0),'SW OpInc'!R15/'SW Rev'!R15,""),"")</f>
        <v/>
      </c>
    </row>
    <row r="527">
      <c r="A527" s="19">
        <f>'SW Rev'!$A16</f>
        <v/>
      </c>
      <c r="B527" s="19">
        <f>'SW Rev'!$B16</f>
        <v/>
      </c>
      <c r="C527" s="37">
        <f>IFERROR(IF(AND(ISNUMBER('SW OpInc'!G16),ISNUMBER('SW Rev'!G16),'SW Rev'!G16&gt;0),'SW OpInc'!G16/'SW Rev'!G16,""),"")</f>
        <v/>
      </c>
      <c r="D527" s="37">
        <f>IFERROR(IF(AND(ISNUMBER('SW OpInc'!H16),ISNUMBER('SW Rev'!H16),'SW Rev'!H16&gt;0),'SW OpInc'!H16/'SW Rev'!H16,""),"")</f>
        <v/>
      </c>
      <c r="E527" s="37">
        <f>IFERROR(IF(AND(ISNUMBER('SW OpInc'!I16),ISNUMBER('SW Rev'!I16),'SW Rev'!I16&gt;0),'SW OpInc'!I16/'SW Rev'!I16,""),"")</f>
        <v/>
      </c>
      <c r="F527" s="37">
        <f>IFERROR(IF(AND(ISNUMBER('SW OpInc'!J16),ISNUMBER('SW Rev'!J16),'SW Rev'!J16&gt;0),'SW OpInc'!J16/'SW Rev'!J16,""),"")</f>
        <v/>
      </c>
      <c r="G527" s="37">
        <f>IFERROR(IF(AND(ISNUMBER('SW OpInc'!K16),ISNUMBER('SW Rev'!K16),'SW Rev'!K16&gt;0),'SW OpInc'!K16/'SW Rev'!K16,""),"")</f>
        <v/>
      </c>
      <c r="H527" s="37">
        <f>IFERROR(IF(AND(ISNUMBER('SW OpInc'!L16),ISNUMBER('SW Rev'!L16),'SW Rev'!L16&gt;0),'SW OpInc'!L16/'SW Rev'!L16,""),"")</f>
        <v/>
      </c>
      <c r="I527" s="37">
        <f>IFERROR(IF(AND(ISNUMBER('SW OpInc'!M16),ISNUMBER('SW Rev'!M16),'SW Rev'!M16&gt;0),'SW OpInc'!M16/'SW Rev'!M16,""),"")</f>
        <v/>
      </c>
      <c r="J527" s="37">
        <f>IFERROR(IF(AND(ISNUMBER('SW OpInc'!N16),ISNUMBER('SW Rev'!N16),'SW Rev'!N16&gt;0),'SW OpInc'!N16/'SW Rev'!N16,""),"")</f>
        <v/>
      </c>
      <c r="K527" s="37">
        <f>IFERROR(IF(AND(ISNUMBER('SW OpInc'!O16),ISNUMBER('SW Rev'!O16),'SW Rev'!O16&gt;0),'SW OpInc'!O16/'SW Rev'!O16,""),"")</f>
        <v/>
      </c>
      <c r="L527" s="37">
        <f>IFERROR(IF(AND(ISNUMBER('SW OpInc'!P16),ISNUMBER('SW Rev'!P16),'SW Rev'!P16&gt;0),'SW OpInc'!P16/'SW Rev'!P16,""),"")</f>
        <v/>
      </c>
      <c r="M527" s="38">
        <f>IFERROR(IF(AND(ISNUMBER('SW OpInc'!Q16),ISNUMBER('SW Rev'!Q16),'SW Rev'!Q16&gt;0),'SW OpInc'!Q16/'SW Rev'!Q16,""),"")</f>
        <v/>
      </c>
      <c r="N527" s="38">
        <f>IFERROR(IF(AND(ISNUMBER('SW OpInc'!R16),ISNUMBER('SW Rev'!R16),'SW Rev'!R16&gt;0),'SW OpInc'!R16/'SW Rev'!R16,""),"")</f>
        <v/>
      </c>
    </row>
    <row r="528">
      <c r="A528" s="19">
        <f>'SW Rev'!$A17</f>
        <v/>
      </c>
      <c r="B528" s="19">
        <f>'SW Rev'!$B17</f>
        <v/>
      </c>
      <c r="C528" s="37">
        <f>IFERROR(IF(AND(ISNUMBER('SW OpInc'!G17),ISNUMBER('SW Rev'!G17),'SW Rev'!G17&gt;0),'SW OpInc'!G17/'SW Rev'!G17,""),"")</f>
        <v/>
      </c>
      <c r="D528" s="37">
        <f>IFERROR(IF(AND(ISNUMBER('SW OpInc'!H17),ISNUMBER('SW Rev'!H17),'SW Rev'!H17&gt;0),'SW OpInc'!H17/'SW Rev'!H17,""),"")</f>
        <v/>
      </c>
      <c r="E528" s="37">
        <f>IFERROR(IF(AND(ISNUMBER('SW OpInc'!I17),ISNUMBER('SW Rev'!I17),'SW Rev'!I17&gt;0),'SW OpInc'!I17/'SW Rev'!I17,""),"")</f>
        <v/>
      </c>
      <c r="F528" s="37">
        <f>IFERROR(IF(AND(ISNUMBER('SW OpInc'!J17),ISNUMBER('SW Rev'!J17),'SW Rev'!J17&gt;0),'SW OpInc'!J17/'SW Rev'!J17,""),"")</f>
        <v/>
      </c>
      <c r="G528" s="37">
        <f>IFERROR(IF(AND(ISNUMBER('SW OpInc'!K17),ISNUMBER('SW Rev'!K17),'SW Rev'!K17&gt;0),'SW OpInc'!K17/'SW Rev'!K17,""),"")</f>
        <v/>
      </c>
      <c r="H528" s="37">
        <f>IFERROR(IF(AND(ISNUMBER('SW OpInc'!L17),ISNUMBER('SW Rev'!L17),'SW Rev'!L17&gt;0),'SW OpInc'!L17/'SW Rev'!L17,""),"")</f>
        <v/>
      </c>
      <c r="I528" s="37">
        <f>IFERROR(IF(AND(ISNUMBER('SW OpInc'!M17),ISNUMBER('SW Rev'!M17),'SW Rev'!M17&gt;0),'SW OpInc'!M17/'SW Rev'!M17,""),"")</f>
        <v/>
      </c>
      <c r="J528" s="37">
        <f>IFERROR(IF(AND(ISNUMBER('SW OpInc'!N17),ISNUMBER('SW Rev'!N17),'SW Rev'!N17&gt;0),'SW OpInc'!N17/'SW Rev'!N17,""),"")</f>
        <v/>
      </c>
      <c r="K528" s="37">
        <f>IFERROR(IF(AND(ISNUMBER('SW OpInc'!O17),ISNUMBER('SW Rev'!O17),'SW Rev'!O17&gt;0),'SW OpInc'!O17/'SW Rev'!O17,""),"")</f>
        <v/>
      </c>
      <c r="L528" s="37">
        <f>IFERROR(IF(AND(ISNUMBER('SW OpInc'!P17),ISNUMBER('SW Rev'!P17),'SW Rev'!P17&gt;0),'SW OpInc'!P17/'SW Rev'!P17,""),"")</f>
        <v/>
      </c>
      <c r="M528" s="38">
        <f>IFERROR(IF(AND(ISNUMBER('SW OpInc'!Q17),ISNUMBER('SW Rev'!Q17),'SW Rev'!Q17&gt;0),'SW OpInc'!Q17/'SW Rev'!Q17,""),"")</f>
        <v/>
      </c>
      <c r="N528" s="38">
        <f>IFERROR(IF(AND(ISNUMBER('SW OpInc'!R17),ISNUMBER('SW Rev'!R17),'SW Rev'!R17&gt;0),'SW OpInc'!R17/'SW Rev'!R17,""),"")</f>
        <v/>
      </c>
    </row>
    <row r="529">
      <c r="A529" s="19">
        <f>'SW Rev'!$A18</f>
        <v/>
      </c>
      <c r="B529" s="19">
        <f>'SW Rev'!$B18</f>
        <v/>
      </c>
      <c r="C529" s="37">
        <f>IFERROR(IF(AND(ISNUMBER('SW OpInc'!G18),ISNUMBER('SW Rev'!G18),'SW Rev'!G18&gt;0),'SW OpInc'!G18/'SW Rev'!G18,""),"")</f>
        <v/>
      </c>
      <c r="D529" s="37">
        <f>IFERROR(IF(AND(ISNUMBER('SW OpInc'!H18),ISNUMBER('SW Rev'!H18),'SW Rev'!H18&gt;0),'SW OpInc'!H18/'SW Rev'!H18,""),"")</f>
        <v/>
      </c>
      <c r="E529" s="37">
        <f>IFERROR(IF(AND(ISNUMBER('SW OpInc'!I18),ISNUMBER('SW Rev'!I18),'SW Rev'!I18&gt;0),'SW OpInc'!I18/'SW Rev'!I18,""),"")</f>
        <v/>
      </c>
      <c r="F529" s="37">
        <f>IFERROR(IF(AND(ISNUMBER('SW OpInc'!J18),ISNUMBER('SW Rev'!J18),'SW Rev'!J18&gt;0),'SW OpInc'!J18/'SW Rev'!J18,""),"")</f>
        <v/>
      </c>
      <c r="G529" s="37">
        <f>IFERROR(IF(AND(ISNUMBER('SW OpInc'!K18),ISNUMBER('SW Rev'!K18),'SW Rev'!K18&gt;0),'SW OpInc'!K18/'SW Rev'!K18,""),"")</f>
        <v/>
      </c>
      <c r="H529" s="37">
        <f>IFERROR(IF(AND(ISNUMBER('SW OpInc'!L18),ISNUMBER('SW Rev'!L18),'SW Rev'!L18&gt;0),'SW OpInc'!L18/'SW Rev'!L18,""),"")</f>
        <v/>
      </c>
      <c r="I529" s="37">
        <f>IFERROR(IF(AND(ISNUMBER('SW OpInc'!M18),ISNUMBER('SW Rev'!M18),'SW Rev'!M18&gt;0),'SW OpInc'!M18/'SW Rev'!M18,""),"")</f>
        <v/>
      </c>
      <c r="J529" s="37">
        <f>IFERROR(IF(AND(ISNUMBER('SW OpInc'!N18),ISNUMBER('SW Rev'!N18),'SW Rev'!N18&gt;0),'SW OpInc'!N18/'SW Rev'!N18,""),"")</f>
        <v/>
      </c>
      <c r="K529" s="37">
        <f>IFERROR(IF(AND(ISNUMBER('SW OpInc'!O18),ISNUMBER('SW Rev'!O18),'SW Rev'!O18&gt;0),'SW OpInc'!O18/'SW Rev'!O18,""),"")</f>
        <v/>
      </c>
      <c r="L529" s="37">
        <f>IFERROR(IF(AND(ISNUMBER('SW OpInc'!P18),ISNUMBER('SW Rev'!P18),'SW Rev'!P18&gt;0),'SW OpInc'!P18/'SW Rev'!P18,""),"")</f>
        <v/>
      </c>
      <c r="M529" s="38">
        <f>IFERROR(IF(AND(ISNUMBER('SW OpInc'!Q18),ISNUMBER('SW Rev'!Q18),'SW Rev'!Q18&gt;0),'SW OpInc'!Q18/'SW Rev'!Q18,""),"")</f>
        <v/>
      </c>
      <c r="N529" s="38">
        <f>IFERROR(IF(AND(ISNUMBER('SW OpInc'!R18),ISNUMBER('SW Rev'!R18),'SW Rev'!R18&gt;0),'SW OpInc'!R18/'SW Rev'!R18,""),"")</f>
        <v/>
      </c>
    </row>
    <row r="530">
      <c r="A530" s="19">
        <f>'SW Rev'!$A19</f>
        <v/>
      </c>
      <c r="B530" s="19">
        <f>'SW Rev'!$B19</f>
        <v/>
      </c>
      <c r="C530" s="37">
        <f>IFERROR(IF(AND(ISNUMBER('SW OpInc'!G19),ISNUMBER('SW Rev'!G19),'SW Rev'!G19&gt;0),'SW OpInc'!G19/'SW Rev'!G19,""),"")</f>
        <v/>
      </c>
      <c r="D530" s="37">
        <f>IFERROR(IF(AND(ISNUMBER('SW OpInc'!H19),ISNUMBER('SW Rev'!H19),'SW Rev'!H19&gt;0),'SW OpInc'!H19/'SW Rev'!H19,""),"")</f>
        <v/>
      </c>
      <c r="E530" s="37">
        <f>IFERROR(IF(AND(ISNUMBER('SW OpInc'!I19),ISNUMBER('SW Rev'!I19),'SW Rev'!I19&gt;0),'SW OpInc'!I19/'SW Rev'!I19,""),"")</f>
        <v/>
      </c>
      <c r="F530" s="37">
        <f>IFERROR(IF(AND(ISNUMBER('SW OpInc'!J19),ISNUMBER('SW Rev'!J19),'SW Rev'!J19&gt;0),'SW OpInc'!J19/'SW Rev'!J19,""),"")</f>
        <v/>
      </c>
      <c r="G530" s="37">
        <f>IFERROR(IF(AND(ISNUMBER('SW OpInc'!K19),ISNUMBER('SW Rev'!K19),'SW Rev'!K19&gt;0),'SW OpInc'!K19/'SW Rev'!K19,""),"")</f>
        <v/>
      </c>
      <c r="H530" s="37">
        <f>IFERROR(IF(AND(ISNUMBER('SW OpInc'!L19),ISNUMBER('SW Rev'!L19),'SW Rev'!L19&gt;0),'SW OpInc'!L19/'SW Rev'!L19,""),"")</f>
        <v/>
      </c>
      <c r="I530" s="37">
        <f>IFERROR(IF(AND(ISNUMBER('SW OpInc'!M19),ISNUMBER('SW Rev'!M19),'SW Rev'!M19&gt;0),'SW OpInc'!M19/'SW Rev'!M19,""),"")</f>
        <v/>
      </c>
      <c r="J530" s="37">
        <f>IFERROR(IF(AND(ISNUMBER('SW OpInc'!N19),ISNUMBER('SW Rev'!N19),'SW Rev'!N19&gt;0),'SW OpInc'!N19/'SW Rev'!N19,""),"")</f>
        <v/>
      </c>
      <c r="K530" s="37">
        <f>IFERROR(IF(AND(ISNUMBER('SW OpInc'!O19),ISNUMBER('SW Rev'!O19),'SW Rev'!O19&gt;0),'SW OpInc'!O19/'SW Rev'!O19,""),"")</f>
        <v/>
      </c>
      <c r="L530" s="37">
        <f>IFERROR(IF(AND(ISNUMBER('SW OpInc'!P19),ISNUMBER('SW Rev'!P19),'SW Rev'!P19&gt;0),'SW OpInc'!P19/'SW Rev'!P19,""),"")</f>
        <v/>
      </c>
      <c r="M530" s="38">
        <f>IFERROR(IF(AND(ISNUMBER('SW OpInc'!Q19),ISNUMBER('SW Rev'!Q19),'SW Rev'!Q19&gt;0),'SW OpInc'!Q19/'SW Rev'!Q19,""),"")</f>
        <v/>
      </c>
      <c r="N530" s="38">
        <f>IFERROR(IF(AND(ISNUMBER('SW OpInc'!R19),ISNUMBER('SW Rev'!R19),'SW Rev'!R19&gt;0),'SW OpInc'!R19/'SW Rev'!R19,""),"")</f>
        <v/>
      </c>
    </row>
    <row r="531">
      <c r="A531" s="19">
        <f>'SW Rev'!$A20</f>
        <v/>
      </c>
      <c r="B531" s="19">
        <f>'SW Rev'!$B20</f>
        <v/>
      </c>
      <c r="C531" s="37">
        <f>IFERROR(IF(AND(ISNUMBER('SW OpInc'!G20),ISNUMBER('SW Rev'!G20),'SW Rev'!G20&gt;0),'SW OpInc'!G20/'SW Rev'!G20,""),"")</f>
        <v/>
      </c>
      <c r="D531" s="37">
        <f>IFERROR(IF(AND(ISNUMBER('SW OpInc'!H20),ISNUMBER('SW Rev'!H20),'SW Rev'!H20&gt;0),'SW OpInc'!H20/'SW Rev'!H20,""),"")</f>
        <v/>
      </c>
      <c r="E531" s="37">
        <f>IFERROR(IF(AND(ISNUMBER('SW OpInc'!I20),ISNUMBER('SW Rev'!I20),'SW Rev'!I20&gt;0),'SW OpInc'!I20/'SW Rev'!I20,""),"")</f>
        <v/>
      </c>
      <c r="F531" s="37">
        <f>IFERROR(IF(AND(ISNUMBER('SW OpInc'!J20),ISNUMBER('SW Rev'!J20),'SW Rev'!J20&gt;0),'SW OpInc'!J20/'SW Rev'!J20,""),"")</f>
        <v/>
      </c>
      <c r="G531" s="37">
        <f>IFERROR(IF(AND(ISNUMBER('SW OpInc'!K20),ISNUMBER('SW Rev'!K20),'SW Rev'!K20&gt;0),'SW OpInc'!K20/'SW Rev'!K20,""),"")</f>
        <v/>
      </c>
      <c r="H531" s="37">
        <f>IFERROR(IF(AND(ISNUMBER('SW OpInc'!L20),ISNUMBER('SW Rev'!L20),'SW Rev'!L20&gt;0),'SW OpInc'!L20/'SW Rev'!L20,""),"")</f>
        <v/>
      </c>
      <c r="I531" s="37">
        <f>IFERROR(IF(AND(ISNUMBER('SW OpInc'!M20),ISNUMBER('SW Rev'!M20),'SW Rev'!M20&gt;0),'SW OpInc'!M20/'SW Rev'!M20,""),"")</f>
        <v/>
      </c>
      <c r="J531" s="37">
        <f>IFERROR(IF(AND(ISNUMBER('SW OpInc'!N20),ISNUMBER('SW Rev'!N20),'SW Rev'!N20&gt;0),'SW OpInc'!N20/'SW Rev'!N20,""),"")</f>
        <v/>
      </c>
      <c r="K531" s="37">
        <f>IFERROR(IF(AND(ISNUMBER('SW OpInc'!O20),ISNUMBER('SW Rev'!O20),'SW Rev'!O20&gt;0),'SW OpInc'!O20/'SW Rev'!O20,""),"")</f>
        <v/>
      </c>
      <c r="L531" s="37">
        <f>IFERROR(IF(AND(ISNUMBER('SW OpInc'!P20),ISNUMBER('SW Rev'!P20),'SW Rev'!P20&gt;0),'SW OpInc'!P20/'SW Rev'!P20,""),"")</f>
        <v/>
      </c>
      <c r="M531" s="38">
        <f>IFERROR(IF(AND(ISNUMBER('SW OpInc'!Q20),ISNUMBER('SW Rev'!Q20),'SW Rev'!Q20&gt;0),'SW OpInc'!Q20/'SW Rev'!Q20,""),"")</f>
        <v/>
      </c>
      <c r="N531" s="38">
        <f>IFERROR(IF(AND(ISNUMBER('SW OpInc'!R20),ISNUMBER('SW Rev'!R20),'SW Rev'!R20&gt;0),'SW OpInc'!R20/'SW Rev'!R20,""),"")</f>
        <v/>
      </c>
    </row>
    <row r="532">
      <c r="A532" s="19">
        <f>'SW Rev'!$A21</f>
        <v/>
      </c>
      <c r="B532" s="19">
        <f>'SW Rev'!$B21</f>
        <v/>
      </c>
      <c r="C532" s="37">
        <f>IFERROR(IF(AND(ISNUMBER('SW OpInc'!G21),ISNUMBER('SW Rev'!G21),'SW Rev'!G21&gt;0),'SW OpInc'!G21/'SW Rev'!G21,""),"")</f>
        <v/>
      </c>
      <c r="D532" s="37">
        <f>IFERROR(IF(AND(ISNUMBER('SW OpInc'!H21),ISNUMBER('SW Rev'!H21),'SW Rev'!H21&gt;0),'SW OpInc'!H21/'SW Rev'!H21,""),"")</f>
        <v/>
      </c>
      <c r="E532" s="37">
        <f>IFERROR(IF(AND(ISNUMBER('SW OpInc'!I21),ISNUMBER('SW Rev'!I21),'SW Rev'!I21&gt;0),'SW OpInc'!I21/'SW Rev'!I21,""),"")</f>
        <v/>
      </c>
      <c r="F532" s="37">
        <f>IFERROR(IF(AND(ISNUMBER('SW OpInc'!J21),ISNUMBER('SW Rev'!J21),'SW Rev'!J21&gt;0),'SW OpInc'!J21/'SW Rev'!J21,""),"")</f>
        <v/>
      </c>
      <c r="G532" s="37">
        <f>IFERROR(IF(AND(ISNUMBER('SW OpInc'!K21),ISNUMBER('SW Rev'!K21),'SW Rev'!K21&gt;0),'SW OpInc'!K21/'SW Rev'!K21,""),"")</f>
        <v/>
      </c>
      <c r="H532" s="37">
        <f>IFERROR(IF(AND(ISNUMBER('SW OpInc'!L21),ISNUMBER('SW Rev'!L21),'SW Rev'!L21&gt;0),'SW OpInc'!L21/'SW Rev'!L21,""),"")</f>
        <v/>
      </c>
      <c r="I532" s="37">
        <f>IFERROR(IF(AND(ISNUMBER('SW OpInc'!M21),ISNUMBER('SW Rev'!M21),'SW Rev'!M21&gt;0),'SW OpInc'!M21/'SW Rev'!M21,""),"")</f>
        <v/>
      </c>
      <c r="J532" s="37">
        <f>IFERROR(IF(AND(ISNUMBER('SW OpInc'!N21),ISNUMBER('SW Rev'!N21),'SW Rev'!N21&gt;0),'SW OpInc'!N21/'SW Rev'!N21,""),"")</f>
        <v/>
      </c>
      <c r="K532" s="37">
        <f>IFERROR(IF(AND(ISNUMBER('SW OpInc'!O21),ISNUMBER('SW Rev'!O21),'SW Rev'!O21&gt;0),'SW OpInc'!O21/'SW Rev'!O21,""),"")</f>
        <v/>
      </c>
      <c r="L532" s="37">
        <f>IFERROR(IF(AND(ISNUMBER('SW OpInc'!P21),ISNUMBER('SW Rev'!P21),'SW Rev'!P21&gt;0),'SW OpInc'!P21/'SW Rev'!P21,""),"")</f>
        <v/>
      </c>
      <c r="M532" s="38">
        <f>IFERROR(IF(AND(ISNUMBER('SW OpInc'!Q21),ISNUMBER('SW Rev'!Q21),'SW Rev'!Q21&gt;0),'SW OpInc'!Q21/'SW Rev'!Q21,""),"")</f>
        <v/>
      </c>
      <c r="N532" s="38">
        <f>IFERROR(IF(AND(ISNUMBER('SW OpInc'!R21),ISNUMBER('SW Rev'!R21),'SW Rev'!R21&gt;0),'SW OpInc'!R21/'SW Rev'!R21,""),"")</f>
        <v/>
      </c>
    </row>
    <row r="533">
      <c r="A533" s="19">
        <f>'SW Rev'!$A22</f>
        <v/>
      </c>
      <c r="B533" s="19">
        <f>'SW Rev'!$B22</f>
        <v/>
      </c>
      <c r="C533" s="37">
        <f>IFERROR(IF(AND(ISNUMBER('SW OpInc'!G22),ISNUMBER('SW Rev'!G22),'SW Rev'!G22&gt;0),'SW OpInc'!G22/'SW Rev'!G22,""),"")</f>
        <v/>
      </c>
      <c r="D533" s="37">
        <f>IFERROR(IF(AND(ISNUMBER('SW OpInc'!H22),ISNUMBER('SW Rev'!H22),'SW Rev'!H22&gt;0),'SW OpInc'!H22/'SW Rev'!H22,""),"")</f>
        <v/>
      </c>
      <c r="E533" s="37">
        <f>IFERROR(IF(AND(ISNUMBER('SW OpInc'!I22),ISNUMBER('SW Rev'!I22),'SW Rev'!I22&gt;0),'SW OpInc'!I22/'SW Rev'!I22,""),"")</f>
        <v/>
      </c>
      <c r="F533" s="37">
        <f>IFERROR(IF(AND(ISNUMBER('SW OpInc'!J22),ISNUMBER('SW Rev'!J22),'SW Rev'!J22&gt;0),'SW OpInc'!J22/'SW Rev'!J22,""),"")</f>
        <v/>
      </c>
      <c r="G533" s="37">
        <f>IFERROR(IF(AND(ISNUMBER('SW OpInc'!K22),ISNUMBER('SW Rev'!K22),'SW Rev'!K22&gt;0),'SW OpInc'!K22/'SW Rev'!K22,""),"")</f>
        <v/>
      </c>
      <c r="H533" s="37">
        <f>IFERROR(IF(AND(ISNUMBER('SW OpInc'!L22),ISNUMBER('SW Rev'!L22),'SW Rev'!L22&gt;0),'SW OpInc'!L22/'SW Rev'!L22,""),"")</f>
        <v/>
      </c>
      <c r="I533" s="37">
        <f>IFERROR(IF(AND(ISNUMBER('SW OpInc'!M22),ISNUMBER('SW Rev'!M22),'SW Rev'!M22&gt;0),'SW OpInc'!M22/'SW Rev'!M22,""),"")</f>
        <v/>
      </c>
      <c r="J533" s="37">
        <f>IFERROR(IF(AND(ISNUMBER('SW OpInc'!N22),ISNUMBER('SW Rev'!N22),'SW Rev'!N22&gt;0),'SW OpInc'!N22/'SW Rev'!N22,""),"")</f>
        <v/>
      </c>
      <c r="K533" s="37">
        <f>IFERROR(IF(AND(ISNUMBER('SW OpInc'!O22),ISNUMBER('SW Rev'!O22),'SW Rev'!O22&gt;0),'SW OpInc'!O22/'SW Rev'!O22,""),"")</f>
        <v/>
      </c>
      <c r="L533" s="37">
        <f>IFERROR(IF(AND(ISNUMBER('SW OpInc'!P22),ISNUMBER('SW Rev'!P22),'SW Rev'!P22&gt;0),'SW OpInc'!P22/'SW Rev'!P22,""),"")</f>
        <v/>
      </c>
      <c r="M533" s="38">
        <f>IFERROR(IF(AND(ISNUMBER('SW OpInc'!Q22),ISNUMBER('SW Rev'!Q22),'SW Rev'!Q22&gt;0),'SW OpInc'!Q22/'SW Rev'!Q22,""),"")</f>
        <v/>
      </c>
      <c r="N533" s="38">
        <f>IFERROR(IF(AND(ISNUMBER('SW OpInc'!R22),ISNUMBER('SW Rev'!R22),'SW Rev'!R22&gt;0),'SW OpInc'!R22/'SW Rev'!R22,""),"")</f>
        <v/>
      </c>
    </row>
    <row r="534">
      <c r="A534" s="19">
        <f>'SW Rev'!$A23</f>
        <v/>
      </c>
      <c r="B534" s="19">
        <f>'SW Rev'!$B23</f>
        <v/>
      </c>
      <c r="C534" s="37">
        <f>IFERROR(IF(AND(ISNUMBER('SW OpInc'!G23),ISNUMBER('SW Rev'!G23),'SW Rev'!G23&gt;0),'SW OpInc'!G23/'SW Rev'!G23,""),"")</f>
        <v/>
      </c>
      <c r="D534" s="37">
        <f>IFERROR(IF(AND(ISNUMBER('SW OpInc'!H23),ISNUMBER('SW Rev'!H23),'SW Rev'!H23&gt;0),'SW OpInc'!H23/'SW Rev'!H23,""),"")</f>
        <v/>
      </c>
      <c r="E534" s="37">
        <f>IFERROR(IF(AND(ISNUMBER('SW OpInc'!I23),ISNUMBER('SW Rev'!I23),'SW Rev'!I23&gt;0),'SW OpInc'!I23/'SW Rev'!I23,""),"")</f>
        <v/>
      </c>
      <c r="F534" s="37">
        <f>IFERROR(IF(AND(ISNUMBER('SW OpInc'!J23),ISNUMBER('SW Rev'!J23),'SW Rev'!J23&gt;0),'SW OpInc'!J23/'SW Rev'!J23,""),"")</f>
        <v/>
      </c>
      <c r="G534" s="37">
        <f>IFERROR(IF(AND(ISNUMBER('SW OpInc'!K23),ISNUMBER('SW Rev'!K23),'SW Rev'!K23&gt;0),'SW OpInc'!K23/'SW Rev'!K23,""),"")</f>
        <v/>
      </c>
      <c r="H534" s="37">
        <f>IFERROR(IF(AND(ISNUMBER('SW OpInc'!L23),ISNUMBER('SW Rev'!L23),'SW Rev'!L23&gt;0),'SW OpInc'!L23/'SW Rev'!L23,""),"")</f>
        <v/>
      </c>
      <c r="I534" s="37">
        <f>IFERROR(IF(AND(ISNUMBER('SW OpInc'!M23),ISNUMBER('SW Rev'!M23),'SW Rev'!M23&gt;0),'SW OpInc'!M23/'SW Rev'!M23,""),"")</f>
        <v/>
      </c>
      <c r="J534" s="37">
        <f>IFERROR(IF(AND(ISNUMBER('SW OpInc'!N23),ISNUMBER('SW Rev'!N23),'SW Rev'!N23&gt;0),'SW OpInc'!N23/'SW Rev'!N23,""),"")</f>
        <v/>
      </c>
      <c r="K534" s="37">
        <f>IFERROR(IF(AND(ISNUMBER('SW OpInc'!O23),ISNUMBER('SW Rev'!O23),'SW Rev'!O23&gt;0),'SW OpInc'!O23/'SW Rev'!O23,""),"")</f>
        <v/>
      </c>
      <c r="L534" s="37">
        <f>IFERROR(IF(AND(ISNUMBER('SW OpInc'!P23),ISNUMBER('SW Rev'!P23),'SW Rev'!P23&gt;0),'SW OpInc'!P23/'SW Rev'!P23,""),"")</f>
        <v/>
      </c>
      <c r="M534" s="38">
        <f>IFERROR(IF(AND(ISNUMBER('SW OpInc'!Q23),ISNUMBER('SW Rev'!Q23),'SW Rev'!Q23&gt;0),'SW OpInc'!Q23/'SW Rev'!Q23,""),"")</f>
        <v/>
      </c>
      <c r="N534" s="38">
        <f>IFERROR(IF(AND(ISNUMBER('SW OpInc'!R23),ISNUMBER('SW Rev'!R23),'SW Rev'!R23&gt;0),'SW OpInc'!R23/'SW Rev'!R23,""),"")</f>
        <v/>
      </c>
    </row>
    <row r="535">
      <c r="A535" s="19">
        <f>'SW Rev'!$A24</f>
        <v/>
      </c>
      <c r="B535" s="19">
        <f>'SW Rev'!$B24</f>
        <v/>
      </c>
      <c r="C535" s="37">
        <f>IFERROR(IF(AND(ISNUMBER('SW OpInc'!G24),ISNUMBER('SW Rev'!G24),'SW Rev'!G24&gt;0),'SW OpInc'!G24/'SW Rev'!G24,""),"")</f>
        <v/>
      </c>
      <c r="D535" s="37">
        <f>IFERROR(IF(AND(ISNUMBER('SW OpInc'!H24),ISNUMBER('SW Rev'!H24),'SW Rev'!H24&gt;0),'SW OpInc'!H24/'SW Rev'!H24,""),"")</f>
        <v/>
      </c>
      <c r="E535" s="37">
        <f>IFERROR(IF(AND(ISNUMBER('SW OpInc'!I24),ISNUMBER('SW Rev'!I24),'SW Rev'!I24&gt;0),'SW OpInc'!I24/'SW Rev'!I24,""),"")</f>
        <v/>
      </c>
      <c r="F535" s="37">
        <f>IFERROR(IF(AND(ISNUMBER('SW OpInc'!J24),ISNUMBER('SW Rev'!J24),'SW Rev'!J24&gt;0),'SW OpInc'!J24/'SW Rev'!J24,""),"")</f>
        <v/>
      </c>
      <c r="G535" s="37">
        <f>IFERROR(IF(AND(ISNUMBER('SW OpInc'!K24),ISNUMBER('SW Rev'!K24),'SW Rev'!K24&gt;0),'SW OpInc'!K24/'SW Rev'!K24,""),"")</f>
        <v/>
      </c>
      <c r="H535" s="37">
        <f>IFERROR(IF(AND(ISNUMBER('SW OpInc'!L24),ISNUMBER('SW Rev'!L24),'SW Rev'!L24&gt;0),'SW OpInc'!L24/'SW Rev'!L24,""),"")</f>
        <v/>
      </c>
      <c r="I535" s="37">
        <f>IFERROR(IF(AND(ISNUMBER('SW OpInc'!M24),ISNUMBER('SW Rev'!M24),'SW Rev'!M24&gt;0),'SW OpInc'!M24/'SW Rev'!M24,""),"")</f>
        <v/>
      </c>
      <c r="J535" s="37">
        <f>IFERROR(IF(AND(ISNUMBER('SW OpInc'!N24),ISNUMBER('SW Rev'!N24),'SW Rev'!N24&gt;0),'SW OpInc'!N24/'SW Rev'!N24,""),"")</f>
        <v/>
      </c>
      <c r="K535" s="37">
        <f>IFERROR(IF(AND(ISNUMBER('SW OpInc'!O24),ISNUMBER('SW Rev'!O24),'SW Rev'!O24&gt;0),'SW OpInc'!O24/'SW Rev'!O24,""),"")</f>
        <v/>
      </c>
      <c r="L535" s="37">
        <f>IFERROR(IF(AND(ISNUMBER('SW OpInc'!P24),ISNUMBER('SW Rev'!P24),'SW Rev'!P24&gt;0),'SW OpInc'!P24/'SW Rev'!P24,""),"")</f>
        <v/>
      </c>
      <c r="M535" s="38">
        <f>IFERROR(IF(AND(ISNUMBER('SW OpInc'!Q24),ISNUMBER('SW Rev'!Q24),'SW Rev'!Q24&gt;0),'SW OpInc'!Q24/'SW Rev'!Q24,""),"")</f>
        <v/>
      </c>
      <c r="N535" s="38">
        <f>IFERROR(IF(AND(ISNUMBER('SW OpInc'!R24),ISNUMBER('SW Rev'!R24),'SW Rev'!R24&gt;0),'SW OpInc'!R24/'SW Rev'!R24,""),"")</f>
        <v/>
      </c>
    </row>
    <row r="536">
      <c r="A536" s="19">
        <f>'SW Rev'!$A25</f>
        <v/>
      </c>
      <c r="B536" s="19">
        <f>'SW Rev'!$B25</f>
        <v/>
      </c>
      <c r="C536" s="37">
        <f>IFERROR(IF(AND(ISNUMBER('SW OpInc'!G25),ISNUMBER('SW Rev'!G25),'SW Rev'!G25&gt;0),'SW OpInc'!G25/'SW Rev'!G25,""),"")</f>
        <v/>
      </c>
      <c r="D536" s="37">
        <f>IFERROR(IF(AND(ISNUMBER('SW OpInc'!H25),ISNUMBER('SW Rev'!H25),'SW Rev'!H25&gt;0),'SW OpInc'!H25/'SW Rev'!H25,""),"")</f>
        <v/>
      </c>
      <c r="E536" s="37">
        <f>IFERROR(IF(AND(ISNUMBER('SW OpInc'!I25),ISNUMBER('SW Rev'!I25),'SW Rev'!I25&gt;0),'SW OpInc'!I25/'SW Rev'!I25,""),"")</f>
        <v/>
      </c>
      <c r="F536" s="37">
        <f>IFERROR(IF(AND(ISNUMBER('SW OpInc'!J25),ISNUMBER('SW Rev'!J25),'SW Rev'!J25&gt;0),'SW OpInc'!J25/'SW Rev'!J25,""),"")</f>
        <v/>
      </c>
      <c r="G536" s="37">
        <f>IFERROR(IF(AND(ISNUMBER('SW OpInc'!K25),ISNUMBER('SW Rev'!K25),'SW Rev'!K25&gt;0),'SW OpInc'!K25/'SW Rev'!K25,""),"")</f>
        <v/>
      </c>
      <c r="H536" s="37">
        <f>IFERROR(IF(AND(ISNUMBER('SW OpInc'!L25),ISNUMBER('SW Rev'!L25),'SW Rev'!L25&gt;0),'SW OpInc'!L25/'SW Rev'!L25,""),"")</f>
        <v/>
      </c>
      <c r="I536" s="37">
        <f>IFERROR(IF(AND(ISNUMBER('SW OpInc'!M25),ISNUMBER('SW Rev'!M25),'SW Rev'!M25&gt;0),'SW OpInc'!M25/'SW Rev'!M25,""),"")</f>
        <v/>
      </c>
      <c r="J536" s="37">
        <f>IFERROR(IF(AND(ISNUMBER('SW OpInc'!N25),ISNUMBER('SW Rev'!N25),'SW Rev'!N25&gt;0),'SW OpInc'!N25/'SW Rev'!N25,""),"")</f>
        <v/>
      </c>
      <c r="K536" s="37">
        <f>IFERROR(IF(AND(ISNUMBER('SW OpInc'!O25),ISNUMBER('SW Rev'!O25),'SW Rev'!O25&gt;0),'SW OpInc'!O25/'SW Rev'!O25,""),"")</f>
        <v/>
      </c>
      <c r="L536" s="37">
        <f>IFERROR(IF(AND(ISNUMBER('SW OpInc'!P25),ISNUMBER('SW Rev'!P25),'SW Rev'!P25&gt;0),'SW OpInc'!P25/'SW Rev'!P25,""),"")</f>
        <v/>
      </c>
      <c r="M536" s="38">
        <f>IFERROR(IF(AND(ISNUMBER('SW OpInc'!Q25),ISNUMBER('SW Rev'!Q25),'SW Rev'!Q25&gt;0),'SW OpInc'!Q25/'SW Rev'!Q25,""),"")</f>
        <v/>
      </c>
      <c r="N536" s="38">
        <f>IFERROR(IF(AND(ISNUMBER('SW OpInc'!R25),ISNUMBER('SW Rev'!R25),'SW Rev'!R25&gt;0),'SW OpInc'!R25/'SW Rev'!R25,""),"")</f>
        <v/>
      </c>
    </row>
    <row r="537">
      <c r="A537" s="19">
        <f>'SW Rev'!$A26</f>
        <v/>
      </c>
      <c r="B537" s="19">
        <f>'SW Rev'!$B26</f>
        <v/>
      </c>
      <c r="C537" s="37">
        <f>IFERROR(IF(AND(ISNUMBER('SW OpInc'!G26),ISNUMBER('SW Rev'!G26),'SW Rev'!G26&gt;0),'SW OpInc'!G26/'SW Rev'!G26,""),"")</f>
        <v/>
      </c>
      <c r="D537" s="37">
        <f>IFERROR(IF(AND(ISNUMBER('SW OpInc'!H26),ISNUMBER('SW Rev'!H26),'SW Rev'!H26&gt;0),'SW OpInc'!H26/'SW Rev'!H26,""),"")</f>
        <v/>
      </c>
      <c r="E537" s="37">
        <f>IFERROR(IF(AND(ISNUMBER('SW OpInc'!I26),ISNUMBER('SW Rev'!I26),'SW Rev'!I26&gt;0),'SW OpInc'!I26/'SW Rev'!I26,""),"")</f>
        <v/>
      </c>
      <c r="F537" s="37">
        <f>IFERROR(IF(AND(ISNUMBER('SW OpInc'!J26),ISNUMBER('SW Rev'!J26),'SW Rev'!J26&gt;0),'SW OpInc'!J26/'SW Rev'!J26,""),"")</f>
        <v/>
      </c>
      <c r="G537" s="37">
        <f>IFERROR(IF(AND(ISNUMBER('SW OpInc'!K26),ISNUMBER('SW Rev'!K26),'SW Rev'!K26&gt;0),'SW OpInc'!K26/'SW Rev'!K26,""),"")</f>
        <v/>
      </c>
      <c r="H537" s="37">
        <f>IFERROR(IF(AND(ISNUMBER('SW OpInc'!L26),ISNUMBER('SW Rev'!L26),'SW Rev'!L26&gt;0),'SW OpInc'!L26/'SW Rev'!L26,""),"")</f>
        <v/>
      </c>
      <c r="I537" s="37">
        <f>IFERROR(IF(AND(ISNUMBER('SW OpInc'!M26),ISNUMBER('SW Rev'!M26),'SW Rev'!M26&gt;0),'SW OpInc'!M26/'SW Rev'!M26,""),"")</f>
        <v/>
      </c>
      <c r="J537" s="37">
        <f>IFERROR(IF(AND(ISNUMBER('SW OpInc'!N26),ISNUMBER('SW Rev'!N26),'SW Rev'!N26&gt;0),'SW OpInc'!N26/'SW Rev'!N26,""),"")</f>
        <v/>
      </c>
      <c r="K537" s="37">
        <f>IFERROR(IF(AND(ISNUMBER('SW OpInc'!O26),ISNUMBER('SW Rev'!O26),'SW Rev'!O26&gt;0),'SW OpInc'!O26/'SW Rev'!O26,""),"")</f>
        <v/>
      </c>
      <c r="L537" s="37">
        <f>IFERROR(IF(AND(ISNUMBER('SW OpInc'!P26),ISNUMBER('SW Rev'!P26),'SW Rev'!P26&gt;0),'SW OpInc'!P26/'SW Rev'!P26,""),"")</f>
        <v/>
      </c>
      <c r="M537" s="38">
        <f>IFERROR(IF(AND(ISNUMBER('SW OpInc'!Q26),ISNUMBER('SW Rev'!Q26),'SW Rev'!Q26&gt;0),'SW OpInc'!Q26/'SW Rev'!Q26,""),"")</f>
        <v/>
      </c>
      <c r="N537" s="38">
        <f>IFERROR(IF(AND(ISNUMBER('SW OpInc'!R26),ISNUMBER('SW Rev'!R26),'SW Rev'!R26&gt;0),'SW OpInc'!R26/'SW Rev'!R26,""),"")</f>
        <v/>
      </c>
    </row>
    <row r="538">
      <c r="A538" s="19">
        <f>'SW Rev'!$A27</f>
        <v/>
      </c>
      <c r="B538" s="19">
        <f>'SW Rev'!$B27</f>
        <v/>
      </c>
      <c r="C538" s="37">
        <f>IFERROR(IF(AND(ISNUMBER('SW OpInc'!G27),ISNUMBER('SW Rev'!G27),'SW Rev'!G27&gt;0),'SW OpInc'!G27/'SW Rev'!G27,""),"")</f>
        <v/>
      </c>
      <c r="D538" s="37">
        <f>IFERROR(IF(AND(ISNUMBER('SW OpInc'!H27),ISNUMBER('SW Rev'!H27),'SW Rev'!H27&gt;0),'SW OpInc'!H27/'SW Rev'!H27,""),"")</f>
        <v/>
      </c>
      <c r="E538" s="37">
        <f>IFERROR(IF(AND(ISNUMBER('SW OpInc'!I27),ISNUMBER('SW Rev'!I27),'SW Rev'!I27&gt;0),'SW OpInc'!I27/'SW Rev'!I27,""),"")</f>
        <v/>
      </c>
      <c r="F538" s="37">
        <f>IFERROR(IF(AND(ISNUMBER('SW OpInc'!J27),ISNUMBER('SW Rev'!J27),'SW Rev'!J27&gt;0),'SW OpInc'!J27/'SW Rev'!J27,""),"")</f>
        <v/>
      </c>
      <c r="G538" s="37">
        <f>IFERROR(IF(AND(ISNUMBER('SW OpInc'!K27),ISNUMBER('SW Rev'!K27),'SW Rev'!K27&gt;0),'SW OpInc'!K27/'SW Rev'!K27,""),"")</f>
        <v/>
      </c>
      <c r="H538" s="37">
        <f>IFERROR(IF(AND(ISNUMBER('SW OpInc'!L27),ISNUMBER('SW Rev'!L27),'SW Rev'!L27&gt;0),'SW OpInc'!L27/'SW Rev'!L27,""),"")</f>
        <v/>
      </c>
      <c r="I538" s="37">
        <f>IFERROR(IF(AND(ISNUMBER('SW OpInc'!M27),ISNUMBER('SW Rev'!M27),'SW Rev'!M27&gt;0),'SW OpInc'!M27/'SW Rev'!M27,""),"")</f>
        <v/>
      </c>
      <c r="J538" s="37">
        <f>IFERROR(IF(AND(ISNUMBER('SW OpInc'!N27),ISNUMBER('SW Rev'!N27),'SW Rev'!N27&gt;0),'SW OpInc'!N27/'SW Rev'!N27,""),"")</f>
        <v/>
      </c>
      <c r="K538" s="37">
        <f>IFERROR(IF(AND(ISNUMBER('SW OpInc'!O27),ISNUMBER('SW Rev'!O27),'SW Rev'!O27&gt;0),'SW OpInc'!O27/'SW Rev'!O27,""),"")</f>
        <v/>
      </c>
      <c r="L538" s="37">
        <f>IFERROR(IF(AND(ISNUMBER('SW OpInc'!P27),ISNUMBER('SW Rev'!P27),'SW Rev'!P27&gt;0),'SW OpInc'!P27/'SW Rev'!P27,""),"")</f>
        <v/>
      </c>
      <c r="M538" s="38">
        <f>IFERROR(IF(AND(ISNUMBER('SW OpInc'!Q27),ISNUMBER('SW Rev'!Q27),'SW Rev'!Q27&gt;0),'SW OpInc'!Q27/'SW Rev'!Q27,""),"")</f>
        <v/>
      </c>
      <c r="N538" s="38">
        <f>IFERROR(IF(AND(ISNUMBER('SW OpInc'!R27),ISNUMBER('SW Rev'!R27),'SW Rev'!R27&gt;0),'SW OpInc'!R27/'SW Rev'!R27,""),"")</f>
        <v/>
      </c>
    </row>
    <row r="539">
      <c r="A539" s="19">
        <f>'SW Rev'!$A28</f>
        <v/>
      </c>
      <c r="B539" s="19">
        <f>'SW Rev'!$B28</f>
        <v/>
      </c>
      <c r="C539" s="37">
        <f>IFERROR(IF(AND(ISNUMBER('SW OpInc'!G28),ISNUMBER('SW Rev'!G28),'SW Rev'!G28&gt;0),'SW OpInc'!G28/'SW Rev'!G28,""),"")</f>
        <v/>
      </c>
      <c r="D539" s="37">
        <f>IFERROR(IF(AND(ISNUMBER('SW OpInc'!H28),ISNUMBER('SW Rev'!H28),'SW Rev'!H28&gt;0),'SW OpInc'!H28/'SW Rev'!H28,""),"")</f>
        <v/>
      </c>
      <c r="E539" s="37">
        <f>IFERROR(IF(AND(ISNUMBER('SW OpInc'!I28),ISNUMBER('SW Rev'!I28),'SW Rev'!I28&gt;0),'SW OpInc'!I28/'SW Rev'!I28,""),"")</f>
        <v/>
      </c>
      <c r="F539" s="37">
        <f>IFERROR(IF(AND(ISNUMBER('SW OpInc'!J28),ISNUMBER('SW Rev'!J28),'SW Rev'!J28&gt;0),'SW OpInc'!J28/'SW Rev'!J28,""),"")</f>
        <v/>
      </c>
      <c r="G539" s="37">
        <f>IFERROR(IF(AND(ISNUMBER('SW OpInc'!K28),ISNUMBER('SW Rev'!K28),'SW Rev'!K28&gt;0),'SW OpInc'!K28/'SW Rev'!K28,""),"")</f>
        <v/>
      </c>
      <c r="H539" s="37">
        <f>IFERROR(IF(AND(ISNUMBER('SW OpInc'!L28),ISNUMBER('SW Rev'!L28),'SW Rev'!L28&gt;0),'SW OpInc'!L28/'SW Rev'!L28,""),"")</f>
        <v/>
      </c>
      <c r="I539" s="37">
        <f>IFERROR(IF(AND(ISNUMBER('SW OpInc'!M28),ISNUMBER('SW Rev'!M28),'SW Rev'!M28&gt;0),'SW OpInc'!M28/'SW Rev'!M28,""),"")</f>
        <v/>
      </c>
      <c r="J539" s="37">
        <f>IFERROR(IF(AND(ISNUMBER('SW OpInc'!N28),ISNUMBER('SW Rev'!N28),'SW Rev'!N28&gt;0),'SW OpInc'!N28/'SW Rev'!N28,""),"")</f>
        <v/>
      </c>
      <c r="K539" s="37">
        <f>IFERROR(IF(AND(ISNUMBER('SW OpInc'!O28),ISNUMBER('SW Rev'!O28),'SW Rev'!O28&gt;0),'SW OpInc'!O28/'SW Rev'!O28,""),"")</f>
        <v/>
      </c>
      <c r="L539" s="37">
        <f>IFERROR(IF(AND(ISNUMBER('SW OpInc'!P28),ISNUMBER('SW Rev'!P28),'SW Rev'!P28&gt;0),'SW OpInc'!P28/'SW Rev'!P28,""),"")</f>
        <v/>
      </c>
      <c r="M539" s="38">
        <f>IFERROR(IF(AND(ISNUMBER('SW OpInc'!Q28),ISNUMBER('SW Rev'!Q28),'SW Rev'!Q28&gt;0),'SW OpInc'!Q28/'SW Rev'!Q28,""),"")</f>
        <v/>
      </c>
      <c r="N539" s="38">
        <f>IFERROR(IF(AND(ISNUMBER('SW OpInc'!R28),ISNUMBER('SW Rev'!R28),'SW Rev'!R28&gt;0),'SW OpInc'!R28/'SW Rev'!R28,""),"")</f>
        <v/>
      </c>
    </row>
    <row r="540">
      <c r="A540" s="19">
        <f>'SW Rev'!$A29</f>
        <v/>
      </c>
      <c r="B540" s="19">
        <f>'SW Rev'!$B29</f>
        <v/>
      </c>
      <c r="C540" s="37">
        <f>IFERROR(IF(AND(ISNUMBER('SW OpInc'!G29),ISNUMBER('SW Rev'!G29),'SW Rev'!G29&gt;0),'SW OpInc'!G29/'SW Rev'!G29,""),"")</f>
        <v/>
      </c>
      <c r="D540" s="37">
        <f>IFERROR(IF(AND(ISNUMBER('SW OpInc'!H29),ISNUMBER('SW Rev'!H29),'SW Rev'!H29&gt;0),'SW OpInc'!H29/'SW Rev'!H29,""),"")</f>
        <v/>
      </c>
      <c r="E540" s="37">
        <f>IFERROR(IF(AND(ISNUMBER('SW OpInc'!I29),ISNUMBER('SW Rev'!I29),'SW Rev'!I29&gt;0),'SW OpInc'!I29/'SW Rev'!I29,""),"")</f>
        <v/>
      </c>
      <c r="F540" s="37">
        <f>IFERROR(IF(AND(ISNUMBER('SW OpInc'!J29),ISNUMBER('SW Rev'!J29),'SW Rev'!J29&gt;0),'SW OpInc'!J29/'SW Rev'!J29,""),"")</f>
        <v/>
      </c>
      <c r="G540" s="37">
        <f>IFERROR(IF(AND(ISNUMBER('SW OpInc'!K29),ISNUMBER('SW Rev'!K29),'SW Rev'!K29&gt;0),'SW OpInc'!K29/'SW Rev'!K29,""),"")</f>
        <v/>
      </c>
      <c r="H540" s="37">
        <f>IFERROR(IF(AND(ISNUMBER('SW OpInc'!L29),ISNUMBER('SW Rev'!L29),'SW Rev'!L29&gt;0),'SW OpInc'!L29/'SW Rev'!L29,""),"")</f>
        <v/>
      </c>
      <c r="I540" s="37">
        <f>IFERROR(IF(AND(ISNUMBER('SW OpInc'!M29),ISNUMBER('SW Rev'!M29),'SW Rev'!M29&gt;0),'SW OpInc'!M29/'SW Rev'!M29,""),"")</f>
        <v/>
      </c>
      <c r="J540" s="37">
        <f>IFERROR(IF(AND(ISNUMBER('SW OpInc'!N29),ISNUMBER('SW Rev'!N29),'SW Rev'!N29&gt;0),'SW OpInc'!N29/'SW Rev'!N29,""),"")</f>
        <v/>
      </c>
      <c r="K540" s="37">
        <f>IFERROR(IF(AND(ISNUMBER('SW OpInc'!O29),ISNUMBER('SW Rev'!O29),'SW Rev'!O29&gt;0),'SW OpInc'!O29/'SW Rev'!O29,""),"")</f>
        <v/>
      </c>
      <c r="L540" s="37">
        <f>IFERROR(IF(AND(ISNUMBER('SW OpInc'!P29),ISNUMBER('SW Rev'!P29),'SW Rev'!P29&gt;0),'SW OpInc'!P29/'SW Rev'!P29,""),"")</f>
        <v/>
      </c>
      <c r="M540" s="38">
        <f>IFERROR(IF(AND(ISNUMBER('SW OpInc'!Q29),ISNUMBER('SW Rev'!Q29),'SW Rev'!Q29&gt;0),'SW OpInc'!Q29/'SW Rev'!Q29,""),"")</f>
        <v/>
      </c>
      <c r="N540" s="38">
        <f>IFERROR(IF(AND(ISNUMBER('SW OpInc'!R29),ISNUMBER('SW Rev'!R29),'SW Rev'!R29&gt;0),'SW OpInc'!R29/'SW Rev'!R29,""),"")</f>
        <v/>
      </c>
    </row>
    <row r="541">
      <c r="A541" s="19">
        <f>'SW Rev'!$A30</f>
        <v/>
      </c>
      <c r="B541" s="19">
        <f>'SW Rev'!$B30</f>
        <v/>
      </c>
      <c r="C541" s="37">
        <f>IFERROR(IF(AND(ISNUMBER('SW OpInc'!G30),ISNUMBER('SW Rev'!G30),'SW Rev'!G30&gt;0),'SW OpInc'!G30/'SW Rev'!G30,""),"")</f>
        <v/>
      </c>
      <c r="D541" s="37">
        <f>IFERROR(IF(AND(ISNUMBER('SW OpInc'!H30),ISNUMBER('SW Rev'!H30),'SW Rev'!H30&gt;0),'SW OpInc'!H30/'SW Rev'!H30,""),"")</f>
        <v/>
      </c>
      <c r="E541" s="37">
        <f>IFERROR(IF(AND(ISNUMBER('SW OpInc'!I30),ISNUMBER('SW Rev'!I30),'SW Rev'!I30&gt;0),'SW OpInc'!I30/'SW Rev'!I30,""),"")</f>
        <v/>
      </c>
      <c r="F541" s="37">
        <f>IFERROR(IF(AND(ISNUMBER('SW OpInc'!J30),ISNUMBER('SW Rev'!J30),'SW Rev'!J30&gt;0),'SW OpInc'!J30/'SW Rev'!J30,""),"")</f>
        <v/>
      </c>
      <c r="G541" s="37">
        <f>IFERROR(IF(AND(ISNUMBER('SW OpInc'!K30),ISNUMBER('SW Rev'!K30),'SW Rev'!K30&gt;0),'SW OpInc'!K30/'SW Rev'!K30,""),"")</f>
        <v/>
      </c>
      <c r="H541" s="37">
        <f>IFERROR(IF(AND(ISNUMBER('SW OpInc'!L30),ISNUMBER('SW Rev'!L30),'SW Rev'!L30&gt;0),'SW OpInc'!L30/'SW Rev'!L30,""),"")</f>
        <v/>
      </c>
      <c r="I541" s="37">
        <f>IFERROR(IF(AND(ISNUMBER('SW OpInc'!M30),ISNUMBER('SW Rev'!M30),'SW Rev'!M30&gt;0),'SW OpInc'!M30/'SW Rev'!M30,""),"")</f>
        <v/>
      </c>
      <c r="J541" s="37">
        <f>IFERROR(IF(AND(ISNUMBER('SW OpInc'!N30),ISNUMBER('SW Rev'!N30),'SW Rev'!N30&gt;0),'SW OpInc'!N30/'SW Rev'!N30,""),"")</f>
        <v/>
      </c>
      <c r="K541" s="37">
        <f>IFERROR(IF(AND(ISNUMBER('SW OpInc'!O30),ISNUMBER('SW Rev'!O30),'SW Rev'!O30&gt;0),'SW OpInc'!O30/'SW Rev'!O30,""),"")</f>
        <v/>
      </c>
      <c r="L541" s="37">
        <f>IFERROR(IF(AND(ISNUMBER('SW OpInc'!P30),ISNUMBER('SW Rev'!P30),'SW Rev'!P30&gt;0),'SW OpInc'!P30/'SW Rev'!P30,""),"")</f>
        <v/>
      </c>
      <c r="M541" s="38">
        <f>IFERROR(IF(AND(ISNUMBER('SW OpInc'!Q30),ISNUMBER('SW Rev'!Q30),'SW Rev'!Q30&gt;0),'SW OpInc'!Q30/'SW Rev'!Q30,""),"")</f>
        <v/>
      </c>
      <c r="N541" s="38">
        <f>IFERROR(IF(AND(ISNUMBER('SW OpInc'!R30),ISNUMBER('SW Rev'!R30),'SW Rev'!R30&gt;0),'SW OpInc'!R30/'SW Rev'!R30,""),"")</f>
        <v/>
      </c>
    </row>
    <row r="542">
      <c r="A542" s="19">
        <f>'SW Rev'!$A31</f>
        <v/>
      </c>
      <c r="B542" s="19">
        <f>'SW Rev'!$B31</f>
        <v/>
      </c>
      <c r="C542" s="37">
        <f>IFERROR(IF(AND(ISNUMBER('SW OpInc'!G31),ISNUMBER('SW Rev'!G31),'SW Rev'!G31&gt;0),'SW OpInc'!G31/'SW Rev'!G31,""),"")</f>
        <v/>
      </c>
      <c r="D542" s="37">
        <f>IFERROR(IF(AND(ISNUMBER('SW OpInc'!H31),ISNUMBER('SW Rev'!H31),'SW Rev'!H31&gt;0),'SW OpInc'!H31/'SW Rev'!H31,""),"")</f>
        <v/>
      </c>
      <c r="E542" s="37">
        <f>IFERROR(IF(AND(ISNUMBER('SW OpInc'!I31),ISNUMBER('SW Rev'!I31),'SW Rev'!I31&gt;0),'SW OpInc'!I31/'SW Rev'!I31,""),"")</f>
        <v/>
      </c>
      <c r="F542" s="37">
        <f>IFERROR(IF(AND(ISNUMBER('SW OpInc'!J31),ISNUMBER('SW Rev'!J31),'SW Rev'!J31&gt;0),'SW OpInc'!J31/'SW Rev'!J31,""),"")</f>
        <v/>
      </c>
      <c r="G542" s="37">
        <f>IFERROR(IF(AND(ISNUMBER('SW OpInc'!K31),ISNUMBER('SW Rev'!K31),'SW Rev'!K31&gt;0),'SW OpInc'!K31/'SW Rev'!K31,""),"")</f>
        <v/>
      </c>
      <c r="H542" s="37">
        <f>IFERROR(IF(AND(ISNUMBER('SW OpInc'!L31),ISNUMBER('SW Rev'!L31),'SW Rev'!L31&gt;0),'SW OpInc'!L31/'SW Rev'!L31,""),"")</f>
        <v/>
      </c>
      <c r="I542" s="37">
        <f>IFERROR(IF(AND(ISNUMBER('SW OpInc'!M31),ISNUMBER('SW Rev'!M31),'SW Rev'!M31&gt;0),'SW OpInc'!M31/'SW Rev'!M31,""),"")</f>
        <v/>
      </c>
      <c r="J542" s="37">
        <f>IFERROR(IF(AND(ISNUMBER('SW OpInc'!N31),ISNUMBER('SW Rev'!N31),'SW Rev'!N31&gt;0),'SW OpInc'!N31/'SW Rev'!N31,""),"")</f>
        <v/>
      </c>
      <c r="K542" s="37">
        <f>IFERROR(IF(AND(ISNUMBER('SW OpInc'!O31),ISNUMBER('SW Rev'!O31),'SW Rev'!O31&gt;0),'SW OpInc'!O31/'SW Rev'!O31,""),"")</f>
        <v/>
      </c>
      <c r="L542" s="37">
        <f>IFERROR(IF(AND(ISNUMBER('SW OpInc'!P31),ISNUMBER('SW Rev'!P31),'SW Rev'!P31&gt;0),'SW OpInc'!P31/'SW Rev'!P31,""),"")</f>
        <v/>
      </c>
      <c r="M542" s="38">
        <f>IFERROR(IF(AND(ISNUMBER('SW OpInc'!Q31),ISNUMBER('SW Rev'!Q31),'SW Rev'!Q31&gt;0),'SW OpInc'!Q31/'SW Rev'!Q31,""),"")</f>
        <v/>
      </c>
      <c r="N542" s="38">
        <f>IFERROR(IF(AND(ISNUMBER('SW OpInc'!R31),ISNUMBER('SW Rev'!R31),'SW Rev'!R31&gt;0),'SW OpInc'!R31/'SW Rev'!R31,""),"")</f>
        <v/>
      </c>
    </row>
    <row r="543">
      <c r="A543" s="19">
        <f>'SW Rev'!$A32</f>
        <v/>
      </c>
      <c r="B543" s="19">
        <f>'SW Rev'!$B32</f>
        <v/>
      </c>
      <c r="C543" s="37">
        <f>IFERROR(IF(AND(ISNUMBER('SW OpInc'!G32),ISNUMBER('SW Rev'!G32),'SW Rev'!G32&gt;0),'SW OpInc'!G32/'SW Rev'!G32,""),"")</f>
        <v/>
      </c>
      <c r="D543" s="37">
        <f>IFERROR(IF(AND(ISNUMBER('SW OpInc'!H32),ISNUMBER('SW Rev'!H32),'SW Rev'!H32&gt;0),'SW OpInc'!H32/'SW Rev'!H32,""),"")</f>
        <v/>
      </c>
      <c r="E543" s="37">
        <f>IFERROR(IF(AND(ISNUMBER('SW OpInc'!I32),ISNUMBER('SW Rev'!I32),'SW Rev'!I32&gt;0),'SW OpInc'!I32/'SW Rev'!I32,""),"")</f>
        <v/>
      </c>
      <c r="F543" s="37">
        <f>IFERROR(IF(AND(ISNUMBER('SW OpInc'!J32),ISNUMBER('SW Rev'!J32),'SW Rev'!J32&gt;0),'SW OpInc'!J32/'SW Rev'!J32,""),"")</f>
        <v/>
      </c>
      <c r="G543" s="37">
        <f>IFERROR(IF(AND(ISNUMBER('SW OpInc'!K32),ISNUMBER('SW Rev'!K32),'SW Rev'!K32&gt;0),'SW OpInc'!K32/'SW Rev'!K32,""),"")</f>
        <v/>
      </c>
      <c r="H543" s="37">
        <f>IFERROR(IF(AND(ISNUMBER('SW OpInc'!L32),ISNUMBER('SW Rev'!L32),'SW Rev'!L32&gt;0),'SW OpInc'!L32/'SW Rev'!L32,""),"")</f>
        <v/>
      </c>
      <c r="I543" s="37">
        <f>IFERROR(IF(AND(ISNUMBER('SW OpInc'!M32),ISNUMBER('SW Rev'!M32),'SW Rev'!M32&gt;0),'SW OpInc'!M32/'SW Rev'!M32,""),"")</f>
        <v/>
      </c>
      <c r="J543" s="37">
        <f>IFERROR(IF(AND(ISNUMBER('SW OpInc'!N32),ISNUMBER('SW Rev'!N32),'SW Rev'!N32&gt;0),'SW OpInc'!N32/'SW Rev'!N32,""),"")</f>
        <v/>
      </c>
      <c r="K543" s="37">
        <f>IFERROR(IF(AND(ISNUMBER('SW OpInc'!O32),ISNUMBER('SW Rev'!O32),'SW Rev'!O32&gt;0),'SW OpInc'!O32/'SW Rev'!O32,""),"")</f>
        <v/>
      </c>
      <c r="L543" s="37">
        <f>IFERROR(IF(AND(ISNUMBER('SW OpInc'!P32),ISNUMBER('SW Rev'!P32),'SW Rev'!P32&gt;0),'SW OpInc'!P32/'SW Rev'!P32,""),"")</f>
        <v/>
      </c>
      <c r="M543" s="38">
        <f>IFERROR(IF(AND(ISNUMBER('SW OpInc'!Q32),ISNUMBER('SW Rev'!Q32),'SW Rev'!Q32&gt;0),'SW OpInc'!Q32/'SW Rev'!Q32,""),"")</f>
        <v/>
      </c>
      <c r="N543" s="38">
        <f>IFERROR(IF(AND(ISNUMBER('SW OpInc'!R32),ISNUMBER('SW Rev'!R32),'SW Rev'!R32&gt;0),'SW OpInc'!R32/'SW Rev'!R32,""),"")</f>
        <v/>
      </c>
    </row>
    <row r="544">
      <c r="A544" s="19">
        <f>'SW Rev'!$A33</f>
        <v/>
      </c>
      <c r="B544" s="19">
        <f>'SW Rev'!$B33</f>
        <v/>
      </c>
      <c r="C544" s="37">
        <f>IFERROR(IF(AND(ISNUMBER('SW OpInc'!G33),ISNUMBER('SW Rev'!G33),'SW Rev'!G33&gt;0),'SW OpInc'!G33/'SW Rev'!G33,""),"")</f>
        <v/>
      </c>
      <c r="D544" s="37">
        <f>IFERROR(IF(AND(ISNUMBER('SW OpInc'!H33),ISNUMBER('SW Rev'!H33),'SW Rev'!H33&gt;0),'SW OpInc'!H33/'SW Rev'!H33,""),"")</f>
        <v/>
      </c>
      <c r="E544" s="37">
        <f>IFERROR(IF(AND(ISNUMBER('SW OpInc'!I33),ISNUMBER('SW Rev'!I33),'SW Rev'!I33&gt;0),'SW OpInc'!I33/'SW Rev'!I33,""),"")</f>
        <v/>
      </c>
      <c r="F544" s="37">
        <f>IFERROR(IF(AND(ISNUMBER('SW OpInc'!J33),ISNUMBER('SW Rev'!J33),'SW Rev'!J33&gt;0),'SW OpInc'!J33/'SW Rev'!J33,""),"")</f>
        <v/>
      </c>
      <c r="G544" s="37">
        <f>IFERROR(IF(AND(ISNUMBER('SW OpInc'!K33),ISNUMBER('SW Rev'!K33),'SW Rev'!K33&gt;0),'SW OpInc'!K33/'SW Rev'!K33,""),"")</f>
        <v/>
      </c>
      <c r="H544" s="37">
        <f>IFERROR(IF(AND(ISNUMBER('SW OpInc'!L33),ISNUMBER('SW Rev'!L33),'SW Rev'!L33&gt;0),'SW OpInc'!L33/'SW Rev'!L33,""),"")</f>
        <v/>
      </c>
      <c r="I544" s="37">
        <f>IFERROR(IF(AND(ISNUMBER('SW OpInc'!M33),ISNUMBER('SW Rev'!M33),'SW Rev'!M33&gt;0),'SW OpInc'!M33/'SW Rev'!M33,""),"")</f>
        <v/>
      </c>
      <c r="J544" s="37">
        <f>IFERROR(IF(AND(ISNUMBER('SW OpInc'!N33),ISNUMBER('SW Rev'!N33),'SW Rev'!N33&gt;0),'SW OpInc'!N33/'SW Rev'!N33,""),"")</f>
        <v/>
      </c>
      <c r="K544" s="37">
        <f>IFERROR(IF(AND(ISNUMBER('SW OpInc'!O33),ISNUMBER('SW Rev'!O33),'SW Rev'!O33&gt;0),'SW OpInc'!O33/'SW Rev'!O33,""),"")</f>
        <v/>
      </c>
      <c r="L544" s="37">
        <f>IFERROR(IF(AND(ISNUMBER('SW OpInc'!P33),ISNUMBER('SW Rev'!P33),'SW Rev'!P33&gt;0),'SW OpInc'!P33/'SW Rev'!P33,""),"")</f>
        <v/>
      </c>
      <c r="M544" s="38">
        <f>IFERROR(IF(AND(ISNUMBER('SW OpInc'!Q33),ISNUMBER('SW Rev'!Q33),'SW Rev'!Q33&gt;0),'SW OpInc'!Q33/'SW Rev'!Q33,""),"")</f>
        <v/>
      </c>
      <c r="N544" s="38">
        <f>IFERROR(IF(AND(ISNUMBER('SW OpInc'!R33),ISNUMBER('SW Rev'!R33),'SW Rev'!R33&gt;0),'SW OpInc'!R33/'SW Rev'!R33,""),"")</f>
        <v/>
      </c>
    </row>
    <row r="545">
      <c r="A545" s="19">
        <f>'SW Rev'!$A34</f>
        <v/>
      </c>
      <c r="B545" s="19">
        <f>'SW Rev'!$B34</f>
        <v/>
      </c>
      <c r="C545" s="37">
        <f>IFERROR(IF(AND(ISNUMBER('SW OpInc'!G34),ISNUMBER('SW Rev'!G34),'SW Rev'!G34&gt;0),'SW OpInc'!G34/'SW Rev'!G34,""),"")</f>
        <v/>
      </c>
      <c r="D545" s="37">
        <f>IFERROR(IF(AND(ISNUMBER('SW OpInc'!H34),ISNUMBER('SW Rev'!H34),'SW Rev'!H34&gt;0),'SW OpInc'!H34/'SW Rev'!H34,""),"")</f>
        <v/>
      </c>
      <c r="E545" s="37">
        <f>IFERROR(IF(AND(ISNUMBER('SW OpInc'!I34),ISNUMBER('SW Rev'!I34),'SW Rev'!I34&gt;0),'SW OpInc'!I34/'SW Rev'!I34,""),"")</f>
        <v/>
      </c>
      <c r="F545" s="37">
        <f>IFERROR(IF(AND(ISNUMBER('SW OpInc'!J34),ISNUMBER('SW Rev'!J34),'SW Rev'!J34&gt;0),'SW OpInc'!J34/'SW Rev'!J34,""),"")</f>
        <v/>
      </c>
      <c r="G545" s="37">
        <f>IFERROR(IF(AND(ISNUMBER('SW OpInc'!K34),ISNUMBER('SW Rev'!K34),'SW Rev'!K34&gt;0),'SW OpInc'!K34/'SW Rev'!K34,""),"")</f>
        <v/>
      </c>
      <c r="H545" s="37">
        <f>IFERROR(IF(AND(ISNUMBER('SW OpInc'!L34),ISNUMBER('SW Rev'!L34),'SW Rev'!L34&gt;0),'SW OpInc'!L34/'SW Rev'!L34,""),"")</f>
        <v/>
      </c>
      <c r="I545" s="37">
        <f>IFERROR(IF(AND(ISNUMBER('SW OpInc'!M34),ISNUMBER('SW Rev'!M34),'SW Rev'!M34&gt;0),'SW OpInc'!M34/'SW Rev'!M34,""),"")</f>
        <v/>
      </c>
      <c r="J545" s="37">
        <f>IFERROR(IF(AND(ISNUMBER('SW OpInc'!N34),ISNUMBER('SW Rev'!N34),'SW Rev'!N34&gt;0),'SW OpInc'!N34/'SW Rev'!N34,""),"")</f>
        <v/>
      </c>
      <c r="K545" s="37">
        <f>IFERROR(IF(AND(ISNUMBER('SW OpInc'!O34),ISNUMBER('SW Rev'!O34),'SW Rev'!O34&gt;0),'SW OpInc'!O34/'SW Rev'!O34,""),"")</f>
        <v/>
      </c>
      <c r="L545" s="37">
        <f>IFERROR(IF(AND(ISNUMBER('SW OpInc'!P34),ISNUMBER('SW Rev'!P34),'SW Rev'!P34&gt;0),'SW OpInc'!P34/'SW Rev'!P34,""),"")</f>
        <v/>
      </c>
      <c r="M545" s="38">
        <f>IFERROR(IF(AND(ISNUMBER('SW OpInc'!Q34),ISNUMBER('SW Rev'!Q34),'SW Rev'!Q34&gt;0),'SW OpInc'!Q34/'SW Rev'!Q34,""),"")</f>
        <v/>
      </c>
      <c r="N545" s="38">
        <f>IFERROR(IF(AND(ISNUMBER('SW OpInc'!R34),ISNUMBER('SW Rev'!R34),'SW Rev'!R34&gt;0),'SW OpInc'!R34/'SW Rev'!R34,""),"")</f>
        <v/>
      </c>
    </row>
    <row r="546">
      <c r="A546" s="19">
        <f>'SW Rev'!$A35</f>
        <v/>
      </c>
      <c r="B546" s="19">
        <f>'SW Rev'!$B35</f>
        <v/>
      </c>
      <c r="C546" s="37">
        <f>IFERROR(IF(AND(ISNUMBER('SW OpInc'!G35),ISNUMBER('SW Rev'!G35),'SW Rev'!G35&gt;0),'SW OpInc'!G35/'SW Rev'!G35,""),"")</f>
        <v/>
      </c>
      <c r="D546" s="37">
        <f>IFERROR(IF(AND(ISNUMBER('SW OpInc'!H35),ISNUMBER('SW Rev'!H35),'SW Rev'!H35&gt;0),'SW OpInc'!H35/'SW Rev'!H35,""),"")</f>
        <v/>
      </c>
      <c r="E546" s="37">
        <f>IFERROR(IF(AND(ISNUMBER('SW OpInc'!I35),ISNUMBER('SW Rev'!I35),'SW Rev'!I35&gt;0),'SW OpInc'!I35/'SW Rev'!I35,""),"")</f>
        <v/>
      </c>
      <c r="F546" s="37">
        <f>IFERROR(IF(AND(ISNUMBER('SW OpInc'!J35),ISNUMBER('SW Rev'!J35),'SW Rev'!J35&gt;0),'SW OpInc'!J35/'SW Rev'!J35,""),"")</f>
        <v/>
      </c>
      <c r="G546" s="37">
        <f>IFERROR(IF(AND(ISNUMBER('SW OpInc'!K35),ISNUMBER('SW Rev'!K35),'SW Rev'!K35&gt;0),'SW OpInc'!K35/'SW Rev'!K35,""),"")</f>
        <v/>
      </c>
      <c r="H546" s="37">
        <f>IFERROR(IF(AND(ISNUMBER('SW OpInc'!L35),ISNUMBER('SW Rev'!L35),'SW Rev'!L35&gt;0),'SW OpInc'!L35/'SW Rev'!L35,""),"")</f>
        <v/>
      </c>
      <c r="I546" s="37">
        <f>IFERROR(IF(AND(ISNUMBER('SW OpInc'!M35),ISNUMBER('SW Rev'!M35),'SW Rev'!M35&gt;0),'SW OpInc'!M35/'SW Rev'!M35,""),"")</f>
        <v/>
      </c>
      <c r="J546" s="37">
        <f>IFERROR(IF(AND(ISNUMBER('SW OpInc'!N35),ISNUMBER('SW Rev'!N35),'SW Rev'!N35&gt;0),'SW OpInc'!N35/'SW Rev'!N35,""),"")</f>
        <v/>
      </c>
      <c r="K546" s="37">
        <f>IFERROR(IF(AND(ISNUMBER('SW OpInc'!O35),ISNUMBER('SW Rev'!O35),'SW Rev'!O35&gt;0),'SW OpInc'!O35/'SW Rev'!O35,""),"")</f>
        <v/>
      </c>
      <c r="L546" s="37">
        <f>IFERROR(IF(AND(ISNUMBER('SW OpInc'!P35),ISNUMBER('SW Rev'!P35),'SW Rev'!P35&gt;0),'SW OpInc'!P35/'SW Rev'!P35,""),"")</f>
        <v/>
      </c>
      <c r="M546" s="38">
        <f>IFERROR(IF(AND(ISNUMBER('SW OpInc'!Q35),ISNUMBER('SW Rev'!Q35),'SW Rev'!Q35&gt;0),'SW OpInc'!Q35/'SW Rev'!Q35,""),"")</f>
        <v/>
      </c>
      <c r="N546" s="38">
        <f>IFERROR(IF(AND(ISNUMBER('SW OpInc'!R35),ISNUMBER('SW Rev'!R35),'SW Rev'!R35&gt;0),'SW OpInc'!R35/'SW Rev'!R35,""),"")</f>
        <v/>
      </c>
    </row>
    <row r="547">
      <c r="A547" s="19">
        <f>'SW Rev'!$A36</f>
        <v/>
      </c>
      <c r="B547" s="19">
        <f>'SW Rev'!$B36</f>
        <v/>
      </c>
      <c r="C547" s="37">
        <f>IFERROR(IF(AND(ISNUMBER('SW OpInc'!G36),ISNUMBER('SW Rev'!G36),'SW Rev'!G36&gt;0),'SW OpInc'!G36/'SW Rev'!G36,""),"")</f>
        <v/>
      </c>
      <c r="D547" s="37">
        <f>IFERROR(IF(AND(ISNUMBER('SW OpInc'!H36),ISNUMBER('SW Rev'!H36),'SW Rev'!H36&gt;0),'SW OpInc'!H36/'SW Rev'!H36,""),"")</f>
        <v/>
      </c>
      <c r="E547" s="37">
        <f>IFERROR(IF(AND(ISNUMBER('SW OpInc'!I36),ISNUMBER('SW Rev'!I36),'SW Rev'!I36&gt;0),'SW OpInc'!I36/'SW Rev'!I36,""),"")</f>
        <v/>
      </c>
      <c r="F547" s="37">
        <f>IFERROR(IF(AND(ISNUMBER('SW OpInc'!J36),ISNUMBER('SW Rev'!J36),'SW Rev'!J36&gt;0),'SW OpInc'!J36/'SW Rev'!J36,""),"")</f>
        <v/>
      </c>
      <c r="G547" s="37">
        <f>IFERROR(IF(AND(ISNUMBER('SW OpInc'!K36),ISNUMBER('SW Rev'!K36),'SW Rev'!K36&gt;0),'SW OpInc'!K36/'SW Rev'!K36,""),"")</f>
        <v/>
      </c>
      <c r="H547" s="37">
        <f>IFERROR(IF(AND(ISNUMBER('SW OpInc'!L36),ISNUMBER('SW Rev'!L36),'SW Rev'!L36&gt;0),'SW OpInc'!L36/'SW Rev'!L36,""),"")</f>
        <v/>
      </c>
      <c r="I547" s="37">
        <f>IFERROR(IF(AND(ISNUMBER('SW OpInc'!M36),ISNUMBER('SW Rev'!M36),'SW Rev'!M36&gt;0),'SW OpInc'!M36/'SW Rev'!M36,""),"")</f>
        <v/>
      </c>
      <c r="J547" s="37">
        <f>IFERROR(IF(AND(ISNUMBER('SW OpInc'!N36),ISNUMBER('SW Rev'!N36),'SW Rev'!N36&gt;0),'SW OpInc'!N36/'SW Rev'!N36,""),"")</f>
        <v/>
      </c>
      <c r="K547" s="37">
        <f>IFERROR(IF(AND(ISNUMBER('SW OpInc'!O36),ISNUMBER('SW Rev'!O36),'SW Rev'!O36&gt;0),'SW OpInc'!O36/'SW Rev'!O36,""),"")</f>
        <v/>
      </c>
      <c r="L547" s="37">
        <f>IFERROR(IF(AND(ISNUMBER('SW OpInc'!P36),ISNUMBER('SW Rev'!P36),'SW Rev'!P36&gt;0),'SW OpInc'!P36/'SW Rev'!P36,""),"")</f>
        <v/>
      </c>
      <c r="M547" s="38">
        <f>IFERROR(IF(AND(ISNUMBER('SW OpInc'!Q36),ISNUMBER('SW Rev'!Q36),'SW Rev'!Q36&gt;0),'SW OpInc'!Q36/'SW Rev'!Q36,""),"")</f>
        <v/>
      </c>
      <c r="N547" s="38">
        <f>IFERROR(IF(AND(ISNUMBER('SW OpInc'!R36),ISNUMBER('SW Rev'!R36),'SW Rev'!R36&gt;0),'SW OpInc'!R36/'SW Rev'!R36,""),"")</f>
        <v/>
      </c>
    </row>
    <row r="548">
      <c r="A548" s="19">
        <f>'SW Rev'!$A37</f>
        <v/>
      </c>
      <c r="B548" s="19">
        <f>'SW Rev'!$B37</f>
        <v/>
      </c>
      <c r="C548" s="37">
        <f>IFERROR(IF(AND(ISNUMBER('SW OpInc'!G37),ISNUMBER('SW Rev'!G37),'SW Rev'!G37&gt;0),'SW OpInc'!G37/'SW Rev'!G37,""),"")</f>
        <v/>
      </c>
      <c r="D548" s="37">
        <f>IFERROR(IF(AND(ISNUMBER('SW OpInc'!H37),ISNUMBER('SW Rev'!H37),'SW Rev'!H37&gt;0),'SW OpInc'!H37/'SW Rev'!H37,""),"")</f>
        <v/>
      </c>
      <c r="E548" s="37">
        <f>IFERROR(IF(AND(ISNUMBER('SW OpInc'!I37),ISNUMBER('SW Rev'!I37),'SW Rev'!I37&gt;0),'SW OpInc'!I37/'SW Rev'!I37,""),"")</f>
        <v/>
      </c>
      <c r="F548" s="37">
        <f>IFERROR(IF(AND(ISNUMBER('SW OpInc'!J37),ISNUMBER('SW Rev'!J37),'SW Rev'!J37&gt;0),'SW OpInc'!J37/'SW Rev'!J37,""),"")</f>
        <v/>
      </c>
      <c r="G548" s="37">
        <f>IFERROR(IF(AND(ISNUMBER('SW OpInc'!K37),ISNUMBER('SW Rev'!K37),'SW Rev'!K37&gt;0),'SW OpInc'!K37/'SW Rev'!K37,""),"")</f>
        <v/>
      </c>
      <c r="H548" s="37">
        <f>IFERROR(IF(AND(ISNUMBER('SW OpInc'!L37),ISNUMBER('SW Rev'!L37),'SW Rev'!L37&gt;0),'SW OpInc'!L37/'SW Rev'!L37,""),"")</f>
        <v/>
      </c>
      <c r="I548" s="37">
        <f>IFERROR(IF(AND(ISNUMBER('SW OpInc'!M37),ISNUMBER('SW Rev'!M37),'SW Rev'!M37&gt;0),'SW OpInc'!M37/'SW Rev'!M37,""),"")</f>
        <v/>
      </c>
      <c r="J548" s="37">
        <f>IFERROR(IF(AND(ISNUMBER('SW OpInc'!N37),ISNUMBER('SW Rev'!N37),'SW Rev'!N37&gt;0),'SW OpInc'!N37/'SW Rev'!N37,""),"")</f>
        <v/>
      </c>
      <c r="K548" s="37">
        <f>IFERROR(IF(AND(ISNUMBER('SW OpInc'!O37),ISNUMBER('SW Rev'!O37),'SW Rev'!O37&gt;0),'SW OpInc'!O37/'SW Rev'!O37,""),"")</f>
        <v/>
      </c>
      <c r="L548" s="37">
        <f>IFERROR(IF(AND(ISNUMBER('SW OpInc'!P37),ISNUMBER('SW Rev'!P37),'SW Rev'!P37&gt;0),'SW OpInc'!P37/'SW Rev'!P37,""),"")</f>
        <v/>
      </c>
      <c r="M548" s="38">
        <f>IFERROR(IF(AND(ISNUMBER('SW OpInc'!Q37),ISNUMBER('SW Rev'!Q37),'SW Rev'!Q37&gt;0),'SW OpInc'!Q37/'SW Rev'!Q37,""),"")</f>
        <v/>
      </c>
      <c r="N548" s="38">
        <f>IFERROR(IF(AND(ISNUMBER('SW OpInc'!R37),ISNUMBER('SW Rev'!R37),'SW Rev'!R37&gt;0),'SW OpInc'!R37/'SW Rev'!R37,""),"")</f>
        <v/>
      </c>
    </row>
    <row r="549">
      <c r="A549" s="19">
        <f>'SW Rev'!$A38</f>
        <v/>
      </c>
      <c r="B549" s="19">
        <f>'SW Rev'!$B38</f>
        <v/>
      </c>
      <c r="C549" s="37">
        <f>IFERROR(IF(AND(ISNUMBER('SW OpInc'!G38),ISNUMBER('SW Rev'!G38),'SW Rev'!G38&gt;0),'SW OpInc'!G38/'SW Rev'!G38,""),"")</f>
        <v/>
      </c>
      <c r="D549" s="37">
        <f>IFERROR(IF(AND(ISNUMBER('SW OpInc'!H38),ISNUMBER('SW Rev'!H38),'SW Rev'!H38&gt;0),'SW OpInc'!H38/'SW Rev'!H38,""),"")</f>
        <v/>
      </c>
      <c r="E549" s="37">
        <f>IFERROR(IF(AND(ISNUMBER('SW OpInc'!I38),ISNUMBER('SW Rev'!I38),'SW Rev'!I38&gt;0),'SW OpInc'!I38/'SW Rev'!I38,""),"")</f>
        <v/>
      </c>
      <c r="F549" s="37">
        <f>IFERROR(IF(AND(ISNUMBER('SW OpInc'!J38),ISNUMBER('SW Rev'!J38),'SW Rev'!J38&gt;0),'SW OpInc'!J38/'SW Rev'!J38,""),"")</f>
        <v/>
      </c>
      <c r="G549" s="37">
        <f>IFERROR(IF(AND(ISNUMBER('SW OpInc'!K38),ISNUMBER('SW Rev'!K38),'SW Rev'!K38&gt;0),'SW OpInc'!K38/'SW Rev'!K38,""),"")</f>
        <v/>
      </c>
      <c r="H549" s="37">
        <f>IFERROR(IF(AND(ISNUMBER('SW OpInc'!L38),ISNUMBER('SW Rev'!L38),'SW Rev'!L38&gt;0),'SW OpInc'!L38/'SW Rev'!L38,""),"")</f>
        <v/>
      </c>
      <c r="I549" s="37">
        <f>IFERROR(IF(AND(ISNUMBER('SW OpInc'!M38),ISNUMBER('SW Rev'!M38),'SW Rev'!M38&gt;0),'SW OpInc'!M38/'SW Rev'!M38,""),"")</f>
        <v/>
      </c>
      <c r="J549" s="37">
        <f>IFERROR(IF(AND(ISNUMBER('SW OpInc'!N38),ISNUMBER('SW Rev'!N38),'SW Rev'!N38&gt;0),'SW OpInc'!N38/'SW Rev'!N38,""),"")</f>
        <v/>
      </c>
      <c r="K549" s="37">
        <f>IFERROR(IF(AND(ISNUMBER('SW OpInc'!O38),ISNUMBER('SW Rev'!O38),'SW Rev'!O38&gt;0),'SW OpInc'!O38/'SW Rev'!O38,""),"")</f>
        <v/>
      </c>
      <c r="L549" s="37">
        <f>IFERROR(IF(AND(ISNUMBER('SW OpInc'!P38),ISNUMBER('SW Rev'!P38),'SW Rev'!P38&gt;0),'SW OpInc'!P38/'SW Rev'!P38,""),"")</f>
        <v/>
      </c>
      <c r="M549" s="38">
        <f>IFERROR(IF(AND(ISNUMBER('SW OpInc'!Q38),ISNUMBER('SW Rev'!Q38),'SW Rev'!Q38&gt;0),'SW OpInc'!Q38/'SW Rev'!Q38,""),"")</f>
        <v/>
      </c>
      <c r="N549" s="38">
        <f>IFERROR(IF(AND(ISNUMBER('SW OpInc'!R38),ISNUMBER('SW Rev'!R38),'SW Rev'!R38&gt;0),'SW OpInc'!R38/'SW Rev'!R38,""),"")</f>
        <v/>
      </c>
    </row>
    <row r="550">
      <c r="A550" s="19">
        <f>'SW Rev'!$A39</f>
        <v/>
      </c>
      <c r="B550" s="19">
        <f>'SW Rev'!$B39</f>
        <v/>
      </c>
      <c r="C550" s="37">
        <f>IFERROR(IF(AND(ISNUMBER('SW OpInc'!G39),ISNUMBER('SW Rev'!G39),'SW Rev'!G39&gt;0),'SW OpInc'!G39/'SW Rev'!G39,""),"")</f>
        <v/>
      </c>
      <c r="D550" s="37">
        <f>IFERROR(IF(AND(ISNUMBER('SW OpInc'!H39),ISNUMBER('SW Rev'!H39),'SW Rev'!H39&gt;0),'SW OpInc'!H39/'SW Rev'!H39,""),"")</f>
        <v/>
      </c>
      <c r="E550" s="37">
        <f>IFERROR(IF(AND(ISNUMBER('SW OpInc'!I39),ISNUMBER('SW Rev'!I39),'SW Rev'!I39&gt;0),'SW OpInc'!I39/'SW Rev'!I39,""),"")</f>
        <v/>
      </c>
      <c r="F550" s="37">
        <f>IFERROR(IF(AND(ISNUMBER('SW OpInc'!J39),ISNUMBER('SW Rev'!J39),'SW Rev'!J39&gt;0),'SW OpInc'!J39/'SW Rev'!J39,""),"")</f>
        <v/>
      </c>
      <c r="G550" s="37">
        <f>IFERROR(IF(AND(ISNUMBER('SW OpInc'!K39),ISNUMBER('SW Rev'!K39),'SW Rev'!K39&gt;0),'SW OpInc'!K39/'SW Rev'!K39,""),"")</f>
        <v/>
      </c>
      <c r="H550" s="37">
        <f>IFERROR(IF(AND(ISNUMBER('SW OpInc'!L39),ISNUMBER('SW Rev'!L39),'SW Rev'!L39&gt;0),'SW OpInc'!L39/'SW Rev'!L39,""),"")</f>
        <v/>
      </c>
      <c r="I550" s="37">
        <f>IFERROR(IF(AND(ISNUMBER('SW OpInc'!M39),ISNUMBER('SW Rev'!M39),'SW Rev'!M39&gt;0),'SW OpInc'!M39/'SW Rev'!M39,""),"")</f>
        <v/>
      </c>
      <c r="J550" s="37">
        <f>IFERROR(IF(AND(ISNUMBER('SW OpInc'!N39),ISNUMBER('SW Rev'!N39),'SW Rev'!N39&gt;0),'SW OpInc'!N39/'SW Rev'!N39,""),"")</f>
        <v/>
      </c>
      <c r="K550" s="37">
        <f>IFERROR(IF(AND(ISNUMBER('SW OpInc'!O39),ISNUMBER('SW Rev'!O39),'SW Rev'!O39&gt;0),'SW OpInc'!O39/'SW Rev'!O39,""),"")</f>
        <v/>
      </c>
      <c r="L550" s="37">
        <f>IFERROR(IF(AND(ISNUMBER('SW OpInc'!P39),ISNUMBER('SW Rev'!P39),'SW Rev'!P39&gt;0),'SW OpInc'!P39/'SW Rev'!P39,""),"")</f>
        <v/>
      </c>
      <c r="M550" s="38">
        <f>IFERROR(IF(AND(ISNUMBER('SW OpInc'!Q39),ISNUMBER('SW Rev'!Q39),'SW Rev'!Q39&gt;0),'SW OpInc'!Q39/'SW Rev'!Q39,""),"")</f>
        <v/>
      </c>
      <c r="N550" s="38">
        <f>IFERROR(IF(AND(ISNUMBER('SW OpInc'!R39),ISNUMBER('SW Rev'!R39),'SW Rev'!R39&gt;0),'SW OpInc'!R39/'SW Rev'!R39,""),"")</f>
        <v/>
      </c>
    </row>
    <row r="551">
      <c r="A551" s="19">
        <f>'SW Rev'!$A40</f>
        <v/>
      </c>
      <c r="B551" s="19">
        <f>'SW Rev'!$B40</f>
        <v/>
      </c>
      <c r="C551" s="37">
        <f>IFERROR(IF(AND(ISNUMBER('SW OpInc'!G40),ISNUMBER('SW Rev'!G40),'SW Rev'!G40&gt;0),'SW OpInc'!G40/'SW Rev'!G40,""),"")</f>
        <v/>
      </c>
      <c r="D551" s="37">
        <f>IFERROR(IF(AND(ISNUMBER('SW OpInc'!H40),ISNUMBER('SW Rev'!H40),'SW Rev'!H40&gt;0),'SW OpInc'!H40/'SW Rev'!H40,""),"")</f>
        <v/>
      </c>
      <c r="E551" s="37">
        <f>IFERROR(IF(AND(ISNUMBER('SW OpInc'!I40),ISNUMBER('SW Rev'!I40),'SW Rev'!I40&gt;0),'SW OpInc'!I40/'SW Rev'!I40,""),"")</f>
        <v/>
      </c>
      <c r="F551" s="37">
        <f>IFERROR(IF(AND(ISNUMBER('SW OpInc'!J40),ISNUMBER('SW Rev'!J40),'SW Rev'!J40&gt;0),'SW OpInc'!J40/'SW Rev'!J40,""),"")</f>
        <v/>
      </c>
      <c r="G551" s="37">
        <f>IFERROR(IF(AND(ISNUMBER('SW OpInc'!K40),ISNUMBER('SW Rev'!K40),'SW Rev'!K40&gt;0),'SW OpInc'!K40/'SW Rev'!K40,""),"")</f>
        <v/>
      </c>
      <c r="H551" s="37">
        <f>IFERROR(IF(AND(ISNUMBER('SW OpInc'!L40),ISNUMBER('SW Rev'!L40),'SW Rev'!L40&gt;0),'SW OpInc'!L40/'SW Rev'!L40,""),"")</f>
        <v/>
      </c>
      <c r="I551" s="37">
        <f>IFERROR(IF(AND(ISNUMBER('SW OpInc'!M40),ISNUMBER('SW Rev'!M40),'SW Rev'!M40&gt;0),'SW OpInc'!M40/'SW Rev'!M40,""),"")</f>
        <v/>
      </c>
      <c r="J551" s="37">
        <f>IFERROR(IF(AND(ISNUMBER('SW OpInc'!N40),ISNUMBER('SW Rev'!N40),'SW Rev'!N40&gt;0),'SW OpInc'!N40/'SW Rev'!N40,""),"")</f>
        <v/>
      </c>
      <c r="K551" s="37">
        <f>IFERROR(IF(AND(ISNUMBER('SW OpInc'!O40),ISNUMBER('SW Rev'!O40),'SW Rev'!O40&gt;0),'SW OpInc'!O40/'SW Rev'!O40,""),"")</f>
        <v/>
      </c>
      <c r="L551" s="37">
        <f>IFERROR(IF(AND(ISNUMBER('SW OpInc'!P40),ISNUMBER('SW Rev'!P40),'SW Rev'!P40&gt;0),'SW OpInc'!P40/'SW Rev'!P40,""),"")</f>
        <v/>
      </c>
      <c r="M551" s="38">
        <f>IFERROR(IF(AND(ISNUMBER('SW OpInc'!Q40),ISNUMBER('SW Rev'!Q40),'SW Rev'!Q40&gt;0),'SW OpInc'!Q40/'SW Rev'!Q40,""),"")</f>
        <v/>
      </c>
      <c r="N551" s="38">
        <f>IFERROR(IF(AND(ISNUMBER('SW OpInc'!R40),ISNUMBER('SW Rev'!R40),'SW Rev'!R40&gt;0),'SW OpInc'!R40/'SW Rev'!R40,""),"")</f>
        <v/>
      </c>
    </row>
    <row r="552">
      <c r="A552" s="19">
        <f>'SW Rev'!$A41</f>
        <v/>
      </c>
      <c r="B552" s="19">
        <f>'SW Rev'!$B41</f>
        <v/>
      </c>
      <c r="C552" s="37">
        <f>IFERROR(IF(AND(ISNUMBER('SW OpInc'!G41),ISNUMBER('SW Rev'!G41),'SW Rev'!G41&gt;0),'SW OpInc'!G41/'SW Rev'!G41,""),"")</f>
        <v/>
      </c>
      <c r="D552" s="37">
        <f>IFERROR(IF(AND(ISNUMBER('SW OpInc'!H41),ISNUMBER('SW Rev'!H41),'SW Rev'!H41&gt;0),'SW OpInc'!H41/'SW Rev'!H41,""),"")</f>
        <v/>
      </c>
      <c r="E552" s="37">
        <f>IFERROR(IF(AND(ISNUMBER('SW OpInc'!I41),ISNUMBER('SW Rev'!I41),'SW Rev'!I41&gt;0),'SW OpInc'!I41/'SW Rev'!I41,""),"")</f>
        <v/>
      </c>
      <c r="F552" s="37">
        <f>IFERROR(IF(AND(ISNUMBER('SW OpInc'!J41),ISNUMBER('SW Rev'!J41),'SW Rev'!J41&gt;0),'SW OpInc'!J41/'SW Rev'!J41,""),"")</f>
        <v/>
      </c>
      <c r="G552" s="37">
        <f>IFERROR(IF(AND(ISNUMBER('SW OpInc'!K41),ISNUMBER('SW Rev'!K41),'SW Rev'!K41&gt;0),'SW OpInc'!K41/'SW Rev'!K41,""),"")</f>
        <v/>
      </c>
      <c r="H552" s="37">
        <f>IFERROR(IF(AND(ISNUMBER('SW OpInc'!L41),ISNUMBER('SW Rev'!L41),'SW Rev'!L41&gt;0),'SW OpInc'!L41/'SW Rev'!L41,""),"")</f>
        <v/>
      </c>
      <c r="I552" s="37">
        <f>IFERROR(IF(AND(ISNUMBER('SW OpInc'!M41),ISNUMBER('SW Rev'!M41),'SW Rev'!M41&gt;0),'SW OpInc'!M41/'SW Rev'!M41,""),"")</f>
        <v/>
      </c>
      <c r="J552" s="37">
        <f>IFERROR(IF(AND(ISNUMBER('SW OpInc'!N41),ISNUMBER('SW Rev'!N41),'SW Rev'!N41&gt;0),'SW OpInc'!N41/'SW Rev'!N41,""),"")</f>
        <v/>
      </c>
      <c r="K552" s="37">
        <f>IFERROR(IF(AND(ISNUMBER('SW OpInc'!O41),ISNUMBER('SW Rev'!O41),'SW Rev'!O41&gt;0),'SW OpInc'!O41/'SW Rev'!O41,""),"")</f>
        <v/>
      </c>
      <c r="L552" s="37">
        <f>IFERROR(IF(AND(ISNUMBER('SW OpInc'!P41),ISNUMBER('SW Rev'!P41),'SW Rev'!P41&gt;0),'SW OpInc'!P41/'SW Rev'!P41,""),"")</f>
        <v/>
      </c>
      <c r="M552" s="38">
        <f>IFERROR(IF(AND(ISNUMBER('SW OpInc'!Q41),ISNUMBER('SW Rev'!Q41),'SW Rev'!Q41&gt;0),'SW OpInc'!Q41/'SW Rev'!Q41,""),"")</f>
        <v/>
      </c>
      <c r="N552" s="38">
        <f>IFERROR(IF(AND(ISNUMBER('SW OpInc'!R41),ISNUMBER('SW Rev'!R41),'SW Rev'!R41&gt;0),'SW OpInc'!R41/'SW Rev'!R41,""),"")</f>
        <v/>
      </c>
    </row>
    <row r="553">
      <c r="A553" s="19">
        <f>'SW Rev'!$A42</f>
        <v/>
      </c>
      <c r="B553" s="19">
        <f>'SW Rev'!$B42</f>
        <v/>
      </c>
      <c r="C553" s="37">
        <f>IFERROR(IF(AND(ISNUMBER('SW OpInc'!G42),ISNUMBER('SW Rev'!G42),'SW Rev'!G42&gt;0),'SW OpInc'!G42/'SW Rev'!G42,""),"")</f>
        <v/>
      </c>
      <c r="D553" s="37">
        <f>IFERROR(IF(AND(ISNUMBER('SW OpInc'!H42),ISNUMBER('SW Rev'!H42),'SW Rev'!H42&gt;0),'SW OpInc'!H42/'SW Rev'!H42,""),"")</f>
        <v/>
      </c>
      <c r="E553" s="37">
        <f>IFERROR(IF(AND(ISNUMBER('SW OpInc'!I42),ISNUMBER('SW Rev'!I42),'SW Rev'!I42&gt;0),'SW OpInc'!I42/'SW Rev'!I42,""),"")</f>
        <v/>
      </c>
      <c r="F553" s="37">
        <f>IFERROR(IF(AND(ISNUMBER('SW OpInc'!J42),ISNUMBER('SW Rev'!J42),'SW Rev'!J42&gt;0),'SW OpInc'!J42/'SW Rev'!J42,""),"")</f>
        <v/>
      </c>
      <c r="G553" s="37">
        <f>IFERROR(IF(AND(ISNUMBER('SW OpInc'!K42),ISNUMBER('SW Rev'!K42),'SW Rev'!K42&gt;0),'SW OpInc'!K42/'SW Rev'!K42,""),"")</f>
        <v/>
      </c>
      <c r="H553" s="37">
        <f>IFERROR(IF(AND(ISNUMBER('SW OpInc'!L42),ISNUMBER('SW Rev'!L42),'SW Rev'!L42&gt;0),'SW OpInc'!L42/'SW Rev'!L42,""),"")</f>
        <v/>
      </c>
      <c r="I553" s="37">
        <f>IFERROR(IF(AND(ISNUMBER('SW OpInc'!M42),ISNUMBER('SW Rev'!M42),'SW Rev'!M42&gt;0),'SW OpInc'!M42/'SW Rev'!M42,""),"")</f>
        <v/>
      </c>
      <c r="J553" s="37">
        <f>IFERROR(IF(AND(ISNUMBER('SW OpInc'!N42),ISNUMBER('SW Rev'!N42),'SW Rev'!N42&gt;0),'SW OpInc'!N42/'SW Rev'!N42,""),"")</f>
        <v/>
      </c>
      <c r="K553" s="37">
        <f>IFERROR(IF(AND(ISNUMBER('SW OpInc'!O42),ISNUMBER('SW Rev'!O42),'SW Rev'!O42&gt;0),'SW OpInc'!O42/'SW Rev'!O42,""),"")</f>
        <v/>
      </c>
      <c r="L553" s="37">
        <f>IFERROR(IF(AND(ISNUMBER('SW OpInc'!P42),ISNUMBER('SW Rev'!P42),'SW Rev'!P42&gt;0),'SW OpInc'!P42/'SW Rev'!P42,""),"")</f>
        <v/>
      </c>
      <c r="M553" s="38">
        <f>IFERROR(IF(AND(ISNUMBER('SW OpInc'!Q42),ISNUMBER('SW Rev'!Q42),'SW Rev'!Q42&gt;0),'SW OpInc'!Q42/'SW Rev'!Q42,""),"")</f>
        <v/>
      </c>
      <c r="N553" s="38">
        <f>IFERROR(IF(AND(ISNUMBER('SW OpInc'!R42),ISNUMBER('SW Rev'!R42),'SW Rev'!R42&gt;0),'SW OpInc'!R42/'SW Rev'!R42,""),"")</f>
        <v/>
      </c>
    </row>
    <row r="554">
      <c r="A554" s="19">
        <f>'SW Rev'!$A43</f>
        <v/>
      </c>
      <c r="B554" s="19">
        <f>'SW Rev'!$B43</f>
        <v/>
      </c>
      <c r="C554" s="37">
        <f>IFERROR(IF(AND(ISNUMBER('SW OpInc'!G43),ISNUMBER('SW Rev'!G43),'SW Rev'!G43&gt;0),'SW OpInc'!G43/'SW Rev'!G43,""),"")</f>
        <v/>
      </c>
      <c r="D554" s="37">
        <f>IFERROR(IF(AND(ISNUMBER('SW OpInc'!H43),ISNUMBER('SW Rev'!H43),'SW Rev'!H43&gt;0),'SW OpInc'!H43/'SW Rev'!H43,""),"")</f>
        <v/>
      </c>
      <c r="E554" s="37">
        <f>IFERROR(IF(AND(ISNUMBER('SW OpInc'!I43),ISNUMBER('SW Rev'!I43),'SW Rev'!I43&gt;0),'SW OpInc'!I43/'SW Rev'!I43,""),"")</f>
        <v/>
      </c>
      <c r="F554" s="37">
        <f>IFERROR(IF(AND(ISNUMBER('SW OpInc'!J43),ISNUMBER('SW Rev'!J43),'SW Rev'!J43&gt;0),'SW OpInc'!J43/'SW Rev'!J43,""),"")</f>
        <v/>
      </c>
      <c r="G554" s="37">
        <f>IFERROR(IF(AND(ISNUMBER('SW OpInc'!K43),ISNUMBER('SW Rev'!K43),'SW Rev'!K43&gt;0),'SW OpInc'!K43/'SW Rev'!K43,""),"")</f>
        <v/>
      </c>
      <c r="H554" s="37">
        <f>IFERROR(IF(AND(ISNUMBER('SW OpInc'!L43),ISNUMBER('SW Rev'!L43),'SW Rev'!L43&gt;0),'SW OpInc'!L43/'SW Rev'!L43,""),"")</f>
        <v/>
      </c>
      <c r="I554" s="37">
        <f>IFERROR(IF(AND(ISNUMBER('SW OpInc'!M43),ISNUMBER('SW Rev'!M43),'SW Rev'!M43&gt;0),'SW OpInc'!M43/'SW Rev'!M43,""),"")</f>
        <v/>
      </c>
      <c r="J554" s="37">
        <f>IFERROR(IF(AND(ISNUMBER('SW OpInc'!N43),ISNUMBER('SW Rev'!N43),'SW Rev'!N43&gt;0),'SW OpInc'!N43/'SW Rev'!N43,""),"")</f>
        <v/>
      </c>
      <c r="K554" s="37">
        <f>IFERROR(IF(AND(ISNUMBER('SW OpInc'!O43),ISNUMBER('SW Rev'!O43),'SW Rev'!O43&gt;0),'SW OpInc'!O43/'SW Rev'!O43,""),"")</f>
        <v/>
      </c>
      <c r="L554" s="37">
        <f>IFERROR(IF(AND(ISNUMBER('SW OpInc'!P43),ISNUMBER('SW Rev'!P43),'SW Rev'!P43&gt;0),'SW OpInc'!P43/'SW Rev'!P43,""),"")</f>
        <v/>
      </c>
      <c r="M554" s="38">
        <f>IFERROR(IF(AND(ISNUMBER('SW OpInc'!Q43),ISNUMBER('SW Rev'!Q43),'SW Rev'!Q43&gt;0),'SW OpInc'!Q43/'SW Rev'!Q43,""),"")</f>
        <v/>
      </c>
      <c r="N554" s="38">
        <f>IFERROR(IF(AND(ISNUMBER('SW OpInc'!R43),ISNUMBER('SW Rev'!R43),'SW Rev'!R43&gt;0),'SW OpInc'!R43/'SW Rev'!R43,""),"")</f>
        <v/>
      </c>
    </row>
    <row r="555">
      <c r="A555" s="19">
        <f>'SW Rev'!$A44</f>
        <v/>
      </c>
      <c r="B555" s="19">
        <f>'SW Rev'!$B44</f>
        <v/>
      </c>
      <c r="C555" s="37">
        <f>IFERROR(IF(AND(ISNUMBER('SW OpInc'!G44),ISNUMBER('SW Rev'!G44),'SW Rev'!G44&gt;0),'SW OpInc'!G44/'SW Rev'!G44,""),"")</f>
        <v/>
      </c>
      <c r="D555" s="37">
        <f>IFERROR(IF(AND(ISNUMBER('SW OpInc'!H44),ISNUMBER('SW Rev'!H44),'SW Rev'!H44&gt;0),'SW OpInc'!H44/'SW Rev'!H44,""),"")</f>
        <v/>
      </c>
      <c r="E555" s="37">
        <f>IFERROR(IF(AND(ISNUMBER('SW OpInc'!I44),ISNUMBER('SW Rev'!I44),'SW Rev'!I44&gt;0),'SW OpInc'!I44/'SW Rev'!I44,""),"")</f>
        <v/>
      </c>
      <c r="F555" s="37">
        <f>IFERROR(IF(AND(ISNUMBER('SW OpInc'!J44),ISNUMBER('SW Rev'!J44),'SW Rev'!J44&gt;0),'SW OpInc'!J44/'SW Rev'!J44,""),"")</f>
        <v/>
      </c>
      <c r="G555" s="37">
        <f>IFERROR(IF(AND(ISNUMBER('SW OpInc'!K44),ISNUMBER('SW Rev'!K44),'SW Rev'!K44&gt;0),'SW OpInc'!K44/'SW Rev'!K44,""),"")</f>
        <v/>
      </c>
      <c r="H555" s="37">
        <f>IFERROR(IF(AND(ISNUMBER('SW OpInc'!L44),ISNUMBER('SW Rev'!L44),'SW Rev'!L44&gt;0),'SW OpInc'!L44/'SW Rev'!L44,""),"")</f>
        <v/>
      </c>
      <c r="I555" s="37">
        <f>IFERROR(IF(AND(ISNUMBER('SW OpInc'!M44),ISNUMBER('SW Rev'!M44),'SW Rev'!M44&gt;0),'SW OpInc'!M44/'SW Rev'!M44,""),"")</f>
        <v/>
      </c>
      <c r="J555" s="37">
        <f>IFERROR(IF(AND(ISNUMBER('SW OpInc'!N44),ISNUMBER('SW Rev'!N44),'SW Rev'!N44&gt;0),'SW OpInc'!N44/'SW Rev'!N44,""),"")</f>
        <v/>
      </c>
      <c r="K555" s="37">
        <f>IFERROR(IF(AND(ISNUMBER('SW OpInc'!O44),ISNUMBER('SW Rev'!O44),'SW Rev'!O44&gt;0),'SW OpInc'!O44/'SW Rev'!O44,""),"")</f>
        <v/>
      </c>
      <c r="L555" s="37">
        <f>IFERROR(IF(AND(ISNUMBER('SW OpInc'!P44),ISNUMBER('SW Rev'!P44),'SW Rev'!P44&gt;0),'SW OpInc'!P44/'SW Rev'!P44,""),"")</f>
        <v/>
      </c>
      <c r="M555" s="38">
        <f>IFERROR(IF(AND(ISNUMBER('SW OpInc'!Q44),ISNUMBER('SW Rev'!Q44),'SW Rev'!Q44&gt;0),'SW OpInc'!Q44/'SW Rev'!Q44,""),"")</f>
        <v/>
      </c>
      <c r="N555" s="38">
        <f>IFERROR(IF(AND(ISNUMBER('SW OpInc'!R44),ISNUMBER('SW Rev'!R44),'SW Rev'!R44&gt;0),'SW OpInc'!R44/'SW Rev'!R44,""),"")</f>
        <v/>
      </c>
    </row>
    <row r="556">
      <c r="A556" s="19">
        <f>'SW Rev'!$A45</f>
        <v/>
      </c>
      <c r="B556" s="19">
        <f>'SW Rev'!$B45</f>
        <v/>
      </c>
      <c r="C556" s="37">
        <f>IFERROR(IF(AND(ISNUMBER('SW OpInc'!G45),ISNUMBER('SW Rev'!G45),'SW Rev'!G45&gt;0),'SW OpInc'!G45/'SW Rev'!G45,""),"")</f>
        <v/>
      </c>
      <c r="D556" s="37">
        <f>IFERROR(IF(AND(ISNUMBER('SW OpInc'!H45),ISNUMBER('SW Rev'!H45),'SW Rev'!H45&gt;0),'SW OpInc'!H45/'SW Rev'!H45,""),"")</f>
        <v/>
      </c>
      <c r="E556" s="37">
        <f>IFERROR(IF(AND(ISNUMBER('SW OpInc'!I45),ISNUMBER('SW Rev'!I45),'SW Rev'!I45&gt;0),'SW OpInc'!I45/'SW Rev'!I45,""),"")</f>
        <v/>
      </c>
      <c r="F556" s="37">
        <f>IFERROR(IF(AND(ISNUMBER('SW OpInc'!J45),ISNUMBER('SW Rev'!J45),'SW Rev'!J45&gt;0),'SW OpInc'!J45/'SW Rev'!J45,""),"")</f>
        <v/>
      </c>
      <c r="G556" s="37">
        <f>IFERROR(IF(AND(ISNUMBER('SW OpInc'!K45),ISNUMBER('SW Rev'!K45),'SW Rev'!K45&gt;0),'SW OpInc'!K45/'SW Rev'!K45,""),"")</f>
        <v/>
      </c>
      <c r="H556" s="37">
        <f>IFERROR(IF(AND(ISNUMBER('SW OpInc'!L45),ISNUMBER('SW Rev'!L45),'SW Rev'!L45&gt;0),'SW OpInc'!L45/'SW Rev'!L45,""),"")</f>
        <v/>
      </c>
      <c r="I556" s="37">
        <f>IFERROR(IF(AND(ISNUMBER('SW OpInc'!M45),ISNUMBER('SW Rev'!M45),'SW Rev'!M45&gt;0),'SW OpInc'!M45/'SW Rev'!M45,""),"")</f>
        <v/>
      </c>
      <c r="J556" s="37">
        <f>IFERROR(IF(AND(ISNUMBER('SW OpInc'!N45),ISNUMBER('SW Rev'!N45),'SW Rev'!N45&gt;0),'SW OpInc'!N45/'SW Rev'!N45,""),"")</f>
        <v/>
      </c>
      <c r="K556" s="37">
        <f>IFERROR(IF(AND(ISNUMBER('SW OpInc'!O45),ISNUMBER('SW Rev'!O45),'SW Rev'!O45&gt;0),'SW OpInc'!O45/'SW Rev'!O45,""),"")</f>
        <v/>
      </c>
      <c r="L556" s="37">
        <f>IFERROR(IF(AND(ISNUMBER('SW OpInc'!P45),ISNUMBER('SW Rev'!P45),'SW Rev'!P45&gt;0),'SW OpInc'!P45/'SW Rev'!P45,""),"")</f>
        <v/>
      </c>
      <c r="M556" s="38">
        <f>IFERROR(IF(AND(ISNUMBER('SW OpInc'!Q45),ISNUMBER('SW Rev'!Q45),'SW Rev'!Q45&gt;0),'SW OpInc'!Q45/'SW Rev'!Q45,""),"")</f>
        <v/>
      </c>
      <c r="N556" s="38">
        <f>IFERROR(IF(AND(ISNUMBER('SW OpInc'!R45),ISNUMBER('SW Rev'!R45),'SW Rev'!R45&gt;0),'SW OpInc'!R45/'SW Rev'!R45,""),"")</f>
        <v/>
      </c>
    </row>
    <row r="557">
      <c r="A557" s="19">
        <f>'SW Rev'!$A46</f>
        <v/>
      </c>
      <c r="B557" s="19">
        <f>'SW Rev'!$B46</f>
        <v/>
      </c>
      <c r="C557" s="37">
        <f>IFERROR(IF(AND(ISNUMBER('SW OpInc'!G46),ISNUMBER('SW Rev'!G46),'SW Rev'!G46&gt;0),'SW OpInc'!G46/'SW Rev'!G46,""),"")</f>
        <v/>
      </c>
      <c r="D557" s="37">
        <f>IFERROR(IF(AND(ISNUMBER('SW OpInc'!H46),ISNUMBER('SW Rev'!H46),'SW Rev'!H46&gt;0),'SW OpInc'!H46/'SW Rev'!H46,""),"")</f>
        <v/>
      </c>
      <c r="E557" s="37">
        <f>IFERROR(IF(AND(ISNUMBER('SW OpInc'!I46),ISNUMBER('SW Rev'!I46),'SW Rev'!I46&gt;0),'SW OpInc'!I46/'SW Rev'!I46,""),"")</f>
        <v/>
      </c>
      <c r="F557" s="37">
        <f>IFERROR(IF(AND(ISNUMBER('SW OpInc'!J46),ISNUMBER('SW Rev'!J46),'SW Rev'!J46&gt;0),'SW OpInc'!J46/'SW Rev'!J46,""),"")</f>
        <v/>
      </c>
      <c r="G557" s="37">
        <f>IFERROR(IF(AND(ISNUMBER('SW OpInc'!K46),ISNUMBER('SW Rev'!K46),'SW Rev'!K46&gt;0),'SW OpInc'!K46/'SW Rev'!K46,""),"")</f>
        <v/>
      </c>
      <c r="H557" s="37">
        <f>IFERROR(IF(AND(ISNUMBER('SW OpInc'!L46),ISNUMBER('SW Rev'!L46),'SW Rev'!L46&gt;0),'SW OpInc'!L46/'SW Rev'!L46,""),"")</f>
        <v/>
      </c>
      <c r="I557" s="37">
        <f>IFERROR(IF(AND(ISNUMBER('SW OpInc'!M46),ISNUMBER('SW Rev'!M46),'SW Rev'!M46&gt;0),'SW OpInc'!M46/'SW Rev'!M46,""),"")</f>
        <v/>
      </c>
      <c r="J557" s="37">
        <f>IFERROR(IF(AND(ISNUMBER('SW OpInc'!N46),ISNUMBER('SW Rev'!N46),'SW Rev'!N46&gt;0),'SW OpInc'!N46/'SW Rev'!N46,""),"")</f>
        <v/>
      </c>
      <c r="K557" s="37">
        <f>IFERROR(IF(AND(ISNUMBER('SW OpInc'!O46),ISNUMBER('SW Rev'!O46),'SW Rev'!O46&gt;0),'SW OpInc'!O46/'SW Rev'!O46,""),"")</f>
        <v/>
      </c>
      <c r="L557" s="37">
        <f>IFERROR(IF(AND(ISNUMBER('SW OpInc'!P46),ISNUMBER('SW Rev'!P46),'SW Rev'!P46&gt;0),'SW OpInc'!P46/'SW Rev'!P46,""),"")</f>
        <v/>
      </c>
      <c r="M557" s="38">
        <f>IFERROR(IF(AND(ISNUMBER('SW OpInc'!Q46),ISNUMBER('SW Rev'!Q46),'SW Rev'!Q46&gt;0),'SW OpInc'!Q46/'SW Rev'!Q46,""),"")</f>
        <v/>
      </c>
      <c r="N557" s="38">
        <f>IFERROR(IF(AND(ISNUMBER('SW OpInc'!R46),ISNUMBER('SW Rev'!R46),'SW Rev'!R46&gt;0),'SW OpInc'!R46/'SW Rev'!R46,""),"")</f>
        <v/>
      </c>
    </row>
    <row r="558">
      <c r="A558" s="19">
        <f>'SW Rev'!$A47</f>
        <v/>
      </c>
      <c r="B558" s="19">
        <f>'SW Rev'!$B47</f>
        <v/>
      </c>
      <c r="C558" s="37">
        <f>IFERROR(IF(AND(ISNUMBER('SW OpInc'!G47),ISNUMBER('SW Rev'!G47),'SW Rev'!G47&gt;0),'SW OpInc'!G47/'SW Rev'!G47,""),"")</f>
        <v/>
      </c>
      <c r="D558" s="37">
        <f>IFERROR(IF(AND(ISNUMBER('SW OpInc'!H47),ISNUMBER('SW Rev'!H47),'SW Rev'!H47&gt;0),'SW OpInc'!H47/'SW Rev'!H47,""),"")</f>
        <v/>
      </c>
      <c r="E558" s="37">
        <f>IFERROR(IF(AND(ISNUMBER('SW OpInc'!I47),ISNUMBER('SW Rev'!I47),'SW Rev'!I47&gt;0),'SW OpInc'!I47/'SW Rev'!I47,""),"")</f>
        <v/>
      </c>
      <c r="F558" s="37">
        <f>IFERROR(IF(AND(ISNUMBER('SW OpInc'!J47),ISNUMBER('SW Rev'!J47),'SW Rev'!J47&gt;0),'SW OpInc'!J47/'SW Rev'!J47,""),"")</f>
        <v/>
      </c>
      <c r="G558" s="37">
        <f>IFERROR(IF(AND(ISNUMBER('SW OpInc'!K47),ISNUMBER('SW Rev'!K47),'SW Rev'!K47&gt;0),'SW OpInc'!K47/'SW Rev'!K47,""),"")</f>
        <v/>
      </c>
      <c r="H558" s="37">
        <f>IFERROR(IF(AND(ISNUMBER('SW OpInc'!L47),ISNUMBER('SW Rev'!L47),'SW Rev'!L47&gt;0),'SW OpInc'!L47/'SW Rev'!L47,""),"")</f>
        <v/>
      </c>
      <c r="I558" s="37">
        <f>IFERROR(IF(AND(ISNUMBER('SW OpInc'!M47),ISNUMBER('SW Rev'!M47),'SW Rev'!M47&gt;0),'SW OpInc'!M47/'SW Rev'!M47,""),"")</f>
        <v/>
      </c>
      <c r="J558" s="37">
        <f>IFERROR(IF(AND(ISNUMBER('SW OpInc'!N47),ISNUMBER('SW Rev'!N47),'SW Rev'!N47&gt;0),'SW OpInc'!N47/'SW Rev'!N47,""),"")</f>
        <v/>
      </c>
      <c r="K558" s="37">
        <f>IFERROR(IF(AND(ISNUMBER('SW OpInc'!O47),ISNUMBER('SW Rev'!O47),'SW Rev'!O47&gt;0),'SW OpInc'!O47/'SW Rev'!O47,""),"")</f>
        <v/>
      </c>
      <c r="L558" s="37">
        <f>IFERROR(IF(AND(ISNUMBER('SW OpInc'!P47),ISNUMBER('SW Rev'!P47),'SW Rev'!P47&gt;0),'SW OpInc'!P47/'SW Rev'!P47,""),"")</f>
        <v/>
      </c>
      <c r="M558" s="38">
        <f>IFERROR(IF(AND(ISNUMBER('SW OpInc'!Q47),ISNUMBER('SW Rev'!Q47),'SW Rev'!Q47&gt;0),'SW OpInc'!Q47/'SW Rev'!Q47,""),"")</f>
        <v/>
      </c>
      <c r="N558" s="38">
        <f>IFERROR(IF(AND(ISNUMBER('SW OpInc'!R47),ISNUMBER('SW Rev'!R47),'SW Rev'!R47&gt;0),'SW OpInc'!R47/'SW Rev'!R47,""),"")</f>
        <v/>
      </c>
    </row>
    <row r="559">
      <c r="A559" s="19">
        <f>'SW Rev'!$A48</f>
        <v/>
      </c>
      <c r="B559" s="19">
        <f>'SW Rev'!$B48</f>
        <v/>
      </c>
      <c r="C559" s="37">
        <f>IFERROR(IF(AND(ISNUMBER('SW OpInc'!G48),ISNUMBER('SW Rev'!G48),'SW Rev'!G48&gt;0),'SW OpInc'!G48/'SW Rev'!G48,""),"")</f>
        <v/>
      </c>
      <c r="D559" s="37">
        <f>IFERROR(IF(AND(ISNUMBER('SW OpInc'!H48),ISNUMBER('SW Rev'!H48),'SW Rev'!H48&gt;0),'SW OpInc'!H48/'SW Rev'!H48,""),"")</f>
        <v/>
      </c>
      <c r="E559" s="37">
        <f>IFERROR(IF(AND(ISNUMBER('SW OpInc'!I48),ISNUMBER('SW Rev'!I48),'SW Rev'!I48&gt;0),'SW OpInc'!I48/'SW Rev'!I48,""),"")</f>
        <v/>
      </c>
      <c r="F559" s="37">
        <f>IFERROR(IF(AND(ISNUMBER('SW OpInc'!J48),ISNUMBER('SW Rev'!J48),'SW Rev'!J48&gt;0),'SW OpInc'!J48/'SW Rev'!J48,""),"")</f>
        <v/>
      </c>
      <c r="G559" s="37">
        <f>IFERROR(IF(AND(ISNUMBER('SW OpInc'!K48),ISNUMBER('SW Rev'!K48),'SW Rev'!K48&gt;0),'SW OpInc'!K48/'SW Rev'!K48,""),"")</f>
        <v/>
      </c>
      <c r="H559" s="37">
        <f>IFERROR(IF(AND(ISNUMBER('SW OpInc'!L48),ISNUMBER('SW Rev'!L48),'SW Rev'!L48&gt;0),'SW OpInc'!L48/'SW Rev'!L48,""),"")</f>
        <v/>
      </c>
      <c r="I559" s="37">
        <f>IFERROR(IF(AND(ISNUMBER('SW OpInc'!M48),ISNUMBER('SW Rev'!M48),'SW Rev'!M48&gt;0),'SW OpInc'!M48/'SW Rev'!M48,""),"")</f>
        <v/>
      </c>
      <c r="J559" s="37">
        <f>IFERROR(IF(AND(ISNUMBER('SW OpInc'!N48),ISNUMBER('SW Rev'!N48),'SW Rev'!N48&gt;0),'SW OpInc'!N48/'SW Rev'!N48,""),"")</f>
        <v/>
      </c>
      <c r="K559" s="37">
        <f>IFERROR(IF(AND(ISNUMBER('SW OpInc'!O48),ISNUMBER('SW Rev'!O48),'SW Rev'!O48&gt;0),'SW OpInc'!O48/'SW Rev'!O48,""),"")</f>
        <v/>
      </c>
      <c r="L559" s="37">
        <f>IFERROR(IF(AND(ISNUMBER('SW OpInc'!P48),ISNUMBER('SW Rev'!P48),'SW Rev'!P48&gt;0),'SW OpInc'!P48/'SW Rev'!P48,""),"")</f>
        <v/>
      </c>
      <c r="M559" s="38">
        <f>IFERROR(IF(AND(ISNUMBER('SW OpInc'!Q48),ISNUMBER('SW Rev'!Q48),'SW Rev'!Q48&gt;0),'SW OpInc'!Q48/'SW Rev'!Q48,""),"")</f>
        <v/>
      </c>
      <c r="N559" s="38">
        <f>IFERROR(IF(AND(ISNUMBER('SW OpInc'!R48),ISNUMBER('SW Rev'!R48),'SW Rev'!R48&gt;0),'SW OpInc'!R48/'SW Rev'!R48,""),"")</f>
        <v/>
      </c>
    </row>
    <row r="560">
      <c r="A560" s="19">
        <f>'SW Rev'!$A49</f>
        <v/>
      </c>
      <c r="B560" s="19">
        <f>'SW Rev'!$B49</f>
        <v/>
      </c>
      <c r="C560" s="37">
        <f>IFERROR(IF(AND(ISNUMBER('SW OpInc'!G49),ISNUMBER('SW Rev'!G49),'SW Rev'!G49&gt;0),'SW OpInc'!G49/'SW Rev'!G49,""),"")</f>
        <v/>
      </c>
      <c r="D560" s="37">
        <f>IFERROR(IF(AND(ISNUMBER('SW OpInc'!H49),ISNUMBER('SW Rev'!H49),'SW Rev'!H49&gt;0),'SW OpInc'!H49/'SW Rev'!H49,""),"")</f>
        <v/>
      </c>
      <c r="E560" s="37">
        <f>IFERROR(IF(AND(ISNUMBER('SW OpInc'!I49),ISNUMBER('SW Rev'!I49),'SW Rev'!I49&gt;0),'SW OpInc'!I49/'SW Rev'!I49,""),"")</f>
        <v/>
      </c>
      <c r="F560" s="37">
        <f>IFERROR(IF(AND(ISNUMBER('SW OpInc'!J49),ISNUMBER('SW Rev'!J49),'SW Rev'!J49&gt;0),'SW OpInc'!J49/'SW Rev'!J49,""),"")</f>
        <v/>
      </c>
      <c r="G560" s="37">
        <f>IFERROR(IF(AND(ISNUMBER('SW OpInc'!K49),ISNUMBER('SW Rev'!K49),'SW Rev'!K49&gt;0),'SW OpInc'!K49/'SW Rev'!K49,""),"")</f>
        <v/>
      </c>
      <c r="H560" s="37">
        <f>IFERROR(IF(AND(ISNUMBER('SW OpInc'!L49),ISNUMBER('SW Rev'!L49),'SW Rev'!L49&gt;0),'SW OpInc'!L49/'SW Rev'!L49,""),"")</f>
        <v/>
      </c>
      <c r="I560" s="37">
        <f>IFERROR(IF(AND(ISNUMBER('SW OpInc'!M49),ISNUMBER('SW Rev'!M49),'SW Rev'!M49&gt;0),'SW OpInc'!M49/'SW Rev'!M49,""),"")</f>
        <v/>
      </c>
      <c r="J560" s="37">
        <f>IFERROR(IF(AND(ISNUMBER('SW OpInc'!N49),ISNUMBER('SW Rev'!N49),'SW Rev'!N49&gt;0),'SW OpInc'!N49/'SW Rev'!N49,""),"")</f>
        <v/>
      </c>
      <c r="K560" s="37">
        <f>IFERROR(IF(AND(ISNUMBER('SW OpInc'!O49),ISNUMBER('SW Rev'!O49),'SW Rev'!O49&gt;0),'SW OpInc'!O49/'SW Rev'!O49,""),"")</f>
        <v/>
      </c>
      <c r="L560" s="37">
        <f>IFERROR(IF(AND(ISNUMBER('SW OpInc'!P49),ISNUMBER('SW Rev'!P49),'SW Rev'!P49&gt;0),'SW OpInc'!P49/'SW Rev'!P49,""),"")</f>
        <v/>
      </c>
      <c r="M560" s="38">
        <f>IFERROR(IF(AND(ISNUMBER('SW OpInc'!Q49),ISNUMBER('SW Rev'!Q49),'SW Rev'!Q49&gt;0),'SW OpInc'!Q49/'SW Rev'!Q49,""),"")</f>
        <v/>
      </c>
      <c r="N560" s="38">
        <f>IFERROR(IF(AND(ISNUMBER('SW OpInc'!R49),ISNUMBER('SW Rev'!R49),'SW Rev'!R49&gt;0),'SW OpInc'!R49/'SW Rev'!R49,""),"")</f>
        <v/>
      </c>
    </row>
    <row r="561">
      <c r="A561" s="19">
        <f>'SW Rev'!$A50</f>
        <v/>
      </c>
      <c r="B561" s="19">
        <f>'SW Rev'!$B50</f>
        <v/>
      </c>
      <c r="C561" s="37">
        <f>IFERROR(IF(AND(ISNUMBER('SW OpInc'!G50),ISNUMBER('SW Rev'!G50),'SW Rev'!G50&gt;0),'SW OpInc'!G50/'SW Rev'!G50,""),"")</f>
        <v/>
      </c>
      <c r="D561" s="37">
        <f>IFERROR(IF(AND(ISNUMBER('SW OpInc'!H50),ISNUMBER('SW Rev'!H50),'SW Rev'!H50&gt;0),'SW OpInc'!H50/'SW Rev'!H50,""),"")</f>
        <v/>
      </c>
      <c r="E561" s="37">
        <f>IFERROR(IF(AND(ISNUMBER('SW OpInc'!I50),ISNUMBER('SW Rev'!I50),'SW Rev'!I50&gt;0),'SW OpInc'!I50/'SW Rev'!I50,""),"")</f>
        <v/>
      </c>
      <c r="F561" s="37">
        <f>IFERROR(IF(AND(ISNUMBER('SW OpInc'!J50),ISNUMBER('SW Rev'!J50),'SW Rev'!J50&gt;0),'SW OpInc'!J50/'SW Rev'!J50,""),"")</f>
        <v/>
      </c>
      <c r="G561" s="37">
        <f>IFERROR(IF(AND(ISNUMBER('SW OpInc'!K50),ISNUMBER('SW Rev'!K50),'SW Rev'!K50&gt;0),'SW OpInc'!K50/'SW Rev'!K50,""),"")</f>
        <v/>
      </c>
      <c r="H561" s="37">
        <f>IFERROR(IF(AND(ISNUMBER('SW OpInc'!L50),ISNUMBER('SW Rev'!L50),'SW Rev'!L50&gt;0),'SW OpInc'!L50/'SW Rev'!L50,""),"")</f>
        <v/>
      </c>
      <c r="I561" s="37">
        <f>IFERROR(IF(AND(ISNUMBER('SW OpInc'!M50),ISNUMBER('SW Rev'!M50),'SW Rev'!M50&gt;0),'SW OpInc'!M50/'SW Rev'!M50,""),"")</f>
        <v/>
      </c>
      <c r="J561" s="37">
        <f>IFERROR(IF(AND(ISNUMBER('SW OpInc'!N50),ISNUMBER('SW Rev'!N50),'SW Rev'!N50&gt;0),'SW OpInc'!N50/'SW Rev'!N50,""),"")</f>
        <v/>
      </c>
      <c r="K561" s="37">
        <f>IFERROR(IF(AND(ISNUMBER('SW OpInc'!O50),ISNUMBER('SW Rev'!O50),'SW Rev'!O50&gt;0),'SW OpInc'!O50/'SW Rev'!O50,""),"")</f>
        <v/>
      </c>
      <c r="L561" s="37">
        <f>IFERROR(IF(AND(ISNUMBER('SW OpInc'!P50),ISNUMBER('SW Rev'!P50),'SW Rev'!P50&gt;0),'SW OpInc'!P50/'SW Rev'!P50,""),"")</f>
        <v/>
      </c>
      <c r="M561" s="38">
        <f>IFERROR(IF(AND(ISNUMBER('SW OpInc'!Q50),ISNUMBER('SW Rev'!Q50),'SW Rev'!Q50&gt;0),'SW OpInc'!Q50/'SW Rev'!Q50,""),"")</f>
        <v/>
      </c>
      <c r="N561" s="38">
        <f>IFERROR(IF(AND(ISNUMBER('SW OpInc'!R50),ISNUMBER('SW Rev'!R50),'SW Rev'!R50&gt;0),'SW OpInc'!R50/'SW Rev'!R50,""),"")</f>
        <v/>
      </c>
    </row>
    <row r="562">
      <c r="A562" s="19">
        <f>'SW Rev'!$A51</f>
        <v/>
      </c>
      <c r="B562" s="19">
        <f>'SW Rev'!$B51</f>
        <v/>
      </c>
      <c r="C562" s="37">
        <f>IFERROR(IF(AND(ISNUMBER('SW OpInc'!G51),ISNUMBER('SW Rev'!G51),'SW Rev'!G51&gt;0),'SW OpInc'!G51/'SW Rev'!G51,""),"")</f>
        <v/>
      </c>
      <c r="D562" s="37">
        <f>IFERROR(IF(AND(ISNUMBER('SW OpInc'!H51),ISNUMBER('SW Rev'!H51),'SW Rev'!H51&gt;0),'SW OpInc'!H51/'SW Rev'!H51,""),"")</f>
        <v/>
      </c>
      <c r="E562" s="37">
        <f>IFERROR(IF(AND(ISNUMBER('SW OpInc'!I51),ISNUMBER('SW Rev'!I51),'SW Rev'!I51&gt;0),'SW OpInc'!I51/'SW Rev'!I51,""),"")</f>
        <v/>
      </c>
      <c r="F562" s="37">
        <f>IFERROR(IF(AND(ISNUMBER('SW OpInc'!J51),ISNUMBER('SW Rev'!J51),'SW Rev'!J51&gt;0),'SW OpInc'!J51/'SW Rev'!J51,""),"")</f>
        <v/>
      </c>
      <c r="G562" s="37">
        <f>IFERROR(IF(AND(ISNUMBER('SW OpInc'!K51),ISNUMBER('SW Rev'!K51),'SW Rev'!K51&gt;0),'SW OpInc'!K51/'SW Rev'!K51,""),"")</f>
        <v/>
      </c>
      <c r="H562" s="37">
        <f>IFERROR(IF(AND(ISNUMBER('SW OpInc'!L51),ISNUMBER('SW Rev'!L51),'SW Rev'!L51&gt;0),'SW OpInc'!L51/'SW Rev'!L51,""),"")</f>
        <v/>
      </c>
      <c r="I562" s="37">
        <f>IFERROR(IF(AND(ISNUMBER('SW OpInc'!M51),ISNUMBER('SW Rev'!M51),'SW Rev'!M51&gt;0),'SW OpInc'!M51/'SW Rev'!M51,""),"")</f>
        <v/>
      </c>
      <c r="J562" s="37">
        <f>IFERROR(IF(AND(ISNUMBER('SW OpInc'!N51),ISNUMBER('SW Rev'!N51),'SW Rev'!N51&gt;0),'SW OpInc'!N51/'SW Rev'!N51,""),"")</f>
        <v/>
      </c>
      <c r="K562" s="37">
        <f>IFERROR(IF(AND(ISNUMBER('SW OpInc'!O51),ISNUMBER('SW Rev'!O51),'SW Rev'!O51&gt;0),'SW OpInc'!O51/'SW Rev'!O51,""),"")</f>
        <v/>
      </c>
      <c r="L562" s="37">
        <f>IFERROR(IF(AND(ISNUMBER('SW OpInc'!P51),ISNUMBER('SW Rev'!P51),'SW Rev'!P51&gt;0),'SW OpInc'!P51/'SW Rev'!P51,""),"")</f>
        <v/>
      </c>
      <c r="M562" s="38">
        <f>IFERROR(IF(AND(ISNUMBER('SW OpInc'!Q51),ISNUMBER('SW Rev'!Q51),'SW Rev'!Q51&gt;0),'SW OpInc'!Q51/'SW Rev'!Q51,""),"")</f>
        <v/>
      </c>
      <c r="N562" s="38">
        <f>IFERROR(IF(AND(ISNUMBER('SW OpInc'!R51),ISNUMBER('SW Rev'!R51),'SW Rev'!R51&gt;0),'SW OpInc'!R51/'SW Rev'!R51,""),"")</f>
        <v/>
      </c>
    </row>
    <row r="563">
      <c r="A563" s="19">
        <f>'SW Rev'!$A52</f>
        <v/>
      </c>
      <c r="B563" s="19">
        <f>'SW Rev'!$B52</f>
        <v/>
      </c>
      <c r="C563" s="37">
        <f>IFERROR(IF(AND(ISNUMBER('SW OpInc'!G52),ISNUMBER('SW Rev'!G52),'SW Rev'!G52&gt;0),'SW OpInc'!G52/'SW Rev'!G52,""),"")</f>
        <v/>
      </c>
      <c r="D563" s="37">
        <f>IFERROR(IF(AND(ISNUMBER('SW OpInc'!H52),ISNUMBER('SW Rev'!H52),'SW Rev'!H52&gt;0),'SW OpInc'!H52/'SW Rev'!H52,""),"")</f>
        <v/>
      </c>
      <c r="E563" s="37">
        <f>IFERROR(IF(AND(ISNUMBER('SW OpInc'!I52),ISNUMBER('SW Rev'!I52),'SW Rev'!I52&gt;0),'SW OpInc'!I52/'SW Rev'!I52,""),"")</f>
        <v/>
      </c>
      <c r="F563" s="37">
        <f>IFERROR(IF(AND(ISNUMBER('SW OpInc'!J52),ISNUMBER('SW Rev'!J52),'SW Rev'!J52&gt;0),'SW OpInc'!J52/'SW Rev'!J52,""),"")</f>
        <v/>
      </c>
      <c r="G563" s="37">
        <f>IFERROR(IF(AND(ISNUMBER('SW OpInc'!K52),ISNUMBER('SW Rev'!K52),'SW Rev'!K52&gt;0),'SW OpInc'!K52/'SW Rev'!K52,""),"")</f>
        <v/>
      </c>
      <c r="H563" s="37">
        <f>IFERROR(IF(AND(ISNUMBER('SW OpInc'!L52),ISNUMBER('SW Rev'!L52),'SW Rev'!L52&gt;0),'SW OpInc'!L52/'SW Rev'!L52,""),"")</f>
        <v/>
      </c>
      <c r="I563" s="37">
        <f>IFERROR(IF(AND(ISNUMBER('SW OpInc'!M52),ISNUMBER('SW Rev'!M52),'SW Rev'!M52&gt;0),'SW OpInc'!M52/'SW Rev'!M52,""),"")</f>
        <v/>
      </c>
      <c r="J563" s="37">
        <f>IFERROR(IF(AND(ISNUMBER('SW OpInc'!N52),ISNUMBER('SW Rev'!N52),'SW Rev'!N52&gt;0),'SW OpInc'!N52/'SW Rev'!N52,""),"")</f>
        <v/>
      </c>
      <c r="K563" s="37">
        <f>IFERROR(IF(AND(ISNUMBER('SW OpInc'!O52),ISNUMBER('SW Rev'!O52),'SW Rev'!O52&gt;0),'SW OpInc'!O52/'SW Rev'!O52,""),"")</f>
        <v/>
      </c>
      <c r="L563" s="37">
        <f>IFERROR(IF(AND(ISNUMBER('SW OpInc'!P52),ISNUMBER('SW Rev'!P52),'SW Rev'!P52&gt;0),'SW OpInc'!P52/'SW Rev'!P52,""),"")</f>
        <v/>
      </c>
      <c r="M563" s="38">
        <f>IFERROR(IF(AND(ISNUMBER('SW OpInc'!Q52),ISNUMBER('SW Rev'!Q52),'SW Rev'!Q52&gt;0),'SW OpInc'!Q52/'SW Rev'!Q52,""),"")</f>
        <v/>
      </c>
      <c r="N563" s="38">
        <f>IFERROR(IF(AND(ISNUMBER('SW OpInc'!R52),ISNUMBER('SW Rev'!R52),'SW Rev'!R52&gt;0),'SW OpInc'!R52/'SW Rev'!R52,""),"")</f>
        <v/>
      </c>
    </row>
    <row r="564">
      <c r="A564" s="19">
        <f>'SW Rev'!$A53</f>
        <v/>
      </c>
      <c r="B564" s="19">
        <f>'SW Rev'!$B53</f>
        <v/>
      </c>
      <c r="C564" s="37">
        <f>IFERROR(IF(AND(ISNUMBER('SW OpInc'!G53),ISNUMBER('SW Rev'!G53),'SW Rev'!G53&gt;0),'SW OpInc'!G53/'SW Rev'!G53,""),"")</f>
        <v/>
      </c>
      <c r="D564" s="37">
        <f>IFERROR(IF(AND(ISNUMBER('SW OpInc'!H53),ISNUMBER('SW Rev'!H53),'SW Rev'!H53&gt;0),'SW OpInc'!H53/'SW Rev'!H53,""),"")</f>
        <v/>
      </c>
      <c r="E564" s="37">
        <f>IFERROR(IF(AND(ISNUMBER('SW OpInc'!I53),ISNUMBER('SW Rev'!I53),'SW Rev'!I53&gt;0),'SW OpInc'!I53/'SW Rev'!I53,""),"")</f>
        <v/>
      </c>
      <c r="F564" s="37">
        <f>IFERROR(IF(AND(ISNUMBER('SW OpInc'!J53),ISNUMBER('SW Rev'!J53),'SW Rev'!J53&gt;0),'SW OpInc'!J53/'SW Rev'!J53,""),"")</f>
        <v/>
      </c>
      <c r="G564" s="37">
        <f>IFERROR(IF(AND(ISNUMBER('SW OpInc'!K53),ISNUMBER('SW Rev'!K53),'SW Rev'!K53&gt;0),'SW OpInc'!K53/'SW Rev'!K53,""),"")</f>
        <v/>
      </c>
      <c r="H564" s="37">
        <f>IFERROR(IF(AND(ISNUMBER('SW OpInc'!L53),ISNUMBER('SW Rev'!L53),'SW Rev'!L53&gt;0),'SW OpInc'!L53/'SW Rev'!L53,""),"")</f>
        <v/>
      </c>
      <c r="I564" s="37">
        <f>IFERROR(IF(AND(ISNUMBER('SW OpInc'!M53),ISNUMBER('SW Rev'!M53),'SW Rev'!M53&gt;0),'SW OpInc'!M53/'SW Rev'!M53,""),"")</f>
        <v/>
      </c>
      <c r="J564" s="37">
        <f>IFERROR(IF(AND(ISNUMBER('SW OpInc'!N53),ISNUMBER('SW Rev'!N53),'SW Rev'!N53&gt;0),'SW OpInc'!N53/'SW Rev'!N53,""),"")</f>
        <v/>
      </c>
      <c r="K564" s="37">
        <f>IFERROR(IF(AND(ISNUMBER('SW OpInc'!O53),ISNUMBER('SW Rev'!O53),'SW Rev'!O53&gt;0),'SW OpInc'!O53/'SW Rev'!O53,""),"")</f>
        <v/>
      </c>
      <c r="L564" s="37">
        <f>IFERROR(IF(AND(ISNUMBER('SW OpInc'!P53),ISNUMBER('SW Rev'!P53),'SW Rev'!P53&gt;0),'SW OpInc'!P53/'SW Rev'!P53,""),"")</f>
        <v/>
      </c>
      <c r="M564" s="38">
        <f>IFERROR(IF(AND(ISNUMBER('SW OpInc'!Q53),ISNUMBER('SW Rev'!Q53),'SW Rev'!Q53&gt;0),'SW OpInc'!Q53/'SW Rev'!Q53,""),"")</f>
        <v/>
      </c>
      <c r="N564" s="38">
        <f>IFERROR(IF(AND(ISNUMBER('SW OpInc'!R53),ISNUMBER('SW Rev'!R53),'SW Rev'!R53&gt;0),'SW OpInc'!R53/'SW Rev'!R53,""),"")</f>
        <v/>
      </c>
    </row>
    <row r="565">
      <c r="A565" s="19">
        <f>'SW Rev'!$A54</f>
        <v/>
      </c>
      <c r="B565" s="19">
        <f>'SW Rev'!$B54</f>
        <v/>
      </c>
      <c r="C565" s="37">
        <f>IFERROR(IF(AND(ISNUMBER('SW OpInc'!G54),ISNUMBER('SW Rev'!G54),'SW Rev'!G54&gt;0),'SW OpInc'!G54/'SW Rev'!G54,""),"")</f>
        <v/>
      </c>
      <c r="D565" s="37">
        <f>IFERROR(IF(AND(ISNUMBER('SW OpInc'!H54),ISNUMBER('SW Rev'!H54),'SW Rev'!H54&gt;0),'SW OpInc'!H54/'SW Rev'!H54,""),"")</f>
        <v/>
      </c>
      <c r="E565" s="37">
        <f>IFERROR(IF(AND(ISNUMBER('SW OpInc'!I54),ISNUMBER('SW Rev'!I54),'SW Rev'!I54&gt;0),'SW OpInc'!I54/'SW Rev'!I54,""),"")</f>
        <v/>
      </c>
      <c r="F565" s="37">
        <f>IFERROR(IF(AND(ISNUMBER('SW OpInc'!J54),ISNUMBER('SW Rev'!J54),'SW Rev'!J54&gt;0),'SW OpInc'!J54/'SW Rev'!J54,""),"")</f>
        <v/>
      </c>
      <c r="G565" s="37">
        <f>IFERROR(IF(AND(ISNUMBER('SW OpInc'!K54),ISNUMBER('SW Rev'!K54),'SW Rev'!K54&gt;0),'SW OpInc'!K54/'SW Rev'!K54,""),"")</f>
        <v/>
      </c>
      <c r="H565" s="37">
        <f>IFERROR(IF(AND(ISNUMBER('SW OpInc'!L54),ISNUMBER('SW Rev'!L54),'SW Rev'!L54&gt;0),'SW OpInc'!L54/'SW Rev'!L54,""),"")</f>
        <v/>
      </c>
      <c r="I565" s="37">
        <f>IFERROR(IF(AND(ISNUMBER('SW OpInc'!M54),ISNUMBER('SW Rev'!M54),'SW Rev'!M54&gt;0),'SW OpInc'!M54/'SW Rev'!M54,""),"")</f>
        <v/>
      </c>
      <c r="J565" s="37">
        <f>IFERROR(IF(AND(ISNUMBER('SW OpInc'!N54),ISNUMBER('SW Rev'!N54),'SW Rev'!N54&gt;0),'SW OpInc'!N54/'SW Rev'!N54,""),"")</f>
        <v/>
      </c>
      <c r="K565" s="37">
        <f>IFERROR(IF(AND(ISNUMBER('SW OpInc'!O54),ISNUMBER('SW Rev'!O54),'SW Rev'!O54&gt;0),'SW OpInc'!O54/'SW Rev'!O54,""),"")</f>
        <v/>
      </c>
      <c r="L565" s="37">
        <f>IFERROR(IF(AND(ISNUMBER('SW OpInc'!P54),ISNUMBER('SW Rev'!P54),'SW Rev'!P54&gt;0),'SW OpInc'!P54/'SW Rev'!P54,""),"")</f>
        <v/>
      </c>
      <c r="M565" s="38">
        <f>IFERROR(IF(AND(ISNUMBER('SW OpInc'!Q54),ISNUMBER('SW Rev'!Q54),'SW Rev'!Q54&gt;0),'SW OpInc'!Q54/'SW Rev'!Q54,""),"")</f>
        <v/>
      </c>
      <c r="N565" s="38">
        <f>IFERROR(IF(AND(ISNUMBER('SW OpInc'!R54),ISNUMBER('SW Rev'!R54),'SW Rev'!R54&gt;0),'SW OpInc'!R54/'SW Rev'!R54,""),"")</f>
        <v/>
      </c>
    </row>
    <row r="566">
      <c r="A566" s="19">
        <f>'SW Rev'!$A55</f>
        <v/>
      </c>
      <c r="B566" s="19">
        <f>'SW Rev'!$B55</f>
        <v/>
      </c>
      <c r="C566" s="37">
        <f>IFERROR(IF(AND(ISNUMBER('SW OpInc'!G55),ISNUMBER('SW Rev'!G55),'SW Rev'!G55&gt;0),'SW OpInc'!G55/'SW Rev'!G55,""),"")</f>
        <v/>
      </c>
      <c r="D566" s="37">
        <f>IFERROR(IF(AND(ISNUMBER('SW OpInc'!H55),ISNUMBER('SW Rev'!H55),'SW Rev'!H55&gt;0),'SW OpInc'!H55/'SW Rev'!H55,""),"")</f>
        <v/>
      </c>
      <c r="E566" s="37">
        <f>IFERROR(IF(AND(ISNUMBER('SW OpInc'!I55),ISNUMBER('SW Rev'!I55),'SW Rev'!I55&gt;0),'SW OpInc'!I55/'SW Rev'!I55,""),"")</f>
        <v/>
      </c>
      <c r="F566" s="37">
        <f>IFERROR(IF(AND(ISNUMBER('SW OpInc'!J55),ISNUMBER('SW Rev'!J55),'SW Rev'!J55&gt;0),'SW OpInc'!J55/'SW Rev'!J55,""),"")</f>
        <v/>
      </c>
      <c r="G566" s="37">
        <f>IFERROR(IF(AND(ISNUMBER('SW OpInc'!K55),ISNUMBER('SW Rev'!K55),'SW Rev'!K55&gt;0),'SW OpInc'!K55/'SW Rev'!K55,""),"")</f>
        <v/>
      </c>
      <c r="H566" s="37">
        <f>IFERROR(IF(AND(ISNUMBER('SW OpInc'!L55),ISNUMBER('SW Rev'!L55),'SW Rev'!L55&gt;0),'SW OpInc'!L55/'SW Rev'!L55,""),"")</f>
        <v/>
      </c>
      <c r="I566" s="37">
        <f>IFERROR(IF(AND(ISNUMBER('SW OpInc'!M55),ISNUMBER('SW Rev'!M55),'SW Rev'!M55&gt;0),'SW OpInc'!M55/'SW Rev'!M55,""),"")</f>
        <v/>
      </c>
      <c r="J566" s="37">
        <f>IFERROR(IF(AND(ISNUMBER('SW OpInc'!N55),ISNUMBER('SW Rev'!N55),'SW Rev'!N55&gt;0),'SW OpInc'!N55/'SW Rev'!N55,""),"")</f>
        <v/>
      </c>
      <c r="K566" s="37">
        <f>IFERROR(IF(AND(ISNUMBER('SW OpInc'!O55),ISNUMBER('SW Rev'!O55),'SW Rev'!O55&gt;0),'SW OpInc'!O55/'SW Rev'!O55,""),"")</f>
        <v/>
      </c>
      <c r="L566" s="37">
        <f>IFERROR(IF(AND(ISNUMBER('SW OpInc'!P55),ISNUMBER('SW Rev'!P55),'SW Rev'!P55&gt;0),'SW OpInc'!P55/'SW Rev'!P55,""),"")</f>
        <v/>
      </c>
      <c r="M566" s="38">
        <f>IFERROR(IF(AND(ISNUMBER('SW OpInc'!Q55),ISNUMBER('SW Rev'!Q55),'SW Rev'!Q55&gt;0),'SW OpInc'!Q55/'SW Rev'!Q55,""),"")</f>
        <v/>
      </c>
      <c r="N566" s="38">
        <f>IFERROR(IF(AND(ISNUMBER('SW OpInc'!R55),ISNUMBER('SW Rev'!R55),'SW Rev'!R55&gt;0),'SW OpInc'!R55/'SW Rev'!R55,""),"")</f>
        <v/>
      </c>
    </row>
    <row r="567">
      <c r="A567" s="19">
        <f>'SW Rev'!$A56</f>
        <v/>
      </c>
      <c r="B567" s="19">
        <f>'SW Rev'!$B56</f>
        <v/>
      </c>
      <c r="C567" s="37">
        <f>IFERROR(IF(AND(ISNUMBER('SW OpInc'!G56),ISNUMBER('SW Rev'!G56),'SW Rev'!G56&gt;0),'SW OpInc'!G56/'SW Rev'!G56,""),"")</f>
        <v/>
      </c>
      <c r="D567" s="37">
        <f>IFERROR(IF(AND(ISNUMBER('SW OpInc'!H56),ISNUMBER('SW Rev'!H56),'SW Rev'!H56&gt;0),'SW OpInc'!H56/'SW Rev'!H56,""),"")</f>
        <v/>
      </c>
      <c r="E567" s="37">
        <f>IFERROR(IF(AND(ISNUMBER('SW OpInc'!I56),ISNUMBER('SW Rev'!I56),'SW Rev'!I56&gt;0),'SW OpInc'!I56/'SW Rev'!I56,""),"")</f>
        <v/>
      </c>
      <c r="F567" s="37">
        <f>IFERROR(IF(AND(ISNUMBER('SW OpInc'!J56),ISNUMBER('SW Rev'!J56),'SW Rev'!J56&gt;0),'SW OpInc'!J56/'SW Rev'!J56,""),"")</f>
        <v/>
      </c>
      <c r="G567" s="37">
        <f>IFERROR(IF(AND(ISNUMBER('SW OpInc'!K56),ISNUMBER('SW Rev'!K56),'SW Rev'!K56&gt;0),'SW OpInc'!K56/'SW Rev'!K56,""),"")</f>
        <v/>
      </c>
      <c r="H567" s="37">
        <f>IFERROR(IF(AND(ISNUMBER('SW OpInc'!L56),ISNUMBER('SW Rev'!L56),'SW Rev'!L56&gt;0),'SW OpInc'!L56/'SW Rev'!L56,""),"")</f>
        <v/>
      </c>
      <c r="I567" s="37">
        <f>IFERROR(IF(AND(ISNUMBER('SW OpInc'!M56),ISNUMBER('SW Rev'!M56),'SW Rev'!M56&gt;0),'SW OpInc'!M56/'SW Rev'!M56,""),"")</f>
        <v/>
      </c>
      <c r="J567" s="37">
        <f>IFERROR(IF(AND(ISNUMBER('SW OpInc'!N56),ISNUMBER('SW Rev'!N56),'SW Rev'!N56&gt;0),'SW OpInc'!N56/'SW Rev'!N56,""),"")</f>
        <v/>
      </c>
      <c r="K567" s="37">
        <f>IFERROR(IF(AND(ISNUMBER('SW OpInc'!O56),ISNUMBER('SW Rev'!O56),'SW Rev'!O56&gt;0),'SW OpInc'!O56/'SW Rev'!O56,""),"")</f>
        <v/>
      </c>
      <c r="L567" s="37">
        <f>IFERROR(IF(AND(ISNUMBER('SW OpInc'!P56),ISNUMBER('SW Rev'!P56),'SW Rev'!P56&gt;0),'SW OpInc'!P56/'SW Rev'!P56,""),"")</f>
        <v/>
      </c>
      <c r="M567" s="38">
        <f>IFERROR(IF(AND(ISNUMBER('SW OpInc'!Q56),ISNUMBER('SW Rev'!Q56),'SW Rev'!Q56&gt;0),'SW OpInc'!Q56/'SW Rev'!Q56,""),"")</f>
        <v/>
      </c>
      <c r="N567" s="38">
        <f>IFERROR(IF(AND(ISNUMBER('SW OpInc'!R56),ISNUMBER('SW Rev'!R56),'SW Rev'!R56&gt;0),'SW OpInc'!R56/'SW Rev'!R56,""),"")</f>
        <v/>
      </c>
    </row>
    <row r="568">
      <c r="A568" s="19">
        <f>'SW Rev'!$A57</f>
        <v/>
      </c>
      <c r="B568" s="19">
        <f>'SW Rev'!$B57</f>
        <v/>
      </c>
      <c r="C568" s="37">
        <f>IFERROR(IF(AND(ISNUMBER('SW OpInc'!G57),ISNUMBER('SW Rev'!G57),'SW Rev'!G57&gt;0),'SW OpInc'!G57/'SW Rev'!G57,""),"")</f>
        <v/>
      </c>
      <c r="D568" s="37">
        <f>IFERROR(IF(AND(ISNUMBER('SW OpInc'!H57),ISNUMBER('SW Rev'!H57),'SW Rev'!H57&gt;0),'SW OpInc'!H57/'SW Rev'!H57,""),"")</f>
        <v/>
      </c>
      <c r="E568" s="37">
        <f>IFERROR(IF(AND(ISNUMBER('SW OpInc'!I57),ISNUMBER('SW Rev'!I57),'SW Rev'!I57&gt;0),'SW OpInc'!I57/'SW Rev'!I57,""),"")</f>
        <v/>
      </c>
      <c r="F568" s="37">
        <f>IFERROR(IF(AND(ISNUMBER('SW OpInc'!J57),ISNUMBER('SW Rev'!J57),'SW Rev'!J57&gt;0),'SW OpInc'!J57/'SW Rev'!J57,""),"")</f>
        <v/>
      </c>
      <c r="G568" s="37">
        <f>IFERROR(IF(AND(ISNUMBER('SW OpInc'!K57),ISNUMBER('SW Rev'!K57),'SW Rev'!K57&gt;0),'SW OpInc'!K57/'SW Rev'!K57,""),"")</f>
        <v/>
      </c>
      <c r="H568" s="37">
        <f>IFERROR(IF(AND(ISNUMBER('SW OpInc'!L57),ISNUMBER('SW Rev'!L57),'SW Rev'!L57&gt;0),'SW OpInc'!L57/'SW Rev'!L57,""),"")</f>
        <v/>
      </c>
      <c r="I568" s="37">
        <f>IFERROR(IF(AND(ISNUMBER('SW OpInc'!M57),ISNUMBER('SW Rev'!M57),'SW Rev'!M57&gt;0),'SW OpInc'!M57/'SW Rev'!M57,""),"")</f>
        <v/>
      </c>
      <c r="J568" s="37">
        <f>IFERROR(IF(AND(ISNUMBER('SW OpInc'!N57),ISNUMBER('SW Rev'!N57),'SW Rev'!N57&gt;0),'SW OpInc'!N57/'SW Rev'!N57,""),"")</f>
        <v/>
      </c>
      <c r="K568" s="37">
        <f>IFERROR(IF(AND(ISNUMBER('SW OpInc'!O57),ISNUMBER('SW Rev'!O57),'SW Rev'!O57&gt;0),'SW OpInc'!O57/'SW Rev'!O57,""),"")</f>
        <v/>
      </c>
      <c r="L568" s="37">
        <f>IFERROR(IF(AND(ISNUMBER('SW OpInc'!P57),ISNUMBER('SW Rev'!P57),'SW Rev'!P57&gt;0),'SW OpInc'!P57/'SW Rev'!P57,""),"")</f>
        <v/>
      </c>
      <c r="M568" s="38">
        <f>IFERROR(IF(AND(ISNUMBER('SW OpInc'!Q57),ISNUMBER('SW Rev'!Q57),'SW Rev'!Q57&gt;0),'SW OpInc'!Q57/'SW Rev'!Q57,""),"")</f>
        <v/>
      </c>
      <c r="N568" s="38">
        <f>IFERROR(IF(AND(ISNUMBER('SW OpInc'!R57),ISNUMBER('SW Rev'!R57),'SW Rev'!R57&gt;0),'SW OpInc'!R57/'SW Rev'!R57,""),"")</f>
        <v/>
      </c>
    </row>
    <row r="569">
      <c r="A569" s="19">
        <f>'SW Rev'!$A58</f>
        <v/>
      </c>
      <c r="B569" s="19">
        <f>'SW Rev'!$B58</f>
        <v/>
      </c>
      <c r="C569" s="37">
        <f>IFERROR(IF(AND(ISNUMBER('SW OpInc'!G58),ISNUMBER('SW Rev'!G58),'SW Rev'!G58&gt;0),'SW OpInc'!G58/'SW Rev'!G58,""),"")</f>
        <v/>
      </c>
      <c r="D569" s="37">
        <f>IFERROR(IF(AND(ISNUMBER('SW OpInc'!H58),ISNUMBER('SW Rev'!H58),'SW Rev'!H58&gt;0),'SW OpInc'!H58/'SW Rev'!H58,""),"")</f>
        <v/>
      </c>
      <c r="E569" s="37">
        <f>IFERROR(IF(AND(ISNUMBER('SW OpInc'!I58),ISNUMBER('SW Rev'!I58),'SW Rev'!I58&gt;0),'SW OpInc'!I58/'SW Rev'!I58,""),"")</f>
        <v/>
      </c>
      <c r="F569" s="37">
        <f>IFERROR(IF(AND(ISNUMBER('SW OpInc'!J58),ISNUMBER('SW Rev'!J58),'SW Rev'!J58&gt;0),'SW OpInc'!J58/'SW Rev'!J58,""),"")</f>
        <v/>
      </c>
      <c r="G569" s="37">
        <f>IFERROR(IF(AND(ISNUMBER('SW OpInc'!K58),ISNUMBER('SW Rev'!K58),'SW Rev'!K58&gt;0),'SW OpInc'!K58/'SW Rev'!K58,""),"")</f>
        <v/>
      </c>
      <c r="H569" s="37">
        <f>IFERROR(IF(AND(ISNUMBER('SW OpInc'!L58),ISNUMBER('SW Rev'!L58),'SW Rev'!L58&gt;0),'SW OpInc'!L58/'SW Rev'!L58,""),"")</f>
        <v/>
      </c>
      <c r="I569" s="37">
        <f>IFERROR(IF(AND(ISNUMBER('SW OpInc'!M58),ISNUMBER('SW Rev'!M58),'SW Rev'!M58&gt;0),'SW OpInc'!M58/'SW Rev'!M58,""),"")</f>
        <v/>
      </c>
      <c r="J569" s="37">
        <f>IFERROR(IF(AND(ISNUMBER('SW OpInc'!N58),ISNUMBER('SW Rev'!N58),'SW Rev'!N58&gt;0),'SW OpInc'!N58/'SW Rev'!N58,""),"")</f>
        <v/>
      </c>
      <c r="K569" s="37">
        <f>IFERROR(IF(AND(ISNUMBER('SW OpInc'!O58),ISNUMBER('SW Rev'!O58),'SW Rev'!O58&gt;0),'SW OpInc'!O58/'SW Rev'!O58,""),"")</f>
        <v/>
      </c>
      <c r="L569" s="37">
        <f>IFERROR(IF(AND(ISNUMBER('SW OpInc'!P58),ISNUMBER('SW Rev'!P58),'SW Rev'!P58&gt;0),'SW OpInc'!P58/'SW Rev'!P58,""),"")</f>
        <v/>
      </c>
      <c r="M569" s="38">
        <f>IFERROR(IF(AND(ISNUMBER('SW OpInc'!Q58),ISNUMBER('SW Rev'!Q58),'SW Rev'!Q58&gt;0),'SW OpInc'!Q58/'SW Rev'!Q58,""),"")</f>
        <v/>
      </c>
      <c r="N569" s="38">
        <f>IFERROR(IF(AND(ISNUMBER('SW OpInc'!R58),ISNUMBER('SW Rev'!R58),'SW Rev'!R58&gt;0),'SW OpInc'!R58/'SW Rev'!R58,""),"")</f>
        <v/>
      </c>
    </row>
    <row r="570">
      <c r="A570" s="19">
        <f>'SW Rev'!$A59</f>
        <v/>
      </c>
      <c r="B570" s="19">
        <f>'SW Rev'!$B59</f>
        <v/>
      </c>
      <c r="C570" s="37">
        <f>IFERROR(IF(AND(ISNUMBER('SW OpInc'!G59),ISNUMBER('SW Rev'!G59),'SW Rev'!G59&gt;0),'SW OpInc'!G59/'SW Rev'!G59,""),"")</f>
        <v/>
      </c>
      <c r="D570" s="37">
        <f>IFERROR(IF(AND(ISNUMBER('SW OpInc'!H59),ISNUMBER('SW Rev'!H59),'SW Rev'!H59&gt;0),'SW OpInc'!H59/'SW Rev'!H59,""),"")</f>
        <v/>
      </c>
      <c r="E570" s="37">
        <f>IFERROR(IF(AND(ISNUMBER('SW OpInc'!I59),ISNUMBER('SW Rev'!I59),'SW Rev'!I59&gt;0),'SW OpInc'!I59/'SW Rev'!I59,""),"")</f>
        <v/>
      </c>
      <c r="F570" s="37">
        <f>IFERROR(IF(AND(ISNUMBER('SW OpInc'!J59),ISNUMBER('SW Rev'!J59),'SW Rev'!J59&gt;0),'SW OpInc'!J59/'SW Rev'!J59,""),"")</f>
        <v/>
      </c>
      <c r="G570" s="37">
        <f>IFERROR(IF(AND(ISNUMBER('SW OpInc'!K59),ISNUMBER('SW Rev'!K59),'SW Rev'!K59&gt;0),'SW OpInc'!K59/'SW Rev'!K59,""),"")</f>
        <v/>
      </c>
      <c r="H570" s="37">
        <f>IFERROR(IF(AND(ISNUMBER('SW OpInc'!L59),ISNUMBER('SW Rev'!L59),'SW Rev'!L59&gt;0),'SW OpInc'!L59/'SW Rev'!L59,""),"")</f>
        <v/>
      </c>
      <c r="I570" s="37">
        <f>IFERROR(IF(AND(ISNUMBER('SW OpInc'!M59),ISNUMBER('SW Rev'!M59),'SW Rev'!M59&gt;0),'SW OpInc'!M59/'SW Rev'!M59,""),"")</f>
        <v/>
      </c>
      <c r="J570" s="37">
        <f>IFERROR(IF(AND(ISNUMBER('SW OpInc'!N59),ISNUMBER('SW Rev'!N59),'SW Rev'!N59&gt;0),'SW OpInc'!N59/'SW Rev'!N59,""),"")</f>
        <v/>
      </c>
      <c r="K570" s="37">
        <f>IFERROR(IF(AND(ISNUMBER('SW OpInc'!O59),ISNUMBER('SW Rev'!O59),'SW Rev'!O59&gt;0),'SW OpInc'!O59/'SW Rev'!O59,""),"")</f>
        <v/>
      </c>
      <c r="L570" s="37">
        <f>IFERROR(IF(AND(ISNUMBER('SW OpInc'!P59),ISNUMBER('SW Rev'!P59),'SW Rev'!P59&gt;0),'SW OpInc'!P59/'SW Rev'!P59,""),"")</f>
        <v/>
      </c>
      <c r="M570" s="38">
        <f>IFERROR(IF(AND(ISNUMBER('SW OpInc'!Q59),ISNUMBER('SW Rev'!Q59),'SW Rev'!Q59&gt;0),'SW OpInc'!Q59/'SW Rev'!Q59,""),"")</f>
        <v/>
      </c>
      <c r="N570" s="38">
        <f>IFERROR(IF(AND(ISNUMBER('SW OpInc'!R59),ISNUMBER('SW Rev'!R59),'SW Rev'!R59&gt;0),'SW OpInc'!R59/'SW Rev'!R59,""),"")</f>
        <v/>
      </c>
    </row>
    <row r="571">
      <c r="A571" s="19">
        <f>'SW Rev'!$A60</f>
        <v/>
      </c>
      <c r="B571" s="19">
        <f>'SW Rev'!$B60</f>
        <v/>
      </c>
      <c r="C571" s="37">
        <f>IFERROR(IF(AND(ISNUMBER('SW OpInc'!G60),ISNUMBER('SW Rev'!G60),'SW Rev'!G60&gt;0),'SW OpInc'!G60/'SW Rev'!G60,""),"")</f>
        <v/>
      </c>
      <c r="D571" s="37">
        <f>IFERROR(IF(AND(ISNUMBER('SW OpInc'!H60),ISNUMBER('SW Rev'!H60),'SW Rev'!H60&gt;0),'SW OpInc'!H60/'SW Rev'!H60,""),"")</f>
        <v/>
      </c>
      <c r="E571" s="37">
        <f>IFERROR(IF(AND(ISNUMBER('SW OpInc'!I60),ISNUMBER('SW Rev'!I60),'SW Rev'!I60&gt;0),'SW OpInc'!I60/'SW Rev'!I60,""),"")</f>
        <v/>
      </c>
      <c r="F571" s="37">
        <f>IFERROR(IF(AND(ISNUMBER('SW OpInc'!J60),ISNUMBER('SW Rev'!J60),'SW Rev'!J60&gt;0),'SW OpInc'!J60/'SW Rev'!J60,""),"")</f>
        <v/>
      </c>
      <c r="G571" s="37">
        <f>IFERROR(IF(AND(ISNUMBER('SW OpInc'!K60),ISNUMBER('SW Rev'!K60),'SW Rev'!K60&gt;0),'SW OpInc'!K60/'SW Rev'!K60,""),"")</f>
        <v/>
      </c>
      <c r="H571" s="37">
        <f>IFERROR(IF(AND(ISNUMBER('SW OpInc'!L60),ISNUMBER('SW Rev'!L60),'SW Rev'!L60&gt;0),'SW OpInc'!L60/'SW Rev'!L60,""),"")</f>
        <v/>
      </c>
      <c r="I571" s="37">
        <f>IFERROR(IF(AND(ISNUMBER('SW OpInc'!M60),ISNUMBER('SW Rev'!M60),'SW Rev'!M60&gt;0),'SW OpInc'!M60/'SW Rev'!M60,""),"")</f>
        <v/>
      </c>
      <c r="J571" s="37">
        <f>IFERROR(IF(AND(ISNUMBER('SW OpInc'!N60),ISNUMBER('SW Rev'!N60),'SW Rev'!N60&gt;0),'SW OpInc'!N60/'SW Rev'!N60,""),"")</f>
        <v/>
      </c>
      <c r="K571" s="37">
        <f>IFERROR(IF(AND(ISNUMBER('SW OpInc'!O60),ISNUMBER('SW Rev'!O60),'SW Rev'!O60&gt;0),'SW OpInc'!O60/'SW Rev'!O60,""),"")</f>
        <v/>
      </c>
      <c r="L571" s="37">
        <f>IFERROR(IF(AND(ISNUMBER('SW OpInc'!P60),ISNUMBER('SW Rev'!P60),'SW Rev'!P60&gt;0),'SW OpInc'!P60/'SW Rev'!P60,""),"")</f>
        <v/>
      </c>
      <c r="M571" s="38">
        <f>IFERROR(IF(AND(ISNUMBER('SW OpInc'!Q60),ISNUMBER('SW Rev'!Q60),'SW Rev'!Q60&gt;0),'SW OpInc'!Q60/'SW Rev'!Q60,""),"")</f>
        <v/>
      </c>
      <c r="N571" s="38">
        <f>IFERROR(IF(AND(ISNUMBER('SW OpInc'!R60),ISNUMBER('SW Rev'!R60),'SW Rev'!R60&gt;0),'SW OpInc'!R60/'SW Rev'!R60,""),"")</f>
        <v/>
      </c>
    </row>
    <row r="572">
      <c r="A572" s="19">
        <f>'SW Rev'!$A61</f>
        <v/>
      </c>
      <c r="B572" s="19">
        <f>'SW Rev'!$B61</f>
        <v/>
      </c>
      <c r="C572" s="37">
        <f>IFERROR(IF(AND(ISNUMBER('SW OpInc'!G61),ISNUMBER('SW Rev'!G61),'SW Rev'!G61&gt;0),'SW OpInc'!G61/'SW Rev'!G61,""),"")</f>
        <v/>
      </c>
      <c r="D572" s="37">
        <f>IFERROR(IF(AND(ISNUMBER('SW OpInc'!H61),ISNUMBER('SW Rev'!H61),'SW Rev'!H61&gt;0),'SW OpInc'!H61/'SW Rev'!H61,""),"")</f>
        <v/>
      </c>
      <c r="E572" s="37">
        <f>IFERROR(IF(AND(ISNUMBER('SW OpInc'!I61),ISNUMBER('SW Rev'!I61),'SW Rev'!I61&gt;0),'SW OpInc'!I61/'SW Rev'!I61,""),"")</f>
        <v/>
      </c>
      <c r="F572" s="37">
        <f>IFERROR(IF(AND(ISNUMBER('SW OpInc'!J61),ISNUMBER('SW Rev'!J61),'SW Rev'!J61&gt;0),'SW OpInc'!J61/'SW Rev'!J61,""),"")</f>
        <v/>
      </c>
      <c r="G572" s="37">
        <f>IFERROR(IF(AND(ISNUMBER('SW OpInc'!K61),ISNUMBER('SW Rev'!K61),'SW Rev'!K61&gt;0),'SW OpInc'!K61/'SW Rev'!K61,""),"")</f>
        <v/>
      </c>
      <c r="H572" s="37">
        <f>IFERROR(IF(AND(ISNUMBER('SW OpInc'!L61),ISNUMBER('SW Rev'!L61),'SW Rev'!L61&gt;0),'SW OpInc'!L61/'SW Rev'!L61,""),"")</f>
        <v/>
      </c>
      <c r="I572" s="37">
        <f>IFERROR(IF(AND(ISNUMBER('SW OpInc'!M61),ISNUMBER('SW Rev'!M61),'SW Rev'!M61&gt;0),'SW OpInc'!M61/'SW Rev'!M61,""),"")</f>
        <v/>
      </c>
      <c r="J572" s="37">
        <f>IFERROR(IF(AND(ISNUMBER('SW OpInc'!N61),ISNUMBER('SW Rev'!N61),'SW Rev'!N61&gt;0),'SW OpInc'!N61/'SW Rev'!N61,""),"")</f>
        <v/>
      </c>
      <c r="K572" s="37">
        <f>IFERROR(IF(AND(ISNUMBER('SW OpInc'!O61),ISNUMBER('SW Rev'!O61),'SW Rev'!O61&gt;0),'SW OpInc'!O61/'SW Rev'!O61,""),"")</f>
        <v/>
      </c>
      <c r="L572" s="37">
        <f>IFERROR(IF(AND(ISNUMBER('SW OpInc'!P61),ISNUMBER('SW Rev'!P61),'SW Rev'!P61&gt;0),'SW OpInc'!P61/'SW Rev'!P61,""),"")</f>
        <v/>
      </c>
      <c r="M572" s="38">
        <f>IFERROR(IF(AND(ISNUMBER('SW OpInc'!Q61),ISNUMBER('SW Rev'!Q61),'SW Rev'!Q61&gt;0),'SW OpInc'!Q61/'SW Rev'!Q61,""),"")</f>
        <v/>
      </c>
      <c r="N572" s="38">
        <f>IFERROR(IF(AND(ISNUMBER('SW OpInc'!R61),ISNUMBER('SW Rev'!R61),'SW Rev'!R61&gt;0),'SW OpInc'!R61/'SW Rev'!R61,""),"")</f>
        <v/>
      </c>
    </row>
    <row r="573">
      <c r="A573" s="19">
        <f>'SW Rev'!$A62</f>
        <v/>
      </c>
      <c r="B573" s="19">
        <f>'SW Rev'!$B62</f>
        <v/>
      </c>
      <c r="C573" s="37">
        <f>IFERROR(IF(AND(ISNUMBER('SW OpInc'!G62),ISNUMBER('SW Rev'!G62),'SW Rev'!G62&gt;0),'SW OpInc'!G62/'SW Rev'!G62,""),"")</f>
        <v/>
      </c>
      <c r="D573" s="37">
        <f>IFERROR(IF(AND(ISNUMBER('SW OpInc'!H62),ISNUMBER('SW Rev'!H62),'SW Rev'!H62&gt;0),'SW OpInc'!H62/'SW Rev'!H62,""),"")</f>
        <v/>
      </c>
      <c r="E573" s="37">
        <f>IFERROR(IF(AND(ISNUMBER('SW OpInc'!I62),ISNUMBER('SW Rev'!I62),'SW Rev'!I62&gt;0),'SW OpInc'!I62/'SW Rev'!I62,""),"")</f>
        <v/>
      </c>
      <c r="F573" s="37">
        <f>IFERROR(IF(AND(ISNUMBER('SW OpInc'!J62),ISNUMBER('SW Rev'!J62),'SW Rev'!J62&gt;0),'SW OpInc'!J62/'SW Rev'!J62,""),"")</f>
        <v/>
      </c>
      <c r="G573" s="37">
        <f>IFERROR(IF(AND(ISNUMBER('SW OpInc'!K62),ISNUMBER('SW Rev'!K62),'SW Rev'!K62&gt;0),'SW OpInc'!K62/'SW Rev'!K62,""),"")</f>
        <v/>
      </c>
      <c r="H573" s="37">
        <f>IFERROR(IF(AND(ISNUMBER('SW OpInc'!L62),ISNUMBER('SW Rev'!L62),'SW Rev'!L62&gt;0),'SW OpInc'!L62/'SW Rev'!L62,""),"")</f>
        <v/>
      </c>
      <c r="I573" s="37">
        <f>IFERROR(IF(AND(ISNUMBER('SW OpInc'!M62),ISNUMBER('SW Rev'!M62),'SW Rev'!M62&gt;0),'SW OpInc'!M62/'SW Rev'!M62,""),"")</f>
        <v/>
      </c>
      <c r="J573" s="37">
        <f>IFERROR(IF(AND(ISNUMBER('SW OpInc'!N62),ISNUMBER('SW Rev'!N62),'SW Rev'!N62&gt;0),'SW OpInc'!N62/'SW Rev'!N62,""),"")</f>
        <v/>
      </c>
      <c r="K573" s="37">
        <f>IFERROR(IF(AND(ISNUMBER('SW OpInc'!O62),ISNUMBER('SW Rev'!O62),'SW Rev'!O62&gt;0),'SW OpInc'!O62/'SW Rev'!O62,""),"")</f>
        <v/>
      </c>
      <c r="L573" s="37">
        <f>IFERROR(IF(AND(ISNUMBER('SW OpInc'!P62),ISNUMBER('SW Rev'!P62),'SW Rev'!P62&gt;0),'SW OpInc'!P62/'SW Rev'!P62,""),"")</f>
        <v/>
      </c>
      <c r="M573" s="38">
        <f>IFERROR(IF(AND(ISNUMBER('SW OpInc'!Q62),ISNUMBER('SW Rev'!Q62),'SW Rev'!Q62&gt;0),'SW OpInc'!Q62/'SW Rev'!Q62,""),"")</f>
        <v/>
      </c>
      <c r="N573" s="38">
        <f>IFERROR(IF(AND(ISNUMBER('SW OpInc'!R62),ISNUMBER('SW Rev'!R62),'SW Rev'!R62&gt;0),'SW OpInc'!R62/'SW Rev'!R62,""),"")</f>
        <v/>
      </c>
    </row>
    <row r="574">
      <c r="A574" s="19">
        <f>'SW Rev'!$A63</f>
        <v/>
      </c>
      <c r="B574" s="19">
        <f>'SW Rev'!$B63</f>
        <v/>
      </c>
      <c r="C574" s="37">
        <f>IFERROR(IF(AND(ISNUMBER('SW OpInc'!G63),ISNUMBER('SW Rev'!G63),'SW Rev'!G63&gt;0),'SW OpInc'!G63/'SW Rev'!G63,""),"")</f>
        <v/>
      </c>
      <c r="D574" s="37">
        <f>IFERROR(IF(AND(ISNUMBER('SW OpInc'!H63),ISNUMBER('SW Rev'!H63),'SW Rev'!H63&gt;0),'SW OpInc'!H63/'SW Rev'!H63,""),"")</f>
        <v/>
      </c>
      <c r="E574" s="37">
        <f>IFERROR(IF(AND(ISNUMBER('SW OpInc'!I63),ISNUMBER('SW Rev'!I63),'SW Rev'!I63&gt;0),'SW OpInc'!I63/'SW Rev'!I63,""),"")</f>
        <v/>
      </c>
      <c r="F574" s="37">
        <f>IFERROR(IF(AND(ISNUMBER('SW OpInc'!J63),ISNUMBER('SW Rev'!J63),'SW Rev'!J63&gt;0),'SW OpInc'!J63/'SW Rev'!J63,""),"")</f>
        <v/>
      </c>
      <c r="G574" s="37">
        <f>IFERROR(IF(AND(ISNUMBER('SW OpInc'!K63),ISNUMBER('SW Rev'!K63),'SW Rev'!K63&gt;0),'SW OpInc'!K63/'SW Rev'!K63,""),"")</f>
        <v/>
      </c>
      <c r="H574" s="37">
        <f>IFERROR(IF(AND(ISNUMBER('SW OpInc'!L63),ISNUMBER('SW Rev'!L63),'SW Rev'!L63&gt;0),'SW OpInc'!L63/'SW Rev'!L63,""),"")</f>
        <v/>
      </c>
      <c r="I574" s="37">
        <f>IFERROR(IF(AND(ISNUMBER('SW OpInc'!M63),ISNUMBER('SW Rev'!M63),'SW Rev'!M63&gt;0),'SW OpInc'!M63/'SW Rev'!M63,""),"")</f>
        <v/>
      </c>
      <c r="J574" s="37">
        <f>IFERROR(IF(AND(ISNUMBER('SW OpInc'!N63),ISNUMBER('SW Rev'!N63),'SW Rev'!N63&gt;0),'SW OpInc'!N63/'SW Rev'!N63,""),"")</f>
        <v/>
      </c>
      <c r="K574" s="37">
        <f>IFERROR(IF(AND(ISNUMBER('SW OpInc'!O63),ISNUMBER('SW Rev'!O63),'SW Rev'!O63&gt;0),'SW OpInc'!O63/'SW Rev'!O63,""),"")</f>
        <v/>
      </c>
      <c r="L574" s="37">
        <f>IFERROR(IF(AND(ISNUMBER('SW OpInc'!P63),ISNUMBER('SW Rev'!P63),'SW Rev'!P63&gt;0),'SW OpInc'!P63/'SW Rev'!P63,""),"")</f>
        <v/>
      </c>
      <c r="M574" s="38">
        <f>IFERROR(IF(AND(ISNUMBER('SW OpInc'!Q63),ISNUMBER('SW Rev'!Q63),'SW Rev'!Q63&gt;0),'SW OpInc'!Q63/'SW Rev'!Q63,""),"")</f>
        <v/>
      </c>
      <c r="N574" s="38">
        <f>IFERROR(IF(AND(ISNUMBER('SW OpInc'!R63),ISNUMBER('SW Rev'!R63),'SW Rev'!R63&gt;0),'SW OpInc'!R63/'SW Rev'!R63,""),"")</f>
        <v/>
      </c>
    </row>
    <row r="575">
      <c r="A575" s="19">
        <f>'SW Rev'!$A64</f>
        <v/>
      </c>
      <c r="B575" s="19">
        <f>'SW Rev'!$B64</f>
        <v/>
      </c>
      <c r="C575" s="37">
        <f>IFERROR(IF(AND(ISNUMBER('SW OpInc'!G64),ISNUMBER('SW Rev'!G64),'SW Rev'!G64&gt;0),'SW OpInc'!G64/'SW Rev'!G64,""),"")</f>
        <v/>
      </c>
      <c r="D575" s="37">
        <f>IFERROR(IF(AND(ISNUMBER('SW OpInc'!H64),ISNUMBER('SW Rev'!H64),'SW Rev'!H64&gt;0),'SW OpInc'!H64/'SW Rev'!H64,""),"")</f>
        <v/>
      </c>
      <c r="E575" s="37">
        <f>IFERROR(IF(AND(ISNUMBER('SW OpInc'!I64),ISNUMBER('SW Rev'!I64),'SW Rev'!I64&gt;0),'SW OpInc'!I64/'SW Rev'!I64,""),"")</f>
        <v/>
      </c>
      <c r="F575" s="37">
        <f>IFERROR(IF(AND(ISNUMBER('SW OpInc'!J64),ISNUMBER('SW Rev'!J64),'SW Rev'!J64&gt;0),'SW OpInc'!J64/'SW Rev'!J64,""),"")</f>
        <v/>
      </c>
      <c r="G575" s="37">
        <f>IFERROR(IF(AND(ISNUMBER('SW OpInc'!K64),ISNUMBER('SW Rev'!K64),'SW Rev'!K64&gt;0),'SW OpInc'!K64/'SW Rev'!K64,""),"")</f>
        <v/>
      </c>
      <c r="H575" s="37">
        <f>IFERROR(IF(AND(ISNUMBER('SW OpInc'!L64),ISNUMBER('SW Rev'!L64),'SW Rev'!L64&gt;0),'SW OpInc'!L64/'SW Rev'!L64,""),"")</f>
        <v/>
      </c>
      <c r="I575" s="37">
        <f>IFERROR(IF(AND(ISNUMBER('SW OpInc'!M64),ISNUMBER('SW Rev'!M64),'SW Rev'!M64&gt;0),'SW OpInc'!M64/'SW Rev'!M64,""),"")</f>
        <v/>
      </c>
      <c r="J575" s="37">
        <f>IFERROR(IF(AND(ISNUMBER('SW OpInc'!N64),ISNUMBER('SW Rev'!N64),'SW Rev'!N64&gt;0),'SW OpInc'!N64/'SW Rev'!N64,""),"")</f>
        <v/>
      </c>
      <c r="K575" s="37">
        <f>IFERROR(IF(AND(ISNUMBER('SW OpInc'!O64),ISNUMBER('SW Rev'!O64),'SW Rev'!O64&gt;0),'SW OpInc'!O64/'SW Rev'!O64,""),"")</f>
        <v/>
      </c>
      <c r="L575" s="37">
        <f>IFERROR(IF(AND(ISNUMBER('SW OpInc'!P64),ISNUMBER('SW Rev'!P64),'SW Rev'!P64&gt;0),'SW OpInc'!P64/'SW Rev'!P64,""),"")</f>
        <v/>
      </c>
      <c r="M575" s="38">
        <f>IFERROR(IF(AND(ISNUMBER('SW OpInc'!Q64),ISNUMBER('SW Rev'!Q64),'SW Rev'!Q64&gt;0),'SW OpInc'!Q64/'SW Rev'!Q64,""),"")</f>
        <v/>
      </c>
      <c r="N575" s="38">
        <f>IFERROR(IF(AND(ISNUMBER('SW OpInc'!R64),ISNUMBER('SW Rev'!R64),'SW Rev'!R64&gt;0),'SW OpInc'!R64/'SW Rev'!R64,""),"")</f>
        <v/>
      </c>
    </row>
    <row r="576">
      <c r="A576" s="19">
        <f>'SW Rev'!$A65</f>
        <v/>
      </c>
      <c r="B576" s="19">
        <f>'SW Rev'!$B65</f>
        <v/>
      </c>
      <c r="C576" s="37">
        <f>IFERROR(IF(AND(ISNUMBER('SW OpInc'!G65),ISNUMBER('SW Rev'!G65),'SW Rev'!G65&gt;0),'SW OpInc'!G65/'SW Rev'!G65,""),"")</f>
        <v/>
      </c>
      <c r="D576" s="37">
        <f>IFERROR(IF(AND(ISNUMBER('SW OpInc'!H65),ISNUMBER('SW Rev'!H65),'SW Rev'!H65&gt;0),'SW OpInc'!H65/'SW Rev'!H65,""),"")</f>
        <v/>
      </c>
      <c r="E576" s="37">
        <f>IFERROR(IF(AND(ISNUMBER('SW OpInc'!I65),ISNUMBER('SW Rev'!I65),'SW Rev'!I65&gt;0),'SW OpInc'!I65/'SW Rev'!I65,""),"")</f>
        <v/>
      </c>
      <c r="F576" s="37">
        <f>IFERROR(IF(AND(ISNUMBER('SW OpInc'!J65),ISNUMBER('SW Rev'!J65),'SW Rev'!J65&gt;0),'SW OpInc'!J65/'SW Rev'!J65,""),"")</f>
        <v/>
      </c>
      <c r="G576" s="37">
        <f>IFERROR(IF(AND(ISNUMBER('SW OpInc'!K65),ISNUMBER('SW Rev'!K65),'SW Rev'!K65&gt;0),'SW OpInc'!K65/'SW Rev'!K65,""),"")</f>
        <v/>
      </c>
      <c r="H576" s="37">
        <f>IFERROR(IF(AND(ISNUMBER('SW OpInc'!L65),ISNUMBER('SW Rev'!L65),'SW Rev'!L65&gt;0),'SW OpInc'!L65/'SW Rev'!L65,""),"")</f>
        <v/>
      </c>
      <c r="I576" s="37">
        <f>IFERROR(IF(AND(ISNUMBER('SW OpInc'!M65),ISNUMBER('SW Rev'!M65),'SW Rev'!M65&gt;0),'SW OpInc'!M65/'SW Rev'!M65,""),"")</f>
        <v/>
      </c>
      <c r="J576" s="37">
        <f>IFERROR(IF(AND(ISNUMBER('SW OpInc'!N65),ISNUMBER('SW Rev'!N65),'SW Rev'!N65&gt;0),'SW OpInc'!N65/'SW Rev'!N65,""),"")</f>
        <v/>
      </c>
      <c r="K576" s="37">
        <f>IFERROR(IF(AND(ISNUMBER('SW OpInc'!O65),ISNUMBER('SW Rev'!O65),'SW Rev'!O65&gt;0),'SW OpInc'!O65/'SW Rev'!O65,""),"")</f>
        <v/>
      </c>
      <c r="L576" s="37">
        <f>IFERROR(IF(AND(ISNUMBER('SW OpInc'!P65),ISNUMBER('SW Rev'!P65),'SW Rev'!P65&gt;0),'SW OpInc'!P65/'SW Rev'!P65,""),"")</f>
        <v/>
      </c>
      <c r="M576" s="38">
        <f>IFERROR(IF(AND(ISNUMBER('SW OpInc'!Q65),ISNUMBER('SW Rev'!Q65),'SW Rev'!Q65&gt;0),'SW OpInc'!Q65/'SW Rev'!Q65,""),"")</f>
        <v/>
      </c>
      <c r="N576" s="38">
        <f>IFERROR(IF(AND(ISNUMBER('SW OpInc'!R65),ISNUMBER('SW Rev'!R65),'SW Rev'!R65&gt;0),'SW OpInc'!R65/'SW Rev'!R65,""),"")</f>
        <v/>
      </c>
    </row>
    <row r="577">
      <c r="A577" s="19">
        <f>'SW Rev'!$A66</f>
        <v/>
      </c>
      <c r="B577" s="19">
        <f>'SW Rev'!$B66</f>
        <v/>
      </c>
      <c r="C577" s="37">
        <f>IFERROR(IF(AND(ISNUMBER('SW OpInc'!G66),ISNUMBER('SW Rev'!G66),'SW Rev'!G66&gt;0),'SW OpInc'!G66/'SW Rev'!G66,""),"")</f>
        <v/>
      </c>
      <c r="D577" s="37">
        <f>IFERROR(IF(AND(ISNUMBER('SW OpInc'!H66),ISNUMBER('SW Rev'!H66),'SW Rev'!H66&gt;0),'SW OpInc'!H66/'SW Rev'!H66,""),"")</f>
        <v/>
      </c>
      <c r="E577" s="37">
        <f>IFERROR(IF(AND(ISNUMBER('SW OpInc'!I66),ISNUMBER('SW Rev'!I66),'SW Rev'!I66&gt;0),'SW OpInc'!I66/'SW Rev'!I66,""),"")</f>
        <v/>
      </c>
      <c r="F577" s="37">
        <f>IFERROR(IF(AND(ISNUMBER('SW OpInc'!J66),ISNUMBER('SW Rev'!J66),'SW Rev'!J66&gt;0),'SW OpInc'!J66/'SW Rev'!J66,""),"")</f>
        <v/>
      </c>
      <c r="G577" s="37">
        <f>IFERROR(IF(AND(ISNUMBER('SW OpInc'!K66),ISNUMBER('SW Rev'!K66),'SW Rev'!K66&gt;0),'SW OpInc'!K66/'SW Rev'!K66,""),"")</f>
        <v/>
      </c>
      <c r="H577" s="37">
        <f>IFERROR(IF(AND(ISNUMBER('SW OpInc'!L66),ISNUMBER('SW Rev'!L66),'SW Rev'!L66&gt;0),'SW OpInc'!L66/'SW Rev'!L66,""),"")</f>
        <v/>
      </c>
      <c r="I577" s="37">
        <f>IFERROR(IF(AND(ISNUMBER('SW OpInc'!M66),ISNUMBER('SW Rev'!M66),'SW Rev'!M66&gt;0),'SW OpInc'!M66/'SW Rev'!M66,""),"")</f>
        <v/>
      </c>
      <c r="J577" s="37">
        <f>IFERROR(IF(AND(ISNUMBER('SW OpInc'!N66),ISNUMBER('SW Rev'!N66),'SW Rev'!N66&gt;0),'SW OpInc'!N66/'SW Rev'!N66,""),"")</f>
        <v/>
      </c>
      <c r="K577" s="37">
        <f>IFERROR(IF(AND(ISNUMBER('SW OpInc'!O66),ISNUMBER('SW Rev'!O66),'SW Rev'!O66&gt;0),'SW OpInc'!O66/'SW Rev'!O66,""),"")</f>
        <v/>
      </c>
      <c r="L577" s="37">
        <f>IFERROR(IF(AND(ISNUMBER('SW OpInc'!P66),ISNUMBER('SW Rev'!P66),'SW Rev'!P66&gt;0),'SW OpInc'!P66/'SW Rev'!P66,""),"")</f>
        <v/>
      </c>
      <c r="M577" s="38">
        <f>IFERROR(IF(AND(ISNUMBER('SW OpInc'!Q66),ISNUMBER('SW Rev'!Q66),'SW Rev'!Q66&gt;0),'SW OpInc'!Q66/'SW Rev'!Q66,""),"")</f>
        <v/>
      </c>
      <c r="N577" s="38">
        <f>IFERROR(IF(AND(ISNUMBER('SW OpInc'!R66),ISNUMBER('SW Rev'!R66),'SW Rev'!R66&gt;0),'SW OpInc'!R66/'SW Rev'!R66,""),"")</f>
        <v/>
      </c>
    </row>
    <row r="578">
      <c r="A578" s="19">
        <f>'SW Rev'!$A67</f>
        <v/>
      </c>
      <c r="B578" s="19">
        <f>'SW Rev'!$B67</f>
        <v/>
      </c>
      <c r="C578" s="37">
        <f>IFERROR(IF(AND(ISNUMBER('SW OpInc'!G67),ISNUMBER('SW Rev'!G67),'SW Rev'!G67&gt;0),'SW OpInc'!G67/'SW Rev'!G67,""),"")</f>
        <v/>
      </c>
      <c r="D578" s="37">
        <f>IFERROR(IF(AND(ISNUMBER('SW OpInc'!H67),ISNUMBER('SW Rev'!H67),'SW Rev'!H67&gt;0),'SW OpInc'!H67/'SW Rev'!H67,""),"")</f>
        <v/>
      </c>
      <c r="E578" s="37">
        <f>IFERROR(IF(AND(ISNUMBER('SW OpInc'!I67),ISNUMBER('SW Rev'!I67),'SW Rev'!I67&gt;0),'SW OpInc'!I67/'SW Rev'!I67,""),"")</f>
        <v/>
      </c>
      <c r="F578" s="37">
        <f>IFERROR(IF(AND(ISNUMBER('SW OpInc'!J67),ISNUMBER('SW Rev'!J67),'SW Rev'!J67&gt;0),'SW OpInc'!J67/'SW Rev'!J67,""),"")</f>
        <v/>
      </c>
      <c r="G578" s="37">
        <f>IFERROR(IF(AND(ISNUMBER('SW OpInc'!K67),ISNUMBER('SW Rev'!K67),'SW Rev'!K67&gt;0),'SW OpInc'!K67/'SW Rev'!K67,""),"")</f>
        <v/>
      </c>
      <c r="H578" s="37">
        <f>IFERROR(IF(AND(ISNUMBER('SW OpInc'!L67),ISNUMBER('SW Rev'!L67),'SW Rev'!L67&gt;0),'SW OpInc'!L67/'SW Rev'!L67,""),"")</f>
        <v/>
      </c>
      <c r="I578" s="37">
        <f>IFERROR(IF(AND(ISNUMBER('SW OpInc'!M67),ISNUMBER('SW Rev'!M67),'SW Rev'!M67&gt;0),'SW OpInc'!M67/'SW Rev'!M67,""),"")</f>
        <v/>
      </c>
      <c r="J578" s="37">
        <f>IFERROR(IF(AND(ISNUMBER('SW OpInc'!N67),ISNUMBER('SW Rev'!N67),'SW Rev'!N67&gt;0),'SW OpInc'!N67/'SW Rev'!N67,""),"")</f>
        <v/>
      </c>
      <c r="K578" s="37">
        <f>IFERROR(IF(AND(ISNUMBER('SW OpInc'!O67),ISNUMBER('SW Rev'!O67),'SW Rev'!O67&gt;0),'SW OpInc'!O67/'SW Rev'!O67,""),"")</f>
        <v/>
      </c>
      <c r="L578" s="37">
        <f>IFERROR(IF(AND(ISNUMBER('SW OpInc'!P67),ISNUMBER('SW Rev'!P67),'SW Rev'!P67&gt;0),'SW OpInc'!P67/'SW Rev'!P67,""),"")</f>
        <v/>
      </c>
      <c r="M578" s="38">
        <f>IFERROR(IF(AND(ISNUMBER('SW OpInc'!Q67),ISNUMBER('SW Rev'!Q67),'SW Rev'!Q67&gt;0),'SW OpInc'!Q67/'SW Rev'!Q67,""),"")</f>
        <v/>
      </c>
      <c r="N578" s="38">
        <f>IFERROR(IF(AND(ISNUMBER('SW OpInc'!R67),ISNUMBER('SW Rev'!R67),'SW Rev'!R67&gt;0),'SW OpInc'!R67/'SW Rev'!R67,""),"")</f>
        <v/>
      </c>
    </row>
    <row r="579">
      <c r="A579" s="19">
        <f>'SW Rev'!$A68</f>
        <v/>
      </c>
      <c r="B579" s="19">
        <f>'SW Rev'!$B68</f>
        <v/>
      </c>
      <c r="C579" s="37">
        <f>IFERROR(IF(AND(ISNUMBER('SW OpInc'!G68),ISNUMBER('SW Rev'!G68),'SW Rev'!G68&gt;0),'SW OpInc'!G68/'SW Rev'!G68,""),"")</f>
        <v/>
      </c>
      <c r="D579" s="37">
        <f>IFERROR(IF(AND(ISNUMBER('SW OpInc'!H68),ISNUMBER('SW Rev'!H68),'SW Rev'!H68&gt;0),'SW OpInc'!H68/'SW Rev'!H68,""),"")</f>
        <v/>
      </c>
      <c r="E579" s="37">
        <f>IFERROR(IF(AND(ISNUMBER('SW OpInc'!I68),ISNUMBER('SW Rev'!I68),'SW Rev'!I68&gt;0),'SW OpInc'!I68/'SW Rev'!I68,""),"")</f>
        <v/>
      </c>
      <c r="F579" s="37">
        <f>IFERROR(IF(AND(ISNUMBER('SW OpInc'!J68),ISNUMBER('SW Rev'!J68),'SW Rev'!J68&gt;0),'SW OpInc'!J68/'SW Rev'!J68,""),"")</f>
        <v/>
      </c>
      <c r="G579" s="37">
        <f>IFERROR(IF(AND(ISNUMBER('SW OpInc'!K68),ISNUMBER('SW Rev'!K68),'SW Rev'!K68&gt;0),'SW OpInc'!K68/'SW Rev'!K68,""),"")</f>
        <v/>
      </c>
      <c r="H579" s="37">
        <f>IFERROR(IF(AND(ISNUMBER('SW OpInc'!L68),ISNUMBER('SW Rev'!L68),'SW Rev'!L68&gt;0),'SW OpInc'!L68/'SW Rev'!L68,""),"")</f>
        <v/>
      </c>
      <c r="I579" s="37">
        <f>IFERROR(IF(AND(ISNUMBER('SW OpInc'!M68),ISNUMBER('SW Rev'!M68),'SW Rev'!M68&gt;0),'SW OpInc'!M68/'SW Rev'!M68,""),"")</f>
        <v/>
      </c>
      <c r="J579" s="37">
        <f>IFERROR(IF(AND(ISNUMBER('SW OpInc'!N68),ISNUMBER('SW Rev'!N68),'SW Rev'!N68&gt;0),'SW OpInc'!N68/'SW Rev'!N68,""),"")</f>
        <v/>
      </c>
      <c r="K579" s="37">
        <f>IFERROR(IF(AND(ISNUMBER('SW OpInc'!O68),ISNUMBER('SW Rev'!O68),'SW Rev'!O68&gt;0),'SW OpInc'!O68/'SW Rev'!O68,""),"")</f>
        <v/>
      </c>
      <c r="L579" s="37">
        <f>IFERROR(IF(AND(ISNUMBER('SW OpInc'!P68),ISNUMBER('SW Rev'!P68),'SW Rev'!P68&gt;0),'SW OpInc'!P68/'SW Rev'!P68,""),"")</f>
        <v/>
      </c>
      <c r="M579" s="38">
        <f>IFERROR(IF(AND(ISNUMBER('SW OpInc'!Q68),ISNUMBER('SW Rev'!Q68),'SW Rev'!Q68&gt;0),'SW OpInc'!Q68/'SW Rev'!Q68,""),"")</f>
        <v/>
      </c>
      <c r="N579" s="38">
        <f>IFERROR(IF(AND(ISNUMBER('SW OpInc'!R68),ISNUMBER('SW Rev'!R68),'SW Rev'!R68&gt;0),'SW OpInc'!R68/'SW Rev'!R68,""),"")</f>
        <v/>
      </c>
    </row>
    <row r="580">
      <c r="A580" s="19">
        <f>'SW Rev'!$A69</f>
        <v/>
      </c>
      <c r="B580" s="19">
        <f>'SW Rev'!$B69</f>
        <v/>
      </c>
      <c r="C580" s="37">
        <f>IFERROR(IF(AND(ISNUMBER('SW OpInc'!G69),ISNUMBER('SW Rev'!G69),'SW Rev'!G69&gt;0),'SW OpInc'!G69/'SW Rev'!G69,""),"")</f>
        <v/>
      </c>
      <c r="D580" s="37">
        <f>IFERROR(IF(AND(ISNUMBER('SW OpInc'!H69),ISNUMBER('SW Rev'!H69),'SW Rev'!H69&gt;0),'SW OpInc'!H69/'SW Rev'!H69,""),"")</f>
        <v/>
      </c>
      <c r="E580" s="37">
        <f>IFERROR(IF(AND(ISNUMBER('SW OpInc'!I69),ISNUMBER('SW Rev'!I69),'SW Rev'!I69&gt;0),'SW OpInc'!I69/'SW Rev'!I69,""),"")</f>
        <v/>
      </c>
      <c r="F580" s="37">
        <f>IFERROR(IF(AND(ISNUMBER('SW OpInc'!J69),ISNUMBER('SW Rev'!J69),'SW Rev'!J69&gt;0),'SW OpInc'!J69/'SW Rev'!J69,""),"")</f>
        <v/>
      </c>
      <c r="G580" s="37">
        <f>IFERROR(IF(AND(ISNUMBER('SW OpInc'!K69),ISNUMBER('SW Rev'!K69),'SW Rev'!K69&gt;0),'SW OpInc'!K69/'SW Rev'!K69,""),"")</f>
        <v/>
      </c>
      <c r="H580" s="37">
        <f>IFERROR(IF(AND(ISNUMBER('SW OpInc'!L69),ISNUMBER('SW Rev'!L69),'SW Rev'!L69&gt;0),'SW OpInc'!L69/'SW Rev'!L69,""),"")</f>
        <v/>
      </c>
      <c r="I580" s="37">
        <f>IFERROR(IF(AND(ISNUMBER('SW OpInc'!M69),ISNUMBER('SW Rev'!M69),'SW Rev'!M69&gt;0),'SW OpInc'!M69/'SW Rev'!M69,""),"")</f>
        <v/>
      </c>
      <c r="J580" s="37">
        <f>IFERROR(IF(AND(ISNUMBER('SW OpInc'!N69),ISNUMBER('SW Rev'!N69),'SW Rev'!N69&gt;0),'SW OpInc'!N69/'SW Rev'!N69,""),"")</f>
        <v/>
      </c>
      <c r="K580" s="37">
        <f>IFERROR(IF(AND(ISNUMBER('SW OpInc'!O69),ISNUMBER('SW Rev'!O69),'SW Rev'!O69&gt;0),'SW OpInc'!O69/'SW Rev'!O69,""),"")</f>
        <v/>
      </c>
      <c r="L580" s="37">
        <f>IFERROR(IF(AND(ISNUMBER('SW OpInc'!P69),ISNUMBER('SW Rev'!P69),'SW Rev'!P69&gt;0),'SW OpInc'!P69/'SW Rev'!P69,""),"")</f>
        <v/>
      </c>
      <c r="M580" s="38">
        <f>IFERROR(IF(AND(ISNUMBER('SW OpInc'!Q69),ISNUMBER('SW Rev'!Q69),'SW Rev'!Q69&gt;0),'SW OpInc'!Q69/'SW Rev'!Q69,""),"")</f>
        <v/>
      </c>
      <c r="N580" s="38">
        <f>IFERROR(IF(AND(ISNUMBER('SW OpInc'!R69),ISNUMBER('SW Rev'!R69),'SW Rev'!R69&gt;0),'SW OpInc'!R69/'SW Rev'!R69,""),"")</f>
        <v/>
      </c>
    </row>
    <row r="581">
      <c r="A581" s="19">
        <f>'SW Rev'!$A70</f>
        <v/>
      </c>
      <c r="B581" s="19">
        <f>'SW Rev'!$B70</f>
        <v/>
      </c>
      <c r="C581" s="37">
        <f>IFERROR(IF(AND(ISNUMBER('SW OpInc'!G70),ISNUMBER('SW Rev'!G70),'SW Rev'!G70&gt;0),'SW OpInc'!G70/'SW Rev'!G70,""),"")</f>
        <v/>
      </c>
      <c r="D581" s="37">
        <f>IFERROR(IF(AND(ISNUMBER('SW OpInc'!H70),ISNUMBER('SW Rev'!H70),'SW Rev'!H70&gt;0),'SW OpInc'!H70/'SW Rev'!H70,""),"")</f>
        <v/>
      </c>
      <c r="E581" s="37">
        <f>IFERROR(IF(AND(ISNUMBER('SW OpInc'!I70),ISNUMBER('SW Rev'!I70),'SW Rev'!I70&gt;0),'SW OpInc'!I70/'SW Rev'!I70,""),"")</f>
        <v/>
      </c>
      <c r="F581" s="37">
        <f>IFERROR(IF(AND(ISNUMBER('SW OpInc'!J70),ISNUMBER('SW Rev'!J70),'SW Rev'!J70&gt;0),'SW OpInc'!J70/'SW Rev'!J70,""),"")</f>
        <v/>
      </c>
      <c r="G581" s="37">
        <f>IFERROR(IF(AND(ISNUMBER('SW OpInc'!K70),ISNUMBER('SW Rev'!K70),'SW Rev'!K70&gt;0),'SW OpInc'!K70/'SW Rev'!K70,""),"")</f>
        <v/>
      </c>
      <c r="H581" s="37">
        <f>IFERROR(IF(AND(ISNUMBER('SW OpInc'!L70),ISNUMBER('SW Rev'!L70),'SW Rev'!L70&gt;0),'SW OpInc'!L70/'SW Rev'!L70,""),"")</f>
        <v/>
      </c>
      <c r="I581" s="37">
        <f>IFERROR(IF(AND(ISNUMBER('SW OpInc'!M70),ISNUMBER('SW Rev'!M70),'SW Rev'!M70&gt;0),'SW OpInc'!M70/'SW Rev'!M70,""),"")</f>
        <v/>
      </c>
      <c r="J581" s="37">
        <f>IFERROR(IF(AND(ISNUMBER('SW OpInc'!N70),ISNUMBER('SW Rev'!N70),'SW Rev'!N70&gt;0),'SW OpInc'!N70/'SW Rev'!N70,""),"")</f>
        <v/>
      </c>
      <c r="K581" s="37">
        <f>IFERROR(IF(AND(ISNUMBER('SW OpInc'!O70),ISNUMBER('SW Rev'!O70),'SW Rev'!O70&gt;0),'SW OpInc'!O70/'SW Rev'!O70,""),"")</f>
        <v/>
      </c>
      <c r="L581" s="37">
        <f>IFERROR(IF(AND(ISNUMBER('SW OpInc'!P70),ISNUMBER('SW Rev'!P70),'SW Rev'!P70&gt;0),'SW OpInc'!P70/'SW Rev'!P70,""),"")</f>
        <v/>
      </c>
      <c r="M581" s="38">
        <f>IFERROR(IF(AND(ISNUMBER('SW OpInc'!Q70),ISNUMBER('SW Rev'!Q70),'SW Rev'!Q70&gt;0),'SW OpInc'!Q70/'SW Rev'!Q70,""),"")</f>
        <v/>
      </c>
      <c r="N581" s="38">
        <f>IFERROR(IF(AND(ISNUMBER('SW OpInc'!R70),ISNUMBER('SW Rev'!R70),'SW Rev'!R70&gt;0),'SW OpInc'!R70/'SW Rev'!R70,""),"")</f>
        <v/>
      </c>
    </row>
    <row r="582">
      <c r="A582" s="19">
        <f>'SW Rev'!$A71</f>
        <v/>
      </c>
      <c r="B582" s="19">
        <f>'SW Rev'!$B71</f>
        <v/>
      </c>
      <c r="C582" s="37">
        <f>IFERROR(IF(AND(ISNUMBER('SW OpInc'!G71),ISNUMBER('SW Rev'!G71),'SW Rev'!G71&gt;0),'SW OpInc'!G71/'SW Rev'!G71,""),"")</f>
        <v/>
      </c>
      <c r="D582" s="37">
        <f>IFERROR(IF(AND(ISNUMBER('SW OpInc'!H71),ISNUMBER('SW Rev'!H71),'SW Rev'!H71&gt;0),'SW OpInc'!H71/'SW Rev'!H71,""),"")</f>
        <v/>
      </c>
      <c r="E582" s="37">
        <f>IFERROR(IF(AND(ISNUMBER('SW OpInc'!I71),ISNUMBER('SW Rev'!I71),'SW Rev'!I71&gt;0),'SW OpInc'!I71/'SW Rev'!I71,""),"")</f>
        <v/>
      </c>
      <c r="F582" s="37">
        <f>IFERROR(IF(AND(ISNUMBER('SW OpInc'!J71),ISNUMBER('SW Rev'!J71),'SW Rev'!J71&gt;0),'SW OpInc'!J71/'SW Rev'!J71,""),"")</f>
        <v/>
      </c>
      <c r="G582" s="37">
        <f>IFERROR(IF(AND(ISNUMBER('SW OpInc'!K71),ISNUMBER('SW Rev'!K71),'SW Rev'!K71&gt;0),'SW OpInc'!K71/'SW Rev'!K71,""),"")</f>
        <v/>
      </c>
      <c r="H582" s="37">
        <f>IFERROR(IF(AND(ISNUMBER('SW OpInc'!L71),ISNUMBER('SW Rev'!L71),'SW Rev'!L71&gt;0),'SW OpInc'!L71/'SW Rev'!L71,""),"")</f>
        <v/>
      </c>
      <c r="I582" s="37">
        <f>IFERROR(IF(AND(ISNUMBER('SW OpInc'!M71),ISNUMBER('SW Rev'!M71),'SW Rev'!M71&gt;0),'SW OpInc'!M71/'SW Rev'!M71,""),"")</f>
        <v/>
      </c>
      <c r="J582" s="37">
        <f>IFERROR(IF(AND(ISNUMBER('SW OpInc'!N71),ISNUMBER('SW Rev'!N71),'SW Rev'!N71&gt;0),'SW OpInc'!N71/'SW Rev'!N71,""),"")</f>
        <v/>
      </c>
      <c r="K582" s="37">
        <f>IFERROR(IF(AND(ISNUMBER('SW OpInc'!O71),ISNUMBER('SW Rev'!O71),'SW Rev'!O71&gt;0),'SW OpInc'!O71/'SW Rev'!O71,""),"")</f>
        <v/>
      </c>
      <c r="L582" s="37">
        <f>IFERROR(IF(AND(ISNUMBER('SW OpInc'!P71),ISNUMBER('SW Rev'!P71),'SW Rev'!P71&gt;0),'SW OpInc'!P71/'SW Rev'!P71,""),"")</f>
        <v/>
      </c>
      <c r="M582" s="38">
        <f>IFERROR(IF(AND(ISNUMBER('SW OpInc'!Q71),ISNUMBER('SW Rev'!Q71),'SW Rev'!Q71&gt;0),'SW OpInc'!Q71/'SW Rev'!Q71,""),"")</f>
        <v/>
      </c>
      <c r="N582" s="38">
        <f>IFERROR(IF(AND(ISNUMBER('SW OpInc'!R71),ISNUMBER('SW Rev'!R71),'SW Rev'!R71&gt;0),'SW OpInc'!R71/'SW Rev'!R71,""),"")</f>
        <v/>
      </c>
    </row>
    <row r="583">
      <c r="A583" s="19">
        <f>'SW Rev'!$A72</f>
        <v/>
      </c>
      <c r="B583" s="19">
        <f>'SW Rev'!$B72</f>
        <v/>
      </c>
      <c r="C583" s="37">
        <f>IFERROR(IF(AND(ISNUMBER('SW OpInc'!G72),ISNUMBER('SW Rev'!G72),'SW Rev'!G72&gt;0),'SW OpInc'!G72/'SW Rev'!G72,""),"")</f>
        <v/>
      </c>
      <c r="D583" s="37">
        <f>IFERROR(IF(AND(ISNUMBER('SW OpInc'!H72),ISNUMBER('SW Rev'!H72),'SW Rev'!H72&gt;0),'SW OpInc'!H72/'SW Rev'!H72,""),"")</f>
        <v/>
      </c>
      <c r="E583" s="37">
        <f>IFERROR(IF(AND(ISNUMBER('SW OpInc'!I72),ISNUMBER('SW Rev'!I72),'SW Rev'!I72&gt;0),'SW OpInc'!I72/'SW Rev'!I72,""),"")</f>
        <v/>
      </c>
      <c r="F583" s="37">
        <f>IFERROR(IF(AND(ISNUMBER('SW OpInc'!J72),ISNUMBER('SW Rev'!J72),'SW Rev'!J72&gt;0),'SW OpInc'!J72/'SW Rev'!J72,""),"")</f>
        <v/>
      </c>
      <c r="G583" s="37">
        <f>IFERROR(IF(AND(ISNUMBER('SW OpInc'!K72),ISNUMBER('SW Rev'!K72),'SW Rev'!K72&gt;0),'SW OpInc'!K72/'SW Rev'!K72,""),"")</f>
        <v/>
      </c>
      <c r="H583" s="37">
        <f>IFERROR(IF(AND(ISNUMBER('SW OpInc'!L72),ISNUMBER('SW Rev'!L72),'SW Rev'!L72&gt;0),'SW OpInc'!L72/'SW Rev'!L72,""),"")</f>
        <v/>
      </c>
      <c r="I583" s="37">
        <f>IFERROR(IF(AND(ISNUMBER('SW OpInc'!M72),ISNUMBER('SW Rev'!M72),'SW Rev'!M72&gt;0),'SW OpInc'!M72/'SW Rev'!M72,""),"")</f>
        <v/>
      </c>
      <c r="J583" s="37">
        <f>IFERROR(IF(AND(ISNUMBER('SW OpInc'!N72),ISNUMBER('SW Rev'!N72),'SW Rev'!N72&gt;0),'SW OpInc'!N72/'SW Rev'!N72,""),"")</f>
        <v/>
      </c>
      <c r="K583" s="37">
        <f>IFERROR(IF(AND(ISNUMBER('SW OpInc'!O72),ISNUMBER('SW Rev'!O72),'SW Rev'!O72&gt;0),'SW OpInc'!O72/'SW Rev'!O72,""),"")</f>
        <v/>
      </c>
      <c r="L583" s="37">
        <f>IFERROR(IF(AND(ISNUMBER('SW OpInc'!P72),ISNUMBER('SW Rev'!P72),'SW Rev'!P72&gt;0),'SW OpInc'!P72/'SW Rev'!P72,""),"")</f>
        <v/>
      </c>
      <c r="M583" s="38">
        <f>IFERROR(IF(AND(ISNUMBER('SW OpInc'!Q72),ISNUMBER('SW Rev'!Q72),'SW Rev'!Q72&gt;0),'SW OpInc'!Q72/'SW Rev'!Q72,""),"")</f>
        <v/>
      </c>
      <c r="N583" s="38">
        <f>IFERROR(IF(AND(ISNUMBER('SW OpInc'!R72),ISNUMBER('SW Rev'!R72),'SW Rev'!R72&gt;0),'SW OpInc'!R72/'SW Rev'!R72,""),"")</f>
        <v/>
      </c>
    </row>
    <row r="584">
      <c r="A584" s="19">
        <f>'SW Rev'!$A73</f>
        <v/>
      </c>
      <c r="B584" s="19">
        <f>'SW Rev'!$B73</f>
        <v/>
      </c>
      <c r="C584" s="37">
        <f>IFERROR(IF(AND(ISNUMBER('SW OpInc'!G73),ISNUMBER('SW Rev'!G73),'SW Rev'!G73&gt;0),'SW OpInc'!G73/'SW Rev'!G73,""),"")</f>
        <v/>
      </c>
      <c r="D584" s="37">
        <f>IFERROR(IF(AND(ISNUMBER('SW OpInc'!H73),ISNUMBER('SW Rev'!H73),'SW Rev'!H73&gt;0),'SW OpInc'!H73/'SW Rev'!H73,""),"")</f>
        <v/>
      </c>
      <c r="E584" s="37">
        <f>IFERROR(IF(AND(ISNUMBER('SW OpInc'!I73),ISNUMBER('SW Rev'!I73),'SW Rev'!I73&gt;0),'SW OpInc'!I73/'SW Rev'!I73,""),"")</f>
        <v/>
      </c>
      <c r="F584" s="37">
        <f>IFERROR(IF(AND(ISNUMBER('SW OpInc'!J73),ISNUMBER('SW Rev'!J73),'SW Rev'!J73&gt;0),'SW OpInc'!J73/'SW Rev'!J73,""),"")</f>
        <v/>
      </c>
      <c r="G584" s="37">
        <f>IFERROR(IF(AND(ISNUMBER('SW OpInc'!K73),ISNUMBER('SW Rev'!K73),'SW Rev'!K73&gt;0),'SW OpInc'!K73/'SW Rev'!K73,""),"")</f>
        <v/>
      </c>
      <c r="H584" s="37">
        <f>IFERROR(IF(AND(ISNUMBER('SW OpInc'!L73),ISNUMBER('SW Rev'!L73),'SW Rev'!L73&gt;0),'SW OpInc'!L73/'SW Rev'!L73,""),"")</f>
        <v/>
      </c>
      <c r="I584" s="37">
        <f>IFERROR(IF(AND(ISNUMBER('SW OpInc'!M73),ISNUMBER('SW Rev'!M73),'SW Rev'!M73&gt;0),'SW OpInc'!M73/'SW Rev'!M73,""),"")</f>
        <v/>
      </c>
      <c r="J584" s="37">
        <f>IFERROR(IF(AND(ISNUMBER('SW OpInc'!N73),ISNUMBER('SW Rev'!N73),'SW Rev'!N73&gt;0),'SW OpInc'!N73/'SW Rev'!N73,""),"")</f>
        <v/>
      </c>
      <c r="K584" s="37">
        <f>IFERROR(IF(AND(ISNUMBER('SW OpInc'!O73),ISNUMBER('SW Rev'!O73),'SW Rev'!O73&gt;0),'SW OpInc'!O73/'SW Rev'!O73,""),"")</f>
        <v/>
      </c>
      <c r="L584" s="37">
        <f>IFERROR(IF(AND(ISNUMBER('SW OpInc'!P73),ISNUMBER('SW Rev'!P73),'SW Rev'!P73&gt;0),'SW OpInc'!P73/'SW Rev'!P73,""),"")</f>
        <v/>
      </c>
      <c r="M584" s="38">
        <f>IFERROR(IF(AND(ISNUMBER('SW OpInc'!Q73),ISNUMBER('SW Rev'!Q73),'SW Rev'!Q73&gt;0),'SW OpInc'!Q73/'SW Rev'!Q73,""),"")</f>
        <v/>
      </c>
      <c r="N584" s="38">
        <f>IFERROR(IF(AND(ISNUMBER('SW OpInc'!R73),ISNUMBER('SW Rev'!R73),'SW Rev'!R73&gt;0),'SW OpInc'!R73/'SW Rev'!R73,""),"")</f>
        <v/>
      </c>
    </row>
    <row r="585">
      <c r="A585" s="19">
        <f>'SW Rev'!$A74</f>
        <v/>
      </c>
      <c r="B585" s="19">
        <f>'SW Rev'!$B74</f>
        <v/>
      </c>
      <c r="C585" s="37">
        <f>IFERROR(IF(AND(ISNUMBER('SW OpInc'!G74),ISNUMBER('SW Rev'!G74),'SW Rev'!G74&gt;0),'SW OpInc'!G74/'SW Rev'!G74,""),"")</f>
        <v/>
      </c>
      <c r="D585" s="37">
        <f>IFERROR(IF(AND(ISNUMBER('SW OpInc'!H74),ISNUMBER('SW Rev'!H74),'SW Rev'!H74&gt;0),'SW OpInc'!H74/'SW Rev'!H74,""),"")</f>
        <v/>
      </c>
      <c r="E585" s="37">
        <f>IFERROR(IF(AND(ISNUMBER('SW OpInc'!I74),ISNUMBER('SW Rev'!I74),'SW Rev'!I74&gt;0),'SW OpInc'!I74/'SW Rev'!I74,""),"")</f>
        <v/>
      </c>
      <c r="F585" s="37">
        <f>IFERROR(IF(AND(ISNUMBER('SW OpInc'!J74),ISNUMBER('SW Rev'!J74),'SW Rev'!J74&gt;0),'SW OpInc'!J74/'SW Rev'!J74,""),"")</f>
        <v/>
      </c>
      <c r="G585" s="37">
        <f>IFERROR(IF(AND(ISNUMBER('SW OpInc'!K74),ISNUMBER('SW Rev'!K74),'SW Rev'!K74&gt;0),'SW OpInc'!K74/'SW Rev'!K74,""),"")</f>
        <v/>
      </c>
      <c r="H585" s="37">
        <f>IFERROR(IF(AND(ISNUMBER('SW OpInc'!L74),ISNUMBER('SW Rev'!L74),'SW Rev'!L74&gt;0),'SW OpInc'!L74/'SW Rev'!L74,""),"")</f>
        <v/>
      </c>
      <c r="I585" s="37">
        <f>IFERROR(IF(AND(ISNUMBER('SW OpInc'!M74),ISNUMBER('SW Rev'!M74),'SW Rev'!M74&gt;0),'SW OpInc'!M74/'SW Rev'!M74,""),"")</f>
        <v/>
      </c>
      <c r="J585" s="37">
        <f>IFERROR(IF(AND(ISNUMBER('SW OpInc'!N74),ISNUMBER('SW Rev'!N74),'SW Rev'!N74&gt;0),'SW OpInc'!N74/'SW Rev'!N74,""),"")</f>
        <v/>
      </c>
      <c r="K585" s="37">
        <f>IFERROR(IF(AND(ISNUMBER('SW OpInc'!O74),ISNUMBER('SW Rev'!O74),'SW Rev'!O74&gt;0),'SW OpInc'!O74/'SW Rev'!O74,""),"")</f>
        <v/>
      </c>
      <c r="L585" s="37">
        <f>IFERROR(IF(AND(ISNUMBER('SW OpInc'!P74),ISNUMBER('SW Rev'!P74),'SW Rev'!P74&gt;0),'SW OpInc'!P74/'SW Rev'!P74,""),"")</f>
        <v/>
      </c>
      <c r="M585" s="38">
        <f>IFERROR(IF(AND(ISNUMBER('SW OpInc'!Q74),ISNUMBER('SW Rev'!Q74),'SW Rev'!Q74&gt;0),'SW OpInc'!Q74/'SW Rev'!Q74,""),"")</f>
        <v/>
      </c>
      <c r="N585" s="38">
        <f>IFERROR(IF(AND(ISNUMBER('SW OpInc'!R74),ISNUMBER('SW Rev'!R74),'SW Rev'!R74&gt;0),'SW OpInc'!R74/'SW Rev'!R74,""),"")</f>
        <v/>
      </c>
    </row>
    <row r="586">
      <c r="A586" s="19">
        <f>'SW Rev'!$A75</f>
        <v/>
      </c>
      <c r="B586" s="19">
        <f>'SW Rev'!$B75</f>
        <v/>
      </c>
      <c r="C586" s="37">
        <f>IFERROR(IF(AND(ISNUMBER('SW OpInc'!G75),ISNUMBER('SW Rev'!G75),'SW Rev'!G75&gt;0),'SW OpInc'!G75/'SW Rev'!G75,""),"")</f>
        <v/>
      </c>
      <c r="D586" s="37">
        <f>IFERROR(IF(AND(ISNUMBER('SW OpInc'!H75),ISNUMBER('SW Rev'!H75),'SW Rev'!H75&gt;0),'SW OpInc'!H75/'SW Rev'!H75,""),"")</f>
        <v/>
      </c>
      <c r="E586" s="37">
        <f>IFERROR(IF(AND(ISNUMBER('SW OpInc'!I75),ISNUMBER('SW Rev'!I75),'SW Rev'!I75&gt;0),'SW OpInc'!I75/'SW Rev'!I75,""),"")</f>
        <v/>
      </c>
      <c r="F586" s="37">
        <f>IFERROR(IF(AND(ISNUMBER('SW OpInc'!J75),ISNUMBER('SW Rev'!J75),'SW Rev'!J75&gt;0),'SW OpInc'!J75/'SW Rev'!J75,""),"")</f>
        <v/>
      </c>
      <c r="G586" s="37">
        <f>IFERROR(IF(AND(ISNUMBER('SW OpInc'!K75),ISNUMBER('SW Rev'!K75),'SW Rev'!K75&gt;0),'SW OpInc'!K75/'SW Rev'!K75,""),"")</f>
        <v/>
      </c>
      <c r="H586" s="37">
        <f>IFERROR(IF(AND(ISNUMBER('SW OpInc'!L75),ISNUMBER('SW Rev'!L75),'SW Rev'!L75&gt;0),'SW OpInc'!L75/'SW Rev'!L75,""),"")</f>
        <v/>
      </c>
      <c r="I586" s="37">
        <f>IFERROR(IF(AND(ISNUMBER('SW OpInc'!M75),ISNUMBER('SW Rev'!M75),'SW Rev'!M75&gt;0),'SW OpInc'!M75/'SW Rev'!M75,""),"")</f>
        <v/>
      </c>
      <c r="J586" s="37">
        <f>IFERROR(IF(AND(ISNUMBER('SW OpInc'!N75),ISNUMBER('SW Rev'!N75),'SW Rev'!N75&gt;0),'SW OpInc'!N75/'SW Rev'!N75,""),"")</f>
        <v/>
      </c>
      <c r="K586" s="37">
        <f>IFERROR(IF(AND(ISNUMBER('SW OpInc'!O75),ISNUMBER('SW Rev'!O75),'SW Rev'!O75&gt;0),'SW OpInc'!O75/'SW Rev'!O75,""),"")</f>
        <v/>
      </c>
      <c r="L586" s="37">
        <f>IFERROR(IF(AND(ISNUMBER('SW OpInc'!P75),ISNUMBER('SW Rev'!P75),'SW Rev'!P75&gt;0),'SW OpInc'!P75/'SW Rev'!P75,""),"")</f>
        <v/>
      </c>
      <c r="M586" s="38">
        <f>IFERROR(IF(AND(ISNUMBER('SW OpInc'!Q75),ISNUMBER('SW Rev'!Q75),'SW Rev'!Q75&gt;0),'SW OpInc'!Q75/'SW Rev'!Q75,""),"")</f>
        <v/>
      </c>
      <c r="N586" s="38">
        <f>IFERROR(IF(AND(ISNUMBER('SW OpInc'!R75),ISNUMBER('SW Rev'!R75),'SW Rev'!R75&gt;0),'SW OpInc'!R75/'SW Rev'!R75,""),"")</f>
        <v/>
      </c>
    </row>
    <row r="587">
      <c r="A587" s="19">
        <f>'SW Rev'!$A76</f>
        <v/>
      </c>
      <c r="B587" s="19">
        <f>'SW Rev'!$B76</f>
        <v/>
      </c>
      <c r="C587" s="37">
        <f>IFERROR(IF(AND(ISNUMBER('SW OpInc'!G76),ISNUMBER('SW Rev'!G76),'SW Rev'!G76&gt;0),'SW OpInc'!G76/'SW Rev'!G76,""),"")</f>
        <v/>
      </c>
      <c r="D587" s="37">
        <f>IFERROR(IF(AND(ISNUMBER('SW OpInc'!H76),ISNUMBER('SW Rev'!H76),'SW Rev'!H76&gt;0),'SW OpInc'!H76/'SW Rev'!H76,""),"")</f>
        <v/>
      </c>
      <c r="E587" s="37">
        <f>IFERROR(IF(AND(ISNUMBER('SW OpInc'!I76),ISNUMBER('SW Rev'!I76),'SW Rev'!I76&gt;0),'SW OpInc'!I76/'SW Rev'!I76,""),"")</f>
        <v/>
      </c>
      <c r="F587" s="37">
        <f>IFERROR(IF(AND(ISNUMBER('SW OpInc'!J76),ISNUMBER('SW Rev'!J76),'SW Rev'!J76&gt;0),'SW OpInc'!J76/'SW Rev'!J76,""),"")</f>
        <v/>
      </c>
      <c r="G587" s="37">
        <f>IFERROR(IF(AND(ISNUMBER('SW OpInc'!K76),ISNUMBER('SW Rev'!K76),'SW Rev'!K76&gt;0),'SW OpInc'!K76/'SW Rev'!K76,""),"")</f>
        <v/>
      </c>
      <c r="H587" s="37">
        <f>IFERROR(IF(AND(ISNUMBER('SW OpInc'!L76),ISNUMBER('SW Rev'!L76),'SW Rev'!L76&gt;0),'SW OpInc'!L76/'SW Rev'!L76,""),"")</f>
        <v/>
      </c>
      <c r="I587" s="37">
        <f>IFERROR(IF(AND(ISNUMBER('SW OpInc'!M76),ISNUMBER('SW Rev'!M76),'SW Rev'!M76&gt;0),'SW OpInc'!M76/'SW Rev'!M76,""),"")</f>
        <v/>
      </c>
      <c r="J587" s="37">
        <f>IFERROR(IF(AND(ISNUMBER('SW OpInc'!N76),ISNUMBER('SW Rev'!N76),'SW Rev'!N76&gt;0),'SW OpInc'!N76/'SW Rev'!N76,""),"")</f>
        <v/>
      </c>
      <c r="K587" s="37">
        <f>IFERROR(IF(AND(ISNUMBER('SW OpInc'!O76),ISNUMBER('SW Rev'!O76),'SW Rev'!O76&gt;0),'SW OpInc'!O76/'SW Rev'!O76,""),"")</f>
        <v/>
      </c>
      <c r="L587" s="37">
        <f>IFERROR(IF(AND(ISNUMBER('SW OpInc'!P76),ISNUMBER('SW Rev'!P76),'SW Rev'!P76&gt;0),'SW OpInc'!P76/'SW Rev'!P76,""),"")</f>
        <v/>
      </c>
      <c r="M587" s="38">
        <f>IFERROR(IF(AND(ISNUMBER('SW OpInc'!Q76),ISNUMBER('SW Rev'!Q76),'SW Rev'!Q76&gt;0),'SW OpInc'!Q76/'SW Rev'!Q76,""),"")</f>
        <v/>
      </c>
      <c r="N587" s="38">
        <f>IFERROR(IF(AND(ISNUMBER('SW OpInc'!R76),ISNUMBER('SW Rev'!R76),'SW Rev'!R76&gt;0),'SW OpInc'!R76/'SW Rev'!R76,""),"")</f>
        <v/>
      </c>
    </row>
    <row r="588">
      <c r="A588" s="19">
        <f>'SW Rev'!$A77</f>
        <v/>
      </c>
      <c r="B588" s="19">
        <f>'SW Rev'!$B77</f>
        <v/>
      </c>
      <c r="C588" s="37">
        <f>IFERROR(IF(AND(ISNUMBER('SW OpInc'!G77),ISNUMBER('SW Rev'!G77),'SW Rev'!G77&gt;0),'SW OpInc'!G77/'SW Rev'!G77,""),"")</f>
        <v/>
      </c>
      <c r="D588" s="37">
        <f>IFERROR(IF(AND(ISNUMBER('SW OpInc'!H77),ISNUMBER('SW Rev'!H77),'SW Rev'!H77&gt;0),'SW OpInc'!H77/'SW Rev'!H77,""),"")</f>
        <v/>
      </c>
      <c r="E588" s="37">
        <f>IFERROR(IF(AND(ISNUMBER('SW OpInc'!I77),ISNUMBER('SW Rev'!I77),'SW Rev'!I77&gt;0),'SW OpInc'!I77/'SW Rev'!I77,""),"")</f>
        <v/>
      </c>
      <c r="F588" s="37">
        <f>IFERROR(IF(AND(ISNUMBER('SW OpInc'!J77),ISNUMBER('SW Rev'!J77),'SW Rev'!J77&gt;0),'SW OpInc'!J77/'SW Rev'!J77,""),"")</f>
        <v/>
      </c>
      <c r="G588" s="37">
        <f>IFERROR(IF(AND(ISNUMBER('SW OpInc'!K77),ISNUMBER('SW Rev'!K77),'SW Rev'!K77&gt;0),'SW OpInc'!K77/'SW Rev'!K77,""),"")</f>
        <v/>
      </c>
      <c r="H588" s="37">
        <f>IFERROR(IF(AND(ISNUMBER('SW OpInc'!L77),ISNUMBER('SW Rev'!L77),'SW Rev'!L77&gt;0),'SW OpInc'!L77/'SW Rev'!L77,""),"")</f>
        <v/>
      </c>
      <c r="I588" s="37">
        <f>IFERROR(IF(AND(ISNUMBER('SW OpInc'!M77),ISNUMBER('SW Rev'!M77),'SW Rev'!M77&gt;0),'SW OpInc'!M77/'SW Rev'!M77,""),"")</f>
        <v/>
      </c>
      <c r="J588" s="37">
        <f>IFERROR(IF(AND(ISNUMBER('SW OpInc'!N77),ISNUMBER('SW Rev'!N77),'SW Rev'!N77&gt;0),'SW OpInc'!N77/'SW Rev'!N77,""),"")</f>
        <v/>
      </c>
      <c r="K588" s="37">
        <f>IFERROR(IF(AND(ISNUMBER('SW OpInc'!O77),ISNUMBER('SW Rev'!O77),'SW Rev'!O77&gt;0),'SW OpInc'!O77/'SW Rev'!O77,""),"")</f>
        <v/>
      </c>
      <c r="L588" s="37">
        <f>IFERROR(IF(AND(ISNUMBER('SW OpInc'!P77),ISNUMBER('SW Rev'!P77),'SW Rev'!P77&gt;0),'SW OpInc'!P77/'SW Rev'!P77,""),"")</f>
        <v/>
      </c>
      <c r="M588" s="38">
        <f>IFERROR(IF(AND(ISNUMBER('SW OpInc'!Q77),ISNUMBER('SW Rev'!Q77),'SW Rev'!Q77&gt;0),'SW OpInc'!Q77/'SW Rev'!Q77,""),"")</f>
        <v/>
      </c>
      <c r="N588" s="38">
        <f>IFERROR(IF(AND(ISNUMBER('SW OpInc'!R77),ISNUMBER('SW Rev'!R77),'SW Rev'!R77&gt;0),'SW OpInc'!R77/'SW Rev'!R77,""),"")</f>
        <v/>
      </c>
    </row>
    <row r="589">
      <c r="A589" s="19">
        <f>'SW Rev'!$A78</f>
        <v/>
      </c>
      <c r="B589" s="19">
        <f>'SW Rev'!$B78</f>
        <v/>
      </c>
      <c r="C589" s="37">
        <f>IFERROR(IF(AND(ISNUMBER('SW OpInc'!G78),ISNUMBER('SW Rev'!G78),'SW Rev'!G78&gt;0),'SW OpInc'!G78/'SW Rev'!G78,""),"")</f>
        <v/>
      </c>
      <c r="D589" s="37">
        <f>IFERROR(IF(AND(ISNUMBER('SW OpInc'!H78),ISNUMBER('SW Rev'!H78),'SW Rev'!H78&gt;0),'SW OpInc'!H78/'SW Rev'!H78,""),"")</f>
        <v/>
      </c>
      <c r="E589" s="37">
        <f>IFERROR(IF(AND(ISNUMBER('SW OpInc'!I78),ISNUMBER('SW Rev'!I78),'SW Rev'!I78&gt;0),'SW OpInc'!I78/'SW Rev'!I78,""),"")</f>
        <v/>
      </c>
      <c r="F589" s="37">
        <f>IFERROR(IF(AND(ISNUMBER('SW OpInc'!J78),ISNUMBER('SW Rev'!J78),'SW Rev'!J78&gt;0),'SW OpInc'!J78/'SW Rev'!J78,""),"")</f>
        <v/>
      </c>
      <c r="G589" s="37">
        <f>IFERROR(IF(AND(ISNUMBER('SW OpInc'!K78),ISNUMBER('SW Rev'!K78),'SW Rev'!K78&gt;0),'SW OpInc'!K78/'SW Rev'!K78,""),"")</f>
        <v/>
      </c>
      <c r="H589" s="37">
        <f>IFERROR(IF(AND(ISNUMBER('SW OpInc'!L78),ISNUMBER('SW Rev'!L78),'SW Rev'!L78&gt;0),'SW OpInc'!L78/'SW Rev'!L78,""),"")</f>
        <v/>
      </c>
      <c r="I589" s="37">
        <f>IFERROR(IF(AND(ISNUMBER('SW OpInc'!M78),ISNUMBER('SW Rev'!M78),'SW Rev'!M78&gt;0),'SW OpInc'!M78/'SW Rev'!M78,""),"")</f>
        <v/>
      </c>
      <c r="J589" s="37">
        <f>IFERROR(IF(AND(ISNUMBER('SW OpInc'!N78),ISNUMBER('SW Rev'!N78),'SW Rev'!N78&gt;0),'SW OpInc'!N78/'SW Rev'!N78,""),"")</f>
        <v/>
      </c>
      <c r="K589" s="37">
        <f>IFERROR(IF(AND(ISNUMBER('SW OpInc'!O78),ISNUMBER('SW Rev'!O78),'SW Rev'!O78&gt;0),'SW OpInc'!O78/'SW Rev'!O78,""),"")</f>
        <v/>
      </c>
      <c r="L589" s="37">
        <f>IFERROR(IF(AND(ISNUMBER('SW OpInc'!P78),ISNUMBER('SW Rev'!P78),'SW Rev'!P78&gt;0),'SW OpInc'!P78/'SW Rev'!P78,""),"")</f>
        <v/>
      </c>
      <c r="M589" s="38">
        <f>IFERROR(IF(AND(ISNUMBER('SW OpInc'!Q78),ISNUMBER('SW Rev'!Q78),'SW Rev'!Q78&gt;0),'SW OpInc'!Q78/'SW Rev'!Q78,""),"")</f>
        <v/>
      </c>
      <c r="N589" s="38">
        <f>IFERROR(IF(AND(ISNUMBER('SW OpInc'!R78),ISNUMBER('SW Rev'!R78),'SW Rev'!R78&gt;0),'SW OpInc'!R78/'SW Rev'!R78,""),"")</f>
        <v/>
      </c>
    </row>
    <row r="590">
      <c r="A590" s="19">
        <f>'SW Rev'!$A79</f>
        <v/>
      </c>
      <c r="B590" s="19">
        <f>'SW Rev'!$B79</f>
        <v/>
      </c>
      <c r="C590" s="37">
        <f>IFERROR(IF(AND(ISNUMBER('SW OpInc'!G79),ISNUMBER('SW Rev'!G79),'SW Rev'!G79&gt;0),'SW OpInc'!G79/'SW Rev'!G79,""),"")</f>
        <v/>
      </c>
      <c r="D590" s="37">
        <f>IFERROR(IF(AND(ISNUMBER('SW OpInc'!H79),ISNUMBER('SW Rev'!H79),'SW Rev'!H79&gt;0),'SW OpInc'!H79/'SW Rev'!H79,""),"")</f>
        <v/>
      </c>
      <c r="E590" s="37">
        <f>IFERROR(IF(AND(ISNUMBER('SW OpInc'!I79),ISNUMBER('SW Rev'!I79),'SW Rev'!I79&gt;0),'SW OpInc'!I79/'SW Rev'!I79,""),"")</f>
        <v/>
      </c>
      <c r="F590" s="37">
        <f>IFERROR(IF(AND(ISNUMBER('SW OpInc'!J79),ISNUMBER('SW Rev'!J79),'SW Rev'!J79&gt;0),'SW OpInc'!J79/'SW Rev'!J79,""),"")</f>
        <v/>
      </c>
      <c r="G590" s="37">
        <f>IFERROR(IF(AND(ISNUMBER('SW OpInc'!K79),ISNUMBER('SW Rev'!K79),'SW Rev'!K79&gt;0),'SW OpInc'!K79/'SW Rev'!K79,""),"")</f>
        <v/>
      </c>
      <c r="H590" s="37">
        <f>IFERROR(IF(AND(ISNUMBER('SW OpInc'!L79),ISNUMBER('SW Rev'!L79),'SW Rev'!L79&gt;0),'SW OpInc'!L79/'SW Rev'!L79,""),"")</f>
        <v/>
      </c>
      <c r="I590" s="37">
        <f>IFERROR(IF(AND(ISNUMBER('SW OpInc'!M79),ISNUMBER('SW Rev'!M79),'SW Rev'!M79&gt;0),'SW OpInc'!M79/'SW Rev'!M79,""),"")</f>
        <v/>
      </c>
      <c r="J590" s="37">
        <f>IFERROR(IF(AND(ISNUMBER('SW OpInc'!N79),ISNUMBER('SW Rev'!N79),'SW Rev'!N79&gt;0),'SW OpInc'!N79/'SW Rev'!N79,""),"")</f>
        <v/>
      </c>
      <c r="K590" s="37">
        <f>IFERROR(IF(AND(ISNUMBER('SW OpInc'!O79),ISNUMBER('SW Rev'!O79),'SW Rev'!O79&gt;0),'SW OpInc'!O79/'SW Rev'!O79,""),"")</f>
        <v/>
      </c>
      <c r="L590" s="37">
        <f>IFERROR(IF(AND(ISNUMBER('SW OpInc'!P79),ISNUMBER('SW Rev'!P79),'SW Rev'!P79&gt;0),'SW OpInc'!P79/'SW Rev'!P79,""),"")</f>
        <v/>
      </c>
      <c r="M590" s="38">
        <f>IFERROR(IF(AND(ISNUMBER('SW OpInc'!Q79),ISNUMBER('SW Rev'!Q79),'SW Rev'!Q79&gt;0),'SW OpInc'!Q79/'SW Rev'!Q79,""),"")</f>
        <v/>
      </c>
      <c r="N590" s="38">
        <f>IFERROR(IF(AND(ISNUMBER('SW OpInc'!R79),ISNUMBER('SW Rev'!R79),'SW Rev'!R79&gt;0),'SW OpInc'!R79/'SW Rev'!R79,""),"")</f>
        <v/>
      </c>
    </row>
    <row r="591">
      <c r="A591" s="19">
        <f>'SW Rev'!$A80</f>
        <v/>
      </c>
      <c r="B591" s="19">
        <f>'SW Rev'!$B80</f>
        <v/>
      </c>
      <c r="C591" s="37">
        <f>IFERROR(IF(AND(ISNUMBER('SW OpInc'!G80),ISNUMBER('SW Rev'!G80),'SW Rev'!G80&gt;0),'SW OpInc'!G80/'SW Rev'!G80,""),"")</f>
        <v/>
      </c>
      <c r="D591" s="37">
        <f>IFERROR(IF(AND(ISNUMBER('SW OpInc'!H80),ISNUMBER('SW Rev'!H80),'SW Rev'!H80&gt;0),'SW OpInc'!H80/'SW Rev'!H80,""),"")</f>
        <v/>
      </c>
      <c r="E591" s="37">
        <f>IFERROR(IF(AND(ISNUMBER('SW OpInc'!I80),ISNUMBER('SW Rev'!I80),'SW Rev'!I80&gt;0),'SW OpInc'!I80/'SW Rev'!I80,""),"")</f>
        <v/>
      </c>
      <c r="F591" s="37">
        <f>IFERROR(IF(AND(ISNUMBER('SW OpInc'!J80),ISNUMBER('SW Rev'!J80),'SW Rev'!J80&gt;0),'SW OpInc'!J80/'SW Rev'!J80,""),"")</f>
        <v/>
      </c>
      <c r="G591" s="37">
        <f>IFERROR(IF(AND(ISNUMBER('SW OpInc'!K80),ISNUMBER('SW Rev'!K80),'SW Rev'!K80&gt;0),'SW OpInc'!K80/'SW Rev'!K80,""),"")</f>
        <v/>
      </c>
      <c r="H591" s="37">
        <f>IFERROR(IF(AND(ISNUMBER('SW OpInc'!L80),ISNUMBER('SW Rev'!L80),'SW Rev'!L80&gt;0),'SW OpInc'!L80/'SW Rev'!L80,""),"")</f>
        <v/>
      </c>
      <c r="I591" s="37">
        <f>IFERROR(IF(AND(ISNUMBER('SW OpInc'!M80),ISNUMBER('SW Rev'!M80),'SW Rev'!M80&gt;0),'SW OpInc'!M80/'SW Rev'!M80,""),"")</f>
        <v/>
      </c>
      <c r="J591" s="37">
        <f>IFERROR(IF(AND(ISNUMBER('SW OpInc'!N80),ISNUMBER('SW Rev'!N80),'SW Rev'!N80&gt;0),'SW OpInc'!N80/'SW Rev'!N80,""),"")</f>
        <v/>
      </c>
      <c r="K591" s="37">
        <f>IFERROR(IF(AND(ISNUMBER('SW OpInc'!O80),ISNUMBER('SW Rev'!O80),'SW Rev'!O80&gt;0),'SW OpInc'!O80/'SW Rev'!O80,""),"")</f>
        <v/>
      </c>
      <c r="L591" s="37">
        <f>IFERROR(IF(AND(ISNUMBER('SW OpInc'!P80),ISNUMBER('SW Rev'!P80),'SW Rev'!P80&gt;0),'SW OpInc'!P80/'SW Rev'!P80,""),"")</f>
        <v/>
      </c>
      <c r="M591" s="38">
        <f>IFERROR(IF(AND(ISNUMBER('SW OpInc'!Q80),ISNUMBER('SW Rev'!Q80),'SW Rev'!Q80&gt;0),'SW OpInc'!Q80/'SW Rev'!Q80,""),"")</f>
        <v/>
      </c>
      <c r="N591" s="38">
        <f>IFERROR(IF(AND(ISNUMBER('SW OpInc'!R80),ISNUMBER('SW Rev'!R80),'SW Rev'!R80&gt;0),'SW OpInc'!R80/'SW Rev'!R80,""),"")</f>
        <v/>
      </c>
    </row>
    <row r="592">
      <c r="A592" s="19">
        <f>'SW Rev'!$A81</f>
        <v/>
      </c>
      <c r="B592" s="19">
        <f>'SW Rev'!$B81</f>
        <v/>
      </c>
      <c r="C592" s="37">
        <f>IFERROR(IF(AND(ISNUMBER('SW OpInc'!G81),ISNUMBER('SW Rev'!G81),'SW Rev'!G81&gt;0),'SW OpInc'!G81/'SW Rev'!G81,""),"")</f>
        <v/>
      </c>
      <c r="D592" s="37">
        <f>IFERROR(IF(AND(ISNUMBER('SW OpInc'!H81),ISNUMBER('SW Rev'!H81),'SW Rev'!H81&gt;0),'SW OpInc'!H81/'SW Rev'!H81,""),"")</f>
        <v/>
      </c>
      <c r="E592" s="37">
        <f>IFERROR(IF(AND(ISNUMBER('SW OpInc'!I81),ISNUMBER('SW Rev'!I81),'SW Rev'!I81&gt;0),'SW OpInc'!I81/'SW Rev'!I81,""),"")</f>
        <v/>
      </c>
      <c r="F592" s="37">
        <f>IFERROR(IF(AND(ISNUMBER('SW OpInc'!J81),ISNUMBER('SW Rev'!J81),'SW Rev'!J81&gt;0),'SW OpInc'!J81/'SW Rev'!J81,""),"")</f>
        <v/>
      </c>
      <c r="G592" s="37">
        <f>IFERROR(IF(AND(ISNUMBER('SW OpInc'!K81),ISNUMBER('SW Rev'!K81),'SW Rev'!K81&gt;0),'SW OpInc'!K81/'SW Rev'!K81,""),"")</f>
        <v/>
      </c>
      <c r="H592" s="37">
        <f>IFERROR(IF(AND(ISNUMBER('SW OpInc'!L81),ISNUMBER('SW Rev'!L81),'SW Rev'!L81&gt;0),'SW OpInc'!L81/'SW Rev'!L81,""),"")</f>
        <v/>
      </c>
      <c r="I592" s="37">
        <f>IFERROR(IF(AND(ISNUMBER('SW OpInc'!M81),ISNUMBER('SW Rev'!M81),'SW Rev'!M81&gt;0),'SW OpInc'!M81/'SW Rev'!M81,""),"")</f>
        <v/>
      </c>
      <c r="J592" s="37">
        <f>IFERROR(IF(AND(ISNUMBER('SW OpInc'!N81),ISNUMBER('SW Rev'!N81),'SW Rev'!N81&gt;0),'SW OpInc'!N81/'SW Rev'!N81,""),"")</f>
        <v/>
      </c>
      <c r="K592" s="37">
        <f>IFERROR(IF(AND(ISNUMBER('SW OpInc'!O81),ISNUMBER('SW Rev'!O81),'SW Rev'!O81&gt;0),'SW OpInc'!O81/'SW Rev'!O81,""),"")</f>
        <v/>
      </c>
      <c r="L592" s="37">
        <f>IFERROR(IF(AND(ISNUMBER('SW OpInc'!P81),ISNUMBER('SW Rev'!P81),'SW Rev'!P81&gt;0),'SW OpInc'!P81/'SW Rev'!P81,""),"")</f>
        <v/>
      </c>
      <c r="M592" s="38">
        <f>IFERROR(IF(AND(ISNUMBER('SW OpInc'!Q81),ISNUMBER('SW Rev'!Q81),'SW Rev'!Q81&gt;0),'SW OpInc'!Q81/'SW Rev'!Q81,""),"")</f>
        <v/>
      </c>
      <c r="N592" s="38">
        <f>IFERROR(IF(AND(ISNUMBER('SW OpInc'!R81),ISNUMBER('SW Rev'!R81),'SW Rev'!R81&gt;0),'SW OpInc'!R81/'SW Rev'!R81,""),"")</f>
        <v/>
      </c>
    </row>
    <row r="593">
      <c r="A593" s="19">
        <f>'SW Rev'!$A82</f>
        <v/>
      </c>
      <c r="B593" s="19">
        <f>'SW Rev'!$B82</f>
        <v/>
      </c>
      <c r="C593" s="37">
        <f>IFERROR(IF(AND(ISNUMBER('SW OpInc'!G82),ISNUMBER('SW Rev'!G82),'SW Rev'!G82&gt;0),'SW OpInc'!G82/'SW Rev'!G82,""),"")</f>
        <v/>
      </c>
      <c r="D593" s="37">
        <f>IFERROR(IF(AND(ISNUMBER('SW OpInc'!H82),ISNUMBER('SW Rev'!H82),'SW Rev'!H82&gt;0),'SW OpInc'!H82/'SW Rev'!H82,""),"")</f>
        <v/>
      </c>
      <c r="E593" s="37">
        <f>IFERROR(IF(AND(ISNUMBER('SW OpInc'!I82),ISNUMBER('SW Rev'!I82),'SW Rev'!I82&gt;0),'SW OpInc'!I82/'SW Rev'!I82,""),"")</f>
        <v/>
      </c>
      <c r="F593" s="37">
        <f>IFERROR(IF(AND(ISNUMBER('SW OpInc'!J82),ISNUMBER('SW Rev'!J82),'SW Rev'!J82&gt;0),'SW OpInc'!J82/'SW Rev'!J82,""),"")</f>
        <v/>
      </c>
      <c r="G593" s="37">
        <f>IFERROR(IF(AND(ISNUMBER('SW OpInc'!K82),ISNUMBER('SW Rev'!K82),'SW Rev'!K82&gt;0),'SW OpInc'!K82/'SW Rev'!K82,""),"")</f>
        <v/>
      </c>
      <c r="H593" s="37">
        <f>IFERROR(IF(AND(ISNUMBER('SW OpInc'!L82),ISNUMBER('SW Rev'!L82),'SW Rev'!L82&gt;0),'SW OpInc'!L82/'SW Rev'!L82,""),"")</f>
        <v/>
      </c>
      <c r="I593" s="37">
        <f>IFERROR(IF(AND(ISNUMBER('SW OpInc'!M82),ISNUMBER('SW Rev'!M82),'SW Rev'!M82&gt;0),'SW OpInc'!M82/'SW Rev'!M82,""),"")</f>
        <v/>
      </c>
      <c r="J593" s="37">
        <f>IFERROR(IF(AND(ISNUMBER('SW OpInc'!N82),ISNUMBER('SW Rev'!N82),'SW Rev'!N82&gt;0),'SW OpInc'!N82/'SW Rev'!N82,""),"")</f>
        <v/>
      </c>
      <c r="K593" s="37">
        <f>IFERROR(IF(AND(ISNUMBER('SW OpInc'!O82),ISNUMBER('SW Rev'!O82),'SW Rev'!O82&gt;0),'SW OpInc'!O82/'SW Rev'!O82,""),"")</f>
        <v/>
      </c>
      <c r="L593" s="37">
        <f>IFERROR(IF(AND(ISNUMBER('SW OpInc'!P82),ISNUMBER('SW Rev'!P82),'SW Rev'!P82&gt;0),'SW OpInc'!P82/'SW Rev'!P82,""),"")</f>
        <v/>
      </c>
      <c r="M593" s="38">
        <f>IFERROR(IF(AND(ISNUMBER('SW OpInc'!Q82),ISNUMBER('SW Rev'!Q82),'SW Rev'!Q82&gt;0),'SW OpInc'!Q82/'SW Rev'!Q82,""),"")</f>
        <v/>
      </c>
      <c r="N593" s="38">
        <f>IFERROR(IF(AND(ISNUMBER('SW OpInc'!R82),ISNUMBER('SW Rev'!R82),'SW Rev'!R82&gt;0),'SW OpInc'!R82/'SW Rev'!R82,""),"")</f>
        <v/>
      </c>
    </row>
    <row r="594">
      <c r="A594" s="19">
        <f>'SW Rev'!$A83</f>
        <v/>
      </c>
      <c r="B594" s="19">
        <f>'SW Rev'!$B83</f>
        <v/>
      </c>
      <c r="C594" s="37">
        <f>IFERROR(IF(AND(ISNUMBER('SW OpInc'!G83),ISNUMBER('SW Rev'!G83),'SW Rev'!G83&gt;0),'SW OpInc'!G83/'SW Rev'!G83,""),"")</f>
        <v/>
      </c>
      <c r="D594" s="37">
        <f>IFERROR(IF(AND(ISNUMBER('SW OpInc'!H83),ISNUMBER('SW Rev'!H83),'SW Rev'!H83&gt;0),'SW OpInc'!H83/'SW Rev'!H83,""),"")</f>
        <v/>
      </c>
      <c r="E594" s="37">
        <f>IFERROR(IF(AND(ISNUMBER('SW OpInc'!I83),ISNUMBER('SW Rev'!I83),'SW Rev'!I83&gt;0),'SW OpInc'!I83/'SW Rev'!I83,""),"")</f>
        <v/>
      </c>
      <c r="F594" s="37">
        <f>IFERROR(IF(AND(ISNUMBER('SW OpInc'!J83),ISNUMBER('SW Rev'!J83),'SW Rev'!J83&gt;0),'SW OpInc'!J83/'SW Rev'!J83,""),"")</f>
        <v/>
      </c>
      <c r="G594" s="37">
        <f>IFERROR(IF(AND(ISNUMBER('SW OpInc'!K83),ISNUMBER('SW Rev'!K83),'SW Rev'!K83&gt;0),'SW OpInc'!K83/'SW Rev'!K83,""),"")</f>
        <v/>
      </c>
      <c r="H594" s="37">
        <f>IFERROR(IF(AND(ISNUMBER('SW OpInc'!L83),ISNUMBER('SW Rev'!L83),'SW Rev'!L83&gt;0),'SW OpInc'!L83/'SW Rev'!L83,""),"")</f>
        <v/>
      </c>
      <c r="I594" s="37">
        <f>IFERROR(IF(AND(ISNUMBER('SW OpInc'!M83),ISNUMBER('SW Rev'!M83),'SW Rev'!M83&gt;0),'SW OpInc'!M83/'SW Rev'!M83,""),"")</f>
        <v/>
      </c>
      <c r="J594" s="37">
        <f>IFERROR(IF(AND(ISNUMBER('SW OpInc'!N83),ISNUMBER('SW Rev'!N83),'SW Rev'!N83&gt;0),'SW OpInc'!N83/'SW Rev'!N83,""),"")</f>
        <v/>
      </c>
      <c r="K594" s="37">
        <f>IFERROR(IF(AND(ISNUMBER('SW OpInc'!O83),ISNUMBER('SW Rev'!O83),'SW Rev'!O83&gt;0),'SW OpInc'!O83/'SW Rev'!O83,""),"")</f>
        <v/>
      </c>
      <c r="L594" s="37">
        <f>IFERROR(IF(AND(ISNUMBER('SW OpInc'!P83),ISNUMBER('SW Rev'!P83),'SW Rev'!P83&gt;0),'SW OpInc'!P83/'SW Rev'!P83,""),"")</f>
        <v/>
      </c>
      <c r="M594" s="38">
        <f>IFERROR(IF(AND(ISNUMBER('SW OpInc'!Q83),ISNUMBER('SW Rev'!Q83),'SW Rev'!Q83&gt;0),'SW OpInc'!Q83/'SW Rev'!Q83,""),"")</f>
        <v/>
      </c>
      <c r="N594" s="38">
        <f>IFERROR(IF(AND(ISNUMBER('SW OpInc'!R83),ISNUMBER('SW Rev'!R83),'SW Rev'!R83&gt;0),'SW OpInc'!R83/'SW Rev'!R83,""),"")</f>
        <v/>
      </c>
    </row>
    <row r="595">
      <c r="A595" s="19">
        <f>'SW Rev'!$A84</f>
        <v/>
      </c>
      <c r="B595" s="19">
        <f>'SW Rev'!$B84</f>
        <v/>
      </c>
      <c r="C595" s="37">
        <f>IFERROR(IF(AND(ISNUMBER('SW OpInc'!G84),ISNUMBER('SW Rev'!G84),'SW Rev'!G84&gt;0),'SW OpInc'!G84/'SW Rev'!G84,""),"")</f>
        <v/>
      </c>
      <c r="D595" s="37">
        <f>IFERROR(IF(AND(ISNUMBER('SW OpInc'!H84),ISNUMBER('SW Rev'!H84),'SW Rev'!H84&gt;0),'SW OpInc'!H84/'SW Rev'!H84,""),"")</f>
        <v/>
      </c>
      <c r="E595" s="37">
        <f>IFERROR(IF(AND(ISNUMBER('SW OpInc'!I84),ISNUMBER('SW Rev'!I84),'SW Rev'!I84&gt;0),'SW OpInc'!I84/'SW Rev'!I84,""),"")</f>
        <v/>
      </c>
      <c r="F595" s="37">
        <f>IFERROR(IF(AND(ISNUMBER('SW OpInc'!J84),ISNUMBER('SW Rev'!J84),'SW Rev'!J84&gt;0),'SW OpInc'!J84/'SW Rev'!J84,""),"")</f>
        <v/>
      </c>
      <c r="G595" s="37">
        <f>IFERROR(IF(AND(ISNUMBER('SW OpInc'!K84),ISNUMBER('SW Rev'!K84),'SW Rev'!K84&gt;0),'SW OpInc'!K84/'SW Rev'!K84,""),"")</f>
        <v/>
      </c>
      <c r="H595" s="37">
        <f>IFERROR(IF(AND(ISNUMBER('SW OpInc'!L84),ISNUMBER('SW Rev'!L84),'SW Rev'!L84&gt;0),'SW OpInc'!L84/'SW Rev'!L84,""),"")</f>
        <v/>
      </c>
      <c r="I595" s="37">
        <f>IFERROR(IF(AND(ISNUMBER('SW OpInc'!M84),ISNUMBER('SW Rev'!M84),'SW Rev'!M84&gt;0),'SW OpInc'!M84/'SW Rev'!M84,""),"")</f>
        <v/>
      </c>
      <c r="J595" s="37">
        <f>IFERROR(IF(AND(ISNUMBER('SW OpInc'!N84),ISNUMBER('SW Rev'!N84),'SW Rev'!N84&gt;0),'SW OpInc'!N84/'SW Rev'!N84,""),"")</f>
        <v/>
      </c>
      <c r="K595" s="37">
        <f>IFERROR(IF(AND(ISNUMBER('SW OpInc'!O84),ISNUMBER('SW Rev'!O84),'SW Rev'!O84&gt;0),'SW OpInc'!O84/'SW Rev'!O84,""),"")</f>
        <v/>
      </c>
      <c r="L595" s="37">
        <f>IFERROR(IF(AND(ISNUMBER('SW OpInc'!P84),ISNUMBER('SW Rev'!P84),'SW Rev'!P84&gt;0),'SW OpInc'!P84/'SW Rev'!P84,""),"")</f>
        <v/>
      </c>
      <c r="M595" s="38">
        <f>IFERROR(IF(AND(ISNUMBER('SW OpInc'!Q84),ISNUMBER('SW Rev'!Q84),'SW Rev'!Q84&gt;0),'SW OpInc'!Q84/'SW Rev'!Q84,""),"")</f>
        <v/>
      </c>
      <c r="N595" s="38">
        <f>IFERROR(IF(AND(ISNUMBER('SW OpInc'!R84),ISNUMBER('SW Rev'!R84),'SW Rev'!R84&gt;0),'SW OpInc'!R84/'SW Rev'!R84,""),"")</f>
        <v/>
      </c>
    </row>
    <row r="596">
      <c r="A596" s="19">
        <f>'SW Rev'!$A85</f>
        <v/>
      </c>
      <c r="B596" s="19">
        <f>'SW Rev'!$B85</f>
        <v/>
      </c>
      <c r="C596" s="37">
        <f>IFERROR(IF(AND(ISNUMBER('SW OpInc'!G85),ISNUMBER('SW Rev'!G85),'SW Rev'!G85&gt;0),'SW OpInc'!G85/'SW Rev'!G85,""),"")</f>
        <v/>
      </c>
      <c r="D596" s="37">
        <f>IFERROR(IF(AND(ISNUMBER('SW OpInc'!H85),ISNUMBER('SW Rev'!H85),'SW Rev'!H85&gt;0),'SW OpInc'!H85/'SW Rev'!H85,""),"")</f>
        <v/>
      </c>
      <c r="E596" s="37">
        <f>IFERROR(IF(AND(ISNUMBER('SW OpInc'!I85),ISNUMBER('SW Rev'!I85),'SW Rev'!I85&gt;0),'SW OpInc'!I85/'SW Rev'!I85,""),"")</f>
        <v/>
      </c>
      <c r="F596" s="37">
        <f>IFERROR(IF(AND(ISNUMBER('SW OpInc'!J85),ISNUMBER('SW Rev'!J85),'SW Rev'!J85&gt;0),'SW OpInc'!J85/'SW Rev'!J85,""),"")</f>
        <v/>
      </c>
      <c r="G596" s="37">
        <f>IFERROR(IF(AND(ISNUMBER('SW OpInc'!K85),ISNUMBER('SW Rev'!K85),'SW Rev'!K85&gt;0),'SW OpInc'!K85/'SW Rev'!K85,""),"")</f>
        <v/>
      </c>
      <c r="H596" s="37">
        <f>IFERROR(IF(AND(ISNUMBER('SW OpInc'!L85),ISNUMBER('SW Rev'!L85),'SW Rev'!L85&gt;0),'SW OpInc'!L85/'SW Rev'!L85,""),"")</f>
        <v/>
      </c>
      <c r="I596" s="37">
        <f>IFERROR(IF(AND(ISNUMBER('SW OpInc'!M85),ISNUMBER('SW Rev'!M85),'SW Rev'!M85&gt;0),'SW OpInc'!M85/'SW Rev'!M85,""),"")</f>
        <v/>
      </c>
      <c r="J596" s="37">
        <f>IFERROR(IF(AND(ISNUMBER('SW OpInc'!N85),ISNUMBER('SW Rev'!N85),'SW Rev'!N85&gt;0),'SW OpInc'!N85/'SW Rev'!N85,""),"")</f>
        <v/>
      </c>
      <c r="K596" s="37">
        <f>IFERROR(IF(AND(ISNUMBER('SW OpInc'!O85),ISNUMBER('SW Rev'!O85),'SW Rev'!O85&gt;0),'SW OpInc'!O85/'SW Rev'!O85,""),"")</f>
        <v/>
      </c>
      <c r="L596" s="37">
        <f>IFERROR(IF(AND(ISNUMBER('SW OpInc'!P85),ISNUMBER('SW Rev'!P85),'SW Rev'!P85&gt;0),'SW OpInc'!P85/'SW Rev'!P85,""),"")</f>
        <v/>
      </c>
      <c r="M596" s="38">
        <f>IFERROR(IF(AND(ISNUMBER('SW OpInc'!Q85),ISNUMBER('SW Rev'!Q85),'SW Rev'!Q85&gt;0),'SW OpInc'!Q85/'SW Rev'!Q85,""),"")</f>
        <v/>
      </c>
      <c r="N596" s="38">
        <f>IFERROR(IF(AND(ISNUMBER('SW OpInc'!R85),ISNUMBER('SW Rev'!R85),'SW Rev'!R85&gt;0),'SW OpInc'!R85/'SW Rev'!R85,""),"")</f>
        <v/>
      </c>
    </row>
    <row r="597">
      <c r="A597" s="19">
        <f>'SW Rev'!$A86</f>
        <v/>
      </c>
      <c r="B597" s="19">
        <f>'SW Rev'!$B86</f>
        <v/>
      </c>
      <c r="C597" s="37">
        <f>IFERROR(IF(AND(ISNUMBER('SW OpInc'!G86),ISNUMBER('SW Rev'!G86),'SW Rev'!G86&gt;0),'SW OpInc'!G86/'SW Rev'!G86,""),"")</f>
        <v/>
      </c>
      <c r="D597" s="37">
        <f>IFERROR(IF(AND(ISNUMBER('SW OpInc'!H86),ISNUMBER('SW Rev'!H86),'SW Rev'!H86&gt;0),'SW OpInc'!H86/'SW Rev'!H86,""),"")</f>
        <v/>
      </c>
      <c r="E597" s="37">
        <f>IFERROR(IF(AND(ISNUMBER('SW OpInc'!I86),ISNUMBER('SW Rev'!I86),'SW Rev'!I86&gt;0),'SW OpInc'!I86/'SW Rev'!I86,""),"")</f>
        <v/>
      </c>
      <c r="F597" s="37">
        <f>IFERROR(IF(AND(ISNUMBER('SW OpInc'!J86),ISNUMBER('SW Rev'!J86),'SW Rev'!J86&gt;0),'SW OpInc'!J86/'SW Rev'!J86,""),"")</f>
        <v/>
      </c>
      <c r="G597" s="37">
        <f>IFERROR(IF(AND(ISNUMBER('SW OpInc'!K86),ISNUMBER('SW Rev'!K86),'SW Rev'!K86&gt;0),'SW OpInc'!K86/'SW Rev'!K86,""),"")</f>
        <v/>
      </c>
      <c r="H597" s="37">
        <f>IFERROR(IF(AND(ISNUMBER('SW OpInc'!L86),ISNUMBER('SW Rev'!L86),'SW Rev'!L86&gt;0),'SW OpInc'!L86/'SW Rev'!L86,""),"")</f>
        <v/>
      </c>
      <c r="I597" s="37">
        <f>IFERROR(IF(AND(ISNUMBER('SW OpInc'!M86),ISNUMBER('SW Rev'!M86),'SW Rev'!M86&gt;0),'SW OpInc'!M86/'SW Rev'!M86,""),"")</f>
        <v/>
      </c>
      <c r="J597" s="37">
        <f>IFERROR(IF(AND(ISNUMBER('SW OpInc'!N86),ISNUMBER('SW Rev'!N86),'SW Rev'!N86&gt;0),'SW OpInc'!N86/'SW Rev'!N86,""),"")</f>
        <v/>
      </c>
      <c r="K597" s="37">
        <f>IFERROR(IF(AND(ISNUMBER('SW OpInc'!O86),ISNUMBER('SW Rev'!O86),'SW Rev'!O86&gt;0),'SW OpInc'!O86/'SW Rev'!O86,""),"")</f>
        <v/>
      </c>
      <c r="L597" s="37">
        <f>IFERROR(IF(AND(ISNUMBER('SW OpInc'!P86),ISNUMBER('SW Rev'!P86),'SW Rev'!P86&gt;0),'SW OpInc'!P86/'SW Rev'!P86,""),"")</f>
        <v/>
      </c>
      <c r="M597" s="38">
        <f>IFERROR(IF(AND(ISNUMBER('SW OpInc'!Q86),ISNUMBER('SW Rev'!Q86),'SW Rev'!Q86&gt;0),'SW OpInc'!Q86/'SW Rev'!Q86,""),"")</f>
        <v/>
      </c>
      <c r="N597" s="38">
        <f>IFERROR(IF(AND(ISNUMBER('SW OpInc'!R86),ISNUMBER('SW Rev'!R86),'SW Rev'!R86&gt;0),'SW OpInc'!R86/'SW Rev'!R86,""),"")</f>
        <v/>
      </c>
    </row>
    <row r="598">
      <c r="A598" s="19">
        <f>'SW Rev'!$A87</f>
        <v/>
      </c>
      <c r="B598" s="19">
        <f>'SW Rev'!$B87</f>
        <v/>
      </c>
      <c r="C598" s="37">
        <f>IFERROR(IF(AND(ISNUMBER('SW OpInc'!G87),ISNUMBER('SW Rev'!G87),'SW Rev'!G87&gt;0),'SW OpInc'!G87/'SW Rev'!G87,""),"")</f>
        <v/>
      </c>
      <c r="D598" s="37">
        <f>IFERROR(IF(AND(ISNUMBER('SW OpInc'!H87),ISNUMBER('SW Rev'!H87),'SW Rev'!H87&gt;0),'SW OpInc'!H87/'SW Rev'!H87,""),"")</f>
        <v/>
      </c>
      <c r="E598" s="37">
        <f>IFERROR(IF(AND(ISNUMBER('SW OpInc'!I87),ISNUMBER('SW Rev'!I87),'SW Rev'!I87&gt;0),'SW OpInc'!I87/'SW Rev'!I87,""),"")</f>
        <v/>
      </c>
      <c r="F598" s="37">
        <f>IFERROR(IF(AND(ISNUMBER('SW OpInc'!J87),ISNUMBER('SW Rev'!J87),'SW Rev'!J87&gt;0),'SW OpInc'!J87/'SW Rev'!J87,""),"")</f>
        <v/>
      </c>
      <c r="G598" s="37">
        <f>IFERROR(IF(AND(ISNUMBER('SW OpInc'!K87),ISNUMBER('SW Rev'!K87),'SW Rev'!K87&gt;0),'SW OpInc'!K87/'SW Rev'!K87,""),"")</f>
        <v/>
      </c>
      <c r="H598" s="37">
        <f>IFERROR(IF(AND(ISNUMBER('SW OpInc'!L87),ISNUMBER('SW Rev'!L87),'SW Rev'!L87&gt;0),'SW OpInc'!L87/'SW Rev'!L87,""),"")</f>
        <v/>
      </c>
      <c r="I598" s="37">
        <f>IFERROR(IF(AND(ISNUMBER('SW OpInc'!M87),ISNUMBER('SW Rev'!M87),'SW Rev'!M87&gt;0),'SW OpInc'!M87/'SW Rev'!M87,""),"")</f>
        <v/>
      </c>
      <c r="J598" s="37">
        <f>IFERROR(IF(AND(ISNUMBER('SW OpInc'!N87),ISNUMBER('SW Rev'!N87),'SW Rev'!N87&gt;0),'SW OpInc'!N87/'SW Rev'!N87,""),"")</f>
        <v/>
      </c>
      <c r="K598" s="37">
        <f>IFERROR(IF(AND(ISNUMBER('SW OpInc'!O87),ISNUMBER('SW Rev'!O87),'SW Rev'!O87&gt;0),'SW OpInc'!O87/'SW Rev'!O87,""),"")</f>
        <v/>
      </c>
      <c r="L598" s="37">
        <f>IFERROR(IF(AND(ISNUMBER('SW OpInc'!P87),ISNUMBER('SW Rev'!P87),'SW Rev'!P87&gt;0),'SW OpInc'!P87/'SW Rev'!P87,""),"")</f>
        <v/>
      </c>
      <c r="M598" s="38">
        <f>IFERROR(IF(AND(ISNUMBER('SW OpInc'!Q87),ISNUMBER('SW Rev'!Q87),'SW Rev'!Q87&gt;0),'SW OpInc'!Q87/'SW Rev'!Q87,""),"")</f>
        <v/>
      </c>
      <c r="N598" s="38">
        <f>IFERROR(IF(AND(ISNUMBER('SW OpInc'!R87),ISNUMBER('SW Rev'!R87),'SW Rev'!R87&gt;0),'SW OpInc'!R87/'SW Rev'!R87,""),"")</f>
        <v/>
      </c>
    </row>
    <row r="599">
      <c r="A599" s="19">
        <f>'SW Rev'!$A88</f>
        <v/>
      </c>
      <c r="B599" s="19">
        <f>'SW Rev'!$B88</f>
        <v/>
      </c>
      <c r="C599" s="37">
        <f>IFERROR(IF(AND(ISNUMBER('SW OpInc'!G88),ISNUMBER('SW Rev'!G88),'SW Rev'!G88&gt;0),'SW OpInc'!G88/'SW Rev'!G88,""),"")</f>
        <v/>
      </c>
      <c r="D599" s="37">
        <f>IFERROR(IF(AND(ISNUMBER('SW OpInc'!H88),ISNUMBER('SW Rev'!H88),'SW Rev'!H88&gt;0),'SW OpInc'!H88/'SW Rev'!H88,""),"")</f>
        <v/>
      </c>
      <c r="E599" s="37">
        <f>IFERROR(IF(AND(ISNUMBER('SW OpInc'!I88),ISNUMBER('SW Rev'!I88),'SW Rev'!I88&gt;0),'SW OpInc'!I88/'SW Rev'!I88,""),"")</f>
        <v/>
      </c>
      <c r="F599" s="37">
        <f>IFERROR(IF(AND(ISNUMBER('SW OpInc'!J88),ISNUMBER('SW Rev'!J88),'SW Rev'!J88&gt;0),'SW OpInc'!J88/'SW Rev'!J88,""),"")</f>
        <v/>
      </c>
      <c r="G599" s="37">
        <f>IFERROR(IF(AND(ISNUMBER('SW OpInc'!K88),ISNUMBER('SW Rev'!K88),'SW Rev'!K88&gt;0),'SW OpInc'!K88/'SW Rev'!K88,""),"")</f>
        <v/>
      </c>
      <c r="H599" s="37">
        <f>IFERROR(IF(AND(ISNUMBER('SW OpInc'!L88),ISNUMBER('SW Rev'!L88),'SW Rev'!L88&gt;0),'SW OpInc'!L88/'SW Rev'!L88,""),"")</f>
        <v/>
      </c>
      <c r="I599" s="37">
        <f>IFERROR(IF(AND(ISNUMBER('SW OpInc'!M88),ISNUMBER('SW Rev'!M88),'SW Rev'!M88&gt;0),'SW OpInc'!M88/'SW Rev'!M88,""),"")</f>
        <v/>
      </c>
      <c r="J599" s="37">
        <f>IFERROR(IF(AND(ISNUMBER('SW OpInc'!N88),ISNUMBER('SW Rev'!N88),'SW Rev'!N88&gt;0),'SW OpInc'!N88/'SW Rev'!N88,""),"")</f>
        <v/>
      </c>
      <c r="K599" s="37">
        <f>IFERROR(IF(AND(ISNUMBER('SW OpInc'!O88),ISNUMBER('SW Rev'!O88),'SW Rev'!O88&gt;0),'SW OpInc'!O88/'SW Rev'!O88,""),"")</f>
        <v/>
      </c>
      <c r="L599" s="37">
        <f>IFERROR(IF(AND(ISNUMBER('SW OpInc'!P88),ISNUMBER('SW Rev'!P88),'SW Rev'!P88&gt;0),'SW OpInc'!P88/'SW Rev'!P88,""),"")</f>
        <v/>
      </c>
      <c r="M599" s="38">
        <f>IFERROR(IF(AND(ISNUMBER('SW OpInc'!Q88),ISNUMBER('SW Rev'!Q88),'SW Rev'!Q88&gt;0),'SW OpInc'!Q88/'SW Rev'!Q88,""),"")</f>
        <v/>
      </c>
      <c r="N599" s="38">
        <f>IFERROR(IF(AND(ISNUMBER('SW OpInc'!R88),ISNUMBER('SW Rev'!R88),'SW Rev'!R88&gt;0),'SW OpInc'!R88/'SW Rev'!R88,""),"")</f>
        <v/>
      </c>
    </row>
    <row r="600">
      <c r="A600" s="19">
        <f>'SW Rev'!$A89</f>
        <v/>
      </c>
      <c r="B600" s="19">
        <f>'SW Rev'!$B89</f>
        <v/>
      </c>
      <c r="C600" s="37">
        <f>IFERROR(IF(AND(ISNUMBER('SW OpInc'!G89),ISNUMBER('SW Rev'!G89),'SW Rev'!G89&gt;0),'SW OpInc'!G89/'SW Rev'!G89,""),"")</f>
        <v/>
      </c>
      <c r="D600" s="37">
        <f>IFERROR(IF(AND(ISNUMBER('SW OpInc'!H89),ISNUMBER('SW Rev'!H89),'SW Rev'!H89&gt;0),'SW OpInc'!H89/'SW Rev'!H89,""),"")</f>
        <v/>
      </c>
      <c r="E600" s="37">
        <f>IFERROR(IF(AND(ISNUMBER('SW OpInc'!I89),ISNUMBER('SW Rev'!I89),'SW Rev'!I89&gt;0),'SW OpInc'!I89/'SW Rev'!I89,""),"")</f>
        <v/>
      </c>
      <c r="F600" s="37">
        <f>IFERROR(IF(AND(ISNUMBER('SW OpInc'!J89),ISNUMBER('SW Rev'!J89),'SW Rev'!J89&gt;0),'SW OpInc'!J89/'SW Rev'!J89,""),"")</f>
        <v/>
      </c>
      <c r="G600" s="37">
        <f>IFERROR(IF(AND(ISNUMBER('SW OpInc'!K89),ISNUMBER('SW Rev'!K89),'SW Rev'!K89&gt;0),'SW OpInc'!K89/'SW Rev'!K89,""),"")</f>
        <v/>
      </c>
      <c r="H600" s="37">
        <f>IFERROR(IF(AND(ISNUMBER('SW OpInc'!L89),ISNUMBER('SW Rev'!L89),'SW Rev'!L89&gt;0),'SW OpInc'!L89/'SW Rev'!L89,""),"")</f>
        <v/>
      </c>
      <c r="I600" s="37">
        <f>IFERROR(IF(AND(ISNUMBER('SW OpInc'!M89),ISNUMBER('SW Rev'!M89),'SW Rev'!M89&gt;0),'SW OpInc'!M89/'SW Rev'!M89,""),"")</f>
        <v/>
      </c>
      <c r="J600" s="37">
        <f>IFERROR(IF(AND(ISNUMBER('SW OpInc'!N89),ISNUMBER('SW Rev'!N89),'SW Rev'!N89&gt;0),'SW OpInc'!N89/'SW Rev'!N89,""),"")</f>
        <v/>
      </c>
      <c r="K600" s="37">
        <f>IFERROR(IF(AND(ISNUMBER('SW OpInc'!O89),ISNUMBER('SW Rev'!O89),'SW Rev'!O89&gt;0),'SW OpInc'!O89/'SW Rev'!O89,""),"")</f>
        <v/>
      </c>
      <c r="L600" s="37">
        <f>IFERROR(IF(AND(ISNUMBER('SW OpInc'!P89),ISNUMBER('SW Rev'!P89),'SW Rev'!P89&gt;0),'SW OpInc'!P89/'SW Rev'!P89,""),"")</f>
        <v/>
      </c>
      <c r="M600" s="38">
        <f>IFERROR(IF(AND(ISNUMBER('SW OpInc'!Q89),ISNUMBER('SW Rev'!Q89),'SW Rev'!Q89&gt;0),'SW OpInc'!Q89/'SW Rev'!Q89,""),"")</f>
        <v/>
      </c>
      <c r="N600" s="38">
        <f>IFERROR(IF(AND(ISNUMBER('SW OpInc'!R89),ISNUMBER('SW Rev'!R89),'SW Rev'!R89&gt;0),'SW OpInc'!R89/'SW Rev'!R89,""),"")</f>
        <v/>
      </c>
    </row>
    <row r="601">
      <c r="A601" s="19">
        <f>'SW Rev'!$A90</f>
        <v/>
      </c>
      <c r="B601" s="19">
        <f>'SW Rev'!$B90</f>
        <v/>
      </c>
      <c r="C601" s="37">
        <f>IFERROR(IF(AND(ISNUMBER('SW OpInc'!G90),ISNUMBER('SW Rev'!G90),'SW Rev'!G90&gt;0),'SW OpInc'!G90/'SW Rev'!G90,""),"")</f>
        <v/>
      </c>
      <c r="D601" s="37">
        <f>IFERROR(IF(AND(ISNUMBER('SW OpInc'!H90),ISNUMBER('SW Rev'!H90),'SW Rev'!H90&gt;0),'SW OpInc'!H90/'SW Rev'!H90,""),"")</f>
        <v/>
      </c>
      <c r="E601" s="37">
        <f>IFERROR(IF(AND(ISNUMBER('SW OpInc'!I90),ISNUMBER('SW Rev'!I90),'SW Rev'!I90&gt;0),'SW OpInc'!I90/'SW Rev'!I90,""),"")</f>
        <v/>
      </c>
      <c r="F601" s="37">
        <f>IFERROR(IF(AND(ISNUMBER('SW OpInc'!J90),ISNUMBER('SW Rev'!J90),'SW Rev'!J90&gt;0),'SW OpInc'!J90/'SW Rev'!J90,""),"")</f>
        <v/>
      </c>
      <c r="G601" s="37">
        <f>IFERROR(IF(AND(ISNUMBER('SW OpInc'!K90),ISNUMBER('SW Rev'!K90),'SW Rev'!K90&gt;0),'SW OpInc'!K90/'SW Rev'!K90,""),"")</f>
        <v/>
      </c>
      <c r="H601" s="37">
        <f>IFERROR(IF(AND(ISNUMBER('SW OpInc'!L90),ISNUMBER('SW Rev'!L90),'SW Rev'!L90&gt;0),'SW OpInc'!L90/'SW Rev'!L90,""),"")</f>
        <v/>
      </c>
      <c r="I601" s="37">
        <f>IFERROR(IF(AND(ISNUMBER('SW OpInc'!M90),ISNUMBER('SW Rev'!M90),'SW Rev'!M90&gt;0),'SW OpInc'!M90/'SW Rev'!M90,""),"")</f>
        <v/>
      </c>
      <c r="J601" s="37">
        <f>IFERROR(IF(AND(ISNUMBER('SW OpInc'!N90),ISNUMBER('SW Rev'!N90),'SW Rev'!N90&gt;0),'SW OpInc'!N90/'SW Rev'!N90,""),"")</f>
        <v/>
      </c>
      <c r="K601" s="37">
        <f>IFERROR(IF(AND(ISNUMBER('SW OpInc'!O90),ISNUMBER('SW Rev'!O90),'SW Rev'!O90&gt;0),'SW OpInc'!O90/'SW Rev'!O90,""),"")</f>
        <v/>
      </c>
      <c r="L601" s="37">
        <f>IFERROR(IF(AND(ISNUMBER('SW OpInc'!P90),ISNUMBER('SW Rev'!P90),'SW Rev'!P90&gt;0),'SW OpInc'!P90/'SW Rev'!P90,""),"")</f>
        <v/>
      </c>
      <c r="M601" s="38">
        <f>IFERROR(IF(AND(ISNUMBER('SW OpInc'!Q90),ISNUMBER('SW Rev'!Q90),'SW Rev'!Q90&gt;0),'SW OpInc'!Q90/'SW Rev'!Q90,""),"")</f>
        <v/>
      </c>
      <c r="N601" s="38">
        <f>IFERROR(IF(AND(ISNUMBER('SW OpInc'!R90),ISNUMBER('SW Rev'!R90),'SW Rev'!R90&gt;0),'SW OpInc'!R90/'SW Rev'!R90,""),"")</f>
        <v/>
      </c>
    </row>
    <row r="602">
      <c r="A602" s="19">
        <f>'SW Rev'!$A91</f>
        <v/>
      </c>
      <c r="B602" s="19">
        <f>'SW Rev'!$B91</f>
        <v/>
      </c>
      <c r="C602" s="37">
        <f>IFERROR(IF(AND(ISNUMBER('SW OpInc'!G91),ISNUMBER('SW Rev'!G91),'SW Rev'!G91&gt;0),'SW OpInc'!G91/'SW Rev'!G91,""),"")</f>
        <v/>
      </c>
      <c r="D602" s="37">
        <f>IFERROR(IF(AND(ISNUMBER('SW OpInc'!H91),ISNUMBER('SW Rev'!H91),'SW Rev'!H91&gt;0),'SW OpInc'!H91/'SW Rev'!H91,""),"")</f>
        <v/>
      </c>
      <c r="E602" s="37">
        <f>IFERROR(IF(AND(ISNUMBER('SW OpInc'!I91),ISNUMBER('SW Rev'!I91),'SW Rev'!I91&gt;0),'SW OpInc'!I91/'SW Rev'!I91,""),"")</f>
        <v/>
      </c>
      <c r="F602" s="37">
        <f>IFERROR(IF(AND(ISNUMBER('SW OpInc'!J91),ISNUMBER('SW Rev'!J91),'SW Rev'!J91&gt;0),'SW OpInc'!J91/'SW Rev'!J91,""),"")</f>
        <v/>
      </c>
      <c r="G602" s="37">
        <f>IFERROR(IF(AND(ISNUMBER('SW OpInc'!K91),ISNUMBER('SW Rev'!K91),'SW Rev'!K91&gt;0),'SW OpInc'!K91/'SW Rev'!K91,""),"")</f>
        <v/>
      </c>
      <c r="H602" s="37">
        <f>IFERROR(IF(AND(ISNUMBER('SW OpInc'!L91),ISNUMBER('SW Rev'!L91),'SW Rev'!L91&gt;0),'SW OpInc'!L91/'SW Rev'!L91,""),"")</f>
        <v/>
      </c>
      <c r="I602" s="37">
        <f>IFERROR(IF(AND(ISNUMBER('SW OpInc'!M91),ISNUMBER('SW Rev'!M91),'SW Rev'!M91&gt;0),'SW OpInc'!M91/'SW Rev'!M91,""),"")</f>
        <v/>
      </c>
      <c r="J602" s="37">
        <f>IFERROR(IF(AND(ISNUMBER('SW OpInc'!N91),ISNUMBER('SW Rev'!N91),'SW Rev'!N91&gt;0),'SW OpInc'!N91/'SW Rev'!N91,""),"")</f>
        <v/>
      </c>
      <c r="K602" s="37">
        <f>IFERROR(IF(AND(ISNUMBER('SW OpInc'!O91),ISNUMBER('SW Rev'!O91),'SW Rev'!O91&gt;0),'SW OpInc'!O91/'SW Rev'!O91,""),"")</f>
        <v/>
      </c>
      <c r="L602" s="37">
        <f>IFERROR(IF(AND(ISNUMBER('SW OpInc'!P91),ISNUMBER('SW Rev'!P91),'SW Rev'!P91&gt;0),'SW OpInc'!P91/'SW Rev'!P91,""),"")</f>
        <v/>
      </c>
      <c r="M602" s="38">
        <f>IFERROR(IF(AND(ISNUMBER('SW OpInc'!Q91),ISNUMBER('SW Rev'!Q91),'SW Rev'!Q91&gt;0),'SW OpInc'!Q91/'SW Rev'!Q91,""),"")</f>
        <v/>
      </c>
      <c r="N602" s="38">
        <f>IFERROR(IF(AND(ISNUMBER('SW OpInc'!R91),ISNUMBER('SW Rev'!R91),'SW Rev'!R91&gt;0),'SW OpInc'!R91/'SW Rev'!R91,""),"")</f>
        <v/>
      </c>
    </row>
    <row r="603">
      <c r="A603" s="19">
        <f>'SW Rev'!$A92</f>
        <v/>
      </c>
      <c r="B603" s="19">
        <f>'SW Rev'!$B92</f>
        <v/>
      </c>
      <c r="C603" s="37">
        <f>IFERROR(IF(AND(ISNUMBER('SW OpInc'!G92),ISNUMBER('SW Rev'!G92),'SW Rev'!G92&gt;0),'SW OpInc'!G92/'SW Rev'!G92,""),"")</f>
        <v/>
      </c>
      <c r="D603" s="37">
        <f>IFERROR(IF(AND(ISNUMBER('SW OpInc'!H92),ISNUMBER('SW Rev'!H92),'SW Rev'!H92&gt;0),'SW OpInc'!H92/'SW Rev'!H92,""),"")</f>
        <v/>
      </c>
      <c r="E603" s="37">
        <f>IFERROR(IF(AND(ISNUMBER('SW OpInc'!I92),ISNUMBER('SW Rev'!I92),'SW Rev'!I92&gt;0),'SW OpInc'!I92/'SW Rev'!I92,""),"")</f>
        <v/>
      </c>
      <c r="F603" s="37">
        <f>IFERROR(IF(AND(ISNUMBER('SW OpInc'!J92),ISNUMBER('SW Rev'!J92),'SW Rev'!J92&gt;0),'SW OpInc'!J92/'SW Rev'!J92,""),"")</f>
        <v/>
      </c>
      <c r="G603" s="37">
        <f>IFERROR(IF(AND(ISNUMBER('SW OpInc'!K92),ISNUMBER('SW Rev'!K92),'SW Rev'!K92&gt;0),'SW OpInc'!K92/'SW Rev'!K92,""),"")</f>
        <v/>
      </c>
      <c r="H603" s="37">
        <f>IFERROR(IF(AND(ISNUMBER('SW OpInc'!L92),ISNUMBER('SW Rev'!L92),'SW Rev'!L92&gt;0),'SW OpInc'!L92/'SW Rev'!L92,""),"")</f>
        <v/>
      </c>
      <c r="I603" s="37">
        <f>IFERROR(IF(AND(ISNUMBER('SW OpInc'!M92),ISNUMBER('SW Rev'!M92),'SW Rev'!M92&gt;0),'SW OpInc'!M92/'SW Rev'!M92,""),"")</f>
        <v/>
      </c>
      <c r="J603" s="37">
        <f>IFERROR(IF(AND(ISNUMBER('SW OpInc'!N92),ISNUMBER('SW Rev'!N92),'SW Rev'!N92&gt;0),'SW OpInc'!N92/'SW Rev'!N92,""),"")</f>
        <v/>
      </c>
      <c r="K603" s="37">
        <f>IFERROR(IF(AND(ISNUMBER('SW OpInc'!O92),ISNUMBER('SW Rev'!O92),'SW Rev'!O92&gt;0),'SW OpInc'!O92/'SW Rev'!O92,""),"")</f>
        <v/>
      </c>
      <c r="L603" s="37">
        <f>IFERROR(IF(AND(ISNUMBER('SW OpInc'!P92),ISNUMBER('SW Rev'!P92),'SW Rev'!P92&gt;0),'SW OpInc'!P92/'SW Rev'!P92,""),"")</f>
        <v/>
      </c>
      <c r="M603" s="38">
        <f>IFERROR(IF(AND(ISNUMBER('SW OpInc'!Q92),ISNUMBER('SW Rev'!Q92),'SW Rev'!Q92&gt;0),'SW OpInc'!Q92/'SW Rev'!Q92,""),"")</f>
        <v/>
      </c>
      <c r="N603" s="38">
        <f>IFERROR(IF(AND(ISNUMBER('SW OpInc'!R92),ISNUMBER('SW Rev'!R92),'SW Rev'!R92&gt;0),'SW OpInc'!R92/'SW Rev'!R92,""),"")</f>
        <v/>
      </c>
    </row>
    <row r="604">
      <c r="A604" s="19">
        <f>'SW Rev'!$A93</f>
        <v/>
      </c>
      <c r="B604" s="19">
        <f>'SW Rev'!$B93</f>
        <v/>
      </c>
      <c r="C604" s="37">
        <f>IFERROR(IF(AND(ISNUMBER('SW OpInc'!G93),ISNUMBER('SW Rev'!G93),'SW Rev'!G93&gt;0),'SW OpInc'!G93/'SW Rev'!G93,""),"")</f>
        <v/>
      </c>
      <c r="D604" s="37">
        <f>IFERROR(IF(AND(ISNUMBER('SW OpInc'!H93),ISNUMBER('SW Rev'!H93),'SW Rev'!H93&gt;0),'SW OpInc'!H93/'SW Rev'!H93,""),"")</f>
        <v/>
      </c>
      <c r="E604" s="37">
        <f>IFERROR(IF(AND(ISNUMBER('SW OpInc'!I93),ISNUMBER('SW Rev'!I93),'SW Rev'!I93&gt;0),'SW OpInc'!I93/'SW Rev'!I93,""),"")</f>
        <v/>
      </c>
      <c r="F604" s="37">
        <f>IFERROR(IF(AND(ISNUMBER('SW OpInc'!J93),ISNUMBER('SW Rev'!J93),'SW Rev'!J93&gt;0),'SW OpInc'!J93/'SW Rev'!J93,""),"")</f>
        <v/>
      </c>
      <c r="G604" s="37">
        <f>IFERROR(IF(AND(ISNUMBER('SW OpInc'!K93),ISNUMBER('SW Rev'!K93),'SW Rev'!K93&gt;0),'SW OpInc'!K93/'SW Rev'!K93,""),"")</f>
        <v/>
      </c>
      <c r="H604" s="37">
        <f>IFERROR(IF(AND(ISNUMBER('SW OpInc'!L93),ISNUMBER('SW Rev'!L93),'SW Rev'!L93&gt;0),'SW OpInc'!L93/'SW Rev'!L93,""),"")</f>
        <v/>
      </c>
      <c r="I604" s="37">
        <f>IFERROR(IF(AND(ISNUMBER('SW OpInc'!M93),ISNUMBER('SW Rev'!M93),'SW Rev'!M93&gt;0),'SW OpInc'!M93/'SW Rev'!M93,""),"")</f>
        <v/>
      </c>
      <c r="J604" s="37">
        <f>IFERROR(IF(AND(ISNUMBER('SW OpInc'!N93),ISNUMBER('SW Rev'!N93),'SW Rev'!N93&gt;0),'SW OpInc'!N93/'SW Rev'!N93,""),"")</f>
        <v/>
      </c>
      <c r="K604" s="37">
        <f>IFERROR(IF(AND(ISNUMBER('SW OpInc'!O93),ISNUMBER('SW Rev'!O93),'SW Rev'!O93&gt;0),'SW OpInc'!O93/'SW Rev'!O93,""),"")</f>
        <v/>
      </c>
      <c r="L604" s="37">
        <f>IFERROR(IF(AND(ISNUMBER('SW OpInc'!P93),ISNUMBER('SW Rev'!P93),'SW Rev'!P93&gt;0),'SW OpInc'!P93/'SW Rev'!P93,""),"")</f>
        <v/>
      </c>
      <c r="M604" s="38">
        <f>IFERROR(IF(AND(ISNUMBER('SW OpInc'!Q93),ISNUMBER('SW Rev'!Q93),'SW Rev'!Q93&gt;0),'SW OpInc'!Q93/'SW Rev'!Q93,""),"")</f>
        <v/>
      </c>
      <c r="N604" s="38">
        <f>IFERROR(IF(AND(ISNUMBER('SW OpInc'!R93),ISNUMBER('SW Rev'!R93),'SW Rev'!R93&gt;0),'SW OpInc'!R93/'SW Rev'!R93,""),"")</f>
        <v/>
      </c>
    </row>
    <row r="605">
      <c r="A605" s="19">
        <f>'SW Rev'!$A94</f>
        <v/>
      </c>
      <c r="B605" s="19">
        <f>'SW Rev'!$B94</f>
        <v/>
      </c>
      <c r="C605" s="37">
        <f>IFERROR(IF(AND(ISNUMBER('SW OpInc'!G94),ISNUMBER('SW Rev'!G94),'SW Rev'!G94&gt;0),'SW OpInc'!G94/'SW Rev'!G94,""),"")</f>
        <v/>
      </c>
      <c r="D605" s="37">
        <f>IFERROR(IF(AND(ISNUMBER('SW OpInc'!H94),ISNUMBER('SW Rev'!H94),'SW Rev'!H94&gt;0),'SW OpInc'!H94/'SW Rev'!H94,""),"")</f>
        <v/>
      </c>
      <c r="E605" s="37">
        <f>IFERROR(IF(AND(ISNUMBER('SW OpInc'!I94),ISNUMBER('SW Rev'!I94),'SW Rev'!I94&gt;0),'SW OpInc'!I94/'SW Rev'!I94,""),"")</f>
        <v/>
      </c>
      <c r="F605" s="37">
        <f>IFERROR(IF(AND(ISNUMBER('SW OpInc'!J94),ISNUMBER('SW Rev'!J94),'SW Rev'!J94&gt;0),'SW OpInc'!J94/'SW Rev'!J94,""),"")</f>
        <v/>
      </c>
      <c r="G605" s="37">
        <f>IFERROR(IF(AND(ISNUMBER('SW OpInc'!K94),ISNUMBER('SW Rev'!K94),'SW Rev'!K94&gt;0),'SW OpInc'!K94/'SW Rev'!K94,""),"")</f>
        <v/>
      </c>
      <c r="H605" s="37">
        <f>IFERROR(IF(AND(ISNUMBER('SW OpInc'!L94),ISNUMBER('SW Rev'!L94),'SW Rev'!L94&gt;0),'SW OpInc'!L94/'SW Rev'!L94,""),"")</f>
        <v/>
      </c>
      <c r="I605" s="37">
        <f>IFERROR(IF(AND(ISNUMBER('SW OpInc'!M94),ISNUMBER('SW Rev'!M94),'SW Rev'!M94&gt;0),'SW OpInc'!M94/'SW Rev'!M94,""),"")</f>
        <v/>
      </c>
      <c r="J605" s="37">
        <f>IFERROR(IF(AND(ISNUMBER('SW OpInc'!N94),ISNUMBER('SW Rev'!N94),'SW Rev'!N94&gt;0),'SW OpInc'!N94/'SW Rev'!N94,""),"")</f>
        <v/>
      </c>
      <c r="K605" s="37">
        <f>IFERROR(IF(AND(ISNUMBER('SW OpInc'!O94),ISNUMBER('SW Rev'!O94),'SW Rev'!O94&gt;0),'SW OpInc'!O94/'SW Rev'!O94,""),"")</f>
        <v/>
      </c>
      <c r="L605" s="37">
        <f>IFERROR(IF(AND(ISNUMBER('SW OpInc'!P94),ISNUMBER('SW Rev'!P94),'SW Rev'!P94&gt;0),'SW OpInc'!P94/'SW Rev'!P94,""),"")</f>
        <v/>
      </c>
      <c r="M605" s="38">
        <f>IFERROR(IF(AND(ISNUMBER('SW OpInc'!Q94),ISNUMBER('SW Rev'!Q94),'SW Rev'!Q94&gt;0),'SW OpInc'!Q94/'SW Rev'!Q94,""),"")</f>
        <v/>
      </c>
      <c r="N605" s="38">
        <f>IFERROR(IF(AND(ISNUMBER('SW OpInc'!R94),ISNUMBER('SW Rev'!R94),'SW Rev'!R94&gt;0),'SW OpInc'!R94/'SW Rev'!R94,""),"")</f>
        <v/>
      </c>
    </row>
    <row r="606">
      <c r="A606" s="19">
        <f>'SW Rev'!$A95</f>
        <v/>
      </c>
      <c r="B606" s="19">
        <f>'SW Rev'!$B95</f>
        <v/>
      </c>
      <c r="C606" s="37">
        <f>IFERROR(IF(AND(ISNUMBER('SW OpInc'!G95),ISNUMBER('SW Rev'!G95),'SW Rev'!G95&gt;0),'SW OpInc'!G95/'SW Rev'!G95,""),"")</f>
        <v/>
      </c>
      <c r="D606" s="37">
        <f>IFERROR(IF(AND(ISNUMBER('SW OpInc'!H95),ISNUMBER('SW Rev'!H95),'SW Rev'!H95&gt;0),'SW OpInc'!H95/'SW Rev'!H95,""),"")</f>
        <v/>
      </c>
      <c r="E606" s="37">
        <f>IFERROR(IF(AND(ISNUMBER('SW OpInc'!I95),ISNUMBER('SW Rev'!I95),'SW Rev'!I95&gt;0),'SW OpInc'!I95/'SW Rev'!I95,""),"")</f>
        <v/>
      </c>
      <c r="F606" s="37">
        <f>IFERROR(IF(AND(ISNUMBER('SW OpInc'!J95),ISNUMBER('SW Rev'!J95),'SW Rev'!J95&gt;0),'SW OpInc'!J95/'SW Rev'!J95,""),"")</f>
        <v/>
      </c>
      <c r="G606" s="37">
        <f>IFERROR(IF(AND(ISNUMBER('SW OpInc'!K95),ISNUMBER('SW Rev'!K95),'SW Rev'!K95&gt;0),'SW OpInc'!K95/'SW Rev'!K95,""),"")</f>
        <v/>
      </c>
      <c r="H606" s="37">
        <f>IFERROR(IF(AND(ISNUMBER('SW OpInc'!L95),ISNUMBER('SW Rev'!L95),'SW Rev'!L95&gt;0),'SW OpInc'!L95/'SW Rev'!L95,""),"")</f>
        <v/>
      </c>
      <c r="I606" s="37">
        <f>IFERROR(IF(AND(ISNUMBER('SW OpInc'!M95),ISNUMBER('SW Rev'!M95),'SW Rev'!M95&gt;0),'SW OpInc'!M95/'SW Rev'!M95,""),"")</f>
        <v/>
      </c>
      <c r="J606" s="37">
        <f>IFERROR(IF(AND(ISNUMBER('SW OpInc'!N95),ISNUMBER('SW Rev'!N95),'SW Rev'!N95&gt;0),'SW OpInc'!N95/'SW Rev'!N95,""),"")</f>
        <v/>
      </c>
      <c r="K606" s="37">
        <f>IFERROR(IF(AND(ISNUMBER('SW OpInc'!O95),ISNUMBER('SW Rev'!O95),'SW Rev'!O95&gt;0),'SW OpInc'!O95/'SW Rev'!O95,""),"")</f>
        <v/>
      </c>
      <c r="L606" s="37">
        <f>IFERROR(IF(AND(ISNUMBER('SW OpInc'!P95),ISNUMBER('SW Rev'!P95),'SW Rev'!P95&gt;0),'SW OpInc'!P95/'SW Rev'!P95,""),"")</f>
        <v/>
      </c>
      <c r="M606" s="38">
        <f>IFERROR(IF(AND(ISNUMBER('SW OpInc'!Q95),ISNUMBER('SW Rev'!Q95),'SW Rev'!Q95&gt;0),'SW OpInc'!Q95/'SW Rev'!Q95,""),"")</f>
        <v/>
      </c>
      <c r="N606" s="38">
        <f>IFERROR(IF(AND(ISNUMBER('SW OpInc'!R95),ISNUMBER('SW Rev'!R95),'SW Rev'!R95&gt;0),'SW OpInc'!R95/'SW Rev'!R95,""),"")</f>
        <v/>
      </c>
    </row>
    <row r="607">
      <c r="A607" s="19">
        <f>'SW Rev'!$A96</f>
        <v/>
      </c>
      <c r="B607" s="19">
        <f>'SW Rev'!$B96</f>
        <v/>
      </c>
      <c r="C607" s="37">
        <f>IFERROR(IF(AND(ISNUMBER('SW OpInc'!G96),ISNUMBER('SW Rev'!G96),'SW Rev'!G96&gt;0),'SW OpInc'!G96/'SW Rev'!G96,""),"")</f>
        <v/>
      </c>
      <c r="D607" s="37">
        <f>IFERROR(IF(AND(ISNUMBER('SW OpInc'!H96),ISNUMBER('SW Rev'!H96),'SW Rev'!H96&gt;0),'SW OpInc'!H96/'SW Rev'!H96,""),"")</f>
        <v/>
      </c>
      <c r="E607" s="37">
        <f>IFERROR(IF(AND(ISNUMBER('SW OpInc'!I96),ISNUMBER('SW Rev'!I96),'SW Rev'!I96&gt;0),'SW OpInc'!I96/'SW Rev'!I96,""),"")</f>
        <v/>
      </c>
      <c r="F607" s="37">
        <f>IFERROR(IF(AND(ISNUMBER('SW OpInc'!J96),ISNUMBER('SW Rev'!J96),'SW Rev'!J96&gt;0),'SW OpInc'!J96/'SW Rev'!J96,""),"")</f>
        <v/>
      </c>
      <c r="G607" s="37">
        <f>IFERROR(IF(AND(ISNUMBER('SW OpInc'!K96),ISNUMBER('SW Rev'!K96),'SW Rev'!K96&gt;0),'SW OpInc'!K96/'SW Rev'!K96,""),"")</f>
        <v/>
      </c>
      <c r="H607" s="37">
        <f>IFERROR(IF(AND(ISNUMBER('SW OpInc'!L96),ISNUMBER('SW Rev'!L96),'SW Rev'!L96&gt;0),'SW OpInc'!L96/'SW Rev'!L96,""),"")</f>
        <v/>
      </c>
      <c r="I607" s="37">
        <f>IFERROR(IF(AND(ISNUMBER('SW OpInc'!M96),ISNUMBER('SW Rev'!M96),'SW Rev'!M96&gt;0),'SW OpInc'!M96/'SW Rev'!M96,""),"")</f>
        <v/>
      </c>
      <c r="J607" s="37">
        <f>IFERROR(IF(AND(ISNUMBER('SW OpInc'!N96),ISNUMBER('SW Rev'!N96),'SW Rev'!N96&gt;0),'SW OpInc'!N96/'SW Rev'!N96,""),"")</f>
        <v/>
      </c>
      <c r="K607" s="37">
        <f>IFERROR(IF(AND(ISNUMBER('SW OpInc'!O96),ISNUMBER('SW Rev'!O96),'SW Rev'!O96&gt;0),'SW OpInc'!O96/'SW Rev'!O96,""),"")</f>
        <v/>
      </c>
      <c r="L607" s="37">
        <f>IFERROR(IF(AND(ISNUMBER('SW OpInc'!P96),ISNUMBER('SW Rev'!P96),'SW Rev'!P96&gt;0),'SW OpInc'!P96/'SW Rev'!P96,""),"")</f>
        <v/>
      </c>
      <c r="M607" s="38">
        <f>IFERROR(IF(AND(ISNUMBER('SW OpInc'!Q96),ISNUMBER('SW Rev'!Q96),'SW Rev'!Q96&gt;0),'SW OpInc'!Q96/'SW Rev'!Q96,""),"")</f>
        <v/>
      </c>
      <c r="N607" s="38">
        <f>IFERROR(IF(AND(ISNUMBER('SW OpInc'!R96),ISNUMBER('SW Rev'!R96),'SW Rev'!R96&gt;0),'SW OpInc'!R96/'SW Rev'!R96,""),"")</f>
        <v/>
      </c>
    </row>
    <row r="608">
      <c r="A608" s="19">
        <f>'SW Rev'!$A97</f>
        <v/>
      </c>
      <c r="B608" s="19">
        <f>'SW Rev'!$B97</f>
        <v/>
      </c>
      <c r="C608" s="37">
        <f>IFERROR(IF(AND(ISNUMBER('SW OpInc'!G97),ISNUMBER('SW Rev'!G97),'SW Rev'!G97&gt;0),'SW OpInc'!G97/'SW Rev'!G97,""),"")</f>
        <v/>
      </c>
      <c r="D608" s="37">
        <f>IFERROR(IF(AND(ISNUMBER('SW OpInc'!H97),ISNUMBER('SW Rev'!H97),'SW Rev'!H97&gt;0),'SW OpInc'!H97/'SW Rev'!H97,""),"")</f>
        <v/>
      </c>
      <c r="E608" s="37">
        <f>IFERROR(IF(AND(ISNUMBER('SW OpInc'!I97),ISNUMBER('SW Rev'!I97),'SW Rev'!I97&gt;0),'SW OpInc'!I97/'SW Rev'!I97,""),"")</f>
        <v/>
      </c>
      <c r="F608" s="37">
        <f>IFERROR(IF(AND(ISNUMBER('SW OpInc'!J97),ISNUMBER('SW Rev'!J97),'SW Rev'!J97&gt;0),'SW OpInc'!J97/'SW Rev'!J97,""),"")</f>
        <v/>
      </c>
      <c r="G608" s="37">
        <f>IFERROR(IF(AND(ISNUMBER('SW OpInc'!K97),ISNUMBER('SW Rev'!K97),'SW Rev'!K97&gt;0),'SW OpInc'!K97/'SW Rev'!K97,""),"")</f>
        <v/>
      </c>
      <c r="H608" s="37">
        <f>IFERROR(IF(AND(ISNUMBER('SW OpInc'!L97),ISNUMBER('SW Rev'!L97),'SW Rev'!L97&gt;0),'SW OpInc'!L97/'SW Rev'!L97,""),"")</f>
        <v/>
      </c>
      <c r="I608" s="37">
        <f>IFERROR(IF(AND(ISNUMBER('SW OpInc'!M97),ISNUMBER('SW Rev'!M97),'SW Rev'!M97&gt;0),'SW OpInc'!M97/'SW Rev'!M97,""),"")</f>
        <v/>
      </c>
      <c r="J608" s="37">
        <f>IFERROR(IF(AND(ISNUMBER('SW OpInc'!N97),ISNUMBER('SW Rev'!N97),'SW Rev'!N97&gt;0),'SW OpInc'!N97/'SW Rev'!N97,""),"")</f>
        <v/>
      </c>
      <c r="K608" s="37">
        <f>IFERROR(IF(AND(ISNUMBER('SW OpInc'!O97),ISNUMBER('SW Rev'!O97),'SW Rev'!O97&gt;0),'SW OpInc'!O97/'SW Rev'!O97,""),"")</f>
        <v/>
      </c>
      <c r="L608" s="37">
        <f>IFERROR(IF(AND(ISNUMBER('SW OpInc'!P97),ISNUMBER('SW Rev'!P97),'SW Rev'!P97&gt;0),'SW OpInc'!P97/'SW Rev'!P97,""),"")</f>
        <v/>
      </c>
      <c r="M608" s="38">
        <f>IFERROR(IF(AND(ISNUMBER('SW OpInc'!Q97),ISNUMBER('SW Rev'!Q97),'SW Rev'!Q97&gt;0),'SW OpInc'!Q97/'SW Rev'!Q97,""),"")</f>
        <v/>
      </c>
      <c r="N608" s="38">
        <f>IFERROR(IF(AND(ISNUMBER('SW OpInc'!R97),ISNUMBER('SW Rev'!R97),'SW Rev'!R97&gt;0),'SW OpInc'!R97/'SW Rev'!R97,""),"")</f>
        <v/>
      </c>
    </row>
    <row r="609">
      <c r="A609" s="19">
        <f>'SW Rev'!$A98</f>
        <v/>
      </c>
      <c r="B609" s="19">
        <f>'SW Rev'!$B98</f>
        <v/>
      </c>
      <c r="C609" s="37">
        <f>IFERROR(IF(AND(ISNUMBER('SW OpInc'!G98),ISNUMBER('SW Rev'!G98),'SW Rev'!G98&gt;0),'SW OpInc'!G98/'SW Rev'!G98,""),"")</f>
        <v/>
      </c>
      <c r="D609" s="37">
        <f>IFERROR(IF(AND(ISNUMBER('SW OpInc'!H98),ISNUMBER('SW Rev'!H98),'SW Rev'!H98&gt;0),'SW OpInc'!H98/'SW Rev'!H98,""),"")</f>
        <v/>
      </c>
      <c r="E609" s="37">
        <f>IFERROR(IF(AND(ISNUMBER('SW OpInc'!I98),ISNUMBER('SW Rev'!I98),'SW Rev'!I98&gt;0),'SW OpInc'!I98/'SW Rev'!I98,""),"")</f>
        <v/>
      </c>
      <c r="F609" s="37">
        <f>IFERROR(IF(AND(ISNUMBER('SW OpInc'!J98),ISNUMBER('SW Rev'!J98),'SW Rev'!J98&gt;0),'SW OpInc'!J98/'SW Rev'!J98,""),"")</f>
        <v/>
      </c>
      <c r="G609" s="37">
        <f>IFERROR(IF(AND(ISNUMBER('SW OpInc'!K98),ISNUMBER('SW Rev'!K98),'SW Rev'!K98&gt;0),'SW OpInc'!K98/'SW Rev'!K98,""),"")</f>
        <v/>
      </c>
      <c r="H609" s="37">
        <f>IFERROR(IF(AND(ISNUMBER('SW OpInc'!L98),ISNUMBER('SW Rev'!L98),'SW Rev'!L98&gt;0),'SW OpInc'!L98/'SW Rev'!L98,""),"")</f>
        <v/>
      </c>
      <c r="I609" s="37">
        <f>IFERROR(IF(AND(ISNUMBER('SW OpInc'!M98),ISNUMBER('SW Rev'!M98),'SW Rev'!M98&gt;0),'SW OpInc'!M98/'SW Rev'!M98,""),"")</f>
        <v/>
      </c>
      <c r="J609" s="37">
        <f>IFERROR(IF(AND(ISNUMBER('SW OpInc'!N98),ISNUMBER('SW Rev'!N98),'SW Rev'!N98&gt;0),'SW OpInc'!N98/'SW Rev'!N98,""),"")</f>
        <v/>
      </c>
      <c r="K609" s="37">
        <f>IFERROR(IF(AND(ISNUMBER('SW OpInc'!O98),ISNUMBER('SW Rev'!O98),'SW Rev'!O98&gt;0),'SW OpInc'!O98/'SW Rev'!O98,""),"")</f>
        <v/>
      </c>
      <c r="L609" s="37">
        <f>IFERROR(IF(AND(ISNUMBER('SW OpInc'!P98),ISNUMBER('SW Rev'!P98),'SW Rev'!P98&gt;0),'SW OpInc'!P98/'SW Rev'!P98,""),"")</f>
        <v/>
      </c>
      <c r="M609" s="38">
        <f>IFERROR(IF(AND(ISNUMBER('SW OpInc'!Q98),ISNUMBER('SW Rev'!Q98),'SW Rev'!Q98&gt;0),'SW OpInc'!Q98/'SW Rev'!Q98,""),"")</f>
        <v/>
      </c>
      <c r="N609" s="38">
        <f>IFERROR(IF(AND(ISNUMBER('SW OpInc'!R98),ISNUMBER('SW Rev'!R98),'SW Rev'!R98&gt;0),'SW OpInc'!R98/'SW Rev'!R98,""),"")</f>
        <v/>
      </c>
    </row>
    <row r="610">
      <c r="A610" s="19">
        <f>'SW Rev'!$A99</f>
        <v/>
      </c>
      <c r="B610" s="19">
        <f>'SW Rev'!$B99</f>
        <v/>
      </c>
      <c r="C610" s="37">
        <f>IFERROR(IF(AND(ISNUMBER('SW OpInc'!G99),ISNUMBER('SW Rev'!G99),'SW Rev'!G99&gt;0),'SW OpInc'!G99/'SW Rev'!G99,""),"")</f>
        <v/>
      </c>
      <c r="D610" s="37">
        <f>IFERROR(IF(AND(ISNUMBER('SW OpInc'!H99),ISNUMBER('SW Rev'!H99),'SW Rev'!H99&gt;0),'SW OpInc'!H99/'SW Rev'!H99,""),"")</f>
        <v/>
      </c>
      <c r="E610" s="37">
        <f>IFERROR(IF(AND(ISNUMBER('SW OpInc'!I99),ISNUMBER('SW Rev'!I99),'SW Rev'!I99&gt;0),'SW OpInc'!I99/'SW Rev'!I99,""),"")</f>
        <v/>
      </c>
      <c r="F610" s="37">
        <f>IFERROR(IF(AND(ISNUMBER('SW OpInc'!J99),ISNUMBER('SW Rev'!J99),'SW Rev'!J99&gt;0),'SW OpInc'!J99/'SW Rev'!J99,""),"")</f>
        <v/>
      </c>
      <c r="G610" s="37">
        <f>IFERROR(IF(AND(ISNUMBER('SW OpInc'!K99),ISNUMBER('SW Rev'!K99),'SW Rev'!K99&gt;0),'SW OpInc'!K99/'SW Rev'!K99,""),"")</f>
        <v/>
      </c>
      <c r="H610" s="37">
        <f>IFERROR(IF(AND(ISNUMBER('SW OpInc'!L99),ISNUMBER('SW Rev'!L99),'SW Rev'!L99&gt;0),'SW OpInc'!L99/'SW Rev'!L99,""),"")</f>
        <v/>
      </c>
      <c r="I610" s="37">
        <f>IFERROR(IF(AND(ISNUMBER('SW OpInc'!M99),ISNUMBER('SW Rev'!M99),'SW Rev'!M99&gt;0),'SW OpInc'!M99/'SW Rev'!M99,""),"")</f>
        <v/>
      </c>
      <c r="J610" s="37">
        <f>IFERROR(IF(AND(ISNUMBER('SW OpInc'!N99),ISNUMBER('SW Rev'!N99),'SW Rev'!N99&gt;0),'SW OpInc'!N99/'SW Rev'!N99,""),"")</f>
        <v/>
      </c>
      <c r="K610" s="37">
        <f>IFERROR(IF(AND(ISNUMBER('SW OpInc'!O99),ISNUMBER('SW Rev'!O99),'SW Rev'!O99&gt;0),'SW OpInc'!O99/'SW Rev'!O99,""),"")</f>
        <v/>
      </c>
      <c r="L610" s="37">
        <f>IFERROR(IF(AND(ISNUMBER('SW OpInc'!P99),ISNUMBER('SW Rev'!P99),'SW Rev'!P99&gt;0),'SW OpInc'!P99/'SW Rev'!P99,""),"")</f>
        <v/>
      </c>
      <c r="M610" s="38">
        <f>IFERROR(IF(AND(ISNUMBER('SW OpInc'!Q99),ISNUMBER('SW Rev'!Q99),'SW Rev'!Q99&gt;0),'SW OpInc'!Q99/'SW Rev'!Q99,""),"")</f>
        <v/>
      </c>
      <c r="N610" s="38">
        <f>IFERROR(IF(AND(ISNUMBER('SW OpInc'!R99),ISNUMBER('SW Rev'!R99),'SW Rev'!R99&gt;0),'SW OpInc'!R99/'SW Rev'!R99,""),"")</f>
        <v/>
      </c>
    </row>
    <row r="611">
      <c r="A611" s="19">
        <f>'SW Rev'!$A100</f>
        <v/>
      </c>
      <c r="B611" s="19">
        <f>'SW Rev'!$B100</f>
        <v/>
      </c>
      <c r="C611" s="37">
        <f>IFERROR(IF(AND(ISNUMBER('SW OpInc'!G100),ISNUMBER('SW Rev'!G100),'SW Rev'!G100&gt;0),'SW OpInc'!G100/'SW Rev'!G100,""),"")</f>
        <v/>
      </c>
      <c r="D611" s="37">
        <f>IFERROR(IF(AND(ISNUMBER('SW OpInc'!H100),ISNUMBER('SW Rev'!H100),'SW Rev'!H100&gt;0),'SW OpInc'!H100/'SW Rev'!H100,""),"")</f>
        <v/>
      </c>
      <c r="E611" s="37">
        <f>IFERROR(IF(AND(ISNUMBER('SW OpInc'!I100),ISNUMBER('SW Rev'!I100),'SW Rev'!I100&gt;0),'SW OpInc'!I100/'SW Rev'!I100,""),"")</f>
        <v/>
      </c>
      <c r="F611" s="37">
        <f>IFERROR(IF(AND(ISNUMBER('SW OpInc'!J100),ISNUMBER('SW Rev'!J100),'SW Rev'!J100&gt;0),'SW OpInc'!J100/'SW Rev'!J100,""),"")</f>
        <v/>
      </c>
      <c r="G611" s="37">
        <f>IFERROR(IF(AND(ISNUMBER('SW OpInc'!K100),ISNUMBER('SW Rev'!K100),'SW Rev'!K100&gt;0),'SW OpInc'!K100/'SW Rev'!K100,""),"")</f>
        <v/>
      </c>
      <c r="H611" s="37">
        <f>IFERROR(IF(AND(ISNUMBER('SW OpInc'!L100),ISNUMBER('SW Rev'!L100),'SW Rev'!L100&gt;0),'SW OpInc'!L100/'SW Rev'!L100,""),"")</f>
        <v/>
      </c>
      <c r="I611" s="37">
        <f>IFERROR(IF(AND(ISNUMBER('SW OpInc'!M100),ISNUMBER('SW Rev'!M100),'SW Rev'!M100&gt;0),'SW OpInc'!M100/'SW Rev'!M100,""),"")</f>
        <v/>
      </c>
      <c r="J611" s="37">
        <f>IFERROR(IF(AND(ISNUMBER('SW OpInc'!N100),ISNUMBER('SW Rev'!N100),'SW Rev'!N100&gt;0),'SW OpInc'!N100/'SW Rev'!N100,""),"")</f>
        <v/>
      </c>
      <c r="K611" s="37">
        <f>IFERROR(IF(AND(ISNUMBER('SW OpInc'!O100),ISNUMBER('SW Rev'!O100),'SW Rev'!O100&gt;0),'SW OpInc'!O100/'SW Rev'!O100,""),"")</f>
        <v/>
      </c>
      <c r="L611" s="37">
        <f>IFERROR(IF(AND(ISNUMBER('SW OpInc'!P100),ISNUMBER('SW Rev'!P100),'SW Rev'!P100&gt;0),'SW OpInc'!P100/'SW Rev'!P100,""),"")</f>
        <v/>
      </c>
      <c r="M611" s="38">
        <f>IFERROR(IF(AND(ISNUMBER('SW OpInc'!Q100),ISNUMBER('SW Rev'!Q100),'SW Rev'!Q100&gt;0),'SW OpInc'!Q100/'SW Rev'!Q100,""),"")</f>
        <v/>
      </c>
      <c r="N611" s="38">
        <f>IFERROR(IF(AND(ISNUMBER('SW OpInc'!R100),ISNUMBER('SW Rev'!R100),'SW Rev'!R100&gt;0),'SW OpInc'!R100/'SW Rev'!R100,""),"")</f>
        <v/>
      </c>
    </row>
    <row r="612">
      <c r="A612" s="19">
        <f>'SW Rev'!$A101</f>
        <v/>
      </c>
      <c r="B612" s="19">
        <f>'SW Rev'!$B101</f>
        <v/>
      </c>
      <c r="C612" s="37">
        <f>IFERROR(IF(AND(ISNUMBER('SW OpInc'!G101),ISNUMBER('SW Rev'!G101),'SW Rev'!G101&gt;0),'SW OpInc'!G101/'SW Rev'!G101,""),"")</f>
        <v/>
      </c>
      <c r="D612" s="37">
        <f>IFERROR(IF(AND(ISNUMBER('SW OpInc'!H101),ISNUMBER('SW Rev'!H101),'SW Rev'!H101&gt;0),'SW OpInc'!H101/'SW Rev'!H101,""),"")</f>
        <v/>
      </c>
      <c r="E612" s="37">
        <f>IFERROR(IF(AND(ISNUMBER('SW OpInc'!I101),ISNUMBER('SW Rev'!I101),'SW Rev'!I101&gt;0),'SW OpInc'!I101/'SW Rev'!I101,""),"")</f>
        <v/>
      </c>
      <c r="F612" s="37">
        <f>IFERROR(IF(AND(ISNUMBER('SW OpInc'!J101),ISNUMBER('SW Rev'!J101),'SW Rev'!J101&gt;0),'SW OpInc'!J101/'SW Rev'!J101,""),"")</f>
        <v/>
      </c>
      <c r="G612" s="37">
        <f>IFERROR(IF(AND(ISNUMBER('SW OpInc'!K101),ISNUMBER('SW Rev'!K101),'SW Rev'!K101&gt;0),'SW OpInc'!K101/'SW Rev'!K101,""),"")</f>
        <v/>
      </c>
      <c r="H612" s="37">
        <f>IFERROR(IF(AND(ISNUMBER('SW OpInc'!L101),ISNUMBER('SW Rev'!L101),'SW Rev'!L101&gt;0),'SW OpInc'!L101/'SW Rev'!L101,""),"")</f>
        <v/>
      </c>
      <c r="I612" s="37">
        <f>IFERROR(IF(AND(ISNUMBER('SW OpInc'!M101),ISNUMBER('SW Rev'!M101),'SW Rev'!M101&gt;0),'SW OpInc'!M101/'SW Rev'!M101,""),"")</f>
        <v/>
      </c>
      <c r="J612" s="37">
        <f>IFERROR(IF(AND(ISNUMBER('SW OpInc'!N101),ISNUMBER('SW Rev'!N101),'SW Rev'!N101&gt;0),'SW OpInc'!N101/'SW Rev'!N101,""),"")</f>
        <v/>
      </c>
      <c r="K612" s="37">
        <f>IFERROR(IF(AND(ISNUMBER('SW OpInc'!O101),ISNUMBER('SW Rev'!O101),'SW Rev'!O101&gt;0),'SW OpInc'!O101/'SW Rev'!O101,""),"")</f>
        <v/>
      </c>
      <c r="L612" s="37">
        <f>IFERROR(IF(AND(ISNUMBER('SW OpInc'!P101),ISNUMBER('SW Rev'!P101),'SW Rev'!P101&gt;0),'SW OpInc'!P101/'SW Rev'!P101,""),"")</f>
        <v/>
      </c>
      <c r="M612" s="38">
        <f>IFERROR(IF(AND(ISNUMBER('SW OpInc'!Q101),ISNUMBER('SW Rev'!Q101),'SW Rev'!Q101&gt;0),'SW OpInc'!Q101/'SW Rev'!Q101,""),"")</f>
        <v/>
      </c>
      <c r="N612" s="38">
        <f>IFERROR(IF(AND(ISNUMBER('SW OpInc'!R101),ISNUMBER('SW Rev'!R101),'SW Rev'!R101&gt;0),'SW OpInc'!R101/'SW Rev'!R101,""),"")</f>
        <v/>
      </c>
    </row>
    <row r="613">
      <c r="A613" s="19">
        <f>'SW Rev'!$A102</f>
        <v/>
      </c>
      <c r="B613" s="19">
        <f>'SW Rev'!$B102</f>
        <v/>
      </c>
      <c r="C613" s="37">
        <f>IFERROR(IF(AND(ISNUMBER('SW OpInc'!G102),ISNUMBER('SW Rev'!G102),'SW Rev'!G102&gt;0),'SW OpInc'!G102/'SW Rev'!G102,""),"")</f>
        <v/>
      </c>
      <c r="D613" s="37">
        <f>IFERROR(IF(AND(ISNUMBER('SW OpInc'!H102),ISNUMBER('SW Rev'!H102),'SW Rev'!H102&gt;0),'SW OpInc'!H102/'SW Rev'!H102,""),"")</f>
        <v/>
      </c>
      <c r="E613" s="37">
        <f>IFERROR(IF(AND(ISNUMBER('SW OpInc'!I102),ISNUMBER('SW Rev'!I102),'SW Rev'!I102&gt;0),'SW OpInc'!I102/'SW Rev'!I102,""),"")</f>
        <v/>
      </c>
      <c r="F613" s="37">
        <f>IFERROR(IF(AND(ISNUMBER('SW OpInc'!J102),ISNUMBER('SW Rev'!J102),'SW Rev'!J102&gt;0),'SW OpInc'!J102/'SW Rev'!J102,""),"")</f>
        <v/>
      </c>
      <c r="G613" s="37">
        <f>IFERROR(IF(AND(ISNUMBER('SW OpInc'!K102),ISNUMBER('SW Rev'!K102),'SW Rev'!K102&gt;0),'SW OpInc'!K102/'SW Rev'!K102,""),"")</f>
        <v/>
      </c>
      <c r="H613" s="37">
        <f>IFERROR(IF(AND(ISNUMBER('SW OpInc'!L102),ISNUMBER('SW Rev'!L102),'SW Rev'!L102&gt;0),'SW OpInc'!L102/'SW Rev'!L102,""),"")</f>
        <v/>
      </c>
      <c r="I613" s="37">
        <f>IFERROR(IF(AND(ISNUMBER('SW OpInc'!M102),ISNUMBER('SW Rev'!M102),'SW Rev'!M102&gt;0),'SW OpInc'!M102/'SW Rev'!M102,""),"")</f>
        <v/>
      </c>
      <c r="J613" s="37">
        <f>IFERROR(IF(AND(ISNUMBER('SW OpInc'!N102),ISNUMBER('SW Rev'!N102),'SW Rev'!N102&gt;0),'SW OpInc'!N102/'SW Rev'!N102,""),"")</f>
        <v/>
      </c>
      <c r="K613" s="37">
        <f>IFERROR(IF(AND(ISNUMBER('SW OpInc'!O102),ISNUMBER('SW Rev'!O102),'SW Rev'!O102&gt;0),'SW OpInc'!O102/'SW Rev'!O102,""),"")</f>
        <v/>
      </c>
      <c r="L613" s="37">
        <f>IFERROR(IF(AND(ISNUMBER('SW OpInc'!P102),ISNUMBER('SW Rev'!P102),'SW Rev'!P102&gt;0),'SW OpInc'!P102/'SW Rev'!P102,""),"")</f>
        <v/>
      </c>
      <c r="M613" s="38">
        <f>IFERROR(IF(AND(ISNUMBER('SW OpInc'!Q102),ISNUMBER('SW Rev'!Q102),'SW Rev'!Q102&gt;0),'SW OpInc'!Q102/'SW Rev'!Q102,""),"")</f>
        <v/>
      </c>
      <c r="N613" s="38">
        <f>IFERROR(IF(AND(ISNUMBER('SW OpInc'!R102),ISNUMBER('SW Rev'!R102),'SW Rev'!R102&gt;0),'SW OpInc'!R102/'SW Rev'!R102,""),"")</f>
        <v/>
      </c>
    </row>
    <row r="614">
      <c r="A614" s="19">
        <f>'SW Rev'!$A103</f>
        <v/>
      </c>
      <c r="B614" s="19">
        <f>'SW Rev'!$B103</f>
        <v/>
      </c>
      <c r="C614" s="37">
        <f>IFERROR(IF(AND(ISNUMBER('SW OpInc'!G103),ISNUMBER('SW Rev'!G103),'SW Rev'!G103&gt;0),'SW OpInc'!G103/'SW Rev'!G103,""),"")</f>
        <v/>
      </c>
      <c r="D614" s="37">
        <f>IFERROR(IF(AND(ISNUMBER('SW OpInc'!H103),ISNUMBER('SW Rev'!H103),'SW Rev'!H103&gt;0),'SW OpInc'!H103/'SW Rev'!H103,""),"")</f>
        <v/>
      </c>
      <c r="E614" s="37">
        <f>IFERROR(IF(AND(ISNUMBER('SW OpInc'!I103),ISNUMBER('SW Rev'!I103),'SW Rev'!I103&gt;0),'SW OpInc'!I103/'SW Rev'!I103,""),"")</f>
        <v/>
      </c>
      <c r="F614" s="37">
        <f>IFERROR(IF(AND(ISNUMBER('SW OpInc'!J103),ISNUMBER('SW Rev'!J103),'SW Rev'!J103&gt;0),'SW OpInc'!J103/'SW Rev'!J103,""),"")</f>
        <v/>
      </c>
      <c r="G614" s="37">
        <f>IFERROR(IF(AND(ISNUMBER('SW OpInc'!K103),ISNUMBER('SW Rev'!K103),'SW Rev'!K103&gt;0),'SW OpInc'!K103/'SW Rev'!K103,""),"")</f>
        <v/>
      </c>
      <c r="H614" s="37">
        <f>IFERROR(IF(AND(ISNUMBER('SW OpInc'!L103),ISNUMBER('SW Rev'!L103),'SW Rev'!L103&gt;0),'SW OpInc'!L103/'SW Rev'!L103,""),"")</f>
        <v/>
      </c>
      <c r="I614" s="37">
        <f>IFERROR(IF(AND(ISNUMBER('SW OpInc'!M103),ISNUMBER('SW Rev'!M103),'SW Rev'!M103&gt;0),'SW OpInc'!M103/'SW Rev'!M103,""),"")</f>
        <v/>
      </c>
      <c r="J614" s="37">
        <f>IFERROR(IF(AND(ISNUMBER('SW OpInc'!N103),ISNUMBER('SW Rev'!N103),'SW Rev'!N103&gt;0),'SW OpInc'!N103/'SW Rev'!N103,""),"")</f>
        <v/>
      </c>
      <c r="K614" s="37">
        <f>IFERROR(IF(AND(ISNUMBER('SW OpInc'!O103),ISNUMBER('SW Rev'!O103),'SW Rev'!O103&gt;0),'SW OpInc'!O103/'SW Rev'!O103,""),"")</f>
        <v/>
      </c>
      <c r="L614" s="37">
        <f>IFERROR(IF(AND(ISNUMBER('SW OpInc'!P103),ISNUMBER('SW Rev'!P103),'SW Rev'!P103&gt;0),'SW OpInc'!P103/'SW Rev'!P103,""),"")</f>
        <v/>
      </c>
      <c r="M614" s="38">
        <f>IFERROR(IF(AND(ISNUMBER('SW OpInc'!Q103),ISNUMBER('SW Rev'!Q103),'SW Rev'!Q103&gt;0),'SW OpInc'!Q103/'SW Rev'!Q103,""),"")</f>
        <v/>
      </c>
      <c r="N614" s="38">
        <f>IFERROR(IF(AND(ISNUMBER('SW OpInc'!R103),ISNUMBER('SW Rev'!R103),'SW Rev'!R103&gt;0),'SW OpInc'!R103/'SW Rev'!R103,""),"")</f>
        <v/>
      </c>
    </row>
    <row r="616">
      <c r="A616" s="49" t="inlineStr">
        <is>
          <t>Op margin expansion YoY (bps)</t>
        </is>
      </c>
      <c r="B616" s="50" t="n"/>
      <c r="C616" s="50" t="n"/>
      <c r="D616" s="50" t="n"/>
      <c r="E616" s="50" t="n"/>
      <c r="F616" s="50" t="n"/>
      <c r="G616" s="50" t="n"/>
      <c r="H616" s="50" t="n"/>
      <c r="I616" s="50" t="n"/>
      <c r="J616" s="50" t="n"/>
      <c r="K616" s="50" t="n"/>
      <c r="L616" s="50" t="n"/>
      <c r="M616" s="50" t="n"/>
      <c r="N616" s="50" t="n"/>
    </row>
    <row r="617" ht="28" customHeight="1">
      <c r="A617" s="8" t="inlineStr">
        <is>
          <t>Ticker</t>
        </is>
      </c>
      <c r="B617" s="8" t="inlineStr">
        <is>
          <t>Latest Rpt Qtr</t>
        </is>
      </c>
      <c r="C617" s="8" t="inlineStr">
        <is>
          <t>FPO -9</t>
        </is>
      </c>
      <c r="D617" s="8" t="inlineStr">
        <is>
          <t>FPO -8</t>
        </is>
      </c>
      <c r="E617" s="8" t="inlineStr">
        <is>
          <t>FPO -7</t>
        </is>
      </c>
      <c r="F617" s="8" t="inlineStr">
        <is>
          <t>FPO -6</t>
        </is>
      </c>
      <c r="G617" s="8" t="inlineStr">
        <is>
          <t>FPO -5</t>
        </is>
      </c>
      <c r="H617" s="8" t="inlineStr">
        <is>
          <t>FPO -4</t>
        </is>
      </c>
      <c r="I617" s="8" t="inlineStr">
        <is>
          <t>FPO -3</t>
        </is>
      </c>
      <c r="J617" s="8" t="inlineStr">
        <is>
          <t>FPO -2</t>
        </is>
      </c>
      <c r="K617" s="8" t="inlineStr">
        <is>
          <t>FPO -1</t>
        </is>
      </c>
      <c r="L617" s="8" t="inlineStr">
        <is>
          <t>FPO 0 (latest rpt)</t>
        </is>
      </c>
      <c r="M617" s="8" t="inlineStr">
        <is>
          <t>FPO +1E</t>
        </is>
      </c>
      <c r="N617" s="8" t="inlineStr">
        <is>
          <t>FPO +2E</t>
        </is>
      </c>
    </row>
    <row r="618">
      <c r="A618" s="19">
        <f>'SW Rev'!$A5</f>
        <v/>
      </c>
      <c r="B618" s="19">
        <f>'SW Rev'!$B5</f>
        <v/>
      </c>
      <c r="C618" s="43">
        <f>IFERROR(IF(AND(ISNUMBER('SW OpInc'!G5),ISNUMBER('SW Rev'!G5),ISNUMBER('SW OpInc'!C5),ISNUMBER('SW Rev'!C5),'SW Rev'!G5&gt;0,'SW Rev'!C5&gt;0),('SW OpInc'!G5/'SW Rev'!G5-'SW OpInc'!C5/'SW Rev'!C5)*10000,""),"")</f>
        <v/>
      </c>
      <c r="D618" s="43">
        <f>IFERROR(IF(AND(ISNUMBER('SW OpInc'!H5),ISNUMBER('SW Rev'!H5),ISNUMBER('SW OpInc'!D5),ISNUMBER('SW Rev'!D5),'SW Rev'!H5&gt;0,'SW Rev'!D5&gt;0),('SW OpInc'!H5/'SW Rev'!H5-'SW OpInc'!D5/'SW Rev'!D5)*10000,""),"")</f>
        <v/>
      </c>
      <c r="E618" s="43">
        <f>IFERROR(IF(AND(ISNUMBER('SW OpInc'!I5),ISNUMBER('SW Rev'!I5),ISNUMBER('SW OpInc'!E5),ISNUMBER('SW Rev'!E5),'SW Rev'!I5&gt;0,'SW Rev'!E5&gt;0),('SW OpInc'!I5/'SW Rev'!I5-'SW OpInc'!E5/'SW Rev'!E5)*10000,""),"")</f>
        <v/>
      </c>
      <c r="F618" s="43">
        <f>IFERROR(IF(AND(ISNUMBER('SW OpInc'!J5),ISNUMBER('SW Rev'!J5),ISNUMBER('SW OpInc'!F5),ISNUMBER('SW Rev'!F5),'SW Rev'!J5&gt;0,'SW Rev'!F5&gt;0),('SW OpInc'!J5/'SW Rev'!J5-'SW OpInc'!F5/'SW Rev'!F5)*10000,""),"")</f>
        <v/>
      </c>
      <c r="G618" s="43">
        <f>IFERROR(IF(AND(ISNUMBER('SW OpInc'!K5),ISNUMBER('SW Rev'!K5),ISNUMBER('SW OpInc'!G5),ISNUMBER('SW Rev'!G5),'SW Rev'!K5&gt;0,'SW Rev'!G5&gt;0),('SW OpInc'!K5/'SW Rev'!K5-'SW OpInc'!G5/'SW Rev'!G5)*10000,""),"")</f>
        <v/>
      </c>
      <c r="H618" s="43">
        <f>IFERROR(IF(AND(ISNUMBER('SW OpInc'!L5),ISNUMBER('SW Rev'!L5),ISNUMBER('SW OpInc'!H5),ISNUMBER('SW Rev'!H5),'SW Rev'!L5&gt;0,'SW Rev'!H5&gt;0),('SW OpInc'!L5/'SW Rev'!L5-'SW OpInc'!H5/'SW Rev'!H5)*10000,""),"")</f>
        <v/>
      </c>
      <c r="I618" s="43">
        <f>IFERROR(IF(AND(ISNUMBER('SW OpInc'!M5),ISNUMBER('SW Rev'!M5),ISNUMBER('SW OpInc'!I5),ISNUMBER('SW Rev'!I5),'SW Rev'!M5&gt;0,'SW Rev'!I5&gt;0),('SW OpInc'!M5/'SW Rev'!M5-'SW OpInc'!I5/'SW Rev'!I5)*10000,""),"")</f>
        <v/>
      </c>
      <c r="J618" s="43">
        <f>IFERROR(IF(AND(ISNUMBER('SW OpInc'!N5),ISNUMBER('SW Rev'!N5),ISNUMBER('SW OpInc'!J5),ISNUMBER('SW Rev'!J5),'SW Rev'!N5&gt;0,'SW Rev'!J5&gt;0),('SW OpInc'!N5/'SW Rev'!N5-'SW OpInc'!J5/'SW Rev'!J5)*10000,""),"")</f>
        <v/>
      </c>
      <c r="K618" s="43">
        <f>IFERROR(IF(AND(ISNUMBER('SW OpInc'!O5),ISNUMBER('SW Rev'!O5),ISNUMBER('SW OpInc'!K5),ISNUMBER('SW Rev'!K5),'SW Rev'!O5&gt;0,'SW Rev'!K5&gt;0),('SW OpInc'!O5/'SW Rev'!O5-'SW OpInc'!K5/'SW Rev'!K5)*10000,""),"")</f>
        <v/>
      </c>
      <c r="L618" s="43">
        <f>IFERROR(IF(AND(ISNUMBER('SW OpInc'!P5),ISNUMBER('SW Rev'!P5),ISNUMBER('SW OpInc'!L5),ISNUMBER('SW Rev'!L5),'SW Rev'!P5&gt;0,'SW Rev'!L5&gt;0),('SW OpInc'!P5/'SW Rev'!P5-'SW OpInc'!L5/'SW Rev'!L5)*10000,""),"")</f>
        <v/>
      </c>
      <c r="M618" s="44">
        <f>IFERROR(IF(AND(ISNUMBER('SW OpInc'!Q5),ISNUMBER('SW Rev'!Q5),ISNUMBER('SW OpInc'!M5),ISNUMBER('SW Rev'!M5),'SW Rev'!Q5&gt;0,'SW Rev'!M5&gt;0),('SW OpInc'!Q5/'SW Rev'!Q5-'SW OpInc'!M5/'SW Rev'!M5)*10000,""),"")</f>
        <v/>
      </c>
      <c r="N618" s="44">
        <f>IFERROR(IF(AND(ISNUMBER('SW OpInc'!R5),ISNUMBER('SW Rev'!R5),ISNUMBER('SW OpInc'!N5),ISNUMBER('SW Rev'!N5),'SW Rev'!R5&gt;0,'SW Rev'!N5&gt;0),('SW OpInc'!R5/'SW Rev'!R5-'SW OpInc'!N5/'SW Rev'!N5)*10000,""),"")</f>
        <v/>
      </c>
    </row>
    <row r="619">
      <c r="A619" s="19">
        <f>'SW Rev'!$A6</f>
        <v/>
      </c>
      <c r="B619" s="19">
        <f>'SW Rev'!$B6</f>
        <v/>
      </c>
      <c r="C619" s="43">
        <f>IFERROR(IF(AND(ISNUMBER('SW OpInc'!G6),ISNUMBER('SW Rev'!G6),ISNUMBER('SW OpInc'!C6),ISNUMBER('SW Rev'!C6),'SW Rev'!G6&gt;0,'SW Rev'!C6&gt;0),('SW OpInc'!G6/'SW Rev'!G6-'SW OpInc'!C6/'SW Rev'!C6)*10000,""),"")</f>
        <v/>
      </c>
      <c r="D619" s="43">
        <f>IFERROR(IF(AND(ISNUMBER('SW OpInc'!H6),ISNUMBER('SW Rev'!H6),ISNUMBER('SW OpInc'!D6),ISNUMBER('SW Rev'!D6),'SW Rev'!H6&gt;0,'SW Rev'!D6&gt;0),('SW OpInc'!H6/'SW Rev'!H6-'SW OpInc'!D6/'SW Rev'!D6)*10000,""),"")</f>
        <v/>
      </c>
      <c r="E619" s="43">
        <f>IFERROR(IF(AND(ISNUMBER('SW OpInc'!I6),ISNUMBER('SW Rev'!I6),ISNUMBER('SW OpInc'!E6),ISNUMBER('SW Rev'!E6),'SW Rev'!I6&gt;0,'SW Rev'!E6&gt;0),('SW OpInc'!I6/'SW Rev'!I6-'SW OpInc'!E6/'SW Rev'!E6)*10000,""),"")</f>
        <v/>
      </c>
      <c r="F619" s="43">
        <f>IFERROR(IF(AND(ISNUMBER('SW OpInc'!J6),ISNUMBER('SW Rev'!J6),ISNUMBER('SW OpInc'!F6),ISNUMBER('SW Rev'!F6),'SW Rev'!J6&gt;0,'SW Rev'!F6&gt;0),('SW OpInc'!J6/'SW Rev'!J6-'SW OpInc'!F6/'SW Rev'!F6)*10000,""),"")</f>
        <v/>
      </c>
      <c r="G619" s="43">
        <f>IFERROR(IF(AND(ISNUMBER('SW OpInc'!K6),ISNUMBER('SW Rev'!K6),ISNUMBER('SW OpInc'!G6),ISNUMBER('SW Rev'!G6),'SW Rev'!K6&gt;0,'SW Rev'!G6&gt;0),('SW OpInc'!K6/'SW Rev'!K6-'SW OpInc'!G6/'SW Rev'!G6)*10000,""),"")</f>
        <v/>
      </c>
      <c r="H619" s="43">
        <f>IFERROR(IF(AND(ISNUMBER('SW OpInc'!L6),ISNUMBER('SW Rev'!L6),ISNUMBER('SW OpInc'!H6),ISNUMBER('SW Rev'!H6),'SW Rev'!L6&gt;0,'SW Rev'!H6&gt;0),('SW OpInc'!L6/'SW Rev'!L6-'SW OpInc'!H6/'SW Rev'!H6)*10000,""),"")</f>
        <v/>
      </c>
      <c r="I619" s="43">
        <f>IFERROR(IF(AND(ISNUMBER('SW OpInc'!M6),ISNUMBER('SW Rev'!M6),ISNUMBER('SW OpInc'!I6),ISNUMBER('SW Rev'!I6),'SW Rev'!M6&gt;0,'SW Rev'!I6&gt;0),('SW OpInc'!M6/'SW Rev'!M6-'SW OpInc'!I6/'SW Rev'!I6)*10000,""),"")</f>
        <v/>
      </c>
      <c r="J619" s="43">
        <f>IFERROR(IF(AND(ISNUMBER('SW OpInc'!N6),ISNUMBER('SW Rev'!N6),ISNUMBER('SW OpInc'!J6),ISNUMBER('SW Rev'!J6),'SW Rev'!N6&gt;0,'SW Rev'!J6&gt;0),('SW OpInc'!N6/'SW Rev'!N6-'SW OpInc'!J6/'SW Rev'!J6)*10000,""),"")</f>
        <v/>
      </c>
      <c r="K619" s="43">
        <f>IFERROR(IF(AND(ISNUMBER('SW OpInc'!O6),ISNUMBER('SW Rev'!O6),ISNUMBER('SW OpInc'!K6),ISNUMBER('SW Rev'!K6),'SW Rev'!O6&gt;0,'SW Rev'!K6&gt;0),('SW OpInc'!O6/'SW Rev'!O6-'SW OpInc'!K6/'SW Rev'!K6)*10000,""),"")</f>
        <v/>
      </c>
      <c r="L619" s="43">
        <f>IFERROR(IF(AND(ISNUMBER('SW OpInc'!P6),ISNUMBER('SW Rev'!P6),ISNUMBER('SW OpInc'!L6),ISNUMBER('SW Rev'!L6),'SW Rev'!P6&gt;0,'SW Rev'!L6&gt;0),('SW OpInc'!P6/'SW Rev'!P6-'SW OpInc'!L6/'SW Rev'!L6)*10000,""),"")</f>
        <v/>
      </c>
      <c r="M619" s="44">
        <f>IFERROR(IF(AND(ISNUMBER('SW OpInc'!Q6),ISNUMBER('SW Rev'!Q6),ISNUMBER('SW OpInc'!M6),ISNUMBER('SW Rev'!M6),'SW Rev'!Q6&gt;0,'SW Rev'!M6&gt;0),('SW OpInc'!Q6/'SW Rev'!Q6-'SW OpInc'!M6/'SW Rev'!M6)*10000,""),"")</f>
        <v/>
      </c>
      <c r="N619" s="44">
        <f>IFERROR(IF(AND(ISNUMBER('SW OpInc'!R6),ISNUMBER('SW Rev'!R6),ISNUMBER('SW OpInc'!N6),ISNUMBER('SW Rev'!N6),'SW Rev'!R6&gt;0,'SW Rev'!N6&gt;0),('SW OpInc'!R6/'SW Rev'!R6-'SW OpInc'!N6/'SW Rev'!N6)*10000,""),"")</f>
        <v/>
      </c>
    </row>
    <row r="620">
      <c r="A620" s="19">
        <f>'SW Rev'!$A7</f>
        <v/>
      </c>
      <c r="B620" s="19">
        <f>'SW Rev'!$B7</f>
        <v/>
      </c>
      <c r="C620" s="43">
        <f>IFERROR(IF(AND(ISNUMBER('SW OpInc'!G7),ISNUMBER('SW Rev'!G7),ISNUMBER('SW OpInc'!C7),ISNUMBER('SW Rev'!C7),'SW Rev'!G7&gt;0,'SW Rev'!C7&gt;0),('SW OpInc'!G7/'SW Rev'!G7-'SW OpInc'!C7/'SW Rev'!C7)*10000,""),"")</f>
        <v/>
      </c>
      <c r="D620" s="43">
        <f>IFERROR(IF(AND(ISNUMBER('SW OpInc'!H7),ISNUMBER('SW Rev'!H7),ISNUMBER('SW OpInc'!D7),ISNUMBER('SW Rev'!D7),'SW Rev'!H7&gt;0,'SW Rev'!D7&gt;0),('SW OpInc'!H7/'SW Rev'!H7-'SW OpInc'!D7/'SW Rev'!D7)*10000,""),"")</f>
        <v/>
      </c>
      <c r="E620" s="43">
        <f>IFERROR(IF(AND(ISNUMBER('SW OpInc'!I7),ISNUMBER('SW Rev'!I7),ISNUMBER('SW OpInc'!E7),ISNUMBER('SW Rev'!E7),'SW Rev'!I7&gt;0,'SW Rev'!E7&gt;0),('SW OpInc'!I7/'SW Rev'!I7-'SW OpInc'!E7/'SW Rev'!E7)*10000,""),"")</f>
        <v/>
      </c>
      <c r="F620" s="43">
        <f>IFERROR(IF(AND(ISNUMBER('SW OpInc'!J7),ISNUMBER('SW Rev'!J7),ISNUMBER('SW OpInc'!F7),ISNUMBER('SW Rev'!F7),'SW Rev'!J7&gt;0,'SW Rev'!F7&gt;0),('SW OpInc'!J7/'SW Rev'!J7-'SW OpInc'!F7/'SW Rev'!F7)*10000,""),"")</f>
        <v/>
      </c>
      <c r="G620" s="43">
        <f>IFERROR(IF(AND(ISNUMBER('SW OpInc'!K7),ISNUMBER('SW Rev'!K7),ISNUMBER('SW OpInc'!G7),ISNUMBER('SW Rev'!G7),'SW Rev'!K7&gt;0,'SW Rev'!G7&gt;0),('SW OpInc'!K7/'SW Rev'!K7-'SW OpInc'!G7/'SW Rev'!G7)*10000,""),"")</f>
        <v/>
      </c>
      <c r="H620" s="43">
        <f>IFERROR(IF(AND(ISNUMBER('SW OpInc'!L7),ISNUMBER('SW Rev'!L7),ISNUMBER('SW OpInc'!H7),ISNUMBER('SW Rev'!H7),'SW Rev'!L7&gt;0,'SW Rev'!H7&gt;0),('SW OpInc'!L7/'SW Rev'!L7-'SW OpInc'!H7/'SW Rev'!H7)*10000,""),"")</f>
        <v/>
      </c>
      <c r="I620" s="43">
        <f>IFERROR(IF(AND(ISNUMBER('SW OpInc'!M7),ISNUMBER('SW Rev'!M7),ISNUMBER('SW OpInc'!I7),ISNUMBER('SW Rev'!I7),'SW Rev'!M7&gt;0,'SW Rev'!I7&gt;0),('SW OpInc'!M7/'SW Rev'!M7-'SW OpInc'!I7/'SW Rev'!I7)*10000,""),"")</f>
        <v/>
      </c>
      <c r="J620" s="43">
        <f>IFERROR(IF(AND(ISNUMBER('SW OpInc'!N7),ISNUMBER('SW Rev'!N7),ISNUMBER('SW OpInc'!J7),ISNUMBER('SW Rev'!J7),'SW Rev'!N7&gt;0,'SW Rev'!J7&gt;0),('SW OpInc'!N7/'SW Rev'!N7-'SW OpInc'!J7/'SW Rev'!J7)*10000,""),"")</f>
        <v/>
      </c>
      <c r="K620" s="43">
        <f>IFERROR(IF(AND(ISNUMBER('SW OpInc'!O7),ISNUMBER('SW Rev'!O7),ISNUMBER('SW OpInc'!K7),ISNUMBER('SW Rev'!K7),'SW Rev'!O7&gt;0,'SW Rev'!K7&gt;0),('SW OpInc'!O7/'SW Rev'!O7-'SW OpInc'!K7/'SW Rev'!K7)*10000,""),"")</f>
        <v/>
      </c>
      <c r="L620" s="43">
        <f>IFERROR(IF(AND(ISNUMBER('SW OpInc'!P7),ISNUMBER('SW Rev'!P7),ISNUMBER('SW OpInc'!L7),ISNUMBER('SW Rev'!L7),'SW Rev'!P7&gt;0,'SW Rev'!L7&gt;0),('SW OpInc'!P7/'SW Rev'!P7-'SW OpInc'!L7/'SW Rev'!L7)*10000,""),"")</f>
        <v/>
      </c>
      <c r="M620" s="44">
        <f>IFERROR(IF(AND(ISNUMBER('SW OpInc'!Q7),ISNUMBER('SW Rev'!Q7),ISNUMBER('SW OpInc'!M7),ISNUMBER('SW Rev'!M7),'SW Rev'!Q7&gt;0,'SW Rev'!M7&gt;0),('SW OpInc'!Q7/'SW Rev'!Q7-'SW OpInc'!M7/'SW Rev'!M7)*10000,""),"")</f>
        <v/>
      </c>
      <c r="N620" s="44">
        <f>IFERROR(IF(AND(ISNUMBER('SW OpInc'!R7),ISNUMBER('SW Rev'!R7),ISNUMBER('SW OpInc'!N7),ISNUMBER('SW Rev'!N7),'SW Rev'!R7&gt;0,'SW Rev'!N7&gt;0),('SW OpInc'!R7/'SW Rev'!R7-'SW OpInc'!N7/'SW Rev'!N7)*10000,""),"")</f>
        <v/>
      </c>
    </row>
    <row r="621">
      <c r="A621" s="19">
        <f>'SW Rev'!$A8</f>
        <v/>
      </c>
      <c r="B621" s="19">
        <f>'SW Rev'!$B8</f>
        <v/>
      </c>
      <c r="C621" s="43">
        <f>IFERROR(IF(AND(ISNUMBER('SW OpInc'!G8),ISNUMBER('SW Rev'!G8),ISNUMBER('SW OpInc'!C8),ISNUMBER('SW Rev'!C8),'SW Rev'!G8&gt;0,'SW Rev'!C8&gt;0),('SW OpInc'!G8/'SW Rev'!G8-'SW OpInc'!C8/'SW Rev'!C8)*10000,""),"")</f>
        <v/>
      </c>
      <c r="D621" s="43">
        <f>IFERROR(IF(AND(ISNUMBER('SW OpInc'!H8),ISNUMBER('SW Rev'!H8),ISNUMBER('SW OpInc'!D8),ISNUMBER('SW Rev'!D8),'SW Rev'!H8&gt;0,'SW Rev'!D8&gt;0),('SW OpInc'!H8/'SW Rev'!H8-'SW OpInc'!D8/'SW Rev'!D8)*10000,""),"")</f>
        <v/>
      </c>
      <c r="E621" s="43">
        <f>IFERROR(IF(AND(ISNUMBER('SW OpInc'!I8),ISNUMBER('SW Rev'!I8),ISNUMBER('SW OpInc'!E8),ISNUMBER('SW Rev'!E8),'SW Rev'!I8&gt;0,'SW Rev'!E8&gt;0),('SW OpInc'!I8/'SW Rev'!I8-'SW OpInc'!E8/'SW Rev'!E8)*10000,""),"")</f>
        <v/>
      </c>
      <c r="F621" s="43">
        <f>IFERROR(IF(AND(ISNUMBER('SW OpInc'!J8),ISNUMBER('SW Rev'!J8),ISNUMBER('SW OpInc'!F8),ISNUMBER('SW Rev'!F8),'SW Rev'!J8&gt;0,'SW Rev'!F8&gt;0),('SW OpInc'!J8/'SW Rev'!J8-'SW OpInc'!F8/'SW Rev'!F8)*10000,""),"")</f>
        <v/>
      </c>
      <c r="G621" s="43">
        <f>IFERROR(IF(AND(ISNUMBER('SW OpInc'!K8),ISNUMBER('SW Rev'!K8),ISNUMBER('SW OpInc'!G8),ISNUMBER('SW Rev'!G8),'SW Rev'!K8&gt;0,'SW Rev'!G8&gt;0),('SW OpInc'!K8/'SW Rev'!K8-'SW OpInc'!G8/'SW Rev'!G8)*10000,""),"")</f>
        <v/>
      </c>
      <c r="H621" s="43">
        <f>IFERROR(IF(AND(ISNUMBER('SW OpInc'!L8),ISNUMBER('SW Rev'!L8),ISNUMBER('SW OpInc'!H8),ISNUMBER('SW Rev'!H8),'SW Rev'!L8&gt;0,'SW Rev'!H8&gt;0),('SW OpInc'!L8/'SW Rev'!L8-'SW OpInc'!H8/'SW Rev'!H8)*10000,""),"")</f>
        <v/>
      </c>
      <c r="I621" s="43">
        <f>IFERROR(IF(AND(ISNUMBER('SW OpInc'!M8),ISNUMBER('SW Rev'!M8),ISNUMBER('SW OpInc'!I8),ISNUMBER('SW Rev'!I8),'SW Rev'!M8&gt;0,'SW Rev'!I8&gt;0),('SW OpInc'!M8/'SW Rev'!M8-'SW OpInc'!I8/'SW Rev'!I8)*10000,""),"")</f>
        <v/>
      </c>
      <c r="J621" s="43">
        <f>IFERROR(IF(AND(ISNUMBER('SW OpInc'!N8),ISNUMBER('SW Rev'!N8),ISNUMBER('SW OpInc'!J8),ISNUMBER('SW Rev'!J8),'SW Rev'!N8&gt;0,'SW Rev'!J8&gt;0),('SW OpInc'!N8/'SW Rev'!N8-'SW OpInc'!J8/'SW Rev'!J8)*10000,""),"")</f>
        <v/>
      </c>
      <c r="K621" s="43">
        <f>IFERROR(IF(AND(ISNUMBER('SW OpInc'!O8),ISNUMBER('SW Rev'!O8),ISNUMBER('SW OpInc'!K8),ISNUMBER('SW Rev'!K8),'SW Rev'!O8&gt;0,'SW Rev'!K8&gt;0),('SW OpInc'!O8/'SW Rev'!O8-'SW OpInc'!K8/'SW Rev'!K8)*10000,""),"")</f>
        <v/>
      </c>
      <c r="L621" s="43">
        <f>IFERROR(IF(AND(ISNUMBER('SW OpInc'!P8),ISNUMBER('SW Rev'!P8),ISNUMBER('SW OpInc'!L8),ISNUMBER('SW Rev'!L8),'SW Rev'!P8&gt;0,'SW Rev'!L8&gt;0),('SW OpInc'!P8/'SW Rev'!P8-'SW OpInc'!L8/'SW Rev'!L8)*10000,""),"")</f>
        <v/>
      </c>
      <c r="M621" s="44">
        <f>IFERROR(IF(AND(ISNUMBER('SW OpInc'!Q8),ISNUMBER('SW Rev'!Q8),ISNUMBER('SW OpInc'!M8),ISNUMBER('SW Rev'!M8),'SW Rev'!Q8&gt;0,'SW Rev'!M8&gt;0),('SW OpInc'!Q8/'SW Rev'!Q8-'SW OpInc'!M8/'SW Rev'!M8)*10000,""),"")</f>
        <v/>
      </c>
      <c r="N621" s="44">
        <f>IFERROR(IF(AND(ISNUMBER('SW OpInc'!R8),ISNUMBER('SW Rev'!R8),ISNUMBER('SW OpInc'!N8),ISNUMBER('SW Rev'!N8),'SW Rev'!R8&gt;0,'SW Rev'!N8&gt;0),('SW OpInc'!R8/'SW Rev'!R8-'SW OpInc'!N8/'SW Rev'!N8)*10000,""),"")</f>
        <v/>
      </c>
    </row>
    <row r="622">
      <c r="A622" s="19">
        <f>'SW Rev'!$A9</f>
        <v/>
      </c>
      <c r="B622" s="19">
        <f>'SW Rev'!$B9</f>
        <v/>
      </c>
      <c r="C622" s="43">
        <f>IFERROR(IF(AND(ISNUMBER('SW OpInc'!G9),ISNUMBER('SW Rev'!G9),ISNUMBER('SW OpInc'!C9),ISNUMBER('SW Rev'!C9),'SW Rev'!G9&gt;0,'SW Rev'!C9&gt;0),('SW OpInc'!G9/'SW Rev'!G9-'SW OpInc'!C9/'SW Rev'!C9)*10000,""),"")</f>
        <v/>
      </c>
      <c r="D622" s="43">
        <f>IFERROR(IF(AND(ISNUMBER('SW OpInc'!H9),ISNUMBER('SW Rev'!H9),ISNUMBER('SW OpInc'!D9),ISNUMBER('SW Rev'!D9),'SW Rev'!H9&gt;0,'SW Rev'!D9&gt;0),('SW OpInc'!H9/'SW Rev'!H9-'SW OpInc'!D9/'SW Rev'!D9)*10000,""),"")</f>
        <v/>
      </c>
      <c r="E622" s="43">
        <f>IFERROR(IF(AND(ISNUMBER('SW OpInc'!I9),ISNUMBER('SW Rev'!I9),ISNUMBER('SW OpInc'!E9),ISNUMBER('SW Rev'!E9),'SW Rev'!I9&gt;0,'SW Rev'!E9&gt;0),('SW OpInc'!I9/'SW Rev'!I9-'SW OpInc'!E9/'SW Rev'!E9)*10000,""),"")</f>
        <v/>
      </c>
      <c r="F622" s="43">
        <f>IFERROR(IF(AND(ISNUMBER('SW OpInc'!J9),ISNUMBER('SW Rev'!J9),ISNUMBER('SW OpInc'!F9),ISNUMBER('SW Rev'!F9),'SW Rev'!J9&gt;0,'SW Rev'!F9&gt;0),('SW OpInc'!J9/'SW Rev'!J9-'SW OpInc'!F9/'SW Rev'!F9)*10000,""),"")</f>
        <v/>
      </c>
      <c r="G622" s="43">
        <f>IFERROR(IF(AND(ISNUMBER('SW OpInc'!K9),ISNUMBER('SW Rev'!K9),ISNUMBER('SW OpInc'!G9),ISNUMBER('SW Rev'!G9),'SW Rev'!K9&gt;0,'SW Rev'!G9&gt;0),('SW OpInc'!K9/'SW Rev'!K9-'SW OpInc'!G9/'SW Rev'!G9)*10000,""),"")</f>
        <v/>
      </c>
      <c r="H622" s="43">
        <f>IFERROR(IF(AND(ISNUMBER('SW OpInc'!L9),ISNUMBER('SW Rev'!L9),ISNUMBER('SW OpInc'!H9),ISNUMBER('SW Rev'!H9),'SW Rev'!L9&gt;0,'SW Rev'!H9&gt;0),('SW OpInc'!L9/'SW Rev'!L9-'SW OpInc'!H9/'SW Rev'!H9)*10000,""),"")</f>
        <v/>
      </c>
      <c r="I622" s="43">
        <f>IFERROR(IF(AND(ISNUMBER('SW OpInc'!M9),ISNUMBER('SW Rev'!M9),ISNUMBER('SW OpInc'!I9),ISNUMBER('SW Rev'!I9),'SW Rev'!M9&gt;0,'SW Rev'!I9&gt;0),('SW OpInc'!M9/'SW Rev'!M9-'SW OpInc'!I9/'SW Rev'!I9)*10000,""),"")</f>
        <v/>
      </c>
      <c r="J622" s="43">
        <f>IFERROR(IF(AND(ISNUMBER('SW OpInc'!N9),ISNUMBER('SW Rev'!N9),ISNUMBER('SW OpInc'!J9),ISNUMBER('SW Rev'!J9),'SW Rev'!N9&gt;0,'SW Rev'!J9&gt;0),('SW OpInc'!N9/'SW Rev'!N9-'SW OpInc'!J9/'SW Rev'!J9)*10000,""),"")</f>
        <v/>
      </c>
      <c r="K622" s="43">
        <f>IFERROR(IF(AND(ISNUMBER('SW OpInc'!O9),ISNUMBER('SW Rev'!O9),ISNUMBER('SW OpInc'!K9),ISNUMBER('SW Rev'!K9),'SW Rev'!O9&gt;0,'SW Rev'!K9&gt;0),('SW OpInc'!O9/'SW Rev'!O9-'SW OpInc'!K9/'SW Rev'!K9)*10000,""),"")</f>
        <v/>
      </c>
      <c r="L622" s="43">
        <f>IFERROR(IF(AND(ISNUMBER('SW OpInc'!P9),ISNUMBER('SW Rev'!P9),ISNUMBER('SW OpInc'!L9),ISNUMBER('SW Rev'!L9),'SW Rev'!P9&gt;0,'SW Rev'!L9&gt;0),('SW OpInc'!P9/'SW Rev'!P9-'SW OpInc'!L9/'SW Rev'!L9)*10000,""),"")</f>
        <v/>
      </c>
      <c r="M622" s="44">
        <f>IFERROR(IF(AND(ISNUMBER('SW OpInc'!Q9),ISNUMBER('SW Rev'!Q9),ISNUMBER('SW OpInc'!M9),ISNUMBER('SW Rev'!M9),'SW Rev'!Q9&gt;0,'SW Rev'!M9&gt;0),('SW OpInc'!Q9/'SW Rev'!Q9-'SW OpInc'!M9/'SW Rev'!M9)*10000,""),"")</f>
        <v/>
      </c>
      <c r="N622" s="44">
        <f>IFERROR(IF(AND(ISNUMBER('SW OpInc'!R9),ISNUMBER('SW Rev'!R9),ISNUMBER('SW OpInc'!N9),ISNUMBER('SW Rev'!N9),'SW Rev'!R9&gt;0,'SW Rev'!N9&gt;0),('SW OpInc'!R9/'SW Rev'!R9-'SW OpInc'!N9/'SW Rev'!N9)*10000,""),"")</f>
        <v/>
      </c>
    </row>
    <row r="623">
      <c r="A623" s="19">
        <f>'SW Rev'!$A10</f>
        <v/>
      </c>
      <c r="B623" s="19">
        <f>'SW Rev'!$B10</f>
        <v/>
      </c>
      <c r="C623" s="43">
        <f>IFERROR(IF(AND(ISNUMBER('SW OpInc'!G10),ISNUMBER('SW Rev'!G10),ISNUMBER('SW OpInc'!C10),ISNUMBER('SW Rev'!C10),'SW Rev'!G10&gt;0,'SW Rev'!C10&gt;0),('SW OpInc'!G10/'SW Rev'!G10-'SW OpInc'!C10/'SW Rev'!C10)*10000,""),"")</f>
        <v/>
      </c>
      <c r="D623" s="43">
        <f>IFERROR(IF(AND(ISNUMBER('SW OpInc'!H10),ISNUMBER('SW Rev'!H10),ISNUMBER('SW OpInc'!D10),ISNUMBER('SW Rev'!D10),'SW Rev'!H10&gt;0,'SW Rev'!D10&gt;0),('SW OpInc'!H10/'SW Rev'!H10-'SW OpInc'!D10/'SW Rev'!D10)*10000,""),"")</f>
        <v/>
      </c>
      <c r="E623" s="43">
        <f>IFERROR(IF(AND(ISNUMBER('SW OpInc'!I10),ISNUMBER('SW Rev'!I10),ISNUMBER('SW OpInc'!E10),ISNUMBER('SW Rev'!E10),'SW Rev'!I10&gt;0,'SW Rev'!E10&gt;0),('SW OpInc'!I10/'SW Rev'!I10-'SW OpInc'!E10/'SW Rev'!E10)*10000,""),"")</f>
        <v/>
      </c>
      <c r="F623" s="43">
        <f>IFERROR(IF(AND(ISNUMBER('SW OpInc'!J10),ISNUMBER('SW Rev'!J10),ISNUMBER('SW OpInc'!F10),ISNUMBER('SW Rev'!F10),'SW Rev'!J10&gt;0,'SW Rev'!F10&gt;0),('SW OpInc'!J10/'SW Rev'!J10-'SW OpInc'!F10/'SW Rev'!F10)*10000,""),"")</f>
        <v/>
      </c>
      <c r="G623" s="43">
        <f>IFERROR(IF(AND(ISNUMBER('SW OpInc'!K10),ISNUMBER('SW Rev'!K10),ISNUMBER('SW OpInc'!G10),ISNUMBER('SW Rev'!G10),'SW Rev'!K10&gt;0,'SW Rev'!G10&gt;0),('SW OpInc'!K10/'SW Rev'!K10-'SW OpInc'!G10/'SW Rev'!G10)*10000,""),"")</f>
        <v/>
      </c>
      <c r="H623" s="43">
        <f>IFERROR(IF(AND(ISNUMBER('SW OpInc'!L10),ISNUMBER('SW Rev'!L10),ISNUMBER('SW OpInc'!H10),ISNUMBER('SW Rev'!H10),'SW Rev'!L10&gt;0,'SW Rev'!H10&gt;0),('SW OpInc'!L10/'SW Rev'!L10-'SW OpInc'!H10/'SW Rev'!H10)*10000,""),"")</f>
        <v/>
      </c>
      <c r="I623" s="43">
        <f>IFERROR(IF(AND(ISNUMBER('SW OpInc'!M10),ISNUMBER('SW Rev'!M10),ISNUMBER('SW OpInc'!I10),ISNUMBER('SW Rev'!I10),'SW Rev'!M10&gt;0,'SW Rev'!I10&gt;0),('SW OpInc'!M10/'SW Rev'!M10-'SW OpInc'!I10/'SW Rev'!I10)*10000,""),"")</f>
        <v/>
      </c>
      <c r="J623" s="43">
        <f>IFERROR(IF(AND(ISNUMBER('SW OpInc'!N10),ISNUMBER('SW Rev'!N10),ISNUMBER('SW OpInc'!J10),ISNUMBER('SW Rev'!J10),'SW Rev'!N10&gt;0,'SW Rev'!J10&gt;0),('SW OpInc'!N10/'SW Rev'!N10-'SW OpInc'!J10/'SW Rev'!J10)*10000,""),"")</f>
        <v/>
      </c>
      <c r="K623" s="43">
        <f>IFERROR(IF(AND(ISNUMBER('SW OpInc'!O10),ISNUMBER('SW Rev'!O10),ISNUMBER('SW OpInc'!K10),ISNUMBER('SW Rev'!K10),'SW Rev'!O10&gt;0,'SW Rev'!K10&gt;0),('SW OpInc'!O10/'SW Rev'!O10-'SW OpInc'!K10/'SW Rev'!K10)*10000,""),"")</f>
        <v/>
      </c>
      <c r="L623" s="43">
        <f>IFERROR(IF(AND(ISNUMBER('SW OpInc'!P10),ISNUMBER('SW Rev'!P10),ISNUMBER('SW OpInc'!L10),ISNUMBER('SW Rev'!L10),'SW Rev'!P10&gt;0,'SW Rev'!L10&gt;0),('SW OpInc'!P10/'SW Rev'!P10-'SW OpInc'!L10/'SW Rev'!L10)*10000,""),"")</f>
        <v/>
      </c>
      <c r="M623" s="44">
        <f>IFERROR(IF(AND(ISNUMBER('SW OpInc'!Q10),ISNUMBER('SW Rev'!Q10),ISNUMBER('SW OpInc'!M10),ISNUMBER('SW Rev'!M10),'SW Rev'!Q10&gt;0,'SW Rev'!M10&gt;0),('SW OpInc'!Q10/'SW Rev'!Q10-'SW OpInc'!M10/'SW Rev'!M10)*10000,""),"")</f>
        <v/>
      </c>
      <c r="N623" s="44">
        <f>IFERROR(IF(AND(ISNUMBER('SW OpInc'!R10),ISNUMBER('SW Rev'!R10),ISNUMBER('SW OpInc'!N10),ISNUMBER('SW Rev'!N10),'SW Rev'!R10&gt;0,'SW Rev'!N10&gt;0),('SW OpInc'!R10/'SW Rev'!R10-'SW OpInc'!N10/'SW Rev'!N10)*10000,""),"")</f>
        <v/>
      </c>
    </row>
    <row r="624">
      <c r="A624" s="19">
        <f>'SW Rev'!$A11</f>
        <v/>
      </c>
      <c r="B624" s="19">
        <f>'SW Rev'!$B11</f>
        <v/>
      </c>
      <c r="C624" s="43">
        <f>IFERROR(IF(AND(ISNUMBER('SW OpInc'!G11),ISNUMBER('SW Rev'!G11),ISNUMBER('SW OpInc'!C11),ISNUMBER('SW Rev'!C11),'SW Rev'!G11&gt;0,'SW Rev'!C11&gt;0),('SW OpInc'!G11/'SW Rev'!G11-'SW OpInc'!C11/'SW Rev'!C11)*10000,""),"")</f>
        <v/>
      </c>
      <c r="D624" s="43">
        <f>IFERROR(IF(AND(ISNUMBER('SW OpInc'!H11),ISNUMBER('SW Rev'!H11),ISNUMBER('SW OpInc'!D11),ISNUMBER('SW Rev'!D11),'SW Rev'!H11&gt;0,'SW Rev'!D11&gt;0),('SW OpInc'!H11/'SW Rev'!H11-'SW OpInc'!D11/'SW Rev'!D11)*10000,""),"")</f>
        <v/>
      </c>
      <c r="E624" s="43">
        <f>IFERROR(IF(AND(ISNUMBER('SW OpInc'!I11),ISNUMBER('SW Rev'!I11),ISNUMBER('SW OpInc'!E11),ISNUMBER('SW Rev'!E11),'SW Rev'!I11&gt;0,'SW Rev'!E11&gt;0),('SW OpInc'!I11/'SW Rev'!I11-'SW OpInc'!E11/'SW Rev'!E11)*10000,""),"")</f>
        <v/>
      </c>
      <c r="F624" s="43">
        <f>IFERROR(IF(AND(ISNUMBER('SW OpInc'!J11),ISNUMBER('SW Rev'!J11),ISNUMBER('SW OpInc'!F11),ISNUMBER('SW Rev'!F11),'SW Rev'!J11&gt;0,'SW Rev'!F11&gt;0),('SW OpInc'!J11/'SW Rev'!J11-'SW OpInc'!F11/'SW Rev'!F11)*10000,""),"")</f>
        <v/>
      </c>
      <c r="G624" s="43">
        <f>IFERROR(IF(AND(ISNUMBER('SW OpInc'!K11),ISNUMBER('SW Rev'!K11),ISNUMBER('SW OpInc'!G11),ISNUMBER('SW Rev'!G11),'SW Rev'!K11&gt;0,'SW Rev'!G11&gt;0),('SW OpInc'!K11/'SW Rev'!K11-'SW OpInc'!G11/'SW Rev'!G11)*10000,""),"")</f>
        <v/>
      </c>
      <c r="H624" s="43">
        <f>IFERROR(IF(AND(ISNUMBER('SW OpInc'!L11),ISNUMBER('SW Rev'!L11),ISNUMBER('SW OpInc'!H11),ISNUMBER('SW Rev'!H11),'SW Rev'!L11&gt;0,'SW Rev'!H11&gt;0),('SW OpInc'!L11/'SW Rev'!L11-'SW OpInc'!H11/'SW Rev'!H11)*10000,""),"")</f>
        <v/>
      </c>
      <c r="I624" s="43">
        <f>IFERROR(IF(AND(ISNUMBER('SW OpInc'!M11),ISNUMBER('SW Rev'!M11),ISNUMBER('SW OpInc'!I11),ISNUMBER('SW Rev'!I11),'SW Rev'!M11&gt;0,'SW Rev'!I11&gt;0),('SW OpInc'!M11/'SW Rev'!M11-'SW OpInc'!I11/'SW Rev'!I11)*10000,""),"")</f>
        <v/>
      </c>
      <c r="J624" s="43">
        <f>IFERROR(IF(AND(ISNUMBER('SW OpInc'!N11),ISNUMBER('SW Rev'!N11),ISNUMBER('SW OpInc'!J11),ISNUMBER('SW Rev'!J11),'SW Rev'!N11&gt;0,'SW Rev'!J11&gt;0),('SW OpInc'!N11/'SW Rev'!N11-'SW OpInc'!J11/'SW Rev'!J11)*10000,""),"")</f>
        <v/>
      </c>
      <c r="K624" s="43">
        <f>IFERROR(IF(AND(ISNUMBER('SW OpInc'!O11),ISNUMBER('SW Rev'!O11),ISNUMBER('SW OpInc'!K11),ISNUMBER('SW Rev'!K11),'SW Rev'!O11&gt;0,'SW Rev'!K11&gt;0),('SW OpInc'!O11/'SW Rev'!O11-'SW OpInc'!K11/'SW Rev'!K11)*10000,""),"")</f>
        <v/>
      </c>
      <c r="L624" s="43">
        <f>IFERROR(IF(AND(ISNUMBER('SW OpInc'!P11),ISNUMBER('SW Rev'!P11),ISNUMBER('SW OpInc'!L11),ISNUMBER('SW Rev'!L11),'SW Rev'!P11&gt;0,'SW Rev'!L11&gt;0),('SW OpInc'!P11/'SW Rev'!P11-'SW OpInc'!L11/'SW Rev'!L11)*10000,""),"")</f>
        <v/>
      </c>
      <c r="M624" s="44">
        <f>IFERROR(IF(AND(ISNUMBER('SW OpInc'!Q11),ISNUMBER('SW Rev'!Q11),ISNUMBER('SW OpInc'!M11),ISNUMBER('SW Rev'!M11),'SW Rev'!Q11&gt;0,'SW Rev'!M11&gt;0),('SW OpInc'!Q11/'SW Rev'!Q11-'SW OpInc'!M11/'SW Rev'!M11)*10000,""),"")</f>
        <v/>
      </c>
      <c r="N624" s="44">
        <f>IFERROR(IF(AND(ISNUMBER('SW OpInc'!R11),ISNUMBER('SW Rev'!R11),ISNUMBER('SW OpInc'!N11),ISNUMBER('SW Rev'!N11),'SW Rev'!R11&gt;0,'SW Rev'!N11&gt;0),('SW OpInc'!R11/'SW Rev'!R11-'SW OpInc'!N11/'SW Rev'!N11)*10000,""),"")</f>
        <v/>
      </c>
    </row>
    <row r="625">
      <c r="A625" s="19">
        <f>'SW Rev'!$A12</f>
        <v/>
      </c>
      <c r="B625" s="19">
        <f>'SW Rev'!$B12</f>
        <v/>
      </c>
      <c r="C625" s="43">
        <f>IFERROR(IF(AND(ISNUMBER('SW OpInc'!G12),ISNUMBER('SW Rev'!G12),ISNUMBER('SW OpInc'!C12),ISNUMBER('SW Rev'!C12),'SW Rev'!G12&gt;0,'SW Rev'!C12&gt;0),('SW OpInc'!G12/'SW Rev'!G12-'SW OpInc'!C12/'SW Rev'!C12)*10000,""),"")</f>
        <v/>
      </c>
      <c r="D625" s="43">
        <f>IFERROR(IF(AND(ISNUMBER('SW OpInc'!H12),ISNUMBER('SW Rev'!H12),ISNUMBER('SW OpInc'!D12),ISNUMBER('SW Rev'!D12),'SW Rev'!H12&gt;0,'SW Rev'!D12&gt;0),('SW OpInc'!H12/'SW Rev'!H12-'SW OpInc'!D12/'SW Rev'!D12)*10000,""),"")</f>
        <v/>
      </c>
      <c r="E625" s="43">
        <f>IFERROR(IF(AND(ISNUMBER('SW OpInc'!I12),ISNUMBER('SW Rev'!I12),ISNUMBER('SW OpInc'!E12),ISNUMBER('SW Rev'!E12),'SW Rev'!I12&gt;0,'SW Rev'!E12&gt;0),('SW OpInc'!I12/'SW Rev'!I12-'SW OpInc'!E12/'SW Rev'!E12)*10000,""),"")</f>
        <v/>
      </c>
      <c r="F625" s="43">
        <f>IFERROR(IF(AND(ISNUMBER('SW OpInc'!J12),ISNUMBER('SW Rev'!J12),ISNUMBER('SW OpInc'!F12),ISNUMBER('SW Rev'!F12),'SW Rev'!J12&gt;0,'SW Rev'!F12&gt;0),('SW OpInc'!J12/'SW Rev'!J12-'SW OpInc'!F12/'SW Rev'!F12)*10000,""),"")</f>
        <v/>
      </c>
      <c r="G625" s="43">
        <f>IFERROR(IF(AND(ISNUMBER('SW OpInc'!K12),ISNUMBER('SW Rev'!K12),ISNUMBER('SW OpInc'!G12),ISNUMBER('SW Rev'!G12),'SW Rev'!K12&gt;0,'SW Rev'!G12&gt;0),('SW OpInc'!K12/'SW Rev'!K12-'SW OpInc'!G12/'SW Rev'!G12)*10000,""),"")</f>
        <v/>
      </c>
      <c r="H625" s="43">
        <f>IFERROR(IF(AND(ISNUMBER('SW OpInc'!L12),ISNUMBER('SW Rev'!L12),ISNUMBER('SW OpInc'!H12),ISNUMBER('SW Rev'!H12),'SW Rev'!L12&gt;0,'SW Rev'!H12&gt;0),('SW OpInc'!L12/'SW Rev'!L12-'SW OpInc'!H12/'SW Rev'!H12)*10000,""),"")</f>
        <v/>
      </c>
      <c r="I625" s="43">
        <f>IFERROR(IF(AND(ISNUMBER('SW OpInc'!M12),ISNUMBER('SW Rev'!M12),ISNUMBER('SW OpInc'!I12),ISNUMBER('SW Rev'!I12),'SW Rev'!M12&gt;0,'SW Rev'!I12&gt;0),('SW OpInc'!M12/'SW Rev'!M12-'SW OpInc'!I12/'SW Rev'!I12)*10000,""),"")</f>
        <v/>
      </c>
      <c r="J625" s="43">
        <f>IFERROR(IF(AND(ISNUMBER('SW OpInc'!N12),ISNUMBER('SW Rev'!N12),ISNUMBER('SW OpInc'!J12),ISNUMBER('SW Rev'!J12),'SW Rev'!N12&gt;0,'SW Rev'!J12&gt;0),('SW OpInc'!N12/'SW Rev'!N12-'SW OpInc'!J12/'SW Rev'!J12)*10000,""),"")</f>
        <v/>
      </c>
      <c r="K625" s="43">
        <f>IFERROR(IF(AND(ISNUMBER('SW OpInc'!O12),ISNUMBER('SW Rev'!O12),ISNUMBER('SW OpInc'!K12),ISNUMBER('SW Rev'!K12),'SW Rev'!O12&gt;0,'SW Rev'!K12&gt;0),('SW OpInc'!O12/'SW Rev'!O12-'SW OpInc'!K12/'SW Rev'!K12)*10000,""),"")</f>
        <v/>
      </c>
      <c r="L625" s="43">
        <f>IFERROR(IF(AND(ISNUMBER('SW OpInc'!P12),ISNUMBER('SW Rev'!P12),ISNUMBER('SW OpInc'!L12),ISNUMBER('SW Rev'!L12),'SW Rev'!P12&gt;0,'SW Rev'!L12&gt;0),('SW OpInc'!P12/'SW Rev'!P12-'SW OpInc'!L12/'SW Rev'!L12)*10000,""),"")</f>
        <v/>
      </c>
      <c r="M625" s="44">
        <f>IFERROR(IF(AND(ISNUMBER('SW OpInc'!Q12),ISNUMBER('SW Rev'!Q12),ISNUMBER('SW OpInc'!M12),ISNUMBER('SW Rev'!M12),'SW Rev'!Q12&gt;0,'SW Rev'!M12&gt;0),('SW OpInc'!Q12/'SW Rev'!Q12-'SW OpInc'!M12/'SW Rev'!M12)*10000,""),"")</f>
        <v/>
      </c>
      <c r="N625" s="44">
        <f>IFERROR(IF(AND(ISNUMBER('SW OpInc'!R12),ISNUMBER('SW Rev'!R12),ISNUMBER('SW OpInc'!N12),ISNUMBER('SW Rev'!N12),'SW Rev'!R12&gt;0,'SW Rev'!N12&gt;0),('SW OpInc'!R12/'SW Rev'!R12-'SW OpInc'!N12/'SW Rev'!N12)*10000,""),"")</f>
        <v/>
      </c>
    </row>
    <row r="626">
      <c r="A626" s="19">
        <f>'SW Rev'!$A13</f>
        <v/>
      </c>
      <c r="B626" s="19">
        <f>'SW Rev'!$B13</f>
        <v/>
      </c>
      <c r="C626" s="43">
        <f>IFERROR(IF(AND(ISNUMBER('SW OpInc'!G13),ISNUMBER('SW Rev'!G13),ISNUMBER('SW OpInc'!C13),ISNUMBER('SW Rev'!C13),'SW Rev'!G13&gt;0,'SW Rev'!C13&gt;0),('SW OpInc'!G13/'SW Rev'!G13-'SW OpInc'!C13/'SW Rev'!C13)*10000,""),"")</f>
        <v/>
      </c>
      <c r="D626" s="43">
        <f>IFERROR(IF(AND(ISNUMBER('SW OpInc'!H13),ISNUMBER('SW Rev'!H13),ISNUMBER('SW OpInc'!D13),ISNUMBER('SW Rev'!D13),'SW Rev'!H13&gt;0,'SW Rev'!D13&gt;0),('SW OpInc'!H13/'SW Rev'!H13-'SW OpInc'!D13/'SW Rev'!D13)*10000,""),"")</f>
        <v/>
      </c>
      <c r="E626" s="43">
        <f>IFERROR(IF(AND(ISNUMBER('SW OpInc'!I13),ISNUMBER('SW Rev'!I13),ISNUMBER('SW OpInc'!E13),ISNUMBER('SW Rev'!E13),'SW Rev'!I13&gt;0,'SW Rev'!E13&gt;0),('SW OpInc'!I13/'SW Rev'!I13-'SW OpInc'!E13/'SW Rev'!E13)*10000,""),"")</f>
        <v/>
      </c>
      <c r="F626" s="43">
        <f>IFERROR(IF(AND(ISNUMBER('SW OpInc'!J13),ISNUMBER('SW Rev'!J13),ISNUMBER('SW OpInc'!F13),ISNUMBER('SW Rev'!F13),'SW Rev'!J13&gt;0,'SW Rev'!F13&gt;0),('SW OpInc'!J13/'SW Rev'!J13-'SW OpInc'!F13/'SW Rev'!F13)*10000,""),"")</f>
        <v/>
      </c>
      <c r="G626" s="43">
        <f>IFERROR(IF(AND(ISNUMBER('SW OpInc'!K13),ISNUMBER('SW Rev'!K13),ISNUMBER('SW OpInc'!G13),ISNUMBER('SW Rev'!G13),'SW Rev'!K13&gt;0,'SW Rev'!G13&gt;0),('SW OpInc'!K13/'SW Rev'!K13-'SW OpInc'!G13/'SW Rev'!G13)*10000,""),"")</f>
        <v/>
      </c>
      <c r="H626" s="43">
        <f>IFERROR(IF(AND(ISNUMBER('SW OpInc'!L13),ISNUMBER('SW Rev'!L13),ISNUMBER('SW OpInc'!H13),ISNUMBER('SW Rev'!H13),'SW Rev'!L13&gt;0,'SW Rev'!H13&gt;0),('SW OpInc'!L13/'SW Rev'!L13-'SW OpInc'!H13/'SW Rev'!H13)*10000,""),"")</f>
        <v/>
      </c>
      <c r="I626" s="43">
        <f>IFERROR(IF(AND(ISNUMBER('SW OpInc'!M13),ISNUMBER('SW Rev'!M13),ISNUMBER('SW OpInc'!I13),ISNUMBER('SW Rev'!I13),'SW Rev'!M13&gt;0,'SW Rev'!I13&gt;0),('SW OpInc'!M13/'SW Rev'!M13-'SW OpInc'!I13/'SW Rev'!I13)*10000,""),"")</f>
        <v/>
      </c>
      <c r="J626" s="43">
        <f>IFERROR(IF(AND(ISNUMBER('SW OpInc'!N13),ISNUMBER('SW Rev'!N13),ISNUMBER('SW OpInc'!J13),ISNUMBER('SW Rev'!J13),'SW Rev'!N13&gt;0,'SW Rev'!J13&gt;0),('SW OpInc'!N13/'SW Rev'!N13-'SW OpInc'!J13/'SW Rev'!J13)*10000,""),"")</f>
        <v/>
      </c>
      <c r="K626" s="43">
        <f>IFERROR(IF(AND(ISNUMBER('SW OpInc'!O13),ISNUMBER('SW Rev'!O13),ISNUMBER('SW OpInc'!K13),ISNUMBER('SW Rev'!K13),'SW Rev'!O13&gt;0,'SW Rev'!K13&gt;0),('SW OpInc'!O13/'SW Rev'!O13-'SW OpInc'!K13/'SW Rev'!K13)*10000,""),"")</f>
        <v/>
      </c>
      <c r="L626" s="43">
        <f>IFERROR(IF(AND(ISNUMBER('SW OpInc'!P13),ISNUMBER('SW Rev'!P13),ISNUMBER('SW OpInc'!L13),ISNUMBER('SW Rev'!L13),'SW Rev'!P13&gt;0,'SW Rev'!L13&gt;0),('SW OpInc'!P13/'SW Rev'!P13-'SW OpInc'!L13/'SW Rev'!L13)*10000,""),"")</f>
        <v/>
      </c>
      <c r="M626" s="44">
        <f>IFERROR(IF(AND(ISNUMBER('SW OpInc'!Q13),ISNUMBER('SW Rev'!Q13),ISNUMBER('SW OpInc'!M13),ISNUMBER('SW Rev'!M13),'SW Rev'!Q13&gt;0,'SW Rev'!M13&gt;0),('SW OpInc'!Q13/'SW Rev'!Q13-'SW OpInc'!M13/'SW Rev'!M13)*10000,""),"")</f>
        <v/>
      </c>
      <c r="N626" s="44">
        <f>IFERROR(IF(AND(ISNUMBER('SW OpInc'!R13),ISNUMBER('SW Rev'!R13),ISNUMBER('SW OpInc'!N13),ISNUMBER('SW Rev'!N13),'SW Rev'!R13&gt;0,'SW Rev'!N13&gt;0),('SW OpInc'!R13/'SW Rev'!R13-'SW OpInc'!N13/'SW Rev'!N13)*10000,""),"")</f>
        <v/>
      </c>
    </row>
    <row r="627">
      <c r="A627" s="19">
        <f>'SW Rev'!$A14</f>
        <v/>
      </c>
      <c r="B627" s="19">
        <f>'SW Rev'!$B14</f>
        <v/>
      </c>
      <c r="C627" s="43">
        <f>IFERROR(IF(AND(ISNUMBER('SW OpInc'!G14),ISNUMBER('SW Rev'!G14),ISNUMBER('SW OpInc'!C14),ISNUMBER('SW Rev'!C14),'SW Rev'!G14&gt;0,'SW Rev'!C14&gt;0),('SW OpInc'!G14/'SW Rev'!G14-'SW OpInc'!C14/'SW Rev'!C14)*10000,""),"")</f>
        <v/>
      </c>
      <c r="D627" s="43">
        <f>IFERROR(IF(AND(ISNUMBER('SW OpInc'!H14),ISNUMBER('SW Rev'!H14),ISNUMBER('SW OpInc'!D14),ISNUMBER('SW Rev'!D14),'SW Rev'!H14&gt;0,'SW Rev'!D14&gt;0),('SW OpInc'!H14/'SW Rev'!H14-'SW OpInc'!D14/'SW Rev'!D14)*10000,""),"")</f>
        <v/>
      </c>
      <c r="E627" s="43">
        <f>IFERROR(IF(AND(ISNUMBER('SW OpInc'!I14),ISNUMBER('SW Rev'!I14),ISNUMBER('SW OpInc'!E14),ISNUMBER('SW Rev'!E14),'SW Rev'!I14&gt;0,'SW Rev'!E14&gt;0),('SW OpInc'!I14/'SW Rev'!I14-'SW OpInc'!E14/'SW Rev'!E14)*10000,""),"")</f>
        <v/>
      </c>
      <c r="F627" s="43">
        <f>IFERROR(IF(AND(ISNUMBER('SW OpInc'!J14),ISNUMBER('SW Rev'!J14),ISNUMBER('SW OpInc'!F14),ISNUMBER('SW Rev'!F14),'SW Rev'!J14&gt;0,'SW Rev'!F14&gt;0),('SW OpInc'!J14/'SW Rev'!J14-'SW OpInc'!F14/'SW Rev'!F14)*10000,""),"")</f>
        <v/>
      </c>
      <c r="G627" s="43">
        <f>IFERROR(IF(AND(ISNUMBER('SW OpInc'!K14),ISNUMBER('SW Rev'!K14),ISNUMBER('SW OpInc'!G14),ISNUMBER('SW Rev'!G14),'SW Rev'!K14&gt;0,'SW Rev'!G14&gt;0),('SW OpInc'!K14/'SW Rev'!K14-'SW OpInc'!G14/'SW Rev'!G14)*10000,""),"")</f>
        <v/>
      </c>
      <c r="H627" s="43">
        <f>IFERROR(IF(AND(ISNUMBER('SW OpInc'!L14),ISNUMBER('SW Rev'!L14),ISNUMBER('SW OpInc'!H14),ISNUMBER('SW Rev'!H14),'SW Rev'!L14&gt;0,'SW Rev'!H14&gt;0),('SW OpInc'!L14/'SW Rev'!L14-'SW OpInc'!H14/'SW Rev'!H14)*10000,""),"")</f>
        <v/>
      </c>
      <c r="I627" s="43">
        <f>IFERROR(IF(AND(ISNUMBER('SW OpInc'!M14),ISNUMBER('SW Rev'!M14),ISNUMBER('SW OpInc'!I14),ISNUMBER('SW Rev'!I14),'SW Rev'!M14&gt;0,'SW Rev'!I14&gt;0),('SW OpInc'!M14/'SW Rev'!M14-'SW OpInc'!I14/'SW Rev'!I14)*10000,""),"")</f>
        <v/>
      </c>
      <c r="J627" s="43">
        <f>IFERROR(IF(AND(ISNUMBER('SW OpInc'!N14),ISNUMBER('SW Rev'!N14),ISNUMBER('SW OpInc'!J14),ISNUMBER('SW Rev'!J14),'SW Rev'!N14&gt;0,'SW Rev'!J14&gt;0),('SW OpInc'!N14/'SW Rev'!N14-'SW OpInc'!J14/'SW Rev'!J14)*10000,""),"")</f>
        <v/>
      </c>
      <c r="K627" s="43">
        <f>IFERROR(IF(AND(ISNUMBER('SW OpInc'!O14),ISNUMBER('SW Rev'!O14),ISNUMBER('SW OpInc'!K14),ISNUMBER('SW Rev'!K14),'SW Rev'!O14&gt;0,'SW Rev'!K14&gt;0),('SW OpInc'!O14/'SW Rev'!O14-'SW OpInc'!K14/'SW Rev'!K14)*10000,""),"")</f>
        <v/>
      </c>
      <c r="L627" s="43">
        <f>IFERROR(IF(AND(ISNUMBER('SW OpInc'!P14),ISNUMBER('SW Rev'!P14),ISNUMBER('SW OpInc'!L14),ISNUMBER('SW Rev'!L14),'SW Rev'!P14&gt;0,'SW Rev'!L14&gt;0),('SW OpInc'!P14/'SW Rev'!P14-'SW OpInc'!L14/'SW Rev'!L14)*10000,""),"")</f>
        <v/>
      </c>
      <c r="M627" s="44">
        <f>IFERROR(IF(AND(ISNUMBER('SW OpInc'!Q14),ISNUMBER('SW Rev'!Q14),ISNUMBER('SW OpInc'!M14),ISNUMBER('SW Rev'!M14),'SW Rev'!Q14&gt;0,'SW Rev'!M14&gt;0),('SW OpInc'!Q14/'SW Rev'!Q14-'SW OpInc'!M14/'SW Rev'!M14)*10000,""),"")</f>
        <v/>
      </c>
      <c r="N627" s="44">
        <f>IFERROR(IF(AND(ISNUMBER('SW OpInc'!R14),ISNUMBER('SW Rev'!R14),ISNUMBER('SW OpInc'!N14),ISNUMBER('SW Rev'!N14),'SW Rev'!R14&gt;0,'SW Rev'!N14&gt;0),('SW OpInc'!R14/'SW Rev'!R14-'SW OpInc'!N14/'SW Rev'!N14)*10000,""),"")</f>
        <v/>
      </c>
    </row>
    <row r="628">
      <c r="A628" s="19">
        <f>'SW Rev'!$A15</f>
        <v/>
      </c>
      <c r="B628" s="19">
        <f>'SW Rev'!$B15</f>
        <v/>
      </c>
      <c r="C628" s="43">
        <f>IFERROR(IF(AND(ISNUMBER('SW OpInc'!G15),ISNUMBER('SW Rev'!G15),ISNUMBER('SW OpInc'!C15),ISNUMBER('SW Rev'!C15),'SW Rev'!G15&gt;0,'SW Rev'!C15&gt;0),('SW OpInc'!G15/'SW Rev'!G15-'SW OpInc'!C15/'SW Rev'!C15)*10000,""),"")</f>
        <v/>
      </c>
      <c r="D628" s="43">
        <f>IFERROR(IF(AND(ISNUMBER('SW OpInc'!H15),ISNUMBER('SW Rev'!H15),ISNUMBER('SW OpInc'!D15),ISNUMBER('SW Rev'!D15),'SW Rev'!H15&gt;0,'SW Rev'!D15&gt;0),('SW OpInc'!H15/'SW Rev'!H15-'SW OpInc'!D15/'SW Rev'!D15)*10000,""),"")</f>
        <v/>
      </c>
      <c r="E628" s="43">
        <f>IFERROR(IF(AND(ISNUMBER('SW OpInc'!I15),ISNUMBER('SW Rev'!I15),ISNUMBER('SW OpInc'!E15),ISNUMBER('SW Rev'!E15),'SW Rev'!I15&gt;0,'SW Rev'!E15&gt;0),('SW OpInc'!I15/'SW Rev'!I15-'SW OpInc'!E15/'SW Rev'!E15)*10000,""),"")</f>
        <v/>
      </c>
      <c r="F628" s="43">
        <f>IFERROR(IF(AND(ISNUMBER('SW OpInc'!J15),ISNUMBER('SW Rev'!J15),ISNUMBER('SW OpInc'!F15),ISNUMBER('SW Rev'!F15),'SW Rev'!J15&gt;0,'SW Rev'!F15&gt;0),('SW OpInc'!J15/'SW Rev'!J15-'SW OpInc'!F15/'SW Rev'!F15)*10000,""),"")</f>
        <v/>
      </c>
      <c r="G628" s="43">
        <f>IFERROR(IF(AND(ISNUMBER('SW OpInc'!K15),ISNUMBER('SW Rev'!K15),ISNUMBER('SW OpInc'!G15),ISNUMBER('SW Rev'!G15),'SW Rev'!K15&gt;0,'SW Rev'!G15&gt;0),('SW OpInc'!K15/'SW Rev'!K15-'SW OpInc'!G15/'SW Rev'!G15)*10000,""),"")</f>
        <v/>
      </c>
      <c r="H628" s="43">
        <f>IFERROR(IF(AND(ISNUMBER('SW OpInc'!L15),ISNUMBER('SW Rev'!L15),ISNUMBER('SW OpInc'!H15),ISNUMBER('SW Rev'!H15),'SW Rev'!L15&gt;0,'SW Rev'!H15&gt;0),('SW OpInc'!L15/'SW Rev'!L15-'SW OpInc'!H15/'SW Rev'!H15)*10000,""),"")</f>
        <v/>
      </c>
      <c r="I628" s="43">
        <f>IFERROR(IF(AND(ISNUMBER('SW OpInc'!M15),ISNUMBER('SW Rev'!M15),ISNUMBER('SW OpInc'!I15),ISNUMBER('SW Rev'!I15),'SW Rev'!M15&gt;0,'SW Rev'!I15&gt;0),('SW OpInc'!M15/'SW Rev'!M15-'SW OpInc'!I15/'SW Rev'!I15)*10000,""),"")</f>
        <v/>
      </c>
      <c r="J628" s="43">
        <f>IFERROR(IF(AND(ISNUMBER('SW OpInc'!N15),ISNUMBER('SW Rev'!N15),ISNUMBER('SW OpInc'!J15),ISNUMBER('SW Rev'!J15),'SW Rev'!N15&gt;0,'SW Rev'!J15&gt;0),('SW OpInc'!N15/'SW Rev'!N15-'SW OpInc'!J15/'SW Rev'!J15)*10000,""),"")</f>
        <v/>
      </c>
      <c r="K628" s="43">
        <f>IFERROR(IF(AND(ISNUMBER('SW OpInc'!O15),ISNUMBER('SW Rev'!O15),ISNUMBER('SW OpInc'!K15),ISNUMBER('SW Rev'!K15),'SW Rev'!O15&gt;0,'SW Rev'!K15&gt;0),('SW OpInc'!O15/'SW Rev'!O15-'SW OpInc'!K15/'SW Rev'!K15)*10000,""),"")</f>
        <v/>
      </c>
      <c r="L628" s="43">
        <f>IFERROR(IF(AND(ISNUMBER('SW OpInc'!P15),ISNUMBER('SW Rev'!P15),ISNUMBER('SW OpInc'!L15),ISNUMBER('SW Rev'!L15),'SW Rev'!P15&gt;0,'SW Rev'!L15&gt;0),('SW OpInc'!P15/'SW Rev'!P15-'SW OpInc'!L15/'SW Rev'!L15)*10000,""),"")</f>
        <v/>
      </c>
      <c r="M628" s="44">
        <f>IFERROR(IF(AND(ISNUMBER('SW OpInc'!Q15),ISNUMBER('SW Rev'!Q15),ISNUMBER('SW OpInc'!M15),ISNUMBER('SW Rev'!M15),'SW Rev'!Q15&gt;0,'SW Rev'!M15&gt;0),('SW OpInc'!Q15/'SW Rev'!Q15-'SW OpInc'!M15/'SW Rev'!M15)*10000,""),"")</f>
        <v/>
      </c>
      <c r="N628" s="44">
        <f>IFERROR(IF(AND(ISNUMBER('SW OpInc'!R15),ISNUMBER('SW Rev'!R15),ISNUMBER('SW OpInc'!N15),ISNUMBER('SW Rev'!N15),'SW Rev'!R15&gt;0,'SW Rev'!N15&gt;0),('SW OpInc'!R15/'SW Rev'!R15-'SW OpInc'!N15/'SW Rev'!N15)*10000,""),"")</f>
        <v/>
      </c>
    </row>
    <row r="629">
      <c r="A629" s="19">
        <f>'SW Rev'!$A16</f>
        <v/>
      </c>
      <c r="B629" s="19">
        <f>'SW Rev'!$B16</f>
        <v/>
      </c>
      <c r="C629" s="43">
        <f>IFERROR(IF(AND(ISNUMBER('SW OpInc'!G16),ISNUMBER('SW Rev'!G16),ISNUMBER('SW OpInc'!C16),ISNUMBER('SW Rev'!C16),'SW Rev'!G16&gt;0,'SW Rev'!C16&gt;0),('SW OpInc'!G16/'SW Rev'!G16-'SW OpInc'!C16/'SW Rev'!C16)*10000,""),"")</f>
        <v/>
      </c>
      <c r="D629" s="43">
        <f>IFERROR(IF(AND(ISNUMBER('SW OpInc'!H16),ISNUMBER('SW Rev'!H16),ISNUMBER('SW OpInc'!D16),ISNUMBER('SW Rev'!D16),'SW Rev'!H16&gt;0,'SW Rev'!D16&gt;0),('SW OpInc'!H16/'SW Rev'!H16-'SW OpInc'!D16/'SW Rev'!D16)*10000,""),"")</f>
        <v/>
      </c>
      <c r="E629" s="43">
        <f>IFERROR(IF(AND(ISNUMBER('SW OpInc'!I16),ISNUMBER('SW Rev'!I16),ISNUMBER('SW OpInc'!E16),ISNUMBER('SW Rev'!E16),'SW Rev'!I16&gt;0,'SW Rev'!E16&gt;0),('SW OpInc'!I16/'SW Rev'!I16-'SW OpInc'!E16/'SW Rev'!E16)*10000,""),"")</f>
        <v/>
      </c>
      <c r="F629" s="43">
        <f>IFERROR(IF(AND(ISNUMBER('SW OpInc'!J16),ISNUMBER('SW Rev'!J16),ISNUMBER('SW OpInc'!F16),ISNUMBER('SW Rev'!F16),'SW Rev'!J16&gt;0,'SW Rev'!F16&gt;0),('SW OpInc'!J16/'SW Rev'!J16-'SW OpInc'!F16/'SW Rev'!F16)*10000,""),"")</f>
        <v/>
      </c>
      <c r="G629" s="43">
        <f>IFERROR(IF(AND(ISNUMBER('SW OpInc'!K16),ISNUMBER('SW Rev'!K16),ISNUMBER('SW OpInc'!G16),ISNUMBER('SW Rev'!G16),'SW Rev'!K16&gt;0,'SW Rev'!G16&gt;0),('SW OpInc'!K16/'SW Rev'!K16-'SW OpInc'!G16/'SW Rev'!G16)*10000,""),"")</f>
        <v/>
      </c>
      <c r="H629" s="43">
        <f>IFERROR(IF(AND(ISNUMBER('SW OpInc'!L16),ISNUMBER('SW Rev'!L16),ISNUMBER('SW OpInc'!H16),ISNUMBER('SW Rev'!H16),'SW Rev'!L16&gt;0,'SW Rev'!H16&gt;0),('SW OpInc'!L16/'SW Rev'!L16-'SW OpInc'!H16/'SW Rev'!H16)*10000,""),"")</f>
        <v/>
      </c>
      <c r="I629" s="43">
        <f>IFERROR(IF(AND(ISNUMBER('SW OpInc'!M16),ISNUMBER('SW Rev'!M16),ISNUMBER('SW OpInc'!I16),ISNUMBER('SW Rev'!I16),'SW Rev'!M16&gt;0,'SW Rev'!I16&gt;0),('SW OpInc'!M16/'SW Rev'!M16-'SW OpInc'!I16/'SW Rev'!I16)*10000,""),"")</f>
        <v/>
      </c>
      <c r="J629" s="43">
        <f>IFERROR(IF(AND(ISNUMBER('SW OpInc'!N16),ISNUMBER('SW Rev'!N16),ISNUMBER('SW OpInc'!J16),ISNUMBER('SW Rev'!J16),'SW Rev'!N16&gt;0,'SW Rev'!J16&gt;0),('SW OpInc'!N16/'SW Rev'!N16-'SW OpInc'!J16/'SW Rev'!J16)*10000,""),"")</f>
        <v/>
      </c>
      <c r="K629" s="43">
        <f>IFERROR(IF(AND(ISNUMBER('SW OpInc'!O16),ISNUMBER('SW Rev'!O16),ISNUMBER('SW OpInc'!K16),ISNUMBER('SW Rev'!K16),'SW Rev'!O16&gt;0,'SW Rev'!K16&gt;0),('SW OpInc'!O16/'SW Rev'!O16-'SW OpInc'!K16/'SW Rev'!K16)*10000,""),"")</f>
        <v/>
      </c>
      <c r="L629" s="43">
        <f>IFERROR(IF(AND(ISNUMBER('SW OpInc'!P16),ISNUMBER('SW Rev'!P16),ISNUMBER('SW OpInc'!L16),ISNUMBER('SW Rev'!L16),'SW Rev'!P16&gt;0,'SW Rev'!L16&gt;0),('SW OpInc'!P16/'SW Rev'!P16-'SW OpInc'!L16/'SW Rev'!L16)*10000,""),"")</f>
        <v/>
      </c>
      <c r="M629" s="44">
        <f>IFERROR(IF(AND(ISNUMBER('SW OpInc'!Q16),ISNUMBER('SW Rev'!Q16),ISNUMBER('SW OpInc'!M16),ISNUMBER('SW Rev'!M16),'SW Rev'!Q16&gt;0,'SW Rev'!M16&gt;0),('SW OpInc'!Q16/'SW Rev'!Q16-'SW OpInc'!M16/'SW Rev'!M16)*10000,""),"")</f>
        <v/>
      </c>
      <c r="N629" s="44">
        <f>IFERROR(IF(AND(ISNUMBER('SW OpInc'!R16),ISNUMBER('SW Rev'!R16),ISNUMBER('SW OpInc'!N16),ISNUMBER('SW Rev'!N16),'SW Rev'!R16&gt;0,'SW Rev'!N16&gt;0),('SW OpInc'!R16/'SW Rev'!R16-'SW OpInc'!N16/'SW Rev'!N16)*10000,""),"")</f>
        <v/>
      </c>
    </row>
    <row r="630">
      <c r="A630" s="19">
        <f>'SW Rev'!$A17</f>
        <v/>
      </c>
      <c r="B630" s="19">
        <f>'SW Rev'!$B17</f>
        <v/>
      </c>
      <c r="C630" s="43">
        <f>IFERROR(IF(AND(ISNUMBER('SW OpInc'!G17),ISNUMBER('SW Rev'!G17),ISNUMBER('SW OpInc'!C17),ISNUMBER('SW Rev'!C17),'SW Rev'!G17&gt;0,'SW Rev'!C17&gt;0),('SW OpInc'!G17/'SW Rev'!G17-'SW OpInc'!C17/'SW Rev'!C17)*10000,""),"")</f>
        <v/>
      </c>
      <c r="D630" s="43">
        <f>IFERROR(IF(AND(ISNUMBER('SW OpInc'!H17),ISNUMBER('SW Rev'!H17),ISNUMBER('SW OpInc'!D17),ISNUMBER('SW Rev'!D17),'SW Rev'!H17&gt;0,'SW Rev'!D17&gt;0),('SW OpInc'!H17/'SW Rev'!H17-'SW OpInc'!D17/'SW Rev'!D17)*10000,""),"")</f>
        <v/>
      </c>
      <c r="E630" s="43">
        <f>IFERROR(IF(AND(ISNUMBER('SW OpInc'!I17),ISNUMBER('SW Rev'!I17),ISNUMBER('SW OpInc'!E17),ISNUMBER('SW Rev'!E17),'SW Rev'!I17&gt;0,'SW Rev'!E17&gt;0),('SW OpInc'!I17/'SW Rev'!I17-'SW OpInc'!E17/'SW Rev'!E17)*10000,""),"")</f>
        <v/>
      </c>
      <c r="F630" s="43">
        <f>IFERROR(IF(AND(ISNUMBER('SW OpInc'!J17),ISNUMBER('SW Rev'!J17),ISNUMBER('SW OpInc'!F17),ISNUMBER('SW Rev'!F17),'SW Rev'!J17&gt;0,'SW Rev'!F17&gt;0),('SW OpInc'!J17/'SW Rev'!J17-'SW OpInc'!F17/'SW Rev'!F17)*10000,""),"")</f>
        <v/>
      </c>
      <c r="G630" s="43">
        <f>IFERROR(IF(AND(ISNUMBER('SW OpInc'!K17),ISNUMBER('SW Rev'!K17),ISNUMBER('SW OpInc'!G17),ISNUMBER('SW Rev'!G17),'SW Rev'!K17&gt;0,'SW Rev'!G17&gt;0),('SW OpInc'!K17/'SW Rev'!K17-'SW OpInc'!G17/'SW Rev'!G17)*10000,""),"")</f>
        <v/>
      </c>
      <c r="H630" s="43">
        <f>IFERROR(IF(AND(ISNUMBER('SW OpInc'!L17),ISNUMBER('SW Rev'!L17),ISNUMBER('SW OpInc'!H17),ISNUMBER('SW Rev'!H17),'SW Rev'!L17&gt;0,'SW Rev'!H17&gt;0),('SW OpInc'!L17/'SW Rev'!L17-'SW OpInc'!H17/'SW Rev'!H17)*10000,""),"")</f>
        <v/>
      </c>
      <c r="I630" s="43">
        <f>IFERROR(IF(AND(ISNUMBER('SW OpInc'!M17),ISNUMBER('SW Rev'!M17),ISNUMBER('SW OpInc'!I17),ISNUMBER('SW Rev'!I17),'SW Rev'!M17&gt;0,'SW Rev'!I17&gt;0),('SW OpInc'!M17/'SW Rev'!M17-'SW OpInc'!I17/'SW Rev'!I17)*10000,""),"")</f>
        <v/>
      </c>
      <c r="J630" s="43">
        <f>IFERROR(IF(AND(ISNUMBER('SW OpInc'!N17),ISNUMBER('SW Rev'!N17),ISNUMBER('SW OpInc'!J17),ISNUMBER('SW Rev'!J17),'SW Rev'!N17&gt;0,'SW Rev'!J17&gt;0),('SW OpInc'!N17/'SW Rev'!N17-'SW OpInc'!J17/'SW Rev'!J17)*10000,""),"")</f>
        <v/>
      </c>
      <c r="K630" s="43">
        <f>IFERROR(IF(AND(ISNUMBER('SW OpInc'!O17),ISNUMBER('SW Rev'!O17),ISNUMBER('SW OpInc'!K17),ISNUMBER('SW Rev'!K17),'SW Rev'!O17&gt;0,'SW Rev'!K17&gt;0),('SW OpInc'!O17/'SW Rev'!O17-'SW OpInc'!K17/'SW Rev'!K17)*10000,""),"")</f>
        <v/>
      </c>
      <c r="L630" s="43">
        <f>IFERROR(IF(AND(ISNUMBER('SW OpInc'!P17),ISNUMBER('SW Rev'!P17),ISNUMBER('SW OpInc'!L17),ISNUMBER('SW Rev'!L17),'SW Rev'!P17&gt;0,'SW Rev'!L17&gt;0),('SW OpInc'!P17/'SW Rev'!P17-'SW OpInc'!L17/'SW Rev'!L17)*10000,""),"")</f>
        <v/>
      </c>
      <c r="M630" s="44">
        <f>IFERROR(IF(AND(ISNUMBER('SW OpInc'!Q17),ISNUMBER('SW Rev'!Q17),ISNUMBER('SW OpInc'!M17),ISNUMBER('SW Rev'!M17),'SW Rev'!Q17&gt;0,'SW Rev'!M17&gt;0),('SW OpInc'!Q17/'SW Rev'!Q17-'SW OpInc'!M17/'SW Rev'!M17)*10000,""),"")</f>
        <v/>
      </c>
      <c r="N630" s="44">
        <f>IFERROR(IF(AND(ISNUMBER('SW OpInc'!R17),ISNUMBER('SW Rev'!R17),ISNUMBER('SW OpInc'!N17),ISNUMBER('SW Rev'!N17),'SW Rev'!R17&gt;0,'SW Rev'!N17&gt;0),('SW OpInc'!R17/'SW Rev'!R17-'SW OpInc'!N17/'SW Rev'!N17)*10000,""),"")</f>
        <v/>
      </c>
    </row>
    <row r="631">
      <c r="A631" s="19">
        <f>'SW Rev'!$A18</f>
        <v/>
      </c>
      <c r="B631" s="19">
        <f>'SW Rev'!$B18</f>
        <v/>
      </c>
      <c r="C631" s="43">
        <f>IFERROR(IF(AND(ISNUMBER('SW OpInc'!G18),ISNUMBER('SW Rev'!G18),ISNUMBER('SW OpInc'!C18),ISNUMBER('SW Rev'!C18),'SW Rev'!G18&gt;0,'SW Rev'!C18&gt;0),('SW OpInc'!G18/'SW Rev'!G18-'SW OpInc'!C18/'SW Rev'!C18)*10000,""),"")</f>
        <v/>
      </c>
      <c r="D631" s="43">
        <f>IFERROR(IF(AND(ISNUMBER('SW OpInc'!H18),ISNUMBER('SW Rev'!H18),ISNUMBER('SW OpInc'!D18),ISNUMBER('SW Rev'!D18),'SW Rev'!H18&gt;0,'SW Rev'!D18&gt;0),('SW OpInc'!H18/'SW Rev'!H18-'SW OpInc'!D18/'SW Rev'!D18)*10000,""),"")</f>
        <v/>
      </c>
      <c r="E631" s="43">
        <f>IFERROR(IF(AND(ISNUMBER('SW OpInc'!I18),ISNUMBER('SW Rev'!I18),ISNUMBER('SW OpInc'!E18),ISNUMBER('SW Rev'!E18),'SW Rev'!I18&gt;0,'SW Rev'!E18&gt;0),('SW OpInc'!I18/'SW Rev'!I18-'SW OpInc'!E18/'SW Rev'!E18)*10000,""),"")</f>
        <v/>
      </c>
      <c r="F631" s="43">
        <f>IFERROR(IF(AND(ISNUMBER('SW OpInc'!J18),ISNUMBER('SW Rev'!J18),ISNUMBER('SW OpInc'!F18),ISNUMBER('SW Rev'!F18),'SW Rev'!J18&gt;0,'SW Rev'!F18&gt;0),('SW OpInc'!J18/'SW Rev'!J18-'SW OpInc'!F18/'SW Rev'!F18)*10000,""),"")</f>
        <v/>
      </c>
      <c r="G631" s="43">
        <f>IFERROR(IF(AND(ISNUMBER('SW OpInc'!K18),ISNUMBER('SW Rev'!K18),ISNUMBER('SW OpInc'!G18),ISNUMBER('SW Rev'!G18),'SW Rev'!K18&gt;0,'SW Rev'!G18&gt;0),('SW OpInc'!K18/'SW Rev'!K18-'SW OpInc'!G18/'SW Rev'!G18)*10000,""),"")</f>
        <v/>
      </c>
      <c r="H631" s="43">
        <f>IFERROR(IF(AND(ISNUMBER('SW OpInc'!L18),ISNUMBER('SW Rev'!L18),ISNUMBER('SW OpInc'!H18),ISNUMBER('SW Rev'!H18),'SW Rev'!L18&gt;0,'SW Rev'!H18&gt;0),('SW OpInc'!L18/'SW Rev'!L18-'SW OpInc'!H18/'SW Rev'!H18)*10000,""),"")</f>
        <v/>
      </c>
      <c r="I631" s="43">
        <f>IFERROR(IF(AND(ISNUMBER('SW OpInc'!M18),ISNUMBER('SW Rev'!M18),ISNUMBER('SW OpInc'!I18),ISNUMBER('SW Rev'!I18),'SW Rev'!M18&gt;0,'SW Rev'!I18&gt;0),('SW OpInc'!M18/'SW Rev'!M18-'SW OpInc'!I18/'SW Rev'!I18)*10000,""),"")</f>
        <v/>
      </c>
      <c r="J631" s="43">
        <f>IFERROR(IF(AND(ISNUMBER('SW OpInc'!N18),ISNUMBER('SW Rev'!N18),ISNUMBER('SW OpInc'!J18),ISNUMBER('SW Rev'!J18),'SW Rev'!N18&gt;0,'SW Rev'!J18&gt;0),('SW OpInc'!N18/'SW Rev'!N18-'SW OpInc'!J18/'SW Rev'!J18)*10000,""),"")</f>
        <v/>
      </c>
      <c r="K631" s="43">
        <f>IFERROR(IF(AND(ISNUMBER('SW OpInc'!O18),ISNUMBER('SW Rev'!O18),ISNUMBER('SW OpInc'!K18),ISNUMBER('SW Rev'!K18),'SW Rev'!O18&gt;0,'SW Rev'!K18&gt;0),('SW OpInc'!O18/'SW Rev'!O18-'SW OpInc'!K18/'SW Rev'!K18)*10000,""),"")</f>
        <v/>
      </c>
      <c r="L631" s="43">
        <f>IFERROR(IF(AND(ISNUMBER('SW OpInc'!P18),ISNUMBER('SW Rev'!P18),ISNUMBER('SW OpInc'!L18),ISNUMBER('SW Rev'!L18),'SW Rev'!P18&gt;0,'SW Rev'!L18&gt;0),('SW OpInc'!P18/'SW Rev'!P18-'SW OpInc'!L18/'SW Rev'!L18)*10000,""),"")</f>
        <v/>
      </c>
      <c r="M631" s="44">
        <f>IFERROR(IF(AND(ISNUMBER('SW OpInc'!Q18),ISNUMBER('SW Rev'!Q18),ISNUMBER('SW OpInc'!M18),ISNUMBER('SW Rev'!M18),'SW Rev'!Q18&gt;0,'SW Rev'!M18&gt;0),('SW OpInc'!Q18/'SW Rev'!Q18-'SW OpInc'!M18/'SW Rev'!M18)*10000,""),"")</f>
        <v/>
      </c>
      <c r="N631" s="44">
        <f>IFERROR(IF(AND(ISNUMBER('SW OpInc'!R18),ISNUMBER('SW Rev'!R18),ISNUMBER('SW OpInc'!N18),ISNUMBER('SW Rev'!N18),'SW Rev'!R18&gt;0,'SW Rev'!N18&gt;0),('SW OpInc'!R18/'SW Rev'!R18-'SW OpInc'!N18/'SW Rev'!N18)*10000,""),"")</f>
        <v/>
      </c>
    </row>
    <row r="632">
      <c r="A632" s="19">
        <f>'SW Rev'!$A19</f>
        <v/>
      </c>
      <c r="B632" s="19">
        <f>'SW Rev'!$B19</f>
        <v/>
      </c>
      <c r="C632" s="43">
        <f>IFERROR(IF(AND(ISNUMBER('SW OpInc'!G19),ISNUMBER('SW Rev'!G19),ISNUMBER('SW OpInc'!C19),ISNUMBER('SW Rev'!C19),'SW Rev'!G19&gt;0,'SW Rev'!C19&gt;0),('SW OpInc'!G19/'SW Rev'!G19-'SW OpInc'!C19/'SW Rev'!C19)*10000,""),"")</f>
        <v/>
      </c>
      <c r="D632" s="43">
        <f>IFERROR(IF(AND(ISNUMBER('SW OpInc'!H19),ISNUMBER('SW Rev'!H19),ISNUMBER('SW OpInc'!D19),ISNUMBER('SW Rev'!D19),'SW Rev'!H19&gt;0,'SW Rev'!D19&gt;0),('SW OpInc'!H19/'SW Rev'!H19-'SW OpInc'!D19/'SW Rev'!D19)*10000,""),"")</f>
        <v/>
      </c>
      <c r="E632" s="43">
        <f>IFERROR(IF(AND(ISNUMBER('SW OpInc'!I19),ISNUMBER('SW Rev'!I19),ISNUMBER('SW OpInc'!E19),ISNUMBER('SW Rev'!E19),'SW Rev'!I19&gt;0,'SW Rev'!E19&gt;0),('SW OpInc'!I19/'SW Rev'!I19-'SW OpInc'!E19/'SW Rev'!E19)*10000,""),"")</f>
        <v/>
      </c>
      <c r="F632" s="43">
        <f>IFERROR(IF(AND(ISNUMBER('SW OpInc'!J19),ISNUMBER('SW Rev'!J19),ISNUMBER('SW OpInc'!F19),ISNUMBER('SW Rev'!F19),'SW Rev'!J19&gt;0,'SW Rev'!F19&gt;0),('SW OpInc'!J19/'SW Rev'!J19-'SW OpInc'!F19/'SW Rev'!F19)*10000,""),"")</f>
        <v/>
      </c>
      <c r="G632" s="43">
        <f>IFERROR(IF(AND(ISNUMBER('SW OpInc'!K19),ISNUMBER('SW Rev'!K19),ISNUMBER('SW OpInc'!G19),ISNUMBER('SW Rev'!G19),'SW Rev'!K19&gt;0,'SW Rev'!G19&gt;0),('SW OpInc'!K19/'SW Rev'!K19-'SW OpInc'!G19/'SW Rev'!G19)*10000,""),"")</f>
        <v/>
      </c>
      <c r="H632" s="43">
        <f>IFERROR(IF(AND(ISNUMBER('SW OpInc'!L19),ISNUMBER('SW Rev'!L19),ISNUMBER('SW OpInc'!H19),ISNUMBER('SW Rev'!H19),'SW Rev'!L19&gt;0,'SW Rev'!H19&gt;0),('SW OpInc'!L19/'SW Rev'!L19-'SW OpInc'!H19/'SW Rev'!H19)*10000,""),"")</f>
        <v/>
      </c>
      <c r="I632" s="43">
        <f>IFERROR(IF(AND(ISNUMBER('SW OpInc'!M19),ISNUMBER('SW Rev'!M19),ISNUMBER('SW OpInc'!I19),ISNUMBER('SW Rev'!I19),'SW Rev'!M19&gt;0,'SW Rev'!I19&gt;0),('SW OpInc'!M19/'SW Rev'!M19-'SW OpInc'!I19/'SW Rev'!I19)*10000,""),"")</f>
        <v/>
      </c>
      <c r="J632" s="43">
        <f>IFERROR(IF(AND(ISNUMBER('SW OpInc'!N19),ISNUMBER('SW Rev'!N19),ISNUMBER('SW OpInc'!J19),ISNUMBER('SW Rev'!J19),'SW Rev'!N19&gt;0,'SW Rev'!J19&gt;0),('SW OpInc'!N19/'SW Rev'!N19-'SW OpInc'!J19/'SW Rev'!J19)*10000,""),"")</f>
        <v/>
      </c>
      <c r="K632" s="43">
        <f>IFERROR(IF(AND(ISNUMBER('SW OpInc'!O19),ISNUMBER('SW Rev'!O19),ISNUMBER('SW OpInc'!K19),ISNUMBER('SW Rev'!K19),'SW Rev'!O19&gt;0,'SW Rev'!K19&gt;0),('SW OpInc'!O19/'SW Rev'!O19-'SW OpInc'!K19/'SW Rev'!K19)*10000,""),"")</f>
        <v/>
      </c>
      <c r="L632" s="43">
        <f>IFERROR(IF(AND(ISNUMBER('SW OpInc'!P19),ISNUMBER('SW Rev'!P19),ISNUMBER('SW OpInc'!L19),ISNUMBER('SW Rev'!L19),'SW Rev'!P19&gt;0,'SW Rev'!L19&gt;0),('SW OpInc'!P19/'SW Rev'!P19-'SW OpInc'!L19/'SW Rev'!L19)*10000,""),"")</f>
        <v/>
      </c>
      <c r="M632" s="44">
        <f>IFERROR(IF(AND(ISNUMBER('SW OpInc'!Q19),ISNUMBER('SW Rev'!Q19),ISNUMBER('SW OpInc'!M19),ISNUMBER('SW Rev'!M19),'SW Rev'!Q19&gt;0,'SW Rev'!M19&gt;0),('SW OpInc'!Q19/'SW Rev'!Q19-'SW OpInc'!M19/'SW Rev'!M19)*10000,""),"")</f>
        <v/>
      </c>
      <c r="N632" s="44">
        <f>IFERROR(IF(AND(ISNUMBER('SW OpInc'!R19),ISNUMBER('SW Rev'!R19),ISNUMBER('SW OpInc'!N19),ISNUMBER('SW Rev'!N19),'SW Rev'!R19&gt;0,'SW Rev'!N19&gt;0),('SW OpInc'!R19/'SW Rev'!R19-'SW OpInc'!N19/'SW Rev'!N19)*10000,""),"")</f>
        <v/>
      </c>
    </row>
    <row r="633">
      <c r="A633" s="19">
        <f>'SW Rev'!$A20</f>
        <v/>
      </c>
      <c r="B633" s="19">
        <f>'SW Rev'!$B20</f>
        <v/>
      </c>
      <c r="C633" s="43">
        <f>IFERROR(IF(AND(ISNUMBER('SW OpInc'!G20),ISNUMBER('SW Rev'!G20),ISNUMBER('SW OpInc'!C20),ISNUMBER('SW Rev'!C20),'SW Rev'!G20&gt;0,'SW Rev'!C20&gt;0),('SW OpInc'!G20/'SW Rev'!G20-'SW OpInc'!C20/'SW Rev'!C20)*10000,""),"")</f>
        <v/>
      </c>
      <c r="D633" s="43">
        <f>IFERROR(IF(AND(ISNUMBER('SW OpInc'!H20),ISNUMBER('SW Rev'!H20),ISNUMBER('SW OpInc'!D20),ISNUMBER('SW Rev'!D20),'SW Rev'!H20&gt;0,'SW Rev'!D20&gt;0),('SW OpInc'!H20/'SW Rev'!H20-'SW OpInc'!D20/'SW Rev'!D20)*10000,""),"")</f>
        <v/>
      </c>
      <c r="E633" s="43">
        <f>IFERROR(IF(AND(ISNUMBER('SW OpInc'!I20),ISNUMBER('SW Rev'!I20),ISNUMBER('SW OpInc'!E20),ISNUMBER('SW Rev'!E20),'SW Rev'!I20&gt;0,'SW Rev'!E20&gt;0),('SW OpInc'!I20/'SW Rev'!I20-'SW OpInc'!E20/'SW Rev'!E20)*10000,""),"")</f>
        <v/>
      </c>
      <c r="F633" s="43">
        <f>IFERROR(IF(AND(ISNUMBER('SW OpInc'!J20),ISNUMBER('SW Rev'!J20),ISNUMBER('SW OpInc'!F20),ISNUMBER('SW Rev'!F20),'SW Rev'!J20&gt;0,'SW Rev'!F20&gt;0),('SW OpInc'!J20/'SW Rev'!J20-'SW OpInc'!F20/'SW Rev'!F20)*10000,""),"")</f>
        <v/>
      </c>
      <c r="G633" s="43">
        <f>IFERROR(IF(AND(ISNUMBER('SW OpInc'!K20),ISNUMBER('SW Rev'!K20),ISNUMBER('SW OpInc'!G20),ISNUMBER('SW Rev'!G20),'SW Rev'!K20&gt;0,'SW Rev'!G20&gt;0),('SW OpInc'!K20/'SW Rev'!K20-'SW OpInc'!G20/'SW Rev'!G20)*10000,""),"")</f>
        <v/>
      </c>
      <c r="H633" s="43">
        <f>IFERROR(IF(AND(ISNUMBER('SW OpInc'!L20),ISNUMBER('SW Rev'!L20),ISNUMBER('SW OpInc'!H20),ISNUMBER('SW Rev'!H20),'SW Rev'!L20&gt;0,'SW Rev'!H20&gt;0),('SW OpInc'!L20/'SW Rev'!L20-'SW OpInc'!H20/'SW Rev'!H20)*10000,""),"")</f>
        <v/>
      </c>
      <c r="I633" s="43">
        <f>IFERROR(IF(AND(ISNUMBER('SW OpInc'!M20),ISNUMBER('SW Rev'!M20),ISNUMBER('SW OpInc'!I20),ISNUMBER('SW Rev'!I20),'SW Rev'!M20&gt;0,'SW Rev'!I20&gt;0),('SW OpInc'!M20/'SW Rev'!M20-'SW OpInc'!I20/'SW Rev'!I20)*10000,""),"")</f>
        <v/>
      </c>
      <c r="J633" s="43">
        <f>IFERROR(IF(AND(ISNUMBER('SW OpInc'!N20),ISNUMBER('SW Rev'!N20),ISNUMBER('SW OpInc'!J20),ISNUMBER('SW Rev'!J20),'SW Rev'!N20&gt;0,'SW Rev'!J20&gt;0),('SW OpInc'!N20/'SW Rev'!N20-'SW OpInc'!J20/'SW Rev'!J20)*10000,""),"")</f>
        <v/>
      </c>
      <c r="K633" s="43">
        <f>IFERROR(IF(AND(ISNUMBER('SW OpInc'!O20),ISNUMBER('SW Rev'!O20),ISNUMBER('SW OpInc'!K20),ISNUMBER('SW Rev'!K20),'SW Rev'!O20&gt;0,'SW Rev'!K20&gt;0),('SW OpInc'!O20/'SW Rev'!O20-'SW OpInc'!K20/'SW Rev'!K20)*10000,""),"")</f>
        <v/>
      </c>
      <c r="L633" s="43">
        <f>IFERROR(IF(AND(ISNUMBER('SW OpInc'!P20),ISNUMBER('SW Rev'!P20),ISNUMBER('SW OpInc'!L20),ISNUMBER('SW Rev'!L20),'SW Rev'!P20&gt;0,'SW Rev'!L20&gt;0),('SW OpInc'!P20/'SW Rev'!P20-'SW OpInc'!L20/'SW Rev'!L20)*10000,""),"")</f>
        <v/>
      </c>
      <c r="M633" s="44">
        <f>IFERROR(IF(AND(ISNUMBER('SW OpInc'!Q20),ISNUMBER('SW Rev'!Q20),ISNUMBER('SW OpInc'!M20),ISNUMBER('SW Rev'!M20),'SW Rev'!Q20&gt;0,'SW Rev'!M20&gt;0),('SW OpInc'!Q20/'SW Rev'!Q20-'SW OpInc'!M20/'SW Rev'!M20)*10000,""),"")</f>
        <v/>
      </c>
      <c r="N633" s="44">
        <f>IFERROR(IF(AND(ISNUMBER('SW OpInc'!R20),ISNUMBER('SW Rev'!R20),ISNUMBER('SW OpInc'!N20),ISNUMBER('SW Rev'!N20),'SW Rev'!R20&gt;0,'SW Rev'!N20&gt;0),('SW OpInc'!R20/'SW Rev'!R20-'SW OpInc'!N20/'SW Rev'!N20)*10000,""),"")</f>
        <v/>
      </c>
    </row>
    <row r="634">
      <c r="A634" s="19">
        <f>'SW Rev'!$A21</f>
        <v/>
      </c>
      <c r="B634" s="19">
        <f>'SW Rev'!$B21</f>
        <v/>
      </c>
      <c r="C634" s="43">
        <f>IFERROR(IF(AND(ISNUMBER('SW OpInc'!G21),ISNUMBER('SW Rev'!G21),ISNUMBER('SW OpInc'!C21),ISNUMBER('SW Rev'!C21),'SW Rev'!G21&gt;0,'SW Rev'!C21&gt;0),('SW OpInc'!G21/'SW Rev'!G21-'SW OpInc'!C21/'SW Rev'!C21)*10000,""),"")</f>
        <v/>
      </c>
      <c r="D634" s="43">
        <f>IFERROR(IF(AND(ISNUMBER('SW OpInc'!H21),ISNUMBER('SW Rev'!H21),ISNUMBER('SW OpInc'!D21),ISNUMBER('SW Rev'!D21),'SW Rev'!H21&gt;0,'SW Rev'!D21&gt;0),('SW OpInc'!H21/'SW Rev'!H21-'SW OpInc'!D21/'SW Rev'!D21)*10000,""),"")</f>
        <v/>
      </c>
      <c r="E634" s="43">
        <f>IFERROR(IF(AND(ISNUMBER('SW OpInc'!I21),ISNUMBER('SW Rev'!I21),ISNUMBER('SW OpInc'!E21),ISNUMBER('SW Rev'!E21),'SW Rev'!I21&gt;0,'SW Rev'!E21&gt;0),('SW OpInc'!I21/'SW Rev'!I21-'SW OpInc'!E21/'SW Rev'!E21)*10000,""),"")</f>
        <v/>
      </c>
      <c r="F634" s="43">
        <f>IFERROR(IF(AND(ISNUMBER('SW OpInc'!J21),ISNUMBER('SW Rev'!J21),ISNUMBER('SW OpInc'!F21),ISNUMBER('SW Rev'!F21),'SW Rev'!J21&gt;0,'SW Rev'!F21&gt;0),('SW OpInc'!J21/'SW Rev'!J21-'SW OpInc'!F21/'SW Rev'!F21)*10000,""),"")</f>
        <v/>
      </c>
      <c r="G634" s="43">
        <f>IFERROR(IF(AND(ISNUMBER('SW OpInc'!K21),ISNUMBER('SW Rev'!K21),ISNUMBER('SW OpInc'!G21),ISNUMBER('SW Rev'!G21),'SW Rev'!K21&gt;0,'SW Rev'!G21&gt;0),('SW OpInc'!K21/'SW Rev'!K21-'SW OpInc'!G21/'SW Rev'!G21)*10000,""),"")</f>
        <v/>
      </c>
      <c r="H634" s="43">
        <f>IFERROR(IF(AND(ISNUMBER('SW OpInc'!L21),ISNUMBER('SW Rev'!L21),ISNUMBER('SW OpInc'!H21),ISNUMBER('SW Rev'!H21),'SW Rev'!L21&gt;0,'SW Rev'!H21&gt;0),('SW OpInc'!L21/'SW Rev'!L21-'SW OpInc'!H21/'SW Rev'!H21)*10000,""),"")</f>
        <v/>
      </c>
      <c r="I634" s="43">
        <f>IFERROR(IF(AND(ISNUMBER('SW OpInc'!M21),ISNUMBER('SW Rev'!M21),ISNUMBER('SW OpInc'!I21),ISNUMBER('SW Rev'!I21),'SW Rev'!M21&gt;0,'SW Rev'!I21&gt;0),('SW OpInc'!M21/'SW Rev'!M21-'SW OpInc'!I21/'SW Rev'!I21)*10000,""),"")</f>
        <v/>
      </c>
      <c r="J634" s="43">
        <f>IFERROR(IF(AND(ISNUMBER('SW OpInc'!N21),ISNUMBER('SW Rev'!N21),ISNUMBER('SW OpInc'!J21),ISNUMBER('SW Rev'!J21),'SW Rev'!N21&gt;0,'SW Rev'!J21&gt;0),('SW OpInc'!N21/'SW Rev'!N21-'SW OpInc'!J21/'SW Rev'!J21)*10000,""),"")</f>
        <v/>
      </c>
      <c r="K634" s="43">
        <f>IFERROR(IF(AND(ISNUMBER('SW OpInc'!O21),ISNUMBER('SW Rev'!O21),ISNUMBER('SW OpInc'!K21),ISNUMBER('SW Rev'!K21),'SW Rev'!O21&gt;0,'SW Rev'!K21&gt;0),('SW OpInc'!O21/'SW Rev'!O21-'SW OpInc'!K21/'SW Rev'!K21)*10000,""),"")</f>
        <v/>
      </c>
      <c r="L634" s="43">
        <f>IFERROR(IF(AND(ISNUMBER('SW OpInc'!P21),ISNUMBER('SW Rev'!P21),ISNUMBER('SW OpInc'!L21),ISNUMBER('SW Rev'!L21),'SW Rev'!P21&gt;0,'SW Rev'!L21&gt;0),('SW OpInc'!P21/'SW Rev'!P21-'SW OpInc'!L21/'SW Rev'!L21)*10000,""),"")</f>
        <v/>
      </c>
      <c r="M634" s="44">
        <f>IFERROR(IF(AND(ISNUMBER('SW OpInc'!Q21),ISNUMBER('SW Rev'!Q21),ISNUMBER('SW OpInc'!M21),ISNUMBER('SW Rev'!M21),'SW Rev'!Q21&gt;0,'SW Rev'!M21&gt;0),('SW OpInc'!Q21/'SW Rev'!Q21-'SW OpInc'!M21/'SW Rev'!M21)*10000,""),"")</f>
        <v/>
      </c>
      <c r="N634" s="44">
        <f>IFERROR(IF(AND(ISNUMBER('SW OpInc'!R21),ISNUMBER('SW Rev'!R21),ISNUMBER('SW OpInc'!N21),ISNUMBER('SW Rev'!N21),'SW Rev'!R21&gt;0,'SW Rev'!N21&gt;0),('SW OpInc'!R21/'SW Rev'!R21-'SW OpInc'!N21/'SW Rev'!N21)*10000,""),"")</f>
        <v/>
      </c>
    </row>
    <row r="635">
      <c r="A635" s="19">
        <f>'SW Rev'!$A22</f>
        <v/>
      </c>
      <c r="B635" s="19">
        <f>'SW Rev'!$B22</f>
        <v/>
      </c>
      <c r="C635" s="43">
        <f>IFERROR(IF(AND(ISNUMBER('SW OpInc'!G22),ISNUMBER('SW Rev'!G22),ISNUMBER('SW OpInc'!C22),ISNUMBER('SW Rev'!C22),'SW Rev'!G22&gt;0,'SW Rev'!C22&gt;0),('SW OpInc'!G22/'SW Rev'!G22-'SW OpInc'!C22/'SW Rev'!C22)*10000,""),"")</f>
        <v/>
      </c>
      <c r="D635" s="43">
        <f>IFERROR(IF(AND(ISNUMBER('SW OpInc'!H22),ISNUMBER('SW Rev'!H22),ISNUMBER('SW OpInc'!D22),ISNUMBER('SW Rev'!D22),'SW Rev'!H22&gt;0,'SW Rev'!D22&gt;0),('SW OpInc'!H22/'SW Rev'!H22-'SW OpInc'!D22/'SW Rev'!D22)*10000,""),"")</f>
        <v/>
      </c>
      <c r="E635" s="43">
        <f>IFERROR(IF(AND(ISNUMBER('SW OpInc'!I22),ISNUMBER('SW Rev'!I22),ISNUMBER('SW OpInc'!E22),ISNUMBER('SW Rev'!E22),'SW Rev'!I22&gt;0,'SW Rev'!E22&gt;0),('SW OpInc'!I22/'SW Rev'!I22-'SW OpInc'!E22/'SW Rev'!E22)*10000,""),"")</f>
        <v/>
      </c>
      <c r="F635" s="43">
        <f>IFERROR(IF(AND(ISNUMBER('SW OpInc'!J22),ISNUMBER('SW Rev'!J22),ISNUMBER('SW OpInc'!F22),ISNUMBER('SW Rev'!F22),'SW Rev'!J22&gt;0,'SW Rev'!F22&gt;0),('SW OpInc'!J22/'SW Rev'!J22-'SW OpInc'!F22/'SW Rev'!F22)*10000,""),"")</f>
        <v/>
      </c>
      <c r="G635" s="43">
        <f>IFERROR(IF(AND(ISNUMBER('SW OpInc'!K22),ISNUMBER('SW Rev'!K22),ISNUMBER('SW OpInc'!G22),ISNUMBER('SW Rev'!G22),'SW Rev'!K22&gt;0,'SW Rev'!G22&gt;0),('SW OpInc'!K22/'SW Rev'!K22-'SW OpInc'!G22/'SW Rev'!G22)*10000,""),"")</f>
        <v/>
      </c>
      <c r="H635" s="43">
        <f>IFERROR(IF(AND(ISNUMBER('SW OpInc'!L22),ISNUMBER('SW Rev'!L22),ISNUMBER('SW OpInc'!H22),ISNUMBER('SW Rev'!H22),'SW Rev'!L22&gt;0,'SW Rev'!H22&gt;0),('SW OpInc'!L22/'SW Rev'!L22-'SW OpInc'!H22/'SW Rev'!H22)*10000,""),"")</f>
        <v/>
      </c>
      <c r="I635" s="43">
        <f>IFERROR(IF(AND(ISNUMBER('SW OpInc'!M22),ISNUMBER('SW Rev'!M22),ISNUMBER('SW OpInc'!I22),ISNUMBER('SW Rev'!I22),'SW Rev'!M22&gt;0,'SW Rev'!I22&gt;0),('SW OpInc'!M22/'SW Rev'!M22-'SW OpInc'!I22/'SW Rev'!I22)*10000,""),"")</f>
        <v/>
      </c>
      <c r="J635" s="43">
        <f>IFERROR(IF(AND(ISNUMBER('SW OpInc'!N22),ISNUMBER('SW Rev'!N22),ISNUMBER('SW OpInc'!J22),ISNUMBER('SW Rev'!J22),'SW Rev'!N22&gt;0,'SW Rev'!J22&gt;0),('SW OpInc'!N22/'SW Rev'!N22-'SW OpInc'!J22/'SW Rev'!J22)*10000,""),"")</f>
        <v/>
      </c>
      <c r="K635" s="43">
        <f>IFERROR(IF(AND(ISNUMBER('SW OpInc'!O22),ISNUMBER('SW Rev'!O22),ISNUMBER('SW OpInc'!K22),ISNUMBER('SW Rev'!K22),'SW Rev'!O22&gt;0,'SW Rev'!K22&gt;0),('SW OpInc'!O22/'SW Rev'!O22-'SW OpInc'!K22/'SW Rev'!K22)*10000,""),"")</f>
        <v/>
      </c>
      <c r="L635" s="43">
        <f>IFERROR(IF(AND(ISNUMBER('SW OpInc'!P22),ISNUMBER('SW Rev'!P22),ISNUMBER('SW OpInc'!L22),ISNUMBER('SW Rev'!L22),'SW Rev'!P22&gt;0,'SW Rev'!L22&gt;0),('SW OpInc'!P22/'SW Rev'!P22-'SW OpInc'!L22/'SW Rev'!L22)*10000,""),"")</f>
        <v/>
      </c>
      <c r="M635" s="44">
        <f>IFERROR(IF(AND(ISNUMBER('SW OpInc'!Q22),ISNUMBER('SW Rev'!Q22),ISNUMBER('SW OpInc'!M22),ISNUMBER('SW Rev'!M22),'SW Rev'!Q22&gt;0,'SW Rev'!M22&gt;0),('SW OpInc'!Q22/'SW Rev'!Q22-'SW OpInc'!M22/'SW Rev'!M22)*10000,""),"")</f>
        <v/>
      </c>
      <c r="N635" s="44">
        <f>IFERROR(IF(AND(ISNUMBER('SW OpInc'!R22),ISNUMBER('SW Rev'!R22),ISNUMBER('SW OpInc'!N22),ISNUMBER('SW Rev'!N22),'SW Rev'!R22&gt;0,'SW Rev'!N22&gt;0),('SW OpInc'!R22/'SW Rev'!R22-'SW OpInc'!N22/'SW Rev'!N22)*10000,""),"")</f>
        <v/>
      </c>
    </row>
    <row r="636">
      <c r="A636" s="19">
        <f>'SW Rev'!$A23</f>
        <v/>
      </c>
      <c r="B636" s="19">
        <f>'SW Rev'!$B23</f>
        <v/>
      </c>
      <c r="C636" s="43">
        <f>IFERROR(IF(AND(ISNUMBER('SW OpInc'!G23),ISNUMBER('SW Rev'!G23),ISNUMBER('SW OpInc'!C23),ISNUMBER('SW Rev'!C23),'SW Rev'!G23&gt;0,'SW Rev'!C23&gt;0),('SW OpInc'!G23/'SW Rev'!G23-'SW OpInc'!C23/'SW Rev'!C23)*10000,""),"")</f>
        <v/>
      </c>
      <c r="D636" s="43">
        <f>IFERROR(IF(AND(ISNUMBER('SW OpInc'!H23),ISNUMBER('SW Rev'!H23),ISNUMBER('SW OpInc'!D23),ISNUMBER('SW Rev'!D23),'SW Rev'!H23&gt;0,'SW Rev'!D23&gt;0),('SW OpInc'!H23/'SW Rev'!H23-'SW OpInc'!D23/'SW Rev'!D23)*10000,""),"")</f>
        <v/>
      </c>
      <c r="E636" s="43">
        <f>IFERROR(IF(AND(ISNUMBER('SW OpInc'!I23),ISNUMBER('SW Rev'!I23),ISNUMBER('SW OpInc'!E23),ISNUMBER('SW Rev'!E23),'SW Rev'!I23&gt;0,'SW Rev'!E23&gt;0),('SW OpInc'!I23/'SW Rev'!I23-'SW OpInc'!E23/'SW Rev'!E23)*10000,""),"")</f>
        <v/>
      </c>
      <c r="F636" s="43">
        <f>IFERROR(IF(AND(ISNUMBER('SW OpInc'!J23),ISNUMBER('SW Rev'!J23),ISNUMBER('SW OpInc'!F23),ISNUMBER('SW Rev'!F23),'SW Rev'!J23&gt;0,'SW Rev'!F23&gt;0),('SW OpInc'!J23/'SW Rev'!J23-'SW OpInc'!F23/'SW Rev'!F23)*10000,""),"")</f>
        <v/>
      </c>
      <c r="G636" s="43">
        <f>IFERROR(IF(AND(ISNUMBER('SW OpInc'!K23),ISNUMBER('SW Rev'!K23),ISNUMBER('SW OpInc'!G23),ISNUMBER('SW Rev'!G23),'SW Rev'!K23&gt;0,'SW Rev'!G23&gt;0),('SW OpInc'!K23/'SW Rev'!K23-'SW OpInc'!G23/'SW Rev'!G23)*10000,""),"")</f>
        <v/>
      </c>
      <c r="H636" s="43">
        <f>IFERROR(IF(AND(ISNUMBER('SW OpInc'!L23),ISNUMBER('SW Rev'!L23),ISNUMBER('SW OpInc'!H23),ISNUMBER('SW Rev'!H23),'SW Rev'!L23&gt;0,'SW Rev'!H23&gt;0),('SW OpInc'!L23/'SW Rev'!L23-'SW OpInc'!H23/'SW Rev'!H23)*10000,""),"")</f>
        <v/>
      </c>
      <c r="I636" s="43">
        <f>IFERROR(IF(AND(ISNUMBER('SW OpInc'!M23),ISNUMBER('SW Rev'!M23),ISNUMBER('SW OpInc'!I23),ISNUMBER('SW Rev'!I23),'SW Rev'!M23&gt;0,'SW Rev'!I23&gt;0),('SW OpInc'!M23/'SW Rev'!M23-'SW OpInc'!I23/'SW Rev'!I23)*10000,""),"")</f>
        <v/>
      </c>
      <c r="J636" s="43">
        <f>IFERROR(IF(AND(ISNUMBER('SW OpInc'!N23),ISNUMBER('SW Rev'!N23),ISNUMBER('SW OpInc'!J23),ISNUMBER('SW Rev'!J23),'SW Rev'!N23&gt;0,'SW Rev'!J23&gt;0),('SW OpInc'!N23/'SW Rev'!N23-'SW OpInc'!J23/'SW Rev'!J23)*10000,""),"")</f>
        <v/>
      </c>
      <c r="K636" s="43">
        <f>IFERROR(IF(AND(ISNUMBER('SW OpInc'!O23),ISNUMBER('SW Rev'!O23),ISNUMBER('SW OpInc'!K23),ISNUMBER('SW Rev'!K23),'SW Rev'!O23&gt;0,'SW Rev'!K23&gt;0),('SW OpInc'!O23/'SW Rev'!O23-'SW OpInc'!K23/'SW Rev'!K23)*10000,""),"")</f>
        <v/>
      </c>
      <c r="L636" s="43">
        <f>IFERROR(IF(AND(ISNUMBER('SW OpInc'!P23),ISNUMBER('SW Rev'!P23),ISNUMBER('SW OpInc'!L23),ISNUMBER('SW Rev'!L23),'SW Rev'!P23&gt;0,'SW Rev'!L23&gt;0),('SW OpInc'!P23/'SW Rev'!P23-'SW OpInc'!L23/'SW Rev'!L23)*10000,""),"")</f>
        <v/>
      </c>
      <c r="M636" s="44">
        <f>IFERROR(IF(AND(ISNUMBER('SW OpInc'!Q23),ISNUMBER('SW Rev'!Q23),ISNUMBER('SW OpInc'!M23),ISNUMBER('SW Rev'!M23),'SW Rev'!Q23&gt;0,'SW Rev'!M23&gt;0),('SW OpInc'!Q23/'SW Rev'!Q23-'SW OpInc'!M23/'SW Rev'!M23)*10000,""),"")</f>
        <v/>
      </c>
      <c r="N636" s="44">
        <f>IFERROR(IF(AND(ISNUMBER('SW OpInc'!R23),ISNUMBER('SW Rev'!R23),ISNUMBER('SW OpInc'!N23),ISNUMBER('SW Rev'!N23),'SW Rev'!R23&gt;0,'SW Rev'!N23&gt;0),('SW OpInc'!R23/'SW Rev'!R23-'SW OpInc'!N23/'SW Rev'!N23)*10000,""),"")</f>
        <v/>
      </c>
    </row>
    <row r="637">
      <c r="A637" s="19">
        <f>'SW Rev'!$A24</f>
        <v/>
      </c>
      <c r="B637" s="19">
        <f>'SW Rev'!$B24</f>
        <v/>
      </c>
      <c r="C637" s="43">
        <f>IFERROR(IF(AND(ISNUMBER('SW OpInc'!G24),ISNUMBER('SW Rev'!G24),ISNUMBER('SW OpInc'!C24),ISNUMBER('SW Rev'!C24),'SW Rev'!G24&gt;0,'SW Rev'!C24&gt;0),('SW OpInc'!G24/'SW Rev'!G24-'SW OpInc'!C24/'SW Rev'!C24)*10000,""),"")</f>
        <v/>
      </c>
      <c r="D637" s="43">
        <f>IFERROR(IF(AND(ISNUMBER('SW OpInc'!H24),ISNUMBER('SW Rev'!H24),ISNUMBER('SW OpInc'!D24),ISNUMBER('SW Rev'!D24),'SW Rev'!H24&gt;0,'SW Rev'!D24&gt;0),('SW OpInc'!H24/'SW Rev'!H24-'SW OpInc'!D24/'SW Rev'!D24)*10000,""),"")</f>
        <v/>
      </c>
      <c r="E637" s="43">
        <f>IFERROR(IF(AND(ISNUMBER('SW OpInc'!I24),ISNUMBER('SW Rev'!I24),ISNUMBER('SW OpInc'!E24),ISNUMBER('SW Rev'!E24),'SW Rev'!I24&gt;0,'SW Rev'!E24&gt;0),('SW OpInc'!I24/'SW Rev'!I24-'SW OpInc'!E24/'SW Rev'!E24)*10000,""),"")</f>
        <v/>
      </c>
      <c r="F637" s="43">
        <f>IFERROR(IF(AND(ISNUMBER('SW OpInc'!J24),ISNUMBER('SW Rev'!J24),ISNUMBER('SW OpInc'!F24),ISNUMBER('SW Rev'!F24),'SW Rev'!J24&gt;0,'SW Rev'!F24&gt;0),('SW OpInc'!J24/'SW Rev'!J24-'SW OpInc'!F24/'SW Rev'!F24)*10000,""),"")</f>
        <v/>
      </c>
      <c r="G637" s="43">
        <f>IFERROR(IF(AND(ISNUMBER('SW OpInc'!K24),ISNUMBER('SW Rev'!K24),ISNUMBER('SW OpInc'!G24),ISNUMBER('SW Rev'!G24),'SW Rev'!K24&gt;0,'SW Rev'!G24&gt;0),('SW OpInc'!K24/'SW Rev'!K24-'SW OpInc'!G24/'SW Rev'!G24)*10000,""),"")</f>
        <v/>
      </c>
      <c r="H637" s="43">
        <f>IFERROR(IF(AND(ISNUMBER('SW OpInc'!L24),ISNUMBER('SW Rev'!L24),ISNUMBER('SW OpInc'!H24),ISNUMBER('SW Rev'!H24),'SW Rev'!L24&gt;0,'SW Rev'!H24&gt;0),('SW OpInc'!L24/'SW Rev'!L24-'SW OpInc'!H24/'SW Rev'!H24)*10000,""),"")</f>
        <v/>
      </c>
      <c r="I637" s="43">
        <f>IFERROR(IF(AND(ISNUMBER('SW OpInc'!M24),ISNUMBER('SW Rev'!M24),ISNUMBER('SW OpInc'!I24),ISNUMBER('SW Rev'!I24),'SW Rev'!M24&gt;0,'SW Rev'!I24&gt;0),('SW OpInc'!M24/'SW Rev'!M24-'SW OpInc'!I24/'SW Rev'!I24)*10000,""),"")</f>
        <v/>
      </c>
      <c r="J637" s="43">
        <f>IFERROR(IF(AND(ISNUMBER('SW OpInc'!N24),ISNUMBER('SW Rev'!N24),ISNUMBER('SW OpInc'!J24),ISNUMBER('SW Rev'!J24),'SW Rev'!N24&gt;0,'SW Rev'!J24&gt;0),('SW OpInc'!N24/'SW Rev'!N24-'SW OpInc'!J24/'SW Rev'!J24)*10000,""),"")</f>
        <v/>
      </c>
      <c r="K637" s="43">
        <f>IFERROR(IF(AND(ISNUMBER('SW OpInc'!O24),ISNUMBER('SW Rev'!O24),ISNUMBER('SW OpInc'!K24),ISNUMBER('SW Rev'!K24),'SW Rev'!O24&gt;0,'SW Rev'!K24&gt;0),('SW OpInc'!O24/'SW Rev'!O24-'SW OpInc'!K24/'SW Rev'!K24)*10000,""),"")</f>
        <v/>
      </c>
      <c r="L637" s="43">
        <f>IFERROR(IF(AND(ISNUMBER('SW OpInc'!P24),ISNUMBER('SW Rev'!P24),ISNUMBER('SW OpInc'!L24),ISNUMBER('SW Rev'!L24),'SW Rev'!P24&gt;0,'SW Rev'!L24&gt;0),('SW OpInc'!P24/'SW Rev'!P24-'SW OpInc'!L24/'SW Rev'!L24)*10000,""),"")</f>
        <v/>
      </c>
      <c r="M637" s="44">
        <f>IFERROR(IF(AND(ISNUMBER('SW OpInc'!Q24),ISNUMBER('SW Rev'!Q24),ISNUMBER('SW OpInc'!M24),ISNUMBER('SW Rev'!M24),'SW Rev'!Q24&gt;0,'SW Rev'!M24&gt;0),('SW OpInc'!Q24/'SW Rev'!Q24-'SW OpInc'!M24/'SW Rev'!M24)*10000,""),"")</f>
        <v/>
      </c>
      <c r="N637" s="44">
        <f>IFERROR(IF(AND(ISNUMBER('SW OpInc'!R24),ISNUMBER('SW Rev'!R24),ISNUMBER('SW OpInc'!N24),ISNUMBER('SW Rev'!N24),'SW Rev'!R24&gt;0,'SW Rev'!N24&gt;0),('SW OpInc'!R24/'SW Rev'!R24-'SW OpInc'!N24/'SW Rev'!N24)*10000,""),"")</f>
        <v/>
      </c>
    </row>
    <row r="638">
      <c r="A638" s="19">
        <f>'SW Rev'!$A25</f>
        <v/>
      </c>
      <c r="B638" s="19">
        <f>'SW Rev'!$B25</f>
        <v/>
      </c>
      <c r="C638" s="43">
        <f>IFERROR(IF(AND(ISNUMBER('SW OpInc'!G25),ISNUMBER('SW Rev'!G25),ISNUMBER('SW OpInc'!C25),ISNUMBER('SW Rev'!C25),'SW Rev'!G25&gt;0,'SW Rev'!C25&gt;0),('SW OpInc'!G25/'SW Rev'!G25-'SW OpInc'!C25/'SW Rev'!C25)*10000,""),"")</f>
        <v/>
      </c>
      <c r="D638" s="43">
        <f>IFERROR(IF(AND(ISNUMBER('SW OpInc'!H25),ISNUMBER('SW Rev'!H25),ISNUMBER('SW OpInc'!D25),ISNUMBER('SW Rev'!D25),'SW Rev'!H25&gt;0,'SW Rev'!D25&gt;0),('SW OpInc'!H25/'SW Rev'!H25-'SW OpInc'!D25/'SW Rev'!D25)*10000,""),"")</f>
        <v/>
      </c>
      <c r="E638" s="43">
        <f>IFERROR(IF(AND(ISNUMBER('SW OpInc'!I25),ISNUMBER('SW Rev'!I25),ISNUMBER('SW OpInc'!E25),ISNUMBER('SW Rev'!E25),'SW Rev'!I25&gt;0,'SW Rev'!E25&gt;0),('SW OpInc'!I25/'SW Rev'!I25-'SW OpInc'!E25/'SW Rev'!E25)*10000,""),"")</f>
        <v/>
      </c>
      <c r="F638" s="43">
        <f>IFERROR(IF(AND(ISNUMBER('SW OpInc'!J25),ISNUMBER('SW Rev'!J25),ISNUMBER('SW OpInc'!F25),ISNUMBER('SW Rev'!F25),'SW Rev'!J25&gt;0,'SW Rev'!F25&gt;0),('SW OpInc'!J25/'SW Rev'!J25-'SW OpInc'!F25/'SW Rev'!F25)*10000,""),"")</f>
        <v/>
      </c>
      <c r="G638" s="43">
        <f>IFERROR(IF(AND(ISNUMBER('SW OpInc'!K25),ISNUMBER('SW Rev'!K25),ISNUMBER('SW OpInc'!G25),ISNUMBER('SW Rev'!G25),'SW Rev'!K25&gt;0,'SW Rev'!G25&gt;0),('SW OpInc'!K25/'SW Rev'!K25-'SW OpInc'!G25/'SW Rev'!G25)*10000,""),"")</f>
        <v/>
      </c>
      <c r="H638" s="43">
        <f>IFERROR(IF(AND(ISNUMBER('SW OpInc'!L25),ISNUMBER('SW Rev'!L25),ISNUMBER('SW OpInc'!H25),ISNUMBER('SW Rev'!H25),'SW Rev'!L25&gt;0,'SW Rev'!H25&gt;0),('SW OpInc'!L25/'SW Rev'!L25-'SW OpInc'!H25/'SW Rev'!H25)*10000,""),"")</f>
        <v/>
      </c>
      <c r="I638" s="43">
        <f>IFERROR(IF(AND(ISNUMBER('SW OpInc'!M25),ISNUMBER('SW Rev'!M25),ISNUMBER('SW OpInc'!I25),ISNUMBER('SW Rev'!I25),'SW Rev'!M25&gt;0,'SW Rev'!I25&gt;0),('SW OpInc'!M25/'SW Rev'!M25-'SW OpInc'!I25/'SW Rev'!I25)*10000,""),"")</f>
        <v/>
      </c>
      <c r="J638" s="43">
        <f>IFERROR(IF(AND(ISNUMBER('SW OpInc'!N25),ISNUMBER('SW Rev'!N25),ISNUMBER('SW OpInc'!J25),ISNUMBER('SW Rev'!J25),'SW Rev'!N25&gt;0,'SW Rev'!J25&gt;0),('SW OpInc'!N25/'SW Rev'!N25-'SW OpInc'!J25/'SW Rev'!J25)*10000,""),"")</f>
        <v/>
      </c>
      <c r="K638" s="43">
        <f>IFERROR(IF(AND(ISNUMBER('SW OpInc'!O25),ISNUMBER('SW Rev'!O25),ISNUMBER('SW OpInc'!K25),ISNUMBER('SW Rev'!K25),'SW Rev'!O25&gt;0,'SW Rev'!K25&gt;0),('SW OpInc'!O25/'SW Rev'!O25-'SW OpInc'!K25/'SW Rev'!K25)*10000,""),"")</f>
        <v/>
      </c>
      <c r="L638" s="43">
        <f>IFERROR(IF(AND(ISNUMBER('SW OpInc'!P25),ISNUMBER('SW Rev'!P25),ISNUMBER('SW OpInc'!L25),ISNUMBER('SW Rev'!L25),'SW Rev'!P25&gt;0,'SW Rev'!L25&gt;0),('SW OpInc'!P25/'SW Rev'!P25-'SW OpInc'!L25/'SW Rev'!L25)*10000,""),"")</f>
        <v/>
      </c>
      <c r="M638" s="44">
        <f>IFERROR(IF(AND(ISNUMBER('SW OpInc'!Q25),ISNUMBER('SW Rev'!Q25),ISNUMBER('SW OpInc'!M25),ISNUMBER('SW Rev'!M25),'SW Rev'!Q25&gt;0,'SW Rev'!M25&gt;0),('SW OpInc'!Q25/'SW Rev'!Q25-'SW OpInc'!M25/'SW Rev'!M25)*10000,""),"")</f>
        <v/>
      </c>
      <c r="N638" s="44">
        <f>IFERROR(IF(AND(ISNUMBER('SW OpInc'!R25),ISNUMBER('SW Rev'!R25),ISNUMBER('SW OpInc'!N25),ISNUMBER('SW Rev'!N25),'SW Rev'!R25&gt;0,'SW Rev'!N25&gt;0),('SW OpInc'!R25/'SW Rev'!R25-'SW OpInc'!N25/'SW Rev'!N25)*10000,""),"")</f>
        <v/>
      </c>
    </row>
    <row r="639">
      <c r="A639" s="19">
        <f>'SW Rev'!$A26</f>
        <v/>
      </c>
      <c r="B639" s="19">
        <f>'SW Rev'!$B26</f>
        <v/>
      </c>
      <c r="C639" s="43">
        <f>IFERROR(IF(AND(ISNUMBER('SW OpInc'!G26),ISNUMBER('SW Rev'!G26),ISNUMBER('SW OpInc'!C26),ISNUMBER('SW Rev'!C26),'SW Rev'!G26&gt;0,'SW Rev'!C26&gt;0),('SW OpInc'!G26/'SW Rev'!G26-'SW OpInc'!C26/'SW Rev'!C26)*10000,""),"")</f>
        <v/>
      </c>
      <c r="D639" s="43">
        <f>IFERROR(IF(AND(ISNUMBER('SW OpInc'!H26),ISNUMBER('SW Rev'!H26),ISNUMBER('SW OpInc'!D26),ISNUMBER('SW Rev'!D26),'SW Rev'!H26&gt;0,'SW Rev'!D26&gt;0),('SW OpInc'!H26/'SW Rev'!H26-'SW OpInc'!D26/'SW Rev'!D26)*10000,""),"")</f>
        <v/>
      </c>
      <c r="E639" s="43">
        <f>IFERROR(IF(AND(ISNUMBER('SW OpInc'!I26),ISNUMBER('SW Rev'!I26),ISNUMBER('SW OpInc'!E26),ISNUMBER('SW Rev'!E26),'SW Rev'!I26&gt;0,'SW Rev'!E26&gt;0),('SW OpInc'!I26/'SW Rev'!I26-'SW OpInc'!E26/'SW Rev'!E26)*10000,""),"")</f>
        <v/>
      </c>
      <c r="F639" s="43">
        <f>IFERROR(IF(AND(ISNUMBER('SW OpInc'!J26),ISNUMBER('SW Rev'!J26),ISNUMBER('SW OpInc'!F26),ISNUMBER('SW Rev'!F26),'SW Rev'!J26&gt;0,'SW Rev'!F26&gt;0),('SW OpInc'!J26/'SW Rev'!J26-'SW OpInc'!F26/'SW Rev'!F26)*10000,""),"")</f>
        <v/>
      </c>
      <c r="G639" s="43">
        <f>IFERROR(IF(AND(ISNUMBER('SW OpInc'!K26),ISNUMBER('SW Rev'!K26),ISNUMBER('SW OpInc'!G26),ISNUMBER('SW Rev'!G26),'SW Rev'!K26&gt;0,'SW Rev'!G26&gt;0),('SW OpInc'!K26/'SW Rev'!K26-'SW OpInc'!G26/'SW Rev'!G26)*10000,""),"")</f>
        <v/>
      </c>
      <c r="H639" s="43">
        <f>IFERROR(IF(AND(ISNUMBER('SW OpInc'!L26),ISNUMBER('SW Rev'!L26),ISNUMBER('SW OpInc'!H26),ISNUMBER('SW Rev'!H26),'SW Rev'!L26&gt;0,'SW Rev'!H26&gt;0),('SW OpInc'!L26/'SW Rev'!L26-'SW OpInc'!H26/'SW Rev'!H26)*10000,""),"")</f>
        <v/>
      </c>
      <c r="I639" s="43">
        <f>IFERROR(IF(AND(ISNUMBER('SW OpInc'!M26),ISNUMBER('SW Rev'!M26),ISNUMBER('SW OpInc'!I26),ISNUMBER('SW Rev'!I26),'SW Rev'!M26&gt;0,'SW Rev'!I26&gt;0),('SW OpInc'!M26/'SW Rev'!M26-'SW OpInc'!I26/'SW Rev'!I26)*10000,""),"")</f>
        <v/>
      </c>
      <c r="J639" s="43">
        <f>IFERROR(IF(AND(ISNUMBER('SW OpInc'!N26),ISNUMBER('SW Rev'!N26),ISNUMBER('SW OpInc'!J26),ISNUMBER('SW Rev'!J26),'SW Rev'!N26&gt;0,'SW Rev'!J26&gt;0),('SW OpInc'!N26/'SW Rev'!N26-'SW OpInc'!J26/'SW Rev'!J26)*10000,""),"")</f>
        <v/>
      </c>
      <c r="K639" s="43">
        <f>IFERROR(IF(AND(ISNUMBER('SW OpInc'!O26),ISNUMBER('SW Rev'!O26),ISNUMBER('SW OpInc'!K26),ISNUMBER('SW Rev'!K26),'SW Rev'!O26&gt;0,'SW Rev'!K26&gt;0),('SW OpInc'!O26/'SW Rev'!O26-'SW OpInc'!K26/'SW Rev'!K26)*10000,""),"")</f>
        <v/>
      </c>
      <c r="L639" s="43">
        <f>IFERROR(IF(AND(ISNUMBER('SW OpInc'!P26),ISNUMBER('SW Rev'!P26),ISNUMBER('SW OpInc'!L26),ISNUMBER('SW Rev'!L26),'SW Rev'!P26&gt;0,'SW Rev'!L26&gt;0),('SW OpInc'!P26/'SW Rev'!P26-'SW OpInc'!L26/'SW Rev'!L26)*10000,""),"")</f>
        <v/>
      </c>
      <c r="M639" s="44">
        <f>IFERROR(IF(AND(ISNUMBER('SW OpInc'!Q26),ISNUMBER('SW Rev'!Q26),ISNUMBER('SW OpInc'!M26),ISNUMBER('SW Rev'!M26),'SW Rev'!Q26&gt;0,'SW Rev'!M26&gt;0),('SW OpInc'!Q26/'SW Rev'!Q26-'SW OpInc'!M26/'SW Rev'!M26)*10000,""),"")</f>
        <v/>
      </c>
      <c r="N639" s="44">
        <f>IFERROR(IF(AND(ISNUMBER('SW OpInc'!R26),ISNUMBER('SW Rev'!R26),ISNUMBER('SW OpInc'!N26),ISNUMBER('SW Rev'!N26),'SW Rev'!R26&gt;0,'SW Rev'!N26&gt;0),('SW OpInc'!R26/'SW Rev'!R26-'SW OpInc'!N26/'SW Rev'!N26)*10000,""),"")</f>
        <v/>
      </c>
    </row>
    <row r="640">
      <c r="A640" s="19">
        <f>'SW Rev'!$A27</f>
        <v/>
      </c>
      <c r="B640" s="19">
        <f>'SW Rev'!$B27</f>
        <v/>
      </c>
      <c r="C640" s="43">
        <f>IFERROR(IF(AND(ISNUMBER('SW OpInc'!G27),ISNUMBER('SW Rev'!G27),ISNUMBER('SW OpInc'!C27),ISNUMBER('SW Rev'!C27),'SW Rev'!G27&gt;0,'SW Rev'!C27&gt;0),('SW OpInc'!G27/'SW Rev'!G27-'SW OpInc'!C27/'SW Rev'!C27)*10000,""),"")</f>
        <v/>
      </c>
      <c r="D640" s="43">
        <f>IFERROR(IF(AND(ISNUMBER('SW OpInc'!H27),ISNUMBER('SW Rev'!H27),ISNUMBER('SW OpInc'!D27),ISNUMBER('SW Rev'!D27),'SW Rev'!H27&gt;0,'SW Rev'!D27&gt;0),('SW OpInc'!H27/'SW Rev'!H27-'SW OpInc'!D27/'SW Rev'!D27)*10000,""),"")</f>
        <v/>
      </c>
      <c r="E640" s="43">
        <f>IFERROR(IF(AND(ISNUMBER('SW OpInc'!I27),ISNUMBER('SW Rev'!I27),ISNUMBER('SW OpInc'!E27),ISNUMBER('SW Rev'!E27),'SW Rev'!I27&gt;0,'SW Rev'!E27&gt;0),('SW OpInc'!I27/'SW Rev'!I27-'SW OpInc'!E27/'SW Rev'!E27)*10000,""),"")</f>
        <v/>
      </c>
      <c r="F640" s="43">
        <f>IFERROR(IF(AND(ISNUMBER('SW OpInc'!J27),ISNUMBER('SW Rev'!J27),ISNUMBER('SW OpInc'!F27),ISNUMBER('SW Rev'!F27),'SW Rev'!J27&gt;0,'SW Rev'!F27&gt;0),('SW OpInc'!J27/'SW Rev'!J27-'SW OpInc'!F27/'SW Rev'!F27)*10000,""),"")</f>
        <v/>
      </c>
      <c r="G640" s="43">
        <f>IFERROR(IF(AND(ISNUMBER('SW OpInc'!K27),ISNUMBER('SW Rev'!K27),ISNUMBER('SW OpInc'!G27),ISNUMBER('SW Rev'!G27),'SW Rev'!K27&gt;0,'SW Rev'!G27&gt;0),('SW OpInc'!K27/'SW Rev'!K27-'SW OpInc'!G27/'SW Rev'!G27)*10000,""),"")</f>
        <v/>
      </c>
      <c r="H640" s="43">
        <f>IFERROR(IF(AND(ISNUMBER('SW OpInc'!L27),ISNUMBER('SW Rev'!L27),ISNUMBER('SW OpInc'!H27),ISNUMBER('SW Rev'!H27),'SW Rev'!L27&gt;0,'SW Rev'!H27&gt;0),('SW OpInc'!L27/'SW Rev'!L27-'SW OpInc'!H27/'SW Rev'!H27)*10000,""),"")</f>
        <v/>
      </c>
      <c r="I640" s="43">
        <f>IFERROR(IF(AND(ISNUMBER('SW OpInc'!M27),ISNUMBER('SW Rev'!M27),ISNUMBER('SW OpInc'!I27),ISNUMBER('SW Rev'!I27),'SW Rev'!M27&gt;0,'SW Rev'!I27&gt;0),('SW OpInc'!M27/'SW Rev'!M27-'SW OpInc'!I27/'SW Rev'!I27)*10000,""),"")</f>
        <v/>
      </c>
      <c r="J640" s="43">
        <f>IFERROR(IF(AND(ISNUMBER('SW OpInc'!N27),ISNUMBER('SW Rev'!N27),ISNUMBER('SW OpInc'!J27),ISNUMBER('SW Rev'!J27),'SW Rev'!N27&gt;0,'SW Rev'!J27&gt;0),('SW OpInc'!N27/'SW Rev'!N27-'SW OpInc'!J27/'SW Rev'!J27)*10000,""),"")</f>
        <v/>
      </c>
      <c r="K640" s="43">
        <f>IFERROR(IF(AND(ISNUMBER('SW OpInc'!O27),ISNUMBER('SW Rev'!O27),ISNUMBER('SW OpInc'!K27),ISNUMBER('SW Rev'!K27),'SW Rev'!O27&gt;0,'SW Rev'!K27&gt;0),('SW OpInc'!O27/'SW Rev'!O27-'SW OpInc'!K27/'SW Rev'!K27)*10000,""),"")</f>
        <v/>
      </c>
      <c r="L640" s="43">
        <f>IFERROR(IF(AND(ISNUMBER('SW OpInc'!P27),ISNUMBER('SW Rev'!P27),ISNUMBER('SW OpInc'!L27),ISNUMBER('SW Rev'!L27),'SW Rev'!P27&gt;0,'SW Rev'!L27&gt;0),('SW OpInc'!P27/'SW Rev'!P27-'SW OpInc'!L27/'SW Rev'!L27)*10000,""),"")</f>
        <v/>
      </c>
      <c r="M640" s="44">
        <f>IFERROR(IF(AND(ISNUMBER('SW OpInc'!Q27),ISNUMBER('SW Rev'!Q27),ISNUMBER('SW OpInc'!M27),ISNUMBER('SW Rev'!M27),'SW Rev'!Q27&gt;0,'SW Rev'!M27&gt;0),('SW OpInc'!Q27/'SW Rev'!Q27-'SW OpInc'!M27/'SW Rev'!M27)*10000,""),"")</f>
        <v/>
      </c>
      <c r="N640" s="44">
        <f>IFERROR(IF(AND(ISNUMBER('SW OpInc'!R27),ISNUMBER('SW Rev'!R27),ISNUMBER('SW OpInc'!N27),ISNUMBER('SW Rev'!N27),'SW Rev'!R27&gt;0,'SW Rev'!N27&gt;0),('SW OpInc'!R27/'SW Rev'!R27-'SW OpInc'!N27/'SW Rev'!N27)*10000,""),"")</f>
        <v/>
      </c>
    </row>
    <row r="641">
      <c r="A641" s="19">
        <f>'SW Rev'!$A28</f>
        <v/>
      </c>
      <c r="B641" s="19">
        <f>'SW Rev'!$B28</f>
        <v/>
      </c>
      <c r="C641" s="43">
        <f>IFERROR(IF(AND(ISNUMBER('SW OpInc'!G28),ISNUMBER('SW Rev'!G28),ISNUMBER('SW OpInc'!C28),ISNUMBER('SW Rev'!C28),'SW Rev'!G28&gt;0,'SW Rev'!C28&gt;0),('SW OpInc'!G28/'SW Rev'!G28-'SW OpInc'!C28/'SW Rev'!C28)*10000,""),"")</f>
        <v/>
      </c>
      <c r="D641" s="43">
        <f>IFERROR(IF(AND(ISNUMBER('SW OpInc'!H28),ISNUMBER('SW Rev'!H28),ISNUMBER('SW OpInc'!D28),ISNUMBER('SW Rev'!D28),'SW Rev'!H28&gt;0,'SW Rev'!D28&gt;0),('SW OpInc'!H28/'SW Rev'!H28-'SW OpInc'!D28/'SW Rev'!D28)*10000,""),"")</f>
        <v/>
      </c>
      <c r="E641" s="43">
        <f>IFERROR(IF(AND(ISNUMBER('SW OpInc'!I28),ISNUMBER('SW Rev'!I28),ISNUMBER('SW OpInc'!E28),ISNUMBER('SW Rev'!E28),'SW Rev'!I28&gt;0,'SW Rev'!E28&gt;0),('SW OpInc'!I28/'SW Rev'!I28-'SW OpInc'!E28/'SW Rev'!E28)*10000,""),"")</f>
        <v/>
      </c>
      <c r="F641" s="43">
        <f>IFERROR(IF(AND(ISNUMBER('SW OpInc'!J28),ISNUMBER('SW Rev'!J28),ISNUMBER('SW OpInc'!F28),ISNUMBER('SW Rev'!F28),'SW Rev'!J28&gt;0,'SW Rev'!F28&gt;0),('SW OpInc'!J28/'SW Rev'!J28-'SW OpInc'!F28/'SW Rev'!F28)*10000,""),"")</f>
        <v/>
      </c>
      <c r="G641" s="43">
        <f>IFERROR(IF(AND(ISNUMBER('SW OpInc'!K28),ISNUMBER('SW Rev'!K28),ISNUMBER('SW OpInc'!G28),ISNUMBER('SW Rev'!G28),'SW Rev'!K28&gt;0,'SW Rev'!G28&gt;0),('SW OpInc'!K28/'SW Rev'!K28-'SW OpInc'!G28/'SW Rev'!G28)*10000,""),"")</f>
        <v/>
      </c>
      <c r="H641" s="43">
        <f>IFERROR(IF(AND(ISNUMBER('SW OpInc'!L28),ISNUMBER('SW Rev'!L28),ISNUMBER('SW OpInc'!H28),ISNUMBER('SW Rev'!H28),'SW Rev'!L28&gt;0,'SW Rev'!H28&gt;0),('SW OpInc'!L28/'SW Rev'!L28-'SW OpInc'!H28/'SW Rev'!H28)*10000,""),"")</f>
        <v/>
      </c>
      <c r="I641" s="43">
        <f>IFERROR(IF(AND(ISNUMBER('SW OpInc'!M28),ISNUMBER('SW Rev'!M28),ISNUMBER('SW OpInc'!I28),ISNUMBER('SW Rev'!I28),'SW Rev'!M28&gt;0,'SW Rev'!I28&gt;0),('SW OpInc'!M28/'SW Rev'!M28-'SW OpInc'!I28/'SW Rev'!I28)*10000,""),"")</f>
        <v/>
      </c>
      <c r="J641" s="43">
        <f>IFERROR(IF(AND(ISNUMBER('SW OpInc'!N28),ISNUMBER('SW Rev'!N28),ISNUMBER('SW OpInc'!J28),ISNUMBER('SW Rev'!J28),'SW Rev'!N28&gt;0,'SW Rev'!J28&gt;0),('SW OpInc'!N28/'SW Rev'!N28-'SW OpInc'!J28/'SW Rev'!J28)*10000,""),"")</f>
        <v/>
      </c>
      <c r="K641" s="43">
        <f>IFERROR(IF(AND(ISNUMBER('SW OpInc'!O28),ISNUMBER('SW Rev'!O28),ISNUMBER('SW OpInc'!K28),ISNUMBER('SW Rev'!K28),'SW Rev'!O28&gt;0,'SW Rev'!K28&gt;0),('SW OpInc'!O28/'SW Rev'!O28-'SW OpInc'!K28/'SW Rev'!K28)*10000,""),"")</f>
        <v/>
      </c>
      <c r="L641" s="43">
        <f>IFERROR(IF(AND(ISNUMBER('SW OpInc'!P28),ISNUMBER('SW Rev'!P28),ISNUMBER('SW OpInc'!L28),ISNUMBER('SW Rev'!L28),'SW Rev'!P28&gt;0,'SW Rev'!L28&gt;0),('SW OpInc'!P28/'SW Rev'!P28-'SW OpInc'!L28/'SW Rev'!L28)*10000,""),"")</f>
        <v/>
      </c>
      <c r="M641" s="44">
        <f>IFERROR(IF(AND(ISNUMBER('SW OpInc'!Q28),ISNUMBER('SW Rev'!Q28),ISNUMBER('SW OpInc'!M28),ISNUMBER('SW Rev'!M28),'SW Rev'!Q28&gt;0,'SW Rev'!M28&gt;0),('SW OpInc'!Q28/'SW Rev'!Q28-'SW OpInc'!M28/'SW Rev'!M28)*10000,""),"")</f>
        <v/>
      </c>
      <c r="N641" s="44">
        <f>IFERROR(IF(AND(ISNUMBER('SW OpInc'!R28),ISNUMBER('SW Rev'!R28),ISNUMBER('SW OpInc'!N28),ISNUMBER('SW Rev'!N28),'SW Rev'!R28&gt;0,'SW Rev'!N28&gt;0),('SW OpInc'!R28/'SW Rev'!R28-'SW OpInc'!N28/'SW Rev'!N28)*10000,""),"")</f>
        <v/>
      </c>
    </row>
    <row r="642">
      <c r="A642" s="19">
        <f>'SW Rev'!$A29</f>
        <v/>
      </c>
      <c r="B642" s="19">
        <f>'SW Rev'!$B29</f>
        <v/>
      </c>
      <c r="C642" s="43">
        <f>IFERROR(IF(AND(ISNUMBER('SW OpInc'!G29),ISNUMBER('SW Rev'!G29),ISNUMBER('SW OpInc'!C29),ISNUMBER('SW Rev'!C29),'SW Rev'!G29&gt;0,'SW Rev'!C29&gt;0),('SW OpInc'!G29/'SW Rev'!G29-'SW OpInc'!C29/'SW Rev'!C29)*10000,""),"")</f>
        <v/>
      </c>
      <c r="D642" s="43">
        <f>IFERROR(IF(AND(ISNUMBER('SW OpInc'!H29),ISNUMBER('SW Rev'!H29),ISNUMBER('SW OpInc'!D29),ISNUMBER('SW Rev'!D29),'SW Rev'!H29&gt;0,'SW Rev'!D29&gt;0),('SW OpInc'!H29/'SW Rev'!H29-'SW OpInc'!D29/'SW Rev'!D29)*10000,""),"")</f>
        <v/>
      </c>
      <c r="E642" s="43">
        <f>IFERROR(IF(AND(ISNUMBER('SW OpInc'!I29),ISNUMBER('SW Rev'!I29),ISNUMBER('SW OpInc'!E29),ISNUMBER('SW Rev'!E29),'SW Rev'!I29&gt;0,'SW Rev'!E29&gt;0),('SW OpInc'!I29/'SW Rev'!I29-'SW OpInc'!E29/'SW Rev'!E29)*10000,""),"")</f>
        <v/>
      </c>
      <c r="F642" s="43">
        <f>IFERROR(IF(AND(ISNUMBER('SW OpInc'!J29),ISNUMBER('SW Rev'!J29),ISNUMBER('SW OpInc'!F29),ISNUMBER('SW Rev'!F29),'SW Rev'!J29&gt;0,'SW Rev'!F29&gt;0),('SW OpInc'!J29/'SW Rev'!J29-'SW OpInc'!F29/'SW Rev'!F29)*10000,""),"")</f>
        <v/>
      </c>
      <c r="G642" s="43">
        <f>IFERROR(IF(AND(ISNUMBER('SW OpInc'!K29),ISNUMBER('SW Rev'!K29),ISNUMBER('SW OpInc'!G29),ISNUMBER('SW Rev'!G29),'SW Rev'!K29&gt;0,'SW Rev'!G29&gt;0),('SW OpInc'!K29/'SW Rev'!K29-'SW OpInc'!G29/'SW Rev'!G29)*10000,""),"")</f>
        <v/>
      </c>
      <c r="H642" s="43">
        <f>IFERROR(IF(AND(ISNUMBER('SW OpInc'!L29),ISNUMBER('SW Rev'!L29),ISNUMBER('SW OpInc'!H29),ISNUMBER('SW Rev'!H29),'SW Rev'!L29&gt;0,'SW Rev'!H29&gt;0),('SW OpInc'!L29/'SW Rev'!L29-'SW OpInc'!H29/'SW Rev'!H29)*10000,""),"")</f>
        <v/>
      </c>
      <c r="I642" s="43">
        <f>IFERROR(IF(AND(ISNUMBER('SW OpInc'!M29),ISNUMBER('SW Rev'!M29),ISNUMBER('SW OpInc'!I29),ISNUMBER('SW Rev'!I29),'SW Rev'!M29&gt;0,'SW Rev'!I29&gt;0),('SW OpInc'!M29/'SW Rev'!M29-'SW OpInc'!I29/'SW Rev'!I29)*10000,""),"")</f>
        <v/>
      </c>
      <c r="J642" s="43">
        <f>IFERROR(IF(AND(ISNUMBER('SW OpInc'!N29),ISNUMBER('SW Rev'!N29),ISNUMBER('SW OpInc'!J29),ISNUMBER('SW Rev'!J29),'SW Rev'!N29&gt;0,'SW Rev'!J29&gt;0),('SW OpInc'!N29/'SW Rev'!N29-'SW OpInc'!J29/'SW Rev'!J29)*10000,""),"")</f>
        <v/>
      </c>
      <c r="K642" s="43">
        <f>IFERROR(IF(AND(ISNUMBER('SW OpInc'!O29),ISNUMBER('SW Rev'!O29),ISNUMBER('SW OpInc'!K29),ISNUMBER('SW Rev'!K29),'SW Rev'!O29&gt;0,'SW Rev'!K29&gt;0),('SW OpInc'!O29/'SW Rev'!O29-'SW OpInc'!K29/'SW Rev'!K29)*10000,""),"")</f>
        <v/>
      </c>
      <c r="L642" s="43">
        <f>IFERROR(IF(AND(ISNUMBER('SW OpInc'!P29),ISNUMBER('SW Rev'!P29),ISNUMBER('SW OpInc'!L29),ISNUMBER('SW Rev'!L29),'SW Rev'!P29&gt;0,'SW Rev'!L29&gt;0),('SW OpInc'!P29/'SW Rev'!P29-'SW OpInc'!L29/'SW Rev'!L29)*10000,""),"")</f>
        <v/>
      </c>
      <c r="M642" s="44">
        <f>IFERROR(IF(AND(ISNUMBER('SW OpInc'!Q29),ISNUMBER('SW Rev'!Q29),ISNUMBER('SW OpInc'!M29),ISNUMBER('SW Rev'!M29),'SW Rev'!Q29&gt;0,'SW Rev'!M29&gt;0),('SW OpInc'!Q29/'SW Rev'!Q29-'SW OpInc'!M29/'SW Rev'!M29)*10000,""),"")</f>
        <v/>
      </c>
      <c r="N642" s="44">
        <f>IFERROR(IF(AND(ISNUMBER('SW OpInc'!R29),ISNUMBER('SW Rev'!R29),ISNUMBER('SW OpInc'!N29),ISNUMBER('SW Rev'!N29),'SW Rev'!R29&gt;0,'SW Rev'!N29&gt;0),('SW OpInc'!R29/'SW Rev'!R29-'SW OpInc'!N29/'SW Rev'!N29)*10000,""),"")</f>
        <v/>
      </c>
    </row>
    <row r="643">
      <c r="A643" s="19">
        <f>'SW Rev'!$A30</f>
        <v/>
      </c>
      <c r="B643" s="19">
        <f>'SW Rev'!$B30</f>
        <v/>
      </c>
      <c r="C643" s="43">
        <f>IFERROR(IF(AND(ISNUMBER('SW OpInc'!G30),ISNUMBER('SW Rev'!G30),ISNUMBER('SW OpInc'!C30),ISNUMBER('SW Rev'!C30),'SW Rev'!G30&gt;0,'SW Rev'!C30&gt;0),('SW OpInc'!G30/'SW Rev'!G30-'SW OpInc'!C30/'SW Rev'!C30)*10000,""),"")</f>
        <v/>
      </c>
      <c r="D643" s="43">
        <f>IFERROR(IF(AND(ISNUMBER('SW OpInc'!H30),ISNUMBER('SW Rev'!H30),ISNUMBER('SW OpInc'!D30),ISNUMBER('SW Rev'!D30),'SW Rev'!H30&gt;0,'SW Rev'!D30&gt;0),('SW OpInc'!H30/'SW Rev'!H30-'SW OpInc'!D30/'SW Rev'!D30)*10000,""),"")</f>
        <v/>
      </c>
      <c r="E643" s="43">
        <f>IFERROR(IF(AND(ISNUMBER('SW OpInc'!I30),ISNUMBER('SW Rev'!I30),ISNUMBER('SW OpInc'!E30),ISNUMBER('SW Rev'!E30),'SW Rev'!I30&gt;0,'SW Rev'!E30&gt;0),('SW OpInc'!I30/'SW Rev'!I30-'SW OpInc'!E30/'SW Rev'!E30)*10000,""),"")</f>
        <v/>
      </c>
      <c r="F643" s="43">
        <f>IFERROR(IF(AND(ISNUMBER('SW OpInc'!J30),ISNUMBER('SW Rev'!J30),ISNUMBER('SW OpInc'!F30),ISNUMBER('SW Rev'!F30),'SW Rev'!J30&gt;0,'SW Rev'!F30&gt;0),('SW OpInc'!J30/'SW Rev'!J30-'SW OpInc'!F30/'SW Rev'!F30)*10000,""),"")</f>
        <v/>
      </c>
      <c r="G643" s="43">
        <f>IFERROR(IF(AND(ISNUMBER('SW OpInc'!K30),ISNUMBER('SW Rev'!K30),ISNUMBER('SW OpInc'!G30),ISNUMBER('SW Rev'!G30),'SW Rev'!K30&gt;0,'SW Rev'!G30&gt;0),('SW OpInc'!K30/'SW Rev'!K30-'SW OpInc'!G30/'SW Rev'!G30)*10000,""),"")</f>
        <v/>
      </c>
      <c r="H643" s="43">
        <f>IFERROR(IF(AND(ISNUMBER('SW OpInc'!L30),ISNUMBER('SW Rev'!L30),ISNUMBER('SW OpInc'!H30),ISNUMBER('SW Rev'!H30),'SW Rev'!L30&gt;0,'SW Rev'!H30&gt;0),('SW OpInc'!L30/'SW Rev'!L30-'SW OpInc'!H30/'SW Rev'!H30)*10000,""),"")</f>
        <v/>
      </c>
      <c r="I643" s="43">
        <f>IFERROR(IF(AND(ISNUMBER('SW OpInc'!M30),ISNUMBER('SW Rev'!M30),ISNUMBER('SW OpInc'!I30),ISNUMBER('SW Rev'!I30),'SW Rev'!M30&gt;0,'SW Rev'!I30&gt;0),('SW OpInc'!M30/'SW Rev'!M30-'SW OpInc'!I30/'SW Rev'!I30)*10000,""),"")</f>
        <v/>
      </c>
      <c r="J643" s="43">
        <f>IFERROR(IF(AND(ISNUMBER('SW OpInc'!N30),ISNUMBER('SW Rev'!N30),ISNUMBER('SW OpInc'!J30),ISNUMBER('SW Rev'!J30),'SW Rev'!N30&gt;0,'SW Rev'!J30&gt;0),('SW OpInc'!N30/'SW Rev'!N30-'SW OpInc'!J30/'SW Rev'!J30)*10000,""),"")</f>
        <v/>
      </c>
      <c r="K643" s="43">
        <f>IFERROR(IF(AND(ISNUMBER('SW OpInc'!O30),ISNUMBER('SW Rev'!O30),ISNUMBER('SW OpInc'!K30),ISNUMBER('SW Rev'!K30),'SW Rev'!O30&gt;0,'SW Rev'!K30&gt;0),('SW OpInc'!O30/'SW Rev'!O30-'SW OpInc'!K30/'SW Rev'!K30)*10000,""),"")</f>
        <v/>
      </c>
      <c r="L643" s="43">
        <f>IFERROR(IF(AND(ISNUMBER('SW OpInc'!P30),ISNUMBER('SW Rev'!P30),ISNUMBER('SW OpInc'!L30),ISNUMBER('SW Rev'!L30),'SW Rev'!P30&gt;0,'SW Rev'!L30&gt;0),('SW OpInc'!P30/'SW Rev'!P30-'SW OpInc'!L30/'SW Rev'!L30)*10000,""),"")</f>
        <v/>
      </c>
      <c r="M643" s="44">
        <f>IFERROR(IF(AND(ISNUMBER('SW OpInc'!Q30),ISNUMBER('SW Rev'!Q30),ISNUMBER('SW OpInc'!M30),ISNUMBER('SW Rev'!M30),'SW Rev'!Q30&gt;0,'SW Rev'!M30&gt;0),('SW OpInc'!Q30/'SW Rev'!Q30-'SW OpInc'!M30/'SW Rev'!M30)*10000,""),"")</f>
        <v/>
      </c>
      <c r="N643" s="44">
        <f>IFERROR(IF(AND(ISNUMBER('SW OpInc'!R30),ISNUMBER('SW Rev'!R30),ISNUMBER('SW OpInc'!N30),ISNUMBER('SW Rev'!N30),'SW Rev'!R30&gt;0,'SW Rev'!N30&gt;0),('SW OpInc'!R30/'SW Rev'!R30-'SW OpInc'!N30/'SW Rev'!N30)*10000,""),"")</f>
        <v/>
      </c>
    </row>
    <row r="644">
      <c r="A644" s="19">
        <f>'SW Rev'!$A31</f>
        <v/>
      </c>
      <c r="B644" s="19">
        <f>'SW Rev'!$B31</f>
        <v/>
      </c>
      <c r="C644" s="43">
        <f>IFERROR(IF(AND(ISNUMBER('SW OpInc'!G31),ISNUMBER('SW Rev'!G31),ISNUMBER('SW OpInc'!C31),ISNUMBER('SW Rev'!C31),'SW Rev'!G31&gt;0,'SW Rev'!C31&gt;0),('SW OpInc'!G31/'SW Rev'!G31-'SW OpInc'!C31/'SW Rev'!C31)*10000,""),"")</f>
        <v/>
      </c>
      <c r="D644" s="43">
        <f>IFERROR(IF(AND(ISNUMBER('SW OpInc'!H31),ISNUMBER('SW Rev'!H31),ISNUMBER('SW OpInc'!D31),ISNUMBER('SW Rev'!D31),'SW Rev'!H31&gt;0,'SW Rev'!D31&gt;0),('SW OpInc'!H31/'SW Rev'!H31-'SW OpInc'!D31/'SW Rev'!D31)*10000,""),"")</f>
        <v/>
      </c>
      <c r="E644" s="43">
        <f>IFERROR(IF(AND(ISNUMBER('SW OpInc'!I31),ISNUMBER('SW Rev'!I31),ISNUMBER('SW OpInc'!E31),ISNUMBER('SW Rev'!E31),'SW Rev'!I31&gt;0,'SW Rev'!E31&gt;0),('SW OpInc'!I31/'SW Rev'!I31-'SW OpInc'!E31/'SW Rev'!E31)*10000,""),"")</f>
        <v/>
      </c>
      <c r="F644" s="43">
        <f>IFERROR(IF(AND(ISNUMBER('SW OpInc'!J31),ISNUMBER('SW Rev'!J31),ISNUMBER('SW OpInc'!F31),ISNUMBER('SW Rev'!F31),'SW Rev'!J31&gt;0,'SW Rev'!F31&gt;0),('SW OpInc'!J31/'SW Rev'!J31-'SW OpInc'!F31/'SW Rev'!F31)*10000,""),"")</f>
        <v/>
      </c>
      <c r="G644" s="43">
        <f>IFERROR(IF(AND(ISNUMBER('SW OpInc'!K31),ISNUMBER('SW Rev'!K31),ISNUMBER('SW OpInc'!G31),ISNUMBER('SW Rev'!G31),'SW Rev'!K31&gt;0,'SW Rev'!G31&gt;0),('SW OpInc'!K31/'SW Rev'!K31-'SW OpInc'!G31/'SW Rev'!G31)*10000,""),"")</f>
        <v/>
      </c>
      <c r="H644" s="43">
        <f>IFERROR(IF(AND(ISNUMBER('SW OpInc'!L31),ISNUMBER('SW Rev'!L31),ISNUMBER('SW OpInc'!H31),ISNUMBER('SW Rev'!H31),'SW Rev'!L31&gt;0,'SW Rev'!H31&gt;0),('SW OpInc'!L31/'SW Rev'!L31-'SW OpInc'!H31/'SW Rev'!H31)*10000,""),"")</f>
        <v/>
      </c>
      <c r="I644" s="43">
        <f>IFERROR(IF(AND(ISNUMBER('SW OpInc'!M31),ISNUMBER('SW Rev'!M31),ISNUMBER('SW OpInc'!I31),ISNUMBER('SW Rev'!I31),'SW Rev'!M31&gt;0,'SW Rev'!I31&gt;0),('SW OpInc'!M31/'SW Rev'!M31-'SW OpInc'!I31/'SW Rev'!I31)*10000,""),"")</f>
        <v/>
      </c>
      <c r="J644" s="43">
        <f>IFERROR(IF(AND(ISNUMBER('SW OpInc'!N31),ISNUMBER('SW Rev'!N31),ISNUMBER('SW OpInc'!J31),ISNUMBER('SW Rev'!J31),'SW Rev'!N31&gt;0,'SW Rev'!J31&gt;0),('SW OpInc'!N31/'SW Rev'!N31-'SW OpInc'!J31/'SW Rev'!J31)*10000,""),"")</f>
        <v/>
      </c>
      <c r="K644" s="43">
        <f>IFERROR(IF(AND(ISNUMBER('SW OpInc'!O31),ISNUMBER('SW Rev'!O31),ISNUMBER('SW OpInc'!K31),ISNUMBER('SW Rev'!K31),'SW Rev'!O31&gt;0,'SW Rev'!K31&gt;0),('SW OpInc'!O31/'SW Rev'!O31-'SW OpInc'!K31/'SW Rev'!K31)*10000,""),"")</f>
        <v/>
      </c>
      <c r="L644" s="43">
        <f>IFERROR(IF(AND(ISNUMBER('SW OpInc'!P31),ISNUMBER('SW Rev'!P31),ISNUMBER('SW OpInc'!L31),ISNUMBER('SW Rev'!L31),'SW Rev'!P31&gt;0,'SW Rev'!L31&gt;0),('SW OpInc'!P31/'SW Rev'!P31-'SW OpInc'!L31/'SW Rev'!L31)*10000,""),"")</f>
        <v/>
      </c>
      <c r="M644" s="44">
        <f>IFERROR(IF(AND(ISNUMBER('SW OpInc'!Q31),ISNUMBER('SW Rev'!Q31),ISNUMBER('SW OpInc'!M31),ISNUMBER('SW Rev'!M31),'SW Rev'!Q31&gt;0,'SW Rev'!M31&gt;0),('SW OpInc'!Q31/'SW Rev'!Q31-'SW OpInc'!M31/'SW Rev'!M31)*10000,""),"")</f>
        <v/>
      </c>
      <c r="N644" s="44">
        <f>IFERROR(IF(AND(ISNUMBER('SW OpInc'!R31),ISNUMBER('SW Rev'!R31),ISNUMBER('SW OpInc'!N31),ISNUMBER('SW Rev'!N31),'SW Rev'!R31&gt;0,'SW Rev'!N31&gt;0),('SW OpInc'!R31/'SW Rev'!R31-'SW OpInc'!N31/'SW Rev'!N31)*10000,""),"")</f>
        <v/>
      </c>
    </row>
    <row r="645">
      <c r="A645" s="19">
        <f>'SW Rev'!$A32</f>
        <v/>
      </c>
      <c r="B645" s="19">
        <f>'SW Rev'!$B32</f>
        <v/>
      </c>
      <c r="C645" s="43">
        <f>IFERROR(IF(AND(ISNUMBER('SW OpInc'!G32),ISNUMBER('SW Rev'!G32),ISNUMBER('SW OpInc'!C32),ISNUMBER('SW Rev'!C32),'SW Rev'!G32&gt;0,'SW Rev'!C32&gt;0),('SW OpInc'!G32/'SW Rev'!G32-'SW OpInc'!C32/'SW Rev'!C32)*10000,""),"")</f>
        <v/>
      </c>
      <c r="D645" s="43">
        <f>IFERROR(IF(AND(ISNUMBER('SW OpInc'!H32),ISNUMBER('SW Rev'!H32),ISNUMBER('SW OpInc'!D32),ISNUMBER('SW Rev'!D32),'SW Rev'!H32&gt;0,'SW Rev'!D32&gt;0),('SW OpInc'!H32/'SW Rev'!H32-'SW OpInc'!D32/'SW Rev'!D32)*10000,""),"")</f>
        <v/>
      </c>
      <c r="E645" s="43">
        <f>IFERROR(IF(AND(ISNUMBER('SW OpInc'!I32),ISNUMBER('SW Rev'!I32),ISNUMBER('SW OpInc'!E32),ISNUMBER('SW Rev'!E32),'SW Rev'!I32&gt;0,'SW Rev'!E32&gt;0),('SW OpInc'!I32/'SW Rev'!I32-'SW OpInc'!E32/'SW Rev'!E32)*10000,""),"")</f>
        <v/>
      </c>
      <c r="F645" s="43">
        <f>IFERROR(IF(AND(ISNUMBER('SW OpInc'!J32),ISNUMBER('SW Rev'!J32),ISNUMBER('SW OpInc'!F32),ISNUMBER('SW Rev'!F32),'SW Rev'!J32&gt;0,'SW Rev'!F32&gt;0),('SW OpInc'!J32/'SW Rev'!J32-'SW OpInc'!F32/'SW Rev'!F32)*10000,""),"")</f>
        <v/>
      </c>
      <c r="G645" s="43">
        <f>IFERROR(IF(AND(ISNUMBER('SW OpInc'!K32),ISNUMBER('SW Rev'!K32),ISNUMBER('SW OpInc'!G32),ISNUMBER('SW Rev'!G32),'SW Rev'!K32&gt;0,'SW Rev'!G32&gt;0),('SW OpInc'!K32/'SW Rev'!K32-'SW OpInc'!G32/'SW Rev'!G32)*10000,""),"")</f>
        <v/>
      </c>
      <c r="H645" s="43">
        <f>IFERROR(IF(AND(ISNUMBER('SW OpInc'!L32),ISNUMBER('SW Rev'!L32),ISNUMBER('SW OpInc'!H32),ISNUMBER('SW Rev'!H32),'SW Rev'!L32&gt;0,'SW Rev'!H32&gt;0),('SW OpInc'!L32/'SW Rev'!L32-'SW OpInc'!H32/'SW Rev'!H32)*10000,""),"")</f>
        <v/>
      </c>
      <c r="I645" s="43">
        <f>IFERROR(IF(AND(ISNUMBER('SW OpInc'!M32),ISNUMBER('SW Rev'!M32),ISNUMBER('SW OpInc'!I32),ISNUMBER('SW Rev'!I32),'SW Rev'!M32&gt;0,'SW Rev'!I32&gt;0),('SW OpInc'!M32/'SW Rev'!M32-'SW OpInc'!I32/'SW Rev'!I32)*10000,""),"")</f>
        <v/>
      </c>
      <c r="J645" s="43">
        <f>IFERROR(IF(AND(ISNUMBER('SW OpInc'!N32),ISNUMBER('SW Rev'!N32),ISNUMBER('SW OpInc'!J32),ISNUMBER('SW Rev'!J32),'SW Rev'!N32&gt;0,'SW Rev'!J32&gt;0),('SW OpInc'!N32/'SW Rev'!N32-'SW OpInc'!J32/'SW Rev'!J32)*10000,""),"")</f>
        <v/>
      </c>
      <c r="K645" s="43">
        <f>IFERROR(IF(AND(ISNUMBER('SW OpInc'!O32),ISNUMBER('SW Rev'!O32),ISNUMBER('SW OpInc'!K32),ISNUMBER('SW Rev'!K32),'SW Rev'!O32&gt;0,'SW Rev'!K32&gt;0),('SW OpInc'!O32/'SW Rev'!O32-'SW OpInc'!K32/'SW Rev'!K32)*10000,""),"")</f>
        <v/>
      </c>
      <c r="L645" s="43">
        <f>IFERROR(IF(AND(ISNUMBER('SW OpInc'!P32),ISNUMBER('SW Rev'!P32),ISNUMBER('SW OpInc'!L32),ISNUMBER('SW Rev'!L32),'SW Rev'!P32&gt;0,'SW Rev'!L32&gt;0),('SW OpInc'!P32/'SW Rev'!P32-'SW OpInc'!L32/'SW Rev'!L32)*10000,""),"")</f>
        <v/>
      </c>
      <c r="M645" s="44">
        <f>IFERROR(IF(AND(ISNUMBER('SW OpInc'!Q32),ISNUMBER('SW Rev'!Q32),ISNUMBER('SW OpInc'!M32),ISNUMBER('SW Rev'!M32),'SW Rev'!Q32&gt;0,'SW Rev'!M32&gt;0),('SW OpInc'!Q32/'SW Rev'!Q32-'SW OpInc'!M32/'SW Rev'!M32)*10000,""),"")</f>
        <v/>
      </c>
      <c r="N645" s="44">
        <f>IFERROR(IF(AND(ISNUMBER('SW OpInc'!R32),ISNUMBER('SW Rev'!R32),ISNUMBER('SW OpInc'!N32),ISNUMBER('SW Rev'!N32),'SW Rev'!R32&gt;0,'SW Rev'!N32&gt;0),('SW OpInc'!R32/'SW Rev'!R32-'SW OpInc'!N32/'SW Rev'!N32)*10000,""),"")</f>
        <v/>
      </c>
    </row>
    <row r="646">
      <c r="A646" s="19">
        <f>'SW Rev'!$A33</f>
        <v/>
      </c>
      <c r="B646" s="19">
        <f>'SW Rev'!$B33</f>
        <v/>
      </c>
      <c r="C646" s="43">
        <f>IFERROR(IF(AND(ISNUMBER('SW OpInc'!G33),ISNUMBER('SW Rev'!G33),ISNUMBER('SW OpInc'!C33),ISNUMBER('SW Rev'!C33),'SW Rev'!G33&gt;0,'SW Rev'!C33&gt;0),('SW OpInc'!G33/'SW Rev'!G33-'SW OpInc'!C33/'SW Rev'!C33)*10000,""),"")</f>
        <v/>
      </c>
      <c r="D646" s="43">
        <f>IFERROR(IF(AND(ISNUMBER('SW OpInc'!H33),ISNUMBER('SW Rev'!H33),ISNUMBER('SW OpInc'!D33),ISNUMBER('SW Rev'!D33),'SW Rev'!H33&gt;0,'SW Rev'!D33&gt;0),('SW OpInc'!H33/'SW Rev'!H33-'SW OpInc'!D33/'SW Rev'!D33)*10000,""),"")</f>
        <v/>
      </c>
      <c r="E646" s="43">
        <f>IFERROR(IF(AND(ISNUMBER('SW OpInc'!I33),ISNUMBER('SW Rev'!I33),ISNUMBER('SW OpInc'!E33),ISNUMBER('SW Rev'!E33),'SW Rev'!I33&gt;0,'SW Rev'!E33&gt;0),('SW OpInc'!I33/'SW Rev'!I33-'SW OpInc'!E33/'SW Rev'!E33)*10000,""),"")</f>
        <v/>
      </c>
      <c r="F646" s="43">
        <f>IFERROR(IF(AND(ISNUMBER('SW OpInc'!J33),ISNUMBER('SW Rev'!J33),ISNUMBER('SW OpInc'!F33),ISNUMBER('SW Rev'!F33),'SW Rev'!J33&gt;0,'SW Rev'!F33&gt;0),('SW OpInc'!J33/'SW Rev'!J33-'SW OpInc'!F33/'SW Rev'!F33)*10000,""),"")</f>
        <v/>
      </c>
      <c r="G646" s="43">
        <f>IFERROR(IF(AND(ISNUMBER('SW OpInc'!K33),ISNUMBER('SW Rev'!K33),ISNUMBER('SW OpInc'!G33),ISNUMBER('SW Rev'!G33),'SW Rev'!K33&gt;0,'SW Rev'!G33&gt;0),('SW OpInc'!K33/'SW Rev'!K33-'SW OpInc'!G33/'SW Rev'!G33)*10000,""),"")</f>
        <v/>
      </c>
      <c r="H646" s="43">
        <f>IFERROR(IF(AND(ISNUMBER('SW OpInc'!L33),ISNUMBER('SW Rev'!L33),ISNUMBER('SW OpInc'!H33),ISNUMBER('SW Rev'!H33),'SW Rev'!L33&gt;0,'SW Rev'!H33&gt;0),('SW OpInc'!L33/'SW Rev'!L33-'SW OpInc'!H33/'SW Rev'!H33)*10000,""),"")</f>
        <v/>
      </c>
      <c r="I646" s="43">
        <f>IFERROR(IF(AND(ISNUMBER('SW OpInc'!M33),ISNUMBER('SW Rev'!M33),ISNUMBER('SW OpInc'!I33),ISNUMBER('SW Rev'!I33),'SW Rev'!M33&gt;0,'SW Rev'!I33&gt;0),('SW OpInc'!M33/'SW Rev'!M33-'SW OpInc'!I33/'SW Rev'!I33)*10000,""),"")</f>
        <v/>
      </c>
      <c r="J646" s="43">
        <f>IFERROR(IF(AND(ISNUMBER('SW OpInc'!N33),ISNUMBER('SW Rev'!N33),ISNUMBER('SW OpInc'!J33),ISNUMBER('SW Rev'!J33),'SW Rev'!N33&gt;0,'SW Rev'!J33&gt;0),('SW OpInc'!N33/'SW Rev'!N33-'SW OpInc'!J33/'SW Rev'!J33)*10000,""),"")</f>
        <v/>
      </c>
      <c r="K646" s="43">
        <f>IFERROR(IF(AND(ISNUMBER('SW OpInc'!O33),ISNUMBER('SW Rev'!O33),ISNUMBER('SW OpInc'!K33),ISNUMBER('SW Rev'!K33),'SW Rev'!O33&gt;0,'SW Rev'!K33&gt;0),('SW OpInc'!O33/'SW Rev'!O33-'SW OpInc'!K33/'SW Rev'!K33)*10000,""),"")</f>
        <v/>
      </c>
      <c r="L646" s="43">
        <f>IFERROR(IF(AND(ISNUMBER('SW OpInc'!P33),ISNUMBER('SW Rev'!P33),ISNUMBER('SW OpInc'!L33),ISNUMBER('SW Rev'!L33),'SW Rev'!P33&gt;0,'SW Rev'!L33&gt;0),('SW OpInc'!P33/'SW Rev'!P33-'SW OpInc'!L33/'SW Rev'!L33)*10000,""),"")</f>
        <v/>
      </c>
      <c r="M646" s="44">
        <f>IFERROR(IF(AND(ISNUMBER('SW OpInc'!Q33),ISNUMBER('SW Rev'!Q33),ISNUMBER('SW OpInc'!M33),ISNUMBER('SW Rev'!M33),'SW Rev'!Q33&gt;0,'SW Rev'!M33&gt;0),('SW OpInc'!Q33/'SW Rev'!Q33-'SW OpInc'!M33/'SW Rev'!M33)*10000,""),"")</f>
        <v/>
      </c>
      <c r="N646" s="44">
        <f>IFERROR(IF(AND(ISNUMBER('SW OpInc'!R33),ISNUMBER('SW Rev'!R33),ISNUMBER('SW OpInc'!N33),ISNUMBER('SW Rev'!N33),'SW Rev'!R33&gt;0,'SW Rev'!N33&gt;0),('SW OpInc'!R33/'SW Rev'!R33-'SW OpInc'!N33/'SW Rev'!N33)*10000,""),"")</f>
        <v/>
      </c>
    </row>
    <row r="647">
      <c r="A647" s="19">
        <f>'SW Rev'!$A34</f>
        <v/>
      </c>
      <c r="B647" s="19">
        <f>'SW Rev'!$B34</f>
        <v/>
      </c>
      <c r="C647" s="43">
        <f>IFERROR(IF(AND(ISNUMBER('SW OpInc'!G34),ISNUMBER('SW Rev'!G34),ISNUMBER('SW OpInc'!C34),ISNUMBER('SW Rev'!C34),'SW Rev'!G34&gt;0,'SW Rev'!C34&gt;0),('SW OpInc'!G34/'SW Rev'!G34-'SW OpInc'!C34/'SW Rev'!C34)*10000,""),"")</f>
        <v/>
      </c>
      <c r="D647" s="43">
        <f>IFERROR(IF(AND(ISNUMBER('SW OpInc'!H34),ISNUMBER('SW Rev'!H34),ISNUMBER('SW OpInc'!D34),ISNUMBER('SW Rev'!D34),'SW Rev'!H34&gt;0,'SW Rev'!D34&gt;0),('SW OpInc'!H34/'SW Rev'!H34-'SW OpInc'!D34/'SW Rev'!D34)*10000,""),"")</f>
        <v/>
      </c>
      <c r="E647" s="43">
        <f>IFERROR(IF(AND(ISNUMBER('SW OpInc'!I34),ISNUMBER('SW Rev'!I34),ISNUMBER('SW OpInc'!E34),ISNUMBER('SW Rev'!E34),'SW Rev'!I34&gt;0,'SW Rev'!E34&gt;0),('SW OpInc'!I34/'SW Rev'!I34-'SW OpInc'!E34/'SW Rev'!E34)*10000,""),"")</f>
        <v/>
      </c>
      <c r="F647" s="43">
        <f>IFERROR(IF(AND(ISNUMBER('SW OpInc'!J34),ISNUMBER('SW Rev'!J34),ISNUMBER('SW OpInc'!F34),ISNUMBER('SW Rev'!F34),'SW Rev'!J34&gt;0,'SW Rev'!F34&gt;0),('SW OpInc'!J34/'SW Rev'!J34-'SW OpInc'!F34/'SW Rev'!F34)*10000,""),"")</f>
        <v/>
      </c>
      <c r="G647" s="43">
        <f>IFERROR(IF(AND(ISNUMBER('SW OpInc'!K34),ISNUMBER('SW Rev'!K34),ISNUMBER('SW OpInc'!G34),ISNUMBER('SW Rev'!G34),'SW Rev'!K34&gt;0,'SW Rev'!G34&gt;0),('SW OpInc'!K34/'SW Rev'!K34-'SW OpInc'!G34/'SW Rev'!G34)*10000,""),"")</f>
        <v/>
      </c>
      <c r="H647" s="43">
        <f>IFERROR(IF(AND(ISNUMBER('SW OpInc'!L34),ISNUMBER('SW Rev'!L34),ISNUMBER('SW OpInc'!H34),ISNUMBER('SW Rev'!H34),'SW Rev'!L34&gt;0,'SW Rev'!H34&gt;0),('SW OpInc'!L34/'SW Rev'!L34-'SW OpInc'!H34/'SW Rev'!H34)*10000,""),"")</f>
        <v/>
      </c>
      <c r="I647" s="43">
        <f>IFERROR(IF(AND(ISNUMBER('SW OpInc'!M34),ISNUMBER('SW Rev'!M34),ISNUMBER('SW OpInc'!I34),ISNUMBER('SW Rev'!I34),'SW Rev'!M34&gt;0,'SW Rev'!I34&gt;0),('SW OpInc'!M34/'SW Rev'!M34-'SW OpInc'!I34/'SW Rev'!I34)*10000,""),"")</f>
        <v/>
      </c>
      <c r="J647" s="43">
        <f>IFERROR(IF(AND(ISNUMBER('SW OpInc'!N34),ISNUMBER('SW Rev'!N34),ISNUMBER('SW OpInc'!J34),ISNUMBER('SW Rev'!J34),'SW Rev'!N34&gt;0,'SW Rev'!J34&gt;0),('SW OpInc'!N34/'SW Rev'!N34-'SW OpInc'!J34/'SW Rev'!J34)*10000,""),"")</f>
        <v/>
      </c>
      <c r="K647" s="43">
        <f>IFERROR(IF(AND(ISNUMBER('SW OpInc'!O34),ISNUMBER('SW Rev'!O34),ISNUMBER('SW OpInc'!K34),ISNUMBER('SW Rev'!K34),'SW Rev'!O34&gt;0,'SW Rev'!K34&gt;0),('SW OpInc'!O34/'SW Rev'!O34-'SW OpInc'!K34/'SW Rev'!K34)*10000,""),"")</f>
        <v/>
      </c>
      <c r="L647" s="43">
        <f>IFERROR(IF(AND(ISNUMBER('SW OpInc'!P34),ISNUMBER('SW Rev'!P34),ISNUMBER('SW OpInc'!L34),ISNUMBER('SW Rev'!L34),'SW Rev'!P34&gt;0,'SW Rev'!L34&gt;0),('SW OpInc'!P34/'SW Rev'!P34-'SW OpInc'!L34/'SW Rev'!L34)*10000,""),"")</f>
        <v/>
      </c>
      <c r="M647" s="44">
        <f>IFERROR(IF(AND(ISNUMBER('SW OpInc'!Q34),ISNUMBER('SW Rev'!Q34),ISNUMBER('SW OpInc'!M34),ISNUMBER('SW Rev'!M34),'SW Rev'!Q34&gt;0,'SW Rev'!M34&gt;0),('SW OpInc'!Q34/'SW Rev'!Q34-'SW OpInc'!M34/'SW Rev'!M34)*10000,""),"")</f>
        <v/>
      </c>
      <c r="N647" s="44">
        <f>IFERROR(IF(AND(ISNUMBER('SW OpInc'!R34),ISNUMBER('SW Rev'!R34),ISNUMBER('SW OpInc'!N34),ISNUMBER('SW Rev'!N34),'SW Rev'!R34&gt;0,'SW Rev'!N34&gt;0),('SW OpInc'!R34/'SW Rev'!R34-'SW OpInc'!N34/'SW Rev'!N34)*10000,""),"")</f>
        <v/>
      </c>
    </row>
    <row r="648">
      <c r="A648" s="19">
        <f>'SW Rev'!$A35</f>
        <v/>
      </c>
      <c r="B648" s="19">
        <f>'SW Rev'!$B35</f>
        <v/>
      </c>
      <c r="C648" s="43">
        <f>IFERROR(IF(AND(ISNUMBER('SW OpInc'!G35),ISNUMBER('SW Rev'!G35),ISNUMBER('SW OpInc'!C35),ISNUMBER('SW Rev'!C35),'SW Rev'!G35&gt;0,'SW Rev'!C35&gt;0),('SW OpInc'!G35/'SW Rev'!G35-'SW OpInc'!C35/'SW Rev'!C35)*10000,""),"")</f>
        <v/>
      </c>
      <c r="D648" s="43">
        <f>IFERROR(IF(AND(ISNUMBER('SW OpInc'!H35),ISNUMBER('SW Rev'!H35),ISNUMBER('SW OpInc'!D35),ISNUMBER('SW Rev'!D35),'SW Rev'!H35&gt;0,'SW Rev'!D35&gt;0),('SW OpInc'!H35/'SW Rev'!H35-'SW OpInc'!D35/'SW Rev'!D35)*10000,""),"")</f>
        <v/>
      </c>
      <c r="E648" s="43">
        <f>IFERROR(IF(AND(ISNUMBER('SW OpInc'!I35),ISNUMBER('SW Rev'!I35),ISNUMBER('SW OpInc'!E35),ISNUMBER('SW Rev'!E35),'SW Rev'!I35&gt;0,'SW Rev'!E35&gt;0),('SW OpInc'!I35/'SW Rev'!I35-'SW OpInc'!E35/'SW Rev'!E35)*10000,""),"")</f>
        <v/>
      </c>
      <c r="F648" s="43">
        <f>IFERROR(IF(AND(ISNUMBER('SW OpInc'!J35),ISNUMBER('SW Rev'!J35),ISNUMBER('SW OpInc'!F35),ISNUMBER('SW Rev'!F35),'SW Rev'!J35&gt;0,'SW Rev'!F35&gt;0),('SW OpInc'!J35/'SW Rev'!J35-'SW OpInc'!F35/'SW Rev'!F35)*10000,""),"")</f>
        <v/>
      </c>
      <c r="G648" s="43">
        <f>IFERROR(IF(AND(ISNUMBER('SW OpInc'!K35),ISNUMBER('SW Rev'!K35),ISNUMBER('SW OpInc'!G35),ISNUMBER('SW Rev'!G35),'SW Rev'!K35&gt;0,'SW Rev'!G35&gt;0),('SW OpInc'!K35/'SW Rev'!K35-'SW OpInc'!G35/'SW Rev'!G35)*10000,""),"")</f>
        <v/>
      </c>
      <c r="H648" s="43">
        <f>IFERROR(IF(AND(ISNUMBER('SW OpInc'!L35),ISNUMBER('SW Rev'!L35),ISNUMBER('SW OpInc'!H35),ISNUMBER('SW Rev'!H35),'SW Rev'!L35&gt;0,'SW Rev'!H35&gt;0),('SW OpInc'!L35/'SW Rev'!L35-'SW OpInc'!H35/'SW Rev'!H35)*10000,""),"")</f>
        <v/>
      </c>
      <c r="I648" s="43">
        <f>IFERROR(IF(AND(ISNUMBER('SW OpInc'!M35),ISNUMBER('SW Rev'!M35),ISNUMBER('SW OpInc'!I35),ISNUMBER('SW Rev'!I35),'SW Rev'!M35&gt;0,'SW Rev'!I35&gt;0),('SW OpInc'!M35/'SW Rev'!M35-'SW OpInc'!I35/'SW Rev'!I35)*10000,""),"")</f>
        <v/>
      </c>
      <c r="J648" s="43">
        <f>IFERROR(IF(AND(ISNUMBER('SW OpInc'!N35),ISNUMBER('SW Rev'!N35),ISNUMBER('SW OpInc'!J35),ISNUMBER('SW Rev'!J35),'SW Rev'!N35&gt;0,'SW Rev'!J35&gt;0),('SW OpInc'!N35/'SW Rev'!N35-'SW OpInc'!J35/'SW Rev'!J35)*10000,""),"")</f>
        <v/>
      </c>
      <c r="K648" s="43">
        <f>IFERROR(IF(AND(ISNUMBER('SW OpInc'!O35),ISNUMBER('SW Rev'!O35),ISNUMBER('SW OpInc'!K35),ISNUMBER('SW Rev'!K35),'SW Rev'!O35&gt;0,'SW Rev'!K35&gt;0),('SW OpInc'!O35/'SW Rev'!O35-'SW OpInc'!K35/'SW Rev'!K35)*10000,""),"")</f>
        <v/>
      </c>
      <c r="L648" s="43">
        <f>IFERROR(IF(AND(ISNUMBER('SW OpInc'!P35),ISNUMBER('SW Rev'!P35),ISNUMBER('SW OpInc'!L35),ISNUMBER('SW Rev'!L35),'SW Rev'!P35&gt;0,'SW Rev'!L35&gt;0),('SW OpInc'!P35/'SW Rev'!P35-'SW OpInc'!L35/'SW Rev'!L35)*10000,""),"")</f>
        <v/>
      </c>
      <c r="M648" s="44">
        <f>IFERROR(IF(AND(ISNUMBER('SW OpInc'!Q35),ISNUMBER('SW Rev'!Q35),ISNUMBER('SW OpInc'!M35),ISNUMBER('SW Rev'!M35),'SW Rev'!Q35&gt;0,'SW Rev'!M35&gt;0),('SW OpInc'!Q35/'SW Rev'!Q35-'SW OpInc'!M35/'SW Rev'!M35)*10000,""),"")</f>
        <v/>
      </c>
      <c r="N648" s="44">
        <f>IFERROR(IF(AND(ISNUMBER('SW OpInc'!R35),ISNUMBER('SW Rev'!R35),ISNUMBER('SW OpInc'!N35),ISNUMBER('SW Rev'!N35),'SW Rev'!R35&gt;0,'SW Rev'!N35&gt;0),('SW OpInc'!R35/'SW Rev'!R35-'SW OpInc'!N35/'SW Rev'!N35)*10000,""),"")</f>
        <v/>
      </c>
    </row>
    <row r="649">
      <c r="A649" s="19">
        <f>'SW Rev'!$A36</f>
        <v/>
      </c>
      <c r="B649" s="19">
        <f>'SW Rev'!$B36</f>
        <v/>
      </c>
      <c r="C649" s="43">
        <f>IFERROR(IF(AND(ISNUMBER('SW OpInc'!G36),ISNUMBER('SW Rev'!G36),ISNUMBER('SW OpInc'!C36),ISNUMBER('SW Rev'!C36),'SW Rev'!G36&gt;0,'SW Rev'!C36&gt;0),('SW OpInc'!G36/'SW Rev'!G36-'SW OpInc'!C36/'SW Rev'!C36)*10000,""),"")</f>
        <v/>
      </c>
      <c r="D649" s="43">
        <f>IFERROR(IF(AND(ISNUMBER('SW OpInc'!H36),ISNUMBER('SW Rev'!H36),ISNUMBER('SW OpInc'!D36),ISNUMBER('SW Rev'!D36),'SW Rev'!H36&gt;0,'SW Rev'!D36&gt;0),('SW OpInc'!H36/'SW Rev'!H36-'SW OpInc'!D36/'SW Rev'!D36)*10000,""),"")</f>
        <v/>
      </c>
      <c r="E649" s="43">
        <f>IFERROR(IF(AND(ISNUMBER('SW OpInc'!I36),ISNUMBER('SW Rev'!I36),ISNUMBER('SW OpInc'!E36),ISNUMBER('SW Rev'!E36),'SW Rev'!I36&gt;0,'SW Rev'!E36&gt;0),('SW OpInc'!I36/'SW Rev'!I36-'SW OpInc'!E36/'SW Rev'!E36)*10000,""),"")</f>
        <v/>
      </c>
      <c r="F649" s="43">
        <f>IFERROR(IF(AND(ISNUMBER('SW OpInc'!J36),ISNUMBER('SW Rev'!J36),ISNUMBER('SW OpInc'!F36),ISNUMBER('SW Rev'!F36),'SW Rev'!J36&gt;0,'SW Rev'!F36&gt;0),('SW OpInc'!J36/'SW Rev'!J36-'SW OpInc'!F36/'SW Rev'!F36)*10000,""),"")</f>
        <v/>
      </c>
      <c r="G649" s="43">
        <f>IFERROR(IF(AND(ISNUMBER('SW OpInc'!K36),ISNUMBER('SW Rev'!K36),ISNUMBER('SW OpInc'!G36),ISNUMBER('SW Rev'!G36),'SW Rev'!K36&gt;0,'SW Rev'!G36&gt;0),('SW OpInc'!K36/'SW Rev'!K36-'SW OpInc'!G36/'SW Rev'!G36)*10000,""),"")</f>
        <v/>
      </c>
      <c r="H649" s="43">
        <f>IFERROR(IF(AND(ISNUMBER('SW OpInc'!L36),ISNUMBER('SW Rev'!L36),ISNUMBER('SW OpInc'!H36),ISNUMBER('SW Rev'!H36),'SW Rev'!L36&gt;0,'SW Rev'!H36&gt;0),('SW OpInc'!L36/'SW Rev'!L36-'SW OpInc'!H36/'SW Rev'!H36)*10000,""),"")</f>
        <v/>
      </c>
      <c r="I649" s="43">
        <f>IFERROR(IF(AND(ISNUMBER('SW OpInc'!M36),ISNUMBER('SW Rev'!M36),ISNUMBER('SW OpInc'!I36),ISNUMBER('SW Rev'!I36),'SW Rev'!M36&gt;0,'SW Rev'!I36&gt;0),('SW OpInc'!M36/'SW Rev'!M36-'SW OpInc'!I36/'SW Rev'!I36)*10000,""),"")</f>
        <v/>
      </c>
      <c r="J649" s="43">
        <f>IFERROR(IF(AND(ISNUMBER('SW OpInc'!N36),ISNUMBER('SW Rev'!N36),ISNUMBER('SW OpInc'!J36),ISNUMBER('SW Rev'!J36),'SW Rev'!N36&gt;0,'SW Rev'!J36&gt;0),('SW OpInc'!N36/'SW Rev'!N36-'SW OpInc'!J36/'SW Rev'!J36)*10000,""),"")</f>
        <v/>
      </c>
      <c r="K649" s="43">
        <f>IFERROR(IF(AND(ISNUMBER('SW OpInc'!O36),ISNUMBER('SW Rev'!O36),ISNUMBER('SW OpInc'!K36),ISNUMBER('SW Rev'!K36),'SW Rev'!O36&gt;0,'SW Rev'!K36&gt;0),('SW OpInc'!O36/'SW Rev'!O36-'SW OpInc'!K36/'SW Rev'!K36)*10000,""),"")</f>
        <v/>
      </c>
      <c r="L649" s="43">
        <f>IFERROR(IF(AND(ISNUMBER('SW OpInc'!P36),ISNUMBER('SW Rev'!P36),ISNUMBER('SW OpInc'!L36),ISNUMBER('SW Rev'!L36),'SW Rev'!P36&gt;0,'SW Rev'!L36&gt;0),('SW OpInc'!P36/'SW Rev'!P36-'SW OpInc'!L36/'SW Rev'!L36)*10000,""),"")</f>
        <v/>
      </c>
      <c r="M649" s="44">
        <f>IFERROR(IF(AND(ISNUMBER('SW OpInc'!Q36),ISNUMBER('SW Rev'!Q36),ISNUMBER('SW OpInc'!M36),ISNUMBER('SW Rev'!M36),'SW Rev'!Q36&gt;0,'SW Rev'!M36&gt;0),('SW OpInc'!Q36/'SW Rev'!Q36-'SW OpInc'!M36/'SW Rev'!M36)*10000,""),"")</f>
        <v/>
      </c>
      <c r="N649" s="44">
        <f>IFERROR(IF(AND(ISNUMBER('SW OpInc'!R36),ISNUMBER('SW Rev'!R36),ISNUMBER('SW OpInc'!N36),ISNUMBER('SW Rev'!N36),'SW Rev'!R36&gt;0,'SW Rev'!N36&gt;0),('SW OpInc'!R36/'SW Rev'!R36-'SW OpInc'!N36/'SW Rev'!N36)*10000,""),"")</f>
        <v/>
      </c>
    </row>
    <row r="650">
      <c r="A650" s="19">
        <f>'SW Rev'!$A37</f>
        <v/>
      </c>
      <c r="B650" s="19">
        <f>'SW Rev'!$B37</f>
        <v/>
      </c>
      <c r="C650" s="43">
        <f>IFERROR(IF(AND(ISNUMBER('SW OpInc'!G37),ISNUMBER('SW Rev'!G37),ISNUMBER('SW OpInc'!C37),ISNUMBER('SW Rev'!C37),'SW Rev'!G37&gt;0,'SW Rev'!C37&gt;0),('SW OpInc'!G37/'SW Rev'!G37-'SW OpInc'!C37/'SW Rev'!C37)*10000,""),"")</f>
        <v/>
      </c>
      <c r="D650" s="43">
        <f>IFERROR(IF(AND(ISNUMBER('SW OpInc'!H37),ISNUMBER('SW Rev'!H37),ISNUMBER('SW OpInc'!D37),ISNUMBER('SW Rev'!D37),'SW Rev'!H37&gt;0,'SW Rev'!D37&gt;0),('SW OpInc'!H37/'SW Rev'!H37-'SW OpInc'!D37/'SW Rev'!D37)*10000,""),"")</f>
        <v/>
      </c>
      <c r="E650" s="43">
        <f>IFERROR(IF(AND(ISNUMBER('SW OpInc'!I37),ISNUMBER('SW Rev'!I37),ISNUMBER('SW OpInc'!E37),ISNUMBER('SW Rev'!E37),'SW Rev'!I37&gt;0,'SW Rev'!E37&gt;0),('SW OpInc'!I37/'SW Rev'!I37-'SW OpInc'!E37/'SW Rev'!E37)*10000,""),"")</f>
        <v/>
      </c>
      <c r="F650" s="43">
        <f>IFERROR(IF(AND(ISNUMBER('SW OpInc'!J37),ISNUMBER('SW Rev'!J37),ISNUMBER('SW OpInc'!F37),ISNUMBER('SW Rev'!F37),'SW Rev'!J37&gt;0,'SW Rev'!F37&gt;0),('SW OpInc'!J37/'SW Rev'!J37-'SW OpInc'!F37/'SW Rev'!F37)*10000,""),"")</f>
        <v/>
      </c>
      <c r="G650" s="43">
        <f>IFERROR(IF(AND(ISNUMBER('SW OpInc'!K37),ISNUMBER('SW Rev'!K37),ISNUMBER('SW OpInc'!G37),ISNUMBER('SW Rev'!G37),'SW Rev'!K37&gt;0,'SW Rev'!G37&gt;0),('SW OpInc'!K37/'SW Rev'!K37-'SW OpInc'!G37/'SW Rev'!G37)*10000,""),"")</f>
        <v/>
      </c>
      <c r="H650" s="43">
        <f>IFERROR(IF(AND(ISNUMBER('SW OpInc'!L37),ISNUMBER('SW Rev'!L37),ISNUMBER('SW OpInc'!H37),ISNUMBER('SW Rev'!H37),'SW Rev'!L37&gt;0,'SW Rev'!H37&gt;0),('SW OpInc'!L37/'SW Rev'!L37-'SW OpInc'!H37/'SW Rev'!H37)*10000,""),"")</f>
        <v/>
      </c>
      <c r="I650" s="43">
        <f>IFERROR(IF(AND(ISNUMBER('SW OpInc'!M37),ISNUMBER('SW Rev'!M37),ISNUMBER('SW OpInc'!I37),ISNUMBER('SW Rev'!I37),'SW Rev'!M37&gt;0,'SW Rev'!I37&gt;0),('SW OpInc'!M37/'SW Rev'!M37-'SW OpInc'!I37/'SW Rev'!I37)*10000,""),"")</f>
        <v/>
      </c>
      <c r="J650" s="43">
        <f>IFERROR(IF(AND(ISNUMBER('SW OpInc'!N37),ISNUMBER('SW Rev'!N37),ISNUMBER('SW OpInc'!J37),ISNUMBER('SW Rev'!J37),'SW Rev'!N37&gt;0,'SW Rev'!J37&gt;0),('SW OpInc'!N37/'SW Rev'!N37-'SW OpInc'!J37/'SW Rev'!J37)*10000,""),"")</f>
        <v/>
      </c>
      <c r="K650" s="43">
        <f>IFERROR(IF(AND(ISNUMBER('SW OpInc'!O37),ISNUMBER('SW Rev'!O37),ISNUMBER('SW OpInc'!K37),ISNUMBER('SW Rev'!K37),'SW Rev'!O37&gt;0,'SW Rev'!K37&gt;0),('SW OpInc'!O37/'SW Rev'!O37-'SW OpInc'!K37/'SW Rev'!K37)*10000,""),"")</f>
        <v/>
      </c>
      <c r="L650" s="43">
        <f>IFERROR(IF(AND(ISNUMBER('SW OpInc'!P37),ISNUMBER('SW Rev'!P37),ISNUMBER('SW OpInc'!L37),ISNUMBER('SW Rev'!L37),'SW Rev'!P37&gt;0,'SW Rev'!L37&gt;0),('SW OpInc'!P37/'SW Rev'!P37-'SW OpInc'!L37/'SW Rev'!L37)*10000,""),"")</f>
        <v/>
      </c>
      <c r="M650" s="44">
        <f>IFERROR(IF(AND(ISNUMBER('SW OpInc'!Q37),ISNUMBER('SW Rev'!Q37),ISNUMBER('SW OpInc'!M37),ISNUMBER('SW Rev'!M37),'SW Rev'!Q37&gt;0,'SW Rev'!M37&gt;0),('SW OpInc'!Q37/'SW Rev'!Q37-'SW OpInc'!M37/'SW Rev'!M37)*10000,""),"")</f>
        <v/>
      </c>
      <c r="N650" s="44">
        <f>IFERROR(IF(AND(ISNUMBER('SW OpInc'!R37),ISNUMBER('SW Rev'!R37),ISNUMBER('SW OpInc'!N37),ISNUMBER('SW Rev'!N37),'SW Rev'!R37&gt;0,'SW Rev'!N37&gt;0),('SW OpInc'!R37/'SW Rev'!R37-'SW OpInc'!N37/'SW Rev'!N37)*10000,""),"")</f>
        <v/>
      </c>
    </row>
    <row r="651">
      <c r="A651" s="19">
        <f>'SW Rev'!$A38</f>
        <v/>
      </c>
      <c r="B651" s="19">
        <f>'SW Rev'!$B38</f>
        <v/>
      </c>
      <c r="C651" s="43">
        <f>IFERROR(IF(AND(ISNUMBER('SW OpInc'!G38),ISNUMBER('SW Rev'!G38),ISNUMBER('SW OpInc'!C38),ISNUMBER('SW Rev'!C38),'SW Rev'!G38&gt;0,'SW Rev'!C38&gt;0),('SW OpInc'!G38/'SW Rev'!G38-'SW OpInc'!C38/'SW Rev'!C38)*10000,""),"")</f>
        <v/>
      </c>
      <c r="D651" s="43">
        <f>IFERROR(IF(AND(ISNUMBER('SW OpInc'!H38),ISNUMBER('SW Rev'!H38),ISNUMBER('SW OpInc'!D38),ISNUMBER('SW Rev'!D38),'SW Rev'!H38&gt;0,'SW Rev'!D38&gt;0),('SW OpInc'!H38/'SW Rev'!H38-'SW OpInc'!D38/'SW Rev'!D38)*10000,""),"")</f>
        <v/>
      </c>
      <c r="E651" s="43">
        <f>IFERROR(IF(AND(ISNUMBER('SW OpInc'!I38),ISNUMBER('SW Rev'!I38),ISNUMBER('SW OpInc'!E38),ISNUMBER('SW Rev'!E38),'SW Rev'!I38&gt;0,'SW Rev'!E38&gt;0),('SW OpInc'!I38/'SW Rev'!I38-'SW OpInc'!E38/'SW Rev'!E38)*10000,""),"")</f>
        <v/>
      </c>
      <c r="F651" s="43">
        <f>IFERROR(IF(AND(ISNUMBER('SW OpInc'!J38),ISNUMBER('SW Rev'!J38),ISNUMBER('SW OpInc'!F38),ISNUMBER('SW Rev'!F38),'SW Rev'!J38&gt;0,'SW Rev'!F38&gt;0),('SW OpInc'!J38/'SW Rev'!J38-'SW OpInc'!F38/'SW Rev'!F38)*10000,""),"")</f>
        <v/>
      </c>
      <c r="G651" s="43">
        <f>IFERROR(IF(AND(ISNUMBER('SW OpInc'!K38),ISNUMBER('SW Rev'!K38),ISNUMBER('SW OpInc'!G38),ISNUMBER('SW Rev'!G38),'SW Rev'!K38&gt;0,'SW Rev'!G38&gt;0),('SW OpInc'!K38/'SW Rev'!K38-'SW OpInc'!G38/'SW Rev'!G38)*10000,""),"")</f>
        <v/>
      </c>
      <c r="H651" s="43">
        <f>IFERROR(IF(AND(ISNUMBER('SW OpInc'!L38),ISNUMBER('SW Rev'!L38),ISNUMBER('SW OpInc'!H38),ISNUMBER('SW Rev'!H38),'SW Rev'!L38&gt;0,'SW Rev'!H38&gt;0),('SW OpInc'!L38/'SW Rev'!L38-'SW OpInc'!H38/'SW Rev'!H38)*10000,""),"")</f>
        <v/>
      </c>
      <c r="I651" s="43">
        <f>IFERROR(IF(AND(ISNUMBER('SW OpInc'!M38),ISNUMBER('SW Rev'!M38),ISNUMBER('SW OpInc'!I38),ISNUMBER('SW Rev'!I38),'SW Rev'!M38&gt;0,'SW Rev'!I38&gt;0),('SW OpInc'!M38/'SW Rev'!M38-'SW OpInc'!I38/'SW Rev'!I38)*10000,""),"")</f>
        <v/>
      </c>
      <c r="J651" s="43">
        <f>IFERROR(IF(AND(ISNUMBER('SW OpInc'!N38),ISNUMBER('SW Rev'!N38),ISNUMBER('SW OpInc'!J38),ISNUMBER('SW Rev'!J38),'SW Rev'!N38&gt;0,'SW Rev'!J38&gt;0),('SW OpInc'!N38/'SW Rev'!N38-'SW OpInc'!J38/'SW Rev'!J38)*10000,""),"")</f>
        <v/>
      </c>
      <c r="K651" s="43">
        <f>IFERROR(IF(AND(ISNUMBER('SW OpInc'!O38),ISNUMBER('SW Rev'!O38),ISNUMBER('SW OpInc'!K38),ISNUMBER('SW Rev'!K38),'SW Rev'!O38&gt;0,'SW Rev'!K38&gt;0),('SW OpInc'!O38/'SW Rev'!O38-'SW OpInc'!K38/'SW Rev'!K38)*10000,""),"")</f>
        <v/>
      </c>
      <c r="L651" s="43">
        <f>IFERROR(IF(AND(ISNUMBER('SW OpInc'!P38),ISNUMBER('SW Rev'!P38),ISNUMBER('SW OpInc'!L38),ISNUMBER('SW Rev'!L38),'SW Rev'!P38&gt;0,'SW Rev'!L38&gt;0),('SW OpInc'!P38/'SW Rev'!P38-'SW OpInc'!L38/'SW Rev'!L38)*10000,""),"")</f>
        <v/>
      </c>
      <c r="M651" s="44">
        <f>IFERROR(IF(AND(ISNUMBER('SW OpInc'!Q38),ISNUMBER('SW Rev'!Q38),ISNUMBER('SW OpInc'!M38),ISNUMBER('SW Rev'!M38),'SW Rev'!Q38&gt;0,'SW Rev'!M38&gt;0),('SW OpInc'!Q38/'SW Rev'!Q38-'SW OpInc'!M38/'SW Rev'!M38)*10000,""),"")</f>
        <v/>
      </c>
      <c r="N651" s="44">
        <f>IFERROR(IF(AND(ISNUMBER('SW OpInc'!R38),ISNUMBER('SW Rev'!R38),ISNUMBER('SW OpInc'!N38),ISNUMBER('SW Rev'!N38),'SW Rev'!R38&gt;0,'SW Rev'!N38&gt;0),('SW OpInc'!R38/'SW Rev'!R38-'SW OpInc'!N38/'SW Rev'!N38)*10000,""),"")</f>
        <v/>
      </c>
    </row>
    <row r="652">
      <c r="A652" s="19">
        <f>'SW Rev'!$A39</f>
        <v/>
      </c>
      <c r="B652" s="19">
        <f>'SW Rev'!$B39</f>
        <v/>
      </c>
      <c r="C652" s="43">
        <f>IFERROR(IF(AND(ISNUMBER('SW OpInc'!G39),ISNUMBER('SW Rev'!G39),ISNUMBER('SW OpInc'!C39),ISNUMBER('SW Rev'!C39),'SW Rev'!G39&gt;0,'SW Rev'!C39&gt;0),('SW OpInc'!G39/'SW Rev'!G39-'SW OpInc'!C39/'SW Rev'!C39)*10000,""),"")</f>
        <v/>
      </c>
      <c r="D652" s="43">
        <f>IFERROR(IF(AND(ISNUMBER('SW OpInc'!H39),ISNUMBER('SW Rev'!H39),ISNUMBER('SW OpInc'!D39),ISNUMBER('SW Rev'!D39),'SW Rev'!H39&gt;0,'SW Rev'!D39&gt;0),('SW OpInc'!H39/'SW Rev'!H39-'SW OpInc'!D39/'SW Rev'!D39)*10000,""),"")</f>
        <v/>
      </c>
      <c r="E652" s="43">
        <f>IFERROR(IF(AND(ISNUMBER('SW OpInc'!I39),ISNUMBER('SW Rev'!I39),ISNUMBER('SW OpInc'!E39),ISNUMBER('SW Rev'!E39),'SW Rev'!I39&gt;0,'SW Rev'!E39&gt;0),('SW OpInc'!I39/'SW Rev'!I39-'SW OpInc'!E39/'SW Rev'!E39)*10000,""),"")</f>
        <v/>
      </c>
      <c r="F652" s="43">
        <f>IFERROR(IF(AND(ISNUMBER('SW OpInc'!J39),ISNUMBER('SW Rev'!J39),ISNUMBER('SW OpInc'!F39),ISNUMBER('SW Rev'!F39),'SW Rev'!J39&gt;0,'SW Rev'!F39&gt;0),('SW OpInc'!J39/'SW Rev'!J39-'SW OpInc'!F39/'SW Rev'!F39)*10000,""),"")</f>
        <v/>
      </c>
      <c r="G652" s="43">
        <f>IFERROR(IF(AND(ISNUMBER('SW OpInc'!K39),ISNUMBER('SW Rev'!K39),ISNUMBER('SW OpInc'!G39),ISNUMBER('SW Rev'!G39),'SW Rev'!K39&gt;0,'SW Rev'!G39&gt;0),('SW OpInc'!K39/'SW Rev'!K39-'SW OpInc'!G39/'SW Rev'!G39)*10000,""),"")</f>
        <v/>
      </c>
      <c r="H652" s="43">
        <f>IFERROR(IF(AND(ISNUMBER('SW OpInc'!L39),ISNUMBER('SW Rev'!L39),ISNUMBER('SW OpInc'!H39),ISNUMBER('SW Rev'!H39),'SW Rev'!L39&gt;0,'SW Rev'!H39&gt;0),('SW OpInc'!L39/'SW Rev'!L39-'SW OpInc'!H39/'SW Rev'!H39)*10000,""),"")</f>
        <v/>
      </c>
      <c r="I652" s="43">
        <f>IFERROR(IF(AND(ISNUMBER('SW OpInc'!M39),ISNUMBER('SW Rev'!M39),ISNUMBER('SW OpInc'!I39),ISNUMBER('SW Rev'!I39),'SW Rev'!M39&gt;0,'SW Rev'!I39&gt;0),('SW OpInc'!M39/'SW Rev'!M39-'SW OpInc'!I39/'SW Rev'!I39)*10000,""),"")</f>
        <v/>
      </c>
      <c r="J652" s="43">
        <f>IFERROR(IF(AND(ISNUMBER('SW OpInc'!N39),ISNUMBER('SW Rev'!N39),ISNUMBER('SW OpInc'!J39),ISNUMBER('SW Rev'!J39),'SW Rev'!N39&gt;0,'SW Rev'!J39&gt;0),('SW OpInc'!N39/'SW Rev'!N39-'SW OpInc'!J39/'SW Rev'!J39)*10000,""),"")</f>
        <v/>
      </c>
      <c r="K652" s="43">
        <f>IFERROR(IF(AND(ISNUMBER('SW OpInc'!O39),ISNUMBER('SW Rev'!O39),ISNUMBER('SW OpInc'!K39),ISNUMBER('SW Rev'!K39),'SW Rev'!O39&gt;0,'SW Rev'!K39&gt;0),('SW OpInc'!O39/'SW Rev'!O39-'SW OpInc'!K39/'SW Rev'!K39)*10000,""),"")</f>
        <v/>
      </c>
      <c r="L652" s="43">
        <f>IFERROR(IF(AND(ISNUMBER('SW OpInc'!P39),ISNUMBER('SW Rev'!P39),ISNUMBER('SW OpInc'!L39),ISNUMBER('SW Rev'!L39),'SW Rev'!P39&gt;0,'SW Rev'!L39&gt;0),('SW OpInc'!P39/'SW Rev'!P39-'SW OpInc'!L39/'SW Rev'!L39)*10000,""),"")</f>
        <v/>
      </c>
      <c r="M652" s="44">
        <f>IFERROR(IF(AND(ISNUMBER('SW OpInc'!Q39),ISNUMBER('SW Rev'!Q39),ISNUMBER('SW OpInc'!M39),ISNUMBER('SW Rev'!M39),'SW Rev'!Q39&gt;0,'SW Rev'!M39&gt;0),('SW OpInc'!Q39/'SW Rev'!Q39-'SW OpInc'!M39/'SW Rev'!M39)*10000,""),"")</f>
        <v/>
      </c>
      <c r="N652" s="44">
        <f>IFERROR(IF(AND(ISNUMBER('SW OpInc'!R39),ISNUMBER('SW Rev'!R39),ISNUMBER('SW OpInc'!N39),ISNUMBER('SW Rev'!N39),'SW Rev'!R39&gt;0,'SW Rev'!N39&gt;0),('SW OpInc'!R39/'SW Rev'!R39-'SW OpInc'!N39/'SW Rev'!N39)*10000,""),"")</f>
        <v/>
      </c>
    </row>
    <row r="653">
      <c r="A653" s="19">
        <f>'SW Rev'!$A40</f>
        <v/>
      </c>
      <c r="B653" s="19">
        <f>'SW Rev'!$B40</f>
        <v/>
      </c>
      <c r="C653" s="43">
        <f>IFERROR(IF(AND(ISNUMBER('SW OpInc'!G40),ISNUMBER('SW Rev'!G40),ISNUMBER('SW OpInc'!C40),ISNUMBER('SW Rev'!C40),'SW Rev'!G40&gt;0,'SW Rev'!C40&gt;0),('SW OpInc'!G40/'SW Rev'!G40-'SW OpInc'!C40/'SW Rev'!C40)*10000,""),"")</f>
        <v/>
      </c>
      <c r="D653" s="43">
        <f>IFERROR(IF(AND(ISNUMBER('SW OpInc'!H40),ISNUMBER('SW Rev'!H40),ISNUMBER('SW OpInc'!D40),ISNUMBER('SW Rev'!D40),'SW Rev'!H40&gt;0,'SW Rev'!D40&gt;0),('SW OpInc'!H40/'SW Rev'!H40-'SW OpInc'!D40/'SW Rev'!D40)*10000,""),"")</f>
        <v/>
      </c>
      <c r="E653" s="43">
        <f>IFERROR(IF(AND(ISNUMBER('SW OpInc'!I40),ISNUMBER('SW Rev'!I40),ISNUMBER('SW OpInc'!E40),ISNUMBER('SW Rev'!E40),'SW Rev'!I40&gt;0,'SW Rev'!E40&gt;0),('SW OpInc'!I40/'SW Rev'!I40-'SW OpInc'!E40/'SW Rev'!E40)*10000,""),"")</f>
        <v/>
      </c>
      <c r="F653" s="43">
        <f>IFERROR(IF(AND(ISNUMBER('SW OpInc'!J40),ISNUMBER('SW Rev'!J40),ISNUMBER('SW OpInc'!F40),ISNUMBER('SW Rev'!F40),'SW Rev'!J40&gt;0,'SW Rev'!F40&gt;0),('SW OpInc'!J40/'SW Rev'!J40-'SW OpInc'!F40/'SW Rev'!F40)*10000,""),"")</f>
        <v/>
      </c>
      <c r="G653" s="43">
        <f>IFERROR(IF(AND(ISNUMBER('SW OpInc'!K40),ISNUMBER('SW Rev'!K40),ISNUMBER('SW OpInc'!G40),ISNUMBER('SW Rev'!G40),'SW Rev'!K40&gt;0,'SW Rev'!G40&gt;0),('SW OpInc'!K40/'SW Rev'!K40-'SW OpInc'!G40/'SW Rev'!G40)*10000,""),"")</f>
        <v/>
      </c>
      <c r="H653" s="43">
        <f>IFERROR(IF(AND(ISNUMBER('SW OpInc'!L40),ISNUMBER('SW Rev'!L40),ISNUMBER('SW OpInc'!H40),ISNUMBER('SW Rev'!H40),'SW Rev'!L40&gt;0,'SW Rev'!H40&gt;0),('SW OpInc'!L40/'SW Rev'!L40-'SW OpInc'!H40/'SW Rev'!H40)*10000,""),"")</f>
        <v/>
      </c>
      <c r="I653" s="43">
        <f>IFERROR(IF(AND(ISNUMBER('SW OpInc'!M40),ISNUMBER('SW Rev'!M40),ISNUMBER('SW OpInc'!I40),ISNUMBER('SW Rev'!I40),'SW Rev'!M40&gt;0,'SW Rev'!I40&gt;0),('SW OpInc'!M40/'SW Rev'!M40-'SW OpInc'!I40/'SW Rev'!I40)*10000,""),"")</f>
        <v/>
      </c>
      <c r="J653" s="43">
        <f>IFERROR(IF(AND(ISNUMBER('SW OpInc'!N40),ISNUMBER('SW Rev'!N40),ISNUMBER('SW OpInc'!J40),ISNUMBER('SW Rev'!J40),'SW Rev'!N40&gt;0,'SW Rev'!J40&gt;0),('SW OpInc'!N40/'SW Rev'!N40-'SW OpInc'!J40/'SW Rev'!J40)*10000,""),"")</f>
        <v/>
      </c>
      <c r="K653" s="43">
        <f>IFERROR(IF(AND(ISNUMBER('SW OpInc'!O40),ISNUMBER('SW Rev'!O40),ISNUMBER('SW OpInc'!K40),ISNUMBER('SW Rev'!K40),'SW Rev'!O40&gt;0,'SW Rev'!K40&gt;0),('SW OpInc'!O40/'SW Rev'!O40-'SW OpInc'!K40/'SW Rev'!K40)*10000,""),"")</f>
        <v/>
      </c>
      <c r="L653" s="43">
        <f>IFERROR(IF(AND(ISNUMBER('SW OpInc'!P40),ISNUMBER('SW Rev'!P40),ISNUMBER('SW OpInc'!L40),ISNUMBER('SW Rev'!L40),'SW Rev'!P40&gt;0,'SW Rev'!L40&gt;0),('SW OpInc'!P40/'SW Rev'!P40-'SW OpInc'!L40/'SW Rev'!L40)*10000,""),"")</f>
        <v/>
      </c>
      <c r="M653" s="44">
        <f>IFERROR(IF(AND(ISNUMBER('SW OpInc'!Q40),ISNUMBER('SW Rev'!Q40),ISNUMBER('SW OpInc'!M40),ISNUMBER('SW Rev'!M40),'SW Rev'!Q40&gt;0,'SW Rev'!M40&gt;0),('SW OpInc'!Q40/'SW Rev'!Q40-'SW OpInc'!M40/'SW Rev'!M40)*10000,""),"")</f>
        <v/>
      </c>
      <c r="N653" s="44">
        <f>IFERROR(IF(AND(ISNUMBER('SW OpInc'!R40),ISNUMBER('SW Rev'!R40),ISNUMBER('SW OpInc'!N40),ISNUMBER('SW Rev'!N40),'SW Rev'!R40&gt;0,'SW Rev'!N40&gt;0),('SW OpInc'!R40/'SW Rev'!R40-'SW OpInc'!N40/'SW Rev'!N40)*10000,""),"")</f>
        <v/>
      </c>
    </row>
    <row r="654">
      <c r="A654" s="19">
        <f>'SW Rev'!$A41</f>
        <v/>
      </c>
      <c r="B654" s="19">
        <f>'SW Rev'!$B41</f>
        <v/>
      </c>
      <c r="C654" s="43">
        <f>IFERROR(IF(AND(ISNUMBER('SW OpInc'!G41),ISNUMBER('SW Rev'!G41),ISNUMBER('SW OpInc'!C41),ISNUMBER('SW Rev'!C41),'SW Rev'!G41&gt;0,'SW Rev'!C41&gt;0),('SW OpInc'!G41/'SW Rev'!G41-'SW OpInc'!C41/'SW Rev'!C41)*10000,""),"")</f>
        <v/>
      </c>
      <c r="D654" s="43">
        <f>IFERROR(IF(AND(ISNUMBER('SW OpInc'!H41),ISNUMBER('SW Rev'!H41),ISNUMBER('SW OpInc'!D41),ISNUMBER('SW Rev'!D41),'SW Rev'!H41&gt;0,'SW Rev'!D41&gt;0),('SW OpInc'!H41/'SW Rev'!H41-'SW OpInc'!D41/'SW Rev'!D41)*10000,""),"")</f>
        <v/>
      </c>
      <c r="E654" s="43">
        <f>IFERROR(IF(AND(ISNUMBER('SW OpInc'!I41),ISNUMBER('SW Rev'!I41),ISNUMBER('SW OpInc'!E41),ISNUMBER('SW Rev'!E41),'SW Rev'!I41&gt;0,'SW Rev'!E41&gt;0),('SW OpInc'!I41/'SW Rev'!I41-'SW OpInc'!E41/'SW Rev'!E41)*10000,""),"")</f>
        <v/>
      </c>
      <c r="F654" s="43">
        <f>IFERROR(IF(AND(ISNUMBER('SW OpInc'!J41),ISNUMBER('SW Rev'!J41),ISNUMBER('SW OpInc'!F41),ISNUMBER('SW Rev'!F41),'SW Rev'!J41&gt;0,'SW Rev'!F41&gt;0),('SW OpInc'!J41/'SW Rev'!J41-'SW OpInc'!F41/'SW Rev'!F41)*10000,""),"")</f>
        <v/>
      </c>
      <c r="G654" s="43">
        <f>IFERROR(IF(AND(ISNUMBER('SW OpInc'!K41),ISNUMBER('SW Rev'!K41),ISNUMBER('SW OpInc'!G41),ISNUMBER('SW Rev'!G41),'SW Rev'!K41&gt;0,'SW Rev'!G41&gt;0),('SW OpInc'!K41/'SW Rev'!K41-'SW OpInc'!G41/'SW Rev'!G41)*10000,""),"")</f>
        <v/>
      </c>
      <c r="H654" s="43">
        <f>IFERROR(IF(AND(ISNUMBER('SW OpInc'!L41),ISNUMBER('SW Rev'!L41),ISNUMBER('SW OpInc'!H41),ISNUMBER('SW Rev'!H41),'SW Rev'!L41&gt;0,'SW Rev'!H41&gt;0),('SW OpInc'!L41/'SW Rev'!L41-'SW OpInc'!H41/'SW Rev'!H41)*10000,""),"")</f>
        <v/>
      </c>
      <c r="I654" s="43">
        <f>IFERROR(IF(AND(ISNUMBER('SW OpInc'!M41),ISNUMBER('SW Rev'!M41),ISNUMBER('SW OpInc'!I41),ISNUMBER('SW Rev'!I41),'SW Rev'!M41&gt;0,'SW Rev'!I41&gt;0),('SW OpInc'!M41/'SW Rev'!M41-'SW OpInc'!I41/'SW Rev'!I41)*10000,""),"")</f>
        <v/>
      </c>
      <c r="J654" s="43">
        <f>IFERROR(IF(AND(ISNUMBER('SW OpInc'!N41),ISNUMBER('SW Rev'!N41),ISNUMBER('SW OpInc'!J41),ISNUMBER('SW Rev'!J41),'SW Rev'!N41&gt;0,'SW Rev'!J41&gt;0),('SW OpInc'!N41/'SW Rev'!N41-'SW OpInc'!J41/'SW Rev'!J41)*10000,""),"")</f>
        <v/>
      </c>
      <c r="K654" s="43">
        <f>IFERROR(IF(AND(ISNUMBER('SW OpInc'!O41),ISNUMBER('SW Rev'!O41),ISNUMBER('SW OpInc'!K41),ISNUMBER('SW Rev'!K41),'SW Rev'!O41&gt;0,'SW Rev'!K41&gt;0),('SW OpInc'!O41/'SW Rev'!O41-'SW OpInc'!K41/'SW Rev'!K41)*10000,""),"")</f>
        <v/>
      </c>
      <c r="L654" s="43">
        <f>IFERROR(IF(AND(ISNUMBER('SW OpInc'!P41),ISNUMBER('SW Rev'!P41),ISNUMBER('SW OpInc'!L41),ISNUMBER('SW Rev'!L41),'SW Rev'!P41&gt;0,'SW Rev'!L41&gt;0),('SW OpInc'!P41/'SW Rev'!P41-'SW OpInc'!L41/'SW Rev'!L41)*10000,""),"")</f>
        <v/>
      </c>
      <c r="M654" s="44">
        <f>IFERROR(IF(AND(ISNUMBER('SW OpInc'!Q41),ISNUMBER('SW Rev'!Q41),ISNUMBER('SW OpInc'!M41),ISNUMBER('SW Rev'!M41),'SW Rev'!Q41&gt;0,'SW Rev'!M41&gt;0),('SW OpInc'!Q41/'SW Rev'!Q41-'SW OpInc'!M41/'SW Rev'!M41)*10000,""),"")</f>
        <v/>
      </c>
      <c r="N654" s="44">
        <f>IFERROR(IF(AND(ISNUMBER('SW OpInc'!R41),ISNUMBER('SW Rev'!R41),ISNUMBER('SW OpInc'!N41),ISNUMBER('SW Rev'!N41),'SW Rev'!R41&gt;0,'SW Rev'!N41&gt;0),('SW OpInc'!R41/'SW Rev'!R41-'SW OpInc'!N41/'SW Rev'!N41)*10000,""),"")</f>
        <v/>
      </c>
    </row>
    <row r="655">
      <c r="A655" s="19">
        <f>'SW Rev'!$A42</f>
        <v/>
      </c>
      <c r="B655" s="19">
        <f>'SW Rev'!$B42</f>
        <v/>
      </c>
      <c r="C655" s="43">
        <f>IFERROR(IF(AND(ISNUMBER('SW OpInc'!G42),ISNUMBER('SW Rev'!G42),ISNUMBER('SW OpInc'!C42),ISNUMBER('SW Rev'!C42),'SW Rev'!G42&gt;0,'SW Rev'!C42&gt;0),('SW OpInc'!G42/'SW Rev'!G42-'SW OpInc'!C42/'SW Rev'!C42)*10000,""),"")</f>
        <v/>
      </c>
      <c r="D655" s="43">
        <f>IFERROR(IF(AND(ISNUMBER('SW OpInc'!H42),ISNUMBER('SW Rev'!H42),ISNUMBER('SW OpInc'!D42),ISNUMBER('SW Rev'!D42),'SW Rev'!H42&gt;0,'SW Rev'!D42&gt;0),('SW OpInc'!H42/'SW Rev'!H42-'SW OpInc'!D42/'SW Rev'!D42)*10000,""),"")</f>
        <v/>
      </c>
      <c r="E655" s="43">
        <f>IFERROR(IF(AND(ISNUMBER('SW OpInc'!I42),ISNUMBER('SW Rev'!I42),ISNUMBER('SW OpInc'!E42),ISNUMBER('SW Rev'!E42),'SW Rev'!I42&gt;0,'SW Rev'!E42&gt;0),('SW OpInc'!I42/'SW Rev'!I42-'SW OpInc'!E42/'SW Rev'!E42)*10000,""),"")</f>
        <v/>
      </c>
      <c r="F655" s="43">
        <f>IFERROR(IF(AND(ISNUMBER('SW OpInc'!J42),ISNUMBER('SW Rev'!J42),ISNUMBER('SW OpInc'!F42),ISNUMBER('SW Rev'!F42),'SW Rev'!J42&gt;0,'SW Rev'!F42&gt;0),('SW OpInc'!J42/'SW Rev'!J42-'SW OpInc'!F42/'SW Rev'!F42)*10000,""),"")</f>
        <v/>
      </c>
      <c r="G655" s="43">
        <f>IFERROR(IF(AND(ISNUMBER('SW OpInc'!K42),ISNUMBER('SW Rev'!K42),ISNUMBER('SW OpInc'!G42),ISNUMBER('SW Rev'!G42),'SW Rev'!K42&gt;0,'SW Rev'!G42&gt;0),('SW OpInc'!K42/'SW Rev'!K42-'SW OpInc'!G42/'SW Rev'!G42)*10000,""),"")</f>
        <v/>
      </c>
      <c r="H655" s="43">
        <f>IFERROR(IF(AND(ISNUMBER('SW OpInc'!L42),ISNUMBER('SW Rev'!L42),ISNUMBER('SW OpInc'!H42),ISNUMBER('SW Rev'!H42),'SW Rev'!L42&gt;0,'SW Rev'!H42&gt;0),('SW OpInc'!L42/'SW Rev'!L42-'SW OpInc'!H42/'SW Rev'!H42)*10000,""),"")</f>
        <v/>
      </c>
      <c r="I655" s="43">
        <f>IFERROR(IF(AND(ISNUMBER('SW OpInc'!M42),ISNUMBER('SW Rev'!M42),ISNUMBER('SW OpInc'!I42),ISNUMBER('SW Rev'!I42),'SW Rev'!M42&gt;0,'SW Rev'!I42&gt;0),('SW OpInc'!M42/'SW Rev'!M42-'SW OpInc'!I42/'SW Rev'!I42)*10000,""),"")</f>
        <v/>
      </c>
      <c r="J655" s="43">
        <f>IFERROR(IF(AND(ISNUMBER('SW OpInc'!N42),ISNUMBER('SW Rev'!N42),ISNUMBER('SW OpInc'!J42),ISNUMBER('SW Rev'!J42),'SW Rev'!N42&gt;0,'SW Rev'!J42&gt;0),('SW OpInc'!N42/'SW Rev'!N42-'SW OpInc'!J42/'SW Rev'!J42)*10000,""),"")</f>
        <v/>
      </c>
      <c r="K655" s="43">
        <f>IFERROR(IF(AND(ISNUMBER('SW OpInc'!O42),ISNUMBER('SW Rev'!O42),ISNUMBER('SW OpInc'!K42),ISNUMBER('SW Rev'!K42),'SW Rev'!O42&gt;0,'SW Rev'!K42&gt;0),('SW OpInc'!O42/'SW Rev'!O42-'SW OpInc'!K42/'SW Rev'!K42)*10000,""),"")</f>
        <v/>
      </c>
      <c r="L655" s="43">
        <f>IFERROR(IF(AND(ISNUMBER('SW OpInc'!P42),ISNUMBER('SW Rev'!P42),ISNUMBER('SW OpInc'!L42),ISNUMBER('SW Rev'!L42),'SW Rev'!P42&gt;0,'SW Rev'!L42&gt;0),('SW OpInc'!P42/'SW Rev'!P42-'SW OpInc'!L42/'SW Rev'!L42)*10000,""),"")</f>
        <v/>
      </c>
      <c r="M655" s="44">
        <f>IFERROR(IF(AND(ISNUMBER('SW OpInc'!Q42),ISNUMBER('SW Rev'!Q42),ISNUMBER('SW OpInc'!M42),ISNUMBER('SW Rev'!M42),'SW Rev'!Q42&gt;0,'SW Rev'!M42&gt;0),('SW OpInc'!Q42/'SW Rev'!Q42-'SW OpInc'!M42/'SW Rev'!M42)*10000,""),"")</f>
        <v/>
      </c>
      <c r="N655" s="44">
        <f>IFERROR(IF(AND(ISNUMBER('SW OpInc'!R42),ISNUMBER('SW Rev'!R42),ISNUMBER('SW OpInc'!N42),ISNUMBER('SW Rev'!N42),'SW Rev'!R42&gt;0,'SW Rev'!N42&gt;0),('SW OpInc'!R42/'SW Rev'!R42-'SW OpInc'!N42/'SW Rev'!N42)*10000,""),"")</f>
        <v/>
      </c>
    </row>
    <row r="656">
      <c r="A656" s="19">
        <f>'SW Rev'!$A43</f>
        <v/>
      </c>
      <c r="B656" s="19">
        <f>'SW Rev'!$B43</f>
        <v/>
      </c>
      <c r="C656" s="43">
        <f>IFERROR(IF(AND(ISNUMBER('SW OpInc'!G43),ISNUMBER('SW Rev'!G43),ISNUMBER('SW OpInc'!C43),ISNUMBER('SW Rev'!C43),'SW Rev'!G43&gt;0,'SW Rev'!C43&gt;0),('SW OpInc'!G43/'SW Rev'!G43-'SW OpInc'!C43/'SW Rev'!C43)*10000,""),"")</f>
        <v/>
      </c>
      <c r="D656" s="43">
        <f>IFERROR(IF(AND(ISNUMBER('SW OpInc'!H43),ISNUMBER('SW Rev'!H43),ISNUMBER('SW OpInc'!D43),ISNUMBER('SW Rev'!D43),'SW Rev'!H43&gt;0,'SW Rev'!D43&gt;0),('SW OpInc'!H43/'SW Rev'!H43-'SW OpInc'!D43/'SW Rev'!D43)*10000,""),"")</f>
        <v/>
      </c>
      <c r="E656" s="43">
        <f>IFERROR(IF(AND(ISNUMBER('SW OpInc'!I43),ISNUMBER('SW Rev'!I43),ISNUMBER('SW OpInc'!E43),ISNUMBER('SW Rev'!E43),'SW Rev'!I43&gt;0,'SW Rev'!E43&gt;0),('SW OpInc'!I43/'SW Rev'!I43-'SW OpInc'!E43/'SW Rev'!E43)*10000,""),"")</f>
        <v/>
      </c>
      <c r="F656" s="43">
        <f>IFERROR(IF(AND(ISNUMBER('SW OpInc'!J43),ISNUMBER('SW Rev'!J43),ISNUMBER('SW OpInc'!F43),ISNUMBER('SW Rev'!F43),'SW Rev'!J43&gt;0,'SW Rev'!F43&gt;0),('SW OpInc'!J43/'SW Rev'!J43-'SW OpInc'!F43/'SW Rev'!F43)*10000,""),"")</f>
        <v/>
      </c>
      <c r="G656" s="43">
        <f>IFERROR(IF(AND(ISNUMBER('SW OpInc'!K43),ISNUMBER('SW Rev'!K43),ISNUMBER('SW OpInc'!G43),ISNUMBER('SW Rev'!G43),'SW Rev'!K43&gt;0,'SW Rev'!G43&gt;0),('SW OpInc'!K43/'SW Rev'!K43-'SW OpInc'!G43/'SW Rev'!G43)*10000,""),"")</f>
        <v/>
      </c>
      <c r="H656" s="43">
        <f>IFERROR(IF(AND(ISNUMBER('SW OpInc'!L43),ISNUMBER('SW Rev'!L43),ISNUMBER('SW OpInc'!H43),ISNUMBER('SW Rev'!H43),'SW Rev'!L43&gt;0,'SW Rev'!H43&gt;0),('SW OpInc'!L43/'SW Rev'!L43-'SW OpInc'!H43/'SW Rev'!H43)*10000,""),"")</f>
        <v/>
      </c>
      <c r="I656" s="43">
        <f>IFERROR(IF(AND(ISNUMBER('SW OpInc'!M43),ISNUMBER('SW Rev'!M43),ISNUMBER('SW OpInc'!I43),ISNUMBER('SW Rev'!I43),'SW Rev'!M43&gt;0,'SW Rev'!I43&gt;0),('SW OpInc'!M43/'SW Rev'!M43-'SW OpInc'!I43/'SW Rev'!I43)*10000,""),"")</f>
        <v/>
      </c>
      <c r="J656" s="43">
        <f>IFERROR(IF(AND(ISNUMBER('SW OpInc'!N43),ISNUMBER('SW Rev'!N43),ISNUMBER('SW OpInc'!J43),ISNUMBER('SW Rev'!J43),'SW Rev'!N43&gt;0,'SW Rev'!J43&gt;0),('SW OpInc'!N43/'SW Rev'!N43-'SW OpInc'!J43/'SW Rev'!J43)*10000,""),"")</f>
        <v/>
      </c>
      <c r="K656" s="43">
        <f>IFERROR(IF(AND(ISNUMBER('SW OpInc'!O43),ISNUMBER('SW Rev'!O43),ISNUMBER('SW OpInc'!K43),ISNUMBER('SW Rev'!K43),'SW Rev'!O43&gt;0,'SW Rev'!K43&gt;0),('SW OpInc'!O43/'SW Rev'!O43-'SW OpInc'!K43/'SW Rev'!K43)*10000,""),"")</f>
        <v/>
      </c>
      <c r="L656" s="43">
        <f>IFERROR(IF(AND(ISNUMBER('SW OpInc'!P43),ISNUMBER('SW Rev'!P43),ISNUMBER('SW OpInc'!L43),ISNUMBER('SW Rev'!L43),'SW Rev'!P43&gt;0,'SW Rev'!L43&gt;0),('SW OpInc'!P43/'SW Rev'!P43-'SW OpInc'!L43/'SW Rev'!L43)*10000,""),"")</f>
        <v/>
      </c>
      <c r="M656" s="44">
        <f>IFERROR(IF(AND(ISNUMBER('SW OpInc'!Q43),ISNUMBER('SW Rev'!Q43),ISNUMBER('SW OpInc'!M43),ISNUMBER('SW Rev'!M43),'SW Rev'!Q43&gt;0,'SW Rev'!M43&gt;0),('SW OpInc'!Q43/'SW Rev'!Q43-'SW OpInc'!M43/'SW Rev'!M43)*10000,""),"")</f>
        <v/>
      </c>
      <c r="N656" s="44">
        <f>IFERROR(IF(AND(ISNUMBER('SW OpInc'!R43),ISNUMBER('SW Rev'!R43),ISNUMBER('SW OpInc'!N43),ISNUMBER('SW Rev'!N43),'SW Rev'!R43&gt;0,'SW Rev'!N43&gt;0),('SW OpInc'!R43/'SW Rev'!R43-'SW OpInc'!N43/'SW Rev'!N43)*10000,""),"")</f>
        <v/>
      </c>
    </row>
    <row r="657">
      <c r="A657" s="19">
        <f>'SW Rev'!$A44</f>
        <v/>
      </c>
      <c r="B657" s="19">
        <f>'SW Rev'!$B44</f>
        <v/>
      </c>
      <c r="C657" s="43">
        <f>IFERROR(IF(AND(ISNUMBER('SW OpInc'!G44),ISNUMBER('SW Rev'!G44),ISNUMBER('SW OpInc'!C44),ISNUMBER('SW Rev'!C44),'SW Rev'!G44&gt;0,'SW Rev'!C44&gt;0),('SW OpInc'!G44/'SW Rev'!G44-'SW OpInc'!C44/'SW Rev'!C44)*10000,""),"")</f>
        <v/>
      </c>
      <c r="D657" s="43">
        <f>IFERROR(IF(AND(ISNUMBER('SW OpInc'!H44),ISNUMBER('SW Rev'!H44),ISNUMBER('SW OpInc'!D44),ISNUMBER('SW Rev'!D44),'SW Rev'!H44&gt;0,'SW Rev'!D44&gt;0),('SW OpInc'!H44/'SW Rev'!H44-'SW OpInc'!D44/'SW Rev'!D44)*10000,""),"")</f>
        <v/>
      </c>
      <c r="E657" s="43">
        <f>IFERROR(IF(AND(ISNUMBER('SW OpInc'!I44),ISNUMBER('SW Rev'!I44),ISNUMBER('SW OpInc'!E44),ISNUMBER('SW Rev'!E44),'SW Rev'!I44&gt;0,'SW Rev'!E44&gt;0),('SW OpInc'!I44/'SW Rev'!I44-'SW OpInc'!E44/'SW Rev'!E44)*10000,""),"")</f>
        <v/>
      </c>
      <c r="F657" s="43">
        <f>IFERROR(IF(AND(ISNUMBER('SW OpInc'!J44),ISNUMBER('SW Rev'!J44),ISNUMBER('SW OpInc'!F44),ISNUMBER('SW Rev'!F44),'SW Rev'!J44&gt;0,'SW Rev'!F44&gt;0),('SW OpInc'!J44/'SW Rev'!J44-'SW OpInc'!F44/'SW Rev'!F44)*10000,""),"")</f>
        <v/>
      </c>
      <c r="G657" s="43">
        <f>IFERROR(IF(AND(ISNUMBER('SW OpInc'!K44),ISNUMBER('SW Rev'!K44),ISNUMBER('SW OpInc'!G44),ISNUMBER('SW Rev'!G44),'SW Rev'!K44&gt;0,'SW Rev'!G44&gt;0),('SW OpInc'!K44/'SW Rev'!K44-'SW OpInc'!G44/'SW Rev'!G44)*10000,""),"")</f>
        <v/>
      </c>
      <c r="H657" s="43">
        <f>IFERROR(IF(AND(ISNUMBER('SW OpInc'!L44),ISNUMBER('SW Rev'!L44),ISNUMBER('SW OpInc'!H44),ISNUMBER('SW Rev'!H44),'SW Rev'!L44&gt;0,'SW Rev'!H44&gt;0),('SW OpInc'!L44/'SW Rev'!L44-'SW OpInc'!H44/'SW Rev'!H44)*10000,""),"")</f>
        <v/>
      </c>
      <c r="I657" s="43">
        <f>IFERROR(IF(AND(ISNUMBER('SW OpInc'!M44),ISNUMBER('SW Rev'!M44),ISNUMBER('SW OpInc'!I44),ISNUMBER('SW Rev'!I44),'SW Rev'!M44&gt;0,'SW Rev'!I44&gt;0),('SW OpInc'!M44/'SW Rev'!M44-'SW OpInc'!I44/'SW Rev'!I44)*10000,""),"")</f>
        <v/>
      </c>
      <c r="J657" s="43">
        <f>IFERROR(IF(AND(ISNUMBER('SW OpInc'!N44),ISNUMBER('SW Rev'!N44),ISNUMBER('SW OpInc'!J44),ISNUMBER('SW Rev'!J44),'SW Rev'!N44&gt;0,'SW Rev'!J44&gt;0),('SW OpInc'!N44/'SW Rev'!N44-'SW OpInc'!J44/'SW Rev'!J44)*10000,""),"")</f>
        <v/>
      </c>
      <c r="K657" s="43">
        <f>IFERROR(IF(AND(ISNUMBER('SW OpInc'!O44),ISNUMBER('SW Rev'!O44),ISNUMBER('SW OpInc'!K44),ISNUMBER('SW Rev'!K44),'SW Rev'!O44&gt;0,'SW Rev'!K44&gt;0),('SW OpInc'!O44/'SW Rev'!O44-'SW OpInc'!K44/'SW Rev'!K44)*10000,""),"")</f>
        <v/>
      </c>
      <c r="L657" s="43">
        <f>IFERROR(IF(AND(ISNUMBER('SW OpInc'!P44),ISNUMBER('SW Rev'!P44),ISNUMBER('SW OpInc'!L44),ISNUMBER('SW Rev'!L44),'SW Rev'!P44&gt;0,'SW Rev'!L44&gt;0),('SW OpInc'!P44/'SW Rev'!P44-'SW OpInc'!L44/'SW Rev'!L44)*10000,""),"")</f>
        <v/>
      </c>
      <c r="M657" s="44">
        <f>IFERROR(IF(AND(ISNUMBER('SW OpInc'!Q44),ISNUMBER('SW Rev'!Q44),ISNUMBER('SW OpInc'!M44),ISNUMBER('SW Rev'!M44),'SW Rev'!Q44&gt;0,'SW Rev'!M44&gt;0),('SW OpInc'!Q44/'SW Rev'!Q44-'SW OpInc'!M44/'SW Rev'!M44)*10000,""),"")</f>
        <v/>
      </c>
      <c r="N657" s="44">
        <f>IFERROR(IF(AND(ISNUMBER('SW OpInc'!R44),ISNUMBER('SW Rev'!R44),ISNUMBER('SW OpInc'!N44),ISNUMBER('SW Rev'!N44),'SW Rev'!R44&gt;0,'SW Rev'!N44&gt;0),('SW OpInc'!R44/'SW Rev'!R44-'SW OpInc'!N44/'SW Rev'!N44)*10000,""),"")</f>
        <v/>
      </c>
    </row>
    <row r="658">
      <c r="A658" s="19">
        <f>'SW Rev'!$A45</f>
        <v/>
      </c>
      <c r="B658" s="19">
        <f>'SW Rev'!$B45</f>
        <v/>
      </c>
      <c r="C658" s="43">
        <f>IFERROR(IF(AND(ISNUMBER('SW OpInc'!G45),ISNUMBER('SW Rev'!G45),ISNUMBER('SW OpInc'!C45),ISNUMBER('SW Rev'!C45),'SW Rev'!G45&gt;0,'SW Rev'!C45&gt;0),('SW OpInc'!G45/'SW Rev'!G45-'SW OpInc'!C45/'SW Rev'!C45)*10000,""),"")</f>
        <v/>
      </c>
      <c r="D658" s="43">
        <f>IFERROR(IF(AND(ISNUMBER('SW OpInc'!H45),ISNUMBER('SW Rev'!H45),ISNUMBER('SW OpInc'!D45),ISNUMBER('SW Rev'!D45),'SW Rev'!H45&gt;0,'SW Rev'!D45&gt;0),('SW OpInc'!H45/'SW Rev'!H45-'SW OpInc'!D45/'SW Rev'!D45)*10000,""),"")</f>
        <v/>
      </c>
      <c r="E658" s="43">
        <f>IFERROR(IF(AND(ISNUMBER('SW OpInc'!I45),ISNUMBER('SW Rev'!I45),ISNUMBER('SW OpInc'!E45),ISNUMBER('SW Rev'!E45),'SW Rev'!I45&gt;0,'SW Rev'!E45&gt;0),('SW OpInc'!I45/'SW Rev'!I45-'SW OpInc'!E45/'SW Rev'!E45)*10000,""),"")</f>
        <v/>
      </c>
      <c r="F658" s="43">
        <f>IFERROR(IF(AND(ISNUMBER('SW OpInc'!J45),ISNUMBER('SW Rev'!J45),ISNUMBER('SW OpInc'!F45),ISNUMBER('SW Rev'!F45),'SW Rev'!J45&gt;0,'SW Rev'!F45&gt;0),('SW OpInc'!J45/'SW Rev'!J45-'SW OpInc'!F45/'SW Rev'!F45)*10000,""),"")</f>
        <v/>
      </c>
      <c r="G658" s="43">
        <f>IFERROR(IF(AND(ISNUMBER('SW OpInc'!K45),ISNUMBER('SW Rev'!K45),ISNUMBER('SW OpInc'!G45),ISNUMBER('SW Rev'!G45),'SW Rev'!K45&gt;0,'SW Rev'!G45&gt;0),('SW OpInc'!K45/'SW Rev'!K45-'SW OpInc'!G45/'SW Rev'!G45)*10000,""),"")</f>
        <v/>
      </c>
      <c r="H658" s="43">
        <f>IFERROR(IF(AND(ISNUMBER('SW OpInc'!L45),ISNUMBER('SW Rev'!L45),ISNUMBER('SW OpInc'!H45),ISNUMBER('SW Rev'!H45),'SW Rev'!L45&gt;0,'SW Rev'!H45&gt;0),('SW OpInc'!L45/'SW Rev'!L45-'SW OpInc'!H45/'SW Rev'!H45)*10000,""),"")</f>
        <v/>
      </c>
      <c r="I658" s="43">
        <f>IFERROR(IF(AND(ISNUMBER('SW OpInc'!M45),ISNUMBER('SW Rev'!M45),ISNUMBER('SW OpInc'!I45),ISNUMBER('SW Rev'!I45),'SW Rev'!M45&gt;0,'SW Rev'!I45&gt;0),('SW OpInc'!M45/'SW Rev'!M45-'SW OpInc'!I45/'SW Rev'!I45)*10000,""),"")</f>
        <v/>
      </c>
      <c r="J658" s="43">
        <f>IFERROR(IF(AND(ISNUMBER('SW OpInc'!N45),ISNUMBER('SW Rev'!N45),ISNUMBER('SW OpInc'!J45),ISNUMBER('SW Rev'!J45),'SW Rev'!N45&gt;0,'SW Rev'!J45&gt;0),('SW OpInc'!N45/'SW Rev'!N45-'SW OpInc'!J45/'SW Rev'!J45)*10000,""),"")</f>
        <v/>
      </c>
      <c r="K658" s="43">
        <f>IFERROR(IF(AND(ISNUMBER('SW OpInc'!O45),ISNUMBER('SW Rev'!O45),ISNUMBER('SW OpInc'!K45),ISNUMBER('SW Rev'!K45),'SW Rev'!O45&gt;0,'SW Rev'!K45&gt;0),('SW OpInc'!O45/'SW Rev'!O45-'SW OpInc'!K45/'SW Rev'!K45)*10000,""),"")</f>
        <v/>
      </c>
      <c r="L658" s="43">
        <f>IFERROR(IF(AND(ISNUMBER('SW OpInc'!P45),ISNUMBER('SW Rev'!P45),ISNUMBER('SW OpInc'!L45),ISNUMBER('SW Rev'!L45),'SW Rev'!P45&gt;0,'SW Rev'!L45&gt;0),('SW OpInc'!P45/'SW Rev'!P45-'SW OpInc'!L45/'SW Rev'!L45)*10000,""),"")</f>
        <v/>
      </c>
      <c r="M658" s="44">
        <f>IFERROR(IF(AND(ISNUMBER('SW OpInc'!Q45),ISNUMBER('SW Rev'!Q45),ISNUMBER('SW OpInc'!M45),ISNUMBER('SW Rev'!M45),'SW Rev'!Q45&gt;0,'SW Rev'!M45&gt;0),('SW OpInc'!Q45/'SW Rev'!Q45-'SW OpInc'!M45/'SW Rev'!M45)*10000,""),"")</f>
        <v/>
      </c>
      <c r="N658" s="44">
        <f>IFERROR(IF(AND(ISNUMBER('SW OpInc'!R45),ISNUMBER('SW Rev'!R45),ISNUMBER('SW OpInc'!N45),ISNUMBER('SW Rev'!N45),'SW Rev'!R45&gt;0,'SW Rev'!N45&gt;0),('SW OpInc'!R45/'SW Rev'!R45-'SW OpInc'!N45/'SW Rev'!N45)*10000,""),"")</f>
        <v/>
      </c>
    </row>
    <row r="659">
      <c r="A659" s="19">
        <f>'SW Rev'!$A46</f>
        <v/>
      </c>
      <c r="B659" s="19">
        <f>'SW Rev'!$B46</f>
        <v/>
      </c>
      <c r="C659" s="43">
        <f>IFERROR(IF(AND(ISNUMBER('SW OpInc'!G46),ISNUMBER('SW Rev'!G46),ISNUMBER('SW OpInc'!C46),ISNUMBER('SW Rev'!C46),'SW Rev'!G46&gt;0,'SW Rev'!C46&gt;0),('SW OpInc'!G46/'SW Rev'!G46-'SW OpInc'!C46/'SW Rev'!C46)*10000,""),"")</f>
        <v/>
      </c>
      <c r="D659" s="43">
        <f>IFERROR(IF(AND(ISNUMBER('SW OpInc'!H46),ISNUMBER('SW Rev'!H46),ISNUMBER('SW OpInc'!D46),ISNUMBER('SW Rev'!D46),'SW Rev'!H46&gt;0,'SW Rev'!D46&gt;0),('SW OpInc'!H46/'SW Rev'!H46-'SW OpInc'!D46/'SW Rev'!D46)*10000,""),"")</f>
        <v/>
      </c>
      <c r="E659" s="43">
        <f>IFERROR(IF(AND(ISNUMBER('SW OpInc'!I46),ISNUMBER('SW Rev'!I46),ISNUMBER('SW OpInc'!E46),ISNUMBER('SW Rev'!E46),'SW Rev'!I46&gt;0,'SW Rev'!E46&gt;0),('SW OpInc'!I46/'SW Rev'!I46-'SW OpInc'!E46/'SW Rev'!E46)*10000,""),"")</f>
        <v/>
      </c>
      <c r="F659" s="43">
        <f>IFERROR(IF(AND(ISNUMBER('SW OpInc'!J46),ISNUMBER('SW Rev'!J46),ISNUMBER('SW OpInc'!F46),ISNUMBER('SW Rev'!F46),'SW Rev'!J46&gt;0,'SW Rev'!F46&gt;0),('SW OpInc'!J46/'SW Rev'!J46-'SW OpInc'!F46/'SW Rev'!F46)*10000,""),"")</f>
        <v/>
      </c>
      <c r="G659" s="43">
        <f>IFERROR(IF(AND(ISNUMBER('SW OpInc'!K46),ISNUMBER('SW Rev'!K46),ISNUMBER('SW OpInc'!G46),ISNUMBER('SW Rev'!G46),'SW Rev'!K46&gt;0,'SW Rev'!G46&gt;0),('SW OpInc'!K46/'SW Rev'!K46-'SW OpInc'!G46/'SW Rev'!G46)*10000,""),"")</f>
        <v/>
      </c>
      <c r="H659" s="43">
        <f>IFERROR(IF(AND(ISNUMBER('SW OpInc'!L46),ISNUMBER('SW Rev'!L46),ISNUMBER('SW OpInc'!H46),ISNUMBER('SW Rev'!H46),'SW Rev'!L46&gt;0,'SW Rev'!H46&gt;0),('SW OpInc'!L46/'SW Rev'!L46-'SW OpInc'!H46/'SW Rev'!H46)*10000,""),"")</f>
        <v/>
      </c>
      <c r="I659" s="43">
        <f>IFERROR(IF(AND(ISNUMBER('SW OpInc'!M46),ISNUMBER('SW Rev'!M46),ISNUMBER('SW OpInc'!I46),ISNUMBER('SW Rev'!I46),'SW Rev'!M46&gt;0,'SW Rev'!I46&gt;0),('SW OpInc'!M46/'SW Rev'!M46-'SW OpInc'!I46/'SW Rev'!I46)*10000,""),"")</f>
        <v/>
      </c>
      <c r="J659" s="43">
        <f>IFERROR(IF(AND(ISNUMBER('SW OpInc'!N46),ISNUMBER('SW Rev'!N46),ISNUMBER('SW OpInc'!J46),ISNUMBER('SW Rev'!J46),'SW Rev'!N46&gt;0,'SW Rev'!J46&gt;0),('SW OpInc'!N46/'SW Rev'!N46-'SW OpInc'!J46/'SW Rev'!J46)*10000,""),"")</f>
        <v/>
      </c>
      <c r="K659" s="43">
        <f>IFERROR(IF(AND(ISNUMBER('SW OpInc'!O46),ISNUMBER('SW Rev'!O46),ISNUMBER('SW OpInc'!K46),ISNUMBER('SW Rev'!K46),'SW Rev'!O46&gt;0,'SW Rev'!K46&gt;0),('SW OpInc'!O46/'SW Rev'!O46-'SW OpInc'!K46/'SW Rev'!K46)*10000,""),"")</f>
        <v/>
      </c>
      <c r="L659" s="43">
        <f>IFERROR(IF(AND(ISNUMBER('SW OpInc'!P46),ISNUMBER('SW Rev'!P46),ISNUMBER('SW OpInc'!L46),ISNUMBER('SW Rev'!L46),'SW Rev'!P46&gt;0,'SW Rev'!L46&gt;0),('SW OpInc'!P46/'SW Rev'!P46-'SW OpInc'!L46/'SW Rev'!L46)*10000,""),"")</f>
        <v/>
      </c>
      <c r="M659" s="44">
        <f>IFERROR(IF(AND(ISNUMBER('SW OpInc'!Q46),ISNUMBER('SW Rev'!Q46),ISNUMBER('SW OpInc'!M46),ISNUMBER('SW Rev'!M46),'SW Rev'!Q46&gt;0,'SW Rev'!M46&gt;0),('SW OpInc'!Q46/'SW Rev'!Q46-'SW OpInc'!M46/'SW Rev'!M46)*10000,""),"")</f>
        <v/>
      </c>
      <c r="N659" s="44">
        <f>IFERROR(IF(AND(ISNUMBER('SW OpInc'!R46),ISNUMBER('SW Rev'!R46),ISNUMBER('SW OpInc'!N46),ISNUMBER('SW Rev'!N46),'SW Rev'!R46&gt;0,'SW Rev'!N46&gt;0),('SW OpInc'!R46/'SW Rev'!R46-'SW OpInc'!N46/'SW Rev'!N46)*10000,""),"")</f>
        <v/>
      </c>
    </row>
    <row r="660">
      <c r="A660" s="19">
        <f>'SW Rev'!$A47</f>
        <v/>
      </c>
      <c r="B660" s="19">
        <f>'SW Rev'!$B47</f>
        <v/>
      </c>
      <c r="C660" s="43">
        <f>IFERROR(IF(AND(ISNUMBER('SW OpInc'!G47),ISNUMBER('SW Rev'!G47),ISNUMBER('SW OpInc'!C47),ISNUMBER('SW Rev'!C47),'SW Rev'!G47&gt;0,'SW Rev'!C47&gt;0),('SW OpInc'!G47/'SW Rev'!G47-'SW OpInc'!C47/'SW Rev'!C47)*10000,""),"")</f>
        <v/>
      </c>
      <c r="D660" s="43">
        <f>IFERROR(IF(AND(ISNUMBER('SW OpInc'!H47),ISNUMBER('SW Rev'!H47),ISNUMBER('SW OpInc'!D47),ISNUMBER('SW Rev'!D47),'SW Rev'!H47&gt;0,'SW Rev'!D47&gt;0),('SW OpInc'!H47/'SW Rev'!H47-'SW OpInc'!D47/'SW Rev'!D47)*10000,""),"")</f>
        <v/>
      </c>
      <c r="E660" s="43">
        <f>IFERROR(IF(AND(ISNUMBER('SW OpInc'!I47),ISNUMBER('SW Rev'!I47),ISNUMBER('SW OpInc'!E47),ISNUMBER('SW Rev'!E47),'SW Rev'!I47&gt;0,'SW Rev'!E47&gt;0),('SW OpInc'!I47/'SW Rev'!I47-'SW OpInc'!E47/'SW Rev'!E47)*10000,""),"")</f>
        <v/>
      </c>
      <c r="F660" s="43">
        <f>IFERROR(IF(AND(ISNUMBER('SW OpInc'!J47),ISNUMBER('SW Rev'!J47),ISNUMBER('SW OpInc'!F47),ISNUMBER('SW Rev'!F47),'SW Rev'!J47&gt;0,'SW Rev'!F47&gt;0),('SW OpInc'!J47/'SW Rev'!J47-'SW OpInc'!F47/'SW Rev'!F47)*10000,""),"")</f>
        <v/>
      </c>
      <c r="G660" s="43">
        <f>IFERROR(IF(AND(ISNUMBER('SW OpInc'!K47),ISNUMBER('SW Rev'!K47),ISNUMBER('SW OpInc'!G47),ISNUMBER('SW Rev'!G47),'SW Rev'!K47&gt;0,'SW Rev'!G47&gt;0),('SW OpInc'!K47/'SW Rev'!K47-'SW OpInc'!G47/'SW Rev'!G47)*10000,""),"")</f>
        <v/>
      </c>
      <c r="H660" s="43">
        <f>IFERROR(IF(AND(ISNUMBER('SW OpInc'!L47),ISNUMBER('SW Rev'!L47),ISNUMBER('SW OpInc'!H47),ISNUMBER('SW Rev'!H47),'SW Rev'!L47&gt;0,'SW Rev'!H47&gt;0),('SW OpInc'!L47/'SW Rev'!L47-'SW OpInc'!H47/'SW Rev'!H47)*10000,""),"")</f>
        <v/>
      </c>
      <c r="I660" s="43">
        <f>IFERROR(IF(AND(ISNUMBER('SW OpInc'!M47),ISNUMBER('SW Rev'!M47),ISNUMBER('SW OpInc'!I47),ISNUMBER('SW Rev'!I47),'SW Rev'!M47&gt;0,'SW Rev'!I47&gt;0),('SW OpInc'!M47/'SW Rev'!M47-'SW OpInc'!I47/'SW Rev'!I47)*10000,""),"")</f>
        <v/>
      </c>
      <c r="J660" s="43">
        <f>IFERROR(IF(AND(ISNUMBER('SW OpInc'!N47),ISNUMBER('SW Rev'!N47),ISNUMBER('SW OpInc'!J47),ISNUMBER('SW Rev'!J47),'SW Rev'!N47&gt;0,'SW Rev'!J47&gt;0),('SW OpInc'!N47/'SW Rev'!N47-'SW OpInc'!J47/'SW Rev'!J47)*10000,""),"")</f>
        <v/>
      </c>
      <c r="K660" s="43">
        <f>IFERROR(IF(AND(ISNUMBER('SW OpInc'!O47),ISNUMBER('SW Rev'!O47),ISNUMBER('SW OpInc'!K47),ISNUMBER('SW Rev'!K47),'SW Rev'!O47&gt;0,'SW Rev'!K47&gt;0),('SW OpInc'!O47/'SW Rev'!O47-'SW OpInc'!K47/'SW Rev'!K47)*10000,""),"")</f>
        <v/>
      </c>
      <c r="L660" s="43">
        <f>IFERROR(IF(AND(ISNUMBER('SW OpInc'!P47),ISNUMBER('SW Rev'!P47),ISNUMBER('SW OpInc'!L47),ISNUMBER('SW Rev'!L47),'SW Rev'!P47&gt;0,'SW Rev'!L47&gt;0),('SW OpInc'!P47/'SW Rev'!P47-'SW OpInc'!L47/'SW Rev'!L47)*10000,""),"")</f>
        <v/>
      </c>
      <c r="M660" s="44">
        <f>IFERROR(IF(AND(ISNUMBER('SW OpInc'!Q47),ISNUMBER('SW Rev'!Q47),ISNUMBER('SW OpInc'!M47),ISNUMBER('SW Rev'!M47),'SW Rev'!Q47&gt;0,'SW Rev'!M47&gt;0),('SW OpInc'!Q47/'SW Rev'!Q47-'SW OpInc'!M47/'SW Rev'!M47)*10000,""),"")</f>
        <v/>
      </c>
      <c r="N660" s="44">
        <f>IFERROR(IF(AND(ISNUMBER('SW OpInc'!R47),ISNUMBER('SW Rev'!R47),ISNUMBER('SW OpInc'!N47),ISNUMBER('SW Rev'!N47),'SW Rev'!R47&gt;0,'SW Rev'!N47&gt;0),('SW OpInc'!R47/'SW Rev'!R47-'SW OpInc'!N47/'SW Rev'!N47)*10000,""),"")</f>
        <v/>
      </c>
    </row>
    <row r="661">
      <c r="A661" s="19">
        <f>'SW Rev'!$A48</f>
        <v/>
      </c>
      <c r="B661" s="19">
        <f>'SW Rev'!$B48</f>
        <v/>
      </c>
      <c r="C661" s="43">
        <f>IFERROR(IF(AND(ISNUMBER('SW OpInc'!G48),ISNUMBER('SW Rev'!G48),ISNUMBER('SW OpInc'!C48),ISNUMBER('SW Rev'!C48),'SW Rev'!G48&gt;0,'SW Rev'!C48&gt;0),('SW OpInc'!G48/'SW Rev'!G48-'SW OpInc'!C48/'SW Rev'!C48)*10000,""),"")</f>
        <v/>
      </c>
      <c r="D661" s="43">
        <f>IFERROR(IF(AND(ISNUMBER('SW OpInc'!H48),ISNUMBER('SW Rev'!H48),ISNUMBER('SW OpInc'!D48),ISNUMBER('SW Rev'!D48),'SW Rev'!H48&gt;0,'SW Rev'!D48&gt;0),('SW OpInc'!H48/'SW Rev'!H48-'SW OpInc'!D48/'SW Rev'!D48)*10000,""),"")</f>
        <v/>
      </c>
      <c r="E661" s="43">
        <f>IFERROR(IF(AND(ISNUMBER('SW OpInc'!I48),ISNUMBER('SW Rev'!I48),ISNUMBER('SW OpInc'!E48),ISNUMBER('SW Rev'!E48),'SW Rev'!I48&gt;0,'SW Rev'!E48&gt;0),('SW OpInc'!I48/'SW Rev'!I48-'SW OpInc'!E48/'SW Rev'!E48)*10000,""),"")</f>
        <v/>
      </c>
      <c r="F661" s="43">
        <f>IFERROR(IF(AND(ISNUMBER('SW OpInc'!J48),ISNUMBER('SW Rev'!J48),ISNUMBER('SW OpInc'!F48),ISNUMBER('SW Rev'!F48),'SW Rev'!J48&gt;0,'SW Rev'!F48&gt;0),('SW OpInc'!J48/'SW Rev'!J48-'SW OpInc'!F48/'SW Rev'!F48)*10000,""),"")</f>
        <v/>
      </c>
      <c r="G661" s="43">
        <f>IFERROR(IF(AND(ISNUMBER('SW OpInc'!K48),ISNUMBER('SW Rev'!K48),ISNUMBER('SW OpInc'!G48),ISNUMBER('SW Rev'!G48),'SW Rev'!K48&gt;0,'SW Rev'!G48&gt;0),('SW OpInc'!K48/'SW Rev'!K48-'SW OpInc'!G48/'SW Rev'!G48)*10000,""),"")</f>
        <v/>
      </c>
      <c r="H661" s="43">
        <f>IFERROR(IF(AND(ISNUMBER('SW OpInc'!L48),ISNUMBER('SW Rev'!L48),ISNUMBER('SW OpInc'!H48),ISNUMBER('SW Rev'!H48),'SW Rev'!L48&gt;0,'SW Rev'!H48&gt;0),('SW OpInc'!L48/'SW Rev'!L48-'SW OpInc'!H48/'SW Rev'!H48)*10000,""),"")</f>
        <v/>
      </c>
      <c r="I661" s="43">
        <f>IFERROR(IF(AND(ISNUMBER('SW OpInc'!M48),ISNUMBER('SW Rev'!M48),ISNUMBER('SW OpInc'!I48),ISNUMBER('SW Rev'!I48),'SW Rev'!M48&gt;0,'SW Rev'!I48&gt;0),('SW OpInc'!M48/'SW Rev'!M48-'SW OpInc'!I48/'SW Rev'!I48)*10000,""),"")</f>
        <v/>
      </c>
      <c r="J661" s="43">
        <f>IFERROR(IF(AND(ISNUMBER('SW OpInc'!N48),ISNUMBER('SW Rev'!N48),ISNUMBER('SW OpInc'!J48),ISNUMBER('SW Rev'!J48),'SW Rev'!N48&gt;0,'SW Rev'!J48&gt;0),('SW OpInc'!N48/'SW Rev'!N48-'SW OpInc'!J48/'SW Rev'!J48)*10000,""),"")</f>
        <v/>
      </c>
      <c r="K661" s="43">
        <f>IFERROR(IF(AND(ISNUMBER('SW OpInc'!O48),ISNUMBER('SW Rev'!O48),ISNUMBER('SW OpInc'!K48),ISNUMBER('SW Rev'!K48),'SW Rev'!O48&gt;0,'SW Rev'!K48&gt;0),('SW OpInc'!O48/'SW Rev'!O48-'SW OpInc'!K48/'SW Rev'!K48)*10000,""),"")</f>
        <v/>
      </c>
      <c r="L661" s="43">
        <f>IFERROR(IF(AND(ISNUMBER('SW OpInc'!P48),ISNUMBER('SW Rev'!P48),ISNUMBER('SW OpInc'!L48),ISNUMBER('SW Rev'!L48),'SW Rev'!P48&gt;0,'SW Rev'!L48&gt;0),('SW OpInc'!P48/'SW Rev'!P48-'SW OpInc'!L48/'SW Rev'!L48)*10000,""),"")</f>
        <v/>
      </c>
      <c r="M661" s="44">
        <f>IFERROR(IF(AND(ISNUMBER('SW OpInc'!Q48),ISNUMBER('SW Rev'!Q48),ISNUMBER('SW OpInc'!M48),ISNUMBER('SW Rev'!M48),'SW Rev'!Q48&gt;0,'SW Rev'!M48&gt;0),('SW OpInc'!Q48/'SW Rev'!Q48-'SW OpInc'!M48/'SW Rev'!M48)*10000,""),"")</f>
        <v/>
      </c>
      <c r="N661" s="44">
        <f>IFERROR(IF(AND(ISNUMBER('SW OpInc'!R48),ISNUMBER('SW Rev'!R48),ISNUMBER('SW OpInc'!N48),ISNUMBER('SW Rev'!N48),'SW Rev'!R48&gt;0,'SW Rev'!N48&gt;0),('SW OpInc'!R48/'SW Rev'!R48-'SW OpInc'!N48/'SW Rev'!N48)*10000,""),"")</f>
        <v/>
      </c>
    </row>
    <row r="662">
      <c r="A662" s="19">
        <f>'SW Rev'!$A49</f>
        <v/>
      </c>
      <c r="B662" s="19">
        <f>'SW Rev'!$B49</f>
        <v/>
      </c>
      <c r="C662" s="43">
        <f>IFERROR(IF(AND(ISNUMBER('SW OpInc'!G49),ISNUMBER('SW Rev'!G49),ISNUMBER('SW OpInc'!C49),ISNUMBER('SW Rev'!C49),'SW Rev'!G49&gt;0,'SW Rev'!C49&gt;0),('SW OpInc'!G49/'SW Rev'!G49-'SW OpInc'!C49/'SW Rev'!C49)*10000,""),"")</f>
        <v/>
      </c>
      <c r="D662" s="43">
        <f>IFERROR(IF(AND(ISNUMBER('SW OpInc'!H49),ISNUMBER('SW Rev'!H49),ISNUMBER('SW OpInc'!D49),ISNUMBER('SW Rev'!D49),'SW Rev'!H49&gt;0,'SW Rev'!D49&gt;0),('SW OpInc'!H49/'SW Rev'!H49-'SW OpInc'!D49/'SW Rev'!D49)*10000,""),"")</f>
        <v/>
      </c>
      <c r="E662" s="43">
        <f>IFERROR(IF(AND(ISNUMBER('SW OpInc'!I49),ISNUMBER('SW Rev'!I49),ISNUMBER('SW OpInc'!E49),ISNUMBER('SW Rev'!E49),'SW Rev'!I49&gt;0,'SW Rev'!E49&gt;0),('SW OpInc'!I49/'SW Rev'!I49-'SW OpInc'!E49/'SW Rev'!E49)*10000,""),"")</f>
        <v/>
      </c>
      <c r="F662" s="43">
        <f>IFERROR(IF(AND(ISNUMBER('SW OpInc'!J49),ISNUMBER('SW Rev'!J49),ISNUMBER('SW OpInc'!F49),ISNUMBER('SW Rev'!F49),'SW Rev'!J49&gt;0,'SW Rev'!F49&gt;0),('SW OpInc'!J49/'SW Rev'!J49-'SW OpInc'!F49/'SW Rev'!F49)*10000,""),"")</f>
        <v/>
      </c>
      <c r="G662" s="43">
        <f>IFERROR(IF(AND(ISNUMBER('SW OpInc'!K49),ISNUMBER('SW Rev'!K49),ISNUMBER('SW OpInc'!G49),ISNUMBER('SW Rev'!G49),'SW Rev'!K49&gt;0,'SW Rev'!G49&gt;0),('SW OpInc'!K49/'SW Rev'!K49-'SW OpInc'!G49/'SW Rev'!G49)*10000,""),"")</f>
        <v/>
      </c>
      <c r="H662" s="43">
        <f>IFERROR(IF(AND(ISNUMBER('SW OpInc'!L49),ISNUMBER('SW Rev'!L49),ISNUMBER('SW OpInc'!H49),ISNUMBER('SW Rev'!H49),'SW Rev'!L49&gt;0,'SW Rev'!H49&gt;0),('SW OpInc'!L49/'SW Rev'!L49-'SW OpInc'!H49/'SW Rev'!H49)*10000,""),"")</f>
        <v/>
      </c>
      <c r="I662" s="43">
        <f>IFERROR(IF(AND(ISNUMBER('SW OpInc'!M49),ISNUMBER('SW Rev'!M49),ISNUMBER('SW OpInc'!I49),ISNUMBER('SW Rev'!I49),'SW Rev'!M49&gt;0,'SW Rev'!I49&gt;0),('SW OpInc'!M49/'SW Rev'!M49-'SW OpInc'!I49/'SW Rev'!I49)*10000,""),"")</f>
        <v/>
      </c>
      <c r="J662" s="43">
        <f>IFERROR(IF(AND(ISNUMBER('SW OpInc'!N49),ISNUMBER('SW Rev'!N49),ISNUMBER('SW OpInc'!J49),ISNUMBER('SW Rev'!J49),'SW Rev'!N49&gt;0,'SW Rev'!J49&gt;0),('SW OpInc'!N49/'SW Rev'!N49-'SW OpInc'!J49/'SW Rev'!J49)*10000,""),"")</f>
        <v/>
      </c>
      <c r="K662" s="43">
        <f>IFERROR(IF(AND(ISNUMBER('SW OpInc'!O49),ISNUMBER('SW Rev'!O49),ISNUMBER('SW OpInc'!K49),ISNUMBER('SW Rev'!K49),'SW Rev'!O49&gt;0,'SW Rev'!K49&gt;0),('SW OpInc'!O49/'SW Rev'!O49-'SW OpInc'!K49/'SW Rev'!K49)*10000,""),"")</f>
        <v/>
      </c>
      <c r="L662" s="43">
        <f>IFERROR(IF(AND(ISNUMBER('SW OpInc'!P49),ISNUMBER('SW Rev'!P49),ISNUMBER('SW OpInc'!L49),ISNUMBER('SW Rev'!L49),'SW Rev'!P49&gt;0,'SW Rev'!L49&gt;0),('SW OpInc'!P49/'SW Rev'!P49-'SW OpInc'!L49/'SW Rev'!L49)*10000,""),"")</f>
        <v/>
      </c>
      <c r="M662" s="44">
        <f>IFERROR(IF(AND(ISNUMBER('SW OpInc'!Q49),ISNUMBER('SW Rev'!Q49),ISNUMBER('SW OpInc'!M49),ISNUMBER('SW Rev'!M49),'SW Rev'!Q49&gt;0,'SW Rev'!M49&gt;0),('SW OpInc'!Q49/'SW Rev'!Q49-'SW OpInc'!M49/'SW Rev'!M49)*10000,""),"")</f>
        <v/>
      </c>
      <c r="N662" s="44">
        <f>IFERROR(IF(AND(ISNUMBER('SW OpInc'!R49),ISNUMBER('SW Rev'!R49),ISNUMBER('SW OpInc'!N49),ISNUMBER('SW Rev'!N49),'SW Rev'!R49&gt;0,'SW Rev'!N49&gt;0),('SW OpInc'!R49/'SW Rev'!R49-'SW OpInc'!N49/'SW Rev'!N49)*10000,""),"")</f>
        <v/>
      </c>
    </row>
    <row r="663">
      <c r="A663" s="19">
        <f>'SW Rev'!$A50</f>
        <v/>
      </c>
      <c r="B663" s="19">
        <f>'SW Rev'!$B50</f>
        <v/>
      </c>
      <c r="C663" s="43">
        <f>IFERROR(IF(AND(ISNUMBER('SW OpInc'!G50),ISNUMBER('SW Rev'!G50),ISNUMBER('SW OpInc'!C50),ISNUMBER('SW Rev'!C50),'SW Rev'!G50&gt;0,'SW Rev'!C50&gt;0),('SW OpInc'!G50/'SW Rev'!G50-'SW OpInc'!C50/'SW Rev'!C50)*10000,""),"")</f>
        <v/>
      </c>
      <c r="D663" s="43">
        <f>IFERROR(IF(AND(ISNUMBER('SW OpInc'!H50),ISNUMBER('SW Rev'!H50),ISNUMBER('SW OpInc'!D50),ISNUMBER('SW Rev'!D50),'SW Rev'!H50&gt;0,'SW Rev'!D50&gt;0),('SW OpInc'!H50/'SW Rev'!H50-'SW OpInc'!D50/'SW Rev'!D50)*10000,""),"")</f>
        <v/>
      </c>
      <c r="E663" s="43">
        <f>IFERROR(IF(AND(ISNUMBER('SW OpInc'!I50),ISNUMBER('SW Rev'!I50),ISNUMBER('SW OpInc'!E50),ISNUMBER('SW Rev'!E50),'SW Rev'!I50&gt;0,'SW Rev'!E50&gt;0),('SW OpInc'!I50/'SW Rev'!I50-'SW OpInc'!E50/'SW Rev'!E50)*10000,""),"")</f>
        <v/>
      </c>
      <c r="F663" s="43">
        <f>IFERROR(IF(AND(ISNUMBER('SW OpInc'!J50),ISNUMBER('SW Rev'!J50),ISNUMBER('SW OpInc'!F50),ISNUMBER('SW Rev'!F50),'SW Rev'!J50&gt;0,'SW Rev'!F50&gt;0),('SW OpInc'!J50/'SW Rev'!J50-'SW OpInc'!F50/'SW Rev'!F50)*10000,""),"")</f>
        <v/>
      </c>
      <c r="G663" s="43">
        <f>IFERROR(IF(AND(ISNUMBER('SW OpInc'!K50),ISNUMBER('SW Rev'!K50),ISNUMBER('SW OpInc'!G50),ISNUMBER('SW Rev'!G50),'SW Rev'!K50&gt;0,'SW Rev'!G50&gt;0),('SW OpInc'!K50/'SW Rev'!K50-'SW OpInc'!G50/'SW Rev'!G50)*10000,""),"")</f>
        <v/>
      </c>
      <c r="H663" s="43">
        <f>IFERROR(IF(AND(ISNUMBER('SW OpInc'!L50),ISNUMBER('SW Rev'!L50),ISNUMBER('SW OpInc'!H50),ISNUMBER('SW Rev'!H50),'SW Rev'!L50&gt;0,'SW Rev'!H50&gt;0),('SW OpInc'!L50/'SW Rev'!L50-'SW OpInc'!H50/'SW Rev'!H50)*10000,""),"")</f>
        <v/>
      </c>
      <c r="I663" s="43">
        <f>IFERROR(IF(AND(ISNUMBER('SW OpInc'!M50),ISNUMBER('SW Rev'!M50),ISNUMBER('SW OpInc'!I50),ISNUMBER('SW Rev'!I50),'SW Rev'!M50&gt;0,'SW Rev'!I50&gt;0),('SW OpInc'!M50/'SW Rev'!M50-'SW OpInc'!I50/'SW Rev'!I50)*10000,""),"")</f>
        <v/>
      </c>
      <c r="J663" s="43">
        <f>IFERROR(IF(AND(ISNUMBER('SW OpInc'!N50),ISNUMBER('SW Rev'!N50),ISNUMBER('SW OpInc'!J50),ISNUMBER('SW Rev'!J50),'SW Rev'!N50&gt;0,'SW Rev'!J50&gt;0),('SW OpInc'!N50/'SW Rev'!N50-'SW OpInc'!J50/'SW Rev'!J50)*10000,""),"")</f>
        <v/>
      </c>
      <c r="K663" s="43">
        <f>IFERROR(IF(AND(ISNUMBER('SW OpInc'!O50),ISNUMBER('SW Rev'!O50),ISNUMBER('SW OpInc'!K50),ISNUMBER('SW Rev'!K50),'SW Rev'!O50&gt;0,'SW Rev'!K50&gt;0),('SW OpInc'!O50/'SW Rev'!O50-'SW OpInc'!K50/'SW Rev'!K50)*10000,""),"")</f>
        <v/>
      </c>
      <c r="L663" s="43">
        <f>IFERROR(IF(AND(ISNUMBER('SW OpInc'!P50),ISNUMBER('SW Rev'!P50),ISNUMBER('SW OpInc'!L50),ISNUMBER('SW Rev'!L50),'SW Rev'!P50&gt;0,'SW Rev'!L50&gt;0),('SW OpInc'!P50/'SW Rev'!P50-'SW OpInc'!L50/'SW Rev'!L50)*10000,""),"")</f>
        <v/>
      </c>
      <c r="M663" s="44">
        <f>IFERROR(IF(AND(ISNUMBER('SW OpInc'!Q50),ISNUMBER('SW Rev'!Q50),ISNUMBER('SW OpInc'!M50),ISNUMBER('SW Rev'!M50),'SW Rev'!Q50&gt;0,'SW Rev'!M50&gt;0),('SW OpInc'!Q50/'SW Rev'!Q50-'SW OpInc'!M50/'SW Rev'!M50)*10000,""),"")</f>
        <v/>
      </c>
      <c r="N663" s="44">
        <f>IFERROR(IF(AND(ISNUMBER('SW OpInc'!R50),ISNUMBER('SW Rev'!R50),ISNUMBER('SW OpInc'!N50),ISNUMBER('SW Rev'!N50),'SW Rev'!R50&gt;0,'SW Rev'!N50&gt;0),('SW OpInc'!R50/'SW Rev'!R50-'SW OpInc'!N50/'SW Rev'!N50)*10000,""),"")</f>
        <v/>
      </c>
    </row>
    <row r="664">
      <c r="A664" s="19">
        <f>'SW Rev'!$A51</f>
        <v/>
      </c>
      <c r="B664" s="19">
        <f>'SW Rev'!$B51</f>
        <v/>
      </c>
      <c r="C664" s="43">
        <f>IFERROR(IF(AND(ISNUMBER('SW OpInc'!G51),ISNUMBER('SW Rev'!G51),ISNUMBER('SW OpInc'!C51),ISNUMBER('SW Rev'!C51),'SW Rev'!G51&gt;0,'SW Rev'!C51&gt;0),('SW OpInc'!G51/'SW Rev'!G51-'SW OpInc'!C51/'SW Rev'!C51)*10000,""),"")</f>
        <v/>
      </c>
      <c r="D664" s="43">
        <f>IFERROR(IF(AND(ISNUMBER('SW OpInc'!H51),ISNUMBER('SW Rev'!H51),ISNUMBER('SW OpInc'!D51),ISNUMBER('SW Rev'!D51),'SW Rev'!H51&gt;0,'SW Rev'!D51&gt;0),('SW OpInc'!H51/'SW Rev'!H51-'SW OpInc'!D51/'SW Rev'!D51)*10000,""),"")</f>
        <v/>
      </c>
      <c r="E664" s="43">
        <f>IFERROR(IF(AND(ISNUMBER('SW OpInc'!I51),ISNUMBER('SW Rev'!I51),ISNUMBER('SW OpInc'!E51),ISNUMBER('SW Rev'!E51),'SW Rev'!I51&gt;0,'SW Rev'!E51&gt;0),('SW OpInc'!I51/'SW Rev'!I51-'SW OpInc'!E51/'SW Rev'!E51)*10000,""),"")</f>
        <v/>
      </c>
      <c r="F664" s="43">
        <f>IFERROR(IF(AND(ISNUMBER('SW OpInc'!J51),ISNUMBER('SW Rev'!J51),ISNUMBER('SW OpInc'!F51),ISNUMBER('SW Rev'!F51),'SW Rev'!J51&gt;0,'SW Rev'!F51&gt;0),('SW OpInc'!J51/'SW Rev'!J51-'SW OpInc'!F51/'SW Rev'!F51)*10000,""),"")</f>
        <v/>
      </c>
      <c r="G664" s="43">
        <f>IFERROR(IF(AND(ISNUMBER('SW OpInc'!K51),ISNUMBER('SW Rev'!K51),ISNUMBER('SW OpInc'!G51),ISNUMBER('SW Rev'!G51),'SW Rev'!K51&gt;0,'SW Rev'!G51&gt;0),('SW OpInc'!K51/'SW Rev'!K51-'SW OpInc'!G51/'SW Rev'!G51)*10000,""),"")</f>
        <v/>
      </c>
      <c r="H664" s="43">
        <f>IFERROR(IF(AND(ISNUMBER('SW OpInc'!L51),ISNUMBER('SW Rev'!L51),ISNUMBER('SW OpInc'!H51),ISNUMBER('SW Rev'!H51),'SW Rev'!L51&gt;0,'SW Rev'!H51&gt;0),('SW OpInc'!L51/'SW Rev'!L51-'SW OpInc'!H51/'SW Rev'!H51)*10000,""),"")</f>
        <v/>
      </c>
      <c r="I664" s="43">
        <f>IFERROR(IF(AND(ISNUMBER('SW OpInc'!M51),ISNUMBER('SW Rev'!M51),ISNUMBER('SW OpInc'!I51),ISNUMBER('SW Rev'!I51),'SW Rev'!M51&gt;0,'SW Rev'!I51&gt;0),('SW OpInc'!M51/'SW Rev'!M51-'SW OpInc'!I51/'SW Rev'!I51)*10000,""),"")</f>
        <v/>
      </c>
      <c r="J664" s="43">
        <f>IFERROR(IF(AND(ISNUMBER('SW OpInc'!N51),ISNUMBER('SW Rev'!N51),ISNUMBER('SW OpInc'!J51),ISNUMBER('SW Rev'!J51),'SW Rev'!N51&gt;0,'SW Rev'!J51&gt;0),('SW OpInc'!N51/'SW Rev'!N51-'SW OpInc'!J51/'SW Rev'!J51)*10000,""),"")</f>
        <v/>
      </c>
      <c r="K664" s="43">
        <f>IFERROR(IF(AND(ISNUMBER('SW OpInc'!O51),ISNUMBER('SW Rev'!O51),ISNUMBER('SW OpInc'!K51),ISNUMBER('SW Rev'!K51),'SW Rev'!O51&gt;0,'SW Rev'!K51&gt;0),('SW OpInc'!O51/'SW Rev'!O51-'SW OpInc'!K51/'SW Rev'!K51)*10000,""),"")</f>
        <v/>
      </c>
      <c r="L664" s="43">
        <f>IFERROR(IF(AND(ISNUMBER('SW OpInc'!P51),ISNUMBER('SW Rev'!P51),ISNUMBER('SW OpInc'!L51),ISNUMBER('SW Rev'!L51),'SW Rev'!P51&gt;0,'SW Rev'!L51&gt;0),('SW OpInc'!P51/'SW Rev'!P51-'SW OpInc'!L51/'SW Rev'!L51)*10000,""),"")</f>
        <v/>
      </c>
      <c r="M664" s="44">
        <f>IFERROR(IF(AND(ISNUMBER('SW OpInc'!Q51),ISNUMBER('SW Rev'!Q51),ISNUMBER('SW OpInc'!M51),ISNUMBER('SW Rev'!M51),'SW Rev'!Q51&gt;0,'SW Rev'!M51&gt;0),('SW OpInc'!Q51/'SW Rev'!Q51-'SW OpInc'!M51/'SW Rev'!M51)*10000,""),"")</f>
        <v/>
      </c>
      <c r="N664" s="44">
        <f>IFERROR(IF(AND(ISNUMBER('SW OpInc'!R51),ISNUMBER('SW Rev'!R51),ISNUMBER('SW OpInc'!N51),ISNUMBER('SW Rev'!N51),'SW Rev'!R51&gt;0,'SW Rev'!N51&gt;0),('SW OpInc'!R51/'SW Rev'!R51-'SW OpInc'!N51/'SW Rev'!N51)*10000,""),"")</f>
        <v/>
      </c>
    </row>
    <row r="665">
      <c r="A665" s="19">
        <f>'SW Rev'!$A52</f>
        <v/>
      </c>
      <c r="B665" s="19">
        <f>'SW Rev'!$B52</f>
        <v/>
      </c>
      <c r="C665" s="43">
        <f>IFERROR(IF(AND(ISNUMBER('SW OpInc'!G52),ISNUMBER('SW Rev'!G52),ISNUMBER('SW OpInc'!C52),ISNUMBER('SW Rev'!C52),'SW Rev'!G52&gt;0,'SW Rev'!C52&gt;0),('SW OpInc'!G52/'SW Rev'!G52-'SW OpInc'!C52/'SW Rev'!C52)*10000,""),"")</f>
        <v/>
      </c>
      <c r="D665" s="43">
        <f>IFERROR(IF(AND(ISNUMBER('SW OpInc'!H52),ISNUMBER('SW Rev'!H52),ISNUMBER('SW OpInc'!D52),ISNUMBER('SW Rev'!D52),'SW Rev'!H52&gt;0,'SW Rev'!D52&gt;0),('SW OpInc'!H52/'SW Rev'!H52-'SW OpInc'!D52/'SW Rev'!D52)*10000,""),"")</f>
        <v/>
      </c>
      <c r="E665" s="43">
        <f>IFERROR(IF(AND(ISNUMBER('SW OpInc'!I52),ISNUMBER('SW Rev'!I52),ISNUMBER('SW OpInc'!E52),ISNUMBER('SW Rev'!E52),'SW Rev'!I52&gt;0,'SW Rev'!E52&gt;0),('SW OpInc'!I52/'SW Rev'!I52-'SW OpInc'!E52/'SW Rev'!E52)*10000,""),"")</f>
        <v/>
      </c>
      <c r="F665" s="43">
        <f>IFERROR(IF(AND(ISNUMBER('SW OpInc'!J52),ISNUMBER('SW Rev'!J52),ISNUMBER('SW OpInc'!F52),ISNUMBER('SW Rev'!F52),'SW Rev'!J52&gt;0,'SW Rev'!F52&gt;0),('SW OpInc'!J52/'SW Rev'!J52-'SW OpInc'!F52/'SW Rev'!F52)*10000,""),"")</f>
        <v/>
      </c>
      <c r="G665" s="43">
        <f>IFERROR(IF(AND(ISNUMBER('SW OpInc'!K52),ISNUMBER('SW Rev'!K52),ISNUMBER('SW OpInc'!G52),ISNUMBER('SW Rev'!G52),'SW Rev'!K52&gt;0,'SW Rev'!G52&gt;0),('SW OpInc'!K52/'SW Rev'!K52-'SW OpInc'!G52/'SW Rev'!G52)*10000,""),"")</f>
        <v/>
      </c>
      <c r="H665" s="43">
        <f>IFERROR(IF(AND(ISNUMBER('SW OpInc'!L52),ISNUMBER('SW Rev'!L52),ISNUMBER('SW OpInc'!H52),ISNUMBER('SW Rev'!H52),'SW Rev'!L52&gt;0,'SW Rev'!H52&gt;0),('SW OpInc'!L52/'SW Rev'!L52-'SW OpInc'!H52/'SW Rev'!H52)*10000,""),"")</f>
        <v/>
      </c>
      <c r="I665" s="43">
        <f>IFERROR(IF(AND(ISNUMBER('SW OpInc'!M52),ISNUMBER('SW Rev'!M52),ISNUMBER('SW OpInc'!I52),ISNUMBER('SW Rev'!I52),'SW Rev'!M52&gt;0,'SW Rev'!I52&gt;0),('SW OpInc'!M52/'SW Rev'!M52-'SW OpInc'!I52/'SW Rev'!I52)*10000,""),"")</f>
        <v/>
      </c>
      <c r="J665" s="43">
        <f>IFERROR(IF(AND(ISNUMBER('SW OpInc'!N52),ISNUMBER('SW Rev'!N52),ISNUMBER('SW OpInc'!J52),ISNUMBER('SW Rev'!J52),'SW Rev'!N52&gt;0,'SW Rev'!J52&gt;0),('SW OpInc'!N52/'SW Rev'!N52-'SW OpInc'!J52/'SW Rev'!J52)*10000,""),"")</f>
        <v/>
      </c>
      <c r="K665" s="43">
        <f>IFERROR(IF(AND(ISNUMBER('SW OpInc'!O52),ISNUMBER('SW Rev'!O52),ISNUMBER('SW OpInc'!K52),ISNUMBER('SW Rev'!K52),'SW Rev'!O52&gt;0,'SW Rev'!K52&gt;0),('SW OpInc'!O52/'SW Rev'!O52-'SW OpInc'!K52/'SW Rev'!K52)*10000,""),"")</f>
        <v/>
      </c>
      <c r="L665" s="43">
        <f>IFERROR(IF(AND(ISNUMBER('SW OpInc'!P52),ISNUMBER('SW Rev'!P52),ISNUMBER('SW OpInc'!L52),ISNUMBER('SW Rev'!L52),'SW Rev'!P52&gt;0,'SW Rev'!L52&gt;0),('SW OpInc'!P52/'SW Rev'!P52-'SW OpInc'!L52/'SW Rev'!L52)*10000,""),"")</f>
        <v/>
      </c>
      <c r="M665" s="44">
        <f>IFERROR(IF(AND(ISNUMBER('SW OpInc'!Q52),ISNUMBER('SW Rev'!Q52),ISNUMBER('SW OpInc'!M52),ISNUMBER('SW Rev'!M52),'SW Rev'!Q52&gt;0,'SW Rev'!M52&gt;0),('SW OpInc'!Q52/'SW Rev'!Q52-'SW OpInc'!M52/'SW Rev'!M52)*10000,""),"")</f>
        <v/>
      </c>
      <c r="N665" s="44">
        <f>IFERROR(IF(AND(ISNUMBER('SW OpInc'!R52),ISNUMBER('SW Rev'!R52),ISNUMBER('SW OpInc'!N52),ISNUMBER('SW Rev'!N52),'SW Rev'!R52&gt;0,'SW Rev'!N52&gt;0),('SW OpInc'!R52/'SW Rev'!R52-'SW OpInc'!N52/'SW Rev'!N52)*10000,""),"")</f>
        <v/>
      </c>
    </row>
    <row r="666">
      <c r="A666" s="19">
        <f>'SW Rev'!$A53</f>
        <v/>
      </c>
      <c r="B666" s="19">
        <f>'SW Rev'!$B53</f>
        <v/>
      </c>
      <c r="C666" s="43">
        <f>IFERROR(IF(AND(ISNUMBER('SW OpInc'!G53),ISNUMBER('SW Rev'!G53),ISNUMBER('SW OpInc'!C53),ISNUMBER('SW Rev'!C53),'SW Rev'!G53&gt;0,'SW Rev'!C53&gt;0),('SW OpInc'!G53/'SW Rev'!G53-'SW OpInc'!C53/'SW Rev'!C53)*10000,""),"")</f>
        <v/>
      </c>
      <c r="D666" s="43">
        <f>IFERROR(IF(AND(ISNUMBER('SW OpInc'!H53),ISNUMBER('SW Rev'!H53),ISNUMBER('SW OpInc'!D53),ISNUMBER('SW Rev'!D53),'SW Rev'!H53&gt;0,'SW Rev'!D53&gt;0),('SW OpInc'!H53/'SW Rev'!H53-'SW OpInc'!D53/'SW Rev'!D53)*10000,""),"")</f>
        <v/>
      </c>
      <c r="E666" s="43">
        <f>IFERROR(IF(AND(ISNUMBER('SW OpInc'!I53),ISNUMBER('SW Rev'!I53),ISNUMBER('SW OpInc'!E53),ISNUMBER('SW Rev'!E53),'SW Rev'!I53&gt;0,'SW Rev'!E53&gt;0),('SW OpInc'!I53/'SW Rev'!I53-'SW OpInc'!E53/'SW Rev'!E53)*10000,""),"")</f>
        <v/>
      </c>
      <c r="F666" s="43">
        <f>IFERROR(IF(AND(ISNUMBER('SW OpInc'!J53),ISNUMBER('SW Rev'!J53),ISNUMBER('SW OpInc'!F53),ISNUMBER('SW Rev'!F53),'SW Rev'!J53&gt;0,'SW Rev'!F53&gt;0),('SW OpInc'!J53/'SW Rev'!J53-'SW OpInc'!F53/'SW Rev'!F53)*10000,""),"")</f>
        <v/>
      </c>
      <c r="G666" s="43">
        <f>IFERROR(IF(AND(ISNUMBER('SW OpInc'!K53),ISNUMBER('SW Rev'!K53),ISNUMBER('SW OpInc'!G53),ISNUMBER('SW Rev'!G53),'SW Rev'!K53&gt;0,'SW Rev'!G53&gt;0),('SW OpInc'!K53/'SW Rev'!K53-'SW OpInc'!G53/'SW Rev'!G53)*10000,""),"")</f>
        <v/>
      </c>
      <c r="H666" s="43">
        <f>IFERROR(IF(AND(ISNUMBER('SW OpInc'!L53),ISNUMBER('SW Rev'!L53),ISNUMBER('SW OpInc'!H53),ISNUMBER('SW Rev'!H53),'SW Rev'!L53&gt;0,'SW Rev'!H53&gt;0),('SW OpInc'!L53/'SW Rev'!L53-'SW OpInc'!H53/'SW Rev'!H53)*10000,""),"")</f>
        <v/>
      </c>
      <c r="I666" s="43">
        <f>IFERROR(IF(AND(ISNUMBER('SW OpInc'!M53),ISNUMBER('SW Rev'!M53),ISNUMBER('SW OpInc'!I53),ISNUMBER('SW Rev'!I53),'SW Rev'!M53&gt;0,'SW Rev'!I53&gt;0),('SW OpInc'!M53/'SW Rev'!M53-'SW OpInc'!I53/'SW Rev'!I53)*10000,""),"")</f>
        <v/>
      </c>
      <c r="J666" s="43">
        <f>IFERROR(IF(AND(ISNUMBER('SW OpInc'!N53),ISNUMBER('SW Rev'!N53),ISNUMBER('SW OpInc'!J53),ISNUMBER('SW Rev'!J53),'SW Rev'!N53&gt;0,'SW Rev'!J53&gt;0),('SW OpInc'!N53/'SW Rev'!N53-'SW OpInc'!J53/'SW Rev'!J53)*10000,""),"")</f>
        <v/>
      </c>
      <c r="K666" s="43">
        <f>IFERROR(IF(AND(ISNUMBER('SW OpInc'!O53),ISNUMBER('SW Rev'!O53),ISNUMBER('SW OpInc'!K53),ISNUMBER('SW Rev'!K53),'SW Rev'!O53&gt;0,'SW Rev'!K53&gt;0),('SW OpInc'!O53/'SW Rev'!O53-'SW OpInc'!K53/'SW Rev'!K53)*10000,""),"")</f>
        <v/>
      </c>
      <c r="L666" s="43">
        <f>IFERROR(IF(AND(ISNUMBER('SW OpInc'!P53),ISNUMBER('SW Rev'!P53),ISNUMBER('SW OpInc'!L53),ISNUMBER('SW Rev'!L53),'SW Rev'!P53&gt;0,'SW Rev'!L53&gt;0),('SW OpInc'!P53/'SW Rev'!P53-'SW OpInc'!L53/'SW Rev'!L53)*10000,""),"")</f>
        <v/>
      </c>
      <c r="M666" s="44">
        <f>IFERROR(IF(AND(ISNUMBER('SW OpInc'!Q53),ISNUMBER('SW Rev'!Q53),ISNUMBER('SW OpInc'!M53),ISNUMBER('SW Rev'!M53),'SW Rev'!Q53&gt;0,'SW Rev'!M53&gt;0),('SW OpInc'!Q53/'SW Rev'!Q53-'SW OpInc'!M53/'SW Rev'!M53)*10000,""),"")</f>
        <v/>
      </c>
      <c r="N666" s="44">
        <f>IFERROR(IF(AND(ISNUMBER('SW OpInc'!R53),ISNUMBER('SW Rev'!R53),ISNUMBER('SW OpInc'!N53),ISNUMBER('SW Rev'!N53),'SW Rev'!R53&gt;0,'SW Rev'!N53&gt;0),('SW OpInc'!R53/'SW Rev'!R53-'SW OpInc'!N53/'SW Rev'!N53)*10000,""),"")</f>
        <v/>
      </c>
    </row>
    <row r="667">
      <c r="A667" s="19">
        <f>'SW Rev'!$A54</f>
        <v/>
      </c>
      <c r="B667" s="19">
        <f>'SW Rev'!$B54</f>
        <v/>
      </c>
      <c r="C667" s="43">
        <f>IFERROR(IF(AND(ISNUMBER('SW OpInc'!G54),ISNUMBER('SW Rev'!G54),ISNUMBER('SW OpInc'!C54),ISNUMBER('SW Rev'!C54),'SW Rev'!G54&gt;0,'SW Rev'!C54&gt;0),('SW OpInc'!G54/'SW Rev'!G54-'SW OpInc'!C54/'SW Rev'!C54)*10000,""),"")</f>
        <v/>
      </c>
      <c r="D667" s="43">
        <f>IFERROR(IF(AND(ISNUMBER('SW OpInc'!H54),ISNUMBER('SW Rev'!H54),ISNUMBER('SW OpInc'!D54),ISNUMBER('SW Rev'!D54),'SW Rev'!H54&gt;0,'SW Rev'!D54&gt;0),('SW OpInc'!H54/'SW Rev'!H54-'SW OpInc'!D54/'SW Rev'!D54)*10000,""),"")</f>
        <v/>
      </c>
      <c r="E667" s="43">
        <f>IFERROR(IF(AND(ISNUMBER('SW OpInc'!I54),ISNUMBER('SW Rev'!I54),ISNUMBER('SW OpInc'!E54),ISNUMBER('SW Rev'!E54),'SW Rev'!I54&gt;0,'SW Rev'!E54&gt;0),('SW OpInc'!I54/'SW Rev'!I54-'SW OpInc'!E54/'SW Rev'!E54)*10000,""),"")</f>
        <v/>
      </c>
      <c r="F667" s="43">
        <f>IFERROR(IF(AND(ISNUMBER('SW OpInc'!J54),ISNUMBER('SW Rev'!J54),ISNUMBER('SW OpInc'!F54),ISNUMBER('SW Rev'!F54),'SW Rev'!J54&gt;0,'SW Rev'!F54&gt;0),('SW OpInc'!J54/'SW Rev'!J54-'SW OpInc'!F54/'SW Rev'!F54)*10000,""),"")</f>
        <v/>
      </c>
      <c r="G667" s="43">
        <f>IFERROR(IF(AND(ISNUMBER('SW OpInc'!K54),ISNUMBER('SW Rev'!K54),ISNUMBER('SW OpInc'!G54),ISNUMBER('SW Rev'!G54),'SW Rev'!K54&gt;0,'SW Rev'!G54&gt;0),('SW OpInc'!K54/'SW Rev'!K54-'SW OpInc'!G54/'SW Rev'!G54)*10000,""),"")</f>
        <v/>
      </c>
      <c r="H667" s="43">
        <f>IFERROR(IF(AND(ISNUMBER('SW OpInc'!L54),ISNUMBER('SW Rev'!L54),ISNUMBER('SW OpInc'!H54),ISNUMBER('SW Rev'!H54),'SW Rev'!L54&gt;0,'SW Rev'!H54&gt;0),('SW OpInc'!L54/'SW Rev'!L54-'SW OpInc'!H54/'SW Rev'!H54)*10000,""),"")</f>
        <v/>
      </c>
      <c r="I667" s="43">
        <f>IFERROR(IF(AND(ISNUMBER('SW OpInc'!M54),ISNUMBER('SW Rev'!M54),ISNUMBER('SW OpInc'!I54),ISNUMBER('SW Rev'!I54),'SW Rev'!M54&gt;0,'SW Rev'!I54&gt;0),('SW OpInc'!M54/'SW Rev'!M54-'SW OpInc'!I54/'SW Rev'!I54)*10000,""),"")</f>
        <v/>
      </c>
      <c r="J667" s="43">
        <f>IFERROR(IF(AND(ISNUMBER('SW OpInc'!N54),ISNUMBER('SW Rev'!N54),ISNUMBER('SW OpInc'!J54),ISNUMBER('SW Rev'!J54),'SW Rev'!N54&gt;0,'SW Rev'!J54&gt;0),('SW OpInc'!N54/'SW Rev'!N54-'SW OpInc'!J54/'SW Rev'!J54)*10000,""),"")</f>
        <v/>
      </c>
      <c r="K667" s="43">
        <f>IFERROR(IF(AND(ISNUMBER('SW OpInc'!O54),ISNUMBER('SW Rev'!O54),ISNUMBER('SW OpInc'!K54),ISNUMBER('SW Rev'!K54),'SW Rev'!O54&gt;0,'SW Rev'!K54&gt;0),('SW OpInc'!O54/'SW Rev'!O54-'SW OpInc'!K54/'SW Rev'!K54)*10000,""),"")</f>
        <v/>
      </c>
      <c r="L667" s="43">
        <f>IFERROR(IF(AND(ISNUMBER('SW OpInc'!P54),ISNUMBER('SW Rev'!P54),ISNUMBER('SW OpInc'!L54),ISNUMBER('SW Rev'!L54),'SW Rev'!P54&gt;0,'SW Rev'!L54&gt;0),('SW OpInc'!P54/'SW Rev'!P54-'SW OpInc'!L54/'SW Rev'!L54)*10000,""),"")</f>
        <v/>
      </c>
      <c r="M667" s="44">
        <f>IFERROR(IF(AND(ISNUMBER('SW OpInc'!Q54),ISNUMBER('SW Rev'!Q54),ISNUMBER('SW OpInc'!M54),ISNUMBER('SW Rev'!M54),'SW Rev'!Q54&gt;0,'SW Rev'!M54&gt;0),('SW OpInc'!Q54/'SW Rev'!Q54-'SW OpInc'!M54/'SW Rev'!M54)*10000,""),"")</f>
        <v/>
      </c>
      <c r="N667" s="44">
        <f>IFERROR(IF(AND(ISNUMBER('SW OpInc'!R54),ISNUMBER('SW Rev'!R54),ISNUMBER('SW OpInc'!N54),ISNUMBER('SW Rev'!N54),'SW Rev'!R54&gt;0,'SW Rev'!N54&gt;0),('SW OpInc'!R54/'SW Rev'!R54-'SW OpInc'!N54/'SW Rev'!N54)*10000,""),"")</f>
        <v/>
      </c>
    </row>
    <row r="668">
      <c r="A668" s="19">
        <f>'SW Rev'!$A55</f>
        <v/>
      </c>
      <c r="B668" s="19">
        <f>'SW Rev'!$B55</f>
        <v/>
      </c>
      <c r="C668" s="43">
        <f>IFERROR(IF(AND(ISNUMBER('SW OpInc'!G55),ISNUMBER('SW Rev'!G55),ISNUMBER('SW OpInc'!C55),ISNUMBER('SW Rev'!C55),'SW Rev'!G55&gt;0,'SW Rev'!C55&gt;0),('SW OpInc'!G55/'SW Rev'!G55-'SW OpInc'!C55/'SW Rev'!C55)*10000,""),"")</f>
        <v/>
      </c>
      <c r="D668" s="43">
        <f>IFERROR(IF(AND(ISNUMBER('SW OpInc'!H55),ISNUMBER('SW Rev'!H55),ISNUMBER('SW OpInc'!D55),ISNUMBER('SW Rev'!D55),'SW Rev'!H55&gt;0,'SW Rev'!D55&gt;0),('SW OpInc'!H55/'SW Rev'!H55-'SW OpInc'!D55/'SW Rev'!D55)*10000,""),"")</f>
        <v/>
      </c>
      <c r="E668" s="43">
        <f>IFERROR(IF(AND(ISNUMBER('SW OpInc'!I55),ISNUMBER('SW Rev'!I55),ISNUMBER('SW OpInc'!E55),ISNUMBER('SW Rev'!E55),'SW Rev'!I55&gt;0,'SW Rev'!E55&gt;0),('SW OpInc'!I55/'SW Rev'!I55-'SW OpInc'!E55/'SW Rev'!E55)*10000,""),"")</f>
        <v/>
      </c>
      <c r="F668" s="43">
        <f>IFERROR(IF(AND(ISNUMBER('SW OpInc'!J55),ISNUMBER('SW Rev'!J55),ISNUMBER('SW OpInc'!F55),ISNUMBER('SW Rev'!F55),'SW Rev'!J55&gt;0,'SW Rev'!F55&gt;0),('SW OpInc'!J55/'SW Rev'!J55-'SW OpInc'!F55/'SW Rev'!F55)*10000,""),"")</f>
        <v/>
      </c>
      <c r="G668" s="43">
        <f>IFERROR(IF(AND(ISNUMBER('SW OpInc'!K55),ISNUMBER('SW Rev'!K55),ISNUMBER('SW OpInc'!G55),ISNUMBER('SW Rev'!G55),'SW Rev'!K55&gt;0,'SW Rev'!G55&gt;0),('SW OpInc'!K55/'SW Rev'!K55-'SW OpInc'!G55/'SW Rev'!G55)*10000,""),"")</f>
        <v/>
      </c>
      <c r="H668" s="43">
        <f>IFERROR(IF(AND(ISNUMBER('SW OpInc'!L55),ISNUMBER('SW Rev'!L55),ISNUMBER('SW OpInc'!H55),ISNUMBER('SW Rev'!H55),'SW Rev'!L55&gt;0,'SW Rev'!H55&gt;0),('SW OpInc'!L55/'SW Rev'!L55-'SW OpInc'!H55/'SW Rev'!H55)*10000,""),"")</f>
        <v/>
      </c>
      <c r="I668" s="43">
        <f>IFERROR(IF(AND(ISNUMBER('SW OpInc'!M55),ISNUMBER('SW Rev'!M55),ISNUMBER('SW OpInc'!I55),ISNUMBER('SW Rev'!I55),'SW Rev'!M55&gt;0,'SW Rev'!I55&gt;0),('SW OpInc'!M55/'SW Rev'!M55-'SW OpInc'!I55/'SW Rev'!I55)*10000,""),"")</f>
        <v/>
      </c>
      <c r="J668" s="43">
        <f>IFERROR(IF(AND(ISNUMBER('SW OpInc'!N55),ISNUMBER('SW Rev'!N55),ISNUMBER('SW OpInc'!J55),ISNUMBER('SW Rev'!J55),'SW Rev'!N55&gt;0,'SW Rev'!J55&gt;0),('SW OpInc'!N55/'SW Rev'!N55-'SW OpInc'!J55/'SW Rev'!J55)*10000,""),"")</f>
        <v/>
      </c>
      <c r="K668" s="43">
        <f>IFERROR(IF(AND(ISNUMBER('SW OpInc'!O55),ISNUMBER('SW Rev'!O55),ISNUMBER('SW OpInc'!K55),ISNUMBER('SW Rev'!K55),'SW Rev'!O55&gt;0,'SW Rev'!K55&gt;0),('SW OpInc'!O55/'SW Rev'!O55-'SW OpInc'!K55/'SW Rev'!K55)*10000,""),"")</f>
        <v/>
      </c>
      <c r="L668" s="43">
        <f>IFERROR(IF(AND(ISNUMBER('SW OpInc'!P55),ISNUMBER('SW Rev'!P55),ISNUMBER('SW OpInc'!L55),ISNUMBER('SW Rev'!L55),'SW Rev'!P55&gt;0,'SW Rev'!L55&gt;0),('SW OpInc'!P55/'SW Rev'!P55-'SW OpInc'!L55/'SW Rev'!L55)*10000,""),"")</f>
        <v/>
      </c>
      <c r="M668" s="44">
        <f>IFERROR(IF(AND(ISNUMBER('SW OpInc'!Q55),ISNUMBER('SW Rev'!Q55),ISNUMBER('SW OpInc'!M55),ISNUMBER('SW Rev'!M55),'SW Rev'!Q55&gt;0,'SW Rev'!M55&gt;0),('SW OpInc'!Q55/'SW Rev'!Q55-'SW OpInc'!M55/'SW Rev'!M55)*10000,""),"")</f>
        <v/>
      </c>
      <c r="N668" s="44">
        <f>IFERROR(IF(AND(ISNUMBER('SW OpInc'!R55),ISNUMBER('SW Rev'!R55),ISNUMBER('SW OpInc'!N55),ISNUMBER('SW Rev'!N55),'SW Rev'!R55&gt;0,'SW Rev'!N55&gt;0),('SW OpInc'!R55/'SW Rev'!R55-'SW OpInc'!N55/'SW Rev'!N55)*10000,""),"")</f>
        <v/>
      </c>
    </row>
    <row r="669">
      <c r="A669" s="19">
        <f>'SW Rev'!$A56</f>
        <v/>
      </c>
      <c r="B669" s="19">
        <f>'SW Rev'!$B56</f>
        <v/>
      </c>
      <c r="C669" s="43">
        <f>IFERROR(IF(AND(ISNUMBER('SW OpInc'!G56),ISNUMBER('SW Rev'!G56),ISNUMBER('SW OpInc'!C56),ISNUMBER('SW Rev'!C56),'SW Rev'!G56&gt;0,'SW Rev'!C56&gt;0),('SW OpInc'!G56/'SW Rev'!G56-'SW OpInc'!C56/'SW Rev'!C56)*10000,""),"")</f>
        <v/>
      </c>
      <c r="D669" s="43">
        <f>IFERROR(IF(AND(ISNUMBER('SW OpInc'!H56),ISNUMBER('SW Rev'!H56),ISNUMBER('SW OpInc'!D56),ISNUMBER('SW Rev'!D56),'SW Rev'!H56&gt;0,'SW Rev'!D56&gt;0),('SW OpInc'!H56/'SW Rev'!H56-'SW OpInc'!D56/'SW Rev'!D56)*10000,""),"")</f>
        <v/>
      </c>
      <c r="E669" s="43">
        <f>IFERROR(IF(AND(ISNUMBER('SW OpInc'!I56),ISNUMBER('SW Rev'!I56),ISNUMBER('SW OpInc'!E56),ISNUMBER('SW Rev'!E56),'SW Rev'!I56&gt;0,'SW Rev'!E56&gt;0),('SW OpInc'!I56/'SW Rev'!I56-'SW OpInc'!E56/'SW Rev'!E56)*10000,""),"")</f>
        <v/>
      </c>
      <c r="F669" s="43">
        <f>IFERROR(IF(AND(ISNUMBER('SW OpInc'!J56),ISNUMBER('SW Rev'!J56),ISNUMBER('SW OpInc'!F56),ISNUMBER('SW Rev'!F56),'SW Rev'!J56&gt;0,'SW Rev'!F56&gt;0),('SW OpInc'!J56/'SW Rev'!J56-'SW OpInc'!F56/'SW Rev'!F56)*10000,""),"")</f>
        <v/>
      </c>
      <c r="G669" s="43">
        <f>IFERROR(IF(AND(ISNUMBER('SW OpInc'!K56),ISNUMBER('SW Rev'!K56),ISNUMBER('SW OpInc'!G56),ISNUMBER('SW Rev'!G56),'SW Rev'!K56&gt;0,'SW Rev'!G56&gt;0),('SW OpInc'!K56/'SW Rev'!K56-'SW OpInc'!G56/'SW Rev'!G56)*10000,""),"")</f>
        <v/>
      </c>
      <c r="H669" s="43">
        <f>IFERROR(IF(AND(ISNUMBER('SW OpInc'!L56),ISNUMBER('SW Rev'!L56),ISNUMBER('SW OpInc'!H56),ISNUMBER('SW Rev'!H56),'SW Rev'!L56&gt;0,'SW Rev'!H56&gt;0),('SW OpInc'!L56/'SW Rev'!L56-'SW OpInc'!H56/'SW Rev'!H56)*10000,""),"")</f>
        <v/>
      </c>
      <c r="I669" s="43">
        <f>IFERROR(IF(AND(ISNUMBER('SW OpInc'!M56),ISNUMBER('SW Rev'!M56),ISNUMBER('SW OpInc'!I56),ISNUMBER('SW Rev'!I56),'SW Rev'!M56&gt;0,'SW Rev'!I56&gt;0),('SW OpInc'!M56/'SW Rev'!M56-'SW OpInc'!I56/'SW Rev'!I56)*10000,""),"")</f>
        <v/>
      </c>
      <c r="J669" s="43">
        <f>IFERROR(IF(AND(ISNUMBER('SW OpInc'!N56),ISNUMBER('SW Rev'!N56),ISNUMBER('SW OpInc'!J56),ISNUMBER('SW Rev'!J56),'SW Rev'!N56&gt;0,'SW Rev'!J56&gt;0),('SW OpInc'!N56/'SW Rev'!N56-'SW OpInc'!J56/'SW Rev'!J56)*10000,""),"")</f>
        <v/>
      </c>
      <c r="K669" s="43">
        <f>IFERROR(IF(AND(ISNUMBER('SW OpInc'!O56),ISNUMBER('SW Rev'!O56),ISNUMBER('SW OpInc'!K56),ISNUMBER('SW Rev'!K56),'SW Rev'!O56&gt;0,'SW Rev'!K56&gt;0),('SW OpInc'!O56/'SW Rev'!O56-'SW OpInc'!K56/'SW Rev'!K56)*10000,""),"")</f>
        <v/>
      </c>
      <c r="L669" s="43">
        <f>IFERROR(IF(AND(ISNUMBER('SW OpInc'!P56),ISNUMBER('SW Rev'!P56),ISNUMBER('SW OpInc'!L56),ISNUMBER('SW Rev'!L56),'SW Rev'!P56&gt;0,'SW Rev'!L56&gt;0),('SW OpInc'!P56/'SW Rev'!P56-'SW OpInc'!L56/'SW Rev'!L56)*10000,""),"")</f>
        <v/>
      </c>
      <c r="M669" s="44">
        <f>IFERROR(IF(AND(ISNUMBER('SW OpInc'!Q56),ISNUMBER('SW Rev'!Q56),ISNUMBER('SW OpInc'!M56),ISNUMBER('SW Rev'!M56),'SW Rev'!Q56&gt;0,'SW Rev'!M56&gt;0),('SW OpInc'!Q56/'SW Rev'!Q56-'SW OpInc'!M56/'SW Rev'!M56)*10000,""),"")</f>
        <v/>
      </c>
      <c r="N669" s="44">
        <f>IFERROR(IF(AND(ISNUMBER('SW OpInc'!R56),ISNUMBER('SW Rev'!R56),ISNUMBER('SW OpInc'!N56),ISNUMBER('SW Rev'!N56),'SW Rev'!R56&gt;0,'SW Rev'!N56&gt;0),('SW OpInc'!R56/'SW Rev'!R56-'SW OpInc'!N56/'SW Rev'!N56)*10000,""),"")</f>
        <v/>
      </c>
    </row>
    <row r="670">
      <c r="A670" s="19">
        <f>'SW Rev'!$A57</f>
        <v/>
      </c>
      <c r="B670" s="19">
        <f>'SW Rev'!$B57</f>
        <v/>
      </c>
      <c r="C670" s="43">
        <f>IFERROR(IF(AND(ISNUMBER('SW OpInc'!G57),ISNUMBER('SW Rev'!G57),ISNUMBER('SW OpInc'!C57),ISNUMBER('SW Rev'!C57),'SW Rev'!G57&gt;0,'SW Rev'!C57&gt;0),('SW OpInc'!G57/'SW Rev'!G57-'SW OpInc'!C57/'SW Rev'!C57)*10000,""),"")</f>
        <v/>
      </c>
      <c r="D670" s="43">
        <f>IFERROR(IF(AND(ISNUMBER('SW OpInc'!H57),ISNUMBER('SW Rev'!H57),ISNUMBER('SW OpInc'!D57),ISNUMBER('SW Rev'!D57),'SW Rev'!H57&gt;0,'SW Rev'!D57&gt;0),('SW OpInc'!H57/'SW Rev'!H57-'SW OpInc'!D57/'SW Rev'!D57)*10000,""),"")</f>
        <v/>
      </c>
      <c r="E670" s="43">
        <f>IFERROR(IF(AND(ISNUMBER('SW OpInc'!I57),ISNUMBER('SW Rev'!I57),ISNUMBER('SW OpInc'!E57),ISNUMBER('SW Rev'!E57),'SW Rev'!I57&gt;0,'SW Rev'!E57&gt;0),('SW OpInc'!I57/'SW Rev'!I57-'SW OpInc'!E57/'SW Rev'!E57)*10000,""),"")</f>
        <v/>
      </c>
      <c r="F670" s="43">
        <f>IFERROR(IF(AND(ISNUMBER('SW OpInc'!J57),ISNUMBER('SW Rev'!J57),ISNUMBER('SW OpInc'!F57),ISNUMBER('SW Rev'!F57),'SW Rev'!J57&gt;0,'SW Rev'!F57&gt;0),('SW OpInc'!J57/'SW Rev'!J57-'SW OpInc'!F57/'SW Rev'!F57)*10000,""),"")</f>
        <v/>
      </c>
      <c r="G670" s="43">
        <f>IFERROR(IF(AND(ISNUMBER('SW OpInc'!K57),ISNUMBER('SW Rev'!K57),ISNUMBER('SW OpInc'!G57),ISNUMBER('SW Rev'!G57),'SW Rev'!K57&gt;0,'SW Rev'!G57&gt;0),('SW OpInc'!K57/'SW Rev'!K57-'SW OpInc'!G57/'SW Rev'!G57)*10000,""),"")</f>
        <v/>
      </c>
      <c r="H670" s="43">
        <f>IFERROR(IF(AND(ISNUMBER('SW OpInc'!L57),ISNUMBER('SW Rev'!L57),ISNUMBER('SW OpInc'!H57),ISNUMBER('SW Rev'!H57),'SW Rev'!L57&gt;0,'SW Rev'!H57&gt;0),('SW OpInc'!L57/'SW Rev'!L57-'SW OpInc'!H57/'SW Rev'!H57)*10000,""),"")</f>
        <v/>
      </c>
      <c r="I670" s="43">
        <f>IFERROR(IF(AND(ISNUMBER('SW OpInc'!M57),ISNUMBER('SW Rev'!M57),ISNUMBER('SW OpInc'!I57),ISNUMBER('SW Rev'!I57),'SW Rev'!M57&gt;0,'SW Rev'!I57&gt;0),('SW OpInc'!M57/'SW Rev'!M57-'SW OpInc'!I57/'SW Rev'!I57)*10000,""),"")</f>
        <v/>
      </c>
      <c r="J670" s="43">
        <f>IFERROR(IF(AND(ISNUMBER('SW OpInc'!N57),ISNUMBER('SW Rev'!N57),ISNUMBER('SW OpInc'!J57),ISNUMBER('SW Rev'!J57),'SW Rev'!N57&gt;0,'SW Rev'!J57&gt;0),('SW OpInc'!N57/'SW Rev'!N57-'SW OpInc'!J57/'SW Rev'!J57)*10000,""),"")</f>
        <v/>
      </c>
      <c r="K670" s="43">
        <f>IFERROR(IF(AND(ISNUMBER('SW OpInc'!O57),ISNUMBER('SW Rev'!O57),ISNUMBER('SW OpInc'!K57),ISNUMBER('SW Rev'!K57),'SW Rev'!O57&gt;0,'SW Rev'!K57&gt;0),('SW OpInc'!O57/'SW Rev'!O57-'SW OpInc'!K57/'SW Rev'!K57)*10000,""),"")</f>
        <v/>
      </c>
      <c r="L670" s="43">
        <f>IFERROR(IF(AND(ISNUMBER('SW OpInc'!P57),ISNUMBER('SW Rev'!P57),ISNUMBER('SW OpInc'!L57),ISNUMBER('SW Rev'!L57),'SW Rev'!P57&gt;0,'SW Rev'!L57&gt;0),('SW OpInc'!P57/'SW Rev'!P57-'SW OpInc'!L57/'SW Rev'!L57)*10000,""),"")</f>
        <v/>
      </c>
      <c r="M670" s="44">
        <f>IFERROR(IF(AND(ISNUMBER('SW OpInc'!Q57),ISNUMBER('SW Rev'!Q57),ISNUMBER('SW OpInc'!M57),ISNUMBER('SW Rev'!M57),'SW Rev'!Q57&gt;0,'SW Rev'!M57&gt;0),('SW OpInc'!Q57/'SW Rev'!Q57-'SW OpInc'!M57/'SW Rev'!M57)*10000,""),"")</f>
        <v/>
      </c>
      <c r="N670" s="44">
        <f>IFERROR(IF(AND(ISNUMBER('SW OpInc'!R57),ISNUMBER('SW Rev'!R57),ISNUMBER('SW OpInc'!N57),ISNUMBER('SW Rev'!N57),'SW Rev'!R57&gt;0,'SW Rev'!N57&gt;0),('SW OpInc'!R57/'SW Rev'!R57-'SW OpInc'!N57/'SW Rev'!N57)*10000,""),"")</f>
        <v/>
      </c>
    </row>
    <row r="671">
      <c r="A671" s="19">
        <f>'SW Rev'!$A58</f>
        <v/>
      </c>
      <c r="B671" s="19">
        <f>'SW Rev'!$B58</f>
        <v/>
      </c>
      <c r="C671" s="43">
        <f>IFERROR(IF(AND(ISNUMBER('SW OpInc'!G58),ISNUMBER('SW Rev'!G58),ISNUMBER('SW OpInc'!C58),ISNUMBER('SW Rev'!C58),'SW Rev'!G58&gt;0,'SW Rev'!C58&gt;0),('SW OpInc'!G58/'SW Rev'!G58-'SW OpInc'!C58/'SW Rev'!C58)*10000,""),"")</f>
        <v/>
      </c>
      <c r="D671" s="43">
        <f>IFERROR(IF(AND(ISNUMBER('SW OpInc'!H58),ISNUMBER('SW Rev'!H58),ISNUMBER('SW OpInc'!D58),ISNUMBER('SW Rev'!D58),'SW Rev'!H58&gt;0,'SW Rev'!D58&gt;0),('SW OpInc'!H58/'SW Rev'!H58-'SW OpInc'!D58/'SW Rev'!D58)*10000,""),"")</f>
        <v/>
      </c>
      <c r="E671" s="43">
        <f>IFERROR(IF(AND(ISNUMBER('SW OpInc'!I58),ISNUMBER('SW Rev'!I58),ISNUMBER('SW OpInc'!E58),ISNUMBER('SW Rev'!E58),'SW Rev'!I58&gt;0,'SW Rev'!E58&gt;0),('SW OpInc'!I58/'SW Rev'!I58-'SW OpInc'!E58/'SW Rev'!E58)*10000,""),"")</f>
        <v/>
      </c>
      <c r="F671" s="43">
        <f>IFERROR(IF(AND(ISNUMBER('SW OpInc'!J58),ISNUMBER('SW Rev'!J58),ISNUMBER('SW OpInc'!F58),ISNUMBER('SW Rev'!F58),'SW Rev'!J58&gt;0,'SW Rev'!F58&gt;0),('SW OpInc'!J58/'SW Rev'!J58-'SW OpInc'!F58/'SW Rev'!F58)*10000,""),"")</f>
        <v/>
      </c>
      <c r="G671" s="43">
        <f>IFERROR(IF(AND(ISNUMBER('SW OpInc'!K58),ISNUMBER('SW Rev'!K58),ISNUMBER('SW OpInc'!G58),ISNUMBER('SW Rev'!G58),'SW Rev'!K58&gt;0,'SW Rev'!G58&gt;0),('SW OpInc'!K58/'SW Rev'!K58-'SW OpInc'!G58/'SW Rev'!G58)*10000,""),"")</f>
        <v/>
      </c>
      <c r="H671" s="43">
        <f>IFERROR(IF(AND(ISNUMBER('SW OpInc'!L58),ISNUMBER('SW Rev'!L58),ISNUMBER('SW OpInc'!H58),ISNUMBER('SW Rev'!H58),'SW Rev'!L58&gt;0,'SW Rev'!H58&gt;0),('SW OpInc'!L58/'SW Rev'!L58-'SW OpInc'!H58/'SW Rev'!H58)*10000,""),"")</f>
        <v/>
      </c>
      <c r="I671" s="43">
        <f>IFERROR(IF(AND(ISNUMBER('SW OpInc'!M58),ISNUMBER('SW Rev'!M58),ISNUMBER('SW OpInc'!I58),ISNUMBER('SW Rev'!I58),'SW Rev'!M58&gt;0,'SW Rev'!I58&gt;0),('SW OpInc'!M58/'SW Rev'!M58-'SW OpInc'!I58/'SW Rev'!I58)*10000,""),"")</f>
        <v/>
      </c>
      <c r="J671" s="43">
        <f>IFERROR(IF(AND(ISNUMBER('SW OpInc'!N58),ISNUMBER('SW Rev'!N58),ISNUMBER('SW OpInc'!J58),ISNUMBER('SW Rev'!J58),'SW Rev'!N58&gt;0,'SW Rev'!J58&gt;0),('SW OpInc'!N58/'SW Rev'!N58-'SW OpInc'!J58/'SW Rev'!J58)*10000,""),"")</f>
        <v/>
      </c>
      <c r="K671" s="43">
        <f>IFERROR(IF(AND(ISNUMBER('SW OpInc'!O58),ISNUMBER('SW Rev'!O58),ISNUMBER('SW OpInc'!K58),ISNUMBER('SW Rev'!K58),'SW Rev'!O58&gt;0,'SW Rev'!K58&gt;0),('SW OpInc'!O58/'SW Rev'!O58-'SW OpInc'!K58/'SW Rev'!K58)*10000,""),"")</f>
        <v/>
      </c>
      <c r="L671" s="43">
        <f>IFERROR(IF(AND(ISNUMBER('SW OpInc'!P58),ISNUMBER('SW Rev'!P58),ISNUMBER('SW OpInc'!L58),ISNUMBER('SW Rev'!L58),'SW Rev'!P58&gt;0,'SW Rev'!L58&gt;0),('SW OpInc'!P58/'SW Rev'!P58-'SW OpInc'!L58/'SW Rev'!L58)*10000,""),"")</f>
        <v/>
      </c>
      <c r="M671" s="44">
        <f>IFERROR(IF(AND(ISNUMBER('SW OpInc'!Q58),ISNUMBER('SW Rev'!Q58),ISNUMBER('SW OpInc'!M58),ISNUMBER('SW Rev'!M58),'SW Rev'!Q58&gt;0,'SW Rev'!M58&gt;0),('SW OpInc'!Q58/'SW Rev'!Q58-'SW OpInc'!M58/'SW Rev'!M58)*10000,""),"")</f>
        <v/>
      </c>
      <c r="N671" s="44">
        <f>IFERROR(IF(AND(ISNUMBER('SW OpInc'!R58),ISNUMBER('SW Rev'!R58),ISNUMBER('SW OpInc'!N58),ISNUMBER('SW Rev'!N58),'SW Rev'!R58&gt;0,'SW Rev'!N58&gt;0),('SW OpInc'!R58/'SW Rev'!R58-'SW OpInc'!N58/'SW Rev'!N58)*10000,""),"")</f>
        <v/>
      </c>
    </row>
    <row r="672">
      <c r="A672" s="19">
        <f>'SW Rev'!$A59</f>
        <v/>
      </c>
      <c r="B672" s="19">
        <f>'SW Rev'!$B59</f>
        <v/>
      </c>
      <c r="C672" s="43">
        <f>IFERROR(IF(AND(ISNUMBER('SW OpInc'!G59),ISNUMBER('SW Rev'!G59),ISNUMBER('SW OpInc'!C59),ISNUMBER('SW Rev'!C59),'SW Rev'!G59&gt;0,'SW Rev'!C59&gt;0),('SW OpInc'!G59/'SW Rev'!G59-'SW OpInc'!C59/'SW Rev'!C59)*10000,""),"")</f>
        <v/>
      </c>
      <c r="D672" s="43">
        <f>IFERROR(IF(AND(ISNUMBER('SW OpInc'!H59),ISNUMBER('SW Rev'!H59),ISNUMBER('SW OpInc'!D59),ISNUMBER('SW Rev'!D59),'SW Rev'!H59&gt;0,'SW Rev'!D59&gt;0),('SW OpInc'!H59/'SW Rev'!H59-'SW OpInc'!D59/'SW Rev'!D59)*10000,""),"")</f>
        <v/>
      </c>
      <c r="E672" s="43">
        <f>IFERROR(IF(AND(ISNUMBER('SW OpInc'!I59),ISNUMBER('SW Rev'!I59),ISNUMBER('SW OpInc'!E59),ISNUMBER('SW Rev'!E59),'SW Rev'!I59&gt;0,'SW Rev'!E59&gt;0),('SW OpInc'!I59/'SW Rev'!I59-'SW OpInc'!E59/'SW Rev'!E59)*10000,""),"")</f>
        <v/>
      </c>
      <c r="F672" s="43">
        <f>IFERROR(IF(AND(ISNUMBER('SW OpInc'!J59),ISNUMBER('SW Rev'!J59),ISNUMBER('SW OpInc'!F59),ISNUMBER('SW Rev'!F59),'SW Rev'!J59&gt;0,'SW Rev'!F59&gt;0),('SW OpInc'!J59/'SW Rev'!J59-'SW OpInc'!F59/'SW Rev'!F59)*10000,""),"")</f>
        <v/>
      </c>
      <c r="G672" s="43">
        <f>IFERROR(IF(AND(ISNUMBER('SW OpInc'!K59),ISNUMBER('SW Rev'!K59),ISNUMBER('SW OpInc'!G59),ISNUMBER('SW Rev'!G59),'SW Rev'!K59&gt;0,'SW Rev'!G59&gt;0),('SW OpInc'!K59/'SW Rev'!K59-'SW OpInc'!G59/'SW Rev'!G59)*10000,""),"")</f>
        <v/>
      </c>
      <c r="H672" s="43">
        <f>IFERROR(IF(AND(ISNUMBER('SW OpInc'!L59),ISNUMBER('SW Rev'!L59),ISNUMBER('SW OpInc'!H59),ISNUMBER('SW Rev'!H59),'SW Rev'!L59&gt;0,'SW Rev'!H59&gt;0),('SW OpInc'!L59/'SW Rev'!L59-'SW OpInc'!H59/'SW Rev'!H59)*10000,""),"")</f>
        <v/>
      </c>
      <c r="I672" s="43">
        <f>IFERROR(IF(AND(ISNUMBER('SW OpInc'!M59),ISNUMBER('SW Rev'!M59),ISNUMBER('SW OpInc'!I59),ISNUMBER('SW Rev'!I59),'SW Rev'!M59&gt;0,'SW Rev'!I59&gt;0),('SW OpInc'!M59/'SW Rev'!M59-'SW OpInc'!I59/'SW Rev'!I59)*10000,""),"")</f>
        <v/>
      </c>
      <c r="J672" s="43">
        <f>IFERROR(IF(AND(ISNUMBER('SW OpInc'!N59),ISNUMBER('SW Rev'!N59),ISNUMBER('SW OpInc'!J59),ISNUMBER('SW Rev'!J59),'SW Rev'!N59&gt;0,'SW Rev'!J59&gt;0),('SW OpInc'!N59/'SW Rev'!N59-'SW OpInc'!J59/'SW Rev'!J59)*10000,""),"")</f>
        <v/>
      </c>
      <c r="K672" s="43">
        <f>IFERROR(IF(AND(ISNUMBER('SW OpInc'!O59),ISNUMBER('SW Rev'!O59),ISNUMBER('SW OpInc'!K59),ISNUMBER('SW Rev'!K59),'SW Rev'!O59&gt;0,'SW Rev'!K59&gt;0),('SW OpInc'!O59/'SW Rev'!O59-'SW OpInc'!K59/'SW Rev'!K59)*10000,""),"")</f>
        <v/>
      </c>
      <c r="L672" s="43">
        <f>IFERROR(IF(AND(ISNUMBER('SW OpInc'!P59),ISNUMBER('SW Rev'!P59),ISNUMBER('SW OpInc'!L59),ISNUMBER('SW Rev'!L59),'SW Rev'!P59&gt;0,'SW Rev'!L59&gt;0),('SW OpInc'!P59/'SW Rev'!P59-'SW OpInc'!L59/'SW Rev'!L59)*10000,""),"")</f>
        <v/>
      </c>
      <c r="M672" s="44">
        <f>IFERROR(IF(AND(ISNUMBER('SW OpInc'!Q59),ISNUMBER('SW Rev'!Q59),ISNUMBER('SW OpInc'!M59),ISNUMBER('SW Rev'!M59),'SW Rev'!Q59&gt;0,'SW Rev'!M59&gt;0),('SW OpInc'!Q59/'SW Rev'!Q59-'SW OpInc'!M59/'SW Rev'!M59)*10000,""),"")</f>
        <v/>
      </c>
      <c r="N672" s="44">
        <f>IFERROR(IF(AND(ISNUMBER('SW OpInc'!R59),ISNUMBER('SW Rev'!R59),ISNUMBER('SW OpInc'!N59),ISNUMBER('SW Rev'!N59),'SW Rev'!R59&gt;0,'SW Rev'!N59&gt;0),('SW OpInc'!R59/'SW Rev'!R59-'SW OpInc'!N59/'SW Rev'!N59)*10000,""),"")</f>
        <v/>
      </c>
    </row>
    <row r="673">
      <c r="A673" s="19">
        <f>'SW Rev'!$A60</f>
        <v/>
      </c>
      <c r="B673" s="19">
        <f>'SW Rev'!$B60</f>
        <v/>
      </c>
      <c r="C673" s="43">
        <f>IFERROR(IF(AND(ISNUMBER('SW OpInc'!G60),ISNUMBER('SW Rev'!G60),ISNUMBER('SW OpInc'!C60),ISNUMBER('SW Rev'!C60),'SW Rev'!G60&gt;0,'SW Rev'!C60&gt;0),('SW OpInc'!G60/'SW Rev'!G60-'SW OpInc'!C60/'SW Rev'!C60)*10000,""),"")</f>
        <v/>
      </c>
      <c r="D673" s="43">
        <f>IFERROR(IF(AND(ISNUMBER('SW OpInc'!H60),ISNUMBER('SW Rev'!H60),ISNUMBER('SW OpInc'!D60),ISNUMBER('SW Rev'!D60),'SW Rev'!H60&gt;0,'SW Rev'!D60&gt;0),('SW OpInc'!H60/'SW Rev'!H60-'SW OpInc'!D60/'SW Rev'!D60)*10000,""),"")</f>
        <v/>
      </c>
      <c r="E673" s="43">
        <f>IFERROR(IF(AND(ISNUMBER('SW OpInc'!I60),ISNUMBER('SW Rev'!I60),ISNUMBER('SW OpInc'!E60),ISNUMBER('SW Rev'!E60),'SW Rev'!I60&gt;0,'SW Rev'!E60&gt;0),('SW OpInc'!I60/'SW Rev'!I60-'SW OpInc'!E60/'SW Rev'!E60)*10000,""),"")</f>
        <v/>
      </c>
      <c r="F673" s="43">
        <f>IFERROR(IF(AND(ISNUMBER('SW OpInc'!J60),ISNUMBER('SW Rev'!J60),ISNUMBER('SW OpInc'!F60),ISNUMBER('SW Rev'!F60),'SW Rev'!J60&gt;0,'SW Rev'!F60&gt;0),('SW OpInc'!J60/'SW Rev'!J60-'SW OpInc'!F60/'SW Rev'!F60)*10000,""),"")</f>
        <v/>
      </c>
      <c r="G673" s="43">
        <f>IFERROR(IF(AND(ISNUMBER('SW OpInc'!K60),ISNUMBER('SW Rev'!K60),ISNUMBER('SW OpInc'!G60),ISNUMBER('SW Rev'!G60),'SW Rev'!K60&gt;0,'SW Rev'!G60&gt;0),('SW OpInc'!K60/'SW Rev'!K60-'SW OpInc'!G60/'SW Rev'!G60)*10000,""),"")</f>
        <v/>
      </c>
      <c r="H673" s="43">
        <f>IFERROR(IF(AND(ISNUMBER('SW OpInc'!L60),ISNUMBER('SW Rev'!L60),ISNUMBER('SW OpInc'!H60),ISNUMBER('SW Rev'!H60),'SW Rev'!L60&gt;0,'SW Rev'!H60&gt;0),('SW OpInc'!L60/'SW Rev'!L60-'SW OpInc'!H60/'SW Rev'!H60)*10000,""),"")</f>
        <v/>
      </c>
      <c r="I673" s="43">
        <f>IFERROR(IF(AND(ISNUMBER('SW OpInc'!M60),ISNUMBER('SW Rev'!M60),ISNUMBER('SW OpInc'!I60),ISNUMBER('SW Rev'!I60),'SW Rev'!M60&gt;0,'SW Rev'!I60&gt;0),('SW OpInc'!M60/'SW Rev'!M60-'SW OpInc'!I60/'SW Rev'!I60)*10000,""),"")</f>
        <v/>
      </c>
      <c r="J673" s="43">
        <f>IFERROR(IF(AND(ISNUMBER('SW OpInc'!N60),ISNUMBER('SW Rev'!N60),ISNUMBER('SW OpInc'!J60),ISNUMBER('SW Rev'!J60),'SW Rev'!N60&gt;0,'SW Rev'!J60&gt;0),('SW OpInc'!N60/'SW Rev'!N60-'SW OpInc'!J60/'SW Rev'!J60)*10000,""),"")</f>
        <v/>
      </c>
      <c r="K673" s="43">
        <f>IFERROR(IF(AND(ISNUMBER('SW OpInc'!O60),ISNUMBER('SW Rev'!O60),ISNUMBER('SW OpInc'!K60),ISNUMBER('SW Rev'!K60),'SW Rev'!O60&gt;0,'SW Rev'!K60&gt;0),('SW OpInc'!O60/'SW Rev'!O60-'SW OpInc'!K60/'SW Rev'!K60)*10000,""),"")</f>
        <v/>
      </c>
      <c r="L673" s="43">
        <f>IFERROR(IF(AND(ISNUMBER('SW OpInc'!P60),ISNUMBER('SW Rev'!P60),ISNUMBER('SW OpInc'!L60),ISNUMBER('SW Rev'!L60),'SW Rev'!P60&gt;0,'SW Rev'!L60&gt;0),('SW OpInc'!P60/'SW Rev'!P60-'SW OpInc'!L60/'SW Rev'!L60)*10000,""),"")</f>
        <v/>
      </c>
      <c r="M673" s="44">
        <f>IFERROR(IF(AND(ISNUMBER('SW OpInc'!Q60),ISNUMBER('SW Rev'!Q60),ISNUMBER('SW OpInc'!M60),ISNUMBER('SW Rev'!M60),'SW Rev'!Q60&gt;0,'SW Rev'!M60&gt;0),('SW OpInc'!Q60/'SW Rev'!Q60-'SW OpInc'!M60/'SW Rev'!M60)*10000,""),"")</f>
        <v/>
      </c>
      <c r="N673" s="44">
        <f>IFERROR(IF(AND(ISNUMBER('SW OpInc'!R60),ISNUMBER('SW Rev'!R60),ISNUMBER('SW OpInc'!N60),ISNUMBER('SW Rev'!N60),'SW Rev'!R60&gt;0,'SW Rev'!N60&gt;0),('SW OpInc'!R60/'SW Rev'!R60-'SW OpInc'!N60/'SW Rev'!N60)*10000,""),"")</f>
        <v/>
      </c>
    </row>
    <row r="674">
      <c r="A674" s="19">
        <f>'SW Rev'!$A61</f>
        <v/>
      </c>
      <c r="B674" s="19">
        <f>'SW Rev'!$B61</f>
        <v/>
      </c>
      <c r="C674" s="43">
        <f>IFERROR(IF(AND(ISNUMBER('SW OpInc'!G61),ISNUMBER('SW Rev'!G61),ISNUMBER('SW OpInc'!C61),ISNUMBER('SW Rev'!C61),'SW Rev'!G61&gt;0,'SW Rev'!C61&gt;0),('SW OpInc'!G61/'SW Rev'!G61-'SW OpInc'!C61/'SW Rev'!C61)*10000,""),"")</f>
        <v/>
      </c>
      <c r="D674" s="43">
        <f>IFERROR(IF(AND(ISNUMBER('SW OpInc'!H61),ISNUMBER('SW Rev'!H61),ISNUMBER('SW OpInc'!D61),ISNUMBER('SW Rev'!D61),'SW Rev'!H61&gt;0,'SW Rev'!D61&gt;0),('SW OpInc'!H61/'SW Rev'!H61-'SW OpInc'!D61/'SW Rev'!D61)*10000,""),"")</f>
        <v/>
      </c>
      <c r="E674" s="43">
        <f>IFERROR(IF(AND(ISNUMBER('SW OpInc'!I61),ISNUMBER('SW Rev'!I61),ISNUMBER('SW OpInc'!E61),ISNUMBER('SW Rev'!E61),'SW Rev'!I61&gt;0,'SW Rev'!E61&gt;0),('SW OpInc'!I61/'SW Rev'!I61-'SW OpInc'!E61/'SW Rev'!E61)*10000,""),"")</f>
        <v/>
      </c>
      <c r="F674" s="43">
        <f>IFERROR(IF(AND(ISNUMBER('SW OpInc'!J61),ISNUMBER('SW Rev'!J61),ISNUMBER('SW OpInc'!F61),ISNUMBER('SW Rev'!F61),'SW Rev'!J61&gt;0,'SW Rev'!F61&gt;0),('SW OpInc'!J61/'SW Rev'!J61-'SW OpInc'!F61/'SW Rev'!F61)*10000,""),"")</f>
        <v/>
      </c>
      <c r="G674" s="43">
        <f>IFERROR(IF(AND(ISNUMBER('SW OpInc'!K61),ISNUMBER('SW Rev'!K61),ISNUMBER('SW OpInc'!G61),ISNUMBER('SW Rev'!G61),'SW Rev'!K61&gt;0,'SW Rev'!G61&gt;0),('SW OpInc'!K61/'SW Rev'!K61-'SW OpInc'!G61/'SW Rev'!G61)*10000,""),"")</f>
        <v/>
      </c>
      <c r="H674" s="43">
        <f>IFERROR(IF(AND(ISNUMBER('SW OpInc'!L61),ISNUMBER('SW Rev'!L61),ISNUMBER('SW OpInc'!H61),ISNUMBER('SW Rev'!H61),'SW Rev'!L61&gt;0,'SW Rev'!H61&gt;0),('SW OpInc'!L61/'SW Rev'!L61-'SW OpInc'!H61/'SW Rev'!H61)*10000,""),"")</f>
        <v/>
      </c>
      <c r="I674" s="43">
        <f>IFERROR(IF(AND(ISNUMBER('SW OpInc'!M61),ISNUMBER('SW Rev'!M61),ISNUMBER('SW OpInc'!I61),ISNUMBER('SW Rev'!I61),'SW Rev'!M61&gt;0,'SW Rev'!I61&gt;0),('SW OpInc'!M61/'SW Rev'!M61-'SW OpInc'!I61/'SW Rev'!I61)*10000,""),"")</f>
        <v/>
      </c>
      <c r="J674" s="43">
        <f>IFERROR(IF(AND(ISNUMBER('SW OpInc'!N61),ISNUMBER('SW Rev'!N61),ISNUMBER('SW OpInc'!J61),ISNUMBER('SW Rev'!J61),'SW Rev'!N61&gt;0,'SW Rev'!J61&gt;0),('SW OpInc'!N61/'SW Rev'!N61-'SW OpInc'!J61/'SW Rev'!J61)*10000,""),"")</f>
        <v/>
      </c>
      <c r="K674" s="43">
        <f>IFERROR(IF(AND(ISNUMBER('SW OpInc'!O61),ISNUMBER('SW Rev'!O61),ISNUMBER('SW OpInc'!K61),ISNUMBER('SW Rev'!K61),'SW Rev'!O61&gt;0,'SW Rev'!K61&gt;0),('SW OpInc'!O61/'SW Rev'!O61-'SW OpInc'!K61/'SW Rev'!K61)*10000,""),"")</f>
        <v/>
      </c>
      <c r="L674" s="43">
        <f>IFERROR(IF(AND(ISNUMBER('SW OpInc'!P61),ISNUMBER('SW Rev'!P61),ISNUMBER('SW OpInc'!L61),ISNUMBER('SW Rev'!L61),'SW Rev'!P61&gt;0,'SW Rev'!L61&gt;0),('SW OpInc'!P61/'SW Rev'!P61-'SW OpInc'!L61/'SW Rev'!L61)*10000,""),"")</f>
        <v/>
      </c>
      <c r="M674" s="44">
        <f>IFERROR(IF(AND(ISNUMBER('SW OpInc'!Q61),ISNUMBER('SW Rev'!Q61),ISNUMBER('SW OpInc'!M61),ISNUMBER('SW Rev'!M61),'SW Rev'!Q61&gt;0,'SW Rev'!M61&gt;0),('SW OpInc'!Q61/'SW Rev'!Q61-'SW OpInc'!M61/'SW Rev'!M61)*10000,""),"")</f>
        <v/>
      </c>
      <c r="N674" s="44">
        <f>IFERROR(IF(AND(ISNUMBER('SW OpInc'!R61),ISNUMBER('SW Rev'!R61),ISNUMBER('SW OpInc'!N61),ISNUMBER('SW Rev'!N61),'SW Rev'!R61&gt;0,'SW Rev'!N61&gt;0),('SW OpInc'!R61/'SW Rev'!R61-'SW OpInc'!N61/'SW Rev'!N61)*10000,""),"")</f>
        <v/>
      </c>
    </row>
    <row r="675">
      <c r="A675" s="19">
        <f>'SW Rev'!$A62</f>
        <v/>
      </c>
      <c r="B675" s="19">
        <f>'SW Rev'!$B62</f>
        <v/>
      </c>
      <c r="C675" s="43">
        <f>IFERROR(IF(AND(ISNUMBER('SW OpInc'!G62),ISNUMBER('SW Rev'!G62),ISNUMBER('SW OpInc'!C62),ISNUMBER('SW Rev'!C62),'SW Rev'!G62&gt;0,'SW Rev'!C62&gt;0),('SW OpInc'!G62/'SW Rev'!G62-'SW OpInc'!C62/'SW Rev'!C62)*10000,""),"")</f>
        <v/>
      </c>
      <c r="D675" s="43">
        <f>IFERROR(IF(AND(ISNUMBER('SW OpInc'!H62),ISNUMBER('SW Rev'!H62),ISNUMBER('SW OpInc'!D62),ISNUMBER('SW Rev'!D62),'SW Rev'!H62&gt;0,'SW Rev'!D62&gt;0),('SW OpInc'!H62/'SW Rev'!H62-'SW OpInc'!D62/'SW Rev'!D62)*10000,""),"")</f>
        <v/>
      </c>
      <c r="E675" s="43">
        <f>IFERROR(IF(AND(ISNUMBER('SW OpInc'!I62),ISNUMBER('SW Rev'!I62),ISNUMBER('SW OpInc'!E62),ISNUMBER('SW Rev'!E62),'SW Rev'!I62&gt;0,'SW Rev'!E62&gt;0),('SW OpInc'!I62/'SW Rev'!I62-'SW OpInc'!E62/'SW Rev'!E62)*10000,""),"")</f>
        <v/>
      </c>
      <c r="F675" s="43">
        <f>IFERROR(IF(AND(ISNUMBER('SW OpInc'!J62),ISNUMBER('SW Rev'!J62),ISNUMBER('SW OpInc'!F62),ISNUMBER('SW Rev'!F62),'SW Rev'!J62&gt;0,'SW Rev'!F62&gt;0),('SW OpInc'!J62/'SW Rev'!J62-'SW OpInc'!F62/'SW Rev'!F62)*10000,""),"")</f>
        <v/>
      </c>
      <c r="G675" s="43">
        <f>IFERROR(IF(AND(ISNUMBER('SW OpInc'!K62),ISNUMBER('SW Rev'!K62),ISNUMBER('SW OpInc'!G62),ISNUMBER('SW Rev'!G62),'SW Rev'!K62&gt;0,'SW Rev'!G62&gt;0),('SW OpInc'!K62/'SW Rev'!K62-'SW OpInc'!G62/'SW Rev'!G62)*10000,""),"")</f>
        <v/>
      </c>
      <c r="H675" s="43">
        <f>IFERROR(IF(AND(ISNUMBER('SW OpInc'!L62),ISNUMBER('SW Rev'!L62),ISNUMBER('SW OpInc'!H62),ISNUMBER('SW Rev'!H62),'SW Rev'!L62&gt;0,'SW Rev'!H62&gt;0),('SW OpInc'!L62/'SW Rev'!L62-'SW OpInc'!H62/'SW Rev'!H62)*10000,""),"")</f>
        <v/>
      </c>
      <c r="I675" s="43">
        <f>IFERROR(IF(AND(ISNUMBER('SW OpInc'!M62),ISNUMBER('SW Rev'!M62),ISNUMBER('SW OpInc'!I62),ISNUMBER('SW Rev'!I62),'SW Rev'!M62&gt;0,'SW Rev'!I62&gt;0),('SW OpInc'!M62/'SW Rev'!M62-'SW OpInc'!I62/'SW Rev'!I62)*10000,""),"")</f>
        <v/>
      </c>
      <c r="J675" s="43">
        <f>IFERROR(IF(AND(ISNUMBER('SW OpInc'!N62),ISNUMBER('SW Rev'!N62),ISNUMBER('SW OpInc'!J62),ISNUMBER('SW Rev'!J62),'SW Rev'!N62&gt;0,'SW Rev'!J62&gt;0),('SW OpInc'!N62/'SW Rev'!N62-'SW OpInc'!J62/'SW Rev'!J62)*10000,""),"")</f>
        <v/>
      </c>
      <c r="K675" s="43">
        <f>IFERROR(IF(AND(ISNUMBER('SW OpInc'!O62),ISNUMBER('SW Rev'!O62),ISNUMBER('SW OpInc'!K62),ISNUMBER('SW Rev'!K62),'SW Rev'!O62&gt;0,'SW Rev'!K62&gt;0),('SW OpInc'!O62/'SW Rev'!O62-'SW OpInc'!K62/'SW Rev'!K62)*10000,""),"")</f>
        <v/>
      </c>
      <c r="L675" s="43">
        <f>IFERROR(IF(AND(ISNUMBER('SW OpInc'!P62),ISNUMBER('SW Rev'!P62),ISNUMBER('SW OpInc'!L62),ISNUMBER('SW Rev'!L62),'SW Rev'!P62&gt;0,'SW Rev'!L62&gt;0),('SW OpInc'!P62/'SW Rev'!P62-'SW OpInc'!L62/'SW Rev'!L62)*10000,""),"")</f>
        <v/>
      </c>
      <c r="M675" s="44">
        <f>IFERROR(IF(AND(ISNUMBER('SW OpInc'!Q62),ISNUMBER('SW Rev'!Q62),ISNUMBER('SW OpInc'!M62),ISNUMBER('SW Rev'!M62),'SW Rev'!Q62&gt;0,'SW Rev'!M62&gt;0),('SW OpInc'!Q62/'SW Rev'!Q62-'SW OpInc'!M62/'SW Rev'!M62)*10000,""),"")</f>
        <v/>
      </c>
      <c r="N675" s="44">
        <f>IFERROR(IF(AND(ISNUMBER('SW OpInc'!R62),ISNUMBER('SW Rev'!R62),ISNUMBER('SW OpInc'!N62),ISNUMBER('SW Rev'!N62),'SW Rev'!R62&gt;0,'SW Rev'!N62&gt;0),('SW OpInc'!R62/'SW Rev'!R62-'SW OpInc'!N62/'SW Rev'!N62)*10000,""),"")</f>
        <v/>
      </c>
    </row>
    <row r="676">
      <c r="A676" s="19">
        <f>'SW Rev'!$A63</f>
        <v/>
      </c>
      <c r="B676" s="19">
        <f>'SW Rev'!$B63</f>
        <v/>
      </c>
      <c r="C676" s="43">
        <f>IFERROR(IF(AND(ISNUMBER('SW OpInc'!G63),ISNUMBER('SW Rev'!G63),ISNUMBER('SW OpInc'!C63),ISNUMBER('SW Rev'!C63),'SW Rev'!G63&gt;0,'SW Rev'!C63&gt;0),('SW OpInc'!G63/'SW Rev'!G63-'SW OpInc'!C63/'SW Rev'!C63)*10000,""),"")</f>
        <v/>
      </c>
      <c r="D676" s="43">
        <f>IFERROR(IF(AND(ISNUMBER('SW OpInc'!H63),ISNUMBER('SW Rev'!H63),ISNUMBER('SW OpInc'!D63),ISNUMBER('SW Rev'!D63),'SW Rev'!H63&gt;0,'SW Rev'!D63&gt;0),('SW OpInc'!H63/'SW Rev'!H63-'SW OpInc'!D63/'SW Rev'!D63)*10000,""),"")</f>
        <v/>
      </c>
      <c r="E676" s="43">
        <f>IFERROR(IF(AND(ISNUMBER('SW OpInc'!I63),ISNUMBER('SW Rev'!I63),ISNUMBER('SW OpInc'!E63),ISNUMBER('SW Rev'!E63),'SW Rev'!I63&gt;0,'SW Rev'!E63&gt;0),('SW OpInc'!I63/'SW Rev'!I63-'SW OpInc'!E63/'SW Rev'!E63)*10000,""),"")</f>
        <v/>
      </c>
      <c r="F676" s="43">
        <f>IFERROR(IF(AND(ISNUMBER('SW OpInc'!J63),ISNUMBER('SW Rev'!J63),ISNUMBER('SW OpInc'!F63),ISNUMBER('SW Rev'!F63),'SW Rev'!J63&gt;0,'SW Rev'!F63&gt;0),('SW OpInc'!J63/'SW Rev'!J63-'SW OpInc'!F63/'SW Rev'!F63)*10000,""),"")</f>
        <v/>
      </c>
      <c r="G676" s="43">
        <f>IFERROR(IF(AND(ISNUMBER('SW OpInc'!K63),ISNUMBER('SW Rev'!K63),ISNUMBER('SW OpInc'!G63),ISNUMBER('SW Rev'!G63),'SW Rev'!K63&gt;0,'SW Rev'!G63&gt;0),('SW OpInc'!K63/'SW Rev'!K63-'SW OpInc'!G63/'SW Rev'!G63)*10000,""),"")</f>
        <v/>
      </c>
      <c r="H676" s="43">
        <f>IFERROR(IF(AND(ISNUMBER('SW OpInc'!L63),ISNUMBER('SW Rev'!L63),ISNUMBER('SW OpInc'!H63),ISNUMBER('SW Rev'!H63),'SW Rev'!L63&gt;0,'SW Rev'!H63&gt;0),('SW OpInc'!L63/'SW Rev'!L63-'SW OpInc'!H63/'SW Rev'!H63)*10000,""),"")</f>
        <v/>
      </c>
      <c r="I676" s="43">
        <f>IFERROR(IF(AND(ISNUMBER('SW OpInc'!M63),ISNUMBER('SW Rev'!M63),ISNUMBER('SW OpInc'!I63),ISNUMBER('SW Rev'!I63),'SW Rev'!M63&gt;0,'SW Rev'!I63&gt;0),('SW OpInc'!M63/'SW Rev'!M63-'SW OpInc'!I63/'SW Rev'!I63)*10000,""),"")</f>
        <v/>
      </c>
      <c r="J676" s="43">
        <f>IFERROR(IF(AND(ISNUMBER('SW OpInc'!N63),ISNUMBER('SW Rev'!N63),ISNUMBER('SW OpInc'!J63),ISNUMBER('SW Rev'!J63),'SW Rev'!N63&gt;0,'SW Rev'!J63&gt;0),('SW OpInc'!N63/'SW Rev'!N63-'SW OpInc'!J63/'SW Rev'!J63)*10000,""),"")</f>
        <v/>
      </c>
      <c r="K676" s="43">
        <f>IFERROR(IF(AND(ISNUMBER('SW OpInc'!O63),ISNUMBER('SW Rev'!O63),ISNUMBER('SW OpInc'!K63),ISNUMBER('SW Rev'!K63),'SW Rev'!O63&gt;0,'SW Rev'!K63&gt;0),('SW OpInc'!O63/'SW Rev'!O63-'SW OpInc'!K63/'SW Rev'!K63)*10000,""),"")</f>
        <v/>
      </c>
      <c r="L676" s="43">
        <f>IFERROR(IF(AND(ISNUMBER('SW OpInc'!P63),ISNUMBER('SW Rev'!P63),ISNUMBER('SW OpInc'!L63),ISNUMBER('SW Rev'!L63),'SW Rev'!P63&gt;0,'SW Rev'!L63&gt;0),('SW OpInc'!P63/'SW Rev'!P63-'SW OpInc'!L63/'SW Rev'!L63)*10000,""),"")</f>
        <v/>
      </c>
      <c r="M676" s="44">
        <f>IFERROR(IF(AND(ISNUMBER('SW OpInc'!Q63),ISNUMBER('SW Rev'!Q63),ISNUMBER('SW OpInc'!M63),ISNUMBER('SW Rev'!M63),'SW Rev'!Q63&gt;0,'SW Rev'!M63&gt;0),('SW OpInc'!Q63/'SW Rev'!Q63-'SW OpInc'!M63/'SW Rev'!M63)*10000,""),"")</f>
        <v/>
      </c>
      <c r="N676" s="44">
        <f>IFERROR(IF(AND(ISNUMBER('SW OpInc'!R63),ISNUMBER('SW Rev'!R63),ISNUMBER('SW OpInc'!N63),ISNUMBER('SW Rev'!N63),'SW Rev'!R63&gt;0,'SW Rev'!N63&gt;0),('SW OpInc'!R63/'SW Rev'!R63-'SW OpInc'!N63/'SW Rev'!N63)*10000,""),"")</f>
        <v/>
      </c>
    </row>
    <row r="677">
      <c r="A677" s="19">
        <f>'SW Rev'!$A64</f>
        <v/>
      </c>
      <c r="B677" s="19">
        <f>'SW Rev'!$B64</f>
        <v/>
      </c>
      <c r="C677" s="43">
        <f>IFERROR(IF(AND(ISNUMBER('SW OpInc'!G64),ISNUMBER('SW Rev'!G64),ISNUMBER('SW OpInc'!C64),ISNUMBER('SW Rev'!C64),'SW Rev'!G64&gt;0,'SW Rev'!C64&gt;0),('SW OpInc'!G64/'SW Rev'!G64-'SW OpInc'!C64/'SW Rev'!C64)*10000,""),"")</f>
        <v/>
      </c>
      <c r="D677" s="43">
        <f>IFERROR(IF(AND(ISNUMBER('SW OpInc'!H64),ISNUMBER('SW Rev'!H64),ISNUMBER('SW OpInc'!D64),ISNUMBER('SW Rev'!D64),'SW Rev'!H64&gt;0,'SW Rev'!D64&gt;0),('SW OpInc'!H64/'SW Rev'!H64-'SW OpInc'!D64/'SW Rev'!D64)*10000,""),"")</f>
        <v/>
      </c>
      <c r="E677" s="43">
        <f>IFERROR(IF(AND(ISNUMBER('SW OpInc'!I64),ISNUMBER('SW Rev'!I64),ISNUMBER('SW OpInc'!E64),ISNUMBER('SW Rev'!E64),'SW Rev'!I64&gt;0,'SW Rev'!E64&gt;0),('SW OpInc'!I64/'SW Rev'!I64-'SW OpInc'!E64/'SW Rev'!E64)*10000,""),"")</f>
        <v/>
      </c>
      <c r="F677" s="43">
        <f>IFERROR(IF(AND(ISNUMBER('SW OpInc'!J64),ISNUMBER('SW Rev'!J64),ISNUMBER('SW OpInc'!F64),ISNUMBER('SW Rev'!F64),'SW Rev'!J64&gt;0,'SW Rev'!F64&gt;0),('SW OpInc'!J64/'SW Rev'!J64-'SW OpInc'!F64/'SW Rev'!F64)*10000,""),"")</f>
        <v/>
      </c>
      <c r="G677" s="43">
        <f>IFERROR(IF(AND(ISNUMBER('SW OpInc'!K64),ISNUMBER('SW Rev'!K64),ISNUMBER('SW OpInc'!G64),ISNUMBER('SW Rev'!G64),'SW Rev'!K64&gt;0,'SW Rev'!G64&gt;0),('SW OpInc'!K64/'SW Rev'!K64-'SW OpInc'!G64/'SW Rev'!G64)*10000,""),"")</f>
        <v/>
      </c>
      <c r="H677" s="43">
        <f>IFERROR(IF(AND(ISNUMBER('SW OpInc'!L64),ISNUMBER('SW Rev'!L64),ISNUMBER('SW OpInc'!H64),ISNUMBER('SW Rev'!H64),'SW Rev'!L64&gt;0,'SW Rev'!H64&gt;0),('SW OpInc'!L64/'SW Rev'!L64-'SW OpInc'!H64/'SW Rev'!H64)*10000,""),"")</f>
        <v/>
      </c>
      <c r="I677" s="43">
        <f>IFERROR(IF(AND(ISNUMBER('SW OpInc'!M64),ISNUMBER('SW Rev'!M64),ISNUMBER('SW OpInc'!I64),ISNUMBER('SW Rev'!I64),'SW Rev'!M64&gt;0,'SW Rev'!I64&gt;0),('SW OpInc'!M64/'SW Rev'!M64-'SW OpInc'!I64/'SW Rev'!I64)*10000,""),"")</f>
        <v/>
      </c>
      <c r="J677" s="43">
        <f>IFERROR(IF(AND(ISNUMBER('SW OpInc'!N64),ISNUMBER('SW Rev'!N64),ISNUMBER('SW OpInc'!J64),ISNUMBER('SW Rev'!J64),'SW Rev'!N64&gt;0,'SW Rev'!J64&gt;0),('SW OpInc'!N64/'SW Rev'!N64-'SW OpInc'!J64/'SW Rev'!J64)*10000,""),"")</f>
        <v/>
      </c>
      <c r="K677" s="43">
        <f>IFERROR(IF(AND(ISNUMBER('SW OpInc'!O64),ISNUMBER('SW Rev'!O64),ISNUMBER('SW OpInc'!K64),ISNUMBER('SW Rev'!K64),'SW Rev'!O64&gt;0,'SW Rev'!K64&gt;0),('SW OpInc'!O64/'SW Rev'!O64-'SW OpInc'!K64/'SW Rev'!K64)*10000,""),"")</f>
        <v/>
      </c>
      <c r="L677" s="43">
        <f>IFERROR(IF(AND(ISNUMBER('SW OpInc'!P64),ISNUMBER('SW Rev'!P64),ISNUMBER('SW OpInc'!L64),ISNUMBER('SW Rev'!L64),'SW Rev'!P64&gt;0,'SW Rev'!L64&gt;0),('SW OpInc'!P64/'SW Rev'!P64-'SW OpInc'!L64/'SW Rev'!L64)*10000,""),"")</f>
        <v/>
      </c>
      <c r="M677" s="44">
        <f>IFERROR(IF(AND(ISNUMBER('SW OpInc'!Q64),ISNUMBER('SW Rev'!Q64),ISNUMBER('SW OpInc'!M64),ISNUMBER('SW Rev'!M64),'SW Rev'!Q64&gt;0,'SW Rev'!M64&gt;0),('SW OpInc'!Q64/'SW Rev'!Q64-'SW OpInc'!M64/'SW Rev'!M64)*10000,""),"")</f>
        <v/>
      </c>
      <c r="N677" s="44">
        <f>IFERROR(IF(AND(ISNUMBER('SW OpInc'!R64),ISNUMBER('SW Rev'!R64),ISNUMBER('SW OpInc'!N64),ISNUMBER('SW Rev'!N64),'SW Rev'!R64&gt;0,'SW Rev'!N64&gt;0),('SW OpInc'!R64/'SW Rev'!R64-'SW OpInc'!N64/'SW Rev'!N64)*10000,""),"")</f>
        <v/>
      </c>
    </row>
    <row r="678">
      <c r="A678" s="19">
        <f>'SW Rev'!$A65</f>
        <v/>
      </c>
      <c r="B678" s="19">
        <f>'SW Rev'!$B65</f>
        <v/>
      </c>
      <c r="C678" s="43">
        <f>IFERROR(IF(AND(ISNUMBER('SW OpInc'!G65),ISNUMBER('SW Rev'!G65),ISNUMBER('SW OpInc'!C65),ISNUMBER('SW Rev'!C65),'SW Rev'!G65&gt;0,'SW Rev'!C65&gt;0),('SW OpInc'!G65/'SW Rev'!G65-'SW OpInc'!C65/'SW Rev'!C65)*10000,""),"")</f>
        <v/>
      </c>
      <c r="D678" s="43">
        <f>IFERROR(IF(AND(ISNUMBER('SW OpInc'!H65),ISNUMBER('SW Rev'!H65),ISNUMBER('SW OpInc'!D65),ISNUMBER('SW Rev'!D65),'SW Rev'!H65&gt;0,'SW Rev'!D65&gt;0),('SW OpInc'!H65/'SW Rev'!H65-'SW OpInc'!D65/'SW Rev'!D65)*10000,""),"")</f>
        <v/>
      </c>
      <c r="E678" s="43">
        <f>IFERROR(IF(AND(ISNUMBER('SW OpInc'!I65),ISNUMBER('SW Rev'!I65),ISNUMBER('SW OpInc'!E65),ISNUMBER('SW Rev'!E65),'SW Rev'!I65&gt;0,'SW Rev'!E65&gt;0),('SW OpInc'!I65/'SW Rev'!I65-'SW OpInc'!E65/'SW Rev'!E65)*10000,""),"")</f>
        <v/>
      </c>
      <c r="F678" s="43">
        <f>IFERROR(IF(AND(ISNUMBER('SW OpInc'!J65),ISNUMBER('SW Rev'!J65),ISNUMBER('SW OpInc'!F65),ISNUMBER('SW Rev'!F65),'SW Rev'!J65&gt;0,'SW Rev'!F65&gt;0),('SW OpInc'!J65/'SW Rev'!J65-'SW OpInc'!F65/'SW Rev'!F65)*10000,""),"")</f>
        <v/>
      </c>
      <c r="G678" s="43">
        <f>IFERROR(IF(AND(ISNUMBER('SW OpInc'!K65),ISNUMBER('SW Rev'!K65),ISNUMBER('SW OpInc'!G65),ISNUMBER('SW Rev'!G65),'SW Rev'!K65&gt;0,'SW Rev'!G65&gt;0),('SW OpInc'!K65/'SW Rev'!K65-'SW OpInc'!G65/'SW Rev'!G65)*10000,""),"")</f>
        <v/>
      </c>
      <c r="H678" s="43">
        <f>IFERROR(IF(AND(ISNUMBER('SW OpInc'!L65),ISNUMBER('SW Rev'!L65),ISNUMBER('SW OpInc'!H65),ISNUMBER('SW Rev'!H65),'SW Rev'!L65&gt;0,'SW Rev'!H65&gt;0),('SW OpInc'!L65/'SW Rev'!L65-'SW OpInc'!H65/'SW Rev'!H65)*10000,""),"")</f>
        <v/>
      </c>
      <c r="I678" s="43">
        <f>IFERROR(IF(AND(ISNUMBER('SW OpInc'!M65),ISNUMBER('SW Rev'!M65),ISNUMBER('SW OpInc'!I65),ISNUMBER('SW Rev'!I65),'SW Rev'!M65&gt;0,'SW Rev'!I65&gt;0),('SW OpInc'!M65/'SW Rev'!M65-'SW OpInc'!I65/'SW Rev'!I65)*10000,""),"")</f>
        <v/>
      </c>
      <c r="J678" s="43">
        <f>IFERROR(IF(AND(ISNUMBER('SW OpInc'!N65),ISNUMBER('SW Rev'!N65),ISNUMBER('SW OpInc'!J65),ISNUMBER('SW Rev'!J65),'SW Rev'!N65&gt;0,'SW Rev'!J65&gt;0),('SW OpInc'!N65/'SW Rev'!N65-'SW OpInc'!J65/'SW Rev'!J65)*10000,""),"")</f>
        <v/>
      </c>
      <c r="K678" s="43">
        <f>IFERROR(IF(AND(ISNUMBER('SW OpInc'!O65),ISNUMBER('SW Rev'!O65),ISNUMBER('SW OpInc'!K65),ISNUMBER('SW Rev'!K65),'SW Rev'!O65&gt;0,'SW Rev'!K65&gt;0),('SW OpInc'!O65/'SW Rev'!O65-'SW OpInc'!K65/'SW Rev'!K65)*10000,""),"")</f>
        <v/>
      </c>
      <c r="L678" s="43">
        <f>IFERROR(IF(AND(ISNUMBER('SW OpInc'!P65),ISNUMBER('SW Rev'!P65),ISNUMBER('SW OpInc'!L65),ISNUMBER('SW Rev'!L65),'SW Rev'!P65&gt;0,'SW Rev'!L65&gt;0),('SW OpInc'!P65/'SW Rev'!P65-'SW OpInc'!L65/'SW Rev'!L65)*10000,""),"")</f>
        <v/>
      </c>
      <c r="M678" s="44">
        <f>IFERROR(IF(AND(ISNUMBER('SW OpInc'!Q65),ISNUMBER('SW Rev'!Q65),ISNUMBER('SW OpInc'!M65),ISNUMBER('SW Rev'!M65),'SW Rev'!Q65&gt;0,'SW Rev'!M65&gt;0),('SW OpInc'!Q65/'SW Rev'!Q65-'SW OpInc'!M65/'SW Rev'!M65)*10000,""),"")</f>
        <v/>
      </c>
      <c r="N678" s="44">
        <f>IFERROR(IF(AND(ISNUMBER('SW OpInc'!R65),ISNUMBER('SW Rev'!R65),ISNUMBER('SW OpInc'!N65),ISNUMBER('SW Rev'!N65),'SW Rev'!R65&gt;0,'SW Rev'!N65&gt;0),('SW OpInc'!R65/'SW Rev'!R65-'SW OpInc'!N65/'SW Rev'!N65)*10000,""),"")</f>
        <v/>
      </c>
    </row>
    <row r="679">
      <c r="A679" s="19">
        <f>'SW Rev'!$A66</f>
        <v/>
      </c>
      <c r="B679" s="19">
        <f>'SW Rev'!$B66</f>
        <v/>
      </c>
      <c r="C679" s="43">
        <f>IFERROR(IF(AND(ISNUMBER('SW OpInc'!G66),ISNUMBER('SW Rev'!G66),ISNUMBER('SW OpInc'!C66),ISNUMBER('SW Rev'!C66),'SW Rev'!G66&gt;0,'SW Rev'!C66&gt;0),('SW OpInc'!G66/'SW Rev'!G66-'SW OpInc'!C66/'SW Rev'!C66)*10000,""),"")</f>
        <v/>
      </c>
      <c r="D679" s="43">
        <f>IFERROR(IF(AND(ISNUMBER('SW OpInc'!H66),ISNUMBER('SW Rev'!H66),ISNUMBER('SW OpInc'!D66),ISNUMBER('SW Rev'!D66),'SW Rev'!H66&gt;0,'SW Rev'!D66&gt;0),('SW OpInc'!H66/'SW Rev'!H66-'SW OpInc'!D66/'SW Rev'!D66)*10000,""),"")</f>
        <v/>
      </c>
      <c r="E679" s="43">
        <f>IFERROR(IF(AND(ISNUMBER('SW OpInc'!I66),ISNUMBER('SW Rev'!I66),ISNUMBER('SW OpInc'!E66),ISNUMBER('SW Rev'!E66),'SW Rev'!I66&gt;0,'SW Rev'!E66&gt;0),('SW OpInc'!I66/'SW Rev'!I66-'SW OpInc'!E66/'SW Rev'!E66)*10000,""),"")</f>
        <v/>
      </c>
      <c r="F679" s="43">
        <f>IFERROR(IF(AND(ISNUMBER('SW OpInc'!J66),ISNUMBER('SW Rev'!J66),ISNUMBER('SW OpInc'!F66),ISNUMBER('SW Rev'!F66),'SW Rev'!J66&gt;0,'SW Rev'!F66&gt;0),('SW OpInc'!J66/'SW Rev'!J66-'SW OpInc'!F66/'SW Rev'!F66)*10000,""),"")</f>
        <v/>
      </c>
      <c r="G679" s="43">
        <f>IFERROR(IF(AND(ISNUMBER('SW OpInc'!K66),ISNUMBER('SW Rev'!K66),ISNUMBER('SW OpInc'!G66),ISNUMBER('SW Rev'!G66),'SW Rev'!K66&gt;0,'SW Rev'!G66&gt;0),('SW OpInc'!K66/'SW Rev'!K66-'SW OpInc'!G66/'SW Rev'!G66)*10000,""),"")</f>
        <v/>
      </c>
      <c r="H679" s="43">
        <f>IFERROR(IF(AND(ISNUMBER('SW OpInc'!L66),ISNUMBER('SW Rev'!L66),ISNUMBER('SW OpInc'!H66),ISNUMBER('SW Rev'!H66),'SW Rev'!L66&gt;0,'SW Rev'!H66&gt;0),('SW OpInc'!L66/'SW Rev'!L66-'SW OpInc'!H66/'SW Rev'!H66)*10000,""),"")</f>
        <v/>
      </c>
      <c r="I679" s="43">
        <f>IFERROR(IF(AND(ISNUMBER('SW OpInc'!M66),ISNUMBER('SW Rev'!M66),ISNUMBER('SW OpInc'!I66),ISNUMBER('SW Rev'!I66),'SW Rev'!M66&gt;0,'SW Rev'!I66&gt;0),('SW OpInc'!M66/'SW Rev'!M66-'SW OpInc'!I66/'SW Rev'!I66)*10000,""),"")</f>
        <v/>
      </c>
      <c r="J679" s="43">
        <f>IFERROR(IF(AND(ISNUMBER('SW OpInc'!N66),ISNUMBER('SW Rev'!N66),ISNUMBER('SW OpInc'!J66),ISNUMBER('SW Rev'!J66),'SW Rev'!N66&gt;0,'SW Rev'!J66&gt;0),('SW OpInc'!N66/'SW Rev'!N66-'SW OpInc'!J66/'SW Rev'!J66)*10000,""),"")</f>
        <v/>
      </c>
      <c r="K679" s="43">
        <f>IFERROR(IF(AND(ISNUMBER('SW OpInc'!O66),ISNUMBER('SW Rev'!O66),ISNUMBER('SW OpInc'!K66),ISNUMBER('SW Rev'!K66),'SW Rev'!O66&gt;0,'SW Rev'!K66&gt;0),('SW OpInc'!O66/'SW Rev'!O66-'SW OpInc'!K66/'SW Rev'!K66)*10000,""),"")</f>
        <v/>
      </c>
      <c r="L679" s="43">
        <f>IFERROR(IF(AND(ISNUMBER('SW OpInc'!P66),ISNUMBER('SW Rev'!P66),ISNUMBER('SW OpInc'!L66),ISNUMBER('SW Rev'!L66),'SW Rev'!P66&gt;0,'SW Rev'!L66&gt;0),('SW OpInc'!P66/'SW Rev'!P66-'SW OpInc'!L66/'SW Rev'!L66)*10000,""),"")</f>
        <v/>
      </c>
      <c r="M679" s="44">
        <f>IFERROR(IF(AND(ISNUMBER('SW OpInc'!Q66),ISNUMBER('SW Rev'!Q66),ISNUMBER('SW OpInc'!M66),ISNUMBER('SW Rev'!M66),'SW Rev'!Q66&gt;0,'SW Rev'!M66&gt;0),('SW OpInc'!Q66/'SW Rev'!Q66-'SW OpInc'!M66/'SW Rev'!M66)*10000,""),"")</f>
        <v/>
      </c>
      <c r="N679" s="44">
        <f>IFERROR(IF(AND(ISNUMBER('SW OpInc'!R66),ISNUMBER('SW Rev'!R66),ISNUMBER('SW OpInc'!N66),ISNUMBER('SW Rev'!N66),'SW Rev'!R66&gt;0,'SW Rev'!N66&gt;0),('SW OpInc'!R66/'SW Rev'!R66-'SW OpInc'!N66/'SW Rev'!N66)*10000,""),"")</f>
        <v/>
      </c>
    </row>
    <row r="680">
      <c r="A680" s="19">
        <f>'SW Rev'!$A67</f>
        <v/>
      </c>
      <c r="B680" s="19">
        <f>'SW Rev'!$B67</f>
        <v/>
      </c>
      <c r="C680" s="43">
        <f>IFERROR(IF(AND(ISNUMBER('SW OpInc'!G67),ISNUMBER('SW Rev'!G67),ISNUMBER('SW OpInc'!C67),ISNUMBER('SW Rev'!C67),'SW Rev'!G67&gt;0,'SW Rev'!C67&gt;0),('SW OpInc'!G67/'SW Rev'!G67-'SW OpInc'!C67/'SW Rev'!C67)*10000,""),"")</f>
        <v/>
      </c>
      <c r="D680" s="43">
        <f>IFERROR(IF(AND(ISNUMBER('SW OpInc'!H67),ISNUMBER('SW Rev'!H67),ISNUMBER('SW OpInc'!D67),ISNUMBER('SW Rev'!D67),'SW Rev'!H67&gt;0,'SW Rev'!D67&gt;0),('SW OpInc'!H67/'SW Rev'!H67-'SW OpInc'!D67/'SW Rev'!D67)*10000,""),"")</f>
        <v/>
      </c>
      <c r="E680" s="43">
        <f>IFERROR(IF(AND(ISNUMBER('SW OpInc'!I67),ISNUMBER('SW Rev'!I67),ISNUMBER('SW OpInc'!E67),ISNUMBER('SW Rev'!E67),'SW Rev'!I67&gt;0,'SW Rev'!E67&gt;0),('SW OpInc'!I67/'SW Rev'!I67-'SW OpInc'!E67/'SW Rev'!E67)*10000,""),"")</f>
        <v/>
      </c>
      <c r="F680" s="43">
        <f>IFERROR(IF(AND(ISNUMBER('SW OpInc'!J67),ISNUMBER('SW Rev'!J67),ISNUMBER('SW OpInc'!F67),ISNUMBER('SW Rev'!F67),'SW Rev'!J67&gt;0,'SW Rev'!F67&gt;0),('SW OpInc'!J67/'SW Rev'!J67-'SW OpInc'!F67/'SW Rev'!F67)*10000,""),"")</f>
        <v/>
      </c>
      <c r="G680" s="43">
        <f>IFERROR(IF(AND(ISNUMBER('SW OpInc'!K67),ISNUMBER('SW Rev'!K67),ISNUMBER('SW OpInc'!G67),ISNUMBER('SW Rev'!G67),'SW Rev'!K67&gt;0,'SW Rev'!G67&gt;0),('SW OpInc'!K67/'SW Rev'!K67-'SW OpInc'!G67/'SW Rev'!G67)*10000,""),"")</f>
        <v/>
      </c>
      <c r="H680" s="43">
        <f>IFERROR(IF(AND(ISNUMBER('SW OpInc'!L67),ISNUMBER('SW Rev'!L67),ISNUMBER('SW OpInc'!H67),ISNUMBER('SW Rev'!H67),'SW Rev'!L67&gt;0,'SW Rev'!H67&gt;0),('SW OpInc'!L67/'SW Rev'!L67-'SW OpInc'!H67/'SW Rev'!H67)*10000,""),"")</f>
        <v/>
      </c>
      <c r="I680" s="43">
        <f>IFERROR(IF(AND(ISNUMBER('SW OpInc'!M67),ISNUMBER('SW Rev'!M67),ISNUMBER('SW OpInc'!I67),ISNUMBER('SW Rev'!I67),'SW Rev'!M67&gt;0,'SW Rev'!I67&gt;0),('SW OpInc'!M67/'SW Rev'!M67-'SW OpInc'!I67/'SW Rev'!I67)*10000,""),"")</f>
        <v/>
      </c>
      <c r="J680" s="43">
        <f>IFERROR(IF(AND(ISNUMBER('SW OpInc'!N67),ISNUMBER('SW Rev'!N67),ISNUMBER('SW OpInc'!J67),ISNUMBER('SW Rev'!J67),'SW Rev'!N67&gt;0,'SW Rev'!J67&gt;0),('SW OpInc'!N67/'SW Rev'!N67-'SW OpInc'!J67/'SW Rev'!J67)*10000,""),"")</f>
        <v/>
      </c>
      <c r="K680" s="43">
        <f>IFERROR(IF(AND(ISNUMBER('SW OpInc'!O67),ISNUMBER('SW Rev'!O67),ISNUMBER('SW OpInc'!K67),ISNUMBER('SW Rev'!K67),'SW Rev'!O67&gt;0,'SW Rev'!K67&gt;0),('SW OpInc'!O67/'SW Rev'!O67-'SW OpInc'!K67/'SW Rev'!K67)*10000,""),"")</f>
        <v/>
      </c>
      <c r="L680" s="43">
        <f>IFERROR(IF(AND(ISNUMBER('SW OpInc'!P67),ISNUMBER('SW Rev'!P67),ISNUMBER('SW OpInc'!L67),ISNUMBER('SW Rev'!L67),'SW Rev'!P67&gt;0,'SW Rev'!L67&gt;0),('SW OpInc'!P67/'SW Rev'!P67-'SW OpInc'!L67/'SW Rev'!L67)*10000,""),"")</f>
        <v/>
      </c>
      <c r="M680" s="44">
        <f>IFERROR(IF(AND(ISNUMBER('SW OpInc'!Q67),ISNUMBER('SW Rev'!Q67),ISNUMBER('SW OpInc'!M67),ISNUMBER('SW Rev'!M67),'SW Rev'!Q67&gt;0,'SW Rev'!M67&gt;0),('SW OpInc'!Q67/'SW Rev'!Q67-'SW OpInc'!M67/'SW Rev'!M67)*10000,""),"")</f>
        <v/>
      </c>
      <c r="N680" s="44">
        <f>IFERROR(IF(AND(ISNUMBER('SW OpInc'!R67),ISNUMBER('SW Rev'!R67),ISNUMBER('SW OpInc'!N67),ISNUMBER('SW Rev'!N67),'SW Rev'!R67&gt;0,'SW Rev'!N67&gt;0),('SW OpInc'!R67/'SW Rev'!R67-'SW OpInc'!N67/'SW Rev'!N67)*10000,""),"")</f>
        <v/>
      </c>
    </row>
    <row r="681">
      <c r="A681" s="19">
        <f>'SW Rev'!$A68</f>
        <v/>
      </c>
      <c r="B681" s="19">
        <f>'SW Rev'!$B68</f>
        <v/>
      </c>
      <c r="C681" s="43">
        <f>IFERROR(IF(AND(ISNUMBER('SW OpInc'!G68),ISNUMBER('SW Rev'!G68),ISNUMBER('SW OpInc'!C68),ISNUMBER('SW Rev'!C68),'SW Rev'!G68&gt;0,'SW Rev'!C68&gt;0),('SW OpInc'!G68/'SW Rev'!G68-'SW OpInc'!C68/'SW Rev'!C68)*10000,""),"")</f>
        <v/>
      </c>
      <c r="D681" s="43">
        <f>IFERROR(IF(AND(ISNUMBER('SW OpInc'!H68),ISNUMBER('SW Rev'!H68),ISNUMBER('SW OpInc'!D68),ISNUMBER('SW Rev'!D68),'SW Rev'!H68&gt;0,'SW Rev'!D68&gt;0),('SW OpInc'!H68/'SW Rev'!H68-'SW OpInc'!D68/'SW Rev'!D68)*10000,""),"")</f>
        <v/>
      </c>
      <c r="E681" s="43">
        <f>IFERROR(IF(AND(ISNUMBER('SW OpInc'!I68),ISNUMBER('SW Rev'!I68),ISNUMBER('SW OpInc'!E68),ISNUMBER('SW Rev'!E68),'SW Rev'!I68&gt;0,'SW Rev'!E68&gt;0),('SW OpInc'!I68/'SW Rev'!I68-'SW OpInc'!E68/'SW Rev'!E68)*10000,""),"")</f>
        <v/>
      </c>
      <c r="F681" s="43">
        <f>IFERROR(IF(AND(ISNUMBER('SW OpInc'!J68),ISNUMBER('SW Rev'!J68),ISNUMBER('SW OpInc'!F68),ISNUMBER('SW Rev'!F68),'SW Rev'!J68&gt;0,'SW Rev'!F68&gt;0),('SW OpInc'!J68/'SW Rev'!J68-'SW OpInc'!F68/'SW Rev'!F68)*10000,""),"")</f>
        <v/>
      </c>
      <c r="G681" s="43">
        <f>IFERROR(IF(AND(ISNUMBER('SW OpInc'!K68),ISNUMBER('SW Rev'!K68),ISNUMBER('SW OpInc'!G68),ISNUMBER('SW Rev'!G68),'SW Rev'!K68&gt;0,'SW Rev'!G68&gt;0),('SW OpInc'!K68/'SW Rev'!K68-'SW OpInc'!G68/'SW Rev'!G68)*10000,""),"")</f>
        <v/>
      </c>
      <c r="H681" s="43">
        <f>IFERROR(IF(AND(ISNUMBER('SW OpInc'!L68),ISNUMBER('SW Rev'!L68),ISNUMBER('SW OpInc'!H68),ISNUMBER('SW Rev'!H68),'SW Rev'!L68&gt;0,'SW Rev'!H68&gt;0),('SW OpInc'!L68/'SW Rev'!L68-'SW OpInc'!H68/'SW Rev'!H68)*10000,""),"")</f>
        <v/>
      </c>
      <c r="I681" s="43">
        <f>IFERROR(IF(AND(ISNUMBER('SW OpInc'!M68),ISNUMBER('SW Rev'!M68),ISNUMBER('SW OpInc'!I68),ISNUMBER('SW Rev'!I68),'SW Rev'!M68&gt;0,'SW Rev'!I68&gt;0),('SW OpInc'!M68/'SW Rev'!M68-'SW OpInc'!I68/'SW Rev'!I68)*10000,""),"")</f>
        <v/>
      </c>
      <c r="J681" s="43">
        <f>IFERROR(IF(AND(ISNUMBER('SW OpInc'!N68),ISNUMBER('SW Rev'!N68),ISNUMBER('SW OpInc'!J68),ISNUMBER('SW Rev'!J68),'SW Rev'!N68&gt;0,'SW Rev'!J68&gt;0),('SW OpInc'!N68/'SW Rev'!N68-'SW OpInc'!J68/'SW Rev'!J68)*10000,""),"")</f>
        <v/>
      </c>
      <c r="K681" s="43">
        <f>IFERROR(IF(AND(ISNUMBER('SW OpInc'!O68),ISNUMBER('SW Rev'!O68),ISNUMBER('SW OpInc'!K68),ISNUMBER('SW Rev'!K68),'SW Rev'!O68&gt;0,'SW Rev'!K68&gt;0),('SW OpInc'!O68/'SW Rev'!O68-'SW OpInc'!K68/'SW Rev'!K68)*10000,""),"")</f>
        <v/>
      </c>
      <c r="L681" s="43">
        <f>IFERROR(IF(AND(ISNUMBER('SW OpInc'!P68),ISNUMBER('SW Rev'!P68),ISNUMBER('SW OpInc'!L68),ISNUMBER('SW Rev'!L68),'SW Rev'!P68&gt;0,'SW Rev'!L68&gt;0),('SW OpInc'!P68/'SW Rev'!P68-'SW OpInc'!L68/'SW Rev'!L68)*10000,""),"")</f>
        <v/>
      </c>
      <c r="M681" s="44">
        <f>IFERROR(IF(AND(ISNUMBER('SW OpInc'!Q68),ISNUMBER('SW Rev'!Q68),ISNUMBER('SW OpInc'!M68),ISNUMBER('SW Rev'!M68),'SW Rev'!Q68&gt;0,'SW Rev'!M68&gt;0),('SW OpInc'!Q68/'SW Rev'!Q68-'SW OpInc'!M68/'SW Rev'!M68)*10000,""),"")</f>
        <v/>
      </c>
      <c r="N681" s="44">
        <f>IFERROR(IF(AND(ISNUMBER('SW OpInc'!R68),ISNUMBER('SW Rev'!R68),ISNUMBER('SW OpInc'!N68),ISNUMBER('SW Rev'!N68),'SW Rev'!R68&gt;0,'SW Rev'!N68&gt;0),('SW OpInc'!R68/'SW Rev'!R68-'SW OpInc'!N68/'SW Rev'!N68)*10000,""),"")</f>
        <v/>
      </c>
    </row>
    <row r="682">
      <c r="A682" s="19">
        <f>'SW Rev'!$A69</f>
        <v/>
      </c>
      <c r="B682" s="19">
        <f>'SW Rev'!$B69</f>
        <v/>
      </c>
      <c r="C682" s="43">
        <f>IFERROR(IF(AND(ISNUMBER('SW OpInc'!G69),ISNUMBER('SW Rev'!G69),ISNUMBER('SW OpInc'!C69),ISNUMBER('SW Rev'!C69),'SW Rev'!G69&gt;0,'SW Rev'!C69&gt;0),('SW OpInc'!G69/'SW Rev'!G69-'SW OpInc'!C69/'SW Rev'!C69)*10000,""),"")</f>
        <v/>
      </c>
      <c r="D682" s="43">
        <f>IFERROR(IF(AND(ISNUMBER('SW OpInc'!H69),ISNUMBER('SW Rev'!H69),ISNUMBER('SW OpInc'!D69),ISNUMBER('SW Rev'!D69),'SW Rev'!H69&gt;0,'SW Rev'!D69&gt;0),('SW OpInc'!H69/'SW Rev'!H69-'SW OpInc'!D69/'SW Rev'!D69)*10000,""),"")</f>
        <v/>
      </c>
      <c r="E682" s="43">
        <f>IFERROR(IF(AND(ISNUMBER('SW OpInc'!I69),ISNUMBER('SW Rev'!I69),ISNUMBER('SW OpInc'!E69),ISNUMBER('SW Rev'!E69),'SW Rev'!I69&gt;0,'SW Rev'!E69&gt;0),('SW OpInc'!I69/'SW Rev'!I69-'SW OpInc'!E69/'SW Rev'!E69)*10000,""),"")</f>
        <v/>
      </c>
      <c r="F682" s="43">
        <f>IFERROR(IF(AND(ISNUMBER('SW OpInc'!J69),ISNUMBER('SW Rev'!J69),ISNUMBER('SW OpInc'!F69),ISNUMBER('SW Rev'!F69),'SW Rev'!J69&gt;0,'SW Rev'!F69&gt;0),('SW OpInc'!J69/'SW Rev'!J69-'SW OpInc'!F69/'SW Rev'!F69)*10000,""),"")</f>
        <v/>
      </c>
      <c r="G682" s="43">
        <f>IFERROR(IF(AND(ISNUMBER('SW OpInc'!K69),ISNUMBER('SW Rev'!K69),ISNUMBER('SW OpInc'!G69),ISNUMBER('SW Rev'!G69),'SW Rev'!K69&gt;0,'SW Rev'!G69&gt;0),('SW OpInc'!K69/'SW Rev'!K69-'SW OpInc'!G69/'SW Rev'!G69)*10000,""),"")</f>
        <v/>
      </c>
      <c r="H682" s="43">
        <f>IFERROR(IF(AND(ISNUMBER('SW OpInc'!L69),ISNUMBER('SW Rev'!L69),ISNUMBER('SW OpInc'!H69),ISNUMBER('SW Rev'!H69),'SW Rev'!L69&gt;0,'SW Rev'!H69&gt;0),('SW OpInc'!L69/'SW Rev'!L69-'SW OpInc'!H69/'SW Rev'!H69)*10000,""),"")</f>
        <v/>
      </c>
      <c r="I682" s="43">
        <f>IFERROR(IF(AND(ISNUMBER('SW OpInc'!M69),ISNUMBER('SW Rev'!M69),ISNUMBER('SW OpInc'!I69),ISNUMBER('SW Rev'!I69),'SW Rev'!M69&gt;0,'SW Rev'!I69&gt;0),('SW OpInc'!M69/'SW Rev'!M69-'SW OpInc'!I69/'SW Rev'!I69)*10000,""),"")</f>
        <v/>
      </c>
      <c r="J682" s="43">
        <f>IFERROR(IF(AND(ISNUMBER('SW OpInc'!N69),ISNUMBER('SW Rev'!N69),ISNUMBER('SW OpInc'!J69),ISNUMBER('SW Rev'!J69),'SW Rev'!N69&gt;0,'SW Rev'!J69&gt;0),('SW OpInc'!N69/'SW Rev'!N69-'SW OpInc'!J69/'SW Rev'!J69)*10000,""),"")</f>
        <v/>
      </c>
      <c r="K682" s="43">
        <f>IFERROR(IF(AND(ISNUMBER('SW OpInc'!O69),ISNUMBER('SW Rev'!O69),ISNUMBER('SW OpInc'!K69),ISNUMBER('SW Rev'!K69),'SW Rev'!O69&gt;0,'SW Rev'!K69&gt;0),('SW OpInc'!O69/'SW Rev'!O69-'SW OpInc'!K69/'SW Rev'!K69)*10000,""),"")</f>
        <v/>
      </c>
      <c r="L682" s="43">
        <f>IFERROR(IF(AND(ISNUMBER('SW OpInc'!P69),ISNUMBER('SW Rev'!P69),ISNUMBER('SW OpInc'!L69),ISNUMBER('SW Rev'!L69),'SW Rev'!P69&gt;0,'SW Rev'!L69&gt;0),('SW OpInc'!P69/'SW Rev'!P69-'SW OpInc'!L69/'SW Rev'!L69)*10000,""),"")</f>
        <v/>
      </c>
      <c r="M682" s="44">
        <f>IFERROR(IF(AND(ISNUMBER('SW OpInc'!Q69),ISNUMBER('SW Rev'!Q69),ISNUMBER('SW OpInc'!M69),ISNUMBER('SW Rev'!M69),'SW Rev'!Q69&gt;0,'SW Rev'!M69&gt;0),('SW OpInc'!Q69/'SW Rev'!Q69-'SW OpInc'!M69/'SW Rev'!M69)*10000,""),"")</f>
        <v/>
      </c>
      <c r="N682" s="44">
        <f>IFERROR(IF(AND(ISNUMBER('SW OpInc'!R69),ISNUMBER('SW Rev'!R69),ISNUMBER('SW OpInc'!N69),ISNUMBER('SW Rev'!N69),'SW Rev'!R69&gt;0,'SW Rev'!N69&gt;0),('SW OpInc'!R69/'SW Rev'!R69-'SW OpInc'!N69/'SW Rev'!N69)*10000,""),"")</f>
        <v/>
      </c>
    </row>
    <row r="683">
      <c r="A683" s="19">
        <f>'SW Rev'!$A70</f>
        <v/>
      </c>
      <c r="B683" s="19">
        <f>'SW Rev'!$B70</f>
        <v/>
      </c>
      <c r="C683" s="43">
        <f>IFERROR(IF(AND(ISNUMBER('SW OpInc'!G70),ISNUMBER('SW Rev'!G70),ISNUMBER('SW OpInc'!C70),ISNUMBER('SW Rev'!C70),'SW Rev'!G70&gt;0,'SW Rev'!C70&gt;0),('SW OpInc'!G70/'SW Rev'!G70-'SW OpInc'!C70/'SW Rev'!C70)*10000,""),"")</f>
        <v/>
      </c>
      <c r="D683" s="43">
        <f>IFERROR(IF(AND(ISNUMBER('SW OpInc'!H70),ISNUMBER('SW Rev'!H70),ISNUMBER('SW OpInc'!D70),ISNUMBER('SW Rev'!D70),'SW Rev'!H70&gt;0,'SW Rev'!D70&gt;0),('SW OpInc'!H70/'SW Rev'!H70-'SW OpInc'!D70/'SW Rev'!D70)*10000,""),"")</f>
        <v/>
      </c>
      <c r="E683" s="43">
        <f>IFERROR(IF(AND(ISNUMBER('SW OpInc'!I70),ISNUMBER('SW Rev'!I70),ISNUMBER('SW OpInc'!E70),ISNUMBER('SW Rev'!E70),'SW Rev'!I70&gt;0,'SW Rev'!E70&gt;0),('SW OpInc'!I70/'SW Rev'!I70-'SW OpInc'!E70/'SW Rev'!E70)*10000,""),"")</f>
        <v/>
      </c>
      <c r="F683" s="43">
        <f>IFERROR(IF(AND(ISNUMBER('SW OpInc'!J70),ISNUMBER('SW Rev'!J70),ISNUMBER('SW OpInc'!F70),ISNUMBER('SW Rev'!F70),'SW Rev'!J70&gt;0,'SW Rev'!F70&gt;0),('SW OpInc'!J70/'SW Rev'!J70-'SW OpInc'!F70/'SW Rev'!F70)*10000,""),"")</f>
        <v/>
      </c>
      <c r="G683" s="43">
        <f>IFERROR(IF(AND(ISNUMBER('SW OpInc'!K70),ISNUMBER('SW Rev'!K70),ISNUMBER('SW OpInc'!G70),ISNUMBER('SW Rev'!G70),'SW Rev'!K70&gt;0,'SW Rev'!G70&gt;0),('SW OpInc'!K70/'SW Rev'!K70-'SW OpInc'!G70/'SW Rev'!G70)*10000,""),"")</f>
        <v/>
      </c>
      <c r="H683" s="43">
        <f>IFERROR(IF(AND(ISNUMBER('SW OpInc'!L70),ISNUMBER('SW Rev'!L70),ISNUMBER('SW OpInc'!H70),ISNUMBER('SW Rev'!H70),'SW Rev'!L70&gt;0,'SW Rev'!H70&gt;0),('SW OpInc'!L70/'SW Rev'!L70-'SW OpInc'!H70/'SW Rev'!H70)*10000,""),"")</f>
        <v/>
      </c>
      <c r="I683" s="43">
        <f>IFERROR(IF(AND(ISNUMBER('SW OpInc'!M70),ISNUMBER('SW Rev'!M70),ISNUMBER('SW OpInc'!I70),ISNUMBER('SW Rev'!I70),'SW Rev'!M70&gt;0,'SW Rev'!I70&gt;0),('SW OpInc'!M70/'SW Rev'!M70-'SW OpInc'!I70/'SW Rev'!I70)*10000,""),"")</f>
        <v/>
      </c>
      <c r="J683" s="43">
        <f>IFERROR(IF(AND(ISNUMBER('SW OpInc'!N70),ISNUMBER('SW Rev'!N70),ISNUMBER('SW OpInc'!J70),ISNUMBER('SW Rev'!J70),'SW Rev'!N70&gt;0,'SW Rev'!J70&gt;0),('SW OpInc'!N70/'SW Rev'!N70-'SW OpInc'!J70/'SW Rev'!J70)*10000,""),"")</f>
        <v/>
      </c>
      <c r="K683" s="43">
        <f>IFERROR(IF(AND(ISNUMBER('SW OpInc'!O70),ISNUMBER('SW Rev'!O70),ISNUMBER('SW OpInc'!K70),ISNUMBER('SW Rev'!K70),'SW Rev'!O70&gt;0,'SW Rev'!K70&gt;0),('SW OpInc'!O70/'SW Rev'!O70-'SW OpInc'!K70/'SW Rev'!K70)*10000,""),"")</f>
        <v/>
      </c>
      <c r="L683" s="43">
        <f>IFERROR(IF(AND(ISNUMBER('SW OpInc'!P70),ISNUMBER('SW Rev'!P70),ISNUMBER('SW OpInc'!L70),ISNUMBER('SW Rev'!L70),'SW Rev'!P70&gt;0,'SW Rev'!L70&gt;0),('SW OpInc'!P70/'SW Rev'!P70-'SW OpInc'!L70/'SW Rev'!L70)*10000,""),"")</f>
        <v/>
      </c>
      <c r="M683" s="44">
        <f>IFERROR(IF(AND(ISNUMBER('SW OpInc'!Q70),ISNUMBER('SW Rev'!Q70),ISNUMBER('SW OpInc'!M70),ISNUMBER('SW Rev'!M70),'SW Rev'!Q70&gt;0,'SW Rev'!M70&gt;0),('SW OpInc'!Q70/'SW Rev'!Q70-'SW OpInc'!M70/'SW Rev'!M70)*10000,""),"")</f>
        <v/>
      </c>
      <c r="N683" s="44">
        <f>IFERROR(IF(AND(ISNUMBER('SW OpInc'!R70),ISNUMBER('SW Rev'!R70),ISNUMBER('SW OpInc'!N70),ISNUMBER('SW Rev'!N70),'SW Rev'!R70&gt;0,'SW Rev'!N70&gt;0),('SW OpInc'!R70/'SW Rev'!R70-'SW OpInc'!N70/'SW Rev'!N70)*10000,""),"")</f>
        <v/>
      </c>
    </row>
    <row r="684">
      <c r="A684" s="19">
        <f>'SW Rev'!$A71</f>
        <v/>
      </c>
      <c r="B684" s="19">
        <f>'SW Rev'!$B71</f>
        <v/>
      </c>
      <c r="C684" s="43">
        <f>IFERROR(IF(AND(ISNUMBER('SW OpInc'!G71),ISNUMBER('SW Rev'!G71),ISNUMBER('SW OpInc'!C71),ISNUMBER('SW Rev'!C71),'SW Rev'!G71&gt;0,'SW Rev'!C71&gt;0),('SW OpInc'!G71/'SW Rev'!G71-'SW OpInc'!C71/'SW Rev'!C71)*10000,""),"")</f>
        <v/>
      </c>
      <c r="D684" s="43">
        <f>IFERROR(IF(AND(ISNUMBER('SW OpInc'!H71),ISNUMBER('SW Rev'!H71),ISNUMBER('SW OpInc'!D71),ISNUMBER('SW Rev'!D71),'SW Rev'!H71&gt;0,'SW Rev'!D71&gt;0),('SW OpInc'!H71/'SW Rev'!H71-'SW OpInc'!D71/'SW Rev'!D71)*10000,""),"")</f>
        <v/>
      </c>
      <c r="E684" s="43">
        <f>IFERROR(IF(AND(ISNUMBER('SW OpInc'!I71),ISNUMBER('SW Rev'!I71),ISNUMBER('SW OpInc'!E71),ISNUMBER('SW Rev'!E71),'SW Rev'!I71&gt;0,'SW Rev'!E71&gt;0),('SW OpInc'!I71/'SW Rev'!I71-'SW OpInc'!E71/'SW Rev'!E71)*10000,""),"")</f>
        <v/>
      </c>
      <c r="F684" s="43">
        <f>IFERROR(IF(AND(ISNUMBER('SW OpInc'!J71),ISNUMBER('SW Rev'!J71),ISNUMBER('SW OpInc'!F71),ISNUMBER('SW Rev'!F71),'SW Rev'!J71&gt;0,'SW Rev'!F71&gt;0),('SW OpInc'!J71/'SW Rev'!J71-'SW OpInc'!F71/'SW Rev'!F71)*10000,""),"")</f>
        <v/>
      </c>
      <c r="G684" s="43">
        <f>IFERROR(IF(AND(ISNUMBER('SW OpInc'!K71),ISNUMBER('SW Rev'!K71),ISNUMBER('SW OpInc'!G71),ISNUMBER('SW Rev'!G71),'SW Rev'!K71&gt;0,'SW Rev'!G71&gt;0),('SW OpInc'!K71/'SW Rev'!K71-'SW OpInc'!G71/'SW Rev'!G71)*10000,""),"")</f>
        <v/>
      </c>
      <c r="H684" s="43">
        <f>IFERROR(IF(AND(ISNUMBER('SW OpInc'!L71),ISNUMBER('SW Rev'!L71),ISNUMBER('SW OpInc'!H71),ISNUMBER('SW Rev'!H71),'SW Rev'!L71&gt;0,'SW Rev'!H71&gt;0),('SW OpInc'!L71/'SW Rev'!L71-'SW OpInc'!H71/'SW Rev'!H71)*10000,""),"")</f>
        <v/>
      </c>
      <c r="I684" s="43">
        <f>IFERROR(IF(AND(ISNUMBER('SW OpInc'!M71),ISNUMBER('SW Rev'!M71),ISNUMBER('SW OpInc'!I71),ISNUMBER('SW Rev'!I71),'SW Rev'!M71&gt;0,'SW Rev'!I71&gt;0),('SW OpInc'!M71/'SW Rev'!M71-'SW OpInc'!I71/'SW Rev'!I71)*10000,""),"")</f>
        <v/>
      </c>
      <c r="J684" s="43">
        <f>IFERROR(IF(AND(ISNUMBER('SW OpInc'!N71),ISNUMBER('SW Rev'!N71),ISNUMBER('SW OpInc'!J71),ISNUMBER('SW Rev'!J71),'SW Rev'!N71&gt;0,'SW Rev'!J71&gt;0),('SW OpInc'!N71/'SW Rev'!N71-'SW OpInc'!J71/'SW Rev'!J71)*10000,""),"")</f>
        <v/>
      </c>
      <c r="K684" s="43">
        <f>IFERROR(IF(AND(ISNUMBER('SW OpInc'!O71),ISNUMBER('SW Rev'!O71),ISNUMBER('SW OpInc'!K71),ISNUMBER('SW Rev'!K71),'SW Rev'!O71&gt;0,'SW Rev'!K71&gt;0),('SW OpInc'!O71/'SW Rev'!O71-'SW OpInc'!K71/'SW Rev'!K71)*10000,""),"")</f>
        <v/>
      </c>
      <c r="L684" s="43">
        <f>IFERROR(IF(AND(ISNUMBER('SW OpInc'!P71),ISNUMBER('SW Rev'!P71),ISNUMBER('SW OpInc'!L71),ISNUMBER('SW Rev'!L71),'SW Rev'!P71&gt;0,'SW Rev'!L71&gt;0),('SW OpInc'!P71/'SW Rev'!P71-'SW OpInc'!L71/'SW Rev'!L71)*10000,""),"")</f>
        <v/>
      </c>
      <c r="M684" s="44">
        <f>IFERROR(IF(AND(ISNUMBER('SW OpInc'!Q71),ISNUMBER('SW Rev'!Q71),ISNUMBER('SW OpInc'!M71),ISNUMBER('SW Rev'!M71),'SW Rev'!Q71&gt;0,'SW Rev'!M71&gt;0),('SW OpInc'!Q71/'SW Rev'!Q71-'SW OpInc'!M71/'SW Rev'!M71)*10000,""),"")</f>
        <v/>
      </c>
      <c r="N684" s="44">
        <f>IFERROR(IF(AND(ISNUMBER('SW OpInc'!R71),ISNUMBER('SW Rev'!R71),ISNUMBER('SW OpInc'!N71),ISNUMBER('SW Rev'!N71),'SW Rev'!R71&gt;0,'SW Rev'!N71&gt;0),('SW OpInc'!R71/'SW Rev'!R71-'SW OpInc'!N71/'SW Rev'!N71)*10000,""),"")</f>
        <v/>
      </c>
    </row>
    <row r="685">
      <c r="A685" s="19">
        <f>'SW Rev'!$A72</f>
        <v/>
      </c>
      <c r="B685" s="19">
        <f>'SW Rev'!$B72</f>
        <v/>
      </c>
      <c r="C685" s="43">
        <f>IFERROR(IF(AND(ISNUMBER('SW OpInc'!G72),ISNUMBER('SW Rev'!G72),ISNUMBER('SW OpInc'!C72),ISNUMBER('SW Rev'!C72),'SW Rev'!G72&gt;0,'SW Rev'!C72&gt;0),('SW OpInc'!G72/'SW Rev'!G72-'SW OpInc'!C72/'SW Rev'!C72)*10000,""),"")</f>
        <v/>
      </c>
      <c r="D685" s="43">
        <f>IFERROR(IF(AND(ISNUMBER('SW OpInc'!H72),ISNUMBER('SW Rev'!H72),ISNUMBER('SW OpInc'!D72),ISNUMBER('SW Rev'!D72),'SW Rev'!H72&gt;0,'SW Rev'!D72&gt;0),('SW OpInc'!H72/'SW Rev'!H72-'SW OpInc'!D72/'SW Rev'!D72)*10000,""),"")</f>
        <v/>
      </c>
      <c r="E685" s="43">
        <f>IFERROR(IF(AND(ISNUMBER('SW OpInc'!I72),ISNUMBER('SW Rev'!I72),ISNUMBER('SW OpInc'!E72),ISNUMBER('SW Rev'!E72),'SW Rev'!I72&gt;0,'SW Rev'!E72&gt;0),('SW OpInc'!I72/'SW Rev'!I72-'SW OpInc'!E72/'SW Rev'!E72)*10000,""),"")</f>
        <v/>
      </c>
      <c r="F685" s="43">
        <f>IFERROR(IF(AND(ISNUMBER('SW OpInc'!J72),ISNUMBER('SW Rev'!J72),ISNUMBER('SW OpInc'!F72),ISNUMBER('SW Rev'!F72),'SW Rev'!J72&gt;0,'SW Rev'!F72&gt;0),('SW OpInc'!J72/'SW Rev'!J72-'SW OpInc'!F72/'SW Rev'!F72)*10000,""),"")</f>
        <v/>
      </c>
      <c r="G685" s="43">
        <f>IFERROR(IF(AND(ISNUMBER('SW OpInc'!K72),ISNUMBER('SW Rev'!K72),ISNUMBER('SW OpInc'!G72),ISNUMBER('SW Rev'!G72),'SW Rev'!K72&gt;0,'SW Rev'!G72&gt;0),('SW OpInc'!K72/'SW Rev'!K72-'SW OpInc'!G72/'SW Rev'!G72)*10000,""),"")</f>
        <v/>
      </c>
      <c r="H685" s="43">
        <f>IFERROR(IF(AND(ISNUMBER('SW OpInc'!L72),ISNUMBER('SW Rev'!L72),ISNUMBER('SW OpInc'!H72),ISNUMBER('SW Rev'!H72),'SW Rev'!L72&gt;0,'SW Rev'!H72&gt;0),('SW OpInc'!L72/'SW Rev'!L72-'SW OpInc'!H72/'SW Rev'!H72)*10000,""),"")</f>
        <v/>
      </c>
      <c r="I685" s="43">
        <f>IFERROR(IF(AND(ISNUMBER('SW OpInc'!M72),ISNUMBER('SW Rev'!M72),ISNUMBER('SW OpInc'!I72),ISNUMBER('SW Rev'!I72),'SW Rev'!M72&gt;0,'SW Rev'!I72&gt;0),('SW OpInc'!M72/'SW Rev'!M72-'SW OpInc'!I72/'SW Rev'!I72)*10000,""),"")</f>
        <v/>
      </c>
      <c r="J685" s="43">
        <f>IFERROR(IF(AND(ISNUMBER('SW OpInc'!N72),ISNUMBER('SW Rev'!N72),ISNUMBER('SW OpInc'!J72),ISNUMBER('SW Rev'!J72),'SW Rev'!N72&gt;0,'SW Rev'!J72&gt;0),('SW OpInc'!N72/'SW Rev'!N72-'SW OpInc'!J72/'SW Rev'!J72)*10000,""),"")</f>
        <v/>
      </c>
      <c r="K685" s="43">
        <f>IFERROR(IF(AND(ISNUMBER('SW OpInc'!O72),ISNUMBER('SW Rev'!O72),ISNUMBER('SW OpInc'!K72),ISNUMBER('SW Rev'!K72),'SW Rev'!O72&gt;0,'SW Rev'!K72&gt;0),('SW OpInc'!O72/'SW Rev'!O72-'SW OpInc'!K72/'SW Rev'!K72)*10000,""),"")</f>
        <v/>
      </c>
      <c r="L685" s="43">
        <f>IFERROR(IF(AND(ISNUMBER('SW OpInc'!P72),ISNUMBER('SW Rev'!P72),ISNUMBER('SW OpInc'!L72),ISNUMBER('SW Rev'!L72),'SW Rev'!P72&gt;0,'SW Rev'!L72&gt;0),('SW OpInc'!P72/'SW Rev'!P72-'SW OpInc'!L72/'SW Rev'!L72)*10000,""),"")</f>
        <v/>
      </c>
      <c r="M685" s="44">
        <f>IFERROR(IF(AND(ISNUMBER('SW OpInc'!Q72),ISNUMBER('SW Rev'!Q72),ISNUMBER('SW OpInc'!M72),ISNUMBER('SW Rev'!M72),'SW Rev'!Q72&gt;0,'SW Rev'!M72&gt;0),('SW OpInc'!Q72/'SW Rev'!Q72-'SW OpInc'!M72/'SW Rev'!M72)*10000,""),"")</f>
        <v/>
      </c>
      <c r="N685" s="44">
        <f>IFERROR(IF(AND(ISNUMBER('SW OpInc'!R72),ISNUMBER('SW Rev'!R72),ISNUMBER('SW OpInc'!N72),ISNUMBER('SW Rev'!N72),'SW Rev'!R72&gt;0,'SW Rev'!N72&gt;0),('SW OpInc'!R72/'SW Rev'!R72-'SW OpInc'!N72/'SW Rev'!N72)*10000,""),"")</f>
        <v/>
      </c>
    </row>
    <row r="686">
      <c r="A686" s="19">
        <f>'SW Rev'!$A73</f>
        <v/>
      </c>
      <c r="B686" s="19">
        <f>'SW Rev'!$B73</f>
        <v/>
      </c>
      <c r="C686" s="43">
        <f>IFERROR(IF(AND(ISNUMBER('SW OpInc'!G73),ISNUMBER('SW Rev'!G73),ISNUMBER('SW OpInc'!C73),ISNUMBER('SW Rev'!C73),'SW Rev'!G73&gt;0,'SW Rev'!C73&gt;0),('SW OpInc'!G73/'SW Rev'!G73-'SW OpInc'!C73/'SW Rev'!C73)*10000,""),"")</f>
        <v/>
      </c>
      <c r="D686" s="43">
        <f>IFERROR(IF(AND(ISNUMBER('SW OpInc'!H73),ISNUMBER('SW Rev'!H73),ISNUMBER('SW OpInc'!D73),ISNUMBER('SW Rev'!D73),'SW Rev'!H73&gt;0,'SW Rev'!D73&gt;0),('SW OpInc'!H73/'SW Rev'!H73-'SW OpInc'!D73/'SW Rev'!D73)*10000,""),"")</f>
        <v/>
      </c>
      <c r="E686" s="43">
        <f>IFERROR(IF(AND(ISNUMBER('SW OpInc'!I73),ISNUMBER('SW Rev'!I73),ISNUMBER('SW OpInc'!E73),ISNUMBER('SW Rev'!E73),'SW Rev'!I73&gt;0,'SW Rev'!E73&gt;0),('SW OpInc'!I73/'SW Rev'!I73-'SW OpInc'!E73/'SW Rev'!E73)*10000,""),"")</f>
        <v/>
      </c>
      <c r="F686" s="43">
        <f>IFERROR(IF(AND(ISNUMBER('SW OpInc'!J73),ISNUMBER('SW Rev'!J73),ISNUMBER('SW OpInc'!F73),ISNUMBER('SW Rev'!F73),'SW Rev'!J73&gt;0,'SW Rev'!F73&gt;0),('SW OpInc'!J73/'SW Rev'!J73-'SW OpInc'!F73/'SW Rev'!F73)*10000,""),"")</f>
        <v/>
      </c>
      <c r="G686" s="43">
        <f>IFERROR(IF(AND(ISNUMBER('SW OpInc'!K73),ISNUMBER('SW Rev'!K73),ISNUMBER('SW OpInc'!G73),ISNUMBER('SW Rev'!G73),'SW Rev'!K73&gt;0,'SW Rev'!G73&gt;0),('SW OpInc'!K73/'SW Rev'!K73-'SW OpInc'!G73/'SW Rev'!G73)*10000,""),"")</f>
        <v/>
      </c>
      <c r="H686" s="43">
        <f>IFERROR(IF(AND(ISNUMBER('SW OpInc'!L73),ISNUMBER('SW Rev'!L73),ISNUMBER('SW OpInc'!H73),ISNUMBER('SW Rev'!H73),'SW Rev'!L73&gt;0,'SW Rev'!H73&gt;0),('SW OpInc'!L73/'SW Rev'!L73-'SW OpInc'!H73/'SW Rev'!H73)*10000,""),"")</f>
        <v/>
      </c>
      <c r="I686" s="43">
        <f>IFERROR(IF(AND(ISNUMBER('SW OpInc'!M73),ISNUMBER('SW Rev'!M73),ISNUMBER('SW OpInc'!I73),ISNUMBER('SW Rev'!I73),'SW Rev'!M73&gt;0,'SW Rev'!I73&gt;0),('SW OpInc'!M73/'SW Rev'!M73-'SW OpInc'!I73/'SW Rev'!I73)*10000,""),"")</f>
        <v/>
      </c>
      <c r="J686" s="43">
        <f>IFERROR(IF(AND(ISNUMBER('SW OpInc'!N73),ISNUMBER('SW Rev'!N73),ISNUMBER('SW OpInc'!J73),ISNUMBER('SW Rev'!J73),'SW Rev'!N73&gt;0,'SW Rev'!J73&gt;0),('SW OpInc'!N73/'SW Rev'!N73-'SW OpInc'!J73/'SW Rev'!J73)*10000,""),"")</f>
        <v/>
      </c>
      <c r="K686" s="43">
        <f>IFERROR(IF(AND(ISNUMBER('SW OpInc'!O73),ISNUMBER('SW Rev'!O73),ISNUMBER('SW OpInc'!K73),ISNUMBER('SW Rev'!K73),'SW Rev'!O73&gt;0,'SW Rev'!K73&gt;0),('SW OpInc'!O73/'SW Rev'!O73-'SW OpInc'!K73/'SW Rev'!K73)*10000,""),"")</f>
        <v/>
      </c>
      <c r="L686" s="43">
        <f>IFERROR(IF(AND(ISNUMBER('SW OpInc'!P73),ISNUMBER('SW Rev'!P73),ISNUMBER('SW OpInc'!L73),ISNUMBER('SW Rev'!L73),'SW Rev'!P73&gt;0,'SW Rev'!L73&gt;0),('SW OpInc'!P73/'SW Rev'!P73-'SW OpInc'!L73/'SW Rev'!L73)*10000,""),"")</f>
        <v/>
      </c>
      <c r="M686" s="44">
        <f>IFERROR(IF(AND(ISNUMBER('SW OpInc'!Q73),ISNUMBER('SW Rev'!Q73),ISNUMBER('SW OpInc'!M73),ISNUMBER('SW Rev'!M73),'SW Rev'!Q73&gt;0,'SW Rev'!M73&gt;0),('SW OpInc'!Q73/'SW Rev'!Q73-'SW OpInc'!M73/'SW Rev'!M73)*10000,""),"")</f>
        <v/>
      </c>
      <c r="N686" s="44">
        <f>IFERROR(IF(AND(ISNUMBER('SW OpInc'!R73),ISNUMBER('SW Rev'!R73),ISNUMBER('SW OpInc'!N73),ISNUMBER('SW Rev'!N73),'SW Rev'!R73&gt;0,'SW Rev'!N73&gt;0),('SW OpInc'!R73/'SW Rev'!R73-'SW OpInc'!N73/'SW Rev'!N73)*10000,""),"")</f>
        <v/>
      </c>
    </row>
    <row r="687">
      <c r="A687" s="19">
        <f>'SW Rev'!$A74</f>
        <v/>
      </c>
      <c r="B687" s="19">
        <f>'SW Rev'!$B74</f>
        <v/>
      </c>
      <c r="C687" s="43">
        <f>IFERROR(IF(AND(ISNUMBER('SW OpInc'!G74),ISNUMBER('SW Rev'!G74),ISNUMBER('SW OpInc'!C74),ISNUMBER('SW Rev'!C74),'SW Rev'!G74&gt;0,'SW Rev'!C74&gt;0),('SW OpInc'!G74/'SW Rev'!G74-'SW OpInc'!C74/'SW Rev'!C74)*10000,""),"")</f>
        <v/>
      </c>
      <c r="D687" s="43">
        <f>IFERROR(IF(AND(ISNUMBER('SW OpInc'!H74),ISNUMBER('SW Rev'!H74),ISNUMBER('SW OpInc'!D74),ISNUMBER('SW Rev'!D74),'SW Rev'!H74&gt;0,'SW Rev'!D74&gt;0),('SW OpInc'!H74/'SW Rev'!H74-'SW OpInc'!D74/'SW Rev'!D74)*10000,""),"")</f>
        <v/>
      </c>
      <c r="E687" s="43">
        <f>IFERROR(IF(AND(ISNUMBER('SW OpInc'!I74),ISNUMBER('SW Rev'!I74),ISNUMBER('SW OpInc'!E74),ISNUMBER('SW Rev'!E74),'SW Rev'!I74&gt;0,'SW Rev'!E74&gt;0),('SW OpInc'!I74/'SW Rev'!I74-'SW OpInc'!E74/'SW Rev'!E74)*10000,""),"")</f>
        <v/>
      </c>
      <c r="F687" s="43">
        <f>IFERROR(IF(AND(ISNUMBER('SW OpInc'!J74),ISNUMBER('SW Rev'!J74),ISNUMBER('SW OpInc'!F74),ISNUMBER('SW Rev'!F74),'SW Rev'!J74&gt;0,'SW Rev'!F74&gt;0),('SW OpInc'!J74/'SW Rev'!J74-'SW OpInc'!F74/'SW Rev'!F74)*10000,""),"")</f>
        <v/>
      </c>
      <c r="G687" s="43">
        <f>IFERROR(IF(AND(ISNUMBER('SW OpInc'!K74),ISNUMBER('SW Rev'!K74),ISNUMBER('SW OpInc'!G74),ISNUMBER('SW Rev'!G74),'SW Rev'!K74&gt;0,'SW Rev'!G74&gt;0),('SW OpInc'!K74/'SW Rev'!K74-'SW OpInc'!G74/'SW Rev'!G74)*10000,""),"")</f>
        <v/>
      </c>
      <c r="H687" s="43">
        <f>IFERROR(IF(AND(ISNUMBER('SW OpInc'!L74),ISNUMBER('SW Rev'!L74),ISNUMBER('SW OpInc'!H74),ISNUMBER('SW Rev'!H74),'SW Rev'!L74&gt;0,'SW Rev'!H74&gt;0),('SW OpInc'!L74/'SW Rev'!L74-'SW OpInc'!H74/'SW Rev'!H74)*10000,""),"")</f>
        <v/>
      </c>
      <c r="I687" s="43">
        <f>IFERROR(IF(AND(ISNUMBER('SW OpInc'!M74),ISNUMBER('SW Rev'!M74),ISNUMBER('SW OpInc'!I74),ISNUMBER('SW Rev'!I74),'SW Rev'!M74&gt;0,'SW Rev'!I74&gt;0),('SW OpInc'!M74/'SW Rev'!M74-'SW OpInc'!I74/'SW Rev'!I74)*10000,""),"")</f>
        <v/>
      </c>
      <c r="J687" s="43">
        <f>IFERROR(IF(AND(ISNUMBER('SW OpInc'!N74),ISNUMBER('SW Rev'!N74),ISNUMBER('SW OpInc'!J74),ISNUMBER('SW Rev'!J74),'SW Rev'!N74&gt;0,'SW Rev'!J74&gt;0),('SW OpInc'!N74/'SW Rev'!N74-'SW OpInc'!J74/'SW Rev'!J74)*10000,""),"")</f>
        <v/>
      </c>
      <c r="K687" s="43">
        <f>IFERROR(IF(AND(ISNUMBER('SW OpInc'!O74),ISNUMBER('SW Rev'!O74),ISNUMBER('SW OpInc'!K74),ISNUMBER('SW Rev'!K74),'SW Rev'!O74&gt;0,'SW Rev'!K74&gt;0),('SW OpInc'!O74/'SW Rev'!O74-'SW OpInc'!K74/'SW Rev'!K74)*10000,""),"")</f>
        <v/>
      </c>
      <c r="L687" s="43">
        <f>IFERROR(IF(AND(ISNUMBER('SW OpInc'!P74),ISNUMBER('SW Rev'!P74),ISNUMBER('SW OpInc'!L74),ISNUMBER('SW Rev'!L74),'SW Rev'!P74&gt;0,'SW Rev'!L74&gt;0),('SW OpInc'!P74/'SW Rev'!P74-'SW OpInc'!L74/'SW Rev'!L74)*10000,""),"")</f>
        <v/>
      </c>
      <c r="M687" s="44">
        <f>IFERROR(IF(AND(ISNUMBER('SW OpInc'!Q74),ISNUMBER('SW Rev'!Q74),ISNUMBER('SW OpInc'!M74),ISNUMBER('SW Rev'!M74),'SW Rev'!Q74&gt;0,'SW Rev'!M74&gt;0),('SW OpInc'!Q74/'SW Rev'!Q74-'SW OpInc'!M74/'SW Rev'!M74)*10000,""),"")</f>
        <v/>
      </c>
      <c r="N687" s="44">
        <f>IFERROR(IF(AND(ISNUMBER('SW OpInc'!R74),ISNUMBER('SW Rev'!R74),ISNUMBER('SW OpInc'!N74),ISNUMBER('SW Rev'!N74),'SW Rev'!R74&gt;0,'SW Rev'!N74&gt;0),('SW OpInc'!R74/'SW Rev'!R74-'SW OpInc'!N74/'SW Rev'!N74)*10000,""),"")</f>
        <v/>
      </c>
    </row>
    <row r="688">
      <c r="A688" s="19">
        <f>'SW Rev'!$A75</f>
        <v/>
      </c>
      <c r="B688" s="19">
        <f>'SW Rev'!$B75</f>
        <v/>
      </c>
      <c r="C688" s="43">
        <f>IFERROR(IF(AND(ISNUMBER('SW OpInc'!G75),ISNUMBER('SW Rev'!G75),ISNUMBER('SW OpInc'!C75),ISNUMBER('SW Rev'!C75),'SW Rev'!G75&gt;0,'SW Rev'!C75&gt;0),('SW OpInc'!G75/'SW Rev'!G75-'SW OpInc'!C75/'SW Rev'!C75)*10000,""),"")</f>
        <v/>
      </c>
      <c r="D688" s="43">
        <f>IFERROR(IF(AND(ISNUMBER('SW OpInc'!H75),ISNUMBER('SW Rev'!H75),ISNUMBER('SW OpInc'!D75),ISNUMBER('SW Rev'!D75),'SW Rev'!H75&gt;0,'SW Rev'!D75&gt;0),('SW OpInc'!H75/'SW Rev'!H75-'SW OpInc'!D75/'SW Rev'!D75)*10000,""),"")</f>
        <v/>
      </c>
      <c r="E688" s="43">
        <f>IFERROR(IF(AND(ISNUMBER('SW OpInc'!I75),ISNUMBER('SW Rev'!I75),ISNUMBER('SW OpInc'!E75),ISNUMBER('SW Rev'!E75),'SW Rev'!I75&gt;0,'SW Rev'!E75&gt;0),('SW OpInc'!I75/'SW Rev'!I75-'SW OpInc'!E75/'SW Rev'!E75)*10000,""),"")</f>
        <v/>
      </c>
      <c r="F688" s="43">
        <f>IFERROR(IF(AND(ISNUMBER('SW OpInc'!J75),ISNUMBER('SW Rev'!J75),ISNUMBER('SW OpInc'!F75),ISNUMBER('SW Rev'!F75),'SW Rev'!J75&gt;0,'SW Rev'!F75&gt;0),('SW OpInc'!J75/'SW Rev'!J75-'SW OpInc'!F75/'SW Rev'!F75)*10000,""),"")</f>
        <v/>
      </c>
      <c r="G688" s="43">
        <f>IFERROR(IF(AND(ISNUMBER('SW OpInc'!K75),ISNUMBER('SW Rev'!K75),ISNUMBER('SW OpInc'!G75),ISNUMBER('SW Rev'!G75),'SW Rev'!K75&gt;0,'SW Rev'!G75&gt;0),('SW OpInc'!K75/'SW Rev'!K75-'SW OpInc'!G75/'SW Rev'!G75)*10000,""),"")</f>
        <v/>
      </c>
      <c r="H688" s="43">
        <f>IFERROR(IF(AND(ISNUMBER('SW OpInc'!L75),ISNUMBER('SW Rev'!L75),ISNUMBER('SW OpInc'!H75),ISNUMBER('SW Rev'!H75),'SW Rev'!L75&gt;0,'SW Rev'!H75&gt;0),('SW OpInc'!L75/'SW Rev'!L75-'SW OpInc'!H75/'SW Rev'!H75)*10000,""),"")</f>
        <v/>
      </c>
      <c r="I688" s="43">
        <f>IFERROR(IF(AND(ISNUMBER('SW OpInc'!M75),ISNUMBER('SW Rev'!M75),ISNUMBER('SW OpInc'!I75),ISNUMBER('SW Rev'!I75),'SW Rev'!M75&gt;0,'SW Rev'!I75&gt;0),('SW OpInc'!M75/'SW Rev'!M75-'SW OpInc'!I75/'SW Rev'!I75)*10000,""),"")</f>
        <v/>
      </c>
      <c r="J688" s="43">
        <f>IFERROR(IF(AND(ISNUMBER('SW OpInc'!N75),ISNUMBER('SW Rev'!N75),ISNUMBER('SW OpInc'!J75),ISNUMBER('SW Rev'!J75),'SW Rev'!N75&gt;0,'SW Rev'!J75&gt;0),('SW OpInc'!N75/'SW Rev'!N75-'SW OpInc'!J75/'SW Rev'!J75)*10000,""),"")</f>
        <v/>
      </c>
      <c r="K688" s="43">
        <f>IFERROR(IF(AND(ISNUMBER('SW OpInc'!O75),ISNUMBER('SW Rev'!O75),ISNUMBER('SW OpInc'!K75),ISNUMBER('SW Rev'!K75),'SW Rev'!O75&gt;0,'SW Rev'!K75&gt;0),('SW OpInc'!O75/'SW Rev'!O75-'SW OpInc'!K75/'SW Rev'!K75)*10000,""),"")</f>
        <v/>
      </c>
      <c r="L688" s="43">
        <f>IFERROR(IF(AND(ISNUMBER('SW OpInc'!P75),ISNUMBER('SW Rev'!P75),ISNUMBER('SW OpInc'!L75),ISNUMBER('SW Rev'!L75),'SW Rev'!P75&gt;0,'SW Rev'!L75&gt;0),('SW OpInc'!P75/'SW Rev'!P75-'SW OpInc'!L75/'SW Rev'!L75)*10000,""),"")</f>
        <v/>
      </c>
      <c r="M688" s="44">
        <f>IFERROR(IF(AND(ISNUMBER('SW OpInc'!Q75),ISNUMBER('SW Rev'!Q75),ISNUMBER('SW OpInc'!M75),ISNUMBER('SW Rev'!M75),'SW Rev'!Q75&gt;0,'SW Rev'!M75&gt;0),('SW OpInc'!Q75/'SW Rev'!Q75-'SW OpInc'!M75/'SW Rev'!M75)*10000,""),"")</f>
        <v/>
      </c>
      <c r="N688" s="44">
        <f>IFERROR(IF(AND(ISNUMBER('SW OpInc'!R75),ISNUMBER('SW Rev'!R75),ISNUMBER('SW OpInc'!N75),ISNUMBER('SW Rev'!N75),'SW Rev'!R75&gt;0,'SW Rev'!N75&gt;0),('SW OpInc'!R75/'SW Rev'!R75-'SW OpInc'!N75/'SW Rev'!N75)*10000,""),"")</f>
        <v/>
      </c>
    </row>
    <row r="689">
      <c r="A689" s="19">
        <f>'SW Rev'!$A76</f>
        <v/>
      </c>
      <c r="B689" s="19">
        <f>'SW Rev'!$B76</f>
        <v/>
      </c>
      <c r="C689" s="43">
        <f>IFERROR(IF(AND(ISNUMBER('SW OpInc'!G76),ISNUMBER('SW Rev'!G76),ISNUMBER('SW OpInc'!C76),ISNUMBER('SW Rev'!C76),'SW Rev'!G76&gt;0,'SW Rev'!C76&gt;0),('SW OpInc'!G76/'SW Rev'!G76-'SW OpInc'!C76/'SW Rev'!C76)*10000,""),"")</f>
        <v/>
      </c>
      <c r="D689" s="43">
        <f>IFERROR(IF(AND(ISNUMBER('SW OpInc'!H76),ISNUMBER('SW Rev'!H76),ISNUMBER('SW OpInc'!D76),ISNUMBER('SW Rev'!D76),'SW Rev'!H76&gt;0,'SW Rev'!D76&gt;0),('SW OpInc'!H76/'SW Rev'!H76-'SW OpInc'!D76/'SW Rev'!D76)*10000,""),"")</f>
        <v/>
      </c>
      <c r="E689" s="43">
        <f>IFERROR(IF(AND(ISNUMBER('SW OpInc'!I76),ISNUMBER('SW Rev'!I76),ISNUMBER('SW OpInc'!E76),ISNUMBER('SW Rev'!E76),'SW Rev'!I76&gt;0,'SW Rev'!E76&gt;0),('SW OpInc'!I76/'SW Rev'!I76-'SW OpInc'!E76/'SW Rev'!E76)*10000,""),"")</f>
        <v/>
      </c>
      <c r="F689" s="43">
        <f>IFERROR(IF(AND(ISNUMBER('SW OpInc'!J76),ISNUMBER('SW Rev'!J76),ISNUMBER('SW OpInc'!F76),ISNUMBER('SW Rev'!F76),'SW Rev'!J76&gt;0,'SW Rev'!F76&gt;0),('SW OpInc'!J76/'SW Rev'!J76-'SW OpInc'!F76/'SW Rev'!F76)*10000,""),"")</f>
        <v/>
      </c>
      <c r="G689" s="43">
        <f>IFERROR(IF(AND(ISNUMBER('SW OpInc'!K76),ISNUMBER('SW Rev'!K76),ISNUMBER('SW OpInc'!G76),ISNUMBER('SW Rev'!G76),'SW Rev'!K76&gt;0,'SW Rev'!G76&gt;0),('SW OpInc'!K76/'SW Rev'!K76-'SW OpInc'!G76/'SW Rev'!G76)*10000,""),"")</f>
        <v/>
      </c>
      <c r="H689" s="43">
        <f>IFERROR(IF(AND(ISNUMBER('SW OpInc'!L76),ISNUMBER('SW Rev'!L76),ISNUMBER('SW OpInc'!H76),ISNUMBER('SW Rev'!H76),'SW Rev'!L76&gt;0,'SW Rev'!H76&gt;0),('SW OpInc'!L76/'SW Rev'!L76-'SW OpInc'!H76/'SW Rev'!H76)*10000,""),"")</f>
        <v/>
      </c>
      <c r="I689" s="43">
        <f>IFERROR(IF(AND(ISNUMBER('SW OpInc'!M76),ISNUMBER('SW Rev'!M76),ISNUMBER('SW OpInc'!I76),ISNUMBER('SW Rev'!I76),'SW Rev'!M76&gt;0,'SW Rev'!I76&gt;0),('SW OpInc'!M76/'SW Rev'!M76-'SW OpInc'!I76/'SW Rev'!I76)*10000,""),"")</f>
        <v/>
      </c>
      <c r="J689" s="43">
        <f>IFERROR(IF(AND(ISNUMBER('SW OpInc'!N76),ISNUMBER('SW Rev'!N76),ISNUMBER('SW OpInc'!J76),ISNUMBER('SW Rev'!J76),'SW Rev'!N76&gt;0,'SW Rev'!J76&gt;0),('SW OpInc'!N76/'SW Rev'!N76-'SW OpInc'!J76/'SW Rev'!J76)*10000,""),"")</f>
        <v/>
      </c>
      <c r="K689" s="43">
        <f>IFERROR(IF(AND(ISNUMBER('SW OpInc'!O76),ISNUMBER('SW Rev'!O76),ISNUMBER('SW OpInc'!K76),ISNUMBER('SW Rev'!K76),'SW Rev'!O76&gt;0,'SW Rev'!K76&gt;0),('SW OpInc'!O76/'SW Rev'!O76-'SW OpInc'!K76/'SW Rev'!K76)*10000,""),"")</f>
        <v/>
      </c>
      <c r="L689" s="43">
        <f>IFERROR(IF(AND(ISNUMBER('SW OpInc'!P76),ISNUMBER('SW Rev'!P76),ISNUMBER('SW OpInc'!L76),ISNUMBER('SW Rev'!L76),'SW Rev'!P76&gt;0,'SW Rev'!L76&gt;0),('SW OpInc'!P76/'SW Rev'!P76-'SW OpInc'!L76/'SW Rev'!L76)*10000,""),"")</f>
        <v/>
      </c>
      <c r="M689" s="44">
        <f>IFERROR(IF(AND(ISNUMBER('SW OpInc'!Q76),ISNUMBER('SW Rev'!Q76),ISNUMBER('SW OpInc'!M76),ISNUMBER('SW Rev'!M76),'SW Rev'!Q76&gt;0,'SW Rev'!M76&gt;0),('SW OpInc'!Q76/'SW Rev'!Q76-'SW OpInc'!M76/'SW Rev'!M76)*10000,""),"")</f>
        <v/>
      </c>
      <c r="N689" s="44">
        <f>IFERROR(IF(AND(ISNUMBER('SW OpInc'!R76),ISNUMBER('SW Rev'!R76),ISNUMBER('SW OpInc'!N76),ISNUMBER('SW Rev'!N76),'SW Rev'!R76&gt;0,'SW Rev'!N76&gt;0),('SW OpInc'!R76/'SW Rev'!R76-'SW OpInc'!N76/'SW Rev'!N76)*10000,""),"")</f>
        <v/>
      </c>
    </row>
    <row r="690">
      <c r="A690" s="19">
        <f>'SW Rev'!$A77</f>
        <v/>
      </c>
      <c r="B690" s="19">
        <f>'SW Rev'!$B77</f>
        <v/>
      </c>
      <c r="C690" s="43">
        <f>IFERROR(IF(AND(ISNUMBER('SW OpInc'!G77),ISNUMBER('SW Rev'!G77),ISNUMBER('SW OpInc'!C77),ISNUMBER('SW Rev'!C77),'SW Rev'!G77&gt;0,'SW Rev'!C77&gt;0),('SW OpInc'!G77/'SW Rev'!G77-'SW OpInc'!C77/'SW Rev'!C77)*10000,""),"")</f>
        <v/>
      </c>
      <c r="D690" s="43">
        <f>IFERROR(IF(AND(ISNUMBER('SW OpInc'!H77),ISNUMBER('SW Rev'!H77),ISNUMBER('SW OpInc'!D77),ISNUMBER('SW Rev'!D77),'SW Rev'!H77&gt;0,'SW Rev'!D77&gt;0),('SW OpInc'!H77/'SW Rev'!H77-'SW OpInc'!D77/'SW Rev'!D77)*10000,""),"")</f>
        <v/>
      </c>
      <c r="E690" s="43">
        <f>IFERROR(IF(AND(ISNUMBER('SW OpInc'!I77),ISNUMBER('SW Rev'!I77),ISNUMBER('SW OpInc'!E77),ISNUMBER('SW Rev'!E77),'SW Rev'!I77&gt;0,'SW Rev'!E77&gt;0),('SW OpInc'!I77/'SW Rev'!I77-'SW OpInc'!E77/'SW Rev'!E77)*10000,""),"")</f>
        <v/>
      </c>
      <c r="F690" s="43">
        <f>IFERROR(IF(AND(ISNUMBER('SW OpInc'!J77),ISNUMBER('SW Rev'!J77),ISNUMBER('SW OpInc'!F77),ISNUMBER('SW Rev'!F77),'SW Rev'!J77&gt;0,'SW Rev'!F77&gt;0),('SW OpInc'!J77/'SW Rev'!J77-'SW OpInc'!F77/'SW Rev'!F77)*10000,""),"")</f>
        <v/>
      </c>
      <c r="G690" s="43">
        <f>IFERROR(IF(AND(ISNUMBER('SW OpInc'!K77),ISNUMBER('SW Rev'!K77),ISNUMBER('SW OpInc'!G77),ISNUMBER('SW Rev'!G77),'SW Rev'!K77&gt;0,'SW Rev'!G77&gt;0),('SW OpInc'!K77/'SW Rev'!K77-'SW OpInc'!G77/'SW Rev'!G77)*10000,""),"")</f>
        <v/>
      </c>
      <c r="H690" s="43">
        <f>IFERROR(IF(AND(ISNUMBER('SW OpInc'!L77),ISNUMBER('SW Rev'!L77),ISNUMBER('SW OpInc'!H77),ISNUMBER('SW Rev'!H77),'SW Rev'!L77&gt;0,'SW Rev'!H77&gt;0),('SW OpInc'!L77/'SW Rev'!L77-'SW OpInc'!H77/'SW Rev'!H77)*10000,""),"")</f>
        <v/>
      </c>
      <c r="I690" s="43">
        <f>IFERROR(IF(AND(ISNUMBER('SW OpInc'!M77),ISNUMBER('SW Rev'!M77),ISNUMBER('SW OpInc'!I77),ISNUMBER('SW Rev'!I77),'SW Rev'!M77&gt;0,'SW Rev'!I77&gt;0),('SW OpInc'!M77/'SW Rev'!M77-'SW OpInc'!I77/'SW Rev'!I77)*10000,""),"")</f>
        <v/>
      </c>
      <c r="J690" s="43">
        <f>IFERROR(IF(AND(ISNUMBER('SW OpInc'!N77),ISNUMBER('SW Rev'!N77),ISNUMBER('SW OpInc'!J77),ISNUMBER('SW Rev'!J77),'SW Rev'!N77&gt;0,'SW Rev'!J77&gt;0),('SW OpInc'!N77/'SW Rev'!N77-'SW OpInc'!J77/'SW Rev'!J77)*10000,""),"")</f>
        <v/>
      </c>
      <c r="K690" s="43">
        <f>IFERROR(IF(AND(ISNUMBER('SW OpInc'!O77),ISNUMBER('SW Rev'!O77),ISNUMBER('SW OpInc'!K77),ISNUMBER('SW Rev'!K77),'SW Rev'!O77&gt;0,'SW Rev'!K77&gt;0),('SW OpInc'!O77/'SW Rev'!O77-'SW OpInc'!K77/'SW Rev'!K77)*10000,""),"")</f>
        <v/>
      </c>
      <c r="L690" s="43">
        <f>IFERROR(IF(AND(ISNUMBER('SW OpInc'!P77),ISNUMBER('SW Rev'!P77),ISNUMBER('SW OpInc'!L77),ISNUMBER('SW Rev'!L77),'SW Rev'!P77&gt;0,'SW Rev'!L77&gt;0),('SW OpInc'!P77/'SW Rev'!P77-'SW OpInc'!L77/'SW Rev'!L77)*10000,""),"")</f>
        <v/>
      </c>
      <c r="M690" s="44">
        <f>IFERROR(IF(AND(ISNUMBER('SW OpInc'!Q77),ISNUMBER('SW Rev'!Q77),ISNUMBER('SW OpInc'!M77),ISNUMBER('SW Rev'!M77),'SW Rev'!Q77&gt;0,'SW Rev'!M77&gt;0),('SW OpInc'!Q77/'SW Rev'!Q77-'SW OpInc'!M77/'SW Rev'!M77)*10000,""),"")</f>
        <v/>
      </c>
      <c r="N690" s="44">
        <f>IFERROR(IF(AND(ISNUMBER('SW OpInc'!R77),ISNUMBER('SW Rev'!R77),ISNUMBER('SW OpInc'!N77),ISNUMBER('SW Rev'!N77),'SW Rev'!R77&gt;0,'SW Rev'!N77&gt;0),('SW OpInc'!R77/'SW Rev'!R77-'SW OpInc'!N77/'SW Rev'!N77)*10000,""),"")</f>
        <v/>
      </c>
    </row>
    <row r="691">
      <c r="A691" s="19">
        <f>'SW Rev'!$A78</f>
        <v/>
      </c>
      <c r="B691" s="19">
        <f>'SW Rev'!$B78</f>
        <v/>
      </c>
      <c r="C691" s="43">
        <f>IFERROR(IF(AND(ISNUMBER('SW OpInc'!G78),ISNUMBER('SW Rev'!G78),ISNUMBER('SW OpInc'!C78),ISNUMBER('SW Rev'!C78),'SW Rev'!G78&gt;0,'SW Rev'!C78&gt;0),('SW OpInc'!G78/'SW Rev'!G78-'SW OpInc'!C78/'SW Rev'!C78)*10000,""),"")</f>
        <v/>
      </c>
      <c r="D691" s="43">
        <f>IFERROR(IF(AND(ISNUMBER('SW OpInc'!H78),ISNUMBER('SW Rev'!H78),ISNUMBER('SW OpInc'!D78),ISNUMBER('SW Rev'!D78),'SW Rev'!H78&gt;0,'SW Rev'!D78&gt;0),('SW OpInc'!H78/'SW Rev'!H78-'SW OpInc'!D78/'SW Rev'!D78)*10000,""),"")</f>
        <v/>
      </c>
      <c r="E691" s="43">
        <f>IFERROR(IF(AND(ISNUMBER('SW OpInc'!I78),ISNUMBER('SW Rev'!I78),ISNUMBER('SW OpInc'!E78),ISNUMBER('SW Rev'!E78),'SW Rev'!I78&gt;0,'SW Rev'!E78&gt;0),('SW OpInc'!I78/'SW Rev'!I78-'SW OpInc'!E78/'SW Rev'!E78)*10000,""),"")</f>
        <v/>
      </c>
      <c r="F691" s="43">
        <f>IFERROR(IF(AND(ISNUMBER('SW OpInc'!J78),ISNUMBER('SW Rev'!J78),ISNUMBER('SW OpInc'!F78),ISNUMBER('SW Rev'!F78),'SW Rev'!J78&gt;0,'SW Rev'!F78&gt;0),('SW OpInc'!J78/'SW Rev'!J78-'SW OpInc'!F78/'SW Rev'!F78)*10000,""),"")</f>
        <v/>
      </c>
      <c r="G691" s="43">
        <f>IFERROR(IF(AND(ISNUMBER('SW OpInc'!K78),ISNUMBER('SW Rev'!K78),ISNUMBER('SW OpInc'!G78),ISNUMBER('SW Rev'!G78),'SW Rev'!K78&gt;0,'SW Rev'!G78&gt;0),('SW OpInc'!K78/'SW Rev'!K78-'SW OpInc'!G78/'SW Rev'!G78)*10000,""),"")</f>
        <v/>
      </c>
      <c r="H691" s="43">
        <f>IFERROR(IF(AND(ISNUMBER('SW OpInc'!L78),ISNUMBER('SW Rev'!L78),ISNUMBER('SW OpInc'!H78),ISNUMBER('SW Rev'!H78),'SW Rev'!L78&gt;0,'SW Rev'!H78&gt;0),('SW OpInc'!L78/'SW Rev'!L78-'SW OpInc'!H78/'SW Rev'!H78)*10000,""),"")</f>
        <v/>
      </c>
      <c r="I691" s="43">
        <f>IFERROR(IF(AND(ISNUMBER('SW OpInc'!M78),ISNUMBER('SW Rev'!M78),ISNUMBER('SW OpInc'!I78),ISNUMBER('SW Rev'!I78),'SW Rev'!M78&gt;0,'SW Rev'!I78&gt;0),('SW OpInc'!M78/'SW Rev'!M78-'SW OpInc'!I78/'SW Rev'!I78)*10000,""),"")</f>
        <v/>
      </c>
      <c r="J691" s="43">
        <f>IFERROR(IF(AND(ISNUMBER('SW OpInc'!N78),ISNUMBER('SW Rev'!N78),ISNUMBER('SW OpInc'!J78),ISNUMBER('SW Rev'!J78),'SW Rev'!N78&gt;0,'SW Rev'!J78&gt;0),('SW OpInc'!N78/'SW Rev'!N78-'SW OpInc'!J78/'SW Rev'!J78)*10000,""),"")</f>
        <v/>
      </c>
      <c r="K691" s="43">
        <f>IFERROR(IF(AND(ISNUMBER('SW OpInc'!O78),ISNUMBER('SW Rev'!O78),ISNUMBER('SW OpInc'!K78),ISNUMBER('SW Rev'!K78),'SW Rev'!O78&gt;0,'SW Rev'!K78&gt;0),('SW OpInc'!O78/'SW Rev'!O78-'SW OpInc'!K78/'SW Rev'!K78)*10000,""),"")</f>
        <v/>
      </c>
      <c r="L691" s="43">
        <f>IFERROR(IF(AND(ISNUMBER('SW OpInc'!P78),ISNUMBER('SW Rev'!P78),ISNUMBER('SW OpInc'!L78),ISNUMBER('SW Rev'!L78),'SW Rev'!P78&gt;0,'SW Rev'!L78&gt;0),('SW OpInc'!P78/'SW Rev'!P78-'SW OpInc'!L78/'SW Rev'!L78)*10000,""),"")</f>
        <v/>
      </c>
      <c r="M691" s="44">
        <f>IFERROR(IF(AND(ISNUMBER('SW OpInc'!Q78),ISNUMBER('SW Rev'!Q78),ISNUMBER('SW OpInc'!M78),ISNUMBER('SW Rev'!M78),'SW Rev'!Q78&gt;0,'SW Rev'!M78&gt;0),('SW OpInc'!Q78/'SW Rev'!Q78-'SW OpInc'!M78/'SW Rev'!M78)*10000,""),"")</f>
        <v/>
      </c>
      <c r="N691" s="44">
        <f>IFERROR(IF(AND(ISNUMBER('SW OpInc'!R78),ISNUMBER('SW Rev'!R78),ISNUMBER('SW OpInc'!N78),ISNUMBER('SW Rev'!N78),'SW Rev'!R78&gt;0,'SW Rev'!N78&gt;0),('SW OpInc'!R78/'SW Rev'!R78-'SW OpInc'!N78/'SW Rev'!N78)*10000,""),"")</f>
        <v/>
      </c>
    </row>
    <row r="692">
      <c r="A692" s="19">
        <f>'SW Rev'!$A79</f>
        <v/>
      </c>
      <c r="B692" s="19">
        <f>'SW Rev'!$B79</f>
        <v/>
      </c>
      <c r="C692" s="43">
        <f>IFERROR(IF(AND(ISNUMBER('SW OpInc'!G79),ISNUMBER('SW Rev'!G79),ISNUMBER('SW OpInc'!C79),ISNUMBER('SW Rev'!C79),'SW Rev'!G79&gt;0,'SW Rev'!C79&gt;0),('SW OpInc'!G79/'SW Rev'!G79-'SW OpInc'!C79/'SW Rev'!C79)*10000,""),"")</f>
        <v/>
      </c>
      <c r="D692" s="43">
        <f>IFERROR(IF(AND(ISNUMBER('SW OpInc'!H79),ISNUMBER('SW Rev'!H79),ISNUMBER('SW OpInc'!D79),ISNUMBER('SW Rev'!D79),'SW Rev'!H79&gt;0,'SW Rev'!D79&gt;0),('SW OpInc'!H79/'SW Rev'!H79-'SW OpInc'!D79/'SW Rev'!D79)*10000,""),"")</f>
        <v/>
      </c>
      <c r="E692" s="43">
        <f>IFERROR(IF(AND(ISNUMBER('SW OpInc'!I79),ISNUMBER('SW Rev'!I79),ISNUMBER('SW OpInc'!E79),ISNUMBER('SW Rev'!E79),'SW Rev'!I79&gt;0,'SW Rev'!E79&gt;0),('SW OpInc'!I79/'SW Rev'!I79-'SW OpInc'!E79/'SW Rev'!E79)*10000,""),"")</f>
        <v/>
      </c>
      <c r="F692" s="43">
        <f>IFERROR(IF(AND(ISNUMBER('SW OpInc'!J79),ISNUMBER('SW Rev'!J79),ISNUMBER('SW OpInc'!F79),ISNUMBER('SW Rev'!F79),'SW Rev'!J79&gt;0,'SW Rev'!F79&gt;0),('SW OpInc'!J79/'SW Rev'!J79-'SW OpInc'!F79/'SW Rev'!F79)*10000,""),"")</f>
        <v/>
      </c>
      <c r="G692" s="43">
        <f>IFERROR(IF(AND(ISNUMBER('SW OpInc'!K79),ISNUMBER('SW Rev'!K79),ISNUMBER('SW OpInc'!G79),ISNUMBER('SW Rev'!G79),'SW Rev'!K79&gt;0,'SW Rev'!G79&gt;0),('SW OpInc'!K79/'SW Rev'!K79-'SW OpInc'!G79/'SW Rev'!G79)*10000,""),"")</f>
        <v/>
      </c>
      <c r="H692" s="43">
        <f>IFERROR(IF(AND(ISNUMBER('SW OpInc'!L79),ISNUMBER('SW Rev'!L79),ISNUMBER('SW OpInc'!H79),ISNUMBER('SW Rev'!H79),'SW Rev'!L79&gt;0,'SW Rev'!H79&gt;0),('SW OpInc'!L79/'SW Rev'!L79-'SW OpInc'!H79/'SW Rev'!H79)*10000,""),"")</f>
        <v/>
      </c>
      <c r="I692" s="43">
        <f>IFERROR(IF(AND(ISNUMBER('SW OpInc'!M79),ISNUMBER('SW Rev'!M79),ISNUMBER('SW OpInc'!I79),ISNUMBER('SW Rev'!I79),'SW Rev'!M79&gt;0,'SW Rev'!I79&gt;0),('SW OpInc'!M79/'SW Rev'!M79-'SW OpInc'!I79/'SW Rev'!I79)*10000,""),"")</f>
        <v/>
      </c>
      <c r="J692" s="43">
        <f>IFERROR(IF(AND(ISNUMBER('SW OpInc'!N79),ISNUMBER('SW Rev'!N79),ISNUMBER('SW OpInc'!J79),ISNUMBER('SW Rev'!J79),'SW Rev'!N79&gt;0,'SW Rev'!J79&gt;0),('SW OpInc'!N79/'SW Rev'!N79-'SW OpInc'!J79/'SW Rev'!J79)*10000,""),"")</f>
        <v/>
      </c>
      <c r="K692" s="43">
        <f>IFERROR(IF(AND(ISNUMBER('SW OpInc'!O79),ISNUMBER('SW Rev'!O79),ISNUMBER('SW OpInc'!K79),ISNUMBER('SW Rev'!K79),'SW Rev'!O79&gt;0,'SW Rev'!K79&gt;0),('SW OpInc'!O79/'SW Rev'!O79-'SW OpInc'!K79/'SW Rev'!K79)*10000,""),"")</f>
        <v/>
      </c>
      <c r="L692" s="43">
        <f>IFERROR(IF(AND(ISNUMBER('SW OpInc'!P79),ISNUMBER('SW Rev'!P79),ISNUMBER('SW OpInc'!L79),ISNUMBER('SW Rev'!L79),'SW Rev'!P79&gt;0,'SW Rev'!L79&gt;0),('SW OpInc'!P79/'SW Rev'!P79-'SW OpInc'!L79/'SW Rev'!L79)*10000,""),"")</f>
        <v/>
      </c>
      <c r="M692" s="44">
        <f>IFERROR(IF(AND(ISNUMBER('SW OpInc'!Q79),ISNUMBER('SW Rev'!Q79),ISNUMBER('SW OpInc'!M79),ISNUMBER('SW Rev'!M79),'SW Rev'!Q79&gt;0,'SW Rev'!M79&gt;0),('SW OpInc'!Q79/'SW Rev'!Q79-'SW OpInc'!M79/'SW Rev'!M79)*10000,""),"")</f>
        <v/>
      </c>
      <c r="N692" s="44">
        <f>IFERROR(IF(AND(ISNUMBER('SW OpInc'!R79),ISNUMBER('SW Rev'!R79),ISNUMBER('SW OpInc'!N79),ISNUMBER('SW Rev'!N79),'SW Rev'!R79&gt;0,'SW Rev'!N79&gt;0),('SW OpInc'!R79/'SW Rev'!R79-'SW OpInc'!N79/'SW Rev'!N79)*10000,""),"")</f>
        <v/>
      </c>
    </row>
    <row r="693">
      <c r="A693" s="19">
        <f>'SW Rev'!$A80</f>
        <v/>
      </c>
      <c r="B693" s="19">
        <f>'SW Rev'!$B80</f>
        <v/>
      </c>
      <c r="C693" s="43">
        <f>IFERROR(IF(AND(ISNUMBER('SW OpInc'!G80),ISNUMBER('SW Rev'!G80),ISNUMBER('SW OpInc'!C80),ISNUMBER('SW Rev'!C80),'SW Rev'!G80&gt;0,'SW Rev'!C80&gt;0),('SW OpInc'!G80/'SW Rev'!G80-'SW OpInc'!C80/'SW Rev'!C80)*10000,""),"")</f>
        <v/>
      </c>
      <c r="D693" s="43">
        <f>IFERROR(IF(AND(ISNUMBER('SW OpInc'!H80),ISNUMBER('SW Rev'!H80),ISNUMBER('SW OpInc'!D80),ISNUMBER('SW Rev'!D80),'SW Rev'!H80&gt;0,'SW Rev'!D80&gt;0),('SW OpInc'!H80/'SW Rev'!H80-'SW OpInc'!D80/'SW Rev'!D80)*10000,""),"")</f>
        <v/>
      </c>
      <c r="E693" s="43">
        <f>IFERROR(IF(AND(ISNUMBER('SW OpInc'!I80),ISNUMBER('SW Rev'!I80),ISNUMBER('SW OpInc'!E80),ISNUMBER('SW Rev'!E80),'SW Rev'!I80&gt;0,'SW Rev'!E80&gt;0),('SW OpInc'!I80/'SW Rev'!I80-'SW OpInc'!E80/'SW Rev'!E80)*10000,""),"")</f>
        <v/>
      </c>
      <c r="F693" s="43">
        <f>IFERROR(IF(AND(ISNUMBER('SW OpInc'!J80),ISNUMBER('SW Rev'!J80),ISNUMBER('SW OpInc'!F80),ISNUMBER('SW Rev'!F80),'SW Rev'!J80&gt;0,'SW Rev'!F80&gt;0),('SW OpInc'!J80/'SW Rev'!J80-'SW OpInc'!F80/'SW Rev'!F80)*10000,""),"")</f>
        <v/>
      </c>
      <c r="G693" s="43">
        <f>IFERROR(IF(AND(ISNUMBER('SW OpInc'!K80),ISNUMBER('SW Rev'!K80),ISNUMBER('SW OpInc'!G80),ISNUMBER('SW Rev'!G80),'SW Rev'!K80&gt;0,'SW Rev'!G80&gt;0),('SW OpInc'!K80/'SW Rev'!K80-'SW OpInc'!G80/'SW Rev'!G80)*10000,""),"")</f>
        <v/>
      </c>
      <c r="H693" s="43">
        <f>IFERROR(IF(AND(ISNUMBER('SW OpInc'!L80),ISNUMBER('SW Rev'!L80),ISNUMBER('SW OpInc'!H80),ISNUMBER('SW Rev'!H80),'SW Rev'!L80&gt;0,'SW Rev'!H80&gt;0),('SW OpInc'!L80/'SW Rev'!L80-'SW OpInc'!H80/'SW Rev'!H80)*10000,""),"")</f>
        <v/>
      </c>
      <c r="I693" s="43">
        <f>IFERROR(IF(AND(ISNUMBER('SW OpInc'!M80),ISNUMBER('SW Rev'!M80),ISNUMBER('SW OpInc'!I80),ISNUMBER('SW Rev'!I80),'SW Rev'!M80&gt;0,'SW Rev'!I80&gt;0),('SW OpInc'!M80/'SW Rev'!M80-'SW OpInc'!I80/'SW Rev'!I80)*10000,""),"")</f>
        <v/>
      </c>
      <c r="J693" s="43">
        <f>IFERROR(IF(AND(ISNUMBER('SW OpInc'!N80),ISNUMBER('SW Rev'!N80),ISNUMBER('SW OpInc'!J80),ISNUMBER('SW Rev'!J80),'SW Rev'!N80&gt;0,'SW Rev'!J80&gt;0),('SW OpInc'!N80/'SW Rev'!N80-'SW OpInc'!J80/'SW Rev'!J80)*10000,""),"")</f>
        <v/>
      </c>
      <c r="K693" s="43">
        <f>IFERROR(IF(AND(ISNUMBER('SW OpInc'!O80),ISNUMBER('SW Rev'!O80),ISNUMBER('SW OpInc'!K80),ISNUMBER('SW Rev'!K80),'SW Rev'!O80&gt;0,'SW Rev'!K80&gt;0),('SW OpInc'!O80/'SW Rev'!O80-'SW OpInc'!K80/'SW Rev'!K80)*10000,""),"")</f>
        <v/>
      </c>
      <c r="L693" s="43">
        <f>IFERROR(IF(AND(ISNUMBER('SW OpInc'!P80),ISNUMBER('SW Rev'!P80),ISNUMBER('SW OpInc'!L80),ISNUMBER('SW Rev'!L80),'SW Rev'!P80&gt;0,'SW Rev'!L80&gt;0),('SW OpInc'!P80/'SW Rev'!P80-'SW OpInc'!L80/'SW Rev'!L80)*10000,""),"")</f>
        <v/>
      </c>
      <c r="M693" s="44">
        <f>IFERROR(IF(AND(ISNUMBER('SW OpInc'!Q80),ISNUMBER('SW Rev'!Q80),ISNUMBER('SW OpInc'!M80),ISNUMBER('SW Rev'!M80),'SW Rev'!Q80&gt;0,'SW Rev'!M80&gt;0),('SW OpInc'!Q80/'SW Rev'!Q80-'SW OpInc'!M80/'SW Rev'!M80)*10000,""),"")</f>
        <v/>
      </c>
      <c r="N693" s="44">
        <f>IFERROR(IF(AND(ISNUMBER('SW OpInc'!R80),ISNUMBER('SW Rev'!R80),ISNUMBER('SW OpInc'!N80),ISNUMBER('SW Rev'!N80),'SW Rev'!R80&gt;0,'SW Rev'!N80&gt;0),('SW OpInc'!R80/'SW Rev'!R80-'SW OpInc'!N80/'SW Rev'!N80)*10000,""),"")</f>
        <v/>
      </c>
    </row>
    <row r="694">
      <c r="A694" s="19">
        <f>'SW Rev'!$A81</f>
        <v/>
      </c>
      <c r="B694" s="19">
        <f>'SW Rev'!$B81</f>
        <v/>
      </c>
      <c r="C694" s="43">
        <f>IFERROR(IF(AND(ISNUMBER('SW OpInc'!G81),ISNUMBER('SW Rev'!G81),ISNUMBER('SW OpInc'!C81),ISNUMBER('SW Rev'!C81),'SW Rev'!G81&gt;0,'SW Rev'!C81&gt;0),('SW OpInc'!G81/'SW Rev'!G81-'SW OpInc'!C81/'SW Rev'!C81)*10000,""),"")</f>
        <v/>
      </c>
      <c r="D694" s="43">
        <f>IFERROR(IF(AND(ISNUMBER('SW OpInc'!H81),ISNUMBER('SW Rev'!H81),ISNUMBER('SW OpInc'!D81),ISNUMBER('SW Rev'!D81),'SW Rev'!H81&gt;0,'SW Rev'!D81&gt;0),('SW OpInc'!H81/'SW Rev'!H81-'SW OpInc'!D81/'SW Rev'!D81)*10000,""),"")</f>
        <v/>
      </c>
      <c r="E694" s="43">
        <f>IFERROR(IF(AND(ISNUMBER('SW OpInc'!I81),ISNUMBER('SW Rev'!I81),ISNUMBER('SW OpInc'!E81),ISNUMBER('SW Rev'!E81),'SW Rev'!I81&gt;0,'SW Rev'!E81&gt;0),('SW OpInc'!I81/'SW Rev'!I81-'SW OpInc'!E81/'SW Rev'!E81)*10000,""),"")</f>
        <v/>
      </c>
      <c r="F694" s="43">
        <f>IFERROR(IF(AND(ISNUMBER('SW OpInc'!J81),ISNUMBER('SW Rev'!J81),ISNUMBER('SW OpInc'!F81),ISNUMBER('SW Rev'!F81),'SW Rev'!J81&gt;0,'SW Rev'!F81&gt;0),('SW OpInc'!J81/'SW Rev'!J81-'SW OpInc'!F81/'SW Rev'!F81)*10000,""),"")</f>
        <v/>
      </c>
      <c r="G694" s="43">
        <f>IFERROR(IF(AND(ISNUMBER('SW OpInc'!K81),ISNUMBER('SW Rev'!K81),ISNUMBER('SW OpInc'!G81),ISNUMBER('SW Rev'!G81),'SW Rev'!K81&gt;0,'SW Rev'!G81&gt;0),('SW OpInc'!K81/'SW Rev'!K81-'SW OpInc'!G81/'SW Rev'!G81)*10000,""),"")</f>
        <v/>
      </c>
      <c r="H694" s="43">
        <f>IFERROR(IF(AND(ISNUMBER('SW OpInc'!L81),ISNUMBER('SW Rev'!L81),ISNUMBER('SW OpInc'!H81),ISNUMBER('SW Rev'!H81),'SW Rev'!L81&gt;0,'SW Rev'!H81&gt;0),('SW OpInc'!L81/'SW Rev'!L81-'SW OpInc'!H81/'SW Rev'!H81)*10000,""),"")</f>
        <v/>
      </c>
      <c r="I694" s="43">
        <f>IFERROR(IF(AND(ISNUMBER('SW OpInc'!M81),ISNUMBER('SW Rev'!M81),ISNUMBER('SW OpInc'!I81),ISNUMBER('SW Rev'!I81),'SW Rev'!M81&gt;0,'SW Rev'!I81&gt;0),('SW OpInc'!M81/'SW Rev'!M81-'SW OpInc'!I81/'SW Rev'!I81)*10000,""),"")</f>
        <v/>
      </c>
      <c r="J694" s="43">
        <f>IFERROR(IF(AND(ISNUMBER('SW OpInc'!N81),ISNUMBER('SW Rev'!N81),ISNUMBER('SW OpInc'!J81),ISNUMBER('SW Rev'!J81),'SW Rev'!N81&gt;0,'SW Rev'!J81&gt;0),('SW OpInc'!N81/'SW Rev'!N81-'SW OpInc'!J81/'SW Rev'!J81)*10000,""),"")</f>
        <v/>
      </c>
      <c r="K694" s="43">
        <f>IFERROR(IF(AND(ISNUMBER('SW OpInc'!O81),ISNUMBER('SW Rev'!O81),ISNUMBER('SW OpInc'!K81),ISNUMBER('SW Rev'!K81),'SW Rev'!O81&gt;0,'SW Rev'!K81&gt;0),('SW OpInc'!O81/'SW Rev'!O81-'SW OpInc'!K81/'SW Rev'!K81)*10000,""),"")</f>
        <v/>
      </c>
      <c r="L694" s="43">
        <f>IFERROR(IF(AND(ISNUMBER('SW OpInc'!P81),ISNUMBER('SW Rev'!P81),ISNUMBER('SW OpInc'!L81),ISNUMBER('SW Rev'!L81),'SW Rev'!P81&gt;0,'SW Rev'!L81&gt;0),('SW OpInc'!P81/'SW Rev'!P81-'SW OpInc'!L81/'SW Rev'!L81)*10000,""),"")</f>
        <v/>
      </c>
      <c r="M694" s="44">
        <f>IFERROR(IF(AND(ISNUMBER('SW OpInc'!Q81),ISNUMBER('SW Rev'!Q81),ISNUMBER('SW OpInc'!M81),ISNUMBER('SW Rev'!M81),'SW Rev'!Q81&gt;0,'SW Rev'!M81&gt;0),('SW OpInc'!Q81/'SW Rev'!Q81-'SW OpInc'!M81/'SW Rev'!M81)*10000,""),"")</f>
        <v/>
      </c>
      <c r="N694" s="44">
        <f>IFERROR(IF(AND(ISNUMBER('SW OpInc'!R81),ISNUMBER('SW Rev'!R81),ISNUMBER('SW OpInc'!N81),ISNUMBER('SW Rev'!N81),'SW Rev'!R81&gt;0,'SW Rev'!N81&gt;0),('SW OpInc'!R81/'SW Rev'!R81-'SW OpInc'!N81/'SW Rev'!N81)*10000,""),"")</f>
        <v/>
      </c>
    </row>
    <row r="695">
      <c r="A695" s="19">
        <f>'SW Rev'!$A82</f>
        <v/>
      </c>
      <c r="B695" s="19">
        <f>'SW Rev'!$B82</f>
        <v/>
      </c>
      <c r="C695" s="43">
        <f>IFERROR(IF(AND(ISNUMBER('SW OpInc'!G82),ISNUMBER('SW Rev'!G82),ISNUMBER('SW OpInc'!C82),ISNUMBER('SW Rev'!C82),'SW Rev'!G82&gt;0,'SW Rev'!C82&gt;0),('SW OpInc'!G82/'SW Rev'!G82-'SW OpInc'!C82/'SW Rev'!C82)*10000,""),"")</f>
        <v/>
      </c>
      <c r="D695" s="43">
        <f>IFERROR(IF(AND(ISNUMBER('SW OpInc'!H82),ISNUMBER('SW Rev'!H82),ISNUMBER('SW OpInc'!D82),ISNUMBER('SW Rev'!D82),'SW Rev'!H82&gt;0,'SW Rev'!D82&gt;0),('SW OpInc'!H82/'SW Rev'!H82-'SW OpInc'!D82/'SW Rev'!D82)*10000,""),"")</f>
        <v/>
      </c>
      <c r="E695" s="43">
        <f>IFERROR(IF(AND(ISNUMBER('SW OpInc'!I82),ISNUMBER('SW Rev'!I82),ISNUMBER('SW OpInc'!E82),ISNUMBER('SW Rev'!E82),'SW Rev'!I82&gt;0,'SW Rev'!E82&gt;0),('SW OpInc'!I82/'SW Rev'!I82-'SW OpInc'!E82/'SW Rev'!E82)*10000,""),"")</f>
        <v/>
      </c>
      <c r="F695" s="43">
        <f>IFERROR(IF(AND(ISNUMBER('SW OpInc'!J82),ISNUMBER('SW Rev'!J82),ISNUMBER('SW OpInc'!F82),ISNUMBER('SW Rev'!F82),'SW Rev'!J82&gt;0,'SW Rev'!F82&gt;0),('SW OpInc'!J82/'SW Rev'!J82-'SW OpInc'!F82/'SW Rev'!F82)*10000,""),"")</f>
        <v/>
      </c>
      <c r="G695" s="43">
        <f>IFERROR(IF(AND(ISNUMBER('SW OpInc'!K82),ISNUMBER('SW Rev'!K82),ISNUMBER('SW OpInc'!G82),ISNUMBER('SW Rev'!G82),'SW Rev'!K82&gt;0,'SW Rev'!G82&gt;0),('SW OpInc'!K82/'SW Rev'!K82-'SW OpInc'!G82/'SW Rev'!G82)*10000,""),"")</f>
        <v/>
      </c>
      <c r="H695" s="43">
        <f>IFERROR(IF(AND(ISNUMBER('SW OpInc'!L82),ISNUMBER('SW Rev'!L82),ISNUMBER('SW OpInc'!H82),ISNUMBER('SW Rev'!H82),'SW Rev'!L82&gt;0,'SW Rev'!H82&gt;0),('SW OpInc'!L82/'SW Rev'!L82-'SW OpInc'!H82/'SW Rev'!H82)*10000,""),"")</f>
        <v/>
      </c>
      <c r="I695" s="43">
        <f>IFERROR(IF(AND(ISNUMBER('SW OpInc'!M82),ISNUMBER('SW Rev'!M82),ISNUMBER('SW OpInc'!I82),ISNUMBER('SW Rev'!I82),'SW Rev'!M82&gt;0,'SW Rev'!I82&gt;0),('SW OpInc'!M82/'SW Rev'!M82-'SW OpInc'!I82/'SW Rev'!I82)*10000,""),"")</f>
        <v/>
      </c>
      <c r="J695" s="43">
        <f>IFERROR(IF(AND(ISNUMBER('SW OpInc'!N82),ISNUMBER('SW Rev'!N82),ISNUMBER('SW OpInc'!J82),ISNUMBER('SW Rev'!J82),'SW Rev'!N82&gt;0,'SW Rev'!J82&gt;0),('SW OpInc'!N82/'SW Rev'!N82-'SW OpInc'!J82/'SW Rev'!J82)*10000,""),"")</f>
        <v/>
      </c>
      <c r="K695" s="43">
        <f>IFERROR(IF(AND(ISNUMBER('SW OpInc'!O82),ISNUMBER('SW Rev'!O82),ISNUMBER('SW OpInc'!K82),ISNUMBER('SW Rev'!K82),'SW Rev'!O82&gt;0,'SW Rev'!K82&gt;0),('SW OpInc'!O82/'SW Rev'!O82-'SW OpInc'!K82/'SW Rev'!K82)*10000,""),"")</f>
        <v/>
      </c>
      <c r="L695" s="43">
        <f>IFERROR(IF(AND(ISNUMBER('SW OpInc'!P82),ISNUMBER('SW Rev'!P82),ISNUMBER('SW OpInc'!L82),ISNUMBER('SW Rev'!L82),'SW Rev'!P82&gt;0,'SW Rev'!L82&gt;0),('SW OpInc'!P82/'SW Rev'!P82-'SW OpInc'!L82/'SW Rev'!L82)*10000,""),"")</f>
        <v/>
      </c>
      <c r="M695" s="44">
        <f>IFERROR(IF(AND(ISNUMBER('SW OpInc'!Q82),ISNUMBER('SW Rev'!Q82),ISNUMBER('SW OpInc'!M82),ISNUMBER('SW Rev'!M82),'SW Rev'!Q82&gt;0,'SW Rev'!M82&gt;0),('SW OpInc'!Q82/'SW Rev'!Q82-'SW OpInc'!M82/'SW Rev'!M82)*10000,""),"")</f>
        <v/>
      </c>
      <c r="N695" s="44">
        <f>IFERROR(IF(AND(ISNUMBER('SW OpInc'!R82),ISNUMBER('SW Rev'!R82),ISNUMBER('SW OpInc'!N82),ISNUMBER('SW Rev'!N82),'SW Rev'!R82&gt;0,'SW Rev'!N82&gt;0),('SW OpInc'!R82/'SW Rev'!R82-'SW OpInc'!N82/'SW Rev'!N82)*10000,""),"")</f>
        <v/>
      </c>
    </row>
    <row r="696">
      <c r="A696" s="19">
        <f>'SW Rev'!$A83</f>
        <v/>
      </c>
      <c r="B696" s="19">
        <f>'SW Rev'!$B83</f>
        <v/>
      </c>
      <c r="C696" s="43">
        <f>IFERROR(IF(AND(ISNUMBER('SW OpInc'!G83),ISNUMBER('SW Rev'!G83),ISNUMBER('SW OpInc'!C83),ISNUMBER('SW Rev'!C83),'SW Rev'!G83&gt;0,'SW Rev'!C83&gt;0),('SW OpInc'!G83/'SW Rev'!G83-'SW OpInc'!C83/'SW Rev'!C83)*10000,""),"")</f>
        <v/>
      </c>
      <c r="D696" s="43">
        <f>IFERROR(IF(AND(ISNUMBER('SW OpInc'!H83),ISNUMBER('SW Rev'!H83),ISNUMBER('SW OpInc'!D83),ISNUMBER('SW Rev'!D83),'SW Rev'!H83&gt;0,'SW Rev'!D83&gt;0),('SW OpInc'!H83/'SW Rev'!H83-'SW OpInc'!D83/'SW Rev'!D83)*10000,""),"")</f>
        <v/>
      </c>
      <c r="E696" s="43">
        <f>IFERROR(IF(AND(ISNUMBER('SW OpInc'!I83),ISNUMBER('SW Rev'!I83),ISNUMBER('SW OpInc'!E83),ISNUMBER('SW Rev'!E83),'SW Rev'!I83&gt;0,'SW Rev'!E83&gt;0),('SW OpInc'!I83/'SW Rev'!I83-'SW OpInc'!E83/'SW Rev'!E83)*10000,""),"")</f>
        <v/>
      </c>
      <c r="F696" s="43">
        <f>IFERROR(IF(AND(ISNUMBER('SW OpInc'!J83),ISNUMBER('SW Rev'!J83),ISNUMBER('SW OpInc'!F83),ISNUMBER('SW Rev'!F83),'SW Rev'!J83&gt;0,'SW Rev'!F83&gt;0),('SW OpInc'!J83/'SW Rev'!J83-'SW OpInc'!F83/'SW Rev'!F83)*10000,""),"")</f>
        <v/>
      </c>
      <c r="G696" s="43">
        <f>IFERROR(IF(AND(ISNUMBER('SW OpInc'!K83),ISNUMBER('SW Rev'!K83),ISNUMBER('SW OpInc'!G83),ISNUMBER('SW Rev'!G83),'SW Rev'!K83&gt;0,'SW Rev'!G83&gt;0),('SW OpInc'!K83/'SW Rev'!K83-'SW OpInc'!G83/'SW Rev'!G83)*10000,""),"")</f>
        <v/>
      </c>
      <c r="H696" s="43">
        <f>IFERROR(IF(AND(ISNUMBER('SW OpInc'!L83),ISNUMBER('SW Rev'!L83),ISNUMBER('SW OpInc'!H83),ISNUMBER('SW Rev'!H83),'SW Rev'!L83&gt;0,'SW Rev'!H83&gt;0),('SW OpInc'!L83/'SW Rev'!L83-'SW OpInc'!H83/'SW Rev'!H83)*10000,""),"")</f>
        <v/>
      </c>
      <c r="I696" s="43">
        <f>IFERROR(IF(AND(ISNUMBER('SW OpInc'!M83),ISNUMBER('SW Rev'!M83),ISNUMBER('SW OpInc'!I83),ISNUMBER('SW Rev'!I83),'SW Rev'!M83&gt;0,'SW Rev'!I83&gt;0),('SW OpInc'!M83/'SW Rev'!M83-'SW OpInc'!I83/'SW Rev'!I83)*10000,""),"")</f>
        <v/>
      </c>
      <c r="J696" s="43">
        <f>IFERROR(IF(AND(ISNUMBER('SW OpInc'!N83),ISNUMBER('SW Rev'!N83),ISNUMBER('SW OpInc'!J83),ISNUMBER('SW Rev'!J83),'SW Rev'!N83&gt;0,'SW Rev'!J83&gt;0),('SW OpInc'!N83/'SW Rev'!N83-'SW OpInc'!J83/'SW Rev'!J83)*10000,""),"")</f>
        <v/>
      </c>
      <c r="K696" s="43">
        <f>IFERROR(IF(AND(ISNUMBER('SW OpInc'!O83),ISNUMBER('SW Rev'!O83),ISNUMBER('SW OpInc'!K83),ISNUMBER('SW Rev'!K83),'SW Rev'!O83&gt;0,'SW Rev'!K83&gt;0),('SW OpInc'!O83/'SW Rev'!O83-'SW OpInc'!K83/'SW Rev'!K83)*10000,""),"")</f>
        <v/>
      </c>
      <c r="L696" s="43">
        <f>IFERROR(IF(AND(ISNUMBER('SW OpInc'!P83),ISNUMBER('SW Rev'!P83),ISNUMBER('SW OpInc'!L83),ISNUMBER('SW Rev'!L83),'SW Rev'!P83&gt;0,'SW Rev'!L83&gt;0),('SW OpInc'!P83/'SW Rev'!P83-'SW OpInc'!L83/'SW Rev'!L83)*10000,""),"")</f>
        <v/>
      </c>
      <c r="M696" s="44">
        <f>IFERROR(IF(AND(ISNUMBER('SW OpInc'!Q83),ISNUMBER('SW Rev'!Q83),ISNUMBER('SW OpInc'!M83),ISNUMBER('SW Rev'!M83),'SW Rev'!Q83&gt;0,'SW Rev'!M83&gt;0),('SW OpInc'!Q83/'SW Rev'!Q83-'SW OpInc'!M83/'SW Rev'!M83)*10000,""),"")</f>
        <v/>
      </c>
      <c r="N696" s="44">
        <f>IFERROR(IF(AND(ISNUMBER('SW OpInc'!R83),ISNUMBER('SW Rev'!R83),ISNUMBER('SW OpInc'!N83),ISNUMBER('SW Rev'!N83),'SW Rev'!R83&gt;0,'SW Rev'!N83&gt;0),('SW OpInc'!R83/'SW Rev'!R83-'SW OpInc'!N83/'SW Rev'!N83)*10000,""),"")</f>
        <v/>
      </c>
    </row>
    <row r="697">
      <c r="A697" s="19">
        <f>'SW Rev'!$A84</f>
        <v/>
      </c>
      <c r="B697" s="19">
        <f>'SW Rev'!$B84</f>
        <v/>
      </c>
      <c r="C697" s="43">
        <f>IFERROR(IF(AND(ISNUMBER('SW OpInc'!G84),ISNUMBER('SW Rev'!G84),ISNUMBER('SW OpInc'!C84),ISNUMBER('SW Rev'!C84),'SW Rev'!G84&gt;0,'SW Rev'!C84&gt;0),('SW OpInc'!G84/'SW Rev'!G84-'SW OpInc'!C84/'SW Rev'!C84)*10000,""),"")</f>
        <v/>
      </c>
      <c r="D697" s="43">
        <f>IFERROR(IF(AND(ISNUMBER('SW OpInc'!H84),ISNUMBER('SW Rev'!H84),ISNUMBER('SW OpInc'!D84),ISNUMBER('SW Rev'!D84),'SW Rev'!H84&gt;0,'SW Rev'!D84&gt;0),('SW OpInc'!H84/'SW Rev'!H84-'SW OpInc'!D84/'SW Rev'!D84)*10000,""),"")</f>
        <v/>
      </c>
      <c r="E697" s="43">
        <f>IFERROR(IF(AND(ISNUMBER('SW OpInc'!I84),ISNUMBER('SW Rev'!I84),ISNUMBER('SW OpInc'!E84),ISNUMBER('SW Rev'!E84),'SW Rev'!I84&gt;0,'SW Rev'!E84&gt;0),('SW OpInc'!I84/'SW Rev'!I84-'SW OpInc'!E84/'SW Rev'!E84)*10000,""),"")</f>
        <v/>
      </c>
      <c r="F697" s="43">
        <f>IFERROR(IF(AND(ISNUMBER('SW OpInc'!J84),ISNUMBER('SW Rev'!J84),ISNUMBER('SW OpInc'!F84),ISNUMBER('SW Rev'!F84),'SW Rev'!J84&gt;0,'SW Rev'!F84&gt;0),('SW OpInc'!J84/'SW Rev'!J84-'SW OpInc'!F84/'SW Rev'!F84)*10000,""),"")</f>
        <v/>
      </c>
      <c r="G697" s="43">
        <f>IFERROR(IF(AND(ISNUMBER('SW OpInc'!K84),ISNUMBER('SW Rev'!K84),ISNUMBER('SW OpInc'!G84),ISNUMBER('SW Rev'!G84),'SW Rev'!K84&gt;0,'SW Rev'!G84&gt;0),('SW OpInc'!K84/'SW Rev'!K84-'SW OpInc'!G84/'SW Rev'!G84)*10000,""),"")</f>
        <v/>
      </c>
      <c r="H697" s="43">
        <f>IFERROR(IF(AND(ISNUMBER('SW OpInc'!L84),ISNUMBER('SW Rev'!L84),ISNUMBER('SW OpInc'!H84),ISNUMBER('SW Rev'!H84),'SW Rev'!L84&gt;0,'SW Rev'!H84&gt;0),('SW OpInc'!L84/'SW Rev'!L84-'SW OpInc'!H84/'SW Rev'!H84)*10000,""),"")</f>
        <v/>
      </c>
      <c r="I697" s="43">
        <f>IFERROR(IF(AND(ISNUMBER('SW OpInc'!M84),ISNUMBER('SW Rev'!M84),ISNUMBER('SW OpInc'!I84),ISNUMBER('SW Rev'!I84),'SW Rev'!M84&gt;0,'SW Rev'!I84&gt;0),('SW OpInc'!M84/'SW Rev'!M84-'SW OpInc'!I84/'SW Rev'!I84)*10000,""),"")</f>
        <v/>
      </c>
      <c r="J697" s="43">
        <f>IFERROR(IF(AND(ISNUMBER('SW OpInc'!N84),ISNUMBER('SW Rev'!N84),ISNUMBER('SW OpInc'!J84),ISNUMBER('SW Rev'!J84),'SW Rev'!N84&gt;0,'SW Rev'!J84&gt;0),('SW OpInc'!N84/'SW Rev'!N84-'SW OpInc'!J84/'SW Rev'!J84)*10000,""),"")</f>
        <v/>
      </c>
      <c r="K697" s="43">
        <f>IFERROR(IF(AND(ISNUMBER('SW OpInc'!O84),ISNUMBER('SW Rev'!O84),ISNUMBER('SW OpInc'!K84),ISNUMBER('SW Rev'!K84),'SW Rev'!O84&gt;0,'SW Rev'!K84&gt;0),('SW OpInc'!O84/'SW Rev'!O84-'SW OpInc'!K84/'SW Rev'!K84)*10000,""),"")</f>
        <v/>
      </c>
      <c r="L697" s="43">
        <f>IFERROR(IF(AND(ISNUMBER('SW OpInc'!P84),ISNUMBER('SW Rev'!P84),ISNUMBER('SW OpInc'!L84),ISNUMBER('SW Rev'!L84),'SW Rev'!P84&gt;0,'SW Rev'!L84&gt;0),('SW OpInc'!P84/'SW Rev'!P84-'SW OpInc'!L84/'SW Rev'!L84)*10000,""),"")</f>
        <v/>
      </c>
      <c r="M697" s="44">
        <f>IFERROR(IF(AND(ISNUMBER('SW OpInc'!Q84),ISNUMBER('SW Rev'!Q84),ISNUMBER('SW OpInc'!M84),ISNUMBER('SW Rev'!M84),'SW Rev'!Q84&gt;0,'SW Rev'!M84&gt;0),('SW OpInc'!Q84/'SW Rev'!Q84-'SW OpInc'!M84/'SW Rev'!M84)*10000,""),"")</f>
        <v/>
      </c>
      <c r="N697" s="44">
        <f>IFERROR(IF(AND(ISNUMBER('SW OpInc'!R84),ISNUMBER('SW Rev'!R84),ISNUMBER('SW OpInc'!N84),ISNUMBER('SW Rev'!N84),'SW Rev'!R84&gt;0,'SW Rev'!N84&gt;0),('SW OpInc'!R84/'SW Rev'!R84-'SW OpInc'!N84/'SW Rev'!N84)*10000,""),"")</f>
        <v/>
      </c>
    </row>
    <row r="698">
      <c r="A698" s="19">
        <f>'SW Rev'!$A85</f>
        <v/>
      </c>
      <c r="B698" s="19">
        <f>'SW Rev'!$B85</f>
        <v/>
      </c>
      <c r="C698" s="43">
        <f>IFERROR(IF(AND(ISNUMBER('SW OpInc'!G85),ISNUMBER('SW Rev'!G85),ISNUMBER('SW OpInc'!C85),ISNUMBER('SW Rev'!C85),'SW Rev'!G85&gt;0,'SW Rev'!C85&gt;0),('SW OpInc'!G85/'SW Rev'!G85-'SW OpInc'!C85/'SW Rev'!C85)*10000,""),"")</f>
        <v/>
      </c>
      <c r="D698" s="43">
        <f>IFERROR(IF(AND(ISNUMBER('SW OpInc'!H85),ISNUMBER('SW Rev'!H85),ISNUMBER('SW OpInc'!D85),ISNUMBER('SW Rev'!D85),'SW Rev'!H85&gt;0,'SW Rev'!D85&gt;0),('SW OpInc'!H85/'SW Rev'!H85-'SW OpInc'!D85/'SW Rev'!D85)*10000,""),"")</f>
        <v/>
      </c>
      <c r="E698" s="43">
        <f>IFERROR(IF(AND(ISNUMBER('SW OpInc'!I85),ISNUMBER('SW Rev'!I85),ISNUMBER('SW OpInc'!E85),ISNUMBER('SW Rev'!E85),'SW Rev'!I85&gt;0,'SW Rev'!E85&gt;0),('SW OpInc'!I85/'SW Rev'!I85-'SW OpInc'!E85/'SW Rev'!E85)*10000,""),"")</f>
        <v/>
      </c>
      <c r="F698" s="43">
        <f>IFERROR(IF(AND(ISNUMBER('SW OpInc'!J85),ISNUMBER('SW Rev'!J85),ISNUMBER('SW OpInc'!F85),ISNUMBER('SW Rev'!F85),'SW Rev'!J85&gt;0,'SW Rev'!F85&gt;0),('SW OpInc'!J85/'SW Rev'!J85-'SW OpInc'!F85/'SW Rev'!F85)*10000,""),"")</f>
        <v/>
      </c>
      <c r="G698" s="43">
        <f>IFERROR(IF(AND(ISNUMBER('SW OpInc'!K85),ISNUMBER('SW Rev'!K85),ISNUMBER('SW OpInc'!G85),ISNUMBER('SW Rev'!G85),'SW Rev'!K85&gt;0,'SW Rev'!G85&gt;0),('SW OpInc'!K85/'SW Rev'!K85-'SW OpInc'!G85/'SW Rev'!G85)*10000,""),"")</f>
        <v/>
      </c>
      <c r="H698" s="43">
        <f>IFERROR(IF(AND(ISNUMBER('SW OpInc'!L85),ISNUMBER('SW Rev'!L85),ISNUMBER('SW OpInc'!H85),ISNUMBER('SW Rev'!H85),'SW Rev'!L85&gt;0,'SW Rev'!H85&gt;0),('SW OpInc'!L85/'SW Rev'!L85-'SW OpInc'!H85/'SW Rev'!H85)*10000,""),"")</f>
        <v/>
      </c>
      <c r="I698" s="43">
        <f>IFERROR(IF(AND(ISNUMBER('SW OpInc'!M85),ISNUMBER('SW Rev'!M85),ISNUMBER('SW OpInc'!I85),ISNUMBER('SW Rev'!I85),'SW Rev'!M85&gt;0,'SW Rev'!I85&gt;0),('SW OpInc'!M85/'SW Rev'!M85-'SW OpInc'!I85/'SW Rev'!I85)*10000,""),"")</f>
        <v/>
      </c>
      <c r="J698" s="43">
        <f>IFERROR(IF(AND(ISNUMBER('SW OpInc'!N85),ISNUMBER('SW Rev'!N85),ISNUMBER('SW OpInc'!J85),ISNUMBER('SW Rev'!J85),'SW Rev'!N85&gt;0,'SW Rev'!J85&gt;0),('SW OpInc'!N85/'SW Rev'!N85-'SW OpInc'!J85/'SW Rev'!J85)*10000,""),"")</f>
        <v/>
      </c>
      <c r="K698" s="43">
        <f>IFERROR(IF(AND(ISNUMBER('SW OpInc'!O85),ISNUMBER('SW Rev'!O85),ISNUMBER('SW OpInc'!K85),ISNUMBER('SW Rev'!K85),'SW Rev'!O85&gt;0,'SW Rev'!K85&gt;0),('SW OpInc'!O85/'SW Rev'!O85-'SW OpInc'!K85/'SW Rev'!K85)*10000,""),"")</f>
        <v/>
      </c>
      <c r="L698" s="43">
        <f>IFERROR(IF(AND(ISNUMBER('SW OpInc'!P85),ISNUMBER('SW Rev'!P85),ISNUMBER('SW OpInc'!L85),ISNUMBER('SW Rev'!L85),'SW Rev'!P85&gt;0,'SW Rev'!L85&gt;0),('SW OpInc'!P85/'SW Rev'!P85-'SW OpInc'!L85/'SW Rev'!L85)*10000,""),"")</f>
        <v/>
      </c>
      <c r="M698" s="44">
        <f>IFERROR(IF(AND(ISNUMBER('SW OpInc'!Q85),ISNUMBER('SW Rev'!Q85),ISNUMBER('SW OpInc'!M85),ISNUMBER('SW Rev'!M85),'SW Rev'!Q85&gt;0,'SW Rev'!M85&gt;0),('SW OpInc'!Q85/'SW Rev'!Q85-'SW OpInc'!M85/'SW Rev'!M85)*10000,""),"")</f>
        <v/>
      </c>
      <c r="N698" s="44">
        <f>IFERROR(IF(AND(ISNUMBER('SW OpInc'!R85),ISNUMBER('SW Rev'!R85),ISNUMBER('SW OpInc'!N85),ISNUMBER('SW Rev'!N85),'SW Rev'!R85&gt;0,'SW Rev'!N85&gt;0),('SW OpInc'!R85/'SW Rev'!R85-'SW OpInc'!N85/'SW Rev'!N85)*10000,""),"")</f>
        <v/>
      </c>
    </row>
    <row r="699">
      <c r="A699" s="19">
        <f>'SW Rev'!$A86</f>
        <v/>
      </c>
      <c r="B699" s="19">
        <f>'SW Rev'!$B86</f>
        <v/>
      </c>
      <c r="C699" s="43">
        <f>IFERROR(IF(AND(ISNUMBER('SW OpInc'!G86),ISNUMBER('SW Rev'!G86),ISNUMBER('SW OpInc'!C86),ISNUMBER('SW Rev'!C86),'SW Rev'!G86&gt;0,'SW Rev'!C86&gt;0),('SW OpInc'!G86/'SW Rev'!G86-'SW OpInc'!C86/'SW Rev'!C86)*10000,""),"")</f>
        <v/>
      </c>
      <c r="D699" s="43">
        <f>IFERROR(IF(AND(ISNUMBER('SW OpInc'!H86),ISNUMBER('SW Rev'!H86),ISNUMBER('SW OpInc'!D86),ISNUMBER('SW Rev'!D86),'SW Rev'!H86&gt;0,'SW Rev'!D86&gt;0),('SW OpInc'!H86/'SW Rev'!H86-'SW OpInc'!D86/'SW Rev'!D86)*10000,""),"")</f>
        <v/>
      </c>
      <c r="E699" s="43">
        <f>IFERROR(IF(AND(ISNUMBER('SW OpInc'!I86),ISNUMBER('SW Rev'!I86),ISNUMBER('SW OpInc'!E86),ISNUMBER('SW Rev'!E86),'SW Rev'!I86&gt;0,'SW Rev'!E86&gt;0),('SW OpInc'!I86/'SW Rev'!I86-'SW OpInc'!E86/'SW Rev'!E86)*10000,""),"")</f>
        <v/>
      </c>
      <c r="F699" s="43">
        <f>IFERROR(IF(AND(ISNUMBER('SW OpInc'!J86),ISNUMBER('SW Rev'!J86),ISNUMBER('SW OpInc'!F86),ISNUMBER('SW Rev'!F86),'SW Rev'!J86&gt;0,'SW Rev'!F86&gt;0),('SW OpInc'!J86/'SW Rev'!J86-'SW OpInc'!F86/'SW Rev'!F86)*10000,""),"")</f>
        <v/>
      </c>
      <c r="G699" s="43">
        <f>IFERROR(IF(AND(ISNUMBER('SW OpInc'!K86),ISNUMBER('SW Rev'!K86),ISNUMBER('SW OpInc'!G86),ISNUMBER('SW Rev'!G86),'SW Rev'!K86&gt;0,'SW Rev'!G86&gt;0),('SW OpInc'!K86/'SW Rev'!K86-'SW OpInc'!G86/'SW Rev'!G86)*10000,""),"")</f>
        <v/>
      </c>
      <c r="H699" s="43">
        <f>IFERROR(IF(AND(ISNUMBER('SW OpInc'!L86),ISNUMBER('SW Rev'!L86),ISNUMBER('SW OpInc'!H86),ISNUMBER('SW Rev'!H86),'SW Rev'!L86&gt;0,'SW Rev'!H86&gt;0),('SW OpInc'!L86/'SW Rev'!L86-'SW OpInc'!H86/'SW Rev'!H86)*10000,""),"")</f>
        <v/>
      </c>
      <c r="I699" s="43">
        <f>IFERROR(IF(AND(ISNUMBER('SW OpInc'!M86),ISNUMBER('SW Rev'!M86),ISNUMBER('SW OpInc'!I86),ISNUMBER('SW Rev'!I86),'SW Rev'!M86&gt;0,'SW Rev'!I86&gt;0),('SW OpInc'!M86/'SW Rev'!M86-'SW OpInc'!I86/'SW Rev'!I86)*10000,""),"")</f>
        <v/>
      </c>
      <c r="J699" s="43">
        <f>IFERROR(IF(AND(ISNUMBER('SW OpInc'!N86),ISNUMBER('SW Rev'!N86),ISNUMBER('SW OpInc'!J86),ISNUMBER('SW Rev'!J86),'SW Rev'!N86&gt;0,'SW Rev'!J86&gt;0),('SW OpInc'!N86/'SW Rev'!N86-'SW OpInc'!J86/'SW Rev'!J86)*10000,""),"")</f>
        <v/>
      </c>
      <c r="K699" s="43">
        <f>IFERROR(IF(AND(ISNUMBER('SW OpInc'!O86),ISNUMBER('SW Rev'!O86),ISNUMBER('SW OpInc'!K86),ISNUMBER('SW Rev'!K86),'SW Rev'!O86&gt;0,'SW Rev'!K86&gt;0),('SW OpInc'!O86/'SW Rev'!O86-'SW OpInc'!K86/'SW Rev'!K86)*10000,""),"")</f>
        <v/>
      </c>
      <c r="L699" s="43">
        <f>IFERROR(IF(AND(ISNUMBER('SW OpInc'!P86),ISNUMBER('SW Rev'!P86),ISNUMBER('SW OpInc'!L86),ISNUMBER('SW Rev'!L86),'SW Rev'!P86&gt;0,'SW Rev'!L86&gt;0),('SW OpInc'!P86/'SW Rev'!P86-'SW OpInc'!L86/'SW Rev'!L86)*10000,""),"")</f>
        <v/>
      </c>
      <c r="M699" s="44">
        <f>IFERROR(IF(AND(ISNUMBER('SW OpInc'!Q86),ISNUMBER('SW Rev'!Q86),ISNUMBER('SW OpInc'!M86),ISNUMBER('SW Rev'!M86),'SW Rev'!Q86&gt;0,'SW Rev'!M86&gt;0),('SW OpInc'!Q86/'SW Rev'!Q86-'SW OpInc'!M86/'SW Rev'!M86)*10000,""),"")</f>
        <v/>
      </c>
      <c r="N699" s="44">
        <f>IFERROR(IF(AND(ISNUMBER('SW OpInc'!R86),ISNUMBER('SW Rev'!R86),ISNUMBER('SW OpInc'!N86),ISNUMBER('SW Rev'!N86),'SW Rev'!R86&gt;0,'SW Rev'!N86&gt;0),('SW OpInc'!R86/'SW Rev'!R86-'SW OpInc'!N86/'SW Rev'!N86)*10000,""),"")</f>
        <v/>
      </c>
    </row>
    <row r="700">
      <c r="A700" s="19">
        <f>'SW Rev'!$A87</f>
        <v/>
      </c>
      <c r="B700" s="19">
        <f>'SW Rev'!$B87</f>
        <v/>
      </c>
      <c r="C700" s="43">
        <f>IFERROR(IF(AND(ISNUMBER('SW OpInc'!G87),ISNUMBER('SW Rev'!G87),ISNUMBER('SW OpInc'!C87),ISNUMBER('SW Rev'!C87),'SW Rev'!G87&gt;0,'SW Rev'!C87&gt;0),('SW OpInc'!G87/'SW Rev'!G87-'SW OpInc'!C87/'SW Rev'!C87)*10000,""),"")</f>
        <v/>
      </c>
      <c r="D700" s="43">
        <f>IFERROR(IF(AND(ISNUMBER('SW OpInc'!H87),ISNUMBER('SW Rev'!H87),ISNUMBER('SW OpInc'!D87),ISNUMBER('SW Rev'!D87),'SW Rev'!H87&gt;0,'SW Rev'!D87&gt;0),('SW OpInc'!H87/'SW Rev'!H87-'SW OpInc'!D87/'SW Rev'!D87)*10000,""),"")</f>
        <v/>
      </c>
      <c r="E700" s="43">
        <f>IFERROR(IF(AND(ISNUMBER('SW OpInc'!I87),ISNUMBER('SW Rev'!I87),ISNUMBER('SW OpInc'!E87),ISNUMBER('SW Rev'!E87),'SW Rev'!I87&gt;0,'SW Rev'!E87&gt;0),('SW OpInc'!I87/'SW Rev'!I87-'SW OpInc'!E87/'SW Rev'!E87)*10000,""),"")</f>
        <v/>
      </c>
      <c r="F700" s="43">
        <f>IFERROR(IF(AND(ISNUMBER('SW OpInc'!J87),ISNUMBER('SW Rev'!J87),ISNUMBER('SW OpInc'!F87),ISNUMBER('SW Rev'!F87),'SW Rev'!J87&gt;0,'SW Rev'!F87&gt;0),('SW OpInc'!J87/'SW Rev'!J87-'SW OpInc'!F87/'SW Rev'!F87)*10000,""),"")</f>
        <v/>
      </c>
      <c r="G700" s="43">
        <f>IFERROR(IF(AND(ISNUMBER('SW OpInc'!K87),ISNUMBER('SW Rev'!K87),ISNUMBER('SW OpInc'!G87),ISNUMBER('SW Rev'!G87),'SW Rev'!K87&gt;0,'SW Rev'!G87&gt;0),('SW OpInc'!K87/'SW Rev'!K87-'SW OpInc'!G87/'SW Rev'!G87)*10000,""),"")</f>
        <v/>
      </c>
      <c r="H700" s="43">
        <f>IFERROR(IF(AND(ISNUMBER('SW OpInc'!L87),ISNUMBER('SW Rev'!L87),ISNUMBER('SW OpInc'!H87),ISNUMBER('SW Rev'!H87),'SW Rev'!L87&gt;0,'SW Rev'!H87&gt;0),('SW OpInc'!L87/'SW Rev'!L87-'SW OpInc'!H87/'SW Rev'!H87)*10000,""),"")</f>
        <v/>
      </c>
      <c r="I700" s="43">
        <f>IFERROR(IF(AND(ISNUMBER('SW OpInc'!M87),ISNUMBER('SW Rev'!M87),ISNUMBER('SW OpInc'!I87),ISNUMBER('SW Rev'!I87),'SW Rev'!M87&gt;0,'SW Rev'!I87&gt;0),('SW OpInc'!M87/'SW Rev'!M87-'SW OpInc'!I87/'SW Rev'!I87)*10000,""),"")</f>
        <v/>
      </c>
      <c r="J700" s="43">
        <f>IFERROR(IF(AND(ISNUMBER('SW OpInc'!N87),ISNUMBER('SW Rev'!N87),ISNUMBER('SW OpInc'!J87),ISNUMBER('SW Rev'!J87),'SW Rev'!N87&gt;0,'SW Rev'!J87&gt;0),('SW OpInc'!N87/'SW Rev'!N87-'SW OpInc'!J87/'SW Rev'!J87)*10000,""),"")</f>
        <v/>
      </c>
      <c r="K700" s="43">
        <f>IFERROR(IF(AND(ISNUMBER('SW OpInc'!O87),ISNUMBER('SW Rev'!O87),ISNUMBER('SW OpInc'!K87),ISNUMBER('SW Rev'!K87),'SW Rev'!O87&gt;0,'SW Rev'!K87&gt;0),('SW OpInc'!O87/'SW Rev'!O87-'SW OpInc'!K87/'SW Rev'!K87)*10000,""),"")</f>
        <v/>
      </c>
      <c r="L700" s="43">
        <f>IFERROR(IF(AND(ISNUMBER('SW OpInc'!P87),ISNUMBER('SW Rev'!P87),ISNUMBER('SW OpInc'!L87),ISNUMBER('SW Rev'!L87),'SW Rev'!P87&gt;0,'SW Rev'!L87&gt;0),('SW OpInc'!P87/'SW Rev'!P87-'SW OpInc'!L87/'SW Rev'!L87)*10000,""),"")</f>
        <v/>
      </c>
      <c r="M700" s="44">
        <f>IFERROR(IF(AND(ISNUMBER('SW OpInc'!Q87),ISNUMBER('SW Rev'!Q87),ISNUMBER('SW OpInc'!M87),ISNUMBER('SW Rev'!M87),'SW Rev'!Q87&gt;0,'SW Rev'!M87&gt;0),('SW OpInc'!Q87/'SW Rev'!Q87-'SW OpInc'!M87/'SW Rev'!M87)*10000,""),"")</f>
        <v/>
      </c>
      <c r="N700" s="44">
        <f>IFERROR(IF(AND(ISNUMBER('SW OpInc'!R87),ISNUMBER('SW Rev'!R87),ISNUMBER('SW OpInc'!N87),ISNUMBER('SW Rev'!N87),'SW Rev'!R87&gt;0,'SW Rev'!N87&gt;0),('SW OpInc'!R87/'SW Rev'!R87-'SW OpInc'!N87/'SW Rev'!N87)*10000,""),"")</f>
        <v/>
      </c>
    </row>
    <row r="701">
      <c r="A701" s="19">
        <f>'SW Rev'!$A88</f>
        <v/>
      </c>
      <c r="B701" s="19">
        <f>'SW Rev'!$B88</f>
        <v/>
      </c>
      <c r="C701" s="43">
        <f>IFERROR(IF(AND(ISNUMBER('SW OpInc'!G88),ISNUMBER('SW Rev'!G88),ISNUMBER('SW OpInc'!C88),ISNUMBER('SW Rev'!C88),'SW Rev'!G88&gt;0,'SW Rev'!C88&gt;0),('SW OpInc'!G88/'SW Rev'!G88-'SW OpInc'!C88/'SW Rev'!C88)*10000,""),"")</f>
        <v/>
      </c>
      <c r="D701" s="43">
        <f>IFERROR(IF(AND(ISNUMBER('SW OpInc'!H88),ISNUMBER('SW Rev'!H88),ISNUMBER('SW OpInc'!D88),ISNUMBER('SW Rev'!D88),'SW Rev'!H88&gt;0,'SW Rev'!D88&gt;0),('SW OpInc'!H88/'SW Rev'!H88-'SW OpInc'!D88/'SW Rev'!D88)*10000,""),"")</f>
        <v/>
      </c>
      <c r="E701" s="43">
        <f>IFERROR(IF(AND(ISNUMBER('SW OpInc'!I88),ISNUMBER('SW Rev'!I88),ISNUMBER('SW OpInc'!E88),ISNUMBER('SW Rev'!E88),'SW Rev'!I88&gt;0,'SW Rev'!E88&gt;0),('SW OpInc'!I88/'SW Rev'!I88-'SW OpInc'!E88/'SW Rev'!E88)*10000,""),"")</f>
        <v/>
      </c>
      <c r="F701" s="43">
        <f>IFERROR(IF(AND(ISNUMBER('SW OpInc'!J88),ISNUMBER('SW Rev'!J88),ISNUMBER('SW OpInc'!F88),ISNUMBER('SW Rev'!F88),'SW Rev'!J88&gt;0,'SW Rev'!F88&gt;0),('SW OpInc'!J88/'SW Rev'!J88-'SW OpInc'!F88/'SW Rev'!F88)*10000,""),"")</f>
        <v/>
      </c>
      <c r="G701" s="43">
        <f>IFERROR(IF(AND(ISNUMBER('SW OpInc'!K88),ISNUMBER('SW Rev'!K88),ISNUMBER('SW OpInc'!G88),ISNUMBER('SW Rev'!G88),'SW Rev'!K88&gt;0,'SW Rev'!G88&gt;0),('SW OpInc'!K88/'SW Rev'!K88-'SW OpInc'!G88/'SW Rev'!G88)*10000,""),"")</f>
        <v/>
      </c>
      <c r="H701" s="43">
        <f>IFERROR(IF(AND(ISNUMBER('SW OpInc'!L88),ISNUMBER('SW Rev'!L88),ISNUMBER('SW OpInc'!H88),ISNUMBER('SW Rev'!H88),'SW Rev'!L88&gt;0,'SW Rev'!H88&gt;0),('SW OpInc'!L88/'SW Rev'!L88-'SW OpInc'!H88/'SW Rev'!H88)*10000,""),"")</f>
        <v/>
      </c>
      <c r="I701" s="43">
        <f>IFERROR(IF(AND(ISNUMBER('SW OpInc'!M88),ISNUMBER('SW Rev'!M88),ISNUMBER('SW OpInc'!I88),ISNUMBER('SW Rev'!I88),'SW Rev'!M88&gt;0,'SW Rev'!I88&gt;0),('SW OpInc'!M88/'SW Rev'!M88-'SW OpInc'!I88/'SW Rev'!I88)*10000,""),"")</f>
        <v/>
      </c>
      <c r="J701" s="43">
        <f>IFERROR(IF(AND(ISNUMBER('SW OpInc'!N88),ISNUMBER('SW Rev'!N88),ISNUMBER('SW OpInc'!J88),ISNUMBER('SW Rev'!J88),'SW Rev'!N88&gt;0,'SW Rev'!J88&gt;0),('SW OpInc'!N88/'SW Rev'!N88-'SW OpInc'!J88/'SW Rev'!J88)*10000,""),"")</f>
        <v/>
      </c>
      <c r="K701" s="43">
        <f>IFERROR(IF(AND(ISNUMBER('SW OpInc'!O88),ISNUMBER('SW Rev'!O88),ISNUMBER('SW OpInc'!K88),ISNUMBER('SW Rev'!K88),'SW Rev'!O88&gt;0,'SW Rev'!K88&gt;0),('SW OpInc'!O88/'SW Rev'!O88-'SW OpInc'!K88/'SW Rev'!K88)*10000,""),"")</f>
        <v/>
      </c>
      <c r="L701" s="43">
        <f>IFERROR(IF(AND(ISNUMBER('SW OpInc'!P88),ISNUMBER('SW Rev'!P88),ISNUMBER('SW OpInc'!L88),ISNUMBER('SW Rev'!L88),'SW Rev'!P88&gt;0,'SW Rev'!L88&gt;0),('SW OpInc'!P88/'SW Rev'!P88-'SW OpInc'!L88/'SW Rev'!L88)*10000,""),"")</f>
        <v/>
      </c>
      <c r="M701" s="44">
        <f>IFERROR(IF(AND(ISNUMBER('SW OpInc'!Q88),ISNUMBER('SW Rev'!Q88),ISNUMBER('SW OpInc'!M88),ISNUMBER('SW Rev'!M88),'SW Rev'!Q88&gt;0,'SW Rev'!M88&gt;0),('SW OpInc'!Q88/'SW Rev'!Q88-'SW OpInc'!M88/'SW Rev'!M88)*10000,""),"")</f>
        <v/>
      </c>
      <c r="N701" s="44">
        <f>IFERROR(IF(AND(ISNUMBER('SW OpInc'!R88),ISNUMBER('SW Rev'!R88),ISNUMBER('SW OpInc'!N88),ISNUMBER('SW Rev'!N88),'SW Rev'!R88&gt;0,'SW Rev'!N88&gt;0),('SW OpInc'!R88/'SW Rev'!R88-'SW OpInc'!N88/'SW Rev'!N88)*10000,""),"")</f>
        <v/>
      </c>
    </row>
    <row r="702">
      <c r="A702" s="19">
        <f>'SW Rev'!$A89</f>
        <v/>
      </c>
      <c r="B702" s="19">
        <f>'SW Rev'!$B89</f>
        <v/>
      </c>
      <c r="C702" s="43">
        <f>IFERROR(IF(AND(ISNUMBER('SW OpInc'!G89),ISNUMBER('SW Rev'!G89),ISNUMBER('SW OpInc'!C89),ISNUMBER('SW Rev'!C89),'SW Rev'!G89&gt;0,'SW Rev'!C89&gt;0),('SW OpInc'!G89/'SW Rev'!G89-'SW OpInc'!C89/'SW Rev'!C89)*10000,""),"")</f>
        <v/>
      </c>
      <c r="D702" s="43">
        <f>IFERROR(IF(AND(ISNUMBER('SW OpInc'!H89),ISNUMBER('SW Rev'!H89),ISNUMBER('SW OpInc'!D89),ISNUMBER('SW Rev'!D89),'SW Rev'!H89&gt;0,'SW Rev'!D89&gt;0),('SW OpInc'!H89/'SW Rev'!H89-'SW OpInc'!D89/'SW Rev'!D89)*10000,""),"")</f>
        <v/>
      </c>
      <c r="E702" s="43">
        <f>IFERROR(IF(AND(ISNUMBER('SW OpInc'!I89),ISNUMBER('SW Rev'!I89),ISNUMBER('SW OpInc'!E89),ISNUMBER('SW Rev'!E89),'SW Rev'!I89&gt;0,'SW Rev'!E89&gt;0),('SW OpInc'!I89/'SW Rev'!I89-'SW OpInc'!E89/'SW Rev'!E89)*10000,""),"")</f>
        <v/>
      </c>
      <c r="F702" s="43">
        <f>IFERROR(IF(AND(ISNUMBER('SW OpInc'!J89),ISNUMBER('SW Rev'!J89),ISNUMBER('SW OpInc'!F89),ISNUMBER('SW Rev'!F89),'SW Rev'!J89&gt;0,'SW Rev'!F89&gt;0),('SW OpInc'!J89/'SW Rev'!J89-'SW OpInc'!F89/'SW Rev'!F89)*10000,""),"")</f>
        <v/>
      </c>
      <c r="G702" s="43">
        <f>IFERROR(IF(AND(ISNUMBER('SW OpInc'!K89),ISNUMBER('SW Rev'!K89),ISNUMBER('SW OpInc'!G89),ISNUMBER('SW Rev'!G89),'SW Rev'!K89&gt;0,'SW Rev'!G89&gt;0),('SW OpInc'!K89/'SW Rev'!K89-'SW OpInc'!G89/'SW Rev'!G89)*10000,""),"")</f>
        <v/>
      </c>
      <c r="H702" s="43">
        <f>IFERROR(IF(AND(ISNUMBER('SW OpInc'!L89),ISNUMBER('SW Rev'!L89),ISNUMBER('SW OpInc'!H89),ISNUMBER('SW Rev'!H89),'SW Rev'!L89&gt;0,'SW Rev'!H89&gt;0),('SW OpInc'!L89/'SW Rev'!L89-'SW OpInc'!H89/'SW Rev'!H89)*10000,""),"")</f>
        <v/>
      </c>
      <c r="I702" s="43">
        <f>IFERROR(IF(AND(ISNUMBER('SW OpInc'!M89),ISNUMBER('SW Rev'!M89),ISNUMBER('SW OpInc'!I89),ISNUMBER('SW Rev'!I89),'SW Rev'!M89&gt;0,'SW Rev'!I89&gt;0),('SW OpInc'!M89/'SW Rev'!M89-'SW OpInc'!I89/'SW Rev'!I89)*10000,""),"")</f>
        <v/>
      </c>
      <c r="J702" s="43">
        <f>IFERROR(IF(AND(ISNUMBER('SW OpInc'!N89),ISNUMBER('SW Rev'!N89),ISNUMBER('SW OpInc'!J89),ISNUMBER('SW Rev'!J89),'SW Rev'!N89&gt;0,'SW Rev'!J89&gt;0),('SW OpInc'!N89/'SW Rev'!N89-'SW OpInc'!J89/'SW Rev'!J89)*10000,""),"")</f>
        <v/>
      </c>
      <c r="K702" s="43">
        <f>IFERROR(IF(AND(ISNUMBER('SW OpInc'!O89),ISNUMBER('SW Rev'!O89),ISNUMBER('SW OpInc'!K89),ISNUMBER('SW Rev'!K89),'SW Rev'!O89&gt;0,'SW Rev'!K89&gt;0),('SW OpInc'!O89/'SW Rev'!O89-'SW OpInc'!K89/'SW Rev'!K89)*10000,""),"")</f>
        <v/>
      </c>
      <c r="L702" s="43">
        <f>IFERROR(IF(AND(ISNUMBER('SW OpInc'!P89),ISNUMBER('SW Rev'!P89),ISNUMBER('SW OpInc'!L89),ISNUMBER('SW Rev'!L89),'SW Rev'!P89&gt;0,'SW Rev'!L89&gt;0),('SW OpInc'!P89/'SW Rev'!P89-'SW OpInc'!L89/'SW Rev'!L89)*10000,""),"")</f>
        <v/>
      </c>
      <c r="M702" s="44">
        <f>IFERROR(IF(AND(ISNUMBER('SW OpInc'!Q89),ISNUMBER('SW Rev'!Q89),ISNUMBER('SW OpInc'!M89),ISNUMBER('SW Rev'!M89),'SW Rev'!Q89&gt;0,'SW Rev'!M89&gt;0),('SW OpInc'!Q89/'SW Rev'!Q89-'SW OpInc'!M89/'SW Rev'!M89)*10000,""),"")</f>
        <v/>
      </c>
      <c r="N702" s="44">
        <f>IFERROR(IF(AND(ISNUMBER('SW OpInc'!R89),ISNUMBER('SW Rev'!R89),ISNUMBER('SW OpInc'!N89),ISNUMBER('SW Rev'!N89),'SW Rev'!R89&gt;0,'SW Rev'!N89&gt;0),('SW OpInc'!R89/'SW Rev'!R89-'SW OpInc'!N89/'SW Rev'!N89)*10000,""),"")</f>
        <v/>
      </c>
    </row>
    <row r="703">
      <c r="A703" s="19">
        <f>'SW Rev'!$A90</f>
        <v/>
      </c>
      <c r="B703" s="19">
        <f>'SW Rev'!$B90</f>
        <v/>
      </c>
      <c r="C703" s="43">
        <f>IFERROR(IF(AND(ISNUMBER('SW OpInc'!G90),ISNUMBER('SW Rev'!G90),ISNUMBER('SW OpInc'!C90),ISNUMBER('SW Rev'!C90),'SW Rev'!G90&gt;0,'SW Rev'!C90&gt;0),('SW OpInc'!G90/'SW Rev'!G90-'SW OpInc'!C90/'SW Rev'!C90)*10000,""),"")</f>
        <v/>
      </c>
      <c r="D703" s="43">
        <f>IFERROR(IF(AND(ISNUMBER('SW OpInc'!H90),ISNUMBER('SW Rev'!H90),ISNUMBER('SW OpInc'!D90),ISNUMBER('SW Rev'!D90),'SW Rev'!H90&gt;0,'SW Rev'!D90&gt;0),('SW OpInc'!H90/'SW Rev'!H90-'SW OpInc'!D90/'SW Rev'!D90)*10000,""),"")</f>
        <v/>
      </c>
      <c r="E703" s="43">
        <f>IFERROR(IF(AND(ISNUMBER('SW OpInc'!I90),ISNUMBER('SW Rev'!I90),ISNUMBER('SW OpInc'!E90),ISNUMBER('SW Rev'!E90),'SW Rev'!I90&gt;0,'SW Rev'!E90&gt;0),('SW OpInc'!I90/'SW Rev'!I90-'SW OpInc'!E90/'SW Rev'!E90)*10000,""),"")</f>
        <v/>
      </c>
      <c r="F703" s="43">
        <f>IFERROR(IF(AND(ISNUMBER('SW OpInc'!J90),ISNUMBER('SW Rev'!J90),ISNUMBER('SW OpInc'!F90),ISNUMBER('SW Rev'!F90),'SW Rev'!J90&gt;0,'SW Rev'!F90&gt;0),('SW OpInc'!J90/'SW Rev'!J90-'SW OpInc'!F90/'SW Rev'!F90)*10000,""),"")</f>
        <v/>
      </c>
      <c r="G703" s="43">
        <f>IFERROR(IF(AND(ISNUMBER('SW OpInc'!K90),ISNUMBER('SW Rev'!K90),ISNUMBER('SW OpInc'!G90),ISNUMBER('SW Rev'!G90),'SW Rev'!K90&gt;0,'SW Rev'!G90&gt;0),('SW OpInc'!K90/'SW Rev'!K90-'SW OpInc'!G90/'SW Rev'!G90)*10000,""),"")</f>
        <v/>
      </c>
      <c r="H703" s="43">
        <f>IFERROR(IF(AND(ISNUMBER('SW OpInc'!L90),ISNUMBER('SW Rev'!L90),ISNUMBER('SW OpInc'!H90),ISNUMBER('SW Rev'!H90),'SW Rev'!L90&gt;0,'SW Rev'!H90&gt;0),('SW OpInc'!L90/'SW Rev'!L90-'SW OpInc'!H90/'SW Rev'!H90)*10000,""),"")</f>
        <v/>
      </c>
      <c r="I703" s="43">
        <f>IFERROR(IF(AND(ISNUMBER('SW OpInc'!M90),ISNUMBER('SW Rev'!M90),ISNUMBER('SW OpInc'!I90),ISNUMBER('SW Rev'!I90),'SW Rev'!M90&gt;0,'SW Rev'!I90&gt;0),('SW OpInc'!M90/'SW Rev'!M90-'SW OpInc'!I90/'SW Rev'!I90)*10000,""),"")</f>
        <v/>
      </c>
      <c r="J703" s="43">
        <f>IFERROR(IF(AND(ISNUMBER('SW OpInc'!N90),ISNUMBER('SW Rev'!N90),ISNUMBER('SW OpInc'!J90),ISNUMBER('SW Rev'!J90),'SW Rev'!N90&gt;0,'SW Rev'!J90&gt;0),('SW OpInc'!N90/'SW Rev'!N90-'SW OpInc'!J90/'SW Rev'!J90)*10000,""),"")</f>
        <v/>
      </c>
      <c r="K703" s="43">
        <f>IFERROR(IF(AND(ISNUMBER('SW OpInc'!O90),ISNUMBER('SW Rev'!O90),ISNUMBER('SW OpInc'!K90),ISNUMBER('SW Rev'!K90),'SW Rev'!O90&gt;0,'SW Rev'!K90&gt;0),('SW OpInc'!O90/'SW Rev'!O90-'SW OpInc'!K90/'SW Rev'!K90)*10000,""),"")</f>
        <v/>
      </c>
      <c r="L703" s="43">
        <f>IFERROR(IF(AND(ISNUMBER('SW OpInc'!P90),ISNUMBER('SW Rev'!P90),ISNUMBER('SW OpInc'!L90),ISNUMBER('SW Rev'!L90),'SW Rev'!P90&gt;0,'SW Rev'!L90&gt;0),('SW OpInc'!P90/'SW Rev'!P90-'SW OpInc'!L90/'SW Rev'!L90)*10000,""),"")</f>
        <v/>
      </c>
      <c r="M703" s="44">
        <f>IFERROR(IF(AND(ISNUMBER('SW OpInc'!Q90),ISNUMBER('SW Rev'!Q90),ISNUMBER('SW OpInc'!M90),ISNUMBER('SW Rev'!M90),'SW Rev'!Q90&gt;0,'SW Rev'!M90&gt;0),('SW OpInc'!Q90/'SW Rev'!Q90-'SW OpInc'!M90/'SW Rev'!M90)*10000,""),"")</f>
        <v/>
      </c>
      <c r="N703" s="44">
        <f>IFERROR(IF(AND(ISNUMBER('SW OpInc'!R90),ISNUMBER('SW Rev'!R90),ISNUMBER('SW OpInc'!N90),ISNUMBER('SW Rev'!N90),'SW Rev'!R90&gt;0,'SW Rev'!N90&gt;0),('SW OpInc'!R90/'SW Rev'!R90-'SW OpInc'!N90/'SW Rev'!N90)*10000,""),"")</f>
        <v/>
      </c>
    </row>
    <row r="704">
      <c r="A704" s="19">
        <f>'SW Rev'!$A91</f>
        <v/>
      </c>
      <c r="B704" s="19">
        <f>'SW Rev'!$B91</f>
        <v/>
      </c>
      <c r="C704" s="43">
        <f>IFERROR(IF(AND(ISNUMBER('SW OpInc'!G91),ISNUMBER('SW Rev'!G91),ISNUMBER('SW OpInc'!C91),ISNUMBER('SW Rev'!C91),'SW Rev'!G91&gt;0,'SW Rev'!C91&gt;0),('SW OpInc'!G91/'SW Rev'!G91-'SW OpInc'!C91/'SW Rev'!C91)*10000,""),"")</f>
        <v/>
      </c>
      <c r="D704" s="43">
        <f>IFERROR(IF(AND(ISNUMBER('SW OpInc'!H91),ISNUMBER('SW Rev'!H91),ISNUMBER('SW OpInc'!D91),ISNUMBER('SW Rev'!D91),'SW Rev'!H91&gt;0,'SW Rev'!D91&gt;0),('SW OpInc'!H91/'SW Rev'!H91-'SW OpInc'!D91/'SW Rev'!D91)*10000,""),"")</f>
        <v/>
      </c>
      <c r="E704" s="43">
        <f>IFERROR(IF(AND(ISNUMBER('SW OpInc'!I91),ISNUMBER('SW Rev'!I91),ISNUMBER('SW OpInc'!E91),ISNUMBER('SW Rev'!E91),'SW Rev'!I91&gt;0,'SW Rev'!E91&gt;0),('SW OpInc'!I91/'SW Rev'!I91-'SW OpInc'!E91/'SW Rev'!E91)*10000,""),"")</f>
        <v/>
      </c>
      <c r="F704" s="43">
        <f>IFERROR(IF(AND(ISNUMBER('SW OpInc'!J91),ISNUMBER('SW Rev'!J91),ISNUMBER('SW OpInc'!F91),ISNUMBER('SW Rev'!F91),'SW Rev'!J91&gt;0,'SW Rev'!F91&gt;0),('SW OpInc'!J91/'SW Rev'!J91-'SW OpInc'!F91/'SW Rev'!F91)*10000,""),"")</f>
        <v/>
      </c>
      <c r="G704" s="43">
        <f>IFERROR(IF(AND(ISNUMBER('SW OpInc'!K91),ISNUMBER('SW Rev'!K91),ISNUMBER('SW OpInc'!G91),ISNUMBER('SW Rev'!G91),'SW Rev'!K91&gt;0,'SW Rev'!G91&gt;0),('SW OpInc'!K91/'SW Rev'!K91-'SW OpInc'!G91/'SW Rev'!G91)*10000,""),"")</f>
        <v/>
      </c>
      <c r="H704" s="43">
        <f>IFERROR(IF(AND(ISNUMBER('SW OpInc'!L91),ISNUMBER('SW Rev'!L91),ISNUMBER('SW OpInc'!H91),ISNUMBER('SW Rev'!H91),'SW Rev'!L91&gt;0,'SW Rev'!H91&gt;0),('SW OpInc'!L91/'SW Rev'!L91-'SW OpInc'!H91/'SW Rev'!H91)*10000,""),"")</f>
        <v/>
      </c>
      <c r="I704" s="43">
        <f>IFERROR(IF(AND(ISNUMBER('SW OpInc'!M91),ISNUMBER('SW Rev'!M91),ISNUMBER('SW OpInc'!I91),ISNUMBER('SW Rev'!I91),'SW Rev'!M91&gt;0,'SW Rev'!I91&gt;0),('SW OpInc'!M91/'SW Rev'!M91-'SW OpInc'!I91/'SW Rev'!I91)*10000,""),"")</f>
        <v/>
      </c>
      <c r="J704" s="43">
        <f>IFERROR(IF(AND(ISNUMBER('SW OpInc'!N91),ISNUMBER('SW Rev'!N91),ISNUMBER('SW OpInc'!J91),ISNUMBER('SW Rev'!J91),'SW Rev'!N91&gt;0,'SW Rev'!J91&gt;0),('SW OpInc'!N91/'SW Rev'!N91-'SW OpInc'!J91/'SW Rev'!J91)*10000,""),"")</f>
        <v/>
      </c>
      <c r="K704" s="43">
        <f>IFERROR(IF(AND(ISNUMBER('SW OpInc'!O91),ISNUMBER('SW Rev'!O91),ISNUMBER('SW OpInc'!K91),ISNUMBER('SW Rev'!K91),'SW Rev'!O91&gt;0,'SW Rev'!K91&gt;0),('SW OpInc'!O91/'SW Rev'!O91-'SW OpInc'!K91/'SW Rev'!K91)*10000,""),"")</f>
        <v/>
      </c>
      <c r="L704" s="43">
        <f>IFERROR(IF(AND(ISNUMBER('SW OpInc'!P91),ISNUMBER('SW Rev'!P91),ISNUMBER('SW OpInc'!L91),ISNUMBER('SW Rev'!L91),'SW Rev'!P91&gt;0,'SW Rev'!L91&gt;0),('SW OpInc'!P91/'SW Rev'!P91-'SW OpInc'!L91/'SW Rev'!L91)*10000,""),"")</f>
        <v/>
      </c>
      <c r="M704" s="44">
        <f>IFERROR(IF(AND(ISNUMBER('SW OpInc'!Q91),ISNUMBER('SW Rev'!Q91),ISNUMBER('SW OpInc'!M91),ISNUMBER('SW Rev'!M91),'SW Rev'!Q91&gt;0,'SW Rev'!M91&gt;0),('SW OpInc'!Q91/'SW Rev'!Q91-'SW OpInc'!M91/'SW Rev'!M91)*10000,""),"")</f>
        <v/>
      </c>
      <c r="N704" s="44">
        <f>IFERROR(IF(AND(ISNUMBER('SW OpInc'!R91),ISNUMBER('SW Rev'!R91),ISNUMBER('SW OpInc'!N91),ISNUMBER('SW Rev'!N91),'SW Rev'!R91&gt;0,'SW Rev'!N91&gt;0),('SW OpInc'!R91/'SW Rev'!R91-'SW OpInc'!N91/'SW Rev'!N91)*10000,""),"")</f>
        <v/>
      </c>
    </row>
    <row r="705">
      <c r="A705" s="19">
        <f>'SW Rev'!$A92</f>
        <v/>
      </c>
      <c r="B705" s="19">
        <f>'SW Rev'!$B92</f>
        <v/>
      </c>
      <c r="C705" s="43">
        <f>IFERROR(IF(AND(ISNUMBER('SW OpInc'!G92),ISNUMBER('SW Rev'!G92),ISNUMBER('SW OpInc'!C92),ISNUMBER('SW Rev'!C92),'SW Rev'!G92&gt;0,'SW Rev'!C92&gt;0),('SW OpInc'!G92/'SW Rev'!G92-'SW OpInc'!C92/'SW Rev'!C92)*10000,""),"")</f>
        <v/>
      </c>
      <c r="D705" s="43">
        <f>IFERROR(IF(AND(ISNUMBER('SW OpInc'!H92),ISNUMBER('SW Rev'!H92),ISNUMBER('SW OpInc'!D92),ISNUMBER('SW Rev'!D92),'SW Rev'!H92&gt;0,'SW Rev'!D92&gt;0),('SW OpInc'!H92/'SW Rev'!H92-'SW OpInc'!D92/'SW Rev'!D92)*10000,""),"")</f>
        <v/>
      </c>
      <c r="E705" s="43">
        <f>IFERROR(IF(AND(ISNUMBER('SW OpInc'!I92),ISNUMBER('SW Rev'!I92),ISNUMBER('SW OpInc'!E92),ISNUMBER('SW Rev'!E92),'SW Rev'!I92&gt;0,'SW Rev'!E92&gt;0),('SW OpInc'!I92/'SW Rev'!I92-'SW OpInc'!E92/'SW Rev'!E92)*10000,""),"")</f>
        <v/>
      </c>
      <c r="F705" s="43">
        <f>IFERROR(IF(AND(ISNUMBER('SW OpInc'!J92),ISNUMBER('SW Rev'!J92),ISNUMBER('SW OpInc'!F92),ISNUMBER('SW Rev'!F92),'SW Rev'!J92&gt;0,'SW Rev'!F92&gt;0),('SW OpInc'!J92/'SW Rev'!J92-'SW OpInc'!F92/'SW Rev'!F92)*10000,""),"")</f>
        <v/>
      </c>
      <c r="G705" s="43">
        <f>IFERROR(IF(AND(ISNUMBER('SW OpInc'!K92),ISNUMBER('SW Rev'!K92),ISNUMBER('SW OpInc'!G92),ISNUMBER('SW Rev'!G92),'SW Rev'!K92&gt;0,'SW Rev'!G92&gt;0),('SW OpInc'!K92/'SW Rev'!K92-'SW OpInc'!G92/'SW Rev'!G92)*10000,""),"")</f>
        <v/>
      </c>
      <c r="H705" s="43">
        <f>IFERROR(IF(AND(ISNUMBER('SW OpInc'!L92),ISNUMBER('SW Rev'!L92),ISNUMBER('SW OpInc'!H92),ISNUMBER('SW Rev'!H92),'SW Rev'!L92&gt;0,'SW Rev'!H92&gt;0),('SW OpInc'!L92/'SW Rev'!L92-'SW OpInc'!H92/'SW Rev'!H92)*10000,""),"")</f>
        <v/>
      </c>
      <c r="I705" s="43">
        <f>IFERROR(IF(AND(ISNUMBER('SW OpInc'!M92),ISNUMBER('SW Rev'!M92),ISNUMBER('SW OpInc'!I92),ISNUMBER('SW Rev'!I92),'SW Rev'!M92&gt;0,'SW Rev'!I92&gt;0),('SW OpInc'!M92/'SW Rev'!M92-'SW OpInc'!I92/'SW Rev'!I92)*10000,""),"")</f>
        <v/>
      </c>
      <c r="J705" s="43">
        <f>IFERROR(IF(AND(ISNUMBER('SW OpInc'!N92),ISNUMBER('SW Rev'!N92),ISNUMBER('SW OpInc'!J92),ISNUMBER('SW Rev'!J92),'SW Rev'!N92&gt;0,'SW Rev'!J92&gt;0),('SW OpInc'!N92/'SW Rev'!N92-'SW OpInc'!J92/'SW Rev'!J92)*10000,""),"")</f>
        <v/>
      </c>
      <c r="K705" s="43">
        <f>IFERROR(IF(AND(ISNUMBER('SW OpInc'!O92),ISNUMBER('SW Rev'!O92),ISNUMBER('SW OpInc'!K92),ISNUMBER('SW Rev'!K92),'SW Rev'!O92&gt;0,'SW Rev'!K92&gt;0),('SW OpInc'!O92/'SW Rev'!O92-'SW OpInc'!K92/'SW Rev'!K92)*10000,""),"")</f>
        <v/>
      </c>
      <c r="L705" s="43">
        <f>IFERROR(IF(AND(ISNUMBER('SW OpInc'!P92),ISNUMBER('SW Rev'!P92),ISNUMBER('SW OpInc'!L92),ISNUMBER('SW Rev'!L92),'SW Rev'!P92&gt;0,'SW Rev'!L92&gt;0),('SW OpInc'!P92/'SW Rev'!P92-'SW OpInc'!L92/'SW Rev'!L92)*10000,""),"")</f>
        <v/>
      </c>
      <c r="M705" s="44">
        <f>IFERROR(IF(AND(ISNUMBER('SW OpInc'!Q92),ISNUMBER('SW Rev'!Q92),ISNUMBER('SW OpInc'!M92),ISNUMBER('SW Rev'!M92),'SW Rev'!Q92&gt;0,'SW Rev'!M92&gt;0),('SW OpInc'!Q92/'SW Rev'!Q92-'SW OpInc'!M92/'SW Rev'!M92)*10000,""),"")</f>
        <v/>
      </c>
      <c r="N705" s="44">
        <f>IFERROR(IF(AND(ISNUMBER('SW OpInc'!R92),ISNUMBER('SW Rev'!R92),ISNUMBER('SW OpInc'!N92),ISNUMBER('SW Rev'!N92),'SW Rev'!R92&gt;0,'SW Rev'!N92&gt;0),('SW OpInc'!R92/'SW Rev'!R92-'SW OpInc'!N92/'SW Rev'!N92)*10000,""),"")</f>
        <v/>
      </c>
    </row>
    <row r="706">
      <c r="A706" s="19">
        <f>'SW Rev'!$A93</f>
        <v/>
      </c>
      <c r="B706" s="19">
        <f>'SW Rev'!$B93</f>
        <v/>
      </c>
      <c r="C706" s="43">
        <f>IFERROR(IF(AND(ISNUMBER('SW OpInc'!G93),ISNUMBER('SW Rev'!G93),ISNUMBER('SW OpInc'!C93),ISNUMBER('SW Rev'!C93),'SW Rev'!G93&gt;0,'SW Rev'!C93&gt;0),('SW OpInc'!G93/'SW Rev'!G93-'SW OpInc'!C93/'SW Rev'!C93)*10000,""),"")</f>
        <v/>
      </c>
      <c r="D706" s="43">
        <f>IFERROR(IF(AND(ISNUMBER('SW OpInc'!H93),ISNUMBER('SW Rev'!H93),ISNUMBER('SW OpInc'!D93),ISNUMBER('SW Rev'!D93),'SW Rev'!H93&gt;0,'SW Rev'!D93&gt;0),('SW OpInc'!H93/'SW Rev'!H93-'SW OpInc'!D93/'SW Rev'!D93)*10000,""),"")</f>
        <v/>
      </c>
      <c r="E706" s="43">
        <f>IFERROR(IF(AND(ISNUMBER('SW OpInc'!I93),ISNUMBER('SW Rev'!I93),ISNUMBER('SW OpInc'!E93),ISNUMBER('SW Rev'!E93),'SW Rev'!I93&gt;0,'SW Rev'!E93&gt;0),('SW OpInc'!I93/'SW Rev'!I93-'SW OpInc'!E93/'SW Rev'!E93)*10000,""),"")</f>
        <v/>
      </c>
      <c r="F706" s="43">
        <f>IFERROR(IF(AND(ISNUMBER('SW OpInc'!J93),ISNUMBER('SW Rev'!J93),ISNUMBER('SW OpInc'!F93),ISNUMBER('SW Rev'!F93),'SW Rev'!J93&gt;0,'SW Rev'!F93&gt;0),('SW OpInc'!J93/'SW Rev'!J93-'SW OpInc'!F93/'SW Rev'!F93)*10000,""),"")</f>
        <v/>
      </c>
      <c r="G706" s="43">
        <f>IFERROR(IF(AND(ISNUMBER('SW OpInc'!K93),ISNUMBER('SW Rev'!K93),ISNUMBER('SW OpInc'!G93),ISNUMBER('SW Rev'!G93),'SW Rev'!K93&gt;0,'SW Rev'!G93&gt;0),('SW OpInc'!K93/'SW Rev'!K93-'SW OpInc'!G93/'SW Rev'!G93)*10000,""),"")</f>
        <v/>
      </c>
      <c r="H706" s="43">
        <f>IFERROR(IF(AND(ISNUMBER('SW OpInc'!L93),ISNUMBER('SW Rev'!L93),ISNUMBER('SW OpInc'!H93),ISNUMBER('SW Rev'!H93),'SW Rev'!L93&gt;0,'SW Rev'!H93&gt;0),('SW OpInc'!L93/'SW Rev'!L93-'SW OpInc'!H93/'SW Rev'!H93)*10000,""),"")</f>
        <v/>
      </c>
      <c r="I706" s="43">
        <f>IFERROR(IF(AND(ISNUMBER('SW OpInc'!M93),ISNUMBER('SW Rev'!M93),ISNUMBER('SW OpInc'!I93),ISNUMBER('SW Rev'!I93),'SW Rev'!M93&gt;0,'SW Rev'!I93&gt;0),('SW OpInc'!M93/'SW Rev'!M93-'SW OpInc'!I93/'SW Rev'!I93)*10000,""),"")</f>
        <v/>
      </c>
      <c r="J706" s="43">
        <f>IFERROR(IF(AND(ISNUMBER('SW OpInc'!N93),ISNUMBER('SW Rev'!N93),ISNUMBER('SW OpInc'!J93),ISNUMBER('SW Rev'!J93),'SW Rev'!N93&gt;0,'SW Rev'!J93&gt;0),('SW OpInc'!N93/'SW Rev'!N93-'SW OpInc'!J93/'SW Rev'!J93)*10000,""),"")</f>
        <v/>
      </c>
      <c r="K706" s="43">
        <f>IFERROR(IF(AND(ISNUMBER('SW OpInc'!O93),ISNUMBER('SW Rev'!O93),ISNUMBER('SW OpInc'!K93),ISNUMBER('SW Rev'!K93),'SW Rev'!O93&gt;0,'SW Rev'!K93&gt;0),('SW OpInc'!O93/'SW Rev'!O93-'SW OpInc'!K93/'SW Rev'!K93)*10000,""),"")</f>
        <v/>
      </c>
      <c r="L706" s="43">
        <f>IFERROR(IF(AND(ISNUMBER('SW OpInc'!P93),ISNUMBER('SW Rev'!P93),ISNUMBER('SW OpInc'!L93),ISNUMBER('SW Rev'!L93),'SW Rev'!P93&gt;0,'SW Rev'!L93&gt;0),('SW OpInc'!P93/'SW Rev'!P93-'SW OpInc'!L93/'SW Rev'!L93)*10000,""),"")</f>
        <v/>
      </c>
      <c r="M706" s="44">
        <f>IFERROR(IF(AND(ISNUMBER('SW OpInc'!Q93),ISNUMBER('SW Rev'!Q93),ISNUMBER('SW OpInc'!M93),ISNUMBER('SW Rev'!M93),'SW Rev'!Q93&gt;0,'SW Rev'!M93&gt;0),('SW OpInc'!Q93/'SW Rev'!Q93-'SW OpInc'!M93/'SW Rev'!M93)*10000,""),"")</f>
        <v/>
      </c>
      <c r="N706" s="44">
        <f>IFERROR(IF(AND(ISNUMBER('SW OpInc'!R93),ISNUMBER('SW Rev'!R93),ISNUMBER('SW OpInc'!N93),ISNUMBER('SW Rev'!N93),'SW Rev'!R93&gt;0,'SW Rev'!N93&gt;0),('SW OpInc'!R93/'SW Rev'!R93-'SW OpInc'!N93/'SW Rev'!N93)*10000,""),"")</f>
        <v/>
      </c>
    </row>
    <row r="707">
      <c r="A707" s="19">
        <f>'SW Rev'!$A94</f>
        <v/>
      </c>
      <c r="B707" s="19">
        <f>'SW Rev'!$B94</f>
        <v/>
      </c>
      <c r="C707" s="43">
        <f>IFERROR(IF(AND(ISNUMBER('SW OpInc'!G94),ISNUMBER('SW Rev'!G94),ISNUMBER('SW OpInc'!C94),ISNUMBER('SW Rev'!C94),'SW Rev'!G94&gt;0,'SW Rev'!C94&gt;0),('SW OpInc'!G94/'SW Rev'!G94-'SW OpInc'!C94/'SW Rev'!C94)*10000,""),"")</f>
        <v/>
      </c>
      <c r="D707" s="43">
        <f>IFERROR(IF(AND(ISNUMBER('SW OpInc'!H94),ISNUMBER('SW Rev'!H94),ISNUMBER('SW OpInc'!D94),ISNUMBER('SW Rev'!D94),'SW Rev'!H94&gt;0,'SW Rev'!D94&gt;0),('SW OpInc'!H94/'SW Rev'!H94-'SW OpInc'!D94/'SW Rev'!D94)*10000,""),"")</f>
        <v/>
      </c>
      <c r="E707" s="43">
        <f>IFERROR(IF(AND(ISNUMBER('SW OpInc'!I94),ISNUMBER('SW Rev'!I94),ISNUMBER('SW OpInc'!E94),ISNUMBER('SW Rev'!E94),'SW Rev'!I94&gt;0,'SW Rev'!E94&gt;0),('SW OpInc'!I94/'SW Rev'!I94-'SW OpInc'!E94/'SW Rev'!E94)*10000,""),"")</f>
        <v/>
      </c>
      <c r="F707" s="43">
        <f>IFERROR(IF(AND(ISNUMBER('SW OpInc'!J94),ISNUMBER('SW Rev'!J94),ISNUMBER('SW OpInc'!F94),ISNUMBER('SW Rev'!F94),'SW Rev'!J94&gt;0,'SW Rev'!F94&gt;0),('SW OpInc'!J94/'SW Rev'!J94-'SW OpInc'!F94/'SW Rev'!F94)*10000,""),"")</f>
        <v/>
      </c>
      <c r="G707" s="43">
        <f>IFERROR(IF(AND(ISNUMBER('SW OpInc'!K94),ISNUMBER('SW Rev'!K94),ISNUMBER('SW OpInc'!G94),ISNUMBER('SW Rev'!G94),'SW Rev'!K94&gt;0,'SW Rev'!G94&gt;0),('SW OpInc'!K94/'SW Rev'!K94-'SW OpInc'!G94/'SW Rev'!G94)*10000,""),"")</f>
        <v/>
      </c>
      <c r="H707" s="43">
        <f>IFERROR(IF(AND(ISNUMBER('SW OpInc'!L94),ISNUMBER('SW Rev'!L94),ISNUMBER('SW OpInc'!H94),ISNUMBER('SW Rev'!H94),'SW Rev'!L94&gt;0,'SW Rev'!H94&gt;0),('SW OpInc'!L94/'SW Rev'!L94-'SW OpInc'!H94/'SW Rev'!H94)*10000,""),"")</f>
        <v/>
      </c>
      <c r="I707" s="43">
        <f>IFERROR(IF(AND(ISNUMBER('SW OpInc'!M94),ISNUMBER('SW Rev'!M94),ISNUMBER('SW OpInc'!I94),ISNUMBER('SW Rev'!I94),'SW Rev'!M94&gt;0,'SW Rev'!I94&gt;0),('SW OpInc'!M94/'SW Rev'!M94-'SW OpInc'!I94/'SW Rev'!I94)*10000,""),"")</f>
        <v/>
      </c>
      <c r="J707" s="43">
        <f>IFERROR(IF(AND(ISNUMBER('SW OpInc'!N94),ISNUMBER('SW Rev'!N94),ISNUMBER('SW OpInc'!J94),ISNUMBER('SW Rev'!J94),'SW Rev'!N94&gt;0,'SW Rev'!J94&gt;0),('SW OpInc'!N94/'SW Rev'!N94-'SW OpInc'!J94/'SW Rev'!J94)*10000,""),"")</f>
        <v/>
      </c>
      <c r="K707" s="43">
        <f>IFERROR(IF(AND(ISNUMBER('SW OpInc'!O94),ISNUMBER('SW Rev'!O94),ISNUMBER('SW OpInc'!K94),ISNUMBER('SW Rev'!K94),'SW Rev'!O94&gt;0,'SW Rev'!K94&gt;0),('SW OpInc'!O94/'SW Rev'!O94-'SW OpInc'!K94/'SW Rev'!K94)*10000,""),"")</f>
        <v/>
      </c>
      <c r="L707" s="43">
        <f>IFERROR(IF(AND(ISNUMBER('SW OpInc'!P94),ISNUMBER('SW Rev'!P94),ISNUMBER('SW OpInc'!L94),ISNUMBER('SW Rev'!L94),'SW Rev'!P94&gt;0,'SW Rev'!L94&gt;0),('SW OpInc'!P94/'SW Rev'!P94-'SW OpInc'!L94/'SW Rev'!L94)*10000,""),"")</f>
        <v/>
      </c>
      <c r="M707" s="44">
        <f>IFERROR(IF(AND(ISNUMBER('SW OpInc'!Q94),ISNUMBER('SW Rev'!Q94),ISNUMBER('SW OpInc'!M94),ISNUMBER('SW Rev'!M94),'SW Rev'!Q94&gt;0,'SW Rev'!M94&gt;0),('SW OpInc'!Q94/'SW Rev'!Q94-'SW OpInc'!M94/'SW Rev'!M94)*10000,""),"")</f>
        <v/>
      </c>
      <c r="N707" s="44">
        <f>IFERROR(IF(AND(ISNUMBER('SW OpInc'!R94),ISNUMBER('SW Rev'!R94),ISNUMBER('SW OpInc'!N94),ISNUMBER('SW Rev'!N94),'SW Rev'!R94&gt;0,'SW Rev'!N94&gt;0),('SW OpInc'!R94/'SW Rev'!R94-'SW OpInc'!N94/'SW Rev'!N94)*10000,""),"")</f>
        <v/>
      </c>
    </row>
    <row r="708">
      <c r="A708" s="19">
        <f>'SW Rev'!$A95</f>
        <v/>
      </c>
      <c r="B708" s="19">
        <f>'SW Rev'!$B95</f>
        <v/>
      </c>
      <c r="C708" s="43">
        <f>IFERROR(IF(AND(ISNUMBER('SW OpInc'!G95),ISNUMBER('SW Rev'!G95),ISNUMBER('SW OpInc'!C95),ISNUMBER('SW Rev'!C95),'SW Rev'!G95&gt;0,'SW Rev'!C95&gt;0),('SW OpInc'!G95/'SW Rev'!G95-'SW OpInc'!C95/'SW Rev'!C95)*10000,""),"")</f>
        <v/>
      </c>
      <c r="D708" s="43">
        <f>IFERROR(IF(AND(ISNUMBER('SW OpInc'!H95),ISNUMBER('SW Rev'!H95),ISNUMBER('SW OpInc'!D95),ISNUMBER('SW Rev'!D95),'SW Rev'!H95&gt;0,'SW Rev'!D95&gt;0),('SW OpInc'!H95/'SW Rev'!H95-'SW OpInc'!D95/'SW Rev'!D95)*10000,""),"")</f>
        <v/>
      </c>
      <c r="E708" s="43">
        <f>IFERROR(IF(AND(ISNUMBER('SW OpInc'!I95),ISNUMBER('SW Rev'!I95),ISNUMBER('SW OpInc'!E95),ISNUMBER('SW Rev'!E95),'SW Rev'!I95&gt;0,'SW Rev'!E95&gt;0),('SW OpInc'!I95/'SW Rev'!I95-'SW OpInc'!E95/'SW Rev'!E95)*10000,""),"")</f>
        <v/>
      </c>
      <c r="F708" s="43">
        <f>IFERROR(IF(AND(ISNUMBER('SW OpInc'!J95),ISNUMBER('SW Rev'!J95),ISNUMBER('SW OpInc'!F95),ISNUMBER('SW Rev'!F95),'SW Rev'!J95&gt;0,'SW Rev'!F95&gt;0),('SW OpInc'!J95/'SW Rev'!J95-'SW OpInc'!F95/'SW Rev'!F95)*10000,""),"")</f>
        <v/>
      </c>
      <c r="G708" s="43">
        <f>IFERROR(IF(AND(ISNUMBER('SW OpInc'!K95),ISNUMBER('SW Rev'!K95),ISNUMBER('SW OpInc'!G95),ISNUMBER('SW Rev'!G95),'SW Rev'!K95&gt;0,'SW Rev'!G95&gt;0),('SW OpInc'!K95/'SW Rev'!K95-'SW OpInc'!G95/'SW Rev'!G95)*10000,""),"")</f>
        <v/>
      </c>
      <c r="H708" s="43">
        <f>IFERROR(IF(AND(ISNUMBER('SW OpInc'!L95),ISNUMBER('SW Rev'!L95),ISNUMBER('SW OpInc'!H95),ISNUMBER('SW Rev'!H95),'SW Rev'!L95&gt;0,'SW Rev'!H95&gt;0),('SW OpInc'!L95/'SW Rev'!L95-'SW OpInc'!H95/'SW Rev'!H95)*10000,""),"")</f>
        <v/>
      </c>
      <c r="I708" s="43">
        <f>IFERROR(IF(AND(ISNUMBER('SW OpInc'!M95),ISNUMBER('SW Rev'!M95),ISNUMBER('SW OpInc'!I95),ISNUMBER('SW Rev'!I95),'SW Rev'!M95&gt;0,'SW Rev'!I95&gt;0),('SW OpInc'!M95/'SW Rev'!M95-'SW OpInc'!I95/'SW Rev'!I95)*10000,""),"")</f>
        <v/>
      </c>
      <c r="J708" s="43">
        <f>IFERROR(IF(AND(ISNUMBER('SW OpInc'!N95),ISNUMBER('SW Rev'!N95),ISNUMBER('SW OpInc'!J95),ISNUMBER('SW Rev'!J95),'SW Rev'!N95&gt;0,'SW Rev'!J95&gt;0),('SW OpInc'!N95/'SW Rev'!N95-'SW OpInc'!J95/'SW Rev'!J95)*10000,""),"")</f>
        <v/>
      </c>
      <c r="K708" s="43">
        <f>IFERROR(IF(AND(ISNUMBER('SW OpInc'!O95),ISNUMBER('SW Rev'!O95),ISNUMBER('SW OpInc'!K95),ISNUMBER('SW Rev'!K95),'SW Rev'!O95&gt;0,'SW Rev'!K95&gt;0),('SW OpInc'!O95/'SW Rev'!O95-'SW OpInc'!K95/'SW Rev'!K95)*10000,""),"")</f>
        <v/>
      </c>
      <c r="L708" s="43">
        <f>IFERROR(IF(AND(ISNUMBER('SW OpInc'!P95),ISNUMBER('SW Rev'!P95),ISNUMBER('SW OpInc'!L95),ISNUMBER('SW Rev'!L95),'SW Rev'!P95&gt;0,'SW Rev'!L95&gt;0),('SW OpInc'!P95/'SW Rev'!P95-'SW OpInc'!L95/'SW Rev'!L95)*10000,""),"")</f>
        <v/>
      </c>
      <c r="M708" s="44">
        <f>IFERROR(IF(AND(ISNUMBER('SW OpInc'!Q95),ISNUMBER('SW Rev'!Q95),ISNUMBER('SW OpInc'!M95),ISNUMBER('SW Rev'!M95),'SW Rev'!Q95&gt;0,'SW Rev'!M95&gt;0),('SW OpInc'!Q95/'SW Rev'!Q95-'SW OpInc'!M95/'SW Rev'!M95)*10000,""),"")</f>
        <v/>
      </c>
      <c r="N708" s="44">
        <f>IFERROR(IF(AND(ISNUMBER('SW OpInc'!R95),ISNUMBER('SW Rev'!R95),ISNUMBER('SW OpInc'!N95),ISNUMBER('SW Rev'!N95),'SW Rev'!R95&gt;0,'SW Rev'!N95&gt;0),('SW OpInc'!R95/'SW Rev'!R95-'SW OpInc'!N95/'SW Rev'!N95)*10000,""),"")</f>
        <v/>
      </c>
    </row>
    <row r="709">
      <c r="A709" s="19">
        <f>'SW Rev'!$A96</f>
        <v/>
      </c>
      <c r="B709" s="19">
        <f>'SW Rev'!$B96</f>
        <v/>
      </c>
      <c r="C709" s="43">
        <f>IFERROR(IF(AND(ISNUMBER('SW OpInc'!G96),ISNUMBER('SW Rev'!G96),ISNUMBER('SW OpInc'!C96),ISNUMBER('SW Rev'!C96),'SW Rev'!G96&gt;0,'SW Rev'!C96&gt;0),('SW OpInc'!G96/'SW Rev'!G96-'SW OpInc'!C96/'SW Rev'!C96)*10000,""),"")</f>
        <v/>
      </c>
      <c r="D709" s="43">
        <f>IFERROR(IF(AND(ISNUMBER('SW OpInc'!H96),ISNUMBER('SW Rev'!H96),ISNUMBER('SW OpInc'!D96),ISNUMBER('SW Rev'!D96),'SW Rev'!H96&gt;0,'SW Rev'!D96&gt;0),('SW OpInc'!H96/'SW Rev'!H96-'SW OpInc'!D96/'SW Rev'!D96)*10000,""),"")</f>
        <v/>
      </c>
      <c r="E709" s="43">
        <f>IFERROR(IF(AND(ISNUMBER('SW OpInc'!I96),ISNUMBER('SW Rev'!I96),ISNUMBER('SW OpInc'!E96),ISNUMBER('SW Rev'!E96),'SW Rev'!I96&gt;0,'SW Rev'!E96&gt;0),('SW OpInc'!I96/'SW Rev'!I96-'SW OpInc'!E96/'SW Rev'!E96)*10000,""),"")</f>
        <v/>
      </c>
      <c r="F709" s="43">
        <f>IFERROR(IF(AND(ISNUMBER('SW OpInc'!J96),ISNUMBER('SW Rev'!J96),ISNUMBER('SW OpInc'!F96),ISNUMBER('SW Rev'!F96),'SW Rev'!J96&gt;0,'SW Rev'!F96&gt;0),('SW OpInc'!J96/'SW Rev'!J96-'SW OpInc'!F96/'SW Rev'!F96)*10000,""),"")</f>
        <v/>
      </c>
      <c r="G709" s="43">
        <f>IFERROR(IF(AND(ISNUMBER('SW OpInc'!K96),ISNUMBER('SW Rev'!K96),ISNUMBER('SW OpInc'!G96),ISNUMBER('SW Rev'!G96),'SW Rev'!K96&gt;0,'SW Rev'!G96&gt;0),('SW OpInc'!K96/'SW Rev'!K96-'SW OpInc'!G96/'SW Rev'!G96)*10000,""),"")</f>
        <v/>
      </c>
      <c r="H709" s="43">
        <f>IFERROR(IF(AND(ISNUMBER('SW OpInc'!L96),ISNUMBER('SW Rev'!L96),ISNUMBER('SW OpInc'!H96),ISNUMBER('SW Rev'!H96),'SW Rev'!L96&gt;0,'SW Rev'!H96&gt;0),('SW OpInc'!L96/'SW Rev'!L96-'SW OpInc'!H96/'SW Rev'!H96)*10000,""),"")</f>
        <v/>
      </c>
      <c r="I709" s="43">
        <f>IFERROR(IF(AND(ISNUMBER('SW OpInc'!M96),ISNUMBER('SW Rev'!M96),ISNUMBER('SW OpInc'!I96),ISNUMBER('SW Rev'!I96),'SW Rev'!M96&gt;0,'SW Rev'!I96&gt;0),('SW OpInc'!M96/'SW Rev'!M96-'SW OpInc'!I96/'SW Rev'!I96)*10000,""),"")</f>
        <v/>
      </c>
      <c r="J709" s="43">
        <f>IFERROR(IF(AND(ISNUMBER('SW OpInc'!N96),ISNUMBER('SW Rev'!N96),ISNUMBER('SW OpInc'!J96),ISNUMBER('SW Rev'!J96),'SW Rev'!N96&gt;0,'SW Rev'!J96&gt;0),('SW OpInc'!N96/'SW Rev'!N96-'SW OpInc'!J96/'SW Rev'!J96)*10000,""),"")</f>
        <v/>
      </c>
      <c r="K709" s="43">
        <f>IFERROR(IF(AND(ISNUMBER('SW OpInc'!O96),ISNUMBER('SW Rev'!O96),ISNUMBER('SW OpInc'!K96),ISNUMBER('SW Rev'!K96),'SW Rev'!O96&gt;0,'SW Rev'!K96&gt;0),('SW OpInc'!O96/'SW Rev'!O96-'SW OpInc'!K96/'SW Rev'!K96)*10000,""),"")</f>
        <v/>
      </c>
      <c r="L709" s="43">
        <f>IFERROR(IF(AND(ISNUMBER('SW OpInc'!P96),ISNUMBER('SW Rev'!P96),ISNUMBER('SW OpInc'!L96),ISNUMBER('SW Rev'!L96),'SW Rev'!P96&gt;0,'SW Rev'!L96&gt;0),('SW OpInc'!P96/'SW Rev'!P96-'SW OpInc'!L96/'SW Rev'!L96)*10000,""),"")</f>
        <v/>
      </c>
      <c r="M709" s="44">
        <f>IFERROR(IF(AND(ISNUMBER('SW OpInc'!Q96),ISNUMBER('SW Rev'!Q96),ISNUMBER('SW OpInc'!M96),ISNUMBER('SW Rev'!M96),'SW Rev'!Q96&gt;0,'SW Rev'!M96&gt;0),('SW OpInc'!Q96/'SW Rev'!Q96-'SW OpInc'!M96/'SW Rev'!M96)*10000,""),"")</f>
        <v/>
      </c>
      <c r="N709" s="44">
        <f>IFERROR(IF(AND(ISNUMBER('SW OpInc'!R96),ISNUMBER('SW Rev'!R96),ISNUMBER('SW OpInc'!N96),ISNUMBER('SW Rev'!N96),'SW Rev'!R96&gt;0,'SW Rev'!N96&gt;0),('SW OpInc'!R96/'SW Rev'!R96-'SW OpInc'!N96/'SW Rev'!N96)*10000,""),"")</f>
        <v/>
      </c>
    </row>
    <row r="710">
      <c r="A710" s="19">
        <f>'SW Rev'!$A97</f>
        <v/>
      </c>
      <c r="B710" s="19">
        <f>'SW Rev'!$B97</f>
        <v/>
      </c>
      <c r="C710" s="43">
        <f>IFERROR(IF(AND(ISNUMBER('SW OpInc'!G97),ISNUMBER('SW Rev'!G97),ISNUMBER('SW OpInc'!C97),ISNUMBER('SW Rev'!C97),'SW Rev'!G97&gt;0,'SW Rev'!C97&gt;0),('SW OpInc'!G97/'SW Rev'!G97-'SW OpInc'!C97/'SW Rev'!C97)*10000,""),"")</f>
        <v/>
      </c>
      <c r="D710" s="43">
        <f>IFERROR(IF(AND(ISNUMBER('SW OpInc'!H97),ISNUMBER('SW Rev'!H97),ISNUMBER('SW OpInc'!D97),ISNUMBER('SW Rev'!D97),'SW Rev'!H97&gt;0,'SW Rev'!D97&gt;0),('SW OpInc'!H97/'SW Rev'!H97-'SW OpInc'!D97/'SW Rev'!D97)*10000,""),"")</f>
        <v/>
      </c>
      <c r="E710" s="43">
        <f>IFERROR(IF(AND(ISNUMBER('SW OpInc'!I97),ISNUMBER('SW Rev'!I97),ISNUMBER('SW OpInc'!E97),ISNUMBER('SW Rev'!E97),'SW Rev'!I97&gt;0,'SW Rev'!E97&gt;0),('SW OpInc'!I97/'SW Rev'!I97-'SW OpInc'!E97/'SW Rev'!E97)*10000,""),"")</f>
        <v/>
      </c>
      <c r="F710" s="43">
        <f>IFERROR(IF(AND(ISNUMBER('SW OpInc'!J97),ISNUMBER('SW Rev'!J97),ISNUMBER('SW OpInc'!F97),ISNUMBER('SW Rev'!F97),'SW Rev'!J97&gt;0,'SW Rev'!F97&gt;0),('SW OpInc'!J97/'SW Rev'!J97-'SW OpInc'!F97/'SW Rev'!F97)*10000,""),"")</f>
        <v/>
      </c>
      <c r="G710" s="43">
        <f>IFERROR(IF(AND(ISNUMBER('SW OpInc'!K97),ISNUMBER('SW Rev'!K97),ISNUMBER('SW OpInc'!G97),ISNUMBER('SW Rev'!G97),'SW Rev'!K97&gt;0,'SW Rev'!G97&gt;0),('SW OpInc'!K97/'SW Rev'!K97-'SW OpInc'!G97/'SW Rev'!G97)*10000,""),"")</f>
        <v/>
      </c>
      <c r="H710" s="43">
        <f>IFERROR(IF(AND(ISNUMBER('SW OpInc'!L97),ISNUMBER('SW Rev'!L97),ISNUMBER('SW OpInc'!H97),ISNUMBER('SW Rev'!H97),'SW Rev'!L97&gt;0,'SW Rev'!H97&gt;0),('SW OpInc'!L97/'SW Rev'!L97-'SW OpInc'!H97/'SW Rev'!H97)*10000,""),"")</f>
        <v/>
      </c>
      <c r="I710" s="43">
        <f>IFERROR(IF(AND(ISNUMBER('SW OpInc'!M97),ISNUMBER('SW Rev'!M97),ISNUMBER('SW OpInc'!I97),ISNUMBER('SW Rev'!I97),'SW Rev'!M97&gt;0,'SW Rev'!I97&gt;0),('SW OpInc'!M97/'SW Rev'!M97-'SW OpInc'!I97/'SW Rev'!I97)*10000,""),"")</f>
        <v/>
      </c>
      <c r="J710" s="43">
        <f>IFERROR(IF(AND(ISNUMBER('SW OpInc'!N97),ISNUMBER('SW Rev'!N97),ISNUMBER('SW OpInc'!J97),ISNUMBER('SW Rev'!J97),'SW Rev'!N97&gt;0,'SW Rev'!J97&gt;0),('SW OpInc'!N97/'SW Rev'!N97-'SW OpInc'!J97/'SW Rev'!J97)*10000,""),"")</f>
        <v/>
      </c>
      <c r="K710" s="43">
        <f>IFERROR(IF(AND(ISNUMBER('SW OpInc'!O97),ISNUMBER('SW Rev'!O97),ISNUMBER('SW OpInc'!K97),ISNUMBER('SW Rev'!K97),'SW Rev'!O97&gt;0,'SW Rev'!K97&gt;0),('SW OpInc'!O97/'SW Rev'!O97-'SW OpInc'!K97/'SW Rev'!K97)*10000,""),"")</f>
        <v/>
      </c>
      <c r="L710" s="43">
        <f>IFERROR(IF(AND(ISNUMBER('SW OpInc'!P97),ISNUMBER('SW Rev'!P97),ISNUMBER('SW OpInc'!L97),ISNUMBER('SW Rev'!L97),'SW Rev'!P97&gt;0,'SW Rev'!L97&gt;0),('SW OpInc'!P97/'SW Rev'!P97-'SW OpInc'!L97/'SW Rev'!L97)*10000,""),"")</f>
        <v/>
      </c>
      <c r="M710" s="44">
        <f>IFERROR(IF(AND(ISNUMBER('SW OpInc'!Q97),ISNUMBER('SW Rev'!Q97),ISNUMBER('SW OpInc'!M97),ISNUMBER('SW Rev'!M97),'SW Rev'!Q97&gt;0,'SW Rev'!M97&gt;0),('SW OpInc'!Q97/'SW Rev'!Q97-'SW OpInc'!M97/'SW Rev'!M97)*10000,""),"")</f>
        <v/>
      </c>
      <c r="N710" s="44">
        <f>IFERROR(IF(AND(ISNUMBER('SW OpInc'!R97),ISNUMBER('SW Rev'!R97),ISNUMBER('SW OpInc'!N97),ISNUMBER('SW Rev'!N97),'SW Rev'!R97&gt;0,'SW Rev'!N97&gt;0),('SW OpInc'!R97/'SW Rev'!R97-'SW OpInc'!N97/'SW Rev'!N97)*10000,""),"")</f>
        <v/>
      </c>
    </row>
    <row r="711">
      <c r="A711" s="19">
        <f>'SW Rev'!$A98</f>
        <v/>
      </c>
      <c r="B711" s="19">
        <f>'SW Rev'!$B98</f>
        <v/>
      </c>
      <c r="C711" s="43">
        <f>IFERROR(IF(AND(ISNUMBER('SW OpInc'!G98),ISNUMBER('SW Rev'!G98),ISNUMBER('SW OpInc'!C98),ISNUMBER('SW Rev'!C98),'SW Rev'!G98&gt;0,'SW Rev'!C98&gt;0),('SW OpInc'!G98/'SW Rev'!G98-'SW OpInc'!C98/'SW Rev'!C98)*10000,""),"")</f>
        <v/>
      </c>
      <c r="D711" s="43">
        <f>IFERROR(IF(AND(ISNUMBER('SW OpInc'!H98),ISNUMBER('SW Rev'!H98),ISNUMBER('SW OpInc'!D98),ISNUMBER('SW Rev'!D98),'SW Rev'!H98&gt;0,'SW Rev'!D98&gt;0),('SW OpInc'!H98/'SW Rev'!H98-'SW OpInc'!D98/'SW Rev'!D98)*10000,""),"")</f>
        <v/>
      </c>
      <c r="E711" s="43">
        <f>IFERROR(IF(AND(ISNUMBER('SW OpInc'!I98),ISNUMBER('SW Rev'!I98),ISNUMBER('SW OpInc'!E98),ISNUMBER('SW Rev'!E98),'SW Rev'!I98&gt;0,'SW Rev'!E98&gt;0),('SW OpInc'!I98/'SW Rev'!I98-'SW OpInc'!E98/'SW Rev'!E98)*10000,""),"")</f>
        <v/>
      </c>
      <c r="F711" s="43">
        <f>IFERROR(IF(AND(ISNUMBER('SW OpInc'!J98),ISNUMBER('SW Rev'!J98),ISNUMBER('SW OpInc'!F98),ISNUMBER('SW Rev'!F98),'SW Rev'!J98&gt;0,'SW Rev'!F98&gt;0),('SW OpInc'!J98/'SW Rev'!J98-'SW OpInc'!F98/'SW Rev'!F98)*10000,""),"")</f>
        <v/>
      </c>
      <c r="G711" s="43">
        <f>IFERROR(IF(AND(ISNUMBER('SW OpInc'!K98),ISNUMBER('SW Rev'!K98),ISNUMBER('SW OpInc'!G98),ISNUMBER('SW Rev'!G98),'SW Rev'!K98&gt;0,'SW Rev'!G98&gt;0),('SW OpInc'!K98/'SW Rev'!K98-'SW OpInc'!G98/'SW Rev'!G98)*10000,""),"")</f>
        <v/>
      </c>
      <c r="H711" s="43">
        <f>IFERROR(IF(AND(ISNUMBER('SW OpInc'!L98),ISNUMBER('SW Rev'!L98),ISNUMBER('SW OpInc'!H98),ISNUMBER('SW Rev'!H98),'SW Rev'!L98&gt;0,'SW Rev'!H98&gt;0),('SW OpInc'!L98/'SW Rev'!L98-'SW OpInc'!H98/'SW Rev'!H98)*10000,""),"")</f>
        <v/>
      </c>
      <c r="I711" s="43">
        <f>IFERROR(IF(AND(ISNUMBER('SW OpInc'!M98),ISNUMBER('SW Rev'!M98),ISNUMBER('SW OpInc'!I98),ISNUMBER('SW Rev'!I98),'SW Rev'!M98&gt;0,'SW Rev'!I98&gt;0),('SW OpInc'!M98/'SW Rev'!M98-'SW OpInc'!I98/'SW Rev'!I98)*10000,""),"")</f>
        <v/>
      </c>
      <c r="J711" s="43">
        <f>IFERROR(IF(AND(ISNUMBER('SW OpInc'!N98),ISNUMBER('SW Rev'!N98),ISNUMBER('SW OpInc'!J98),ISNUMBER('SW Rev'!J98),'SW Rev'!N98&gt;0,'SW Rev'!J98&gt;0),('SW OpInc'!N98/'SW Rev'!N98-'SW OpInc'!J98/'SW Rev'!J98)*10000,""),"")</f>
        <v/>
      </c>
      <c r="K711" s="43">
        <f>IFERROR(IF(AND(ISNUMBER('SW OpInc'!O98),ISNUMBER('SW Rev'!O98),ISNUMBER('SW OpInc'!K98),ISNUMBER('SW Rev'!K98),'SW Rev'!O98&gt;0,'SW Rev'!K98&gt;0),('SW OpInc'!O98/'SW Rev'!O98-'SW OpInc'!K98/'SW Rev'!K98)*10000,""),"")</f>
        <v/>
      </c>
      <c r="L711" s="43">
        <f>IFERROR(IF(AND(ISNUMBER('SW OpInc'!P98),ISNUMBER('SW Rev'!P98),ISNUMBER('SW OpInc'!L98),ISNUMBER('SW Rev'!L98),'SW Rev'!P98&gt;0,'SW Rev'!L98&gt;0),('SW OpInc'!P98/'SW Rev'!P98-'SW OpInc'!L98/'SW Rev'!L98)*10000,""),"")</f>
        <v/>
      </c>
      <c r="M711" s="44">
        <f>IFERROR(IF(AND(ISNUMBER('SW OpInc'!Q98),ISNUMBER('SW Rev'!Q98),ISNUMBER('SW OpInc'!M98),ISNUMBER('SW Rev'!M98),'SW Rev'!Q98&gt;0,'SW Rev'!M98&gt;0),('SW OpInc'!Q98/'SW Rev'!Q98-'SW OpInc'!M98/'SW Rev'!M98)*10000,""),"")</f>
        <v/>
      </c>
      <c r="N711" s="44">
        <f>IFERROR(IF(AND(ISNUMBER('SW OpInc'!R98),ISNUMBER('SW Rev'!R98),ISNUMBER('SW OpInc'!N98),ISNUMBER('SW Rev'!N98),'SW Rev'!R98&gt;0,'SW Rev'!N98&gt;0),('SW OpInc'!R98/'SW Rev'!R98-'SW OpInc'!N98/'SW Rev'!N98)*10000,""),"")</f>
        <v/>
      </c>
    </row>
    <row r="712">
      <c r="A712" s="19">
        <f>'SW Rev'!$A99</f>
        <v/>
      </c>
      <c r="B712" s="19">
        <f>'SW Rev'!$B99</f>
        <v/>
      </c>
      <c r="C712" s="43">
        <f>IFERROR(IF(AND(ISNUMBER('SW OpInc'!G99),ISNUMBER('SW Rev'!G99),ISNUMBER('SW OpInc'!C99),ISNUMBER('SW Rev'!C99),'SW Rev'!G99&gt;0,'SW Rev'!C99&gt;0),('SW OpInc'!G99/'SW Rev'!G99-'SW OpInc'!C99/'SW Rev'!C99)*10000,""),"")</f>
        <v/>
      </c>
      <c r="D712" s="43">
        <f>IFERROR(IF(AND(ISNUMBER('SW OpInc'!H99),ISNUMBER('SW Rev'!H99),ISNUMBER('SW OpInc'!D99),ISNUMBER('SW Rev'!D99),'SW Rev'!H99&gt;0,'SW Rev'!D99&gt;0),('SW OpInc'!H99/'SW Rev'!H99-'SW OpInc'!D99/'SW Rev'!D99)*10000,""),"")</f>
        <v/>
      </c>
      <c r="E712" s="43">
        <f>IFERROR(IF(AND(ISNUMBER('SW OpInc'!I99),ISNUMBER('SW Rev'!I99),ISNUMBER('SW OpInc'!E99),ISNUMBER('SW Rev'!E99),'SW Rev'!I99&gt;0,'SW Rev'!E99&gt;0),('SW OpInc'!I99/'SW Rev'!I99-'SW OpInc'!E99/'SW Rev'!E99)*10000,""),"")</f>
        <v/>
      </c>
      <c r="F712" s="43">
        <f>IFERROR(IF(AND(ISNUMBER('SW OpInc'!J99),ISNUMBER('SW Rev'!J99),ISNUMBER('SW OpInc'!F99),ISNUMBER('SW Rev'!F99),'SW Rev'!J99&gt;0,'SW Rev'!F99&gt;0),('SW OpInc'!J99/'SW Rev'!J99-'SW OpInc'!F99/'SW Rev'!F99)*10000,""),"")</f>
        <v/>
      </c>
      <c r="G712" s="43">
        <f>IFERROR(IF(AND(ISNUMBER('SW OpInc'!K99),ISNUMBER('SW Rev'!K99),ISNUMBER('SW OpInc'!G99),ISNUMBER('SW Rev'!G99),'SW Rev'!K99&gt;0,'SW Rev'!G99&gt;0),('SW OpInc'!K99/'SW Rev'!K99-'SW OpInc'!G99/'SW Rev'!G99)*10000,""),"")</f>
        <v/>
      </c>
      <c r="H712" s="43">
        <f>IFERROR(IF(AND(ISNUMBER('SW OpInc'!L99),ISNUMBER('SW Rev'!L99),ISNUMBER('SW OpInc'!H99),ISNUMBER('SW Rev'!H99),'SW Rev'!L99&gt;0,'SW Rev'!H99&gt;0),('SW OpInc'!L99/'SW Rev'!L99-'SW OpInc'!H99/'SW Rev'!H99)*10000,""),"")</f>
        <v/>
      </c>
      <c r="I712" s="43">
        <f>IFERROR(IF(AND(ISNUMBER('SW OpInc'!M99),ISNUMBER('SW Rev'!M99),ISNUMBER('SW OpInc'!I99),ISNUMBER('SW Rev'!I99),'SW Rev'!M99&gt;0,'SW Rev'!I99&gt;0),('SW OpInc'!M99/'SW Rev'!M99-'SW OpInc'!I99/'SW Rev'!I99)*10000,""),"")</f>
        <v/>
      </c>
      <c r="J712" s="43">
        <f>IFERROR(IF(AND(ISNUMBER('SW OpInc'!N99),ISNUMBER('SW Rev'!N99),ISNUMBER('SW OpInc'!J99),ISNUMBER('SW Rev'!J99),'SW Rev'!N99&gt;0,'SW Rev'!J99&gt;0),('SW OpInc'!N99/'SW Rev'!N99-'SW OpInc'!J99/'SW Rev'!J99)*10000,""),"")</f>
        <v/>
      </c>
      <c r="K712" s="43">
        <f>IFERROR(IF(AND(ISNUMBER('SW OpInc'!O99),ISNUMBER('SW Rev'!O99),ISNUMBER('SW OpInc'!K99),ISNUMBER('SW Rev'!K99),'SW Rev'!O99&gt;0,'SW Rev'!K99&gt;0),('SW OpInc'!O99/'SW Rev'!O99-'SW OpInc'!K99/'SW Rev'!K99)*10000,""),"")</f>
        <v/>
      </c>
      <c r="L712" s="43">
        <f>IFERROR(IF(AND(ISNUMBER('SW OpInc'!P99),ISNUMBER('SW Rev'!P99),ISNUMBER('SW OpInc'!L99),ISNUMBER('SW Rev'!L99),'SW Rev'!P99&gt;0,'SW Rev'!L99&gt;0),('SW OpInc'!P99/'SW Rev'!P99-'SW OpInc'!L99/'SW Rev'!L99)*10000,""),"")</f>
        <v/>
      </c>
      <c r="M712" s="44">
        <f>IFERROR(IF(AND(ISNUMBER('SW OpInc'!Q99),ISNUMBER('SW Rev'!Q99),ISNUMBER('SW OpInc'!M99),ISNUMBER('SW Rev'!M99),'SW Rev'!Q99&gt;0,'SW Rev'!M99&gt;0),('SW OpInc'!Q99/'SW Rev'!Q99-'SW OpInc'!M99/'SW Rev'!M99)*10000,""),"")</f>
        <v/>
      </c>
      <c r="N712" s="44">
        <f>IFERROR(IF(AND(ISNUMBER('SW OpInc'!R99),ISNUMBER('SW Rev'!R99),ISNUMBER('SW OpInc'!N99),ISNUMBER('SW Rev'!N99),'SW Rev'!R99&gt;0,'SW Rev'!N99&gt;0),('SW OpInc'!R99/'SW Rev'!R99-'SW OpInc'!N99/'SW Rev'!N99)*10000,""),"")</f>
        <v/>
      </c>
    </row>
    <row r="713">
      <c r="A713" s="19">
        <f>'SW Rev'!$A100</f>
        <v/>
      </c>
      <c r="B713" s="19">
        <f>'SW Rev'!$B100</f>
        <v/>
      </c>
      <c r="C713" s="43">
        <f>IFERROR(IF(AND(ISNUMBER('SW OpInc'!G100),ISNUMBER('SW Rev'!G100),ISNUMBER('SW OpInc'!C100),ISNUMBER('SW Rev'!C100),'SW Rev'!G100&gt;0,'SW Rev'!C100&gt;0),('SW OpInc'!G100/'SW Rev'!G100-'SW OpInc'!C100/'SW Rev'!C100)*10000,""),"")</f>
        <v/>
      </c>
      <c r="D713" s="43">
        <f>IFERROR(IF(AND(ISNUMBER('SW OpInc'!H100),ISNUMBER('SW Rev'!H100),ISNUMBER('SW OpInc'!D100),ISNUMBER('SW Rev'!D100),'SW Rev'!H100&gt;0,'SW Rev'!D100&gt;0),('SW OpInc'!H100/'SW Rev'!H100-'SW OpInc'!D100/'SW Rev'!D100)*10000,""),"")</f>
        <v/>
      </c>
      <c r="E713" s="43">
        <f>IFERROR(IF(AND(ISNUMBER('SW OpInc'!I100),ISNUMBER('SW Rev'!I100),ISNUMBER('SW OpInc'!E100),ISNUMBER('SW Rev'!E100),'SW Rev'!I100&gt;0,'SW Rev'!E100&gt;0),('SW OpInc'!I100/'SW Rev'!I100-'SW OpInc'!E100/'SW Rev'!E100)*10000,""),"")</f>
        <v/>
      </c>
      <c r="F713" s="43">
        <f>IFERROR(IF(AND(ISNUMBER('SW OpInc'!J100),ISNUMBER('SW Rev'!J100),ISNUMBER('SW OpInc'!F100),ISNUMBER('SW Rev'!F100),'SW Rev'!J100&gt;0,'SW Rev'!F100&gt;0),('SW OpInc'!J100/'SW Rev'!J100-'SW OpInc'!F100/'SW Rev'!F100)*10000,""),"")</f>
        <v/>
      </c>
      <c r="G713" s="43">
        <f>IFERROR(IF(AND(ISNUMBER('SW OpInc'!K100),ISNUMBER('SW Rev'!K100),ISNUMBER('SW OpInc'!G100),ISNUMBER('SW Rev'!G100),'SW Rev'!K100&gt;0,'SW Rev'!G100&gt;0),('SW OpInc'!K100/'SW Rev'!K100-'SW OpInc'!G100/'SW Rev'!G100)*10000,""),"")</f>
        <v/>
      </c>
      <c r="H713" s="43">
        <f>IFERROR(IF(AND(ISNUMBER('SW OpInc'!L100),ISNUMBER('SW Rev'!L100),ISNUMBER('SW OpInc'!H100),ISNUMBER('SW Rev'!H100),'SW Rev'!L100&gt;0,'SW Rev'!H100&gt;0),('SW OpInc'!L100/'SW Rev'!L100-'SW OpInc'!H100/'SW Rev'!H100)*10000,""),"")</f>
        <v/>
      </c>
      <c r="I713" s="43">
        <f>IFERROR(IF(AND(ISNUMBER('SW OpInc'!M100),ISNUMBER('SW Rev'!M100),ISNUMBER('SW OpInc'!I100),ISNUMBER('SW Rev'!I100),'SW Rev'!M100&gt;0,'SW Rev'!I100&gt;0),('SW OpInc'!M100/'SW Rev'!M100-'SW OpInc'!I100/'SW Rev'!I100)*10000,""),"")</f>
        <v/>
      </c>
      <c r="J713" s="43">
        <f>IFERROR(IF(AND(ISNUMBER('SW OpInc'!N100),ISNUMBER('SW Rev'!N100),ISNUMBER('SW OpInc'!J100),ISNUMBER('SW Rev'!J100),'SW Rev'!N100&gt;0,'SW Rev'!J100&gt;0),('SW OpInc'!N100/'SW Rev'!N100-'SW OpInc'!J100/'SW Rev'!J100)*10000,""),"")</f>
        <v/>
      </c>
      <c r="K713" s="43">
        <f>IFERROR(IF(AND(ISNUMBER('SW OpInc'!O100),ISNUMBER('SW Rev'!O100),ISNUMBER('SW OpInc'!K100),ISNUMBER('SW Rev'!K100),'SW Rev'!O100&gt;0,'SW Rev'!K100&gt;0),('SW OpInc'!O100/'SW Rev'!O100-'SW OpInc'!K100/'SW Rev'!K100)*10000,""),"")</f>
        <v/>
      </c>
      <c r="L713" s="43">
        <f>IFERROR(IF(AND(ISNUMBER('SW OpInc'!P100),ISNUMBER('SW Rev'!P100),ISNUMBER('SW OpInc'!L100),ISNUMBER('SW Rev'!L100),'SW Rev'!P100&gt;0,'SW Rev'!L100&gt;0),('SW OpInc'!P100/'SW Rev'!P100-'SW OpInc'!L100/'SW Rev'!L100)*10000,""),"")</f>
        <v/>
      </c>
      <c r="M713" s="44">
        <f>IFERROR(IF(AND(ISNUMBER('SW OpInc'!Q100),ISNUMBER('SW Rev'!Q100),ISNUMBER('SW OpInc'!M100),ISNUMBER('SW Rev'!M100),'SW Rev'!Q100&gt;0,'SW Rev'!M100&gt;0),('SW OpInc'!Q100/'SW Rev'!Q100-'SW OpInc'!M100/'SW Rev'!M100)*10000,""),"")</f>
        <v/>
      </c>
      <c r="N713" s="44">
        <f>IFERROR(IF(AND(ISNUMBER('SW OpInc'!R100),ISNUMBER('SW Rev'!R100),ISNUMBER('SW OpInc'!N100),ISNUMBER('SW Rev'!N100),'SW Rev'!R100&gt;0,'SW Rev'!N100&gt;0),('SW OpInc'!R100/'SW Rev'!R100-'SW OpInc'!N100/'SW Rev'!N100)*10000,""),"")</f>
        <v/>
      </c>
    </row>
    <row r="714">
      <c r="A714" s="19">
        <f>'SW Rev'!$A101</f>
        <v/>
      </c>
      <c r="B714" s="19">
        <f>'SW Rev'!$B101</f>
        <v/>
      </c>
      <c r="C714" s="43">
        <f>IFERROR(IF(AND(ISNUMBER('SW OpInc'!G101),ISNUMBER('SW Rev'!G101),ISNUMBER('SW OpInc'!C101),ISNUMBER('SW Rev'!C101),'SW Rev'!G101&gt;0,'SW Rev'!C101&gt;0),('SW OpInc'!G101/'SW Rev'!G101-'SW OpInc'!C101/'SW Rev'!C101)*10000,""),"")</f>
        <v/>
      </c>
      <c r="D714" s="43">
        <f>IFERROR(IF(AND(ISNUMBER('SW OpInc'!H101),ISNUMBER('SW Rev'!H101),ISNUMBER('SW OpInc'!D101),ISNUMBER('SW Rev'!D101),'SW Rev'!H101&gt;0,'SW Rev'!D101&gt;0),('SW OpInc'!H101/'SW Rev'!H101-'SW OpInc'!D101/'SW Rev'!D101)*10000,""),"")</f>
        <v/>
      </c>
      <c r="E714" s="43">
        <f>IFERROR(IF(AND(ISNUMBER('SW OpInc'!I101),ISNUMBER('SW Rev'!I101),ISNUMBER('SW OpInc'!E101),ISNUMBER('SW Rev'!E101),'SW Rev'!I101&gt;0,'SW Rev'!E101&gt;0),('SW OpInc'!I101/'SW Rev'!I101-'SW OpInc'!E101/'SW Rev'!E101)*10000,""),"")</f>
        <v/>
      </c>
      <c r="F714" s="43">
        <f>IFERROR(IF(AND(ISNUMBER('SW OpInc'!J101),ISNUMBER('SW Rev'!J101),ISNUMBER('SW OpInc'!F101),ISNUMBER('SW Rev'!F101),'SW Rev'!J101&gt;0,'SW Rev'!F101&gt;0),('SW OpInc'!J101/'SW Rev'!J101-'SW OpInc'!F101/'SW Rev'!F101)*10000,""),"")</f>
        <v/>
      </c>
      <c r="G714" s="43">
        <f>IFERROR(IF(AND(ISNUMBER('SW OpInc'!K101),ISNUMBER('SW Rev'!K101),ISNUMBER('SW OpInc'!G101),ISNUMBER('SW Rev'!G101),'SW Rev'!K101&gt;0,'SW Rev'!G101&gt;0),('SW OpInc'!K101/'SW Rev'!K101-'SW OpInc'!G101/'SW Rev'!G101)*10000,""),"")</f>
        <v/>
      </c>
      <c r="H714" s="43">
        <f>IFERROR(IF(AND(ISNUMBER('SW OpInc'!L101),ISNUMBER('SW Rev'!L101),ISNUMBER('SW OpInc'!H101),ISNUMBER('SW Rev'!H101),'SW Rev'!L101&gt;0,'SW Rev'!H101&gt;0),('SW OpInc'!L101/'SW Rev'!L101-'SW OpInc'!H101/'SW Rev'!H101)*10000,""),"")</f>
        <v/>
      </c>
      <c r="I714" s="43">
        <f>IFERROR(IF(AND(ISNUMBER('SW OpInc'!M101),ISNUMBER('SW Rev'!M101),ISNUMBER('SW OpInc'!I101),ISNUMBER('SW Rev'!I101),'SW Rev'!M101&gt;0,'SW Rev'!I101&gt;0),('SW OpInc'!M101/'SW Rev'!M101-'SW OpInc'!I101/'SW Rev'!I101)*10000,""),"")</f>
        <v/>
      </c>
      <c r="J714" s="43">
        <f>IFERROR(IF(AND(ISNUMBER('SW OpInc'!N101),ISNUMBER('SW Rev'!N101),ISNUMBER('SW OpInc'!J101),ISNUMBER('SW Rev'!J101),'SW Rev'!N101&gt;0,'SW Rev'!J101&gt;0),('SW OpInc'!N101/'SW Rev'!N101-'SW OpInc'!J101/'SW Rev'!J101)*10000,""),"")</f>
        <v/>
      </c>
      <c r="K714" s="43">
        <f>IFERROR(IF(AND(ISNUMBER('SW OpInc'!O101),ISNUMBER('SW Rev'!O101),ISNUMBER('SW OpInc'!K101),ISNUMBER('SW Rev'!K101),'SW Rev'!O101&gt;0,'SW Rev'!K101&gt;0),('SW OpInc'!O101/'SW Rev'!O101-'SW OpInc'!K101/'SW Rev'!K101)*10000,""),"")</f>
        <v/>
      </c>
      <c r="L714" s="43">
        <f>IFERROR(IF(AND(ISNUMBER('SW OpInc'!P101),ISNUMBER('SW Rev'!P101),ISNUMBER('SW OpInc'!L101),ISNUMBER('SW Rev'!L101),'SW Rev'!P101&gt;0,'SW Rev'!L101&gt;0),('SW OpInc'!P101/'SW Rev'!P101-'SW OpInc'!L101/'SW Rev'!L101)*10000,""),"")</f>
        <v/>
      </c>
      <c r="M714" s="44">
        <f>IFERROR(IF(AND(ISNUMBER('SW OpInc'!Q101),ISNUMBER('SW Rev'!Q101),ISNUMBER('SW OpInc'!M101),ISNUMBER('SW Rev'!M101),'SW Rev'!Q101&gt;0,'SW Rev'!M101&gt;0),('SW OpInc'!Q101/'SW Rev'!Q101-'SW OpInc'!M101/'SW Rev'!M101)*10000,""),"")</f>
        <v/>
      </c>
      <c r="N714" s="44">
        <f>IFERROR(IF(AND(ISNUMBER('SW OpInc'!R101),ISNUMBER('SW Rev'!R101),ISNUMBER('SW OpInc'!N101),ISNUMBER('SW Rev'!N101),'SW Rev'!R101&gt;0,'SW Rev'!N101&gt;0),('SW OpInc'!R101/'SW Rev'!R101-'SW OpInc'!N101/'SW Rev'!N101)*10000,""),"")</f>
        <v/>
      </c>
    </row>
    <row r="715">
      <c r="A715" s="19">
        <f>'SW Rev'!$A102</f>
        <v/>
      </c>
      <c r="B715" s="19">
        <f>'SW Rev'!$B102</f>
        <v/>
      </c>
      <c r="C715" s="43">
        <f>IFERROR(IF(AND(ISNUMBER('SW OpInc'!G102),ISNUMBER('SW Rev'!G102),ISNUMBER('SW OpInc'!C102),ISNUMBER('SW Rev'!C102),'SW Rev'!G102&gt;0,'SW Rev'!C102&gt;0),('SW OpInc'!G102/'SW Rev'!G102-'SW OpInc'!C102/'SW Rev'!C102)*10000,""),"")</f>
        <v/>
      </c>
      <c r="D715" s="43">
        <f>IFERROR(IF(AND(ISNUMBER('SW OpInc'!H102),ISNUMBER('SW Rev'!H102),ISNUMBER('SW OpInc'!D102),ISNUMBER('SW Rev'!D102),'SW Rev'!H102&gt;0,'SW Rev'!D102&gt;0),('SW OpInc'!H102/'SW Rev'!H102-'SW OpInc'!D102/'SW Rev'!D102)*10000,""),"")</f>
        <v/>
      </c>
      <c r="E715" s="43">
        <f>IFERROR(IF(AND(ISNUMBER('SW OpInc'!I102),ISNUMBER('SW Rev'!I102),ISNUMBER('SW OpInc'!E102),ISNUMBER('SW Rev'!E102),'SW Rev'!I102&gt;0,'SW Rev'!E102&gt;0),('SW OpInc'!I102/'SW Rev'!I102-'SW OpInc'!E102/'SW Rev'!E102)*10000,""),"")</f>
        <v/>
      </c>
      <c r="F715" s="43">
        <f>IFERROR(IF(AND(ISNUMBER('SW OpInc'!J102),ISNUMBER('SW Rev'!J102),ISNUMBER('SW OpInc'!F102),ISNUMBER('SW Rev'!F102),'SW Rev'!J102&gt;0,'SW Rev'!F102&gt;0),('SW OpInc'!J102/'SW Rev'!J102-'SW OpInc'!F102/'SW Rev'!F102)*10000,""),"")</f>
        <v/>
      </c>
      <c r="G715" s="43">
        <f>IFERROR(IF(AND(ISNUMBER('SW OpInc'!K102),ISNUMBER('SW Rev'!K102),ISNUMBER('SW OpInc'!G102),ISNUMBER('SW Rev'!G102),'SW Rev'!K102&gt;0,'SW Rev'!G102&gt;0),('SW OpInc'!K102/'SW Rev'!K102-'SW OpInc'!G102/'SW Rev'!G102)*10000,""),"")</f>
        <v/>
      </c>
      <c r="H715" s="43">
        <f>IFERROR(IF(AND(ISNUMBER('SW OpInc'!L102),ISNUMBER('SW Rev'!L102),ISNUMBER('SW OpInc'!H102),ISNUMBER('SW Rev'!H102),'SW Rev'!L102&gt;0,'SW Rev'!H102&gt;0),('SW OpInc'!L102/'SW Rev'!L102-'SW OpInc'!H102/'SW Rev'!H102)*10000,""),"")</f>
        <v/>
      </c>
      <c r="I715" s="43">
        <f>IFERROR(IF(AND(ISNUMBER('SW OpInc'!M102),ISNUMBER('SW Rev'!M102),ISNUMBER('SW OpInc'!I102),ISNUMBER('SW Rev'!I102),'SW Rev'!M102&gt;0,'SW Rev'!I102&gt;0),('SW OpInc'!M102/'SW Rev'!M102-'SW OpInc'!I102/'SW Rev'!I102)*10000,""),"")</f>
        <v/>
      </c>
      <c r="J715" s="43">
        <f>IFERROR(IF(AND(ISNUMBER('SW OpInc'!N102),ISNUMBER('SW Rev'!N102),ISNUMBER('SW OpInc'!J102),ISNUMBER('SW Rev'!J102),'SW Rev'!N102&gt;0,'SW Rev'!J102&gt;0),('SW OpInc'!N102/'SW Rev'!N102-'SW OpInc'!J102/'SW Rev'!J102)*10000,""),"")</f>
        <v/>
      </c>
      <c r="K715" s="43">
        <f>IFERROR(IF(AND(ISNUMBER('SW OpInc'!O102),ISNUMBER('SW Rev'!O102),ISNUMBER('SW OpInc'!K102),ISNUMBER('SW Rev'!K102),'SW Rev'!O102&gt;0,'SW Rev'!K102&gt;0),('SW OpInc'!O102/'SW Rev'!O102-'SW OpInc'!K102/'SW Rev'!K102)*10000,""),"")</f>
        <v/>
      </c>
      <c r="L715" s="43">
        <f>IFERROR(IF(AND(ISNUMBER('SW OpInc'!P102),ISNUMBER('SW Rev'!P102),ISNUMBER('SW OpInc'!L102),ISNUMBER('SW Rev'!L102),'SW Rev'!P102&gt;0,'SW Rev'!L102&gt;0),('SW OpInc'!P102/'SW Rev'!P102-'SW OpInc'!L102/'SW Rev'!L102)*10000,""),"")</f>
        <v/>
      </c>
      <c r="M715" s="44">
        <f>IFERROR(IF(AND(ISNUMBER('SW OpInc'!Q102),ISNUMBER('SW Rev'!Q102),ISNUMBER('SW OpInc'!M102),ISNUMBER('SW Rev'!M102),'SW Rev'!Q102&gt;0,'SW Rev'!M102&gt;0),('SW OpInc'!Q102/'SW Rev'!Q102-'SW OpInc'!M102/'SW Rev'!M102)*10000,""),"")</f>
        <v/>
      </c>
      <c r="N715" s="44">
        <f>IFERROR(IF(AND(ISNUMBER('SW OpInc'!R102),ISNUMBER('SW Rev'!R102),ISNUMBER('SW OpInc'!N102),ISNUMBER('SW Rev'!N102),'SW Rev'!R102&gt;0,'SW Rev'!N102&gt;0),('SW OpInc'!R102/'SW Rev'!R102-'SW OpInc'!N102/'SW Rev'!N102)*10000,""),"")</f>
        <v/>
      </c>
    </row>
    <row r="716">
      <c r="A716" s="19">
        <f>'SW Rev'!$A103</f>
        <v/>
      </c>
      <c r="B716" s="19">
        <f>'SW Rev'!$B103</f>
        <v/>
      </c>
      <c r="C716" s="43">
        <f>IFERROR(IF(AND(ISNUMBER('SW OpInc'!G103),ISNUMBER('SW Rev'!G103),ISNUMBER('SW OpInc'!C103),ISNUMBER('SW Rev'!C103),'SW Rev'!G103&gt;0,'SW Rev'!C103&gt;0),('SW OpInc'!G103/'SW Rev'!G103-'SW OpInc'!C103/'SW Rev'!C103)*10000,""),"")</f>
        <v/>
      </c>
      <c r="D716" s="43">
        <f>IFERROR(IF(AND(ISNUMBER('SW OpInc'!H103),ISNUMBER('SW Rev'!H103),ISNUMBER('SW OpInc'!D103),ISNUMBER('SW Rev'!D103),'SW Rev'!H103&gt;0,'SW Rev'!D103&gt;0),('SW OpInc'!H103/'SW Rev'!H103-'SW OpInc'!D103/'SW Rev'!D103)*10000,""),"")</f>
        <v/>
      </c>
      <c r="E716" s="43">
        <f>IFERROR(IF(AND(ISNUMBER('SW OpInc'!I103),ISNUMBER('SW Rev'!I103),ISNUMBER('SW OpInc'!E103),ISNUMBER('SW Rev'!E103),'SW Rev'!I103&gt;0,'SW Rev'!E103&gt;0),('SW OpInc'!I103/'SW Rev'!I103-'SW OpInc'!E103/'SW Rev'!E103)*10000,""),"")</f>
        <v/>
      </c>
      <c r="F716" s="43">
        <f>IFERROR(IF(AND(ISNUMBER('SW OpInc'!J103),ISNUMBER('SW Rev'!J103),ISNUMBER('SW OpInc'!F103),ISNUMBER('SW Rev'!F103),'SW Rev'!J103&gt;0,'SW Rev'!F103&gt;0),('SW OpInc'!J103/'SW Rev'!J103-'SW OpInc'!F103/'SW Rev'!F103)*10000,""),"")</f>
        <v/>
      </c>
      <c r="G716" s="43">
        <f>IFERROR(IF(AND(ISNUMBER('SW OpInc'!K103),ISNUMBER('SW Rev'!K103),ISNUMBER('SW OpInc'!G103),ISNUMBER('SW Rev'!G103),'SW Rev'!K103&gt;0,'SW Rev'!G103&gt;0),('SW OpInc'!K103/'SW Rev'!K103-'SW OpInc'!G103/'SW Rev'!G103)*10000,""),"")</f>
        <v/>
      </c>
      <c r="H716" s="43">
        <f>IFERROR(IF(AND(ISNUMBER('SW OpInc'!L103),ISNUMBER('SW Rev'!L103),ISNUMBER('SW OpInc'!H103),ISNUMBER('SW Rev'!H103),'SW Rev'!L103&gt;0,'SW Rev'!H103&gt;0),('SW OpInc'!L103/'SW Rev'!L103-'SW OpInc'!H103/'SW Rev'!H103)*10000,""),"")</f>
        <v/>
      </c>
      <c r="I716" s="43">
        <f>IFERROR(IF(AND(ISNUMBER('SW OpInc'!M103),ISNUMBER('SW Rev'!M103),ISNUMBER('SW OpInc'!I103),ISNUMBER('SW Rev'!I103),'SW Rev'!M103&gt;0,'SW Rev'!I103&gt;0),('SW OpInc'!M103/'SW Rev'!M103-'SW OpInc'!I103/'SW Rev'!I103)*10000,""),"")</f>
        <v/>
      </c>
      <c r="J716" s="43">
        <f>IFERROR(IF(AND(ISNUMBER('SW OpInc'!N103),ISNUMBER('SW Rev'!N103),ISNUMBER('SW OpInc'!J103),ISNUMBER('SW Rev'!J103),'SW Rev'!N103&gt;0,'SW Rev'!J103&gt;0),('SW OpInc'!N103/'SW Rev'!N103-'SW OpInc'!J103/'SW Rev'!J103)*10000,""),"")</f>
        <v/>
      </c>
      <c r="K716" s="43">
        <f>IFERROR(IF(AND(ISNUMBER('SW OpInc'!O103),ISNUMBER('SW Rev'!O103),ISNUMBER('SW OpInc'!K103),ISNUMBER('SW Rev'!K103),'SW Rev'!O103&gt;0,'SW Rev'!K103&gt;0),('SW OpInc'!O103/'SW Rev'!O103-'SW OpInc'!K103/'SW Rev'!K103)*10000,""),"")</f>
        <v/>
      </c>
      <c r="L716" s="43">
        <f>IFERROR(IF(AND(ISNUMBER('SW OpInc'!P103),ISNUMBER('SW Rev'!P103),ISNUMBER('SW OpInc'!L103),ISNUMBER('SW Rev'!L103),'SW Rev'!P103&gt;0,'SW Rev'!L103&gt;0),('SW OpInc'!P103/'SW Rev'!P103-'SW OpInc'!L103/'SW Rev'!L103)*10000,""),"")</f>
        <v/>
      </c>
      <c r="M716" s="44">
        <f>IFERROR(IF(AND(ISNUMBER('SW OpInc'!Q103),ISNUMBER('SW Rev'!Q103),ISNUMBER('SW OpInc'!M103),ISNUMBER('SW Rev'!M103),'SW Rev'!Q103&gt;0,'SW Rev'!M103&gt;0),('SW OpInc'!Q103/'SW Rev'!Q103-'SW OpInc'!M103/'SW Rev'!M103)*10000,""),"")</f>
        <v/>
      </c>
      <c r="N716" s="44">
        <f>IFERROR(IF(AND(ISNUMBER('SW OpInc'!R103),ISNUMBER('SW Rev'!R103),ISNUMBER('SW OpInc'!N103),ISNUMBER('SW Rev'!N103),'SW Rev'!R103&gt;0,'SW Rev'!N103&gt;0),('SW OpInc'!R103/'SW Rev'!R103-'SW OpInc'!N103/'SW Rev'!N103)*10000,""),"")</f>
        <v/>
      </c>
    </row>
    <row r="718">
      <c r="A718" s="49" t="inlineStr">
        <is>
          <t>Adj. op income growth YoY %</t>
        </is>
      </c>
      <c r="B718" s="50" t="n"/>
      <c r="C718" s="50" t="n"/>
      <c r="D718" s="50" t="n"/>
      <c r="E718" s="50" t="n"/>
      <c r="F718" s="50" t="n"/>
      <c r="G718" s="50" t="n"/>
      <c r="H718" s="50" t="n"/>
      <c r="I718" s="50" t="n"/>
      <c r="J718" s="50" t="n"/>
      <c r="K718" s="50" t="n"/>
      <c r="L718" s="50" t="n"/>
      <c r="M718" s="50" t="n"/>
      <c r="N718" s="50" t="n"/>
    </row>
    <row r="719" ht="28" customHeight="1">
      <c r="A719" s="8" t="inlineStr">
        <is>
          <t>Ticker</t>
        </is>
      </c>
      <c r="B719" s="8" t="inlineStr">
        <is>
          <t>Latest Rpt Qtr</t>
        </is>
      </c>
      <c r="C719" s="8" t="inlineStr">
        <is>
          <t>FPO -9</t>
        </is>
      </c>
      <c r="D719" s="8" t="inlineStr">
        <is>
          <t>FPO -8</t>
        </is>
      </c>
      <c r="E719" s="8" t="inlineStr">
        <is>
          <t>FPO -7</t>
        </is>
      </c>
      <c r="F719" s="8" t="inlineStr">
        <is>
          <t>FPO -6</t>
        </is>
      </c>
      <c r="G719" s="8" t="inlineStr">
        <is>
          <t>FPO -5</t>
        </is>
      </c>
      <c r="H719" s="8" t="inlineStr">
        <is>
          <t>FPO -4</t>
        </is>
      </c>
      <c r="I719" s="8" t="inlineStr">
        <is>
          <t>FPO -3</t>
        </is>
      </c>
      <c r="J719" s="8" t="inlineStr">
        <is>
          <t>FPO -2</t>
        </is>
      </c>
      <c r="K719" s="8" t="inlineStr">
        <is>
          <t>FPO -1</t>
        </is>
      </c>
      <c r="L719" s="8" t="inlineStr">
        <is>
          <t>FPO 0 (latest rpt)</t>
        </is>
      </c>
      <c r="M719" s="8" t="inlineStr">
        <is>
          <t>FPO +1E</t>
        </is>
      </c>
      <c r="N719" s="8" t="inlineStr">
        <is>
          <t>FPO +2E</t>
        </is>
      </c>
    </row>
    <row r="720">
      <c r="A720" s="19">
        <f>'SW Rev'!$A5</f>
        <v/>
      </c>
      <c r="B720" s="19">
        <f>'SW Rev'!$B5</f>
        <v/>
      </c>
      <c r="C720" s="37">
        <f>IFERROR(IF(AND(ISNUMBER('SW OpInc'!G5),ISNUMBER('SW OpInc'!C5),'SW OpInc'!C5&gt;0),'SW OpInc'!G5/'SW OpInc'!C5-1,""),"")</f>
        <v/>
      </c>
      <c r="D720" s="37">
        <f>IFERROR(IF(AND(ISNUMBER('SW OpInc'!H5),ISNUMBER('SW OpInc'!D5),'SW OpInc'!D5&gt;0),'SW OpInc'!H5/'SW OpInc'!D5-1,""),"")</f>
        <v/>
      </c>
      <c r="E720" s="37">
        <f>IFERROR(IF(AND(ISNUMBER('SW OpInc'!I5),ISNUMBER('SW OpInc'!E5),'SW OpInc'!E5&gt;0),'SW OpInc'!I5/'SW OpInc'!E5-1,""),"")</f>
        <v/>
      </c>
      <c r="F720" s="37">
        <f>IFERROR(IF(AND(ISNUMBER('SW OpInc'!J5),ISNUMBER('SW OpInc'!F5),'SW OpInc'!F5&gt;0),'SW OpInc'!J5/'SW OpInc'!F5-1,""),"")</f>
        <v/>
      </c>
      <c r="G720" s="37">
        <f>IFERROR(IF(AND(ISNUMBER('SW OpInc'!K5),ISNUMBER('SW OpInc'!G5),'SW OpInc'!G5&gt;0),'SW OpInc'!K5/'SW OpInc'!G5-1,""),"")</f>
        <v/>
      </c>
      <c r="H720" s="37">
        <f>IFERROR(IF(AND(ISNUMBER('SW OpInc'!L5),ISNUMBER('SW OpInc'!H5),'SW OpInc'!H5&gt;0),'SW OpInc'!L5/'SW OpInc'!H5-1,""),"")</f>
        <v/>
      </c>
      <c r="I720" s="37">
        <f>IFERROR(IF(AND(ISNUMBER('SW OpInc'!M5),ISNUMBER('SW OpInc'!I5),'SW OpInc'!I5&gt;0),'SW OpInc'!M5/'SW OpInc'!I5-1,""),"")</f>
        <v/>
      </c>
      <c r="J720" s="37">
        <f>IFERROR(IF(AND(ISNUMBER('SW OpInc'!N5),ISNUMBER('SW OpInc'!J5),'SW OpInc'!J5&gt;0),'SW OpInc'!N5/'SW OpInc'!J5-1,""),"")</f>
        <v/>
      </c>
      <c r="K720" s="37">
        <f>IFERROR(IF(AND(ISNUMBER('SW OpInc'!O5),ISNUMBER('SW OpInc'!K5),'SW OpInc'!K5&gt;0),'SW OpInc'!O5/'SW OpInc'!K5-1,""),"")</f>
        <v/>
      </c>
      <c r="L720" s="37">
        <f>IFERROR(IF(AND(ISNUMBER('SW OpInc'!P5),ISNUMBER('SW OpInc'!L5),'SW OpInc'!L5&gt;0),'SW OpInc'!P5/'SW OpInc'!L5-1,""),"")</f>
        <v/>
      </c>
      <c r="M720" s="38">
        <f>IFERROR(IF(AND(ISNUMBER('SW OpInc'!Q5),ISNUMBER('SW OpInc'!M5),'SW OpInc'!M5&gt;0),'SW OpInc'!Q5/'SW OpInc'!M5-1,""),"")</f>
        <v/>
      </c>
      <c r="N720" s="38">
        <f>IFERROR(IF(AND(ISNUMBER('SW OpInc'!R5),ISNUMBER('SW OpInc'!N5),'SW OpInc'!N5&gt;0),'SW OpInc'!R5/'SW OpInc'!N5-1,""),"")</f>
        <v/>
      </c>
    </row>
    <row r="721">
      <c r="A721" s="19">
        <f>'SW Rev'!$A6</f>
        <v/>
      </c>
      <c r="B721" s="19">
        <f>'SW Rev'!$B6</f>
        <v/>
      </c>
      <c r="C721" s="37">
        <f>IFERROR(IF(AND(ISNUMBER('SW OpInc'!G6),ISNUMBER('SW OpInc'!C6),'SW OpInc'!C6&gt;0),'SW OpInc'!G6/'SW OpInc'!C6-1,""),"")</f>
        <v/>
      </c>
      <c r="D721" s="37">
        <f>IFERROR(IF(AND(ISNUMBER('SW OpInc'!H6),ISNUMBER('SW OpInc'!D6),'SW OpInc'!D6&gt;0),'SW OpInc'!H6/'SW OpInc'!D6-1,""),"")</f>
        <v/>
      </c>
      <c r="E721" s="37">
        <f>IFERROR(IF(AND(ISNUMBER('SW OpInc'!I6),ISNUMBER('SW OpInc'!E6),'SW OpInc'!E6&gt;0),'SW OpInc'!I6/'SW OpInc'!E6-1,""),"")</f>
        <v/>
      </c>
      <c r="F721" s="37">
        <f>IFERROR(IF(AND(ISNUMBER('SW OpInc'!J6),ISNUMBER('SW OpInc'!F6),'SW OpInc'!F6&gt;0),'SW OpInc'!J6/'SW OpInc'!F6-1,""),"")</f>
        <v/>
      </c>
      <c r="G721" s="37">
        <f>IFERROR(IF(AND(ISNUMBER('SW OpInc'!K6),ISNUMBER('SW OpInc'!G6),'SW OpInc'!G6&gt;0),'SW OpInc'!K6/'SW OpInc'!G6-1,""),"")</f>
        <v/>
      </c>
      <c r="H721" s="37">
        <f>IFERROR(IF(AND(ISNUMBER('SW OpInc'!L6),ISNUMBER('SW OpInc'!H6),'SW OpInc'!H6&gt;0),'SW OpInc'!L6/'SW OpInc'!H6-1,""),"")</f>
        <v/>
      </c>
      <c r="I721" s="37">
        <f>IFERROR(IF(AND(ISNUMBER('SW OpInc'!M6),ISNUMBER('SW OpInc'!I6),'SW OpInc'!I6&gt;0),'SW OpInc'!M6/'SW OpInc'!I6-1,""),"")</f>
        <v/>
      </c>
      <c r="J721" s="37">
        <f>IFERROR(IF(AND(ISNUMBER('SW OpInc'!N6),ISNUMBER('SW OpInc'!J6),'SW OpInc'!J6&gt;0),'SW OpInc'!N6/'SW OpInc'!J6-1,""),"")</f>
        <v/>
      </c>
      <c r="K721" s="37">
        <f>IFERROR(IF(AND(ISNUMBER('SW OpInc'!O6),ISNUMBER('SW OpInc'!K6),'SW OpInc'!K6&gt;0),'SW OpInc'!O6/'SW OpInc'!K6-1,""),"")</f>
        <v/>
      </c>
      <c r="L721" s="37">
        <f>IFERROR(IF(AND(ISNUMBER('SW OpInc'!P6),ISNUMBER('SW OpInc'!L6),'SW OpInc'!L6&gt;0),'SW OpInc'!P6/'SW OpInc'!L6-1,""),"")</f>
        <v/>
      </c>
      <c r="M721" s="38">
        <f>IFERROR(IF(AND(ISNUMBER('SW OpInc'!Q6),ISNUMBER('SW OpInc'!M6),'SW OpInc'!M6&gt;0),'SW OpInc'!Q6/'SW OpInc'!M6-1,""),"")</f>
        <v/>
      </c>
      <c r="N721" s="38">
        <f>IFERROR(IF(AND(ISNUMBER('SW OpInc'!R6),ISNUMBER('SW OpInc'!N6),'SW OpInc'!N6&gt;0),'SW OpInc'!R6/'SW OpInc'!N6-1,""),"")</f>
        <v/>
      </c>
    </row>
    <row r="722">
      <c r="A722" s="19">
        <f>'SW Rev'!$A7</f>
        <v/>
      </c>
      <c r="B722" s="19">
        <f>'SW Rev'!$B7</f>
        <v/>
      </c>
      <c r="C722" s="37">
        <f>IFERROR(IF(AND(ISNUMBER('SW OpInc'!G7),ISNUMBER('SW OpInc'!C7),'SW OpInc'!C7&gt;0),'SW OpInc'!G7/'SW OpInc'!C7-1,""),"")</f>
        <v/>
      </c>
      <c r="D722" s="37">
        <f>IFERROR(IF(AND(ISNUMBER('SW OpInc'!H7),ISNUMBER('SW OpInc'!D7),'SW OpInc'!D7&gt;0),'SW OpInc'!H7/'SW OpInc'!D7-1,""),"")</f>
        <v/>
      </c>
      <c r="E722" s="37">
        <f>IFERROR(IF(AND(ISNUMBER('SW OpInc'!I7),ISNUMBER('SW OpInc'!E7),'SW OpInc'!E7&gt;0),'SW OpInc'!I7/'SW OpInc'!E7-1,""),"")</f>
        <v/>
      </c>
      <c r="F722" s="37">
        <f>IFERROR(IF(AND(ISNUMBER('SW OpInc'!J7),ISNUMBER('SW OpInc'!F7),'SW OpInc'!F7&gt;0),'SW OpInc'!J7/'SW OpInc'!F7-1,""),"")</f>
        <v/>
      </c>
      <c r="G722" s="37">
        <f>IFERROR(IF(AND(ISNUMBER('SW OpInc'!K7),ISNUMBER('SW OpInc'!G7),'SW OpInc'!G7&gt;0),'SW OpInc'!K7/'SW OpInc'!G7-1,""),"")</f>
        <v/>
      </c>
      <c r="H722" s="37">
        <f>IFERROR(IF(AND(ISNUMBER('SW OpInc'!L7),ISNUMBER('SW OpInc'!H7),'SW OpInc'!H7&gt;0),'SW OpInc'!L7/'SW OpInc'!H7-1,""),"")</f>
        <v/>
      </c>
      <c r="I722" s="37">
        <f>IFERROR(IF(AND(ISNUMBER('SW OpInc'!M7),ISNUMBER('SW OpInc'!I7),'SW OpInc'!I7&gt;0),'SW OpInc'!M7/'SW OpInc'!I7-1,""),"")</f>
        <v/>
      </c>
      <c r="J722" s="37">
        <f>IFERROR(IF(AND(ISNUMBER('SW OpInc'!N7),ISNUMBER('SW OpInc'!J7),'SW OpInc'!J7&gt;0),'SW OpInc'!N7/'SW OpInc'!J7-1,""),"")</f>
        <v/>
      </c>
      <c r="K722" s="37">
        <f>IFERROR(IF(AND(ISNUMBER('SW OpInc'!O7),ISNUMBER('SW OpInc'!K7),'SW OpInc'!K7&gt;0),'SW OpInc'!O7/'SW OpInc'!K7-1,""),"")</f>
        <v/>
      </c>
      <c r="L722" s="37">
        <f>IFERROR(IF(AND(ISNUMBER('SW OpInc'!P7),ISNUMBER('SW OpInc'!L7),'SW OpInc'!L7&gt;0),'SW OpInc'!P7/'SW OpInc'!L7-1,""),"")</f>
        <v/>
      </c>
      <c r="M722" s="38">
        <f>IFERROR(IF(AND(ISNUMBER('SW OpInc'!Q7),ISNUMBER('SW OpInc'!M7),'SW OpInc'!M7&gt;0),'SW OpInc'!Q7/'SW OpInc'!M7-1,""),"")</f>
        <v/>
      </c>
      <c r="N722" s="38">
        <f>IFERROR(IF(AND(ISNUMBER('SW OpInc'!R7),ISNUMBER('SW OpInc'!N7),'SW OpInc'!N7&gt;0),'SW OpInc'!R7/'SW OpInc'!N7-1,""),"")</f>
        <v/>
      </c>
    </row>
    <row r="723">
      <c r="A723" s="19">
        <f>'SW Rev'!$A8</f>
        <v/>
      </c>
      <c r="B723" s="19">
        <f>'SW Rev'!$B8</f>
        <v/>
      </c>
      <c r="C723" s="37">
        <f>IFERROR(IF(AND(ISNUMBER('SW OpInc'!G8),ISNUMBER('SW OpInc'!C8),'SW OpInc'!C8&gt;0),'SW OpInc'!G8/'SW OpInc'!C8-1,""),"")</f>
        <v/>
      </c>
      <c r="D723" s="37">
        <f>IFERROR(IF(AND(ISNUMBER('SW OpInc'!H8),ISNUMBER('SW OpInc'!D8),'SW OpInc'!D8&gt;0),'SW OpInc'!H8/'SW OpInc'!D8-1,""),"")</f>
        <v/>
      </c>
      <c r="E723" s="37">
        <f>IFERROR(IF(AND(ISNUMBER('SW OpInc'!I8),ISNUMBER('SW OpInc'!E8),'SW OpInc'!E8&gt;0),'SW OpInc'!I8/'SW OpInc'!E8-1,""),"")</f>
        <v/>
      </c>
      <c r="F723" s="37">
        <f>IFERROR(IF(AND(ISNUMBER('SW OpInc'!J8),ISNUMBER('SW OpInc'!F8),'SW OpInc'!F8&gt;0),'SW OpInc'!J8/'SW OpInc'!F8-1,""),"")</f>
        <v/>
      </c>
      <c r="G723" s="37">
        <f>IFERROR(IF(AND(ISNUMBER('SW OpInc'!K8),ISNUMBER('SW OpInc'!G8),'SW OpInc'!G8&gt;0),'SW OpInc'!K8/'SW OpInc'!G8-1,""),"")</f>
        <v/>
      </c>
      <c r="H723" s="37">
        <f>IFERROR(IF(AND(ISNUMBER('SW OpInc'!L8),ISNUMBER('SW OpInc'!H8),'SW OpInc'!H8&gt;0),'SW OpInc'!L8/'SW OpInc'!H8-1,""),"")</f>
        <v/>
      </c>
      <c r="I723" s="37">
        <f>IFERROR(IF(AND(ISNUMBER('SW OpInc'!M8),ISNUMBER('SW OpInc'!I8),'SW OpInc'!I8&gt;0),'SW OpInc'!M8/'SW OpInc'!I8-1,""),"")</f>
        <v/>
      </c>
      <c r="J723" s="37">
        <f>IFERROR(IF(AND(ISNUMBER('SW OpInc'!N8),ISNUMBER('SW OpInc'!J8),'SW OpInc'!J8&gt;0),'SW OpInc'!N8/'SW OpInc'!J8-1,""),"")</f>
        <v/>
      </c>
      <c r="K723" s="37">
        <f>IFERROR(IF(AND(ISNUMBER('SW OpInc'!O8),ISNUMBER('SW OpInc'!K8),'SW OpInc'!K8&gt;0),'SW OpInc'!O8/'SW OpInc'!K8-1,""),"")</f>
        <v/>
      </c>
      <c r="L723" s="37">
        <f>IFERROR(IF(AND(ISNUMBER('SW OpInc'!P8),ISNUMBER('SW OpInc'!L8),'SW OpInc'!L8&gt;0),'SW OpInc'!P8/'SW OpInc'!L8-1,""),"")</f>
        <v/>
      </c>
      <c r="M723" s="38">
        <f>IFERROR(IF(AND(ISNUMBER('SW OpInc'!Q8),ISNUMBER('SW OpInc'!M8),'SW OpInc'!M8&gt;0),'SW OpInc'!Q8/'SW OpInc'!M8-1,""),"")</f>
        <v/>
      </c>
      <c r="N723" s="38">
        <f>IFERROR(IF(AND(ISNUMBER('SW OpInc'!R8),ISNUMBER('SW OpInc'!N8),'SW OpInc'!N8&gt;0),'SW OpInc'!R8/'SW OpInc'!N8-1,""),"")</f>
        <v/>
      </c>
    </row>
    <row r="724">
      <c r="A724" s="19">
        <f>'SW Rev'!$A9</f>
        <v/>
      </c>
      <c r="B724" s="19">
        <f>'SW Rev'!$B9</f>
        <v/>
      </c>
      <c r="C724" s="37">
        <f>IFERROR(IF(AND(ISNUMBER('SW OpInc'!G9),ISNUMBER('SW OpInc'!C9),'SW OpInc'!C9&gt;0),'SW OpInc'!G9/'SW OpInc'!C9-1,""),"")</f>
        <v/>
      </c>
      <c r="D724" s="37">
        <f>IFERROR(IF(AND(ISNUMBER('SW OpInc'!H9),ISNUMBER('SW OpInc'!D9),'SW OpInc'!D9&gt;0),'SW OpInc'!H9/'SW OpInc'!D9-1,""),"")</f>
        <v/>
      </c>
      <c r="E724" s="37">
        <f>IFERROR(IF(AND(ISNUMBER('SW OpInc'!I9),ISNUMBER('SW OpInc'!E9),'SW OpInc'!E9&gt;0),'SW OpInc'!I9/'SW OpInc'!E9-1,""),"")</f>
        <v/>
      </c>
      <c r="F724" s="37">
        <f>IFERROR(IF(AND(ISNUMBER('SW OpInc'!J9),ISNUMBER('SW OpInc'!F9),'SW OpInc'!F9&gt;0),'SW OpInc'!J9/'SW OpInc'!F9-1,""),"")</f>
        <v/>
      </c>
      <c r="G724" s="37">
        <f>IFERROR(IF(AND(ISNUMBER('SW OpInc'!K9),ISNUMBER('SW OpInc'!G9),'SW OpInc'!G9&gt;0),'SW OpInc'!K9/'SW OpInc'!G9-1,""),"")</f>
        <v/>
      </c>
      <c r="H724" s="37">
        <f>IFERROR(IF(AND(ISNUMBER('SW OpInc'!L9),ISNUMBER('SW OpInc'!H9),'SW OpInc'!H9&gt;0),'SW OpInc'!L9/'SW OpInc'!H9-1,""),"")</f>
        <v/>
      </c>
      <c r="I724" s="37">
        <f>IFERROR(IF(AND(ISNUMBER('SW OpInc'!M9),ISNUMBER('SW OpInc'!I9),'SW OpInc'!I9&gt;0),'SW OpInc'!M9/'SW OpInc'!I9-1,""),"")</f>
        <v/>
      </c>
      <c r="J724" s="37">
        <f>IFERROR(IF(AND(ISNUMBER('SW OpInc'!N9),ISNUMBER('SW OpInc'!J9),'SW OpInc'!J9&gt;0),'SW OpInc'!N9/'SW OpInc'!J9-1,""),"")</f>
        <v/>
      </c>
      <c r="K724" s="37">
        <f>IFERROR(IF(AND(ISNUMBER('SW OpInc'!O9),ISNUMBER('SW OpInc'!K9),'SW OpInc'!K9&gt;0),'SW OpInc'!O9/'SW OpInc'!K9-1,""),"")</f>
        <v/>
      </c>
      <c r="L724" s="37">
        <f>IFERROR(IF(AND(ISNUMBER('SW OpInc'!P9),ISNUMBER('SW OpInc'!L9),'SW OpInc'!L9&gt;0),'SW OpInc'!P9/'SW OpInc'!L9-1,""),"")</f>
        <v/>
      </c>
      <c r="M724" s="38">
        <f>IFERROR(IF(AND(ISNUMBER('SW OpInc'!Q9),ISNUMBER('SW OpInc'!M9),'SW OpInc'!M9&gt;0),'SW OpInc'!Q9/'SW OpInc'!M9-1,""),"")</f>
        <v/>
      </c>
      <c r="N724" s="38">
        <f>IFERROR(IF(AND(ISNUMBER('SW OpInc'!R9),ISNUMBER('SW OpInc'!N9),'SW OpInc'!N9&gt;0),'SW OpInc'!R9/'SW OpInc'!N9-1,""),"")</f>
        <v/>
      </c>
    </row>
    <row r="725">
      <c r="A725" s="19">
        <f>'SW Rev'!$A10</f>
        <v/>
      </c>
      <c r="B725" s="19">
        <f>'SW Rev'!$B10</f>
        <v/>
      </c>
      <c r="C725" s="37">
        <f>IFERROR(IF(AND(ISNUMBER('SW OpInc'!G10),ISNUMBER('SW OpInc'!C10),'SW OpInc'!C10&gt;0),'SW OpInc'!G10/'SW OpInc'!C10-1,""),"")</f>
        <v/>
      </c>
      <c r="D725" s="37">
        <f>IFERROR(IF(AND(ISNUMBER('SW OpInc'!H10),ISNUMBER('SW OpInc'!D10),'SW OpInc'!D10&gt;0),'SW OpInc'!H10/'SW OpInc'!D10-1,""),"")</f>
        <v/>
      </c>
      <c r="E725" s="37">
        <f>IFERROR(IF(AND(ISNUMBER('SW OpInc'!I10),ISNUMBER('SW OpInc'!E10),'SW OpInc'!E10&gt;0),'SW OpInc'!I10/'SW OpInc'!E10-1,""),"")</f>
        <v/>
      </c>
      <c r="F725" s="37">
        <f>IFERROR(IF(AND(ISNUMBER('SW OpInc'!J10),ISNUMBER('SW OpInc'!F10),'SW OpInc'!F10&gt;0),'SW OpInc'!J10/'SW OpInc'!F10-1,""),"")</f>
        <v/>
      </c>
      <c r="G725" s="37">
        <f>IFERROR(IF(AND(ISNUMBER('SW OpInc'!K10),ISNUMBER('SW OpInc'!G10),'SW OpInc'!G10&gt;0),'SW OpInc'!K10/'SW OpInc'!G10-1,""),"")</f>
        <v/>
      </c>
      <c r="H725" s="37">
        <f>IFERROR(IF(AND(ISNUMBER('SW OpInc'!L10),ISNUMBER('SW OpInc'!H10),'SW OpInc'!H10&gt;0),'SW OpInc'!L10/'SW OpInc'!H10-1,""),"")</f>
        <v/>
      </c>
      <c r="I725" s="37">
        <f>IFERROR(IF(AND(ISNUMBER('SW OpInc'!M10),ISNUMBER('SW OpInc'!I10),'SW OpInc'!I10&gt;0),'SW OpInc'!M10/'SW OpInc'!I10-1,""),"")</f>
        <v/>
      </c>
      <c r="J725" s="37">
        <f>IFERROR(IF(AND(ISNUMBER('SW OpInc'!N10),ISNUMBER('SW OpInc'!J10),'SW OpInc'!J10&gt;0),'SW OpInc'!N10/'SW OpInc'!J10-1,""),"")</f>
        <v/>
      </c>
      <c r="K725" s="37">
        <f>IFERROR(IF(AND(ISNUMBER('SW OpInc'!O10),ISNUMBER('SW OpInc'!K10),'SW OpInc'!K10&gt;0),'SW OpInc'!O10/'SW OpInc'!K10-1,""),"")</f>
        <v/>
      </c>
      <c r="L725" s="37">
        <f>IFERROR(IF(AND(ISNUMBER('SW OpInc'!P10),ISNUMBER('SW OpInc'!L10),'SW OpInc'!L10&gt;0),'SW OpInc'!P10/'SW OpInc'!L10-1,""),"")</f>
        <v/>
      </c>
      <c r="M725" s="38">
        <f>IFERROR(IF(AND(ISNUMBER('SW OpInc'!Q10),ISNUMBER('SW OpInc'!M10),'SW OpInc'!M10&gt;0),'SW OpInc'!Q10/'SW OpInc'!M10-1,""),"")</f>
        <v/>
      </c>
      <c r="N725" s="38">
        <f>IFERROR(IF(AND(ISNUMBER('SW OpInc'!R10),ISNUMBER('SW OpInc'!N10),'SW OpInc'!N10&gt;0),'SW OpInc'!R10/'SW OpInc'!N10-1,""),"")</f>
        <v/>
      </c>
    </row>
    <row r="726">
      <c r="A726" s="19">
        <f>'SW Rev'!$A11</f>
        <v/>
      </c>
      <c r="B726" s="19">
        <f>'SW Rev'!$B11</f>
        <v/>
      </c>
      <c r="C726" s="37">
        <f>IFERROR(IF(AND(ISNUMBER('SW OpInc'!G11),ISNUMBER('SW OpInc'!C11),'SW OpInc'!C11&gt;0),'SW OpInc'!G11/'SW OpInc'!C11-1,""),"")</f>
        <v/>
      </c>
      <c r="D726" s="37">
        <f>IFERROR(IF(AND(ISNUMBER('SW OpInc'!H11),ISNUMBER('SW OpInc'!D11),'SW OpInc'!D11&gt;0),'SW OpInc'!H11/'SW OpInc'!D11-1,""),"")</f>
        <v/>
      </c>
      <c r="E726" s="37">
        <f>IFERROR(IF(AND(ISNUMBER('SW OpInc'!I11),ISNUMBER('SW OpInc'!E11),'SW OpInc'!E11&gt;0),'SW OpInc'!I11/'SW OpInc'!E11-1,""),"")</f>
        <v/>
      </c>
      <c r="F726" s="37">
        <f>IFERROR(IF(AND(ISNUMBER('SW OpInc'!J11),ISNUMBER('SW OpInc'!F11),'SW OpInc'!F11&gt;0),'SW OpInc'!J11/'SW OpInc'!F11-1,""),"")</f>
        <v/>
      </c>
      <c r="G726" s="37">
        <f>IFERROR(IF(AND(ISNUMBER('SW OpInc'!K11),ISNUMBER('SW OpInc'!G11),'SW OpInc'!G11&gt;0),'SW OpInc'!K11/'SW OpInc'!G11-1,""),"")</f>
        <v/>
      </c>
      <c r="H726" s="37">
        <f>IFERROR(IF(AND(ISNUMBER('SW OpInc'!L11),ISNUMBER('SW OpInc'!H11),'SW OpInc'!H11&gt;0),'SW OpInc'!L11/'SW OpInc'!H11-1,""),"")</f>
        <v/>
      </c>
      <c r="I726" s="37">
        <f>IFERROR(IF(AND(ISNUMBER('SW OpInc'!M11),ISNUMBER('SW OpInc'!I11),'SW OpInc'!I11&gt;0),'SW OpInc'!M11/'SW OpInc'!I11-1,""),"")</f>
        <v/>
      </c>
      <c r="J726" s="37">
        <f>IFERROR(IF(AND(ISNUMBER('SW OpInc'!N11),ISNUMBER('SW OpInc'!J11),'SW OpInc'!J11&gt;0),'SW OpInc'!N11/'SW OpInc'!J11-1,""),"")</f>
        <v/>
      </c>
      <c r="K726" s="37">
        <f>IFERROR(IF(AND(ISNUMBER('SW OpInc'!O11),ISNUMBER('SW OpInc'!K11),'SW OpInc'!K11&gt;0),'SW OpInc'!O11/'SW OpInc'!K11-1,""),"")</f>
        <v/>
      </c>
      <c r="L726" s="37">
        <f>IFERROR(IF(AND(ISNUMBER('SW OpInc'!P11),ISNUMBER('SW OpInc'!L11),'SW OpInc'!L11&gt;0),'SW OpInc'!P11/'SW OpInc'!L11-1,""),"")</f>
        <v/>
      </c>
      <c r="M726" s="38">
        <f>IFERROR(IF(AND(ISNUMBER('SW OpInc'!Q11),ISNUMBER('SW OpInc'!M11),'SW OpInc'!M11&gt;0),'SW OpInc'!Q11/'SW OpInc'!M11-1,""),"")</f>
        <v/>
      </c>
      <c r="N726" s="38">
        <f>IFERROR(IF(AND(ISNUMBER('SW OpInc'!R11),ISNUMBER('SW OpInc'!N11),'SW OpInc'!N11&gt;0),'SW OpInc'!R11/'SW OpInc'!N11-1,""),"")</f>
        <v/>
      </c>
    </row>
    <row r="727">
      <c r="A727" s="19">
        <f>'SW Rev'!$A12</f>
        <v/>
      </c>
      <c r="B727" s="19">
        <f>'SW Rev'!$B12</f>
        <v/>
      </c>
      <c r="C727" s="37">
        <f>IFERROR(IF(AND(ISNUMBER('SW OpInc'!G12),ISNUMBER('SW OpInc'!C12),'SW OpInc'!C12&gt;0),'SW OpInc'!G12/'SW OpInc'!C12-1,""),"")</f>
        <v/>
      </c>
      <c r="D727" s="37">
        <f>IFERROR(IF(AND(ISNUMBER('SW OpInc'!H12),ISNUMBER('SW OpInc'!D12),'SW OpInc'!D12&gt;0),'SW OpInc'!H12/'SW OpInc'!D12-1,""),"")</f>
        <v/>
      </c>
      <c r="E727" s="37">
        <f>IFERROR(IF(AND(ISNUMBER('SW OpInc'!I12),ISNUMBER('SW OpInc'!E12),'SW OpInc'!E12&gt;0),'SW OpInc'!I12/'SW OpInc'!E12-1,""),"")</f>
        <v/>
      </c>
      <c r="F727" s="37">
        <f>IFERROR(IF(AND(ISNUMBER('SW OpInc'!J12),ISNUMBER('SW OpInc'!F12),'SW OpInc'!F12&gt;0),'SW OpInc'!J12/'SW OpInc'!F12-1,""),"")</f>
        <v/>
      </c>
      <c r="G727" s="37">
        <f>IFERROR(IF(AND(ISNUMBER('SW OpInc'!K12),ISNUMBER('SW OpInc'!G12),'SW OpInc'!G12&gt;0),'SW OpInc'!K12/'SW OpInc'!G12-1,""),"")</f>
        <v/>
      </c>
      <c r="H727" s="37">
        <f>IFERROR(IF(AND(ISNUMBER('SW OpInc'!L12),ISNUMBER('SW OpInc'!H12),'SW OpInc'!H12&gt;0),'SW OpInc'!L12/'SW OpInc'!H12-1,""),"")</f>
        <v/>
      </c>
      <c r="I727" s="37">
        <f>IFERROR(IF(AND(ISNUMBER('SW OpInc'!M12),ISNUMBER('SW OpInc'!I12),'SW OpInc'!I12&gt;0),'SW OpInc'!M12/'SW OpInc'!I12-1,""),"")</f>
        <v/>
      </c>
      <c r="J727" s="37">
        <f>IFERROR(IF(AND(ISNUMBER('SW OpInc'!N12),ISNUMBER('SW OpInc'!J12),'SW OpInc'!J12&gt;0),'SW OpInc'!N12/'SW OpInc'!J12-1,""),"")</f>
        <v/>
      </c>
      <c r="K727" s="37">
        <f>IFERROR(IF(AND(ISNUMBER('SW OpInc'!O12),ISNUMBER('SW OpInc'!K12),'SW OpInc'!K12&gt;0),'SW OpInc'!O12/'SW OpInc'!K12-1,""),"")</f>
        <v/>
      </c>
      <c r="L727" s="37">
        <f>IFERROR(IF(AND(ISNUMBER('SW OpInc'!P12),ISNUMBER('SW OpInc'!L12),'SW OpInc'!L12&gt;0),'SW OpInc'!P12/'SW OpInc'!L12-1,""),"")</f>
        <v/>
      </c>
      <c r="M727" s="38">
        <f>IFERROR(IF(AND(ISNUMBER('SW OpInc'!Q12),ISNUMBER('SW OpInc'!M12),'SW OpInc'!M12&gt;0),'SW OpInc'!Q12/'SW OpInc'!M12-1,""),"")</f>
        <v/>
      </c>
      <c r="N727" s="38">
        <f>IFERROR(IF(AND(ISNUMBER('SW OpInc'!R12),ISNUMBER('SW OpInc'!N12),'SW OpInc'!N12&gt;0),'SW OpInc'!R12/'SW OpInc'!N12-1,""),"")</f>
        <v/>
      </c>
    </row>
    <row r="728">
      <c r="A728" s="19">
        <f>'SW Rev'!$A13</f>
        <v/>
      </c>
      <c r="B728" s="19">
        <f>'SW Rev'!$B13</f>
        <v/>
      </c>
      <c r="C728" s="37">
        <f>IFERROR(IF(AND(ISNUMBER('SW OpInc'!G13),ISNUMBER('SW OpInc'!C13),'SW OpInc'!C13&gt;0),'SW OpInc'!G13/'SW OpInc'!C13-1,""),"")</f>
        <v/>
      </c>
      <c r="D728" s="37">
        <f>IFERROR(IF(AND(ISNUMBER('SW OpInc'!H13),ISNUMBER('SW OpInc'!D13),'SW OpInc'!D13&gt;0),'SW OpInc'!H13/'SW OpInc'!D13-1,""),"")</f>
        <v/>
      </c>
      <c r="E728" s="37">
        <f>IFERROR(IF(AND(ISNUMBER('SW OpInc'!I13),ISNUMBER('SW OpInc'!E13),'SW OpInc'!E13&gt;0),'SW OpInc'!I13/'SW OpInc'!E13-1,""),"")</f>
        <v/>
      </c>
      <c r="F728" s="37">
        <f>IFERROR(IF(AND(ISNUMBER('SW OpInc'!J13),ISNUMBER('SW OpInc'!F13),'SW OpInc'!F13&gt;0),'SW OpInc'!J13/'SW OpInc'!F13-1,""),"")</f>
        <v/>
      </c>
      <c r="G728" s="37">
        <f>IFERROR(IF(AND(ISNUMBER('SW OpInc'!K13),ISNUMBER('SW OpInc'!G13),'SW OpInc'!G13&gt;0),'SW OpInc'!K13/'SW OpInc'!G13-1,""),"")</f>
        <v/>
      </c>
      <c r="H728" s="37">
        <f>IFERROR(IF(AND(ISNUMBER('SW OpInc'!L13),ISNUMBER('SW OpInc'!H13),'SW OpInc'!H13&gt;0),'SW OpInc'!L13/'SW OpInc'!H13-1,""),"")</f>
        <v/>
      </c>
      <c r="I728" s="37">
        <f>IFERROR(IF(AND(ISNUMBER('SW OpInc'!M13),ISNUMBER('SW OpInc'!I13),'SW OpInc'!I13&gt;0),'SW OpInc'!M13/'SW OpInc'!I13-1,""),"")</f>
        <v/>
      </c>
      <c r="J728" s="37">
        <f>IFERROR(IF(AND(ISNUMBER('SW OpInc'!N13),ISNUMBER('SW OpInc'!J13),'SW OpInc'!J13&gt;0),'SW OpInc'!N13/'SW OpInc'!J13-1,""),"")</f>
        <v/>
      </c>
      <c r="K728" s="37">
        <f>IFERROR(IF(AND(ISNUMBER('SW OpInc'!O13),ISNUMBER('SW OpInc'!K13),'SW OpInc'!K13&gt;0),'SW OpInc'!O13/'SW OpInc'!K13-1,""),"")</f>
        <v/>
      </c>
      <c r="L728" s="37">
        <f>IFERROR(IF(AND(ISNUMBER('SW OpInc'!P13),ISNUMBER('SW OpInc'!L13),'SW OpInc'!L13&gt;0),'SW OpInc'!P13/'SW OpInc'!L13-1,""),"")</f>
        <v/>
      </c>
      <c r="M728" s="38">
        <f>IFERROR(IF(AND(ISNUMBER('SW OpInc'!Q13),ISNUMBER('SW OpInc'!M13),'SW OpInc'!M13&gt;0),'SW OpInc'!Q13/'SW OpInc'!M13-1,""),"")</f>
        <v/>
      </c>
      <c r="N728" s="38">
        <f>IFERROR(IF(AND(ISNUMBER('SW OpInc'!R13),ISNUMBER('SW OpInc'!N13),'SW OpInc'!N13&gt;0),'SW OpInc'!R13/'SW OpInc'!N13-1,""),"")</f>
        <v/>
      </c>
    </row>
    <row r="729">
      <c r="A729" s="19">
        <f>'SW Rev'!$A14</f>
        <v/>
      </c>
      <c r="B729" s="19">
        <f>'SW Rev'!$B14</f>
        <v/>
      </c>
      <c r="C729" s="37">
        <f>IFERROR(IF(AND(ISNUMBER('SW OpInc'!G14),ISNUMBER('SW OpInc'!C14),'SW OpInc'!C14&gt;0),'SW OpInc'!G14/'SW OpInc'!C14-1,""),"")</f>
        <v/>
      </c>
      <c r="D729" s="37">
        <f>IFERROR(IF(AND(ISNUMBER('SW OpInc'!H14),ISNUMBER('SW OpInc'!D14),'SW OpInc'!D14&gt;0),'SW OpInc'!H14/'SW OpInc'!D14-1,""),"")</f>
        <v/>
      </c>
      <c r="E729" s="37">
        <f>IFERROR(IF(AND(ISNUMBER('SW OpInc'!I14),ISNUMBER('SW OpInc'!E14),'SW OpInc'!E14&gt;0),'SW OpInc'!I14/'SW OpInc'!E14-1,""),"")</f>
        <v/>
      </c>
      <c r="F729" s="37">
        <f>IFERROR(IF(AND(ISNUMBER('SW OpInc'!J14),ISNUMBER('SW OpInc'!F14),'SW OpInc'!F14&gt;0),'SW OpInc'!J14/'SW OpInc'!F14-1,""),"")</f>
        <v/>
      </c>
      <c r="G729" s="37">
        <f>IFERROR(IF(AND(ISNUMBER('SW OpInc'!K14),ISNUMBER('SW OpInc'!G14),'SW OpInc'!G14&gt;0),'SW OpInc'!K14/'SW OpInc'!G14-1,""),"")</f>
        <v/>
      </c>
      <c r="H729" s="37">
        <f>IFERROR(IF(AND(ISNUMBER('SW OpInc'!L14),ISNUMBER('SW OpInc'!H14),'SW OpInc'!H14&gt;0),'SW OpInc'!L14/'SW OpInc'!H14-1,""),"")</f>
        <v/>
      </c>
      <c r="I729" s="37">
        <f>IFERROR(IF(AND(ISNUMBER('SW OpInc'!M14),ISNUMBER('SW OpInc'!I14),'SW OpInc'!I14&gt;0),'SW OpInc'!M14/'SW OpInc'!I14-1,""),"")</f>
        <v/>
      </c>
      <c r="J729" s="37">
        <f>IFERROR(IF(AND(ISNUMBER('SW OpInc'!N14),ISNUMBER('SW OpInc'!J14),'SW OpInc'!J14&gt;0),'SW OpInc'!N14/'SW OpInc'!J14-1,""),"")</f>
        <v/>
      </c>
      <c r="K729" s="37">
        <f>IFERROR(IF(AND(ISNUMBER('SW OpInc'!O14),ISNUMBER('SW OpInc'!K14),'SW OpInc'!K14&gt;0),'SW OpInc'!O14/'SW OpInc'!K14-1,""),"")</f>
        <v/>
      </c>
      <c r="L729" s="37">
        <f>IFERROR(IF(AND(ISNUMBER('SW OpInc'!P14),ISNUMBER('SW OpInc'!L14),'SW OpInc'!L14&gt;0),'SW OpInc'!P14/'SW OpInc'!L14-1,""),"")</f>
        <v/>
      </c>
      <c r="M729" s="38">
        <f>IFERROR(IF(AND(ISNUMBER('SW OpInc'!Q14),ISNUMBER('SW OpInc'!M14),'SW OpInc'!M14&gt;0),'SW OpInc'!Q14/'SW OpInc'!M14-1,""),"")</f>
        <v/>
      </c>
      <c r="N729" s="38">
        <f>IFERROR(IF(AND(ISNUMBER('SW OpInc'!R14),ISNUMBER('SW OpInc'!N14),'SW OpInc'!N14&gt;0),'SW OpInc'!R14/'SW OpInc'!N14-1,""),"")</f>
        <v/>
      </c>
    </row>
    <row r="730">
      <c r="A730" s="19">
        <f>'SW Rev'!$A15</f>
        <v/>
      </c>
      <c r="B730" s="19">
        <f>'SW Rev'!$B15</f>
        <v/>
      </c>
      <c r="C730" s="37">
        <f>IFERROR(IF(AND(ISNUMBER('SW OpInc'!G15),ISNUMBER('SW OpInc'!C15),'SW OpInc'!C15&gt;0),'SW OpInc'!G15/'SW OpInc'!C15-1,""),"")</f>
        <v/>
      </c>
      <c r="D730" s="37">
        <f>IFERROR(IF(AND(ISNUMBER('SW OpInc'!H15),ISNUMBER('SW OpInc'!D15),'SW OpInc'!D15&gt;0),'SW OpInc'!H15/'SW OpInc'!D15-1,""),"")</f>
        <v/>
      </c>
      <c r="E730" s="37">
        <f>IFERROR(IF(AND(ISNUMBER('SW OpInc'!I15),ISNUMBER('SW OpInc'!E15),'SW OpInc'!E15&gt;0),'SW OpInc'!I15/'SW OpInc'!E15-1,""),"")</f>
        <v/>
      </c>
      <c r="F730" s="37">
        <f>IFERROR(IF(AND(ISNUMBER('SW OpInc'!J15),ISNUMBER('SW OpInc'!F15),'SW OpInc'!F15&gt;0),'SW OpInc'!J15/'SW OpInc'!F15-1,""),"")</f>
        <v/>
      </c>
      <c r="G730" s="37">
        <f>IFERROR(IF(AND(ISNUMBER('SW OpInc'!K15),ISNUMBER('SW OpInc'!G15),'SW OpInc'!G15&gt;0),'SW OpInc'!K15/'SW OpInc'!G15-1,""),"")</f>
        <v/>
      </c>
      <c r="H730" s="37">
        <f>IFERROR(IF(AND(ISNUMBER('SW OpInc'!L15),ISNUMBER('SW OpInc'!H15),'SW OpInc'!H15&gt;0),'SW OpInc'!L15/'SW OpInc'!H15-1,""),"")</f>
        <v/>
      </c>
      <c r="I730" s="37">
        <f>IFERROR(IF(AND(ISNUMBER('SW OpInc'!M15),ISNUMBER('SW OpInc'!I15),'SW OpInc'!I15&gt;0),'SW OpInc'!M15/'SW OpInc'!I15-1,""),"")</f>
        <v/>
      </c>
      <c r="J730" s="37">
        <f>IFERROR(IF(AND(ISNUMBER('SW OpInc'!N15),ISNUMBER('SW OpInc'!J15),'SW OpInc'!J15&gt;0),'SW OpInc'!N15/'SW OpInc'!J15-1,""),"")</f>
        <v/>
      </c>
      <c r="K730" s="37">
        <f>IFERROR(IF(AND(ISNUMBER('SW OpInc'!O15),ISNUMBER('SW OpInc'!K15),'SW OpInc'!K15&gt;0),'SW OpInc'!O15/'SW OpInc'!K15-1,""),"")</f>
        <v/>
      </c>
      <c r="L730" s="37">
        <f>IFERROR(IF(AND(ISNUMBER('SW OpInc'!P15),ISNUMBER('SW OpInc'!L15),'SW OpInc'!L15&gt;0),'SW OpInc'!P15/'SW OpInc'!L15-1,""),"")</f>
        <v/>
      </c>
      <c r="M730" s="38">
        <f>IFERROR(IF(AND(ISNUMBER('SW OpInc'!Q15),ISNUMBER('SW OpInc'!M15),'SW OpInc'!M15&gt;0),'SW OpInc'!Q15/'SW OpInc'!M15-1,""),"")</f>
        <v/>
      </c>
      <c r="N730" s="38">
        <f>IFERROR(IF(AND(ISNUMBER('SW OpInc'!R15),ISNUMBER('SW OpInc'!N15),'SW OpInc'!N15&gt;0),'SW OpInc'!R15/'SW OpInc'!N15-1,""),"")</f>
        <v/>
      </c>
    </row>
    <row r="731">
      <c r="A731" s="19">
        <f>'SW Rev'!$A16</f>
        <v/>
      </c>
      <c r="B731" s="19">
        <f>'SW Rev'!$B16</f>
        <v/>
      </c>
      <c r="C731" s="37">
        <f>IFERROR(IF(AND(ISNUMBER('SW OpInc'!G16),ISNUMBER('SW OpInc'!C16),'SW OpInc'!C16&gt;0),'SW OpInc'!G16/'SW OpInc'!C16-1,""),"")</f>
        <v/>
      </c>
      <c r="D731" s="37">
        <f>IFERROR(IF(AND(ISNUMBER('SW OpInc'!H16),ISNUMBER('SW OpInc'!D16),'SW OpInc'!D16&gt;0),'SW OpInc'!H16/'SW OpInc'!D16-1,""),"")</f>
        <v/>
      </c>
      <c r="E731" s="37">
        <f>IFERROR(IF(AND(ISNUMBER('SW OpInc'!I16),ISNUMBER('SW OpInc'!E16),'SW OpInc'!E16&gt;0),'SW OpInc'!I16/'SW OpInc'!E16-1,""),"")</f>
        <v/>
      </c>
      <c r="F731" s="37">
        <f>IFERROR(IF(AND(ISNUMBER('SW OpInc'!J16),ISNUMBER('SW OpInc'!F16),'SW OpInc'!F16&gt;0),'SW OpInc'!J16/'SW OpInc'!F16-1,""),"")</f>
        <v/>
      </c>
      <c r="G731" s="37">
        <f>IFERROR(IF(AND(ISNUMBER('SW OpInc'!K16),ISNUMBER('SW OpInc'!G16),'SW OpInc'!G16&gt;0),'SW OpInc'!K16/'SW OpInc'!G16-1,""),"")</f>
        <v/>
      </c>
      <c r="H731" s="37">
        <f>IFERROR(IF(AND(ISNUMBER('SW OpInc'!L16),ISNUMBER('SW OpInc'!H16),'SW OpInc'!H16&gt;0),'SW OpInc'!L16/'SW OpInc'!H16-1,""),"")</f>
        <v/>
      </c>
      <c r="I731" s="37">
        <f>IFERROR(IF(AND(ISNUMBER('SW OpInc'!M16),ISNUMBER('SW OpInc'!I16),'SW OpInc'!I16&gt;0),'SW OpInc'!M16/'SW OpInc'!I16-1,""),"")</f>
        <v/>
      </c>
      <c r="J731" s="37">
        <f>IFERROR(IF(AND(ISNUMBER('SW OpInc'!N16),ISNUMBER('SW OpInc'!J16),'SW OpInc'!J16&gt;0),'SW OpInc'!N16/'SW OpInc'!J16-1,""),"")</f>
        <v/>
      </c>
      <c r="K731" s="37">
        <f>IFERROR(IF(AND(ISNUMBER('SW OpInc'!O16),ISNUMBER('SW OpInc'!K16),'SW OpInc'!K16&gt;0),'SW OpInc'!O16/'SW OpInc'!K16-1,""),"")</f>
        <v/>
      </c>
      <c r="L731" s="37">
        <f>IFERROR(IF(AND(ISNUMBER('SW OpInc'!P16),ISNUMBER('SW OpInc'!L16),'SW OpInc'!L16&gt;0),'SW OpInc'!P16/'SW OpInc'!L16-1,""),"")</f>
        <v/>
      </c>
      <c r="M731" s="38">
        <f>IFERROR(IF(AND(ISNUMBER('SW OpInc'!Q16),ISNUMBER('SW OpInc'!M16),'SW OpInc'!M16&gt;0),'SW OpInc'!Q16/'SW OpInc'!M16-1,""),"")</f>
        <v/>
      </c>
      <c r="N731" s="38">
        <f>IFERROR(IF(AND(ISNUMBER('SW OpInc'!R16),ISNUMBER('SW OpInc'!N16),'SW OpInc'!N16&gt;0),'SW OpInc'!R16/'SW OpInc'!N16-1,""),"")</f>
        <v/>
      </c>
    </row>
    <row r="732">
      <c r="A732" s="19">
        <f>'SW Rev'!$A17</f>
        <v/>
      </c>
      <c r="B732" s="19">
        <f>'SW Rev'!$B17</f>
        <v/>
      </c>
      <c r="C732" s="37">
        <f>IFERROR(IF(AND(ISNUMBER('SW OpInc'!G17),ISNUMBER('SW OpInc'!C17),'SW OpInc'!C17&gt;0),'SW OpInc'!G17/'SW OpInc'!C17-1,""),"")</f>
        <v/>
      </c>
      <c r="D732" s="37">
        <f>IFERROR(IF(AND(ISNUMBER('SW OpInc'!H17),ISNUMBER('SW OpInc'!D17),'SW OpInc'!D17&gt;0),'SW OpInc'!H17/'SW OpInc'!D17-1,""),"")</f>
        <v/>
      </c>
      <c r="E732" s="37">
        <f>IFERROR(IF(AND(ISNUMBER('SW OpInc'!I17),ISNUMBER('SW OpInc'!E17),'SW OpInc'!E17&gt;0),'SW OpInc'!I17/'SW OpInc'!E17-1,""),"")</f>
        <v/>
      </c>
      <c r="F732" s="37">
        <f>IFERROR(IF(AND(ISNUMBER('SW OpInc'!J17),ISNUMBER('SW OpInc'!F17),'SW OpInc'!F17&gt;0),'SW OpInc'!J17/'SW OpInc'!F17-1,""),"")</f>
        <v/>
      </c>
      <c r="G732" s="37">
        <f>IFERROR(IF(AND(ISNUMBER('SW OpInc'!K17),ISNUMBER('SW OpInc'!G17),'SW OpInc'!G17&gt;0),'SW OpInc'!K17/'SW OpInc'!G17-1,""),"")</f>
        <v/>
      </c>
      <c r="H732" s="37">
        <f>IFERROR(IF(AND(ISNUMBER('SW OpInc'!L17),ISNUMBER('SW OpInc'!H17),'SW OpInc'!H17&gt;0),'SW OpInc'!L17/'SW OpInc'!H17-1,""),"")</f>
        <v/>
      </c>
      <c r="I732" s="37">
        <f>IFERROR(IF(AND(ISNUMBER('SW OpInc'!M17),ISNUMBER('SW OpInc'!I17),'SW OpInc'!I17&gt;0),'SW OpInc'!M17/'SW OpInc'!I17-1,""),"")</f>
        <v/>
      </c>
      <c r="J732" s="37">
        <f>IFERROR(IF(AND(ISNUMBER('SW OpInc'!N17),ISNUMBER('SW OpInc'!J17),'SW OpInc'!J17&gt;0),'SW OpInc'!N17/'SW OpInc'!J17-1,""),"")</f>
        <v/>
      </c>
      <c r="K732" s="37">
        <f>IFERROR(IF(AND(ISNUMBER('SW OpInc'!O17),ISNUMBER('SW OpInc'!K17),'SW OpInc'!K17&gt;0),'SW OpInc'!O17/'SW OpInc'!K17-1,""),"")</f>
        <v/>
      </c>
      <c r="L732" s="37">
        <f>IFERROR(IF(AND(ISNUMBER('SW OpInc'!P17),ISNUMBER('SW OpInc'!L17),'SW OpInc'!L17&gt;0),'SW OpInc'!P17/'SW OpInc'!L17-1,""),"")</f>
        <v/>
      </c>
      <c r="M732" s="38">
        <f>IFERROR(IF(AND(ISNUMBER('SW OpInc'!Q17),ISNUMBER('SW OpInc'!M17),'SW OpInc'!M17&gt;0),'SW OpInc'!Q17/'SW OpInc'!M17-1,""),"")</f>
        <v/>
      </c>
      <c r="N732" s="38">
        <f>IFERROR(IF(AND(ISNUMBER('SW OpInc'!R17),ISNUMBER('SW OpInc'!N17),'SW OpInc'!N17&gt;0),'SW OpInc'!R17/'SW OpInc'!N17-1,""),"")</f>
        <v/>
      </c>
    </row>
    <row r="733">
      <c r="A733" s="19">
        <f>'SW Rev'!$A18</f>
        <v/>
      </c>
      <c r="B733" s="19">
        <f>'SW Rev'!$B18</f>
        <v/>
      </c>
      <c r="C733" s="37">
        <f>IFERROR(IF(AND(ISNUMBER('SW OpInc'!G18),ISNUMBER('SW OpInc'!C18),'SW OpInc'!C18&gt;0),'SW OpInc'!G18/'SW OpInc'!C18-1,""),"")</f>
        <v/>
      </c>
      <c r="D733" s="37">
        <f>IFERROR(IF(AND(ISNUMBER('SW OpInc'!H18),ISNUMBER('SW OpInc'!D18),'SW OpInc'!D18&gt;0),'SW OpInc'!H18/'SW OpInc'!D18-1,""),"")</f>
        <v/>
      </c>
      <c r="E733" s="37">
        <f>IFERROR(IF(AND(ISNUMBER('SW OpInc'!I18),ISNUMBER('SW OpInc'!E18),'SW OpInc'!E18&gt;0),'SW OpInc'!I18/'SW OpInc'!E18-1,""),"")</f>
        <v/>
      </c>
      <c r="F733" s="37">
        <f>IFERROR(IF(AND(ISNUMBER('SW OpInc'!J18),ISNUMBER('SW OpInc'!F18),'SW OpInc'!F18&gt;0),'SW OpInc'!J18/'SW OpInc'!F18-1,""),"")</f>
        <v/>
      </c>
      <c r="G733" s="37">
        <f>IFERROR(IF(AND(ISNUMBER('SW OpInc'!K18),ISNUMBER('SW OpInc'!G18),'SW OpInc'!G18&gt;0),'SW OpInc'!K18/'SW OpInc'!G18-1,""),"")</f>
        <v/>
      </c>
      <c r="H733" s="37">
        <f>IFERROR(IF(AND(ISNUMBER('SW OpInc'!L18),ISNUMBER('SW OpInc'!H18),'SW OpInc'!H18&gt;0),'SW OpInc'!L18/'SW OpInc'!H18-1,""),"")</f>
        <v/>
      </c>
      <c r="I733" s="37">
        <f>IFERROR(IF(AND(ISNUMBER('SW OpInc'!M18),ISNUMBER('SW OpInc'!I18),'SW OpInc'!I18&gt;0),'SW OpInc'!M18/'SW OpInc'!I18-1,""),"")</f>
        <v/>
      </c>
      <c r="J733" s="37">
        <f>IFERROR(IF(AND(ISNUMBER('SW OpInc'!N18),ISNUMBER('SW OpInc'!J18),'SW OpInc'!J18&gt;0),'SW OpInc'!N18/'SW OpInc'!J18-1,""),"")</f>
        <v/>
      </c>
      <c r="K733" s="37">
        <f>IFERROR(IF(AND(ISNUMBER('SW OpInc'!O18),ISNUMBER('SW OpInc'!K18),'SW OpInc'!K18&gt;0),'SW OpInc'!O18/'SW OpInc'!K18-1,""),"")</f>
        <v/>
      </c>
      <c r="L733" s="37">
        <f>IFERROR(IF(AND(ISNUMBER('SW OpInc'!P18),ISNUMBER('SW OpInc'!L18),'SW OpInc'!L18&gt;0),'SW OpInc'!P18/'SW OpInc'!L18-1,""),"")</f>
        <v/>
      </c>
      <c r="M733" s="38">
        <f>IFERROR(IF(AND(ISNUMBER('SW OpInc'!Q18),ISNUMBER('SW OpInc'!M18),'SW OpInc'!M18&gt;0),'SW OpInc'!Q18/'SW OpInc'!M18-1,""),"")</f>
        <v/>
      </c>
      <c r="N733" s="38">
        <f>IFERROR(IF(AND(ISNUMBER('SW OpInc'!R18),ISNUMBER('SW OpInc'!N18),'SW OpInc'!N18&gt;0),'SW OpInc'!R18/'SW OpInc'!N18-1,""),"")</f>
        <v/>
      </c>
    </row>
    <row r="734">
      <c r="A734" s="19">
        <f>'SW Rev'!$A19</f>
        <v/>
      </c>
      <c r="B734" s="19">
        <f>'SW Rev'!$B19</f>
        <v/>
      </c>
      <c r="C734" s="37">
        <f>IFERROR(IF(AND(ISNUMBER('SW OpInc'!G19),ISNUMBER('SW OpInc'!C19),'SW OpInc'!C19&gt;0),'SW OpInc'!G19/'SW OpInc'!C19-1,""),"")</f>
        <v/>
      </c>
      <c r="D734" s="37">
        <f>IFERROR(IF(AND(ISNUMBER('SW OpInc'!H19),ISNUMBER('SW OpInc'!D19),'SW OpInc'!D19&gt;0),'SW OpInc'!H19/'SW OpInc'!D19-1,""),"")</f>
        <v/>
      </c>
      <c r="E734" s="37">
        <f>IFERROR(IF(AND(ISNUMBER('SW OpInc'!I19),ISNUMBER('SW OpInc'!E19),'SW OpInc'!E19&gt;0),'SW OpInc'!I19/'SW OpInc'!E19-1,""),"")</f>
        <v/>
      </c>
      <c r="F734" s="37">
        <f>IFERROR(IF(AND(ISNUMBER('SW OpInc'!J19),ISNUMBER('SW OpInc'!F19),'SW OpInc'!F19&gt;0),'SW OpInc'!J19/'SW OpInc'!F19-1,""),"")</f>
        <v/>
      </c>
      <c r="G734" s="37">
        <f>IFERROR(IF(AND(ISNUMBER('SW OpInc'!K19),ISNUMBER('SW OpInc'!G19),'SW OpInc'!G19&gt;0),'SW OpInc'!K19/'SW OpInc'!G19-1,""),"")</f>
        <v/>
      </c>
      <c r="H734" s="37">
        <f>IFERROR(IF(AND(ISNUMBER('SW OpInc'!L19),ISNUMBER('SW OpInc'!H19),'SW OpInc'!H19&gt;0),'SW OpInc'!L19/'SW OpInc'!H19-1,""),"")</f>
        <v/>
      </c>
      <c r="I734" s="37">
        <f>IFERROR(IF(AND(ISNUMBER('SW OpInc'!M19),ISNUMBER('SW OpInc'!I19),'SW OpInc'!I19&gt;0),'SW OpInc'!M19/'SW OpInc'!I19-1,""),"")</f>
        <v/>
      </c>
      <c r="J734" s="37">
        <f>IFERROR(IF(AND(ISNUMBER('SW OpInc'!N19),ISNUMBER('SW OpInc'!J19),'SW OpInc'!J19&gt;0),'SW OpInc'!N19/'SW OpInc'!J19-1,""),"")</f>
        <v/>
      </c>
      <c r="K734" s="37">
        <f>IFERROR(IF(AND(ISNUMBER('SW OpInc'!O19),ISNUMBER('SW OpInc'!K19),'SW OpInc'!K19&gt;0),'SW OpInc'!O19/'SW OpInc'!K19-1,""),"")</f>
        <v/>
      </c>
      <c r="L734" s="37">
        <f>IFERROR(IF(AND(ISNUMBER('SW OpInc'!P19),ISNUMBER('SW OpInc'!L19),'SW OpInc'!L19&gt;0),'SW OpInc'!P19/'SW OpInc'!L19-1,""),"")</f>
        <v/>
      </c>
      <c r="M734" s="38">
        <f>IFERROR(IF(AND(ISNUMBER('SW OpInc'!Q19),ISNUMBER('SW OpInc'!M19),'SW OpInc'!M19&gt;0),'SW OpInc'!Q19/'SW OpInc'!M19-1,""),"")</f>
        <v/>
      </c>
      <c r="N734" s="38">
        <f>IFERROR(IF(AND(ISNUMBER('SW OpInc'!R19),ISNUMBER('SW OpInc'!N19),'SW OpInc'!N19&gt;0),'SW OpInc'!R19/'SW OpInc'!N19-1,""),"")</f>
        <v/>
      </c>
    </row>
    <row r="735">
      <c r="A735" s="19">
        <f>'SW Rev'!$A20</f>
        <v/>
      </c>
      <c r="B735" s="19">
        <f>'SW Rev'!$B20</f>
        <v/>
      </c>
      <c r="C735" s="37">
        <f>IFERROR(IF(AND(ISNUMBER('SW OpInc'!G20),ISNUMBER('SW OpInc'!C20),'SW OpInc'!C20&gt;0),'SW OpInc'!G20/'SW OpInc'!C20-1,""),"")</f>
        <v/>
      </c>
      <c r="D735" s="37">
        <f>IFERROR(IF(AND(ISNUMBER('SW OpInc'!H20),ISNUMBER('SW OpInc'!D20),'SW OpInc'!D20&gt;0),'SW OpInc'!H20/'SW OpInc'!D20-1,""),"")</f>
        <v/>
      </c>
      <c r="E735" s="37">
        <f>IFERROR(IF(AND(ISNUMBER('SW OpInc'!I20),ISNUMBER('SW OpInc'!E20),'SW OpInc'!E20&gt;0),'SW OpInc'!I20/'SW OpInc'!E20-1,""),"")</f>
        <v/>
      </c>
      <c r="F735" s="37">
        <f>IFERROR(IF(AND(ISNUMBER('SW OpInc'!J20),ISNUMBER('SW OpInc'!F20),'SW OpInc'!F20&gt;0),'SW OpInc'!J20/'SW OpInc'!F20-1,""),"")</f>
        <v/>
      </c>
      <c r="G735" s="37">
        <f>IFERROR(IF(AND(ISNUMBER('SW OpInc'!K20),ISNUMBER('SW OpInc'!G20),'SW OpInc'!G20&gt;0),'SW OpInc'!K20/'SW OpInc'!G20-1,""),"")</f>
        <v/>
      </c>
      <c r="H735" s="37">
        <f>IFERROR(IF(AND(ISNUMBER('SW OpInc'!L20),ISNUMBER('SW OpInc'!H20),'SW OpInc'!H20&gt;0),'SW OpInc'!L20/'SW OpInc'!H20-1,""),"")</f>
        <v/>
      </c>
      <c r="I735" s="37">
        <f>IFERROR(IF(AND(ISNUMBER('SW OpInc'!M20),ISNUMBER('SW OpInc'!I20),'SW OpInc'!I20&gt;0),'SW OpInc'!M20/'SW OpInc'!I20-1,""),"")</f>
        <v/>
      </c>
      <c r="J735" s="37">
        <f>IFERROR(IF(AND(ISNUMBER('SW OpInc'!N20),ISNUMBER('SW OpInc'!J20),'SW OpInc'!J20&gt;0),'SW OpInc'!N20/'SW OpInc'!J20-1,""),"")</f>
        <v/>
      </c>
      <c r="K735" s="37">
        <f>IFERROR(IF(AND(ISNUMBER('SW OpInc'!O20),ISNUMBER('SW OpInc'!K20),'SW OpInc'!K20&gt;0),'SW OpInc'!O20/'SW OpInc'!K20-1,""),"")</f>
        <v/>
      </c>
      <c r="L735" s="37">
        <f>IFERROR(IF(AND(ISNUMBER('SW OpInc'!P20),ISNUMBER('SW OpInc'!L20),'SW OpInc'!L20&gt;0),'SW OpInc'!P20/'SW OpInc'!L20-1,""),"")</f>
        <v/>
      </c>
      <c r="M735" s="38">
        <f>IFERROR(IF(AND(ISNUMBER('SW OpInc'!Q20),ISNUMBER('SW OpInc'!M20),'SW OpInc'!M20&gt;0),'SW OpInc'!Q20/'SW OpInc'!M20-1,""),"")</f>
        <v/>
      </c>
      <c r="N735" s="38">
        <f>IFERROR(IF(AND(ISNUMBER('SW OpInc'!R20),ISNUMBER('SW OpInc'!N20),'SW OpInc'!N20&gt;0),'SW OpInc'!R20/'SW OpInc'!N20-1,""),"")</f>
        <v/>
      </c>
    </row>
    <row r="736">
      <c r="A736" s="19">
        <f>'SW Rev'!$A21</f>
        <v/>
      </c>
      <c r="B736" s="19">
        <f>'SW Rev'!$B21</f>
        <v/>
      </c>
      <c r="C736" s="37">
        <f>IFERROR(IF(AND(ISNUMBER('SW OpInc'!G21),ISNUMBER('SW OpInc'!C21),'SW OpInc'!C21&gt;0),'SW OpInc'!G21/'SW OpInc'!C21-1,""),"")</f>
        <v/>
      </c>
      <c r="D736" s="37">
        <f>IFERROR(IF(AND(ISNUMBER('SW OpInc'!H21),ISNUMBER('SW OpInc'!D21),'SW OpInc'!D21&gt;0),'SW OpInc'!H21/'SW OpInc'!D21-1,""),"")</f>
        <v/>
      </c>
      <c r="E736" s="37">
        <f>IFERROR(IF(AND(ISNUMBER('SW OpInc'!I21),ISNUMBER('SW OpInc'!E21),'SW OpInc'!E21&gt;0),'SW OpInc'!I21/'SW OpInc'!E21-1,""),"")</f>
        <v/>
      </c>
      <c r="F736" s="37">
        <f>IFERROR(IF(AND(ISNUMBER('SW OpInc'!J21),ISNUMBER('SW OpInc'!F21),'SW OpInc'!F21&gt;0),'SW OpInc'!J21/'SW OpInc'!F21-1,""),"")</f>
        <v/>
      </c>
      <c r="G736" s="37">
        <f>IFERROR(IF(AND(ISNUMBER('SW OpInc'!K21),ISNUMBER('SW OpInc'!G21),'SW OpInc'!G21&gt;0),'SW OpInc'!K21/'SW OpInc'!G21-1,""),"")</f>
        <v/>
      </c>
      <c r="H736" s="37">
        <f>IFERROR(IF(AND(ISNUMBER('SW OpInc'!L21),ISNUMBER('SW OpInc'!H21),'SW OpInc'!H21&gt;0),'SW OpInc'!L21/'SW OpInc'!H21-1,""),"")</f>
        <v/>
      </c>
      <c r="I736" s="37">
        <f>IFERROR(IF(AND(ISNUMBER('SW OpInc'!M21),ISNUMBER('SW OpInc'!I21),'SW OpInc'!I21&gt;0),'SW OpInc'!M21/'SW OpInc'!I21-1,""),"")</f>
        <v/>
      </c>
      <c r="J736" s="37">
        <f>IFERROR(IF(AND(ISNUMBER('SW OpInc'!N21),ISNUMBER('SW OpInc'!J21),'SW OpInc'!J21&gt;0),'SW OpInc'!N21/'SW OpInc'!J21-1,""),"")</f>
        <v/>
      </c>
      <c r="K736" s="37">
        <f>IFERROR(IF(AND(ISNUMBER('SW OpInc'!O21),ISNUMBER('SW OpInc'!K21),'SW OpInc'!K21&gt;0),'SW OpInc'!O21/'SW OpInc'!K21-1,""),"")</f>
        <v/>
      </c>
      <c r="L736" s="37">
        <f>IFERROR(IF(AND(ISNUMBER('SW OpInc'!P21),ISNUMBER('SW OpInc'!L21),'SW OpInc'!L21&gt;0),'SW OpInc'!P21/'SW OpInc'!L21-1,""),"")</f>
        <v/>
      </c>
      <c r="M736" s="38">
        <f>IFERROR(IF(AND(ISNUMBER('SW OpInc'!Q21),ISNUMBER('SW OpInc'!M21),'SW OpInc'!M21&gt;0),'SW OpInc'!Q21/'SW OpInc'!M21-1,""),"")</f>
        <v/>
      </c>
      <c r="N736" s="38">
        <f>IFERROR(IF(AND(ISNUMBER('SW OpInc'!R21),ISNUMBER('SW OpInc'!N21),'SW OpInc'!N21&gt;0),'SW OpInc'!R21/'SW OpInc'!N21-1,""),"")</f>
        <v/>
      </c>
    </row>
    <row r="737">
      <c r="A737" s="19">
        <f>'SW Rev'!$A22</f>
        <v/>
      </c>
      <c r="B737" s="19">
        <f>'SW Rev'!$B22</f>
        <v/>
      </c>
      <c r="C737" s="37">
        <f>IFERROR(IF(AND(ISNUMBER('SW OpInc'!G22),ISNUMBER('SW OpInc'!C22),'SW OpInc'!C22&gt;0),'SW OpInc'!G22/'SW OpInc'!C22-1,""),"")</f>
        <v/>
      </c>
      <c r="D737" s="37">
        <f>IFERROR(IF(AND(ISNUMBER('SW OpInc'!H22),ISNUMBER('SW OpInc'!D22),'SW OpInc'!D22&gt;0),'SW OpInc'!H22/'SW OpInc'!D22-1,""),"")</f>
        <v/>
      </c>
      <c r="E737" s="37">
        <f>IFERROR(IF(AND(ISNUMBER('SW OpInc'!I22),ISNUMBER('SW OpInc'!E22),'SW OpInc'!E22&gt;0),'SW OpInc'!I22/'SW OpInc'!E22-1,""),"")</f>
        <v/>
      </c>
      <c r="F737" s="37">
        <f>IFERROR(IF(AND(ISNUMBER('SW OpInc'!J22),ISNUMBER('SW OpInc'!F22),'SW OpInc'!F22&gt;0),'SW OpInc'!J22/'SW OpInc'!F22-1,""),"")</f>
        <v/>
      </c>
      <c r="G737" s="37">
        <f>IFERROR(IF(AND(ISNUMBER('SW OpInc'!K22),ISNUMBER('SW OpInc'!G22),'SW OpInc'!G22&gt;0),'SW OpInc'!K22/'SW OpInc'!G22-1,""),"")</f>
        <v/>
      </c>
      <c r="H737" s="37">
        <f>IFERROR(IF(AND(ISNUMBER('SW OpInc'!L22),ISNUMBER('SW OpInc'!H22),'SW OpInc'!H22&gt;0),'SW OpInc'!L22/'SW OpInc'!H22-1,""),"")</f>
        <v/>
      </c>
      <c r="I737" s="37">
        <f>IFERROR(IF(AND(ISNUMBER('SW OpInc'!M22),ISNUMBER('SW OpInc'!I22),'SW OpInc'!I22&gt;0),'SW OpInc'!M22/'SW OpInc'!I22-1,""),"")</f>
        <v/>
      </c>
      <c r="J737" s="37">
        <f>IFERROR(IF(AND(ISNUMBER('SW OpInc'!N22),ISNUMBER('SW OpInc'!J22),'SW OpInc'!J22&gt;0),'SW OpInc'!N22/'SW OpInc'!J22-1,""),"")</f>
        <v/>
      </c>
      <c r="K737" s="37">
        <f>IFERROR(IF(AND(ISNUMBER('SW OpInc'!O22),ISNUMBER('SW OpInc'!K22),'SW OpInc'!K22&gt;0),'SW OpInc'!O22/'SW OpInc'!K22-1,""),"")</f>
        <v/>
      </c>
      <c r="L737" s="37">
        <f>IFERROR(IF(AND(ISNUMBER('SW OpInc'!P22),ISNUMBER('SW OpInc'!L22),'SW OpInc'!L22&gt;0),'SW OpInc'!P22/'SW OpInc'!L22-1,""),"")</f>
        <v/>
      </c>
      <c r="M737" s="38">
        <f>IFERROR(IF(AND(ISNUMBER('SW OpInc'!Q22),ISNUMBER('SW OpInc'!M22),'SW OpInc'!M22&gt;0),'SW OpInc'!Q22/'SW OpInc'!M22-1,""),"")</f>
        <v/>
      </c>
      <c r="N737" s="38">
        <f>IFERROR(IF(AND(ISNUMBER('SW OpInc'!R22),ISNUMBER('SW OpInc'!N22),'SW OpInc'!N22&gt;0),'SW OpInc'!R22/'SW OpInc'!N22-1,""),"")</f>
        <v/>
      </c>
    </row>
    <row r="738">
      <c r="A738" s="19">
        <f>'SW Rev'!$A23</f>
        <v/>
      </c>
      <c r="B738" s="19">
        <f>'SW Rev'!$B23</f>
        <v/>
      </c>
      <c r="C738" s="37">
        <f>IFERROR(IF(AND(ISNUMBER('SW OpInc'!G23),ISNUMBER('SW OpInc'!C23),'SW OpInc'!C23&gt;0),'SW OpInc'!G23/'SW OpInc'!C23-1,""),"")</f>
        <v/>
      </c>
      <c r="D738" s="37">
        <f>IFERROR(IF(AND(ISNUMBER('SW OpInc'!H23),ISNUMBER('SW OpInc'!D23),'SW OpInc'!D23&gt;0),'SW OpInc'!H23/'SW OpInc'!D23-1,""),"")</f>
        <v/>
      </c>
      <c r="E738" s="37">
        <f>IFERROR(IF(AND(ISNUMBER('SW OpInc'!I23),ISNUMBER('SW OpInc'!E23),'SW OpInc'!E23&gt;0),'SW OpInc'!I23/'SW OpInc'!E23-1,""),"")</f>
        <v/>
      </c>
      <c r="F738" s="37">
        <f>IFERROR(IF(AND(ISNUMBER('SW OpInc'!J23),ISNUMBER('SW OpInc'!F23),'SW OpInc'!F23&gt;0),'SW OpInc'!J23/'SW OpInc'!F23-1,""),"")</f>
        <v/>
      </c>
      <c r="G738" s="37">
        <f>IFERROR(IF(AND(ISNUMBER('SW OpInc'!K23),ISNUMBER('SW OpInc'!G23),'SW OpInc'!G23&gt;0),'SW OpInc'!K23/'SW OpInc'!G23-1,""),"")</f>
        <v/>
      </c>
      <c r="H738" s="37">
        <f>IFERROR(IF(AND(ISNUMBER('SW OpInc'!L23),ISNUMBER('SW OpInc'!H23),'SW OpInc'!H23&gt;0),'SW OpInc'!L23/'SW OpInc'!H23-1,""),"")</f>
        <v/>
      </c>
      <c r="I738" s="37">
        <f>IFERROR(IF(AND(ISNUMBER('SW OpInc'!M23),ISNUMBER('SW OpInc'!I23),'SW OpInc'!I23&gt;0),'SW OpInc'!M23/'SW OpInc'!I23-1,""),"")</f>
        <v/>
      </c>
      <c r="J738" s="37">
        <f>IFERROR(IF(AND(ISNUMBER('SW OpInc'!N23),ISNUMBER('SW OpInc'!J23),'SW OpInc'!J23&gt;0),'SW OpInc'!N23/'SW OpInc'!J23-1,""),"")</f>
        <v/>
      </c>
      <c r="K738" s="37">
        <f>IFERROR(IF(AND(ISNUMBER('SW OpInc'!O23),ISNUMBER('SW OpInc'!K23),'SW OpInc'!K23&gt;0),'SW OpInc'!O23/'SW OpInc'!K23-1,""),"")</f>
        <v/>
      </c>
      <c r="L738" s="37">
        <f>IFERROR(IF(AND(ISNUMBER('SW OpInc'!P23),ISNUMBER('SW OpInc'!L23),'SW OpInc'!L23&gt;0),'SW OpInc'!P23/'SW OpInc'!L23-1,""),"")</f>
        <v/>
      </c>
      <c r="M738" s="38">
        <f>IFERROR(IF(AND(ISNUMBER('SW OpInc'!Q23),ISNUMBER('SW OpInc'!M23),'SW OpInc'!M23&gt;0),'SW OpInc'!Q23/'SW OpInc'!M23-1,""),"")</f>
        <v/>
      </c>
      <c r="N738" s="38">
        <f>IFERROR(IF(AND(ISNUMBER('SW OpInc'!R23),ISNUMBER('SW OpInc'!N23),'SW OpInc'!N23&gt;0),'SW OpInc'!R23/'SW OpInc'!N23-1,""),"")</f>
        <v/>
      </c>
    </row>
    <row r="739">
      <c r="A739" s="19">
        <f>'SW Rev'!$A24</f>
        <v/>
      </c>
      <c r="B739" s="19">
        <f>'SW Rev'!$B24</f>
        <v/>
      </c>
      <c r="C739" s="37">
        <f>IFERROR(IF(AND(ISNUMBER('SW OpInc'!G24),ISNUMBER('SW OpInc'!C24),'SW OpInc'!C24&gt;0),'SW OpInc'!G24/'SW OpInc'!C24-1,""),"")</f>
        <v/>
      </c>
      <c r="D739" s="37">
        <f>IFERROR(IF(AND(ISNUMBER('SW OpInc'!H24),ISNUMBER('SW OpInc'!D24),'SW OpInc'!D24&gt;0),'SW OpInc'!H24/'SW OpInc'!D24-1,""),"")</f>
        <v/>
      </c>
      <c r="E739" s="37">
        <f>IFERROR(IF(AND(ISNUMBER('SW OpInc'!I24),ISNUMBER('SW OpInc'!E24),'SW OpInc'!E24&gt;0),'SW OpInc'!I24/'SW OpInc'!E24-1,""),"")</f>
        <v/>
      </c>
      <c r="F739" s="37">
        <f>IFERROR(IF(AND(ISNUMBER('SW OpInc'!J24),ISNUMBER('SW OpInc'!F24),'SW OpInc'!F24&gt;0),'SW OpInc'!J24/'SW OpInc'!F24-1,""),"")</f>
        <v/>
      </c>
      <c r="G739" s="37">
        <f>IFERROR(IF(AND(ISNUMBER('SW OpInc'!K24),ISNUMBER('SW OpInc'!G24),'SW OpInc'!G24&gt;0),'SW OpInc'!K24/'SW OpInc'!G24-1,""),"")</f>
        <v/>
      </c>
      <c r="H739" s="37">
        <f>IFERROR(IF(AND(ISNUMBER('SW OpInc'!L24),ISNUMBER('SW OpInc'!H24),'SW OpInc'!H24&gt;0),'SW OpInc'!L24/'SW OpInc'!H24-1,""),"")</f>
        <v/>
      </c>
      <c r="I739" s="37">
        <f>IFERROR(IF(AND(ISNUMBER('SW OpInc'!M24),ISNUMBER('SW OpInc'!I24),'SW OpInc'!I24&gt;0),'SW OpInc'!M24/'SW OpInc'!I24-1,""),"")</f>
        <v/>
      </c>
      <c r="J739" s="37">
        <f>IFERROR(IF(AND(ISNUMBER('SW OpInc'!N24),ISNUMBER('SW OpInc'!J24),'SW OpInc'!J24&gt;0),'SW OpInc'!N24/'SW OpInc'!J24-1,""),"")</f>
        <v/>
      </c>
      <c r="K739" s="37">
        <f>IFERROR(IF(AND(ISNUMBER('SW OpInc'!O24),ISNUMBER('SW OpInc'!K24),'SW OpInc'!K24&gt;0),'SW OpInc'!O24/'SW OpInc'!K24-1,""),"")</f>
        <v/>
      </c>
      <c r="L739" s="37">
        <f>IFERROR(IF(AND(ISNUMBER('SW OpInc'!P24),ISNUMBER('SW OpInc'!L24),'SW OpInc'!L24&gt;0),'SW OpInc'!P24/'SW OpInc'!L24-1,""),"")</f>
        <v/>
      </c>
      <c r="M739" s="38">
        <f>IFERROR(IF(AND(ISNUMBER('SW OpInc'!Q24),ISNUMBER('SW OpInc'!M24),'SW OpInc'!M24&gt;0),'SW OpInc'!Q24/'SW OpInc'!M24-1,""),"")</f>
        <v/>
      </c>
      <c r="N739" s="38">
        <f>IFERROR(IF(AND(ISNUMBER('SW OpInc'!R24),ISNUMBER('SW OpInc'!N24),'SW OpInc'!N24&gt;0),'SW OpInc'!R24/'SW OpInc'!N24-1,""),"")</f>
        <v/>
      </c>
    </row>
    <row r="740">
      <c r="A740" s="19">
        <f>'SW Rev'!$A25</f>
        <v/>
      </c>
      <c r="B740" s="19">
        <f>'SW Rev'!$B25</f>
        <v/>
      </c>
      <c r="C740" s="37">
        <f>IFERROR(IF(AND(ISNUMBER('SW OpInc'!G25),ISNUMBER('SW OpInc'!C25),'SW OpInc'!C25&gt;0),'SW OpInc'!G25/'SW OpInc'!C25-1,""),"")</f>
        <v/>
      </c>
      <c r="D740" s="37">
        <f>IFERROR(IF(AND(ISNUMBER('SW OpInc'!H25),ISNUMBER('SW OpInc'!D25),'SW OpInc'!D25&gt;0),'SW OpInc'!H25/'SW OpInc'!D25-1,""),"")</f>
        <v/>
      </c>
      <c r="E740" s="37">
        <f>IFERROR(IF(AND(ISNUMBER('SW OpInc'!I25),ISNUMBER('SW OpInc'!E25),'SW OpInc'!E25&gt;0),'SW OpInc'!I25/'SW OpInc'!E25-1,""),"")</f>
        <v/>
      </c>
      <c r="F740" s="37">
        <f>IFERROR(IF(AND(ISNUMBER('SW OpInc'!J25),ISNUMBER('SW OpInc'!F25),'SW OpInc'!F25&gt;0),'SW OpInc'!J25/'SW OpInc'!F25-1,""),"")</f>
        <v/>
      </c>
      <c r="G740" s="37">
        <f>IFERROR(IF(AND(ISNUMBER('SW OpInc'!K25),ISNUMBER('SW OpInc'!G25),'SW OpInc'!G25&gt;0),'SW OpInc'!K25/'SW OpInc'!G25-1,""),"")</f>
        <v/>
      </c>
      <c r="H740" s="37">
        <f>IFERROR(IF(AND(ISNUMBER('SW OpInc'!L25),ISNUMBER('SW OpInc'!H25),'SW OpInc'!H25&gt;0),'SW OpInc'!L25/'SW OpInc'!H25-1,""),"")</f>
        <v/>
      </c>
      <c r="I740" s="37">
        <f>IFERROR(IF(AND(ISNUMBER('SW OpInc'!M25),ISNUMBER('SW OpInc'!I25),'SW OpInc'!I25&gt;0),'SW OpInc'!M25/'SW OpInc'!I25-1,""),"")</f>
        <v/>
      </c>
      <c r="J740" s="37">
        <f>IFERROR(IF(AND(ISNUMBER('SW OpInc'!N25),ISNUMBER('SW OpInc'!J25),'SW OpInc'!J25&gt;0),'SW OpInc'!N25/'SW OpInc'!J25-1,""),"")</f>
        <v/>
      </c>
      <c r="K740" s="37">
        <f>IFERROR(IF(AND(ISNUMBER('SW OpInc'!O25),ISNUMBER('SW OpInc'!K25),'SW OpInc'!K25&gt;0),'SW OpInc'!O25/'SW OpInc'!K25-1,""),"")</f>
        <v/>
      </c>
      <c r="L740" s="37">
        <f>IFERROR(IF(AND(ISNUMBER('SW OpInc'!P25),ISNUMBER('SW OpInc'!L25),'SW OpInc'!L25&gt;0),'SW OpInc'!P25/'SW OpInc'!L25-1,""),"")</f>
        <v/>
      </c>
      <c r="M740" s="38">
        <f>IFERROR(IF(AND(ISNUMBER('SW OpInc'!Q25),ISNUMBER('SW OpInc'!M25),'SW OpInc'!M25&gt;0),'SW OpInc'!Q25/'SW OpInc'!M25-1,""),"")</f>
        <v/>
      </c>
      <c r="N740" s="38">
        <f>IFERROR(IF(AND(ISNUMBER('SW OpInc'!R25),ISNUMBER('SW OpInc'!N25),'SW OpInc'!N25&gt;0),'SW OpInc'!R25/'SW OpInc'!N25-1,""),"")</f>
        <v/>
      </c>
    </row>
    <row r="741">
      <c r="A741" s="19">
        <f>'SW Rev'!$A26</f>
        <v/>
      </c>
      <c r="B741" s="19">
        <f>'SW Rev'!$B26</f>
        <v/>
      </c>
      <c r="C741" s="37">
        <f>IFERROR(IF(AND(ISNUMBER('SW OpInc'!G26),ISNUMBER('SW OpInc'!C26),'SW OpInc'!C26&gt;0),'SW OpInc'!G26/'SW OpInc'!C26-1,""),"")</f>
        <v/>
      </c>
      <c r="D741" s="37">
        <f>IFERROR(IF(AND(ISNUMBER('SW OpInc'!H26),ISNUMBER('SW OpInc'!D26),'SW OpInc'!D26&gt;0),'SW OpInc'!H26/'SW OpInc'!D26-1,""),"")</f>
        <v/>
      </c>
      <c r="E741" s="37">
        <f>IFERROR(IF(AND(ISNUMBER('SW OpInc'!I26),ISNUMBER('SW OpInc'!E26),'SW OpInc'!E26&gt;0),'SW OpInc'!I26/'SW OpInc'!E26-1,""),"")</f>
        <v/>
      </c>
      <c r="F741" s="37">
        <f>IFERROR(IF(AND(ISNUMBER('SW OpInc'!J26),ISNUMBER('SW OpInc'!F26),'SW OpInc'!F26&gt;0),'SW OpInc'!J26/'SW OpInc'!F26-1,""),"")</f>
        <v/>
      </c>
      <c r="G741" s="37">
        <f>IFERROR(IF(AND(ISNUMBER('SW OpInc'!K26),ISNUMBER('SW OpInc'!G26),'SW OpInc'!G26&gt;0),'SW OpInc'!K26/'SW OpInc'!G26-1,""),"")</f>
        <v/>
      </c>
      <c r="H741" s="37">
        <f>IFERROR(IF(AND(ISNUMBER('SW OpInc'!L26),ISNUMBER('SW OpInc'!H26),'SW OpInc'!H26&gt;0),'SW OpInc'!L26/'SW OpInc'!H26-1,""),"")</f>
        <v/>
      </c>
      <c r="I741" s="37">
        <f>IFERROR(IF(AND(ISNUMBER('SW OpInc'!M26),ISNUMBER('SW OpInc'!I26),'SW OpInc'!I26&gt;0),'SW OpInc'!M26/'SW OpInc'!I26-1,""),"")</f>
        <v/>
      </c>
      <c r="J741" s="37">
        <f>IFERROR(IF(AND(ISNUMBER('SW OpInc'!N26),ISNUMBER('SW OpInc'!J26),'SW OpInc'!J26&gt;0),'SW OpInc'!N26/'SW OpInc'!J26-1,""),"")</f>
        <v/>
      </c>
      <c r="K741" s="37">
        <f>IFERROR(IF(AND(ISNUMBER('SW OpInc'!O26),ISNUMBER('SW OpInc'!K26),'SW OpInc'!K26&gt;0),'SW OpInc'!O26/'SW OpInc'!K26-1,""),"")</f>
        <v/>
      </c>
      <c r="L741" s="37">
        <f>IFERROR(IF(AND(ISNUMBER('SW OpInc'!P26),ISNUMBER('SW OpInc'!L26),'SW OpInc'!L26&gt;0),'SW OpInc'!P26/'SW OpInc'!L26-1,""),"")</f>
        <v/>
      </c>
      <c r="M741" s="38">
        <f>IFERROR(IF(AND(ISNUMBER('SW OpInc'!Q26),ISNUMBER('SW OpInc'!M26),'SW OpInc'!M26&gt;0),'SW OpInc'!Q26/'SW OpInc'!M26-1,""),"")</f>
        <v/>
      </c>
      <c r="N741" s="38">
        <f>IFERROR(IF(AND(ISNUMBER('SW OpInc'!R26),ISNUMBER('SW OpInc'!N26),'SW OpInc'!N26&gt;0),'SW OpInc'!R26/'SW OpInc'!N26-1,""),"")</f>
        <v/>
      </c>
    </row>
    <row r="742">
      <c r="A742" s="19">
        <f>'SW Rev'!$A27</f>
        <v/>
      </c>
      <c r="B742" s="19">
        <f>'SW Rev'!$B27</f>
        <v/>
      </c>
      <c r="C742" s="37">
        <f>IFERROR(IF(AND(ISNUMBER('SW OpInc'!G27),ISNUMBER('SW OpInc'!C27),'SW OpInc'!C27&gt;0),'SW OpInc'!G27/'SW OpInc'!C27-1,""),"")</f>
        <v/>
      </c>
      <c r="D742" s="37">
        <f>IFERROR(IF(AND(ISNUMBER('SW OpInc'!H27),ISNUMBER('SW OpInc'!D27),'SW OpInc'!D27&gt;0),'SW OpInc'!H27/'SW OpInc'!D27-1,""),"")</f>
        <v/>
      </c>
      <c r="E742" s="37">
        <f>IFERROR(IF(AND(ISNUMBER('SW OpInc'!I27),ISNUMBER('SW OpInc'!E27),'SW OpInc'!E27&gt;0),'SW OpInc'!I27/'SW OpInc'!E27-1,""),"")</f>
        <v/>
      </c>
      <c r="F742" s="37">
        <f>IFERROR(IF(AND(ISNUMBER('SW OpInc'!J27),ISNUMBER('SW OpInc'!F27),'SW OpInc'!F27&gt;0),'SW OpInc'!J27/'SW OpInc'!F27-1,""),"")</f>
        <v/>
      </c>
      <c r="G742" s="37">
        <f>IFERROR(IF(AND(ISNUMBER('SW OpInc'!K27),ISNUMBER('SW OpInc'!G27),'SW OpInc'!G27&gt;0),'SW OpInc'!K27/'SW OpInc'!G27-1,""),"")</f>
        <v/>
      </c>
      <c r="H742" s="37">
        <f>IFERROR(IF(AND(ISNUMBER('SW OpInc'!L27),ISNUMBER('SW OpInc'!H27),'SW OpInc'!H27&gt;0),'SW OpInc'!L27/'SW OpInc'!H27-1,""),"")</f>
        <v/>
      </c>
      <c r="I742" s="37">
        <f>IFERROR(IF(AND(ISNUMBER('SW OpInc'!M27),ISNUMBER('SW OpInc'!I27),'SW OpInc'!I27&gt;0),'SW OpInc'!M27/'SW OpInc'!I27-1,""),"")</f>
        <v/>
      </c>
      <c r="J742" s="37">
        <f>IFERROR(IF(AND(ISNUMBER('SW OpInc'!N27),ISNUMBER('SW OpInc'!J27),'SW OpInc'!J27&gt;0),'SW OpInc'!N27/'SW OpInc'!J27-1,""),"")</f>
        <v/>
      </c>
      <c r="K742" s="37">
        <f>IFERROR(IF(AND(ISNUMBER('SW OpInc'!O27),ISNUMBER('SW OpInc'!K27),'SW OpInc'!K27&gt;0),'SW OpInc'!O27/'SW OpInc'!K27-1,""),"")</f>
        <v/>
      </c>
      <c r="L742" s="37">
        <f>IFERROR(IF(AND(ISNUMBER('SW OpInc'!P27),ISNUMBER('SW OpInc'!L27),'SW OpInc'!L27&gt;0),'SW OpInc'!P27/'SW OpInc'!L27-1,""),"")</f>
        <v/>
      </c>
      <c r="M742" s="38">
        <f>IFERROR(IF(AND(ISNUMBER('SW OpInc'!Q27),ISNUMBER('SW OpInc'!M27),'SW OpInc'!M27&gt;0),'SW OpInc'!Q27/'SW OpInc'!M27-1,""),"")</f>
        <v/>
      </c>
      <c r="N742" s="38">
        <f>IFERROR(IF(AND(ISNUMBER('SW OpInc'!R27),ISNUMBER('SW OpInc'!N27),'SW OpInc'!N27&gt;0),'SW OpInc'!R27/'SW OpInc'!N27-1,""),"")</f>
        <v/>
      </c>
    </row>
    <row r="743">
      <c r="A743" s="19">
        <f>'SW Rev'!$A28</f>
        <v/>
      </c>
      <c r="B743" s="19">
        <f>'SW Rev'!$B28</f>
        <v/>
      </c>
      <c r="C743" s="37">
        <f>IFERROR(IF(AND(ISNUMBER('SW OpInc'!G28),ISNUMBER('SW OpInc'!C28),'SW OpInc'!C28&gt;0),'SW OpInc'!G28/'SW OpInc'!C28-1,""),"")</f>
        <v/>
      </c>
      <c r="D743" s="37">
        <f>IFERROR(IF(AND(ISNUMBER('SW OpInc'!H28),ISNUMBER('SW OpInc'!D28),'SW OpInc'!D28&gt;0),'SW OpInc'!H28/'SW OpInc'!D28-1,""),"")</f>
        <v/>
      </c>
      <c r="E743" s="37">
        <f>IFERROR(IF(AND(ISNUMBER('SW OpInc'!I28),ISNUMBER('SW OpInc'!E28),'SW OpInc'!E28&gt;0),'SW OpInc'!I28/'SW OpInc'!E28-1,""),"")</f>
        <v/>
      </c>
      <c r="F743" s="37">
        <f>IFERROR(IF(AND(ISNUMBER('SW OpInc'!J28),ISNUMBER('SW OpInc'!F28),'SW OpInc'!F28&gt;0),'SW OpInc'!J28/'SW OpInc'!F28-1,""),"")</f>
        <v/>
      </c>
      <c r="G743" s="37">
        <f>IFERROR(IF(AND(ISNUMBER('SW OpInc'!K28),ISNUMBER('SW OpInc'!G28),'SW OpInc'!G28&gt;0),'SW OpInc'!K28/'SW OpInc'!G28-1,""),"")</f>
        <v/>
      </c>
      <c r="H743" s="37">
        <f>IFERROR(IF(AND(ISNUMBER('SW OpInc'!L28),ISNUMBER('SW OpInc'!H28),'SW OpInc'!H28&gt;0),'SW OpInc'!L28/'SW OpInc'!H28-1,""),"")</f>
        <v/>
      </c>
      <c r="I743" s="37">
        <f>IFERROR(IF(AND(ISNUMBER('SW OpInc'!M28),ISNUMBER('SW OpInc'!I28),'SW OpInc'!I28&gt;0),'SW OpInc'!M28/'SW OpInc'!I28-1,""),"")</f>
        <v/>
      </c>
      <c r="J743" s="37">
        <f>IFERROR(IF(AND(ISNUMBER('SW OpInc'!N28),ISNUMBER('SW OpInc'!J28),'SW OpInc'!J28&gt;0),'SW OpInc'!N28/'SW OpInc'!J28-1,""),"")</f>
        <v/>
      </c>
      <c r="K743" s="37">
        <f>IFERROR(IF(AND(ISNUMBER('SW OpInc'!O28),ISNUMBER('SW OpInc'!K28),'SW OpInc'!K28&gt;0),'SW OpInc'!O28/'SW OpInc'!K28-1,""),"")</f>
        <v/>
      </c>
      <c r="L743" s="37">
        <f>IFERROR(IF(AND(ISNUMBER('SW OpInc'!P28),ISNUMBER('SW OpInc'!L28),'SW OpInc'!L28&gt;0),'SW OpInc'!P28/'SW OpInc'!L28-1,""),"")</f>
        <v/>
      </c>
      <c r="M743" s="38">
        <f>IFERROR(IF(AND(ISNUMBER('SW OpInc'!Q28),ISNUMBER('SW OpInc'!M28),'SW OpInc'!M28&gt;0),'SW OpInc'!Q28/'SW OpInc'!M28-1,""),"")</f>
        <v/>
      </c>
      <c r="N743" s="38">
        <f>IFERROR(IF(AND(ISNUMBER('SW OpInc'!R28),ISNUMBER('SW OpInc'!N28),'SW OpInc'!N28&gt;0),'SW OpInc'!R28/'SW OpInc'!N28-1,""),"")</f>
        <v/>
      </c>
    </row>
    <row r="744">
      <c r="A744" s="19">
        <f>'SW Rev'!$A29</f>
        <v/>
      </c>
      <c r="B744" s="19">
        <f>'SW Rev'!$B29</f>
        <v/>
      </c>
      <c r="C744" s="37">
        <f>IFERROR(IF(AND(ISNUMBER('SW OpInc'!G29),ISNUMBER('SW OpInc'!C29),'SW OpInc'!C29&gt;0),'SW OpInc'!G29/'SW OpInc'!C29-1,""),"")</f>
        <v/>
      </c>
      <c r="D744" s="37">
        <f>IFERROR(IF(AND(ISNUMBER('SW OpInc'!H29),ISNUMBER('SW OpInc'!D29),'SW OpInc'!D29&gt;0),'SW OpInc'!H29/'SW OpInc'!D29-1,""),"")</f>
        <v/>
      </c>
      <c r="E744" s="37">
        <f>IFERROR(IF(AND(ISNUMBER('SW OpInc'!I29),ISNUMBER('SW OpInc'!E29),'SW OpInc'!E29&gt;0),'SW OpInc'!I29/'SW OpInc'!E29-1,""),"")</f>
        <v/>
      </c>
      <c r="F744" s="37">
        <f>IFERROR(IF(AND(ISNUMBER('SW OpInc'!J29),ISNUMBER('SW OpInc'!F29),'SW OpInc'!F29&gt;0),'SW OpInc'!J29/'SW OpInc'!F29-1,""),"")</f>
        <v/>
      </c>
      <c r="G744" s="37">
        <f>IFERROR(IF(AND(ISNUMBER('SW OpInc'!K29),ISNUMBER('SW OpInc'!G29),'SW OpInc'!G29&gt;0),'SW OpInc'!K29/'SW OpInc'!G29-1,""),"")</f>
        <v/>
      </c>
      <c r="H744" s="37">
        <f>IFERROR(IF(AND(ISNUMBER('SW OpInc'!L29),ISNUMBER('SW OpInc'!H29),'SW OpInc'!H29&gt;0),'SW OpInc'!L29/'SW OpInc'!H29-1,""),"")</f>
        <v/>
      </c>
      <c r="I744" s="37">
        <f>IFERROR(IF(AND(ISNUMBER('SW OpInc'!M29),ISNUMBER('SW OpInc'!I29),'SW OpInc'!I29&gt;0),'SW OpInc'!M29/'SW OpInc'!I29-1,""),"")</f>
        <v/>
      </c>
      <c r="J744" s="37">
        <f>IFERROR(IF(AND(ISNUMBER('SW OpInc'!N29),ISNUMBER('SW OpInc'!J29),'SW OpInc'!J29&gt;0),'SW OpInc'!N29/'SW OpInc'!J29-1,""),"")</f>
        <v/>
      </c>
      <c r="K744" s="37">
        <f>IFERROR(IF(AND(ISNUMBER('SW OpInc'!O29),ISNUMBER('SW OpInc'!K29),'SW OpInc'!K29&gt;0),'SW OpInc'!O29/'SW OpInc'!K29-1,""),"")</f>
        <v/>
      </c>
      <c r="L744" s="37">
        <f>IFERROR(IF(AND(ISNUMBER('SW OpInc'!P29),ISNUMBER('SW OpInc'!L29),'SW OpInc'!L29&gt;0),'SW OpInc'!P29/'SW OpInc'!L29-1,""),"")</f>
        <v/>
      </c>
      <c r="M744" s="38">
        <f>IFERROR(IF(AND(ISNUMBER('SW OpInc'!Q29),ISNUMBER('SW OpInc'!M29),'SW OpInc'!M29&gt;0),'SW OpInc'!Q29/'SW OpInc'!M29-1,""),"")</f>
        <v/>
      </c>
      <c r="N744" s="38">
        <f>IFERROR(IF(AND(ISNUMBER('SW OpInc'!R29),ISNUMBER('SW OpInc'!N29),'SW OpInc'!N29&gt;0),'SW OpInc'!R29/'SW OpInc'!N29-1,""),"")</f>
        <v/>
      </c>
    </row>
    <row r="745">
      <c r="A745" s="19">
        <f>'SW Rev'!$A30</f>
        <v/>
      </c>
      <c r="B745" s="19">
        <f>'SW Rev'!$B30</f>
        <v/>
      </c>
      <c r="C745" s="37">
        <f>IFERROR(IF(AND(ISNUMBER('SW OpInc'!G30),ISNUMBER('SW OpInc'!C30),'SW OpInc'!C30&gt;0),'SW OpInc'!G30/'SW OpInc'!C30-1,""),"")</f>
        <v/>
      </c>
      <c r="D745" s="37">
        <f>IFERROR(IF(AND(ISNUMBER('SW OpInc'!H30),ISNUMBER('SW OpInc'!D30),'SW OpInc'!D30&gt;0),'SW OpInc'!H30/'SW OpInc'!D30-1,""),"")</f>
        <v/>
      </c>
      <c r="E745" s="37">
        <f>IFERROR(IF(AND(ISNUMBER('SW OpInc'!I30),ISNUMBER('SW OpInc'!E30),'SW OpInc'!E30&gt;0),'SW OpInc'!I30/'SW OpInc'!E30-1,""),"")</f>
        <v/>
      </c>
      <c r="F745" s="37">
        <f>IFERROR(IF(AND(ISNUMBER('SW OpInc'!J30),ISNUMBER('SW OpInc'!F30),'SW OpInc'!F30&gt;0),'SW OpInc'!J30/'SW OpInc'!F30-1,""),"")</f>
        <v/>
      </c>
      <c r="G745" s="37">
        <f>IFERROR(IF(AND(ISNUMBER('SW OpInc'!K30),ISNUMBER('SW OpInc'!G30),'SW OpInc'!G30&gt;0),'SW OpInc'!K30/'SW OpInc'!G30-1,""),"")</f>
        <v/>
      </c>
      <c r="H745" s="37">
        <f>IFERROR(IF(AND(ISNUMBER('SW OpInc'!L30),ISNUMBER('SW OpInc'!H30),'SW OpInc'!H30&gt;0),'SW OpInc'!L30/'SW OpInc'!H30-1,""),"")</f>
        <v/>
      </c>
      <c r="I745" s="37">
        <f>IFERROR(IF(AND(ISNUMBER('SW OpInc'!M30),ISNUMBER('SW OpInc'!I30),'SW OpInc'!I30&gt;0),'SW OpInc'!M30/'SW OpInc'!I30-1,""),"")</f>
        <v/>
      </c>
      <c r="J745" s="37">
        <f>IFERROR(IF(AND(ISNUMBER('SW OpInc'!N30),ISNUMBER('SW OpInc'!J30),'SW OpInc'!J30&gt;0),'SW OpInc'!N30/'SW OpInc'!J30-1,""),"")</f>
        <v/>
      </c>
      <c r="K745" s="37">
        <f>IFERROR(IF(AND(ISNUMBER('SW OpInc'!O30),ISNUMBER('SW OpInc'!K30),'SW OpInc'!K30&gt;0),'SW OpInc'!O30/'SW OpInc'!K30-1,""),"")</f>
        <v/>
      </c>
      <c r="L745" s="37">
        <f>IFERROR(IF(AND(ISNUMBER('SW OpInc'!P30),ISNUMBER('SW OpInc'!L30),'SW OpInc'!L30&gt;0),'SW OpInc'!P30/'SW OpInc'!L30-1,""),"")</f>
        <v/>
      </c>
      <c r="M745" s="38">
        <f>IFERROR(IF(AND(ISNUMBER('SW OpInc'!Q30),ISNUMBER('SW OpInc'!M30),'SW OpInc'!M30&gt;0),'SW OpInc'!Q30/'SW OpInc'!M30-1,""),"")</f>
        <v/>
      </c>
      <c r="N745" s="38">
        <f>IFERROR(IF(AND(ISNUMBER('SW OpInc'!R30),ISNUMBER('SW OpInc'!N30),'SW OpInc'!N30&gt;0),'SW OpInc'!R30/'SW OpInc'!N30-1,""),"")</f>
        <v/>
      </c>
    </row>
    <row r="746">
      <c r="A746" s="19">
        <f>'SW Rev'!$A31</f>
        <v/>
      </c>
      <c r="B746" s="19">
        <f>'SW Rev'!$B31</f>
        <v/>
      </c>
      <c r="C746" s="37">
        <f>IFERROR(IF(AND(ISNUMBER('SW OpInc'!G31),ISNUMBER('SW OpInc'!C31),'SW OpInc'!C31&gt;0),'SW OpInc'!G31/'SW OpInc'!C31-1,""),"")</f>
        <v/>
      </c>
      <c r="D746" s="37">
        <f>IFERROR(IF(AND(ISNUMBER('SW OpInc'!H31),ISNUMBER('SW OpInc'!D31),'SW OpInc'!D31&gt;0),'SW OpInc'!H31/'SW OpInc'!D31-1,""),"")</f>
        <v/>
      </c>
      <c r="E746" s="37">
        <f>IFERROR(IF(AND(ISNUMBER('SW OpInc'!I31),ISNUMBER('SW OpInc'!E31),'SW OpInc'!E31&gt;0),'SW OpInc'!I31/'SW OpInc'!E31-1,""),"")</f>
        <v/>
      </c>
      <c r="F746" s="37">
        <f>IFERROR(IF(AND(ISNUMBER('SW OpInc'!J31),ISNUMBER('SW OpInc'!F31),'SW OpInc'!F31&gt;0),'SW OpInc'!J31/'SW OpInc'!F31-1,""),"")</f>
        <v/>
      </c>
      <c r="G746" s="37">
        <f>IFERROR(IF(AND(ISNUMBER('SW OpInc'!K31),ISNUMBER('SW OpInc'!G31),'SW OpInc'!G31&gt;0),'SW OpInc'!K31/'SW OpInc'!G31-1,""),"")</f>
        <v/>
      </c>
      <c r="H746" s="37">
        <f>IFERROR(IF(AND(ISNUMBER('SW OpInc'!L31),ISNUMBER('SW OpInc'!H31),'SW OpInc'!H31&gt;0),'SW OpInc'!L31/'SW OpInc'!H31-1,""),"")</f>
        <v/>
      </c>
      <c r="I746" s="37">
        <f>IFERROR(IF(AND(ISNUMBER('SW OpInc'!M31),ISNUMBER('SW OpInc'!I31),'SW OpInc'!I31&gt;0),'SW OpInc'!M31/'SW OpInc'!I31-1,""),"")</f>
        <v/>
      </c>
      <c r="J746" s="37">
        <f>IFERROR(IF(AND(ISNUMBER('SW OpInc'!N31),ISNUMBER('SW OpInc'!J31),'SW OpInc'!J31&gt;0),'SW OpInc'!N31/'SW OpInc'!J31-1,""),"")</f>
        <v/>
      </c>
      <c r="K746" s="37">
        <f>IFERROR(IF(AND(ISNUMBER('SW OpInc'!O31),ISNUMBER('SW OpInc'!K31),'SW OpInc'!K31&gt;0),'SW OpInc'!O31/'SW OpInc'!K31-1,""),"")</f>
        <v/>
      </c>
      <c r="L746" s="37">
        <f>IFERROR(IF(AND(ISNUMBER('SW OpInc'!P31),ISNUMBER('SW OpInc'!L31),'SW OpInc'!L31&gt;0),'SW OpInc'!P31/'SW OpInc'!L31-1,""),"")</f>
        <v/>
      </c>
      <c r="M746" s="38">
        <f>IFERROR(IF(AND(ISNUMBER('SW OpInc'!Q31),ISNUMBER('SW OpInc'!M31),'SW OpInc'!M31&gt;0),'SW OpInc'!Q31/'SW OpInc'!M31-1,""),"")</f>
        <v/>
      </c>
      <c r="N746" s="38">
        <f>IFERROR(IF(AND(ISNUMBER('SW OpInc'!R31),ISNUMBER('SW OpInc'!N31),'SW OpInc'!N31&gt;0),'SW OpInc'!R31/'SW OpInc'!N31-1,""),"")</f>
        <v/>
      </c>
    </row>
    <row r="747">
      <c r="A747" s="19">
        <f>'SW Rev'!$A32</f>
        <v/>
      </c>
      <c r="B747" s="19">
        <f>'SW Rev'!$B32</f>
        <v/>
      </c>
      <c r="C747" s="37">
        <f>IFERROR(IF(AND(ISNUMBER('SW OpInc'!G32),ISNUMBER('SW OpInc'!C32),'SW OpInc'!C32&gt;0),'SW OpInc'!G32/'SW OpInc'!C32-1,""),"")</f>
        <v/>
      </c>
      <c r="D747" s="37">
        <f>IFERROR(IF(AND(ISNUMBER('SW OpInc'!H32),ISNUMBER('SW OpInc'!D32),'SW OpInc'!D32&gt;0),'SW OpInc'!H32/'SW OpInc'!D32-1,""),"")</f>
        <v/>
      </c>
      <c r="E747" s="37">
        <f>IFERROR(IF(AND(ISNUMBER('SW OpInc'!I32),ISNUMBER('SW OpInc'!E32),'SW OpInc'!E32&gt;0),'SW OpInc'!I32/'SW OpInc'!E32-1,""),"")</f>
        <v/>
      </c>
      <c r="F747" s="37">
        <f>IFERROR(IF(AND(ISNUMBER('SW OpInc'!J32),ISNUMBER('SW OpInc'!F32),'SW OpInc'!F32&gt;0),'SW OpInc'!J32/'SW OpInc'!F32-1,""),"")</f>
        <v/>
      </c>
      <c r="G747" s="37">
        <f>IFERROR(IF(AND(ISNUMBER('SW OpInc'!K32),ISNUMBER('SW OpInc'!G32),'SW OpInc'!G32&gt;0),'SW OpInc'!K32/'SW OpInc'!G32-1,""),"")</f>
        <v/>
      </c>
      <c r="H747" s="37">
        <f>IFERROR(IF(AND(ISNUMBER('SW OpInc'!L32),ISNUMBER('SW OpInc'!H32),'SW OpInc'!H32&gt;0),'SW OpInc'!L32/'SW OpInc'!H32-1,""),"")</f>
        <v/>
      </c>
      <c r="I747" s="37">
        <f>IFERROR(IF(AND(ISNUMBER('SW OpInc'!M32),ISNUMBER('SW OpInc'!I32),'SW OpInc'!I32&gt;0),'SW OpInc'!M32/'SW OpInc'!I32-1,""),"")</f>
        <v/>
      </c>
      <c r="J747" s="37">
        <f>IFERROR(IF(AND(ISNUMBER('SW OpInc'!N32),ISNUMBER('SW OpInc'!J32),'SW OpInc'!J32&gt;0),'SW OpInc'!N32/'SW OpInc'!J32-1,""),"")</f>
        <v/>
      </c>
      <c r="K747" s="37">
        <f>IFERROR(IF(AND(ISNUMBER('SW OpInc'!O32),ISNUMBER('SW OpInc'!K32),'SW OpInc'!K32&gt;0),'SW OpInc'!O32/'SW OpInc'!K32-1,""),"")</f>
        <v/>
      </c>
      <c r="L747" s="37">
        <f>IFERROR(IF(AND(ISNUMBER('SW OpInc'!P32),ISNUMBER('SW OpInc'!L32),'SW OpInc'!L32&gt;0),'SW OpInc'!P32/'SW OpInc'!L32-1,""),"")</f>
        <v/>
      </c>
      <c r="M747" s="38">
        <f>IFERROR(IF(AND(ISNUMBER('SW OpInc'!Q32),ISNUMBER('SW OpInc'!M32),'SW OpInc'!M32&gt;0),'SW OpInc'!Q32/'SW OpInc'!M32-1,""),"")</f>
        <v/>
      </c>
      <c r="N747" s="38">
        <f>IFERROR(IF(AND(ISNUMBER('SW OpInc'!R32),ISNUMBER('SW OpInc'!N32),'SW OpInc'!N32&gt;0),'SW OpInc'!R32/'SW OpInc'!N32-1,""),"")</f>
        <v/>
      </c>
    </row>
    <row r="748">
      <c r="A748" s="19">
        <f>'SW Rev'!$A33</f>
        <v/>
      </c>
      <c r="B748" s="19">
        <f>'SW Rev'!$B33</f>
        <v/>
      </c>
      <c r="C748" s="37">
        <f>IFERROR(IF(AND(ISNUMBER('SW OpInc'!G33),ISNUMBER('SW OpInc'!C33),'SW OpInc'!C33&gt;0),'SW OpInc'!G33/'SW OpInc'!C33-1,""),"")</f>
        <v/>
      </c>
      <c r="D748" s="37">
        <f>IFERROR(IF(AND(ISNUMBER('SW OpInc'!H33),ISNUMBER('SW OpInc'!D33),'SW OpInc'!D33&gt;0),'SW OpInc'!H33/'SW OpInc'!D33-1,""),"")</f>
        <v/>
      </c>
      <c r="E748" s="37">
        <f>IFERROR(IF(AND(ISNUMBER('SW OpInc'!I33),ISNUMBER('SW OpInc'!E33),'SW OpInc'!E33&gt;0),'SW OpInc'!I33/'SW OpInc'!E33-1,""),"")</f>
        <v/>
      </c>
      <c r="F748" s="37">
        <f>IFERROR(IF(AND(ISNUMBER('SW OpInc'!J33),ISNUMBER('SW OpInc'!F33),'SW OpInc'!F33&gt;0),'SW OpInc'!J33/'SW OpInc'!F33-1,""),"")</f>
        <v/>
      </c>
      <c r="G748" s="37">
        <f>IFERROR(IF(AND(ISNUMBER('SW OpInc'!K33),ISNUMBER('SW OpInc'!G33),'SW OpInc'!G33&gt;0),'SW OpInc'!K33/'SW OpInc'!G33-1,""),"")</f>
        <v/>
      </c>
      <c r="H748" s="37">
        <f>IFERROR(IF(AND(ISNUMBER('SW OpInc'!L33),ISNUMBER('SW OpInc'!H33),'SW OpInc'!H33&gt;0),'SW OpInc'!L33/'SW OpInc'!H33-1,""),"")</f>
        <v/>
      </c>
      <c r="I748" s="37">
        <f>IFERROR(IF(AND(ISNUMBER('SW OpInc'!M33),ISNUMBER('SW OpInc'!I33),'SW OpInc'!I33&gt;0),'SW OpInc'!M33/'SW OpInc'!I33-1,""),"")</f>
        <v/>
      </c>
      <c r="J748" s="37">
        <f>IFERROR(IF(AND(ISNUMBER('SW OpInc'!N33),ISNUMBER('SW OpInc'!J33),'SW OpInc'!J33&gt;0),'SW OpInc'!N33/'SW OpInc'!J33-1,""),"")</f>
        <v/>
      </c>
      <c r="K748" s="37">
        <f>IFERROR(IF(AND(ISNUMBER('SW OpInc'!O33),ISNUMBER('SW OpInc'!K33),'SW OpInc'!K33&gt;0),'SW OpInc'!O33/'SW OpInc'!K33-1,""),"")</f>
        <v/>
      </c>
      <c r="L748" s="37">
        <f>IFERROR(IF(AND(ISNUMBER('SW OpInc'!P33),ISNUMBER('SW OpInc'!L33),'SW OpInc'!L33&gt;0),'SW OpInc'!P33/'SW OpInc'!L33-1,""),"")</f>
        <v/>
      </c>
      <c r="M748" s="38">
        <f>IFERROR(IF(AND(ISNUMBER('SW OpInc'!Q33),ISNUMBER('SW OpInc'!M33),'SW OpInc'!M33&gt;0),'SW OpInc'!Q33/'SW OpInc'!M33-1,""),"")</f>
        <v/>
      </c>
      <c r="N748" s="38">
        <f>IFERROR(IF(AND(ISNUMBER('SW OpInc'!R33),ISNUMBER('SW OpInc'!N33),'SW OpInc'!N33&gt;0),'SW OpInc'!R33/'SW OpInc'!N33-1,""),"")</f>
        <v/>
      </c>
    </row>
    <row r="749">
      <c r="A749" s="19">
        <f>'SW Rev'!$A34</f>
        <v/>
      </c>
      <c r="B749" s="19">
        <f>'SW Rev'!$B34</f>
        <v/>
      </c>
      <c r="C749" s="37">
        <f>IFERROR(IF(AND(ISNUMBER('SW OpInc'!G34),ISNUMBER('SW OpInc'!C34),'SW OpInc'!C34&gt;0),'SW OpInc'!G34/'SW OpInc'!C34-1,""),"")</f>
        <v/>
      </c>
      <c r="D749" s="37">
        <f>IFERROR(IF(AND(ISNUMBER('SW OpInc'!H34),ISNUMBER('SW OpInc'!D34),'SW OpInc'!D34&gt;0),'SW OpInc'!H34/'SW OpInc'!D34-1,""),"")</f>
        <v/>
      </c>
      <c r="E749" s="37">
        <f>IFERROR(IF(AND(ISNUMBER('SW OpInc'!I34),ISNUMBER('SW OpInc'!E34),'SW OpInc'!E34&gt;0),'SW OpInc'!I34/'SW OpInc'!E34-1,""),"")</f>
        <v/>
      </c>
      <c r="F749" s="37">
        <f>IFERROR(IF(AND(ISNUMBER('SW OpInc'!J34),ISNUMBER('SW OpInc'!F34),'SW OpInc'!F34&gt;0),'SW OpInc'!J34/'SW OpInc'!F34-1,""),"")</f>
        <v/>
      </c>
      <c r="G749" s="37">
        <f>IFERROR(IF(AND(ISNUMBER('SW OpInc'!K34),ISNUMBER('SW OpInc'!G34),'SW OpInc'!G34&gt;0),'SW OpInc'!K34/'SW OpInc'!G34-1,""),"")</f>
        <v/>
      </c>
      <c r="H749" s="37">
        <f>IFERROR(IF(AND(ISNUMBER('SW OpInc'!L34),ISNUMBER('SW OpInc'!H34),'SW OpInc'!H34&gt;0),'SW OpInc'!L34/'SW OpInc'!H34-1,""),"")</f>
        <v/>
      </c>
      <c r="I749" s="37">
        <f>IFERROR(IF(AND(ISNUMBER('SW OpInc'!M34),ISNUMBER('SW OpInc'!I34),'SW OpInc'!I34&gt;0),'SW OpInc'!M34/'SW OpInc'!I34-1,""),"")</f>
        <v/>
      </c>
      <c r="J749" s="37">
        <f>IFERROR(IF(AND(ISNUMBER('SW OpInc'!N34),ISNUMBER('SW OpInc'!J34),'SW OpInc'!J34&gt;0),'SW OpInc'!N34/'SW OpInc'!J34-1,""),"")</f>
        <v/>
      </c>
      <c r="K749" s="37">
        <f>IFERROR(IF(AND(ISNUMBER('SW OpInc'!O34),ISNUMBER('SW OpInc'!K34),'SW OpInc'!K34&gt;0),'SW OpInc'!O34/'SW OpInc'!K34-1,""),"")</f>
        <v/>
      </c>
      <c r="L749" s="37">
        <f>IFERROR(IF(AND(ISNUMBER('SW OpInc'!P34),ISNUMBER('SW OpInc'!L34),'SW OpInc'!L34&gt;0),'SW OpInc'!P34/'SW OpInc'!L34-1,""),"")</f>
        <v/>
      </c>
      <c r="M749" s="38">
        <f>IFERROR(IF(AND(ISNUMBER('SW OpInc'!Q34),ISNUMBER('SW OpInc'!M34),'SW OpInc'!M34&gt;0),'SW OpInc'!Q34/'SW OpInc'!M34-1,""),"")</f>
        <v/>
      </c>
      <c r="N749" s="38">
        <f>IFERROR(IF(AND(ISNUMBER('SW OpInc'!R34),ISNUMBER('SW OpInc'!N34),'SW OpInc'!N34&gt;0),'SW OpInc'!R34/'SW OpInc'!N34-1,""),"")</f>
        <v/>
      </c>
    </row>
    <row r="750">
      <c r="A750" s="19">
        <f>'SW Rev'!$A35</f>
        <v/>
      </c>
      <c r="B750" s="19">
        <f>'SW Rev'!$B35</f>
        <v/>
      </c>
      <c r="C750" s="37">
        <f>IFERROR(IF(AND(ISNUMBER('SW OpInc'!G35),ISNUMBER('SW OpInc'!C35),'SW OpInc'!C35&gt;0),'SW OpInc'!G35/'SW OpInc'!C35-1,""),"")</f>
        <v/>
      </c>
      <c r="D750" s="37">
        <f>IFERROR(IF(AND(ISNUMBER('SW OpInc'!H35),ISNUMBER('SW OpInc'!D35),'SW OpInc'!D35&gt;0),'SW OpInc'!H35/'SW OpInc'!D35-1,""),"")</f>
        <v/>
      </c>
      <c r="E750" s="37">
        <f>IFERROR(IF(AND(ISNUMBER('SW OpInc'!I35),ISNUMBER('SW OpInc'!E35),'SW OpInc'!E35&gt;0),'SW OpInc'!I35/'SW OpInc'!E35-1,""),"")</f>
        <v/>
      </c>
      <c r="F750" s="37">
        <f>IFERROR(IF(AND(ISNUMBER('SW OpInc'!J35),ISNUMBER('SW OpInc'!F35),'SW OpInc'!F35&gt;0),'SW OpInc'!J35/'SW OpInc'!F35-1,""),"")</f>
        <v/>
      </c>
      <c r="G750" s="37">
        <f>IFERROR(IF(AND(ISNUMBER('SW OpInc'!K35),ISNUMBER('SW OpInc'!G35),'SW OpInc'!G35&gt;0),'SW OpInc'!K35/'SW OpInc'!G35-1,""),"")</f>
        <v/>
      </c>
      <c r="H750" s="37">
        <f>IFERROR(IF(AND(ISNUMBER('SW OpInc'!L35),ISNUMBER('SW OpInc'!H35),'SW OpInc'!H35&gt;0),'SW OpInc'!L35/'SW OpInc'!H35-1,""),"")</f>
        <v/>
      </c>
      <c r="I750" s="37">
        <f>IFERROR(IF(AND(ISNUMBER('SW OpInc'!M35),ISNUMBER('SW OpInc'!I35),'SW OpInc'!I35&gt;0),'SW OpInc'!M35/'SW OpInc'!I35-1,""),"")</f>
        <v/>
      </c>
      <c r="J750" s="37">
        <f>IFERROR(IF(AND(ISNUMBER('SW OpInc'!N35),ISNUMBER('SW OpInc'!J35),'SW OpInc'!J35&gt;0),'SW OpInc'!N35/'SW OpInc'!J35-1,""),"")</f>
        <v/>
      </c>
      <c r="K750" s="37">
        <f>IFERROR(IF(AND(ISNUMBER('SW OpInc'!O35),ISNUMBER('SW OpInc'!K35),'SW OpInc'!K35&gt;0),'SW OpInc'!O35/'SW OpInc'!K35-1,""),"")</f>
        <v/>
      </c>
      <c r="L750" s="37">
        <f>IFERROR(IF(AND(ISNUMBER('SW OpInc'!P35),ISNUMBER('SW OpInc'!L35),'SW OpInc'!L35&gt;0),'SW OpInc'!P35/'SW OpInc'!L35-1,""),"")</f>
        <v/>
      </c>
      <c r="M750" s="38">
        <f>IFERROR(IF(AND(ISNUMBER('SW OpInc'!Q35),ISNUMBER('SW OpInc'!M35),'SW OpInc'!M35&gt;0),'SW OpInc'!Q35/'SW OpInc'!M35-1,""),"")</f>
        <v/>
      </c>
      <c r="N750" s="38">
        <f>IFERROR(IF(AND(ISNUMBER('SW OpInc'!R35),ISNUMBER('SW OpInc'!N35),'SW OpInc'!N35&gt;0),'SW OpInc'!R35/'SW OpInc'!N35-1,""),"")</f>
        <v/>
      </c>
    </row>
    <row r="751">
      <c r="A751" s="19">
        <f>'SW Rev'!$A36</f>
        <v/>
      </c>
      <c r="B751" s="19">
        <f>'SW Rev'!$B36</f>
        <v/>
      </c>
      <c r="C751" s="37">
        <f>IFERROR(IF(AND(ISNUMBER('SW OpInc'!G36),ISNUMBER('SW OpInc'!C36),'SW OpInc'!C36&gt;0),'SW OpInc'!G36/'SW OpInc'!C36-1,""),"")</f>
        <v/>
      </c>
      <c r="D751" s="37">
        <f>IFERROR(IF(AND(ISNUMBER('SW OpInc'!H36),ISNUMBER('SW OpInc'!D36),'SW OpInc'!D36&gt;0),'SW OpInc'!H36/'SW OpInc'!D36-1,""),"")</f>
        <v/>
      </c>
      <c r="E751" s="37">
        <f>IFERROR(IF(AND(ISNUMBER('SW OpInc'!I36),ISNUMBER('SW OpInc'!E36),'SW OpInc'!E36&gt;0),'SW OpInc'!I36/'SW OpInc'!E36-1,""),"")</f>
        <v/>
      </c>
      <c r="F751" s="37">
        <f>IFERROR(IF(AND(ISNUMBER('SW OpInc'!J36),ISNUMBER('SW OpInc'!F36),'SW OpInc'!F36&gt;0),'SW OpInc'!J36/'SW OpInc'!F36-1,""),"")</f>
        <v/>
      </c>
      <c r="G751" s="37">
        <f>IFERROR(IF(AND(ISNUMBER('SW OpInc'!K36),ISNUMBER('SW OpInc'!G36),'SW OpInc'!G36&gt;0),'SW OpInc'!K36/'SW OpInc'!G36-1,""),"")</f>
        <v/>
      </c>
      <c r="H751" s="37">
        <f>IFERROR(IF(AND(ISNUMBER('SW OpInc'!L36),ISNUMBER('SW OpInc'!H36),'SW OpInc'!H36&gt;0),'SW OpInc'!L36/'SW OpInc'!H36-1,""),"")</f>
        <v/>
      </c>
      <c r="I751" s="37">
        <f>IFERROR(IF(AND(ISNUMBER('SW OpInc'!M36),ISNUMBER('SW OpInc'!I36),'SW OpInc'!I36&gt;0),'SW OpInc'!M36/'SW OpInc'!I36-1,""),"")</f>
        <v/>
      </c>
      <c r="J751" s="37">
        <f>IFERROR(IF(AND(ISNUMBER('SW OpInc'!N36),ISNUMBER('SW OpInc'!J36),'SW OpInc'!J36&gt;0),'SW OpInc'!N36/'SW OpInc'!J36-1,""),"")</f>
        <v/>
      </c>
      <c r="K751" s="37">
        <f>IFERROR(IF(AND(ISNUMBER('SW OpInc'!O36),ISNUMBER('SW OpInc'!K36),'SW OpInc'!K36&gt;0),'SW OpInc'!O36/'SW OpInc'!K36-1,""),"")</f>
        <v/>
      </c>
      <c r="L751" s="37">
        <f>IFERROR(IF(AND(ISNUMBER('SW OpInc'!P36),ISNUMBER('SW OpInc'!L36),'SW OpInc'!L36&gt;0),'SW OpInc'!P36/'SW OpInc'!L36-1,""),"")</f>
        <v/>
      </c>
      <c r="M751" s="38">
        <f>IFERROR(IF(AND(ISNUMBER('SW OpInc'!Q36),ISNUMBER('SW OpInc'!M36),'SW OpInc'!M36&gt;0),'SW OpInc'!Q36/'SW OpInc'!M36-1,""),"")</f>
        <v/>
      </c>
      <c r="N751" s="38">
        <f>IFERROR(IF(AND(ISNUMBER('SW OpInc'!R36),ISNUMBER('SW OpInc'!N36),'SW OpInc'!N36&gt;0),'SW OpInc'!R36/'SW OpInc'!N36-1,""),"")</f>
        <v/>
      </c>
    </row>
    <row r="752">
      <c r="A752" s="19">
        <f>'SW Rev'!$A37</f>
        <v/>
      </c>
      <c r="B752" s="19">
        <f>'SW Rev'!$B37</f>
        <v/>
      </c>
      <c r="C752" s="37">
        <f>IFERROR(IF(AND(ISNUMBER('SW OpInc'!G37),ISNUMBER('SW OpInc'!C37),'SW OpInc'!C37&gt;0),'SW OpInc'!G37/'SW OpInc'!C37-1,""),"")</f>
        <v/>
      </c>
      <c r="D752" s="37">
        <f>IFERROR(IF(AND(ISNUMBER('SW OpInc'!H37),ISNUMBER('SW OpInc'!D37),'SW OpInc'!D37&gt;0),'SW OpInc'!H37/'SW OpInc'!D37-1,""),"")</f>
        <v/>
      </c>
      <c r="E752" s="37">
        <f>IFERROR(IF(AND(ISNUMBER('SW OpInc'!I37),ISNUMBER('SW OpInc'!E37),'SW OpInc'!E37&gt;0),'SW OpInc'!I37/'SW OpInc'!E37-1,""),"")</f>
        <v/>
      </c>
      <c r="F752" s="37">
        <f>IFERROR(IF(AND(ISNUMBER('SW OpInc'!J37),ISNUMBER('SW OpInc'!F37),'SW OpInc'!F37&gt;0),'SW OpInc'!J37/'SW OpInc'!F37-1,""),"")</f>
        <v/>
      </c>
      <c r="G752" s="37">
        <f>IFERROR(IF(AND(ISNUMBER('SW OpInc'!K37),ISNUMBER('SW OpInc'!G37),'SW OpInc'!G37&gt;0),'SW OpInc'!K37/'SW OpInc'!G37-1,""),"")</f>
        <v/>
      </c>
      <c r="H752" s="37">
        <f>IFERROR(IF(AND(ISNUMBER('SW OpInc'!L37),ISNUMBER('SW OpInc'!H37),'SW OpInc'!H37&gt;0),'SW OpInc'!L37/'SW OpInc'!H37-1,""),"")</f>
        <v/>
      </c>
      <c r="I752" s="37">
        <f>IFERROR(IF(AND(ISNUMBER('SW OpInc'!M37),ISNUMBER('SW OpInc'!I37),'SW OpInc'!I37&gt;0),'SW OpInc'!M37/'SW OpInc'!I37-1,""),"")</f>
        <v/>
      </c>
      <c r="J752" s="37">
        <f>IFERROR(IF(AND(ISNUMBER('SW OpInc'!N37),ISNUMBER('SW OpInc'!J37),'SW OpInc'!J37&gt;0),'SW OpInc'!N37/'SW OpInc'!J37-1,""),"")</f>
        <v/>
      </c>
      <c r="K752" s="37">
        <f>IFERROR(IF(AND(ISNUMBER('SW OpInc'!O37),ISNUMBER('SW OpInc'!K37),'SW OpInc'!K37&gt;0),'SW OpInc'!O37/'SW OpInc'!K37-1,""),"")</f>
        <v/>
      </c>
      <c r="L752" s="37">
        <f>IFERROR(IF(AND(ISNUMBER('SW OpInc'!P37),ISNUMBER('SW OpInc'!L37),'SW OpInc'!L37&gt;0),'SW OpInc'!P37/'SW OpInc'!L37-1,""),"")</f>
        <v/>
      </c>
      <c r="M752" s="38">
        <f>IFERROR(IF(AND(ISNUMBER('SW OpInc'!Q37),ISNUMBER('SW OpInc'!M37),'SW OpInc'!M37&gt;0),'SW OpInc'!Q37/'SW OpInc'!M37-1,""),"")</f>
        <v/>
      </c>
      <c r="N752" s="38">
        <f>IFERROR(IF(AND(ISNUMBER('SW OpInc'!R37),ISNUMBER('SW OpInc'!N37),'SW OpInc'!N37&gt;0),'SW OpInc'!R37/'SW OpInc'!N37-1,""),"")</f>
        <v/>
      </c>
    </row>
    <row r="753">
      <c r="A753" s="19">
        <f>'SW Rev'!$A38</f>
        <v/>
      </c>
      <c r="B753" s="19">
        <f>'SW Rev'!$B38</f>
        <v/>
      </c>
      <c r="C753" s="37">
        <f>IFERROR(IF(AND(ISNUMBER('SW OpInc'!G38),ISNUMBER('SW OpInc'!C38),'SW OpInc'!C38&gt;0),'SW OpInc'!G38/'SW OpInc'!C38-1,""),"")</f>
        <v/>
      </c>
      <c r="D753" s="37">
        <f>IFERROR(IF(AND(ISNUMBER('SW OpInc'!H38),ISNUMBER('SW OpInc'!D38),'SW OpInc'!D38&gt;0),'SW OpInc'!H38/'SW OpInc'!D38-1,""),"")</f>
        <v/>
      </c>
      <c r="E753" s="37">
        <f>IFERROR(IF(AND(ISNUMBER('SW OpInc'!I38),ISNUMBER('SW OpInc'!E38),'SW OpInc'!E38&gt;0),'SW OpInc'!I38/'SW OpInc'!E38-1,""),"")</f>
        <v/>
      </c>
      <c r="F753" s="37">
        <f>IFERROR(IF(AND(ISNUMBER('SW OpInc'!J38),ISNUMBER('SW OpInc'!F38),'SW OpInc'!F38&gt;0),'SW OpInc'!J38/'SW OpInc'!F38-1,""),"")</f>
        <v/>
      </c>
      <c r="G753" s="37">
        <f>IFERROR(IF(AND(ISNUMBER('SW OpInc'!K38),ISNUMBER('SW OpInc'!G38),'SW OpInc'!G38&gt;0),'SW OpInc'!K38/'SW OpInc'!G38-1,""),"")</f>
        <v/>
      </c>
      <c r="H753" s="37">
        <f>IFERROR(IF(AND(ISNUMBER('SW OpInc'!L38),ISNUMBER('SW OpInc'!H38),'SW OpInc'!H38&gt;0),'SW OpInc'!L38/'SW OpInc'!H38-1,""),"")</f>
        <v/>
      </c>
      <c r="I753" s="37">
        <f>IFERROR(IF(AND(ISNUMBER('SW OpInc'!M38),ISNUMBER('SW OpInc'!I38),'SW OpInc'!I38&gt;0),'SW OpInc'!M38/'SW OpInc'!I38-1,""),"")</f>
        <v/>
      </c>
      <c r="J753" s="37">
        <f>IFERROR(IF(AND(ISNUMBER('SW OpInc'!N38),ISNUMBER('SW OpInc'!J38),'SW OpInc'!J38&gt;0),'SW OpInc'!N38/'SW OpInc'!J38-1,""),"")</f>
        <v/>
      </c>
      <c r="K753" s="37">
        <f>IFERROR(IF(AND(ISNUMBER('SW OpInc'!O38),ISNUMBER('SW OpInc'!K38),'SW OpInc'!K38&gt;0),'SW OpInc'!O38/'SW OpInc'!K38-1,""),"")</f>
        <v/>
      </c>
      <c r="L753" s="37">
        <f>IFERROR(IF(AND(ISNUMBER('SW OpInc'!P38),ISNUMBER('SW OpInc'!L38),'SW OpInc'!L38&gt;0),'SW OpInc'!P38/'SW OpInc'!L38-1,""),"")</f>
        <v/>
      </c>
      <c r="M753" s="38">
        <f>IFERROR(IF(AND(ISNUMBER('SW OpInc'!Q38),ISNUMBER('SW OpInc'!M38),'SW OpInc'!M38&gt;0),'SW OpInc'!Q38/'SW OpInc'!M38-1,""),"")</f>
        <v/>
      </c>
      <c r="N753" s="38">
        <f>IFERROR(IF(AND(ISNUMBER('SW OpInc'!R38),ISNUMBER('SW OpInc'!N38),'SW OpInc'!N38&gt;0),'SW OpInc'!R38/'SW OpInc'!N38-1,""),"")</f>
        <v/>
      </c>
    </row>
    <row r="754">
      <c r="A754" s="19">
        <f>'SW Rev'!$A39</f>
        <v/>
      </c>
      <c r="B754" s="19">
        <f>'SW Rev'!$B39</f>
        <v/>
      </c>
      <c r="C754" s="37">
        <f>IFERROR(IF(AND(ISNUMBER('SW OpInc'!G39),ISNUMBER('SW OpInc'!C39),'SW OpInc'!C39&gt;0),'SW OpInc'!G39/'SW OpInc'!C39-1,""),"")</f>
        <v/>
      </c>
      <c r="D754" s="37">
        <f>IFERROR(IF(AND(ISNUMBER('SW OpInc'!H39),ISNUMBER('SW OpInc'!D39),'SW OpInc'!D39&gt;0),'SW OpInc'!H39/'SW OpInc'!D39-1,""),"")</f>
        <v/>
      </c>
      <c r="E754" s="37">
        <f>IFERROR(IF(AND(ISNUMBER('SW OpInc'!I39),ISNUMBER('SW OpInc'!E39),'SW OpInc'!E39&gt;0),'SW OpInc'!I39/'SW OpInc'!E39-1,""),"")</f>
        <v/>
      </c>
      <c r="F754" s="37">
        <f>IFERROR(IF(AND(ISNUMBER('SW OpInc'!J39),ISNUMBER('SW OpInc'!F39),'SW OpInc'!F39&gt;0),'SW OpInc'!J39/'SW OpInc'!F39-1,""),"")</f>
        <v/>
      </c>
      <c r="G754" s="37">
        <f>IFERROR(IF(AND(ISNUMBER('SW OpInc'!K39),ISNUMBER('SW OpInc'!G39),'SW OpInc'!G39&gt;0),'SW OpInc'!K39/'SW OpInc'!G39-1,""),"")</f>
        <v/>
      </c>
      <c r="H754" s="37">
        <f>IFERROR(IF(AND(ISNUMBER('SW OpInc'!L39),ISNUMBER('SW OpInc'!H39),'SW OpInc'!H39&gt;0),'SW OpInc'!L39/'SW OpInc'!H39-1,""),"")</f>
        <v/>
      </c>
      <c r="I754" s="37">
        <f>IFERROR(IF(AND(ISNUMBER('SW OpInc'!M39),ISNUMBER('SW OpInc'!I39),'SW OpInc'!I39&gt;0),'SW OpInc'!M39/'SW OpInc'!I39-1,""),"")</f>
        <v/>
      </c>
      <c r="J754" s="37">
        <f>IFERROR(IF(AND(ISNUMBER('SW OpInc'!N39),ISNUMBER('SW OpInc'!J39),'SW OpInc'!J39&gt;0),'SW OpInc'!N39/'SW OpInc'!J39-1,""),"")</f>
        <v/>
      </c>
      <c r="K754" s="37">
        <f>IFERROR(IF(AND(ISNUMBER('SW OpInc'!O39),ISNUMBER('SW OpInc'!K39),'SW OpInc'!K39&gt;0),'SW OpInc'!O39/'SW OpInc'!K39-1,""),"")</f>
        <v/>
      </c>
      <c r="L754" s="37">
        <f>IFERROR(IF(AND(ISNUMBER('SW OpInc'!P39),ISNUMBER('SW OpInc'!L39),'SW OpInc'!L39&gt;0),'SW OpInc'!P39/'SW OpInc'!L39-1,""),"")</f>
        <v/>
      </c>
      <c r="M754" s="38">
        <f>IFERROR(IF(AND(ISNUMBER('SW OpInc'!Q39),ISNUMBER('SW OpInc'!M39),'SW OpInc'!M39&gt;0),'SW OpInc'!Q39/'SW OpInc'!M39-1,""),"")</f>
        <v/>
      </c>
      <c r="N754" s="38">
        <f>IFERROR(IF(AND(ISNUMBER('SW OpInc'!R39),ISNUMBER('SW OpInc'!N39),'SW OpInc'!N39&gt;0),'SW OpInc'!R39/'SW OpInc'!N39-1,""),"")</f>
        <v/>
      </c>
    </row>
    <row r="755">
      <c r="A755" s="19">
        <f>'SW Rev'!$A40</f>
        <v/>
      </c>
      <c r="B755" s="19">
        <f>'SW Rev'!$B40</f>
        <v/>
      </c>
      <c r="C755" s="37">
        <f>IFERROR(IF(AND(ISNUMBER('SW OpInc'!G40),ISNUMBER('SW OpInc'!C40),'SW OpInc'!C40&gt;0),'SW OpInc'!G40/'SW OpInc'!C40-1,""),"")</f>
        <v/>
      </c>
      <c r="D755" s="37">
        <f>IFERROR(IF(AND(ISNUMBER('SW OpInc'!H40),ISNUMBER('SW OpInc'!D40),'SW OpInc'!D40&gt;0),'SW OpInc'!H40/'SW OpInc'!D40-1,""),"")</f>
        <v/>
      </c>
      <c r="E755" s="37">
        <f>IFERROR(IF(AND(ISNUMBER('SW OpInc'!I40),ISNUMBER('SW OpInc'!E40),'SW OpInc'!E40&gt;0),'SW OpInc'!I40/'SW OpInc'!E40-1,""),"")</f>
        <v/>
      </c>
      <c r="F755" s="37">
        <f>IFERROR(IF(AND(ISNUMBER('SW OpInc'!J40),ISNUMBER('SW OpInc'!F40),'SW OpInc'!F40&gt;0),'SW OpInc'!J40/'SW OpInc'!F40-1,""),"")</f>
        <v/>
      </c>
      <c r="G755" s="37">
        <f>IFERROR(IF(AND(ISNUMBER('SW OpInc'!K40),ISNUMBER('SW OpInc'!G40),'SW OpInc'!G40&gt;0),'SW OpInc'!K40/'SW OpInc'!G40-1,""),"")</f>
        <v/>
      </c>
      <c r="H755" s="37">
        <f>IFERROR(IF(AND(ISNUMBER('SW OpInc'!L40),ISNUMBER('SW OpInc'!H40),'SW OpInc'!H40&gt;0),'SW OpInc'!L40/'SW OpInc'!H40-1,""),"")</f>
        <v/>
      </c>
      <c r="I755" s="37">
        <f>IFERROR(IF(AND(ISNUMBER('SW OpInc'!M40),ISNUMBER('SW OpInc'!I40),'SW OpInc'!I40&gt;0),'SW OpInc'!M40/'SW OpInc'!I40-1,""),"")</f>
        <v/>
      </c>
      <c r="J755" s="37">
        <f>IFERROR(IF(AND(ISNUMBER('SW OpInc'!N40),ISNUMBER('SW OpInc'!J40),'SW OpInc'!J40&gt;0),'SW OpInc'!N40/'SW OpInc'!J40-1,""),"")</f>
        <v/>
      </c>
      <c r="K755" s="37">
        <f>IFERROR(IF(AND(ISNUMBER('SW OpInc'!O40),ISNUMBER('SW OpInc'!K40),'SW OpInc'!K40&gt;0),'SW OpInc'!O40/'SW OpInc'!K40-1,""),"")</f>
        <v/>
      </c>
      <c r="L755" s="37">
        <f>IFERROR(IF(AND(ISNUMBER('SW OpInc'!P40),ISNUMBER('SW OpInc'!L40),'SW OpInc'!L40&gt;0),'SW OpInc'!P40/'SW OpInc'!L40-1,""),"")</f>
        <v/>
      </c>
      <c r="M755" s="38">
        <f>IFERROR(IF(AND(ISNUMBER('SW OpInc'!Q40),ISNUMBER('SW OpInc'!M40),'SW OpInc'!M40&gt;0),'SW OpInc'!Q40/'SW OpInc'!M40-1,""),"")</f>
        <v/>
      </c>
      <c r="N755" s="38">
        <f>IFERROR(IF(AND(ISNUMBER('SW OpInc'!R40),ISNUMBER('SW OpInc'!N40),'SW OpInc'!N40&gt;0),'SW OpInc'!R40/'SW OpInc'!N40-1,""),"")</f>
        <v/>
      </c>
    </row>
    <row r="756">
      <c r="A756" s="19">
        <f>'SW Rev'!$A41</f>
        <v/>
      </c>
      <c r="B756" s="19">
        <f>'SW Rev'!$B41</f>
        <v/>
      </c>
      <c r="C756" s="37">
        <f>IFERROR(IF(AND(ISNUMBER('SW OpInc'!G41),ISNUMBER('SW OpInc'!C41),'SW OpInc'!C41&gt;0),'SW OpInc'!G41/'SW OpInc'!C41-1,""),"")</f>
        <v/>
      </c>
      <c r="D756" s="37">
        <f>IFERROR(IF(AND(ISNUMBER('SW OpInc'!H41),ISNUMBER('SW OpInc'!D41),'SW OpInc'!D41&gt;0),'SW OpInc'!H41/'SW OpInc'!D41-1,""),"")</f>
        <v/>
      </c>
      <c r="E756" s="37">
        <f>IFERROR(IF(AND(ISNUMBER('SW OpInc'!I41),ISNUMBER('SW OpInc'!E41),'SW OpInc'!E41&gt;0),'SW OpInc'!I41/'SW OpInc'!E41-1,""),"")</f>
        <v/>
      </c>
      <c r="F756" s="37">
        <f>IFERROR(IF(AND(ISNUMBER('SW OpInc'!J41),ISNUMBER('SW OpInc'!F41),'SW OpInc'!F41&gt;0),'SW OpInc'!J41/'SW OpInc'!F41-1,""),"")</f>
        <v/>
      </c>
      <c r="G756" s="37">
        <f>IFERROR(IF(AND(ISNUMBER('SW OpInc'!K41),ISNUMBER('SW OpInc'!G41),'SW OpInc'!G41&gt;0),'SW OpInc'!K41/'SW OpInc'!G41-1,""),"")</f>
        <v/>
      </c>
      <c r="H756" s="37">
        <f>IFERROR(IF(AND(ISNUMBER('SW OpInc'!L41),ISNUMBER('SW OpInc'!H41),'SW OpInc'!H41&gt;0),'SW OpInc'!L41/'SW OpInc'!H41-1,""),"")</f>
        <v/>
      </c>
      <c r="I756" s="37">
        <f>IFERROR(IF(AND(ISNUMBER('SW OpInc'!M41),ISNUMBER('SW OpInc'!I41),'SW OpInc'!I41&gt;0),'SW OpInc'!M41/'SW OpInc'!I41-1,""),"")</f>
        <v/>
      </c>
      <c r="J756" s="37">
        <f>IFERROR(IF(AND(ISNUMBER('SW OpInc'!N41),ISNUMBER('SW OpInc'!J41),'SW OpInc'!J41&gt;0),'SW OpInc'!N41/'SW OpInc'!J41-1,""),"")</f>
        <v/>
      </c>
      <c r="K756" s="37">
        <f>IFERROR(IF(AND(ISNUMBER('SW OpInc'!O41),ISNUMBER('SW OpInc'!K41),'SW OpInc'!K41&gt;0),'SW OpInc'!O41/'SW OpInc'!K41-1,""),"")</f>
        <v/>
      </c>
      <c r="L756" s="37">
        <f>IFERROR(IF(AND(ISNUMBER('SW OpInc'!P41),ISNUMBER('SW OpInc'!L41),'SW OpInc'!L41&gt;0),'SW OpInc'!P41/'SW OpInc'!L41-1,""),"")</f>
        <v/>
      </c>
      <c r="M756" s="38">
        <f>IFERROR(IF(AND(ISNUMBER('SW OpInc'!Q41),ISNUMBER('SW OpInc'!M41),'SW OpInc'!M41&gt;0),'SW OpInc'!Q41/'SW OpInc'!M41-1,""),"")</f>
        <v/>
      </c>
      <c r="N756" s="38">
        <f>IFERROR(IF(AND(ISNUMBER('SW OpInc'!R41),ISNUMBER('SW OpInc'!N41),'SW OpInc'!N41&gt;0),'SW OpInc'!R41/'SW OpInc'!N41-1,""),"")</f>
        <v/>
      </c>
    </row>
    <row r="757">
      <c r="A757" s="19">
        <f>'SW Rev'!$A42</f>
        <v/>
      </c>
      <c r="B757" s="19">
        <f>'SW Rev'!$B42</f>
        <v/>
      </c>
      <c r="C757" s="37">
        <f>IFERROR(IF(AND(ISNUMBER('SW OpInc'!G42),ISNUMBER('SW OpInc'!C42),'SW OpInc'!C42&gt;0),'SW OpInc'!G42/'SW OpInc'!C42-1,""),"")</f>
        <v/>
      </c>
      <c r="D757" s="37">
        <f>IFERROR(IF(AND(ISNUMBER('SW OpInc'!H42),ISNUMBER('SW OpInc'!D42),'SW OpInc'!D42&gt;0),'SW OpInc'!H42/'SW OpInc'!D42-1,""),"")</f>
        <v/>
      </c>
      <c r="E757" s="37">
        <f>IFERROR(IF(AND(ISNUMBER('SW OpInc'!I42),ISNUMBER('SW OpInc'!E42),'SW OpInc'!E42&gt;0),'SW OpInc'!I42/'SW OpInc'!E42-1,""),"")</f>
        <v/>
      </c>
      <c r="F757" s="37">
        <f>IFERROR(IF(AND(ISNUMBER('SW OpInc'!J42),ISNUMBER('SW OpInc'!F42),'SW OpInc'!F42&gt;0),'SW OpInc'!J42/'SW OpInc'!F42-1,""),"")</f>
        <v/>
      </c>
      <c r="G757" s="37">
        <f>IFERROR(IF(AND(ISNUMBER('SW OpInc'!K42),ISNUMBER('SW OpInc'!G42),'SW OpInc'!G42&gt;0),'SW OpInc'!K42/'SW OpInc'!G42-1,""),"")</f>
        <v/>
      </c>
      <c r="H757" s="37">
        <f>IFERROR(IF(AND(ISNUMBER('SW OpInc'!L42),ISNUMBER('SW OpInc'!H42),'SW OpInc'!H42&gt;0),'SW OpInc'!L42/'SW OpInc'!H42-1,""),"")</f>
        <v/>
      </c>
      <c r="I757" s="37">
        <f>IFERROR(IF(AND(ISNUMBER('SW OpInc'!M42),ISNUMBER('SW OpInc'!I42),'SW OpInc'!I42&gt;0),'SW OpInc'!M42/'SW OpInc'!I42-1,""),"")</f>
        <v/>
      </c>
      <c r="J757" s="37">
        <f>IFERROR(IF(AND(ISNUMBER('SW OpInc'!N42),ISNUMBER('SW OpInc'!J42),'SW OpInc'!J42&gt;0),'SW OpInc'!N42/'SW OpInc'!J42-1,""),"")</f>
        <v/>
      </c>
      <c r="K757" s="37">
        <f>IFERROR(IF(AND(ISNUMBER('SW OpInc'!O42),ISNUMBER('SW OpInc'!K42),'SW OpInc'!K42&gt;0),'SW OpInc'!O42/'SW OpInc'!K42-1,""),"")</f>
        <v/>
      </c>
      <c r="L757" s="37">
        <f>IFERROR(IF(AND(ISNUMBER('SW OpInc'!P42),ISNUMBER('SW OpInc'!L42),'SW OpInc'!L42&gt;0),'SW OpInc'!P42/'SW OpInc'!L42-1,""),"")</f>
        <v/>
      </c>
      <c r="M757" s="38">
        <f>IFERROR(IF(AND(ISNUMBER('SW OpInc'!Q42),ISNUMBER('SW OpInc'!M42),'SW OpInc'!M42&gt;0),'SW OpInc'!Q42/'SW OpInc'!M42-1,""),"")</f>
        <v/>
      </c>
      <c r="N757" s="38">
        <f>IFERROR(IF(AND(ISNUMBER('SW OpInc'!R42),ISNUMBER('SW OpInc'!N42),'SW OpInc'!N42&gt;0),'SW OpInc'!R42/'SW OpInc'!N42-1,""),"")</f>
        <v/>
      </c>
    </row>
    <row r="758">
      <c r="A758" s="19">
        <f>'SW Rev'!$A43</f>
        <v/>
      </c>
      <c r="B758" s="19">
        <f>'SW Rev'!$B43</f>
        <v/>
      </c>
      <c r="C758" s="37">
        <f>IFERROR(IF(AND(ISNUMBER('SW OpInc'!G43),ISNUMBER('SW OpInc'!C43),'SW OpInc'!C43&gt;0),'SW OpInc'!G43/'SW OpInc'!C43-1,""),"")</f>
        <v/>
      </c>
      <c r="D758" s="37">
        <f>IFERROR(IF(AND(ISNUMBER('SW OpInc'!H43),ISNUMBER('SW OpInc'!D43),'SW OpInc'!D43&gt;0),'SW OpInc'!H43/'SW OpInc'!D43-1,""),"")</f>
        <v/>
      </c>
      <c r="E758" s="37">
        <f>IFERROR(IF(AND(ISNUMBER('SW OpInc'!I43),ISNUMBER('SW OpInc'!E43),'SW OpInc'!E43&gt;0),'SW OpInc'!I43/'SW OpInc'!E43-1,""),"")</f>
        <v/>
      </c>
      <c r="F758" s="37">
        <f>IFERROR(IF(AND(ISNUMBER('SW OpInc'!J43),ISNUMBER('SW OpInc'!F43),'SW OpInc'!F43&gt;0),'SW OpInc'!J43/'SW OpInc'!F43-1,""),"")</f>
        <v/>
      </c>
      <c r="G758" s="37">
        <f>IFERROR(IF(AND(ISNUMBER('SW OpInc'!K43),ISNUMBER('SW OpInc'!G43),'SW OpInc'!G43&gt;0),'SW OpInc'!K43/'SW OpInc'!G43-1,""),"")</f>
        <v/>
      </c>
      <c r="H758" s="37">
        <f>IFERROR(IF(AND(ISNUMBER('SW OpInc'!L43),ISNUMBER('SW OpInc'!H43),'SW OpInc'!H43&gt;0),'SW OpInc'!L43/'SW OpInc'!H43-1,""),"")</f>
        <v/>
      </c>
      <c r="I758" s="37">
        <f>IFERROR(IF(AND(ISNUMBER('SW OpInc'!M43),ISNUMBER('SW OpInc'!I43),'SW OpInc'!I43&gt;0),'SW OpInc'!M43/'SW OpInc'!I43-1,""),"")</f>
        <v/>
      </c>
      <c r="J758" s="37">
        <f>IFERROR(IF(AND(ISNUMBER('SW OpInc'!N43),ISNUMBER('SW OpInc'!J43),'SW OpInc'!J43&gt;0),'SW OpInc'!N43/'SW OpInc'!J43-1,""),"")</f>
        <v/>
      </c>
      <c r="K758" s="37">
        <f>IFERROR(IF(AND(ISNUMBER('SW OpInc'!O43),ISNUMBER('SW OpInc'!K43),'SW OpInc'!K43&gt;0),'SW OpInc'!O43/'SW OpInc'!K43-1,""),"")</f>
        <v/>
      </c>
      <c r="L758" s="37">
        <f>IFERROR(IF(AND(ISNUMBER('SW OpInc'!P43),ISNUMBER('SW OpInc'!L43),'SW OpInc'!L43&gt;0),'SW OpInc'!P43/'SW OpInc'!L43-1,""),"")</f>
        <v/>
      </c>
      <c r="M758" s="38">
        <f>IFERROR(IF(AND(ISNUMBER('SW OpInc'!Q43),ISNUMBER('SW OpInc'!M43),'SW OpInc'!M43&gt;0),'SW OpInc'!Q43/'SW OpInc'!M43-1,""),"")</f>
        <v/>
      </c>
      <c r="N758" s="38">
        <f>IFERROR(IF(AND(ISNUMBER('SW OpInc'!R43),ISNUMBER('SW OpInc'!N43),'SW OpInc'!N43&gt;0),'SW OpInc'!R43/'SW OpInc'!N43-1,""),"")</f>
        <v/>
      </c>
    </row>
    <row r="759">
      <c r="A759" s="19">
        <f>'SW Rev'!$A44</f>
        <v/>
      </c>
      <c r="B759" s="19">
        <f>'SW Rev'!$B44</f>
        <v/>
      </c>
      <c r="C759" s="37">
        <f>IFERROR(IF(AND(ISNUMBER('SW OpInc'!G44),ISNUMBER('SW OpInc'!C44),'SW OpInc'!C44&gt;0),'SW OpInc'!G44/'SW OpInc'!C44-1,""),"")</f>
        <v/>
      </c>
      <c r="D759" s="37">
        <f>IFERROR(IF(AND(ISNUMBER('SW OpInc'!H44),ISNUMBER('SW OpInc'!D44),'SW OpInc'!D44&gt;0),'SW OpInc'!H44/'SW OpInc'!D44-1,""),"")</f>
        <v/>
      </c>
      <c r="E759" s="37">
        <f>IFERROR(IF(AND(ISNUMBER('SW OpInc'!I44),ISNUMBER('SW OpInc'!E44),'SW OpInc'!E44&gt;0),'SW OpInc'!I44/'SW OpInc'!E44-1,""),"")</f>
        <v/>
      </c>
      <c r="F759" s="37">
        <f>IFERROR(IF(AND(ISNUMBER('SW OpInc'!J44),ISNUMBER('SW OpInc'!F44),'SW OpInc'!F44&gt;0),'SW OpInc'!J44/'SW OpInc'!F44-1,""),"")</f>
        <v/>
      </c>
      <c r="G759" s="37">
        <f>IFERROR(IF(AND(ISNUMBER('SW OpInc'!K44),ISNUMBER('SW OpInc'!G44),'SW OpInc'!G44&gt;0),'SW OpInc'!K44/'SW OpInc'!G44-1,""),"")</f>
        <v/>
      </c>
      <c r="H759" s="37">
        <f>IFERROR(IF(AND(ISNUMBER('SW OpInc'!L44),ISNUMBER('SW OpInc'!H44),'SW OpInc'!H44&gt;0),'SW OpInc'!L44/'SW OpInc'!H44-1,""),"")</f>
        <v/>
      </c>
      <c r="I759" s="37">
        <f>IFERROR(IF(AND(ISNUMBER('SW OpInc'!M44),ISNUMBER('SW OpInc'!I44),'SW OpInc'!I44&gt;0),'SW OpInc'!M44/'SW OpInc'!I44-1,""),"")</f>
        <v/>
      </c>
      <c r="J759" s="37">
        <f>IFERROR(IF(AND(ISNUMBER('SW OpInc'!N44),ISNUMBER('SW OpInc'!J44),'SW OpInc'!J44&gt;0),'SW OpInc'!N44/'SW OpInc'!J44-1,""),"")</f>
        <v/>
      </c>
      <c r="K759" s="37">
        <f>IFERROR(IF(AND(ISNUMBER('SW OpInc'!O44),ISNUMBER('SW OpInc'!K44),'SW OpInc'!K44&gt;0),'SW OpInc'!O44/'SW OpInc'!K44-1,""),"")</f>
        <v/>
      </c>
      <c r="L759" s="37">
        <f>IFERROR(IF(AND(ISNUMBER('SW OpInc'!P44),ISNUMBER('SW OpInc'!L44),'SW OpInc'!L44&gt;0),'SW OpInc'!P44/'SW OpInc'!L44-1,""),"")</f>
        <v/>
      </c>
      <c r="M759" s="38">
        <f>IFERROR(IF(AND(ISNUMBER('SW OpInc'!Q44),ISNUMBER('SW OpInc'!M44),'SW OpInc'!M44&gt;0),'SW OpInc'!Q44/'SW OpInc'!M44-1,""),"")</f>
        <v/>
      </c>
      <c r="N759" s="38">
        <f>IFERROR(IF(AND(ISNUMBER('SW OpInc'!R44),ISNUMBER('SW OpInc'!N44),'SW OpInc'!N44&gt;0),'SW OpInc'!R44/'SW OpInc'!N44-1,""),"")</f>
        <v/>
      </c>
    </row>
    <row r="760">
      <c r="A760" s="19">
        <f>'SW Rev'!$A45</f>
        <v/>
      </c>
      <c r="B760" s="19">
        <f>'SW Rev'!$B45</f>
        <v/>
      </c>
      <c r="C760" s="37">
        <f>IFERROR(IF(AND(ISNUMBER('SW OpInc'!G45),ISNUMBER('SW OpInc'!C45),'SW OpInc'!C45&gt;0),'SW OpInc'!G45/'SW OpInc'!C45-1,""),"")</f>
        <v/>
      </c>
      <c r="D760" s="37">
        <f>IFERROR(IF(AND(ISNUMBER('SW OpInc'!H45),ISNUMBER('SW OpInc'!D45),'SW OpInc'!D45&gt;0),'SW OpInc'!H45/'SW OpInc'!D45-1,""),"")</f>
        <v/>
      </c>
      <c r="E760" s="37">
        <f>IFERROR(IF(AND(ISNUMBER('SW OpInc'!I45),ISNUMBER('SW OpInc'!E45),'SW OpInc'!E45&gt;0),'SW OpInc'!I45/'SW OpInc'!E45-1,""),"")</f>
        <v/>
      </c>
      <c r="F760" s="37">
        <f>IFERROR(IF(AND(ISNUMBER('SW OpInc'!J45),ISNUMBER('SW OpInc'!F45),'SW OpInc'!F45&gt;0),'SW OpInc'!J45/'SW OpInc'!F45-1,""),"")</f>
        <v/>
      </c>
      <c r="G760" s="37">
        <f>IFERROR(IF(AND(ISNUMBER('SW OpInc'!K45),ISNUMBER('SW OpInc'!G45),'SW OpInc'!G45&gt;0),'SW OpInc'!K45/'SW OpInc'!G45-1,""),"")</f>
        <v/>
      </c>
      <c r="H760" s="37">
        <f>IFERROR(IF(AND(ISNUMBER('SW OpInc'!L45),ISNUMBER('SW OpInc'!H45),'SW OpInc'!H45&gt;0),'SW OpInc'!L45/'SW OpInc'!H45-1,""),"")</f>
        <v/>
      </c>
      <c r="I760" s="37">
        <f>IFERROR(IF(AND(ISNUMBER('SW OpInc'!M45),ISNUMBER('SW OpInc'!I45),'SW OpInc'!I45&gt;0),'SW OpInc'!M45/'SW OpInc'!I45-1,""),"")</f>
        <v/>
      </c>
      <c r="J760" s="37">
        <f>IFERROR(IF(AND(ISNUMBER('SW OpInc'!N45),ISNUMBER('SW OpInc'!J45),'SW OpInc'!J45&gt;0),'SW OpInc'!N45/'SW OpInc'!J45-1,""),"")</f>
        <v/>
      </c>
      <c r="K760" s="37">
        <f>IFERROR(IF(AND(ISNUMBER('SW OpInc'!O45),ISNUMBER('SW OpInc'!K45),'SW OpInc'!K45&gt;0),'SW OpInc'!O45/'SW OpInc'!K45-1,""),"")</f>
        <v/>
      </c>
      <c r="L760" s="37">
        <f>IFERROR(IF(AND(ISNUMBER('SW OpInc'!P45),ISNUMBER('SW OpInc'!L45),'SW OpInc'!L45&gt;0),'SW OpInc'!P45/'SW OpInc'!L45-1,""),"")</f>
        <v/>
      </c>
      <c r="M760" s="38">
        <f>IFERROR(IF(AND(ISNUMBER('SW OpInc'!Q45),ISNUMBER('SW OpInc'!M45),'SW OpInc'!M45&gt;0),'SW OpInc'!Q45/'SW OpInc'!M45-1,""),"")</f>
        <v/>
      </c>
      <c r="N760" s="38">
        <f>IFERROR(IF(AND(ISNUMBER('SW OpInc'!R45),ISNUMBER('SW OpInc'!N45),'SW OpInc'!N45&gt;0),'SW OpInc'!R45/'SW OpInc'!N45-1,""),"")</f>
        <v/>
      </c>
    </row>
    <row r="761">
      <c r="A761" s="19">
        <f>'SW Rev'!$A46</f>
        <v/>
      </c>
      <c r="B761" s="19">
        <f>'SW Rev'!$B46</f>
        <v/>
      </c>
      <c r="C761" s="37">
        <f>IFERROR(IF(AND(ISNUMBER('SW OpInc'!G46),ISNUMBER('SW OpInc'!C46),'SW OpInc'!C46&gt;0),'SW OpInc'!G46/'SW OpInc'!C46-1,""),"")</f>
        <v/>
      </c>
      <c r="D761" s="37">
        <f>IFERROR(IF(AND(ISNUMBER('SW OpInc'!H46),ISNUMBER('SW OpInc'!D46),'SW OpInc'!D46&gt;0),'SW OpInc'!H46/'SW OpInc'!D46-1,""),"")</f>
        <v/>
      </c>
      <c r="E761" s="37">
        <f>IFERROR(IF(AND(ISNUMBER('SW OpInc'!I46),ISNUMBER('SW OpInc'!E46),'SW OpInc'!E46&gt;0),'SW OpInc'!I46/'SW OpInc'!E46-1,""),"")</f>
        <v/>
      </c>
      <c r="F761" s="37">
        <f>IFERROR(IF(AND(ISNUMBER('SW OpInc'!J46),ISNUMBER('SW OpInc'!F46),'SW OpInc'!F46&gt;0),'SW OpInc'!J46/'SW OpInc'!F46-1,""),"")</f>
        <v/>
      </c>
      <c r="G761" s="37">
        <f>IFERROR(IF(AND(ISNUMBER('SW OpInc'!K46),ISNUMBER('SW OpInc'!G46),'SW OpInc'!G46&gt;0),'SW OpInc'!K46/'SW OpInc'!G46-1,""),"")</f>
        <v/>
      </c>
      <c r="H761" s="37">
        <f>IFERROR(IF(AND(ISNUMBER('SW OpInc'!L46),ISNUMBER('SW OpInc'!H46),'SW OpInc'!H46&gt;0),'SW OpInc'!L46/'SW OpInc'!H46-1,""),"")</f>
        <v/>
      </c>
      <c r="I761" s="37">
        <f>IFERROR(IF(AND(ISNUMBER('SW OpInc'!M46),ISNUMBER('SW OpInc'!I46),'SW OpInc'!I46&gt;0),'SW OpInc'!M46/'SW OpInc'!I46-1,""),"")</f>
        <v/>
      </c>
      <c r="J761" s="37">
        <f>IFERROR(IF(AND(ISNUMBER('SW OpInc'!N46),ISNUMBER('SW OpInc'!J46),'SW OpInc'!J46&gt;0),'SW OpInc'!N46/'SW OpInc'!J46-1,""),"")</f>
        <v/>
      </c>
      <c r="K761" s="37">
        <f>IFERROR(IF(AND(ISNUMBER('SW OpInc'!O46),ISNUMBER('SW OpInc'!K46),'SW OpInc'!K46&gt;0),'SW OpInc'!O46/'SW OpInc'!K46-1,""),"")</f>
        <v/>
      </c>
      <c r="L761" s="37">
        <f>IFERROR(IF(AND(ISNUMBER('SW OpInc'!P46),ISNUMBER('SW OpInc'!L46),'SW OpInc'!L46&gt;0),'SW OpInc'!P46/'SW OpInc'!L46-1,""),"")</f>
        <v/>
      </c>
      <c r="M761" s="38">
        <f>IFERROR(IF(AND(ISNUMBER('SW OpInc'!Q46),ISNUMBER('SW OpInc'!M46),'SW OpInc'!M46&gt;0),'SW OpInc'!Q46/'SW OpInc'!M46-1,""),"")</f>
        <v/>
      </c>
      <c r="N761" s="38">
        <f>IFERROR(IF(AND(ISNUMBER('SW OpInc'!R46),ISNUMBER('SW OpInc'!N46),'SW OpInc'!N46&gt;0),'SW OpInc'!R46/'SW OpInc'!N46-1,""),"")</f>
        <v/>
      </c>
    </row>
    <row r="762">
      <c r="A762" s="19">
        <f>'SW Rev'!$A47</f>
        <v/>
      </c>
      <c r="B762" s="19">
        <f>'SW Rev'!$B47</f>
        <v/>
      </c>
      <c r="C762" s="37">
        <f>IFERROR(IF(AND(ISNUMBER('SW OpInc'!G47),ISNUMBER('SW OpInc'!C47),'SW OpInc'!C47&gt;0),'SW OpInc'!G47/'SW OpInc'!C47-1,""),"")</f>
        <v/>
      </c>
      <c r="D762" s="37">
        <f>IFERROR(IF(AND(ISNUMBER('SW OpInc'!H47),ISNUMBER('SW OpInc'!D47),'SW OpInc'!D47&gt;0),'SW OpInc'!H47/'SW OpInc'!D47-1,""),"")</f>
        <v/>
      </c>
      <c r="E762" s="37">
        <f>IFERROR(IF(AND(ISNUMBER('SW OpInc'!I47),ISNUMBER('SW OpInc'!E47),'SW OpInc'!E47&gt;0),'SW OpInc'!I47/'SW OpInc'!E47-1,""),"")</f>
        <v/>
      </c>
      <c r="F762" s="37">
        <f>IFERROR(IF(AND(ISNUMBER('SW OpInc'!J47),ISNUMBER('SW OpInc'!F47),'SW OpInc'!F47&gt;0),'SW OpInc'!J47/'SW OpInc'!F47-1,""),"")</f>
        <v/>
      </c>
      <c r="G762" s="37">
        <f>IFERROR(IF(AND(ISNUMBER('SW OpInc'!K47),ISNUMBER('SW OpInc'!G47),'SW OpInc'!G47&gt;0),'SW OpInc'!K47/'SW OpInc'!G47-1,""),"")</f>
        <v/>
      </c>
      <c r="H762" s="37">
        <f>IFERROR(IF(AND(ISNUMBER('SW OpInc'!L47),ISNUMBER('SW OpInc'!H47),'SW OpInc'!H47&gt;0),'SW OpInc'!L47/'SW OpInc'!H47-1,""),"")</f>
        <v/>
      </c>
      <c r="I762" s="37">
        <f>IFERROR(IF(AND(ISNUMBER('SW OpInc'!M47),ISNUMBER('SW OpInc'!I47),'SW OpInc'!I47&gt;0),'SW OpInc'!M47/'SW OpInc'!I47-1,""),"")</f>
        <v/>
      </c>
      <c r="J762" s="37">
        <f>IFERROR(IF(AND(ISNUMBER('SW OpInc'!N47),ISNUMBER('SW OpInc'!J47),'SW OpInc'!J47&gt;0),'SW OpInc'!N47/'SW OpInc'!J47-1,""),"")</f>
        <v/>
      </c>
      <c r="K762" s="37">
        <f>IFERROR(IF(AND(ISNUMBER('SW OpInc'!O47),ISNUMBER('SW OpInc'!K47),'SW OpInc'!K47&gt;0),'SW OpInc'!O47/'SW OpInc'!K47-1,""),"")</f>
        <v/>
      </c>
      <c r="L762" s="37">
        <f>IFERROR(IF(AND(ISNUMBER('SW OpInc'!P47),ISNUMBER('SW OpInc'!L47),'SW OpInc'!L47&gt;0),'SW OpInc'!P47/'SW OpInc'!L47-1,""),"")</f>
        <v/>
      </c>
      <c r="M762" s="38">
        <f>IFERROR(IF(AND(ISNUMBER('SW OpInc'!Q47),ISNUMBER('SW OpInc'!M47),'SW OpInc'!M47&gt;0),'SW OpInc'!Q47/'SW OpInc'!M47-1,""),"")</f>
        <v/>
      </c>
      <c r="N762" s="38">
        <f>IFERROR(IF(AND(ISNUMBER('SW OpInc'!R47),ISNUMBER('SW OpInc'!N47),'SW OpInc'!N47&gt;0),'SW OpInc'!R47/'SW OpInc'!N47-1,""),"")</f>
        <v/>
      </c>
    </row>
    <row r="763">
      <c r="A763" s="19">
        <f>'SW Rev'!$A48</f>
        <v/>
      </c>
      <c r="B763" s="19">
        <f>'SW Rev'!$B48</f>
        <v/>
      </c>
      <c r="C763" s="37">
        <f>IFERROR(IF(AND(ISNUMBER('SW OpInc'!G48),ISNUMBER('SW OpInc'!C48),'SW OpInc'!C48&gt;0),'SW OpInc'!G48/'SW OpInc'!C48-1,""),"")</f>
        <v/>
      </c>
      <c r="D763" s="37">
        <f>IFERROR(IF(AND(ISNUMBER('SW OpInc'!H48),ISNUMBER('SW OpInc'!D48),'SW OpInc'!D48&gt;0),'SW OpInc'!H48/'SW OpInc'!D48-1,""),"")</f>
        <v/>
      </c>
      <c r="E763" s="37">
        <f>IFERROR(IF(AND(ISNUMBER('SW OpInc'!I48),ISNUMBER('SW OpInc'!E48),'SW OpInc'!E48&gt;0),'SW OpInc'!I48/'SW OpInc'!E48-1,""),"")</f>
        <v/>
      </c>
      <c r="F763" s="37">
        <f>IFERROR(IF(AND(ISNUMBER('SW OpInc'!J48),ISNUMBER('SW OpInc'!F48),'SW OpInc'!F48&gt;0),'SW OpInc'!J48/'SW OpInc'!F48-1,""),"")</f>
        <v/>
      </c>
      <c r="G763" s="37">
        <f>IFERROR(IF(AND(ISNUMBER('SW OpInc'!K48),ISNUMBER('SW OpInc'!G48),'SW OpInc'!G48&gt;0),'SW OpInc'!K48/'SW OpInc'!G48-1,""),"")</f>
        <v/>
      </c>
      <c r="H763" s="37">
        <f>IFERROR(IF(AND(ISNUMBER('SW OpInc'!L48),ISNUMBER('SW OpInc'!H48),'SW OpInc'!H48&gt;0),'SW OpInc'!L48/'SW OpInc'!H48-1,""),"")</f>
        <v/>
      </c>
      <c r="I763" s="37">
        <f>IFERROR(IF(AND(ISNUMBER('SW OpInc'!M48),ISNUMBER('SW OpInc'!I48),'SW OpInc'!I48&gt;0),'SW OpInc'!M48/'SW OpInc'!I48-1,""),"")</f>
        <v/>
      </c>
      <c r="J763" s="37">
        <f>IFERROR(IF(AND(ISNUMBER('SW OpInc'!N48),ISNUMBER('SW OpInc'!J48),'SW OpInc'!J48&gt;0),'SW OpInc'!N48/'SW OpInc'!J48-1,""),"")</f>
        <v/>
      </c>
      <c r="K763" s="37">
        <f>IFERROR(IF(AND(ISNUMBER('SW OpInc'!O48),ISNUMBER('SW OpInc'!K48),'SW OpInc'!K48&gt;0),'SW OpInc'!O48/'SW OpInc'!K48-1,""),"")</f>
        <v/>
      </c>
      <c r="L763" s="37">
        <f>IFERROR(IF(AND(ISNUMBER('SW OpInc'!P48),ISNUMBER('SW OpInc'!L48),'SW OpInc'!L48&gt;0),'SW OpInc'!P48/'SW OpInc'!L48-1,""),"")</f>
        <v/>
      </c>
      <c r="M763" s="38">
        <f>IFERROR(IF(AND(ISNUMBER('SW OpInc'!Q48),ISNUMBER('SW OpInc'!M48),'SW OpInc'!M48&gt;0),'SW OpInc'!Q48/'SW OpInc'!M48-1,""),"")</f>
        <v/>
      </c>
      <c r="N763" s="38">
        <f>IFERROR(IF(AND(ISNUMBER('SW OpInc'!R48),ISNUMBER('SW OpInc'!N48),'SW OpInc'!N48&gt;0),'SW OpInc'!R48/'SW OpInc'!N48-1,""),"")</f>
        <v/>
      </c>
    </row>
    <row r="764">
      <c r="A764" s="19">
        <f>'SW Rev'!$A49</f>
        <v/>
      </c>
      <c r="B764" s="19">
        <f>'SW Rev'!$B49</f>
        <v/>
      </c>
      <c r="C764" s="37">
        <f>IFERROR(IF(AND(ISNUMBER('SW OpInc'!G49),ISNUMBER('SW OpInc'!C49),'SW OpInc'!C49&gt;0),'SW OpInc'!G49/'SW OpInc'!C49-1,""),"")</f>
        <v/>
      </c>
      <c r="D764" s="37">
        <f>IFERROR(IF(AND(ISNUMBER('SW OpInc'!H49),ISNUMBER('SW OpInc'!D49),'SW OpInc'!D49&gt;0),'SW OpInc'!H49/'SW OpInc'!D49-1,""),"")</f>
        <v/>
      </c>
      <c r="E764" s="37">
        <f>IFERROR(IF(AND(ISNUMBER('SW OpInc'!I49),ISNUMBER('SW OpInc'!E49),'SW OpInc'!E49&gt;0),'SW OpInc'!I49/'SW OpInc'!E49-1,""),"")</f>
        <v/>
      </c>
      <c r="F764" s="37">
        <f>IFERROR(IF(AND(ISNUMBER('SW OpInc'!J49),ISNUMBER('SW OpInc'!F49),'SW OpInc'!F49&gt;0),'SW OpInc'!J49/'SW OpInc'!F49-1,""),"")</f>
        <v/>
      </c>
      <c r="G764" s="37">
        <f>IFERROR(IF(AND(ISNUMBER('SW OpInc'!K49),ISNUMBER('SW OpInc'!G49),'SW OpInc'!G49&gt;0),'SW OpInc'!K49/'SW OpInc'!G49-1,""),"")</f>
        <v/>
      </c>
      <c r="H764" s="37">
        <f>IFERROR(IF(AND(ISNUMBER('SW OpInc'!L49),ISNUMBER('SW OpInc'!H49),'SW OpInc'!H49&gt;0),'SW OpInc'!L49/'SW OpInc'!H49-1,""),"")</f>
        <v/>
      </c>
      <c r="I764" s="37">
        <f>IFERROR(IF(AND(ISNUMBER('SW OpInc'!M49),ISNUMBER('SW OpInc'!I49),'SW OpInc'!I49&gt;0),'SW OpInc'!M49/'SW OpInc'!I49-1,""),"")</f>
        <v/>
      </c>
      <c r="J764" s="37">
        <f>IFERROR(IF(AND(ISNUMBER('SW OpInc'!N49),ISNUMBER('SW OpInc'!J49),'SW OpInc'!J49&gt;0),'SW OpInc'!N49/'SW OpInc'!J49-1,""),"")</f>
        <v/>
      </c>
      <c r="K764" s="37">
        <f>IFERROR(IF(AND(ISNUMBER('SW OpInc'!O49),ISNUMBER('SW OpInc'!K49),'SW OpInc'!K49&gt;0),'SW OpInc'!O49/'SW OpInc'!K49-1,""),"")</f>
        <v/>
      </c>
      <c r="L764" s="37">
        <f>IFERROR(IF(AND(ISNUMBER('SW OpInc'!P49),ISNUMBER('SW OpInc'!L49),'SW OpInc'!L49&gt;0),'SW OpInc'!P49/'SW OpInc'!L49-1,""),"")</f>
        <v/>
      </c>
      <c r="M764" s="38">
        <f>IFERROR(IF(AND(ISNUMBER('SW OpInc'!Q49),ISNUMBER('SW OpInc'!M49),'SW OpInc'!M49&gt;0),'SW OpInc'!Q49/'SW OpInc'!M49-1,""),"")</f>
        <v/>
      </c>
      <c r="N764" s="38">
        <f>IFERROR(IF(AND(ISNUMBER('SW OpInc'!R49),ISNUMBER('SW OpInc'!N49),'SW OpInc'!N49&gt;0),'SW OpInc'!R49/'SW OpInc'!N49-1,""),"")</f>
        <v/>
      </c>
    </row>
    <row r="765">
      <c r="A765" s="19">
        <f>'SW Rev'!$A50</f>
        <v/>
      </c>
      <c r="B765" s="19">
        <f>'SW Rev'!$B50</f>
        <v/>
      </c>
      <c r="C765" s="37">
        <f>IFERROR(IF(AND(ISNUMBER('SW OpInc'!G50),ISNUMBER('SW OpInc'!C50),'SW OpInc'!C50&gt;0),'SW OpInc'!G50/'SW OpInc'!C50-1,""),"")</f>
        <v/>
      </c>
      <c r="D765" s="37">
        <f>IFERROR(IF(AND(ISNUMBER('SW OpInc'!H50),ISNUMBER('SW OpInc'!D50),'SW OpInc'!D50&gt;0),'SW OpInc'!H50/'SW OpInc'!D50-1,""),"")</f>
        <v/>
      </c>
      <c r="E765" s="37">
        <f>IFERROR(IF(AND(ISNUMBER('SW OpInc'!I50),ISNUMBER('SW OpInc'!E50),'SW OpInc'!E50&gt;0),'SW OpInc'!I50/'SW OpInc'!E50-1,""),"")</f>
        <v/>
      </c>
      <c r="F765" s="37">
        <f>IFERROR(IF(AND(ISNUMBER('SW OpInc'!J50),ISNUMBER('SW OpInc'!F50),'SW OpInc'!F50&gt;0),'SW OpInc'!J50/'SW OpInc'!F50-1,""),"")</f>
        <v/>
      </c>
      <c r="G765" s="37">
        <f>IFERROR(IF(AND(ISNUMBER('SW OpInc'!K50),ISNUMBER('SW OpInc'!G50),'SW OpInc'!G50&gt;0),'SW OpInc'!K50/'SW OpInc'!G50-1,""),"")</f>
        <v/>
      </c>
      <c r="H765" s="37">
        <f>IFERROR(IF(AND(ISNUMBER('SW OpInc'!L50),ISNUMBER('SW OpInc'!H50),'SW OpInc'!H50&gt;0),'SW OpInc'!L50/'SW OpInc'!H50-1,""),"")</f>
        <v/>
      </c>
      <c r="I765" s="37">
        <f>IFERROR(IF(AND(ISNUMBER('SW OpInc'!M50),ISNUMBER('SW OpInc'!I50),'SW OpInc'!I50&gt;0),'SW OpInc'!M50/'SW OpInc'!I50-1,""),"")</f>
        <v/>
      </c>
      <c r="J765" s="37">
        <f>IFERROR(IF(AND(ISNUMBER('SW OpInc'!N50),ISNUMBER('SW OpInc'!J50),'SW OpInc'!J50&gt;0),'SW OpInc'!N50/'SW OpInc'!J50-1,""),"")</f>
        <v/>
      </c>
      <c r="K765" s="37">
        <f>IFERROR(IF(AND(ISNUMBER('SW OpInc'!O50),ISNUMBER('SW OpInc'!K50),'SW OpInc'!K50&gt;0),'SW OpInc'!O50/'SW OpInc'!K50-1,""),"")</f>
        <v/>
      </c>
      <c r="L765" s="37">
        <f>IFERROR(IF(AND(ISNUMBER('SW OpInc'!P50),ISNUMBER('SW OpInc'!L50),'SW OpInc'!L50&gt;0),'SW OpInc'!P50/'SW OpInc'!L50-1,""),"")</f>
        <v/>
      </c>
      <c r="M765" s="38">
        <f>IFERROR(IF(AND(ISNUMBER('SW OpInc'!Q50),ISNUMBER('SW OpInc'!M50),'SW OpInc'!M50&gt;0),'SW OpInc'!Q50/'SW OpInc'!M50-1,""),"")</f>
        <v/>
      </c>
      <c r="N765" s="38">
        <f>IFERROR(IF(AND(ISNUMBER('SW OpInc'!R50),ISNUMBER('SW OpInc'!N50),'SW OpInc'!N50&gt;0),'SW OpInc'!R50/'SW OpInc'!N50-1,""),"")</f>
        <v/>
      </c>
    </row>
    <row r="766">
      <c r="A766" s="19">
        <f>'SW Rev'!$A51</f>
        <v/>
      </c>
      <c r="B766" s="19">
        <f>'SW Rev'!$B51</f>
        <v/>
      </c>
      <c r="C766" s="37">
        <f>IFERROR(IF(AND(ISNUMBER('SW OpInc'!G51),ISNUMBER('SW OpInc'!C51),'SW OpInc'!C51&gt;0),'SW OpInc'!G51/'SW OpInc'!C51-1,""),"")</f>
        <v/>
      </c>
      <c r="D766" s="37">
        <f>IFERROR(IF(AND(ISNUMBER('SW OpInc'!H51),ISNUMBER('SW OpInc'!D51),'SW OpInc'!D51&gt;0),'SW OpInc'!H51/'SW OpInc'!D51-1,""),"")</f>
        <v/>
      </c>
      <c r="E766" s="37">
        <f>IFERROR(IF(AND(ISNUMBER('SW OpInc'!I51),ISNUMBER('SW OpInc'!E51),'SW OpInc'!E51&gt;0),'SW OpInc'!I51/'SW OpInc'!E51-1,""),"")</f>
        <v/>
      </c>
      <c r="F766" s="37">
        <f>IFERROR(IF(AND(ISNUMBER('SW OpInc'!J51),ISNUMBER('SW OpInc'!F51),'SW OpInc'!F51&gt;0),'SW OpInc'!J51/'SW OpInc'!F51-1,""),"")</f>
        <v/>
      </c>
      <c r="G766" s="37">
        <f>IFERROR(IF(AND(ISNUMBER('SW OpInc'!K51),ISNUMBER('SW OpInc'!G51),'SW OpInc'!G51&gt;0),'SW OpInc'!K51/'SW OpInc'!G51-1,""),"")</f>
        <v/>
      </c>
      <c r="H766" s="37">
        <f>IFERROR(IF(AND(ISNUMBER('SW OpInc'!L51),ISNUMBER('SW OpInc'!H51),'SW OpInc'!H51&gt;0),'SW OpInc'!L51/'SW OpInc'!H51-1,""),"")</f>
        <v/>
      </c>
      <c r="I766" s="37">
        <f>IFERROR(IF(AND(ISNUMBER('SW OpInc'!M51),ISNUMBER('SW OpInc'!I51),'SW OpInc'!I51&gt;0),'SW OpInc'!M51/'SW OpInc'!I51-1,""),"")</f>
        <v/>
      </c>
      <c r="J766" s="37">
        <f>IFERROR(IF(AND(ISNUMBER('SW OpInc'!N51),ISNUMBER('SW OpInc'!J51),'SW OpInc'!J51&gt;0),'SW OpInc'!N51/'SW OpInc'!J51-1,""),"")</f>
        <v/>
      </c>
      <c r="K766" s="37">
        <f>IFERROR(IF(AND(ISNUMBER('SW OpInc'!O51),ISNUMBER('SW OpInc'!K51),'SW OpInc'!K51&gt;0),'SW OpInc'!O51/'SW OpInc'!K51-1,""),"")</f>
        <v/>
      </c>
      <c r="L766" s="37">
        <f>IFERROR(IF(AND(ISNUMBER('SW OpInc'!P51),ISNUMBER('SW OpInc'!L51),'SW OpInc'!L51&gt;0),'SW OpInc'!P51/'SW OpInc'!L51-1,""),"")</f>
        <v/>
      </c>
      <c r="M766" s="38">
        <f>IFERROR(IF(AND(ISNUMBER('SW OpInc'!Q51),ISNUMBER('SW OpInc'!M51),'SW OpInc'!M51&gt;0),'SW OpInc'!Q51/'SW OpInc'!M51-1,""),"")</f>
        <v/>
      </c>
      <c r="N766" s="38">
        <f>IFERROR(IF(AND(ISNUMBER('SW OpInc'!R51),ISNUMBER('SW OpInc'!N51),'SW OpInc'!N51&gt;0),'SW OpInc'!R51/'SW OpInc'!N51-1,""),"")</f>
        <v/>
      </c>
    </row>
    <row r="767">
      <c r="A767" s="19">
        <f>'SW Rev'!$A52</f>
        <v/>
      </c>
      <c r="B767" s="19">
        <f>'SW Rev'!$B52</f>
        <v/>
      </c>
      <c r="C767" s="37">
        <f>IFERROR(IF(AND(ISNUMBER('SW OpInc'!G52),ISNUMBER('SW OpInc'!C52),'SW OpInc'!C52&gt;0),'SW OpInc'!G52/'SW OpInc'!C52-1,""),"")</f>
        <v/>
      </c>
      <c r="D767" s="37">
        <f>IFERROR(IF(AND(ISNUMBER('SW OpInc'!H52),ISNUMBER('SW OpInc'!D52),'SW OpInc'!D52&gt;0),'SW OpInc'!H52/'SW OpInc'!D52-1,""),"")</f>
        <v/>
      </c>
      <c r="E767" s="37">
        <f>IFERROR(IF(AND(ISNUMBER('SW OpInc'!I52),ISNUMBER('SW OpInc'!E52),'SW OpInc'!E52&gt;0),'SW OpInc'!I52/'SW OpInc'!E52-1,""),"")</f>
        <v/>
      </c>
      <c r="F767" s="37">
        <f>IFERROR(IF(AND(ISNUMBER('SW OpInc'!J52),ISNUMBER('SW OpInc'!F52),'SW OpInc'!F52&gt;0),'SW OpInc'!J52/'SW OpInc'!F52-1,""),"")</f>
        <v/>
      </c>
      <c r="G767" s="37">
        <f>IFERROR(IF(AND(ISNUMBER('SW OpInc'!K52),ISNUMBER('SW OpInc'!G52),'SW OpInc'!G52&gt;0),'SW OpInc'!K52/'SW OpInc'!G52-1,""),"")</f>
        <v/>
      </c>
      <c r="H767" s="37">
        <f>IFERROR(IF(AND(ISNUMBER('SW OpInc'!L52),ISNUMBER('SW OpInc'!H52),'SW OpInc'!H52&gt;0),'SW OpInc'!L52/'SW OpInc'!H52-1,""),"")</f>
        <v/>
      </c>
      <c r="I767" s="37">
        <f>IFERROR(IF(AND(ISNUMBER('SW OpInc'!M52),ISNUMBER('SW OpInc'!I52),'SW OpInc'!I52&gt;0),'SW OpInc'!M52/'SW OpInc'!I52-1,""),"")</f>
        <v/>
      </c>
      <c r="J767" s="37">
        <f>IFERROR(IF(AND(ISNUMBER('SW OpInc'!N52),ISNUMBER('SW OpInc'!J52),'SW OpInc'!J52&gt;0),'SW OpInc'!N52/'SW OpInc'!J52-1,""),"")</f>
        <v/>
      </c>
      <c r="K767" s="37">
        <f>IFERROR(IF(AND(ISNUMBER('SW OpInc'!O52),ISNUMBER('SW OpInc'!K52),'SW OpInc'!K52&gt;0),'SW OpInc'!O52/'SW OpInc'!K52-1,""),"")</f>
        <v/>
      </c>
      <c r="L767" s="37">
        <f>IFERROR(IF(AND(ISNUMBER('SW OpInc'!P52),ISNUMBER('SW OpInc'!L52),'SW OpInc'!L52&gt;0),'SW OpInc'!P52/'SW OpInc'!L52-1,""),"")</f>
        <v/>
      </c>
      <c r="M767" s="38">
        <f>IFERROR(IF(AND(ISNUMBER('SW OpInc'!Q52),ISNUMBER('SW OpInc'!M52),'SW OpInc'!M52&gt;0),'SW OpInc'!Q52/'SW OpInc'!M52-1,""),"")</f>
        <v/>
      </c>
      <c r="N767" s="38">
        <f>IFERROR(IF(AND(ISNUMBER('SW OpInc'!R52),ISNUMBER('SW OpInc'!N52),'SW OpInc'!N52&gt;0),'SW OpInc'!R52/'SW OpInc'!N52-1,""),"")</f>
        <v/>
      </c>
    </row>
    <row r="768">
      <c r="A768" s="19">
        <f>'SW Rev'!$A53</f>
        <v/>
      </c>
      <c r="B768" s="19">
        <f>'SW Rev'!$B53</f>
        <v/>
      </c>
      <c r="C768" s="37">
        <f>IFERROR(IF(AND(ISNUMBER('SW OpInc'!G53),ISNUMBER('SW OpInc'!C53),'SW OpInc'!C53&gt;0),'SW OpInc'!G53/'SW OpInc'!C53-1,""),"")</f>
        <v/>
      </c>
      <c r="D768" s="37">
        <f>IFERROR(IF(AND(ISNUMBER('SW OpInc'!H53),ISNUMBER('SW OpInc'!D53),'SW OpInc'!D53&gt;0),'SW OpInc'!H53/'SW OpInc'!D53-1,""),"")</f>
        <v/>
      </c>
      <c r="E768" s="37">
        <f>IFERROR(IF(AND(ISNUMBER('SW OpInc'!I53),ISNUMBER('SW OpInc'!E53),'SW OpInc'!E53&gt;0),'SW OpInc'!I53/'SW OpInc'!E53-1,""),"")</f>
        <v/>
      </c>
      <c r="F768" s="37">
        <f>IFERROR(IF(AND(ISNUMBER('SW OpInc'!J53),ISNUMBER('SW OpInc'!F53),'SW OpInc'!F53&gt;0),'SW OpInc'!J53/'SW OpInc'!F53-1,""),"")</f>
        <v/>
      </c>
      <c r="G768" s="37">
        <f>IFERROR(IF(AND(ISNUMBER('SW OpInc'!K53),ISNUMBER('SW OpInc'!G53),'SW OpInc'!G53&gt;0),'SW OpInc'!K53/'SW OpInc'!G53-1,""),"")</f>
        <v/>
      </c>
      <c r="H768" s="37">
        <f>IFERROR(IF(AND(ISNUMBER('SW OpInc'!L53),ISNUMBER('SW OpInc'!H53),'SW OpInc'!H53&gt;0),'SW OpInc'!L53/'SW OpInc'!H53-1,""),"")</f>
        <v/>
      </c>
      <c r="I768" s="37">
        <f>IFERROR(IF(AND(ISNUMBER('SW OpInc'!M53),ISNUMBER('SW OpInc'!I53),'SW OpInc'!I53&gt;0),'SW OpInc'!M53/'SW OpInc'!I53-1,""),"")</f>
        <v/>
      </c>
      <c r="J768" s="37">
        <f>IFERROR(IF(AND(ISNUMBER('SW OpInc'!N53),ISNUMBER('SW OpInc'!J53),'SW OpInc'!J53&gt;0),'SW OpInc'!N53/'SW OpInc'!J53-1,""),"")</f>
        <v/>
      </c>
      <c r="K768" s="37">
        <f>IFERROR(IF(AND(ISNUMBER('SW OpInc'!O53),ISNUMBER('SW OpInc'!K53),'SW OpInc'!K53&gt;0),'SW OpInc'!O53/'SW OpInc'!K53-1,""),"")</f>
        <v/>
      </c>
      <c r="L768" s="37">
        <f>IFERROR(IF(AND(ISNUMBER('SW OpInc'!P53),ISNUMBER('SW OpInc'!L53),'SW OpInc'!L53&gt;0),'SW OpInc'!P53/'SW OpInc'!L53-1,""),"")</f>
        <v/>
      </c>
      <c r="M768" s="38">
        <f>IFERROR(IF(AND(ISNUMBER('SW OpInc'!Q53),ISNUMBER('SW OpInc'!M53),'SW OpInc'!M53&gt;0),'SW OpInc'!Q53/'SW OpInc'!M53-1,""),"")</f>
        <v/>
      </c>
      <c r="N768" s="38">
        <f>IFERROR(IF(AND(ISNUMBER('SW OpInc'!R53),ISNUMBER('SW OpInc'!N53),'SW OpInc'!N53&gt;0),'SW OpInc'!R53/'SW OpInc'!N53-1,""),"")</f>
        <v/>
      </c>
    </row>
    <row r="769">
      <c r="A769" s="19">
        <f>'SW Rev'!$A54</f>
        <v/>
      </c>
      <c r="B769" s="19">
        <f>'SW Rev'!$B54</f>
        <v/>
      </c>
      <c r="C769" s="37">
        <f>IFERROR(IF(AND(ISNUMBER('SW OpInc'!G54),ISNUMBER('SW OpInc'!C54),'SW OpInc'!C54&gt;0),'SW OpInc'!G54/'SW OpInc'!C54-1,""),"")</f>
        <v/>
      </c>
      <c r="D769" s="37">
        <f>IFERROR(IF(AND(ISNUMBER('SW OpInc'!H54),ISNUMBER('SW OpInc'!D54),'SW OpInc'!D54&gt;0),'SW OpInc'!H54/'SW OpInc'!D54-1,""),"")</f>
        <v/>
      </c>
      <c r="E769" s="37">
        <f>IFERROR(IF(AND(ISNUMBER('SW OpInc'!I54),ISNUMBER('SW OpInc'!E54),'SW OpInc'!E54&gt;0),'SW OpInc'!I54/'SW OpInc'!E54-1,""),"")</f>
        <v/>
      </c>
      <c r="F769" s="37">
        <f>IFERROR(IF(AND(ISNUMBER('SW OpInc'!J54),ISNUMBER('SW OpInc'!F54),'SW OpInc'!F54&gt;0),'SW OpInc'!J54/'SW OpInc'!F54-1,""),"")</f>
        <v/>
      </c>
      <c r="G769" s="37">
        <f>IFERROR(IF(AND(ISNUMBER('SW OpInc'!K54),ISNUMBER('SW OpInc'!G54),'SW OpInc'!G54&gt;0),'SW OpInc'!K54/'SW OpInc'!G54-1,""),"")</f>
        <v/>
      </c>
      <c r="H769" s="37">
        <f>IFERROR(IF(AND(ISNUMBER('SW OpInc'!L54),ISNUMBER('SW OpInc'!H54),'SW OpInc'!H54&gt;0),'SW OpInc'!L54/'SW OpInc'!H54-1,""),"")</f>
        <v/>
      </c>
      <c r="I769" s="37">
        <f>IFERROR(IF(AND(ISNUMBER('SW OpInc'!M54),ISNUMBER('SW OpInc'!I54),'SW OpInc'!I54&gt;0),'SW OpInc'!M54/'SW OpInc'!I54-1,""),"")</f>
        <v/>
      </c>
      <c r="J769" s="37">
        <f>IFERROR(IF(AND(ISNUMBER('SW OpInc'!N54),ISNUMBER('SW OpInc'!J54),'SW OpInc'!J54&gt;0),'SW OpInc'!N54/'SW OpInc'!J54-1,""),"")</f>
        <v/>
      </c>
      <c r="K769" s="37">
        <f>IFERROR(IF(AND(ISNUMBER('SW OpInc'!O54),ISNUMBER('SW OpInc'!K54),'SW OpInc'!K54&gt;0),'SW OpInc'!O54/'SW OpInc'!K54-1,""),"")</f>
        <v/>
      </c>
      <c r="L769" s="37">
        <f>IFERROR(IF(AND(ISNUMBER('SW OpInc'!P54),ISNUMBER('SW OpInc'!L54),'SW OpInc'!L54&gt;0),'SW OpInc'!P54/'SW OpInc'!L54-1,""),"")</f>
        <v/>
      </c>
      <c r="M769" s="38">
        <f>IFERROR(IF(AND(ISNUMBER('SW OpInc'!Q54),ISNUMBER('SW OpInc'!M54),'SW OpInc'!M54&gt;0),'SW OpInc'!Q54/'SW OpInc'!M54-1,""),"")</f>
        <v/>
      </c>
      <c r="N769" s="38">
        <f>IFERROR(IF(AND(ISNUMBER('SW OpInc'!R54),ISNUMBER('SW OpInc'!N54),'SW OpInc'!N54&gt;0),'SW OpInc'!R54/'SW OpInc'!N54-1,""),"")</f>
        <v/>
      </c>
    </row>
    <row r="770">
      <c r="A770" s="19">
        <f>'SW Rev'!$A55</f>
        <v/>
      </c>
      <c r="B770" s="19">
        <f>'SW Rev'!$B55</f>
        <v/>
      </c>
      <c r="C770" s="37">
        <f>IFERROR(IF(AND(ISNUMBER('SW OpInc'!G55),ISNUMBER('SW OpInc'!C55),'SW OpInc'!C55&gt;0),'SW OpInc'!G55/'SW OpInc'!C55-1,""),"")</f>
        <v/>
      </c>
      <c r="D770" s="37">
        <f>IFERROR(IF(AND(ISNUMBER('SW OpInc'!H55),ISNUMBER('SW OpInc'!D55),'SW OpInc'!D55&gt;0),'SW OpInc'!H55/'SW OpInc'!D55-1,""),"")</f>
        <v/>
      </c>
      <c r="E770" s="37">
        <f>IFERROR(IF(AND(ISNUMBER('SW OpInc'!I55),ISNUMBER('SW OpInc'!E55),'SW OpInc'!E55&gt;0),'SW OpInc'!I55/'SW OpInc'!E55-1,""),"")</f>
        <v/>
      </c>
      <c r="F770" s="37">
        <f>IFERROR(IF(AND(ISNUMBER('SW OpInc'!J55),ISNUMBER('SW OpInc'!F55),'SW OpInc'!F55&gt;0),'SW OpInc'!J55/'SW OpInc'!F55-1,""),"")</f>
        <v/>
      </c>
      <c r="G770" s="37">
        <f>IFERROR(IF(AND(ISNUMBER('SW OpInc'!K55),ISNUMBER('SW OpInc'!G55),'SW OpInc'!G55&gt;0),'SW OpInc'!K55/'SW OpInc'!G55-1,""),"")</f>
        <v/>
      </c>
      <c r="H770" s="37">
        <f>IFERROR(IF(AND(ISNUMBER('SW OpInc'!L55),ISNUMBER('SW OpInc'!H55),'SW OpInc'!H55&gt;0),'SW OpInc'!L55/'SW OpInc'!H55-1,""),"")</f>
        <v/>
      </c>
      <c r="I770" s="37">
        <f>IFERROR(IF(AND(ISNUMBER('SW OpInc'!M55),ISNUMBER('SW OpInc'!I55),'SW OpInc'!I55&gt;0),'SW OpInc'!M55/'SW OpInc'!I55-1,""),"")</f>
        <v/>
      </c>
      <c r="J770" s="37">
        <f>IFERROR(IF(AND(ISNUMBER('SW OpInc'!N55),ISNUMBER('SW OpInc'!J55),'SW OpInc'!J55&gt;0),'SW OpInc'!N55/'SW OpInc'!J55-1,""),"")</f>
        <v/>
      </c>
      <c r="K770" s="37">
        <f>IFERROR(IF(AND(ISNUMBER('SW OpInc'!O55),ISNUMBER('SW OpInc'!K55),'SW OpInc'!K55&gt;0),'SW OpInc'!O55/'SW OpInc'!K55-1,""),"")</f>
        <v/>
      </c>
      <c r="L770" s="37">
        <f>IFERROR(IF(AND(ISNUMBER('SW OpInc'!P55),ISNUMBER('SW OpInc'!L55),'SW OpInc'!L55&gt;0),'SW OpInc'!P55/'SW OpInc'!L55-1,""),"")</f>
        <v/>
      </c>
      <c r="M770" s="38">
        <f>IFERROR(IF(AND(ISNUMBER('SW OpInc'!Q55),ISNUMBER('SW OpInc'!M55),'SW OpInc'!M55&gt;0),'SW OpInc'!Q55/'SW OpInc'!M55-1,""),"")</f>
        <v/>
      </c>
      <c r="N770" s="38">
        <f>IFERROR(IF(AND(ISNUMBER('SW OpInc'!R55),ISNUMBER('SW OpInc'!N55),'SW OpInc'!N55&gt;0),'SW OpInc'!R55/'SW OpInc'!N55-1,""),"")</f>
        <v/>
      </c>
    </row>
    <row r="771">
      <c r="A771" s="19">
        <f>'SW Rev'!$A56</f>
        <v/>
      </c>
      <c r="B771" s="19">
        <f>'SW Rev'!$B56</f>
        <v/>
      </c>
      <c r="C771" s="37">
        <f>IFERROR(IF(AND(ISNUMBER('SW OpInc'!G56),ISNUMBER('SW OpInc'!C56),'SW OpInc'!C56&gt;0),'SW OpInc'!G56/'SW OpInc'!C56-1,""),"")</f>
        <v/>
      </c>
      <c r="D771" s="37">
        <f>IFERROR(IF(AND(ISNUMBER('SW OpInc'!H56),ISNUMBER('SW OpInc'!D56),'SW OpInc'!D56&gt;0),'SW OpInc'!H56/'SW OpInc'!D56-1,""),"")</f>
        <v/>
      </c>
      <c r="E771" s="37">
        <f>IFERROR(IF(AND(ISNUMBER('SW OpInc'!I56),ISNUMBER('SW OpInc'!E56),'SW OpInc'!E56&gt;0),'SW OpInc'!I56/'SW OpInc'!E56-1,""),"")</f>
        <v/>
      </c>
      <c r="F771" s="37">
        <f>IFERROR(IF(AND(ISNUMBER('SW OpInc'!J56),ISNUMBER('SW OpInc'!F56),'SW OpInc'!F56&gt;0),'SW OpInc'!J56/'SW OpInc'!F56-1,""),"")</f>
        <v/>
      </c>
      <c r="G771" s="37">
        <f>IFERROR(IF(AND(ISNUMBER('SW OpInc'!K56),ISNUMBER('SW OpInc'!G56),'SW OpInc'!G56&gt;0),'SW OpInc'!K56/'SW OpInc'!G56-1,""),"")</f>
        <v/>
      </c>
      <c r="H771" s="37">
        <f>IFERROR(IF(AND(ISNUMBER('SW OpInc'!L56),ISNUMBER('SW OpInc'!H56),'SW OpInc'!H56&gt;0),'SW OpInc'!L56/'SW OpInc'!H56-1,""),"")</f>
        <v/>
      </c>
      <c r="I771" s="37">
        <f>IFERROR(IF(AND(ISNUMBER('SW OpInc'!M56),ISNUMBER('SW OpInc'!I56),'SW OpInc'!I56&gt;0),'SW OpInc'!M56/'SW OpInc'!I56-1,""),"")</f>
        <v/>
      </c>
      <c r="J771" s="37">
        <f>IFERROR(IF(AND(ISNUMBER('SW OpInc'!N56),ISNUMBER('SW OpInc'!J56),'SW OpInc'!J56&gt;0),'SW OpInc'!N56/'SW OpInc'!J56-1,""),"")</f>
        <v/>
      </c>
      <c r="K771" s="37">
        <f>IFERROR(IF(AND(ISNUMBER('SW OpInc'!O56),ISNUMBER('SW OpInc'!K56),'SW OpInc'!K56&gt;0),'SW OpInc'!O56/'SW OpInc'!K56-1,""),"")</f>
        <v/>
      </c>
      <c r="L771" s="37">
        <f>IFERROR(IF(AND(ISNUMBER('SW OpInc'!P56),ISNUMBER('SW OpInc'!L56),'SW OpInc'!L56&gt;0),'SW OpInc'!P56/'SW OpInc'!L56-1,""),"")</f>
        <v/>
      </c>
      <c r="M771" s="38">
        <f>IFERROR(IF(AND(ISNUMBER('SW OpInc'!Q56),ISNUMBER('SW OpInc'!M56),'SW OpInc'!M56&gt;0),'SW OpInc'!Q56/'SW OpInc'!M56-1,""),"")</f>
        <v/>
      </c>
      <c r="N771" s="38">
        <f>IFERROR(IF(AND(ISNUMBER('SW OpInc'!R56),ISNUMBER('SW OpInc'!N56),'SW OpInc'!N56&gt;0),'SW OpInc'!R56/'SW OpInc'!N56-1,""),"")</f>
        <v/>
      </c>
    </row>
    <row r="772">
      <c r="A772" s="19">
        <f>'SW Rev'!$A57</f>
        <v/>
      </c>
      <c r="B772" s="19">
        <f>'SW Rev'!$B57</f>
        <v/>
      </c>
      <c r="C772" s="37">
        <f>IFERROR(IF(AND(ISNUMBER('SW OpInc'!G57),ISNUMBER('SW OpInc'!C57),'SW OpInc'!C57&gt;0),'SW OpInc'!G57/'SW OpInc'!C57-1,""),"")</f>
        <v/>
      </c>
      <c r="D772" s="37">
        <f>IFERROR(IF(AND(ISNUMBER('SW OpInc'!H57),ISNUMBER('SW OpInc'!D57),'SW OpInc'!D57&gt;0),'SW OpInc'!H57/'SW OpInc'!D57-1,""),"")</f>
        <v/>
      </c>
      <c r="E772" s="37">
        <f>IFERROR(IF(AND(ISNUMBER('SW OpInc'!I57),ISNUMBER('SW OpInc'!E57),'SW OpInc'!E57&gt;0),'SW OpInc'!I57/'SW OpInc'!E57-1,""),"")</f>
        <v/>
      </c>
      <c r="F772" s="37">
        <f>IFERROR(IF(AND(ISNUMBER('SW OpInc'!J57),ISNUMBER('SW OpInc'!F57),'SW OpInc'!F57&gt;0),'SW OpInc'!J57/'SW OpInc'!F57-1,""),"")</f>
        <v/>
      </c>
      <c r="G772" s="37">
        <f>IFERROR(IF(AND(ISNUMBER('SW OpInc'!K57),ISNUMBER('SW OpInc'!G57),'SW OpInc'!G57&gt;0),'SW OpInc'!K57/'SW OpInc'!G57-1,""),"")</f>
        <v/>
      </c>
      <c r="H772" s="37">
        <f>IFERROR(IF(AND(ISNUMBER('SW OpInc'!L57),ISNUMBER('SW OpInc'!H57),'SW OpInc'!H57&gt;0),'SW OpInc'!L57/'SW OpInc'!H57-1,""),"")</f>
        <v/>
      </c>
      <c r="I772" s="37">
        <f>IFERROR(IF(AND(ISNUMBER('SW OpInc'!M57),ISNUMBER('SW OpInc'!I57),'SW OpInc'!I57&gt;0),'SW OpInc'!M57/'SW OpInc'!I57-1,""),"")</f>
        <v/>
      </c>
      <c r="J772" s="37">
        <f>IFERROR(IF(AND(ISNUMBER('SW OpInc'!N57),ISNUMBER('SW OpInc'!J57),'SW OpInc'!J57&gt;0),'SW OpInc'!N57/'SW OpInc'!J57-1,""),"")</f>
        <v/>
      </c>
      <c r="K772" s="37">
        <f>IFERROR(IF(AND(ISNUMBER('SW OpInc'!O57),ISNUMBER('SW OpInc'!K57),'SW OpInc'!K57&gt;0),'SW OpInc'!O57/'SW OpInc'!K57-1,""),"")</f>
        <v/>
      </c>
      <c r="L772" s="37">
        <f>IFERROR(IF(AND(ISNUMBER('SW OpInc'!P57),ISNUMBER('SW OpInc'!L57),'SW OpInc'!L57&gt;0),'SW OpInc'!P57/'SW OpInc'!L57-1,""),"")</f>
        <v/>
      </c>
      <c r="M772" s="38">
        <f>IFERROR(IF(AND(ISNUMBER('SW OpInc'!Q57),ISNUMBER('SW OpInc'!M57),'SW OpInc'!M57&gt;0),'SW OpInc'!Q57/'SW OpInc'!M57-1,""),"")</f>
        <v/>
      </c>
      <c r="N772" s="38">
        <f>IFERROR(IF(AND(ISNUMBER('SW OpInc'!R57),ISNUMBER('SW OpInc'!N57),'SW OpInc'!N57&gt;0),'SW OpInc'!R57/'SW OpInc'!N57-1,""),"")</f>
        <v/>
      </c>
    </row>
    <row r="773">
      <c r="A773" s="19">
        <f>'SW Rev'!$A58</f>
        <v/>
      </c>
      <c r="B773" s="19">
        <f>'SW Rev'!$B58</f>
        <v/>
      </c>
      <c r="C773" s="37">
        <f>IFERROR(IF(AND(ISNUMBER('SW OpInc'!G58),ISNUMBER('SW OpInc'!C58),'SW OpInc'!C58&gt;0),'SW OpInc'!G58/'SW OpInc'!C58-1,""),"")</f>
        <v/>
      </c>
      <c r="D773" s="37">
        <f>IFERROR(IF(AND(ISNUMBER('SW OpInc'!H58),ISNUMBER('SW OpInc'!D58),'SW OpInc'!D58&gt;0),'SW OpInc'!H58/'SW OpInc'!D58-1,""),"")</f>
        <v/>
      </c>
      <c r="E773" s="37">
        <f>IFERROR(IF(AND(ISNUMBER('SW OpInc'!I58),ISNUMBER('SW OpInc'!E58),'SW OpInc'!E58&gt;0),'SW OpInc'!I58/'SW OpInc'!E58-1,""),"")</f>
        <v/>
      </c>
      <c r="F773" s="37">
        <f>IFERROR(IF(AND(ISNUMBER('SW OpInc'!J58),ISNUMBER('SW OpInc'!F58),'SW OpInc'!F58&gt;0),'SW OpInc'!J58/'SW OpInc'!F58-1,""),"")</f>
        <v/>
      </c>
      <c r="G773" s="37">
        <f>IFERROR(IF(AND(ISNUMBER('SW OpInc'!K58),ISNUMBER('SW OpInc'!G58),'SW OpInc'!G58&gt;0),'SW OpInc'!K58/'SW OpInc'!G58-1,""),"")</f>
        <v/>
      </c>
      <c r="H773" s="37">
        <f>IFERROR(IF(AND(ISNUMBER('SW OpInc'!L58),ISNUMBER('SW OpInc'!H58),'SW OpInc'!H58&gt;0),'SW OpInc'!L58/'SW OpInc'!H58-1,""),"")</f>
        <v/>
      </c>
      <c r="I773" s="37">
        <f>IFERROR(IF(AND(ISNUMBER('SW OpInc'!M58),ISNUMBER('SW OpInc'!I58),'SW OpInc'!I58&gt;0),'SW OpInc'!M58/'SW OpInc'!I58-1,""),"")</f>
        <v/>
      </c>
      <c r="J773" s="37">
        <f>IFERROR(IF(AND(ISNUMBER('SW OpInc'!N58),ISNUMBER('SW OpInc'!J58),'SW OpInc'!J58&gt;0),'SW OpInc'!N58/'SW OpInc'!J58-1,""),"")</f>
        <v/>
      </c>
      <c r="K773" s="37">
        <f>IFERROR(IF(AND(ISNUMBER('SW OpInc'!O58),ISNUMBER('SW OpInc'!K58),'SW OpInc'!K58&gt;0),'SW OpInc'!O58/'SW OpInc'!K58-1,""),"")</f>
        <v/>
      </c>
      <c r="L773" s="37">
        <f>IFERROR(IF(AND(ISNUMBER('SW OpInc'!P58),ISNUMBER('SW OpInc'!L58),'SW OpInc'!L58&gt;0),'SW OpInc'!P58/'SW OpInc'!L58-1,""),"")</f>
        <v/>
      </c>
      <c r="M773" s="38">
        <f>IFERROR(IF(AND(ISNUMBER('SW OpInc'!Q58),ISNUMBER('SW OpInc'!M58),'SW OpInc'!M58&gt;0),'SW OpInc'!Q58/'SW OpInc'!M58-1,""),"")</f>
        <v/>
      </c>
      <c r="N773" s="38">
        <f>IFERROR(IF(AND(ISNUMBER('SW OpInc'!R58),ISNUMBER('SW OpInc'!N58),'SW OpInc'!N58&gt;0),'SW OpInc'!R58/'SW OpInc'!N58-1,""),"")</f>
        <v/>
      </c>
    </row>
    <row r="774">
      <c r="A774" s="19">
        <f>'SW Rev'!$A59</f>
        <v/>
      </c>
      <c r="B774" s="19">
        <f>'SW Rev'!$B59</f>
        <v/>
      </c>
      <c r="C774" s="37">
        <f>IFERROR(IF(AND(ISNUMBER('SW OpInc'!G59),ISNUMBER('SW OpInc'!C59),'SW OpInc'!C59&gt;0),'SW OpInc'!G59/'SW OpInc'!C59-1,""),"")</f>
        <v/>
      </c>
      <c r="D774" s="37">
        <f>IFERROR(IF(AND(ISNUMBER('SW OpInc'!H59),ISNUMBER('SW OpInc'!D59),'SW OpInc'!D59&gt;0),'SW OpInc'!H59/'SW OpInc'!D59-1,""),"")</f>
        <v/>
      </c>
      <c r="E774" s="37">
        <f>IFERROR(IF(AND(ISNUMBER('SW OpInc'!I59),ISNUMBER('SW OpInc'!E59),'SW OpInc'!E59&gt;0),'SW OpInc'!I59/'SW OpInc'!E59-1,""),"")</f>
        <v/>
      </c>
      <c r="F774" s="37">
        <f>IFERROR(IF(AND(ISNUMBER('SW OpInc'!J59),ISNUMBER('SW OpInc'!F59),'SW OpInc'!F59&gt;0),'SW OpInc'!J59/'SW OpInc'!F59-1,""),"")</f>
        <v/>
      </c>
      <c r="G774" s="37">
        <f>IFERROR(IF(AND(ISNUMBER('SW OpInc'!K59),ISNUMBER('SW OpInc'!G59),'SW OpInc'!G59&gt;0),'SW OpInc'!K59/'SW OpInc'!G59-1,""),"")</f>
        <v/>
      </c>
      <c r="H774" s="37">
        <f>IFERROR(IF(AND(ISNUMBER('SW OpInc'!L59),ISNUMBER('SW OpInc'!H59),'SW OpInc'!H59&gt;0),'SW OpInc'!L59/'SW OpInc'!H59-1,""),"")</f>
        <v/>
      </c>
      <c r="I774" s="37">
        <f>IFERROR(IF(AND(ISNUMBER('SW OpInc'!M59),ISNUMBER('SW OpInc'!I59),'SW OpInc'!I59&gt;0),'SW OpInc'!M59/'SW OpInc'!I59-1,""),"")</f>
        <v/>
      </c>
      <c r="J774" s="37">
        <f>IFERROR(IF(AND(ISNUMBER('SW OpInc'!N59),ISNUMBER('SW OpInc'!J59),'SW OpInc'!J59&gt;0),'SW OpInc'!N59/'SW OpInc'!J59-1,""),"")</f>
        <v/>
      </c>
      <c r="K774" s="37">
        <f>IFERROR(IF(AND(ISNUMBER('SW OpInc'!O59),ISNUMBER('SW OpInc'!K59),'SW OpInc'!K59&gt;0),'SW OpInc'!O59/'SW OpInc'!K59-1,""),"")</f>
        <v/>
      </c>
      <c r="L774" s="37">
        <f>IFERROR(IF(AND(ISNUMBER('SW OpInc'!P59),ISNUMBER('SW OpInc'!L59),'SW OpInc'!L59&gt;0),'SW OpInc'!P59/'SW OpInc'!L59-1,""),"")</f>
        <v/>
      </c>
      <c r="M774" s="38">
        <f>IFERROR(IF(AND(ISNUMBER('SW OpInc'!Q59),ISNUMBER('SW OpInc'!M59),'SW OpInc'!M59&gt;0),'SW OpInc'!Q59/'SW OpInc'!M59-1,""),"")</f>
        <v/>
      </c>
      <c r="N774" s="38">
        <f>IFERROR(IF(AND(ISNUMBER('SW OpInc'!R59),ISNUMBER('SW OpInc'!N59),'SW OpInc'!N59&gt;0),'SW OpInc'!R59/'SW OpInc'!N59-1,""),"")</f>
        <v/>
      </c>
    </row>
    <row r="775">
      <c r="A775" s="19">
        <f>'SW Rev'!$A60</f>
        <v/>
      </c>
      <c r="B775" s="19">
        <f>'SW Rev'!$B60</f>
        <v/>
      </c>
      <c r="C775" s="37">
        <f>IFERROR(IF(AND(ISNUMBER('SW OpInc'!G60),ISNUMBER('SW OpInc'!C60),'SW OpInc'!C60&gt;0),'SW OpInc'!G60/'SW OpInc'!C60-1,""),"")</f>
        <v/>
      </c>
      <c r="D775" s="37">
        <f>IFERROR(IF(AND(ISNUMBER('SW OpInc'!H60),ISNUMBER('SW OpInc'!D60),'SW OpInc'!D60&gt;0),'SW OpInc'!H60/'SW OpInc'!D60-1,""),"")</f>
        <v/>
      </c>
      <c r="E775" s="37">
        <f>IFERROR(IF(AND(ISNUMBER('SW OpInc'!I60),ISNUMBER('SW OpInc'!E60),'SW OpInc'!E60&gt;0),'SW OpInc'!I60/'SW OpInc'!E60-1,""),"")</f>
        <v/>
      </c>
      <c r="F775" s="37">
        <f>IFERROR(IF(AND(ISNUMBER('SW OpInc'!J60),ISNUMBER('SW OpInc'!F60),'SW OpInc'!F60&gt;0),'SW OpInc'!J60/'SW OpInc'!F60-1,""),"")</f>
        <v/>
      </c>
      <c r="G775" s="37">
        <f>IFERROR(IF(AND(ISNUMBER('SW OpInc'!K60),ISNUMBER('SW OpInc'!G60),'SW OpInc'!G60&gt;0),'SW OpInc'!K60/'SW OpInc'!G60-1,""),"")</f>
        <v/>
      </c>
      <c r="H775" s="37">
        <f>IFERROR(IF(AND(ISNUMBER('SW OpInc'!L60),ISNUMBER('SW OpInc'!H60),'SW OpInc'!H60&gt;0),'SW OpInc'!L60/'SW OpInc'!H60-1,""),"")</f>
        <v/>
      </c>
      <c r="I775" s="37">
        <f>IFERROR(IF(AND(ISNUMBER('SW OpInc'!M60),ISNUMBER('SW OpInc'!I60),'SW OpInc'!I60&gt;0),'SW OpInc'!M60/'SW OpInc'!I60-1,""),"")</f>
        <v/>
      </c>
      <c r="J775" s="37">
        <f>IFERROR(IF(AND(ISNUMBER('SW OpInc'!N60),ISNUMBER('SW OpInc'!J60),'SW OpInc'!J60&gt;0),'SW OpInc'!N60/'SW OpInc'!J60-1,""),"")</f>
        <v/>
      </c>
      <c r="K775" s="37">
        <f>IFERROR(IF(AND(ISNUMBER('SW OpInc'!O60),ISNUMBER('SW OpInc'!K60),'SW OpInc'!K60&gt;0),'SW OpInc'!O60/'SW OpInc'!K60-1,""),"")</f>
        <v/>
      </c>
      <c r="L775" s="37">
        <f>IFERROR(IF(AND(ISNUMBER('SW OpInc'!P60),ISNUMBER('SW OpInc'!L60),'SW OpInc'!L60&gt;0),'SW OpInc'!P60/'SW OpInc'!L60-1,""),"")</f>
        <v/>
      </c>
      <c r="M775" s="38">
        <f>IFERROR(IF(AND(ISNUMBER('SW OpInc'!Q60),ISNUMBER('SW OpInc'!M60),'SW OpInc'!M60&gt;0),'SW OpInc'!Q60/'SW OpInc'!M60-1,""),"")</f>
        <v/>
      </c>
      <c r="N775" s="38">
        <f>IFERROR(IF(AND(ISNUMBER('SW OpInc'!R60),ISNUMBER('SW OpInc'!N60),'SW OpInc'!N60&gt;0),'SW OpInc'!R60/'SW OpInc'!N60-1,""),"")</f>
        <v/>
      </c>
    </row>
    <row r="776">
      <c r="A776" s="19">
        <f>'SW Rev'!$A61</f>
        <v/>
      </c>
      <c r="B776" s="19">
        <f>'SW Rev'!$B61</f>
        <v/>
      </c>
      <c r="C776" s="37">
        <f>IFERROR(IF(AND(ISNUMBER('SW OpInc'!G61),ISNUMBER('SW OpInc'!C61),'SW OpInc'!C61&gt;0),'SW OpInc'!G61/'SW OpInc'!C61-1,""),"")</f>
        <v/>
      </c>
      <c r="D776" s="37">
        <f>IFERROR(IF(AND(ISNUMBER('SW OpInc'!H61),ISNUMBER('SW OpInc'!D61),'SW OpInc'!D61&gt;0),'SW OpInc'!H61/'SW OpInc'!D61-1,""),"")</f>
        <v/>
      </c>
      <c r="E776" s="37">
        <f>IFERROR(IF(AND(ISNUMBER('SW OpInc'!I61),ISNUMBER('SW OpInc'!E61),'SW OpInc'!E61&gt;0),'SW OpInc'!I61/'SW OpInc'!E61-1,""),"")</f>
        <v/>
      </c>
      <c r="F776" s="37">
        <f>IFERROR(IF(AND(ISNUMBER('SW OpInc'!J61),ISNUMBER('SW OpInc'!F61),'SW OpInc'!F61&gt;0),'SW OpInc'!J61/'SW OpInc'!F61-1,""),"")</f>
        <v/>
      </c>
      <c r="G776" s="37">
        <f>IFERROR(IF(AND(ISNUMBER('SW OpInc'!K61),ISNUMBER('SW OpInc'!G61),'SW OpInc'!G61&gt;0),'SW OpInc'!K61/'SW OpInc'!G61-1,""),"")</f>
        <v/>
      </c>
      <c r="H776" s="37">
        <f>IFERROR(IF(AND(ISNUMBER('SW OpInc'!L61),ISNUMBER('SW OpInc'!H61),'SW OpInc'!H61&gt;0),'SW OpInc'!L61/'SW OpInc'!H61-1,""),"")</f>
        <v/>
      </c>
      <c r="I776" s="37">
        <f>IFERROR(IF(AND(ISNUMBER('SW OpInc'!M61),ISNUMBER('SW OpInc'!I61),'SW OpInc'!I61&gt;0),'SW OpInc'!M61/'SW OpInc'!I61-1,""),"")</f>
        <v/>
      </c>
      <c r="J776" s="37">
        <f>IFERROR(IF(AND(ISNUMBER('SW OpInc'!N61),ISNUMBER('SW OpInc'!J61),'SW OpInc'!J61&gt;0),'SW OpInc'!N61/'SW OpInc'!J61-1,""),"")</f>
        <v/>
      </c>
      <c r="K776" s="37">
        <f>IFERROR(IF(AND(ISNUMBER('SW OpInc'!O61),ISNUMBER('SW OpInc'!K61),'SW OpInc'!K61&gt;0),'SW OpInc'!O61/'SW OpInc'!K61-1,""),"")</f>
        <v/>
      </c>
      <c r="L776" s="37">
        <f>IFERROR(IF(AND(ISNUMBER('SW OpInc'!P61),ISNUMBER('SW OpInc'!L61),'SW OpInc'!L61&gt;0),'SW OpInc'!P61/'SW OpInc'!L61-1,""),"")</f>
        <v/>
      </c>
      <c r="M776" s="38">
        <f>IFERROR(IF(AND(ISNUMBER('SW OpInc'!Q61),ISNUMBER('SW OpInc'!M61),'SW OpInc'!M61&gt;0),'SW OpInc'!Q61/'SW OpInc'!M61-1,""),"")</f>
        <v/>
      </c>
      <c r="N776" s="38">
        <f>IFERROR(IF(AND(ISNUMBER('SW OpInc'!R61),ISNUMBER('SW OpInc'!N61),'SW OpInc'!N61&gt;0),'SW OpInc'!R61/'SW OpInc'!N61-1,""),"")</f>
        <v/>
      </c>
    </row>
    <row r="777">
      <c r="A777" s="19">
        <f>'SW Rev'!$A62</f>
        <v/>
      </c>
      <c r="B777" s="19">
        <f>'SW Rev'!$B62</f>
        <v/>
      </c>
      <c r="C777" s="37">
        <f>IFERROR(IF(AND(ISNUMBER('SW OpInc'!G62),ISNUMBER('SW OpInc'!C62),'SW OpInc'!C62&gt;0),'SW OpInc'!G62/'SW OpInc'!C62-1,""),"")</f>
        <v/>
      </c>
      <c r="D777" s="37">
        <f>IFERROR(IF(AND(ISNUMBER('SW OpInc'!H62),ISNUMBER('SW OpInc'!D62),'SW OpInc'!D62&gt;0),'SW OpInc'!H62/'SW OpInc'!D62-1,""),"")</f>
        <v/>
      </c>
      <c r="E777" s="37">
        <f>IFERROR(IF(AND(ISNUMBER('SW OpInc'!I62),ISNUMBER('SW OpInc'!E62),'SW OpInc'!E62&gt;0),'SW OpInc'!I62/'SW OpInc'!E62-1,""),"")</f>
        <v/>
      </c>
      <c r="F777" s="37">
        <f>IFERROR(IF(AND(ISNUMBER('SW OpInc'!J62),ISNUMBER('SW OpInc'!F62),'SW OpInc'!F62&gt;0),'SW OpInc'!J62/'SW OpInc'!F62-1,""),"")</f>
        <v/>
      </c>
      <c r="G777" s="37">
        <f>IFERROR(IF(AND(ISNUMBER('SW OpInc'!K62),ISNUMBER('SW OpInc'!G62),'SW OpInc'!G62&gt;0),'SW OpInc'!K62/'SW OpInc'!G62-1,""),"")</f>
        <v/>
      </c>
      <c r="H777" s="37">
        <f>IFERROR(IF(AND(ISNUMBER('SW OpInc'!L62),ISNUMBER('SW OpInc'!H62),'SW OpInc'!H62&gt;0),'SW OpInc'!L62/'SW OpInc'!H62-1,""),"")</f>
        <v/>
      </c>
      <c r="I777" s="37">
        <f>IFERROR(IF(AND(ISNUMBER('SW OpInc'!M62),ISNUMBER('SW OpInc'!I62),'SW OpInc'!I62&gt;0),'SW OpInc'!M62/'SW OpInc'!I62-1,""),"")</f>
        <v/>
      </c>
      <c r="J777" s="37">
        <f>IFERROR(IF(AND(ISNUMBER('SW OpInc'!N62),ISNUMBER('SW OpInc'!J62),'SW OpInc'!J62&gt;0),'SW OpInc'!N62/'SW OpInc'!J62-1,""),"")</f>
        <v/>
      </c>
      <c r="K777" s="37">
        <f>IFERROR(IF(AND(ISNUMBER('SW OpInc'!O62),ISNUMBER('SW OpInc'!K62),'SW OpInc'!K62&gt;0),'SW OpInc'!O62/'SW OpInc'!K62-1,""),"")</f>
        <v/>
      </c>
      <c r="L777" s="37">
        <f>IFERROR(IF(AND(ISNUMBER('SW OpInc'!P62),ISNUMBER('SW OpInc'!L62),'SW OpInc'!L62&gt;0),'SW OpInc'!P62/'SW OpInc'!L62-1,""),"")</f>
        <v/>
      </c>
      <c r="M777" s="38">
        <f>IFERROR(IF(AND(ISNUMBER('SW OpInc'!Q62),ISNUMBER('SW OpInc'!M62),'SW OpInc'!M62&gt;0),'SW OpInc'!Q62/'SW OpInc'!M62-1,""),"")</f>
        <v/>
      </c>
      <c r="N777" s="38">
        <f>IFERROR(IF(AND(ISNUMBER('SW OpInc'!R62),ISNUMBER('SW OpInc'!N62),'SW OpInc'!N62&gt;0),'SW OpInc'!R62/'SW OpInc'!N62-1,""),"")</f>
        <v/>
      </c>
    </row>
    <row r="778">
      <c r="A778" s="19">
        <f>'SW Rev'!$A63</f>
        <v/>
      </c>
      <c r="B778" s="19">
        <f>'SW Rev'!$B63</f>
        <v/>
      </c>
      <c r="C778" s="37">
        <f>IFERROR(IF(AND(ISNUMBER('SW OpInc'!G63),ISNUMBER('SW OpInc'!C63),'SW OpInc'!C63&gt;0),'SW OpInc'!G63/'SW OpInc'!C63-1,""),"")</f>
        <v/>
      </c>
      <c r="D778" s="37">
        <f>IFERROR(IF(AND(ISNUMBER('SW OpInc'!H63),ISNUMBER('SW OpInc'!D63),'SW OpInc'!D63&gt;0),'SW OpInc'!H63/'SW OpInc'!D63-1,""),"")</f>
        <v/>
      </c>
      <c r="E778" s="37">
        <f>IFERROR(IF(AND(ISNUMBER('SW OpInc'!I63),ISNUMBER('SW OpInc'!E63),'SW OpInc'!E63&gt;0),'SW OpInc'!I63/'SW OpInc'!E63-1,""),"")</f>
        <v/>
      </c>
      <c r="F778" s="37">
        <f>IFERROR(IF(AND(ISNUMBER('SW OpInc'!J63),ISNUMBER('SW OpInc'!F63),'SW OpInc'!F63&gt;0),'SW OpInc'!J63/'SW OpInc'!F63-1,""),"")</f>
        <v/>
      </c>
      <c r="G778" s="37">
        <f>IFERROR(IF(AND(ISNUMBER('SW OpInc'!K63),ISNUMBER('SW OpInc'!G63),'SW OpInc'!G63&gt;0),'SW OpInc'!K63/'SW OpInc'!G63-1,""),"")</f>
        <v/>
      </c>
      <c r="H778" s="37">
        <f>IFERROR(IF(AND(ISNUMBER('SW OpInc'!L63),ISNUMBER('SW OpInc'!H63),'SW OpInc'!H63&gt;0),'SW OpInc'!L63/'SW OpInc'!H63-1,""),"")</f>
        <v/>
      </c>
      <c r="I778" s="37">
        <f>IFERROR(IF(AND(ISNUMBER('SW OpInc'!M63),ISNUMBER('SW OpInc'!I63),'SW OpInc'!I63&gt;0),'SW OpInc'!M63/'SW OpInc'!I63-1,""),"")</f>
        <v/>
      </c>
      <c r="J778" s="37">
        <f>IFERROR(IF(AND(ISNUMBER('SW OpInc'!N63),ISNUMBER('SW OpInc'!J63),'SW OpInc'!J63&gt;0),'SW OpInc'!N63/'SW OpInc'!J63-1,""),"")</f>
        <v/>
      </c>
      <c r="K778" s="37">
        <f>IFERROR(IF(AND(ISNUMBER('SW OpInc'!O63),ISNUMBER('SW OpInc'!K63),'SW OpInc'!K63&gt;0),'SW OpInc'!O63/'SW OpInc'!K63-1,""),"")</f>
        <v/>
      </c>
      <c r="L778" s="37">
        <f>IFERROR(IF(AND(ISNUMBER('SW OpInc'!P63),ISNUMBER('SW OpInc'!L63),'SW OpInc'!L63&gt;0),'SW OpInc'!P63/'SW OpInc'!L63-1,""),"")</f>
        <v/>
      </c>
      <c r="M778" s="38">
        <f>IFERROR(IF(AND(ISNUMBER('SW OpInc'!Q63),ISNUMBER('SW OpInc'!M63),'SW OpInc'!M63&gt;0),'SW OpInc'!Q63/'SW OpInc'!M63-1,""),"")</f>
        <v/>
      </c>
      <c r="N778" s="38">
        <f>IFERROR(IF(AND(ISNUMBER('SW OpInc'!R63),ISNUMBER('SW OpInc'!N63),'SW OpInc'!N63&gt;0),'SW OpInc'!R63/'SW OpInc'!N63-1,""),"")</f>
        <v/>
      </c>
    </row>
    <row r="779">
      <c r="A779" s="19">
        <f>'SW Rev'!$A64</f>
        <v/>
      </c>
      <c r="B779" s="19">
        <f>'SW Rev'!$B64</f>
        <v/>
      </c>
      <c r="C779" s="37">
        <f>IFERROR(IF(AND(ISNUMBER('SW OpInc'!G64),ISNUMBER('SW OpInc'!C64),'SW OpInc'!C64&gt;0),'SW OpInc'!G64/'SW OpInc'!C64-1,""),"")</f>
        <v/>
      </c>
      <c r="D779" s="37">
        <f>IFERROR(IF(AND(ISNUMBER('SW OpInc'!H64),ISNUMBER('SW OpInc'!D64),'SW OpInc'!D64&gt;0),'SW OpInc'!H64/'SW OpInc'!D64-1,""),"")</f>
        <v/>
      </c>
      <c r="E779" s="37">
        <f>IFERROR(IF(AND(ISNUMBER('SW OpInc'!I64),ISNUMBER('SW OpInc'!E64),'SW OpInc'!E64&gt;0),'SW OpInc'!I64/'SW OpInc'!E64-1,""),"")</f>
        <v/>
      </c>
      <c r="F779" s="37">
        <f>IFERROR(IF(AND(ISNUMBER('SW OpInc'!J64),ISNUMBER('SW OpInc'!F64),'SW OpInc'!F64&gt;0),'SW OpInc'!J64/'SW OpInc'!F64-1,""),"")</f>
        <v/>
      </c>
      <c r="G779" s="37">
        <f>IFERROR(IF(AND(ISNUMBER('SW OpInc'!K64),ISNUMBER('SW OpInc'!G64),'SW OpInc'!G64&gt;0),'SW OpInc'!K64/'SW OpInc'!G64-1,""),"")</f>
        <v/>
      </c>
      <c r="H779" s="37">
        <f>IFERROR(IF(AND(ISNUMBER('SW OpInc'!L64),ISNUMBER('SW OpInc'!H64),'SW OpInc'!H64&gt;0),'SW OpInc'!L64/'SW OpInc'!H64-1,""),"")</f>
        <v/>
      </c>
      <c r="I779" s="37">
        <f>IFERROR(IF(AND(ISNUMBER('SW OpInc'!M64),ISNUMBER('SW OpInc'!I64),'SW OpInc'!I64&gt;0),'SW OpInc'!M64/'SW OpInc'!I64-1,""),"")</f>
        <v/>
      </c>
      <c r="J779" s="37">
        <f>IFERROR(IF(AND(ISNUMBER('SW OpInc'!N64),ISNUMBER('SW OpInc'!J64),'SW OpInc'!J64&gt;0),'SW OpInc'!N64/'SW OpInc'!J64-1,""),"")</f>
        <v/>
      </c>
      <c r="K779" s="37">
        <f>IFERROR(IF(AND(ISNUMBER('SW OpInc'!O64),ISNUMBER('SW OpInc'!K64),'SW OpInc'!K64&gt;0),'SW OpInc'!O64/'SW OpInc'!K64-1,""),"")</f>
        <v/>
      </c>
      <c r="L779" s="37">
        <f>IFERROR(IF(AND(ISNUMBER('SW OpInc'!P64),ISNUMBER('SW OpInc'!L64),'SW OpInc'!L64&gt;0),'SW OpInc'!P64/'SW OpInc'!L64-1,""),"")</f>
        <v/>
      </c>
      <c r="M779" s="38">
        <f>IFERROR(IF(AND(ISNUMBER('SW OpInc'!Q64),ISNUMBER('SW OpInc'!M64),'SW OpInc'!M64&gt;0),'SW OpInc'!Q64/'SW OpInc'!M64-1,""),"")</f>
        <v/>
      </c>
      <c r="N779" s="38">
        <f>IFERROR(IF(AND(ISNUMBER('SW OpInc'!R64),ISNUMBER('SW OpInc'!N64),'SW OpInc'!N64&gt;0),'SW OpInc'!R64/'SW OpInc'!N64-1,""),"")</f>
        <v/>
      </c>
    </row>
    <row r="780">
      <c r="A780" s="19">
        <f>'SW Rev'!$A65</f>
        <v/>
      </c>
      <c r="B780" s="19">
        <f>'SW Rev'!$B65</f>
        <v/>
      </c>
      <c r="C780" s="37">
        <f>IFERROR(IF(AND(ISNUMBER('SW OpInc'!G65),ISNUMBER('SW OpInc'!C65),'SW OpInc'!C65&gt;0),'SW OpInc'!G65/'SW OpInc'!C65-1,""),"")</f>
        <v/>
      </c>
      <c r="D780" s="37">
        <f>IFERROR(IF(AND(ISNUMBER('SW OpInc'!H65),ISNUMBER('SW OpInc'!D65),'SW OpInc'!D65&gt;0),'SW OpInc'!H65/'SW OpInc'!D65-1,""),"")</f>
        <v/>
      </c>
      <c r="E780" s="37">
        <f>IFERROR(IF(AND(ISNUMBER('SW OpInc'!I65),ISNUMBER('SW OpInc'!E65),'SW OpInc'!E65&gt;0),'SW OpInc'!I65/'SW OpInc'!E65-1,""),"")</f>
        <v/>
      </c>
      <c r="F780" s="37">
        <f>IFERROR(IF(AND(ISNUMBER('SW OpInc'!J65),ISNUMBER('SW OpInc'!F65),'SW OpInc'!F65&gt;0),'SW OpInc'!J65/'SW OpInc'!F65-1,""),"")</f>
        <v/>
      </c>
      <c r="G780" s="37">
        <f>IFERROR(IF(AND(ISNUMBER('SW OpInc'!K65),ISNUMBER('SW OpInc'!G65),'SW OpInc'!G65&gt;0),'SW OpInc'!K65/'SW OpInc'!G65-1,""),"")</f>
        <v/>
      </c>
      <c r="H780" s="37">
        <f>IFERROR(IF(AND(ISNUMBER('SW OpInc'!L65),ISNUMBER('SW OpInc'!H65),'SW OpInc'!H65&gt;0),'SW OpInc'!L65/'SW OpInc'!H65-1,""),"")</f>
        <v/>
      </c>
      <c r="I780" s="37">
        <f>IFERROR(IF(AND(ISNUMBER('SW OpInc'!M65),ISNUMBER('SW OpInc'!I65),'SW OpInc'!I65&gt;0),'SW OpInc'!M65/'SW OpInc'!I65-1,""),"")</f>
        <v/>
      </c>
      <c r="J780" s="37">
        <f>IFERROR(IF(AND(ISNUMBER('SW OpInc'!N65),ISNUMBER('SW OpInc'!J65),'SW OpInc'!J65&gt;0),'SW OpInc'!N65/'SW OpInc'!J65-1,""),"")</f>
        <v/>
      </c>
      <c r="K780" s="37">
        <f>IFERROR(IF(AND(ISNUMBER('SW OpInc'!O65),ISNUMBER('SW OpInc'!K65),'SW OpInc'!K65&gt;0),'SW OpInc'!O65/'SW OpInc'!K65-1,""),"")</f>
        <v/>
      </c>
      <c r="L780" s="37">
        <f>IFERROR(IF(AND(ISNUMBER('SW OpInc'!P65),ISNUMBER('SW OpInc'!L65),'SW OpInc'!L65&gt;0),'SW OpInc'!P65/'SW OpInc'!L65-1,""),"")</f>
        <v/>
      </c>
      <c r="M780" s="38">
        <f>IFERROR(IF(AND(ISNUMBER('SW OpInc'!Q65),ISNUMBER('SW OpInc'!M65),'SW OpInc'!M65&gt;0),'SW OpInc'!Q65/'SW OpInc'!M65-1,""),"")</f>
        <v/>
      </c>
      <c r="N780" s="38">
        <f>IFERROR(IF(AND(ISNUMBER('SW OpInc'!R65),ISNUMBER('SW OpInc'!N65),'SW OpInc'!N65&gt;0),'SW OpInc'!R65/'SW OpInc'!N65-1,""),"")</f>
        <v/>
      </c>
    </row>
    <row r="781">
      <c r="A781" s="19">
        <f>'SW Rev'!$A66</f>
        <v/>
      </c>
      <c r="B781" s="19">
        <f>'SW Rev'!$B66</f>
        <v/>
      </c>
      <c r="C781" s="37">
        <f>IFERROR(IF(AND(ISNUMBER('SW OpInc'!G66),ISNUMBER('SW OpInc'!C66),'SW OpInc'!C66&gt;0),'SW OpInc'!G66/'SW OpInc'!C66-1,""),"")</f>
        <v/>
      </c>
      <c r="D781" s="37">
        <f>IFERROR(IF(AND(ISNUMBER('SW OpInc'!H66),ISNUMBER('SW OpInc'!D66),'SW OpInc'!D66&gt;0),'SW OpInc'!H66/'SW OpInc'!D66-1,""),"")</f>
        <v/>
      </c>
      <c r="E781" s="37">
        <f>IFERROR(IF(AND(ISNUMBER('SW OpInc'!I66),ISNUMBER('SW OpInc'!E66),'SW OpInc'!E66&gt;0),'SW OpInc'!I66/'SW OpInc'!E66-1,""),"")</f>
        <v/>
      </c>
      <c r="F781" s="37">
        <f>IFERROR(IF(AND(ISNUMBER('SW OpInc'!J66),ISNUMBER('SW OpInc'!F66),'SW OpInc'!F66&gt;0),'SW OpInc'!J66/'SW OpInc'!F66-1,""),"")</f>
        <v/>
      </c>
      <c r="G781" s="37">
        <f>IFERROR(IF(AND(ISNUMBER('SW OpInc'!K66),ISNUMBER('SW OpInc'!G66),'SW OpInc'!G66&gt;0),'SW OpInc'!K66/'SW OpInc'!G66-1,""),"")</f>
        <v/>
      </c>
      <c r="H781" s="37">
        <f>IFERROR(IF(AND(ISNUMBER('SW OpInc'!L66),ISNUMBER('SW OpInc'!H66),'SW OpInc'!H66&gt;0),'SW OpInc'!L66/'SW OpInc'!H66-1,""),"")</f>
        <v/>
      </c>
      <c r="I781" s="37">
        <f>IFERROR(IF(AND(ISNUMBER('SW OpInc'!M66),ISNUMBER('SW OpInc'!I66),'SW OpInc'!I66&gt;0),'SW OpInc'!M66/'SW OpInc'!I66-1,""),"")</f>
        <v/>
      </c>
      <c r="J781" s="37">
        <f>IFERROR(IF(AND(ISNUMBER('SW OpInc'!N66),ISNUMBER('SW OpInc'!J66),'SW OpInc'!J66&gt;0),'SW OpInc'!N66/'SW OpInc'!J66-1,""),"")</f>
        <v/>
      </c>
      <c r="K781" s="37">
        <f>IFERROR(IF(AND(ISNUMBER('SW OpInc'!O66),ISNUMBER('SW OpInc'!K66),'SW OpInc'!K66&gt;0),'SW OpInc'!O66/'SW OpInc'!K66-1,""),"")</f>
        <v/>
      </c>
      <c r="L781" s="37">
        <f>IFERROR(IF(AND(ISNUMBER('SW OpInc'!P66),ISNUMBER('SW OpInc'!L66),'SW OpInc'!L66&gt;0),'SW OpInc'!P66/'SW OpInc'!L66-1,""),"")</f>
        <v/>
      </c>
      <c r="M781" s="38">
        <f>IFERROR(IF(AND(ISNUMBER('SW OpInc'!Q66),ISNUMBER('SW OpInc'!M66),'SW OpInc'!M66&gt;0),'SW OpInc'!Q66/'SW OpInc'!M66-1,""),"")</f>
        <v/>
      </c>
      <c r="N781" s="38">
        <f>IFERROR(IF(AND(ISNUMBER('SW OpInc'!R66),ISNUMBER('SW OpInc'!N66),'SW OpInc'!N66&gt;0),'SW OpInc'!R66/'SW OpInc'!N66-1,""),"")</f>
        <v/>
      </c>
    </row>
    <row r="782">
      <c r="A782" s="19">
        <f>'SW Rev'!$A67</f>
        <v/>
      </c>
      <c r="B782" s="19">
        <f>'SW Rev'!$B67</f>
        <v/>
      </c>
      <c r="C782" s="37">
        <f>IFERROR(IF(AND(ISNUMBER('SW OpInc'!G67),ISNUMBER('SW OpInc'!C67),'SW OpInc'!C67&gt;0),'SW OpInc'!G67/'SW OpInc'!C67-1,""),"")</f>
        <v/>
      </c>
      <c r="D782" s="37">
        <f>IFERROR(IF(AND(ISNUMBER('SW OpInc'!H67),ISNUMBER('SW OpInc'!D67),'SW OpInc'!D67&gt;0),'SW OpInc'!H67/'SW OpInc'!D67-1,""),"")</f>
        <v/>
      </c>
      <c r="E782" s="37">
        <f>IFERROR(IF(AND(ISNUMBER('SW OpInc'!I67),ISNUMBER('SW OpInc'!E67),'SW OpInc'!E67&gt;0),'SW OpInc'!I67/'SW OpInc'!E67-1,""),"")</f>
        <v/>
      </c>
      <c r="F782" s="37">
        <f>IFERROR(IF(AND(ISNUMBER('SW OpInc'!J67),ISNUMBER('SW OpInc'!F67),'SW OpInc'!F67&gt;0),'SW OpInc'!J67/'SW OpInc'!F67-1,""),"")</f>
        <v/>
      </c>
      <c r="G782" s="37">
        <f>IFERROR(IF(AND(ISNUMBER('SW OpInc'!K67),ISNUMBER('SW OpInc'!G67),'SW OpInc'!G67&gt;0),'SW OpInc'!K67/'SW OpInc'!G67-1,""),"")</f>
        <v/>
      </c>
      <c r="H782" s="37">
        <f>IFERROR(IF(AND(ISNUMBER('SW OpInc'!L67),ISNUMBER('SW OpInc'!H67),'SW OpInc'!H67&gt;0),'SW OpInc'!L67/'SW OpInc'!H67-1,""),"")</f>
        <v/>
      </c>
      <c r="I782" s="37">
        <f>IFERROR(IF(AND(ISNUMBER('SW OpInc'!M67),ISNUMBER('SW OpInc'!I67),'SW OpInc'!I67&gt;0),'SW OpInc'!M67/'SW OpInc'!I67-1,""),"")</f>
        <v/>
      </c>
      <c r="J782" s="37">
        <f>IFERROR(IF(AND(ISNUMBER('SW OpInc'!N67),ISNUMBER('SW OpInc'!J67),'SW OpInc'!J67&gt;0),'SW OpInc'!N67/'SW OpInc'!J67-1,""),"")</f>
        <v/>
      </c>
      <c r="K782" s="37">
        <f>IFERROR(IF(AND(ISNUMBER('SW OpInc'!O67),ISNUMBER('SW OpInc'!K67),'SW OpInc'!K67&gt;0),'SW OpInc'!O67/'SW OpInc'!K67-1,""),"")</f>
        <v/>
      </c>
      <c r="L782" s="37">
        <f>IFERROR(IF(AND(ISNUMBER('SW OpInc'!P67),ISNUMBER('SW OpInc'!L67),'SW OpInc'!L67&gt;0),'SW OpInc'!P67/'SW OpInc'!L67-1,""),"")</f>
        <v/>
      </c>
      <c r="M782" s="38">
        <f>IFERROR(IF(AND(ISNUMBER('SW OpInc'!Q67),ISNUMBER('SW OpInc'!M67),'SW OpInc'!M67&gt;0),'SW OpInc'!Q67/'SW OpInc'!M67-1,""),"")</f>
        <v/>
      </c>
      <c r="N782" s="38">
        <f>IFERROR(IF(AND(ISNUMBER('SW OpInc'!R67),ISNUMBER('SW OpInc'!N67),'SW OpInc'!N67&gt;0),'SW OpInc'!R67/'SW OpInc'!N67-1,""),"")</f>
        <v/>
      </c>
    </row>
    <row r="783">
      <c r="A783" s="19">
        <f>'SW Rev'!$A68</f>
        <v/>
      </c>
      <c r="B783" s="19">
        <f>'SW Rev'!$B68</f>
        <v/>
      </c>
      <c r="C783" s="37">
        <f>IFERROR(IF(AND(ISNUMBER('SW OpInc'!G68),ISNUMBER('SW OpInc'!C68),'SW OpInc'!C68&gt;0),'SW OpInc'!G68/'SW OpInc'!C68-1,""),"")</f>
        <v/>
      </c>
      <c r="D783" s="37">
        <f>IFERROR(IF(AND(ISNUMBER('SW OpInc'!H68),ISNUMBER('SW OpInc'!D68),'SW OpInc'!D68&gt;0),'SW OpInc'!H68/'SW OpInc'!D68-1,""),"")</f>
        <v/>
      </c>
      <c r="E783" s="37">
        <f>IFERROR(IF(AND(ISNUMBER('SW OpInc'!I68),ISNUMBER('SW OpInc'!E68),'SW OpInc'!E68&gt;0),'SW OpInc'!I68/'SW OpInc'!E68-1,""),"")</f>
        <v/>
      </c>
      <c r="F783" s="37">
        <f>IFERROR(IF(AND(ISNUMBER('SW OpInc'!J68),ISNUMBER('SW OpInc'!F68),'SW OpInc'!F68&gt;0),'SW OpInc'!J68/'SW OpInc'!F68-1,""),"")</f>
        <v/>
      </c>
      <c r="G783" s="37">
        <f>IFERROR(IF(AND(ISNUMBER('SW OpInc'!K68),ISNUMBER('SW OpInc'!G68),'SW OpInc'!G68&gt;0),'SW OpInc'!K68/'SW OpInc'!G68-1,""),"")</f>
        <v/>
      </c>
      <c r="H783" s="37">
        <f>IFERROR(IF(AND(ISNUMBER('SW OpInc'!L68),ISNUMBER('SW OpInc'!H68),'SW OpInc'!H68&gt;0),'SW OpInc'!L68/'SW OpInc'!H68-1,""),"")</f>
        <v/>
      </c>
      <c r="I783" s="37">
        <f>IFERROR(IF(AND(ISNUMBER('SW OpInc'!M68),ISNUMBER('SW OpInc'!I68),'SW OpInc'!I68&gt;0),'SW OpInc'!M68/'SW OpInc'!I68-1,""),"")</f>
        <v/>
      </c>
      <c r="J783" s="37">
        <f>IFERROR(IF(AND(ISNUMBER('SW OpInc'!N68),ISNUMBER('SW OpInc'!J68),'SW OpInc'!J68&gt;0),'SW OpInc'!N68/'SW OpInc'!J68-1,""),"")</f>
        <v/>
      </c>
      <c r="K783" s="37">
        <f>IFERROR(IF(AND(ISNUMBER('SW OpInc'!O68),ISNUMBER('SW OpInc'!K68),'SW OpInc'!K68&gt;0),'SW OpInc'!O68/'SW OpInc'!K68-1,""),"")</f>
        <v/>
      </c>
      <c r="L783" s="37">
        <f>IFERROR(IF(AND(ISNUMBER('SW OpInc'!P68),ISNUMBER('SW OpInc'!L68),'SW OpInc'!L68&gt;0),'SW OpInc'!P68/'SW OpInc'!L68-1,""),"")</f>
        <v/>
      </c>
      <c r="M783" s="38">
        <f>IFERROR(IF(AND(ISNUMBER('SW OpInc'!Q68),ISNUMBER('SW OpInc'!M68),'SW OpInc'!M68&gt;0),'SW OpInc'!Q68/'SW OpInc'!M68-1,""),"")</f>
        <v/>
      </c>
      <c r="N783" s="38">
        <f>IFERROR(IF(AND(ISNUMBER('SW OpInc'!R68),ISNUMBER('SW OpInc'!N68),'SW OpInc'!N68&gt;0),'SW OpInc'!R68/'SW OpInc'!N68-1,""),"")</f>
        <v/>
      </c>
    </row>
    <row r="784">
      <c r="A784" s="19">
        <f>'SW Rev'!$A69</f>
        <v/>
      </c>
      <c r="B784" s="19">
        <f>'SW Rev'!$B69</f>
        <v/>
      </c>
      <c r="C784" s="37">
        <f>IFERROR(IF(AND(ISNUMBER('SW OpInc'!G69),ISNUMBER('SW OpInc'!C69),'SW OpInc'!C69&gt;0),'SW OpInc'!G69/'SW OpInc'!C69-1,""),"")</f>
        <v/>
      </c>
      <c r="D784" s="37">
        <f>IFERROR(IF(AND(ISNUMBER('SW OpInc'!H69),ISNUMBER('SW OpInc'!D69),'SW OpInc'!D69&gt;0),'SW OpInc'!H69/'SW OpInc'!D69-1,""),"")</f>
        <v/>
      </c>
      <c r="E784" s="37">
        <f>IFERROR(IF(AND(ISNUMBER('SW OpInc'!I69),ISNUMBER('SW OpInc'!E69),'SW OpInc'!E69&gt;0),'SW OpInc'!I69/'SW OpInc'!E69-1,""),"")</f>
        <v/>
      </c>
      <c r="F784" s="37">
        <f>IFERROR(IF(AND(ISNUMBER('SW OpInc'!J69),ISNUMBER('SW OpInc'!F69),'SW OpInc'!F69&gt;0),'SW OpInc'!J69/'SW OpInc'!F69-1,""),"")</f>
        <v/>
      </c>
      <c r="G784" s="37">
        <f>IFERROR(IF(AND(ISNUMBER('SW OpInc'!K69),ISNUMBER('SW OpInc'!G69),'SW OpInc'!G69&gt;0),'SW OpInc'!K69/'SW OpInc'!G69-1,""),"")</f>
        <v/>
      </c>
      <c r="H784" s="37">
        <f>IFERROR(IF(AND(ISNUMBER('SW OpInc'!L69),ISNUMBER('SW OpInc'!H69),'SW OpInc'!H69&gt;0),'SW OpInc'!L69/'SW OpInc'!H69-1,""),"")</f>
        <v/>
      </c>
      <c r="I784" s="37">
        <f>IFERROR(IF(AND(ISNUMBER('SW OpInc'!M69),ISNUMBER('SW OpInc'!I69),'SW OpInc'!I69&gt;0),'SW OpInc'!M69/'SW OpInc'!I69-1,""),"")</f>
        <v/>
      </c>
      <c r="J784" s="37">
        <f>IFERROR(IF(AND(ISNUMBER('SW OpInc'!N69),ISNUMBER('SW OpInc'!J69),'SW OpInc'!J69&gt;0),'SW OpInc'!N69/'SW OpInc'!J69-1,""),"")</f>
        <v/>
      </c>
      <c r="K784" s="37">
        <f>IFERROR(IF(AND(ISNUMBER('SW OpInc'!O69),ISNUMBER('SW OpInc'!K69),'SW OpInc'!K69&gt;0),'SW OpInc'!O69/'SW OpInc'!K69-1,""),"")</f>
        <v/>
      </c>
      <c r="L784" s="37">
        <f>IFERROR(IF(AND(ISNUMBER('SW OpInc'!P69),ISNUMBER('SW OpInc'!L69),'SW OpInc'!L69&gt;0),'SW OpInc'!P69/'SW OpInc'!L69-1,""),"")</f>
        <v/>
      </c>
      <c r="M784" s="38">
        <f>IFERROR(IF(AND(ISNUMBER('SW OpInc'!Q69),ISNUMBER('SW OpInc'!M69),'SW OpInc'!M69&gt;0),'SW OpInc'!Q69/'SW OpInc'!M69-1,""),"")</f>
        <v/>
      </c>
      <c r="N784" s="38">
        <f>IFERROR(IF(AND(ISNUMBER('SW OpInc'!R69),ISNUMBER('SW OpInc'!N69),'SW OpInc'!N69&gt;0),'SW OpInc'!R69/'SW OpInc'!N69-1,""),"")</f>
        <v/>
      </c>
    </row>
    <row r="785">
      <c r="A785" s="19">
        <f>'SW Rev'!$A70</f>
        <v/>
      </c>
      <c r="B785" s="19">
        <f>'SW Rev'!$B70</f>
        <v/>
      </c>
      <c r="C785" s="37">
        <f>IFERROR(IF(AND(ISNUMBER('SW OpInc'!G70),ISNUMBER('SW OpInc'!C70),'SW OpInc'!C70&gt;0),'SW OpInc'!G70/'SW OpInc'!C70-1,""),"")</f>
        <v/>
      </c>
      <c r="D785" s="37">
        <f>IFERROR(IF(AND(ISNUMBER('SW OpInc'!H70),ISNUMBER('SW OpInc'!D70),'SW OpInc'!D70&gt;0),'SW OpInc'!H70/'SW OpInc'!D70-1,""),"")</f>
        <v/>
      </c>
      <c r="E785" s="37">
        <f>IFERROR(IF(AND(ISNUMBER('SW OpInc'!I70),ISNUMBER('SW OpInc'!E70),'SW OpInc'!E70&gt;0),'SW OpInc'!I70/'SW OpInc'!E70-1,""),"")</f>
        <v/>
      </c>
      <c r="F785" s="37">
        <f>IFERROR(IF(AND(ISNUMBER('SW OpInc'!J70),ISNUMBER('SW OpInc'!F70),'SW OpInc'!F70&gt;0),'SW OpInc'!J70/'SW OpInc'!F70-1,""),"")</f>
        <v/>
      </c>
      <c r="G785" s="37">
        <f>IFERROR(IF(AND(ISNUMBER('SW OpInc'!K70),ISNUMBER('SW OpInc'!G70),'SW OpInc'!G70&gt;0),'SW OpInc'!K70/'SW OpInc'!G70-1,""),"")</f>
        <v/>
      </c>
      <c r="H785" s="37">
        <f>IFERROR(IF(AND(ISNUMBER('SW OpInc'!L70),ISNUMBER('SW OpInc'!H70),'SW OpInc'!H70&gt;0),'SW OpInc'!L70/'SW OpInc'!H70-1,""),"")</f>
        <v/>
      </c>
      <c r="I785" s="37">
        <f>IFERROR(IF(AND(ISNUMBER('SW OpInc'!M70),ISNUMBER('SW OpInc'!I70),'SW OpInc'!I70&gt;0),'SW OpInc'!M70/'SW OpInc'!I70-1,""),"")</f>
        <v/>
      </c>
      <c r="J785" s="37">
        <f>IFERROR(IF(AND(ISNUMBER('SW OpInc'!N70),ISNUMBER('SW OpInc'!J70),'SW OpInc'!J70&gt;0),'SW OpInc'!N70/'SW OpInc'!J70-1,""),"")</f>
        <v/>
      </c>
      <c r="K785" s="37">
        <f>IFERROR(IF(AND(ISNUMBER('SW OpInc'!O70),ISNUMBER('SW OpInc'!K70),'SW OpInc'!K70&gt;0),'SW OpInc'!O70/'SW OpInc'!K70-1,""),"")</f>
        <v/>
      </c>
      <c r="L785" s="37">
        <f>IFERROR(IF(AND(ISNUMBER('SW OpInc'!P70),ISNUMBER('SW OpInc'!L70),'SW OpInc'!L70&gt;0),'SW OpInc'!P70/'SW OpInc'!L70-1,""),"")</f>
        <v/>
      </c>
      <c r="M785" s="38">
        <f>IFERROR(IF(AND(ISNUMBER('SW OpInc'!Q70),ISNUMBER('SW OpInc'!M70),'SW OpInc'!M70&gt;0),'SW OpInc'!Q70/'SW OpInc'!M70-1,""),"")</f>
        <v/>
      </c>
      <c r="N785" s="38">
        <f>IFERROR(IF(AND(ISNUMBER('SW OpInc'!R70),ISNUMBER('SW OpInc'!N70),'SW OpInc'!N70&gt;0),'SW OpInc'!R70/'SW OpInc'!N70-1,""),"")</f>
        <v/>
      </c>
    </row>
    <row r="786">
      <c r="A786" s="19">
        <f>'SW Rev'!$A71</f>
        <v/>
      </c>
      <c r="B786" s="19">
        <f>'SW Rev'!$B71</f>
        <v/>
      </c>
      <c r="C786" s="37">
        <f>IFERROR(IF(AND(ISNUMBER('SW OpInc'!G71),ISNUMBER('SW OpInc'!C71),'SW OpInc'!C71&gt;0),'SW OpInc'!G71/'SW OpInc'!C71-1,""),"")</f>
        <v/>
      </c>
      <c r="D786" s="37">
        <f>IFERROR(IF(AND(ISNUMBER('SW OpInc'!H71),ISNUMBER('SW OpInc'!D71),'SW OpInc'!D71&gt;0),'SW OpInc'!H71/'SW OpInc'!D71-1,""),"")</f>
        <v/>
      </c>
      <c r="E786" s="37">
        <f>IFERROR(IF(AND(ISNUMBER('SW OpInc'!I71),ISNUMBER('SW OpInc'!E71),'SW OpInc'!E71&gt;0),'SW OpInc'!I71/'SW OpInc'!E71-1,""),"")</f>
        <v/>
      </c>
      <c r="F786" s="37">
        <f>IFERROR(IF(AND(ISNUMBER('SW OpInc'!J71),ISNUMBER('SW OpInc'!F71),'SW OpInc'!F71&gt;0),'SW OpInc'!J71/'SW OpInc'!F71-1,""),"")</f>
        <v/>
      </c>
      <c r="G786" s="37">
        <f>IFERROR(IF(AND(ISNUMBER('SW OpInc'!K71),ISNUMBER('SW OpInc'!G71),'SW OpInc'!G71&gt;0),'SW OpInc'!K71/'SW OpInc'!G71-1,""),"")</f>
        <v/>
      </c>
      <c r="H786" s="37">
        <f>IFERROR(IF(AND(ISNUMBER('SW OpInc'!L71),ISNUMBER('SW OpInc'!H71),'SW OpInc'!H71&gt;0),'SW OpInc'!L71/'SW OpInc'!H71-1,""),"")</f>
        <v/>
      </c>
      <c r="I786" s="37">
        <f>IFERROR(IF(AND(ISNUMBER('SW OpInc'!M71),ISNUMBER('SW OpInc'!I71),'SW OpInc'!I71&gt;0),'SW OpInc'!M71/'SW OpInc'!I71-1,""),"")</f>
        <v/>
      </c>
      <c r="J786" s="37">
        <f>IFERROR(IF(AND(ISNUMBER('SW OpInc'!N71),ISNUMBER('SW OpInc'!J71),'SW OpInc'!J71&gt;0),'SW OpInc'!N71/'SW OpInc'!J71-1,""),"")</f>
        <v/>
      </c>
      <c r="K786" s="37">
        <f>IFERROR(IF(AND(ISNUMBER('SW OpInc'!O71),ISNUMBER('SW OpInc'!K71),'SW OpInc'!K71&gt;0),'SW OpInc'!O71/'SW OpInc'!K71-1,""),"")</f>
        <v/>
      </c>
      <c r="L786" s="37">
        <f>IFERROR(IF(AND(ISNUMBER('SW OpInc'!P71),ISNUMBER('SW OpInc'!L71),'SW OpInc'!L71&gt;0),'SW OpInc'!P71/'SW OpInc'!L71-1,""),"")</f>
        <v/>
      </c>
      <c r="M786" s="38">
        <f>IFERROR(IF(AND(ISNUMBER('SW OpInc'!Q71),ISNUMBER('SW OpInc'!M71),'SW OpInc'!M71&gt;0),'SW OpInc'!Q71/'SW OpInc'!M71-1,""),"")</f>
        <v/>
      </c>
      <c r="N786" s="38">
        <f>IFERROR(IF(AND(ISNUMBER('SW OpInc'!R71),ISNUMBER('SW OpInc'!N71),'SW OpInc'!N71&gt;0),'SW OpInc'!R71/'SW OpInc'!N71-1,""),"")</f>
        <v/>
      </c>
    </row>
    <row r="787">
      <c r="A787" s="19">
        <f>'SW Rev'!$A72</f>
        <v/>
      </c>
      <c r="B787" s="19">
        <f>'SW Rev'!$B72</f>
        <v/>
      </c>
      <c r="C787" s="37">
        <f>IFERROR(IF(AND(ISNUMBER('SW OpInc'!G72),ISNUMBER('SW OpInc'!C72),'SW OpInc'!C72&gt;0),'SW OpInc'!G72/'SW OpInc'!C72-1,""),"")</f>
        <v/>
      </c>
      <c r="D787" s="37">
        <f>IFERROR(IF(AND(ISNUMBER('SW OpInc'!H72),ISNUMBER('SW OpInc'!D72),'SW OpInc'!D72&gt;0),'SW OpInc'!H72/'SW OpInc'!D72-1,""),"")</f>
        <v/>
      </c>
      <c r="E787" s="37">
        <f>IFERROR(IF(AND(ISNUMBER('SW OpInc'!I72),ISNUMBER('SW OpInc'!E72),'SW OpInc'!E72&gt;0),'SW OpInc'!I72/'SW OpInc'!E72-1,""),"")</f>
        <v/>
      </c>
      <c r="F787" s="37">
        <f>IFERROR(IF(AND(ISNUMBER('SW OpInc'!J72),ISNUMBER('SW OpInc'!F72),'SW OpInc'!F72&gt;0),'SW OpInc'!J72/'SW OpInc'!F72-1,""),"")</f>
        <v/>
      </c>
      <c r="G787" s="37">
        <f>IFERROR(IF(AND(ISNUMBER('SW OpInc'!K72),ISNUMBER('SW OpInc'!G72),'SW OpInc'!G72&gt;0),'SW OpInc'!K72/'SW OpInc'!G72-1,""),"")</f>
        <v/>
      </c>
      <c r="H787" s="37">
        <f>IFERROR(IF(AND(ISNUMBER('SW OpInc'!L72),ISNUMBER('SW OpInc'!H72),'SW OpInc'!H72&gt;0),'SW OpInc'!L72/'SW OpInc'!H72-1,""),"")</f>
        <v/>
      </c>
      <c r="I787" s="37">
        <f>IFERROR(IF(AND(ISNUMBER('SW OpInc'!M72),ISNUMBER('SW OpInc'!I72),'SW OpInc'!I72&gt;0),'SW OpInc'!M72/'SW OpInc'!I72-1,""),"")</f>
        <v/>
      </c>
      <c r="J787" s="37">
        <f>IFERROR(IF(AND(ISNUMBER('SW OpInc'!N72),ISNUMBER('SW OpInc'!J72),'SW OpInc'!J72&gt;0),'SW OpInc'!N72/'SW OpInc'!J72-1,""),"")</f>
        <v/>
      </c>
      <c r="K787" s="37">
        <f>IFERROR(IF(AND(ISNUMBER('SW OpInc'!O72),ISNUMBER('SW OpInc'!K72),'SW OpInc'!K72&gt;0),'SW OpInc'!O72/'SW OpInc'!K72-1,""),"")</f>
        <v/>
      </c>
      <c r="L787" s="37">
        <f>IFERROR(IF(AND(ISNUMBER('SW OpInc'!P72),ISNUMBER('SW OpInc'!L72),'SW OpInc'!L72&gt;0),'SW OpInc'!P72/'SW OpInc'!L72-1,""),"")</f>
        <v/>
      </c>
      <c r="M787" s="38">
        <f>IFERROR(IF(AND(ISNUMBER('SW OpInc'!Q72),ISNUMBER('SW OpInc'!M72),'SW OpInc'!M72&gt;0),'SW OpInc'!Q72/'SW OpInc'!M72-1,""),"")</f>
        <v/>
      </c>
      <c r="N787" s="38">
        <f>IFERROR(IF(AND(ISNUMBER('SW OpInc'!R72),ISNUMBER('SW OpInc'!N72),'SW OpInc'!N72&gt;0),'SW OpInc'!R72/'SW OpInc'!N72-1,""),"")</f>
        <v/>
      </c>
    </row>
    <row r="788">
      <c r="A788" s="19">
        <f>'SW Rev'!$A73</f>
        <v/>
      </c>
      <c r="B788" s="19">
        <f>'SW Rev'!$B73</f>
        <v/>
      </c>
      <c r="C788" s="37">
        <f>IFERROR(IF(AND(ISNUMBER('SW OpInc'!G73),ISNUMBER('SW OpInc'!C73),'SW OpInc'!C73&gt;0),'SW OpInc'!G73/'SW OpInc'!C73-1,""),"")</f>
        <v/>
      </c>
      <c r="D788" s="37">
        <f>IFERROR(IF(AND(ISNUMBER('SW OpInc'!H73),ISNUMBER('SW OpInc'!D73),'SW OpInc'!D73&gt;0),'SW OpInc'!H73/'SW OpInc'!D73-1,""),"")</f>
        <v/>
      </c>
      <c r="E788" s="37">
        <f>IFERROR(IF(AND(ISNUMBER('SW OpInc'!I73),ISNUMBER('SW OpInc'!E73),'SW OpInc'!E73&gt;0),'SW OpInc'!I73/'SW OpInc'!E73-1,""),"")</f>
        <v/>
      </c>
      <c r="F788" s="37">
        <f>IFERROR(IF(AND(ISNUMBER('SW OpInc'!J73),ISNUMBER('SW OpInc'!F73),'SW OpInc'!F73&gt;0),'SW OpInc'!J73/'SW OpInc'!F73-1,""),"")</f>
        <v/>
      </c>
      <c r="G788" s="37">
        <f>IFERROR(IF(AND(ISNUMBER('SW OpInc'!K73),ISNUMBER('SW OpInc'!G73),'SW OpInc'!G73&gt;0),'SW OpInc'!K73/'SW OpInc'!G73-1,""),"")</f>
        <v/>
      </c>
      <c r="H788" s="37">
        <f>IFERROR(IF(AND(ISNUMBER('SW OpInc'!L73),ISNUMBER('SW OpInc'!H73),'SW OpInc'!H73&gt;0),'SW OpInc'!L73/'SW OpInc'!H73-1,""),"")</f>
        <v/>
      </c>
      <c r="I788" s="37">
        <f>IFERROR(IF(AND(ISNUMBER('SW OpInc'!M73),ISNUMBER('SW OpInc'!I73),'SW OpInc'!I73&gt;0),'SW OpInc'!M73/'SW OpInc'!I73-1,""),"")</f>
        <v/>
      </c>
      <c r="J788" s="37">
        <f>IFERROR(IF(AND(ISNUMBER('SW OpInc'!N73),ISNUMBER('SW OpInc'!J73),'SW OpInc'!J73&gt;0),'SW OpInc'!N73/'SW OpInc'!J73-1,""),"")</f>
        <v/>
      </c>
      <c r="K788" s="37">
        <f>IFERROR(IF(AND(ISNUMBER('SW OpInc'!O73),ISNUMBER('SW OpInc'!K73),'SW OpInc'!K73&gt;0),'SW OpInc'!O73/'SW OpInc'!K73-1,""),"")</f>
        <v/>
      </c>
      <c r="L788" s="37">
        <f>IFERROR(IF(AND(ISNUMBER('SW OpInc'!P73),ISNUMBER('SW OpInc'!L73),'SW OpInc'!L73&gt;0),'SW OpInc'!P73/'SW OpInc'!L73-1,""),"")</f>
        <v/>
      </c>
      <c r="M788" s="38">
        <f>IFERROR(IF(AND(ISNUMBER('SW OpInc'!Q73),ISNUMBER('SW OpInc'!M73),'SW OpInc'!M73&gt;0),'SW OpInc'!Q73/'SW OpInc'!M73-1,""),"")</f>
        <v/>
      </c>
      <c r="N788" s="38">
        <f>IFERROR(IF(AND(ISNUMBER('SW OpInc'!R73),ISNUMBER('SW OpInc'!N73),'SW OpInc'!N73&gt;0),'SW OpInc'!R73/'SW OpInc'!N73-1,""),"")</f>
        <v/>
      </c>
    </row>
    <row r="789">
      <c r="A789" s="19">
        <f>'SW Rev'!$A74</f>
        <v/>
      </c>
      <c r="B789" s="19">
        <f>'SW Rev'!$B74</f>
        <v/>
      </c>
      <c r="C789" s="37">
        <f>IFERROR(IF(AND(ISNUMBER('SW OpInc'!G74),ISNUMBER('SW OpInc'!C74),'SW OpInc'!C74&gt;0),'SW OpInc'!G74/'SW OpInc'!C74-1,""),"")</f>
        <v/>
      </c>
      <c r="D789" s="37">
        <f>IFERROR(IF(AND(ISNUMBER('SW OpInc'!H74),ISNUMBER('SW OpInc'!D74),'SW OpInc'!D74&gt;0),'SW OpInc'!H74/'SW OpInc'!D74-1,""),"")</f>
        <v/>
      </c>
      <c r="E789" s="37">
        <f>IFERROR(IF(AND(ISNUMBER('SW OpInc'!I74),ISNUMBER('SW OpInc'!E74),'SW OpInc'!E74&gt;0),'SW OpInc'!I74/'SW OpInc'!E74-1,""),"")</f>
        <v/>
      </c>
      <c r="F789" s="37">
        <f>IFERROR(IF(AND(ISNUMBER('SW OpInc'!J74),ISNUMBER('SW OpInc'!F74),'SW OpInc'!F74&gt;0),'SW OpInc'!J74/'SW OpInc'!F74-1,""),"")</f>
        <v/>
      </c>
      <c r="G789" s="37">
        <f>IFERROR(IF(AND(ISNUMBER('SW OpInc'!K74),ISNUMBER('SW OpInc'!G74),'SW OpInc'!G74&gt;0),'SW OpInc'!K74/'SW OpInc'!G74-1,""),"")</f>
        <v/>
      </c>
      <c r="H789" s="37">
        <f>IFERROR(IF(AND(ISNUMBER('SW OpInc'!L74),ISNUMBER('SW OpInc'!H74),'SW OpInc'!H74&gt;0),'SW OpInc'!L74/'SW OpInc'!H74-1,""),"")</f>
        <v/>
      </c>
      <c r="I789" s="37">
        <f>IFERROR(IF(AND(ISNUMBER('SW OpInc'!M74),ISNUMBER('SW OpInc'!I74),'SW OpInc'!I74&gt;0),'SW OpInc'!M74/'SW OpInc'!I74-1,""),"")</f>
        <v/>
      </c>
      <c r="J789" s="37">
        <f>IFERROR(IF(AND(ISNUMBER('SW OpInc'!N74),ISNUMBER('SW OpInc'!J74),'SW OpInc'!J74&gt;0),'SW OpInc'!N74/'SW OpInc'!J74-1,""),"")</f>
        <v/>
      </c>
      <c r="K789" s="37">
        <f>IFERROR(IF(AND(ISNUMBER('SW OpInc'!O74),ISNUMBER('SW OpInc'!K74),'SW OpInc'!K74&gt;0),'SW OpInc'!O74/'SW OpInc'!K74-1,""),"")</f>
        <v/>
      </c>
      <c r="L789" s="37">
        <f>IFERROR(IF(AND(ISNUMBER('SW OpInc'!P74),ISNUMBER('SW OpInc'!L74),'SW OpInc'!L74&gt;0),'SW OpInc'!P74/'SW OpInc'!L74-1,""),"")</f>
        <v/>
      </c>
      <c r="M789" s="38">
        <f>IFERROR(IF(AND(ISNUMBER('SW OpInc'!Q74),ISNUMBER('SW OpInc'!M74),'SW OpInc'!M74&gt;0),'SW OpInc'!Q74/'SW OpInc'!M74-1,""),"")</f>
        <v/>
      </c>
      <c r="N789" s="38">
        <f>IFERROR(IF(AND(ISNUMBER('SW OpInc'!R74),ISNUMBER('SW OpInc'!N74),'SW OpInc'!N74&gt;0),'SW OpInc'!R74/'SW OpInc'!N74-1,""),"")</f>
        <v/>
      </c>
    </row>
    <row r="790">
      <c r="A790" s="19">
        <f>'SW Rev'!$A75</f>
        <v/>
      </c>
      <c r="B790" s="19">
        <f>'SW Rev'!$B75</f>
        <v/>
      </c>
      <c r="C790" s="37">
        <f>IFERROR(IF(AND(ISNUMBER('SW OpInc'!G75),ISNUMBER('SW OpInc'!C75),'SW OpInc'!C75&gt;0),'SW OpInc'!G75/'SW OpInc'!C75-1,""),"")</f>
        <v/>
      </c>
      <c r="D790" s="37">
        <f>IFERROR(IF(AND(ISNUMBER('SW OpInc'!H75),ISNUMBER('SW OpInc'!D75),'SW OpInc'!D75&gt;0),'SW OpInc'!H75/'SW OpInc'!D75-1,""),"")</f>
        <v/>
      </c>
      <c r="E790" s="37">
        <f>IFERROR(IF(AND(ISNUMBER('SW OpInc'!I75),ISNUMBER('SW OpInc'!E75),'SW OpInc'!E75&gt;0),'SW OpInc'!I75/'SW OpInc'!E75-1,""),"")</f>
        <v/>
      </c>
      <c r="F790" s="37">
        <f>IFERROR(IF(AND(ISNUMBER('SW OpInc'!J75),ISNUMBER('SW OpInc'!F75),'SW OpInc'!F75&gt;0),'SW OpInc'!J75/'SW OpInc'!F75-1,""),"")</f>
        <v/>
      </c>
      <c r="G790" s="37">
        <f>IFERROR(IF(AND(ISNUMBER('SW OpInc'!K75),ISNUMBER('SW OpInc'!G75),'SW OpInc'!G75&gt;0),'SW OpInc'!K75/'SW OpInc'!G75-1,""),"")</f>
        <v/>
      </c>
      <c r="H790" s="37">
        <f>IFERROR(IF(AND(ISNUMBER('SW OpInc'!L75),ISNUMBER('SW OpInc'!H75),'SW OpInc'!H75&gt;0),'SW OpInc'!L75/'SW OpInc'!H75-1,""),"")</f>
        <v/>
      </c>
      <c r="I790" s="37">
        <f>IFERROR(IF(AND(ISNUMBER('SW OpInc'!M75),ISNUMBER('SW OpInc'!I75),'SW OpInc'!I75&gt;0),'SW OpInc'!M75/'SW OpInc'!I75-1,""),"")</f>
        <v/>
      </c>
      <c r="J790" s="37">
        <f>IFERROR(IF(AND(ISNUMBER('SW OpInc'!N75),ISNUMBER('SW OpInc'!J75),'SW OpInc'!J75&gt;0),'SW OpInc'!N75/'SW OpInc'!J75-1,""),"")</f>
        <v/>
      </c>
      <c r="K790" s="37">
        <f>IFERROR(IF(AND(ISNUMBER('SW OpInc'!O75),ISNUMBER('SW OpInc'!K75),'SW OpInc'!K75&gt;0),'SW OpInc'!O75/'SW OpInc'!K75-1,""),"")</f>
        <v/>
      </c>
      <c r="L790" s="37">
        <f>IFERROR(IF(AND(ISNUMBER('SW OpInc'!P75),ISNUMBER('SW OpInc'!L75),'SW OpInc'!L75&gt;0),'SW OpInc'!P75/'SW OpInc'!L75-1,""),"")</f>
        <v/>
      </c>
      <c r="M790" s="38">
        <f>IFERROR(IF(AND(ISNUMBER('SW OpInc'!Q75),ISNUMBER('SW OpInc'!M75),'SW OpInc'!M75&gt;0),'SW OpInc'!Q75/'SW OpInc'!M75-1,""),"")</f>
        <v/>
      </c>
      <c r="N790" s="38">
        <f>IFERROR(IF(AND(ISNUMBER('SW OpInc'!R75),ISNUMBER('SW OpInc'!N75),'SW OpInc'!N75&gt;0),'SW OpInc'!R75/'SW OpInc'!N75-1,""),"")</f>
        <v/>
      </c>
    </row>
    <row r="791">
      <c r="A791" s="19">
        <f>'SW Rev'!$A76</f>
        <v/>
      </c>
      <c r="B791" s="19">
        <f>'SW Rev'!$B76</f>
        <v/>
      </c>
      <c r="C791" s="37">
        <f>IFERROR(IF(AND(ISNUMBER('SW OpInc'!G76),ISNUMBER('SW OpInc'!C76),'SW OpInc'!C76&gt;0),'SW OpInc'!G76/'SW OpInc'!C76-1,""),"")</f>
        <v/>
      </c>
      <c r="D791" s="37">
        <f>IFERROR(IF(AND(ISNUMBER('SW OpInc'!H76),ISNUMBER('SW OpInc'!D76),'SW OpInc'!D76&gt;0),'SW OpInc'!H76/'SW OpInc'!D76-1,""),"")</f>
        <v/>
      </c>
      <c r="E791" s="37">
        <f>IFERROR(IF(AND(ISNUMBER('SW OpInc'!I76),ISNUMBER('SW OpInc'!E76),'SW OpInc'!E76&gt;0),'SW OpInc'!I76/'SW OpInc'!E76-1,""),"")</f>
        <v/>
      </c>
      <c r="F791" s="37">
        <f>IFERROR(IF(AND(ISNUMBER('SW OpInc'!J76),ISNUMBER('SW OpInc'!F76),'SW OpInc'!F76&gt;0),'SW OpInc'!J76/'SW OpInc'!F76-1,""),"")</f>
        <v/>
      </c>
      <c r="G791" s="37">
        <f>IFERROR(IF(AND(ISNUMBER('SW OpInc'!K76),ISNUMBER('SW OpInc'!G76),'SW OpInc'!G76&gt;0),'SW OpInc'!K76/'SW OpInc'!G76-1,""),"")</f>
        <v/>
      </c>
      <c r="H791" s="37">
        <f>IFERROR(IF(AND(ISNUMBER('SW OpInc'!L76),ISNUMBER('SW OpInc'!H76),'SW OpInc'!H76&gt;0),'SW OpInc'!L76/'SW OpInc'!H76-1,""),"")</f>
        <v/>
      </c>
      <c r="I791" s="37">
        <f>IFERROR(IF(AND(ISNUMBER('SW OpInc'!M76),ISNUMBER('SW OpInc'!I76),'SW OpInc'!I76&gt;0),'SW OpInc'!M76/'SW OpInc'!I76-1,""),"")</f>
        <v/>
      </c>
      <c r="J791" s="37">
        <f>IFERROR(IF(AND(ISNUMBER('SW OpInc'!N76),ISNUMBER('SW OpInc'!J76),'SW OpInc'!J76&gt;0),'SW OpInc'!N76/'SW OpInc'!J76-1,""),"")</f>
        <v/>
      </c>
      <c r="K791" s="37">
        <f>IFERROR(IF(AND(ISNUMBER('SW OpInc'!O76),ISNUMBER('SW OpInc'!K76),'SW OpInc'!K76&gt;0),'SW OpInc'!O76/'SW OpInc'!K76-1,""),"")</f>
        <v/>
      </c>
      <c r="L791" s="37">
        <f>IFERROR(IF(AND(ISNUMBER('SW OpInc'!P76),ISNUMBER('SW OpInc'!L76),'SW OpInc'!L76&gt;0),'SW OpInc'!P76/'SW OpInc'!L76-1,""),"")</f>
        <v/>
      </c>
      <c r="M791" s="38">
        <f>IFERROR(IF(AND(ISNUMBER('SW OpInc'!Q76),ISNUMBER('SW OpInc'!M76),'SW OpInc'!M76&gt;0),'SW OpInc'!Q76/'SW OpInc'!M76-1,""),"")</f>
        <v/>
      </c>
      <c r="N791" s="38">
        <f>IFERROR(IF(AND(ISNUMBER('SW OpInc'!R76),ISNUMBER('SW OpInc'!N76),'SW OpInc'!N76&gt;0),'SW OpInc'!R76/'SW OpInc'!N76-1,""),"")</f>
        <v/>
      </c>
    </row>
    <row r="792">
      <c r="A792" s="19">
        <f>'SW Rev'!$A77</f>
        <v/>
      </c>
      <c r="B792" s="19">
        <f>'SW Rev'!$B77</f>
        <v/>
      </c>
      <c r="C792" s="37">
        <f>IFERROR(IF(AND(ISNUMBER('SW OpInc'!G77),ISNUMBER('SW OpInc'!C77),'SW OpInc'!C77&gt;0),'SW OpInc'!G77/'SW OpInc'!C77-1,""),"")</f>
        <v/>
      </c>
      <c r="D792" s="37">
        <f>IFERROR(IF(AND(ISNUMBER('SW OpInc'!H77),ISNUMBER('SW OpInc'!D77),'SW OpInc'!D77&gt;0),'SW OpInc'!H77/'SW OpInc'!D77-1,""),"")</f>
        <v/>
      </c>
      <c r="E792" s="37">
        <f>IFERROR(IF(AND(ISNUMBER('SW OpInc'!I77),ISNUMBER('SW OpInc'!E77),'SW OpInc'!E77&gt;0),'SW OpInc'!I77/'SW OpInc'!E77-1,""),"")</f>
        <v/>
      </c>
      <c r="F792" s="37">
        <f>IFERROR(IF(AND(ISNUMBER('SW OpInc'!J77),ISNUMBER('SW OpInc'!F77),'SW OpInc'!F77&gt;0),'SW OpInc'!J77/'SW OpInc'!F77-1,""),"")</f>
        <v/>
      </c>
      <c r="G792" s="37">
        <f>IFERROR(IF(AND(ISNUMBER('SW OpInc'!K77),ISNUMBER('SW OpInc'!G77),'SW OpInc'!G77&gt;0),'SW OpInc'!K77/'SW OpInc'!G77-1,""),"")</f>
        <v/>
      </c>
      <c r="H792" s="37">
        <f>IFERROR(IF(AND(ISNUMBER('SW OpInc'!L77),ISNUMBER('SW OpInc'!H77),'SW OpInc'!H77&gt;0),'SW OpInc'!L77/'SW OpInc'!H77-1,""),"")</f>
        <v/>
      </c>
      <c r="I792" s="37">
        <f>IFERROR(IF(AND(ISNUMBER('SW OpInc'!M77),ISNUMBER('SW OpInc'!I77),'SW OpInc'!I77&gt;0),'SW OpInc'!M77/'SW OpInc'!I77-1,""),"")</f>
        <v/>
      </c>
      <c r="J792" s="37">
        <f>IFERROR(IF(AND(ISNUMBER('SW OpInc'!N77),ISNUMBER('SW OpInc'!J77),'SW OpInc'!J77&gt;0),'SW OpInc'!N77/'SW OpInc'!J77-1,""),"")</f>
        <v/>
      </c>
      <c r="K792" s="37">
        <f>IFERROR(IF(AND(ISNUMBER('SW OpInc'!O77),ISNUMBER('SW OpInc'!K77),'SW OpInc'!K77&gt;0),'SW OpInc'!O77/'SW OpInc'!K77-1,""),"")</f>
        <v/>
      </c>
      <c r="L792" s="37">
        <f>IFERROR(IF(AND(ISNUMBER('SW OpInc'!P77),ISNUMBER('SW OpInc'!L77),'SW OpInc'!L77&gt;0),'SW OpInc'!P77/'SW OpInc'!L77-1,""),"")</f>
        <v/>
      </c>
      <c r="M792" s="38">
        <f>IFERROR(IF(AND(ISNUMBER('SW OpInc'!Q77),ISNUMBER('SW OpInc'!M77),'SW OpInc'!M77&gt;0),'SW OpInc'!Q77/'SW OpInc'!M77-1,""),"")</f>
        <v/>
      </c>
      <c r="N792" s="38">
        <f>IFERROR(IF(AND(ISNUMBER('SW OpInc'!R77),ISNUMBER('SW OpInc'!N77),'SW OpInc'!N77&gt;0),'SW OpInc'!R77/'SW OpInc'!N77-1,""),"")</f>
        <v/>
      </c>
    </row>
    <row r="793">
      <c r="A793" s="19">
        <f>'SW Rev'!$A78</f>
        <v/>
      </c>
      <c r="B793" s="19">
        <f>'SW Rev'!$B78</f>
        <v/>
      </c>
      <c r="C793" s="37">
        <f>IFERROR(IF(AND(ISNUMBER('SW OpInc'!G78),ISNUMBER('SW OpInc'!C78),'SW OpInc'!C78&gt;0),'SW OpInc'!G78/'SW OpInc'!C78-1,""),"")</f>
        <v/>
      </c>
      <c r="D793" s="37">
        <f>IFERROR(IF(AND(ISNUMBER('SW OpInc'!H78),ISNUMBER('SW OpInc'!D78),'SW OpInc'!D78&gt;0),'SW OpInc'!H78/'SW OpInc'!D78-1,""),"")</f>
        <v/>
      </c>
      <c r="E793" s="37">
        <f>IFERROR(IF(AND(ISNUMBER('SW OpInc'!I78),ISNUMBER('SW OpInc'!E78),'SW OpInc'!E78&gt;0),'SW OpInc'!I78/'SW OpInc'!E78-1,""),"")</f>
        <v/>
      </c>
      <c r="F793" s="37">
        <f>IFERROR(IF(AND(ISNUMBER('SW OpInc'!J78),ISNUMBER('SW OpInc'!F78),'SW OpInc'!F78&gt;0),'SW OpInc'!J78/'SW OpInc'!F78-1,""),"")</f>
        <v/>
      </c>
      <c r="G793" s="37">
        <f>IFERROR(IF(AND(ISNUMBER('SW OpInc'!K78),ISNUMBER('SW OpInc'!G78),'SW OpInc'!G78&gt;0),'SW OpInc'!K78/'SW OpInc'!G78-1,""),"")</f>
        <v/>
      </c>
      <c r="H793" s="37">
        <f>IFERROR(IF(AND(ISNUMBER('SW OpInc'!L78),ISNUMBER('SW OpInc'!H78),'SW OpInc'!H78&gt;0),'SW OpInc'!L78/'SW OpInc'!H78-1,""),"")</f>
        <v/>
      </c>
      <c r="I793" s="37">
        <f>IFERROR(IF(AND(ISNUMBER('SW OpInc'!M78),ISNUMBER('SW OpInc'!I78),'SW OpInc'!I78&gt;0),'SW OpInc'!M78/'SW OpInc'!I78-1,""),"")</f>
        <v/>
      </c>
      <c r="J793" s="37">
        <f>IFERROR(IF(AND(ISNUMBER('SW OpInc'!N78),ISNUMBER('SW OpInc'!J78),'SW OpInc'!J78&gt;0),'SW OpInc'!N78/'SW OpInc'!J78-1,""),"")</f>
        <v/>
      </c>
      <c r="K793" s="37">
        <f>IFERROR(IF(AND(ISNUMBER('SW OpInc'!O78),ISNUMBER('SW OpInc'!K78),'SW OpInc'!K78&gt;0),'SW OpInc'!O78/'SW OpInc'!K78-1,""),"")</f>
        <v/>
      </c>
      <c r="L793" s="37">
        <f>IFERROR(IF(AND(ISNUMBER('SW OpInc'!P78),ISNUMBER('SW OpInc'!L78),'SW OpInc'!L78&gt;0),'SW OpInc'!P78/'SW OpInc'!L78-1,""),"")</f>
        <v/>
      </c>
      <c r="M793" s="38">
        <f>IFERROR(IF(AND(ISNUMBER('SW OpInc'!Q78),ISNUMBER('SW OpInc'!M78),'SW OpInc'!M78&gt;0),'SW OpInc'!Q78/'SW OpInc'!M78-1,""),"")</f>
        <v/>
      </c>
      <c r="N793" s="38">
        <f>IFERROR(IF(AND(ISNUMBER('SW OpInc'!R78),ISNUMBER('SW OpInc'!N78),'SW OpInc'!N78&gt;0),'SW OpInc'!R78/'SW OpInc'!N78-1,""),"")</f>
        <v/>
      </c>
    </row>
    <row r="794">
      <c r="A794" s="19">
        <f>'SW Rev'!$A79</f>
        <v/>
      </c>
      <c r="B794" s="19">
        <f>'SW Rev'!$B79</f>
        <v/>
      </c>
      <c r="C794" s="37">
        <f>IFERROR(IF(AND(ISNUMBER('SW OpInc'!G79),ISNUMBER('SW OpInc'!C79),'SW OpInc'!C79&gt;0),'SW OpInc'!G79/'SW OpInc'!C79-1,""),"")</f>
        <v/>
      </c>
      <c r="D794" s="37">
        <f>IFERROR(IF(AND(ISNUMBER('SW OpInc'!H79),ISNUMBER('SW OpInc'!D79),'SW OpInc'!D79&gt;0),'SW OpInc'!H79/'SW OpInc'!D79-1,""),"")</f>
        <v/>
      </c>
      <c r="E794" s="37">
        <f>IFERROR(IF(AND(ISNUMBER('SW OpInc'!I79),ISNUMBER('SW OpInc'!E79),'SW OpInc'!E79&gt;0),'SW OpInc'!I79/'SW OpInc'!E79-1,""),"")</f>
        <v/>
      </c>
      <c r="F794" s="37">
        <f>IFERROR(IF(AND(ISNUMBER('SW OpInc'!J79),ISNUMBER('SW OpInc'!F79),'SW OpInc'!F79&gt;0),'SW OpInc'!J79/'SW OpInc'!F79-1,""),"")</f>
        <v/>
      </c>
      <c r="G794" s="37">
        <f>IFERROR(IF(AND(ISNUMBER('SW OpInc'!K79),ISNUMBER('SW OpInc'!G79),'SW OpInc'!G79&gt;0),'SW OpInc'!K79/'SW OpInc'!G79-1,""),"")</f>
        <v/>
      </c>
      <c r="H794" s="37">
        <f>IFERROR(IF(AND(ISNUMBER('SW OpInc'!L79),ISNUMBER('SW OpInc'!H79),'SW OpInc'!H79&gt;0),'SW OpInc'!L79/'SW OpInc'!H79-1,""),"")</f>
        <v/>
      </c>
      <c r="I794" s="37">
        <f>IFERROR(IF(AND(ISNUMBER('SW OpInc'!M79),ISNUMBER('SW OpInc'!I79),'SW OpInc'!I79&gt;0),'SW OpInc'!M79/'SW OpInc'!I79-1,""),"")</f>
        <v/>
      </c>
      <c r="J794" s="37">
        <f>IFERROR(IF(AND(ISNUMBER('SW OpInc'!N79),ISNUMBER('SW OpInc'!J79),'SW OpInc'!J79&gt;0),'SW OpInc'!N79/'SW OpInc'!J79-1,""),"")</f>
        <v/>
      </c>
      <c r="K794" s="37">
        <f>IFERROR(IF(AND(ISNUMBER('SW OpInc'!O79),ISNUMBER('SW OpInc'!K79),'SW OpInc'!K79&gt;0),'SW OpInc'!O79/'SW OpInc'!K79-1,""),"")</f>
        <v/>
      </c>
      <c r="L794" s="37">
        <f>IFERROR(IF(AND(ISNUMBER('SW OpInc'!P79),ISNUMBER('SW OpInc'!L79),'SW OpInc'!L79&gt;0),'SW OpInc'!P79/'SW OpInc'!L79-1,""),"")</f>
        <v/>
      </c>
      <c r="M794" s="38">
        <f>IFERROR(IF(AND(ISNUMBER('SW OpInc'!Q79),ISNUMBER('SW OpInc'!M79),'SW OpInc'!M79&gt;0),'SW OpInc'!Q79/'SW OpInc'!M79-1,""),"")</f>
        <v/>
      </c>
      <c r="N794" s="38">
        <f>IFERROR(IF(AND(ISNUMBER('SW OpInc'!R79),ISNUMBER('SW OpInc'!N79),'SW OpInc'!N79&gt;0),'SW OpInc'!R79/'SW OpInc'!N79-1,""),"")</f>
        <v/>
      </c>
    </row>
    <row r="795">
      <c r="A795" s="19">
        <f>'SW Rev'!$A80</f>
        <v/>
      </c>
      <c r="B795" s="19">
        <f>'SW Rev'!$B80</f>
        <v/>
      </c>
      <c r="C795" s="37">
        <f>IFERROR(IF(AND(ISNUMBER('SW OpInc'!G80),ISNUMBER('SW OpInc'!C80),'SW OpInc'!C80&gt;0),'SW OpInc'!G80/'SW OpInc'!C80-1,""),"")</f>
        <v/>
      </c>
      <c r="D795" s="37">
        <f>IFERROR(IF(AND(ISNUMBER('SW OpInc'!H80),ISNUMBER('SW OpInc'!D80),'SW OpInc'!D80&gt;0),'SW OpInc'!H80/'SW OpInc'!D80-1,""),"")</f>
        <v/>
      </c>
      <c r="E795" s="37">
        <f>IFERROR(IF(AND(ISNUMBER('SW OpInc'!I80),ISNUMBER('SW OpInc'!E80),'SW OpInc'!E80&gt;0),'SW OpInc'!I80/'SW OpInc'!E80-1,""),"")</f>
        <v/>
      </c>
      <c r="F795" s="37">
        <f>IFERROR(IF(AND(ISNUMBER('SW OpInc'!J80),ISNUMBER('SW OpInc'!F80),'SW OpInc'!F80&gt;0),'SW OpInc'!J80/'SW OpInc'!F80-1,""),"")</f>
        <v/>
      </c>
      <c r="G795" s="37">
        <f>IFERROR(IF(AND(ISNUMBER('SW OpInc'!K80),ISNUMBER('SW OpInc'!G80),'SW OpInc'!G80&gt;0),'SW OpInc'!K80/'SW OpInc'!G80-1,""),"")</f>
        <v/>
      </c>
      <c r="H795" s="37">
        <f>IFERROR(IF(AND(ISNUMBER('SW OpInc'!L80),ISNUMBER('SW OpInc'!H80),'SW OpInc'!H80&gt;0),'SW OpInc'!L80/'SW OpInc'!H80-1,""),"")</f>
        <v/>
      </c>
      <c r="I795" s="37">
        <f>IFERROR(IF(AND(ISNUMBER('SW OpInc'!M80),ISNUMBER('SW OpInc'!I80),'SW OpInc'!I80&gt;0),'SW OpInc'!M80/'SW OpInc'!I80-1,""),"")</f>
        <v/>
      </c>
      <c r="J795" s="37">
        <f>IFERROR(IF(AND(ISNUMBER('SW OpInc'!N80),ISNUMBER('SW OpInc'!J80),'SW OpInc'!J80&gt;0),'SW OpInc'!N80/'SW OpInc'!J80-1,""),"")</f>
        <v/>
      </c>
      <c r="K795" s="37">
        <f>IFERROR(IF(AND(ISNUMBER('SW OpInc'!O80),ISNUMBER('SW OpInc'!K80),'SW OpInc'!K80&gt;0),'SW OpInc'!O80/'SW OpInc'!K80-1,""),"")</f>
        <v/>
      </c>
      <c r="L795" s="37">
        <f>IFERROR(IF(AND(ISNUMBER('SW OpInc'!P80),ISNUMBER('SW OpInc'!L80),'SW OpInc'!L80&gt;0),'SW OpInc'!P80/'SW OpInc'!L80-1,""),"")</f>
        <v/>
      </c>
      <c r="M795" s="38">
        <f>IFERROR(IF(AND(ISNUMBER('SW OpInc'!Q80),ISNUMBER('SW OpInc'!M80),'SW OpInc'!M80&gt;0),'SW OpInc'!Q80/'SW OpInc'!M80-1,""),"")</f>
        <v/>
      </c>
      <c r="N795" s="38">
        <f>IFERROR(IF(AND(ISNUMBER('SW OpInc'!R80),ISNUMBER('SW OpInc'!N80),'SW OpInc'!N80&gt;0),'SW OpInc'!R80/'SW OpInc'!N80-1,""),"")</f>
        <v/>
      </c>
    </row>
    <row r="796">
      <c r="A796" s="19">
        <f>'SW Rev'!$A81</f>
        <v/>
      </c>
      <c r="B796" s="19">
        <f>'SW Rev'!$B81</f>
        <v/>
      </c>
      <c r="C796" s="37">
        <f>IFERROR(IF(AND(ISNUMBER('SW OpInc'!G81),ISNUMBER('SW OpInc'!C81),'SW OpInc'!C81&gt;0),'SW OpInc'!G81/'SW OpInc'!C81-1,""),"")</f>
        <v/>
      </c>
      <c r="D796" s="37">
        <f>IFERROR(IF(AND(ISNUMBER('SW OpInc'!H81),ISNUMBER('SW OpInc'!D81),'SW OpInc'!D81&gt;0),'SW OpInc'!H81/'SW OpInc'!D81-1,""),"")</f>
        <v/>
      </c>
      <c r="E796" s="37">
        <f>IFERROR(IF(AND(ISNUMBER('SW OpInc'!I81),ISNUMBER('SW OpInc'!E81),'SW OpInc'!E81&gt;0),'SW OpInc'!I81/'SW OpInc'!E81-1,""),"")</f>
        <v/>
      </c>
      <c r="F796" s="37">
        <f>IFERROR(IF(AND(ISNUMBER('SW OpInc'!J81),ISNUMBER('SW OpInc'!F81),'SW OpInc'!F81&gt;0),'SW OpInc'!J81/'SW OpInc'!F81-1,""),"")</f>
        <v/>
      </c>
      <c r="G796" s="37">
        <f>IFERROR(IF(AND(ISNUMBER('SW OpInc'!K81),ISNUMBER('SW OpInc'!G81),'SW OpInc'!G81&gt;0),'SW OpInc'!K81/'SW OpInc'!G81-1,""),"")</f>
        <v/>
      </c>
      <c r="H796" s="37">
        <f>IFERROR(IF(AND(ISNUMBER('SW OpInc'!L81),ISNUMBER('SW OpInc'!H81),'SW OpInc'!H81&gt;0),'SW OpInc'!L81/'SW OpInc'!H81-1,""),"")</f>
        <v/>
      </c>
      <c r="I796" s="37">
        <f>IFERROR(IF(AND(ISNUMBER('SW OpInc'!M81),ISNUMBER('SW OpInc'!I81),'SW OpInc'!I81&gt;0),'SW OpInc'!M81/'SW OpInc'!I81-1,""),"")</f>
        <v/>
      </c>
      <c r="J796" s="37">
        <f>IFERROR(IF(AND(ISNUMBER('SW OpInc'!N81),ISNUMBER('SW OpInc'!J81),'SW OpInc'!J81&gt;0),'SW OpInc'!N81/'SW OpInc'!J81-1,""),"")</f>
        <v/>
      </c>
      <c r="K796" s="37">
        <f>IFERROR(IF(AND(ISNUMBER('SW OpInc'!O81),ISNUMBER('SW OpInc'!K81),'SW OpInc'!K81&gt;0),'SW OpInc'!O81/'SW OpInc'!K81-1,""),"")</f>
        <v/>
      </c>
      <c r="L796" s="37">
        <f>IFERROR(IF(AND(ISNUMBER('SW OpInc'!P81),ISNUMBER('SW OpInc'!L81),'SW OpInc'!L81&gt;0),'SW OpInc'!P81/'SW OpInc'!L81-1,""),"")</f>
        <v/>
      </c>
      <c r="M796" s="38">
        <f>IFERROR(IF(AND(ISNUMBER('SW OpInc'!Q81),ISNUMBER('SW OpInc'!M81),'SW OpInc'!M81&gt;0),'SW OpInc'!Q81/'SW OpInc'!M81-1,""),"")</f>
        <v/>
      </c>
      <c r="N796" s="38">
        <f>IFERROR(IF(AND(ISNUMBER('SW OpInc'!R81),ISNUMBER('SW OpInc'!N81),'SW OpInc'!N81&gt;0),'SW OpInc'!R81/'SW OpInc'!N81-1,""),"")</f>
        <v/>
      </c>
    </row>
    <row r="797">
      <c r="A797" s="19">
        <f>'SW Rev'!$A82</f>
        <v/>
      </c>
      <c r="B797" s="19">
        <f>'SW Rev'!$B82</f>
        <v/>
      </c>
      <c r="C797" s="37">
        <f>IFERROR(IF(AND(ISNUMBER('SW OpInc'!G82),ISNUMBER('SW OpInc'!C82),'SW OpInc'!C82&gt;0),'SW OpInc'!G82/'SW OpInc'!C82-1,""),"")</f>
        <v/>
      </c>
      <c r="D797" s="37">
        <f>IFERROR(IF(AND(ISNUMBER('SW OpInc'!H82),ISNUMBER('SW OpInc'!D82),'SW OpInc'!D82&gt;0),'SW OpInc'!H82/'SW OpInc'!D82-1,""),"")</f>
        <v/>
      </c>
      <c r="E797" s="37">
        <f>IFERROR(IF(AND(ISNUMBER('SW OpInc'!I82),ISNUMBER('SW OpInc'!E82),'SW OpInc'!E82&gt;0),'SW OpInc'!I82/'SW OpInc'!E82-1,""),"")</f>
        <v/>
      </c>
      <c r="F797" s="37">
        <f>IFERROR(IF(AND(ISNUMBER('SW OpInc'!J82),ISNUMBER('SW OpInc'!F82),'SW OpInc'!F82&gt;0),'SW OpInc'!J82/'SW OpInc'!F82-1,""),"")</f>
        <v/>
      </c>
      <c r="G797" s="37">
        <f>IFERROR(IF(AND(ISNUMBER('SW OpInc'!K82),ISNUMBER('SW OpInc'!G82),'SW OpInc'!G82&gt;0),'SW OpInc'!K82/'SW OpInc'!G82-1,""),"")</f>
        <v/>
      </c>
      <c r="H797" s="37">
        <f>IFERROR(IF(AND(ISNUMBER('SW OpInc'!L82),ISNUMBER('SW OpInc'!H82),'SW OpInc'!H82&gt;0),'SW OpInc'!L82/'SW OpInc'!H82-1,""),"")</f>
        <v/>
      </c>
      <c r="I797" s="37">
        <f>IFERROR(IF(AND(ISNUMBER('SW OpInc'!M82),ISNUMBER('SW OpInc'!I82),'SW OpInc'!I82&gt;0),'SW OpInc'!M82/'SW OpInc'!I82-1,""),"")</f>
        <v/>
      </c>
      <c r="J797" s="37">
        <f>IFERROR(IF(AND(ISNUMBER('SW OpInc'!N82),ISNUMBER('SW OpInc'!J82),'SW OpInc'!J82&gt;0),'SW OpInc'!N82/'SW OpInc'!J82-1,""),"")</f>
        <v/>
      </c>
      <c r="K797" s="37">
        <f>IFERROR(IF(AND(ISNUMBER('SW OpInc'!O82),ISNUMBER('SW OpInc'!K82),'SW OpInc'!K82&gt;0),'SW OpInc'!O82/'SW OpInc'!K82-1,""),"")</f>
        <v/>
      </c>
      <c r="L797" s="37">
        <f>IFERROR(IF(AND(ISNUMBER('SW OpInc'!P82),ISNUMBER('SW OpInc'!L82),'SW OpInc'!L82&gt;0),'SW OpInc'!P82/'SW OpInc'!L82-1,""),"")</f>
        <v/>
      </c>
      <c r="M797" s="38">
        <f>IFERROR(IF(AND(ISNUMBER('SW OpInc'!Q82),ISNUMBER('SW OpInc'!M82),'SW OpInc'!M82&gt;0),'SW OpInc'!Q82/'SW OpInc'!M82-1,""),"")</f>
        <v/>
      </c>
      <c r="N797" s="38">
        <f>IFERROR(IF(AND(ISNUMBER('SW OpInc'!R82),ISNUMBER('SW OpInc'!N82),'SW OpInc'!N82&gt;0),'SW OpInc'!R82/'SW OpInc'!N82-1,""),"")</f>
        <v/>
      </c>
    </row>
    <row r="798">
      <c r="A798" s="19">
        <f>'SW Rev'!$A83</f>
        <v/>
      </c>
      <c r="B798" s="19">
        <f>'SW Rev'!$B83</f>
        <v/>
      </c>
      <c r="C798" s="37">
        <f>IFERROR(IF(AND(ISNUMBER('SW OpInc'!G83),ISNUMBER('SW OpInc'!C83),'SW OpInc'!C83&gt;0),'SW OpInc'!G83/'SW OpInc'!C83-1,""),"")</f>
        <v/>
      </c>
      <c r="D798" s="37">
        <f>IFERROR(IF(AND(ISNUMBER('SW OpInc'!H83),ISNUMBER('SW OpInc'!D83),'SW OpInc'!D83&gt;0),'SW OpInc'!H83/'SW OpInc'!D83-1,""),"")</f>
        <v/>
      </c>
      <c r="E798" s="37">
        <f>IFERROR(IF(AND(ISNUMBER('SW OpInc'!I83),ISNUMBER('SW OpInc'!E83),'SW OpInc'!E83&gt;0),'SW OpInc'!I83/'SW OpInc'!E83-1,""),"")</f>
        <v/>
      </c>
      <c r="F798" s="37">
        <f>IFERROR(IF(AND(ISNUMBER('SW OpInc'!J83),ISNUMBER('SW OpInc'!F83),'SW OpInc'!F83&gt;0),'SW OpInc'!J83/'SW OpInc'!F83-1,""),"")</f>
        <v/>
      </c>
      <c r="G798" s="37">
        <f>IFERROR(IF(AND(ISNUMBER('SW OpInc'!K83),ISNUMBER('SW OpInc'!G83),'SW OpInc'!G83&gt;0),'SW OpInc'!K83/'SW OpInc'!G83-1,""),"")</f>
        <v/>
      </c>
      <c r="H798" s="37">
        <f>IFERROR(IF(AND(ISNUMBER('SW OpInc'!L83),ISNUMBER('SW OpInc'!H83),'SW OpInc'!H83&gt;0),'SW OpInc'!L83/'SW OpInc'!H83-1,""),"")</f>
        <v/>
      </c>
      <c r="I798" s="37">
        <f>IFERROR(IF(AND(ISNUMBER('SW OpInc'!M83),ISNUMBER('SW OpInc'!I83),'SW OpInc'!I83&gt;0),'SW OpInc'!M83/'SW OpInc'!I83-1,""),"")</f>
        <v/>
      </c>
      <c r="J798" s="37">
        <f>IFERROR(IF(AND(ISNUMBER('SW OpInc'!N83),ISNUMBER('SW OpInc'!J83),'SW OpInc'!J83&gt;0),'SW OpInc'!N83/'SW OpInc'!J83-1,""),"")</f>
        <v/>
      </c>
      <c r="K798" s="37">
        <f>IFERROR(IF(AND(ISNUMBER('SW OpInc'!O83),ISNUMBER('SW OpInc'!K83),'SW OpInc'!K83&gt;0),'SW OpInc'!O83/'SW OpInc'!K83-1,""),"")</f>
        <v/>
      </c>
      <c r="L798" s="37">
        <f>IFERROR(IF(AND(ISNUMBER('SW OpInc'!P83),ISNUMBER('SW OpInc'!L83),'SW OpInc'!L83&gt;0),'SW OpInc'!P83/'SW OpInc'!L83-1,""),"")</f>
        <v/>
      </c>
      <c r="M798" s="38">
        <f>IFERROR(IF(AND(ISNUMBER('SW OpInc'!Q83),ISNUMBER('SW OpInc'!M83),'SW OpInc'!M83&gt;0),'SW OpInc'!Q83/'SW OpInc'!M83-1,""),"")</f>
        <v/>
      </c>
      <c r="N798" s="38">
        <f>IFERROR(IF(AND(ISNUMBER('SW OpInc'!R83),ISNUMBER('SW OpInc'!N83),'SW OpInc'!N83&gt;0),'SW OpInc'!R83/'SW OpInc'!N83-1,""),"")</f>
        <v/>
      </c>
    </row>
    <row r="799">
      <c r="A799" s="19">
        <f>'SW Rev'!$A84</f>
        <v/>
      </c>
      <c r="B799" s="19">
        <f>'SW Rev'!$B84</f>
        <v/>
      </c>
      <c r="C799" s="37">
        <f>IFERROR(IF(AND(ISNUMBER('SW OpInc'!G84),ISNUMBER('SW OpInc'!C84),'SW OpInc'!C84&gt;0),'SW OpInc'!G84/'SW OpInc'!C84-1,""),"")</f>
        <v/>
      </c>
      <c r="D799" s="37">
        <f>IFERROR(IF(AND(ISNUMBER('SW OpInc'!H84),ISNUMBER('SW OpInc'!D84),'SW OpInc'!D84&gt;0),'SW OpInc'!H84/'SW OpInc'!D84-1,""),"")</f>
        <v/>
      </c>
      <c r="E799" s="37">
        <f>IFERROR(IF(AND(ISNUMBER('SW OpInc'!I84),ISNUMBER('SW OpInc'!E84),'SW OpInc'!E84&gt;0),'SW OpInc'!I84/'SW OpInc'!E84-1,""),"")</f>
        <v/>
      </c>
      <c r="F799" s="37">
        <f>IFERROR(IF(AND(ISNUMBER('SW OpInc'!J84),ISNUMBER('SW OpInc'!F84),'SW OpInc'!F84&gt;0),'SW OpInc'!J84/'SW OpInc'!F84-1,""),"")</f>
        <v/>
      </c>
      <c r="G799" s="37">
        <f>IFERROR(IF(AND(ISNUMBER('SW OpInc'!K84),ISNUMBER('SW OpInc'!G84),'SW OpInc'!G84&gt;0),'SW OpInc'!K84/'SW OpInc'!G84-1,""),"")</f>
        <v/>
      </c>
      <c r="H799" s="37">
        <f>IFERROR(IF(AND(ISNUMBER('SW OpInc'!L84),ISNUMBER('SW OpInc'!H84),'SW OpInc'!H84&gt;0),'SW OpInc'!L84/'SW OpInc'!H84-1,""),"")</f>
        <v/>
      </c>
      <c r="I799" s="37">
        <f>IFERROR(IF(AND(ISNUMBER('SW OpInc'!M84),ISNUMBER('SW OpInc'!I84),'SW OpInc'!I84&gt;0),'SW OpInc'!M84/'SW OpInc'!I84-1,""),"")</f>
        <v/>
      </c>
      <c r="J799" s="37">
        <f>IFERROR(IF(AND(ISNUMBER('SW OpInc'!N84),ISNUMBER('SW OpInc'!J84),'SW OpInc'!J84&gt;0),'SW OpInc'!N84/'SW OpInc'!J84-1,""),"")</f>
        <v/>
      </c>
      <c r="K799" s="37">
        <f>IFERROR(IF(AND(ISNUMBER('SW OpInc'!O84),ISNUMBER('SW OpInc'!K84),'SW OpInc'!K84&gt;0),'SW OpInc'!O84/'SW OpInc'!K84-1,""),"")</f>
        <v/>
      </c>
      <c r="L799" s="37">
        <f>IFERROR(IF(AND(ISNUMBER('SW OpInc'!P84),ISNUMBER('SW OpInc'!L84),'SW OpInc'!L84&gt;0),'SW OpInc'!P84/'SW OpInc'!L84-1,""),"")</f>
        <v/>
      </c>
      <c r="M799" s="38">
        <f>IFERROR(IF(AND(ISNUMBER('SW OpInc'!Q84),ISNUMBER('SW OpInc'!M84),'SW OpInc'!M84&gt;0),'SW OpInc'!Q84/'SW OpInc'!M84-1,""),"")</f>
        <v/>
      </c>
      <c r="N799" s="38">
        <f>IFERROR(IF(AND(ISNUMBER('SW OpInc'!R84),ISNUMBER('SW OpInc'!N84),'SW OpInc'!N84&gt;0),'SW OpInc'!R84/'SW OpInc'!N84-1,""),"")</f>
        <v/>
      </c>
    </row>
    <row r="800">
      <c r="A800" s="19">
        <f>'SW Rev'!$A85</f>
        <v/>
      </c>
      <c r="B800" s="19">
        <f>'SW Rev'!$B85</f>
        <v/>
      </c>
      <c r="C800" s="37">
        <f>IFERROR(IF(AND(ISNUMBER('SW OpInc'!G85),ISNUMBER('SW OpInc'!C85),'SW OpInc'!C85&gt;0),'SW OpInc'!G85/'SW OpInc'!C85-1,""),"")</f>
        <v/>
      </c>
      <c r="D800" s="37">
        <f>IFERROR(IF(AND(ISNUMBER('SW OpInc'!H85),ISNUMBER('SW OpInc'!D85),'SW OpInc'!D85&gt;0),'SW OpInc'!H85/'SW OpInc'!D85-1,""),"")</f>
        <v/>
      </c>
      <c r="E800" s="37">
        <f>IFERROR(IF(AND(ISNUMBER('SW OpInc'!I85),ISNUMBER('SW OpInc'!E85),'SW OpInc'!E85&gt;0),'SW OpInc'!I85/'SW OpInc'!E85-1,""),"")</f>
        <v/>
      </c>
      <c r="F800" s="37">
        <f>IFERROR(IF(AND(ISNUMBER('SW OpInc'!J85),ISNUMBER('SW OpInc'!F85),'SW OpInc'!F85&gt;0),'SW OpInc'!J85/'SW OpInc'!F85-1,""),"")</f>
        <v/>
      </c>
      <c r="G800" s="37">
        <f>IFERROR(IF(AND(ISNUMBER('SW OpInc'!K85),ISNUMBER('SW OpInc'!G85),'SW OpInc'!G85&gt;0),'SW OpInc'!K85/'SW OpInc'!G85-1,""),"")</f>
        <v/>
      </c>
      <c r="H800" s="37">
        <f>IFERROR(IF(AND(ISNUMBER('SW OpInc'!L85),ISNUMBER('SW OpInc'!H85),'SW OpInc'!H85&gt;0),'SW OpInc'!L85/'SW OpInc'!H85-1,""),"")</f>
        <v/>
      </c>
      <c r="I800" s="37">
        <f>IFERROR(IF(AND(ISNUMBER('SW OpInc'!M85),ISNUMBER('SW OpInc'!I85),'SW OpInc'!I85&gt;0),'SW OpInc'!M85/'SW OpInc'!I85-1,""),"")</f>
        <v/>
      </c>
      <c r="J800" s="37">
        <f>IFERROR(IF(AND(ISNUMBER('SW OpInc'!N85),ISNUMBER('SW OpInc'!J85),'SW OpInc'!J85&gt;0),'SW OpInc'!N85/'SW OpInc'!J85-1,""),"")</f>
        <v/>
      </c>
      <c r="K800" s="37">
        <f>IFERROR(IF(AND(ISNUMBER('SW OpInc'!O85),ISNUMBER('SW OpInc'!K85),'SW OpInc'!K85&gt;0),'SW OpInc'!O85/'SW OpInc'!K85-1,""),"")</f>
        <v/>
      </c>
      <c r="L800" s="37">
        <f>IFERROR(IF(AND(ISNUMBER('SW OpInc'!P85),ISNUMBER('SW OpInc'!L85),'SW OpInc'!L85&gt;0),'SW OpInc'!P85/'SW OpInc'!L85-1,""),"")</f>
        <v/>
      </c>
      <c r="M800" s="38">
        <f>IFERROR(IF(AND(ISNUMBER('SW OpInc'!Q85),ISNUMBER('SW OpInc'!M85),'SW OpInc'!M85&gt;0),'SW OpInc'!Q85/'SW OpInc'!M85-1,""),"")</f>
        <v/>
      </c>
      <c r="N800" s="38">
        <f>IFERROR(IF(AND(ISNUMBER('SW OpInc'!R85),ISNUMBER('SW OpInc'!N85),'SW OpInc'!N85&gt;0),'SW OpInc'!R85/'SW OpInc'!N85-1,""),"")</f>
        <v/>
      </c>
    </row>
    <row r="801">
      <c r="A801" s="19">
        <f>'SW Rev'!$A86</f>
        <v/>
      </c>
      <c r="B801" s="19">
        <f>'SW Rev'!$B86</f>
        <v/>
      </c>
      <c r="C801" s="37">
        <f>IFERROR(IF(AND(ISNUMBER('SW OpInc'!G86),ISNUMBER('SW OpInc'!C86),'SW OpInc'!C86&gt;0),'SW OpInc'!G86/'SW OpInc'!C86-1,""),"")</f>
        <v/>
      </c>
      <c r="D801" s="37">
        <f>IFERROR(IF(AND(ISNUMBER('SW OpInc'!H86),ISNUMBER('SW OpInc'!D86),'SW OpInc'!D86&gt;0),'SW OpInc'!H86/'SW OpInc'!D86-1,""),"")</f>
        <v/>
      </c>
      <c r="E801" s="37">
        <f>IFERROR(IF(AND(ISNUMBER('SW OpInc'!I86),ISNUMBER('SW OpInc'!E86),'SW OpInc'!E86&gt;0),'SW OpInc'!I86/'SW OpInc'!E86-1,""),"")</f>
        <v/>
      </c>
      <c r="F801" s="37">
        <f>IFERROR(IF(AND(ISNUMBER('SW OpInc'!J86),ISNUMBER('SW OpInc'!F86),'SW OpInc'!F86&gt;0),'SW OpInc'!J86/'SW OpInc'!F86-1,""),"")</f>
        <v/>
      </c>
      <c r="G801" s="37">
        <f>IFERROR(IF(AND(ISNUMBER('SW OpInc'!K86),ISNUMBER('SW OpInc'!G86),'SW OpInc'!G86&gt;0),'SW OpInc'!K86/'SW OpInc'!G86-1,""),"")</f>
        <v/>
      </c>
      <c r="H801" s="37">
        <f>IFERROR(IF(AND(ISNUMBER('SW OpInc'!L86),ISNUMBER('SW OpInc'!H86),'SW OpInc'!H86&gt;0),'SW OpInc'!L86/'SW OpInc'!H86-1,""),"")</f>
        <v/>
      </c>
      <c r="I801" s="37">
        <f>IFERROR(IF(AND(ISNUMBER('SW OpInc'!M86),ISNUMBER('SW OpInc'!I86),'SW OpInc'!I86&gt;0),'SW OpInc'!M86/'SW OpInc'!I86-1,""),"")</f>
        <v/>
      </c>
      <c r="J801" s="37">
        <f>IFERROR(IF(AND(ISNUMBER('SW OpInc'!N86),ISNUMBER('SW OpInc'!J86),'SW OpInc'!J86&gt;0),'SW OpInc'!N86/'SW OpInc'!J86-1,""),"")</f>
        <v/>
      </c>
      <c r="K801" s="37">
        <f>IFERROR(IF(AND(ISNUMBER('SW OpInc'!O86),ISNUMBER('SW OpInc'!K86),'SW OpInc'!K86&gt;0),'SW OpInc'!O86/'SW OpInc'!K86-1,""),"")</f>
        <v/>
      </c>
      <c r="L801" s="37">
        <f>IFERROR(IF(AND(ISNUMBER('SW OpInc'!P86),ISNUMBER('SW OpInc'!L86),'SW OpInc'!L86&gt;0),'SW OpInc'!P86/'SW OpInc'!L86-1,""),"")</f>
        <v/>
      </c>
      <c r="M801" s="38">
        <f>IFERROR(IF(AND(ISNUMBER('SW OpInc'!Q86),ISNUMBER('SW OpInc'!M86),'SW OpInc'!M86&gt;0),'SW OpInc'!Q86/'SW OpInc'!M86-1,""),"")</f>
        <v/>
      </c>
      <c r="N801" s="38">
        <f>IFERROR(IF(AND(ISNUMBER('SW OpInc'!R86),ISNUMBER('SW OpInc'!N86),'SW OpInc'!N86&gt;0),'SW OpInc'!R86/'SW OpInc'!N86-1,""),"")</f>
        <v/>
      </c>
    </row>
    <row r="802">
      <c r="A802" s="19">
        <f>'SW Rev'!$A87</f>
        <v/>
      </c>
      <c r="B802" s="19">
        <f>'SW Rev'!$B87</f>
        <v/>
      </c>
      <c r="C802" s="37">
        <f>IFERROR(IF(AND(ISNUMBER('SW OpInc'!G87),ISNUMBER('SW OpInc'!C87),'SW OpInc'!C87&gt;0),'SW OpInc'!G87/'SW OpInc'!C87-1,""),"")</f>
        <v/>
      </c>
      <c r="D802" s="37">
        <f>IFERROR(IF(AND(ISNUMBER('SW OpInc'!H87),ISNUMBER('SW OpInc'!D87),'SW OpInc'!D87&gt;0),'SW OpInc'!H87/'SW OpInc'!D87-1,""),"")</f>
        <v/>
      </c>
      <c r="E802" s="37">
        <f>IFERROR(IF(AND(ISNUMBER('SW OpInc'!I87),ISNUMBER('SW OpInc'!E87),'SW OpInc'!E87&gt;0),'SW OpInc'!I87/'SW OpInc'!E87-1,""),"")</f>
        <v/>
      </c>
      <c r="F802" s="37">
        <f>IFERROR(IF(AND(ISNUMBER('SW OpInc'!J87),ISNUMBER('SW OpInc'!F87),'SW OpInc'!F87&gt;0),'SW OpInc'!J87/'SW OpInc'!F87-1,""),"")</f>
        <v/>
      </c>
      <c r="G802" s="37">
        <f>IFERROR(IF(AND(ISNUMBER('SW OpInc'!K87),ISNUMBER('SW OpInc'!G87),'SW OpInc'!G87&gt;0),'SW OpInc'!K87/'SW OpInc'!G87-1,""),"")</f>
        <v/>
      </c>
      <c r="H802" s="37">
        <f>IFERROR(IF(AND(ISNUMBER('SW OpInc'!L87),ISNUMBER('SW OpInc'!H87),'SW OpInc'!H87&gt;0),'SW OpInc'!L87/'SW OpInc'!H87-1,""),"")</f>
        <v/>
      </c>
      <c r="I802" s="37">
        <f>IFERROR(IF(AND(ISNUMBER('SW OpInc'!M87),ISNUMBER('SW OpInc'!I87),'SW OpInc'!I87&gt;0),'SW OpInc'!M87/'SW OpInc'!I87-1,""),"")</f>
        <v/>
      </c>
      <c r="J802" s="37">
        <f>IFERROR(IF(AND(ISNUMBER('SW OpInc'!N87),ISNUMBER('SW OpInc'!J87),'SW OpInc'!J87&gt;0),'SW OpInc'!N87/'SW OpInc'!J87-1,""),"")</f>
        <v/>
      </c>
      <c r="K802" s="37">
        <f>IFERROR(IF(AND(ISNUMBER('SW OpInc'!O87),ISNUMBER('SW OpInc'!K87),'SW OpInc'!K87&gt;0),'SW OpInc'!O87/'SW OpInc'!K87-1,""),"")</f>
        <v/>
      </c>
      <c r="L802" s="37">
        <f>IFERROR(IF(AND(ISNUMBER('SW OpInc'!P87),ISNUMBER('SW OpInc'!L87),'SW OpInc'!L87&gt;0),'SW OpInc'!P87/'SW OpInc'!L87-1,""),"")</f>
        <v/>
      </c>
      <c r="M802" s="38">
        <f>IFERROR(IF(AND(ISNUMBER('SW OpInc'!Q87),ISNUMBER('SW OpInc'!M87),'SW OpInc'!M87&gt;0),'SW OpInc'!Q87/'SW OpInc'!M87-1,""),"")</f>
        <v/>
      </c>
      <c r="N802" s="38">
        <f>IFERROR(IF(AND(ISNUMBER('SW OpInc'!R87),ISNUMBER('SW OpInc'!N87),'SW OpInc'!N87&gt;0),'SW OpInc'!R87/'SW OpInc'!N87-1,""),"")</f>
        <v/>
      </c>
    </row>
    <row r="803">
      <c r="A803" s="19">
        <f>'SW Rev'!$A88</f>
        <v/>
      </c>
      <c r="B803" s="19">
        <f>'SW Rev'!$B88</f>
        <v/>
      </c>
      <c r="C803" s="37">
        <f>IFERROR(IF(AND(ISNUMBER('SW OpInc'!G88),ISNUMBER('SW OpInc'!C88),'SW OpInc'!C88&gt;0),'SW OpInc'!G88/'SW OpInc'!C88-1,""),"")</f>
        <v/>
      </c>
      <c r="D803" s="37">
        <f>IFERROR(IF(AND(ISNUMBER('SW OpInc'!H88),ISNUMBER('SW OpInc'!D88),'SW OpInc'!D88&gt;0),'SW OpInc'!H88/'SW OpInc'!D88-1,""),"")</f>
        <v/>
      </c>
      <c r="E803" s="37">
        <f>IFERROR(IF(AND(ISNUMBER('SW OpInc'!I88),ISNUMBER('SW OpInc'!E88),'SW OpInc'!E88&gt;0),'SW OpInc'!I88/'SW OpInc'!E88-1,""),"")</f>
        <v/>
      </c>
      <c r="F803" s="37">
        <f>IFERROR(IF(AND(ISNUMBER('SW OpInc'!J88),ISNUMBER('SW OpInc'!F88),'SW OpInc'!F88&gt;0),'SW OpInc'!J88/'SW OpInc'!F88-1,""),"")</f>
        <v/>
      </c>
      <c r="G803" s="37">
        <f>IFERROR(IF(AND(ISNUMBER('SW OpInc'!K88),ISNUMBER('SW OpInc'!G88),'SW OpInc'!G88&gt;0),'SW OpInc'!K88/'SW OpInc'!G88-1,""),"")</f>
        <v/>
      </c>
      <c r="H803" s="37">
        <f>IFERROR(IF(AND(ISNUMBER('SW OpInc'!L88),ISNUMBER('SW OpInc'!H88),'SW OpInc'!H88&gt;0),'SW OpInc'!L88/'SW OpInc'!H88-1,""),"")</f>
        <v/>
      </c>
      <c r="I803" s="37">
        <f>IFERROR(IF(AND(ISNUMBER('SW OpInc'!M88),ISNUMBER('SW OpInc'!I88),'SW OpInc'!I88&gt;0),'SW OpInc'!M88/'SW OpInc'!I88-1,""),"")</f>
        <v/>
      </c>
      <c r="J803" s="37">
        <f>IFERROR(IF(AND(ISNUMBER('SW OpInc'!N88),ISNUMBER('SW OpInc'!J88),'SW OpInc'!J88&gt;0),'SW OpInc'!N88/'SW OpInc'!J88-1,""),"")</f>
        <v/>
      </c>
      <c r="K803" s="37">
        <f>IFERROR(IF(AND(ISNUMBER('SW OpInc'!O88),ISNUMBER('SW OpInc'!K88),'SW OpInc'!K88&gt;0),'SW OpInc'!O88/'SW OpInc'!K88-1,""),"")</f>
        <v/>
      </c>
      <c r="L803" s="37">
        <f>IFERROR(IF(AND(ISNUMBER('SW OpInc'!P88),ISNUMBER('SW OpInc'!L88),'SW OpInc'!L88&gt;0),'SW OpInc'!P88/'SW OpInc'!L88-1,""),"")</f>
        <v/>
      </c>
      <c r="M803" s="38">
        <f>IFERROR(IF(AND(ISNUMBER('SW OpInc'!Q88),ISNUMBER('SW OpInc'!M88),'SW OpInc'!M88&gt;0),'SW OpInc'!Q88/'SW OpInc'!M88-1,""),"")</f>
        <v/>
      </c>
      <c r="N803" s="38">
        <f>IFERROR(IF(AND(ISNUMBER('SW OpInc'!R88),ISNUMBER('SW OpInc'!N88),'SW OpInc'!N88&gt;0),'SW OpInc'!R88/'SW OpInc'!N88-1,""),"")</f>
        <v/>
      </c>
    </row>
    <row r="804">
      <c r="A804" s="19">
        <f>'SW Rev'!$A89</f>
        <v/>
      </c>
      <c r="B804" s="19">
        <f>'SW Rev'!$B89</f>
        <v/>
      </c>
      <c r="C804" s="37">
        <f>IFERROR(IF(AND(ISNUMBER('SW OpInc'!G89),ISNUMBER('SW OpInc'!C89),'SW OpInc'!C89&gt;0),'SW OpInc'!G89/'SW OpInc'!C89-1,""),"")</f>
        <v/>
      </c>
      <c r="D804" s="37">
        <f>IFERROR(IF(AND(ISNUMBER('SW OpInc'!H89),ISNUMBER('SW OpInc'!D89),'SW OpInc'!D89&gt;0),'SW OpInc'!H89/'SW OpInc'!D89-1,""),"")</f>
        <v/>
      </c>
      <c r="E804" s="37">
        <f>IFERROR(IF(AND(ISNUMBER('SW OpInc'!I89),ISNUMBER('SW OpInc'!E89),'SW OpInc'!E89&gt;0),'SW OpInc'!I89/'SW OpInc'!E89-1,""),"")</f>
        <v/>
      </c>
      <c r="F804" s="37">
        <f>IFERROR(IF(AND(ISNUMBER('SW OpInc'!J89),ISNUMBER('SW OpInc'!F89),'SW OpInc'!F89&gt;0),'SW OpInc'!J89/'SW OpInc'!F89-1,""),"")</f>
        <v/>
      </c>
      <c r="G804" s="37">
        <f>IFERROR(IF(AND(ISNUMBER('SW OpInc'!K89),ISNUMBER('SW OpInc'!G89),'SW OpInc'!G89&gt;0),'SW OpInc'!K89/'SW OpInc'!G89-1,""),"")</f>
        <v/>
      </c>
      <c r="H804" s="37">
        <f>IFERROR(IF(AND(ISNUMBER('SW OpInc'!L89),ISNUMBER('SW OpInc'!H89),'SW OpInc'!H89&gt;0),'SW OpInc'!L89/'SW OpInc'!H89-1,""),"")</f>
        <v/>
      </c>
      <c r="I804" s="37">
        <f>IFERROR(IF(AND(ISNUMBER('SW OpInc'!M89),ISNUMBER('SW OpInc'!I89),'SW OpInc'!I89&gt;0),'SW OpInc'!M89/'SW OpInc'!I89-1,""),"")</f>
        <v/>
      </c>
      <c r="J804" s="37">
        <f>IFERROR(IF(AND(ISNUMBER('SW OpInc'!N89),ISNUMBER('SW OpInc'!J89),'SW OpInc'!J89&gt;0),'SW OpInc'!N89/'SW OpInc'!J89-1,""),"")</f>
        <v/>
      </c>
      <c r="K804" s="37">
        <f>IFERROR(IF(AND(ISNUMBER('SW OpInc'!O89),ISNUMBER('SW OpInc'!K89),'SW OpInc'!K89&gt;0),'SW OpInc'!O89/'SW OpInc'!K89-1,""),"")</f>
        <v/>
      </c>
      <c r="L804" s="37">
        <f>IFERROR(IF(AND(ISNUMBER('SW OpInc'!P89),ISNUMBER('SW OpInc'!L89),'SW OpInc'!L89&gt;0),'SW OpInc'!P89/'SW OpInc'!L89-1,""),"")</f>
        <v/>
      </c>
      <c r="M804" s="38">
        <f>IFERROR(IF(AND(ISNUMBER('SW OpInc'!Q89),ISNUMBER('SW OpInc'!M89),'SW OpInc'!M89&gt;0),'SW OpInc'!Q89/'SW OpInc'!M89-1,""),"")</f>
        <v/>
      </c>
      <c r="N804" s="38">
        <f>IFERROR(IF(AND(ISNUMBER('SW OpInc'!R89),ISNUMBER('SW OpInc'!N89),'SW OpInc'!N89&gt;0),'SW OpInc'!R89/'SW OpInc'!N89-1,""),"")</f>
        <v/>
      </c>
    </row>
    <row r="805">
      <c r="A805" s="19">
        <f>'SW Rev'!$A90</f>
        <v/>
      </c>
      <c r="B805" s="19">
        <f>'SW Rev'!$B90</f>
        <v/>
      </c>
      <c r="C805" s="37">
        <f>IFERROR(IF(AND(ISNUMBER('SW OpInc'!G90),ISNUMBER('SW OpInc'!C90),'SW OpInc'!C90&gt;0),'SW OpInc'!G90/'SW OpInc'!C90-1,""),"")</f>
        <v/>
      </c>
      <c r="D805" s="37">
        <f>IFERROR(IF(AND(ISNUMBER('SW OpInc'!H90),ISNUMBER('SW OpInc'!D90),'SW OpInc'!D90&gt;0),'SW OpInc'!H90/'SW OpInc'!D90-1,""),"")</f>
        <v/>
      </c>
      <c r="E805" s="37">
        <f>IFERROR(IF(AND(ISNUMBER('SW OpInc'!I90),ISNUMBER('SW OpInc'!E90),'SW OpInc'!E90&gt;0),'SW OpInc'!I90/'SW OpInc'!E90-1,""),"")</f>
        <v/>
      </c>
      <c r="F805" s="37">
        <f>IFERROR(IF(AND(ISNUMBER('SW OpInc'!J90),ISNUMBER('SW OpInc'!F90),'SW OpInc'!F90&gt;0),'SW OpInc'!J90/'SW OpInc'!F90-1,""),"")</f>
        <v/>
      </c>
      <c r="G805" s="37">
        <f>IFERROR(IF(AND(ISNUMBER('SW OpInc'!K90),ISNUMBER('SW OpInc'!G90),'SW OpInc'!G90&gt;0),'SW OpInc'!K90/'SW OpInc'!G90-1,""),"")</f>
        <v/>
      </c>
      <c r="H805" s="37">
        <f>IFERROR(IF(AND(ISNUMBER('SW OpInc'!L90),ISNUMBER('SW OpInc'!H90),'SW OpInc'!H90&gt;0),'SW OpInc'!L90/'SW OpInc'!H90-1,""),"")</f>
        <v/>
      </c>
      <c r="I805" s="37">
        <f>IFERROR(IF(AND(ISNUMBER('SW OpInc'!M90),ISNUMBER('SW OpInc'!I90),'SW OpInc'!I90&gt;0),'SW OpInc'!M90/'SW OpInc'!I90-1,""),"")</f>
        <v/>
      </c>
      <c r="J805" s="37">
        <f>IFERROR(IF(AND(ISNUMBER('SW OpInc'!N90),ISNUMBER('SW OpInc'!J90),'SW OpInc'!J90&gt;0),'SW OpInc'!N90/'SW OpInc'!J90-1,""),"")</f>
        <v/>
      </c>
      <c r="K805" s="37">
        <f>IFERROR(IF(AND(ISNUMBER('SW OpInc'!O90),ISNUMBER('SW OpInc'!K90),'SW OpInc'!K90&gt;0),'SW OpInc'!O90/'SW OpInc'!K90-1,""),"")</f>
        <v/>
      </c>
      <c r="L805" s="37">
        <f>IFERROR(IF(AND(ISNUMBER('SW OpInc'!P90),ISNUMBER('SW OpInc'!L90),'SW OpInc'!L90&gt;0),'SW OpInc'!P90/'SW OpInc'!L90-1,""),"")</f>
        <v/>
      </c>
      <c r="M805" s="38">
        <f>IFERROR(IF(AND(ISNUMBER('SW OpInc'!Q90),ISNUMBER('SW OpInc'!M90),'SW OpInc'!M90&gt;0),'SW OpInc'!Q90/'SW OpInc'!M90-1,""),"")</f>
        <v/>
      </c>
      <c r="N805" s="38">
        <f>IFERROR(IF(AND(ISNUMBER('SW OpInc'!R90),ISNUMBER('SW OpInc'!N90),'SW OpInc'!N90&gt;0),'SW OpInc'!R90/'SW OpInc'!N90-1,""),"")</f>
        <v/>
      </c>
    </row>
    <row r="806">
      <c r="A806" s="19">
        <f>'SW Rev'!$A91</f>
        <v/>
      </c>
      <c r="B806" s="19">
        <f>'SW Rev'!$B91</f>
        <v/>
      </c>
      <c r="C806" s="37">
        <f>IFERROR(IF(AND(ISNUMBER('SW OpInc'!G91),ISNUMBER('SW OpInc'!C91),'SW OpInc'!C91&gt;0),'SW OpInc'!G91/'SW OpInc'!C91-1,""),"")</f>
        <v/>
      </c>
      <c r="D806" s="37">
        <f>IFERROR(IF(AND(ISNUMBER('SW OpInc'!H91),ISNUMBER('SW OpInc'!D91),'SW OpInc'!D91&gt;0),'SW OpInc'!H91/'SW OpInc'!D91-1,""),"")</f>
        <v/>
      </c>
      <c r="E806" s="37">
        <f>IFERROR(IF(AND(ISNUMBER('SW OpInc'!I91),ISNUMBER('SW OpInc'!E91),'SW OpInc'!E91&gt;0),'SW OpInc'!I91/'SW OpInc'!E91-1,""),"")</f>
        <v/>
      </c>
      <c r="F806" s="37">
        <f>IFERROR(IF(AND(ISNUMBER('SW OpInc'!J91),ISNUMBER('SW OpInc'!F91),'SW OpInc'!F91&gt;0),'SW OpInc'!J91/'SW OpInc'!F91-1,""),"")</f>
        <v/>
      </c>
      <c r="G806" s="37">
        <f>IFERROR(IF(AND(ISNUMBER('SW OpInc'!K91),ISNUMBER('SW OpInc'!G91),'SW OpInc'!G91&gt;0),'SW OpInc'!K91/'SW OpInc'!G91-1,""),"")</f>
        <v/>
      </c>
      <c r="H806" s="37">
        <f>IFERROR(IF(AND(ISNUMBER('SW OpInc'!L91),ISNUMBER('SW OpInc'!H91),'SW OpInc'!H91&gt;0),'SW OpInc'!L91/'SW OpInc'!H91-1,""),"")</f>
        <v/>
      </c>
      <c r="I806" s="37">
        <f>IFERROR(IF(AND(ISNUMBER('SW OpInc'!M91),ISNUMBER('SW OpInc'!I91),'SW OpInc'!I91&gt;0),'SW OpInc'!M91/'SW OpInc'!I91-1,""),"")</f>
        <v/>
      </c>
      <c r="J806" s="37">
        <f>IFERROR(IF(AND(ISNUMBER('SW OpInc'!N91),ISNUMBER('SW OpInc'!J91),'SW OpInc'!J91&gt;0),'SW OpInc'!N91/'SW OpInc'!J91-1,""),"")</f>
        <v/>
      </c>
      <c r="K806" s="37">
        <f>IFERROR(IF(AND(ISNUMBER('SW OpInc'!O91),ISNUMBER('SW OpInc'!K91),'SW OpInc'!K91&gt;0),'SW OpInc'!O91/'SW OpInc'!K91-1,""),"")</f>
        <v/>
      </c>
      <c r="L806" s="37">
        <f>IFERROR(IF(AND(ISNUMBER('SW OpInc'!P91),ISNUMBER('SW OpInc'!L91),'SW OpInc'!L91&gt;0),'SW OpInc'!P91/'SW OpInc'!L91-1,""),"")</f>
        <v/>
      </c>
      <c r="M806" s="38">
        <f>IFERROR(IF(AND(ISNUMBER('SW OpInc'!Q91),ISNUMBER('SW OpInc'!M91),'SW OpInc'!M91&gt;0),'SW OpInc'!Q91/'SW OpInc'!M91-1,""),"")</f>
        <v/>
      </c>
      <c r="N806" s="38">
        <f>IFERROR(IF(AND(ISNUMBER('SW OpInc'!R91),ISNUMBER('SW OpInc'!N91),'SW OpInc'!N91&gt;0),'SW OpInc'!R91/'SW OpInc'!N91-1,""),"")</f>
        <v/>
      </c>
    </row>
    <row r="807">
      <c r="A807" s="19">
        <f>'SW Rev'!$A92</f>
        <v/>
      </c>
      <c r="B807" s="19">
        <f>'SW Rev'!$B92</f>
        <v/>
      </c>
      <c r="C807" s="37">
        <f>IFERROR(IF(AND(ISNUMBER('SW OpInc'!G92),ISNUMBER('SW OpInc'!C92),'SW OpInc'!C92&gt;0),'SW OpInc'!G92/'SW OpInc'!C92-1,""),"")</f>
        <v/>
      </c>
      <c r="D807" s="37">
        <f>IFERROR(IF(AND(ISNUMBER('SW OpInc'!H92),ISNUMBER('SW OpInc'!D92),'SW OpInc'!D92&gt;0),'SW OpInc'!H92/'SW OpInc'!D92-1,""),"")</f>
        <v/>
      </c>
      <c r="E807" s="37">
        <f>IFERROR(IF(AND(ISNUMBER('SW OpInc'!I92),ISNUMBER('SW OpInc'!E92),'SW OpInc'!E92&gt;0),'SW OpInc'!I92/'SW OpInc'!E92-1,""),"")</f>
        <v/>
      </c>
      <c r="F807" s="37">
        <f>IFERROR(IF(AND(ISNUMBER('SW OpInc'!J92),ISNUMBER('SW OpInc'!F92),'SW OpInc'!F92&gt;0),'SW OpInc'!J92/'SW OpInc'!F92-1,""),"")</f>
        <v/>
      </c>
      <c r="G807" s="37">
        <f>IFERROR(IF(AND(ISNUMBER('SW OpInc'!K92),ISNUMBER('SW OpInc'!G92),'SW OpInc'!G92&gt;0),'SW OpInc'!K92/'SW OpInc'!G92-1,""),"")</f>
        <v/>
      </c>
      <c r="H807" s="37">
        <f>IFERROR(IF(AND(ISNUMBER('SW OpInc'!L92),ISNUMBER('SW OpInc'!H92),'SW OpInc'!H92&gt;0),'SW OpInc'!L92/'SW OpInc'!H92-1,""),"")</f>
        <v/>
      </c>
      <c r="I807" s="37">
        <f>IFERROR(IF(AND(ISNUMBER('SW OpInc'!M92),ISNUMBER('SW OpInc'!I92),'SW OpInc'!I92&gt;0),'SW OpInc'!M92/'SW OpInc'!I92-1,""),"")</f>
        <v/>
      </c>
      <c r="J807" s="37">
        <f>IFERROR(IF(AND(ISNUMBER('SW OpInc'!N92),ISNUMBER('SW OpInc'!J92),'SW OpInc'!J92&gt;0),'SW OpInc'!N92/'SW OpInc'!J92-1,""),"")</f>
        <v/>
      </c>
      <c r="K807" s="37">
        <f>IFERROR(IF(AND(ISNUMBER('SW OpInc'!O92),ISNUMBER('SW OpInc'!K92),'SW OpInc'!K92&gt;0),'SW OpInc'!O92/'SW OpInc'!K92-1,""),"")</f>
        <v/>
      </c>
      <c r="L807" s="37">
        <f>IFERROR(IF(AND(ISNUMBER('SW OpInc'!P92),ISNUMBER('SW OpInc'!L92),'SW OpInc'!L92&gt;0),'SW OpInc'!P92/'SW OpInc'!L92-1,""),"")</f>
        <v/>
      </c>
      <c r="M807" s="38">
        <f>IFERROR(IF(AND(ISNUMBER('SW OpInc'!Q92),ISNUMBER('SW OpInc'!M92),'SW OpInc'!M92&gt;0),'SW OpInc'!Q92/'SW OpInc'!M92-1,""),"")</f>
        <v/>
      </c>
      <c r="N807" s="38">
        <f>IFERROR(IF(AND(ISNUMBER('SW OpInc'!R92),ISNUMBER('SW OpInc'!N92),'SW OpInc'!N92&gt;0),'SW OpInc'!R92/'SW OpInc'!N92-1,""),"")</f>
        <v/>
      </c>
    </row>
    <row r="808">
      <c r="A808" s="19">
        <f>'SW Rev'!$A93</f>
        <v/>
      </c>
      <c r="B808" s="19">
        <f>'SW Rev'!$B93</f>
        <v/>
      </c>
      <c r="C808" s="37">
        <f>IFERROR(IF(AND(ISNUMBER('SW OpInc'!G93),ISNUMBER('SW OpInc'!C93),'SW OpInc'!C93&gt;0),'SW OpInc'!G93/'SW OpInc'!C93-1,""),"")</f>
        <v/>
      </c>
      <c r="D808" s="37">
        <f>IFERROR(IF(AND(ISNUMBER('SW OpInc'!H93),ISNUMBER('SW OpInc'!D93),'SW OpInc'!D93&gt;0),'SW OpInc'!H93/'SW OpInc'!D93-1,""),"")</f>
        <v/>
      </c>
      <c r="E808" s="37">
        <f>IFERROR(IF(AND(ISNUMBER('SW OpInc'!I93),ISNUMBER('SW OpInc'!E93),'SW OpInc'!E93&gt;0),'SW OpInc'!I93/'SW OpInc'!E93-1,""),"")</f>
        <v/>
      </c>
      <c r="F808" s="37">
        <f>IFERROR(IF(AND(ISNUMBER('SW OpInc'!J93),ISNUMBER('SW OpInc'!F93),'SW OpInc'!F93&gt;0),'SW OpInc'!J93/'SW OpInc'!F93-1,""),"")</f>
        <v/>
      </c>
      <c r="G808" s="37">
        <f>IFERROR(IF(AND(ISNUMBER('SW OpInc'!K93),ISNUMBER('SW OpInc'!G93),'SW OpInc'!G93&gt;0),'SW OpInc'!K93/'SW OpInc'!G93-1,""),"")</f>
        <v/>
      </c>
      <c r="H808" s="37">
        <f>IFERROR(IF(AND(ISNUMBER('SW OpInc'!L93),ISNUMBER('SW OpInc'!H93),'SW OpInc'!H93&gt;0),'SW OpInc'!L93/'SW OpInc'!H93-1,""),"")</f>
        <v/>
      </c>
      <c r="I808" s="37">
        <f>IFERROR(IF(AND(ISNUMBER('SW OpInc'!M93),ISNUMBER('SW OpInc'!I93),'SW OpInc'!I93&gt;0),'SW OpInc'!M93/'SW OpInc'!I93-1,""),"")</f>
        <v/>
      </c>
      <c r="J808" s="37">
        <f>IFERROR(IF(AND(ISNUMBER('SW OpInc'!N93),ISNUMBER('SW OpInc'!J93),'SW OpInc'!J93&gt;0),'SW OpInc'!N93/'SW OpInc'!J93-1,""),"")</f>
        <v/>
      </c>
      <c r="K808" s="37">
        <f>IFERROR(IF(AND(ISNUMBER('SW OpInc'!O93),ISNUMBER('SW OpInc'!K93),'SW OpInc'!K93&gt;0),'SW OpInc'!O93/'SW OpInc'!K93-1,""),"")</f>
        <v/>
      </c>
      <c r="L808" s="37">
        <f>IFERROR(IF(AND(ISNUMBER('SW OpInc'!P93),ISNUMBER('SW OpInc'!L93),'SW OpInc'!L93&gt;0),'SW OpInc'!P93/'SW OpInc'!L93-1,""),"")</f>
        <v/>
      </c>
      <c r="M808" s="38">
        <f>IFERROR(IF(AND(ISNUMBER('SW OpInc'!Q93),ISNUMBER('SW OpInc'!M93),'SW OpInc'!M93&gt;0),'SW OpInc'!Q93/'SW OpInc'!M93-1,""),"")</f>
        <v/>
      </c>
      <c r="N808" s="38">
        <f>IFERROR(IF(AND(ISNUMBER('SW OpInc'!R93),ISNUMBER('SW OpInc'!N93),'SW OpInc'!N93&gt;0),'SW OpInc'!R93/'SW OpInc'!N93-1,""),"")</f>
        <v/>
      </c>
    </row>
    <row r="809">
      <c r="A809" s="19">
        <f>'SW Rev'!$A94</f>
        <v/>
      </c>
      <c r="B809" s="19">
        <f>'SW Rev'!$B94</f>
        <v/>
      </c>
      <c r="C809" s="37">
        <f>IFERROR(IF(AND(ISNUMBER('SW OpInc'!G94),ISNUMBER('SW OpInc'!C94),'SW OpInc'!C94&gt;0),'SW OpInc'!G94/'SW OpInc'!C94-1,""),"")</f>
        <v/>
      </c>
      <c r="D809" s="37">
        <f>IFERROR(IF(AND(ISNUMBER('SW OpInc'!H94),ISNUMBER('SW OpInc'!D94),'SW OpInc'!D94&gt;0),'SW OpInc'!H94/'SW OpInc'!D94-1,""),"")</f>
        <v/>
      </c>
      <c r="E809" s="37">
        <f>IFERROR(IF(AND(ISNUMBER('SW OpInc'!I94),ISNUMBER('SW OpInc'!E94),'SW OpInc'!E94&gt;0),'SW OpInc'!I94/'SW OpInc'!E94-1,""),"")</f>
        <v/>
      </c>
      <c r="F809" s="37">
        <f>IFERROR(IF(AND(ISNUMBER('SW OpInc'!J94),ISNUMBER('SW OpInc'!F94),'SW OpInc'!F94&gt;0),'SW OpInc'!J94/'SW OpInc'!F94-1,""),"")</f>
        <v/>
      </c>
      <c r="G809" s="37">
        <f>IFERROR(IF(AND(ISNUMBER('SW OpInc'!K94),ISNUMBER('SW OpInc'!G94),'SW OpInc'!G94&gt;0),'SW OpInc'!K94/'SW OpInc'!G94-1,""),"")</f>
        <v/>
      </c>
      <c r="H809" s="37">
        <f>IFERROR(IF(AND(ISNUMBER('SW OpInc'!L94),ISNUMBER('SW OpInc'!H94),'SW OpInc'!H94&gt;0),'SW OpInc'!L94/'SW OpInc'!H94-1,""),"")</f>
        <v/>
      </c>
      <c r="I809" s="37">
        <f>IFERROR(IF(AND(ISNUMBER('SW OpInc'!M94),ISNUMBER('SW OpInc'!I94),'SW OpInc'!I94&gt;0),'SW OpInc'!M94/'SW OpInc'!I94-1,""),"")</f>
        <v/>
      </c>
      <c r="J809" s="37">
        <f>IFERROR(IF(AND(ISNUMBER('SW OpInc'!N94),ISNUMBER('SW OpInc'!J94),'SW OpInc'!J94&gt;0),'SW OpInc'!N94/'SW OpInc'!J94-1,""),"")</f>
        <v/>
      </c>
      <c r="K809" s="37">
        <f>IFERROR(IF(AND(ISNUMBER('SW OpInc'!O94),ISNUMBER('SW OpInc'!K94),'SW OpInc'!K94&gt;0),'SW OpInc'!O94/'SW OpInc'!K94-1,""),"")</f>
        <v/>
      </c>
      <c r="L809" s="37">
        <f>IFERROR(IF(AND(ISNUMBER('SW OpInc'!P94),ISNUMBER('SW OpInc'!L94),'SW OpInc'!L94&gt;0),'SW OpInc'!P94/'SW OpInc'!L94-1,""),"")</f>
        <v/>
      </c>
      <c r="M809" s="38">
        <f>IFERROR(IF(AND(ISNUMBER('SW OpInc'!Q94),ISNUMBER('SW OpInc'!M94),'SW OpInc'!M94&gt;0),'SW OpInc'!Q94/'SW OpInc'!M94-1,""),"")</f>
        <v/>
      </c>
      <c r="N809" s="38">
        <f>IFERROR(IF(AND(ISNUMBER('SW OpInc'!R94),ISNUMBER('SW OpInc'!N94),'SW OpInc'!N94&gt;0),'SW OpInc'!R94/'SW OpInc'!N94-1,""),"")</f>
        <v/>
      </c>
    </row>
    <row r="810">
      <c r="A810" s="19">
        <f>'SW Rev'!$A95</f>
        <v/>
      </c>
      <c r="B810" s="19">
        <f>'SW Rev'!$B95</f>
        <v/>
      </c>
      <c r="C810" s="37">
        <f>IFERROR(IF(AND(ISNUMBER('SW OpInc'!G95),ISNUMBER('SW OpInc'!C95),'SW OpInc'!C95&gt;0),'SW OpInc'!G95/'SW OpInc'!C95-1,""),"")</f>
        <v/>
      </c>
      <c r="D810" s="37">
        <f>IFERROR(IF(AND(ISNUMBER('SW OpInc'!H95),ISNUMBER('SW OpInc'!D95),'SW OpInc'!D95&gt;0),'SW OpInc'!H95/'SW OpInc'!D95-1,""),"")</f>
        <v/>
      </c>
      <c r="E810" s="37">
        <f>IFERROR(IF(AND(ISNUMBER('SW OpInc'!I95),ISNUMBER('SW OpInc'!E95),'SW OpInc'!E95&gt;0),'SW OpInc'!I95/'SW OpInc'!E95-1,""),"")</f>
        <v/>
      </c>
      <c r="F810" s="37">
        <f>IFERROR(IF(AND(ISNUMBER('SW OpInc'!J95),ISNUMBER('SW OpInc'!F95),'SW OpInc'!F95&gt;0),'SW OpInc'!J95/'SW OpInc'!F95-1,""),"")</f>
        <v/>
      </c>
      <c r="G810" s="37">
        <f>IFERROR(IF(AND(ISNUMBER('SW OpInc'!K95),ISNUMBER('SW OpInc'!G95),'SW OpInc'!G95&gt;0),'SW OpInc'!K95/'SW OpInc'!G95-1,""),"")</f>
        <v/>
      </c>
      <c r="H810" s="37">
        <f>IFERROR(IF(AND(ISNUMBER('SW OpInc'!L95),ISNUMBER('SW OpInc'!H95),'SW OpInc'!H95&gt;0),'SW OpInc'!L95/'SW OpInc'!H95-1,""),"")</f>
        <v/>
      </c>
      <c r="I810" s="37">
        <f>IFERROR(IF(AND(ISNUMBER('SW OpInc'!M95),ISNUMBER('SW OpInc'!I95),'SW OpInc'!I95&gt;0),'SW OpInc'!M95/'SW OpInc'!I95-1,""),"")</f>
        <v/>
      </c>
      <c r="J810" s="37">
        <f>IFERROR(IF(AND(ISNUMBER('SW OpInc'!N95),ISNUMBER('SW OpInc'!J95),'SW OpInc'!J95&gt;0),'SW OpInc'!N95/'SW OpInc'!J95-1,""),"")</f>
        <v/>
      </c>
      <c r="K810" s="37">
        <f>IFERROR(IF(AND(ISNUMBER('SW OpInc'!O95),ISNUMBER('SW OpInc'!K95),'SW OpInc'!K95&gt;0),'SW OpInc'!O95/'SW OpInc'!K95-1,""),"")</f>
        <v/>
      </c>
      <c r="L810" s="37">
        <f>IFERROR(IF(AND(ISNUMBER('SW OpInc'!P95),ISNUMBER('SW OpInc'!L95),'SW OpInc'!L95&gt;0),'SW OpInc'!P95/'SW OpInc'!L95-1,""),"")</f>
        <v/>
      </c>
      <c r="M810" s="38">
        <f>IFERROR(IF(AND(ISNUMBER('SW OpInc'!Q95),ISNUMBER('SW OpInc'!M95),'SW OpInc'!M95&gt;0),'SW OpInc'!Q95/'SW OpInc'!M95-1,""),"")</f>
        <v/>
      </c>
      <c r="N810" s="38">
        <f>IFERROR(IF(AND(ISNUMBER('SW OpInc'!R95),ISNUMBER('SW OpInc'!N95),'SW OpInc'!N95&gt;0),'SW OpInc'!R95/'SW OpInc'!N95-1,""),"")</f>
        <v/>
      </c>
    </row>
    <row r="811">
      <c r="A811" s="19">
        <f>'SW Rev'!$A96</f>
        <v/>
      </c>
      <c r="B811" s="19">
        <f>'SW Rev'!$B96</f>
        <v/>
      </c>
      <c r="C811" s="37">
        <f>IFERROR(IF(AND(ISNUMBER('SW OpInc'!G96),ISNUMBER('SW OpInc'!C96),'SW OpInc'!C96&gt;0),'SW OpInc'!G96/'SW OpInc'!C96-1,""),"")</f>
        <v/>
      </c>
      <c r="D811" s="37">
        <f>IFERROR(IF(AND(ISNUMBER('SW OpInc'!H96),ISNUMBER('SW OpInc'!D96),'SW OpInc'!D96&gt;0),'SW OpInc'!H96/'SW OpInc'!D96-1,""),"")</f>
        <v/>
      </c>
      <c r="E811" s="37">
        <f>IFERROR(IF(AND(ISNUMBER('SW OpInc'!I96),ISNUMBER('SW OpInc'!E96),'SW OpInc'!E96&gt;0),'SW OpInc'!I96/'SW OpInc'!E96-1,""),"")</f>
        <v/>
      </c>
      <c r="F811" s="37">
        <f>IFERROR(IF(AND(ISNUMBER('SW OpInc'!J96),ISNUMBER('SW OpInc'!F96),'SW OpInc'!F96&gt;0),'SW OpInc'!J96/'SW OpInc'!F96-1,""),"")</f>
        <v/>
      </c>
      <c r="G811" s="37">
        <f>IFERROR(IF(AND(ISNUMBER('SW OpInc'!K96),ISNUMBER('SW OpInc'!G96),'SW OpInc'!G96&gt;0),'SW OpInc'!K96/'SW OpInc'!G96-1,""),"")</f>
        <v/>
      </c>
      <c r="H811" s="37">
        <f>IFERROR(IF(AND(ISNUMBER('SW OpInc'!L96),ISNUMBER('SW OpInc'!H96),'SW OpInc'!H96&gt;0),'SW OpInc'!L96/'SW OpInc'!H96-1,""),"")</f>
        <v/>
      </c>
      <c r="I811" s="37">
        <f>IFERROR(IF(AND(ISNUMBER('SW OpInc'!M96),ISNUMBER('SW OpInc'!I96),'SW OpInc'!I96&gt;0),'SW OpInc'!M96/'SW OpInc'!I96-1,""),"")</f>
        <v/>
      </c>
      <c r="J811" s="37">
        <f>IFERROR(IF(AND(ISNUMBER('SW OpInc'!N96),ISNUMBER('SW OpInc'!J96),'SW OpInc'!J96&gt;0),'SW OpInc'!N96/'SW OpInc'!J96-1,""),"")</f>
        <v/>
      </c>
      <c r="K811" s="37">
        <f>IFERROR(IF(AND(ISNUMBER('SW OpInc'!O96),ISNUMBER('SW OpInc'!K96),'SW OpInc'!K96&gt;0),'SW OpInc'!O96/'SW OpInc'!K96-1,""),"")</f>
        <v/>
      </c>
      <c r="L811" s="37">
        <f>IFERROR(IF(AND(ISNUMBER('SW OpInc'!P96),ISNUMBER('SW OpInc'!L96),'SW OpInc'!L96&gt;0),'SW OpInc'!P96/'SW OpInc'!L96-1,""),"")</f>
        <v/>
      </c>
      <c r="M811" s="38">
        <f>IFERROR(IF(AND(ISNUMBER('SW OpInc'!Q96),ISNUMBER('SW OpInc'!M96),'SW OpInc'!M96&gt;0),'SW OpInc'!Q96/'SW OpInc'!M96-1,""),"")</f>
        <v/>
      </c>
      <c r="N811" s="38">
        <f>IFERROR(IF(AND(ISNUMBER('SW OpInc'!R96),ISNUMBER('SW OpInc'!N96),'SW OpInc'!N96&gt;0),'SW OpInc'!R96/'SW OpInc'!N96-1,""),"")</f>
        <v/>
      </c>
    </row>
    <row r="812">
      <c r="A812" s="19">
        <f>'SW Rev'!$A97</f>
        <v/>
      </c>
      <c r="B812" s="19">
        <f>'SW Rev'!$B97</f>
        <v/>
      </c>
      <c r="C812" s="37">
        <f>IFERROR(IF(AND(ISNUMBER('SW OpInc'!G97),ISNUMBER('SW OpInc'!C97),'SW OpInc'!C97&gt;0),'SW OpInc'!G97/'SW OpInc'!C97-1,""),"")</f>
        <v/>
      </c>
      <c r="D812" s="37">
        <f>IFERROR(IF(AND(ISNUMBER('SW OpInc'!H97),ISNUMBER('SW OpInc'!D97),'SW OpInc'!D97&gt;0),'SW OpInc'!H97/'SW OpInc'!D97-1,""),"")</f>
        <v/>
      </c>
      <c r="E812" s="37">
        <f>IFERROR(IF(AND(ISNUMBER('SW OpInc'!I97),ISNUMBER('SW OpInc'!E97),'SW OpInc'!E97&gt;0),'SW OpInc'!I97/'SW OpInc'!E97-1,""),"")</f>
        <v/>
      </c>
      <c r="F812" s="37">
        <f>IFERROR(IF(AND(ISNUMBER('SW OpInc'!J97),ISNUMBER('SW OpInc'!F97),'SW OpInc'!F97&gt;0),'SW OpInc'!J97/'SW OpInc'!F97-1,""),"")</f>
        <v/>
      </c>
      <c r="G812" s="37">
        <f>IFERROR(IF(AND(ISNUMBER('SW OpInc'!K97),ISNUMBER('SW OpInc'!G97),'SW OpInc'!G97&gt;0),'SW OpInc'!K97/'SW OpInc'!G97-1,""),"")</f>
        <v/>
      </c>
      <c r="H812" s="37">
        <f>IFERROR(IF(AND(ISNUMBER('SW OpInc'!L97),ISNUMBER('SW OpInc'!H97),'SW OpInc'!H97&gt;0),'SW OpInc'!L97/'SW OpInc'!H97-1,""),"")</f>
        <v/>
      </c>
      <c r="I812" s="37">
        <f>IFERROR(IF(AND(ISNUMBER('SW OpInc'!M97),ISNUMBER('SW OpInc'!I97),'SW OpInc'!I97&gt;0),'SW OpInc'!M97/'SW OpInc'!I97-1,""),"")</f>
        <v/>
      </c>
      <c r="J812" s="37">
        <f>IFERROR(IF(AND(ISNUMBER('SW OpInc'!N97),ISNUMBER('SW OpInc'!J97),'SW OpInc'!J97&gt;0),'SW OpInc'!N97/'SW OpInc'!J97-1,""),"")</f>
        <v/>
      </c>
      <c r="K812" s="37">
        <f>IFERROR(IF(AND(ISNUMBER('SW OpInc'!O97),ISNUMBER('SW OpInc'!K97),'SW OpInc'!K97&gt;0),'SW OpInc'!O97/'SW OpInc'!K97-1,""),"")</f>
        <v/>
      </c>
      <c r="L812" s="37">
        <f>IFERROR(IF(AND(ISNUMBER('SW OpInc'!P97),ISNUMBER('SW OpInc'!L97),'SW OpInc'!L97&gt;0),'SW OpInc'!P97/'SW OpInc'!L97-1,""),"")</f>
        <v/>
      </c>
      <c r="M812" s="38">
        <f>IFERROR(IF(AND(ISNUMBER('SW OpInc'!Q97),ISNUMBER('SW OpInc'!M97),'SW OpInc'!M97&gt;0),'SW OpInc'!Q97/'SW OpInc'!M97-1,""),"")</f>
        <v/>
      </c>
      <c r="N812" s="38">
        <f>IFERROR(IF(AND(ISNUMBER('SW OpInc'!R97),ISNUMBER('SW OpInc'!N97),'SW OpInc'!N97&gt;0),'SW OpInc'!R97/'SW OpInc'!N97-1,""),"")</f>
        <v/>
      </c>
    </row>
    <row r="813">
      <c r="A813" s="19">
        <f>'SW Rev'!$A98</f>
        <v/>
      </c>
      <c r="B813" s="19">
        <f>'SW Rev'!$B98</f>
        <v/>
      </c>
      <c r="C813" s="37">
        <f>IFERROR(IF(AND(ISNUMBER('SW OpInc'!G98),ISNUMBER('SW OpInc'!C98),'SW OpInc'!C98&gt;0),'SW OpInc'!G98/'SW OpInc'!C98-1,""),"")</f>
        <v/>
      </c>
      <c r="D813" s="37">
        <f>IFERROR(IF(AND(ISNUMBER('SW OpInc'!H98),ISNUMBER('SW OpInc'!D98),'SW OpInc'!D98&gt;0),'SW OpInc'!H98/'SW OpInc'!D98-1,""),"")</f>
        <v/>
      </c>
      <c r="E813" s="37">
        <f>IFERROR(IF(AND(ISNUMBER('SW OpInc'!I98),ISNUMBER('SW OpInc'!E98),'SW OpInc'!E98&gt;0),'SW OpInc'!I98/'SW OpInc'!E98-1,""),"")</f>
        <v/>
      </c>
      <c r="F813" s="37">
        <f>IFERROR(IF(AND(ISNUMBER('SW OpInc'!J98),ISNUMBER('SW OpInc'!F98),'SW OpInc'!F98&gt;0),'SW OpInc'!J98/'SW OpInc'!F98-1,""),"")</f>
        <v/>
      </c>
      <c r="G813" s="37">
        <f>IFERROR(IF(AND(ISNUMBER('SW OpInc'!K98),ISNUMBER('SW OpInc'!G98),'SW OpInc'!G98&gt;0),'SW OpInc'!K98/'SW OpInc'!G98-1,""),"")</f>
        <v/>
      </c>
      <c r="H813" s="37">
        <f>IFERROR(IF(AND(ISNUMBER('SW OpInc'!L98),ISNUMBER('SW OpInc'!H98),'SW OpInc'!H98&gt;0),'SW OpInc'!L98/'SW OpInc'!H98-1,""),"")</f>
        <v/>
      </c>
      <c r="I813" s="37">
        <f>IFERROR(IF(AND(ISNUMBER('SW OpInc'!M98),ISNUMBER('SW OpInc'!I98),'SW OpInc'!I98&gt;0),'SW OpInc'!M98/'SW OpInc'!I98-1,""),"")</f>
        <v/>
      </c>
      <c r="J813" s="37">
        <f>IFERROR(IF(AND(ISNUMBER('SW OpInc'!N98),ISNUMBER('SW OpInc'!J98),'SW OpInc'!J98&gt;0),'SW OpInc'!N98/'SW OpInc'!J98-1,""),"")</f>
        <v/>
      </c>
      <c r="K813" s="37">
        <f>IFERROR(IF(AND(ISNUMBER('SW OpInc'!O98),ISNUMBER('SW OpInc'!K98),'SW OpInc'!K98&gt;0),'SW OpInc'!O98/'SW OpInc'!K98-1,""),"")</f>
        <v/>
      </c>
      <c r="L813" s="37">
        <f>IFERROR(IF(AND(ISNUMBER('SW OpInc'!P98),ISNUMBER('SW OpInc'!L98),'SW OpInc'!L98&gt;0),'SW OpInc'!P98/'SW OpInc'!L98-1,""),"")</f>
        <v/>
      </c>
      <c r="M813" s="38">
        <f>IFERROR(IF(AND(ISNUMBER('SW OpInc'!Q98),ISNUMBER('SW OpInc'!M98),'SW OpInc'!M98&gt;0),'SW OpInc'!Q98/'SW OpInc'!M98-1,""),"")</f>
        <v/>
      </c>
      <c r="N813" s="38">
        <f>IFERROR(IF(AND(ISNUMBER('SW OpInc'!R98),ISNUMBER('SW OpInc'!N98),'SW OpInc'!N98&gt;0),'SW OpInc'!R98/'SW OpInc'!N98-1,""),"")</f>
        <v/>
      </c>
    </row>
    <row r="814">
      <c r="A814" s="19">
        <f>'SW Rev'!$A99</f>
        <v/>
      </c>
      <c r="B814" s="19">
        <f>'SW Rev'!$B99</f>
        <v/>
      </c>
      <c r="C814" s="37">
        <f>IFERROR(IF(AND(ISNUMBER('SW OpInc'!G99),ISNUMBER('SW OpInc'!C99),'SW OpInc'!C99&gt;0),'SW OpInc'!G99/'SW OpInc'!C99-1,""),"")</f>
        <v/>
      </c>
      <c r="D814" s="37">
        <f>IFERROR(IF(AND(ISNUMBER('SW OpInc'!H99),ISNUMBER('SW OpInc'!D99),'SW OpInc'!D99&gt;0),'SW OpInc'!H99/'SW OpInc'!D99-1,""),"")</f>
        <v/>
      </c>
      <c r="E814" s="37">
        <f>IFERROR(IF(AND(ISNUMBER('SW OpInc'!I99),ISNUMBER('SW OpInc'!E99),'SW OpInc'!E99&gt;0),'SW OpInc'!I99/'SW OpInc'!E99-1,""),"")</f>
        <v/>
      </c>
      <c r="F814" s="37">
        <f>IFERROR(IF(AND(ISNUMBER('SW OpInc'!J99),ISNUMBER('SW OpInc'!F99),'SW OpInc'!F99&gt;0),'SW OpInc'!J99/'SW OpInc'!F99-1,""),"")</f>
        <v/>
      </c>
      <c r="G814" s="37">
        <f>IFERROR(IF(AND(ISNUMBER('SW OpInc'!K99),ISNUMBER('SW OpInc'!G99),'SW OpInc'!G99&gt;0),'SW OpInc'!K99/'SW OpInc'!G99-1,""),"")</f>
        <v/>
      </c>
      <c r="H814" s="37">
        <f>IFERROR(IF(AND(ISNUMBER('SW OpInc'!L99),ISNUMBER('SW OpInc'!H99),'SW OpInc'!H99&gt;0),'SW OpInc'!L99/'SW OpInc'!H99-1,""),"")</f>
        <v/>
      </c>
      <c r="I814" s="37">
        <f>IFERROR(IF(AND(ISNUMBER('SW OpInc'!M99),ISNUMBER('SW OpInc'!I99),'SW OpInc'!I99&gt;0),'SW OpInc'!M99/'SW OpInc'!I99-1,""),"")</f>
        <v/>
      </c>
      <c r="J814" s="37">
        <f>IFERROR(IF(AND(ISNUMBER('SW OpInc'!N99),ISNUMBER('SW OpInc'!J99),'SW OpInc'!J99&gt;0),'SW OpInc'!N99/'SW OpInc'!J99-1,""),"")</f>
        <v/>
      </c>
      <c r="K814" s="37">
        <f>IFERROR(IF(AND(ISNUMBER('SW OpInc'!O99),ISNUMBER('SW OpInc'!K99),'SW OpInc'!K99&gt;0),'SW OpInc'!O99/'SW OpInc'!K99-1,""),"")</f>
        <v/>
      </c>
      <c r="L814" s="37">
        <f>IFERROR(IF(AND(ISNUMBER('SW OpInc'!P99),ISNUMBER('SW OpInc'!L99),'SW OpInc'!L99&gt;0),'SW OpInc'!P99/'SW OpInc'!L99-1,""),"")</f>
        <v/>
      </c>
      <c r="M814" s="38">
        <f>IFERROR(IF(AND(ISNUMBER('SW OpInc'!Q99),ISNUMBER('SW OpInc'!M99),'SW OpInc'!M99&gt;0),'SW OpInc'!Q99/'SW OpInc'!M99-1,""),"")</f>
        <v/>
      </c>
      <c r="N814" s="38">
        <f>IFERROR(IF(AND(ISNUMBER('SW OpInc'!R99),ISNUMBER('SW OpInc'!N99),'SW OpInc'!N99&gt;0),'SW OpInc'!R99/'SW OpInc'!N99-1,""),"")</f>
        <v/>
      </c>
    </row>
    <row r="815">
      <c r="A815" s="19">
        <f>'SW Rev'!$A100</f>
        <v/>
      </c>
      <c r="B815" s="19">
        <f>'SW Rev'!$B100</f>
        <v/>
      </c>
      <c r="C815" s="37">
        <f>IFERROR(IF(AND(ISNUMBER('SW OpInc'!G100),ISNUMBER('SW OpInc'!C100),'SW OpInc'!C100&gt;0),'SW OpInc'!G100/'SW OpInc'!C100-1,""),"")</f>
        <v/>
      </c>
      <c r="D815" s="37">
        <f>IFERROR(IF(AND(ISNUMBER('SW OpInc'!H100),ISNUMBER('SW OpInc'!D100),'SW OpInc'!D100&gt;0),'SW OpInc'!H100/'SW OpInc'!D100-1,""),"")</f>
        <v/>
      </c>
      <c r="E815" s="37">
        <f>IFERROR(IF(AND(ISNUMBER('SW OpInc'!I100),ISNUMBER('SW OpInc'!E100),'SW OpInc'!E100&gt;0),'SW OpInc'!I100/'SW OpInc'!E100-1,""),"")</f>
        <v/>
      </c>
      <c r="F815" s="37">
        <f>IFERROR(IF(AND(ISNUMBER('SW OpInc'!J100),ISNUMBER('SW OpInc'!F100),'SW OpInc'!F100&gt;0),'SW OpInc'!J100/'SW OpInc'!F100-1,""),"")</f>
        <v/>
      </c>
      <c r="G815" s="37">
        <f>IFERROR(IF(AND(ISNUMBER('SW OpInc'!K100),ISNUMBER('SW OpInc'!G100),'SW OpInc'!G100&gt;0),'SW OpInc'!K100/'SW OpInc'!G100-1,""),"")</f>
        <v/>
      </c>
      <c r="H815" s="37">
        <f>IFERROR(IF(AND(ISNUMBER('SW OpInc'!L100),ISNUMBER('SW OpInc'!H100),'SW OpInc'!H100&gt;0),'SW OpInc'!L100/'SW OpInc'!H100-1,""),"")</f>
        <v/>
      </c>
      <c r="I815" s="37">
        <f>IFERROR(IF(AND(ISNUMBER('SW OpInc'!M100),ISNUMBER('SW OpInc'!I100),'SW OpInc'!I100&gt;0),'SW OpInc'!M100/'SW OpInc'!I100-1,""),"")</f>
        <v/>
      </c>
      <c r="J815" s="37">
        <f>IFERROR(IF(AND(ISNUMBER('SW OpInc'!N100),ISNUMBER('SW OpInc'!J100),'SW OpInc'!J100&gt;0),'SW OpInc'!N100/'SW OpInc'!J100-1,""),"")</f>
        <v/>
      </c>
      <c r="K815" s="37">
        <f>IFERROR(IF(AND(ISNUMBER('SW OpInc'!O100),ISNUMBER('SW OpInc'!K100),'SW OpInc'!K100&gt;0),'SW OpInc'!O100/'SW OpInc'!K100-1,""),"")</f>
        <v/>
      </c>
      <c r="L815" s="37">
        <f>IFERROR(IF(AND(ISNUMBER('SW OpInc'!P100),ISNUMBER('SW OpInc'!L100),'SW OpInc'!L100&gt;0),'SW OpInc'!P100/'SW OpInc'!L100-1,""),"")</f>
        <v/>
      </c>
      <c r="M815" s="38">
        <f>IFERROR(IF(AND(ISNUMBER('SW OpInc'!Q100),ISNUMBER('SW OpInc'!M100),'SW OpInc'!M100&gt;0),'SW OpInc'!Q100/'SW OpInc'!M100-1,""),"")</f>
        <v/>
      </c>
      <c r="N815" s="38">
        <f>IFERROR(IF(AND(ISNUMBER('SW OpInc'!R100),ISNUMBER('SW OpInc'!N100),'SW OpInc'!N100&gt;0),'SW OpInc'!R100/'SW OpInc'!N100-1,""),"")</f>
        <v/>
      </c>
    </row>
    <row r="816">
      <c r="A816" s="19">
        <f>'SW Rev'!$A101</f>
        <v/>
      </c>
      <c r="B816" s="19">
        <f>'SW Rev'!$B101</f>
        <v/>
      </c>
      <c r="C816" s="37">
        <f>IFERROR(IF(AND(ISNUMBER('SW OpInc'!G101),ISNUMBER('SW OpInc'!C101),'SW OpInc'!C101&gt;0),'SW OpInc'!G101/'SW OpInc'!C101-1,""),"")</f>
        <v/>
      </c>
      <c r="D816" s="37">
        <f>IFERROR(IF(AND(ISNUMBER('SW OpInc'!H101),ISNUMBER('SW OpInc'!D101),'SW OpInc'!D101&gt;0),'SW OpInc'!H101/'SW OpInc'!D101-1,""),"")</f>
        <v/>
      </c>
      <c r="E816" s="37">
        <f>IFERROR(IF(AND(ISNUMBER('SW OpInc'!I101),ISNUMBER('SW OpInc'!E101),'SW OpInc'!E101&gt;0),'SW OpInc'!I101/'SW OpInc'!E101-1,""),"")</f>
        <v/>
      </c>
      <c r="F816" s="37">
        <f>IFERROR(IF(AND(ISNUMBER('SW OpInc'!J101),ISNUMBER('SW OpInc'!F101),'SW OpInc'!F101&gt;0),'SW OpInc'!J101/'SW OpInc'!F101-1,""),"")</f>
        <v/>
      </c>
      <c r="G816" s="37">
        <f>IFERROR(IF(AND(ISNUMBER('SW OpInc'!K101),ISNUMBER('SW OpInc'!G101),'SW OpInc'!G101&gt;0),'SW OpInc'!K101/'SW OpInc'!G101-1,""),"")</f>
        <v/>
      </c>
      <c r="H816" s="37">
        <f>IFERROR(IF(AND(ISNUMBER('SW OpInc'!L101),ISNUMBER('SW OpInc'!H101),'SW OpInc'!H101&gt;0),'SW OpInc'!L101/'SW OpInc'!H101-1,""),"")</f>
        <v/>
      </c>
      <c r="I816" s="37">
        <f>IFERROR(IF(AND(ISNUMBER('SW OpInc'!M101),ISNUMBER('SW OpInc'!I101),'SW OpInc'!I101&gt;0),'SW OpInc'!M101/'SW OpInc'!I101-1,""),"")</f>
        <v/>
      </c>
      <c r="J816" s="37">
        <f>IFERROR(IF(AND(ISNUMBER('SW OpInc'!N101),ISNUMBER('SW OpInc'!J101),'SW OpInc'!J101&gt;0),'SW OpInc'!N101/'SW OpInc'!J101-1,""),"")</f>
        <v/>
      </c>
      <c r="K816" s="37">
        <f>IFERROR(IF(AND(ISNUMBER('SW OpInc'!O101),ISNUMBER('SW OpInc'!K101),'SW OpInc'!K101&gt;0),'SW OpInc'!O101/'SW OpInc'!K101-1,""),"")</f>
        <v/>
      </c>
      <c r="L816" s="37">
        <f>IFERROR(IF(AND(ISNUMBER('SW OpInc'!P101),ISNUMBER('SW OpInc'!L101),'SW OpInc'!L101&gt;0),'SW OpInc'!P101/'SW OpInc'!L101-1,""),"")</f>
        <v/>
      </c>
      <c r="M816" s="38">
        <f>IFERROR(IF(AND(ISNUMBER('SW OpInc'!Q101),ISNUMBER('SW OpInc'!M101),'SW OpInc'!M101&gt;0),'SW OpInc'!Q101/'SW OpInc'!M101-1,""),"")</f>
        <v/>
      </c>
      <c r="N816" s="38">
        <f>IFERROR(IF(AND(ISNUMBER('SW OpInc'!R101),ISNUMBER('SW OpInc'!N101),'SW OpInc'!N101&gt;0),'SW OpInc'!R101/'SW OpInc'!N101-1,""),"")</f>
        <v/>
      </c>
    </row>
    <row r="817">
      <c r="A817" s="19">
        <f>'SW Rev'!$A102</f>
        <v/>
      </c>
      <c r="B817" s="19">
        <f>'SW Rev'!$B102</f>
        <v/>
      </c>
      <c r="C817" s="37">
        <f>IFERROR(IF(AND(ISNUMBER('SW OpInc'!G102),ISNUMBER('SW OpInc'!C102),'SW OpInc'!C102&gt;0),'SW OpInc'!G102/'SW OpInc'!C102-1,""),"")</f>
        <v/>
      </c>
      <c r="D817" s="37">
        <f>IFERROR(IF(AND(ISNUMBER('SW OpInc'!H102),ISNUMBER('SW OpInc'!D102),'SW OpInc'!D102&gt;0),'SW OpInc'!H102/'SW OpInc'!D102-1,""),"")</f>
        <v/>
      </c>
      <c r="E817" s="37">
        <f>IFERROR(IF(AND(ISNUMBER('SW OpInc'!I102),ISNUMBER('SW OpInc'!E102),'SW OpInc'!E102&gt;0),'SW OpInc'!I102/'SW OpInc'!E102-1,""),"")</f>
        <v/>
      </c>
      <c r="F817" s="37">
        <f>IFERROR(IF(AND(ISNUMBER('SW OpInc'!J102),ISNUMBER('SW OpInc'!F102),'SW OpInc'!F102&gt;0),'SW OpInc'!J102/'SW OpInc'!F102-1,""),"")</f>
        <v/>
      </c>
      <c r="G817" s="37">
        <f>IFERROR(IF(AND(ISNUMBER('SW OpInc'!K102),ISNUMBER('SW OpInc'!G102),'SW OpInc'!G102&gt;0),'SW OpInc'!K102/'SW OpInc'!G102-1,""),"")</f>
        <v/>
      </c>
      <c r="H817" s="37">
        <f>IFERROR(IF(AND(ISNUMBER('SW OpInc'!L102),ISNUMBER('SW OpInc'!H102),'SW OpInc'!H102&gt;0),'SW OpInc'!L102/'SW OpInc'!H102-1,""),"")</f>
        <v/>
      </c>
      <c r="I817" s="37">
        <f>IFERROR(IF(AND(ISNUMBER('SW OpInc'!M102),ISNUMBER('SW OpInc'!I102),'SW OpInc'!I102&gt;0),'SW OpInc'!M102/'SW OpInc'!I102-1,""),"")</f>
        <v/>
      </c>
      <c r="J817" s="37">
        <f>IFERROR(IF(AND(ISNUMBER('SW OpInc'!N102),ISNUMBER('SW OpInc'!J102),'SW OpInc'!J102&gt;0),'SW OpInc'!N102/'SW OpInc'!J102-1,""),"")</f>
        <v/>
      </c>
      <c r="K817" s="37">
        <f>IFERROR(IF(AND(ISNUMBER('SW OpInc'!O102),ISNUMBER('SW OpInc'!K102),'SW OpInc'!K102&gt;0),'SW OpInc'!O102/'SW OpInc'!K102-1,""),"")</f>
        <v/>
      </c>
      <c r="L817" s="37">
        <f>IFERROR(IF(AND(ISNUMBER('SW OpInc'!P102),ISNUMBER('SW OpInc'!L102),'SW OpInc'!L102&gt;0),'SW OpInc'!P102/'SW OpInc'!L102-1,""),"")</f>
        <v/>
      </c>
      <c r="M817" s="38">
        <f>IFERROR(IF(AND(ISNUMBER('SW OpInc'!Q102),ISNUMBER('SW OpInc'!M102),'SW OpInc'!M102&gt;0),'SW OpInc'!Q102/'SW OpInc'!M102-1,""),"")</f>
        <v/>
      </c>
      <c r="N817" s="38">
        <f>IFERROR(IF(AND(ISNUMBER('SW OpInc'!R102),ISNUMBER('SW OpInc'!N102),'SW OpInc'!N102&gt;0),'SW OpInc'!R102/'SW OpInc'!N102-1,""),"")</f>
        <v/>
      </c>
    </row>
    <row r="818">
      <c r="A818" s="19">
        <f>'SW Rev'!$A103</f>
        <v/>
      </c>
      <c r="B818" s="19">
        <f>'SW Rev'!$B103</f>
        <v/>
      </c>
      <c r="C818" s="37">
        <f>IFERROR(IF(AND(ISNUMBER('SW OpInc'!G103),ISNUMBER('SW OpInc'!C103),'SW OpInc'!C103&gt;0),'SW OpInc'!G103/'SW OpInc'!C103-1,""),"")</f>
        <v/>
      </c>
      <c r="D818" s="37">
        <f>IFERROR(IF(AND(ISNUMBER('SW OpInc'!H103),ISNUMBER('SW OpInc'!D103),'SW OpInc'!D103&gt;0),'SW OpInc'!H103/'SW OpInc'!D103-1,""),"")</f>
        <v/>
      </c>
      <c r="E818" s="37">
        <f>IFERROR(IF(AND(ISNUMBER('SW OpInc'!I103),ISNUMBER('SW OpInc'!E103),'SW OpInc'!E103&gt;0),'SW OpInc'!I103/'SW OpInc'!E103-1,""),"")</f>
        <v/>
      </c>
      <c r="F818" s="37">
        <f>IFERROR(IF(AND(ISNUMBER('SW OpInc'!J103),ISNUMBER('SW OpInc'!F103),'SW OpInc'!F103&gt;0),'SW OpInc'!J103/'SW OpInc'!F103-1,""),"")</f>
        <v/>
      </c>
      <c r="G818" s="37">
        <f>IFERROR(IF(AND(ISNUMBER('SW OpInc'!K103),ISNUMBER('SW OpInc'!G103),'SW OpInc'!G103&gt;0),'SW OpInc'!K103/'SW OpInc'!G103-1,""),"")</f>
        <v/>
      </c>
      <c r="H818" s="37">
        <f>IFERROR(IF(AND(ISNUMBER('SW OpInc'!L103),ISNUMBER('SW OpInc'!H103),'SW OpInc'!H103&gt;0),'SW OpInc'!L103/'SW OpInc'!H103-1,""),"")</f>
        <v/>
      </c>
      <c r="I818" s="37">
        <f>IFERROR(IF(AND(ISNUMBER('SW OpInc'!M103),ISNUMBER('SW OpInc'!I103),'SW OpInc'!I103&gt;0),'SW OpInc'!M103/'SW OpInc'!I103-1,""),"")</f>
        <v/>
      </c>
      <c r="J818" s="37">
        <f>IFERROR(IF(AND(ISNUMBER('SW OpInc'!N103),ISNUMBER('SW OpInc'!J103),'SW OpInc'!J103&gt;0),'SW OpInc'!N103/'SW OpInc'!J103-1,""),"")</f>
        <v/>
      </c>
      <c r="K818" s="37">
        <f>IFERROR(IF(AND(ISNUMBER('SW OpInc'!O103),ISNUMBER('SW OpInc'!K103),'SW OpInc'!K103&gt;0),'SW OpInc'!O103/'SW OpInc'!K103-1,""),"")</f>
        <v/>
      </c>
      <c r="L818" s="37">
        <f>IFERROR(IF(AND(ISNUMBER('SW OpInc'!P103),ISNUMBER('SW OpInc'!L103),'SW OpInc'!L103&gt;0),'SW OpInc'!P103/'SW OpInc'!L103-1,""),"")</f>
        <v/>
      </c>
      <c r="M818" s="38">
        <f>IFERROR(IF(AND(ISNUMBER('SW OpInc'!Q103),ISNUMBER('SW OpInc'!M103),'SW OpInc'!M103&gt;0),'SW OpInc'!Q103/'SW OpInc'!M103-1,""),"")</f>
        <v/>
      </c>
      <c r="N818" s="38">
        <f>IFERROR(IF(AND(ISNUMBER('SW OpInc'!R103),ISNUMBER('SW OpInc'!N103),'SW OpInc'!N103&gt;0),'SW OpInc'!R103/'SW OpInc'!N103-1,""),"")</f>
        <v/>
      </c>
    </row>
    <row r="820">
      <c r="A820" s="49" t="inlineStr">
        <is>
          <t>Incremental op margin YoY % (operating leverage)</t>
        </is>
      </c>
      <c r="B820" s="50" t="n"/>
      <c r="C820" s="50" t="n"/>
      <c r="D820" s="50" t="n"/>
      <c r="E820" s="50" t="n"/>
      <c r="F820" s="50" t="n"/>
      <c r="G820" s="50" t="n"/>
      <c r="H820" s="50" t="n"/>
      <c r="I820" s="50" t="n"/>
      <c r="J820" s="50" t="n"/>
      <c r="K820" s="50" t="n"/>
      <c r="L820" s="50" t="n"/>
      <c r="M820" s="50" t="n"/>
      <c r="N820" s="50" t="n"/>
    </row>
    <row r="821" ht="28" customHeight="1">
      <c r="A821" s="8" t="inlineStr">
        <is>
          <t>Ticker</t>
        </is>
      </c>
      <c r="B821" s="8" t="inlineStr">
        <is>
          <t>Latest Rpt Qtr</t>
        </is>
      </c>
      <c r="C821" s="8" t="inlineStr">
        <is>
          <t>FPO -9</t>
        </is>
      </c>
      <c r="D821" s="8" t="inlineStr">
        <is>
          <t>FPO -8</t>
        </is>
      </c>
      <c r="E821" s="8" t="inlineStr">
        <is>
          <t>FPO -7</t>
        </is>
      </c>
      <c r="F821" s="8" t="inlineStr">
        <is>
          <t>FPO -6</t>
        </is>
      </c>
      <c r="G821" s="8" t="inlineStr">
        <is>
          <t>FPO -5</t>
        </is>
      </c>
      <c r="H821" s="8" t="inlineStr">
        <is>
          <t>FPO -4</t>
        </is>
      </c>
      <c r="I821" s="8" t="inlineStr">
        <is>
          <t>FPO -3</t>
        </is>
      </c>
      <c r="J821" s="8" t="inlineStr">
        <is>
          <t>FPO -2</t>
        </is>
      </c>
      <c r="K821" s="8" t="inlineStr">
        <is>
          <t>FPO -1</t>
        </is>
      </c>
      <c r="L821" s="8" t="inlineStr">
        <is>
          <t>FPO 0 (latest rpt)</t>
        </is>
      </c>
      <c r="M821" s="8" t="inlineStr">
        <is>
          <t>FPO +1E</t>
        </is>
      </c>
      <c r="N821" s="8" t="inlineStr">
        <is>
          <t>FPO +2E</t>
        </is>
      </c>
    </row>
    <row r="822">
      <c r="A822" s="19">
        <f>'SW Rev'!$A5</f>
        <v/>
      </c>
      <c r="B822" s="19">
        <f>'SW Rev'!$B5</f>
        <v/>
      </c>
      <c r="C822" s="37">
        <f>IFERROR(IF(AND(ISNUMBER('SW OpInc'!G5),ISNUMBER('SW OpInc'!C5),ISNUMBER('SW Rev'!G5),ISNUMBER('SW Rev'!C5),ABS('SW Rev'!G5-'SW Rev'!C5)&gt;=1),('SW OpInc'!G5-'SW OpInc'!C5)/('SW Rev'!G5-'SW Rev'!C5),""),"")</f>
        <v/>
      </c>
      <c r="D822" s="37">
        <f>IFERROR(IF(AND(ISNUMBER('SW OpInc'!H5),ISNUMBER('SW OpInc'!D5),ISNUMBER('SW Rev'!H5),ISNUMBER('SW Rev'!D5),ABS('SW Rev'!H5-'SW Rev'!D5)&gt;=1),('SW OpInc'!H5-'SW OpInc'!D5)/('SW Rev'!H5-'SW Rev'!D5),""),"")</f>
        <v/>
      </c>
      <c r="E822" s="37">
        <f>IFERROR(IF(AND(ISNUMBER('SW OpInc'!I5),ISNUMBER('SW OpInc'!E5),ISNUMBER('SW Rev'!I5),ISNUMBER('SW Rev'!E5),ABS('SW Rev'!I5-'SW Rev'!E5)&gt;=1),('SW OpInc'!I5-'SW OpInc'!E5)/('SW Rev'!I5-'SW Rev'!E5),""),"")</f>
        <v/>
      </c>
      <c r="F822" s="37">
        <f>IFERROR(IF(AND(ISNUMBER('SW OpInc'!J5),ISNUMBER('SW OpInc'!F5),ISNUMBER('SW Rev'!J5),ISNUMBER('SW Rev'!F5),ABS('SW Rev'!J5-'SW Rev'!F5)&gt;=1),('SW OpInc'!J5-'SW OpInc'!F5)/('SW Rev'!J5-'SW Rev'!F5),""),"")</f>
        <v/>
      </c>
      <c r="G822" s="37">
        <f>IFERROR(IF(AND(ISNUMBER('SW OpInc'!K5),ISNUMBER('SW OpInc'!G5),ISNUMBER('SW Rev'!K5),ISNUMBER('SW Rev'!G5),ABS('SW Rev'!K5-'SW Rev'!G5)&gt;=1),('SW OpInc'!K5-'SW OpInc'!G5)/('SW Rev'!K5-'SW Rev'!G5),""),"")</f>
        <v/>
      </c>
      <c r="H822" s="37">
        <f>IFERROR(IF(AND(ISNUMBER('SW OpInc'!L5),ISNUMBER('SW OpInc'!H5),ISNUMBER('SW Rev'!L5),ISNUMBER('SW Rev'!H5),ABS('SW Rev'!L5-'SW Rev'!H5)&gt;=1),('SW OpInc'!L5-'SW OpInc'!H5)/('SW Rev'!L5-'SW Rev'!H5),""),"")</f>
        <v/>
      </c>
      <c r="I822" s="37">
        <f>IFERROR(IF(AND(ISNUMBER('SW OpInc'!M5),ISNUMBER('SW OpInc'!I5),ISNUMBER('SW Rev'!M5),ISNUMBER('SW Rev'!I5),ABS('SW Rev'!M5-'SW Rev'!I5)&gt;=1),('SW OpInc'!M5-'SW OpInc'!I5)/('SW Rev'!M5-'SW Rev'!I5),""),"")</f>
        <v/>
      </c>
      <c r="J822" s="37">
        <f>IFERROR(IF(AND(ISNUMBER('SW OpInc'!N5),ISNUMBER('SW OpInc'!J5),ISNUMBER('SW Rev'!N5),ISNUMBER('SW Rev'!J5),ABS('SW Rev'!N5-'SW Rev'!J5)&gt;=1),('SW OpInc'!N5-'SW OpInc'!J5)/('SW Rev'!N5-'SW Rev'!J5),""),"")</f>
        <v/>
      </c>
      <c r="K822" s="37">
        <f>IFERROR(IF(AND(ISNUMBER('SW OpInc'!O5),ISNUMBER('SW OpInc'!K5),ISNUMBER('SW Rev'!O5),ISNUMBER('SW Rev'!K5),ABS('SW Rev'!O5-'SW Rev'!K5)&gt;=1),('SW OpInc'!O5-'SW OpInc'!K5)/('SW Rev'!O5-'SW Rev'!K5),""),"")</f>
        <v/>
      </c>
      <c r="L822" s="37">
        <f>IFERROR(IF(AND(ISNUMBER('SW OpInc'!P5),ISNUMBER('SW OpInc'!L5),ISNUMBER('SW Rev'!P5),ISNUMBER('SW Rev'!L5),ABS('SW Rev'!P5-'SW Rev'!L5)&gt;=1),('SW OpInc'!P5-'SW OpInc'!L5)/('SW Rev'!P5-'SW Rev'!L5),""),"")</f>
        <v/>
      </c>
      <c r="M822" s="38">
        <f>IFERROR(IF(AND(ISNUMBER('SW OpInc'!Q5),ISNUMBER('SW OpInc'!M5),ISNUMBER('SW Rev'!Q5),ISNUMBER('SW Rev'!M5),ABS('SW Rev'!Q5-'SW Rev'!M5)&gt;=1),('SW OpInc'!Q5-'SW OpInc'!M5)/('SW Rev'!Q5-'SW Rev'!M5),""),"")</f>
        <v/>
      </c>
      <c r="N822" s="38">
        <f>IFERROR(IF(AND(ISNUMBER('SW OpInc'!R5),ISNUMBER('SW OpInc'!N5),ISNUMBER('SW Rev'!R5),ISNUMBER('SW Rev'!N5),ABS('SW Rev'!R5-'SW Rev'!N5)&gt;=1),('SW OpInc'!R5-'SW OpInc'!N5)/('SW Rev'!R5-'SW Rev'!N5),""),"")</f>
        <v/>
      </c>
    </row>
    <row r="823">
      <c r="A823" s="19">
        <f>'SW Rev'!$A6</f>
        <v/>
      </c>
      <c r="B823" s="19">
        <f>'SW Rev'!$B6</f>
        <v/>
      </c>
      <c r="C823" s="37">
        <f>IFERROR(IF(AND(ISNUMBER('SW OpInc'!G6),ISNUMBER('SW OpInc'!C6),ISNUMBER('SW Rev'!G6),ISNUMBER('SW Rev'!C6),ABS('SW Rev'!G6-'SW Rev'!C6)&gt;=1),('SW OpInc'!G6-'SW OpInc'!C6)/('SW Rev'!G6-'SW Rev'!C6),""),"")</f>
        <v/>
      </c>
      <c r="D823" s="37">
        <f>IFERROR(IF(AND(ISNUMBER('SW OpInc'!H6),ISNUMBER('SW OpInc'!D6),ISNUMBER('SW Rev'!H6),ISNUMBER('SW Rev'!D6),ABS('SW Rev'!H6-'SW Rev'!D6)&gt;=1),('SW OpInc'!H6-'SW OpInc'!D6)/('SW Rev'!H6-'SW Rev'!D6),""),"")</f>
        <v/>
      </c>
      <c r="E823" s="37">
        <f>IFERROR(IF(AND(ISNUMBER('SW OpInc'!I6),ISNUMBER('SW OpInc'!E6),ISNUMBER('SW Rev'!I6),ISNUMBER('SW Rev'!E6),ABS('SW Rev'!I6-'SW Rev'!E6)&gt;=1),('SW OpInc'!I6-'SW OpInc'!E6)/('SW Rev'!I6-'SW Rev'!E6),""),"")</f>
        <v/>
      </c>
      <c r="F823" s="37">
        <f>IFERROR(IF(AND(ISNUMBER('SW OpInc'!J6),ISNUMBER('SW OpInc'!F6),ISNUMBER('SW Rev'!J6),ISNUMBER('SW Rev'!F6),ABS('SW Rev'!J6-'SW Rev'!F6)&gt;=1),('SW OpInc'!J6-'SW OpInc'!F6)/('SW Rev'!J6-'SW Rev'!F6),""),"")</f>
        <v/>
      </c>
      <c r="G823" s="37">
        <f>IFERROR(IF(AND(ISNUMBER('SW OpInc'!K6),ISNUMBER('SW OpInc'!G6),ISNUMBER('SW Rev'!K6),ISNUMBER('SW Rev'!G6),ABS('SW Rev'!K6-'SW Rev'!G6)&gt;=1),('SW OpInc'!K6-'SW OpInc'!G6)/('SW Rev'!K6-'SW Rev'!G6),""),"")</f>
        <v/>
      </c>
      <c r="H823" s="37">
        <f>IFERROR(IF(AND(ISNUMBER('SW OpInc'!L6),ISNUMBER('SW OpInc'!H6),ISNUMBER('SW Rev'!L6),ISNUMBER('SW Rev'!H6),ABS('SW Rev'!L6-'SW Rev'!H6)&gt;=1),('SW OpInc'!L6-'SW OpInc'!H6)/('SW Rev'!L6-'SW Rev'!H6),""),"")</f>
        <v/>
      </c>
      <c r="I823" s="37">
        <f>IFERROR(IF(AND(ISNUMBER('SW OpInc'!M6),ISNUMBER('SW OpInc'!I6),ISNUMBER('SW Rev'!M6),ISNUMBER('SW Rev'!I6),ABS('SW Rev'!M6-'SW Rev'!I6)&gt;=1),('SW OpInc'!M6-'SW OpInc'!I6)/('SW Rev'!M6-'SW Rev'!I6),""),"")</f>
        <v/>
      </c>
      <c r="J823" s="37">
        <f>IFERROR(IF(AND(ISNUMBER('SW OpInc'!N6),ISNUMBER('SW OpInc'!J6),ISNUMBER('SW Rev'!N6),ISNUMBER('SW Rev'!J6),ABS('SW Rev'!N6-'SW Rev'!J6)&gt;=1),('SW OpInc'!N6-'SW OpInc'!J6)/('SW Rev'!N6-'SW Rev'!J6),""),"")</f>
        <v/>
      </c>
      <c r="K823" s="37">
        <f>IFERROR(IF(AND(ISNUMBER('SW OpInc'!O6),ISNUMBER('SW OpInc'!K6),ISNUMBER('SW Rev'!O6),ISNUMBER('SW Rev'!K6),ABS('SW Rev'!O6-'SW Rev'!K6)&gt;=1),('SW OpInc'!O6-'SW OpInc'!K6)/('SW Rev'!O6-'SW Rev'!K6),""),"")</f>
        <v/>
      </c>
      <c r="L823" s="37">
        <f>IFERROR(IF(AND(ISNUMBER('SW OpInc'!P6),ISNUMBER('SW OpInc'!L6),ISNUMBER('SW Rev'!P6),ISNUMBER('SW Rev'!L6),ABS('SW Rev'!P6-'SW Rev'!L6)&gt;=1),('SW OpInc'!P6-'SW OpInc'!L6)/('SW Rev'!P6-'SW Rev'!L6),""),"")</f>
        <v/>
      </c>
      <c r="M823" s="38">
        <f>IFERROR(IF(AND(ISNUMBER('SW OpInc'!Q6),ISNUMBER('SW OpInc'!M6),ISNUMBER('SW Rev'!Q6),ISNUMBER('SW Rev'!M6),ABS('SW Rev'!Q6-'SW Rev'!M6)&gt;=1),('SW OpInc'!Q6-'SW OpInc'!M6)/('SW Rev'!Q6-'SW Rev'!M6),""),"")</f>
        <v/>
      </c>
      <c r="N823" s="38">
        <f>IFERROR(IF(AND(ISNUMBER('SW OpInc'!R6),ISNUMBER('SW OpInc'!N6),ISNUMBER('SW Rev'!R6),ISNUMBER('SW Rev'!N6),ABS('SW Rev'!R6-'SW Rev'!N6)&gt;=1),('SW OpInc'!R6-'SW OpInc'!N6)/('SW Rev'!R6-'SW Rev'!N6),""),"")</f>
        <v/>
      </c>
    </row>
    <row r="824">
      <c r="A824" s="19">
        <f>'SW Rev'!$A7</f>
        <v/>
      </c>
      <c r="B824" s="19">
        <f>'SW Rev'!$B7</f>
        <v/>
      </c>
      <c r="C824" s="37">
        <f>IFERROR(IF(AND(ISNUMBER('SW OpInc'!G7),ISNUMBER('SW OpInc'!C7),ISNUMBER('SW Rev'!G7),ISNUMBER('SW Rev'!C7),ABS('SW Rev'!G7-'SW Rev'!C7)&gt;=1),('SW OpInc'!G7-'SW OpInc'!C7)/('SW Rev'!G7-'SW Rev'!C7),""),"")</f>
        <v/>
      </c>
      <c r="D824" s="37">
        <f>IFERROR(IF(AND(ISNUMBER('SW OpInc'!H7),ISNUMBER('SW OpInc'!D7),ISNUMBER('SW Rev'!H7),ISNUMBER('SW Rev'!D7),ABS('SW Rev'!H7-'SW Rev'!D7)&gt;=1),('SW OpInc'!H7-'SW OpInc'!D7)/('SW Rev'!H7-'SW Rev'!D7),""),"")</f>
        <v/>
      </c>
      <c r="E824" s="37">
        <f>IFERROR(IF(AND(ISNUMBER('SW OpInc'!I7),ISNUMBER('SW OpInc'!E7),ISNUMBER('SW Rev'!I7),ISNUMBER('SW Rev'!E7),ABS('SW Rev'!I7-'SW Rev'!E7)&gt;=1),('SW OpInc'!I7-'SW OpInc'!E7)/('SW Rev'!I7-'SW Rev'!E7),""),"")</f>
        <v/>
      </c>
      <c r="F824" s="37">
        <f>IFERROR(IF(AND(ISNUMBER('SW OpInc'!J7),ISNUMBER('SW OpInc'!F7),ISNUMBER('SW Rev'!J7),ISNUMBER('SW Rev'!F7),ABS('SW Rev'!J7-'SW Rev'!F7)&gt;=1),('SW OpInc'!J7-'SW OpInc'!F7)/('SW Rev'!J7-'SW Rev'!F7),""),"")</f>
        <v/>
      </c>
      <c r="G824" s="37">
        <f>IFERROR(IF(AND(ISNUMBER('SW OpInc'!K7),ISNUMBER('SW OpInc'!G7),ISNUMBER('SW Rev'!K7),ISNUMBER('SW Rev'!G7),ABS('SW Rev'!K7-'SW Rev'!G7)&gt;=1),('SW OpInc'!K7-'SW OpInc'!G7)/('SW Rev'!K7-'SW Rev'!G7),""),"")</f>
        <v/>
      </c>
      <c r="H824" s="37">
        <f>IFERROR(IF(AND(ISNUMBER('SW OpInc'!L7),ISNUMBER('SW OpInc'!H7),ISNUMBER('SW Rev'!L7),ISNUMBER('SW Rev'!H7),ABS('SW Rev'!L7-'SW Rev'!H7)&gt;=1),('SW OpInc'!L7-'SW OpInc'!H7)/('SW Rev'!L7-'SW Rev'!H7),""),"")</f>
        <v/>
      </c>
      <c r="I824" s="37">
        <f>IFERROR(IF(AND(ISNUMBER('SW OpInc'!M7),ISNUMBER('SW OpInc'!I7),ISNUMBER('SW Rev'!M7),ISNUMBER('SW Rev'!I7),ABS('SW Rev'!M7-'SW Rev'!I7)&gt;=1),('SW OpInc'!M7-'SW OpInc'!I7)/('SW Rev'!M7-'SW Rev'!I7),""),"")</f>
        <v/>
      </c>
      <c r="J824" s="37">
        <f>IFERROR(IF(AND(ISNUMBER('SW OpInc'!N7),ISNUMBER('SW OpInc'!J7),ISNUMBER('SW Rev'!N7),ISNUMBER('SW Rev'!J7),ABS('SW Rev'!N7-'SW Rev'!J7)&gt;=1),('SW OpInc'!N7-'SW OpInc'!J7)/('SW Rev'!N7-'SW Rev'!J7),""),"")</f>
        <v/>
      </c>
      <c r="K824" s="37">
        <f>IFERROR(IF(AND(ISNUMBER('SW OpInc'!O7),ISNUMBER('SW OpInc'!K7),ISNUMBER('SW Rev'!O7),ISNUMBER('SW Rev'!K7),ABS('SW Rev'!O7-'SW Rev'!K7)&gt;=1),('SW OpInc'!O7-'SW OpInc'!K7)/('SW Rev'!O7-'SW Rev'!K7),""),"")</f>
        <v/>
      </c>
      <c r="L824" s="37">
        <f>IFERROR(IF(AND(ISNUMBER('SW OpInc'!P7),ISNUMBER('SW OpInc'!L7),ISNUMBER('SW Rev'!P7),ISNUMBER('SW Rev'!L7),ABS('SW Rev'!P7-'SW Rev'!L7)&gt;=1),('SW OpInc'!P7-'SW OpInc'!L7)/('SW Rev'!P7-'SW Rev'!L7),""),"")</f>
        <v/>
      </c>
      <c r="M824" s="38">
        <f>IFERROR(IF(AND(ISNUMBER('SW OpInc'!Q7),ISNUMBER('SW OpInc'!M7),ISNUMBER('SW Rev'!Q7),ISNUMBER('SW Rev'!M7),ABS('SW Rev'!Q7-'SW Rev'!M7)&gt;=1),('SW OpInc'!Q7-'SW OpInc'!M7)/('SW Rev'!Q7-'SW Rev'!M7),""),"")</f>
        <v/>
      </c>
      <c r="N824" s="38">
        <f>IFERROR(IF(AND(ISNUMBER('SW OpInc'!R7),ISNUMBER('SW OpInc'!N7),ISNUMBER('SW Rev'!R7),ISNUMBER('SW Rev'!N7),ABS('SW Rev'!R7-'SW Rev'!N7)&gt;=1),('SW OpInc'!R7-'SW OpInc'!N7)/('SW Rev'!R7-'SW Rev'!N7),""),"")</f>
        <v/>
      </c>
    </row>
    <row r="825">
      <c r="A825" s="19">
        <f>'SW Rev'!$A8</f>
        <v/>
      </c>
      <c r="B825" s="19">
        <f>'SW Rev'!$B8</f>
        <v/>
      </c>
      <c r="C825" s="37">
        <f>IFERROR(IF(AND(ISNUMBER('SW OpInc'!G8),ISNUMBER('SW OpInc'!C8),ISNUMBER('SW Rev'!G8),ISNUMBER('SW Rev'!C8),ABS('SW Rev'!G8-'SW Rev'!C8)&gt;=1),('SW OpInc'!G8-'SW OpInc'!C8)/('SW Rev'!G8-'SW Rev'!C8),""),"")</f>
        <v/>
      </c>
      <c r="D825" s="37">
        <f>IFERROR(IF(AND(ISNUMBER('SW OpInc'!H8),ISNUMBER('SW OpInc'!D8),ISNUMBER('SW Rev'!H8),ISNUMBER('SW Rev'!D8),ABS('SW Rev'!H8-'SW Rev'!D8)&gt;=1),('SW OpInc'!H8-'SW OpInc'!D8)/('SW Rev'!H8-'SW Rev'!D8),""),"")</f>
        <v/>
      </c>
      <c r="E825" s="37">
        <f>IFERROR(IF(AND(ISNUMBER('SW OpInc'!I8),ISNUMBER('SW OpInc'!E8),ISNUMBER('SW Rev'!I8),ISNUMBER('SW Rev'!E8),ABS('SW Rev'!I8-'SW Rev'!E8)&gt;=1),('SW OpInc'!I8-'SW OpInc'!E8)/('SW Rev'!I8-'SW Rev'!E8),""),"")</f>
        <v/>
      </c>
      <c r="F825" s="37">
        <f>IFERROR(IF(AND(ISNUMBER('SW OpInc'!J8),ISNUMBER('SW OpInc'!F8),ISNUMBER('SW Rev'!J8),ISNUMBER('SW Rev'!F8),ABS('SW Rev'!J8-'SW Rev'!F8)&gt;=1),('SW OpInc'!J8-'SW OpInc'!F8)/('SW Rev'!J8-'SW Rev'!F8),""),"")</f>
        <v/>
      </c>
      <c r="G825" s="37">
        <f>IFERROR(IF(AND(ISNUMBER('SW OpInc'!K8),ISNUMBER('SW OpInc'!G8),ISNUMBER('SW Rev'!K8),ISNUMBER('SW Rev'!G8),ABS('SW Rev'!K8-'SW Rev'!G8)&gt;=1),('SW OpInc'!K8-'SW OpInc'!G8)/('SW Rev'!K8-'SW Rev'!G8),""),"")</f>
        <v/>
      </c>
      <c r="H825" s="37">
        <f>IFERROR(IF(AND(ISNUMBER('SW OpInc'!L8),ISNUMBER('SW OpInc'!H8),ISNUMBER('SW Rev'!L8),ISNUMBER('SW Rev'!H8),ABS('SW Rev'!L8-'SW Rev'!H8)&gt;=1),('SW OpInc'!L8-'SW OpInc'!H8)/('SW Rev'!L8-'SW Rev'!H8),""),"")</f>
        <v/>
      </c>
      <c r="I825" s="37">
        <f>IFERROR(IF(AND(ISNUMBER('SW OpInc'!M8),ISNUMBER('SW OpInc'!I8),ISNUMBER('SW Rev'!M8),ISNUMBER('SW Rev'!I8),ABS('SW Rev'!M8-'SW Rev'!I8)&gt;=1),('SW OpInc'!M8-'SW OpInc'!I8)/('SW Rev'!M8-'SW Rev'!I8),""),"")</f>
        <v/>
      </c>
      <c r="J825" s="37">
        <f>IFERROR(IF(AND(ISNUMBER('SW OpInc'!N8),ISNUMBER('SW OpInc'!J8),ISNUMBER('SW Rev'!N8),ISNUMBER('SW Rev'!J8),ABS('SW Rev'!N8-'SW Rev'!J8)&gt;=1),('SW OpInc'!N8-'SW OpInc'!J8)/('SW Rev'!N8-'SW Rev'!J8),""),"")</f>
        <v/>
      </c>
      <c r="K825" s="37">
        <f>IFERROR(IF(AND(ISNUMBER('SW OpInc'!O8),ISNUMBER('SW OpInc'!K8),ISNUMBER('SW Rev'!O8),ISNUMBER('SW Rev'!K8),ABS('SW Rev'!O8-'SW Rev'!K8)&gt;=1),('SW OpInc'!O8-'SW OpInc'!K8)/('SW Rev'!O8-'SW Rev'!K8),""),"")</f>
        <v/>
      </c>
      <c r="L825" s="37">
        <f>IFERROR(IF(AND(ISNUMBER('SW OpInc'!P8),ISNUMBER('SW OpInc'!L8),ISNUMBER('SW Rev'!P8),ISNUMBER('SW Rev'!L8),ABS('SW Rev'!P8-'SW Rev'!L8)&gt;=1),('SW OpInc'!P8-'SW OpInc'!L8)/('SW Rev'!P8-'SW Rev'!L8),""),"")</f>
        <v/>
      </c>
      <c r="M825" s="38">
        <f>IFERROR(IF(AND(ISNUMBER('SW OpInc'!Q8),ISNUMBER('SW OpInc'!M8),ISNUMBER('SW Rev'!Q8),ISNUMBER('SW Rev'!M8),ABS('SW Rev'!Q8-'SW Rev'!M8)&gt;=1),('SW OpInc'!Q8-'SW OpInc'!M8)/('SW Rev'!Q8-'SW Rev'!M8),""),"")</f>
        <v/>
      </c>
      <c r="N825" s="38">
        <f>IFERROR(IF(AND(ISNUMBER('SW OpInc'!R8),ISNUMBER('SW OpInc'!N8),ISNUMBER('SW Rev'!R8),ISNUMBER('SW Rev'!N8),ABS('SW Rev'!R8-'SW Rev'!N8)&gt;=1),('SW OpInc'!R8-'SW OpInc'!N8)/('SW Rev'!R8-'SW Rev'!N8),""),"")</f>
        <v/>
      </c>
    </row>
    <row r="826">
      <c r="A826" s="19">
        <f>'SW Rev'!$A9</f>
        <v/>
      </c>
      <c r="B826" s="19">
        <f>'SW Rev'!$B9</f>
        <v/>
      </c>
      <c r="C826" s="37">
        <f>IFERROR(IF(AND(ISNUMBER('SW OpInc'!G9),ISNUMBER('SW OpInc'!C9),ISNUMBER('SW Rev'!G9),ISNUMBER('SW Rev'!C9),ABS('SW Rev'!G9-'SW Rev'!C9)&gt;=1),('SW OpInc'!G9-'SW OpInc'!C9)/('SW Rev'!G9-'SW Rev'!C9),""),"")</f>
        <v/>
      </c>
      <c r="D826" s="37">
        <f>IFERROR(IF(AND(ISNUMBER('SW OpInc'!H9),ISNUMBER('SW OpInc'!D9),ISNUMBER('SW Rev'!H9),ISNUMBER('SW Rev'!D9),ABS('SW Rev'!H9-'SW Rev'!D9)&gt;=1),('SW OpInc'!H9-'SW OpInc'!D9)/('SW Rev'!H9-'SW Rev'!D9),""),"")</f>
        <v/>
      </c>
      <c r="E826" s="37">
        <f>IFERROR(IF(AND(ISNUMBER('SW OpInc'!I9),ISNUMBER('SW OpInc'!E9),ISNUMBER('SW Rev'!I9),ISNUMBER('SW Rev'!E9),ABS('SW Rev'!I9-'SW Rev'!E9)&gt;=1),('SW OpInc'!I9-'SW OpInc'!E9)/('SW Rev'!I9-'SW Rev'!E9),""),"")</f>
        <v/>
      </c>
      <c r="F826" s="37">
        <f>IFERROR(IF(AND(ISNUMBER('SW OpInc'!J9),ISNUMBER('SW OpInc'!F9),ISNUMBER('SW Rev'!J9),ISNUMBER('SW Rev'!F9),ABS('SW Rev'!J9-'SW Rev'!F9)&gt;=1),('SW OpInc'!J9-'SW OpInc'!F9)/('SW Rev'!J9-'SW Rev'!F9),""),"")</f>
        <v/>
      </c>
      <c r="G826" s="37">
        <f>IFERROR(IF(AND(ISNUMBER('SW OpInc'!K9),ISNUMBER('SW OpInc'!G9),ISNUMBER('SW Rev'!K9),ISNUMBER('SW Rev'!G9),ABS('SW Rev'!K9-'SW Rev'!G9)&gt;=1),('SW OpInc'!K9-'SW OpInc'!G9)/('SW Rev'!K9-'SW Rev'!G9),""),"")</f>
        <v/>
      </c>
      <c r="H826" s="37">
        <f>IFERROR(IF(AND(ISNUMBER('SW OpInc'!L9),ISNUMBER('SW OpInc'!H9),ISNUMBER('SW Rev'!L9),ISNUMBER('SW Rev'!H9),ABS('SW Rev'!L9-'SW Rev'!H9)&gt;=1),('SW OpInc'!L9-'SW OpInc'!H9)/('SW Rev'!L9-'SW Rev'!H9),""),"")</f>
        <v/>
      </c>
      <c r="I826" s="37">
        <f>IFERROR(IF(AND(ISNUMBER('SW OpInc'!M9),ISNUMBER('SW OpInc'!I9),ISNUMBER('SW Rev'!M9),ISNUMBER('SW Rev'!I9),ABS('SW Rev'!M9-'SW Rev'!I9)&gt;=1),('SW OpInc'!M9-'SW OpInc'!I9)/('SW Rev'!M9-'SW Rev'!I9),""),"")</f>
        <v/>
      </c>
      <c r="J826" s="37">
        <f>IFERROR(IF(AND(ISNUMBER('SW OpInc'!N9),ISNUMBER('SW OpInc'!J9),ISNUMBER('SW Rev'!N9),ISNUMBER('SW Rev'!J9),ABS('SW Rev'!N9-'SW Rev'!J9)&gt;=1),('SW OpInc'!N9-'SW OpInc'!J9)/('SW Rev'!N9-'SW Rev'!J9),""),"")</f>
        <v/>
      </c>
      <c r="K826" s="37">
        <f>IFERROR(IF(AND(ISNUMBER('SW OpInc'!O9),ISNUMBER('SW OpInc'!K9),ISNUMBER('SW Rev'!O9),ISNUMBER('SW Rev'!K9),ABS('SW Rev'!O9-'SW Rev'!K9)&gt;=1),('SW OpInc'!O9-'SW OpInc'!K9)/('SW Rev'!O9-'SW Rev'!K9),""),"")</f>
        <v/>
      </c>
      <c r="L826" s="37">
        <f>IFERROR(IF(AND(ISNUMBER('SW OpInc'!P9),ISNUMBER('SW OpInc'!L9),ISNUMBER('SW Rev'!P9),ISNUMBER('SW Rev'!L9),ABS('SW Rev'!P9-'SW Rev'!L9)&gt;=1),('SW OpInc'!P9-'SW OpInc'!L9)/('SW Rev'!P9-'SW Rev'!L9),""),"")</f>
        <v/>
      </c>
      <c r="M826" s="38">
        <f>IFERROR(IF(AND(ISNUMBER('SW OpInc'!Q9),ISNUMBER('SW OpInc'!M9),ISNUMBER('SW Rev'!Q9),ISNUMBER('SW Rev'!M9),ABS('SW Rev'!Q9-'SW Rev'!M9)&gt;=1),('SW OpInc'!Q9-'SW OpInc'!M9)/('SW Rev'!Q9-'SW Rev'!M9),""),"")</f>
        <v/>
      </c>
      <c r="N826" s="38">
        <f>IFERROR(IF(AND(ISNUMBER('SW OpInc'!R9),ISNUMBER('SW OpInc'!N9),ISNUMBER('SW Rev'!R9),ISNUMBER('SW Rev'!N9),ABS('SW Rev'!R9-'SW Rev'!N9)&gt;=1),('SW OpInc'!R9-'SW OpInc'!N9)/('SW Rev'!R9-'SW Rev'!N9),""),"")</f>
        <v/>
      </c>
    </row>
    <row r="827">
      <c r="A827" s="19">
        <f>'SW Rev'!$A10</f>
        <v/>
      </c>
      <c r="B827" s="19">
        <f>'SW Rev'!$B10</f>
        <v/>
      </c>
      <c r="C827" s="37">
        <f>IFERROR(IF(AND(ISNUMBER('SW OpInc'!G10),ISNUMBER('SW OpInc'!C10),ISNUMBER('SW Rev'!G10),ISNUMBER('SW Rev'!C10),ABS('SW Rev'!G10-'SW Rev'!C10)&gt;=1),('SW OpInc'!G10-'SW OpInc'!C10)/('SW Rev'!G10-'SW Rev'!C10),""),"")</f>
        <v/>
      </c>
      <c r="D827" s="37">
        <f>IFERROR(IF(AND(ISNUMBER('SW OpInc'!H10),ISNUMBER('SW OpInc'!D10),ISNUMBER('SW Rev'!H10),ISNUMBER('SW Rev'!D10),ABS('SW Rev'!H10-'SW Rev'!D10)&gt;=1),('SW OpInc'!H10-'SW OpInc'!D10)/('SW Rev'!H10-'SW Rev'!D10),""),"")</f>
        <v/>
      </c>
      <c r="E827" s="37">
        <f>IFERROR(IF(AND(ISNUMBER('SW OpInc'!I10),ISNUMBER('SW OpInc'!E10),ISNUMBER('SW Rev'!I10),ISNUMBER('SW Rev'!E10),ABS('SW Rev'!I10-'SW Rev'!E10)&gt;=1),('SW OpInc'!I10-'SW OpInc'!E10)/('SW Rev'!I10-'SW Rev'!E10),""),"")</f>
        <v/>
      </c>
      <c r="F827" s="37">
        <f>IFERROR(IF(AND(ISNUMBER('SW OpInc'!J10),ISNUMBER('SW OpInc'!F10),ISNUMBER('SW Rev'!J10),ISNUMBER('SW Rev'!F10),ABS('SW Rev'!J10-'SW Rev'!F10)&gt;=1),('SW OpInc'!J10-'SW OpInc'!F10)/('SW Rev'!J10-'SW Rev'!F10),""),"")</f>
        <v/>
      </c>
      <c r="G827" s="37">
        <f>IFERROR(IF(AND(ISNUMBER('SW OpInc'!K10),ISNUMBER('SW OpInc'!G10),ISNUMBER('SW Rev'!K10),ISNUMBER('SW Rev'!G10),ABS('SW Rev'!K10-'SW Rev'!G10)&gt;=1),('SW OpInc'!K10-'SW OpInc'!G10)/('SW Rev'!K10-'SW Rev'!G10),""),"")</f>
        <v/>
      </c>
      <c r="H827" s="37">
        <f>IFERROR(IF(AND(ISNUMBER('SW OpInc'!L10),ISNUMBER('SW OpInc'!H10),ISNUMBER('SW Rev'!L10),ISNUMBER('SW Rev'!H10),ABS('SW Rev'!L10-'SW Rev'!H10)&gt;=1),('SW OpInc'!L10-'SW OpInc'!H10)/('SW Rev'!L10-'SW Rev'!H10),""),"")</f>
        <v/>
      </c>
      <c r="I827" s="37">
        <f>IFERROR(IF(AND(ISNUMBER('SW OpInc'!M10),ISNUMBER('SW OpInc'!I10),ISNUMBER('SW Rev'!M10),ISNUMBER('SW Rev'!I10),ABS('SW Rev'!M10-'SW Rev'!I10)&gt;=1),('SW OpInc'!M10-'SW OpInc'!I10)/('SW Rev'!M10-'SW Rev'!I10),""),"")</f>
        <v/>
      </c>
      <c r="J827" s="37">
        <f>IFERROR(IF(AND(ISNUMBER('SW OpInc'!N10),ISNUMBER('SW OpInc'!J10),ISNUMBER('SW Rev'!N10),ISNUMBER('SW Rev'!J10),ABS('SW Rev'!N10-'SW Rev'!J10)&gt;=1),('SW OpInc'!N10-'SW OpInc'!J10)/('SW Rev'!N10-'SW Rev'!J10),""),"")</f>
        <v/>
      </c>
      <c r="K827" s="37">
        <f>IFERROR(IF(AND(ISNUMBER('SW OpInc'!O10),ISNUMBER('SW OpInc'!K10),ISNUMBER('SW Rev'!O10),ISNUMBER('SW Rev'!K10),ABS('SW Rev'!O10-'SW Rev'!K10)&gt;=1),('SW OpInc'!O10-'SW OpInc'!K10)/('SW Rev'!O10-'SW Rev'!K10),""),"")</f>
        <v/>
      </c>
      <c r="L827" s="37">
        <f>IFERROR(IF(AND(ISNUMBER('SW OpInc'!P10),ISNUMBER('SW OpInc'!L10),ISNUMBER('SW Rev'!P10),ISNUMBER('SW Rev'!L10),ABS('SW Rev'!P10-'SW Rev'!L10)&gt;=1),('SW OpInc'!P10-'SW OpInc'!L10)/('SW Rev'!P10-'SW Rev'!L10),""),"")</f>
        <v/>
      </c>
      <c r="M827" s="38">
        <f>IFERROR(IF(AND(ISNUMBER('SW OpInc'!Q10),ISNUMBER('SW OpInc'!M10),ISNUMBER('SW Rev'!Q10),ISNUMBER('SW Rev'!M10),ABS('SW Rev'!Q10-'SW Rev'!M10)&gt;=1),('SW OpInc'!Q10-'SW OpInc'!M10)/('SW Rev'!Q10-'SW Rev'!M10),""),"")</f>
        <v/>
      </c>
      <c r="N827" s="38">
        <f>IFERROR(IF(AND(ISNUMBER('SW OpInc'!R10),ISNUMBER('SW OpInc'!N10),ISNUMBER('SW Rev'!R10),ISNUMBER('SW Rev'!N10),ABS('SW Rev'!R10-'SW Rev'!N10)&gt;=1),('SW OpInc'!R10-'SW OpInc'!N10)/('SW Rev'!R10-'SW Rev'!N10),""),"")</f>
        <v/>
      </c>
    </row>
    <row r="828">
      <c r="A828" s="19">
        <f>'SW Rev'!$A11</f>
        <v/>
      </c>
      <c r="B828" s="19">
        <f>'SW Rev'!$B11</f>
        <v/>
      </c>
      <c r="C828" s="37">
        <f>IFERROR(IF(AND(ISNUMBER('SW OpInc'!G11),ISNUMBER('SW OpInc'!C11),ISNUMBER('SW Rev'!G11),ISNUMBER('SW Rev'!C11),ABS('SW Rev'!G11-'SW Rev'!C11)&gt;=1),('SW OpInc'!G11-'SW OpInc'!C11)/('SW Rev'!G11-'SW Rev'!C11),""),"")</f>
        <v/>
      </c>
      <c r="D828" s="37">
        <f>IFERROR(IF(AND(ISNUMBER('SW OpInc'!H11),ISNUMBER('SW OpInc'!D11),ISNUMBER('SW Rev'!H11),ISNUMBER('SW Rev'!D11),ABS('SW Rev'!H11-'SW Rev'!D11)&gt;=1),('SW OpInc'!H11-'SW OpInc'!D11)/('SW Rev'!H11-'SW Rev'!D11),""),"")</f>
        <v/>
      </c>
      <c r="E828" s="37">
        <f>IFERROR(IF(AND(ISNUMBER('SW OpInc'!I11),ISNUMBER('SW OpInc'!E11),ISNUMBER('SW Rev'!I11),ISNUMBER('SW Rev'!E11),ABS('SW Rev'!I11-'SW Rev'!E11)&gt;=1),('SW OpInc'!I11-'SW OpInc'!E11)/('SW Rev'!I11-'SW Rev'!E11),""),"")</f>
        <v/>
      </c>
      <c r="F828" s="37">
        <f>IFERROR(IF(AND(ISNUMBER('SW OpInc'!J11),ISNUMBER('SW OpInc'!F11),ISNUMBER('SW Rev'!J11),ISNUMBER('SW Rev'!F11),ABS('SW Rev'!J11-'SW Rev'!F11)&gt;=1),('SW OpInc'!J11-'SW OpInc'!F11)/('SW Rev'!J11-'SW Rev'!F11),""),"")</f>
        <v/>
      </c>
      <c r="G828" s="37">
        <f>IFERROR(IF(AND(ISNUMBER('SW OpInc'!K11),ISNUMBER('SW OpInc'!G11),ISNUMBER('SW Rev'!K11),ISNUMBER('SW Rev'!G11),ABS('SW Rev'!K11-'SW Rev'!G11)&gt;=1),('SW OpInc'!K11-'SW OpInc'!G11)/('SW Rev'!K11-'SW Rev'!G11),""),"")</f>
        <v/>
      </c>
      <c r="H828" s="37">
        <f>IFERROR(IF(AND(ISNUMBER('SW OpInc'!L11),ISNUMBER('SW OpInc'!H11),ISNUMBER('SW Rev'!L11),ISNUMBER('SW Rev'!H11),ABS('SW Rev'!L11-'SW Rev'!H11)&gt;=1),('SW OpInc'!L11-'SW OpInc'!H11)/('SW Rev'!L11-'SW Rev'!H11),""),"")</f>
        <v/>
      </c>
      <c r="I828" s="37">
        <f>IFERROR(IF(AND(ISNUMBER('SW OpInc'!M11),ISNUMBER('SW OpInc'!I11),ISNUMBER('SW Rev'!M11),ISNUMBER('SW Rev'!I11),ABS('SW Rev'!M11-'SW Rev'!I11)&gt;=1),('SW OpInc'!M11-'SW OpInc'!I11)/('SW Rev'!M11-'SW Rev'!I11),""),"")</f>
        <v/>
      </c>
      <c r="J828" s="37">
        <f>IFERROR(IF(AND(ISNUMBER('SW OpInc'!N11),ISNUMBER('SW OpInc'!J11),ISNUMBER('SW Rev'!N11),ISNUMBER('SW Rev'!J11),ABS('SW Rev'!N11-'SW Rev'!J11)&gt;=1),('SW OpInc'!N11-'SW OpInc'!J11)/('SW Rev'!N11-'SW Rev'!J11),""),"")</f>
        <v/>
      </c>
      <c r="K828" s="37">
        <f>IFERROR(IF(AND(ISNUMBER('SW OpInc'!O11),ISNUMBER('SW OpInc'!K11),ISNUMBER('SW Rev'!O11),ISNUMBER('SW Rev'!K11),ABS('SW Rev'!O11-'SW Rev'!K11)&gt;=1),('SW OpInc'!O11-'SW OpInc'!K11)/('SW Rev'!O11-'SW Rev'!K11),""),"")</f>
        <v/>
      </c>
      <c r="L828" s="37">
        <f>IFERROR(IF(AND(ISNUMBER('SW OpInc'!P11),ISNUMBER('SW OpInc'!L11),ISNUMBER('SW Rev'!P11),ISNUMBER('SW Rev'!L11),ABS('SW Rev'!P11-'SW Rev'!L11)&gt;=1),('SW OpInc'!P11-'SW OpInc'!L11)/('SW Rev'!P11-'SW Rev'!L11),""),"")</f>
        <v/>
      </c>
      <c r="M828" s="38">
        <f>IFERROR(IF(AND(ISNUMBER('SW OpInc'!Q11),ISNUMBER('SW OpInc'!M11),ISNUMBER('SW Rev'!Q11),ISNUMBER('SW Rev'!M11),ABS('SW Rev'!Q11-'SW Rev'!M11)&gt;=1),('SW OpInc'!Q11-'SW OpInc'!M11)/('SW Rev'!Q11-'SW Rev'!M11),""),"")</f>
        <v/>
      </c>
      <c r="N828" s="38">
        <f>IFERROR(IF(AND(ISNUMBER('SW OpInc'!R11),ISNUMBER('SW OpInc'!N11),ISNUMBER('SW Rev'!R11),ISNUMBER('SW Rev'!N11),ABS('SW Rev'!R11-'SW Rev'!N11)&gt;=1),('SW OpInc'!R11-'SW OpInc'!N11)/('SW Rev'!R11-'SW Rev'!N11),""),"")</f>
        <v/>
      </c>
    </row>
    <row r="829">
      <c r="A829" s="19">
        <f>'SW Rev'!$A12</f>
        <v/>
      </c>
      <c r="B829" s="19">
        <f>'SW Rev'!$B12</f>
        <v/>
      </c>
      <c r="C829" s="37">
        <f>IFERROR(IF(AND(ISNUMBER('SW OpInc'!G12),ISNUMBER('SW OpInc'!C12),ISNUMBER('SW Rev'!G12),ISNUMBER('SW Rev'!C12),ABS('SW Rev'!G12-'SW Rev'!C12)&gt;=1),('SW OpInc'!G12-'SW OpInc'!C12)/('SW Rev'!G12-'SW Rev'!C12),""),"")</f>
        <v/>
      </c>
      <c r="D829" s="37">
        <f>IFERROR(IF(AND(ISNUMBER('SW OpInc'!H12),ISNUMBER('SW OpInc'!D12),ISNUMBER('SW Rev'!H12),ISNUMBER('SW Rev'!D12),ABS('SW Rev'!H12-'SW Rev'!D12)&gt;=1),('SW OpInc'!H12-'SW OpInc'!D12)/('SW Rev'!H12-'SW Rev'!D12),""),"")</f>
        <v/>
      </c>
      <c r="E829" s="37">
        <f>IFERROR(IF(AND(ISNUMBER('SW OpInc'!I12),ISNUMBER('SW OpInc'!E12),ISNUMBER('SW Rev'!I12),ISNUMBER('SW Rev'!E12),ABS('SW Rev'!I12-'SW Rev'!E12)&gt;=1),('SW OpInc'!I12-'SW OpInc'!E12)/('SW Rev'!I12-'SW Rev'!E12),""),"")</f>
        <v/>
      </c>
      <c r="F829" s="37">
        <f>IFERROR(IF(AND(ISNUMBER('SW OpInc'!J12),ISNUMBER('SW OpInc'!F12),ISNUMBER('SW Rev'!J12),ISNUMBER('SW Rev'!F12),ABS('SW Rev'!J12-'SW Rev'!F12)&gt;=1),('SW OpInc'!J12-'SW OpInc'!F12)/('SW Rev'!J12-'SW Rev'!F12),""),"")</f>
        <v/>
      </c>
      <c r="G829" s="37">
        <f>IFERROR(IF(AND(ISNUMBER('SW OpInc'!K12),ISNUMBER('SW OpInc'!G12),ISNUMBER('SW Rev'!K12),ISNUMBER('SW Rev'!G12),ABS('SW Rev'!K12-'SW Rev'!G12)&gt;=1),('SW OpInc'!K12-'SW OpInc'!G12)/('SW Rev'!K12-'SW Rev'!G12),""),"")</f>
        <v/>
      </c>
      <c r="H829" s="37">
        <f>IFERROR(IF(AND(ISNUMBER('SW OpInc'!L12),ISNUMBER('SW OpInc'!H12),ISNUMBER('SW Rev'!L12),ISNUMBER('SW Rev'!H12),ABS('SW Rev'!L12-'SW Rev'!H12)&gt;=1),('SW OpInc'!L12-'SW OpInc'!H12)/('SW Rev'!L12-'SW Rev'!H12),""),"")</f>
        <v/>
      </c>
      <c r="I829" s="37">
        <f>IFERROR(IF(AND(ISNUMBER('SW OpInc'!M12),ISNUMBER('SW OpInc'!I12),ISNUMBER('SW Rev'!M12),ISNUMBER('SW Rev'!I12),ABS('SW Rev'!M12-'SW Rev'!I12)&gt;=1),('SW OpInc'!M12-'SW OpInc'!I12)/('SW Rev'!M12-'SW Rev'!I12),""),"")</f>
        <v/>
      </c>
      <c r="J829" s="37">
        <f>IFERROR(IF(AND(ISNUMBER('SW OpInc'!N12),ISNUMBER('SW OpInc'!J12),ISNUMBER('SW Rev'!N12),ISNUMBER('SW Rev'!J12),ABS('SW Rev'!N12-'SW Rev'!J12)&gt;=1),('SW OpInc'!N12-'SW OpInc'!J12)/('SW Rev'!N12-'SW Rev'!J12),""),"")</f>
        <v/>
      </c>
      <c r="K829" s="37">
        <f>IFERROR(IF(AND(ISNUMBER('SW OpInc'!O12),ISNUMBER('SW OpInc'!K12),ISNUMBER('SW Rev'!O12),ISNUMBER('SW Rev'!K12),ABS('SW Rev'!O12-'SW Rev'!K12)&gt;=1),('SW OpInc'!O12-'SW OpInc'!K12)/('SW Rev'!O12-'SW Rev'!K12),""),"")</f>
        <v/>
      </c>
      <c r="L829" s="37">
        <f>IFERROR(IF(AND(ISNUMBER('SW OpInc'!P12),ISNUMBER('SW OpInc'!L12),ISNUMBER('SW Rev'!P12),ISNUMBER('SW Rev'!L12),ABS('SW Rev'!P12-'SW Rev'!L12)&gt;=1),('SW OpInc'!P12-'SW OpInc'!L12)/('SW Rev'!P12-'SW Rev'!L12),""),"")</f>
        <v/>
      </c>
      <c r="M829" s="38">
        <f>IFERROR(IF(AND(ISNUMBER('SW OpInc'!Q12),ISNUMBER('SW OpInc'!M12),ISNUMBER('SW Rev'!Q12),ISNUMBER('SW Rev'!M12),ABS('SW Rev'!Q12-'SW Rev'!M12)&gt;=1),('SW OpInc'!Q12-'SW OpInc'!M12)/('SW Rev'!Q12-'SW Rev'!M12),""),"")</f>
        <v/>
      </c>
      <c r="N829" s="38">
        <f>IFERROR(IF(AND(ISNUMBER('SW OpInc'!R12),ISNUMBER('SW OpInc'!N12),ISNUMBER('SW Rev'!R12),ISNUMBER('SW Rev'!N12),ABS('SW Rev'!R12-'SW Rev'!N12)&gt;=1),('SW OpInc'!R12-'SW OpInc'!N12)/('SW Rev'!R12-'SW Rev'!N12),""),"")</f>
        <v/>
      </c>
    </row>
    <row r="830">
      <c r="A830" s="19">
        <f>'SW Rev'!$A13</f>
        <v/>
      </c>
      <c r="B830" s="19">
        <f>'SW Rev'!$B13</f>
        <v/>
      </c>
      <c r="C830" s="37">
        <f>IFERROR(IF(AND(ISNUMBER('SW OpInc'!G13),ISNUMBER('SW OpInc'!C13),ISNUMBER('SW Rev'!G13),ISNUMBER('SW Rev'!C13),ABS('SW Rev'!G13-'SW Rev'!C13)&gt;=1),('SW OpInc'!G13-'SW OpInc'!C13)/('SW Rev'!G13-'SW Rev'!C13),""),"")</f>
        <v/>
      </c>
      <c r="D830" s="37">
        <f>IFERROR(IF(AND(ISNUMBER('SW OpInc'!H13),ISNUMBER('SW OpInc'!D13),ISNUMBER('SW Rev'!H13),ISNUMBER('SW Rev'!D13),ABS('SW Rev'!H13-'SW Rev'!D13)&gt;=1),('SW OpInc'!H13-'SW OpInc'!D13)/('SW Rev'!H13-'SW Rev'!D13),""),"")</f>
        <v/>
      </c>
      <c r="E830" s="37">
        <f>IFERROR(IF(AND(ISNUMBER('SW OpInc'!I13),ISNUMBER('SW OpInc'!E13),ISNUMBER('SW Rev'!I13),ISNUMBER('SW Rev'!E13),ABS('SW Rev'!I13-'SW Rev'!E13)&gt;=1),('SW OpInc'!I13-'SW OpInc'!E13)/('SW Rev'!I13-'SW Rev'!E13),""),"")</f>
        <v/>
      </c>
      <c r="F830" s="37">
        <f>IFERROR(IF(AND(ISNUMBER('SW OpInc'!J13),ISNUMBER('SW OpInc'!F13),ISNUMBER('SW Rev'!J13),ISNUMBER('SW Rev'!F13),ABS('SW Rev'!J13-'SW Rev'!F13)&gt;=1),('SW OpInc'!J13-'SW OpInc'!F13)/('SW Rev'!J13-'SW Rev'!F13),""),"")</f>
        <v/>
      </c>
      <c r="G830" s="37">
        <f>IFERROR(IF(AND(ISNUMBER('SW OpInc'!K13),ISNUMBER('SW OpInc'!G13),ISNUMBER('SW Rev'!K13),ISNUMBER('SW Rev'!G13),ABS('SW Rev'!K13-'SW Rev'!G13)&gt;=1),('SW OpInc'!K13-'SW OpInc'!G13)/('SW Rev'!K13-'SW Rev'!G13),""),"")</f>
        <v/>
      </c>
      <c r="H830" s="37">
        <f>IFERROR(IF(AND(ISNUMBER('SW OpInc'!L13),ISNUMBER('SW OpInc'!H13),ISNUMBER('SW Rev'!L13),ISNUMBER('SW Rev'!H13),ABS('SW Rev'!L13-'SW Rev'!H13)&gt;=1),('SW OpInc'!L13-'SW OpInc'!H13)/('SW Rev'!L13-'SW Rev'!H13),""),"")</f>
        <v/>
      </c>
      <c r="I830" s="37">
        <f>IFERROR(IF(AND(ISNUMBER('SW OpInc'!M13),ISNUMBER('SW OpInc'!I13),ISNUMBER('SW Rev'!M13),ISNUMBER('SW Rev'!I13),ABS('SW Rev'!M13-'SW Rev'!I13)&gt;=1),('SW OpInc'!M13-'SW OpInc'!I13)/('SW Rev'!M13-'SW Rev'!I13),""),"")</f>
        <v/>
      </c>
      <c r="J830" s="37">
        <f>IFERROR(IF(AND(ISNUMBER('SW OpInc'!N13),ISNUMBER('SW OpInc'!J13),ISNUMBER('SW Rev'!N13),ISNUMBER('SW Rev'!J13),ABS('SW Rev'!N13-'SW Rev'!J13)&gt;=1),('SW OpInc'!N13-'SW OpInc'!J13)/('SW Rev'!N13-'SW Rev'!J13),""),"")</f>
        <v/>
      </c>
      <c r="K830" s="37">
        <f>IFERROR(IF(AND(ISNUMBER('SW OpInc'!O13),ISNUMBER('SW OpInc'!K13),ISNUMBER('SW Rev'!O13),ISNUMBER('SW Rev'!K13),ABS('SW Rev'!O13-'SW Rev'!K13)&gt;=1),('SW OpInc'!O13-'SW OpInc'!K13)/('SW Rev'!O13-'SW Rev'!K13),""),"")</f>
        <v/>
      </c>
      <c r="L830" s="37">
        <f>IFERROR(IF(AND(ISNUMBER('SW OpInc'!P13),ISNUMBER('SW OpInc'!L13),ISNUMBER('SW Rev'!P13),ISNUMBER('SW Rev'!L13),ABS('SW Rev'!P13-'SW Rev'!L13)&gt;=1),('SW OpInc'!P13-'SW OpInc'!L13)/('SW Rev'!P13-'SW Rev'!L13),""),"")</f>
        <v/>
      </c>
      <c r="M830" s="38">
        <f>IFERROR(IF(AND(ISNUMBER('SW OpInc'!Q13),ISNUMBER('SW OpInc'!M13),ISNUMBER('SW Rev'!Q13),ISNUMBER('SW Rev'!M13),ABS('SW Rev'!Q13-'SW Rev'!M13)&gt;=1),('SW OpInc'!Q13-'SW OpInc'!M13)/('SW Rev'!Q13-'SW Rev'!M13),""),"")</f>
        <v/>
      </c>
      <c r="N830" s="38">
        <f>IFERROR(IF(AND(ISNUMBER('SW OpInc'!R13),ISNUMBER('SW OpInc'!N13),ISNUMBER('SW Rev'!R13),ISNUMBER('SW Rev'!N13),ABS('SW Rev'!R13-'SW Rev'!N13)&gt;=1),('SW OpInc'!R13-'SW OpInc'!N13)/('SW Rev'!R13-'SW Rev'!N13),""),"")</f>
        <v/>
      </c>
    </row>
    <row r="831">
      <c r="A831" s="19">
        <f>'SW Rev'!$A14</f>
        <v/>
      </c>
      <c r="B831" s="19">
        <f>'SW Rev'!$B14</f>
        <v/>
      </c>
      <c r="C831" s="37">
        <f>IFERROR(IF(AND(ISNUMBER('SW OpInc'!G14),ISNUMBER('SW OpInc'!C14),ISNUMBER('SW Rev'!G14),ISNUMBER('SW Rev'!C14),ABS('SW Rev'!G14-'SW Rev'!C14)&gt;=1),('SW OpInc'!G14-'SW OpInc'!C14)/('SW Rev'!G14-'SW Rev'!C14),""),"")</f>
        <v/>
      </c>
      <c r="D831" s="37">
        <f>IFERROR(IF(AND(ISNUMBER('SW OpInc'!H14),ISNUMBER('SW OpInc'!D14),ISNUMBER('SW Rev'!H14),ISNUMBER('SW Rev'!D14),ABS('SW Rev'!H14-'SW Rev'!D14)&gt;=1),('SW OpInc'!H14-'SW OpInc'!D14)/('SW Rev'!H14-'SW Rev'!D14),""),"")</f>
        <v/>
      </c>
      <c r="E831" s="37">
        <f>IFERROR(IF(AND(ISNUMBER('SW OpInc'!I14),ISNUMBER('SW OpInc'!E14),ISNUMBER('SW Rev'!I14),ISNUMBER('SW Rev'!E14),ABS('SW Rev'!I14-'SW Rev'!E14)&gt;=1),('SW OpInc'!I14-'SW OpInc'!E14)/('SW Rev'!I14-'SW Rev'!E14),""),"")</f>
        <v/>
      </c>
      <c r="F831" s="37">
        <f>IFERROR(IF(AND(ISNUMBER('SW OpInc'!J14),ISNUMBER('SW OpInc'!F14),ISNUMBER('SW Rev'!J14),ISNUMBER('SW Rev'!F14),ABS('SW Rev'!J14-'SW Rev'!F14)&gt;=1),('SW OpInc'!J14-'SW OpInc'!F14)/('SW Rev'!J14-'SW Rev'!F14),""),"")</f>
        <v/>
      </c>
      <c r="G831" s="37">
        <f>IFERROR(IF(AND(ISNUMBER('SW OpInc'!K14),ISNUMBER('SW OpInc'!G14),ISNUMBER('SW Rev'!K14),ISNUMBER('SW Rev'!G14),ABS('SW Rev'!K14-'SW Rev'!G14)&gt;=1),('SW OpInc'!K14-'SW OpInc'!G14)/('SW Rev'!K14-'SW Rev'!G14),""),"")</f>
        <v/>
      </c>
      <c r="H831" s="37">
        <f>IFERROR(IF(AND(ISNUMBER('SW OpInc'!L14),ISNUMBER('SW OpInc'!H14),ISNUMBER('SW Rev'!L14),ISNUMBER('SW Rev'!H14),ABS('SW Rev'!L14-'SW Rev'!H14)&gt;=1),('SW OpInc'!L14-'SW OpInc'!H14)/('SW Rev'!L14-'SW Rev'!H14),""),"")</f>
        <v/>
      </c>
      <c r="I831" s="37">
        <f>IFERROR(IF(AND(ISNUMBER('SW OpInc'!M14),ISNUMBER('SW OpInc'!I14),ISNUMBER('SW Rev'!M14),ISNUMBER('SW Rev'!I14),ABS('SW Rev'!M14-'SW Rev'!I14)&gt;=1),('SW OpInc'!M14-'SW OpInc'!I14)/('SW Rev'!M14-'SW Rev'!I14),""),"")</f>
        <v/>
      </c>
      <c r="J831" s="37">
        <f>IFERROR(IF(AND(ISNUMBER('SW OpInc'!N14),ISNUMBER('SW OpInc'!J14),ISNUMBER('SW Rev'!N14),ISNUMBER('SW Rev'!J14),ABS('SW Rev'!N14-'SW Rev'!J14)&gt;=1),('SW OpInc'!N14-'SW OpInc'!J14)/('SW Rev'!N14-'SW Rev'!J14),""),"")</f>
        <v/>
      </c>
      <c r="K831" s="37">
        <f>IFERROR(IF(AND(ISNUMBER('SW OpInc'!O14),ISNUMBER('SW OpInc'!K14),ISNUMBER('SW Rev'!O14),ISNUMBER('SW Rev'!K14),ABS('SW Rev'!O14-'SW Rev'!K14)&gt;=1),('SW OpInc'!O14-'SW OpInc'!K14)/('SW Rev'!O14-'SW Rev'!K14),""),"")</f>
        <v/>
      </c>
      <c r="L831" s="37">
        <f>IFERROR(IF(AND(ISNUMBER('SW OpInc'!P14),ISNUMBER('SW OpInc'!L14),ISNUMBER('SW Rev'!P14),ISNUMBER('SW Rev'!L14),ABS('SW Rev'!P14-'SW Rev'!L14)&gt;=1),('SW OpInc'!P14-'SW OpInc'!L14)/('SW Rev'!P14-'SW Rev'!L14),""),"")</f>
        <v/>
      </c>
      <c r="M831" s="38">
        <f>IFERROR(IF(AND(ISNUMBER('SW OpInc'!Q14),ISNUMBER('SW OpInc'!M14),ISNUMBER('SW Rev'!Q14),ISNUMBER('SW Rev'!M14),ABS('SW Rev'!Q14-'SW Rev'!M14)&gt;=1),('SW OpInc'!Q14-'SW OpInc'!M14)/('SW Rev'!Q14-'SW Rev'!M14),""),"")</f>
        <v/>
      </c>
      <c r="N831" s="38">
        <f>IFERROR(IF(AND(ISNUMBER('SW OpInc'!R14),ISNUMBER('SW OpInc'!N14),ISNUMBER('SW Rev'!R14),ISNUMBER('SW Rev'!N14),ABS('SW Rev'!R14-'SW Rev'!N14)&gt;=1),('SW OpInc'!R14-'SW OpInc'!N14)/('SW Rev'!R14-'SW Rev'!N14),""),"")</f>
        <v/>
      </c>
    </row>
    <row r="832">
      <c r="A832" s="19">
        <f>'SW Rev'!$A15</f>
        <v/>
      </c>
      <c r="B832" s="19">
        <f>'SW Rev'!$B15</f>
        <v/>
      </c>
      <c r="C832" s="37">
        <f>IFERROR(IF(AND(ISNUMBER('SW OpInc'!G15),ISNUMBER('SW OpInc'!C15),ISNUMBER('SW Rev'!G15),ISNUMBER('SW Rev'!C15),ABS('SW Rev'!G15-'SW Rev'!C15)&gt;=1),('SW OpInc'!G15-'SW OpInc'!C15)/('SW Rev'!G15-'SW Rev'!C15),""),"")</f>
        <v/>
      </c>
      <c r="D832" s="37">
        <f>IFERROR(IF(AND(ISNUMBER('SW OpInc'!H15),ISNUMBER('SW OpInc'!D15),ISNUMBER('SW Rev'!H15),ISNUMBER('SW Rev'!D15),ABS('SW Rev'!H15-'SW Rev'!D15)&gt;=1),('SW OpInc'!H15-'SW OpInc'!D15)/('SW Rev'!H15-'SW Rev'!D15),""),"")</f>
        <v/>
      </c>
      <c r="E832" s="37">
        <f>IFERROR(IF(AND(ISNUMBER('SW OpInc'!I15),ISNUMBER('SW OpInc'!E15),ISNUMBER('SW Rev'!I15),ISNUMBER('SW Rev'!E15),ABS('SW Rev'!I15-'SW Rev'!E15)&gt;=1),('SW OpInc'!I15-'SW OpInc'!E15)/('SW Rev'!I15-'SW Rev'!E15),""),"")</f>
        <v/>
      </c>
      <c r="F832" s="37">
        <f>IFERROR(IF(AND(ISNUMBER('SW OpInc'!J15),ISNUMBER('SW OpInc'!F15),ISNUMBER('SW Rev'!J15),ISNUMBER('SW Rev'!F15),ABS('SW Rev'!J15-'SW Rev'!F15)&gt;=1),('SW OpInc'!J15-'SW OpInc'!F15)/('SW Rev'!J15-'SW Rev'!F15),""),"")</f>
        <v/>
      </c>
      <c r="G832" s="37">
        <f>IFERROR(IF(AND(ISNUMBER('SW OpInc'!K15),ISNUMBER('SW OpInc'!G15),ISNUMBER('SW Rev'!K15),ISNUMBER('SW Rev'!G15),ABS('SW Rev'!K15-'SW Rev'!G15)&gt;=1),('SW OpInc'!K15-'SW OpInc'!G15)/('SW Rev'!K15-'SW Rev'!G15),""),"")</f>
        <v/>
      </c>
      <c r="H832" s="37">
        <f>IFERROR(IF(AND(ISNUMBER('SW OpInc'!L15),ISNUMBER('SW OpInc'!H15),ISNUMBER('SW Rev'!L15),ISNUMBER('SW Rev'!H15),ABS('SW Rev'!L15-'SW Rev'!H15)&gt;=1),('SW OpInc'!L15-'SW OpInc'!H15)/('SW Rev'!L15-'SW Rev'!H15),""),"")</f>
        <v/>
      </c>
      <c r="I832" s="37">
        <f>IFERROR(IF(AND(ISNUMBER('SW OpInc'!M15),ISNUMBER('SW OpInc'!I15),ISNUMBER('SW Rev'!M15),ISNUMBER('SW Rev'!I15),ABS('SW Rev'!M15-'SW Rev'!I15)&gt;=1),('SW OpInc'!M15-'SW OpInc'!I15)/('SW Rev'!M15-'SW Rev'!I15),""),"")</f>
        <v/>
      </c>
      <c r="J832" s="37">
        <f>IFERROR(IF(AND(ISNUMBER('SW OpInc'!N15),ISNUMBER('SW OpInc'!J15),ISNUMBER('SW Rev'!N15),ISNUMBER('SW Rev'!J15),ABS('SW Rev'!N15-'SW Rev'!J15)&gt;=1),('SW OpInc'!N15-'SW OpInc'!J15)/('SW Rev'!N15-'SW Rev'!J15),""),"")</f>
        <v/>
      </c>
      <c r="K832" s="37">
        <f>IFERROR(IF(AND(ISNUMBER('SW OpInc'!O15),ISNUMBER('SW OpInc'!K15),ISNUMBER('SW Rev'!O15),ISNUMBER('SW Rev'!K15),ABS('SW Rev'!O15-'SW Rev'!K15)&gt;=1),('SW OpInc'!O15-'SW OpInc'!K15)/('SW Rev'!O15-'SW Rev'!K15),""),"")</f>
        <v/>
      </c>
      <c r="L832" s="37">
        <f>IFERROR(IF(AND(ISNUMBER('SW OpInc'!P15),ISNUMBER('SW OpInc'!L15),ISNUMBER('SW Rev'!P15),ISNUMBER('SW Rev'!L15),ABS('SW Rev'!P15-'SW Rev'!L15)&gt;=1),('SW OpInc'!P15-'SW OpInc'!L15)/('SW Rev'!P15-'SW Rev'!L15),""),"")</f>
        <v/>
      </c>
      <c r="M832" s="38">
        <f>IFERROR(IF(AND(ISNUMBER('SW OpInc'!Q15),ISNUMBER('SW OpInc'!M15),ISNUMBER('SW Rev'!Q15),ISNUMBER('SW Rev'!M15),ABS('SW Rev'!Q15-'SW Rev'!M15)&gt;=1),('SW OpInc'!Q15-'SW OpInc'!M15)/('SW Rev'!Q15-'SW Rev'!M15),""),"")</f>
        <v/>
      </c>
      <c r="N832" s="38">
        <f>IFERROR(IF(AND(ISNUMBER('SW OpInc'!R15),ISNUMBER('SW OpInc'!N15),ISNUMBER('SW Rev'!R15),ISNUMBER('SW Rev'!N15),ABS('SW Rev'!R15-'SW Rev'!N15)&gt;=1),('SW OpInc'!R15-'SW OpInc'!N15)/('SW Rev'!R15-'SW Rev'!N15),""),"")</f>
        <v/>
      </c>
    </row>
    <row r="833">
      <c r="A833" s="19">
        <f>'SW Rev'!$A16</f>
        <v/>
      </c>
      <c r="B833" s="19">
        <f>'SW Rev'!$B16</f>
        <v/>
      </c>
      <c r="C833" s="37">
        <f>IFERROR(IF(AND(ISNUMBER('SW OpInc'!G16),ISNUMBER('SW OpInc'!C16),ISNUMBER('SW Rev'!G16),ISNUMBER('SW Rev'!C16),ABS('SW Rev'!G16-'SW Rev'!C16)&gt;=1),('SW OpInc'!G16-'SW OpInc'!C16)/('SW Rev'!G16-'SW Rev'!C16),""),"")</f>
        <v/>
      </c>
      <c r="D833" s="37">
        <f>IFERROR(IF(AND(ISNUMBER('SW OpInc'!H16),ISNUMBER('SW OpInc'!D16),ISNUMBER('SW Rev'!H16),ISNUMBER('SW Rev'!D16),ABS('SW Rev'!H16-'SW Rev'!D16)&gt;=1),('SW OpInc'!H16-'SW OpInc'!D16)/('SW Rev'!H16-'SW Rev'!D16),""),"")</f>
        <v/>
      </c>
      <c r="E833" s="37">
        <f>IFERROR(IF(AND(ISNUMBER('SW OpInc'!I16),ISNUMBER('SW OpInc'!E16),ISNUMBER('SW Rev'!I16),ISNUMBER('SW Rev'!E16),ABS('SW Rev'!I16-'SW Rev'!E16)&gt;=1),('SW OpInc'!I16-'SW OpInc'!E16)/('SW Rev'!I16-'SW Rev'!E16),""),"")</f>
        <v/>
      </c>
      <c r="F833" s="37">
        <f>IFERROR(IF(AND(ISNUMBER('SW OpInc'!J16),ISNUMBER('SW OpInc'!F16),ISNUMBER('SW Rev'!J16),ISNUMBER('SW Rev'!F16),ABS('SW Rev'!J16-'SW Rev'!F16)&gt;=1),('SW OpInc'!J16-'SW OpInc'!F16)/('SW Rev'!J16-'SW Rev'!F16),""),"")</f>
        <v/>
      </c>
      <c r="G833" s="37">
        <f>IFERROR(IF(AND(ISNUMBER('SW OpInc'!K16),ISNUMBER('SW OpInc'!G16),ISNUMBER('SW Rev'!K16),ISNUMBER('SW Rev'!G16),ABS('SW Rev'!K16-'SW Rev'!G16)&gt;=1),('SW OpInc'!K16-'SW OpInc'!G16)/('SW Rev'!K16-'SW Rev'!G16),""),"")</f>
        <v/>
      </c>
      <c r="H833" s="37">
        <f>IFERROR(IF(AND(ISNUMBER('SW OpInc'!L16),ISNUMBER('SW OpInc'!H16),ISNUMBER('SW Rev'!L16),ISNUMBER('SW Rev'!H16),ABS('SW Rev'!L16-'SW Rev'!H16)&gt;=1),('SW OpInc'!L16-'SW OpInc'!H16)/('SW Rev'!L16-'SW Rev'!H16),""),"")</f>
        <v/>
      </c>
      <c r="I833" s="37">
        <f>IFERROR(IF(AND(ISNUMBER('SW OpInc'!M16),ISNUMBER('SW OpInc'!I16),ISNUMBER('SW Rev'!M16),ISNUMBER('SW Rev'!I16),ABS('SW Rev'!M16-'SW Rev'!I16)&gt;=1),('SW OpInc'!M16-'SW OpInc'!I16)/('SW Rev'!M16-'SW Rev'!I16),""),"")</f>
        <v/>
      </c>
      <c r="J833" s="37">
        <f>IFERROR(IF(AND(ISNUMBER('SW OpInc'!N16),ISNUMBER('SW OpInc'!J16),ISNUMBER('SW Rev'!N16),ISNUMBER('SW Rev'!J16),ABS('SW Rev'!N16-'SW Rev'!J16)&gt;=1),('SW OpInc'!N16-'SW OpInc'!J16)/('SW Rev'!N16-'SW Rev'!J16),""),"")</f>
        <v/>
      </c>
      <c r="K833" s="37">
        <f>IFERROR(IF(AND(ISNUMBER('SW OpInc'!O16),ISNUMBER('SW OpInc'!K16),ISNUMBER('SW Rev'!O16),ISNUMBER('SW Rev'!K16),ABS('SW Rev'!O16-'SW Rev'!K16)&gt;=1),('SW OpInc'!O16-'SW OpInc'!K16)/('SW Rev'!O16-'SW Rev'!K16),""),"")</f>
        <v/>
      </c>
      <c r="L833" s="37">
        <f>IFERROR(IF(AND(ISNUMBER('SW OpInc'!P16),ISNUMBER('SW OpInc'!L16),ISNUMBER('SW Rev'!P16),ISNUMBER('SW Rev'!L16),ABS('SW Rev'!P16-'SW Rev'!L16)&gt;=1),('SW OpInc'!P16-'SW OpInc'!L16)/('SW Rev'!P16-'SW Rev'!L16),""),"")</f>
        <v/>
      </c>
      <c r="M833" s="38">
        <f>IFERROR(IF(AND(ISNUMBER('SW OpInc'!Q16),ISNUMBER('SW OpInc'!M16),ISNUMBER('SW Rev'!Q16),ISNUMBER('SW Rev'!M16),ABS('SW Rev'!Q16-'SW Rev'!M16)&gt;=1),('SW OpInc'!Q16-'SW OpInc'!M16)/('SW Rev'!Q16-'SW Rev'!M16),""),"")</f>
        <v/>
      </c>
      <c r="N833" s="38">
        <f>IFERROR(IF(AND(ISNUMBER('SW OpInc'!R16),ISNUMBER('SW OpInc'!N16),ISNUMBER('SW Rev'!R16),ISNUMBER('SW Rev'!N16),ABS('SW Rev'!R16-'SW Rev'!N16)&gt;=1),('SW OpInc'!R16-'SW OpInc'!N16)/('SW Rev'!R16-'SW Rev'!N16),""),"")</f>
        <v/>
      </c>
    </row>
    <row r="834">
      <c r="A834" s="19">
        <f>'SW Rev'!$A17</f>
        <v/>
      </c>
      <c r="B834" s="19">
        <f>'SW Rev'!$B17</f>
        <v/>
      </c>
      <c r="C834" s="37">
        <f>IFERROR(IF(AND(ISNUMBER('SW OpInc'!G17),ISNUMBER('SW OpInc'!C17),ISNUMBER('SW Rev'!G17),ISNUMBER('SW Rev'!C17),ABS('SW Rev'!G17-'SW Rev'!C17)&gt;=1),('SW OpInc'!G17-'SW OpInc'!C17)/('SW Rev'!G17-'SW Rev'!C17),""),"")</f>
        <v/>
      </c>
      <c r="D834" s="37">
        <f>IFERROR(IF(AND(ISNUMBER('SW OpInc'!H17),ISNUMBER('SW OpInc'!D17),ISNUMBER('SW Rev'!H17),ISNUMBER('SW Rev'!D17),ABS('SW Rev'!H17-'SW Rev'!D17)&gt;=1),('SW OpInc'!H17-'SW OpInc'!D17)/('SW Rev'!H17-'SW Rev'!D17),""),"")</f>
        <v/>
      </c>
      <c r="E834" s="37">
        <f>IFERROR(IF(AND(ISNUMBER('SW OpInc'!I17),ISNUMBER('SW OpInc'!E17),ISNUMBER('SW Rev'!I17),ISNUMBER('SW Rev'!E17),ABS('SW Rev'!I17-'SW Rev'!E17)&gt;=1),('SW OpInc'!I17-'SW OpInc'!E17)/('SW Rev'!I17-'SW Rev'!E17),""),"")</f>
        <v/>
      </c>
      <c r="F834" s="37">
        <f>IFERROR(IF(AND(ISNUMBER('SW OpInc'!J17),ISNUMBER('SW OpInc'!F17),ISNUMBER('SW Rev'!J17),ISNUMBER('SW Rev'!F17),ABS('SW Rev'!J17-'SW Rev'!F17)&gt;=1),('SW OpInc'!J17-'SW OpInc'!F17)/('SW Rev'!J17-'SW Rev'!F17),""),"")</f>
        <v/>
      </c>
      <c r="G834" s="37">
        <f>IFERROR(IF(AND(ISNUMBER('SW OpInc'!K17),ISNUMBER('SW OpInc'!G17),ISNUMBER('SW Rev'!K17),ISNUMBER('SW Rev'!G17),ABS('SW Rev'!K17-'SW Rev'!G17)&gt;=1),('SW OpInc'!K17-'SW OpInc'!G17)/('SW Rev'!K17-'SW Rev'!G17),""),"")</f>
        <v/>
      </c>
      <c r="H834" s="37">
        <f>IFERROR(IF(AND(ISNUMBER('SW OpInc'!L17),ISNUMBER('SW OpInc'!H17),ISNUMBER('SW Rev'!L17),ISNUMBER('SW Rev'!H17),ABS('SW Rev'!L17-'SW Rev'!H17)&gt;=1),('SW OpInc'!L17-'SW OpInc'!H17)/('SW Rev'!L17-'SW Rev'!H17),""),"")</f>
        <v/>
      </c>
      <c r="I834" s="37">
        <f>IFERROR(IF(AND(ISNUMBER('SW OpInc'!M17),ISNUMBER('SW OpInc'!I17),ISNUMBER('SW Rev'!M17),ISNUMBER('SW Rev'!I17),ABS('SW Rev'!M17-'SW Rev'!I17)&gt;=1),('SW OpInc'!M17-'SW OpInc'!I17)/('SW Rev'!M17-'SW Rev'!I17),""),"")</f>
        <v/>
      </c>
      <c r="J834" s="37">
        <f>IFERROR(IF(AND(ISNUMBER('SW OpInc'!N17),ISNUMBER('SW OpInc'!J17),ISNUMBER('SW Rev'!N17),ISNUMBER('SW Rev'!J17),ABS('SW Rev'!N17-'SW Rev'!J17)&gt;=1),('SW OpInc'!N17-'SW OpInc'!J17)/('SW Rev'!N17-'SW Rev'!J17),""),"")</f>
        <v/>
      </c>
      <c r="K834" s="37">
        <f>IFERROR(IF(AND(ISNUMBER('SW OpInc'!O17),ISNUMBER('SW OpInc'!K17),ISNUMBER('SW Rev'!O17),ISNUMBER('SW Rev'!K17),ABS('SW Rev'!O17-'SW Rev'!K17)&gt;=1),('SW OpInc'!O17-'SW OpInc'!K17)/('SW Rev'!O17-'SW Rev'!K17),""),"")</f>
        <v/>
      </c>
      <c r="L834" s="37">
        <f>IFERROR(IF(AND(ISNUMBER('SW OpInc'!P17),ISNUMBER('SW OpInc'!L17),ISNUMBER('SW Rev'!P17),ISNUMBER('SW Rev'!L17),ABS('SW Rev'!P17-'SW Rev'!L17)&gt;=1),('SW OpInc'!P17-'SW OpInc'!L17)/('SW Rev'!P17-'SW Rev'!L17),""),"")</f>
        <v/>
      </c>
      <c r="M834" s="38">
        <f>IFERROR(IF(AND(ISNUMBER('SW OpInc'!Q17),ISNUMBER('SW OpInc'!M17),ISNUMBER('SW Rev'!Q17),ISNUMBER('SW Rev'!M17),ABS('SW Rev'!Q17-'SW Rev'!M17)&gt;=1),('SW OpInc'!Q17-'SW OpInc'!M17)/('SW Rev'!Q17-'SW Rev'!M17),""),"")</f>
        <v/>
      </c>
      <c r="N834" s="38">
        <f>IFERROR(IF(AND(ISNUMBER('SW OpInc'!R17),ISNUMBER('SW OpInc'!N17),ISNUMBER('SW Rev'!R17),ISNUMBER('SW Rev'!N17),ABS('SW Rev'!R17-'SW Rev'!N17)&gt;=1),('SW OpInc'!R17-'SW OpInc'!N17)/('SW Rev'!R17-'SW Rev'!N17),""),"")</f>
        <v/>
      </c>
    </row>
    <row r="835">
      <c r="A835" s="19">
        <f>'SW Rev'!$A18</f>
        <v/>
      </c>
      <c r="B835" s="19">
        <f>'SW Rev'!$B18</f>
        <v/>
      </c>
      <c r="C835" s="37">
        <f>IFERROR(IF(AND(ISNUMBER('SW OpInc'!G18),ISNUMBER('SW OpInc'!C18),ISNUMBER('SW Rev'!G18),ISNUMBER('SW Rev'!C18),ABS('SW Rev'!G18-'SW Rev'!C18)&gt;=1),('SW OpInc'!G18-'SW OpInc'!C18)/('SW Rev'!G18-'SW Rev'!C18),""),"")</f>
        <v/>
      </c>
      <c r="D835" s="37">
        <f>IFERROR(IF(AND(ISNUMBER('SW OpInc'!H18),ISNUMBER('SW OpInc'!D18),ISNUMBER('SW Rev'!H18),ISNUMBER('SW Rev'!D18),ABS('SW Rev'!H18-'SW Rev'!D18)&gt;=1),('SW OpInc'!H18-'SW OpInc'!D18)/('SW Rev'!H18-'SW Rev'!D18),""),"")</f>
        <v/>
      </c>
      <c r="E835" s="37">
        <f>IFERROR(IF(AND(ISNUMBER('SW OpInc'!I18),ISNUMBER('SW OpInc'!E18),ISNUMBER('SW Rev'!I18),ISNUMBER('SW Rev'!E18),ABS('SW Rev'!I18-'SW Rev'!E18)&gt;=1),('SW OpInc'!I18-'SW OpInc'!E18)/('SW Rev'!I18-'SW Rev'!E18),""),"")</f>
        <v/>
      </c>
      <c r="F835" s="37">
        <f>IFERROR(IF(AND(ISNUMBER('SW OpInc'!J18),ISNUMBER('SW OpInc'!F18),ISNUMBER('SW Rev'!J18),ISNUMBER('SW Rev'!F18),ABS('SW Rev'!J18-'SW Rev'!F18)&gt;=1),('SW OpInc'!J18-'SW OpInc'!F18)/('SW Rev'!J18-'SW Rev'!F18),""),"")</f>
        <v/>
      </c>
      <c r="G835" s="37">
        <f>IFERROR(IF(AND(ISNUMBER('SW OpInc'!K18),ISNUMBER('SW OpInc'!G18),ISNUMBER('SW Rev'!K18),ISNUMBER('SW Rev'!G18),ABS('SW Rev'!K18-'SW Rev'!G18)&gt;=1),('SW OpInc'!K18-'SW OpInc'!G18)/('SW Rev'!K18-'SW Rev'!G18),""),"")</f>
        <v/>
      </c>
      <c r="H835" s="37">
        <f>IFERROR(IF(AND(ISNUMBER('SW OpInc'!L18),ISNUMBER('SW OpInc'!H18),ISNUMBER('SW Rev'!L18),ISNUMBER('SW Rev'!H18),ABS('SW Rev'!L18-'SW Rev'!H18)&gt;=1),('SW OpInc'!L18-'SW OpInc'!H18)/('SW Rev'!L18-'SW Rev'!H18),""),"")</f>
        <v/>
      </c>
      <c r="I835" s="37">
        <f>IFERROR(IF(AND(ISNUMBER('SW OpInc'!M18),ISNUMBER('SW OpInc'!I18),ISNUMBER('SW Rev'!M18),ISNUMBER('SW Rev'!I18),ABS('SW Rev'!M18-'SW Rev'!I18)&gt;=1),('SW OpInc'!M18-'SW OpInc'!I18)/('SW Rev'!M18-'SW Rev'!I18),""),"")</f>
        <v/>
      </c>
      <c r="J835" s="37">
        <f>IFERROR(IF(AND(ISNUMBER('SW OpInc'!N18),ISNUMBER('SW OpInc'!J18),ISNUMBER('SW Rev'!N18),ISNUMBER('SW Rev'!J18),ABS('SW Rev'!N18-'SW Rev'!J18)&gt;=1),('SW OpInc'!N18-'SW OpInc'!J18)/('SW Rev'!N18-'SW Rev'!J18),""),"")</f>
        <v/>
      </c>
      <c r="K835" s="37">
        <f>IFERROR(IF(AND(ISNUMBER('SW OpInc'!O18),ISNUMBER('SW OpInc'!K18),ISNUMBER('SW Rev'!O18),ISNUMBER('SW Rev'!K18),ABS('SW Rev'!O18-'SW Rev'!K18)&gt;=1),('SW OpInc'!O18-'SW OpInc'!K18)/('SW Rev'!O18-'SW Rev'!K18),""),"")</f>
        <v/>
      </c>
      <c r="L835" s="37">
        <f>IFERROR(IF(AND(ISNUMBER('SW OpInc'!P18),ISNUMBER('SW OpInc'!L18),ISNUMBER('SW Rev'!P18),ISNUMBER('SW Rev'!L18),ABS('SW Rev'!P18-'SW Rev'!L18)&gt;=1),('SW OpInc'!P18-'SW OpInc'!L18)/('SW Rev'!P18-'SW Rev'!L18),""),"")</f>
        <v/>
      </c>
      <c r="M835" s="38">
        <f>IFERROR(IF(AND(ISNUMBER('SW OpInc'!Q18),ISNUMBER('SW OpInc'!M18),ISNUMBER('SW Rev'!Q18),ISNUMBER('SW Rev'!M18),ABS('SW Rev'!Q18-'SW Rev'!M18)&gt;=1),('SW OpInc'!Q18-'SW OpInc'!M18)/('SW Rev'!Q18-'SW Rev'!M18),""),"")</f>
        <v/>
      </c>
      <c r="N835" s="38">
        <f>IFERROR(IF(AND(ISNUMBER('SW OpInc'!R18),ISNUMBER('SW OpInc'!N18),ISNUMBER('SW Rev'!R18),ISNUMBER('SW Rev'!N18),ABS('SW Rev'!R18-'SW Rev'!N18)&gt;=1),('SW OpInc'!R18-'SW OpInc'!N18)/('SW Rev'!R18-'SW Rev'!N18),""),"")</f>
        <v/>
      </c>
    </row>
    <row r="836">
      <c r="A836" s="19">
        <f>'SW Rev'!$A19</f>
        <v/>
      </c>
      <c r="B836" s="19">
        <f>'SW Rev'!$B19</f>
        <v/>
      </c>
      <c r="C836" s="37">
        <f>IFERROR(IF(AND(ISNUMBER('SW OpInc'!G19),ISNUMBER('SW OpInc'!C19),ISNUMBER('SW Rev'!G19),ISNUMBER('SW Rev'!C19),ABS('SW Rev'!G19-'SW Rev'!C19)&gt;=1),('SW OpInc'!G19-'SW OpInc'!C19)/('SW Rev'!G19-'SW Rev'!C19),""),"")</f>
        <v/>
      </c>
      <c r="D836" s="37">
        <f>IFERROR(IF(AND(ISNUMBER('SW OpInc'!H19),ISNUMBER('SW OpInc'!D19),ISNUMBER('SW Rev'!H19),ISNUMBER('SW Rev'!D19),ABS('SW Rev'!H19-'SW Rev'!D19)&gt;=1),('SW OpInc'!H19-'SW OpInc'!D19)/('SW Rev'!H19-'SW Rev'!D19),""),"")</f>
        <v/>
      </c>
      <c r="E836" s="37">
        <f>IFERROR(IF(AND(ISNUMBER('SW OpInc'!I19),ISNUMBER('SW OpInc'!E19),ISNUMBER('SW Rev'!I19),ISNUMBER('SW Rev'!E19),ABS('SW Rev'!I19-'SW Rev'!E19)&gt;=1),('SW OpInc'!I19-'SW OpInc'!E19)/('SW Rev'!I19-'SW Rev'!E19),""),"")</f>
        <v/>
      </c>
      <c r="F836" s="37">
        <f>IFERROR(IF(AND(ISNUMBER('SW OpInc'!J19),ISNUMBER('SW OpInc'!F19),ISNUMBER('SW Rev'!J19),ISNUMBER('SW Rev'!F19),ABS('SW Rev'!J19-'SW Rev'!F19)&gt;=1),('SW OpInc'!J19-'SW OpInc'!F19)/('SW Rev'!J19-'SW Rev'!F19),""),"")</f>
        <v/>
      </c>
      <c r="G836" s="37">
        <f>IFERROR(IF(AND(ISNUMBER('SW OpInc'!K19),ISNUMBER('SW OpInc'!G19),ISNUMBER('SW Rev'!K19),ISNUMBER('SW Rev'!G19),ABS('SW Rev'!K19-'SW Rev'!G19)&gt;=1),('SW OpInc'!K19-'SW OpInc'!G19)/('SW Rev'!K19-'SW Rev'!G19),""),"")</f>
        <v/>
      </c>
      <c r="H836" s="37">
        <f>IFERROR(IF(AND(ISNUMBER('SW OpInc'!L19),ISNUMBER('SW OpInc'!H19),ISNUMBER('SW Rev'!L19),ISNUMBER('SW Rev'!H19),ABS('SW Rev'!L19-'SW Rev'!H19)&gt;=1),('SW OpInc'!L19-'SW OpInc'!H19)/('SW Rev'!L19-'SW Rev'!H19),""),"")</f>
        <v/>
      </c>
      <c r="I836" s="37">
        <f>IFERROR(IF(AND(ISNUMBER('SW OpInc'!M19),ISNUMBER('SW OpInc'!I19),ISNUMBER('SW Rev'!M19),ISNUMBER('SW Rev'!I19),ABS('SW Rev'!M19-'SW Rev'!I19)&gt;=1),('SW OpInc'!M19-'SW OpInc'!I19)/('SW Rev'!M19-'SW Rev'!I19),""),"")</f>
        <v/>
      </c>
      <c r="J836" s="37">
        <f>IFERROR(IF(AND(ISNUMBER('SW OpInc'!N19),ISNUMBER('SW OpInc'!J19),ISNUMBER('SW Rev'!N19),ISNUMBER('SW Rev'!J19),ABS('SW Rev'!N19-'SW Rev'!J19)&gt;=1),('SW OpInc'!N19-'SW OpInc'!J19)/('SW Rev'!N19-'SW Rev'!J19),""),"")</f>
        <v/>
      </c>
      <c r="K836" s="37">
        <f>IFERROR(IF(AND(ISNUMBER('SW OpInc'!O19),ISNUMBER('SW OpInc'!K19),ISNUMBER('SW Rev'!O19),ISNUMBER('SW Rev'!K19),ABS('SW Rev'!O19-'SW Rev'!K19)&gt;=1),('SW OpInc'!O19-'SW OpInc'!K19)/('SW Rev'!O19-'SW Rev'!K19),""),"")</f>
        <v/>
      </c>
      <c r="L836" s="37">
        <f>IFERROR(IF(AND(ISNUMBER('SW OpInc'!P19),ISNUMBER('SW OpInc'!L19),ISNUMBER('SW Rev'!P19),ISNUMBER('SW Rev'!L19),ABS('SW Rev'!P19-'SW Rev'!L19)&gt;=1),('SW OpInc'!P19-'SW OpInc'!L19)/('SW Rev'!P19-'SW Rev'!L19),""),"")</f>
        <v/>
      </c>
      <c r="M836" s="38">
        <f>IFERROR(IF(AND(ISNUMBER('SW OpInc'!Q19),ISNUMBER('SW OpInc'!M19),ISNUMBER('SW Rev'!Q19),ISNUMBER('SW Rev'!M19),ABS('SW Rev'!Q19-'SW Rev'!M19)&gt;=1),('SW OpInc'!Q19-'SW OpInc'!M19)/('SW Rev'!Q19-'SW Rev'!M19),""),"")</f>
        <v/>
      </c>
      <c r="N836" s="38">
        <f>IFERROR(IF(AND(ISNUMBER('SW OpInc'!R19),ISNUMBER('SW OpInc'!N19),ISNUMBER('SW Rev'!R19),ISNUMBER('SW Rev'!N19),ABS('SW Rev'!R19-'SW Rev'!N19)&gt;=1),('SW OpInc'!R19-'SW OpInc'!N19)/('SW Rev'!R19-'SW Rev'!N19),""),"")</f>
        <v/>
      </c>
    </row>
    <row r="837">
      <c r="A837" s="19">
        <f>'SW Rev'!$A20</f>
        <v/>
      </c>
      <c r="B837" s="19">
        <f>'SW Rev'!$B20</f>
        <v/>
      </c>
      <c r="C837" s="37">
        <f>IFERROR(IF(AND(ISNUMBER('SW OpInc'!G20),ISNUMBER('SW OpInc'!C20),ISNUMBER('SW Rev'!G20),ISNUMBER('SW Rev'!C20),ABS('SW Rev'!G20-'SW Rev'!C20)&gt;=1),('SW OpInc'!G20-'SW OpInc'!C20)/('SW Rev'!G20-'SW Rev'!C20),""),"")</f>
        <v/>
      </c>
      <c r="D837" s="37">
        <f>IFERROR(IF(AND(ISNUMBER('SW OpInc'!H20),ISNUMBER('SW OpInc'!D20),ISNUMBER('SW Rev'!H20),ISNUMBER('SW Rev'!D20),ABS('SW Rev'!H20-'SW Rev'!D20)&gt;=1),('SW OpInc'!H20-'SW OpInc'!D20)/('SW Rev'!H20-'SW Rev'!D20),""),"")</f>
        <v/>
      </c>
      <c r="E837" s="37">
        <f>IFERROR(IF(AND(ISNUMBER('SW OpInc'!I20),ISNUMBER('SW OpInc'!E20),ISNUMBER('SW Rev'!I20),ISNUMBER('SW Rev'!E20),ABS('SW Rev'!I20-'SW Rev'!E20)&gt;=1),('SW OpInc'!I20-'SW OpInc'!E20)/('SW Rev'!I20-'SW Rev'!E20),""),"")</f>
        <v/>
      </c>
      <c r="F837" s="37">
        <f>IFERROR(IF(AND(ISNUMBER('SW OpInc'!J20),ISNUMBER('SW OpInc'!F20),ISNUMBER('SW Rev'!J20),ISNUMBER('SW Rev'!F20),ABS('SW Rev'!J20-'SW Rev'!F20)&gt;=1),('SW OpInc'!J20-'SW OpInc'!F20)/('SW Rev'!J20-'SW Rev'!F20),""),"")</f>
        <v/>
      </c>
      <c r="G837" s="37">
        <f>IFERROR(IF(AND(ISNUMBER('SW OpInc'!K20),ISNUMBER('SW OpInc'!G20),ISNUMBER('SW Rev'!K20),ISNUMBER('SW Rev'!G20),ABS('SW Rev'!K20-'SW Rev'!G20)&gt;=1),('SW OpInc'!K20-'SW OpInc'!G20)/('SW Rev'!K20-'SW Rev'!G20),""),"")</f>
        <v/>
      </c>
      <c r="H837" s="37">
        <f>IFERROR(IF(AND(ISNUMBER('SW OpInc'!L20),ISNUMBER('SW OpInc'!H20),ISNUMBER('SW Rev'!L20),ISNUMBER('SW Rev'!H20),ABS('SW Rev'!L20-'SW Rev'!H20)&gt;=1),('SW OpInc'!L20-'SW OpInc'!H20)/('SW Rev'!L20-'SW Rev'!H20),""),"")</f>
        <v/>
      </c>
      <c r="I837" s="37">
        <f>IFERROR(IF(AND(ISNUMBER('SW OpInc'!M20),ISNUMBER('SW OpInc'!I20),ISNUMBER('SW Rev'!M20),ISNUMBER('SW Rev'!I20),ABS('SW Rev'!M20-'SW Rev'!I20)&gt;=1),('SW OpInc'!M20-'SW OpInc'!I20)/('SW Rev'!M20-'SW Rev'!I20),""),"")</f>
        <v/>
      </c>
      <c r="J837" s="37">
        <f>IFERROR(IF(AND(ISNUMBER('SW OpInc'!N20),ISNUMBER('SW OpInc'!J20),ISNUMBER('SW Rev'!N20),ISNUMBER('SW Rev'!J20),ABS('SW Rev'!N20-'SW Rev'!J20)&gt;=1),('SW OpInc'!N20-'SW OpInc'!J20)/('SW Rev'!N20-'SW Rev'!J20),""),"")</f>
        <v/>
      </c>
      <c r="K837" s="37">
        <f>IFERROR(IF(AND(ISNUMBER('SW OpInc'!O20),ISNUMBER('SW OpInc'!K20),ISNUMBER('SW Rev'!O20),ISNUMBER('SW Rev'!K20),ABS('SW Rev'!O20-'SW Rev'!K20)&gt;=1),('SW OpInc'!O20-'SW OpInc'!K20)/('SW Rev'!O20-'SW Rev'!K20),""),"")</f>
        <v/>
      </c>
      <c r="L837" s="37">
        <f>IFERROR(IF(AND(ISNUMBER('SW OpInc'!P20),ISNUMBER('SW OpInc'!L20),ISNUMBER('SW Rev'!P20),ISNUMBER('SW Rev'!L20),ABS('SW Rev'!P20-'SW Rev'!L20)&gt;=1),('SW OpInc'!P20-'SW OpInc'!L20)/('SW Rev'!P20-'SW Rev'!L20),""),"")</f>
        <v/>
      </c>
      <c r="M837" s="38">
        <f>IFERROR(IF(AND(ISNUMBER('SW OpInc'!Q20),ISNUMBER('SW OpInc'!M20),ISNUMBER('SW Rev'!Q20),ISNUMBER('SW Rev'!M20),ABS('SW Rev'!Q20-'SW Rev'!M20)&gt;=1),('SW OpInc'!Q20-'SW OpInc'!M20)/('SW Rev'!Q20-'SW Rev'!M20),""),"")</f>
        <v/>
      </c>
      <c r="N837" s="38">
        <f>IFERROR(IF(AND(ISNUMBER('SW OpInc'!R20),ISNUMBER('SW OpInc'!N20),ISNUMBER('SW Rev'!R20),ISNUMBER('SW Rev'!N20),ABS('SW Rev'!R20-'SW Rev'!N20)&gt;=1),('SW OpInc'!R20-'SW OpInc'!N20)/('SW Rev'!R20-'SW Rev'!N20),""),"")</f>
        <v/>
      </c>
    </row>
    <row r="838">
      <c r="A838" s="19">
        <f>'SW Rev'!$A21</f>
        <v/>
      </c>
      <c r="B838" s="19">
        <f>'SW Rev'!$B21</f>
        <v/>
      </c>
      <c r="C838" s="37">
        <f>IFERROR(IF(AND(ISNUMBER('SW OpInc'!G21),ISNUMBER('SW OpInc'!C21),ISNUMBER('SW Rev'!G21),ISNUMBER('SW Rev'!C21),ABS('SW Rev'!G21-'SW Rev'!C21)&gt;=1),('SW OpInc'!G21-'SW OpInc'!C21)/('SW Rev'!G21-'SW Rev'!C21),""),"")</f>
        <v/>
      </c>
      <c r="D838" s="37">
        <f>IFERROR(IF(AND(ISNUMBER('SW OpInc'!H21),ISNUMBER('SW OpInc'!D21),ISNUMBER('SW Rev'!H21),ISNUMBER('SW Rev'!D21),ABS('SW Rev'!H21-'SW Rev'!D21)&gt;=1),('SW OpInc'!H21-'SW OpInc'!D21)/('SW Rev'!H21-'SW Rev'!D21),""),"")</f>
        <v/>
      </c>
      <c r="E838" s="37">
        <f>IFERROR(IF(AND(ISNUMBER('SW OpInc'!I21),ISNUMBER('SW OpInc'!E21),ISNUMBER('SW Rev'!I21),ISNUMBER('SW Rev'!E21),ABS('SW Rev'!I21-'SW Rev'!E21)&gt;=1),('SW OpInc'!I21-'SW OpInc'!E21)/('SW Rev'!I21-'SW Rev'!E21),""),"")</f>
        <v/>
      </c>
      <c r="F838" s="37">
        <f>IFERROR(IF(AND(ISNUMBER('SW OpInc'!J21),ISNUMBER('SW OpInc'!F21),ISNUMBER('SW Rev'!J21),ISNUMBER('SW Rev'!F21),ABS('SW Rev'!J21-'SW Rev'!F21)&gt;=1),('SW OpInc'!J21-'SW OpInc'!F21)/('SW Rev'!J21-'SW Rev'!F21),""),"")</f>
        <v/>
      </c>
      <c r="G838" s="37">
        <f>IFERROR(IF(AND(ISNUMBER('SW OpInc'!K21),ISNUMBER('SW OpInc'!G21),ISNUMBER('SW Rev'!K21),ISNUMBER('SW Rev'!G21),ABS('SW Rev'!K21-'SW Rev'!G21)&gt;=1),('SW OpInc'!K21-'SW OpInc'!G21)/('SW Rev'!K21-'SW Rev'!G21),""),"")</f>
        <v/>
      </c>
      <c r="H838" s="37">
        <f>IFERROR(IF(AND(ISNUMBER('SW OpInc'!L21),ISNUMBER('SW OpInc'!H21),ISNUMBER('SW Rev'!L21),ISNUMBER('SW Rev'!H21),ABS('SW Rev'!L21-'SW Rev'!H21)&gt;=1),('SW OpInc'!L21-'SW OpInc'!H21)/('SW Rev'!L21-'SW Rev'!H21),""),"")</f>
        <v/>
      </c>
      <c r="I838" s="37">
        <f>IFERROR(IF(AND(ISNUMBER('SW OpInc'!M21),ISNUMBER('SW OpInc'!I21),ISNUMBER('SW Rev'!M21),ISNUMBER('SW Rev'!I21),ABS('SW Rev'!M21-'SW Rev'!I21)&gt;=1),('SW OpInc'!M21-'SW OpInc'!I21)/('SW Rev'!M21-'SW Rev'!I21),""),"")</f>
        <v/>
      </c>
      <c r="J838" s="37">
        <f>IFERROR(IF(AND(ISNUMBER('SW OpInc'!N21),ISNUMBER('SW OpInc'!J21),ISNUMBER('SW Rev'!N21),ISNUMBER('SW Rev'!J21),ABS('SW Rev'!N21-'SW Rev'!J21)&gt;=1),('SW OpInc'!N21-'SW OpInc'!J21)/('SW Rev'!N21-'SW Rev'!J21),""),"")</f>
        <v/>
      </c>
      <c r="K838" s="37">
        <f>IFERROR(IF(AND(ISNUMBER('SW OpInc'!O21),ISNUMBER('SW OpInc'!K21),ISNUMBER('SW Rev'!O21),ISNUMBER('SW Rev'!K21),ABS('SW Rev'!O21-'SW Rev'!K21)&gt;=1),('SW OpInc'!O21-'SW OpInc'!K21)/('SW Rev'!O21-'SW Rev'!K21),""),"")</f>
        <v/>
      </c>
      <c r="L838" s="37">
        <f>IFERROR(IF(AND(ISNUMBER('SW OpInc'!P21),ISNUMBER('SW OpInc'!L21),ISNUMBER('SW Rev'!P21),ISNUMBER('SW Rev'!L21),ABS('SW Rev'!P21-'SW Rev'!L21)&gt;=1),('SW OpInc'!P21-'SW OpInc'!L21)/('SW Rev'!P21-'SW Rev'!L21),""),"")</f>
        <v/>
      </c>
      <c r="M838" s="38">
        <f>IFERROR(IF(AND(ISNUMBER('SW OpInc'!Q21),ISNUMBER('SW OpInc'!M21),ISNUMBER('SW Rev'!Q21),ISNUMBER('SW Rev'!M21),ABS('SW Rev'!Q21-'SW Rev'!M21)&gt;=1),('SW OpInc'!Q21-'SW OpInc'!M21)/('SW Rev'!Q21-'SW Rev'!M21),""),"")</f>
        <v/>
      </c>
      <c r="N838" s="38">
        <f>IFERROR(IF(AND(ISNUMBER('SW OpInc'!R21),ISNUMBER('SW OpInc'!N21),ISNUMBER('SW Rev'!R21),ISNUMBER('SW Rev'!N21),ABS('SW Rev'!R21-'SW Rev'!N21)&gt;=1),('SW OpInc'!R21-'SW OpInc'!N21)/('SW Rev'!R21-'SW Rev'!N21),""),"")</f>
        <v/>
      </c>
    </row>
    <row r="839">
      <c r="A839" s="19">
        <f>'SW Rev'!$A22</f>
        <v/>
      </c>
      <c r="B839" s="19">
        <f>'SW Rev'!$B22</f>
        <v/>
      </c>
      <c r="C839" s="37">
        <f>IFERROR(IF(AND(ISNUMBER('SW OpInc'!G22),ISNUMBER('SW OpInc'!C22),ISNUMBER('SW Rev'!G22),ISNUMBER('SW Rev'!C22),ABS('SW Rev'!G22-'SW Rev'!C22)&gt;=1),('SW OpInc'!G22-'SW OpInc'!C22)/('SW Rev'!G22-'SW Rev'!C22),""),"")</f>
        <v/>
      </c>
      <c r="D839" s="37">
        <f>IFERROR(IF(AND(ISNUMBER('SW OpInc'!H22),ISNUMBER('SW OpInc'!D22),ISNUMBER('SW Rev'!H22),ISNUMBER('SW Rev'!D22),ABS('SW Rev'!H22-'SW Rev'!D22)&gt;=1),('SW OpInc'!H22-'SW OpInc'!D22)/('SW Rev'!H22-'SW Rev'!D22),""),"")</f>
        <v/>
      </c>
      <c r="E839" s="37">
        <f>IFERROR(IF(AND(ISNUMBER('SW OpInc'!I22),ISNUMBER('SW OpInc'!E22),ISNUMBER('SW Rev'!I22),ISNUMBER('SW Rev'!E22),ABS('SW Rev'!I22-'SW Rev'!E22)&gt;=1),('SW OpInc'!I22-'SW OpInc'!E22)/('SW Rev'!I22-'SW Rev'!E22),""),"")</f>
        <v/>
      </c>
      <c r="F839" s="37">
        <f>IFERROR(IF(AND(ISNUMBER('SW OpInc'!J22),ISNUMBER('SW OpInc'!F22),ISNUMBER('SW Rev'!J22),ISNUMBER('SW Rev'!F22),ABS('SW Rev'!J22-'SW Rev'!F22)&gt;=1),('SW OpInc'!J22-'SW OpInc'!F22)/('SW Rev'!J22-'SW Rev'!F22),""),"")</f>
        <v/>
      </c>
      <c r="G839" s="37">
        <f>IFERROR(IF(AND(ISNUMBER('SW OpInc'!K22),ISNUMBER('SW OpInc'!G22),ISNUMBER('SW Rev'!K22),ISNUMBER('SW Rev'!G22),ABS('SW Rev'!K22-'SW Rev'!G22)&gt;=1),('SW OpInc'!K22-'SW OpInc'!G22)/('SW Rev'!K22-'SW Rev'!G22),""),"")</f>
        <v/>
      </c>
      <c r="H839" s="37">
        <f>IFERROR(IF(AND(ISNUMBER('SW OpInc'!L22),ISNUMBER('SW OpInc'!H22),ISNUMBER('SW Rev'!L22),ISNUMBER('SW Rev'!H22),ABS('SW Rev'!L22-'SW Rev'!H22)&gt;=1),('SW OpInc'!L22-'SW OpInc'!H22)/('SW Rev'!L22-'SW Rev'!H22),""),"")</f>
        <v/>
      </c>
      <c r="I839" s="37">
        <f>IFERROR(IF(AND(ISNUMBER('SW OpInc'!M22),ISNUMBER('SW OpInc'!I22),ISNUMBER('SW Rev'!M22),ISNUMBER('SW Rev'!I22),ABS('SW Rev'!M22-'SW Rev'!I22)&gt;=1),('SW OpInc'!M22-'SW OpInc'!I22)/('SW Rev'!M22-'SW Rev'!I22),""),"")</f>
        <v/>
      </c>
      <c r="J839" s="37">
        <f>IFERROR(IF(AND(ISNUMBER('SW OpInc'!N22),ISNUMBER('SW OpInc'!J22),ISNUMBER('SW Rev'!N22),ISNUMBER('SW Rev'!J22),ABS('SW Rev'!N22-'SW Rev'!J22)&gt;=1),('SW OpInc'!N22-'SW OpInc'!J22)/('SW Rev'!N22-'SW Rev'!J22),""),"")</f>
        <v/>
      </c>
      <c r="K839" s="37">
        <f>IFERROR(IF(AND(ISNUMBER('SW OpInc'!O22),ISNUMBER('SW OpInc'!K22),ISNUMBER('SW Rev'!O22),ISNUMBER('SW Rev'!K22),ABS('SW Rev'!O22-'SW Rev'!K22)&gt;=1),('SW OpInc'!O22-'SW OpInc'!K22)/('SW Rev'!O22-'SW Rev'!K22),""),"")</f>
        <v/>
      </c>
      <c r="L839" s="37">
        <f>IFERROR(IF(AND(ISNUMBER('SW OpInc'!P22),ISNUMBER('SW OpInc'!L22),ISNUMBER('SW Rev'!P22),ISNUMBER('SW Rev'!L22),ABS('SW Rev'!P22-'SW Rev'!L22)&gt;=1),('SW OpInc'!P22-'SW OpInc'!L22)/('SW Rev'!P22-'SW Rev'!L22),""),"")</f>
        <v/>
      </c>
      <c r="M839" s="38">
        <f>IFERROR(IF(AND(ISNUMBER('SW OpInc'!Q22),ISNUMBER('SW OpInc'!M22),ISNUMBER('SW Rev'!Q22),ISNUMBER('SW Rev'!M22),ABS('SW Rev'!Q22-'SW Rev'!M22)&gt;=1),('SW OpInc'!Q22-'SW OpInc'!M22)/('SW Rev'!Q22-'SW Rev'!M22),""),"")</f>
        <v/>
      </c>
      <c r="N839" s="38">
        <f>IFERROR(IF(AND(ISNUMBER('SW OpInc'!R22),ISNUMBER('SW OpInc'!N22),ISNUMBER('SW Rev'!R22),ISNUMBER('SW Rev'!N22),ABS('SW Rev'!R22-'SW Rev'!N22)&gt;=1),('SW OpInc'!R22-'SW OpInc'!N22)/('SW Rev'!R22-'SW Rev'!N22),""),"")</f>
        <v/>
      </c>
    </row>
    <row r="840">
      <c r="A840" s="19">
        <f>'SW Rev'!$A23</f>
        <v/>
      </c>
      <c r="B840" s="19">
        <f>'SW Rev'!$B23</f>
        <v/>
      </c>
      <c r="C840" s="37">
        <f>IFERROR(IF(AND(ISNUMBER('SW OpInc'!G23),ISNUMBER('SW OpInc'!C23),ISNUMBER('SW Rev'!G23),ISNUMBER('SW Rev'!C23),ABS('SW Rev'!G23-'SW Rev'!C23)&gt;=1),('SW OpInc'!G23-'SW OpInc'!C23)/('SW Rev'!G23-'SW Rev'!C23),""),"")</f>
        <v/>
      </c>
      <c r="D840" s="37">
        <f>IFERROR(IF(AND(ISNUMBER('SW OpInc'!H23),ISNUMBER('SW OpInc'!D23),ISNUMBER('SW Rev'!H23),ISNUMBER('SW Rev'!D23),ABS('SW Rev'!H23-'SW Rev'!D23)&gt;=1),('SW OpInc'!H23-'SW OpInc'!D23)/('SW Rev'!H23-'SW Rev'!D23),""),"")</f>
        <v/>
      </c>
      <c r="E840" s="37">
        <f>IFERROR(IF(AND(ISNUMBER('SW OpInc'!I23),ISNUMBER('SW OpInc'!E23),ISNUMBER('SW Rev'!I23),ISNUMBER('SW Rev'!E23),ABS('SW Rev'!I23-'SW Rev'!E23)&gt;=1),('SW OpInc'!I23-'SW OpInc'!E23)/('SW Rev'!I23-'SW Rev'!E23),""),"")</f>
        <v/>
      </c>
      <c r="F840" s="37">
        <f>IFERROR(IF(AND(ISNUMBER('SW OpInc'!J23),ISNUMBER('SW OpInc'!F23),ISNUMBER('SW Rev'!J23),ISNUMBER('SW Rev'!F23),ABS('SW Rev'!J23-'SW Rev'!F23)&gt;=1),('SW OpInc'!J23-'SW OpInc'!F23)/('SW Rev'!J23-'SW Rev'!F23),""),"")</f>
        <v/>
      </c>
      <c r="G840" s="37">
        <f>IFERROR(IF(AND(ISNUMBER('SW OpInc'!K23),ISNUMBER('SW OpInc'!G23),ISNUMBER('SW Rev'!K23),ISNUMBER('SW Rev'!G23),ABS('SW Rev'!K23-'SW Rev'!G23)&gt;=1),('SW OpInc'!K23-'SW OpInc'!G23)/('SW Rev'!K23-'SW Rev'!G23),""),"")</f>
        <v/>
      </c>
      <c r="H840" s="37">
        <f>IFERROR(IF(AND(ISNUMBER('SW OpInc'!L23),ISNUMBER('SW OpInc'!H23),ISNUMBER('SW Rev'!L23),ISNUMBER('SW Rev'!H23),ABS('SW Rev'!L23-'SW Rev'!H23)&gt;=1),('SW OpInc'!L23-'SW OpInc'!H23)/('SW Rev'!L23-'SW Rev'!H23),""),"")</f>
        <v/>
      </c>
      <c r="I840" s="37">
        <f>IFERROR(IF(AND(ISNUMBER('SW OpInc'!M23),ISNUMBER('SW OpInc'!I23),ISNUMBER('SW Rev'!M23),ISNUMBER('SW Rev'!I23),ABS('SW Rev'!M23-'SW Rev'!I23)&gt;=1),('SW OpInc'!M23-'SW OpInc'!I23)/('SW Rev'!M23-'SW Rev'!I23),""),"")</f>
        <v/>
      </c>
      <c r="J840" s="37">
        <f>IFERROR(IF(AND(ISNUMBER('SW OpInc'!N23),ISNUMBER('SW OpInc'!J23),ISNUMBER('SW Rev'!N23),ISNUMBER('SW Rev'!J23),ABS('SW Rev'!N23-'SW Rev'!J23)&gt;=1),('SW OpInc'!N23-'SW OpInc'!J23)/('SW Rev'!N23-'SW Rev'!J23),""),"")</f>
        <v/>
      </c>
      <c r="K840" s="37">
        <f>IFERROR(IF(AND(ISNUMBER('SW OpInc'!O23),ISNUMBER('SW OpInc'!K23),ISNUMBER('SW Rev'!O23),ISNUMBER('SW Rev'!K23),ABS('SW Rev'!O23-'SW Rev'!K23)&gt;=1),('SW OpInc'!O23-'SW OpInc'!K23)/('SW Rev'!O23-'SW Rev'!K23),""),"")</f>
        <v/>
      </c>
      <c r="L840" s="37">
        <f>IFERROR(IF(AND(ISNUMBER('SW OpInc'!P23),ISNUMBER('SW OpInc'!L23),ISNUMBER('SW Rev'!P23),ISNUMBER('SW Rev'!L23),ABS('SW Rev'!P23-'SW Rev'!L23)&gt;=1),('SW OpInc'!P23-'SW OpInc'!L23)/('SW Rev'!P23-'SW Rev'!L23),""),"")</f>
        <v/>
      </c>
      <c r="M840" s="38">
        <f>IFERROR(IF(AND(ISNUMBER('SW OpInc'!Q23),ISNUMBER('SW OpInc'!M23),ISNUMBER('SW Rev'!Q23),ISNUMBER('SW Rev'!M23),ABS('SW Rev'!Q23-'SW Rev'!M23)&gt;=1),('SW OpInc'!Q23-'SW OpInc'!M23)/('SW Rev'!Q23-'SW Rev'!M23),""),"")</f>
        <v/>
      </c>
      <c r="N840" s="38">
        <f>IFERROR(IF(AND(ISNUMBER('SW OpInc'!R23),ISNUMBER('SW OpInc'!N23),ISNUMBER('SW Rev'!R23),ISNUMBER('SW Rev'!N23),ABS('SW Rev'!R23-'SW Rev'!N23)&gt;=1),('SW OpInc'!R23-'SW OpInc'!N23)/('SW Rev'!R23-'SW Rev'!N23),""),"")</f>
        <v/>
      </c>
    </row>
    <row r="841">
      <c r="A841" s="19">
        <f>'SW Rev'!$A24</f>
        <v/>
      </c>
      <c r="B841" s="19">
        <f>'SW Rev'!$B24</f>
        <v/>
      </c>
      <c r="C841" s="37">
        <f>IFERROR(IF(AND(ISNUMBER('SW OpInc'!G24),ISNUMBER('SW OpInc'!C24),ISNUMBER('SW Rev'!G24),ISNUMBER('SW Rev'!C24),ABS('SW Rev'!G24-'SW Rev'!C24)&gt;=1),('SW OpInc'!G24-'SW OpInc'!C24)/('SW Rev'!G24-'SW Rev'!C24),""),"")</f>
        <v/>
      </c>
      <c r="D841" s="37">
        <f>IFERROR(IF(AND(ISNUMBER('SW OpInc'!H24),ISNUMBER('SW OpInc'!D24),ISNUMBER('SW Rev'!H24),ISNUMBER('SW Rev'!D24),ABS('SW Rev'!H24-'SW Rev'!D24)&gt;=1),('SW OpInc'!H24-'SW OpInc'!D24)/('SW Rev'!H24-'SW Rev'!D24),""),"")</f>
        <v/>
      </c>
      <c r="E841" s="37">
        <f>IFERROR(IF(AND(ISNUMBER('SW OpInc'!I24),ISNUMBER('SW OpInc'!E24),ISNUMBER('SW Rev'!I24),ISNUMBER('SW Rev'!E24),ABS('SW Rev'!I24-'SW Rev'!E24)&gt;=1),('SW OpInc'!I24-'SW OpInc'!E24)/('SW Rev'!I24-'SW Rev'!E24),""),"")</f>
        <v/>
      </c>
      <c r="F841" s="37">
        <f>IFERROR(IF(AND(ISNUMBER('SW OpInc'!J24),ISNUMBER('SW OpInc'!F24),ISNUMBER('SW Rev'!J24),ISNUMBER('SW Rev'!F24),ABS('SW Rev'!J24-'SW Rev'!F24)&gt;=1),('SW OpInc'!J24-'SW OpInc'!F24)/('SW Rev'!J24-'SW Rev'!F24),""),"")</f>
        <v/>
      </c>
      <c r="G841" s="37">
        <f>IFERROR(IF(AND(ISNUMBER('SW OpInc'!K24),ISNUMBER('SW OpInc'!G24),ISNUMBER('SW Rev'!K24),ISNUMBER('SW Rev'!G24),ABS('SW Rev'!K24-'SW Rev'!G24)&gt;=1),('SW OpInc'!K24-'SW OpInc'!G24)/('SW Rev'!K24-'SW Rev'!G24),""),"")</f>
        <v/>
      </c>
      <c r="H841" s="37">
        <f>IFERROR(IF(AND(ISNUMBER('SW OpInc'!L24),ISNUMBER('SW OpInc'!H24),ISNUMBER('SW Rev'!L24),ISNUMBER('SW Rev'!H24),ABS('SW Rev'!L24-'SW Rev'!H24)&gt;=1),('SW OpInc'!L24-'SW OpInc'!H24)/('SW Rev'!L24-'SW Rev'!H24),""),"")</f>
        <v/>
      </c>
      <c r="I841" s="37">
        <f>IFERROR(IF(AND(ISNUMBER('SW OpInc'!M24),ISNUMBER('SW OpInc'!I24),ISNUMBER('SW Rev'!M24),ISNUMBER('SW Rev'!I24),ABS('SW Rev'!M24-'SW Rev'!I24)&gt;=1),('SW OpInc'!M24-'SW OpInc'!I24)/('SW Rev'!M24-'SW Rev'!I24),""),"")</f>
        <v/>
      </c>
      <c r="J841" s="37">
        <f>IFERROR(IF(AND(ISNUMBER('SW OpInc'!N24),ISNUMBER('SW OpInc'!J24),ISNUMBER('SW Rev'!N24),ISNUMBER('SW Rev'!J24),ABS('SW Rev'!N24-'SW Rev'!J24)&gt;=1),('SW OpInc'!N24-'SW OpInc'!J24)/('SW Rev'!N24-'SW Rev'!J24),""),"")</f>
        <v/>
      </c>
      <c r="K841" s="37">
        <f>IFERROR(IF(AND(ISNUMBER('SW OpInc'!O24),ISNUMBER('SW OpInc'!K24),ISNUMBER('SW Rev'!O24),ISNUMBER('SW Rev'!K24),ABS('SW Rev'!O24-'SW Rev'!K24)&gt;=1),('SW OpInc'!O24-'SW OpInc'!K24)/('SW Rev'!O24-'SW Rev'!K24),""),"")</f>
        <v/>
      </c>
      <c r="L841" s="37">
        <f>IFERROR(IF(AND(ISNUMBER('SW OpInc'!P24),ISNUMBER('SW OpInc'!L24),ISNUMBER('SW Rev'!P24),ISNUMBER('SW Rev'!L24),ABS('SW Rev'!P24-'SW Rev'!L24)&gt;=1),('SW OpInc'!P24-'SW OpInc'!L24)/('SW Rev'!P24-'SW Rev'!L24),""),"")</f>
        <v/>
      </c>
      <c r="M841" s="38">
        <f>IFERROR(IF(AND(ISNUMBER('SW OpInc'!Q24),ISNUMBER('SW OpInc'!M24),ISNUMBER('SW Rev'!Q24),ISNUMBER('SW Rev'!M24),ABS('SW Rev'!Q24-'SW Rev'!M24)&gt;=1),('SW OpInc'!Q24-'SW OpInc'!M24)/('SW Rev'!Q24-'SW Rev'!M24),""),"")</f>
        <v/>
      </c>
      <c r="N841" s="38">
        <f>IFERROR(IF(AND(ISNUMBER('SW OpInc'!R24),ISNUMBER('SW OpInc'!N24),ISNUMBER('SW Rev'!R24),ISNUMBER('SW Rev'!N24),ABS('SW Rev'!R24-'SW Rev'!N24)&gt;=1),('SW OpInc'!R24-'SW OpInc'!N24)/('SW Rev'!R24-'SW Rev'!N24),""),"")</f>
        <v/>
      </c>
    </row>
    <row r="842">
      <c r="A842" s="19">
        <f>'SW Rev'!$A25</f>
        <v/>
      </c>
      <c r="B842" s="19">
        <f>'SW Rev'!$B25</f>
        <v/>
      </c>
      <c r="C842" s="37">
        <f>IFERROR(IF(AND(ISNUMBER('SW OpInc'!G25),ISNUMBER('SW OpInc'!C25),ISNUMBER('SW Rev'!G25),ISNUMBER('SW Rev'!C25),ABS('SW Rev'!G25-'SW Rev'!C25)&gt;=1),('SW OpInc'!G25-'SW OpInc'!C25)/('SW Rev'!G25-'SW Rev'!C25),""),"")</f>
        <v/>
      </c>
      <c r="D842" s="37">
        <f>IFERROR(IF(AND(ISNUMBER('SW OpInc'!H25),ISNUMBER('SW OpInc'!D25),ISNUMBER('SW Rev'!H25),ISNUMBER('SW Rev'!D25),ABS('SW Rev'!H25-'SW Rev'!D25)&gt;=1),('SW OpInc'!H25-'SW OpInc'!D25)/('SW Rev'!H25-'SW Rev'!D25),""),"")</f>
        <v/>
      </c>
      <c r="E842" s="37">
        <f>IFERROR(IF(AND(ISNUMBER('SW OpInc'!I25),ISNUMBER('SW OpInc'!E25),ISNUMBER('SW Rev'!I25),ISNUMBER('SW Rev'!E25),ABS('SW Rev'!I25-'SW Rev'!E25)&gt;=1),('SW OpInc'!I25-'SW OpInc'!E25)/('SW Rev'!I25-'SW Rev'!E25),""),"")</f>
        <v/>
      </c>
      <c r="F842" s="37">
        <f>IFERROR(IF(AND(ISNUMBER('SW OpInc'!J25),ISNUMBER('SW OpInc'!F25),ISNUMBER('SW Rev'!J25),ISNUMBER('SW Rev'!F25),ABS('SW Rev'!J25-'SW Rev'!F25)&gt;=1),('SW OpInc'!J25-'SW OpInc'!F25)/('SW Rev'!J25-'SW Rev'!F25),""),"")</f>
        <v/>
      </c>
      <c r="G842" s="37">
        <f>IFERROR(IF(AND(ISNUMBER('SW OpInc'!K25),ISNUMBER('SW OpInc'!G25),ISNUMBER('SW Rev'!K25),ISNUMBER('SW Rev'!G25),ABS('SW Rev'!K25-'SW Rev'!G25)&gt;=1),('SW OpInc'!K25-'SW OpInc'!G25)/('SW Rev'!K25-'SW Rev'!G25),""),"")</f>
        <v/>
      </c>
      <c r="H842" s="37">
        <f>IFERROR(IF(AND(ISNUMBER('SW OpInc'!L25),ISNUMBER('SW OpInc'!H25),ISNUMBER('SW Rev'!L25),ISNUMBER('SW Rev'!H25),ABS('SW Rev'!L25-'SW Rev'!H25)&gt;=1),('SW OpInc'!L25-'SW OpInc'!H25)/('SW Rev'!L25-'SW Rev'!H25),""),"")</f>
        <v/>
      </c>
      <c r="I842" s="37">
        <f>IFERROR(IF(AND(ISNUMBER('SW OpInc'!M25),ISNUMBER('SW OpInc'!I25),ISNUMBER('SW Rev'!M25),ISNUMBER('SW Rev'!I25),ABS('SW Rev'!M25-'SW Rev'!I25)&gt;=1),('SW OpInc'!M25-'SW OpInc'!I25)/('SW Rev'!M25-'SW Rev'!I25),""),"")</f>
        <v/>
      </c>
      <c r="J842" s="37">
        <f>IFERROR(IF(AND(ISNUMBER('SW OpInc'!N25),ISNUMBER('SW OpInc'!J25),ISNUMBER('SW Rev'!N25),ISNUMBER('SW Rev'!J25),ABS('SW Rev'!N25-'SW Rev'!J25)&gt;=1),('SW OpInc'!N25-'SW OpInc'!J25)/('SW Rev'!N25-'SW Rev'!J25),""),"")</f>
        <v/>
      </c>
      <c r="K842" s="37">
        <f>IFERROR(IF(AND(ISNUMBER('SW OpInc'!O25),ISNUMBER('SW OpInc'!K25),ISNUMBER('SW Rev'!O25),ISNUMBER('SW Rev'!K25),ABS('SW Rev'!O25-'SW Rev'!K25)&gt;=1),('SW OpInc'!O25-'SW OpInc'!K25)/('SW Rev'!O25-'SW Rev'!K25),""),"")</f>
        <v/>
      </c>
      <c r="L842" s="37">
        <f>IFERROR(IF(AND(ISNUMBER('SW OpInc'!P25),ISNUMBER('SW OpInc'!L25),ISNUMBER('SW Rev'!P25),ISNUMBER('SW Rev'!L25),ABS('SW Rev'!P25-'SW Rev'!L25)&gt;=1),('SW OpInc'!P25-'SW OpInc'!L25)/('SW Rev'!P25-'SW Rev'!L25),""),"")</f>
        <v/>
      </c>
      <c r="M842" s="38">
        <f>IFERROR(IF(AND(ISNUMBER('SW OpInc'!Q25),ISNUMBER('SW OpInc'!M25),ISNUMBER('SW Rev'!Q25),ISNUMBER('SW Rev'!M25),ABS('SW Rev'!Q25-'SW Rev'!M25)&gt;=1),('SW OpInc'!Q25-'SW OpInc'!M25)/('SW Rev'!Q25-'SW Rev'!M25),""),"")</f>
        <v/>
      </c>
      <c r="N842" s="38">
        <f>IFERROR(IF(AND(ISNUMBER('SW OpInc'!R25),ISNUMBER('SW OpInc'!N25),ISNUMBER('SW Rev'!R25),ISNUMBER('SW Rev'!N25),ABS('SW Rev'!R25-'SW Rev'!N25)&gt;=1),('SW OpInc'!R25-'SW OpInc'!N25)/('SW Rev'!R25-'SW Rev'!N25),""),"")</f>
        <v/>
      </c>
    </row>
    <row r="843">
      <c r="A843" s="19">
        <f>'SW Rev'!$A26</f>
        <v/>
      </c>
      <c r="B843" s="19">
        <f>'SW Rev'!$B26</f>
        <v/>
      </c>
      <c r="C843" s="37">
        <f>IFERROR(IF(AND(ISNUMBER('SW OpInc'!G26),ISNUMBER('SW OpInc'!C26),ISNUMBER('SW Rev'!G26),ISNUMBER('SW Rev'!C26),ABS('SW Rev'!G26-'SW Rev'!C26)&gt;=1),('SW OpInc'!G26-'SW OpInc'!C26)/('SW Rev'!G26-'SW Rev'!C26),""),"")</f>
        <v/>
      </c>
      <c r="D843" s="37">
        <f>IFERROR(IF(AND(ISNUMBER('SW OpInc'!H26),ISNUMBER('SW OpInc'!D26),ISNUMBER('SW Rev'!H26),ISNUMBER('SW Rev'!D26),ABS('SW Rev'!H26-'SW Rev'!D26)&gt;=1),('SW OpInc'!H26-'SW OpInc'!D26)/('SW Rev'!H26-'SW Rev'!D26),""),"")</f>
        <v/>
      </c>
      <c r="E843" s="37">
        <f>IFERROR(IF(AND(ISNUMBER('SW OpInc'!I26),ISNUMBER('SW OpInc'!E26),ISNUMBER('SW Rev'!I26),ISNUMBER('SW Rev'!E26),ABS('SW Rev'!I26-'SW Rev'!E26)&gt;=1),('SW OpInc'!I26-'SW OpInc'!E26)/('SW Rev'!I26-'SW Rev'!E26),""),"")</f>
        <v/>
      </c>
      <c r="F843" s="37">
        <f>IFERROR(IF(AND(ISNUMBER('SW OpInc'!J26),ISNUMBER('SW OpInc'!F26),ISNUMBER('SW Rev'!J26),ISNUMBER('SW Rev'!F26),ABS('SW Rev'!J26-'SW Rev'!F26)&gt;=1),('SW OpInc'!J26-'SW OpInc'!F26)/('SW Rev'!J26-'SW Rev'!F26),""),"")</f>
        <v/>
      </c>
      <c r="G843" s="37">
        <f>IFERROR(IF(AND(ISNUMBER('SW OpInc'!K26),ISNUMBER('SW OpInc'!G26),ISNUMBER('SW Rev'!K26),ISNUMBER('SW Rev'!G26),ABS('SW Rev'!K26-'SW Rev'!G26)&gt;=1),('SW OpInc'!K26-'SW OpInc'!G26)/('SW Rev'!K26-'SW Rev'!G26),""),"")</f>
        <v/>
      </c>
      <c r="H843" s="37">
        <f>IFERROR(IF(AND(ISNUMBER('SW OpInc'!L26),ISNUMBER('SW OpInc'!H26),ISNUMBER('SW Rev'!L26),ISNUMBER('SW Rev'!H26),ABS('SW Rev'!L26-'SW Rev'!H26)&gt;=1),('SW OpInc'!L26-'SW OpInc'!H26)/('SW Rev'!L26-'SW Rev'!H26),""),"")</f>
        <v/>
      </c>
      <c r="I843" s="37">
        <f>IFERROR(IF(AND(ISNUMBER('SW OpInc'!M26),ISNUMBER('SW OpInc'!I26),ISNUMBER('SW Rev'!M26),ISNUMBER('SW Rev'!I26),ABS('SW Rev'!M26-'SW Rev'!I26)&gt;=1),('SW OpInc'!M26-'SW OpInc'!I26)/('SW Rev'!M26-'SW Rev'!I26),""),"")</f>
        <v/>
      </c>
      <c r="J843" s="37">
        <f>IFERROR(IF(AND(ISNUMBER('SW OpInc'!N26),ISNUMBER('SW OpInc'!J26),ISNUMBER('SW Rev'!N26),ISNUMBER('SW Rev'!J26),ABS('SW Rev'!N26-'SW Rev'!J26)&gt;=1),('SW OpInc'!N26-'SW OpInc'!J26)/('SW Rev'!N26-'SW Rev'!J26),""),"")</f>
        <v/>
      </c>
      <c r="K843" s="37">
        <f>IFERROR(IF(AND(ISNUMBER('SW OpInc'!O26),ISNUMBER('SW OpInc'!K26),ISNUMBER('SW Rev'!O26),ISNUMBER('SW Rev'!K26),ABS('SW Rev'!O26-'SW Rev'!K26)&gt;=1),('SW OpInc'!O26-'SW OpInc'!K26)/('SW Rev'!O26-'SW Rev'!K26),""),"")</f>
        <v/>
      </c>
      <c r="L843" s="37">
        <f>IFERROR(IF(AND(ISNUMBER('SW OpInc'!P26),ISNUMBER('SW OpInc'!L26),ISNUMBER('SW Rev'!P26),ISNUMBER('SW Rev'!L26),ABS('SW Rev'!P26-'SW Rev'!L26)&gt;=1),('SW OpInc'!P26-'SW OpInc'!L26)/('SW Rev'!P26-'SW Rev'!L26),""),"")</f>
        <v/>
      </c>
      <c r="M843" s="38">
        <f>IFERROR(IF(AND(ISNUMBER('SW OpInc'!Q26),ISNUMBER('SW OpInc'!M26),ISNUMBER('SW Rev'!Q26),ISNUMBER('SW Rev'!M26),ABS('SW Rev'!Q26-'SW Rev'!M26)&gt;=1),('SW OpInc'!Q26-'SW OpInc'!M26)/('SW Rev'!Q26-'SW Rev'!M26),""),"")</f>
        <v/>
      </c>
      <c r="N843" s="38">
        <f>IFERROR(IF(AND(ISNUMBER('SW OpInc'!R26),ISNUMBER('SW OpInc'!N26),ISNUMBER('SW Rev'!R26),ISNUMBER('SW Rev'!N26),ABS('SW Rev'!R26-'SW Rev'!N26)&gt;=1),('SW OpInc'!R26-'SW OpInc'!N26)/('SW Rev'!R26-'SW Rev'!N26),""),"")</f>
        <v/>
      </c>
    </row>
    <row r="844">
      <c r="A844" s="19">
        <f>'SW Rev'!$A27</f>
        <v/>
      </c>
      <c r="B844" s="19">
        <f>'SW Rev'!$B27</f>
        <v/>
      </c>
      <c r="C844" s="37">
        <f>IFERROR(IF(AND(ISNUMBER('SW OpInc'!G27),ISNUMBER('SW OpInc'!C27),ISNUMBER('SW Rev'!G27),ISNUMBER('SW Rev'!C27),ABS('SW Rev'!G27-'SW Rev'!C27)&gt;=1),('SW OpInc'!G27-'SW OpInc'!C27)/('SW Rev'!G27-'SW Rev'!C27),""),"")</f>
        <v/>
      </c>
      <c r="D844" s="37">
        <f>IFERROR(IF(AND(ISNUMBER('SW OpInc'!H27),ISNUMBER('SW OpInc'!D27),ISNUMBER('SW Rev'!H27),ISNUMBER('SW Rev'!D27),ABS('SW Rev'!H27-'SW Rev'!D27)&gt;=1),('SW OpInc'!H27-'SW OpInc'!D27)/('SW Rev'!H27-'SW Rev'!D27),""),"")</f>
        <v/>
      </c>
      <c r="E844" s="37">
        <f>IFERROR(IF(AND(ISNUMBER('SW OpInc'!I27),ISNUMBER('SW OpInc'!E27),ISNUMBER('SW Rev'!I27),ISNUMBER('SW Rev'!E27),ABS('SW Rev'!I27-'SW Rev'!E27)&gt;=1),('SW OpInc'!I27-'SW OpInc'!E27)/('SW Rev'!I27-'SW Rev'!E27),""),"")</f>
        <v/>
      </c>
      <c r="F844" s="37">
        <f>IFERROR(IF(AND(ISNUMBER('SW OpInc'!J27),ISNUMBER('SW OpInc'!F27),ISNUMBER('SW Rev'!J27),ISNUMBER('SW Rev'!F27),ABS('SW Rev'!J27-'SW Rev'!F27)&gt;=1),('SW OpInc'!J27-'SW OpInc'!F27)/('SW Rev'!J27-'SW Rev'!F27),""),"")</f>
        <v/>
      </c>
      <c r="G844" s="37">
        <f>IFERROR(IF(AND(ISNUMBER('SW OpInc'!K27),ISNUMBER('SW OpInc'!G27),ISNUMBER('SW Rev'!K27),ISNUMBER('SW Rev'!G27),ABS('SW Rev'!K27-'SW Rev'!G27)&gt;=1),('SW OpInc'!K27-'SW OpInc'!G27)/('SW Rev'!K27-'SW Rev'!G27),""),"")</f>
        <v/>
      </c>
      <c r="H844" s="37">
        <f>IFERROR(IF(AND(ISNUMBER('SW OpInc'!L27),ISNUMBER('SW OpInc'!H27),ISNUMBER('SW Rev'!L27),ISNUMBER('SW Rev'!H27),ABS('SW Rev'!L27-'SW Rev'!H27)&gt;=1),('SW OpInc'!L27-'SW OpInc'!H27)/('SW Rev'!L27-'SW Rev'!H27),""),"")</f>
        <v/>
      </c>
      <c r="I844" s="37">
        <f>IFERROR(IF(AND(ISNUMBER('SW OpInc'!M27),ISNUMBER('SW OpInc'!I27),ISNUMBER('SW Rev'!M27),ISNUMBER('SW Rev'!I27),ABS('SW Rev'!M27-'SW Rev'!I27)&gt;=1),('SW OpInc'!M27-'SW OpInc'!I27)/('SW Rev'!M27-'SW Rev'!I27),""),"")</f>
        <v/>
      </c>
      <c r="J844" s="37">
        <f>IFERROR(IF(AND(ISNUMBER('SW OpInc'!N27),ISNUMBER('SW OpInc'!J27),ISNUMBER('SW Rev'!N27),ISNUMBER('SW Rev'!J27),ABS('SW Rev'!N27-'SW Rev'!J27)&gt;=1),('SW OpInc'!N27-'SW OpInc'!J27)/('SW Rev'!N27-'SW Rev'!J27),""),"")</f>
        <v/>
      </c>
      <c r="K844" s="37">
        <f>IFERROR(IF(AND(ISNUMBER('SW OpInc'!O27),ISNUMBER('SW OpInc'!K27),ISNUMBER('SW Rev'!O27),ISNUMBER('SW Rev'!K27),ABS('SW Rev'!O27-'SW Rev'!K27)&gt;=1),('SW OpInc'!O27-'SW OpInc'!K27)/('SW Rev'!O27-'SW Rev'!K27),""),"")</f>
        <v/>
      </c>
      <c r="L844" s="37">
        <f>IFERROR(IF(AND(ISNUMBER('SW OpInc'!P27),ISNUMBER('SW OpInc'!L27),ISNUMBER('SW Rev'!P27),ISNUMBER('SW Rev'!L27),ABS('SW Rev'!P27-'SW Rev'!L27)&gt;=1),('SW OpInc'!P27-'SW OpInc'!L27)/('SW Rev'!P27-'SW Rev'!L27),""),"")</f>
        <v/>
      </c>
      <c r="M844" s="38">
        <f>IFERROR(IF(AND(ISNUMBER('SW OpInc'!Q27),ISNUMBER('SW OpInc'!M27),ISNUMBER('SW Rev'!Q27),ISNUMBER('SW Rev'!M27),ABS('SW Rev'!Q27-'SW Rev'!M27)&gt;=1),('SW OpInc'!Q27-'SW OpInc'!M27)/('SW Rev'!Q27-'SW Rev'!M27),""),"")</f>
        <v/>
      </c>
      <c r="N844" s="38">
        <f>IFERROR(IF(AND(ISNUMBER('SW OpInc'!R27),ISNUMBER('SW OpInc'!N27),ISNUMBER('SW Rev'!R27),ISNUMBER('SW Rev'!N27),ABS('SW Rev'!R27-'SW Rev'!N27)&gt;=1),('SW OpInc'!R27-'SW OpInc'!N27)/('SW Rev'!R27-'SW Rev'!N27),""),"")</f>
        <v/>
      </c>
    </row>
    <row r="845">
      <c r="A845" s="19">
        <f>'SW Rev'!$A28</f>
        <v/>
      </c>
      <c r="B845" s="19">
        <f>'SW Rev'!$B28</f>
        <v/>
      </c>
      <c r="C845" s="37">
        <f>IFERROR(IF(AND(ISNUMBER('SW OpInc'!G28),ISNUMBER('SW OpInc'!C28),ISNUMBER('SW Rev'!G28),ISNUMBER('SW Rev'!C28),ABS('SW Rev'!G28-'SW Rev'!C28)&gt;=1),('SW OpInc'!G28-'SW OpInc'!C28)/('SW Rev'!G28-'SW Rev'!C28),""),"")</f>
        <v/>
      </c>
      <c r="D845" s="37">
        <f>IFERROR(IF(AND(ISNUMBER('SW OpInc'!H28),ISNUMBER('SW OpInc'!D28),ISNUMBER('SW Rev'!H28),ISNUMBER('SW Rev'!D28),ABS('SW Rev'!H28-'SW Rev'!D28)&gt;=1),('SW OpInc'!H28-'SW OpInc'!D28)/('SW Rev'!H28-'SW Rev'!D28),""),"")</f>
        <v/>
      </c>
      <c r="E845" s="37">
        <f>IFERROR(IF(AND(ISNUMBER('SW OpInc'!I28),ISNUMBER('SW OpInc'!E28),ISNUMBER('SW Rev'!I28),ISNUMBER('SW Rev'!E28),ABS('SW Rev'!I28-'SW Rev'!E28)&gt;=1),('SW OpInc'!I28-'SW OpInc'!E28)/('SW Rev'!I28-'SW Rev'!E28),""),"")</f>
        <v/>
      </c>
      <c r="F845" s="37">
        <f>IFERROR(IF(AND(ISNUMBER('SW OpInc'!J28),ISNUMBER('SW OpInc'!F28),ISNUMBER('SW Rev'!J28),ISNUMBER('SW Rev'!F28),ABS('SW Rev'!J28-'SW Rev'!F28)&gt;=1),('SW OpInc'!J28-'SW OpInc'!F28)/('SW Rev'!J28-'SW Rev'!F28),""),"")</f>
        <v/>
      </c>
      <c r="G845" s="37">
        <f>IFERROR(IF(AND(ISNUMBER('SW OpInc'!K28),ISNUMBER('SW OpInc'!G28),ISNUMBER('SW Rev'!K28),ISNUMBER('SW Rev'!G28),ABS('SW Rev'!K28-'SW Rev'!G28)&gt;=1),('SW OpInc'!K28-'SW OpInc'!G28)/('SW Rev'!K28-'SW Rev'!G28),""),"")</f>
        <v/>
      </c>
      <c r="H845" s="37">
        <f>IFERROR(IF(AND(ISNUMBER('SW OpInc'!L28),ISNUMBER('SW OpInc'!H28),ISNUMBER('SW Rev'!L28),ISNUMBER('SW Rev'!H28),ABS('SW Rev'!L28-'SW Rev'!H28)&gt;=1),('SW OpInc'!L28-'SW OpInc'!H28)/('SW Rev'!L28-'SW Rev'!H28),""),"")</f>
        <v/>
      </c>
      <c r="I845" s="37">
        <f>IFERROR(IF(AND(ISNUMBER('SW OpInc'!M28),ISNUMBER('SW OpInc'!I28),ISNUMBER('SW Rev'!M28),ISNUMBER('SW Rev'!I28),ABS('SW Rev'!M28-'SW Rev'!I28)&gt;=1),('SW OpInc'!M28-'SW OpInc'!I28)/('SW Rev'!M28-'SW Rev'!I28),""),"")</f>
        <v/>
      </c>
      <c r="J845" s="37">
        <f>IFERROR(IF(AND(ISNUMBER('SW OpInc'!N28),ISNUMBER('SW OpInc'!J28),ISNUMBER('SW Rev'!N28),ISNUMBER('SW Rev'!J28),ABS('SW Rev'!N28-'SW Rev'!J28)&gt;=1),('SW OpInc'!N28-'SW OpInc'!J28)/('SW Rev'!N28-'SW Rev'!J28),""),"")</f>
        <v/>
      </c>
      <c r="K845" s="37">
        <f>IFERROR(IF(AND(ISNUMBER('SW OpInc'!O28),ISNUMBER('SW OpInc'!K28),ISNUMBER('SW Rev'!O28),ISNUMBER('SW Rev'!K28),ABS('SW Rev'!O28-'SW Rev'!K28)&gt;=1),('SW OpInc'!O28-'SW OpInc'!K28)/('SW Rev'!O28-'SW Rev'!K28),""),"")</f>
        <v/>
      </c>
      <c r="L845" s="37">
        <f>IFERROR(IF(AND(ISNUMBER('SW OpInc'!P28),ISNUMBER('SW OpInc'!L28),ISNUMBER('SW Rev'!P28),ISNUMBER('SW Rev'!L28),ABS('SW Rev'!P28-'SW Rev'!L28)&gt;=1),('SW OpInc'!P28-'SW OpInc'!L28)/('SW Rev'!P28-'SW Rev'!L28),""),"")</f>
        <v/>
      </c>
      <c r="M845" s="38">
        <f>IFERROR(IF(AND(ISNUMBER('SW OpInc'!Q28),ISNUMBER('SW OpInc'!M28),ISNUMBER('SW Rev'!Q28),ISNUMBER('SW Rev'!M28),ABS('SW Rev'!Q28-'SW Rev'!M28)&gt;=1),('SW OpInc'!Q28-'SW OpInc'!M28)/('SW Rev'!Q28-'SW Rev'!M28),""),"")</f>
        <v/>
      </c>
      <c r="N845" s="38">
        <f>IFERROR(IF(AND(ISNUMBER('SW OpInc'!R28),ISNUMBER('SW OpInc'!N28),ISNUMBER('SW Rev'!R28),ISNUMBER('SW Rev'!N28),ABS('SW Rev'!R28-'SW Rev'!N28)&gt;=1),('SW OpInc'!R28-'SW OpInc'!N28)/('SW Rev'!R28-'SW Rev'!N28),""),"")</f>
        <v/>
      </c>
    </row>
    <row r="846">
      <c r="A846" s="19">
        <f>'SW Rev'!$A29</f>
        <v/>
      </c>
      <c r="B846" s="19">
        <f>'SW Rev'!$B29</f>
        <v/>
      </c>
      <c r="C846" s="37">
        <f>IFERROR(IF(AND(ISNUMBER('SW OpInc'!G29),ISNUMBER('SW OpInc'!C29),ISNUMBER('SW Rev'!G29),ISNUMBER('SW Rev'!C29),ABS('SW Rev'!G29-'SW Rev'!C29)&gt;=1),('SW OpInc'!G29-'SW OpInc'!C29)/('SW Rev'!G29-'SW Rev'!C29),""),"")</f>
        <v/>
      </c>
      <c r="D846" s="37">
        <f>IFERROR(IF(AND(ISNUMBER('SW OpInc'!H29),ISNUMBER('SW OpInc'!D29),ISNUMBER('SW Rev'!H29),ISNUMBER('SW Rev'!D29),ABS('SW Rev'!H29-'SW Rev'!D29)&gt;=1),('SW OpInc'!H29-'SW OpInc'!D29)/('SW Rev'!H29-'SW Rev'!D29),""),"")</f>
        <v/>
      </c>
      <c r="E846" s="37">
        <f>IFERROR(IF(AND(ISNUMBER('SW OpInc'!I29),ISNUMBER('SW OpInc'!E29),ISNUMBER('SW Rev'!I29),ISNUMBER('SW Rev'!E29),ABS('SW Rev'!I29-'SW Rev'!E29)&gt;=1),('SW OpInc'!I29-'SW OpInc'!E29)/('SW Rev'!I29-'SW Rev'!E29),""),"")</f>
        <v/>
      </c>
      <c r="F846" s="37">
        <f>IFERROR(IF(AND(ISNUMBER('SW OpInc'!J29),ISNUMBER('SW OpInc'!F29),ISNUMBER('SW Rev'!J29),ISNUMBER('SW Rev'!F29),ABS('SW Rev'!J29-'SW Rev'!F29)&gt;=1),('SW OpInc'!J29-'SW OpInc'!F29)/('SW Rev'!J29-'SW Rev'!F29),""),"")</f>
        <v/>
      </c>
      <c r="G846" s="37">
        <f>IFERROR(IF(AND(ISNUMBER('SW OpInc'!K29),ISNUMBER('SW OpInc'!G29),ISNUMBER('SW Rev'!K29),ISNUMBER('SW Rev'!G29),ABS('SW Rev'!K29-'SW Rev'!G29)&gt;=1),('SW OpInc'!K29-'SW OpInc'!G29)/('SW Rev'!K29-'SW Rev'!G29),""),"")</f>
        <v/>
      </c>
      <c r="H846" s="37">
        <f>IFERROR(IF(AND(ISNUMBER('SW OpInc'!L29),ISNUMBER('SW OpInc'!H29),ISNUMBER('SW Rev'!L29),ISNUMBER('SW Rev'!H29),ABS('SW Rev'!L29-'SW Rev'!H29)&gt;=1),('SW OpInc'!L29-'SW OpInc'!H29)/('SW Rev'!L29-'SW Rev'!H29),""),"")</f>
        <v/>
      </c>
      <c r="I846" s="37">
        <f>IFERROR(IF(AND(ISNUMBER('SW OpInc'!M29),ISNUMBER('SW OpInc'!I29),ISNUMBER('SW Rev'!M29),ISNUMBER('SW Rev'!I29),ABS('SW Rev'!M29-'SW Rev'!I29)&gt;=1),('SW OpInc'!M29-'SW OpInc'!I29)/('SW Rev'!M29-'SW Rev'!I29),""),"")</f>
        <v/>
      </c>
      <c r="J846" s="37">
        <f>IFERROR(IF(AND(ISNUMBER('SW OpInc'!N29),ISNUMBER('SW OpInc'!J29),ISNUMBER('SW Rev'!N29),ISNUMBER('SW Rev'!J29),ABS('SW Rev'!N29-'SW Rev'!J29)&gt;=1),('SW OpInc'!N29-'SW OpInc'!J29)/('SW Rev'!N29-'SW Rev'!J29),""),"")</f>
        <v/>
      </c>
      <c r="K846" s="37">
        <f>IFERROR(IF(AND(ISNUMBER('SW OpInc'!O29),ISNUMBER('SW OpInc'!K29),ISNUMBER('SW Rev'!O29),ISNUMBER('SW Rev'!K29),ABS('SW Rev'!O29-'SW Rev'!K29)&gt;=1),('SW OpInc'!O29-'SW OpInc'!K29)/('SW Rev'!O29-'SW Rev'!K29),""),"")</f>
        <v/>
      </c>
      <c r="L846" s="37">
        <f>IFERROR(IF(AND(ISNUMBER('SW OpInc'!P29),ISNUMBER('SW OpInc'!L29),ISNUMBER('SW Rev'!P29),ISNUMBER('SW Rev'!L29),ABS('SW Rev'!P29-'SW Rev'!L29)&gt;=1),('SW OpInc'!P29-'SW OpInc'!L29)/('SW Rev'!P29-'SW Rev'!L29),""),"")</f>
        <v/>
      </c>
      <c r="M846" s="38">
        <f>IFERROR(IF(AND(ISNUMBER('SW OpInc'!Q29),ISNUMBER('SW OpInc'!M29),ISNUMBER('SW Rev'!Q29),ISNUMBER('SW Rev'!M29),ABS('SW Rev'!Q29-'SW Rev'!M29)&gt;=1),('SW OpInc'!Q29-'SW OpInc'!M29)/('SW Rev'!Q29-'SW Rev'!M29),""),"")</f>
        <v/>
      </c>
      <c r="N846" s="38">
        <f>IFERROR(IF(AND(ISNUMBER('SW OpInc'!R29),ISNUMBER('SW OpInc'!N29),ISNUMBER('SW Rev'!R29),ISNUMBER('SW Rev'!N29),ABS('SW Rev'!R29-'SW Rev'!N29)&gt;=1),('SW OpInc'!R29-'SW OpInc'!N29)/('SW Rev'!R29-'SW Rev'!N29),""),"")</f>
        <v/>
      </c>
    </row>
    <row r="847">
      <c r="A847" s="19">
        <f>'SW Rev'!$A30</f>
        <v/>
      </c>
      <c r="B847" s="19">
        <f>'SW Rev'!$B30</f>
        <v/>
      </c>
      <c r="C847" s="37">
        <f>IFERROR(IF(AND(ISNUMBER('SW OpInc'!G30),ISNUMBER('SW OpInc'!C30),ISNUMBER('SW Rev'!G30),ISNUMBER('SW Rev'!C30),ABS('SW Rev'!G30-'SW Rev'!C30)&gt;=1),('SW OpInc'!G30-'SW OpInc'!C30)/('SW Rev'!G30-'SW Rev'!C30),""),"")</f>
        <v/>
      </c>
      <c r="D847" s="37">
        <f>IFERROR(IF(AND(ISNUMBER('SW OpInc'!H30),ISNUMBER('SW OpInc'!D30),ISNUMBER('SW Rev'!H30),ISNUMBER('SW Rev'!D30),ABS('SW Rev'!H30-'SW Rev'!D30)&gt;=1),('SW OpInc'!H30-'SW OpInc'!D30)/('SW Rev'!H30-'SW Rev'!D30),""),"")</f>
        <v/>
      </c>
      <c r="E847" s="37">
        <f>IFERROR(IF(AND(ISNUMBER('SW OpInc'!I30),ISNUMBER('SW OpInc'!E30),ISNUMBER('SW Rev'!I30),ISNUMBER('SW Rev'!E30),ABS('SW Rev'!I30-'SW Rev'!E30)&gt;=1),('SW OpInc'!I30-'SW OpInc'!E30)/('SW Rev'!I30-'SW Rev'!E30),""),"")</f>
        <v/>
      </c>
      <c r="F847" s="37">
        <f>IFERROR(IF(AND(ISNUMBER('SW OpInc'!J30),ISNUMBER('SW OpInc'!F30),ISNUMBER('SW Rev'!J30),ISNUMBER('SW Rev'!F30),ABS('SW Rev'!J30-'SW Rev'!F30)&gt;=1),('SW OpInc'!J30-'SW OpInc'!F30)/('SW Rev'!J30-'SW Rev'!F30),""),"")</f>
        <v/>
      </c>
      <c r="G847" s="37">
        <f>IFERROR(IF(AND(ISNUMBER('SW OpInc'!K30),ISNUMBER('SW OpInc'!G30),ISNUMBER('SW Rev'!K30),ISNUMBER('SW Rev'!G30),ABS('SW Rev'!K30-'SW Rev'!G30)&gt;=1),('SW OpInc'!K30-'SW OpInc'!G30)/('SW Rev'!K30-'SW Rev'!G30),""),"")</f>
        <v/>
      </c>
      <c r="H847" s="37">
        <f>IFERROR(IF(AND(ISNUMBER('SW OpInc'!L30),ISNUMBER('SW OpInc'!H30),ISNUMBER('SW Rev'!L30),ISNUMBER('SW Rev'!H30),ABS('SW Rev'!L30-'SW Rev'!H30)&gt;=1),('SW OpInc'!L30-'SW OpInc'!H30)/('SW Rev'!L30-'SW Rev'!H30),""),"")</f>
        <v/>
      </c>
      <c r="I847" s="37">
        <f>IFERROR(IF(AND(ISNUMBER('SW OpInc'!M30),ISNUMBER('SW OpInc'!I30),ISNUMBER('SW Rev'!M30),ISNUMBER('SW Rev'!I30),ABS('SW Rev'!M30-'SW Rev'!I30)&gt;=1),('SW OpInc'!M30-'SW OpInc'!I30)/('SW Rev'!M30-'SW Rev'!I30),""),"")</f>
        <v/>
      </c>
      <c r="J847" s="37">
        <f>IFERROR(IF(AND(ISNUMBER('SW OpInc'!N30),ISNUMBER('SW OpInc'!J30),ISNUMBER('SW Rev'!N30),ISNUMBER('SW Rev'!J30),ABS('SW Rev'!N30-'SW Rev'!J30)&gt;=1),('SW OpInc'!N30-'SW OpInc'!J30)/('SW Rev'!N30-'SW Rev'!J30),""),"")</f>
        <v/>
      </c>
      <c r="K847" s="37">
        <f>IFERROR(IF(AND(ISNUMBER('SW OpInc'!O30),ISNUMBER('SW OpInc'!K30),ISNUMBER('SW Rev'!O30),ISNUMBER('SW Rev'!K30),ABS('SW Rev'!O30-'SW Rev'!K30)&gt;=1),('SW OpInc'!O30-'SW OpInc'!K30)/('SW Rev'!O30-'SW Rev'!K30),""),"")</f>
        <v/>
      </c>
      <c r="L847" s="37">
        <f>IFERROR(IF(AND(ISNUMBER('SW OpInc'!P30),ISNUMBER('SW OpInc'!L30),ISNUMBER('SW Rev'!P30),ISNUMBER('SW Rev'!L30),ABS('SW Rev'!P30-'SW Rev'!L30)&gt;=1),('SW OpInc'!P30-'SW OpInc'!L30)/('SW Rev'!P30-'SW Rev'!L30),""),"")</f>
        <v/>
      </c>
      <c r="M847" s="38">
        <f>IFERROR(IF(AND(ISNUMBER('SW OpInc'!Q30),ISNUMBER('SW OpInc'!M30),ISNUMBER('SW Rev'!Q30),ISNUMBER('SW Rev'!M30),ABS('SW Rev'!Q30-'SW Rev'!M30)&gt;=1),('SW OpInc'!Q30-'SW OpInc'!M30)/('SW Rev'!Q30-'SW Rev'!M30),""),"")</f>
        <v/>
      </c>
      <c r="N847" s="38">
        <f>IFERROR(IF(AND(ISNUMBER('SW OpInc'!R30),ISNUMBER('SW OpInc'!N30),ISNUMBER('SW Rev'!R30),ISNUMBER('SW Rev'!N30),ABS('SW Rev'!R30-'SW Rev'!N30)&gt;=1),('SW OpInc'!R30-'SW OpInc'!N30)/('SW Rev'!R30-'SW Rev'!N30),""),"")</f>
        <v/>
      </c>
    </row>
    <row r="848">
      <c r="A848" s="19">
        <f>'SW Rev'!$A31</f>
        <v/>
      </c>
      <c r="B848" s="19">
        <f>'SW Rev'!$B31</f>
        <v/>
      </c>
      <c r="C848" s="37">
        <f>IFERROR(IF(AND(ISNUMBER('SW OpInc'!G31),ISNUMBER('SW OpInc'!C31),ISNUMBER('SW Rev'!G31),ISNUMBER('SW Rev'!C31),ABS('SW Rev'!G31-'SW Rev'!C31)&gt;=1),('SW OpInc'!G31-'SW OpInc'!C31)/('SW Rev'!G31-'SW Rev'!C31),""),"")</f>
        <v/>
      </c>
      <c r="D848" s="37">
        <f>IFERROR(IF(AND(ISNUMBER('SW OpInc'!H31),ISNUMBER('SW OpInc'!D31),ISNUMBER('SW Rev'!H31),ISNUMBER('SW Rev'!D31),ABS('SW Rev'!H31-'SW Rev'!D31)&gt;=1),('SW OpInc'!H31-'SW OpInc'!D31)/('SW Rev'!H31-'SW Rev'!D31),""),"")</f>
        <v/>
      </c>
      <c r="E848" s="37">
        <f>IFERROR(IF(AND(ISNUMBER('SW OpInc'!I31),ISNUMBER('SW OpInc'!E31),ISNUMBER('SW Rev'!I31),ISNUMBER('SW Rev'!E31),ABS('SW Rev'!I31-'SW Rev'!E31)&gt;=1),('SW OpInc'!I31-'SW OpInc'!E31)/('SW Rev'!I31-'SW Rev'!E31),""),"")</f>
        <v/>
      </c>
      <c r="F848" s="37">
        <f>IFERROR(IF(AND(ISNUMBER('SW OpInc'!J31),ISNUMBER('SW OpInc'!F31),ISNUMBER('SW Rev'!J31),ISNUMBER('SW Rev'!F31),ABS('SW Rev'!J31-'SW Rev'!F31)&gt;=1),('SW OpInc'!J31-'SW OpInc'!F31)/('SW Rev'!J31-'SW Rev'!F31),""),"")</f>
        <v/>
      </c>
      <c r="G848" s="37">
        <f>IFERROR(IF(AND(ISNUMBER('SW OpInc'!K31),ISNUMBER('SW OpInc'!G31),ISNUMBER('SW Rev'!K31),ISNUMBER('SW Rev'!G31),ABS('SW Rev'!K31-'SW Rev'!G31)&gt;=1),('SW OpInc'!K31-'SW OpInc'!G31)/('SW Rev'!K31-'SW Rev'!G31),""),"")</f>
        <v/>
      </c>
      <c r="H848" s="37">
        <f>IFERROR(IF(AND(ISNUMBER('SW OpInc'!L31),ISNUMBER('SW OpInc'!H31),ISNUMBER('SW Rev'!L31),ISNUMBER('SW Rev'!H31),ABS('SW Rev'!L31-'SW Rev'!H31)&gt;=1),('SW OpInc'!L31-'SW OpInc'!H31)/('SW Rev'!L31-'SW Rev'!H31),""),"")</f>
        <v/>
      </c>
      <c r="I848" s="37">
        <f>IFERROR(IF(AND(ISNUMBER('SW OpInc'!M31),ISNUMBER('SW OpInc'!I31),ISNUMBER('SW Rev'!M31),ISNUMBER('SW Rev'!I31),ABS('SW Rev'!M31-'SW Rev'!I31)&gt;=1),('SW OpInc'!M31-'SW OpInc'!I31)/('SW Rev'!M31-'SW Rev'!I31),""),"")</f>
        <v/>
      </c>
      <c r="J848" s="37">
        <f>IFERROR(IF(AND(ISNUMBER('SW OpInc'!N31),ISNUMBER('SW OpInc'!J31),ISNUMBER('SW Rev'!N31),ISNUMBER('SW Rev'!J31),ABS('SW Rev'!N31-'SW Rev'!J31)&gt;=1),('SW OpInc'!N31-'SW OpInc'!J31)/('SW Rev'!N31-'SW Rev'!J31),""),"")</f>
        <v/>
      </c>
      <c r="K848" s="37">
        <f>IFERROR(IF(AND(ISNUMBER('SW OpInc'!O31),ISNUMBER('SW OpInc'!K31),ISNUMBER('SW Rev'!O31),ISNUMBER('SW Rev'!K31),ABS('SW Rev'!O31-'SW Rev'!K31)&gt;=1),('SW OpInc'!O31-'SW OpInc'!K31)/('SW Rev'!O31-'SW Rev'!K31),""),"")</f>
        <v/>
      </c>
      <c r="L848" s="37">
        <f>IFERROR(IF(AND(ISNUMBER('SW OpInc'!P31),ISNUMBER('SW OpInc'!L31),ISNUMBER('SW Rev'!P31),ISNUMBER('SW Rev'!L31),ABS('SW Rev'!P31-'SW Rev'!L31)&gt;=1),('SW OpInc'!P31-'SW OpInc'!L31)/('SW Rev'!P31-'SW Rev'!L31),""),"")</f>
        <v/>
      </c>
      <c r="M848" s="38">
        <f>IFERROR(IF(AND(ISNUMBER('SW OpInc'!Q31),ISNUMBER('SW OpInc'!M31),ISNUMBER('SW Rev'!Q31),ISNUMBER('SW Rev'!M31),ABS('SW Rev'!Q31-'SW Rev'!M31)&gt;=1),('SW OpInc'!Q31-'SW OpInc'!M31)/('SW Rev'!Q31-'SW Rev'!M31),""),"")</f>
        <v/>
      </c>
      <c r="N848" s="38">
        <f>IFERROR(IF(AND(ISNUMBER('SW OpInc'!R31),ISNUMBER('SW OpInc'!N31),ISNUMBER('SW Rev'!R31),ISNUMBER('SW Rev'!N31),ABS('SW Rev'!R31-'SW Rev'!N31)&gt;=1),('SW OpInc'!R31-'SW OpInc'!N31)/('SW Rev'!R31-'SW Rev'!N31),""),"")</f>
        <v/>
      </c>
    </row>
    <row r="849">
      <c r="A849" s="19">
        <f>'SW Rev'!$A32</f>
        <v/>
      </c>
      <c r="B849" s="19">
        <f>'SW Rev'!$B32</f>
        <v/>
      </c>
      <c r="C849" s="37">
        <f>IFERROR(IF(AND(ISNUMBER('SW OpInc'!G32),ISNUMBER('SW OpInc'!C32),ISNUMBER('SW Rev'!G32),ISNUMBER('SW Rev'!C32),ABS('SW Rev'!G32-'SW Rev'!C32)&gt;=1),('SW OpInc'!G32-'SW OpInc'!C32)/('SW Rev'!G32-'SW Rev'!C32),""),"")</f>
        <v/>
      </c>
      <c r="D849" s="37">
        <f>IFERROR(IF(AND(ISNUMBER('SW OpInc'!H32),ISNUMBER('SW OpInc'!D32),ISNUMBER('SW Rev'!H32),ISNUMBER('SW Rev'!D32),ABS('SW Rev'!H32-'SW Rev'!D32)&gt;=1),('SW OpInc'!H32-'SW OpInc'!D32)/('SW Rev'!H32-'SW Rev'!D32),""),"")</f>
        <v/>
      </c>
      <c r="E849" s="37">
        <f>IFERROR(IF(AND(ISNUMBER('SW OpInc'!I32),ISNUMBER('SW OpInc'!E32),ISNUMBER('SW Rev'!I32),ISNUMBER('SW Rev'!E32),ABS('SW Rev'!I32-'SW Rev'!E32)&gt;=1),('SW OpInc'!I32-'SW OpInc'!E32)/('SW Rev'!I32-'SW Rev'!E32),""),"")</f>
        <v/>
      </c>
      <c r="F849" s="37">
        <f>IFERROR(IF(AND(ISNUMBER('SW OpInc'!J32),ISNUMBER('SW OpInc'!F32),ISNUMBER('SW Rev'!J32),ISNUMBER('SW Rev'!F32),ABS('SW Rev'!J32-'SW Rev'!F32)&gt;=1),('SW OpInc'!J32-'SW OpInc'!F32)/('SW Rev'!J32-'SW Rev'!F32),""),"")</f>
        <v/>
      </c>
      <c r="G849" s="37">
        <f>IFERROR(IF(AND(ISNUMBER('SW OpInc'!K32),ISNUMBER('SW OpInc'!G32),ISNUMBER('SW Rev'!K32),ISNUMBER('SW Rev'!G32),ABS('SW Rev'!K32-'SW Rev'!G32)&gt;=1),('SW OpInc'!K32-'SW OpInc'!G32)/('SW Rev'!K32-'SW Rev'!G32),""),"")</f>
        <v/>
      </c>
      <c r="H849" s="37">
        <f>IFERROR(IF(AND(ISNUMBER('SW OpInc'!L32),ISNUMBER('SW OpInc'!H32),ISNUMBER('SW Rev'!L32),ISNUMBER('SW Rev'!H32),ABS('SW Rev'!L32-'SW Rev'!H32)&gt;=1),('SW OpInc'!L32-'SW OpInc'!H32)/('SW Rev'!L32-'SW Rev'!H32),""),"")</f>
        <v/>
      </c>
      <c r="I849" s="37">
        <f>IFERROR(IF(AND(ISNUMBER('SW OpInc'!M32),ISNUMBER('SW OpInc'!I32),ISNUMBER('SW Rev'!M32),ISNUMBER('SW Rev'!I32),ABS('SW Rev'!M32-'SW Rev'!I32)&gt;=1),('SW OpInc'!M32-'SW OpInc'!I32)/('SW Rev'!M32-'SW Rev'!I32),""),"")</f>
        <v/>
      </c>
      <c r="J849" s="37">
        <f>IFERROR(IF(AND(ISNUMBER('SW OpInc'!N32),ISNUMBER('SW OpInc'!J32),ISNUMBER('SW Rev'!N32),ISNUMBER('SW Rev'!J32),ABS('SW Rev'!N32-'SW Rev'!J32)&gt;=1),('SW OpInc'!N32-'SW OpInc'!J32)/('SW Rev'!N32-'SW Rev'!J32),""),"")</f>
        <v/>
      </c>
      <c r="K849" s="37">
        <f>IFERROR(IF(AND(ISNUMBER('SW OpInc'!O32),ISNUMBER('SW OpInc'!K32),ISNUMBER('SW Rev'!O32),ISNUMBER('SW Rev'!K32),ABS('SW Rev'!O32-'SW Rev'!K32)&gt;=1),('SW OpInc'!O32-'SW OpInc'!K32)/('SW Rev'!O32-'SW Rev'!K32),""),"")</f>
        <v/>
      </c>
      <c r="L849" s="37">
        <f>IFERROR(IF(AND(ISNUMBER('SW OpInc'!P32),ISNUMBER('SW OpInc'!L32),ISNUMBER('SW Rev'!P32),ISNUMBER('SW Rev'!L32),ABS('SW Rev'!P32-'SW Rev'!L32)&gt;=1),('SW OpInc'!P32-'SW OpInc'!L32)/('SW Rev'!P32-'SW Rev'!L32),""),"")</f>
        <v/>
      </c>
      <c r="M849" s="38">
        <f>IFERROR(IF(AND(ISNUMBER('SW OpInc'!Q32),ISNUMBER('SW OpInc'!M32),ISNUMBER('SW Rev'!Q32),ISNUMBER('SW Rev'!M32),ABS('SW Rev'!Q32-'SW Rev'!M32)&gt;=1),('SW OpInc'!Q32-'SW OpInc'!M32)/('SW Rev'!Q32-'SW Rev'!M32),""),"")</f>
        <v/>
      </c>
      <c r="N849" s="38">
        <f>IFERROR(IF(AND(ISNUMBER('SW OpInc'!R32),ISNUMBER('SW OpInc'!N32),ISNUMBER('SW Rev'!R32),ISNUMBER('SW Rev'!N32),ABS('SW Rev'!R32-'SW Rev'!N32)&gt;=1),('SW OpInc'!R32-'SW OpInc'!N32)/('SW Rev'!R32-'SW Rev'!N32),""),"")</f>
        <v/>
      </c>
    </row>
    <row r="850">
      <c r="A850" s="19">
        <f>'SW Rev'!$A33</f>
        <v/>
      </c>
      <c r="B850" s="19">
        <f>'SW Rev'!$B33</f>
        <v/>
      </c>
      <c r="C850" s="37">
        <f>IFERROR(IF(AND(ISNUMBER('SW OpInc'!G33),ISNUMBER('SW OpInc'!C33),ISNUMBER('SW Rev'!G33),ISNUMBER('SW Rev'!C33),ABS('SW Rev'!G33-'SW Rev'!C33)&gt;=1),('SW OpInc'!G33-'SW OpInc'!C33)/('SW Rev'!G33-'SW Rev'!C33),""),"")</f>
        <v/>
      </c>
      <c r="D850" s="37">
        <f>IFERROR(IF(AND(ISNUMBER('SW OpInc'!H33),ISNUMBER('SW OpInc'!D33),ISNUMBER('SW Rev'!H33),ISNUMBER('SW Rev'!D33),ABS('SW Rev'!H33-'SW Rev'!D33)&gt;=1),('SW OpInc'!H33-'SW OpInc'!D33)/('SW Rev'!H33-'SW Rev'!D33),""),"")</f>
        <v/>
      </c>
      <c r="E850" s="37">
        <f>IFERROR(IF(AND(ISNUMBER('SW OpInc'!I33),ISNUMBER('SW OpInc'!E33),ISNUMBER('SW Rev'!I33),ISNUMBER('SW Rev'!E33),ABS('SW Rev'!I33-'SW Rev'!E33)&gt;=1),('SW OpInc'!I33-'SW OpInc'!E33)/('SW Rev'!I33-'SW Rev'!E33),""),"")</f>
        <v/>
      </c>
      <c r="F850" s="37">
        <f>IFERROR(IF(AND(ISNUMBER('SW OpInc'!J33),ISNUMBER('SW OpInc'!F33),ISNUMBER('SW Rev'!J33),ISNUMBER('SW Rev'!F33),ABS('SW Rev'!J33-'SW Rev'!F33)&gt;=1),('SW OpInc'!J33-'SW OpInc'!F33)/('SW Rev'!J33-'SW Rev'!F33),""),"")</f>
        <v/>
      </c>
      <c r="G850" s="37">
        <f>IFERROR(IF(AND(ISNUMBER('SW OpInc'!K33),ISNUMBER('SW OpInc'!G33),ISNUMBER('SW Rev'!K33),ISNUMBER('SW Rev'!G33),ABS('SW Rev'!K33-'SW Rev'!G33)&gt;=1),('SW OpInc'!K33-'SW OpInc'!G33)/('SW Rev'!K33-'SW Rev'!G33),""),"")</f>
        <v/>
      </c>
      <c r="H850" s="37">
        <f>IFERROR(IF(AND(ISNUMBER('SW OpInc'!L33),ISNUMBER('SW OpInc'!H33),ISNUMBER('SW Rev'!L33),ISNUMBER('SW Rev'!H33),ABS('SW Rev'!L33-'SW Rev'!H33)&gt;=1),('SW OpInc'!L33-'SW OpInc'!H33)/('SW Rev'!L33-'SW Rev'!H33),""),"")</f>
        <v/>
      </c>
      <c r="I850" s="37">
        <f>IFERROR(IF(AND(ISNUMBER('SW OpInc'!M33),ISNUMBER('SW OpInc'!I33),ISNUMBER('SW Rev'!M33),ISNUMBER('SW Rev'!I33),ABS('SW Rev'!M33-'SW Rev'!I33)&gt;=1),('SW OpInc'!M33-'SW OpInc'!I33)/('SW Rev'!M33-'SW Rev'!I33),""),"")</f>
        <v/>
      </c>
      <c r="J850" s="37">
        <f>IFERROR(IF(AND(ISNUMBER('SW OpInc'!N33),ISNUMBER('SW OpInc'!J33),ISNUMBER('SW Rev'!N33),ISNUMBER('SW Rev'!J33),ABS('SW Rev'!N33-'SW Rev'!J33)&gt;=1),('SW OpInc'!N33-'SW OpInc'!J33)/('SW Rev'!N33-'SW Rev'!J33),""),"")</f>
        <v/>
      </c>
      <c r="K850" s="37">
        <f>IFERROR(IF(AND(ISNUMBER('SW OpInc'!O33),ISNUMBER('SW OpInc'!K33),ISNUMBER('SW Rev'!O33),ISNUMBER('SW Rev'!K33),ABS('SW Rev'!O33-'SW Rev'!K33)&gt;=1),('SW OpInc'!O33-'SW OpInc'!K33)/('SW Rev'!O33-'SW Rev'!K33),""),"")</f>
        <v/>
      </c>
      <c r="L850" s="37">
        <f>IFERROR(IF(AND(ISNUMBER('SW OpInc'!P33),ISNUMBER('SW OpInc'!L33),ISNUMBER('SW Rev'!P33),ISNUMBER('SW Rev'!L33),ABS('SW Rev'!P33-'SW Rev'!L33)&gt;=1),('SW OpInc'!P33-'SW OpInc'!L33)/('SW Rev'!P33-'SW Rev'!L33),""),"")</f>
        <v/>
      </c>
      <c r="M850" s="38">
        <f>IFERROR(IF(AND(ISNUMBER('SW OpInc'!Q33),ISNUMBER('SW OpInc'!M33),ISNUMBER('SW Rev'!Q33),ISNUMBER('SW Rev'!M33),ABS('SW Rev'!Q33-'SW Rev'!M33)&gt;=1),('SW OpInc'!Q33-'SW OpInc'!M33)/('SW Rev'!Q33-'SW Rev'!M33),""),"")</f>
        <v/>
      </c>
      <c r="N850" s="38">
        <f>IFERROR(IF(AND(ISNUMBER('SW OpInc'!R33),ISNUMBER('SW OpInc'!N33),ISNUMBER('SW Rev'!R33),ISNUMBER('SW Rev'!N33),ABS('SW Rev'!R33-'SW Rev'!N33)&gt;=1),('SW OpInc'!R33-'SW OpInc'!N33)/('SW Rev'!R33-'SW Rev'!N33),""),"")</f>
        <v/>
      </c>
    </row>
    <row r="851">
      <c r="A851" s="19">
        <f>'SW Rev'!$A34</f>
        <v/>
      </c>
      <c r="B851" s="19">
        <f>'SW Rev'!$B34</f>
        <v/>
      </c>
      <c r="C851" s="37">
        <f>IFERROR(IF(AND(ISNUMBER('SW OpInc'!G34),ISNUMBER('SW OpInc'!C34),ISNUMBER('SW Rev'!G34),ISNUMBER('SW Rev'!C34),ABS('SW Rev'!G34-'SW Rev'!C34)&gt;=1),('SW OpInc'!G34-'SW OpInc'!C34)/('SW Rev'!G34-'SW Rev'!C34),""),"")</f>
        <v/>
      </c>
      <c r="D851" s="37">
        <f>IFERROR(IF(AND(ISNUMBER('SW OpInc'!H34),ISNUMBER('SW OpInc'!D34),ISNUMBER('SW Rev'!H34),ISNUMBER('SW Rev'!D34),ABS('SW Rev'!H34-'SW Rev'!D34)&gt;=1),('SW OpInc'!H34-'SW OpInc'!D34)/('SW Rev'!H34-'SW Rev'!D34),""),"")</f>
        <v/>
      </c>
      <c r="E851" s="37">
        <f>IFERROR(IF(AND(ISNUMBER('SW OpInc'!I34),ISNUMBER('SW OpInc'!E34),ISNUMBER('SW Rev'!I34),ISNUMBER('SW Rev'!E34),ABS('SW Rev'!I34-'SW Rev'!E34)&gt;=1),('SW OpInc'!I34-'SW OpInc'!E34)/('SW Rev'!I34-'SW Rev'!E34),""),"")</f>
        <v/>
      </c>
      <c r="F851" s="37">
        <f>IFERROR(IF(AND(ISNUMBER('SW OpInc'!J34),ISNUMBER('SW OpInc'!F34),ISNUMBER('SW Rev'!J34),ISNUMBER('SW Rev'!F34),ABS('SW Rev'!J34-'SW Rev'!F34)&gt;=1),('SW OpInc'!J34-'SW OpInc'!F34)/('SW Rev'!J34-'SW Rev'!F34),""),"")</f>
        <v/>
      </c>
      <c r="G851" s="37">
        <f>IFERROR(IF(AND(ISNUMBER('SW OpInc'!K34),ISNUMBER('SW OpInc'!G34),ISNUMBER('SW Rev'!K34),ISNUMBER('SW Rev'!G34),ABS('SW Rev'!K34-'SW Rev'!G34)&gt;=1),('SW OpInc'!K34-'SW OpInc'!G34)/('SW Rev'!K34-'SW Rev'!G34),""),"")</f>
        <v/>
      </c>
      <c r="H851" s="37">
        <f>IFERROR(IF(AND(ISNUMBER('SW OpInc'!L34),ISNUMBER('SW OpInc'!H34),ISNUMBER('SW Rev'!L34),ISNUMBER('SW Rev'!H34),ABS('SW Rev'!L34-'SW Rev'!H34)&gt;=1),('SW OpInc'!L34-'SW OpInc'!H34)/('SW Rev'!L34-'SW Rev'!H34),""),"")</f>
        <v/>
      </c>
      <c r="I851" s="37">
        <f>IFERROR(IF(AND(ISNUMBER('SW OpInc'!M34),ISNUMBER('SW OpInc'!I34),ISNUMBER('SW Rev'!M34),ISNUMBER('SW Rev'!I34),ABS('SW Rev'!M34-'SW Rev'!I34)&gt;=1),('SW OpInc'!M34-'SW OpInc'!I34)/('SW Rev'!M34-'SW Rev'!I34),""),"")</f>
        <v/>
      </c>
      <c r="J851" s="37">
        <f>IFERROR(IF(AND(ISNUMBER('SW OpInc'!N34),ISNUMBER('SW OpInc'!J34),ISNUMBER('SW Rev'!N34),ISNUMBER('SW Rev'!J34),ABS('SW Rev'!N34-'SW Rev'!J34)&gt;=1),('SW OpInc'!N34-'SW OpInc'!J34)/('SW Rev'!N34-'SW Rev'!J34),""),"")</f>
        <v/>
      </c>
      <c r="K851" s="37">
        <f>IFERROR(IF(AND(ISNUMBER('SW OpInc'!O34),ISNUMBER('SW OpInc'!K34),ISNUMBER('SW Rev'!O34),ISNUMBER('SW Rev'!K34),ABS('SW Rev'!O34-'SW Rev'!K34)&gt;=1),('SW OpInc'!O34-'SW OpInc'!K34)/('SW Rev'!O34-'SW Rev'!K34),""),"")</f>
        <v/>
      </c>
      <c r="L851" s="37">
        <f>IFERROR(IF(AND(ISNUMBER('SW OpInc'!P34),ISNUMBER('SW OpInc'!L34),ISNUMBER('SW Rev'!P34),ISNUMBER('SW Rev'!L34),ABS('SW Rev'!P34-'SW Rev'!L34)&gt;=1),('SW OpInc'!P34-'SW OpInc'!L34)/('SW Rev'!P34-'SW Rev'!L34),""),"")</f>
        <v/>
      </c>
      <c r="M851" s="38">
        <f>IFERROR(IF(AND(ISNUMBER('SW OpInc'!Q34),ISNUMBER('SW OpInc'!M34),ISNUMBER('SW Rev'!Q34),ISNUMBER('SW Rev'!M34),ABS('SW Rev'!Q34-'SW Rev'!M34)&gt;=1),('SW OpInc'!Q34-'SW OpInc'!M34)/('SW Rev'!Q34-'SW Rev'!M34),""),"")</f>
        <v/>
      </c>
      <c r="N851" s="38">
        <f>IFERROR(IF(AND(ISNUMBER('SW OpInc'!R34),ISNUMBER('SW OpInc'!N34),ISNUMBER('SW Rev'!R34),ISNUMBER('SW Rev'!N34),ABS('SW Rev'!R34-'SW Rev'!N34)&gt;=1),('SW OpInc'!R34-'SW OpInc'!N34)/('SW Rev'!R34-'SW Rev'!N34),""),"")</f>
        <v/>
      </c>
    </row>
    <row r="852">
      <c r="A852" s="19">
        <f>'SW Rev'!$A35</f>
        <v/>
      </c>
      <c r="B852" s="19">
        <f>'SW Rev'!$B35</f>
        <v/>
      </c>
      <c r="C852" s="37">
        <f>IFERROR(IF(AND(ISNUMBER('SW OpInc'!G35),ISNUMBER('SW OpInc'!C35),ISNUMBER('SW Rev'!G35),ISNUMBER('SW Rev'!C35),ABS('SW Rev'!G35-'SW Rev'!C35)&gt;=1),('SW OpInc'!G35-'SW OpInc'!C35)/('SW Rev'!G35-'SW Rev'!C35),""),"")</f>
        <v/>
      </c>
      <c r="D852" s="37">
        <f>IFERROR(IF(AND(ISNUMBER('SW OpInc'!H35),ISNUMBER('SW OpInc'!D35),ISNUMBER('SW Rev'!H35),ISNUMBER('SW Rev'!D35),ABS('SW Rev'!H35-'SW Rev'!D35)&gt;=1),('SW OpInc'!H35-'SW OpInc'!D35)/('SW Rev'!H35-'SW Rev'!D35),""),"")</f>
        <v/>
      </c>
      <c r="E852" s="37">
        <f>IFERROR(IF(AND(ISNUMBER('SW OpInc'!I35),ISNUMBER('SW OpInc'!E35),ISNUMBER('SW Rev'!I35),ISNUMBER('SW Rev'!E35),ABS('SW Rev'!I35-'SW Rev'!E35)&gt;=1),('SW OpInc'!I35-'SW OpInc'!E35)/('SW Rev'!I35-'SW Rev'!E35),""),"")</f>
        <v/>
      </c>
      <c r="F852" s="37">
        <f>IFERROR(IF(AND(ISNUMBER('SW OpInc'!J35),ISNUMBER('SW OpInc'!F35),ISNUMBER('SW Rev'!J35),ISNUMBER('SW Rev'!F35),ABS('SW Rev'!J35-'SW Rev'!F35)&gt;=1),('SW OpInc'!J35-'SW OpInc'!F35)/('SW Rev'!J35-'SW Rev'!F35),""),"")</f>
        <v/>
      </c>
      <c r="G852" s="37">
        <f>IFERROR(IF(AND(ISNUMBER('SW OpInc'!K35),ISNUMBER('SW OpInc'!G35),ISNUMBER('SW Rev'!K35),ISNUMBER('SW Rev'!G35),ABS('SW Rev'!K35-'SW Rev'!G35)&gt;=1),('SW OpInc'!K35-'SW OpInc'!G35)/('SW Rev'!K35-'SW Rev'!G35),""),"")</f>
        <v/>
      </c>
      <c r="H852" s="37">
        <f>IFERROR(IF(AND(ISNUMBER('SW OpInc'!L35),ISNUMBER('SW OpInc'!H35),ISNUMBER('SW Rev'!L35),ISNUMBER('SW Rev'!H35),ABS('SW Rev'!L35-'SW Rev'!H35)&gt;=1),('SW OpInc'!L35-'SW OpInc'!H35)/('SW Rev'!L35-'SW Rev'!H35),""),"")</f>
        <v/>
      </c>
      <c r="I852" s="37">
        <f>IFERROR(IF(AND(ISNUMBER('SW OpInc'!M35),ISNUMBER('SW OpInc'!I35),ISNUMBER('SW Rev'!M35),ISNUMBER('SW Rev'!I35),ABS('SW Rev'!M35-'SW Rev'!I35)&gt;=1),('SW OpInc'!M35-'SW OpInc'!I35)/('SW Rev'!M35-'SW Rev'!I35),""),"")</f>
        <v/>
      </c>
      <c r="J852" s="37">
        <f>IFERROR(IF(AND(ISNUMBER('SW OpInc'!N35),ISNUMBER('SW OpInc'!J35),ISNUMBER('SW Rev'!N35),ISNUMBER('SW Rev'!J35),ABS('SW Rev'!N35-'SW Rev'!J35)&gt;=1),('SW OpInc'!N35-'SW OpInc'!J35)/('SW Rev'!N35-'SW Rev'!J35),""),"")</f>
        <v/>
      </c>
      <c r="K852" s="37">
        <f>IFERROR(IF(AND(ISNUMBER('SW OpInc'!O35),ISNUMBER('SW OpInc'!K35),ISNUMBER('SW Rev'!O35),ISNUMBER('SW Rev'!K35),ABS('SW Rev'!O35-'SW Rev'!K35)&gt;=1),('SW OpInc'!O35-'SW OpInc'!K35)/('SW Rev'!O35-'SW Rev'!K35),""),"")</f>
        <v/>
      </c>
      <c r="L852" s="37">
        <f>IFERROR(IF(AND(ISNUMBER('SW OpInc'!P35),ISNUMBER('SW OpInc'!L35),ISNUMBER('SW Rev'!P35),ISNUMBER('SW Rev'!L35),ABS('SW Rev'!P35-'SW Rev'!L35)&gt;=1),('SW OpInc'!P35-'SW OpInc'!L35)/('SW Rev'!P35-'SW Rev'!L35),""),"")</f>
        <v/>
      </c>
      <c r="M852" s="38">
        <f>IFERROR(IF(AND(ISNUMBER('SW OpInc'!Q35),ISNUMBER('SW OpInc'!M35),ISNUMBER('SW Rev'!Q35),ISNUMBER('SW Rev'!M35),ABS('SW Rev'!Q35-'SW Rev'!M35)&gt;=1),('SW OpInc'!Q35-'SW OpInc'!M35)/('SW Rev'!Q35-'SW Rev'!M35),""),"")</f>
        <v/>
      </c>
      <c r="N852" s="38">
        <f>IFERROR(IF(AND(ISNUMBER('SW OpInc'!R35),ISNUMBER('SW OpInc'!N35),ISNUMBER('SW Rev'!R35),ISNUMBER('SW Rev'!N35),ABS('SW Rev'!R35-'SW Rev'!N35)&gt;=1),('SW OpInc'!R35-'SW OpInc'!N35)/('SW Rev'!R35-'SW Rev'!N35),""),"")</f>
        <v/>
      </c>
    </row>
    <row r="853">
      <c r="A853" s="19">
        <f>'SW Rev'!$A36</f>
        <v/>
      </c>
      <c r="B853" s="19">
        <f>'SW Rev'!$B36</f>
        <v/>
      </c>
      <c r="C853" s="37">
        <f>IFERROR(IF(AND(ISNUMBER('SW OpInc'!G36),ISNUMBER('SW OpInc'!C36),ISNUMBER('SW Rev'!G36),ISNUMBER('SW Rev'!C36),ABS('SW Rev'!G36-'SW Rev'!C36)&gt;=1),('SW OpInc'!G36-'SW OpInc'!C36)/('SW Rev'!G36-'SW Rev'!C36),""),"")</f>
        <v/>
      </c>
      <c r="D853" s="37">
        <f>IFERROR(IF(AND(ISNUMBER('SW OpInc'!H36),ISNUMBER('SW OpInc'!D36),ISNUMBER('SW Rev'!H36),ISNUMBER('SW Rev'!D36),ABS('SW Rev'!H36-'SW Rev'!D36)&gt;=1),('SW OpInc'!H36-'SW OpInc'!D36)/('SW Rev'!H36-'SW Rev'!D36),""),"")</f>
        <v/>
      </c>
      <c r="E853" s="37">
        <f>IFERROR(IF(AND(ISNUMBER('SW OpInc'!I36),ISNUMBER('SW OpInc'!E36),ISNUMBER('SW Rev'!I36),ISNUMBER('SW Rev'!E36),ABS('SW Rev'!I36-'SW Rev'!E36)&gt;=1),('SW OpInc'!I36-'SW OpInc'!E36)/('SW Rev'!I36-'SW Rev'!E36),""),"")</f>
        <v/>
      </c>
      <c r="F853" s="37">
        <f>IFERROR(IF(AND(ISNUMBER('SW OpInc'!J36),ISNUMBER('SW OpInc'!F36),ISNUMBER('SW Rev'!J36),ISNUMBER('SW Rev'!F36),ABS('SW Rev'!J36-'SW Rev'!F36)&gt;=1),('SW OpInc'!J36-'SW OpInc'!F36)/('SW Rev'!J36-'SW Rev'!F36),""),"")</f>
        <v/>
      </c>
      <c r="G853" s="37">
        <f>IFERROR(IF(AND(ISNUMBER('SW OpInc'!K36),ISNUMBER('SW OpInc'!G36),ISNUMBER('SW Rev'!K36),ISNUMBER('SW Rev'!G36),ABS('SW Rev'!K36-'SW Rev'!G36)&gt;=1),('SW OpInc'!K36-'SW OpInc'!G36)/('SW Rev'!K36-'SW Rev'!G36),""),"")</f>
        <v/>
      </c>
      <c r="H853" s="37">
        <f>IFERROR(IF(AND(ISNUMBER('SW OpInc'!L36),ISNUMBER('SW OpInc'!H36),ISNUMBER('SW Rev'!L36),ISNUMBER('SW Rev'!H36),ABS('SW Rev'!L36-'SW Rev'!H36)&gt;=1),('SW OpInc'!L36-'SW OpInc'!H36)/('SW Rev'!L36-'SW Rev'!H36),""),"")</f>
        <v/>
      </c>
      <c r="I853" s="37">
        <f>IFERROR(IF(AND(ISNUMBER('SW OpInc'!M36),ISNUMBER('SW OpInc'!I36),ISNUMBER('SW Rev'!M36),ISNUMBER('SW Rev'!I36),ABS('SW Rev'!M36-'SW Rev'!I36)&gt;=1),('SW OpInc'!M36-'SW OpInc'!I36)/('SW Rev'!M36-'SW Rev'!I36),""),"")</f>
        <v/>
      </c>
      <c r="J853" s="37">
        <f>IFERROR(IF(AND(ISNUMBER('SW OpInc'!N36),ISNUMBER('SW OpInc'!J36),ISNUMBER('SW Rev'!N36),ISNUMBER('SW Rev'!J36),ABS('SW Rev'!N36-'SW Rev'!J36)&gt;=1),('SW OpInc'!N36-'SW OpInc'!J36)/('SW Rev'!N36-'SW Rev'!J36),""),"")</f>
        <v/>
      </c>
      <c r="K853" s="37">
        <f>IFERROR(IF(AND(ISNUMBER('SW OpInc'!O36),ISNUMBER('SW OpInc'!K36),ISNUMBER('SW Rev'!O36),ISNUMBER('SW Rev'!K36),ABS('SW Rev'!O36-'SW Rev'!K36)&gt;=1),('SW OpInc'!O36-'SW OpInc'!K36)/('SW Rev'!O36-'SW Rev'!K36),""),"")</f>
        <v/>
      </c>
      <c r="L853" s="37">
        <f>IFERROR(IF(AND(ISNUMBER('SW OpInc'!P36),ISNUMBER('SW OpInc'!L36),ISNUMBER('SW Rev'!P36),ISNUMBER('SW Rev'!L36),ABS('SW Rev'!P36-'SW Rev'!L36)&gt;=1),('SW OpInc'!P36-'SW OpInc'!L36)/('SW Rev'!P36-'SW Rev'!L36),""),"")</f>
        <v/>
      </c>
      <c r="M853" s="38">
        <f>IFERROR(IF(AND(ISNUMBER('SW OpInc'!Q36),ISNUMBER('SW OpInc'!M36),ISNUMBER('SW Rev'!Q36),ISNUMBER('SW Rev'!M36),ABS('SW Rev'!Q36-'SW Rev'!M36)&gt;=1),('SW OpInc'!Q36-'SW OpInc'!M36)/('SW Rev'!Q36-'SW Rev'!M36),""),"")</f>
        <v/>
      </c>
      <c r="N853" s="38">
        <f>IFERROR(IF(AND(ISNUMBER('SW OpInc'!R36),ISNUMBER('SW OpInc'!N36),ISNUMBER('SW Rev'!R36),ISNUMBER('SW Rev'!N36),ABS('SW Rev'!R36-'SW Rev'!N36)&gt;=1),('SW OpInc'!R36-'SW OpInc'!N36)/('SW Rev'!R36-'SW Rev'!N36),""),"")</f>
        <v/>
      </c>
    </row>
    <row r="854">
      <c r="A854" s="19">
        <f>'SW Rev'!$A37</f>
        <v/>
      </c>
      <c r="B854" s="19">
        <f>'SW Rev'!$B37</f>
        <v/>
      </c>
      <c r="C854" s="37">
        <f>IFERROR(IF(AND(ISNUMBER('SW OpInc'!G37),ISNUMBER('SW OpInc'!C37),ISNUMBER('SW Rev'!G37),ISNUMBER('SW Rev'!C37),ABS('SW Rev'!G37-'SW Rev'!C37)&gt;=1),('SW OpInc'!G37-'SW OpInc'!C37)/('SW Rev'!G37-'SW Rev'!C37),""),"")</f>
        <v/>
      </c>
      <c r="D854" s="37">
        <f>IFERROR(IF(AND(ISNUMBER('SW OpInc'!H37),ISNUMBER('SW OpInc'!D37),ISNUMBER('SW Rev'!H37),ISNUMBER('SW Rev'!D37),ABS('SW Rev'!H37-'SW Rev'!D37)&gt;=1),('SW OpInc'!H37-'SW OpInc'!D37)/('SW Rev'!H37-'SW Rev'!D37),""),"")</f>
        <v/>
      </c>
      <c r="E854" s="37">
        <f>IFERROR(IF(AND(ISNUMBER('SW OpInc'!I37),ISNUMBER('SW OpInc'!E37),ISNUMBER('SW Rev'!I37),ISNUMBER('SW Rev'!E37),ABS('SW Rev'!I37-'SW Rev'!E37)&gt;=1),('SW OpInc'!I37-'SW OpInc'!E37)/('SW Rev'!I37-'SW Rev'!E37),""),"")</f>
        <v/>
      </c>
      <c r="F854" s="37">
        <f>IFERROR(IF(AND(ISNUMBER('SW OpInc'!J37),ISNUMBER('SW OpInc'!F37),ISNUMBER('SW Rev'!J37),ISNUMBER('SW Rev'!F37),ABS('SW Rev'!J37-'SW Rev'!F37)&gt;=1),('SW OpInc'!J37-'SW OpInc'!F37)/('SW Rev'!J37-'SW Rev'!F37),""),"")</f>
        <v/>
      </c>
      <c r="G854" s="37">
        <f>IFERROR(IF(AND(ISNUMBER('SW OpInc'!K37),ISNUMBER('SW OpInc'!G37),ISNUMBER('SW Rev'!K37),ISNUMBER('SW Rev'!G37),ABS('SW Rev'!K37-'SW Rev'!G37)&gt;=1),('SW OpInc'!K37-'SW OpInc'!G37)/('SW Rev'!K37-'SW Rev'!G37),""),"")</f>
        <v/>
      </c>
      <c r="H854" s="37">
        <f>IFERROR(IF(AND(ISNUMBER('SW OpInc'!L37),ISNUMBER('SW OpInc'!H37),ISNUMBER('SW Rev'!L37),ISNUMBER('SW Rev'!H37),ABS('SW Rev'!L37-'SW Rev'!H37)&gt;=1),('SW OpInc'!L37-'SW OpInc'!H37)/('SW Rev'!L37-'SW Rev'!H37),""),"")</f>
        <v/>
      </c>
      <c r="I854" s="37">
        <f>IFERROR(IF(AND(ISNUMBER('SW OpInc'!M37),ISNUMBER('SW OpInc'!I37),ISNUMBER('SW Rev'!M37),ISNUMBER('SW Rev'!I37),ABS('SW Rev'!M37-'SW Rev'!I37)&gt;=1),('SW OpInc'!M37-'SW OpInc'!I37)/('SW Rev'!M37-'SW Rev'!I37),""),"")</f>
        <v/>
      </c>
      <c r="J854" s="37">
        <f>IFERROR(IF(AND(ISNUMBER('SW OpInc'!N37),ISNUMBER('SW OpInc'!J37),ISNUMBER('SW Rev'!N37),ISNUMBER('SW Rev'!J37),ABS('SW Rev'!N37-'SW Rev'!J37)&gt;=1),('SW OpInc'!N37-'SW OpInc'!J37)/('SW Rev'!N37-'SW Rev'!J37),""),"")</f>
        <v/>
      </c>
      <c r="K854" s="37">
        <f>IFERROR(IF(AND(ISNUMBER('SW OpInc'!O37),ISNUMBER('SW OpInc'!K37),ISNUMBER('SW Rev'!O37),ISNUMBER('SW Rev'!K37),ABS('SW Rev'!O37-'SW Rev'!K37)&gt;=1),('SW OpInc'!O37-'SW OpInc'!K37)/('SW Rev'!O37-'SW Rev'!K37),""),"")</f>
        <v/>
      </c>
      <c r="L854" s="37">
        <f>IFERROR(IF(AND(ISNUMBER('SW OpInc'!P37),ISNUMBER('SW OpInc'!L37),ISNUMBER('SW Rev'!P37),ISNUMBER('SW Rev'!L37),ABS('SW Rev'!P37-'SW Rev'!L37)&gt;=1),('SW OpInc'!P37-'SW OpInc'!L37)/('SW Rev'!P37-'SW Rev'!L37),""),"")</f>
        <v/>
      </c>
      <c r="M854" s="38">
        <f>IFERROR(IF(AND(ISNUMBER('SW OpInc'!Q37),ISNUMBER('SW OpInc'!M37),ISNUMBER('SW Rev'!Q37),ISNUMBER('SW Rev'!M37),ABS('SW Rev'!Q37-'SW Rev'!M37)&gt;=1),('SW OpInc'!Q37-'SW OpInc'!M37)/('SW Rev'!Q37-'SW Rev'!M37),""),"")</f>
        <v/>
      </c>
      <c r="N854" s="38">
        <f>IFERROR(IF(AND(ISNUMBER('SW OpInc'!R37),ISNUMBER('SW OpInc'!N37),ISNUMBER('SW Rev'!R37),ISNUMBER('SW Rev'!N37),ABS('SW Rev'!R37-'SW Rev'!N37)&gt;=1),('SW OpInc'!R37-'SW OpInc'!N37)/('SW Rev'!R37-'SW Rev'!N37),""),"")</f>
        <v/>
      </c>
    </row>
    <row r="855">
      <c r="A855" s="19">
        <f>'SW Rev'!$A38</f>
        <v/>
      </c>
      <c r="B855" s="19">
        <f>'SW Rev'!$B38</f>
        <v/>
      </c>
      <c r="C855" s="37">
        <f>IFERROR(IF(AND(ISNUMBER('SW OpInc'!G38),ISNUMBER('SW OpInc'!C38),ISNUMBER('SW Rev'!G38),ISNUMBER('SW Rev'!C38),ABS('SW Rev'!G38-'SW Rev'!C38)&gt;=1),('SW OpInc'!G38-'SW OpInc'!C38)/('SW Rev'!G38-'SW Rev'!C38),""),"")</f>
        <v/>
      </c>
      <c r="D855" s="37">
        <f>IFERROR(IF(AND(ISNUMBER('SW OpInc'!H38),ISNUMBER('SW OpInc'!D38),ISNUMBER('SW Rev'!H38),ISNUMBER('SW Rev'!D38),ABS('SW Rev'!H38-'SW Rev'!D38)&gt;=1),('SW OpInc'!H38-'SW OpInc'!D38)/('SW Rev'!H38-'SW Rev'!D38),""),"")</f>
        <v/>
      </c>
      <c r="E855" s="37">
        <f>IFERROR(IF(AND(ISNUMBER('SW OpInc'!I38),ISNUMBER('SW OpInc'!E38),ISNUMBER('SW Rev'!I38),ISNUMBER('SW Rev'!E38),ABS('SW Rev'!I38-'SW Rev'!E38)&gt;=1),('SW OpInc'!I38-'SW OpInc'!E38)/('SW Rev'!I38-'SW Rev'!E38),""),"")</f>
        <v/>
      </c>
      <c r="F855" s="37">
        <f>IFERROR(IF(AND(ISNUMBER('SW OpInc'!J38),ISNUMBER('SW OpInc'!F38),ISNUMBER('SW Rev'!J38),ISNUMBER('SW Rev'!F38),ABS('SW Rev'!J38-'SW Rev'!F38)&gt;=1),('SW OpInc'!J38-'SW OpInc'!F38)/('SW Rev'!J38-'SW Rev'!F38),""),"")</f>
        <v/>
      </c>
      <c r="G855" s="37">
        <f>IFERROR(IF(AND(ISNUMBER('SW OpInc'!K38),ISNUMBER('SW OpInc'!G38),ISNUMBER('SW Rev'!K38),ISNUMBER('SW Rev'!G38),ABS('SW Rev'!K38-'SW Rev'!G38)&gt;=1),('SW OpInc'!K38-'SW OpInc'!G38)/('SW Rev'!K38-'SW Rev'!G38),""),"")</f>
        <v/>
      </c>
      <c r="H855" s="37">
        <f>IFERROR(IF(AND(ISNUMBER('SW OpInc'!L38),ISNUMBER('SW OpInc'!H38),ISNUMBER('SW Rev'!L38),ISNUMBER('SW Rev'!H38),ABS('SW Rev'!L38-'SW Rev'!H38)&gt;=1),('SW OpInc'!L38-'SW OpInc'!H38)/('SW Rev'!L38-'SW Rev'!H38),""),"")</f>
        <v/>
      </c>
      <c r="I855" s="37">
        <f>IFERROR(IF(AND(ISNUMBER('SW OpInc'!M38),ISNUMBER('SW OpInc'!I38),ISNUMBER('SW Rev'!M38),ISNUMBER('SW Rev'!I38),ABS('SW Rev'!M38-'SW Rev'!I38)&gt;=1),('SW OpInc'!M38-'SW OpInc'!I38)/('SW Rev'!M38-'SW Rev'!I38),""),"")</f>
        <v/>
      </c>
      <c r="J855" s="37">
        <f>IFERROR(IF(AND(ISNUMBER('SW OpInc'!N38),ISNUMBER('SW OpInc'!J38),ISNUMBER('SW Rev'!N38),ISNUMBER('SW Rev'!J38),ABS('SW Rev'!N38-'SW Rev'!J38)&gt;=1),('SW OpInc'!N38-'SW OpInc'!J38)/('SW Rev'!N38-'SW Rev'!J38),""),"")</f>
        <v/>
      </c>
      <c r="K855" s="37">
        <f>IFERROR(IF(AND(ISNUMBER('SW OpInc'!O38),ISNUMBER('SW OpInc'!K38),ISNUMBER('SW Rev'!O38),ISNUMBER('SW Rev'!K38),ABS('SW Rev'!O38-'SW Rev'!K38)&gt;=1),('SW OpInc'!O38-'SW OpInc'!K38)/('SW Rev'!O38-'SW Rev'!K38),""),"")</f>
        <v/>
      </c>
      <c r="L855" s="37">
        <f>IFERROR(IF(AND(ISNUMBER('SW OpInc'!P38),ISNUMBER('SW OpInc'!L38),ISNUMBER('SW Rev'!P38),ISNUMBER('SW Rev'!L38),ABS('SW Rev'!P38-'SW Rev'!L38)&gt;=1),('SW OpInc'!P38-'SW OpInc'!L38)/('SW Rev'!P38-'SW Rev'!L38),""),"")</f>
        <v/>
      </c>
      <c r="M855" s="38">
        <f>IFERROR(IF(AND(ISNUMBER('SW OpInc'!Q38),ISNUMBER('SW OpInc'!M38),ISNUMBER('SW Rev'!Q38),ISNUMBER('SW Rev'!M38),ABS('SW Rev'!Q38-'SW Rev'!M38)&gt;=1),('SW OpInc'!Q38-'SW OpInc'!M38)/('SW Rev'!Q38-'SW Rev'!M38),""),"")</f>
        <v/>
      </c>
      <c r="N855" s="38">
        <f>IFERROR(IF(AND(ISNUMBER('SW OpInc'!R38),ISNUMBER('SW OpInc'!N38),ISNUMBER('SW Rev'!R38),ISNUMBER('SW Rev'!N38),ABS('SW Rev'!R38-'SW Rev'!N38)&gt;=1),('SW OpInc'!R38-'SW OpInc'!N38)/('SW Rev'!R38-'SW Rev'!N38),""),"")</f>
        <v/>
      </c>
    </row>
    <row r="856">
      <c r="A856" s="19">
        <f>'SW Rev'!$A39</f>
        <v/>
      </c>
      <c r="B856" s="19">
        <f>'SW Rev'!$B39</f>
        <v/>
      </c>
      <c r="C856" s="37">
        <f>IFERROR(IF(AND(ISNUMBER('SW OpInc'!G39),ISNUMBER('SW OpInc'!C39),ISNUMBER('SW Rev'!G39),ISNUMBER('SW Rev'!C39),ABS('SW Rev'!G39-'SW Rev'!C39)&gt;=1),('SW OpInc'!G39-'SW OpInc'!C39)/('SW Rev'!G39-'SW Rev'!C39),""),"")</f>
        <v/>
      </c>
      <c r="D856" s="37">
        <f>IFERROR(IF(AND(ISNUMBER('SW OpInc'!H39),ISNUMBER('SW OpInc'!D39),ISNUMBER('SW Rev'!H39),ISNUMBER('SW Rev'!D39),ABS('SW Rev'!H39-'SW Rev'!D39)&gt;=1),('SW OpInc'!H39-'SW OpInc'!D39)/('SW Rev'!H39-'SW Rev'!D39),""),"")</f>
        <v/>
      </c>
      <c r="E856" s="37">
        <f>IFERROR(IF(AND(ISNUMBER('SW OpInc'!I39),ISNUMBER('SW OpInc'!E39),ISNUMBER('SW Rev'!I39),ISNUMBER('SW Rev'!E39),ABS('SW Rev'!I39-'SW Rev'!E39)&gt;=1),('SW OpInc'!I39-'SW OpInc'!E39)/('SW Rev'!I39-'SW Rev'!E39),""),"")</f>
        <v/>
      </c>
      <c r="F856" s="37">
        <f>IFERROR(IF(AND(ISNUMBER('SW OpInc'!J39),ISNUMBER('SW OpInc'!F39),ISNUMBER('SW Rev'!J39),ISNUMBER('SW Rev'!F39),ABS('SW Rev'!J39-'SW Rev'!F39)&gt;=1),('SW OpInc'!J39-'SW OpInc'!F39)/('SW Rev'!J39-'SW Rev'!F39),""),"")</f>
        <v/>
      </c>
      <c r="G856" s="37">
        <f>IFERROR(IF(AND(ISNUMBER('SW OpInc'!K39),ISNUMBER('SW OpInc'!G39),ISNUMBER('SW Rev'!K39),ISNUMBER('SW Rev'!G39),ABS('SW Rev'!K39-'SW Rev'!G39)&gt;=1),('SW OpInc'!K39-'SW OpInc'!G39)/('SW Rev'!K39-'SW Rev'!G39),""),"")</f>
        <v/>
      </c>
      <c r="H856" s="37">
        <f>IFERROR(IF(AND(ISNUMBER('SW OpInc'!L39),ISNUMBER('SW OpInc'!H39),ISNUMBER('SW Rev'!L39),ISNUMBER('SW Rev'!H39),ABS('SW Rev'!L39-'SW Rev'!H39)&gt;=1),('SW OpInc'!L39-'SW OpInc'!H39)/('SW Rev'!L39-'SW Rev'!H39),""),"")</f>
        <v/>
      </c>
      <c r="I856" s="37">
        <f>IFERROR(IF(AND(ISNUMBER('SW OpInc'!M39),ISNUMBER('SW OpInc'!I39),ISNUMBER('SW Rev'!M39),ISNUMBER('SW Rev'!I39),ABS('SW Rev'!M39-'SW Rev'!I39)&gt;=1),('SW OpInc'!M39-'SW OpInc'!I39)/('SW Rev'!M39-'SW Rev'!I39),""),"")</f>
        <v/>
      </c>
      <c r="J856" s="37">
        <f>IFERROR(IF(AND(ISNUMBER('SW OpInc'!N39),ISNUMBER('SW OpInc'!J39),ISNUMBER('SW Rev'!N39),ISNUMBER('SW Rev'!J39),ABS('SW Rev'!N39-'SW Rev'!J39)&gt;=1),('SW OpInc'!N39-'SW OpInc'!J39)/('SW Rev'!N39-'SW Rev'!J39),""),"")</f>
        <v/>
      </c>
      <c r="K856" s="37">
        <f>IFERROR(IF(AND(ISNUMBER('SW OpInc'!O39),ISNUMBER('SW OpInc'!K39),ISNUMBER('SW Rev'!O39),ISNUMBER('SW Rev'!K39),ABS('SW Rev'!O39-'SW Rev'!K39)&gt;=1),('SW OpInc'!O39-'SW OpInc'!K39)/('SW Rev'!O39-'SW Rev'!K39),""),"")</f>
        <v/>
      </c>
      <c r="L856" s="37">
        <f>IFERROR(IF(AND(ISNUMBER('SW OpInc'!P39),ISNUMBER('SW OpInc'!L39),ISNUMBER('SW Rev'!P39),ISNUMBER('SW Rev'!L39),ABS('SW Rev'!P39-'SW Rev'!L39)&gt;=1),('SW OpInc'!P39-'SW OpInc'!L39)/('SW Rev'!P39-'SW Rev'!L39),""),"")</f>
        <v/>
      </c>
      <c r="M856" s="38">
        <f>IFERROR(IF(AND(ISNUMBER('SW OpInc'!Q39),ISNUMBER('SW OpInc'!M39),ISNUMBER('SW Rev'!Q39),ISNUMBER('SW Rev'!M39),ABS('SW Rev'!Q39-'SW Rev'!M39)&gt;=1),('SW OpInc'!Q39-'SW OpInc'!M39)/('SW Rev'!Q39-'SW Rev'!M39),""),"")</f>
        <v/>
      </c>
      <c r="N856" s="38">
        <f>IFERROR(IF(AND(ISNUMBER('SW OpInc'!R39),ISNUMBER('SW OpInc'!N39),ISNUMBER('SW Rev'!R39),ISNUMBER('SW Rev'!N39),ABS('SW Rev'!R39-'SW Rev'!N39)&gt;=1),('SW OpInc'!R39-'SW OpInc'!N39)/('SW Rev'!R39-'SW Rev'!N39),""),"")</f>
        <v/>
      </c>
    </row>
    <row r="857">
      <c r="A857" s="19">
        <f>'SW Rev'!$A40</f>
        <v/>
      </c>
      <c r="B857" s="19">
        <f>'SW Rev'!$B40</f>
        <v/>
      </c>
      <c r="C857" s="37">
        <f>IFERROR(IF(AND(ISNUMBER('SW OpInc'!G40),ISNUMBER('SW OpInc'!C40),ISNUMBER('SW Rev'!G40),ISNUMBER('SW Rev'!C40),ABS('SW Rev'!G40-'SW Rev'!C40)&gt;=1),('SW OpInc'!G40-'SW OpInc'!C40)/('SW Rev'!G40-'SW Rev'!C40),""),"")</f>
        <v/>
      </c>
      <c r="D857" s="37">
        <f>IFERROR(IF(AND(ISNUMBER('SW OpInc'!H40),ISNUMBER('SW OpInc'!D40),ISNUMBER('SW Rev'!H40),ISNUMBER('SW Rev'!D40),ABS('SW Rev'!H40-'SW Rev'!D40)&gt;=1),('SW OpInc'!H40-'SW OpInc'!D40)/('SW Rev'!H40-'SW Rev'!D40),""),"")</f>
        <v/>
      </c>
      <c r="E857" s="37">
        <f>IFERROR(IF(AND(ISNUMBER('SW OpInc'!I40),ISNUMBER('SW OpInc'!E40),ISNUMBER('SW Rev'!I40),ISNUMBER('SW Rev'!E40),ABS('SW Rev'!I40-'SW Rev'!E40)&gt;=1),('SW OpInc'!I40-'SW OpInc'!E40)/('SW Rev'!I40-'SW Rev'!E40),""),"")</f>
        <v/>
      </c>
      <c r="F857" s="37">
        <f>IFERROR(IF(AND(ISNUMBER('SW OpInc'!J40),ISNUMBER('SW OpInc'!F40),ISNUMBER('SW Rev'!J40),ISNUMBER('SW Rev'!F40),ABS('SW Rev'!J40-'SW Rev'!F40)&gt;=1),('SW OpInc'!J40-'SW OpInc'!F40)/('SW Rev'!J40-'SW Rev'!F40),""),"")</f>
        <v/>
      </c>
      <c r="G857" s="37">
        <f>IFERROR(IF(AND(ISNUMBER('SW OpInc'!K40),ISNUMBER('SW OpInc'!G40),ISNUMBER('SW Rev'!K40),ISNUMBER('SW Rev'!G40),ABS('SW Rev'!K40-'SW Rev'!G40)&gt;=1),('SW OpInc'!K40-'SW OpInc'!G40)/('SW Rev'!K40-'SW Rev'!G40),""),"")</f>
        <v/>
      </c>
      <c r="H857" s="37">
        <f>IFERROR(IF(AND(ISNUMBER('SW OpInc'!L40),ISNUMBER('SW OpInc'!H40),ISNUMBER('SW Rev'!L40),ISNUMBER('SW Rev'!H40),ABS('SW Rev'!L40-'SW Rev'!H40)&gt;=1),('SW OpInc'!L40-'SW OpInc'!H40)/('SW Rev'!L40-'SW Rev'!H40),""),"")</f>
        <v/>
      </c>
      <c r="I857" s="37">
        <f>IFERROR(IF(AND(ISNUMBER('SW OpInc'!M40),ISNUMBER('SW OpInc'!I40),ISNUMBER('SW Rev'!M40),ISNUMBER('SW Rev'!I40),ABS('SW Rev'!M40-'SW Rev'!I40)&gt;=1),('SW OpInc'!M40-'SW OpInc'!I40)/('SW Rev'!M40-'SW Rev'!I40),""),"")</f>
        <v/>
      </c>
      <c r="J857" s="37">
        <f>IFERROR(IF(AND(ISNUMBER('SW OpInc'!N40),ISNUMBER('SW OpInc'!J40),ISNUMBER('SW Rev'!N40),ISNUMBER('SW Rev'!J40),ABS('SW Rev'!N40-'SW Rev'!J40)&gt;=1),('SW OpInc'!N40-'SW OpInc'!J40)/('SW Rev'!N40-'SW Rev'!J40),""),"")</f>
        <v/>
      </c>
      <c r="K857" s="37">
        <f>IFERROR(IF(AND(ISNUMBER('SW OpInc'!O40),ISNUMBER('SW OpInc'!K40),ISNUMBER('SW Rev'!O40),ISNUMBER('SW Rev'!K40),ABS('SW Rev'!O40-'SW Rev'!K40)&gt;=1),('SW OpInc'!O40-'SW OpInc'!K40)/('SW Rev'!O40-'SW Rev'!K40),""),"")</f>
        <v/>
      </c>
      <c r="L857" s="37">
        <f>IFERROR(IF(AND(ISNUMBER('SW OpInc'!P40),ISNUMBER('SW OpInc'!L40),ISNUMBER('SW Rev'!P40),ISNUMBER('SW Rev'!L40),ABS('SW Rev'!P40-'SW Rev'!L40)&gt;=1),('SW OpInc'!P40-'SW OpInc'!L40)/('SW Rev'!P40-'SW Rev'!L40),""),"")</f>
        <v/>
      </c>
      <c r="M857" s="38">
        <f>IFERROR(IF(AND(ISNUMBER('SW OpInc'!Q40),ISNUMBER('SW OpInc'!M40),ISNUMBER('SW Rev'!Q40),ISNUMBER('SW Rev'!M40),ABS('SW Rev'!Q40-'SW Rev'!M40)&gt;=1),('SW OpInc'!Q40-'SW OpInc'!M40)/('SW Rev'!Q40-'SW Rev'!M40),""),"")</f>
        <v/>
      </c>
      <c r="N857" s="38">
        <f>IFERROR(IF(AND(ISNUMBER('SW OpInc'!R40),ISNUMBER('SW OpInc'!N40),ISNUMBER('SW Rev'!R40),ISNUMBER('SW Rev'!N40),ABS('SW Rev'!R40-'SW Rev'!N40)&gt;=1),('SW OpInc'!R40-'SW OpInc'!N40)/('SW Rev'!R40-'SW Rev'!N40),""),"")</f>
        <v/>
      </c>
    </row>
    <row r="858">
      <c r="A858" s="19">
        <f>'SW Rev'!$A41</f>
        <v/>
      </c>
      <c r="B858" s="19">
        <f>'SW Rev'!$B41</f>
        <v/>
      </c>
      <c r="C858" s="37">
        <f>IFERROR(IF(AND(ISNUMBER('SW OpInc'!G41),ISNUMBER('SW OpInc'!C41),ISNUMBER('SW Rev'!G41),ISNUMBER('SW Rev'!C41),ABS('SW Rev'!G41-'SW Rev'!C41)&gt;=1),('SW OpInc'!G41-'SW OpInc'!C41)/('SW Rev'!G41-'SW Rev'!C41),""),"")</f>
        <v/>
      </c>
      <c r="D858" s="37">
        <f>IFERROR(IF(AND(ISNUMBER('SW OpInc'!H41),ISNUMBER('SW OpInc'!D41),ISNUMBER('SW Rev'!H41),ISNUMBER('SW Rev'!D41),ABS('SW Rev'!H41-'SW Rev'!D41)&gt;=1),('SW OpInc'!H41-'SW OpInc'!D41)/('SW Rev'!H41-'SW Rev'!D41),""),"")</f>
        <v/>
      </c>
      <c r="E858" s="37">
        <f>IFERROR(IF(AND(ISNUMBER('SW OpInc'!I41),ISNUMBER('SW OpInc'!E41),ISNUMBER('SW Rev'!I41),ISNUMBER('SW Rev'!E41),ABS('SW Rev'!I41-'SW Rev'!E41)&gt;=1),('SW OpInc'!I41-'SW OpInc'!E41)/('SW Rev'!I41-'SW Rev'!E41),""),"")</f>
        <v/>
      </c>
      <c r="F858" s="37">
        <f>IFERROR(IF(AND(ISNUMBER('SW OpInc'!J41),ISNUMBER('SW OpInc'!F41),ISNUMBER('SW Rev'!J41),ISNUMBER('SW Rev'!F41),ABS('SW Rev'!J41-'SW Rev'!F41)&gt;=1),('SW OpInc'!J41-'SW OpInc'!F41)/('SW Rev'!J41-'SW Rev'!F41),""),"")</f>
        <v/>
      </c>
      <c r="G858" s="37">
        <f>IFERROR(IF(AND(ISNUMBER('SW OpInc'!K41),ISNUMBER('SW OpInc'!G41),ISNUMBER('SW Rev'!K41),ISNUMBER('SW Rev'!G41),ABS('SW Rev'!K41-'SW Rev'!G41)&gt;=1),('SW OpInc'!K41-'SW OpInc'!G41)/('SW Rev'!K41-'SW Rev'!G41),""),"")</f>
        <v/>
      </c>
      <c r="H858" s="37">
        <f>IFERROR(IF(AND(ISNUMBER('SW OpInc'!L41),ISNUMBER('SW OpInc'!H41),ISNUMBER('SW Rev'!L41),ISNUMBER('SW Rev'!H41),ABS('SW Rev'!L41-'SW Rev'!H41)&gt;=1),('SW OpInc'!L41-'SW OpInc'!H41)/('SW Rev'!L41-'SW Rev'!H41),""),"")</f>
        <v/>
      </c>
      <c r="I858" s="37">
        <f>IFERROR(IF(AND(ISNUMBER('SW OpInc'!M41),ISNUMBER('SW OpInc'!I41),ISNUMBER('SW Rev'!M41),ISNUMBER('SW Rev'!I41),ABS('SW Rev'!M41-'SW Rev'!I41)&gt;=1),('SW OpInc'!M41-'SW OpInc'!I41)/('SW Rev'!M41-'SW Rev'!I41),""),"")</f>
        <v/>
      </c>
      <c r="J858" s="37">
        <f>IFERROR(IF(AND(ISNUMBER('SW OpInc'!N41),ISNUMBER('SW OpInc'!J41),ISNUMBER('SW Rev'!N41),ISNUMBER('SW Rev'!J41),ABS('SW Rev'!N41-'SW Rev'!J41)&gt;=1),('SW OpInc'!N41-'SW OpInc'!J41)/('SW Rev'!N41-'SW Rev'!J41),""),"")</f>
        <v/>
      </c>
      <c r="K858" s="37">
        <f>IFERROR(IF(AND(ISNUMBER('SW OpInc'!O41),ISNUMBER('SW OpInc'!K41),ISNUMBER('SW Rev'!O41),ISNUMBER('SW Rev'!K41),ABS('SW Rev'!O41-'SW Rev'!K41)&gt;=1),('SW OpInc'!O41-'SW OpInc'!K41)/('SW Rev'!O41-'SW Rev'!K41),""),"")</f>
        <v/>
      </c>
      <c r="L858" s="37">
        <f>IFERROR(IF(AND(ISNUMBER('SW OpInc'!P41),ISNUMBER('SW OpInc'!L41),ISNUMBER('SW Rev'!P41),ISNUMBER('SW Rev'!L41),ABS('SW Rev'!P41-'SW Rev'!L41)&gt;=1),('SW OpInc'!P41-'SW OpInc'!L41)/('SW Rev'!P41-'SW Rev'!L41),""),"")</f>
        <v/>
      </c>
      <c r="M858" s="38">
        <f>IFERROR(IF(AND(ISNUMBER('SW OpInc'!Q41),ISNUMBER('SW OpInc'!M41),ISNUMBER('SW Rev'!Q41),ISNUMBER('SW Rev'!M41),ABS('SW Rev'!Q41-'SW Rev'!M41)&gt;=1),('SW OpInc'!Q41-'SW OpInc'!M41)/('SW Rev'!Q41-'SW Rev'!M41),""),"")</f>
        <v/>
      </c>
      <c r="N858" s="38">
        <f>IFERROR(IF(AND(ISNUMBER('SW OpInc'!R41),ISNUMBER('SW OpInc'!N41),ISNUMBER('SW Rev'!R41),ISNUMBER('SW Rev'!N41),ABS('SW Rev'!R41-'SW Rev'!N41)&gt;=1),('SW OpInc'!R41-'SW OpInc'!N41)/('SW Rev'!R41-'SW Rev'!N41),""),"")</f>
        <v/>
      </c>
    </row>
    <row r="859">
      <c r="A859" s="19">
        <f>'SW Rev'!$A42</f>
        <v/>
      </c>
      <c r="B859" s="19">
        <f>'SW Rev'!$B42</f>
        <v/>
      </c>
      <c r="C859" s="37">
        <f>IFERROR(IF(AND(ISNUMBER('SW OpInc'!G42),ISNUMBER('SW OpInc'!C42),ISNUMBER('SW Rev'!G42),ISNUMBER('SW Rev'!C42),ABS('SW Rev'!G42-'SW Rev'!C42)&gt;=1),('SW OpInc'!G42-'SW OpInc'!C42)/('SW Rev'!G42-'SW Rev'!C42),""),"")</f>
        <v/>
      </c>
      <c r="D859" s="37">
        <f>IFERROR(IF(AND(ISNUMBER('SW OpInc'!H42),ISNUMBER('SW OpInc'!D42),ISNUMBER('SW Rev'!H42),ISNUMBER('SW Rev'!D42),ABS('SW Rev'!H42-'SW Rev'!D42)&gt;=1),('SW OpInc'!H42-'SW OpInc'!D42)/('SW Rev'!H42-'SW Rev'!D42),""),"")</f>
        <v/>
      </c>
      <c r="E859" s="37">
        <f>IFERROR(IF(AND(ISNUMBER('SW OpInc'!I42),ISNUMBER('SW OpInc'!E42),ISNUMBER('SW Rev'!I42),ISNUMBER('SW Rev'!E42),ABS('SW Rev'!I42-'SW Rev'!E42)&gt;=1),('SW OpInc'!I42-'SW OpInc'!E42)/('SW Rev'!I42-'SW Rev'!E42),""),"")</f>
        <v/>
      </c>
      <c r="F859" s="37">
        <f>IFERROR(IF(AND(ISNUMBER('SW OpInc'!J42),ISNUMBER('SW OpInc'!F42),ISNUMBER('SW Rev'!J42),ISNUMBER('SW Rev'!F42),ABS('SW Rev'!J42-'SW Rev'!F42)&gt;=1),('SW OpInc'!J42-'SW OpInc'!F42)/('SW Rev'!J42-'SW Rev'!F42),""),"")</f>
        <v/>
      </c>
      <c r="G859" s="37">
        <f>IFERROR(IF(AND(ISNUMBER('SW OpInc'!K42),ISNUMBER('SW OpInc'!G42),ISNUMBER('SW Rev'!K42),ISNUMBER('SW Rev'!G42),ABS('SW Rev'!K42-'SW Rev'!G42)&gt;=1),('SW OpInc'!K42-'SW OpInc'!G42)/('SW Rev'!K42-'SW Rev'!G42),""),"")</f>
        <v/>
      </c>
      <c r="H859" s="37">
        <f>IFERROR(IF(AND(ISNUMBER('SW OpInc'!L42),ISNUMBER('SW OpInc'!H42),ISNUMBER('SW Rev'!L42),ISNUMBER('SW Rev'!H42),ABS('SW Rev'!L42-'SW Rev'!H42)&gt;=1),('SW OpInc'!L42-'SW OpInc'!H42)/('SW Rev'!L42-'SW Rev'!H42),""),"")</f>
        <v/>
      </c>
      <c r="I859" s="37">
        <f>IFERROR(IF(AND(ISNUMBER('SW OpInc'!M42),ISNUMBER('SW OpInc'!I42),ISNUMBER('SW Rev'!M42),ISNUMBER('SW Rev'!I42),ABS('SW Rev'!M42-'SW Rev'!I42)&gt;=1),('SW OpInc'!M42-'SW OpInc'!I42)/('SW Rev'!M42-'SW Rev'!I42),""),"")</f>
        <v/>
      </c>
      <c r="J859" s="37">
        <f>IFERROR(IF(AND(ISNUMBER('SW OpInc'!N42),ISNUMBER('SW OpInc'!J42),ISNUMBER('SW Rev'!N42),ISNUMBER('SW Rev'!J42),ABS('SW Rev'!N42-'SW Rev'!J42)&gt;=1),('SW OpInc'!N42-'SW OpInc'!J42)/('SW Rev'!N42-'SW Rev'!J42),""),"")</f>
        <v/>
      </c>
      <c r="K859" s="37">
        <f>IFERROR(IF(AND(ISNUMBER('SW OpInc'!O42),ISNUMBER('SW OpInc'!K42),ISNUMBER('SW Rev'!O42),ISNUMBER('SW Rev'!K42),ABS('SW Rev'!O42-'SW Rev'!K42)&gt;=1),('SW OpInc'!O42-'SW OpInc'!K42)/('SW Rev'!O42-'SW Rev'!K42),""),"")</f>
        <v/>
      </c>
      <c r="L859" s="37">
        <f>IFERROR(IF(AND(ISNUMBER('SW OpInc'!P42),ISNUMBER('SW OpInc'!L42),ISNUMBER('SW Rev'!P42),ISNUMBER('SW Rev'!L42),ABS('SW Rev'!P42-'SW Rev'!L42)&gt;=1),('SW OpInc'!P42-'SW OpInc'!L42)/('SW Rev'!P42-'SW Rev'!L42),""),"")</f>
        <v/>
      </c>
      <c r="M859" s="38">
        <f>IFERROR(IF(AND(ISNUMBER('SW OpInc'!Q42),ISNUMBER('SW OpInc'!M42),ISNUMBER('SW Rev'!Q42),ISNUMBER('SW Rev'!M42),ABS('SW Rev'!Q42-'SW Rev'!M42)&gt;=1),('SW OpInc'!Q42-'SW OpInc'!M42)/('SW Rev'!Q42-'SW Rev'!M42),""),"")</f>
        <v/>
      </c>
      <c r="N859" s="38">
        <f>IFERROR(IF(AND(ISNUMBER('SW OpInc'!R42),ISNUMBER('SW OpInc'!N42),ISNUMBER('SW Rev'!R42),ISNUMBER('SW Rev'!N42),ABS('SW Rev'!R42-'SW Rev'!N42)&gt;=1),('SW OpInc'!R42-'SW OpInc'!N42)/('SW Rev'!R42-'SW Rev'!N42),""),"")</f>
        <v/>
      </c>
    </row>
    <row r="860">
      <c r="A860" s="19">
        <f>'SW Rev'!$A43</f>
        <v/>
      </c>
      <c r="B860" s="19">
        <f>'SW Rev'!$B43</f>
        <v/>
      </c>
      <c r="C860" s="37">
        <f>IFERROR(IF(AND(ISNUMBER('SW OpInc'!G43),ISNUMBER('SW OpInc'!C43),ISNUMBER('SW Rev'!G43),ISNUMBER('SW Rev'!C43),ABS('SW Rev'!G43-'SW Rev'!C43)&gt;=1),('SW OpInc'!G43-'SW OpInc'!C43)/('SW Rev'!G43-'SW Rev'!C43),""),"")</f>
        <v/>
      </c>
      <c r="D860" s="37">
        <f>IFERROR(IF(AND(ISNUMBER('SW OpInc'!H43),ISNUMBER('SW OpInc'!D43),ISNUMBER('SW Rev'!H43),ISNUMBER('SW Rev'!D43),ABS('SW Rev'!H43-'SW Rev'!D43)&gt;=1),('SW OpInc'!H43-'SW OpInc'!D43)/('SW Rev'!H43-'SW Rev'!D43),""),"")</f>
        <v/>
      </c>
      <c r="E860" s="37">
        <f>IFERROR(IF(AND(ISNUMBER('SW OpInc'!I43),ISNUMBER('SW OpInc'!E43),ISNUMBER('SW Rev'!I43),ISNUMBER('SW Rev'!E43),ABS('SW Rev'!I43-'SW Rev'!E43)&gt;=1),('SW OpInc'!I43-'SW OpInc'!E43)/('SW Rev'!I43-'SW Rev'!E43),""),"")</f>
        <v/>
      </c>
      <c r="F860" s="37">
        <f>IFERROR(IF(AND(ISNUMBER('SW OpInc'!J43),ISNUMBER('SW OpInc'!F43),ISNUMBER('SW Rev'!J43),ISNUMBER('SW Rev'!F43),ABS('SW Rev'!J43-'SW Rev'!F43)&gt;=1),('SW OpInc'!J43-'SW OpInc'!F43)/('SW Rev'!J43-'SW Rev'!F43),""),"")</f>
        <v/>
      </c>
      <c r="G860" s="37">
        <f>IFERROR(IF(AND(ISNUMBER('SW OpInc'!K43),ISNUMBER('SW OpInc'!G43),ISNUMBER('SW Rev'!K43),ISNUMBER('SW Rev'!G43),ABS('SW Rev'!K43-'SW Rev'!G43)&gt;=1),('SW OpInc'!K43-'SW OpInc'!G43)/('SW Rev'!K43-'SW Rev'!G43),""),"")</f>
        <v/>
      </c>
      <c r="H860" s="37">
        <f>IFERROR(IF(AND(ISNUMBER('SW OpInc'!L43),ISNUMBER('SW OpInc'!H43),ISNUMBER('SW Rev'!L43),ISNUMBER('SW Rev'!H43),ABS('SW Rev'!L43-'SW Rev'!H43)&gt;=1),('SW OpInc'!L43-'SW OpInc'!H43)/('SW Rev'!L43-'SW Rev'!H43),""),"")</f>
        <v/>
      </c>
      <c r="I860" s="37">
        <f>IFERROR(IF(AND(ISNUMBER('SW OpInc'!M43),ISNUMBER('SW OpInc'!I43),ISNUMBER('SW Rev'!M43),ISNUMBER('SW Rev'!I43),ABS('SW Rev'!M43-'SW Rev'!I43)&gt;=1),('SW OpInc'!M43-'SW OpInc'!I43)/('SW Rev'!M43-'SW Rev'!I43),""),"")</f>
        <v/>
      </c>
      <c r="J860" s="37">
        <f>IFERROR(IF(AND(ISNUMBER('SW OpInc'!N43),ISNUMBER('SW OpInc'!J43),ISNUMBER('SW Rev'!N43),ISNUMBER('SW Rev'!J43),ABS('SW Rev'!N43-'SW Rev'!J43)&gt;=1),('SW OpInc'!N43-'SW OpInc'!J43)/('SW Rev'!N43-'SW Rev'!J43),""),"")</f>
        <v/>
      </c>
      <c r="K860" s="37">
        <f>IFERROR(IF(AND(ISNUMBER('SW OpInc'!O43),ISNUMBER('SW OpInc'!K43),ISNUMBER('SW Rev'!O43),ISNUMBER('SW Rev'!K43),ABS('SW Rev'!O43-'SW Rev'!K43)&gt;=1),('SW OpInc'!O43-'SW OpInc'!K43)/('SW Rev'!O43-'SW Rev'!K43),""),"")</f>
        <v/>
      </c>
      <c r="L860" s="37">
        <f>IFERROR(IF(AND(ISNUMBER('SW OpInc'!P43),ISNUMBER('SW OpInc'!L43),ISNUMBER('SW Rev'!P43),ISNUMBER('SW Rev'!L43),ABS('SW Rev'!P43-'SW Rev'!L43)&gt;=1),('SW OpInc'!P43-'SW OpInc'!L43)/('SW Rev'!P43-'SW Rev'!L43),""),"")</f>
        <v/>
      </c>
      <c r="M860" s="38">
        <f>IFERROR(IF(AND(ISNUMBER('SW OpInc'!Q43),ISNUMBER('SW OpInc'!M43),ISNUMBER('SW Rev'!Q43),ISNUMBER('SW Rev'!M43),ABS('SW Rev'!Q43-'SW Rev'!M43)&gt;=1),('SW OpInc'!Q43-'SW OpInc'!M43)/('SW Rev'!Q43-'SW Rev'!M43),""),"")</f>
        <v/>
      </c>
      <c r="N860" s="38">
        <f>IFERROR(IF(AND(ISNUMBER('SW OpInc'!R43),ISNUMBER('SW OpInc'!N43),ISNUMBER('SW Rev'!R43),ISNUMBER('SW Rev'!N43),ABS('SW Rev'!R43-'SW Rev'!N43)&gt;=1),('SW OpInc'!R43-'SW OpInc'!N43)/('SW Rev'!R43-'SW Rev'!N43),""),"")</f>
        <v/>
      </c>
    </row>
    <row r="861">
      <c r="A861" s="19">
        <f>'SW Rev'!$A44</f>
        <v/>
      </c>
      <c r="B861" s="19">
        <f>'SW Rev'!$B44</f>
        <v/>
      </c>
      <c r="C861" s="37">
        <f>IFERROR(IF(AND(ISNUMBER('SW OpInc'!G44),ISNUMBER('SW OpInc'!C44),ISNUMBER('SW Rev'!G44),ISNUMBER('SW Rev'!C44),ABS('SW Rev'!G44-'SW Rev'!C44)&gt;=1),('SW OpInc'!G44-'SW OpInc'!C44)/('SW Rev'!G44-'SW Rev'!C44),""),"")</f>
        <v/>
      </c>
      <c r="D861" s="37">
        <f>IFERROR(IF(AND(ISNUMBER('SW OpInc'!H44),ISNUMBER('SW OpInc'!D44),ISNUMBER('SW Rev'!H44),ISNUMBER('SW Rev'!D44),ABS('SW Rev'!H44-'SW Rev'!D44)&gt;=1),('SW OpInc'!H44-'SW OpInc'!D44)/('SW Rev'!H44-'SW Rev'!D44),""),"")</f>
        <v/>
      </c>
      <c r="E861" s="37">
        <f>IFERROR(IF(AND(ISNUMBER('SW OpInc'!I44),ISNUMBER('SW OpInc'!E44),ISNUMBER('SW Rev'!I44),ISNUMBER('SW Rev'!E44),ABS('SW Rev'!I44-'SW Rev'!E44)&gt;=1),('SW OpInc'!I44-'SW OpInc'!E44)/('SW Rev'!I44-'SW Rev'!E44),""),"")</f>
        <v/>
      </c>
      <c r="F861" s="37">
        <f>IFERROR(IF(AND(ISNUMBER('SW OpInc'!J44),ISNUMBER('SW OpInc'!F44),ISNUMBER('SW Rev'!J44),ISNUMBER('SW Rev'!F44),ABS('SW Rev'!J44-'SW Rev'!F44)&gt;=1),('SW OpInc'!J44-'SW OpInc'!F44)/('SW Rev'!J44-'SW Rev'!F44),""),"")</f>
        <v/>
      </c>
      <c r="G861" s="37">
        <f>IFERROR(IF(AND(ISNUMBER('SW OpInc'!K44),ISNUMBER('SW OpInc'!G44),ISNUMBER('SW Rev'!K44),ISNUMBER('SW Rev'!G44),ABS('SW Rev'!K44-'SW Rev'!G44)&gt;=1),('SW OpInc'!K44-'SW OpInc'!G44)/('SW Rev'!K44-'SW Rev'!G44),""),"")</f>
        <v/>
      </c>
      <c r="H861" s="37">
        <f>IFERROR(IF(AND(ISNUMBER('SW OpInc'!L44),ISNUMBER('SW OpInc'!H44),ISNUMBER('SW Rev'!L44),ISNUMBER('SW Rev'!H44),ABS('SW Rev'!L44-'SW Rev'!H44)&gt;=1),('SW OpInc'!L44-'SW OpInc'!H44)/('SW Rev'!L44-'SW Rev'!H44),""),"")</f>
        <v/>
      </c>
      <c r="I861" s="37">
        <f>IFERROR(IF(AND(ISNUMBER('SW OpInc'!M44),ISNUMBER('SW OpInc'!I44),ISNUMBER('SW Rev'!M44),ISNUMBER('SW Rev'!I44),ABS('SW Rev'!M44-'SW Rev'!I44)&gt;=1),('SW OpInc'!M44-'SW OpInc'!I44)/('SW Rev'!M44-'SW Rev'!I44),""),"")</f>
        <v/>
      </c>
      <c r="J861" s="37">
        <f>IFERROR(IF(AND(ISNUMBER('SW OpInc'!N44),ISNUMBER('SW OpInc'!J44),ISNUMBER('SW Rev'!N44),ISNUMBER('SW Rev'!J44),ABS('SW Rev'!N44-'SW Rev'!J44)&gt;=1),('SW OpInc'!N44-'SW OpInc'!J44)/('SW Rev'!N44-'SW Rev'!J44),""),"")</f>
        <v/>
      </c>
      <c r="K861" s="37">
        <f>IFERROR(IF(AND(ISNUMBER('SW OpInc'!O44),ISNUMBER('SW OpInc'!K44),ISNUMBER('SW Rev'!O44),ISNUMBER('SW Rev'!K44),ABS('SW Rev'!O44-'SW Rev'!K44)&gt;=1),('SW OpInc'!O44-'SW OpInc'!K44)/('SW Rev'!O44-'SW Rev'!K44),""),"")</f>
        <v/>
      </c>
      <c r="L861" s="37">
        <f>IFERROR(IF(AND(ISNUMBER('SW OpInc'!P44),ISNUMBER('SW OpInc'!L44),ISNUMBER('SW Rev'!P44),ISNUMBER('SW Rev'!L44),ABS('SW Rev'!P44-'SW Rev'!L44)&gt;=1),('SW OpInc'!P44-'SW OpInc'!L44)/('SW Rev'!P44-'SW Rev'!L44),""),"")</f>
        <v/>
      </c>
      <c r="M861" s="38">
        <f>IFERROR(IF(AND(ISNUMBER('SW OpInc'!Q44),ISNUMBER('SW OpInc'!M44),ISNUMBER('SW Rev'!Q44),ISNUMBER('SW Rev'!M44),ABS('SW Rev'!Q44-'SW Rev'!M44)&gt;=1),('SW OpInc'!Q44-'SW OpInc'!M44)/('SW Rev'!Q44-'SW Rev'!M44),""),"")</f>
        <v/>
      </c>
      <c r="N861" s="38">
        <f>IFERROR(IF(AND(ISNUMBER('SW OpInc'!R44),ISNUMBER('SW OpInc'!N44),ISNUMBER('SW Rev'!R44),ISNUMBER('SW Rev'!N44),ABS('SW Rev'!R44-'SW Rev'!N44)&gt;=1),('SW OpInc'!R44-'SW OpInc'!N44)/('SW Rev'!R44-'SW Rev'!N44),""),"")</f>
        <v/>
      </c>
    </row>
    <row r="862">
      <c r="A862" s="19">
        <f>'SW Rev'!$A45</f>
        <v/>
      </c>
      <c r="B862" s="19">
        <f>'SW Rev'!$B45</f>
        <v/>
      </c>
      <c r="C862" s="37">
        <f>IFERROR(IF(AND(ISNUMBER('SW OpInc'!G45),ISNUMBER('SW OpInc'!C45),ISNUMBER('SW Rev'!G45),ISNUMBER('SW Rev'!C45),ABS('SW Rev'!G45-'SW Rev'!C45)&gt;=1),('SW OpInc'!G45-'SW OpInc'!C45)/('SW Rev'!G45-'SW Rev'!C45),""),"")</f>
        <v/>
      </c>
      <c r="D862" s="37">
        <f>IFERROR(IF(AND(ISNUMBER('SW OpInc'!H45),ISNUMBER('SW OpInc'!D45),ISNUMBER('SW Rev'!H45),ISNUMBER('SW Rev'!D45),ABS('SW Rev'!H45-'SW Rev'!D45)&gt;=1),('SW OpInc'!H45-'SW OpInc'!D45)/('SW Rev'!H45-'SW Rev'!D45),""),"")</f>
        <v/>
      </c>
      <c r="E862" s="37">
        <f>IFERROR(IF(AND(ISNUMBER('SW OpInc'!I45),ISNUMBER('SW OpInc'!E45),ISNUMBER('SW Rev'!I45),ISNUMBER('SW Rev'!E45),ABS('SW Rev'!I45-'SW Rev'!E45)&gt;=1),('SW OpInc'!I45-'SW OpInc'!E45)/('SW Rev'!I45-'SW Rev'!E45),""),"")</f>
        <v/>
      </c>
      <c r="F862" s="37">
        <f>IFERROR(IF(AND(ISNUMBER('SW OpInc'!J45),ISNUMBER('SW OpInc'!F45),ISNUMBER('SW Rev'!J45),ISNUMBER('SW Rev'!F45),ABS('SW Rev'!J45-'SW Rev'!F45)&gt;=1),('SW OpInc'!J45-'SW OpInc'!F45)/('SW Rev'!J45-'SW Rev'!F45),""),"")</f>
        <v/>
      </c>
      <c r="G862" s="37">
        <f>IFERROR(IF(AND(ISNUMBER('SW OpInc'!K45),ISNUMBER('SW OpInc'!G45),ISNUMBER('SW Rev'!K45),ISNUMBER('SW Rev'!G45),ABS('SW Rev'!K45-'SW Rev'!G45)&gt;=1),('SW OpInc'!K45-'SW OpInc'!G45)/('SW Rev'!K45-'SW Rev'!G45),""),"")</f>
        <v/>
      </c>
      <c r="H862" s="37">
        <f>IFERROR(IF(AND(ISNUMBER('SW OpInc'!L45),ISNUMBER('SW OpInc'!H45),ISNUMBER('SW Rev'!L45),ISNUMBER('SW Rev'!H45),ABS('SW Rev'!L45-'SW Rev'!H45)&gt;=1),('SW OpInc'!L45-'SW OpInc'!H45)/('SW Rev'!L45-'SW Rev'!H45),""),"")</f>
        <v/>
      </c>
      <c r="I862" s="37">
        <f>IFERROR(IF(AND(ISNUMBER('SW OpInc'!M45),ISNUMBER('SW OpInc'!I45),ISNUMBER('SW Rev'!M45),ISNUMBER('SW Rev'!I45),ABS('SW Rev'!M45-'SW Rev'!I45)&gt;=1),('SW OpInc'!M45-'SW OpInc'!I45)/('SW Rev'!M45-'SW Rev'!I45),""),"")</f>
        <v/>
      </c>
      <c r="J862" s="37">
        <f>IFERROR(IF(AND(ISNUMBER('SW OpInc'!N45),ISNUMBER('SW OpInc'!J45),ISNUMBER('SW Rev'!N45),ISNUMBER('SW Rev'!J45),ABS('SW Rev'!N45-'SW Rev'!J45)&gt;=1),('SW OpInc'!N45-'SW OpInc'!J45)/('SW Rev'!N45-'SW Rev'!J45),""),"")</f>
        <v/>
      </c>
      <c r="K862" s="37">
        <f>IFERROR(IF(AND(ISNUMBER('SW OpInc'!O45),ISNUMBER('SW OpInc'!K45),ISNUMBER('SW Rev'!O45),ISNUMBER('SW Rev'!K45),ABS('SW Rev'!O45-'SW Rev'!K45)&gt;=1),('SW OpInc'!O45-'SW OpInc'!K45)/('SW Rev'!O45-'SW Rev'!K45),""),"")</f>
        <v/>
      </c>
      <c r="L862" s="37">
        <f>IFERROR(IF(AND(ISNUMBER('SW OpInc'!P45),ISNUMBER('SW OpInc'!L45),ISNUMBER('SW Rev'!P45),ISNUMBER('SW Rev'!L45),ABS('SW Rev'!P45-'SW Rev'!L45)&gt;=1),('SW OpInc'!P45-'SW OpInc'!L45)/('SW Rev'!P45-'SW Rev'!L45),""),"")</f>
        <v/>
      </c>
      <c r="M862" s="38">
        <f>IFERROR(IF(AND(ISNUMBER('SW OpInc'!Q45),ISNUMBER('SW OpInc'!M45),ISNUMBER('SW Rev'!Q45),ISNUMBER('SW Rev'!M45),ABS('SW Rev'!Q45-'SW Rev'!M45)&gt;=1),('SW OpInc'!Q45-'SW OpInc'!M45)/('SW Rev'!Q45-'SW Rev'!M45),""),"")</f>
        <v/>
      </c>
      <c r="N862" s="38">
        <f>IFERROR(IF(AND(ISNUMBER('SW OpInc'!R45),ISNUMBER('SW OpInc'!N45),ISNUMBER('SW Rev'!R45),ISNUMBER('SW Rev'!N45),ABS('SW Rev'!R45-'SW Rev'!N45)&gt;=1),('SW OpInc'!R45-'SW OpInc'!N45)/('SW Rev'!R45-'SW Rev'!N45),""),"")</f>
        <v/>
      </c>
    </row>
    <row r="863">
      <c r="A863" s="19">
        <f>'SW Rev'!$A46</f>
        <v/>
      </c>
      <c r="B863" s="19">
        <f>'SW Rev'!$B46</f>
        <v/>
      </c>
      <c r="C863" s="37">
        <f>IFERROR(IF(AND(ISNUMBER('SW OpInc'!G46),ISNUMBER('SW OpInc'!C46),ISNUMBER('SW Rev'!G46),ISNUMBER('SW Rev'!C46),ABS('SW Rev'!G46-'SW Rev'!C46)&gt;=1),('SW OpInc'!G46-'SW OpInc'!C46)/('SW Rev'!G46-'SW Rev'!C46),""),"")</f>
        <v/>
      </c>
      <c r="D863" s="37">
        <f>IFERROR(IF(AND(ISNUMBER('SW OpInc'!H46),ISNUMBER('SW OpInc'!D46),ISNUMBER('SW Rev'!H46),ISNUMBER('SW Rev'!D46),ABS('SW Rev'!H46-'SW Rev'!D46)&gt;=1),('SW OpInc'!H46-'SW OpInc'!D46)/('SW Rev'!H46-'SW Rev'!D46),""),"")</f>
        <v/>
      </c>
      <c r="E863" s="37">
        <f>IFERROR(IF(AND(ISNUMBER('SW OpInc'!I46),ISNUMBER('SW OpInc'!E46),ISNUMBER('SW Rev'!I46),ISNUMBER('SW Rev'!E46),ABS('SW Rev'!I46-'SW Rev'!E46)&gt;=1),('SW OpInc'!I46-'SW OpInc'!E46)/('SW Rev'!I46-'SW Rev'!E46),""),"")</f>
        <v/>
      </c>
      <c r="F863" s="37">
        <f>IFERROR(IF(AND(ISNUMBER('SW OpInc'!J46),ISNUMBER('SW OpInc'!F46),ISNUMBER('SW Rev'!J46),ISNUMBER('SW Rev'!F46),ABS('SW Rev'!J46-'SW Rev'!F46)&gt;=1),('SW OpInc'!J46-'SW OpInc'!F46)/('SW Rev'!J46-'SW Rev'!F46),""),"")</f>
        <v/>
      </c>
      <c r="G863" s="37">
        <f>IFERROR(IF(AND(ISNUMBER('SW OpInc'!K46),ISNUMBER('SW OpInc'!G46),ISNUMBER('SW Rev'!K46),ISNUMBER('SW Rev'!G46),ABS('SW Rev'!K46-'SW Rev'!G46)&gt;=1),('SW OpInc'!K46-'SW OpInc'!G46)/('SW Rev'!K46-'SW Rev'!G46),""),"")</f>
        <v/>
      </c>
      <c r="H863" s="37">
        <f>IFERROR(IF(AND(ISNUMBER('SW OpInc'!L46),ISNUMBER('SW OpInc'!H46),ISNUMBER('SW Rev'!L46),ISNUMBER('SW Rev'!H46),ABS('SW Rev'!L46-'SW Rev'!H46)&gt;=1),('SW OpInc'!L46-'SW OpInc'!H46)/('SW Rev'!L46-'SW Rev'!H46),""),"")</f>
        <v/>
      </c>
      <c r="I863" s="37">
        <f>IFERROR(IF(AND(ISNUMBER('SW OpInc'!M46),ISNUMBER('SW OpInc'!I46),ISNUMBER('SW Rev'!M46),ISNUMBER('SW Rev'!I46),ABS('SW Rev'!M46-'SW Rev'!I46)&gt;=1),('SW OpInc'!M46-'SW OpInc'!I46)/('SW Rev'!M46-'SW Rev'!I46),""),"")</f>
        <v/>
      </c>
      <c r="J863" s="37">
        <f>IFERROR(IF(AND(ISNUMBER('SW OpInc'!N46),ISNUMBER('SW OpInc'!J46),ISNUMBER('SW Rev'!N46),ISNUMBER('SW Rev'!J46),ABS('SW Rev'!N46-'SW Rev'!J46)&gt;=1),('SW OpInc'!N46-'SW OpInc'!J46)/('SW Rev'!N46-'SW Rev'!J46),""),"")</f>
        <v/>
      </c>
      <c r="K863" s="37">
        <f>IFERROR(IF(AND(ISNUMBER('SW OpInc'!O46),ISNUMBER('SW OpInc'!K46),ISNUMBER('SW Rev'!O46),ISNUMBER('SW Rev'!K46),ABS('SW Rev'!O46-'SW Rev'!K46)&gt;=1),('SW OpInc'!O46-'SW OpInc'!K46)/('SW Rev'!O46-'SW Rev'!K46),""),"")</f>
        <v/>
      </c>
      <c r="L863" s="37">
        <f>IFERROR(IF(AND(ISNUMBER('SW OpInc'!P46),ISNUMBER('SW OpInc'!L46),ISNUMBER('SW Rev'!P46),ISNUMBER('SW Rev'!L46),ABS('SW Rev'!P46-'SW Rev'!L46)&gt;=1),('SW OpInc'!P46-'SW OpInc'!L46)/('SW Rev'!P46-'SW Rev'!L46),""),"")</f>
        <v/>
      </c>
      <c r="M863" s="38">
        <f>IFERROR(IF(AND(ISNUMBER('SW OpInc'!Q46),ISNUMBER('SW OpInc'!M46),ISNUMBER('SW Rev'!Q46),ISNUMBER('SW Rev'!M46),ABS('SW Rev'!Q46-'SW Rev'!M46)&gt;=1),('SW OpInc'!Q46-'SW OpInc'!M46)/('SW Rev'!Q46-'SW Rev'!M46),""),"")</f>
        <v/>
      </c>
      <c r="N863" s="38">
        <f>IFERROR(IF(AND(ISNUMBER('SW OpInc'!R46),ISNUMBER('SW OpInc'!N46),ISNUMBER('SW Rev'!R46),ISNUMBER('SW Rev'!N46),ABS('SW Rev'!R46-'SW Rev'!N46)&gt;=1),('SW OpInc'!R46-'SW OpInc'!N46)/('SW Rev'!R46-'SW Rev'!N46),""),"")</f>
        <v/>
      </c>
    </row>
    <row r="864">
      <c r="A864" s="19">
        <f>'SW Rev'!$A47</f>
        <v/>
      </c>
      <c r="B864" s="19">
        <f>'SW Rev'!$B47</f>
        <v/>
      </c>
      <c r="C864" s="37">
        <f>IFERROR(IF(AND(ISNUMBER('SW OpInc'!G47),ISNUMBER('SW OpInc'!C47),ISNUMBER('SW Rev'!G47),ISNUMBER('SW Rev'!C47),ABS('SW Rev'!G47-'SW Rev'!C47)&gt;=1),('SW OpInc'!G47-'SW OpInc'!C47)/('SW Rev'!G47-'SW Rev'!C47),""),"")</f>
        <v/>
      </c>
      <c r="D864" s="37">
        <f>IFERROR(IF(AND(ISNUMBER('SW OpInc'!H47),ISNUMBER('SW OpInc'!D47),ISNUMBER('SW Rev'!H47),ISNUMBER('SW Rev'!D47),ABS('SW Rev'!H47-'SW Rev'!D47)&gt;=1),('SW OpInc'!H47-'SW OpInc'!D47)/('SW Rev'!H47-'SW Rev'!D47),""),"")</f>
        <v/>
      </c>
      <c r="E864" s="37">
        <f>IFERROR(IF(AND(ISNUMBER('SW OpInc'!I47),ISNUMBER('SW OpInc'!E47),ISNUMBER('SW Rev'!I47),ISNUMBER('SW Rev'!E47),ABS('SW Rev'!I47-'SW Rev'!E47)&gt;=1),('SW OpInc'!I47-'SW OpInc'!E47)/('SW Rev'!I47-'SW Rev'!E47),""),"")</f>
        <v/>
      </c>
      <c r="F864" s="37">
        <f>IFERROR(IF(AND(ISNUMBER('SW OpInc'!J47),ISNUMBER('SW OpInc'!F47),ISNUMBER('SW Rev'!J47),ISNUMBER('SW Rev'!F47),ABS('SW Rev'!J47-'SW Rev'!F47)&gt;=1),('SW OpInc'!J47-'SW OpInc'!F47)/('SW Rev'!J47-'SW Rev'!F47),""),"")</f>
        <v/>
      </c>
      <c r="G864" s="37">
        <f>IFERROR(IF(AND(ISNUMBER('SW OpInc'!K47),ISNUMBER('SW OpInc'!G47),ISNUMBER('SW Rev'!K47),ISNUMBER('SW Rev'!G47),ABS('SW Rev'!K47-'SW Rev'!G47)&gt;=1),('SW OpInc'!K47-'SW OpInc'!G47)/('SW Rev'!K47-'SW Rev'!G47),""),"")</f>
        <v/>
      </c>
      <c r="H864" s="37">
        <f>IFERROR(IF(AND(ISNUMBER('SW OpInc'!L47),ISNUMBER('SW OpInc'!H47),ISNUMBER('SW Rev'!L47),ISNUMBER('SW Rev'!H47),ABS('SW Rev'!L47-'SW Rev'!H47)&gt;=1),('SW OpInc'!L47-'SW OpInc'!H47)/('SW Rev'!L47-'SW Rev'!H47),""),"")</f>
        <v/>
      </c>
      <c r="I864" s="37">
        <f>IFERROR(IF(AND(ISNUMBER('SW OpInc'!M47),ISNUMBER('SW OpInc'!I47),ISNUMBER('SW Rev'!M47),ISNUMBER('SW Rev'!I47),ABS('SW Rev'!M47-'SW Rev'!I47)&gt;=1),('SW OpInc'!M47-'SW OpInc'!I47)/('SW Rev'!M47-'SW Rev'!I47),""),"")</f>
        <v/>
      </c>
      <c r="J864" s="37">
        <f>IFERROR(IF(AND(ISNUMBER('SW OpInc'!N47),ISNUMBER('SW OpInc'!J47),ISNUMBER('SW Rev'!N47),ISNUMBER('SW Rev'!J47),ABS('SW Rev'!N47-'SW Rev'!J47)&gt;=1),('SW OpInc'!N47-'SW OpInc'!J47)/('SW Rev'!N47-'SW Rev'!J47),""),"")</f>
        <v/>
      </c>
      <c r="K864" s="37">
        <f>IFERROR(IF(AND(ISNUMBER('SW OpInc'!O47),ISNUMBER('SW OpInc'!K47),ISNUMBER('SW Rev'!O47),ISNUMBER('SW Rev'!K47),ABS('SW Rev'!O47-'SW Rev'!K47)&gt;=1),('SW OpInc'!O47-'SW OpInc'!K47)/('SW Rev'!O47-'SW Rev'!K47),""),"")</f>
        <v/>
      </c>
      <c r="L864" s="37">
        <f>IFERROR(IF(AND(ISNUMBER('SW OpInc'!P47),ISNUMBER('SW OpInc'!L47),ISNUMBER('SW Rev'!P47),ISNUMBER('SW Rev'!L47),ABS('SW Rev'!P47-'SW Rev'!L47)&gt;=1),('SW OpInc'!P47-'SW OpInc'!L47)/('SW Rev'!P47-'SW Rev'!L47),""),"")</f>
        <v/>
      </c>
      <c r="M864" s="38">
        <f>IFERROR(IF(AND(ISNUMBER('SW OpInc'!Q47),ISNUMBER('SW OpInc'!M47),ISNUMBER('SW Rev'!Q47),ISNUMBER('SW Rev'!M47),ABS('SW Rev'!Q47-'SW Rev'!M47)&gt;=1),('SW OpInc'!Q47-'SW OpInc'!M47)/('SW Rev'!Q47-'SW Rev'!M47),""),"")</f>
        <v/>
      </c>
      <c r="N864" s="38">
        <f>IFERROR(IF(AND(ISNUMBER('SW OpInc'!R47),ISNUMBER('SW OpInc'!N47),ISNUMBER('SW Rev'!R47),ISNUMBER('SW Rev'!N47),ABS('SW Rev'!R47-'SW Rev'!N47)&gt;=1),('SW OpInc'!R47-'SW OpInc'!N47)/('SW Rev'!R47-'SW Rev'!N47),""),"")</f>
        <v/>
      </c>
    </row>
    <row r="865">
      <c r="A865" s="19">
        <f>'SW Rev'!$A48</f>
        <v/>
      </c>
      <c r="B865" s="19">
        <f>'SW Rev'!$B48</f>
        <v/>
      </c>
      <c r="C865" s="37">
        <f>IFERROR(IF(AND(ISNUMBER('SW OpInc'!G48),ISNUMBER('SW OpInc'!C48),ISNUMBER('SW Rev'!G48),ISNUMBER('SW Rev'!C48),ABS('SW Rev'!G48-'SW Rev'!C48)&gt;=1),('SW OpInc'!G48-'SW OpInc'!C48)/('SW Rev'!G48-'SW Rev'!C48),""),"")</f>
        <v/>
      </c>
      <c r="D865" s="37">
        <f>IFERROR(IF(AND(ISNUMBER('SW OpInc'!H48),ISNUMBER('SW OpInc'!D48),ISNUMBER('SW Rev'!H48),ISNUMBER('SW Rev'!D48),ABS('SW Rev'!H48-'SW Rev'!D48)&gt;=1),('SW OpInc'!H48-'SW OpInc'!D48)/('SW Rev'!H48-'SW Rev'!D48),""),"")</f>
        <v/>
      </c>
      <c r="E865" s="37">
        <f>IFERROR(IF(AND(ISNUMBER('SW OpInc'!I48),ISNUMBER('SW OpInc'!E48),ISNUMBER('SW Rev'!I48),ISNUMBER('SW Rev'!E48),ABS('SW Rev'!I48-'SW Rev'!E48)&gt;=1),('SW OpInc'!I48-'SW OpInc'!E48)/('SW Rev'!I48-'SW Rev'!E48),""),"")</f>
        <v/>
      </c>
      <c r="F865" s="37">
        <f>IFERROR(IF(AND(ISNUMBER('SW OpInc'!J48),ISNUMBER('SW OpInc'!F48),ISNUMBER('SW Rev'!J48),ISNUMBER('SW Rev'!F48),ABS('SW Rev'!J48-'SW Rev'!F48)&gt;=1),('SW OpInc'!J48-'SW OpInc'!F48)/('SW Rev'!J48-'SW Rev'!F48),""),"")</f>
        <v/>
      </c>
      <c r="G865" s="37">
        <f>IFERROR(IF(AND(ISNUMBER('SW OpInc'!K48),ISNUMBER('SW OpInc'!G48),ISNUMBER('SW Rev'!K48),ISNUMBER('SW Rev'!G48),ABS('SW Rev'!K48-'SW Rev'!G48)&gt;=1),('SW OpInc'!K48-'SW OpInc'!G48)/('SW Rev'!K48-'SW Rev'!G48),""),"")</f>
        <v/>
      </c>
      <c r="H865" s="37">
        <f>IFERROR(IF(AND(ISNUMBER('SW OpInc'!L48),ISNUMBER('SW OpInc'!H48),ISNUMBER('SW Rev'!L48),ISNUMBER('SW Rev'!H48),ABS('SW Rev'!L48-'SW Rev'!H48)&gt;=1),('SW OpInc'!L48-'SW OpInc'!H48)/('SW Rev'!L48-'SW Rev'!H48),""),"")</f>
        <v/>
      </c>
      <c r="I865" s="37">
        <f>IFERROR(IF(AND(ISNUMBER('SW OpInc'!M48),ISNUMBER('SW OpInc'!I48),ISNUMBER('SW Rev'!M48),ISNUMBER('SW Rev'!I48),ABS('SW Rev'!M48-'SW Rev'!I48)&gt;=1),('SW OpInc'!M48-'SW OpInc'!I48)/('SW Rev'!M48-'SW Rev'!I48),""),"")</f>
        <v/>
      </c>
      <c r="J865" s="37">
        <f>IFERROR(IF(AND(ISNUMBER('SW OpInc'!N48),ISNUMBER('SW OpInc'!J48),ISNUMBER('SW Rev'!N48),ISNUMBER('SW Rev'!J48),ABS('SW Rev'!N48-'SW Rev'!J48)&gt;=1),('SW OpInc'!N48-'SW OpInc'!J48)/('SW Rev'!N48-'SW Rev'!J48),""),"")</f>
        <v/>
      </c>
      <c r="K865" s="37">
        <f>IFERROR(IF(AND(ISNUMBER('SW OpInc'!O48),ISNUMBER('SW OpInc'!K48),ISNUMBER('SW Rev'!O48),ISNUMBER('SW Rev'!K48),ABS('SW Rev'!O48-'SW Rev'!K48)&gt;=1),('SW OpInc'!O48-'SW OpInc'!K48)/('SW Rev'!O48-'SW Rev'!K48),""),"")</f>
        <v/>
      </c>
      <c r="L865" s="37">
        <f>IFERROR(IF(AND(ISNUMBER('SW OpInc'!P48),ISNUMBER('SW OpInc'!L48),ISNUMBER('SW Rev'!P48),ISNUMBER('SW Rev'!L48),ABS('SW Rev'!P48-'SW Rev'!L48)&gt;=1),('SW OpInc'!P48-'SW OpInc'!L48)/('SW Rev'!P48-'SW Rev'!L48),""),"")</f>
        <v/>
      </c>
      <c r="M865" s="38">
        <f>IFERROR(IF(AND(ISNUMBER('SW OpInc'!Q48),ISNUMBER('SW OpInc'!M48),ISNUMBER('SW Rev'!Q48),ISNUMBER('SW Rev'!M48),ABS('SW Rev'!Q48-'SW Rev'!M48)&gt;=1),('SW OpInc'!Q48-'SW OpInc'!M48)/('SW Rev'!Q48-'SW Rev'!M48),""),"")</f>
        <v/>
      </c>
      <c r="N865" s="38">
        <f>IFERROR(IF(AND(ISNUMBER('SW OpInc'!R48),ISNUMBER('SW OpInc'!N48),ISNUMBER('SW Rev'!R48),ISNUMBER('SW Rev'!N48),ABS('SW Rev'!R48-'SW Rev'!N48)&gt;=1),('SW OpInc'!R48-'SW OpInc'!N48)/('SW Rev'!R48-'SW Rev'!N48),""),"")</f>
        <v/>
      </c>
    </row>
    <row r="866">
      <c r="A866" s="19">
        <f>'SW Rev'!$A49</f>
        <v/>
      </c>
      <c r="B866" s="19">
        <f>'SW Rev'!$B49</f>
        <v/>
      </c>
      <c r="C866" s="37">
        <f>IFERROR(IF(AND(ISNUMBER('SW OpInc'!G49),ISNUMBER('SW OpInc'!C49),ISNUMBER('SW Rev'!G49),ISNUMBER('SW Rev'!C49),ABS('SW Rev'!G49-'SW Rev'!C49)&gt;=1),('SW OpInc'!G49-'SW OpInc'!C49)/('SW Rev'!G49-'SW Rev'!C49),""),"")</f>
        <v/>
      </c>
      <c r="D866" s="37">
        <f>IFERROR(IF(AND(ISNUMBER('SW OpInc'!H49),ISNUMBER('SW OpInc'!D49),ISNUMBER('SW Rev'!H49),ISNUMBER('SW Rev'!D49),ABS('SW Rev'!H49-'SW Rev'!D49)&gt;=1),('SW OpInc'!H49-'SW OpInc'!D49)/('SW Rev'!H49-'SW Rev'!D49),""),"")</f>
        <v/>
      </c>
      <c r="E866" s="37">
        <f>IFERROR(IF(AND(ISNUMBER('SW OpInc'!I49),ISNUMBER('SW OpInc'!E49),ISNUMBER('SW Rev'!I49),ISNUMBER('SW Rev'!E49),ABS('SW Rev'!I49-'SW Rev'!E49)&gt;=1),('SW OpInc'!I49-'SW OpInc'!E49)/('SW Rev'!I49-'SW Rev'!E49),""),"")</f>
        <v/>
      </c>
      <c r="F866" s="37">
        <f>IFERROR(IF(AND(ISNUMBER('SW OpInc'!J49),ISNUMBER('SW OpInc'!F49),ISNUMBER('SW Rev'!J49),ISNUMBER('SW Rev'!F49),ABS('SW Rev'!J49-'SW Rev'!F49)&gt;=1),('SW OpInc'!J49-'SW OpInc'!F49)/('SW Rev'!J49-'SW Rev'!F49),""),"")</f>
        <v/>
      </c>
      <c r="G866" s="37">
        <f>IFERROR(IF(AND(ISNUMBER('SW OpInc'!K49),ISNUMBER('SW OpInc'!G49),ISNUMBER('SW Rev'!K49),ISNUMBER('SW Rev'!G49),ABS('SW Rev'!K49-'SW Rev'!G49)&gt;=1),('SW OpInc'!K49-'SW OpInc'!G49)/('SW Rev'!K49-'SW Rev'!G49),""),"")</f>
        <v/>
      </c>
      <c r="H866" s="37">
        <f>IFERROR(IF(AND(ISNUMBER('SW OpInc'!L49),ISNUMBER('SW OpInc'!H49),ISNUMBER('SW Rev'!L49),ISNUMBER('SW Rev'!H49),ABS('SW Rev'!L49-'SW Rev'!H49)&gt;=1),('SW OpInc'!L49-'SW OpInc'!H49)/('SW Rev'!L49-'SW Rev'!H49),""),"")</f>
        <v/>
      </c>
      <c r="I866" s="37">
        <f>IFERROR(IF(AND(ISNUMBER('SW OpInc'!M49),ISNUMBER('SW OpInc'!I49),ISNUMBER('SW Rev'!M49),ISNUMBER('SW Rev'!I49),ABS('SW Rev'!M49-'SW Rev'!I49)&gt;=1),('SW OpInc'!M49-'SW OpInc'!I49)/('SW Rev'!M49-'SW Rev'!I49),""),"")</f>
        <v/>
      </c>
      <c r="J866" s="37">
        <f>IFERROR(IF(AND(ISNUMBER('SW OpInc'!N49),ISNUMBER('SW OpInc'!J49),ISNUMBER('SW Rev'!N49),ISNUMBER('SW Rev'!J49),ABS('SW Rev'!N49-'SW Rev'!J49)&gt;=1),('SW OpInc'!N49-'SW OpInc'!J49)/('SW Rev'!N49-'SW Rev'!J49),""),"")</f>
        <v/>
      </c>
      <c r="K866" s="37">
        <f>IFERROR(IF(AND(ISNUMBER('SW OpInc'!O49),ISNUMBER('SW OpInc'!K49),ISNUMBER('SW Rev'!O49),ISNUMBER('SW Rev'!K49),ABS('SW Rev'!O49-'SW Rev'!K49)&gt;=1),('SW OpInc'!O49-'SW OpInc'!K49)/('SW Rev'!O49-'SW Rev'!K49),""),"")</f>
        <v/>
      </c>
      <c r="L866" s="37">
        <f>IFERROR(IF(AND(ISNUMBER('SW OpInc'!P49),ISNUMBER('SW OpInc'!L49),ISNUMBER('SW Rev'!P49),ISNUMBER('SW Rev'!L49),ABS('SW Rev'!P49-'SW Rev'!L49)&gt;=1),('SW OpInc'!P49-'SW OpInc'!L49)/('SW Rev'!P49-'SW Rev'!L49),""),"")</f>
        <v/>
      </c>
      <c r="M866" s="38">
        <f>IFERROR(IF(AND(ISNUMBER('SW OpInc'!Q49),ISNUMBER('SW OpInc'!M49),ISNUMBER('SW Rev'!Q49),ISNUMBER('SW Rev'!M49),ABS('SW Rev'!Q49-'SW Rev'!M49)&gt;=1),('SW OpInc'!Q49-'SW OpInc'!M49)/('SW Rev'!Q49-'SW Rev'!M49),""),"")</f>
        <v/>
      </c>
      <c r="N866" s="38">
        <f>IFERROR(IF(AND(ISNUMBER('SW OpInc'!R49),ISNUMBER('SW OpInc'!N49),ISNUMBER('SW Rev'!R49),ISNUMBER('SW Rev'!N49),ABS('SW Rev'!R49-'SW Rev'!N49)&gt;=1),('SW OpInc'!R49-'SW OpInc'!N49)/('SW Rev'!R49-'SW Rev'!N49),""),"")</f>
        <v/>
      </c>
    </row>
    <row r="867">
      <c r="A867" s="19">
        <f>'SW Rev'!$A50</f>
        <v/>
      </c>
      <c r="B867" s="19">
        <f>'SW Rev'!$B50</f>
        <v/>
      </c>
      <c r="C867" s="37">
        <f>IFERROR(IF(AND(ISNUMBER('SW OpInc'!G50),ISNUMBER('SW OpInc'!C50),ISNUMBER('SW Rev'!G50),ISNUMBER('SW Rev'!C50),ABS('SW Rev'!G50-'SW Rev'!C50)&gt;=1),('SW OpInc'!G50-'SW OpInc'!C50)/('SW Rev'!G50-'SW Rev'!C50),""),"")</f>
        <v/>
      </c>
      <c r="D867" s="37">
        <f>IFERROR(IF(AND(ISNUMBER('SW OpInc'!H50),ISNUMBER('SW OpInc'!D50),ISNUMBER('SW Rev'!H50),ISNUMBER('SW Rev'!D50),ABS('SW Rev'!H50-'SW Rev'!D50)&gt;=1),('SW OpInc'!H50-'SW OpInc'!D50)/('SW Rev'!H50-'SW Rev'!D50),""),"")</f>
        <v/>
      </c>
      <c r="E867" s="37">
        <f>IFERROR(IF(AND(ISNUMBER('SW OpInc'!I50),ISNUMBER('SW OpInc'!E50),ISNUMBER('SW Rev'!I50),ISNUMBER('SW Rev'!E50),ABS('SW Rev'!I50-'SW Rev'!E50)&gt;=1),('SW OpInc'!I50-'SW OpInc'!E50)/('SW Rev'!I50-'SW Rev'!E50),""),"")</f>
        <v/>
      </c>
      <c r="F867" s="37">
        <f>IFERROR(IF(AND(ISNUMBER('SW OpInc'!J50),ISNUMBER('SW OpInc'!F50),ISNUMBER('SW Rev'!J50),ISNUMBER('SW Rev'!F50),ABS('SW Rev'!J50-'SW Rev'!F50)&gt;=1),('SW OpInc'!J50-'SW OpInc'!F50)/('SW Rev'!J50-'SW Rev'!F50),""),"")</f>
        <v/>
      </c>
      <c r="G867" s="37">
        <f>IFERROR(IF(AND(ISNUMBER('SW OpInc'!K50),ISNUMBER('SW OpInc'!G50),ISNUMBER('SW Rev'!K50),ISNUMBER('SW Rev'!G50),ABS('SW Rev'!K50-'SW Rev'!G50)&gt;=1),('SW OpInc'!K50-'SW OpInc'!G50)/('SW Rev'!K50-'SW Rev'!G50),""),"")</f>
        <v/>
      </c>
      <c r="H867" s="37">
        <f>IFERROR(IF(AND(ISNUMBER('SW OpInc'!L50),ISNUMBER('SW OpInc'!H50),ISNUMBER('SW Rev'!L50),ISNUMBER('SW Rev'!H50),ABS('SW Rev'!L50-'SW Rev'!H50)&gt;=1),('SW OpInc'!L50-'SW OpInc'!H50)/('SW Rev'!L50-'SW Rev'!H50),""),"")</f>
        <v/>
      </c>
      <c r="I867" s="37">
        <f>IFERROR(IF(AND(ISNUMBER('SW OpInc'!M50),ISNUMBER('SW OpInc'!I50),ISNUMBER('SW Rev'!M50),ISNUMBER('SW Rev'!I50),ABS('SW Rev'!M50-'SW Rev'!I50)&gt;=1),('SW OpInc'!M50-'SW OpInc'!I50)/('SW Rev'!M50-'SW Rev'!I50),""),"")</f>
        <v/>
      </c>
      <c r="J867" s="37">
        <f>IFERROR(IF(AND(ISNUMBER('SW OpInc'!N50),ISNUMBER('SW OpInc'!J50),ISNUMBER('SW Rev'!N50),ISNUMBER('SW Rev'!J50),ABS('SW Rev'!N50-'SW Rev'!J50)&gt;=1),('SW OpInc'!N50-'SW OpInc'!J50)/('SW Rev'!N50-'SW Rev'!J50),""),"")</f>
        <v/>
      </c>
      <c r="K867" s="37">
        <f>IFERROR(IF(AND(ISNUMBER('SW OpInc'!O50),ISNUMBER('SW OpInc'!K50),ISNUMBER('SW Rev'!O50),ISNUMBER('SW Rev'!K50),ABS('SW Rev'!O50-'SW Rev'!K50)&gt;=1),('SW OpInc'!O50-'SW OpInc'!K50)/('SW Rev'!O50-'SW Rev'!K50),""),"")</f>
        <v/>
      </c>
      <c r="L867" s="37">
        <f>IFERROR(IF(AND(ISNUMBER('SW OpInc'!P50),ISNUMBER('SW OpInc'!L50),ISNUMBER('SW Rev'!P50),ISNUMBER('SW Rev'!L50),ABS('SW Rev'!P50-'SW Rev'!L50)&gt;=1),('SW OpInc'!P50-'SW OpInc'!L50)/('SW Rev'!P50-'SW Rev'!L50),""),"")</f>
        <v/>
      </c>
      <c r="M867" s="38">
        <f>IFERROR(IF(AND(ISNUMBER('SW OpInc'!Q50),ISNUMBER('SW OpInc'!M50),ISNUMBER('SW Rev'!Q50),ISNUMBER('SW Rev'!M50),ABS('SW Rev'!Q50-'SW Rev'!M50)&gt;=1),('SW OpInc'!Q50-'SW OpInc'!M50)/('SW Rev'!Q50-'SW Rev'!M50),""),"")</f>
        <v/>
      </c>
      <c r="N867" s="38">
        <f>IFERROR(IF(AND(ISNUMBER('SW OpInc'!R50),ISNUMBER('SW OpInc'!N50),ISNUMBER('SW Rev'!R50),ISNUMBER('SW Rev'!N50),ABS('SW Rev'!R50-'SW Rev'!N50)&gt;=1),('SW OpInc'!R50-'SW OpInc'!N50)/('SW Rev'!R50-'SW Rev'!N50),""),"")</f>
        <v/>
      </c>
    </row>
    <row r="868">
      <c r="A868" s="19">
        <f>'SW Rev'!$A51</f>
        <v/>
      </c>
      <c r="B868" s="19">
        <f>'SW Rev'!$B51</f>
        <v/>
      </c>
      <c r="C868" s="37">
        <f>IFERROR(IF(AND(ISNUMBER('SW OpInc'!G51),ISNUMBER('SW OpInc'!C51),ISNUMBER('SW Rev'!G51),ISNUMBER('SW Rev'!C51),ABS('SW Rev'!G51-'SW Rev'!C51)&gt;=1),('SW OpInc'!G51-'SW OpInc'!C51)/('SW Rev'!G51-'SW Rev'!C51),""),"")</f>
        <v/>
      </c>
      <c r="D868" s="37">
        <f>IFERROR(IF(AND(ISNUMBER('SW OpInc'!H51),ISNUMBER('SW OpInc'!D51),ISNUMBER('SW Rev'!H51),ISNUMBER('SW Rev'!D51),ABS('SW Rev'!H51-'SW Rev'!D51)&gt;=1),('SW OpInc'!H51-'SW OpInc'!D51)/('SW Rev'!H51-'SW Rev'!D51),""),"")</f>
        <v/>
      </c>
      <c r="E868" s="37">
        <f>IFERROR(IF(AND(ISNUMBER('SW OpInc'!I51),ISNUMBER('SW OpInc'!E51),ISNUMBER('SW Rev'!I51),ISNUMBER('SW Rev'!E51),ABS('SW Rev'!I51-'SW Rev'!E51)&gt;=1),('SW OpInc'!I51-'SW OpInc'!E51)/('SW Rev'!I51-'SW Rev'!E51),""),"")</f>
        <v/>
      </c>
      <c r="F868" s="37">
        <f>IFERROR(IF(AND(ISNUMBER('SW OpInc'!J51),ISNUMBER('SW OpInc'!F51),ISNUMBER('SW Rev'!J51),ISNUMBER('SW Rev'!F51),ABS('SW Rev'!J51-'SW Rev'!F51)&gt;=1),('SW OpInc'!J51-'SW OpInc'!F51)/('SW Rev'!J51-'SW Rev'!F51),""),"")</f>
        <v/>
      </c>
      <c r="G868" s="37">
        <f>IFERROR(IF(AND(ISNUMBER('SW OpInc'!K51),ISNUMBER('SW OpInc'!G51),ISNUMBER('SW Rev'!K51),ISNUMBER('SW Rev'!G51),ABS('SW Rev'!K51-'SW Rev'!G51)&gt;=1),('SW OpInc'!K51-'SW OpInc'!G51)/('SW Rev'!K51-'SW Rev'!G51),""),"")</f>
        <v/>
      </c>
      <c r="H868" s="37">
        <f>IFERROR(IF(AND(ISNUMBER('SW OpInc'!L51),ISNUMBER('SW OpInc'!H51),ISNUMBER('SW Rev'!L51),ISNUMBER('SW Rev'!H51),ABS('SW Rev'!L51-'SW Rev'!H51)&gt;=1),('SW OpInc'!L51-'SW OpInc'!H51)/('SW Rev'!L51-'SW Rev'!H51),""),"")</f>
        <v/>
      </c>
      <c r="I868" s="37">
        <f>IFERROR(IF(AND(ISNUMBER('SW OpInc'!M51),ISNUMBER('SW OpInc'!I51),ISNUMBER('SW Rev'!M51),ISNUMBER('SW Rev'!I51),ABS('SW Rev'!M51-'SW Rev'!I51)&gt;=1),('SW OpInc'!M51-'SW OpInc'!I51)/('SW Rev'!M51-'SW Rev'!I51),""),"")</f>
        <v/>
      </c>
      <c r="J868" s="37">
        <f>IFERROR(IF(AND(ISNUMBER('SW OpInc'!N51),ISNUMBER('SW OpInc'!J51),ISNUMBER('SW Rev'!N51),ISNUMBER('SW Rev'!J51),ABS('SW Rev'!N51-'SW Rev'!J51)&gt;=1),('SW OpInc'!N51-'SW OpInc'!J51)/('SW Rev'!N51-'SW Rev'!J51),""),"")</f>
        <v/>
      </c>
      <c r="K868" s="37">
        <f>IFERROR(IF(AND(ISNUMBER('SW OpInc'!O51),ISNUMBER('SW OpInc'!K51),ISNUMBER('SW Rev'!O51),ISNUMBER('SW Rev'!K51),ABS('SW Rev'!O51-'SW Rev'!K51)&gt;=1),('SW OpInc'!O51-'SW OpInc'!K51)/('SW Rev'!O51-'SW Rev'!K51),""),"")</f>
        <v/>
      </c>
      <c r="L868" s="37">
        <f>IFERROR(IF(AND(ISNUMBER('SW OpInc'!P51),ISNUMBER('SW OpInc'!L51),ISNUMBER('SW Rev'!P51),ISNUMBER('SW Rev'!L51),ABS('SW Rev'!P51-'SW Rev'!L51)&gt;=1),('SW OpInc'!P51-'SW OpInc'!L51)/('SW Rev'!P51-'SW Rev'!L51),""),"")</f>
        <v/>
      </c>
      <c r="M868" s="38">
        <f>IFERROR(IF(AND(ISNUMBER('SW OpInc'!Q51),ISNUMBER('SW OpInc'!M51),ISNUMBER('SW Rev'!Q51),ISNUMBER('SW Rev'!M51),ABS('SW Rev'!Q51-'SW Rev'!M51)&gt;=1),('SW OpInc'!Q51-'SW OpInc'!M51)/('SW Rev'!Q51-'SW Rev'!M51),""),"")</f>
        <v/>
      </c>
      <c r="N868" s="38">
        <f>IFERROR(IF(AND(ISNUMBER('SW OpInc'!R51),ISNUMBER('SW OpInc'!N51),ISNUMBER('SW Rev'!R51),ISNUMBER('SW Rev'!N51),ABS('SW Rev'!R51-'SW Rev'!N51)&gt;=1),('SW OpInc'!R51-'SW OpInc'!N51)/('SW Rev'!R51-'SW Rev'!N51),""),"")</f>
        <v/>
      </c>
    </row>
    <row r="869">
      <c r="A869" s="19">
        <f>'SW Rev'!$A52</f>
        <v/>
      </c>
      <c r="B869" s="19">
        <f>'SW Rev'!$B52</f>
        <v/>
      </c>
      <c r="C869" s="37">
        <f>IFERROR(IF(AND(ISNUMBER('SW OpInc'!G52),ISNUMBER('SW OpInc'!C52),ISNUMBER('SW Rev'!G52),ISNUMBER('SW Rev'!C52),ABS('SW Rev'!G52-'SW Rev'!C52)&gt;=1),('SW OpInc'!G52-'SW OpInc'!C52)/('SW Rev'!G52-'SW Rev'!C52),""),"")</f>
        <v/>
      </c>
      <c r="D869" s="37">
        <f>IFERROR(IF(AND(ISNUMBER('SW OpInc'!H52),ISNUMBER('SW OpInc'!D52),ISNUMBER('SW Rev'!H52),ISNUMBER('SW Rev'!D52),ABS('SW Rev'!H52-'SW Rev'!D52)&gt;=1),('SW OpInc'!H52-'SW OpInc'!D52)/('SW Rev'!H52-'SW Rev'!D52),""),"")</f>
        <v/>
      </c>
      <c r="E869" s="37">
        <f>IFERROR(IF(AND(ISNUMBER('SW OpInc'!I52),ISNUMBER('SW OpInc'!E52),ISNUMBER('SW Rev'!I52),ISNUMBER('SW Rev'!E52),ABS('SW Rev'!I52-'SW Rev'!E52)&gt;=1),('SW OpInc'!I52-'SW OpInc'!E52)/('SW Rev'!I52-'SW Rev'!E52),""),"")</f>
        <v/>
      </c>
      <c r="F869" s="37">
        <f>IFERROR(IF(AND(ISNUMBER('SW OpInc'!J52),ISNUMBER('SW OpInc'!F52),ISNUMBER('SW Rev'!J52),ISNUMBER('SW Rev'!F52),ABS('SW Rev'!J52-'SW Rev'!F52)&gt;=1),('SW OpInc'!J52-'SW OpInc'!F52)/('SW Rev'!J52-'SW Rev'!F52),""),"")</f>
        <v/>
      </c>
      <c r="G869" s="37">
        <f>IFERROR(IF(AND(ISNUMBER('SW OpInc'!K52),ISNUMBER('SW OpInc'!G52),ISNUMBER('SW Rev'!K52),ISNUMBER('SW Rev'!G52),ABS('SW Rev'!K52-'SW Rev'!G52)&gt;=1),('SW OpInc'!K52-'SW OpInc'!G52)/('SW Rev'!K52-'SW Rev'!G52),""),"")</f>
        <v/>
      </c>
      <c r="H869" s="37">
        <f>IFERROR(IF(AND(ISNUMBER('SW OpInc'!L52),ISNUMBER('SW OpInc'!H52),ISNUMBER('SW Rev'!L52),ISNUMBER('SW Rev'!H52),ABS('SW Rev'!L52-'SW Rev'!H52)&gt;=1),('SW OpInc'!L52-'SW OpInc'!H52)/('SW Rev'!L52-'SW Rev'!H52),""),"")</f>
        <v/>
      </c>
      <c r="I869" s="37">
        <f>IFERROR(IF(AND(ISNUMBER('SW OpInc'!M52),ISNUMBER('SW OpInc'!I52),ISNUMBER('SW Rev'!M52),ISNUMBER('SW Rev'!I52),ABS('SW Rev'!M52-'SW Rev'!I52)&gt;=1),('SW OpInc'!M52-'SW OpInc'!I52)/('SW Rev'!M52-'SW Rev'!I52),""),"")</f>
        <v/>
      </c>
      <c r="J869" s="37">
        <f>IFERROR(IF(AND(ISNUMBER('SW OpInc'!N52),ISNUMBER('SW OpInc'!J52),ISNUMBER('SW Rev'!N52),ISNUMBER('SW Rev'!J52),ABS('SW Rev'!N52-'SW Rev'!J52)&gt;=1),('SW OpInc'!N52-'SW OpInc'!J52)/('SW Rev'!N52-'SW Rev'!J52),""),"")</f>
        <v/>
      </c>
      <c r="K869" s="37">
        <f>IFERROR(IF(AND(ISNUMBER('SW OpInc'!O52),ISNUMBER('SW OpInc'!K52),ISNUMBER('SW Rev'!O52),ISNUMBER('SW Rev'!K52),ABS('SW Rev'!O52-'SW Rev'!K52)&gt;=1),('SW OpInc'!O52-'SW OpInc'!K52)/('SW Rev'!O52-'SW Rev'!K52),""),"")</f>
        <v/>
      </c>
      <c r="L869" s="37">
        <f>IFERROR(IF(AND(ISNUMBER('SW OpInc'!P52),ISNUMBER('SW OpInc'!L52),ISNUMBER('SW Rev'!P52),ISNUMBER('SW Rev'!L52),ABS('SW Rev'!P52-'SW Rev'!L52)&gt;=1),('SW OpInc'!P52-'SW OpInc'!L52)/('SW Rev'!P52-'SW Rev'!L52),""),"")</f>
        <v/>
      </c>
      <c r="M869" s="38">
        <f>IFERROR(IF(AND(ISNUMBER('SW OpInc'!Q52),ISNUMBER('SW OpInc'!M52),ISNUMBER('SW Rev'!Q52),ISNUMBER('SW Rev'!M52),ABS('SW Rev'!Q52-'SW Rev'!M52)&gt;=1),('SW OpInc'!Q52-'SW OpInc'!M52)/('SW Rev'!Q52-'SW Rev'!M52),""),"")</f>
        <v/>
      </c>
      <c r="N869" s="38">
        <f>IFERROR(IF(AND(ISNUMBER('SW OpInc'!R52),ISNUMBER('SW OpInc'!N52),ISNUMBER('SW Rev'!R52),ISNUMBER('SW Rev'!N52),ABS('SW Rev'!R52-'SW Rev'!N52)&gt;=1),('SW OpInc'!R52-'SW OpInc'!N52)/('SW Rev'!R52-'SW Rev'!N52),""),"")</f>
        <v/>
      </c>
    </row>
    <row r="870">
      <c r="A870" s="19">
        <f>'SW Rev'!$A53</f>
        <v/>
      </c>
      <c r="B870" s="19">
        <f>'SW Rev'!$B53</f>
        <v/>
      </c>
      <c r="C870" s="37">
        <f>IFERROR(IF(AND(ISNUMBER('SW OpInc'!G53),ISNUMBER('SW OpInc'!C53),ISNUMBER('SW Rev'!G53),ISNUMBER('SW Rev'!C53),ABS('SW Rev'!G53-'SW Rev'!C53)&gt;=1),('SW OpInc'!G53-'SW OpInc'!C53)/('SW Rev'!G53-'SW Rev'!C53),""),"")</f>
        <v/>
      </c>
      <c r="D870" s="37">
        <f>IFERROR(IF(AND(ISNUMBER('SW OpInc'!H53),ISNUMBER('SW OpInc'!D53),ISNUMBER('SW Rev'!H53),ISNUMBER('SW Rev'!D53),ABS('SW Rev'!H53-'SW Rev'!D53)&gt;=1),('SW OpInc'!H53-'SW OpInc'!D53)/('SW Rev'!H53-'SW Rev'!D53),""),"")</f>
        <v/>
      </c>
      <c r="E870" s="37">
        <f>IFERROR(IF(AND(ISNUMBER('SW OpInc'!I53),ISNUMBER('SW OpInc'!E53),ISNUMBER('SW Rev'!I53),ISNUMBER('SW Rev'!E53),ABS('SW Rev'!I53-'SW Rev'!E53)&gt;=1),('SW OpInc'!I53-'SW OpInc'!E53)/('SW Rev'!I53-'SW Rev'!E53),""),"")</f>
        <v/>
      </c>
      <c r="F870" s="37">
        <f>IFERROR(IF(AND(ISNUMBER('SW OpInc'!J53),ISNUMBER('SW OpInc'!F53),ISNUMBER('SW Rev'!J53),ISNUMBER('SW Rev'!F53),ABS('SW Rev'!J53-'SW Rev'!F53)&gt;=1),('SW OpInc'!J53-'SW OpInc'!F53)/('SW Rev'!J53-'SW Rev'!F53),""),"")</f>
        <v/>
      </c>
      <c r="G870" s="37">
        <f>IFERROR(IF(AND(ISNUMBER('SW OpInc'!K53),ISNUMBER('SW OpInc'!G53),ISNUMBER('SW Rev'!K53),ISNUMBER('SW Rev'!G53),ABS('SW Rev'!K53-'SW Rev'!G53)&gt;=1),('SW OpInc'!K53-'SW OpInc'!G53)/('SW Rev'!K53-'SW Rev'!G53),""),"")</f>
        <v/>
      </c>
      <c r="H870" s="37">
        <f>IFERROR(IF(AND(ISNUMBER('SW OpInc'!L53),ISNUMBER('SW OpInc'!H53),ISNUMBER('SW Rev'!L53),ISNUMBER('SW Rev'!H53),ABS('SW Rev'!L53-'SW Rev'!H53)&gt;=1),('SW OpInc'!L53-'SW OpInc'!H53)/('SW Rev'!L53-'SW Rev'!H53),""),"")</f>
        <v/>
      </c>
      <c r="I870" s="37">
        <f>IFERROR(IF(AND(ISNUMBER('SW OpInc'!M53),ISNUMBER('SW OpInc'!I53),ISNUMBER('SW Rev'!M53),ISNUMBER('SW Rev'!I53),ABS('SW Rev'!M53-'SW Rev'!I53)&gt;=1),('SW OpInc'!M53-'SW OpInc'!I53)/('SW Rev'!M53-'SW Rev'!I53),""),"")</f>
        <v/>
      </c>
      <c r="J870" s="37">
        <f>IFERROR(IF(AND(ISNUMBER('SW OpInc'!N53),ISNUMBER('SW OpInc'!J53),ISNUMBER('SW Rev'!N53),ISNUMBER('SW Rev'!J53),ABS('SW Rev'!N53-'SW Rev'!J53)&gt;=1),('SW OpInc'!N53-'SW OpInc'!J53)/('SW Rev'!N53-'SW Rev'!J53),""),"")</f>
        <v/>
      </c>
      <c r="K870" s="37">
        <f>IFERROR(IF(AND(ISNUMBER('SW OpInc'!O53),ISNUMBER('SW OpInc'!K53),ISNUMBER('SW Rev'!O53),ISNUMBER('SW Rev'!K53),ABS('SW Rev'!O53-'SW Rev'!K53)&gt;=1),('SW OpInc'!O53-'SW OpInc'!K53)/('SW Rev'!O53-'SW Rev'!K53),""),"")</f>
        <v/>
      </c>
      <c r="L870" s="37">
        <f>IFERROR(IF(AND(ISNUMBER('SW OpInc'!P53),ISNUMBER('SW OpInc'!L53),ISNUMBER('SW Rev'!P53),ISNUMBER('SW Rev'!L53),ABS('SW Rev'!P53-'SW Rev'!L53)&gt;=1),('SW OpInc'!P53-'SW OpInc'!L53)/('SW Rev'!P53-'SW Rev'!L53),""),"")</f>
        <v/>
      </c>
      <c r="M870" s="38">
        <f>IFERROR(IF(AND(ISNUMBER('SW OpInc'!Q53),ISNUMBER('SW OpInc'!M53),ISNUMBER('SW Rev'!Q53),ISNUMBER('SW Rev'!M53),ABS('SW Rev'!Q53-'SW Rev'!M53)&gt;=1),('SW OpInc'!Q53-'SW OpInc'!M53)/('SW Rev'!Q53-'SW Rev'!M53),""),"")</f>
        <v/>
      </c>
      <c r="N870" s="38">
        <f>IFERROR(IF(AND(ISNUMBER('SW OpInc'!R53),ISNUMBER('SW OpInc'!N53),ISNUMBER('SW Rev'!R53),ISNUMBER('SW Rev'!N53),ABS('SW Rev'!R53-'SW Rev'!N53)&gt;=1),('SW OpInc'!R53-'SW OpInc'!N53)/('SW Rev'!R53-'SW Rev'!N53),""),"")</f>
        <v/>
      </c>
    </row>
    <row r="871">
      <c r="A871" s="19">
        <f>'SW Rev'!$A54</f>
        <v/>
      </c>
      <c r="B871" s="19">
        <f>'SW Rev'!$B54</f>
        <v/>
      </c>
      <c r="C871" s="37">
        <f>IFERROR(IF(AND(ISNUMBER('SW OpInc'!G54),ISNUMBER('SW OpInc'!C54),ISNUMBER('SW Rev'!G54),ISNUMBER('SW Rev'!C54),ABS('SW Rev'!G54-'SW Rev'!C54)&gt;=1),('SW OpInc'!G54-'SW OpInc'!C54)/('SW Rev'!G54-'SW Rev'!C54),""),"")</f>
        <v/>
      </c>
      <c r="D871" s="37">
        <f>IFERROR(IF(AND(ISNUMBER('SW OpInc'!H54),ISNUMBER('SW OpInc'!D54),ISNUMBER('SW Rev'!H54),ISNUMBER('SW Rev'!D54),ABS('SW Rev'!H54-'SW Rev'!D54)&gt;=1),('SW OpInc'!H54-'SW OpInc'!D54)/('SW Rev'!H54-'SW Rev'!D54),""),"")</f>
        <v/>
      </c>
      <c r="E871" s="37">
        <f>IFERROR(IF(AND(ISNUMBER('SW OpInc'!I54),ISNUMBER('SW OpInc'!E54),ISNUMBER('SW Rev'!I54),ISNUMBER('SW Rev'!E54),ABS('SW Rev'!I54-'SW Rev'!E54)&gt;=1),('SW OpInc'!I54-'SW OpInc'!E54)/('SW Rev'!I54-'SW Rev'!E54),""),"")</f>
        <v/>
      </c>
      <c r="F871" s="37">
        <f>IFERROR(IF(AND(ISNUMBER('SW OpInc'!J54),ISNUMBER('SW OpInc'!F54),ISNUMBER('SW Rev'!J54),ISNUMBER('SW Rev'!F54),ABS('SW Rev'!J54-'SW Rev'!F54)&gt;=1),('SW OpInc'!J54-'SW OpInc'!F54)/('SW Rev'!J54-'SW Rev'!F54),""),"")</f>
        <v/>
      </c>
      <c r="G871" s="37">
        <f>IFERROR(IF(AND(ISNUMBER('SW OpInc'!K54),ISNUMBER('SW OpInc'!G54),ISNUMBER('SW Rev'!K54),ISNUMBER('SW Rev'!G54),ABS('SW Rev'!K54-'SW Rev'!G54)&gt;=1),('SW OpInc'!K54-'SW OpInc'!G54)/('SW Rev'!K54-'SW Rev'!G54),""),"")</f>
        <v/>
      </c>
      <c r="H871" s="37">
        <f>IFERROR(IF(AND(ISNUMBER('SW OpInc'!L54),ISNUMBER('SW OpInc'!H54),ISNUMBER('SW Rev'!L54),ISNUMBER('SW Rev'!H54),ABS('SW Rev'!L54-'SW Rev'!H54)&gt;=1),('SW OpInc'!L54-'SW OpInc'!H54)/('SW Rev'!L54-'SW Rev'!H54),""),"")</f>
        <v/>
      </c>
      <c r="I871" s="37">
        <f>IFERROR(IF(AND(ISNUMBER('SW OpInc'!M54),ISNUMBER('SW OpInc'!I54),ISNUMBER('SW Rev'!M54),ISNUMBER('SW Rev'!I54),ABS('SW Rev'!M54-'SW Rev'!I54)&gt;=1),('SW OpInc'!M54-'SW OpInc'!I54)/('SW Rev'!M54-'SW Rev'!I54),""),"")</f>
        <v/>
      </c>
      <c r="J871" s="37">
        <f>IFERROR(IF(AND(ISNUMBER('SW OpInc'!N54),ISNUMBER('SW OpInc'!J54),ISNUMBER('SW Rev'!N54),ISNUMBER('SW Rev'!J54),ABS('SW Rev'!N54-'SW Rev'!J54)&gt;=1),('SW OpInc'!N54-'SW OpInc'!J54)/('SW Rev'!N54-'SW Rev'!J54),""),"")</f>
        <v/>
      </c>
      <c r="K871" s="37">
        <f>IFERROR(IF(AND(ISNUMBER('SW OpInc'!O54),ISNUMBER('SW OpInc'!K54),ISNUMBER('SW Rev'!O54),ISNUMBER('SW Rev'!K54),ABS('SW Rev'!O54-'SW Rev'!K54)&gt;=1),('SW OpInc'!O54-'SW OpInc'!K54)/('SW Rev'!O54-'SW Rev'!K54),""),"")</f>
        <v/>
      </c>
      <c r="L871" s="37">
        <f>IFERROR(IF(AND(ISNUMBER('SW OpInc'!P54),ISNUMBER('SW OpInc'!L54),ISNUMBER('SW Rev'!P54),ISNUMBER('SW Rev'!L54),ABS('SW Rev'!P54-'SW Rev'!L54)&gt;=1),('SW OpInc'!P54-'SW OpInc'!L54)/('SW Rev'!P54-'SW Rev'!L54),""),"")</f>
        <v/>
      </c>
      <c r="M871" s="38">
        <f>IFERROR(IF(AND(ISNUMBER('SW OpInc'!Q54),ISNUMBER('SW OpInc'!M54),ISNUMBER('SW Rev'!Q54),ISNUMBER('SW Rev'!M54),ABS('SW Rev'!Q54-'SW Rev'!M54)&gt;=1),('SW OpInc'!Q54-'SW OpInc'!M54)/('SW Rev'!Q54-'SW Rev'!M54),""),"")</f>
        <v/>
      </c>
      <c r="N871" s="38">
        <f>IFERROR(IF(AND(ISNUMBER('SW OpInc'!R54),ISNUMBER('SW OpInc'!N54),ISNUMBER('SW Rev'!R54),ISNUMBER('SW Rev'!N54),ABS('SW Rev'!R54-'SW Rev'!N54)&gt;=1),('SW OpInc'!R54-'SW OpInc'!N54)/('SW Rev'!R54-'SW Rev'!N54),""),"")</f>
        <v/>
      </c>
    </row>
    <row r="872">
      <c r="A872" s="19">
        <f>'SW Rev'!$A55</f>
        <v/>
      </c>
      <c r="B872" s="19">
        <f>'SW Rev'!$B55</f>
        <v/>
      </c>
      <c r="C872" s="37">
        <f>IFERROR(IF(AND(ISNUMBER('SW OpInc'!G55),ISNUMBER('SW OpInc'!C55),ISNUMBER('SW Rev'!G55),ISNUMBER('SW Rev'!C55),ABS('SW Rev'!G55-'SW Rev'!C55)&gt;=1),('SW OpInc'!G55-'SW OpInc'!C55)/('SW Rev'!G55-'SW Rev'!C55),""),"")</f>
        <v/>
      </c>
      <c r="D872" s="37">
        <f>IFERROR(IF(AND(ISNUMBER('SW OpInc'!H55),ISNUMBER('SW OpInc'!D55),ISNUMBER('SW Rev'!H55),ISNUMBER('SW Rev'!D55),ABS('SW Rev'!H55-'SW Rev'!D55)&gt;=1),('SW OpInc'!H55-'SW OpInc'!D55)/('SW Rev'!H55-'SW Rev'!D55),""),"")</f>
        <v/>
      </c>
      <c r="E872" s="37">
        <f>IFERROR(IF(AND(ISNUMBER('SW OpInc'!I55),ISNUMBER('SW OpInc'!E55),ISNUMBER('SW Rev'!I55),ISNUMBER('SW Rev'!E55),ABS('SW Rev'!I55-'SW Rev'!E55)&gt;=1),('SW OpInc'!I55-'SW OpInc'!E55)/('SW Rev'!I55-'SW Rev'!E55),""),"")</f>
        <v/>
      </c>
      <c r="F872" s="37">
        <f>IFERROR(IF(AND(ISNUMBER('SW OpInc'!J55),ISNUMBER('SW OpInc'!F55),ISNUMBER('SW Rev'!J55),ISNUMBER('SW Rev'!F55),ABS('SW Rev'!J55-'SW Rev'!F55)&gt;=1),('SW OpInc'!J55-'SW OpInc'!F55)/('SW Rev'!J55-'SW Rev'!F55),""),"")</f>
        <v/>
      </c>
      <c r="G872" s="37">
        <f>IFERROR(IF(AND(ISNUMBER('SW OpInc'!K55),ISNUMBER('SW OpInc'!G55),ISNUMBER('SW Rev'!K55),ISNUMBER('SW Rev'!G55),ABS('SW Rev'!K55-'SW Rev'!G55)&gt;=1),('SW OpInc'!K55-'SW OpInc'!G55)/('SW Rev'!K55-'SW Rev'!G55),""),"")</f>
        <v/>
      </c>
      <c r="H872" s="37">
        <f>IFERROR(IF(AND(ISNUMBER('SW OpInc'!L55),ISNUMBER('SW OpInc'!H55),ISNUMBER('SW Rev'!L55),ISNUMBER('SW Rev'!H55),ABS('SW Rev'!L55-'SW Rev'!H55)&gt;=1),('SW OpInc'!L55-'SW OpInc'!H55)/('SW Rev'!L55-'SW Rev'!H55),""),"")</f>
        <v/>
      </c>
      <c r="I872" s="37">
        <f>IFERROR(IF(AND(ISNUMBER('SW OpInc'!M55),ISNUMBER('SW OpInc'!I55),ISNUMBER('SW Rev'!M55),ISNUMBER('SW Rev'!I55),ABS('SW Rev'!M55-'SW Rev'!I55)&gt;=1),('SW OpInc'!M55-'SW OpInc'!I55)/('SW Rev'!M55-'SW Rev'!I55),""),"")</f>
        <v/>
      </c>
      <c r="J872" s="37">
        <f>IFERROR(IF(AND(ISNUMBER('SW OpInc'!N55),ISNUMBER('SW OpInc'!J55),ISNUMBER('SW Rev'!N55),ISNUMBER('SW Rev'!J55),ABS('SW Rev'!N55-'SW Rev'!J55)&gt;=1),('SW OpInc'!N55-'SW OpInc'!J55)/('SW Rev'!N55-'SW Rev'!J55),""),"")</f>
        <v/>
      </c>
      <c r="K872" s="37">
        <f>IFERROR(IF(AND(ISNUMBER('SW OpInc'!O55),ISNUMBER('SW OpInc'!K55),ISNUMBER('SW Rev'!O55),ISNUMBER('SW Rev'!K55),ABS('SW Rev'!O55-'SW Rev'!K55)&gt;=1),('SW OpInc'!O55-'SW OpInc'!K55)/('SW Rev'!O55-'SW Rev'!K55),""),"")</f>
        <v/>
      </c>
      <c r="L872" s="37">
        <f>IFERROR(IF(AND(ISNUMBER('SW OpInc'!P55),ISNUMBER('SW OpInc'!L55),ISNUMBER('SW Rev'!P55),ISNUMBER('SW Rev'!L55),ABS('SW Rev'!P55-'SW Rev'!L55)&gt;=1),('SW OpInc'!P55-'SW OpInc'!L55)/('SW Rev'!P55-'SW Rev'!L55),""),"")</f>
        <v/>
      </c>
      <c r="M872" s="38">
        <f>IFERROR(IF(AND(ISNUMBER('SW OpInc'!Q55),ISNUMBER('SW OpInc'!M55),ISNUMBER('SW Rev'!Q55),ISNUMBER('SW Rev'!M55),ABS('SW Rev'!Q55-'SW Rev'!M55)&gt;=1),('SW OpInc'!Q55-'SW OpInc'!M55)/('SW Rev'!Q55-'SW Rev'!M55),""),"")</f>
        <v/>
      </c>
      <c r="N872" s="38">
        <f>IFERROR(IF(AND(ISNUMBER('SW OpInc'!R55),ISNUMBER('SW OpInc'!N55),ISNUMBER('SW Rev'!R55),ISNUMBER('SW Rev'!N55),ABS('SW Rev'!R55-'SW Rev'!N55)&gt;=1),('SW OpInc'!R55-'SW OpInc'!N55)/('SW Rev'!R55-'SW Rev'!N55),""),"")</f>
        <v/>
      </c>
    </row>
    <row r="873">
      <c r="A873" s="19">
        <f>'SW Rev'!$A56</f>
        <v/>
      </c>
      <c r="B873" s="19">
        <f>'SW Rev'!$B56</f>
        <v/>
      </c>
      <c r="C873" s="37">
        <f>IFERROR(IF(AND(ISNUMBER('SW OpInc'!G56),ISNUMBER('SW OpInc'!C56),ISNUMBER('SW Rev'!G56),ISNUMBER('SW Rev'!C56),ABS('SW Rev'!G56-'SW Rev'!C56)&gt;=1),('SW OpInc'!G56-'SW OpInc'!C56)/('SW Rev'!G56-'SW Rev'!C56),""),"")</f>
        <v/>
      </c>
      <c r="D873" s="37">
        <f>IFERROR(IF(AND(ISNUMBER('SW OpInc'!H56),ISNUMBER('SW OpInc'!D56),ISNUMBER('SW Rev'!H56),ISNUMBER('SW Rev'!D56),ABS('SW Rev'!H56-'SW Rev'!D56)&gt;=1),('SW OpInc'!H56-'SW OpInc'!D56)/('SW Rev'!H56-'SW Rev'!D56),""),"")</f>
        <v/>
      </c>
      <c r="E873" s="37">
        <f>IFERROR(IF(AND(ISNUMBER('SW OpInc'!I56),ISNUMBER('SW OpInc'!E56),ISNUMBER('SW Rev'!I56),ISNUMBER('SW Rev'!E56),ABS('SW Rev'!I56-'SW Rev'!E56)&gt;=1),('SW OpInc'!I56-'SW OpInc'!E56)/('SW Rev'!I56-'SW Rev'!E56),""),"")</f>
        <v/>
      </c>
      <c r="F873" s="37">
        <f>IFERROR(IF(AND(ISNUMBER('SW OpInc'!J56),ISNUMBER('SW OpInc'!F56),ISNUMBER('SW Rev'!J56),ISNUMBER('SW Rev'!F56),ABS('SW Rev'!J56-'SW Rev'!F56)&gt;=1),('SW OpInc'!J56-'SW OpInc'!F56)/('SW Rev'!J56-'SW Rev'!F56),""),"")</f>
        <v/>
      </c>
      <c r="G873" s="37">
        <f>IFERROR(IF(AND(ISNUMBER('SW OpInc'!K56),ISNUMBER('SW OpInc'!G56),ISNUMBER('SW Rev'!K56),ISNUMBER('SW Rev'!G56),ABS('SW Rev'!K56-'SW Rev'!G56)&gt;=1),('SW OpInc'!K56-'SW OpInc'!G56)/('SW Rev'!K56-'SW Rev'!G56),""),"")</f>
        <v/>
      </c>
      <c r="H873" s="37">
        <f>IFERROR(IF(AND(ISNUMBER('SW OpInc'!L56),ISNUMBER('SW OpInc'!H56),ISNUMBER('SW Rev'!L56),ISNUMBER('SW Rev'!H56),ABS('SW Rev'!L56-'SW Rev'!H56)&gt;=1),('SW OpInc'!L56-'SW OpInc'!H56)/('SW Rev'!L56-'SW Rev'!H56),""),"")</f>
        <v/>
      </c>
      <c r="I873" s="37">
        <f>IFERROR(IF(AND(ISNUMBER('SW OpInc'!M56),ISNUMBER('SW OpInc'!I56),ISNUMBER('SW Rev'!M56),ISNUMBER('SW Rev'!I56),ABS('SW Rev'!M56-'SW Rev'!I56)&gt;=1),('SW OpInc'!M56-'SW OpInc'!I56)/('SW Rev'!M56-'SW Rev'!I56),""),"")</f>
        <v/>
      </c>
      <c r="J873" s="37">
        <f>IFERROR(IF(AND(ISNUMBER('SW OpInc'!N56),ISNUMBER('SW OpInc'!J56),ISNUMBER('SW Rev'!N56),ISNUMBER('SW Rev'!J56),ABS('SW Rev'!N56-'SW Rev'!J56)&gt;=1),('SW OpInc'!N56-'SW OpInc'!J56)/('SW Rev'!N56-'SW Rev'!J56),""),"")</f>
        <v/>
      </c>
      <c r="K873" s="37">
        <f>IFERROR(IF(AND(ISNUMBER('SW OpInc'!O56),ISNUMBER('SW OpInc'!K56),ISNUMBER('SW Rev'!O56),ISNUMBER('SW Rev'!K56),ABS('SW Rev'!O56-'SW Rev'!K56)&gt;=1),('SW OpInc'!O56-'SW OpInc'!K56)/('SW Rev'!O56-'SW Rev'!K56),""),"")</f>
        <v/>
      </c>
      <c r="L873" s="37">
        <f>IFERROR(IF(AND(ISNUMBER('SW OpInc'!P56),ISNUMBER('SW OpInc'!L56),ISNUMBER('SW Rev'!P56),ISNUMBER('SW Rev'!L56),ABS('SW Rev'!P56-'SW Rev'!L56)&gt;=1),('SW OpInc'!P56-'SW OpInc'!L56)/('SW Rev'!P56-'SW Rev'!L56),""),"")</f>
        <v/>
      </c>
      <c r="M873" s="38">
        <f>IFERROR(IF(AND(ISNUMBER('SW OpInc'!Q56),ISNUMBER('SW OpInc'!M56),ISNUMBER('SW Rev'!Q56),ISNUMBER('SW Rev'!M56),ABS('SW Rev'!Q56-'SW Rev'!M56)&gt;=1),('SW OpInc'!Q56-'SW OpInc'!M56)/('SW Rev'!Q56-'SW Rev'!M56),""),"")</f>
        <v/>
      </c>
      <c r="N873" s="38">
        <f>IFERROR(IF(AND(ISNUMBER('SW OpInc'!R56),ISNUMBER('SW OpInc'!N56),ISNUMBER('SW Rev'!R56),ISNUMBER('SW Rev'!N56),ABS('SW Rev'!R56-'SW Rev'!N56)&gt;=1),('SW OpInc'!R56-'SW OpInc'!N56)/('SW Rev'!R56-'SW Rev'!N56),""),"")</f>
        <v/>
      </c>
    </row>
    <row r="874">
      <c r="A874" s="19">
        <f>'SW Rev'!$A57</f>
        <v/>
      </c>
      <c r="B874" s="19">
        <f>'SW Rev'!$B57</f>
        <v/>
      </c>
      <c r="C874" s="37">
        <f>IFERROR(IF(AND(ISNUMBER('SW OpInc'!G57),ISNUMBER('SW OpInc'!C57),ISNUMBER('SW Rev'!G57),ISNUMBER('SW Rev'!C57),ABS('SW Rev'!G57-'SW Rev'!C57)&gt;=1),('SW OpInc'!G57-'SW OpInc'!C57)/('SW Rev'!G57-'SW Rev'!C57),""),"")</f>
        <v/>
      </c>
      <c r="D874" s="37">
        <f>IFERROR(IF(AND(ISNUMBER('SW OpInc'!H57),ISNUMBER('SW OpInc'!D57),ISNUMBER('SW Rev'!H57),ISNUMBER('SW Rev'!D57),ABS('SW Rev'!H57-'SW Rev'!D57)&gt;=1),('SW OpInc'!H57-'SW OpInc'!D57)/('SW Rev'!H57-'SW Rev'!D57),""),"")</f>
        <v/>
      </c>
      <c r="E874" s="37">
        <f>IFERROR(IF(AND(ISNUMBER('SW OpInc'!I57),ISNUMBER('SW OpInc'!E57),ISNUMBER('SW Rev'!I57),ISNUMBER('SW Rev'!E57),ABS('SW Rev'!I57-'SW Rev'!E57)&gt;=1),('SW OpInc'!I57-'SW OpInc'!E57)/('SW Rev'!I57-'SW Rev'!E57),""),"")</f>
        <v/>
      </c>
      <c r="F874" s="37">
        <f>IFERROR(IF(AND(ISNUMBER('SW OpInc'!J57),ISNUMBER('SW OpInc'!F57),ISNUMBER('SW Rev'!J57),ISNUMBER('SW Rev'!F57),ABS('SW Rev'!J57-'SW Rev'!F57)&gt;=1),('SW OpInc'!J57-'SW OpInc'!F57)/('SW Rev'!J57-'SW Rev'!F57),""),"")</f>
        <v/>
      </c>
      <c r="G874" s="37">
        <f>IFERROR(IF(AND(ISNUMBER('SW OpInc'!K57),ISNUMBER('SW OpInc'!G57),ISNUMBER('SW Rev'!K57),ISNUMBER('SW Rev'!G57),ABS('SW Rev'!K57-'SW Rev'!G57)&gt;=1),('SW OpInc'!K57-'SW OpInc'!G57)/('SW Rev'!K57-'SW Rev'!G57),""),"")</f>
        <v/>
      </c>
      <c r="H874" s="37">
        <f>IFERROR(IF(AND(ISNUMBER('SW OpInc'!L57),ISNUMBER('SW OpInc'!H57),ISNUMBER('SW Rev'!L57),ISNUMBER('SW Rev'!H57),ABS('SW Rev'!L57-'SW Rev'!H57)&gt;=1),('SW OpInc'!L57-'SW OpInc'!H57)/('SW Rev'!L57-'SW Rev'!H57),""),"")</f>
        <v/>
      </c>
      <c r="I874" s="37">
        <f>IFERROR(IF(AND(ISNUMBER('SW OpInc'!M57),ISNUMBER('SW OpInc'!I57),ISNUMBER('SW Rev'!M57),ISNUMBER('SW Rev'!I57),ABS('SW Rev'!M57-'SW Rev'!I57)&gt;=1),('SW OpInc'!M57-'SW OpInc'!I57)/('SW Rev'!M57-'SW Rev'!I57),""),"")</f>
        <v/>
      </c>
      <c r="J874" s="37">
        <f>IFERROR(IF(AND(ISNUMBER('SW OpInc'!N57),ISNUMBER('SW OpInc'!J57),ISNUMBER('SW Rev'!N57),ISNUMBER('SW Rev'!J57),ABS('SW Rev'!N57-'SW Rev'!J57)&gt;=1),('SW OpInc'!N57-'SW OpInc'!J57)/('SW Rev'!N57-'SW Rev'!J57),""),"")</f>
        <v/>
      </c>
      <c r="K874" s="37">
        <f>IFERROR(IF(AND(ISNUMBER('SW OpInc'!O57),ISNUMBER('SW OpInc'!K57),ISNUMBER('SW Rev'!O57),ISNUMBER('SW Rev'!K57),ABS('SW Rev'!O57-'SW Rev'!K57)&gt;=1),('SW OpInc'!O57-'SW OpInc'!K57)/('SW Rev'!O57-'SW Rev'!K57),""),"")</f>
        <v/>
      </c>
      <c r="L874" s="37">
        <f>IFERROR(IF(AND(ISNUMBER('SW OpInc'!P57),ISNUMBER('SW OpInc'!L57),ISNUMBER('SW Rev'!P57),ISNUMBER('SW Rev'!L57),ABS('SW Rev'!P57-'SW Rev'!L57)&gt;=1),('SW OpInc'!P57-'SW OpInc'!L57)/('SW Rev'!P57-'SW Rev'!L57),""),"")</f>
        <v/>
      </c>
      <c r="M874" s="38">
        <f>IFERROR(IF(AND(ISNUMBER('SW OpInc'!Q57),ISNUMBER('SW OpInc'!M57),ISNUMBER('SW Rev'!Q57),ISNUMBER('SW Rev'!M57),ABS('SW Rev'!Q57-'SW Rev'!M57)&gt;=1),('SW OpInc'!Q57-'SW OpInc'!M57)/('SW Rev'!Q57-'SW Rev'!M57),""),"")</f>
        <v/>
      </c>
      <c r="N874" s="38">
        <f>IFERROR(IF(AND(ISNUMBER('SW OpInc'!R57),ISNUMBER('SW OpInc'!N57),ISNUMBER('SW Rev'!R57),ISNUMBER('SW Rev'!N57),ABS('SW Rev'!R57-'SW Rev'!N57)&gt;=1),('SW OpInc'!R57-'SW OpInc'!N57)/('SW Rev'!R57-'SW Rev'!N57),""),"")</f>
        <v/>
      </c>
    </row>
    <row r="875">
      <c r="A875" s="19">
        <f>'SW Rev'!$A58</f>
        <v/>
      </c>
      <c r="B875" s="19">
        <f>'SW Rev'!$B58</f>
        <v/>
      </c>
      <c r="C875" s="37">
        <f>IFERROR(IF(AND(ISNUMBER('SW OpInc'!G58),ISNUMBER('SW OpInc'!C58),ISNUMBER('SW Rev'!G58),ISNUMBER('SW Rev'!C58),ABS('SW Rev'!G58-'SW Rev'!C58)&gt;=1),('SW OpInc'!G58-'SW OpInc'!C58)/('SW Rev'!G58-'SW Rev'!C58),""),"")</f>
        <v/>
      </c>
      <c r="D875" s="37">
        <f>IFERROR(IF(AND(ISNUMBER('SW OpInc'!H58),ISNUMBER('SW OpInc'!D58),ISNUMBER('SW Rev'!H58),ISNUMBER('SW Rev'!D58),ABS('SW Rev'!H58-'SW Rev'!D58)&gt;=1),('SW OpInc'!H58-'SW OpInc'!D58)/('SW Rev'!H58-'SW Rev'!D58),""),"")</f>
        <v/>
      </c>
      <c r="E875" s="37">
        <f>IFERROR(IF(AND(ISNUMBER('SW OpInc'!I58),ISNUMBER('SW OpInc'!E58),ISNUMBER('SW Rev'!I58),ISNUMBER('SW Rev'!E58),ABS('SW Rev'!I58-'SW Rev'!E58)&gt;=1),('SW OpInc'!I58-'SW OpInc'!E58)/('SW Rev'!I58-'SW Rev'!E58),""),"")</f>
        <v/>
      </c>
      <c r="F875" s="37">
        <f>IFERROR(IF(AND(ISNUMBER('SW OpInc'!J58),ISNUMBER('SW OpInc'!F58),ISNUMBER('SW Rev'!J58),ISNUMBER('SW Rev'!F58),ABS('SW Rev'!J58-'SW Rev'!F58)&gt;=1),('SW OpInc'!J58-'SW OpInc'!F58)/('SW Rev'!J58-'SW Rev'!F58),""),"")</f>
        <v/>
      </c>
      <c r="G875" s="37">
        <f>IFERROR(IF(AND(ISNUMBER('SW OpInc'!K58),ISNUMBER('SW OpInc'!G58),ISNUMBER('SW Rev'!K58),ISNUMBER('SW Rev'!G58),ABS('SW Rev'!K58-'SW Rev'!G58)&gt;=1),('SW OpInc'!K58-'SW OpInc'!G58)/('SW Rev'!K58-'SW Rev'!G58),""),"")</f>
        <v/>
      </c>
      <c r="H875" s="37">
        <f>IFERROR(IF(AND(ISNUMBER('SW OpInc'!L58),ISNUMBER('SW OpInc'!H58),ISNUMBER('SW Rev'!L58),ISNUMBER('SW Rev'!H58),ABS('SW Rev'!L58-'SW Rev'!H58)&gt;=1),('SW OpInc'!L58-'SW OpInc'!H58)/('SW Rev'!L58-'SW Rev'!H58),""),"")</f>
        <v/>
      </c>
      <c r="I875" s="37">
        <f>IFERROR(IF(AND(ISNUMBER('SW OpInc'!M58),ISNUMBER('SW OpInc'!I58),ISNUMBER('SW Rev'!M58),ISNUMBER('SW Rev'!I58),ABS('SW Rev'!M58-'SW Rev'!I58)&gt;=1),('SW OpInc'!M58-'SW OpInc'!I58)/('SW Rev'!M58-'SW Rev'!I58),""),"")</f>
        <v/>
      </c>
      <c r="J875" s="37">
        <f>IFERROR(IF(AND(ISNUMBER('SW OpInc'!N58),ISNUMBER('SW OpInc'!J58),ISNUMBER('SW Rev'!N58),ISNUMBER('SW Rev'!J58),ABS('SW Rev'!N58-'SW Rev'!J58)&gt;=1),('SW OpInc'!N58-'SW OpInc'!J58)/('SW Rev'!N58-'SW Rev'!J58),""),"")</f>
        <v/>
      </c>
      <c r="K875" s="37">
        <f>IFERROR(IF(AND(ISNUMBER('SW OpInc'!O58),ISNUMBER('SW OpInc'!K58),ISNUMBER('SW Rev'!O58),ISNUMBER('SW Rev'!K58),ABS('SW Rev'!O58-'SW Rev'!K58)&gt;=1),('SW OpInc'!O58-'SW OpInc'!K58)/('SW Rev'!O58-'SW Rev'!K58),""),"")</f>
        <v/>
      </c>
      <c r="L875" s="37">
        <f>IFERROR(IF(AND(ISNUMBER('SW OpInc'!P58),ISNUMBER('SW OpInc'!L58),ISNUMBER('SW Rev'!P58),ISNUMBER('SW Rev'!L58),ABS('SW Rev'!P58-'SW Rev'!L58)&gt;=1),('SW OpInc'!P58-'SW OpInc'!L58)/('SW Rev'!P58-'SW Rev'!L58),""),"")</f>
        <v/>
      </c>
      <c r="M875" s="38">
        <f>IFERROR(IF(AND(ISNUMBER('SW OpInc'!Q58),ISNUMBER('SW OpInc'!M58),ISNUMBER('SW Rev'!Q58),ISNUMBER('SW Rev'!M58),ABS('SW Rev'!Q58-'SW Rev'!M58)&gt;=1),('SW OpInc'!Q58-'SW OpInc'!M58)/('SW Rev'!Q58-'SW Rev'!M58),""),"")</f>
        <v/>
      </c>
      <c r="N875" s="38">
        <f>IFERROR(IF(AND(ISNUMBER('SW OpInc'!R58),ISNUMBER('SW OpInc'!N58),ISNUMBER('SW Rev'!R58),ISNUMBER('SW Rev'!N58),ABS('SW Rev'!R58-'SW Rev'!N58)&gt;=1),('SW OpInc'!R58-'SW OpInc'!N58)/('SW Rev'!R58-'SW Rev'!N58),""),"")</f>
        <v/>
      </c>
    </row>
    <row r="876">
      <c r="A876" s="19">
        <f>'SW Rev'!$A59</f>
        <v/>
      </c>
      <c r="B876" s="19">
        <f>'SW Rev'!$B59</f>
        <v/>
      </c>
      <c r="C876" s="37">
        <f>IFERROR(IF(AND(ISNUMBER('SW OpInc'!G59),ISNUMBER('SW OpInc'!C59),ISNUMBER('SW Rev'!G59),ISNUMBER('SW Rev'!C59),ABS('SW Rev'!G59-'SW Rev'!C59)&gt;=1),('SW OpInc'!G59-'SW OpInc'!C59)/('SW Rev'!G59-'SW Rev'!C59),""),"")</f>
        <v/>
      </c>
      <c r="D876" s="37">
        <f>IFERROR(IF(AND(ISNUMBER('SW OpInc'!H59),ISNUMBER('SW OpInc'!D59),ISNUMBER('SW Rev'!H59),ISNUMBER('SW Rev'!D59),ABS('SW Rev'!H59-'SW Rev'!D59)&gt;=1),('SW OpInc'!H59-'SW OpInc'!D59)/('SW Rev'!H59-'SW Rev'!D59),""),"")</f>
        <v/>
      </c>
      <c r="E876" s="37">
        <f>IFERROR(IF(AND(ISNUMBER('SW OpInc'!I59),ISNUMBER('SW OpInc'!E59),ISNUMBER('SW Rev'!I59),ISNUMBER('SW Rev'!E59),ABS('SW Rev'!I59-'SW Rev'!E59)&gt;=1),('SW OpInc'!I59-'SW OpInc'!E59)/('SW Rev'!I59-'SW Rev'!E59),""),"")</f>
        <v/>
      </c>
      <c r="F876" s="37">
        <f>IFERROR(IF(AND(ISNUMBER('SW OpInc'!J59),ISNUMBER('SW OpInc'!F59),ISNUMBER('SW Rev'!J59),ISNUMBER('SW Rev'!F59),ABS('SW Rev'!J59-'SW Rev'!F59)&gt;=1),('SW OpInc'!J59-'SW OpInc'!F59)/('SW Rev'!J59-'SW Rev'!F59),""),"")</f>
        <v/>
      </c>
      <c r="G876" s="37">
        <f>IFERROR(IF(AND(ISNUMBER('SW OpInc'!K59),ISNUMBER('SW OpInc'!G59),ISNUMBER('SW Rev'!K59),ISNUMBER('SW Rev'!G59),ABS('SW Rev'!K59-'SW Rev'!G59)&gt;=1),('SW OpInc'!K59-'SW OpInc'!G59)/('SW Rev'!K59-'SW Rev'!G59),""),"")</f>
        <v/>
      </c>
      <c r="H876" s="37">
        <f>IFERROR(IF(AND(ISNUMBER('SW OpInc'!L59),ISNUMBER('SW OpInc'!H59),ISNUMBER('SW Rev'!L59),ISNUMBER('SW Rev'!H59),ABS('SW Rev'!L59-'SW Rev'!H59)&gt;=1),('SW OpInc'!L59-'SW OpInc'!H59)/('SW Rev'!L59-'SW Rev'!H59),""),"")</f>
        <v/>
      </c>
      <c r="I876" s="37">
        <f>IFERROR(IF(AND(ISNUMBER('SW OpInc'!M59),ISNUMBER('SW OpInc'!I59),ISNUMBER('SW Rev'!M59),ISNUMBER('SW Rev'!I59),ABS('SW Rev'!M59-'SW Rev'!I59)&gt;=1),('SW OpInc'!M59-'SW OpInc'!I59)/('SW Rev'!M59-'SW Rev'!I59),""),"")</f>
        <v/>
      </c>
      <c r="J876" s="37">
        <f>IFERROR(IF(AND(ISNUMBER('SW OpInc'!N59),ISNUMBER('SW OpInc'!J59),ISNUMBER('SW Rev'!N59),ISNUMBER('SW Rev'!J59),ABS('SW Rev'!N59-'SW Rev'!J59)&gt;=1),('SW OpInc'!N59-'SW OpInc'!J59)/('SW Rev'!N59-'SW Rev'!J59),""),"")</f>
        <v/>
      </c>
      <c r="K876" s="37">
        <f>IFERROR(IF(AND(ISNUMBER('SW OpInc'!O59),ISNUMBER('SW OpInc'!K59),ISNUMBER('SW Rev'!O59),ISNUMBER('SW Rev'!K59),ABS('SW Rev'!O59-'SW Rev'!K59)&gt;=1),('SW OpInc'!O59-'SW OpInc'!K59)/('SW Rev'!O59-'SW Rev'!K59),""),"")</f>
        <v/>
      </c>
      <c r="L876" s="37">
        <f>IFERROR(IF(AND(ISNUMBER('SW OpInc'!P59),ISNUMBER('SW OpInc'!L59),ISNUMBER('SW Rev'!P59),ISNUMBER('SW Rev'!L59),ABS('SW Rev'!P59-'SW Rev'!L59)&gt;=1),('SW OpInc'!P59-'SW OpInc'!L59)/('SW Rev'!P59-'SW Rev'!L59),""),"")</f>
        <v/>
      </c>
      <c r="M876" s="38">
        <f>IFERROR(IF(AND(ISNUMBER('SW OpInc'!Q59),ISNUMBER('SW OpInc'!M59),ISNUMBER('SW Rev'!Q59),ISNUMBER('SW Rev'!M59),ABS('SW Rev'!Q59-'SW Rev'!M59)&gt;=1),('SW OpInc'!Q59-'SW OpInc'!M59)/('SW Rev'!Q59-'SW Rev'!M59),""),"")</f>
        <v/>
      </c>
      <c r="N876" s="38">
        <f>IFERROR(IF(AND(ISNUMBER('SW OpInc'!R59),ISNUMBER('SW OpInc'!N59),ISNUMBER('SW Rev'!R59),ISNUMBER('SW Rev'!N59),ABS('SW Rev'!R59-'SW Rev'!N59)&gt;=1),('SW OpInc'!R59-'SW OpInc'!N59)/('SW Rev'!R59-'SW Rev'!N59),""),"")</f>
        <v/>
      </c>
    </row>
    <row r="877">
      <c r="A877" s="19">
        <f>'SW Rev'!$A60</f>
        <v/>
      </c>
      <c r="B877" s="19">
        <f>'SW Rev'!$B60</f>
        <v/>
      </c>
      <c r="C877" s="37">
        <f>IFERROR(IF(AND(ISNUMBER('SW OpInc'!G60),ISNUMBER('SW OpInc'!C60),ISNUMBER('SW Rev'!G60),ISNUMBER('SW Rev'!C60),ABS('SW Rev'!G60-'SW Rev'!C60)&gt;=1),('SW OpInc'!G60-'SW OpInc'!C60)/('SW Rev'!G60-'SW Rev'!C60),""),"")</f>
        <v/>
      </c>
      <c r="D877" s="37">
        <f>IFERROR(IF(AND(ISNUMBER('SW OpInc'!H60),ISNUMBER('SW OpInc'!D60),ISNUMBER('SW Rev'!H60),ISNUMBER('SW Rev'!D60),ABS('SW Rev'!H60-'SW Rev'!D60)&gt;=1),('SW OpInc'!H60-'SW OpInc'!D60)/('SW Rev'!H60-'SW Rev'!D60),""),"")</f>
        <v/>
      </c>
      <c r="E877" s="37">
        <f>IFERROR(IF(AND(ISNUMBER('SW OpInc'!I60),ISNUMBER('SW OpInc'!E60),ISNUMBER('SW Rev'!I60),ISNUMBER('SW Rev'!E60),ABS('SW Rev'!I60-'SW Rev'!E60)&gt;=1),('SW OpInc'!I60-'SW OpInc'!E60)/('SW Rev'!I60-'SW Rev'!E60),""),"")</f>
        <v/>
      </c>
      <c r="F877" s="37">
        <f>IFERROR(IF(AND(ISNUMBER('SW OpInc'!J60),ISNUMBER('SW OpInc'!F60),ISNUMBER('SW Rev'!J60),ISNUMBER('SW Rev'!F60),ABS('SW Rev'!J60-'SW Rev'!F60)&gt;=1),('SW OpInc'!J60-'SW OpInc'!F60)/('SW Rev'!J60-'SW Rev'!F60),""),"")</f>
        <v/>
      </c>
      <c r="G877" s="37">
        <f>IFERROR(IF(AND(ISNUMBER('SW OpInc'!K60),ISNUMBER('SW OpInc'!G60),ISNUMBER('SW Rev'!K60),ISNUMBER('SW Rev'!G60),ABS('SW Rev'!K60-'SW Rev'!G60)&gt;=1),('SW OpInc'!K60-'SW OpInc'!G60)/('SW Rev'!K60-'SW Rev'!G60),""),"")</f>
        <v/>
      </c>
      <c r="H877" s="37">
        <f>IFERROR(IF(AND(ISNUMBER('SW OpInc'!L60),ISNUMBER('SW OpInc'!H60),ISNUMBER('SW Rev'!L60),ISNUMBER('SW Rev'!H60),ABS('SW Rev'!L60-'SW Rev'!H60)&gt;=1),('SW OpInc'!L60-'SW OpInc'!H60)/('SW Rev'!L60-'SW Rev'!H60),""),"")</f>
        <v/>
      </c>
      <c r="I877" s="37">
        <f>IFERROR(IF(AND(ISNUMBER('SW OpInc'!M60),ISNUMBER('SW OpInc'!I60),ISNUMBER('SW Rev'!M60),ISNUMBER('SW Rev'!I60),ABS('SW Rev'!M60-'SW Rev'!I60)&gt;=1),('SW OpInc'!M60-'SW OpInc'!I60)/('SW Rev'!M60-'SW Rev'!I60),""),"")</f>
        <v/>
      </c>
      <c r="J877" s="37">
        <f>IFERROR(IF(AND(ISNUMBER('SW OpInc'!N60),ISNUMBER('SW OpInc'!J60),ISNUMBER('SW Rev'!N60),ISNUMBER('SW Rev'!J60),ABS('SW Rev'!N60-'SW Rev'!J60)&gt;=1),('SW OpInc'!N60-'SW OpInc'!J60)/('SW Rev'!N60-'SW Rev'!J60),""),"")</f>
        <v/>
      </c>
      <c r="K877" s="37">
        <f>IFERROR(IF(AND(ISNUMBER('SW OpInc'!O60),ISNUMBER('SW OpInc'!K60),ISNUMBER('SW Rev'!O60),ISNUMBER('SW Rev'!K60),ABS('SW Rev'!O60-'SW Rev'!K60)&gt;=1),('SW OpInc'!O60-'SW OpInc'!K60)/('SW Rev'!O60-'SW Rev'!K60),""),"")</f>
        <v/>
      </c>
      <c r="L877" s="37">
        <f>IFERROR(IF(AND(ISNUMBER('SW OpInc'!P60),ISNUMBER('SW OpInc'!L60),ISNUMBER('SW Rev'!P60),ISNUMBER('SW Rev'!L60),ABS('SW Rev'!P60-'SW Rev'!L60)&gt;=1),('SW OpInc'!P60-'SW OpInc'!L60)/('SW Rev'!P60-'SW Rev'!L60),""),"")</f>
        <v/>
      </c>
      <c r="M877" s="38">
        <f>IFERROR(IF(AND(ISNUMBER('SW OpInc'!Q60),ISNUMBER('SW OpInc'!M60),ISNUMBER('SW Rev'!Q60),ISNUMBER('SW Rev'!M60),ABS('SW Rev'!Q60-'SW Rev'!M60)&gt;=1),('SW OpInc'!Q60-'SW OpInc'!M60)/('SW Rev'!Q60-'SW Rev'!M60),""),"")</f>
        <v/>
      </c>
      <c r="N877" s="38">
        <f>IFERROR(IF(AND(ISNUMBER('SW OpInc'!R60),ISNUMBER('SW OpInc'!N60),ISNUMBER('SW Rev'!R60),ISNUMBER('SW Rev'!N60),ABS('SW Rev'!R60-'SW Rev'!N60)&gt;=1),('SW OpInc'!R60-'SW OpInc'!N60)/('SW Rev'!R60-'SW Rev'!N60),""),"")</f>
        <v/>
      </c>
    </row>
    <row r="878">
      <c r="A878" s="19">
        <f>'SW Rev'!$A61</f>
        <v/>
      </c>
      <c r="B878" s="19">
        <f>'SW Rev'!$B61</f>
        <v/>
      </c>
      <c r="C878" s="37">
        <f>IFERROR(IF(AND(ISNUMBER('SW OpInc'!G61),ISNUMBER('SW OpInc'!C61),ISNUMBER('SW Rev'!G61),ISNUMBER('SW Rev'!C61),ABS('SW Rev'!G61-'SW Rev'!C61)&gt;=1),('SW OpInc'!G61-'SW OpInc'!C61)/('SW Rev'!G61-'SW Rev'!C61),""),"")</f>
        <v/>
      </c>
      <c r="D878" s="37">
        <f>IFERROR(IF(AND(ISNUMBER('SW OpInc'!H61),ISNUMBER('SW OpInc'!D61),ISNUMBER('SW Rev'!H61),ISNUMBER('SW Rev'!D61),ABS('SW Rev'!H61-'SW Rev'!D61)&gt;=1),('SW OpInc'!H61-'SW OpInc'!D61)/('SW Rev'!H61-'SW Rev'!D61),""),"")</f>
        <v/>
      </c>
      <c r="E878" s="37">
        <f>IFERROR(IF(AND(ISNUMBER('SW OpInc'!I61),ISNUMBER('SW OpInc'!E61),ISNUMBER('SW Rev'!I61),ISNUMBER('SW Rev'!E61),ABS('SW Rev'!I61-'SW Rev'!E61)&gt;=1),('SW OpInc'!I61-'SW OpInc'!E61)/('SW Rev'!I61-'SW Rev'!E61),""),"")</f>
        <v/>
      </c>
      <c r="F878" s="37">
        <f>IFERROR(IF(AND(ISNUMBER('SW OpInc'!J61),ISNUMBER('SW OpInc'!F61),ISNUMBER('SW Rev'!J61),ISNUMBER('SW Rev'!F61),ABS('SW Rev'!J61-'SW Rev'!F61)&gt;=1),('SW OpInc'!J61-'SW OpInc'!F61)/('SW Rev'!J61-'SW Rev'!F61),""),"")</f>
        <v/>
      </c>
      <c r="G878" s="37">
        <f>IFERROR(IF(AND(ISNUMBER('SW OpInc'!K61),ISNUMBER('SW OpInc'!G61),ISNUMBER('SW Rev'!K61),ISNUMBER('SW Rev'!G61),ABS('SW Rev'!K61-'SW Rev'!G61)&gt;=1),('SW OpInc'!K61-'SW OpInc'!G61)/('SW Rev'!K61-'SW Rev'!G61),""),"")</f>
        <v/>
      </c>
      <c r="H878" s="37">
        <f>IFERROR(IF(AND(ISNUMBER('SW OpInc'!L61),ISNUMBER('SW OpInc'!H61),ISNUMBER('SW Rev'!L61),ISNUMBER('SW Rev'!H61),ABS('SW Rev'!L61-'SW Rev'!H61)&gt;=1),('SW OpInc'!L61-'SW OpInc'!H61)/('SW Rev'!L61-'SW Rev'!H61),""),"")</f>
        <v/>
      </c>
      <c r="I878" s="37">
        <f>IFERROR(IF(AND(ISNUMBER('SW OpInc'!M61),ISNUMBER('SW OpInc'!I61),ISNUMBER('SW Rev'!M61),ISNUMBER('SW Rev'!I61),ABS('SW Rev'!M61-'SW Rev'!I61)&gt;=1),('SW OpInc'!M61-'SW OpInc'!I61)/('SW Rev'!M61-'SW Rev'!I61),""),"")</f>
        <v/>
      </c>
      <c r="J878" s="37">
        <f>IFERROR(IF(AND(ISNUMBER('SW OpInc'!N61),ISNUMBER('SW OpInc'!J61),ISNUMBER('SW Rev'!N61),ISNUMBER('SW Rev'!J61),ABS('SW Rev'!N61-'SW Rev'!J61)&gt;=1),('SW OpInc'!N61-'SW OpInc'!J61)/('SW Rev'!N61-'SW Rev'!J61),""),"")</f>
        <v/>
      </c>
      <c r="K878" s="37">
        <f>IFERROR(IF(AND(ISNUMBER('SW OpInc'!O61),ISNUMBER('SW OpInc'!K61),ISNUMBER('SW Rev'!O61),ISNUMBER('SW Rev'!K61),ABS('SW Rev'!O61-'SW Rev'!K61)&gt;=1),('SW OpInc'!O61-'SW OpInc'!K61)/('SW Rev'!O61-'SW Rev'!K61),""),"")</f>
        <v/>
      </c>
      <c r="L878" s="37">
        <f>IFERROR(IF(AND(ISNUMBER('SW OpInc'!P61),ISNUMBER('SW OpInc'!L61),ISNUMBER('SW Rev'!P61),ISNUMBER('SW Rev'!L61),ABS('SW Rev'!P61-'SW Rev'!L61)&gt;=1),('SW OpInc'!P61-'SW OpInc'!L61)/('SW Rev'!P61-'SW Rev'!L61),""),"")</f>
        <v/>
      </c>
      <c r="M878" s="38">
        <f>IFERROR(IF(AND(ISNUMBER('SW OpInc'!Q61),ISNUMBER('SW OpInc'!M61),ISNUMBER('SW Rev'!Q61),ISNUMBER('SW Rev'!M61),ABS('SW Rev'!Q61-'SW Rev'!M61)&gt;=1),('SW OpInc'!Q61-'SW OpInc'!M61)/('SW Rev'!Q61-'SW Rev'!M61),""),"")</f>
        <v/>
      </c>
      <c r="N878" s="38">
        <f>IFERROR(IF(AND(ISNUMBER('SW OpInc'!R61),ISNUMBER('SW OpInc'!N61),ISNUMBER('SW Rev'!R61),ISNUMBER('SW Rev'!N61),ABS('SW Rev'!R61-'SW Rev'!N61)&gt;=1),('SW OpInc'!R61-'SW OpInc'!N61)/('SW Rev'!R61-'SW Rev'!N61),""),"")</f>
        <v/>
      </c>
    </row>
    <row r="879">
      <c r="A879" s="19">
        <f>'SW Rev'!$A62</f>
        <v/>
      </c>
      <c r="B879" s="19">
        <f>'SW Rev'!$B62</f>
        <v/>
      </c>
      <c r="C879" s="37">
        <f>IFERROR(IF(AND(ISNUMBER('SW OpInc'!G62),ISNUMBER('SW OpInc'!C62),ISNUMBER('SW Rev'!G62),ISNUMBER('SW Rev'!C62),ABS('SW Rev'!G62-'SW Rev'!C62)&gt;=1),('SW OpInc'!G62-'SW OpInc'!C62)/('SW Rev'!G62-'SW Rev'!C62),""),"")</f>
        <v/>
      </c>
      <c r="D879" s="37">
        <f>IFERROR(IF(AND(ISNUMBER('SW OpInc'!H62),ISNUMBER('SW OpInc'!D62),ISNUMBER('SW Rev'!H62),ISNUMBER('SW Rev'!D62),ABS('SW Rev'!H62-'SW Rev'!D62)&gt;=1),('SW OpInc'!H62-'SW OpInc'!D62)/('SW Rev'!H62-'SW Rev'!D62),""),"")</f>
        <v/>
      </c>
      <c r="E879" s="37">
        <f>IFERROR(IF(AND(ISNUMBER('SW OpInc'!I62),ISNUMBER('SW OpInc'!E62),ISNUMBER('SW Rev'!I62),ISNUMBER('SW Rev'!E62),ABS('SW Rev'!I62-'SW Rev'!E62)&gt;=1),('SW OpInc'!I62-'SW OpInc'!E62)/('SW Rev'!I62-'SW Rev'!E62),""),"")</f>
        <v/>
      </c>
      <c r="F879" s="37">
        <f>IFERROR(IF(AND(ISNUMBER('SW OpInc'!J62),ISNUMBER('SW OpInc'!F62),ISNUMBER('SW Rev'!J62),ISNUMBER('SW Rev'!F62),ABS('SW Rev'!J62-'SW Rev'!F62)&gt;=1),('SW OpInc'!J62-'SW OpInc'!F62)/('SW Rev'!J62-'SW Rev'!F62),""),"")</f>
        <v/>
      </c>
      <c r="G879" s="37">
        <f>IFERROR(IF(AND(ISNUMBER('SW OpInc'!K62),ISNUMBER('SW OpInc'!G62),ISNUMBER('SW Rev'!K62),ISNUMBER('SW Rev'!G62),ABS('SW Rev'!K62-'SW Rev'!G62)&gt;=1),('SW OpInc'!K62-'SW OpInc'!G62)/('SW Rev'!K62-'SW Rev'!G62),""),"")</f>
        <v/>
      </c>
      <c r="H879" s="37">
        <f>IFERROR(IF(AND(ISNUMBER('SW OpInc'!L62),ISNUMBER('SW OpInc'!H62),ISNUMBER('SW Rev'!L62),ISNUMBER('SW Rev'!H62),ABS('SW Rev'!L62-'SW Rev'!H62)&gt;=1),('SW OpInc'!L62-'SW OpInc'!H62)/('SW Rev'!L62-'SW Rev'!H62),""),"")</f>
        <v/>
      </c>
      <c r="I879" s="37">
        <f>IFERROR(IF(AND(ISNUMBER('SW OpInc'!M62),ISNUMBER('SW OpInc'!I62),ISNUMBER('SW Rev'!M62),ISNUMBER('SW Rev'!I62),ABS('SW Rev'!M62-'SW Rev'!I62)&gt;=1),('SW OpInc'!M62-'SW OpInc'!I62)/('SW Rev'!M62-'SW Rev'!I62),""),"")</f>
        <v/>
      </c>
      <c r="J879" s="37">
        <f>IFERROR(IF(AND(ISNUMBER('SW OpInc'!N62),ISNUMBER('SW OpInc'!J62),ISNUMBER('SW Rev'!N62),ISNUMBER('SW Rev'!J62),ABS('SW Rev'!N62-'SW Rev'!J62)&gt;=1),('SW OpInc'!N62-'SW OpInc'!J62)/('SW Rev'!N62-'SW Rev'!J62),""),"")</f>
        <v/>
      </c>
      <c r="K879" s="37">
        <f>IFERROR(IF(AND(ISNUMBER('SW OpInc'!O62),ISNUMBER('SW OpInc'!K62),ISNUMBER('SW Rev'!O62),ISNUMBER('SW Rev'!K62),ABS('SW Rev'!O62-'SW Rev'!K62)&gt;=1),('SW OpInc'!O62-'SW OpInc'!K62)/('SW Rev'!O62-'SW Rev'!K62),""),"")</f>
        <v/>
      </c>
      <c r="L879" s="37">
        <f>IFERROR(IF(AND(ISNUMBER('SW OpInc'!P62),ISNUMBER('SW OpInc'!L62),ISNUMBER('SW Rev'!P62),ISNUMBER('SW Rev'!L62),ABS('SW Rev'!P62-'SW Rev'!L62)&gt;=1),('SW OpInc'!P62-'SW OpInc'!L62)/('SW Rev'!P62-'SW Rev'!L62),""),"")</f>
        <v/>
      </c>
      <c r="M879" s="38">
        <f>IFERROR(IF(AND(ISNUMBER('SW OpInc'!Q62),ISNUMBER('SW OpInc'!M62),ISNUMBER('SW Rev'!Q62),ISNUMBER('SW Rev'!M62),ABS('SW Rev'!Q62-'SW Rev'!M62)&gt;=1),('SW OpInc'!Q62-'SW OpInc'!M62)/('SW Rev'!Q62-'SW Rev'!M62),""),"")</f>
        <v/>
      </c>
      <c r="N879" s="38">
        <f>IFERROR(IF(AND(ISNUMBER('SW OpInc'!R62),ISNUMBER('SW OpInc'!N62),ISNUMBER('SW Rev'!R62),ISNUMBER('SW Rev'!N62),ABS('SW Rev'!R62-'SW Rev'!N62)&gt;=1),('SW OpInc'!R62-'SW OpInc'!N62)/('SW Rev'!R62-'SW Rev'!N62),""),"")</f>
        <v/>
      </c>
    </row>
    <row r="880">
      <c r="A880" s="19">
        <f>'SW Rev'!$A63</f>
        <v/>
      </c>
      <c r="B880" s="19">
        <f>'SW Rev'!$B63</f>
        <v/>
      </c>
      <c r="C880" s="37">
        <f>IFERROR(IF(AND(ISNUMBER('SW OpInc'!G63),ISNUMBER('SW OpInc'!C63),ISNUMBER('SW Rev'!G63),ISNUMBER('SW Rev'!C63),ABS('SW Rev'!G63-'SW Rev'!C63)&gt;=1),('SW OpInc'!G63-'SW OpInc'!C63)/('SW Rev'!G63-'SW Rev'!C63),""),"")</f>
        <v/>
      </c>
      <c r="D880" s="37">
        <f>IFERROR(IF(AND(ISNUMBER('SW OpInc'!H63),ISNUMBER('SW OpInc'!D63),ISNUMBER('SW Rev'!H63),ISNUMBER('SW Rev'!D63),ABS('SW Rev'!H63-'SW Rev'!D63)&gt;=1),('SW OpInc'!H63-'SW OpInc'!D63)/('SW Rev'!H63-'SW Rev'!D63),""),"")</f>
        <v/>
      </c>
      <c r="E880" s="37">
        <f>IFERROR(IF(AND(ISNUMBER('SW OpInc'!I63),ISNUMBER('SW OpInc'!E63),ISNUMBER('SW Rev'!I63),ISNUMBER('SW Rev'!E63),ABS('SW Rev'!I63-'SW Rev'!E63)&gt;=1),('SW OpInc'!I63-'SW OpInc'!E63)/('SW Rev'!I63-'SW Rev'!E63),""),"")</f>
        <v/>
      </c>
      <c r="F880" s="37">
        <f>IFERROR(IF(AND(ISNUMBER('SW OpInc'!J63),ISNUMBER('SW OpInc'!F63),ISNUMBER('SW Rev'!J63),ISNUMBER('SW Rev'!F63),ABS('SW Rev'!J63-'SW Rev'!F63)&gt;=1),('SW OpInc'!J63-'SW OpInc'!F63)/('SW Rev'!J63-'SW Rev'!F63),""),"")</f>
        <v/>
      </c>
      <c r="G880" s="37">
        <f>IFERROR(IF(AND(ISNUMBER('SW OpInc'!K63),ISNUMBER('SW OpInc'!G63),ISNUMBER('SW Rev'!K63),ISNUMBER('SW Rev'!G63),ABS('SW Rev'!K63-'SW Rev'!G63)&gt;=1),('SW OpInc'!K63-'SW OpInc'!G63)/('SW Rev'!K63-'SW Rev'!G63),""),"")</f>
        <v/>
      </c>
      <c r="H880" s="37">
        <f>IFERROR(IF(AND(ISNUMBER('SW OpInc'!L63),ISNUMBER('SW OpInc'!H63),ISNUMBER('SW Rev'!L63),ISNUMBER('SW Rev'!H63),ABS('SW Rev'!L63-'SW Rev'!H63)&gt;=1),('SW OpInc'!L63-'SW OpInc'!H63)/('SW Rev'!L63-'SW Rev'!H63),""),"")</f>
        <v/>
      </c>
      <c r="I880" s="37">
        <f>IFERROR(IF(AND(ISNUMBER('SW OpInc'!M63),ISNUMBER('SW OpInc'!I63),ISNUMBER('SW Rev'!M63),ISNUMBER('SW Rev'!I63),ABS('SW Rev'!M63-'SW Rev'!I63)&gt;=1),('SW OpInc'!M63-'SW OpInc'!I63)/('SW Rev'!M63-'SW Rev'!I63),""),"")</f>
        <v/>
      </c>
      <c r="J880" s="37">
        <f>IFERROR(IF(AND(ISNUMBER('SW OpInc'!N63),ISNUMBER('SW OpInc'!J63),ISNUMBER('SW Rev'!N63),ISNUMBER('SW Rev'!J63),ABS('SW Rev'!N63-'SW Rev'!J63)&gt;=1),('SW OpInc'!N63-'SW OpInc'!J63)/('SW Rev'!N63-'SW Rev'!J63),""),"")</f>
        <v/>
      </c>
      <c r="K880" s="37">
        <f>IFERROR(IF(AND(ISNUMBER('SW OpInc'!O63),ISNUMBER('SW OpInc'!K63),ISNUMBER('SW Rev'!O63),ISNUMBER('SW Rev'!K63),ABS('SW Rev'!O63-'SW Rev'!K63)&gt;=1),('SW OpInc'!O63-'SW OpInc'!K63)/('SW Rev'!O63-'SW Rev'!K63),""),"")</f>
        <v/>
      </c>
      <c r="L880" s="37">
        <f>IFERROR(IF(AND(ISNUMBER('SW OpInc'!P63),ISNUMBER('SW OpInc'!L63),ISNUMBER('SW Rev'!P63),ISNUMBER('SW Rev'!L63),ABS('SW Rev'!P63-'SW Rev'!L63)&gt;=1),('SW OpInc'!P63-'SW OpInc'!L63)/('SW Rev'!P63-'SW Rev'!L63),""),"")</f>
        <v/>
      </c>
      <c r="M880" s="38">
        <f>IFERROR(IF(AND(ISNUMBER('SW OpInc'!Q63),ISNUMBER('SW OpInc'!M63),ISNUMBER('SW Rev'!Q63),ISNUMBER('SW Rev'!M63),ABS('SW Rev'!Q63-'SW Rev'!M63)&gt;=1),('SW OpInc'!Q63-'SW OpInc'!M63)/('SW Rev'!Q63-'SW Rev'!M63),""),"")</f>
        <v/>
      </c>
      <c r="N880" s="38">
        <f>IFERROR(IF(AND(ISNUMBER('SW OpInc'!R63),ISNUMBER('SW OpInc'!N63),ISNUMBER('SW Rev'!R63),ISNUMBER('SW Rev'!N63),ABS('SW Rev'!R63-'SW Rev'!N63)&gt;=1),('SW OpInc'!R63-'SW OpInc'!N63)/('SW Rev'!R63-'SW Rev'!N63),""),"")</f>
        <v/>
      </c>
    </row>
    <row r="881">
      <c r="A881" s="19">
        <f>'SW Rev'!$A64</f>
        <v/>
      </c>
      <c r="B881" s="19">
        <f>'SW Rev'!$B64</f>
        <v/>
      </c>
      <c r="C881" s="37">
        <f>IFERROR(IF(AND(ISNUMBER('SW OpInc'!G64),ISNUMBER('SW OpInc'!C64),ISNUMBER('SW Rev'!G64),ISNUMBER('SW Rev'!C64),ABS('SW Rev'!G64-'SW Rev'!C64)&gt;=1),('SW OpInc'!G64-'SW OpInc'!C64)/('SW Rev'!G64-'SW Rev'!C64),""),"")</f>
        <v/>
      </c>
      <c r="D881" s="37">
        <f>IFERROR(IF(AND(ISNUMBER('SW OpInc'!H64),ISNUMBER('SW OpInc'!D64),ISNUMBER('SW Rev'!H64),ISNUMBER('SW Rev'!D64),ABS('SW Rev'!H64-'SW Rev'!D64)&gt;=1),('SW OpInc'!H64-'SW OpInc'!D64)/('SW Rev'!H64-'SW Rev'!D64),""),"")</f>
        <v/>
      </c>
      <c r="E881" s="37">
        <f>IFERROR(IF(AND(ISNUMBER('SW OpInc'!I64),ISNUMBER('SW OpInc'!E64),ISNUMBER('SW Rev'!I64),ISNUMBER('SW Rev'!E64),ABS('SW Rev'!I64-'SW Rev'!E64)&gt;=1),('SW OpInc'!I64-'SW OpInc'!E64)/('SW Rev'!I64-'SW Rev'!E64),""),"")</f>
        <v/>
      </c>
      <c r="F881" s="37">
        <f>IFERROR(IF(AND(ISNUMBER('SW OpInc'!J64),ISNUMBER('SW OpInc'!F64),ISNUMBER('SW Rev'!J64),ISNUMBER('SW Rev'!F64),ABS('SW Rev'!J64-'SW Rev'!F64)&gt;=1),('SW OpInc'!J64-'SW OpInc'!F64)/('SW Rev'!J64-'SW Rev'!F64),""),"")</f>
        <v/>
      </c>
      <c r="G881" s="37">
        <f>IFERROR(IF(AND(ISNUMBER('SW OpInc'!K64),ISNUMBER('SW OpInc'!G64),ISNUMBER('SW Rev'!K64),ISNUMBER('SW Rev'!G64),ABS('SW Rev'!K64-'SW Rev'!G64)&gt;=1),('SW OpInc'!K64-'SW OpInc'!G64)/('SW Rev'!K64-'SW Rev'!G64),""),"")</f>
        <v/>
      </c>
      <c r="H881" s="37">
        <f>IFERROR(IF(AND(ISNUMBER('SW OpInc'!L64),ISNUMBER('SW OpInc'!H64),ISNUMBER('SW Rev'!L64),ISNUMBER('SW Rev'!H64),ABS('SW Rev'!L64-'SW Rev'!H64)&gt;=1),('SW OpInc'!L64-'SW OpInc'!H64)/('SW Rev'!L64-'SW Rev'!H64),""),"")</f>
        <v/>
      </c>
      <c r="I881" s="37">
        <f>IFERROR(IF(AND(ISNUMBER('SW OpInc'!M64),ISNUMBER('SW OpInc'!I64),ISNUMBER('SW Rev'!M64),ISNUMBER('SW Rev'!I64),ABS('SW Rev'!M64-'SW Rev'!I64)&gt;=1),('SW OpInc'!M64-'SW OpInc'!I64)/('SW Rev'!M64-'SW Rev'!I64),""),"")</f>
        <v/>
      </c>
      <c r="J881" s="37">
        <f>IFERROR(IF(AND(ISNUMBER('SW OpInc'!N64),ISNUMBER('SW OpInc'!J64),ISNUMBER('SW Rev'!N64),ISNUMBER('SW Rev'!J64),ABS('SW Rev'!N64-'SW Rev'!J64)&gt;=1),('SW OpInc'!N64-'SW OpInc'!J64)/('SW Rev'!N64-'SW Rev'!J64),""),"")</f>
        <v/>
      </c>
      <c r="K881" s="37">
        <f>IFERROR(IF(AND(ISNUMBER('SW OpInc'!O64),ISNUMBER('SW OpInc'!K64),ISNUMBER('SW Rev'!O64),ISNUMBER('SW Rev'!K64),ABS('SW Rev'!O64-'SW Rev'!K64)&gt;=1),('SW OpInc'!O64-'SW OpInc'!K64)/('SW Rev'!O64-'SW Rev'!K64),""),"")</f>
        <v/>
      </c>
      <c r="L881" s="37">
        <f>IFERROR(IF(AND(ISNUMBER('SW OpInc'!P64),ISNUMBER('SW OpInc'!L64),ISNUMBER('SW Rev'!P64),ISNUMBER('SW Rev'!L64),ABS('SW Rev'!P64-'SW Rev'!L64)&gt;=1),('SW OpInc'!P64-'SW OpInc'!L64)/('SW Rev'!P64-'SW Rev'!L64),""),"")</f>
        <v/>
      </c>
      <c r="M881" s="38">
        <f>IFERROR(IF(AND(ISNUMBER('SW OpInc'!Q64),ISNUMBER('SW OpInc'!M64),ISNUMBER('SW Rev'!Q64),ISNUMBER('SW Rev'!M64),ABS('SW Rev'!Q64-'SW Rev'!M64)&gt;=1),('SW OpInc'!Q64-'SW OpInc'!M64)/('SW Rev'!Q64-'SW Rev'!M64),""),"")</f>
        <v/>
      </c>
      <c r="N881" s="38">
        <f>IFERROR(IF(AND(ISNUMBER('SW OpInc'!R64),ISNUMBER('SW OpInc'!N64),ISNUMBER('SW Rev'!R64),ISNUMBER('SW Rev'!N64),ABS('SW Rev'!R64-'SW Rev'!N64)&gt;=1),('SW OpInc'!R64-'SW OpInc'!N64)/('SW Rev'!R64-'SW Rev'!N64),""),"")</f>
        <v/>
      </c>
    </row>
    <row r="882">
      <c r="A882" s="19">
        <f>'SW Rev'!$A65</f>
        <v/>
      </c>
      <c r="B882" s="19">
        <f>'SW Rev'!$B65</f>
        <v/>
      </c>
      <c r="C882" s="37">
        <f>IFERROR(IF(AND(ISNUMBER('SW OpInc'!G65),ISNUMBER('SW OpInc'!C65),ISNUMBER('SW Rev'!G65),ISNUMBER('SW Rev'!C65),ABS('SW Rev'!G65-'SW Rev'!C65)&gt;=1),('SW OpInc'!G65-'SW OpInc'!C65)/('SW Rev'!G65-'SW Rev'!C65),""),"")</f>
        <v/>
      </c>
      <c r="D882" s="37">
        <f>IFERROR(IF(AND(ISNUMBER('SW OpInc'!H65),ISNUMBER('SW OpInc'!D65),ISNUMBER('SW Rev'!H65),ISNUMBER('SW Rev'!D65),ABS('SW Rev'!H65-'SW Rev'!D65)&gt;=1),('SW OpInc'!H65-'SW OpInc'!D65)/('SW Rev'!H65-'SW Rev'!D65),""),"")</f>
        <v/>
      </c>
      <c r="E882" s="37">
        <f>IFERROR(IF(AND(ISNUMBER('SW OpInc'!I65),ISNUMBER('SW OpInc'!E65),ISNUMBER('SW Rev'!I65),ISNUMBER('SW Rev'!E65),ABS('SW Rev'!I65-'SW Rev'!E65)&gt;=1),('SW OpInc'!I65-'SW OpInc'!E65)/('SW Rev'!I65-'SW Rev'!E65),""),"")</f>
        <v/>
      </c>
      <c r="F882" s="37">
        <f>IFERROR(IF(AND(ISNUMBER('SW OpInc'!J65),ISNUMBER('SW OpInc'!F65),ISNUMBER('SW Rev'!J65),ISNUMBER('SW Rev'!F65),ABS('SW Rev'!J65-'SW Rev'!F65)&gt;=1),('SW OpInc'!J65-'SW OpInc'!F65)/('SW Rev'!J65-'SW Rev'!F65),""),"")</f>
        <v/>
      </c>
      <c r="G882" s="37">
        <f>IFERROR(IF(AND(ISNUMBER('SW OpInc'!K65),ISNUMBER('SW OpInc'!G65),ISNUMBER('SW Rev'!K65),ISNUMBER('SW Rev'!G65),ABS('SW Rev'!K65-'SW Rev'!G65)&gt;=1),('SW OpInc'!K65-'SW OpInc'!G65)/('SW Rev'!K65-'SW Rev'!G65),""),"")</f>
        <v/>
      </c>
      <c r="H882" s="37">
        <f>IFERROR(IF(AND(ISNUMBER('SW OpInc'!L65),ISNUMBER('SW OpInc'!H65),ISNUMBER('SW Rev'!L65),ISNUMBER('SW Rev'!H65),ABS('SW Rev'!L65-'SW Rev'!H65)&gt;=1),('SW OpInc'!L65-'SW OpInc'!H65)/('SW Rev'!L65-'SW Rev'!H65),""),"")</f>
        <v/>
      </c>
      <c r="I882" s="37">
        <f>IFERROR(IF(AND(ISNUMBER('SW OpInc'!M65),ISNUMBER('SW OpInc'!I65),ISNUMBER('SW Rev'!M65),ISNUMBER('SW Rev'!I65),ABS('SW Rev'!M65-'SW Rev'!I65)&gt;=1),('SW OpInc'!M65-'SW OpInc'!I65)/('SW Rev'!M65-'SW Rev'!I65),""),"")</f>
        <v/>
      </c>
      <c r="J882" s="37">
        <f>IFERROR(IF(AND(ISNUMBER('SW OpInc'!N65),ISNUMBER('SW OpInc'!J65),ISNUMBER('SW Rev'!N65),ISNUMBER('SW Rev'!J65),ABS('SW Rev'!N65-'SW Rev'!J65)&gt;=1),('SW OpInc'!N65-'SW OpInc'!J65)/('SW Rev'!N65-'SW Rev'!J65),""),"")</f>
        <v/>
      </c>
      <c r="K882" s="37">
        <f>IFERROR(IF(AND(ISNUMBER('SW OpInc'!O65),ISNUMBER('SW OpInc'!K65),ISNUMBER('SW Rev'!O65),ISNUMBER('SW Rev'!K65),ABS('SW Rev'!O65-'SW Rev'!K65)&gt;=1),('SW OpInc'!O65-'SW OpInc'!K65)/('SW Rev'!O65-'SW Rev'!K65),""),"")</f>
        <v/>
      </c>
      <c r="L882" s="37">
        <f>IFERROR(IF(AND(ISNUMBER('SW OpInc'!P65),ISNUMBER('SW OpInc'!L65),ISNUMBER('SW Rev'!P65),ISNUMBER('SW Rev'!L65),ABS('SW Rev'!P65-'SW Rev'!L65)&gt;=1),('SW OpInc'!P65-'SW OpInc'!L65)/('SW Rev'!P65-'SW Rev'!L65),""),"")</f>
        <v/>
      </c>
      <c r="M882" s="38">
        <f>IFERROR(IF(AND(ISNUMBER('SW OpInc'!Q65),ISNUMBER('SW OpInc'!M65),ISNUMBER('SW Rev'!Q65),ISNUMBER('SW Rev'!M65),ABS('SW Rev'!Q65-'SW Rev'!M65)&gt;=1),('SW OpInc'!Q65-'SW OpInc'!M65)/('SW Rev'!Q65-'SW Rev'!M65),""),"")</f>
        <v/>
      </c>
      <c r="N882" s="38">
        <f>IFERROR(IF(AND(ISNUMBER('SW OpInc'!R65),ISNUMBER('SW OpInc'!N65),ISNUMBER('SW Rev'!R65),ISNUMBER('SW Rev'!N65),ABS('SW Rev'!R65-'SW Rev'!N65)&gt;=1),('SW OpInc'!R65-'SW OpInc'!N65)/('SW Rev'!R65-'SW Rev'!N65),""),"")</f>
        <v/>
      </c>
    </row>
    <row r="883">
      <c r="A883" s="19">
        <f>'SW Rev'!$A66</f>
        <v/>
      </c>
      <c r="B883" s="19">
        <f>'SW Rev'!$B66</f>
        <v/>
      </c>
      <c r="C883" s="37">
        <f>IFERROR(IF(AND(ISNUMBER('SW OpInc'!G66),ISNUMBER('SW OpInc'!C66),ISNUMBER('SW Rev'!G66),ISNUMBER('SW Rev'!C66),ABS('SW Rev'!G66-'SW Rev'!C66)&gt;=1),('SW OpInc'!G66-'SW OpInc'!C66)/('SW Rev'!G66-'SW Rev'!C66),""),"")</f>
        <v/>
      </c>
      <c r="D883" s="37">
        <f>IFERROR(IF(AND(ISNUMBER('SW OpInc'!H66),ISNUMBER('SW OpInc'!D66),ISNUMBER('SW Rev'!H66),ISNUMBER('SW Rev'!D66),ABS('SW Rev'!H66-'SW Rev'!D66)&gt;=1),('SW OpInc'!H66-'SW OpInc'!D66)/('SW Rev'!H66-'SW Rev'!D66),""),"")</f>
        <v/>
      </c>
      <c r="E883" s="37">
        <f>IFERROR(IF(AND(ISNUMBER('SW OpInc'!I66),ISNUMBER('SW OpInc'!E66),ISNUMBER('SW Rev'!I66),ISNUMBER('SW Rev'!E66),ABS('SW Rev'!I66-'SW Rev'!E66)&gt;=1),('SW OpInc'!I66-'SW OpInc'!E66)/('SW Rev'!I66-'SW Rev'!E66),""),"")</f>
        <v/>
      </c>
      <c r="F883" s="37">
        <f>IFERROR(IF(AND(ISNUMBER('SW OpInc'!J66),ISNUMBER('SW OpInc'!F66),ISNUMBER('SW Rev'!J66),ISNUMBER('SW Rev'!F66),ABS('SW Rev'!J66-'SW Rev'!F66)&gt;=1),('SW OpInc'!J66-'SW OpInc'!F66)/('SW Rev'!J66-'SW Rev'!F66),""),"")</f>
        <v/>
      </c>
      <c r="G883" s="37">
        <f>IFERROR(IF(AND(ISNUMBER('SW OpInc'!K66),ISNUMBER('SW OpInc'!G66),ISNUMBER('SW Rev'!K66),ISNUMBER('SW Rev'!G66),ABS('SW Rev'!K66-'SW Rev'!G66)&gt;=1),('SW OpInc'!K66-'SW OpInc'!G66)/('SW Rev'!K66-'SW Rev'!G66),""),"")</f>
        <v/>
      </c>
      <c r="H883" s="37">
        <f>IFERROR(IF(AND(ISNUMBER('SW OpInc'!L66),ISNUMBER('SW OpInc'!H66),ISNUMBER('SW Rev'!L66),ISNUMBER('SW Rev'!H66),ABS('SW Rev'!L66-'SW Rev'!H66)&gt;=1),('SW OpInc'!L66-'SW OpInc'!H66)/('SW Rev'!L66-'SW Rev'!H66),""),"")</f>
        <v/>
      </c>
      <c r="I883" s="37">
        <f>IFERROR(IF(AND(ISNUMBER('SW OpInc'!M66),ISNUMBER('SW OpInc'!I66),ISNUMBER('SW Rev'!M66),ISNUMBER('SW Rev'!I66),ABS('SW Rev'!M66-'SW Rev'!I66)&gt;=1),('SW OpInc'!M66-'SW OpInc'!I66)/('SW Rev'!M66-'SW Rev'!I66),""),"")</f>
        <v/>
      </c>
      <c r="J883" s="37">
        <f>IFERROR(IF(AND(ISNUMBER('SW OpInc'!N66),ISNUMBER('SW OpInc'!J66),ISNUMBER('SW Rev'!N66),ISNUMBER('SW Rev'!J66),ABS('SW Rev'!N66-'SW Rev'!J66)&gt;=1),('SW OpInc'!N66-'SW OpInc'!J66)/('SW Rev'!N66-'SW Rev'!J66),""),"")</f>
        <v/>
      </c>
      <c r="K883" s="37">
        <f>IFERROR(IF(AND(ISNUMBER('SW OpInc'!O66),ISNUMBER('SW OpInc'!K66),ISNUMBER('SW Rev'!O66),ISNUMBER('SW Rev'!K66),ABS('SW Rev'!O66-'SW Rev'!K66)&gt;=1),('SW OpInc'!O66-'SW OpInc'!K66)/('SW Rev'!O66-'SW Rev'!K66),""),"")</f>
        <v/>
      </c>
      <c r="L883" s="37">
        <f>IFERROR(IF(AND(ISNUMBER('SW OpInc'!P66),ISNUMBER('SW OpInc'!L66),ISNUMBER('SW Rev'!P66),ISNUMBER('SW Rev'!L66),ABS('SW Rev'!P66-'SW Rev'!L66)&gt;=1),('SW OpInc'!P66-'SW OpInc'!L66)/('SW Rev'!P66-'SW Rev'!L66),""),"")</f>
        <v/>
      </c>
      <c r="M883" s="38">
        <f>IFERROR(IF(AND(ISNUMBER('SW OpInc'!Q66),ISNUMBER('SW OpInc'!M66),ISNUMBER('SW Rev'!Q66),ISNUMBER('SW Rev'!M66),ABS('SW Rev'!Q66-'SW Rev'!M66)&gt;=1),('SW OpInc'!Q66-'SW OpInc'!M66)/('SW Rev'!Q66-'SW Rev'!M66),""),"")</f>
        <v/>
      </c>
      <c r="N883" s="38">
        <f>IFERROR(IF(AND(ISNUMBER('SW OpInc'!R66),ISNUMBER('SW OpInc'!N66),ISNUMBER('SW Rev'!R66),ISNUMBER('SW Rev'!N66),ABS('SW Rev'!R66-'SW Rev'!N66)&gt;=1),('SW OpInc'!R66-'SW OpInc'!N66)/('SW Rev'!R66-'SW Rev'!N66),""),"")</f>
        <v/>
      </c>
    </row>
    <row r="884">
      <c r="A884" s="19">
        <f>'SW Rev'!$A67</f>
        <v/>
      </c>
      <c r="B884" s="19">
        <f>'SW Rev'!$B67</f>
        <v/>
      </c>
      <c r="C884" s="37">
        <f>IFERROR(IF(AND(ISNUMBER('SW OpInc'!G67),ISNUMBER('SW OpInc'!C67),ISNUMBER('SW Rev'!G67),ISNUMBER('SW Rev'!C67),ABS('SW Rev'!G67-'SW Rev'!C67)&gt;=1),('SW OpInc'!G67-'SW OpInc'!C67)/('SW Rev'!G67-'SW Rev'!C67),""),"")</f>
        <v/>
      </c>
      <c r="D884" s="37">
        <f>IFERROR(IF(AND(ISNUMBER('SW OpInc'!H67),ISNUMBER('SW OpInc'!D67),ISNUMBER('SW Rev'!H67),ISNUMBER('SW Rev'!D67),ABS('SW Rev'!H67-'SW Rev'!D67)&gt;=1),('SW OpInc'!H67-'SW OpInc'!D67)/('SW Rev'!H67-'SW Rev'!D67),""),"")</f>
        <v/>
      </c>
      <c r="E884" s="37">
        <f>IFERROR(IF(AND(ISNUMBER('SW OpInc'!I67),ISNUMBER('SW OpInc'!E67),ISNUMBER('SW Rev'!I67),ISNUMBER('SW Rev'!E67),ABS('SW Rev'!I67-'SW Rev'!E67)&gt;=1),('SW OpInc'!I67-'SW OpInc'!E67)/('SW Rev'!I67-'SW Rev'!E67),""),"")</f>
        <v/>
      </c>
      <c r="F884" s="37">
        <f>IFERROR(IF(AND(ISNUMBER('SW OpInc'!J67),ISNUMBER('SW OpInc'!F67),ISNUMBER('SW Rev'!J67),ISNUMBER('SW Rev'!F67),ABS('SW Rev'!J67-'SW Rev'!F67)&gt;=1),('SW OpInc'!J67-'SW OpInc'!F67)/('SW Rev'!J67-'SW Rev'!F67),""),"")</f>
        <v/>
      </c>
      <c r="G884" s="37">
        <f>IFERROR(IF(AND(ISNUMBER('SW OpInc'!K67),ISNUMBER('SW OpInc'!G67),ISNUMBER('SW Rev'!K67),ISNUMBER('SW Rev'!G67),ABS('SW Rev'!K67-'SW Rev'!G67)&gt;=1),('SW OpInc'!K67-'SW OpInc'!G67)/('SW Rev'!K67-'SW Rev'!G67),""),"")</f>
        <v/>
      </c>
      <c r="H884" s="37">
        <f>IFERROR(IF(AND(ISNUMBER('SW OpInc'!L67),ISNUMBER('SW OpInc'!H67),ISNUMBER('SW Rev'!L67),ISNUMBER('SW Rev'!H67),ABS('SW Rev'!L67-'SW Rev'!H67)&gt;=1),('SW OpInc'!L67-'SW OpInc'!H67)/('SW Rev'!L67-'SW Rev'!H67),""),"")</f>
        <v/>
      </c>
      <c r="I884" s="37">
        <f>IFERROR(IF(AND(ISNUMBER('SW OpInc'!M67),ISNUMBER('SW OpInc'!I67),ISNUMBER('SW Rev'!M67),ISNUMBER('SW Rev'!I67),ABS('SW Rev'!M67-'SW Rev'!I67)&gt;=1),('SW OpInc'!M67-'SW OpInc'!I67)/('SW Rev'!M67-'SW Rev'!I67),""),"")</f>
        <v/>
      </c>
      <c r="J884" s="37">
        <f>IFERROR(IF(AND(ISNUMBER('SW OpInc'!N67),ISNUMBER('SW OpInc'!J67),ISNUMBER('SW Rev'!N67),ISNUMBER('SW Rev'!J67),ABS('SW Rev'!N67-'SW Rev'!J67)&gt;=1),('SW OpInc'!N67-'SW OpInc'!J67)/('SW Rev'!N67-'SW Rev'!J67),""),"")</f>
        <v/>
      </c>
      <c r="K884" s="37">
        <f>IFERROR(IF(AND(ISNUMBER('SW OpInc'!O67),ISNUMBER('SW OpInc'!K67),ISNUMBER('SW Rev'!O67),ISNUMBER('SW Rev'!K67),ABS('SW Rev'!O67-'SW Rev'!K67)&gt;=1),('SW OpInc'!O67-'SW OpInc'!K67)/('SW Rev'!O67-'SW Rev'!K67),""),"")</f>
        <v/>
      </c>
      <c r="L884" s="37">
        <f>IFERROR(IF(AND(ISNUMBER('SW OpInc'!P67),ISNUMBER('SW OpInc'!L67),ISNUMBER('SW Rev'!P67),ISNUMBER('SW Rev'!L67),ABS('SW Rev'!P67-'SW Rev'!L67)&gt;=1),('SW OpInc'!P67-'SW OpInc'!L67)/('SW Rev'!P67-'SW Rev'!L67),""),"")</f>
        <v/>
      </c>
      <c r="M884" s="38">
        <f>IFERROR(IF(AND(ISNUMBER('SW OpInc'!Q67),ISNUMBER('SW OpInc'!M67),ISNUMBER('SW Rev'!Q67),ISNUMBER('SW Rev'!M67),ABS('SW Rev'!Q67-'SW Rev'!M67)&gt;=1),('SW OpInc'!Q67-'SW OpInc'!M67)/('SW Rev'!Q67-'SW Rev'!M67),""),"")</f>
        <v/>
      </c>
      <c r="N884" s="38">
        <f>IFERROR(IF(AND(ISNUMBER('SW OpInc'!R67),ISNUMBER('SW OpInc'!N67),ISNUMBER('SW Rev'!R67),ISNUMBER('SW Rev'!N67),ABS('SW Rev'!R67-'SW Rev'!N67)&gt;=1),('SW OpInc'!R67-'SW OpInc'!N67)/('SW Rev'!R67-'SW Rev'!N67),""),"")</f>
        <v/>
      </c>
    </row>
    <row r="885">
      <c r="A885" s="19">
        <f>'SW Rev'!$A68</f>
        <v/>
      </c>
      <c r="B885" s="19">
        <f>'SW Rev'!$B68</f>
        <v/>
      </c>
      <c r="C885" s="37">
        <f>IFERROR(IF(AND(ISNUMBER('SW OpInc'!G68),ISNUMBER('SW OpInc'!C68),ISNUMBER('SW Rev'!G68),ISNUMBER('SW Rev'!C68),ABS('SW Rev'!G68-'SW Rev'!C68)&gt;=1),('SW OpInc'!G68-'SW OpInc'!C68)/('SW Rev'!G68-'SW Rev'!C68),""),"")</f>
        <v/>
      </c>
      <c r="D885" s="37">
        <f>IFERROR(IF(AND(ISNUMBER('SW OpInc'!H68),ISNUMBER('SW OpInc'!D68),ISNUMBER('SW Rev'!H68),ISNUMBER('SW Rev'!D68),ABS('SW Rev'!H68-'SW Rev'!D68)&gt;=1),('SW OpInc'!H68-'SW OpInc'!D68)/('SW Rev'!H68-'SW Rev'!D68),""),"")</f>
        <v/>
      </c>
      <c r="E885" s="37">
        <f>IFERROR(IF(AND(ISNUMBER('SW OpInc'!I68),ISNUMBER('SW OpInc'!E68),ISNUMBER('SW Rev'!I68),ISNUMBER('SW Rev'!E68),ABS('SW Rev'!I68-'SW Rev'!E68)&gt;=1),('SW OpInc'!I68-'SW OpInc'!E68)/('SW Rev'!I68-'SW Rev'!E68),""),"")</f>
        <v/>
      </c>
      <c r="F885" s="37">
        <f>IFERROR(IF(AND(ISNUMBER('SW OpInc'!J68),ISNUMBER('SW OpInc'!F68),ISNUMBER('SW Rev'!J68),ISNUMBER('SW Rev'!F68),ABS('SW Rev'!J68-'SW Rev'!F68)&gt;=1),('SW OpInc'!J68-'SW OpInc'!F68)/('SW Rev'!J68-'SW Rev'!F68),""),"")</f>
        <v/>
      </c>
      <c r="G885" s="37">
        <f>IFERROR(IF(AND(ISNUMBER('SW OpInc'!K68),ISNUMBER('SW OpInc'!G68),ISNUMBER('SW Rev'!K68),ISNUMBER('SW Rev'!G68),ABS('SW Rev'!K68-'SW Rev'!G68)&gt;=1),('SW OpInc'!K68-'SW OpInc'!G68)/('SW Rev'!K68-'SW Rev'!G68),""),"")</f>
        <v/>
      </c>
      <c r="H885" s="37">
        <f>IFERROR(IF(AND(ISNUMBER('SW OpInc'!L68),ISNUMBER('SW OpInc'!H68),ISNUMBER('SW Rev'!L68),ISNUMBER('SW Rev'!H68),ABS('SW Rev'!L68-'SW Rev'!H68)&gt;=1),('SW OpInc'!L68-'SW OpInc'!H68)/('SW Rev'!L68-'SW Rev'!H68),""),"")</f>
        <v/>
      </c>
      <c r="I885" s="37">
        <f>IFERROR(IF(AND(ISNUMBER('SW OpInc'!M68),ISNUMBER('SW OpInc'!I68),ISNUMBER('SW Rev'!M68),ISNUMBER('SW Rev'!I68),ABS('SW Rev'!M68-'SW Rev'!I68)&gt;=1),('SW OpInc'!M68-'SW OpInc'!I68)/('SW Rev'!M68-'SW Rev'!I68),""),"")</f>
        <v/>
      </c>
      <c r="J885" s="37">
        <f>IFERROR(IF(AND(ISNUMBER('SW OpInc'!N68),ISNUMBER('SW OpInc'!J68),ISNUMBER('SW Rev'!N68),ISNUMBER('SW Rev'!J68),ABS('SW Rev'!N68-'SW Rev'!J68)&gt;=1),('SW OpInc'!N68-'SW OpInc'!J68)/('SW Rev'!N68-'SW Rev'!J68),""),"")</f>
        <v/>
      </c>
      <c r="K885" s="37">
        <f>IFERROR(IF(AND(ISNUMBER('SW OpInc'!O68),ISNUMBER('SW OpInc'!K68),ISNUMBER('SW Rev'!O68),ISNUMBER('SW Rev'!K68),ABS('SW Rev'!O68-'SW Rev'!K68)&gt;=1),('SW OpInc'!O68-'SW OpInc'!K68)/('SW Rev'!O68-'SW Rev'!K68),""),"")</f>
        <v/>
      </c>
      <c r="L885" s="37">
        <f>IFERROR(IF(AND(ISNUMBER('SW OpInc'!P68),ISNUMBER('SW OpInc'!L68),ISNUMBER('SW Rev'!P68),ISNUMBER('SW Rev'!L68),ABS('SW Rev'!P68-'SW Rev'!L68)&gt;=1),('SW OpInc'!P68-'SW OpInc'!L68)/('SW Rev'!P68-'SW Rev'!L68),""),"")</f>
        <v/>
      </c>
      <c r="M885" s="38">
        <f>IFERROR(IF(AND(ISNUMBER('SW OpInc'!Q68),ISNUMBER('SW OpInc'!M68),ISNUMBER('SW Rev'!Q68),ISNUMBER('SW Rev'!M68),ABS('SW Rev'!Q68-'SW Rev'!M68)&gt;=1),('SW OpInc'!Q68-'SW OpInc'!M68)/('SW Rev'!Q68-'SW Rev'!M68),""),"")</f>
        <v/>
      </c>
      <c r="N885" s="38">
        <f>IFERROR(IF(AND(ISNUMBER('SW OpInc'!R68),ISNUMBER('SW OpInc'!N68),ISNUMBER('SW Rev'!R68),ISNUMBER('SW Rev'!N68),ABS('SW Rev'!R68-'SW Rev'!N68)&gt;=1),('SW OpInc'!R68-'SW OpInc'!N68)/('SW Rev'!R68-'SW Rev'!N68),""),"")</f>
        <v/>
      </c>
    </row>
    <row r="886">
      <c r="A886" s="19">
        <f>'SW Rev'!$A69</f>
        <v/>
      </c>
      <c r="B886" s="19">
        <f>'SW Rev'!$B69</f>
        <v/>
      </c>
      <c r="C886" s="37">
        <f>IFERROR(IF(AND(ISNUMBER('SW OpInc'!G69),ISNUMBER('SW OpInc'!C69),ISNUMBER('SW Rev'!G69),ISNUMBER('SW Rev'!C69),ABS('SW Rev'!G69-'SW Rev'!C69)&gt;=1),('SW OpInc'!G69-'SW OpInc'!C69)/('SW Rev'!G69-'SW Rev'!C69),""),"")</f>
        <v/>
      </c>
      <c r="D886" s="37">
        <f>IFERROR(IF(AND(ISNUMBER('SW OpInc'!H69),ISNUMBER('SW OpInc'!D69),ISNUMBER('SW Rev'!H69),ISNUMBER('SW Rev'!D69),ABS('SW Rev'!H69-'SW Rev'!D69)&gt;=1),('SW OpInc'!H69-'SW OpInc'!D69)/('SW Rev'!H69-'SW Rev'!D69),""),"")</f>
        <v/>
      </c>
      <c r="E886" s="37">
        <f>IFERROR(IF(AND(ISNUMBER('SW OpInc'!I69),ISNUMBER('SW OpInc'!E69),ISNUMBER('SW Rev'!I69),ISNUMBER('SW Rev'!E69),ABS('SW Rev'!I69-'SW Rev'!E69)&gt;=1),('SW OpInc'!I69-'SW OpInc'!E69)/('SW Rev'!I69-'SW Rev'!E69),""),"")</f>
        <v/>
      </c>
      <c r="F886" s="37">
        <f>IFERROR(IF(AND(ISNUMBER('SW OpInc'!J69),ISNUMBER('SW OpInc'!F69),ISNUMBER('SW Rev'!J69),ISNUMBER('SW Rev'!F69),ABS('SW Rev'!J69-'SW Rev'!F69)&gt;=1),('SW OpInc'!J69-'SW OpInc'!F69)/('SW Rev'!J69-'SW Rev'!F69),""),"")</f>
        <v/>
      </c>
      <c r="G886" s="37">
        <f>IFERROR(IF(AND(ISNUMBER('SW OpInc'!K69),ISNUMBER('SW OpInc'!G69),ISNUMBER('SW Rev'!K69),ISNUMBER('SW Rev'!G69),ABS('SW Rev'!K69-'SW Rev'!G69)&gt;=1),('SW OpInc'!K69-'SW OpInc'!G69)/('SW Rev'!K69-'SW Rev'!G69),""),"")</f>
        <v/>
      </c>
      <c r="H886" s="37">
        <f>IFERROR(IF(AND(ISNUMBER('SW OpInc'!L69),ISNUMBER('SW OpInc'!H69),ISNUMBER('SW Rev'!L69),ISNUMBER('SW Rev'!H69),ABS('SW Rev'!L69-'SW Rev'!H69)&gt;=1),('SW OpInc'!L69-'SW OpInc'!H69)/('SW Rev'!L69-'SW Rev'!H69),""),"")</f>
        <v/>
      </c>
      <c r="I886" s="37">
        <f>IFERROR(IF(AND(ISNUMBER('SW OpInc'!M69),ISNUMBER('SW OpInc'!I69),ISNUMBER('SW Rev'!M69),ISNUMBER('SW Rev'!I69),ABS('SW Rev'!M69-'SW Rev'!I69)&gt;=1),('SW OpInc'!M69-'SW OpInc'!I69)/('SW Rev'!M69-'SW Rev'!I69),""),"")</f>
        <v/>
      </c>
      <c r="J886" s="37">
        <f>IFERROR(IF(AND(ISNUMBER('SW OpInc'!N69),ISNUMBER('SW OpInc'!J69),ISNUMBER('SW Rev'!N69),ISNUMBER('SW Rev'!J69),ABS('SW Rev'!N69-'SW Rev'!J69)&gt;=1),('SW OpInc'!N69-'SW OpInc'!J69)/('SW Rev'!N69-'SW Rev'!J69),""),"")</f>
        <v/>
      </c>
      <c r="K886" s="37">
        <f>IFERROR(IF(AND(ISNUMBER('SW OpInc'!O69),ISNUMBER('SW OpInc'!K69),ISNUMBER('SW Rev'!O69),ISNUMBER('SW Rev'!K69),ABS('SW Rev'!O69-'SW Rev'!K69)&gt;=1),('SW OpInc'!O69-'SW OpInc'!K69)/('SW Rev'!O69-'SW Rev'!K69),""),"")</f>
        <v/>
      </c>
      <c r="L886" s="37">
        <f>IFERROR(IF(AND(ISNUMBER('SW OpInc'!P69),ISNUMBER('SW OpInc'!L69),ISNUMBER('SW Rev'!P69),ISNUMBER('SW Rev'!L69),ABS('SW Rev'!P69-'SW Rev'!L69)&gt;=1),('SW OpInc'!P69-'SW OpInc'!L69)/('SW Rev'!P69-'SW Rev'!L69),""),"")</f>
        <v/>
      </c>
      <c r="M886" s="38">
        <f>IFERROR(IF(AND(ISNUMBER('SW OpInc'!Q69),ISNUMBER('SW OpInc'!M69),ISNUMBER('SW Rev'!Q69),ISNUMBER('SW Rev'!M69),ABS('SW Rev'!Q69-'SW Rev'!M69)&gt;=1),('SW OpInc'!Q69-'SW OpInc'!M69)/('SW Rev'!Q69-'SW Rev'!M69),""),"")</f>
        <v/>
      </c>
      <c r="N886" s="38">
        <f>IFERROR(IF(AND(ISNUMBER('SW OpInc'!R69),ISNUMBER('SW OpInc'!N69),ISNUMBER('SW Rev'!R69),ISNUMBER('SW Rev'!N69),ABS('SW Rev'!R69-'SW Rev'!N69)&gt;=1),('SW OpInc'!R69-'SW OpInc'!N69)/('SW Rev'!R69-'SW Rev'!N69),""),"")</f>
        <v/>
      </c>
    </row>
    <row r="887">
      <c r="A887" s="19">
        <f>'SW Rev'!$A70</f>
        <v/>
      </c>
      <c r="B887" s="19">
        <f>'SW Rev'!$B70</f>
        <v/>
      </c>
      <c r="C887" s="37">
        <f>IFERROR(IF(AND(ISNUMBER('SW OpInc'!G70),ISNUMBER('SW OpInc'!C70),ISNUMBER('SW Rev'!G70),ISNUMBER('SW Rev'!C70),ABS('SW Rev'!G70-'SW Rev'!C70)&gt;=1),('SW OpInc'!G70-'SW OpInc'!C70)/('SW Rev'!G70-'SW Rev'!C70),""),"")</f>
        <v/>
      </c>
      <c r="D887" s="37">
        <f>IFERROR(IF(AND(ISNUMBER('SW OpInc'!H70),ISNUMBER('SW OpInc'!D70),ISNUMBER('SW Rev'!H70),ISNUMBER('SW Rev'!D70),ABS('SW Rev'!H70-'SW Rev'!D70)&gt;=1),('SW OpInc'!H70-'SW OpInc'!D70)/('SW Rev'!H70-'SW Rev'!D70),""),"")</f>
        <v/>
      </c>
      <c r="E887" s="37">
        <f>IFERROR(IF(AND(ISNUMBER('SW OpInc'!I70),ISNUMBER('SW OpInc'!E70),ISNUMBER('SW Rev'!I70),ISNUMBER('SW Rev'!E70),ABS('SW Rev'!I70-'SW Rev'!E70)&gt;=1),('SW OpInc'!I70-'SW OpInc'!E70)/('SW Rev'!I70-'SW Rev'!E70),""),"")</f>
        <v/>
      </c>
      <c r="F887" s="37">
        <f>IFERROR(IF(AND(ISNUMBER('SW OpInc'!J70),ISNUMBER('SW OpInc'!F70),ISNUMBER('SW Rev'!J70),ISNUMBER('SW Rev'!F70),ABS('SW Rev'!J70-'SW Rev'!F70)&gt;=1),('SW OpInc'!J70-'SW OpInc'!F70)/('SW Rev'!J70-'SW Rev'!F70),""),"")</f>
        <v/>
      </c>
      <c r="G887" s="37">
        <f>IFERROR(IF(AND(ISNUMBER('SW OpInc'!K70),ISNUMBER('SW OpInc'!G70),ISNUMBER('SW Rev'!K70),ISNUMBER('SW Rev'!G70),ABS('SW Rev'!K70-'SW Rev'!G70)&gt;=1),('SW OpInc'!K70-'SW OpInc'!G70)/('SW Rev'!K70-'SW Rev'!G70),""),"")</f>
        <v/>
      </c>
      <c r="H887" s="37">
        <f>IFERROR(IF(AND(ISNUMBER('SW OpInc'!L70),ISNUMBER('SW OpInc'!H70),ISNUMBER('SW Rev'!L70),ISNUMBER('SW Rev'!H70),ABS('SW Rev'!L70-'SW Rev'!H70)&gt;=1),('SW OpInc'!L70-'SW OpInc'!H70)/('SW Rev'!L70-'SW Rev'!H70),""),"")</f>
        <v/>
      </c>
      <c r="I887" s="37">
        <f>IFERROR(IF(AND(ISNUMBER('SW OpInc'!M70),ISNUMBER('SW OpInc'!I70),ISNUMBER('SW Rev'!M70),ISNUMBER('SW Rev'!I70),ABS('SW Rev'!M70-'SW Rev'!I70)&gt;=1),('SW OpInc'!M70-'SW OpInc'!I70)/('SW Rev'!M70-'SW Rev'!I70),""),"")</f>
        <v/>
      </c>
      <c r="J887" s="37">
        <f>IFERROR(IF(AND(ISNUMBER('SW OpInc'!N70),ISNUMBER('SW OpInc'!J70),ISNUMBER('SW Rev'!N70),ISNUMBER('SW Rev'!J70),ABS('SW Rev'!N70-'SW Rev'!J70)&gt;=1),('SW OpInc'!N70-'SW OpInc'!J70)/('SW Rev'!N70-'SW Rev'!J70),""),"")</f>
        <v/>
      </c>
      <c r="K887" s="37">
        <f>IFERROR(IF(AND(ISNUMBER('SW OpInc'!O70),ISNUMBER('SW OpInc'!K70),ISNUMBER('SW Rev'!O70),ISNUMBER('SW Rev'!K70),ABS('SW Rev'!O70-'SW Rev'!K70)&gt;=1),('SW OpInc'!O70-'SW OpInc'!K70)/('SW Rev'!O70-'SW Rev'!K70),""),"")</f>
        <v/>
      </c>
      <c r="L887" s="37">
        <f>IFERROR(IF(AND(ISNUMBER('SW OpInc'!P70),ISNUMBER('SW OpInc'!L70),ISNUMBER('SW Rev'!P70),ISNUMBER('SW Rev'!L70),ABS('SW Rev'!P70-'SW Rev'!L70)&gt;=1),('SW OpInc'!P70-'SW OpInc'!L70)/('SW Rev'!P70-'SW Rev'!L70),""),"")</f>
        <v/>
      </c>
      <c r="M887" s="38">
        <f>IFERROR(IF(AND(ISNUMBER('SW OpInc'!Q70),ISNUMBER('SW OpInc'!M70),ISNUMBER('SW Rev'!Q70),ISNUMBER('SW Rev'!M70),ABS('SW Rev'!Q70-'SW Rev'!M70)&gt;=1),('SW OpInc'!Q70-'SW OpInc'!M70)/('SW Rev'!Q70-'SW Rev'!M70),""),"")</f>
        <v/>
      </c>
      <c r="N887" s="38">
        <f>IFERROR(IF(AND(ISNUMBER('SW OpInc'!R70),ISNUMBER('SW OpInc'!N70),ISNUMBER('SW Rev'!R70),ISNUMBER('SW Rev'!N70),ABS('SW Rev'!R70-'SW Rev'!N70)&gt;=1),('SW OpInc'!R70-'SW OpInc'!N70)/('SW Rev'!R70-'SW Rev'!N70),""),"")</f>
        <v/>
      </c>
    </row>
    <row r="888">
      <c r="A888" s="19">
        <f>'SW Rev'!$A71</f>
        <v/>
      </c>
      <c r="B888" s="19">
        <f>'SW Rev'!$B71</f>
        <v/>
      </c>
      <c r="C888" s="37">
        <f>IFERROR(IF(AND(ISNUMBER('SW OpInc'!G71),ISNUMBER('SW OpInc'!C71),ISNUMBER('SW Rev'!G71),ISNUMBER('SW Rev'!C71),ABS('SW Rev'!G71-'SW Rev'!C71)&gt;=1),('SW OpInc'!G71-'SW OpInc'!C71)/('SW Rev'!G71-'SW Rev'!C71),""),"")</f>
        <v/>
      </c>
      <c r="D888" s="37">
        <f>IFERROR(IF(AND(ISNUMBER('SW OpInc'!H71),ISNUMBER('SW OpInc'!D71),ISNUMBER('SW Rev'!H71),ISNUMBER('SW Rev'!D71),ABS('SW Rev'!H71-'SW Rev'!D71)&gt;=1),('SW OpInc'!H71-'SW OpInc'!D71)/('SW Rev'!H71-'SW Rev'!D71),""),"")</f>
        <v/>
      </c>
      <c r="E888" s="37">
        <f>IFERROR(IF(AND(ISNUMBER('SW OpInc'!I71),ISNUMBER('SW OpInc'!E71),ISNUMBER('SW Rev'!I71),ISNUMBER('SW Rev'!E71),ABS('SW Rev'!I71-'SW Rev'!E71)&gt;=1),('SW OpInc'!I71-'SW OpInc'!E71)/('SW Rev'!I71-'SW Rev'!E71),""),"")</f>
        <v/>
      </c>
      <c r="F888" s="37">
        <f>IFERROR(IF(AND(ISNUMBER('SW OpInc'!J71),ISNUMBER('SW OpInc'!F71),ISNUMBER('SW Rev'!J71),ISNUMBER('SW Rev'!F71),ABS('SW Rev'!J71-'SW Rev'!F71)&gt;=1),('SW OpInc'!J71-'SW OpInc'!F71)/('SW Rev'!J71-'SW Rev'!F71),""),"")</f>
        <v/>
      </c>
      <c r="G888" s="37">
        <f>IFERROR(IF(AND(ISNUMBER('SW OpInc'!K71),ISNUMBER('SW OpInc'!G71),ISNUMBER('SW Rev'!K71),ISNUMBER('SW Rev'!G71),ABS('SW Rev'!K71-'SW Rev'!G71)&gt;=1),('SW OpInc'!K71-'SW OpInc'!G71)/('SW Rev'!K71-'SW Rev'!G71),""),"")</f>
        <v/>
      </c>
      <c r="H888" s="37">
        <f>IFERROR(IF(AND(ISNUMBER('SW OpInc'!L71),ISNUMBER('SW OpInc'!H71),ISNUMBER('SW Rev'!L71),ISNUMBER('SW Rev'!H71),ABS('SW Rev'!L71-'SW Rev'!H71)&gt;=1),('SW OpInc'!L71-'SW OpInc'!H71)/('SW Rev'!L71-'SW Rev'!H71),""),"")</f>
        <v/>
      </c>
      <c r="I888" s="37">
        <f>IFERROR(IF(AND(ISNUMBER('SW OpInc'!M71),ISNUMBER('SW OpInc'!I71),ISNUMBER('SW Rev'!M71),ISNUMBER('SW Rev'!I71),ABS('SW Rev'!M71-'SW Rev'!I71)&gt;=1),('SW OpInc'!M71-'SW OpInc'!I71)/('SW Rev'!M71-'SW Rev'!I71),""),"")</f>
        <v/>
      </c>
      <c r="J888" s="37">
        <f>IFERROR(IF(AND(ISNUMBER('SW OpInc'!N71),ISNUMBER('SW OpInc'!J71),ISNUMBER('SW Rev'!N71),ISNUMBER('SW Rev'!J71),ABS('SW Rev'!N71-'SW Rev'!J71)&gt;=1),('SW OpInc'!N71-'SW OpInc'!J71)/('SW Rev'!N71-'SW Rev'!J71),""),"")</f>
        <v/>
      </c>
      <c r="K888" s="37">
        <f>IFERROR(IF(AND(ISNUMBER('SW OpInc'!O71),ISNUMBER('SW OpInc'!K71),ISNUMBER('SW Rev'!O71),ISNUMBER('SW Rev'!K71),ABS('SW Rev'!O71-'SW Rev'!K71)&gt;=1),('SW OpInc'!O71-'SW OpInc'!K71)/('SW Rev'!O71-'SW Rev'!K71),""),"")</f>
        <v/>
      </c>
      <c r="L888" s="37">
        <f>IFERROR(IF(AND(ISNUMBER('SW OpInc'!P71),ISNUMBER('SW OpInc'!L71),ISNUMBER('SW Rev'!P71),ISNUMBER('SW Rev'!L71),ABS('SW Rev'!P71-'SW Rev'!L71)&gt;=1),('SW OpInc'!P71-'SW OpInc'!L71)/('SW Rev'!P71-'SW Rev'!L71),""),"")</f>
        <v/>
      </c>
      <c r="M888" s="38">
        <f>IFERROR(IF(AND(ISNUMBER('SW OpInc'!Q71),ISNUMBER('SW OpInc'!M71),ISNUMBER('SW Rev'!Q71),ISNUMBER('SW Rev'!M71),ABS('SW Rev'!Q71-'SW Rev'!M71)&gt;=1),('SW OpInc'!Q71-'SW OpInc'!M71)/('SW Rev'!Q71-'SW Rev'!M71),""),"")</f>
        <v/>
      </c>
      <c r="N888" s="38">
        <f>IFERROR(IF(AND(ISNUMBER('SW OpInc'!R71),ISNUMBER('SW OpInc'!N71),ISNUMBER('SW Rev'!R71),ISNUMBER('SW Rev'!N71),ABS('SW Rev'!R71-'SW Rev'!N71)&gt;=1),('SW OpInc'!R71-'SW OpInc'!N71)/('SW Rev'!R71-'SW Rev'!N71),""),"")</f>
        <v/>
      </c>
    </row>
    <row r="889">
      <c r="A889" s="19">
        <f>'SW Rev'!$A72</f>
        <v/>
      </c>
      <c r="B889" s="19">
        <f>'SW Rev'!$B72</f>
        <v/>
      </c>
      <c r="C889" s="37">
        <f>IFERROR(IF(AND(ISNUMBER('SW OpInc'!G72),ISNUMBER('SW OpInc'!C72),ISNUMBER('SW Rev'!G72),ISNUMBER('SW Rev'!C72),ABS('SW Rev'!G72-'SW Rev'!C72)&gt;=1),('SW OpInc'!G72-'SW OpInc'!C72)/('SW Rev'!G72-'SW Rev'!C72),""),"")</f>
        <v/>
      </c>
      <c r="D889" s="37">
        <f>IFERROR(IF(AND(ISNUMBER('SW OpInc'!H72),ISNUMBER('SW OpInc'!D72),ISNUMBER('SW Rev'!H72),ISNUMBER('SW Rev'!D72),ABS('SW Rev'!H72-'SW Rev'!D72)&gt;=1),('SW OpInc'!H72-'SW OpInc'!D72)/('SW Rev'!H72-'SW Rev'!D72),""),"")</f>
        <v/>
      </c>
      <c r="E889" s="37">
        <f>IFERROR(IF(AND(ISNUMBER('SW OpInc'!I72),ISNUMBER('SW OpInc'!E72),ISNUMBER('SW Rev'!I72),ISNUMBER('SW Rev'!E72),ABS('SW Rev'!I72-'SW Rev'!E72)&gt;=1),('SW OpInc'!I72-'SW OpInc'!E72)/('SW Rev'!I72-'SW Rev'!E72),""),"")</f>
        <v/>
      </c>
      <c r="F889" s="37">
        <f>IFERROR(IF(AND(ISNUMBER('SW OpInc'!J72),ISNUMBER('SW OpInc'!F72),ISNUMBER('SW Rev'!J72),ISNUMBER('SW Rev'!F72),ABS('SW Rev'!J72-'SW Rev'!F72)&gt;=1),('SW OpInc'!J72-'SW OpInc'!F72)/('SW Rev'!J72-'SW Rev'!F72),""),"")</f>
        <v/>
      </c>
      <c r="G889" s="37">
        <f>IFERROR(IF(AND(ISNUMBER('SW OpInc'!K72),ISNUMBER('SW OpInc'!G72),ISNUMBER('SW Rev'!K72),ISNUMBER('SW Rev'!G72),ABS('SW Rev'!K72-'SW Rev'!G72)&gt;=1),('SW OpInc'!K72-'SW OpInc'!G72)/('SW Rev'!K72-'SW Rev'!G72),""),"")</f>
        <v/>
      </c>
      <c r="H889" s="37">
        <f>IFERROR(IF(AND(ISNUMBER('SW OpInc'!L72),ISNUMBER('SW OpInc'!H72),ISNUMBER('SW Rev'!L72),ISNUMBER('SW Rev'!H72),ABS('SW Rev'!L72-'SW Rev'!H72)&gt;=1),('SW OpInc'!L72-'SW OpInc'!H72)/('SW Rev'!L72-'SW Rev'!H72),""),"")</f>
        <v/>
      </c>
      <c r="I889" s="37">
        <f>IFERROR(IF(AND(ISNUMBER('SW OpInc'!M72),ISNUMBER('SW OpInc'!I72),ISNUMBER('SW Rev'!M72),ISNUMBER('SW Rev'!I72),ABS('SW Rev'!M72-'SW Rev'!I72)&gt;=1),('SW OpInc'!M72-'SW OpInc'!I72)/('SW Rev'!M72-'SW Rev'!I72),""),"")</f>
        <v/>
      </c>
      <c r="J889" s="37">
        <f>IFERROR(IF(AND(ISNUMBER('SW OpInc'!N72),ISNUMBER('SW OpInc'!J72),ISNUMBER('SW Rev'!N72),ISNUMBER('SW Rev'!J72),ABS('SW Rev'!N72-'SW Rev'!J72)&gt;=1),('SW OpInc'!N72-'SW OpInc'!J72)/('SW Rev'!N72-'SW Rev'!J72),""),"")</f>
        <v/>
      </c>
      <c r="K889" s="37">
        <f>IFERROR(IF(AND(ISNUMBER('SW OpInc'!O72),ISNUMBER('SW OpInc'!K72),ISNUMBER('SW Rev'!O72),ISNUMBER('SW Rev'!K72),ABS('SW Rev'!O72-'SW Rev'!K72)&gt;=1),('SW OpInc'!O72-'SW OpInc'!K72)/('SW Rev'!O72-'SW Rev'!K72),""),"")</f>
        <v/>
      </c>
      <c r="L889" s="37">
        <f>IFERROR(IF(AND(ISNUMBER('SW OpInc'!P72),ISNUMBER('SW OpInc'!L72),ISNUMBER('SW Rev'!P72),ISNUMBER('SW Rev'!L72),ABS('SW Rev'!P72-'SW Rev'!L72)&gt;=1),('SW OpInc'!P72-'SW OpInc'!L72)/('SW Rev'!P72-'SW Rev'!L72),""),"")</f>
        <v/>
      </c>
      <c r="M889" s="38">
        <f>IFERROR(IF(AND(ISNUMBER('SW OpInc'!Q72),ISNUMBER('SW OpInc'!M72),ISNUMBER('SW Rev'!Q72),ISNUMBER('SW Rev'!M72),ABS('SW Rev'!Q72-'SW Rev'!M72)&gt;=1),('SW OpInc'!Q72-'SW OpInc'!M72)/('SW Rev'!Q72-'SW Rev'!M72),""),"")</f>
        <v/>
      </c>
      <c r="N889" s="38">
        <f>IFERROR(IF(AND(ISNUMBER('SW OpInc'!R72),ISNUMBER('SW OpInc'!N72),ISNUMBER('SW Rev'!R72),ISNUMBER('SW Rev'!N72),ABS('SW Rev'!R72-'SW Rev'!N72)&gt;=1),('SW OpInc'!R72-'SW OpInc'!N72)/('SW Rev'!R72-'SW Rev'!N72),""),"")</f>
        <v/>
      </c>
    </row>
    <row r="890">
      <c r="A890" s="19">
        <f>'SW Rev'!$A73</f>
        <v/>
      </c>
      <c r="B890" s="19">
        <f>'SW Rev'!$B73</f>
        <v/>
      </c>
      <c r="C890" s="37">
        <f>IFERROR(IF(AND(ISNUMBER('SW OpInc'!G73),ISNUMBER('SW OpInc'!C73),ISNUMBER('SW Rev'!G73),ISNUMBER('SW Rev'!C73),ABS('SW Rev'!G73-'SW Rev'!C73)&gt;=1),('SW OpInc'!G73-'SW OpInc'!C73)/('SW Rev'!G73-'SW Rev'!C73),""),"")</f>
        <v/>
      </c>
      <c r="D890" s="37">
        <f>IFERROR(IF(AND(ISNUMBER('SW OpInc'!H73),ISNUMBER('SW OpInc'!D73),ISNUMBER('SW Rev'!H73),ISNUMBER('SW Rev'!D73),ABS('SW Rev'!H73-'SW Rev'!D73)&gt;=1),('SW OpInc'!H73-'SW OpInc'!D73)/('SW Rev'!H73-'SW Rev'!D73),""),"")</f>
        <v/>
      </c>
      <c r="E890" s="37">
        <f>IFERROR(IF(AND(ISNUMBER('SW OpInc'!I73),ISNUMBER('SW OpInc'!E73),ISNUMBER('SW Rev'!I73),ISNUMBER('SW Rev'!E73),ABS('SW Rev'!I73-'SW Rev'!E73)&gt;=1),('SW OpInc'!I73-'SW OpInc'!E73)/('SW Rev'!I73-'SW Rev'!E73),""),"")</f>
        <v/>
      </c>
      <c r="F890" s="37">
        <f>IFERROR(IF(AND(ISNUMBER('SW OpInc'!J73),ISNUMBER('SW OpInc'!F73),ISNUMBER('SW Rev'!J73),ISNUMBER('SW Rev'!F73),ABS('SW Rev'!J73-'SW Rev'!F73)&gt;=1),('SW OpInc'!J73-'SW OpInc'!F73)/('SW Rev'!J73-'SW Rev'!F73),""),"")</f>
        <v/>
      </c>
      <c r="G890" s="37">
        <f>IFERROR(IF(AND(ISNUMBER('SW OpInc'!K73),ISNUMBER('SW OpInc'!G73),ISNUMBER('SW Rev'!K73),ISNUMBER('SW Rev'!G73),ABS('SW Rev'!K73-'SW Rev'!G73)&gt;=1),('SW OpInc'!K73-'SW OpInc'!G73)/('SW Rev'!K73-'SW Rev'!G73),""),"")</f>
        <v/>
      </c>
      <c r="H890" s="37">
        <f>IFERROR(IF(AND(ISNUMBER('SW OpInc'!L73),ISNUMBER('SW OpInc'!H73),ISNUMBER('SW Rev'!L73),ISNUMBER('SW Rev'!H73),ABS('SW Rev'!L73-'SW Rev'!H73)&gt;=1),('SW OpInc'!L73-'SW OpInc'!H73)/('SW Rev'!L73-'SW Rev'!H73),""),"")</f>
        <v/>
      </c>
      <c r="I890" s="37">
        <f>IFERROR(IF(AND(ISNUMBER('SW OpInc'!M73),ISNUMBER('SW OpInc'!I73),ISNUMBER('SW Rev'!M73),ISNUMBER('SW Rev'!I73),ABS('SW Rev'!M73-'SW Rev'!I73)&gt;=1),('SW OpInc'!M73-'SW OpInc'!I73)/('SW Rev'!M73-'SW Rev'!I73),""),"")</f>
        <v/>
      </c>
      <c r="J890" s="37">
        <f>IFERROR(IF(AND(ISNUMBER('SW OpInc'!N73),ISNUMBER('SW OpInc'!J73),ISNUMBER('SW Rev'!N73),ISNUMBER('SW Rev'!J73),ABS('SW Rev'!N73-'SW Rev'!J73)&gt;=1),('SW OpInc'!N73-'SW OpInc'!J73)/('SW Rev'!N73-'SW Rev'!J73),""),"")</f>
        <v/>
      </c>
      <c r="K890" s="37">
        <f>IFERROR(IF(AND(ISNUMBER('SW OpInc'!O73),ISNUMBER('SW OpInc'!K73),ISNUMBER('SW Rev'!O73),ISNUMBER('SW Rev'!K73),ABS('SW Rev'!O73-'SW Rev'!K73)&gt;=1),('SW OpInc'!O73-'SW OpInc'!K73)/('SW Rev'!O73-'SW Rev'!K73),""),"")</f>
        <v/>
      </c>
      <c r="L890" s="37">
        <f>IFERROR(IF(AND(ISNUMBER('SW OpInc'!P73),ISNUMBER('SW OpInc'!L73),ISNUMBER('SW Rev'!P73),ISNUMBER('SW Rev'!L73),ABS('SW Rev'!P73-'SW Rev'!L73)&gt;=1),('SW OpInc'!P73-'SW OpInc'!L73)/('SW Rev'!P73-'SW Rev'!L73),""),"")</f>
        <v/>
      </c>
      <c r="M890" s="38">
        <f>IFERROR(IF(AND(ISNUMBER('SW OpInc'!Q73),ISNUMBER('SW OpInc'!M73),ISNUMBER('SW Rev'!Q73),ISNUMBER('SW Rev'!M73),ABS('SW Rev'!Q73-'SW Rev'!M73)&gt;=1),('SW OpInc'!Q73-'SW OpInc'!M73)/('SW Rev'!Q73-'SW Rev'!M73),""),"")</f>
        <v/>
      </c>
      <c r="N890" s="38">
        <f>IFERROR(IF(AND(ISNUMBER('SW OpInc'!R73),ISNUMBER('SW OpInc'!N73),ISNUMBER('SW Rev'!R73),ISNUMBER('SW Rev'!N73),ABS('SW Rev'!R73-'SW Rev'!N73)&gt;=1),('SW OpInc'!R73-'SW OpInc'!N73)/('SW Rev'!R73-'SW Rev'!N73),""),"")</f>
        <v/>
      </c>
    </row>
    <row r="891">
      <c r="A891" s="19">
        <f>'SW Rev'!$A74</f>
        <v/>
      </c>
      <c r="B891" s="19">
        <f>'SW Rev'!$B74</f>
        <v/>
      </c>
      <c r="C891" s="37">
        <f>IFERROR(IF(AND(ISNUMBER('SW OpInc'!G74),ISNUMBER('SW OpInc'!C74),ISNUMBER('SW Rev'!G74),ISNUMBER('SW Rev'!C74),ABS('SW Rev'!G74-'SW Rev'!C74)&gt;=1),('SW OpInc'!G74-'SW OpInc'!C74)/('SW Rev'!G74-'SW Rev'!C74),""),"")</f>
        <v/>
      </c>
      <c r="D891" s="37">
        <f>IFERROR(IF(AND(ISNUMBER('SW OpInc'!H74),ISNUMBER('SW OpInc'!D74),ISNUMBER('SW Rev'!H74),ISNUMBER('SW Rev'!D74),ABS('SW Rev'!H74-'SW Rev'!D74)&gt;=1),('SW OpInc'!H74-'SW OpInc'!D74)/('SW Rev'!H74-'SW Rev'!D74),""),"")</f>
        <v/>
      </c>
      <c r="E891" s="37">
        <f>IFERROR(IF(AND(ISNUMBER('SW OpInc'!I74),ISNUMBER('SW OpInc'!E74),ISNUMBER('SW Rev'!I74),ISNUMBER('SW Rev'!E74),ABS('SW Rev'!I74-'SW Rev'!E74)&gt;=1),('SW OpInc'!I74-'SW OpInc'!E74)/('SW Rev'!I74-'SW Rev'!E74),""),"")</f>
        <v/>
      </c>
      <c r="F891" s="37">
        <f>IFERROR(IF(AND(ISNUMBER('SW OpInc'!J74),ISNUMBER('SW OpInc'!F74),ISNUMBER('SW Rev'!J74),ISNUMBER('SW Rev'!F74),ABS('SW Rev'!J74-'SW Rev'!F74)&gt;=1),('SW OpInc'!J74-'SW OpInc'!F74)/('SW Rev'!J74-'SW Rev'!F74),""),"")</f>
        <v/>
      </c>
      <c r="G891" s="37">
        <f>IFERROR(IF(AND(ISNUMBER('SW OpInc'!K74),ISNUMBER('SW OpInc'!G74),ISNUMBER('SW Rev'!K74),ISNUMBER('SW Rev'!G74),ABS('SW Rev'!K74-'SW Rev'!G74)&gt;=1),('SW OpInc'!K74-'SW OpInc'!G74)/('SW Rev'!K74-'SW Rev'!G74),""),"")</f>
        <v/>
      </c>
      <c r="H891" s="37">
        <f>IFERROR(IF(AND(ISNUMBER('SW OpInc'!L74),ISNUMBER('SW OpInc'!H74),ISNUMBER('SW Rev'!L74),ISNUMBER('SW Rev'!H74),ABS('SW Rev'!L74-'SW Rev'!H74)&gt;=1),('SW OpInc'!L74-'SW OpInc'!H74)/('SW Rev'!L74-'SW Rev'!H74),""),"")</f>
        <v/>
      </c>
      <c r="I891" s="37">
        <f>IFERROR(IF(AND(ISNUMBER('SW OpInc'!M74),ISNUMBER('SW OpInc'!I74),ISNUMBER('SW Rev'!M74),ISNUMBER('SW Rev'!I74),ABS('SW Rev'!M74-'SW Rev'!I74)&gt;=1),('SW OpInc'!M74-'SW OpInc'!I74)/('SW Rev'!M74-'SW Rev'!I74),""),"")</f>
        <v/>
      </c>
      <c r="J891" s="37">
        <f>IFERROR(IF(AND(ISNUMBER('SW OpInc'!N74),ISNUMBER('SW OpInc'!J74),ISNUMBER('SW Rev'!N74),ISNUMBER('SW Rev'!J74),ABS('SW Rev'!N74-'SW Rev'!J74)&gt;=1),('SW OpInc'!N74-'SW OpInc'!J74)/('SW Rev'!N74-'SW Rev'!J74),""),"")</f>
        <v/>
      </c>
      <c r="K891" s="37">
        <f>IFERROR(IF(AND(ISNUMBER('SW OpInc'!O74),ISNUMBER('SW OpInc'!K74),ISNUMBER('SW Rev'!O74),ISNUMBER('SW Rev'!K74),ABS('SW Rev'!O74-'SW Rev'!K74)&gt;=1),('SW OpInc'!O74-'SW OpInc'!K74)/('SW Rev'!O74-'SW Rev'!K74),""),"")</f>
        <v/>
      </c>
      <c r="L891" s="37">
        <f>IFERROR(IF(AND(ISNUMBER('SW OpInc'!P74),ISNUMBER('SW OpInc'!L74),ISNUMBER('SW Rev'!P74),ISNUMBER('SW Rev'!L74),ABS('SW Rev'!P74-'SW Rev'!L74)&gt;=1),('SW OpInc'!P74-'SW OpInc'!L74)/('SW Rev'!P74-'SW Rev'!L74),""),"")</f>
        <v/>
      </c>
      <c r="M891" s="38">
        <f>IFERROR(IF(AND(ISNUMBER('SW OpInc'!Q74),ISNUMBER('SW OpInc'!M74),ISNUMBER('SW Rev'!Q74),ISNUMBER('SW Rev'!M74),ABS('SW Rev'!Q74-'SW Rev'!M74)&gt;=1),('SW OpInc'!Q74-'SW OpInc'!M74)/('SW Rev'!Q74-'SW Rev'!M74),""),"")</f>
        <v/>
      </c>
      <c r="N891" s="38">
        <f>IFERROR(IF(AND(ISNUMBER('SW OpInc'!R74),ISNUMBER('SW OpInc'!N74),ISNUMBER('SW Rev'!R74),ISNUMBER('SW Rev'!N74),ABS('SW Rev'!R74-'SW Rev'!N74)&gt;=1),('SW OpInc'!R74-'SW OpInc'!N74)/('SW Rev'!R74-'SW Rev'!N74),""),"")</f>
        <v/>
      </c>
    </row>
    <row r="892">
      <c r="A892" s="19">
        <f>'SW Rev'!$A75</f>
        <v/>
      </c>
      <c r="B892" s="19">
        <f>'SW Rev'!$B75</f>
        <v/>
      </c>
      <c r="C892" s="37">
        <f>IFERROR(IF(AND(ISNUMBER('SW OpInc'!G75),ISNUMBER('SW OpInc'!C75),ISNUMBER('SW Rev'!G75),ISNUMBER('SW Rev'!C75),ABS('SW Rev'!G75-'SW Rev'!C75)&gt;=1),('SW OpInc'!G75-'SW OpInc'!C75)/('SW Rev'!G75-'SW Rev'!C75),""),"")</f>
        <v/>
      </c>
      <c r="D892" s="37">
        <f>IFERROR(IF(AND(ISNUMBER('SW OpInc'!H75),ISNUMBER('SW OpInc'!D75),ISNUMBER('SW Rev'!H75),ISNUMBER('SW Rev'!D75),ABS('SW Rev'!H75-'SW Rev'!D75)&gt;=1),('SW OpInc'!H75-'SW OpInc'!D75)/('SW Rev'!H75-'SW Rev'!D75),""),"")</f>
        <v/>
      </c>
      <c r="E892" s="37">
        <f>IFERROR(IF(AND(ISNUMBER('SW OpInc'!I75),ISNUMBER('SW OpInc'!E75),ISNUMBER('SW Rev'!I75),ISNUMBER('SW Rev'!E75),ABS('SW Rev'!I75-'SW Rev'!E75)&gt;=1),('SW OpInc'!I75-'SW OpInc'!E75)/('SW Rev'!I75-'SW Rev'!E75),""),"")</f>
        <v/>
      </c>
      <c r="F892" s="37">
        <f>IFERROR(IF(AND(ISNUMBER('SW OpInc'!J75),ISNUMBER('SW OpInc'!F75),ISNUMBER('SW Rev'!J75),ISNUMBER('SW Rev'!F75),ABS('SW Rev'!J75-'SW Rev'!F75)&gt;=1),('SW OpInc'!J75-'SW OpInc'!F75)/('SW Rev'!J75-'SW Rev'!F75),""),"")</f>
        <v/>
      </c>
      <c r="G892" s="37">
        <f>IFERROR(IF(AND(ISNUMBER('SW OpInc'!K75),ISNUMBER('SW OpInc'!G75),ISNUMBER('SW Rev'!K75),ISNUMBER('SW Rev'!G75),ABS('SW Rev'!K75-'SW Rev'!G75)&gt;=1),('SW OpInc'!K75-'SW OpInc'!G75)/('SW Rev'!K75-'SW Rev'!G75),""),"")</f>
        <v/>
      </c>
      <c r="H892" s="37">
        <f>IFERROR(IF(AND(ISNUMBER('SW OpInc'!L75),ISNUMBER('SW OpInc'!H75),ISNUMBER('SW Rev'!L75),ISNUMBER('SW Rev'!H75),ABS('SW Rev'!L75-'SW Rev'!H75)&gt;=1),('SW OpInc'!L75-'SW OpInc'!H75)/('SW Rev'!L75-'SW Rev'!H75),""),"")</f>
        <v/>
      </c>
      <c r="I892" s="37">
        <f>IFERROR(IF(AND(ISNUMBER('SW OpInc'!M75),ISNUMBER('SW OpInc'!I75),ISNUMBER('SW Rev'!M75),ISNUMBER('SW Rev'!I75),ABS('SW Rev'!M75-'SW Rev'!I75)&gt;=1),('SW OpInc'!M75-'SW OpInc'!I75)/('SW Rev'!M75-'SW Rev'!I75),""),"")</f>
        <v/>
      </c>
      <c r="J892" s="37">
        <f>IFERROR(IF(AND(ISNUMBER('SW OpInc'!N75),ISNUMBER('SW OpInc'!J75),ISNUMBER('SW Rev'!N75),ISNUMBER('SW Rev'!J75),ABS('SW Rev'!N75-'SW Rev'!J75)&gt;=1),('SW OpInc'!N75-'SW OpInc'!J75)/('SW Rev'!N75-'SW Rev'!J75),""),"")</f>
        <v/>
      </c>
      <c r="K892" s="37">
        <f>IFERROR(IF(AND(ISNUMBER('SW OpInc'!O75),ISNUMBER('SW OpInc'!K75),ISNUMBER('SW Rev'!O75),ISNUMBER('SW Rev'!K75),ABS('SW Rev'!O75-'SW Rev'!K75)&gt;=1),('SW OpInc'!O75-'SW OpInc'!K75)/('SW Rev'!O75-'SW Rev'!K75),""),"")</f>
        <v/>
      </c>
      <c r="L892" s="37">
        <f>IFERROR(IF(AND(ISNUMBER('SW OpInc'!P75),ISNUMBER('SW OpInc'!L75),ISNUMBER('SW Rev'!P75),ISNUMBER('SW Rev'!L75),ABS('SW Rev'!P75-'SW Rev'!L75)&gt;=1),('SW OpInc'!P75-'SW OpInc'!L75)/('SW Rev'!P75-'SW Rev'!L75),""),"")</f>
        <v/>
      </c>
      <c r="M892" s="38">
        <f>IFERROR(IF(AND(ISNUMBER('SW OpInc'!Q75),ISNUMBER('SW OpInc'!M75),ISNUMBER('SW Rev'!Q75),ISNUMBER('SW Rev'!M75),ABS('SW Rev'!Q75-'SW Rev'!M75)&gt;=1),('SW OpInc'!Q75-'SW OpInc'!M75)/('SW Rev'!Q75-'SW Rev'!M75),""),"")</f>
        <v/>
      </c>
      <c r="N892" s="38">
        <f>IFERROR(IF(AND(ISNUMBER('SW OpInc'!R75),ISNUMBER('SW OpInc'!N75),ISNUMBER('SW Rev'!R75),ISNUMBER('SW Rev'!N75),ABS('SW Rev'!R75-'SW Rev'!N75)&gt;=1),('SW OpInc'!R75-'SW OpInc'!N75)/('SW Rev'!R75-'SW Rev'!N75),""),"")</f>
        <v/>
      </c>
    </row>
    <row r="893">
      <c r="A893" s="19">
        <f>'SW Rev'!$A76</f>
        <v/>
      </c>
      <c r="B893" s="19">
        <f>'SW Rev'!$B76</f>
        <v/>
      </c>
      <c r="C893" s="37">
        <f>IFERROR(IF(AND(ISNUMBER('SW OpInc'!G76),ISNUMBER('SW OpInc'!C76),ISNUMBER('SW Rev'!G76),ISNUMBER('SW Rev'!C76),ABS('SW Rev'!G76-'SW Rev'!C76)&gt;=1),('SW OpInc'!G76-'SW OpInc'!C76)/('SW Rev'!G76-'SW Rev'!C76),""),"")</f>
        <v/>
      </c>
      <c r="D893" s="37">
        <f>IFERROR(IF(AND(ISNUMBER('SW OpInc'!H76),ISNUMBER('SW OpInc'!D76),ISNUMBER('SW Rev'!H76),ISNUMBER('SW Rev'!D76),ABS('SW Rev'!H76-'SW Rev'!D76)&gt;=1),('SW OpInc'!H76-'SW OpInc'!D76)/('SW Rev'!H76-'SW Rev'!D76),""),"")</f>
        <v/>
      </c>
      <c r="E893" s="37">
        <f>IFERROR(IF(AND(ISNUMBER('SW OpInc'!I76),ISNUMBER('SW OpInc'!E76),ISNUMBER('SW Rev'!I76),ISNUMBER('SW Rev'!E76),ABS('SW Rev'!I76-'SW Rev'!E76)&gt;=1),('SW OpInc'!I76-'SW OpInc'!E76)/('SW Rev'!I76-'SW Rev'!E76),""),"")</f>
        <v/>
      </c>
      <c r="F893" s="37">
        <f>IFERROR(IF(AND(ISNUMBER('SW OpInc'!J76),ISNUMBER('SW OpInc'!F76),ISNUMBER('SW Rev'!J76),ISNUMBER('SW Rev'!F76),ABS('SW Rev'!J76-'SW Rev'!F76)&gt;=1),('SW OpInc'!J76-'SW OpInc'!F76)/('SW Rev'!J76-'SW Rev'!F76),""),"")</f>
        <v/>
      </c>
      <c r="G893" s="37">
        <f>IFERROR(IF(AND(ISNUMBER('SW OpInc'!K76),ISNUMBER('SW OpInc'!G76),ISNUMBER('SW Rev'!K76),ISNUMBER('SW Rev'!G76),ABS('SW Rev'!K76-'SW Rev'!G76)&gt;=1),('SW OpInc'!K76-'SW OpInc'!G76)/('SW Rev'!K76-'SW Rev'!G76),""),"")</f>
        <v/>
      </c>
      <c r="H893" s="37">
        <f>IFERROR(IF(AND(ISNUMBER('SW OpInc'!L76),ISNUMBER('SW OpInc'!H76),ISNUMBER('SW Rev'!L76),ISNUMBER('SW Rev'!H76),ABS('SW Rev'!L76-'SW Rev'!H76)&gt;=1),('SW OpInc'!L76-'SW OpInc'!H76)/('SW Rev'!L76-'SW Rev'!H76),""),"")</f>
        <v/>
      </c>
      <c r="I893" s="37">
        <f>IFERROR(IF(AND(ISNUMBER('SW OpInc'!M76),ISNUMBER('SW OpInc'!I76),ISNUMBER('SW Rev'!M76),ISNUMBER('SW Rev'!I76),ABS('SW Rev'!M76-'SW Rev'!I76)&gt;=1),('SW OpInc'!M76-'SW OpInc'!I76)/('SW Rev'!M76-'SW Rev'!I76),""),"")</f>
        <v/>
      </c>
      <c r="J893" s="37">
        <f>IFERROR(IF(AND(ISNUMBER('SW OpInc'!N76),ISNUMBER('SW OpInc'!J76),ISNUMBER('SW Rev'!N76),ISNUMBER('SW Rev'!J76),ABS('SW Rev'!N76-'SW Rev'!J76)&gt;=1),('SW OpInc'!N76-'SW OpInc'!J76)/('SW Rev'!N76-'SW Rev'!J76),""),"")</f>
        <v/>
      </c>
      <c r="K893" s="37">
        <f>IFERROR(IF(AND(ISNUMBER('SW OpInc'!O76),ISNUMBER('SW OpInc'!K76),ISNUMBER('SW Rev'!O76),ISNUMBER('SW Rev'!K76),ABS('SW Rev'!O76-'SW Rev'!K76)&gt;=1),('SW OpInc'!O76-'SW OpInc'!K76)/('SW Rev'!O76-'SW Rev'!K76),""),"")</f>
        <v/>
      </c>
      <c r="L893" s="37">
        <f>IFERROR(IF(AND(ISNUMBER('SW OpInc'!P76),ISNUMBER('SW OpInc'!L76),ISNUMBER('SW Rev'!P76),ISNUMBER('SW Rev'!L76),ABS('SW Rev'!P76-'SW Rev'!L76)&gt;=1),('SW OpInc'!P76-'SW OpInc'!L76)/('SW Rev'!P76-'SW Rev'!L76),""),"")</f>
        <v/>
      </c>
      <c r="M893" s="38">
        <f>IFERROR(IF(AND(ISNUMBER('SW OpInc'!Q76),ISNUMBER('SW OpInc'!M76),ISNUMBER('SW Rev'!Q76),ISNUMBER('SW Rev'!M76),ABS('SW Rev'!Q76-'SW Rev'!M76)&gt;=1),('SW OpInc'!Q76-'SW OpInc'!M76)/('SW Rev'!Q76-'SW Rev'!M76),""),"")</f>
        <v/>
      </c>
      <c r="N893" s="38">
        <f>IFERROR(IF(AND(ISNUMBER('SW OpInc'!R76),ISNUMBER('SW OpInc'!N76),ISNUMBER('SW Rev'!R76),ISNUMBER('SW Rev'!N76),ABS('SW Rev'!R76-'SW Rev'!N76)&gt;=1),('SW OpInc'!R76-'SW OpInc'!N76)/('SW Rev'!R76-'SW Rev'!N76),""),"")</f>
        <v/>
      </c>
    </row>
    <row r="894">
      <c r="A894" s="19">
        <f>'SW Rev'!$A77</f>
        <v/>
      </c>
      <c r="B894" s="19">
        <f>'SW Rev'!$B77</f>
        <v/>
      </c>
      <c r="C894" s="37">
        <f>IFERROR(IF(AND(ISNUMBER('SW OpInc'!G77),ISNUMBER('SW OpInc'!C77),ISNUMBER('SW Rev'!G77),ISNUMBER('SW Rev'!C77),ABS('SW Rev'!G77-'SW Rev'!C77)&gt;=1),('SW OpInc'!G77-'SW OpInc'!C77)/('SW Rev'!G77-'SW Rev'!C77),""),"")</f>
        <v/>
      </c>
      <c r="D894" s="37">
        <f>IFERROR(IF(AND(ISNUMBER('SW OpInc'!H77),ISNUMBER('SW OpInc'!D77),ISNUMBER('SW Rev'!H77),ISNUMBER('SW Rev'!D77),ABS('SW Rev'!H77-'SW Rev'!D77)&gt;=1),('SW OpInc'!H77-'SW OpInc'!D77)/('SW Rev'!H77-'SW Rev'!D77),""),"")</f>
        <v/>
      </c>
      <c r="E894" s="37">
        <f>IFERROR(IF(AND(ISNUMBER('SW OpInc'!I77),ISNUMBER('SW OpInc'!E77),ISNUMBER('SW Rev'!I77),ISNUMBER('SW Rev'!E77),ABS('SW Rev'!I77-'SW Rev'!E77)&gt;=1),('SW OpInc'!I77-'SW OpInc'!E77)/('SW Rev'!I77-'SW Rev'!E77),""),"")</f>
        <v/>
      </c>
      <c r="F894" s="37">
        <f>IFERROR(IF(AND(ISNUMBER('SW OpInc'!J77),ISNUMBER('SW OpInc'!F77),ISNUMBER('SW Rev'!J77),ISNUMBER('SW Rev'!F77),ABS('SW Rev'!J77-'SW Rev'!F77)&gt;=1),('SW OpInc'!J77-'SW OpInc'!F77)/('SW Rev'!J77-'SW Rev'!F77),""),"")</f>
        <v/>
      </c>
      <c r="G894" s="37">
        <f>IFERROR(IF(AND(ISNUMBER('SW OpInc'!K77),ISNUMBER('SW OpInc'!G77),ISNUMBER('SW Rev'!K77),ISNUMBER('SW Rev'!G77),ABS('SW Rev'!K77-'SW Rev'!G77)&gt;=1),('SW OpInc'!K77-'SW OpInc'!G77)/('SW Rev'!K77-'SW Rev'!G77),""),"")</f>
        <v/>
      </c>
      <c r="H894" s="37">
        <f>IFERROR(IF(AND(ISNUMBER('SW OpInc'!L77),ISNUMBER('SW OpInc'!H77),ISNUMBER('SW Rev'!L77),ISNUMBER('SW Rev'!H77),ABS('SW Rev'!L77-'SW Rev'!H77)&gt;=1),('SW OpInc'!L77-'SW OpInc'!H77)/('SW Rev'!L77-'SW Rev'!H77),""),"")</f>
        <v/>
      </c>
      <c r="I894" s="37">
        <f>IFERROR(IF(AND(ISNUMBER('SW OpInc'!M77),ISNUMBER('SW OpInc'!I77),ISNUMBER('SW Rev'!M77),ISNUMBER('SW Rev'!I77),ABS('SW Rev'!M77-'SW Rev'!I77)&gt;=1),('SW OpInc'!M77-'SW OpInc'!I77)/('SW Rev'!M77-'SW Rev'!I77),""),"")</f>
        <v/>
      </c>
      <c r="J894" s="37">
        <f>IFERROR(IF(AND(ISNUMBER('SW OpInc'!N77),ISNUMBER('SW OpInc'!J77),ISNUMBER('SW Rev'!N77),ISNUMBER('SW Rev'!J77),ABS('SW Rev'!N77-'SW Rev'!J77)&gt;=1),('SW OpInc'!N77-'SW OpInc'!J77)/('SW Rev'!N77-'SW Rev'!J77),""),"")</f>
        <v/>
      </c>
      <c r="K894" s="37">
        <f>IFERROR(IF(AND(ISNUMBER('SW OpInc'!O77),ISNUMBER('SW OpInc'!K77),ISNUMBER('SW Rev'!O77),ISNUMBER('SW Rev'!K77),ABS('SW Rev'!O77-'SW Rev'!K77)&gt;=1),('SW OpInc'!O77-'SW OpInc'!K77)/('SW Rev'!O77-'SW Rev'!K77),""),"")</f>
        <v/>
      </c>
      <c r="L894" s="37">
        <f>IFERROR(IF(AND(ISNUMBER('SW OpInc'!P77),ISNUMBER('SW OpInc'!L77),ISNUMBER('SW Rev'!P77),ISNUMBER('SW Rev'!L77),ABS('SW Rev'!P77-'SW Rev'!L77)&gt;=1),('SW OpInc'!P77-'SW OpInc'!L77)/('SW Rev'!P77-'SW Rev'!L77),""),"")</f>
        <v/>
      </c>
      <c r="M894" s="38">
        <f>IFERROR(IF(AND(ISNUMBER('SW OpInc'!Q77),ISNUMBER('SW OpInc'!M77),ISNUMBER('SW Rev'!Q77),ISNUMBER('SW Rev'!M77),ABS('SW Rev'!Q77-'SW Rev'!M77)&gt;=1),('SW OpInc'!Q77-'SW OpInc'!M77)/('SW Rev'!Q77-'SW Rev'!M77),""),"")</f>
        <v/>
      </c>
      <c r="N894" s="38">
        <f>IFERROR(IF(AND(ISNUMBER('SW OpInc'!R77),ISNUMBER('SW OpInc'!N77),ISNUMBER('SW Rev'!R77),ISNUMBER('SW Rev'!N77),ABS('SW Rev'!R77-'SW Rev'!N77)&gt;=1),('SW OpInc'!R77-'SW OpInc'!N77)/('SW Rev'!R77-'SW Rev'!N77),""),"")</f>
        <v/>
      </c>
    </row>
    <row r="895">
      <c r="A895" s="19">
        <f>'SW Rev'!$A78</f>
        <v/>
      </c>
      <c r="B895" s="19">
        <f>'SW Rev'!$B78</f>
        <v/>
      </c>
      <c r="C895" s="37">
        <f>IFERROR(IF(AND(ISNUMBER('SW OpInc'!G78),ISNUMBER('SW OpInc'!C78),ISNUMBER('SW Rev'!G78),ISNUMBER('SW Rev'!C78),ABS('SW Rev'!G78-'SW Rev'!C78)&gt;=1),('SW OpInc'!G78-'SW OpInc'!C78)/('SW Rev'!G78-'SW Rev'!C78),""),"")</f>
        <v/>
      </c>
      <c r="D895" s="37">
        <f>IFERROR(IF(AND(ISNUMBER('SW OpInc'!H78),ISNUMBER('SW OpInc'!D78),ISNUMBER('SW Rev'!H78),ISNUMBER('SW Rev'!D78),ABS('SW Rev'!H78-'SW Rev'!D78)&gt;=1),('SW OpInc'!H78-'SW OpInc'!D78)/('SW Rev'!H78-'SW Rev'!D78),""),"")</f>
        <v/>
      </c>
      <c r="E895" s="37">
        <f>IFERROR(IF(AND(ISNUMBER('SW OpInc'!I78),ISNUMBER('SW OpInc'!E78),ISNUMBER('SW Rev'!I78),ISNUMBER('SW Rev'!E78),ABS('SW Rev'!I78-'SW Rev'!E78)&gt;=1),('SW OpInc'!I78-'SW OpInc'!E78)/('SW Rev'!I78-'SW Rev'!E78),""),"")</f>
        <v/>
      </c>
      <c r="F895" s="37">
        <f>IFERROR(IF(AND(ISNUMBER('SW OpInc'!J78),ISNUMBER('SW OpInc'!F78),ISNUMBER('SW Rev'!J78),ISNUMBER('SW Rev'!F78),ABS('SW Rev'!J78-'SW Rev'!F78)&gt;=1),('SW OpInc'!J78-'SW OpInc'!F78)/('SW Rev'!J78-'SW Rev'!F78),""),"")</f>
        <v/>
      </c>
      <c r="G895" s="37">
        <f>IFERROR(IF(AND(ISNUMBER('SW OpInc'!K78),ISNUMBER('SW OpInc'!G78),ISNUMBER('SW Rev'!K78),ISNUMBER('SW Rev'!G78),ABS('SW Rev'!K78-'SW Rev'!G78)&gt;=1),('SW OpInc'!K78-'SW OpInc'!G78)/('SW Rev'!K78-'SW Rev'!G78),""),"")</f>
        <v/>
      </c>
      <c r="H895" s="37">
        <f>IFERROR(IF(AND(ISNUMBER('SW OpInc'!L78),ISNUMBER('SW OpInc'!H78),ISNUMBER('SW Rev'!L78),ISNUMBER('SW Rev'!H78),ABS('SW Rev'!L78-'SW Rev'!H78)&gt;=1),('SW OpInc'!L78-'SW OpInc'!H78)/('SW Rev'!L78-'SW Rev'!H78),""),"")</f>
        <v/>
      </c>
      <c r="I895" s="37">
        <f>IFERROR(IF(AND(ISNUMBER('SW OpInc'!M78),ISNUMBER('SW OpInc'!I78),ISNUMBER('SW Rev'!M78),ISNUMBER('SW Rev'!I78),ABS('SW Rev'!M78-'SW Rev'!I78)&gt;=1),('SW OpInc'!M78-'SW OpInc'!I78)/('SW Rev'!M78-'SW Rev'!I78),""),"")</f>
        <v/>
      </c>
      <c r="J895" s="37">
        <f>IFERROR(IF(AND(ISNUMBER('SW OpInc'!N78),ISNUMBER('SW OpInc'!J78),ISNUMBER('SW Rev'!N78),ISNUMBER('SW Rev'!J78),ABS('SW Rev'!N78-'SW Rev'!J78)&gt;=1),('SW OpInc'!N78-'SW OpInc'!J78)/('SW Rev'!N78-'SW Rev'!J78),""),"")</f>
        <v/>
      </c>
      <c r="K895" s="37">
        <f>IFERROR(IF(AND(ISNUMBER('SW OpInc'!O78),ISNUMBER('SW OpInc'!K78),ISNUMBER('SW Rev'!O78),ISNUMBER('SW Rev'!K78),ABS('SW Rev'!O78-'SW Rev'!K78)&gt;=1),('SW OpInc'!O78-'SW OpInc'!K78)/('SW Rev'!O78-'SW Rev'!K78),""),"")</f>
        <v/>
      </c>
      <c r="L895" s="37">
        <f>IFERROR(IF(AND(ISNUMBER('SW OpInc'!P78),ISNUMBER('SW OpInc'!L78),ISNUMBER('SW Rev'!P78),ISNUMBER('SW Rev'!L78),ABS('SW Rev'!P78-'SW Rev'!L78)&gt;=1),('SW OpInc'!P78-'SW OpInc'!L78)/('SW Rev'!P78-'SW Rev'!L78),""),"")</f>
        <v/>
      </c>
      <c r="M895" s="38">
        <f>IFERROR(IF(AND(ISNUMBER('SW OpInc'!Q78),ISNUMBER('SW OpInc'!M78),ISNUMBER('SW Rev'!Q78),ISNUMBER('SW Rev'!M78),ABS('SW Rev'!Q78-'SW Rev'!M78)&gt;=1),('SW OpInc'!Q78-'SW OpInc'!M78)/('SW Rev'!Q78-'SW Rev'!M78),""),"")</f>
        <v/>
      </c>
      <c r="N895" s="38">
        <f>IFERROR(IF(AND(ISNUMBER('SW OpInc'!R78),ISNUMBER('SW OpInc'!N78),ISNUMBER('SW Rev'!R78),ISNUMBER('SW Rev'!N78),ABS('SW Rev'!R78-'SW Rev'!N78)&gt;=1),('SW OpInc'!R78-'SW OpInc'!N78)/('SW Rev'!R78-'SW Rev'!N78),""),"")</f>
        <v/>
      </c>
    </row>
    <row r="896">
      <c r="A896" s="19">
        <f>'SW Rev'!$A79</f>
        <v/>
      </c>
      <c r="B896" s="19">
        <f>'SW Rev'!$B79</f>
        <v/>
      </c>
      <c r="C896" s="37">
        <f>IFERROR(IF(AND(ISNUMBER('SW OpInc'!G79),ISNUMBER('SW OpInc'!C79),ISNUMBER('SW Rev'!G79),ISNUMBER('SW Rev'!C79),ABS('SW Rev'!G79-'SW Rev'!C79)&gt;=1),('SW OpInc'!G79-'SW OpInc'!C79)/('SW Rev'!G79-'SW Rev'!C79),""),"")</f>
        <v/>
      </c>
      <c r="D896" s="37">
        <f>IFERROR(IF(AND(ISNUMBER('SW OpInc'!H79),ISNUMBER('SW OpInc'!D79),ISNUMBER('SW Rev'!H79),ISNUMBER('SW Rev'!D79),ABS('SW Rev'!H79-'SW Rev'!D79)&gt;=1),('SW OpInc'!H79-'SW OpInc'!D79)/('SW Rev'!H79-'SW Rev'!D79),""),"")</f>
        <v/>
      </c>
      <c r="E896" s="37">
        <f>IFERROR(IF(AND(ISNUMBER('SW OpInc'!I79),ISNUMBER('SW OpInc'!E79),ISNUMBER('SW Rev'!I79),ISNUMBER('SW Rev'!E79),ABS('SW Rev'!I79-'SW Rev'!E79)&gt;=1),('SW OpInc'!I79-'SW OpInc'!E79)/('SW Rev'!I79-'SW Rev'!E79),""),"")</f>
        <v/>
      </c>
      <c r="F896" s="37">
        <f>IFERROR(IF(AND(ISNUMBER('SW OpInc'!J79),ISNUMBER('SW OpInc'!F79),ISNUMBER('SW Rev'!J79),ISNUMBER('SW Rev'!F79),ABS('SW Rev'!J79-'SW Rev'!F79)&gt;=1),('SW OpInc'!J79-'SW OpInc'!F79)/('SW Rev'!J79-'SW Rev'!F79),""),"")</f>
        <v/>
      </c>
      <c r="G896" s="37">
        <f>IFERROR(IF(AND(ISNUMBER('SW OpInc'!K79),ISNUMBER('SW OpInc'!G79),ISNUMBER('SW Rev'!K79),ISNUMBER('SW Rev'!G79),ABS('SW Rev'!K79-'SW Rev'!G79)&gt;=1),('SW OpInc'!K79-'SW OpInc'!G79)/('SW Rev'!K79-'SW Rev'!G79),""),"")</f>
        <v/>
      </c>
      <c r="H896" s="37">
        <f>IFERROR(IF(AND(ISNUMBER('SW OpInc'!L79),ISNUMBER('SW OpInc'!H79),ISNUMBER('SW Rev'!L79),ISNUMBER('SW Rev'!H79),ABS('SW Rev'!L79-'SW Rev'!H79)&gt;=1),('SW OpInc'!L79-'SW OpInc'!H79)/('SW Rev'!L79-'SW Rev'!H79),""),"")</f>
        <v/>
      </c>
      <c r="I896" s="37">
        <f>IFERROR(IF(AND(ISNUMBER('SW OpInc'!M79),ISNUMBER('SW OpInc'!I79),ISNUMBER('SW Rev'!M79),ISNUMBER('SW Rev'!I79),ABS('SW Rev'!M79-'SW Rev'!I79)&gt;=1),('SW OpInc'!M79-'SW OpInc'!I79)/('SW Rev'!M79-'SW Rev'!I79),""),"")</f>
        <v/>
      </c>
      <c r="J896" s="37">
        <f>IFERROR(IF(AND(ISNUMBER('SW OpInc'!N79),ISNUMBER('SW OpInc'!J79),ISNUMBER('SW Rev'!N79),ISNUMBER('SW Rev'!J79),ABS('SW Rev'!N79-'SW Rev'!J79)&gt;=1),('SW OpInc'!N79-'SW OpInc'!J79)/('SW Rev'!N79-'SW Rev'!J79),""),"")</f>
        <v/>
      </c>
      <c r="K896" s="37">
        <f>IFERROR(IF(AND(ISNUMBER('SW OpInc'!O79),ISNUMBER('SW OpInc'!K79),ISNUMBER('SW Rev'!O79),ISNUMBER('SW Rev'!K79),ABS('SW Rev'!O79-'SW Rev'!K79)&gt;=1),('SW OpInc'!O79-'SW OpInc'!K79)/('SW Rev'!O79-'SW Rev'!K79),""),"")</f>
        <v/>
      </c>
      <c r="L896" s="37">
        <f>IFERROR(IF(AND(ISNUMBER('SW OpInc'!P79),ISNUMBER('SW OpInc'!L79),ISNUMBER('SW Rev'!P79),ISNUMBER('SW Rev'!L79),ABS('SW Rev'!P79-'SW Rev'!L79)&gt;=1),('SW OpInc'!P79-'SW OpInc'!L79)/('SW Rev'!P79-'SW Rev'!L79),""),"")</f>
        <v/>
      </c>
      <c r="M896" s="38">
        <f>IFERROR(IF(AND(ISNUMBER('SW OpInc'!Q79),ISNUMBER('SW OpInc'!M79),ISNUMBER('SW Rev'!Q79),ISNUMBER('SW Rev'!M79),ABS('SW Rev'!Q79-'SW Rev'!M79)&gt;=1),('SW OpInc'!Q79-'SW OpInc'!M79)/('SW Rev'!Q79-'SW Rev'!M79),""),"")</f>
        <v/>
      </c>
      <c r="N896" s="38">
        <f>IFERROR(IF(AND(ISNUMBER('SW OpInc'!R79),ISNUMBER('SW OpInc'!N79),ISNUMBER('SW Rev'!R79),ISNUMBER('SW Rev'!N79),ABS('SW Rev'!R79-'SW Rev'!N79)&gt;=1),('SW OpInc'!R79-'SW OpInc'!N79)/('SW Rev'!R79-'SW Rev'!N79),""),"")</f>
        <v/>
      </c>
    </row>
    <row r="897">
      <c r="A897" s="19">
        <f>'SW Rev'!$A80</f>
        <v/>
      </c>
      <c r="B897" s="19">
        <f>'SW Rev'!$B80</f>
        <v/>
      </c>
      <c r="C897" s="37">
        <f>IFERROR(IF(AND(ISNUMBER('SW OpInc'!G80),ISNUMBER('SW OpInc'!C80),ISNUMBER('SW Rev'!G80),ISNUMBER('SW Rev'!C80),ABS('SW Rev'!G80-'SW Rev'!C80)&gt;=1),('SW OpInc'!G80-'SW OpInc'!C80)/('SW Rev'!G80-'SW Rev'!C80),""),"")</f>
        <v/>
      </c>
      <c r="D897" s="37">
        <f>IFERROR(IF(AND(ISNUMBER('SW OpInc'!H80),ISNUMBER('SW OpInc'!D80),ISNUMBER('SW Rev'!H80),ISNUMBER('SW Rev'!D80),ABS('SW Rev'!H80-'SW Rev'!D80)&gt;=1),('SW OpInc'!H80-'SW OpInc'!D80)/('SW Rev'!H80-'SW Rev'!D80),""),"")</f>
        <v/>
      </c>
      <c r="E897" s="37">
        <f>IFERROR(IF(AND(ISNUMBER('SW OpInc'!I80),ISNUMBER('SW OpInc'!E80),ISNUMBER('SW Rev'!I80),ISNUMBER('SW Rev'!E80),ABS('SW Rev'!I80-'SW Rev'!E80)&gt;=1),('SW OpInc'!I80-'SW OpInc'!E80)/('SW Rev'!I80-'SW Rev'!E80),""),"")</f>
        <v/>
      </c>
      <c r="F897" s="37">
        <f>IFERROR(IF(AND(ISNUMBER('SW OpInc'!J80),ISNUMBER('SW OpInc'!F80),ISNUMBER('SW Rev'!J80),ISNUMBER('SW Rev'!F80),ABS('SW Rev'!J80-'SW Rev'!F80)&gt;=1),('SW OpInc'!J80-'SW OpInc'!F80)/('SW Rev'!J80-'SW Rev'!F80),""),"")</f>
        <v/>
      </c>
      <c r="G897" s="37">
        <f>IFERROR(IF(AND(ISNUMBER('SW OpInc'!K80),ISNUMBER('SW OpInc'!G80),ISNUMBER('SW Rev'!K80),ISNUMBER('SW Rev'!G80),ABS('SW Rev'!K80-'SW Rev'!G80)&gt;=1),('SW OpInc'!K80-'SW OpInc'!G80)/('SW Rev'!K80-'SW Rev'!G80),""),"")</f>
        <v/>
      </c>
      <c r="H897" s="37">
        <f>IFERROR(IF(AND(ISNUMBER('SW OpInc'!L80),ISNUMBER('SW OpInc'!H80),ISNUMBER('SW Rev'!L80),ISNUMBER('SW Rev'!H80),ABS('SW Rev'!L80-'SW Rev'!H80)&gt;=1),('SW OpInc'!L80-'SW OpInc'!H80)/('SW Rev'!L80-'SW Rev'!H80),""),"")</f>
        <v/>
      </c>
      <c r="I897" s="37">
        <f>IFERROR(IF(AND(ISNUMBER('SW OpInc'!M80),ISNUMBER('SW OpInc'!I80),ISNUMBER('SW Rev'!M80),ISNUMBER('SW Rev'!I80),ABS('SW Rev'!M80-'SW Rev'!I80)&gt;=1),('SW OpInc'!M80-'SW OpInc'!I80)/('SW Rev'!M80-'SW Rev'!I80),""),"")</f>
        <v/>
      </c>
      <c r="J897" s="37">
        <f>IFERROR(IF(AND(ISNUMBER('SW OpInc'!N80),ISNUMBER('SW OpInc'!J80),ISNUMBER('SW Rev'!N80),ISNUMBER('SW Rev'!J80),ABS('SW Rev'!N80-'SW Rev'!J80)&gt;=1),('SW OpInc'!N80-'SW OpInc'!J80)/('SW Rev'!N80-'SW Rev'!J80),""),"")</f>
        <v/>
      </c>
      <c r="K897" s="37">
        <f>IFERROR(IF(AND(ISNUMBER('SW OpInc'!O80),ISNUMBER('SW OpInc'!K80),ISNUMBER('SW Rev'!O80),ISNUMBER('SW Rev'!K80),ABS('SW Rev'!O80-'SW Rev'!K80)&gt;=1),('SW OpInc'!O80-'SW OpInc'!K80)/('SW Rev'!O80-'SW Rev'!K80),""),"")</f>
        <v/>
      </c>
      <c r="L897" s="37">
        <f>IFERROR(IF(AND(ISNUMBER('SW OpInc'!P80),ISNUMBER('SW OpInc'!L80),ISNUMBER('SW Rev'!P80),ISNUMBER('SW Rev'!L80),ABS('SW Rev'!P80-'SW Rev'!L80)&gt;=1),('SW OpInc'!P80-'SW OpInc'!L80)/('SW Rev'!P80-'SW Rev'!L80),""),"")</f>
        <v/>
      </c>
      <c r="M897" s="38">
        <f>IFERROR(IF(AND(ISNUMBER('SW OpInc'!Q80),ISNUMBER('SW OpInc'!M80),ISNUMBER('SW Rev'!Q80),ISNUMBER('SW Rev'!M80),ABS('SW Rev'!Q80-'SW Rev'!M80)&gt;=1),('SW OpInc'!Q80-'SW OpInc'!M80)/('SW Rev'!Q80-'SW Rev'!M80),""),"")</f>
        <v/>
      </c>
      <c r="N897" s="38">
        <f>IFERROR(IF(AND(ISNUMBER('SW OpInc'!R80),ISNUMBER('SW OpInc'!N80),ISNUMBER('SW Rev'!R80),ISNUMBER('SW Rev'!N80),ABS('SW Rev'!R80-'SW Rev'!N80)&gt;=1),('SW OpInc'!R80-'SW OpInc'!N80)/('SW Rev'!R80-'SW Rev'!N80),""),"")</f>
        <v/>
      </c>
    </row>
    <row r="898">
      <c r="A898" s="19">
        <f>'SW Rev'!$A81</f>
        <v/>
      </c>
      <c r="B898" s="19">
        <f>'SW Rev'!$B81</f>
        <v/>
      </c>
      <c r="C898" s="37">
        <f>IFERROR(IF(AND(ISNUMBER('SW OpInc'!G81),ISNUMBER('SW OpInc'!C81),ISNUMBER('SW Rev'!G81),ISNUMBER('SW Rev'!C81),ABS('SW Rev'!G81-'SW Rev'!C81)&gt;=1),('SW OpInc'!G81-'SW OpInc'!C81)/('SW Rev'!G81-'SW Rev'!C81),""),"")</f>
        <v/>
      </c>
      <c r="D898" s="37">
        <f>IFERROR(IF(AND(ISNUMBER('SW OpInc'!H81),ISNUMBER('SW OpInc'!D81),ISNUMBER('SW Rev'!H81),ISNUMBER('SW Rev'!D81),ABS('SW Rev'!H81-'SW Rev'!D81)&gt;=1),('SW OpInc'!H81-'SW OpInc'!D81)/('SW Rev'!H81-'SW Rev'!D81),""),"")</f>
        <v/>
      </c>
      <c r="E898" s="37">
        <f>IFERROR(IF(AND(ISNUMBER('SW OpInc'!I81),ISNUMBER('SW OpInc'!E81),ISNUMBER('SW Rev'!I81),ISNUMBER('SW Rev'!E81),ABS('SW Rev'!I81-'SW Rev'!E81)&gt;=1),('SW OpInc'!I81-'SW OpInc'!E81)/('SW Rev'!I81-'SW Rev'!E81),""),"")</f>
        <v/>
      </c>
      <c r="F898" s="37">
        <f>IFERROR(IF(AND(ISNUMBER('SW OpInc'!J81),ISNUMBER('SW OpInc'!F81),ISNUMBER('SW Rev'!J81),ISNUMBER('SW Rev'!F81),ABS('SW Rev'!J81-'SW Rev'!F81)&gt;=1),('SW OpInc'!J81-'SW OpInc'!F81)/('SW Rev'!J81-'SW Rev'!F81),""),"")</f>
        <v/>
      </c>
      <c r="G898" s="37">
        <f>IFERROR(IF(AND(ISNUMBER('SW OpInc'!K81),ISNUMBER('SW OpInc'!G81),ISNUMBER('SW Rev'!K81),ISNUMBER('SW Rev'!G81),ABS('SW Rev'!K81-'SW Rev'!G81)&gt;=1),('SW OpInc'!K81-'SW OpInc'!G81)/('SW Rev'!K81-'SW Rev'!G81),""),"")</f>
        <v/>
      </c>
      <c r="H898" s="37">
        <f>IFERROR(IF(AND(ISNUMBER('SW OpInc'!L81),ISNUMBER('SW OpInc'!H81),ISNUMBER('SW Rev'!L81),ISNUMBER('SW Rev'!H81),ABS('SW Rev'!L81-'SW Rev'!H81)&gt;=1),('SW OpInc'!L81-'SW OpInc'!H81)/('SW Rev'!L81-'SW Rev'!H81),""),"")</f>
        <v/>
      </c>
      <c r="I898" s="37">
        <f>IFERROR(IF(AND(ISNUMBER('SW OpInc'!M81),ISNUMBER('SW OpInc'!I81),ISNUMBER('SW Rev'!M81),ISNUMBER('SW Rev'!I81),ABS('SW Rev'!M81-'SW Rev'!I81)&gt;=1),('SW OpInc'!M81-'SW OpInc'!I81)/('SW Rev'!M81-'SW Rev'!I81),""),"")</f>
        <v/>
      </c>
      <c r="J898" s="37">
        <f>IFERROR(IF(AND(ISNUMBER('SW OpInc'!N81),ISNUMBER('SW OpInc'!J81),ISNUMBER('SW Rev'!N81),ISNUMBER('SW Rev'!J81),ABS('SW Rev'!N81-'SW Rev'!J81)&gt;=1),('SW OpInc'!N81-'SW OpInc'!J81)/('SW Rev'!N81-'SW Rev'!J81),""),"")</f>
        <v/>
      </c>
      <c r="K898" s="37">
        <f>IFERROR(IF(AND(ISNUMBER('SW OpInc'!O81),ISNUMBER('SW OpInc'!K81),ISNUMBER('SW Rev'!O81),ISNUMBER('SW Rev'!K81),ABS('SW Rev'!O81-'SW Rev'!K81)&gt;=1),('SW OpInc'!O81-'SW OpInc'!K81)/('SW Rev'!O81-'SW Rev'!K81),""),"")</f>
        <v/>
      </c>
      <c r="L898" s="37">
        <f>IFERROR(IF(AND(ISNUMBER('SW OpInc'!P81),ISNUMBER('SW OpInc'!L81),ISNUMBER('SW Rev'!P81),ISNUMBER('SW Rev'!L81),ABS('SW Rev'!P81-'SW Rev'!L81)&gt;=1),('SW OpInc'!P81-'SW OpInc'!L81)/('SW Rev'!P81-'SW Rev'!L81),""),"")</f>
        <v/>
      </c>
      <c r="M898" s="38">
        <f>IFERROR(IF(AND(ISNUMBER('SW OpInc'!Q81),ISNUMBER('SW OpInc'!M81),ISNUMBER('SW Rev'!Q81),ISNUMBER('SW Rev'!M81),ABS('SW Rev'!Q81-'SW Rev'!M81)&gt;=1),('SW OpInc'!Q81-'SW OpInc'!M81)/('SW Rev'!Q81-'SW Rev'!M81),""),"")</f>
        <v/>
      </c>
      <c r="N898" s="38">
        <f>IFERROR(IF(AND(ISNUMBER('SW OpInc'!R81),ISNUMBER('SW OpInc'!N81),ISNUMBER('SW Rev'!R81),ISNUMBER('SW Rev'!N81),ABS('SW Rev'!R81-'SW Rev'!N81)&gt;=1),('SW OpInc'!R81-'SW OpInc'!N81)/('SW Rev'!R81-'SW Rev'!N81),""),"")</f>
        <v/>
      </c>
    </row>
    <row r="899">
      <c r="A899" s="19">
        <f>'SW Rev'!$A82</f>
        <v/>
      </c>
      <c r="B899" s="19">
        <f>'SW Rev'!$B82</f>
        <v/>
      </c>
      <c r="C899" s="37">
        <f>IFERROR(IF(AND(ISNUMBER('SW OpInc'!G82),ISNUMBER('SW OpInc'!C82),ISNUMBER('SW Rev'!G82),ISNUMBER('SW Rev'!C82),ABS('SW Rev'!G82-'SW Rev'!C82)&gt;=1),('SW OpInc'!G82-'SW OpInc'!C82)/('SW Rev'!G82-'SW Rev'!C82),""),"")</f>
        <v/>
      </c>
      <c r="D899" s="37">
        <f>IFERROR(IF(AND(ISNUMBER('SW OpInc'!H82),ISNUMBER('SW OpInc'!D82),ISNUMBER('SW Rev'!H82),ISNUMBER('SW Rev'!D82),ABS('SW Rev'!H82-'SW Rev'!D82)&gt;=1),('SW OpInc'!H82-'SW OpInc'!D82)/('SW Rev'!H82-'SW Rev'!D82),""),"")</f>
        <v/>
      </c>
      <c r="E899" s="37">
        <f>IFERROR(IF(AND(ISNUMBER('SW OpInc'!I82),ISNUMBER('SW OpInc'!E82),ISNUMBER('SW Rev'!I82),ISNUMBER('SW Rev'!E82),ABS('SW Rev'!I82-'SW Rev'!E82)&gt;=1),('SW OpInc'!I82-'SW OpInc'!E82)/('SW Rev'!I82-'SW Rev'!E82),""),"")</f>
        <v/>
      </c>
      <c r="F899" s="37">
        <f>IFERROR(IF(AND(ISNUMBER('SW OpInc'!J82),ISNUMBER('SW OpInc'!F82),ISNUMBER('SW Rev'!J82),ISNUMBER('SW Rev'!F82),ABS('SW Rev'!J82-'SW Rev'!F82)&gt;=1),('SW OpInc'!J82-'SW OpInc'!F82)/('SW Rev'!J82-'SW Rev'!F82),""),"")</f>
        <v/>
      </c>
      <c r="G899" s="37">
        <f>IFERROR(IF(AND(ISNUMBER('SW OpInc'!K82),ISNUMBER('SW OpInc'!G82),ISNUMBER('SW Rev'!K82),ISNUMBER('SW Rev'!G82),ABS('SW Rev'!K82-'SW Rev'!G82)&gt;=1),('SW OpInc'!K82-'SW OpInc'!G82)/('SW Rev'!K82-'SW Rev'!G82),""),"")</f>
        <v/>
      </c>
      <c r="H899" s="37">
        <f>IFERROR(IF(AND(ISNUMBER('SW OpInc'!L82),ISNUMBER('SW OpInc'!H82),ISNUMBER('SW Rev'!L82),ISNUMBER('SW Rev'!H82),ABS('SW Rev'!L82-'SW Rev'!H82)&gt;=1),('SW OpInc'!L82-'SW OpInc'!H82)/('SW Rev'!L82-'SW Rev'!H82),""),"")</f>
        <v/>
      </c>
      <c r="I899" s="37">
        <f>IFERROR(IF(AND(ISNUMBER('SW OpInc'!M82),ISNUMBER('SW OpInc'!I82),ISNUMBER('SW Rev'!M82),ISNUMBER('SW Rev'!I82),ABS('SW Rev'!M82-'SW Rev'!I82)&gt;=1),('SW OpInc'!M82-'SW OpInc'!I82)/('SW Rev'!M82-'SW Rev'!I82),""),"")</f>
        <v/>
      </c>
      <c r="J899" s="37">
        <f>IFERROR(IF(AND(ISNUMBER('SW OpInc'!N82),ISNUMBER('SW OpInc'!J82),ISNUMBER('SW Rev'!N82),ISNUMBER('SW Rev'!J82),ABS('SW Rev'!N82-'SW Rev'!J82)&gt;=1),('SW OpInc'!N82-'SW OpInc'!J82)/('SW Rev'!N82-'SW Rev'!J82),""),"")</f>
        <v/>
      </c>
      <c r="K899" s="37">
        <f>IFERROR(IF(AND(ISNUMBER('SW OpInc'!O82),ISNUMBER('SW OpInc'!K82),ISNUMBER('SW Rev'!O82),ISNUMBER('SW Rev'!K82),ABS('SW Rev'!O82-'SW Rev'!K82)&gt;=1),('SW OpInc'!O82-'SW OpInc'!K82)/('SW Rev'!O82-'SW Rev'!K82),""),"")</f>
        <v/>
      </c>
      <c r="L899" s="37">
        <f>IFERROR(IF(AND(ISNUMBER('SW OpInc'!P82),ISNUMBER('SW OpInc'!L82),ISNUMBER('SW Rev'!P82),ISNUMBER('SW Rev'!L82),ABS('SW Rev'!P82-'SW Rev'!L82)&gt;=1),('SW OpInc'!P82-'SW OpInc'!L82)/('SW Rev'!P82-'SW Rev'!L82),""),"")</f>
        <v/>
      </c>
      <c r="M899" s="38">
        <f>IFERROR(IF(AND(ISNUMBER('SW OpInc'!Q82),ISNUMBER('SW OpInc'!M82),ISNUMBER('SW Rev'!Q82),ISNUMBER('SW Rev'!M82),ABS('SW Rev'!Q82-'SW Rev'!M82)&gt;=1),('SW OpInc'!Q82-'SW OpInc'!M82)/('SW Rev'!Q82-'SW Rev'!M82),""),"")</f>
        <v/>
      </c>
      <c r="N899" s="38">
        <f>IFERROR(IF(AND(ISNUMBER('SW OpInc'!R82),ISNUMBER('SW OpInc'!N82),ISNUMBER('SW Rev'!R82),ISNUMBER('SW Rev'!N82),ABS('SW Rev'!R82-'SW Rev'!N82)&gt;=1),('SW OpInc'!R82-'SW OpInc'!N82)/('SW Rev'!R82-'SW Rev'!N82),""),"")</f>
        <v/>
      </c>
    </row>
    <row r="900">
      <c r="A900" s="19">
        <f>'SW Rev'!$A83</f>
        <v/>
      </c>
      <c r="B900" s="19">
        <f>'SW Rev'!$B83</f>
        <v/>
      </c>
      <c r="C900" s="37">
        <f>IFERROR(IF(AND(ISNUMBER('SW OpInc'!G83),ISNUMBER('SW OpInc'!C83),ISNUMBER('SW Rev'!G83),ISNUMBER('SW Rev'!C83),ABS('SW Rev'!G83-'SW Rev'!C83)&gt;=1),('SW OpInc'!G83-'SW OpInc'!C83)/('SW Rev'!G83-'SW Rev'!C83),""),"")</f>
        <v/>
      </c>
      <c r="D900" s="37">
        <f>IFERROR(IF(AND(ISNUMBER('SW OpInc'!H83),ISNUMBER('SW OpInc'!D83),ISNUMBER('SW Rev'!H83),ISNUMBER('SW Rev'!D83),ABS('SW Rev'!H83-'SW Rev'!D83)&gt;=1),('SW OpInc'!H83-'SW OpInc'!D83)/('SW Rev'!H83-'SW Rev'!D83),""),"")</f>
        <v/>
      </c>
      <c r="E900" s="37">
        <f>IFERROR(IF(AND(ISNUMBER('SW OpInc'!I83),ISNUMBER('SW OpInc'!E83),ISNUMBER('SW Rev'!I83),ISNUMBER('SW Rev'!E83),ABS('SW Rev'!I83-'SW Rev'!E83)&gt;=1),('SW OpInc'!I83-'SW OpInc'!E83)/('SW Rev'!I83-'SW Rev'!E83),""),"")</f>
        <v/>
      </c>
      <c r="F900" s="37">
        <f>IFERROR(IF(AND(ISNUMBER('SW OpInc'!J83),ISNUMBER('SW OpInc'!F83),ISNUMBER('SW Rev'!J83),ISNUMBER('SW Rev'!F83),ABS('SW Rev'!J83-'SW Rev'!F83)&gt;=1),('SW OpInc'!J83-'SW OpInc'!F83)/('SW Rev'!J83-'SW Rev'!F83),""),"")</f>
        <v/>
      </c>
      <c r="G900" s="37">
        <f>IFERROR(IF(AND(ISNUMBER('SW OpInc'!K83),ISNUMBER('SW OpInc'!G83),ISNUMBER('SW Rev'!K83),ISNUMBER('SW Rev'!G83),ABS('SW Rev'!K83-'SW Rev'!G83)&gt;=1),('SW OpInc'!K83-'SW OpInc'!G83)/('SW Rev'!K83-'SW Rev'!G83),""),"")</f>
        <v/>
      </c>
      <c r="H900" s="37">
        <f>IFERROR(IF(AND(ISNUMBER('SW OpInc'!L83),ISNUMBER('SW OpInc'!H83),ISNUMBER('SW Rev'!L83),ISNUMBER('SW Rev'!H83),ABS('SW Rev'!L83-'SW Rev'!H83)&gt;=1),('SW OpInc'!L83-'SW OpInc'!H83)/('SW Rev'!L83-'SW Rev'!H83),""),"")</f>
        <v/>
      </c>
      <c r="I900" s="37">
        <f>IFERROR(IF(AND(ISNUMBER('SW OpInc'!M83),ISNUMBER('SW OpInc'!I83),ISNUMBER('SW Rev'!M83),ISNUMBER('SW Rev'!I83),ABS('SW Rev'!M83-'SW Rev'!I83)&gt;=1),('SW OpInc'!M83-'SW OpInc'!I83)/('SW Rev'!M83-'SW Rev'!I83),""),"")</f>
        <v/>
      </c>
      <c r="J900" s="37">
        <f>IFERROR(IF(AND(ISNUMBER('SW OpInc'!N83),ISNUMBER('SW OpInc'!J83),ISNUMBER('SW Rev'!N83),ISNUMBER('SW Rev'!J83),ABS('SW Rev'!N83-'SW Rev'!J83)&gt;=1),('SW OpInc'!N83-'SW OpInc'!J83)/('SW Rev'!N83-'SW Rev'!J83),""),"")</f>
        <v/>
      </c>
      <c r="K900" s="37">
        <f>IFERROR(IF(AND(ISNUMBER('SW OpInc'!O83),ISNUMBER('SW OpInc'!K83),ISNUMBER('SW Rev'!O83),ISNUMBER('SW Rev'!K83),ABS('SW Rev'!O83-'SW Rev'!K83)&gt;=1),('SW OpInc'!O83-'SW OpInc'!K83)/('SW Rev'!O83-'SW Rev'!K83),""),"")</f>
        <v/>
      </c>
      <c r="L900" s="37">
        <f>IFERROR(IF(AND(ISNUMBER('SW OpInc'!P83),ISNUMBER('SW OpInc'!L83),ISNUMBER('SW Rev'!P83),ISNUMBER('SW Rev'!L83),ABS('SW Rev'!P83-'SW Rev'!L83)&gt;=1),('SW OpInc'!P83-'SW OpInc'!L83)/('SW Rev'!P83-'SW Rev'!L83),""),"")</f>
        <v/>
      </c>
      <c r="M900" s="38">
        <f>IFERROR(IF(AND(ISNUMBER('SW OpInc'!Q83),ISNUMBER('SW OpInc'!M83),ISNUMBER('SW Rev'!Q83),ISNUMBER('SW Rev'!M83),ABS('SW Rev'!Q83-'SW Rev'!M83)&gt;=1),('SW OpInc'!Q83-'SW OpInc'!M83)/('SW Rev'!Q83-'SW Rev'!M83),""),"")</f>
        <v/>
      </c>
      <c r="N900" s="38">
        <f>IFERROR(IF(AND(ISNUMBER('SW OpInc'!R83),ISNUMBER('SW OpInc'!N83),ISNUMBER('SW Rev'!R83),ISNUMBER('SW Rev'!N83),ABS('SW Rev'!R83-'SW Rev'!N83)&gt;=1),('SW OpInc'!R83-'SW OpInc'!N83)/('SW Rev'!R83-'SW Rev'!N83),""),"")</f>
        <v/>
      </c>
    </row>
    <row r="901">
      <c r="A901" s="19">
        <f>'SW Rev'!$A84</f>
        <v/>
      </c>
      <c r="B901" s="19">
        <f>'SW Rev'!$B84</f>
        <v/>
      </c>
      <c r="C901" s="37">
        <f>IFERROR(IF(AND(ISNUMBER('SW OpInc'!G84),ISNUMBER('SW OpInc'!C84),ISNUMBER('SW Rev'!G84),ISNUMBER('SW Rev'!C84),ABS('SW Rev'!G84-'SW Rev'!C84)&gt;=1),('SW OpInc'!G84-'SW OpInc'!C84)/('SW Rev'!G84-'SW Rev'!C84),""),"")</f>
        <v/>
      </c>
      <c r="D901" s="37">
        <f>IFERROR(IF(AND(ISNUMBER('SW OpInc'!H84),ISNUMBER('SW OpInc'!D84),ISNUMBER('SW Rev'!H84),ISNUMBER('SW Rev'!D84),ABS('SW Rev'!H84-'SW Rev'!D84)&gt;=1),('SW OpInc'!H84-'SW OpInc'!D84)/('SW Rev'!H84-'SW Rev'!D84),""),"")</f>
        <v/>
      </c>
      <c r="E901" s="37">
        <f>IFERROR(IF(AND(ISNUMBER('SW OpInc'!I84),ISNUMBER('SW OpInc'!E84),ISNUMBER('SW Rev'!I84),ISNUMBER('SW Rev'!E84),ABS('SW Rev'!I84-'SW Rev'!E84)&gt;=1),('SW OpInc'!I84-'SW OpInc'!E84)/('SW Rev'!I84-'SW Rev'!E84),""),"")</f>
        <v/>
      </c>
      <c r="F901" s="37">
        <f>IFERROR(IF(AND(ISNUMBER('SW OpInc'!J84),ISNUMBER('SW OpInc'!F84),ISNUMBER('SW Rev'!J84),ISNUMBER('SW Rev'!F84),ABS('SW Rev'!J84-'SW Rev'!F84)&gt;=1),('SW OpInc'!J84-'SW OpInc'!F84)/('SW Rev'!J84-'SW Rev'!F84),""),"")</f>
        <v/>
      </c>
      <c r="G901" s="37">
        <f>IFERROR(IF(AND(ISNUMBER('SW OpInc'!K84),ISNUMBER('SW OpInc'!G84),ISNUMBER('SW Rev'!K84),ISNUMBER('SW Rev'!G84),ABS('SW Rev'!K84-'SW Rev'!G84)&gt;=1),('SW OpInc'!K84-'SW OpInc'!G84)/('SW Rev'!K84-'SW Rev'!G84),""),"")</f>
        <v/>
      </c>
      <c r="H901" s="37">
        <f>IFERROR(IF(AND(ISNUMBER('SW OpInc'!L84),ISNUMBER('SW OpInc'!H84),ISNUMBER('SW Rev'!L84),ISNUMBER('SW Rev'!H84),ABS('SW Rev'!L84-'SW Rev'!H84)&gt;=1),('SW OpInc'!L84-'SW OpInc'!H84)/('SW Rev'!L84-'SW Rev'!H84),""),"")</f>
        <v/>
      </c>
      <c r="I901" s="37">
        <f>IFERROR(IF(AND(ISNUMBER('SW OpInc'!M84),ISNUMBER('SW OpInc'!I84),ISNUMBER('SW Rev'!M84),ISNUMBER('SW Rev'!I84),ABS('SW Rev'!M84-'SW Rev'!I84)&gt;=1),('SW OpInc'!M84-'SW OpInc'!I84)/('SW Rev'!M84-'SW Rev'!I84),""),"")</f>
        <v/>
      </c>
      <c r="J901" s="37">
        <f>IFERROR(IF(AND(ISNUMBER('SW OpInc'!N84),ISNUMBER('SW OpInc'!J84),ISNUMBER('SW Rev'!N84),ISNUMBER('SW Rev'!J84),ABS('SW Rev'!N84-'SW Rev'!J84)&gt;=1),('SW OpInc'!N84-'SW OpInc'!J84)/('SW Rev'!N84-'SW Rev'!J84),""),"")</f>
        <v/>
      </c>
      <c r="K901" s="37">
        <f>IFERROR(IF(AND(ISNUMBER('SW OpInc'!O84),ISNUMBER('SW OpInc'!K84),ISNUMBER('SW Rev'!O84),ISNUMBER('SW Rev'!K84),ABS('SW Rev'!O84-'SW Rev'!K84)&gt;=1),('SW OpInc'!O84-'SW OpInc'!K84)/('SW Rev'!O84-'SW Rev'!K84),""),"")</f>
        <v/>
      </c>
      <c r="L901" s="37">
        <f>IFERROR(IF(AND(ISNUMBER('SW OpInc'!P84),ISNUMBER('SW OpInc'!L84),ISNUMBER('SW Rev'!P84),ISNUMBER('SW Rev'!L84),ABS('SW Rev'!P84-'SW Rev'!L84)&gt;=1),('SW OpInc'!P84-'SW OpInc'!L84)/('SW Rev'!P84-'SW Rev'!L84),""),"")</f>
        <v/>
      </c>
      <c r="M901" s="38">
        <f>IFERROR(IF(AND(ISNUMBER('SW OpInc'!Q84),ISNUMBER('SW OpInc'!M84),ISNUMBER('SW Rev'!Q84),ISNUMBER('SW Rev'!M84),ABS('SW Rev'!Q84-'SW Rev'!M84)&gt;=1),('SW OpInc'!Q84-'SW OpInc'!M84)/('SW Rev'!Q84-'SW Rev'!M84),""),"")</f>
        <v/>
      </c>
      <c r="N901" s="38">
        <f>IFERROR(IF(AND(ISNUMBER('SW OpInc'!R84),ISNUMBER('SW OpInc'!N84),ISNUMBER('SW Rev'!R84),ISNUMBER('SW Rev'!N84),ABS('SW Rev'!R84-'SW Rev'!N84)&gt;=1),('SW OpInc'!R84-'SW OpInc'!N84)/('SW Rev'!R84-'SW Rev'!N84),""),"")</f>
        <v/>
      </c>
    </row>
    <row r="902">
      <c r="A902" s="19">
        <f>'SW Rev'!$A85</f>
        <v/>
      </c>
      <c r="B902" s="19">
        <f>'SW Rev'!$B85</f>
        <v/>
      </c>
      <c r="C902" s="37">
        <f>IFERROR(IF(AND(ISNUMBER('SW OpInc'!G85),ISNUMBER('SW OpInc'!C85),ISNUMBER('SW Rev'!G85),ISNUMBER('SW Rev'!C85),ABS('SW Rev'!G85-'SW Rev'!C85)&gt;=1),('SW OpInc'!G85-'SW OpInc'!C85)/('SW Rev'!G85-'SW Rev'!C85),""),"")</f>
        <v/>
      </c>
      <c r="D902" s="37">
        <f>IFERROR(IF(AND(ISNUMBER('SW OpInc'!H85),ISNUMBER('SW OpInc'!D85),ISNUMBER('SW Rev'!H85),ISNUMBER('SW Rev'!D85),ABS('SW Rev'!H85-'SW Rev'!D85)&gt;=1),('SW OpInc'!H85-'SW OpInc'!D85)/('SW Rev'!H85-'SW Rev'!D85),""),"")</f>
        <v/>
      </c>
      <c r="E902" s="37">
        <f>IFERROR(IF(AND(ISNUMBER('SW OpInc'!I85),ISNUMBER('SW OpInc'!E85),ISNUMBER('SW Rev'!I85),ISNUMBER('SW Rev'!E85),ABS('SW Rev'!I85-'SW Rev'!E85)&gt;=1),('SW OpInc'!I85-'SW OpInc'!E85)/('SW Rev'!I85-'SW Rev'!E85),""),"")</f>
        <v/>
      </c>
      <c r="F902" s="37">
        <f>IFERROR(IF(AND(ISNUMBER('SW OpInc'!J85),ISNUMBER('SW OpInc'!F85),ISNUMBER('SW Rev'!J85),ISNUMBER('SW Rev'!F85),ABS('SW Rev'!J85-'SW Rev'!F85)&gt;=1),('SW OpInc'!J85-'SW OpInc'!F85)/('SW Rev'!J85-'SW Rev'!F85),""),"")</f>
        <v/>
      </c>
      <c r="G902" s="37">
        <f>IFERROR(IF(AND(ISNUMBER('SW OpInc'!K85),ISNUMBER('SW OpInc'!G85),ISNUMBER('SW Rev'!K85),ISNUMBER('SW Rev'!G85),ABS('SW Rev'!K85-'SW Rev'!G85)&gt;=1),('SW OpInc'!K85-'SW OpInc'!G85)/('SW Rev'!K85-'SW Rev'!G85),""),"")</f>
        <v/>
      </c>
      <c r="H902" s="37">
        <f>IFERROR(IF(AND(ISNUMBER('SW OpInc'!L85),ISNUMBER('SW OpInc'!H85),ISNUMBER('SW Rev'!L85),ISNUMBER('SW Rev'!H85),ABS('SW Rev'!L85-'SW Rev'!H85)&gt;=1),('SW OpInc'!L85-'SW OpInc'!H85)/('SW Rev'!L85-'SW Rev'!H85),""),"")</f>
        <v/>
      </c>
      <c r="I902" s="37">
        <f>IFERROR(IF(AND(ISNUMBER('SW OpInc'!M85),ISNUMBER('SW OpInc'!I85),ISNUMBER('SW Rev'!M85),ISNUMBER('SW Rev'!I85),ABS('SW Rev'!M85-'SW Rev'!I85)&gt;=1),('SW OpInc'!M85-'SW OpInc'!I85)/('SW Rev'!M85-'SW Rev'!I85),""),"")</f>
        <v/>
      </c>
      <c r="J902" s="37">
        <f>IFERROR(IF(AND(ISNUMBER('SW OpInc'!N85),ISNUMBER('SW OpInc'!J85),ISNUMBER('SW Rev'!N85),ISNUMBER('SW Rev'!J85),ABS('SW Rev'!N85-'SW Rev'!J85)&gt;=1),('SW OpInc'!N85-'SW OpInc'!J85)/('SW Rev'!N85-'SW Rev'!J85),""),"")</f>
        <v/>
      </c>
      <c r="K902" s="37">
        <f>IFERROR(IF(AND(ISNUMBER('SW OpInc'!O85),ISNUMBER('SW OpInc'!K85),ISNUMBER('SW Rev'!O85),ISNUMBER('SW Rev'!K85),ABS('SW Rev'!O85-'SW Rev'!K85)&gt;=1),('SW OpInc'!O85-'SW OpInc'!K85)/('SW Rev'!O85-'SW Rev'!K85),""),"")</f>
        <v/>
      </c>
      <c r="L902" s="37">
        <f>IFERROR(IF(AND(ISNUMBER('SW OpInc'!P85),ISNUMBER('SW OpInc'!L85),ISNUMBER('SW Rev'!P85),ISNUMBER('SW Rev'!L85),ABS('SW Rev'!P85-'SW Rev'!L85)&gt;=1),('SW OpInc'!P85-'SW OpInc'!L85)/('SW Rev'!P85-'SW Rev'!L85),""),"")</f>
        <v/>
      </c>
      <c r="M902" s="38">
        <f>IFERROR(IF(AND(ISNUMBER('SW OpInc'!Q85),ISNUMBER('SW OpInc'!M85),ISNUMBER('SW Rev'!Q85),ISNUMBER('SW Rev'!M85),ABS('SW Rev'!Q85-'SW Rev'!M85)&gt;=1),('SW OpInc'!Q85-'SW OpInc'!M85)/('SW Rev'!Q85-'SW Rev'!M85),""),"")</f>
        <v/>
      </c>
      <c r="N902" s="38">
        <f>IFERROR(IF(AND(ISNUMBER('SW OpInc'!R85),ISNUMBER('SW OpInc'!N85),ISNUMBER('SW Rev'!R85),ISNUMBER('SW Rev'!N85),ABS('SW Rev'!R85-'SW Rev'!N85)&gt;=1),('SW OpInc'!R85-'SW OpInc'!N85)/('SW Rev'!R85-'SW Rev'!N85),""),"")</f>
        <v/>
      </c>
    </row>
    <row r="903">
      <c r="A903" s="19">
        <f>'SW Rev'!$A86</f>
        <v/>
      </c>
      <c r="B903" s="19">
        <f>'SW Rev'!$B86</f>
        <v/>
      </c>
      <c r="C903" s="37">
        <f>IFERROR(IF(AND(ISNUMBER('SW OpInc'!G86),ISNUMBER('SW OpInc'!C86),ISNUMBER('SW Rev'!G86),ISNUMBER('SW Rev'!C86),ABS('SW Rev'!G86-'SW Rev'!C86)&gt;=1),('SW OpInc'!G86-'SW OpInc'!C86)/('SW Rev'!G86-'SW Rev'!C86),""),"")</f>
        <v/>
      </c>
      <c r="D903" s="37">
        <f>IFERROR(IF(AND(ISNUMBER('SW OpInc'!H86),ISNUMBER('SW OpInc'!D86),ISNUMBER('SW Rev'!H86),ISNUMBER('SW Rev'!D86),ABS('SW Rev'!H86-'SW Rev'!D86)&gt;=1),('SW OpInc'!H86-'SW OpInc'!D86)/('SW Rev'!H86-'SW Rev'!D86),""),"")</f>
        <v/>
      </c>
      <c r="E903" s="37">
        <f>IFERROR(IF(AND(ISNUMBER('SW OpInc'!I86),ISNUMBER('SW OpInc'!E86),ISNUMBER('SW Rev'!I86),ISNUMBER('SW Rev'!E86),ABS('SW Rev'!I86-'SW Rev'!E86)&gt;=1),('SW OpInc'!I86-'SW OpInc'!E86)/('SW Rev'!I86-'SW Rev'!E86),""),"")</f>
        <v/>
      </c>
      <c r="F903" s="37">
        <f>IFERROR(IF(AND(ISNUMBER('SW OpInc'!J86),ISNUMBER('SW OpInc'!F86),ISNUMBER('SW Rev'!J86),ISNUMBER('SW Rev'!F86),ABS('SW Rev'!J86-'SW Rev'!F86)&gt;=1),('SW OpInc'!J86-'SW OpInc'!F86)/('SW Rev'!J86-'SW Rev'!F86),""),"")</f>
        <v/>
      </c>
      <c r="G903" s="37">
        <f>IFERROR(IF(AND(ISNUMBER('SW OpInc'!K86),ISNUMBER('SW OpInc'!G86),ISNUMBER('SW Rev'!K86),ISNUMBER('SW Rev'!G86),ABS('SW Rev'!K86-'SW Rev'!G86)&gt;=1),('SW OpInc'!K86-'SW OpInc'!G86)/('SW Rev'!K86-'SW Rev'!G86),""),"")</f>
        <v/>
      </c>
      <c r="H903" s="37">
        <f>IFERROR(IF(AND(ISNUMBER('SW OpInc'!L86),ISNUMBER('SW OpInc'!H86),ISNUMBER('SW Rev'!L86),ISNUMBER('SW Rev'!H86),ABS('SW Rev'!L86-'SW Rev'!H86)&gt;=1),('SW OpInc'!L86-'SW OpInc'!H86)/('SW Rev'!L86-'SW Rev'!H86),""),"")</f>
        <v/>
      </c>
      <c r="I903" s="37">
        <f>IFERROR(IF(AND(ISNUMBER('SW OpInc'!M86),ISNUMBER('SW OpInc'!I86),ISNUMBER('SW Rev'!M86),ISNUMBER('SW Rev'!I86),ABS('SW Rev'!M86-'SW Rev'!I86)&gt;=1),('SW OpInc'!M86-'SW OpInc'!I86)/('SW Rev'!M86-'SW Rev'!I86),""),"")</f>
        <v/>
      </c>
      <c r="J903" s="37">
        <f>IFERROR(IF(AND(ISNUMBER('SW OpInc'!N86),ISNUMBER('SW OpInc'!J86),ISNUMBER('SW Rev'!N86),ISNUMBER('SW Rev'!J86),ABS('SW Rev'!N86-'SW Rev'!J86)&gt;=1),('SW OpInc'!N86-'SW OpInc'!J86)/('SW Rev'!N86-'SW Rev'!J86),""),"")</f>
        <v/>
      </c>
      <c r="K903" s="37">
        <f>IFERROR(IF(AND(ISNUMBER('SW OpInc'!O86),ISNUMBER('SW OpInc'!K86),ISNUMBER('SW Rev'!O86),ISNUMBER('SW Rev'!K86),ABS('SW Rev'!O86-'SW Rev'!K86)&gt;=1),('SW OpInc'!O86-'SW OpInc'!K86)/('SW Rev'!O86-'SW Rev'!K86),""),"")</f>
        <v/>
      </c>
      <c r="L903" s="37">
        <f>IFERROR(IF(AND(ISNUMBER('SW OpInc'!P86),ISNUMBER('SW OpInc'!L86),ISNUMBER('SW Rev'!P86),ISNUMBER('SW Rev'!L86),ABS('SW Rev'!P86-'SW Rev'!L86)&gt;=1),('SW OpInc'!P86-'SW OpInc'!L86)/('SW Rev'!P86-'SW Rev'!L86),""),"")</f>
        <v/>
      </c>
      <c r="M903" s="38">
        <f>IFERROR(IF(AND(ISNUMBER('SW OpInc'!Q86),ISNUMBER('SW OpInc'!M86),ISNUMBER('SW Rev'!Q86),ISNUMBER('SW Rev'!M86),ABS('SW Rev'!Q86-'SW Rev'!M86)&gt;=1),('SW OpInc'!Q86-'SW OpInc'!M86)/('SW Rev'!Q86-'SW Rev'!M86),""),"")</f>
        <v/>
      </c>
      <c r="N903" s="38">
        <f>IFERROR(IF(AND(ISNUMBER('SW OpInc'!R86),ISNUMBER('SW OpInc'!N86),ISNUMBER('SW Rev'!R86),ISNUMBER('SW Rev'!N86),ABS('SW Rev'!R86-'SW Rev'!N86)&gt;=1),('SW OpInc'!R86-'SW OpInc'!N86)/('SW Rev'!R86-'SW Rev'!N86),""),"")</f>
        <v/>
      </c>
    </row>
    <row r="904">
      <c r="A904" s="19">
        <f>'SW Rev'!$A87</f>
        <v/>
      </c>
      <c r="B904" s="19">
        <f>'SW Rev'!$B87</f>
        <v/>
      </c>
      <c r="C904" s="37">
        <f>IFERROR(IF(AND(ISNUMBER('SW OpInc'!G87),ISNUMBER('SW OpInc'!C87),ISNUMBER('SW Rev'!G87),ISNUMBER('SW Rev'!C87),ABS('SW Rev'!G87-'SW Rev'!C87)&gt;=1),('SW OpInc'!G87-'SW OpInc'!C87)/('SW Rev'!G87-'SW Rev'!C87),""),"")</f>
        <v/>
      </c>
      <c r="D904" s="37">
        <f>IFERROR(IF(AND(ISNUMBER('SW OpInc'!H87),ISNUMBER('SW OpInc'!D87),ISNUMBER('SW Rev'!H87),ISNUMBER('SW Rev'!D87),ABS('SW Rev'!H87-'SW Rev'!D87)&gt;=1),('SW OpInc'!H87-'SW OpInc'!D87)/('SW Rev'!H87-'SW Rev'!D87),""),"")</f>
        <v/>
      </c>
      <c r="E904" s="37">
        <f>IFERROR(IF(AND(ISNUMBER('SW OpInc'!I87),ISNUMBER('SW OpInc'!E87),ISNUMBER('SW Rev'!I87),ISNUMBER('SW Rev'!E87),ABS('SW Rev'!I87-'SW Rev'!E87)&gt;=1),('SW OpInc'!I87-'SW OpInc'!E87)/('SW Rev'!I87-'SW Rev'!E87),""),"")</f>
        <v/>
      </c>
      <c r="F904" s="37">
        <f>IFERROR(IF(AND(ISNUMBER('SW OpInc'!J87),ISNUMBER('SW OpInc'!F87),ISNUMBER('SW Rev'!J87),ISNUMBER('SW Rev'!F87),ABS('SW Rev'!J87-'SW Rev'!F87)&gt;=1),('SW OpInc'!J87-'SW OpInc'!F87)/('SW Rev'!J87-'SW Rev'!F87),""),"")</f>
        <v/>
      </c>
      <c r="G904" s="37">
        <f>IFERROR(IF(AND(ISNUMBER('SW OpInc'!K87),ISNUMBER('SW OpInc'!G87),ISNUMBER('SW Rev'!K87),ISNUMBER('SW Rev'!G87),ABS('SW Rev'!K87-'SW Rev'!G87)&gt;=1),('SW OpInc'!K87-'SW OpInc'!G87)/('SW Rev'!K87-'SW Rev'!G87),""),"")</f>
        <v/>
      </c>
      <c r="H904" s="37">
        <f>IFERROR(IF(AND(ISNUMBER('SW OpInc'!L87),ISNUMBER('SW OpInc'!H87),ISNUMBER('SW Rev'!L87),ISNUMBER('SW Rev'!H87),ABS('SW Rev'!L87-'SW Rev'!H87)&gt;=1),('SW OpInc'!L87-'SW OpInc'!H87)/('SW Rev'!L87-'SW Rev'!H87),""),"")</f>
        <v/>
      </c>
      <c r="I904" s="37">
        <f>IFERROR(IF(AND(ISNUMBER('SW OpInc'!M87),ISNUMBER('SW OpInc'!I87),ISNUMBER('SW Rev'!M87),ISNUMBER('SW Rev'!I87),ABS('SW Rev'!M87-'SW Rev'!I87)&gt;=1),('SW OpInc'!M87-'SW OpInc'!I87)/('SW Rev'!M87-'SW Rev'!I87),""),"")</f>
        <v/>
      </c>
      <c r="J904" s="37">
        <f>IFERROR(IF(AND(ISNUMBER('SW OpInc'!N87),ISNUMBER('SW OpInc'!J87),ISNUMBER('SW Rev'!N87),ISNUMBER('SW Rev'!J87),ABS('SW Rev'!N87-'SW Rev'!J87)&gt;=1),('SW OpInc'!N87-'SW OpInc'!J87)/('SW Rev'!N87-'SW Rev'!J87),""),"")</f>
        <v/>
      </c>
      <c r="K904" s="37">
        <f>IFERROR(IF(AND(ISNUMBER('SW OpInc'!O87),ISNUMBER('SW OpInc'!K87),ISNUMBER('SW Rev'!O87),ISNUMBER('SW Rev'!K87),ABS('SW Rev'!O87-'SW Rev'!K87)&gt;=1),('SW OpInc'!O87-'SW OpInc'!K87)/('SW Rev'!O87-'SW Rev'!K87),""),"")</f>
        <v/>
      </c>
      <c r="L904" s="37">
        <f>IFERROR(IF(AND(ISNUMBER('SW OpInc'!P87),ISNUMBER('SW OpInc'!L87),ISNUMBER('SW Rev'!P87),ISNUMBER('SW Rev'!L87),ABS('SW Rev'!P87-'SW Rev'!L87)&gt;=1),('SW OpInc'!P87-'SW OpInc'!L87)/('SW Rev'!P87-'SW Rev'!L87),""),"")</f>
        <v/>
      </c>
      <c r="M904" s="38">
        <f>IFERROR(IF(AND(ISNUMBER('SW OpInc'!Q87),ISNUMBER('SW OpInc'!M87),ISNUMBER('SW Rev'!Q87),ISNUMBER('SW Rev'!M87),ABS('SW Rev'!Q87-'SW Rev'!M87)&gt;=1),('SW OpInc'!Q87-'SW OpInc'!M87)/('SW Rev'!Q87-'SW Rev'!M87),""),"")</f>
        <v/>
      </c>
      <c r="N904" s="38">
        <f>IFERROR(IF(AND(ISNUMBER('SW OpInc'!R87),ISNUMBER('SW OpInc'!N87),ISNUMBER('SW Rev'!R87),ISNUMBER('SW Rev'!N87),ABS('SW Rev'!R87-'SW Rev'!N87)&gt;=1),('SW OpInc'!R87-'SW OpInc'!N87)/('SW Rev'!R87-'SW Rev'!N87),""),"")</f>
        <v/>
      </c>
    </row>
    <row r="905">
      <c r="A905" s="19">
        <f>'SW Rev'!$A88</f>
        <v/>
      </c>
      <c r="B905" s="19">
        <f>'SW Rev'!$B88</f>
        <v/>
      </c>
      <c r="C905" s="37">
        <f>IFERROR(IF(AND(ISNUMBER('SW OpInc'!G88),ISNUMBER('SW OpInc'!C88),ISNUMBER('SW Rev'!G88),ISNUMBER('SW Rev'!C88),ABS('SW Rev'!G88-'SW Rev'!C88)&gt;=1),('SW OpInc'!G88-'SW OpInc'!C88)/('SW Rev'!G88-'SW Rev'!C88),""),"")</f>
        <v/>
      </c>
      <c r="D905" s="37">
        <f>IFERROR(IF(AND(ISNUMBER('SW OpInc'!H88),ISNUMBER('SW OpInc'!D88),ISNUMBER('SW Rev'!H88),ISNUMBER('SW Rev'!D88),ABS('SW Rev'!H88-'SW Rev'!D88)&gt;=1),('SW OpInc'!H88-'SW OpInc'!D88)/('SW Rev'!H88-'SW Rev'!D88),""),"")</f>
        <v/>
      </c>
      <c r="E905" s="37">
        <f>IFERROR(IF(AND(ISNUMBER('SW OpInc'!I88),ISNUMBER('SW OpInc'!E88),ISNUMBER('SW Rev'!I88),ISNUMBER('SW Rev'!E88),ABS('SW Rev'!I88-'SW Rev'!E88)&gt;=1),('SW OpInc'!I88-'SW OpInc'!E88)/('SW Rev'!I88-'SW Rev'!E88),""),"")</f>
        <v/>
      </c>
      <c r="F905" s="37">
        <f>IFERROR(IF(AND(ISNUMBER('SW OpInc'!J88),ISNUMBER('SW OpInc'!F88),ISNUMBER('SW Rev'!J88),ISNUMBER('SW Rev'!F88),ABS('SW Rev'!J88-'SW Rev'!F88)&gt;=1),('SW OpInc'!J88-'SW OpInc'!F88)/('SW Rev'!J88-'SW Rev'!F88),""),"")</f>
        <v/>
      </c>
      <c r="G905" s="37">
        <f>IFERROR(IF(AND(ISNUMBER('SW OpInc'!K88),ISNUMBER('SW OpInc'!G88),ISNUMBER('SW Rev'!K88),ISNUMBER('SW Rev'!G88),ABS('SW Rev'!K88-'SW Rev'!G88)&gt;=1),('SW OpInc'!K88-'SW OpInc'!G88)/('SW Rev'!K88-'SW Rev'!G88),""),"")</f>
        <v/>
      </c>
      <c r="H905" s="37">
        <f>IFERROR(IF(AND(ISNUMBER('SW OpInc'!L88),ISNUMBER('SW OpInc'!H88),ISNUMBER('SW Rev'!L88),ISNUMBER('SW Rev'!H88),ABS('SW Rev'!L88-'SW Rev'!H88)&gt;=1),('SW OpInc'!L88-'SW OpInc'!H88)/('SW Rev'!L88-'SW Rev'!H88),""),"")</f>
        <v/>
      </c>
      <c r="I905" s="37">
        <f>IFERROR(IF(AND(ISNUMBER('SW OpInc'!M88),ISNUMBER('SW OpInc'!I88),ISNUMBER('SW Rev'!M88),ISNUMBER('SW Rev'!I88),ABS('SW Rev'!M88-'SW Rev'!I88)&gt;=1),('SW OpInc'!M88-'SW OpInc'!I88)/('SW Rev'!M88-'SW Rev'!I88),""),"")</f>
        <v/>
      </c>
      <c r="J905" s="37">
        <f>IFERROR(IF(AND(ISNUMBER('SW OpInc'!N88),ISNUMBER('SW OpInc'!J88),ISNUMBER('SW Rev'!N88),ISNUMBER('SW Rev'!J88),ABS('SW Rev'!N88-'SW Rev'!J88)&gt;=1),('SW OpInc'!N88-'SW OpInc'!J88)/('SW Rev'!N88-'SW Rev'!J88),""),"")</f>
        <v/>
      </c>
      <c r="K905" s="37">
        <f>IFERROR(IF(AND(ISNUMBER('SW OpInc'!O88),ISNUMBER('SW OpInc'!K88),ISNUMBER('SW Rev'!O88),ISNUMBER('SW Rev'!K88),ABS('SW Rev'!O88-'SW Rev'!K88)&gt;=1),('SW OpInc'!O88-'SW OpInc'!K88)/('SW Rev'!O88-'SW Rev'!K88),""),"")</f>
        <v/>
      </c>
      <c r="L905" s="37">
        <f>IFERROR(IF(AND(ISNUMBER('SW OpInc'!P88),ISNUMBER('SW OpInc'!L88),ISNUMBER('SW Rev'!P88),ISNUMBER('SW Rev'!L88),ABS('SW Rev'!P88-'SW Rev'!L88)&gt;=1),('SW OpInc'!P88-'SW OpInc'!L88)/('SW Rev'!P88-'SW Rev'!L88),""),"")</f>
        <v/>
      </c>
      <c r="M905" s="38">
        <f>IFERROR(IF(AND(ISNUMBER('SW OpInc'!Q88),ISNUMBER('SW OpInc'!M88),ISNUMBER('SW Rev'!Q88),ISNUMBER('SW Rev'!M88),ABS('SW Rev'!Q88-'SW Rev'!M88)&gt;=1),('SW OpInc'!Q88-'SW OpInc'!M88)/('SW Rev'!Q88-'SW Rev'!M88),""),"")</f>
        <v/>
      </c>
      <c r="N905" s="38">
        <f>IFERROR(IF(AND(ISNUMBER('SW OpInc'!R88),ISNUMBER('SW OpInc'!N88),ISNUMBER('SW Rev'!R88),ISNUMBER('SW Rev'!N88),ABS('SW Rev'!R88-'SW Rev'!N88)&gt;=1),('SW OpInc'!R88-'SW OpInc'!N88)/('SW Rev'!R88-'SW Rev'!N88),""),"")</f>
        <v/>
      </c>
    </row>
    <row r="906">
      <c r="A906" s="19">
        <f>'SW Rev'!$A89</f>
        <v/>
      </c>
      <c r="B906" s="19">
        <f>'SW Rev'!$B89</f>
        <v/>
      </c>
      <c r="C906" s="37">
        <f>IFERROR(IF(AND(ISNUMBER('SW OpInc'!G89),ISNUMBER('SW OpInc'!C89),ISNUMBER('SW Rev'!G89),ISNUMBER('SW Rev'!C89),ABS('SW Rev'!G89-'SW Rev'!C89)&gt;=1),('SW OpInc'!G89-'SW OpInc'!C89)/('SW Rev'!G89-'SW Rev'!C89),""),"")</f>
        <v/>
      </c>
      <c r="D906" s="37">
        <f>IFERROR(IF(AND(ISNUMBER('SW OpInc'!H89),ISNUMBER('SW OpInc'!D89),ISNUMBER('SW Rev'!H89),ISNUMBER('SW Rev'!D89),ABS('SW Rev'!H89-'SW Rev'!D89)&gt;=1),('SW OpInc'!H89-'SW OpInc'!D89)/('SW Rev'!H89-'SW Rev'!D89),""),"")</f>
        <v/>
      </c>
      <c r="E906" s="37">
        <f>IFERROR(IF(AND(ISNUMBER('SW OpInc'!I89),ISNUMBER('SW OpInc'!E89),ISNUMBER('SW Rev'!I89),ISNUMBER('SW Rev'!E89),ABS('SW Rev'!I89-'SW Rev'!E89)&gt;=1),('SW OpInc'!I89-'SW OpInc'!E89)/('SW Rev'!I89-'SW Rev'!E89),""),"")</f>
        <v/>
      </c>
      <c r="F906" s="37">
        <f>IFERROR(IF(AND(ISNUMBER('SW OpInc'!J89),ISNUMBER('SW OpInc'!F89),ISNUMBER('SW Rev'!J89),ISNUMBER('SW Rev'!F89),ABS('SW Rev'!J89-'SW Rev'!F89)&gt;=1),('SW OpInc'!J89-'SW OpInc'!F89)/('SW Rev'!J89-'SW Rev'!F89),""),"")</f>
        <v/>
      </c>
      <c r="G906" s="37">
        <f>IFERROR(IF(AND(ISNUMBER('SW OpInc'!K89),ISNUMBER('SW OpInc'!G89),ISNUMBER('SW Rev'!K89),ISNUMBER('SW Rev'!G89),ABS('SW Rev'!K89-'SW Rev'!G89)&gt;=1),('SW OpInc'!K89-'SW OpInc'!G89)/('SW Rev'!K89-'SW Rev'!G89),""),"")</f>
        <v/>
      </c>
      <c r="H906" s="37">
        <f>IFERROR(IF(AND(ISNUMBER('SW OpInc'!L89),ISNUMBER('SW OpInc'!H89),ISNUMBER('SW Rev'!L89),ISNUMBER('SW Rev'!H89),ABS('SW Rev'!L89-'SW Rev'!H89)&gt;=1),('SW OpInc'!L89-'SW OpInc'!H89)/('SW Rev'!L89-'SW Rev'!H89),""),"")</f>
        <v/>
      </c>
      <c r="I906" s="37">
        <f>IFERROR(IF(AND(ISNUMBER('SW OpInc'!M89),ISNUMBER('SW OpInc'!I89),ISNUMBER('SW Rev'!M89),ISNUMBER('SW Rev'!I89),ABS('SW Rev'!M89-'SW Rev'!I89)&gt;=1),('SW OpInc'!M89-'SW OpInc'!I89)/('SW Rev'!M89-'SW Rev'!I89),""),"")</f>
        <v/>
      </c>
      <c r="J906" s="37">
        <f>IFERROR(IF(AND(ISNUMBER('SW OpInc'!N89),ISNUMBER('SW OpInc'!J89),ISNUMBER('SW Rev'!N89),ISNUMBER('SW Rev'!J89),ABS('SW Rev'!N89-'SW Rev'!J89)&gt;=1),('SW OpInc'!N89-'SW OpInc'!J89)/('SW Rev'!N89-'SW Rev'!J89),""),"")</f>
        <v/>
      </c>
      <c r="K906" s="37">
        <f>IFERROR(IF(AND(ISNUMBER('SW OpInc'!O89),ISNUMBER('SW OpInc'!K89),ISNUMBER('SW Rev'!O89),ISNUMBER('SW Rev'!K89),ABS('SW Rev'!O89-'SW Rev'!K89)&gt;=1),('SW OpInc'!O89-'SW OpInc'!K89)/('SW Rev'!O89-'SW Rev'!K89),""),"")</f>
        <v/>
      </c>
      <c r="L906" s="37">
        <f>IFERROR(IF(AND(ISNUMBER('SW OpInc'!P89),ISNUMBER('SW OpInc'!L89),ISNUMBER('SW Rev'!P89),ISNUMBER('SW Rev'!L89),ABS('SW Rev'!P89-'SW Rev'!L89)&gt;=1),('SW OpInc'!P89-'SW OpInc'!L89)/('SW Rev'!P89-'SW Rev'!L89),""),"")</f>
        <v/>
      </c>
      <c r="M906" s="38">
        <f>IFERROR(IF(AND(ISNUMBER('SW OpInc'!Q89),ISNUMBER('SW OpInc'!M89),ISNUMBER('SW Rev'!Q89),ISNUMBER('SW Rev'!M89),ABS('SW Rev'!Q89-'SW Rev'!M89)&gt;=1),('SW OpInc'!Q89-'SW OpInc'!M89)/('SW Rev'!Q89-'SW Rev'!M89),""),"")</f>
        <v/>
      </c>
      <c r="N906" s="38">
        <f>IFERROR(IF(AND(ISNUMBER('SW OpInc'!R89),ISNUMBER('SW OpInc'!N89),ISNUMBER('SW Rev'!R89),ISNUMBER('SW Rev'!N89),ABS('SW Rev'!R89-'SW Rev'!N89)&gt;=1),('SW OpInc'!R89-'SW OpInc'!N89)/('SW Rev'!R89-'SW Rev'!N89),""),"")</f>
        <v/>
      </c>
    </row>
    <row r="907">
      <c r="A907" s="19">
        <f>'SW Rev'!$A90</f>
        <v/>
      </c>
      <c r="B907" s="19">
        <f>'SW Rev'!$B90</f>
        <v/>
      </c>
      <c r="C907" s="37">
        <f>IFERROR(IF(AND(ISNUMBER('SW OpInc'!G90),ISNUMBER('SW OpInc'!C90),ISNUMBER('SW Rev'!G90),ISNUMBER('SW Rev'!C90),ABS('SW Rev'!G90-'SW Rev'!C90)&gt;=1),('SW OpInc'!G90-'SW OpInc'!C90)/('SW Rev'!G90-'SW Rev'!C90),""),"")</f>
        <v/>
      </c>
      <c r="D907" s="37">
        <f>IFERROR(IF(AND(ISNUMBER('SW OpInc'!H90),ISNUMBER('SW OpInc'!D90),ISNUMBER('SW Rev'!H90),ISNUMBER('SW Rev'!D90),ABS('SW Rev'!H90-'SW Rev'!D90)&gt;=1),('SW OpInc'!H90-'SW OpInc'!D90)/('SW Rev'!H90-'SW Rev'!D90),""),"")</f>
        <v/>
      </c>
      <c r="E907" s="37">
        <f>IFERROR(IF(AND(ISNUMBER('SW OpInc'!I90),ISNUMBER('SW OpInc'!E90),ISNUMBER('SW Rev'!I90),ISNUMBER('SW Rev'!E90),ABS('SW Rev'!I90-'SW Rev'!E90)&gt;=1),('SW OpInc'!I90-'SW OpInc'!E90)/('SW Rev'!I90-'SW Rev'!E90),""),"")</f>
        <v/>
      </c>
      <c r="F907" s="37">
        <f>IFERROR(IF(AND(ISNUMBER('SW OpInc'!J90),ISNUMBER('SW OpInc'!F90),ISNUMBER('SW Rev'!J90),ISNUMBER('SW Rev'!F90),ABS('SW Rev'!J90-'SW Rev'!F90)&gt;=1),('SW OpInc'!J90-'SW OpInc'!F90)/('SW Rev'!J90-'SW Rev'!F90),""),"")</f>
        <v/>
      </c>
      <c r="G907" s="37">
        <f>IFERROR(IF(AND(ISNUMBER('SW OpInc'!K90),ISNUMBER('SW OpInc'!G90),ISNUMBER('SW Rev'!K90),ISNUMBER('SW Rev'!G90),ABS('SW Rev'!K90-'SW Rev'!G90)&gt;=1),('SW OpInc'!K90-'SW OpInc'!G90)/('SW Rev'!K90-'SW Rev'!G90),""),"")</f>
        <v/>
      </c>
      <c r="H907" s="37">
        <f>IFERROR(IF(AND(ISNUMBER('SW OpInc'!L90),ISNUMBER('SW OpInc'!H90),ISNUMBER('SW Rev'!L90),ISNUMBER('SW Rev'!H90),ABS('SW Rev'!L90-'SW Rev'!H90)&gt;=1),('SW OpInc'!L90-'SW OpInc'!H90)/('SW Rev'!L90-'SW Rev'!H90),""),"")</f>
        <v/>
      </c>
      <c r="I907" s="37">
        <f>IFERROR(IF(AND(ISNUMBER('SW OpInc'!M90),ISNUMBER('SW OpInc'!I90),ISNUMBER('SW Rev'!M90),ISNUMBER('SW Rev'!I90),ABS('SW Rev'!M90-'SW Rev'!I90)&gt;=1),('SW OpInc'!M90-'SW OpInc'!I90)/('SW Rev'!M90-'SW Rev'!I90),""),"")</f>
        <v/>
      </c>
      <c r="J907" s="37">
        <f>IFERROR(IF(AND(ISNUMBER('SW OpInc'!N90),ISNUMBER('SW OpInc'!J90),ISNUMBER('SW Rev'!N90),ISNUMBER('SW Rev'!J90),ABS('SW Rev'!N90-'SW Rev'!J90)&gt;=1),('SW OpInc'!N90-'SW OpInc'!J90)/('SW Rev'!N90-'SW Rev'!J90),""),"")</f>
        <v/>
      </c>
      <c r="K907" s="37">
        <f>IFERROR(IF(AND(ISNUMBER('SW OpInc'!O90),ISNUMBER('SW OpInc'!K90),ISNUMBER('SW Rev'!O90),ISNUMBER('SW Rev'!K90),ABS('SW Rev'!O90-'SW Rev'!K90)&gt;=1),('SW OpInc'!O90-'SW OpInc'!K90)/('SW Rev'!O90-'SW Rev'!K90),""),"")</f>
        <v/>
      </c>
      <c r="L907" s="37">
        <f>IFERROR(IF(AND(ISNUMBER('SW OpInc'!P90),ISNUMBER('SW OpInc'!L90),ISNUMBER('SW Rev'!P90),ISNUMBER('SW Rev'!L90),ABS('SW Rev'!P90-'SW Rev'!L90)&gt;=1),('SW OpInc'!P90-'SW OpInc'!L90)/('SW Rev'!P90-'SW Rev'!L90),""),"")</f>
        <v/>
      </c>
      <c r="M907" s="38">
        <f>IFERROR(IF(AND(ISNUMBER('SW OpInc'!Q90),ISNUMBER('SW OpInc'!M90),ISNUMBER('SW Rev'!Q90),ISNUMBER('SW Rev'!M90),ABS('SW Rev'!Q90-'SW Rev'!M90)&gt;=1),('SW OpInc'!Q90-'SW OpInc'!M90)/('SW Rev'!Q90-'SW Rev'!M90),""),"")</f>
        <v/>
      </c>
      <c r="N907" s="38">
        <f>IFERROR(IF(AND(ISNUMBER('SW OpInc'!R90),ISNUMBER('SW OpInc'!N90),ISNUMBER('SW Rev'!R90),ISNUMBER('SW Rev'!N90),ABS('SW Rev'!R90-'SW Rev'!N90)&gt;=1),('SW OpInc'!R90-'SW OpInc'!N90)/('SW Rev'!R90-'SW Rev'!N90),""),"")</f>
        <v/>
      </c>
    </row>
    <row r="908">
      <c r="A908" s="19">
        <f>'SW Rev'!$A91</f>
        <v/>
      </c>
      <c r="B908" s="19">
        <f>'SW Rev'!$B91</f>
        <v/>
      </c>
      <c r="C908" s="37">
        <f>IFERROR(IF(AND(ISNUMBER('SW OpInc'!G91),ISNUMBER('SW OpInc'!C91),ISNUMBER('SW Rev'!G91),ISNUMBER('SW Rev'!C91),ABS('SW Rev'!G91-'SW Rev'!C91)&gt;=1),('SW OpInc'!G91-'SW OpInc'!C91)/('SW Rev'!G91-'SW Rev'!C91),""),"")</f>
        <v/>
      </c>
      <c r="D908" s="37">
        <f>IFERROR(IF(AND(ISNUMBER('SW OpInc'!H91),ISNUMBER('SW OpInc'!D91),ISNUMBER('SW Rev'!H91),ISNUMBER('SW Rev'!D91),ABS('SW Rev'!H91-'SW Rev'!D91)&gt;=1),('SW OpInc'!H91-'SW OpInc'!D91)/('SW Rev'!H91-'SW Rev'!D91),""),"")</f>
        <v/>
      </c>
      <c r="E908" s="37">
        <f>IFERROR(IF(AND(ISNUMBER('SW OpInc'!I91),ISNUMBER('SW OpInc'!E91),ISNUMBER('SW Rev'!I91),ISNUMBER('SW Rev'!E91),ABS('SW Rev'!I91-'SW Rev'!E91)&gt;=1),('SW OpInc'!I91-'SW OpInc'!E91)/('SW Rev'!I91-'SW Rev'!E91),""),"")</f>
        <v/>
      </c>
      <c r="F908" s="37">
        <f>IFERROR(IF(AND(ISNUMBER('SW OpInc'!J91),ISNUMBER('SW OpInc'!F91),ISNUMBER('SW Rev'!J91),ISNUMBER('SW Rev'!F91),ABS('SW Rev'!J91-'SW Rev'!F91)&gt;=1),('SW OpInc'!J91-'SW OpInc'!F91)/('SW Rev'!J91-'SW Rev'!F91),""),"")</f>
        <v/>
      </c>
      <c r="G908" s="37">
        <f>IFERROR(IF(AND(ISNUMBER('SW OpInc'!K91),ISNUMBER('SW OpInc'!G91),ISNUMBER('SW Rev'!K91),ISNUMBER('SW Rev'!G91),ABS('SW Rev'!K91-'SW Rev'!G91)&gt;=1),('SW OpInc'!K91-'SW OpInc'!G91)/('SW Rev'!K91-'SW Rev'!G91),""),"")</f>
        <v/>
      </c>
      <c r="H908" s="37">
        <f>IFERROR(IF(AND(ISNUMBER('SW OpInc'!L91),ISNUMBER('SW OpInc'!H91),ISNUMBER('SW Rev'!L91),ISNUMBER('SW Rev'!H91),ABS('SW Rev'!L91-'SW Rev'!H91)&gt;=1),('SW OpInc'!L91-'SW OpInc'!H91)/('SW Rev'!L91-'SW Rev'!H91),""),"")</f>
        <v/>
      </c>
      <c r="I908" s="37">
        <f>IFERROR(IF(AND(ISNUMBER('SW OpInc'!M91),ISNUMBER('SW OpInc'!I91),ISNUMBER('SW Rev'!M91),ISNUMBER('SW Rev'!I91),ABS('SW Rev'!M91-'SW Rev'!I91)&gt;=1),('SW OpInc'!M91-'SW OpInc'!I91)/('SW Rev'!M91-'SW Rev'!I91),""),"")</f>
        <v/>
      </c>
      <c r="J908" s="37">
        <f>IFERROR(IF(AND(ISNUMBER('SW OpInc'!N91),ISNUMBER('SW OpInc'!J91),ISNUMBER('SW Rev'!N91),ISNUMBER('SW Rev'!J91),ABS('SW Rev'!N91-'SW Rev'!J91)&gt;=1),('SW OpInc'!N91-'SW OpInc'!J91)/('SW Rev'!N91-'SW Rev'!J91),""),"")</f>
        <v/>
      </c>
      <c r="K908" s="37">
        <f>IFERROR(IF(AND(ISNUMBER('SW OpInc'!O91),ISNUMBER('SW OpInc'!K91),ISNUMBER('SW Rev'!O91),ISNUMBER('SW Rev'!K91),ABS('SW Rev'!O91-'SW Rev'!K91)&gt;=1),('SW OpInc'!O91-'SW OpInc'!K91)/('SW Rev'!O91-'SW Rev'!K91),""),"")</f>
        <v/>
      </c>
      <c r="L908" s="37">
        <f>IFERROR(IF(AND(ISNUMBER('SW OpInc'!P91),ISNUMBER('SW OpInc'!L91),ISNUMBER('SW Rev'!P91),ISNUMBER('SW Rev'!L91),ABS('SW Rev'!P91-'SW Rev'!L91)&gt;=1),('SW OpInc'!P91-'SW OpInc'!L91)/('SW Rev'!P91-'SW Rev'!L91),""),"")</f>
        <v/>
      </c>
      <c r="M908" s="38">
        <f>IFERROR(IF(AND(ISNUMBER('SW OpInc'!Q91),ISNUMBER('SW OpInc'!M91),ISNUMBER('SW Rev'!Q91),ISNUMBER('SW Rev'!M91),ABS('SW Rev'!Q91-'SW Rev'!M91)&gt;=1),('SW OpInc'!Q91-'SW OpInc'!M91)/('SW Rev'!Q91-'SW Rev'!M91),""),"")</f>
        <v/>
      </c>
      <c r="N908" s="38">
        <f>IFERROR(IF(AND(ISNUMBER('SW OpInc'!R91),ISNUMBER('SW OpInc'!N91),ISNUMBER('SW Rev'!R91),ISNUMBER('SW Rev'!N91),ABS('SW Rev'!R91-'SW Rev'!N91)&gt;=1),('SW OpInc'!R91-'SW OpInc'!N91)/('SW Rev'!R91-'SW Rev'!N91),""),"")</f>
        <v/>
      </c>
    </row>
    <row r="909">
      <c r="A909" s="19">
        <f>'SW Rev'!$A92</f>
        <v/>
      </c>
      <c r="B909" s="19">
        <f>'SW Rev'!$B92</f>
        <v/>
      </c>
      <c r="C909" s="37">
        <f>IFERROR(IF(AND(ISNUMBER('SW OpInc'!G92),ISNUMBER('SW OpInc'!C92),ISNUMBER('SW Rev'!G92),ISNUMBER('SW Rev'!C92),ABS('SW Rev'!G92-'SW Rev'!C92)&gt;=1),('SW OpInc'!G92-'SW OpInc'!C92)/('SW Rev'!G92-'SW Rev'!C92),""),"")</f>
        <v/>
      </c>
      <c r="D909" s="37">
        <f>IFERROR(IF(AND(ISNUMBER('SW OpInc'!H92),ISNUMBER('SW OpInc'!D92),ISNUMBER('SW Rev'!H92),ISNUMBER('SW Rev'!D92),ABS('SW Rev'!H92-'SW Rev'!D92)&gt;=1),('SW OpInc'!H92-'SW OpInc'!D92)/('SW Rev'!H92-'SW Rev'!D92),""),"")</f>
        <v/>
      </c>
      <c r="E909" s="37">
        <f>IFERROR(IF(AND(ISNUMBER('SW OpInc'!I92),ISNUMBER('SW OpInc'!E92),ISNUMBER('SW Rev'!I92),ISNUMBER('SW Rev'!E92),ABS('SW Rev'!I92-'SW Rev'!E92)&gt;=1),('SW OpInc'!I92-'SW OpInc'!E92)/('SW Rev'!I92-'SW Rev'!E92),""),"")</f>
        <v/>
      </c>
      <c r="F909" s="37">
        <f>IFERROR(IF(AND(ISNUMBER('SW OpInc'!J92),ISNUMBER('SW OpInc'!F92),ISNUMBER('SW Rev'!J92),ISNUMBER('SW Rev'!F92),ABS('SW Rev'!J92-'SW Rev'!F92)&gt;=1),('SW OpInc'!J92-'SW OpInc'!F92)/('SW Rev'!J92-'SW Rev'!F92),""),"")</f>
        <v/>
      </c>
      <c r="G909" s="37">
        <f>IFERROR(IF(AND(ISNUMBER('SW OpInc'!K92),ISNUMBER('SW OpInc'!G92),ISNUMBER('SW Rev'!K92),ISNUMBER('SW Rev'!G92),ABS('SW Rev'!K92-'SW Rev'!G92)&gt;=1),('SW OpInc'!K92-'SW OpInc'!G92)/('SW Rev'!K92-'SW Rev'!G92),""),"")</f>
        <v/>
      </c>
      <c r="H909" s="37">
        <f>IFERROR(IF(AND(ISNUMBER('SW OpInc'!L92),ISNUMBER('SW OpInc'!H92),ISNUMBER('SW Rev'!L92),ISNUMBER('SW Rev'!H92),ABS('SW Rev'!L92-'SW Rev'!H92)&gt;=1),('SW OpInc'!L92-'SW OpInc'!H92)/('SW Rev'!L92-'SW Rev'!H92),""),"")</f>
        <v/>
      </c>
      <c r="I909" s="37">
        <f>IFERROR(IF(AND(ISNUMBER('SW OpInc'!M92),ISNUMBER('SW OpInc'!I92),ISNUMBER('SW Rev'!M92),ISNUMBER('SW Rev'!I92),ABS('SW Rev'!M92-'SW Rev'!I92)&gt;=1),('SW OpInc'!M92-'SW OpInc'!I92)/('SW Rev'!M92-'SW Rev'!I92),""),"")</f>
        <v/>
      </c>
      <c r="J909" s="37">
        <f>IFERROR(IF(AND(ISNUMBER('SW OpInc'!N92),ISNUMBER('SW OpInc'!J92),ISNUMBER('SW Rev'!N92),ISNUMBER('SW Rev'!J92),ABS('SW Rev'!N92-'SW Rev'!J92)&gt;=1),('SW OpInc'!N92-'SW OpInc'!J92)/('SW Rev'!N92-'SW Rev'!J92),""),"")</f>
        <v/>
      </c>
      <c r="K909" s="37">
        <f>IFERROR(IF(AND(ISNUMBER('SW OpInc'!O92),ISNUMBER('SW OpInc'!K92),ISNUMBER('SW Rev'!O92),ISNUMBER('SW Rev'!K92),ABS('SW Rev'!O92-'SW Rev'!K92)&gt;=1),('SW OpInc'!O92-'SW OpInc'!K92)/('SW Rev'!O92-'SW Rev'!K92),""),"")</f>
        <v/>
      </c>
      <c r="L909" s="37">
        <f>IFERROR(IF(AND(ISNUMBER('SW OpInc'!P92),ISNUMBER('SW OpInc'!L92),ISNUMBER('SW Rev'!P92),ISNUMBER('SW Rev'!L92),ABS('SW Rev'!P92-'SW Rev'!L92)&gt;=1),('SW OpInc'!P92-'SW OpInc'!L92)/('SW Rev'!P92-'SW Rev'!L92),""),"")</f>
        <v/>
      </c>
      <c r="M909" s="38">
        <f>IFERROR(IF(AND(ISNUMBER('SW OpInc'!Q92),ISNUMBER('SW OpInc'!M92),ISNUMBER('SW Rev'!Q92),ISNUMBER('SW Rev'!M92),ABS('SW Rev'!Q92-'SW Rev'!M92)&gt;=1),('SW OpInc'!Q92-'SW OpInc'!M92)/('SW Rev'!Q92-'SW Rev'!M92),""),"")</f>
        <v/>
      </c>
      <c r="N909" s="38">
        <f>IFERROR(IF(AND(ISNUMBER('SW OpInc'!R92),ISNUMBER('SW OpInc'!N92),ISNUMBER('SW Rev'!R92),ISNUMBER('SW Rev'!N92),ABS('SW Rev'!R92-'SW Rev'!N92)&gt;=1),('SW OpInc'!R92-'SW OpInc'!N92)/('SW Rev'!R92-'SW Rev'!N92),""),"")</f>
        <v/>
      </c>
    </row>
    <row r="910">
      <c r="A910" s="19">
        <f>'SW Rev'!$A93</f>
        <v/>
      </c>
      <c r="B910" s="19">
        <f>'SW Rev'!$B93</f>
        <v/>
      </c>
      <c r="C910" s="37">
        <f>IFERROR(IF(AND(ISNUMBER('SW OpInc'!G93),ISNUMBER('SW OpInc'!C93),ISNUMBER('SW Rev'!G93),ISNUMBER('SW Rev'!C93),ABS('SW Rev'!G93-'SW Rev'!C93)&gt;=1),('SW OpInc'!G93-'SW OpInc'!C93)/('SW Rev'!G93-'SW Rev'!C93),""),"")</f>
        <v/>
      </c>
      <c r="D910" s="37">
        <f>IFERROR(IF(AND(ISNUMBER('SW OpInc'!H93),ISNUMBER('SW OpInc'!D93),ISNUMBER('SW Rev'!H93),ISNUMBER('SW Rev'!D93),ABS('SW Rev'!H93-'SW Rev'!D93)&gt;=1),('SW OpInc'!H93-'SW OpInc'!D93)/('SW Rev'!H93-'SW Rev'!D93),""),"")</f>
        <v/>
      </c>
      <c r="E910" s="37">
        <f>IFERROR(IF(AND(ISNUMBER('SW OpInc'!I93),ISNUMBER('SW OpInc'!E93),ISNUMBER('SW Rev'!I93),ISNUMBER('SW Rev'!E93),ABS('SW Rev'!I93-'SW Rev'!E93)&gt;=1),('SW OpInc'!I93-'SW OpInc'!E93)/('SW Rev'!I93-'SW Rev'!E93),""),"")</f>
        <v/>
      </c>
      <c r="F910" s="37">
        <f>IFERROR(IF(AND(ISNUMBER('SW OpInc'!J93),ISNUMBER('SW OpInc'!F93),ISNUMBER('SW Rev'!J93),ISNUMBER('SW Rev'!F93),ABS('SW Rev'!J93-'SW Rev'!F93)&gt;=1),('SW OpInc'!J93-'SW OpInc'!F93)/('SW Rev'!J93-'SW Rev'!F93),""),"")</f>
        <v/>
      </c>
      <c r="G910" s="37">
        <f>IFERROR(IF(AND(ISNUMBER('SW OpInc'!K93),ISNUMBER('SW OpInc'!G93),ISNUMBER('SW Rev'!K93),ISNUMBER('SW Rev'!G93),ABS('SW Rev'!K93-'SW Rev'!G93)&gt;=1),('SW OpInc'!K93-'SW OpInc'!G93)/('SW Rev'!K93-'SW Rev'!G93),""),"")</f>
        <v/>
      </c>
      <c r="H910" s="37">
        <f>IFERROR(IF(AND(ISNUMBER('SW OpInc'!L93),ISNUMBER('SW OpInc'!H93),ISNUMBER('SW Rev'!L93),ISNUMBER('SW Rev'!H93),ABS('SW Rev'!L93-'SW Rev'!H93)&gt;=1),('SW OpInc'!L93-'SW OpInc'!H93)/('SW Rev'!L93-'SW Rev'!H93),""),"")</f>
        <v/>
      </c>
      <c r="I910" s="37">
        <f>IFERROR(IF(AND(ISNUMBER('SW OpInc'!M93),ISNUMBER('SW OpInc'!I93),ISNUMBER('SW Rev'!M93),ISNUMBER('SW Rev'!I93),ABS('SW Rev'!M93-'SW Rev'!I93)&gt;=1),('SW OpInc'!M93-'SW OpInc'!I93)/('SW Rev'!M93-'SW Rev'!I93),""),"")</f>
        <v/>
      </c>
      <c r="J910" s="37">
        <f>IFERROR(IF(AND(ISNUMBER('SW OpInc'!N93),ISNUMBER('SW OpInc'!J93),ISNUMBER('SW Rev'!N93),ISNUMBER('SW Rev'!J93),ABS('SW Rev'!N93-'SW Rev'!J93)&gt;=1),('SW OpInc'!N93-'SW OpInc'!J93)/('SW Rev'!N93-'SW Rev'!J93),""),"")</f>
        <v/>
      </c>
      <c r="K910" s="37">
        <f>IFERROR(IF(AND(ISNUMBER('SW OpInc'!O93),ISNUMBER('SW OpInc'!K93),ISNUMBER('SW Rev'!O93),ISNUMBER('SW Rev'!K93),ABS('SW Rev'!O93-'SW Rev'!K93)&gt;=1),('SW OpInc'!O93-'SW OpInc'!K93)/('SW Rev'!O93-'SW Rev'!K93),""),"")</f>
        <v/>
      </c>
      <c r="L910" s="37">
        <f>IFERROR(IF(AND(ISNUMBER('SW OpInc'!P93),ISNUMBER('SW OpInc'!L93),ISNUMBER('SW Rev'!P93),ISNUMBER('SW Rev'!L93),ABS('SW Rev'!P93-'SW Rev'!L93)&gt;=1),('SW OpInc'!P93-'SW OpInc'!L93)/('SW Rev'!P93-'SW Rev'!L93),""),"")</f>
        <v/>
      </c>
      <c r="M910" s="38">
        <f>IFERROR(IF(AND(ISNUMBER('SW OpInc'!Q93),ISNUMBER('SW OpInc'!M93),ISNUMBER('SW Rev'!Q93),ISNUMBER('SW Rev'!M93),ABS('SW Rev'!Q93-'SW Rev'!M93)&gt;=1),('SW OpInc'!Q93-'SW OpInc'!M93)/('SW Rev'!Q93-'SW Rev'!M93),""),"")</f>
        <v/>
      </c>
      <c r="N910" s="38">
        <f>IFERROR(IF(AND(ISNUMBER('SW OpInc'!R93),ISNUMBER('SW OpInc'!N93),ISNUMBER('SW Rev'!R93),ISNUMBER('SW Rev'!N93),ABS('SW Rev'!R93-'SW Rev'!N93)&gt;=1),('SW OpInc'!R93-'SW OpInc'!N93)/('SW Rev'!R93-'SW Rev'!N93),""),"")</f>
        <v/>
      </c>
    </row>
    <row r="911">
      <c r="A911" s="19">
        <f>'SW Rev'!$A94</f>
        <v/>
      </c>
      <c r="B911" s="19">
        <f>'SW Rev'!$B94</f>
        <v/>
      </c>
      <c r="C911" s="37">
        <f>IFERROR(IF(AND(ISNUMBER('SW OpInc'!G94),ISNUMBER('SW OpInc'!C94),ISNUMBER('SW Rev'!G94),ISNUMBER('SW Rev'!C94),ABS('SW Rev'!G94-'SW Rev'!C94)&gt;=1),('SW OpInc'!G94-'SW OpInc'!C94)/('SW Rev'!G94-'SW Rev'!C94),""),"")</f>
        <v/>
      </c>
      <c r="D911" s="37">
        <f>IFERROR(IF(AND(ISNUMBER('SW OpInc'!H94),ISNUMBER('SW OpInc'!D94),ISNUMBER('SW Rev'!H94),ISNUMBER('SW Rev'!D94),ABS('SW Rev'!H94-'SW Rev'!D94)&gt;=1),('SW OpInc'!H94-'SW OpInc'!D94)/('SW Rev'!H94-'SW Rev'!D94),""),"")</f>
        <v/>
      </c>
      <c r="E911" s="37">
        <f>IFERROR(IF(AND(ISNUMBER('SW OpInc'!I94),ISNUMBER('SW OpInc'!E94),ISNUMBER('SW Rev'!I94),ISNUMBER('SW Rev'!E94),ABS('SW Rev'!I94-'SW Rev'!E94)&gt;=1),('SW OpInc'!I94-'SW OpInc'!E94)/('SW Rev'!I94-'SW Rev'!E94),""),"")</f>
        <v/>
      </c>
      <c r="F911" s="37">
        <f>IFERROR(IF(AND(ISNUMBER('SW OpInc'!J94),ISNUMBER('SW OpInc'!F94),ISNUMBER('SW Rev'!J94),ISNUMBER('SW Rev'!F94),ABS('SW Rev'!J94-'SW Rev'!F94)&gt;=1),('SW OpInc'!J94-'SW OpInc'!F94)/('SW Rev'!J94-'SW Rev'!F94),""),"")</f>
        <v/>
      </c>
      <c r="G911" s="37">
        <f>IFERROR(IF(AND(ISNUMBER('SW OpInc'!K94),ISNUMBER('SW OpInc'!G94),ISNUMBER('SW Rev'!K94),ISNUMBER('SW Rev'!G94),ABS('SW Rev'!K94-'SW Rev'!G94)&gt;=1),('SW OpInc'!K94-'SW OpInc'!G94)/('SW Rev'!K94-'SW Rev'!G94),""),"")</f>
        <v/>
      </c>
      <c r="H911" s="37">
        <f>IFERROR(IF(AND(ISNUMBER('SW OpInc'!L94),ISNUMBER('SW OpInc'!H94),ISNUMBER('SW Rev'!L94),ISNUMBER('SW Rev'!H94),ABS('SW Rev'!L94-'SW Rev'!H94)&gt;=1),('SW OpInc'!L94-'SW OpInc'!H94)/('SW Rev'!L94-'SW Rev'!H94),""),"")</f>
        <v/>
      </c>
      <c r="I911" s="37">
        <f>IFERROR(IF(AND(ISNUMBER('SW OpInc'!M94),ISNUMBER('SW OpInc'!I94),ISNUMBER('SW Rev'!M94),ISNUMBER('SW Rev'!I94),ABS('SW Rev'!M94-'SW Rev'!I94)&gt;=1),('SW OpInc'!M94-'SW OpInc'!I94)/('SW Rev'!M94-'SW Rev'!I94),""),"")</f>
        <v/>
      </c>
      <c r="J911" s="37">
        <f>IFERROR(IF(AND(ISNUMBER('SW OpInc'!N94),ISNUMBER('SW OpInc'!J94),ISNUMBER('SW Rev'!N94),ISNUMBER('SW Rev'!J94),ABS('SW Rev'!N94-'SW Rev'!J94)&gt;=1),('SW OpInc'!N94-'SW OpInc'!J94)/('SW Rev'!N94-'SW Rev'!J94),""),"")</f>
        <v/>
      </c>
      <c r="K911" s="37">
        <f>IFERROR(IF(AND(ISNUMBER('SW OpInc'!O94),ISNUMBER('SW OpInc'!K94),ISNUMBER('SW Rev'!O94),ISNUMBER('SW Rev'!K94),ABS('SW Rev'!O94-'SW Rev'!K94)&gt;=1),('SW OpInc'!O94-'SW OpInc'!K94)/('SW Rev'!O94-'SW Rev'!K94),""),"")</f>
        <v/>
      </c>
      <c r="L911" s="37">
        <f>IFERROR(IF(AND(ISNUMBER('SW OpInc'!P94),ISNUMBER('SW OpInc'!L94),ISNUMBER('SW Rev'!P94),ISNUMBER('SW Rev'!L94),ABS('SW Rev'!P94-'SW Rev'!L94)&gt;=1),('SW OpInc'!P94-'SW OpInc'!L94)/('SW Rev'!P94-'SW Rev'!L94),""),"")</f>
        <v/>
      </c>
      <c r="M911" s="38">
        <f>IFERROR(IF(AND(ISNUMBER('SW OpInc'!Q94),ISNUMBER('SW OpInc'!M94),ISNUMBER('SW Rev'!Q94),ISNUMBER('SW Rev'!M94),ABS('SW Rev'!Q94-'SW Rev'!M94)&gt;=1),('SW OpInc'!Q94-'SW OpInc'!M94)/('SW Rev'!Q94-'SW Rev'!M94),""),"")</f>
        <v/>
      </c>
      <c r="N911" s="38">
        <f>IFERROR(IF(AND(ISNUMBER('SW OpInc'!R94),ISNUMBER('SW OpInc'!N94),ISNUMBER('SW Rev'!R94),ISNUMBER('SW Rev'!N94),ABS('SW Rev'!R94-'SW Rev'!N94)&gt;=1),('SW OpInc'!R94-'SW OpInc'!N94)/('SW Rev'!R94-'SW Rev'!N94),""),"")</f>
        <v/>
      </c>
    </row>
    <row r="912">
      <c r="A912" s="19">
        <f>'SW Rev'!$A95</f>
        <v/>
      </c>
      <c r="B912" s="19">
        <f>'SW Rev'!$B95</f>
        <v/>
      </c>
      <c r="C912" s="37">
        <f>IFERROR(IF(AND(ISNUMBER('SW OpInc'!G95),ISNUMBER('SW OpInc'!C95),ISNUMBER('SW Rev'!G95),ISNUMBER('SW Rev'!C95),ABS('SW Rev'!G95-'SW Rev'!C95)&gt;=1),('SW OpInc'!G95-'SW OpInc'!C95)/('SW Rev'!G95-'SW Rev'!C95),""),"")</f>
        <v/>
      </c>
      <c r="D912" s="37">
        <f>IFERROR(IF(AND(ISNUMBER('SW OpInc'!H95),ISNUMBER('SW OpInc'!D95),ISNUMBER('SW Rev'!H95),ISNUMBER('SW Rev'!D95),ABS('SW Rev'!H95-'SW Rev'!D95)&gt;=1),('SW OpInc'!H95-'SW OpInc'!D95)/('SW Rev'!H95-'SW Rev'!D95),""),"")</f>
        <v/>
      </c>
      <c r="E912" s="37">
        <f>IFERROR(IF(AND(ISNUMBER('SW OpInc'!I95),ISNUMBER('SW OpInc'!E95),ISNUMBER('SW Rev'!I95),ISNUMBER('SW Rev'!E95),ABS('SW Rev'!I95-'SW Rev'!E95)&gt;=1),('SW OpInc'!I95-'SW OpInc'!E95)/('SW Rev'!I95-'SW Rev'!E95),""),"")</f>
        <v/>
      </c>
      <c r="F912" s="37">
        <f>IFERROR(IF(AND(ISNUMBER('SW OpInc'!J95),ISNUMBER('SW OpInc'!F95),ISNUMBER('SW Rev'!J95),ISNUMBER('SW Rev'!F95),ABS('SW Rev'!J95-'SW Rev'!F95)&gt;=1),('SW OpInc'!J95-'SW OpInc'!F95)/('SW Rev'!J95-'SW Rev'!F95),""),"")</f>
        <v/>
      </c>
      <c r="G912" s="37">
        <f>IFERROR(IF(AND(ISNUMBER('SW OpInc'!K95),ISNUMBER('SW OpInc'!G95),ISNUMBER('SW Rev'!K95),ISNUMBER('SW Rev'!G95),ABS('SW Rev'!K95-'SW Rev'!G95)&gt;=1),('SW OpInc'!K95-'SW OpInc'!G95)/('SW Rev'!K95-'SW Rev'!G95),""),"")</f>
        <v/>
      </c>
      <c r="H912" s="37">
        <f>IFERROR(IF(AND(ISNUMBER('SW OpInc'!L95),ISNUMBER('SW OpInc'!H95),ISNUMBER('SW Rev'!L95),ISNUMBER('SW Rev'!H95),ABS('SW Rev'!L95-'SW Rev'!H95)&gt;=1),('SW OpInc'!L95-'SW OpInc'!H95)/('SW Rev'!L95-'SW Rev'!H95),""),"")</f>
        <v/>
      </c>
      <c r="I912" s="37">
        <f>IFERROR(IF(AND(ISNUMBER('SW OpInc'!M95),ISNUMBER('SW OpInc'!I95),ISNUMBER('SW Rev'!M95),ISNUMBER('SW Rev'!I95),ABS('SW Rev'!M95-'SW Rev'!I95)&gt;=1),('SW OpInc'!M95-'SW OpInc'!I95)/('SW Rev'!M95-'SW Rev'!I95),""),"")</f>
        <v/>
      </c>
      <c r="J912" s="37">
        <f>IFERROR(IF(AND(ISNUMBER('SW OpInc'!N95),ISNUMBER('SW OpInc'!J95),ISNUMBER('SW Rev'!N95),ISNUMBER('SW Rev'!J95),ABS('SW Rev'!N95-'SW Rev'!J95)&gt;=1),('SW OpInc'!N95-'SW OpInc'!J95)/('SW Rev'!N95-'SW Rev'!J95),""),"")</f>
        <v/>
      </c>
      <c r="K912" s="37">
        <f>IFERROR(IF(AND(ISNUMBER('SW OpInc'!O95),ISNUMBER('SW OpInc'!K95),ISNUMBER('SW Rev'!O95),ISNUMBER('SW Rev'!K95),ABS('SW Rev'!O95-'SW Rev'!K95)&gt;=1),('SW OpInc'!O95-'SW OpInc'!K95)/('SW Rev'!O95-'SW Rev'!K95),""),"")</f>
        <v/>
      </c>
      <c r="L912" s="37">
        <f>IFERROR(IF(AND(ISNUMBER('SW OpInc'!P95),ISNUMBER('SW OpInc'!L95),ISNUMBER('SW Rev'!P95),ISNUMBER('SW Rev'!L95),ABS('SW Rev'!P95-'SW Rev'!L95)&gt;=1),('SW OpInc'!P95-'SW OpInc'!L95)/('SW Rev'!P95-'SW Rev'!L95),""),"")</f>
        <v/>
      </c>
      <c r="M912" s="38">
        <f>IFERROR(IF(AND(ISNUMBER('SW OpInc'!Q95),ISNUMBER('SW OpInc'!M95),ISNUMBER('SW Rev'!Q95),ISNUMBER('SW Rev'!M95),ABS('SW Rev'!Q95-'SW Rev'!M95)&gt;=1),('SW OpInc'!Q95-'SW OpInc'!M95)/('SW Rev'!Q95-'SW Rev'!M95),""),"")</f>
        <v/>
      </c>
      <c r="N912" s="38">
        <f>IFERROR(IF(AND(ISNUMBER('SW OpInc'!R95),ISNUMBER('SW OpInc'!N95),ISNUMBER('SW Rev'!R95),ISNUMBER('SW Rev'!N95),ABS('SW Rev'!R95-'SW Rev'!N95)&gt;=1),('SW OpInc'!R95-'SW OpInc'!N95)/('SW Rev'!R95-'SW Rev'!N95),""),"")</f>
        <v/>
      </c>
    </row>
    <row r="913">
      <c r="A913" s="19">
        <f>'SW Rev'!$A96</f>
        <v/>
      </c>
      <c r="B913" s="19">
        <f>'SW Rev'!$B96</f>
        <v/>
      </c>
      <c r="C913" s="37">
        <f>IFERROR(IF(AND(ISNUMBER('SW OpInc'!G96),ISNUMBER('SW OpInc'!C96),ISNUMBER('SW Rev'!G96),ISNUMBER('SW Rev'!C96),ABS('SW Rev'!G96-'SW Rev'!C96)&gt;=1),('SW OpInc'!G96-'SW OpInc'!C96)/('SW Rev'!G96-'SW Rev'!C96),""),"")</f>
        <v/>
      </c>
      <c r="D913" s="37">
        <f>IFERROR(IF(AND(ISNUMBER('SW OpInc'!H96),ISNUMBER('SW OpInc'!D96),ISNUMBER('SW Rev'!H96),ISNUMBER('SW Rev'!D96),ABS('SW Rev'!H96-'SW Rev'!D96)&gt;=1),('SW OpInc'!H96-'SW OpInc'!D96)/('SW Rev'!H96-'SW Rev'!D96),""),"")</f>
        <v/>
      </c>
      <c r="E913" s="37">
        <f>IFERROR(IF(AND(ISNUMBER('SW OpInc'!I96),ISNUMBER('SW OpInc'!E96),ISNUMBER('SW Rev'!I96),ISNUMBER('SW Rev'!E96),ABS('SW Rev'!I96-'SW Rev'!E96)&gt;=1),('SW OpInc'!I96-'SW OpInc'!E96)/('SW Rev'!I96-'SW Rev'!E96),""),"")</f>
        <v/>
      </c>
      <c r="F913" s="37">
        <f>IFERROR(IF(AND(ISNUMBER('SW OpInc'!J96),ISNUMBER('SW OpInc'!F96),ISNUMBER('SW Rev'!J96),ISNUMBER('SW Rev'!F96),ABS('SW Rev'!J96-'SW Rev'!F96)&gt;=1),('SW OpInc'!J96-'SW OpInc'!F96)/('SW Rev'!J96-'SW Rev'!F96),""),"")</f>
        <v/>
      </c>
      <c r="G913" s="37">
        <f>IFERROR(IF(AND(ISNUMBER('SW OpInc'!K96),ISNUMBER('SW OpInc'!G96),ISNUMBER('SW Rev'!K96),ISNUMBER('SW Rev'!G96),ABS('SW Rev'!K96-'SW Rev'!G96)&gt;=1),('SW OpInc'!K96-'SW OpInc'!G96)/('SW Rev'!K96-'SW Rev'!G96),""),"")</f>
        <v/>
      </c>
      <c r="H913" s="37">
        <f>IFERROR(IF(AND(ISNUMBER('SW OpInc'!L96),ISNUMBER('SW OpInc'!H96),ISNUMBER('SW Rev'!L96),ISNUMBER('SW Rev'!H96),ABS('SW Rev'!L96-'SW Rev'!H96)&gt;=1),('SW OpInc'!L96-'SW OpInc'!H96)/('SW Rev'!L96-'SW Rev'!H96),""),"")</f>
        <v/>
      </c>
      <c r="I913" s="37">
        <f>IFERROR(IF(AND(ISNUMBER('SW OpInc'!M96),ISNUMBER('SW OpInc'!I96),ISNUMBER('SW Rev'!M96),ISNUMBER('SW Rev'!I96),ABS('SW Rev'!M96-'SW Rev'!I96)&gt;=1),('SW OpInc'!M96-'SW OpInc'!I96)/('SW Rev'!M96-'SW Rev'!I96),""),"")</f>
        <v/>
      </c>
      <c r="J913" s="37">
        <f>IFERROR(IF(AND(ISNUMBER('SW OpInc'!N96),ISNUMBER('SW OpInc'!J96),ISNUMBER('SW Rev'!N96),ISNUMBER('SW Rev'!J96),ABS('SW Rev'!N96-'SW Rev'!J96)&gt;=1),('SW OpInc'!N96-'SW OpInc'!J96)/('SW Rev'!N96-'SW Rev'!J96),""),"")</f>
        <v/>
      </c>
      <c r="K913" s="37">
        <f>IFERROR(IF(AND(ISNUMBER('SW OpInc'!O96),ISNUMBER('SW OpInc'!K96),ISNUMBER('SW Rev'!O96),ISNUMBER('SW Rev'!K96),ABS('SW Rev'!O96-'SW Rev'!K96)&gt;=1),('SW OpInc'!O96-'SW OpInc'!K96)/('SW Rev'!O96-'SW Rev'!K96),""),"")</f>
        <v/>
      </c>
      <c r="L913" s="37">
        <f>IFERROR(IF(AND(ISNUMBER('SW OpInc'!P96),ISNUMBER('SW OpInc'!L96),ISNUMBER('SW Rev'!P96),ISNUMBER('SW Rev'!L96),ABS('SW Rev'!P96-'SW Rev'!L96)&gt;=1),('SW OpInc'!P96-'SW OpInc'!L96)/('SW Rev'!P96-'SW Rev'!L96),""),"")</f>
        <v/>
      </c>
      <c r="M913" s="38">
        <f>IFERROR(IF(AND(ISNUMBER('SW OpInc'!Q96),ISNUMBER('SW OpInc'!M96),ISNUMBER('SW Rev'!Q96),ISNUMBER('SW Rev'!M96),ABS('SW Rev'!Q96-'SW Rev'!M96)&gt;=1),('SW OpInc'!Q96-'SW OpInc'!M96)/('SW Rev'!Q96-'SW Rev'!M96),""),"")</f>
        <v/>
      </c>
      <c r="N913" s="38">
        <f>IFERROR(IF(AND(ISNUMBER('SW OpInc'!R96),ISNUMBER('SW OpInc'!N96),ISNUMBER('SW Rev'!R96),ISNUMBER('SW Rev'!N96),ABS('SW Rev'!R96-'SW Rev'!N96)&gt;=1),('SW OpInc'!R96-'SW OpInc'!N96)/('SW Rev'!R96-'SW Rev'!N96),""),"")</f>
        <v/>
      </c>
    </row>
    <row r="914">
      <c r="A914" s="19">
        <f>'SW Rev'!$A97</f>
        <v/>
      </c>
      <c r="B914" s="19">
        <f>'SW Rev'!$B97</f>
        <v/>
      </c>
      <c r="C914" s="37">
        <f>IFERROR(IF(AND(ISNUMBER('SW OpInc'!G97),ISNUMBER('SW OpInc'!C97),ISNUMBER('SW Rev'!G97),ISNUMBER('SW Rev'!C97),ABS('SW Rev'!G97-'SW Rev'!C97)&gt;=1),('SW OpInc'!G97-'SW OpInc'!C97)/('SW Rev'!G97-'SW Rev'!C97),""),"")</f>
        <v/>
      </c>
      <c r="D914" s="37">
        <f>IFERROR(IF(AND(ISNUMBER('SW OpInc'!H97),ISNUMBER('SW OpInc'!D97),ISNUMBER('SW Rev'!H97),ISNUMBER('SW Rev'!D97),ABS('SW Rev'!H97-'SW Rev'!D97)&gt;=1),('SW OpInc'!H97-'SW OpInc'!D97)/('SW Rev'!H97-'SW Rev'!D97),""),"")</f>
        <v/>
      </c>
      <c r="E914" s="37">
        <f>IFERROR(IF(AND(ISNUMBER('SW OpInc'!I97),ISNUMBER('SW OpInc'!E97),ISNUMBER('SW Rev'!I97),ISNUMBER('SW Rev'!E97),ABS('SW Rev'!I97-'SW Rev'!E97)&gt;=1),('SW OpInc'!I97-'SW OpInc'!E97)/('SW Rev'!I97-'SW Rev'!E97),""),"")</f>
        <v/>
      </c>
      <c r="F914" s="37">
        <f>IFERROR(IF(AND(ISNUMBER('SW OpInc'!J97),ISNUMBER('SW OpInc'!F97),ISNUMBER('SW Rev'!J97),ISNUMBER('SW Rev'!F97),ABS('SW Rev'!J97-'SW Rev'!F97)&gt;=1),('SW OpInc'!J97-'SW OpInc'!F97)/('SW Rev'!J97-'SW Rev'!F97),""),"")</f>
        <v/>
      </c>
      <c r="G914" s="37">
        <f>IFERROR(IF(AND(ISNUMBER('SW OpInc'!K97),ISNUMBER('SW OpInc'!G97),ISNUMBER('SW Rev'!K97),ISNUMBER('SW Rev'!G97),ABS('SW Rev'!K97-'SW Rev'!G97)&gt;=1),('SW OpInc'!K97-'SW OpInc'!G97)/('SW Rev'!K97-'SW Rev'!G97),""),"")</f>
        <v/>
      </c>
      <c r="H914" s="37">
        <f>IFERROR(IF(AND(ISNUMBER('SW OpInc'!L97),ISNUMBER('SW OpInc'!H97),ISNUMBER('SW Rev'!L97),ISNUMBER('SW Rev'!H97),ABS('SW Rev'!L97-'SW Rev'!H97)&gt;=1),('SW OpInc'!L97-'SW OpInc'!H97)/('SW Rev'!L97-'SW Rev'!H97),""),"")</f>
        <v/>
      </c>
      <c r="I914" s="37">
        <f>IFERROR(IF(AND(ISNUMBER('SW OpInc'!M97),ISNUMBER('SW OpInc'!I97),ISNUMBER('SW Rev'!M97),ISNUMBER('SW Rev'!I97),ABS('SW Rev'!M97-'SW Rev'!I97)&gt;=1),('SW OpInc'!M97-'SW OpInc'!I97)/('SW Rev'!M97-'SW Rev'!I97),""),"")</f>
        <v/>
      </c>
      <c r="J914" s="37">
        <f>IFERROR(IF(AND(ISNUMBER('SW OpInc'!N97),ISNUMBER('SW OpInc'!J97),ISNUMBER('SW Rev'!N97),ISNUMBER('SW Rev'!J97),ABS('SW Rev'!N97-'SW Rev'!J97)&gt;=1),('SW OpInc'!N97-'SW OpInc'!J97)/('SW Rev'!N97-'SW Rev'!J97),""),"")</f>
        <v/>
      </c>
      <c r="K914" s="37">
        <f>IFERROR(IF(AND(ISNUMBER('SW OpInc'!O97),ISNUMBER('SW OpInc'!K97),ISNUMBER('SW Rev'!O97),ISNUMBER('SW Rev'!K97),ABS('SW Rev'!O97-'SW Rev'!K97)&gt;=1),('SW OpInc'!O97-'SW OpInc'!K97)/('SW Rev'!O97-'SW Rev'!K97),""),"")</f>
        <v/>
      </c>
      <c r="L914" s="37">
        <f>IFERROR(IF(AND(ISNUMBER('SW OpInc'!P97),ISNUMBER('SW OpInc'!L97),ISNUMBER('SW Rev'!P97),ISNUMBER('SW Rev'!L97),ABS('SW Rev'!P97-'SW Rev'!L97)&gt;=1),('SW OpInc'!P97-'SW OpInc'!L97)/('SW Rev'!P97-'SW Rev'!L97),""),"")</f>
        <v/>
      </c>
      <c r="M914" s="38">
        <f>IFERROR(IF(AND(ISNUMBER('SW OpInc'!Q97),ISNUMBER('SW OpInc'!M97),ISNUMBER('SW Rev'!Q97),ISNUMBER('SW Rev'!M97),ABS('SW Rev'!Q97-'SW Rev'!M97)&gt;=1),('SW OpInc'!Q97-'SW OpInc'!M97)/('SW Rev'!Q97-'SW Rev'!M97),""),"")</f>
        <v/>
      </c>
      <c r="N914" s="38">
        <f>IFERROR(IF(AND(ISNUMBER('SW OpInc'!R97),ISNUMBER('SW OpInc'!N97),ISNUMBER('SW Rev'!R97),ISNUMBER('SW Rev'!N97),ABS('SW Rev'!R97-'SW Rev'!N97)&gt;=1),('SW OpInc'!R97-'SW OpInc'!N97)/('SW Rev'!R97-'SW Rev'!N97),""),"")</f>
        <v/>
      </c>
    </row>
    <row r="915">
      <c r="A915" s="19">
        <f>'SW Rev'!$A98</f>
        <v/>
      </c>
      <c r="B915" s="19">
        <f>'SW Rev'!$B98</f>
        <v/>
      </c>
      <c r="C915" s="37">
        <f>IFERROR(IF(AND(ISNUMBER('SW OpInc'!G98),ISNUMBER('SW OpInc'!C98),ISNUMBER('SW Rev'!G98),ISNUMBER('SW Rev'!C98),ABS('SW Rev'!G98-'SW Rev'!C98)&gt;=1),('SW OpInc'!G98-'SW OpInc'!C98)/('SW Rev'!G98-'SW Rev'!C98),""),"")</f>
        <v/>
      </c>
      <c r="D915" s="37">
        <f>IFERROR(IF(AND(ISNUMBER('SW OpInc'!H98),ISNUMBER('SW OpInc'!D98),ISNUMBER('SW Rev'!H98),ISNUMBER('SW Rev'!D98),ABS('SW Rev'!H98-'SW Rev'!D98)&gt;=1),('SW OpInc'!H98-'SW OpInc'!D98)/('SW Rev'!H98-'SW Rev'!D98),""),"")</f>
        <v/>
      </c>
      <c r="E915" s="37">
        <f>IFERROR(IF(AND(ISNUMBER('SW OpInc'!I98),ISNUMBER('SW OpInc'!E98),ISNUMBER('SW Rev'!I98),ISNUMBER('SW Rev'!E98),ABS('SW Rev'!I98-'SW Rev'!E98)&gt;=1),('SW OpInc'!I98-'SW OpInc'!E98)/('SW Rev'!I98-'SW Rev'!E98),""),"")</f>
        <v/>
      </c>
      <c r="F915" s="37">
        <f>IFERROR(IF(AND(ISNUMBER('SW OpInc'!J98),ISNUMBER('SW OpInc'!F98),ISNUMBER('SW Rev'!J98),ISNUMBER('SW Rev'!F98),ABS('SW Rev'!J98-'SW Rev'!F98)&gt;=1),('SW OpInc'!J98-'SW OpInc'!F98)/('SW Rev'!J98-'SW Rev'!F98),""),"")</f>
        <v/>
      </c>
      <c r="G915" s="37">
        <f>IFERROR(IF(AND(ISNUMBER('SW OpInc'!K98),ISNUMBER('SW OpInc'!G98),ISNUMBER('SW Rev'!K98),ISNUMBER('SW Rev'!G98),ABS('SW Rev'!K98-'SW Rev'!G98)&gt;=1),('SW OpInc'!K98-'SW OpInc'!G98)/('SW Rev'!K98-'SW Rev'!G98),""),"")</f>
        <v/>
      </c>
      <c r="H915" s="37">
        <f>IFERROR(IF(AND(ISNUMBER('SW OpInc'!L98),ISNUMBER('SW OpInc'!H98),ISNUMBER('SW Rev'!L98),ISNUMBER('SW Rev'!H98),ABS('SW Rev'!L98-'SW Rev'!H98)&gt;=1),('SW OpInc'!L98-'SW OpInc'!H98)/('SW Rev'!L98-'SW Rev'!H98),""),"")</f>
        <v/>
      </c>
      <c r="I915" s="37">
        <f>IFERROR(IF(AND(ISNUMBER('SW OpInc'!M98),ISNUMBER('SW OpInc'!I98),ISNUMBER('SW Rev'!M98),ISNUMBER('SW Rev'!I98),ABS('SW Rev'!M98-'SW Rev'!I98)&gt;=1),('SW OpInc'!M98-'SW OpInc'!I98)/('SW Rev'!M98-'SW Rev'!I98),""),"")</f>
        <v/>
      </c>
      <c r="J915" s="37">
        <f>IFERROR(IF(AND(ISNUMBER('SW OpInc'!N98),ISNUMBER('SW OpInc'!J98),ISNUMBER('SW Rev'!N98),ISNUMBER('SW Rev'!J98),ABS('SW Rev'!N98-'SW Rev'!J98)&gt;=1),('SW OpInc'!N98-'SW OpInc'!J98)/('SW Rev'!N98-'SW Rev'!J98),""),"")</f>
        <v/>
      </c>
      <c r="K915" s="37">
        <f>IFERROR(IF(AND(ISNUMBER('SW OpInc'!O98),ISNUMBER('SW OpInc'!K98),ISNUMBER('SW Rev'!O98),ISNUMBER('SW Rev'!K98),ABS('SW Rev'!O98-'SW Rev'!K98)&gt;=1),('SW OpInc'!O98-'SW OpInc'!K98)/('SW Rev'!O98-'SW Rev'!K98),""),"")</f>
        <v/>
      </c>
      <c r="L915" s="37">
        <f>IFERROR(IF(AND(ISNUMBER('SW OpInc'!P98),ISNUMBER('SW OpInc'!L98),ISNUMBER('SW Rev'!P98),ISNUMBER('SW Rev'!L98),ABS('SW Rev'!P98-'SW Rev'!L98)&gt;=1),('SW OpInc'!P98-'SW OpInc'!L98)/('SW Rev'!P98-'SW Rev'!L98),""),"")</f>
        <v/>
      </c>
      <c r="M915" s="38">
        <f>IFERROR(IF(AND(ISNUMBER('SW OpInc'!Q98),ISNUMBER('SW OpInc'!M98),ISNUMBER('SW Rev'!Q98),ISNUMBER('SW Rev'!M98),ABS('SW Rev'!Q98-'SW Rev'!M98)&gt;=1),('SW OpInc'!Q98-'SW OpInc'!M98)/('SW Rev'!Q98-'SW Rev'!M98),""),"")</f>
        <v/>
      </c>
      <c r="N915" s="38">
        <f>IFERROR(IF(AND(ISNUMBER('SW OpInc'!R98),ISNUMBER('SW OpInc'!N98),ISNUMBER('SW Rev'!R98),ISNUMBER('SW Rev'!N98),ABS('SW Rev'!R98-'SW Rev'!N98)&gt;=1),('SW OpInc'!R98-'SW OpInc'!N98)/('SW Rev'!R98-'SW Rev'!N98),""),"")</f>
        <v/>
      </c>
    </row>
    <row r="916">
      <c r="A916" s="19">
        <f>'SW Rev'!$A99</f>
        <v/>
      </c>
      <c r="B916" s="19">
        <f>'SW Rev'!$B99</f>
        <v/>
      </c>
      <c r="C916" s="37">
        <f>IFERROR(IF(AND(ISNUMBER('SW OpInc'!G99),ISNUMBER('SW OpInc'!C99),ISNUMBER('SW Rev'!G99),ISNUMBER('SW Rev'!C99),ABS('SW Rev'!G99-'SW Rev'!C99)&gt;=1),('SW OpInc'!G99-'SW OpInc'!C99)/('SW Rev'!G99-'SW Rev'!C99),""),"")</f>
        <v/>
      </c>
      <c r="D916" s="37">
        <f>IFERROR(IF(AND(ISNUMBER('SW OpInc'!H99),ISNUMBER('SW OpInc'!D99),ISNUMBER('SW Rev'!H99),ISNUMBER('SW Rev'!D99),ABS('SW Rev'!H99-'SW Rev'!D99)&gt;=1),('SW OpInc'!H99-'SW OpInc'!D99)/('SW Rev'!H99-'SW Rev'!D99),""),"")</f>
        <v/>
      </c>
      <c r="E916" s="37">
        <f>IFERROR(IF(AND(ISNUMBER('SW OpInc'!I99),ISNUMBER('SW OpInc'!E99),ISNUMBER('SW Rev'!I99),ISNUMBER('SW Rev'!E99),ABS('SW Rev'!I99-'SW Rev'!E99)&gt;=1),('SW OpInc'!I99-'SW OpInc'!E99)/('SW Rev'!I99-'SW Rev'!E99),""),"")</f>
        <v/>
      </c>
      <c r="F916" s="37">
        <f>IFERROR(IF(AND(ISNUMBER('SW OpInc'!J99),ISNUMBER('SW OpInc'!F99),ISNUMBER('SW Rev'!J99),ISNUMBER('SW Rev'!F99),ABS('SW Rev'!J99-'SW Rev'!F99)&gt;=1),('SW OpInc'!J99-'SW OpInc'!F99)/('SW Rev'!J99-'SW Rev'!F99),""),"")</f>
        <v/>
      </c>
      <c r="G916" s="37">
        <f>IFERROR(IF(AND(ISNUMBER('SW OpInc'!K99),ISNUMBER('SW OpInc'!G99),ISNUMBER('SW Rev'!K99),ISNUMBER('SW Rev'!G99),ABS('SW Rev'!K99-'SW Rev'!G99)&gt;=1),('SW OpInc'!K99-'SW OpInc'!G99)/('SW Rev'!K99-'SW Rev'!G99),""),"")</f>
        <v/>
      </c>
      <c r="H916" s="37">
        <f>IFERROR(IF(AND(ISNUMBER('SW OpInc'!L99),ISNUMBER('SW OpInc'!H99),ISNUMBER('SW Rev'!L99),ISNUMBER('SW Rev'!H99),ABS('SW Rev'!L99-'SW Rev'!H99)&gt;=1),('SW OpInc'!L99-'SW OpInc'!H99)/('SW Rev'!L99-'SW Rev'!H99),""),"")</f>
        <v/>
      </c>
      <c r="I916" s="37">
        <f>IFERROR(IF(AND(ISNUMBER('SW OpInc'!M99),ISNUMBER('SW OpInc'!I99),ISNUMBER('SW Rev'!M99),ISNUMBER('SW Rev'!I99),ABS('SW Rev'!M99-'SW Rev'!I99)&gt;=1),('SW OpInc'!M99-'SW OpInc'!I99)/('SW Rev'!M99-'SW Rev'!I99),""),"")</f>
        <v/>
      </c>
      <c r="J916" s="37">
        <f>IFERROR(IF(AND(ISNUMBER('SW OpInc'!N99),ISNUMBER('SW OpInc'!J99),ISNUMBER('SW Rev'!N99),ISNUMBER('SW Rev'!J99),ABS('SW Rev'!N99-'SW Rev'!J99)&gt;=1),('SW OpInc'!N99-'SW OpInc'!J99)/('SW Rev'!N99-'SW Rev'!J99),""),"")</f>
        <v/>
      </c>
      <c r="K916" s="37">
        <f>IFERROR(IF(AND(ISNUMBER('SW OpInc'!O99),ISNUMBER('SW OpInc'!K99),ISNUMBER('SW Rev'!O99),ISNUMBER('SW Rev'!K99),ABS('SW Rev'!O99-'SW Rev'!K99)&gt;=1),('SW OpInc'!O99-'SW OpInc'!K99)/('SW Rev'!O99-'SW Rev'!K99),""),"")</f>
        <v/>
      </c>
      <c r="L916" s="37">
        <f>IFERROR(IF(AND(ISNUMBER('SW OpInc'!P99),ISNUMBER('SW OpInc'!L99),ISNUMBER('SW Rev'!P99),ISNUMBER('SW Rev'!L99),ABS('SW Rev'!P99-'SW Rev'!L99)&gt;=1),('SW OpInc'!P99-'SW OpInc'!L99)/('SW Rev'!P99-'SW Rev'!L99),""),"")</f>
        <v/>
      </c>
      <c r="M916" s="38">
        <f>IFERROR(IF(AND(ISNUMBER('SW OpInc'!Q99),ISNUMBER('SW OpInc'!M99),ISNUMBER('SW Rev'!Q99),ISNUMBER('SW Rev'!M99),ABS('SW Rev'!Q99-'SW Rev'!M99)&gt;=1),('SW OpInc'!Q99-'SW OpInc'!M99)/('SW Rev'!Q99-'SW Rev'!M99),""),"")</f>
        <v/>
      </c>
      <c r="N916" s="38">
        <f>IFERROR(IF(AND(ISNUMBER('SW OpInc'!R99),ISNUMBER('SW OpInc'!N99),ISNUMBER('SW Rev'!R99),ISNUMBER('SW Rev'!N99),ABS('SW Rev'!R99-'SW Rev'!N99)&gt;=1),('SW OpInc'!R99-'SW OpInc'!N99)/('SW Rev'!R99-'SW Rev'!N99),""),"")</f>
        <v/>
      </c>
    </row>
    <row r="917">
      <c r="A917" s="19">
        <f>'SW Rev'!$A100</f>
        <v/>
      </c>
      <c r="B917" s="19">
        <f>'SW Rev'!$B100</f>
        <v/>
      </c>
      <c r="C917" s="37">
        <f>IFERROR(IF(AND(ISNUMBER('SW OpInc'!G100),ISNUMBER('SW OpInc'!C100),ISNUMBER('SW Rev'!G100),ISNUMBER('SW Rev'!C100),ABS('SW Rev'!G100-'SW Rev'!C100)&gt;=1),('SW OpInc'!G100-'SW OpInc'!C100)/('SW Rev'!G100-'SW Rev'!C100),""),"")</f>
        <v/>
      </c>
      <c r="D917" s="37">
        <f>IFERROR(IF(AND(ISNUMBER('SW OpInc'!H100),ISNUMBER('SW OpInc'!D100),ISNUMBER('SW Rev'!H100),ISNUMBER('SW Rev'!D100),ABS('SW Rev'!H100-'SW Rev'!D100)&gt;=1),('SW OpInc'!H100-'SW OpInc'!D100)/('SW Rev'!H100-'SW Rev'!D100),""),"")</f>
        <v/>
      </c>
      <c r="E917" s="37">
        <f>IFERROR(IF(AND(ISNUMBER('SW OpInc'!I100),ISNUMBER('SW OpInc'!E100),ISNUMBER('SW Rev'!I100),ISNUMBER('SW Rev'!E100),ABS('SW Rev'!I100-'SW Rev'!E100)&gt;=1),('SW OpInc'!I100-'SW OpInc'!E100)/('SW Rev'!I100-'SW Rev'!E100),""),"")</f>
        <v/>
      </c>
      <c r="F917" s="37">
        <f>IFERROR(IF(AND(ISNUMBER('SW OpInc'!J100),ISNUMBER('SW OpInc'!F100),ISNUMBER('SW Rev'!J100),ISNUMBER('SW Rev'!F100),ABS('SW Rev'!J100-'SW Rev'!F100)&gt;=1),('SW OpInc'!J100-'SW OpInc'!F100)/('SW Rev'!J100-'SW Rev'!F100),""),"")</f>
        <v/>
      </c>
      <c r="G917" s="37">
        <f>IFERROR(IF(AND(ISNUMBER('SW OpInc'!K100),ISNUMBER('SW OpInc'!G100),ISNUMBER('SW Rev'!K100),ISNUMBER('SW Rev'!G100),ABS('SW Rev'!K100-'SW Rev'!G100)&gt;=1),('SW OpInc'!K100-'SW OpInc'!G100)/('SW Rev'!K100-'SW Rev'!G100),""),"")</f>
        <v/>
      </c>
      <c r="H917" s="37">
        <f>IFERROR(IF(AND(ISNUMBER('SW OpInc'!L100),ISNUMBER('SW OpInc'!H100),ISNUMBER('SW Rev'!L100),ISNUMBER('SW Rev'!H100),ABS('SW Rev'!L100-'SW Rev'!H100)&gt;=1),('SW OpInc'!L100-'SW OpInc'!H100)/('SW Rev'!L100-'SW Rev'!H100),""),"")</f>
        <v/>
      </c>
      <c r="I917" s="37">
        <f>IFERROR(IF(AND(ISNUMBER('SW OpInc'!M100),ISNUMBER('SW OpInc'!I100),ISNUMBER('SW Rev'!M100),ISNUMBER('SW Rev'!I100),ABS('SW Rev'!M100-'SW Rev'!I100)&gt;=1),('SW OpInc'!M100-'SW OpInc'!I100)/('SW Rev'!M100-'SW Rev'!I100),""),"")</f>
        <v/>
      </c>
      <c r="J917" s="37">
        <f>IFERROR(IF(AND(ISNUMBER('SW OpInc'!N100),ISNUMBER('SW OpInc'!J100),ISNUMBER('SW Rev'!N100),ISNUMBER('SW Rev'!J100),ABS('SW Rev'!N100-'SW Rev'!J100)&gt;=1),('SW OpInc'!N100-'SW OpInc'!J100)/('SW Rev'!N100-'SW Rev'!J100),""),"")</f>
        <v/>
      </c>
      <c r="K917" s="37">
        <f>IFERROR(IF(AND(ISNUMBER('SW OpInc'!O100),ISNUMBER('SW OpInc'!K100),ISNUMBER('SW Rev'!O100),ISNUMBER('SW Rev'!K100),ABS('SW Rev'!O100-'SW Rev'!K100)&gt;=1),('SW OpInc'!O100-'SW OpInc'!K100)/('SW Rev'!O100-'SW Rev'!K100),""),"")</f>
        <v/>
      </c>
      <c r="L917" s="37">
        <f>IFERROR(IF(AND(ISNUMBER('SW OpInc'!P100),ISNUMBER('SW OpInc'!L100),ISNUMBER('SW Rev'!P100),ISNUMBER('SW Rev'!L100),ABS('SW Rev'!P100-'SW Rev'!L100)&gt;=1),('SW OpInc'!P100-'SW OpInc'!L100)/('SW Rev'!P100-'SW Rev'!L100),""),"")</f>
        <v/>
      </c>
      <c r="M917" s="38">
        <f>IFERROR(IF(AND(ISNUMBER('SW OpInc'!Q100),ISNUMBER('SW OpInc'!M100),ISNUMBER('SW Rev'!Q100),ISNUMBER('SW Rev'!M100),ABS('SW Rev'!Q100-'SW Rev'!M100)&gt;=1),('SW OpInc'!Q100-'SW OpInc'!M100)/('SW Rev'!Q100-'SW Rev'!M100),""),"")</f>
        <v/>
      </c>
      <c r="N917" s="38">
        <f>IFERROR(IF(AND(ISNUMBER('SW OpInc'!R100),ISNUMBER('SW OpInc'!N100),ISNUMBER('SW Rev'!R100),ISNUMBER('SW Rev'!N100),ABS('SW Rev'!R100-'SW Rev'!N100)&gt;=1),('SW OpInc'!R100-'SW OpInc'!N100)/('SW Rev'!R100-'SW Rev'!N100),""),"")</f>
        <v/>
      </c>
    </row>
    <row r="918">
      <c r="A918" s="19">
        <f>'SW Rev'!$A101</f>
        <v/>
      </c>
      <c r="B918" s="19">
        <f>'SW Rev'!$B101</f>
        <v/>
      </c>
      <c r="C918" s="37">
        <f>IFERROR(IF(AND(ISNUMBER('SW OpInc'!G101),ISNUMBER('SW OpInc'!C101),ISNUMBER('SW Rev'!G101),ISNUMBER('SW Rev'!C101),ABS('SW Rev'!G101-'SW Rev'!C101)&gt;=1),('SW OpInc'!G101-'SW OpInc'!C101)/('SW Rev'!G101-'SW Rev'!C101),""),"")</f>
        <v/>
      </c>
      <c r="D918" s="37">
        <f>IFERROR(IF(AND(ISNUMBER('SW OpInc'!H101),ISNUMBER('SW OpInc'!D101),ISNUMBER('SW Rev'!H101),ISNUMBER('SW Rev'!D101),ABS('SW Rev'!H101-'SW Rev'!D101)&gt;=1),('SW OpInc'!H101-'SW OpInc'!D101)/('SW Rev'!H101-'SW Rev'!D101),""),"")</f>
        <v/>
      </c>
      <c r="E918" s="37">
        <f>IFERROR(IF(AND(ISNUMBER('SW OpInc'!I101),ISNUMBER('SW OpInc'!E101),ISNUMBER('SW Rev'!I101),ISNUMBER('SW Rev'!E101),ABS('SW Rev'!I101-'SW Rev'!E101)&gt;=1),('SW OpInc'!I101-'SW OpInc'!E101)/('SW Rev'!I101-'SW Rev'!E101),""),"")</f>
        <v/>
      </c>
      <c r="F918" s="37">
        <f>IFERROR(IF(AND(ISNUMBER('SW OpInc'!J101),ISNUMBER('SW OpInc'!F101),ISNUMBER('SW Rev'!J101),ISNUMBER('SW Rev'!F101),ABS('SW Rev'!J101-'SW Rev'!F101)&gt;=1),('SW OpInc'!J101-'SW OpInc'!F101)/('SW Rev'!J101-'SW Rev'!F101),""),"")</f>
        <v/>
      </c>
      <c r="G918" s="37">
        <f>IFERROR(IF(AND(ISNUMBER('SW OpInc'!K101),ISNUMBER('SW OpInc'!G101),ISNUMBER('SW Rev'!K101),ISNUMBER('SW Rev'!G101),ABS('SW Rev'!K101-'SW Rev'!G101)&gt;=1),('SW OpInc'!K101-'SW OpInc'!G101)/('SW Rev'!K101-'SW Rev'!G101),""),"")</f>
        <v/>
      </c>
      <c r="H918" s="37">
        <f>IFERROR(IF(AND(ISNUMBER('SW OpInc'!L101),ISNUMBER('SW OpInc'!H101),ISNUMBER('SW Rev'!L101),ISNUMBER('SW Rev'!H101),ABS('SW Rev'!L101-'SW Rev'!H101)&gt;=1),('SW OpInc'!L101-'SW OpInc'!H101)/('SW Rev'!L101-'SW Rev'!H101),""),"")</f>
        <v/>
      </c>
      <c r="I918" s="37">
        <f>IFERROR(IF(AND(ISNUMBER('SW OpInc'!M101),ISNUMBER('SW OpInc'!I101),ISNUMBER('SW Rev'!M101),ISNUMBER('SW Rev'!I101),ABS('SW Rev'!M101-'SW Rev'!I101)&gt;=1),('SW OpInc'!M101-'SW OpInc'!I101)/('SW Rev'!M101-'SW Rev'!I101),""),"")</f>
        <v/>
      </c>
      <c r="J918" s="37">
        <f>IFERROR(IF(AND(ISNUMBER('SW OpInc'!N101),ISNUMBER('SW OpInc'!J101),ISNUMBER('SW Rev'!N101),ISNUMBER('SW Rev'!J101),ABS('SW Rev'!N101-'SW Rev'!J101)&gt;=1),('SW OpInc'!N101-'SW OpInc'!J101)/('SW Rev'!N101-'SW Rev'!J101),""),"")</f>
        <v/>
      </c>
      <c r="K918" s="37">
        <f>IFERROR(IF(AND(ISNUMBER('SW OpInc'!O101),ISNUMBER('SW OpInc'!K101),ISNUMBER('SW Rev'!O101),ISNUMBER('SW Rev'!K101),ABS('SW Rev'!O101-'SW Rev'!K101)&gt;=1),('SW OpInc'!O101-'SW OpInc'!K101)/('SW Rev'!O101-'SW Rev'!K101),""),"")</f>
        <v/>
      </c>
      <c r="L918" s="37">
        <f>IFERROR(IF(AND(ISNUMBER('SW OpInc'!P101),ISNUMBER('SW OpInc'!L101),ISNUMBER('SW Rev'!P101),ISNUMBER('SW Rev'!L101),ABS('SW Rev'!P101-'SW Rev'!L101)&gt;=1),('SW OpInc'!P101-'SW OpInc'!L101)/('SW Rev'!P101-'SW Rev'!L101),""),"")</f>
        <v/>
      </c>
      <c r="M918" s="38">
        <f>IFERROR(IF(AND(ISNUMBER('SW OpInc'!Q101),ISNUMBER('SW OpInc'!M101),ISNUMBER('SW Rev'!Q101),ISNUMBER('SW Rev'!M101),ABS('SW Rev'!Q101-'SW Rev'!M101)&gt;=1),('SW OpInc'!Q101-'SW OpInc'!M101)/('SW Rev'!Q101-'SW Rev'!M101),""),"")</f>
        <v/>
      </c>
      <c r="N918" s="38">
        <f>IFERROR(IF(AND(ISNUMBER('SW OpInc'!R101),ISNUMBER('SW OpInc'!N101),ISNUMBER('SW Rev'!R101),ISNUMBER('SW Rev'!N101),ABS('SW Rev'!R101-'SW Rev'!N101)&gt;=1),('SW OpInc'!R101-'SW OpInc'!N101)/('SW Rev'!R101-'SW Rev'!N101),""),"")</f>
        <v/>
      </c>
    </row>
    <row r="919">
      <c r="A919" s="19">
        <f>'SW Rev'!$A102</f>
        <v/>
      </c>
      <c r="B919" s="19">
        <f>'SW Rev'!$B102</f>
        <v/>
      </c>
      <c r="C919" s="37">
        <f>IFERROR(IF(AND(ISNUMBER('SW OpInc'!G102),ISNUMBER('SW OpInc'!C102),ISNUMBER('SW Rev'!G102),ISNUMBER('SW Rev'!C102),ABS('SW Rev'!G102-'SW Rev'!C102)&gt;=1),('SW OpInc'!G102-'SW OpInc'!C102)/('SW Rev'!G102-'SW Rev'!C102),""),"")</f>
        <v/>
      </c>
      <c r="D919" s="37">
        <f>IFERROR(IF(AND(ISNUMBER('SW OpInc'!H102),ISNUMBER('SW OpInc'!D102),ISNUMBER('SW Rev'!H102),ISNUMBER('SW Rev'!D102),ABS('SW Rev'!H102-'SW Rev'!D102)&gt;=1),('SW OpInc'!H102-'SW OpInc'!D102)/('SW Rev'!H102-'SW Rev'!D102),""),"")</f>
        <v/>
      </c>
      <c r="E919" s="37">
        <f>IFERROR(IF(AND(ISNUMBER('SW OpInc'!I102),ISNUMBER('SW OpInc'!E102),ISNUMBER('SW Rev'!I102),ISNUMBER('SW Rev'!E102),ABS('SW Rev'!I102-'SW Rev'!E102)&gt;=1),('SW OpInc'!I102-'SW OpInc'!E102)/('SW Rev'!I102-'SW Rev'!E102),""),"")</f>
        <v/>
      </c>
      <c r="F919" s="37">
        <f>IFERROR(IF(AND(ISNUMBER('SW OpInc'!J102),ISNUMBER('SW OpInc'!F102),ISNUMBER('SW Rev'!J102),ISNUMBER('SW Rev'!F102),ABS('SW Rev'!J102-'SW Rev'!F102)&gt;=1),('SW OpInc'!J102-'SW OpInc'!F102)/('SW Rev'!J102-'SW Rev'!F102),""),"")</f>
        <v/>
      </c>
      <c r="G919" s="37">
        <f>IFERROR(IF(AND(ISNUMBER('SW OpInc'!K102),ISNUMBER('SW OpInc'!G102),ISNUMBER('SW Rev'!K102),ISNUMBER('SW Rev'!G102),ABS('SW Rev'!K102-'SW Rev'!G102)&gt;=1),('SW OpInc'!K102-'SW OpInc'!G102)/('SW Rev'!K102-'SW Rev'!G102),""),"")</f>
        <v/>
      </c>
      <c r="H919" s="37">
        <f>IFERROR(IF(AND(ISNUMBER('SW OpInc'!L102),ISNUMBER('SW OpInc'!H102),ISNUMBER('SW Rev'!L102),ISNUMBER('SW Rev'!H102),ABS('SW Rev'!L102-'SW Rev'!H102)&gt;=1),('SW OpInc'!L102-'SW OpInc'!H102)/('SW Rev'!L102-'SW Rev'!H102),""),"")</f>
        <v/>
      </c>
      <c r="I919" s="37">
        <f>IFERROR(IF(AND(ISNUMBER('SW OpInc'!M102),ISNUMBER('SW OpInc'!I102),ISNUMBER('SW Rev'!M102),ISNUMBER('SW Rev'!I102),ABS('SW Rev'!M102-'SW Rev'!I102)&gt;=1),('SW OpInc'!M102-'SW OpInc'!I102)/('SW Rev'!M102-'SW Rev'!I102),""),"")</f>
        <v/>
      </c>
      <c r="J919" s="37">
        <f>IFERROR(IF(AND(ISNUMBER('SW OpInc'!N102),ISNUMBER('SW OpInc'!J102),ISNUMBER('SW Rev'!N102),ISNUMBER('SW Rev'!J102),ABS('SW Rev'!N102-'SW Rev'!J102)&gt;=1),('SW OpInc'!N102-'SW OpInc'!J102)/('SW Rev'!N102-'SW Rev'!J102),""),"")</f>
        <v/>
      </c>
      <c r="K919" s="37">
        <f>IFERROR(IF(AND(ISNUMBER('SW OpInc'!O102),ISNUMBER('SW OpInc'!K102),ISNUMBER('SW Rev'!O102),ISNUMBER('SW Rev'!K102),ABS('SW Rev'!O102-'SW Rev'!K102)&gt;=1),('SW OpInc'!O102-'SW OpInc'!K102)/('SW Rev'!O102-'SW Rev'!K102),""),"")</f>
        <v/>
      </c>
      <c r="L919" s="37">
        <f>IFERROR(IF(AND(ISNUMBER('SW OpInc'!P102),ISNUMBER('SW OpInc'!L102),ISNUMBER('SW Rev'!P102),ISNUMBER('SW Rev'!L102),ABS('SW Rev'!P102-'SW Rev'!L102)&gt;=1),('SW OpInc'!P102-'SW OpInc'!L102)/('SW Rev'!P102-'SW Rev'!L102),""),"")</f>
        <v/>
      </c>
      <c r="M919" s="38">
        <f>IFERROR(IF(AND(ISNUMBER('SW OpInc'!Q102),ISNUMBER('SW OpInc'!M102),ISNUMBER('SW Rev'!Q102),ISNUMBER('SW Rev'!M102),ABS('SW Rev'!Q102-'SW Rev'!M102)&gt;=1),('SW OpInc'!Q102-'SW OpInc'!M102)/('SW Rev'!Q102-'SW Rev'!M102),""),"")</f>
        <v/>
      </c>
      <c r="N919" s="38">
        <f>IFERROR(IF(AND(ISNUMBER('SW OpInc'!R102),ISNUMBER('SW OpInc'!N102),ISNUMBER('SW Rev'!R102),ISNUMBER('SW Rev'!N102),ABS('SW Rev'!R102-'SW Rev'!N102)&gt;=1),('SW OpInc'!R102-'SW OpInc'!N102)/('SW Rev'!R102-'SW Rev'!N102),""),"")</f>
        <v/>
      </c>
    </row>
    <row r="920">
      <c r="A920" s="19">
        <f>'SW Rev'!$A103</f>
        <v/>
      </c>
      <c r="B920" s="19">
        <f>'SW Rev'!$B103</f>
        <v/>
      </c>
      <c r="C920" s="37">
        <f>IFERROR(IF(AND(ISNUMBER('SW OpInc'!G103),ISNUMBER('SW OpInc'!C103),ISNUMBER('SW Rev'!G103),ISNUMBER('SW Rev'!C103),ABS('SW Rev'!G103-'SW Rev'!C103)&gt;=1),('SW OpInc'!G103-'SW OpInc'!C103)/('SW Rev'!G103-'SW Rev'!C103),""),"")</f>
        <v/>
      </c>
      <c r="D920" s="37">
        <f>IFERROR(IF(AND(ISNUMBER('SW OpInc'!H103),ISNUMBER('SW OpInc'!D103),ISNUMBER('SW Rev'!H103),ISNUMBER('SW Rev'!D103),ABS('SW Rev'!H103-'SW Rev'!D103)&gt;=1),('SW OpInc'!H103-'SW OpInc'!D103)/('SW Rev'!H103-'SW Rev'!D103),""),"")</f>
        <v/>
      </c>
      <c r="E920" s="37">
        <f>IFERROR(IF(AND(ISNUMBER('SW OpInc'!I103),ISNUMBER('SW OpInc'!E103),ISNUMBER('SW Rev'!I103),ISNUMBER('SW Rev'!E103),ABS('SW Rev'!I103-'SW Rev'!E103)&gt;=1),('SW OpInc'!I103-'SW OpInc'!E103)/('SW Rev'!I103-'SW Rev'!E103),""),"")</f>
        <v/>
      </c>
      <c r="F920" s="37">
        <f>IFERROR(IF(AND(ISNUMBER('SW OpInc'!J103),ISNUMBER('SW OpInc'!F103),ISNUMBER('SW Rev'!J103),ISNUMBER('SW Rev'!F103),ABS('SW Rev'!J103-'SW Rev'!F103)&gt;=1),('SW OpInc'!J103-'SW OpInc'!F103)/('SW Rev'!J103-'SW Rev'!F103),""),"")</f>
        <v/>
      </c>
      <c r="G920" s="37">
        <f>IFERROR(IF(AND(ISNUMBER('SW OpInc'!K103),ISNUMBER('SW OpInc'!G103),ISNUMBER('SW Rev'!K103),ISNUMBER('SW Rev'!G103),ABS('SW Rev'!K103-'SW Rev'!G103)&gt;=1),('SW OpInc'!K103-'SW OpInc'!G103)/('SW Rev'!K103-'SW Rev'!G103),""),"")</f>
        <v/>
      </c>
      <c r="H920" s="37">
        <f>IFERROR(IF(AND(ISNUMBER('SW OpInc'!L103),ISNUMBER('SW OpInc'!H103),ISNUMBER('SW Rev'!L103),ISNUMBER('SW Rev'!H103),ABS('SW Rev'!L103-'SW Rev'!H103)&gt;=1),('SW OpInc'!L103-'SW OpInc'!H103)/('SW Rev'!L103-'SW Rev'!H103),""),"")</f>
        <v/>
      </c>
      <c r="I920" s="37">
        <f>IFERROR(IF(AND(ISNUMBER('SW OpInc'!M103),ISNUMBER('SW OpInc'!I103),ISNUMBER('SW Rev'!M103),ISNUMBER('SW Rev'!I103),ABS('SW Rev'!M103-'SW Rev'!I103)&gt;=1),('SW OpInc'!M103-'SW OpInc'!I103)/('SW Rev'!M103-'SW Rev'!I103),""),"")</f>
        <v/>
      </c>
      <c r="J920" s="37">
        <f>IFERROR(IF(AND(ISNUMBER('SW OpInc'!N103),ISNUMBER('SW OpInc'!J103),ISNUMBER('SW Rev'!N103),ISNUMBER('SW Rev'!J103),ABS('SW Rev'!N103-'SW Rev'!J103)&gt;=1),('SW OpInc'!N103-'SW OpInc'!J103)/('SW Rev'!N103-'SW Rev'!J103),""),"")</f>
        <v/>
      </c>
      <c r="K920" s="37">
        <f>IFERROR(IF(AND(ISNUMBER('SW OpInc'!O103),ISNUMBER('SW OpInc'!K103),ISNUMBER('SW Rev'!O103),ISNUMBER('SW Rev'!K103),ABS('SW Rev'!O103-'SW Rev'!K103)&gt;=1),('SW OpInc'!O103-'SW OpInc'!K103)/('SW Rev'!O103-'SW Rev'!K103),""),"")</f>
        <v/>
      </c>
      <c r="L920" s="37">
        <f>IFERROR(IF(AND(ISNUMBER('SW OpInc'!P103),ISNUMBER('SW OpInc'!L103),ISNUMBER('SW Rev'!P103),ISNUMBER('SW Rev'!L103),ABS('SW Rev'!P103-'SW Rev'!L103)&gt;=1),('SW OpInc'!P103-'SW OpInc'!L103)/('SW Rev'!P103-'SW Rev'!L103),""),"")</f>
        <v/>
      </c>
      <c r="M920" s="38">
        <f>IFERROR(IF(AND(ISNUMBER('SW OpInc'!Q103),ISNUMBER('SW OpInc'!M103),ISNUMBER('SW Rev'!Q103),ISNUMBER('SW Rev'!M103),ABS('SW Rev'!Q103-'SW Rev'!M103)&gt;=1),('SW OpInc'!Q103-'SW OpInc'!M103)/('SW Rev'!Q103-'SW Rev'!M103),""),"")</f>
        <v/>
      </c>
      <c r="N920" s="38">
        <f>IFERROR(IF(AND(ISNUMBER('SW OpInc'!R103),ISNUMBER('SW OpInc'!N103),ISNUMBER('SW Rev'!R103),ISNUMBER('SW Rev'!N103),ABS('SW Rev'!R103-'SW Rev'!N103)&gt;=1),('SW OpInc'!R103-'SW OpInc'!N103)/('SW Rev'!R103-'SW Rev'!N103),""),"")</f>
        <v/>
      </c>
    </row>
    <row r="922">
      <c r="A922" s="49" t="inlineStr">
        <is>
          <t>FCF margin, LTM %</t>
        </is>
      </c>
      <c r="B922" s="50" t="n"/>
      <c r="C922" s="50" t="n"/>
      <c r="D922" s="50" t="n"/>
      <c r="E922" s="50" t="n"/>
      <c r="F922" s="50" t="n"/>
      <c r="G922" s="50" t="n"/>
      <c r="H922" s="50" t="n"/>
      <c r="I922" s="50" t="n"/>
      <c r="J922" s="50" t="n"/>
      <c r="K922" s="50" t="n"/>
      <c r="L922" s="50" t="n"/>
      <c r="M922" s="50" t="n"/>
      <c r="N922" s="50" t="n"/>
    </row>
    <row r="923" ht="28" customHeight="1">
      <c r="A923" s="8" t="inlineStr">
        <is>
          <t>Ticker</t>
        </is>
      </c>
      <c r="B923" s="8" t="inlineStr">
        <is>
          <t>Latest Rpt Qtr</t>
        </is>
      </c>
      <c r="C923" s="8" t="inlineStr">
        <is>
          <t>FPO -9</t>
        </is>
      </c>
      <c r="D923" s="8" t="inlineStr">
        <is>
          <t>FPO -8</t>
        </is>
      </c>
      <c r="E923" s="8" t="inlineStr">
        <is>
          <t>FPO -7</t>
        </is>
      </c>
      <c r="F923" s="8" t="inlineStr">
        <is>
          <t>FPO -6</t>
        </is>
      </c>
      <c r="G923" s="8" t="inlineStr">
        <is>
          <t>FPO -5</t>
        </is>
      </c>
      <c r="H923" s="8" t="inlineStr">
        <is>
          <t>FPO -4</t>
        </is>
      </c>
      <c r="I923" s="8" t="inlineStr">
        <is>
          <t>FPO -3</t>
        </is>
      </c>
      <c r="J923" s="8" t="inlineStr">
        <is>
          <t>FPO -2</t>
        </is>
      </c>
      <c r="K923" s="8" t="inlineStr">
        <is>
          <t>FPO -1</t>
        </is>
      </c>
      <c r="L923" s="8" t="inlineStr">
        <is>
          <t>FPO 0 (latest rpt)</t>
        </is>
      </c>
      <c r="M923" s="8" t="inlineStr">
        <is>
          <t>FPO +1E</t>
        </is>
      </c>
      <c r="N923" s="8" t="inlineStr">
        <is>
          <t>FPO +2E</t>
        </is>
      </c>
    </row>
    <row r="924">
      <c r="A924" s="19">
        <f>'SW Rev'!$A5</f>
        <v/>
      </c>
      <c r="B924" s="19">
        <f>'SW Rev'!$B5</f>
        <v/>
      </c>
      <c r="C924" s="37">
        <f>IFERROR(IF(SUM('SW Rev'!D5:G5)&lt;=0,"",SUM('SW FCF'!D5:G5)/SUM('SW Rev'!D5:G5)),"")</f>
        <v/>
      </c>
      <c r="D924" s="37">
        <f>IFERROR(IF(SUM('SW Rev'!E5:H5)&lt;=0,"",SUM('SW FCF'!E5:H5)/SUM('SW Rev'!E5:H5)),"")</f>
        <v/>
      </c>
      <c r="E924" s="37">
        <f>IFERROR(IF(SUM('SW Rev'!F5:I5)&lt;=0,"",SUM('SW FCF'!F5:I5)/SUM('SW Rev'!F5:I5)),"")</f>
        <v/>
      </c>
      <c r="F924" s="37">
        <f>IFERROR(IF(SUM('SW Rev'!G5:J5)&lt;=0,"",SUM('SW FCF'!G5:J5)/SUM('SW Rev'!G5:J5)),"")</f>
        <v/>
      </c>
      <c r="G924" s="37">
        <f>IFERROR(IF(SUM('SW Rev'!H5:K5)&lt;=0,"",SUM('SW FCF'!H5:K5)/SUM('SW Rev'!H5:K5)),"")</f>
        <v/>
      </c>
      <c r="H924" s="37">
        <f>IFERROR(IF(SUM('SW Rev'!I5:L5)&lt;=0,"",SUM('SW FCF'!I5:L5)/SUM('SW Rev'!I5:L5)),"")</f>
        <v/>
      </c>
      <c r="I924" s="37">
        <f>IFERROR(IF(SUM('SW Rev'!J5:M5)&lt;=0,"",SUM('SW FCF'!J5:M5)/SUM('SW Rev'!J5:M5)),"")</f>
        <v/>
      </c>
      <c r="J924" s="37">
        <f>IFERROR(IF(SUM('SW Rev'!K5:N5)&lt;=0,"",SUM('SW FCF'!K5:N5)/SUM('SW Rev'!K5:N5)),"")</f>
        <v/>
      </c>
      <c r="K924" s="37">
        <f>IFERROR(IF(SUM('SW Rev'!L5:O5)&lt;=0,"",SUM('SW FCF'!L5:O5)/SUM('SW Rev'!L5:O5)),"")</f>
        <v/>
      </c>
      <c r="L924" s="37">
        <f>IFERROR(IF(SUM('SW Rev'!M5:P5)&lt;=0,"",SUM('SW FCF'!M5:P5)/SUM('SW Rev'!M5:P5)),"")</f>
        <v/>
      </c>
      <c r="M924" s="38">
        <f>IFERROR(IF(SUM('SW Rev'!N5:Q5)&lt;=0,"",SUM('SW FCF'!N5:Q5)/SUM('SW Rev'!N5:Q5)),"")</f>
        <v/>
      </c>
      <c r="N924" s="38">
        <f>IFERROR(IF(SUM('SW Rev'!O5:R5)&lt;=0,"",SUM('SW FCF'!O5:R5)/SUM('SW Rev'!O5:R5)),"")</f>
        <v/>
      </c>
    </row>
    <row r="925">
      <c r="A925" s="19">
        <f>'SW Rev'!$A6</f>
        <v/>
      </c>
      <c r="B925" s="19">
        <f>'SW Rev'!$B6</f>
        <v/>
      </c>
      <c r="C925" s="37">
        <f>IFERROR(IF(SUM('SW Rev'!D6:G6)&lt;=0,"",SUM('SW FCF'!D6:G6)/SUM('SW Rev'!D6:G6)),"")</f>
        <v/>
      </c>
      <c r="D925" s="37">
        <f>IFERROR(IF(SUM('SW Rev'!E6:H6)&lt;=0,"",SUM('SW FCF'!E6:H6)/SUM('SW Rev'!E6:H6)),"")</f>
        <v/>
      </c>
      <c r="E925" s="37">
        <f>IFERROR(IF(SUM('SW Rev'!F6:I6)&lt;=0,"",SUM('SW FCF'!F6:I6)/SUM('SW Rev'!F6:I6)),"")</f>
        <v/>
      </c>
      <c r="F925" s="37">
        <f>IFERROR(IF(SUM('SW Rev'!G6:J6)&lt;=0,"",SUM('SW FCF'!G6:J6)/SUM('SW Rev'!G6:J6)),"")</f>
        <v/>
      </c>
      <c r="G925" s="37">
        <f>IFERROR(IF(SUM('SW Rev'!H6:K6)&lt;=0,"",SUM('SW FCF'!H6:K6)/SUM('SW Rev'!H6:K6)),"")</f>
        <v/>
      </c>
      <c r="H925" s="37">
        <f>IFERROR(IF(SUM('SW Rev'!I6:L6)&lt;=0,"",SUM('SW FCF'!I6:L6)/SUM('SW Rev'!I6:L6)),"")</f>
        <v/>
      </c>
      <c r="I925" s="37">
        <f>IFERROR(IF(SUM('SW Rev'!J6:M6)&lt;=0,"",SUM('SW FCF'!J6:M6)/SUM('SW Rev'!J6:M6)),"")</f>
        <v/>
      </c>
      <c r="J925" s="37">
        <f>IFERROR(IF(SUM('SW Rev'!K6:N6)&lt;=0,"",SUM('SW FCF'!K6:N6)/SUM('SW Rev'!K6:N6)),"")</f>
        <v/>
      </c>
      <c r="K925" s="37">
        <f>IFERROR(IF(SUM('SW Rev'!L6:O6)&lt;=0,"",SUM('SW FCF'!L6:O6)/SUM('SW Rev'!L6:O6)),"")</f>
        <v/>
      </c>
      <c r="L925" s="37">
        <f>IFERROR(IF(SUM('SW Rev'!M6:P6)&lt;=0,"",SUM('SW FCF'!M6:P6)/SUM('SW Rev'!M6:P6)),"")</f>
        <v/>
      </c>
      <c r="M925" s="38">
        <f>IFERROR(IF(SUM('SW Rev'!N6:Q6)&lt;=0,"",SUM('SW FCF'!N6:Q6)/SUM('SW Rev'!N6:Q6)),"")</f>
        <v/>
      </c>
      <c r="N925" s="38">
        <f>IFERROR(IF(SUM('SW Rev'!O6:R6)&lt;=0,"",SUM('SW FCF'!O6:R6)/SUM('SW Rev'!O6:R6)),"")</f>
        <v/>
      </c>
    </row>
    <row r="926">
      <c r="A926" s="19">
        <f>'SW Rev'!$A7</f>
        <v/>
      </c>
      <c r="B926" s="19">
        <f>'SW Rev'!$B7</f>
        <v/>
      </c>
      <c r="C926" s="37">
        <f>IFERROR(IF(SUM('SW Rev'!D7:G7)&lt;=0,"",SUM('SW FCF'!D7:G7)/SUM('SW Rev'!D7:G7)),"")</f>
        <v/>
      </c>
      <c r="D926" s="37">
        <f>IFERROR(IF(SUM('SW Rev'!E7:H7)&lt;=0,"",SUM('SW FCF'!E7:H7)/SUM('SW Rev'!E7:H7)),"")</f>
        <v/>
      </c>
      <c r="E926" s="37">
        <f>IFERROR(IF(SUM('SW Rev'!F7:I7)&lt;=0,"",SUM('SW FCF'!F7:I7)/SUM('SW Rev'!F7:I7)),"")</f>
        <v/>
      </c>
      <c r="F926" s="37">
        <f>IFERROR(IF(SUM('SW Rev'!G7:J7)&lt;=0,"",SUM('SW FCF'!G7:J7)/SUM('SW Rev'!G7:J7)),"")</f>
        <v/>
      </c>
      <c r="G926" s="37">
        <f>IFERROR(IF(SUM('SW Rev'!H7:K7)&lt;=0,"",SUM('SW FCF'!H7:K7)/SUM('SW Rev'!H7:K7)),"")</f>
        <v/>
      </c>
      <c r="H926" s="37">
        <f>IFERROR(IF(SUM('SW Rev'!I7:L7)&lt;=0,"",SUM('SW FCF'!I7:L7)/SUM('SW Rev'!I7:L7)),"")</f>
        <v/>
      </c>
      <c r="I926" s="37">
        <f>IFERROR(IF(SUM('SW Rev'!J7:M7)&lt;=0,"",SUM('SW FCF'!J7:M7)/SUM('SW Rev'!J7:M7)),"")</f>
        <v/>
      </c>
      <c r="J926" s="37">
        <f>IFERROR(IF(SUM('SW Rev'!K7:N7)&lt;=0,"",SUM('SW FCF'!K7:N7)/SUM('SW Rev'!K7:N7)),"")</f>
        <v/>
      </c>
      <c r="K926" s="37">
        <f>IFERROR(IF(SUM('SW Rev'!L7:O7)&lt;=0,"",SUM('SW FCF'!L7:O7)/SUM('SW Rev'!L7:O7)),"")</f>
        <v/>
      </c>
      <c r="L926" s="37">
        <f>IFERROR(IF(SUM('SW Rev'!M7:P7)&lt;=0,"",SUM('SW FCF'!M7:P7)/SUM('SW Rev'!M7:P7)),"")</f>
        <v/>
      </c>
      <c r="M926" s="38">
        <f>IFERROR(IF(SUM('SW Rev'!N7:Q7)&lt;=0,"",SUM('SW FCF'!N7:Q7)/SUM('SW Rev'!N7:Q7)),"")</f>
        <v/>
      </c>
      <c r="N926" s="38">
        <f>IFERROR(IF(SUM('SW Rev'!O7:R7)&lt;=0,"",SUM('SW FCF'!O7:R7)/SUM('SW Rev'!O7:R7)),"")</f>
        <v/>
      </c>
    </row>
    <row r="927">
      <c r="A927" s="19">
        <f>'SW Rev'!$A8</f>
        <v/>
      </c>
      <c r="B927" s="19">
        <f>'SW Rev'!$B8</f>
        <v/>
      </c>
      <c r="C927" s="37">
        <f>IFERROR(IF(SUM('SW Rev'!D8:G8)&lt;=0,"",SUM('SW FCF'!D8:G8)/SUM('SW Rev'!D8:G8)),"")</f>
        <v/>
      </c>
      <c r="D927" s="37">
        <f>IFERROR(IF(SUM('SW Rev'!E8:H8)&lt;=0,"",SUM('SW FCF'!E8:H8)/SUM('SW Rev'!E8:H8)),"")</f>
        <v/>
      </c>
      <c r="E927" s="37">
        <f>IFERROR(IF(SUM('SW Rev'!F8:I8)&lt;=0,"",SUM('SW FCF'!F8:I8)/SUM('SW Rev'!F8:I8)),"")</f>
        <v/>
      </c>
      <c r="F927" s="37">
        <f>IFERROR(IF(SUM('SW Rev'!G8:J8)&lt;=0,"",SUM('SW FCF'!G8:J8)/SUM('SW Rev'!G8:J8)),"")</f>
        <v/>
      </c>
      <c r="G927" s="37">
        <f>IFERROR(IF(SUM('SW Rev'!H8:K8)&lt;=0,"",SUM('SW FCF'!H8:K8)/SUM('SW Rev'!H8:K8)),"")</f>
        <v/>
      </c>
      <c r="H927" s="37">
        <f>IFERROR(IF(SUM('SW Rev'!I8:L8)&lt;=0,"",SUM('SW FCF'!I8:L8)/SUM('SW Rev'!I8:L8)),"")</f>
        <v/>
      </c>
      <c r="I927" s="37">
        <f>IFERROR(IF(SUM('SW Rev'!J8:M8)&lt;=0,"",SUM('SW FCF'!J8:M8)/SUM('SW Rev'!J8:M8)),"")</f>
        <v/>
      </c>
      <c r="J927" s="37">
        <f>IFERROR(IF(SUM('SW Rev'!K8:N8)&lt;=0,"",SUM('SW FCF'!K8:N8)/SUM('SW Rev'!K8:N8)),"")</f>
        <v/>
      </c>
      <c r="K927" s="37">
        <f>IFERROR(IF(SUM('SW Rev'!L8:O8)&lt;=0,"",SUM('SW FCF'!L8:O8)/SUM('SW Rev'!L8:O8)),"")</f>
        <v/>
      </c>
      <c r="L927" s="37">
        <f>IFERROR(IF(SUM('SW Rev'!M8:P8)&lt;=0,"",SUM('SW FCF'!M8:P8)/SUM('SW Rev'!M8:P8)),"")</f>
        <v/>
      </c>
      <c r="M927" s="38">
        <f>IFERROR(IF(SUM('SW Rev'!N8:Q8)&lt;=0,"",SUM('SW FCF'!N8:Q8)/SUM('SW Rev'!N8:Q8)),"")</f>
        <v/>
      </c>
      <c r="N927" s="38">
        <f>IFERROR(IF(SUM('SW Rev'!O8:R8)&lt;=0,"",SUM('SW FCF'!O8:R8)/SUM('SW Rev'!O8:R8)),"")</f>
        <v/>
      </c>
    </row>
    <row r="928">
      <c r="A928" s="19">
        <f>'SW Rev'!$A9</f>
        <v/>
      </c>
      <c r="B928" s="19">
        <f>'SW Rev'!$B9</f>
        <v/>
      </c>
      <c r="C928" s="37">
        <f>IFERROR(IF(SUM('SW Rev'!D9:G9)&lt;=0,"",SUM('SW FCF'!D9:G9)/SUM('SW Rev'!D9:G9)),"")</f>
        <v/>
      </c>
      <c r="D928" s="37">
        <f>IFERROR(IF(SUM('SW Rev'!E9:H9)&lt;=0,"",SUM('SW FCF'!E9:H9)/SUM('SW Rev'!E9:H9)),"")</f>
        <v/>
      </c>
      <c r="E928" s="37">
        <f>IFERROR(IF(SUM('SW Rev'!F9:I9)&lt;=0,"",SUM('SW FCF'!F9:I9)/SUM('SW Rev'!F9:I9)),"")</f>
        <v/>
      </c>
      <c r="F928" s="37">
        <f>IFERROR(IF(SUM('SW Rev'!G9:J9)&lt;=0,"",SUM('SW FCF'!G9:J9)/SUM('SW Rev'!G9:J9)),"")</f>
        <v/>
      </c>
      <c r="G928" s="37">
        <f>IFERROR(IF(SUM('SW Rev'!H9:K9)&lt;=0,"",SUM('SW FCF'!H9:K9)/SUM('SW Rev'!H9:K9)),"")</f>
        <v/>
      </c>
      <c r="H928" s="37">
        <f>IFERROR(IF(SUM('SW Rev'!I9:L9)&lt;=0,"",SUM('SW FCF'!I9:L9)/SUM('SW Rev'!I9:L9)),"")</f>
        <v/>
      </c>
      <c r="I928" s="37">
        <f>IFERROR(IF(SUM('SW Rev'!J9:M9)&lt;=0,"",SUM('SW FCF'!J9:M9)/SUM('SW Rev'!J9:M9)),"")</f>
        <v/>
      </c>
      <c r="J928" s="37">
        <f>IFERROR(IF(SUM('SW Rev'!K9:N9)&lt;=0,"",SUM('SW FCF'!K9:N9)/SUM('SW Rev'!K9:N9)),"")</f>
        <v/>
      </c>
      <c r="K928" s="37">
        <f>IFERROR(IF(SUM('SW Rev'!L9:O9)&lt;=0,"",SUM('SW FCF'!L9:O9)/SUM('SW Rev'!L9:O9)),"")</f>
        <v/>
      </c>
      <c r="L928" s="37">
        <f>IFERROR(IF(SUM('SW Rev'!M9:P9)&lt;=0,"",SUM('SW FCF'!M9:P9)/SUM('SW Rev'!M9:P9)),"")</f>
        <v/>
      </c>
      <c r="M928" s="38">
        <f>IFERROR(IF(SUM('SW Rev'!N9:Q9)&lt;=0,"",SUM('SW FCF'!N9:Q9)/SUM('SW Rev'!N9:Q9)),"")</f>
        <v/>
      </c>
      <c r="N928" s="38">
        <f>IFERROR(IF(SUM('SW Rev'!O9:R9)&lt;=0,"",SUM('SW FCF'!O9:R9)/SUM('SW Rev'!O9:R9)),"")</f>
        <v/>
      </c>
    </row>
    <row r="929">
      <c r="A929" s="19">
        <f>'SW Rev'!$A10</f>
        <v/>
      </c>
      <c r="B929" s="19">
        <f>'SW Rev'!$B10</f>
        <v/>
      </c>
      <c r="C929" s="37">
        <f>IFERROR(IF(SUM('SW Rev'!D10:G10)&lt;=0,"",SUM('SW FCF'!D10:G10)/SUM('SW Rev'!D10:G10)),"")</f>
        <v/>
      </c>
      <c r="D929" s="37">
        <f>IFERROR(IF(SUM('SW Rev'!E10:H10)&lt;=0,"",SUM('SW FCF'!E10:H10)/SUM('SW Rev'!E10:H10)),"")</f>
        <v/>
      </c>
      <c r="E929" s="37">
        <f>IFERROR(IF(SUM('SW Rev'!F10:I10)&lt;=0,"",SUM('SW FCF'!F10:I10)/SUM('SW Rev'!F10:I10)),"")</f>
        <v/>
      </c>
      <c r="F929" s="37">
        <f>IFERROR(IF(SUM('SW Rev'!G10:J10)&lt;=0,"",SUM('SW FCF'!G10:J10)/SUM('SW Rev'!G10:J10)),"")</f>
        <v/>
      </c>
      <c r="G929" s="37">
        <f>IFERROR(IF(SUM('SW Rev'!H10:K10)&lt;=0,"",SUM('SW FCF'!H10:K10)/SUM('SW Rev'!H10:K10)),"")</f>
        <v/>
      </c>
      <c r="H929" s="37">
        <f>IFERROR(IF(SUM('SW Rev'!I10:L10)&lt;=0,"",SUM('SW FCF'!I10:L10)/SUM('SW Rev'!I10:L10)),"")</f>
        <v/>
      </c>
      <c r="I929" s="37">
        <f>IFERROR(IF(SUM('SW Rev'!J10:M10)&lt;=0,"",SUM('SW FCF'!J10:M10)/SUM('SW Rev'!J10:M10)),"")</f>
        <v/>
      </c>
      <c r="J929" s="37">
        <f>IFERROR(IF(SUM('SW Rev'!K10:N10)&lt;=0,"",SUM('SW FCF'!K10:N10)/SUM('SW Rev'!K10:N10)),"")</f>
        <v/>
      </c>
      <c r="K929" s="37">
        <f>IFERROR(IF(SUM('SW Rev'!L10:O10)&lt;=0,"",SUM('SW FCF'!L10:O10)/SUM('SW Rev'!L10:O10)),"")</f>
        <v/>
      </c>
      <c r="L929" s="37">
        <f>IFERROR(IF(SUM('SW Rev'!M10:P10)&lt;=0,"",SUM('SW FCF'!M10:P10)/SUM('SW Rev'!M10:P10)),"")</f>
        <v/>
      </c>
      <c r="M929" s="38">
        <f>IFERROR(IF(SUM('SW Rev'!N10:Q10)&lt;=0,"",SUM('SW FCF'!N10:Q10)/SUM('SW Rev'!N10:Q10)),"")</f>
        <v/>
      </c>
      <c r="N929" s="38">
        <f>IFERROR(IF(SUM('SW Rev'!O10:R10)&lt;=0,"",SUM('SW FCF'!O10:R10)/SUM('SW Rev'!O10:R10)),"")</f>
        <v/>
      </c>
    </row>
    <row r="930">
      <c r="A930" s="19">
        <f>'SW Rev'!$A11</f>
        <v/>
      </c>
      <c r="B930" s="19">
        <f>'SW Rev'!$B11</f>
        <v/>
      </c>
      <c r="C930" s="37">
        <f>IFERROR(IF(SUM('SW Rev'!D11:G11)&lt;=0,"",SUM('SW FCF'!D11:G11)/SUM('SW Rev'!D11:G11)),"")</f>
        <v/>
      </c>
      <c r="D930" s="37">
        <f>IFERROR(IF(SUM('SW Rev'!E11:H11)&lt;=0,"",SUM('SW FCF'!E11:H11)/SUM('SW Rev'!E11:H11)),"")</f>
        <v/>
      </c>
      <c r="E930" s="37">
        <f>IFERROR(IF(SUM('SW Rev'!F11:I11)&lt;=0,"",SUM('SW FCF'!F11:I11)/SUM('SW Rev'!F11:I11)),"")</f>
        <v/>
      </c>
      <c r="F930" s="37">
        <f>IFERROR(IF(SUM('SW Rev'!G11:J11)&lt;=0,"",SUM('SW FCF'!G11:J11)/SUM('SW Rev'!G11:J11)),"")</f>
        <v/>
      </c>
      <c r="G930" s="37">
        <f>IFERROR(IF(SUM('SW Rev'!H11:K11)&lt;=0,"",SUM('SW FCF'!H11:K11)/SUM('SW Rev'!H11:K11)),"")</f>
        <v/>
      </c>
      <c r="H930" s="37">
        <f>IFERROR(IF(SUM('SW Rev'!I11:L11)&lt;=0,"",SUM('SW FCF'!I11:L11)/SUM('SW Rev'!I11:L11)),"")</f>
        <v/>
      </c>
      <c r="I930" s="37">
        <f>IFERROR(IF(SUM('SW Rev'!J11:M11)&lt;=0,"",SUM('SW FCF'!J11:M11)/SUM('SW Rev'!J11:M11)),"")</f>
        <v/>
      </c>
      <c r="J930" s="37">
        <f>IFERROR(IF(SUM('SW Rev'!K11:N11)&lt;=0,"",SUM('SW FCF'!K11:N11)/SUM('SW Rev'!K11:N11)),"")</f>
        <v/>
      </c>
      <c r="K930" s="37">
        <f>IFERROR(IF(SUM('SW Rev'!L11:O11)&lt;=0,"",SUM('SW FCF'!L11:O11)/SUM('SW Rev'!L11:O11)),"")</f>
        <v/>
      </c>
      <c r="L930" s="37">
        <f>IFERROR(IF(SUM('SW Rev'!M11:P11)&lt;=0,"",SUM('SW FCF'!M11:P11)/SUM('SW Rev'!M11:P11)),"")</f>
        <v/>
      </c>
      <c r="M930" s="38">
        <f>IFERROR(IF(SUM('SW Rev'!N11:Q11)&lt;=0,"",SUM('SW FCF'!N11:Q11)/SUM('SW Rev'!N11:Q11)),"")</f>
        <v/>
      </c>
      <c r="N930" s="38">
        <f>IFERROR(IF(SUM('SW Rev'!O11:R11)&lt;=0,"",SUM('SW FCF'!O11:R11)/SUM('SW Rev'!O11:R11)),"")</f>
        <v/>
      </c>
    </row>
    <row r="931">
      <c r="A931" s="19">
        <f>'SW Rev'!$A12</f>
        <v/>
      </c>
      <c r="B931" s="19">
        <f>'SW Rev'!$B12</f>
        <v/>
      </c>
      <c r="C931" s="37">
        <f>IFERROR(IF(SUM('SW Rev'!D12:G12)&lt;=0,"",SUM('SW FCF'!D12:G12)/SUM('SW Rev'!D12:G12)),"")</f>
        <v/>
      </c>
      <c r="D931" s="37">
        <f>IFERROR(IF(SUM('SW Rev'!E12:H12)&lt;=0,"",SUM('SW FCF'!E12:H12)/SUM('SW Rev'!E12:H12)),"")</f>
        <v/>
      </c>
      <c r="E931" s="37">
        <f>IFERROR(IF(SUM('SW Rev'!F12:I12)&lt;=0,"",SUM('SW FCF'!F12:I12)/SUM('SW Rev'!F12:I12)),"")</f>
        <v/>
      </c>
      <c r="F931" s="37">
        <f>IFERROR(IF(SUM('SW Rev'!G12:J12)&lt;=0,"",SUM('SW FCF'!G12:J12)/SUM('SW Rev'!G12:J12)),"")</f>
        <v/>
      </c>
      <c r="G931" s="37">
        <f>IFERROR(IF(SUM('SW Rev'!H12:K12)&lt;=0,"",SUM('SW FCF'!H12:K12)/SUM('SW Rev'!H12:K12)),"")</f>
        <v/>
      </c>
      <c r="H931" s="37">
        <f>IFERROR(IF(SUM('SW Rev'!I12:L12)&lt;=0,"",SUM('SW FCF'!I12:L12)/SUM('SW Rev'!I12:L12)),"")</f>
        <v/>
      </c>
      <c r="I931" s="37">
        <f>IFERROR(IF(SUM('SW Rev'!J12:M12)&lt;=0,"",SUM('SW FCF'!J12:M12)/SUM('SW Rev'!J12:M12)),"")</f>
        <v/>
      </c>
      <c r="J931" s="37">
        <f>IFERROR(IF(SUM('SW Rev'!K12:N12)&lt;=0,"",SUM('SW FCF'!K12:N12)/SUM('SW Rev'!K12:N12)),"")</f>
        <v/>
      </c>
      <c r="K931" s="37">
        <f>IFERROR(IF(SUM('SW Rev'!L12:O12)&lt;=0,"",SUM('SW FCF'!L12:O12)/SUM('SW Rev'!L12:O12)),"")</f>
        <v/>
      </c>
      <c r="L931" s="37">
        <f>IFERROR(IF(SUM('SW Rev'!M12:P12)&lt;=0,"",SUM('SW FCF'!M12:P12)/SUM('SW Rev'!M12:P12)),"")</f>
        <v/>
      </c>
      <c r="M931" s="38">
        <f>IFERROR(IF(SUM('SW Rev'!N12:Q12)&lt;=0,"",SUM('SW FCF'!N12:Q12)/SUM('SW Rev'!N12:Q12)),"")</f>
        <v/>
      </c>
      <c r="N931" s="38">
        <f>IFERROR(IF(SUM('SW Rev'!O12:R12)&lt;=0,"",SUM('SW FCF'!O12:R12)/SUM('SW Rev'!O12:R12)),"")</f>
        <v/>
      </c>
    </row>
    <row r="932">
      <c r="A932" s="19">
        <f>'SW Rev'!$A13</f>
        <v/>
      </c>
      <c r="B932" s="19">
        <f>'SW Rev'!$B13</f>
        <v/>
      </c>
      <c r="C932" s="37">
        <f>IFERROR(IF(SUM('SW Rev'!D13:G13)&lt;=0,"",SUM('SW FCF'!D13:G13)/SUM('SW Rev'!D13:G13)),"")</f>
        <v/>
      </c>
      <c r="D932" s="37">
        <f>IFERROR(IF(SUM('SW Rev'!E13:H13)&lt;=0,"",SUM('SW FCF'!E13:H13)/SUM('SW Rev'!E13:H13)),"")</f>
        <v/>
      </c>
      <c r="E932" s="37">
        <f>IFERROR(IF(SUM('SW Rev'!F13:I13)&lt;=0,"",SUM('SW FCF'!F13:I13)/SUM('SW Rev'!F13:I13)),"")</f>
        <v/>
      </c>
      <c r="F932" s="37">
        <f>IFERROR(IF(SUM('SW Rev'!G13:J13)&lt;=0,"",SUM('SW FCF'!G13:J13)/SUM('SW Rev'!G13:J13)),"")</f>
        <v/>
      </c>
      <c r="G932" s="37">
        <f>IFERROR(IF(SUM('SW Rev'!H13:K13)&lt;=0,"",SUM('SW FCF'!H13:K13)/SUM('SW Rev'!H13:K13)),"")</f>
        <v/>
      </c>
      <c r="H932" s="37">
        <f>IFERROR(IF(SUM('SW Rev'!I13:L13)&lt;=0,"",SUM('SW FCF'!I13:L13)/SUM('SW Rev'!I13:L13)),"")</f>
        <v/>
      </c>
      <c r="I932" s="37">
        <f>IFERROR(IF(SUM('SW Rev'!J13:M13)&lt;=0,"",SUM('SW FCF'!J13:M13)/SUM('SW Rev'!J13:M13)),"")</f>
        <v/>
      </c>
      <c r="J932" s="37">
        <f>IFERROR(IF(SUM('SW Rev'!K13:N13)&lt;=0,"",SUM('SW FCF'!K13:N13)/SUM('SW Rev'!K13:N13)),"")</f>
        <v/>
      </c>
      <c r="K932" s="37">
        <f>IFERROR(IF(SUM('SW Rev'!L13:O13)&lt;=0,"",SUM('SW FCF'!L13:O13)/SUM('SW Rev'!L13:O13)),"")</f>
        <v/>
      </c>
      <c r="L932" s="37">
        <f>IFERROR(IF(SUM('SW Rev'!M13:P13)&lt;=0,"",SUM('SW FCF'!M13:P13)/SUM('SW Rev'!M13:P13)),"")</f>
        <v/>
      </c>
      <c r="M932" s="38">
        <f>IFERROR(IF(SUM('SW Rev'!N13:Q13)&lt;=0,"",SUM('SW FCF'!N13:Q13)/SUM('SW Rev'!N13:Q13)),"")</f>
        <v/>
      </c>
      <c r="N932" s="38">
        <f>IFERROR(IF(SUM('SW Rev'!O13:R13)&lt;=0,"",SUM('SW FCF'!O13:R13)/SUM('SW Rev'!O13:R13)),"")</f>
        <v/>
      </c>
    </row>
    <row r="933">
      <c r="A933" s="19">
        <f>'SW Rev'!$A14</f>
        <v/>
      </c>
      <c r="B933" s="19">
        <f>'SW Rev'!$B14</f>
        <v/>
      </c>
      <c r="C933" s="37">
        <f>IFERROR(IF(SUM('SW Rev'!D14:G14)&lt;=0,"",SUM('SW FCF'!D14:G14)/SUM('SW Rev'!D14:G14)),"")</f>
        <v/>
      </c>
      <c r="D933" s="37">
        <f>IFERROR(IF(SUM('SW Rev'!E14:H14)&lt;=0,"",SUM('SW FCF'!E14:H14)/SUM('SW Rev'!E14:H14)),"")</f>
        <v/>
      </c>
      <c r="E933" s="37">
        <f>IFERROR(IF(SUM('SW Rev'!F14:I14)&lt;=0,"",SUM('SW FCF'!F14:I14)/SUM('SW Rev'!F14:I14)),"")</f>
        <v/>
      </c>
      <c r="F933" s="37">
        <f>IFERROR(IF(SUM('SW Rev'!G14:J14)&lt;=0,"",SUM('SW FCF'!G14:J14)/SUM('SW Rev'!G14:J14)),"")</f>
        <v/>
      </c>
      <c r="G933" s="37">
        <f>IFERROR(IF(SUM('SW Rev'!H14:K14)&lt;=0,"",SUM('SW FCF'!H14:K14)/SUM('SW Rev'!H14:K14)),"")</f>
        <v/>
      </c>
      <c r="H933" s="37">
        <f>IFERROR(IF(SUM('SW Rev'!I14:L14)&lt;=0,"",SUM('SW FCF'!I14:L14)/SUM('SW Rev'!I14:L14)),"")</f>
        <v/>
      </c>
      <c r="I933" s="37">
        <f>IFERROR(IF(SUM('SW Rev'!J14:M14)&lt;=0,"",SUM('SW FCF'!J14:M14)/SUM('SW Rev'!J14:M14)),"")</f>
        <v/>
      </c>
      <c r="J933" s="37">
        <f>IFERROR(IF(SUM('SW Rev'!K14:N14)&lt;=0,"",SUM('SW FCF'!K14:N14)/SUM('SW Rev'!K14:N14)),"")</f>
        <v/>
      </c>
      <c r="K933" s="37">
        <f>IFERROR(IF(SUM('SW Rev'!L14:O14)&lt;=0,"",SUM('SW FCF'!L14:O14)/SUM('SW Rev'!L14:O14)),"")</f>
        <v/>
      </c>
      <c r="L933" s="37">
        <f>IFERROR(IF(SUM('SW Rev'!M14:P14)&lt;=0,"",SUM('SW FCF'!M14:P14)/SUM('SW Rev'!M14:P14)),"")</f>
        <v/>
      </c>
      <c r="M933" s="38">
        <f>IFERROR(IF(SUM('SW Rev'!N14:Q14)&lt;=0,"",SUM('SW FCF'!N14:Q14)/SUM('SW Rev'!N14:Q14)),"")</f>
        <v/>
      </c>
      <c r="N933" s="38">
        <f>IFERROR(IF(SUM('SW Rev'!O14:R14)&lt;=0,"",SUM('SW FCF'!O14:R14)/SUM('SW Rev'!O14:R14)),"")</f>
        <v/>
      </c>
    </row>
    <row r="934">
      <c r="A934" s="19">
        <f>'SW Rev'!$A15</f>
        <v/>
      </c>
      <c r="B934" s="19">
        <f>'SW Rev'!$B15</f>
        <v/>
      </c>
      <c r="C934" s="37">
        <f>IFERROR(IF(SUM('SW Rev'!D15:G15)&lt;=0,"",SUM('SW FCF'!D15:G15)/SUM('SW Rev'!D15:G15)),"")</f>
        <v/>
      </c>
      <c r="D934" s="37">
        <f>IFERROR(IF(SUM('SW Rev'!E15:H15)&lt;=0,"",SUM('SW FCF'!E15:H15)/SUM('SW Rev'!E15:H15)),"")</f>
        <v/>
      </c>
      <c r="E934" s="37">
        <f>IFERROR(IF(SUM('SW Rev'!F15:I15)&lt;=0,"",SUM('SW FCF'!F15:I15)/SUM('SW Rev'!F15:I15)),"")</f>
        <v/>
      </c>
      <c r="F934" s="37">
        <f>IFERROR(IF(SUM('SW Rev'!G15:J15)&lt;=0,"",SUM('SW FCF'!G15:J15)/SUM('SW Rev'!G15:J15)),"")</f>
        <v/>
      </c>
      <c r="G934" s="37">
        <f>IFERROR(IF(SUM('SW Rev'!H15:K15)&lt;=0,"",SUM('SW FCF'!H15:K15)/SUM('SW Rev'!H15:K15)),"")</f>
        <v/>
      </c>
      <c r="H934" s="37">
        <f>IFERROR(IF(SUM('SW Rev'!I15:L15)&lt;=0,"",SUM('SW FCF'!I15:L15)/SUM('SW Rev'!I15:L15)),"")</f>
        <v/>
      </c>
      <c r="I934" s="37">
        <f>IFERROR(IF(SUM('SW Rev'!J15:M15)&lt;=0,"",SUM('SW FCF'!J15:M15)/SUM('SW Rev'!J15:M15)),"")</f>
        <v/>
      </c>
      <c r="J934" s="37">
        <f>IFERROR(IF(SUM('SW Rev'!K15:N15)&lt;=0,"",SUM('SW FCF'!K15:N15)/SUM('SW Rev'!K15:N15)),"")</f>
        <v/>
      </c>
      <c r="K934" s="37">
        <f>IFERROR(IF(SUM('SW Rev'!L15:O15)&lt;=0,"",SUM('SW FCF'!L15:O15)/SUM('SW Rev'!L15:O15)),"")</f>
        <v/>
      </c>
      <c r="L934" s="37">
        <f>IFERROR(IF(SUM('SW Rev'!M15:P15)&lt;=0,"",SUM('SW FCF'!M15:P15)/SUM('SW Rev'!M15:P15)),"")</f>
        <v/>
      </c>
      <c r="M934" s="38">
        <f>IFERROR(IF(SUM('SW Rev'!N15:Q15)&lt;=0,"",SUM('SW FCF'!N15:Q15)/SUM('SW Rev'!N15:Q15)),"")</f>
        <v/>
      </c>
      <c r="N934" s="38">
        <f>IFERROR(IF(SUM('SW Rev'!O15:R15)&lt;=0,"",SUM('SW FCF'!O15:R15)/SUM('SW Rev'!O15:R15)),"")</f>
        <v/>
      </c>
    </row>
    <row r="935">
      <c r="A935" s="19">
        <f>'SW Rev'!$A16</f>
        <v/>
      </c>
      <c r="B935" s="19">
        <f>'SW Rev'!$B16</f>
        <v/>
      </c>
      <c r="C935" s="37">
        <f>IFERROR(IF(SUM('SW Rev'!D16:G16)&lt;=0,"",SUM('SW FCF'!D16:G16)/SUM('SW Rev'!D16:G16)),"")</f>
        <v/>
      </c>
      <c r="D935" s="37">
        <f>IFERROR(IF(SUM('SW Rev'!E16:H16)&lt;=0,"",SUM('SW FCF'!E16:H16)/SUM('SW Rev'!E16:H16)),"")</f>
        <v/>
      </c>
      <c r="E935" s="37">
        <f>IFERROR(IF(SUM('SW Rev'!F16:I16)&lt;=0,"",SUM('SW FCF'!F16:I16)/SUM('SW Rev'!F16:I16)),"")</f>
        <v/>
      </c>
      <c r="F935" s="37">
        <f>IFERROR(IF(SUM('SW Rev'!G16:J16)&lt;=0,"",SUM('SW FCF'!G16:J16)/SUM('SW Rev'!G16:J16)),"")</f>
        <v/>
      </c>
      <c r="G935" s="37">
        <f>IFERROR(IF(SUM('SW Rev'!H16:K16)&lt;=0,"",SUM('SW FCF'!H16:K16)/SUM('SW Rev'!H16:K16)),"")</f>
        <v/>
      </c>
      <c r="H935" s="37">
        <f>IFERROR(IF(SUM('SW Rev'!I16:L16)&lt;=0,"",SUM('SW FCF'!I16:L16)/SUM('SW Rev'!I16:L16)),"")</f>
        <v/>
      </c>
      <c r="I935" s="37">
        <f>IFERROR(IF(SUM('SW Rev'!J16:M16)&lt;=0,"",SUM('SW FCF'!J16:M16)/SUM('SW Rev'!J16:M16)),"")</f>
        <v/>
      </c>
      <c r="J935" s="37">
        <f>IFERROR(IF(SUM('SW Rev'!K16:N16)&lt;=0,"",SUM('SW FCF'!K16:N16)/SUM('SW Rev'!K16:N16)),"")</f>
        <v/>
      </c>
      <c r="K935" s="37">
        <f>IFERROR(IF(SUM('SW Rev'!L16:O16)&lt;=0,"",SUM('SW FCF'!L16:O16)/SUM('SW Rev'!L16:O16)),"")</f>
        <v/>
      </c>
      <c r="L935" s="37">
        <f>IFERROR(IF(SUM('SW Rev'!M16:P16)&lt;=0,"",SUM('SW FCF'!M16:P16)/SUM('SW Rev'!M16:P16)),"")</f>
        <v/>
      </c>
      <c r="M935" s="38">
        <f>IFERROR(IF(SUM('SW Rev'!N16:Q16)&lt;=0,"",SUM('SW FCF'!N16:Q16)/SUM('SW Rev'!N16:Q16)),"")</f>
        <v/>
      </c>
      <c r="N935" s="38">
        <f>IFERROR(IF(SUM('SW Rev'!O16:R16)&lt;=0,"",SUM('SW FCF'!O16:R16)/SUM('SW Rev'!O16:R16)),"")</f>
        <v/>
      </c>
    </row>
    <row r="936">
      <c r="A936" s="19">
        <f>'SW Rev'!$A17</f>
        <v/>
      </c>
      <c r="B936" s="19">
        <f>'SW Rev'!$B17</f>
        <v/>
      </c>
      <c r="C936" s="37">
        <f>IFERROR(IF(SUM('SW Rev'!D17:G17)&lt;=0,"",SUM('SW FCF'!D17:G17)/SUM('SW Rev'!D17:G17)),"")</f>
        <v/>
      </c>
      <c r="D936" s="37">
        <f>IFERROR(IF(SUM('SW Rev'!E17:H17)&lt;=0,"",SUM('SW FCF'!E17:H17)/SUM('SW Rev'!E17:H17)),"")</f>
        <v/>
      </c>
      <c r="E936" s="37">
        <f>IFERROR(IF(SUM('SW Rev'!F17:I17)&lt;=0,"",SUM('SW FCF'!F17:I17)/SUM('SW Rev'!F17:I17)),"")</f>
        <v/>
      </c>
      <c r="F936" s="37">
        <f>IFERROR(IF(SUM('SW Rev'!G17:J17)&lt;=0,"",SUM('SW FCF'!G17:J17)/SUM('SW Rev'!G17:J17)),"")</f>
        <v/>
      </c>
      <c r="G936" s="37">
        <f>IFERROR(IF(SUM('SW Rev'!H17:K17)&lt;=0,"",SUM('SW FCF'!H17:K17)/SUM('SW Rev'!H17:K17)),"")</f>
        <v/>
      </c>
      <c r="H936" s="37">
        <f>IFERROR(IF(SUM('SW Rev'!I17:L17)&lt;=0,"",SUM('SW FCF'!I17:L17)/SUM('SW Rev'!I17:L17)),"")</f>
        <v/>
      </c>
      <c r="I936" s="37">
        <f>IFERROR(IF(SUM('SW Rev'!J17:M17)&lt;=0,"",SUM('SW FCF'!J17:M17)/SUM('SW Rev'!J17:M17)),"")</f>
        <v/>
      </c>
      <c r="J936" s="37">
        <f>IFERROR(IF(SUM('SW Rev'!K17:N17)&lt;=0,"",SUM('SW FCF'!K17:N17)/SUM('SW Rev'!K17:N17)),"")</f>
        <v/>
      </c>
      <c r="K936" s="37">
        <f>IFERROR(IF(SUM('SW Rev'!L17:O17)&lt;=0,"",SUM('SW FCF'!L17:O17)/SUM('SW Rev'!L17:O17)),"")</f>
        <v/>
      </c>
      <c r="L936" s="37">
        <f>IFERROR(IF(SUM('SW Rev'!M17:P17)&lt;=0,"",SUM('SW FCF'!M17:P17)/SUM('SW Rev'!M17:P17)),"")</f>
        <v/>
      </c>
      <c r="M936" s="38">
        <f>IFERROR(IF(SUM('SW Rev'!N17:Q17)&lt;=0,"",SUM('SW FCF'!N17:Q17)/SUM('SW Rev'!N17:Q17)),"")</f>
        <v/>
      </c>
      <c r="N936" s="38">
        <f>IFERROR(IF(SUM('SW Rev'!O17:R17)&lt;=0,"",SUM('SW FCF'!O17:R17)/SUM('SW Rev'!O17:R17)),"")</f>
        <v/>
      </c>
    </row>
    <row r="937">
      <c r="A937" s="19">
        <f>'SW Rev'!$A18</f>
        <v/>
      </c>
      <c r="B937" s="19">
        <f>'SW Rev'!$B18</f>
        <v/>
      </c>
      <c r="C937" s="37">
        <f>IFERROR(IF(SUM('SW Rev'!D18:G18)&lt;=0,"",SUM('SW FCF'!D18:G18)/SUM('SW Rev'!D18:G18)),"")</f>
        <v/>
      </c>
      <c r="D937" s="37">
        <f>IFERROR(IF(SUM('SW Rev'!E18:H18)&lt;=0,"",SUM('SW FCF'!E18:H18)/SUM('SW Rev'!E18:H18)),"")</f>
        <v/>
      </c>
      <c r="E937" s="37">
        <f>IFERROR(IF(SUM('SW Rev'!F18:I18)&lt;=0,"",SUM('SW FCF'!F18:I18)/SUM('SW Rev'!F18:I18)),"")</f>
        <v/>
      </c>
      <c r="F937" s="37">
        <f>IFERROR(IF(SUM('SW Rev'!G18:J18)&lt;=0,"",SUM('SW FCF'!G18:J18)/SUM('SW Rev'!G18:J18)),"")</f>
        <v/>
      </c>
      <c r="G937" s="37">
        <f>IFERROR(IF(SUM('SW Rev'!H18:K18)&lt;=0,"",SUM('SW FCF'!H18:K18)/SUM('SW Rev'!H18:K18)),"")</f>
        <v/>
      </c>
      <c r="H937" s="37">
        <f>IFERROR(IF(SUM('SW Rev'!I18:L18)&lt;=0,"",SUM('SW FCF'!I18:L18)/SUM('SW Rev'!I18:L18)),"")</f>
        <v/>
      </c>
      <c r="I937" s="37">
        <f>IFERROR(IF(SUM('SW Rev'!J18:M18)&lt;=0,"",SUM('SW FCF'!J18:M18)/SUM('SW Rev'!J18:M18)),"")</f>
        <v/>
      </c>
      <c r="J937" s="37">
        <f>IFERROR(IF(SUM('SW Rev'!K18:N18)&lt;=0,"",SUM('SW FCF'!K18:N18)/SUM('SW Rev'!K18:N18)),"")</f>
        <v/>
      </c>
      <c r="K937" s="37">
        <f>IFERROR(IF(SUM('SW Rev'!L18:O18)&lt;=0,"",SUM('SW FCF'!L18:O18)/SUM('SW Rev'!L18:O18)),"")</f>
        <v/>
      </c>
      <c r="L937" s="37">
        <f>IFERROR(IF(SUM('SW Rev'!M18:P18)&lt;=0,"",SUM('SW FCF'!M18:P18)/SUM('SW Rev'!M18:P18)),"")</f>
        <v/>
      </c>
      <c r="M937" s="38">
        <f>IFERROR(IF(SUM('SW Rev'!N18:Q18)&lt;=0,"",SUM('SW FCF'!N18:Q18)/SUM('SW Rev'!N18:Q18)),"")</f>
        <v/>
      </c>
      <c r="N937" s="38">
        <f>IFERROR(IF(SUM('SW Rev'!O18:R18)&lt;=0,"",SUM('SW FCF'!O18:R18)/SUM('SW Rev'!O18:R18)),"")</f>
        <v/>
      </c>
    </row>
    <row r="938">
      <c r="A938" s="19">
        <f>'SW Rev'!$A19</f>
        <v/>
      </c>
      <c r="B938" s="19">
        <f>'SW Rev'!$B19</f>
        <v/>
      </c>
      <c r="C938" s="37">
        <f>IFERROR(IF(SUM('SW Rev'!D19:G19)&lt;=0,"",SUM('SW FCF'!D19:G19)/SUM('SW Rev'!D19:G19)),"")</f>
        <v/>
      </c>
      <c r="D938" s="37">
        <f>IFERROR(IF(SUM('SW Rev'!E19:H19)&lt;=0,"",SUM('SW FCF'!E19:H19)/SUM('SW Rev'!E19:H19)),"")</f>
        <v/>
      </c>
      <c r="E938" s="37">
        <f>IFERROR(IF(SUM('SW Rev'!F19:I19)&lt;=0,"",SUM('SW FCF'!F19:I19)/SUM('SW Rev'!F19:I19)),"")</f>
        <v/>
      </c>
      <c r="F938" s="37">
        <f>IFERROR(IF(SUM('SW Rev'!G19:J19)&lt;=0,"",SUM('SW FCF'!G19:J19)/SUM('SW Rev'!G19:J19)),"")</f>
        <v/>
      </c>
      <c r="G938" s="37">
        <f>IFERROR(IF(SUM('SW Rev'!H19:K19)&lt;=0,"",SUM('SW FCF'!H19:K19)/SUM('SW Rev'!H19:K19)),"")</f>
        <v/>
      </c>
      <c r="H938" s="37">
        <f>IFERROR(IF(SUM('SW Rev'!I19:L19)&lt;=0,"",SUM('SW FCF'!I19:L19)/SUM('SW Rev'!I19:L19)),"")</f>
        <v/>
      </c>
      <c r="I938" s="37">
        <f>IFERROR(IF(SUM('SW Rev'!J19:M19)&lt;=0,"",SUM('SW FCF'!J19:M19)/SUM('SW Rev'!J19:M19)),"")</f>
        <v/>
      </c>
      <c r="J938" s="37">
        <f>IFERROR(IF(SUM('SW Rev'!K19:N19)&lt;=0,"",SUM('SW FCF'!K19:N19)/SUM('SW Rev'!K19:N19)),"")</f>
        <v/>
      </c>
      <c r="K938" s="37">
        <f>IFERROR(IF(SUM('SW Rev'!L19:O19)&lt;=0,"",SUM('SW FCF'!L19:O19)/SUM('SW Rev'!L19:O19)),"")</f>
        <v/>
      </c>
      <c r="L938" s="37">
        <f>IFERROR(IF(SUM('SW Rev'!M19:P19)&lt;=0,"",SUM('SW FCF'!M19:P19)/SUM('SW Rev'!M19:P19)),"")</f>
        <v/>
      </c>
      <c r="M938" s="38">
        <f>IFERROR(IF(SUM('SW Rev'!N19:Q19)&lt;=0,"",SUM('SW FCF'!N19:Q19)/SUM('SW Rev'!N19:Q19)),"")</f>
        <v/>
      </c>
      <c r="N938" s="38">
        <f>IFERROR(IF(SUM('SW Rev'!O19:R19)&lt;=0,"",SUM('SW FCF'!O19:R19)/SUM('SW Rev'!O19:R19)),"")</f>
        <v/>
      </c>
    </row>
    <row r="939">
      <c r="A939" s="19">
        <f>'SW Rev'!$A20</f>
        <v/>
      </c>
      <c r="B939" s="19">
        <f>'SW Rev'!$B20</f>
        <v/>
      </c>
      <c r="C939" s="37">
        <f>IFERROR(IF(SUM('SW Rev'!D20:G20)&lt;=0,"",SUM('SW FCF'!D20:G20)/SUM('SW Rev'!D20:G20)),"")</f>
        <v/>
      </c>
      <c r="D939" s="37">
        <f>IFERROR(IF(SUM('SW Rev'!E20:H20)&lt;=0,"",SUM('SW FCF'!E20:H20)/SUM('SW Rev'!E20:H20)),"")</f>
        <v/>
      </c>
      <c r="E939" s="37">
        <f>IFERROR(IF(SUM('SW Rev'!F20:I20)&lt;=0,"",SUM('SW FCF'!F20:I20)/SUM('SW Rev'!F20:I20)),"")</f>
        <v/>
      </c>
      <c r="F939" s="37">
        <f>IFERROR(IF(SUM('SW Rev'!G20:J20)&lt;=0,"",SUM('SW FCF'!G20:J20)/SUM('SW Rev'!G20:J20)),"")</f>
        <v/>
      </c>
      <c r="G939" s="37">
        <f>IFERROR(IF(SUM('SW Rev'!H20:K20)&lt;=0,"",SUM('SW FCF'!H20:K20)/SUM('SW Rev'!H20:K20)),"")</f>
        <v/>
      </c>
      <c r="H939" s="37">
        <f>IFERROR(IF(SUM('SW Rev'!I20:L20)&lt;=0,"",SUM('SW FCF'!I20:L20)/SUM('SW Rev'!I20:L20)),"")</f>
        <v/>
      </c>
      <c r="I939" s="37">
        <f>IFERROR(IF(SUM('SW Rev'!J20:M20)&lt;=0,"",SUM('SW FCF'!J20:M20)/SUM('SW Rev'!J20:M20)),"")</f>
        <v/>
      </c>
      <c r="J939" s="37">
        <f>IFERROR(IF(SUM('SW Rev'!K20:N20)&lt;=0,"",SUM('SW FCF'!K20:N20)/SUM('SW Rev'!K20:N20)),"")</f>
        <v/>
      </c>
      <c r="K939" s="37">
        <f>IFERROR(IF(SUM('SW Rev'!L20:O20)&lt;=0,"",SUM('SW FCF'!L20:O20)/SUM('SW Rev'!L20:O20)),"")</f>
        <v/>
      </c>
      <c r="L939" s="37">
        <f>IFERROR(IF(SUM('SW Rev'!M20:P20)&lt;=0,"",SUM('SW FCF'!M20:P20)/SUM('SW Rev'!M20:P20)),"")</f>
        <v/>
      </c>
      <c r="M939" s="38">
        <f>IFERROR(IF(SUM('SW Rev'!N20:Q20)&lt;=0,"",SUM('SW FCF'!N20:Q20)/SUM('SW Rev'!N20:Q20)),"")</f>
        <v/>
      </c>
      <c r="N939" s="38">
        <f>IFERROR(IF(SUM('SW Rev'!O20:R20)&lt;=0,"",SUM('SW FCF'!O20:R20)/SUM('SW Rev'!O20:R20)),"")</f>
        <v/>
      </c>
    </row>
    <row r="940">
      <c r="A940" s="19">
        <f>'SW Rev'!$A21</f>
        <v/>
      </c>
      <c r="B940" s="19">
        <f>'SW Rev'!$B21</f>
        <v/>
      </c>
      <c r="C940" s="37">
        <f>IFERROR(IF(SUM('SW Rev'!D21:G21)&lt;=0,"",SUM('SW FCF'!D21:G21)/SUM('SW Rev'!D21:G21)),"")</f>
        <v/>
      </c>
      <c r="D940" s="37">
        <f>IFERROR(IF(SUM('SW Rev'!E21:H21)&lt;=0,"",SUM('SW FCF'!E21:H21)/SUM('SW Rev'!E21:H21)),"")</f>
        <v/>
      </c>
      <c r="E940" s="37">
        <f>IFERROR(IF(SUM('SW Rev'!F21:I21)&lt;=0,"",SUM('SW FCF'!F21:I21)/SUM('SW Rev'!F21:I21)),"")</f>
        <v/>
      </c>
      <c r="F940" s="37">
        <f>IFERROR(IF(SUM('SW Rev'!G21:J21)&lt;=0,"",SUM('SW FCF'!G21:J21)/SUM('SW Rev'!G21:J21)),"")</f>
        <v/>
      </c>
      <c r="G940" s="37">
        <f>IFERROR(IF(SUM('SW Rev'!H21:K21)&lt;=0,"",SUM('SW FCF'!H21:K21)/SUM('SW Rev'!H21:K21)),"")</f>
        <v/>
      </c>
      <c r="H940" s="37">
        <f>IFERROR(IF(SUM('SW Rev'!I21:L21)&lt;=0,"",SUM('SW FCF'!I21:L21)/SUM('SW Rev'!I21:L21)),"")</f>
        <v/>
      </c>
      <c r="I940" s="37">
        <f>IFERROR(IF(SUM('SW Rev'!J21:M21)&lt;=0,"",SUM('SW FCF'!J21:M21)/SUM('SW Rev'!J21:M21)),"")</f>
        <v/>
      </c>
      <c r="J940" s="37">
        <f>IFERROR(IF(SUM('SW Rev'!K21:N21)&lt;=0,"",SUM('SW FCF'!K21:N21)/SUM('SW Rev'!K21:N21)),"")</f>
        <v/>
      </c>
      <c r="K940" s="37">
        <f>IFERROR(IF(SUM('SW Rev'!L21:O21)&lt;=0,"",SUM('SW FCF'!L21:O21)/SUM('SW Rev'!L21:O21)),"")</f>
        <v/>
      </c>
      <c r="L940" s="37">
        <f>IFERROR(IF(SUM('SW Rev'!M21:P21)&lt;=0,"",SUM('SW FCF'!M21:P21)/SUM('SW Rev'!M21:P21)),"")</f>
        <v/>
      </c>
      <c r="M940" s="38">
        <f>IFERROR(IF(SUM('SW Rev'!N21:Q21)&lt;=0,"",SUM('SW FCF'!N21:Q21)/SUM('SW Rev'!N21:Q21)),"")</f>
        <v/>
      </c>
      <c r="N940" s="38">
        <f>IFERROR(IF(SUM('SW Rev'!O21:R21)&lt;=0,"",SUM('SW FCF'!O21:R21)/SUM('SW Rev'!O21:R21)),"")</f>
        <v/>
      </c>
    </row>
    <row r="941">
      <c r="A941" s="19">
        <f>'SW Rev'!$A22</f>
        <v/>
      </c>
      <c r="B941" s="19">
        <f>'SW Rev'!$B22</f>
        <v/>
      </c>
      <c r="C941" s="37">
        <f>IFERROR(IF(SUM('SW Rev'!D22:G22)&lt;=0,"",SUM('SW FCF'!D22:G22)/SUM('SW Rev'!D22:G22)),"")</f>
        <v/>
      </c>
      <c r="D941" s="37">
        <f>IFERROR(IF(SUM('SW Rev'!E22:H22)&lt;=0,"",SUM('SW FCF'!E22:H22)/SUM('SW Rev'!E22:H22)),"")</f>
        <v/>
      </c>
      <c r="E941" s="37">
        <f>IFERROR(IF(SUM('SW Rev'!F22:I22)&lt;=0,"",SUM('SW FCF'!F22:I22)/SUM('SW Rev'!F22:I22)),"")</f>
        <v/>
      </c>
      <c r="F941" s="37">
        <f>IFERROR(IF(SUM('SW Rev'!G22:J22)&lt;=0,"",SUM('SW FCF'!G22:J22)/SUM('SW Rev'!G22:J22)),"")</f>
        <v/>
      </c>
      <c r="G941" s="37">
        <f>IFERROR(IF(SUM('SW Rev'!H22:K22)&lt;=0,"",SUM('SW FCF'!H22:K22)/SUM('SW Rev'!H22:K22)),"")</f>
        <v/>
      </c>
      <c r="H941" s="37">
        <f>IFERROR(IF(SUM('SW Rev'!I22:L22)&lt;=0,"",SUM('SW FCF'!I22:L22)/SUM('SW Rev'!I22:L22)),"")</f>
        <v/>
      </c>
      <c r="I941" s="37">
        <f>IFERROR(IF(SUM('SW Rev'!J22:M22)&lt;=0,"",SUM('SW FCF'!J22:M22)/SUM('SW Rev'!J22:M22)),"")</f>
        <v/>
      </c>
      <c r="J941" s="37">
        <f>IFERROR(IF(SUM('SW Rev'!K22:N22)&lt;=0,"",SUM('SW FCF'!K22:N22)/SUM('SW Rev'!K22:N22)),"")</f>
        <v/>
      </c>
      <c r="K941" s="37">
        <f>IFERROR(IF(SUM('SW Rev'!L22:O22)&lt;=0,"",SUM('SW FCF'!L22:O22)/SUM('SW Rev'!L22:O22)),"")</f>
        <v/>
      </c>
      <c r="L941" s="37">
        <f>IFERROR(IF(SUM('SW Rev'!M22:P22)&lt;=0,"",SUM('SW FCF'!M22:P22)/SUM('SW Rev'!M22:P22)),"")</f>
        <v/>
      </c>
      <c r="M941" s="38">
        <f>IFERROR(IF(SUM('SW Rev'!N22:Q22)&lt;=0,"",SUM('SW FCF'!N22:Q22)/SUM('SW Rev'!N22:Q22)),"")</f>
        <v/>
      </c>
      <c r="N941" s="38">
        <f>IFERROR(IF(SUM('SW Rev'!O22:R22)&lt;=0,"",SUM('SW FCF'!O22:R22)/SUM('SW Rev'!O22:R22)),"")</f>
        <v/>
      </c>
    </row>
    <row r="942">
      <c r="A942" s="19">
        <f>'SW Rev'!$A23</f>
        <v/>
      </c>
      <c r="B942" s="19">
        <f>'SW Rev'!$B23</f>
        <v/>
      </c>
      <c r="C942" s="37">
        <f>IFERROR(IF(SUM('SW Rev'!D23:G23)&lt;=0,"",SUM('SW FCF'!D23:G23)/SUM('SW Rev'!D23:G23)),"")</f>
        <v/>
      </c>
      <c r="D942" s="37">
        <f>IFERROR(IF(SUM('SW Rev'!E23:H23)&lt;=0,"",SUM('SW FCF'!E23:H23)/SUM('SW Rev'!E23:H23)),"")</f>
        <v/>
      </c>
      <c r="E942" s="37">
        <f>IFERROR(IF(SUM('SW Rev'!F23:I23)&lt;=0,"",SUM('SW FCF'!F23:I23)/SUM('SW Rev'!F23:I23)),"")</f>
        <v/>
      </c>
      <c r="F942" s="37">
        <f>IFERROR(IF(SUM('SW Rev'!G23:J23)&lt;=0,"",SUM('SW FCF'!G23:J23)/SUM('SW Rev'!G23:J23)),"")</f>
        <v/>
      </c>
      <c r="G942" s="37">
        <f>IFERROR(IF(SUM('SW Rev'!H23:K23)&lt;=0,"",SUM('SW FCF'!H23:K23)/SUM('SW Rev'!H23:K23)),"")</f>
        <v/>
      </c>
      <c r="H942" s="37">
        <f>IFERROR(IF(SUM('SW Rev'!I23:L23)&lt;=0,"",SUM('SW FCF'!I23:L23)/SUM('SW Rev'!I23:L23)),"")</f>
        <v/>
      </c>
      <c r="I942" s="37">
        <f>IFERROR(IF(SUM('SW Rev'!J23:M23)&lt;=0,"",SUM('SW FCF'!J23:M23)/SUM('SW Rev'!J23:M23)),"")</f>
        <v/>
      </c>
      <c r="J942" s="37">
        <f>IFERROR(IF(SUM('SW Rev'!K23:N23)&lt;=0,"",SUM('SW FCF'!K23:N23)/SUM('SW Rev'!K23:N23)),"")</f>
        <v/>
      </c>
      <c r="K942" s="37">
        <f>IFERROR(IF(SUM('SW Rev'!L23:O23)&lt;=0,"",SUM('SW FCF'!L23:O23)/SUM('SW Rev'!L23:O23)),"")</f>
        <v/>
      </c>
      <c r="L942" s="37">
        <f>IFERROR(IF(SUM('SW Rev'!M23:P23)&lt;=0,"",SUM('SW FCF'!M23:P23)/SUM('SW Rev'!M23:P23)),"")</f>
        <v/>
      </c>
      <c r="M942" s="38">
        <f>IFERROR(IF(SUM('SW Rev'!N23:Q23)&lt;=0,"",SUM('SW FCF'!N23:Q23)/SUM('SW Rev'!N23:Q23)),"")</f>
        <v/>
      </c>
      <c r="N942" s="38">
        <f>IFERROR(IF(SUM('SW Rev'!O23:R23)&lt;=0,"",SUM('SW FCF'!O23:R23)/SUM('SW Rev'!O23:R23)),"")</f>
        <v/>
      </c>
    </row>
    <row r="943">
      <c r="A943" s="19">
        <f>'SW Rev'!$A24</f>
        <v/>
      </c>
      <c r="B943" s="19">
        <f>'SW Rev'!$B24</f>
        <v/>
      </c>
      <c r="C943" s="37">
        <f>IFERROR(IF(SUM('SW Rev'!D24:G24)&lt;=0,"",SUM('SW FCF'!D24:G24)/SUM('SW Rev'!D24:G24)),"")</f>
        <v/>
      </c>
      <c r="D943" s="37">
        <f>IFERROR(IF(SUM('SW Rev'!E24:H24)&lt;=0,"",SUM('SW FCF'!E24:H24)/SUM('SW Rev'!E24:H24)),"")</f>
        <v/>
      </c>
      <c r="E943" s="37">
        <f>IFERROR(IF(SUM('SW Rev'!F24:I24)&lt;=0,"",SUM('SW FCF'!F24:I24)/SUM('SW Rev'!F24:I24)),"")</f>
        <v/>
      </c>
      <c r="F943" s="37">
        <f>IFERROR(IF(SUM('SW Rev'!G24:J24)&lt;=0,"",SUM('SW FCF'!G24:J24)/SUM('SW Rev'!G24:J24)),"")</f>
        <v/>
      </c>
      <c r="G943" s="37">
        <f>IFERROR(IF(SUM('SW Rev'!H24:K24)&lt;=0,"",SUM('SW FCF'!H24:K24)/SUM('SW Rev'!H24:K24)),"")</f>
        <v/>
      </c>
      <c r="H943" s="37">
        <f>IFERROR(IF(SUM('SW Rev'!I24:L24)&lt;=0,"",SUM('SW FCF'!I24:L24)/SUM('SW Rev'!I24:L24)),"")</f>
        <v/>
      </c>
      <c r="I943" s="37">
        <f>IFERROR(IF(SUM('SW Rev'!J24:M24)&lt;=0,"",SUM('SW FCF'!J24:M24)/SUM('SW Rev'!J24:M24)),"")</f>
        <v/>
      </c>
      <c r="J943" s="37">
        <f>IFERROR(IF(SUM('SW Rev'!K24:N24)&lt;=0,"",SUM('SW FCF'!K24:N24)/SUM('SW Rev'!K24:N24)),"")</f>
        <v/>
      </c>
      <c r="K943" s="37">
        <f>IFERROR(IF(SUM('SW Rev'!L24:O24)&lt;=0,"",SUM('SW FCF'!L24:O24)/SUM('SW Rev'!L24:O24)),"")</f>
        <v/>
      </c>
      <c r="L943" s="37">
        <f>IFERROR(IF(SUM('SW Rev'!M24:P24)&lt;=0,"",SUM('SW FCF'!M24:P24)/SUM('SW Rev'!M24:P24)),"")</f>
        <v/>
      </c>
      <c r="M943" s="38">
        <f>IFERROR(IF(SUM('SW Rev'!N24:Q24)&lt;=0,"",SUM('SW FCF'!N24:Q24)/SUM('SW Rev'!N24:Q24)),"")</f>
        <v/>
      </c>
      <c r="N943" s="38">
        <f>IFERROR(IF(SUM('SW Rev'!O24:R24)&lt;=0,"",SUM('SW FCF'!O24:R24)/SUM('SW Rev'!O24:R24)),"")</f>
        <v/>
      </c>
    </row>
    <row r="944">
      <c r="A944" s="19">
        <f>'SW Rev'!$A25</f>
        <v/>
      </c>
      <c r="B944" s="19">
        <f>'SW Rev'!$B25</f>
        <v/>
      </c>
      <c r="C944" s="37">
        <f>IFERROR(IF(SUM('SW Rev'!D25:G25)&lt;=0,"",SUM('SW FCF'!D25:G25)/SUM('SW Rev'!D25:G25)),"")</f>
        <v/>
      </c>
      <c r="D944" s="37">
        <f>IFERROR(IF(SUM('SW Rev'!E25:H25)&lt;=0,"",SUM('SW FCF'!E25:H25)/SUM('SW Rev'!E25:H25)),"")</f>
        <v/>
      </c>
      <c r="E944" s="37">
        <f>IFERROR(IF(SUM('SW Rev'!F25:I25)&lt;=0,"",SUM('SW FCF'!F25:I25)/SUM('SW Rev'!F25:I25)),"")</f>
        <v/>
      </c>
      <c r="F944" s="37">
        <f>IFERROR(IF(SUM('SW Rev'!G25:J25)&lt;=0,"",SUM('SW FCF'!G25:J25)/SUM('SW Rev'!G25:J25)),"")</f>
        <v/>
      </c>
      <c r="G944" s="37">
        <f>IFERROR(IF(SUM('SW Rev'!H25:K25)&lt;=0,"",SUM('SW FCF'!H25:K25)/SUM('SW Rev'!H25:K25)),"")</f>
        <v/>
      </c>
      <c r="H944" s="37">
        <f>IFERROR(IF(SUM('SW Rev'!I25:L25)&lt;=0,"",SUM('SW FCF'!I25:L25)/SUM('SW Rev'!I25:L25)),"")</f>
        <v/>
      </c>
      <c r="I944" s="37">
        <f>IFERROR(IF(SUM('SW Rev'!J25:M25)&lt;=0,"",SUM('SW FCF'!J25:M25)/SUM('SW Rev'!J25:M25)),"")</f>
        <v/>
      </c>
      <c r="J944" s="37">
        <f>IFERROR(IF(SUM('SW Rev'!K25:N25)&lt;=0,"",SUM('SW FCF'!K25:N25)/SUM('SW Rev'!K25:N25)),"")</f>
        <v/>
      </c>
      <c r="K944" s="37">
        <f>IFERROR(IF(SUM('SW Rev'!L25:O25)&lt;=0,"",SUM('SW FCF'!L25:O25)/SUM('SW Rev'!L25:O25)),"")</f>
        <v/>
      </c>
      <c r="L944" s="37">
        <f>IFERROR(IF(SUM('SW Rev'!M25:P25)&lt;=0,"",SUM('SW FCF'!M25:P25)/SUM('SW Rev'!M25:P25)),"")</f>
        <v/>
      </c>
      <c r="M944" s="38">
        <f>IFERROR(IF(SUM('SW Rev'!N25:Q25)&lt;=0,"",SUM('SW FCF'!N25:Q25)/SUM('SW Rev'!N25:Q25)),"")</f>
        <v/>
      </c>
      <c r="N944" s="38">
        <f>IFERROR(IF(SUM('SW Rev'!O25:R25)&lt;=0,"",SUM('SW FCF'!O25:R25)/SUM('SW Rev'!O25:R25)),"")</f>
        <v/>
      </c>
    </row>
    <row r="945">
      <c r="A945" s="19">
        <f>'SW Rev'!$A26</f>
        <v/>
      </c>
      <c r="B945" s="19">
        <f>'SW Rev'!$B26</f>
        <v/>
      </c>
      <c r="C945" s="37">
        <f>IFERROR(IF(SUM('SW Rev'!D26:G26)&lt;=0,"",SUM('SW FCF'!D26:G26)/SUM('SW Rev'!D26:G26)),"")</f>
        <v/>
      </c>
      <c r="D945" s="37">
        <f>IFERROR(IF(SUM('SW Rev'!E26:H26)&lt;=0,"",SUM('SW FCF'!E26:H26)/SUM('SW Rev'!E26:H26)),"")</f>
        <v/>
      </c>
      <c r="E945" s="37">
        <f>IFERROR(IF(SUM('SW Rev'!F26:I26)&lt;=0,"",SUM('SW FCF'!F26:I26)/SUM('SW Rev'!F26:I26)),"")</f>
        <v/>
      </c>
      <c r="F945" s="37">
        <f>IFERROR(IF(SUM('SW Rev'!G26:J26)&lt;=0,"",SUM('SW FCF'!G26:J26)/SUM('SW Rev'!G26:J26)),"")</f>
        <v/>
      </c>
      <c r="G945" s="37">
        <f>IFERROR(IF(SUM('SW Rev'!H26:K26)&lt;=0,"",SUM('SW FCF'!H26:K26)/SUM('SW Rev'!H26:K26)),"")</f>
        <v/>
      </c>
      <c r="H945" s="37">
        <f>IFERROR(IF(SUM('SW Rev'!I26:L26)&lt;=0,"",SUM('SW FCF'!I26:L26)/SUM('SW Rev'!I26:L26)),"")</f>
        <v/>
      </c>
      <c r="I945" s="37">
        <f>IFERROR(IF(SUM('SW Rev'!J26:M26)&lt;=0,"",SUM('SW FCF'!J26:M26)/SUM('SW Rev'!J26:M26)),"")</f>
        <v/>
      </c>
      <c r="J945" s="37">
        <f>IFERROR(IF(SUM('SW Rev'!K26:N26)&lt;=0,"",SUM('SW FCF'!K26:N26)/SUM('SW Rev'!K26:N26)),"")</f>
        <v/>
      </c>
      <c r="K945" s="37">
        <f>IFERROR(IF(SUM('SW Rev'!L26:O26)&lt;=0,"",SUM('SW FCF'!L26:O26)/SUM('SW Rev'!L26:O26)),"")</f>
        <v/>
      </c>
      <c r="L945" s="37">
        <f>IFERROR(IF(SUM('SW Rev'!M26:P26)&lt;=0,"",SUM('SW FCF'!M26:P26)/SUM('SW Rev'!M26:P26)),"")</f>
        <v/>
      </c>
      <c r="M945" s="38">
        <f>IFERROR(IF(SUM('SW Rev'!N26:Q26)&lt;=0,"",SUM('SW FCF'!N26:Q26)/SUM('SW Rev'!N26:Q26)),"")</f>
        <v/>
      </c>
      <c r="N945" s="38">
        <f>IFERROR(IF(SUM('SW Rev'!O26:R26)&lt;=0,"",SUM('SW FCF'!O26:R26)/SUM('SW Rev'!O26:R26)),"")</f>
        <v/>
      </c>
    </row>
    <row r="946">
      <c r="A946" s="19">
        <f>'SW Rev'!$A27</f>
        <v/>
      </c>
      <c r="B946" s="19">
        <f>'SW Rev'!$B27</f>
        <v/>
      </c>
      <c r="C946" s="37">
        <f>IFERROR(IF(SUM('SW Rev'!D27:G27)&lt;=0,"",SUM('SW FCF'!D27:G27)/SUM('SW Rev'!D27:G27)),"")</f>
        <v/>
      </c>
      <c r="D946" s="37">
        <f>IFERROR(IF(SUM('SW Rev'!E27:H27)&lt;=0,"",SUM('SW FCF'!E27:H27)/SUM('SW Rev'!E27:H27)),"")</f>
        <v/>
      </c>
      <c r="E946" s="37">
        <f>IFERROR(IF(SUM('SW Rev'!F27:I27)&lt;=0,"",SUM('SW FCF'!F27:I27)/SUM('SW Rev'!F27:I27)),"")</f>
        <v/>
      </c>
      <c r="F946" s="37">
        <f>IFERROR(IF(SUM('SW Rev'!G27:J27)&lt;=0,"",SUM('SW FCF'!G27:J27)/SUM('SW Rev'!G27:J27)),"")</f>
        <v/>
      </c>
      <c r="G946" s="37">
        <f>IFERROR(IF(SUM('SW Rev'!H27:K27)&lt;=0,"",SUM('SW FCF'!H27:K27)/SUM('SW Rev'!H27:K27)),"")</f>
        <v/>
      </c>
      <c r="H946" s="37">
        <f>IFERROR(IF(SUM('SW Rev'!I27:L27)&lt;=0,"",SUM('SW FCF'!I27:L27)/SUM('SW Rev'!I27:L27)),"")</f>
        <v/>
      </c>
      <c r="I946" s="37">
        <f>IFERROR(IF(SUM('SW Rev'!J27:M27)&lt;=0,"",SUM('SW FCF'!J27:M27)/SUM('SW Rev'!J27:M27)),"")</f>
        <v/>
      </c>
      <c r="J946" s="37">
        <f>IFERROR(IF(SUM('SW Rev'!K27:N27)&lt;=0,"",SUM('SW FCF'!K27:N27)/SUM('SW Rev'!K27:N27)),"")</f>
        <v/>
      </c>
      <c r="K946" s="37">
        <f>IFERROR(IF(SUM('SW Rev'!L27:O27)&lt;=0,"",SUM('SW FCF'!L27:O27)/SUM('SW Rev'!L27:O27)),"")</f>
        <v/>
      </c>
      <c r="L946" s="37">
        <f>IFERROR(IF(SUM('SW Rev'!M27:P27)&lt;=0,"",SUM('SW FCF'!M27:P27)/SUM('SW Rev'!M27:P27)),"")</f>
        <v/>
      </c>
      <c r="M946" s="38">
        <f>IFERROR(IF(SUM('SW Rev'!N27:Q27)&lt;=0,"",SUM('SW FCF'!N27:Q27)/SUM('SW Rev'!N27:Q27)),"")</f>
        <v/>
      </c>
      <c r="N946" s="38">
        <f>IFERROR(IF(SUM('SW Rev'!O27:R27)&lt;=0,"",SUM('SW FCF'!O27:R27)/SUM('SW Rev'!O27:R27)),"")</f>
        <v/>
      </c>
    </row>
    <row r="947">
      <c r="A947" s="19">
        <f>'SW Rev'!$A28</f>
        <v/>
      </c>
      <c r="B947" s="19">
        <f>'SW Rev'!$B28</f>
        <v/>
      </c>
      <c r="C947" s="37">
        <f>IFERROR(IF(SUM('SW Rev'!D28:G28)&lt;=0,"",SUM('SW FCF'!D28:G28)/SUM('SW Rev'!D28:G28)),"")</f>
        <v/>
      </c>
      <c r="D947" s="37">
        <f>IFERROR(IF(SUM('SW Rev'!E28:H28)&lt;=0,"",SUM('SW FCF'!E28:H28)/SUM('SW Rev'!E28:H28)),"")</f>
        <v/>
      </c>
      <c r="E947" s="37">
        <f>IFERROR(IF(SUM('SW Rev'!F28:I28)&lt;=0,"",SUM('SW FCF'!F28:I28)/SUM('SW Rev'!F28:I28)),"")</f>
        <v/>
      </c>
      <c r="F947" s="37">
        <f>IFERROR(IF(SUM('SW Rev'!G28:J28)&lt;=0,"",SUM('SW FCF'!G28:J28)/SUM('SW Rev'!G28:J28)),"")</f>
        <v/>
      </c>
      <c r="G947" s="37">
        <f>IFERROR(IF(SUM('SW Rev'!H28:K28)&lt;=0,"",SUM('SW FCF'!H28:K28)/SUM('SW Rev'!H28:K28)),"")</f>
        <v/>
      </c>
      <c r="H947" s="37">
        <f>IFERROR(IF(SUM('SW Rev'!I28:L28)&lt;=0,"",SUM('SW FCF'!I28:L28)/SUM('SW Rev'!I28:L28)),"")</f>
        <v/>
      </c>
      <c r="I947" s="37">
        <f>IFERROR(IF(SUM('SW Rev'!J28:M28)&lt;=0,"",SUM('SW FCF'!J28:M28)/SUM('SW Rev'!J28:M28)),"")</f>
        <v/>
      </c>
      <c r="J947" s="37">
        <f>IFERROR(IF(SUM('SW Rev'!K28:N28)&lt;=0,"",SUM('SW FCF'!K28:N28)/SUM('SW Rev'!K28:N28)),"")</f>
        <v/>
      </c>
      <c r="K947" s="37">
        <f>IFERROR(IF(SUM('SW Rev'!L28:O28)&lt;=0,"",SUM('SW FCF'!L28:O28)/SUM('SW Rev'!L28:O28)),"")</f>
        <v/>
      </c>
      <c r="L947" s="37">
        <f>IFERROR(IF(SUM('SW Rev'!M28:P28)&lt;=0,"",SUM('SW FCF'!M28:P28)/SUM('SW Rev'!M28:P28)),"")</f>
        <v/>
      </c>
      <c r="M947" s="38">
        <f>IFERROR(IF(SUM('SW Rev'!N28:Q28)&lt;=0,"",SUM('SW FCF'!N28:Q28)/SUM('SW Rev'!N28:Q28)),"")</f>
        <v/>
      </c>
      <c r="N947" s="38">
        <f>IFERROR(IF(SUM('SW Rev'!O28:R28)&lt;=0,"",SUM('SW FCF'!O28:R28)/SUM('SW Rev'!O28:R28)),"")</f>
        <v/>
      </c>
    </row>
    <row r="948">
      <c r="A948" s="19">
        <f>'SW Rev'!$A29</f>
        <v/>
      </c>
      <c r="B948" s="19">
        <f>'SW Rev'!$B29</f>
        <v/>
      </c>
      <c r="C948" s="37">
        <f>IFERROR(IF(SUM('SW Rev'!D29:G29)&lt;=0,"",SUM('SW FCF'!D29:G29)/SUM('SW Rev'!D29:G29)),"")</f>
        <v/>
      </c>
      <c r="D948" s="37">
        <f>IFERROR(IF(SUM('SW Rev'!E29:H29)&lt;=0,"",SUM('SW FCF'!E29:H29)/SUM('SW Rev'!E29:H29)),"")</f>
        <v/>
      </c>
      <c r="E948" s="37">
        <f>IFERROR(IF(SUM('SW Rev'!F29:I29)&lt;=0,"",SUM('SW FCF'!F29:I29)/SUM('SW Rev'!F29:I29)),"")</f>
        <v/>
      </c>
      <c r="F948" s="37">
        <f>IFERROR(IF(SUM('SW Rev'!G29:J29)&lt;=0,"",SUM('SW FCF'!G29:J29)/SUM('SW Rev'!G29:J29)),"")</f>
        <v/>
      </c>
      <c r="G948" s="37">
        <f>IFERROR(IF(SUM('SW Rev'!H29:K29)&lt;=0,"",SUM('SW FCF'!H29:K29)/SUM('SW Rev'!H29:K29)),"")</f>
        <v/>
      </c>
      <c r="H948" s="37">
        <f>IFERROR(IF(SUM('SW Rev'!I29:L29)&lt;=0,"",SUM('SW FCF'!I29:L29)/SUM('SW Rev'!I29:L29)),"")</f>
        <v/>
      </c>
      <c r="I948" s="37">
        <f>IFERROR(IF(SUM('SW Rev'!J29:M29)&lt;=0,"",SUM('SW FCF'!J29:M29)/SUM('SW Rev'!J29:M29)),"")</f>
        <v/>
      </c>
      <c r="J948" s="37">
        <f>IFERROR(IF(SUM('SW Rev'!K29:N29)&lt;=0,"",SUM('SW FCF'!K29:N29)/SUM('SW Rev'!K29:N29)),"")</f>
        <v/>
      </c>
      <c r="K948" s="37">
        <f>IFERROR(IF(SUM('SW Rev'!L29:O29)&lt;=0,"",SUM('SW FCF'!L29:O29)/SUM('SW Rev'!L29:O29)),"")</f>
        <v/>
      </c>
      <c r="L948" s="37">
        <f>IFERROR(IF(SUM('SW Rev'!M29:P29)&lt;=0,"",SUM('SW FCF'!M29:P29)/SUM('SW Rev'!M29:P29)),"")</f>
        <v/>
      </c>
      <c r="M948" s="38">
        <f>IFERROR(IF(SUM('SW Rev'!N29:Q29)&lt;=0,"",SUM('SW FCF'!N29:Q29)/SUM('SW Rev'!N29:Q29)),"")</f>
        <v/>
      </c>
      <c r="N948" s="38">
        <f>IFERROR(IF(SUM('SW Rev'!O29:R29)&lt;=0,"",SUM('SW FCF'!O29:R29)/SUM('SW Rev'!O29:R29)),"")</f>
        <v/>
      </c>
    </row>
    <row r="949">
      <c r="A949" s="19">
        <f>'SW Rev'!$A30</f>
        <v/>
      </c>
      <c r="B949" s="19">
        <f>'SW Rev'!$B30</f>
        <v/>
      </c>
      <c r="C949" s="37">
        <f>IFERROR(IF(SUM('SW Rev'!D30:G30)&lt;=0,"",SUM('SW FCF'!D30:G30)/SUM('SW Rev'!D30:G30)),"")</f>
        <v/>
      </c>
      <c r="D949" s="37">
        <f>IFERROR(IF(SUM('SW Rev'!E30:H30)&lt;=0,"",SUM('SW FCF'!E30:H30)/SUM('SW Rev'!E30:H30)),"")</f>
        <v/>
      </c>
      <c r="E949" s="37">
        <f>IFERROR(IF(SUM('SW Rev'!F30:I30)&lt;=0,"",SUM('SW FCF'!F30:I30)/SUM('SW Rev'!F30:I30)),"")</f>
        <v/>
      </c>
      <c r="F949" s="37">
        <f>IFERROR(IF(SUM('SW Rev'!G30:J30)&lt;=0,"",SUM('SW FCF'!G30:J30)/SUM('SW Rev'!G30:J30)),"")</f>
        <v/>
      </c>
      <c r="G949" s="37">
        <f>IFERROR(IF(SUM('SW Rev'!H30:K30)&lt;=0,"",SUM('SW FCF'!H30:K30)/SUM('SW Rev'!H30:K30)),"")</f>
        <v/>
      </c>
      <c r="H949" s="37">
        <f>IFERROR(IF(SUM('SW Rev'!I30:L30)&lt;=0,"",SUM('SW FCF'!I30:L30)/SUM('SW Rev'!I30:L30)),"")</f>
        <v/>
      </c>
      <c r="I949" s="37">
        <f>IFERROR(IF(SUM('SW Rev'!J30:M30)&lt;=0,"",SUM('SW FCF'!J30:M30)/SUM('SW Rev'!J30:M30)),"")</f>
        <v/>
      </c>
      <c r="J949" s="37">
        <f>IFERROR(IF(SUM('SW Rev'!K30:N30)&lt;=0,"",SUM('SW FCF'!K30:N30)/SUM('SW Rev'!K30:N30)),"")</f>
        <v/>
      </c>
      <c r="K949" s="37">
        <f>IFERROR(IF(SUM('SW Rev'!L30:O30)&lt;=0,"",SUM('SW FCF'!L30:O30)/SUM('SW Rev'!L30:O30)),"")</f>
        <v/>
      </c>
      <c r="L949" s="37">
        <f>IFERROR(IF(SUM('SW Rev'!M30:P30)&lt;=0,"",SUM('SW FCF'!M30:P30)/SUM('SW Rev'!M30:P30)),"")</f>
        <v/>
      </c>
      <c r="M949" s="38">
        <f>IFERROR(IF(SUM('SW Rev'!N30:Q30)&lt;=0,"",SUM('SW FCF'!N30:Q30)/SUM('SW Rev'!N30:Q30)),"")</f>
        <v/>
      </c>
      <c r="N949" s="38">
        <f>IFERROR(IF(SUM('SW Rev'!O30:R30)&lt;=0,"",SUM('SW FCF'!O30:R30)/SUM('SW Rev'!O30:R30)),"")</f>
        <v/>
      </c>
    </row>
    <row r="950">
      <c r="A950" s="19">
        <f>'SW Rev'!$A31</f>
        <v/>
      </c>
      <c r="B950" s="19">
        <f>'SW Rev'!$B31</f>
        <v/>
      </c>
      <c r="C950" s="37">
        <f>IFERROR(IF(SUM('SW Rev'!D31:G31)&lt;=0,"",SUM('SW FCF'!D31:G31)/SUM('SW Rev'!D31:G31)),"")</f>
        <v/>
      </c>
      <c r="D950" s="37">
        <f>IFERROR(IF(SUM('SW Rev'!E31:H31)&lt;=0,"",SUM('SW FCF'!E31:H31)/SUM('SW Rev'!E31:H31)),"")</f>
        <v/>
      </c>
      <c r="E950" s="37">
        <f>IFERROR(IF(SUM('SW Rev'!F31:I31)&lt;=0,"",SUM('SW FCF'!F31:I31)/SUM('SW Rev'!F31:I31)),"")</f>
        <v/>
      </c>
      <c r="F950" s="37">
        <f>IFERROR(IF(SUM('SW Rev'!G31:J31)&lt;=0,"",SUM('SW FCF'!G31:J31)/SUM('SW Rev'!G31:J31)),"")</f>
        <v/>
      </c>
      <c r="G950" s="37">
        <f>IFERROR(IF(SUM('SW Rev'!H31:K31)&lt;=0,"",SUM('SW FCF'!H31:K31)/SUM('SW Rev'!H31:K31)),"")</f>
        <v/>
      </c>
      <c r="H950" s="37">
        <f>IFERROR(IF(SUM('SW Rev'!I31:L31)&lt;=0,"",SUM('SW FCF'!I31:L31)/SUM('SW Rev'!I31:L31)),"")</f>
        <v/>
      </c>
      <c r="I950" s="37">
        <f>IFERROR(IF(SUM('SW Rev'!J31:M31)&lt;=0,"",SUM('SW FCF'!J31:M31)/SUM('SW Rev'!J31:M31)),"")</f>
        <v/>
      </c>
      <c r="J950" s="37">
        <f>IFERROR(IF(SUM('SW Rev'!K31:N31)&lt;=0,"",SUM('SW FCF'!K31:N31)/SUM('SW Rev'!K31:N31)),"")</f>
        <v/>
      </c>
      <c r="K950" s="37">
        <f>IFERROR(IF(SUM('SW Rev'!L31:O31)&lt;=0,"",SUM('SW FCF'!L31:O31)/SUM('SW Rev'!L31:O31)),"")</f>
        <v/>
      </c>
      <c r="L950" s="37">
        <f>IFERROR(IF(SUM('SW Rev'!M31:P31)&lt;=0,"",SUM('SW FCF'!M31:P31)/SUM('SW Rev'!M31:P31)),"")</f>
        <v/>
      </c>
      <c r="M950" s="38">
        <f>IFERROR(IF(SUM('SW Rev'!N31:Q31)&lt;=0,"",SUM('SW FCF'!N31:Q31)/SUM('SW Rev'!N31:Q31)),"")</f>
        <v/>
      </c>
      <c r="N950" s="38">
        <f>IFERROR(IF(SUM('SW Rev'!O31:R31)&lt;=0,"",SUM('SW FCF'!O31:R31)/SUM('SW Rev'!O31:R31)),"")</f>
        <v/>
      </c>
    </row>
    <row r="951">
      <c r="A951" s="19">
        <f>'SW Rev'!$A32</f>
        <v/>
      </c>
      <c r="B951" s="19">
        <f>'SW Rev'!$B32</f>
        <v/>
      </c>
      <c r="C951" s="37">
        <f>IFERROR(IF(SUM('SW Rev'!D32:G32)&lt;=0,"",SUM('SW FCF'!D32:G32)/SUM('SW Rev'!D32:G32)),"")</f>
        <v/>
      </c>
      <c r="D951" s="37">
        <f>IFERROR(IF(SUM('SW Rev'!E32:H32)&lt;=0,"",SUM('SW FCF'!E32:H32)/SUM('SW Rev'!E32:H32)),"")</f>
        <v/>
      </c>
      <c r="E951" s="37">
        <f>IFERROR(IF(SUM('SW Rev'!F32:I32)&lt;=0,"",SUM('SW FCF'!F32:I32)/SUM('SW Rev'!F32:I32)),"")</f>
        <v/>
      </c>
      <c r="F951" s="37">
        <f>IFERROR(IF(SUM('SW Rev'!G32:J32)&lt;=0,"",SUM('SW FCF'!G32:J32)/SUM('SW Rev'!G32:J32)),"")</f>
        <v/>
      </c>
      <c r="G951" s="37">
        <f>IFERROR(IF(SUM('SW Rev'!H32:K32)&lt;=0,"",SUM('SW FCF'!H32:K32)/SUM('SW Rev'!H32:K32)),"")</f>
        <v/>
      </c>
      <c r="H951" s="37">
        <f>IFERROR(IF(SUM('SW Rev'!I32:L32)&lt;=0,"",SUM('SW FCF'!I32:L32)/SUM('SW Rev'!I32:L32)),"")</f>
        <v/>
      </c>
      <c r="I951" s="37">
        <f>IFERROR(IF(SUM('SW Rev'!J32:M32)&lt;=0,"",SUM('SW FCF'!J32:M32)/SUM('SW Rev'!J32:M32)),"")</f>
        <v/>
      </c>
      <c r="J951" s="37">
        <f>IFERROR(IF(SUM('SW Rev'!K32:N32)&lt;=0,"",SUM('SW FCF'!K32:N32)/SUM('SW Rev'!K32:N32)),"")</f>
        <v/>
      </c>
      <c r="K951" s="37">
        <f>IFERROR(IF(SUM('SW Rev'!L32:O32)&lt;=0,"",SUM('SW FCF'!L32:O32)/SUM('SW Rev'!L32:O32)),"")</f>
        <v/>
      </c>
      <c r="L951" s="37">
        <f>IFERROR(IF(SUM('SW Rev'!M32:P32)&lt;=0,"",SUM('SW FCF'!M32:P32)/SUM('SW Rev'!M32:P32)),"")</f>
        <v/>
      </c>
      <c r="M951" s="38">
        <f>IFERROR(IF(SUM('SW Rev'!N32:Q32)&lt;=0,"",SUM('SW FCF'!N32:Q32)/SUM('SW Rev'!N32:Q32)),"")</f>
        <v/>
      </c>
      <c r="N951" s="38">
        <f>IFERROR(IF(SUM('SW Rev'!O32:R32)&lt;=0,"",SUM('SW FCF'!O32:R32)/SUM('SW Rev'!O32:R32)),"")</f>
        <v/>
      </c>
    </row>
    <row r="952">
      <c r="A952" s="19">
        <f>'SW Rev'!$A33</f>
        <v/>
      </c>
      <c r="B952" s="19">
        <f>'SW Rev'!$B33</f>
        <v/>
      </c>
      <c r="C952" s="37">
        <f>IFERROR(IF(SUM('SW Rev'!D33:G33)&lt;=0,"",SUM('SW FCF'!D33:G33)/SUM('SW Rev'!D33:G33)),"")</f>
        <v/>
      </c>
      <c r="D952" s="37">
        <f>IFERROR(IF(SUM('SW Rev'!E33:H33)&lt;=0,"",SUM('SW FCF'!E33:H33)/SUM('SW Rev'!E33:H33)),"")</f>
        <v/>
      </c>
      <c r="E952" s="37">
        <f>IFERROR(IF(SUM('SW Rev'!F33:I33)&lt;=0,"",SUM('SW FCF'!F33:I33)/SUM('SW Rev'!F33:I33)),"")</f>
        <v/>
      </c>
      <c r="F952" s="37">
        <f>IFERROR(IF(SUM('SW Rev'!G33:J33)&lt;=0,"",SUM('SW FCF'!G33:J33)/SUM('SW Rev'!G33:J33)),"")</f>
        <v/>
      </c>
      <c r="G952" s="37">
        <f>IFERROR(IF(SUM('SW Rev'!H33:K33)&lt;=0,"",SUM('SW FCF'!H33:K33)/SUM('SW Rev'!H33:K33)),"")</f>
        <v/>
      </c>
      <c r="H952" s="37">
        <f>IFERROR(IF(SUM('SW Rev'!I33:L33)&lt;=0,"",SUM('SW FCF'!I33:L33)/SUM('SW Rev'!I33:L33)),"")</f>
        <v/>
      </c>
      <c r="I952" s="37">
        <f>IFERROR(IF(SUM('SW Rev'!J33:M33)&lt;=0,"",SUM('SW FCF'!J33:M33)/SUM('SW Rev'!J33:M33)),"")</f>
        <v/>
      </c>
      <c r="J952" s="37">
        <f>IFERROR(IF(SUM('SW Rev'!K33:N33)&lt;=0,"",SUM('SW FCF'!K33:N33)/SUM('SW Rev'!K33:N33)),"")</f>
        <v/>
      </c>
      <c r="K952" s="37">
        <f>IFERROR(IF(SUM('SW Rev'!L33:O33)&lt;=0,"",SUM('SW FCF'!L33:O33)/SUM('SW Rev'!L33:O33)),"")</f>
        <v/>
      </c>
      <c r="L952" s="37">
        <f>IFERROR(IF(SUM('SW Rev'!M33:P33)&lt;=0,"",SUM('SW FCF'!M33:P33)/SUM('SW Rev'!M33:P33)),"")</f>
        <v/>
      </c>
      <c r="M952" s="38">
        <f>IFERROR(IF(SUM('SW Rev'!N33:Q33)&lt;=0,"",SUM('SW FCF'!N33:Q33)/SUM('SW Rev'!N33:Q33)),"")</f>
        <v/>
      </c>
      <c r="N952" s="38">
        <f>IFERROR(IF(SUM('SW Rev'!O33:R33)&lt;=0,"",SUM('SW FCF'!O33:R33)/SUM('SW Rev'!O33:R33)),"")</f>
        <v/>
      </c>
    </row>
    <row r="953">
      <c r="A953" s="19">
        <f>'SW Rev'!$A34</f>
        <v/>
      </c>
      <c r="B953" s="19">
        <f>'SW Rev'!$B34</f>
        <v/>
      </c>
      <c r="C953" s="37">
        <f>IFERROR(IF(SUM('SW Rev'!D34:G34)&lt;=0,"",SUM('SW FCF'!D34:G34)/SUM('SW Rev'!D34:G34)),"")</f>
        <v/>
      </c>
      <c r="D953" s="37">
        <f>IFERROR(IF(SUM('SW Rev'!E34:H34)&lt;=0,"",SUM('SW FCF'!E34:H34)/SUM('SW Rev'!E34:H34)),"")</f>
        <v/>
      </c>
      <c r="E953" s="37">
        <f>IFERROR(IF(SUM('SW Rev'!F34:I34)&lt;=0,"",SUM('SW FCF'!F34:I34)/SUM('SW Rev'!F34:I34)),"")</f>
        <v/>
      </c>
      <c r="F953" s="37">
        <f>IFERROR(IF(SUM('SW Rev'!G34:J34)&lt;=0,"",SUM('SW FCF'!G34:J34)/SUM('SW Rev'!G34:J34)),"")</f>
        <v/>
      </c>
      <c r="G953" s="37">
        <f>IFERROR(IF(SUM('SW Rev'!H34:K34)&lt;=0,"",SUM('SW FCF'!H34:K34)/SUM('SW Rev'!H34:K34)),"")</f>
        <v/>
      </c>
      <c r="H953" s="37">
        <f>IFERROR(IF(SUM('SW Rev'!I34:L34)&lt;=0,"",SUM('SW FCF'!I34:L34)/SUM('SW Rev'!I34:L34)),"")</f>
        <v/>
      </c>
      <c r="I953" s="37">
        <f>IFERROR(IF(SUM('SW Rev'!J34:M34)&lt;=0,"",SUM('SW FCF'!J34:M34)/SUM('SW Rev'!J34:M34)),"")</f>
        <v/>
      </c>
      <c r="J953" s="37">
        <f>IFERROR(IF(SUM('SW Rev'!K34:N34)&lt;=0,"",SUM('SW FCF'!K34:N34)/SUM('SW Rev'!K34:N34)),"")</f>
        <v/>
      </c>
      <c r="K953" s="37">
        <f>IFERROR(IF(SUM('SW Rev'!L34:O34)&lt;=0,"",SUM('SW FCF'!L34:O34)/SUM('SW Rev'!L34:O34)),"")</f>
        <v/>
      </c>
      <c r="L953" s="37">
        <f>IFERROR(IF(SUM('SW Rev'!M34:P34)&lt;=0,"",SUM('SW FCF'!M34:P34)/SUM('SW Rev'!M34:P34)),"")</f>
        <v/>
      </c>
      <c r="M953" s="38">
        <f>IFERROR(IF(SUM('SW Rev'!N34:Q34)&lt;=0,"",SUM('SW FCF'!N34:Q34)/SUM('SW Rev'!N34:Q34)),"")</f>
        <v/>
      </c>
      <c r="N953" s="38">
        <f>IFERROR(IF(SUM('SW Rev'!O34:R34)&lt;=0,"",SUM('SW FCF'!O34:R34)/SUM('SW Rev'!O34:R34)),"")</f>
        <v/>
      </c>
    </row>
    <row r="954">
      <c r="A954" s="19">
        <f>'SW Rev'!$A35</f>
        <v/>
      </c>
      <c r="B954" s="19">
        <f>'SW Rev'!$B35</f>
        <v/>
      </c>
      <c r="C954" s="37">
        <f>IFERROR(IF(SUM('SW Rev'!D35:G35)&lt;=0,"",SUM('SW FCF'!D35:G35)/SUM('SW Rev'!D35:G35)),"")</f>
        <v/>
      </c>
      <c r="D954" s="37">
        <f>IFERROR(IF(SUM('SW Rev'!E35:H35)&lt;=0,"",SUM('SW FCF'!E35:H35)/SUM('SW Rev'!E35:H35)),"")</f>
        <v/>
      </c>
      <c r="E954" s="37">
        <f>IFERROR(IF(SUM('SW Rev'!F35:I35)&lt;=0,"",SUM('SW FCF'!F35:I35)/SUM('SW Rev'!F35:I35)),"")</f>
        <v/>
      </c>
      <c r="F954" s="37">
        <f>IFERROR(IF(SUM('SW Rev'!G35:J35)&lt;=0,"",SUM('SW FCF'!G35:J35)/SUM('SW Rev'!G35:J35)),"")</f>
        <v/>
      </c>
      <c r="G954" s="37">
        <f>IFERROR(IF(SUM('SW Rev'!H35:K35)&lt;=0,"",SUM('SW FCF'!H35:K35)/SUM('SW Rev'!H35:K35)),"")</f>
        <v/>
      </c>
      <c r="H954" s="37">
        <f>IFERROR(IF(SUM('SW Rev'!I35:L35)&lt;=0,"",SUM('SW FCF'!I35:L35)/SUM('SW Rev'!I35:L35)),"")</f>
        <v/>
      </c>
      <c r="I954" s="37">
        <f>IFERROR(IF(SUM('SW Rev'!J35:M35)&lt;=0,"",SUM('SW FCF'!J35:M35)/SUM('SW Rev'!J35:M35)),"")</f>
        <v/>
      </c>
      <c r="J954" s="37">
        <f>IFERROR(IF(SUM('SW Rev'!K35:N35)&lt;=0,"",SUM('SW FCF'!K35:N35)/SUM('SW Rev'!K35:N35)),"")</f>
        <v/>
      </c>
      <c r="K954" s="37">
        <f>IFERROR(IF(SUM('SW Rev'!L35:O35)&lt;=0,"",SUM('SW FCF'!L35:O35)/SUM('SW Rev'!L35:O35)),"")</f>
        <v/>
      </c>
      <c r="L954" s="37">
        <f>IFERROR(IF(SUM('SW Rev'!M35:P35)&lt;=0,"",SUM('SW FCF'!M35:P35)/SUM('SW Rev'!M35:P35)),"")</f>
        <v/>
      </c>
      <c r="M954" s="38">
        <f>IFERROR(IF(SUM('SW Rev'!N35:Q35)&lt;=0,"",SUM('SW FCF'!N35:Q35)/SUM('SW Rev'!N35:Q35)),"")</f>
        <v/>
      </c>
      <c r="N954" s="38">
        <f>IFERROR(IF(SUM('SW Rev'!O35:R35)&lt;=0,"",SUM('SW FCF'!O35:R35)/SUM('SW Rev'!O35:R35)),"")</f>
        <v/>
      </c>
    </row>
    <row r="955">
      <c r="A955" s="19">
        <f>'SW Rev'!$A36</f>
        <v/>
      </c>
      <c r="B955" s="19">
        <f>'SW Rev'!$B36</f>
        <v/>
      </c>
      <c r="C955" s="37">
        <f>IFERROR(IF(SUM('SW Rev'!D36:G36)&lt;=0,"",SUM('SW FCF'!D36:G36)/SUM('SW Rev'!D36:G36)),"")</f>
        <v/>
      </c>
      <c r="D955" s="37">
        <f>IFERROR(IF(SUM('SW Rev'!E36:H36)&lt;=0,"",SUM('SW FCF'!E36:H36)/SUM('SW Rev'!E36:H36)),"")</f>
        <v/>
      </c>
      <c r="E955" s="37">
        <f>IFERROR(IF(SUM('SW Rev'!F36:I36)&lt;=0,"",SUM('SW FCF'!F36:I36)/SUM('SW Rev'!F36:I36)),"")</f>
        <v/>
      </c>
      <c r="F955" s="37">
        <f>IFERROR(IF(SUM('SW Rev'!G36:J36)&lt;=0,"",SUM('SW FCF'!G36:J36)/SUM('SW Rev'!G36:J36)),"")</f>
        <v/>
      </c>
      <c r="G955" s="37">
        <f>IFERROR(IF(SUM('SW Rev'!H36:K36)&lt;=0,"",SUM('SW FCF'!H36:K36)/SUM('SW Rev'!H36:K36)),"")</f>
        <v/>
      </c>
      <c r="H955" s="37">
        <f>IFERROR(IF(SUM('SW Rev'!I36:L36)&lt;=0,"",SUM('SW FCF'!I36:L36)/SUM('SW Rev'!I36:L36)),"")</f>
        <v/>
      </c>
      <c r="I955" s="37">
        <f>IFERROR(IF(SUM('SW Rev'!J36:M36)&lt;=0,"",SUM('SW FCF'!J36:M36)/SUM('SW Rev'!J36:M36)),"")</f>
        <v/>
      </c>
      <c r="J955" s="37">
        <f>IFERROR(IF(SUM('SW Rev'!K36:N36)&lt;=0,"",SUM('SW FCF'!K36:N36)/SUM('SW Rev'!K36:N36)),"")</f>
        <v/>
      </c>
      <c r="K955" s="37">
        <f>IFERROR(IF(SUM('SW Rev'!L36:O36)&lt;=0,"",SUM('SW FCF'!L36:O36)/SUM('SW Rev'!L36:O36)),"")</f>
        <v/>
      </c>
      <c r="L955" s="37">
        <f>IFERROR(IF(SUM('SW Rev'!M36:P36)&lt;=0,"",SUM('SW FCF'!M36:P36)/SUM('SW Rev'!M36:P36)),"")</f>
        <v/>
      </c>
      <c r="M955" s="38">
        <f>IFERROR(IF(SUM('SW Rev'!N36:Q36)&lt;=0,"",SUM('SW FCF'!N36:Q36)/SUM('SW Rev'!N36:Q36)),"")</f>
        <v/>
      </c>
      <c r="N955" s="38">
        <f>IFERROR(IF(SUM('SW Rev'!O36:R36)&lt;=0,"",SUM('SW FCF'!O36:R36)/SUM('SW Rev'!O36:R36)),"")</f>
        <v/>
      </c>
    </row>
    <row r="956">
      <c r="A956" s="19">
        <f>'SW Rev'!$A37</f>
        <v/>
      </c>
      <c r="B956" s="19">
        <f>'SW Rev'!$B37</f>
        <v/>
      </c>
      <c r="C956" s="37">
        <f>IFERROR(IF(SUM('SW Rev'!D37:G37)&lt;=0,"",SUM('SW FCF'!D37:G37)/SUM('SW Rev'!D37:G37)),"")</f>
        <v/>
      </c>
      <c r="D956" s="37">
        <f>IFERROR(IF(SUM('SW Rev'!E37:H37)&lt;=0,"",SUM('SW FCF'!E37:H37)/SUM('SW Rev'!E37:H37)),"")</f>
        <v/>
      </c>
      <c r="E956" s="37">
        <f>IFERROR(IF(SUM('SW Rev'!F37:I37)&lt;=0,"",SUM('SW FCF'!F37:I37)/SUM('SW Rev'!F37:I37)),"")</f>
        <v/>
      </c>
      <c r="F956" s="37">
        <f>IFERROR(IF(SUM('SW Rev'!G37:J37)&lt;=0,"",SUM('SW FCF'!G37:J37)/SUM('SW Rev'!G37:J37)),"")</f>
        <v/>
      </c>
      <c r="G956" s="37">
        <f>IFERROR(IF(SUM('SW Rev'!H37:K37)&lt;=0,"",SUM('SW FCF'!H37:K37)/SUM('SW Rev'!H37:K37)),"")</f>
        <v/>
      </c>
      <c r="H956" s="37">
        <f>IFERROR(IF(SUM('SW Rev'!I37:L37)&lt;=0,"",SUM('SW FCF'!I37:L37)/SUM('SW Rev'!I37:L37)),"")</f>
        <v/>
      </c>
      <c r="I956" s="37">
        <f>IFERROR(IF(SUM('SW Rev'!J37:M37)&lt;=0,"",SUM('SW FCF'!J37:M37)/SUM('SW Rev'!J37:M37)),"")</f>
        <v/>
      </c>
      <c r="J956" s="37">
        <f>IFERROR(IF(SUM('SW Rev'!K37:N37)&lt;=0,"",SUM('SW FCF'!K37:N37)/SUM('SW Rev'!K37:N37)),"")</f>
        <v/>
      </c>
      <c r="K956" s="37">
        <f>IFERROR(IF(SUM('SW Rev'!L37:O37)&lt;=0,"",SUM('SW FCF'!L37:O37)/SUM('SW Rev'!L37:O37)),"")</f>
        <v/>
      </c>
      <c r="L956" s="37">
        <f>IFERROR(IF(SUM('SW Rev'!M37:P37)&lt;=0,"",SUM('SW FCF'!M37:P37)/SUM('SW Rev'!M37:P37)),"")</f>
        <v/>
      </c>
      <c r="M956" s="38">
        <f>IFERROR(IF(SUM('SW Rev'!N37:Q37)&lt;=0,"",SUM('SW FCF'!N37:Q37)/SUM('SW Rev'!N37:Q37)),"")</f>
        <v/>
      </c>
      <c r="N956" s="38">
        <f>IFERROR(IF(SUM('SW Rev'!O37:R37)&lt;=0,"",SUM('SW FCF'!O37:R37)/SUM('SW Rev'!O37:R37)),"")</f>
        <v/>
      </c>
    </row>
    <row r="957">
      <c r="A957" s="19">
        <f>'SW Rev'!$A38</f>
        <v/>
      </c>
      <c r="B957" s="19">
        <f>'SW Rev'!$B38</f>
        <v/>
      </c>
      <c r="C957" s="37">
        <f>IFERROR(IF(SUM('SW Rev'!D38:G38)&lt;=0,"",SUM('SW FCF'!D38:G38)/SUM('SW Rev'!D38:G38)),"")</f>
        <v/>
      </c>
      <c r="D957" s="37">
        <f>IFERROR(IF(SUM('SW Rev'!E38:H38)&lt;=0,"",SUM('SW FCF'!E38:H38)/SUM('SW Rev'!E38:H38)),"")</f>
        <v/>
      </c>
      <c r="E957" s="37">
        <f>IFERROR(IF(SUM('SW Rev'!F38:I38)&lt;=0,"",SUM('SW FCF'!F38:I38)/SUM('SW Rev'!F38:I38)),"")</f>
        <v/>
      </c>
      <c r="F957" s="37">
        <f>IFERROR(IF(SUM('SW Rev'!G38:J38)&lt;=0,"",SUM('SW FCF'!G38:J38)/SUM('SW Rev'!G38:J38)),"")</f>
        <v/>
      </c>
      <c r="G957" s="37">
        <f>IFERROR(IF(SUM('SW Rev'!H38:K38)&lt;=0,"",SUM('SW FCF'!H38:K38)/SUM('SW Rev'!H38:K38)),"")</f>
        <v/>
      </c>
      <c r="H957" s="37">
        <f>IFERROR(IF(SUM('SW Rev'!I38:L38)&lt;=0,"",SUM('SW FCF'!I38:L38)/SUM('SW Rev'!I38:L38)),"")</f>
        <v/>
      </c>
      <c r="I957" s="37">
        <f>IFERROR(IF(SUM('SW Rev'!J38:M38)&lt;=0,"",SUM('SW FCF'!J38:M38)/SUM('SW Rev'!J38:M38)),"")</f>
        <v/>
      </c>
      <c r="J957" s="37">
        <f>IFERROR(IF(SUM('SW Rev'!K38:N38)&lt;=0,"",SUM('SW FCF'!K38:N38)/SUM('SW Rev'!K38:N38)),"")</f>
        <v/>
      </c>
      <c r="K957" s="37">
        <f>IFERROR(IF(SUM('SW Rev'!L38:O38)&lt;=0,"",SUM('SW FCF'!L38:O38)/SUM('SW Rev'!L38:O38)),"")</f>
        <v/>
      </c>
      <c r="L957" s="37">
        <f>IFERROR(IF(SUM('SW Rev'!M38:P38)&lt;=0,"",SUM('SW FCF'!M38:P38)/SUM('SW Rev'!M38:P38)),"")</f>
        <v/>
      </c>
      <c r="M957" s="38">
        <f>IFERROR(IF(SUM('SW Rev'!N38:Q38)&lt;=0,"",SUM('SW FCF'!N38:Q38)/SUM('SW Rev'!N38:Q38)),"")</f>
        <v/>
      </c>
      <c r="N957" s="38">
        <f>IFERROR(IF(SUM('SW Rev'!O38:R38)&lt;=0,"",SUM('SW FCF'!O38:R38)/SUM('SW Rev'!O38:R38)),"")</f>
        <v/>
      </c>
    </row>
    <row r="958">
      <c r="A958" s="19">
        <f>'SW Rev'!$A39</f>
        <v/>
      </c>
      <c r="B958" s="19">
        <f>'SW Rev'!$B39</f>
        <v/>
      </c>
      <c r="C958" s="37">
        <f>IFERROR(IF(SUM('SW Rev'!D39:G39)&lt;=0,"",SUM('SW FCF'!D39:G39)/SUM('SW Rev'!D39:G39)),"")</f>
        <v/>
      </c>
      <c r="D958" s="37">
        <f>IFERROR(IF(SUM('SW Rev'!E39:H39)&lt;=0,"",SUM('SW FCF'!E39:H39)/SUM('SW Rev'!E39:H39)),"")</f>
        <v/>
      </c>
      <c r="E958" s="37">
        <f>IFERROR(IF(SUM('SW Rev'!F39:I39)&lt;=0,"",SUM('SW FCF'!F39:I39)/SUM('SW Rev'!F39:I39)),"")</f>
        <v/>
      </c>
      <c r="F958" s="37">
        <f>IFERROR(IF(SUM('SW Rev'!G39:J39)&lt;=0,"",SUM('SW FCF'!G39:J39)/SUM('SW Rev'!G39:J39)),"")</f>
        <v/>
      </c>
      <c r="G958" s="37">
        <f>IFERROR(IF(SUM('SW Rev'!H39:K39)&lt;=0,"",SUM('SW FCF'!H39:K39)/SUM('SW Rev'!H39:K39)),"")</f>
        <v/>
      </c>
      <c r="H958" s="37">
        <f>IFERROR(IF(SUM('SW Rev'!I39:L39)&lt;=0,"",SUM('SW FCF'!I39:L39)/SUM('SW Rev'!I39:L39)),"")</f>
        <v/>
      </c>
      <c r="I958" s="37">
        <f>IFERROR(IF(SUM('SW Rev'!J39:M39)&lt;=0,"",SUM('SW FCF'!J39:M39)/SUM('SW Rev'!J39:M39)),"")</f>
        <v/>
      </c>
      <c r="J958" s="37">
        <f>IFERROR(IF(SUM('SW Rev'!K39:N39)&lt;=0,"",SUM('SW FCF'!K39:N39)/SUM('SW Rev'!K39:N39)),"")</f>
        <v/>
      </c>
      <c r="K958" s="37">
        <f>IFERROR(IF(SUM('SW Rev'!L39:O39)&lt;=0,"",SUM('SW FCF'!L39:O39)/SUM('SW Rev'!L39:O39)),"")</f>
        <v/>
      </c>
      <c r="L958" s="37">
        <f>IFERROR(IF(SUM('SW Rev'!M39:P39)&lt;=0,"",SUM('SW FCF'!M39:P39)/SUM('SW Rev'!M39:P39)),"")</f>
        <v/>
      </c>
      <c r="M958" s="38">
        <f>IFERROR(IF(SUM('SW Rev'!N39:Q39)&lt;=0,"",SUM('SW FCF'!N39:Q39)/SUM('SW Rev'!N39:Q39)),"")</f>
        <v/>
      </c>
      <c r="N958" s="38">
        <f>IFERROR(IF(SUM('SW Rev'!O39:R39)&lt;=0,"",SUM('SW FCF'!O39:R39)/SUM('SW Rev'!O39:R39)),"")</f>
        <v/>
      </c>
    </row>
    <row r="959">
      <c r="A959" s="19">
        <f>'SW Rev'!$A40</f>
        <v/>
      </c>
      <c r="B959" s="19">
        <f>'SW Rev'!$B40</f>
        <v/>
      </c>
      <c r="C959" s="37">
        <f>IFERROR(IF(SUM('SW Rev'!D40:G40)&lt;=0,"",SUM('SW FCF'!D40:G40)/SUM('SW Rev'!D40:G40)),"")</f>
        <v/>
      </c>
      <c r="D959" s="37">
        <f>IFERROR(IF(SUM('SW Rev'!E40:H40)&lt;=0,"",SUM('SW FCF'!E40:H40)/SUM('SW Rev'!E40:H40)),"")</f>
        <v/>
      </c>
      <c r="E959" s="37">
        <f>IFERROR(IF(SUM('SW Rev'!F40:I40)&lt;=0,"",SUM('SW FCF'!F40:I40)/SUM('SW Rev'!F40:I40)),"")</f>
        <v/>
      </c>
      <c r="F959" s="37">
        <f>IFERROR(IF(SUM('SW Rev'!G40:J40)&lt;=0,"",SUM('SW FCF'!G40:J40)/SUM('SW Rev'!G40:J40)),"")</f>
        <v/>
      </c>
      <c r="G959" s="37">
        <f>IFERROR(IF(SUM('SW Rev'!H40:K40)&lt;=0,"",SUM('SW FCF'!H40:K40)/SUM('SW Rev'!H40:K40)),"")</f>
        <v/>
      </c>
      <c r="H959" s="37">
        <f>IFERROR(IF(SUM('SW Rev'!I40:L40)&lt;=0,"",SUM('SW FCF'!I40:L40)/SUM('SW Rev'!I40:L40)),"")</f>
        <v/>
      </c>
      <c r="I959" s="37">
        <f>IFERROR(IF(SUM('SW Rev'!J40:M40)&lt;=0,"",SUM('SW FCF'!J40:M40)/SUM('SW Rev'!J40:M40)),"")</f>
        <v/>
      </c>
      <c r="J959" s="37">
        <f>IFERROR(IF(SUM('SW Rev'!K40:N40)&lt;=0,"",SUM('SW FCF'!K40:N40)/SUM('SW Rev'!K40:N40)),"")</f>
        <v/>
      </c>
      <c r="K959" s="37">
        <f>IFERROR(IF(SUM('SW Rev'!L40:O40)&lt;=0,"",SUM('SW FCF'!L40:O40)/SUM('SW Rev'!L40:O40)),"")</f>
        <v/>
      </c>
      <c r="L959" s="37">
        <f>IFERROR(IF(SUM('SW Rev'!M40:P40)&lt;=0,"",SUM('SW FCF'!M40:P40)/SUM('SW Rev'!M40:P40)),"")</f>
        <v/>
      </c>
      <c r="M959" s="38">
        <f>IFERROR(IF(SUM('SW Rev'!N40:Q40)&lt;=0,"",SUM('SW FCF'!N40:Q40)/SUM('SW Rev'!N40:Q40)),"")</f>
        <v/>
      </c>
      <c r="N959" s="38">
        <f>IFERROR(IF(SUM('SW Rev'!O40:R40)&lt;=0,"",SUM('SW FCF'!O40:R40)/SUM('SW Rev'!O40:R40)),"")</f>
        <v/>
      </c>
    </row>
    <row r="960">
      <c r="A960" s="19">
        <f>'SW Rev'!$A41</f>
        <v/>
      </c>
      <c r="B960" s="19">
        <f>'SW Rev'!$B41</f>
        <v/>
      </c>
      <c r="C960" s="37">
        <f>IFERROR(IF(SUM('SW Rev'!D41:G41)&lt;=0,"",SUM('SW FCF'!D41:G41)/SUM('SW Rev'!D41:G41)),"")</f>
        <v/>
      </c>
      <c r="D960" s="37">
        <f>IFERROR(IF(SUM('SW Rev'!E41:H41)&lt;=0,"",SUM('SW FCF'!E41:H41)/SUM('SW Rev'!E41:H41)),"")</f>
        <v/>
      </c>
      <c r="E960" s="37">
        <f>IFERROR(IF(SUM('SW Rev'!F41:I41)&lt;=0,"",SUM('SW FCF'!F41:I41)/SUM('SW Rev'!F41:I41)),"")</f>
        <v/>
      </c>
      <c r="F960" s="37">
        <f>IFERROR(IF(SUM('SW Rev'!G41:J41)&lt;=0,"",SUM('SW FCF'!G41:J41)/SUM('SW Rev'!G41:J41)),"")</f>
        <v/>
      </c>
      <c r="G960" s="37">
        <f>IFERROR(IF(SUM('SW Rev'!H41:K41)&lt;=0,"",SUM('SW FCF'!H41:K41)/SUM('SW Rev'!H41:K41)),"")</f>
        <v/>
      </c>
      <c r="H960" s="37">
        <f>IFERROR(IF(SUM('SW Rev'!I41:L41)&lt;=0,"",SUM('SW FCF'!I41:L41)/SUM('SW Rev'!I41:L41)),"")</f>
        <v/>
      </c>
      <c r="I960" s="37">
        <f>IFERROR(IF(SUM('SW Rev'!J41:M41)&lt;=0,"",SUM('SW FCF'!J41:M41)/SUM('SW Rev'!J41:M41)),"")</f>
        <v/>
      </c>
      <c r="J960" s="37">
        <f>IFERROR(IF(SUM('SW Rev'!K41:N41)&lt;=0,"",SUM('SW FCF'!K41:N41)/SUM('SW Rev'!K41:N41)),"")</f>
        <v/>
      </c>
      <c r="K960" s="37">
        <f>IFERROR(IF(SUM('SW Rev'!L41:O41)&lt;=0,"",SUM('SW FCF'!L41:O41)/SUM('SW Rev'!L41:O41)),"")</f>
        <v/>
      </c>
      <c r="L960" s="37">
        <f>IFERROR(IF(SUM('SW Rev'!M41:P41)&lt;=0,"",SUM('SW FCF'!M41:P41)/SUM('SW Rev'!M41:P41)),"")</f>
        <v/>
      </c>
      <c r="M960" s="38">
        <f>IFERROR(IF(SUM('SW Rev'!N41:Q41)&lt;=0,"",SUM('SW FCF'!N41:Q41)/SUM('SW Rev'!N41:Q41)),"")</f>
        <v/>
      </c>
      <c r="N960" s="38">
        <f>IFERROR(IF(SUM('SW Rev'!O41:R41)&lt;=0,"",SUM('SW FCF'!O41:R41)/SUM('SW Rev'!O41:R41)),"")</f>
        <v/>
      </c>
    </row>
    <row r="961">
      <c r="A961" s="19">
        <f>'SW Rev'!$A42</f>
        <v/>
      </c>
      <c r="B961" s="19">
        <f>'SW Rev'!$B42</f>
        <v/>
      </c>
      <c r="C961" s="37">
        <f>IFERROR(IF(SUM('SW Rev'!D42:G42)&lt;=0,"",SUM('SW FCF'!D42:G42)/SUM('SW Rev'!D42:G42)),"")</f>
        <v/>
      </c>
      <c r="D961" s="37">
        <f>IFERROR(IF(SUM('SW Rev'!E42:H42)&lt;=0,"",SUM('SW FCF'!E42:H42)/SUM('SW Rev'!E42:H42)),"")</f>
        <v/>
      </c>
      <c r="E961" s="37">
        <f>IFERROR(IF(SUM('SW Rev'!F42:I42)&lt;=0,"",SUM('SW FCF'!F42:I42)/SUM('SW Rev'!F42:I42)),"")</f>
        <v/>
      </c>
      <c r="F961" s="37">
        <f>IFERROR(IF(SUM('SW Rev'!G42:J42)&lt;=0,"",SUM('SW FCF'!G42:J42)/SUM('SW Rev'!G42:J42)),"")</f>
        <v/>
      </c>
      <c r="G961" s="37">
        <f>IFERROR(IF(SUM('SW Rev'!H42:K42)&lt;=0,"",SUM('SW FCF'!H42:K42)/SUM('SW Rev'!H42:K42)),"")</f>
        <v/>
      </c>
      <c r="H961" s="37">
        <f>IFERROR(IF(SUM('SW Rev'!I42:L42)&lt;=0,"",SUM('SW FCF'!I42:L42)/SUM('SW Rev'!I42:L42)),"")</f>
        <v/>
      </c>
      <c r="I961" s="37">
        <f>IFERROR(IF(SUM('SW Rev'!J42:M42)&lt;=0,"",SUM('SW FCF'!J42:M42)/SUM('SW Rev'!J42:M42)),"")</f>
        <v/>
      </c>
      <c r="J961" s="37">
        <f>IFERROR(IF(SUM('SW Rev'!K42:N42)&lt;=0,"",SUM('SW FCF'!K42:N42)/SUM('SW Rev'!K42:N42)),"")</f>
        <v/>
      </c>
      <c r="K961" s="37">
        <f>IFERROR(IF(SUM('SW Rev'!L42:O42)&lt;=0,"",SUM('SW FCF'!L42:O42)/SUM('SW Rev'!L42:O42)),"")</f>
        <v/>
      </c>
      <c r="L961" s="37">
        <f>IFERROR(IF(SUM('SW Rev'!M42:P42)&lt;=0,"",SUM('SW FCF'!M42:P42)/SUM('SW Rev'!M42:P42)),"")</f>
        <v/>
      </c>
      <c r="M961" s="38">
        <f>IFERROR(IF(SUM('SW Rev'!N42:Q42)&lt;=0,"",SUM('SW FCF'!N42:Q42)/SUM('SW Rev'!N42:Q42)),"")</f>
        <v/>
      </c>
      <c r="N961" s="38">
        <f>IFERROR(IF(SUM('SW Rev'!O42:R42)&lt;=0,"",SUM('SW FCF'!O42:R42)/SUM('SW Rev'!O42:R42)),"")</f>
        <v/>
      </c>
    </row>
    <row r="962">
      <c r="A962" s="19">
        <f>'SW Rev'!$A43</f>
        <v/>
      </c>
      <c r="B962" s="19">
        <f>'SW Rev'!$B43</f>
        <v/>
      </c>
      <c r="C962" s="37">
        <f>IFERROR(IF(SUM('SW Rev'!D43:G43)&lt;=0,"",SUM('SW FCF'!D43:G43)/SUM('SW Rev'!D43:G43)),"")</f>
        <v/>
      </c>
      <c r="D962" s="37">
        <f>IFERROR(IF(SUM('SW Rev'!E43:H43)&lt;=0,"",SUM('SW FCF'!E43:H43)/SUM('SW Rev'!E43:H43)),"")</f>
        <v/>
      </c>
      <c r="E962" s="37">
        <f>IFERROR(IF(SUM('SW Rev'!F43:I43)&lt;=0,"",SUM('SW FCF'!F43:I43)/SUM('SW Rev'!F43:I43)),"")</f>
        <v/>
      </c>
      <c r="F962" s="37">
        <f>IFERROR(IF(SUM('SW Rev'!G43:J43)&lt;=0,"",SUM('SW FCF'!G43:J43)/SUM('SW Rev'!G43:J43)),"")</f>
        <v/>
      </c>
      <c r="G962" s="37">
        <f>IFERROR(IF(SUM('SW Rev'!H43:K43)&lt;=0,"",SUM('SW FCF'!H43:K43)/SUM('SW Rev'!H43:K43)),"")</f>
        <v/>
      </c>
      <c r="H962" s="37">
        <f>IFERROR(IF(SUM('SW Rev'!I43:L43)&lt;=0,"",SUM('SW FCF'!I43:L43)/SUM('SW Rev'!I43:L43)),"")</f>
        <v/>
      </c>
      <c r="I962" s="37">
        <f>IFERROR(IF(SUM('SW Rev'!J43:M43)&lt;=0,"",SUM('SW FCF'!J43:M43)/SUM('SW Rev'!J43:M43)),"")</f>
        <v/>
      </c>
      <c r="J962" s="37">
        <f>IFERROR(IF(SUM('SW Rev'!K43:N43)&lt;=0,"",SUM('SW FCF'!K43:N43)/SUM('SW Rev'!K43:N43)),"")</f>
        <v/>
      </c>
      <c r="K962" s="37">
        <f>IFERROR(IF(SUM('SW Rev'!L43:O43)&lt;=0,"",SUM('SW FCF'!L43:O43)/SUM('SW Rev'!L43:O43)),"")</f>
        <v/>
      </c>
      <c r="L962" s="37">
        <f>IFERROR(IF(SUM('SW Rev'!M43:P43)&lt;=0,"",SUM('SW FCF'!M43:P43)/SUM('SW Rev'!M43:P43)),"")</f>
        <v/>
      </c>
      <c r="M962" s="38">
        <f>IFERROR(IF(SUM('SW Rev'!N43:Q43)&lt;=0,"",SUM('SW FCF'!N43:Q43)/SUM('SW Rev'!N43:Q43)),"")</f>
        <v/>
      </c>
      <c r="N962" s="38">
        <f>IFERROR(IF(SUM('SW Rev'!O43:R43)&lt;=0,"",SUM('SW FCF'!O43:R43)/SUM('SW Rev'!O43:R43)),"")</f>
        <v/>
      </c>
    </row>
    <row r="963">
      <c r="A963" s="19">
        <f>'SW Rev'!$A44</f>
        <v/>
      </c>
      <c r="B963" s="19">
        <f>'SW Rev'!$B44</f>
        <v/>
      </c>
      <c r="C963" s="37">
        <f>IFERROR(IF(SUM('SW Rev'!D44:G44)&lt;=0,"",SUM('SW FCF'!D44:G44)/SUM('SW Rev'!D44:G44)),"")</f>
        <v/>
      </c>
      <c r="D963" s="37">
        <f>IFERROR(IF(SUM('SW Rev'!E44:H44)&lt;=0,"",SUM('SW FCF'!E44:H44)/SUM('SW Rev'!E44:H44)),"")</f>
        <v/>
      </c>
      <c r="E963" s="37">
        <f>IFERROR(IF(SUM('SW Rev'!F44:I44)&lt;=0,"",SUM('SW FCF'!F44:I44)/SUM('SW Rev'!F44:I44)),"")</f>
        <v/>
      </c>
      <c r="F963" s="37">
        <f>IFERROR(IF(SUM('SW Rev'!G44:J44)&lt;=0,"",SUM('SW FCF'!G44:J44)/SUM('SW Rev'!G44:J44)),"")</f>
        <v/>
      </c>
      <c r="G963" s="37">
        <f>IFERROR(IF(SUM('SW Rev'!H44:K44)&lt;=0,"",SUM('SW FCF'!H44:K44)/SUM('SW Rev'!H44:K44)),"")</f>
        <v/>
      </c>
      <c r="H963" s="37">
        <f>IFERROR(IF(SUM('SW Rev'!I44:L44)&lt;=0,"",SUM('SW FCF'!I44:L44)/SUM('SW Rev'!I44:L44)),"")</f>
        <v/>
      </c>
      <c r="I963" s="37">
        <f>IFERROR(IF(SUM('SW Rev'!J44:M44)&lt;=0,"",SUM('SW FCF'!J44:M44)/SUM('SW Rev'!J44:M44)),"")</f>
        <v/>
      </c>
      <c r="J963" s="37">
        <f>IFERROR(IF(SUM('SW Rev'!K44:N44)&lt;=0,"",SUM('SW FCF'!K44:N44)/SUM('SW Rev'!K44:N44)),"")</f>
        <v/>
      </c>
      <c r="K963" s="37">
        <f>IFERROR(IF(SUM('SW Rev'!L44:O44)&lt;=0,"",SUM('SW FCF'!L44:O44)/SUM('SW Rev'!L44:O44)),"")</f>
        <v/>
      </c>
      <c r="L963" s="37">
        <f>IFERROR(IF(SUM('SW Rev'!M44:P44)&lt;=0,"",SUM('SW FCF'!M44:P44)/SUM('SW Rev'!M44:P44)),"")</f>
        <v/>
      </c>
      <c r="M963" s="38">
        <f>IFERROR(IF(SUM('SW Rev'!N44:Q44)&lt;=0,"",SUM('SW FCF'!N44:Q44)/SUM('SW Rev'!N44:Q44)),"")</f>
        <v/>
      </c>
      <c r="N963" s="38">
        <f>IFERROR(IF(SUM('SW Rev'!O44:R44)&lt;=0,"",SUM('SW FCF'!O44:R44)/SUM('SW Rev'!O44:R44)),"")</f>
        <v/>
      </c>
    </row>
    <row r="964">
      <c r="A964" s="19">
        <f>'SW Rev'!$A45</f>
        <v/>
      </c>
      <c r="B964" s="19">
        <f>'SW Rev'!$B45</f>
        <v/>
      </c>
      <c r="C964" s="37">
        <f>IFERROR(IF(SUM('SW Rev'!D45:G45)&lt;=0,"",SUM('SW FCF'!D45:G45)/SUM('SW Rev'!D45:G45)),"")</f>
        <v/>
      </c>
      <c r="D964" s="37">
        <f>IFERROR(IF(SUM('SW Rev'!E45:H45)&lt;=0,"",SUM('SW FCF'!E45:H45)/SUM('SW Rev'!E45:H45)),"")</f>
        <v/>
      </c>
      <c r="E964" s="37">
        <f>IFERROR(IF(SUM('SW Rev'!F45:I45)&lt;=0,"",SUM('SW FCF'!F45:I45)/SUM('SW Rev'!F45:I45)),"")</f>
        <v/>
      </c>
      <c r="F964" s="37">
        <f>IFERROR(IF(SUM('SW Rev'!G45:J45)&lt;=0,"",SUM('SW FCF'!G45:J45)/SUM('SW Rev'!G45:J45)),"")</f>
        <v/>
      </c>
      <c r="G964" s="37">
        <f>IFERROR(IF(SUM('SW Rev'!H45:K45)&lt;=0,"",SUM('SW FCF'!H45:K45)/SUM('SW Rev'!H45:K45)),"")</f>
        <v/>
      </c>
      <c r="H964" s="37">
        <f>IFERROR(IF(SUM('SW Rev'!I45:L45)&lt;=0,"",SUM('SW FCF'!I45:L45)/SUM('SW Rev'!I45:L45)),"")</f>
        <v/>
      </c>
      <c r="I964" s="37">
        <f>IFERROR(IF(SUM('SW Rev'!J45:M45)&lt;=0,"",SUM('SW FCF'!J45:M45)/SUM('SW Rev'!J45:M45)),"")</f>
        <v/>
      </c>
      <c r="J964" s="37">
        <f>IFERROR(IF(SUM('SW Rev'!K45:N45)&lt;=0,"",SUM('SW FCF'!K45:N45)/SUM('SW Rev'!K45:N45)),"")</f>
        <v/>
      </c>
      <c r="K964" s="37">
        <f>IFERROR(IF(SUM('SW Rev'!L45:O45)&lt;=0,"",SUM('SW FCF'!L45:O45)/SUM('SW Rev'!L45:O45)),"")</f>
        <v/>
      </c>
      <c r="L964" s="37">
        <f>IFERROR(IF(SUM('SW Rev'!M45:P45)&lt;=0,"",SUM('SW FCF'!M45:P45)/SUM('SW Rev'!M45:P45)),"")</f>
        <v/>
      </c>
      <c r="M964" s="38">
        <f>IFERROR(IF(SUM('SW Rev'!N45:Q45)&lt;=0,"",SUM('SW FCF'!N45:Q45)/SUM('SW Rev'!N45:Q45)),"")</f>
        <v/>
      </c>
      <c r="N964" s="38">
        <f>IFERROR(IF(SUM('SW Rev'!O45:R45)&lt;=0,"",SUM('SW FCF'!O45:R45)/SUM('SW Rev'!O45:R45)),"")</f>
        <v/>
      </c>
    </row>
    <row r="965">
      <c r="A965" s="19">
        <f>'SW Rev'!$A46</f>
        <v/>
      </c>
      <c r="B965" s="19">
        <f>'SW Rev'!$B46</f>
        <v/>
      </c>
      <c r="C965" s="37">
        <f>IFERROR(IF(SUM('SW Rev'!D46:G46)&lt;=0,"",SUM('SW FCF'!D46:G46)/SUM('SW Rev'!D46:G46)),"")</f>
        <v/>
      </c>
      <c r="D965" s="37">
        <f>IFERROR(IF(SUM('SW Rev'!E46:H46)&lt;=0,"",SUM('SW FCF'!E46:H46)/SUM('SW Rev'!E46:H46)),"")</f>
        <v/>
      </c>
      <c r="E965" s="37">
        <f>IFERROR(IF(SUM('SW Rev'!F46:I46)&lt;=0,"",SUM('SW FCF'!F46:I46)/SUM('SW Rev'!F46:I46)),"")</f>
        <v/>
      </c>
      <c r="F965" s="37">
        <f>IFERROR(IF(SUM('SW Rev'!G46:J46)&lt;=0,"",SUM('SW FCF'!G46:J46)/SUM('SW Rev'!G46:J46)),"")</f>
        <v/>
      </c>
      <c r="G965" s="37">
        <f>IFERROR(IF(SUM('SW Rev'!H46:K46)&lt;=0,"",SUM('SW FCF'!H46:K46)/SUM('SW Rev'!H46:K46)),"")</f>
        <v/>
      </c>
      <c r="H965" s="37">
        <f>IFERROR(IF(SUM('SW Rev'!I46:L46)&lt;=0,"",SUM('SW FCF'!I46:L46)/SUM('SW Rev'!I46:L46)),"")</f>
        <v/>
      </c>
      <c r="I965" s="37">
        <f>IFERROR(IF(SUM('SW Rev'!J46:M46)&lt;=0,"",SUM('SW FCF'!J46:M46)/SUM('SW Rev'!J46:M46)),"")</f>
        <v/>
      </c>
      <c r="J965" s="37">
        <f>IFERROR(IF(SUM('SW Rev'!K46:N46)&lt;=0,"",SUM('SW FCF'!K46:N46)/SUM('SW Rev'!K46:N46)),"")</f>
        <v/>
      </c>
      <c r="K965" s="37">
        <f>IFERROR(IF(SUM('SW Rev'!L46:O46)&lt;=0,"",SUM('SW FCF'!L46:O46)/SUM('SW Rev'!L46:O46)),"")</f>
        <v/>
      </c>
      <c r="L965" s="37">
        <f>IFERROR(IF(SUM('SW Rev'!M46:P46)&lt;=0,"",SUM('SW FCF'!M46:P46)/SUM('SW Rev'!M46:P46)),"")</f>
        <v/>
      </c>
      <c r="M965" s="38">
        <f>IFERROR(IF(SUM('SW Rev'!N46:Q46)&lt;=0,"",SUM('SW FCF'!N46:Q46)/SUM('SW Rev'!N46:Q46)),"")</f>
        <v/>
      </c>
      <c r="N965" s="38">
        <f>IFERROR(IF(SUM('SW Rev'!O46:R46)&lt;=0,"",SUM('SW FCF'!O46:R46)/SUM('SW Rev'!O46:R46)),"")</f>
        <v/>
      </c>
    </row>
    <row r="966">
      <c r="A966" s="19">
        <f>'SW Rev'!$A47</f>
        <v/>
      </c>
      <c r="B966" s="19">
        <f>'SW Rev'!$B47</f>
        <v/>
      </c>
      <c r="C966" s="37">
        <f>IFERROR(IF(SUM('SW Rev'!D47:G47)&lt;=0,"",SUM('SW FCF'!D47:G47)/SUM('SW Rev'!D47:G47)),"")</f>
        <v/>
      </c>
      <c r="D966" s="37">
        <f>IFERROR(IF(SUM('SW Rev'!E47:H47)&lt;=0,"",SUM('SW FCF'!E47:H47)/SUM('SW Rev'!E47:H47)),"")</f>
        <v/>
      </c>
      <c r="E966" s="37">
        <f>IFERROR(IF(SUM('SW Rev'!F47:I47)&lt;=0,"",SUM('SW FCF'!F47:I47)/SUM('SW Rev'!F47:I47)),"")</f>
        <v/>
      </c>
      <c r="F966" s="37">
        <f>IFERROR(IF(SUM('SW Rev'!G47:J47)&lt;=0,"",SUM('SW FCF'!G47:J47)/SUM('SW Rev'!G47:J47)),"")</f>
        <v/>
      </c>
      <c r="G966" s="37">
        <f>IFERROR(IF(SUM('SW Rev'!H47:K47)&lt;=0,"",SUM('SW FCF'!H47:K47)/SUM('SW Rev'!H47:K47)),"")</f>
        <v/>
      </c>
      <c r="H966" s="37">
        <f>IFERROR(IF(SUM('SW Rev'!I47:L47)&lt;=0,"",SUM('SW FCF'!I47:L47)/SUM('SW Rev'!I47:L47)),"")</f>
        <v/>
      </c>
      <c r="I966" s="37">
        <f>IFERROR(IF(SUM('SW Rev'!J47:M47)&lt;=0,"",SUM('SW FCF'!J47:M47)/SUM('SW Rev'!J47:M47)),"")</f>
        <v/>
      </c>
      <c r="J966" s="37">
        <f>IFERROR(IF(SUM('SW Rev'!K47:N47)&lt;=0,"",SUM('SW FCF'!K47:N47)/SUM('SW Rev'!K47:N47)),"")</f>
        <v/>
      </c>
      <c r="K966" s="37">
        <f>IFERROR(IF(SUM('SW Rev'!L47:O47)&lt;=0,"",SUM('SW FCF'!L47:O47)/SUM('SW Rev'!L47:O47)),"")</f>
        <v/>
      </c>
      <c r="L966" s="37">
        <f>IFERROR(IF(SUM('SW Rev'!M47:P47)&lt;=0,"",SUM('SW FCF'!M47:P47)/SUM('SW Rev'!M47:P47)),"")</f>
        <v/>
      </c>
      <c r="M966" s="38">
        <f>IFERROR(IF(SUM('SW Rev'!N47:Q47)&lt;=0,"",SUM('SW FCF'!N47:Q47)/SUM('SW Rev'!N47:Q47)),"")</f>
        <v/>
      </c>
      <c r="N966" s="38">
        <f>IFERROR(IF(SUM('SW Rev'!O47:R47)&lt;=0,"",SUM('SW FCF'!O47:R47)/SUM('SW Rev'!O47:R47)),"")</f>
        <v/>
      </c>
    </row>
    <row r="967">
      <c r="A967" s="19">
        <f>'SW Rev'!$A48</f>
        <v/>
      </c>
      <c r="B967" s="19">
        <f>'SW Rev'!$B48</f>
        <v/>
      </c>
      <c r="C967" s="37">
        <f>IFERROR(IF(SUM('SW Rev'!D48:G48)&lt;=0,"",SUM('SW FCF'!D48:G48)/SUM('SW Rev'!D48:G48)),"")</f>
        <v/>
      </c>
      <c r="D967" s="37">
        <f>IFERROR(IF(SUM('SW Rev'!E48:H48)&lt;=0,"",SUM('SW FCF'!E48:H48)/SUM('SW Rev'!E48:H48)),"")</f>
        <v/>
      </c>
      <c r="E967" s="37">
        <f>IFERROR(IF(SUM('SW Rev'!F48:I48)&lt;=0,"",SUM('SW FCF'!F48:I48)/SUM('SW Rev'!F48:I48)),"")</f>
        <v/>
      </c>
      <c r="F967" s="37">
        <f>IFERROR(IF(SUM('SW Rev'!G48:J48)&lt;=0,"",SUM('SW FCF'!G48:J48)/SUM('SW Rev'!G48:J48)),"")</f>
        <v/>
      </c>
      <c r="G967" s="37">
        <f>IFERROR(IF(SUM('SW Rev'!H48:K48)&lt;=0,"",SUM('SW FCF'!H48:K48)/SUM('SW Rev'!H48:K48)),"")</f>
        <v/>
      </c>
      <c r="H967" s="37">
        <f>IFERROR(IF(SUM('SW Rev'!I48:L48)&lt;=0,"",SUM('SW FCF'!I48:L48)/SUM('SW Rev'!I48:L48)),"")</f>
        <v/>
      </c>
      <c r="I967" s="37">
        <f>IFERROR(IF(SUM('SW Rev'!J48:M48)&lt;=0,"",SUM('SW FCF'!J48:M48)/SUM('SW Rev'!J48:M48)),"")</f>
        <v/>
      </c>
      <c r="J967" s="37">
        <f>IFERROR(IF(SUM('SW Rev'!K48:N48)&lt;=0,"",SUM('SW FCF'!K48:N48)/SUM('SW Rev'!K48:N48)),"")</f>
        <v/>
      </c>
      <c r="K967" s="37">
        <f>IFERROR(IF(SUM('SW Rev'!L48:O48)&lt;=0,"",SUM('SW FCF'!L48:O48)/SUM('SW Rev'!L48:O48)),"")</f>
        <v/>
      </c>
      <c r="L967" s="37">
        <f>IFERROR(IF(SUM('SW Rev'!M48:P48)&lt;=0,"",SUM('SW FCF'!M48:P48)/SUM('SW Rev'!M48:P48)),"")</f>
        <v/>
      </c>
      <c r="M967" s="38">
        <f>IFERROR(IF(SUM('SW Rev'!N48:Q48)&lt;=0,"",SUM('SW FCF'!N48:Q48)/SUM('SW Rev'!N48:Q48)),"")</f>
        <v/>
      </c>
      <c r="N967" s="38">
        <f>IFERROR(IF(SUM('SW Rev'!O48:R48)&lt;=0,"",SUM('SW FCF'!O48:R48)/SUM('SW Rev'!O48:R48)),"")</f>
        <v/>
      </c>
    </row>
    <row r="968">
      <c r="A968" s="19">
        <f>'SW Rev'!$A49</f>
        <v/>
      </c>
      <c r="B968" s="19">
        <f>'SW Rev'!$B49</f>
        <v/>
      </c>
      <c r="C968" s="37">
        <f>IFERROR(IF(SUM('SW Rev'!D49:G49)&lt;=0,"",SUM('SW FCF'!D49:G49)/SUM('SW Rev'!D49:G49)),"")</f>
        <v/>
      </c>
      <c r="D968" s="37">
        <f>IFERROR(IF(SUM('SW Rev'!E49:H49)&lt;=0,"",SUM('SW FCF'!E49:H49)/SUM('SW Rev'!E49:H49)),"")</f>
        <v/>
      </c>
      <c r="E968" s="37">
        <f>IFERROR(IF(SUM('SW Rev'!F49:I49)&lt;=0,"",SUM('SW FCF'!F49:I49)/SUM('SW Rev'!F49:I49)),"")</f>
        <v/>
      </c>
      <c r="F968" s="37">
        <f>IFERROR(IF(SUM('SW Rev'!G49:J49)&lt;=0,"",SUM('SW FCF'!G49:J49)/SUM('SW Rev'!G49:J49)),"")</f>
        <v/>
      </c>
      <c r="G968" s="37">
        <f>IFERROR(IF(SUM('SW Rev'!H49:K49)&lt;=0,"",SUM('SW FCF'!H49:K49)/SUM('SW Rev'!H49:K49)),"")</f>
        <v/>
      </c>
      <c r="H968" s="37">
        <f>IFERROR(IF(SUM('SW Rev'!I49:L49)&lt;=0,"",SUM('SW FCF'!I49:L49)/SUM('SW Rev'!I49:L49)),"")</f>
        <v/>
      </c>
      <c r="I968" s="37">
        <f>IFERROR(IF(SUM('SW Rev'!J49:M49)&lt;=0,"",SUM('SW FCF'!J49:M49)/SUM('SW Rev'!J49:M49)),"")</f>
        <v/>
      </c>
      <c r="J968" s="37">
        <f>IFERROR(IF(SUM('SW Rev'!K49:N49)&lt;=0,"",SUM('SW FCF'!K49:N49)/SUM('SW Rev'!K49:N49)),"")</f>
        <v/>
      </c>
      <c r="K968" s="37">
        <f>IFERROR(IF(SUM('SW Rev'!L49:O49)&lt;=0,"",SUM('SW FCF'!L49:O49)/SUM('SW Rev'!L49:O49)),"")</f>
        <v/>
      </c>
      <c r="L968" s="37">
        <f>IFERROR(IF(SUM('SW Rev'!M49:P49)&lt;=0,"",SUM('SW FCF'!M49:P49)/SUM('SW Rev'!M49:P49)),"")</f>
        <v/>
      </c>
      <c r="M968" s="38">
        <f>IFERROR(IF(SUM('SW Rev'!N49:Q49)&lt;=0,"",SUM('SW FCF'!N49:Q49)/SUM('SW Rev'!N49:Q49)),"")</f>
        <v/>
      </c>
      <c r="N968" s="38">
        <f>IFERROR(IF(SUM('SW Rev'!O49:R49)&lt;=0,"",SUM('SW FCF'!O49:R49)/SUM('SW Rev'!O49:R49)),"")</f>
        <v/>
      </c>
    </row>
    <row r="969">
      <c r="A969" s="19">
        <f>'SW Rev'!$A50</f>
        <v/>
      </c>
      <c r="B969" s="19">
        <f>'SW Rev'!$B50</f>
        <v/>
      </c>
      <c r="C969" s="37">
        <f>IFERROR(IF(SUM('SW Rev'!D50:G50)&lt;=0,"",SUM('SW FCF'!D50:G50)/SUM('SW Rev'!D50:G50)),"")</f>
        <v/>
      </c>
      <c r="D969" s="37">
        <f>IFERROR(IF(SUM('SW Rev'!E50:H50)&lt;=0,"",SUM('SW FCF'!E50:H50)/SUM('SW Rev'!E50:H50)),"")</f>
        <v/>
      </c>
      <c r="E969" s="37">
        <f>IFERROR(IF(SUM('SW Rev'!F50:I50)&lt;=0,"",SUM('SW FCF'!F50:I50)/SUM('SW Rev'!F50:I50)),"")</f>
        <v/>
      </c>
      <c r="F969" s="37">
        <f>IFERROR(IF(SUM('SW Rev'!G50:J50)&lt;=0,"",SUM('SW FCF'!G50:J50)/SUM('SW Rev'!G50:J50)),"")</f>
        <v/>
      </c>
      <c r="G969" s="37">
        <f>IFERROR(IF(SUM('SW Rev'!H50:K50)&lt;=0,"",SUM('SW FCF'!H50:K50)/SUM('SW Rev'!H50:K50)),"")</f>
        <v/>
      </c>
      <c r="H969" s="37">
        <f>IFERROR(IF(SUM('SW Rev'!I50:L50)&lt;=0,"",SUM('SW FCF'!I50:L50)/SUM('SW Rev'!I50:L50)),"")</f>
        <v/>
      </c>
      <c r="I969" s="37">
        <f>IFERROR(IF(SUM('SW Rev'!J50:M50)&lt;=0,"",SUM('SW FCF'!J50:M50)/SUM('SW Rev'!J50:M50)),"")</f>
        <v/>
      </c>
      <c r="J969" s="37">
        <f>IFERROR(IF(SUM('SW Rev'!K50:N50)&lt;=0,"",SUM('SW FCF'!K50:N50)/SUM('SW Rev'!K50:N50)),"")</f>
        <v/>
      </c>
      <c r="K969" s="37">
        <f>IFERROR(IF(SUM('SW Rev'!L50:O50)&lt;=0,"",SUM('SW FCF'!L50:O50)/SUM('SW Rev'!L50:O50)),"")</f>
        <v/>
      </c>
      <c r="L969" s="37">
        <f>IFERROR(IF(SUM('SW Rev'!M50:P50)&lt;=0,"",SUM('SW FCF'!M50:P50)/SUM('SW Rev'!M50:P50)),"")</f>
        <v/>
      </c>
      <c r="M969" s="38">
        <f>IFERROR(IF(SUM('SW Rev'!N50:Q50)&lt;=0,"",SUM('SW FCF'!N50:Q50)/SUM('SW Rev'!N50:Q50)),"")</f>
        <v/>
      </c>
      <c r="N969" s="38">
        <f>IFERROR(IF(SUM('SW Rev'!O50:R50)&lt;=0,"",SUM('SW FCF'!O50:R50)/SUM('SW Rev'!O50:R50)),"")</f>
        <v/>
      </c>
    </row>
    <row r="970">
      <c r="A970" s="19">
        <f>'SW Rev'!$A51</f>
        <v/>
      </c>
      <c r="B970" s="19">
        <f>'SW Rev'!$B51</f>
        <v/>
      </c>
      <c r="C970" s="37">
        <f>IFERROR(IF(SUM('SW Rev'!D51:G51)&lt;=0,"",SUM('SW FCF'!D51:G51)/SUM('SW Rev'!D51:G51)),"")</f>
        <v/>
      </c>
      <c r="D970" s="37">
        <f>IFERROR(IF(SUM('SW Rev'!E51:H51)&lt;=0,"",SUM('SW FCF'!E51:H51)/SUM('SW Rev'!E51:H51)),"")</f>
        <v/>
      </c>
      <c r="E970" s="37">
        <f>IFERROR(IF(SUM('SW Rev'!F51:I51)&lt;=0,"",SUM('SW FCF'!F51:I51)/SUM('SW Rev'!F51:I51)),"")</f>
        <v/>
      </c>
      <c r="F970" s="37">
        <f>IFERROR(IF(SUM('SW Rev'!G51:J51)&lt;=0,"",SUM('SW FCF'!G51:J51)/SUM('SW Rev'!G51:J51)),"")</f>
        <v/>
      </c>
      <c r="G970" s="37">
        <f>IFERROR(IF(SUM('SW Rev'!H51:K51)&lt;=0,"",SUM('SW FCF'!H51:K51)/SUM('SW Rev'!H51:K51)),"")</f>
        <v/>
      </c>
      <c r="H970" s="37">
        <f>IFERROR(IF(SUM('SW Rev'!I51:L51)&lt;=0,"",SUM('SW FCF'!I51:L51)/SUM('SW Rev'!I51:L51)),"")</f>
        <v/>
      </c>
      <c r="I970" s="37">
        <f>IFERROR(IF(SUM('SW Rev'!J51:M51)&lt;=0,"",SUM('SW FCF'!J51:M51)/SUM('SW Rev'!J51:M51)),"")</f>
        <v/>
      </c>
      <c r="J970" s="37">
        <f>IFERROR(IF(SUM('SW Rev'!K51:N51)&lt;=0,"",SUM('SW FCF'!K51:N51)/SUM('SW Rev'!K51:N51)),"")</f>
        <v/>
      </c>
      <c r="K970" s="37">
        <f>IFERROR(IF(SUM('SW Rev'!L51:O51)&lt;=0,"",SUM('SW FCF'!L51:O51)/SUM('SW Rev'!L51:O51)),"")</f>
        <v/>
      </c>
      <c r="L970" s="37">
        <f>IFERROR(IF(SUM('SW Rev'!M51:P51)&lt;=0,"",SUM('SW FCF'!M51:P51)/SUM('SW Rev'!M51:P51)),"")</f>
        <v/>
      </c>
      <c r="M970" s="38">
        <f>IFERROR(IF(SUM('SW Rev'!N51:Q51)&lt;=0,"",SUM('SW FCF'!N51:Q51)/SUM('SW Rev'!N51:Q51)),"")</f>
        <v/>
      </c>
      <c r="N970" s="38">
        <f>IFERROR(IF(SUM('SW Rev'!O51:R51)&lt;=0,"",SUM('SW FCF'!O51:R51)/SUM('SW Rev'!O51:R51)),"")</f>
        <v/>
      </c>
    </row>
    <row r="971">
      <c r="A971" s="19">
        <f>'SW Rev'!$A52</f>
        <v/>
      </c>
      <c r="B971" s="19">
        <f>'SW Rev'!$B52</f>
        <v/>
      </c>
      <c r="C971" s="37">
        <f>IFERROR(IF(SUM('SW Rev'!D52:G52)&lt;=0,"",SUM('SW FCF'!D52:G52)/SUM('SW Rev'!D52:G52)),"")</f>
        <v/>
      </c>
      <c r="D971" s="37">
        <f>IFERROR(IF(SUM('SW Rev'!E52:H52)&lt;=0,"",SUM('SW FCF'!E52:H52)/SUM('SW Rev'!E52:H52)),"")</f>
        <v/>
      </c>
      <c r="E971" s="37">
        <f>IFERROR(IF(SUM('SW Rev'!F52:I52)&lt;=0,"",SUM('SW FCF'!F52:I52)/SUM('SW Rev'!F52:I52)),"")</f>
        <v/>
      </c>
      <c r="F971" s="37">
        <f>IFERROR(IF(SUM('SW Rev'!G52:J52)&lt;=0,"",SUM('SW FCF'!G52:J52)/SUM('SW Rev'!G52:J52)),"")</f>
        <v/>
      </c>
      <c r="G971" s="37">
        <f>IFERROR(IF(SUM('SW Rev'!H52:K52)&lt;=0,"",SUM('SW FCF'!H52:K52)/SUM('SW Rev'!H52:K52)),"")</f>
        <v/>
      </c>
      <c r="H971" s="37">
        <f>IFERROR(IF(SUM('SW Rev'!I52:L52)&lt;=0,"",SUM('SW FCF'!I52:L52)/SUM('SW Rev'!I52:L52)),"")</f>
        <v/>
      </c>
      <c r="I971" s="37">
        <f>IFERROR(IF(SUM('SW Rev'!J52:M52)&lt;=0,"",SUM('SW FCF'!J52:M52)/SUM('SW Rev'!J52:M52)),"")</f>
        <v/>
      </c>
      <c r="J971" s="37">
        <f>IFERROR(IF(SUM('SW Rev'!K52:N52)&lt;=0,"",SUM('SW FCF'!K52:N52)/SUM('SW Rev'!K52:N52)),"")</f>
        <v/>
      </c>
      <c r="K971" s="37">
        <f>IFERROR(IF(SUM('SW Rev'!L52:O52)&lt;=0,"",SUM('SW FCF'!L52:O52)/SUM('SW Rev'!L52:O52)),"")</f>
        <v/>
      </c>
      <c r="L971" s="37">
        <f>IFERROR(IF(SUM('SW Rev'!M52:P52)&lt;=0,"",SUM('SW FCF'!M52:P52)/SUM('SW Rev'!M52:P52)),"")</f>
        <v/>
      </c>
      <c r="M971" s="38">
        <f>IFERROR(IF(SUM('SW Rev'!N52:Q52)&lt;=0,"",SUM('SW FCF'!N52:Q52)/SUM('SW Rev'!N52:Q52)),"")</f>
        <v/>
      </c>
      <c r="N971" s="38">
        <f>IFERROR(IF(SUM('SW Rev'!O52:R52)&lt;=0,"",SUM('SW FCF'!O52:R52)/SUM('SW Rev'!O52:R52)),"")</f>
        <v/>
      </c>
    </row>
    <row r="972">
      <c r="A972" s="19">
        <f>'SW Rev'!$A53</f>
        <v/>
      </c>
      <c r="B972" s="19">
        <f>'SW Rev'!$B53</f>
        <v/>
      </c>
      <c r="C972" s="37">
        <f>IFERROR(IF(SUM('SW Rev'!D53:G53)&lt;=0,"",SUM('SW FCF'!D53:G53)/SUM('SW Rev'!D53:G53)),"")</f>
        <v/>
      </c>
      <c r="D972" s="37">
        <f>IFERROR(IF(SUM('SW Rev'!E53:H53)&lt;=0,"",SUM('SW FCF'!E53:H53)/SUM('SW Rev'!E53:H53)),"")</f>
        <v/>
      </c>
      <c r="E972" s="37">
        <f>IFERROR(IF(SUM('SW Rev'!F53:I53)&lt;=0,"",SUM('SW FCF'!F53:I53)/SUM('SW Rev'!F53:I53)),"")</f>
        <v/>
      </c>
      <c r="F972" s="37">
        <f>IFERROR(IF(SUM('SW Rev'!G53:J53)&lt;=0,"",SUM('SW FCF'!G53:J53)/SUM('SW Rev'!G53:J53)),"")</f>
        <v/>
      </c>
      <c r="G972" s="37">
        <f>IFERROR(IF(SUM('SW Rev'!H53:K53)&lt;=0,"",SUM('SW FCF'!H53:K53)/SUM('SW Rev'!H53:K53)),"")</f>
        <v/>
      </c>
      <c r="H972" s="37">
        <f>IFERROR(IF(SUM('SW Rev'!I53:L53)&lt;=0,"",SUM('SW FCF'!I53:L53)/SUM('SW Rev'!I53:L53)),"")</f>
        <v/>
      </c>
      <c r="I972" s="37">
        <f>IFERROR(IF(SUM('SW Rev'!J53:M53)&lt;=0,"",SUM('SW FCF'!J53:M53)/SUM('SW Rev'!J53:M53)),"")</f>
        <v/>
      </c>
      <c r="J972" s="37">
        <f>IFERROR(IF(SUM('SW Rev'!K53:N53)&lt;=0,"",SUM('SW FCF'!K53:N53)/SUM('SW Rev'!K53:N53)),"")</f>
        <v/>
      </c>
      <c r="K972" s="37">
        <f>IFERROR(IF(SUM('SW Rev'!L53:O53)&lt;=0,"",SUM('SW FCF'!L53:O53)/SUM('SW Rev'!L53:O53)),"")</f>
        <v/>
      </c>
      <c r="L972" s="37">
        <f>IFERROR(IF(SUM('SW Rev'!M53:P53)&lt;=0,"",SUM('SW FCF'!M53:P53)/SUM('SW Rev'!M53:P53)),"")</f>
        <v/>
      </c>
      <c r="M972" s="38">
        <f>IFERROR(IF(SUM('SW Rev'!N53:Q53)&lt;=0,"",SUM('SW FCF'!N53:Q53)/SUM('SW Rev'!N53:Q53)),"")</f>
        <v/>
      </c>
      <c r="N972" s="38">
        <f>IFERROR(IF(SUM('SW Rev'!O53:R53)&lt;=0,"",SUM('SW FCF'!O53:R53)/SUM('SW Rev'!O53:R53)),"")</f>
        <v/>
      </c>
    </row>
    <row r="973">
      <c r="A973" s="19">
        <f>'SW Rev'!$A54</f>
        <v/>
      </c>
      <c r="B973" s="19">
        <f>'SW Rev'!$B54</f>
        <v/>
      </c>
      <c r="C973" s="37">
        <f>IFERROR(IF(SUM('SW Rev'!D54:G54)&lt;=0,"",SUM('SW FCF'!D54:G54)/SUM('SW Rev'!D54:G54)),"")</f>
        <v/>
      </c>
      <c r="D973" s="37">
        <f>IFERROR(IF(SUM('SW Rev'!E54:H54)&lt;=0,"",SUM('SW FCF'!E54:H54)/SUM('SW Rev'!E54:H54)),"")</f>
        <v/>
      </c>
      <c r="E973" s="37">
        <f>IFERROR(IF(SUM('SW Rev'!F54:I54)&lt;=0,"",SUM('SW FCF'!F54:I54)/SUM('SW Rev'!F54:I54)),"")</f>
        <v/>
      </c>
      <c r="F973" s="37">
        <f>IFERROR(IF(SUM('SW Rev'!G54:J54)&lt;=0,"",SUM('SW FCF'!G54:J54)/SUM('SW Rev'!G54:J54)),"")</f>
        <v/>
      </c>
      <c r="G973" s="37">
        <f>IFERROR(IF(SUM('SW Rev'!H54:K54)&lt;=0,"",SUM('SW FCF'!H54:K54)/SUM('SW Rev'!H54:K54)),"")</f>
        <v/>
      </c>
      <c r="H973" s="37">
        <f>IFERROR(IF(SUM('SW Rev'!I54:L54)&lt;=0,"",SUM('SW FCF'!I54:L54)/SUM('SW Rev'!I54:L54)),"")</f>
        <v/>
      </c>
      <c r="I973" s="37">
        <f>IFERROR(IF(SUM('SW Rev'!J54:M54)&lt;=0,"",SUM('SW FCF'!J54:M54)/SUM('SW Rev'!J54:M54)),"")</f>
        <v/>
      </c>
      <c r="J973" s="37">
        <f>IFERROR(IF(SUM('SW Rev'!K54:N54)&lt;=0,"",SUM('SW FCF'!K54:N54)/SUM('SW Rev'!K54:N54)),"")</f>
        <v/>
      </c>
      <c r="K973" s="37">
        <f>IFERROR(IF(SUM('SW Rev'!L54:O54)&lt;=0,"",SUM('SW FCF'!L54:O54)/SUM('SW Rev'!L54:O54)),"")</f>
        <v/>
      </c>
      <c r="L973" s="37">
        <f>IFERROR(IF(SUM('SW Rev'!M54:P54)&lt;=0,"",SUM('SW FCF'!M54:P54)/SUM('SW Rev'!M54:P54)),"")</f>
        <v/>
      </c>
      <c r="M973" s="38">
        <f>IFERROR(IF(SUM('SW Rev'!N54:Q54)&lt;=0,"",SUM('SW FCF'!N54:Q54)/SUM('SW Rev'!N54:Q54)),"")</f>
        <v/>
      </c>
      <c r="N973" s="38">
        <f>IFERROR(IF(SUM('SW Rev'!O54:R54)&lt;=0,"",SUM('SW FCF'!O54:R54)/SUM('SW Rev'!O54:R54)),"")</f>
        <v/>
      </c>
    </row>
    <row r="974">
      <c r="A974" s="19">
        <f>'SW Rev'!$A55</f>
        <v/>
      </c>
      <c r="B974" s="19">
        <f>'SW Rev'!$B55</f>
        <v/>
      </c>
      <c r="C974" s="37">
        <f>IFERROR(IF(SUM('SW Rev'!D55:G55)&lt;=0,"",SUM('SW FCF'!D55:G55)/SUM('SW Rev'!D55:G55)),"")</f>
        <v/>
      </c>
      <c r="D974" s="37">
        <f>IFERROR(IF(SUM('SW Rev'!E55:H55)&lt;=0,"",SUM('SW FCF'!E55:H55)/SUM('SW Rev'!E55:H55)),"")</f>
        <v/>
      </c>
      <c r="E974" s="37">
        <f>IFERROR(IF(SUM('SW Rev'!F55:I55)&lt;=0,"",SUM('SW FCF'!F55:I55)/SUM('SW Rev'!F55:I55)),"")</f>
        <v/>
      </c>
      <c r="F974" s="37">
        <f>IFERROR(IF(SUM('SW Rev'!G55:J55)&lt;=0,"",SUM('SW FCF'!G55:J55)/SUM('SW Rev'!G55:J55)),"")</f>
        <v/>
      </c>
      <c r="G974" s="37">
        <f>IFERROR(IF(SUM('SW Rev'!H55:K55)&lt;=0,"",SUM('SW FCF'!H55:K55)/SUM('SW Rev'!H55:K55)),"")</f>
        <v/>
      </c>
      <c r="H974" s="37">
        <f>IFERROR(IF(SUM('SW Rev'!I55:L55)&lt;=0,"",SUM('SW FCF'!I55:L55)/SUM('SW Rev'!I55:L55)),"")</f>
        <v/>
      </c>
      <c r="I974" s="37">
        <f>IFERROR(IF(SUM('SW Rev'!J55:M55)&lt;=0,"",SUM('SW FCF'!J55:M55)/SUM('SW Rev'!J55:M55)),"")</f>
        <v/>
      </c>
      <c r="J974" s="37">
        <f>IFERROR(IF(SUM('SW Rev'!K55:N55)&lt;=0,"",SUM('SW FCF'!K55:N55)/SUM('SW Rev'!K55:N55)),"")</f>
        <v/>
      </c>
      <c r="K974" s="37">
        <f>IFERROR(IF(SUM('SW Rev'!L55:O55)&lt;=0,"",SUM('SW FCF'!L55:O55)/SUM('SW Rev'!L55:O55)),"")</f>
        <v/>
      </c>
      <c r="L974" s="37">
        <f>IFERROR(IF(SUM('SW Rev'!M55:P55)&lt;=0,"",SUM('SW FCF'!M55:P55)/SUM('SW Rev'!M55:P55)),"")</f>
        <v/>
      </c>
      <c r="M974" s="38">
        <f>IFERROR(IF(SUM('SW Rev'!N55:Q55)&lt;=0,"",SUM('SW FCF'!N55:Q55)/SUM('SW Rev'!N55:Q55)),"")</f>
        <v/>
      </c>
      <c r="N974" s="38">
        <f>IFERROR(IF(SUM('SW Rev'!O55:R55)&lt;=0,"",SUM('SW FCF'!O55:R55)/SUM('SW Rev'!O55:R55)),"")</f>
        <v/>
      </c>
    </row>
    <row r="975">
      <c r="A975" s="19">
        <f>'SW Rev'!$A56</f>
        <v/>
      </c>
      <c r="B975" s="19">
        <f>'SW Rev'!$B56</f>
        <v/>
      </c>
      <c r="C975" s="37">
        <f>IFERROR(IF(SUM('SW Rev'!D56:G56)&lt;=0,"",SUM('SW FCF'!D56:G56)/SUM('SW Rev'!D56:G56)),"")</f>
        <v/>
      </c>
      <c r="D975" s="37">
        <f>IFERROR(IF(SUM('SW Rev'!E56:H56)&lt;=0,"",SUM('SW FCF'!E56:H56)/SUM('SW Rev'!E56:H56)),"")</f>
        <v/>
      </c>
      <c r="E975" s="37">
        <f>IFERROR(IF(SUM('SW Rev'!F56:I56)&lt;=0,"",SUM('SW FCF'!F56:I56)/SUM('SW Rev'!F56:I56)),"")</f>
        <v/>
      </c>
      <c r="F975" s="37">
        <f>IFERROR(IF(SUM('SW Rev'!G56:J56)&lt;=0,"",SUM('SW FCF'!G56:J56)/SUM('SW Rev'!G56:J56)),"")</f>
        <v/>
      </c>
      <c r="G975" s="37">
        <f>IFERROR(IF(SUM('SW Rev'!H56:K56)&lt;=0,"",SUM('SW FCF'!H56:K56)/SUM('SW Rev'!H56:K56)),"")</f>
        <v/>
      </c>
      <c r="H975" s="37">
        <f>IFERROR(IF(SUM('SW Rev'!I56:L56)&lt;=0,"",SUM('SW FCF'!I56:L56)/SUM('SW Rev'!I56:L56)),"")</f>
        <v/>
      </c>
      <c r="I975" s="37">
        <f>IFERROR(IF(SUM('SW Rev'!J56:M56)&lt;=0,"",SUM('SW FCF'!J56:M56)/SUM('SW Rev'!J56:M56)),"")</f>
        <v/>
      </c>
      <c r="J975" s="37">
        <f>IFERROR(IF(SUM('SW Rev'!K56:N56)&lt;=0,"",SUM('SW FCF'!K56:N56)/SUM('SW Rev'!K56:N56)),"")</f>
        <v/>
      </c>
      <c r="K975" s="37">
        <f>IFERROR(IF(SUM('SW Rev'!L56:O56)&lt;=0,"",SUM('SW FCF'!L56:O56)/SUM('SW Rev'!L56:O56)),"")</f>
        <v/>
      </c>
      <c r="L975" s="37">
        <f>IFERROR(IF(SUM('SW Rev'!M56:P56)&lt;=0,"",SUM('SW FCF'!M56:P56)/SUM('SW Rev'!M56:P56)),"")</f>
        <v/>
      </c>
      <c r="M975" s="38">
        <f>IFERROR(IF(SUM('SW Rev'!N56:Q56)&lt;=0,"",SUM('SW FCF'!N56:Q56)/SUM('SW Rev'!N56:Q56)),"")</f>
        <v/>
      </c>
      <c r="N975" s="38">
        <f>IFERROR(IF(SUM('SW Rev'!O56:R56)&lt;=0,"",SUM('SW FCF'!O56:R56)/SUM('SW Rev'!O56:R56)),"")</f>
        <v/>
      </c>
    </row>
    <row r="976">
      <c r="A976" s="19">
        <f>'SW Rev'!$A57</f>
        <v/>
      </c>
      <c r="B976" s="19">
        <f>'SW Rev'!$B57</f>
        <v/>
      </c>
      <c r="C976" s="37">
        <f>IFERROR(IF(SUM('SW Rev'!D57:G57)&lt;=0,"",SUM('SW FCF'!D57:G57)/SUM('SW Rev'!D57:G57)),"")</f>
        <v/>
      </c>
      <c r="D976" s="37">
        <f>IFERROR(IF(SUM('SW Rev'!E57:H57)&lt;=0,"",SUM('SW FCF'!E57:H57)/SUM('SW Rev'!E57:H57)),"")</f>
        <v/>
      </c>
      <c r="E976" s="37">
        <f>IFERROR(IF(SUM('SW Rev'!F57:I57)&lt;=0,"",SUM('SW FCF'!F57:I57)/SUM('SW Rev'!F57:I57)),"")</f>
        <v/>
      </c>
      <c r="F976" s="37">
        <f>IFERROR(IF(SUM('SW Rev'!G57:J57)&lt;=0,"",SUM('SW FCF'!G57:J57)/SUM('SW Rev'!G57:J57)),"")</f>
        <v/>
      </c>
      <c r="G976" s="37">
        <f>IFERROR(IF(SUM('SW Rev'!H57:K57)&lt;=0,"",SUM('SW FCF'!H57:K57)/SUM('SW Rev'!H57:K57)),"")</f>
        <v/>
      </c>
      <c r="H976" s="37">
        <f>IFERROR(IF(SUM('SW Rev'!I57:L57)&lt;=0,"",SUM('SW FCF'!I57:L57)/SUM('SW Rev'!I57:L57)),"")</f>
        <v/>
      </c>
      <c r="I976" s="37">
        <f>IFERROR(IF(SUM('SW Rev'!J57:M57)&lt;=0,"",SUM('SW FCF'!J57:M57)/SUM('SW Rev'!J57:M57)),"")</f>
        <v/>
      </c>
      <c r="J976" s="37">
        <f>IFERROR(IF(SUM('SW Rev'!K57:N57)&lt;=0,"",SUM('SW FCF'!K57:N57)/SUM('SW Rev'!K57:N57)),"")</f>
        <v/>
      </c>
      <c r="K976" s="37">
        <f>IFERROR(IF(SUM('SW Rev'!L57:O57)&lt;=0,"",SUM('SW FCF'!L57:O57)/SUM('SW Rev'!L57:O57)),"")</f>
        <v/>
      </c>
      <c r="L976" s="37">
        <f>IFERROR(IF(SUM('SW Rev'!M57:P57)&lt;=0,"",SUM('SW FCF'!M57:P57)/SUM('SW Rev'!M57:P57)),"")</f>
        <v/>
      </c>
      <c r="M976" s="38">
        <f>IFERROR(IF(SUM('SW Rev'!N57:Q57)&lt;=0,"",SUM('SW FCF'!N57:Q57)/SUM('SW Rev'!N57:Q57)),"")</f>
        <v/>
      </c>
      <c r="N976" s="38">
        <f>IFERROR(IF(SUM('SW Rev'!O57:R57)&lt;=0,"",SUM('SW FCF'!O57:R57)/SUM('SW Rev'!O57:R57)),"")</f>
        <v/>
      </c>
    </row>
    <row r="977">
      <c r="A977" s="19">
        <f>'SW Rev'!$A58</f>
        <v/>
      </c>
      <c r="B977" s="19">
        <f>'SW Rev'!$B58</f>
        <v/>
      </c>
      <c r="C977" s="37">
        <f>IFERROR(IF(SUM('SW Rev'!D58:G58)&lt;=0,"",SUM('SW FCF'!D58:G58)/SUM('SW Rev'!D58:G58)),"")</f>
        <v/>
      </c>
      <c r="D977" s="37">
        <f>IFERROR(IF(SUM('SW Rev'!E58:H58)&lt;=0,"",SUM('SW FCF'!E58:H58)/SUM('SW Rev'!E58:H58)),"")</f>
        <v/>
      </c>
      <c r="E977" s="37">
        <f>IFERROR(IF(SUM('SW Rev'!F58:I58)&lt;=0,"",SUM('SW FCF'!F58:I58)/SUM('SW Rev'!F58:I58)),"")</f>
        <v/>
      </c>
      <c r="F977" s="37">
        <f>IFERROR(IF(SUM('SW Rev'!G58:J58)&lt;=0,"",SUM('SW FCF'!G58:J58)/SUM('SW Rev'!G58:J58)),"")</f>
        <v/>
      </c>
      <c r="G977" s="37">
        <f>IFERROR(IF(SUM('SW Rev'!H58:K58)&lt;=0,"",SUM('SW FCF'!H58:K58)/SUM('SW Rev'!H58:K58)),"")</f>
        <v/>
      </c>
      <c r="H977" s="37">
        <f>IFERROR(IF(SUM('SW Rev'!I58:L58)&lt;=0,"",SUM('SW FCF'!I58:L58)/SUM('SW Rev'!I58:L58)),"")</f>
        <v/>
      </c>
      <c r="I977" s="37">
        <f>IFERROR(IF(SUM('SW Rev'!J58:M58)&lt;=0,"",SUM('SW FCF'!J58:M58)/SUM('SW Rev'!J58:M58)),"")</f>
        <v/>
      </c>
      <c r="J977" s="37">
        <f>IFERROR(IF(SUM('SW Rev'!K58:N58)&lt;=0,"",SUM('SW FCF'!K58:N58)/SUM('SW Rev'!K58:N58)),"")</f>
        <v/>
      </c>
      <c r="K977" s="37">
        <f>IFERROR(IF(SUM('SW Rev'!L58:O58)&lt;=0,"",SUM('SW FCF'!L58:O58)/SUM('SW Rev'!L58:O58)),"")</f>
        <v/>
      </c>
      <c r="L977" s="37">
        <f>IFERROR(IF(SUM('SW Rev'!M58:P58)&lt;=0,"",SUM('SW FCF'!M58:P58)/SUM('SW Rev'!M58:P58)),"")</f>
        <v/>
      </c>
      <c r="M977" s="38">
        <f>IFERROR(IF(SUM('SW Rev'!N58:Q58)&lt;=0,"",SUM('SW FCF'!N58:Q58)/SUM('SW Rev'!N58:Q58)),"")</f>
        <v/>
      </c>
      <c r="N977" s="38">
        <f>IFERROR(IF(SUM('SW Rev'!O58:R58)&lt;=0,"",SUM('SW FCF'!O58:R58)/SUM('SW Rev'!O58:R58)),"")</f>
        <v/>
      </c>
    </row>
    <row r="978">
      <c r="A978" s="19">
        <f>'SW Rev'!$A59</f>
        <v/>
      </c>
      <c r="B978" s="19">
        <f>'SW Rev'!$B59</f>
        <v/>
      </c>
      <c r="C978" s="37">
        <f>IFERROR(IF(SUM('SW Rev'!D59:G59)&lt;=0,"",SUM('SW FCF'!D59:G59)/SUM('SW Rev'!D59:G59)),"")</f>
        <v/>
      </c>
      <c r="D978" s="37">
        <f>IFERROR(IF(SUM('SW Rev'!E59:H59)&lt;=0,"",SUM('SW FCF'!E59:H59)/SUM('SW Rev'!E59:H59)),"")</f>
        <v/>
      </c>
      <c r="E978" s="37">
        <f>IFERROR(IF(SUM('SW Rev'!F59:I59)&lt;=0,"",SUM('SW FCF'!F59:I59)/SUM('SW Rev'!F59:I59)),"")</f>
        <v/>
      </c>
      <c r="F978" s="37">
        <f>IFERROR(IF(SUM('SW Rev'!G59:J59)&lt;=0,"",SUM('SW FCF'!G59:J59)/SUM('SW Rev'!G59:J59)),"")</f>
        <v/>
      </c>
      <c r="G978" s="37">
        <f>IFERROR(IF(SUM('SW Rev'!H59:K59)&lt;=0,"",SUM('SW FCF'!H59:K59)/SUM('SW Rev'!H59:K59)),"")</f>
        <v/>
      </c>
      <c r="H978" s="37">
        <f>IFERROR(IF(SUM('SW Rev'!I59:L59)&lt;=0,"",SUM('SW FCF'!I59:L59)/SUM('SW Rev'!I59:L59)),"")</f>
        <v/>
      </c>
      <c r="I978" s="37">
        <f>IFERROR(IF(SUM('SW Rev'!J59:M59)&lt;=0,"",SUM('SW FCF'!J59:M59)/SUM('SW Rev'!J59:M59)),"")</f>
        <v/>
      </c>
      <c r="J978" s="37">
        <f>IFERROR(IF(SUM('SW Rev'!K59:N59)&lt;=0,"",SUM('SW FCF'!K59:N59)/SUM('SW Rev'!K59:N59)),"")</f>
        <v/>
      </c>
      <c r="K978" s="37">
        <f>IFERROR(IF(SUM('SW Rev'!L59:O59)&lt;=0,"",SUM('SW FCF'!L59:O59)/SUM('SW Rev'!L59:O59)),"")</f>
        <v/>
      </c>
      <c r="L978" s="37">
        <f>IFERROR(IF(SUM('SW Rev'!M59:P59)&lt;=0,"",SUM('SW FCF'!M59:P59)/SUM('SW Rev'!M59:P59)),"")</f>
        <v/>
      </c>
      <c r="M978" s="38">
        <f>IFERROR(IF(SUM('SW Rev'!N59:Q59)&lt;=0,"",SUM('SW FCF'!N59:Q59)/SUM('SW Rev'!N59:Q59)),"")</f>
        <v/>
      </c>
      <c r="N978" s="38">
        <f>IFERROR(IF(SUM('SW Rev'!O59:R59)&lt;=0,"",SUM('SW FCF'!O59:R59)/SUM('SW Rev'!O59:R59)),"")</f>
        <v/>
      </c>
    </row>
    <row r="979">
      <c r="A979" s="19">
        <f>'SW Rev'!$A60</f>
        <v/>
      </c>
      <c r="B979" s="19">
        <f>'SW Rev'!$B60</f>
        <v/>
      </c>
      <c r="C979" s="37">
        <f>IFERROR(IF(SUM('SW Rev'!D60:G60)&lt;=0,"",SUM('SW FCF'!D60:G60)/SUM('SW Rev'!D60:G60)),"")</f>
        <v/>
      </c>
      <c r="D979" s="37">
        <f>IFERROR(IF(SUM('SW Rev'!E60:H60)&lt;=0,"",SUM('SW FCF'!E60:H60)/SUM('SW Rev'!E60:H60)),"")</f>
        <v/>
      </c>
      <c r="E979" s="37">
        <f>IFERROR(IF(SUM('SW Rev'!F60:I60)&lt;=0,"",SUM('SW FCF'!F60:I60)/SUM('SW Rev'!F60:I60)),"")</f>
        <v/>
      </c>
      <c r="F979" s="37">
        <f>IFERROR(IF(SUM('SW Rev'!G60:J60)&lt;=0,"",SUM('SW FCF'!G60:J60)/SUM('SW Rev'!G60:J60)),"")</f>
        <v/>
      </c>
      <c r="G979" s="37">
        <f>IFERROR(IF(SUM('SW Rev'!H60:K60)&lt;=0,"",SUM('SW FCF'!H60:K60)/SUM('SW Rev'!H60:K60)),"")</f>
        <v/>
      </c>
      <c r="H979" s="37">
        <f>IFERROR(IF(SUM('SW Rev'!I60:L60)&lt;=0,"",SUM('SW FCF'!I60:L60)/SUM('SW Rev'!I60:L60)),"")</f>
        <v/>
      </c>
      <c r="I979" s="37">
        <f>IFERROR(IF(SUM('SW Rev'!J60:M60)&lt;=0,"",SUM('SW FCF'!J60:M60)/SUM('SW Rev'!J60:M60)),"")</f>
        <v/>
      </c>
      <c r="J979" s="37">
        <f>IFERROR(IF(SUM('SW Rev'!K60:N60)&lt;=0,"",SUM('SW FCF'!K60:N60)/SUM('SW Rev'!K60:N60)),"")</f>
        <v/>
      </c>
      <c r="K979" s="37">
        <f>IFERROR(IF(SUM('SW Rev'!L60:O60)&lt;=0,"",SUM('SW FCF'!L60:O60)/SUM('SW Rev'!L60:O60)),"")</f>
        <v/>
      </c>
      <c r="L979" s="37">
        <f>IFERROR(IF(SUM('SW Rev'!M60:P60)&lt;=0,"",SUM('SW FCF'!M60:P60)/SUM('SW Rev'!M60:P60)),"")</f>
        <v/>
      </c>
      <c r="M979" s="38">
        <f>IFERROR(IF(SUM('SW Rev'!N60:Q60)&lt;=0,"",SUM('SW FCF'!N60:Q60)/SUM('SW Rev'!N60:Q60)),"")</f>
        <v/>
      </c>
      <c r="N979" s="38">
        <f>IFERROR(IF(SUM('SW Rev'!O60:R60)&lt;=0,"",SUM('SW FCF'!O60:R60)/SUM('SW Rev'!O60:R60)),"")</f>
        <v/>
      </c>
    </row>
    <row r="980">
      <c r="A980" s="19">
        <f>'SW Rev'!$A61</f>
        <v/>
      </c>
      <c r="B980" s="19">
        <f>'SW Rev'!$B61</f>
        <v/>
      </c>
      <c r="C980" s="37">
        <f>IFERROR(IF(SUM('SW Rev'!D61:G61)&lt;=0,"",SUM('SW FCF'!D61:G61)/SUM('SW Rev'!D61:G61)),"")</f>
        <v/>
      </c>
      <c r="D980" s="37">
        <f>IFERROR(IF(SUM('SW Rev'!E61:H61)&lt;=0,"",SUM('SW FCF'!E61:H61)/SUM('SW Rev'!E61:H61)),"")</f>
        <v/>
      </c>
      <c r="E980" s="37">
        <f>IFERROR(IF(SUM('SW Rev'!F61:I61)&lt;=0,"",SUM('SW FCF'!F61:I61)/SUM('SW Rev'!F61:I61)),"")</f>
        <v/>
      </c>
      <c r="F980" s="37">
        <f>IFERROR(IF(SUM('SW Rev'!G61:J61)&lt;=0,"",SUM('SW FCF'!G61:J61)/SUM('SW Rev'!G61:J61)),"")</f>
        <v/>
      </c>
      <c r="G980" s="37">
        <f>IFERROR(IF(SUM('SW Rev'!H61:K61)&lt;=0,"",SUM('SW FCF'!H61:K61)/SUM('SW Rev'!H61:K61)),"")</f>
        <v/>
      </c>
      <c r="H980" s="37">
        <f>IFERROR(IF(SUM('SW Rev'!I61:L61)&lt;=0,"",SUM('SW FCF'!I61:L61)/SUM('SW Rev'!I61:L61)),"")</f>
        <v/>
      </c>
      <c r="I980" s="37">
        <f>IFERROR(IF(SUM('SW Rev'!J61:M61)&lt;=0,"",SUM('SW FCF'!J61:M61)/SUM('SW Rev'!J61:M61)),"")</f>
        <v/>
      </c>
      <c r="J980" s="37">
        <f>IFERROR(IF(SUM('SW Rev'!K61:N61)&lt;=0,"",SUM('SW FCF'!K61:N61)/SUM('SW Rev'!K61:N61)),"")</f>
        <v/>
      </c>
      <c r="K980" s="37">
        <f>IFERROR(IF(SUM('SW Rev'!L61:O61)&lt;=0,"",SUM('SW FCF'!L61:O61)/SUM('SW Rev'!L61:O61)),"")</f>
        <v/>
      </c>
      <c r="L980" s="37">
        <f>IFERROR(IF(SUM('SW Rev'!M61:P61)&lt;=0,"",SUM('SW FCF'!M61:P61)/SUM('SW Rev'!M61:P61)),"")</f>
        <v/>
      </c>
      <c r="M980" s="38">
        <f>IFERROR(IF(SUM('SW Rev'!N61:Q61)&lt;=0,"",SUM('SW FCF'!N61:Q61)/SUM('SW Rev'!N61:Q61)),"")</f>
        <v/>
      </c>
      <c r="N980" s="38">
        <f>IFERROR(IF(SUM('SW Rev'!O61:R61)&lt;=0,"",SUM('SW FCF'!O61:R61)/SUM('SW Rev'!O61:R61)),"")</f>
        <v/>
      </c>
    </row>
    <row r="981">
      <c r="A981" s="19">
        <f>'SW Rev'!$A62</f>
        <v/>
      </c>
      <c r="B981" s="19">
        <f>'SW Rev'!$B62</f>
        <v/>
      </c>
      <c r="C981" s="37">
        <f>IFERROR(IF(SUM('SW Rev'!D62:G62)&lt;=0,"",SUM('SW FCF'!D62:G62)/SUM('SW Rev'!D62:G62)),"")</f>
        <v/>
      </c>
      <c r="D981" s="37">
        <f>IFERROR(IF(SUM('SW Rev'!E62:H62)&lt;=0,"",SUM('SW FCF'!E62:H62)/SUM('SW Rev'!E62:H62)),"")</f>
        <v/>
      </c>
      <c r="E981" s="37">
        <f>IFERROR(IF(SUM('SW Rev'!F62:I62)&lt;=0,"",SUM('SW FCF'!F62:I62)/SUM('SW Rev'!F62:I62)),"")</f>
        <v/>
      </c>
      <c r="F981" s="37">
        <f>IFERROR(IF(SUM('SW Rev'!G62:J62)&lt;=0,"",SUM('SW FCF'!G62:J62)/SUM('SW Rev'!G62:J62)),"")</f>
        <v/>
      </c>
      <c r="G981" s="37">
        <f>IFERROR(IF(SUM('SW Rev'!H62:K62)&lt;=0,"",SUM('SW FCF'!H62:K62)/SUM('SW Rev'!H62:K62)),"")</f>
        <v/>
      </c>
      <c r="H981" s="37">
        <f>IFERROR(IF(SUM('SW Rev'!I62:L62)&lt;=0,"",SUM('SW FCF'!I62:L62)/SUM('SW Rev'!I62:L62)),"")</f>
        <v/>
      </c>
      <c r="I981" s="37">
        <f>IFERROR(IF(SUM('SW Rev'!J62:M62)&lt;=0,"",SUM('SW FCF'!J62:M62)/SUM('SW Rev'!J62:M62)),"")</f>
        <v/>
      </c>
      <c r="J981" s="37">
        <f>IFERROR(IF(SUM('SW Rev'!K62:N62)&lt;=0,"",SUM('SW FCF'!K62:N62)/SUM('SW Rev'!K62:N62)),"")</f>
        <v/>
      </c>
      <c r="K981" s="37">
        <f>IFERROR(IF(SUM('SW Rev'!L62:O62)&lt;=0,"",SUM('SW FCF'!L62:O62)/SUM('SW Rev'!L62:O62)),"")</f>
        <v/>
      </c>
      <c r="L981" s="37">
        <f>IFERROR(IF(SUM('SW Rev'!M62:P62)&lt;=0,"",SUM('SW FCF'!M62:P62)/SUM('SW Rev'!M62:P62)),"")</f>
        <v/>
      </c>
      <c r="M981" s="38">
        <f>IFERROR(IF(SUM('SW Rev'!N62:Q62)&lt;=0,"",SUM('SW FCF'!N62:Q62)/SUM('SW Rev'!N62:Q62)),"")</f>
        <v/>
      </c>
      <c r="N981" s="38">
        <f>IFERROR(IF(SUM('SW Rev'!O62:R62)&lt;=0,"",SUM('SW FCF'!O62:R62)/SUM('SW Rev'!O62:R62)),"")</f>
        <v/>
      </c>
    </row>
    <row r="982">
      <c r="A982" s="19">
        <f>'SW Rev'!$A63</f>
        <v/>
      </c>
      <c r="B982" s="19">
        <f>'SW Rev'!$B63</f>
        <v/>
      </c>
      <c r="C982" s="37">
        <f>IFERROR(IF(SUM('SW Rev'!D63:G63)&lt;=0,"",SUM('SW FCF'!D63:G63)/SUM('SW Rev'!D63:G63)),"")</f>
        <v/>
      </c>
      <c r="D982" s="37">
        <f>IFERROR(IF(SUM('SW Rev'!E63:H63)&lt;=0,"",SUM('SW FCF'!E63:H63)/SUM('SW Rev'!E63:H63)),"")</f>
        <v/>
      </c>
      <c r="E982" s="37">
        <f>IFERROR(IF(SUM('SW Rev'!F63:I63)&lt;=0,"",SUM('SW FCF'!F63:I63)/SUM('SW Rev'!F63:I63)),"")</f>
        <v/>
      </c>
      <c r="F982" s="37">
        <f>IFERROR(IF(SUM('SW Rev'!G63:J63)&lt;=0,"",SUM('SW FCF'!G63:J63)/SUM('SW Rev'!G63:J63)),"")</f>
        <v/>
      </c>
      <c r="G982" s="37">
        <f>IFERROR(IF(SUM('SW Rev'!H63:K63)&lt;=0,"",SUM('SW FCF'!H63:K63)/SUM('SW Rev'!H63:K63)),"")</f>
        <v/>
      </c>
      <c r="H982" s="37">
        <f>IFERROR(IF(SUM('SW Rev'!I63:L63)&lt;=0,"",SUM('SW FCF'!I63:L63)/SUM('SW Rev'!I63:L63)),"")</f>
        <v/>
      </c>
      <c r="I982" s="37">
        <f>IFERROR(IF(SUM('SW Rev'!J63:M63)&lt;=0,"",SUM('SW FCF'!J63:M63)/SUM('SW Rev'!J63:M63)),"")</f>
        <v/>
      </c>
      <c r="J982" s="37">
        <f>IFERROR(IF(SUM('SW Rev'!K63:N63)&lt;=0,"",SUM('SW FCF'!K63:N63)/SUM('SW Rev'!K63:N63)),"")</f>
        <v/>
      </c>
      <c r="K982" s="37">
        <f>IFERROR(IF(SUM('SW Rev'!L63:O63)&lt;=0,"",SUM('SW FCF'!L63:O63)/SUM('SW Rev'!L63:O63)),"")</f>
        <v/>
      </c>
      <c r="L982" s="37">
        <f>IFERROR(IF(SUM('SW Rev'!M63:P63)&lt;=0,"",SUM('SW FCF'!M63:P63)/SUM('SW Rev'!M63:P63)),"")</f>
        <v/>
      </c>
      <c r="M982" s="38">
        <f>IFERROR(IF(SUM('SW Rev'!N63:Q63)&lt;=0,"",SUM('SW FCF'!N63:Q63)/SUM('SW Rev'!N63:Q63)),"")</f>
        <v/>
      </c>
      <c r="N982" s="38">
        <f>IFERROR(IF(SUM('SW Rev'!O63:R63)&lt;=0,"",SUM('SW FCF'!O63:R63)/SUM('SW Rev'!O63:R63)),"")</f>
        <v/>
      </c>
    </row>
    <row r="983">
      <c r="A983" s="19">
        <f>'SW Rev'!$A64</f>
        <v/>
      </c>
      <c r="B983" s="19">
        <f>'SW Rev'!$B64</f>
        <v/>
      </c>
      <c r="C983" s="37">
        <f>IFERROR(IF(SUM('SW Rev'!D64:G64)&lt;=0,"",SUM('SW FCF'!D64:G64)/SUM('SW Rev'!D64:G64)),"")</f>
        <v/>
      </c>
      <c r="D983" s="37">
        <f>IFERROR(IF(SUM('SW Rev'!E64:H64)&lt;=0,"",SUM('SW FCF'!E64:H64)/SUM('SW Rev'!E64:H64)),"")</f>
        <v/>
      </c>
      <c r="E983" s="37">
        <f>IFERROR(IF(SUM('SW Rev'!F64:I64)&lt;=0,"",SUM('SW FCF'!F64:I64)/SUM('SW Rev'!F64:I64)),"")</f>
        <v/>
      </c>
      <c r="F983" s="37">
        <f>IFERROR(IF(SUM('SW Rev'!G64:J64)&lt;=0,"",SUM('SW FCF'!G64:J64)/SUM('SW Rev'!G64:J64)),"")</f>
        <v/>
      </c>
      <c r="G983" s="37">
        <f>IFERROR(IF(SUM('SW Rev'!H64:K64)&lt;=0,"",SUM('SW FCF'!H64:K64)/SUM('SW Rev'!H64:K64)),"")</f>
        <v/>
      </c>
      <c r="H983" s="37">
        <f>IFERROR(IF(SUM('SW Rev'!I64:L64)&lt;=0,"",SUM('SW FCF'!I64:L64)/SUM('SW Rev'!I64:L64)),"")</f>
        <v/>
      </c>
      <c r="I983" s="37">
        <f>IFERROR(IF(SUM('SW Rev'!J64:M64)&lt;=0,"",SUM('SW FCF'!J64:M64)/SUM('SW Rev'!J64:M64)),"")</f>
        <v/>
      </c>
      <c r="J983" s="37">
        <f>IFERROR(IF(SUM('SW Rev'!K64:N64)&lt;=0,"",SUM('SW FCF'!K64:N64)/SUM('SW Rev'!K64:N64)),"")</f>
        <v/>
      </c>
      <c r="K983" s="37">
        <f>IFERROR(IF(SUM('SW Rev'!L64:O64)&lt;=0,"",SUM('SW FCF'!L64:O64)/SUM('SW Rev'!L64:O64)),"")</f>
        <v/>
      </c>
      <c r="L983" s="37">
        <f>IFERROR(IF(SUM('SW Rev'!M64:P64)&lt;=0,"",SUM('SW FCF'!M64:P64)/SUM('SW Rev'!M64:P64)),"")</f>
        <v/>
      </c>
      <c r="M983" s="38">
        <f>IFERROR(IF(SUM('SW Rev'!N64:Q64)&lt;=0,"",SUM('SW FCF'!N64:Q64)/SUM('SW Rev'!N64:Q64)),"")</f>
        <v/>
      </c>
      <c r="N983" s="38">
        <f>IFERROR(IF(SUM('SW Rev'!O64:R64)&lt;=0,"",SUM('SW FCF'!O64:R64)/SUM('SW Rev'!O64:R64)),"")</f>
        <v/>
      </c>
    </row>
    <row r="984">
      <c r="A984" s="19">
        <f>'SW Rev'!$A65</f>
        <v/>
      </c>
      <c r="B984" s="19">
        <f>'SW Rev'!$B65</f>
        <v/>
      </c>
      <c r="C984" s="37">
        <f>IFERROR(IF(SUM('SW Rev'!D65:G65)&lt;=0,"",SUM('SW FCF'!D65:G65)/SUM('SW Rev'!D65:G65)),"")</f>
        <v/>
      </c>
      <c r="D984" s="37">
        <f>IFERROR(IF(SUM('SW Rev'!E65:H65)&lt;=0,"",SUM('SW FCF'!E65:H65)/SUM('SW Rev'!E65:H65)),"")</f>
        <v/>
      </c>
      <c r="E984" s="37">
        <f>IFERROR(IF(SUM('SW Rev'!F65:I65)&lt;=0,"",SUM('SW FCF'!F65:I65)/SUM('SW Rev'!F65:I65)),"")</f>
        <v/>
      </c>
      <c r="F984" s="37">
        <f>IFERROR(IF(SUM('SW Rev'!G65:J65)&lt;=0,"",SUM('SW FCF'!G65:J65)/SUM('SW Rev'!G65:J65)),"")</f>
        <v/>
      </c>
      <c r="G984" s="37">
        <f>IFERROR(IF(SUM('SW Rev'!H65:K65)&lt;=0,"",SUM('SW FCF'!H65:K65)/SUM('SW Rev'!H65:K65)),"")</f>
        <v/>
      </c>
      <c r="H984" s="37">
        <f>IFERROR(IF(SUM('SW Rev'!I65:L65)&lt;=0,"",SUM('SW FCF'!I65:L65)/SUM('SW Rev'!I65:L65)),"")</f>
        <v/>
      </c>
      <c r="I984" s="37">
        <f>IFERROR(IF(SUM('SW Rev'!J65:M65)&lt;=0,"",SUM('SW FCF'!J65:M65)/SUM('SW Rev'!J65:M65)),"")</f>
        <v/>
      </c>
      <c r="J984" s="37">
        <f>IFERROR(IF(SUM('SW Rev'!K65:N65)&lt;=0,"",SUM('SW FCF'!K65:N65)/SUM('SW Rev'!K65:N65)),"")</f>
        <v/>
      </c>
      <c r="K984" s="37">
        <f>IFERROR(IF(SUM('SW Rev'!L65:O65)&lt;=0,"",SUM('SW FCF'!L65:O65)/SUM('SW Rev'!L65:O65)),"")</f>
        <v/>
      </c>
      <c r="L984" s="37">
        <f>IFERROR(IF(SUM('SW Rev'!M65:P65)&lt;=0,"",SUM('SW FCF'!M65:P65)/SUM('SW Rev'!M65:P65)),"")</f>
        <v/>
      </c>
      <c r="M984" s="38">
        <f>IFERROR(IF(SUM('SW Rev'!N65:Q65)&lt;=0,"",SUM('SW FCF'!N65:Q65)/SUM('SW Rev'!N65:Q65)),"")</f>
        <v/>
      </c>
      <c r="N984" s="38">
        <f>IFERROR(IF(SUM('SW Rev'!O65:R65)&lt;=0,"",SUM('SW FCF'!O65:R65)/SUM('SW Rev'!O65:R65)),"")</f>
        <v/>
      </c>
    </row>
    <row r="985">
      <c r="A985" s="19">
        <f>'SW Rev'!$A66</f>
        <v/>
      </c>
      <c r="B985" s="19">
        <f>'SW Rev'!$B66</f>
        <v/>
      </c>
      <c r="C985" s="37">
        <f>IFERROR(IF(SUM('SW Rev'!D66:G66)&lt;=0,"",SUM('SW FCF'!D66:G66)/SUM('SW Rev'!D66:G66)),"")</f>
        <v/>
      </c>
      <c r="D985" s="37">
        <f>IFERROR(IF(SUM('SW Rev'!E66:H66)&lt;=0,"",SUM('SW FCF'!E66:H66)/SUM('SW Rev'!E66:H66)),"")</f>
        <v/>
      </c>
      <c r="E985" s="37">
        <f>IFERROR(IF(SUM('SW Rev'!F66:I66)&lt;=0,"",SUM('SW FCF'!F66:I66)/SUM('SW Rev'!F66:I66)),"")</f>
        <v/>
      </c>
      <c r="F985" s="37">
        <f>IFERROR(IF(SUM('SW Rev'!G66:J66)&lt;=0,"",SUM('SW FCF'!G66:J66)/SUM('SW Rev'!G66:J66)),"")</f>
        <v/>
      </c>
      <c r="G985" s="37">
        <f>IFERROR(IF(SUM('SW Rev'!H66:K66)&lt;=0,"",SUM('SW FCF'!H66:K66)/SUM('SW Rev'!H66:K66)),"")</f>
        <v/>
      </c>
      <c r="H985" s="37">
        <f>IFERROR(IF(SUM('SW Rev'!I66:L66)&lt;=0,"",SUM('SW FCF'!I66:L66)/SUM('SW Rev'!I66:L66)),"")</f>
        <v/>
      </c>
      <c r="I985" s="37">
        <f>IFERROR(IF(SUM('SW Rev'!J66:M66)&lt;=0,"",SUM('SW FCF'!J66:M66)/SUM('SW Rev'!J66:M66)),"")</f>
        <v/>
      </c>
      <c r="J985" s="37">
        <f>IFERROR(IF(SUM('SW Rev'!K66:N66)&lt;=0,"",SUM('SW FCF'!K66:N66)/SUM('SW Rev'!K66:N66)),"")</f>
        <v/>
      </c>
      <c r="K985" s="37">
        <f>IFERROR(IF(SUM('SW Rev'!L66:O66)&lt;=0,"",SUM('SW FCF'!L66:O66)/SUM('SW Rev'!L66:O66)),"")</f>
        <v/>
      </c>
      <c r="L985" s="37">
        <f>IFERROR(IF(SUM('SW Rev'!M66:P66)&lt;=0,"",SUM('SW FCF'!M66:P66)/SUM('SW Rev'!M66:P66)),"")</f>
        <v/>
      </c>
      <c r="M985" s="38">
        <f>IFERROR(IF(SUM('SW Rev'!N66:Q66)&lt;=0,"",SUM('SW FCF'!N66:Q66)/SUM('SW Rev'!N66:Q66)),"")</f>
        <v/>
      </c>
      <c r="N985" s="38">
        <f>IFERROR(IF(SUM('SW Rev'!O66:R66)&lt;=0,"",SUM('SW FCF'!O66:R66)/SUM('SW Rev'!O66:R66)),"")</f>
        <v/>
      </c>
    </row>
    <row r="986">
      <c r="A986" s="19">
        <f>'SW Rev'!$A67</f>
        <v/>
      </c>
      <c r="B986" s="19">
        <f>'SW Rev'!$B67</f>
        <v/>
      </c>
      <c r="C986" s="37">
        <f>IFERROR(IF(SUM('SW Rev'!D67:G67)&lt;=0,"",SUM('SW FCF'!D67:G67)/SUM('SW Rev'!D67:G67)),"")</f>
        <v/>
      </c>
      <c r="D986" s="37">
        <f>IFERROR(IF(SUM('SW Rev'!E67:H67)&lt;=0,"",SUM('SW FCF'!E67:H67)/SUM('SW Rev'!E67:H67)),"")</f>
        <v/>
      </c>
      <c r="E986" s="37">
        <f>IFERROR(IF(SUM('SW Rev'!F67:I67)&lt;=0,"",SUM('SW FCF'!F67:I67)/SUM('SW Rev'!F67:I67)),"")</f>
        <v/>
      </c>
      <c r="F986" s="37">
        <f>IFERROR(IF(SUM('SW Rev'!G67:J67)&lt;=0,"",SUM('SW FCF'!G67:J67)/SUM('SW Rev'!G67:J67)),"")</f>
        <v/>
      </c>
      <c r="G986" s="37">
        <f>IFERROR(IF(SUM('SW Rev'!H67:K67)&lt;=0,"",SUM('SW FCF'!H67:K67)/SUM('SW Rev'!H67:K67)),"")</f>
        <v/>
      </c>
      <c r="H986" s="37">
        <f>IFERROR(IF(SUM('SW Rev'!I67:L67)&lt;=0,"",SUM('SW FCF'!I67:L67)/SUM('SW Rev'!I67:L67)),"")</f>
        <v/>
      </c>
      <c r="I986" s="37">
        <f>IFERROR(IF(SUM('SW Rev'!J67:M67)&lt;=0,"",SUM('SW FCF'!J67:M67)/SUM('SW Rev'!J67:M67)),"")</f>
        <v/>
      </c>
      <c r="J986" s="37">
        <f>IFERROR(IF(SUM('SW Rev'!K67:N67)&lt;=0,"",SUM('SW FCF'!K67:N67)/SUM('SW Rev'!K67:N67)),"")</f>
        <v/>
      </c>
      <c r="K986" s="37">
        <f>IFERROR(IF(SUM('SW Rev'!L67:O67)&lt;=0,"",SUM('SW FCF'!L67:O67)/SUM('SW Rev'!L67:O67)),"")</f>
        <v/>
      </c>
      <c r="L986" s="37">
        <f>IFERROR(IF(SUM('SW Rev'!M67:P67)&lt;=0,"",SUM('SW FCF'!M67:P67)/SUM('SW Rev'!M67:P67)),"")</f>
        <v/>
      </c>
      <c r="M986" s="38">
        <f>IFERROR(IF(SUM('SW Rev'!N67:Q67)&lt;=0,"",SUM('SW FCF'!N67:Q67)/SUM('SW Rev'!N67:Q67)),"")</f>
        <v/>
      </c>
      <c r="N986" s="38">
        <f>IFERROR(IF(SUM('SW Rev'!O67:R67)&lt;=0,"",SUM('SW FCF'!O67:R67)/SUM('SW Rev'!O67:R67)),"")</f>
        <v/>
      </c>
    </row>
    <row r="987">
      <c r="A987" s="19">
        <f>'SW Rev'!$A68</f>
        <v/>
      </c>
      <c r="B987" s="19">
        <f>'SW Rev'!$B68</f>
        <v/>
      </c>
      <c r="C987" s="37">
        <f>IFERROR(IF(SUM('SW Rev'!D68:G68)&lt;=0,"",SUM('SW FCF'!D68:G68)/SUM('SW Rev'!D68:G68)),"")</f>
        <v/>
      </c>
      <c r="D987" s="37">
        <f>IFERROR(IF(SUM('SW Rev'!E68:H68)&lt;=0,"",SUM('SW FCF'!E68:H68)/SUM('SW Rev'!E68:H68)),"")</f>
        <v/>
      </c>
      <c r="E987" s="37">
        <f>IFERROR(IF(SUM('SW Rev'!F68:I68)&lt;=0,"",SUM('SW FCF'!F68:I68)/SUM('SW Rev'!F68:I68)),"")</f>
        <v/>
      </c>
      <c r="F987" s="37">
        <f>IFERROR(IF(SUM('SW Rev'!G68:J68)&lt;=0,"",SUM('SW FCF'!G68:J68)/SUM('SW Rev'!G68:J68)),"")</f>
        <v/>
      </c>
      <c r="G987" s="37">
        <f>IFERROR(IF(SUM('SW Rev'!H68:K68)&lt;=0,"",SUM('SW FCF'!H68:K68)/SUM('SW Rev'!H68:K68)),"")</f>
        <v/>
      </c>
      <c r="H987" s="37">
        <f>IFERROR(IF(SUM('SW Rev'!I68:L68)&lt;=0,"",SUM('SW FCF'!I68:L68)/SUM('SW Rev'!I68:L68)),"")</f>
        <v/>
      </c>
      <c r="I987" s="37">
        <f>IFERROR(IF(SUM('SW Rev'!J68:M68)&lt;=0,"",SUM('SW FCF'!J68:M68)/SUM('SW Rev'!J68:M68)),"")</f>
        <v/>
      </c>
      <c r="J987" s="37">
        <f>IFERROR(IF(SUM('SW Rev'!K68:N68)&lt;=0,"",SUM('SW FCF'!K68:N68)/SUM('SW Rev'!K68:N68)),"")</f>
        <v/>
      </c>
      <c r="K987" s="37">
        <f>IFERROR(IF(SUM('SW Rev'!L68:O68)&lt;=0,"",SUM('SW FCF'!L68:O68)/SUM('SW Rev'!L68:O68)),"")</f>
        <v/>
      </c>
      <c r="L987" s="37">
        <f>IFERROR(IF(SUM('SW Rev'!M68:P68)&lt;=0,"",SUM('SW FCF'!M68:P68)/SUM('SW Rev'!M68:P68)),"")</f>
        <v/>
      </c>
      <c r="M987" s="38">
        <f>IFERROR(IF(SUM('SW Rev'!N68:Q68)&lt;=0,"",SUM('SW FCF'!N68:Q68)/SUM('SW Rev'!N68:Q68)),"")</f>
        <v/>
      </c>
      <c r="N987" s="38">
        <f>IFERROR(IF(SUM('SW Rev'!O68:R68)&lt;=0,"",SUM('SW FCF'!O68:R68)/SUM('SW Rev'!O68:R68)),"")</f>
        <v/>
      </c>
    </row>
    <row r="988">
      <c r="A988" s="19">
        <f>'SW Rev'!$A69</f>
        <v/>
      </c>
      <c r="B988" s="19">
        <f>'SW Rev'!$B69</f>
        <v/>
      </c>
      <c r="C988" s="37">
        <f>IFERROR(IF(SUM('SW Rev'!D69:G69)&lt;=0,"",SUM('SW FCF'!D69:G69)/SUM('SW Rev'!D69:G69)),"")</f>
        <v/>
      </c>
      <c r="D988" s="37">
        <f>IFERROR(IF(SUM('SW Rev'!E69:H69)&lt;=0,"",SUM('SW FCF'!E69:H69)/SUM('SW Rev'!E69:H69)),"")</f>
        <v/>
      </c>
      <c r="E988" s="37">
        <f>IFERROR(IF(SUM('SW Rev'!F69:I69)&lt;=0,"",SUM('SW FCF'!F69:I69)/SUM('SW Rev'!F69:I69)),"")</f>
        <v/>
      </c>
      <c r="F988" s="37">
        <f>IFERROR(IF(SUM('SW Rev'!G69:J69)&lt;=0,"",SUM('SW FCF'!G69:J69)/SUM('SW Rev'!G69:J69)),"")</f>
        <v/>
      </c>
      <c r="G988" s="37">
        <f>IFERROR(IF(SUM('SW Rev'!H69:K69)&lt;=0,"",SUM('SW FCF'!H69:K69)/SUM('SW Rev'!H69:K69)),"")</f>
        <v/>
      </c>
      <c r="H988" s="37">
        <f>IFERROR(IF(SUM('SW Rev'!I69:L69)&lt;=0,"",SUM('SW FCF'!I69:L69)/SUM('SW Rev'!I69:L69)),"")</f>
        <v/>
      </c>
      <c r="I988" s="37">
        <f>IFERROR(IF(SUM('SW Rev'!J69:M69)&lt;=0,"",SUM('SW FCF'!J69:M69)/SUM('SW Rev'!J69:M69)),"")</f>
        <v/>
      </c>
      <c r="J988" s="37">
        <f>IFERROR(IF(SUM('SW Rev'!K69:N69)&lt;=0,"",SUM('SW FCF'!K69:N69)/SUM('SW Rev'!K69:N69)),"")</f>
        <v/>
      </c>
      <c r="K988" s="37">
        <f>IFERROR(IF(SUM('SW Rev'!L69:O69)&lt;=0,"",SUM('SW FCF'!L69:O69)/SUM('SW Rev'!L69:O69)),"")</f>
        <v/>
      </c>
      <c r="L988" s="37">
        <f>IFERROR(IF(SUM('SW Rev'!M69:P69)&lt;=0,"",SUM('SW FCF'!M69:P69)/SUM('SW Rev'!M69:P69)),"")</f>
        <v/>
      </c>
      <c r="M988" s="38">
        <f>IFERROR(IF(SUM('SW Rev'!N69:Q69)&lt;=0,"",SUM('SW FCF'!N69:Q69)/SUM('SW Rev'!N69:Q69)),"")</f>
        <v/>
      </c>
      <c r="N988" s="38">
        <f>IFERROR(IF(SUM('SW Rev'!O69:R69)&lt;=0,"",SUM('SW FCF'!O69:R69)/SUM('SW Rev'!O69:R69)),"")</f>
        <v/>
      </c>
    </row>
    <row r="989">
      <c r="A989" s="19">
        <f>'SW Rev'!$A70</f>
        <v/>
      </c>
      <c r="B989" s="19">
        <f>'SW Rev'!$B70</f>
        <v/>
      </c>
      <c r="C989" s="37">
        <f>IFERROR(IF(SUM('SW Rev'!D70:G70)&lt;=0,"",SUM('SW FCF'!D70:G70)/SUM('SW Rev'!D70:G70)),"")</f>
        <v/>
      </c>
      <c r="D989" s="37">
        <f>IFERROR(IF(SUM('SW Rev'!E70:H70)&lt;=0,"",SUM('SW FCF'!E70:H70)/SUM('SW Rev'!E70:H70)),"")</f>
        <v/>
      </c>
      <c r="E989" s="37">
        <f>IFERROR(IF(SUM('SW Rev'!F70:I70)&lt;=0,"",SUM('SW FCF'!F70:I70)/SUM('SW Rev'!F70:I70)),"")</f>
        <v/>
      </c>
      <c r="F989" s="37">
        <f>IFERROR(IF(SUM('SW Rev'!G70:J70)&lt;=0,"",SUM('SW FCF'!G70:J70)/SUM('SW Rev'!G70:J70)),"")</f>
        <v/>
      </c>
      <c r="G989" s="37">
        <f>IFERROR(IF(SUM('SW Rev'!H70:K70)&lt;=0,"",SUM('SW FCF'!H70:K70)/SUM('SW Rev'!H70:K70)),"")</f>
        <v/>
      </c>
      <c r="H989" s="37">
        <f>IFERROR(IF(SUM('SW Rev'!I70:L70)&lt;=0,"",SUM('SW FCF'!I70:L70)/SUM('SW Rev'!I70:L70)),"")</f>
        <v/>
      </c>
      <c r="I989" s="37">
        <f>IFERROR(IF(SUM('SW Rev'!J70:M70)&lt;=0,"",SUM('SW FCF'!J70:M70)/SUM('SW Rev'!J70:M70)),"")</f>
        <v/>
      </c>
      <c r="J989" s="37">
        <f>IFERROR(IF(SUM('SW Rev'!K70:N70)&lt;=0,"",SUM('SW FCF'!K70:N70)/SUM('SW Rev'!K70:N70)),"")</f>
        <v/>
      </c>
      <c r="K989" s="37">
        <f>IFERROR(IF(SUM('SW Rev'!L70:O70)&lt;=0,"",SUM('SW FCF'!L70:O70)/SUM('SW Rev'!L70:O70)),"")</f>
        <v/>
      </c>
      <c r="L989" s="37">
        <f>IFERROR(IF(SUM('SW Rev'!M70:P70)&lt;=0,"",SUM('SW FCF'!M70:P70)/SUM('SW Rev'!M70:P70)),"")</f>
        <v/>
      </c>
      <c r="M989" s="38">
        <f>IFERROR(IF(SUM('SW Rev'!N70:Q70)&lt;=0,"",SUM('SW FCF'!N70:Q70)/SUM('SW Rev'!N70:Q70)),"")</f>
        <v/>
      </c>
      <c r="N989" s="38">
        <f>IFERROR(IF(SUM('SW Rev'!O70:R70)&lt;=0,"",SUM('SW FCF'!O70:R70)/SUM('SW Rev'!O70:R70)),"")</f>
        <v/>
      </c>
    </row>
    <row r="990">
      <c r="A990" s="19">
        <f>'SW Rev'!$A71</f>
        <v/>
      </c>
      <c r="B990" s="19">
        <f>'SW Rev'!$B71</f>
        <v/>
      </c>
      <c r="C990" s="37">
        <f>IFERROR(IF(SUM('SW Rev'!D71:G71)&lt;=0,"",SUM('SW FCF'!D71:G71)/SUM('SW Rev'!D71:G71)),"")</f>
        <v/>
      </c>
      <c r="D990" s="37">
        <f>IFERROR(IF(SUM('SW Rev'!E71:H71)&lt;=0,"",SUM('SW FCF'!E71:H71)/SUM('SW Rev'!E71:H71)),"")</f>
        <v/>
      </c>
      <c r="E990" s="37">
        <f>IFERROR(IF(SUM('SW Rev'!F71:I71)&lt;=0,"",SUM('SW FCF'!F71:I71)/SUM('SW Rev'!F71:I71)),"")</f>
        <v/>
      </c>
      <c r="F990" s="37">
        <f>IFERROR(IF(SUM('SW Rev'!G71:J71)&lt;=0,"",SUM('SW FCF'!G71:J71)/SUM('SW Rev'!G71:J71)),"")</f>
        <v/>
      </c>
      <c r="G990" s="37">
        <f>IFERROR(IF(SUM('SW Rev'!H71:K71)&lt;=0,"",SUM('SW FCF'!H71:K71)/SUM('SW Rev'!H71:K71)),"")</f>
        <v/>
      </c>
      <c r="H990" s="37">
        <f>IFERROR(IF(SUM('SW Rev'!I71:L71)&lt;=0,"",SUM('SW FCF'!I71:L71)/SUM('SW Rev'!I71:L71)),"")</f>
        <v/>
      </c>
      <c r="I990" s="37">
        <f>IFERROR(IF(SUM('SW Rev'!J71:M71)&lt;=0,"",SUM('SW FCF'!J71:M71)/SUM('SW Rev'!J71:M71)),"")</f>
        <v/>
      </c>
      <c r="J990" s="37">
        <f>IFERROR(IF(SUM('SW Rev'!K71:N71)&lt;=0,"",SUM('SW FCF'!K71:N71)/SUM('SW Rev'!K71:N71)),"")</f>
        <v/>
      </c>
      <c r="K990" s="37">
        <f>IFERROR(IF(SUM('SW Rev'!L71:O71)&lt;=0,"",SUM('SW FCF'!L71:O71)/SUM('SW Rev'!L71:O71)),"")</f>
        <v/>
      </c>
      <c r="L990" s="37">
        <f>IFERROR(IF(SUM('SW Rev'!M71:P71)&lt;=0,"",SUM('SW FCF'!M71:P71)/SUM('SW Rev'!M71:P71)),"")</f>
        <v/>
      </c>
      <c r="M990" s="38">
        <f>IFERROR(IF(SUM('SW Rev'!N71:Q71)&lt;=0,"",SUM('SW FCF'!N71:Q71)/SUM('SW Rev'!N71:Q71)),"")</f>
        <v/>
      </c>
      <c r="N990" s="38">
        <f>IFERROR(IF(SUM('SW Rev'!O71:R71)&lt;=0,"",SUM('SW FCF'!O71:R71)/SUM('SW Rev'!O71:R71)),"")</f>
        <v/>
      </c>
    </row>
    <row r="991">
      <c r="A991" s="19">
        <f>'SW Rev'!$A72</f>
        <v/>
      </c>
      <c r="B991" s="19">
        <f>'SW Rev'!$B72</f>
        <v/>
      </c>
      <c r="C991" s="37">
        <f>IFERROR(IF(SUM('SW Rev'!D72:G72)&lt;=0,"",SUM('SW FCF'!D72:G72)/SUM('SW Rev'!D72:G72)),"")</f>
        <v/>
      </c>
      <c r="D991" s="37">
        <f>IFERROR(IF(SUM('SW Rev'!E72:H72)&lt;=0,"",SUM('SW FCF'!E72:H72)/SUM('SW Rev'!E72:H72)),"")</f>
        <v/>
      </c>
      <c r="E991" s="37">
        <f>IFERROR(IF(SUM('SW Rev'!F72:I72)&lt;=0,"",SUM('SW FCF'!F72:I72)/SUM('SW Rev'!F72:I72)),"")</f>
        <v/>
      </c>
      <c r="F991" s="37">
        <f>IFERROR(IF(SUM('SW Rev'!G72:J72)&lt;=0,"",SUM('SW FCF'!G72:J72)/SUM('SW Rev'!G72:J72)),"")</f>
        <v/>
      </c>
      <c r="G991" s="37">
        <f>IFERROR(IF(SUM('SW Rev'!H72:K72)&lt;=0,"",SUM('SW FCF'!H72:K72)/SUM('SW Rev'!H72:K72)),"")</f>
        <v/>
      </c>
      <c r="H991" s="37">
        <f>IFERROR(IF(SUM('SW Rev'!I72:L72)&lt;=0,"",SUM('SW FCF'!I72:L72)/SUM('SW Rev'!I72:L72)),"")</f>
        <v/>
      </c>
      <c r="I991" s="37">
        <f>IFERROR(IF(SUM('SW Rev'!J72:M72)&lt;=0,"",SUM('SW FCF'!J72:M72)/SUM('SW Rev'!J72:M72)),"")</f>
        <v/>
      </c>
      <c r="J991" s="37">
        <f>IFERROR(IF(SUM('SW Rev'!K72:N72)&lt;=0,"",SUM('SW FCF'!K72:N72)/SUM('SW Rev'!K72:N72)),"")</f>
        <v/>
      </c>
      <c r="K991" s="37">
        <f>IFERROR(IF(SUM('SW Rev'!L72:O72)&lt;=0,"",SUM('SW FCF'!L72:O72)/SUM('SW Rev'!L72:O72)),"")</f>
        <v/>
      </c>
      <c r="L991" s="37">
        <f>IFERROR(IF(SUM('SW Rev'!M72:P72)&lt;=0,"",SUM('SW FCF'!M72:P72)/SUM('SW Rev'!M72:P72)),"")</f>
        <v/>
      </c>
      <c r="M991" s="38">
        <f>IFERROR(IF(SUM('SW Rev'!N72:Q72)&lt;=0,"",SUM('SW FCF'!N72:Q72)/SUM('SW Rev'!N72:Q72)),"")</f>
        <v/>
      </c>
      <c r="N991" s="38">
        <f>IFERROR(IF(SUM('SW Rev'!O72:R72)&lt;=0,"",SUM('SW FCF'!O72:R72)/SUM('SW Rev'!O72:R72)),"")</f>
        <v/>
      </c>
    </row>
    <row r="992">
      <c r="A992" s="19">
        <f>'SW Rev'!$A73</f>
        <v/>
      </c>
      <c r="B992" s="19">
        <f>'SW Rev'!$B73</f>
        <v/>
      </c>
      <c r="C992" s="37">
        <f>IFERROR(IF(SUM('SW Rev'!D73:G73)&lt;=0,"",SUM('SW FCF'!D73:G73)/SUM('SW Rev'!D73:G73)),"")</f>
        <v/>
      </c>
      <c r="D992" s="37">
        <f>IFERROR(IF(SUM('SW Rev'!E73:H73)&lt;=0,"",SUM('SW FCF'!E73:H73)/SUM('SW Rev'!E73:H73)),"")</f>
        <v/>
      </c>
      <c r="E992" s="37">
        <f>IFERROR(IF(SUM('SW Rev'!F73:I73)&lt;=0,"",SUM('SW FCF'!F73:I73)/SUM('SW Rev'!F73:I73)),"")</f>
        <v/>
      </c>
      <c r="F992" s="37">
        <f>IFERROR(IF(SUM('SW Rev'!G73:J73)&lt;=0,"",SUM('SW FCF'!G73:J73)/SUM('SW Rev'!G73:J73)),"")</f>
        <v/>
      </c>
      <c r="G992" s="37">
        <f>IFERROR(IF(SUM('SW Rev'!H73:K73)&lt;=0,"",SUM('SW FCF'!H73:K73)/SUM('SW Rev'!H73:K73)),"")</f>
        <v/>
      </c>
      <c r="H992" s="37">
        <f>IFERROR(IF(SUM('SW Rev'!I73:L73)&lt;=0,"",SUM('SW FCF'!I73:L73)/SUM('SW Rev'!I73:L73)),"")</f>
        <v/>
      </c>
      <c r="I992" s="37">
        <f>IFERROR(IF(SUM('SW Rev'!J73:M73)&lt;=0,"",SUM('SW FCF'!J73:M73)/SUM('SW Rev'!J73:M73)),"")</f>
        <v/>
      </c>
      <c r="J992" s="37">
        <f>IFERROR(IF(SUM('SW Rev'!K73:N73)&lt;=0,"",SUM('SW FCF'!K73:N73)/SUM('SW Rev'!K73:N73)),"")</f>
        <v/>
      </c>
      <c r="K992" s="37">
        <f>IFERROR(IF(SUM('SW Rev'!L73:O73)&lt;=0,"",SUM('SW FCF'!L73:O73)/SUM('SW Rev'!L73:O73)),"")</f>
        <v/>
      </c>
      <c r="L992" s="37">
        <f>IFERROR(IF(SUM('SW Rev'!M73:P73)&lt;=0,"",SUM('SW FCF'!M73:P73)/SUM('SW Rev'!M73:P73)),"")</f>
        <v/>
      </c>
      <c r="M992" s="38">
        <f>IFERROR(IF(SUM('SW Rev'!N73:Q73)&lt;=0,"",SUM('SW FCF'!N73:Q73)/SUM('SW Rev'!N73:Q73)),"")</f>
        <v/>
      </c>
      <c r="N992" s="38">
        <f>IFERROR(IF(SUM('SW Rev'!O73:R73)&lt;=0,"",SUM('SW FCF'!O73:R73)/SUM('SW Rev'!O73:R73)),"")</f>
        <v/>
      </c>
    </row>
    <row r="993">
      <c r="A993" s="19">
        <f>'SW Rev'!$A74</f>
        <v/>
      </c>
      <c r="B993" s="19">
        <f>'SW Rev'!$B74</f>
        <v/>
      </c>
      <c r="C993" s="37">
        <f>IFERROR(IF(SUM('SW Rev'!D74:G74)&lt;=0,"",SUM('SW FCF'!D74:G74)/SUM('SW Rev'!D74:G74)),"")</f>
        <v/>
      </c>
      <c r="D993" s="37">
        <f>IFERROR(IF(SUM('SW Rev'!E74:H74)&lt;=0,"",SUM('SW FCF'!E74:H74)/SUM('SW Rev'!E74:H74)),"")</f>
        <v/>
      </c>
      <c r="E993" s="37">
        <f>IFERROR(IF(SUM('SW Rev'!F74:I74)&lt;=0,"",SUM('SW FCF'!F74:I74)/SUM('SW Rev'!F74:I74)),"")</f>
        <v/>
      </c>
      <c r="F993" s="37">
        <f>IFERROR(IF(SUM('SW Rev'!G74:J74)&lt;=0,"",SUM('SW FCF'!G74:J74)/SUM('SW Rev'!G74:J74)),"")</f>
        <v/>
      </c>
      <c r="G993" s="37">
        <f>IFERROR(IF(SUM('SW Rev'!H74:K74)&lt;=0,"",SUM('SW FCF'!H74:K74)/SUM('SW Rev'!H74:K74)),"")</f>
        <v/>
      </c>
      <c r="H993" s="37">
        <f>IFERROR(IF(SUM('SW Rev'!I74:L74)&lt;=0,"",SUM('SW FCF'!I74:L74)/SUM('SW Rev'!I74:L74)),"")</f>
        <v/>
      </c>
      <c r="I993" s="37">
        <f>IFERROR(IF(SUM('SW Rev'!J74:M74)&lt;=0,"",SUM('SW FCF'!J74:M74)/SUM('SW Rev'!J74:M74)),"")</f>
        <v/>
      </c>
      <c r="J993" s="37">
        <f>IFERROR(IF(SUM('SW Rev'!K74:N74)&lt;=0,"",SUM('SW FCF'!K74:N74)/SUM('SW Rev'!K74:N74)),"")</f>
        <v/>
      </c>
      <c r="K993" s="37">
        <f>IFERROR(IF(SUM('SW Rev'!L74:O74)&lt;=0,"",SUM('SW FCF'!L74:O74)/SUM('SW Rev'!L74:O74)),"")</f>
        <v/>
      </c>
      <c r="L993" s="37">
        <f>IFERROR(IF(SUM('SW Rev'!M74:P74)&lt;=0,"",SUM('SW FCF'!M74:P74)/SUM('SW Rev'!M74:P74)),"")</f>
        <v/>
      </c>
      <c r="M993" s="38">
        <f>IFERROR(IF(SUM('SW Rev'!N74:Q74)&lt;=0,"",SUM('SW FCF'!N74:Q74)/SUM('SW Rev'!N74:Q74)),"")</f>
        <v/>
      </c>
      <c r="N993" s="38">
        <f>IFERROR(IF(SUM('SW Rev'!O74:R74)&lt;=0,"",SUM('SW FCF'!O74:R74)/SUM('SW Rev'!O74:R74)),"")</f>
        <v/>
      </c>
    </row>
    <row r="994">
      <c r="A994" s="19">
        <f>'SW Rev'!$A75</f>
        <v/>
      </c>
      <c r="B994" s="19">
        <f>'SW Rev'!$B75</f>
        <v/>
      </c>
      <c r="C994" s="37">
        <f>IFERROR(IF(SUM('SW Rev'!D75:G75)&lt;=0,"",SUM('SW FCF'!D75:G75)/SUM('SW Rev'!D75:G75)),"")</f>
        <v/>
      </c>
      <c r="D994" s="37">
        <f>IFERROR(IF(SUM('SW Rev'!E75:H75)&lt;=0,"",SUM('SW FCF'!E75:H75)/SUM('SW Rev'!E75:H75)),"")</f>
        <v/>
      </c>
      <c r="E994" s="37">
        <f>IFERROR(IF(SUM('SW Rev'!F75:I75)&lt;=0,"",SUM('SW FCF'!F75:I75)/SUM('SW Rev'!F75:I75)),"")</f>
        <v/>
      </c>
      <c r="F994" s="37">
        <f>IFERROR(IF(SUM('SW Rev'!G75:J75)&lt;=0,"",SUM('SW FCF'!G75:J75)/SUM('SW Rev'!G75:J75)),"")</f>
        <v/>
      </c>
      <c r="G994" s="37">
        <f>IFERROR(IF(SUM('SW Rev'!H75:K75)&lt;=0,"",SUM('SW FCF'!H75:K75)/SUM('SW Rev'!H75:K75)),"")</f>
        <v/>
      </c>
      <c r="H994" s="37">
        <f>IFERROR(IF(SUM('SW Rev'!I75:L75)&lt;=0,"",SUM('SW FCF'!I75:L75)/SUM('SW Rev'!I75:L75)),"")</f>
        <v/>
      </c>
      <c r="I994" s="37">
        <f>IFERROR(IF(SUM('SW Rev'!J75:M75)&lt;=0,"",SUM('SW FCF'!J75:M75)/SUM('SW Rev'!J75:M75)),"")</f>
        <v/>
      </c>
      <c r="J994" s="37">
        <f>IFERROR(IF(SUM('SW Rev'!K75:N75)&lt;=0,"",SUM('SW FCF'!K75:N75)/SUM('SW Rev'!K75:N75)),"")</f>
        <v/>
      </c>
      <c r="K994" s="37">
        <f>IFERROR(IF(SUM('SW Rev'!L75:O75)&lt;=0,"",SUM('SW FCF'!L75:O75)/SUM('SW Rev'!L75:O75)),"")</f>
        <v/>
      </c>
      <c r="L994" s="37">
        <f>IFERROR(IF(SUM('SW Rev'!M75:P75)&lt;=0,"",SUM('SW FCF'!M75:P75)/SUM('SW Rev'!M75:P75)),"")</f>
        <v/>
      </c>
      <c r="M994" s="38">
        <f>IFERROR(IF(SUM('SW Rev'!N75:Q75)&lt;=0,"",SUM('SW FCF'!N75:Q75)/SUM('SW Rev'!N75:Q75)),"")</f>
        <v/>
      </c>
      <c r="N994" s="38">
        <f>IFERROR(IF(SUM('SW Rev'!O75:R75)&lt;=0,"",SUM('SW FCF'!O75:R75)/SUM('SW Rev'!O75:R75)),"")</f>
        <v/>
      </c>
    </row>
    <row r="995">
      <c r="A995" s="19">
        <f>'SW Rev'!$A76</f>
        <v/>
      </c>
      <c r="B995" s="19">
        <f>'SW Rev'!$B76</f>
        <v/>
      </c>
      <c r="C995" s="37">
        <f>IFERROR(IF(SUM('SW Rev'!D76:G76)&lt;=0,"",SUM('SW FCF'!D76:G76)/SUM('SW Rev'!D76:G76)),"")</f>
        <v/>
      </c>
      <c r="D995" s="37">
        <f>IFERROR(IF(SUM('SW Rev'!E76:H76)&lt;=0,"",SUM('SW FCF'!E76:H76)/SUM('SW Rev'!E76:H76)),"")</f>
        <v/>
      </c>
      <c r="E995" s="37">
        <f>IFERROR(IF(SUM('SW Rev'!F76:I76)&lt;=0,"",SUM('SW FCF'!F76:I76)/SUM('SW Rev'!F76:I76)),"")</f>
        <v/>
      </c>
      <c r="F995" s="37">
        <f>IFERROR(IF(SUM('SW Rev'!G76:J76)&lt;=0,"",SUM('SW FCF'!G76:J76)/SUM('SW Rev'!G76:J76)),"")</f>
        <v/>
      </c>
      <c r="G995" s="37">
        <f>IFERROR(IF(SUM('SW Rev'!H76:K76)&lt;=0,"",SUM('SW FCF'!H76:K76)/SUM('SW Rev'!H76:K76)),"")</f>
        <v/>
      </c>
      <c r="H995" s="37">
        <f>IFERROR(IF(SUM('SW Rev'!I76:L76)&lt;=0,"",SUM('SW FCF'!I76:L76)/SUM('SW Rev'!I76:L76)),"")</f>
        <v/>
      </c>
      <c r="I995" s="37">
        <f>IFERROR(IF(SUM('SW Rev'!J76:M76)&lt;=0,"",SUM('SW FCF'!J76:M76)/SUM('SW Rev'!J76:M76)),"")</f>
        <v/>
      </c>
      <c r="J995" s="37">
        <f>IFERROR(IF(SUM('SW Rev'!K76:N76)&lt;=0,"",SUM('SW FCF'!K76:N76)/SUM('SW Rev'!K76:N76)),"")</f>
        <v/>
      </c>
      <c r="K995" s="37">
        <f>IFERROR(IF(SUM('SW Rev'!L76:O76)&lt;=0,"",SUM('SW FCF'!L76:O76)/SUM('SW Rev'!L76:O76)),"")</f>
        <v/>
      </c>
      <c r="L995" s="37">
        <f>IFERROR(IF(SUM('SW Rev'!M76:P76)&lt;=0,"",SUM('SW FCF'!M76:P76)/SUM('SW Rev'!M76:P76)),"")</f>
        <v/>
      </c>
      <c r="M995" s="38">
        <f>IFERROR(IF(SUM('SW Rev'!N76:Q76)&lt;=0,"",SUM('SW FCF'!N76:Q76)/SUM('SW Rev'!N76:Q76)),"")</f>
        <v/>
      </c>
      <c r="N995" s="38">
        <f>IFERROR(IF(SUM('SW Rev'!O76:R76)&lt;=0,"",SUM('SW FCF'!O76:R76)/SUM('SW Rev'!O76:R76)),"")</f>
        <v/>
      </c>
    </row>
    <row r="996">
      <c r="A996" s="19">
        <f>'SW Rev'!$A77</f>
        <v/>
      </c>
      <c r="B996" s="19">
        <f>'SW Rev'!$B77</f>
        <v/>
      </c>
      <c r="C996" s="37">
        <f>IFERROR(IF(SUM('SW Rev'!D77:G77)&lt;=0,"",SUM('SW FCF'!D77:G77)/SUM('SW Rev'!D77:G77)),"")</f>
        <v/>
      </c>
      <c r="D996" s="37">
        <f>IFERROR(IF(SUM('SW Rev'!E77:H77)&lt;=0,"",SUM('SW FCF'!E77:H77)/SUM('SW Rev'!E77:H77)),"")</f>
        <v/>
      </c>
      <c r="E996" s="37">
        <f>IFERROR(IF(SUM('SW Rev'!F77:I77)&lt;=0,"",SUM('SW FCF'!F77:I77)/SUM('SW Rev'!F77:I77)),"")</f>
        <v/>
      </c>
      <c r="F996" s="37">
        <f>IFERROR(IF(SUM('SW Rev'!G77:J77)&lt;=0,"",SUM('SW FCF'!G77:J77)/SUM('SW Rev'!G77:J77)),"")</f>
        <v/>
      </c>
      <c r="G996" s="37">
        <f>IFERROR(IF(SUM('SW Rev'!H77:K77)&lt;=0,"",SUM('SW FCF'!H77:K77)/SUM('SW Rev'!H77:K77)),"")</f>
        <v/>
      </c>
      <c r="H996" s="37">
        <f>IFERROR(IF(SUM('SW Rev'!I77:L77)&lt;=0,"",SUM('SW FCF'!I77:L77)/SUM('SW Rev'!I77:L77)),"")</f>
        <v/>
      </c>
      <c r="I996" s="37">
        <f>IFERROR(IF(SUM('SW Rev'!J77:M77)&lt;=0,"",SUM('SW FCF'!J77:M77)/SUM('SW Rev'!J77:M77)),"")</f>
        <v/>
      </c>
      <c r="J996" s="37">
        <f>IFERROR(IF(SUM('SW Rev'!K77:N77)&lt;=0,"",SUM('SW FCF'!K77:N77)/SUM('SW Rev'!K77:N77)),"")</f>
        <v/>
      </c>
      <c r="K996" s="37">
        <f>IFERROR(IF(SUM('SW Rev'!L77:O77)&lt;=0,"",SUM('SW FCF'!L77:O77)/SUM('SW Rev'!L77:O77)),"")</f>
        <v/>
      </c>
      <c r="L996" s="37">
        <f>IFERROR(IF(SUM('SW Rev'!M77:P77)&lt;=0,"",SUM('SW FCF'!M77:P77)/SUM('SW Rev'!M77:P77)),"")</f>
        <v/>
      </c>
      <c r="M996" s="38">
        <f>IFERROR(IF(SUM('SW Rev'!N77:Q77)&lt;=0,"",SUM('SW FCF'!N77:Q77)/SUM('SW Rev'!N77:Q77)),"")</f>
        <v/>
      </c>
      <c r="N996" s="38">
        <f>IFERROR(IF(SUM('SW Rev'!O77:R77)&lt;=0,"",SUM('SW FCF'!O77:R77)/SUM('SW Rev'!O77:R77)),"")</f>
        <v/>
      </c>
    </row>
    <row r="997">
      <c r="A997" s="19">
        <f>'SW Rev'!$A78</f>
        <v/>
      </c>
      <c r="B997" s="19">
        <f>'SW Rev'!$B78</f>
        <v/>
      </c>
      <c r="C997" s="37">
        <f>IFERROR(IF(SUM('SW Rev'!D78:G78)&lt;=0,"",SUM('SW FCF'!D78:G78)/SUM('SW Rev'!D78:G78)),"")</f>
        <v/>
      </c>
      <c r="D997" s="37">
        <f>IFERROR(IF(SUM('SW Rev'!E78:H78)&lt;=0,"",SUM('SW FCF'!E78:H78)/SUM('SW Rev'!E78:H78)),"")</f>
        <v/>
      </c>
      <c r="E997" s="37">
        <f>IFERROR(IF(SUM('SW Rev'!F78:I78)&lt;=0,"",SUM('SW FCF'!F78:I78)/SUM('SW Rev'!F78:I78)),"")</f>
        <v/>
      </c>
      <c r="F997" s="37">
        <f>IFERROR(IF(SUM('SW Rev'!G78:J78)&lt;=0,"",SUM('SW FCF'!G78:J78)/SUM('SW Rev'!G78:J78)),"")</f>
        <v/>
      </c>
      <c r="G997" s="37">
        <f>IFERROR(IF(SUM('SW Rev'!H78:K78)&lt;=0,"",SUM('SW FCF'!H78:K78)/SUM('SW Rev'!H78:K78)),"")</f>
        <v/>
      </c>
      <c r="H997" s="37">
        <f>IFERROR(IF(SUM('SW Rev'!I78:L78)&lt;=0,"",SUM('SW FCF'!I78:L78)/SUM('SW Rev'!I78:L78)),"")</f>
        <v/>
      </c>
      <c r="I997" s="37">
        <f>IFERROR(IF(SUM('SW Rev'!J78:M78)&lt;=0,"",SUM('SW FCF'!J78:M78)/SUM('SW Rev'!J78:M78)),"")</f>
        <v/>
      </c>
      <c r="J997" s="37">
        <f>IFERROR(IF(SUM('SW Rev'!K78:N78)&lt;=0,"",SUM('SW FCF'!K78:N78)/SUM('SW Rev'!K78:N78)),"")</f>
        <v/>
      </c>
      <c r="K997" s="37">
        <f>IFERROR(IF(SUM('SW Rev'!L78:O78)&lt;=0,"",SUM('SW FCF'!L78:O78)/SUM('SW Rev'!L78:O78)),"")</f>
        <v/>
      </c>
      <c r="L997" s="37">
        <f>IFERROR(IF(SUM('SW Rev'!M78:P78)&lt;=0,"",SUM('SW FCF'!M78:P78)/SUM('SW Rev'!M78:P78)),"")</f>
        <v/>
      </c>
      <c r="M997" s="38">
        <f>IFERROR(IF(SUM('SW Rev'!N78:Q78)&lt;=0,"",SUM('SW FCF'!N78:Q78)/SUM('SW Rev'!N78:Q78)),"")</f>
        <v/>
      </c>
      <c r="N997" s="38">
        <f>IFERROR(IF(SUM('SW Rev'!O78:R78)&lt;=0,"",SUM('SW FCF'!O78:R78)/SUM('SW Rev'!O78:R78)),"")</f>
        <v/>
      </c>
    </row>
    <row r="998">
      <c r="A998" s="19">
        <f>'SW Rev'!$A79</f>
        <v/>
      </c>
      <c r="B998" s="19">
        <f>'SW Rev'!$B79</f>
        <v/>
      </c>
      <c r="C998" s="37">
        <f>IFERROR(IF(SUM('SW Rev'!D79:G79)&lt;=0,"",SUM('SW FCF'!D79:G79)/SUM('SW Rev'!D79:G79)),"")</f>
        <v/>
      </c>
      <c r="D998" s="37">
        <f>IFERROR(IF(SUM('SW Rev'!E79:H79)&lt;=0,"",SUM('SW FCF'!E79:H79)/SUM('SW Rev'!E79:H79)),"")</f>
        <v/>
      </c>
      <c r="E998" s="37">
        <f>IFERROR(IF(SUM('SW Rev'!F79:I79)&lt;=0,"",SUM('SW FCF'!F79:I79)/SUM('SW Rev'!F79:I79)),"")</f>
        <v/>
      </c>
      <c r="F998" s="37">
        <f>IFERROR(IF(SUM('SW Rev'!G79:J79)&lt;=0,"",SUM('SW FCF'!G79:J79)/SUM('SW Rev'!G79:J79)),"")</f>
        <v/>
      </c>
      <c r="G998" s="37">
        <f>IFERROR(IF(SUM('SW Rev'!H79:K79)&lt;=0,"",SUM('SW FCF'!H79:K79)/SUM('SW Rev'!H79:K79)),"")</f>
        <v/>
      </c>
      <c r="H998" s="37">
        <f>IFERROR(IF(SUM('SW Rev'!I79:L79)&lt;=0,"",SUM('SW FCF'!I79:L79)/SUM('SW Rev'!I79:L79)),"")</f>
        <v/>
      </c>
      <c r="I998" s="37">
        <f>IFERROR(IF(SUM('SW Rev'!J79:M79)&lt;=0,"",SUM('SW FCF'!J79:M79)/SUM('SW Rev'!J79:M79)),"")</f>
        <v/>
      </c>
      <c r="J998" s="37">
        <f>IFERROR(IF(SUM('SW Rev'!K79:N79)&lt;=0,"",SUM('SW FCF'!K79:N79)/SUM('SW Rev'!K79:N79)),"")</f>
        <v/>
      </c>
      <c r="K998" s="37">
        <f>IFERROR(IF(SUM('SW Rev'!L79:O79)&lt;=0,"",SUM('SW FCF'!L79:O79)/SUM('SW Rev'!L79:O79)),"")</f>
        <v/>
      </c>
      <c r="L998" s="37">
        <f>IFERROR(IF(SUM('SW Rev'!M79:P79)&lt;=0,"",SUM('SW FCF'!M79:P79)/SUM('SW Rev'!M79:P79)),"")</f>
        <v/>
      </c>
      <c r="M998" s="38">
        <f>IFERROR(IF(SUM('SW Rev'!N79:Q79)&lt;=0,"",SUM('SW FCF'!N79:Q79)/SUM('SW Rev'!N79:Q79)),"")</f>
        <v/>
      </c>
      <c r="N998" s="38">
        <f>IFERROR(IF(SUM('SW Rev'!O79:R79)&lt;=0,"",SUM('SW FCF'!O79:R79)/SUM('SW Rev'!O79:R79)),"")</f>
        <v/>
      </c>
    </row>
    <row r="999">
      <c r="A999" s="19">
        <f>'SW Rev'!$A80</f>
        <v/>
      </c>
      <c r="B999" s="19">
        <f>'SW Rev'!$B80</f>
        <v/>
      </c>
      <c r="C999" s="37">
        <f>IFERROR(IF(SUM('SW Rev'!D80:G80)&lt;=0,"",SUM('SW FCF'!D80:G80)/SUM('SW Rev'!D80:G80)),"")</f>
        <v/>
      </c>
      <c r="D999" s="37">
        <f>IFERROR(IF(SUM('SW Rev'!E80:H80)&lt;=0,"",SUM('SW FCF'!E80:H80)/SUM('SW Rev'!E80:H80)),"")</f>
        <v/>
      </c>
      <c r="E999" s="37">
        <f>IFERROR(IF(SUM('SW Rev'!F80:I80)&lt;=0,"",SUM('SW FCF'!F80:I80)/SUM('SW Rev'!F80:I80)),"")</f>
        <v/>
      </c>
      <c r="F999" s="37">
        <f>IFERROR(IF(SUM('SW Rev'!G80:J80)&lt;=0,"",SUM('SW FCF'!G80:J80)/SUM('SW Rev'!G80:J80)),"")</f>
        <v/>
      </c>
      <c r="G999" s="37">
        <f>IFERROR(IF(SUM('SW Rev'!H80:K80)&lt;=0,"",SUM('SW FCF'!H80:K80)/SUM('SW Rev'!H80:K80)),"")</f>
        <v/>
      </c>
      <c r="H999" s="37">
        <f>IFERROR(IF(SUM('SW Rev'!I80:L80)&lt;=0,"",SUM('SW FCF'!I80:L80)/SUM('SW Rev'!I80:L80)),"")</f>
        <v/>
      </c>
      <c r="I999" s="37">
        <f>IFERROR(IF(SUM('SW Rev'!J80:M80)&lt;=0,"",SUM('SW FCF'!J80:M80)/SUM('SW Rev'!J80:M80)),"")</f>
        <v/>
      </c>
      <c r="J999" s="37">
        <f>IFERROR(IF(SUM('SW Rev'!K80:N80)&lt;=0,"",SUM('SW FCF'!K80:N80)/SUM('SW Rev'!K80:N80)),"")</f>
        <v/>
      </c>
      <c r="K999" s="37">
        <f>IFERROR(IF(SUM('SW Rev'!L80:O80)&lt;=0,"",SUM('SW FCF'!L80:O80)/SUM('SW Rev'!L80:O80)),"")</f>
        <v/>
      </c>
      <c r="L999" s="37">
        <f>IFERROR(IF(SUM('SW Rev'!M80:P80)&lt;=0,"",SUM('SW FCF'!M80:P80)/SUM('SW Rev'!M80:P80)),"")</f>
        <v/>
      </c>
      <c r="M999" s="38">
        <f>IFERROR(IF(SUM('SW Rev'!N80:Q80)&lt;=0,"",SUM('SW FCF'!N80:Q80)/SUM('SW Rev'!N80:Q80)),"")</f>
        <v/>
      </c>
      <c r="N999" s="38">
        <f>IFERROR(IF(SUM('SW Rev'!O80:R80)&lt;=0,"",SUM('SW FCF'!O80:R80)/SUM('SW Rev'!O80:R80)),"")</f>
        <v/>
      </c>
    </row>
    <row r="1000">
      <c r="A1000" s="19">
        <f>'SW Rev'!$A81</f>
        <v/>
      </c>
      <c r="B1000" s="19">
        <f>'SW Rev'!$B81</f>
        <v/>
      </c>
      <c r="C1000" s="37">
        <f>IFERROR(IF(SUM('SW Rev'!D81:G81)&lt;=0,"",SUM('SW FCF'!D81:G81)/SUM('SW Rev'!D81:G81)),"")</f>
        <v/>
      </c>
      <c r="D1000" s="37">
        <f>IFERROR(IF(SUM('SW Rev'!E81:H81)&lt;=0,"",SUM('SW FCF'!E81:H81)/SUM('SW Rev'!E81:H81)),"")</f>
        <v/>
      </c>
      <c r="E1000" s="37">
        <f>IFERROR(IF(SUM('SW Rev'!F81:I81)&lt;=0,"",SUM('SW FCF'!F81:I81)/SUM('SW Rev'!F81:I81)),"")</f>
        <v/>
      </c>
      <c r="F1000" s="37">
        <f>IFERROR(IF(SUM('SW Rev'!G81:J81)&lt;=0,"",SUM('SW FCF'!G81:J81)/SUM('SW Rev'!G81:J81)),"")</f>
        <v/>
      </c>
      <c r="G1000" s="37">
        <f>IFERROR(IF(SUM('SW Rev'!H81:K81)&lt;=0,"",SUM('SW FCF'!H81:K81)/SUM('SW Rev'!H81:K81)),"")</f>
        <v/>
      </c>
      <c r="H1000" s="37">
        <f>IFERROR(IF(SUM('SW Rev'!I81:L81)&lt;=0,"",SUM('SW FCF'!I81:L81)/SUM('SW Rev'!I81:L81)),"")</f>
        <v/>
      </c>
      <c r="I1000" s="37">
        <f>IFERROR(IF(SUM('SW Rev'!J81:M81)&lt;=0,"",SUM('SW FCF'!J81:M81)/SUM('SW Rev'!J81:M81)),"")</f>
        <v/>
      </c>
      <c r="J1000" s="37">
        <f>IFERROR(IF(SUM('SW Rev'!K81:N81)&lt;=0,"",SUM('SW FCF'!K81:N81)/SUM('SW Rev'!K81:N81)),"")</f>
        <v/>
      </c>
      <c r="K1000" s="37">
        <f>IFERROR(IF(SUM('SW Rev'!L81:O81)&lt;=0,"",SUM('SW FCF'!L81:O81)/SUM('SW Rev'!L81:O81)),"")</f>
        <v/>
      </c>
      <c r="L1000" s="37">
        <f>IFERROR(IF(SUM('SW Rev'!M81:P81)&lt;=0,"",SUM('SW FCF'!M81:P81)/SUM('SW Rev'!M81:P81)),"")</f>
        <v/>
      </c>
      <c r="M1000" s="38">
        <f>IFERROR(IF(SUM('SW Rev'!N81:Q81)&lt;=0,"",SUM('SW FCF'!N81:Q81)/SUM('SW Rev'!N81:Q81)),"")</f>
        <v/>
      </c>
      <c r="N1000" s="38">
        <f>IFERROR(IF(SUM('SW Rev'!O81:R81)&lt;=0,"",SUM('SW FCF'!O81:R81)/SUM('SW Rev'!O81:R81)),"")</f>
        <v/>
      </c>
    </row>
    <row r="1001">
      <c r="A1001" s="19">
        <f>'SW Rev'!$A82</f>
        <v/>
      </c>
      <c r="B1001" s="19">
        <f>'SW Rev'!$B82</f>
        <v/>
      </c>
      <c r="C1001" s="37">
        <f>IFERROR(IF(SUM('SW Rev'!D82:G82)&lt;=0,"",SUM('SW FCF'!D82:G82)/SUM('SW Rev'!D82:G82)),"")</f>
        <v/>
      </c>
      <c r="D1001" s="37">
        <f>IFERROR(IF(SUM('SW Rev'!E82:H82)&lt;=0,"",SUM('SW FCF'!E82:H82)/SUM('SW Rev'!E82:H82)),"")</f>
        <v/>
      </c>
      <c r="E1001" s="37">
        <f>IFERROR(IF(SUM('SW Rev'!F82:I82)&lt;=0,"",SUM('SW FCF'!F82:I82)/SUM('SW Rev'!F82:I82)),"")</f>
        <v/>
      </c>
      <c r="F1001" s="37">
        <f>IFERROR(IF(SUM('SW Rev'!G82:J82)&lt;=0,"",SUM('SW FCF'!G82:J82)/SUM('SW Rev'!G82:J82)),"")</f>
        <v/>
      </c>
      <c r="G1001" s="37">
        <f>IFERROR(IF(SUM('SW Rev'!H82:K82)&lt;=0,"",SUM('SW FCF'!H82:K82)/SUM('SW Rev'!H82:K82)),"")</f>
        <v/>
      </c>
      <c r="H1001" s="37">
        <f>IFERROR(IF(SUM('SW Rev'!I82:L82)&lt;=0,"",SUM('SW FCF'!I82:L82)/SUM('SW Rev'!I82:L82)),"")</f>
        <v/>
      </c>
      <c r="I1001" s="37">
        <f>IFERROR(IF(SUM('SW Rev'!J82:M82)&lt;=0,"",SUM('SW FCF'!J82:M82)/SUM('SW Rev'!J82:M82)),"")</f>
        <v/>
      </c>
      <c r="J1001" s="37">
        <f>IFERROR(IF(SUM('SW Rev'!K82:N82)&lt;=0,"",SUM('SW FCF'!K82:N82)/SUM('SW Rev'!K82:N82)),"")</f>
        <v/>
      </c>
      <c r="K1001" s="37">
        <f>IFERROR(IF(SUM('SW Rev'!L82:O82)&lt;=0,"",SUM('SW FCF'!L82:O82)/SUM('SW Rev'!L82:O82)),"")</f>
        <v/>
      </c>
      <c r="L1001" s="37">
        <f>IFERROR(IF(SUM('SW Rev'!M82:P82)&lt;=0,"",SUM('SW FCF'!M82:P82)/SUM('SW Rev'!M82:P82)),"")</f>
        <v/>
      </c>
      <c r="M1001" s="38">
        <f>IFERROR(IF(SUM('SW Rev'!N82:Q82)&lt;=0,"",SUM('SW FCF'!N82:Q82)/SUM('SW Rev'!N82:Q82)),"")</f>
        <v/>
      </c>
      <c r="N1001" s="38">
        <f>IFERROR(IF(SUM('SW Rev'!O82:R82)&lt;=0,"",SUM('SW FCF'!O82:R82)/SUM('SW Rev'!O82:R82)),"")</f>
        <v/>
      </c>
    </row>
    <row r="1002">
      <c r="A1002" s="19">
        <f>'SW Rev'!$A83</f>
        <v/>
      </c>
      <c r="B1002" s="19">
        <f>'SW Rev'!$B83</f>
        <v/>
      </c>
      <c r="C1002" s="37">
        <f>IFERROR(IF(SUM('SW Rev'!D83:G83)&lt;=0,"",SUM('SW FCF'!D83:G83)/SUM('SW Rev'!D83:G83)),"")</f>
        <v/>
      </c>
      <c r="D1002" s="37">
        <f>IFERROR(IF(SUM('SW Rev'!E83:H83)&lt;=0,"",SUM('SW FCF'!E83:H83)/SUM('SW Rev'!E83:H83)),"")</f>
        <v/>
      </c>
      <c r="E1002" s="37">
        <f>IFERROR(IF(SUM('SW Rev'!F83:I83)&lt;=0,"",SUM('SW FCF'!F83:I83)/SUM('SW Rev'!F83:I83)),"")</f>
        <v/>
      </c>
      <c r="F1002" s="37">
        <f>IFERROR(IF(SUM('SW Rev'!G83:J83)&lt;=0,"",SUM('SW FCF'!G83:J83)/SUM('SW Rev'!G83:J83)),"")</f>
        <v/>
      </c>
      <c r="G1002" s="37">
        <f>IFERROR(IF(SUM('SW Rev'!H83:K83)&lt;=0,"",SUM('SW FCF'!H83:K83)/SUM('SW Rev'!H83:K83)),"")</f>
        <v/>
      </c>
      <c r="H1002" s="37">
        <f>IFERROR(IF(SUM('SW Rev'!I83:L83)&lt;=0,"",SUM('SW FCF'!I83:L83)/SUM('SW Rev'!I83:L83)),"")</f>
        <v/>
      </c>
      <c r="I1002" s="37">
        <f>IFERROR(IF(SUM('SW Rev'!J83:M83)&lt;=0,"",SUM('SW FCF'!J83:M83)/SUM('SW Rev'!J83:M83)),"")</f>
        <v/>
      </c>
      <c r="J1002" s="37">
        <f>IFERROR(IF(SUM('SW Rev'!K83:N83)&lt;=0,"",SUM('SW FCF'!K83:N83)/SUM('SW Rev'!K83:N83)),"")</f>
        <v/>
      </c>
      <c r="K1002" s="37">
        <f>IFERROR(IF(SUM('SW Rev'!L83:O83)&lt;=0,"",SUM('SW FCF'!L83:O83)/SUM('SW Rev'!L83:O83)),"")</f>
        <v/>
      </c>
      <c r="L1002" s="37">
        <f>IFERROR(IF(SUM('SW Rev'!M83:P83)&lt;=0,"",SUM('SW FCF'!M83:P83)/SUM('SW Rev'!M83:P83)),"")</f>
        <v/>
      </c>
      <c r="M1002" s="38">
        <f>IFERROR(IF(SUM('SW Rev'!N83:Q83)&lt;=0,"",SUM('SW FCF'!N83:Q83)/SUM('SW Rev'!N83:Q83)),"")</f>
        <v/>
      </c>
      <c r="N1002" s="38">
        <f>IFERROR(IF(SUM('SW Rev'!O83:R83)&lt;=0,"",SUM('SW FCF'!O83:R83)/SUM('SW Rev'!O83:R83)),"")</f>
        <v/>
      </c>
    </row>
    <row r="1003">
      <c r="A1003" s="19">
        <f>'SW Rev'!$A84</f>
        <v/>
      </c>
      <c r="B1003" s="19">
        <f>'SW Rev'!$B84</f>
        <v/>
      </c>
      <c r="C1003" s="37">
        <f>IFERROR(IF(SUM('SW Rev'!D84:G84)&lt;=0,"",SUM('SW FCF'!D84:G84)/SUM('SW Rev'!D84:G84)),"")</f>
        <v/>
      </c>
      <c r="D1003" s="37">
        <f>IFERROR(IF(SUM('SW Rev'!E84:H84)&lt;=0,"",SUM('SW FCF'!E84:H84)/SUM('SW Rev'!E84:H84)),"")</f>
        <v/>
      </c>
      <c r="E1003" s="37">
        <f>IFERROR(IF(SUM('SW Rev'!F84:I84)&lt;=0,"",SUM('SW FCF'!F84:I84)/SUM('SW Rev'!F84:I84)),"")</f>
        <v/>
      </c>
      <c r="F1003" s="37">
        <f>IFERROR(IF(SUM('SW Rev'!G84:J84)&lt;=0,"",SUM('SW FCF'!G84:J84)/SUM('SW Rev'!G84:J84)),"")</f>
        <v/>
      </c>
      <c r="G1003" s="37">
        <f>IFERROR(IF(SUM('SW Rev'!H84:K84)&lt;=0,"",SUM('SW FCF'!H84:K84)/SUM('SW Rev'!H84:K84)),"")</f>
        <v/>
      </c>
      <c r="H1003" s="37">
        <f>IFERROR(IF(SUM('SW Rev'!I84:L84)&lt;=0,"",SUM('SW FCF'!I84:L84)/SUM('SW Rev'!I84:L84)),"")</f>
        <v/>
      </c>
      <c r="I1003" s="37">
        <f>IFERROR(IF(SUM('SW Rev'!J84:M84)&lt;=0,"",SUM('SW FCF'!J84:M84)/SUM('SW Rev'!J84:M84)),"")</f>
        <v/>
      </c>
      <c r="J1003" s="37">
        <f>IFERROR(IF(SUM('SW Rev'!K84:N84)&lt;=0,"",SUM('SW FCF'!K84:N84)/SUM('SW Rev'!K84:N84)),"")</f>
        <v/>
      </c>
      <c r="K1003" s="37">
        <f>IFERROR(IF(SUM('SW Rev'!L84:O84)&lt;=0,"",SUM('SW FCF'!L84:O84)/SUM('SW Rev'!L84:O84)),"")</f>
        <v/>
      </c>
      <c r="L1003" s="37">
        <f>IFERROR(IF(SUM('SW Rev'!M84:P84)&lt;=0,"",SUM('SW FCF'!M84:P84)/SUM('SW Rev'!M84:P84)),"")</f>
        <v/>
      </c>
      <c r="M1003" s="38">
        <f>IFERROR(IF(SUM('SW Rev'!N84:Q84)&lt;=0,"",SUM('SW FCF'!N84:Q84)/SUM('SW Rev'!N84:Q84)),"")</f>
        <v/>
      </c>
      <c r="N1003" s="38">
        <f>IFERROR(IF(SUM('SW Rev'!O84:R84)&lt;=0,"",SUM('SW FCF'!O84:R84)/SUM('SW Rev'!O84:R84)),"")</f>
        <v/>
      </c>
    </row>
    <row r="1004">
      <c r="A1004" s="19">
        <f>'SW Rev'!$A85</f>
        <v/>
      </c>
      <c r="B1004" s="19">
        <f>'SW Rev'!$B85</f>
        <v/>
      </c>
      <c r="C1004" s="37">
        <f>IFERROR(IF(SUM('SW Rev'!D85:G85)&lt;=0,"",SUM('SW FCF'!D85:G85)/SUM('SW Rev'!D85:G85)),"")</f>
        <v/>
      </c>
      <c r="D1004" s="37">
        <f>IFERROR(IF(SUM('SW Rev'!E85:H85)&lt;=0,"",SUM('SW FCF'!E85:H85)/SUM('SW Rev'!E85:H85)),"")</f>
        <v/>
      </c>
      <c r="E1004" s="37">
        <f>IFERROR(IF(SUM('SW Rev'!F85:I85)&lt;=0,"",SUM('SW FCF'!F85:I85)/SUM('SW Rev'!F85:I85)),"")</f>
        <v/>
      </c>
      <c r="F1004" s="37">
        <f>IFERROR(IF(SUM('SW Rev'!G85:J85)&lt;=0,"",SUM('SW FCF'!G85:J85)/SUM('SW Rev'!G85:J85)),"")</f>
        <v/>
      </c>
      <c r="G1004" s="37">
        <f>IFERROR(IF(SUM('SW Rev'!H85:K85)&lt;=0,"",SUM('SW FCF'!H85:K85)/SUM('SW Rev'!H85:K85)),"")</f>
        <v/>
      </c>
      <c r="H1004" s="37">
        <f>IFERROR(IF(SUM('SW Rev'!I85:L85)&lt;=0,"",SUM('SW FCF'!I85:L85)/SUM('SW Rev'!I85:L85)),"")</f>
        <v/>
      </c>
      <c r="I1004" s="37">
        <f>IFERROR(IF(SUM('SW Rev'!J85:M85)&lt;=0,"",SUM('SW FCF'!J85:M85)/SUM('SW Rev'!J85:M85)),"")</f>
        <v/>
      </c>
      <c r="J1004" s="37">
        <f>IFERROR(IF(SUM('SW Rev'!K85:N85)&lt;=0,"",SUM('SW FCF'!K85:N85)/SUM('SW Rev'!K85:N85)),"")</f>
        <v/>
      </c>
      <c r="K1004" s="37">
        <f>IFERROR(IF(SUM('SW Rev'!L85:O85)&lt;=0,"",SUM('SW FCF'!L85:O85)/SUM('SW Rev'!L85:O85)),"")</f>
        <v/>
      </c>
      <c r="L1004" s="37">
        <f>IFERROR(IF(SUM('SW Rev'!M85:P85)&lt;=0,"",SUM('SW FCF'!M85:P85)/SUM('SW Rev'!M85:P85)),"")</f>
        <v/>
      </c>
      <c r="M1004" s="38">
        <f>IFERROR(IF(SUM('SW Rev'!N85:Q85)&lt;=0,"",SUM('SW FCF'!N85:Q85)/SUM('SW Rev'!N85:Q85)),"")</f>
        <v/>
      </c>
      <c r="N1004" s="38">
        <f>IFERROR(IF(SUM('SW Rev'!O85:R85)&lt;=0,"",SUM('SW FCF'!O85:R85)/SUM('SW Rev'!O85:R85)),"")</f>
        <v/>
      </c>
    </row>
    <row r="1005">
      <c r="A1005" s="19">
        <f>'SW Rev'!$A86</f>
        <v/>
      </c>
      <c r="B1005" s="19">
        <f>'SW Rev'!$B86</f>
        <v/>
      </c>
      <c r="C1005" s="37">
        <f>IFERROR(IF(SUM('SW Rev'!D86:G86)&lt;=0,"",SUM('SW FCF'!D86:G86)/SUM('SW Rev'!D86:G86)),"")</f>
        <v/>
      </c>
      <c r="D1005" s="37">
        <f>IFERROR(IF(SUM('SW Rev'!E86:H86)&lt;=0,"",SUM('SW FCF'!E86:H86)/SUM('SW Rev'!E86:H86)),"")</f>
        <v/>
      </c>
      <c r="E1005" s="37">
        <f>IFERROR(IF(SUM('SW Rev'!F86:I86)&lt;=0,"",SUM('SW FCF'!F86:I86)/SUM('SW Rev'!F86:I86)),"")</f>
        <v/>
      </c>
      <c r="F1005" s="37">
        <f>IFERROR(IF(SUM('SW Rev'!G86:J86)&lt;=0,"",SUM('SW FCF'!G86:J86)/SUM('SW Rev'!G86:J86)),"")</f>
        <v/>
      </c>
      <c r="G1005" s="37">
        <f>IFERROR(IF(SUM('SW Rev'!H86:K86)&lt;=0,"",SUM('SW FCF'!H86:K86)/SUM('SW Rev'!H86:K86)),"")</f>
        <v/>
      </c>
      <c r="H1005" s="37">
        <f>IFERROR(IF(SUM('SW Rev'!I86:L86)&lt;=0,"",SUM('SW FCF'!I86:L86)/SUM('SW Rev'!I86:L86)),"")</f>
        <v/>
      </c>
      <c r="I1005" s="37">
        <f>IFERROR(IF(SUM('SW Rev'!J86:M86)&lt;=0,"",SUM('SW FCF'!J86:M86)/SUM('SW Rev'!J86:M86)),"")</f>
        <v/>
      </c>
      <c r="J1005" s="37">
        <f>IFERROR(IF(SUM('SW Rev'!K86:N86)&lt;=0,"",SUM('SW FCF'!K86:N86)/SUM('SW Rev'!K86:N86)),"")</f>
        <v/>
      </c>
      <c r="K1005" s="37">
        <f>IFERROR(IF(SUM('SW Rev'!L86:O86)&lt;=0,"",SUM('SW FCF'!L86:O86)/SUM('SW Rev'!L86:O86)),"")</f>
        <v/>
      </c>
      <c r="L1005" s="37">
        <f>IFERROR(IF(SUM('SW Rev'!M86:P86)&lt;=0,"",SUM('SW FCF'!M86:P86)/SUM('SW Rev'!M86:P86)),"")</f>
        <v/>
      </c>
      <c r="M1005" s="38">
        <f>IFERROR(IF(SUM('SW Rev'!N86:Q86)&lt;=0,"",SUM('SW FCF'!N86:Q86)/SUM('SW Rev'!N86:Q86)),"")</f>
        <v/>
      </c>
      <c r="N1005" s="38">
        <f>IFERROR(IF(SUM('SW Rev'!O86:R86)&lt;=0,"",SUM('SW FCF'!O86:R86)/SUM('SW Rev'!O86:R86)),"")</f>
        <v/>
      </c>
    </row>
    <row r="1006">
      <c r="A1006" s="19">
        <f>'SW Rev'!$A87</f>
        <v/>
      </c>
      <c r="B1006" s="19">
        <f>'SW Rev'!$B87</f>
        <v/>
      </c>
      <c r="C1006" s="37">
        <f>IFERROR(IF(SUM('SW Rev'!D87:G87)&lt;=0,"",SUM('SW FCF'!D87:G87)/SUM('SW Rev'!D87:G87)),"")</f>
        <v/>
      </c>
      <c r="D1006" s="37">
        <f>IFERROR(IF(SUM('SW Rev'!E87:H87)&lt;=0,"",SUM('SW FCF'!E87:H87)/SUM('SW Rev'!E87:H87)),"")</f>
        <v/>
      </c>
      <c r="E1006" s="37">
        <f>IFERROR(IF(SUM('SW Rev'!F87:I87)&lt;=0,"",SUM('SW FCF'!F87:I87)/SUM('SW Rev'!F87:I87)),"")</f>
        <v/>
      </c>
      <c r="F1006" s="37">
        <f>IFERROR(IF(SUM('SW Rev'!G87:J87)&lt;=0,"",SUM('SW FCF'!G87:J87)/SUM('SW Rev'!G87:J87)),"")</f>
        <v/>
      </c>
      <c r="G1006" s="37">
        <f>IFERROR(IF(SUM('SW Rev'!H87:K87)&lt;=0,"",SUM('SW FCF'!H87:K87)/SUM('SW Rev'!H87:K87)),"")</f>
        <v/>
      </c>
      <c r="H1006" s="37">
        <f>IFERROR(IF(SUM('SW Rev'!I87:L87)&lt;=0,"",SUM('SW FCF'!I87:L87)/SUM('SW Rev'!I87:L87)),"")</f>
        <v/>
      </c>
      <c r="I1006" s="37">
        <f>IFERROR(IF(SUM('SW Rev'!J87:M87)&lt;=0,"",SUM('SW FCF'!J87:M87)/SUM('SW Rev'!J87:M87)),"")</f>
        <v/>
      </c>
      <c r="J1006" s="37">
        <f>IFERROR(IF(SUM('SW Rev'!K87:N87)&lt;=0,"",SUM('SW FCF'!K87:N87)/SUM('SW Rev'!K87:N87)),"")</f>
        <v/>
      </c>
      <c r="K1006" s="37">
        <f>IFERROR(IF(SUM('SW Rev'!L87:O87)&lt;=0,"",SUM('SW FCF'!L87:O87)/SUM('SW Rev'!L87:O87)),"")</f>
        <v/>
      </c>
      <c r="L1006" s="37">
        <f>IFERROR(IF(SUM('SW Rev'!M87:P87)&lt;=0,"",SUM('SW FCF'!M87:P87)/SUM('SW Rev'!M87:P87)),"")</f>
        <v/>
      </c>
      <c r="M1006" s="38">
        <f>IFERROR(IF(SUM('SW Rev'!N87:Q87)&lt;=0,"",SUM('SW FCF'!N87:Q87)/SUM('SW Rev'!N87:Q87)),"")</f>
        <v/>
      </c>
      <c r="N1006" s="38">
        <f>IFERROR(IF(SUM('SW Rev'!O87:R87)&lt;=0,"",SUM('SW FCF'!O87:R87)/SUM('SW Rev'!O87:R87)),"")</f>
        <v/>
      </c>
    </row>
    <row r="1007">
      <c r="A1007" s="19">
        <f>'SW Rev'!$A88</f>
        <v/>
      </c>
      <c r="B1007" s="19">
        <f>'SW Rev'!$B88</f>
        <v/>
      </c>
      <c r="C1007" s="37">
        <f>IFERROR(IF(SUM('SW Rev'!D88:G88)&lt;=0,"",SUM('SW FCF'!D88:G88)/SUM('SW Rev'!D88:G88)),"")</f>
        <v/>
      </c>
      <c r="D1007" s="37">
        <f>IFERROR(IF(SUM('SW Rev'!E88:H88)&lt;=0,"",SUM('SW FCF'!E88:H88)/SUM('SW Rev'!E88:H88)),"")</f>
        <v/>
      </c>
      <c r="E1007" s="37">
        <f>IFERROR(IF(SUM('SW Rev'!F88:I88)&lt;=0,"",SUM('SW FCF'!F88:I88)/SUM('SW Rev'!F88:I88)),"")</f>
        <v/>
      </c>
      <c r="F1007" s="37">
        <f>IFERROR(IF(SUM('SW Rev'!G88:J88)&lt;=0,"",SUM('SW FCF'!G88:J88)/SUM('SW Rev'!G88:J88)),"")</f>
        <v/>
      </c>
      <c r="G1007" s="37">
        <f>IFERROR(IF(SUM('SW Rev'!H88:K88)&lt;=0,"",SUM('SW FCF'!H88:K88)/SUM('SW Rev'!H88:K88)),"")</f>
        <v/>
      </c>
      <c r="H1007" s="37">
        <f>IFERROR(IF(SUM('SW Rev'!I88:L88)&lt;=0,"",SUM('SW FCF'!I88:L88)/SUM('SW Rev'!I88:L88)),"")</f>
        <v/>
      </c>
      <c r="I1007" s="37">
        <f>IFERROR(IF(SUM('SW Rev'!J88:M88)&lt;=0,"",SUM('SW FCF'!J88:M88)/SUM('SW Rev'!J88:M88)),"")</f>
        <v/>
      </c>
      <c r="J1007" s="37">
        <f>IFERROR(IF(SUM('SW Rev'!K88:N88)&lt;=0,"",SUM('SW FCF'!K88:N88)/SUM('SW Rev'!K88:N88)),"")</f>
        <v/>
      </c>
      <c r="K1007" s="37">
        <f>IFERROR(IF(SUM('SW Rev'!L88:O88)&lt;=0,"",SUM('SW FCF'!L88:O88)/SUM('SW Rev'!L88:O88)),"")</f>
        <v/>
      </c>
      <c r="L1007" s="37">
        <f>IFERROR(IF(SUM('SW Rev'!M88:P88)&lt;=0,"",SUM('SW FCF'!M88:P88)/SUM('SW Rev'!M88:P88)),"")</f>
        <v/>
      </c>
      <c r="M1007" s="38">
        <f>IFERROR(IF(SUM('SW Rev'!N88:Q88)&lt;=0,"",SUM('SW FCF'!N88:Q88)/SUM('SW Rev'!N88:Q88)),"")</f>
        <v/>
      </c>
      <c r="N1007" s="38">
        <f>IFERROR(IF(SUM('SW Rev'!O88:R88)&lt;=0,"",SUM('SW FCF'!O88:R88)/SUM('SW Rev'!O88:R88)),"")</f>
        <v/>
      </c>
    </row>
    <row r="1008">
      <c r="A1008" s="19">
        <f>'SW Rev'!$A89</f>
        <v/>
      </c>
      <c r="B1008" s="19">
        <f>'SW Rev'!$B89</f>
        <v/>
      </c>
      <c r="C1008" s="37">
        <f>IFERROR(IF(SUM('SW Rev'!D89:G89)&lt;=0,"",SUM('SW FCF'!D89:G89)/SUM('SW Rev'!D89:G89)),"")</f>
        <v/>
      </c>
      <c r="D1008" s="37">
        <f>IFERROR(IF(SUM('SW Rev'!E89:H89)&lt;=0,"",SUM('SW FCF'!E89:H89)/SUM('SW Rev'!E89:H89)),"")</f>
        <v/>
      </c>
      <c r="E1008" s="37">
        <f>IFERROR(IF(SUM('SW Rev'!F89:I89)&lt;=0,"",SUM('SW FCF'!F89:I89)/SUM('SW Rev'!F89:I89)),"")</f>
        <v/>
      </c>
      <c r="F1008" s="37">
        <f>IFERROR(IF(SUM('SW Rev'!G89:J89)&lt;=0,"",SUM('SW FCF'!G89:J89)/SUM('SW Rev'!G89:J89)),"")</f>
        <v/>
      </c>
      <c r="G1008" s="37">
        <f>IFERROR(IF(SUM('SW Rev'!H89:K89)&lt;=0,"",SUM('SW FCF'!H89:K89)/SUM('SW Rev'!H89:K89)),"")</f>
        <v/>
      </c>
      <c r="H1008" s="37">
        <f>IFERROR(IF(SUM('SW Rev'!I89:L89)&lt;=0,"",SUM('SW FCF'!I89:L89)/SUM('SW Rev'!I89:L89)),"")</f>
        <v/>
      </c>
      <c r="I1008" s="37">
        <f>IFERROR(IF(SUM('SW Rev'!J89:M89)&lt;=0,"",SUM('SW FCF'!J89:M89)/SUM('SW Rev'!J89:M89)),"")</f>
        <v/>
      </c>
      <c r="J1008" s="37">
        <f>IFERROR(IF(SUM('SW Rev'!K89:N89)&lt;=0,"",SUM('SW FCF'!K89:N89)/SUM('SW Rev'!K89:N89)),"")</f>
        <v/>
      </c>
      <c r="K1008" s="37">
        <f>IFERROR(IF(SUM('SW Rev'!L89:O89)&lt;=0,"",SUM('SW FCF'!L89:O89)/SUM('SW Rev'!L89:O89)),"")</f>
        <v/>
      </c>
      <c r="L1008" s="37">
        <f>IFERROR(IF(SUM('SW Rev'!M89:P89)&lt;=0,"",SUM('SW FCF'!M89:P89)/SUM('SW Rev'!M89:P89)),"")</f>
        <v/>
      </c>
      <c r="M1008" s="38">
        <f>IFERROR(IF(SUM('SW Rev'!N89:Q89)&lt;=0,"",SUM('SW FCF'!N89:Q89)/SUM('SW Rev'!N89:Q89)),"")</f>
        <v/>
      </c>
      <c r="N1008" s="38">
        <f>IFERROR(IF(SUM('SW Rev'!O89:R89)&lt;=0,"",SUM('SW FCF'!O89:R89)/SUM('SW Rev'!O89:R89)),"")</f>
        <v/>
      </c>
    </row>
    <row r="1009">
      <c r="A1009" s="19">
        <f>'SW Rev'!$A90</f>
        <v/>
      </c>
      <c r="B1009" s="19">
        <f>'SW Rev'!$B90</f>
        <v/>
      </c>
      <c r="C1009" s="37">
        <f>IFERROR(IF(SUM('SW Rev'!D90:G90)&lt;=0,"",SUM('SW FCF'!D90:G90)/SUM('SW Rev'!D90:G90)),"")</f>
        <v/>
      </c>
      <c r="D1009" s="37">
        <f>IFERROR(IF(SUM('SW Rev'!E90:H90)&lt;=0,"",SUM('SW FCF'!E90:H90)/SUM('SW Rev'!E90:H90)),"")</f>
        <v/>
      </c>
      <c r="E1009" s="37">
        <f>IFERROR(IF(SUM('SW Rev'!F90:I90)&lt;=0,"",SUM('SW FCF'!F90:I90)/SUM('SW Rev'!F90:I90)),"")</f>
        <v/>
      </c>
      <c r="F1009" s="37">
        <f>IFERROR(IF(SUM('SW Rev'!G90:J90)&lt;=0,"",SUM('SW FCF'!G90:J90)/SUM('SW Rev'!G90:J90)),"")</f>
        <v/>
      </c>
      <c r="G1009" s="37">
        <f>IFERROR(IF(SUM('SW Rev'!H90:K90)&lt;=0,"",SUM('SW FCF'!H90:K90)/SUM('SW Rev'!H90:K90)),"")</f>
        <v/>
      </c>
      <c r="H1009" s="37">
        <f>IFERROR(IF(SUM('SW Rev'!I90:L90)&lt;=0,"",SUM('SW FCF'!I90:L90)/SUM('SW Rev'!I90:L90)),"")</f>
        <v/>
      </c>
      <c r="I1009" s="37">
        <f>IFERROR(IF(SUM('SW Rev'!J90:M90)&lt;=0,"",SUM('SW FCF'!J90:M90)/SUM('SW Rev'!J90:M90)),"")</f>
        <v/>
      </c>
      <c r="J1009" s="37">
        <f>IFERROR(IF(SUM('SW Rev'!K90:N90)&lt;=0,"",SUM('SW FCF'!K90:N90)/SUM('SW Rev'!K90:N90)),"")</f>
        <v/>
      </c>
      <c r="K1009" s="37">
        <f>IFERROR(IF(SUM('SW Rev'!L90:O90)&lt;=0,"",SUM('SW FCF'!L90:O90)/SUM('SW Rev'!L90:O90)),"")</f>
        <v/>
      </c>
      <c r="L1009" s="37">
        <f>IFERROR(IF(SUM('SW Rev'!M90:P90)&lt;=0,"",SUM('SW FCF'!M90:P90)/SUM('SW Rev'!M90:P90)),"")</f>
        <v/>
      </c>
      <c r="M1009" s="38">
        <f>IFERROR(IF(SUM('SW Rev'!N90:Q90)&lt;=0,"",SUM('SW FCF'!N90:Q90)/SUM('SW Rev'!N90:Q90)),"")</f>
        <v/>
      </c>
      <c r="N1009" s="38">
        <f>IFERROR(IF(SUM('SW Rev'!O90:R90)&lt;=0,"",SUM('SW FCF'!O90:R90)/SUM('SW Rev'!O90:R90)),"")</f>
        <v/>
      </c>
    </row>
    <row r="1010">
      <c r="A1010" s="19">
        <f>'SW Rev'!$A91</f>
        <v/>
      </c>
      <c r="B1010" s="19">
        <f>'SW Rev'!$B91</f>
        <v/>
      </c>
      <c r="C1010" s="37">
        <f>IFERROR(IF(SUM('SW Rev'!D91:G91)&lt;=0,"",SUM('SW FCF'!D91:G91)/SUM('SW Rev'!D91:G91)),"")</f>
        <v/>
      </c>
      <c r="D1010" s="37">
        <f>IFERROR(IF(SUM('SW Rev'!E91:H91)&lt;=0,"",SUM('SW FCF'!E91:H91)/SUM('SW Rev'!E91:H91)),"")</f>
        <v/>
      </c>
      <c r="E1010" s="37">
        <f>IFERROR(IF(SUM('SW Rev'!F91:I91)&lt;=0,"",SUM('SW FCF'!F91:I91)/SUM('SW Rev'!F91:I91)),"")</f>
        <v/>
      </c>
      <c r="F1010" s="37">
        <f>IFERROR(IF(SUM('SW Rev'!G91:J91)&lt;=0,"",SUM('SW FCF'!G91:J91)/SUM('SW Rev'!G91:J91)),"")</f>
        <v/>
      </c>
      <c r="G1010" s="37">
        <f>IFERROR(IF(SUM('SW Rev'!H91:K91)&lt;=0,"",SUM('SW FCF'!H91:K91)/SUM('SW Rev'!H91:K91)),"")</f>
        <v/>
      </c>
      <c r="H1010" s="37">
        <f>IFERROR(IF(SUM('SW Rev'!I91:L91)&lt;=0,"",SUM('SW FCF'!I91:L91)/SUM('SW Rev'!I91:L91)),"")</f>
        <v/>
      </c>
      <c r="I1010" s="37">
        <f>IFERROR(IF(SUM('SW Rev'!J91:M91)&lt;=0,"",SUM('SW FCF'!J91:M91)/SUM('SW Rev'!J91:M91)),"")</f>
        <v/>
      </c>
      <c r="J1010" s="37">
        <f>IFERROR(IF(SUM('SW Rev'!K91:N91)&lt;=0,"",SUM('SW FCF'!K91:N91)/SUM('SW Rev'!K91:N91)),"")</f>
        <v/>
      </c>
      <c r="K1010" s="37">
        <f>IFERROR(IF(SUM('SW Rev'!L91:O91)&lt;=0,"",SUM('SW FCF'!L91:O91)/SUM('SW Rev'!L91:O91)),"")</f>
        <v/>
      </c>
      <c r="L1010" s="37">
        <f>IFERROR(IF(SUM('SW Rev'!M91:P91)&lt;=0,"",SUM('SW FCF'!M91:P91)/SUM('SW Rev'!M91:P91)),"")</f>
        <v/>
      </c>
      <c r="M1010" s="38">
        <f>IFERROR(IF(SUM('SW Rev'!N91:Q91)&lt;=0,"",SUM('SW FCF'!N91:Q91)/SUM('SW Rev'!N91:Q91)),"")</f>
        <v/>
      </c>
      <c r="N1010" s="38">
        <f>IFERROR(IF(SUM('SW Rev'!O91:R91)&lt;=0,"",SUM('SW FCF'!O91:R91)/SUM('SW Rev'!O91:R91)),"")</f>
        <v/>
      </c>
    </row>
    <row r="1011">
      <c r="A1011" s="19">
        <f>'SW Rev'!$A92</f>
        <v/>
      </c>
      <c r="B1011" s="19">
        <f>'SW Rev'!$B92</f>
        <v/>
      </c>
      <c r="C1011" s="37">
        <f>IFERROR(IF(SUM('SW Rev'!D92:G92)&lt;=0,"",SUM('SW FCF'!D92:G92)/SUM('SW Rev'!D92:G92)),"")</f>
        <v/>
      </c>
      <c r="D1011" s="37">
        <f>IFERROR(IF(SUM('SW Rev'!E92:H92)&lt;=0,"",SUM('SW FCF'!E92:H92)/SUM('SW Rev'!E92:H92)),"")</f>
        <v/>
      </c>
      <c r="E1011" s="37">
        <f>IFERROR(IF(SUM('SW Rev'!F92:I92)&lt;=0,"",SUM('SW FCF'!F92:I92)/SUM('SW Rev'!F92:I92)),"")</f>
        <v/>
      </c>
      <c r="F1011" s="37">
        <f>IFERROR(IF(SUM('SW Rev'!G92:J92)&lt;=0,"",SUM('SW FCF'!G92:J92)/SUM('SW Rev'!G92:J92)),"")</f>
        <v/>
      </c>
      <c r="G1011" s="37">
        <f>IFERROR(IF(SUM('SW Rev'!H92:K92)&lt;=0,"",SUM('SW FCF'!H92:K92)/SUM('SW Rev'!H92:K92)),"")</f>
        <v/>
      </c>
      <c r="H1011" s="37">
        <f>IFERROR(IF(SUM('SW Rev'!I92:L92)&lt;=0,"",SUM('SW FCF'!I92:L92)/SUM('SW Rev'!I92:L92)),"")</f>
        <v/>
      </c>
      <c r="I1011" s="37">
        <f>IFERROR(IF(SUM('SW Rev'!J92:M92)&lt;=0,"",SUM('SW FCF'!J92:M92)/SUM('SW Rev'!J92:M92)),"")</f>
        <v/>
      </c>
      <c r="J1011" s="37">
        <f>IFERROR(IF(SUM('SW Rev'!K92:N92)&lt;=0,"",SUM('SW FCF'!K92:N92)/SUM('SW Rev'!K92:N92)),"")</f>
        <v/>
      </c>
      <c r="K1011" s="37">
        <f>IFERROR(IF(SUM('SW Rev'!L92:O92)&lt;=0,"",SUM('SW FCF'!L92:O92)/SUM('SW Rev'!L92:O92)),"")</f>
        <v/>
      </c>
      <c r="L1011" s="37">
        <f>IFERROR(IF(SUM('SW Rev'!M92:P92)&lt;=0,"",SUM('SW FCF'!M92:P92)/SUM('SW Rev'!M92:P92)),"")</f>
        <v/>
      </c>
      <c r="M1011" s="38">
        <f>IFERROR(IF(SUM('SW Rev'!N92:Q92)&lt;=0,"",SUM('SW FCF'!N92:Q92)/SUM('SW Rev'!N92:Q92)),"")</f>
        <v/>
      </c>
      <c r="N1011" s="38">
        <f>IFERROR(IF(SUM('SW Rev'!O92:R92)&lt;=0,"",SUM('SW FCF'!O92:R92)/SUM('SW Rev'!O92:R92)),"")</f>
        <v/>
      </c>
    </row>
    <row r="1012">
      <c r="A1012" s="19">
        <f>'SW Rev'!$A93</f>
        <v/>
      </c>
      <c r="B1012" s="19">
        <f>'SW Rev'!$B93</f>
        <v/>
      </c>
      <c r="C1012" s="37">
        <f>IFERROR(IF(SUM('SW Rev'!D93:G93)&lt;=0,"",SUM('SW FCF'!D93:G93)/SUM('SW Rev'!D93:G93)),"")</f>
        <v/>
      </c>
      <c r="D1012" s="37">
        <f>IFERROR(IF(SUM('SW Rev'!E93:H93)&lt;=0,"",SUM('SW FCF'!E93:H93)/SUM('SW Rev'!E93:H93)),"")</f>
        <v/>
      </c>
      <c r="E1012" s="37">
        <f>IFERROR(IF(SUM('SW Rev'!F93:I93)&lt;=0,"",SUM('SW FCF'!F93:I93)/SUM('SW Rev'!F93:I93)),"")</f>
        <v/>
      </c>
      <c r="F1012" s="37">
        <f>IFERROR(IF(SUM('SW Rev'!G93:J93)&lt;=0,"",SUM('SW FCF'!G93:J93)/SUM('SW Rev'!G93:J93)),"")</f>
        <v/>
      </c>
      <c r="G1012" s="37">
        <f>IFERROR(IF(SUM('SW Rev'!H93:K93)&lt;=0,"",SUM('SW FCF'!H93:K93)/SUM('SW Rev'!H93:K93)),"")</f>
        <v/>
      </c>
      <c r="H1012" s="37">
        <f>IFERROR(IF(SUM('SW Rev'!I93:L93)&lt;=0,"",SUM('SW FCF'!I93:L93)/SUM('SW Rev'!I93:L93)),"")</f>
        <v/>
      </c>
      <c r="I1012" s="37">
        <f>IFERROR(IF(SUM('SW Rev'!J93:M93)&lt;=0,"",SUM('SW FCF'!J93:M93)/SUM('SW Rev'!J93:M93)),"")</f>
        <v/>
      </c>
      <c r="J1012" s="37">
        <f>IFERROR(IF(SUM('SW Rev'!K93:N93)&lt;=0,"",SUM('SW FCF'!K93:N93)/SUM('SW Rev'!K93:N93)),"")</f>
        <v/>
      </c>
      <c r="K1012" s="37">
        <f>IFERROR(IF(SUM('SW Rev'!L93:O93)&lt;=0,"",SUM('SW FCF'!L93:O93)/SUM('SW Rev'!L93:O93)),"")</f>
        <v/>
      </c>
      <c r="L1012" s="37">
        <f>IFERROR(IF(SUM('SW Rev'!M93:P93)&lt;=0,"",SUM('SW FCF'!M93:P93)/SUM('SW Rev'!M93:P93)),"")</f>
        <v/>
      </c>
      <c r="M1012" s="38">
        <f>IFERROR(IF(SUM('SW Rev'!N93:Q93)&lt;=0,"",SUM('SW FCF'!N93:Q93)/SUM('SW Rev'!N93:Q93)),"")</f>
        <v/>
      </c>
      <c r="N1012" s="38">
        <f>IFERROR(IF(SUM('SW Rev'!O93:R93)&lt;=0,"",SUM('SW FCF'!O93:R93)/SUM('SW Rev'!O93:R93)),"")</f>
        <v/>
      </c>
    </row>
    <row r="1013">
      <c r="A1013" s="19">
        <f>'SW Rev'!$A94</f>
        <v/>
      </c>
      <c r="B1013" s="19">
        <f>'SW Rev'!$B94</f>
        <v/>
      </c>
      <c r="C1013" s="37">
        <f>IFERROR(IF(SUM('SW Rev'!D94:G94)&lt;=0,"",SUM('SW FCF'!D94:G94)/SUM('SW Rev'!D94:G94)),"")</f>
        <v/>
      </c>
      <c r="D1013" s="37">
        <f>IFERROR(IF(SUM('SW Rev'!E94:H94)&lt;=0,"",SUM('SW FCF'!E94:H94)/SUM('SW Rev'!E94:H94)),"")</f>
        <v/>
      </c>
      <c r="E1013" s="37">
        <f>IFERROR(IF(SUM('SW Rev'!F94:I94)&lt;=0,"",SUM('SW FCF'!F94:I94)/SUM('SW Rev'!F94:I94)),"")</f>
        <v/>
      </c>
      <c r="F1013" s="37">
        <f>IFERROR(IF(SUM('SW Rev'!G94:J94)&lt;=0,"",SUM('SW FCF'!G94:J94)/SUM('SW Rev'!G94:J94)),"")</f>
        <v/>
      </c>
      <c r="G1013" s="37">
        <f>IFERROR(IF(SUM('SW Rev'!H94:K94)&lt;=0,"",SUM('SW FCF'!H94:K94)/SUM('SW Rev'!H94:K94)),"")</f>
        <v/>
      </c>
      <c r="H1013" s="37">
        <f>IFERROR(IF(SUM('SW Rev'!I94:L94)&lt;=0,"",SUM('SW FCF'!I94:L94)/SUM('SW Rev'!I94:L94)),"")</f>
        <v/>
      </c>
      <c r="I1013" s="37">
        <f>IFERROR(IF(SUM('SW Rev'!J94:M94)&lt;=0,"",SUM('SW FCF'!J94:M94)/SUM('SW Rev'!J94:M94)),"")</f>
        <v/>
      </c>
      <c r="J1013" s="37">
        <f>IFERROR(IF(SUM('SW Rev'!K94:N94)&lt;=0,"",SUM('SW FCF'!K94:N94)/SUM('SW Rev'!K94:N94)),"")</f>
        <v/>
      </c>
      <c r="K1013" s="37">
        <f>IFERROR(IF(SUM('SW Rev'!L94:O94)&lt;=0,"",SUM('SW FCF'!L94:O94)/SUM('SW Rev'!L94:O94)),"")</f>
        <v/>
      </c>
      <c r="L1013" s="37">
        <f>IFERROR(IF(SUM('SW Rev'!M94:P94)&lt;=0,"",SUM('SW FCF'!M94:P94)/SUM('SW Rev'!M94:P94)),"")</f>
        <v/>
      </c>
      <c r="M1013" s="38">
        <f>IFERROR(IF(SUM('SW Rev'!N94:Q94)&lt;=0,"",SUM('SW FCF'!N94:Q94)/SUM('SW Rev'!N94:Q94)),"")</f>
        <v/>
      </c>
      <c r="N1013" s="38">
        <f>IFERROR(IF(SUM('SW Rev'!O94:R94)&lt;=0,"",SUM('SW FCF'!O94:R94)/SUM('SW Rev'!O94:R94)),"")</f>
        <v/>
      </c>
    </row>
    <row r="1014">
      <c r="A1014" s="19">
        <f>'SW Rev'!$A95</f>
        <v/>
      </c>
      <c r="B1014" s="19">
        <f>'SW Rev'!$B95</f>
        <v/>
      </c>
      <c r="C1014" s="37">
        <f>IFERROR(IF(SUM('SW Rev'!D95:G95)&lt;=0,"",SUM('SW FCF'!D95:G95)/SUM('SW Rev'!D95:G95)),"")</f>
        <v/>
      </c>
      <c r="D1014" s="37">
        <f>IFERROR(IF(SUM('SW Rev'!E95:H95)&lt;=0,"",SUM('SW FCF'!E95:H95)/SUM('SW Rev'!E95:H95)),"")</f>
        <v/>
      </c>
      <c r="E1014" s="37">
        <f>IFERROR(IF(SUM('SW Rev'!F95:I95)&lt;=0,"",SUM('SW FCF'!F95:I95)/SUM('SW Rev'!F95:I95)),"")</f>
        <v/>
      </c>
      <c r="F1014" s="37">
        <f>IFERROR(IF(SUM('SW Rev'!G95:J95)&lt;=0,"",SUM('SW FCF'!G95:J95)/SUM('SW Rev'!G95:J95)),"")</f>
        <v/>
      </c>
      <c r="G1014" s="37">
        <f>IFERROR(IF(SUM('SW Rev'!H95:K95)&lt;=0,"",SUM('SW FCF'!H95:K95)/SUM('SW Rev'!H95:K95)),"")</f>
        <v/>
      </c>
      <c r="H1014" s="37">
        <f>IFERROR(IF(SUM('SW Rev'!I95:L95)&lt;=0,"",SUM('SW FCF'!I95:L95)/SUM('SW Rev'!I95:L95)),"")</f>
        <v/>
      </c>
      <c r="I1014" s="37">
        <f>IFERROR(IF(SUM('SW Rev'!J95:M95)&lt;=0,"",SUM('SW FCF'!J95:M95)/SUM('SW Rev'!J95:M95)),"")</f>
        <v/>
      </c>
      <c r="J1014" s="37">
        <f>IFERROR(IF(SUM('SW Rev'!K95:N95)&lt;=0,"",SUM('SW FCF'!K95:N95)/SUM('SW Rev'!K95:N95)),"")</f>
        <v/>
      </c>
      <c r="K1014" s="37">
        <f>IFERROR(IF(SUM('SW Rev'!L95:O95)&lt;=0,"",SUM('SW FCF'!L95:O95)/SUM('SW Rev'!L95:O95)),"")</f>
        <v/>
      </c>
      <c r="L1014" s="37">
        <f>IFERROR(IF(SUM('SW Rev'!M95:P95)&lt;=0,"",SUM('SW FCF'!M95:P95)/SUM('SW Rev'!M95:P95)),"")</f>
        <v/>
      </c>
      <c r="M1014" s="38">
        <f>IFERROR(IF(SUM('SW Rev'!N95:Q95)&lt;=0,"",SUM('SW FCF'!N95:Q95)/SUM('SW Rev'!N95:Q95)),"")</f>
        <v/>
      </c>
      <c r="N1014" s="38">
        <f>IFERROR(IF(SUM('SW Rev'!O95:R95)&lt;=0,"",SUM('SW FCF'!O95:R95)/SUM('SW Rev'!O95:R95)),"")</f>
        <v/>
      </c>
    </row>
    <row r="1015">
      <c r="A1015" s="19">
        <f>'SW Rev'!$A96</f>
        <v/>
      </c>
      <c r="B1015" s="19">
        <f>'SW Rev'!$B96</f>
        <v/>
      </c>
      <c r="C1015" s="37">
        <f>IFERROR(IF(SUM('SW Rev'!D96:G96)&lt;=0,"",SUM('SW FCF'!D96:G96)/SUM('SW Rev'!D96:G96)),"")</f>
        <v/>
      </c>
      <c r="D1015" s="37">
        <f>IFERROR(IF(SUM('SW Rev'!E96:H96)&lt;=0,"",SUM('SW FCF'!E96:H96)/SUM('SW Rev'!E96:H96)),"")</f>
        <v/>
      </c>
      <c r="E1015" s="37">
        <f>IFERROR(IF(SUM('SW Rev'!F96:I96)&lt;=0,"",SUM('SW FCF'!F96:I96)/SUM('SW Rev'!F96:I96)),"")</f>
        <v/>
      </c>
      <c r="F1015" s="37">
        <f>IFERROR(IF(SUM('SW Rev'!G96:J96)&lt;=0,"",SUM('SW FCF'!G96:J96)/SUM('SW Rev'!G96:J96)),"")</f>
        <v/>
      </c>
      <c r="G1015" s="37">
        <f>IFERROR(IF(SUM('SW Rev'!H96:K96)&lt;=0,"",SUM('SW FCF'!H96:K96)/SUM('SW Rev'!H96:K96)),"")</f>
        <v/>
      </c>
      <c r="H1015" s="37">
        <f>IFERROR(IF(SUM('SW Rev'!I96:L96)&lt;=0,"",SUM('SW FCF'!I96:L96)/SUM('SW Rev'!I96:L96)),"")</f>
        <v/>
      </c>
      <c r="I1015" s="37">
        <f>IFERROR(IF(SUM('SW Rev'!J96:M96)&lt;=0,"",SUM('SW FCF'!J96:M96)/SUM('SW Rev'!J96:M96)),"")</f>
        <v/>
      </c>
      <c r="J1015" s="37">
        <f>IFERROR(IF(SUM('SW Rev'!K96:N96)&lt;=0,"",SUM('SW FCF'!K96:N96)/SUM('SW Rev'!K96:N96)),"")</f>
        <v/>
      </c>
      <c r="K1015" s="37">
        <f>IFERROR(IF(SUM('SW Rev'!L96:O96)&lt;=0,"",SUM('SW FCF'!L96:O96)/SUM('SW Rev'!L96:O96)),"")</f>
        <v/>
      </c>
      <c r="L1015" s="37">
        <f>IFERROR(IF(SUM('SW Rev'!M96:P96)&lt;=0,"",SUM('SW FCF'!M96:P96)/SUM('SW Rev'!M96:P96)),"")</f>
        <v/>
      </c>
      <c r="M1015" s="38">
        <f>IFERROR(IF(SUM('SW Rev'!N96:Q96)&lt;=0,"",SUM('SW FCF'!N96:Q96)/SUM('SW Rev'!N96:Q96)),"")</f>
        <v/>
      </c>
      <c r="N1015" s="38">
        <f>IFERROR(IF(SUM('SW Rev'!O96:R96)&lt;=0,"",SUM('SW FCF'!O96:R96)/SUM('SW Rev'!O96:R96)),"")</f>
        <v/>
      </c>
    </row>
    <row r="1016">
      <c r="A1016" s="19">
        <f>'SW Rev'!$A97</f>
        <v/>
      </c>
      <c r="B1016" s="19">
        <f>'SW Rev'!$B97</f>
        <v/>
      </c>
      <c r="C1016" s="37">
        <f>IFERROR(IF(SUM('SW Rev'!D97:G97)&lt;=0,"",SUM('SW FCF'!D97:G97)/SUM('SW Rev'!D97:G97)),"")</f>
        <v/>
      </c>
      <c r="D1016" s="37">
        <f>IFERROR(IF(SUM('SW Rev'!E97:H97)&lt;=0,"",SUM('SW FCF'!E97:H97)/SUM('SW Rev'!E97:H97)),"")</f>
        <v/>
      </c>
      <c r="E1016" s="37">
        <f>IFERROR(IF(SUM('SW Rev'!F97:I97)&lt;=0,"",SUM('SW FCF'!F97:I97)/SUM('SW Rev'!F97:I97)),"")</f>
        <v/>
      </c>
      <c r="F1016" s="37">
        <f>IFERROR(IF(SUM('SW Rev'!G97:J97)&lt;=0,"",SUM('SW FCF'!G97:J97)/SUM('SW Rev'!G97:J97)),"")</f>
        <v/>
      </c>
      <c r="G1016" s="37">
        <f>IFERROR(IF(SUM('SW Rev'!H97:K97)&lt;=0,"",SUM('SW FCF'!H97:K97)/SUM('SW Rev'!H97:K97)),"")</f>
        <v/>
      </c>
      <c r="H1016" s="37">
        <f>IFERROR(IF(SUM('SW Rev'!I97:L97)&lt;=0,"",SUM('SW FCF'!I97:L97)/SUM('SW Rev'!I97:L97)),"")</f>
        <v/>
      </c>
      <c r="I1016" s="37">
        <f>IFERROR(IF(SUM('SW Rev'!J97:M97)&lt;=0,"",SUM('SW FCF'!J97:M97)/SUM('SW Rev'!J97:M97)),"")</f>
        <v/>
      </c>
      <c r="J1016" s="37">
        <f>IFERROR(IF(SUM('SW Rev'!K97:N97)&lt;=0,"",SUM('SW FCF'!K97:N97)/SUM('SW Rev'!K97:N97)),"")</f>
        <v/>
      </c>
      <c r="K1016" s="37">
        <f>IFERROR(IF(SUM('SW Rev'!L97:O97)&lt;=0,"",SUM('SW FCF'!L97:O97)/SUM('SW Rev'!L97:O97)),"")</f>
        <v/>
      </c>
      <c r="L1016" s="37">
        <f>IFERROR(IF(SUM('SW Rev'!M97:P97)&lt;=0,"",SUM('SW FCF'!M97:P97)/SUM('SW Rev'!M97:P97)),"")</f>
        <v/>
      </c>
      <c r="M1016" s="38">
        <f>IFERROR(IF(SUM('SW Rev'!N97:Q97)&lt;=0,"",SUM('SW FCF'!N97:Q97)/SUM('SW Rev'!N97:Q97)),"")</f>
        <v/>
      </c>
      <c r="N1016" s="38">
        <f>IFERROR(IF(SUM('SW Rev'!O97:R97)&lt;=0,"",SUM('SW FCF'!O97:R97)/SUM('SW Rev'!O97:R97)),"")</f>
        <v/>
      </c>
    </row>
    <row r="1017">
      <c r="A1017" s="19">
        <f>'SW Rev'!$A98</f>
        <v/>
      </c>
      <c r="B1017" s="19">
        <f>'SW Rev'!$B98</f>
        <v/>
      </c>
      <c r="C1017" s="37">
        <f>IFERROR(IF(SUM('SW Rev'!D98:G98)&lt;=0,"",SUM('SW FCF'!D98:G98)/SUM('SW Rev'!D98:G98)),"")</f>
        <v/>
      </c>
      <c r="D1017" s="37">
        <f>IFERROR(IF(SUM('SW Rev'!E98:H98)&lt;=0,"",SUM('SW FCF'!E98:H98)/SUM('SW Rev'!E98:H98)),"")</f>
        <v/>
      </c>
      <c r="E1017" s="37">
        <f>IFERROR(IF(SUM('SW Rev'!F98:I98)&lt;=0,"",SUM('SW FCF'!F98:I98)/SUM('SW Rev'!F98:I98)),"")</f>
        <v/>
      </c>
      <c r="F1017" s="37">
        <f>IFERROR(IF(SUM('SW Rev'!G98:J98)&lt;=0,"",SUM('SW FCF'!G98:J98)/SUM('SW Rev'!G98:J98)),"")</f>
        <v/>
      </c>
      <c r="G1017" s="37">
        <f>IFERROR(IF(SUM('SW Rev'!H98:K98)&lt;=0,"",SUM('SW FCF'!H98:K98)/SUM('SW Rev'!H98:K98)),"")</f>
        <v/>
      </c>
      <c r="H1017" s="37">
        <f>IFERROR(IF(SUM('SW Rev'!I98:L98)&lt;=0,"",SUM('SW FCF'!I98:L98)/SUM('SW Rev'!I98:L98)),"")</f>
        <v/>
      </c>
      <c r="I1017" s="37">
        <f>IFERROR(IF(SUM('SW Rev'!J98:M98)&lt;=0,"",SUM('SW FCF'!J98:M98)/SUM('SW Rev'!J98:M98)),"")</f>
        <v/>
      </c>
      <c r="J1017" s="37">
        <f>IFERROR(IF(SUM('SW Rev'!K98:N98)&lt;=0,"",SUM('SW FCF'!K98:N98)/SUM('SW Rev'!K98:N98)),"")</f>
        <v/>
      </c>
      <c r="K1017" s="37">
        <f>IFERROR(IF(SUM('SW Rev'!L98:O98)&lt;=0,"",SUM('SW FCF'!L98:O98)/SUM('SW Rev'!L98:O98)),"")</f>
        <v/>
      </c>
      <c r="L1017" s="37">
        <f>IFERROR(IF(SUM('SW Rev'!M98:P98)&lt;=0,"",SUM('SW FCF'!M98:P98)/SUM('SW Rev'!M98:P98)),"")</f>
        <v/>
      </c>
      <c r="M1017" s="38">
        <f>IFERROR(IF(SUM('SW Rev'!N98:Q98)&lt;=0,"",SUM('SW FCF'!N98:Q98)/SUM('SW Rev'!N98:Q98)),"")</f>
        <v/>
      </c>
      <c r="N1017" s="38">
        <f>IFERROR(IF(SUM('SW Rev'!O98:R98)&lt;=0,"",SUM('SW FCF'!O98:R98)/SUM('SW Rev'!O98:R98)),"")</f>
        <v/>
      </c>
    </row>
    <row r="1018">
      <c r="A1018" s="19">
        <f>'SW Rev'!$A99</f>
        <v/>
      </c>
      <c r="B1018" s="19">
        <f>'SW Rev'!$B99</f>
        <v/>
      </c>
      <c r="C1018" s="37">
        <f>IFERROR(IF(SUM('SW Rev'!D99:G99)&lt;=0,"",SUM('SW FCF'!D99:G99)/SUM('SW Rev'!D99:G99)),"")</f>
        <v/>
      </c>
      <c r="D1018" s="37">
        <f>IFERROR(IF(SUM('SW Rev'!E99:H99)&lt;=0,"",SUM('SW FCF'!E99:H99)/SUM('SW Rev'!E99:H99)),"")</f>
        <v/>
      </c>
      <c r="E1018" s="37">
        <f>IFERROR(IF(SUM('SW Rev'!F99:I99)&lt;=0,"",SUM('SW FCF'!F99:I99)/SUM('SW Rev'!F99:I99)),"")</f>
        <v/>
      </c>
      <c r="F1018" s="37">
        <f>IFERROR(IF(SUM('SW Rev'!G99:J99)&lt;=0,"",SUM('SW FCF'!G99:J99)/SUM('SW Rev'!G99:J99)),"")</f>
        <v/>
      </c>
      <c r="G1018" s="37">
        <f>IFERROR(IF(SUM('SW Rev'!H99:K99)&lt;=0,"",SUM('SW FCF'!H99:K99)/SUM('SW Rev'!H99:K99)),"")</f>
        <v/>
      </c>
      <c r="H1018" s="37">
        <f>IFERROR(IF(SUM('SW Rev'!I99:L99)&lt;=0,"",SUM('SW FCF'!I99:L99)/SUM('SW Rev'!I99:L99)),"")</f>
        <v/>
      </c>
      <c r="I1018" s="37">
        <f>IFERROR(IF(SUM('SW Rev'!J99:M99)&lt;=0,"",SUM('SW FCF'!J99:M99)/SUM('SW Rev'!J99:M99)),"")</f>
        <v/>
      </c>
      <c r="J1018" s="37">
        <f>IFERROR(IF(SUM('SW Rev'!K99:N99)&lt;=0,"",SUM('SW FCF'!K99:N99)/SUM('SW Rev'!K99:N99)),"")</f>
        <v/>
      </c>
      <c r="K1018" s="37">
        <f>IFERROR(IF(SUM('SW Rev'!L99:O99)&lt;=0,"",SUM('SW FCF'!L99:O99)/SUM('SW Rev'!L99:O99)),"")</f>
        <v/>
      </c>
      <c r="L1018" s="37">
        <f>IFERROR(IF(SUM('SW Rev'!M99:P99)&lt;=0,"",SUM('SW FCF'!M99:P99)/SUM('SW Rev'!M99:P99)),"")</f>
        <v/>
      </c>
      <c r="M1018" s="38">
        <f>IFERROR(IF(SUM('SW Rev'!N99:Q99)&lt;=0,"",SUM('SW FCF'!N99:Q99)/SUM('SW Rev'!N99:Q99)),"")</f>
        <v/>
      </c>
      <c r="N1018" s="38">
        <f>IFERROR(IF(SUM('SW Rev'!O99:R99)&lt;=0,"",SUM('SW FCF'!O99:R99)/SUM('SW Rev'!O99:R99)),"")</f>
        <v/>
      </c>
    </row>
    <row r="1019">
      <c r="A1019" s="19">
        <f>'SW Rev'!$A100</f>
        <v/>
      </c>
      <c r="B1019" s="19">
        <f>'SW Rev'!$B100</f>
        <v/>
      </c>
      <c r="C1019" s="37">
        <f>IFERROR(IF(SUM('SW Rev'!D100:G100)&lt;=0,"",SUM('SW FCF'!D100:G100)/SUM('SW Rev'!D100:G100)),"")</f>
        <v/>
      </c>
      <c r="D1019" s="37">
        <f>IFERROR(IF(SUM('SW Rev'!E100:H100)&lt;=0,"",SUM('SW FCF'!E100:H100)/SUM('SW Rev'!E100:H100)),"")</f>
        <v/>
      </c>
      <c r="E1019" s="37">
        <f>IFERROR(IF(SUM('SW Rev'!F100:I100)&lt;=0,"",SUM('SW FCF'!F100:I100)/SUM('SW Rev'!F100:I100)),"")</f>
        <v/>
      </c>
      <c r="F1019" s="37">
        <f>IFERROR(IF(SUM('SW Rev'!G100:J100)&lt;=0,"",SUM('SW FCF'!G100:J100)/SUM('SW Rev'!G100:J100)),"")</f>
        <v/>
      </c>
      <c r="G1019" s="37">
        <f>IFERROR(IF(SUM('SW Rev'!H100:K100)&lt;=0,"",SUM('SW FCF'!H100:K100)/SUM('SW Rev'!H100:K100)),"")</f>
        <v/>
      </c>
      <c r="H1019" s="37">
        <f>IFERROR(IF(SUM('SW Rev'!I100:L100)&lt;=0,"",SUM('SW FCF'!I100:L100)/SUM('SW Rev'!I100:L100)),"")</f>
        <v/>
      </c>
      <c r="I1019" s="37">
        <f>IFERROR(IF(SUM('SW Rev'!J100:M100)&lt;=0,"",SUM('SW FCF'!J100:M100)/SUM('SW Rev'!J100:M100)),"")</f>
        <v/>
      </c>
      <c r="J1019" s="37">
        <f>IFERROR(IF(SUM('SW Rev'!K100:N100)&lt;=0,"",SUM('SW FCF'!K100:N100)/SUM('SW Rev'!K100:N100)),"")</f>
        <v/>
      </c>
      <c r="K1019" s="37">
        <f>IFERROR(IF(SUM('SW Rev'!L100:O100)&lt;=0,"",SUM('SW FCF'!L100:O100)/SUM('SW Rev'!L100:O100)),"")</f>
        <v/>
      </c>
      <c r="L1019" s="37">
        <f>IFERROR(IF(SUM('SW Rev'!M100:P100)&lt;=0,"",SUM('SW FCF'!M100:P100)/SUM('SW Rev'!M100:P100)),"")</f>
        <v/>
      </c>
      <c r="M1019" s="38">
        <f>IFERROR(IF(SUM('SW Rev'!N100:Q100)&lt;=0,"",SUM('SW FCF'!N100:Q100)/SUM('SW Rev'!N100:Q100)),"")</f>
        <v/>
      </c>
      <c r="N1019" s="38">
        <f>IFERROR(IF(SUM('SW Rev'!O100:R100)&lt;=0,"",SUM('SW FCF'!O100:R100)/SUM('SW Rev'!O100:R100)),"")</f>
        <v/>
      </c>
    </row>
    <row r="1020">
      <c r="A1020" s="19">
        <f>'SW Rev'!$A101</f>
        <v/>
      </c>
      <c r="B1020" s="19">
        <f>'SW Rev'!$B101</f>
        <v/>
      </c>
      <c r="C1020" s="37">
        <f>IFERROR(IF(SUM('SW Rev'!D101:G101)&lt;=0,"",SUM('SW FCF'!D101:G101)/SUM('SW Rev'!D101:G101)),"")</f>
        <v/>
      </c>
      <c r="D1020" s="37">
        <f>IFERROR(IF(SUM('SW Rev'!E101:H101)&lt;=0,"",SUM('SW FCF'!E101:H101)/SUM('SW Rev'!E101:H101)),"")</f>
        <v/>
      </c>
      <c r="E1020" s="37">
        <f>IFERROR(IF(SUM('SW Rev'!F101:I101)&lt;=0,"",SUM('SW FCF'!F101:I101)/SUM('SW Rev'!F101:I101)),"")</f>
        <v/>
      </c>
      <c r="F1020" s="37">
        <f>IFERROR(IF(SUM('SW Rev'!G101:J101)&lt;=0,"",SUM('SW FCF'!G101:J101)/SUM('SW Rev'!G101:J101)),"")</f>
        <v/>
      </c>
      <c r="G1020" s="37">
        <f>IFERROR(IF(SUM('SW Rev'!H101:K101)&lt;=0,"",SUM('SW FCF'!H101:K101)/SUM('SW Rev'!H101:K101)),"")</f>
        <v/>
      </c>
      <c r="H1020" s="37">
        <f>IFERROR(IF(SUM('SW Rev'!I101:L101)&lt;=0,"",SUM('SW FCF'!I101:L101)/SUM('SW Rev'!I101:L101)),"")</f>
        <v/>
      </c>
      <c r="I1020" s="37">
        <f>IFERROR(IF(SUM('SW Rev'!J101:M101)&lt;=0,"",SUM('SW FCF'!J101:M101)/SUM('SW Rev'!J101:M101)),"")</f>
        <v/>
      </c>
      <c r="J1020" s="37">
        <f>IFERROR(IF(SUM('SW Rev'!K101:N101)&lt;=0,"",SUM('SW FCF'!K101:N101)/SUM('SW Rev'!K101:N101)),"")</f>
        <v/>
      </c>
      <c r="K1020" s="37">
        <f>IFERROR(IF(SUM('SW Rev'!L101:O101)&lt;=0,"",SUM('SW FCF'!L101:O101)/SUM('SW Rev'!L101:O101)),"")</f>
        <v/>
      </c>
      <c r="L1020" s="37">
        <f>IFERROR(IF(SUM('SW Rev'!M101:P101)&lt;=0,"",SUM('SW FCF'!M101:P101)/SUM('SW Rev'!M101:P101)),"")</f>
        <v/>
      </c>
      <c r="M1020" s="38">
        <f>IFERROR(IF(SUM('SW Rev'!N101:Q101)&lt;=0,"",SUM('SW FCF'!N101:Q101)/SUM('SW Rev'!N101:Q101)),"")</f>
        <v/>
      </c>
      <c r="N1020" s="38">
        <f>IFERROR(IF(SUM('SW Rev'!O101:R101)&lt;=0,"",SUM('SW FCF'!O101:R101)/SUM('SW Rev'!O101:R101)),"")</f>
        <v/>
      </c>
    </row>
    <row r="1021">
      <c r="A1021" s="19">
        <f>'SW Rev'!$A102</f>
        <v/>
      </c>
      <c r="B1021" s="19">
        <f>'SW Rev'!$B102</f>
        <v/>
      </c>
      <c r="C1021" s="37">
        <f>IFERROR(IF(SUM('SW Rev'!D102:G102)&lt;=0,"",SUM('SW FCF'!D102:G102)/SUM('SW Rev'!D102:G102)),"")</f>
        <v/>
      </c>
      <c r="D1021" s="37">
        <f>IFERROR(IF(SUM('SW Rev'!E102:H102)&lt;=0,"",SUM('SW FCF'!E102:H102)/SUM('SW Rev'!E102:H102)),"")</f>
        <v/>
      </c>
      <c r="E1021" s="37">
        <f>IFERROR(IF(SUM('SW Rev'!F102:I102)&lt;=0,"",SUM('SW FCF'!F102:I102)/SUM('SW Rev'!F102:I102)),"")</f>
        <v/>
      </c>
      <c r="F1021" s="37">
        <f>IFERROR(IF(SUM('SW Rev'!G102:J102)&lt;=0,"",SUM('SW FCF'!G102:J102)/SUM('SW Rev'!G102:J102)),"")</f>
        <v/>
      </c>
      <c r="G1021" s="37">
        <f>IFERROR(IF(SUM('SW Rev'!H102:K102)&lt;=0,"",SUM('SW FCF'!H102:K102)/SUM('SW Rev'!H102:K102)),"")</f>
        <v/>
      </c>
      <c r="H1021" s="37">
        <f>IFERROR(IF(SUM('SW Rev'!I102:L102)&lt;=0,"",SUM('SW FCF'!I102:L102)/SUM('SW Rev'!I102:L102)),"")</f>
        <v/>
      </c>
      <c r="I1021" s="37">
        <f>IFERROR(IF(SUM('SW Rev'!J102:M102)&lt;=0,"",SUM('SW FCF'!J102:M102)/SUM('SW Rev'!J102:M102)),"")</f>
        <v/>
      </c>
      <c r="J1021" s="37">
        <f>IFERROR(IF(SUM('SW Rev'!K102:N102)&lt;=0,"",SUM('SW FCF'!K102:N102)/SUM('SW Rev'!K102:N102)),"")</f>
        <v/>
      </c>
      <c r="K1021" s="37">
        <f>IFERROR(IF(SUM('SW Rev'!L102:O102)&lt;=0,"",SUM('SW FCF'!L102:O102)/SUM('SW Rev'!L102:O102)),"")</f>
        <v/>
      </c>
      <c r="L1021" s="37">
        <f>IFERROR(IF(SUM('SW Rev'!M102:P102)&lt;=0,"",SUM('SW FCF'!M102:P102)/SUM('SW Rev'!M102:P102)),"")</f>
        <v/>
      </c>
      <c r="M1021" s="38">
        <f>IFERROR(IF(SUM('SW Rev'!N102:Q102)&lt;=0,"",SUM('SW FCF'!N102:Q102)/SUM('SW Rev'!N102:Q102)),"")</f>
        <v/>
      </c>
      <c r="N1021" s="38">
        <f>IFERROR(IF(SUM('SW Rev'!O102:R102)&lt;=0,"",SUM('SW FCF'!O102:R102)/SUM('SW Rev'!O102:R102)),"")</f>
        <v/>
      </c>
    </row>
    <row r="1022">
      <c r="A1022" s="19">
        <f>'SW Rev'!$A103</f>
        <v/>
      </c>
      <c r="B1022" s="19">
        <f>'SW Rev'!$B103</f>
        <v/>
      </c>
      <c r="C1022" s="37">
        <f>IFERROR(IF(SUM('SW Rev'!D103:G103)&lt;=0,"",SUM('SW FCF'!D103:G103)/SUM('SW Rev'!D103:G103)),"")</f>
        <v/>
      </c>
      <c r="D1022" s="37">
        <f>IFERROR(IF(SUM('SW Rev'!E103:H103)&lt;=0,"",SUM('SW FCF'!E103:H103)/SUM('SW Rev'!E103:H103)),"")</f>
        <v/>
      </c>
      <c r="E1022" s="37">
        <f>IFERROR(IF(SUM('SW Rev'!F103:I103)&lt;=0,"",SUM('SW FCF'!F103:I103)/SUM('SW Rev'!F103:I103)),"")</f>
        <v/>
      </c>
      <c r="F1022" s="37">
        <f>IFERROR(IF(SUM('SW Rev'!G103:J103)&lt;=0,"",SUM('SW FCF'!G103:J103)/SUM('SW Rev'!G103:J103)),"")</f>
        <v/>
      </c>
      <c r="G1022" s="37">
        <f>IFERROR(IF(SUM('SW Rev'!H103:K103)&lt;=0,"",SUM('SW FCF'!H103:K103)/SUM('SW Rev'!H103:K103)),"")</f>
        <v/>
      </c>
      <c r="H1022" s="37">
        <f>IFERROR(IF(SUM('SW Rev'!I103:L103)&lt;=0,"",SUM('SW FCF'!I103:L103)/SUM('SW Rev'!I103:L103)),"")</f>
        <v/>
      </c>
      <c r="I1022" s="37">
        <f>IFERROR(IF(SUM('SW Rev'!J103:M103)&lt;=0,"",SUM('SW FCF'!J103:M103)/SUM('SW Rev'!J103:M103)),"")</f>
        <v/>
      </c>
      <c r="J1022" s="37">
        <f>IFERROR(IF(SUM('SW Rev'!K103:N103)&lt;=0,"",SUM('SW FCF'!K103:N103)/SUM('SW Rev'!K103:N103)),"")</f>
        <v/>
      </c>
      <c r="K1022" s="37">
        <f>IFERROR(IF(SUM('SW Rev'!L103:O103)&lt;=0,"",SUM('SW FCF'!L103:O103)/SUM('SW Rev'!L103:O103)),"")</f>
        <v/>
      </c>
      <c r="L1022" s="37">
        <f>IFERROR(IF(SUM('SW Rev'!M103:P103)&lt;=0,"",SUM('SW FCF'!M103:P103)/SUM('SW Rev'!M103:P103)),"")</f>
        <v/>
      </c>
      <c r="M1022" s="38">
        <f>IFERROR(IF(SUM('SW Rev'!N103:Q103)&lt;=0,"",SUM('SW FCF'!N103:Q103)/SUM('SW Rev'!N103:Q103)),"")</f>
        <v/>
      </c>
      <c r="N1022" s="38">
        <f>IFERROR(IF(SUM('SW Rev'!O103:R103)&lt;=0,"",SUM('SW FCF'!O103:R103)/SUM('SW Rev'!O103:R103)),"")</f>
        <v/>
      </c>
    </row>
    <row r="1024">
      <c r="A1024" s="49" t="inlineStr">
        <is>
          <t>FCF margin expansion, LTM YoY (bps)</t>
        </is>
      </c>
      <c r="B1024" s="50" t="n"/>
      <c r="C1024" s="50" t="n"/>
      <c r="D1024" s="50" t="n"/>
      <c r="E1024" s="50" t="n"/>
      <c r="F1024" s="50" t="n"/>
      <c r="G1024" s="50" t="n"/>
      <c r="H1024" s="50" t="n"/>
      <c r="I1024" s="50" t="n"/>
      <c r="J1024" s="50" t="n"/>
      <c r="K1024" s="50" t="n"/>
      <c r="L1024" s="50" t="n"/>
      <c r="M1024" s="50" t="n"/>
      <c r="N1024" s="50" t="n"/>
    </row>
    <row r="1025" ht="28" customHeight="1">
      <c r="A1025" s="8" t="inlineStr">
        <is>
          <t>Ticker</t>
        </is>
      </c>
      <c r="B1025" s="8" t="inlineStr">
        <is>
          <t>Latest Rpt Qtr</t>
        </is>
      </c>
      <c r="C1025" s="8" t="inlineStr">
        <is>
          <t>FPO -9</t>
        </is>
      </c>
      <c r="D1025" s="8" t="inlineStr">
        <is>
          <t>FPO -8</t>
        </is>
      </c>
      <c r="E1025" s="8" t="inlineStr">
        <is>
          <t>FPO -7</t>
        </is>
      </c>
      <c r="F1025" s="8" t="inlineStr">
        <is>
          <t>FPO -6</t>
        </is>
      </c>
      <c r="G1025" s="8" t="inlineStr">
        <is>
          <t>FPO -5</t>
        </is>
      </c>
      <c r="H1025" s="8" t="inlineStr">
        <is>
          <t>FPO -4</t>
        </is>
      </c>
      <c r="I1025" s="8" t="inlineStr">
        <is>
          <t>FPO -3</t>
        </is>
      </c>
      <c r="J1025" s="8" t="inlineStr">
        <is>
          <t>FPO -2</t>
        </is>
      </c>
      <c r="K1025" s="8" t="inlineStr">
        <is>
          <t>FPO -1</t>
        </is>
      </c>
      <c r="L1025" s="8" t="inlineStr">
        <is>
          <t>FPO 0 (latest rpt)</t>
        </is>
      </c>
      <c r="M1025" s="8" t="inlineStr">
        <is>
          <t>FPO +1E</t>
        </is>
      </c>
      <c r="N1025" s="8" t="inlineStr">
        <is>
          <t>FPO +2E</t>
        </is>
      </c>
    </row>
    <row r="1026">
      <c r="A1026" s="19">
        <f>'SW Rev'!$A5</f>
        <v/>
      </c>
      <c r="B1026" s="19">
        <f>'SW Rev'!$B5</f>
        <v/>
      </c>
      <c r="C1026" s="43">
        <f>""</f>
        <v/>
      </c>
      <c r="D1026" s="43">
        <f>""</f>
        <v/>
      </c>
      <c r="E1026" s="43">
        <f>""</f>
        <v/>
      </c>
      <c r="F1026" s="43">
        <f>IFERROR(IF(OR($F$924="",IF(SUM('SW Rev'!C5:F5)&lt;=0,"",SUM('SW FCF'!C5:F5)/SUM('SW Rev'!C5:F5))=""),"",($F$924-IF(SUM('SW Rev'!C5:F5)&lt;=0,"",SUM('SW FCF'!C5:F5)/SUM('SW Rev'!C5:F5)))*10000),"")</f>
        <v/>
      </c>
      <c r="G1026" s="43">
        <f>IFERROR(IF(OR($G$924="",$C$924=""),"",($G$924-$C$924)*10000),"")</f>
        <v/>
      </c>
      <c r="H1026" s="43">
        <f>IFERROR(IF(OR($H$924="",$D$924=""),"",($H$924-$D$924)*10000),"")</f>
        <v/>
      </c>
      <c r="I1026" s="43">
        <f>IFERROR(IF(OR($I$924="",$E$924=""),"",($I$924-$E$924)*10000),"")</f>
        <v/>
      </c>
      <c r="J1026" s="43">
        <f>IFERROR(IF(OR($J$924="",$F$924=""),"",($J$924-$F$924)*10000),"")</f>
        <v/>
      </c>
      <c r="K1026" s="43">
        <f>IFERROR(IF(OR($K$924="",$G$924=""),"",($K$924-$G$924)*10000),"")</f>
        <v/>
      </c>
      <c r="L1026" s="43">
        <f>IFERROR(IF(OR($L$924="",$H$924=""),"",($L$924-$H$924)*10000),"")</f>
        <v/>
      </c>
      <c r="M1026" s="44">
        <f>IFERROR(IF(OR($M$924="",$I$924=""),"",($M$924-$I$924)*10000),"")</f>
        <v/>
      </c>
      <c r="N1026" s="44">
        <f>IFERROR(IF(OR($N$924="",$J$924=""),"",($N$924-$J$924)*10000),"")</f>
        <v/>
      </c>
    </row>
    <row r="1027">
      <c r="A1027" s="19">
        <f>'SW Rev'!$A6</f>
        <v/>
      </c>
      <c r="B1027" s="19">
        <f>'SW Rev'!$B6</f>
        <v/>
      </c>
      <c r="C1027" s="43">
        <f>""</f>
        <v/>
      </c>
      <c r="D1027" s="43">
        <f>""</f>
        <v/>
      </c>
      <c r="E1027" s="43">
        <f>""</f>
        <v/>
      </c>
      <c r="F1027" s="43">
        <f>IFERROR(IF(OR($F$925="",IF(SUM('SW Rev'!C6:F6)&lt;=0,"",SUM('SW FCF'!C6:F6)/SUM('SW Rev'!C6:F6))=""),"",($F$925-IF(SUM('SW Rev'!C6:F6)&lt;=0,"",SUM('SW FCF'!C6:F6)/SUM('SW Rev'!C6:F6)))*10000),"")</f>
        <v/>
      </c>
      <c r="G1027" s="43">
        <f>IFERROR(IF(OR($G$925="",$C$925=""),"",($G$925-$C$925)*10000),"")</f>
        <v/>
      </c>
      <c r="H1027" s="43">
        <f>IFERROR(IF(OR($H$925="",$D$925=""),"",($H$925-$D$925)*10000),"")</f>
        <v/>
      </c>
      <c r="I1027" s="43">
        <f>IFERROR(IF(OR($I$925="",$E$925=""),"",($I$925-$E$925)*10000),"")</f>
        <v/>
      </c>
      <c r="J1027" s="43">
        <f>IFERROR(IF(OR($J$925="",$F$925=""),"",($J$925-$F$925)*10000),"")</f>
        <v/>
      </c>
      <c r="K1027" s="43">
        <f>IFERROR(IF(OR($K$925="",$G$925=""),"",($K$925-$G$925)*10000),"")</f>
        <v/>
      </c>
      <c r="L1027" s="43">
        <f>IFERROR(IF(OR($L$925="",$H$925=""),"",($L$925-$H$925)*10000),"")</f>
        <v/>
      </c>
      <c r="M1027" s="44">
        <f>IFERROR(IF(OR($M$925="",$I$925=""),"",($M$925-$I$925)*10000),"")</f>
        <v/>
      </c>
      <c r="N1027" s="44">
        <f>IFERROR(IF(OR($N$925="",$J$925=""),"",($N$925-$J$925)*10000),"")</f>
        <v/>
      </c>
    </row>
    <row r="1028">
      <c r="A1028" s="19">
        <f>'SW Rev'!$A7</f>
        <v/>
      </c>
      <c r="B1028" s="19">
        <f>'SW Rev'!$B7</f>
        <v/>
      </c>
      <c r="C1028" s="43">
        <f>""</f>
        <v/>
      </c>
      <c r="D1028" s="43">
        <f>""</f>
        <v/>
      </c>
      <c r="E1028" s="43">
        <f>""</f>
        <v/>
      </c>
      <c r="F1028" s="43">
        <f>IFERROR(IF(OR($F$926="",IF(SUM('SW Rev'!C7:F7)&lt;=0,"",SUM('SW FCF'!C7:F7)/SUM('SW Rev'!C7:F7))=""),"",($F$926-IF(SUM('SW Rev'!C7:F7)&lt;=0,"",SUM('SW FCF'!C7:F7)/SUM('SW Rev'!C7:F7)))*10000),"")</f>
        <v/>
      </c>
      <c r="G1028" s="43">
        <f>IFERROR(IF(OR($G$926="",$C$926=""),"",($G$926-$C$926)*10000),"")</f>
        <v/>
      </c>
      <c r="H1028" s="43">
        <f>IFERROR(IF(OR($H$926="",$D$926=""),"",($H$926-$D$926)*10000),"")</f>
        <v/>
      </c>
      <c r="I1028" s="43">
        <f>IFERROR(IF(OR($I$926="",$E$926=""),"",($I$926-$E$926)*10000),"")</f>
        <v/>
      </c>
      <c r="J1028" s="43">
        <f>IFERROR(IF(OR($J$926="",$F$926=""),"",($J$926-$F$926)*10000),"")</f>
        <v/>
      </c>
      <c r="K1028" s="43">
        <f>IFERROR(IF(OR($K$926="",$G$926=""),"",($K$926-$G$926)*10000),"")</f>
        <v/>
      </c>
      <c r="L1028" s="43">
        <f>IFERROR(IF(OR($L$926="",$H$926=""),"",($L$926-$H$926)*10000),"")</f>
        <v/>
      </c>
      <c r="M1028" s="44">
        <f>IFERROR(IF(OR($M$926="",$I$926=""),"",($M$926-$I$926)*10000),"")</f>
        <v/>
      </c>
      <c r="N1028" s="44">
        <f>IFERROR(IF(OR($N$926="",$J$926=""),"",($N$926-$J$926)*10000),"")</f>
        <v/>
      </c>
    </row>
    <row r="1029">
      <c r="A1029" s="19">
        <f>'SW Rev'!$A8</f>
        <v/>
      </c>
      <c r="B1029" s="19">
        <f>'SW Rev'!$B8</f>
        <v/>
      </c>
      <c r="C1029" s="43">
        <f>""</f>
        <v/>
      </c>
      <c r="D1029" s="43">
        <f>""</f>
        <v/>
      </c>
      <c r="E1029" s="43">
        <f>""</f>
        <v/>
      </c>
      <c r="F1029" s="43">
        <f>IFERROR(IF(OR($F$927="",IF(SUM('SW Rev'!C8:F8)&lt;=0,"",SUM('SW FCF'!C8:F8)/SUM('SW Rev'!C8:F8))=""),"",($F$927-IF(SUM('SW Rev'!C8:F8)&lt;=0,"",SUM('SW FCF'!C8:F8)/SUM('SW Rev'!C8:F8)))*10000),"")</f>
        <v/>
      </c>
      <c r="G1029" s="43">
        <f>IFERROR(IF(OR($G$927="",$C$927=""),"",($G$927-$C$927)*10000),"")</f>
        <v/>
      </c>
      <c r="H1029" s="43">
        <f>IFERROR(IF(OR($H$927="",$D$927=""),"",($H$927-$D$927)*10000),"")</f>
        <v/>
      </c>
      <c r="I1029" s="43">
        <f>IFERROR(IF(OR($I$927="",$E$927=""),"",($I$927-$E$927)*10000),"")</f>
        <v/>
      </c>
      <c r="J1029" s="43">
        <f>IFERROR(IF(OR($J$927="",$F$927=""),"",($J$927-$F$927)*10000),"")</f>
        <v/>
      </c>
      <c r="K1029" s="43">
        <f>IFERROR(IF(OR($K$927="",$G$927=""),"",($K$927-$G$927)*10000),"")</f>
        <v/>
      </c>
      <c r="L1029" s="43">
        <f>IFERROR(IF(OR($L$927="",$H$927=""),"",($L$927-$H$927)*10000),"")</f>
        <v/>
      </c>
      <c r="M1029" s="44">
        <f>IFERROR(IF(OR($M$927="",$I$927=""),"",($M$927-$I$927)*10000),"")</f>
        <v/>
      </c>
      <c r="N1029" s="44">
        <f>IFERROR(IF(OR($N$927="",$J$927=""),"",($N$927-$J$927)*10000),"")</f>
        <v/>
      </c>
    </row>
    <row r="1030">
      <c r="A1030" s="19">
        <f>'SW Rev'!$A9</f>
        <v/>
      </c>
      <c r="B1030" s="19">
        <f>'SW Rev'!$B9</f>
        <v/>
      </c>
      <c r="C1030" s="43">
        <f>""</f>
        <v/>
      </c>
      <c r="D1030" s="43">
        <f>""</f>
        <v/>
      </c>
      <c r="E1030" s="43">
        <f>""</f>
        <v/>
      </c>
      <c r="F1030" s="43">
        <f>IFERROR(IF(OR($F$928="",IF(SUM('SW Rev'!C9:F9)&lt;=0,"",SUM('SW FCF'!C9:F9)/SUM('SW Rev'!C9:F9))=""),"",($F$928-IF(SUM('SW Rev'!C9:F9)&lt;=0,"",SUM('SW FCF'!C9:F9)/SUM('SW Rev'!C9:F9)))*10000),"")</f>
        <v/>
      </c>
      <c r="G1030" s="43">
        <f>IFERROR(IF(OR($G$928="",$C$928=""),"",($G$928-$C$928)*10000),"")</f>
        <v/>
      </c>
      <c r="H1030" s="43">
        <f>IFERROR(IF(OR($H$928="",$D$928=""),"",($H$928-$D$928)*10000),"")</f>
        <v/>
      </c>
      <c r="I1030" s="43">
        <f>IFERROR(IF(OR($I$928="",$E$928=""),"",($I$928-$E$928)*10000),"")</f>
        <v/>
      </c>
      <c r="J1030" s="43">
        <f>IFERROR(IF(OR($J$928="",$F$928=""),"",($J$928-$F$928)*10000),"")</f>
        <v/>
      </c>
      <c r="K1030" s="43">
        <f>IFERROR(IF(OR($K$928="",$G$928=""),"",($K$928-$G$928)*10000),"")</f>
        <v/>
      </c>
      <c r="L1030" s="43">
        <f>IFERROR(IF(OR($L$928="",$H$928=""),"",($L$928-$H$928)*10000),"")</f>
        <v/>
      </c>
      <c r="M1030" s="44">
        <f>IFERROR(IF(OR($M$928="",$I$928=""),"",($M$928-$I$928)*10000),"")</f>
        <v/>
      </c>
      <c r="N1030" s="44">
        <f>IFERROR(IF(OR($N$928="",$J$928=""),"",($N$928-$J$928)*10000),"")</f>
        <v/>
      </c>
    </row>
    <row r="1031">
      <c r="A1031" s="19">
        <f>'SW Rev'!$A10</f>
        <v/>
      </c>
      <c r="B1031" s="19">
        <f>'SW Rev'!$B10</f>
        <v/>
      </c>
      <c r="C1031" s="43">
        <f>""</f>
        <v/>
      </c>
      <c r="D1031" s="43">
        <f>""</f>
        <v/>
      </c>
      <c r="E1031" s="43">
        <f>""</f>
        <v/>
      </c>
      <c r="F1031" s="43">
        <f>IFERROR(IF(OR($F$929="",IF(SUM('SW Rev'!C10:F10)&lt;=0,"",SUM('SW FCF'!C10:F10)/SUM('SW Rev'!C10:F10))=""),"",($F$929-IF(SUM('SW Rev'!C10:F10)&lt;=0,"",SUM('SW FCF'!C10:F10)/SUM('SW Rev'!C10:F10)))*10000),"")</f>
        <v/>
      </c>
      <c r="G1031" s="43">
        <f>IFERROR(IF(OR($G$929="",$C$929=""),"",($G$929-$C$929)*10000),"")</f>
        <v/>
      </c>
      <c r="H1031" s="43">
        <f>IFERROR(IF(OR($H$929="",$D$929=""),"",($H$929-$D$929)*10000),"")</f>
        <v/>
      </c>
      <c r="I1031" s="43">
        <f>IFERROR(IF(OR($I$929="",$E$929=""),"",($I$929-$E$929)*10000),"")</f>
        <v/>
      </c>
      <c r="J1031" s="43">
        <f>IFERROR(IF(OR($J$929="",$F$929=""),"",($J$929-$F$929)*10000),"")</f>
        <v/>
      </c>
      <c r="K1031" s="43">
        <f>IFERROR(IF(OR($K$929="",$G$929=""),"",($K$929-$G$929)*10000),"")</f>
        <v/>
      </c>
      <c r="L1031" s="43">
        <f>IFERROR(IF(OR($L$929="",$H$929=""),"",($L$929-$H$929)*10000),"")</f>
        <v/>
      </c>
      <c r="M1031" s="44">
        <f>IFERROR(IF(OR($M$929="",$I$929=""),"",($M$929-$I$929)*10000),"")</f>
        <v/>
      </c>
      <c r="N1031" s="44">
        <f>IFERROR(IF(OR($N$929="",$J$929=""),"",($N$929-$J$929)*10000),"")</f>
        <v/>
      </c>
    </row>
    <row r="1032">
      <c r="A1032" s="19">
        <f>'SW Rev'!$A11</f>
        <v/>
      </c>
      <c r="B1032" s="19">
        <f>'SW Rev'!$B11</f>
        <v/>
      </c>
      <c r="C1032" s="43">
        <f>""</f>
        <v/>
      </c>
      <c r="D1032" s="43">
        <f>""</f>
        <v/>
      </c>
      <c r="E1032" s="43">
        <f>""</f>
        <v/>
      </c>
      <c r="F1032" s="43">
        <f>IFERROR(IF(OR($F$930="",IF(SUM('SW Rev'!C11:F11)&lt;=0,"",SUM('SW FCF'!C11:F11)/SUM('SW Rev'!C11:F11))=""),"",($F$930-IF(SUM('SW Rev'!C11:F11)&lt;=0,"",SUM('SW FCF'!C11:F11)/SUM('SW Rev'!C11:F11)))*10000),"")</f>
        <v/>
      </c>
      <c r="G1032" s="43">
        <f>IFERROR(IF(OR($G$930="",$C$930=""),"",($G$930-$C$930)*10000),"")</f>
        <v/>
      </c>
      <c r="H1032" s="43">
        <f>IFERROR(IF(OR($H$930="",$D$930=""),"",($H$930-$D$930)*10000),"")</f>
        <v/>
      </c>
      <c r="I1032" s="43">
        <f>IFERROR(IF(OR($I$930="",$E$930=""),"",($I$930-$E$930)*10000),"")</f>
        <v/>
      </c>
      <c r="J1032" s="43">
        <f>IFERROR(IF(OR($J$930="",$F$930=""),"",($J$930-$F$930)*10000),"")</f>
        <v/>
      </c>
      <c r="K1032" s="43">
        <f>IFERROR(IF(OR($K$930="",$G$930=""),"",($K$930-$G$930)*10000),"")</f>
        <v/>
      </c>
      <c r="L1032" s="43">
        <f>IFERROR(IF(OR($L$930="",$H$930=""),"",($L$930-$H$930)*10000),"")</f>
        <v/>
      </c>
      <c r="M1032" s="44">
        <f>IFERROR(IF(OR($M$930="",$I$930=""),"",($M$930-$I$930)*10000),"")</f>
        <v/>
      </c>
      <c r="N1032" s="44">
        <f>IFERROR(IF(OR($N$930="",$J$930=""),"",($N$930-$J$930)*10000),"")</f>
        <v/>
      </c>
    </row>
    <row r="1033">
      <c r="A1033" s="19">
        <f>'SW Rev'!$A12</f>
        <v/>
      </c>
      <c r="B1033" s="19">
        <f>'SW Rev'!$B12</f>
        <v/>
      </c>
      <c r="C1033" s="43">
        <f>""</f>
        <v/>
      </c>
      <c r="D1033" s="43">
        <f>""</f>
        <v/>
      </c>
      <c r="E1033" s="43">
        <f>""</f>
        <v/>
      </c>
      <c r="F1033" s="43">
        <f>IFERROR(IF(OR($F$931="",IF(SUM('SW Rev'!C12:F12)&lt;=0,"",SUM('SW FCF'!C12:F12)/SUM('SW Rev'!C12:F12))=""),"",($F$931-IF(SUM('SW Rev'!C12:F12)&lt;=0,"",SUM('SW FCF'!C12:F12)/SUM('SW Rev'!C12:F12)))*10000),"")</f>
        <v/>
      </c>
      <c r="G1033" s="43">
        <f>IFERROR(IF(OR($G$931="",$C$931=""),"",($G$931-$C$931)*10000),"")</f>
        <v/>
      </c>
      <c r="H1033" s="43">
        <f>IFERROR(IF(OR($H$931="",$D$931=""),"",($H$931-$D$931)*10000),"")</f>
        <v/>
      </c>
      <c r="I1033" s="43">
        <f>IFERROR(IF(OR($I$931="",$E$931=""),"",($I$931-$E$931)*10000),"")</f>
        <v/>
      </c>
      <c r="J1033" s="43">
        <f>IFERROR(IF(OR($J$931="",$F$931=""),"",($J$931-$F$931)*10000),"")</f>
        <v/>
      </c>
      <c r="K1033" s="43">
        <f>IFERROR(IF(OR($K$931="",$G$931=""),"",($K$931-$G$931)*10000),"")</f>
        <v/>
      </c>
      <c r="L1033" s="43">
        <f>IFERROR(IF(OR($L$931="",$H$931=""),"",($L$931-$H$931)*10000),"")</f>
        <v/>
      </c>
      <c r="M1033" s="44">
        <f>IFERROR(IF(OR($M$931="",$I$931=""),"",($M$931-$I$931)*10000),"")</f>
        <v/>
      </c>
      <c r="N1033" s="44">
        <f>IFERROR(IF(OR($N$931="",$J$931=""),"",($N$931-$J$931)*10000),"")</f>
        <v/>
      </c>
    </row>
    <row r="1034">
      <c r="A1034" s="19">
        <f>'SW Rev'!$A13</f>
        <v/>
      </c>
      <c r="B1034" s="19">
        <f>'SW Rev'!$B13</f>
        <v/>
      </c>
      <c r="C1034" s="43">
        <f>""</f>
        <v/>
      </c>
      <c r="D1034" s="43">
        <f>""</f>
        <v/>
      </c>
      <c r="E1034" s="43">
        <f>""</f>
        <v/>
      </c>
      <c r="F1034" s="43">
        <f>IFERROR(IF(OR($F$932="",IF(SUM('SW Rev'!C13:F13)&lt;=0,"",SUM('SW FCF'!C13:F13)/SUM('SW Rev'!C13:F13))=""),"",($F$932-IF(SUM('SW Rev'!C13:F13)&lt;=0,"",SUM('SW FCF'!C13:F13)/SUM('SW Rev'!C13:F13)))*10000),"")</f>
        <v/>
      </c>
      <c r="G1034" s="43">
        <f>IFERROR(IF(OR($G$932="",$C$932=""),"",($G$932-$C$932)*10000),"")</f>
        <v/>
      </c>
      <c r="H1034" s="43">
        <f>IFERROR(IF(OR($H$932="",$D$932=""),"",($H$932-$D$932)*10000),"")</f>
        <v/>
      </c>
      <c r="I1034" s="43">
        <f>IFERROR(IF(OR($I$932="",$E$932=""),"",($I$932-$E$932)*10000),"")</f>
        <v/>
      </c>
      <c r="J1034" s="43">
        <f>IFERROR(IF(OR($J$932="",$F$932=""),"",($J$932-$F$932)*10000),"")</f>
        <v/>
      </c>
      <c r="K1034" s="43">
        <f>IFERROR(IF(OR($K$932="",$G$932=""),"",($K$932-$G$932)*10000),"")</f>
        <v/>
      </c>
      <c r="L1034" s="43">
        <f>IFERROR(IF(OR($L$932="",$H$932=""),"",($L$932-$H$932)*10000),"")</f>
        <v/>
      </c>
      <c r="M1034" s="44">
        <f>IFERROR(IF(OR($M$932="",$I$932=""),"",($M$932-$I$932)*10000),"")</f>
        <v/>
      </c>
      <c r="N1034" s="44">
        <f>IFERROR(IF(OR($N$932="",$J$932=""),"",($N$932-$J$932)*10000),"")</f>
        <v/>
      </c>
    </row>
    <row r="1035">
      <c r="A1035" s="19">
        <f>'SW Rev'!$A14</f>
        <v/>
      </c>
      <c r="B1035" s="19">
        <f>'SW Rev'!$B14</f>
        <v/>
      </c>
      <c r="C1035" s="43">
        <f>""</f>
        <v/>
      </c>
      <c r="D1035" s="43">
        <f>""</f>
        <v/>
      </c>
      <c r="E1035" s="43">
        <f>""</f>
        <v/>
      </c>
      <c r="F1035" s="43">
        <f>IFERROR(IF(OR($F$933="",IF(SUM('SW Rev'!C14:F14)&lt;=0,"",SUM('SW FCF'!C14:F14)/SUM('SW Rev'!C14:F14))=""),"",($F$933-IF(SUM('SW Rev'!C14:F14)&lt;=0,"",SUM('SW FCF'!C14:F14)/SUM('SW Rev'!C14:F14)))*10000),"")</f>
        <v/>
      </c>
      <c r="G1035" s="43">
        <f>IFERROR(IF(OR($G$933="",$C$933=""),"",($G$933-$C$933)*10000),"")</f>
        <v/>
      </c>
      <c r="H1035" s="43">
        <f>IFERROR(IF(OR($H$933="",$D$933=""),"",($H$933-$D$933)*10000),"")</f>
        <v/>
      </c>
      <c r="I1035" s="43">
        <f>IFERROR(IF(OR($I$933="",$E$933=""),"",($I$933-$E$933)*10000),"")</f>
        <v/>
      </c>
      <c r="J1035" s="43">
        <f>IFERROR(IF(OR($J$933="",$F$933=""),"",($J$933-$F$933)*10000),"")</f>
        <v/>
      </c>
      <c r="K1035" s="43">
        <f>IFERROR(IF(OR($K$933="",$G$933=""),"",($K$933-$G$933)*10000),"")</f>
        <v/>
      </c>
      <c r="L1035" s="43">
        <f>IFERROR(IF(OR($L$933="",$H$933=""),"",($L$933-$H$933)*10000),"")</f>
        <v/>
      </c>
      <c r="M1035" s="44">
        <f>IFERROR(IF(OR($M$933="",$I$933=""),"",($M$933-$I$933)*10000),"")</f>
        <v/>
      </c>
      <c r="N1035" s="44">
        <f>IFERROR(IF(OR($N$933="",$J$933=""),"",($N$933-$J$933)*10000),"")</f>
        <v/>
      </c>
    </row>
    <row r="1036">
      <c r="A1036" s="19">
        <f>'SW Rev'!$A15</f>
        <v/>
      </c>
      <c r="B1036" s="19">
        <f>'SW Rev'!$B15</f>
        <v/>
      </c>
      <c r="C1036" s="43">
        <f>""</f>
        <v/>
      </c>
      <c r="D1036" s="43">
        <f>""</f>
        <v/>
      </c>
      <c r="E1036" s="43">
        <f>""</f>
        <v/>
      </c>
      <c r="F1036" s="43">
        <f>IFERROR(IF(OR($F$934="",IF(SUM('SW Rev'!C15:F15)&lt;=0,"",SUM('SW FCF'!C15:F15)/SUM('SW Rev'!C15:F15))=""),"",($F$934-IF(SUM('SW Rev'!C15:F15)&lt;=0,"",SUM('SW FCF'!C15:F15)/SUM('SW Rev'!C15:F15)))*10000),"")</f>
        <v/>
      </c>
      <c r="G1036" s="43">
        <f>IFERROR(IF(OR($G$934="",$C$934=""),"",($G$934-$C$934)*10000),"")</f>
        <v/>
      </c>
      <c r="H1036" s="43">
        <f>IFERROR(IF(OR($H$934="",$D$934=""),"",($H$934-$D$934)*10000),"")</f>
        <v/>
      </c>
      <c r="I1036" s="43">
        <f>IFERROR(IF(OR($I$934="",$E$934=""),"",($I$934-$E$934)*10000),"")</f>
        <v/>
      </c>
      <c r="J1036" s="43">
        <f>IFERROR(IF(OR($J$934="",$F$934=""),"",($J$934-$F$934)*10000),"")</f>
        <v/>
      </c>
      <c r="K1036" s="43">
        <f>IFERROR(IF(OR($K$934="",$G$934=""),"",($K$934-$G$934)*10000),"")</f>
        <v/>
      </c>
      <c r="L1036" s="43">
        <f>IFERROR(IF(OR($L$934="",$H$934=""),"",($L$934-$H$934)*10000),"")</f>
        <v/>
      </c>
      <c r="M1036" s="44">
        <f>IFERROR(IF(OR($M$934="",$I$934=""),"",($M$934-$I$934)*10000),"")</f>
        <v/>
      </c>
      <c r="N1036" s="44">
        <f>IFERROR(IF(OR($N$934="",$J$934=""),"",($N$934-$J$934)*10000),"")</f>
        <v/>
      </c>
    </row>
    <row r="1037">
      <c r="A1037" s="19">
        <f>'SW Rev'!$A16</f>
        <v/>
      </c>
      <c r="B1037" s="19">
        <f>'SW Rev'!$B16</f>
        <v/>
      </c>
      <c r="C1037" s="43">
        <f>""</f>
        <v/>
      </c>
      <c r="D1037" s="43">
        <f>""</f>
        <v/>
      </c>
      <c r="E1037" s="43">
        <f>""</f>
        <v/>
      </c>
      <c r="F1037" s="43">
        <f>IFERROR(IF(OR($F$935="",IF(SUM('SW Rev'!C16:F16)&lt;=0,"",SUM('SW FCF'!C16:F16)/SUM('SW Rev'!C16:F16))=""),"",($F$935-IF(SUM('SW Rev'!C16:F16)&lt;=0,"",SUM('SW FCF'!C16:F16)/SUM('SW Rev'!C16:F16)))*10000),"")</f>
        <v/>
      </c>
      <c r="G1037" s="43">
        <f>IFERROR(IF(OR($G$935="",$C$935=""),"",($G$935-$C$935)*10000),"")</f>
        <v/>
      </c>
      <c r="H1037" s="43">
        <f>IFERROR(IF(OR($H$935="",$D$935=""),"",($H$935-$D$935)*10000),"")</f>
        <v/>
      </c>
      <c r="I1037" s="43">
        <f>IFERROR(IF(OR($I$935="",$E$935=""),"",($I$935-$E$935)*10000),"")</f>
        <v/>
      </c>
      <c r="J1037" s="43">
        <f>IFERROR(IF(OR($J$935="",$F$935=""),"",($J$935-$F$935)*10000),"")</f>
        <v/>
      </c>
      <c r="K1037" s="43">
        <f>IFERROR(IF(OR($K$935="",$G$935=""),"",($K$935-$G$935)*10000),"")</f>
        <v/>
      </c>
      <c r="L1037" s="43">
        <f>IFERROR(IF(OR($L$935="",$H$935=""),"",($L$935-$H$935)*10000),"")</f>
        <v/>
      </c>
      <c r="M1037" s="44">
        <f>IFERROR(IF(OR($M$935="",$I$935=""),"",($M$935-$I$935)*10000),"")</f>
        <v/>
      </c>
      <c r="N1037" s="44">
        <f>IFERROR(IF(OR($N$935="",$J$935=""),"",($N$935-$J$935)*10000),"")</f>
        <v/>
      </c>
    </row>
    <row r="1038">
      <c r="A1038" s="19">
        <f>'SW Rev'!$A17</f>
        <v/>
      </c>
      <c r="B1038" s="19">
        <f>'SW Rev'!$B17</f>
        <v/>
      </c>
      <c r="C1038" s="43">
        <f>""</f>
        <v/>
      </c>
      <c r="D1038" s="43">
        <f>""</f>
        <v/>
      </c>
      <c r="E1038" s="43">
        <f>""</f>
        <v/>
      </c>
      <c r="F1038" s="43">
        <f>IFERROR(IF(OR($F$936="",IF(SUM('SW Rev'!C17:F17)&lt;=0,"",SUM('SW FCF'!C17:F17)/SUM('SW Rev'!C17:F17))=""),"",($F$936-IF(SUM('SW Rev'!C17:F17)&lt;=0,"",SUM('SW FCF'!C17:F17)/SUM('SW Rev'!C17:F17)))*10000),"")</f>
        <v/>
      </c>
      <c r="G1038" s="43">
        <f>IFERROR(IF(OR($G$936="",$C$936=""),"",($G$936-$C$936)*10000),"")</f>
        <v/>
      </c>
      <c r="H1038" s="43">
        <f>IFERROR(IF(OR($H$936="",$D$936=""),"",($H$936-$D$936)*10000),"")</f>
        <v/>
      </c>
      <c r="I1038" s="43">
        <f>IFERROR(IF(OR($I$936="",$E$936=""),"",($I$936-$E$936)*10000),"")</f>
        <v/>
      </c>
      <c r="J1038" s="43">
        <f>IFERROR(IF(OR($J$936="",$F$936=""),"",($J$936-$F$936)*10000),"")</f>
        <v/>
      </c>
      <c r="K1038" s="43">
        <f>IFERROR(IF(OR($K$936="",$G$936=""),"",($K$936-$G$936)*10000),"")</f>
        <v/>
      </c>
      <c r="L1038" s="43">
        <f>IFERROR(IF(OR($L$936="",$H$936=""),"",($L$936-$H$936)*10000),"")</f>
        <v/>
      </c>
      <c r="M1038" s="44">
        <f>IFERROR(IF(OR($M$936="",$I$936=""),"",($M$936-$I$936)*10000),"")</f>
        <v/>
      </c>
      <c r="N1038" s="44">
        <f>IFERROR(IF(OR($N$936="",$J$936=""),"",($N$936-$J$936)*10000),"")</f>
        <v/>
      </c>
    </row>
    <row r="1039">
      <c r="A1039" s="19">
        <f>'SW Rev'!$A18</f>
        <v/>
      </c>
      <c r="B1039" s="19">
        <f>'SW Rev'!$B18</f>
        <v/>
      </c>
      <c r="C1039" s="43">
        <f>""</f>
        <v/>
      </c>
      <c r="D1039" s="43">
        <f>""</f>
        <v/>
      </c>
      <c r="E1039" s="43">
        <f>""</f>
        <v/>
      </c>
      <c r="F1039" s="43">
        <f>IFERROR(IF(OR($F$937="",IF(SUM('SW Rev'!C18:F18)&lt;=0,"",SUM('SW FCF'!C18:F18)/SUM('SW Rev'!C18:F18))=""),"",($F$937-IF(SUM('SW Rev'!C18:F18)&lt;=0,"",SUM('SW FCF'!C18:F18)/SUM('SW Rev'!C18:F18)))*10000),"")</f>
        <v/>
      </c>
      <c r="G1039" s="43">
        <f>IFERROR(IF(OR($G$937="",$C$937=""),"",($G$937-$C$937)*10000),"")</f>
        <v/>
      </c>
      <c r="H1039" s="43">
        <f>IFERROR(IF(OR($H$937="",$D$937=""),"",($H$937-$D$937)*10000),"")</f>
        <v/>
      </c>
      <c r="I1039" s="43">
        <f>IFERROR(IF(OR($I$937="",$E$937=""),"",($I$937-$E$937)*10000),"")</f>
        <v/>
      </c>
      <c r="J1039" s="43">
        <f>IFERROR(IF(OR($J$937="",$F$937=""),"",($J$937-$F$937)*10000),"")</f>
        <v/>
      </c>
      <c r="K1039" s="43">
        <f>IFERROR(IF(OR($K$937="",$G$937=""),"",($K$937-$G$937)*10000),"")</f>
        <v/>
      </c>
      <c r="L1039" s="43">
        <f>IFERROR(IF(OR($L$937="",$H$937=""),"",($L$937-$H$937)*10000),"")</f>
        <v/>
      </c>
      <c r="M1039" s="44">
        <f>IFERROR(IF(OR($M$937="",$I$937=""),"",($M$937-$I$937)*10000),"")</f>
        <v/>
      </c>
      <c r="N1039" s="44">
        <f>IFERROR(IF(OR($N$937="",$J$937=""),"",($N$937-$J$937)*10000),"")</f>
        <v/>
      </c>
    </row>
    <row r="1040">
      <c r="A1040" s="19">
        <f>'SW Rev'!$A19</f>
        <v/>
      </c>
      <c r="B1040" s="19">
        <f>'SW Rev'!$B19</f>
        <v/>
      </c>
      <c r="C1040" s="43">
        <f>""</f>
        <v/>
      </c>
      <c r="D1040" s="43">
        <f>""</f>
        <v/>
      </c>
      <c r="E1040" s="43">
        <f>""</f>
        <v/>
      </c>
      <c r="F1040" s="43">
        <f>IFERROR(IF(OR($F$938="",IF(SUM('SW Rev'!C19:F19)&lt;=0,"",SUM('SW FCF'!C19:F19)/SUM('SW Rev'!C19:F19))=""),"",($F$938-IF(SUM('SW Rev'!C19:F19)&lt;=0,"",SUM('SW FCF'!C19:F19)/SUM('SW Rev'!C19:F19)))*10000),"")</f>
        <v/>
      </c>
      <c r="G1040" s="43">
        <f>IFERROR(IF(OR($G$938="",$C$938=""),"",($G$938-$C$938)*10000),"")</f>
        <v/>
      </c>
      <c r="H1040" s="43">
        <f>IFERROR(IF(OR($H$938="",$D$938=""),"",($H$938-$D$938)*10000),"")</f>
        <v/>
      </c>
      <c r="I1040" s="43">
        <f>IFERROR(IF(OR($I$938="",$E$938=""),"",($I$938-$E$938)*10000),"")</f>
        <v/>
      </c>
      <c r="J1040" s="43">
        <f>IFERROR(IF(OR($J$938="",$F$938=""),"",($J$938-$F$938)*10000),"")</f>
        <v/>
      </c>
      <c r="K1040" s="43">
        <f>IFERROR(IF(OR($K$938="",$G$938=""),"",($K$938-$G$938)*10000),"")</f>
        <v/>
      </c>
      <c r="L1040" s="43">
        <f>IFERROR(IF(OR($L$938="",$H$938=""),"",($L$938-$H$938)*10000),"")</f>
        <v/>
      </c>
      <c r="M1040" s="44">
        <f>IFERROR(IF(OR($M$938="",$I$938=""),"",($M$938-$I$938)*10000),"")</f>
        <v/>
      </c>
      <c r="N1040" s="44">
        <f>IFERROR(IF(OR($N$938="",$J$938=""),"",($N$938-$J$938)*10000),"")</f>
        <v/>
      </c>
    </row>
    <row r="1041">
      <c r="A1041" s="19">
        <f>'SW Rev'!$A20</f>
        <v/>
      </c>
      <c r="B1041" s="19">
        <f>'SW Rev'!$B20</f>
        <v/>
      </c>
      <c r="C1041" s="43">
        <f>""</f>
        <v/>
      </c>
      <c r="D1041" s="43">
        <f>""</f>
        <v/>
      </c>
      <c r="E1041" s="43">
        <f>""</f>
        <v/>
      </c>
      <c r="F1041" s="43">
        <f>IFERROR(IF(OR($F$939="",IF(SUM('SW Rev'!C20:F20)&lt;=0,"",SUM('SW FCF'!C20:F20)/SUM('SW Rev'!C20:F20))=""),"",($F$939-IF(SUM('SW Rev'!C20:F20)&lt;=0,"",SUM('SW FCF'!C20:F20)/SUM('SW Rev'!C20:F20)))*10000),"")</f>
        <v/>
      </c>
      <c r="G1041" s="43">
        <f>IFERROR(IF(OR($G$939="",$C$939=""),"",($G$939-$C$939)*10000),"")</f>
        <v/>
      </c>
      <c r="H1041" s="43">
        <f>IFERROR(IF(OR($H$939="",$D$939=""),"",($H$939-$D$939)*10000),"")</f>
        <v/>
      </c>
      <c r="I1041" s="43">
        <f>IFERROR(IF(OR($I$939="",$E$939=""),"",($I$939-$E$939)*10000),"")</f>
        <v/>
      </c>
      <c r="J1041" s="43">
        <f>IFERROR(IF(OR($J$939="",$F$939=""),"",($J$939-$F$939)*10000),"")</f>
        <v/>
      </c>
      <c r="K1041" s="43">
        <f>IFERROR(IF(OR($K$939="",$G$939=""),"",($K$939-$G$939)*10000),"")</f>
        <v/>
      </c>
      <c r="L1041" s="43">
        <f>IFERROR(IF(OR($L$939="",$H$939=""),"",($L$939-$H$939)*10000),"")</f>
        <v/>
      </c>
      <c r="M1041" s="44">
        <f>IFERROR(IF(OR($M$939="",$I$939=""),"",($M$939-$I$939)*10000),"")</f>
        <v/>
      </c>
      <c r="N1041" s="44">
        <f>IFERROR(IF(OR($N$939="",$J$939=""),"",($N$939-$J$939)*10000),"")</f>
        <v/>
      </c>
    </row>
    <row r="1042">
      <c r="A1042" s="19">
        <f>'SW Rev'!$A21</f>
        <v/>
      </c>
      <c r="B1042" s="19">
        <f>'SW Rev'!$B21</f>
        <v/>
      </c>
      <c r="C1042" s="43">
        <f>""</f>
        <v/>
      </c>
      <c r="D1042" s="43">
        <f>""</f>
        <v/>
      </c>
      <c r="E1042" s="43">
        <f>""</f>
        <v/>
      </c>
      <c r="F1042" s="43">
        <f>IFERROR(IF(OR($F$940="",IF(SUM('SW Rev'!C21:F21)&lt;=0,"",SUM('SW FCF'!C21:F21)/SUM('SW Rev'!C21:F21))=""),"",($F$940-IF(SUM('SW Rev'!C21:F21)&lt;=0,"",SUM('SW FCF'!C21:F21)/SUM('SW Rev'!C21:F21)))*10000),"")</f>
        <v/>
      </c>
      <c r="G1042" s="43">
        <f>IFERROR(IF(OR($G$940="",$C$940=""),"",($G$940-$C$940)*10000),"")</f>
        <v/>
      </c>
      <c r="H1042" s="43">
        <f>IFERROR(IF(OR($H$940="",$D$940=""),"",($H$940-$D$940)*10000),"")</f>
        <v/>
      </c>
      <c r="I1042" s="43">
        <f>IFERROR(IF(OR($I$940="",$E$940=""),"",($I$940-$E$940)*10000),"")</f>
        <v/>
      </c>
      <c r="J1042" s="43">
        <f>IFERROR(IF(OR($J$940="",$F$940=""),"",($J$940-$F$940)*10000),"")</f>
        <v/>
      </c>
      <c r="K1042" s="43">
        <f>IFERROR(IF(OR($K$940="",$G$940=""),"",($K$940-$G$940)*10000),"")</f>
        <v/>
      </c>
      <c r="L1042" s="43">
        <f>IFERROR(IF(OR($L$940="",$H$940=""),"",($L$940-$H$940)*10000),"")</f>
        <v/>
      </c>
      <c r="M1042" s="44">
        <f>IFERROR(IF(OR($M$940="",$I$940=""),"",($M$940-$I$940)*10000),"")</f>
        <v/>
      </c>
      <c r="N1042" s="44">
        <f>IFERROR(IF(OR($N$940="",$J$940=""),"",($N$940-$J$940)*10000),"")</f>
        <v/>
      </c>
    </row>
    <row r="1043">
      <c r="A1043" s="19">
        <f>'SW Rev'!$A22</f>
        <v/>
      </c>
      <c r="B1043" s="19">
        <f>'SW Rev'!$B22</f>
        <v/>
      </c>
      <c r="C1043" s="43">
        <f>""</f>
        <v/>
      </c>
      <c r="D1043" s="43">
        <f>""</f>
        <v/>
      </c>
      <c r="E1043" s="43">
        <f>""</f>
        <v/>
      </c>
      <c r="F1043" s="43">
        <f>IFERROR(IF(OR($F$941="",IF(SUM('SW Rev'!C22:F22)&lt;=0,"",SUM('SW FCF'!C22:F22)/SUM('SW Rev'!C22:F22))=""),"",($F$941-IF(SUM('SW Rev'!C22:F22)&lt;=0,"",SUM('SW FCF'!C22:F22)/SUM('SW Rev'!C22:F22)))*10000),"")</f>
        <v/>
      </c>
      <c r="G1043" s="43">
        <f>IFERROR(IF(OR($G$941="",$C$941=""),"",($G$941-$C$941)*10000),"")</f>
        <v/>
      </c>
      <c r="H1043" s="43">
        <f>IFERROR(IF(OR($H$941="",$D$941=""),"",($H$941-$D$941)*10000),"")</f>
        <v/>
      </c>
      <c r="I1043" s="43">
        <f>IFERROR(IF(OR($I$941="",$E$941=""),"",($I$941-$E$941)*10000),"")</f>
        <v/>
      </c>
      <c r="J1043" s="43">
        <f>IFERROR(IF(OR($J$941="",$F$941=""),"",($J$941-$F$941)*10000),"")</f>
        <v/>
      </c>
      <c r="K1043" s="43">
        <f>IFERROR(IF(OR($K$941="",$G$941=""),"",($K$941-$G$941)*10000),"")</f>
        <v/>
      </c>
      <c r="L1043" s="43">
        <f>IFERROR(IF(OR($L$941="",$H$941=""),"",($L$941-$H$941)*10000),"")</f>
        <v/>
      </c>
      <c r="M1043" s="44">
        <f>IFERROR(IF(OR($M$941="",$I$941=""),"",($M$941-$I$941)*10000),"")</f>
        <v/>
      </c>
      <c r="N1043" s="44">
        <f>IFERROR(IF(OR($N$941="",$J$941=""),"",($N$941-$J$941)*10000),"")</f>
        <v/>
      </c>
    </row>
    <row r="1044">
      <c r="A1044" s="19">
        <f>'SW Rev'!$A23</f>
        <v/>
      </c>
      <c r="B1044" s="19">
        <f>'SW Rev'!$B23</f>
        <v/>
      </c>
      <c r="C1044" s="43">
        <f>""</f>
        <v/>
      </c>
      <c r="D1044" s="43">
        <f>""</f>
        <v/>
      </c>
      <c r="E1044" s="43">
        <f>""</f>
        <v/>
      </c>
      <c r="F1044" s="43">
        <f>IFERROR(IF(OR($F$942="",IF(SUM('SW Rev'!C23:F23)&lt;=0,"",SUM('SW FCF'!C23:F23)/SUM('SW Rev'!C23:F23))=""),"",($F$942-IF(SUM('SW Rev'!C23:F23)&lt;=0,"",SUM('SW FCF'!C23:F23)/SUM('SW Rev'!C23:F23)))*10000),"")</f>
        <v/>
      </c>
      <c r="G1044" s="43">
        <f>IFERROR(IF(OR($G$942="",$C$942=""),"",($G$942-$C$942)*10000),"")</f>
        <v/>
      </c>
      <c r="H1044" s="43">
        <f>IFERROR(IF(OR($H$942="",$D$942=""),"",($H$942-$D$942)*10000),"")</f>
        <v/>
      </c>
      <c r="I1044" s="43">
        <f>IFERROR(IF(OR($I$942="",$E$942=""),"",($I$942-$E$942)*10000),"")</f>
        <v/>
      </c>
      <c r="J1044" s="43">
        <f>IFERROR(IF(OR($J$942="",$F$942=""),"",($J$942-$F$942)*10000),"")</f>
        <v/>
      </c>
      <c r="K1044" s="43">
        <f>IFERROR(IF(OR($K$942="",$G$942=""),"",($K$942-$G$942)*10000),"")</f>
        <v/>
      </c>
      <c r="L1044" s="43">
        <f>IFERROR(IF(OR($L$942="",$H$942=""),"",($L$942-$H$942)*10000),"")</f>
        <v/>
      </c>
      <c r="M1044" s="44">
        <f>IFERROR(IF(OR($M$942="",$I$942=""),"",($M$942-$I$942)*10000),"")</f>
        <v/>
      </c>
      <c r="N1044" s="44">
        <f>IFERROR(IF(OR($N$942="",$J$942=""),"",($N$942-$J$942)*10000),"")</f>
        <v/>
      </c>
    </row>
    <row r="1045">
      <c r="A1045" s="19">
        <f>'SW Rev'!$A24</f>
        <v/>
      </c>
      <c r="B1045" s="19">
        <f>'SW Rev'!$B24</f>
        <v/>
      </c>
      <c r="C1045" s="43">
        <f>""</f>
        <v/>
      </c>
      <c r="D1045" s="43">
        <f>""</f>
        <v/>
      </c>
      <c r="E1045" s="43">
        <f>""</f>
        <v/>
      </c>
      <c r="F1045" s="43">
        <f>IFERROR(IF(OR($F$943="",IF(SUM('SW Rev'!C24:F24)&lt;=0,"",SUM('SW FCF'!C24:F24)/SUM('SW Rev'!C24:F24))=""),"",($F$943-IF(SUM('SW Rev'!C24:F24)&lt;=0,"",SUM('SW FCF'!C24:F24)/SUM('SW Rev'!C24:F24)))*10000),"")</f>
        <v/>
      </c>
      <c r="G1045" s="43">
        <f>IFERROR(IF(OR($G$943="",$C$943=""),"",($G$943-$C$943)*10000),"")</f>
        <v/>
      </c>
      <c r="H1045" s="43">
        <f>IFERROR(IF(OR($H$943="",$D$943=""),"",($H$943-$D$943)*10000),"")</f>
        <v/>
      </c>
      <c r="I1045" s="43">
        <f>IFERROR(IF(OR($I$943="",$E$943=""),"",($I$943-$E$943)*10000),"")</f>
        <v/>
      </c>
      <c r="J1045" s="43">
        <f>IFERROR(IF(OR($J$943="",$F$943=""),"",($J$943-$F$943)*10000),"")</f>
        <v/>
      </c>
      <c r="K1045" s="43">
        <f>IFERROR(IF(OR($K$943="",$G$943=""),"",($K$943-$G$943)*10000),"")</f>
        <v/>
      </c>
      <c r="L1045" s="43">
        <f>IFERROR(IF(OR($L$943="",$H$943=""),"",($L$943-$H$943)*10000),"")</f>
        <v/>
      </c>
      <c r="M1045" s="44">
        <f>IFERROR(IF(OR($M$943="",$I$943=""),"",($M$943-$I$943)*10000),"")</f>
        <v/>
      </c>
      <c r="N1045" s="44">
        <f>IFERROR(IF(OR($N$943="",$J$943=""),"",($N$943-$J$943)*10000),"")</f>
        <v/>
      </c>
    </row>
    <row r="1046">
      <c r="A1046" s="19">
        <f>'SW Rev'!$A25</f>
        <v/>
      </c>
      <c r="B1046" s="19">
        <f>'SW Rev'!$B25</f>
        <v/>
      </c>
      <c r="C1046" s="43">
        <f>""</f>
        <v/>
      </c>
      <c r="D1046" s="43">
        <f>""</f>
        <v/>
      </c>
      <c r="E1046" s="43">
        <f>""</f>
        <v/>
      </c>
      <c r="F1046" s="43">
        <f>IFERROR(IF(OR($F$944="",IF(SUM('SW Rev'!C25:F25)&lt;=0,"",SUM('SW FCF'!C25:F25)/SUM('SW Rev'!C25:F25))=""),"",($F$944-IF(SUM('SW Rev'!C25:F25)&lt;=0,"",SUM('SW FCF'!C25:F25)/SUM('SW Rev'!C25:F25)))*10000),"")</f>
        <v/>
      </c>
      <c r="G1046" s="43">
        <f>IFERROR(IF(OR($G$944="",$C$944=""),"",($G$944-$C$944)*10000),"")</f>
        <v/>
      </c>
      <c r="H1046" s="43">
        <f>IFERROR(IF(OR($H$944="",$D$944=""),"",($H$944-$D$944)*10000),"")</f>
        <v/>
      </c>
      <c r="I1046" s="43">
        <f>IFERROR(IF(OR($I$944="",$E$944=""),"",($I$944-$E$944)*10000),"")</f>
        <v/>
      </c>
      <c r="J1046" s="43">
        <f>IFERROR(IF(OR($J$944="",$F$944=""),"",($J$944-$F$944)*10000),"")</f>
        <v/>
      </c>
      <c r="K1046" s="43">
        <f>IFERROR(IF(OR($K$944="",$G$944=""),"",($K$944-$G$944)*10000),"")</f>
        <v/>
      </c>
      <c r="L1046" s="43">
        <f>IFERROR(IF(OR($L$944="",$H$944=""),"",($L$944-$H$944)*10000),"")</f>
        <v/>
      </c>
      <c r="M1046" s="44">
        <f>IFERROR(IF(OR($M$944="",$I$944=""),"",($M$944-$I$944)*10000),"")</f>
        <v/>
      </c>
      <c r="N1046" s="44">
        <f>IFERROR(IF(OR($N$944="",$J$944=""),"",($N$944-$J$944)*10000),"")</f>
        <v/>
      </c>
    </row>
    <row r="1047">
      <c r="A1047" s="19">
        <f>'SW Rev'!$A26</f>
        <v/>
      </c>
      <c r="B1047" s="19">
        <f>'SW Rev'!$B26</f>
        <v/>
      </c>
      <c r="C1047" s="43">
        <f>""</f>
        <v/>
      </c>
      <c r="D1047" s="43">
        <f>""</f>
        <v/>
      </c>
      <c r="E1047" s="43">
        <f>""</f>
        <v/>
      </c>
      <c r="F1047" s="43">
        <f>IFERROR(IF(OR($F$945="",IF(SUM('SW Rev'!C26:F26)&lt;=0,"",SUM('SW FCF'!C26:F26)/SUM('SW Rev'!C26:F26))=""),"",($F$945-IF(SUM('SW Rev'!C26:F26)&lt;=0,"",SUM('SW FCF'!C26:F26)/SUM('SW Rev'!C26:F26)))*10000),"")</f>
        <v/>
      </c>
      <c r="G1047" s="43">
        <f>IFERROR(IF(OR($G$945="",$C$945=""),"",($G$945-$C$945)*10000),"")</f>
        <v/>
      </c>
      <c r="H1047" s="43">
        <f>IFERROR(IF(OR($H$945="",$D$945=""),"",($H$945-$D$945)*10000),"")</f>
        <v/>
      </c>
      <c r="I1047" s="43">
        <f>IFERROR(IF(OR($I$945="",$E$945=""),"",($I$945-$E$945)*10000),"")</f>
        <v/>
      </c>
      <c r="J1047" s="43">
        <f>IFERROR(IF(OR($J$945="",$F$945=""),"",($J$945-$F$945)*10000),"")</f>
        <v/>
      </c>
      <c r="K1047" s="43">
        <f>IFERROR(IF(OR($K$945="",$G$945=""),"",($K$945-$G$945)*10000),"")</f>
        <v/>
      </c>
      <c r="L1047" s="43">
        <f>IFERROR(IF(OR($L$945="",$H$945=""),"",($L$945-$H$945)*10000),"")</f>
        <v/>
      </c>
      <c r="M1047" s="44">
        <f>IFERROR(IF(OR($M$945="",$I$945=""),"",($M$945-$I$945)*10000),"")</f>
        <v/>
      </c>
      <c r="N1047" s="44">
        <f>IFERROR(IF(OR($N$945="",$J$945=""),"",($N$945-$J$945)*10000),"")</f>
        <v/>
      </c>
    </row>
    <row r="1048">
      <c r="A1048" s="19">
        <f>'SW Rev'!$A27</f>
        <v/>
      </c>
      <c r="B1048" s="19">
        <f>'SW Rev'!$B27</f>
        <v/>
      </c>
      <c r="C1048" s="43">
        <f>""</f>
        <v/>
      </c>
      <c r="D1048" s="43">
        <f>""</f>
        <v/>
      </c>
      <c r="E1048" s="43">
        <f>""</f>
        <v/>
      </c>
      <c r="F1048" s="43">
        <f>IFERROR(IF(OR($F$946="",IF(SUM('SW Rev'!C27:F27)&lt;=0,"",SUM('SW FCF'!C27:F27)/SUM('SW Rev'!C27:F27))=""),"",($F$946-IF(SUM('SW Rev'!C27:F27)&lt;=0,"",SUM('SW FCF'!C27:F27)/SUM('SW Rev'!C27:F27)))*10000),"")</f>
        <v/>
      </c>
      <c r="G1048" s="43">
        <f>IFERROR(IF(OR($G$946="",$C$946=""),"",($G$946-$C$946)*10000),"")</f>
        <v/>
      </c>
      <c r="H1048" s="43">
        <f>IFERROR(IF(OR($H$946="",$D$946=""),"",($H$946-$D$946)*10000),"")</f>
        <v/>
      </c>
      <c r="I1048" s="43">
        <f>IFERROR(IF(OR($I$946="",$E$946=""),"",($I$946-$E$946)*10000),"")</f>
        <v/>
      </c>
      <c r="J1048" s="43">
        <f>IFERROR(IF(OR($J$946="",$F$946=""),"",($J$946-$F$946)*10000),"")</f>
        <v/>
      </c>
      <c r="K1048" s="43">
        <f>IFERROR(IF(OR($K$946="",$G$946=""),"",($K$946-$G$946)*10000),"")</f>
        <v/>
      </c>
      <c r="L1048" s="43">
        <f>IFERROR(IF(OR($L$946="",$H$946=""),"",($L$946-$H$946)*10000),"")</f>
        <v/>
      </c>
      <c r="M1048" s="44">
        <f>IFERROR(IF(OR($M$946="",$I$946=""),"",($M$946-$I$946)*10000),"")</f>
        <v/>
      </c>
      <c r="N1048" s="44">
        <f>IFERROR(IF(OR($N$946="",$J$946=""),"",($N$946-$J$946)*10000),"")</f>
        <v/>
      </c>
    </row>
    <row r="1049">
      <c r="A1049" s="19">
        <f>'SW Rev'!$A28</f>
        <v/>
      </c>
      <c r="B1049" s="19">
        <f>'SW Rev'!$B28</f>
        <v/>
      </c>
      <c r="C1049" s="43">
        <f>""</f>
        <v/>
      </c>
      <c r="D1049" s="43">
        <f>""</f>
        <v/>
      </c>
      <c r="E1049" s="43">
        <f>""</f>
        <v/>
      </c>
      <c r="F1049" s="43">
        <f>IFERROR(IF(OR($F$947="",IF(SUM('SW Rev'!C28:F28)&lt;=0,"",SUM('SW FCF'!C28:F28)/SUM('SW Rev'!C28:F28))=""),"",($F$947-IF(SUM('SW Rev'!C28:F28)&lt;=0,"",SUM('SW FCF'!C28:F28)/SUM('SW Rev'!C28:F28)))*10000),"")</f>
        <v/>
      </c>
      <c r="G1049" s="43">
        <f>IFERROR(IF(OR($G$947="",$C$947=""),"",($G$947-$C$947)*10000),"")</f>
        <v/>
      </c>
      <c r="H1049" s="43">
        <f>IFERROR(IF(OR($H$947="",$D$947=""),"",($H$947-$D$947)*10000),"")</f>
        <v/>
      </c>
      <c r="I1049" s="43">
        <f>IFERROR(IF(OR($I$947="",$E$947=""),"",($I$947-$E$947)*10000),"")</f>
        <v/>
      </c>
      <c r="J1049" s="43">
        <f>IFERROR(IF(OR($J$947="",$F$947=""),"",($J$947-$F$947)*10000),"")</f>
        <v/>
      </c>
      <c r="K1049" s="43">
        <f>IFERROR(IF(OR($K$947="",$G$947=""),"",($K$947-$G$947)*10000),"")</f>
        <v/>
      </c>
      <c r="L1049" s="43">
        <f>IFERROR(IF(OR($L$947="",$H$947=""),"",($L$947-$H$947)*10000),"")</f>
        <v/>
      </c>
      <c r="M1049" s="44">
        <f>IFERROR(IF(OR($M$947="",$I$947=""),"",($M$947-$I$947)*10000),"")</f>
        <v/>
      </c>
      <c r="N1049" s="44">
        <f>IFERROR(IF(OR($N$947="",$J$947=""),"",($N$947-$J$947)*10000),"")</f>
        <v/>
      </c>
    </row>
    <row r="1050">
      <c r="A1050" s="19">
        <f>'SW Rev'!$A29</f>
        <v/>
      </c>
      <c r="B1050" s="19">
        <f>'SW Rev'!$B29</f>
        <v/>
      </c>
      <c r="C1050" s="43">
        <f>""</f>
        <v/>
      </c>
      <c r="D1050" s="43">
        <f>""</f>
        <v/>
      </c>
      <c r="E1050" s="43">
        <f>""</f>
        <v/>
      </c>
      <c r="F1050" s="43">
        <f>IFERROR(IF(OR($F$948="",IF(SUM('SW Rev'!C29:F29)&lt;=0,"",SUM('SW FCF'!C29:F29)/SUM('SW Rev'!C29:F29))=""),"",($F$948-IF(SUM('SW Rev'!C29:F29)&lt;=0,"",SUM('SW FCF'!C29:F29)/SUM('SW Rev'!C29:F29)))*10000),"")</f>
        <v/>
      </c>
      <c r="G1050" s="43">
        <f>IFERROR(IF(OR($G$948="",$C$948=""),"",($G$948-$C$948)*10000),"")</f>
        <v/>
      </c>
      <c r="H1050" s="43">
        <f>IFERROR(IF(OR($H$948="",$D$948=""),"",($H$948-$D$948)*10000),"")</f>
        <v/>
      </c>
      <c r="I1050" s="43">
        <f>IFERROR(IF(OR($I$948="",$E$948=""),"",($I$948-$E$948)*10000),"")</f>
        <v/>
      </c>
      <c r="J1050" s="43">
        <f>IFERROR(IF(OR($J$948="",$F$948=""),"",($J$948-$F$948)*10000),"")</f>
        <v/>
      </c>
      <c r="K1050" s="43">
        <f>IFERROR(IF(OR($K$948="",$G$948=""),"",($K$948-$G$948)*10000),"")</f>
        <v/>
      </c>
      <c r="L1050" s="43">
        <f>IFERROR(IF(OR($L$948="",$H$948=""),"",($L$948-$H$948)*10000),"")</f>
        <v/>
      </c>
      <c r="M1050" s="44">
        <f>IFERROR(IF(OR($M$948="",$I$948=""),"",($M$948-$I$948)*10000),"")</f>
        <v/>
      </c>
      <c r="N1050" s="44">
        <f>IFERROR(IF(OR($N$948="",$J$948=""),"",($N$948-$J$948)*10000),"")</f>
        <v/>
      </c>
    </row>
    <row r="1051">
      <c r="A1051" s="19">
        <f>'SW Rev'!$A30</f>
        <v/>
      </c>
      <c r="B1051" s="19">
        <f>'SW Rev'!$B30</f>
        <v/>
      </c>
      <c r="C1051" s="43">
        <f>""</f>
        <v/>
      </c>
      <c r="D1051" s="43">
        <f>""</f>
        <v/>
      </c>
      <c r="E1051" s="43">
        <f>""</f>
        <v/>
      </c>
      <c r="F1051" s="43">
        <f>IFERROR(IF(OR($F$949="",IF(SUM('SW Rev'!C30:F30)&lt;=0,"",SUM('SW FCF'!C30:F30)/SUM('SW Rev'!C30:F30))=""),"",($F$949-IF(SUM('SW Rev'!C30:F30)&lt;=0,"",SUM('SW FCF'!C30:F30)/SUM('SW Rev'!C30:F30)))*10000),"")</f>
        <v/>
      </c>
      <c r="G1051" s="43">
        <f>IFERROR(IF(OR($G$949="",$C$949=""),"",($G$949-$C$949)*10000),"")</f>
        <v/>
      </c>
      <c r="H1051" s="43">
        <f>IFERROR(IF(OR($H$949="",$D$949=""),"",($H$949-$D$949)*10000),"")</f>
        <v/>
      </c>
      <c r="I1051" s="43">
        <f>IFERROR(IF(OR($I$949="",$E$949=""),"",($I$949-$E$949)*10000),"")</f>
        <v/>
      </c>
      <c r="J1051" s="43">
        <f>IFERROR(IF(OR($J$949="",$F$949=""),"",($J$949-$F$949)*10000),"")</f>
        <v/>
      </c>
      <c r="K1051" s="43">
        <f>IFERROR(IF(OR($K$949="",$G$949=""),"",($K$949-$G$949)*10000),"")</f>
        <v/>
      </c>
      <c r="L1051" s="43">
        <f>IFERROR(IF(OR($L$949="",$H$949=""),"",($L$949-$H$949)*10000),"")</f>
        <v/>
      </c>
      <c r="M1051" s="44">
        <f>IFERROR(IF(OR($M$949="",$I$949=""),"",($M$949-$I$949)*10000),"")</f>
        <v/>
      </c>
      <c r="N1051" s="44">
        <f>IFERROR(IF(OR($N$949="",$J$949=""),"",($N$949-$J$949)*10000),"")</f>
        <v/>
      </c>
    </row>
    <row r="1052">
      <c r="A1052" s="19">
        <f>'SW Rev'!$A31</f>
        <v/>
      </c>
      <c r="B1052" s="19">
        <f>'SW Rev'!$B31</f>
        <v/>
      </c>
      <c r="C1052" s="43">
        <f>""</f>
        <v/>
      </c>
      <c r="D1052" s="43">
        <f>""</f>
        <v/>
      </c>
      <c r="E1052" s="43">
        <f>""</f>
        <v/>
      </c>
      <c r="F1052" s="43">
        <f>IFERROR(IF(OR($F$950="",IF(SUM('SW Rev'!C31:F31)&lt;=0,"",SUM('SW FCF'!C31:F31)/SUM('SW Rev'!C31:F31))=""),"",($F$950-IF(SUM('SW Rev'!C31:F31)&lt;=0,"",SUM('SW FCF'!C31:F31)/SUM('SW Rev'!C31:F31)))*10000),"")</f>
        <v/>
      </c>
      <c r="G1052" s="43">
        <f>IFERROR(IF(OR($G$950="",$C$950=""),"",($G$950-$C$950)*10000),"")</f>
        <v/>
      </c>
      <c r="H1052" s="43">
        <f>IFERROR(IF(OR($H$950="",$D$950=""),"",($H$950-$D$950)*10000),"")</f>
        <v/>
      </c>
      <c r="I1052" s="43">
        <f>IFERROR(IF(OR($I$950="",$E$950=""),"",($I$950-$E$950)*10000),"")</f>
        <v/>
      </c>
      <c r="J1052" s="43">
        <f>IFERROR(IF(OR($J$950="",$F$950=""),"",($J$950-$F$950)*10000),"")</f>
        <v/>
      </c>
      <c r="K1052" s="43">
        <f>IFERROR(IF(OR($K$950="",$G$950=""),"",($K$950-$G$950)*10000),"")</f>
        <v/>
      </c>
      <c r="L1052" s="43">
        <f>IFERROR(IF(OR($L$950="",$H$950=""),"",($L$950-$H$950)*10000),"")</f>
        <v/>
      </c>
      <c r="M1052" s="44">
        <f>IFERROR(IF(OR($M$950="",$I$950=""),"",($M$950-$I$950)*10000),"")</f>
        <v/>
      </c>
      <c r="N1052" s="44">
        <f>IFERROR(IF(OR($N$950="",$J$950=""),"",($N$950-$J$950)*10000),"")</f>
        <v/>
      </c>
    </row>
    <row r="1053">
      <c r="A1053" s="19">
        <f>'SW Rev'!$A32</f>
        <v/>
      </c>
      <c r="B1053" s="19">
        <f>'SW Rev'!$B32</f>
        <v/>
      </c>
      <c r="C1053" s="43">
        <f>""</f>
        <v/>
      </c>
      <c r="D1053" s="43">
        <f>""</f>
        <v/>
      </c>
      <c r="E1053" s="43">
        <f>""</f>
        <v/>
      </c>
      <c r="F1053" s="43">
        <f>IFERROR(IF(OR($F$951="",IF(SUM('SW Rev'!C32:F32)&lt;=0,"",SUM('SW FCF'!C32:F32)/SUM('SW Rev'!C32:F32))=""),"",($F$951-IF(SUM('SW Rev'!C32:F32)&lt;=0,"",SUM('SW FCF'!C32:F32)/SUM('SW Rev'!C32:F32)))*10000),"")</f>
        <v/>
      </c>
      <c r="G1053" s="43">
        <f>IFERROR(IF(OR($G$951="",$C$951=""),"",($G$951-$C$951)*10000),"")</f>
        <v/>
      </c>
      <c r="H1053" s="43">
        <f>IFERROR(IF(OR($H$951="",$D$951=""),"",($H$951-$D$951)*10000),"")</f>
        <v/>
      </c>
      <c r="I1053" s="43">
        <f>IFERROR(IF(OR($I$951="",$E$951=""),"",($I$951-$E$951)*10000),"")</f>
        <v/>
      </c>
      <c r="J1053" s="43">
        <f>IFERROR(IF(OR($J$951="",$F$951=""),"",($J$951-$F$951)*10000),"")</f>
        <v/>
      </c>
      <c r="K1053" s="43">
        <f>IFERROR(IF(OR($K$951="",$G$951=""),"",($K$951-$G$951)*10000),"")</f>
        <v/>
      </c>
      <c r="L1053" s="43">
        <f>IFERROR(IF(OR($L$951="",$H$951=""),"",($L$951-$H$951)*10000),"")</f>
        <v/>
      </c>
      <c r="M1053" s="44">
        <f>IFERROR(IF(OR($M$951="",$I$951=""),"",($M$951-$I$951)*10000),"")</f>
        <v/>
      </c>
      <c r="N1053" s="44">
        <f>IFERROR(IF(OR($N$951="",$J$951=""),"",($N$951-$J$951)*10000),"")</f>
        <v/>
      </c>
    </row>
    <row r="1054">
      <c r="A1054" s="19">
        <f>'SW Rev'!$A33</f>
        <v/>
      </c>
      <c r="B1054" s="19">
        <f>'SW Rev'!$B33</f>
        <v/>
      </c>
      <c r="C1054" s="43">
        <f>""</f>
        <v/>
      </c>
      <c r="D1054" s="43">
        <f>""</f>
        <v/>
      </c>
      <c r="E1054" s="43">
        <f>""</f>
        <v/>
      </c>
      <c r="F1054" s="43">
        <f>IFERROR(IF(OR($F$952="",IF(SUM('SW Rev'!C33:F33)&lt;=0,"",SUM('SW FCF'!C33:F33)/SUM('SW Rev'!C33:F33))=""),"",($F$952-IF(SUM('SW Rev'!C33:F33)&lt;=0,"",SUM('SW FCF'!C33:F33)/SUM('SW Rev'!C33:F33)))*10000),"")</f>
        <v/>
      </c>
      <c r="G1054" s="43">
        <f>IFERROR(IF(OR($G$952="",$C$952=""),"",($G$952-$C$952)*10000),"")</f>
        <v/>
      </c>
      <c r="H1054" s="43">
        <f>IFERROR(IF(OR($H$952="",$D$952=""),"",($H$952-$D$952)*10000),"")</f>
        <v/>
      </c>
      <c r="I1054" s="43">
        <f>IFERROR(IF(OR($I$952="",$E$952=""),"",($I$952-$E$952)*10000),"")</f>
        <v/>
      </c>
      <c r="J1054" s="43">
        <f>IFERROR(IF(OR($J$952="",$F$952=""),"",($J$952-$F$952)*10000),"")</f>
        <v/>
      </c>
      <c r="K1054" s="43">
        <f>IFERROR(IF(OR($K$952="",$G$952=""),"",($K$952-$G$952)*10000),"")</f>
        <v/>
      </c>
      <c r="L1054" s="43">
        <f>IFERROR(IF(OR($L$952="",$H$952=""),"",($L$952-$H$952)*10000),"")</f>
        <v/>
      </c>
      <c r="M1054" s="44">
        <f>IFERROR(IF(OR($M$952="",$I$952=""),"",($M$952-$I$952)*10000),"")</f>
        <v/>
      </c>
      <c r="N1054" s="44">
        <f>IFERROR(IF(OR($N$952="",$J$952=""),"",($N$952-$J$952)*10000),"")</f>
        <v/>
      </c>
    </row>
    <row r="1055">
      <c r="A1055" s="19">
        <f>'SW Rev'!$A34</f>
        <v/>
      </c>
      <c r="B1055" s="19">
        <f>'SW Rev'!$B34</f>
        <v/>
      </c>
      <c r="C1055" s="43">
        <f>""</f>
        <v/>
      </c>
      <c r="D1055" s="43">
        <f>""</f>
        <v/>
      </c>
      <c r="E1055" s="43">
        <f>""</f>
        <v/>
      </c>
      <c r="F1055" s="43">
        <f>IFERROR(IF(OR($F$953="",IF(SUM('SW Rev'!C34:F34)&lt;=0,"",SUM('SW FCF'!C34:F34)/SUM('SW Rev'!C34:F34))=""),"",($F$953-IF(SUM('SW Rev'!C34:F34)&lt;=0,"",SUM('SW FCF'!C34:F34)/SUM('SW Rev'!C34:F34)))*10000),"")</f>
        <v/>
      </c>
      <c r="G1055" s="43">
        <f>IFERROR(IF(OR($G$953="",$C$953=""),"",($G$953-$C$953)*10000),"")</f>
        <v/>
      </c>
      <c r="H1055" s="43">
        <f>IFERROR(IF(OR($H$953="",$D$953=""),"",($H$953-$D$953)*10000),"")</f>
        <v/>
      </c>
      <c r="I1055" s="43">
        <f>IFERROR(IF(OR($I$953="",$E$953=""),"",($I$953-$E$953)*10000),"")</f>
        <v/>
      </c>
      <c r="J1055" s="43">
        <f>IFERROR(IF(OR($J$953="",$F$953=""),"",($J$953-$F$953)*10000),"")</f>
        <v/>
      </c>
      <c r="K1055" s="43">
        <f>IFERROR(IF(OR($K$953="",$G$953=""),"",($K$953-$G$953)*10000),"")</f>
        <v/>
      </c>
      <c r="L1055" s="43">
        <f>IFERROR(IF(OR($L$953="",$H$953=""),"",($L$953-$H$953)*10000),"")</f>
        <v/>
      </c>
      <c r="M1055" s="44">
        <f>IFERROR(IF(OR($M$953="",$I$953=""),"",($M$953-$I$953)*10000),"")</f>
        <v/>
      </c>
      <c r="N1055" s="44">
        <f>IFERROR(IF(OR($N$953="",$J$953=""),"",($N$953-$J$953)*10000),"")</f>
        <v/>
      </c>
    </row>
    <row r="1056">
      <c r="A1056" s="19">
        <f>'SW Rev'!$A35</f>
        <v/>
      </c>
      <c r="B1056" s="19">
        <f>'SW Rev'!$B35</f>
        <v/>
      </c>
      <c r="C1056" s="43">
        <f>""</f>
        <v/>
      </c>
      <c r="D1056" s="43">
        <f>""</f>
        <v/>
      </c>
      <c r="E1056" s="43">
        <f>""</f>
        <v/>
      </c>
      <c r="F1056" s="43">
        <f>IFERROR(IF(OR($F$954="",IF(SUM('SW Rev'!C35:F35)&lt;=0,"",SUM('SW FCF'!C35:F35)/SUM('SW Rev'!C35:F35))=""),"",($F$954-IF(SUM('SW Rev'!C35:F35)&lt;=0,"",SUM('SW FCF'!C35:F35)/SUM('SW Rev'!C35:F35)))*10000),"")</f>
        <v/>
      </c>
      <c r="G1056" s="43">
        <f>IFERROR(IF(OR($G$954="",$C$954=""),"",($G$954-$C$954)*10000),"")</f>
        <v/>
      </c>
      <c r="H1056" s="43">
        <f>IFERROR(IF(OR($H$954="",$D$954=""),"",($H$954-$D$954)*10000),"")</f>
        <v/>
      </c>
      <c r="I1056" s="43">
        <f>IFERROR(IF(OR($I$954="",$E$954=""),"",($I$954-$E$954)*10000),"")</f>
        <v/>
      </c>
      <c r="J1056" s="43">
        <f>IFERROR(IF(OR($J$954="",$F$954=""),"",($J$954-$F$954)*10000),"")</f>
        <v/>
      </c>
      <c r="K1056" s="43">
        <f>IFERROR(IF(OR($K$954="",$G$954=""),"",($K$954-$G$954)*10000),"")</f>
        <v/>
      </c>
      <c r="L1056" s="43">
        <f>IFERROR(IF(OR($L$954="",$H$954=""),"",($L$954-$H$954)*10000),"")</f>
        <v/>
      </c>
      <c r="M1056" s="44">
        <f>IFERROR(IF(OR($M$954="",$I$954=""),"",($M$954-$I$954)*10000),"")</f>
        <v/>
      </c>
      <c r="N1056" s="44">
        <f>IFERROR(IF(OR($N$954="",$J$954=""),"",($N$954-$J$954)*10000),"")</f>
        <v/>
      </c>
    </row>
    <row r="1057">
      <c r="A1057" s="19">
        <f>'SW Rev'!$A36</f>
        <v/>
      </c>
      <c r="B1057" s="19">
        <f>'SW Rev'!$B36</f>
        <v/>
      </c>
      <c r="C1057" s="43">
        <f>""</f>
        <v/>
      </c>
      <c r="D1057" s="43">
        <f>""</f>
        <v/>
      </c>
      <c r="E1057" s="43">
        <f>""</f>
        <v/>
      </c>
      <c r="F1057" s="43">
        <f>IFERROR(IF(OR($F$955="",IF(SUM('SW Rev'!C36:F36)&lt;=0,"",SUM('SW FCF'!C36:F36)/SUM('SW Rev'!C36:F36))=""),"",($F$955-IF(SUM('SW Rev'!C36:F36)&lt;=0,"",SUM('SW FCF'!C36:F36)/SUM('SW Rev'!C36:F36)))*10000),"")</f>
        <v/>
      </c>
      <c r="G1057" s="43">
        <f>IFERROR(IF(OR($G$955="",$C$955=""),"",($G$955-$C$955)*10000),"")</f>
        <v/>
      </c>
      <c r="H1057" s="43">
        <f>IFERROR(IF(OR($H$955="",$D$955=""),"",($H$955-$D$955)*10000),"")</f>
        <v/>
      </c>
      <c r="I1057" s="43">
        <f>IFERROR(IF(OR($I$955="",$E$955=""),"",($I$955-$E$955)*10000),"")</f>
        <v/>
      </c>
      <c r="J1057" s="43">
        <f>IFERROR(IF(OR($J$955="",$F$955=""),"",($J$955-$F$955)*10000),"")</f>
        <v/>
      </c>
      <c r="K1057" s="43">
        <f>IFERROR(IF(OR($K$955="",$G$955=""),"",($K$955-$G$955)*10000),"")</f>
        <v/>
      </c>
      <c r="L1057" s="43">
        <f>IFERROR(IF(OR($L$955="",$H$955=""),"",($L$955-$H$955)*10000),"")</f>
        <v/>
      </c>
      <c r="M1057" s="44">
        <f>IFERROR(IF(OR($M$955="",$I$955=""),"",($M$955-$I$955)*10000),"")</f>
        <v/>
      </c>
      <c r="N1057" s="44">
        <f>IFERROR(IF(OR($N$955="",$J$955=""),"",($N$955-$J$955)*10000),"")</f>
        <v/>
      </c>
    </row>
    <row r="1058">
      <c r="A1058" s="19">
        <f>'SW Rev'!$A37</f>
        <v/>
      </c>
      <c r="B1058" s="19">
        <f>'SW Rev'!$B37</f>
        <v/>
      </c>
      <c r="C1058" s="43">
        <f>""</f>
        <v/>
      </c>
      <c r="D1058" s="43">
        <f>""</f>
        <v/>
      </c>
      <c r="E1058" s="43">
        <f>""</f>
        <v/>
      </c>
      <c r="F1058" s="43">
        <f>IFERROR(IF(OR($F$956="",IF(SUM('SW Rev'!C37:F37)&lt;=0,"",SUM('SW FCF'!C37:F37)/SUM('SW Rev'!C37:F37))=""),"",($F$956-IF(SUM('SW Rev'!C37:F37)&lt;=0,"",SUM('SW FCF'!C37:F37)/SUM('SW Rev'!C37:F37)))*10000),"")</f>
        <v/>
      </c>
      <c r="G1058" s="43">
        <f>IFERROR(IF(OR($G$956="",$C$956=""),"",($G$956-$C$956)*10000),"")</f>
        <v/>
      </c>
      <c r="H1058" s="43">
        <f>IFERROR(IF(OR($H$956="",$D$956=""),"",($H$956-$D$956)*10000),"")</f>
        <v/>
      </c>
      <c r="I1058" s="43">
        <f>IFERROR(IF(OR($I$956="",$E$956=""),"",($I$956-$E$956)*10000),"")</f>
        <v/>
      </c>
      <c r="J1058" s="43">
        <f>IFERROR(IF(OR($J$956="",$F$956=""),"",($J$956-$F$956)*10000),"")</f>
        <v/>
      </c>
      <c r="K1058" s="43">
        <f>IFERROR(IF(OR($K$956="",$G$956=""),"",($K$956-$G$956)*10000),"")</f>
        <v/>
      </c>
      <c r="L1058" s="43">
        <f>IFERROR(IF(OR($L$956="",$H$956=""),"",($L$956-$H$956)*10000),"")</f>
        <v/>
      </c>
      <c r="M1058" s="44">
        <f>IFERROR(IF(OR($M$956="",$I$956=""),"",($M$956-$I$956)*10000),"")</f>
        <v/>
      </c>
      <c r="N1058" s="44">
        <f>IFERROR(IF(OR($N$956="",$J$956=""),"",($N$956-$J$956)*10000),"")</f>
        <v/>
      </c>
    </row>
    <row r="1059">
      <c r="A1059" s="19">
        <f>'SW Rev'!$A38</f>
        <v/>
      </c>
      <c r="B1059" s="19">
        <f>'SW Rev'!$B38</f>
        <v/>
      </c>
      <c r="C1059" s="43">
        <f>""</f>
        <v/>
      </c>
      <c r="D1059" s="43">
        <f>""</f>
        <v/>
      </c>
      <c r="E1059" s="43">
        <f>""</f>
        <v/>
      </c>
      <c r="F1059" s="43">
        <f>IFERROR(IF(OR($F$957="",IF(SUM('SW Rev'!C38:F38)&lt;=0,"",SUM('SW FCF'!C38:F38)/SUM('SW Rev'!C38:F38))=""),"",($F$957-IF(SUM('SW Rev'!C38:F38)&lt;=0,"",SUM('SW FCF'!C38:F38)/SUM('SW Rev'!C38:F38)))*10000),"")</f>
        <v/>
      </c>
      <c r="G1059" s="43">
        <f>IFERROR(IF(OR($G$957="",$C$957=""),"",($G$957-$C$957)*10000),"")</f>
        <v/>
      </c>
      <c r="H1059" s="43">
        <f>IFERROR(IF(OR($H$957="",$D$957=""),"",($H$957-$D$957)*10000),"")</f>
        <v/>
      </c>
      <c r="I1059" s="43">
        <f>IFERROR(IF(OR($I$957="",$E$957=""),"",($I$957-$E$957)*10000),"")</f>
        <v/>
      </c>
      <c r="J1059" s="43">
        <f>IFERROR(IF(OR($J$957="",$F$957=""),"",($J$957-$F$957)*10000),"")</f>
        <v/>
      </c>
      <c r="K1059" s="43">
        <f>IFERROR(IF(OR($K$957="",$G$957=""),"",($K$957-$G$957)*10000),"")</f>
        <v/>
      </c>
      <c r="L1059" s="43">
        <f>IFERROR(IF(OR($L$957="",$H$957=""),"",($L$957-$H$957)*10000),"")</f>
        <v/>
      </c>
      <c r="M1059" s="44">
        <f>IFERROR(IF(OR($M$957="",$I$957=""),"",($M$957-$I$957)*10000),"")</f>
        <v/>
      </c>
      <c r="N1059" s="44">
        <f>IFERROR(IF(OR($N$957="",$J$957=""),"",($N$957-$J$957)*10000),"")</f>
        <v/>
      </c>
    </row>
    <row r="1060">
      <c r="A1060" s="19">
        <f>'SW Rev'!$A39</f>
        <v/>
      </c>
      <c r="B1060" s="19">
        <f>'SW Rev'!$B39</f>
        <v/>
      </c>
      <c r="C1060" s="43">
        <f>""</f>
        <v/>
      </c>
      <c r="D1060" s="43">
        <f>""</f>
        <v/>
      </c>
      <c r="E1060" s="43">
        <f>""</f>
        <v/>
      </c>
      <c r="F1060" s="43">
        <f>IFERROR(IF(OR($F$958="",IF(SUM('SW Rev'!C39:F39)&lt;=0,"",SUM('SW FCF'!C39:F39)/SUM('SW Rev'!C39:F39))=""),"",($F$958-IF(SUM('SW Rev'!C39:F39)&lt;=0,"",SUM('SW FCF'!C39:F39)/SUM('SW Rev'!C39:F39)))*10000),"")</f>
        <v/>
      </c>
      <c r="G1060" s="43">
        <f>IFERROR(IF(OR($G$958="",$C$958=""),"",($G$958-$C$958)*10000),"")</f>
        <v/>
      </c>
      <c r="H1060" s="43">
        <f>IFERROR(IF(OR($H$958="",$D$958=""),"",($H$958-$D$958)*10000),"")</f>
        <v/>
      </c>
      <c r="I1060" s="43">
        <f>IFERROR(IF(OR($I$958="",$E$958=""),"",($I$958-$E$958)*10000),"")</f>
        <v/>
      </c>
      <c r="J1060" s="43">
        <f>IFERROR(IF(OR($J$958="",$F$958=""),"",($J$958-$F$958)*10000),"")</f>
        <v/>
      </c>
      <c r="K1060" s="43">
        <f>IFERROR(IF(OR($K$958="",$G$958=""),"",($K$958-$G$958)*10000),"")</f>
        <v/>
      </c>
      <c r="L1060" s="43">
        <f>IFERROR(IF(OR($L$958="",$H$958=""),"",($L$958-$H$958)*10000),"")</f>
        <v/>
      </c>
      <c r="M1060" s="44">
        <f>IFERROR(IF(OR($M$958="",$I$958=""),"",($M$958-$I$958)*10000),"")</f>
        <v/>
      </c>
      <c r="N1060" s="44">
        <f>IFERROR(IF(OR($N$958="",$J$958=""),"",($N$958-$J$958)*10000),"")</f>
        <v/>
      </c>
    </row>
    <row r="1061">
      <c r="A1061" s="19">
        <f>'SW Rev'!$A40</f>
        <v/>
      </c>
      <c r="B1061" s="19">
        <f>'SW Rev'!$B40</f>
        <v/>
      </c>
      <c r="C1061" s="43">
        <f>""</f>
        <v/>
      </c>
      <c r="D1061" s="43">
        <f>""</f>
        <v/>
      </c>
      <c r="E1061" s="43">
        <f>""</f>
        <v/>
      </c>
      <c r="F1061" s="43">
        <f>IFERROR(IF(OR($F$959="",IF(SUM('SW Rev'!C40:F40)&lt;=0,"",SUM('SW FCF'!C40:F40)/SUM('SW Rev'!C40:F40))=""),"",($F$959-IF(SUM('SW Rev'!C40:F40)&lt;=0,"",SUM('SW FCF'!C40:F40)/SUM('SW Rev'!C40:F40)))*10000),"")</f>
        <v/>
      </c>
      <c r="G1061" s="43">
        <f>IFERROR(IF(OR($G$959="",$C$959=""),"",($G$959-$C$959)*10000),"")</f>
        <v/>
      </c>
      <c r="H1061" s="43">
        <f>IFERROR(IF(OR($H$959="",$D$959=""),"",($H$959-$D$959)*10000),"")</f>
        <v/>
      </c>
      <c r="I1061" s="43">
        <f>IFERROR(IF(OR($I$959="",$E$959=""),"",($I$959-$E$959)*10000),"")</f>
        <v/>
      </c>
      <c r="J1061" s="43">
        <f>IFERROR(IF(OR($J$959="",$F$959=""),"",($J$959-$F$959)*10000),"")</f>
        <v/>
      </c>
      <c r="K1061" s="43">
        <f>IFERROR(IF(OR($K$959="",$G$959=""),"",($K$959-$G$959)*10000),"")</f>
        <v/>
      </c>
      <c r="L1061" s="43">
        <f>IFERROR(IF(OR($L$959="",$H$959=""),"",($L$959-$H$959)*10000),"")</f>
        <v/>
      </c>
      <c r="M1061" s="44">
        <f>IFERROR(IF(OR($M$959="",$I$959=""),"",($M$959-$I$959)*10000),"")</f>
        <v/>
      </c>
      <c r="N1061" s="44">
        <f>IFERROR(IF(OR($N$959="",$J$959=""),"",($N$959-$J$959)*10000),"")</f>
        <v/>
      </c>
    </row>
    <row r="1062">
      <c r="A1062" s="19">
        <f>'SW Rev'!$A41</f>
        <v/>
      </c>
      <c r="B1062" s="19">
        <f>'SW Rev'!$B41</f>
        <v/>
      </c>
      <c r="C1062" s="43">
        <f>""</f>
        <v/>
      </c>
      <c r="D1062" s="43">
        <f>""</f>
        <v/>
      </c>
      <c r="E1062" s="43">
        <f>""</f>
        <v/>
      </c>
      <c r="F1062" s="43">
        <f>IFERROR(IF(OR($F$960="",IF(SUM('SW Rev'!C41:F41)&lt;=0,"",SUM('SW FCF'!C41:F41)/SUM('SW Rev'!C41:F41))=""),"",($F$960-IF(SUM('SW Rev'!C41:F41)&lt;=0,"",SUM('SW FCF'!C41:F41)/SUM('SW Rev'!C41:F41)))*10000),"")</f>
        <v/>
      </c>
      <c r="G1062" s="43">
        <f>IFERROR(IF(OR($G$960="",$C$960=""),"",($G$960-$C$960)*10000),"")</f>
        <v/>
      </c>
      <c r="H1062" s="43">
        <f>IFERROR(IF(OR($H$960="",$D$960=""),"",($H$960-$D$960)*10000),"")</f>
        <v/>
      </c>
      <c r="I1062" s="43">
        <f>IFERROR(IF(OR($I$960="",$E$960=""),"",($I$960-$E$960)*10000),"")</f>
        <v/>
      </c>
      <c r="J1062" s="43">
        <f>IFERROR(IF(OR($J$960="",$F$960=""),"",($J$960-$F$960)*10000),"")</f>
        <v/>
      </c>
      <c r="K1062" s="43">
        <f>IFERROR(IF(OR($K$960="",$G$960=""),"",($K$960-$G$960)*10000),"")</f>
        <v/>
      </c>
      <c r="L1062" s="43">
        <f>IFERROR(IF(OR($L$960="",$H$960=""),"",($L$960-$H$960)*10000),"")</f>
        <v/>
      </c>
      <c r="M1062" s="44">
        <f>IFERROR(IF(OR($M$960="",$I$960=""),"",($M$960-$I$960)*10000),"")</f>
        <v/>
      </c>
      <c r="N1062" s="44">
        <f>IFERROR(IF(OR($N$960="",$J$960=""),"",($N$960-$J$960)*10000),"")</f>
        <v/>
      </c>
    </row>
    <row r="1063">
      <c r="A1063" s="19">
        <f>'SW Rev'!$A42</f>
        <v/>
      </c>
      <c r="B1063" s="19">
        <f>'SW Rev'!$B42</f>
        <v/>
      </c>
      <c r="C1063" s="43">
        <f>""</f>
        <v/>
      </c>
      <c r="D1063" s="43">
        <f>""</f>
        <v/>
      </c>
      <c r="E1063" s="43">
        <f>""</f>
        <v/>
      </c>
      <c r="F1063" s="43">
        <f>IFERROR(IF(OR($F$961="",IF(SUM('SW Rev'!C42:F42)&lt;=0,"",SUM('SW FCF'!C42:F42)/SUM('SW Rev'!C42:F42))=""),"",($F$961-IF(SUM('SW Rev'!C42:F42)&lt;=0,"",SUM('SW FCF'!C42:F42)/SUM('SW Rev'!C42:F42)))*10000),"")</f>
        <v/>
      </c>
      <c r="G1063" s="43">
        <f>IFERROR(IF(OR($G$961="",$C$961=""),"",($G$961-$C$961)*10000),"")</f>
        <v/>
      </c>
      <c r="H1063" s="43">
        <f>IFERROR(IF(OR($H$961="",$D$961=""),"",($H$961-$D$961)*10000),"")</f>
        <v/>
      </c>
      <c r="I1063" s="43">
        <f>IFERROR(IF(OR($I$961="",$E$961=""),"",($I$961-$E$961)*10000),"")</f>
        <v/>
      </c>
      <c r="J1063" s="43">
        <f>IFERROR(IF(OR($J$961="",$F$961=""),"",($J$961-$F$961)*10000),"")</f>
        <v/>
      </c>
      <c r="K1063" s="43">
        <f>IFERROR(IF(OR($K$961="",$G$961=""),"",($K$961-$G$961)*10000),"")</f>
        <v/>
      </c>
      <c r="L1063" s="43">
        <f>IFERROR(IF(OR($L$961="",$H$961=""),"",($L$961-$H$961)*10000),"")</f>
        <v/>
      </c>
      <c r="M1063" s="44">
        <f>IFERROR(IF(OR($M$961="",$I$961=""),"",($M$961-$I$961)*10000),"")</f>
        <v/>
      </c>
      <c r="N1063" s="44">
        <f>IFERROR(IF(OR($N$961="",$J$961=""),"",($N$961-$J$961)*10000),"")</f>
        <v/>
      </c>
    </row>
    <row r="1064">
      <c r="A1064" s="19">
        <f>'SW Rev'!$A43</f>
        <v/>
      </c>
      <c r="B1064" s="19">
        <f>'SW Rev'!$B43</f>
        <v/>
      </c>
      <c r="C1064" s="43">
        <f>""</f>
        <v/>
      </c>
      <c r="D1064" s="43">
        <f>""</f>
        <v/>
      </c>
      <c r="E1064" s="43">
        <f>""</f>
        <v/>
      </c>
      <c r="F1064" s="43">
        <f>IFERROR(IF(OR($F$962="",IF(SUM('SW Rev'!C43:F43)&lt;=0,"",SUM('SW FCF'!C43:F43)/SUM('SW Rev'!C43:F43))=""),"",($F$962-IF(SUM('SW Rev'!C43:F43)&lt;=0,"",SUM('SW FCF'!C43:F43)/SUM('SW Rev'!C43:F43)))*10000),"")</f>
        <v/>
      </c>
      <c r="G1064" s="43">
        <f>IFERROR(IF(OR($G$962="",$C$962=""),"",($G$962-$C$962)*10000),"")</f>
        <v/>
      </c>
      <c r="H1064" s="43">
        <f>IFERROR(IF(OR($H$962="",$D$962=""),"",($H$962-$D$962)*10000),"")</f>
        <v/>
      </c>
      <c r="I1064" s="43">
        <f>IFERROR(IF(OR($I$962="",$E$962=""),"",($I$962-$E$962)*10000),"")</f>
        <v/>
      </c>
      <c r="J1064" s="43">
        <f>IFERROR(IF(OR($J$962="",$F$962=""),"",($J$962-$F$962)*10000),"")</f>
        <v/>
      </c>
      <c r="K1064" s="43">
        <f>IFERROR(IF(OR($K$962="",$G$962=""),"",($K$962-$G$962)*10000),"")</f>
        <v/>
      </c>
      <c r="L1064" s="43">
        <f>IFERROR(IF(OR($L$962="",$H$962=""),"",($L$962-$H$962)*10000),"")</f>
        <v/>
      </c>
      <c r="M1064" s="44">
        <f>IFERROR(IF(OR($M$962="",$I$962=""),"",($M$962-$I$962)*10000),"")</f>
        <v/>
      </c>
      <c r="N1064" s="44">
        <f>IFERROR(IF(OR($N$962="",$J$962=""),"",($N$962-$J$962)*10000),"")</f>
        <v/>
      </c>
    </row>
    <row r="1065">
      <c r="A1065" s="19">
        <f>'SW Rev'!$A44</f>
        <v/>
      </c>
      <c r="B1065" s="19">
        <f>'SW Rev'!$B44</f>
        <v/>
      </c>
      <c r="C1065" s="43">
        <f>""</f>
        <v/>
      </c>
      <c r="D1065" s="43">
        <f>""</f>
        <v/>
      </c>
      <c r="E1065" s="43">
        <f>""</f>
        <v/>
      </c>
      <c r="F1065" s="43">
        <f>IFERROR(IF(OR($F$963="",IF(SUM('SW Rev'!C44:F44)&lt;=0,"",SUM('SW FCF'!C44:F44)/SUM('SW Rev'!C44:F44))=""),"",($F$963-IF(SUM('SW Rev'!C44:F44)&lt;=0,"",SUM('SW FCF'!C44:F44)/SUM('SW Rev'!C44:F44)))*10000),"")</f>
        <v/>
      </c>
      <c r="G1065" s="43">
        <f>IFERROR(IF(OR($G$963="",$C$963=""),"",($G$963-$C$963)*10000),"")</f>
        <v/>
      </c>
      <c r="H1065" s="43">
        <f>IFERROR(IF(OR($H$963="",$D$963=""),"",($H$963-$D$963)*10000),"")</f>
        <v/>
      </c>
      <c r="I1065" s="43">
        <f>IFERROR(IF(OR($I$963="",$E$963=""),"",($I$963-$E$963)*10000),"")</f>
        <v/>
      </c>
      <c r="J1065" s="43">
        <f>IFERROR(IF(OR($J$963="",$F$963=""),"",($J$963-$F$963)*10000),"")</f>
        <v/>
      </c>
      <c r="K1065" s="43">
        <f>IFERROR(IF(OR($K$963="",$G$963=""),"",($K$963-$G$963)*10000),"")</f>
        <v/>
      </c>
      <c r="L1065" s="43">
        <f>IFERROR(IF(OR($L$963="",$H$963=""),"",($L$963-$H$963)*10000),"")</f>
        <v/>
      </c>
      <c r="M1065" s="44">
        <f>IFERROR(IF(OR($M$963="",$I$963=""),"",($M$963-$I$963)*10000),"")</f>
        <v/>
      </c>
      <c r="N1065" s="44">
        <f>IFERROR(IF(OR($N$963="",$J$963=""),"",($N$963-$J$963)*10000),"")</f>
        <v/>
      </c>
    </row>
    <row r="1066">
      <c r="A1066" s="19">
        <f>'SW Rev'!$A45</f>
        <v/>
      </c>
      <c r="B1066" s="19">
        <f>'SW Rev'!$B45</f>
        <v/>
      </c>
      <c r="C1066" s="43">
        <f>""</f>
        <v/>
      </c>
      <c r="D1066" s="43">
        <f>""</f>
        <v/>
      </c>
      <c r="E1066" s="43">
        <f>""</f>
        <v/>
      </c>
      <c r="F1066" s="43">
        <f>IFERROR(IF(OR($F$964="",IF(SUM('SW Rev'!C45:F45)&lt;=0,"",SUM('SW FCF'!C45:F45)/SUM('SW Rev'!C45:F45))=""),"",($F$964-IF(SUM('SW Rev'!C45:F45)&lt;=0,"",SUM('SW FCF'!C45:F45)/SUM('SW Rev'!C45:F45)))*10000),"")</f>
        <v/>
      </c>
      <c r="G1066" s="43">
        <f>IFERROR(IF(OR($G$964="",$C$964=""),"",($G$964-$C$964)*10000),"")</f>
        <v/>
      </c>
      <c r="H1066" s="43">
        <f>IFERROR(IF(OR($H$964="",$D$964=""),"",($H$964-$D$964)*10000),"")</f>
        <v/>
      </c>
      <c r="I1066" s="43">
        <f>IFERROR(IF(OR($I$964="",$E$964=""),"",($I$964-$E$964)*10000),"")</f>
        <v/>
      </c>
      <c r="J1066" s="43">
        <f>IFERROR(IF(OR($J$964="",$F$964=""),"",($J$964-$F$964)*10000),"")</f>
        <v/>
      </c>
      <c r="K1066" s="43">
        <f>IFERROR(IF(OR($K$964="",$G$964=""),"",($K$964-$G$964)*10000),"")</f>
        <v/>
      </c>
      <c r="L1066" s="43">
        <f>IFERROR(IF(OR($L$964="",$H$964=""),"",($L$964-$H$964)*10000),"")</f>
        <v/>
      </c>
      <c r="M1066" s="44">
        <f>IFERROR(IF(OR($M$964="",$I$964=""),"",($M$964-$I$964)*10000),"")</f>
        <v/>
      </c>
      <c r="N1066" s="44">
        <f>IFERROR(IF(OR($N$964="",$J$964=""),"",($N$964-$J$964)*10000),"")</f>
        <v/>
      </c>
    </row>
    <row r="1067">
      <c r="A1067" s="19">
        <f>'SW Rev'!$A46</f>
        <v/>
      </c>
      <c r="B1067" s="19">
        <f>'SW Rev'!$B46</f>
        <v/>
      </c>
      <c r="C1067" s="43">
        <f>""</f>
        <v/>
      </c>
      <c r="D1067" s="43">
        <f>""</f>
        <v/>
      </c>
      <c r="E1067" s="43">
        <f>""</f>
        <v/>
      </c>
      <c r="F1067" s="43">
        <f>IFERROR(IF(OR($F$965="",IF(SUM('SW Rev'!C46:F46)&lt;=0,"",SUM('SW FCF'!C46:F46)/SUM('SW Rev'!C46:F46))=""),"",($F$965-IF(SUM('SW Rev'!C46:F46)&lt;=0,"",SUM('SW FCF'!C46:F46)/SUM('SW Rev'!C46:F46)))*10000),"")</f>
        <v/>
      </c>
      <c r="G1067" s="43">
        <f>IFERROR(IF(OR($G$965="",$C$965=""),"",($G$965-$C$965)*10000),"")</f>
        <v/>
      </c>
      <c r="H1067" s="43">
        <f>IFERROR(IF(OR($H$965="",$D$965=""),"",($H$965-$D$965)*10000),"")</f>
        <v/>
      </c>
      <c r="I1067" s="43">
        <f>IFERROR(IF(OR($I$965="",$E$965=""),"",($I$965-$E$965)*10000),"")</f>
        <v/>
      </c>
      <c r="J1067" s="43">
        <f>IFERROR(IF(OR($J$965="",$F$965=""),"",($J$965-$F$965)*10000),"")</f>
        <v/>
      </c>
      <c r="K1067" s="43">
        <f>IFERROR(IF(OR($K$965="",$G$965=""),"",($K$965-$G$965)*10000),"")</f>
        <v/>
      </c>
      <c r="L1067" s="43">
        <f>IFERROR(IF(OR($L$965="",$H$965=""),"",($L$965-$H$965)*10000),"")</f>
        <v/>
      </c>
      <c r="M1067" s="44">
        <f>IFERROR(IF(OR($M$965="",$I$965=""),"",($M$965-$I$965)*10000),"")</f>
        <v/>
      </c>
      <c r="N1067" s="44">
        <f>IFERROR(IF(OR($N$965="",$J$965=""),"",($N$965-$J$965)*10000),"")</f>
        <v/>
      </c>
    </row>
    <row r="1068">
      <c r="A1068" s="19">
        <f>'SW Rev'!$A47</f>
        <v/>
      </c>
      <c r="B1068" s="19">
        <f>'SW Rev'!$B47</f>
        <v/>
      </c>
      <c r="C1068" s="43">
        <f>""</f>
        <v/>
      </c>
      <c r="D1068" s="43">
        <f>""</f>
        <v/>
      </c>
      <c r="E1068" s="43">
        <f>""</f>
        <v/>
      </c>
      <c r="F1068" s="43">
        <f>IFERROR(IF(OR($F$966="",IF(SUM('SW Rev'!C47:F47)&lt;=0,"",SUM('SW FCF'!C47:F47)/SUM('SW Rev'!C47:F47))=""),"",($F$966-IF(SUM('SW Rev'!C47:F47)&lt;=0,"",SUM('SW FCF'!C47:F47)/SUM('SW Rev'!C47:F47)))*10000),"")</f>
        <v/>
      </c>
      <c r="G1068" s="43">
        <f>IFERROR(IF(OR($G$966="",$C$966=""),"",($G$966-$C$966)*10000),"")</f>
        <v/>
      </c>
      <c r="H1068" s="43">
        <f>IFERROR(IF(OR($H$966="",$D$966=""),"",($H$966-$D$966)*10000),"")</f>
        <v/>
      </c>
      <c r="I1068" s="43">
        <f>IFERROR(IF(OR($I$966="",$E$966=""),"",($I$966-$E$966)*10000),"")</f>
        <v/>
      </c>
      <c r="J1068" s="43">
        <f>IFERROR(IF(OR($J$966="",$F$966=""),"",($J$966-$F$966)*10000),"")</f>
        <v/>
      </c>
      <c r="K1068" s="43">
        <f>IFERROR(IF(OR($K$966="",$G$966=""),"",($K$966-$G$966)*10000),"")</f>
        <v/>
      </c>
      <c r="L1068" s="43">
        <f>IFERROR(IF(OR($L$966="",$H$966=""),"",($L$966-$H$966)*10000),"")</f>
        <v/>
      </c>
      <c r="M1068" s="44">
        <f>IFERROR(IF(OR($M$966="",$I$966=""),"",($M$966-$I$966)*10000),"")</f>
        <v/>
      </c>
      <c r="N1068" s="44">
        <f>IFERROR(IF(OR($N$966="",$J$966=""),"",($N$966-$J$966)*10000),"")</f>
        <v/>
      </c>
    </row>
    <row r="1069">
      <c r="A1069" s="19">
        <f>'SW Rev'!$A48</f>
        <v/>
      </c>
      <c r="B1069" s="19">
        <f>'SW Rev'!$B48</f>
        <v/>
      </c>
      <c r="C1069" s="43">
        <f>""</f>
        <v/>
      </c>
      <c r="D1069" s="43">
        <f>""</f>
        <v/>
      </c>
      <c r="E1069" s="43">
        <f>""</f>
        <v/>
      </c>
      <c r="F1069" s="43">
        <f>IFERROR(IF(OR($F$967="",IF(SUM('SW Rev'!C48:F48)&lt;=0,"",SUM('SW FCF'!C48:F48)/SUM('SW Rev'!C48:F48))=""),"",($F$967-IF(SUM('SW Rev'!C48:F48)&lt;=0,"",SUM('SW FCF'!C48:F48)/SUM('SW Rev'!C48:F48)))*10000),"")</f>
        <v/>
      </c>
      <c r="G1069" s="43">
        <f>IFERROR(IF(OR($G$967="",$C$967=""),"",($G$967-$C$967)*10000),"")</f>
        <v/>
      </c>
      <c r="H1069" s="43">
        <f>IFERROR(IF(OR($H$967="",$D$967=""),"",($H$967-$D$967)*10000),"")</f>
        <v/>
      </c>
      <c r="I1069" s="43">
        <f>IFERROR(IF(OR($I$967="",$E$967=""),"",($I$967-$E$967)*10000),"")</f>
        <v/>
      </c>
      <c r="J1069" s="43">
        <f>IFERROR(IF(OR($J$967="",$F$967=""),"",($J$967-$F$967)*10000),"")</f>
        <v/>
      </c>
      <c r="K1069" s="43">
        <f>IFERROR(IF(OR($K$967="",$G$967=""),"",($K$967-$G$967)*10000),"")</f>
        <v/>
      </c>
      <c r="L1069" s="43">
        <f>IFERROR(IF(OR($L$967="",$H$967=""),"",($L$967-$H$967)*10000),"")</f>
        <v/>
      </c>
      <c r="M1069" s="44">
        <f>IFERROR(IF(OR($M$967="",$I$967=""),"",($M$967-$I$967)*10000),"")</f>
        <v/>
      </c>
      <c r="N1069" s="44">
        <f>IFERROR(IF(OR($N$967="",$J$967=""),"",($N$967-$J$967)*10000),"")</f>
        <v/>
      </c>
    </row>
    <row r="1070">
      <c r="A1070" s="19">
        <f>'SW Rev'!$A49</f>
        <v/>
      </c>
      <c r="B1070" s="19">
        <f>'SW Rev'!$B49</f>
        <v/>
      </c>
      <c r="C1070" s="43">
        <f>""</f>
        <v/>
      </c>
      <c r="D1070" s="43">
        <f>""</f>
        <v/>
      </c>
      <c r="E1070" s="43">
        <f>""</f>
        <v/>
      </c>
      <c r="F1070" s="43">
        <f>IFERROR(IF(OR($F$968="",IF(SUM('SW Rev'!C49:F49)&lt;=0,"",SUM('SW FCF'!C49:F49)/SUM('SW Rev'!C49:F49))=""),"",($F$968-IF(SUM('SW Rev'!C49:F49)&lt;=0,"",SUM('SW FCF'!C49:F49)/SUM('SW Rev'!C49:F49)))*10000),"")</f>
        <v/>
      </c>
      <c r="G1070" s="43">
        <f>IFERROR(IF(OR($G$968="",$C$968=""),"",($G$968-$C$968)*10000),"")</f>
        <v/>
      </c>
      <c r="H1070" s="43">
        <f>IFERROR(IF(OR($H$968="",$D$968=""),"",($H$968-$D$968)*10000),"")</f>
        <v/>
      </c>
      <c r="I1070" s="43">
        <f>IFERROR(IF(OR($I$968="",$E$968=""),"",($I$968-$E$968)*10000),"")</f>
        <v/>
      </c>
      <c r="J1070" s="43">
        <f>IFERROR(IF(OR($J$968="",$F$968=""),"",($J$968-$F$968)*10000),"")</f>
        <v/>
      </c>
      <c r="K1070" s="43">
        <f>IFERROR(IF(OR($K$968="",$G$968=""),"",($K$968-$G$968)*10000),"")</f>
        <v/>
      </c>
      <c r="L1070" s="43">
        <f>IFERROR(IF(OR($L$968="",$H$968=""),"",($L$968-$H$968)*10000),"")</f>
        <v/>
      </c>
      <c r="M1070" s="44">
        <f>IFERROR(IF(OR($M$968="",$I$968=""),"",($M$968-$I$968)*10000),"")</f>
        <v/>
      </c>
      <c r="N1070" s="44">
        <f>IFERROR(IF(OR($N$968="",$J$968=""),"",($N$968-$J$968)*10000),"")</f>
        <v/>
      </c>
    </row>
    <row r="1071">
      <c r="A1071" s="19">
        <f>'SW Rev'!$A50</f>
        <v/>
      </c>
      <c r="B1071" s="19">
        <f>'SW Rev'!$B50</f>
        <v/>
      </c>
      <c r="C1071" s="43">
        <f>""</f>
        <v/>
      </c>
      <c r="D1071" s="43">
        <f>""</f>
        <v/>
      </c>
      <c r="E1071" s="43">
        <f>""</f>
        <v/>
      </c>
      <c r="F1071" s="43">
        <f>IFERROR(IF(OR($F$969="",IF(SUM('SW Rev'!C50:F50)&lt;=0,"",SUM('SW FCF'!C50:F50)/SUM('SW Rev'!C50:F50))=""),"",($F$969-IF(SUM('SW Rev'!C50:F50)&lt;=0,"",SUM('SW FCF'!C50:F50)/SUM('SW Rev'!C50:F50)))*10000),"")</f>
        <v/>
      </c>
      <c r="G1071" s="43">
        <f>IFERROR(IF(OR($G$969="",$C$969=""),"",($G$969-$C$969)*10000),"")</f>
        <v/>
      </c>
      <c r="H1071" s="43">
        <f>IFERROR(IF(OR($H$969="",$D$969=""),"",($H$969-$D$969)*10000),"")</f>
        <v/>
      </c>
      <c r="I1071" s="43">
        <f>IFERROR(IF(OR($I$969="",$E$969=""),"",($I$969-$E$969)*10000),"")</f>
        <v/>
      </c>
      <c r="J1071" s="43">
        <f>IFERROR(IF(OR($J$969="",$F$969=""),"",($J$969-$F$969)*10000),"")</f>
        <v/>
      </c>
      <c r="K1071" s="43">
        <f>IFERROR(IF(OR($K$969="",$G$969=""),"",($K$969-$G$969)*10000),"")</f>
        <v/>
      </c>
      <c r="L1071" s="43">
        <f>IFERROR(IF(OR($L$969="",$H$969=""),"",($L$969-$H$969)*10000),"")</f>
        <v/>
      </c>
      <c r="M1071" s="44">
        <f>IFERROR(IF(OR($M$969="",$I$969=""),"",($M$969-$I$969)*10000),"")</f>
        <v/>
      </c>
      <c r="N1071" s="44">
        <f>IFERROR(IF(OR($N$969="",$J$969=""),"",($N$969-$J$969)*10000),"")</f>
        <v/>
      </c>
    </row>
    <row r="1072">
      <c r="A1072" s="19">
        <f>'SW Rev'!$A51</f>
        <v/>
      </c>
      <c r="B1072" s="19">
        <f>'SW Rev'!$B51</f>
        <v/>
      </c>
      <c r="C1072" s="43">
        <f>""</f>
        <v/>
      </c>
      <c r="D1072" s="43">
        <f>""</f>
        <v/>
      </c>
      <c r="E1072" s="43">
        <f>""</f>
        <v/>
      </c>
      <c r="F1072" s="43">
        <f>IFERROR(IF(OR($F$970="",IF(SUM('SW Rev'!C51:F51)&lt;=0,"",SUM('SW FCF'!C51:F51)/SUM('SW Rev'!C51:F51))=""),"",($F$970-IF(SUM('SW Rev'!C51:F51)&lt;=0,"",SUM('SW FCF'!C51:F51)/SUM('SW Rev'!C51:F51)))*10000),"")</f>
        <v/>
      </c>
      <c r="G1072" s="43">
        <f>IFERROR(IF(OR($G$970="",$C$970=""),"",($G$970-$C$970)*10000),"")</f>
        <v/>
      </c>
      <c r="H1072" s="43">
        <f>IFERROR(IF(OR($H$970="",$D$970=""),"",($H$970-$D$970)*10000),"")</f>
        <v/>
      </c>
      <c r="I1072" s="43">
        <f>IFERROR(IF(OR($I$970="",$E$970=""),"",($I$970-$E$970)*10000),"")</f>
        <v/>
      </c>
      <c r="J1072" s="43">
        <f>IFERROR(IF(OR($J$970="",$F$970=""),"",($J$970-$F$970)*10000),"")</f>
        <v/>
      </c>
      <c r="K1072" s="43">
        <f>IFERROR(IF(OR($K$970="",$G$970=""),"",($K$970-$G$970)*10000),"")</f>
        <v/>
      </c>
      <c r="L1072" s="43">
        <f>IFERROR(IF(OR($L$970="",$H$970=""),"",($L$970-$H$970)*10000),"")</f>
        <v/>
      </c>
      <c r="M1072" s="44">
        <f>IFERROR(IF(OR($M$970="",$I$970=""),"",($M$970-$I$970)*10000),"")</f>
        <v/>
      </c>
      <c r="N1072" s="44">
        <f>IFERROR(IF(OR($N$970="",$J$970=""),"",($N$970-$J$970)*10000),"")</f>
        <v/>
      </c>
    </row>
    <row r="1073">
      <c r="A1073" s="19">
        <f>'SW Rev'!$A52</f>
        <v/>
      </c>
      <c r="B1073" s="19">
        <f>'SW Rev'!$B52</f>
        <v/>
      </c>
      <c r="C1073" s="43">
        <f>""</f>
        <v/>
      </c>
      <c r="D1073" s="43">
        <f>""</f>
        <v/>
      </c>
      <c r="E1073" s="43">
        <f>""</f>
        <v/>
      </c>
      <c r="F1073" s="43">
        <f>IFERROR(IF(OR($F$971="",IF(SUM('SW Rev'!C52:F52)&lt;=0,"",SUM('SW FCF'!C52:F52)/SUM('SW Rev'!C52:F52))=""),"",($F$971-IF(SUM('SW Rev'!C52:F52)&lt;=0,"",SUM('SW FCF'!C52:F52)/SUM('SW Rev'!C52:F52)))*10000),"")</f>
        <v/>
      </c>
      <c r="G1073" s="43">
        <f>IFERROR(IF(OR($G$971="",$C$971=""),"",($G$971-$C$971)*10000),"")</f>
        <v/>
      </c>
      <c r="H1073" s="43">
        <f>IFERROR(IF(OR($H$971="",$D$971=""),"",($H$971-$D$971)*10000),"")</f>
        <v/>
      </c>
      <c r="I1073" s="43">
        <f>IFERROR(IF(OR($I$971="",$E$971=""),"",($I$971-$E$971)*10000),"")</f>
        <v/>
      </c>
      <c r="J1073" s="43">
        <f>IFERROR(IF(OR($J$971="",$F$971=""),"",($J$971-$F$971)*10000),"")</f>
        <v/>
      </c>
      <c r="K1073" s="43">
        <f>IFERROR(IF(OR($K$971="",$G$971=""),"",($K$971-$G$971)*10000),"")</f>
        <v/>
      </c>
      <c r="L1073" s="43">
        <f>IFERROR(IF(OR($L$971="",$H$971=""),"",($L$971-$H$971)*10000),"")</f>
        <v/>
      </c>
      <c r="M1073" s="44">
        <f>IFERROR(IF(OR($M$971="",$I$971=""),"",($M$971-$I$971)*10000),"")</f>
        <v/>
      </c>
      <c r="N1073" s="44">
        <f>IFERROR(IF(OR($N$971="",$J$971=""),"",($N$971-$J$971)*10000),"")</f>
        <v/>
      </c>
    </row>
    <row r="1074">
      <c r="A1074" s="19">
        <f>'SW Rev'!$A53</f>
        <v/>
      </c>
      <c r="B1074" s="19">
        <f>'SW Rev'!$B53</f>
        <v/>
      </c>
      <c r="C1074" s="43">
        <f>""</f>
        <v/>
      </c>
      <c r="D1074" s="43">
        <f>""</f>
        <v/>
      </c>
      <c r="E1074" s="43">
        <f>""</f>
        <v/>
      </c>
      <c r="F1074" s="43">
        <f>IFERROR(IF(OR($F$972="",IF(SUM('SW Rev'!C53:F53)&lt;=0,"",SUM('SW FCF'!C53:F53)/SUM('SW Rev'!C53:F53))=""),"",($F$972-IF(SUM('SW Rev'!C53:F53)&lt;=0,"",SUM('SW FCF'!C53:F53)/SUM('SW Rev'!C53:F53)))*10000),"")</f>
        <v/>
      </c>
      <c r="G1074" s="43">
        <f>IFERROR(IF(OR($G$972="",$C$972=""),"",($G$972-$C$972)*10000),"")</f>
        <v/>
      </c>
      <c r="H1074" s="43">
        <f>IFERROR(IF(OR($H$972="",$D$972=""),"",($H$972-$D$972)*10000),"")</f>
        <v/>
      </c>
      <c r="I1074" s="43">
        <f>IFERROR(IF(OR($I$972="",$E$972=""),"",($I$972-$E$972)*10000),"")</f>
        <v/>
      </c>
      <c r="J1074" s="43">
        <f>IFERROR(IF(OR($J$972="",$F$972=""),"",($J$972-$F$972)*10000),"")</f>
        <v/>
      </c>
      <c r="K1074" s="43">
        <f>IFERROR(IF(OR($K$972="",$G$972=""),"",($K$972-$G$972)*10000),"")</f>
        <v/>
      </c>
      <c r="L1074" s="43">
        <f>IFERROR(IF(OR($L$972="",$H$972=""),"",($L$972-$H$972)*10000),"")</f>
        <v/>
      </c>
      <c r="M1074" s="44">
        <f>IFERROR(IF(OR($M$972="",$I$972=""),"",($M$972-$I$972)*10000),"")</f>
        <v/>
      </c>
      <c r="N1074" s="44">
        <f>IFERROR(IF(OR($N$972="",$J$972=""),"",($N$972-$J$972)*10000),"")</f>
        <v/>
      </c>
    </row>
    <row r="1075">
      <c r="A1075" s="19">
        <f>'SW Rev'!$A54</f>
        <v/>
      </c>
      <c r="B1075" s="19">
        <f>'SW Rev'!$B54</f>
        <v/>
      </c>
      <c r="C1075" s="43">
        <f>""</f>
        <v/>
      </c>
      <c r="D1075" s="43">
        <f>""</f>
        <v/>
      </c>
      <c r="E1075" s="43">
        <f>""</f>
        <v/>
      </c>
      <c r="F1075" s="43">
        <f>IFERROR(IF(OR($F$973="",IF(SUM('SW Rev'!C54:F54)&lt;=0,"",SUM('SW FCF'!C54:F54)/SUM('SW Rev'!C54:F54))=""),"",($F$973-IF(SUM('SW Rev'!C54:F54)&lt;=0,"",SUM('SW FCF'!C54:F54)/SUM('SW Rev'!C54:F54)))*10000),"")</f>
        <v/>
      </c>
      <c r="G1075" s="43">
        <f>IFERROR(IF(OR($G$973="",$C$973=""),"",($G$973-$C$973)*10000),"")</f>
        <v/>
      </c>
      <c r="H1075" s="43">
        <f>IFERROR(IF(OR($H$973="",$D$973=""),"",($H$973-$D$973)*10000),"")</f>
        <v/>
      </c>
      <c r="I1075" s="43">
        <f>IFERROR(IF(OR($I$973="",$E$973=""),"",($I$973-$E$973)*10000),"")</f>
        <v/>
      </c>
      <c r="J1075" s="43">
        <f>IFERROR(IF(OR($J$973="",$F$973=""),"",($J$973-$F$973)*10000),"")</f>
        <v/>
      </c>
      <c r="K1075" s="43">
        <f>IFERROR(IF(OR($K$973="",$G$973=""),"",($K$973-$G$973)*10000),"")</f>
        <v/>
      </c>
      <c r="L1075" s="43">
        <f>IFERROR(IF(OR($L$973="",$H$973=""),"",($L$973-$H$973)*10000),"")</f>
        <v/>
      </c>
      <c r="M1075" s="44">
        <f>IFERROR(IF(OR($M$973="",$I$973=""),"",($M$973-$I$973)*10000),"")</f>
        <v/>
      </c>
      <c r="N1075" s="44">
        <f>IFERROR(IF(OR($N$973="",$J$973=""),"",($N$973-$J$973)*10000),"")</f>
        <v/>
      </c>
    </row>
    <row r="1076">
      <c r="A1076" s="19">
        <f>'SW Rev'!$A55</f>
        <v/>
      </c>
      <c r="B1076" s="19">
        <f>'SW Rev'!$B55</f>
        <v/>
      </c>
      <c r="C1076" s="43">
        <f>""</f>
        <v/>
      </c>
      <c r="D1076" s="43">
        <f>""</f>
        <v/>
      </c>
      <c r="E1076" s="43">
        <f>""</f>
        <v/>
      </c>
      <c r="F1076" s="43">
        <f>IFERROR(IF(OR($F$974="",IF(SUM('SW Rev'!C55:F55)&lt;=0,"",SUM('SW FCF'!C55:F55)/SUM('SW Rev'!C55:F55))=""),"",($F$974-IF(SUM('SW Rev'!C55:F55)&lt;=0,"",SUM('SW FCF'!C55:F55)/SUM('SW Rev'!C55:F55)))*10000),"")</f>
        <v/>
      </c>
      <c r="G1076" s="43">
        <f>IFERROR(IF(OR($G$974="",$C$974=""),"",($G$974-$C$974)*10000),"")</f>
        <v/>
      </c>
      <c r="H1076" s="43">
        <f>IFERROR(IF(OR($H$974="",$D$974=""),"",($H$974-$D$974)*10000),"")</f>
        <v/>
      </c>
      <c r="I1076" s="43">
        <f>IFERROR(IF(OR($I$974="",$E$974=""),"",($I$974-$E$974)*10000),"")</f>
        <v/>
      </c>
      <c r="J1076" s="43">
        <f>IFERROR(IF(OR($J$974="",$F$974=""),"",($J$974-$F$974)*10000),"")</f>
        <v/>
      </c>
      <c r="K1076" s="43">
        <f>IFERROR(IF(OR($K$974="",$G$974=""),"",($K$974-$G$974)*10000),"")</f>
        <v/>
      </c>
      <c r="L1076" s="43">
        <f>IFERROR(IF(OR($L$974="",$H$974=""),"",($L$974-$H$974)*10000),"")</f>
        <v/>
      </c>
      <c r="M1076" s="44">
        <f>IFERROR(IF(OR($M$974="",$I$974=""),"",($M$974-$I$974)*10000),"")</f>
        <v/>
      </c>
      <c r="N1076" s="44">
        <f>IFERROR(IF(OR($N$974="",$J$974=""),"",($N$974-$J$974)*10000),"")</f>
        <v/>
      </c>
    </row>
    <row r="1077">
      <c r="A1077" s="19">
        <f>'SW Rev'!$A56</f>
        <v/>
      </c>
      <c r="B1077" s="19">
        <f>'SW Rev'!$B56</f>
        <v/>
      </c>
      <c r="C1077" s="43">
        <f>""</f>
        <v/>
      </c>
      <c r="D1077" s="43">
        <f>""</f>
        <v/>
      </c>
      <c r="E1077" s="43">
        <f>""</f>
        <v/>
      </c>
      <c r="F1077" s="43">
        <f>IFERROR(IF(OR($F$975="",IF(SUM('SW Rev'!C56:F56)&lt;=0,"",SUM('SW FCF'!C56:F56)/SUM('SW Rev'!C56:F56))=""),"",($F$975-IF(SUM('SW Rev'!C56:F56)&lt;=0,"",SUM('SW FCF'!C56:F56)/SUM('SW Rev'!C56:F56)))*10000),"")</f>
        <v/>
      </c>
      <c r="G1077" s="43">
        <f>IFERROR(IF(OR($G$975="",$C$975=""),"",($G$975-$C$975)*10000),"")</f>
        <v/>
      </c>
      <c r="H1077" s="43">
        <f>IFERROR(IF(OR($H$975="",$D$975=""),"",($H$975-$D$975)*10000),"")</f>
        <v/>
      </c>
      <c r="I1077" s="43">
        <f>IFERROR(IF(OR($I$975="",$E$975=""),"",($I$975-$E$975)*10000),"")</f>
        <v/>
      </c>
      <c r="J1077" s="43">
        <f>IFERROR(IF(OR($J$975="",$F$975=""),"",($J$975-$F$975)*10000),"")</f>
        <v/>
      </c>
      <c r="K1077" s="43">
        <f>IFERROR(IF(OR($K$975="",$G$975=""),"",($K$975-$G$975)*10000),"")</f>
        <v/>
      </c>
      <c r="L1077" s="43">
        <f>IFERROR(IF(OR($L$975="",$H$975=""),"",($L$975-$H$975)*10000),"")</f>
        <v/>
      </c>
      <c r="M1077" s="44">
        <f>IFERROR(IF(OR($M$975="",$I$975=""),"",($M$975-$I$975)*10000),"")</f>
        <v/>
      </c>
      <c r="N1077" s="44">
        <f>IFERROR(IF(OR($N$975="",$J$975=""),"",($N$975-$J$975)*10000),"")</f>
        <v/>
      </c>
    </row>
    <row r="1078">
      <c r="A1078" s="19">
        <f>'SW Rev'!$A57</f>
        <v/>
      </c>
      <c r="B1078" s="19">
        <f>'SW Rev'!$B57</f>
        <v/>
      </c>
      <c r="C1078" s="43">
        <f>""</f>
        <v/>
      </c>
      <c r="D1078" s="43">
        <f>""</f>
        <v/>
      </c>
      <c r="E1078" s="43">
        <f>""</f>
        <v/>
      </c>
      <c r="F1078" s="43">
        <f>IFERROR(IF(OR($F$976="",IF(SUM('SW Rev'!C57:F57)&lt;=0,"",SUM('SW FCF'!C57:F57)/SUM('SW Rev'!C57:F57))=""),"",($F$976-IF(SUM('SW Rev'!C57:F57)&lt;=0,"",SUM('SW FCF'!C57:F57)/SUM('SW Rev'!C57:F57)))*10000),"")</f>
        <v/>
      </c>
      <c r="G1078" s="43">
        <f>IFERROR(IF(OR($G$976="",$C$976=""),"",($G$976-$C$976)*10000),"")</f>
        <v/>
      </c>
      <c r="H1078" s="43">
        <f>IFERROR(IF(OR($H$976="",$D$976=""),"",($H$976-$D$976)*10000),"")</f>
        <v/>
      </c>
      <c r="I1078" s="43">
        <f>IFERROR(IF(OR($I$976="",$E$976=""),"",($I$976-$E$976)*10000),"")</f>
        <v/>
      </c>
      <c r="J1078" s="43">
        <f>IFERROR(IF(OR($J$976="",$F$976=""),"",($J$976-$F$976)*10000),"")</f>
        <v/>
      </c>
      <c r="K1078" s="43">
        <f>IFERROR(IF(OR($K$976="",$G$976=""),"",($K$976-$G$976)*10000),"")</f>
        <v/>
      </c>
      <c r="L1078" s="43">
        <f>IFERROR(IF(OR($L$976="",$H$976=""),"",($L$976-$H$976)*10000),"")</f>
        <v/>
      </c>
      <c r="M1078" s="44">
        <f>IFERROR(IF(OR($M$976="",$I$976=""),"",($M$976-$I$976)*10000),"")</f>
        <v/>
      </c>
      <c r="N1078" s="44">
        <f>IFERROR(IF(OR($N$976="",$J$976=""),"",($N$976-$J$976)*10000),"")</f>
        <v/>
      </c>
    </row>
    <row r="1079">
      <c r="A1079" s="19">
        <f>'SW Rev'!$A58</f>
        <v/>
      </c>
      <c r="B1079" s="19">
        <f>'SW Rev'!$B58</f>
        <v/>
      </c>
      <c r="C1079" s="43">
        <f>""</f>
        <v/>
      </c>
      <c r="D1079" s="43">
        <f>""</f>
        <v/>
      </c>
      <c r="E1079" s="43">
        <f>""</f>
        <v/>
      </c>
      <c r="F1079" s="43">
        <f>IFERROR(IF(OR($F$977="",IF(SUM('SW Rev'!C58:F58)&lt;=0,"",SUM('SW FCF'!C58:F58)/SUM('SW Rev'!C58:F58))=""),"",($F$977-IF(SUM('SW Rev'!C58:F58)&lt;=0,"",SUM('SW FCF'!C58:F58)/SUM('SW Rev'!C58:F58)))*10000),"")</f>
        <v/>
      </c>
      <c r="G1079" s="43">
        <f>IFERROR(IF(OR($G$977="",$C$977=""),"",($G$977-$C$977)*10000),"")</f>
        <v/>
      </c>
      <c r="H1079" s="43">
        <f>IFERROR(IF(OR($H$977="",$D$977=""),"",($H$977-$D$977)*10000),"")</f>
        <v/>
      </c>
      <c r="I1079" s="43">
        <f>IFERROR(IF(OR($I$977="",$E$977=""),"",($I$977-$E$977)*10000),"")</f>
        <v/>
      </c>
      <c r="J1079" s="43">
        <f>IFERROR(IF(OR($J$977="",$F$977=""),"",($J$977-$F$977)*10000),"")</f>
        <v/>
      </c>
      <c r="K1079" s="43">
        <f>IFERROR(IF(OR($K$977="",$G$977=""),"",($K$977-$G$977)*10000),"")</f>
        <v/>
      </c>
      <c r="L1079" s="43">
        <f>IFERROR(IF(OR($L$977="",$H$977=""),"",($L$977-$H$977)*10000),"")</f>
        <v/>
      </c>
      <c r="M1079" s="44">
        <f>IFERROR(IF(OR($M$977="",$I$977=""),"",($M$977-$I$977)*10000),"")</f>
        <v/>
      </c>
      <c r="N1079" s="44">
        <f>IFERROR(IF(OR($N$977="",$J$977=""),"",($N$977-$J$977)*10000),"")</f>
        <v/>
      </c>
    </row>
    <row r="1080">
      <c r="A1080" s="19">
        <f>'SW Rev'!$A59</f>
        <v/>
      </c>
      <c r="B1080" s="19">
        <f>'SW Rev'!$B59</f>
        <v/>
      </c>
      <c r="C1080" s="43">
        <f>""</f>
        <v/>
      </c>
      <c r="D1080" s="43">
        <f>""</f>
        <v/>
      </c>
      <c r="E1080" s="43">
        <f>""</f>
        <v/>
      </c>
      <c r="F1080" s="43">
        <f>IFERROR(IF(OR($F$978="",IF(SUM('SW Rev'!C59:F59)&lt;=0,"",SUM('SW FCF'!C59:F59)/SUM('SW Rev'!C59:F59))=""),"",($F$978-IF(SUM('SW Rev'!C59:F59)&lt;=0,"",SUM('SW FCF'!C59:F59)/SUM('SW Rev'!C59:F59)))*10000),"")</f>
        <v/>
      </c>
      <c r="G1080" s="43">
        <f>IFERROR(IF(OR($G$978="",$C$978=""),"",($G$978-$C$978)*10000),"")</f>
        <v/>
      </c>
      <c r="H1080" s="43">
        <f>IFERROR(IF(OR($H$978="",$D$978=""),"",($H$978-$D$978)*10000),"")</f>
        <v/>
      </c>
      <c r="I1080" s="43">
        <f>IFERROR(IF(OR($I$978="",$E$978=""),"",($I$978-$E$978)*10000),"")</f>
        <v/>
      </c>
      <c r="J1080" s="43">
        <f>IFERROR(IF(OR($J$978="",$F$978=""),"",($J$978-$F$978)*10000),"")</f>
        <v/>
      </c>
      <c r="K1080" s="43">
        <f>IFERROR(IF(OR($K$978="",$G$978=""),"",($K$978-$G$978)*10000),"")</f>
        <v/>
      </c>
      <c r="L1080" s="43">
        <f>IFERROR(IF(OR($L$978="",$H$978=""),"",($L$978-$H$978)*10000),"")</f>
        <v/>
      </c>
      <c r="M1080" s="44">
        <f>IFERROR(IF(OR($M$978="",$I$978=""),"",($M$978-$I$978)*10000),"")</f>
        <v/>
      </c>
      <c r="N1080" s="44">
        <f>IFERROR(IF(OR($N$978="",$J$978=""),"",($N$978-$J$978)*10000),"")</f>
        <v/>
      </c>
    </row>
    <row r="1081">
      <c r="A1081" s="19">
        <f>'SW Rev'!$A60</f>
        <v/>
      </c>
      <c r="B1081" s="19">
        <f>'SW Rev'!$B60</f>
        <v/>
      </c>
      <c r="C1081" s="43">
        <f>""</f>
        <v/>
      </c>
      <c r="D1081" s="43">
        <f>""</f>
        <v/>
      </c>
      <c r="E1081" s="43">
        <f>""</f>
        <v/>
      </c>
      <c r="F1081" s="43">
        <f>IFERROR(IF(OR($F$979="",IF(SUM('SW Rev'!C60:F60)&lt;=0,"",SUM('SW FCF'!C60:F60)/SUM('SW Rev'!C60:F60))=""),"",($F$979-IF(SUM('SW Rev'!C60:F60)&lt;=0,"",SUM('SW FCF'!C60:F60)/SUM('SW Rev'!C60:F60)))*10000),"")</f>
        <v/>
      </c>
      <c r="G1081" s="43">
        <f>IFERROR(IF(OR($G$979="",$C$979=""),"",($G$979-$C$979)*10000),"")</f>
        <v/>
      </c>
      <c r="H1081" s="43">
        <f>IFERROR(IF(OR($H$979="",$D$979=""),"",($H$979-$D$979)*10000),"")</f>
        <v/>
      </c>
      <c r="I1081" s="43">
        <f>IFERROR(IF(OR($I$979="",$E$979=""),"",($I$979-$E$979)*10000),"")</f>
        <v/>
      </c>
      <c r="J1081" s="43">
        <f>IFERROR(IF(OR($J$979="",$F$979=""),"",($J$979-$F$979)*10000),"")</f>
        <v/>
      </c>
      <c r="K1081" s="43">
        <f>IFERROR(IF(OR($K$979="",$G$979=""),"",($K$979-$G$979)*10000),"")</f>
        <v/>
      </c>
      <c r="L1081" s="43">
        <f>IFERROR(IF(OR($L$979="",$H$979=""),"",($L$979-$H$979)*10000),"")</f>
        <v/>
      </c>
      <c r="M1081" s="44">
        <f>IFERROR(IF(OR($M$979="",$I$979=""),"",($M$979-$I$979)*10000),"")</f>
        <v/>
      </c>
      <c r="N1081" s="44">
        <f>IFERROR(IF(OR($N$979="",$J$979=""),"",($N$979-$J$979)*10000),"")</f>
        <v/>
      </c>
    </row>
    <row r="1082">
      <c r="A1082" s="19">
        <f>'SW Rev'!$A61</f>
        <v/>
      </c>
      <c r="B1082" s="19">
        <f>'SW Rev'!$B61</f>
        <v/>
      </c>
      <c r="C1082" s="43">
        <f>""</f>
        <v/>
      </c>
      <c r="D1082" s="43">
        <f>""</f>
        <v/>
      </c>
      <c r="E1082" s="43">
        <f>""</f>
        <v/>
      </c>
      <c r="F1082" s="43">
        <f>IFERROR(IF(OR($F$980="",IF(SUM('SW Rev'!C61:F61)&lt;=0,"",SUM('SW FCF'!C61:F61)/SUM('SW Rev'!C61:F61))=""),"",($F$980-IF(SUM('SW Rev'!C61:F61)&lt;=0,"",SUM('SW FCF'!C61:F61)/SUM('SW Rev'!C61:F61)))*10000),"")</f>
        <v/>
      </c>
      <c r="G1082" s="43">
        <f>IFERROR(IF(OR($G$980="",$C$980=""),"",($G$980-$C$980)*10000),"")</f>
        <v/>
      </c>
      <c r="H1082" s="43">
        <f>IFERROR(IF(OR($H$980="",$D$980=""),"",($H$980-$D$980)*10000),"")</f>
        <v/>
      </c>
      <c r="I1082" s="43">
        <f>IFERROR(IF(OR($I$980="",$E$980=""),"",($I$980-$E$980)*10000),"")</f>
        <v/>
      </c>
      <c r="J1082" s="43">
        <f>IFERROR(IF(OR($J$980="",$F$980=""),"",($J$980-$F$980)*10000),"")</f>
        <v/>
      </c>
      <c r="K1082" s="43">
        <f>IFERROR(IF(OR($K$980="",$G$980=""),"",($K$980-$G$980)*10000),"")</f>
        <v/>
      </c>
      <c r="L1082" s="43">
        <f>IFERROR(IF(OR($L$980="",$H$980=""),"",($L$980-$H$980)*10000),"")</f>
        <v/>
      </c>
      <c r="M1082" s="44">
        <f>IFERROR(IF(OR($M$980="",$I$980=""),"",($M$980-$I$980)*10000),"")</f>
        <v/>
      </c>
      <c r="N1082" s="44">
        <f>IFERROR(IF(OR($N$980="",$J$980=""),"",($N$980-$J$980)*10000),"")</f>
        <v/>
      </c>
    </row>
    <row r="1083">
      <c r="A1083" s="19">
        <f>'SW Rev'!$A62</f>
        <v/>
      </c>
      <c r="B1083" s="19">
        <f>'SW Rev'!$B62</f>
        <v/>
      </c>
      <c r="C1083" s="43">
        <f>""</f>
        <v/>
      </c>
      <c r="D1083" s="43">
        <f>""</f>
        <v/>
      </c>
      <c r="E1083" s="43">
        <f>""</f>
        <v/>
      </c>
      <c r="F1083" s="43">
        <f>IFERROR(IF(OR($F$981="",IF(SUM('SW Rev'!C62:F62)&lt;=0,"",SUM('SW FCF'!C62:F62)/SUM('SW Rev'!C62:F62))=""),"",($F$981-IF(SUM('SW Rev'!C62:F62)&lt;=0,"",SUM('SW FCF'!C62:F62)/SUM('SW Rev'!C62:F62)))*10000),"")</f>
        <v/>
      </c>
      <c r="G1083" s="43">
        <f>IFERROR(IF(OR($G$981="",$C$981=""),"",($G$981-$C$981)*10000),"")</f>
        <v/>
      </c>
      <c r="H1083" s="43">
        <f>IFERROR(IF(OR($H$981="",$D$981=""),"",($H$981-$D$981)*10000),"")</f>
        <v/>
      </c>
      <c r="I1083" s="43">
        <f>IFERROR(IF(OR($I$981="",$E$981=""),"",($I$981-$E$981)*10000),"")</f>
        <v/>
      </c>
      <c r="J1083" s="43">
        <f>IFERROR(IF(OR($J$981="",$F$981=""),"",($J$981-$F$981)*10000),"")</f>
        <v/>
      </c>
      <c r="K1083" s="43">
        <f>IFERROR(IF(OR($K$981="",$G$981=""),"",($K$981-$G$981)*10000),"")</f>
        <v/>
      </c>
      <c r="L1083" s="43">
        <f>IFERROR(IF(OR($L$981="",$H$981=""),"",($L$981-$H$981)*10000),"")</f>
        <v/>
      </c>
      <c r="M1083" s="44">
        <f>IFERROR(IF(OR($M$981="",$I$981=""),"",($M$981-$I$981)*10000),"")</f>
        <v/>
      </c>
      <c r="N1083" s="44">
        <f>IFERROR(IF(OR($N$981="",$J$981=""),"",($N$981-$J$981)*10000),"")</f>
        <v/>
      </c>
    </row>
    <row r="1084">
      <c r="A1084" s="19">
        <f>'SW Rev'!$A63</f>
        <v/>
      </c>
      <c r="B1084" s="19">
        <f>'SW Rev'!$B63</f>
        <v/>
      </c>
      <c r="C1084" s="43">
        <f>""</f>
        <v/>
      </c>
      <c r="D1084" s="43">
        <f>""</f>
        <v/>
      </c>
      <c r="E1084" s="43">
        <f>""</f>
        <v/>
      </c>
      <c r="F1084" s="43">
        <f>IFERROR(IF(OR($F$982="",IF(SUM('SW Rev'!C63:F63)&lt;=0,"",SUM('SW FCF'!C63:F63)/SUM('SW Rev'!C63:F63))=""),"",($F$982-IF(SUM('SW Rev'!C63:F63)&lt;=0,"",SUM('SW FCF'!C63:F63)/SUM('SW Rev'!C63:F63)))*10000),"")</f>
        <v/>
      </c>
      <c r="G1084" s="43">
        <f>IFERROR(IF(OR($G$982="",$C$982=""),"",($G$982-$C$982)*10000),"")</f>
        <v/>
      </c>
      <c r="H1084" s="43">
        <f>IFERROR(IF(OR($H$982="",$D$982=""),"",($H$982-$D$982)*10000),"")</f>
        <v/>
      </c>
      <c r="I1084" s="43">
        <f>IFERROR(IF(OR($I$982="",$E$982=""),"",($I$982-$E$982)*10000),"")</f>
        <v/>
      </c>
      <c r="J1084" s="43">
        <f>IFERROR(IF(OR($J$982="",$F$982=""),"",($J$982-$F$982)*10000),"")</f>
        <v/>
      </c>
      <c r="K1084" s="43">
        <f>IFERROR(IF(OR($K$982="",$G$982=""),"",($K$982-$G$982)*10000),"")</f>
        <v/>
      </c>
      <c r="L1084" s="43">
        <f>IFERROR(IF(OR($L$982="",$H$982=""),"",($L$982-$H$982)*10000),"")</f>
        <v/>
      </c>
      <c r="M1084" s="44">
        <f>IFERROR(IF(OR($M$982="",$I$982=""),"",($M$982-$I$982)*10000),"")</f>
        <v/>
      </c>
      <c r="N1084" s="44">
        <f>IFERROR(IF(OR($N$982="",$J$982=""),"",($N$982-$J$982)*10000),"")</f>
        <v/>
      </c>
    </row>
    <row r="1085">
      <c r="A1085" s="19">
        <f>'SW Rev'!$A64</f>
        <v/>
      </c>
      <c r="B1085" s="19">
        <f>'SW Rev'!$B64</f>
        <v/>
      </c>
      <c r="C1085" s="43">
        <f>""</f>
        <v/>
      </c>
      <c r="D1085" s="43">
        <f>""</f>
        <v/>
      </c>
      <c r="E1085" s="43">
        <f>""</f>
        <v/>
      </c>
      <c r="F1085" s="43">
        <f>IFERROR(IF(OR($F$983="",IF(SUM('SW Rev'!C64:F64)&lt;=0,"",SUM('SW FCF'!C64:F64)/SUM('SW Rev'!C64:F64))=""),"",($F$983-IF(SUM('SW Rev'!C64:F64)&lt;=0,"",SUM('SW FCF'!C64:F64)/SUM('SW Rev'!C64:F64)))*10000),"")</f>
        <v/>
      </c>
      <c r="G1085" s="43">
        <f>IFERROR(IF(OR($G$983="",$C$983=""),"",($G$983-$C$983)*10000),"")</f>
        <v/>
      </c>
      <c r="H1085" s="43">
        <f>IFERROR(IF(OR($H$983="",$D$983=""),"",($H$983-$D$983)*10000),"")</f>
        <v/>
      </c>
      <c r="I1085" s="43">
        <f>IFERROR(IF(OR($I$983="",$E$983=""),"",($I$983-$E$983)*10000),"")</f>
        <v/>
      </c>
      <c r="J1085" s="43">
        <f>IFERROR(IF(OR($J$983="",$F$983=""),"",($J$983-$F$983)*10000),"")</f>
        <v/>
      </c>
      <c r="K1085" s="43">
        <f>IFERROR(IF(OR($K$983="",$G$983=""),"",($K$983-$G$983)*10000),"")</f>
        <v/>
      </c>
      <c r="L1085" s="43">
        <f>IFERROR(IF(OR($L$983="",$H$983=""),"",($L$983-$H$983)*10000),"")</f>
        <v/>
      </c>
      <c r="M1085" s="44">
        <f>IFERROR(IF(OR($M$983="",$I$983=""),"",($M$983-$I$983)*10000),"")</f>
        <v/>
      </c>
      <c r="N1085" s="44">
        <f>IFERROR(IF(OR($N$983="",$J$983=""),"",($N$983-$J$983)*10000),"")</f>
        <v/>
      </c>
    </row>
    <row r="1086">
      <c r="A1086" s="19">
        <f>'SW Rev'!$A65</f>
        <v/>
      </c>
      <c r="B1086" s="19">
        <f>'SW Rev'!$B65</f>
        <v/>
      </c>
      <c r="C1086" s="43">
        <f>""</f>
        <v/>
      </c>
      <c r="D1086" s="43">
        <f>""</f>
        <v/>
      </c>
      <c r="E1086" s="43">
        <f>""</f>
        <v/>
      </c>
      <c r="F1086" s="43">
        <f>IFERROR(IF(OR($F$984="",IF(SUM('SW Rev'!C65:F65)&lt;=0,"",SUM('SW FCF'!C65:F65)/SUM('SW Rev'!C65:F65))=""),"",($F$984-IF(SUM('SW Rev'!C65:F65)&lt;=0,"",SUM('SW FCF'!C65:F65)/SUM('SW Rev'!C65:F65)))*10000),"")</f>
        <v/>
      </c>
      <c r="G1086" s="43">
        <f>IFERROR(IF(OR($G$984="",$C$984=""),"",($G$984-$C$984)*10000),"")</f>
        <v/>
      </c>
      <c r="H1086" s="43">
        <f>IFERROR(IF(OR($H$984="",$D$984=""),"",($H$984-$D$984)*10000),"")</f>
        <v/>
      </c>
      <c r="I1086" s="43">
        <f>IFERROR(IF(OR($I$984="",$E$984=""),"",($I$984-$E$984)*10000),"")</f>
        <v/>
      </c>
      <c r="J1086" s="43">
        <f>IFERROR(IF(OR($J$984="",$F$984=""),"",($J$984-$F$984)*10000),"")</f>
        <v/>
      </c>
      <c r="K1086" s="43">
        <f>IFERROR(IF(OR($K$984="",$G$984=""),"",($K$984-$G$984)*10000),"")</f>
        <v/>
      </c>
      <c r="L1086" s="43">
        <f>IFERROR(IF(OR($L$984="",$H$984=""),"",($L$984-$H$984)*10000),"")</f>
        <v/>
      </c>
      <c r="M1086" s="44">
        <f>IFERROR(IF(OR($M$984="",$I$984=""),"",($M$984-$I$984)*10000),"")</f>
        <v/>
      </c>
      <c r="N1086" s="44">
        <f>IFERROR(IF(OR($N$984="",$J$984=""),"",($N$984-$J$984)*10000),"")</f>
        <v/>
      </c>
    </row>
    <row r="1087">
      <c r="A1087" s="19">
        <f>'SW Rev'!$A66</f>
        <v/>
      </c>
      <c r="B1087" s="19">
        <f>'SW Rev'!$B66</f>
        <v/>
      </c>
      <c r="C1087" s="43">
        <f>""</f>
        <v/>
      </c>
      <c r="D1087" s="43">
        <f>""</f>
        <v/>
      </c>
      <c r="E1087" s="43">
        <f>""</f>
        <v/>
      </c>
      <c r="F1087" s="43">
        <f>IFERROR(IF(OR($F$985="",IF(SUM('SW Rev'!C66:F66)&lt;=0,"",SUM('SW FCF'!C66:F66)/SUM('SW Rev'!C66:F66))=""),"",($F$985-IF(SUM('SW Rev'!C66:F66)&lt;=0,"",SUM('SW FCF'!C66:F66)/SUM('SW Rev'!C66:F66)))*10000),"")</f>
        <v/>
      </c>
      <c r="G1087" s="43">
        <f>IFERROR(IF(OR($G$985="",$C$985=""),"",($G$985-$C$985)*10000),"")</f>
        <v/>
      </c>
      <c r="H1087" s="43">
        <f>IFERROR(IF(OR($H$985="",$D$985=""),"",($H$985-$D$985)*10000),"")</f>
        <v/>
      </c>
      <c r="I1087" s="43">
        <f>IFERROR(IF(OR($I$985="",$E$985=""),"",($I$985-$E$985)*10000),"")</f>
        <v/>
      </c>
      <c r="J1087" s="43">
        <f>IFERROR(IF(OR($J$985="",$F$985=""),"",($J$985-$F$985)*10000),"")</f>
        <v/>
      </c>
      <c r="K1087" s="43">
        <f>IFERROR(IF(OR($K$985="",$G$985=""),"",($K$985-$G$985)*10000),"")</f>
        <v/>
      </c>
      <c r="L1087" s="43">
        <f>IFERROR(IF(OR($L$985="",$H$985=""),"",($L$985-$H$985)*10000),"")</f>
        <v/>
      </c>
      <c r="M1087" s="44">
        <f>IFERROR(IF(OR($M$985="",$I$985=""),"",($M$985-$I$985)*10000),"")</f>
        <v/>
      </c>
      <c r="N1087" s="44">
        <f>IFERROR(IF(OR($N$985="",$J$985=""),"",($N$985-$J$985)*10000),"")</f>
        <v/>
      </c>
    </row>
    <row r="1088">
      <c r="A1088" s="19">
        <f>'SW Rev'!$A67</f>
        <v/>
      </c>
      <c r="B1088" s="19">
        <f>'SW Rev'!$B67</f>
        <v/>
      </c>
      <c r="C1088" s="43">
        <f>""</f>
        <v/>
      </c>
      <c r="D1088" s="43">
        <f>""</f>
        <v/>
      </c>
      <c r="E1088" s="43">
        <f>""</f>
        <v/>
      </c>
      <c r="F1088" s="43">
        <f>IFERROR(IF(OR($F$986="",IF(SUM('SW Rev'!C67:F67)&lt;=0,"",SUM('SW FCF'!C67:F67)/SUM('SW Rev'!C67:F67))=""),"",($F$986-IF(SUM('SW Rev'!C67:F67)&lt;=0,"",SUM('SW FCF'!C67:F67)/SUM('SW Rev'!C67:F67)))*10000),"")</f>
        <v/>
      </c>
      <c r="G1088" s="43">
        <f>IFERROR(IF(OR($G$986="",$C$986=""),"",($G$986-$C$986)*10000),"")</f>
        <v/>
      </c>
      <c r="H1088" s="43">
        <f>IFERROR(IF(OR($H$986="",$D$986=""),"",($H$986-$D$986)*10000),"")</f>
        <v/>
      </c>
      <c r="I1088" s="43">
        <f>IFERROR(IF(OR($I$986="",$E$986=""),"",($I$986-$E$986)*10000),"")</f>
        <v/>
      </c>
      <c r="J1088" s="43">
        <f>IFERROR(IF(OR($J$986="",$F$986=""),"",($J$986-$F$986)*10000),"")</f>
        <v/>
      </c>
      <c r="K1088" s="43">
        <f>IFERROR(IF(OR($K$986="",$G$986=""),"",($K$986-$G$986)*10000),"")</f>
        <v/>
      </c>
      <c r="L1088" s="43">
        <f>IFERROR(IF(OR($L$986="",$H$986=""),"",($L$986-$H$986)*10000),"")</f>
        <v/>
      </c>
      <c r="M1088" s="44">
        <f>IFERROR(IF(OR($M$986="",$I$986=""),"",($M$986-$I$986)*10000),"")</f>
        <v/>
      </c>
      <c r="N1088" s="44">
        <f>IFERROR(IF(OR($N$986="",$J$986=""),"",($N$986-$J$986)*10000),"")</f>
        <v/>
      </c>
    </row>
    <row r="1089">
      <c r="A1089" s="19">
        <f>'SW Rev'!$A68</f>
        <v/>
      </c>
      <c r="B1089" s="19">
        <f>'SW Rev'!$B68</f>
        <v/>
      </c>
      <c r="C1089" s="43">
        <f>""</f>
        <v/>
      </c>
      <c r="D1089" s="43">
        <f>""</f>
        <v/>
      </c>
      <c r="E1089" s="43">
        <f>""</f>
        <v/>
      </c>
      <c r="F1089" s="43">
        <f>IFERROR(IF(OR($F$987="",IF(SUM('SW Rev'!C68:F68)&lt;=0,"",SUM('SW FCF'!C68:F68)/SUM('SW Rev'!C68:F68))=""),"",($F$987-IF(SUM('SW Rev'!C68:F68)&lt;=0,"",SUM('SW FCF'!C68:F68)/SUM('SW Rev'!C68:F68)))*10000),"")</f>
        <v/>
      </c>
      <c r="G1089" s="43">
        <f>IFERROR(IF(OR($G$987="",$C$987=""),"",($G$987-$C$987)*10000),"")</f>
        <v/>
      </c>
      <c r="H1089" s="43">
        <f>IFERROR(IF(OR($H$987="",$D$987=""),"",($H$987-$D$987)*10000),"")</f>
        <v/>
      </c>
      <c r="I1089" s="43">
        <f>IFERROR(IF(OR($I$987="",$E$987=""),"",($I$987-$E$987)*10000),"")</f>
        <v/>
      </c>
      <c r="J1089" s="43">
        <f>IFERROR(IF(OR($J$987="",$F$987=""),"",($J$987-$F$987)*10000),"")</f>
        <v/>
      </c>
      <c r="K1089" s="43">
        <f>IFERROR(IF(OR($K$987="",$G$987=""),"",($K$987-$G$987)*10000),"")</f>
        <v/>
      </c>
      <c r="L1089" s="43">
        <f>IFERROR(IF(OR($L$987="",$H$987=""),"",($L$987-$H$987)*10000),"")</f>
        <v/>
      </c>
      <c r="M1089" s="44">
        <f>IFERROR(IF(OR($M$987="",$I$987=""),"",($M$987-$I$987)*10000),"")</f>
        <v/>
      </c>
      <c r="N1089" s="44">
        <f>IFERROR(IF(OR($N$987="",$J$987=""),"",($N$987-$J$987)*10000),"")</f>
        <v/>
      </c>
    </row>
    <row r="1090">
      <c r="A1090" s="19">
        <f>'SW Rev'!$A69</f>
        <v/>
      </c>
      <c r="B1090" s="19">
        <f>'SW Rev'!$B69</f>
        <v/>
      </c>
      <c r="C1090" s="43">
        <f>""</f>
        <v/>
      </c>
      <c r="D1090" s="43">
        <f>""</f>
        <v/>
      </c>
      <c r="E1090" s="43">
        <f>""</f>
        <v/>
      </c>
      <c r="F1090" s="43">
        <f>IFERROR(IF(OR($F$988="",IF(SUM('SW Rev'!C69:F69)&lt;=0,"",SUM('SW FCF'!C69:F69)/SUM('SW Rev'!C69:F69))=""),"",($F$988-IF(SUM('SW Rev'!C69:F69)&lt;=0,"",SUM('SW FCF'!C69:F69)/SUM('SW Rev'!C69:F69)))*10000),"")</f>
        <v/>
      </c>
      <c r="G1090" s="43">
        <f>IFERROR(IF(OR($G$988="",$C$988=""),"",($G$988-$C$988)*10000),"")</f>
        <v/>
      </c>
      <c r="H1090" s="43">
        <f>IFERROR(IF(OR($H$988="",$D$988=""),"",($H$988-$D$988)*10000),"")</f>
        <v/>
      </c>
      <c r="I1090" s="43">
        <f>IFERROR(IF(OR($I$988="",$E$988=""),"",($I$988-$E$988)*10000),"")</f>
        <v/>
      </c>
      <c r="J1090" s="43">
        <f>IFERROR(IF(OR($J$988="",$F$988=""),"",($J$988-$F$988)*10000),"")</f>
        <v/>
      </c>
      <c r="K1090" s="43">
        <f>IFERROR(IF(OR($K$988="",$G$988=""),"",($K$988-$G$988)*10000),"")</f>
        <v/>
      </c>
      <c r="L1090" s="43">
        <f>IFERROR(IF(OR($L$988="",$H$988=""),"",($L$988-$H$988)*10000),"")</f>
        <v/>
      </c>
      <c r="M1090" s="44">
        <f>IFERROR(IF(OR($M$988="",$I$988=""),"",($M$988-$I$988)*10000),"")</f>
        <v/>
      </c>
      <c r="N1090" s="44">
        <f>IFERROR(IF(OR($N$988="",$J$988=""),"",($N$988-$J$988)*10000),"")</f>
        <v/>
      </c>
    </row>
    <row r="1091">
      <c r="A1091" s="19">
        <f>'SW Rev'!$A70</f>
        <v/>
      </c>
      <c r="B1091" s="19">
        <f>'SW Rev'!$B70</f>
        <v/>
      </c>
      <c r="C1091" s="43">
        <f>""</f>
        <v/>
      </c>
      <c r="D1091" s="43">
        <f>""</f>
        <v/>
      </c>
      <c r="E1091" s="43">
        <f>""</f>
        <v/>
      </c>
      <c r="F1091" s="43">
        <f>IFERROR(IF(OR($F$989="",IF(SUM('SW Rev'!C70:F70)&lt;=0,"",SUM('SW FCF'!C70:F70)/SUM('SW Rev'!C70:F70))=""),"",($F$989-IF(SUM('SW Rev'!C70:F70)&lt;=0,"",SUM('SW FCF'!C70:F70)/SUM('SW Rev'!C70:F70)))*10000),"")</f>
        <v/>
      </c>
      <c r="G1091" s="43">
        <f>IFERROR(IF(OR($G$989="",$C$989=""),"",($G$989-$C$989)*10000),"")</f>
        <v/>
      </c>
      <c r="H1091" s="43">
        <f>IFERROR(IF(OR($H$989="",$D$989=""),"",($H$989-$D$989)*10000),"")</f>
        <v/>
      </c>
      <c r="I1091" s="43">
        <f>IFERROR(IF(OR($I$989="",$E$989=""),"",($I$989-$E$989)*10000),"")</f>
        <v/>
      </c>
      <c r="J1091" s="43">
        <f>IFERROR(IF(OR($J$989="",$F$989=""),"",($J$989-$F$989)*10000),"")</f>
        <v/>
      </c>
      <c r="K1091" s="43">
        <f>IFERROR(IF(OR($K$989="",$G$989=""),"",($K$989-$G$989)*10000),"")</f>
        <v/>
      </c>
      <c r="L1091" s="43">
        <f>IFERROR(IF(OR($L$989="",$H$989=""),"",($L$989-$H$989)*10000),"")</f>
        <v/>
      </c>
      <c r="M1091" s="44">
        <f>IFERROR(IF(OR($M$989="",$I$989=""),"",($M$989-$I$989)*10000),"")</f>
        <v/>
      </c>
      <c r="N1091" s="44">
        <f>IFERROR(IF(OR($N$989="",$J$989=""),"",($N$989-$J$989)*10000),"")</f>
        <v/>
      </c>
    </row>
    <row r="1092">
      <c r="A1092" s="19">
        <f>'SW Rev'!$A71</f>
        <v/>
      </c>
      <c r="B1092" s="19">
        <f>'SW Rev'!$B71</f>
        <v/>
      </c>
      <c r="C1092" s="43">
        <f>""</f>
        <v/>
      </c>
      <c r="D1092" s="43">
        <f>""</f>
        <v/>
      </c>
      <c r="E1092" s="43">
        <f>""</f>
        <v/>
      </c>
      <c r="F1092" s="43">
        <f>IFERROR(IF(OR($F$990="",IF(SUM('SW Rev'!C71:F71)&lt;=0,"",SUM('SW FCF'!C71:F71)/SUM('SW Rev'!C71:F71))=""),"",($F$990-IF(SUM('SW Rev'!C71:F71)&lt;=0,"",SUM('SW FCF'!C71:F71)/SUM('SW Rev'!C71:F71)))*10000),"")</f>
        <v/>
      </c>
      <c r="G1092" s="43">
        <f>IFERROR(IF(OR($G$990="",$C$990=""),"",($G$990-$C$990)*10000),"")</f>
        <v/>
      </c>
      <c r="H1092" s="43">
        <f>IFERROR(IF(OR($H$990="",$D$990=""),"",($H$990-$D$990)*10000),"")</f>
        <v/>
      </c>
      <c r="I1092" s="43">
        <f>IFERROR(IF(OR($I$990="",$E$990=""),"",($I$990-$E$990)*10000),"")</f>
        <v/>
      </c>
      <c r="J1092" s="43">
        <f>IFERROR(IF(OR($J$990="",$F$990=""),"",($J$990-$F$990)*10000),"")</f>
        <v/>
      </c>
      <c r="K1092" s="43">
        <f>IFERROR(IF(OR($K$990="",$G$990=""),"",($K$990-$G$990)*10000),"")</f>
        <v/>
      </c>
      <c r="L1092" s="43">
        <f>IFERROR(IF(OR($L$990="",$H$990=""),"",($L$990-$H$990)*10000),"")</f>
        <v/>
      </c>
      <c r="M1092" s="44">
        <f>IFERROR(IF(OR($M$990="",$I$990=""),"",($M$990-$I$990)*10000),"")</f>
        <v/>
      </c>
      <c r="N1092" s="44">
        <f>IFERROR(IF(OR($N$990="",$J$990=""),"",($N$990-$J$990)*10000),"")</f>
        <v/>
      </c>
    </row>
    <row r="1093">
      <c r="A1093" s="19">
        <f>'SW Rev'!$A72</f>
        <v/>
      </c>
      <c r="B1093" s="19">
        <f>'SW Rev'!$B72</f>
        <v/>
      </c>
      <c r="C1093" s="43">
        <f>""</f>
        <v/>
      </c>
      <c r="D1093" s="43">
        <f>""</f>
        <v/>
      </c>
      <c r="E1093" s="43">
        <f>""</f>
        <v/>
      </c>
      <c r="F1093" s="43">
        <f>IFERROR(IF(OR($F$991="",IF(SUM('SW Rev'!C72:F72)&lt;=0,"",SUM('SW FCF'!C72:F72)/SUM('SW Rev'!C72:F72))=""),"",($F$991-IF(SUM('SW Rev'!C72:F72)&lt;=0,"",SUM('SW FCF'!C72:F72)/SUM('SW Rev'!C72:F72)))*10000),"")</f>
        <v/>
      </c>
      <c r="G1093" s="43">
        <f>IFERROR(IF(OR($G$991="",$C$991=""),"",($G$991-$C$991)*10000),"")</f>
        <v/>
      </c>
      <c r="H1093" s="43">
        <f>IFERROR(IF(OR($H$991="",$D$991=""),"",($H$991-$D$991)*10000),"")</f>
        <v/>
      </c>
      <c r="I1093" s="43">
        <f>IFERROR(IF(OR($I$991="",$E$991=""),"",($I$991-$E$991)*10000),"")</f>
        <v/>
      </c>
      <c r="J1093" s="43">
        <f>IFERROR(IF(OR($J$991="",$F$991=""),"",($J$991-$F$991)*10000),"")</f>
        <v/>
      </c>
      <c r="K1093" s="43">
        <f>IFERROR(IF(OR($K$991="",$G$991=""),"",($K$991-$G$991)*10000),"")</f>
        <v/>
      </c>
      <c r="L1093" s="43">
        <f>IFERROR(IF(OR($L$991="",$H$991=""),"",($L$991-$H$991)*10000),"")</f>
        <v/>
      </c>
      <c r="M1093" s="44">
        <f>IFERROR(IF(OR($M$991="",$I$991=""),"",($M$991-$I$991)*10000),"")</f>
        <v/>
      </c>
      <c r="N1093" s="44">
        <f>IFERROR(IF(OR($N$991="",$J$991=""),"",($N$991-$J$991)*10000),"")</f>
        <v/>
      </c>
    </row>
    <row r="1094">
      <c r="A1094" s="19">
        <f>'SW Rev'!$A73</f>
        <v/>
      </c>
      <c r="B1094" s="19">
        <f>'SW Rev'!$B73</f>
        <v/>
      </c>
      <c r="C1094" s="43">
        <f>""</f>
        <v/>
      </c>
      <c r="D1094" s="43">
        <f>""</f>
        <v/>
      </c>
      <c r="E1094" s="43">
        <f>""</f>
        <v/>
      </c>
      <c r="F1094" s="43">
        <f>IFERROR(IF(OR($F$992="",IF(SUM('SW Rev'!C73:F73)&lt;=0,"",SUM('SW FCF'!C73:F73)/SUM('SW Rev'!C73:F73))=""),"",($F$992-IF(SUM('SW Rev'!C73:F73)&lt;=0,"",SUM('SW FCF'!C73:F73)/SUM('SW Rev'!C73:F73)))*10000),"")</f>
        <v/>
      </c>
      <c r="G1094" s="43">
        <f>IFERROR(IF(OR($G$992="",$C$992=""),"",($G$992-$C$992)*10000),"")</f>
        <v/>
      </c>
      <c r="H1094" s="43">
        <f>IFERROR(IF(OR($H$992="",$D$992=""),"",($H$992-$D$992)*10000),"")</f>
        <v/>
      </c>
      <c r="I1094" s="43">
        <f>IFERROR(IF(OR($I$992="",$E$992=""),"",($I$992-$E$992)*10000),"")</f>
        <v/>
      </c>
      <c r="J1094" s="43">
        <f>IFERROR(IF(OR($J$992="",$F$992=""),"",($J$992-$F$992)*10000),"")</f>
        <v/>
      </c>
      <c r="K1094" s="43">
        <f>IFERROR(IF(OR($K$992="",$G$992=""),"",($K$992-$G$992)*10000),"")</f>
        <v/>
      </c>
      <c r="L1094" s="43">
        <f>IFERROR(IF(OR($L$992="",$H$992=""),"",($L$992-$H$992)*10000),"")</f>
        <v/>
      </c>
      <c r="M1094" s="44">
        <f>IFERROR(IF(OR($M$992="",$I$992=""),"",($M$992-$I$992)*10000),"")</f>
        <v/>
      </c>
      <c r="N1094" s="44">
        <f>IFERROR(IF(OR($N$992="",$J$992=""),"",($N$992-$J$992)*10000),"")</f>
        <v/>
      </c>
    </row>
    <row r="1095">
      <c r="A1095" s="19">
        <f>'SW Rev'!$A74</f>
        <v/>
      </c>
      <c r="B1095" s="19">
        <f>'SW Rev'!$B74</f>
        <v/>
      </c>
      <c r="C1095" s="43">
        <f>""</f>
        <v/>
      </c>
      <c r="D1095" s="43">
        <f>""</f>
        <v/>
      </c>
      <c r="E1095" s="43">
        <f>""</f>
        <v/>
      </c>
      <c r="F1095" s="43">
        <f>IFERROR(IF(OR($F$993="",IF(SUM('SW Rev'!C74:F74)&lt;=0,"",SUM('SW FCF'!C74:F74)/SUM('SW Rev'!C74:F74))=""),"",($F$993-IF(SUM('SW Rev'!C74:F74)&lt;=0,"",SUM('SW FCF'!C74:F74)/SUM('SW Rev'!C74:F74)))*10000),"")</f>
        <v/>
      </c>
      <c r="G1095" s="43">
        <f>IFERROR(IF(OR($G$993="",$C$993=""),"",($G$993-$C$993)*10000),"")</f>
        <v/>
      </c>
      <c r="H1095" s="43">
        <f>IFERROR(IF(OR($H$993="",$D$993=""),"",($H$993-$D$993)*10000),"")</f>
        <v/>
      </c>
      <c r="I1095" s="43">
        <f>IFERROR(IF(OR($I$993="",$E$993=""),"",($I$993-$E$993)*10000),"")</f>
        <v/>
      </c>
      <c r="J1095" s="43">
        <f>IFERROR(IF(OR($J$993="",$F$993=""),"",($J$993-$F$993)*10000),"")</f>
        <v/>
      </c>
      <c r="K1095" s="43">
        <f>IFERROR(IF(OR($K$993="",$G$993=""),"",($K$993-$G$993)*10000),"")</f>
        <v/>
      </c>
      <c r="L1095" s="43">
        <f>IFERROR(IF(OR($L$993="",$H$993=""),"",($L$993-$H$993)*10000),"")</f>
        <v/>
      </c>
      <c r="M1095" s="44">
        <f>IFERROR(IF(OR($M$993="",$I$993=""),"",($M$993-$I$993)*10000),"")</f>
        <v/>
      </c>
      <c r="N1095" s="44">
        <f>IFERROR(IF(OR($N$993="",$J$993=""),"",($N$993-$J$993)*10000),"")</f>
        <v/>
      </c>
    </row>
    <row r="1096">
      <c r="A1096" s="19">
        <f>'SW Rev'!$A75</f>
        <v/>
      </c>
      <c r="B1096" s="19">
        <f>'SW Rev'!$B75</f>
        <v/>
      </c>
      <c r="C1096" s="43">
        <f>""</f>
        <v/>
      </c>
      <c r="D1096" s="43">
        <f>""</f>
        <v/>
      </c>
      <c r="E1096" s="43">
        <f>""</f>
        <v/>
      </c>
      <c r="F1096" s="43">
        <f>IFERROR(IF(OR($F$994="",IF(SUM('SW Rev'!C75:F75)&lt;=0,"",SUM('SW FCF'!C75:F75)/SUM('SW Rev'!C75:F75))=""),"",($F$994-IF(SUM('SW Rev'!C75:F75)&lt;=0,"",SUM('SW FCF'!C75:F75)/SUM('SW Rev'!C75:F75)))*10000),"")</f>
        <v/>
      </c>
      <c r="G1096" s="43">
        <f>IFERROR(IF(OR($G$994="",$C$994=""),"",($G$994-$C$994)*10000),"")</f>
        <v/>
      </c>
      <c r="H1096" s="43">
        <f>IFERROR(IF(OR($H$994="",$D$994=""),"",($H$994-$D$994)*10000),"")</f>
        <v/>
      </c>
      <c r="I1096" s="43">
        <f>IFERROR(IF(OR($I$994="",$E$994=""),"",($I$994-$E$994)*10000),"")</f>
        <v/>
      </c>
      <c r="J1096" s="43">
        <f>IFERROR(IF(OR($J$994="",$F$994=""),"",($J$994-$F$994)*10000),"")</f>
        <v/>
      </c>
      <c r="K1096" s="43">
        <f>IFERROR(IF(OR($K$994="",$G$994=""),"",($K$994-$G$994)*10000),"")</f>
        <v/>
      </c>
      <c r="L1096" s="43">
        <f>IFERROR(IF(OR($L$994="",$H$994=""),"",($L$994-$H$994)*10000),"")</f>
        <v/>
      </c>
      <c r="M1096" s="44">
        <f>IFERROR(IF(OR($M$994="",$I$994=""),"",($M$994-$I$994)*10000),"")</f>
        <v/>
      </c>
      <c r="N1096" s="44">
        <f>IFERROR(IF(OR($N$994="",$J$994=""),"",($N$994-$J$994)*10000),"")</f>
        <v/>
      </c>
    </row>
    <row r="1097">
      <c r="A1097" s="19">
        <f>'SW Rev'!$A76</f>
        <v/>
      </c>
      <c r="B1097" s="19">
        <f>'SW Rev'!$B76</f>
        <v/>
      </c>
      <c r="C1097" s="43">
        <f>""</f>
        <v/>
      </c>
      <c r="D1097" s="43">
        <f>""</f>
        <v/>
      </c>
      <c r="E1097" s="43">
        <f>""</f>
        <v/>
      </c>
      <c r="F1097" s="43">
        <f>IFERROR(IF(OR($F$995="",IF(SUM('SW Rev'!C76:F76)&lt;=0,"",SUM('SW FCF'!C76:F76)/SUM('SW Rev'!C76:F76))=""),"",($F$995-IF(SUM('SW Rev'!C76:F76)&lt;=0,"",SUM('SW FCF'!C76:F76)/SUM('SW Rev'!C76:F76)))*10000),"")</f>
        <v/>
      </c>
      <c r="G1097" s="43">
        <f>IFERROR(IF(OR($G$995="",$C$995=""),"",($G$995-$C$995)*10000),"")</f>
        <v/>
      </c>
      <c r="H1097" s="43">
        <f>IFERROR(IF(OR($H$995="",$D$995=""),"",($H$995-$D$995)*10000),"")</f>
        <v/>
      </c>
      <c r="I1097" s="43">
        <f>IFERROR(IF(OR($I$995="",$E$995=""),"",($I$995-$E$995)*10000),"")</f>
        <v/>
      </c>
      <c r="J1097" s="43">
        <f>IFERROR(IF(OR($J$995="",$F$995=""),"",($J$995-$F$995)*10000),"")</f>
        <v/>
      </c>
      <c r="K1097" s="43">
        <f>IFERROR(IF(OR($K$995="",$G$995=""),"",($K$995-$G$995)*10000),"")</f>
        <v/>
      </c>
      <c r="L1097" s="43">
        <f>IFERROR(IF(OR($L$995="",$H$995=""),"",($L$995-$H$995)*10000),"")</f>
        <v/>
      </c>
      <c r="M1097" s="44">
        <f>IFERROR(IF(OR($M$995="",$I$995=""),"",($M$995-$I$995)*10000),"")</f>
        <v/>
      </c>
      <c r="N1097" s="44">
        <f>IFERROR(IF(OR($N$995="",$J$995=""),"",($N$995-$J$995)*10000),"")</f>
        <v/>
      </c>
    </row>
    <row r="1098">
      <c r="A1098" s="19">
        <f>'SW Rev'!$A77</f>
        <v/>
      </c>
      <c r="B1098" s="19">
        <f>'SW Rev'!$B77</f>
        <v/>
      </c>
      <c r="C1098" s="43">
        <f>""</f>
        <v/>
      </c>
      <c r="D1098" s="43">
        <f>""</f>
        <v/>
      </c>
      <c r="E1098" s="43">
        <f>""</f>
        <v/>
      </c>
      <c r="F1098" s="43">
        <f>IFERROR(IF(OR($F$996="",IF(SUM('SW Rev'!C77:F77)&lt;=0,"",SUM('SW FCF'!C77:F77)/SUM('SW Rev'!C77:F77))=""),"",($F$996-IF(SUM('SW Rev'!C77:F77)&lt;=0,"",SUM('SW FCF'!C77:F77)/SUM('SW Rev'!C77:F77)))*10000),"")</f>
        <v/>
      </c>
      <c r="G1098" s="43">
        <f>IFERROR(IF(OR($G$996="",$C$996=""),"",($G$996-$C$996)*10000),"")</f>
        <v/>
      </c>
      <c r="H1098" s="43">
        <f>IFERROR(IF(OR($H$996="",$D$996=""),"",($H$996-$D$996)*10000),"")</f>
        <v/>
      </c>
      <c r="I1098" s="43">
        <f>IFERROR(IF(OR($I$996="",$E$996=""),"",($I$996-$E$996)*10000),"")</f>
        <v/>
      </c>
      <c r="J1098" s="43">
        <f>IFERROR(IF(OR($J$996="",$F$996=""),"",($J$996-$F$996)*10000),"")</f>
        <v/>
      </c>
      <c r="K1098" s="43">
        <f>IFERROR(IF(OR($K$996="",$G$996=""),"",($K$996-$G$996)*10000),"")</f>
        <v/>
      </c>
      <c r="L1098" s="43">
        <f>IFERROR(IF(OR($L$996="",$H$996=""),"",($L$996-$H$996)*10000),"")</f>
        <v/>
      </c>
      <c r="M1098" s="44">
        <f>IFERROR(IF(OR($M$996="",$I$996=""),"",($M$996-$I$996)*10000),"")</f>
        <v/>
      </c>
      <c r="N1098" s="44">
        <f>IFERROR(IF(OR($N$996="",$J$996=""),"",($N$996-$J$996)*10000),"")</f>
        <v/>
      </c>
    </row>
    <row r="1099">
      <c r="A1099" s="19">
        <f>'SW Rev'!$A78</f>
        <v/>
      </c>
      <c r="B1099" s="19">
        <f>'SW Rev'!$B78</f>
        <v/>
      </c>
      <c r="C1099" s="43">
        <f>""</f>
        <v/>
      </c>
      <c r="D1099" s="43">
        <f>""</f>
        <v/>
      </c>
      <c r="E1099" s="43">
        <f>""</f>
        <v/>
      </c>
      <c r="F1099" s="43">
        <f>IFERROR(IF(OR($F$997="",IF(SUM('SW Rev'!C78:F78)&lt;=0,"",SUM('SW FCF'!C78:F78)/SUM('SW Rev'!C78:F78))=""),"",($F$997-IF(SUM('SW Rev'!C78:F78)&lt;=0,"",SUM('SW FCF'!C78:F78)/SUM('SW Rev'!C78:F78)))*10000),"")</f>
        <v/>
      </c>
      <c r="G1099" s="43">
        <f>IFERROR(IF(OR($G$997="",$C$997=""),"",($G$997-$C$997)*10000),"")</f>
        <v/>
      </c>
      <c r="H1099" s="43">
        <f>IFERROR(IF(OR($H$997="",$D$997=""),"",($H$997-$D$997)*10000),"")</f>
        <v/>
      </c>
      <c r="I1099" s="43">
        <f>IFERROR(IF(OR($I$997="",$E$997=""),"",($I$997-$E$997)*10000),"")</f>
        <v/>
      </c>
      <c r="J1099" s="43">
        <f>IFERROR(IF(OR($J$997="",$F$997=""),"",($J$997-$F$997)*10000),"")</f>
        <v/>
      </c>
      <c r="K1099" s="43">
        <f>IFERROR(IF(OR($K$997="",$G$997=""),"",($K$997-$G$997)*10000),"")</f>
        <v/>
      </c>
      <c r="L1099" s="43">
        <f>IFERROR(IF(OR($L$997="",$H$997=""),"",($L$997-$H$997)*10000),"")</f>
        <v/>
      </c>
      <c r="M1099" s="44">
        <f>IFERROR(IF(OR($M$997="",$I$997=""),"",($M$997-$I$997)*10000),"")</f>
        <v/>
      </c>
      <c r="N1099" s="44">
        <f>IFERROR(IF(OR($N$997="",$J$997=""),"",($N$997-$J$997)*10000),"")</f>
        <v/>
      </c>
    </row>
    <row r="1100">
      <c r="A1100" s="19">
        <f>'SW Rev'!$A79</f>
        <v/>
      </c>
      <c r="B1100" s="19">
        <f>'SW Rev'!$B79</f>
        <v/>
      </c>
      <c r="C1100" s="43">
        <f>""</f>
        <v/>
      </c>
      <c r="D1100" s="43">
        <f>""</f>
        <v/>
      </c>
      <c r="E1100" s="43">
        <f>""</f>
        <v/>
      </c>
      <c r="F1100" s="43">
        <f>IFERROR(IF(OR($F$998="",IF(SUM('SW Rev'!C79:F79)&lt;=0,"",SUM('SW FCF'!C79:F79)/SUM('SW Rev'!C79:F79))=""),"",($F$998-IF(SUM('SW Rev'!C79:F79)&lt;=0,"",SUM('SW FCF'!C79:F79)/SUM('SW Rev'!C79:F79)))*10000),"")</f>
        <v/>
      </c>
      <c r="G1100" s="43">
        <f>IFERROR(IF(OR($G$998="",$C$998=""),"",($G$998-$C$998)*10000),"")</f>
        <v/>
      </c>
      <c r="H1100" s="43">
        <f>IFERROR(IF(OR($H$998="",$D$998=""),"",($H$998-$D$998)*10000),"")</f>
        <v/>
      </c>
      <c r="I1100" s="43">
        <f>IFERROR(IF(OR($I$998="",$E$998=""),"",($I$998-$E$998)*10000),"")</f>
        <v/>
      </c>
      <c r="J1100" s="43">
        <f>IFERROR(IF(OR($J$998="",$F$998=""),"",($J$998-$F$998)*10000),"")</f>
        <v/>
      </c>
      <c r="K1100" s="43">
        <f>IFERROR(IF(OR($K$998="",$G$998=""),"",($K$998-$G$998)*10000),"")</f>
        <v/>
      </c>
      <c r="L1100" s="43">
        <f>IFERROR(IF(OR($L$998="",$H$998=""),"",($L$998-$H$998)*10000),"")</f>
        <v/>
      </c>
      <c r="M1100" s="44">
        <f>IFERROR(IF(OR($M$998="",$I$998=""),"",($M$998-$I$998)*10000),"")</f>
        <v/>
      </c>
      <c r="N1100" s="44">
        <f>IFERROR(IF(OR($N$998="",$J$998=""),"",($N$998-$J$998)*10000),"")</f>
        <v/>
      </c>
    </row>
    <row r="1101">
      <c r="A1101" s="19">
        <f>'SW Rev'!$A80</f>
        <v/>
      </c>
      <c r="B1101" s="19">
        <f>'SW Rev'!$B80</f>
        <v/>
      </c>
      <c r="C1101" s="43">
        <f>""</f>
        <v/>
      </c>
      <c r="D1101" s="43">
        <f>""</f>
        <v/>
      </c>
      <c r="E1101" s="43">
        <f>""</f>
        <v/>
      </c>
      <c r="F1101" s="43">
        <f>IFERROR(IF(OR($F$999="",IF(SUM('SW Rev'!C80:F80)&lt;=0,"",SUM('SW FCF'!C80:F80)/SUM('SW Rev'!C80:F80))=""),"",($F$999-IF(SUM('SW Rev'!C80:F80)&lt;=0,"",SUM('SW FCF'!C80:F80)/SUM('SW Rev'!C80:F80)))*10000),"")</f>
        <v/>
      </c>
      <c r="G1101" s="43">
        <f>IFERROR(IF(OR($G$999="",$C$999=""),"",($G$999-$C$999)*10000),"")</f>
        <v/>
      </c>
      <c r="H1101" s="43">
        <f>IFERROR(IF(OR($H$999="",$D$999=""),"",($H$999-$D$999)*10000),"")</f>
        <v/>
      </c>
      <c r="I1101" s="43">
        <f>IFERROR(IF(OR($I$999="",$E$999=""),"",($I$999-$E$999)*10000),"")</f>
        <v/>
      </c>
      <c r="J1101" s="43">
        <f>IFERROR(IF(OR($J$999="",$F$999=""),"",($J$999-$F$999)*10000),"")</f>
        <v/>
      </c>
      <c r="K1101" s="43">
        <f>IFERROR(IF(OR($K$999="",$G$999=""),"",($K$999-$G$999)*10000),"")</f>
        <v/>
      </c>
      <c r="L1101" s="43">
        <f>IFERROR(IF(OR($L$999="",$H$999=""),"",($L$999-$H$999)*10000),"")</f>
        <v/>
      </c>
      <c r="M1101" s="44">
        <f>IFERROR(IF(OR($M$999="",$I$999=""),"",($M$999-$I$999)*10000),"")</f>
        <v/>
      </c>
      <c r="N1101" s="44">
        <f>IFERROR(IF(OR($N$999="",$J$999=""),"",($N$999-$J$999)*10000),"")</f>
        <v/>
      </c>
    </row>
    <row r="1102">
      <c r="A1102" s="19">
        <f>'SW Rev'!$A81</f>
        <v/>
      </c>
      <c r="B1102" s="19">
        <f>'SW Rev'!$B81</f>
        <v/>
      </c>
      <c r="C1102" s="43">
        <f>""</f>
        <v/>
      </c>
      <c r="D1102" s="43">
        <f>""</f>
        <v/>
      </c>
      <c r="E1102" s="43">
        <f>""</f>
        <v/>
      </c>
      <c r="F1102" s="43">
        <f>IFERROR(IF(OR($F$1000="",IF(SUM('SW Rev'!C81:F81)&lt;=0,"",SUM('SW FCF'!C81:F81)/SUM('SW Rev'!C81:F81))=""),"",($F$1000-IF(SUM('SW Rev'!C81:F81)&lt;=0,"",SUM('SW FCF'!C81:F81)/SUM('SW Rev'!C81:F81)))*10000),"")</f>
        <v/>
      </c>
      <c r="G1102" s="43">
        <f>IFERROR(IF(OR($G$1000="",$C$1000=""),"",($G$1000-$C$1000)*10000),"")</f>
        <v/>
      </c>
      <c r="H1102" s="43">
        <f>IFERROR(IF(OR($H$1000="",$D$1000=""),"",($H$1000-$D$1000)*10000),"")</f>
        <v/>
      </c>
      <c r="I1102" s="43">
        <f>IFERROR(IF(OR($I$1000="",$E$1000=""),"",($I$1000-$E$1000)*10000),"")</f>
        <v/>
      </c>
      <c r="J1102" s="43">
        <f>IFERROR(IF(OR($J$1000="",$F$1000=""),"",($J$1000-$F$1000)*10000),"")</f>
        <v/>
      </c>
      <c r="K1102" s="43">
        <f>IFERROR(IF(OR($K$1000="",$G$1000=""),"",($K$1000-$G$1000)*10000),"")</f>
        <v/>
      </c>
      <c r="L1102" s="43">
        <f>IFERROR(IF(OR($L$1000="",$H$1000=""),"",($L$1000-$H$1000)*10000),"")</f>
        <v/>
      </c>
      <c r="M1102" s="44">
        <f>IFERROR(IF(OR($M$1000="",$I$1000=""),"",($M$1000-$I$1000)*10000),"")</f>
        <v/>
      </c>
      <c r="N1102" s="44">
        <f>IFERROR(IF(OR($N$1000="",$J$1000=""),"",($N$1000-$J$1000)*10000),"")</f>
        <v/>
      </c>
    </row>
    <row r="1103">
      <c r="A1103" s="19">
        <f>'SW Rev'!$A82</f>
        <v/>
      </c>
      <c r="B1103" s="19">
        <f>'SW Rev'!$B82</f>
        <v/>
      </c>
      <c r="C1103" s="43">
        <f>""</f>
        <v/>
      </c>
      <c r="D1103" s="43">
        <f>""</f>
        <v/>
      </c>
      <c r="E1103" s="43">
        <f>""</f>
        <v/>
      </c>
      <c r="F1103" s="43">
        <f>IFERROR(IF(OR($F$1001="",IF(SUM('SW Rev'!C82:F82)&lt;=0,"",SUM('SW FCF'!C82:F82)/SUM('SW Rev'!C82:F82))=""),"",($F$1001-IF(SUM('SW Rev'!C82:F82)&lt;=0,"",SUM('SW FCF'!C82:F82)/SUM('SW Rev'!C82:F82)))*10000),"")</f>
        <v/>
      </c>
      <c r="G1103" s="43">
        <f>IFERROR(IF(OR($G$1001="",$C$1001=""),"",($G$1001-$C$1001)*10000),"")</f>
        <v/>
      </c>
      <c r="H1103" s="43">
        <f>IFERROR(IF(OR($H$1001="",$D$1001=""),"",($H$1001-$D$1001)*10000),"")</f>
        <v/>
      </c>
      <c r="I1103" s="43">
        <f>IFERROR(IF(OR($I$1001="",$E$1001=""),"",($I$1001-$E$1001)*10000),"")</f>
        <v/>
      </c>
      <c r="J1103" s="43">
        <f>IFERROR(IF(OR($J$1001="",$F$1001=""),"",($J$1001-$F$1001)*10000),"")</f>
        <v/>
      </c>
      <c r="K1103" s="43">
        <f>IFERROR(IF(OR($K$1001="",$G$1001=""),"",($K$1001-$G$1001)*10000),"")</f>
        <v/>
      </c>
      <c r="L1103" s="43">
        <f>IFERROR(IF(OR($L$1001="",$H$1001=""),"",($L$1001-$H$1001)*10000),"")</f>
        <v/>
      </c>
      <c r="M1103" s="44">
        <f>IFERROR(IF(OR($M$1001="",$I$1001=""),"",($M$1001-$I$1001)*10000),"")</f>
        <v/>
      </c>
      <c r="N1103" s="44">
        <f>IFERROR(IF(OR($N$1001="",$J$1001=""),"",($N$1001-$J$1001)*10000),"")</f>
        <v/>
      </c>
    </row>
    <row r="1104">
      <c r="A1104" s="19">
        <f>'SW Rev'!$A83</f>
        <v/>
      </c>
      <c r="B1104" s="19">
        <f>'SW Rev'!$B83</f>
        <v/>
      </c>
      <c r="C1104" s="43">
        <f>""</f>
        <v/>
      </c>
      <c r="D1104" s="43">
        <f>""</f>
        <v/>
      </c>
      <c r="E1104" s="43">
        <f>""</f>
        <v/>
      </c>
      <c r="F1104" s="43">
        <f>IFERROR(IF(OR($F$1002="",IF(SUM('SW Rev'!C83:F83)&lt;=0,"",SUM('SW FCF'!C83:F83)/SUM('SW Rev'!C83:F83))=""),"",($F$1002-IF(SUM('SW Rev'!C83:F83)&lt;=0,"",SUM('SW FCF'!C83:F83)/SUM('SW Rev'!C83:F83)))*10000),"")</f>
        <v/>
      </c>
      <c r="G1104" s="43">
        <f>IFERROR(IF(OR($G$1002="",$C$1002=""),"",($G$1002-$C$1002)*10000),"")</f>
        <v/>
      </c>
      <c r="H1104" s="43">
        <f>IFERROR(IF(OR($H$1002="",$D$1002=""),"",($H$1002-$D$1002)*10000),"")</f>
        <v/>
      </c>
      <c r="I1104" s="43">
        <f>IFERROR(IF(OR($I$1002="",$E$1002=""),"",($I$1002-$E$1002)*10000),"")</f>
        <v/>
      </c>
      <c r="J1104" s="43">
        <f>IFERROR(IF(OR($J$1002="",$F$1002=""),"",($J$1002-$F$1002)*10000),"")</f>
        <v/>
      </c>
      <c r="K1104" s="43">
        <f>IFERROR(IF(OR($K$1002="",$G$1002=""),"",($K$1002-$G$1002)*10000),"")</f>
        <v/>
      </c>
      <c r="L1104" s="43">
        <f>IFERROR(IF(OR($L$1002="",$H$1002=""),"",($L$1002-$H$1002)*10000),"")</f>
        <v/>
      </c>
      <c r="M1104" s="44">
        <f>IFERROR(IF(OR($M$1002="",$I$1002=""),"",($M$1002-$I$1002)*10000),"")</f>
        <v/>
      </c>
      <c r="N1104" s="44">
        <f>IFERROR(IF(OR($N$1002="",$J$1002=""),"",($N$1002-$J$1002)*10000),"")</f>
        <v/>
      </c>
    </row>
    <row r="1105">
      <c r="A1105" s="19">
        <f>'SW Rev'!$A84</f>
        <v/>
      </c>
      <c r="B1105" s="19">
        <f>'SW Rev'!$B84</f>
        <v/>
      </c>
      <c r="C1105" s="43">
        <f>""</f>
        <v/>
      </c>
      <c r="D1105" s="43">
        <f>""</f>
        <v/>
      </c>
      <c r="E1105" s="43">
        <f>""</f>
        <v/>
      </c>
      <c r="F1105" s="43">
        <f>IFERROR(IF(OR($F$1003="",IF(SUM('SW Rev'!C84:F84)&lt;=0,"",SUM('SW FCF'!C84:F84)/SUM('SW Rev'!C84:F84))=""),"",($F$1003-IF(SUM('SW Rev'!C84:F84)&lt;=0,"",SUM('SW FCF'!C84:F84)/SUM('SW Rev'!C84:F84)))*10000),"")</f>
        <v/>
      </c>
      <c r="G1105" s="43">
        <f>IFERROR(IF(OR($G$1003="",$C$1003=""),"",($G$1003-$C$1003)*10000),"")</f>
        <v/>
      </c>
      <c r="H1105" s="43">
        <f>IFERROR(IF(OR($H$1003="",$D$1003=""),"",($H$1003-$D$1003)*10000),"")</f>
        <v/>
      </c>
      <c r="I1105" s="43">
        <f>IFERROR(IF(OR($I$1003="",$E$1003=""),"",($I$1003-$E$1003)*10000),"")</f>
        <v/>
      </c>
      <c r="J1105" s="43">
        <f>IFERROR(IF(OR($J$1003="",$F$1003=""),"",($J$1003-$F$1003)*10000),"")</f>
        <v/>
      </c>
      <c r="K1105" s="43">
        <f>IFERROR(IF(OR($K$1003="",$G$1003=""),"",($K$1003-$G$1003)*10000),"")</f>
        <v/>
      </c>
      <c r="L1105" s="43">
        <f>IFERROR(IF(OR($L$1003="",$H$1003=""),"",($L$1003-$H$1003)*10000),"")</f>
        <v/>
      </c>
      <c r="M1105" s="44">
        <f>IFERROR(IF(OR($M$1003="",$I$1003=""),"",($M$1003-$I$1003)*10000),"")</f>
        <v/>
      </c>
      <c r="N1105" s="44">
        <f>IFERROR(IF(OR($N$1003="",$J$1003=""),"",($N$1003-$J$1003)*10000),"")</f>
        <v/>
      </c>
    </row>
    <row r="1106">
      <c r="A1106" s="19">
        <f>'SW Rev'!$A85</f>
        <v/>
      </c>
      <c r="B1106" s="19">
        <f>'SW Rev'!$B85</f>
        <v/>
      </c>
      <c r="C1106" s="43">
        <f>""</f>
        <v/>
      </c>
      <c r="D1106" s="43">
        <f>""</f>
        <v/>
      </c>
      <c r="E1106" s="43">
        <f>""</f>
        <v/>
      </c>
      <c r="F1106" s="43">
        <f>IFERROR(IF(OR($F$1004="",IF(SUM('SW Rev'!C85:F85)&lt;=0,"",SUM('SW FCF'!C85:F85)/SUM('SW Rev'!C85:F85))=""),"",($F$1004-IF(SUM('SW Rev'!C85:F85)&lt;=0,"",SUM('SW FCF'!C85:F85)/SUM('SW Rev'!C85:F85)))*10000),"")</f>
        <v/>
      </c>
      <c r="G1106" s="43">
        <f>IFERROR(IF(OR($G$1004="",$C$1004=""),"",($G$1004-$C$1004)*10000),"")</f>
        <v/>
      </c>
      <c r="H1106" s="43">
        <f>IFERROR(IF(OR($H$1004="",$D$1004=""),"",($H$1004-$D$1004)*10000),"")</f>
        <v/>
      </c>
      <c r="I1106" s="43">
        <f>IFERROR(IF(OR($I$1004="",$E$1004=""),"",($I$1004-$E$1004)*10000),"")</f>
        <v/>
      </c>
      <c r="J1106" s="43">
        <f>IFERROR(IF(OR($J$1004="",$F$1004=""),"",($J$1004-$F$1004)*10000),"")</f>
        <v/>
      </c>
      <c r="K1106" s="43">
        <f>IFERROR(IF(OR($K$1004="",$G$1004=""),"",($K$1004-$G$1004)*10000),"")</f>
        <v/>
      </c>
      <c r="L1106" s="43">
        <f>IFERROR(IF(OR($L$1004="",$H$1004=""),"",($L$1004-$H$1004)*10000),"")</f>
        <v/>
      </c>
      <c r="M1106" s="44">
        <f>IFERROR(IF(OR($M$1004="",$I$1004=""),"",($M$1004-$I$1004)*10000),"")</f>
        <v/>
      </c>
      <c r="N1106" s="44">
        <f>IFERROR(IF(OR($N$1004="",$J$1004=""),"",($N$1004-$J$1004)*10000),"")</f>
        <v/>
      </c>
    </row>
    <row r="1107">
      <c r="A1107" s="19">
        <f>'SW Rev'!$A86</f>
        <v/>
      </c>
      <c r="B1107" s="19">
        <f>'SW Rev'!$B86</f>
        <v/>
      </c>
      <c r="C1107" s="43">
        <f>""</f>
        <v/>
      </c>
      <c r="D1107" s="43">
        <f>""</f>
        <v/>
      </c>
      <c r="E1107" s="43">
        <f>""</f>
        <v/>
      </c>
      <c r="F1107" s="43">
        <f>IFERROR(IF(OR($F$1005="",IF(SUM('SW Rev'!C86:F86)&lt;=0,"",SUM('SW FCF'!C86:F86)/SUM('SW Rev'!C86:F86))=""),"",($F$1005-IF(SUM('SW Rev'!C86:F86)&lt;=0,"",SUM('SW FCF'!C86:F86)/SUM('SW Rev'!C86:F86)))*10000),"")</f>
        <v/>
      </c>
      <c r="G1107" s="43">
        <f>IFERROR(IF(OR($G$1005="",$C$1005=""),"",($G$1005-$C$1005)*10000),"")</f>
        <v/>
      </c>
      <c r="H1107" s="43">
        <f>IFERROR(IF(OR($H$1005="",$D$1005=""),"",($H$1005-$D$1005)*10000),"")</f>
        <v/>
      </c>
      <c r="I1107" s="43">
        <f>IFERROR(IF(OR($I$1005="",$E$1005=""),"",($I$1005-$E$1005)*10000),"")</f>
        <v/>
      </c>
      <c r="J1107" s="43">
        <f>IFERROR(IF(OR($J$1005="",$F$1005=""),"",($J$1005-$F$1005)*10000),"")</f>
        <v/>
      </c>
      <c r="K1107" s="43">
        <f>IFERROR(IF(OR($K$1005="",$G$1005=""),"",($K$1005-$G$1005)*10000),"")</f>
        <v/>
      </c>
      <c r="L1107" s="43">
        <f>IFERROR(IF(OR($L$1005="",$H$1005=""),"",($L$1005-$H$1005)*10000),"")</f>
        <v/>
      </c>
      <c r="M1107" s="44">
        <f>IFERROR(IF(OR($M$1005="",$I$1005=""),"",($M$1005-$I$1005)*10000),"")</f>
        <v/>
      </c>
      <c r="N1107" s="44">
        <f>IFERROR(IF(OR($N$1005="",$J$1005=""),"",($N$1005-$J$1005)*10000),"")</f>
        <v/>
      </c>
    </row>
    <row r="1108">
      <c r="A1108" s="19">
        <f>'SW Rev'!$A87</f>
        <v/>
      </c>
      <c r="B1108" s="19">
        <f>'SW Rev'!$B87</f>
        <v/>
      </c>
      <c r="C1108" s="43">
        <f>""</f>
        <v/>
      </c>
      <c r="D1108" s="43">
        <f>""</f>
        <v/>
      </c>
      <c r="E1108" s="43">
        <f>""</f>
        <v/>
      </c>
      <c r="F1108" s="43">
        <f>IFERROR(IF(OR($F$1006="",IF(SUM('SW Rev'!C87:F87)&lt;=0,"",SUM('SW FCF'!C87:F87)/SUM('SW Rev'!C87:F87))=""),"",($F$1006-IF(SUM('SW Rev'!C87:F87)&lt;=0,"",SUM('SW FCF'!C87:F87)/SUM('SW Rev'!C87:F87)))*10000),"")</f>
        <v/>
      </c>
      <c r="G1108" s="43">
        <f>IFERROR(IF(OR($G$1006="",$C$1006=""),"",($G$1006-$C$1006)*10000),"")</f>
        <v/>
      </c>
      <c r="H1108" s="43">
        <f>IFERROR(IF(OR($H$1006="",$D$1006=""),"",($H$1006-$D$1006)*10000),"")</f>
        <v/>
      </c>
      <c r="I1108" s="43">
        <f>IFERROR(IF(OR($I$1006="",$E$1006=""),"",($I$1006-$E$1006)*10000),"")</f>
        <v/>
      </c>
      <c r="J1108" s="43">
        <f>IFERROR(IF(OR($J$1006="",$F$1006=""),"",($J$1006-$F$1006)*10000),"")</f>
        <v/>
      </c>
      <c r="K1108" s="43">
        <f>IFERROR(IF(OR($K$1006="",$G$1006=""),"",($K$1006-$G$1006)*10000),"")</f>
        <v/>
      </c>
      <c r="L1108" s="43">
        <f>IFERROR(IF(OR($L$1006="",$H$1006=""),"",($L$1006-$H$1006)*10000),"")</f>
        <v/>
      </c>
      <c r="M1108" s="44">
        <f>IFERROR(IF(OR($M$1006="",$I$1006=""),"",($M$1006-$I$1006)*10000),"")</f>
        <v/>
      </c>
      <c r="N1108" s="44">
        <f>IFERROR(IF(OR($N$1006="",$J$1006=""),"",($N$1006-$J$1006)*10000),"")</f>
        <v/>
      </c>
    </row>
    <row r="1109">
      <c r="A1109" s="19">
        <f>'SW Rev'!$A88</f>
        <v/>
      </c>
      <c r="B1109" s="19">
        <f>'SW Rev'!$B88</f>
        <v/>
      </c>
      <c r="C1109" s="43">
        <f>""</f>
        <v/>
      </c>
      <c r="D1109" s="43">
        <f>""</f>
        <v/>
      </c>
      <c r="E1109" s="43">
        <f>""</f>
        <v/>
      </c>
      <c r="F1109" s="43">
        <f>IFERROR(IF(OR($F$1007="",IF(SUM('SW Rev'!C88:F88)&lt;=0,"",SUM('SW FCF'!C88:F88)/SUM('SW Rev'!C88:F88))=""),"",($F$1007-IF(SUM('SW Rev'!C88:F88)&lt;=0,"",SUM('SW FCF'!C88:F88)/SUM('SW Rev'!C88:F88)))*10000),"")</f>
        <v/>
      </c>
      <c r="G1109" s="43">
        <f>IFERROR(IF(OR($G$1007="",$C$1007=""),"",($G$1007-$C$1007)*10000),"")</f>
        <v/>
      </c>
      <c r="H1109" s="43">
        <f>IFERROR(IF(OR($H$1007="",$D$1007=""),"",($H$1007-$D$1007)*10000),"")</f>
        <v/>
      </c>
      <c r="I1109" s="43">
        <f>IFERROR(IF(OR($I$1007="",$E$1007=""),"",($I$1007-$E$1007)*10000),"")</f>
        <v/>
      </c>
      <c r="J1109" s="43">
        <f>IFERROR(IF(OR($J$1007="",$F$1007=""),"",($J$1007-$F$1007)*10000),"")</f>
        <v/>
      </c>
      <c r="K1109" s="43">
        <f>IFERROR(IF(OR($K$1007="",$G$1007=""),"",($K$1007-$G$1007)*10000),"")</f>
        <v/>
      </c>
      <c r="L1109" s="43">
        <f>IFERROR(IF(OR($L$1007="",$H$1007=""),"",($L$1007-$H$1007)*10000),"")</f>
        <v/>
      </c>
      <c r="M1109" s="44">
        <f>IFERROR(IF(OR($M$1007="",$I$1007=""),"",($M$1007-$I$1007)*10000),"")</f>
        <v/>
      </c>
      <c r="N1109" s="44">
        <f>IFERROR(IF(OR($N$1007="",$J$1007=""),"",($N$1007-$J$1007)*10000),"")</f>
        <v/>
      </c>
    </row>
    <row r="1110">
      <c r="A1110" s="19">
        <f>'SW Rev'!$A89</f>
        <v/>
      </c>
      <c r="B1110" s="19">
        <f>'SW Rev'!$B89</f>
        <v/>
      </c>
      <c r="C1110" s="43">
        <f>""</f>
        <v/>
      </c>
      <c r="D1110" s="43">
        <f>""</f>
        <v/>
      </c>
      <c r="E1110" s="43">
        <f>""</f>
        <v/>
      </c>
      <c r="F1110" s="43">
        <f>IFERROR(IF(OR($F$1008="",IF(SUM('SW Rev'!C89:F89)&lt;=0,"",SUM('SW FCF'!C89:F89)/SUM('SW Rev'!C89:F89))=""),"",($F$1008-IF(SUM('SW Rev'!C89:F89)&lt;=0,"",SUM('SW FCF'!C89:F89)/SUM('SW Rev'!C89:F89)))*10000),"")</f>
        <v/>
      </c>
      <c r="G1110" s="43">
        <f>IFERROR(IF(OR($G$1008="",$C$1008=""),"",($G$1008-$C$1008)*10000),"")</f>
        <v/>
      </c>
      <c r="H1110" s="43">
        <f>IFERROR(IF(OR($H$1008="",$D$1008=""),"",($H$1008-$D$1008)*10000),"")</f>
        <v/>
      </c>
      <c r="I1110" s="43">
        <f>IFERROR(IF(OR($I$1008="",$E$1008=""),"",($I$1008-$E$1008)*10000),"")</f>
        <v/>
      </c>
      <c r="J1110" s="43">
        <f>IFERROR(IF(OR($J$1008="",$F$1008=""),"",($J$1008-$F$1008)*10000),"")</f>
        <v/>
      </c>
      <c r="K1110" s="43">
        <f>IFERROR(IF(OR($K$1008="",$G$1008=""),"",($K$1008-$G$1008)*10000),"")</f>
        <v/>
      </c>
      <c r="L1110" s="43">
        <f>IFERROR(IF(OR($L$1008="",$H$1008=""),"",($L$1008-$H$1008)*10000),"")</f>
        <v/>
      </c>
      <c r="M1110" s="44">
        <f>IFERROR(IF(OR($M$1008="",$I$1008=""),"",($M$1008-$I$1008)*10000),"")</f>
        <v/>
      </c>
      <c r="N1110" s="44">
        <f>IFERROR(IF(OR($N$1008="",$J$1008=""),"",($N$1008-$J$1008)*10000),"")</f>
        <v/>
      </c>
    </row>
    <row r="1111">
      <c r="A1111" s="19">
        <f>'SW Rev'!$A90</f>
        <v/>
      </c>
      <c r="B1111" s="19">
        <f>'SW Rev'!$B90</f>
        <v/>
      </c>
      <c r="C1111" s="43">
        <f>""</f>
        <v/>
      </c>
      <c r="D1111" s="43">
        <f>""</f>
        <v/>
      </c>
      <c r="E1111" s="43">
        <f>""</f>
        <v/>
      </c>
      <c r="F1111" s="43">
        <f>IFERROR(IF(OR($F$1009="",IF(SUM('SW Rev'!C90:F90)&lt;=0,"",SUM('SW FCF'!C90:F90)/SUM('SW Rev'!C90:F90))=""),"",($F$1009-IF(SUM('SW Rev'!C90:F90)&lt;=0,"",SUM('SW FCF'!C90:F90)/SUM('SW Rev'!C90:F90)))*10000),"")</f>
        <v/>
      </c>
      <c r="G1111" s="43">
        <f>IFERROR(IF(OR($G$1009="",$C$1009=""),"",($G$1009-$C$1009)*10000),"")</f>
        <v/>
      </c>
      <c r="H1111" s="43">
        <f>IFERROR(IF(OR($H$1009="",$D$1009=""),"",($H$1009-$D$1009)*10000),"")</f>
        <v/>
      </c>
      <c r="I1111" s="43">
        <f>IFERROR(IF(OR($I$1009="",$E$1009=""),"",($I$1009-$E$1009)*10000),"")</f>
        <v/>
      </c>
      <c r="J1111" s="43">
        <f>IFERROR(IF(OR($J$1009="",$F$1009=""),"",($J$1009-$F$1009)*10000),"")</f>
        <v/>
      </c>
      <c r="K1111" s="43">
        <f>IFERROR(IF(OR($K$1009="",$G$1009=""),"",($K$1009-$G$1009)*10000),"")</f>
        <v/>
      </c>
      <c r="L1111" s="43">
        <f>IFERROR(IF(OR($L$1009="",$H$1009=""),"",($L$1009-$H$1009)*10000),"")</f>
        <v/>
      </c>
      <c r="M1111" s="44">
        <f>IFERROR(IF(OR($M$1009="",$I$1009=""),"",($M$1009-$I$1009)*10000),"")</f>
        <v/>
      </c>
      <c r="N1111" s="44">
        <f>IFERROR(IF(OR($N$1009="",$J$1009=""),"",($N$1009-$J$1009)*10000),"")</f>
        <v/>
      </c>
    </row>
    <row r="1112">
      <c r="A1112" s="19">
        <f>'SW Rev'!$A91</f>
        <v/>
      </c>
      <c r="B1112" s="19">
        <f>'SW Rev'!$B91</f>
        <v/>
      </c>
      <c r="C1112" s="43">
        <f>""</f>
        <v/>
      </c>
      <c r="D1112" s="43">
        <f>""</f>
        <v/>
      </c>
      <c r="E1112" s="43">
        <f>""</f>
        <v/>
      </c>
      <c r="F1112" s="43">
        <f>IFERROR(IF(OR($F$1010="",IF(SUM('SW Rev'!C91:F91)&lt;=0,"",SUM('SW FCF'!C91:F91)/SUM('SW Rev'!C91:F91))=""),"",($F$1010-IF(SUM('SW Rev'!C91:F91)&lt;=0,"",SUM('SW FCF'!C91:F91)/SUM('SW Rev'!C91:F91)))*10000),"")</f>
        <v/>
      </c>
      <c r="G1112" s="43">
        <f>IFERROR(IF(OR($G$1010="",$C$1010=""),"",($G$1010-$C$1010)*10000),"")</f>
        <v/>
      </c>
      <c r="H1112" s="43">
        <f>IFERROR(IF(OR($H$1010="",$D$1010=""),"",($H$1010-$D$1010)*10000),"")</f>
        <v/>
      </c>
      <c r="I1112" s="43">
        <f>IFERROR(IF(OR($I$1010="",$E$1010=""),"",($I$1010-$E$1010)*10000),"")</f>
        <v/>
      </c>
      <c r="J1112" s="43">
        <f>IFERROR(IF(OR($J$1010="",$F$1010=""),"",($J$1010-$F$1010)*10000),"")</f>
        <v/>
      </c>
      <c r="K1112" s="43">
        <f>IFERROR(IF(OR($K$1010="",$G$1010=""),"",($K$1010-$G$1010)*10000),"")</f>
        <v/>
      </c>
      <c r="L1112" s="43">
        <f>IFERROR(IF(OR($L$1010="",$H$1010=""),"",($L$1010-$H$1010)*10000),"")</f>
        <v/>
      </c>
      <c r="M1112" s="44">
        <f>IFERROR(IF(OR($M$1010="",$I$1010=""),"",($M$1010-$I$1010)*10000),"")</f>
        <v/>
      </c>
      <c r="N1112" s="44">
        <f>IFERROR(IF(OR($N$1010="",$J$1010=""),"",($N$1010-$J$1010)*10000),"")</f>
        <v/>
      </c>
    </row>
    <row r="1113">
      <c r="A1113" s="19">
        <f>'SW Rev'!$A92</f>
        <v/>
      </c>
      <c r="B1113" s="19">
        <f>'SW Rev'!$B92</f>
        <v/>
      </c>
      <c r="C1113" s="43">
        <f>""</f>
        <v/>
      </c>
      <c r="D1113" s="43">
        <f>""</f>
        <v/>
      </c>
      <c r="E1113" s="43">
        <f>""</f>
        <v/>
      </c>
      <c r="F1113" s="43">
        <f>IFERROR(IF(OR($F$1011="",IF(SUM('SW Rev'!C92:F92)&lt;=0,"",SUM('SW FCF'!C92:F92)/SUM('SW Rev'!C92:F92))=""),"",($F$1011-IF(SUM('SW Rev'!C92:F92)&lt;=0,"",SUM('SW FCF'!C92:F92)/SUM('SW Rev'!C92:F92)))*10000),"")</f>
        <v/>
      </c>
      <c r="G1113" s="43">
        <f>IFERROR(IF(OR($G$1011="",$C$1011=""),"",($G$1011-$C$1011)*10000),"")</f>
        <v/>
      </c>
      <c r="H1113" s="43">
        <f>IFERROR(IF(OR($H$1011="",$D$1011=""),"",($H$1011-$D$1011)*10000),"")</f>
        <v/>
      </c>
      <c r="I1113" s="43">
        <f>IFERROR(IF(OR($I$1011="",$E$1011=""),"",($I$1011-$E$1011)*10000),"")</f>
        <v/>
      </c>
      <c r="J1113" s="43">
        <f>IFERROR(IF(OR($J$1011="",$F$1011=""),"",($J$1011-$F$1011)*10000),"")</f>
        <v/>
      </c>
      <c r="K1113" s="43">
        <f>IFERROR(IF(OR($K$1011="",$G$1011=""),"",($K$1011-$G$1011)*10000),"")</f>
        <v/>
      </c>
      <c r="L1113" s="43">
        <f>IFERROR(IF(OR($L$1011="",$H$1011=""),"",($L$1011-$H$1011)*10000),"")</f>
        <v/>
      </c>
      <c r="M1113" s="44">
        <f>IFERROR(IF(OR($M$1011="",$I$1011=""),"",($M$1011-$I$1011)*10000),"")</f>
        <v/>
      </c>
      <c r="N1113" s="44">
        <f>IFERROR(IF(OR($N$1011="",$J$1011=""),"",($N$1011-$J$1011)*10000),"")</f>
        <v/>
      </c>
    </row>
    <row r="1114">
      <c r="A1114" s="19">
        <f>'SW Rev'!$A93</f>
        <v/>
      </c>
      <c r="B1114" s="19">
        <f>'SW Rev'!$B93</f>
        <v/>
      </c>
      <c r="C1114" s="43">
        <f>""</f>
        <v/>
      </c>
      <c r="D1114" s="43">
        <f>""</f>
        <v/>
      </c>
      <c r="E1114" s="43">
        <f>""</f>
        <v/>
      </c>
      <c r="F1114" s="43">
        <f>IFERROR(IF(OR($F$1012="",IF(SUM('SW Rev'!C93:F93)&lt;=0,"",SUM('SW FCF'!C93:F93)/SUM('SW Rev'!C93:F93))=""),"",($F$1012-IF(SUM('SW Rev'!C93:F93)&lt;=0,"",SUM('SW FCF'!C93:F93)/SUM('SW Rev'!C93:F93)))*10000),"")</f>
        <v/>
      </c>
      <c r="G1114" s="43">
        <f>IFERROR(IF(OR($G$1012="",$C$1012=""),"",($G$1012-$C$1012)*10000),"")</f>
        <v/>
      </c>
      <c r="H1114" s="43">
        <f>IFERROR(IF(OR($H$1012="",$D$1012=""),"",($H$1012-$D$1012)*10000),"")</f>
        <v/>
      </c>
      <c r="I1114" s="43">
        <f>IFERROR(IF(OR($I$1012="",$E$1012=""),"",($I$1012-$E$1012)*10000),"")</f>
        <v/>
      </c>
      <c r="J1114" s="43">
        <f>IFERROR(IF(OR($J$1012="",$F$1012=""),"",($J$1012-$F$1012)*10000),"")</f>
        <v/>
      </c>
      <c r="K1114" s="43">
        <f>IFERROR(IF(OR($K$1012="",$G$1012=""),"",($K$1012-$G$1012)*10000),"")</f>
        <v/>
      </c>
      <c r="L1114" s="43">
        <f>IFERROR(IF(OR($L$1012="",$H$1012=""),"",($L$1012-$H$1012)*10000),"")</f>
        <v/>
      </c>
      <c r="M1114" s="44">
        <f>IFERROR(IF(OR($M$1012="",$I$1012=""),"",($M$1012-$I$1012)*10000),"")</f>
        <v/>
      </c>
      <c r="N1114" s="44">
        <f>IFERROR(IF(OR($N$1012="",$J$1012=""),"",($N$1012-$J$1012)*10000),"")</f>
        <v/>
      </c>
    </row>
    <row r="1115">
      <c r="A1115" s="19">
        <f>'SW Rev'!$A94</f>
        <v/>
      </c>
      <c r="B1115" s="19">
        <f>'SW Rev'!$B94</f>
        <v/>
      </c>
      <c r="C1115" s="43">
        <f>""</f>
        <v/>
      </c>
      <c r="D1115" s="43">
        <f>""</f>
        <v/>
      </c>
      <c r="E1115" s="43">
        <f>""</f>
        <v/>
      </c>
      <c r="F1115" s="43">
        <f>IFERROR(IF(OR($F$1013="",IF(SUM('SW Rev'!C94:F94)&lt;=0,"",SUM('SW FCF'!C94:F94)/SUM('SW Rev'!C94:F94))=""),"",($F$1013-IF(SUM('SW Rev'!C94:F94)&lt;=0,"",SUM('SW FCF'!C94:F94)/SUM('SW Rev'!C94:F94)))*10000),"")</f>
        <v/>
      </c>
      <c r="G1115" s="43">
        <f>IFERROR(IF(OR($G$1013="",$C$1013=""),"",($G$1013-$C$1013)*10000),"")</f>
        <v/>
      </c>
      <c r="H1115" s="43">
        <f>IFERROR(IF(OR($H$1013="",$D$1013=""),"",($H$1013-$D$1013)*10000),"")</f>
        <v/>
      </c>
      <c r="I1115" s="43">
        <f>IFERROR(IF(OR($I$1013="",$E$1013=""),"",($I$1013-$E$1013)*10000),"")</f>
        <v/>
      </c>
      <c r="J1115" s="43">
        <f>IFERROR(IF(OR($J$1013="",$F$1013=""),"",($J$1013-$F$1013)*10000),"")</f>
        <v/>
      </c>
      <c r="K1115" s="43">
        <f>IFERROR(IF(OR($K$1013="",$G$1013=""),"",($K$1013-$G$1013)*10000),"")</f>
        <v/>
      </c>
      <c r="L1115" s="43">
        <f>IFERROR(IF(OR($L$1013="",$H$1013=""),"",($L$1013-$H$1013)*10000),"")</f>
        <v/>
      </c>
      <c r="M1115" s="44">
        <f>IFERROR(IF(OR($M$1013="",$I$1013=""),"",($M$1013-$I$1013)*10000),"")</f>
        <v/>
      </c>
      <c r="N1115" s="44">
        <f>IFERROR(IF(OR($N$1013="",$J$1013=""),"",($N$1013-$J$1013)*10000),"")</f>
        <v/>
      </c>
    </row>
    <row r="1116">
      <c r="A1116" s="19">
        <f>'SW Rev'!$A95</f>
        <v/>
      </c>
      <c r="B1116" s="19">
        <f>'SW Rev'!$B95</f>
        <v/>
      </c>
      <c r="C1116" s="43">
        <f>""</f>
        <v/>
      </c>
      <c r="D1116" s="43">
        <f>""</f>
        <v/>
      </c>
      <c r="E1116" s="43">
        <f>""</f>
        <v/>
      </c>
      <c r="F1116" s="43">
        <f>IFERROR(IF(OR($F$1014="",IF(SUM('SW Rev'!C95:F95)&lt;=0,"",SUM('SW FCF'!C95:F95)/SUM('SW Rev'!C95:F95))=""),"",($F$1014-IF(SUM('SW Rev'!C95:F95)&lt;=0,"",SUM('SW FCF'!C95:F95)/SUM('SW Rev'!C95:F95)))*10000),"")</f>
        <v/>
      </c>
      <c r="G1116" s="43">
        <f>IFERROR(IF(OR($G$1014="",$C$1014=""),"",($G$1014-$C$1014)*10000),"")</f>
        <v/>
      </c>
      <c r="H1116" s="43">
        <f>IFERROR(IF(OR($H$1014="",$D$1014=""),"",($H$1014-$D$1014)*10000),"")</f>
        <v/>
      </c>
      <c r="I1116" s="43">
        <f>IFERROR(IF(OR($I$1014="",$E$1014=""),"",($I$1014-$E$1014)*10000),"")</f>
        <v/>
      </c>
      <c r="J1116" s="43">
        <f>IFERROR(IF(OR($J$1014="",$F$1014=""),"",($J$1014-$F$1014)*10000),"")</f>
        <v/>
      </c>
      <c r="K1116" s="43">
        <f>IFERROR(IF(OR($K$1014="",$G$1014=""),"",($K$1014-$G$1014)*10000),"")</f>
        <v/>
      </c>
      <c r="L1116" s="43">
        <f>IFERROR(IF(OR($L$1014="",$H$1014=""),"",($L$1014-$H$1014)*10000),"")</f>
        <v/>
      </c>
      <c r="M1116" s="44">
        <f>IFERROR(IF(OR($M$1014="",$I$1014=""),"",($M$1014-$I$1014)*10000),"")</f>
        <v/>
      </c>
      <c r="N1116" s="44">
        <f>IFERROR(IF(OR($N$1014="",$J$1014=""),"",($N$1014-$J$1014)*10000),"")</f>
        <v/>
      </c>
    </row>
    <row r="1117">
      <c r="A1117" s="19">
        <f>'SW Rev'!$A96</f>
        <v/>
      </c>
      <c r="B1117" s="19">
        <f>'SW Rev'!$B96</f>
        <v/>
      </c>
      <c r="C1117" s="43">
        <f>""</f>
        <v/>
      </c>
      <c r="D1117" s="43">
        <f>""</f>
        <v/>
      </c>
      <c r="E1117" s="43">
        <f>""</f>
        <v/>
      </c>
      <c r="F1117" s="43">
        <f>IFERROR(IF(OR($F$1015="",IF(SUM('SW Rev'!C96:F96)&lt;=0,"",SUM('SW FCF'!C96:F96)/SUM('SW Rev'!C96:F96))=""),"",($F$1015-IF(SUM('SW Rev'!C96:F96)&lt;=0,"",SUM('SW FCF'!C96:F96)/SUM('SW Rev'!C96:F96)))*10000),"")</f>
        <v/>
      </c>
      <c r="G1117" s="43">
        <f>IFERROR(IF(OR($G$1015="",$C$1015=""),"",($G$1015-$C$1015)*10000),"")</f>
        <v/>
      </c>
      <c r="H1117" s="43">
        <f>IFERROR(IF(OR($H$1015="",$D$1015=""),"",($H$1015-$D$1015)*10000),"")</f>
        <v/>
      </c>
      <c r="I1117" s="43">
        <f>IFERROR(IF(OR($I$1015="",$E$1015=""),"",($I$1015-$E$1015)*10000),"")</f>
        <v/>
      </c>
      <c r="J1117" s="43">
        <f>IFERROR(IF(OR($J$1015="",$F$1015=""),"",($J$1015-$F$1015)*10000),"")</f>
        <v/>
      </c>
      <c r="K1117" s="43">
        <f>IFERROR(IF(OR($K$1015="",$G$1015=""),"",($K$1015-$G$1015)*10000),"")</f>
        <v/>
      </c>
      <c r="L1117" s="43">
        <f>IFERROR(IF(OR($L$1015="",$H$1015=""),"",($L$1015-$H$1015)*10000),"")</f>
        <v/>
      </c>
      <c r="M1117" s="44">
        <f>IFERROR(IF(OR($M$1015="",$I$1015=""),"",($M$1015-$I$1015)*10000),"")</f>
        <v/>
      </c>
      <c r="N1117" s="44">
        <f>IFERROR(IF(OR($N$1015="",$J$1015=""),"",($N$1015-$J$1015)*10000),"")</f>
        <v/>
      </c>
    </row>
    <row r="1118">
      <c r="A1118" s="19">
        <f>'SW Rev'!$A97</f>
        <v/>
      </c>
      <c r="B1118" s="19">
        <f>'SW Rev'!$B97</f>
        <v/>
      </c>
      <c r="C1118" s="43">
        <f>""</f>
        <v/>
      </c>
      <c r="D1118" s="43">
        <f>""</f>
        <v/>
      </c>
      <c r="E1118" s="43">
        <f>""</f>
        <v/>
      </c>
      <c r="F1118" s="43">
        <f>IFERROR(IF(OR($F$1016="",IF(SUM('SW Rev'!C97:F97)&lt;=0,"",SUM('SW FCF'!C97:F97)/SUM('SW Rev'!C97:F97))=""),"",($F$1016-IF(SUM('SW Rev'!C97:F97)&lt;=0,"",SUM('SW FCF'!C97:F97)/SUM('SW Rev'!C97:F97)))*10000),"")</f>
        <v/>
      </c>
      <c r="G1118" s="43">
        <f>IFERROR(IF(OR($G$1016="",$C$1016=""),"",($G$1016-$C$1016)*10000),"")</f>
        <v/>
      </c>
      <c r="H1118" s="43">
        <f>IFERROR(IF(OR($H$1016="",$D$1016=""),"",($H$1016-$D$1016)*10000),"")</f>
        <v/>
      </c>
      <c r="I1118" s="43">
        <f>IFERROR(IF(OR($I$1016="",$E$1016=""),"",($I$1016-$E$1016)*10000),"")</f>
        <v/>
      </c>
      <c r="J1118" s="43">
        <f>IFERROR(IF(OR($J$1016="",$F$1016=""),"",($J$1016-$F$1016)*10000),"")</f>
        <v/>
      </c>
      <c r="K1118" s="43">
        <f>IFERROR(IF(OR($K$1016="",$G$1016=""),"",($K$1016-$G$1016)*10000),"")</f>
        <v/>
      </c>
      <c r="L1118" s="43">
        <f>IFERROR(IF(OR($L$1016="",$H$1016=""),"",($L$1016-$H$1016)*10000),"")</f>
        <v/>
      </c>
      <c r="M1118" s="44">
        <f>IFERROR(IF(OR($M$1016="",$I$1016=""),"",($M$1016-$I$1016)*10000),"")</f>
        <v/>
      </c>
      <c r="N1118" s="44">
        <f>IFERROR(IF(OR($N$1016="",$J$1016=""),"",($N$1016-$J$1016)*10000),"")</f>
        <v/>
      </c>
    </row>
    <row r="1119">
      <c r="A1119" s="19">
        <f>'SW Rev'!$A98</f>
        <v/>
      </c>
      <c r="B1119" s="19">
        <f>'SW Rev'!$B98</f>
        <v/>
      </c>
      <c r="C1119" s="43">
        <f>""</f>
        <v/>
      </c>
      <c r="D1119" s="43">
        <f>""</f>
        <v/>
      </c>
      <c r="E1119" s="43">
        <f>""</f>
        <v/>
      </c>
      <c r="F1119" s="43">
        <f>IFERROR(IF(OR($F$1017="",IF(SUM('SW Rev'!C98:F98)&lt;=0,"",SUM('SW FCF'!C98:F98)/SUM('SW Rev'!C98:F98))=""),"",($F$1017-IF(SUM('SW Rev'!C98:F98)&lt;=0,"",SUM('SW FCF'!C98:F98)/SUM('SW Rev'!C98:F98)))*10000),"")</f>
        <v/>
      </c>
      <c r="G1119" s="43">
        <f>IFERROR(IF(OR($G$1017="",$C$1017=""),"",($G$1017-$C$1017)*10000),"")</f>
        <v/>
      </c>
      <c r="H1119" s="43">
        <f>IFERROR(IF(OR($H$1017="",$D$1017=""),"",($H$1017-$D$1017)*10000),"")</f>
        <v/>
      </c>
      <c r="I1119" s="43">
        <f>IFERROR(IF(OR($I$1017="",$E$1017=""),"",($I$1017-$E$1017)*10000),"")</f>
        <v/>
      </c>
      <c r="J1119" s="43">
        <f>IFERROR(IF(OR($J$1017="",$F$1017=""),"",($J$1017-$F$1017)*10000),"")</f>
        <v/>
      </c>
      <c r="K1119" s="43">
        <f>IFERROR(IF(OR($K$1017="",$G$1017=""),"",($K$1017-$G$1017)*10000),"")</f>
        <v/>
      </c>
      <c r="L1119" s="43">
        <f>IFERROR(IF(OR($L$1017="",$H$1017=""),"",($L$1017-$H$1017)*10000),"")</f>
        <v/>
      </c>
      <c r="M1119" s="44">
        <f>IFERROR(IF(OR($M$1017="",$I$1017=""),"",($M$1017-$I$1017)*10000),"")</f>
        <v/>
      </c>
      <c r="N1119" s="44">
        <f>IFERROR(IF(OR($N$1017="",$J$1017=""),"",($N$1017-$J$1017)*10000),"")</f>
        <v/>
      </c>
    </row>
    <row r="1120">
      <c r="A1120" s="19">
        <f>'SW Rev'!$A99</f>
        <v/>
      </c>
      <c r="B1120" s="19">
        <f>'SW Rev'!$B99</f>
        <v/>
      </c>
      <c r="C1120" s="43">
        <f>""</f>
        <v/>
      </c>
      <c r="D1120" s="43">
        <f>""</f>
        <v/>
      </c>
      <c r="E1120" s="43">
        <f>""</f>
        <v/>
      </c>
      <c r="F1120" s="43">
        <f>IFERROR(IF(OR($F$1018="",IF(SUM('SW Rev'!C99:F99)&lt;=0,"",SUM('SW FCF'!C99:F99)/SUM('SW Rev'!C99:F99))=""),"",($F$1018-IF(SUM('SW Rev'!C99:F99)&lt;=0,"",SUM('SW FCF'!C99:F99)/SUM('SW Rev'!C99:F99)))*10000),"")</f>
        <v/>
      </c>
      <c r="G1120" s="43">
        <f>IFERROR(IF(OR($G$1018="",$C$1018=""),"",($G$1018-$C$1018)*10000),"")</f>
        <v/>
      </c>
      <c r="H1120" s="43">
        <f>IFERROR(IF(OR($H$1018="",$D$1018=""),"",($H$1018-$D$1018)*10000),"")</f>
        <v/>
      </c>
      <c r="I1120" s="43">
        <f>IFERROR(IF(OR($I$1018="",$E$1018=""),"",($I$1018-$E$1018)*10000),"")</f>
        <v/>
      </c>
      <c r="J1120" s="43">
        <f>IFERROR(IF(OR($J$1018="",$F$1018=""),"",($J$1018-$F$1018)*10000),"")</f>
        <v/>
      </c>
      <c r="K1120" s="43">
        <f>IFERROR(IF(OR($K$1018="",$G$1018=""),"",($K$1018-$G$1018)*10000),"")</f>
        <v/>
      </c>
      <c r="L1120" s="43">
        <f>IFERROR(IF(OR($L$1018="",$H$1018=""),"",($L$1018-$H$1018)*10000),"")</f>
        <v/>
      </c>
      <c r="M1120" s="44">
        <f>IFERROR(IF(OR($M$1018="",$I$1018=""),"",($M$1018-$I$1018)*10000),"")</f>
        <v/>
      </c>
      <c r="N1120" s="44">
        <f>IFERROR(IF(OR($N$1018="",$J$1018=""),"",($N$1018-$J$1018)*10000),"")</f>
        <v/>
      </c>
    </row>
    <row r="1121">
      <c r="A1121" s="19">
        <f>'SW Rev'!$A100</f>
        <v/>
      </c>
      <c r="B1121" s="19">
        <f>'SW Rev'!$B100</f>
        <v/>
      </c>
      <c r="C1121" s="43">
        <f>""</f>
        <v/>
      </c>
      <c r="D1121" s="43">
        <f>""</f>
        <v/>
      </c>
      <c r="E1121" s="43">
        <f>""</f>
        <v/>
      </c>
      <c r="F1121" s="43">
        <f>IFERROR(IF(OR($F$1019="",IF(SUM('SW Rev'!C100:F100)&lt;=0,"",SUM('SW FCF'!C100:F100)/SUM('SW Rev'!C100:F100))=""),"",($F$1019-IF(SUM('SW Rev'!C100:F100)&lt;=0,"",SUM('SW FCF'!C100:F100)/SUM('SW Rev'!C100:F100)))*10000),"")</f>
        <v/>
      </c>
      <c r="G1121" s="43">
        <f>IFERROR(IF(OR($G$1019="",$C$1019=""),"",($G$1019-$C$1019)*10000),"")</f>
        <v/>
      </c>
      <c r="H1121" s="43">
        <f>IFERROR(IF(OR($H$1019="",$D$1019=""),"",($H$1019-$D$1019)*10000),"")</f>
        <v/>
      </c>
      <c r="I1121" s="43">
        <f>IFERROR(IF(OR($I$1019="",$E$1019=""),"",($I$1019-$E$1019)*10000),"")</f>
        <v/>
      </c>
      <c r="J1121" s="43">
        <f>IFERROR(IF(OR($J$1019="",$F$1019=""),"",($J$1019-$F$1019)*10000),"")</f>
        <v/>
      </c>
      <c r="K1121" s="43">
        <f>IFERROR(IF(OR($K$1019="",$G$1019=""),"",($K$1019-$G$1019)*10000),"")</f>
        <v/>
      </c>
      <c r="L1121" s="43">
        <f>IFERROR(IF(OR($L$1019="",$H$1019=""),"",($L$1019-$H$1019)*10000),"")</f>
        <v/>
      </c>
      <c r="M1121" s="44">
        <f>IFERROR(IF(OR($M$1019="",$I$1019=""),"",($M$1019-$I$1019)*10000),"")</f>
        <v/>
      </c>
      <c r="N1121" s="44">
        <f>IFERROR(IF(OR($N$1019="",$J$1019=""),"",($N$1019-$J$1019)*10000),"")</f>
        <v/>
      </c>
    </row>
    <row r="1122">
      <c r="A1122" s="19">
        <f>'SW Rev'!$A101</f>
        <v/>
      </c>
      <c r="B1122" s="19">
        <f>'SW Rev'!$B101</f>
        <v/>
      </c>
      <c r="C1122" s="43">
        <f>""</f>
        <v/>
      </c>
      <c r="D1122" s="43">
        <f>""</f>
        <v/>
      </c>
      <c r="E1122" s="43">
        <f>""</f>
        <v/>
      </c>
      <c r="F1122" s="43">
        <f>IFERROR(IF(OR($F$1020="",IF(SUM('SW Rev'!C101:F101)&lt;=0,"",SUM('SW FCF'!C101:F101)/SUM('SW Rev'!C101:F101))=""),"",($F$1020-IF(SUM('SW Rev'!C101:F101)&lt;=0,"",SUM('SW FCF'!C101:F101)/SUM('SW Rev'!C101:F101)))*10000),"")</f>
        <v/>
      </c>
      <c r="G1122" s="43">
        <f>IFERROR(IF(OR($G$1020="",$C$1020=""),"",($G$1020-$C$1020)*10000),"")</f>
        <v/>
      </c>
      <c r="H1122" s="43">
        <f>IFERROR(IF(OR($H$1020="",$D$1020=""),"",($H$1020-$D$1020)*10000),"")</f>
        <v/>
      </c>
      <c r="I1122" s="43">
        <f>IFERROR(IF(OR($I$1020="",$E$1020=""),"",($I$1020-$E$1020)*10000),"")</f>
        <v/>
      </c>
      <c r="J1122" s="43">
        <f>IFERROR(IF(OR($J$1020="",$F$1020=""),"",($J$1020-$F$1020)*10000),"")</f>
        <v/>
      </c>
      <c r="K1122" s="43">
        <f>IFERROR(IF(OR($K$1020="",$G$1020=""),"",($K$1020-$G$1020)*10000),"")</f>
        <v/>
      </c>
      <c r="L1122" s="43">
        <f>IFERROR(IF(OR($L$1020="",$H$1020=""),"",($L$1020-$H$1020)*10000),"")</f>
        <v/>
      </c>
      <c r="M1122" s="44">
        <f>IFERROR(IF(OR($M$1020="",$I$1020=""),"",($M$1020-$I$1020)*10000),"")</f>
        <v/>
      </c>
      <c r="N1122" s="44">
        <f>IFERROR(IF(OR($N$1020="",$J$1020=""),"",($N$1020-$J$1020)*10000),"")</f>
        <v/>
      </c>
    </row>
    <row r="1123">
      <c r="A1123" s="19">
        <f>'SW Rev'!$A102</f>
        <v/>
      </c>
      <c r="B1123" s="19">
        <f>'SW Rev'!$B102</f>
        <v/>
      </c>
      <c r="C1123" s="43">
        <f>""</f>
        <v/>
      </c>
      <c r="D1123" s="43">
        <f>""</f>
        <v/>
      </c>
      <c r="E1123" s="43">
        <f>""</f>
        <v/>
      </c>
      <c r="F1123" s="43">
        <f>IFERROR(IF(OR($F$1021="",IF(SUM('SW Rev'!C102:F102)&lt;=0,"",SUM('SW FCF'!C102:F102)/SUM('SW Rev'!C102:F102))=""),"",($F$1021-IF(SUM('SW Rev'!C102:F102)&lt;=0,"",SUM('SW FCF'!C102:F102)/SUM('SW Rev'!C102:F102)))*10000),"")</f>
        <v/>
      </c>
      <c r="G1123" s="43">
        <f>IFERROR(IF(OR($G$1021="",$C$1021=""),"",($G$1021-$C$1021)*10000),"")</f>
        <v/>
      </c>
      <c r="H1123" s="43">
        <f>IFERROR(IF(OR($H$1021="",$D$1021=""),"",($H$1021-$D$1021)*10000),"")</f>
        <v/>
      </c>
      <c r="I1123" s="43">
        <f>IFERROR(IF(OR($I$1021="",$E$1021=""),"",($I$1021-$E$1021)*10000),"")</f>
        <v/>
      </c>
      <c r="J1123" s="43">
        <f>IFERROR(IF(OR($J$1021="",$F$1021=""),"",($J$1021-$F$1021)*10000),"")</f>
        <v/>
      </c>
      <c r="K1123" s="43">
        <f>IFERROR(IF(OR($K$1021="",$G$1021=""),"",($K$1021-$G$1021)*10000),"")</f>
        <v/>
      </c>
      <c r="L1123" s="43">
        <f>IFERROR(IF(OR($L$1021="",$H$1021=""),"",($L$1021-$H$1021)*10000),"")</f>
        <v/>
      </c>
      <c r="M1123" s="44">
        <f>IFERROR(IF(OR($M$1021="",$I$1021=""),"",($M$1021-$I$1021)*10000),"")</f>
        <v/>
      </c>
      <c r="N1123" s="44">
        <f>IFERROR(IF(OR($N$1021="",$J$1021=""),"",($N$1021-$J$1021)*10000),"")</f>
        <v/>
      </c>
    </row>
    <row r="1124">
      <c r="A1124" s="19">
        <f>'SW Rev'!$A103</f>
        <v/>
      </c>
      <c r="B1124" s="19">
        <f>'SW Rev'!$B103</f>
        <v/>
      </c>
      <c r="C1124" s="43">
        <f>""</f>
        <v/>
      </c>
      <c r="D1124" s="43">
        <f>""</f>
        <v/>
      </c>
      <c r="E1124" s="43">
        <f>""</f>
        <v/>
      </c>
      <c r="F1124" s="43">
        <f>IFERROR(IF(OR($F$1022="",IF(SUM('SW Rev'!C103:F103)&lt;=0,"",SUM('SW FCF'!C103:F103)/SUM('SW Rev'!C103:F103))=""),"",($F$1022-IF(SUM('SW Rev'!C103:F103)&lt;=0,"",SUM('SW FCF'!C103:F103)/SUM('SW Rev'!C103:F103)))*10000),"")</f>
        <v/>
      </c>
      <c r="G1124" s="43">
        <f>IFERROR(IF(OR($G$1022="",$C$1022=""),"",($G$1022-$C$1022)*10000),"")</f>
        <v/>
      </c>
      <c r="H1124" s="43">
        <f>IFERROR(IF(OR($H$1022="",$D$1022=""),"",($H$1022-$D$1022)*10000),"")</f>
        <v/>
      </c>
      <c r="I1124" s="43">
        <f>IFERROR(IF(OR($I$1022="",$E$1022=""),"",($I$1022-$E$1022)*10000),"")</f>
        <v/>
      </c>
      <c r="J1124" s="43">
        <f>IFERROR(IF(OR($J$1022="",$F$1022=""),"",($J$1022-$F$1022)*10000),"")</f>
        <v/>
      </c>
      <c r="K1124" s="43">
        <f>IFERROR(IF(OR($K$1022="",$G$1022=""),"",($K$1022-$G$1022)*10000),"")</f>
        <v/>
      </c>
      <c r="L1124" s="43">
        <f>IFERROR(IF(OR($L$1022="",$H$1022=""),"",($L$1022-$H$1022)*10000),"")</f>
        <v/>
      </c>
      <c r="M1124" s="44">
        <f>IFERROR(IF(OR($M$1022="",$I$1022=""),"",($M$1022-$I$1022)*10000),"")</f>
        <v/>
      </c>
      <c r="N1124" s="44">
        <f>IFERROR(IF(OR($N$1022="",$J$1022=""),"",($N$1022-$J$1022)*10000),"")</f>
        <v/>
      </c>
    </row>
  </sheetData>
  <conditionalFormatting sqref="C6:N104">
    <cfRule type="colorScale" priority="1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C108:N206">
    <cfRule type="colorScale" priority="2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C210:N308">
    <cfRule type="colorScale" priority="3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C312:N410">
    <cfRule type="colorScale" priority="4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C414:N512">
    <cfRule type="colorScale" priority="5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C516:N614">
    <cfRule type="colorScale" priority="6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C618:N716">
    <cfRule type="colorScale" priority="7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C720:N818">
    <cfRule type="colorScale" priority="8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C822:N920">
    <cfRule type="colorScale" priority="9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C924:N1022">
    <cfRule type="colorScale" priority="10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C1026:N1124">
    <cfRule type="colorScale" priority="11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0070C0"/>
    <outlinePr summaryBelow="1" summaryRight="1"/>
    <pageSetUpPr/>
  </sheetPr>
  <dimension ref="A1:Q10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2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</cols>
  <sheetData>
    <row r="1">
      <c r="A1" s="5" t="inlineStr">
        <is>
          <t>Software — NTM Consensus Estimate Revisions</t>
        </is>
      </c>
      <c r="H1" s="6" t="inlineStr">
        <is>
          <t>⚠ Cells blank? This is a LIVE Bloomberg workbook — it has no saved data until its first refresh. Open it in desktop Excel on your Bloomberg terminal PC (add-in logged in), then Bloomberg ribbon ▸ Refresh All (or Ctrl+Alt+F9), wait a few minutes, and save. See README.</t>
        </is>
      </c>
    </row>
    <row r="2">
      <c r="A2" s="7" t="inlineStr">
        <is>
          <t>NTM (blended-forward 12M, BEst 1BF) consensus revenue and EPS: current vs 1M / 3M / 6M ago. Revisions are % changes, so mixed reporting currencies do not distort them.</t>
        </is>
      </c>
    </row>
    <row r="3">
      <c r="A3" s="7" t="inlineStr">
        <is>
          <t>Source: Bloomberg BDP — BEST_SALES / BEST_EPS with BEST_FPERIOD_OVERRIDE=1BF; historical as-of via BEST_DATA_DATE_OVERRIDE (dates in row 4, driven by TODAY()).</t>
        </is>
      </c>
    </row>
    <row r="4">
      <c r="B4" s="27" t="inlineStr">
        <is>
          <t>As-of dates:</t>
        </is>
      </c>
      <c r="C4" s="53">
        <f>TODAY()</f>
        <v/>
      </c>
      <c r="D4" s="53">
        <f>EDATE($C$4,-1)</f>
        <v/>
      </c>
      <c r="E4" s="53">
        <f>EDATE($C$4,-3)</f>
        <v/>
      </c>
      <c r="F4" s="53">
        <f>EDATE($C$4,-6)</f>
        <v/>
      </c>
    </row>
    <row r="5" ht="30" customHeight="1">
      <c r="A5" s="8" t="inlineStr">
        <is>
          <t>Ticker</t>
        </is>
      </c>
      <c r="B5" s="8" t="inlineStr"/>
      <c r="C5" s="8" t="inlineStr">
        <is>
          <t>NTM Rev
(loc mm)</t>
        </is>
      </c>
      <c r="D5" s="8" t="inlineStr">
        <is>
          <t>NTM Rev
1M ago</t>
        </is>
      </c>
      <c r="E5" s="8" t="inlineStr">
        <is>
          <t>NTM Rev
3M ago</t>
        </is>
      </c>
      <c r="F5" s="8" t="inlineStr">
        <is>
          <t>NTM Rev
6M ago</t>
        </is>
      </c>
      <c r="G5" s="8" t="inlineStr">
        <is>
          <t>Rev rev
Δ1M %</t>
        </is>
      </c>
      <c r="H5" s="8" t="inlineStr">
        <is>
          <t>Rev rev
Δ3M %</t>
        </is>
      </c>
      <c r="I5" s="8" t="inlineStr">
        <is>
          <t>Rev rev
Δ6M %</t>
        </is>
      </c>
      <c r="J5" s="8" t="inlineStr"/>
      <c r="K5" s="8" t="inlineStr">
        <is>
          <t>NTM EPS</t>
        </is>
      </c>
      <c r="L5" s="8" t="inlineStr">
        <is>
          <t>NTM EPS
1M ago</t>
        </is>
      </c>
      <c r="M5" s="8" t="inlineStr">
        <is>
          <t>NTM EPS
3M ago</t>
        </is>
      </c>
      <c r="N5" s="8" t="inlineStr">
        <is>
          <t>NTM EPS
6M ago</t>
        </is>
      </c>
      <c r="O5" s="8" t="inlineStr">
        <is>
          <t>EPS rev
Δ1M %</t>
        </is>
      </c>
      <c r="P5" s="8" t="inlineStr">
        <is>
          <t>EPS rev
Δ3M %</t>
        </is>
      </c>
      <c r="Q5" s="8" t="inlineStr">
        <is>
          <t>EPS rev
Δ6M %</t>
        </is>
      </c>
    </row>
    <row r="6">
      <c r="A6" s="19">
        <f>Tickers!$A$5</f>
        <v/>
      </c>
      <c r="C6" s="30">
        <f>_xll.BDP($A6,"BEST_SALES","BEST_FPERIOD_OVERRIDE","1BF")</f>
        <v/>
      </c>
      <c r="D6" s="30">
        <f>_xll.BDP($A6,"BEST_SALES","BEST_FPERIOD_OVERRIDE","1BF","BEST_DATA_DATE_OVERRIDE",TEXT(YEAR($D$4),"0000")&amp;TEXT(MONTH($D$4),"00")&amp;TEXT(DAY($D$4),"00"))</f>
        <v/>
      </c>
      <c r="E6" s="30">
        <f>_xll.BDP($A6,"BEST_SALES","BEST_FPERIOD_OVERRIDE","1BF","BEST_DATA_DATE_OVERRIDE",TEXT(YEAR($E$4),"0000")&amp;TEXT(MONTH($E$4),"00")&amp;TEXT(DAY($E$4),"00"))</f>
        <v/>
      </c>
      <c r="F6" s="30">
        <f>_xll.BDP($A6,"BEST_SALES","BEST_FPERIOD_OVERRIDE","1BF","BEST_DATA_DATE_OVERRIDE",TEXT(YEAR($F$4),"0000")&amp;TEXT(MONTH($F$4),"00")&amp;TEXT(DAY($F$4),"00"))</f>
        <v/>
      </c>
      <c r="G6" s="22">
        <f>IFERROR(IF(AND(ISNUMBER($C6),ISNUMBER(D6),D6&lt;&gt;0),$C6/D6-1,""),"")</f>
        <v/>
      </c>
      <c r="H6" s="22">
        <f>IFERROR(IF(AND(ISNUMBER($C6),ISNUMBER(E6),E6&lt;&gt;0),$C6/E6-1,""),"")</f>
        <v/>
      </c>
      <c r="I6" s="22">
        <f>IFERROR(IF(AND(ISNUMBER($C6),ISNUMBER(F6),F6&lt;&gt;0),$C6/F6-1,""),"")</f>
        <v/>
      </c>
      <c r="K6" s="54">
        <f>_xll.BDP($A6,"BEST_EPS","BEST_FPERIOD_OVERRIDE","1BF")</f>
        <v/>
      </c>
      <c r="L6" s="54">
        <f>_xll.BDP($A6,"BEST_EPS","BEST_FPERIOD_OVERRIDE","1BF","BEST_DATA_DATE_OVERRIDE",TEXT(YEAR($D$4),"0000")&amp;TEXT(MONTH($D$4),"00")&amp;TEXT(DAY($D$4),"00"))</f>
        <v/>
      </c>
      <c r="M6" s="54">
        <f>_xll.BDP($A6,"BEST_EPS","BEST_FPERIOD_OVERRIDE","1BF","BEST_DATA_DATE_OVERRIDE",TEXT(YEAR($E$4),"0000")&amp;TEXT(MONTH($E$4),"00")&amp;TEXT(DAY($E$4),"00"))</f>
        <v/>
      </c>
      <c r="N6" s="54">
        <f>_xll.BDP($A6,"BEST_EPS","BEST_FPERIOD_OVERRIDE","1BF","BEST_DATA_DATE_OVERRIDE",TEXT(YEAR($F$4),"0000")&amp;TEXT(MONTH($F$4),"00")&amp;TEXT(DAY($F$4),"00"))</f>
        <v/>
      </c>
      <c r="O6" s="22">
        <f>IFERROR(IF(AND(ISNUMBER($K6),ISNUMBER(L6),L6&lt;&gt;0),$K6/L6-1,""),"")</f>
        <v/>
      </c>
      <c r="P6" s="22">
        <f>IFERROR(IF(AND(ISNUMBER($K6),ISNUMBER(M6),M6&lt;&gt;0),$K6/M6-1,""),"")</f>
        <v/>
      </c>
      <c r="Q6" s="22">
        <f>IFERROR(IF(AND(ISNUMBER($K6),ISNUMBER(N6),N6&lt;&gt;0),$K6/N6-1,""),"")</f>
        <v/>
      </c>
    </row>
    <row r="7">
      <c r="A7" s="19">
        <f>Tickers!$A$6</f>
        <v/>
      </c>
      <c r="C7" s="30">
        <f>_xll.BDP($A7,"BEST_SALES","BEST_FPERIOD_OVERRIDE","1BF")</f>
        <v/>
      </c>
      <c r="D7" s="30">
        <f>_xll.BDP($A7,"BEST_SALES","BEST_FPERIOD_OVERRIDE","1BF","BEST_DATA_DATE_OVERRIDE",TEXT(YEAR($D$4),"0000")&amp;TEXT(MONTH($D$4),"00")&amp;TEXT(DAY($D$4),"00"))</f>
        <v/>
      </c>
      <c r="E7" s="30">
        <f>_xll.BDP($A7,"BEST_SALES","BEST_FPERIOD_OVERRIDE","1BF","BEST_DATA_DATE_OVERRIDE",TEXT(YEAR($E$4),"0000")&amp;TEXT(MONTH($E$4),"00")&amp;TEXT(DAY($E$4),"00"))</f>
        <v/>
      </c>
      <c r="F7" s="30">
        <f>_xll.BDP($A7,"BEST_SALES","BEST_FPERIOD_OVERRIDE","1BF","BEST_DATA_DATE_OVERRIDE",TEXT(YEAR($F$4),"0000")&amp;TEXT(MONTH($F$4),"00")&amp;TEXT(DAY($F$4),"00"))</f>
        <v/>
      </c>
      <c r="G7" s="22">
        <f>IFERROR(IF(AND(ISNUMBER($C7),ISNUMBER(D7),D7&lt;&gt;0),$C7/D7-1,""),"")</f>
        <v/>
      </c>
      <c r="H7" s="22">
        <f>IFERROR(IF(AND(ISNUMBER($C7),ISNUMBER(E7),E7&lt;&gt;0),$C7/E7-1,""),"")</f>
        <v/>
      </c>
      <c r="I7" s="22">
        <f>IFERROR(IF(AND(ISNUMBER($C7),ISNUMBER(F7),F7&lt;&gt;0),$C7/F7-1,""),"")</f>
        <v/>
      </c>
      <c r="K7" s="54">
        <f>_xll.BDP($A7,"BEST_EPS","BEST_FPERIOD_OVERRIDE","1BF")</f>
        <v/>
      </c>
      <c r="L7" s="54">
        <f>_xll.BDP($A7,"BEST_EPS","BEST_FPERIOD_OVERRIDE","1BF","BEST_DATA_DATE_OVERRIDE",TEXT(YEAR($D$4),"0000")&amp;TEXT(MONTH($D$4),"00")&amp;TEXT(DAY($D$4),"00"))</f>
        <v/>
      </c>
      <c r="M7" s="54">
        <f>_xll.BDP($A7,"BEST_EPS","BEST_FPERIOD_OVERRIDE","1BF","BEST_DATA_DATE_OVERRIDE",TEXT(YEAR($E$4),"0000")&amp;TEXT(MONTH($E$4),"00")&amp;TEXT(DAY($E$4),"00"))</f>
        <v/>
      </c>
      <c r="N7" s="54">
        <f>_xll.BDP($A7,"BEST_EPS","BEST_FPERIOD_OVERRIDE","1BF","BEST_DATA_DATE_OVERRIDE",TEXT(YEAR($F$4),"0000")&amp;TEXT(MONTH($F$4),"00")&amp;TEXT(DAY($F$4),"00"))</f>
        <v/>
      </c>
      <c r="O7" s="22">
        <f>IFERROR(IF(AND(ISNUMBER($K7),ISNUMBER(L7),L7&lt;&gt;0),$K7/L7-1,""),"")</f>
        <v/>
      </c>
      <c r="P7" s="22">
        <f>IFERROR(IF(AND(ISNUMBER($K7),ISNUMBER(M7),M7&lt;&gt;0),$K7/M7-1,""),"")</f>
        <v/>
      </c>
      <c r="Q7" s="22">
        <f>IFERROR(IF(AND(ISNUMBER($K7),ISNUMBER(N7),N7&lt;&gt;0),$K7/N7-1,""),"")</f>
        <v/>
      </c>
    </row>
    <row r="8">
      <c r="A8" s="19">
        <f>Tickers!$A$7</f>
        <v/>
      </c>
      <c r="C8" s="30">
        <f>_xll.BDP($A8,"BEST_SALES","BEST_FPERIOD_OVERRIDE","1BF")</f>
        <v/>
      </c>
      <c r="D8" s="30">
        <f>_xll.BDP($A8,"BEST_SALES","BEST_FPERIOD_OVERRIDE","1BF","BEST_DATA_DATE_OVERRIDE",TEXT(YEAR($D$4),"0000")&amp;TEXT(MONTH($D$4),"00")&amp;TEXT(DAY($D$4),"00"))</f>
        <v/>
      </c>
      <c r="E8" s="30">
        <f>_xll.BDP($A8,"BEST_SALES","BEST_FPERIOD_OVERRIDE","1BF","BEST_DATA_DATE_OVERRIDE",TEXT(YEAR($E$4),"0000")&amp;TEXT(MONTH($E$4),"00")&amp;TEXT(DAY($E$4),"00"))</f>
        <v/>
      </c>
      <c r="F8" s="30">
        <f>_xll.BDP($A8,"BEST_SALES","BEST_FPERIOD_OVERRIDE","1BF","BEST_DATA_DATE_OVERRIDE",TEXT(YEAR($F$4),"0000")&amp;TEXT(MONTH($F$4),"00")&amp;TEXT(DAY($F$4),"00"))</f>
        <v/>
      </c>
      <c r="G8" s="22">
        <f>IFERROR(IF(AND(ISNUMBER($C8),ISNUMBER(D8),D8&lt;&gt;0),$C8/D8-1,""),"")</f>
        <v/>
      </c>
      <c r="H8" s="22">
        <f>IFERROR(IF(AND(ISNUMBER($C8),ISNUMBER(E8),E8&lt;&gt;0),$C8/E8-1,""),"")</f>
        <v/>
      </c>
      <c r="I8" s="22">
        <f>IFERROR(IF(AND(ISNUMBER($C8),ISNUMBER(F8),F8&lt;&gt;0),$C8/F8-1,""),"")</f>
        <v/>
      </c>
      <c r="K8" s="54">
        <f>_xll.BDP($A8,"BEST_EPS","BEST_FPERIOD_OVERRIDE","1BF")</f>
        <v/>
      </c>
      <c r="L8" s="54">
        <f>_xll.BDP($A8,"BEST_EPS","BEST_FPERIOD_OVERRIDE","1BF","BEST_DATA_DATE_OVERRIDE",TEXT(YEAR($D$4),"0000")&amp;TEXT(MONTH($D$4),"00")&amp;TEXT(DAY($D$4),"00"))</f>
        <v/>
      </c>
      <c r="M8" s="54">
        <f>_xll.BDP($A8,"BEST_EPS","BEST_FPERIOD_OVERRIDE","1BF","BEST_DATA_DATE_OVERRIDE",TEXT(YEAR($E$4),"0000")&amp;TEXT(MONTH($E$4),"00")&amp;TEXT(DAY($E$4),"00"))</f>
        <v/>
      </c>
      <c r="N8" s="54">
        <f>_xll.BDP($A8,"BEST_EPS","BEST_FPERIOD_OVERRIDE","1BF","BEST_DATA_DATE_OVERRIDE",TEXT(YEAR($F$4),"0000")&amp;TEXT(MONTH($F$4),"00")&amp;TEXT(DAY($F$4),"00"))</f>
        <v/>
      </c>
      <c r="O8" s="22">
        <f>IFERROR(IF(AND(ISNUMBER($K8),ISNUMBER(L8),L8&lt;&gt;0),$K8/L8-1,""),"")</f>
        <v/>
      </c>
      <c r="P8" s="22">
        <f>IFERROR(IF(AND(ISNUMBER($K8),ISNUMBER(M8),M8&lt;&gt;0),$K8/M8-1,""),"")</f>
        <v/>
      </c>
      <c r="Q8" s="22">
        <f>IFERROR(IF(AND(ISNUMBER($K8),ISNUMBER(N8),N8&lt;&gt;0),$K8/N8-1,""),"")</f>
        <v/>
      </c>
    </row>
    <row r="9">
      <c r="A9" s="19">
        <f>Tickers!$A$8</f>
        <v/>
      </c>
      <c r="C9" s="30">
        <f>_xll.BDP($A9,"BEST_SALES","BEST_FPERIOD_OVERRIDE","1BF")</f>
        <v/>
      </c>
      <c r="D9" s="30">
        <f>_xll.BDP($A9,"BEST_SALES","BEST_FPERIOD_OVERRIDE","1BF","BEST_DATA_DATE_OVERRIDE",TEXT(YEAR($D$4),"0000")&amp;TEXT(MONTH($D$4),"00")&amp;TEXT(DAY($D$4),"00"))</f>
        <v/>
      </c>
      <c r="E9" s="30">
        <f>_xll.BDP($A9,"BEST_SALES","BEST_FPERIOD_OVERRIDE","1BF","BEST_DATA_DATE_OVERRIDE",TEXT(YEAR($E$4),"0000")&amp;TEXT(MONTH($E$4),"00")&amp;TEXT(DAY($E$4),"00"))</f>
        <v/>
      </c>
      <c r="F9" s="30">
        <f>_xll.BDP($A9,"BEST_SALES","BEST_FPERIOD_OVERRIDE","1BF","BEST_DATA_DATE_OVERRIDE",TEXT(YEAR($F$4),"0000")&amp;TEXT(MONTH($F$4),"00")&amp;TEXT(DAY($F$4),"00"))</f>
        <v/>
      </c>
      <c r="G9" s="22">
        <f>IFERROR(IF(AND(ISNUMBER($C9),ISNUMBER(D9),D9&lt;&gt;0),$C9/D9-1,""),"")</f>
        <v/>
      </c>
      <c r="H9" s="22">
        <f>IFERROR(IF(AND(ISNUMBER($C9),ISNUMBER(E9),E9&lt;&gt;0),$C9/E9-1,""),"")</f>
        <v/>
      </c>
      <c r="I9" s="22">
        <f>IFERROR(IF(AND(ISNUMBER($C9),ISNUMBER(F9),F9&lt;&gt;0),$C9/F9-1,""),"")</f>
        <v/>
      </c>
      <c r="K9" s="54">
        <f>_xll.BDP($A9,"BEST_EPS","BEST_FPERIOD_OVERRIDE","1BF")</f>
        <v/>
      </c>
      <c r="L9" s="54">
        <f>_xll.BDP($A9,"BEST_EPS","BEST_FPERIOD_OVERRIDE","1BF","BEST_DATA_DATE_OVERRIDE",TEXT(YEAR($D$4),"0000")&amp;TEXT(MONTH($D$4),"00")&amp;TEXT(DAY($D$4),"00"))</f>
        <v/>
      </c>
      <c r="M9" s="54">
        <f>_xll.BDP($A9,"BEST_EPS","BEST_FPERIOD_OVERRIDE","1BF","BEST_DATA_DATE_OVERRIDE",TEXT(YEAR($E$4),"0000")&amp;TEXT(MONTH($E$4),"00")&amp;TEXT(DAY($E$4),"00"))</f>
        <v/>
      </c>
      <c r="N9" s="54">
        <f>_xll.BDP($A9,"BEST_EPS","BEST_FPERIOD_OVERRIDE","1BF","BEST_DATA_DATE_OVERRIDE",TEXT(YEAR($F$4),"0000")&amp;TEXT(MONTH($F$4),"00")&amp;TEXT(DAY($F$4),"00"))</f>
        <v/>
      </c>
      <c r="O9" s="22">
        <f>IFERROR(IF(AND(ISNUMBER($K9),ISNUMBER(L9),L9&lt;&gt;0),$K9/L9-1,""),"")</f>
        <v/>
      </c>
      <c r="P9" s="22">
        <f>IFERROR(IF(AND(ISNUMBER($K9),ISNUMBER(M9),M9&lt;&gt;0),$K9/M9-1,""),"")</f>
        <v/>
      </c>
      <c r="Q9" s="22">
        <f>IFERROR(IF(AND(ISNUMBER($K9),ISNUMBER(N9),N9&lt;&gt;0),$K9/N9-1,""),"")</f>
        <v/>
      </c>
    </row>
    <row r="10">
      <c r="A10" s="19">
        <f>Tickers!$A$9</f>
        <v/>
      </c>
      <c r="C10" s="30">
        <f>_xll.BDP($A10,"BEST_SALES","BEST_FPERIOD_OVERRIDE","1BF")</f>
        <v/>
      </c>
      <c r="D10" s="30">
        <f>_xll.BDP($A10,"BEST_SALES","BEST_FPERIOD_OVERRIDE","1BF","BEST_DATA_DATE_OVERRIDE",TEXT(YEAR($D$4),"0000")&amp;TEXT(MONTH($D$4),"00")&amp;TEXT(DAY($D$4),"00"))</f>
        <v/>
      </c>
      <c r="E10" s="30">
        <f>_xll.BDP($A10,"BEST_SALES","BEST_FPERIOD_OVERRIDE","1BF","BEST_DATA_DATE_OVERRIDE",TEXT(YEAR($E$4),"0000")&amp;TEXT(MONTH($E$4),"00")&amp;TEXT(DAY($E$4),"00"))</f>
        <v/>
      </c>
      <c r="F10" s="30">
        <f>_xll.BDP($A10,"BEST_SALES","BEST_FPERIOD_OVERRIDE","1BF","BEST_DATA_DATE_OVERRIDE",TEXT(YEAR($F$4),"0000")&amp;TEXT(MONTH($F$4),"00")&amp;TEXT(DAY($F$4),"00"))</f>
        <v/>
      </c>
      <c r="G10" s="22">
        <f>IFERROR(IF(AND(ISNUMBER($C10),ISNUMBER(D10),D10&lt;&gt;0),$C10/D10-1,""),"")</f>
        <v/>
      </c>
      <c r="H10" s="22">
        <f>IFERROR(IF(AND(ISNUMBER($C10),ISNUMBER(E10),E10&lt;&gt;0),$C10/E10-1,""),"")</f>
        <v/>
      </c>
      <c r="I10" s="22">
        <f>IFERROR(IF(AND(ISNUMBER($C10),ISNUMBER(F10),F10&lt;&gt;0),$C10/F10-1,""),"")</f>
        <v/>
      </c>
      <c r="K10" s="54">
        <f>_xll.BDP($A10,"BEST_EPS","BEST_FPERIOD_OVERRIDE","1BF")</f>
        <v/>
      </c>
      <c r="L10" s="54">
        <f>_xll.BDP($A10,"BEST_EPS","BEST_FPERIOD_OVERRIDE","1BF","BEST_DATA_DATE_OVERRIDE",TEXT(YEAR($D$4),"0000")&amp;TEXT(MONTH($D$4),"00")&amp;TEXT(DAY($D$4),"00"))</f>
        <v/>
      </c>
      <c r="M10" s="54">
        <f>_xll.BDP($A10,"BEST_EPS","BEST_FPERIOD_OVERRIDE","1BF","BEST_DATA_DATE_OVERRIDE",TEXT(YEAR($E$4),"0000")&amp;TEXT(MONTH($E$4),"00")&amp;TEXT(DAY($E$4),"00"))</f>
        <v/>
      </c>
      <c r="N10" s="54">
        <f>_xll.BDP($A10,"BEST_EPS","BEST_FPERIOD_OVERRIDE","1BF","BEST_DATA_DATE_OVERRIDE",TEXT(YEAR($F$4),"0000")&amp;TEXT(MONTH($F$4),"00")&amp;TEXT(DAY($F$4),"00"))</f>
        <v/>
      </c>
      <c r="O10" s="22">
        <f>IFERROR(IF(AND(ISNUMBER($K10),ISNUMBER(L10),L10&lt;&gt;0),$K10/L10-1,""),"")</f>
        <v/>
      </c>
      <c r="P10" s="22">
        <f>IFERROR(IF(AND(ISNUMBER($K10),ISNUMBER(M10),M10&lt;&gt;0),$K10/M10-1,""),"")</f>
        <v/>
      </c>
      <c r="Q10" s="22">
        <f>IFERROR(IF(AND(ISNUMBER($K10),ISNUMBER(N10),N10&lt;&gt;0),$K10/N10-1,""),"")</f>
        <v/>
      </c>
    </row>
    <row r="11">
      <c r="A11" s="19">
        <f>Tickers!$A$10</f>
        <v/>
      </c>
      <c r="C11" s="30">
        <f>_xll.BDP($A11,"BEST_SALES","BEST_FPERIOD_OVERRIDE","1BF")</f>
        <v/>
      </c>
      <c r="D11" s="30">
        <f>_xll.BDP($A11,"BEST_SALES","BEST_FPERIOD_OVERRIDE","1BF","BEST_DATA_DATE_OVERRIDE",TEXT(YEAR($D$4),"0000")&amp;TEXT(MONTH($D$4),"00")&amp;TEXT(DAY($D$4),"00"))</f>
        <v/>
      </c>
      <c r="E11" s="30">
        <f>_xll.BDP($A11,"BEST_SALES","BEST_FPERIOD_OVERRIDE","1BF","BEST_DATA_DATE_OVERRIDE",TEXT(YEAR($E$4),"0000")&amp;TEXT(MONTH($E$4),"00")&amp;TEXT(DAY($E$4),"00"))</f>
        <v/>
      </c>
      <c r="F11" s="30">
        <f>_xll.BDP($A11,"BEST_SALES","BEST_FPERIOD_OVERRIDE","1BF","BEST_DATA_DATE_OVERRIDE",TEXT(YEAR($F$4),"0000")&amp;TEXT(MONTH($F$4),"00")&amp;TEXT(DAY($F$4),"00"))</f>
        <v/>
      </c>
      <c r="G11" s="22">
        <f>IFERROR(IF(AND(ISNUMBER($C11),ISNUMBER(D11),D11&lt;&gt;0),$C11/D11-1,""),"")</f>
        <v/>
      </c>
      <c r="H11" s="22">
        <f>IFERROR(IF(AND(ISNUMBER($C11),ISNUMBER(E11),E11&lt;&gt;0),$C11/E11-1,""),"")</f>
        <v/>
      </c>
      <c r="I11" s="22">
        <f>IFERROR(IF(AND(ISNUMBER($C11),ISNUMBER(F11),F11&lt;&gt;0),$C11/F11-1,""),"")</f>
        <v/>
      </c>
      <c r="K11" s="54">
        <f>_xll.BDP($A11,"BEST_EPS","BEST_FPERIOD_OVERRIDE","1BF")</f>
        <v/>
      </c>
      <c r="L11" s="54">
        <f>_xll.BDP($A11,"BEST_EPS","BEST_FPERIOD_OVERRIDE","1BF","BEST_DATA_DATE_OVERRIDE",TEXT(YEAR($D$4),"0000")&amp;TEXT(MONTH($D$4),"00")&amp;TEXT(DAY($D$4),"00"))</f>
        <v/>
      </c>
      <c r="M11" s="54">
        <f>_xll.BDP($A11,"BEST_EPS","BEST_FPERIOD_OVERRIDE","1BF","BEST_DATA_DATE_OVERRIDE",TEXT(YEAR($E$4),"0000")&amp;TEXT(MONTH($E$4),"00")&amp;TEXT(DAY($E$4),"00"))</f>
        <v/>
      </c>
      <c r="N11" s="54">
        <f>_xll.BDP($A11,"BEST_EPS","BEST_FPERIOD_OVERRIDE","1BF","BEST_DATA_DATE_OVERRIDE",TEXT(YEAR($F$4),"0000")&amp;TEXT(MONTH($F$4),"00")&amp;TEXT(DAY($F$4),"00"))</f>
        <v/>
      </c>
      <c r="O11" s="22">
        <f>IFERROR(IF(AND(ISNUMBER($K11),ISNUMBER(L11),L11&lt;&gt;0),$K11/L11-1,""),"")</f>
        <v/>
      </c>
      <c r="P11" s="22">
        <f>IFERROR(IF(AND(ISNUMBER($K11),ISNUMBER(M11),M11&lt;&gt;0),$K11/M11-1,""),"")</f>
        <v/>
      </c>
      <c r="Q11" s="22">
        <f>IFERROR(IF(AND(ISNUMBER($K11),ISNUMBER(N11),N11&lt;&gt;0),$K11/N11-1,""),"")</f>
        <v/>
      </c>
    </row>
    <row r="12">
      <c r="A12" s="19">
        <f>Tickers!$A$11</f>
        <v/>
      </c>
      <c r="C12" s="30">
        <f>_xll.BDP($A12,"BEST_SALES","BEST_FPERIOD_OVERRIDE","1BF")</f>
        <v/>
      </c>
      <c r="D12" s="30">
        <f>_xll.BDP($A12,"BEST_SALES","BEST_FPERIOD_OVERRIDE","1BF","BEST_DATA_DATE_OVERRIDE",TEXT(YEAR($D$4),"0000")&amp;TEXT(MONTH($D$4),"00")&amp;TEXT(DAY($D$4),"00"))</f>
        <v/>
      </c>
      <c r="E12" s="30">
        <f>_xll.BDP($A12,"BEST_SALES","BEST_FPERIOD_OVERRIDE","1BF","BEST_DATA_DATE_OVERRIDE",TEXT(YEAR($E$4),"0000")&amp;TEXT(MONTH($E$4),"00")&amp;TEXT(DAY($E$4),"00"))</f>
        <v/>
      </c>
      <c r="F12" s="30">
        <f>_xll.BDP($A12,"BEST_SALES","BEST_FPERIOD_OVERRIDE","1BF","BEST_DATA_DATE_OVERRIDE",TEXT(YEAR($F$4),"0000")&amp;TEXT(MONTH($F$4),"00")&amp;TEXT(DAY($F$4),"00"))</f>
        <v/>
      </c>
      <c r="G12" s="22">
        <f>IFERROR(IF(AND(ISNUMBER($C12),ISNUMBER(D12),D12&lt;&gt;0),$C12/D12-1,""),"")</f>
        <v/>
      </c>
      <c r="H12" s="22">
        <f>IFERROR(IF(AND(ISNUMBER($C12),ISNUMBER(E12),E12&lt;&gt;0),$C12/E12-1,""),"")</f>
        <v/>
      </c>
      <c r="I12" s="22">
        <f>IFERROR(IF(AND(ISNUMBER($C12),ISNUMBER(F12),F12&lt;&gt;0),$C12/F12-1,""),"")</f>
        <v/>
      </c>
      <c r="K12" s="54">
        <f>_xll.BDP($A12,"BEST_EPS","BEST_FPERIOD_OVERRIDE","1BF")</f>
        <v/>
      </c>
      <c r="L12" s="54">
        <f>_xll.BDP($A12,"BEST_EPS","BEST_FPERIOD_OVERRIDE","1BF","BEST_DATA_DATE_OVERRIDE",TEXT(YEAR($D$4),"0000")&amp;TEXT(MONTH($D$4),"00")&amp;TEXT(DAY($D$4),"00"))</f>
        <v/>
      </c>
      <c r="M12" s="54">
        <f>_xll.BDP($A12,"BEST_EPS","BEST_FPERIOD_OVERRIDE","1BF","BEST_DATA_DATE_OVERRIDE",TEXT(YEAR($E$4),"0000")&amp;TEXT(MONTH($E$4),"00")&amp;TEXT(DAY($E$4),"00"))</f>
        <v/>
      </c>
      <c r="N12" s="54">
        <f>_xll.BDP($A12,"BEST_EPS","BEST_FPERIOD_OVERRIDE","1BF","BEST_DATA_DATE_OVERRIDE",TEXT(YEAR($F$4),"0000")&amp;TEXT(MONTH($F$4),"00")&amp;TEXT(DAY($F$4),"00"))</f>
        <v/>
      </c>
      <c r="O12" s="22">
        <f>IFERROR(IF(AND(ISNUMBER($K12),ISNUMBER(L12),L12&lt;&gt;0),$K12/L12-1,""),"")</f>
        <v/>
      </c>
      <c r="P12" s="22">
        <f>IFERROR(IF(AND(ISNUMBER($K12),ISNUMBER(M12),M12&lt;&gt;0),$K12/M12-1,""),"")</f>
        <v/>
      </c>
      <c r="Q12" s="22">
        <f>IFERROR(IF(AND(ISNUMBER($K12),ISNUMBER(N12),N12&lt;&gt;0),$K12/N12-1,""),"")</f>
        <v/>
      </c>
    </row>
    <row r="13">
      <c r="A13" s="19">
        <f>Tickers!$A$12</f>
        <v/>
      </c>
      <c r="C13" s="30">
        <f>_xll.BDP($A13,"BEST_SALES","BEST_FPERIOD_OVERRIDE","1BF")</f>
        <v/>
      </c>
      <c r="D13" s="30">
        <f>_xll.BDP($A13,"BEST_SALES","BEST_FPERIOD_OVERRIDE","1BF","BEST_DATA_DATE_OVERRIDE",TEXT(YEAR($D$4),"0000")&amp;TEXT(MONTH($D$4),"00")&amp;TEXT(DAY($D$4),"00"))</f>
        <v/>
      </c>
      <c r="E13" s="30">
        <f>_xll.BDP($A13,"BEST_SALES","BEST_FPERIOD_OVERRIDE","1BF","BEST_DATA_DATE_OVERRIDE",TEXT(YEAR($E$4),"0000")&amp;TEXT(MONTH($E$4),"00")&amp;TEXT(DAY($E$4),"00"))</f>
        <v/>
      </c>
      <c r="F13" s="30">
        <f>_xll.BDP($A13,"BEST_SALES","BEST_FPERIOD_OVERRIDE","1BF","BEST_DATA_DATE_OVERRIDE",TEXT(YEAR($F$4),"0000")&amp;TEXT(MONTH($F$4),"00")&amp;TEXT(DAY($F$4),"00"))</f>
        <v/>
      </c>
      <c r="G13" s="22">
        <f>IFERROR(IF(AND(ISNUMBER($C13),ISNUMBER(D13),D13&lt;&gt;0),$C13/D13-1,""),"")</f>
        <v/>
      </c>
      <c r="H13" s="22">
        <f>IFERROR(IF(AND(ISNUMBER($C13),ISNUMBER(E13),E13&lt;&gt;0),$C13/E13-1,""),"")</f>
        <v/>
      </c>
      <c r="I13" s="22">
        <f>IFERROR(IF(AND(ISNUMBER($C13),ISNUMBER(F13),F13&lt;&gt;0),$C13/F13-1,""),"")</f>
        <v/>
      </c>
      <c r="K13" s="54">
        <f>_xll.BDP($A13,"BEST_EPS","BEST_FPERIOD_OVERRIDE","1BF")</f>
        <v/>
      </c>
      <c r="L13" s="54">
        <f>_xll.BDP($A13,"BEST_EPS","BEST_FPERIOD_OVERRIDE","1BF","BEST_DATA_DATE_OVERRIDE",TEXT(YEAR($D$4),"0000")&amp;TEXT(MONTH($D$4),"00")&amp;TEXT(DAY($D$4),"00"))</f>
        <v/>
      </c>
      <c r="M13" s="54">
        <f>_xll.BDP($A13,"BEST_EPS","BEST_FPERIOD_OVERRIDE","1BF","BEST_DATA_DATE_OVERRIDE",TEXT(YEAR($E$4),"0000")&amp;TEXT(MONTH($E$4),"00")&amp;TEXT(DAY($E$4),"00"))</f>
        <v/>
      </c>
      <c r="N13" s="54">
        <f>_xll.BDP($A13,"BEST_EPS","BEST_FPERIOD_OVERRIDE","1BF","BEST_DATA_DATE_OVERRIDE",TEXT(YEAR($F$4),"0000")&amp;TEXT(MONTH($F$4),"00")&amp;TEXT(DAY($F$4),"00"))</f>
        <v/>
      </c>
      <c r="O13" s="22">
        <f>IFERROR(IF(AND(ISNUMBER($K13),ISNUMBER(L13),L13&lt;&gt;0),$K13/L13-1,""),"")</f>
        <v/>
      </c>
      <c r="P13" s="22">
        <f>IFERROR(IF(AND(ISNUMBER($K13),ISNUMBER(M13),M13&lt;&gt;0),$K13/M13-1,""),"")</f>
        <v/>
      </c>
      <c r="Q13" s="22">
        <f>IFERROR(IF(AND(ISNUMBER($K13),ISNUMBER(N13),N13&lt;&gt;0),$K13/N13-1,""),"")</f>
        <v/>
      </c>
    </row>
    <row r="14">
      <c r="A14" s="19">
        <f>Tickers!$A$13</f>
        <v/>
      </c>
      <c r="C14" s="30">
        <f>_xll.BDP($A14,"BEST_SALES","BEST_FPERIOD_OVERRIDE","1BF")</f>
        <v/>
      </c>
      <c r="D14" s="30">
        <f>_xll.BDP($A14,"BEST_SALES","BEST_FPERIOD_OVERRIDE","1BF","BEST_DATA_DATE_OVERRIDE",TEXT(YEAR($D$4),"0000")&amp;TEXT(MONTH($D$4),"00")&amp;TEXT(DAY($D$4),"00"))</f>
        <v/>
      </c>
      <c r="E14" s="30">
        <f>_xll.BDP($A14,"BEST_SALES","BEST_FPERIOD_OVERRIDE","1BF","BEST_DATA_DATE_OVERRIDE",TEXT(YEAR($E$4),"0000")&amp;TEXT(MONTH($E$4),"00")&amp;TEXT(DAY($E$4),"00"))</f>
        <v/>
      </c>
      <c r="F14" s="30">
        <f>_xll.BDP($A14,"BEST_SALES","BEST_FPERIOD_OVERRIDE","1BF","BEST_DATA_DATE_OVERRIDE",TEXT(YEAR($F$4),"0000")&amp;TEXT(MONTH($F$4),"00")&amp;TEXT(DAY($F$4),"00"))</f>
        <v/>
      </c>
      <c r="G14" s="22">
        <f>IFERROR(IF(AND(ISNUMBER($C14),ISNUMBER(D14),D14&lt;&gt;0),$C14/D14-1,""),"")</f>
        <v/>
      </c>
      <c r="H14" s="22">
        <f>IFERROR(IF(AND(ISNUMBER($C14),ISNUMBER(E14),E14&lt;&gt;0),$C14/E14-1,""),"")</f>
        <v/>
      </c>
      <c r="I14" s="22">
        <f>IFERROR(IF(AND(ISNUMBER($C14),ISNUMBER(F14),F14&lt;&gt;0),$C14/F14-1,""),"")</f>
        <v/>
      </c>
      <c r="K14" s="54">
        <f>_xll.BDP($A14,"BEST_EPS","BEST_FPERIOD_OVERRIDE","1BF")</f>
        <v/>
      </c>
      <c r="L14" s="54">
        <f>_xll.BDP($A14,"BEST_EPS","BEST_FPERIOD_OVERRIDE","1BF","BEST_DATA_DATE_OVERRIDE",TEXT(YEAR($D$4),"0000")&amp;TEXT(MONTH($D$4),"00")&amp;TEXT(DAY($D$4),"00"))</f>
        <v/>
      </c>
      <c r="M14" s="54">
        <f>_xll.BDP($A14,"BEST_EPS","BEST_FPERIOD_OVERRIDE","1BF","BEST_DATA_DATE_OVERRIDE",TEXT(YEAR($E$4),"0000")&amp;TEXT(MONTH($E$4),"00")&amp;TEXT(DAY($E$4),"00"))</f>
        <v/>
      </c>
      <c r="N14" s="54">
        <f>_xll.BDP($A14,"BEST_EPS","BEST_FPERIOD_OVERRIDE","1BF","BEST_DATA_DATE_OVERRIDE",TEXT(YEAR($F$4),"0000")&amp;TEXT(MONTH($F$4),"00")&amp;TEXT(DAY($F$4),"00"))</f>
        <v/>
      </c>
      <c r="O14" s="22">
        <f>IFERROR(IF(AND(ISNUMBER($K14),ISNUMBER(L14),L14&lt;&gt;0),$K14/L14-1,""),"")</f>
        <v/>
      </c>
      <c r="P14" s="22">
        <f>IFERROR(IF(AND(ISNUMBER($K14),ISNUMBER(M14),M14&lt;&gt;0),$K14/M14-1,""),"")</f>
        <v/>
      </c>
      <c r="Q14" s="22">
        <f>IFERROR(IF(AND(ISNUMBER($K14),ISNUMBER(N14),N14&lt;&gt;0),$K14/N14-1,""),"")</f>
        <v/>
      </c>
    </row>
    <row r="15">
      <c r="A15" s="19">
        <f>Tickers!$A$14</f>
        <v/>
      </c>
      <c r="C15" s="30">
        <f>_xll.BDP($A15,"BEST_SALES","BEST_FPERIOD_OVERRIDE","1BF")</f>
        <v/>
      </c>
      <c r="D15" s="30">
        <f>_xll.BDP($A15,"BEST_SALES","BEST_FPERIOD_OVERRIDE","1BF","BEST_DATA_DATE_OVERRIDE",TEXT(YEAR($D$4),"0000")&amp;TEXT(MONTH($D$4),"00")&amp;TEXT(DAY($D$4),"00"))</f>
        <v/>
      </c>
      <c r="E15" s="30">
        <f>_xll.BDP($A15,"BEST_SALES","BEST_FPERIOD_OVERRIDE","1BF","BEST_DATA_DATE_OVERRIDE",TEXT(YEAR($E$4),"0000")&amp;TEXT(MONTH($E$4),"00")&amp;TEXT(DAY($E$4),"00"))</f>
        <v/>
      </c>
      <c r="F15" s="30">
        <f>_xll.BDP($A15,"BEST_SALES","BEST_FPERIOD_OVERRIDE","1BF","BEST_DATA_DATE_OVERRIDE",TEXT(YEAR($F$4),"0000")&amp;TEXT(MONTH($F$4),"00")&amp;TEXT(DAY($F$4),"00"))</f>
        <v/>
      </c>
      <c r="G15" s="22">
        <f>IFERROR(IF(AND(ISNUMBER($C15),ISNUMBER(D15),D15&lt;&gt;0),$C15/D15-1,""),"")</f>
        <v/>
      </c>
      <c r="H15" s="22">
        <f>IFERROR(IF(AND(ISNUMBER($C15),ISNUMBER(E15),E15&lt;&gt;0),$C15/E15-1,""),"")</f>
        <v/>
      </c>
      <c r="I15" s="22">
        <f>IFERROR(IF(AND(ISNUMBER($C15),ISNUMBER(F15),F15&lt;&gt;0),$C15/F15-1,""),"")</f>
        <v/>
      </c>
      <c r="K15" s="54">
        <f>_xll.BDP($A15,"BEST_EPS","BEST_FPERIOD_OVERRIDE","1BF")</f>
        <v/>
      </c>
      <c r="L15" s="54">
        <f>_xll.BDP($A15,"BEST_EPS","BEST_FPERIOD_OVERRIDE","1BF","BEST_DATA_DATE_OVERRIDE",TEXT(YEAR($D$4),"0000")&amp;TEXT(MONTH($D$4),"00")&amp;TEXT(DAY($D$4),"00"))</f>
        <v/>
      </c>
      <c r="M15" s="54">
        <f>_xll.BDP($A15,"BEST_EPS","BEST_FPERIOD_OVERRIDE","1BF","BEST_DATA_DATE_OVERRIDE",TEXT(YEAR($E$4),"0000")&amp;TEXT(MONTH($E$4),"00")&amp;TEXT(DAY($E$4),"00"))</f>
        <v/>
      </c>
      <c r="N15" s="54">
        <f>_xll.BDP($A15,"BEST_EPS","BEST_FPERIOD_OVERRIDE","1BF","BEST_DATA_DATE_OVERRIDE",TEXT(YEAR($F$4),"0000")&amp;TEXT(MONTH($F$4),"00")&amp;TEXT(DAY($F$4),"00"))</f>
        <v/>
      </c>
      <c r="O15" s="22">
        <f>IFERROR(IF(AND(ISNUMBER($K15),ISNUMBER(L15),L15&lt;&gt;0),$K15/L15-1,""),"")</f>
        <v/>
      </c>
      <c r="P15" s="22">
        <f>IFERROR(IF(AND(ISNUMBER($K15),ISNUMBER(M15),M15&lt;&gt;0),$K15/M15-1,""),"")</f>
        <v/>
      </c>
      <c r="Q15" s="22">
        <f>IFERROR(IF(AND(ISNUMBER($K15),ISNUMBER(N15),N15&lt;&gt;0),$K15/N15-1,""),"")</f>
        <v/>
      </c>
    </row>
    <row r="16">
      <c r="A16" s="19">
        <f>Tickers!$A$15</f>
        <v/>
      </c>
      <c r="C16" s="30">
        <f>_xll.BDP($A16,"BEST_SALES","BEST_FPERIOD_OVERRIDE","1BF")</f>
        <v/>
      </c>
      <c r="D16" s="30">
        <f>_xll.BDP($A16,"BEST_SALES","BEST_FPERIOD_OVERRIDE","1BF","BEST_DATA_DATE_OVERRIDE",TEXT(YEAR($D$4),"0000")&amp;TEXT(MONTH($D$4),"00")&amp;TEXT(DAY($D$4),"00"))</f>
        <v/>
      </c>
      <c r="E16" s="30">
        <f>_xll.BDP($A16,"BEST_SALES","BEST_FPERIOD_OVERRIDE","1BF","BEST_DATA_DATE_OVERRIDE",TEXT(YEAR($E$4),"0000")&amp;TEXT(MONTH($E$4),"00")&amp;TEXT(DAY($E$4),"00"))</f>
        <v/>
      </c>
      <c r="F16" s="30">
        <f>_xll.BDP($A16,"BEST_SALES","BEST_FPERIOD_OVERRIDE","1BF","BEST_DATA_DATE_OVERRIDE",TEXT(YEAR($F$4),"0000")&amp;TEXT(MONTH($F$4),"00")&amp;TEXT(DAY($F$4),"00"))</f>
        <v/>
      </c>
      <c r="G16" s="22">
        <f>IFERROR(IF(AND(ISNUMBER($C16),ISNUMBER(D16),D16&lt;&gt;0),$C16/D16-1,""),"")</f>
        <v/>
      </c>
      <c r="H16" s="22">
        <f>IFERROR(IF(AND(ISNUMBER($C16),ISNUMBER(E16),E16&lt;&gt;0),$C16/E16-1,""),"")</f>
        <v/>
      </c>
      <c r="I16" s="22">
        <f>IFERROR(IF(AND(ISNUMBER($C16),ISNUMBER(F16),F16&lt;&gt;0),$C16/F16-1,""),"")</f>
        <v/>
      </c>
      <c r="K16" s="54">
        <f>_xll.BDP($A16,"BEST_EPS","BEST_FPERIOD_OVERRIDE","1BF")</f>
        <v/>
      </c>
      <c r="L16" s="54">
        <f>_xll.BDP($A16,"BEST_EPS","BEST_FPERIOD_OVERRIDE","1BF","BEST_DATA_DATE_OVERRIDE",TEXT(YEAR($D$4),"0000")&amp;TEXT(MONTH($D$4),"00")&amp;TEXT(DAY($D$4),"00"))</f>
        <v/>
      </c>
      <c r="M16" s="54">
        <f>_xll.BDP($A16,"BEST_EPS","BEST_FPERIOD_OVERRIDE","1BF","BEST_DATA_DATE_OVERRIDE",TEXT(YEAR($E$4),"0000")&amp;TEXT(MONTH($E$4),"00")&amp;TEXT(DAY($E$4),"00"))</f>
        <v/>
      </c>
      <c r="N16" s="54">
        <f>_xll.BDP($A16,"BEST_EPS","BEST_FPERIOD_OVERRIDE","1BF","BEST_DATA_DATE_OVERRIDE",TEXT(YEAR($F$4),"0000")&amp;TEXT(MONTH($F$4),"00")&amp;TEXT(DAY($F$4),"00"))</f>
        <v/>
      </c>
      <c r="O16" s="22">
        <f>IFERROR(IF(AND(ISNUMBER($K16),ISNUMBER(L16),L16&lt;&gt;0),$K16/L16-1,""),"")</f>
        <v/>
      </c>
      <c r="P16" s="22">
        <f>IFERROR(IF(AND(ISNUMBER($K16),ISNUMBER(M16),M16&lt;&gt;0),$K16/M16-1,""),"")</f>
        <v/>
      </c>
      <c r="Q16" s="22">
        <f>IFERROR(IF(AND(ISNUMBER($K16),ISNUMBER(N16),N16&lt;&gt;0),$K16/N16-1,""),"")</f>
        <v/>
      </c>
    </row>
    <row r="17">
      <c r="A17" s="19">
        <f>Tickers!$A$16</f>
        <v/>
      </c>
      <c r="C17" s="30">
        <f>_xll.BDP($A17,"BEST_SALES","BEST_FPERIOD_OVERRIDE","1BF")</f>
        <v/>
      </c>
      <c r="D17" s="30">
        <f>_xll.BDP($A17,"BEST_SALES","BEST_FPERIOD_OVERRIDE","1BF","BEST_DATA_DATE_OVERRIDE",TEXT(YEAR($D$4),"0000")&amp;TEXT(MONTH($D$4),"00")&amp;TEXT(DAY($D$4),"00"))</f>
        <v/>
      </c>
      <c r="E17" s="30">
        <f>_xll.BDP($A17,"BEST_SALES","BEST_FPERIOD_OVERRIDE","1BF","BEST_DATA_DATE_OVERRIDE",TEXT(YEAR($E$4),"0000")&amp;TEXT(MONTH($E$4),"00")&amp;TEXT(DAY($E$4),"00"))</f>
        <v/>
      </c>
      <c r="F17" s="30">
        <f>_xll.BDP($A17,"BEST_SALES","BEST_FPERIOD_OVERRIDE","1BF","BEST_DATA_DATE_OVERRIDE",TEXT(YEAR($F$4),"0000")&amp;TEXT(MONTH($F$4),"00")&amp;TEXT(DAY($F$4),"00"))</f>
        <v/>
      </c>
      <c r="G17" s="22">
        <f>IFERROR(IF(AND(ISNUMBER($C17),ISNUMBER(D17),D17&lt;&gt;0),$C17/D17-1,""),"")</f>
        <v/>
      </c>
      <c r="H17" s="22">
        <f>IFERROR(IF(AND(ISNUMBER($C17),ISNUMBER(E17),E17&lt;&gt;0),$C17/E17-1,""),"")</f>
        <v/>
      </c>
      <c r="I17" s="22">
        <f>IFERROR(IF(AND(ISNUMBER($C17),ISNUMBER(F17),F17&lt;&gt;0),$C17/F17-1,""),"")</f>
        <v/>
      </c>
      <c r="K17" s="54">
        <f>_xll.BDP($A17,"BEST_EPS","BEST_FPERIOD_OVERRIDE","1BF")</f>
        <v/>
      </c>
      <c r="L17" s="54">
        <f>_xll.BDP($A17,"BEST_EPS","BEST_FPERIOD_OVERRIDE","1BF","BEST_DATA_DATE_OVERRIDE",TEXT(YEAR($D$4),"0000")&amp;TEXT(MONTH($D$4),"00")&amp;TEXT(DAY($D$4),"00"))</f>
        <v/>
      </c>
      <c r="M17" s="54">
        <f>_xll.BDP($A17,"BEST_EPS","BEST_FPERIOD_OVERRIDE","1BF","BEST_DATA_DATE_OVERRIDE",TEXT(YEAR($E$4),"0000")&amp;TEXT(MONTH($E$4),"00")&amp;TEXT(DAY($E$4),"00"))</f>
        <v/>
      </c>
      <c r="N17" s="54">
        <f>_xll.BDP($A17,"BEST_EPS","BEST_FPERIOD_OVERRIDE","1BF","BEST_DATA_DATE_OVERRIDE",TEXT(YEAR($F$4),"0000")&amp;TEXT(MONTH($F$4),"00")&amp;TEXT(DAY($F$4),"00"))</f>
        <v/>
      </c>
      <c r="O17" s="22">
        <f>IFERROR(IF(AND(ISNUMBER($K17),ISNUMBER(L17),L17&lt;&gt;0),$K17/L17-1,""),"")</f>
        <v/>
      </c>
      <c r="P17" s="22">
        <f>IFERROR(IF(AND(ISNUMBER($K17),ISNUMBER(M17),M17&lt;&gt;0),$K17/M17-1,""),"")</f>
        <v/>
      </c>
      <c r="Q17" s="22">
        <f>IFERROR(IF(AND(ISNUMBER($K17),ISNUMBER(N17),N17&lt;&gt;0),$K17/N17-1,""),"")</f>
        <v/>
      </c>
    </row>
    <row r="18">
      <c r="A18" s="19">
        <f>Tickers!$A$17</f>
        <v/>
      </c>
      <c r="C18" s="30">
        <f>_xll.BDP($A18,"BEST_SALES","BEST_FPERIOD_OVERRIDE","1BF")</f>
        <v/>
      </c>
      <c r="D18" s="30">
        <f>_xll.BDP($A18,"BEST_SALES","BEST_FPERIOD_OVERRIDE","1BF","BEST_DATA_DATE_OVERRIDE",TEXT(YEAR($D$4),"0000")&amp;TEXT(MONTH($D$4),"00")&amp;TEXT(DAY($D$4),"00"))</f>
        <v/>
      </c>
      <c r="E18" s="30">
        <f>_xll.BDP($A18,"BEST_SALES","BEST_FPERIOD_OVERRIDE","1BF","BEST_DATA_DATE_OVERRIDE",TEXT(YEAR($E$4),"0000")&amp;TEXT(MONTH($E$4),"00")&amp;TEXT(DAY($E$4),"00"))</f>
        <v/>
      </c>
      <c r="F18" s="30">
        <f>_xll.BDP($A18,"BEST_SALES","BEST_FPERIOD_OVERRIDE","1BF","BEST_DATA_DATE_OVERRIDE",TEXT(YEAR($F$4),"0000")&amp;TEXT(MONTH($F$4),"00")&amp;TEXT(DAY($F$4),"00"))</f>
        <v/>
      </c>
      <c r="G18" s="22">
        <f>IFERROR(IF(AND(ISNUMBER($C18),ISNUMBER(D18),D18&lt;&gt;0),$C18/D18-1,""),"")</f>
        <v/>
      </c>
      <c r="H18" s="22">
        <f>IFERROR(IF(AND(ISNUMBER($C18),ISNUMBER(E18),E18&lt;&gt;0),$C18/E18-1,""),"")</f>
        <v/>
      </c>
      <c r="I18" s="22">
        <f>IFERROR(IF(AND(ISNUMBER($C18),ISNUMBER(F18),F18&lt;&gt;0),$C18/F18-1,""),"")</f>
        <v/>
      </c>
      <c r="K18" s="54">
        <f>_xll.BDP($A18,"BEST_EPS","BEST_FPERIOD_OVERRIDE","1BF")</f>
        <v/>
      </c>
      <c r="L18" s="54">
        <f>_xll.BDP($A18,"BEST_EPS","BEST_FPERIOD_OVERRIDE","1BF","BEST_DATA_DATE_OVERRIDE",TEXT(YEAR($D$4),"0000")&amp;TEXT(MONTH($D$4),"00")&amp;TEXT(DAY($D$4),"00"))</f>
        <v/>
      </c>
      <c r="M18" s="54">
        <f>_xll.BDP($A18,"BEST_EPS","BEST_FPERIOD_OVERRIDE","1BF","BEST_DATA_DATE_OVERRIDE",TEXT(YEAR($E$4),"0000")&amp;TEXT(MONTH($E$4),"00")&amp;TEXT(DAY($E$4),"00"))</f>
        <v/>
      </c>
      <c r="N18" s="54">
        <f>_xll.BDP($A18,"BEST_EPS","BEST_FPERIOD_OVERRIDE","1BF","BEST_DATA_DATE_OVERRIDE",TEXT(YEAR($F$4),"0000")&amp;TEXT(MONTH($F$4),"00")&amp;TEXT(DAY($F$4),"00"))</f>
        <v/>
      </c>
      <c r="O18" s="22">
        <f>IFERROR(IF(AND(ISNUMBER($K18),ISNUMBER(L18),L18&lt;&gt;0),$K18/L18-1,""),"")</f>
        <v/>
      </c>
      <c r="P18" s="22">
        <f>IFERROR(IF(AND(ISNUMBER($K18),ISNUMBER(M18),M18&lt;&gt;0),$K18/M18-1,""),"")</f>
        <v/>
      </c>
      <c r="Q18" s="22">
        <f>IFERROR(IF(AND(ISNUMBER($K18),ISNUMBER(N18),N18&lt;&gt;0),$K18/N18-1,""),"")</f>
        <v/>
      </c>
    </row>
    <row r="19">
      <c r="A19" s="19">
        <f>Tickers!$A$18</f>
        <v/>
      </c>
      <c r="C19" s="30">
        <f>_xll.BDP($A19,"BEST_SALES","BEST_FPERIOD_OVERRIDE","1BF")</f>
        <v/>
      </c>
      <c r="D19" s="30">
        <f>_xll.BDP($A19,"BEST_SALES","BEST_FPERIOD_OVERRIDE","1BF","BEST_DATA_DATE_OVERRIDE",TEXT(YEAR($D$4),"0000")&amp;TEXT(MONTH($D$4),"00")&amp;TEXT(DAY($D$4),"00"))</f>
        <v/>
      </c>
      <c r="E19" s="30">
        <f>_xll.BDP($A19,"BEST_SALES","BEST_FPERIOD_OVERRIDE","1BF","BEST_DATA_DATE_OVERRIDE",TEXT(YEAR($E$4),"0000")&amp;TEXT(MONTH($E$4),"00")&amp;TEXT(DAY($E$4),"00"))</f>
        <v/>
      </c>
      <c r="F19" s="30">
        <f>_xll.BDP($A19,"BEST_SALES","BEST_FPERIOD_OVERRIDE","1BF","BEST_DATA_DATE_OVERRIDE",TEXT(YEAR($F$4),"0000")&amp;TEXT(MONTH($F$4),"00")&amp;TEXT(DAY($F$4),"00"))</f>
        <v/>
      </c>
      <c r="G19" s="22">
        <f>IFERROR(IF(AND(ISNUMBER($C19),ISNUMBER(D19),D19&lt;&gt;0),$C19/D19-1,""),"")</f>
        <v/>
      </c>
      <c r="H19" s="22">
        <f>IFERROR(IF(AND(ISNUMBER($C19),ISNUMBER(E19),E19&lt;&gt;0),$C19/E19-1,""),"")</f>
        <v/>
      </c>
      <c r="I19" s="22">
        <f>IFERROR(IF(AND(ISNUMBER($C19),ISNUMBER(F19),F19&lt;&gt;0),$C19/F19-1,""),"")</f>
        <v/>
      </c>
      <c r="K19" s="54">
        <f>_xll.BDP($A19,"BEST_EPS","BEST_FPERIOD_OVERRIDE","1BF")</f>
        <v/>
      </c>
      <c r="L19" s="54">
        <f>_xll.BDP($A19,"BEST_EPS","BEST_FPERIOD_OVERRIDE","1BF","BEST_DATA_DATE_OVERRIDE",TEXT(YEAR($D$4),"0000")&amp;TEXT(MONTH($D$4),"00")&amp;TEXT(DAY($D$4),"00"))</f>
        <v/>
      </c>
      <c r="M19" s="54">
        <f>_xll.BDP($A19,"BEST_EPS","BEST_FPERIOD_OVERRIDE","1BF","BEST_DATA_DATE_OVERRIDE",TEXT(YEAR($E$4),"0000")&amp;TEXT(MONTH($E$4),"00")&amp;TEXT(DAY($E$4),"00"))</f>
        <v/>
      </c>
      <c r="N19" s="54">
        <f>_xll.BDP($A19,"BEST_EPS","BEST_FPERIOD_OVERRIDE","1BF","BEST_DATA_DATE_OVERRIDE",TEXT(YEAR($F$4),"0000")&amp;TEXT(MONTH($F$4),"00")&amp;TEXT(DAY($F$4),"00"))</f>
        <v/>
      </c>
      <c r="O19" s="22">
        <f>IFERROR(IF(AND(ISNUMBER($K19),ISNUMBER(L19),L19&lt;&gt;0),$K19/L19-1,""),"")</f>
        <v/>
      </c>
      <c r="P19" s="22">
        <f>IFERROR(IF(AND(ISNUMBER($K19),ISNUMBER(M19),M19&lt;&gt;0),$K19/M19-1,""),"")</f>
        <v/>
      </c>
      <c r="Q19" s="22">
        <f>IFERROR(IF(AND(ISNUMBER($K19),ISNUMBER(N19),N19&lt;&gt;0),$K19/N19-1,""),"")</f>
        <v/>
      </c>
    </row>
    <row r="20">
      <c r="A20" s="19">
        <f>Tickers!$A$19</f>
        <v/>
      </c>
      <c r="C20" s="30">
        <f>_xll.BDP($A20,"BEST_SALES","BEST_FPERIOD_OVERRIDE","1BF")</f>
        <v/>
      </c>
      <c r="D20" s="30">
        <f>_xll.BDP($A20,"BEST_SALES","BEST_FPERIOD_OVERRIDE","1BF","BEST_DATA_DATE_OVERRIDE",TEXT(YEAR($D$4),"0000")&amp;TEXT(MONTH($D$4),"00")&amp;TEXT(DAY($D$4),"00"))</f>
        <v/>
      </c>
      <c r="E20" s="30">
        <f>_xll.BDP($A20,"BEST_SALES","BEST_FPERIOD_OVERRIDE","1BF","BEST_DATA_DATE_OVERRIDE",TEXT(YEAR($E$4),"0000")&amp;TEXT(MONTH($E$4),"00")&amp;TEXT(DAY($E$4),"00"))</f>
        <v/>
      </c>
      <c r="F20" s="30">
        <f>_xll.BDP($A20,"BEST_SALES","BEST_FPERIOD_OVERRIDE","1BF","BEST_DATA_DATE_OVERRIDE",TEXT(YEAR($F$4),"0000")&amp;TEXT(MONTH($F$4),"00")&amp;TEXT(DAY($F$4),"00"))</f>
        <v/>
      </c>
      <c r="G20" s="22">
        <f>IFERROR(IF(AND(ISNUMBER($C20),ISNUMBER(D20),D20&lt;&gt;0),$C20/D20-1,""),"")</f>
        <v/>
      </c>
      <c r="H20" s="22">
        <f>IFERROR(IF(AND(ISNUMBER($C20),ISNUMBER(E20),E20&lt;&gt;0),$C20/E20-1,""),"")</f>
        <v/>
      </c>
      <c r="I20" s="22">
        <f>IFERROR(IF(AND(ISNUMBER($C20),ISNUMBER(F20),F20&lt;&gt;0),$C20/F20-1,""),"")</f>
        <v/>
      </c>
      <c r="K20" s="54">
        <f>_xll.BDP($A20,"BEST_EPS","BEST_FPERIOD_OVERRIDE","1BF")</f>
        <v/>
      </c>
      <c r="L20" s="54">
        <f>_xll.BDP($A20,"BEST_EPS","BEST_FPERIOD_OVERRIDE","1BF","BEST_DATA_DATE_OVERRIDE",TEXT(YEAR($D$4),"0000")&amp;TEXT(MONTH($D$4),"00")&amp;TEXT(DAY($D$4),"00"))</f>
        <v/>
      </c>
      <c r="M20" s="54">
        <f>_xll.BDP($A20,"BEST_EPS","BEST_FPERIOD_OVERRIDE","1BF","BEST_DATA_DATE_OVERRIDE",TEXT(YEAR($E$4),"0000")&amp;TEXT(MONTH($E$4),"00")&amp;TEXT(DAY($E$4),"00"))</f>
        <v/>
      </c>
      <c r="N20" s="54">
        <f>_xll.BDP($A20,"BEST_EPS","BEST_FPERIOD_OVERRIDE","1BF","BEST_DATA_DATE_OVERRIDE",TEXT(YEAR($F$4),"0000")&amp;TEXT(MONTH($F$4),"00")&amp;TEXT(DAY($F$4),"00"))</f>
        <v/>
      </c>
      <c r="O20" s="22">
        <f>IFERROR(IF(AND(ISNUMBER($K20),ISNUMBER(L20),L20&lt;&gt;0),$K20/L20-1,""),"")</f>
        <v/>
      </c>
      <c r="P20" s="22">
        <f>IFERROR(IF(AND(ISNUMBER($K20),ISNUMBER(M20),M20&lt;&gt;0),$K20/M20-1,""),"")</f>
        <v/>
      </c>
      <c r="Q20" s="22">
        <f>IFERROR(IF(AND(ISNUMBER($K20),ISNUMBER(N20),N20&lt;&gt;0),$K20/N20-1,""),"")</f>
        <v/>
      </c>
    </row>
    <row r="21">
      <c r="A21" s="19">
        <f>Tickers!$A$20</f>
        <v/>
      </c>
      <c r="C21" s="30">
        <f>_xll.BDP($A21,"BEST_SALES","BEST_FPERIOD_OVERRIDE","1BF")</f>
        <v/>
      </c>
      <c r="D21" s="30">
        <f>_xll.BDP($A21,"BEST_SALES","BEST_FPERIOD_OVERRIDE","1BF","BEST_DATA_DATE_OVERRIDE",TEXT(YEAR($D$4),"0000")&amp;TEXT(MONTH($D$4),"00")&amp;TEXT(DAY($D$4),"00"))</f>
        <v/>
      </c>
      <c r="E21" s="30">
        <f>_xll.BDP($A21,"BEST_SALES","BEST_FPERIOD_OVERRIDE","1BF","BEST_DATA_DATE_OVERRIDE",TEXT(YEAR($E$4),"0000")&amp;TEXT(MONTH($E$4),"00")&amp;TEXT(DAY($E$4),"00"))</f>
        <v/>
      </c>
      <c r="F21" s="30">
        <f>_xll.BDP($A21,"BEST_SALES","BEST_FPERIOD_OVERRIDE","1BF","BEST_DATA_DATE_OVERRIDE",TEXT(YEAR($F$4),"0000")&amp;TEXT(MONTH($F$4),"00")&amp;TEXT(DAY($F$4),"00"))</f>
        <v/>
      </c>
      <c r="G21" s="22">
        <f>IFERROR(IF(AND(ISNUMBER($C21),ISNUMBER(D21),D21&lt;&gt;0),$C21/D21-1,""),"")</f>
        <v/>
      </c>
      <c r="H21" s="22">
        <f>IFERROR(IF(AND(ISNUMBER($C21),ISNUMBER(E21),E21&lt;&gt;0),$C21/E21-1,""),"")</f>
        <v/>
      </c>
      <c r="I21" s="22">
        <f>IFERROR(IF(AND(ISNUMBER($C21),ISNUMBER(F21),F21&lt;&gt;0),$C21/F21-1,""),"")</f>
        <v/>
      </c>
      <c r="K21" s="54">
        <f>_xll.BDP($A21,"BEST_EPS","BEST_FPERIOD_OVERRIDE","1BF")</f>
        <v/>
      </c>
      <c r="L21" s="54">
        <f>_xll.BDP($A21,"BEST_EPS","BEST_FPERIOD_OVERRIDE","1BF","BEST_DATA_DATE_OVERRIDE",TEXT(YEAR($D$4),"0000")&amp;TEXT(MONTH($D$4),"00")&amp;TEXT(DAY($D$4),"00"))</f>
        <v/>
      </c>
      <c r="M21" s="54">
        <f>_xll.BDP($A21,"BEST_EPS","BEST_FPERIOD_OVERRIDE","1BF","BEST_DATA_DATE_OVERRIDE",TEXT(YEAR($E$4),"0000")&amp;TEXT(MONTH($E$4),"00")&amp;TEXT(DAY($E$4),"00"))</f>
        <v/>
      </c>
      <c r="N21" s="54">
        <f>_xll.BDP($A21,"BEST_EPS","BEST_FPERIOD_OVERRIDE","1BF","BEST_DATA_DATE_OVERRIDE",TEXT(YEAR($F$4),"0000")&amp;TEXT(MONTH($F$4),"00")&amp;TEXT(DAY($F$4),"00"))</f>
        <v/>
      </c>
      <c r="O21" s="22">
        <f>IFERROR(IF(AND(ISNUMBER($K21),ISNUMBER(L21),L21&lt;&gt;0),$K21/L21-1,""),"")</f>
        <v/>
      </c>
      <c r="P21" s="22">
        <f>IFERROR(IF(AND(ISNUMBER($K21),ISNUMBER(M21),M21&lt;&gt;0),$K21/M21-1,""),"")</f>
        <v/>
      </c>
      <c r="Q21" s="22">
        <f>IFERROR(IF(AND(ISNUMBER($K21),ISNUMBER(N21),N21&lt;&gt;0),$K21/N21-1,""),"")</f>
        <v/>
      </c>
    </row>
    <row r="22">
      <c r="A22" s="19">
        <f>Tickers!$A$21</f>
        <v/>
      </c>
      <c r="C22" s="30">
        <f>_xll.BDP($A22,"BEST_SALES","BEST_FPERIOD_OVERRIDE","1BF")</f>
        <v/>
      </c>
      <c r="D22" s="30">
        <f>_xll.BDP($A22,"BEST_SALES","BEST_FPERIOD_OVERRIDE","1BF","BEST_DATA_DATE_OVERRIDE",TEXT(YEAR($D$4),"0000")&amp;TEXT(MONTH($D$4),"00")&amp;TEXT(DAY($D$4),"00"))</f>
        <v/>
      </c>
      <c r="E22" s="30">
        <f>_xll.BDP($A22,"BEST_SALES","BEST_FPERIOD_OVERRIDE","1BF","BEST_DATA_DATE_OVERRIDE",TEXT(YEAR($E$4),"0000")&amp;TEXT(MONTH($E$4),"00")&amp;TEXT(DAY($E$4),"00"))</f>
        <v/>
      </c>
      <c r="F22" s="30">
        <f>_xll.BDP($A22,"BEST_SALES","BEST_FPERIOD_OVERRIDE","1BF","BEST_DATA_DATE_OVERRIDE",TEXT(YEAR($F$4),"0000")&amp;TEXT(MONTH($F$4),"00")&amp;TEXT(DAY($F$4),"00"))</f>
        <v/>
      </c>
      <c r="G22" s="22">
        <f>IFERROR(IF(AND(ISNUMBER($C22),ISNUMBER(D22),D22&lt;&gt;0),$C22/D22-1,""),"")</f>
        <v/>
      </c>
      <c r="H22" s="22">
        <f>IFERROR(IF(AND(ISNUMBER($C22),ISNUMBER(E22),E22&lt;&gt;0),$C22/E22-1,""),"")</f>
        <v/>
      </c>
      <c r="I22" s="22">
        <f>IFERROR(IF(AND(ISNUMBER($C22),ISNUMBER(F22),F22&lt;&gt;0),$C22/F22-1,""),"")</f>
        <v/>
      </c>
      <c r="K22" s="54">
        <f>_xll.BDP($A22,"BEST_EPS","BEST_FPERIOD_OVERRIDE","1BF")</f>
        <v/>
      </c>
      <c r="L22" s="54">
        <f>_xll.BDP($A22,"BEST_EPS","BEST_FPERIOD_OVERRIDE","1BF","BEST_DATA_DATE_OVERRIDE",TEXT(YEAR($D$4),"0000")&amp;TEXT(MONTH($D$4),"00")&amp;TEXT(DAY($D$4),"00"))</f>
        <v/>
      </c>
      <c r="M22" s="54">
        <f>_xll.BDP($A22,"BEST_EPS","BEST_FPERIOD_OVERRIDE","1BF","BEST_DATA_DATE_OVERRIDE",TEXT(YEAR($E$4),"0000")&amp;TEXT(MONTH($E$4),"00")&amp;TEXT(DAY($E$4),"00"))</f>
        <v/>
      </c>
      <c r="N22" s="54">
        <f>_xll.BDP($A22,"BEST_EPS","BEST_FPERIOD_OVERRIDE","1BF","BEST_DATA_DATE_OVERRIDE",TEXT(YEAR($F$4),"0000")&amp;TEXT(MONTH($F$4),"00")&amp;TEXT(DAY($F$4),"00"))</f>
        <v/>
      </c>
      <c r="O22" s="22">
        <f>IFERROR(IF(AND(ISNUMBER($K22),ISNUMBER(L22),L22&lt;&gt;0),$K22/L22-1,""),"")</f>
        <v/>
      </c>
      <c r="P22" s="22">
        <f>IFERROR(IF(AND(ISNUMBER($K22),ISNUMBER(M22),M22&lt;&gt;0),$K22/M22-1,""),"")</f>
        <v/>
      </c>
      <c r="Q22" s="22">
        <f>IFERROR(IF(AND(ISNUMBER($K22),ISNUMBER(N22),N22&lt;&gt;0),$K22/N22-1,""),"")</f>
        <v/>
      </c>
    </row>
    <row r="23">
      <c r="A23" s="19">
        <f>Tickers!$A$22</f>
        <v/>
      </c>
      <c r="C23" s="30">
        <f>_xll.BDP($A23,"BEST_SALES","BEST_FPERIOD_OVERRIDE","1BF")</f>
        <v/>
      </c>
      <c r="D23" s="30">
        <f>_xll.BDP($A23,"BEST_SALES","BEST_FPERIOD_OVERRIDE","1BF","BEST_DATA_DATE_OVERRIDE",TEXT(YEAR($D$4),"0000")&amp;TEXT(MONTH($D$4),"00")&amp;TEXT(DAY($D$4),"00"))</f>
        <v/>
      </c>
      <c r="E23" s="30">
        <f>_xll.BDP($A23,"BEST_SALES","BEST_FPERIOD_OVERRIDE","1BF","BEST_DATA_DATE_OVERRIDE",TEXT(YEAR($E$4),"0000")&amp;TEXT(MONTH($E$4),"00")&amp;TEXT(DAY($E$4),"00"))</f>
        <v/>
      </c>
      <c r="F23" s="30">
        <f>_xll.BDP($A23,"BEST_SALES","BEST_FPERIOD_OVERRIDE","1BF","BEST_DATA_DATE_OVERRIDE",TEXT(YEAR($F$4),"0000")&amp;TEXT(MONTH($F$4),"00")&amp;TEXT(DAY($F$4),"00"))</f>
        <v/>
      </c>
      <c r="G23" s="22">
        <f>IFERROR(IF(AND(ISNUMBER($C23),ISNUMBER(D23),D23&lt;&gt;0),$C23/D23-1,""),"")</f>
        <v/>
      </c>
      <c r="H23" s="22">
        <f>IFERROR(IF(AND(ISNUMBER($C23),ISNUMBER(E23),E23&lt;&gt;0),$C23/E23-1,""),"")</f>
        <v/>
      </c>
      <c r="I23" s="22">
        <f>IFERROR(IF(AND(ISNUMBER($C23),ISNUMBER(F23),F23&lt;&gt;0),$C23/F23-1,""),"")</f>
        <v/>
      </c>
      <c r="K23" s="54">
        <f>_xll.BDP($A23,"BEST_EPS","BEST_FPERIOD_OVERRIDE","1BF")</f>
        <v/>
      </c>
      <c r="L23" s="54">
        <f>_xll.BDP($A23,"BEST_EPS","BEST_FPERIOD_OVERRIDE","1BF","BEST_DATA_DATE_OVERRIDE",TEXT(YEAR($D$4),"0000")&amp;TEXT(MONTH($D$4),"00")&amp;TEXT(DAY($D$4),"00"))</f>
        <v/>
      </c>
      <c r="M23" s="54">
        <f>_xll.BDP($A23,"BEST_EPS","BEST_FPERIOD_OVERRIDE","1BF","BEST_DATA_DATE_OVERRIDE",TEXT(YEAR($E$4),"0000")&amp;TEXT(MONTH($E$4),"00")&amp;TEXT(DAY($E$4),"00"))</f>
        <v/>
      </c>
      <c r="N23" s="54">
        <f>_xll.BDP($A23,"BEST_EPS","BEST_FPERIOD_OVERRIDE","1BF","BEST_DATA_DATE_OVERRIDE",TEXT(YEAR($F$4),"0000")&amp;TEXT(MONTH($F$4),"00")&amp;TEXT(DAY($F$4),"00"))</f>
        <v/>
      </c>
      <c r="O23" s="22">
        <f>IFERROR(IF(AND(ISNUMBER($K23),ISNUMBER(L23),L23&lt;&gt;0),$K23/L23-1,""),"")</f>
        <v/>
      </c>
      <c r="P23" s="22">
        <f>IFERROR(IF(AND(ISNUMBER($K23),ISNUMBER(M23),M23&lt;&gt;0),$K23/M23-1,""),"")</f>
        <v/>
      </c>
      <c r="Q23" s="22">
        <f>IFERROR(IF(AND(ISNUMBER($K23),ISNUMBER(N23),N23&lt;&gt;0),$K23/N23-1,""),"")</f>
        <v/>
      </c>
    </row>
    <row r="24">
      <c r="A24" s="19">
        <f>Tickers!$A$23</f>
        <v/>
      </c>
      <c r="C24" s="30">
        <f>_xll.BDP($A24,"BEST_SALES","BEST_FPERIOD_OVERRIDE","1BF")</f>
        <v/>
      </c>
      <c r="D24" s="30">
        <f>_xll.BDP($A24,"BEST_SALES","BEST_FPERIOD_OVERRIDE","1BF","BEST_DATA_DATE_OVERRIDE",TEXT(YEAR($D$4),"0000")&amp;TEXT(MONTH($D$4),"00")&amp;TEXT(DAY($D$4),"00"))</f>
        <v/>
      </c>
      <c r="E24" s="30">
        <f>_xll.BDP($A24,"BEST_SALES","BEST_FPERIOD_OVERRIDE","1BF","BEST_DATA_DATE_OVERRIDE",TEXT(YEAR($E$4),"0000")&amp;TEXT(MONTH($E$4),"00")&amp;TEXT(DAY($E$4),"00"))</f>
        <v/>
      </c>
      <c r="F24" s="30">
        <f>_xll.BDP($A24,"BEST_SALES","BEST_FPERIOD_OVERRIDE","1BF","BEST_DATA_DATE_OVERRIDE",TEXT(YEAR($F$4),"0000")&amp;TEXT(MONTH($F$4),"00")&amp;TEXT(DAY($F$4),"00"))</f>
        <v/>
      </c>
      <c r="G24" s="22">
        <f>IFERROR(IF(AND(ISNUMBER($C24),ISNUMBER(D24),D24&lt;&gt;0),$C24/D24-1,""),"")</f>
        <v/>
      </c>
      <c r="H24" s="22">
        <f>IFERROR(IF(AND(ISNUMBER($C24),ISNUMBER(E24),E24&lt;&gt;0),$C24/E24-1,""),"")</f>
        <v/>
      </c>
      <c r="I24" s="22">
        <f>IFERROR(IF(AND(ISNUMBER($C24),ISNUMBER(F24),F24&lt;&gt;0),$C24/F24-1,""),"")</f>
        <v/>
      </c>
      <c r="K24" s="54">
        <f>_xll.BDP($A24,"BEST_EPS","BEST_FPERIOD_OVERRIDE","1BF")</f>
        <v/>
      </c>
      <c r="L24" s="54">
        <f>_xll.BDP($A24,"BEST_EPS","BEST_FPERIOD_OVERRIDE","1BF","BEST_DATA_DATE_OVERRIDE",TEXT(YEAR($D$4),"0000")&amp;TEXT(MONTH($D$4),"00")&amp;TEXT(DAY($D$4),"00"))</f>
        <v/>
      </c>
      <c r="M24" s="54">
        <f>_xll.BDP($A24,"BEST_EPS","BEST_FPERIOD_OVERRIDE","1BF","BEST_DATA_DATE_OVERRIDE",TEXT(YEAR($E$4),"0000")&amp;TEXT(MONTH($E$4),"00")&amp;TEXT(DAY($E$4),"00"))</f>
        <v/>
      </c>
      <c r="N24" s="54">
        <f>_xll.BDP($A24,"BEST_EPS","BEST_FPERIOD_OVERRIDE","1BF","BEST_DATA_DATE_OVERRIDE",TEXT(YEAR($F$4),"0000")&amp;TEXT(MONTH($F$4),"00")&amp;TEXT(DAY($F$4),"00"))</f>
        <v/>
      </c>
      <c r="O24" s="22">
        <f>IFERROR(IF(AND(ISNUMBER($K24),ISNUMBER(L24),L24&lt;&gt;0),$K24/L24-1,""),"")</f>
        <v/>
      </c>
      <c r="P24" s="22">
        <f>IFERROR(IF(AND(ISNUMBER($K24),ISNUMBER(M24),M24&lt;&gt;0),$K24/M24-1,""),"")</f>
        <v/>
      </c>
      <c r="Q24" s="22">
        <f>IFERROR(IF(AND(ISNUMBER($K24),ISNUMBER(N24),N24&lt;&gt;0),$K24/N24-1,""),"")</f>
        <v/>
      </c>
    </row>
    <row r="25">
      <c r="A25" s="19">
        <f>Tickers!$A$24</f>
        <v/>
      </c>
      <c r="C25" s="30">
        <f>_xll.BDP($A25,"BEST_SALES","BEST_FPERIOD_OVERRIDE","1BF")</f>
        <v/>
      </c>
      <c r="D25" s="30">
        <f>_xll.BDP($A25,"BEST_SALES","BEST_FPERIOD_OVERRIDE","1BF","BEST_DATA_DATE_OVERRIDE",TEXT(YEAR($D$4),"0000")&amp;TEXT(MONTH($D$4),"00")&amp;TEXT(DAY($D$4),"00"))</f>
        <v/>
      </c>
      <c r="E25" s="30">
        <f>_xll.BDP($A25,"BEST_SALES","BEST_FPERIOD_OVERRIDE","1BF","BEST_DATA_DATE_OVERRIDE",TEXT(YEAR($E$4),"0000")&amp;TEXT(MONTH($E$4),"00")&amp;TEXT(DAY($E$4),"00"))</f>
        <v/>
      </c>
      <c r="F25" s="30">
        <f>_xll.BDP($A25,"BEST_SALES","BEST_FPERIOD_OVERRIDE","1BF","BEST_DATA_DATE_OVERRIDE",TEXT(YEAR($F$4),"0000")&amp;TEXT(MONTH($F$4),"00")&amp;TEXT(DAY($F$4),"00"))</f>
        <v/>
      </c>
      <c r="G25" s="22">
        <f>IFERROR(IF(AND(ISNUMBER($C25),ISNUMBER(D25),D25&lt;&gt;0),$C25/D25-1,""),"")</f>
        <v/>
      </c>
      <c r="H25" s="22">
        <f>IFERROR(IF(AND(ISNUMBER($C25),ISNUMBER(E25),E25&lt;&gt;0),$C25/E25-1,""),"")</f>
        <v/>
      </c>
      <c r="I25" s="22">
        <f>IFERROR(IF(AND(ISNUMBER($C25),ISNUMBER(F25),F25&lt;&gt;0),$C25/F25-1,""),"")</f>
        <v/>
      </c>
      <c r="K25" s="54">
        <f>_xll.BDP($A25,"BEST_EPS","BEST_FPERIOD_OVERRIDE","1BF")</f>
        <v/>
      </c>
      <c r="L25" s="54">
        <f>_xll.BDP($A25,"BEST_EPS","BEST_FPERIOD_OVERRIDE","1BF","BEST_DATA_DATE_OVERRIDE",TEXT(YEAR($D$4),"0000")&amp;TEXT(MONTH($D$4),"00")&amp;TEXT(DAY($D$4),"00"))</f>
        <v/>
      </c>
      <c r="M25" s="54">
        <f>_xll.BDP($A25,"BEST_EPS","BEST_FPERIOD_OVERRIDE","1BF","BEST_DATA_DATE_OVERRIDE",TEXT(YEAR($E$4),"0000")&amp;TEXT(MONTH($E$4),"00")&amp;TEXT(DAY($E$4),"00"))</f>
        <v/>
      </c>
      <c r="N25" s="54">
        <f>_xll.BDP($A25,"BEST_EPS","BEST_FPERIOD_OVERRIDE","1BF","BEST_DATA_DATE_OVERRIDE",TEXT(YEAR($F$4),"0000")&amp;TEXT(MONTH($F$4),"00")&amp;TEXT(DAY($F$4),"00"))</f>
        <v/>
      </c>
      <c r="O25" s="22">
        <f>IFERROR(IF(AND(ISNUMBER($K25),ISNUMBER(L25),L25&lt;&gt;0),$K25/L25-1,""),"")</f>
        <v/>
      </c>
      <c r="P25" s="22">
        <f>IFERROR(IF(AND(ISNUMBER($K25),ISNUMBER(M25),M25&lt;&gt;0),$K25/M25-1,""),"")</f>
        <v/>
      </c>
      <c r="Q25" s="22">
        <f>IFERROR(IF(AND(ISNUMBER($K25),ISNUMBER(N25),N25&lt;&gt;0),$K25/N25-1,""),"")</f>
        <v/>
      </c>
    </row>
    <row r="26">
      <c r="A26" s="19">
        <f>Tickers!$A$25</f>
        <v/>
      </c>
      <c r="C26" s="30">
        <f>_xll.BDP($A26,"BEST_SALES","BEST_FPERIOD_OVERRIDE","1BF")</f>
        <v/>
      </c>
      <c r="D26" s="30">
        <f>_xll.BDP($A26,"BEST_SALES","BEST_FPERIOD_OVERRIDE","1BF","BEST_DATA_DATE_OVERRIDE",TEXT(YEAR($D$4),"0000")&amp;TEXT(MONTH($D$4),"00")&amp;TEXT(DAY($D$4),"00"))</f>
        <v/>
      </c>
      <c r="E26" s="30">
        <f>_xll.BDP($A26,"BEST_SALES","BEST_FPERIOD_OVERRIDE","1BF","BEST_DATA_DATE_OVERRIDE",TEXT(YEAR($E$4),"0000")&amp;TEXT(MONTH($E$4),"00")&amp;TEXT(DAY($E$4),"00"))</f>
        <v/>
      </c>
      <c r="F26" s="30">
        <f>_xll.BDP($A26,"BEST_SALES","BEST_FPERIOD_OVERRIDE","1BF","BEST_DATA_DATE_OVERRIDE",TEXT(YEAR($F$4),"0000")&amp;TEXT(MONTH($F$4),"00")&amp;TEXT(DAY($F$4),"00"))</f>
        <v/>
      </c>
      <c r="G26" s="22">
        <f>IFERROR(IF(AND(ISNUMBER($C26),ISNUMBER(D26),D26&lt;&gt;0),$C26/D26-1,""),"")</f>
        <v/>
      </c>
      <c r="H26" s="22">
        <f>IFERROR(IF(AND(ISNUMBER($C26),ISNUMBER(E26),E26&lt;&gt;0),$C26/E26-1,""),"")</f>
        <v/>
      </c>
      <c r="I26" s="22">
        <f>IFERROR(IF(AND(ISNUMBER($C26),ISNUMBER(F26),F26&lt;&gt;0),$C26/F26-1,""),"")</f>
        <v/>
      </c>
      <c r="K26" s="54">
        <f>_xll.BDP($A26,"BEST_EPS","BEST_FPERIOD_OVERRIDE","1BF")</f>
        <v/>
      </c>
      <c r="L26" s="54">
        <f>_xll.BDP($A26,"BEST_EPS","BEST_FPERIOD_OVERRIDE","1BF","BEST_DATA_DATE_OVERRIDE",TEXT(YEAR($D$4),"0000")&amp;TEXT(MONTH($D$4),"00")&amp;TEXT(DAY($D$4),"00"))</f>
        <v/>
      </c>
      <c r="M26" s="54">
        <f>_xll.BDP($A26,"BEST_EPS","BEST_FPERIOD_OVERRIDE","1BF","BEST_DATA_DATE_OVERRIDE",TEXT(YEAR($E$4),"0000")&amp;TEXT(MONTH($E$4),"00")&amp;TEXT(DAY($E$4),"00"))</f>
        <v/>
      </c>
      <c r="N26" s="54">
        <f>_xll.BDP($A26,"BEST_EPS","BEST_FPERIOD_OVERRIDE","1BF","BEST_DATA_DATE_OVERRIDE",TEXT(YEAR($F$4),"0000")&amp;TEXT(MONTH($F$4),"00")&amp;TEXT(DAY($F$4),"00"))</f>
        <v/>
      </c>
      <c r="O26" s="22">
        <f>IFERROR(IF(AND(ISNUMBER($K26),ISNUMBER(L26),L26&lt;&gt;0),$K26/L26-1,""),"")</f>
        <v/>
      </c>
      <c r="P26" s="22">
        <f>IFERROR(IF(AND(ISNUMBER($K26),ISNUMBER(M26),M26&lt;&gt;0),$K26/M26-1,""),"")</f>
        <v/>
      </c>
      <c r="Q26" s="22">
        <f>IFERROR(IF(AND(ISNUMBER($K26),ISNUMBER(N26),N26&lt;&gt;0),$K26/N26-1,""),"")</f>
        <v/>
      </c>
    </row>
    <row r="27">
      <c r="A27" s="19">
        <f>Tickers!$A$26</f>
        <v/>
      </c>
      <c r="C27" s="30">
        <f>_xll.BDP($A27,"BEST_SALES","BEST_FPERIOD_OVERRIDE","1BF")</f>
        <v/>
      </c>
      <c r="D27" s="30">
        <f>_xll.BDP($A27,"BEST_SALES","BEST_FPERIOD_OVERRIDE","1BF","BEST_DATA_DATE_OVERRIDE",TEXT(YEAR($D$4),"0000")&amp;TEXT(MONTH($D$4),"00")&amp;TEXT(DAY($D$4),"00"))</f>
        <v/>
      </c>
      <c r="E27" s="30">
        <f>_xll.BDP($A27,"BEST_SALES","BEST_FPERIOD_OVERRIDE","1BF","BEST_DATA_DATE_OVERRIDE",TEXT(YEAR($E$4),"0000")&amp;TEXT(MONTH($E$4),"00")&amp;TEXT(DAY($E$4),"00"))</f>
        <v/>
      </c>
      <c r="F27" s="30">
        <f>_xll.BDP($A27,"BEST_SALES","BEST_FPERIOD_OVERRIDE","1BF","BEST_DATA_DATE_OVERRIDE",TEXT(YEAR($F$4),"0000")&amp;TEXT(MONTH($F$4),"00")&amp;TEXT(DAY($F$4),"00"))</f>
        <v/>
      </c>
      <c r="G27" s="22">
        <f>IFERROR(IF(AND(ISNUMBER($C27),ISNUMBER(D27),D27&lt;&gt;0),$C27/D27-1,""),"")</f>
        <v/>
      </c>
      <c r="H27" s="22">
        <f>IFERROR(IF(AND(ISNUMBER($C27),ISNUMBER(E27),E27&lt;&gt;0),$C27/E27-1,""),"")</f>
        <v/>
      </c>
      <c r="I27" s="22">
        <f>IFERROR(IF(AND(ISNUMBER($C27),ISNUMBER(F27),F27&lt;&gt;0),$C27/F27-1,""),"")</f>
        <v/>
      </c>
      <c r="K27" s="54">
        <f>_xll.BDP($A27,"BEST_EPS","BEST_FPERIOD_OVERRIDE","1BF")</f>
        <v/>
      </c>
      <c r="L27" s="54">
        <f>_xll.BDP($A27,"BEST_EPS","BEST_FPERIOD_OVERRIDE","1BF","BEST_DATA_DATE_OVERRIDE",TEXT(YEAR($D$4),"0000")&amp;TEXT(MONTH($D$4),"00")&amp;TEXT(DAY($D$4),"00"))</f>
        <v/>
      </c>
      <c r="M27" s="54">
        <f>_xll.BDP($A27,"BEST_EPS","BEST_FPERIOD_OVERRIDE","1BF","BEST_DATA_DATE_OVERRIDE",TEXT(YEAR($E$4),"0000")&amp;TEXT(MONTH($E$4),"00")&amp;TEXT(DAY($E$4),"00"))</f>
        <v/>
      </c>
      <c r="N27" s="54">
        <f>_xll.BDP($A27,"BEST_EPS","BEST_FPERIOD_OVERRIDE","1BF","BEST_DATA_DATE_OVERRIDE",TEXT(YEAR($F$4),"0000")&amp;TEXT(MONTH($F$4),"00")&amp;TEXT(DAY($F$4),"00"))</f>
        <v/>
      </c>
      <c r="O27" s="22">
        <f>IFERROR(IF(AND(ISNUMBER($K27),ISNUMBER(L27),L27&lt;&gt;0),$K27/L27-1,""),"")</f>
        <v/>
      </c>
      <c r="P27" s="22">
        <f>IFERROR(IF(AND(ISNUMBER($K27),ISNUMBER(M27),M27&lt;&gt;0),$K27/M27-1,""),"")</f>
        <v/>
      </c>
      <c r="Q27" s="22">
        <f>IFERROR(IF(AND(ISNUMBER($K27),ISNUMBER(N27),N27&lt;&gt;0),$K27/N27-1,""),"")</f>
        <v/>
      </c>
    </row>
    <row r="28">
      <c r="A28" s="19">
        <f>Tickers!$A$27</f>
        <v/>
      </c>
      <c r="C28" s="30">
        <f>_xll.BDP($A28,"BEST_SALES","BEST_FPERIOD_OVERRIDE","1BF")</f>
        <v/>
      </c>
      <c r="D28" s="30">
        <f>_xll.BDP($A28,"BEST_SALES","BEST_FPERIOD_OVERRIDE","1BF","BEST_DATA_DATE_OVERRIDE",TEXT(YEAR($D$4),"0000")&amp;TEXT(MONTH($D$4),"00")&amp;TEXT(DAY($D$4),"00"))</f>
        <v/>
      </c>
      <c r="E28" s="30">
        <f>_xll.BDP($A28,"BEST_SALES","BEST_FPERIOD_OVERRIDE","1BF","BEST_DATA_DATE_OVERRIDE",TEXT(YEAR($E$4),"0000")&amp;TEXT(MONTH($E$4),"00")&amp;TEXT(DAY($E$4),"00"))</f>
        <v/>
      </c>
      <c r="F28" s="30">
        <f>_xll.BDP($A28,"BEST_SALES","BEST_FPERIOD_OVERRIDE","1BF","BEST_DATA_DATE_OVERRIDE",TEXT(YEAR($F$4),"0000")&amp;TEXT(MONTH($F$4),"00")&amp;TEXT(DAY($F$4),"00"))</f>
        <v/>
      </c>
      <c r="G28" s="22">
        <f>IFERROR(IF(AND(ISNUMBER($C28),ISNUMBER(D28),D28&lt;&gt;0),$C28/D28-1,""),"")</f>
        <v/>
      </c>
      <c r="H28" s="22">
        <f>IFERROR(IF(AND(ISNUMBER($C28),ISNUMBER(E28),E28&lt;&gt;0),$C28/E28-1,""),"")</f>
        <v/>
      </c>
      <c r="I28" s="22">
        <f>IFERROR(IF(AND(ISNUMBER($C28),ISNUMBER(F28),F28&lt;&gt;0),$C28/F28-1,""),"")</f>
        <v/>
      </c>
      <c r="K28" s="54">
        <f>_xll.BDP($A28,"BEST_EPS","BEST_FPERIOD_OVERRIDE","1BF")</f>
        <v/>
      </c>
      <c r="L28" s="54">
        <f>_xll.BDP($A28,"BEST_EPS","BEST_FPERIOD_OVERRIDE","1BF","BEST_DATA_DATE_OVERRIDE",TEXT(YEAR($D$4),"0000")&amp;TEXT(MONTH($D$4),"00")&amp;TEXT(DAY($D$4),"00"))</f>
        <v/>
      </c>
      <c r="M28" s="54">
        <f>_xll.BDP($A28,"BEST_EPS","BEST_FPERIOD_OVERRIDE","1BF","BEST_DATA_DATE_OVERRIDE",TEXT(YEAR($E$4),"0000")&amp;TEXT(MONTH($E$4),"00")&amp;TEXT(DAY($E$4),"00"))</f>
        <v/>
      </c>
      <c r="N28" s="54">
        <f>_xll.BDP($A28,"BEST_EPS","BEST_FPERIOD_OVERRIDE","1BF","BEST_DATA_DATE_OVERRIDE",TEXT(YEAR($F$4),"0000")&amp;TEXT(MONTH($F$4),"00")&amp;TEXT(DAY($F$4),"00"))</f>
        <v/>
      </c>
      <c r="O28" s="22">
        <f>IFERROR(IF(AND(ISNUMBER($K28),ISNUMBER(L28),L28&lt;&gt;0),$K28/L28-1,""),"")</f>
        <v/>
      </c>
      <c r="P28" s="22">
        <f>IFERROR(IF(AND(ISNUMBER($K28),ISNUMBER(M28),M28&lt;&gt;0),$K28/M28-1,""),"")</f>
        <v/>
      </c>
      <c r="Q28" s="22">
        <f>IFERROR(IF(AND(ISNUMBER($K28),ISNUMBER(N28),N28&lt;&gt;0),$K28/N28-1,""),"")</f>
        <v/>
      </c>
    </row>
    <row r="29">
      <c r="A29" s="19">
        <f>Tickers!$A$28</f>
        <v/>
      </c>
      <c r="C29" s="30">
        <f>_xll.BDP($A29,"BEST_SALES","BEST_FPERIOD_OVERRIDE","1BF")</f>
        <v/>
      </c>
      <c r="D29" s="30">
        <f>_xll.BDP($A29,"BEST_SALES","BEST_FPERIOD_OVERRIDE","1BF","BEST_DATA_DATE_OVERRIDE",TEXT(YEAR($D$4),"0000")&amp;TEXT(MONTH($D$4),"00")&amp;TEXT(DAY($D$4),"00"))</f>
        <v/>
      </c>
      <c r="E29" s="30">
        <f>_xll.BDP($A29,"BEST_SALES","BEST_FPERIOD_OVERRIDE","1BF","BEST_DATA_DATE_OVERRIDE",TEXT(YEAR($E$4),"0000")&amp;TEXT(MONTH($E$4),"00")&amp;TEXT(DAY($E$4),"00"))</f>
        <v/>
      </c>
      <c r="F29" s="30">
        <f>_xll.BDP($A29,"BEST_SALES","BEST_FPERIOD_OVERRIDE","1BF","BEST_DATA_DATE_OVERRIDE",TEXT(YEAR($F$4),"0000")&amp;TEXT(MONTH($F$4),"00")&amp;TEXT(DAY($F$4),"00"))</f>
        <v/>
      </c>
      <c r="G29" s="22">
        <f>IFERROR(IF(AND(ISNUMBER($C29),ISNUMBER(D29),D29&lt;&gt;0),$C29/D29-1,""),"")</f>
        <v/>
      </c>
      <c r="H29" s="22">
        <f>IFERROR(IF(AND(ISNUMBER($C29),ISNUMBER(E29),E29&lt;&gt;0),$C29/E29-1,""),"")</f>
        <v/>
      </c>
      <c r="I29" s="22">
        <f>IFERROR(IF(AND(ISNUMBER($C29),ISNUMBER(F29),F29&lt;&gt;0),$C29/F29-1,""),"")</f>
        <v/>
      </c>
      <c r="K29" s="54">
        <f>_xll.BDP($A29,"BEST_EPS","BEST_FPERIOD_OVERRIDE","1BF")</f>
        <v/>
      </c>
      <c r="L29" s="54">
        <f>_xll.BDP($A29,"BEST_EPS","BEST_FPERIOD_OVERRIDE","1BF","BEST_DATA_DATE_OVERRIDE",TEXT(YEAR($D$4),"0000")&amp;TEXT(MONTH($D$4),"00")&amp;TEXT(DAY($D$4),"00"))</f>
        <v/>
      </c>
      <c r="M29" s="54">
        <f>_xll.BDP($A29,"BEST_EPS","BEST_FPERIOD_OVERRIDE","1BF","BEST_DATA_DATE_OVERRIDE",TEXT(YEAR($E$4),"0000")&amp;TEXT(MONTH($E$4),"00")&amp;TEXT(DAY($E$4),"00"))</f>
        <v/>
      </c>
      <c r="N29" s="54">
        <f>_xll.BDP($A29,"BEST_EPS","BEST_FPERIOD_OVERRIDE","1BF","BEST_DATA_DATE_OVERRIDE",TEXT(YEAR($F$4),"0000")&amp;TEXT(MONTH($F$4),"00")&amp;TEXT(DAY($F$4),"00"))</f>
        <v/>
      </c>
      <c r="O29" s="22">
        <f>IFERROR(IF(AND(ISNUMBER($K29),ISNUMBER(L29),L29&lt;&gt;0),$K29/L29-1,""),"")</f>
        <v/>
      </c>
      <c r="P29" s="22">
        <f>IFERROR(IF(AND(ISNUMBER($K29),ISNUMBER(M29),M29&lt;&gt;0),$K29/M29-1,""),"")</f>
        <v/>
      </c>
      <c r="Q29" s="22">
        <f>IFERROR(IF(AND(ISNUMBER($K29),ISNUMBER(N29),N29&lt;&gt;0),$K29/N29-1,""),"")</f>
        <v/>
      </c>
    </row>
    <row r="30">
      <c r="A30" s="19">
        <f>Tickers!$A$29</f>
        <v/>
      </c>
      <c r="C30" s="30">
        <f>_xll.BDP($A30,"BEST_SALES","BEST_FPERIOD_OVERRIDE","1BF")</f>
        <v/>
      </c>
      <c r="D30" s="30">
        <f>_xll.BDP($A30,"BEST_SALES","BEST_FPERIOD_OVERRIDE","1BF","BEST_DATA_DATE_OVERRIDE",TEXT(YEAR($D$4),"0000")&amp;TEXT(MONTH($D$4),"00")&amp;TEXT(DAY($D$4),"00"))</f>
        <v/>
      </c>
      <c r="E30" s="30">
        <f>_xll.BDP($A30,"BEST_SALES","BEST_FPERIOD_OVERRIDE","1BF","BEST_DATA_DATE_OVERRIDE",TEXT(YEAR($E$4),"0000")&amp;TEXT(MONTH($E$4),"00")&amp;TEXT(DAY($E$4),"00"))</f>
        <v/>
      </c>
      <c r="F30" s="30">
        <f>_xll.BDP($A30,"BEST_SALES","BEST_FPERIOD_OVERRIDE","1BF","BEST_DATA_DATE_OVERRIDE",TEXT(YEAR($F$4),"0000")&amp;TEXT(MONTH($F$4),"00")&amp;TEXT(DAY($F$4),"00"))</f>
        <v/>
      </c>
      <c r="G30" s="22">
        <f>IFERROR(IF(AND(ISNUMBER($C30),ISNUMBER(D30),D30&lt;&gt;0),$C30/D30-1,""),"")</f>
        <v/>
      </c>
      <c r="H30" s="22">
        <f>IFERROR(IF(AND(ISNUMBER($C30),ISNUMBER(E30),E30&lt;&gt;0),$C30/E30-1,""),"")</f>
        <v/>
      </c>
      <c r="I30" s="22">
        <f>IFERROR(IF(AND(ISNUMBER($C30),ISNUMBER(F30),F30&lt;&gt;0),$C30/F30-1,""),"")</f>
        <v/>
      </c>
      <c r="K30" s="54">
        <f>_xll.BDP($A30,"BEST_EPS","BEST_FPERIOD_OVERRIDE","1BF")</f>
        <v/>
      </c>
      <c r="L30" s="54">
        <f>_xll.BDP($A30,"BEST_EPS","BEST_FPERIOD_OVERRIDE","1BF","BEST_DATA_DATE_OVERRIDE",TEXT(YEAR($D$4),"0000")&amp;TEXT(MONTH($D$4),"00")&amp;TEXT(DAY($D$4),"00"))</f>
        <v/>
      </c>
      <c r="M30" s="54">
        <f>_xll.BDP($A30,"BEST_EPS","BEST_FPERIOD_OVERRIDE","1BF","BEST_DATA_DATE_OVERRIDE",TEXT(YEAR($E$4),"0000")&amp;TEXT(MONTH($E$4),"00")&amp;TEXT(DAY($E$4),"00"))</f>
        <v/>
      </c>
      <c r="N30" s="54">
        <f>_xll.BDP($A30,"BEST_EPS","BEST_FPERIOD_OVERRIDE","1BF","BEST_DATA_DATE_OVERRIDE",TEXT(YEAR($F$4),"0000")&amp;TEXT(MONTH($F$4),"00")&amp;TEXT(DAY($F$4),"00"))</f>
        <v/>
      </c>
      <c r="O30" s="22">
        <f>IFERROR(IF(AND(ISNUMBER($K30),ISNUMBER(L30),L30&lt;&gt;0),$K30/L30-1,""),"")</f>
        <v/>
      </c>
      <c r="P30" s="22">
        <f>IFERROR(IF(AND(ISNUMBER($K30),ISNUMBER(M30),M30&lt;&gt;0),$K30/M30-1,""),"")</f>
        <v/>
      </c>
      <c r="Q30" s="22">
        <f>IFERROR(IF(AND(ISNUMBER($K30),ISNUMBER(N30),N30&lt;&gt;0),$K30/N30-1,""),"")</f>
        <v/>
      </c>
    </row>
    <row r="31">
      <c r="A31" s="19">
        <f>Tickers!$A$30</f>
        <v/>
      </c>
      <c r="C31" s="30">
        <f>_xll.BDP($A31,"BEST_SALES","BEST_FPERIOD_OVERRIDE","1BF")</f>
        <v/>
      </c>
      <c r="D31" s="30">
        <f>_xll.BDP($A31,"BEST_SALES","BEST_FPERIOD_OVERRIDE","1BF","BEST_DATA_DATE_OVERRIDE",TEXT(YEAR($D$4),"0000")&amp;TEXT(MONTH($D$4),"00")&amp;TEXT(DAY($D$4),"00"))</f>
        <v/>
      </c>
      <c r="E31" s="30">
        <f>_xll.BDP($A31,"BEST_SALES","BEST_FPERIOD_OVERRIDE","1BF","BEST_DATA_DATE_OVERRIDE",TEXT(YEAR($E$4),"0000")&amp;TEXT(MONTH($E$4),"00")&amp;TEXT(DAY($E$4),"00"))</f>
        <v/>
      </c>
      <c r="F31" s="30">
        <f>_xll.BDP($A31,"BEST_SALES","BEST_FPERIOD_OVERRIDE","1BF","BEST_DATA_DATE_OVERRIDE",TEXT(YEAR($F$4),"0000")&amp;TEXT(MONTH($F$4),"00")&amp;TEXT(DAY($F$4),"00"))</f>
        <v/>
      </c>
      <c r="G31" s="22">
        <f>IFERROR(IF(AND(ISNUMBER($C31),ISNUMBER(D31),D31&lt;&gt;0),$C31/D31-1,""),"")</f>
        <v/>
      </c>
      <c r="H31" s="22">
        <f>IFERROR(IF(AND(ISNUMBER($C31),ISNUMBER(E31),E31&lt;&gt;0),$C31/E31-1,""),"")</f>
        <v/>
      </c>
      <c r="I31" s="22">
        <f>IFERROR(IF(AND(ISNUMBER($C31),ISNUMBER(F31),F31&lt;&gt;0),$C31/F31-1,""),"")</f>
        <v/>
      </c>
      <c r="K31" s="54">
        <f>_xll.BDP($A31,"BEST_EPS","BEST_FPERIOD_OVERRIDE","1BF")</f>
        <v/>
      </c>
      <c r="L31" s="54">
        <f>_xll.BDP($A31,"BEST_EPS","BEST_FPERIOD_OVERRIDE","1BF","BEST_DATA_DATE_OVERRIDE",TEXT(YEAR($D$4),"0000")&amp;TEXT(MONTH($D$4),"00")&amp;TEXT(DAY($D$4),"00"))</f>
        <v/>
      </c>
      <c r="M31" s="54">
        <f>_xll.BDP($A31,"BEST_EPS","BEST_FPERIOD_OVERRIDE","1BF","BEST_DATA_DATE_OVERRIDE",TEXT(YEAR($E$4),"0000")&amp;TEXT(MONTH($E$4),"00")&amp;TEXT(DAY($E$4),"00"))</f>
        <v/>
      </c>
      <c r="N31" s="54">
        <f>_xll.BDP($A31,"BEST_EPS","BEST_FPERIOD_OVERRIDE","1BF","BEST_DATA_DATE_OVERRIDE",TEXT(YEAR($F$4),"0000")&amp;TEXT(MONTH($F$4),"00")&amp;TEXT(DAY($F$4),"00"))</f>
        <v/>
      </c>
      <c r="O31" s="22">
        <f>IFERROR(IF(AND(ISNUMBER($K31),ISNUMBER(L31),L31&lt;&gt;0),$K31/L31-1,""),"")</f>
        <v/>
      </c>
      <c r="P31" s="22">
        <f>IFERROR(IF(AND(ISNUMBER($K31),ISNUMBER(M31),M31&lt;&gt;0),$K31/M31-1,""),"")</f>
        <v/>
      </c>
      <c r="Q31" s="22">
        <f>IFERROR(IF(AND(ISNUMBER($K31),ISNUMBER(N31),N31&lt;&gt;0),$K31/N31-1,""),"")</f>
        <v/>
      </c>
    </row>
    <row r="32">
      <c r="A32" s="19">
        <f>Tickers!$A$31</f>
        <v/>
      </c>
      <c r="C32" s="30">
        <f>_xll.BDP($A32,"BEST_SALES","BEST_FPERIOD_OVERRIDE","1BF")</f>
        <v/>
      </c>
      <c r="D32" s="30">
        <f>_xll.BDP($A32,"BEST_SALES","BEST_FPERIOD_OVERRIDE","1BF","BEST_DATA_DATE_OVERRIDE",TEXT(YEAR($D$4),"0000")&amp;TEXT(MONTH($D$4),"00")&amp;TEXT(DAY($D$4),"00"))</f>
        <v/>
      </c>
      <c r="E32" s="30">
        <f>_xll.BDP($A32,"BEST_SALES","BEST_FPERIOD_OVERRIDE","1BF","BEST_DATA_DATE_OVERRIDE",TEXT(YEAR($E$4),"0000")&amp;TEXT(MONTH($E$4),"00")&amp;TEXT(DAY($E$4),"00"))</f>
        <v/>
      </c>
      <c r="F32" s="30">
        <f>_xll.BDP($A32,"BEST_SALES","BEST_FPERIOD_OVERRIDE","1BF","BEST_DATA_DATE_OVERRIDE",TEXT(YEAR($F$4),"0000")&amp;TEXT(MONTH($F$4),"00")&amp;TEXT(DAY($F$4),"00"))</f>
        <v/>
      </c>
      <c r="G32" s="22">
        <f>IFERROR(IF(AND(ISNUMBER($C32),ISNUMBER(D32),D32&lt;&gt;0),$C32/D32-1,""),"")</f>
        <v/>
      </c>
      <c r="H32" s="22">
        <f>IFERROR(IF(AND(ISNUMBER($C32),ISNUMBER(E32),E32&lt;&gt;0),$C32/E32-1,""),"")</f>
        <v/>
      </c>
      <c r="I32" s="22">
        <f>IFERROR(IF(AND(ISNUMBER($C32),ISNUMBER(F32),F32&lt;&gt;0),$C32/F32-1,""),"")</f>
        <v/>
      </c>
      <c r="K32" s="54">
        <f>_xll.BDP($A32,"BEST_EPS","BEST_FPERIOD_OVERRIDE","1BF")</f>
        <v/>
      </c>
      <c r="L32" s="54">
        <f>_xll.BDP($A32,"BEST_EPS","BEST_FPERIOD_OVERRIDE","1BF","BEST_DATA_DATE_OVERRIDE",TEXT(YEAR($D$4),"0000")&amp;TEXT(MONTH($D$4),"00")&amp;TEXT(DAY($D$4),"00"))</f>
        <v/>
      </c>
      <c r="M32" s="54">
        <f>_xll.BDP($A32,"BEST_EPS","BEST_FPERIOD_OVERRIDE","1BF","BEST_DATA_DATE_OVERRIDE",TEXT(YEAR($E$4),"0000")&amp;TEXT(MONTH($E$4),"00")&amp;TEXT(DAY($E$4),"00"))</f>
        <v/>
      </c>
      <c r="N32" s="54">
        <f>_xll.BDP($A32,"BEST_EPS","BEST_FPERIOD_OVERRIDE","1BF","BEST_DATA_DATE_OVERRIDE",TEXT(YEAR($F$4),"0000")&amp;TEXT(MONTH($F$4),"00")&amp;TEXT(DAY($F$4),"00"))</f>
        <v/>
      </c>
      <c r="O32" s="22">
        <f>IFERROR(IF(AND(ISNUMBER($K32),ISNUMBER(L32),L32&lt;&gt;0),$K32/L32-1,""),"")</f>
        <v/>
      </c>
      <c r="P32" s="22">
        <f>IFERROR(IF(AND(ISNUMBER($K32),ISNUMBER(M32),M32&lt;&gt;0),$K32/M32-1,""),"")</f>
        <v/>
      </c>
      <c r="Q32" s="22">
        <f>IFERROR(IF(AND(ISNUMBER($K32),ISNUMBER(N32),N32&lt;&gt;0),$K32/N32-1,""),"")</f>
        <v/>
      </c>
    </row>
    <row r="33">
      <c r="A33" s="19">
        <f>Tickers!$A$32</f>
        <v/>
      </c>
      <c r="C33" s="30">
        <f>_xll.BDP($A33,"BEST_SALES","BEST_FPERIOD_OVERRIDE","1BF")</f>
        <v/>
      </c>
      <c r="D33" s="30">
        <f>_xll.BDP($A33,"BEST_SALES","BEST_FPERIOD_OVERRIDE","1BF","BEST_DATA_DATE_OVERRIDE",TEXT(YEAR($D$4),"0000")&amp;TEXT(MONTH($D$4),"00")&amp;TEXT(DAY($D$4),"00"))</f>
        <v/>
      </c>
      <c r="E33" s="30">
        <f>_xll.BDP($A33,"BEST_SALES","BEST_FPERIOD_OVERRIDE","1BF","BEST_DATA_DATE_OVERRIDE",TEXT(YEAR($E$4),"0000")&amp;TEXT(MONTH($E$4),"00")&amp;TEXT(DAY($E$4),"00"))</f>
        <v/>
      </c>
      <c r="F33" s="30">
        <f>_xll.BDP($A33,"BEST_SALES","BEST_FPERIOD_OVERRIDE","1BF","BEST_DATA_DATE_OVERRIDE",TEXT(YEAR($F$4),"0000")&amp;TEXT(MONTH($F$4),"00")&amp;TEXT(DAY($F$4),"00"))</f>
        <v/>
      </c>
      <c r="G33" s="22">
        <f>IFERROR(IF(AND(ISNUMBER($C33),ISNUMBER(D33),D33&lt;&gt;0),$C33/D33-1,""),"")</f>
        <v/>
      </c>
      <c r="H33" s="22">
        <f>IFERROR(IF(AND(ISNUMBER($C33),ISNUMBER(E33),E33&lt;&gt;0),$C33/E33-1,""),"")</f>
        <v/>
      </c>
      <c r="I33" s="22">
        <f>IFERROR(IF(AND(ISNUMBER($C33),ISNUMBER(F33),F33&lt;&gt;0),$C33/F33-1,""),"")</f>
        <v/>
      </c>
      <c r="K33" s="54">
        <f>_xll.BDP($A33,"BEST_EPS","BEST_FPERIOD_OVERRIDE","1BF")</f>
        <v/>
      </c>
      <c r="L33" s="54">
        <f>_xll.BDP($A33,"BEST_EPS","BEST_FPERIOD_OVERRIDE","1BF","BEST_DATA_DATE_OVERRIDE",TEXT(YEAR($D$4),"0000")&amp;TEXT(MONTH($D$4),"00")&amp;TEXT(DAY($D$4),"00"))</f>
        <v/>
      </c>
      <c r="M33" s="54">
        <f>_xll.BDP($A33,"BEST_EPS","BEST_FPERIOD_OVERRIDE","1BF","BEST_DATA_DATE_OVERRIDE",TEXT(YEAR($E$4),"0000")&amp;TEXT(MONTH($E$4),"00")&amp;TEXT(DAY($E$4),"00"))</f>
        <v/>
      </c>
      <c r="N33" s="54">
        <f>_xll.BDP($A33,"BEST_EPS","BEST_FPERIOD_OVERRIDE","1BF","BEST_DATA_DATE_OVERRIDE",TEXT(YEAR($F$4),"0000")&amp;TEXT(MONTH($F$4),"00")&amp;TEXT(DAY($F$4),"00"))</f>
        <v/>
      </c>
      <c r="O33" s="22">
        <f>IFERROR(IF(AND(ISNUMBER($K33),ISNUMBER(L33),L33&lt;&gt;0),$K33/L33-1,""),"")</f>
        <v/>
      </c>
      <c r="P33" s="22">
        <f>IFERROR(IF(AND(ISNUMBER($K33),ISNUMBER(M33),M33&lt;&gt;0),$K33/M33-1,""),"")</f>
        <v/>
      </c>
      <c r="Q33" s="22">
        <f>IFERROR(IF(AND(ISNUMBER($K33),ISNUMBER(N33),N33&lt;&gt;0),$K33/N33-1,""),"")</f>
        <v/>
      </c>
    </row>
    <row r="34">
      <c r="A34" s="19">
        <f>Tickers!$A$33</f>
        <v/>
      </c>
      <c r="C34" s="30">
        <f>_xll.BDP($A34,"BEST_SALES","BEST_FPERIOD_OVERRIDE","1BF")</f>
        <v/>
      </c>
      <c r="D34" s="30">
        <f>_xll.BDP($A34,"BEST_SALES","BEST_FPERIOD_OVERRIDE","1BF","BEST_DATA_DATE_OVERRIDE",TEXT(YEAR($D$4),"0000")&amp;TEXT(MONTH($D$4),"00")&amp;TEXT(DAY($D$4),"00"))</f>
        <v/>
      </c>
      <c r="E34" s="30">
        <f>_xll.BDP($A34,"BEST_SALES","BEST_FPERIOD_OVERRIDE","1BF","BEST_DATA_DATE_OVERRIDE",TEXT(YEAR($E$4),"0000")&amp;TEXT(MONTH($E$4),"00")&amp;TEXT(DAY($E$4),"00"))</f>
        <v/>
      </c>
      <c r="F34" s="30">
        <f>_xll.BDP($A34,"BEST_SALES","BEST_FPERIOD_OVERRIDE","1BF","BEST_DATA_DATE_OVERRIDE",TEXT(YEAR($F$4),"0000")&amp;TEXT(MONTH($F$4),"00")&amp;TEXT(DAY($F$4),"00"))</f>
        <v/>
      </c>
      <c r="G34" s="22">
        <f>IFERROR(IF(AND(ISNUMBER($C34),ISNUMBER(D34),D34&lt;&gt;0),$C34/D34-1,""),"")</f>
        <v/>
      </c>
      <c r="H34" s="22">
        <f>IFERROR(IF(AND(ISNUMBER($C34),ISNUMBER(E34),E34&lt;&gt;0),$C34/E34-1,""),"")</f>
        <v/>
      </c>
      <c r="I34" s="22">
        <f>IFERROR(IF(AND(ISNUMBER($C34),ISNUMBER(F34),F34&lt;&gt;0),$C34/F34-1,""),"")</f>
        <v/>
      </c>
      <c r="K34" s="54">
        <f>_xll.BDP($A34,"BEST_EPS","BEST_FPERIOD_OVERRIDE","1BF")</f>
        <v/>
      </c>
      <c r="L34" s="54">
        <f>_xll.BDP($A34,"BEST_EPS","BEST_FPERIOD_OVERRIDE","1BF","BEST_DATA_DATE_OVERRIDE",TEXT(YEAR($D$4),"0000")&amp;TEXT(MONTH($D$4),"00")&amp;TEXT(DAY($D$4),"00"))</f>
        <v/>
      </c>
      <c r="M34" s="54">
        <f>_xll.BDP($A34,"BEST_EPS","BEST_FPERIOD_OVERRIDE","1BF","BEST_DATA_DATE_OVERRIDE",TEXT(YEAR($E$4),"0000")&amp;TEXT(MONTH($E$4),"00")&amp;TEXT(DAY($E$4),"00"))</f>
        <v/>
      </c>
      <c r="N34" s="54">
        <f>_xll.BDP($A34,"BEST_EPS","BEST_FPERIOD_OVERRIDE","1BF","BEST_DATA_DATE_OVERRIDE",TEXT(YEAR($F$4),"0000")&amp;TEXT(MONTH($F$4),"00")&amp;TEXT(DAY($F$4),"00"))</f>
        <v/>
      </c>
      <c r="O34" s="22">
        <f>IFERROR(IF(AND(ISNUMBER($K34),ISNUMBER(L34),L34&lt;&gt;0),$K34/L34-1,""),"")</f>
        <v/>
      </c>
      <c r="P34" s="22">
        <f>IFERROR(IF(AND(ISNUMBER($K34),ISNUMBER(M34),M34&lt;&gt;0),$K34/M34-1,""),"")</f>
        <v/>
      </c>
      <c r="Q34" s="22">
        <f>IFERROR(IF(AND(ISNUMBER($K34),ISNUMBER(N34),N34&lt;&gt;0),$K34/N34-1,""),"")</f>
        <v/>
      </c>
    </row>
    <row r="35">
      <c r="A35" s="19">
        <f>Tickers!$A$34</f>
        <v/>
      </c>
      <c r="C35" s="30">
        <f>_xll.BDP($A35,"BEST_SALES","BEST_FPERIOD_OVERRIDE","1BF")</f>
        <v/>
      </c>
      <c r="D35" s="30">
        <f>_xll.BDP($A35,"BEST_SALES","BEST_FPERIOD_OVERRIDE","1BF","BEST_DATA_DATE_OVERRIDE",TEXT(YEAR($D$4),"0000")&amp;TEXT(MONTH($D$4),"00")&amp;TEXT(DAY($D$4),"00"))</f>
        <v/>
      </c>
      <c r="E35" s="30">
        <f>_xll.BDP($A35,"BEST_SALES","BEST_FPERIOD_OVERRIDE","1BF","BEST_DATA_DATE_OVERRIDE",TEXT(YEAR($E$4),"0000")&amp;TEXT(MONTH($E$4),"00")&amp;TEXT(DAY($E$4),"00"))</f>
        <v/>
      </c>
      <c r="F35" s="30">
        <f>_xll.BDP($A35,"BEST_SALES","BEST_FPERIOD_OVERRIDE","1BF","BEST_DATA_DATE_OVERRIDE",TEXT(YEAR($F$4),"0000")&amp;TEXT(MONTH($F$4),"00")&amp;TEXT(DAY($F$4),"00"))</f>
        <v/>
      </c>
      <c r="G35" s="22">
        <f>IFERROR(IF(AND(ISNUMBER($C35),ISNUMBER(D35),D35&lt;&gt;0),$C35/D35-1,""),"")</f>
        <v/>
      </c>
      <c r="H35" s="22">
        <f>IFERROR(IF(AND(ISNUMBER($C35),ISNUMBER(E35),E35&lt;&gt;0),$C35/E35-1,""),"")</f>
        <v/>
      </c>
      <c r="I35" s="22">
        <f>IFERROR(IF(AND(ISNUMBER($C35),ISNUMBER(F35),F35&lt;&gt;0),$C35/F35-1,""),"")</f>
        <v/>
      </c>
      <c r="K35" s="54">
        <f>_xll.BDP($A35,"BEST_EPS","BEST_FPERIOD_OVERRIDE","1BF")</f>
        <v/>
      </c>
      <c r="L35" s="54">
        <f>_xll.BDP($A35,"BEST_EPS","BEST_FPERIOD_OVERRIDE","1BF","BEST_DATA_DATE_OVERRIDE",TEXT(YEAR($D$4),"0000")&amp;TEXT(MONTH($D$4),"00")&amp;TEXT(DAY($D$4),"00"))</f>
        <v/>
      </c>
      <c r="M35" s="54">
        <f>_xll.BDP($A35,"BEST_EPS","BEST_FPERIOD_OVERRIDE","1BF","BEST_DATA_DATE_OVERRIDE",TEXT(YEAR($E$4),"0000")&amp;TEXT(MONTH($E$4),"00")&amp;TEXT(DAY($E$4),"00"))</f>
        <v/>
      </c>
      <c r="N35" s="54">
        <f>_xll.BDP($A35,"BEST_EPS","BEST_FPERIOD_OVERRIDE","1BF","BEST_DATA_DATE_OVERRIDE",TEXT(YEAR($F$4),"0000")&amp;TEXT(MONTH($F$4),"00")&amp;TEXT(DAY($F$4),"00"))</f>
        <v/>
      </c>
      <c r="O35" s="22">
        <f>IFERROR(IF(AND(ISNUMBER($K35),ISNUMBER(L35),L35&lt;&gt;0),$K35/L35-1,""),"")</f>
        <v/>
      </c>
      <c r="P35" s="22">
        <f>IFERROR(IF(AND(ISNUMBER($K35),ISNUMBER(M35),M35&lt;&gt;0),$K35/M35-1,""),"")</f>
        <v/>
      </c>
      <c r="Q35" s="22">
        <f>IFERROR(IF(AND(ISNUMBER($K35),ISNUMBER(N35),N35&lt;&gt;0),$K35/N35-1,""),"")</f>
        <v/>
      </c>
    </row>
    <row r="36">
      <c r="A36" s="19">
        <f>Tickers!$A$35</f>
        <v/>
      </c>
      <c r="C36" s="30">
        <f>_xll.BDP($A36,"BEST_SALES","BEST_FPERIOD_OVERRIDE","1BF")</f>
        <v/>
      </c>
      <c r="D36" s="30">
        <f>_xll.BDP($A36,"BEST_SALES","BEST_FPERIOD_OVERRIDE","1BF","BEST_DATA_DATE_OVERRIDE",TEXT(YEAR($D$4),"0000")&amp;TEXT(MONTH($D$4),"00")&amp;TEXT(DAY($D$4),"00"))</f>
        <v/>
      </c>
      <c r="E36" s="30">
        <f>_xll.BDP($A36,"BEST_SALES","BEST_FPERIOD_OVERRIDE","1BF","BEST_DATA_DATE_OVERRIDE",TEXT(YEAR($E$4),"0000")&amp;TEXT(MONTH($E$4),"00")&amp;TEXT(DAY($E$4),"00"))</f>
        <v/>
      </c>
      <c r="F36" s="30">
        <f>_xll.BDP($A36,"BEST_SALES","BEST_FPERIOD_OVERRIDE","1BF","BEST_DATA_DATE_OVERRIDE",TEXT(YEAR($F$4),"0000")&amp;TEXT(MONTH($F$4),"00")&amp;TEXT(DAY($F$4),"00"))</f>
        <v/>
      </c>
      <c r="G36" s="22">
        <f>IFERROR(IF(AND(ISNUMBER($C36),ISNUMBER(D36),D36&lt;&gt;0),$C36/D36-1,""),"")</f>
        <v/>
      </c>
      <c r="H36" s="22">
        <f>IFERROR(IF(AND(ISNUMBER($C36),ISNUMBER(E36),E36&lt;&gt;0),$C36/E36-1,""),"")</f>
        <v/>
      </c>
      <c r="I36" s="22">
        <f>IFERROR(IF(AND(ISNUMBER($C36),ISNUMBER(F36),F36&lt;&gt;0),$C36/F36-1,""),"")</f>
        <v/>
      </c>
      <c r="K36" s="54">
        <f>_xll.BDP($A36,"BEST_EPS","BEST_FPERIOD_OVERRIDE","1BF")</f>
        <v/>
      </c>
      <c r="L36" s="54">
        <f>_xll.BDP($A36,"BEST_EPS","BEST_FPERIOD_OVERRIDE","1BF","BEST_DATA_DATE_OVERRIDE",TEXT(YEAR($D$4),"0000")&amp;TEXT(MONTH($D$4),"00")&amp;TEXT(DAY($D$4),"00"))</f>
        <v/>
      </c>
      <c r="M36" s="54">
        <f>_xll.BDP($A36,"BEST_EPS","BEST_FPERIOD_OVERRIDE","1BF","BEST_DATA_DATE_OVERRIDE",TEXT(YEAR($E$4),"0000")&amp;TEXT(MONTH($E$4),"00")&amp;TEXT(DAY($E$4),"00"))</f>
        <v/>
      </c>
      <c r="N36" s="54">
        <f>_xll.BDP($A36,"BEST_EPS","BEST_FPERIOD_OVERRIDE","1BF","BEST_DATA_DATE_OVERRIDE",TEXT(YEAR($F$4),"0000")&amp;TEXT(MONTH($F$4),"00")&amp;TEXT(DAY($F$4),"00"))</f>
        <v/>
      </c>
      <c r="O36" s="22">
        <f>IFERROR(IF(AND(ISNUMBER($K36),ISNUMBER(L36),L36&lt;&gt;0),$K36/L36-1,""),"")</f>
        <v/>
      </c>
      <c r="P36" s="22">
        <f>IFERROR(IF(AND(ISNUMBER($K36),ISNUMBER(M36),M36&lt;&gt;0),$K36/M36-1,""),"")</f>
        <v/>
      </c>
      <c r="Q36" s="22">
        <f>IFERROR(IF(AND(ISNUMBER($K36),ISNUMBER(N36),N36&lt;&gt;0),$K36/N36-1,""),"")</f>
        <v/>
      </c>
    </row>
    <row r="37">
      <c r="A37" s="19">
        <f>Tickers!$A$36</f>
        <v/>
      </c>
      <c r="C37" s="30">
        <f>_xll.BDP($A37,"BEST_SALES","BEST_FPERIOD_OVERRIDE","1BF")</f>
        <v/>
      </c>
      <c r="D37" s="30">
        <f>_xll.BDP($A37,"BEST_SALES","BEST_FPERIOD_OVERRIDE","1BF","BEST_DATA_DATE_OVERRIDE",TEXT(YEAR($D$4),"0000")&amp;TEXT(MONTH($D$4),"00")&amp;TEXT(DAY($D$4),"00"))</f>
        <v/>
      </c>
      <c r="E37" s="30">
        <f>_xll.BDP($A37,"BEST_SALES","BEST_FPERIOD_OVERRIDE","1BF","BEST_DATA_DATE_OVERRIDE",TEXT(YEAR($E$4),"0000")&amp;TEXT(MONTH($E$4),"00")&amp;TEXT(DAY($E$4),"00"))</f>
        <v/>
      </c>
      <c r="F37" s="30">
        <f>_xll.BDP($A37,"BEST_SALES","BEST_FPERIOD_OVERRIDE","1BF","BEST_DATA_DATE_OVERRIDE",TEXT(YEAR($F$4),"0000")&amp;TEXT(MONTH($F$4),"00")&amp;TEXT(DAY($F$4),"00"))</f>
        <v/>
      </c>
      <c r="G37" s="22">
        <f>IFERROR(IF(AND(ISNUMBER($C37),ISNUMBER(D37),D37&lt;&gt;0),$C37/D37-1,""),"")</f>
        <v/>
      </c>
      <c r="H37" s="22">
        <f>IFERROR(IF(AND(ISNUMBER($C37),ISNUMBER(E37),E37&lt;&gt;0),$C37/E37-1,""),"")</f>
        <v/>
      </c>
      <c r="I37" s="22">
        <f>IFERROR(IF(AND(ISNUMBER($C37),ISNUMBER(F37),F37&lt;&gt;0),$C37/F37-1,""),"")</f>
        <v/>
      </c>
      <c r="K37" s="54">
        <f>_xll.BDP($A37,"BEST_EPS","BEST_FPERIOD_OVERRIDE","1BF")</f>
        <v/>
      </c>
      <c r="L37" s="54">
        <f>_xll.BDP($A37,"BEST_EPS","BEST_FPERIOD_OVERRIDE","1BF","BEST_DATA_DATE_OVERRIDE",TEXT(YEAR($D$4),"0000")&amp;TEXT(MONTH($D$4),"00")&amp;TEXT(DAY($D$4),"00"))</f>
        <v/>
      </c>
      <c r="M37" s="54">
        <f>_xll.BDP($A37,"BEST_EPS","BEST_FPERIOD_OVERRIDE","1BF","BEST_DATA_DATE_OVERRIDE",TEXT(YEAR($E$4),"0000")&amp;TEXT(MONTH($E$4),"00")&amp;TEXT(DAY($E$4),"00"))</f>
        <v/>
      </c>
      <c r="N37" s="54">
        <f>_xll.BDP($A37,"BEST_EPS","BEST_FPERIOD_OVERRIDE","1BF","BEST_DATA_DATE_OVERRIDE",TEXT(YEAR($F$4),"0000")&amp;TEXT(MONTH($F$4),"00")&amp;TEXT(DAY($F$4),"00"))</f>
        <v/>
      </c>
      <c r="O37" s="22">
        <f>IFERROR(IF(AND(ISNUMBER($K37),ISNUMBER(L37),L37&lt;&gt;0),$K37/L37-1,""),"")</f>
        <v/>
      </c>
      <c r="P37" s="22">
        <f>IFERROR(IF(AND(ISNUMBER($K37),ISNUMBER(M37),M37&lt;&gt;0),$K37/M37-1,""),"")</f>
        <v/>
      </c>
      <c r="Q37" s="22">
        <f>IFERROR(IF(AND(ISNUMBER($K37),ISNUMBER(N37),N37&lt;&gt;0),$K37/N37-1,""),"")</f>
        <v/>
      </c>
    </row>
    <row r="38">
      <c r="A38" s="19">
        <f>Tickers!$A$37</f>
        <v/>
      </c>
      <c r="C38" s="30">
        <f>_xll.BDP($A38,"BEST_SALES","BEST_FPERIOD_OVERRIDE","1BF")</f>
        <v/>
      </c>
      <c r="D38" s="30">
        <f>_xll.BDP($A38,"BEST_SALES","BEST_FPERIOD_OVERRIDE","1BF","BEST_DATA_DATE_OVERRIDE",TEXT(YEAR($D$4),"0000")&amp;TEXT(MONTH($D$4),"00")&amp;TEXT(DAY($D$4),"00"))</f>
        <v/>
      </c>
      <c r="E38" s="30">
        <f>_xll.BDP($A38,"BEST_SALES","BEST_FPERIOD_OVERRIDE","1BF","BEST_DATA_DATE_OVERRIDE",TEXT(YEAR($E$4),"0000")&amp;TEXT(MONTH($E$4),"00")&amp;TEXT(DAY($E$4),"00"))</f>
        <v/>
      </c>
      <c r="F38" s="30">
        <f>_xll.BDP($A38,"BEST_SALES","BEST_FPERIOD_OVERRIDE","1BF","BEST_DATA_DATE_OVERRIDE",TEXT(YEAR($F$4),"0000")&amp;TEXT(MONTH($F$4),"00")&amp;TEXT(DAY($F$4),"00"))</f>
        <v/>
      </c>
      <c r="G38" s="22">
        <f>IFERROR(IF(AND(ISNUMBER($C38),ISNUMBER(D38),D38&lt;&gt;0),$C38/D38-1,""),"")</f>
        <v/>
      </c>
      <c r="H38" s="22">
        <f>IFERROR(IF(AND(ISNUMBER($C38),ISNUMBER(E38),E38&lt;&gt;0),$C38/E38-1,""),"")</f>
        <v/>
      </c>
      <c r="I38" s="22">
        <f>IFERROR(IF(AND(ISNUMBER($C38),ISNUMBER(F38),F38&lt;&gt;0),$C38/F38-1,""),"")</f>
        <v/>
      </c>
      <c r="K38" s="54">
        <f>_xll.BDP($A38,"BEST_EPS","BEST_FPERIOD_OVERRIDE","1BF")</f>
        <v/>
      </c>
      <c r="L38" s="54">
        <f>_xll.BDP($A38,"BEST_EPS","BEST_FPERIOD_OVERRIDE","1BF","BEST_DATA_DATE_OVERRIDE",TEXT(YEAR($D$4),"0000")&amp;TEXT(MONTH($D$4),"00")&amp;TEXT(DAY($D$4),"00"))</f>
        <v/>
      </c>
      <c r="M38" s="54">
        <f>_xll.BDP($A38,"BEST_EPS","BEST_FPERIOD_OVERRIDE","1BF","BEST_DATA_DATE_OVERRIDE",TEXT(YEAR($E$4),"0000")&amp;TEXT(MONTH($E$4),"00")&amp;TEXT(DAY($E$4),"00"))</f>
        <v/>
      </c>
      <c r="N38" s="54">
        <f>_xll.BDP($A38,"BEST_EPS","BEST_FPERIOD_OVERRIDE","1BF","BEST_DATA_DATE_OVERRIDE",TEXT(YEAR($F$4),"0000")&amp;TEXT(MONTH($F$4),"00")&amp;TEXT(DAY($F$4),"00"))</f>
        <v/>
      </c>
      <c r="O38" s="22">
        <f>IFERROR(IF(AND(ISNUMBER($K38),ISNUMBER(L38),L38&lt;&gt;0),$K38/L38-1,""),"")</f>
        <v/>
      </c>
      <c r="P38" s="22">
        <f>IFERROR(IF(AND(ISNUMBER($K38),ISNUMBER(M38),M38&lt;&gt;0),$K38/M38-1,""),"")</f>
        <v/>
      </c>
      <c r="Q38" s="22">
        <f>IFERROR(IF(AND(ISNUMBER($K38),ISNUMBER(N38),N38&lt;&gt;0),$K38/N38-1,""),"")</f>
        <v/>
      </c>
    </row>
    <row r="39">
      <c r="A39" s="19">
        <f>Tickers!$A$38</f>
        <v/>
      </c>
      <c r="C39" s="30">
        <f>_xll.BDP($A39,"BEST_SALES","BEST_FPERIOD_OVERRIDE","1BF")</f>
        <v/>
      </c>
      <c r="D39" s="30">
        <f>_xll.BDP($A39,"BEST_SALES","BEST_FPERIOD_OVERRIDE","1BF","BEST_DATA_DATE_OVERRIDE",TEXT(YEAR($D$4),"0000")&amp;TEXT(MONTH($D$4),"00")&amp;TEXT(DAY($D$4),"00"))</f>
        <v/>
      </c>
      <c r="E39" s="30">
        <f>_xll.BDP($A39,"BEST_SALES","BEST_FPERIOD_OVERRIDE","1BF","BEST_DATA_DATE_OVERRIDE",TEXT(YEAR($E$4),"0000")&amp;TEXT(MONTH($E$4),"00")&amp;TEXT(DAY($E$4),"00"))</f>
        <v/>
      </c>
      <c r="F39" s="30">
        <f>_xll.BDP($A39,"BEST_SALES","BEST_FPERIOD_OVERRIDE","1BF","BEST_DATA_DATE_OVERRIDE",TEXT(YEAR($F$4),"0000")&amp;TEXT(MONTH($F$4),"00")&amp;TEXT(DAY($F$4),"00"))</f>
        <v/>
      </c>
      <c r="G39" s="22">
        <f>IFERROR(IF(AND(ISNUMBER($C39),ISNUMBER(D39),D39&lt;&gt;0),$C39/D39-1,""),"")</f>
        <v/>
      </c>
      <c r="H39" s="22">
        <f>IFERROR(IF(AND(ISNUMBER($C39),ISNUMBER(E39),E39&lt;&gt;0),$C39/E39-1,""),"")</f>
        <v/>
      </c>
      <c r="I39" s="22">
        <f>IFERROR(IF(AND(ISNUMBER($C39),ISNUMBER(F39),F39&lt;&gt;0),$C39/F39-1,""),"")</f>
        <v/>
      </c>
      <c r="K39" s="54">
        <f>_xll.BDP($A39,"BEST_EPS","BEST_FPERIOD_OVERRIDE","1BF")</f>
        <v/>
      </c>
      <c r="L39" s="54">
        <f>_xll.BDP($A39,"BEST_EPS","BEST_FPERIOD_OVERRIDE","1BF","BEST_DATA_DATE_OVERRIDE",TEXT(YEAR($D$4),"0000")&amp;TEXT(MONTH($D$4),"00")&amp;TEXT(DAY($D$4),"00"))</f>
        <v/>
      </c>
      <c r="M39" s="54">
        <f>_xll.BDP($A39,"BEST_EPS","BEST_FPERIOD_OVERRIDE","1BF","BEST_DATA_DATE_OVERRIDE",TEXT(YEAR($E$4),"0000")&amp;TEXT(MONTH($E$4),"00")&amp;TEXT(DAY($E$4),"00"))</f>
        <v/>
      </c>
      <c r="N39" s="54">
        <f>_xll.BDP($A39,"BEST_EPS","BEST_FPERIOD_OVERRIDE","1BF","BEST_DATA_DATE_OVERRIDE",TEXT(YEAR($F$4),"0000")&amp;TEXT(MONTH($F$4),"00")&amp;TEXT(DAY($F$4),"00"))</f>
        <v/>
      </c>
      <c r="O39" s="22">
        <f>IFERROR(IF(AND(ISNUMBER($K39),ISNUMBER(L39),L39&lt;&gt;0),$K39/L39-1,""),"")</f>
        <v/>
      </c>
      <c r="P39" s="22">
        <f>IFERROR(IF(AND(ISNUMBER($K39),ISNUMBER(M39),M39&lt;&gt;0),$K39/M39-1,""),"")</f>
        <v/>
      </c>
      <c r="Q39" s="22">
        <f>IFERROR(IF(AND(ISNUMBER($K39),ISNUMBER(N39),N39&lt;&gt;0),$K39/N39-1,""),"")</f>
        <v/>
      </c>
    </row>
    <row r="40">
      <c r="A40" s="19">
        <f>Tickers!$A$39</f>
        <v/>
      </c>
      <c r="C40" s="30">
        <f>_xll.BDP($A40,"BEST_SALES","BEST_FPERIOD_OVERRIDE","1BF")</f>
        <v/>
      </c>
      <c r="D40" s="30">
        <f>_xll.BDP($A40,"BEST_SALES","BEST_FPERIOD_OVERRIDE","1BF","BEST_DATA_DATE_OVERRIDE",TEXT(YEAR($D$4),"0000")&amp;TEXT(MONTH($D$4),"00")&amp;TEXT(DAY($D$4),"00"))</f>
        <v/>
      </c>
      <c r="E40" s="30">
        <f>_xll.BDP($A40,"BEST_SALES","BEST_FPERIOD_OVERRIDE","1BF","BEST_DATA_DATE_OVERRIDE",TEXT(YEAR($E$4),"0000")&amp;TEXT(MONTH($E$4),"00")&amp;TEXT(DAY($E$4),"00"))</f>
        <v/>
      </c>
      <c r="F40" s="30">
        <f>_xll.BDP($A40,"BEST_SALES","BEST_FPERIOD_OVERRIDE","1BF","BEST_DATA_DATE_OVERRIDE",TEXT(YEAR($F$4),"0000")&amp;TEXT(MONTH($F$4),"00")&amp;TEXT(DAY($F$4),"00"))</f>
        <v/>
      </c>
      <c r="G40" s="22">
        <f>IFERROR(IF(AND(ISNUMBER($C40),ISNUMBER(D40),D40&lt;&gt;0),$C40/D40-1,""),"")</f>
        <v/>
      </c>
      <c r="H40" s="22">
        <f>IFERROR(IF(AND(ISNUMBER($C40),ISNUMBER(E40),E40&lt;&gt;0),$C40/E40-1,""),"")</f>
        <v/>
      </c>
      <c r="I40" s="22">
        <f>IFERROR(IF(AND(ISNUMBER($C40),ISNUMBER(F40),F40&lt;&gt;0),$C40/F40-1,""),"")</f>
        <v/>
      </c>
      <c r="K40" s="54">
        <f>_xll.BDP($A40,"BEST_EPS","BEST_FPERIOD_OVERRIDE","1BF")</f>
        <v/>
      </c>
      <c r="L40" s="54">
        <f>_xll.BDP($A40,"BEST_EPS","BEST_FPERIOD_OVERRIDE","1BF","BEST_DATA_DATE_OVERRIDE",TEXT(YEAR($D$4),"0000")&amp;TEXT(MONTH($D$4),"00")&amp;TEXT(DAY($D$4),"00"))</f>
        <v/>
      </c>
      <c r="M40" s="54">
        <f>_xll.BDP($A40,"BEST_EPS","BEST_FPERIOD_OVERRIDE","1BF","BEST_DATA_DATE_OVERRIDE",TEXT(YEAR($E$4),"0000")&amp;TEXT(MONTH($E$4),"00")&amp;TEXT(DAY($E$4),"00"))</f>
        <v/>
      </c>
      <c r="N40" s="54">
        <f>_xll.BDP($A40,"BEST_EPS","BEST_FPERIOD_OVERRIDE","1BF","BEST_DATA_DATE_OVERRIDE",TEXT(YEAR($F$4),"0000")&amp;TEXT(MONTH($F$4),"00")&amp;TEXT(DAY($F$4),"00"))</f>
        <v/>
      </c>
      <c r="O40" s="22">
        <f>IFERROR(IF(AND(ISNUMBER($K40),ISNUMBER(L40),L40&lt;&gt;0),$K40/L40-1,""),"")</f>
        <v/>
      </c>
      <c r="P40" s="22">
        <f>IFERROR(IF(AND(ISNUMBER($K40),ISNUMBER(M40),M40&lt;&gt;0),$K40/M40-1,""),"")</f>
        <v/>
      </c>
      <c r="Q40" s="22">
        <f>IFERROR(IF(AND(ISNUMBER($K40),ISNUMBER(N40),N40&lt;&gt;0),$K40/N40-1,""),"")</f>
        <v/>
      </c>
    </row>
    <row r="41">
      <c r="A41" s="19">
        <f>Tickers!$A$40</f>
        <v/>
      </c>
      <c r="C41" s="30">
        <f>_xll.BDP($A41,"BEST_SALES","BEST_FPERIOD_OVERRIDE","1BF")</f>
        <v/>
      </c>
      <c r="D41" s="30">
        <f>_xll.BDP($A41,"BEST_SALES","BEST_FPERIOD_OVERRIDE","1BF","BEST_DATA_DATE_OVERRIDE",TEXT(YEAR($D$4),"0000")&amp;TEXT(MONTH($D$4),"00")&amp;TEXT(DAY($D$4),"00"))</f>
        <v/>
      </c>
      <c r="E41" s="30">
        <f>_xll.BDP($A41,"BEST_SALES","BEST_FPERIOD_OVERRIDE","1BF","BEST_DATA_DATE_OVERRIDE",TEXT(YEAR($E$4),"0000")&amp;TEXT(MONTH($E$4),"00")&amp;TEXT(DAY($E$4),"00"))</f>
        <v/>
      </c>
      <c r="F41" s="30">
        <f>_xll.BDP($A41,"BEST_SALES","BEST_FPERIOD_OVERRIDE","1BF","BEST_DATA_DATE_OVERRIDE",TEXT(YEAR($F$4),"0000")&amp;TEXT(MONTH($F$4),"00")&amp;TEXT(DAY($F$4),"00"))</f>
        <v/>
      </c>
      <c r="G41" s="22">
        <f>IFERROR(IF(AND(ISNUMBER($C41),ISNUMBER(D41),D41&lt;&gt;0),$C41/D41-1,""),"")</f>
        <v/>
      </c>
      <c r="H41" s="22">
        <f>IFERROR(IF(AND(ISNUMBER($C41),ISNUMBER(E41),E41&lt;&gt;0),$C41/E41-1,""),"")</f>
        <v/>
      </c>
      <c r="I41" s="22">
        <f>IFERROR(IF(AND(ISNUMBER($C41),ISNUMBER(F41),F41&lt;&gt;0),$C41/F41-1,""),"")</f>
        <v/>
      </c>
      <c r="K41" s="54">
        <f>_xll.BDP($A41,"BEST_EPS","BEST_FPERIOD_OVERRIDE","1BF")</f>
        <v/>
      </c>
      <c r="L41" s="54">
        <f>_xll.BDP($A41,"BEST_EPS","BEST_FPERIOD_OVERRIDE","1BF","BEST_DATA_DATE_OVERRIDE",TEXT(YEAR($D$4),"0000")&amp;TEXT(MONTH($D$4),"00")&amp;TEXT(DAY($D$4),"00"))</f>
        <v/>
      </c>
      <c r="M41" s="54">
        <f>_xll.BDP($A41,"BEST_EPS","BEST_FPERIOD_OVERRIDE","1BF","BEST_DATA_DATE_OVERRIDE",TEXT(YEAR($E$4),"0000")&amp;TEXT(MONTH($E$4),"00")&amp;TEXT(DAY($E$4),"00"))</f>
        <v/>
      </c>
      <c r="N41" s="54">
        <f>_xll.BDP($A41,"BEST_EPS","BEST_FPERIOD_OVERRIDE","1BF","BEST_DATA_DATE_OVERRIDE",TEXT(YEAR($F$4),"0000")&amp;TEXT(MONTH($F$4),"00")&amp;TEXT(DAY($F$4),"00"))</f>
        <v/>
      </c>
      <c r="O41" s="22">
        <f>IFERROR(IF(AND(ISNUMBER($K41),ISNUMBER(L41),L41&lt;&gt;0),$K41/L41-1,""),"")</f>
        <v/>
      </c>
      <c r="P41" s="22">
        <f>IFERROR(IF(AND(ISNUMBER($K41),ISNUMBER(M41),M41&lt;&gt;0),$K41/M41-1,""),"")</f>
        <v/>
      </c>
      <c r="Q41" s="22">
        <f>IFERROR(IF(AND(ISNUMBER($K41),ISNUMBER(N41),N41&lt;&gt;0),$K41/N41-1,""),"")</f>
        <v/>
      </c>
    </row>
    <row r="42">
      <c r="A42" s="19">
        <f>Tickers!$A$41</f>
        <v/>
      </c>
      <c r="C42" s="30">
        <f>_xll.BDP($A42,"BEST_SALES","BEST_FPERIOD_OVERRIDE","1BF")</f>
        <v/>
      </c>
      <c r="D42" s="30">
        <f>_xll.BDP($A42,"BEST_SALES","BEST_FPERIOD_OVERRIDE","1BF","BEST_DATA_DATE_OVERRIDE",TEXT(YEAR($D$4),"0000")&amp;TEXT(MONTH($D$4),"00")&amp;TEXT(DAY($D$4),"00"))</f>
        <v/>
      </c>
      <c r="E42" s="30">
        <f>_xll.BDP($A42,"BEST_SALES","BEST_FPERIOD_OVERRIDE","1BF","BEST_DATA_DATE_OVERRIDE",TEXT(YEAR($E$4),"0000")&amp;TEXT(MONTH($E$4),"00")&amp;TEXT(DAY($E$4),"00"))</f>
        <v/>
      </c>
      <c r="F42" s="30">
        <f>_xll.BDP($A42,"BEST_SALES","BEST_FPERIOD_OVERRIDE","1BF","BEST_DATA_DATE_OVERRIDE",TEXT(YEAR($F$4),"0000")&amp;TEXT(MONTH($F$4),"00")&amp;TEXT(DAY($F$4),"00"))</f>
        <v/>
      </c>
      <c r="G42" s="22">
        <f>IFERROR(IF(AND(ISNUMBER($C42),ISNUMBER(D42),D42&lt;&gt;0),$C42/D42-1,""),"")</f>
        <v/>
      </c>
      <c r="H42" s="22">
        <f>IFERROR(IF(AND(ISNUMBER($C42),ISNUMBER(E42),E42&lt;&gt;0),$C42/E42-1,""),"")</f>
        <v/>
      </c>
      <c r="I42" s="22">
        <f>IFERROR(IF(AND(ISNUMBER($C42),ISNUMBER(F42),F42&lt;&gt;0),$C42/F42-1,""),"")</f>
        <v/>
      </c>
      <c r="K42" s="54">
        <f>_xll.BDP($A42,"BEST_EPS","BEST_FPERIOD_OVERRIDE","1BF")</f>
        <v/>
      </c>
      <c r="L42" s="54">
        <f>_xll.BDP($A42,"BEST_EPS","BEST_FPERIOD_OVERRIDE","1BF","BEST_DATA_DATE_OVERRIDE",TEXT(YEAR($D$4),"0000")&amp;TEXT(MONTH($D$4),"00")&amp;TEXT(DAY($D$4),"00"))</f>
        <v/>
      </c>
      <c r="M42" s="54">
        <f>_xll.BDP($A42,"BEST_EPS","BEST_FPERIOD_OVERRIDE","1BF","BEST_DATA_DATE_OVERRIDE",TEXT(YEAR($E$4),"0000")&amp;TEXT(MONTH($E$4),"00")&amp;TEXT(DAY($E$4),"00"))</f>
        <v/>
      </c>
      <c r="N42" s="54">
        <f>_xll.BDP($A42,"BEST_EPS","BEST_FPERIOD_OVERRIDE","1BF","BEST_DATA_DATE_OVERRIDE",TEXT(YEAR($F$4),"0000")&amp;TEXT(MONTH($F$4),"00")&amp;TEXT(DAY($F$4),"00"))</f>
        <v/>
      </c>
      <c r="O42" s="22">
        <f>IFERROR(IF(AND(ISNUMBER($K42),ISNUMBER(L42),L42&lt;&gt;0),$K42/L42-1,""),"")</f>
        <v/>
      </c>
      <c r="P42" s="22">
        <f>IFERROR(IF(AND(ISNUMBER($K42),ISNUMBER(M42),M42&lt;&gt;0),$K42/M42-1,""),"")</f>
        <v/>
      </c>
      <c r="Q42" s="22">
        <f>IFERROR(IF(AND(ISNUMBER($K42),ISNUMBER(N42),N42&lt;&gt;0),$K42/N42-1,""),"")</f>
        <v/>
      </c>
    </row>
    <row r="43">
      <c r="A43" s="19">
        <f>Tickers!$A$42</f>
        <v/>
      </c>
      <c r="C43" s="30">
        <f>_xll.BDP($A43,"BEST_SALES","BEST_FPERIOD_OVERRIDE","1BF")</f>
        <v/>
      </c>
      <c r="D43" s="30">
        <f>_xll.BDP($A43,"BEST_SALES","BEST_FPERIOD_OVERRIDE","1BF","BEST_DATA_DATE_OVERRIDE",TEXT(YEAR($D$4),"0000")&amp;TEXT(MONTH($D$4),"00")&amp;TEXT(DAY($D$4),"00"))</f>
        <v/>
      </c>
      <c r="E43" s="30">
        <f>_xll.BDP($A43,"BEST_SALES","BEST_FPERIOD_OVERRIDE","1BF","BEST_DATA_DATE_OVERRIDE",TEXT(YEAR($E$4),"0000")&amp;TEXT(MONTH($E$4),"00")&amp;TEXT(DAY($E$4),"00"))</f>
        <v/>
      </c>
      <c r="F43" s="30">
        <f>_xll.BDP($A43,"BEST_SALES","BEST_FPERIOD_OVERRIDE","1BF","BEST_DATA_DATE_OVERRIDE",TEXT(YEAR($F$4),"0000")&amp;TEXT(MONTH($F$4),"00")&amp;TEXT(DAY($F$4),"00"))</f>
        <v/>
      </c>
      <c r="G43" s="22">
        <f>IFERROR(IF(AND(ISNUMBER($C43),ISNUMBER(D43),D43&lt;&gt;0),$C43/D43-1,""),"")</f>
        <v/>
      </c>
      <c r="H43" s="22">
        <f>IFERROR(IF(AND(ISNUMBER($C43),ISNUMBER(E43),E43&lt;&gt;0),$C43/E43-1,""),"")</f>
        <v/>
      </c>
      <c r="I43" s="22">
        <f>IFERROR(IF(AND(ISNUMBER($C43),ISNUMBER(F43),F43&lt;&gt;0),$C43/F43-1,""),"")</f>
        <v/>
      </c>
      <c r="K43" s="54">
        <f>_xll.BDP($A43,"BEST_EPS","BEST_FPERIOD_OVERRIDE","1BF")</f>
        <v/>
      </c>
      <c r="L43" s="54">
        <f>_xll.BDP($A43,"BEST_EPS","BEST_FPERIOD_OVERRIDE","1BF","BEST_DATA_DATE_OVERRIDE",TEXT(YEAR($D$4),"0000")&amp;TEXT(MONTH($D$4),"00")&amp;TEXT(DAY($D$4),"00"))</f>
        <v/>
      </c>
      <c r="M43" s="54">
        <f>_xll.BDP($A43,"BEST_EPS","BEST_FPERIOD_OVERRIDE","1BF","BEST_DATA_DATE_OVERRIDE",TEXT(YEAR($E$4),"0000")&amp;TEXT(MONTH($E$4),"00")&amp;TEXT(DAY($E$4),"00"))</f>
        <v/>
      </c>
      <c r="N43" s="54">
        <f>_xll.BDP($A43,"BEST_EPS","BEST_FPERIOD_OVERRIDE","1BF","BEST_DATA_DATE_OVERRIDE",TEXT(YEAR($F$4),"0000")&amp;TEXT(MONTH($F$4),"00")&amp;TEXT(DAY($F$4),"00"))</f>
        <v/>
      </c>
      <c r="O43" s="22">
        <f>IFERROR(IF(AND(ISNUMBER($K43),ISNUMBER(L43),L43&lt;&gt;0),$K43/L43-1,""),"")</f>
        <v/>
      </c>
      <c r="P43" s="22">
        <f>IFERROR(IF(AND(ISNUMBER($K43),ISNUMBER(M43),M43&lt;&gt;0),$K43/M43-1,""),"")</f>
        <v/>
      </c>
      <c r="Q43" s="22">
        <f>IFERROR(IF(AND(ISNUMBER($K43),ISNUMBER(N43),N43&lt;&gt;0),$K43/N43-1,""),"")</f>
        <v/>
      </c>
    </row>
    <row r="44">
      <c r="A44" s="19">
        <f>Tickers!$A$43</f>
        <v/>
      </c>
      <c r="C44" s="30">
        <f>_xll.BDP($A44,"BEST_SALES","BEST_FPERIOD_OVERRIDE","1BF")</f>
        <v/>
      </c>
      <c r="D44" s="30">
        <f>_xll.BDP($A44,"BEST_SALES","BEST_FPERIOD_OVERRIDE","1BF","BEST_DATA_DATE_OVERRIDE",TEXT(YEAR($D$4),"0000")&amp;TEXT(MONTH($D$4),"00")&amp;TEXT(DAY($D$4),"00"))</f>
        <v/>
      </c>
      <c r="E44" s="30">
        <f>_xll.BDP($A44,"BEST_SALES","BEST_FPERIOD_OVERRIDE","1BF","BEST_DATA_DATE_OVERRIDE",TEXT(YEAR($E$4),"0000")&amp;TEXT(MONTH($E$4),"00")&amp;TEXT(DAY($E$4),"00"))</f>
        <v/>
      </c>
      <c r="F44" s="30">
        <f>_xll.BDP($A44,"BEST_SALES","BEST_FPERIOD_OVERRIDE","1BF","BEST_DATA_DATE_OVERRIDE",TEXT(YEAR($F$4),"0000")&amp;TEXT(MONTH($F$4),"00")&amp;TEXT(DAY($F$4),"00"))</f>
        <v/>
      </c>
      <c r="G44" s="22">
        <f>IFERROR(IF(AND(ISNUMBER($C44),ISNUMBER(D44),D44&lt;&gt;0),$C44/D44-1,""),"")</f>
        <v/>
      </c>
      <c r="H44" s="22">
        <f>IFERROR(IF(AND(ISNUMBER($C44),ISNUMBER(E44),E44&lt;&gt;0),$C44/E44-1,""),"")</f>
        <v/>
      </c>
      <c r="I44" s="22">
        <f>IFERROR(IF(AND(ISNUMBER($C44),ISNUMBER(F44),F44&lt;&gt;0),$C44/F44-1,""),"")</f>
        <v/>
      </c>
      <c r="K44" s="54">
        <f>_xll.BDP($A44,"BEST_EPS","BEST_FPERIOD_OVERRIDE","1BF")</f>
        <v/>
      </c>
      <c r="L44" s="54">
        <f>_xll.BDP($A44,"BEST_EPS","BEST_FPERIOD_OVERRIDE","1BF","BEST_DATA_DATE_OVERRIDE",TEXT(YEAR($D$4),"0000")&amp;TEXT(MONTH($D$4),"00")&amp;TEXT(DAY($D$4),"00"))</f>
        <v/>
      </c>
      <c r="M44" s="54">
        <f>_xll.BDP($A44,"BEST_EPS","BEST_FPERIOD_OVERRIDE","1BF","BEST_DATA_DATE_OVERRIDE",TEXT(YEAR($E$4),"0000")&amp;TEXT(MONTH($E$4),"00")&amp;TEXT(DAY($E$4),"00"))</f>
        <v/>
      </c>
      <c r="N44" s="54">
        <f>_xll.BDP($A44,"BEST_EPS","BEST_FPERIOD_OVERRIDE","1BF","BEST_DATA_DATE_OVERRIDE",TEXT(YEAR($F$4),"0000")&amp;TEXT(MONTH($F$4),"00")&amp;TEXT(DAY($F$4),"00"))</f>
        <v/>
      </c>
      <c r="O44" s="22">
        <f>IFERROR(IF(AND(ISNUMBER($K44),ISNUMBER(L44),L44&lt;&gt;0),$K44/L44-1,""),"")</f>
        <v/>
      </c>
      <c r="P44" s="22">
        <f>IFERROR(IF(AND(ISNUMBER($K44),ISNUMBER(M44),M44&lt;&gt;0),$K44/M44-1,""),"")</f>
        <v/>
      </c>
      <c r="Q44" s="22">
        <f>IFERROR(IF(AND(ISNUMBER($K44),ISNUMBER(N44),N44&lt;&gt;0),$K44/N44-1,""),"")</f>
        <v/>
      </c>
    </row>
    <row r="45">
      <c r="A45" s="19">
        <f>Tickers!$A$44</f>
        <v/>
      </c>
      <c r="C45" s="30">
        <f>_xll.BDP($A45,"BEST_SALES","BEST_FPERIOD_OVERRIDE","1BF")</f>
        <v/>
      </c>
      <c r="D45" s="30">
        <f>_xll.BDP($A45,"BEST_SALES","BEST_FPERIOD_OVERRIDE","1BF","BEST_DATA_DATE_OVERRIDE",TEXT(YEAR($D$4),"0000")&amp;TEXT(MONTH($D$4),"00")&amp;TEXT(DAY($D$4),"00"))</f>
        <v/>
      </c>
      <c r="E45" s="30">
        <f>_xll.BDP($A45,"BEST_SALES","BEST_FPERIOD_OVERRIDE","1BF","BEST_DATA_DATE_OVERRIDE",TEXT(YEAR($E$4),"0000")&amp;TEXT(MONTH($E$4),"00")&amp;TEXT(DAY($E$4),"00"))</f>
        <v/>
      </c>
      <c r="F45" s="30">
        <f>_xll.BDP($A45,"BEST_SALES","BEST_FPERIOD_OVERRIDE","1BF","BEST_DATA_DATE_OVERRIDE",TEXT(YEAR($F$4),"0000")&amp;TEXT(MONTH($F$4),"00")&amp;TEXT(DAY($F$4),"00"))</f>
        <v/>
      </c>
      <c r="G45" s="22">
        <f>IFERROR(IF(AND(ISNUMBER($C45),ISNUMBER(D45),D45&lt;&gt;0),$C45/D45-1,""),"")</f>
        <v/>
      </c>
      <c r="H45" s="22">
        <f>IFERROR(IF(AND(ISNUMBER($C45),ISNUMBER(E45),E45&lt;&gt;0),$C45/E45-1,""),"")</f>
        <v/>
      </c>
      <c r="I45" s="22">
        <f>IFERROR(IF(AND(ISNUMBER($C45),ISNUMBER(F45),F45&lt;&gt;0),$C45/F45-1,""),"")</f>
        <v/>
      </c>
      <c r="K45" s="54">
        <f>_xll.BDP($A45,"BEST_EPS","BEST_FPERIOD_OVERRIDE","1BF")</f>
        <v/>
      </c>
      <c r="L45" s="54">
        <f>_xll.BDP($A45,"BEST_EPS","BEST_FPERIOD_OVERRIDE","1BF","BEST_DATA_DATE_OVERRIDE",TEXT(YEAR($D$4),"0000")&amp;TEXT(MONTH($D$4),"00")&amp;TEXT(DAY($D$4),"00"))</f>
        <v/>
      </c>
      <c r="M45" s="54">
        <f>_xll.BDP($A45,"BEST_EPS","BEST_FPERIOD_OVERRIDE","1BF","BEST_DATA_DATE_OVERRIDE",TEXT(YEAR($E$4),"0000")&amp;TEXT(MONTH($E$4),"00")&amp;TEXT(DAY($E$4),"00"))</f>
        <v/>
      </c>
      <c r="N45" s="54">
        <f>_xll.BDP($A45,"BEST_EPS","BEST_FPERIOD_OVERRIDE","1BF","BEST_DATA_DATE_OVERRIDE",TEXT(YEAR($F$4),"0000")&amp;TEXT(MONTH($F$4),"00")&amp;TEXT(DAY($F$4),"00"))</f>
        <v/>
      </c>
      <c r="O45" s="22">
        <f>IFERROR(IF(AND(ISNUMBER($K45),ISNUMBER(L45),L45&lt;&gt;0),$K45/L45-1,""),"")</f>
        <v/>
      </c>
      <c r="P45" s="22">
        <f>IFERROR(IF(AND(ISNUMBER($K45),ISNUMBER(M45),M45&lt;&gt;0),$K45/M45-1,""),"")</f>
        <v/>
      </c>
      <c r="Q45" s="22">
        <f>IFERROR(IF(AND(ISNUMBER($K45),ISNUMBER(N45),N45&lt;&gt;0),$K45/N45-1,""),"")</f>
        <v/>
      </c>
    </row>
    <row r="46">
      <c r="A46" s="19">
        <f>Tickers!$A$45</f>
        <v/>
      </c>
      <c r="C46" s="30">
        <f>_xll.BDP($A46,"BEST_SALES","BEST_FPERIOD_OVERRIDE","1BF")</f>
        <v/>
      </c>
      <c r="D46" s="30">
        <f>_xll.BDP($A46,"BEST_SALES","BEST_FPERIOD_OVERRIDE","1BF","BEST_DATA_DATE_OVERRIDE",TEXT(YEAR($D$4),"0000")&amp;TEXT(MONTH($D$4),"00")&amp;TEXT(DAY($D$4),"00"))</f>
        <v/>
      </c>
      <c r="E46" s="30">
        <f>_xll.BDP($A46,"BEST_SALES","BEST_FPERIOD_OVERRIDE","1BF","BEST_DATA_DATE_OVERRIDE",TEXT(YEAR($E$4),"0000")&amp;TEXT(MONTH($E$4),"00")&amp;TEXT(DAY($E$4),"00"))</f>
        <v/>
      </c>
      <c r="F46" s="30">
        <f>_xll.BDP($A46,"BEST_SALES","BEST_FPERIOD_OVERRIDE","1BF","BEST_DATA_DATE_OVERRIDE",TEXT(YEAR($F$4),"0000")&amp;TEXT(MONTH($F$4),"00")&amp;TEXT(DAY($F$4),"00"))</f>
        <v/>
      </c>
      <c r="G46" s="22">
        <f>IFERROR(IF(AND(ISNUMBER($C46),ISNUMBER(D46),D46&lt;&gt;0),$C46/D46-1,""),"")</f>
        <v/>
      </c>
      <c r="H46" s="22">
        <f>IFERROR(IF(AND(ISNUMBER($C46),ISNUMBER(E46),E46&lt;&gt;0),$C46/E46-1,""),"")</f>
        <v/>
      </c>
      <c r="I46" s="22">
        <f>IFERROR(IF(AND(ISNUMBER($C46),ISNUMBER(F46),F46&lt;&gt;0),$C46/F46-1,""),"")</f>
        <v/>
      </c>
      <c r="K46" s="54">
        <f>_xll.BDP($A46,"BEST_EPS","BEST_FPERIOD_OVERRIDE","1BF")</f>
        <v/>
      </c>
      <c r="L46" s="54">
        <f>_xll.BDP($A46,"BEST_EPS","BEST_FPERIOD_OVERRIDE","1BF","BEST_DATA_DATE_OVERRIDE",TEXT(YEAR($D$4),"0000")&amp;TEXT(MONTH($D$4),"00")&amp;TEXT(DAY($D$4),"00"))</f>
        <v/>
      </c>
      <c r="M46" s="54">
        <f>_xll.BDP($A46,"BEST_EPS","BEST_FPERIOD_OVERRIDE","1BF","BEST_DATA_DATE_OVERRIDE",TEXT(YEAR($E$4),"0000")&amp;TEXT(MONTH($E$4),"00")&amp;TEXT(DAY($E$4),"00"))</f>
        <v/>
      </c>
      <c r="N46" s="54">
        <f>_xll.BDP($A46,"BEST_EPS","BEST_FPERIOD_OVERRIDE","1BF","BEST_DATA_DATE_OVERRIDE",TEXT(YEAR($F$4),"0000")&amp;TEXT(MONTH($F$4),"00")&amp;TEXT(DAY($F$4),"00"))</f>
        <v/>
      </c>
      <c r="O46" s="22">
        <f>IFERROR(IF(AND(ISNUMBER($K46),ISNUMBER(L46),L46&lt;&gt;0),$K46/L46-1,""),"")</f>
        <v/>
      </c>
      <c r="P46" s="22">
        <f>IFERROR(IF(AND(ISNUMBER($K46),ISNUMBER(M46),M46&lt;&gt;0),$K46/M46-1,""),"")</f>
        <v/>
      </c>
      <c r="Q46" s="22">
        <f>IFERROR(IF(AND(ISNUMBER($K46),ISNUMBER(N46),N46&lt;&gt;0),$K46/N46-1,""),"")</f>
        <v/>
      </c>
    </row>
    <row r="47">
      <c r="A47" s="19">
        <f>Tickers!$A$46</f>
        <v/>
      </c>
      <c r="C47" s="30">
        <f>_xll.BDP($A47,"BEST_SALES","BEST_FPERIOD_OVERRIDE","1BF")</f>
        <v/>
      </c>
      <c r="D47" s="30">
        <f>_xll.BDP($A47,"BEST_SALES","BEST_FPERIOD_OVERRIDE","1BF","BEST_DATA_DATE_OVERRIDE",TEXT(YEAR($D$4),"0000")&amp;TEXT(MONTH($D$4),"00")&amp;TEXT(DAY($D$4),"00"))</f>
        <v/>
      </c>
      <c r="E47" s="30">
        <f>_xll.BDP($A47,"BEST_SALES","BEST_FPERIOD_OVERRIDE","1BF","BEST_DATA_DATE_OVERRIDE",TEXT(YEAR($E$4),"0000")&amp;TEXT(MONTH($E$4),"00")&amp;TEXT(DAY($E$4),"00"))</f>
        <v/>
      </c>
      <c r="F47" s="30">
        <f>_xll.BDP($A47,"BEST_SALES","BEST_FPERIOD_OVERRIDE","1BF","BEST_DATA_DATE_OVERRIDE",TEXT(YEAR($F$4),"0000")&amp;TEXT(MONTH($F$4),"00")&amp;TEXT(DAY($F$4),"00"))</f>
        <v/>
      </c>
      <c r="G47" s="22">
        <f>IFERROR(IF(AND(ISNUMBER($C47),ISNUMBER(D47),D47&lt;&gt;0),$C47/D47-1,""),"")</f>
        <v/>
      </c>
      <c r="H47" s="22">
        <f>IFERROR(IF(AND(ISNUMBER($C47),ISNUMBER(E47),E47&lt;&gt;0),$C47/E47-1,""),"")</f>
        <v/>
      </c>
      <c r="I47" s="22">
        <f>IFERROR(IF(AND(ISNUMBER($C47),ISNUMBER(F47),F47&lt;&gt;0),$C47/F47-1,""),"")</f>
        <v/>
      </c>
      <c r="K47" s="54">
        <f>_xll.BDP($A47,"BEST_EPS","BEST_FPERIOD_OVERRIDE","1BF")</f>
        <v/>
      </c>
      <c r="L47" s="54">
        <f>_xll.BDP($A47,"BEST_EPS","BEST_FPERIOD_OVERRIDE","1BF","BEST_DATA_DATE_OVERRIDE",TEXT(YEAR($D$4),"0000")&amp;TEXT(MONTH($D$4),"00")&amp;TEXT(DAY($D$4),"00"))</f>
        <v/>
      </c>
      <c r="M47" s="54">
        <f>_xll.BDP($A47,"BEST_EPS","BEST_FPERIOD_OVERRIDE","1BF","BEST_DATA_DATE_OVERRIDE",TEXT(YEAR($E$4),"0000")&amp;TEXT(MONTH($E$4),"00")&amp;TEXT(DAY($E$4),"00"))</f>
        <v/>
      </c>
      <c r="N47" s="54">
        <f>_xll.BDP($A47,"BEST_EPS","BEST_FPERIOD_OVERRIDE","1BF","BEST_DATA_DATE_OVERRIDE",TEXT(YEAR($F$4),"0000")&amp;TEXT(MONTH($F$4),"00")&amp;TEXT(DAY($F$4),"00"))</f>
        <v/>
      </c>
      <c r="O47" s="22">
        <f>IFERROR(IF(AND(ISNUMBER($K47),ISNUMBER(L47),L47&lt;&gt;0),$K47/L47-1,""),"")</f>
        <v/>
      </c>
      <c r="P47" s="22">
        <f>IFERROR(IF(AND(ISNUMBER($K47),ISNUMBER(M47),M47&lt;&gt;0),$K47/M47-1,""),"")</f>
        <v/>
      </c>
      <c r="Q47" s="22">
        <f>IFERROR(IF(AND(ISNUMBER($K47),ISNUMBER(N47),N47&lt;&gt;0),$K47/N47-1,""),"")</f>
        <v/>
      </c>
    </row>
    <row r="48">
      <c r="A48" s="19">
        <f>Tickers!$A$47</f>
        <v/>
      </c>
      <c r="C48" s="30">
        <f>_xll.BDP($A48,"BEST_SALES","BEST_FPERIOD_OVERRIDE","1BF")</f>
        <v/>
      </c>
      <c r="D48" s="30">
        <f>_xll.BDP($A48,"BEST_SALES","BEST_FPERIOD_OVERRIDE","1BF","BEST_DATA_DATE_OVERRIDE",TEXT(YEAR($D$4),"0000")&amp;TEXT(MONTH($D$4),"00")&amp;TEXT(DAY($D$4),"00"))</f>
        <v/>
      </c>
      <c r="E48" s="30">
        <f>_xll.BDP($A48,"BEST_SALES","BEST_FPERIOD_OVERRIDE","1BF","BEST_DATA_DATE_OVERRIDE",TEXT(YEAR($E$4),"0000")&amp;TEXT(MONTH($E$4),"00")&amp;TEXT(DAY($E$4),"00"))</f>
        <v/>
      </c>
      <c r="F48" s="30">
        <f>_xll.BDP($A48,"BEST_SALES","BEST_FPERIOD_OVERRIDE","1BF","BEST_DATA_DATE_OVERRIDE",TEXT(YEAR($F$4),"0000")&amp;TEXT(MONTH($F$4),"00")&amp;TEXT(DAY($F$4),"00"))</f>
        <v/>
      </c>
      <c r="G48" s="22">
        <f>IFERROR(IF(AND(ISNUMBER($C48),ISNUMBER(D48),D48&lt;&gt;0),$C48/D48-1,""),"")</f>
        <v/>
      </c>
      <c r="H48" s="22">
        <f>IFERROR(IF(AND(ISNUMBER($C48),ISNUMBER(E48),E48&lt;&gt;0),$C48/E48-1,""),"")</f>
        <v/>
      </c>
      <c r="I48" s="22">
        <f>IFERROR(IF(AND(ISNUMBER($C48),ISNUMBER(F48),F48&lt;&gt;0),$C48/F48-1,""),"")</f>
        <v/>
      </c>
      <c r="K48" s="54">
        <f>_xll.BDP($A48,"BEST_EPS","BEST_FPERIOD_OVERRIDE","1BF")</f>
        <v/>
      </c>
      <c r="L48" s="54">
        <f>_xll.BDP($A48,"BEST_EPS","BEST_FPERIOD_OVERRIDE","1BF","BEST_DATA_DATE_OVERRIDE",TEXT(YEAR($D$4),"0000")&amp;TEXT(MONTH($D$4),"00")&amp;TEXT(DAY($D$4),"00"))</f>
        <v/>
      </c>
      <c r="M48" s="54">
        <f>_xll.BDP($A48,"BEST_EPS","BEST_FPERIOD_OVERRIDE","1BF","BEST_DATA_DATE_OVERRIDE",TEXT(YEAR($E$4),"0000")&amp;TEXT(MONTH($E$4),"00")&amp;TEXT(DAY($E$4),"00"))</f>
        <v/>
      </c>
      <c r="N48" s="54">
        <f>_xll.BDP($A48,"BEST_EPS","BEST_FPERIOD_OVERRIDE","1BF","BEST_DATA_DATE_OVERRIDE",TEXT(YEAR($F$4),"0000")&amp;TEXT(MONTH($F$4),"00")&amp;TEXT(DAY($F$4),"00"))</f>
        <v/>
      </c>
      <c r="O48" s="22">
        <f>IFERROR(IF(AND(ISNUMBER($K48),ISNUMBER(L48),L48&lt;&gt;0),$K48/L48-1,""),"")</f>
        <v/>
      </c>
      <c r="P48" s="22">
        <f>IFERROR(IF(AND(ISNUMBER($K48),ISNUMBER(M48),M48&lt;&gt;0),$K48/M48-1,""),"")</f>
        <v/>
      </c>
      <c r="Q48" s="22">
        <f>IFERROR(IF(AND(ISNUMBER($K48),ISNUMBER(N48),N48&lt;&gt;0),$K48/N48-1,""),"")</f>
        <v/>
      </c>
    </row>
    <row r="49">
      <c r="A49" s="19">
        <f>Tickers!$A$48</f>
        <v/>
      </c>
      <c r="C49" s="30">
        <f>_xll.BDP($A49,"BEST_SALES","BEST_FPERIOD_OVERRIDE","1BF")</f>
        <v/>
      </c>
      <c r="D49" s="30">
        <f>_xll.BDP($A49,"BEST_SALES","BEST_FPERIOD_OVERRIDE","1BF","BEST_DATA_DATE_OVERRIDE",TEXT(YEAR($D$4),"0000")&amp;TEXT(MONTH($D$4),"00")&amp;TEXT(DAY($D$4),"00"))</f>
        <v/>
      </c>
      <c r="E49" s="30">
        <f>_xll.BDP($A49,"BEST_SALES","BEST_FPERIOD_OVERRIDE","1BF","BEST_DATA_DATE_OVERRIDE",TEXT(YEAR($E$4),"0000")&amp;TEXT(MONTH($E$4),"00")&amp;TEXT(DAY($E$4),"00"))</f>
        <v/>
      </c>
      <c r="F49" s="30">
        <f>_xll.BDP($A49,"BEST_SALES","BEST_FPERIOD_OVERRIDE","1BF","BEST_DATA_DATE_OVERRIDE",TEXT(YEAR($F$4),"0000")&amp;TEXT(MONTH($F$4),"00")&amp;TEXT(DAY($F$4),"00"))</f>
        <v/>
      </c>
      <c r="G49" s="22">
        <f>IFERROR(IF(AND(ISNUMBER($C49),ISNUMBER(D49),D49&lt;&gt;0),$C49/D49-1,""),"")</f>
        <v/>
      </c>
      <c r="H49" s="22">
        <f>IFERROR(IF(AND(ISNUMBER($C49),ISNUMBER(E49),E49&lt;&gt;0),$C49/E49-1,""),"")</f>
        <v/>
      </c>
      <c r="I49" s="22">
        <f>IFERROR(IF(AND(ISNUMBER($C49),ISNUMBER(F49),F49&lt;&gt;0),$C49/F49-1,""),"")</f>
        <v/>
      </c>
      <c r="K49" s="54">
        <f>_xll.BDP($A49,"BEST_EPS","BEST_FPERIOD_OVERRIDE","1BF")</f>
        <v/>
      </c>
      <c r="L49" s="54">
        <f>_xll.BDP($A49,"BEST_EPS","BEST_FPERIOD_OVERRIDE","1BF","BEST_DATA_DATE_OVERRIDE",TEXT(YEAR($D$4),"0000")&amp;TEXT(MONTH($D$4),"00")&amp;TEXT(DAY($D$4),"00"))</f>
        <v/>
      </c>
      <c r="M49" s="54">
        <f>_xll.BDP($A49,"BEST_EPS","BEST_FPERIOD_OVERRIDE","1BF","BEST_DATA_DATE_OVERRIDE",TEXT(YEAR($E$4),"0000")&amp;TEXT(MONTH($E$4),"00")&amp;TEXT(DAY($E$4),"00"))</f>
        <v/>
      </c>
      <c r="N49" s="54">
        <f>_xll.BDP($A49,"BEST_EPS","BEST_FPERIOD_OVERRIDE","1BF","BEST_DATA_DATE_OVERRIDE",TEXT(YEAR($F$4),"0000")&amp;TEXT(MONTH($F$4),"00")&amp;TEXT(DAY($F$4),"00"))</f>
        <v/>
      </c>
      <c r="O49" s="22">
        <f>IFERROR(IF(AND(ISNUMBER($K49),ISNUMBER(L49),L49&lt;&gt;0),$K49/L49-1,""),"")</f>
        <v/>
      </c>
      <c r="P49" s="22">
        <f>IFERROR(IF(AND(ISNUMBER($K49),ISNUMBER(M49),M49&lt;&gt;0),$K49/M49-1,""),"")</f>
        <v/>
      </c>
      <c r="Q49" s="22">
        <f>IFERROR(IF(AND(ISNUMBER($K49),ISNUMBER(N49),N49&lt;&gt;0),$K49/N49-1,""),"")</f>
        <v/>
      </c>
    </row>
    <row r="50">
      <c r="A50" s="19">
        <f>Tickers!$A$49</f>
        <v/>
      </c>
      <c r="C50" s="30">
        <f>_xll.BDP($A50,"BEST_SALES","BEST_FPERIOD_OVERRIDE","1BF")</f>
        <v/>
      </c>
      <c r="D50" s="30">
        <f>_xll.BDP($A50,"BEST_SALES","BEST_FPERIOD_OVERRIDE","1BF","BEST_DATA_DATE_OVERRIDE",TEXT(YEAR($D$4),"0000")&amp;TEXT(MONTH($D$4),"00")&amp;TEXT(DAY($D$4),"00"))</f>
        <v/>
      </c>
      <c r="E50" s="30">
        <f>_xll.BDP($A50,"BEST_SALES","BEST_FPERIOD_OVERRIDE","1BF","BEST_DATA_DATE_OVERRIDE",TEXT(YEAR($E$4),"0000")&amp;TEXT(MONTH($E$4),"00")&amp;TEXT(DAY($E$4),"00"))</f>
        <v/>
      </c>
      <c r="F50" s="30">
        <f>_xll.BDP($A50,"BEST_SALES","BEST_FPERIOD_OVERRIDE","1BF","BEST_DATA_DATE_OVERRIDE",TEXT(YEAR($F$4),"0000")&amp;TEXT(MONTH($F$4),"00")&amp;TEXT(DAY($F$4),"00"))</f>
        <v/>
      </c>
      <c r="G50" s="22">
        <f>IFERROR(IF(AND(ISNUMBER($C50),ISNUMBER(D50),D50&lt;&gt;0),$C50/D50-1,""),"")</f>
        <v/>
      </c>
      <c r="H50" s="22">
        <f>IFERROR(IF(AND(ISNUMBER($C50),ISNUMBER(E50),E50&lt;&gt;0),$C50/E50-1,""),"")</f>
        <v/>
      </c>
      <c r="I50" s="22">
        <f>IFERROR(IF(AND(ISNUMBER($C50),ISNUMBER(F50),F50&lt;&gt;0),$C50/F50-1,""),"")</f>
        <v/>
      </c>
      <c r="K50" s="54">
        <f>_xll.BDP($A50,"BEST_EPS","BEST_FPERIOD_OVERRIDE","1BF")</f>
        <v/>
      </c>
      <c r="L50" s="54">
        <f>_xll.BDP($A50,"BEST_EPS","BEST_FPERIOD_OVERRIDE","1BF","BEST_DATA_DATE_OVERRIDE",TEXT(YEAR($D$4),"0000")&amp;TEXT(MONTH($D$4),"00")&amp;TEXT(DAY($D$4),"00"))</f>
        <v/>
      </c>
      <c r="M50" s="54">
        <f>_xll.BDP($A50,"BEST_EPS","BEST_FPERIOD_OVERRIDE","1BF","BEST_DATA_DATE_OVERRIDE",TEXT(YEAR($E$4),"0000")&amp;TEXT(MONTH($E$4),"00")&amp;TEXT(DAY($E$4),"00"))</f>
        <v/>
      </c>
      <c r="N50" s="54">
        <f>_xll.BDP($A50,"BEST_EPS","BEST_FPERIOD_OVERRIDE","1BF","BEST_DATA_DATE_OVERRIDE",TEXT(YEAR($F$4),"0000")&amp;TEXT(MONTH($F$4),"00")&amp;TEXT(DAY($F$4),"00"))</f>
        <v/>
      </c>
      <c r="O50" s="22">
        <f>IFERROR(IF(AND(ISNUMBER($K50),ISNUMBER(L50),L50&lt;&gt;0),$K50/L50-1,""),"")</f>
        <v/>
      </c>
      <c r="P50" s="22">
        <f>IFERROR(IF(AND(ISNUMBER($K50),ISNUMBER(M50),M50&lt;&gt;0),$K50/M50-1,""),"")</f>
        <v/>
      </c>
      <c r="Q50" s="22">
        <f>IFERROR(IF(AND(ISNUMBER($K50),ISNUMBER(N50),N50&lt;&gt;0),$K50/N50-1,""),"")</f>
        <v/>
      </c>
    </row>
    <row r="51">
      <c r="A51" s="19">
        <f>Tickers!$A$50</f>
        <v/>
      </c>
      <c r="C51" s="30">
        <f>_xll.BDP($A51,"BEST_SALES","BEST_FPERIOD_OVERRIDE","1BF")</f>
        <v/>
      </c>
      <c r="D51" s="30">
        <f>_xll.BDP($A51,"BEST_SALES","BEST_FPERIOD_OVERRIDE","1BF","BEST_DATA_DATE_OVERRIDE",TEXT(YEAR($D$4),"0000")&amp;TEXT(MONTH($D$4),"00")&amp;TEXT(DAY($D$4),"00"))</f>
        <v/>
      </c>
      <c r="E51" s="30">
        <f>_xll.BDP($A51,"BEST_SALES","BEST_FPERIOD_OVERRIDE","1BF","BEST_DATA_DATE_OVERRIDE",TEXT(YEAR($E$4),"0000")&amp;TEXT(MONTH($E$4),"00")&amp;TEXT(DAY($E$4),"00"))</f>
        <v/>
      </c>
      <c r="F51" s="30">
        <f>_xll.BDP($A51,"BEST_SALES","BEST_FPERIOD_OVERRIDE","1BF","BEST_DATA_DATE_OVERRIDE",TEXT(YEAR($F$4),"0000")&amp;TEXT(MONTH($F$4),"00")&amp;TEXT(DAY($F$4),"00"))</f>
        <v/>
      </c>
      <c r="G51" s="22">
        <f>IFERROR(IF(AND(ISNUMBER($C51),ISNUMBER(D51),D51&lt;&gt;0),$C51/D51-1,""),"")</f>
        <v/>
      </c>
      <c r="H51" s="22">
        <f>IFERROR(IF(AND(ISNUMBER($C51),ISNUMBER(E51),E51&lt;&gt;0),$C51/E51-1,""),"")</f>
        <v/>
      </c>
      <c r="I51" s="22">
        <f>IFERROR(IF(AND(ISNUMBER($C51),ISNUMBER(F51),F51&lt;&gt;0),$C51/F51-1,""),"")</f>
        <v/>
      </c>
      <c r="K51" s="54">
        <f>_xll.BDP($A51,"BEST_EPS","BEST_FPERIOD_OVERRIDE","1BF")</f>
        <v/>
      </c>
      <c r="L51" s="54">
        <f>_xll.BDP($A51,"BEST_EPS","BEST_FPERIOD_OVERRIDE","1BF","BEST_DATA_DATE_OVERRIDE",TEXT(YEAR($D$4),"0000")&amp;TEXT(MONTH($D$4),"00")&amp;TEXT(DAY($D$4),"00"))</f>
        <v/>
      </c>
      <c r="M51" s="54">
        <f>_xll.BDP($A51,"BEST_EPS","BEST_FPERIOD_OVERRIDE","1BF","BEST_DATA_DATE_OVERRIDE",TEXT(YEAR($E$4),"0000")&amp;TEXT(MONTH($E$4),"00")&amp;TEXT(DAY($E$4),"00"))</f>
        <v/>
      </c>
      <c r="N51" s="54">
        <f>_xll.BDP($A51,"BEST_EPS","BEST_FPERIOD_OVERRIDE","1BF","BEST_DATA_DATE_OVERRIDE",TEXT(YEAR($F$4),"0000")&amp;TEXT(MONTH($F$4),"00")&amp;TEXT(DAY($F$4),"00"))</f>
        <v/>
      </c>
      <c r="O51" s="22">
        <f>IFERROR(IF(AND(ISNUMBER($K51),ISNUMBER(L51),L51&lt;&gt;0),$K51/L51-1,""),"")</f>
        <v/>
      </c>
      <c r="P51" s="22">
        <f>IFERROR(IF(AND(ISNUMBER($K51),ISNUMBER(M51),M51&lt;&gt;0),$K51/M51-1,""),"")</f>
        <v/>
      </c>
      <c r="Q51" s="22">
        <f>IFERROR(IF(AND(ISNUMBER($K51),ISNUMBER(N51),N51&lt;&gt;0),$K51/N51-1,""),"")</f>
        <v/>
      </c>
    </row>
    <row r="52">
      <c r="A52" s="19">
        <f>Tickers!$A$51</f>
        <v/>
      </c>
      <c r="C52" s="30">
        <f>_xll.BDP($A52,"BEST_SALES","BEST_FPERIOD_OVERRIDE","1BF")</f>
        <v/>
      </c>
      <c r="D52" s="30">
        <f>_xll.BDP($A52,"BEST_SALES","BEST_FPERIOD_OVERRIDE","1BF","BEST_DATA_DATE_OVERRIDE",TEXT(YEAR($D$4),"0000")&amp;TEXT(MONTH($D$4),"00")&amp;TEXT(DAY($D$4),"00"))</f>
        <v/>
      </c>
      <c r="E52" s="30">
        <f>_xll.BDP($A52,"BEST_SALES","BEST_FPERIOD_OVERRIDE","1BF","BEST_DATA_DATE_OVERRIDE",TEXT(YEAR($E$4),"0000")&amp;TEXT(MONTH($E$4),"00")&amp;TEXT(DAY($E$4),"00"))</f>
        <v/>
      </c>
      <c r="F52" s="30">
        <f>_xll.BDP($A52,"BEST_SALES","BEST_FPERIOD_OVERRIDE","1BF","BEST_DATA_DATE_OVERRIDE",TEXT(YEAR($F$4),"0000")&amp;TEXT(MONTH($F$4),"00")&amp;TEXT(DAY($F$4),"00"))</f>
        <v/>
      </c>
      <c r="G52" s="22">
        <f>IFERROR(IF(AND(ISNUMBER($C52),ISNUMBER(D52),D52&lt;&gt;0),$C52/D52-1,""),"")</f>
        <v/>
      </c>
      <c r="H52" s="22">
        <f>IFERROR(IF(AND(ISNUMBER($C52),ISNUMBER(E52),E52&lt;&gt;0),$C52/E52-1,""),"")</f>
        <v/>
      </c>
      <c r="I52" s="22">
        <f>IFERROR(IF(AND(ISNUMBER($C52),ISNUMBER(F52),F52&lt;&gt;0),$C52/F52-1,""),"")</f>
        <v/>
      </c>
      <c r="K52" s="54">
        <f>_xll.BDP($A52,"BEST_EPS","BEST_FPERIOD_OVERRIDE","1BF")</f>
        <v/>
      </c>
      <c r="L52" s="54">
        <f>_xll.BDP($A52,"BEST_EPS","BEST_FPERIOD_OVERRIDE","1BF","BEST_DATA_DATE_OVERRIDE",TEXT(YEAR($D$4),"0000")&amp;TEXT(MONTH($D$4),"00")&amp;TEXT(DAY($D$4),"00"))</f>
        <v/>
      </c>
      <c r="M52" s="54">
        <f>_xll.BDP($A52,"BEST_EPS","BEST_FPERIOD_OVERRIDE","1BF","BEST_DATA_DATE_OVERRIDE",TEXT(YEAR($E$4),"0000")&amp;TEXT(MONTH($E$4),"00")&amp;TEXT(DAY($E$4),"00"))</f>
        <v/>
      </c>
      <c r="N52" s="54">
        <f>_xll.BDP($A52,"BEST_EPS","BEST_FPERIOD_OVERRIDE","1BF","BEST_DATA_DATE_OVERRIDE",TEXT(YEAR($F$4),"0000")&amp;TEXT(MONTH($F$4),"00")&amp;TEXT(DAY($F$4),"00"))</f>
        <v/>
      </c>
      <c r="O52" s="22">
        <f>IFERROR(IF(AND(ISNUMBER($K52),ISNUMBER(L52),L52&lt;&gt;0),$K52/L52-1,""),"")</f>
        <v/>
      </c>
      <c r="P52" s="22">
        <f>IFERROR(IF(AND(ISNUMBER($K52),ISNUMBER(M52),M52&lt;&gt;0),$K52/M52-1,""),"")</f>
        <v/>
      </c>
      <c r="Q52" s="22">
        <f>IFERROR(IF(AND(ISNUMBER($K52),ISNUMBER(N52),N52&lt;&gt;0),$K52/N52-1,""),"")</f>
        <v/>
      </c>
    </row>
    <row r="53">
      <c r="A53" s="19">
        <f>Tickers!$A$52</f>
        <v/>
      </c>
      <c r="C53" s="30">
        <f>_xll.BDP($A53,"BEST_SALES","BEST_FPERIOD_OVERRIDE","1BF")</f>
        <v/>
      </c>
      <c r="D53" s="30">
        <f>_xll.BDP($A53,"BEST_SALES","BEST_FPERIOD_OVERRIDE","1BF","BEST_DATA_DATE_OVERRIDE",TEXT(YEAR($D$4),"0000")&amp;TEXT(MONTH($D$4),"00")&amp;TEXT(DAY($D$4),"00"))</f>
        <v/>
      </c>
      <c r="E53" s="30">
        <f>_xll.BDP($A53,"BEST_SALES","BEST_FPERIOD_OVERRIDE","1BF","BEST_DATA_DATE_OVERRIDE",TEXT(YEAR($E$4),"0000")&amp;TEXT(MONTH($E$4),"00")&amp;TEXT(DAY($E$4),"00"))</f>
        <v/>
      </c>
      <c r="F53" s="30">
        <f>_xll.BDP($A53,"BEST_SALES","BEST_FPERIOD_OVERRIDE","1BF","BEST_DATA_DATE_OVERRIDE",TEXT(YEAR($F$4),"0000")&amp;TEXT(MONTH($F$4),"00")&amp;TEXT(DAY($F$4),"00"))</f>
        <v/>
      </c>
      <c r="G53" s="22">
        <f>IFERROR(IF(AND(ISNUMBER($C53),ISNUMBER(D53),D53&lt;&gt;0),$C53/D53-1,""),"")</f>
        <v/>
      </c>
      <c r="H53" s="22">
        <f>IFERROR(IF(AND(ISNUMBER($C53),ISNUMBER(E53),E53&lt;&gt;0),$C53/E53-1,""),"")</f>
        <v/>
      </c>
      <c r="I53" s="22">
        <f>IFERROR(IF(AND(ISNUMBER($C53),ISNUMBER(F53),F53&lt;&gt;0),$C53/F53-1,""),"")</f>
        <v/>
      </c>
      <c r="K53" s="54">
        <f>_xll.BDP($A53,"BEST_EPS","BEST_FPERIOD_OVERRIDE","1BF")</f>
        <v/>
      </c>
      <c r="L53" s="54">
        <f>_xll.BDP($A53,"BEST_EPS","BEST_FPERIOD_OVERRIDE","1BF","BEST_DATA_DATE_OVERRIDE",TEXT(YEAR($D$4),"0000")&amp;TEXT(MONTH($D$4),"00")&amp;TEXT(DAY($D$4),"00"))</f>
        <v/>
      </c>
      <c r="M53" s="54">
        <f>_xll.BDP($A53,"BEST_EPS","BEST_FPERIOD_OVERRIDE","1BF","BEST_DATA_DATE_OVERRIDE",TEXT(YEAR($E$4),"0000")&amp;TEXT(MONTH($E$4),"00")&amp;TEXT(DAY($E$4),"00"))</f>
        <v/>
      </c>
      <c r="N53" s="54">
        <f>_xll.BDP($A53,"BEST_EPS","BEST_FPERIOD_OVERRIDE","1BF","BEST_DATA_DATE_OVERRIDE",TEXT(YEAR($F$4),"0000")&amp;TEXT(MONTH($F$4),"00")&amp;TEXT(DAY($F$4),"00"))</f>
        <v/>
      </c>
      <c r="O53" s="22">
        <f>IFERROR(IF(AND(ISNUMBER($K53),ISNUMBER(L53),L53&lt;&gt;0),$K53/L53-1,""),"")</f>
        <v/>
      </c>
      <c r="P53" s="22">
        <f>IFERROR(IF(AND(ISNUMBER($K53),ISNUMBER(M53),M53&lt;&gt;0),$K53/M53-1,""),"")</f>
        <v/>
      </c>
      <c r="Q53" s="22">
        <f>IFERROR(IF(AND(ISNUMBER($K53),ISNUMBER(N53),N53&lt;&gt;0),$K53/N53-1,""),"")</f>
        <v/>
      </c>
    </row>
    <row r="54">
      <c r="A54" s="19">
        <f>Tickers!$A$53</f>
        <v/>
      </c>
      <c r="C54" s="30">
        <f>_xll.BDP($A54,"BEST_SALES","BEST_FPERIOD_OVERRIDE","1BF")</f>
        <v/>
      </c>
      <c r="D54" s="30">
        <f>_xll.BDP($A54,"BEST_SALES","BEST_FPERIOD_OVERRIDE","1BF","BEST_DATA_DATE_OVERRIDE",TEXT(YEAR($D$4),"0000")&amp;TEXT(MONTH($D$4),"00")&amp;TEXT(DAY($D$4),"00"))</f>
        <v/>
      </c>
      <c r="E54" s="30">
        <f>_xll.BDP($A54,"BEST_SALES","BEST_FPERIOD_OVERRIDE","1BF","BEST_DATA_DATE_OVERRIDE",TEXT(YEAR($E$4),"0000")&amp;TEXT(MONTH($E$4),"00")&amp;TEXT(DAY($E$4),"00"))</f>
        <v/>
      </c>
      <c r="F54" s="30">
        <f>_xll.BDP($A54,"BEST_SALES","BEST_FPERIOD_OVERRIDE","1BF","BEST_DATA_DATE_OVERRIDE",TEXT(YEAR($F$4),"0000")&amp;TEXT(MONTH($F$4),"00")&amp;TEXT(DAY($F$4),"00"))</f>
        <v/>
      </c>
      <c r="G54" s="22">
        <f>IFERROR(IF(AND(ISNUMBER($C54),ISNUMBER(D54),D54&lt;&gt;0),$C54/D54-1,""),"")</f>
        <v/>
      </c>
      <c r="H54" s="22">
        <f>IFERROR(IF(AND(ISNUMBER($C54),ISNUMBER(E54),E54&lt;&gt;0),$C54/E54-1,""),"")</f>
        <v/>
      </c>
      <c r="I54" s="22">
        <f>IFERROR(IF(AND(ISNUMBER($C54),ISNUMBER(F54),F54&lt;&gt;0),$C54/F54-1,""),"")</f>
        <v/>
      </c>
      <c r="K54" s="54">
        <f>_xll.BDP($A54,"BEST_EPS","BEST_FPERIOD_OVERRIDE","1BF")</f>
        <v/>
      </c>
      <c r="L54" s="54">
        <f>_xll.BDP($A54,"BEST_EPS","BEST_FPERIOD_OVERRIDE","1BF","BEST_DATA_DATE_OVERRIDE",TEXT(YEAR($D$4),"0000")&amp;TEXT(MONTH($D$4),"00")&amp;TEXT(DAY($D$4),"00"))</f>
        <v/>
      </c>
      <c r="M54" s="54">
        <f>_xll.BDP($A54,"BEST_EPS","BEST_FPERIOD_OVERRIDE","1BF","BEST_DATA_DATE_OVERRIDE",TEXT(YEAR($E$4),"0000")&amp;TEXT(MONTH($E$4),"00")&amp;TEXT(DAY($E$4),"00"))</f>
        <v/>
      </c>
      <c r="N54" s="54">
        <f>_xll.BDP($A54,"BEST_EPS","BEST_FPERIOD_OVERRIDE","1BF","BEST_DATA_DATE_OVERRIDE",TEXT(YEAR($F$4),"0000")&amp;TEXT(MONTH($F$4),"00")&amp;TEXT(DAY($F$4),"00"))</f>
        <v/>
      </c>
      <c r="O54" s="22">
        <f>IFERROR(IF(AND(ISNUMBER($K54),ISNUMBER(L54),L54&lt;&gt;0),$K54/L54-1,""),"")</f>
        <v/>
      </c>
      <c r="P54" s="22">
        <f>IFERROR(IF(AND(ISNUMBER($K54),ISNUMBER(M54),M54&lt;&gt;0),$K54/M54-1,""),"")</f>
        <v/>
      </c>
      <c r="Q54" s="22">
        <f>IFERROR(IF(AND(ISNUMBER($K54),ISNUMBER(N54),N54&lt;&gt;0),$K54/N54-1,""),"")</f>
        <v/>
      </c>
    </row>
    <row r="55">
      <c r="A55" s="19">
        <f>Tickers!$A$54</f>
        <v/>
      </c>
      <c r="C55" s="30">
        <f>_xll.BDP($A55,"BEST_SALES","BEST_FPERIOD_OVERRIDE","1BF")</f>
        <v/>
      </c>
      <c r="D55" s="30">
        <f>_xll.BDP($A55,"BEST_SALES","BEST_FPERIOD_OVERRIDE","1BF","BEST_DATA_DATE_OVERRIDE",TEXT(YEAR($D$4),"0000")&amp;TEXT(MONTH($D$4),"00")&amp;TEXT(DAY($D$4),"00"))</f>
        <v/>
      </c>
      <c r="E55" s="30">
        <f>_xll.BDP($A55,"BEST_SALES","BEST_FPERIOD_OVERRIDE","1BF","BEST_DATA_DATE_OVERRIDE",TEXT(YEAR($E$4),"0000")&amp;TEXT(MONTH($E$4),"00")&amp;TEXT(DAY($E$4),"00"))</f>
        <v/>
      </c>
      <c r="F55" s="30">
        <f>_xll.BDP($A55,"BEST_SALES","BEST_FPERIOD_OVERRIDE","1BF","BEST_DATA_DATE_OVERRIDE",TEXT(YEAR($F$4),"0000")&amp;TEXT(MONTH($F$4),"00")&amp;TEXT(DAY($F$4),"00"))</f>
        <v/>
      </c>
      <c r="G55" s="22">
        <f>IFERROR(IF(AND(ISNUMBER($C55),ISNUMBER(D55),D55&lt;&gt;0),$C55/D55-1,""),"")</f>
        <v/>
      </c>
      <c r="H55" s="22">
        <f>IFERROR(IF(AND(ISNUMBER($C55),ISNUMBER(E55),E55&lt;&gt;0),$C55/E55-1,""),"")</f>
        <v/>
      </c>
      <c r="I55" s="22">
        <f>IFERROR(IF(AND(ISNUMBER($C55),ISNUMBER(F55),F55&lt;&gt;0),$C55/F55-1,""),"")</f>
        <v/>
      </c>
      <c r="K55" s="54">
        <f>_xll.BDP($A55,"BEST_EPS","BEST_FPERIOD_OVERRIDE","1BF")</f>
        <v/>
      </c>
      <c r="L55" s="54">
        <f>_xll.BDP($A55,"BEST_EPS","BEST_FPERIOD_OVERRIDE","1BF","BEST_DATA_DATE_OVERRIDE",TEXT(YEAR($D$4),"0000")&amp;TEXT(MONTH($D$4),"00")&amp;TEXT(DAY($D$4),"00"))</f>
        <v/>
      </c>
      <c r="M55" s="54">
        <f>_xll.BDP($A55,"BEST_EPS","BEST_FPERIOD_OVERRIDE","1BF","BEST_DATA_DATE_OVERRIDE",TEXT(YEAR($E$4),"0000")&amp;TEXT(MONTH($E$4),"00")&amp;TEXT(DAY($E$4),"00"))</f>
        <v/>
      </c>
      <c r="N55" s="54">
        <f>_xll.BDP($A55,"BEST_EPS","BEST_FPERIOD_OVERRIDE","1BF","BEST_DATA_DATE_OVERRIDE",TEXT(YEAR($F$4),"0000")&amp;TEXT(MONTH($F$4),"00")&amp;TEXT(DAY($F$4),"00"))</f>
        <v/>
      </c>
      <c r="O55" s="22">
        <f>IFERROR(IF(AND(ISNUMBER($K55),ISNUMBER(L55),L55&lt;&gt;0),$K55/L55-1,""),"")</f>
        <v/>
      </c>
      <c r="P55" s="22">
        <f>IFERROR(IF(AND(ISNUMBER($K55),ISNUMBER(M55),M55&lt;&gt;0),$K55/M55-1,""),"")</f>
        <v/>
      </c>
      <c r="Q55" s="22">
        <f>IFERROR(IF(AND(ISNUMBER($K55),ISNUMBER(N55),N55&lt;&gt;0),$K55/N55-1,""),"")</f>
        <v/>
      </c>
    </row>
    <row r="56">
      <c r="A56" s="19">
        <f>Tickers!$A$55</f>
        <v/>
      </c>
      <c r="C56" s="30">
        <f>_xll.BDP($A56,"BEST_SALES","BEST_FPERIOD_OVERRIDE","1BF")</f>
        <v/>
      </c>
      <c r="D56" s="30">
        <f>_xll.BDP($A56,"BEST_SALES","BEST_FPERIOD_OVERRIDE","1BF","BEST_DATA_DATE_OVERRIDE",TEXT(YEAR($D$4),"0000")&amp;TEXT(MONTH($D$4),"00")&amp;TEXT(DAY($D$4),"00"))</f>
        <v/>
      </c>
      <c r="E56" s="30">
        <f>_xll.BDP($A56,"BEST_SALES","BEST_FPERIOD_OVERRIDE","1BF","BEST_DATA_DATE_OVERRIDE",TEXT(YEAR($E$4),"0000")&amp;TEXT(MONTH($E$4),"00")&amp;TEXT(DAY($E$4),"00"))</f>
        <v/>
      </c>
      <c r="F56" s="30">
        <f>_xll.BDP($A56,"BEST_SALES","BEST_FPERIOD_OVERRIDE","1BF","BEST_DATA_DATE_OVERRIDE",TEXT(YEAR($F$4),"0000")&amp;TEXT(MONTH($F$4),"00")&amp;TEXT(DAY($F$4),"00"))</f>
        <v/>
      </c>
      <c r="G56" s="22">
        <f>IFERROR(IF(AND(ISNUMBER($C56),ISNUMBER(D56),D56&lt;&gt;0),$C56/D56-1,""),"")</f>
        <v/>
      </c>
      <c r="H56" s="22">
        <f>IFERROR(IF(AND(ISNUMBER($C56),ISNUMBER(E56),E56&lt;&gt;0),$C56/E56-1,""),"")</f>
        <v/>
      </c>
      <c r="I56" s="22">
        <f>IFERROR(IF(AND(ISNUMBER($C56),ISNUMBER(F56),F56&lt;&gt;0),$C56/F56-1,""),"")</f>
        <v/>
      </c>
      <c r="K56" s="54">
        <f>_xll.BDP($A56,"BEST_EPS","BEST_FPERIOD_OVERRIDE","1BF")</f>
        <v/>
      </c>
      <c r="L56" s="54">
        <f>_xll.BDP($A56,"BEST_EPS","BEST_FPERIOD_OVERRIDE","1BF","BEST_DATA_DATE_OVERRIDE",TEXT(YEAR($D$4),"0000")&amp;TEXT(MONTH($D$4),"00")&amp;TEXT(DAY($D$4),"00"))</f>
        <v/>
      </c>
      <c r="M56" s="54">
        <f>_xll.BDP($A56,"BEST_EPS","BEST_FPERIOD_OVERRIDE","1BF","BEST_DATA_DATE_OVERRIDE",TEXT(YEAR($E$4),"0000")&amp;TEXT(MONTH($E$4),"00")&amp;TEXT(DAY($E$4),"00"))</f>
        <v/>
      </c>
      <c r="N56" s="54">
        <f>_xll.BDP($A56,"BEST_EPS","BEST_FPERIOD_OVERRIDE","1BF","BEST_DATA_DATE_OVERRIDE",TEXT(YEAR($F$4),"0000")&amp;TEXT(MONTH($F$4),"00")&amp;TEXT(DAY($F$4),"00"))</f>
        <v/>
      </c>
      <c r="O56" s="22">
        <f>IFERROR(IF(AND(ISNUMBER($K56),ISNUMBER(L56),L56&lt;&gt;0),$K56/L56-1,""),"")</f>
        <v/>
      </c>
      <c r="P56" s="22">
        <f>IFERROR(IF(AND(ISNUMBER($K56),ISNUMBER(M56),M56&lt;&gt;0),$K56/M56-1,""),"")</f>
        <v/>
      </c>
      <c r="Q56" s="22">
        <f>IFERROR(IF(AND(ISNUMBER($K56),ISNUMBER(N56),N56&lt;&gt;0),$K56/N56-1,""),"")</f>
        <v/>
      </c>
    </row>
    <row r="57">
      <c r="A57" s="19">
        <f>Tickers!$A$56</f>
        <v/>
      </c>
      <c r="C57" s="30">
        <f>_xll.BDP($A57,"BEST_SALES","BEST_FPERIOD_OVERRIDE","1BF")</f>
        <v/>
      </c>
      <c r="D57" s="30">
        <f>_xll.BDP($A57,"BEST_SALES","BEST_FPERIOD_OVERRIDE","1BF","BEST_DATA_DATE_OVERRIDE",TEXT(YEAR($D$4),"0000")&amp;TEXT(MONTH($D$4),"00")&amp;TEXT(DAY($D$4),"00"))</f>
        <v/>
      </c>
      <c r="E57" s="30">
        <f>_xll.BDP($A57,"BEST_SALES","BEST_FPERIOD_OVERRIDE","1BF","BEST_DATA_DATE_OVERRIDE",TEXT(YEAR($E$4),"0000")&amp;TEXT(MONTH($E$4),"00")&amp;TEXT(DAY($E$4),"00"))</f>
        <v/>
      </c>
      <c r="F57" s="30">
        <f>_xll.BDP($A57,"BEST_SALES","BEST_FPERIOD_OVERRIDE","1BF","BEST_DATA_DATE_OVERRIDE",TEXT(YEAR($F$4),"0000")&amp;TEXT(MONTH($F$4),"00")&amp;TEXT(DAY($F$4),"00"))</f>
        <v/>
      </c>
      <c r="G57" s="22">
        <f>IFERROR(IF(AND(ISNUMBER($C57),ISNUMBER(D57),D57&lt;&gt;0),$C57/D57-1,""),"")</f>
        <v/>
      </c>
      <c r="H57" s="22">
        <f>IFERROR(IF(AND(ISNUMBER($C57),ISNUMBER(E57),E57&lt;&gt;0),$C57/E57-1,""),"")</f>
        <v/>
      </c>
      <c r="I57" s="22">
        <f>IFERROR(IF(AND(ISNUMBER($C57),ISNUMBER(F57),F57&lt;&gt;0),$C57/F57-1,""),"")</f>
        <v/>
      </c>
      <c r="K57" s="54">
        <f>_xll.BDP($A57,"BEST_EPS","BEST_FPERIOD_OVERRIDE","1BF")</f>
        <v/>
      </c>
      <c r="L57" s="54">
        <f>_xll.BDP($A57,"BEST_EPS","BEST_FPERIOD_OVERRIDE","1BF","BEST_DATA_DATE_OVERRIDE",TEXT(YEAR($D$4),"0000")&amp;TEXT(MONTH($D$4),"00")&amp;TEXT(DAY($D$4),"00"))</f>
        <v/>
      </c>
      <c r="M57" s="54">
        <f>_xll.BDP($A57,"BEST_EPS","BEST_FPERIOD_OVERRIDE","1BF","BEST_DATA_DATE_OVERRIDE",TEXT(YEAR($E$4),"0000")&amp;TEXT(MONTH($E$4),"00")&amp;TEXT(DAY($E$4),"00"))</f>
        <v/>
      </c>
      <c r="N57" s="54">
        <f>_xll.BDP($A57,"BEST_EPS","BEST_FPERIOD_OVERRIDE","1BF","BEST_DATA_DATE_OVERRIDE",TEXT(YEAR($F$4),"0000")&amp;TEXT(MONTH($F$4),"00")&amp;TEXT(DAY($F$4),"00"))</f>
        <v/>
      </c>
      <c r="O57" s="22">
        <f>IFERROR(IF(AND(ISNUMBER($K57),ISNUMBER(L57),L57&lt;&gt;0),$K57/L57-1,""),"")</f>
        <v/>
      </c>
      <c r="P57" s="22">
        <f>IFERROR(IF(AND(ISNUMBER($K57),ISNUMBER(M57),M57&lt;&gt;0),$K57/M57-1,""),"")</f>
        <v/>
      </c>
      <c r="Q57" s="22">
        <f>IFERROR(IF(AND(ISNUMBER($K57),ISNUMBER(N57),N57&lt;&gt;0),$K57/N57-1,""),"")</f>
        <v/>
      </c>
    </row>
    <row r="58">
      <c r="A58" s="19">
        <f>Tickers!$A$57</f>
        <v/>
      </c>
      <c r="C58" s="30">
        <f>_xll.BDP($A58,"BEST_SALES","BEST_FPERIOD_OVERRIDE","1BF")</f>
        <v/>
      </c>
      <c r="D58" s="30">
        <f>_xll.BDP($A58,"BEST_SALES","BEST_FPERIOD_OVERRIDE","1BF","BEST_DATA_DATE_OVERRIDE",TEXT(YEAR($D$4),"0000")&amp;TEXT(MONTH($D$4),"00")&amp;TEXT(DAY($D$4),"00"))</f>
        <v/>
      </c>
      <c r="E58" s="30">
        <f>_xll.BDP($A58,"BEST_SALES","BEST_FPERIOD_OVERRIDE","1BF","BEST_DATA_DATE_OVERRIDE",TEXT(YEAR($E$4),"0000")&amp;TEXT(MONTH($E$4),"00")&amp;TEXT(DAY($E$4),"00"))</f>
        <v/>
      </c>
      <c r="F58" s="30">
        <f>_xll.BDP($A58,"BEST_SALES","BEST_FPERIOD_OVERRIDE","1BF","BEST_DATA_DATE_OVERRIDE",TEXT(YEAR($F$4),"0000")&amp;TEXT(MONTH($F$4),"00")&amp;TEXT(DAY($F$4),"00"))</f>
        <v/>
      </c>
      <c r="G58" s="22">
        <f>IFERROR(IF(AND(ISNUMBER($C58),ISNUMBER(D58),D58&lt;&gt;0),$C58/D58-1,""),"")</f>
        <v/>
      </c>
      <c r="H58" s="22">
        <f>IFERROR(IF(AND(ISNUMBER($C58),ISNUMBER(E58),E58&lt;&gt;0),$C58/E58-1,""),"")</f>
        <v/>
      </c>
      <c r="I58" s="22">
        <f>IFERROR(IF(AND(ISNUMBER($C58),ISNUMBER(F58),F58&lt;&gt;0),$C58/F58-1,""),"")</f>
        <v/>
      </c>
      <c r="K58" s="54">
        <f>_xll.BDP($A58,"BEST_EPS","BEST_FPERIOD_OVERRIDE","1BF")</f>
        <v/>
      </c>
      <c r="L58" s="54">
        <f>_xll.BDP($A58,"BEST_EPS","BEST_FPERIOD_OVERRIDE","1BF","BEST_DATA_DATE_OVERRIDE",TEXT(YEAR($D$4),"0000")&amp;TEXT(MONTH($D$4),"00")&amp;TEXT(DAY($D$4),"00"))</f>
        <v/>
      </c>
      <c r="M58" s="54">
        <f>_xll.BDP($A58,"BEST_EPS","BEST_FPERIOD_OVERRIDE","1BF","BEST_DATA_DATE_OVERRIDE",TEXT(YEAR($E$4),"0000")&amp;TEXT(MONTH($E$4),"00")&amp;TEXT(DAY($E$4),"00"))</f>
        <v/>
      </c>
      <c r="N58" s="54">
        <f>_xll.BDP($A58,"BEST_EPS","BEST_FPERIOD_OVERRIDE","1BF","BEST_DATA_DATE_OVERRIDE",TEXT(YEAR($F$4),"0000")&amp;TEXT(MONTH($F$4),"00")&amp;TEXT(DAY($F$4),"00"))</f>
        <v/>
      </c>
      <c r="O58" s="22">
        <f>IFERROR(IF(AND(ISNUMBER($K58),ISNUMBER(L58),L58&lt;&gt;0),$K58/L58-1,""),"")</f>
        <v/>
      </c>
      <c r="P58" s="22">
        <f>IFERROR(IF(AND(ISNUMBER($K58),ISNUMBER(M58),M58&lt;&gt;0),$K58/M58-1,""),"")</f>
        <v/>
      </c>
      <c r="Q58" s="22">
        <f>IFERROR(IF(AND(ISNUMBER($K58),ISNUMBER(N58),N58&lt;&gt;0),$K58/N58-1,""),"")</f>
        <v/>
      </c>
    </row>
    <row r="59">
      <c r="A59" s="19">
        <f>Tickers!$A$58</f>
        <v/>
      </c>
      <c r="C59" s="30">
        <f>_xll.BDP($A59,"BEST_SALES","BEST_FPERIOD_OVERRIDE","1BF")</f>
        <v/>
      </c>
      <c r="D59" s="30">
        <f>_xll.BDP($A59,"BEST_SALES","BEST_FPERIOD_OVERRIDE","1BF","BEST_DATA_DATE_OVERRIDE",TEXT(YEAR($D$4),"0000")&amp;TEXT(MONTH($D$4),"00")&amp;TEXT(DAY($D$4),"00"))</f>
        <v/>
      </c>
      <c r="E59" s="30">
        <f>_xll.BDP($A59,"BEST_SALES","BEST_FPERIOD_OVERRIDE","1BF","BEST_DATA_DATE_OVERRIDE",TEXT(YEAR($E$4),"0000")&amp;TEXT(MONTH($E$4),"00")&amp;TEXT(DAY($E$4),"00"))</f>
        <v/>
      </c>
      <c r="F59" s="30">
        <f>_xll.BDP($A59,"BEST_SALES","BEST_FPERIOD_OVERRIDE","1BF","BEST_DATA_DATE_OVERRIDE",TEXT(YEAR($F$4),"0000")&amp;TEXT(MONTH($F$4),"00")&amp;TEXT(DAY($F$4),"00"))</f>
        <v/>
      </c>
      <c r="G59" s="22">
        <f>IFERROR(IF(AND(ISNUMBER($C59),ISNUMBER(D59),D59&lt;&gt;0),$C59/D59-1,""),"")</f>
        <v/>
      </c>
      <c r="H59" s="22">
        <f>IFERROR(IF(AND(ISNUMBER($C59),ISNUMBER(E59),E59&lt;&gt;0),$C59/E59-1,""),"")</f>
        <v/>
      </c>
      <c r="I59" s="22">
        <f>IFERROR(IF(AND(ISNUMBER($C59),ISNUMBER(F59),F59&lt;&gt;0),$C59/F59-1,""),"")</f>
        <v/>
      </c>
      <c r="K59" s="54">
        <f>_xll.BDP($A59,"BEST_EPS","BEST_FPERIOD_OVERRIDE","1BF")</f>
        <v/>
      </c>
      <c r="L59" s="54">
        <f>_xll.BDP($A59,"BEST_EPS","BEST_FPERIOD_OVERRIDE","1BF","BEST_DATA_DATE_OVERRIDE",TEXT(YEAR($D$4),"0000")&amp;TEXT(MONTH($D$4),"00")&amp;TEXT(DAY($D$4),"00"))</f>
        <v/>
      </c>
      <c r="M59" s="54">
        <f>_xll.BDP($A59,"BEST_EPS","BEST_FPERIOD_OVERRIDE","1BF","BEST_DATA_DATE_OVERRIDE",TEXT(YEAR($E$4),"0000")&amp;TEXT(MONTH($E$4),"00")&amp;TEXT(DAY($E$4),"00"))</f>
        <v/>
      </c>
      <c r="N59" s="54">
        <f>_xll.BDP($A59,"BEST_EPS","BEST_FPERIOD_OVERRIDE","1BF","BEST_DATA_DATE_OVERRIDE",TEXT(YEAR($F$4),"0000")&amp;TEXT(MONTH($F$4),"00")&amp;TEXT(DAY($F$4),"00"))</f>
        <v/>
      </c>
      <c r="O59" s="22">
        <f>IFERROR(IF(AND(ISNUMBER($K59),ISNUMBER(L59),L59&lt;&gt;0),$K59/L59-1,""),"")</f>
        <v/>
      </c>
      <c r="P59" s="22">
        <f>IFERROR(IF(AND(ISNUMBER($K59),ISNUMBER(M59),M59&lt;&gt;0),$K59/M59-1,""),"")</f>
        <v/>
      </c>
      <c r="Q59" s="22">
        <f>IFERROR(IF(AND(ISNUMBER($K59),ISNUMBER(N59),N59&lt;&gt;0),$K59/N59-1,""),"")</f>
        <v/>
      </c>
    </row>
    <row r="60">
      <c r="A60" s="19">
        <f>Tickers!$A$59</f>
        <v/>
      </c>
      <c r="C60" s="30">
        <f>_xll.BDP($A60,"BEST_SALES","BEST_FPERIOD_OVERRIDE","1BF")</f>
        <v/>
      </c>
      <c r="D60" s="30">
        <f>_xll.BDP($A60,"BEST_SALES","BEST_FPERIOD_OVERRIDE","1BF","BEST_DATA_DATE_OVERRIDE",TEXT(YEAR($D$4),"0000")&amp;TEXT(MONTH($D$4),"00")&amp;TEXT(DAY($D$4),"00"))</f>
        <v/>
      </c>
      <c r="E60" s="30">
        <f>_xll.BDP($A60,"BEST_SALES","BEST_FPERIOD_OVERRIDE","1BF","BEST_DATA_DATE_OVERRIDE",TEXT(YEAR($E$4),"0000")&amp;TEXT(MONTH($E$4),"00")&amp;TEXT(DAY($E$4),"00"))</f>
        <v/>
      </c>
      <c r="F60" s="30">
        <f>_xll.BDP($A60,"BEST_SALES","BEST_FPERIOD_OVERRIDE","1BF","BEST_DATA_DATE_OVERRIDE",TEXT(YEAR($F$4),"0000")&amp;TEXT(MONTH($F$4),"00")&amp;TEXT(DAY($F$4),"00"))</f>
        <v/>
      </c>
      <c r="G60" s="22">
        <f>IFERROR(IF(AND(ISNUMBER($C60),ISNUMBER(D60),D60&lt;&gt;0),$C60/D60-1,""),"")</f>
        <v/>
      </c>
      <c r="H60" s="22">
        <f>IFERROR(IF(AND(ISNUMBER($C60),ISNUMBER(E60),E60&lt;&gt;0),$C60/E60-1,""),"")</f>
        <v/>
      </c>
      <c r="I60" s="22">
        <f>IFERROR(IF(AND(ISNUMBER($C60),ISNUMBER(F60),F60&lt;&gt;0),$C60/F60-1,""),"")</f>
        <v/>
      </c>
      <c r="K60" s="54">
        <f>_xll.BDP($A60,"BEST_EPS","BEST_FPERIOD_OVERRIDE","1BF")</f>
        <v/>
      </c>
      <c r="L60" s="54">
        <f>_xll.BDP($A60,"BEST_EPS","BEST_FPERIOD_OVERRIDE","1BF","BEST_DATA_DATE_OVERRIDE",TEXT(YEAR($D$4),"0000")&amp;TEXT(MONTH($D$4),"00")&amp;TEXT(DAY($D$4),"00"))</f>
        <v/>
      </c>
      <c r="M60" s="54">
        <f>_xll.BDP($A60,"BEST_EPS","BEST_FPERIOD_OVERRIDE","1BF","BEST_DATA_DATE_OVERRIDE",TEXT(YEAR($E$4),"0000")&amp;TEXT(MONTH($E$4),"00")&amp;TEXT(DAY($E$4),"00"))</f>
        <v/>
      </c>
      <c r="N60" s="54">
        <f>_xll.BDP($A60,"BEST_EPS","BEST_FPERIOD_OVERRIDE","1BF","BEST_DATA_DATE_OVERRIDE",TEXT(YEAR($F$4),"0000")&amp;TEXT(MONTH($F$4),"00")&amp;TEXT(DAY($F$4),"00"))</f>
        <v/>
      </c>
      <c r="O60" s="22">
        <f>IFERROR(IF(AND(ISNUMBER($K60),ISNUMBER(L60),L60&lt;&gt;0),$K60/L60-1,""),"")</f>
        <v/>
      </c>
      <c r="P60" s="22">
        <f>IFERROR(IF(AND(ISNUMBER($K60),ISNUMBER(M60),M60&lt;&gt;0),$K60/M60-1,""),"")</f>
        <v/>
      </c>
      <c r="Q60" s="22">
        <f>IFERROR(IF(AND(ISNUMBER($K60),ISNUMBER(N60),N60&lt;&gt;0),$K60/N60-1,""),"")</f>
        <v/>
      </c>
    </row>
    <row r="61">
      <c r="A61" s="19">
        <f>Tickers!$A$60</f>
        <v/>
      </c>
      <c r="C61" s="30">
        <f>_xll.BDP($A61,"BEST_SALES","BEST_FPERIOD_OVERRIDE","1BF")</f>
        <v/>
      </c>
      <c r="D61" s="30">
        <f>_xll.BDP($A61,"BEST_SALES","BEST_FPERIOD_OVERRIDE","1BF","BEST_DATA_DATE_OVERRIDE",TEXT(YEAR($D$4),"0000")&amp;TEXT(MONTH($D$4),"00")&amp;TEXT(DAY($D$4),"00"))</f>
        <v/>
      </c>
      <c r="E61" s="30">
        <f>_xll.BDP($A61,"BEST_SALES","BEST_FPERIOD_OVERRIDE","1BF","BEST_DATA_DATE_OVERRIDE",TEXT(YEAR($E$4),"0000")&amp;TEXT(MONTH($E$4),"00")&amp;TEXT(DAY($E$4),"00"))</f>
        <v/>
      </c>
      <c r="F61" s="30">
        <f>_xll.BDP($A61,"BEST_SALES","BEST_FPERIOD_OVERRIDE","1BF","BEST_DATA_DATE_OVERRIDE",TEXT(YEAR($F$4),"0000")&amp;TEXT(MONTH($F$4),"00")&amp;TEXT(DAY($F$4),"00"))</f>
        <v/>
      </c>
      <c r="G61" s="22">
        <f>IFERROR(IF(AND(ISNUMBER($C61),ISNUMBER(D61),D61&lt;&gt;0),$C61/D61-1,""),"")</f>
        <v/>
      </c>
      <c r="H61" s="22">
        <f>IFERROR(IF(AND(ISNUMBER($C61),ISNUMBER(E61),E61&lt;&gt;0),$C61/E61-1,""),"")</f>
        <v/>
      </c>
      <c r="I61" s="22">
        <f>IFERROR(IF(AND(ISNUMBER($C61),ISNUMBER(F61),F61&lt;&gt;0),$C61/F61-1,""),"")</f>
        <v/>
      </c>
      <c r="K61" s="54">
        <f>_xll.BDP($A61,"BEST_EPS","BEST_FPERIOD_OVERRIDE","1BF")</f>
        <v/>
      </c>
      <c r="L61" s="54">
        <f>_xll.BDP($A61,"BEST_EPS","BEST_FPERIOD_OVERRIDE","1BF","BEST_DATA_DATE_OVERRIDE",TEXT(YEAR($D$4),"0000")&amp;TEXT(MONTH($D$4),"00")&amp;TEXT(DAY($D$4),"00"))</f>
        <v/>
      </c>
      <c r="M61" s="54">
        <f>_xll.BDP($A61,"BEST_EPS","BEST_FPERIOD_OVERRIDE","1BF","BEST_DATA_DATE_OVERRIDE",TEXT(YEAR($E$4),"0000")&amp;TEXT(MONTH($E$4),"00")&amp;TEXT(DAY($E$4),"00"))</f>
        <v/>
      </c>
      <c r="N61" s="54">
        <f>_xll.BDP($A61,"BEST_EPS","BEST_FPERIOD_OVERRIDE","1BF","BEST_DATA_DATE_OVERRIDE",TEXT(YEAR($F$4),"0000")&amp;TEXT(MONTH($F$4),"00")&amp;TEXT(DAY($F$4),"00"))</f>
        <v/>
      </c>
      <c r="O61" s="22">
        <f>IFERROR(IF(AND(ISNUMBER($K61),ISNUMBER(L61),L61&lt;&gt;0),$K61/L61-1,""),"")</f>
        <v/>
      </c>
      <c r="P61" s="22">
        <f>IFERROR(IF(AND(ISNUMBER($K61),ISNUMBER(M61),M61&lt;&gt;0),$K61/M61-1,""),"")</f>
        <v/>
      </c>
      <c r="Q61" s="22">
        <f>IFERROR(IF(AND(ISNUMBER($K61),ISNUMBER(N61),N61&lt;&gt;0),$K61/N61-1,""),"")</f>
        <v/>
      </c>
    </row>
    <row r="62">
      <c r="A62" s="19">
        <f>Tickers!$A$61</f>
        <v/>
      </c>
      <c r="C62" s="30">
        <f>_xll.BDP($A62,"BEST_SALES","BEST_FPERIOD_OVERRIDE","1BF")</f>
        <v/>
      </c>
      <c r="D62" s="30">
        <f>_xll.BDP($A62,"BEST_SALES","BEST_FPERIOD_OVERRIDE","1BF","BEST_DATA_DATE_OVERRIDE",TEXT(YEAR($D$4),"0000")&amp;TEXT(MONTH($D$4),"00")&amp;TEXT(DAY($D$4),"00"))</f>
        <v/>
      </c>
      <c r="E62" s="30">
        <f>_xll.BDP($A62,"BEST_SALES","BEST_FPERIOD_OVERRIDE","1BF","BEST_DATA_DATE_OVERRIDE",TEXT(YEAR($E$4),"0000")&amp;TEXT(MONTH($E$4),"00")&amp;TEXT(DAY($E$4),"00"))</f>
        <v/>
      </c>
      <c r="F62" s="30">
        <f>_xll.BDP($A62,"BEST_SALES","BEST_FPERIOD_OVERRIDE","1BF","BEST_DATA_DATE_OVERRIDE",TEXT(YEAR($F$4),"0000")&amp;TEXT(MONTH($F$4),"00")&amp;TEXT(DAY($F$4),"00"))</f>
        <v/>
      </c>
      <c r="G62" s="22">
        <f>IFERROR(IF(AND(ISNUMBER($C62),ISNUMBER(D62),D62&lt;&gt;0),$C62/D62-1,""),"")</f>
        <v/>
      </c>
      <c r="H62" s="22">
        <f>IFERROR(IF(AND(ISNUMBER($C62),ISNUMBER(E62),E62&lt;&gt;0),$C62/E62-1,""),"")</f>
        <v/>
      </c>
      <c r="I62" s="22">
        <f>IFERROR(IF(AND(ISNUMBER($C62),ISNUMBER(F62),F62&lt;&gt;0),$C62/F62-1,""),"")</f>
        <v/>
      </c>
      <c r="K62" s="54">
        <f>_xll.BDP($A62,"BEST_EPS","BEST_FPERIOD_OVERRIDE","1BF")</f>
        <v/>
      </c>
      <c r="L62" s="54">
        <f>_xll.BDP($A62,"BEST_EPS","BEST_FPERIOD_OVERRIDE","1BF","BEST_DATA_DATE_OVERRIDE",TEXT(YEAR($D$4),"0000")&amp;TEXT(MONTH($D$4),"00")&amp;TEXT(DAY($D$4),"00"))</f>
        <v/>
      </c>
      <c r="M62" s="54">
        <f>_xll.BDP($A62,"BEST_EPS","BEST_FPERIOD_OVERRIDE","1BF","BEST_DATA_DATE_OVERRIDE",TEXT(YEAR($E$4),"0000")&amp;TEXT(MONTH($E$4),"00")&amp;TEXT(DAY($E$4),"00"))</f>
        <v/>
      </c>
      <c r="N62" s="54">
        <f>_xll.BDP($A62,"BEST_EPS","BEST_FPERIOD_OVERRIDE","1BF","BEST_DATA_DATE_OVERRIDE",TEXT(YEAR($F$4),"0000")&amp;TEXT(MONTH($F$4),"00")&amp;TEXT(DAY($F$4),"00"))</f>
        <v/>
      </c>
      <c r="O62" s="22">
        <f>IFERROR(IF(AND(ISNUMBER($K62),ISNUMBER(L62),L62&lt;&gt;0),$K62/L62-1,""),"")</f>
        <v/>
      </c>
      <c r="P62" s="22">
        <f>IFERROR(IF(AND(ISNUMBER($K62),ISNUMBER(M62),M62&lt;&gt;0),$K62/M62-1,""),"")</f>
        <v/>
      </c>
      <c r="Q62" s="22">
        <f>IFERROR(IF(AND(ISNUMBER($K62),ISNUMBER(N62),N62&lt;&gt;0),$K62/N62-1,""),"")</f>
        <v/>
      </c>
    </row>
    <row r="63">
      <c r="A63" s="19">
        <f>Tickers!$A$62</f>
        <v/>
      </c>
      <c r="C63" s="30">
        <f>_xll.BDP($A63,"BEST_SALES","BEST_FPERIOD_OVERRIDE","1BF")</f>
        <v/>
      </c>
      <c r="D63" s="30">
        <f>_xll.BDP($A63,"BEST_SALES","BEST_FPERIOD_OVERRIDE","1BF","BEST_DATA_DATE_OVERRIDE",TEXT(YEAR($D$4),"0000")&amp;TEXT(MONTH($D$4),"00")&amp;TEXT(DAY($D$4),"00"))</f>
        <v/>
      </c>
      <c r="E63" s="30">
        <f>_xll.BDP($A63,"BEST_SALES","BEST_FPERIOD_OVERRIDE","1BF","BEST_DATA_DATE_OVERRIDE",TEXT(YEAR($E$4),"0000")&amp;TEXT(MONTH($E$4),"00")&amp;TEXT(DAY($E$4),"00"))</f>
        <v/>
      </c>
      <c r="F63" s="30">
        <f>_xll.BDP($A63,"BEST_SALES","BEST_FPERIOD_OVERRIDE","1BF","BEST_DATA_DATE_OVERRIDE",TEXT(YEAR($F$4),"0000")&amp;TEXT(MONTH($F$4),"00")&amp;TEXT(DAY($F$4),"00"))</f>
        <v/>
      </c>
      <c r="G63" s="22">
        <f>IFERROR(IF(AND(ISNUMBER($C63),ISNUMBER(D63),D63&lt;&gt;0),$C63/D63-1,""),"")</f>
        <v/>
      </c>
      <c r="H63" s="22">
        <f>IFERROR(IF(AND(ISNUMBER($C63),ISNUMBER(E63),E63&lt;&gt;0),$C63/E63-1,""),"")</f>
        <v/>
      </c>
      <c r="I63" s="22">
        <f>IFERROR(IF(AND(ISNUMBER($C63),ISNUMBER(F63),F63&lt;&gt;0),$C63/F63-1,""),"")</f>
        <v/>
      </c>
      <c r="K63" s="54">
        <f>_xll.BDP($A63,"BEST_EPS","BEST_FPERIOD_OVERRIDE","1BF")</f>
        <v/>
      </c>
      <c r="L63" s="54">
        <f>_xll.BDP($A63,"BEST_EPS","BEST_FPERIOD_OVERRIDE","1BF","BEST_DATA_DATE_OVERRIDE",TEXT(YEAR($D$4),"0000")&amp;TEXT(MONTH($D$4),"00")&amp;TEXT(DAY($D$4),"00"))</f>
        <v/>
      </c>
      <c r="M63" s="54">
        <f>_xll.BDP($A63,"BEST_EPS","BEST_FPERIOD_OVERRIDE","1BF","BEST_DATA_DATE_OVERRIDE",TEXT(YEAR($E$4),"0000")&amp;TEXT(MONTH($E$4),"00")&amp;TEXT(DAY($E$4),"00"))</f>
        <v/>
      </c>
      <c r="N63" s="54">
        <f>_xll.BDP($A63,"BEST_EPS","BEST_FPERIOD_OVERRIDE","1BF","BEST_DATA_DATE_OVERRIDE",TEXT(YEAR($F$4),"0000")&amp;TEXT(MONTH($F$4),"00")&amp;TEXT(DAY($F$4),"00"))</f>
        <v/>
      </c>
      <c r="O63" s="22">
        <f>IFERROR(IF(AND(ISNUMBER($K63),ISNUMBER(L63),L63&lt;&gt;0),$K63/L63-1,""),"")</f>
        <v/>
      </c>
      <c r="P63" s="22">
        <f>IFERROR(IF(AND(ISNUMBER($K63),ISNUMBER(M63),M63&lt;&gt;0),$K63/M63-1,""),"")</f>
        <v/>
      </c>
      <c r="Q63" s="22">
        <f>IFERROR(IF(AND(ISNUMBER($K63),ISNUMBER(N63),N63&lt;&gt;0),$K63/N63-1,""),"")</f>
        <v/>
      </c>
    </row>
    <row r="64">
      <c r="A64" s="19">
        <f>Tickers!$A$63</f>
        <v/>
      </c>
      <c r="C64" s="30">
        <f>_xll.BDP($A64,"BEST_SALES","BEST_FPERIOD_OVERRIDE","1BF")</f>
        <v/>
      </c>
      <c r="D64" s="30">
        <f>_xll.BDP($A64,"BEST_SALES","BEST_FPERIOD_OVERRIDE","1BF","BEST_DATA_DATE_OVERRIDE",TEXT(YEAR($D$4),"0000")&amp;TEXT(MONTH($D$4),"00")&amp;TEXT(DAY($D$4),"00"))</f>
        <v/>
      </c>
      <c r="E64" s="30">
        <f>_xll.BDP($A64,"BEST_SALES","BEST_FPERIOD_OVERRIDE","1BF","BEST_DATA_DATE_OVERRIDE",TEXT(YEAR($E$4),"0000")&amp;TEXT(MONTH($E$4),"00")&amp;TEXT(DAY($E$4),"00"))</f>
        <v/>
      </c>
      <c r="F64" s="30">
        <f>_xll.BDP($A64,"BEST_SALES","BEST_FPERIOD_OVERRIDE","1BF","BEST_DATA_DATE_OVERRIDE",TEXT(YEAR($F$4),"0000")&amp;TEXT(MONTH($F$4),"00")&amp;TEXT(DAY($F$4),"00"))</f>
        <v/>
      </c>
      <c r="G64" s="22">
        <f>IFERROR(IF(AND(ISNUMBER($C64),ISNUMBER(D64),D64&lt;&gt;0),$C64/D64-1,""),"")</f>
        <v/>
      </c>
      <c r="H64" s="22">
        <f>IFERROR(IF(AND(ISNUMBER($C64),ISNUMBER(E64),E64&lt;&gt;0),$C64/E64-1,""),"")</f>
        <v/>
      </c>
      <c r="I64" s="22">
        <f>IFERROR(IF(AND(ISNUMBER($C64),ISNUMBER(F64),F64&lt;&gt;0),$C64/F64-1,""),"")</f>
        <v/>
      </c>
      <c r="K64" s="54">
        <f>_xll.BDP($A64,"BEST_EPS","BEST_FPERIOD_OVERRIDE","1BF")</f>
        <v/>
      </c>
      <c r="L64" s="54">
        <f>_xll.BDP($A64,"BEST_EPS","BEST_FPERIOD_OVERRIDE","1BF","BEST_DATA_DATE_OVERRIDE",TEXT(YEAR($D$4),"0000")&amp;TEXT(MONTH($D$4),"00")&amp;TEXT(DAY($D$4),"00"))</f>
        <v/>
      </c>
      <c r="M64" s="54">
        <f>_xll.BDP($A64,"BEST_EPS","BEST_FPERIOD_OVERRIDE","1BF","BEST_DATA_DATE_OVERRIDE",TEXT(YEAR($E$4),"0000")&amp;TEXT(MONTH($E$4),"00")&amp;TEXT(DAY($E$4),"00"))</f>
        <v/>
      </c>
      <c r="N64" s="54">
        <f>_xll.BDP($A64,"BEST_EPS","BEST_FPERIOD_OVERRIDE","1BF","BEST_DATA_DATE_OVERRIDE",TEXT(YEAR($F$4),"0000")&amp;TEXT(MONTH($F$4),"00")&amp;TEXT(DAY($F$4),"00"))</f>
        <v/>
      </c>
      <c r="O64" s="22">
        <f>IFERROR(IF(AND(ISNUMBER($K64),ISNUMBER(L64),L64&lt;&gt;0),$K64/L64-1,""),"")</f>
        <v/>
      </c>
      <c r="P64" s="22">
        <f>IFERROR(IF(AND(ISNUMBER($K64),ISNUMBER(M64),M64&lt;&gt;0),$K64/M64-1,""),"")</f>
        <v/>
      </c>
      <c r="Q64" s="22">
        <f>IFERROR(IF(AND(ISNUMBER($K64),ISNUMBER(N64),N64&lt;&gt;0),$K64/N64-1,""),"")</f>
        <v/>
      </c>
    </row>
    <row r="65">
      <c r="A65" s="19">
        <f>Tickers!$A$64</f>
        <v/>
      </c>
      <c r="C65" s="30">
        <f>_xll.BDP($A65,"BEST_SALES","BEST_FPERIOD_OVERRIDE","1BF")</f>
        <v/>
      </c>
      <c r="D65" s="30">
        <f>_xll.BDP($A65,"BEST_SALES","BEST_FPERIOD_OVERRIDE","1BF","BEST_DATA_DATE_OVERRIDE",TEXT(YEAR($D$4),"0000")&amp;TEXT(MONTH($D$4),"00")&amp;TEXT(DAY($D$4),"00"))</f>
        <v/>
      </c>
      <c r="E65" s="30">
        <f>_xll.BDP($A65,"BEST_SALES","BEST_FPERIOD_OVERRIDE","1BF","BEST_DATA_DATE_OVERRIDE",TEXT(YEAR($E$4),"0000")&amp;TEXT(MONTH($E$4),"00")&amp;TEXT(DAY($E$4),"00"))</f>
        <v/>
      </c>
      <c r="F65" s="30">
        <f>_xll.BDP($A65,"BEST_SALES","BEST_FPERIOD_OVERRIDE","1BF","BEST_DATA_DATE_OVERRIDE",TEXT(YEAR($F$4),"0000")&amp;TEXT(MONTH($F$4),"00")&amp;TEXT(DAY($F$4),"00"))</f>
        <v/>
      </c>
      <c r="G65" s="22">
        <f>IFERROR(IF(AND(ISNUMBER($C65),ISNUMBER(D65),D65&lt;&gt;0),$C65/D65-1,""),"")</f>
        <v/>
      </c>
      <c r="H65" s="22">
        <f>IFERROR(IF(AND(ISNUMBER($C65),ISNUMBER(E65),E65&lt;&gt;0),$C65/E65-1,""),"")</f>
        <v/>
      </c>
      <c r="I65" s="22">
        <f>IFERROR(IF(AND(ISNUMBER($C65),ISNUMBER(F65),F65&lt;&gt;0),$C65/F65-1,""),"")</f>
        <v/>
      </c>
      <c r="K65" s="54">
        <f>_xll.BDP($A65,"BEST_EPS","BEST_FPERIOD_OVERRIDE","1BF")</f>
        <v/>
      </c>
      <c r="L65" s="54">
        <f>_xll.BDP($A65,"BEST_EPS","BEST_FPERIOD_OVERRIDE","1BF","BEST_DATA_DATE_OVERRIDE",TEXT(YEAR($D$4),"0000")&amp;TEXT(MONTH($D$4),"00")&amp;TEXT(DAY($D$4),"00"))</f>
        <v/>
      </c>
      <c r="M65" s="54">
        <f>_xll.BDP($A65,"BEST_EPS","BEST_FPERIOD_OVERRIDE","1BF","BEST_DATA_DATE_OVERRIDE",TEXT(YEAR($E$4),"0000")&amp;TEXT(MONTH($E$4),"00")&amp;TEXT(DAY($E$4),"00"))</f>
        <v/>
      </c>
      <c r="N65" s="54">
        <f>_xll.BDP($A65,"BEST_EPS","BEST_FPERIOD_OVERRIDE","1BF","BEST_DATA_DATE_OVERRIDE",TEXT(YEAR($F$4),"0000")&amp;TEXT(MONTH($F$4),"00")&amp;TEXT(DAY($F$4),"00"))</f>
        <v/>
      </c>
      <c r="O65" s="22">
        <f>IFERROR(IF(AND(ISNUMBER($K65),ISNUMBER(L65),L65&lt;&gt;0),$K65/L65-1,""),"")</f>
        <v/>
      </c>
      <c r="P65" s="22">
        <f>IFERROR(IF(AND(ISNUMBER($K65),ISNUMBER(M65),M65&lt;&gt;0),$K65/M65-1,""),"")</f>
        <v/>
      </c>
      <c r="Q65" s="22">
        <f>IFERROR(IF(AND(ISNUMBER($K65),ISNUMBER(N65),N65&lt;&gt;0),$K65/N65-1,""),"")</f>
        <v/>
      </c>
    </row>
    <row r="66">
      <c r="A66" s="19">
        <f>Tickers!$A$65</f>
        <v/>
      </c>
      <c r="C66" s="30">
        <f>_xll.BDP($A66,"BEST_SALES","BEST_FPERIOD_OVERRIDE","1BF")</f>
        <v/>
      </c>
      <c r="D66" s="30">
        <f>_xll.BDP($A66,"BEST_SALES","BEST_FPERIOD_OVERRIDE","1BF","BEST_DATA_DATE_OVERRIDE",TEXT(YEAR($D$4),"0000")&amp;TEXT(MONTH($D$4),"00")&amp;TEXT(DAY($D$4),"00"))</f>
        <v/>
      </c>
      <c r="E66" s="30">
        <f>_xll.BDP($A66,"BEST_SALES","BEST_FPERIOD_OVERRIDE","1BF","BEST_DATA_DATE_OVERRIDE",TEXT(YEAR($E$4),"0000")&amp;TEXT(MONTH($E$4),"00")&amp;TEXT(DAY($E$4),"00"))</f>
        <v/>
      </c>
      <c r="F66" s="30">
        <f>_xll.BDP($A66,"BEST_SALES","BEST_FPERIOD_OVERRIDE","1BF","BEST_DATA_DATE_OVERRIDE",TEXT(YEAR($F$4),"0000")&amp;TEXT(MONTH($F$4),"00")&amp;TEXT(DAY($F$4),"00"))</f>
        <v/>
      </c>
      <c r="G66" s="22">
        <f>IFERROR(IF(AND(ISNUMBER($C66),ISNUMBER(D66),D66&lt;&gt;0),$C66/D66-1,""),"")</f>
        <v/>
      </c>
      <c r="H66" s="22">
        <f>IFERROR(IF(AND(ISNUMBER($C66),ISNUMBER(E66),E66&lt;&gt;0),$C66/E66-1,""),"")</f>
        <v/>
      </c>
      <c r="I66" s="22">
        <f>IFERROR(IF(AND(ISNUMBER($C66),ISNUMBER(F66),F66&lt;&gt;0),$C66/F66-1,""),"")</f>
        <v/>
      </c>
      <c r="K66" s="54">
        <f>_xll.BDP($A66,"BEST_EPS","BEST_FPERIOD_OVERRIDE","1BF")</f>
        <v/>
      </c>
      <c r="L66" s="54">
        <f>_xll.BDP($A66,"BEST_EPS","BEST_FPERIOD_OVERRIDE","1BF","BEST_DATA_DATE_OVERRIDE",TEXT(YEAR($D$4),"0000")&amp;TEXT(MONTH($D$4),"00")&amp;TEXT(DAY($D$4),"00"))</f>
        <v/>
      </c>
      <c r="M66" s="54">
        <f>_xll.BDP($A66,"BEST_EPS","BEST_FPERIOD_OVERRIDE","1BF","BEST_DATA_DATE_OVERRIDE",TEXT(YEAR($E$4),"0000")&amp;TEXT(MONTH($E$4),"00")&amp;TEXT(DAY($E$4),"00"))</f>
        <v/>
      </c>
      <c r="N66" s="54">
        <f>_xll.BDP($A66,"BEST_EPS","BEST_FPERIOD_OVERRIDE","1BF","BEST_DATA_DATE_OVERRIDE",TEXT(YEAR($F$4),"0000")&amp;TEXT(MONTH($F$4),"00")&amp;TEXT(DAY($F$4),"00"))</f>
        <v/>
      </c>
      <c r="O66" s="22">
        <f>IFERROR(IF(AND(ISNUMBER($K66),ISNUMBER(L66),L66&lt;&gt;0),$K66/L66-1,""),"")</f>
        <v/>
      </c>
      <c r="P66" s="22">
        <f>IFERROR(IF(AND(ISNUMBER($K66),ISNUMBER(M66),M66&lt;&gt;0),$K66/M66-1,""),"")</f>
        <v/>
      </c>
      <c r="Q66" s="22">
        <f>IFERROR(IF(AND(ISNUMBER($K66),ISNUMBER(N66),N66&lt;&gt;0),$K66/N66-1,""),"")</f>
        <v/>
      </c>
    </row>
    <row r="67">
      <c r="A67" s="19">
        <f>Tickers!$A$66</f>
        <v/>
      </c>
      <c r="C67" s="30">
        <f>_xll.BDP($A67,"BEST_SALES","BEST_FPERIOD_OVERRIDE","1BF")</f>
        <v/>
      </c>
      <c r="D67" s="30">
        <f>_xll.BDP($A67,"BEST_SALES","BEST_FPERIOD_OVERRIDE","1BF","BEST_DATA_DATE_OVERRIDE",TEXT(YEAR($D$4),"0000")&amp;TEXT(MONTH($D$4),"00")&amp;TEXT(DAY($D$4),"00"))</f>
        <v/>
      </c>
      <c r="E67" s="30">
        <f>_xll.BDP($A67,"BEST_SALES","BEST_FPERIOD_OVERRIDE","1BF","BEST_DATA_DATE_OVERRIDE",TEXT(YEAR($E$4),"0000")&amp;TEXT(MONTH($E$4),"00")&amp;TEXT(DAY($E$4),"00"))</f>
        <v/>
      </c>
      <c r="F67" s="30">
        <f>_xll.BDP($A67,"BEST_SALES","BEST_FPERIOD_OVERRIDE","1BF","BEST_DATA_DATE_OVERRIDE",TEXT(YEAR($F$4),"0000")&amp;TEXT(MONTH($F$4),"00")&amp;TEXT(DAY($F$4),"00"))</f>
        <v/>
      </c>
      <c r="G67" s="22">
        <f>IFERROR(IF(AND(ISNUMBER($C67),ISNUMBER(D67),D67&lt;&gt;0),$C67/D67-1,""),"")</f>
        <v/>
      </c>
      <c r="H67" s="22">
        <f>IFERROR(IF(AND(ISNUMBER($C67),ISNUMBER(E67),E67&lt;&gt;0),$C67/E67-1,""),"")</f>
        <v/>
      </c>
      <c r="I67" s="22">
        <f>IFERROR(IF(AND(ISNUMBER($C67),ISNUMBER(F67),F67&lt;&gt;0),$C67/F67-1,""),"")</f>
        <v/>
      </c>
      <c r="K67" s="54">
        <f>_xll.BDP($A67,"BEST_EPS","BEST_FPERIOD_OVERRIDE","1BF")</f>
        <v/>
      </c>
      <c r="L67" s="54">
        <f>_xll.BDP($A67,"BEST_EPS","BEST_FPERIOD_OVERRIDE","1BF","BEST_DATA_DATE_OVERRIDE",TEXT(YEAR($D$4),"0000")&amp;TEXT(MONTH($D$4),"00")&amp;TEXT(DAY($D$4),"00"))</f>
        <v/>
      </c>
      <c r="M67" s="54">
        <f>_xll.BDP($A67,"BEST_EPS","BEST_FPERIOD_OVERRIDE","1BF","BEST_DATA_DATE_OVERRIDE",TEXT(YEAR($E$4),"0000")&amp;TEXT(MONTH($E$4),"00")&amp;TEXT(DAY($E$4),"00"))</f>
        <v/>
      </c>
      <c r="N67" s="54">
        <f>_xll.BDP($A67,"BEST_EPS","BEST_FPERIOD_OVERRIDE","1BF","BEST_DATA_DATE_OVERRIDE",TEXT(YEAR($F$4),"0000")&amp;TEXT(MONTH($F$4),"00")&amp;TEXT(DAY($F$4),"00"))</f>
        <v/>
      </c>
      <c r="O67" s="22">
        <f>IFERROR(IF(AND(ISNUMBER($K67),ISNUMBER(L67),L67&lt;&gt;0),$K67/L67-1,""),"")</f>
        <v/>
      </c>
      <c r="P67" s="22">
        <f>IFERROR(IF(AND(ISNUMBER($K67),ISNUMBER(M67),M67&lt;&gt;0),$K67/M67-1,""),"")</f>
        <v/>
      </c>
      <c r="Q67" s="22">
        <f>IFERROR(IF(AND(ISNUMBER($K67),ISNUMBER(N67),N67&lt;&gt;0),$K67/N67-1,""),"")</f>
        <v/>
      </c>
    </row>
    <row r="68">
      <c r="A68" s="19">
        <f>Tickers!$A$67</f>
        <v/>
      </c>
      <c r="C68" s="30">
        <f>_xll.BDP($A68,"BEST_SALES","BEST_FPERIOD_OVERRIDE","1BF")</f>
        <v/>
      </c>
      <c r="D68" s="30">
        <f>_xll.BDP($A68,"BEST_SALES","BEST_FPERIOD_OVERRIDE","1BF","BEST_DATA_DATE_OVERRIDE",TEXT(YEAR($D$4),"0000")&amp;TEXT(MONTH($D$4),"00")&amp;TEXT(DAY($D$4),"00"))</f>
        <v/>
      </c>
      <c r="E68" s="30">
        <f>_xll.BDP($A68,"BEST_SALES","BEST_FPERIOD_OVERRIDE","1BF","BEST_DATA_DATE_OVERRIDE",TEXT(YEAR($E$4),"0000")&amp;TEXT(MONTH($E$4),"00")&amp;TEXT(DAY($E$4),"00"))</f>
        <v/>
      </c>
      <c r="F68" s="30">
        <f>_xll.BDP($A68,"BEST_SALES","BEST_FPERIOD_OVERRIDE","1BF","BEST_DATA_DATE_OVERRIDE",TEXT(YEAR($F$4),"0000")&amp;TEXT(MONTH($F$4),"00")&amp;TEXT(DAY($F$4),"00"))</f>
        <v/>
      </c>
      <c r="G68" s="22">
        <f>IFERROR(IF(AND(ISNUMBER($C68),ISNUMBER(D68),D68&lt;&gt;0),$C68/D68-1,""),"")</f>
        <v/>
      </c>
      <c r="H68" s="22">
        <f>IFERROR(IF(AND(ISNUMBER($C68),ISNUMBER(E68),E68&lt;&gt;0),$C68/E68-1,""),"")</f>
        <v/>
      </c>
      <c r="I68" s="22">
        <f>IFERROR(IF(AND(ISNUMBER($C68),ISNUMBER(F68),F68&lt;&gt;0),$C68/F68-1,""),"")</f>
        <v/>
      </c>
      <c r="K68" s="54">
        <f>_xll.BDP($A68,"BEST_EPS","BEST_FPERIOD_OVERRIDE","1BF")</f>
        <v/>
      </c>
      <c r="L68" s="54">
        <f>_xll.BDP($A68,"BEST_EPS","BEST_FPERIOD_OVERRIDE","1BF","BEST_DATA_DATE_OVERRIDE",TEXT(YEAR($D$4),"0000")&amp;TEXT(MONTH($D$4),"00")&amp;TEXT(DAY($D$4),"00"))</f>
        <v/>
      </c>
      <c r="M68" s="54">
        <f>_xll.BDP($A68,"BEST_EPS","BEST_FPERIOD_OVERRIDE","1BF","BEST_DATA_DATE_OVERRIDE",TEXT(YEAR($E$4),"0000")&amp;TEXT(MONTH($E$4),"00")&amp;TEXT(DAY($E$4),"00"))</f>
        <v/>
      </c>
      <c r="N68" s="54">
        <f>_xll.BDP($A68,"BEST_EPS","BEST_FPERIOD_OVERRIDE","1BF","BEST_DATA_DATE_OVERRIDE",TEXT(YEAR($F$4),"0000")&amp;TEXT(MONTH($F$4),"00")&amp;TEXT(DAY($F$4),"00"))</f>
        <v/>
      </c>
      <c r="O68" s="22">
        <f>IFERROR(IF(AND(ISNUMBER($K68),ISNUMBER(L68),L68&lt;&gt;0),$K68/L68-1,""),"")</f>
        <v/>
      </c>
      <c r="P68" s="22">
        <f>IFERROR(IF(AND(ISNUMBER($K68),ISNUMBER(M68),M68&lt;&gt;0),$K68/M68-1,""),"")</f>
        <v/>
      </c>
      <c r="Q68" s="22">
        <f>IFERROR(IF(AND(ISNUMBER($K68),ISNUMBER(N68),N68&lt;&gt;0),$K68/N68-1,""),"")</f>
        <v/>
      </c>
    </row>
    <row r="69">
      <c r="A69" s="19">
        <f>Tickers!$A$68</f>
        <v/>
      </c>
      <c r="C69" s="30">
        <f>_xll.BDP($A69,"BEST_SALES","BEST_FPERIOD_OVERRIDE","1BF")</f>
        <v/>
      </c>
      <c r="D69" s="30">
        <f>_xll.BDP($A69,"BEST_SALES","BEST_FPERIOD_OVERRIDE","1BF","BEST_DATA_DATE_OVERRIDE",TEXT(YEAR($D$4),"0000")&amp;TEXT(MONTH($D$4),"00")&amp;TEXT(DAY($D$4),"00"))</f>
        <v/>
      </c>
      <c r="E69" s="30">
        <f>_xll.BDP($A69,"BEST_SALES","BEST_FPERIOD_OVERRIDE","1BF","BEST_DATA_DATE_OVERRIDE",TEXT(YEAR($E$4),"0000")&amp;TEXT(MONTH($E$4),"00")&amp;TEXT(DAY($E$4),"00"))</f>
        <v/>
      </c>
      <c r="F69" s="30">
        <f>_xll.BDP($A69,"BEST_SALES","BEST_FPERIOD_OVERRIDE","1BF","BEST_DATA_DATE_OVERRIDE",TEXT(YEAR($F$4),"0000")&amp;TEXT(MONTH($F$4),"00")&amp;TEXT(DAY($F$4),"00"))</f>
        <v/>
      </c>
      <c r="G69" s="22">
        <f>IFERROR(IF(AND(ISNUMBER($C69),ISNUMBER(D69),D69&lt;&gt;0),$C69/D69-1,""),"")</f>
        <v/>
      </c>
      <c r="H69" s="22">
        <f>IFERROR(IF(AND(ISNUMBER($C69),ISNUMBER(E69),E69&lt;&gt;0),$C69/E69-1,""),"")</f>
        <v/>
      </c>
      <c r="I69" s="22">
        <f>IFERROR(IF(AND(ISNUMBER($C69),ISNUMBER(F69),F69&lt;&gt;0),$C69/F69-1,""),"")</f>
        <v/>
      </c>
      <c r="K69" s="54">
        <f>_xll.BDP($A69,"BEST_EPS","BEST_FPERIOD_OVERRIDE","1BF")</f>
        <v/>
      </c>
      <c r="L69" s="54">
        <f>_xll.BDP($A69,"BEST_EPS","BEST_FPERIOD_OVERRIDE","1BF","BEST_DATA_DATE_OVERRIDE",TEXT(YEAR($D$4),"0000")&amp;TEXT(MONTH($D$4),"00")&amp;TEXT(DAY($D$4),"00"))</f>
        <v/>
      </c>
      <c r="M69" s="54">
        <f>_xll.BDP($A69,"BEST_EPS","BEST_FPERIOD_OVERRIDE","1BF","BEST_DATA_DATE_OVERRIDE",TEXT(YEAR($E$4),"0000")&amp;TEXT(MONTH($E$4),"00")&amp;TEXT(DAY($E$4),"00"))</f>
        <v/>
      </c>
      <c r="N69" s="54">
        <f>_xll.BDP($A69,"BEST_EPS","BEST_FPERIOD_OVERRIDE","1BF","BEST_DATA_DATE_OVERRIDE",TEXT(YEAR($F$4),"0000")&amp;TEXT(MONTH($F$4),"00")&amp;TEXT(DAY($F$4),"00"))</f>
        <v/>
      </c>
      <c r="O69" s="22">
        <f>IFERROR(IF(AND(ISNUMBER($K69),ISNUMBER(L69),L69&lt;&gt;0),$K69/L69-1,""),"")</f>
        <v/>
      </c>
      <c r="P69" s="22">
        <f>IFERROR(IF(AND(ISNUMBER($K69),ISNUMBER(M69),M69&lt;&gt;0),$K69/M69-1,""),"")</f>
        <v/>
      </c>
      <c r="Q69" s="22">
        <f>IFERROR(IF(AND(ISNUMBER($K69),ISNUMBER(N69),N69&lt;&gt;0),$K69/N69-1,""),"")</f>
        <v/>
      </c>
    </row>
    <row r="70">
      <c r="A70" s="19">
        <f>Tickers!$A$69</f>
        <v/>
      </c>
      <c r="C70" s="30">
        <f>_xll.BDP($A70,"BEST_SALES","BEST_FPERIOD_OVERRIDE","1BF")</f>
        <v/>
      </c>
      <c r="D70" s="30">
        <f>_xll.BDP($A70,"BEST_SALES","BEST_FPERIOD_OVERRIDE","1BF","BEST_DATA_DATE_OVERRIDE",TEXT(YEAR($D$4),"0000")&amp;TEXT(MONTH($D$4),"00")&amp;TEXT(DAY($D$4),"00"))</f>
        <v/>
      </c>
      <c r="E70" s="30">
        <f>_xll.BDP($A70,"BEST_SALES","BEST_FPERIOD_OVERRIDE","1BF","BEST_DATA_DATE_OVERRIDE",TEXT(YEAR($E$4),"0000")&amp;TEXT(MONTH($E$4),"00")&amp;TEXT(DAY($E$4),"00"))</f>
        <v/>
      </c>
      <c r="F70" s="30">
        <f>_xll.BDP($A70,"BEST_SALES","BEST_FPERIOD_OVERRIDE","1BF","BEST_DATA_DATE_OVERRIDE",TEXT(YEAR($F$4),"0000")&amp;TEXT(MONTH($F$4),"00")&amp;TEXT(DAY($F$4),"00"))</f>
        <v/>
      </c>
      <c r="G70" s="22">
        <f>IFERROR(IF(AND(ISNUMBER($C70),ISNUMBER(D70),D70&lt;&gt;0),$C70/D70-1,""),"")</f>
        <v/>
      </c>
      <c r="H70" s="22">
        <f>IFERROR(IF(AND(ISNUMBER($C70),ISNUMBER(E70),E70&lt;&gt;0),$C70/E70-1,""),"")</f>
        <v/>
      </c>
      <c r="I70" s="22">
        <f>IFERROR(IF(AND(ISNUMBER($C70),ISNUMBER(F70),F70&lt;&gt;0),$C70/F70-1,""),"")</f>
        <v/>
      </c>
      <c r="K70" s="54">
        <f>_xll.BDP($A70,"BEST_EPS","BEST_FPERIOD_OVERRIDE","1BF")</f>
        <v/>
      </c>
      <c r="L70" s="54">
        <f>_xll.BDP($A70,"BEST_EPS","BEST_FPERIOD_OVERRIDE","1BF","BEST_DATA_DATE_OVERRIDE",TEXT(YEAR($D$4),"0000")&amp;TEXT(MONTH($D$4),"00")&amp;TEXT(DAY($D$4),"00"))</f>
        <v/>
      </c>
      <c r="M70" s="54">
        <f>_xll.BDP($A70,"BEST_EPS","BEST_FPERIOD_OVERRIDE","1BF","BEST_DATA_DATE_OVERRIDE",TEXT(YEAR($E$4),"0000")&amp;TEXT(MONTH($E$4),"00")&amp;TEXT(DAY($E$4),"00"))</f>
        <v/>
      </c>
      <c r="N70" s="54">
        <f>_xll.BDP($A70,"BEST_EPS","BEST_FPERIOD_OVERRIDE","1BF","BEST_DATA_DATE_OVERRIDE",TEXT(YEAR($F$4),"0000")&amp;TEXT(MONTH($F$4),"00")&amp;TEXT(DAY($F$4),"00"))</f>
        <v/>
      </c>
      <c r="O70" s="22">
        <f>IFERROR(IF(AND(ISNUMBER($K70),ISNUMBER(L70),L70&lt;&gt;0),$K70/L70-1,""),"")</f>
        <v/>
      </c>
      <c r="P70" s="22">
        <f>IFERROR(IF(AND(ISNUMBER($K70),ISNUMBER(M70),M70&lt;&gt;0),$K70/M70-1,""),"")</f>
        <v/>
      </c>
      <c r="Q70" s="22">
        <f>IFERROR(IF(AND(ISNUMBER($K70),ISNUMBER(N70),N70&lt;&gt;0),$K70/N70-1,""),"")</f>
        <v/>
      </c>
    </row>
    <row r="71">
      <c r="A71" s="19">
        <f>Tickers!$A$70</f>
        <v/>
      </c>
      <c r="C71" s="30">
        <f>_xll.BDP($A71,"BEST_SALES","BEST_FPERIOD_OVERRIDE","1BF")</f>
        <v/>
      </c>
      <c r="D71" s="30">
        <f>_xll.BDP($A71,"BEST_SALES","BEST_FPERIOD_OVERRIDE","1BF","BEST_DATA_DATE_OVERRIDE",TEXT(YEAR($D$4),"0000")&amp;TEXT(MONTH($D$4),"00")&amp;TEXT(DAY($D$4),"00"))</f>
        <v/>
      </c>
      <c r="E71" s="30">
        <f>_xll.BDP($A71,"BEST_SALES","BEST_FPERIOD_OVERRIDE","1BF","BEST_DATA_DATE_OVERRIDE",TEXT(YEAR($E$4),"0000")&amp;TEXT(MONTH($E$4),"00")&amp;TEXT(DAY($E$4),"00"))</f>
        <v/>
      </c>
      <c r="F71" s="30">
        <f>_xll.BDP($A71,"BEST_SALES","BEST_FPERIOD_OVERRIDE","1BF","BEST_DATA_DATE_OVERRIDE",TEXT(YEAR($F$4),"0000")&amp;TEXT(MONTH($F$4),"00")&amp;TEXT(DAY($F$4),"00"))</f>
        <v/>
      </c>
      <c r="G71" s="22">
        <f>IFERROR(IF(AND(ISNUMBER($C71),ISNUMBER(D71),D71&lt;&gt;0),$C71/D71-1,""),"")</f>
        <v/>
      </c>
      <c r="H71" s="22">
        <f>IFERROR(IF(AND(ISNUMBER($C71),ISNUMBER(E71),E71&lt;&gt;0),$C71/E71-1,""),"")</f>
        <v/>
      </c>
      <c r="I71" s="22">
        <f>IFERROR(IF(AND(ISNUMBER($C71),ISNUMBER(F71),F71&lt;&gt;0),$C71/F71-1,""),"")</f>
        <v/>
      </c>
      <c r="K71" s="54">
        <f>_xll.BDP($A71,"BEST_EPS","BEST_FPERIOD_OVERRIDE","1BF")</f>
        <v/>
      </c>
      <c r="L71" s="54">
        <f>_xll.BDP($A71,"BEST_EPS","BEST_FPERIOD_OVERRIDE","1BF","BEST_DATA_DATE_OVERRIDE",TEXT(YEAR($D$4),"0000")&amp;TEXT(MONTH($D$4),"00")&amp;TEXT(DAY($D$4),"00"))</f>
        <v/>
      </c>
      <c r="M71" s="54">
        <f>_xll.BDP($A71,"BEST_EPS","BEST_FPERIOD_OVERRIDE","1BF","BEST_DATA_DATE_OVERRIDE",TEXT(YEAR($E$4),"0000")&amp;TEXT(MONTH($E$4),"00")&amp;TEXT(DAY($E$4),"00"))</f>
        <v/>
      </c>
      <c r="N71" s="54">
        <f>_xll.BDP($A71,"BEST_EPS","BEST_FPERIOD_OVERRIDE","1BF","BEST_DATA_DATE_OVERRIDE",TEXT(YEAR($F$4),"0000")&amp;TEXT(MONTH($F$4),"00")&amp;TEXT(DAY($F$4),"00"))</f>
        <v/>
      </c>
      <c r="O71" s="22">
        <f>IFERROR(IF(AND(ISNUMBER($K71),ISNUMBER(L71),L71&lt;&gt;0),$K71/L71-1,""),"")</f>
        <v/>
      </c>
      <c r="P71" s="22">
        <f>IFERROR(IF(AND(ISNUMBER($K71),ISNUMBER(M71),M71&lt;&gt;0),$K71/M71-1,""),"")</f>
        <v/>
      </c>
      <c r="Q71" s="22">
        <f>IFERROR(IF(AND(ISNUMBER($K71),ISNUMBER(N71),N71&lt;&gt;0),$K71/N71-1,""),"")</f>
        <v/>
      </c>
    </row>
    <row r="72">
      <c r="A72" s="19">
        <f>Tickers!$A$71</f>
        <v/>
      </c>
      <c r="C72" s="30">
        <f>_xll.BDP($A72,"BEST_SALES","BEST_FPERIOD_OVERRIDE","1BF")</f>
        <v/>
      </c>
      <c r="D72" s="30">
        <f>_xll.BDP($A72,"BEST_SALES","BEST_FPERIOD_OVERRIDE","1BF","BEST_DATA_DATE_OVERRIDE",TEXT(YEAR($D$4),"0000")&amp;TEXT(MONTH($D$4),"00")&amp;TEXT(DAY($D$4),"00"))</f>
        <v/>
      </c>
      <c r="E72" s="30">
        <f>_xll.BDP($A72,"BEST_SALES","BEST_FPERIOD_OVERRIDE","1BF","BEST_DATA_DATE_OVERRIDE",TEXT(YEAR($E$4),"0000")&amp;TEXT(MONTH($E$4),"00")&amp;TEXT(DAY($E$4),"00"))</f>
        <v/>
      </c>
      <c r="F72" s="30">
        <f>_xll.BDP($A72,"BEST_SALES","BEST_FPERIOD_OVERRIDE","1BF","BEST_DATA_DATE_OVERRIDE",TEXT(YEAR($F$4),"0000")&amp;TEXT(MONTH($F$4),"00")&amp;TEXT(DAY($F$4),"00"))</f>
        <v/>
      </c>
      <c r="G72" s="22">
        <f>IFERROR(IF(AND(ISNUMBER($C72),ISNUMBER(D72),D72&lt;&gt;0),$C72/D72-1,""),"")</f>
        <v/>
      </c>
      <c r="H72" s="22">
        <f>IFERROR(IF(AND(ISNUMBER($C72),ISNUMBER(E72),E72&lt;&gt;0),$C72/E72-1,""),"")</f>
        <v/>
      </c>
      <c r="I72" s="22">
        <f>IFERROR(IF(AND(ISNUMBER($C72),ISNUMBER(F72),F72&lt;&gt;0),$C72/F72-1,""),"")</f>
        <v/>
      </c>
      <c r="K72" s="54">
        <f>_xll.BDP($A72,"BEST_EPS","BEST_FPERIOD_OVERRIDE","1BF")</f>
        <v/>
      </c>
      <c r="L72" s="54">
        <f>_xll.BDP($A72,"BEST_EPS","BEST_FPERIOD_OVERRIDE","1BF","BEST_DATA_DATE_OVERRIDE",TEXT(YEAR($D$4),"0000")&amp;TEXT(MONTH($D$4),"00")&amp;TEXT(DAY($D$4),"00"))</f>
        <v/>
      </c>
      <c r="M72" s="54">
        <f>_xll.BDP($A72,"BEST_EPS","BEST_FPERIOD_OVERRIDE","1BF","BEST_DATA_DATE_OVERRIDE",TEXT(YEAR($E$4),"0000")&amp;TEXT(MONTH($E$4),"00")&amp;TEXT(DAY($E$4),"00"))</f>
        <v/>
      </c>
      <c r="N72" s="54">
        <f>_xll.BDP($A72,"BEST_EPS","BEST_FPERIOD_OVERRIDE","1BF","BEST_DATA_DATE_OVERRIDE",TEXT(YEAR($F$4),"0000")&amp;TEXT(MONTH($F$4),"00")&amp;TEXT(DAY($F$4),"00"))</f>
        <v/>
      </c>
      <c r="O72" s="22">
        <f>IFERROR(IF(AND(ISNUMBER($K72),ISNUMBER(L72),L72&lt;&gt;0),$K72/L72-1,""),"")</f>
        <v/>
      </c>
      <c r="P72" s="22">
        <f>IFERROR(IF(AND(ISNUMBER($K72),ISNUMBER(M72),M72&lt;&gt;0),$K72/M72-1,""),"")</f>
        <v/>
      </c>
      <c r="Q72" s="22">
        <f>IFERROR(IF(AND(ISNUMBER($K72),ISNUMBER(N72),N72&lt;&gt;0),$K72/N72-1,""),"")</f>
        <v/>
      </c>
    </row>
    <row r="73">
      <c r="A73" s="19">
        <f>Tickers!$A$72</f>
        <v/>
      </c>
      <c r="C73" s="30">
        <f>_xll.BDP($A73,"BEST_SALES","BEST_FPERIOD_OVERRIDE","1BF")</f>
        <v/>
      </c>
      <c r="D73" s="30">
        <f>_xll.BDP($A73,"BEST_SALES","BEST_FPERIOD_OVERRIDE","1BF","BEST_DATA_DATE_OVERRIDE",TEXT(YEAR($D$4),"0000")&amp;TEXT(MONTH($D$4),"00")&amp;TEXT(DAY($D$4),"00"))</f>
        <v/>
      </c>
      <c r="E73" s="30">
        <f>_xll.BDP($A73,"BEST_SALES","BEST_FPERIOD_OVERRIDE","1BF","BEST_DATA_DATE_OVERRIDE",TEXT(YEAR($E$4),"0000")&amp;TEXT(MONTH($E$4),"00")&amp;TEXT(DAY($E$4),"00"))</f>
        <v/>
      </c>
      <c r="F73" s="30">
        <f>_xll.BDP($A73,"BEST_SALES","BEST_FPERIOD_OVERRIDE","1BF","BEST_DATA_DATE_OVERRIDE",TEXT(YEAR($F$4),"0000")&amp;TEXT(MONTH($F$4),"00")&amp;TEXT(DAY($F$4),"00"))</f>
        <v/>
      </c>
      <c r="G73" s="22">
        <f>IFERROR(IF(AND(ISNUMBER($C73),ISNUMBER(D73),D73&lt;&gt;0),$C73/D73-1,""),"")</f>
        <v/>
      </c>
      <c r="H73" s="22">
        <f>IFERROR(IF(AND(ISNUMBER($C73),ISNUMBER(E73),E73&lt;&gt;0),$C73/E73-1,""),"")</f>
        <v/>
      </c>
      <c r="I73" s="22">
        <f>IFERROR(IF(AND(ISNUMBER($C73),ISNUMBER(F73),F73&lt;&gt;0),$C73/F73-1,""),"")</f>
        <v/>
      </c>
      <c r="K73" s="54">
        <f>_xll.BDP($A73,"BEST_EPS","BEST_FPERIOD_OVERRIDE","1BF")</f>
        <v/>
      </c>
      <c r="L73" s="54">
        <f>_xll.BDP($A73,"BEST_EPS","BEST_FPERIOD_OVERRIDE","1BF","BEST_DATA_DATE_OVERRIDE",TEXT(YEAR($D$4),"0000")&amp;TEXT(MONTH($D$4),"00")&amp;TEXT(DAY($D$4),"00"))</f>
        <v/>
      </c>
      <c r="M73" s="54">
        <f>_xll.BDP($A73,"BEST_EPS","BEST_FPERIOD_OVERRIDE","1BF","BEST_DATA_DATE_OVERRIDE",TEXT(YEAR($E$4),"0000")&amp;TEXT(MONTH($E$4),"00")&amp;TEXT(DAY($E$4),"00"))</f>
        <v/>
      </c>
      <c r="N73" s="54">
        <f>_xll.BDP($A73,"BEST_EPS","BEST_FPERIOD_OVERRIDE","1BF","BEST_DATA_DATE_OVERRIDE",TEXT(YEAR($F$4),"0000")&amp;TEXT(MONTH($F$4),"00")&amp;TEXT(DAY($F$4),"00"))</f>
        <v/>
      </c>
      <c r="O73" s="22">
        <f>IFERROR(IF(AND(ISNUMBER($K73),ISNUMBER(L73),L73&lt;&gt;0),$K73/L73-1,""),"")</f>
        <v/>
      </c>
      <c r="P73" s="22">
        <f>IFERROR(IF(AND(ISNUMBER($K73),ISNUMBER(M73),M73&lt;&gt;0),$K73/M73-1,""),"")</f>
        <v/>
      </c>
      <c r="Q73" s="22">
        <f>IFERROR(IF(AND(ISNUMBER($K73),ISNUMBER(N73),N73&lt;&gt;0),$K73/N73-1,""),"")</f>
        <v/>
      </c>
    </row>
    <row r="74">
      <c r="A74" s="19">
        <f>Tickers!$A$73</f>
        <v/>
      </c>
      <c r="C74" s="30">
        <f>_xll.BDP($A74,"BEST_SALES","BEST_FPERIOD_OVERRIDE","1BF")</f>
        <v/>
      </c>
      <c r="D74" s="30">
        <f>_xll.BDP($A74,"BEST_SALES","BEST_FPERIOD_OVERRIDE","1BF","BEST_DATA_DATE_OVERRIDE",TEXT(YEAR($D$4),"0000")&amp;TEXT(MONTH($D$4),"00")&amp;TEXT(DAY($D$4),"00"))</f>
        <v/>
      </c>
      <c r="E74" s="30">
        <f>_xll.BDP($A74,"BEST_SALES","BEST_FPERIOD_OVERRIDE","1BF","BEST_DATA_DATE_OVERRIDE",TEXT(YEAR($E$4),"0000")&amp;TEXT(MONTH($E$4),"00")&amp;TEXT(DAY($E$4),"00"))</f>
        <v/>
      </c>
      <c r="F74" s="30">
        <f>_xll.BDP($A74,"BEST_SALES","BEST_FPERIOD_OVERRIDE","1BF","BEST_DATA_DATE_OVERRIDE",TEXT(YEAR($F$4),"0000")&amp;TEXT(MONTH($F$4),"00")&amp;TEXT(DAY($F$4),"00"))</f>
        <v/>
      </c>
      <c r="G74" s="22">
        <f>IFERROR(IF(AND(ISNUMBER($C74),ISNUMBER(D74),D74&lt;&gt;0),$C74/D74-1,""),"")</f>
        <v/>
      </c>
      <c r="H74" s="22">
        <f>IFERROR(IF(AND(ISNUMBER($C74),ISNUMBER(E74),E74&lt;&gt;0),$C74/E74-1,""),"")</f>
        <v/>
      </c>
      <c r="I74" s="22">
        <f>IFERROR(IF(AND(ISNUMBER($C74),ISNUMBER(F74),F74&lt;&gt;0),$C74/F74-1,""),"")</f>
        <v/>
      </c>
      <c r="K74" s="54">
        <f>_xll.BDP($A74,"BEST_EPS","BEST_FPERIOD_OVERRIDE","1BF")</f>
        <v/>
      </c>
      <c r="L74" s="54">
        <f>_xll.BDP($A74,"BEST_EPS","BEST_FPERIOD_OVERRIDE","1BF","BEST_DATA_DATE_OVERRIDE",TEXT(YEAR($D$4),"0000")&amp;TEXT(MONTH($D$4),"00")&amp;TEXT(DAY($D$4),"00"))</f>
        <v/>
      </c>
      <c r="M74" s="54">
        <f>_xll.BDP($A74,"BEST_EPS","BEST_FPERIOD_OVERRIDE","1BF","BEST_DATA_DATE_OVERRIDE",TEXT(YEAR($E$4),"0000")&amp;TEXT(MONTH($E$4),"00")&amp;TEXT(DAY($E$4),"00"))</f>
        <v/>
      </c>
      <c r="N74" s="54">
        <f>_xll.BDP($A74,"BEST_EPS","BEST_FPERIOD_OVERRIDE","1BF","BEST_DATA_DATE_OVERRIDE",TEXT(YEAR($F$4),"0000")&amp;TEXT(MONTH($F$4),"00")&amp;TEXT(DAY($F$4),"00"))</f>
        <v/>
      </c>
      <c r="O74" s="22">
        <f>IFERROR(IF(AND(ISNUMBER($K74),ISNUMBER(L74),L74&lt;&gt;0),$K74/L74-1,""),"")</f>
        <v/>
      </c>
      <c r="P74" s="22">
        <f>IFERROR(IF(AND(ISNUMBER($K74),ISNUMBER(M74),M74&lt;&gt;0),$K74/M74-1,""),"")</f>
        <v/>
      </c>
      <c r="Q74" s="22">
        <f>IFERROR(IF(AND(ISNUMBER($K74),ISNUMBER(N74),N74&lt;&gt;0),$K74/N74-1,""),"")</f>
        <v/>
      </c>
    </row>
    <row r="75">
      <c r="A75" s="19">
        <f>Tickers!$A$74</f>
        <v/>
      </c>
      <c r="C75" s="30">
        <f>_xll.BDP($A75,"BEST_SALES","BEST_FPERIOD_OVERRIDE","1BF")</f>
        <v/>
      </c>
      <c r="D75" s="30">
        <f>_xll.BDP($A75,"BEST_SALES","BEST_FPERIOD_OVERRIDE","1BF","BEST_DATA_DATE_OVERRIDE",TEXT(YEAR($D$4),"0000")&amp;TEXT(MONTH($D$4),"00")&amp;TEXT(DAY($D$4),"00"))</f>
        <v/>
      </c>
      <c r="E75" s="30">
        <f>_xll.BDP($A75,"BEST_SALES","BEST_FPERIOD_OVERRIDE","1BF","BEST_DATA_DATE_OVERRIDE",TEXT(YEAR($E$4),"0000")&amp;TEXT(MONTH($E$4),"00")&amp;TEXT(DAY($E$4),"00"))</f>
        <v/>
      </c>
      <c r="F75" s="30">
        <f>_xll.BDP($A75,"BEST_SALES","BEST_FPERIOD_OVERRIDE","1BF","BEST_DATA_DATE_OVERRIDE",TEXT(YEAR($F$4),"0000")&amp;TEXT(MONTH($F$4),"00")&amp;TEXT(DAY($F$4),"00"))</f>
        <v/>
      </c>
      <c r="G75" s="22">
        <f>IFERROR(IF(AND(ISNUMBER($C75),ISNUMBER(D75),D75&lt;&gt;0),$C75/D75-1,""),"")</f>
        <v/>
      </c>
      <c r="H75" s="22">
        <f>IFERROR(IF(AND(ISNUMBER($C75),ISNUMBER(E75),E75&lt;&gt;0),$C75/E75-1,""),"")</f>
        <v/>
      </c>
      <c r="I75" s="22">
        <f>IFERROR(IF(AND(ISNUMBER($C75),ISNUMBER(F75),F75&lt;&gt;0),$C75/F75-1,""),"")</f>
        <v/>
      </c>
      <c r="K75" s="54">
        <f>_xll.BDP($A75,"BEST_EPS","BEST_FPERIOD_OVERRIDE","1BF")</f>
        <v/>
      </c>
      <c r="L75" s="54">
        <f>_xll.BDP($A75,"BEST_EPS","BEST_FPERIOD_OVERRIDE","1BF","BEST_DATA_DATE_OVERRIDE",TEXT(YEAR($D$4),"0000")&amp;TEXT(MONTH($D$4),"00")&amp;TEXT(DAY($D$4),"00"))</f>
        <v/>
      </c>
      <c r="M75" s="54">
        <f>_xll.BDP($A75,"BEST_EPS","BEST_FPERIOD_OVERRIDE","1BF","BEST_DATA_DATE_OVERRIDE",TEXT(YEAR($E$4),"0000")&amp;TEXT(MONTH($E$4),"00")&amp;TEXT(DAY($E$4),"00"))</f>
        <v/>
      </c>
      <c r="N75" s="54">
        <f>_xll.BDP($A75,"BEST_EPS","BEST_FPERIOD_OVERRIDE","1BF","BEST_DATA_DATE_OVERRIDE",TEXT(YEAR($F$4),"0000")&amp;TEXT(MONTH($F$4),"00")&amp;TEXT(DAY($F$4),"00"))</f>
        <v/>
      </c>
      <c r="O75" s="22">
        <f>IFERROR(IF(AND(ISNUMBER($K75),ISNUMBER(L75),L75&lt;&gt;0),$K75/L75-1,""),"")</f>
        <v/>
      </c>
      <c r="P75" s="22">
        <f>IFERROR(IF(AND(ISNUMBER($K75),ISNUMBER(M75),M75&lt;&gt;0),$K75/M75-1,""),"")</f>
        <v/>
      </c>
      <c r="Q75" s="22">
        <f>IFERROR(IF(AND(ISNUMBER($K75),ISNUMBER(N75),N75&lt;&gt;0),$K75/N75-1,""),"")</f>
        <v/>
      </c>
    </row>
    <row r="76">
      <c r="A76" s="19">
        <f>Tickers!$A$75</f>
        <v/>
      </c>
      <c r="C76" s="30">
        <f>_xll.BDP($A76,"BEST_SALES","BEST_FPERIOD_OVERRIDE","1BF")</f>
        <v/>
      </c>
      <c r="D76" s="30">
        <f>_xll.BDP($A76,"BEST_SALES","BEST_FPERIOD_OVERRIDE","1BF","BEST_DATA_DATE_OVERRIDE",TEXT(YEAR($D$4),"0000")&amp;TEXT(MONTH($D$4),"00")&amp;TEXT(DAY($D$4),"00"))</f>
        <v/>
      </c>
      <c r="E76" s="30">
        <f>_xll.BDP($A76,"BEST_SALES","BEST_FPERIOD_OVERRIDE","1BF","BEST_DATA_DATE_OVERRIDE",TEXT(YEAR($E$4),"0000")&amp;TEXT(MONTH($E$4),"00")&amp;TEXT(DAY($E$4),"00"))</f>
        <v/>
      </c>
      <c r="F76" s="30">
        <f>_xll.BDP($A76,"BEST_SALES","BEST_FPERIOD_OVERRIDE","1BF","BEST_DATA_DATE_OVERRIDE",TEXT(YEAR($F$4),"0000")&amp;TEXT(MONTH($F$4),"00")&amp;TEXT(DAY($F$4),"00"))</f>
        <v/>
      </c>
      <c r="G76" s="22">
        <f>IFERROR(IF(AND(ISNUMBER($C76),ISNUMBER(D76),D76&lt;&gt;0),$C76/D76-1,""),"")</f>
        <v/>
      </c>
      <c r="H76" s="22">
        <f>IFERROR(IF(AND(ISNUMBER($C76),ISNUMBER(E76),E76&lt;&gt;0),$C76/E76-1,""),"")</f>
        <v/>
      </c>
      <c r="I76" s="22">
        <f>IFERROR(IF(AND(ISNUMBER($C76),ISNUMBER(F76),F76&lt;&gt;0),$C76/F76-1,""),"")</f>
        <v/>
      </c>
      <c r="K76" s="54">
        <f>_xll.BDP($A76,"BEST_EPS","BEST_FPERIOD_OVERRIDE","1BF")</f>
        <v/>
      </c>
      <c r="L76" s="54">
        <f>_xll.BDP($A76,"BEST_EPS","BEST_FPERIOD_OVERRIDE","1BF","BEST_DATA_DATE_OVERRIDE",TEXT(YEAR($D$4),"0000")&amp;TEXT(MONTH($D$4),"00")&amp;TEXT(DAY($D$4),"00"))</f>
        <v/>
      </c>
      <c r="M76" s="54">
        <f>_xll.BDP($A76,"BEST_EPS","BEST_FPERIOD_OVERRIDE","1BF","BEST_DATA_DATE_OVERRIDE",TEXT(YEAR($E$4),"0000")&amp;TEXT(MONTH($E$4),"00")&amp;TEXT(DAY($E$4),"00"))</f>
        <v/>
      </c>
      <c r="N76" s="54">
        <f>_xll.BDP($A76,"BEST_EPS","BEST_FPERIOD_OVERRIDE","1BF","BEST_DATA_DATE_OVERRIDE",TEXT(YEAR($F$4),"0000")&amp;TEXT(MONTH($F$4),"00")&amp;TEXT(DAY($F$4),"00"))</f>
        <v/>
      </c>
      <c r="O76" s="22">
        <f>IFERROR(IF(AND(ISNUMBER($K76),ISNUMBER(L76),L76&lt;&gt;0),$K76/L76-1,""),"")</f>
        <v/>
      </c>
      <c r="P76" s="22">
        <f>IFERROR(IF(AND(ISNUMBER($K76),ISNUMBER(M76),M76&lt;&gt;0),$K76/M76-1,""),"")</f>
        <v/>
      </c>
      <c r="Q76" s="22">
        <f>IFERROR(IF(AND(ISNUMBER($K76),ISNUMBER(N76),N76&lt;&gt;0),$K76/N76-1,""),"")</f>
        <v/>
      </c>
    </row>
    <row r="77">
      <c r="A77" s="19">
        <f>Tickers!$A$76</f>
        <v/>
      </c>
      <c r="C77" s="30">
        <f>_xll.BDP($A77,"BEST_SALES","BEST_FPERIOD_OVERRIDE","1BF")</f>
        <v/>
      </c>
      <c r="D77" s="30">
        <f>_xll.BDP($A77,"BEST_SALES","BEST_FPERIOD_OVERRIDE","1BF","BEST_DATA_DATE_OVERRIDE",TEXT(YEAR($D$4),"0000")&amp;TEXT(MONTH($D$4),"00")&amp;TEXT(DAY($D$4),"00"))</f>
        <v/>
      </c>
      <c r="E77" s="30">
        <f>_xll.BDP($A77,"BEST_SALES","BEST_FPERIOD_OVERRIDE","1BF","BEST_DATA_DATE_OVERRIDE",TEXT(YEAR($E$4),"0000")&amp;TEXT(MONTH($E$4),"00")&amp;TEXT(DAY($E$4),"00"))</f>
        <v/>
      </c>
      <c r="F77" s="30">
        <f>_xll.BDP($A77,"BEST_SALES","BEST_FPERIOD_OVERRIDE","1BF","BEST_DATA_DATE_OVERRIDE",TEXT(YEAR($F$4),"0000")&amp;TEXT(MONTH($F$4),"00")&amp;TEXT(DAY($F$4),"00"))</f>
        <v/>
      </c>
      <c r="G77" s="22">
        <f>IFERROR(IF(AND(ISNUMBER($C77),ISNUMBER(D77),D77&lt;&gt;0),$C77/D77-1,""),"")</f>
        <v/>
      </c>
      <c r="H77" s="22">
        <f>IFERROR(IF(AND(ISNUMBER($C77),ISNUMBER(E77),E77&lt;&gt;0),$C77/E77-1,""),"")</f>
        <v/>
      </c>
      <c r="I77" s="22">
        <f>IFERROR(IF(AND(ISNUMBER($C77),ISNUMBER(F77),F77&lt;&gt;0),$C77/F77-1,""),"")</f>
        <v/>
      </c>
      <c r="K77" s="54">
        <f>_xll.BDP($A77,"BEST_EPS","BEST_FPERIOD_OVERRIDE","1BF")</f>
        <v/>
      </c>
      <c r="L77" s="54">
        <f>_xll.BDP($A77,"BEST_EPS","BEST_FPERIOD_OVERRIDE","1BF","BEST_DATA_DATE_OVERRIDE",TEXT(YEAR($D$4),"0000")&amp;TEXT(MONTH($D$4),"00")&amp;TEXT(DAY($D$4),"00"))</f>
        <v/>
      </c>
      <c r="M77" s="54">
        <f>_xll.BDP($A77,"BEST_EPS","BEST_FPERIOD_OVERRIDE","1BF","BEST_DATA_DATE_OVERRIDE",TEXT(YEAR($E$4),"0000")&amp;TEXT(MONTH($E$4),"00")&amp;TEXT(DAY($E$4),"00"))</f>
        <v/>
      </c>
      <c r="N77" s="54">
        <f>_xll.BDP($A77,"BEST_EPS","BEST_FPERIOD_OVERRIDE","1BF","BEST_DATA_DATE_OVERRIDE",TEXT(YEAR($F$4),"0000")&amp;TEXT(MONTH($F$4),"00")&amp;TEXT(DAY($F$4),"00"))</f>
        <v/>
      </c>
      <c r="O77" s="22">
        <f>IFERROR(IF(AND(ISNUMBER($K77),ISNUMBER(L77),L77&lt;&gt;0),$K77/L77-1,""),"")</f>
        <v/>
      </c>
      <c r="P77" s="22">
        <f>IFERROR(IF(AND(ISNUMBER($K77),ISNUMBER(M77),M77&lt;&gt;0),$K77/M77-1,""),"")</f>
        <v/>
      </c>
      <c r="Q77" s="22">
        <f>IFERROR(IF(AND(ISNUMBER($K77),ISNUMBER(N77),N77&lt;&gt;0),$K77/N77-1,""),"")</f>
        <v/>
      </c>
    </row>
    <row r="78">
      <c r="A78" s="19">
        <f>Tickers!$A$77</f>
        <v/>
      </c>
      <c r="C78" s="30">
        <f>_xll.BDP($A78,"BEST_SALES","BEST_FPERIOD_OVERRIDE","1BF")</f>
        <v/>
      </c>
      <c r="D78" s="30">
        <f>_xll.BDP($A78,"BEST_SALES","BEST_FPERIOD_OVERRIDE","1BF","BEST_DATA_DATE_OVERRIDE",TEXT(YEAR($D$4),"0000")&amp;TEXT(MONTH($D$4),"00")&amp;TEXT(DAY($D$4),"00"))</f>
        <v/>
      </c>
      <c r="E78" s="30">
        <f>_xll.BDP($A78,"BEST_SALES","BEST_FPERIOD_OVERRIDE","1BF","BEST_DATA_DATE_OVERRIDE",TEXT(YEAR($E$4),"0000")&amp;TEXT(MONTH($E$4),"00")&amp;TEXT(DAY($E$4),"00"))</f>
        <v/>
      </c>
      <c r="F78" s="30">
        <f>_xll.BDP($A78,"BEST_SALES","BEST_FPERIOD_OVERRIDE","1BF","BEST_DATA_DATE_OVERRIDE",TEXT(YEAR($F$4),"0000")&amp;TEXT(MONTH($F$4),"00")&amp;TEXT(DAY($F$4),"00"))</f>
        <v/>
      </c>
      <c r="G78" s="22">
        <f>IFERROR(IF(AND(ISNUMBER($C78),ISNUMBER(D78),D78&lt;&gt;0),$C78/D78-1,""),"")</f>
        <v/>
      </c>
      <c r="H78" s="22">
        <f>IFERROR(IF(AND(ISNUMBER($C78),ISNUMBER(E78),E78&lt;&gt;0),$C78/E78-1,""),"")</f>
        <v/>
      </c>
      <c r="I78" s="22">
        <f>IFERROR(IF(AND(ISNUMBER($C78),ISNUMBER(F78),F78&lt;&gt;0),$C78/F78-1,""),"")</f>
        <v/>
      </c>
      <c r="K78" s="54">
        <f>_xll.BDP($A78,"BEST_EPS","BEST_FPERIOD_OVERRIDE","1BF")</f>
        <v/>
      </c>
      <c r="L78" s="54">
        <f>_xll.BDP($A78,"BEST_EPS","BEST_FPERIOD_OVERRIDE","1BF","BEST_DATA_DATE_OVERRIDE",TEXT(YEAR($D$4),"0000")&amp;TEXT(MONTH($D$4),"00")&amp;TEXT(DAY($D$4),"00"))</f>
        <v/>
      </c>
      <c r="M78" s="54">
        <f>_xll.BDP($A78,"BEST_EPS","BEST_FPERIOD_OVERRIDE","1BF","BEST_DATA_DATE_OVERRIDE",TEXT(YEAR($E$4),"0000")&amp;TEXT(MONTH($E$4),"00")&amp;TEXT(DAY($E$4),"00"))</f>
        <v/>
      </c>
      <c r="N78" s="54">
        <f>_xll.BDP($A78,"BEST_EPS","BEST_FPERIOD_OVERRIDE","1BF","BEST_DATA_DATE_OVERRIDE",TEXT(YEAR($F$4),"0000")&amp;TEXT(MONTH($F$4),"00")&amp;TEXT(DAY($F$4),"00"))</f>
        <v/>
      </c>
      <c r="O78" s="22">
        <f>IFERROR(IF(AND(ISNUMBER($K78),ISNUMBER(L78),L78&lt;&gt;0),$K78/L78-1,""),"")</f>
        <v/>
      </c>
      <c r="P78" s="22">
        <f>IFERROR(IF(AND(ISNUMBER($K78),ISNUMBER(M78),M78&lt;&gt;0),$K78/M78-1,""),"")</f>
        <v/>
      </c>
      <c r="Q78" s="22">
        <f>IFERROR(IF(AND(ISNUMBER($K78),ISNUMBER(N78),N78&lt;&gt;0),$K78/N78-1,""),"")</f>
        <v/>
      </c>
    </row>
    <row r="79">
      <c r="A79" s="19">
        <f>Tickers!$A$78</f>
        <v/>
      </c>
      <c r="C79" s="30">
        <f>_xll.BDP($A79,"BEST_SALES","BEST_FPERIOD_OVERRIDE","1BF")</f>
        <v/>
      </c>
      <c r="D79" s="30">
        <f>_xll.BDP($A79,"BEST_SALES","BEST_FPERIOD_OVERRIDE","1BF","BEST_DATA_DATE_OVERRIDE",TEXT(YEAR($D$4),"0000")&amp;TEXT(MONTH($D$4),"00")&amp;TEXT(DAY($D$4),"00"))</f>
        <v/>
      </c>
      <c r="E79" s="30">
        <f>_xll.BDP($A79,"BEST_SALES","BEST_FPERIOD_OVERRIDE","1BF","BEST_DATA_DATE_OVERRIDE",TEXT(YEAR($E$4),"0000")&amp;TEXT(MONTH($E$4),"00")&amp;TEXT(DAY($E$4),"00"))</f>
        <v/>
      </c>
      <c r="F79" s="30">
        <f>_xll.BDP($A79,"BEST_SALES","BEST_FPERIOD_OVERRIDE","1BF","BEST_DATA_DATE_OVERRIDE",TEXT(YEAR($F$4),"0000")&amp;TEXT(MONTH($F$4),"00")&amp;TEXT(DAY($F$4),"00"))</f>
        <v/>
      </c>
      <c r="G79" s="22">
        <f>IFERROR(IF(AND(ISNUMBER($C79),ISNUMBER(D79),D79&lt;&gt;0),$C79/D79-1,""),"")</f>
        <v/>
      </c>
      <c r="H79" s="22">
        <f>IFERROR(IF(AND(ISNUMBER($C79),ISNUMBER(E79),E79&lt;&gt;0),$C79/E79-1,""),"")</f>
        <v/>
      </c>
      <c r="I79" s="22">
        <f>IFERROR(IF(AND(ISNUMBER($C79),ISNUMBER(F79),F79&lt;&gt;0),$C79/F79-1,""),"")</f>
        <v/>
      </c>
      <c r="K79" s="54">
        <f>_xll.BDP($A79,"BEST_EPS","BEST_FPERIOD_OVERRIDE","1BF")</f>
        <v/>
      </c>
      <c r="L79" s="54">
        <f>_xll.BDP($A79,"BEST_EPS","BEST_FPERIOD_OVERRIDE","1BF","BEST_DATA_DATE_OVERRIDE",TEXT(YEAR($D$4),"0000")&amp;TEXT(MONTH($D$4),"00")&amp;TEXT(DAY($D$4),"00"))</f>
        <v/>
      </c>
      <c r="M79" s="54">
        <f>_xll.BDP($A79,"BEST_EPS","BEST_FPERIOD_OVERRIDE","1BF","BEST_DATA_DATE_OVERRIDE",TEXT(YEAR($E$4),"0000")&amp;TEXT(MONTH($E$4),"00")&amp;TEXT(DAY($E$4),"00"))</f>
        <v/>
      </c>
      <c r="N79" s="54">
        <f>_xll.BDP($A79,"BEST_EPS","BEST_FPERIOD_OVERRIDE","1BF","BEST_DATA_DATE_OVERRIDE",TEXT(YEAR($F$4),"0000")&amp;TEXT(MONTH($F$4),"00")&amp;TEXT(DAY($F$4),"00"))</f>
        <v/>
      </c>
      <c r="O79" s="22">
        <f>IFERROR(IF(AND(ISNUMBER($K79),ISNUMBER(L79),L79&lt;&gt;0),$K79/L79-1,""),"")</f>
        <v/>
      </c>
      <c r="P79" s="22">
        <f>IFERROR(IF(AND(ISNUMBER($K79),ISNUMBER(M79),M79&lt;&gt;0),$K79/M79-1,""),"")</f>
        <v/>
      </c>
      <c r="Q79" s="22">
        <f>IFERROR(IF(AND(ISNUMBER($K79),ISNUMBER(N79),N79&lt;&gt;0),$K79/N79-1,""),"")</f>
        <v/>
      </c>
    </row>
    <row r="80">
      <c r="A80" s="19">
        <f>Tickers!$A$79</f>
        <v/>
      </c>
      <c r="C80" s="30">
        <f>_xll.BDP($A80,"BEST_SALES","BEST_FPERIOD_OVERRIDE","1BF")</f>
        <v/>
      </c>
      <c r="D80" s="30">
        <f>_xll.BDP($A80,"BEST_SALES","BEST_FPERIOD_OVERRIDE","1BF","BEST_DATA_DATE_OVERRIDE",TEXT(YEAR($D$4),"0000")&amp;TEXT(MONTH($D$4),"00")&amp;TEXT(DAY($D$4),"00"))</f>
        <v/>
      </c>
      <c r="E80" s="30">
        <f>_xll.BDP($A80,"BEST_SALES","BEST_FPERIOD_OVERRIDE","1BF","BEST_DATA_DATE_OVERRIDE",TEXT(YEAR($E$4),"0000")&amp;TEXT(MONTH($E$4),"00")&amp;TEXT(DAY($E$4),"00"))</f>
        <v/>
      </c>
      <c r="F80" s="30">
        <f>_xll.BDP($A80,"BEST_SALES","BEST_FPERIOD_OVERRIDE","1BF","BEST_DATA_DATE_OVERRIDE",TEXT(YEAR($F$4),"0000")&amp;TEXT(MONTH($F$4),"00")&amp;TEXT(DAY($F$4),"00"))</f>
        <v/>
      </c>
      <c r="G80" s="22">
        <f>IFERROR(IF(AND(ISNUMBER($C80),ISNUMBER(D80),D80&lt;&gt;0),$C80/D80-1,""),"")</f>
        <v/>
      </c>
      <c r="H80" s="22">
        <f>IFERROR(IF(AND(ISNUMBER($C80),ISNUMBER(E80),E80&lt;&gt;0),$C80/E80-1,""),"")</f>
        <v/>
      </c>
      <c r="I80" s="22">
        <f>IFERROR(IF(AND(ISNUMBER($C80),ISNUMBER(F80),F80&lt;&gt;0),$C80/F80-1,""),"")</f>
        <v/>
      </c>
      <c r="K80" s="54">
        <f>_xll.BDP($A80,"BEST_EPS","BEST_FPERIOD_OVERRIDE","1BF")</f>
        <v/>
      </c>
      <c r="L80" s="54">
        <f>_xll.BDP($A80,"BEST_EPS","BEST_FPERIOD_OVERRIDE","1BF","BEST_DATA_DATE_OVERRIDE",TEXT(YEAR($D$4),"0000")&amp;TEXT(MONTH($D$4),"00")&amp;TEXT(DAY($D$4),"00"))</f>
        <v/>
      </c>
      <c r="M80" s="54">
        <f>_xll.BDP($A80,"BEST_EPS","BEST_FPERIOD_OVERRIDE","1BF","BEST_DATA_DATE_OVERRIDE",TEXT(YEAR($E$4),"0000")&amp;TEXT(MONTH($E$4),"00")&amp;TEXT(DAY($E$4),"00"))</f>
        <v/>
      </c>
      <c r="N80" s="54">
        <f>_xll.BDP($A80,"BEST_EPS","BEST_FPERIOD_OVERRIDE","1BF","BEST_DATA_DATE_OVERRIDE",TEXT(YEAR($F$4),"0000")&amp;TEXT(MONTH($F$4),"00")&amp;TEXT(DAY($F$4),"00"))</f>
        <v/>
      </c>
      <c r="O80" s="22">
        <f>IFERROR(IF(AND(ISNUMBER($K80),ISNUMBER(L80),L80&lt;&gt;0),$K80/L80-1,""),"")</f>
        <v/>
      </c>
      <c r="P80" s="22">
        <f>IFERROR(IF(AND(ISNUMBER($K80),ISNUMBER(M80),M80&lt;&gt;0),$K80/M80-1,""),"")</f>
        <v/>
      </c>
      <c r="Q80" s="22">
        <f>IFERROR(IF(AND(ISNUMBER($K80),ISNUMBER(N80),N80&lt;&gt;0),$K80/N80-1,""),"")</f>
        <v/>
      </c>
    </row>
    <row r="81">
      <c r="A81" s="19">
        <f>Tickers!$A$80</f>
        <v/>
      </c>
      <c r="C81" s="30">
        <f>_xll.BDP($A81,"BEST_SALES","BEST_FPERIOD_OVERRIDE","1BF")</f>
        <v/>
      </c>
      <c r="D81" s="30">
        <f>_xll.BDP($A81,"BEST_SALES","BEST_FPERIOD_OVERRIDE","1BF","BEST_DATA_DATE_OVERRIDE",TEXT(YEAR($D$4),"0000")&amp;TEXT(MONTH($D$4),"00")&amp;TEXT(DAY($D$4),"00"))</f>
        <v/>
      </c>
      <c r="E81" s="30">
        <f>_xll.BDP($A81,"BEST_SALES","BEST_FPERIOD_OVERRIDE","1BF","BEST_DATA_DATE_OVERRIDE",TEXT(YEAR($E$4),"0000")&amp;TEXT(MONTH($E$4),"00")&amp;TEXT(DAY($E$4),"00"))</f>
        <v/>
      </c>
      <c r="F81" s="30">
        <f>_xll.BDP($A81,"BEST_SALES","BEST_FPERIOD_OVERRIDE","1BF","BEST_DATA_DATE_OVERRIDE",TEXT(YEAR($F$4),"0000")&amp;TEXT(MONTH($F$4),"00")&amp;TEXT(DAY($F$4),"00"))</f>
        <v/>
      </c>
      <c r="G81" s="22">
        <f>IFERROR(IF(AND(ISNUMBER($C81),ISNUMBER(D81),D81&lt;&gt;0),$C81/D81-1,""),"")</f>
        <v/>
      </c>
      <c r="H81" s="22">
        <f>IFERROR(IF(AND(ISNUMBER($C81),ISNUMBER(E81),E81&lt;&gt;0),$C81/E81-1,""),"")</f>
        <v/>
      </c>
      <c r="I81" s="22">
        <f>IFERROR(IF(AND(ISNUMBER($C81),ISNUMBER(F81),F81&lt;&gt;0),$C81/F81-1,""),"")</f>
        <v/>
      </c>
      <c r="K81" s="54">
        <f>_xll.BDP($A81,"BEST_EPS","BEST_FPERIOD_OVERRIDE","1BF")</f>
        <v/>
      </c>
      <c r="L81" s="54">
        <f>_xll.BDP($A81,"BEST_EPS","BEST_FPERIOD_OVERRIDE","1BF","BEST_DATA_DATE_OVERRIDE",TEXT(YEAR($D$4),"0000")&amp;TEXT(MONTH($D$4),"00")&amp;TEXT(DAY($D$4),"00"))</f>
        <v/>
      </c>
      <c r="M81" s="54">
        <f>_xll.BDP($A81,"BEST_EPS","BEST_FPERIOD_OVERRIDE","1BF","BEST_DATA_DATE_OVERRIDE",TEXT(YEAR($E$4),"0000")&amp;TEXT(MONTH($E$4),"00")&amp;TEXT(DAY($E$4),"00"))</f>
        <v/>
      </c>
      <c r="N81" s="54">
        <f>_xll.BDP($A81,"BEST_EPS","BEST_FPERIOD_OVERRIDE","1BF","BEST_DATA_DATE_OVERRIDE",TEXT(YEAR($F$4),"0000")&amp;TEXT(MONTH($F$4),"00")&amp;TEXT(DAY($F$4),"00"))</f>
        <v/>
      </c>
      <c r="O81" s="22">
        <f>IFERROR(IF(AND(ISNUMBER($K81),ISNUMBER(L81),L81&lt;&gt;0),$K81/L81-1,""),"")</f>
        <v/>
      </c>
      <c r="P81" s="22">
        <f>IFERROR(IF(AND(ISNUMBER($K81),ISNUMBER(M81),M81&lt;&gt;0),$K81/M81-1,""),"")</f>
        <v/>
      </c>
      <c r="Q81" s="22">
        <f>IFERROR(IF(AND(ISNUMBER($K81),ISNUMBER(N81),N81&lt;&gt;0),$K81/N81-1,""),"")</f>
        <v/>
      </c>
    </row>
    <row r="82">
      <c r="A82" s="19">
        <f>Tickers!$A$81</f>
        <v/>
      </c>
      <c r="C82" s="30">
        <f>_xll.BDP($A82,"BEST_SALES","BEST_FPERIOD_OVERRIDE","1BF")</f>
        <v/>
      </c>
      <c r="D82" s="30">
        <f>_xll.BDP($A82,"BEST_SALES","BEST_FPERIOD_OVERRIDE","1BF","BEST_DATA_DATE_OVERRIDE",TEXT(YEAR($D$4),"0000")&amp;TEXT(MONTH($D$4),"00")&amp;TEXT(DAY($D$4),"00"))</f>
        <v/>
      </c>
      <c r="E82" s="30">
        <f>_xll.BDP($A82,"BEST_SALES","BEST_FPERIOD_OVERRIDE","1BF","BEST_DATA_DATE_OVERRIDE",TEXT(YEAR($E$4),"0000")&amp;TEXT(MONTH($E$4),"00")&amp;TEXT(DAY($E$4),"00"))</f>
        <v/>
      </c>
      <c r="F82" s="30">
        <f>_xll.BDP($A82,"BEST_SALES","BEST_FPERIOD_OVERRIDE","1BF","BEST_DATA_DATE_OVERRIDE",TEXT(YEAR($F$4),"0000")&amp;TEXT(MONTH($F$4),"00")&amp;TEXT(DAY($F$4),"00"))</f>
        <v/>
      </c>
      <c r="G82" s="22">
        <f>IFERROR(IF(AND(ISNUMBER($C82),ISNUMBER(D82),D82&lt;&gt;0),$C82/D82-1,""),"")</f>
        <v/>
      </c>
      <c r="H82" s="22">
        <f>IFERROR(IF(AND(ISNUMBER($C82),ISNUMBER(E82),E82&lt;&gt;0),$C82/E82-1,""),"")</f>
        <v/>
      </c>
      <c r="I82" s="22">
        <f>IFERROR(IF(AND(ISNUMBER($C82),ISNUMBER(F82),F82&lt;&gt;0),$C82/F82-1,""),"")</f>
        <v/>
      </c>
      <c r="K82" s="54">
        <f>_xll.BDP($A82,"BEST_EPS","BEST_FPERIOD_OVERRIDE","1BF")</f>
        <v/>
      </c>
      <c r="L82" s="54">
        <f>_xll.BDP($A82,"BEST_EPS","BEST_FPERIOD_OVERRIDE","1BF","BEST_DATA_DATE_OVERRIDE",TEXT(YEAR($D$4),"0000")&amp;TEXT(MONTH($D$4),"00")&amp;TEXT(DAY($D$4),"00"))</f>
        <v/>
      </c>
      <c r="M82" s="54">
        <f>_xll.BDP($A82,"BEST_EPS","BEST_FPERIOD_OVERRIDE","1BF","BEST_DATA_DATE_OVERRIDE",TEXT(YEAR($E$4),"0000")&amp;TEXT(MONTH($E$4),"00")&amp;TEXT(DAY($E$4),"00"))</f>
        <v/>
      </c>
      <c r="N82" s="54">
        <f>_xll.BDP($A82,"BEST_EPS","BEST_FPERIOD_OVERRIDE","1BF","BEST_DATA_DATE_OVERRIDE",TEXT(YEAR($F$4),"0000")&amp;TEXT(MONTH($F$4),"00")&amp;TEXT(DAY($F$4),"00"))</f>
        <v/>
      </c>
      <c r="O82" s="22">
        <f>IFERROR(IF(AND(ISNUMBER($K82),ISNUMBER(L82),L82&lt;&gt;0),$K82/L82-1,""),"")</f>
        <v/>
      </c>
      <c r="P82" s="22">
        <f>IFERROR(IF(AND(ISNUMBER($K82),ISNUMBER(M82),M82&lt;&gt;0),$K82/M82-1,""),"")</f>
        <v/>
      </c>
      <c r="Q82" s="22">
        <f>IFERROR(IF(AND(ISNUMBER($K82),ISNUMBER(N82),N82&lt;&gt;0),$K82/N82-1,""),"")</f>
        <v/>
      </c>
    </row>
    <row r="83">
      <c r="A83" s="19">
        <f>Tickers!$A$82</f>
        <v/>
      </c>
      <c r="C83" s="30">
        <f>_xll.BDP($A83,"BEST_SALES","BEST_FPERIOD_OVERRIDE","1BF")</f>
        <v/>
      </c>
      <c r="D83" s="30">
        <f>_xll.BDP($A83,"BEST_SALES","BEST_FPERIOD_OVERRIDE","1BF","BEST_DATA_DATE_OVERRIDE",TEXT(YEAR($D$4),"0000")&amp;TEXT(MONTH($D$4),"00")&amp;TEXT(DAY($D$4),"00"))</f>
        <v/>
      </c>
      <c r="E83" s="30">
        <f>_xll.BDP($A83,"BEST_SALES","BEST_FPERIOD_OVERRIDE","1BF","BEST_DATA_DATE_OVERRIDE",TEXT(YEAR($E$4),"0000")&amp;TEXT(MONTH($E$4),"00")&amp;TEXT(DAY($E$4),"00"))</f>
        <v/>
      </c>
      <c r="F83" s="30">
        <f>_xll.BDP($A83,"BEST_SALES","BEST_FPERIOD_OVERRIDE","1BF","BEST_DATA_DATE_OVERRIDE",TEXT(YEAR($F$4),"0000")&amp;TEXT(MONTH($F$4),"00")&amp;TEXT(DAY($F$4),"00"))</f>
        <v/>
      </c>
      <c r="G83" s="22">
        <f>IFERROR(IF(AND(ISNUMBER($C83),ISNUMBER(D83),D83&lt;&gt;0),$C83/D83-1,""),"")</f>
        <v/>
      </c>
      <c r="H83" s="22">
        <f>IFERROR(IF(AND(ISNUMBER($C83),ISNUMBER(E83),E83&lt;&gt;0),$C83/E83-1,""),"")</f>
        <v/>
      </c>
      <c r="I83" s="22">
        <f>IFERROR(IF(AND(ISNUMBER($C83),ISNUMBER(F83),F83&lt;&gt;0),$C83/F83-1,""),"")</f>
        <v/>
      </c>
      <c r="K83" s="54">
        <f>_xll.BDP($A83,"BEST_EPS","BEST_FPERIOD_OVERRIDE","1BF")</f>
        <v/>
      </c>
      <c r="L83" s="54">
        <f>_xll.BDP($A83,"BEST_EPS","BEST_FPERIOD_OVERRIDE","1BF","BEST_DATA_DATE_OVERRIDE",TEXT(YEAR($D$4),"0000")&amp;TEXT(MONTH($D$4),"00")&amp;TEXT(DAY($D$4),"00"))</f>
        <v/>
      </c>
      <c r="M83" s="54">
        <f>_xll.BDP($A83,"BEST_EPS","BEST_FPERIOD_OVERRIDE","1BF","BEST_DATA_DATE_OVERRIDE",TEXT(YEAR($E$4),"0000")&amp;TEXT(MONTH($E$4),"00")&amp;TEXT(DAY($E$4),"00"))</f>
        <v/>
      </c>
      <c r="N83" s="54">
        <f>_xll.BDP($A83,"BEST_EPS","BEST_FPERIOD_OVERRIDE","1BF","BEST_DATA_DATE_OVERRIDE",TEXT(YEAR($F$4),"0000")&amp;TEXT(MONTH($F$4),"00")&amp;TEXT(DAY($F$4),"00"))</f>
        <v/>
      </c>
      <c r="O83" s="22">
        <f>IFERROR(IF(AND(ISNUMBER($K83),ISNUMBER(L83),L83&lt;&gt;0),$K83/L83-1,""),"")</f>
        <v/>
      </c>
      <c r="P83" s="22">
        <f>IFERROR(IF(AND(ISNUMBER($K83),ISNUMBER(M83),M83&lt;&gt;0),$K83/M83-1,""),"")</f>
        <v/>
      </c>
      <c r="Q83" s="22">
        <f>IFERROR(IF(AND(ISNUMBER($K83),ISNUMBER(N83),N83&lt;&gt;0),$K83/N83-1,""),"")</f>
        <v/>
      </c>
    </row>
    <row r="84">
      <c r="A84" s="19">
        <f>Tickers!$A$83</f>
        <v/>
      </c>
      <c r="C84" s="30">
        <f>_xll.BDP($A84,"BEST_SALES","BEST_FPERIOD_OVERRIDE","1BF")</f>
        <v/>
      </c>
      <c r="D84" s="30">
        <f>_xll.BDP($A84,"BEST_SALES","BEST_FPERIOD_OVERRIDE","1BF","BEST_DATA_DATE_OVERRIDE",TEXT(YEAR($D$4),"0000")&amp;TEXT(MONTH($D$4),"00")&amp;TEXT(DAY($D$4),"00"))</f>
        <v/>
      </c>
      <c r="E84" s="30">
        <f>_xll.BDP($A84,"BEST_SALES","BEST_FPERIOD_OVERRIDE","1BF","BEST_DATA_DATE_OVERRIDE",TEXT(YEAR($E$4),"0000")&amp;TEXT(MONTH($E$4),"00")&amp;TEXT(DAY($E$4),"00"))</f>
        <v/>
      </c>
      <c r="F84" s="30">
        <f>_xll.BDP($A84,"BEST_SALES","BEST_FPERIOD_OVERRIDE","1BF","BEST_DATA_DATE_OVERRIDE",TEXT(YEAR($F$4),"0000")&amp;TEXT(MONTH($F$4),"00")&amp;TEXT(DAY($F$4),"00"))</f>
        <v/>
      </c>
      <c r="G84" s="22">
        <f>IFERROR(IF(AND(ISNUMBER($C84),ISNUMBER(D84),D84&lt;&gt;0),$C84/D84-1,""),"")</f>
        <v/>
      </c>
      <c r="H84" s="22">
        <f>IFERROR(IF(AND(ISNUMBER($C84),ISNUMBER(E84),E84&lt;&gt;0),$C84/E84-1,""),"")</f>
        <v/>
      </c>
      <c r="I84" s="22">
        <f>IFERROR(IF(AND(ISNUMBER($C84),ISNUMBER(F84),F84&lt;&gt;0),$C84/F84-1,""),"")</f>
        <v/>
      </c>
      <c r="K84" s="54">
        <f>_xll.BDP($A84,"BEST_EPS","BEST_FPERIOD_OVERRIDE","1BF")</f>
        <v/>
      </c>
      <c r="L84" s="54">
        <f>_xll.BDP($A84,"BEST_EPS","BEST_FPERIOD_OVERRIDE","1BF","BEST_DATA_DATE_OVERRIDE",TEXT(YEAR($D$4),"0000")&amp;TEXT(MONTH($D$4),"00")&amp;TEXT(DAY($D$4),"00"))</f>
        <v/>
      </c>
      <c r="M84" s="54">
        <f>_xll.BDP($A84,"BEST_EPS","BEST_FPERIOD_OVERRIDE","1BF","BEST_DATA_DATE_OVERRIDE",TEXT(YEAR($E$4),"0000")&amp;TEXT(MONTH($E$4),"00")&amp;TEXT(DAY($E$4),"00"))</f>
        <v/>
      </c>
      <c r="N84" s="54">
        <f>_xll.BDP($A84,"BEST_EPS","BEST_FPERIOD_OVERRIDE","1BF","BEST_DATA_DATE_OVERRIDE",TEXT(YEAR($F$4),"0000")&amp;TEXT(MONTH($F$4),"00")&amp;TEXT(DAY($F$4),"00"))</f>
        <v/>
      </c>
      <c r="O84" s="22">
        <f>IFERROR(IF(AND(ISNUMBER($K84),ISNUMBER(L84),L84&lt;&gt;0),$K84/L84-1,""),"")</f>
        <v/>
      </c>
      <c r="P84" s="22">
        <f>IFERROR(IF(AND(ISNUMBER($K84),ISNUMBER(M84),M84&lt;&gt;0),$K84/M84-1,""),"")</f>
        <v/>
      </c>
      <c r="Q84" s="22">
        <f>IFERROR(IF(AND(ISNUMBER($K84),ISNUMBER(N84),N84&lt;&gt;0),$K84/N84-1,""),"")</f>
        <v/>
      </c>
    </row>
    <row r="85">
      <c r="A85" s="19">
        <f>Tickers!$A$84</f>
        <v/>
      </c>
      <c r="C85" s="30">
        <f>_xll.BDP($A85,"BEST_SALES","BEST_FPERIOD_OVERRIDE","1BF")</f>
        <v/>
      </c>
      <c r="D85" s="30">
        <f>_xll.BDP($A85,"BEST_SALES","BEST_FPERIOD_OVERRIDE","1BF","BEST_DATA_DATE_OVERRIDE",TEXT(YEAR($D$4),"0000")&amp;TEXT(MONTH($D$4),"00")&amp;TEXT(DAY($D$4),"00"))</f>
        <v/>
      </c>
      <c r="E85" s="30">
        <f>_xll.BDP($A85,"BEST_SALES","BEST_FPERIOD_OVERRIDE","1BF","BEST_DATA_DATE_OVERRIDE",TEXT(YEAR($E$4),"0000")&amp;TEXT(MONTH($E$4),"00")&amp;TEXT(DAY($E$4),"00"))</f>
        <v/>
      </c>
      <c r="F85" s="30">
        <f>_xll.BDP($A85,"BEST_SALES","BEST_FPERIOD_OVERRIDE","1BF","BEST_DATA_DATE_OVERRIDE",TEXT(YEAR($F$4),"0000")&amp;TEXT(MONTH($F$4),"00")&amp;TEXT(DAY($F$4),"00"))</f>
        <v/>
      </c>
      <c r="G85" s="22">
        <f>IFERROR(IF(AND(ISNUMBER($C85),ISNUMBER(D85),D85&lt;&gt;0),$C85/D85-1,""),"")</f>
        <v/>
      </c>
      <c r="H85" s="22">
        <f>IFERROR(IF(AND(ISNUMBER($C85),ISNUMBER(E85),E85&lt;&gt;0),$C85/E85-1,""),"")</f>
        <v/>
      </c>
      <c r="I85" s="22">
        <f>IFERROR(IF(AND(ISNUMBER($C85),ISNUMBER(F85),F85&lt;&gt;0),$C85/F85-1,""),"")</f>
        <v/>
      </c>
      <c r="K85" s="54">
        <f>_xll.BDP($A85,"BEST_EPS","BEST_FPERIOD_OVERRIDE","1BF")</f>
        <v/>
      </c>
      <c r="L85" s="54">
        <f>_xll.BDP($A85,"BEST_EPS","BEST_FPERIOD_OVERRIDE","1BF","BEST_DATA_DATE_OVERRIDE",TEXT(YEAR($D$4),"0000")&amp;TEXT(MONTH($D$4),"00")&amp;TEXT(DAY($D$4),"00"))</f>
        <v/>
      </c>
      <c r="M85" s="54">
        <f>_xll.BDP($A85,"BEST_EPS","BEST_FPERIOD_OVERRIDE","1BF","BEST_DATA_DATE_OVERRIDE",TEXT(YEAR($E$4),"0000")&amp;TEXT(MONTH($E$4),"00")&amp;TEXT(DAY($E$4),"00"))</f>
        <v/>
      </c>
      <c r="N85" s="54">
        <f>_xll.BDP($A85,"BEST_EPS","BEST_FPERIOD_OVERRIDE","1BF","BEST_DATA_DATE_OVERRIDE",TEXT(YEAR($F$4),"0000")&amp;TEXT(MONTH($F$4),"00")&amp;TEXT(DAY($F$4),"00"))</f>
        <v/>
      </c>
      <c r="O85" s="22">
        <f>IFERROR(IF(AND(ISNUMBER($K85),ISNUMBER(L85),L85&lt;&gt;0),$K85/L85-1,""),"")</f>
        <v/>
      </c>
      <c r="P85" s="22">
        <f>IFERROR(IF(AND(ISNUMBER($K85),ISNUMBER(M85),M85&lt;&gt;0),$K85/M85-1,""),"")</f>
        <v/>
      </c>
      <c r="Q85" s="22">
        <f>IFERROR(IF(AND(ISNUMBER($K85),ISNUMBER(N85),N85&lt;&gt;0),$K85/N85-1,""),"")</f>
        <v/>
      </c>
    </row>
    <row r="86">
      <c r="A86" s="19">
        <f>Tickers!$A$85</f>
        <v/>
      </c>
      <c r="C86" s="30">
        <f>_xll.BDP($A86,"BEST_SALES","BEST_FPERIOD_OVERRIDE","1BF")</f>
        <v/>
      </c>
      <c r="D86" s="30">
        <f>_xll.BDP($A86,"BEST_SALES","BEST_FPERIOD_OVERRIDE","1BF","BEST_DATA_DATE_OVERRIDE",TEXT(YEAR($D$4),"0000")&amp;TEXT(MONTH($D$4),"00")&amp;TEXT(DAY($D$4),"00"))</f>
        <v/>
      </c>
      <c r="E86" s="30">
        <f>_xll.BDP($A86,"BEST_SALES","BEST_FPERIOD_OVERRIDE","1BF","BEST_DATA_DATE_OVERRIDE",TEXT(YEAR($E$4),"0000")&amp;TEXT(MONTH($E$4),"00")&amp;TEXT(DAY($E$4),"00"))</f>
        <v/>
      </c>
      <c r="F86" s="30">
        <f>_xll.BDP($A86,"BEST_SALES","BEST_FPERIOD_OVERRIDE","1BF","BEST_DATA_DATE_OVERRIDE",TEXT(YEAR($F$4),"0000")&amp;TEXT(MONTH($F$4),"00")&amp;TEXT(DAY($F$4),"00"))</f>
        <v/>
      </c>
      <c r="G86" s="22">
        <f>IFERROR(IF(AND(ISNUMBER($C86),ISNUMBER(D86),D86&lt;&gt;0),$C86/D86-1,""),"")</f>
        <v/>
      </c>
      <c r="H86" s="22">
        <f>IFERROR(IF(AND(ISNUMBER($C86),ISNUMBER(E86),E86&lt;&gt;0),$C86/E86-1,""),"")</f>
        <v/>
      </c>
      <c r="I86" s="22">
        <f>IFERROR(IF(AND(ISNUMBER($C86),ISNUMBER(F86),F86&lt;&gt;0),$C86/F86-1,""),"")</f>
        <v/>
      </c>
      <c r="K86" s="54">
        <f>_xll.BDP($A86,"BEST_EPS","BEST_FPERIOD_OVERRIDE","1BF")</f>
        <v/>
      </c>
      <c r="L86" s="54">
        <f>_xll.BDP($A86,"BEST_EPS","BEST_FPERIOD_OVERRIDE","1BF","BEST_DATA_DATE_OVERRIDE",TEXT(YEAR($D$4),"0000")&amp;TEXT(MONTH($D$4),"00")&amp;TEXT(DAY($D$4),"00"))</f>
        <v/>
      </c>
      <c r="M86" s="54">
        <f>_xll.BDP($A86,"BEST_EPS","BEST_FPERIOD_OVERRIDE","1BF","BEST_DATA_DATE_OVERRIDE",TEXT(YEAR($E$4),"0000")&amp;TEXT(MONTH($E$4),"00")&amp;TEXT(DAY($E$4),"00"))</f>
        <v/>
      </c>
      <c r="N86" s="54">
        <f>_xll.BDP($A86,"BEST_EPS","BEST_FPERIOD_OVERRIDE","1BF","BEST_DATA_DATE_OVERRIDE",TEXT(YEAR($F$4),"0000")&amp;TEXT(MONTH($F$4),"00")&amp;TEXT(DAY($F$4),"00"))</f>
        <v/>
      </c>
      <c r="O86" s="22">
        <f>IFERROR(IF(AND(ISNUMBER($K86),ISNUMBER(L86),L86&lt;&gt;0),$K86/L86-1,""),"")</f>
        <v/>
      </c>
      <c r="P86" s="22">
        <f>IFERROR(IF(AND(ISNUMBER($K86),ISNUMBER(M86),M86&lt;&gt;0),$K86/M86-1,""),"")</f>
        <v/>
      </c>
      <c r="Q86" s="22">
        <f>IFERROR(IF(AND(ISNUMBER($K86),ISNUMBER(N86),N86&lt;&gt;0),$K86/N86-1,""),"")</f>
        <v/>
      </c>
    </row>
    <row r="87">
      <c r="A87" s="19">
        <f>Tickers!$A$86</f>
        <v/>
      </c>
      <c r="C87" s="30">
        <f>_xll.BDP($A87,"BEST_SALES","BEST_FPERIOD_OVERRIDE","1BF")</f>
        <v/>
      </c>
      <c r="D87" s="30">
        <f>_xll.BDP($A87,"BEST_SALES","BEST_FPERIOD_OVERRIDE","1BF","BEST_DATA_DATE_OVERRIDE",TEXT(YEAR($D$4),"0000")&amp;TEXT(MONTH($D$4),"00")&amp;TEXT(DAY($D$4),"00"))</f>
        <v/>
      </c>
      <c r="E87" s="30">
        <f>_xll.BDP($A87,"BEST_SALES","BEST_FPERIOD_OVERRIDE","1BF","BEST_DATA_DATE_OVERRIDE",TEXT(YEAR($E$4),"0000")&amp;TEXT(MONTH($E$4),"00")&amp;TEXT(DAY($E$4),"00"))</f>
        <v/>
      </c>
      <c r="F87" s="30">
        <f>_xll.BDP($A87,"BEST_SALES","BEST_FPERIOD_OVERRIDE","1BF","BEST_DATA_DATE_OVERRIDE",TEXT(YEAR($F$4),"0000")&amp;TEXT(MONTH($F$4),"00")&amp;TEXT(DAY($F$4),"00"))</f>
        <v/>
      </c>
      <c r="G87" s="22">
        <f>IFERROR(IF(AND(ISNUMBER($C87),ISNUMBER(D87),D87&lt;&gt;0),$C87/D87-1,""),"")</f>
        <v/>
      </c>
      <c r="H87" s="22">
        <f>IFERROR(IF(AND(ISNUMBER($C87),ISNUMBER(E87),E87&lt;&gt;0),$C87/E87-1,""),"")</f>
        <v/>
      </c>
      <c r="I87" s="22">
        <f>IFERROR(IF(AND(ISNUMBER($C87),ISNUMBER(F87),F87&lt;&gt;0),$C87/F87-1,""),"")</f>
        <v/>
      </c>
      <c r="K87" s="54">
        <f>_xll.BDP($A87,"BEST_EPS","BEST_FPERIOD_OVERRIDE","1BF")</f>
        <v/>
      </c>
      <c r="L87" s="54">
        <f>_xll.BDP($A87,"BEST_EPS","BEST_FPERIOD_OVERRIDE","1BF","BEST_DATA_DATE_OVERRIDE",TEXT(YEAR($D$4),"0000")&amp;TEXT(MONTH($D$4),"00")&amp;TEXT(DAY($D$4),"00"))</f>
        <v/>
      </c>
      <c r="M87" s="54">
        <f>_xll.BDP($A87,"BEST_EPS","BEST_FPERIOD_OVERRIDE","1BF","BEST_DATA_DATE_OVERRIDE",TEXT(YEAR($E$4),"0000")&amp;TEXT(MONTH($E$4),"00")&amp;TEXT(DAY($E$4),"00"))</f>
        <v/>
      </c>
      <c r="N87" s="54">
        <f>_xll.BDP($A87,"BEST_EPS","BEST_FPERIOD_OVERRIDE","1BF","BEST_DATA_DATE_OVERRIDE",TEXT(YEAR($F$4),"0000")&amp;TEXT(MONTH($F$4),"00")&amp;TEXT(DAY($F$4),"00"))</f>
        <v/>
      </c>
      <c r="O87" s="22">
        <f>IFERROR(IF(AND(ISNUMBER($K87),ISNUMBER(L87),L87&lt;&gt;0),$K87/L87-1,""),"")</f>
        <v/>
      </c>
      <c r="P87" s="22">
        <f>IFERROR(IF(AND(ISNUMBER($K87),ISNUMBER(M87),M87&lt;&gt;0),$K87/M87-1,""),"")</f>
        <v/>
      </c>
      <c r="Q87" s="22">
        <f>IFERROR(IF(AND(ISNUMBER($K87),ISNUMBER(N87),N87&lt;&gt;0),$K87/N87-1,""),"")</f>
        <v/>
      </c>
    </row>
    <row r="88">
      <c r="A88" s="19">
        <f>Tickers!$A$87</f>
        <v/>
      </c>
      <c r="C88" s="30">
        <f>_xll.BDP($A88,"BEST_SALES","BEST_FPERIOD_OVERRIDE","1BF")</f>
        <v/>
      </c>
      <c r="D88" s="30">
        <f>_xll.BDP($A88,"BEST_SALES","BEST_FPERIOD_OVERRIDE","1BF","BEST_DATA_DATE_OVERRIDE",TEXT(YEAR($D$4),"0000")&amp;TEXT(MONTH($D$4),"00")&amp;TEXT(DAY($D$4),"00"))</f>
        <v/>
      </c>
      <c r="E88" s="30">
        <f>_xll.BDP($A88,"BEST_SALES","BEST_FPERIOD_OVERRIDE","1BF","BEST_DATA_DATE_OVERRIDE",TEXT(YEAR($E$4),"0000")&amp;TEXT(MONTH($E$4),"00")&amp;TEXT(DAY($E$4),"00"))</f>
        <v/>
      </c>
      <c r="F88" s="30">
        <f>_xll.BDP($A88,"BEST_SALES","BEST_FPERIOD_OVERRIDE","1BF","BEST_DATA_DATE_OVERRIDE",TEXT(YEAR($F$4),"0000")&amp;TEXT(MONTH($F$4),"00")&amp;TEXT(DAY($F$4),"00"))</f>
        <v/>
      </c>
      <c r="G88" s="22">
        <f>IFERROR(IF(AND(ISNUMBER($C88),ISNUMBER(D88),D88&lt;&gt;0),$C88/D88-1,""),"")</f>
        <v/>
      </c>
      <c r="H88" s="22">
        <f>IFERROR(IF(AND(ISNUMBER($C88),ISNUMBER(E88),E88&lt;&gt;0),$C88/E88-1,""),"")</f>
        <v/>
      </c>
      <c r="I88" s="22">
        <f>IFERROR(IF(AND(ISNUMBER($C88),ISNUMBER(F88),F88&lt;&gt;0),$C88/F88-1,""),"")</f>
        <v/>
      </c>
      <c r="K88" s="54">
        <f>_xll.BDP($A88,"BEST_EPS","BEST_FPERIOD_OVERRIDE","1BF")</f>
        <v/>
      </c>
      <c r="L88" s="54">
        <f>_xll.BDP($A88,"BEST_EPS","BEST_FPERIOD_OVERRIDE","1BF","BEST_DATA_DATE_OVERRIDE",TEXT(YEAR($D$4),"0000")&amp;TEXT(MONTH($D$4),"00")&amp;TEXT(DAY($D$4),"00"))</f>
        <v/>
      </c>
      <c r="M88" s="54">
        <f>_xll.BDP($A88,"BEST_EPS","BEST_FPERIOD_OVERRIDE","1BF","BEST_DATA_DATE_OVERRIDE",TEXT(YEAR($E$4),"0000")&amp;TEXT(MONTH($E$4),"00")&amp;TEXT(DAY($E$4),"00"))</f>
        <v/>
      </c>
      <c r="N88" s="54">
        <f>_xll.BDP($A88,"BEST_EPS","BEST_FPERIOD_OVERRIDE","1BF","BEST_DATA_DATE_OVERRIDE",TEXT(YEAR($F$4),"0000")&amp;TEXT(MONTH($F$4),"00")&amp;TEXT(DAY($F$4),"00"))</f>
        <v/>
      </c>
      <c r="O88" s="22">
        <f>IFERROR(IF(AND(ISNUMBER($K88),ISNUMBER(L88),L88&lt;&gt;0),$K88/L88-1,""),"")</f>
        <v/>
      </c>
      <c r="P88" s="22">
        <f>IFERROR(IF(AND(ISNUMBER($K88),ISNUMBER(M88),M88&lt;&gt;0),$K88/M88-1,""),"")</f>
        <v/>
      </c>
      <c r="Q88" s="22">
        <f>IFERROR(IF(AND(ISNUMBER($K88),ISNUMBER(N88),N88&lt;&gt;0),$K88/N88-1,""),"")</f>
        <v/>
      </c>
    </row>
    <row r="89">
      <c r="A89" s="19">
        <f>Tickers!$A$88</f>
        <v/>
      </c>
      <c r="C89" s="30">
        <f>_xll.BDP($A89,"BEST_SALES","BEST_FPERIOD_OVERRIDE","1BF")</f>
        <v/>
      </c>
      <c r="D89" s="30">
        <f>_xll.BDP($A89,"BEST_SALES","BEST_FPERIOD_OVERRIDE","1BF","BEST_DATA_DATE_OVERRIDE",TEXT(YEAR($D$4),"0000")&amp;TEXT(MONTH($D$4),"00")&amp;TEXT(DAY($D$4),"00"))</f>
        <v/>
      </c>
      <c r="E89" s="30">
        <f>_xll.BDP($A89,"BEST_SALES","BEST_FPERIOD_OVERRIDE","1BF","BEST_DATA_DATE_OVERRIDE",TEXT(YEAR($E$4),"0000")&amp;TEXT(MONTH($E$4),"00")&amp;TEXT(DAY($E$4),"00"))</f>
        <v/>
      </c>
      <c r="F89" s="30">
        <f>_xll.BDP($A89,"BEST_SALES","BEST_FPERIOD_OVERRIDE","1BF","BEST_DATA_DATE_OVERRIDE",TEXT(YEAR($F$4),"0000")&amp;TEXT(MONTH($F$4),"00")&amp;TEXT(DAY($F$4),"00"))</f>
        <v/>
      </c>
      <c r="G89" s="22">
        <f>IFERROR(IF(AND(ISNUMBER($C89),ISNUMBER(D89),D89&lt;&gt;0),$C89/D89-1,""),"")</f>
        <v/>
      </c>
      <c r="H89" s="22">
        <f>IFERROR(IF(AND(ISNUMBER($C89),ISNUMBER(E89),E89&lt;&gt;0),$C89/E89-1,""),"")</f>
        <v/>
      </c>
      <c r="I89" s="22">
        <f>IFERROR(IF(AND(ISNUMBER($C89),ISNUMBER(F89),F89&lt;&gt;0),$C89/F89-1,""),"")</f>
        <v/>
      </c>
      <c r="K89" s="54">
        <f>_xll.BDP($A89,"BEST_EPS","BEST_FPERIOD_OVERRIDE","1BF")</f>
        <v/>
      </c>
      <c r="L89" s="54">
        <f>_xll.BDP($A89,"BEST_EPS","BEST_FPERIOD_OVERRIDE","1BF","BEST_DATA_DATE_OVERRIDE",TEXT(YEAR($D$4),"0000")&amp;TEXT(MONTH($D$4),"00")&amp;TEXT(DAY($D$4),"00"))</f>
        <v/>
      </c>
      <c r="M89" s="54">
        <f>_xll.BDP($A89,"BEST_EPS","BEST_FPERIOD_OVERRIDE","1BF","BEST_DATA_DATE_OVERRIDE",TEXT(YEAR($E$4),"0000")&amp;TEXT(MONTH($E$4),"00")&amp;TEXT(DAY($E$4),"00"))</f>
        <v/>
      </c>
      <c r="N89" s="54">
        <f>_xll.BDP($A89,"BEST_EPS","BEST_FPERIOD_OVERRIDE","1BF","BEST_DATA_DATE_OVERRIDE",TEXT(YEAR($F$4),"0000")&amp;TEXT(MONTH($F$4),"00")&amp;TEXT(DAY($F$4),"00"))</f>
        <v/>
      </c>
      <c r="O89" s="22">
        <f>IFERROR(IF(AND(ISNUMBER($K89),ISNUMBER(L89),L89&lt;&gt;0),$K89/L89-1,""),"")</f>
        <v/>
      </c>
      <c r="P89" s="22">
        <f>IFERROR(IF(AND(ISNUMBER($K89),ISNUMBER(M89),M89&lt;&gt;0),$K89/M89-1,""),"")</f>
        <v/>
      </c>
      <c r="Q89" s="22">
        <f>IFERROR(IF(AND(ISNUMBER($K89),ISNUMBER(N89),N89&lt;&gt;0),$K89/N89-1,""),"")</f>
        <v/>
      </c>
    </row>
    <row r="90">
      <c r="A90" s="19">
        <f>Tickers!$A$89</f>
        <v/>
      </c>
      <c r="C90" s="30">
        <f>_xll.BDP($A90,"BEST_SALES","BEST_FPERIOD_OVERRIDE","1BF")</f>
        <v/>
      </c>
      <c r="D90" s="30">
        <f>_xll.BDP($A90,"BEST_SALES","BEST_FPERIOD_OVERRIDE","1BF","BEST_DATA_DATE_OVERRIDE",TEXT(YEAR($D$4),"0000")&amp;TEXT(MONTH($D$4),"00")&amp;TEXT(DAY($D$4),"00"))</f>
        <v/>
      </c>
      <c r="E90" s="30">
        <f>_xll.BDP($A90,"BEST_SALES","BEST_FPERIOD_OVERRIDE","1BF","BEST_DATA_DATE_OVERRIDE",TEXT(YEAR($E$4),"0000")&amp;TEXT(MONTH($E$4),"00")&amp;TEXT(DAY($E$4),"00"))</f>
        <v/>
      </c>
      <c r="F90" s="30">
        <f>_xll.BDP($A90,"BEST_SALES","BEST_FPERIOD_OVERRIDE","1BF","BEST_DATA_DATE_OVERRIDE",TEXT(YEAR($F$4),"0000")&amp;TEXT(MONTH($F$4),"00")&amp;TEXT(DAY($F$4),"00"))</f>
        <v/>
      </c>
      <c r="G90" s="22">
        <f>IFERROR(IF(AND(ISNUMBER($C90),ISNUMBER(D90),D90&lt;&gt;0),$C90/D90-1,""),"")</f>
        <v/>
      </c>
      <c r="H90" s="22">
        <f>IFERROR(IF(AND(ISNUMBER($C90),ISNUMBER(E90),E90&lt;&gt;0),$C90/E90-1,""),"")</f>
        <v/>
      </c>
      <c r="I90" s="22">
        <f>IFERROR(IF(AND(ISNUMBER($C90),ISNUMBER(F90),F90&lt;&gt;0),$C90/F90-1,""),"")</f>
        <v/>
      </c>
      <c r="K90" s="54">
        <f>_xll.BDP($A90,"BEST_EPS","BEST_FPERIOD_OVERRIDE","1BF")</f>
        <v/>
      </c>
      <c r="L90" s="54">
        <f>_xll.BDP($A90,"BEST_EPS","BEST_FPERIOD_OVERRIDE","1BF","BEST_DATA_DATE_OVERRIDE",TEXT(YEAR($D$4),"0000")&amp;TEXT(MONTH($D$4),"00")&amp;TEXT(DAY($D$4),"00"))</f>
        <v/>
      </c>
      <c r="M90" s="54">
        <f>_xll.BDP($A90,"BEST_EPS","BEST_FPERIOD_OVERRIDE","1BF","BEST_DATA_DATE_OVERRIDE",TEXT(YEAR($E$4),"0000")&amp;TEXT(MONTH($E$4),"00")&amp;TEXT(DAY($E$4),"00"))</f>
        <v/>
      </c>
      <c r="N90" s="54">
        <f>_xll.BDP($A90,"BEST_EPS","BEST_FPERIOD_OVERRIDE","1BF","BEST_DATA_DATE_OVERRIDE",TEXT(YEAR($F$4),"0000")&amp;TEXT(MONTH($F$4),"00")&amp;TEXT(DAY($F$4),"00"))</f>
        <v/>
      </c>
      <c r="O90" s="22">
        <f>IFERROR(IF(AND(ISNUMBER($K90),ISNUMBER(L90),L90&lt;&gt;0),$K90/L90-1,""),"")</f>
        <v/>
      </c>
      <c r="P90" s="22">
        <f>IFERROR(IF(AND(ISNUMBER($K90),ISNUMBER(M90),M90&lt;&gt;0),$K90/M90-1,""),"")</f>
        <v/>
      </c>
      <c r="Q90" s="22">
        <f>IFERROR(IF(AND(ISNUMBER($K90),ISNUMBER(N90),N90&lt;&gt;0),$K90/N90-1,""),"")</f>
        <v/>
      </c>
    </row>
    <row r="91">
      <c r="A91" s="19">
        <f>Tickers!$A$90</f>
        <v/>
      </c>
      <c r="C91" s="30">
        <f>_xll.BDP($A91,"BEST_SALES","BEST_FPERIOD_OVERRIDE","1BF")</f>
        <v/>
      </c>
      <c r="D91" s="30">
        <f>_xll.BDP($A91,"BEST_SALES","BEST_FPERIOD_OVERRIDE","1BF","BEST_DATA_DATE_OVERRIDE",TEXT(YEAR($D$4),"0000")&amp;TEXT(MONTH($D$4),"00")&amp;TEXT(DAY($D$4),"00"))</f>
        <v/>
      </c>
      <c r="E91" s="30">
        <f>_xll.BDP($A91,"BEST_SALES","BEST_FPERIOD_OVERRIDE","1BF","BEST_DATA_DATE_OVERRIDE",TEXT(YEAR($E$4),"0000")&amp;TEXT(MONTH($E$4),"00")&amp;TEXT(DAY($E$4),"00"))</f>
        <v/>
      </c>
      <c r="F91" s="30">
        <f>_xll.BDP($A91,"BEST_SALES","BEST_FPERIOD_OVERRIDE","1BF","BEST_DATA_DATE_OVERRIDE",TEXT(YEAR($F$4),"0000")&amp;TEXT(MONTH($F$4),"00")&amp;TEXT(DAY($F$4),"00"))</f>
        <v/>
      </c>
      <c r="G91" s="22">
        <f>IFERROR(IF(AND(ISNUMBER($C91),ISNUMBER(D91),D91&lt;&gt;0),$C91/D91-1,""),"")</f>
        <v/>
      </c>
      <c r="H91" s="22">
        <f>IFERROR(IF(AND(ISNUMBER($C91),ISNUMBER(E91),E91&lt;&gt;0),$C91/E91-1,""),"")</f>
        <v/>
      </c>
      <c r="I91" s="22">
        <f>IFERROR(IF(AND(ISNUMBER($C91),ISNUMBER(F91),F91&lt;&gt;0),$C91/F91-1,""),"")</f>
        <v/>
      </c>
      <c r="K91" s="54">
        <f>_xll.BDP($A91,"BEST_EPS","BEST_FPERIOD_OVERRIDE","1BF")</f>
        <v/>
      </c>
      <c r="L91" s="54">
        <f>_xll.BDP($A91,"BEST_EPS","BEST_FPERIOD_OVERRIDE","1BF","BEST_DATA_DATE_OVERRIDE",TEXT(YEAR($D$4),"0000")&amp;TEXT(MONTH($D$4),"00")&amp;TEXT(DAY($D$4),"00"))</f>
        <v/>
      </c>
      <c r="M91" s="54">
        <f>_xll.BDP($A91,"BEST_EPS","BEST_FPERIOD_OVERRIDE","1BF","BEST_DATA_DATE_OVERRIDE",TEXT(YEAR($E$4),"0000")&amp;TEXT(MONTH($E$4),"00")&amp;TEXT(DAY($E$4),"00"))</f>
        <v/>
      </c>
      <c r="N91" s="54">
        <f>_xll.BDP($A91,"BEST_EPS","BEST_FPERIOD_OVERRIDE","1BF","BEST_DATA_DATE_OVERRIDE",TEXT(YEAR($F$4),"0000")&amp;TEXT(MONTH($F$4),"00")&amp;TEXT(DAY($F$4),"00"))</f>
        <v/>
      </c>
      <c r="O91" s="22">
        <f>IFERROR(IF(AND(ISNUMBER($K91),ISNUMBER(L91),L91&lt;&gt;0),$K91/L91-1,""),"")</f>
        <v/>
      </c>
      <c r="P91" s="22">
        <f>IFERROR(IF(AND(ISNUMBER($K91),ISNUMBER(M91),M91&lt;&gt;0),$K91/M91-1,""),"")</f>
        <v/>
      </c>
      <c r="Q91" s="22">
        <f>IFERROR(IF(AND(ISNUMBER($K91),ISNUMBER(N91),N91&lt;&gt;0),$K91/N91-1,""),"")</f>
        <v/>
      </c>
    </row>
    <row r="92">
      <c r="A92" s="19">
        <f>Tickers!$A$91</f>
        <v/>
      </c>
      <c r="C92" s="30">
        <f>_xll.BDP($A92,"BEST_SALES","BEST_FPERIOD_OVERRIDE","1BF")</f>
        <v/>
      </c>
      <c r="D92" s="30">
        <f>_xll.BDP($A92,"BEST_SALES","BEST_FPERIOD_OVERRIDE","1BF","BEST_DATA_DATE_OVERRIDE",TEXT(YEAR($D$4),"0000")&amp;TEXT(MONTH($D$4),"00")&amp;TEXT(DAY($D$4),"00"))</f>
        <v/>
      </c>
      <c r="E92" s="30">
        <f>_xll.BDP($A92,"BEST_SALES","BEST_FPERIOD_OVERRIDE","1BF","BEST_DATA_DATE_OVERRIDE",TEXT(YEAR($E$4),"0000")&amp;TEXT(MONTH($E$4),"00")&amp;TEXT(DAY($E$4),"00"))</f>
        <v/>
      </c>
      <c r="F92" s="30">
        <f>_xll.BDP($A92,"BEST_SALES","BEST_FPERIOD_OVERRIDE","1BF","BEST_DATA_DATE_OVERRIDE",TEXT(YEAR($F$4),"0000")&amp;TEXT(MONTH($F$4),"00")&amp;TEXT(DAY($F$4),"00"))</f>
        <v/>
      </c>
      <c r="G92" s="22">
        <f>IFERROR(IF(AND(ISNUMBER($C92),ISNUMBER(D92),D92&lt;&gt;0),$C92/D92-1,""),"")</f>
        <v/>
      </c>
      <c r="H92" s="22">
        <f>IFERROR(IF(AND(ISNUMBER($C92),ISNUMBER(E92),E92&lt;&gt;0),$C92/E92-1,""),"")</f>
        <v/>
      </c>
      <c r="I92" s="22">
        <f>IFERROR(IF(AND(ISNUMBER($C92),ISNUMBER(F92),F92&lt;&gt;0),$C92/F92-1,""),"")</f>
        <v/>
      </c>
      <c r="K92" s="54">
        <f>_xll.BDP($A92,"BEST_EPS","BEST_FPERIOD_OVERRIDE","1BF")</f>
        <v/>
      </c>
      <c r="L92" s="54">
        <f>_xll.BDP($A92,"BEST_EPS","BEST_FPERIOD_OVERRIDE","1BF","BEST_DATA_DATE_OVERRIDE",TEXT(YEAR($D$4),"0000")&amp;TEXT(MONTH($D$4),"00")&amp;TEXT(DAY($D$4),"00"))</f>
        <v/>
      </c>
      <c r="M92" s="54">
        <f>_xll.BDP($A92,"BEST_EPS","BEST_FPERIOD_OVERRIDE","1BF","BEST_DATA_DATE_OVERRIDE",TEXT(YEAR($E$4),"0000")&amp;TEXT(MONTH($E$4),"00")&amp;TEXT(DAY($E$4),"00"))</f>
        <v/>
      </c>
      <c r="N92" s="54">
        <f>_xll.BDP($A92,"BEST_EPS","BEST_FPERIOD_OVERRIDE","1BF","BEST_DATA_DATE_OVERRIDE",TEXT(YEAR($F$4),"0000")&amp;TEXT(MONTH($F$4),"00")&amp;TEXT(DAY($F$4),"00"))</f>
        <v/>
      </c>
      <c r="O92" s="22">
        <f>IFERROR(IF(AND(ISNUMBER($K92),ISNUMBER(L92),L92&lt;&gt;0),$K92/L92-1,""),"")</f>
        <v/>
      </c>
      <c r="P92" s="22">
        <f>IFERROR(IF(AND(ISNUMBER($K92),ISNUMBER(M92),M92&lt;&gt;0),$K92/M92-1,""),"")</f>
        <v/>
      </c>
      <c r="Q92" s="22">
        <f>IFERROR(IF(AND(ISNUMBER($K92),ISNUMBER(N92),N92&lt;&gt;0),$K92/N92-1,""),"")</f>
        <v/>
      </c>
    </row>
    <row r="93">
      <c r="A93" s="19">
        <f>Tickers!$A$92</f>
        <v/>
      </c>
      <c r="C93" s="30">
        <f>_xll.BDP($A93,"BEST_SALES","BEST_FPERIOD_OVERRIDE","1BF")</f>
        <v/>
      </c>
      <c r="D93" s="30">
        <f>_xll.BDP($A93,"BEST_SALES","BEST_FPERIOD_OVERRIDE","1BF","BEST_DATA_DATE_OVERRIDE",TEXT(YEAR($D$4),"0000")&amp;TEXT(MONTH($D$4),"00")&amp;TEXT(DAY($D$4),"00"))</f>
        <v/>
      </c>
      <c r="E93" s="30">
        <f>_xll.BDP($A93,"BEST_SALES","BEST_FPERIOD_OVERRIDE","1BF","BEST_DATA_DATE_OVERRIDE",TEXT(YEAR($E$4),"0000")&amp;TEXT(MONTH($E$4),"00")&amp;TEXT(DAY($E$4),"00"))</f>
        <v/>
      </c>
      <c r="F93" s="30">
        <f>_xll.BDP($A93,"BEST_SALES","BEST_FPERIOD_OVERRIDE","1BF","BEST_DATA_DATE_OVERRIDE",TEXT(YEAR($F$4),"0000")&amp;TEXT(MONTH($F$4),"00")&amp;TEXT(DAY($F$4),"00"))</f>
        <v/>
      </c>
      <c r="G93" s="22">
        <f>IFERROR(IF(AND(ISNUMBER($C93),ISNUMBER(D93),D93&lt;&gt;0),$C93/D93-1,""),"")</f>
        <v/>
      </c>
      <c r="H93" s="22">
        <f>IFERROR(IF(AND(ISNUMBER($C93),ISNUMBER(E93),E93&lt;&gt;0),$C93/E93-1,""),"")</f>
        <v/>
      </c>
      <c r="I93" s="22">
        <f>IFERROR(IF(AND(ISNUMBER($C93),ISNUMBER(F93),F93&lt;&gt;0),$C93/F93-1,""),"")</f>
        <v/>
      </c>
      <c r="K93" s="54">
        <f>_xll.BDP($A93,"BEST_EPS","BEST_FPERIOD_OVERRIDE","1BF")</f>
        <v/>
      </c>
      <c r="L93" s="54">
        <f>_xll.BDP($A93,"BEST_EPS","BEST_FPERIOD_OVERRIDE","1BF","BEST_DATA_DATE_OVERRIDE",TEXT(YEAR($D$4),"0000")&amp;TEXT(MONTH($D$4),"00")&amp;TEXT(DAY($D$4),"00"))</f>
        <v/>
      </c>
      <c r="M93" s="54">
        <f>_xll.BDP($A93,"BEST_EPS","BEST_FPERIOD_OVERRIDE","1BF","BEST_DATA_DATE_OVERRIDE",TEXT(YEAR($E$4),"0000")&amp;TEXT(MONTH($E$4),"00")&amp;TEXT(DAY($E$4),"00"))</f>
        <v/>
      </c>
      <c r="N93" s="54">
        <f>_xll.BDP($A93,"BEST_EPS","BEST_FPERIOD_OVERRIDE","1BF","BEST_DATA_DATE_OVERRIDE",TEXT(YEAR($F$4),"0000")&amp;TEXT(MONTH($F$4),"00")&amp;TEXT(DAY($F$4),"00"))</f>
        <v/>
      </c>
      <c r="O93" s="22">
        <f>IFERROR(IF(AND(ISNUMBER($K93),ISNUMBER(L93),L93&lt;&gt;0),$K93/L93-1,""),"")</f>
        <v/>
      </c>
      <c r="P93" s="22">
        <f>IFERROR(IF(AND(ISNUMBER($K93),ISNUMBER(M93),M93&lt;&gt;0),$K93/M93-1,""),"")</f>
        <v/>
      </c>
      <c r="Q93" s="22">
        <f>IFERROR(IF(AND(ISNUMBER($K93),ISNUMBER(N93),N93&lt;&gt;0),$K93/N93-1,""),"")</f>
        <v/>
      </c>
    </row>
    <row r="94">
      <c r="A94" s="19">
        <f>Tickers!$A$93</f>
        <v/>
      </c>
      <c r="C94" s="30">
        <f>_xll.BDP($A94,"BEST_SALES","BEST_FPERIOD_OVERRIDE","1BF")</f>
        <v/>
      </c>
      <c r="D94" s="30">
        <f>_xll.BDP($A94,"BEST_SALES","BEST_FPERIOD_OVERRIDE","1BF","BEST_DATA_DATE_OVERRIDE",TEXT(YEAR($D$4),"0000")&amp;TEXT(MONTH($D$4),"00")&amp;TEXT(DAY($D$4),"00"))</f>
        <v/>
      </c>
      <c r="E94" s="30">
        <f>_xll.BDP($A94,"BEST_SALES","BEST_FPERIOD_OVERRIDE","1BF","BEST_DATA_DATE_OVERRIDE",TEXT(YEAR($E$4),"0000")&amp;TEXT(MONTH($E$4),"00")&amp;TEXT(DAY($E$4),"00"))</f>
        <v/>
      </c>
      <c r="F94" s="30">
        <f>_xll.BDP($A94,"BEST_SALES","BEST_FPERIOD_OVERRIDE","1BF","BEST_DATA_DATE_OVERRIDE",TEXT(YEAR($F$4),"0000")&amp;TEXT(MONTH($F$4),"00")&amp;TEXT(DAY($F$4),"00"))</f>
        <v/>
      </c>
      <c r="G94" s="22">
        <f>IFERROR(IF(AND(ISNUMBER($C94),ISNUMBER(D94),D94&lt;&gt;0),$C94/D94-1,""),"")</f>
        <v/>
      </c>
      <c r="H94" s="22">
        <f>IFERROR(IF(AND(ISNUMBER($C94),ISNUMBER(E94),E94&lt;&gt;0),$C94/E94-1,""),"")</f>
        <v/>
      </c>
      <c r="I94" s="22">
        <f>IFERROR(IF(AND(ISNUMBER($C94),ISNUMBER(F94),F94&lt;&gt;0),$C94/F94-1,""),"")</f>
        <v/>
      </c>
      <c r="K94" s="54">
        <f>_xll.BDP($A94,"BEST_EPS","BEST_FPERIOD_OVERRIDE","1BF")</f>
        <v/>
      </c>
      <c r="L94" s="54">
        <f>_xll.BDP($A94,"BEST_EPS","BEST_FPERIOD_OVERRIDE","1BF","BEST_DATA_DATE_OVERRIDE",TEXT(YEAR($D$4),"0000")&amp;TEXT(MONTH($D$4),"00")&amp;TEXT(DAY($D$4),"00"))</f>
        <v/>
      </c>
      <c r="M94" s="54">
        <f>_xll.BDP($A94,"BEST_EPS","BEST_FPERIOD_OVERRIDE","1BF","BEST_DATA_DATE_OVERRIDE",TEXT(YEAR($E$4),"0000")&amp;TEXT(MONTH($E$4),"00")&amp;TEXT(DAY($E$4),"00"))</f>
        <v/>
      </c>
      <c r="N94" s="54">
        <f>_xll.BDP($A94,"BEST_EPS","BEST_FPERIOD_OVERRIDE","1BF","BEST_DATA_DATE_OVERRIDE",TEXT(YEAR($F$4),"0000")&amp;TEXT(MONTH($F$4),"00")&amp;TEXT(DAY($F$4),"00"))</f>
        <v/>
      </c>
      <c r="O94" s="22">
        <f>IFERROR(IF(AND(ISNUMBER($K94),ISNUMBER(L94),L94&lt;&gt;0),$K94/L94-1,""),"")</f>
        <v/>
      </c>
      <c r="P94" s="22">
        <f>IFERROR(IF(AND(ISNUMBER($K94),ISNUMBER(M94),M94&lt;&gt;0),$K94/M94-1,""),"")</f>
        <v/>
      </c>
      <c r="Q94" s="22">
        <f>IFERROR(IF(AND(ISNUMBER($K94),ISNUMBER(N94),N94&lt;&gt;0),$K94/N94-1,""),"")</f>
        <v/>
      </c>
    </row>
    <row r="95">
      <c r="A95" s="19">
        <f>Tickers!$A$94</f>
        <v/>
      </c>
      <c r="C95" s="30">
        <f>_xll.BDP($A95,"BEST_SALES","BEST_FPERIOD_OVERRIDE","1BF")</f>
        <v/>
      </c>
      <c r="D95" s="30">
        <f>_xll.BDP($A95,"BEST_SALES","BEST_FPERIOD_OVERRIDE","1BF","BEST_DATA_DATE_OVERRIDE",TEXT(YEAR($D$4),"0000")&amp;TEXT(MONTH($D$4),"00")&amp;TEXT(DAY($D$4),"00"))</f>
        <v/>
      </c>
      <c r="E95" s="30">
        <f>_xll.BDP($A95,"BEST_SALES","BEST_FPERIOD_OVERRIDE","1BF","BEST_DATA_DATE_OVERRIDE",TEXT(YEAR($E$4),"0000")&amp;TEXT(MONTH($E$4),"00")&amp;TEXT(DAY($E$4),"00"))</f>
        <v/>
      </c>
      <c r="F95" s="30">
        <f>_xll.BDP($A95,"BEST_SALES","BEST_FPERIOD_OVERRIDE","1BF","BEST_DATA_DATE_OVERRIDE",TEXT(YEAR($F$4),"0000")&amp;TEXT(MONTH($F$4),"00")&amp;TEXT(DAY($F$4),"00"))</f>
        <v/>
      </c>
      <c r="G95" s="22">
        <f>IFERROR(IF(AND(ISNUMBER($C95),ISNUMBER(D95),D95&lt;&gt;0),$C95/D95-1,""),"")</f>
        <v/>
      </c>
      <c r="H95" s="22">
        <f>IFERROR(IF(AND(ISNUMBER($C95),ISNUMBER(E95),E95&lt;&gt;0),$C95/E95-1,""),"")</f>
        <v/>
      </c>
      <c r="I95" s="22">
        <f>IFERROR(IF(AND(ISNUMBER($C95),ISNUMBER(F95),F95&lt;&gt;0),$C95/F95-1,""),"")</f>
        <v/>
      </c>
      <c r="K95" s="54">
        <f>_xll.BDP($A95,"BEST_EPS","BEST_FPERIOD_OVERRIDE","1BF")</f>
        <v/>
      </c>
      <c r="L95" s="54">
        <f>_xll.BDP($A95,"BEST_EPS","BEST_FPERIOD_OVERRIDE","1BF","BEST_DATA_DATE_OVERRIDE",TEXT(YEAR($D$4),"0000")&amp;TEXT(MONTH($D$4),"00")&amp;TEXT(DAY($D$4),"00"))</f>
        <v/>
      </c>
      <c r="M95" s="54">
        <f>_xll.BDP($A95,"BEST_EPS","BEST_FPERIOD_OVERRIDE","1BF","BEST_DATA_DATE_OVERRIDE",TEXT(YEAR($E$4),"0000")&amp;TEXT(MONTH($E$4),"00")&amp;TEXT(DAY($E$4),"00"))</f>
        <v/>
      </c>
      <c r="N95" s="54">
        <f>_xll.BDP($A95,"BEST_EPS","BEST_FPERIOD_OVERRIDE","1BF","BEST_DATA_DATE_OVERRIDE",TEXT(YEAR($F$4),"0000")&amp;TEXT(MONTH($F$4),"00")&amp;TEXT(DAY($F$4),"00"))</f>
        <v/>
      </c>
      <c r="O95" s="22">
        <f>IFERROR(IF(AND(ISNUMBER($K95),ISNUMBER(L95),L95&lt;&gt;0),$K95/L95-1,""),"")</f>
        <v/>
      </c>
      <c r="P95" s="22">
        <f>IFERROR(IF(AND(ISNUMBER($K95),ISNUMBER(M95),M95&lt;&gt;0),$K95/M95-1,""),"")</f>
        <v/>
      </c>
      <c r="Q95" s="22">
        <f>IFERROR(IF(AND(ISNUMBER($K95),ISNUMBER(N95),N95&lt;&gt;0),$K95/N95-1,""),"")</f>
        <v/>
      </c>
    </row>
    <row r="96">
      <c r="A96" s="19">
        <f>Tickers!$A$95</f>
        <v/>
      </c>
      <c r="C96" s="30">
        <f>_xll.BDP($A96,"BEST_SALES","BEST_FPERIOD_OVERRIDE","1BF")</f>
        <v/>
      </c>
      <c r="D96" s="30">
        <f>_xll.BDP($A96,"BEST_SALES","BEST_FPERIOD_OVERRIDE","1BF","BEST_DATA_DATE_OVERRIDE",TEXT(YEAR($D$4),"0000")&amp;TEXT(MONTH($D$4),"00")&amp;TEXT(DAY($D$4),"00"))</f>
        <v/>
      </c>
      <c r="E96" s="30">
        <f>_xll.BDP($A96,"BEST_SALES","BEST_FPERIOD_OVERRIDE","1BF","BEST_DATA_DATE_OVERRIDE",TEXT(YEAR($E$4),"0000")&amp;TEXT(MONTH($E$4),"00")&amp;TEXT(DAY($E$4),"00"))</f>
        <v/>
      </c>
      <c r="F96" s="30">
        <f>_xll.BDP($A96,"BEST_SALES","BEST_FPERIOD_OVERRIDE","1BF","BEST_DATA_DATE_OVERRIDE",TEXT(YEAR($F$4),"0000")&amp;TEXT(MONTH($F$4),"00")&amp;TEXT(DAY($F$4),"00"))</f>
        <v/>
      </c>
      <c r="G96" s="22">
        <f>IFERROR(IF(AND(ISNUMBER($C96),ISNUMBER(D96),D96&lt;&gt;0),$C96/D96-1,""),"")</f>
        <v/>
      </c>
      <c r="H96" s="22">
        <f>IFERROR(IF(AND(ISNUMBER($C96),ISNUMBER(E96),E96&lt;&gt;0),$C96/E96-1,""),"")</f>
        <v/>
      </c>
      <c r="I96" s="22">
        <f>IFERROR(IF(AND(ISNUMBER($C96),ISNUMBER(F96),F96&lt;&gt;0),$C96/F96-1,""),"")</f>
        <v/>
      </c>
      <c r="K96" s="54">
        <f>_xll.BDP($A96,"BEST_EPS","BEST_FPERIOD_OVERRIDE","1BF")</f>
        <v/>
      </c>
      <c r="L96" s="54">
        <f>_xll.BDP($A96,"BEST_EPS","BEST_FPERIOD_OVERRIDE","1BF","BEST_DATA_DATE_OVERRIDE",TEXT(YEAR($D$4),"0000")&amp;TEXT(MONTH($D$4),"00")&amp;TEXT(DAY($D$4),"00"))</f>
        <v/>
      </c>
      <c r="M96" s="54">
        <f>_xll.BDP($A96,"BEST_EPS","BEST_FPERIOD_OVERRIDE","1BF","BEST_DATA_DATE_OVERRIDE",TEXT(YEAR($E$4),"0000")&amp;TEXT(MONTH($E$4),"00")&amp;TEXT(DAY($E$4),"00"))</f>
        <v/>
      </c>
      <c r="N96" s="54">
        <f>_xll.BDP($A96,"BEST_EPS","BEST_FPERIOD_OVERRIDE","1BF","BEST_DATA_DATE_OVERRIDE",TEXT(YEAR($F$4),"0000")&amp;TEXT(MONTH($F$4),"00")&amp;TEXT(DAY($F$4),"00"))</f>
        <v/>
      </c>
      <c r="O96" s="22">
        <f>IFERROR(IF(AND(ISNUMBER($K96),ISNUMBER(L96),L96&lt;&gt;0),$K96/L96-1,""),"")</f>
        <v/>
      </c>
      <c r="P96" s="22">
        <f>IFERROR(IF(AND(ISNUMBER($K96),ISNUMBER(M96),M96&lt;&gt;0),$K96/M96-1,""),"")</f>
        <v/>
      </c>
      <c r="Q96" s="22">
        <f>IFERROR(IF(AND(ISNUMBER($K96),ISNUMBER(N96),N96&lt;&gt;0),$K96/N96-1,""),"")</f>
        <v/>
      </c>
    </row>
    <row r="97">
      <c r="A97" s="19">
        <f>Tickers!$A$96</f>
        <v/>
      </c>
      <c r="C97" s="30">
        <f>_xll.BDP($A97,"BEST_SALES","BEST_FPERIOD_OVERRIDE","1BF")</f>
        <v/>
      </c>
      <c r="D97" s="30">
        <f>_xll.BDP($A97,"BEST_SALES","BEST_FPERIOD_OVERRIDE","1BF","BEST_DATA_DATE_OVERRIDE",TEXT(YEAR($D$4),"0000")&amp;TEXT(MONTH($D$4),"00")&amp;TEXT(DAY($D$4),"00"))</f>
        <v/>
      </c>
      <c r="E97" s="30">
        <f>_xll.BDP($A97,"BEST_SALES","BEST_FPERIOD_OVERRIDE","1BF","BEST_DATA_DATE_OVERRIDE",TEXT(YEAR($E$4),"0000")&amp;TEXT(MONTH($E$4),"00")&amp;TEXT(DAY($E$4),"00"))</f>
        <v/>
      </c>
      <c r="F97" s="30">
        <f>_xll.BDP($A97,"BEST_SALES","BEST_FPERIOD_OVERRIDE","1BF","BEST_DATA_DATE_OVERRIDE",TEXT(YEAR($F$4),"0000")&amp;TEXT(MONTH($F$4),"00")&amp;TEXT(DAY($F$4),"00"))</f>
        <v/>
      </c>
      <c r="G97" s="22">
        <f>IFERROR(IF(AND(ISNUMBER($C97),ISNUMBER(D97),D97&lt;&gt;0),$C97/D97-1,""),"")</f>
        <v/>
      </c>
      <c r="H97" s="22">
        <f>IFERROR(IF(AND(ISNUMBER($C97),ISNUMBER(E97),E97&lt;&gt;0),$C97/E97-1,""),"")</f>
        <v/>
      </c>
      <c r="I97" s="22">
        <f>IFERROR(IF(AND(ISNUMBER($C97),ISNUMBER(F97),F97&lt;&gt;0),$C97/F97-1,""),"")</f>
        <v/>
      </c>
      <c r="K97" s="54">
        <f>_xll.BDP($A97,"BEST_EPS","BEST_FPERIOD_OVERRIDE","1BF")</f>
        <v/>
      </c>
      <c r="L97" s="54">
        <f>_xll.BDP($A97,"BEST_EPS","BEST_FPERIOD_OVERRIDE","1BF","BEST_DATA_DATE_OVERRIDE",TEXT(YEAR($D$4),"0000")&amp;TEXT(MONTH($D$4),"00")&amp;TEXT(DAY($D$4),"00"))</f>
        <v/>
      </c>
      <c r="M97" s="54">
        <f>_xll.BDP($A97,"BEST_EPS","BEST_FPERIOD_OVERRIDE","1BF","BEST_DATA_DATE_OVERRIDE",TEXT(YEAR($E$4),"0000")&amp;TEXT(MONTH($E$4),"00")&amp;TEXT(DAY($E$4),"00"))</f>
        <v/>
      </c>
      <c r="N97" s="54">
        <f>_xll.BDP($A97,"BEST_EPS","BEST_FPERIOD_OVERRIDE","1BF","BEST_DATA_DATE_OVERRIDE",TEXT(YEAR($F$4),"0000")&amp;TEXT(MONTH($F$4),"00")&amp;TEXT(DAY($F$4),"00"))</f>
        <v/>
      </c>
      <c r="O97" s="22">
        <f>IFERROR(IF(AND(ISNUMBER($K97),ISNUMBER(L97),L97&lt;&gt;0),$K97/L97-1,""),"")</f>
        <v/>
      </c>
      <c r="P97" s="22">
        <f>IFERROR(IF(AND(ISNUMBER($K97),ISNUMBER(M97),M97&lt;&gt;0),$K97/M97-1,""),"")</f>
        <v/>
      </c>
      <c r="Q97" s="22">
        <f>IFERROR(IF(AND(ISNUMBER($K97),ISNUMBER(N97),N97&lt;&gt;0),$K97/N97-1,""),"")</f>
        <v/>
      </c>
    </row>
    <row r="98">
      <c r="A98" s="19">
        <f>Tickers!$A$97</f>
        <v/>
      </c>
      <c r="C98" s="30">
        <f>_xll.BDP($A98,"BEST_SALES","BEST_FPERIOD_OVERRIDE","1BF")</f>
        <v/>
      </c>
      <c r="D98" s="30">
        <f>_xll.BDP($A98,"BEST_SALES","BEST_FPERIOD_OVERRIDE","1BF","BEST_DATA_DATE_OVERRIDE",TEXT(YEAR($D$4),"0000")&amp;TEXT(MONTH($D$4),"00")&amp;TEXT(DAY($D$4),"00"))</f>
        <v/>
      </c>
      <c r="E98" s="30">
        <f>_xll.BDP($A98,"BEST_SALES","BEST_FPERIOD_OVERRIDE","1BF","BEST_DATA_DATE_OVERRIDE",TEXT(YEAR($E$4),"0000")&amp;TEXT(MONTH($E$4),"00")&amp;TEXT(DAY($E$4),"00"))</f>
        <v/>
      </c>
      <c r="F98" s="30">
        <f>_xll.BDP($A98,"BEST_SALES","BEST_FPERIOD_OVERRIDE","1BF","BEST_DATA_DATE_OVERRIDE",TEXT(YEAR($F$4),"0000")&amp;TEXT(MONTH($F$4),"00")&amp;TEXT(DAY($F$4),"00"))</f>
        <v/>
      </c>
      <c r="G98" s="22">
        <f>IFERROR(IF(AND(ISNUMBER($C98),ISNUMBER(D98),D98&lt;&gt;0),$C98/D98-1,""),"")</f>
        <v/>
      </c>
      <c r="H98" s="22">
        <f>IFERROR(IF(AND(ISNUMBER($C98),ISNUMBER(E98),E98&lt;&gt;0),$C98/E98-1,""),"")</f>
        <v/>
      </c>
      <c r="I98" s="22">
        <f>IFERROR(IF(AND(ISNUMBER($C98),ISNUMBER(F98),F98&lt;&gt;0),$C98/F98-1,""),"")</f>
        <v/>
      </c>
      <c r="K98" s="54">
        <f>_xll.BDP($A98,"BEST_EPS","BEST_FPERIOD_OVERRIDE","1BF")</f>
        <v/>
      </c>
      <c r="L98" s="54">
        <f>_xll.BDP($A98,"BEST_EPS","BEST_FPERIOD_OVERRIDE","1BF","BEST_DATA_DATE_OVERRIDE",TEXT(YEAR($D$4),"0000")&amp;TEXT(MONTH($D$4),"00")&amp;TEXT(DAY($D$4),"00"))</f>
        <v/>
      </c>
      <c r="M98" s="54">
        <f>_xll.BDP($A98,"BEST_EPS","BEST_FPERIOD_OVERRIDE","1BF","BEST_DATA_DATE_OVERRIDE",TEXT(YEAR($E$4),"0000")&amp;TEXT(MONTH($E$4),"00")&amp;TEXT(DAY($E$4),"00"))</f>
        <v/>
      </c>
      <c r="N98" s="54">
        <f>_xll.BDP($A98,"BEST_EPS","BEST_FPERIOD_OVERRIDE","1BF","BEST_DATA_DATE_OVERRIDE",TEXT(YEAR($F$4),"0000")&amp;TEXT(MONTH($F$4),"00")&amp;TEXT(DAY($F$4),"00"))</f>
        <v/>
      </c>
      <c r="O98" s="22">
        <f>IFERROR(IF(AND(ISNUMBER($K98),ISNUMBER(L98),L98&lt;&gt;0),$K98/L98-1,""),"")</f>
        <v/>
      </c>
      <c r="P98" s="22">
        <f>IFERROR(IF(AND(ISNUMBER($K98),ISNUMBER(M98),M98&lt;&gt;0),$K98/M98-1,""),"")</f>
        <v/>
      </c>
      <c r="Q98" s="22">
        <f>IFERROR(IF(AND(ISNUMBER($K98),ISNUMBER(N98),N98&lt;&gt;0),$K98/N98-1,""),"")</f>
        <v/>
      </c>
    </row>
    <row r="99">
      <c r="A99" s="19">
        <f>Tickers!$A$98</f>
        <v/>
      </c>
      <c r="C99" s="30">
        <f>_xll.BDP($A99,"BEST_SALES","BEST_FPERIOD_OVERRIDE","1BF")</f>
        <v/>
      </c>
      <c r="D99" s="30">
        <f>_xll.BDP($A99,"BEST_SALES","BEST_FPERIOD_OVERRIDE","1BF","BEST_DATA_DATE_OVERRIDE",TEXT(YEAR($D$4),"0000")&amp;TEXT(MONTH($D$4),"00")&amp;TEXT(DAY($D$4),"00"))</f>
        <v/>
      </c>
      <c r="E99" s="30">
        <f>_xll.BDP($A99,"BEST_SALES","BEST_FPERIOD_OVERRIDE","1BF","BEST_DATA_DATE_OVERRIDE",TEXT(YEAR($E$4),"0000")&amp;TEXT(MONTH($E$4),"00")&amp;TEXT(DAY($E$4),"00"))</f>
        <v/>
      </c>
      <c r="F99" s="30">
        <f>_xll.BDP($A99,"BEST_SALES","BEST_FPERIOD_OVERRIDE","1BF","BEST_DATA_DATE_OVERRIDE",TEXT(YEAR($F$4),"0000")&amp;TEXT(MONTH($F$4),"00")&amp;TEXT(DAY($F$4),"00"))</f>
        <v/>
      </c>
      <c r="G99" s="22">
        <f>IFERROR(IF(AND(ISNUMBER($C99),ISNUMBER(D99),D99&lt;&gt;0),$C99/D99-1,""),"")</f>
        <v/>
      </c>
      <c r="H99" s="22">
        <f>IFERROR(IF(AND(ISNUMBER($C99),ISNUMBER(E99),E99&lt;&gt;0),$C99/E99-1,""),"")</f>
        <v/>
      </c>
      <c r="I99" s="22">
        <f>IFERROR(IF(AND(ISNUMBER($C99),ISNUMBER(F99),F99&lt;&gt;0),$C99/F99-1,""),"")</f>
        <v/>
      </c>
      <c r="K99" s="54">
        <f>_xll.BDP($A99,"BEST_EPS","BEST_FPERIOD_OVERRIDE","1BF")</f>
        <v/>
      </c>
      <c r="L99" s="54">
        <f>_xll.BDP($A99,"BEST_EPS","BEST_FPERIOD_OVERRIDE","1BF","BEST_DATA_DATE_OVERRIDE",TEXT(YEAR($D$4),"0000")&amp;TEXT(MONTH($D$4),"00")&amp;TEXT(DAY($D$4),"00"))</f>
        <v/>
      </c>
      <c r="M99" s="54">
        <f>_xll.BDP($A99,"BEST_EPS","BEST_FPERIOD_OVERRIDE","1BF","BEST_DATA_DATE_OVERRIDE",TEXT(YEAR($E$4),"0000")&amp;TEXT(MONTH($E$4),"00")&amp;TEXT(DAY($E$4),"00"))</f>
        <v/>
      </c>
      <c r="N99" s="54">
        <f>_xll.BDP($A99,"BEST_EPS","BEST_FPERIOD_OVERRIDE","1BF","BEST_DATA_DATE_OVERRIDE",TEXT(YEAR($F$4),"0000")&amp;TEXT(MONTH($F$4),"00")&amp;TEXT(DAY($F$4),"00"))</f>
        <v/>
      </c>
      <c r="O99" s="22">
        <f>IFERROR(IF(AND(ISNUMBER($K99),ISNUMBER(L99),L99&lt;&gt;0),$K99/L99-1,""),"")</f>
        <v/>
      </c>
      <c r="P99" s="22">
        <f>IFERROR(IF(AND(ISNUMBER($K99),ISNUMBER(M99),M99&lt;&gt;0),$K99/M99-1,""),"")</f>
        <v/>
      </c>
      <c r="Q99" s="22">
        <f>IFERROR(IF(AND(ISNUMBER($K99),ISNUMBER(N99),N99&lt;&gt;0),$K99/N99-1,""),"")</f>
        <v/>
      </c>
    </row>
    <row r="100">
      <c r="A100" s="19">
        <f>Tickers!$A$99</f>
        <v/>
      </c>
      <c r="C100" s="30">
        <f>_xll.BDP($A100,"BEST_SALES","BEST_FPERIOD_OVERRIDE","1BF")</f>
        <v/>
      </c>
      <c r="D100" s="30">
        <f>_xll.BDP($A100,"BEST_SALES","BEST_FPERIOD_OVERRIDE","1BF","BEST_DATA_DATE_OVERRIDE",TEXT(YEAR($D$4),"0000")&amp;TEXT(MONTH($D$4),"00")&amp;TEXT(DAY($D$4),"00"))</f>
        <v/>
      </c>
      <c r="E100" s="30">
        <f>_xll.BDP($A100,"BEST_SALES","BEST_FPERIOD_OVERRIDE","1BF","BEST_DATA_DATE_OVERRIDE",TEXT(YEAR($E$4),"0000")&amp;TEXT(MONTH($E$4),"00")&amp;TEXT(DAY($E$4),"00"))</f>
        <v/>
      </c>
      <c r="F100" s="30">
        <f>_xll.BDP($A100,"BEST_SALES","BEST_FPERIOD_OVERRIDE","1BF","BEST_DATA_DATE_OVERRIDE",TEXT(YEAR($F$4),"0000")&amp;TEXT(MONTH($F$4),"00")&amp;TEXT(DAY($F$4),"00"))</f>
        <v/>
      </c>
      <c r="G100" s="22">
        <f>IFERROR(IF(AND(ISNUMBER($C100),ISNUMBER(D100),D100&lt;&gt;0),$C100/D100-1,""),"")</f>
        <v/>
      </c>
      <c r="H100" s="22">
        <f>IFERROR(IF(AND(ISNUMBER($C100),ISNUMBER(E100),E100&lt;&gt;0),$C100/E100-1,""),"")</f>
        <v/>
      </c>
      <c r="I100" s="22">
        <f>IFERROR(IF(AND(ISNUMBER($C100),ISNUMBER(F100),F100&lt;&gt;0),$C100/F100-1,""),"")</f>
        <v/>
      </c>
      <c r="K100" s="54">
        <f>_xll.BDP($A100,"BEST_EPS","BEST_FPERIOD_OVERRIDE","1BF")</f>
        <v/>
      </c>
      <c r="L100" s="54">
        <f>_xll.BDP($A100,"BEST_EPS","BEST_FPERIOD_OVERRIDE","1BF","BEST_DATA_DATE_OVERRIDE",TEXT(YEAR($D$4),"0000")&amp;TEXT(MONTH($D$4),"00")&amp;TEXT(DAY($D$4),"00"))</f>
        <v/>
      </c>
      <c r="M100" s="54">
        <f>_xll.BDP($A100,"BEST_EPS","BEST_FPERIOD_OVERRIDE","1BF","BEST_DATA_DATE_OVERRIDE",TEXT(YEAR($E$4),"0000")&amp;TEXT(MONTH($E$4),"00")&amp;TEXT(DAY($E$4),"00"))</f>
        <v/>
      </c>
      <c r="N100" s="54">
        <f>_xll.BDP($A100,"BEST_EPS","BEST_FPERIOD_OVERRIDE","1BF","BEST_DATA_DATE_OVERRIDE",TEXT(YEAR($F$4),"0000")&amp;TEXT(MONTH($F$4),"00")&amp;TEXT(DAY($F$4),"00"))</f>
        <v/>
      </c>
      <c r="O100" s="22">
        <f>IFERROR(IF(AND(ISNUMBER($K100),ISNUMBER(L100),L100&lt;&gt;0),$K100/L100-1,""),"")</f>
        <v/>
      </c>
      <c r="P100" s="22">
        <f>IFERROR(IF(AND(ISNUMBER($K100),ISNUMBER(M100),M100&lt;&gt;0),$K100/M100-1,""),"")</f>
        <v/>
      </c>
      <c r="Q100" s="22">
        <f>IFERROR(IF(AND(ISNUMBER($K100),ISNUMBER(N100),N100&lt;&gt;0),$K100/N100-1,""),"")</f>
        <v/>
      </c>
    </row>
    <row r="101">
      <c r="A101" s="19">
        <f>Tickers!$A$100</f>
        <v/>
      </c>
      <c r="C101" s="30">
        <f>_xll.BDP($A101,"BEST_SALES","BEST_FPERIOD_OVERRIDE","1BF")</f>
        <v/>
      </c>
      <c r="D101" s="30">
        <f>_xll.BDP($A101,"BEST_SALES","BEST_FPERIOD_OVERRIDE","1BF","BEST_DATA_DATE_OVERRIDE",TEXT(YEAR($D$4),"0000")&amp;TEXT(MONTH($D$4),"00")&amp;TEXT(DAY($D$4),"00"))</f>
        <v/>
      </c>
      <c r="E101" s="30">
        <f>_xll.BDP($A101,"BEST_SALES","BEST_FPERIOD_OVERRIDE","1BF","BEST_DATA_DATE_OVERRIDE",TEXT(YEAR($E$4),"0000")&amp;TEXT(MONTH($E$4),"00")&amp;TEXT(DAY($E$4),"00"))</f>
        <v/>
      </c>
      <c r="F101" s="30">
        <f>_xll.BDP($A101,"BEST_SALES","BEST_FPERIOD_OVERRIDE","1BF","BEST_DATA_DATE_OVERRIDE",TEXT(YEAR($F$4),"0000")&amp;TEXT(MONTH($F$4),"00")&amp;TEXT(DAY($F$4),"00"))</f>
        <v/>
      </c>
      <c r="G101" s="22">
        <f>IFERROR(IF(AND(ISNUMBER($C101),ISNUMBER(D101),D101&lt;&gt;0),$C101/D101-1,""),"")</f>
        <v/>
      </c>
      <c r="H101" s="22">
        <f>IFERROR(IF(AND(ISNUMBER($C101),ISNUMBER(E101),E101&lt;&gt;0),$C101/E101-1,""),"")</f>
        <v/>
      </c>
      <c r="I101" s="22">
        <f>IFERROR(IF(AND(ISNUMBER($C101),ISNUMBER(F101),F101&lt;&gt;0),$C101/F101-1,""),"")</f>
        <v/>
      </c>
      <c r="K101" s="54">
        <f>_xll.BDP($A101,"BEST_EPS","BEST_FPERIOD_OVERRIDE","1BF")</f>
        <v/>
      </c>
      <c r="L101" s="54">
        <f>_xll.BDP($A101,"BEST_EPS","BEST_FPERIOD_OVERRIDE","1BF","BEST_DATA_DATE_OVERRIDE",TEXT(YEAR($D$4),"0000")&amp;TEXT(MONTH($D$4),"00")&amp;TEXT(DAY($D$4),"00"))</f>
        <v/>
      </c>
      <c r="M101" s="54">
        <f>_xll.BDP($A101,"BEST_EPS","BEST_FPERIOD_OVERRIDE","1BF","BEST_DATA_DATE_OVERRIDE",TEXT(YEAR($E$4),"0000")&amp;TEXT(MONTH($E$4),"00")&amp;TEXT(DAY($E$4),"00"))</f>
        <v/>
      </c>
      <c r="N101" s="54">
        <f>_xll.BDP($A101,"BEST_EPS","BEST_FPERIOD_OVERRIDE","1BF","BEST_DATA_DATE_OVERRIDE",TEXT(YEAR($F$4),"0000")&amp;TEXT(MONTH($F$4),"00")&amp;TEXT(DAY($F$4),"00"))</f>
        <v/>
      </c>
      <c r="O101" s="22">
        <f>IFERROR(IF(AND(ISNUMBER($K101),ISNUMBER(L101),L101&lt;&gt;0),$K101/L101-1,""),"")</f>
        <v/>
      </c>
      <c r="P101" s="22">
        <f>IFERROR(IF(AND(ISNUMBER($K101),ISNUMBER(M101),M101&lt;&gt;0),$K101/M101-1,""),"")</f>
        <v/>
      </c>
      <c r="Q101" s="22">
        <f>IFERROR(IF(AND(ISNUMBER($K101),ISNUMBER(N101),N101&lt;&gt;0),$K101/N101-1,""),"")</f>
        <v/>
      </c>
    </row>
    <row r="102">
      <c r="A102" s="19">
        <f>Tickers!$A$101</f>
        <v/>
      </c>
      <c r="C102" s="30">
        <f>_xll.BDP($A102,"BEST_SALES","BEST_FPERIOD_OVERRIDE","1BF")</f>
        <v/>
      </c>
      <c r="D102" s="30">
        <f>_xll.BDP($A102,"BEST_SALES","BEST_FPERIOD_OVERRIDE","1BF","BEST_DATA_DATE_OVERRIDE",TEXT(YEAR($D$4),"0000")&amp;TEXT(MONTH($D$4),"00")&amp;TEXT(DAY($D$4),"00"))</f>
        <v/>
      </c>
      <c r="E102" s="30">
        <f>_xll.BDP($A102,"BEST_SALES","BEST_FPERIOD_OVERRIDE","1BF","BEST_DATA_DATE_OVERRIDE",TEXT(YEAR($E$4),"0000")&amp;TEXT(MONTH($E$4),"00")&amp;TEXT(DAY($E$4),"00"))</f>
        <v/>
      </c>
      <c r="F102" s="30">
        <f>_xll.BDP($A102,"BEST_SALES","BEST_FPERIOD_OVERRIDE","1BF","BEST_DATA_DATE_OVERRIDE",TEXT(YEAR($F$4),"0000")&amp;TEXT(MONTH($F$4),"00")&amp;TEXT(DAY($F$4),"00"))</f>
        <v/>
      </c>
      <c r="G102" s="22">
        <f>IFERROR(IF(AND(ISNUMBER($C102),ISNUMBER(D102),D102&lt;&gt;0),$C102/D102-1,""),"")</f>
        <v/>
      </c>
      <c r="H102" s="22">
        <f>IFERROR(IF(AND(ISNUMBER($C102),ISNUMBER(E102),E102&lt;&gt;0),$C102/E102-1,""),"")</f>
        <v/>
      </c>
      <c r="I102" s="22">
        <f>IFERROR(IF(AND(ISNUMBER($C102),ISNUMBER(F102),F102&lt;&gt;0),$C102/F102-1,""),"")</f>
        <v/>
      </c>
      <c r="K102" s="54">
        <f>_xll.BDP($A102,"BEST_EPS","BEST_FPERIOD_OVERRIDE","1BF")</f>
        <v/>
      </c>
      <c r="L102" s="54">
        <f>_xll.BDP($A102,"BEST_EPS","BEST_FPERIOD_OVERRIDE","1BF","BEST_DATA_DATE_OVERRIDE",TEXT(YEAR($D$4),"0000")&amp;TEXT(MONTH($D$4),"00")&amp;TEXT(DAY($D$4),"00"))</f>
        <v/>
      </c>
      <c r="M102" s="54">
        <f>_xll.BDP($A102,"BEST_EPS","BEST_FPERIOD_OVERRIDE","1BF","BEST_DATA_DATE_OVERRIDE",TEXT(YEAR($E$4),"0000")&amp;TEXT(MONTH($E$4),"00")&amp;TEXT(DAY($E$4),"00"))</f>
        <v/>
      </c>
      <c r="N102" s="54">
        <f>_xll.BDP($A102,"BEST_EPS","BEST_FPERIOD_OVERRIDE","1BF","BEST_DATA_DATE_OVERRIDE",TEXT(YEAR($F$4),"0000")&amp;TEXT(MONTH($F$4),"00")&amp;TEXT(DAY($F$4),"00"))</f>
        <v/>
      </c>
      <c r="O102" s="22">
        <f>IFERROR(IF(AND(ISNUMBER($K102),ISNUMBER(L102),L102&lt;&gt;0),$K102/L102-1,""),"")</f>
        <v/>
      </c>
      <c r="P102" s="22">
        <f>IFERROR(IF(AND(ISNUMBER($K102),ISNUMBER(M102),M102&lt;&gt;0),$K102/M102-1,""),"")</f>
        <v/>
      </c>
      <c r="Q102" s="22">
        <f>IFERROR(IF(AND(ISNUMBER($K102),ISNUMBER(N102),N102&lt;&gt;0),$K102/N102-1,""),"")</f>
        <v/>
      </c>
    </row>
    <row r="103">
      <c r="A103" s="19">
        <f>Tickers!$A$102</f>
        <v/>
      </c>
      <c r="C103" s="30">
        <f>_xll.BDP($A103,"BEST_SALES","BEST_FPERIOD_OVERRIDE","1BF")</f>
        <v/>
      </c>
      <c r="D103" s="30">
        <f>_xll.BDP($A103,"BEST_SALES","BEST_FPERIOD_OVERRIDE","1BF","BEST_DATA_DATE_OVERRIDE",TEXT(YEAR($D$4),"0000")&amp;TEXT(MONTH($D$4),"00")&amp;TEXT(DAY($D$4),"00"))</f>
        <v/>
      </c>
      <c r="E103" s="30">
        <f>_xll.BDP($A103,"BEST_SALES","BEST_FPERIOD_OVERRIDE","1BF","BEST_DATA_DATE_OVERRIDE",TEXT(YEAR($E$4),"0000")&amp;TEXT(MONTH($E$4),"00")&amp;TEXT(DAY($E$4),"00"))</f>
        <v/>
      </c>
      <c r="F103" s="30">
        <f>_xll.BDP($A103,"BEST_SALES","BEST_FPERIOD_OVERRIDE","1BF","BEST_DATA_DATE_OVERRIDE",TEXT(YEAR($F$4),"0000")&amp;TEXT(MONTH($F$4),"00")&amp;TEXT(DAY($F$4),"00"))</f>
        <v/>
      </c>
      <c r="G103" s="22">
        <f>IFERROR(IF(AND(ISNUMBER($C103),ISNUMBER(D103),D103&lt;&gt;0),$C103/D103-1,""),"")</f>
        <v/>
      </c>
      <c r="H103" s="22">
        <f>IFERROR(IF(AND(ISNUMBER($C103),ISNUMBER(E103),E103&lt;&gt;0),$C103/E103-1,""),"")</f>
        <v/>
      </c>
      <c r="I103" s="22">
        <f>IFERROR(IF(AND(ISNUMBER($C103),ISNUMBER(F103),F103&lt;&gt;0),$C103/F103-1,""),"")</f>
        <v/>
      </c>
      <c r="K103" s="54">
        <f>_xll.BDP($A103,"BEST_EPS","BEST_FPERIOD_OVERRIDE","1BF")</f>
        <v/>
      </c>
      <c r="L103" s="54">
        <f>_xll.BDP($A103,"BEST_EPS","BEST_FPERIOD_OVERRIDE","1BF","BEST_DATA_DATE_OVERRIDE",TEXT(YEAR($D$4),"0000")&amp;TEXT(MONTH($D$4),"00")&amp;TEXT(DAY($D$4),"00"))</f>
        <v/>
      </c>
      <c r="M103" s="54">
        <f>_xll.BDP($A103,"BEST_EPS","BEST_FPERIOD_OVERRIDE","1BF","BEST_DATA_DATE_OVERRIDE",TEXT(YEAR($E$4),"0000")&amp;TEXT(MONTH($E$4),"00")&amp;TEXT(DAY($E$4),"00"))</f>
        <v/>
      </c>
      <c r="N103" s="54">
        <f>_xll.BDP($A103,"BEST_EPS","BEST_FPERIOD_OVERRIDE","1BF","BEST_DATA_DATE_OVERRIDE",TEXT(YEAR($F$4),"0000")&amp;TEXT(MONTH($F$4),"00")&amp;TEXT(DAY($F$4),"00"))</f>
        <v/>
      </c>
      <c r="O103" s="22">
        <f>IFERROR(IF(AND(ISNUMBER($K103),ISNUMBER(L103),L103&lt;&gt;0),$K103/L103-1,""),"")</f>
        <v/>
      </c>
      <c r="P103" s="22">
        <f>IFERROR(IF(AND(ISNUMBER($K103),ISNUMBER(M103),M103&lt;&gt;0),$K103/M103-1,""),"")</f>
        <v/>
      </c>
      <c r="Q103" s="22">
        <f>IFERROR(IF(AND(ISNUMBER($K103),ISNUMBER(N103),N103&lt;&gt;0),$K103/N103-1,""),"")</f>
        <v/>
      </c>
    </row>
    <row r="104">
      <c r="A104" s="19">
        <f>Tickers!$A$103</f>
        <v/>
      </c>
      <c r="C104" s="30">
        <f>_xll.BDP($A104,"BEST_SALES","BEST_FPERIOD_OVERRIDE","1BF")</f>
        <v/>
      </c>
      <c r="D104" s="30">
        <f>_xll.BDP($A104,"BEST_SALES","BEST_FPERIOD_OVERRIDE","1BF","BEST_DATA_DATE_OVERRIDE",TEXT(YEAR($D$4),"0000")&amp;TEXT(MONTH($D$4),"00")&amp;TEXT(DAY($D$4),"00"))</f>
        <v/>
      </c>
      <c r="E104" s="30">
        <f>_xll.BDP($A104,"BEST_SALES","BEST_FPERIOD_OVERRIDE","1BF","BEST_DATA_DATE_OVERRIDE",TEXT(YEAR($E$4),"0000")&amp;TEXT(MONTH($E$4),"00")&amp;TEXT(DAY($E$4),"00"))</f>
        <v/>
      </c>
      <c r="F104" s="30">
        <f>_xll.BDP($A104,"BEST_SALES","BEST_FPERIOD_OVERRIDE","1BF","BEST_DATA_DATE_OVERRIDE",TEXT(YEAR($F$4),"0000")&amp;TEXT(MONTH($F$4),"00")&amp;TEXT(DAY($F$4),"00"))</f>
        <v/>
      </c>
      <c r="G104" s="22">
        <f>IFERROR(IF(AND(ISNUMBER($C104),ISNUMBER(D104),D104&lt;&gt;0),$C104/D104-1,""),"")</f>
        <v/>
      </c>
      <c r="H104" s="22">
        <f>IFERROR(IF(AND(ISNUMBER($C104),ISNUMBER(E104),E104&lt;&gt;0),$C104/E104-1,""),"")</f>
        <v/>
      </c>
      <c r="I104" s="22">
        <f>IFERROR(IF(AND(ISNUMBER($C104),ISNUMBER(F104),F104&lt;&gt;0),$C104/F104-1,""),"")</f>
        <v/>
      </c>
      <c r="K104" s="54">
        <f>_xll.BDP($A104,"BEST_EPS","BEST_FPERIOD_OVERRIDE","1BF")</f>
        <v/>
      </c>
      <c r="L104" s="54">
        <f>_xll.BDP($A104,"BEST_EPS","BEST_FPERIOD_OVERRIDE","1BF","BEST_DATA_DATE_OVERRIDE",TEXT(YEAR($D$4),"0000")&amp;TEXT(MONTH($D$4),"00")&amp;TEXT(DAY($D$4),"00"))</f>
        <v/>
      </c>
      <c r="M104" s="54">
        <f>_xll.BDP($A104,"BEST_EPS","BEST_FPERIOD_OVERRIDE","1BF","BEST_DATA_DATE_OVERRIDE",TEXT(YEAR($E$4),"0000")&amp;TEXT(MONTH($E$4),"00")&amp;TEXT(DAY($E$4),"00"))</f>
        <v/>
      </c>
      <c r="N104" s="54">
        <f>_xll.BDP($A104,"BEST_EPS","BEST_FPERIOD_OVERRIDE","1BF","BEST_DATA_DATE_OVERRIDE",TEXT(YEAR($F$4),"0000")&amp;TEXT(MONTH($F$4),"00")&amp;TEXT(DAY($F$4),"00"))</f>
        <v/>
      </c>
      <c r="O104" s="22">
        <f>IFERROR(IF(AND(ISNUMBER($K104),ISNUMBER(L104),L104&lt;&gt;0),$K104/L104-1,""),"")</f>
        <v/>
      </c>
      <c r="P104" s="22">
        <f>IFERROR(IF(AND(ISNUMBER($K104),ISNUMBER(M104),M104&lt;&gt;0),$K104/M104-1,""),"")</f>
        <v/>
      </c>
      <c r="Q104" s="22">
        <f>IFERROR(IF(AND(ISNUMBER($K104),ISNUMBER(N104),N104&lt;&gt;0),$K104/N104-1,""),"")</f>
        <v/>
      </c>
    </row>
  </sheetData>
  <conditionalFormatting sqref="G6:I104">
    <cfRule type="colorScale" priority="1">
      <colorScale>
        <cfvo type="num" val="-0.1"/>
        <cfvo type="num" val="0"/>
        <cfvo type="num" val="0.1"/>
        <color rgb="00F8696B"/>
        <color rgb="00FFFFFF"/>
        <color rgb="0063BE7B"/>
      </colorScale>
    </cfRule>
  </conditionalFormatting>
  <conditionalFormatting sqref="O6:Q104">
    <cfRule type="colorScale" priority="2">
      <colorScale>
        <cfvo type="num" val="-0.1"/>
        <cfvo type="num" val="0"/>
        <cfvo type="num" val="0.1"/>
        <color rgb="00F8696B"/>
        <color rgb="00FFFFFF"/>
        <color rgb="0063BE7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0070C0"/>
    <outlinePr summaryBelow="1" summaryRight="1"/>
    <pageSetUpPr/>
  </sheetPr>
  <dimension ref="A1:R10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</cols>
  <sheetData>
    <row r="1">
      <c r="A1" s="5" t="inlineStr">
        <is>
          <t>Software — Quarterly Adjusted Revenue (USD mm)</t>
        </is>
      </c>
      <c r="H1" s="6" t="inlineStr">
        <is>
          <t>⚠ Cells blank? This is a LIVE Bloomberg workbook — it has no saved data until its first refresh. Open it in desktop Excel on your Bloomberg terminal PC (add-in logged in), then Bloomberg ribbon ▸ Refresh All (or Ctrl+Alt+F9), wait a few minutes, and save. See README.</t>
        </is>
      </c>
    </row>
    <row r="2">
      <c r="A2" s="7" t="inlineStr">
        <is>
          <t>Columns are aligned by fiscal period offset (FPO): FPO 0 = each company's most recently REPORTED quarter, so fiscal calendars differ across rows (e.g. ZM's FY ends Jan). FPO +1/+2 are consensus estimates (shaded).</t>
        </is>
      </c>
    </row>
    <row r="3">
      <c r="A3" s="7" t="inlineStr">
        <is>
          <t>Source: Bloomberg — BQL: sales_rev_turn, fpt=q, ae=ae (actual through FPO 0, consensus estimate for FPO +1/+2), fa_adjusted=y (Bloomberg-adjusted), currency='USD', scaled /1m. Refresh on a Bloomberg terminal (Bloomberg ribbon &gt; Refresh All).</t>
        </is>
      </c>
    </row>
    <row r="4" ht="28" customHeight="1">
      <c r="A4" s="8" t="inlineStr">
        <is>
          <t>Ticker</t>
        </is>
      </c>
      <c r="B4" s="8" t="inlineStr">
        <is>
          <t>Latest Rpt Qtr</t>
        </is>
      </c>
      <c r="C4" s="8" t="inlineStr">
        <is>
          <t>FPO -13</t>
        </is>
      </c>
      <c r="D4" s="8" t="inlineStr">
        <is>
          <t>FPO -12</t>
        </is>
      </c>
      <c r="E4" s="8" t="inlineStr">
        <is>
          <t>FPO -11</t>
        </is>
      </c>
      <c r="F4" s="8" t="inlineStr">
        <is>
          <t>FPO -10</t>
        </is>
      </c>
      <c r="G4" s="8" t="inlineStr">
        <is>
          <t>FPO -9</t>
        </is>
      </c>
      <c r="H4" s="8" t="inlineStr">
        <is>
          <t>FPO -8</t>
        </is>
      </c>
      <c r="I4" s="8" t="inlineStr">
        <is>
          <t>FPO -7</t>
        </is>
      </c>
      <c r="J4" s="8" t="inlineStr">
        <is>
          <t>FPO -6</t>
        </is>
      </c>
      <c r="K4" s="8" t="inlineStr">
        <is>
          <t>FPO -5</t>
        </is>
      </c>
      <c r="L4" s="8" t="inlineStr">
        <is>
          <t>FPO -4</t>
        </is>
      </c>
      <c r="M4" s="8" t="inlineStr">
        <is>
          <t>FPO -3</t>
        </is>
      </c>
      <c r="N4" s="8" t="inlineStr">
        <is>
          <t>FPO -2</t>
        </is>
      </c>
      <c r="O4" s="8" t="inlineStr">
        <is>
          <t>FPO -1</t>
        </is>
      </c>
      <c r="P4" s="8" t="inlineStr">
        <is>
          <t>FPO 0 (latest rpt)</t>
        </is>
      </c>
      <c r="Q4" s="8" t="inlineStr">
        <is>
          <t>FPO +1E</t>
        </is>
      </c>
      <c r="R4" s="8" t="inlineStr">
        <is>
          <t>FPO +2E</t>
        </is>
      </c>
    </row>
    <row r="5">
      <c r="A5" s="19">
        <f>Tickers!$A$5</f>
        <v/>
      </c>
      <c r="B5" s="29" cm="1">
        <f t="array" aca="1" ref="B5" ca="1">_xll.BQL($A5, "#itm().period as #p", "#itm=sales_rev_turn(fpt=q,fpo=0,ae=a)","showids=f","transpose=t","showheaders=f")</f>
        <v/>
      </c>
      <c r="C5" s="30" cm="1">
        <f t="array" aca="1" ref="C5" ca="1">_xll.BQL($A5, "#itm().value as #v", "#itm=sales_rev_turn(fpt=q,fpo=range(-13,2),ae=ae,fa_adjusted=y,currency='USD')/1m","showids=f","transpose=t","showheaders=f")</f>
        <v/>
      </c>
      <c r="D5" s="30" t="n"/>
      <c r="E5" s="30" t="n"/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  <c r="O5" s="30" t="n"/>
      <c r="P5" s="30" t="n"/>
      <c r="Q5" s="31" t="n"/>
      <c r="R5" s="31" t="n"/>
    </row>
    <row r="6">
      <c r="A6" s="19">
        <f>Tickers!$A$6</f>
        <v/>
      </c>
      <c r="B6" s="29" cm="1">
        <f t="array" aca="1" ref="B6" ca="1">_xll.BQL($A6, "#itm().period as #p", "#itm=sales_rev_turn(fpt=q,fpo=0,ae=a)","showids=f","transpose=t","showheaders=f")</f>
        <v/>
      </c>
      <c r="C6" s="30" cm="1">
        <f t="array" aca="1" ref="C6" ca="1">_xll.BQL($A6, "#itm().value as #v", "#itm=sales_rev_turn(fpt=q,fpo=range(-13,2),ae=ae,fa_adjusted=y,currency='USD')/1m","showids=f","transpose=t","showheaders=f")</f>
        <v/>
      </c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1" t="n"/>
      <c r="R6" s="31" t="n"/>
    </row>
    <row r="7">
      <c r="A7" s="19">
        <f>Tickers!$A$7</f>
        <v/>
      </c>
      <c r="B7" s="29" cm="1">
        <f t="array" aca="1" ref="B7" ca="1">_xll.BQL($A7, "#itm().period as #p", "#itm=sales_rev_turn(fpt=q,fpo=0,ae=a)","showids=f","transpose=t","showheaders=f")</f>
        <v/>
      </c>
      <c r="C7" s="30" cm="1">
        <f t="array" aca="1" ref="C7" ca="1">_xll.BQL($A7, "#itm().value as #v", "#itm=sales_rev_turn(fpt=q,fpo=range(-13,2),ae=ae,fa_adjusted=y,currency='USD')/1m","showids=f","transpose=t","showheaders=f")</f>
        <v/>
      </c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1" t="n"/>
      <c r="R7" s="31" t="n"/>
    </row>
    <row r="8">
      <c r="A8" s="19">
        <f>Tickers!$A$8</f>
        <v/>
      </c>
      <c r="B8" s="29" cm="1">
        <f t="array" aca="1" ref="B8" ca="1">_xll.BQL($A8, "#itm().period as #p", "#itm=sales_rev_turn(fpt=q,fpo=0,ae=a)","showids=f","transpose=t","showheaders=f")</f>
        <v/>
      </c>
      <c r="C8" s="30" cm="1">
        <f t="array" aca="1" ref="C8" ca="1">_xll.BQL($A8, "#itm().value as #v", "#itm=sales_rev_turn(fpt=q,fpo=range(-13,2),ae=ae,fa_adjusted=y,currency='USD')/1m","showids=f","transpose=t","showheaders=f")</f>
        <v/>
      </c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1" t="n"/>
      <c r="R8" s="31" t="n"/>
    </row>
    <row r="9">
      <c r="A9" s="19">
        <f>Tickers!$A$9</f>
        <v/>
      </c>
      <c r="B9" s="29" cm="1">
        <f t="array" aca="1" ref="B9" ca="1">_xll.BQL($A9, "#itm().period as #p", "#itm=sales_rev_turn(fpt=q,fpo=0,ae=a)","showids=f","transpose=t","showheaders=f")</f>
        <v/>
      </c>
      <c r="C9" s="30" cm="1">
        <f t="array" aca="1" ref="C9" ca="1">_xll.BQL($A9, "#itm().value as #v", "#itm=sales_rev_turn(fpt=q,fpo=range(-13,2),ae=ae,fa_adjusted=y,currency='USD')/1m","showids=f","transpose=t","showheaders=f")</f>
        <v/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1" t="n"/>
      <c r="R9" s="31" t="n"/>
    </row>
    <row r="10">
      <c r="A10" s="19">
        <f>Tickers!$A$10</f>
        <v/>
      </c>
      <c r="B10" s="29" cm="1">
        <f t="array" aca="1" ref="B10" ca="1">_xll.BQL($A10, "#itm().period as #p", "#itm=sales_rev_turn(fpt=q,fpo=0,ae=a)","showids=f","transpose=t","showheaders=f")</f>
        <v/>
      </c>
      <c r="C10" s="30" cm="1">
        <f t="array" aca="1" ref="C10" ca="1">_xll.BQL($A10, "#itm().value as #v", "#itm=sales_rev_turn(fpt=q,fpo=range(-13,2),ae=ae,fa_adjusted=y,currency='USD')/1m","showids=f","transpose=t","showheaders=f")</f>
        <v/>
      </c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30" t="n"/>
      <c r="Q10" s="31" t="n"/>
      <c r="R10" s="31" t="n"/>
    </row>
    <row r="11">
      <c r="A11" s="19">
        <f>Tickers!$A$11</f>
        <v/>
      </c>
      <c r="B11" s="29" cm="1">
        <f t="array" aca="1" ref="B11" ca="1">_xll.BQL($A11, "#itm().period as #p", "#itm=sales_rev_turn(fpt=q,fpo=0,ae=a)","showids=f","transpose=t","showheaders=f")</f>
        <v/>
      </c>
      <c r="C11" s="30" cm="1">
        <f t="array" aca="1" ref="C11" ca="1">_xll.BQL($A11, "#itm().value as #v", "#itm=sales_rev_turn(fpt=q,fpo=range(-13,2),ae=ae,fa_adjusted=y,currency='USD')/1m","showids=f","transpose=t","showheaders=f")</f>
        <v/>
      </c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1" t="n"/>
      <c r="R11" s="31" t="n"/>
    </row>
    <row r="12">
      <c r="A12" s="19">
        <f>Tickers!$A$12</f>
        <v/>
      </c>
      <c r="B12" s="29" cm="1">
        <f t="array" aca="1" ref="B12" ca="1">_xll.BQL($A12, "#itm().period as #p", "#itm=sales_rev_turn(fpt=q,fpo=0,ae=a)","showids=f","transpose=t","showheaders=f")</f>
        <v/>
      </c>
      <c r="C12" s="30" cm="1">
        <f t="array" aca="1" ref="C12" ca="1">_xll.BQL($A12, "#itm().value as #v", "#itm=sales_rev_turn(fpt=q,fpo=range(-13,2),ae=ae,fa_adjusted=y,currency='USD')/1m","showids=f","transpose=t","showheaders=f")</f>
        <v/>
      </c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1" t="n"/>
      <c r="R12" s="31" t="n"/>
    </row>
    <row r="13">
      <c r="A13" s="19">
        <f>Tickers!$A$13</f>
        <v/>
      </c>
      <c r="B13" s="29" cm="1">
        <f t="array" aca="1" ref="B13" ca="1">_xll.BQL($A13, "#itm().period as #p", "#itm=sales_rev_turn(fpt=q,fpo=0,ae=a)","showids=f","transpose=t","showheaders=f")</f>
        <v/>
      </c>
      <c r="C13" s="30" cm="1">
        <f t="array" aca="1" ref="C13" ca="1">_xll.BQL($A13, "#itm().value as #v", "#itm=sales_rev_turn(fpt=q,fpo=range(-13,2),ae=ae,fa_adjusted=y,currency='USD')/1m","showids=f","transpose=t","showheaders=f")</f>
        <v/>
      </c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1" t="n"/>
      <c r="R13" s="31" t="n"/>
    </row>
    <row r="14">
      <c r="A14" s="19">
        <f>Tickers!$A$14</f>
        <v/>
      </c>
      <c r="B14" s="29" cm="1">
        <f t="array" aca="1" ref="B14" ca="1">_xll.BQL($A14, "#itm().period as #p", "#itm=sales_rev_turn(fpt=q,fpo=0,ae=a)","showids=f","transpose=t","showheaders=f")</f>
        <v/>
      </c>
      <c r="C14" s="30" cm="1">
        <f t="array" aca="1" ref="C14" ca="1">_xll.BQL($A14, "#itm().value as #v", "#itm=sales_rev_turn(fpt=q,fpo=range(-13,2),ae=ae,fa_adjusted=y,currency='USD')/1m","showids=f","transpose=t","showheaders=f")</f>
        <v/>
      </c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  <c r="Q14" s="31" t="n"/>
      <c r="R14" s="31" t="n"/>
    </row>
    <row r="15">
      <c r="A15" s="19">
        <f>Tickers!$A$15</f>
        <v/>
      </c>
      <c r="B15" s="29" cm="1">
        <f t="array" aca="1" ref="B15" ca="1">_xll.BQL($A15, "#itm().period as #p", "#itm=sales_rev_turn(fpt=q,fpo=0,ae=a)","showids=f","transpose=t","showheaders=f")</f>
        <v/>
      </c>
      <c r="C15" s="30" cm="1">
        <f t="array" aca="1" ref="C15" ca="1">_xll.BQL($A15, "#itm().value as #v", "#itm=sales_rev_turn(fpt=q,fpo=range(-13,2),ae=ae,fa_adjusted=y,currency='USD')/1m","showids=f","transpose=t","showheaders=f")</f>
        <v/>
      </c>
      <c r="D15" s="30" t="n"/>
      <c r="E15" s="30" t="n"/>
      <c r="F15" s="30" t="n"/>
      <c r="G15" s="30" t="n"/>
      <c r="H15" s="30" t="n"/>
      <c r="I15" s="30" t="n"/>
      <c r="J15" s="30" t="n"/>
      <c r="K15" s="30" t="n"/>
      <c r="L15" s="30" t="n"/>
      <c r="M15" s="30" t="n"/>
      <c r="N15" s="30" t="n"/>
      <c r="O15" s="30" t="n"/>
      <c r="P15" s="30" t="n"/>
      <c r="Q15" s="31" t="n"/>
      <c r="R15" s="31" t="n"/>
    </row>
    <row r="16">
      <c r="A16" s="19">
        <f>Tickers!$A$16</f>
        <v/>
      </c>
      <c r="B16" s="29" cm="1">
        <f t="array" aca="1" ref="B16" ca="1">_xll.BQL($A16, "#itm().period as #p", "#itm=sales_rev_turn(fpt=q,fpo=0,ae=a)","showids=f","transpose=t","showheaders=f")</f>
        <v/>
      </c>
      <c r="C16" s="30" cm="1">
        <f t="array" aca="1" ref="C16" ca="1">_xll.BQL($A16, "#itm().value as #v", "#itm=sales_rev_turn(fpt=q,fpo=range(-13,2),ae=ae,fa_adjusted=y,currency='USD')/1m","showids=f","transpose=t","showheaders=f")</f>
        <v/>
      </c>
      <c r="D16" s="30" t="n"/>
      <c r="E16" s="30" t="n"/>
      <c r="F16" s="30" t="n"/>
      <c r="G16" s="30" t="n"/>
      <c r="H16" s="30" t="n"/>
      <c r="I16" s="30" t="n"/>
      <c r="J16" s="30" t="n"/>
      <c r="K16" s="30" t="n"/>
      <c r="L16" s="30" t="n"/>
      <c r="M16" s="30" t="n"/>
      <c r="N16" s="30" t="n"/>
      <c r="O16" s="30" t="n"/>
      <c r="P16" s="30" t="n"/>
      <c r="Q16" s="31" t="n"/>
      <c r="R16" s="31" t="n"/>
    </row>
    <row r="17">
      <c r="A17" s="19">
        <f>Tickers!$A$17</f>
        <v/>
      </c>
      <c r="B17" s="29" cm="1">
        <f t="array" aca="1" ref="B17" ca="1">_xll.BQL($A17, "#itm().period as #p", "#itm=sales_rev_turn(fpt=q,fpo=0,ae=a)","showids=f","transpose=t","showheaders=f")</f>
        <v/>
      </c>
      <c r="C17" s="30" cm="1">
        <f t="array" aca="1" ref="C17" ca="1">_xll.BQL($A17, "#itm().value as #v", "#itm=sales_rev_turn(fpt=q,fpo=range(-13,2),ae=ae,fa_adjusted=y,currency='USD')/1m","showids=f","transpose=t","showheaders=f")</f>
        <v/>
      </c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30" t="n"/>
      <c r="Q17" s="31" t="n"/>
      <c r="R17" s="31" t="n"/>
    </row>
    <row r="18">
      <c r="A18" s="19">
        <f>Tickers!$A$18</f>
        <v/>
      </c>
      <c r="B18" s="29" cm="1">
        <f t="array" aca="1" ref="B18" ca="1">_xll.BQL($A18, "#itm().period as #p", "#itm=sales_rev_turn(fpt=q,fpo=0,ae=a)","showids=f","transpose=t","showheaders=f")</f>
        <v/>
      </c>
      <c r="C18" s="30" cm="1">
        <f t="array" aca="1" ref="C18" ca="1">_xll.BQL($A18, "#itm().value as #v", "#itm=sales_rev_turn(fpt=q,fpo=range(-13,2),ae=ae,fa_adjusted=y,currency='USD')/1m","showids=f","transpose=t","showheaders=f")</f>
        <v/>
      </c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1" t="n"/>
      <c r="R18" s="31" t="n"/>
    </row>
    <row r="19">
      <c r="A19" s="19">
        <f>Tickers!$A$19</f>
        <v/>
      </c>
      <c r="B19" s="29" cm="1">
        <f t="array" aca="1" ref="B19" ca="1">_xll.BQL($A19, "#itm().period as #p", "#itm=sales_rev_turn(fpt=q,fpo=0,ae=a)","showids=f","transpose=t","showheaders=f")</f>
        <v/>
      </c>
      <c r="C19" s="30" cm="1">
        <f t="array" aca="1" ref="C19" ca="1">_xll.BQL($A19, "#itm().value as #v", "#itm=sales_rev_turn(fpt=q,fpo=range(-13,2),ae=ae,fa_adjusted=y,currency='USD')/1m","showids=f","transpose=t","showheaders=f")</f>
        <v/>
      </c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1" t="n"/>
      <c r="R19" s="31" t="n"/>
    </row>
    <row r="20">
      <c r="A20" s="19">
        <f>Tickers!$A$20</f>
        <v/>
      </c>
      <c r="B20" s="29" cm="1">
        <f t="array" aca="1" ref="B20" ca="1">_xll.BQL($A20, "#itm().period as #p", "#itm=sales_rev_turn(fpt=q,fpo=0,ae=a)","showids=f","transpose=t","showheaders=f")</f>
        <v/>
      </c>
      <c r="C20" s="30" cm="1">
        <f t="array" aca="1" ref="C20" ca="1">_xll.BQL($A20, "#itm().value as #v", "#itm=sales_rev_turn(fpt=q,fpo=range(-13,2),ae=ae,fa_adjusted=y,currency='USD')/1m","showids=f","transpose=t","showheaders=f")</f>
        <v/>
      </c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30" t="n"/>
      <c r="Q20" s="31" t="n"/>
      <c r="R20" s="31" t="n"/>
    </row>
    <row r="21">
      <c r="A21" s="19">
        <f>Tickers!$A$21</f>
        <v/>
      </c>
      <c r="B21" s="29" cm="1">
        <f t="array" aca="1" ref="B21" ca="1">_xll.BQL($A21, "#itm().period as #p", "#itm=sales_rev_turn(fpt=q,fpo=0,ae=a)","showids=f","transpose=t","showheaders=f")</f>
        <v/>
      </c>
      <c r="C21" s="30" cm="1">
        <f t="array" aca="1" ref="C21" ca="1">_xll.BQL($A21, "#itm().value as #v", "#itm=sales_rev_turn(fpt=q,fpo=range(-13,2),ae=ae,fa_adjusted=y,currency='USD')/1m","showids=f","transpose=t","showheaders=f")</f>
        <v/>
      </c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  <c r="P21" s="30" t="n"/>
      <c r="Q21" s="31" t="n"/>
      <c r="R21" s="31" t="n"/>
    </row>
    <row r="22">
      <c r="A22" s="19">
        <f>Tickers!$A$22</f>
        <v/>
      </c>
      <c r="B22" s="29" cm="1">
        <f t="array" aca="1" ref="B22" ca="1">_xll.BQL($A22, "#itm().period as #p", "#itm=sales_rev_turn(fpt=q,fpo=0,ae=a)","showids=f","transpose=t","showheaders=f")</f>
        <v/>
      </c>
      <c r="C22" s="30" cm="1">
        <f t="array" aca="1" ref="C22" ca="1">_xll.BQL($A22, "#itm().value as #v", "#itm=sales_rev_turn(fpt=q,fpo=range(-13,2),ae=ae,fa_adjusted=y,currency='USD')/1m","showids=f","transpose=t","showheaders=f")</f>
        <v/>
      </c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n"/>
      <c r="Q22" s="31" t="n"/>
      <c r="R22" s="31" t="n"/>
    </row>
    <row r="23">
      <c r="A23" s="19">
        <f>Tickers!$A$23</f>
        <v/>
      </c>
      <c r="B23" s="29" cm="1">
        <f t="array" aca="1" ref="B23" ca="1">_xll.BQL($A23, "#itm().period as #p", "#itm=sales_rev_turn(fpt=q,fpo=0,ae=a)","showids=f","transpose=t","showheaders=f")</f>
        <v/>
      </c>
      <c r="C23" s="30" cm="1">
        <f t="array" aca="1" ref="C23" ca="1">_xll.BQL($A23, "#itm().value as #v", "#itm=sales_rev_turn(fpt=q,fpo=range(-13,2),ae=ae,fa_adjusted=y,currency='USD')/1m","showids=f","transpose=t","showheaders=f")</f>
        <v/>
      </c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30" t="n"/>
      <c r="P23" s="30" t="n"/>
      <c r="Q23" s="31" t="n"/>
      <c r="R23" s="31" t="n"/>
    </row>
    <row r="24">
      <c r="A24" s="19">
        <f>Tickers!$A$24</f>
        <v/>
      </c>
      <c r="B24" s="29" cm="1">
        <f t="array" aca="1" ref="B24" ca="1">_xll.BQL($A24, "#itm().period as #p", "#itm=sales_rev_turn(fpt=q,fpo=0,ae=a)","showids=f","transpose=t","showheaders=f")</f>
        <v/>
      </c>
      <c r="C24" s="30" cm="1">
        <f t="array" aca="1" ref="C24" ca="1">_xll.BQL($A24, "#itm().value as #v", "#itm=sales_rev_turn(fpt=q,fpo=range(-13,2),ae=ae,fa_adjusted=y,currency='USD')/1m","showids=f","transpose=t","showheaders=f")</f>
        <v/>
      </c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30" t="n"/>
      <c r="Q24" s="31" t="n"/>
      <c r="R24" s="31" t="n"/>
    </row>
    <row r="25">
      <c r="A25" s="19">
        <f>Tickers!$A$25</f>
        <v/>
      </c>
      <c r="B25" s="29" cm="1">
        <f t="array" aca="1" ref="B25" ca="1">_xll.BQL($A25, "#itm().period as #p", "#itm=sales_rev_turn(fpt=q,fpo=0,ae=a)","showids=f","transpose=t","showheaders=f")</f>
        <v/>
      </c>
      <c r="C25" s="30" cm="1">
        <f t="array" aca="1" ref="C25" ca="1">_xll.BQL($A25, "#itm().value as #v", "#itm=sales_rev_turn(fpt=q,fpo=range(-13,2),ae=ae,fa_adjusted=y,currency='USD')/1m","showids=f","transpose=t","showheaders=f")</f>
        <v/>
      </c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  <c r="Q25" s="31" t="n"/>
      <c r="R25" s="31" t="n"/>
    </row>
    <row r="26">
      <c r="A26" s="19">
        <f>Tickers!$A$26</f>
        <v/>
      </c>
      <c r="B26" s="29" cm="1">
        <f t="array" aca="1" ref="B26" ca="1">_xll.BQL($A26, "#itm().period as #p", "#itm=sales_rev_turn(fpt=q,fpo=0,ae=a)","showids=f","transpose=t","showheaders=f")</f>
        <v/>
      </c>
      <c r="C26" s="30" cm="1">
        <f t="array" aca="1" ref="C26" ca="1">_xll.BQL($A26, "#itm().value as #v", "#itm=sales_rev_turn(fpt=q,fpo=range(-13,2),ae=ae,fa_adjusted=y,currency='USD')/1m","showids=f","transpose=t","showheaders=f")</f>
        <v/>
      </c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30" t="n"/>
      <c r="Q26" s="31" t="n"/>
      <c r="R26" s="31" t="n"/>
    </row>
    <row r="27">
      <c r="A27" s="19">
        <f>Tickers!$A$27</f>
        <v/>
      </c>
      <c r="B27" s="29" cm="1">
        <f t="array" aca="1" ref="B27" ca="1">_xll.BQL($A27, "#itm().period as #p", "#itm=sales_rev_turn(fpt=q,fpo=0,ae=a)","showids=f","transpose=t","showheaders=f")</f>
        <v/>
      </c>
      <c r="C27" s="30" cm="1">
        <f t="array" aca="1" ref="C27" ca="1">_xll.BQL($A27, "#itm().value as #v", "#itm=sales_rev_turn(fpt=q,fpo=range(-13,2),ae=ae,fa_adjusted=y,currency='USD')/1m","showids=f","transpose=t","showheaders=f")</f>
        <v/>
      </c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30" t="n"/>
      <c r="Q27" s="31" t="n"/>
      <c r="R27" s="31" t="n"/>
    </row>
    <row r="28">
      <c r="A28" s="19">
        <f>Tickers!$A$28</f>
        <v/>
      </c>
      <c r="B28" s="29" cm="1">
        <f t="array" aca="1" ref="B28" ca="1">_xll.BQL($A28, "#itm().period as #p", "#itm=sales_rev_turn(fpt=q,fpo=0,ae=a)","showids=f","transpose=t","showheaders=f")</f>
        <v/>
      </c>
      <c r="C28" s="30" cm="1">
        <f t="array" aca="1" ref="C28" ca="1">_xll.BQL($A28, "#itm().value as #v", "#itm=sales_rev_turn(fpt=q,fpo=range(-13,2),ae=ae,fa_adjusted=y,currency='USD')/1m","showids=f","transpose=t","showheaders=f")</f>
        <v/>
      </c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30" t="n"/>
      <c r="Q28" s="31" t="n"/>
      <c r="R28" s="31" t="n"/>
    </row>
    <row r="29">
      <c r="A29" s="19">
        <f>Tickers!$A$29</f>
        <v/>
      </c>
      <c r="B29" s="29" cm="1">
        <f t="array" aca="1" ref="B29" ca="1">_xll.BQL($A29, "#itm().period as #p", "#itm=sales_rev_turn(fpt=q,fpo=0,ae=a)","showids=f","transpose=t","showheaders=f")</f>
        <v/>
      </c>
      <c r="C29" s="30" cm="1">
        <f t="array" aca="1" ref="C29" ca="1">_xll.BQL($A29, "#itm().value as #v", "#itm=sales_rev_turn(fpt=q,fpo=range(-13,2),ae=ae,fa_adjusted=y,currency='USD')/1m","showids=f","transpose=t","showheaders=f")</f>
        <v/>
      </c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30" t="n"/>
      <c r="Q29" s="31" t="n"/>
      <c r="R29" s="31" t="n"/>
    </row>
    <row r="30">
      <c r="A30" s="19">
        <f>Tickers!$A$30</f>
        <v/>
      </c>
      <c r="B30" s="29" cm="1">
        <f t="array" aca="1" ref="B30" ca="1">_xll.BQL($A30, "#itm().period as #p", "#itm=sales_rev_turn(fpt=q,fpo=0,ae=a)","showids=f","transpose=t","showheaders=f")</f>
        <v/>
      </c>
      <c r="C30" s="30" cm="1">
        <f t="array" aca="1" ref="C30" ca="1">_xll.BQL($A30, "#itm().value as #v", "#itm=sales_rev_turn(fpt=q,fpo=range(-13,2),ae=ae,fa_adjusted=y,currency='USD')/1m","showids=f","transpose=t","showheaders=f")</f>
        <v/>
      </c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30" t="n"/>
      <c r="Q30" s="31" t="n"/>
      <c r="R30" s="31" t="n"/>
    </row>
    <row r="31">
      <c r="A31" s="19">
        <f>Tickers!$A$31</f>
        <v/>
      </c>
      <c r="B31" s="29" cm="1">
        <f t="array" aca="1" ref="B31" ca="1">_xll.BQL($A31, "#itm().period as #p", "#itm=sales_rev_turn(fpt=q,fpo=0,ae=a)","showids=f","transpose=t","showheaders=f")</f>
        <v/>
      </c>
      <c r="C31" s="30" cm="1">
        <f t="array" aca="1" ref="C31" ca="1">_xll.BQL($A31, "#itm().value as #v", "#itm=sales_rev_turn(fpt=q,fpo=range(-13,2),ae=ae,fa_adjusted=y,currency='USD')/1m","showids=f","transpose=t","showheaders=f")</f>
        <v/>
      </c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0" t="n"/>
      <c r="Q31" s="31" t="n"/>
      <c r="R31" s="31" t="n"/>
    </row>
    <row r="32">
      <c r="A32" s="19">
        <f>Tickers!$A$32</f>
        <v/>
      </c>
      <c r="B32" s="29" cm="1">
        <f t="array" aca="1" ref="B32" ca="1">_xll.BQL($A32, "#itm().period as #p", "#itm=sales_rev_turn(fpt=q,fpo=0,ae=a)","showids=f","transpose=t","showheaders=f")</f>
        <v/>
      </c>
      <c r="C32" s="30" cm="1">
        <f t="array" aca="1" ref="C32" ca="1">_xll.BQL($A32, "#itm().value as #v", "#itm=sales_rev_turn(fpt=q,fpo=range(-13,2),ae=ae,fa_adjusted=y,currency='USD')/1m","showids=f","transpose=t","showheaders=f")</f>
        <v/>
      </c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30" t="n"/>
      <c r="Q32" s="31" t="n"/>
      <c r="R32" s="31" t="n"/>
    </row>
    <row r="33">
      <c r="A33" s="19">
        <f>Tickers!$A$33</f>
        <v/>
      </c>
      <c r="B33" s="29" cm="1">
        <f t="array" aca="1" ref="B33" ca="1">_xll.BQL($A33, "#itm().period as #p", "#itm=sales_rev_turn(fpt=q,fpo=0,ae=a)","showids=f","transpose=t","showheaders=f")</f>
        <v/>
      </c>
      <c r="C33" s="30" cm="1">
        <f t="array" aca="1" ref="C33" ca="1">_xll.BQL($A33, "#itm().value as #v", "#itm=sales_rev_turn(fpt=q,fpo=range(-13,2),ae=ae,fa_adjusted=y,currency='USD')/1m","showids=f","transpose=t","showheaders=f")</f>
        <v/>
      </c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0" t="n"/>
      <c r="P33" s="30" t="n"/>
      <c r="Q33" s="31" t="n"/>
      <c r="R33" s="31" t="n"/>
    </row>
    <row r="34">
      <c r="A34" s="19">
        <f>Tickers!$A$34</f>
        <v/>
      </c>
      <c r="B34" s="29" cm="1">
        <f t="array" aca="1" ref="B34" ca="1">_xll.BQL($A34, "#itm().period as #p", "#itm=sales_rev_turn(fpt=q,fpo=0,ae=a)","showids=f","transpose=t","showheaders=f")</f>
        <v/>
      </c>
      <c r="C34" s="30" cm="1">
        <f t="array" aca="1" ref="C34" ca="1">_xll.BQL($A34, "#itm().value as #v", "#itm=sales_rev_turn(fpt=q,fpo=range(-13,2),ae=ae,fa_adjusted=y,currency='USD')/1m","showids=f","transpose=t","showheaders=f")</f>
        <v/>
      </c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30" t="n"/>
      <c r="Q34" s="31" t="n"/>
      <c r="R34" s="31" t="n"/>
    </row>
    <row r="35">
      <c r="A35" s="19">
        <f>Tickers!$A$35</f>
        <v/>
      </c>
      <c r="B35" s="29" cm="1">
        <f t="array" aca="1" ref="B35" ca="1">_xll.BQL($A35, "#itm().period as #p", "#itm=sales_rev_turn(fpt=q,fpo=0,ae=a)","showids=f","transpose=t","showheaders=f")</f>
        <v/>
      </c>
      <c r="C35" s="30" cm="1">
        <f t="array" aca="1" ref="C35" ca="1">_xll.BQL($A35, "#itm().value as #v", "#itm=sales_rev_turn(fpt=q,fpo=range(-13,2),ae=ae,fa_adjusted=y,currency='USD')/1m","showids=f","transpose=t","showheaders=f")</f>
        <v/>
      </c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1" t="n"/>
      <c r="R35" s="31" t="n"/>
    </row>
    <row r="36">
      <c r="A36" s="19">
        <f>Tickers!$A$36</f>
        <v/>
      </c>
      <c r="B36" s="29" cm="1">
        <f t="array" aca="1" ref="B36" ca="1">_xll.BQL($A36, "#itm().period as #p", "#itm=sales_rev_turn(fpt=q,fpo=0,ae=a)","showids=f","transpose=t","showheaders=f")</f>
        <v/>
      </c>
      <c r="C36" s="30" cm="1">
        <f t="array" aca="1" ref="C36" ca="1">_xll.BQL($A36, "#itm().value as #v", "#itm=sales_rev_turn(fpt=q,fpo=range(-13,2),ae=ae,fa_adjusted=y,currency='USD')/1m","showids=f","transpose=t","showheaders=f")</f>
        <v/>
      </c>
      <c r="D36" s="30" t="n"/>
      <c r="E36" s="30" t="n"/>
      <c r="F36" s="30" t="n"/>
      <c r="G36" s="30" t="n"/>
      <c r="H36" s="30" t="n"/>
      <c r="I36" s="30" t="n"/>
      <c r="J36" s="30" t="n"/>
      <c r="K36" s="30" t="n"/>
      <c r="L36" s="30" t="n"/>
      <c r="M36" s="30" t="n"/>
      <c r="N36" s="30" t="n"/>
      <c r="O36" s="30" t="n"/>
      <c r="P36" s="30" t="n"/>
      <c r="Q36" s="31" t="n"/>
      <c r="R36" s="31" t="n"/>
    </row>
    <row r="37">
      <c r="A37" s="19">
        <f>Tickers!$A$37</f>
        <v/>
      </c>
      <c r="B37" s="29" cm="1">
        <f t="array" aca="1" ref="B37" ca="1">_xll.BQL($A37, "#itm().period as #p", "#itm=sales_rev_turn(fpt=q,fpo=0,ae=a)","showids=f","transpose=t","showheaders=f")</f>
        <v/>
      </c>
      <c r="C37" s="30" cm="1">
        <f t="array" aca="1" ref="C37" ca="1">_xll.BQL($A37, "#itm().value as #v", "#itm=sales_rev_turn(fpt=q,fpo=range(-13,2),ae=ae,fa_adjusted=y,currency='USD')/1m","showids=f","transpose=t","showheaders=f")</f>
        <v/>
      </c>
      <c r="D37" s="30" t="n"/>
      <c r="E37" s="30" t="n"/>
      <c r="F37" s="30" t="n"/>
      <c r="G37" s="30" t="n"/>
      <c r="H37" s="30" t="n"/>
      <c r="I37" s="30" t="n"/>
      <c r="J37" s="30" t="n"/>
      <c r="K37" s="30" t="n"/>
      <c r="L37" s="30" t="n"/>
      <c r="M37" s="30" t="n"/>
      <c r="N37" s="30" t="n"/>
      <c r="O37" s="30" t="n"/>
      <c r="P37" s="30" t="n"/>
      <c r="Q37" s="31" t="n"/>
      <c r="R37" s="31" t="n"/>
    </row>
    <row r="38">
      <c r="A38" s="19">
        <f>Tickers!$A$38</f>
        <v/>
      </c>
      <c r="B38" s="29" cm="1">
        <f t="array" aca="1" ref="B38" ca="1">_xll.BQL($A38, "#itm().period as #p", "#itm=sales_rev_turn(fpt=q,fpo=0,ae=a)","showids=f","transpose=t","showheaders=f")</f>
        <v/>
      </c>
      <c r="C38" s="30" cm="1">
        <f t="array" aca="1" ref="C38" ca="1">_xll.BQL($A38, "#itm().value as #v", "#itm=sales_rev_turn(fpt=q,fpo=range(-13,2),ae=ae,fa_adjusted=y,currency='USD')/1m","showids=f","transpose=t","showheaders=f")</f>
        <v/>
      </c>
      <c r="D38" s="30" t="n"/>
      <c r="E38" s="30" t="n"/>
      <c r="F38" s="30" t="n"/>
      <c r="G38" s="30" t="n"/>
      <c r="H38" s="30" t="n"/>
      <c r="I38" s="30" t="n"/>
      <c r="J38" s="30" t="n"/>
      <c r="K38" s="30" t="n"/>
      <c r="L38" s="30" t="n"/>
      <c r="M38" s="30" t="n"/>
      <c r="N38" s="30" t="n"/>
      <c r="O38" s="30" t="n"/>
      <c r="P38" s="30" t="n"/>
      <c r="Q38" s="31" t="n"/>
      <c r="R38" s="31" t="n"/>
    </row>
    <row r="39">
      <c r="A39" s="19">
        <f>Tickers!$A$39</f>
        <v/>
      </c>
      <c r="B39" s="29" cm="1">
        <f t="array" aca="1" ref="B39" ca="1">_xll.BQL($A39, "#itm().period as #p", "#itm=sales_rev_turn(fpt=q,fpo=0,ae=a)","showids=f","transpose=t","showheaders=f")</f>
        <v/>
      </c>
      <c r="C39" s="30" cm="1">
        <f t="array" aca="1" ref="C39" ca="1">_xll.BQL($A39, "#itm().value as #v", "#itm=sales_rev_turn(fpt=q,fpo=range(-13,2),ae=ae,fa_adjusted=y,currency='USD')/1m","showids=f","transpose=t","showheaders=f")</f>
        <v/>
      </c>
      <c r="D39" s="30" t="n"/>
      <c r="E39" s="30" t="n"/>
      <c r="F39" s="30" t="n"/>
      <c r="G39" s="30" t="n"/>
      <c r="H39" s="30" t="n"/>
      <c r="I39" s="30" t="n"/>
      <c r="J39" s="30" t="n"/>
      <c r="K39" s="30" t="n"/>
      <c r="L39" s="30" t="n"/>
      <c r="M39" s="30" t="n"/>
      <c r="N39" s="30" t="n"/>
      <c r="O39" s="30" t="n"/>
      <c r="P39" s="30" t="n"/>
      <c r="Q39" s="31" t="n"/>
      <c r="R39" s="31" t="n"/>
    </row>
    <row r="40">
      <c r="A40" s="19">
        <f>Tickers!$A$40</f>
        <v/>
      </c>
      <c r="B40" s="29" cm="1">
        <f t="array" aca="1" ref="B40" ca="1">_xll.BQL($A40, "#itm().period as #p", "#itm=sales_rev_turn(fpt=q,fpo=0,ae=a)","showids=f","transpose=t","showheaders=f")</f>
        <v/>
      </c>
      <c r="C40" s="30" cm="1">
        <f t="array" aca="1" ref="C40" ca="1">_xll.BQL($A40, "#itm().value as #v", "#itm=sales_rev_turn(fpt=q,fpo=range(-13,2),ae=ae,fa_adjusted=y,currency='USD')/1m","showids=f","transpose=t","showheaders=f")</f>
        <v/>
      </c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30" t="n"/>
      <c r="Q40" s="31" t="n"/>
      <c r="R40" s="31" t="n"/>
    </row>
    <row r="41">
      <c r="A41" s="19">
        <f>Tickers!$A$41</f>
        <v/>
      </c>
      <c r="B41" s="29" cm="1">
        <f t="array" aca="1" ref="B41" ca="1">_xll.BQL($A41, "#itm().period as #p", "#itm=sales_rev_turn(fpt=q,fpo=0,ae=a)","showids=f","transpose=t","showheaders=f")</f>
        <v/>
      </c>
      <c r="C41" s="30" cm="1">
        <f t="array" aca="1" ref="C41" ca="1">_xll.BQL($A41, "#itm().value as #v", "#itm=sales_rev_turn(fpt=q,fpo=range(-13,2),ae=ae,fa_adjusted=y,currency='USD')/1m","showids=f","transpose=t","showheaders=f")</f>
        <v/>
      </c>
      <c r="D41" s="30" t="n"/>
      <c r="E41" s="30" t="n"/>
      <c r="F41" s="30" t="n"/>
      <c r="G41" s="30" t="n"/>
      <c r="H41" s="30" t="n"/>
      <c r="I41" s="30" t="n"/>
      <c r="J41" s="30" t="n"/>
      <c r="K41" s="30" t="n"/>
      <c r="L41" s="30" t="n"/>
      <c r="M41" s="30" t="n"/>
      <c r="N41" s="30" t="n"/>
      <c r="O41" s="30" t="n"/>
      <c r="P41" s="30" t="n"/>
      <c r="Q41" s="31" t="n"/>
      <c r="R41" s="31" t="n"/>
    </row>
    <row r="42">
      <c r="A42" s="19">
        <f>Tickers!$A$42</f>
        <v/>
      </c>
      <c r="B42" s="29" cm="1">
        <f t="array" aca="1" ref="B42" ca="1">_xll.BQL($A42, "#itm().period as #p", "#itm=sales_rev_turn(fpt=q,fpo=0,ae=a)","showids=f","transpose=t","showheaders=f")</f>
        <v/>
      </c>
      <c r="C42" s="30" cm="1">
        <f t="array" aca="1" ref="C42" ca="1">_xll.BQL($A42, "#itm().value as #v", "#itm=sales_rev_turn(fpt=q,fpo=range(-13,2),ae=ae,fa_adjusted=y,currency='USD')/1m","showids=f","transpose=t","showheaders=f")</f>
        <v/>
      </c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30" t="n"/>
      <c r="P42" s="30" t="n"/>
      <c r="Q42" s="31" t="n"/>
      <c r="R42" s="31" t="n"/>
    </row>
    <row r="43">
      <c r="A43" s="19">
        <f>Tickers!$A$43</f>
        <v/>
      </c>
      <c r="B43" s="29" cm="1">
        <f t="array" aca="1" ref="B43" ca="1">_xll.BQL($A43, "#itm().period as #p", "#itm=sales_rev_turn(fpt=q,fpo=0,ae=a)","showids=f","transpose=t","showheaders=f")</f>
        <v/>
      </c>
      <c r="C43" s="30" cm="1">
        <f t="array" aca="1" ref="C43" ca="1">_xll.BQL($A43, "#itm().value as #v", "#itm=sales_rev_turn(fpt=q,fpo=range(-13,2),ae=ae,fa_adjusted=y,currency='USD')/1m","showids=f","transpose=t","showheaders=f")</f>
        <v/>
      </c>
      <c r="D43" s="30" t="n"/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30" t="n"/>
      <c r="Q43" s="31" t="n"/>
      <c r="R43" s="31" t="n"/>
    </row>
    <row r="44">
      <c r="A44" s="19">
        <f>Tickers!$A$44</f>
        <v/>
      </c>
      <c r="B44" s="29" cm="1">
        <f t="array" aca="1" ref="B44" ca="1">_xll.BQL($A44, "#itm().period as #p", "#itm=sales_rev_turn(fpt=q,fpo=0,ae=a)","showids=f","transpose=t","showheaders=f")</f>
        <v/>
      </c>
      <c r="C44" s="30" cm="1">
        <f t="array" aca="1" ref="C44" ca="1">_xll.BQL($A44, "#itm().value as #v", "#itm=sales_rev_turn(fpt=q,fpo=range(-13,2),ae=ae,fa_adjusted=y,currency='USD')/1m","showids=f","transpose=t","showheaders=f")</f>
        <v/>
      </c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0" t="n"/>
      <c r="O44" s="30" t="n"/>
      <c r="P44" s="30" t="n"/>
      <c r="Q44" s="31" t="n"/>
      <c r="R44" s="31" t="n"/>
    </row>
    <row r="45">
      <c r="A45" s="19">
        <f>Tickers!$A$45</f>
        <v/>
      </c>
      <c r="B45" s="29" cm="1">
        <f t="array" aca="1" ref="B45" ca="1">_xll.BQL($A45, "#itm().period as #p", "#itm=sales_rev_turn(fpt=q,fpo=0,ae=a)","showids=f","transpose=t","showheaders=f")</f>
        <v/>
      </c>
      <c r="C45" s="30" cm="1">
        <f t="array" aca="1" ref="C45" ca="1">_xll.BQL($A45, "#itm().value as #v", "#itm=sales_rev_turn(fpt=q,fpo=range(-13,2),ae=ae,fa_adjusted=y,currency='USD')/1m","showids=f","transpose=t","showheaders=f")</f>
        <v/>
      </c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n"/>
      <c r="M45" s="30" t="n"/>
      <c r="N45" s="30" t="n"/>
      <c r="O45" s="30" t="n"/>
      <c r="P45" s="30" t="n"/>
      <c r="Q45" s="31" t="n"/>
      <c r="R45" s="31" t="n"/>
    </row>
    <row r="46">
      <c r="A46" s="19">
        <f>Tickers!$A$46</f>
        <v/>
      </c>
      <c r="B46" s="29" cm="1">
        <f t="array" aca="1" ref="B46" ca="1">_xll.BQL($A46, "#itm().period as #p", "#itm=sales_rev_turn(fpt=q,fpo=0,ae=a)","showids=f","transpose=t","showheaders=f")</f>
        <v/>
      </c>
      <c r="C46" s="30" cm="1">
        <f t="array" aca="1" ref="C46" ca="1">_xll.BQL($A46, "#itm().value as #v", "#itm=sales_rev_turn(fpt=q,fpo=range(-13,2),ae=ae,fa_adjusted=y,currency='USD')/1m","showids=f","transpose=t","showheaders=f")</f>
        <v/>
      </c>
      <c r="D46" s="30" t="n"/>
      <c r="E46" s="30" t="n"/>
      <c r="F46" s="30" t="n"/>
      <c r="G46" s="30" t="n"/>
      <c r="H46" s="30" t="n"/>
      <c r="I46" s="30" t="n"/>
      <c r="J46" s="30" t="n"/>
      <c r="K46" s="30" t="n"/>
      <c r="L46" s="30" t="n"/>
      <c r="M46" s="30" t="n"/>
      <c r="N46" s="30" t="n"/>
      <c r="O46" s="30" t="n"/>
      <c r="P46" s="30" t="n"/>
      <c r="Q46" s="31" t="n"/>
      <c r="R46" s="31" t="n"/>
    </row>
    <row r="47">
      <c r="A47" s="19">
        <f>Tickers!$A$47</f>
        <v/>
      </c>
      <c r="B47" s="29" cm="1">
        <f t="array" aca="1" ref="B47" ca="1">_xll.BQL($A47, "#itm().period as #p", "#itm=sales_rev_turn(fpt=q,fpo=0,ae=a)","showids=f","transpose=t","showheaders=f")</f>
        <v/>
      </c>
      <c r="C47" s="30" cm="1">
        <f t="array" aca="1" ref="C47" ca="1">_xll.BQL($A47, "#itm().value as #v", "#itm=sales_rev_turn(fpt=q,fpo=range(-13,2),ae=ae,fa_adjusted=y,currency='USD')/1m","showids=f","transpose=t","showheaders=f")</f>
        <v/>
      </c>
      <c r="D47" s="30" t="n"/>
      <c r="E47" s="30" t="n"/>
      <c r="F47" s="30" t="n"/>
      <c r="G47" s="30" t="n"/>
      <c r="H47" s="30" t="n"/>
      <c r="I47" s="30" t="n"/>
      <c r="J47" s="30" t="n"/>
      <c r="K47" s="30" t="n"/>
      <c r="L47" s="30" t="n"/>
      <c r="M47" s="30" t="n"/>
      <c r="N47" s="30" t="n"/>
      <c r="O47" s="30" t="n"/>
      <c r="P47" s="30" t="n"/>
      <c r="Q47" s="31" t="n"/>
      <c r="R47" s="31" t="n"/>
    </row>
    <row r="48">
      <c r="A48" s="19">
        <f>Tickers!$A$48</f>
        <v/>
      </c>
      <c r="B48" s="29" cm="1">
        <f t="array" aca="1" ref="B48" ca="1">_xll.BQL($A48, "#itm().period as #p", "#itm=sales_rev_turn(fpt=q,fpo=0,ae=a)","showids=f","transpose=t","showheaders=f")</f>
        <v/>
      </c>
      <c r="C48" s="30" cm="1">
        <f t="array" aca="1" ref="C48" ca="1">_xll.BQL($A48, "#itm().value as #v", "#itm=sales_rev_turn(fpt=q,fpo=range(-13,2),ae=ae,fa_adjusted=y,currency='USD')/1m","showids=f","transpose=t","showheaders=f")</f>
        <v/>
      </c>
      <c r="D48" s="30" t="n"/>
      <c r="E48" s="30" t="n"/>
      <c r="F48" s="30" t="n"/>
      <c r="G48" s="30" t="n"/>
      <c r="H48" s="30" t="n"/>
      <c r="I48" s="30" t="n"/>
      <c r="J48" s="30" t="n"/>
      <c r="K48" s="30" t="n"/>
      <c r="L48" s="30" t="n"/>
      <c r="M48" s="30" t="n"/>
      <c r="N48" s="30" t="n"/>
      <c r="O48" s="30" t="n"/>
      <c r="P48" s="30" t="n"/>
      <c r="Q48" s="31" t="n"/>
      <c r="R48" s="31" t="n"/>
    </row>
    <row r="49">
      <c r="A49" s="19">
        <f>Tickers!$A$49</f>
        <v/>
      </c>
      <c r="B49" s="29" cm="1">
        <f t="array" aca="1" ref="B49" ca="1">_xll.BQL($A49, "#itm().period as #p", "#itm=sales_rev_turn(fpt=q,fpo=0,ae=a)","showids=f","transpose=t","showheaders=f")</f>
        <v/>
      </c>
      <c r="C49" s="30" cm="1">
        <f t="array" aca="1" ref="C49" ca="1">_xll.BQL($A49, "#itm().value as #v", "#itm=sales_rev_turn(fpt=q,fpo=range(-13,2),ae=ae,fa_adjusted=y,currency='USD')/1m","showids=f","transpose=t","showheaders=f")</f>
        <v/>
      </c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  <c r="M49" s="30" t="n"/>
      <c r="N49" s="30" t="n"/>
      <c r="O49" s="30" t="n"/>
      <c r="P49" s="30" t="n"/>
      <c r="Q49" s="31" t="n"/>
      <c r="R49" s="31" t="n"/>
    </row>
    <row r="50">
      <c r="A50" s="19">
        <f>Tickers!$A$50</f>
        <v/>
      </c>
      <c r="B50" s="29" cm="1">
        <f t="array" aca="1" ref="B50" ca="1">_xll.BQL($A50, "#itm().period as #p", "#itm=sales_rev_turn(fpt=q,fpo=0,ae=a)","showids=f","transpose=t","showheaders=f")</f>
        <v/>
      </c>
      <c r="C50" s="30" cm="1">
        <f t="array" aca="1" ref="C50" ca="1">_xll.BQL($A50, "#itm().value as #v", "#itm=sales_rev_turn(fpt=q,fpo=range(-13,2),ae=ae,fa_adjusted=y,currency='USD')/1m","showids=f","transpose=t","showheaders=f")</f>
        <v/>
      </c>
      <c r="D50" s="30" t="n"/>
      <c r="E50" s="30" t="n"/>
      <c r="F50" s="30" t="n"/>
      <c r="G50" s="30" t="n"/>
      <c r="H50" s="30" t="n"/>
      <c r="I50" s="30" t="n"/>
      <c r="J50" s="30" t="n"/>
      <c r="K50" s="30" t="n"/>
      <c r="L50" s="30" t="n"/>
      <c r="M50" s="30" t="n"/>
      <c r="N50" s="30" t="n"/>
      <c r="O50" s="30" t="n"/>
      <c r="P50" s="30" t="n"/>
      <c r="Q50" s="31" t="n"/>
      <c r="R50" s="31" t="n"/>
    </row>
    <row r="51">
      <c r="A51" s="19">
        <f>Tickers!$A$51</f>
        <v/>
      </c>
      <c r="B51" s="29" cm="1">
        <f t="array" aca="1" ref="B51" ca="1">_xll.BQL($A51, "#itm().period as #p", "#itm=sales_rev_turn(fpt=q,fpo=0,ae=a)","showids=f","transpose=t","showheaders=f")</f>
        <v/>
      </c>
      <c r="C51" s="30" cm="1">
        <f t="array" aca="1" ref="C51" ca="1">_xll.BQL($A51, "#itm().value as #v", "#itm=sales_rev_turn(fpt=q,fpo=range(-13,2),ae=ae,fa_adjusted=y,currency='USD')/1m","showids=f","transpose=t","showheaders=f")</f>
        <v/>
      </c>
      <c r="D51" s="30" t="n"/>
      <c r="E51" s="30" t="n"/>
      <c r="F51" s="30" t="n"/>
      <c r="G51" s="30" t="n"/>
      <c r="H51" s="30" t="n"/>
      <c r="I51" s="30" t="n"/>
      <c r="J51" s="30" t="n"/>
      <c r="K51" s="30" t="n"/>
      <c r="L51" s="30" t="n"/>
      <c r="M51" s="30" t="n"/>
      <c r="N51" s="30" t="n"/>
      <c r="O51" s="30" t="n"/>
      <c r="P51" s="30" t="n"/>
      <c r="Q51" s="31" t="n"/>
      <c r="R51" s="31" t="n"/>
    </row>
    <row r="52">
      <c r="A52" s="19">
        <f>Tickers!$A$52</f>
        <v/>
      </c>
      <c r="B52" s="29" cm="1">
        <f t="array" aca="1" ref="B52" ca="1">_xll.BQL($A52, "#itm().period as #p", "#itm=sales_rev_turn(fpt=q,fpo=0,ae=a)","showids=f","transpose=t","showheaders=f")</f>
        <v/>
      </c>
      <c r="C52" s="30" cm="1">
        <f t="array" aca="1" ref="C52" ca="1">_xll.BQL($A52, "#itm().value as #v", "#itm=sales_rev_turn(fpt=q,fpo=range(-13,2),ae=ae,fa_adjusted=y,currency='USD')/1m","showids=f","transpose=t","showheaders=f")</f>
        <v/>
      </c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30" t="n"/>
      <c r="P52" s="30" t="n"/>
      <c r="Q52" s="31" t="n"/>
      <c r="R52" s="31" t="n"/>
    </row>
    <row r="53">
      <c r="A53" s="19">
        <f>Tickers!$A$53</f>
        <v/>
      </c>
      <c r="B53" s="29" cm="1">
        <f t="array" aca="1" ref="B53" ca="1">_xll.BQL($A53, "#itm().period as #p", "#itm=sales_rev_turn(fpt=q,fpo=0,ae=a)","showids=f","transpose=t","showheaders=f")</f>
        <v/>
      </c>
      <c r="C53" s="30" cm="1">
        <f t="array" aca="1" ref="C53" ca="1">_xll.BQL($A53, "#itm().value as #v", "#itm=sales_rev_turn(fpt=q,fpo=range(-13,2),ae=ae,fa_adjusted=y,currency='USD')/1m","showids=f","transpose=t","showheaders=f")</f>
        <v/>
      </c>
      <c r="D53" s="30" t="n"/>
      <c r="E53" s="30" t="n"/>
      <c r="F53" s="30" t="n"/>
      <c r="G53" s="30" t="n"/>
      <c r="H53" s="30" t="n"/>
      <c r="I53" s="30" t="n"/>
      <c r="J53" s="30" t="n"/>
      <c r="K53" s="30" t="n"/>
      <c r="L53" s="30" t="n"/>
      <c r="M53" s="30" t="n"/>
      <c r="N53" s="30" t="n"/>
      <c r="O53" s="30" t="n"/>
      <c r="P53" s="30" t="n"/>
      <c r="Q53" s="31" t="n"/>
      <c r="R53" s="31" t="n"/>
    </row>
    <row r="54">
      <c r="A54" s="19">
        <f>Tickers!$A$54</f>
        <v/>
      </c>
      <c r="B54" s="29" cm="1">
        <f t="array" aca="1" ref="B54" ca="1">_xll.BQL($A54, "#itm().period as #p", "#itm=sales_rev_turn(fpt=q,fpo=0,ae=a)","showids=f","transpose=t","showheaders=f")</f>
        <v/>
      </c>
      <c r="C54" s="30" cm="1">
        <f t="array" aca="1" ref="C54" ca="1">_xll.BQL($A54, "#itm().value as #v", "#itm=sales_rev_turn(fpt=q,fpo=range(-13,2),ae=ae,fa_adjusted=y,currency='USD')/1m","showids=f","transpose=t","showheaders=f")</f>
        <v/>
      </c>
      <c r="D54" s="30" t="n"/>
      <c r="E54" s="30" t="n"/>
      <c r="F54" s="30" t="n"/>
      <c r="G54" s="30" t="n"/>
      <c r="H54" s="30" t="n"/>
      <c r="I54" s="30" t="n"/>
      <c r="J54" s="30" t="n"/>
      <c r="K54" s="30" t="n"/>
      <c r="L54" s="30" t="n"/>
      <c r="M54" s="30" t="n"/>
      <c r="N54" s="30" t="n"/>
      <c r="O54" s="30" t="n"/>
      <c r="P54" s="30" t="n"/>
      <c r="Q54" s="31" t="n"/>
      <c r="R54" s="31" t="n"/>
    </row>
    <row r="55">
      <c r="A55" s="19">
        <f>Tickers!$A$55</f>
        <v/>
      </c>
      <c r="B55" s="29" cm="1">
        <f t="array" aca="1" ref="B55" ca="1">_xll.BQL($A55, "#itm().period as #p", "#itm=sales_rev_turn(fpt=q,fpo=0,ae=a)","showids=f","transpose=t","showheaders=f")</f>
        <v/>
      </c>
      <c r="C55" s="30" cm="1">
        <f t="array" aca="1" ref="C55" ca="1">_xll.BQL($A55, "#itm().value as #v", "#itm=sales_rev_turn(fpt=q,fpo=range(-13,2),ae=ae,fa_adjusted=y,currency='USD')/1m","showids=f","transpose=t","showheaders=f")</f>
        <v/>
      </c>
      <c r="D55" s="30" t="n"/>
      <c r="E55" s="30" t="n"/>
      <c r="F55" s="30" t="n"/>
      <c r="G55" s="30" t="n"/>
      <c r="H55" s="30" t="n"/>
      <c r="I55" s="30" t="n"/>
      <c r="J55" s="30" t="n"/>
      <c r="K55" s="30" t="n"/>
      <c r="L55" s="30" t="n"/>
      <c r="M55" s="30" t="n"/>
      <c r="N55" s="30" t="n"/>
      <c r="O55" s="30" t="n"/>
      <c r="P55" s="30" t="n"/>
      <c r="Q55" s="31" t="n"/>
      <c r="R55" s="31" t="n"/>
    </row>
    <row r="56">
      <c r="A56" s="19">
        <f>Tickers!$A$56</f>
        <v/>
      </c>
      <c r="B56" s="29" cm="1">
        <f t="array" aca="1" ref="B56" ca="1">_xll.BQL($A56, "#itm().period as #p", "#itm=sales_rev_turn(fpt=q,fpo=0,ae=a)","showids=f","transpose=t","showheaders=f")</f>
        <v/>
      </c>
      <c r="C56" s="30" cm="1">
        <f t="array" aca="1" ref="C56" ca="1">_xll.BQL($A56, "#itm().value as #v", "#itm=sales_rev_turn(fpt=q,fpo=range(-13,2),ae=ae,fa_adjusted=y,currency='USD')/1m","showids=f","transpose=t","showheaders=f")</f>
        <v/>
      </c>
      <c r="D56" s="30" t="n"/>
      <c r="E56" s="30" t="n"/>
      <c r="F56" s="30" t="n"/>
      <c r="G56" s="30" t="n"/>
      <c r="H56" s="30" t="n"/>
      <c r="I56" s="30" t="n"/>
      <c r="J56" s="30" t="n"/>
      <c r="K56" s="30" t="n"/>
      <c r="L56" s="30" t="n"/>
      <c r="M56" s="30" t="n"/>
      <c r="N56" s="30" t="n"/>
      <c r="O56" s="30" t="n"/>
      <c r="P56" s="30" t="n"/>
      <c r="Q56" s="31" t="n"/>
      <c r="R56" s="31" t="n"/>
    </row>
    <row r="57">
      <c r="A57" s="19">
        <f>Tickers!$A$57</f>
        <v/>
      </c>
      <c r="B57" s="29" cm="1">
        <f t="array" aca="1" ref="B57" ca="1">_xll.BQL($A57, "#itm().period as #p", "#itm=sales_rev_turn(fpt=q,fpo=0,ae=a)","showids=f","transpose=t","showheaders=f")</f>
        <v/>
      </c>
      <c r="C57" s="30" cm="1">
        <f t="array" aca="1" ref="C57" ca="1">_xll.BQL($A57, "#itm().value as #v", "#itm=sales_rev_turn(fpt=q,fpo=range(-13,2),ae=ae,fa_adjusted=y,currency='USD')/1m","showids=f","transpose=t","showheaders=f")</f>
        <v/>
      </c>
      <c r="D57" s="30" t="n"/>
      <c r="E57" s="30" t="n"/>
      <c r="F57" s="30" t="n"/>
      <c r="G57" s="30" t="n"/>
      <c r="H57" s="30" t="n"/>
      <c r="I57" s="30" t="n"/>
      <c r="J57" s="30" t="n"/>
      <c r="K57" s="30" t="n"/>
      <c r="L57" s="30" t="n"/>
      <c r="M57" s="30" t="n"/>
      <c r="N57" s="30" t="n"/>
      <c r="O57" s="30" t="n"/>
      <c r="P57" s="30" t="n"/>
      <c r="Q57" s="31" t="n"/>
      <c r="R57" s="31" t="n"/>
    </row>
    <row r="58">
      <c r="A58" s="19">
        <f>Tickers!$A$58</f>
        <v/>
      </c>
      <c r="B58" s="29" cm="1">
        <f t="array" aca="1" ref="B58" ca="1">_xll.BQL($A58, "#itm().period as #p", "#itm=sales_rev_turn(fpt=q,fpo=0,ae=a)","showids=f","transpose=t","showheaders=f")</f>
        <v/>
      </c>
      <c r="C58" s="30" cm="1">
        <f t="array" aca="1" ref="C58" ca="1">_xll.BQL($A58, "#itm().value as #v", "#itm=sales_rev_turn(fpt=q,fpo=range(-13,2),ae=ae,fa_adjusted=y,currency='USD')/1m","showids=f","transpose=t","showheaders=f")</f>
        <v/>
      </c>
      <c r="D58" s="30" t="n"/>
      <c r="E58" s="30" t="n"/>
      <c r="F58" s="30" t="n"/>
      <c r="G58" s="30" t="n"/>
      <c r="H58" s="30" t="n"/>
      <c r="I58" s="30" t="n"/>
      <c r="J58" s="30" t="n"/>
      <c r="K58" s="30" t="n"/>
      <c r="L58" s="30" t="n"/>
      <c r="M58" s="30" t="n"/>
      <c r="N58" s="30" t="n"/>
      <c r="O58" s="30" t="n"/>
      <c r="P58" s="30" t="n"/>
      <c r="Q58" s="31" t="n"/>
      <c r="R58" s="31" t="n"/>
    </row>
    <row r="59">
      <c r="A59" s="19">
        <f>Tickers!$A$59</f>
        <v/>
      </c>
      <c r="B59" s="29" cm="1">
        <f t="array" aca="1" ref="B59" ca="1">_xll.BQL($A59, "#itm().period as #p", "#itm=sales_rev_turn(fpt=q,fpo=0,ae=a)","showids=f","transpose=t","showheaders=f")</f>
        <v/>
      </c>
      <c r="C59" s="30" cm="1">
        <f t="array" aca="1" ref="C59" ca="1">_xll.BQL($A59, "#itm().value as #v", "#itm=sales_rev_turn(fpt=q,fpo=range(-13,2),ae=ae,fa_adjusted=y,currency='USD')/1m","showids=f","transpose=t","showheaders=f")</f>
        <v/>
      </c>
      <c r="D59" s="30" t="n"/>
      <c r="E59" s="30" t="n"/>
      <c r="F59" s="30" t="n"/>
      <c r="G59" s="30" t="n"/>
      <c r="H59" s="30" t="n"/>
      <c r="I59" s="30" t="n"/>
      <c r="J59" s="30" t="n"/>
      <c r="K59" s="30" t="n"/>
      <c r="L59" s="30" t="n"/>
      <c r="M59" s="30" t="n"/>
      <c r="N59" s="30" t="n"/>
      <c r="O59" s="30" t="n"/>
      <c r="P59" s="30" t="n"/>
      <c r="Q59" s="31" t="n"/>
      <c r="R59" s="31" t="n"/>
    </row>
    <row r="60">
      <c r="A60" s="19">
        <f>Tickers!$A$60</f>
        <v/>
      </c>
      <c r="B60" s="29" cm="1">
        <f t="array" aca="1" ref="B60" ca="1">_xll.BQL($A60, "#itm().period as #p", "#itm=sales_rev_turn(fpt=q,fpo=0,ae=a)","showids=f","transpose=t","showheaders=f")</f>
        <v/>
      </c>
      <c r="C60" s="30" cm="1">
        <f t="array" aca="1" ref="C60" ca="1">_xll.BQL($A60, "#itm().value as #v", "#itm=sales_rev_turn(fpt=q,fpo=range(-13,2),ae=ae,fa_adjusted=y,currency='USD')/1m","showids=f","transpose=t","showheaders=f")</f>
        <v/>
      </c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1" t="n"/>
      <c r="R60" s="31" t="n"/>
    </row>
    <row r="61">
      <c r="A61" s="19">
        <f>Tickers!$A$61</f>
        <v/>
      </c>
      <c r="B61" s="29" cm="1">
        <f t="array" aca="1" ref="B61" ca="1">_xll.BQL($A61, "#itm().period as #p", "#itm=sales_rev_turn(fpt=q,fpo=0,ae=a)","showids=f","transpose=t","showheaders=f")</f>
        <v/>
      </c>
      <c r="C61" s="30" cm="1">
        <f t="array" aca="1" ref="C61" ca="1">_xll.BQL($A61, "#itm().value as #v", "#itm=sales_rev_turn(fpt=q,fpo=range(-13,2),ae=ae,fa_adjusted=y,currency='USD')/1m","showids=f","transpose=t","showheaders=f")</f>
        <v/>
      </c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  <c r="M61" s="30" t="n"/>
      <c r="N61" s="30" t="n"/>
      <c r="O61" s="30" t="n"/>
      <c r="P61" s="30" t="n"/>
      <c r="Q61" s="31" t="n"/>
      <c r="R61" s="31" t="n"/>
    </row>
    <row r="62">
      <c r="A62" s="19">
        <f>Tickers!$A$62</f>
        <v/>
      </c>
      <c r="B62" s="29" cm="1">
        <f t="array" aca="1" ref="B62" ca="1">_xll.BQL($A62, "#itm().period as #p", "#itm=sales_rev_turn(fpt=q,fpo=0,ae=a)","showids=f","transpose=t","showheaders=f")</f>
        <v/>
      </c>
      <c r="C62" s="30" cm="1">
        <f t="array" aca="1" ref="C62" ca="1">_xll.BQL($A62, "#itm().value as #v", "#itm=sales_rev_turn(fpt=q,fpo=range(-13,2),ae=ae,fa_adjusted=y,currency='USD')/1m","showids=f","transpose=t","showheaders=f")</f>
        <v/>
      </c>
      <c r="D62" s="30" t="n"/>
      <c r="E62" s="30" t="n"/>
      <c r="F62" s="30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30" t="n"/>
      <c r="P62" s="30" t="n"/>
      <c r="Q62" s="31" t="n"/>
      <c r="R62" s="31" t="n"/>
    </row>
    <row r="63">
      <c r="A63" s="19">
        <f>Tickers!$A$63</f>
        <v/>
      </c>
      <c r="B63" s="29" cm="1">
        <f t="array" aca="1" ref="B63" ca="1">_xll.BQL($A63, "#itm().period as #p", "#itm=sales_rev_turn(fpt=q,fpo=0,ae=a)","showids=f","transpose=t","showheaders=f")</f>
        <v/>
      </c>
      <c r="C63" s="30" cm="1">
        <f t="array" aca="1" ref="C63" ca="1">_xll.BQL($A63, "#itm().value as #v", "#itm=sales_rev_turn(fpt=q,fpo=range(-13,2),ae=ae,fa_adjusted=y,currency='USD')/1m","showids=f","transpose=t","showheaders=f")</f>
        <v/>
      </c>
      <c r="D63" s="30" t="n"/>
      <c r="E63" s="30" t="n"/>
      <c r="F63" s="30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30" t="n"/>
      <c r="P63" s="30" t="n"/>
      <c r="Q63" s="31" t="n"/>
      <c r="R63" s="31" t="n"/>
    </row>
    <row r="64">
      <c r="A64" s="19">
        <f>Tickers!$A$64</f>
        <v/>
      </c>
      <c r="B64" s="29" cm="1">
        <f t="array" aca="1" ref="B64" ca="1">_xll.BQL($A64, "#itm().period as #p", "#itm=sales_rev_turn(fpt=q,fpo=0,ae=a)","showids=f","transpose=t","showheaders=f")</f>
        <v/>
      </c>
      <c r="C64" s="30" cm="1">
        <f t="array" aca="1" ref="C64" ca="1">_xll.BQL($A64, "#itm().value as #v", "#itm=sales_rev_turn(fpt=q,fpo=range(-13,2),ae=ae,fa_adjusted=y,currency='USD')/1m","showids=f","transpose=t","showheaders=f")</f>
        <v/>
      </c>
      <c r="D64" s="30" t="n"/>
      <c r="E64" s="30" t="n"/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30" t="n"/>
      <c r="Q64" s="31" t="n"/>
      <c r="R64" s="31" t="n"/>
    </row>
    <row r="65">
      <c r="A65" s="19">
        <f>Tickers!$A$65</f>
        <v/>
      </c>
      <c r="B65" s="29" cm="1">
        <f t="array" aca="1" ref="B65" ca="1">_xll.BQL($A65, "#itm().period as #p", "#itm=sales_rev_turn(fpt=q,fpo=0,ae=a)","showids=f","transpose=t","showheaders=f")</f>
        <v/>
      </c>
      <c r="C65" s="30" cm="1">
        <f t="array" aca="1" ref="C65" ca="1">_xll.BQL($A65, "#itm().value as #v", "#itm=sales_rev_turn(fpt=q,fpo=range(-13,2),ae=ae,fa_adjusted=y,currency='USD')/1m","showids=f","transpose=t","showheaders=f")</f>
        <v/>
      </c>
      <c r="D65" s="30" t="n"/>
      <c r="E65" s="30" t="n"/>
      <c r="F65" s="30" t="n"/>
      <c r="G65" s="30" t="n"/>
      <c r="H65" s="30" t="n"/>
      <c r="I65" s="30" t="n"/>
      <c r="J65" s="30" t="n"/>
      <c r="K65" s="30" t="n"/>
      <c r="L65" s="30" t="n"/>
      <c r="M65" s="30" t="n"/>
      <c r="N65" s="30" t="n"/>
      <c r="O65" s="30" t="n"/>
      <c r="P65" s="30" t="n"/>
      <c r="Q65" s="31" t="n"/>
      <c r="R65" s="31" t="n"/>
    </row>
    <row r="66">
      <c r="A66" s="19">
        <f>Tickers!$A$66</f>
        <v/>
      </c>
      <c r="B66" s="29" cm="1">
        <f t="array" aca="1" ref="B66" ca="1">_xll.BQL($A66, "#itm().period as #p", "#itm=sales_rev_turn(fpt=q,fpo=0,ae=a)","showids=f","transpose=t","showheaders=f")</f>
        <v/>
      </c>
      <c r="C66" s="30" cm="1">
        <f t="array" aca="1" ref="C66" ca="1">_xll.BQL($A66, "#itm().value as #v", "#itm=sales_rev_turn(fpt=q,fpo=range(-13,2),ae=ae,fa_adjusted=y,currency='USD')/1m","showids=f","transpose=t","showheaders=f")</f>
        <v/>
      </c>
      <c r="D66" s="30" t="n"/>
      <c r="E66" s="30" t="n"/>
      <c r="F66" s="30" t="n"/>
      <c r="G66" s="30" t="n"/>
      <c r="H66" s="30" t="n"/>
      <c r="I66" s="30" t="n"/>
      <c r="J66" s="30" t="n"/>
      <c r="K66" s="30" t="n"/>
      <c r="L66" s="30" t="n"/>
      <c r="M66" s="30" t="n"/>
      <c r="N66" s="30" t="n"/>
      <c r="O66" s="30" t="n"/>
      <c r="P66" s="30" t="n"/>
      <c r="Q66" s="31" t="n"/>
      <c r="R66" s="31" t="n"/>
    </row>
    <row r="67">
      <c r="A67" s="19">
        <f>Tickers!$A$67</f>
        <v/>
      </c>
      <c r="B67" s="29" cm="1">
        <f t="array" aca="1" ref="B67" ca="1">_xll.BQL($A67, "#itm().period as #p", "#itm=sales_rev_turn(fpt=q,fpo=0,ae=a)","showids=f","transpose=t","showheaders=f")</f>
        <v/>
      </c>
      <c r="C67" s="30" cm="1">
        <f t="array" aca="1" ref="C67" ca="1">_xll.BQL($A67, "#itm().value as #v", "#itm=sales_rev_turn(fpt=q,fpo=range(-13,2),ae=ae,fa_adjusted=y,currency='USD')/1m","showids=f","transpose=t","showheaders=f")</f>
        <v/>
      </c>
      <c r="D67" s="30" t="n"/>
      <c r="E67" s="30" t="n"/>
      <c r="F67" s="30" t="n"/>
      <c r="G67" s="30" t="n"/>
      <c r="H67" s="30" t="n"/>
      <c r="I67" s="30" t="n"/>
      <c r="J67" s="30" t="n"/>
      <c r="K67" s="30" t="n"/>
      <c r="L67" s="30" t="n"/>
      <c r="M67" s="30" t="n"/>
      <c r="N67" s="30" t="n"/>
      <c r="O67" s="30" t="n"/>
      <c r="P67" s="30" t="n"/>
      <c r="Q67" s="31" t="n"/>
      <c r="R67" s="31" t="n"/>
    </row>
    <row r="68">
      <c r="A68" s="19">
        <f>Tickers!$A$68</f>
        <v/>
      </c>
      <c r="B68" s="29" cm="1">
        <f t="array" aca="1" ref="B68" ca="1">_xll.BQL($A68, "#itm().period as #p", "#itm=sales_rev_turn(fpt=q,fpo=0,ae=a)","showids=f","transpose=t","showheaders=f")</f>
        <v/>
      </c>
      <c r="C68" s="30" cm="1">
        <f t="array" aca="1" ref="C68" ca="1">_xll.BQL($A68, "#itm().value as #v", "#itm=sales_rev_turn(fpt=q,fpo=range(-13,2),ae=ae,fa_adjusted=y,currency='USD')/1m","showids=f","transpose=t","showheaders=f")</f>
        <v/>
      </c>
      <c r="D68" s="30" t="n"/>
      <c r="E68" s="30" t="n"/>
      <c r="F68" s="30" t="n"/>
      <c r="G68" s="30" t="n"/>
      <c r="H68" s="30" t="n"/>
      <c r="I68" s="30" t="n"/>
      <c r="J68" s="30" t="n"/>
      <c r="K68" s="30" t="n"/>
      <c r="L68" s="30" t="n"/>
      <c r="M68" s="30" t="n"/>
      <c r="N68" s="30" t="n"/>
      <c r="O68" s="30" t="n"/>
      <c r="P68" s="30" t="n"/>
      <c r="Q68" s="31" t="n"/>
      <c r="R68" s="31" t="n"/>
    </row>
    <row r="69">
      <c r="A69" s="19">
        <f>Tickers!$A$69</f>
        <v/>
      </c>
      <c r="B69" s="29" cm="1">
        <f t="array" aca="1" ref="B69" ca="1">_xll.BQL($A69, "#itm().period as #p", "#itm=sales_rev_turn(fpt=q,fpo=0,ae=a)","showids=f","transpose=t","showheaders=f")</f>
        <v/>
      </c>
      <c r="C69" s="30" cm="1">
        <f t="array" aca="1" ref="C69" ca="1">_xll.BQL($A69, "#itm().value as #v", "#itm=sales_rev_turn(fpt=q,fpo=range(-13,2),ae=ae,fa_adjusted=y,currency='USD')/1m","showids=f","transpose=t","showheaders=f")</f>
        <v/>
      </c>
      <c r="D69" s="30" t="n"/>
      <c r="E69" s="30" t="n"/>
      <c r="F69" s="30" t="n"/>
      <c r="G69" s="30" t="n"/>
      <c r="H69" s="30" t="n"/>
      <c r="I69" s="30" t="n"/>
      <c r="J69" s="30" t="n"/>
      <c r="K69" s="30" t="n"/>
      <c r="L69" s="30" t="n"/>
      <c r="M69" s="30" t="n"/>
      <c r="N69" s="30" t="n"/>
      <c r="O69" s="30" t="n"/>
      <c r="P69" s="30" t="n"/>
      <c r="Q69" s="31" t="n"/>
      <c r="R69" s="31" t="n"/>
    </row>
    <row r="70">
      <c r="A70" s="19">
        <f>Tickers!$A$70</f>
        <v/>
      </c>
      <c r="B70" s="29" cm="1">
        <f t="array" aca="1" ref="B70" ca="1">_xll.BQL($A70, "#itm().period as #p", "#itm=sales_rev_turn(fpt=q,fpo=0,ae=a)","showids=f","transpose=t","showheaders=f")</f>
        <v/>
      </c>
      <c r="C70" s="30" cm="1">
        <f t="array" aca="1" ref="C70" ca="1">_xll.BQL($A70, "#itm().value as #v", "#itm=sales_rev_turn(fpt=q,fpo=range(-13,2),ae=ae,fa_adjusted=y,currency='USD')/1m","showids=f","transpose=t","showheaders=f")</f>
        <v/>
      </c>
      <c r="D70" s="30" t="n"/>
      <c r="E70" s="30" t="n"/>
      <c r="F70" s="30" t="n"/>
      <c r="G70" s="30" t="n"/>
      <c r="H70" s="30" t="n"/>
      <c r="I70" s="30" t="n"/>
      <c r="J70" s="30" t="n"/>
      <c r="K70" s="30" t="n"/>
      <c r="L70" s="30" t="n"/>
      <c r="M70" s="30" t="n"/>
      <c r="N70" s="30" t="n"/>
      <c r="O70" s="30" t="n"/>
      <c r="P70" s="30" t="n"/>
      <c r="Q70" s="31" t="n"/>
      <c r="R70" s="31" t="n"/>
    </row>
    <row r="71">
      <c r="A71" s="19">
        <f>Tickers!$A$71</f>
        <v/>
      </c>
      <c r="B71" s="29" cm="1">
        <f t="array" aca="1" ref="B71" ca="1">_xll.BQL($A71, "#itm().period as #p", "#itm=sales_rev_turn(fpt=q,fpo=0,ae=a)","showids=f","transpose=t","showheaders=f")</f>
        <v/>
      </c>
      <c r="C71" s="30" cm="1">
        <f t="array" aca="1" ref="C71" ca="1">_xll.BQL($A71, "#itm().value as #v", "#itm=sales_rev_turn(fpt=q,fpo=range(-13,2),ae=ae,fa_adjusted=y,currency='USD')/1m","showids=f","transpose=t","showheaders=f")</f>
        <v/>
      </c>
      <c r="D71" s="30" t="n"/>
      <c r="E71" s="30" t="n"/>
      <c r="F71" s="30" t="n"/>
      <c r="G71" s="30" t="n"/>
      <c r="H71" s="30" t="n"/>
      <c r="I71" s="30" t="n"/>
      <c r="J71" s="30" t="n"/>
      <c r="K71" s="30" t="n"/>
      <c r="L71" s="30" t="n"/>
      <c r="M71" s="30" t="n"/>
      <c r="N71" s="30" t="n"/>
      <c r="O71" s="30" t="n"/>
      <c r="P71" s="30" t="n"/>
      <c r="Q71" s="31" t="n"/>
      <c r="R71" s="31" t="n"/>
    </row>
    <row r="72">
      <c r="A72" s="19">
        <f>Tickers!$A$72</f>
        <v/>
      </c>
      <c r="B72" s="29" cm="1">
        <f t="array" aca="1" ref="B72" ca="1">_xll.BQL($A72, "#itm().period as #p", "#itm=sales_rev_turn(fpt=q,fpo=0,ae=a)","showids=f","transpose=t","showheaders=f")</f>
        <v/>
      </c>
      <c r="C72" s="30" cm="1">
        <f t="array" aca="1" ref="C72" ca="1">_xll.BQL($A72, "#itm().value as #v", "#itm=sales_rev_turn(fpt=q,fpo=range(-13,2),ae=ae,fa_adjusted=y,currency='USD')/1m","showids=f","transpose=t","showheaders=f")</f>
        <v/>
      </c>
      <c r="D72" s="30" t="n"/>
      <c r="E72" s="30" t="n"/>
      <c r="F72" s="30" t="n"/>
      <c r="G72" s="30" t="n"/>
      <c r="H72" s="30" t="n"/>
      <c r="I72" s="30" t="n"/>
      <c r="J72" s="30" t="n"/>
      <c r="K72" s="30" t="n"/>
      <c r="L72" s="30" t="n"/>
      <c r="M72" s="30" t="n"/>
      <c r="N72" s="30" t="n"/>
      <c r="O72" s="30" t="n"/>
      <c r="P72" s="30" t="n"/>
      <c r="Q72" s="31" t="n"/>
      <c r="R72" s="31" t="n"/>
    </row>
    <row r="73">
      <c r="A73" s="19">
        <f>Tickers!$A$73</f>
        <v/>
      </c>
      <c r="B73" s="29" cm="1">
        <f t="array" aca="1" ref="B73" ca="1">_xll.BQL($A73, "#itm().period as #p", "#itm=sales_rev_turn(fpt=q,fpo=0,ae=a)","showids=f","transpose=t","showheaders=f")</f>
        <v/>
      </c>
      <c r="C73" s="30" cm="1">
        <f t="array" aca="1" ref="C73" ca="1">_xll.BQL($A73, "#itm().value as #v", "#itm=sales_rev_turn(fpt=q,fpo=range(-13,2),ae=ae,fa_adjusted=y,currency='USD')/1m","showids=f","transpose=t","showheaders=f")</f>
        <v/>
      </c>
      <c r="D73" s="30" t="n"/>
      <c r="E73" s="30" t="n"/>
      <c r="F73" s="30" t="n"/>
      <c r="G73" s="30" t="n"/>
      <c r="H73" s="30" t="n"/>
      <c r="I73" s="30" t="n"/>
      <c r="J73" s="30" t="n"/>
      <c r="K73" s="30" t="n"/>
      <c r="L73" s="30" t="n"/>
      <c r="M73" s="30" t="n"/>
      <c r="N73" s="30" t="n"/>
      <c r="O73" s="30" t="n"/>
      <c r="P73" s="30" t="n"/>
      <c r="Q73" s="31" t="n"/>
      <c r="R73" s="31" t="n"/>
    </row>
    <row r="74">
      <c r="A74" s="19">
        <f>Tickers!$A$74</f>
        <v/>
      </c>
      <c r="B74" s="29" cm="1">
        <f t="array" aca="1" ref="B74" ca="1">_xll.BQL($A74, "#itm().period as #p", "#itm=sales_rev_turn(fpt=q,fpo=0,ae=a)","showids=f","transpose=t","showheaders=f")</f>
        <v/>
      </c>
      <c r="C74" s="30" cm="1">
        <f t="array" aca="1" ref="C74" ca="1">_xll.BQL($A74, "#itm().value as #v", "#itm=sales_rev_turn(fpt=q,fpo=range(-13,2),ae=ae,fa_adjusted=y,currency='USD')/1m","showids=f","transpose=t","showheaders=f")</f>
        <v/>
      </c>
      <c r="D74" s="30" t="n"/>
      <c r="E74" s="30" t="n"/>
      <c r="F74" s="30" t="n"/>
      <c r="G74" s="30" t="n"/>
      <c r="H74" s="30" t="n"/>
      <c r="I74" s="30" t="n"/>
      <c r="J74" s="30" t="n"/>
      <c r="K74" s="30" t="n"/>
      <c r="L74" s="30" t="n"/>
      <c r="M74" s="30" t="n"/>
      <c r="N74" s="30" t="n"/>
      <c r="O74" s="30" t="n"/>
      <c r="P74" s="30" t="n"/>
      <c r="Q74" s="31" t="n"/>
      <c r="R74" s="31" t="n"/>
    </row>
    <row r="75">
      <c r="A75" s="19">
        <f>Tickers!$A$75</f>
        <v/>
      </c>
      <c r="B75" s="29" cm="1">
        <f t="array" aca="1" ref="B75" ca="1">_xll.BQL($A75, "#itm().period as #p", "#itm=sales_rev_turn(fpt=q,fpo=0,ae=a)","showids=f","transpose=t","showheaders=f")</f>
        <v/>
      </c>
      <c r="C75" s="30" cm="1">
        <f t="array" aca="1" ref="C75" ca="1">_xll.BQL($A75, "#itm().value as #v", "#itm=sales_rev_turn(fpt=q,fpo=range(-13,2),ae=ae,fa_adjusted=y,currency='USD')/1m","showids=f","transpose=t","showheaders=f")</f>
        <v/>
      </c>
      <c r="D75" s="30" t="n"/>
      <c r="E75" s="30" t="n"/>
      <c r="F75" s="30" t="n"/>
      <c r="G75" s="30" t="n"/>
      <c r="H75" s="30" t="n"/>
      <c r="I75" s="30" t="n"/>
      <c r="J75" s="30" t="n"/>
      <c r="K75" s="30" t="n"/>
      <c r="L75" s="30" t="n"/>
      <c r="M75" s="30" t="n"/>
      <c r="N75" s="30" t="n"/>
      <c r="O75" s="30" t="n"/>
      <c r="P75" s="30" t="n"/>
      <c r="Q75" s="31" t="n"/>
      <c r="R75" s="31" t="n"/>
    </row>
    <row r="76">
      <c r="A76" s="19">
        <f>Tickers!$A$76</f>
        <v/>
      </c>
      <c r="B76" s="29" cm="1">
        <f t="array" aca="1" ref="B76" ca="1">_xll.BQL($A76, "#itm().period as #p", "#itm=sales_rev_turn(fpt=q,fpo=0,ae=a)","showids=f","transpose=t","showheaders=f")</f>
        <v/>
      </c>
      <c r="C76" s="30" cm="1">
        <f t="array" aca="1" ref="C76" ca="1">_xll.BQL($A76, "#itm().value as #v", "#itm=sales_rev_turn(fpt=q,fpo=range(-13,2),ae=ae,fa_adjusted=y,currency='USD')/1m","showids=f","transpose=t","showheaders=f")</f>
        <v/>
      </c>
      <c r="D76" s="30" t="n"/>
      <c r="E76" s="30" t="n"/>
      <c r="F76" s="30" t="n"/>
      <c r="G76" s="30" t="n"/>
      <c r="H76" s="30" t="n"/>
      <c r="I76" s="30" t="n"/>
      <c r="J76" s="30" t="n"/>
      <c r="K76" s="30" t="n"/>
      <c r="L76" s="30" t="n"/>
      <c r="M76" s="30" t="n"/>
      <c r="N76" s="30" t="n"/>
      <c r="O76" s="30" t="n"/>
      <c r="P76" s="30" t="n"/>
      <c r="Q76" s="31" t="n"/>
      <c r="R76" s="31" t="n"/>
    </row>
    <row r="77">
      <c r="A77" s="19">
        <f>Tickers!$A$77</f>
        <v/>
      </c>
      <c r="B77" s="29" cm="1">
        <f t="array" aca="1" ref="B77" ca="1">_xll.BQL($A77, "#itm().period as #p", "#itm=sales_rev_turn(fpt=q,fpo=0,ae=a)","showids=f","transpose=t","showheaders=f")</f>
        <v/>
      </c>
      <c r="C77" s="30" cm="1">
        <f t="array" aca="1" ref="C77" ca="1">_xll.BQL($A77, "#itm().value as #v", "#itm=sales_rev_turn(fpt=q,fpo=range(-13,2),ae=ae,fa_adjusted=y,currency='USD')/1m","showids=f","transpose=t","showheaders=f")</f>
        <v/>
      </c>
      <c r="D77" s="30" t="n"/>
      <c r="E77" s="30" t="n"/>
      <c r="F77" s="30" t="n"/>
      <c r="G77" s="30" t="n"/>
      <c r="H77" s="30" t="n"/>
      <c r="I77" s="30" t="n"/>
      <c r="J77" s="30" t="n"/>
      <c r="K77" s="30" t="n"/>
      <c r="L77" s="30" t="n"/>
      <c r="M77" s="30" t="n"/>
      <c r="N77" s="30" t="n"/>
      <c r="O77" s="30" t="n"/>
      <c r="P77" s="30" t="n"/>
      <c r="Q77" s="31" t="n"/>
      <c r="R77" s="31" t="n"/>
    </row>
    <row r="78">
      <c r="A78" s="19">
        <f>Tickers!$A$78</f>
        <v/>
      </c>
      <c r="B78" s="29" cm="1">
        <f t="array" aca="1" ref="B78" ca="1">_xll.BQL($A78, "#itm().period as #p", "#itm=sales_rev_turn(fpt=q,fpo=0,ae=a)","showids=f","transpose=t","showheaders=f")</f>
        <v/>
      </c>
      <c r="C78" s="30" cm="1">
        <f t="array" aca="1" ref="C78" ca="1">_xll.BQL($A78, "#itm().value as #v", "#itm=sales_rev_turn(fpt=q,fpo=range(-13,2),ae=ae,fa_adjusted=y,currency='USD')/1m","showids=f","transpose=t","showheaders=f")</f>
        <v/>
      </c>
      <c r="D78" s="30" t="n"/>
      <c r="E78" s="30" t="n"/>
      <c r="F78" s="30" t="n"/>
      <c r="G78" s="30" t="n"/>
      <c r="H78" s="30" t="n"/>
      <c r="I78" s="30" t="n"/>
      <c r="J78" s="30" t="n"/>
      <c r="K78" s="30" t="n"/>
      <c r="L78" s="30" t="n"/>
      <c r="M78" s="30" t="n"/>
      <c r="N78" s="30" t="n"/>
      <c r="O78" s="30" t="n"/>
      <c r="P78" s="30" t="n"/>
      <c r="Q78" s="31" t="n"/>
      <c r="R78" s="31" t="n"/>
    </row>
    <row r="79">
      <c r="A79" s="19">
        <f>Tickers!$A$79</f>
        <v/>
      </c>
      <c r="B79" s="29" cm="1">
        <f t="array" aca="1" ref="B79" ca="1">_xll.BQL($A79, "#itm().period as #p", "#itm=sales_rev_turn(fpt=q,fpo=0,ae=a)","showids=f","transpose=t","showheaders=f")</f>
        <v/>
      </c>
      <c r="C79" s="30" cm="1">
        <f t="array" aca="1" ref="C79" ca="1">_xll.BQL($A79, "#itm().value as #v", "#itm=sales_rev_turn(fpt=q,fpo=range(-13,2),ae=ae,fa_adjusted=y,currency='USD')/1m","showids=f","transpose=t","showheaders=f")</f>
        <v/>
      </c>
      <c r="D79" s="30" t="n"/>
      <c r="E79" s="30" t="n"/>
      <c r="F79" s="30" t="n"/>
      <c r="G79" s="30" t="n"/>
      <c r="H79" s="30" t="n"/>
      <c r="I79" s="30" t="n"/>
      <c r="J79" s="30" t="n"/>
      <c r="K79" s="30" t="n"/>
      <c r="L79" s="30" t="n"/>
      <c r="M79" s="30" t="n"/>
      <c r="N79" s="30" t="n"/>
      <c r="O79" s="30" t="n"/>
      <c r="P79" s="30" t="n"/>
      <c r="Q79" s="31" t="n"/>
      <c r="R79" s="31" t="n"/>
    </row>
    <row r="80">
      <c r="A80" s="19">
        <f>Tickers!$A$80</f>
        <v/>
      </c>
      <c r="B80" s="29" cm="1">
        <f t="array" aca="1" ref="B80" ca="1">_xll.BQL($A80, "#itm().period as #p", "#itm=sales_rev_turn(fpt=q,fpo=0,ae=a)","showids=f","transpose=t","showheaders=f")</f>
        <v/>
      </c>
      <c r="C80" s="30" cm="1">
        <f t="array" aca="1" ref="C80" ca="1">_xll.BQL($A80, "#itm().value as #v", "#itm=sales_rev_turn(fpt=q,fpo=range(-13,2),ae=ae,fa_adjusted=y,currency='USD')/1m","showids=f","transpose=t","showheaders=f")</f>
        <v/>
      </c>
      <c r="D80" s="30" t="n"/>
      <c r="E80" s="30" t="n"/>
      <c r="F80" s="30" t="n"/>
      <c r="G80" s="30" t="n"/>
      <c r="H80" s="30" t="n"/>
      <c r="I80" s="30" t="n"/>
      <c r="J80" s="30" t="n"/>
      <c r="K80" s="30" t="n"/>
      <c r="L80" s="30" t="n"/>
      <c r="M80" s="30" t="n"/>
      <c r="N80" s="30" t="n"/>
      <c r="O80" s="30" t="n"/>
      <c r="P80" s="30" t="n"/>
      <c r="Q80" s="31" t="n"/>
      <c r="R80" s="31" t="n"/>
    </row>
    <row r="81">
      <c r="A81" s="19">
        <f>Tickers!$A$81</f>
        <v/>
      </c>
      <c r="B81" s="29" cm="1">
        <f t="array" aca="1" ref="B81" ca="1">_xll.BQL($A81, "#itm().period as #p", "#itm=sales_rev_turn(fpt=q,fpo=0,ae=a)","showids=f","transpose=t","showheaders=f")</f>
        <v/>
      </c>
      <c r="C81" s="30" cm="1">
        <f t="array" aca="1" ref="C81" ca="1">_xll.BQL($A81, "#itm().value as #v", "#itm=sales_rev_turn(fpt=q,fpo=range(-13,2),ae=ae,fa_adjusted=y,currency='USD')/1m","showids=f","transpose=t","showheaders=f")</f>
        <v/>
      </c>
      <c r="D81" s="30" t="n"/>
      <c r="E81" s="30" t="n"/>
      <c r="F81" s="30" t="n"/>
      <c r="G81" s="30" t="n"/>
      <c r="H81" s="30" t="n"/>
      <c r="I81" s="30" t="n"/>
      <c r="J81" s="30" t="n"/>
      <c r="K81" s="30" t="n"/>
      <c r="L81" s="30" t="n"/>
      <c r="M81" s="30" t="n"/>
      <c r="N81" s="30" t="n"/>
      <c r="O81" s="30" t="n"/>
      <c r="P81" s="30" t="n"/>
      <c r="Q81" s="31" t="n"/>
      <c r="R81" s="31" t="n"/>
    </row>
    <row r="82">
      <c r="A82" s="19">
        <f>Tickers!$A$82</f>
        <v/>
      </c>
      <c r="B82" s="29" cm="1">
        <f t="array" aca="1" ref="B82" ca="1">_xll.BQL($A82, "#itm().period as #p", "#itm=sales_rev_turn(fpt=q,fpo=0,ae=a)","showids=f","transpose=t","showheaders=f")</f>
        <v/>
      </c>
      <c r="C82" s="30" cm="1">
        <f t="array" aca="1" ref="C82" ca="1">_xll.BQL($A82, "#itm().value as #v", "#itm=sales_rev_turn(fpt=q,fpo=range(-13,2),ae=ae,fa_adjusted=y,currency='USD')/1m","showids=f","transpose=t","showheaders=f")</f>
        <v/>
      </c>
      <c r="D82" s="30" t="n"/>
      <c r="E82" s="30" t="n"/>
      <c r="F82" s="30" t="n"/>
      <c r="G82" s="30" t="n"/>
      <c r="H82" s="30" t="n"/>
      <c r="I82" s="30" t="n"/>
      <c r="J82" s="30" t="n"/>
      <c r="K82" s="30" t="n"/>
      <c r="L82" s="30" t="n"/>
      <c r="M82" s="30" t="n"/>
      <c r="N82" s="30" t="n"/>
      <c r="O82" s="30" t="n"/>
      <c r="P82" s="30" t="n"/>
      <c r="Q82" s="31" t="n"/>
      <c r="R82" s="31" t="n"/>
    </row>
    <row r="83">
      <c r="A83" s="19">
        <f>Tickers!$A$83</f>
        <v/>
      </c>
      <c r="B83" s="29" cm="1">
        <f t="array" aca="1" ref="B83" ca="1">_xll.BQL($A83, "#itm().period as #p", "#itm=sales_rev_turn(fpt=q,fpo=0,ae=a)","showids=f","transpose=t","showheaders=f")</f>
        <v/>
      </c>
      <c r="C83" s="30" cm="1">
        <f t="array" aca="1" ref="C83" ca="1">_xll.BQL($A83, "#itm().value as #v", "#itm=sales_rev_turn(fpt=q,fpo=range(-13,2),ae=ae,fa_adjusted=y,currency='USD')/1m","showids=f","transpose=t","showheaders=f")</f>
        <v/>
      </c>
      <c r="D83" s="30" t="n"/>
      <c r="E83" s="30" t="n"/>
      <c r="F83" s="30" t="n"/>
      <c r="G83" s="30" t="n"/>
      <c r="H83" s="30" t="n"/>
      <c r="I83" s="30" t="n"/>
      <c r="J83" s="30" t="n"/>
      <c r="K83" s="30" t="n"/>
      <c r="L83" s="30" t="n"/>
      <c r="M83" s="30" t="n"/>
      <c r="N83" s="30" t="n"/>
      <c r="O83" s="30" t="n"/>
      <c r="P83" s="30" t="n"/>
      <c r="Q83" s="31" t="n"/>
      <c r="R83" s="31" t="n"/>
    </row>
    <row r="84">
      <c r="A84" s="19">
        <f>Tickers!$A$84</f>
        <v/>
      </c>
      <c r="B84" s="29" cm="1">
        <f t="array" aca="1" ref="B84" ca="1">_xll.BQL($A84, "#itm().period as #p", "#itm=sales_rev_turn(fpt=q,fpo=0,ae=a)","showids=f","transpose=t","showheaders=f")</f>
        <v/>
      </c>
      <c r="C84" s="30" cm="1">
        <f t="array" aca="1" ref="C84" ca="1">_xll.BQL($A84, "#itm().value as #v", "#itm=sales_rev_turn(fpt=q,fpo=range(-13,2),ae=ae,fa_adjusted=y,currency='USD')/1m","showids=f","transpose=t","showheaders=f")</f>
        <v/>
      </c>
      <c r="D84" s="30" t="n"/>
      <c r="E84" s="30" t="n"/>
      <c r="F84" s="30" t="n"/>
      <c r="G84" s="30" t="n"/>
      <c r="H84" s="30" t="n"/>
      <c r="I84" s="30" t="n"/>
      <c r="J84" s="30" t="n"/>
      <c r="K84" s="30" t="n"/>
      <c r="L84" s="30" t="n"/>
      <c r="M84" s="30" t="n"/>
      <c r="N84" s="30" t="n"/>
      <c r="O84" s="30" t="n"/>
      <c r="P84" s="30" t="n"/>
      <c r="Q84" s="31" t="n"/>
      <c r="R84" s="31" t="n"/>
    </row>
    <row r="85">
      <c r="A85" s="19">
        <f>Tickers!$A$85</f>
        <v/>
      </c>
      <c r="B85" s="29" cm="1">
        <f t="array" aca="1" ref="B85" ca="1">_xll.BQL($A85, "#itm().period as #p", "#itm=sales_rev_turn(fpt=q,fpo=0,ae=a)","showids=f","transpose=t","showheaders=f")</f>
        <v/>
      </c>
      <c r="C85" s="30" cm="1">
        <f t="array" aca="1" ref="C85" ca="1">_xll.BQL($A85, "#itm().value as #v", "#itm=sales_rev_turn(fpt=q,fpo=range(-13,2),ae=ae,fa_adjusted=y,currency='USD')/1m","showids=f","transpose=t","showheaders=f")</f>
        <v/>
      </c>
      <c r="D85" s="30" t="n"/>
      <c r="E85" s="30" t="n"/>
      <c r="F85" s="30" t="n"/>
      <c r="G85" s="30" t="n"/>
      <c r="H85" s="30" t="n"/>
      <c r="I85" s="30" t="n"/>
      <c r="J85" s="30" t="n"/>
      <c r="K85" s="30" t="n"/>
      <c r="L85" s="30" t="n"/>
      <c r="M85" s="30" t="n"/>
      <c r="N85" s="30" t="n"/>
      <c r="O85" s="30" t="n"/>
      <c r="P85" s="30" t="n"/>
      <c r="Q85" s="31" t="n"/>
      <c r="R85" s="31" t="n"/>
    </row>
    <row r="86">
      <c r="A86" s="19">
        <f>Tickers!$A$86</f>
        <v/>
      </c>
      <c r="B86" s="29" cm="1">
        <f t="array" aca="1" ref="B86" ca="1">_xll.BQL($A86, "#itm().period as #p", "#itm=sales_rev_turn(fpt=q,fpo=0,ae=a)","showids=f","transpose=t","showheaders=f")</f>
        <v/>
      </c>
      <c r="C86" s="30" cm="1">
        <f t="array" aca="1" ref="C86" ca="1">_xll.BQL($A86, "#itm().value as #v", "#itm=sales_rev_turn(fpt=q,fpo=range(-13,2),ae=ae,fa_adjusted=y,currency='USD')/1m","showids=f","transpose=t","showheaders=f")</f>
        <v/>
      </c>
      <c r="D86" s="30" t="n"/>
      <c r="E86" s="30" t="n"/>
      <c r="F86" s="30" t="n"/>
      <c r="G86" s="30" t="n"/>
      <c r="H86" s="30" t="n"/>
      <c r="I86" s="30" t="n"/>
      <c r="J86" s="30" t="n"/>
      <c r="K86" s="30" t="n"/>
      <c r="L86" s="30" t="n"/>
      <c r="M86" s="30" t="n"/>
      <c r="N86" s="30" t="n"/>
      <c r="O86" s="30" t="n"/>
      <c r="P86" s="30" t="n"/>
      <c r="Q86" s="31" t="n"/>
      <c r="R86" s="31" t="n"/>
    </row>
    <row r="87">
      <c r="A87" s="19">
        <f>Tickers!$A$87</f>
        <v/>
      </c>
      <c r="B87" s="29" cm="1">
        <f t="array" aca="1" ref="B87" ca="1">_xll.BQL($A87, "#itm().period as #p", "#itm=sales_rev_turn(fpt=q,fpo=0,ae=a)","showids=f","transpose=t","showheaders=f")</f>
        <v/>
      </c>
      <c r="C87" s="30" cm="1">
        <f t="array" aca="1" ref="C87" ca="1">_xll.BQL($A87, "#itm().value as #v", "#itm=sales_rev_turn(fpt=q,fpo=range(-13,2),ae=ae,fa_adjusted=y,currency='USD')/1m","showids=f","transpose=t","showheaders=f")</f>
        <v/>
      </c>
      <c r="D87" s="30" t="n"/>
      <c r="E87" s="30" t="n"/>
      <c r="F87" s="30" t="n"/>
      <c r="G87" s="30" t="n"/>
      <c r="H87" s="30" t="n"/>
      <c r="I87" s="30" t="n"/>
      <c r="J87" s="30" t="n"/>
      <c r="K87" s="30" t="n"/>
      <c r="L87" s="30" t="n"/>
      <c r="M87" s="30" t="n"/>
      <c r="N87" s="30" t="n"/>
      <c r="O87" s="30" t="n"/>
      <c r="P87" s="30" t="n"/>
      <c r="Q87" s="31" t="n"/>
      <c r="R87" s="31" t="n"/>
    </row>
    <row r="88">
      <c r="A88" s="19">
        <f>Tickers!$A$88</f>
        <v/>
      </c>
      <c r="B88" s="29" cm="1">
        <f t="array" aca="1" ref="B88" ca="1">_xll.BQL($A88, "#itm().period as #p", "#itm=sales_rev_turn(fpt=q,fpo=0,ae=a)","showids=f","transpose=t","showheaders=f")</f>
        <v/>
      </c>
      <c r="C88" s="30" cm="1">
        <f t="array" aca="1" ref="C88" ca="1">_xll.BQL($A88, "#itm().value as #v", "#itm=sales_rev_turn(fpt=q,fpo=range(-13,2),ae=ae,fa_adjusted=y,currency='USD')/1m","showids=f","transpose=t","showheaders=f")</f>
        <v/>
      </c>
      <c r="D88" s="30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30" t="n"/>
      <c r="P88" s="30" t="n"/>
      <c r="Q88" s="31" t="n"/>
      <c r="R88" s="31" t="n"/>
    </row>
    <row r="89">
      <c r="A89" s="19">
        <f>Tickers!$A$89</f>
        <v/>
      </c>
      <c r="B89" s="29" cm="1">
        <f t="array" aca="1" ref="B89" ca="1">_xll.BQL($A89, "#itm().period as #p", "#itm=sales_rev_turn(fpt=q,fpo=0,ae=a)","showids=f","transpose=t","showheaders=f")</f>
        <v/>
      </c>
      <c r="C89" s="30" cm="1">
        <f t="array" aca="1" ref="C89" ca="1">_xll.BQL($A89, "#itm().value as #v", "#itm=sales_rev_turn(fpt=q,fpo=range(-13,2),ae=ae,fa_adjusted=y,currency='USD')/1m","showids=f","transpose=t","showheaders=f")</f>
        <v/>
      </c>
      <c r="D89" s="30" t="n"/>
      <c r="E89" s="30" t="n"/>
      <c r="F89" s="30" t="n"/>
      <c r="G89" s="30" t="n"/>
      <c r="H89" s="30" t="n"/>
      <c r="I89" s="30" t="n"/>
      <c r="J89" s="30" t="n"/>
      <c r="K89" s="30" t="n"/>
      <c r="L89" s="30" t="n"/>
      <c r="M89" s="30" t="n"/>
      <c r="N89" s="30" t="n"/>
      <c r="O89" s="30" t="n"/>
      <c r="P89" s="30" t="n"/>
      <c r="Q89" s="31" t="n"/>
      <c r="R89" s="31" t="n"/>
    </row>
    <row r="90">
      <c r="A90" s="19">
        <f>Tickers!$A$90</f>
        <v/>
      </c>
      <c r="B90" s="29" cm="1">
        <f t="array" aca="1" ref="B90" ca="1">_xll.BQL($A90, "#itm().period as #p", "#itm=sales_rev_turn(fpt=q,fpo=0,ae=a)","showids=f","transpose=t","showheaders=f")</f>
        <v/>
      </c>
      <c r="C90" s="30" cm="1">
        <f t="array" aca="1" ref="C90" ca="1">_xll.BQL($A90, "#itm().value as #v", "#itm=sales_rev_turn(fpt=q,fpo=range(-13,2),ae=ae,fa_adjusted=y,currency='USD')/1m","showids=f","transpose=t","showheaders=f")</f>
        <v/>
      </c>
      <c r="D90" s="30" t="n"/>
      <c r="E90" s="30" t="n"/>
      <c r="F90" s="30" t="n"/>
      <c r="G90" s="30" t="n"/>
      <c r="H90" s="30" t="n"/>
      <c r="I90" s="30" t="n"/>
      <c r="J90" s="30" t="n"/>
      <c r="K90" s="30" t="n"/>
      <c r="L90" s="30" t="n"/>
      <c r="M90" s="30" t="n"/>
      <c r="N90" s="30" t="n"/>
      <c r="O90" s="30" t="n"/>
      <c r="P90" s="30" t="n"/>
      <c r="Q90" s="31" t="n"/>
      <c r="R90" s="31" t="n"/>
    </row>
    <row r="91">
      <c r="A91" s="19">
        <f>Tickers!$A$91</f>
        <v/>
      </c>
      <c r="B91" s="29" cm="1">
        <f t="array" aca="1" ref="B91" ca="1">_xll.BQL($A91, "#itm().period as #p", "#itm=sales_rev_turn(fpt=q,fpo=0,ae=a)","showids=f","transpose=t","showheaders=f")</f>
        <v/>
      </c>
      <c r="C91" s="30" cm="1">
        <f t="array" aca="1" ref="C91" ca="1">_xll.BQL($A91, "#itm().value as #v", "#itm=sales_rev_turn(fpt=q,fpo=range(-13,2),ae=ae,fa_adjusted=y,currency='USD')/1m","showids=f","transpose=t","showheaders=f")</f>
        <v/>
      </c>
      <c r="D91" s="30" t="n"/>
      <c r="E91" s="30" t="n"/>
      <c r="F91" s="30" t="n"/>
      <c r="G91" s="30" t="n"/>
      <c r="H91" s="30" t="n"/>
      <c r="I91" s="30" t="n"/>
      <c r="J91" s="30" t="n"/>
      <c r="K91" s="30" t="n"/>
      <c r="L91" s="30" t="n"/>
      <c r="M91" s="30" t="n"/>
      <c r="N91" s="30" t="n"/>
      <c r="O91" s="30" t="n"/>
      <c r="P91" s="30" t="n"/>
      <c r="Q91" s="31" t="n"/>
      <c r="R91" s="31" t="n"/>
    </row>
    <row r="92">
      <c r="A92" s="19">
        <f>Tickers!$A$92</f>
        <v/>
      </c>
      <c r="B92" s="29" cm="1">
        <f t="array" aca="1" ref="B92" ca="1">_xll.BQL($A92, "#itm().period as #p", "#itm=sales_rev_turn(fpt=q,fpo=0,ae=a)","showids=f","transpose=t","showheaders=f")</f>
        <v/>
      </c>
      <c r="C92" s="30" cm="1">
        <f t="array" aca="1" ref="C92" ca="1">_xll.BQL($A92, "#itm().value as #v", "#itm=sales_rev_turn(fpt=q,fpo=range(-13,2),ae=ae,fa_adjusted=y,currency='USD')/1m","showids=f","transpose=t","showheaders=f")</f>
        <v/>
      </c>
      <c r="D92" s="30" t="n"/>
      <c r="E92" s="30" t="n"/>
      <c r="F92" s="30" t="n"/>
      <c r="G92" s="30" t="n"/>
      <c r="H92" s="30" t="n"/>
      <c r="I92" s="30" t="n"/>
      <c r="J92" s="30" t="n"/>
      <c r="K92" s="30" t="n"/>
      <c r="L92" s="30" t="n"/>
      <c r="M92" s="30" t="n"/>
      <c r="N92" s="30" t="n"/>
      <c r="O92" s="30" t="n"/>
      <c r="P92" s="30" t="n"/>
      <c r="Q92" s="31" t="n"/>
      <c r="R92" s="31" t="n"/>
    </row>
    <row r="93">
      <c r="A93" s="19">
        <f>Tickers!$A$93</f>
        <v/>
      </c>
      <c r="B93" s="29" cm="1">
        <f t="array" aca="1" ref="B93" ca="1">_xll.BQL($A93, "#itm().period as #p", "#itm=sales_rev_turn(fpt=q,fpo=0,ae=a)","showids=f","transpose=t","showheaders=f")</f>
        <v/>
      </c>
      <c r="C93" s="30" cm="1">
        <f t="array" aca="1" ref="C93" ca="1">_xll.BQL($A93, "#itm().value as #v", "#itm=sales_rev_turn(fpt=q,fpo=range(-13,2),ae=ae,fa_adjusted=y,currency='USD')/1m","showids=f","transpose=t","showheaders=f")</f>
        <v/>
      </c>
      <c r="D93" s="30" t="n"/>
      <c r="E93" s="30" t="n"/>
      <c r="F93" s="30" t="n"/>
      <c r="G93" s="30" t="n"/>
      <c r="H93" s="30" t="n"/>
      <c r="I93" s="30" t="n"/>
      <c r="J93" s="30" t="n"/>
      <c r="K93" s="30" t="n"/>
      <c r="L93" s="30" t="n"/>
      <c r="M93" s="30" t="n"/>
      <c r="N93" s="30" t="n"/>
      <c r="O93" s="30" t="n"/>
      <c r="P93" s="30" t="n"/>
      <c r="Q93" s="31" t="n"/>
      <c r="R93" s="31" t="n"/>
    </row>
    <row r="94">
      <c r="A94" s="19">
        <f>Tickers!$A$94</f>
        <v/>
      </c>
      <c r="B94" s="29" cm="1">
        <f t="array" aca="1" ref="B94" ca="1">_xll.BQL($A94, "#itm().period as #p", "#itm=sales_rev_turn(fpt=q,fpo=0,ae=a)","showids=f","transpose=t","showheaders=f")</f>
        <v/>
      </c>
      <c r="C94" s="30" cm="1">
        <f t="array" aca="1" ref="C94" ca="1">_xll.BQL($A94, "#itm().value as #v", "#itm=sales_rev_turn(fpt=q,fpo=range(-13,2),ae=ae,fa_adjusted=y,currency='USD')/1m","showids=f","transpose=t","showheaders=f")</f>
        <v/>
      </c>
      <c r="D94" s="30" t="n"/>
      <c r="E94" s="30" t="n"/>
      <c r="F94" s="30" t="n"/>
      <c r="G94" s="30" t="n"/>
      <c r="H94" s="30" t="n"/>
      <c r="I94" s="30" t="n"/>
      <c r="J94" s="30" t="n"/>
      <c r="K94" s="30" t="n"/>
      <c r="L94" s="30" t="n"/>
      <c r="M94" s="30" t="n"/>
      <c r="N94" s="30" t="n"/>
      <c r="O94" s="30" t="n"/>
      <c r="P94" s="30" t="n"/>
      <c r="Q94" s="31" t="n"/>
      <c r="R94" s="31" t="n"/>
    </row>
    <row r="95">
      <c r="A95" s="19">
        <f>Tickers!$A$95</f>
        <v/>
      </c>
      <c r="B95" s="29" cm="1">
        <f t="array" aca="1" ref="B95" ca="1">_xll.BQL($A95, "#itm().period as #p", "#itm=sales_rev_turn(fpt=q,fpo=0,ae=a)","showids=f","transpose=t","showheaders=f")</f>
        <v/>
      </c>
      <c r="C95" s="30" cm="1">
        <f t="array" aca="1" ref="C95" ca="1">_xll.BQL($A95, "#itm().value as #v", "#itm=sales_rev_turn(fpt=q,fpo=range(-13,2),ae=ae,fa_adjusted=y,currency='USD')/1m","showids=f","transpose=t","showheaders=f")</f>
        <v/>
      </c>
      <c r="D95" s="30" t="n"/>
      <c r="E95" s="30" t="n"/>
      <c r="F95" s="30" t="n"/>
      <c r="G95" s="30" t="n"/>
      <c r="H95" s="30" t="n"/>
      <c r="I95" s="30" t="n"/>
      <c r="J95" s="30" t="n"/>
      <c r="K95" s="30" t="n"/>
      <c r="L95" s="30" t="n"/>
      <c r="M95" s="30" t="n"/>
      <c r="N95" s="30" t="n"/>
      <c r="O95" s="30" t="n"/>
      <c r="P95" s="30" t="n"/>
      <c r="Q95" s="31" t="n"/>
      <c r="R95" s="31" t="n"/>
    </row>
    <row r="96">
      <c r="A96" s="19">
        <f>Tickers!$A$96</f>
        <v/>
      </c>
      <c r="B96" s="29" cm="1">
        <f t="array" aca="1" ref="B96" ca="1">_xll.BQL($A96, "#itm().period as #p", "#itm=sales_rev_turn(fpt=q,fpo=0,ae=a)","showids=f","transpose=t","showheaders=f")</f>
        <v/>
      </c>
      <c r="C96" s="30" cm="1">
        <f t="array" aca="1" ref="C96" ca="1">_xll.BQL($A96, "#itm().value as #v", "#itm=sales_rev_turn(fpt=q,fpo=range(-13,2),ae=ae,fa_adjusted=y,currency='USD')/1m","showids=f","transpose=t","showheaders=f")</f>
        <v/>
      </c>
      <c r="D96" s="30" t="n"/>
      <c r="E96" s="30" t="n"/>
      <c r="F96" s="30" t="n"/>
      <c r="G96" s="30" t="n"/>
      <c r="H96" s="30" t="n"/>
      <c r="I96" s="30" t="n"/>
      <c r="J96" s="30" t="n"/>
      <c r="K96" s="30" t="n"/>
      <c r="L96" s="30" t="n"/>
      <c r="M96" s="30" t="n"/>
      <c r="N96" s="30" t="n"/>
      <c r="O96" s="30" t="n"/>
      <c r="P96" s="30" t="n"/>
      <c r="Q96" s="31" t="n"/>
      <c r="R96" s="31" t="n"/>
    </row>
    <row r="97">
      <c r="A97" s="19">
        <f>Tickers!$A$97</f>
        <v/>
      </c>
      <c r="B97" s="29" cm="1">
        <f t="array" aca="1" ref="B97" ca="1">_xll.BQL($A97, "#itm().period as #p", "#itm=sales_rev_turn(fpt=q,fpo=0,ae=a)","showids=f","transpose=t","showheaders=f")</f>
        <v/>
      </c>
      <c r="C97" s="30" cm="1">
        <f t="array" aca="1" ref="C97" ca="1">_xll.BQL($A97, "#itm().value as #v", "#itm=sales_rev_turn(fpt=q,fpo=range(-13,2),ae=ae,fa_adjusted=y,currency='USD')/1m","showids=f","transpose=t","showheaders=f")</f>
        <v/>
      </c>
      <c r="D97" s="30" t="n"/>
      <c r="E97" s="30" t="n"/>
      <c r="F97" s="30" t="n"/>
      <c r="G97" s="30" t="n"/>
      <c r="H97" s="30" t="n"/>
      <c r="I97" s="30" t="n"/>
      <c r="J97" s="30" t="n"/>
      <c r="K97" s="30" t="n"/>
      <c r="L97" s="30" t="n"/>
      <c r="M97" s="30" t="n"/>
      <c r="N97" s="30" t="n"/>
      <c r="O97" s="30" t="n"/>
      <c r="P97" s="30" t="n"/>
      <c r="Q97" s="31" t="n"/>
      <c r="R97" s="31" t="n"/>
    </row>
    <row r="98">
      <c r="A98" s="19">
        <f>Tickers!$A$98</f>
        <v/>
      </c>
      <c r="B98" s="29" cm="1">
        <f t="array" aca="1" ref="B98" ca="1">_xll.BQL($A98, "#itm().period as #p", "#itm=sales_rev_turn(fpt=q,fpo=0,ae=a)","showids=f","transpose=t","showheaders=f")</f>
        <v/>
      </c>
      <c r="C98" s="30" cm="1">
        <f t="array" aca="1" ref="C98" ca="1">_xll.BQL($A98, "#itm().value as #v", "#itm=sales_rev_turn(fpt=q,fpo=range(-13,2),ae=ae,fa_adjusted=y,currency='USD')/1m","showids=f","transpose=t","showheaders=f")</f>
        <v/>
      </c>
      <c r="D98" s="30" t="n"/>
      <c r="E98" s="30" t="n"/>
      <c r="F98" s="30" t="n"/>
      <c r="G98" s="30" t="n"/>
      <c r="H98" s="30" t="n"/>
      <c r="I98" s="30" t="n"/>
      <c r="J98" s="30" t="n"/>
      <c r="K98" s="30" t="n"/>
      <c r="L98" s="30" t="n"/>
      <c r="M98" s="30" t="n"/>
      <c r="N98" s="30" t="n"/>
      <c r="O98" s="30" t="n"/>
      <c r="P98" s="30" t="n"/>
      <c r="Q98" s="31" t="n"/>
      <c r="R98" s="31" t="n"/>
    </row>
    <row r="99">
      <c r="A99" s="19">
        <f>Tickers!$A$99</f>
        <v/>
      </c>
      <c r="B99" s="29" cm="1">
        <f t="array" aca="1" ref="B99" ca="1">_xll.BQL($A99, "#itm().period as #p", "#itm=sales_rev_turn(fpt=q,fpo=0,ae=a)","showids=f","transpose=t","showheaders=f")</f>
        <v/>
      </c>
      <c r="C99" s="30" cm="1">
        <f t="array" aca="1" ref="C99" ca="1">_xll.BQL($A99, "#itm().value as #v", "#itm=sales_rev_turn(fpt=q,fpo=range(-13,2),ae=ae,fa_adjusted=y,currency='USD')/1m","showids=f","transpose=t","showheaders=f")</f>
        <v/>
      </c>
      <c r="D99" s="30" t="n"/>
      <c r="E99" s="30" t="n"/>
      <c r="F99" s="30" t="n"/>
      <c r="G99" s="30" t="n"/>
      <c r="H99" s="30" t="n"/>
      <c r="I99" s="30" t="n"/>
      <c r="J99" s="30" t="n"/>
      <c r="K99" s="30" t="n"/>
      <c r="L99" s="30" t="n"/>
      <c r="M99" s="30" t="n"/>
      <c r="N99" s="30" t="n"/>
      <c r="O99" s="30" t="n"/>
      <c r="P99" s="30" t="n"/>
      <c r="Q99" s="31" t="n"/>
      <c r="R99" s="31" t="n"/>
    </row>
    <row r="100">
      <c r="A100" s="19">
        <f>Tickers!$A$100</f>
        <v/>
      </c>
      <c r="B100" s="29" cm="1">
        <f t="array" aca="1" ref="B100" ca="1">_xll.BQL($A100, "#itm().period as #p", "#itm=sales_rev_turn(fpt=q,fpo=0,ae=a)","showids=f","transpose=t","showheaders=f")</f>
        <v/>
      </c>
      <c r="C100" s="30" cm="1">
        <f t="array" aca="1" ref="C100" ca="1">_xll.BQL($A100, "#itm().value as #v", "#itm=sales_rev_turn(fpt=q,fpo=range(-13,2),ae=ae,fa_adjusted=y,currency='USD')/1m","showids=f","transpose=t","showheaders=f")</f>
        <v/>
      </c>
      <c r="D100" s="30" t="n"/>
      <c r="E100" s="30" t="n"/>
      <c r="F100" s="30" t="n"/>
      <c r="G100" s="30" t="n"/>
      <c r="H100" s="30" t="n"/>
      <c r="I100" s="30" t="n"/>
      <c r="J100" s="30" t="n"/>
      <c r="K100" s="30" t="n"/>
      <c r="L100" s="30" t="n"/>
      <c r="M100" s="30" t="n"/>
      <c r="N100" s="30" t="n"/>
      <c r="O100" s="30" t="n"/>
      <c r="P100" s="30" t="n"/>
      <c r="Q100" s="31" t="n"/>
      <c r="R100" s="31" t="n"/>
    </row>
    <row r="101">
      <c r="A101" s="19">
        <f>Tickers!$A$101</f>
        <v/>
      </c>
      <c r="B101" s="29" cm="1">
        <f t="array" aca="1" ref="B101" ca="1">_xll.BQL($A101, "#itm().period as #p", "#itm=sales_rev_turn(fpt=q,fpo=0,ae=a)","showids=f","transpose=t","showheaders=f")</f>
        <v/>
      </c>
      <c r="C101" s="30" cm="1">
        <f t="array" aca="1" ref="C101" ca="1">_xll.BQL($A101, "#itm().value as #v", "#itm=sales_rev_turn(fpt=q,fpo=range(-13,2),ae=ae,fa_adjusted=y,currency='USD')/1m","showids=f","transpose=t","showheaders=f")</f>
        <v/>
      </c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  <c r="M101" s="30" t="n"/>
      <c r="N101" s="30" t="n"/>
      <c r="O101" s="30" t="n"/>
      <c r="P101" s="30" t="n"/>
      <c r="Q101" s="31" t="n"/>
      <c r="R101" s="31" t="n"/>
    </row>
    <row r="102">
      <c r="A102" s="19">
        <f>Tickers!$A$102</f>
        <v/>
      </c>
      <c r="B102" s="29" cm="1">
        <f t="array" aca="1" ref="B102" ca="1">_xll.BQL($A102, "#itm().period as #p", "#itm=sales_rev_turn(fpt=q,fpo=0,ae=a)","showids=f","transpose=t","showheaders=f")</f>
        <v/>
      </c>
      <c r="C102" s="30" cm="1">
        <f t="array" aca="1" ref="C102" ca="1">_xll.BQL($A102, "#itm().value as #v", "#itm=sales_rev_turn(fpt=q,fpo=range(-13,2),ae=ae,fa_adjusted=y,currency='USD')/1m","showids=f","transpose=t","showheaders=f")</f>
        <v/>
      </c>
      <c r="D102" s="30" t="n"/>
      <c r="E102" s="30" t="n"/>
      <c r="F102" s="30" t="n"/>
      <c r="G102" s="30" t="n"/>
      <c r="H102" s="30" t="n"/>
      <c r="I102" s="30" t="n"/>
      <c r="J102" s="30" t="n"/>
      <c r="K102" s="30" t="n"/>
      <c r="L102" s="30" t="n"/>
      <c r="M102" s="30" t="n"/>
      <c r="N102" s="30" t="n"/>
      <c r="O102" s="30" t="n"/>
      <c r="P102" s="30" t="n"/>
      <c r="Q102" s="31" t="n"/>
      <c r="R102" s="31" t="n"/>
    </row>
    <row r="103">
      <c r="A103" s="19">
        <f>Tickers!$A$103</f>
        <v/>
      </c>
      <c r="B103" s="29" cm="1">
        <f t="array" aca="1" ref="B103" ca="1">_xll.BQL($A103, "#itm().period as #p", "#itm=sales_rev_turn(fpt=q,fpo=0,ae=a)","showids=f","transpose=t","showheaders=f")</f>
        <v/>
      </c>
      <c r="C103" s="30" cm="1">
        <f t="array" aca="1" ref="C103" ca="1">_xll.BQL($A103, "#itm().value as #v", "#itm=sales_rev_turn(fpt=q,fpo=range(-13,2),ae=ae,fa_adjusted=y,currency='USD')/1m","showids=f","transpose=t","showheaders=f")</f>
        <v/>
      </c>
      <c r="D103" s="30" t="n"/>
      <c r="E103" s="30" t="n"/>
      <c r="F103" s="30" t="n"/>
      <c r="G103" s="30" t="n"/>
      <c r="H103" s="30" t="n"/>
      <c r="I103" s="30" t="n"/>
      <c r="J103" s="30" t="n"/>
      <c r="K103" s="30" t="n"/>
      <c r="L103" s="30" t="n"/>
      <c r="M103" s="30" t="n"/>
      <c r="N103" s="30" t="n"/>
      <c r="O103" s="30" t="n"/>
      <c r="P103" s="30" t="n"/>
      <c r="Q103" s="31" t="n"/>
      <c r="R103" s="3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0070C0"/>
    <outlinePr summaryBelow="1" summaryRight="1"/>
    <pageSetUpPr/>
  </sheetPr>
  <dimension ref="A1:R10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</cols>
  <sheetData>
    <row r="1">
      <c r="A1" s="5" t="inlineStr">
        <is>
          <t>Software — Quarterly Adjusted Operating Income (USD mm)</t>
        </is>
      </c>
      <c r="H1" s="6" t="inlineStr">
        <is>
          <t>⚠ Cells blank? This is a LIVE Bloomberg workbook — it has no saved data until its first refresh. Open it in desktop Excel on your Bloomberg terminal PC (add-in logged in), then Bloomberg ribbon ▸ Refresh All (or Ctrl+Alt+F9), wait a few minutes, and save. See README.</t>
        </is>
      </c>
    </row>
    <row r="2">
      <c r="A2" s="7" t="inlineStr">
        <is>
          <t>Columns are aligned by fiscal period offset (FPO): FPO 0 = each company's most recently REPORTED quarter, so fiscal calendars differ across rows (e.g. ZM's FY ends Jan). FPO +1/+2 are consensus estimates (shaded).</t>
        </is>
      </c>
    </row>
    <row r="3">
      <c r="A3" s="7" t="inlineStr">
        <is>
          <t>Source: Bloomberg — BQL: is_oper_inc, fpt=q, ae=ae, fa_adjusted=y, currency='USD', /1m. Refresh on a Bloomberg terminal (Bloomberg ribbon &gt; Refresh All).</t>
        </is>
      </c>
    </row>
    <row r="4" ht="28" customHeight="1">
      <c r="A4" s="8" t="inlineStr">
        <is>
          <t>Ticker</t>
        </is>
      </c>
      <c r="B4" s="8" t="inlineStr">
        <is>
          <t>Latest Rpt Qtr</t>
        </is>
      </c>
      <c r="C4" s="8" t="inlineStr">
        <is>
          <t>FPO -13</t>
        </is>
      </c>
      <c r="D4" s="8" t="inlineStr">
        <is>
          <t>FPO -12</t>
        </is>
      </c>
      <c r="E4" s="8" t="inlineStr">
        <is>
          <t>FPO -11</t>
        </is>
      </c>
      <c r="F4" s="8" t="inlineStr">
        <is>
          <t>FPO -10</t>
        </is>
      </c>
      <c r="G4" s="8" t="inlineStr">
        <is>
          <t>FPO -9</t>
        </is>
      </c>
      <c r="H4" s="8" t="inlineStr">
        <is>
          <t>FPO -8</t>
        </is>
      </c>
      <c r="I4" s="8" t="inlineStr">
        <is>
          <t>FPO -7</t>
        </is>
      </c>
      <c r="J4" s="8" t="inlineStr">
        <is>
          <t>FPO -6</t>
        </is>
      </c>
      <c r="K4" s="8" t="inlineStr">
        <is>
          <t>FPO -5</t>
        </is>
      </c>
      <c r="L4" s="8" t="inlineStr">
        <is>
          <t>FPO -4</t>
        </is>
      </c>
      <c r="M4" s="8" t="inlineStr">
        <is>
          <t>FPO -3</t>
        </is>
      </c>
      <c r="N4" s="8" t="inlineStr">
        <is>
          <t>FPO -2</t>
        </is>
      </c>
      <c r="O4" s="8" t="inlineStr">
        <is>
          <t>FPO -1</t>
        </is>
      </c>
      <c r="P4" s="8" t="inlineStr">
        <is>
          <t>FPO 0 (latest rpt)</t>
        </is>
      </c>
      <c r="Q4" s="8" t="inlineStr">
        <is>
          <t>FPO +1E</t>
        </is>
      </c>
      <c r="R4" s="8" t="inlineStr">
        <is>
          <t>FPO +2E</t>
        </is>
      </c>
    </row>
    <row r="5">
      <c r="A5" s="19">
        <f>Tickers!$A$5</f>
        <v/>
      </c>
      <c r="B5" s="19">
        <f>'SW Rev'!$B5</f>
        <v/>
      </c>
      <c r="C5" s="30" cm="1">
        <f t="array" aca="1" ref="C5" ca="1">_xll.BQL($A5, "#itm().value as #v", "#itm=is_oper_inc(fpt=q,fpo=range(-13,2),ae=ae,fa_adjusted=y,currency='USD')/1m","showids=f","transpose=t","showheaders=f")</f>
        <v/>
      </c>
      <c r="D5" s="30" t="n"/>
      <c r="E5" s="30" t="n"/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  <c r="O5" s="30" t="n"/>
      <c r="P5" s="30" t="n"/>
      <c r="Q5" s="31" t="n"/>
      <c r="R5" s="31" t="n"/>
    </row>
    <row r="6">
      <c r="A6" s="19">
        <f>Tickers!$A$6</f>
        <v/>
      </c>
      <c r="B6" s="19">
        <f>'SW Rev'!$B6</f>
        <v/>
      </c>
      <c r="C6" s="30" cm="1">
        <f t="array" aca="1" ref="C6" ca="1">_xll.BQL($A6, "#itm().value as #v", "#itm=is_oper_inc(fpt=q,fpo=range(-13,2),ae=ae,fa_adjusted=y,currency='USD')/1m","showids=f","transpose=t","showheaders=f")</f>
        <v/>
      </c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1" t="n"/>
      <c r="R6" s="31" t="n"/>
    </row>
    <row r="7">
      <c r="A7" s="19">
        <f>Tickers!$A$7</f>
        <v/>
      </c>
      <c r="B7" s="19">
        <f>'SW Rev'!$B7</f>
        <v/>
      </c>
      <c r="C7" s="30" cm="1">
        <f t="array" aca="1" ref="C7" ca="1">_xll.BQL($A7, "#itm().value as #v", "#itm=is_oper_inc(fpt=q,fpo=range(-13,2),ae=ae,fa_adjusted=y,currency='USD')/1m","showids=f","transpose=t","showheaders=f")</f>
        <v/>
      </c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1" t="n"/>
      <c r="R7" s="31" t="n"/>
    </row>
    <row r="8">
      <c r="A8" s="19">
        <f>Tickers!$A$8</f>
        <v/>
      </c>
      <c r="B8" s="19">
        <f>'SW Rev'!$B8</f>
        <v/>
      </c>
      <c r="C8" s="30" cm="1">
        <f t="array" aca="1" ref="C8" ca="1">_xll.BQL($A8, "#itm().value as #v", "#itm=is_oper_inc(fpt=q,fpo=range(-13,2),ae=ae,fa_adjusted=y,currency='USD')/1m","showids=f","transpose=t","showheaders=f")</f>
        <v/>
      </c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1" t="n"/>
      <c r="R8" s="31" t="n"/>
    </row>
    <row r="9">
      <c r="A9" s="19">
        <f>Tickers!$A$9</f>
        <v/>
      </c>
      <c r="B9" s="19">
        <f>'SW Rev'!$B9</f>
        <v/>
      </c>
      <c r="C9" s="30" cm="1">
        <f t="array" aca="1" ref="C9" ca="1">_xll.BQL($A9, "#itm().value as #v", "#itm=is_oper_inc(fpt=q,fpo=range(-13,2),ae=ae,fa_adjusted=y,currency='USD')/1m","showids=f","transpose=t","showheaders=f")</f>
        <v/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1" t="n"/>
      <c r="R9" s="31" t="n"/>
    </row>
    <row r="10">
      <c r="A10" s="19">
        <f>Tickers!$A$10</f>
        <v/>
      </c>
      <c r="B10" s="19">
        <f>'SW Rev'!$B10</f>
        <v/>
      </c>
      <c r="C10" s="30" cm="1">
        <f t="array" aca="1" ref="C10" ca="1">_xll.BQL($A10, "#itm().value as #v", "#itm=is_oper_inc(fpt=q,fpo=range(-13,2),ae=ae,fa_adjusted=y,currency='USD')/1m","showids=f","transpose=t","showheaders=f")</f>
        <v/>
      </c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30" t="n"/>
      <c r="Q10" s="31" t="n"/>
      <c r="R10" s="31" t="n"/>
    </row>
    <row r="11">
      <c r="A11" s="19">
        <f>Tickers!$A$11</f>
        <v/>
      </c>
      <c r="B11" s="19">
        <f>'SW Rev'!$B11</f>
        <v/>
      </c>
      <c r="C11" s="30" cm="1">
        <f t="array" aca="1" ref="C11" ca="1">_xll.BQL($A11, "#itm().value as #v", "#itm=is_oper_inc(fpt=q,fpo=range(-13,2),ae=ae,fa_adjusted=y,currency='USD')/1m","showids=f","transpose=t","showheaders=f")</f>
        <v/>
      </c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1" t="n"/>
      <c r="R11" s="31" t="n"/>
    </row>
    <row r="12">
      <c r="A12" s="19">
        <f>Tickers!$A$12</f>
        <v/>
      </c>
      <c r="B12" s="19">
        <f>'SW Rev'!$B12</f>
        <v/>
      </c>
      <c r="C12" s="30" cm="1">
        <f t="array" aca="1" ref="C12" ca="1">_xll.BQL($A12, "#itm().value as #v", "#itm=is_oper_inc(fpt=q,fpo=range(-13,2),ae=ae,fa_adjusted=y,currency='USD')/1m","showids=f","transpose=t","showheaders=f")</f>
        <v/>
      </c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1" t="n"/>
      <c r="R12" s="31" t="n"/>
    </row>
    <row r="13">
      <c r="A13" s="19">
        <f>Tickers!$A$13</f>
        <v/>
      </c>
      <c r="B13" s="19">
        <f>'SW Rev'!$B13</f>
        <v/>
      </c>
      <c r="C13" s="30" cm="1">
        <f t="array" aca="1" ref="C13" ca="1">_xll.BQL($A13, "#itm().value as #v", "#itm=is_oper_inc(fpt=q,fpo=range(-13,2),ae=ae,fa_adjusted=y,currency='USD')/1m","showids=f","transpose=t","showheaders=f")</f>
        <v/>
      </c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1" t="n"/>
      <c r="R13" s="31" t="n"/>
    </row>
    <row r="14">
      <c r="A14" s="19">
        <f>Tickers!$A$14</f>
        <v/>
      </c>
      <c r="B14" s="19">
        <f>'SW Rev'!$B14</f>
        <v/>
      </c>
      <c r="C14" s="30" cm="1">
        <f t="array" aca="1" ref="C14" ca="1">_xll.BQL($A14, "#itm().value as #v", "#itm=is_oper_inc(fpt=q,fpo=range(-13,2),ae=ae,fa_adjusted=y,currency='USD')/1m","showids=f","transpose=t","showheaders=f")</f>
        <v/>
      </c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  <c r="Q14" s="31" t="n"/>
      <c r="R14" s="31" t="n"/>
    </row>
    <row r="15">
      <c r="A15" s="19">
        <f>Tickers!$A$15</f>
        <v/>
      </c>
      <c r="B15" s="19">
        <f>'SW Rev'!$B15</f>
        <v/>
      </c>
      <c r="C15" s="30" cm="1">
        <f t="array" aca="1" ref="C15" ca="1">_xll.BQL($A15, "#itm().value as #v", "#itm=is_oper_inc(fpt=q,fpo=range(-13,2),ae=ae,fa_adjusted=y,currency='USD')/1m","showids=f","transpose=t","showheaders=f")</f>
        <v/>
      </c>
      <c r="D15" s="30" t="n"/>
      <c r="E15" s="30" t="n"/>
      <c r="F15" s="30" t="n"/>
      <c r="G15" s="30" t="n"/>
      <c r="H15" s="30" t="n"/>
      <c r="I15" s="30" t="n"/>
      <c r="J15" s="30" t="n"/>
      <c r="K15" s="30" t="n"/>
      <c r="L15" s="30" t="n"/>
      <c r="M15" s="30" t="n"/>
      <c r="N15" s="30" t="n"/>
      <c r="O15" s="30" t="n"/>
      <c r="P15" s="30" t="n"/>
      <c r="Q15" s="31" t="n"/>
      <c r="R15" s="31" t="n"/>
    </row>
    <row r="16">
      <c r="A16" s="19">
        <f>Tickers!$A$16</f>
        <v/>
      </c>
      <c r="B16" s="19">
        <f>'SW Rev'!$B16</f>
        <v/>
      </c>
      <c r="C16" s="30" cm="1">
        <f t="array" aca="1" ref="C16" ca="1">_xll.BQL($A16, "#itm().value as #v", "#itm=is_oper_inc(fpt=q,fpo=range(-13,2),ae=ae,fa_adjusted=y,currency='USD')/1m","showids=f","transpose=t","showheaders=f")</f>
        <v/>
      </c>
      <c r="D16" s="30" t="n"/>
      <c r="E16" s="30" t="n"/>
      <c r="F16" s="30" t="n"/>
      <c r="G16" s="30" t="n"/>
      <c r="H16" s="30" t="n"/>
      <c r="I16" s="30" t="n"/>
      <c r="J16" s="30" t="n"/>
      <c r="K16" s="30" t="n"/>
      <c r="L16" s="30" t="n"/>
      <c r="M16" s="30" t="n"/>
      <c r="N16" s="30" t="n"/>
      <c r="O16" s="30" t="n"/>
      <c r="P16" s="30" t="n"/>
      <c r="Q16" s="31" t="n"/>
      <c r="R16" s="31" t="n"/>
    </row>
    <row r="17">
      <c r="A17" s="19">
        <f>Tickers!$A$17</f>
        <v/>
      </c>
      <c r="B17" s="19">
        <f>'SW Rev'!$B17</f>
        <v/>
      </c>
      <c r="C17" s="30" cm="1">
        <f t="array" aca="1" ref="C17" ca="1">_xll.BQL($A17, "#itm().value as #v", "#itm=is_oper_inc(fpt=q,fpo=range(-13,2),ae=ae,fa_adjusted=y,currency='USD')/1m","showids=f","transpose=t","showheaders=f")</f>
        <v/>
      </c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30" t="n"/>
      <c r="Q17" s="31" t="n"/>
      <c r="R17" s="31" t="n"/>
    </row>
    <row r="18">
      <c r="A18" s="19">
        <f>Tickers!$A$18</f>
        <v/>
      </c>
      <c r="B18" s="19">
        <f>'SW Rev'!$B18</f>
        <v/>
      </c>
      <c r="C18" s="30" cm="1">
        <f t="array" aca="1" ref="C18" ca="1">_xll.BQL($A18, "#itm().value as #v", "#itm=is_oper_inc(fpt=q,fpo=range(-13,2),ae=ae,fa_adjusted=y,currency='USD')/1m","showids=f","transpose=t","showheaders=f")</f>
        <v/>
      </c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1" t="n"/>
      <c r="R18" s="31" t="n"/>
    </row>
    <row r="19">
      <c r="A19" s="19">
        <f>Tickers!$A$19</f>
        <v/>
      </c>
      <c r="B19" s="19">
        <f>'SW Rev'!$B19</f>
        <v/>
      </c>
      <c r="C19" s="30" cm="1">
        <f t="array" aca="1" ref="C19" ca="1">_xll.BQL($A19, "#itm().value as #v", "#itm=is_oper_inc(fpt=q,fpo=range(-13,2),ae=ae,fa_adjusted=y,currency='USD')/1m","showids=f","transpose=t","showheaders=f")</f>
        <v/>
      </c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1" t="n"/>
      <c r="R19" s="31" t="n"/>
    </row>
    <row r="20">
      <c r="A20" s="19">
        <f>Tickers!$A$20</f>
        <v/>
      </c>
      <c r="B20" s="19">
        <f>'SW Rev'!$B20</f>
        <v/>
      </c>
      <c r="C20" s="30" cm="1">
        <f t="array" aca="1" ref="C20" ca="1">_xll.BQL($A20, "#itm().value as #v", "#itm=is_oper_inc(fpt=q,fpo=range(-13,2),ae=ae,fa_adjusted=y,currency='USD')/1m","showids=f","transpose=t","showheaders=f")</f>
        <v/>
      </c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30" t="n"/>
      <c r="Q20" s="31" t="n"/>
      <c r="R20" s="31" t="n"/>
    </row>
    <row r="21">
      <c r="A21" s="19">
        <f>Tickers!$A$21</f>
        <v/>
      </c>
      <c r="B21" s="19">
        <f>'SW Rev'!$B21</f>
        <v/>
      </c>
      <c r="C21" s="30" cm="1">
        <f t="array" aca="1" ref="C21" ca="1">_xll.BQL($A21, "#itm().value as #v", "#itm=is_oper_inc(fpt=q,fpo=range(-13,2),ae=ae,fa_adjusted=y,currency='USD')/1m","showids=f","transpose=t","showheaders=f")</f>
        <v/>
      </c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  <c r="P21" s="30" t="n"/>
      <c r="Q21" s="31" t="n"/>
      <c r="R21" s="31" t="n"/>
    </row>
    <row r="22">
      <c r="A22" s="19">
        <f>Tickers!$A$22</f>
        <v/>
      </c>
      <c r="B22" s="19">
        <f>'SW Rev'!$B22</f>
        <v/>
      </c>
      <c r="C22" s="30" cm="1">
        <f t="array" aca="1" ref="C22" ca="1">_xll.BQL($A22, "#itm().value as #v", "#itm=is_oper_inc(fpt=q,fpo=range(-13,2),ae=ae,fa_adjusted=y,currency='USD')/1m","showids=f","transpose=t","showheaders=f")</f>
        <v/>
      </c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n"/>
      <c r="Q22" s="31" t="n"/>
      <c r="R22" s="31" t="n"/>
    </row>
    <row r="23">
      <c r="A23" s="19">
        <f>Tickers!$A$23</f>
        <v/>
      </c>
      <c r="B23" s="19">
        <f>'SW Rev'!$B23</f>
        <v/>
      </c>
      <c r="C23" s="30" cm="1">
        <f t="array" aca="1" ref="C23" ca="1">_xll.BQL($A23, "#itm().value as #v", "#itm=is_oper_inc(fpt=q,fpo=range(-13,2),ae=ae,fa_adjusted=y,currency='USD')/1m","showids=f","transpose=t","showheaders=f")</f>
        <v/>
      </c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30" t="n"/>
      <c r="P23" s="30" t="n"/>
      <c r="Q23" s="31" t="n"/>
      <c r="R23" s="31" t="n"/>
    </row>
    <row r="24">
      <c r="A24" s="19">
        <f>Tickers!$A$24</f>
        <v/>
      </c>
      <c r="B24" s="19">
        <f>'SW Rev'!$B24</f>
        <v/>
      </c>
      <c r="C24" s="30" cm="1">
        <f t="array" aca="1" ref="C24" ca="1">_xll.BQL($A24, "#itm().value as #v", "#itm=is_oper_inc(fpt=q,fpo=range(-13,2),ae=ae,fa_adjusted=y,currency='USD')/1m","showids=f","transpose=t","showheaders=f")</f>
        <v/>
      </c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30" t="n"/>
      <c r="Q24" s="31" t="n"/>
      <c r="R24" s="31" t="n"/>
    </row>
    <row r="25">
      <c r="A25" s="19">
        <f>Tickers!$A$25</f>
        <v/>
      </c>
      <c r="B25" s="19">
        <f>'SW Rev'!$B25</f>
        <v/>
      </c>
      <c r="C25" s="30" cm="1">
        <f t="array" aca="1" ref="C25" ca="1">_xll.BQL($A25, "#itm().value as #v", "#itm=is_oper_inc(fpt=q,fpo=range(-13,2),ae=ae,fa_adjusted=y,currency='USD')/1m","showids=f","transpose=t","showheaders=f")</f>
        <v/>
      </c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  <c r="Q25" s="31" t="n"/>
      <c r="R25" s="31" t="n"/>
    </row>
    <row r="26">
      <c r="A26" s="19">
        <f>Tickers!$A$26</f>
        <v/>
      </c>
      <c r="B26" s="19">
        <f>'SW Rev'!$B26</f>
        <v/>
      </c>
      <c r="C26" s="30" cm="1">
        <f t="array" aca="1" ref="C26" ca="1">_xll.BQL($A26, "#itm().value as #v", "#itm=is_oper_inc(fpt=q,fpo=range(-13,2),ae=ae,fa_adjusted=y,currency='USD')/1m","showids=f","transpose=t","showheaders=f")</f>
        <v/>
      </c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30" t="n"/>
      <c r="Q26" s="31" t="n"/>
      <c r="R26" s="31" t="n"/>
    </row>
    <row r="27">
      <c r="A27" s="19">
        <f>Tickers!$A$27</f>
        <v/>
      </c>
      <c r="B27" s="19">
        <f>'SW Rev'!$B27</f>
        <v/>
      </c>
      <c r="C27" s="30" cm="1">
        <f t="array" aca="1" ref="C27" ca="1">_xll.BQL($A27, "#itm().value as #v", "#itm=is_oper_inc(fpt=q,fpo=range(-13,2),ae=ae,fa_adjusted=y,currency='USD')/1m","showids=f","transpose=t","showheaders=f")</f>
        <v/>
      </c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30" t="n"/>
      <c r="Q27" s="31" t="n"/>
      <c r="R27" s="31" t="n"/>
    </row>
    <row r="28">
      <c r="A28" s="19">
        <f>Tickers!$A$28</f>
        <v/>
      </c>
      <c r="B28" s="19">
        <f>'SW Rev'!$B28</f>
        <v/>
      </c>
      <c r="C28" s="30" cm="1">
        <f t="array" aca="1" ref="C28" ca="1">_xll.BQL($A28, "#itm().value as #v", "#itm=is_oper_inc(fpt=q,fpo=range(-13,2),ae=ae,fa_adjusted=y,currency='USD')/1m","showids=f","transpose=t","showheaders=f")</f>
        <v/>
      </c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30" t="n"/>
      <c r="Q28" s="31" t="n"/>
      <c r="R28" s="31" t="n"/>
    </row>
    <row r="29">
      <c r="A29" s="19">
        <f>Tickers!$A$29</f>
        <v/>
      </c>
      <c r="B29" s="19">
        <f>'SW Rev'!$B29</f>
        <v/>
      </c>
      <c r="C29" s="30" cm="1">
        <f t="array" aca="1" ref="C29" ca="1">_xll.BQL($A29, "#itm().value as #v", "#itm=is_oper_inc(fpt=q,fpo=range(-13,2),ae=ae,fa_adjusted=y,currency='USD')/1m","showids=f","transpose=t","showheaders=f")</f>
        <v/>
      </c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30" t="n"/>
      <c r="Q29" s="31" t="n"/>
      <c r="R29" s="31" t="n"/>
    </row>
    <row r="30">
      <c r="A30" s="19">
        <f>Tickers!$A$30</f>
        <v/>
      </c>
      <c r="B30" s="19">
        <f>'SW Rev'!$B30</f>
        <v/>
      </c>
      <c r="C30" s="30" cm="1">
        <f t="array" aca="1" ref="C30" ca="1">_xll.BQL($A30, "#itm().value as #v", "#itm=is_oper_inc(fpt=q,fpo=range(-13,2),ae=ae,fa_adjusted=y,currency='USD')/1m","showids=f","transpose=t","showheaders=f")</f>
        <v/>
      </c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30" t="n"/>
      <c r="Q30" s="31" t="n"/>
      <c r="R30" s="31" t="n"/>
    </row>
    <row r="31">
      <c r="A31" s="19">
        <f>Tickers!$A$31</f>
        <v/>
      </c>
      <c r="B31" s="19">
        <f>'SW Rev'!$B31</f>
        <v/>
      </c>
      <c r="C31" s="30" cm="1">
        <f t="array" aca="1" ref="C31" ca="1">_xll.BQL($A31, "#itm().value as #v", "#itm=is_oper_inc(fpt=q,fpo=range(-13,2),ae=ae,fa_adjusted=y,currency='USD')/1m","showids=f","transpose=t","showheaders=f")</f>
        <v/>
      </c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0" t="n"/>
      <c r="Q31" s="31" t="n"/>
      <c r="R31" s="31" t="n"/>
    </row>
    <row r="32">
      <c r="A32" s="19">
        <f>Tickers!$A$32</f>
        <v/>
      </c>
      <c r="B32" s="19">
        <f>'SW Rev'!$B32</f>
        <v/>
      </c>
      <c r="C32" s="30" cm="1">
        <f t="array" aca="1" ref="C32" ca="1">_xll.BQL($A32, "#itm().value as #v", "#itm=is_oper_inc(fpt=q,fpo=range(-13,2),ae=ae,fa_adjusted=y,currency='USD')/1m","showids=f","transpose=t","showheaders=f")</f>
        <v/>
      </c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30" t="n"/>
      <c r="Q32" s="31" t="n"/>
      <c r="R32" s="31" t="n"/>
    </row>
    <row r="33">
      <c r="A33" s="19">
        <f>Tickers!$A$33</f>
        <v/>
      </c>
      <c r="B33" s="19">
        <f>'SW Rev'!$B33</f>
        <v/>
      </c>
      <c r="C33" s="30" cm="1">
        <f t="array" aca="1" ref="C33" ca="1">_xll.BQL($A33, "#itm().value as #v", "#itm=is_oper_inc(fpt=q,fpo=range(-13,2),ae=ae,fa_adjusted=y,currency='USD')/1m","showids=f","transpose=t","showheaders=f")</f>
        <v/>
      </c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0" t="n"/>
      <c r="P33" s="30" t="n"/>
      <c r="Q33" s="31" t="n"/>
      <c r="R33" s="31" t="n"/>
    </row>
    <row r="34">
      <c r="A34" s="19">
        <f>Tickers!$A$34</f>
        <v/>
      </c>
      <c r="B34" s="19">
        <f>'SW Rev'!$B34</f>
        <v/>
      </c>
      <c r="C34" s="30" cm="1">
        <f t="array" aca="1" ref="C34" ca="1">_xll.BQL($A34, "#itm().value as #v", "#itm=is_oper_inc(fpt=q,fpo=range(-13,2),ae=ae,fa_adjusted=y,currency='USD')/1m","showids=f","transpose=t","showheaders=f")</f>
        <v/>
      </c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30" t="n"/>
      <c r="Q34" s="31" t="n"/>
      <c r="R34" s="31" t="n"/>
    </row>
    <row r="35">
      <c r="A35" s="19">
        <f>Tickers!$A$35</f>
        <v/>
      </c>
      <c r="B35" s="19">
        <f>'SW Rev'!$B35</f>
        <v/>
      </c>
      <c r="C35" s="30" cm="1">
        <f t="array" aca="1" ref="C35" ca="1">_xll.BQL($A35, "#itm().value as #v", "#itm=is_oper_inc(fpt=q,fpo=range(-13,2),ae=ae,fa_adjusted=y,currency='USD')/1m","showids=f","transpose=t","showheaders=f")</f>
        <v/>
      </c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1" t="n"/>
      <c r="R35" s="31" t="n"/>
    </row>
    <row r="36">
      <c r="A36" s="19">
        <f>Tickers!$A$36</f>
        <v/>
      </c>
      <c r="B36" s="19">
        <f>'SW Rev'!$B36</f>
        <v/>
      </c>
      <c r="C36" s="30" cm="1">
        <f t="array" aca="1" ref="C36" ca="1">_xll.BQL($A36, "#itm().value as #v", "#itm=is_oper_inc(fpt=q,fpo=range(-13,2),ae=ae,fa_adjusted=y,currency='USD')/1m","showids=f","transpose=t","showheaders=f")</f>
        <v/>
      </c>
      <c r="D36" s="30" t="n"/>
      <c r="E36" s="30" t="n"/>
      <c r="F36" s="30" t="n"/>
      <c r="G36" s="30" t="n"/>
      <c r="H36" s="30" t="n"/>
      <c r="I36" s="30" t="n"/>
      <c r="J36" s="30" t="n"/>
      <c r="K36" s="30" t="n"/>
      <c r="L36" s="30" t="n"/>
      <c r="M36" s="30" t="n"/>
      <c r="N36" s="30" t="n"/>
      <c r="O36" s="30" t="n"/>
      <c r="P36" s="30" t="n"/>
      <c r="Q36" s="31" t="n"/>
      <c r="R36" s="31" t="n"/>
    </row>
    <row r="37">
      <c r="A37" s="19">
        <f>Tickers!$A$37</f>
        <v/>
      </c>
      <c r="B37" s="19">
        <f>'SW Rev'!$B37</f>
        <v/>
      </c>
      <c r="C37" s="30" cm="1">
        <f t="array" aca="1" ref="C37" ca="1">_xll.BQL($A37, "#itm().value as #v", "#itm=is_oper_inc(fpt=q,fpo=range(-13,2),ae=ae,fa_adjusted=y,currency='USD')/1m","showids=f","transpose=t","showheaders=f")</f>
        <v/>
      </c>
      <c r="D37" s="30" t="n"/>
      <c r="E37" s="30" t="n"/>
      <c r="F37" s="30" t="n"/>
      <c r="G37" s="30" t="n"/>
      <c r="H37" s="30" t="n"/>
      <c r="I37" s="30" t="n"/>
      <c r="J37" s="30" t="n"/>
      <c r="K37" s="30" t="n"/>
      <c r="L37" s="30" t="n"/>
      <c r="M37" s="30" t="n"/>
      <c r="N37" s="30" t="n"/>
      <c r="O37" s="30" t="n"/>
      <c r="P37" s="30" t="n"/>
      <c r="Q37" s="31" t="n"/>
      <c r="R37" s="31" t="n"/>
    </row>
    <row r="38">
      <c r="A38" s="19">
        <f>Tickers!$A$38</f>
        <v/>
      </c>
      <c r="B38" s="19">
        <f>'SW Rev'!$B38</f>
        <v/>
      </c>
      <c r="C38" s="30" cm="1">
        <f t="array" aca="1" ref="C38" ca="1">_xll.BQL($A38, "#itm().value as #v", "#itm=is_oper_inc(fpt=q,fpo=range(-13,2),ae=ae,fa_adjusted=y,currency='USD')/1m","showids=f","transpose=t","showheaders=f")</f>
        <v/>
      </c>
      <c r="D38" s="30" t="n"/>
      <c r="E38" s="30" t="n"/>
      <c r="F38" s="30" t="n"/>
      <c r="G38" s="30" t="n"/>
      <c r="H38" s="30" t="n"/>
      <c r="I38" s="30" t="n"/>
      <c r="J38" s="30" t="n"/>
      <c r="K38" s="30" t="n"/>
      <c r="L38" s="30" t="n"/>
      <c r="M38" s="30" t="n"/>
      <c r="N38" s="30" t="n"/>
      <c r="O38" s="30" t="n"/>
      <c r="P38" s="30" t="n"/>
      <c r="Q38" s="31" t="n"/>
      <c r="R38" s="31" t="n"/>
    </row>
    <row r="39">
      <c r="A39" s="19">
        <f>Tickers!$A$39</f>
        <v/>
      </c>
      <c r="B39" s="19">
        <f>'SW Rev'!$B39</f>
        <v/>
      </c>
      <c r="C39" s="30" cm="1">
        <f t="array" aca="1" ref="C39" ca="1">_xll.BQL($A39, "#itm().value as #v", "#itm=is_oper_inc(fpt=q,fpo=range(-13,2),ae=ae,fa_adjusted=y,currency='USD')/1m","showids=f","transpose=t","showheaders=f")</f>
        <v/>
      </c>
      <c r="D39" s="30" t="n"/>
      <c r="E39" s="30" t="n"/>
      <c r="F39" s="30" t="n"/>
      <c r="G39" s="30" t="n"/>
      <c r="H39" s="30" t="n"/>
      <c r="I39" s="30" t="n"/>
      <c r="J39" s="30" t="n"/>
      <c r="K39" s="30" t="n"/>
      <c r="L39" s="30" t="n"/>
      <c r="M39" s="30" t="n"/>
      <c r="N39" s="30" t="n"/>
      <c r="O39" s="30" t="n"/>
      <c r="P39" s="30" t="n"/>
      <c r="Q39" s="31" t="n"/>
      <c r="R39" s="31" t="n"/>
    </row>
    <row r="40">
      <c r="A40" s="19">
        <f>Tickers!$A$40</f>
        <v/>
      </c>
      <c r="B40" s="19">
        <f>'SW Rev'!$B40</f>
        <v/>
      </c>
      <c r="C40" s="30" cm="1">
        <f t="array" aca="1" ref="C40" ca="1">_xll.BQL($A40, "#itm().value as #v", "#itm=is_oper_inc(fpt=q,fpo=range(-13,2),ae=ae,fa_adjusted=y,currency='USD')/1m","showids=f","transpose=t","showheaders=f")</f>
        <v/>
      </c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30" t="n"/>
      <c r="Q40" s="31" t="n"/>
      <c r="R40" s="31" t="n"/>
    </row>
    <row r="41">
      <c r="A41" s="19">
        <f>Tickers!$A$41</f>
        <v/>
      </c>
      <c r="B41" s="19">
        <f>'SW Rev'!$B41</f>
        <v/>
      </c>
      <c r="C41" s="30" cm="1">
        <f t="array" aca="1" ref="C41" ca="1">_xll.BQL($A41, "#itm().value as #v", "#itm=is_oper_inc(fpt=q,fpo=range(-13,2),ae=ae,fa_adjusted=y,currency='USD')/1m","showids=f","transpose=t","showheaders=f")</f>
        <v/>
      </c>
      <c r="D41" s="30" t="n"/>
      <c r="E41" s="30" t="n"/>
      <c r="F41" s="30" t="n"/>
      <c r="G41" s="30" t="n"/>
      <c r="H41" s="30" t="n"/>
      <c r="I41" s="30" t="n"/>
      <c r="J41" s="30" t="n"/>
      <c r="K41" s="30" t="n"/>
      <c r="L41" s="30" t="n"/>
      <c r="M41" s="30" t="n"/>
      <c r="N41" s="30" t="n"/>
      <c r="O41" s="30" t="n"/>
      <c r="P41" s="30" t="n"/>
      <c r="Q41" s="31" t="n"/>
      <c r="R41" s="31" t="n"/>
    </row>
    <row r="42">
      <c r="A42" s="19">
        <f>Tickers!$A$42</f>
        <v/>
      </c>
      <c r="B42" s="19">
        <f>'SW Rev'!$B42</f>
        <v/>
      </c>
      <c r="C42" s="30" cm="1">
        <f t="array" aca="1" ref="C42" ca="1">_xll.BQL($A42, "#itm().value as #v", "#itm=is_oper_inc(fpt=q,fpo=range(-13,2),ae=ae,fa_adjusted=y,currency='USD')/1m","showids=f","transpose=t","showheaders=f")</f>
        <v/>
      </c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30" t="n"/>
      <c r="P42" s="30" t="n"/>
      <c r="Q42" s="31" t="n"/>
      <c r="R42" s="31" t="n"/>
    </row>
    <row r="43">
      <c r="A43" s="19">
        <f>Tickers!$A$43</f>
        <v/>
      </c>
      <c r="B43" s="19">
        <f>'SW Rev'!$B43</f>
        <v/>
      </c>
      <c r="C43" s="30" cm="1">
        <f t="array" aca="1" ref="C43" ca="1">_xll.BQL($A43, "#itm().value as #v", "#itm=is_oper_inc(fpt=q,fpo=range(-13,2),ae=ae,fa_adjusted=y,currency='USD')/1m","showids=f","transpose=t","showheaders=f")</f>
        <v/>
      </c>
      <c r="D43" s="30" t="n"/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30" t="n"/>
      <c r="Q43" s="31" t="n"/>
      <c r="R43" s="31" t="n"/>
    </row>
    <row r="44">
      <c r="A44" s="19">
        <f>Tickers!$A$44</f>
        <v/>
      </c>
      <c r="B44" s="19">
        <f>'SW Rev'!$B44</f>
        <v/>
      </c>
      <c r="C44" s="30" cm="1">
        <f t="array" aca="1" ref="C44" ca="1">_xll.BQL($A44, "#itm().value as #v", "#itm=is_oper_inc(fpt=q,fpo=range(-13,2),ae=ae,fa_adjusted=y,currency='USD')/1m","showids=f","transpose=t","showheaders=f")</f>
        <v/>
      </c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0" t="n"/>
      <c r="O44" s="30" t="n"/>
      <c r="P44" s="30" t="n"/>
      <c r="Q44" s="31" t="n"/>
      <c r="R44" s="31" t="n"/>
    </row>
    <row r="45">
      <c r="A45" s="19">
        <f>Tickers!$A$45</f>
        <v/>
      </c>
      <c r="B45" s="19">
        <f>'SW Rev'!$B45</f>
        <v/>
      </c>
      <c r="C45" s="30" cm="1">
        <f t="array" aca="1" ref="C45" ca="1">_xll.BQL($A45, "#itm().value as #v", "#itm=is_oper_inc(fpt=q,fpo=range(-13,2),ae=ae,fa_adjusted=y,currency='USD')/1m","showids=f","transpose=t","showheaders=f")</f>
        <v/>
      </c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n"/>
      <c r="M45" s="30" t="n"/>
      <c r="N45" s="30" t="n"/>
      <c r="O45" s="30" t="n"/>
      <c r="P45" s="30" t="n"/>
      <c r="Q45" s="31" t="n"/>
      <c r="R45" s="31" t="n"/>
    </row>
    <row r="46">
      <c r="A46" s="19">
        <f>Tickers!$A$46</f>
        <v/>
      </c>
      <c r="B46" s="19">
        <f>'SW Rev'!$B46</f>
        <v/>
      </c>
      <c r="C46" s="30" cm="1">
        <f t="array" aca="1" ref="C46" ca="1">_xll.BQL($A46, "#itm().value as #v", "#itm=is_oper_inc(fpt=q,fpo=range(-13,2),ae=ae,fa_adjusted=y,currency='USD')/1m","showids=f","transpose=t","showheaders=f")</f>
        <v/>
      </c>
      <c r="D46" s="30" t="n"/>
      <c r="E46" s="30" t="n"/>
      <c r="F46" s="30" t="n"/>
      <c r="G46" s="30" t="n"/>
      <c r="H46" s="30" t="n"/>
      <c r="I46" s="30" t="n"/>
      <c r="J46" s="30" t="n"/>
      <c r="K46" s="30" t="n"/>
      <c r="L46" s="30" t="n"/>
      <c r="M46" s="30" t="n"/>
      <c r="N46" s="30" t="n"/>
      <c r="O46" s="30" t="n"/>
      <c r="P46" s="30" t="n"/>
      <c r="Q46" s="31" t="n"/>
      <c r="R46" s="31" t="n"/>
    </row>
    <row r="47">
      <c r="A47" s="19">
        <f>Tickers!$A$47</f>
        <v/>
      </c>
      <c r="B47" s="19">
        <f>'SW Rev'!$B47</f>
        <v/>
      </c>
      <c r="C47" s="30" cm="1">
        <f t="array" aca="1" ref="C47" ca="1">_xll.BQL($A47, "#itm().value as #v", "#itm=is_oper_inc(fpt=q,fpo=range(-13,2),ae=ae,fa_adjusted=y,currency='USD')/1m","showids=f","transpose=t","showheaders=f")</f>
        <v/>
      </c>
      <c r="D47" s="30" t="n"/>
      <c r="E47" s="30" t="n"/>
      <c r="F47" s="30" t="n"/>
      <c r="G47" s="30" t="n"/>
      <c r="H47" s="30" t="n"/>
      <c r="I47" s="30" t="n"/>
      <c r="J47" s="30" t="n"/>
      <c r="K47" s="30" t="n"/>
      <c r="L47" s="30" t="n"/>
      <c r="M47" s="30" t="n"/>
      <c r="N47" s="30" t="n"/>
      <c r="O47" s="30" t="n"/>
      <c r="P47" s="30" t="n"/>
      <c r="Q47" s="31" t="n"/>
      <c r="R47" s="31" t="n"/>
    </row>
    <row r="48">
      <c r="A48" s="19">
        <f>Tickers!$A$48</f>
        <v/>
      </c>
      <c r="B48" s="19">
        <f>'SW Rev'!$B48</f>
        <v/>
      </c>
      <c r="C48" s="30" cm="1">
        <f t="array" aca="1" ref="C48" ca="1">_xll.BQL($A48, "#itm().value as #v", "#itm=is_oper_inc(fpt=q,fpo=range(-13,2),ae=ae,fa_adjusted=y,currency='USD')/1m","showids=f","transpose=t","showheaders=f")</f>
        <v/>
      </c>
      <c r="D48" s="30" t="n"/>
      <c r="E48" s="30" t="n"/>
      <c r="F48" s="30" t="n"/>
      <c r="G48" s="30" t="n"/>
      <c r="H48" s="30" t="n"/>
      <c r="I48" s="30" t="n"/>
      <c r="J48" s="30" t="n"/>
      <c r="K48" s="30" t="n"/>
      <c r="L48" s="30" t="n"/>
      <c r="M48" s="30" t="n"/>
      <c r="N48" s="30" t="n"/>
      <c r="O48" s="30" t="n"/>
      <c r="P48" s="30" t="n"/>
      <c r="Q48" s="31" t="n"/>
      <c r="R48" s="31" t="n"/>
    </row>
    <row r="49">
      <c r="A49" s="19">
        <f>Tickers!$A$49</f>
        <v/>
      </c>
      <c r="B49" s="19">
        <f>'SW Rev'!$B49</f>
        <v/>
      </c>
      <c r="C49" s="30" cm="1">
        <f t="array" aca="1" ref="C49" ca="1">_xll.BQL($A49, "#itm().value as #v", "#itm=is_oper_inc(fpt=q,fpo=range(-13,2),ae=ae,fa_adjusted=y,currency='USD')/1m","showids=f","transpose=t","showheaders=f")</f>
        <v/>
      </c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  <c r="M49" s="30" t="n"/>
      <c r="N49" s="30" t="n"/>
      <c r="O49" s="30" t="n"/>
      <c r="P49" s="30" t="n"/>
      <c r="Q49" s="31" t="n"/>
      <c r="R49" s="31" t="n"/>
    </row>
    <row r="50">
      <c r="A50" s="19">
        <f>Tickers!$A$50</f>
        <v/>
      </c>
      <c r="B50" s="19">
        <f>'SW Rev'!$B50</f>
        <v/>
      </c>
      <c r="C50" s="30" cm="1">
        <f t="array" aca="1" ref="C50" ca="1">_xll.BQL($A50, "#itm().value as #v", "#itm=is_oper_inc(fpt=q,fpo=range(-13,2),ae=ae,fa_adjusted=y,currency='USD')/1m","showids=f","transpose=t","showheaders=f")</f>
        <v/>
      </c>
      <c r="D50" s="30" t="n"/>
      <c r="E50" s="30" t="n"/>
      <c r="F50" s="30" t="n"/>
      <c r="G50" s="30" t="n"/>
      <c r="H50" s="30" t="n"/>
      <c r="I50" s="30" t="n"/>
      <c r="J50" s="30" t="n"/>
      <c r="K50" s="30" t="n"/>
      <c r="L50" s="30" t="n"/>
      <c r="M50" s="30" t="n"/>
      <c r="N50" s="30" t="n"/>
      <c r="O50" s="30" t="n"/>
      <c r="P50" s="30" t="n"/>
      <c r="Q50" s="31" t="n"/>
      <c r="R50" s="31" t="n"/>
    </row>
    <row r="51">
      <c r="A51" s="19">
        <f>Tickers!$A$51</f>
        <v/>
      </c>
      <c r="B51" s="19">
        <f>'SW Rev'!$B51</f>
        <v/>
      </c>
      <c r="C51" s="30" cm="1">
        <f t="array" aca="1" ref="C51" ca="1">_xll.BQL($A51, "#itm().value as #v", "#itm=is_oper_inc(fpt=q,fpo=range(-13,2),ae=ae,fa_adjusted=y,currency='USD')/1m","showids=f","transpose=t","showheaders=f")</f>
        <v/>
      </c>
      <c r="D51" s="30" t="n"/>
      <c r="E51" s="30" t="n"/>
      <c r="F51" s="30" t="n"/>
      <c r="G51" s="30" t="n"/>
      <c r="H51" s="30" t="n"/>
      <c r="I51" s="30" t="n"/>
      <c r="J51" s="30" t="n"/>
      <c r="K51" s="30" t="n"/>
      <c r="L51" s="30" t="n"/>
      <c r="M51" s="30" t="n"/>
      <c r="N51" s="30" t="n"/>
      <c r="O51" s="30" t="n"/>
      <c r="P51" s="30" t="n"/>
      <c r="Q51" s="31" t="n"/>
      <c r="R51" s="31" t="n"/>
    </row>
    <row r="52">
      <c r="A52" s="19">
        <f>Tickers!$A$52</f>
        <v/>
      </c>
      <c r="B52" s="19">
        <f>'SW Rev'!$B52</f>
        <v/>
      </c>
      <c r="C52" s="30" cm="1">
        <f t="array" aca="1" ref="C52" ca="1">_xll.BQL($A52, "#itm().value as #v", "#itm=is_oper_inc(fpt=q,fpo=range(-13,2),ae=ae,fa_adjusted=y,currency='USD')/1m","showids=f","transpose=t","showheaders=f")</f>
        <v/>
      </c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30" t="n"/>
      <c r="P52" s="30" t="n"/>
      <c r="Q52" s="31" t="n"/>
      <c r="R52" s="31" t="n"/>
    </row>
    <row r="53">
      <c r="A53" s="19">
        <f>Tickers!$A$53</f>
        <v/>
      </c>
      <c r="B53" s="19">
        <f>'SW Rev'!$B53</f>
        <v/>
      </c>
      <c r="C53" s="30" cm="1">
        <f t="array" aca="1" ref="C53" ca="1">_xll.BQL($A53, "#itm().value as #v", "#itm=is_oper_inc(fpt=q,fpo=range(-13,2),ae=ae,fa_adjusted=y,currency='USD')/1m","showids=f","transpose=t","showheaders=f")</f>
        <v/>
      </c>
      <c r="D53" s="30" t="n"/>
      <c r="E53" s="30" t="n"/>
      <c r="F53" s="30" t="n"/>
      <c r="G53" s="30" t="n"/>
      <c r="H53" s="30" t="n"/>
      <c r="I53" s="30" t="n"/>
      <c r="J53" s="30" t="n"/>
      <c r="K53" s="30" t="n"/>
      <c r="L53" s="30" t="n"/>
      <c r="M53" s="30" t="n"/>
      <c r="N53" s="30" t="n"/>
      <c r="O53" s="30" t="n"/>
      <c r="P53" s="30" t="n"/>
      <c r="Q53" s="31" t="n"/>
      <c r="R53" s="31" t="n"/>
    </row>
    <row r="54">
      <c r="A54" s="19">
        <f>Tickers!$A$54</f>
        <v/>
      </c>
      <c r="B54" s="19">
        <f>'SW Rev'!$B54</f>
        <v/>
      </c>
      <c r="C54" s="30" cm="1">
        <f t="array" aca="1" ref="C54" ca="1">_xll.BQL($A54, "#itm().value as #v", "#itm=is_oper_inc(fpt=q,fpo=range(-13,2),ae=ae,fa_adjusted=y,currency='USD')/1m","showids=f","transpose=t","showheaders=f")</f>
        <v/>
      </c>
      <c r="D54" s="30" t="n"/>
      <c r="E54" s="30" t="n"/>
      <c r="F54" s="30" t="n"/>
      <c r="G54" s="30" t="n"/>
      <c r="H54" s="30" t="n"/>
      <c r="I54" s="30" t="n"/>
      <c r="J54" s="30" t="n"/>
      <c r="K54" s="30" t="n"/>
      <c r="L54" s="30" t="n"/>
      <c r="M54" s="30" t="n"/>
      <c r="N54" s="30" t="n"/>
      <c r="O54" s="30" t="n"/>
      <c r="P54" s="30" t="n"/>
      <c r="Q54" s="31" t="n"/>
      <c r="R54" s="31" t="n"/>
    </row>
    <row r="55">
      <c r="A55" s="19">
        <f>Tickers!$A$55</f>
        <v/>
      </c>
      <c r="B55" s="19">
        <f>'SW Rev'!$B55</f>
        <v/>
      </c>
      <c r="C55" s="30" cm="1">
        <f t="array" aca="1" ref="C55" ca="1">_xll.BQL($A55, "#itm().value as #v", "#itm=is_oper_inc(fpt=q,fpo=range(-13,2),ae=ae,fa_adjusted=y,currency='USD')/1m","showids=f","transpose=t","showheaders=f")</f>
        <v/>
      </c>
      <c r="D55" s="30" t="n"/>
      <c r="E55" s="30" t="n"/>
      <c r="F55" s="30" t="n"/>
      <c r="G55" s="30" t="n"/>
      <c r="H55" s="30" t="n"/>
      <c r="I55" s="30" t="n"/>
      <c r="J55" s="30" t="n"/>
      <c r="K55" s="30" t="n"/>
      <c r="L55" s="30" t="n"/>
      <c r="M55" s="30" t="n"/>
      <c r="N55" s="30" t="n"/>
      <c r="O55" s="30" t="n"/>
      <c r="P55" s="30" t="n"/>
      <c r="Q55" s="31" t="n"/>
      <c r="R55" s="31" t="n"/>
    </row>
    <row r="56">
      <c r="A56" s="19">
        <f>Tickers!$A$56</f>
        <v/>
      </c>
      <c r="B56" s="19">
        <f>'SW Rev'!$B56</f>
        <v/>
      </c>
      <c r="C56" s="30" cm="1">
        <f t="array" aca="1" ref="C56" ca="1">_xll.BQL($A56, "#itm().value as #v", "#itm=is_oper_inc(fpt=q,fpo=range(-13,2),ae=ae,fa_adjusted=y,currency='USD')/1m","showids=f","transpose=t","showheaders=f")</f>
        <v/>
      </c>
      <c r="D56" s="30" t="n"/>
      <c r="E56" s="30" t="n"/>
      <c r="F56" s="30" t="n"/>
      <c r="G56" s="30" t="n"/>
      <c r="H56" s="30" t="n"/>
      <c r="I56" s="30" t="n"/>
      <c r="J56" s="30" t="n"/>
      <c r="K56" s="30" t="n"/>
      <c r="L56" s="30" t="n"/>
      <c r="M56" s="30" t="n"/>
      <c r="N56" s="30" t="n"/>
      <c r="O56" s="30" t="n"/>
      <c r="P56" s="30" t="n"/>
      <c r="Q56" s="31" t="n"/>
      <c r="R56" s="31" t="n"/>
    </row>
    <row r="57">
      <c r="A57" s="19">
        <f>Tickers!$A$57</f>
        <v/>
      </c>
      <c r="B57" s="19">
        <f>'SW Rev'!$B57</f>
        <v/>
      </c>
      <c r="C57" s="30" cm="1">
        <f t="array" aca="1" ref="C57" ca="1">_xll.BQL($A57, "#itm().value as #v", "#itm=is_oper_inc(fpt=q,fpo=range(-13,2),ae=ae,fa_adjusted=y,currency='USD')/1m","showids=f","transpose=t","showheaders=f")</f>
        <v/>
      </c>
      <c r="D57" s="30" t="n"/>
      <c r="E57" s="30" t="n"/>
      <c r="F57" s="30" t="n"/>
      <c r="G57" s="30" t="n"/>
      <c r="H57" s="30" t="n"/>
      <c r="I57" s="30" t="n"/>
      <c r="J57" s="30" t="n"/>
      <c r="K57" s="30" t="n"/>
      <c r="L57" s="30" t="n"/>
      <c r="M57" s="30" t="n"/>
      <c r="N57" s="30" t="n"/>
      <c r="O57" s="30" t="n"/>
      <c r="P57" s="30" t="n"/>
      <c r="Q57" s="31" t="n"/>
      <c r="R57" s="31" t="n"/>
    </row>
    <row r="58">
      <c r="A58" s="19">
        <f>Tickers!$A$58</f>
        <v/>
      </c>
      <c r="B58" s="19">
        <f>'SW Rev'!$B58</f>
        <v/>
      </c>
      <c r="C58" s="30" cm="1">
        <f t="array" aca="1" ref="C58" ca="1">_xll.BQL($A58, "#itm().value as #v", "#itm=is_oper_inc(fpt=q,fpo=range(-13,2),ae=ae,fa_adjusted=y,currency='USD')/1m","showids=f","transpose=t","showheaders=f")</f>
        <v/>
      </c>
      <c r="D58" s="30" t="n"/>
      <c r="E58" s="30" t="n"/>
      <c r="F58" s="30" t="n"/>
      <c r="G58" s="30" t="n"/>
      <c r="H58" s="30" t="n"/>
      <c r="I58" s="30" t="n"/>
      <c r="J58" s="30" t="n"/>
      <c r="K58" s="30" t="n"/>
      <c r="L58" s="30" t="n"/>
      <c r="M58" s="30" t="n"/>
      <c r="N58" s="30" t="n"/>
      <c r="O58" s="30" t="n"/>
      <c r="P58" s="30" t="n"/>
      <c r="Q58" s="31" t="n"/>
      <c r="R58" s="31" t="n"/>
    </row>
    <row r="59">
      <c r="A59" s="19">
        <f>Tickers!$A$59</f>
        <v/>
      </c>
      <c r="B59" s="19">
        <f>'SW Rev'!$B59</f>
        <v/>
      </c>
      <c r="C59" s="30" cm="1">
        <f t="array" aca="1" ref="C59" ca="1">_xll.BQL($A59, "#itm().value as #v", "#itm=is_oper_inc(fpt=q,fpo=range(-13,2),ae=ae,fa_adjusted=y,currency='USD')/1m","showids=f","transpose=t","showheaders=f")</f>
        <v/>
      </c>
      <c r="D59" s="30" t="n"/>
      <c r="E59" s="30" t="n"/>
      <c r="F59" s="30" t="n"/>
      <c r="G59" s="30" t="n"/>
      <c r="H59" s="30" t="n"/>
      <c r="I59" s="30" t="n"/>
      <c r="J59" s="30" t="n"/>
      <c r="K59" s="30" t="n"/>
      <c r="L59" s="30" t="n"/>
      <c r="M59" s="30" t="n"/>
      <c r="N59" s="30" t="n"/>
      <c r="O59" s="30" t="n"/>
      <c r="P59" s="30" t="n"/>
      <c r="Q59" s="31" t="n"/>
      <c r="R59" s="31" t="n"/>
    </row>
    <row r="60">
      <c r="A60" s="19">
        <f>Tickers!$A$60</f>
        <v/>
      </c>
      <c r="B60" s="19">
        <f>'SW Rev'!$B60</f>
        <v/>
      </c>
      <c r="C60" s="30" cm="1">
        <f t="array" aca="1" ref="C60" ca="1">_xll.BQL($A60, "#itm().value as #v", "#itm=is_oper_inc(fpt=q,fpo=range(-13,2),ae=ae,fa_adjusted=y,currency='USD')/1m","showids=f","transpose=t","showheaders=f")</f>
        <v/>
      </c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1" t="n"/>
      <c r="R60" s="31" t="n"/>
    </row>
    <row r="61">
      <c r="A61" s="19">
        <f>Tickers!$A$61</f>
        <v/>
      </c>
      <c r="B61" s="19">
        <f>'SW Rev'!$B61</f>
        <v/>
      </c>
      <c r="C61" s="30" cm="1">
        <f t="array" aca="1" ref="C61" ca="1">_xll.BQL($A61, "#itm().value as #v", "#itm=is_oper_inc(fpt=q,fpo=range(-13,2),ae=ae,fa_adjusted=y,currency='USD')/1m","showids=f","transpose=t","showheaders=f")</f>
        <v/>
      </c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  <c r="M61" s="30" t="n"/>
      <c r="N61" s="30" t="n"/>
      <c r="O61" s="30" t="n"/>
      <c r="P61" s="30" t="n"/>
      <c r="Q61" s="31" t="n"/>
      <c r="R61" s="31" t="n"/>
    </row>
    <row r="62">
      <c r="A62" s="19">
        <f>Tickers!$A$62</f>
        <v/>
      </c>
      <c r="B62" s="19">
        <f>'SW Rev'!$B62</f>
        <v/>
      </c>
      <c r="C62" s="30" cm="1">
        <f t="array" aca="1" ref="C62" ca="1">_xll.BQL($A62, "#itm().value as #v", "#itm=is_oper_inc(fpt=q,fpo=range(-13,2),ae=ae,fa_adjusted=y,currency='USD')/1m","showids=f","transpose=t","showheaders=f")</f>
        <v/>
      </c>
      <c r="D62" s="30" t="n"/>
      <c r="E62" s="30" t="n"/>
      <c r="F62" s="30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30" t="n"/>
      <c r="P62" s="30" t="n"/>
      <c r="Q62" s="31" t="n"/>
      <c r="R62" s="31" t="n"/>
    </row>
    <row r="63">
      <c r="A63" s="19">
        <f>Tickers!$A$63</f>
        <v/>
      </c>
      <c r="B63" s="19">
        <f>'SW Rev'!$B63</f>
        <v/>
      </c>
      <c r="C63" s="30" cm="1">
        <f t="array" aca="1" ref="C63" ca="1">_xll.BQL($A63, "#itm().value as #v", "#itm=is_oper_inc(fpt=q,fpo=range(-13,2),ae=ae,fa_adjusted=y,currency='USD')/1m","showids=f","transpose=t","showheaders=f")</f>
        <v/>
      </c>
      <c r="D63" s="30" t="n"/>
      <c r="E63" s="30" t="n"/>
      <c r="F63" s="30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30" t="n"/>
      <c r="P63" s="30" t="n"/>
      <c r="Q63" s="31" t="n"/>
      <c r="R63" s="31" t="n"/>
    </row>
    <row r="64">
      <c r="A64" s="19">
        <f>Tickers!$A$64</f>
        <v/>
      </c>
      <c r="B64" s="19">
        <f>'SW Rev'!$B64</f>
        <v/>
      </c>
      <c r="C64" s="30" cm="1">
        <f t="array" aca="1" ref="C64" ca="1">_xll.BQL($A64, "#itm().value as #v", "#itm=is_oper_inc(fpt=q,fpo=range(-13,2),ae=ae,fa_adjusted=y,currency='USD')/1m","showids=f","transpose=t","showheaders=f")</f>
        <v/>
      </c>
      <c r="D64" s="30" t="n"/>
      <c r="E64" s="30" t="n"/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30" t="n"/>
      <c r="Q64" s="31" t="n"/>
      <c r="R64" s="31" t="n"/>
    </row>
    <row r="65">
      <c r="A65" s="19">
        <f>Tickers!$A$65</f>
        <v/>
      </c>
      <c r="B65" s="19">
        <f>'SW Rev'!$B65</f>
        <v/>
      </c>
      <c r="C65" s="30" cm="1">
        <f t="array" aca="1" ref="C65" ca="1">_xll.BQL($A65, "#itm().value as #v", "#itm=is_oper_inc(fpt=q,fpo=range(-13,2),ae=ae,fa_adjusted=y,currency='USD')/1m","showids=f","transpose=t","showheaders=f")</f>
        <v/>
      </c>
      <c r="D65" s="30" t="n"/>
      <c r="E65" s="30" t="n"/>
      <c r="F65" s="30" t="n"/>
      <c r="G65" s="30" t="n"/>
      <c r="H65" s="30" t="n"/>
      <c r="I65" s="30" t="n"/>
      <c r="J65" s="30" t="n"/>
      <c r="K65" s="30" t="n"/>
      <c r="L65" s="30" t="n"/>
      <c r="M65" s="30" t="n"/>
      <c r="N65" s="30" t="n"/>
      <c r="O65" s="30" t="n"/>
      <c r="P65" s="30" t="n"/>
      <c r="Q65" s="31" t="n"/>
      <c r="R65" s="31" t="n"/>
    </row>
    <row r="66">
      <c r="A66" s="19">
        <f>Tickers!$A$66</f>
        <v/>
      </c>
      <c r="B66" s="19">
        <f>'SW Rev'!$B66</f>
        <v/>
      </c>
      <c r="C66" s="30" cm="1">
        <f t="array" aca="1" ref="C66" ca="1">_xll.BQL($A66, "#itm().value as #v", "#itm=is_oper_inc(fpt=q,fpo=range(-13,2),ae=ae,fa_adjusted=y,currency='USD')/1m","showids=f","transpose=t","showheaders=f")</f>
        <v/>
      </c>
      <c r="D66" s="30" t="n"/>
      <c r="E66" s="30" t="n"/>
      <c r="F66" s="30" t="n"/>
      <c r="G66" s="30" t="n"/>
      <c r="H66" s="30" t="n"/>
      <c r="I66" s="30" t="n"/>
      <c r="J66" s="30" t="n"/>
      <c r="K66" s="30" t="n"/>
      <c r="L66" s="30" t="n"/>
      <c r="M66" s="30" t="n"/>
      <c r="N66" s="30" t="n"/>
      <c r="O66" s="30" t="n"/>
      <c r="P66" s="30" t="n"/>
      <c r="Q66" s="31" t="n"/>
      <c r="R66" s="31" t="n"/>
    </row>
    <row r="67">
      <c r="A67" s="19">
        <f>Tickers!$A$67</f>
        <v/>
      </c>
      <c r="B67" s="19">
        <f>'SW Rev'!$B67</f>
        <v/>
      </c>
      <c r="C67" s="30" cm="1">
        <f t="array" aca="1" ref="C67" ca="1">_xll.BQL($A67, "#itm().value as #v", "#itm=is_oper_inc(fpt=q,fpo=range(-13,2),ae=ae,fa_adjusted=y,currency='USD')/1m","showids=f","transpose=t","showheaders=f")</f>
        <v/>
      </c>
      <c r="D67" s="30" t="n"/>
      <c r="E67" s="30" t="n"/>
      <c r="F67" s="30" t="n"/>
      <c r="G67" s="30" t="n"/>
      <c r="H67" s="30" t="n"/>
      <c r="I67" s="30" t="n"/>
      <c r="J67" s="30" t="n"/>
      <c r="K67" s="30" t="n"/>
      <c r="L67" s="30" t="n"/>
      <c r="M67" s="30" t="n"/>
      <c r="N67" s="30" t="n"/>
      <c r="O67" s="30" t="n"/>
      <c r="P67" s="30" t="n"/>
      <c r="Q67" s="31" t="n"/>
      <c r="R67" s="31" t="n"/>
    </row>
    <row r="68">
      <c r="A68" s="19">
        <f>Tickers!$A$68</f>
        <v/>
      </c>
      <c r="B68" s="19">
        <f>'SW Rev'!$B68</f>
        <v/>
      </c>
      <c r="C68" s="30" cm="1">
        <f t="array" aca="1" ref="C68" ca="1">_xll.BQL($A68, "#itm().value as #v", "#itm=is_oper_inc(fpt=q,fpo=range(-13,2),ae=ae,fa_adjusted=y,currency='USD')/1m","showids=f","transpose=t","showheaders=f")</f>
        <v/>
      </c>
      <c r="D68" s="30" t="n"/>
      <c r="E68" s="30" t="n"/>
      <c r="F68" s="30" t="n"/>
      <c r="G68" s="30" t="n"/>
      <c r="H68" s="30" t="n"/>
      <c r="I68" s="30" t="n"/>
      <c r="J68" s="30" t="n"/>
      <c r="K68" s="30" t="n"/>
      <c r="L68" s="30" t="n"/>
      <c r="M68" s="30" t="n"/>
      <c r="N68" s="30" t="n"/>
      <c r="O68" s="30" t="n"/>
      <c r="P68" s="30" t="n"/>
      <c r="Q68" s="31" t="n"/>
      <c r="R68" s="31" t="n"/>
    </row>
    <row r="69">
      <c r="A69" s="19">
        <f>Tickers!$A$69</f>
        <v/>
      </c>
      <c r="B69" s="19">
        <f>'SW Rev'!$B69</f>
        <v/>
      </c>
      <c r="C69" s="30" cm="1">
        <f t="array" aca="1" ref="C69" ca="1">_xll.BQL($A69, "#itm().value as #v", "#itm=is_oper_inc(fpt=q,fpo=range(-13,2),ae=ae,fa_adjusted=y,currency='USD')/1m","showids=f","transpose=t","showheaders=f")</f>
        <v/>
      </c>
      <c r="D69" s="30" t="n"/>
      <c r="E69" s="30" t="n"/>
      <c r="F69" s="30" t="n"/>
      <c r="G69" s="30" t="n"/>
      <c r="H69" s="30" t="n"/>
      <c r="I69" s="30" t="n"/>
      <c r="J69" s="30" t="n"/>
      <c r="K69" s="30" t="n"/>
      <c r="L69" s="30" t="n"/>
      <c r="M69" s="30" t="n"/>
      <c r="N69" s="30" t="n"/>
      <c r="O69" s="30" t="n"/>
      <c r="P69" s="30" t="n"/>
      <c r="Q69" s="31" t="n"/>
      <c r="R69" s="31" t="n"/>
    </row>
    <row r="70">
      <c r="A70" s="19">
        <f>Tickers!$A$70</f>
        <v/>
      </c>
      <c r="B70" s="19">
        <f>'SW Rev'!$B70</f>
        <v/>
      </c>
      <c r="C70" s="30" cm="1">
        <f t="array" aca="1" ref="C70" ca="1">_xll.BQL($A70, "#itm().value as #v", "#itm=is_oper_inc(fpt=q,fpo=range(-13,2),ae=ae,fa_adjusted=y,currency='USD')/1m","showids=f","transpose=t","showheaders=f")</f>
        <v/>
      </c>
      <c r="D70" s="30" t="n"/>
      <c r="E70" s="30" t="n"/>
      <c r="F70" s="30" t="n"/>
      <c r="G70" s="30" t="n"/>
      <c r="H70" s="30" t="n"/>
      <c r="I70" s="30" t="n"/>
      <c r="J70" s="30" t="n"/>
      <c r="K70" s="30" t="n"/>
      <c r="L70" s="30" t="n"/>
      <c r="M70" s="30" t="n"/>
      <c r="N70" s="30" t="n"/>
      <c r="O70" s="30" t="n"/>
      <c r="P70" s="30" t="n"/>
      <c r="Q70" s="31" t="n"/>
      <c r="R70" s="31" t="n"/>
    </row>
    <row r="71">
      <c r="A71" s="19">
        <f>Tickers!$A$71</f>
        <v/>
      </c>
      <c r="B71" s="19">
        <f>'SW Rev'!$B71</f>
        <v/>
      </c>
      <c r="C71" s="30" cm="1">
        <f t="array" aca="1" ref="C71" ca="1">_xll.BQL($A71, "#itm().value as #v", "#itm=is_oper_inc(fpt=q,fpo=range(-13,2),ae=ae,fa_adjusted=y,currency='USD')/1m","showids=f","transpose=t","showheaders=f")</f>
        <v/>
      </c>
      <c r="D71" s="30" t="n"/>
      <c r="E71" s="30" t="n"/>
      <c r="F71" s="30" t="n"/>
      <c r="G71" s="30" t="n"/>
      <c r="H71" s="30" t="n"/>
      <c r="I71" s="30" t="n"/>
      <c r="J71" s="30" t="n"/>
      <c r="K71" s="30" t="n"/>
      <c r="L71" s="30" t="n"/>
      <c r="M71" s="30" t="n"/>
      <c r="N71" s="30" t="n"/>
      <c r="O71" s="30" t="n"/>
      <c r="P71" s="30" t="n"/>
      <c r="Q71" s="31" t="n"/>
      <c r="R71" s="31" t="n"/>
    </row>
    <row r="72">
      <c r="A72" s="19">
        <f>Tickers!$A$72</f>
        <v/>
      </c>
      <c r="B72" s="19">
        <f>'SW Rev'!$B72</f>
        <v/>
      </c>
      <c r="C72" s="30" cm="1">
        <f t="array" aca="1" ref="C72" ca="1">_xll.BQL($A72, "#itm().value as #v", "#itm=is_oper_inc(fpt=q,fpo=range(-13,2),ae=ae,fa_adjusted=y,currency='USD')/1m","showids=f","transpose=t","showheaders=f")</f>
        <v/>
      </c>
      <c r="D72" s="30" t="n"/>
      <c r="E72" s="30" t="n"/>
      <c r="F72" s="30" t="n"/>
      <c r="G72" s="30" t="n"/>
      <c r="H72" s="30" t="n"/>
      <c r="I72" s="30" t="n"/>
      <c r="J72" s="30" t="n"/>
      <c r="K72" s="30" t="n"/>
      <c r="L72" s="30" t="n"/>
      <c r="M72" s="30" t="n"/>
      <c r="N72" s="30" t="n"/>
      <c r="O72" s="30" t="n"/>
      <c r="P72" s="30" t="n"/>
      <c r="Q72" s="31" t="n"/>
      <c r="R72" s="31" t="n"/>
    </row>
    <row r="73">
      <c r="A73" s="19">
        <f>Tickers!$A$73</f>
        <v/>
      </c>
      <c r="B73" s="19">
        <f>'SW Rev'!$B73</f>
        <v/>
      </c>
      <c r="C73" s="30" cm="1">
        <f t="array" aca="1" ref="C73" ca="1">_xll.BQL($A73, "#itm().value as #v", "#itm=is_oper_inc(fpt=q,fpo=range(-13,2),ae=ae,fa_adjusted=y,currency='USD')/1m","showids=f","transpose=t","showheaders=f")</f>
        <v/>
      </c>
      <c r="D73" s="30" t="n"/>
      <c r="E73" s="30" t="n"/>
      <c r="F73" s="30" t="n"/>
      <c r="G73" s="30" t="n"/>
      <c r="H73" s="30" t="n"/>
      <c r="I73" s="30" t="n"/>
      <c r="J73" s="30" t="n"/>
      <c r="K73" s="30" t="n"/>
      <c r="L73" s="30" t="n"/>
      <c r="M73" s="30" t="n"/>
      <c r="N73" s="30" t="n"/>
      <c r="O73" s="30" t="n"/>
      <c r="P73" s="30" t="n"/>
      <c r="Q73" s="31" t="n"/>
      <c r="R73" s="31" t="n"/>
    </row>
    <row r="74">
      <c r="A74" s="19">
        <f>Tickers!$A$74</f>
        <v/>
      </c>
      <c r="B74" s="19">
        <f>'SW Rev'!$B74</f>
        <v/>
      </c>
      <c r="C74" s="30" cm="1">
        <f t="array" aca="1" ref="C74" ca="1">_xll.BQL($A74, "#itm().value as #v", "#itm=is_oper_inc(fpt=q,fpo=range(-13,2),ae=ae,fa_adjusted=y,currency='USD')/1m","showids=f","transpose=t","showheaders=f")</f>
        <v/>
      </c>
      <c r="D74" s="30" t="n"/>
      <c r="E74" s="30" t="n"/>
      <c r="F74" s="30" t="n"/>
      <c r="G74" s="30" t="n"/>
      <c r="H74" s="30" t="n"/>
      <c r="I74" s="30" t="n"/>
      <c r="J74" s="30" t="n"/>
      <c r="K74" s="30" t="n"/>
      <c r="L74" s="30" t="n"/>
      <c r="M74" s="30" t="n"/>
      <c r="N74" s="30" t="n"/>
      <c r="O74" s="30" t="n"/>
      <c r="P74" s="30" t="n"/>
      <c r="Q74" s="31" t="n"/>
      <c r="R74" s="31" t="n"/>
    </row>
    <row r="75">
      <c r="A75" s="19">
        <f>Tickers!$A$75</f>
        <v/>
      </c>
      <c r="B75" s="19">
        <f>'SW Rev'!$B75</f>
        <v/>
      </c>
      <c r="C75" s="30" cm="1">
        <f t="array" aca="1" ref="C75" ca="1">_xll.BQL($A75, "#itm().value as #v", "#itm=is_oper_inc(fpt=q,fpo=range(-13,2),ae=ae,fa_adjusted=y,currency='USD')/1m","showids=f","transpose=t","showheaders=f")</f>
        <v/>
      </c>
      <c r="D75" s="30" t="n"/>
      <c r="E75" s="30" t="n"/>
      <c r="F75" s="30" t="n"/>
      <c r="G75" s="30" t="n"/>
      <c r="H75" s="30" t="n"/>
      <c r="I75" s="30" t="n"/>
      <c r="J75" s="30" t="n"/>
      <c r="K75" s="30" t="n"/>
      <c r="L75" s="30" t="n"/>
      <c r="M75" s="30" t="n"/>
      <c r="N75" s="30" t="n"/>
      <c r="O75" s="30" t="n"/>
      <c r="P75" s="30" t="n"/>
      <c r="Q75" s="31" t="n"/>
      <c r="R75" s="31" t="n"/>
    </row>
    <row r="76">
      <c r="A76" s="19">
        <f>Tickers!$A$76</f>
        <v/>
      </c>
      <c r="B76" s="19">
        <f>'SW Rev'!$B76</f>
        <v/>
      </c>
      <c r="C76" s="30" cm="1">
        <f t="array" aca="1" ref="C76" ca="1">_xll.BQL($A76, "#itm().value as #v", "#itm=is_oper_inc(fpt=q,fpo=range(-13,2),ae=ae,fa_adjusted=y,currency='USD')/1m","showids=f","transpose=t","showheaders=f")</f>
        <v/>
      </c>
      <c r="D76" s="30" t="n"/>
      <c r="E76" s="30" t="n"/>
      <c r="F76" s="30" t="n"/>
      <c r="G76" s="30" t="n"/>
      <c r="H76" s="30" t="n"/>
      <c r="I76" s="30" t="n"/>
      <c r="J76" s="30" t="n"/>
      <c r="K76" s="30" t="n"/>
      <c r="L76" s="30" t="n"/>
      <c r="M76" s="30" t="n"/>
      <c r="N76" s="30" t="n"/>
      <c r="O76" s="30" t="n"/>
      <c r="P76" s="30" t="n"/>
      <c r="Q76" s="31" t="n"/>
      <c r="R76" s="31" t="n"/>
    </row>
    <row r="77">
      <c r="A77" s="19">
        <f>Tickers!$A$77</f>
        <v/>
      </c>
      <c r="B77" s="19">
        <f>'SW Rev'!$B77</f>
        <v/>
      </c>
      <c r="C77" s="30" cm="1">
        <f t="array" aca="1" ref="C77" ca="1">_xll.BQL($A77, "#itm().value as #v", "#itm=is_oper_inc(fpt=q,fpo=range(-13,2),ae=ae,fa_adjusted=y,currency='USD')/1m","showids=f","transpose=t","showheaders=f")</f>
        <v/>
      </c>
      <c r="D77" s="30" t="n"/>
      <c r="E77" s="30" t="n"/>
      <c r="F77" s="30" t="n"/>
      <c r="G77" s="30" t="n"/>
      <c r="H77" s="30" t="n"/>
      <c r="I77" s="30" t="n"/>
      <c r="J77" s="30" t="n"/>
      <c r="K77" s="30" t="n"/>
      <c r="L77" s="30" t="n"/>
      <c r="M77" s="30" t="n"/>
      <c r="N77" s="30" t="n"/>
      <c r="O77" s="30" t="n"/>
      <c r="P77" s="30" t="n"/>
      <c r="Q77" s="31" t="n"/>
      <c r="R77" s="31" t="n"/>
    </row>
    <row r="78">
      <c r="A78" s="19">
        <f>Tickers!$A$78</f>
        <v/>
      </c>
      <c r="B78" s="19">
        <f>'SW Rev'!$B78</f>
        <v/>
      </c>
      <c r="C78" s="30" cm="1">
        <f t="array" aca="1" ref="C78" ca="1">_xll.BQL($A78, "#itm().value as #v", "#itm=is_oper_inc(fpt=q,fpo=range(-13,2),ae=ae,fa_adjusted=y,currency='USD')/1m","showids=f","transpose=t","showheaders=f")</f>
        <v/>
      </c>
      <c r="D78" s="30" t="n"/>
      <c r="E78" s="30" t="n"/>
      <c r="F78" s="30" t="n"/>
      <c r="G78" s="30" t="n"/>
      <c r="H78" s="30" t="n"/>
      <c r="I78" s="30" t="n"/>
      <c r="J78" s="30" t="n"/>
      <c r="K78" s="30" t="n"/>
      <c r="L78" s="30" t="n"/>
      <c r="M78" s="30" t="n"/>
      <c r="N78" s="30" t="n"/>
      <c r="O78" s="30" t="n"/>
      <c r="P78" s="30" t="n"/>
      <c r="Q78" s="31" t="n"/>
      <c r="R78" s="31" t="n"/>
    </row>
    <row r="79">
      <c r="A79" s="19">
        <f>Tickers!$A$79</f>
        <v/>
      </c>
      <c r="B79" s="19">
        <f>'SW Rev'!$B79</f>
        <v/>
      </c>
      <c r="C79" s="30" cm="1">
        <f t="array" aca="1" ref="C79" ca="1">_xll.BQL($A79, "#itm().value as #v", "#itm=is_oper_inc(fpt=q,fpo=range(-13,2),ae=ae,fa_adjusted=y,currency='USD')/1m","showids=f","transpose=t","showheaders=f")</f>
        <v/>
      </c>
      <c r="D79" s="30" t="n"/>
      <c r="E79" s="30" t="n"/>
      <c r="F79" s="30" t="n"/>
      <c r="G79" s="30" t="n"/>
      <c r="H79" s="30" t="n"/>
      <c r="I79" s="30" t="n"/>
      <c r="J79" s="30" t="n"/>
      <c r="K79" s="30" t="n"/>
      <c r="L79" s="30" t="n"/>
      <c r="M79" s="30" t="n"/>
      <c r="N79" s="30" t="n"/>
      <c r="O79" s="30" t="n"/>
      <c r="P79" s="30" t="n"/>
      <c r="Q79" s="31" t="n"/>
      <c r="R79" s="31" t="n"/>
    </row>
    <row r="80">
      <c r="A80" s="19">
        <f>Tickers!$A$80</f>
        <v/>
      </c>
      <c r="B80" s="19">
        <f>'SW Rev'!$B80</f>
        <v/>
      </c>
      <c r="C80" s="30" cm="1">
        <f t="array" aca="1" ref="C80" ca="1">_xll.BQL($A80, "#itm().value as #v", "#itm=is_oper_inc(fpt=q,fpo=range(-13,2),ae=ae,fa_adjusted=y,currency='USD')/1m","showids=f","transpose=t","showheaders=f")</f>
        <v/>
      </c>
      <c r="D80" s="30" t="n"/>
      <c r="E80" s="30" t="n"/>
      <c r="F80" s="30" t="n"/>
      <c r="G80" s="30" t="n"/>
      <c r="H80" s="30" t="n"/>
      <c r="I80" s="30" t="n"/>
      <c r="J80" s="30" t="n"/>
      <c r="K80" s="30" t="n"/>
      <c r="L80" s="30" t="n"/>
      <c r="M80" s="30" t="n"/>
      <c r="N80" s="30" t="n"/>
      <c r="O80" s="30" t="n"/>
      <c r="P80" s="30" t="n"/>
      <c r="Q80" s="31" t="n"/>
      <c r="R80" s="31" t="n"/>
    </row>
    <row r="81">
      <c r="A81" s="19">
        <f>Tickers!$A$81</f>
        <v/>
      </c>
      <c r="B81" s="19">
        <f>'SW Rev'!$B81</f>
        <v/>
      </c>
      <c r="C81" s="30" cm="1">
        <f t="array" aca="1" ref="C81" ca="1">_xll.BQL($A81, "#itm().value as #v", "#itm=is_oper_inc(fpt=q,fpo=range(-13,2),ae=ae,fa_adjusted=y,currency='USD')/1m","showids=f","transpose=t","showheaders=f")</f>
        <v/>
      </c>
      <c r="D81" s="30" t="n"/>
      <c r="E81" s="30" t="n"/>
      <c r="F81" s="30" t="n"/>
      <c r="G81" s="30" t="n"/>
      <c r="H81" s="30" t="n"/>
      <c r="I81" s="30" t="n"/>
      <c r="J81" s="30" t="n"/>
      <c r="K81" s="30" t="n"/>
      <c r="L81" s="30" t="n"/>
      <c r="M81" s="30" t="n"/>
      <c r="N81" s="30" t="n"/>
      <c r="O81" s="30" t="n"/>
      <c r="P81" s="30" t="n"/>
      <c r="Q81" s="31" t="n"/>
      <c r="R81" s="31" t="n"/>
    </row>
    <row r="82">
      <c r="A82" s="19">
        <f>Tickers!$A$82</f>
        <v/>
      </c>
      <c r="B82" s="19">
        <f>'SW Rev'!$B82</f>
        <v/>
      </c>
      <c r="C82" s="30" cm="1">
        <f t="array" aca="1" ref="C82" ca="1">_xll.BQL($A82, "#itm().value as #v", "#itm=is_oper_inc(fpt=q,fpo=range(-13,2),ae=ae,fa_adjusted=y,currency='USD')/1m","showids=f","transpose=t","showheaders=f")</f>
        <v/>
      </c>
      <c r="D82" s="30" t="n"/>
      <c r="E82" s="30" t="n"/>
      <c r="F82" s="30" t="n"/>
      <c r="G82" s="30" t="n"/>
      <c r="H82" s="30" t="n"/>
      <c r="I82" s="30" t="n"/>
      <c r="J82" s="30" t="n"/>
      <c r="K82" s="30" t="n"/>
      <c r="L82" s="30" t="n"/>
      <c r="M82" s="30" t="n"/>
      <c r="N82" s="30" t="n"/>
      <c r="O82" s="30" t="n"/>
      <c r="P82" s="30" t="n"/>
      <c r="Q82" s="31" t="n"/>
      <c r="R82" s="31" t="n"/>
    </row>
    <row r="83">
      <c r="A83" s="19">
        <f>Tickers!$A$83</f>
        <v/>
      </c>
      <c r="B83" s="19">
        <f>'SW Rev'!$B83</f>
        <v/>
      </c>
      <c r="C83" s="30" cm="1">
        <f t="array" aca="1" ref="C83" ca="1">_xll.BQL($A83, "#itm().value as #v", "#itm=is_oper_inc(fpt=q,fpo=range(-13,2),ae=ae,fa_adjusted=y,currency='USD')/1m","showids=f","transpose=t","showheaders=f")</f>
        <v/>
      </c>
      <c r="D83" s="30" t="n"/>
      <c r="E83" s="30" t="n"/>
      <c r="F83" s="30" t="n"/>
      <c r="G83" s="30" t="n"/>
      <c r="H83" s="30" t="n"/>
      <c r="I83" s="30" t="n"/>
      <c r="J83" s="30" t="n"/>
      <c r="K83" s="30" t="n"/>
      <c r="L83" s="30" t="n"/>
      <c r="M83" s="30" t="n"/>
      <c r="N83" s="30" t="n"/>
      <c r="O83" s="30" t="n"/>
      <c r="P83" s="30" t="n"/>
      <c r="Q83" s="31" t="n"/>
      <c r="R83" s="31" t="n"/>
    </row>
    <row r="84">
      <c r="A84" s="19">
        <f>Tickers!$A$84</f>
        <v/>
      </c>
      <c r="B84" s="19">
        <f>'SW Rev'!$B84</f>
        <v/>
      </c>
      <c r="C84" s="30" cm="1">
        <f t="array" aca="1" ref="C84" ca="1">_xll.BQL($A84, "#itm().value as #v", "#itm=is_oper_inc(fpt=q,fpo=range(-13,2),ae=ae,fa_adjusted=y,currency='USD')/1m","showids=f","transpose=t","showheaders=f")</f>
        <v/>
      </c>
      <c r="D84" s="30" t="n"/>
      <c r="E84" s="30" t="n"/>
      <c r="F84" s="30" t="n"/>
      <c r="G84" s="30" t="n"/>
      <c r="H84" s="30" t="n"/>
      <c r="I84" s="30" t="n"/>
      <c r="J84" s="30" t="n"/>
      <c r="K84" s="30" t="n"/>
      <c r="L84" s="30" t="n"/>
      <c r="M84" s="30" t="n"/>
      <c r="N84" s="30" t="n"/>
      <c r="O84" s="30" t="n"/>
      <c r="P84" s="30" t="n"/>
      <c r="Q84" s="31" t="n"/>
      <c r="R84" s="31" t="n"/>
    </row>
    <row r="85">
      <c r="A85" s="19">
        <f>Tickers!$A$85</f>
        <v/>
      </c>
      <c r="B85" s="19">
        <f>'SW Rev'!$B85</f>
        <v/>
      </c>
      <c r="C85" s="30" cm="1">
        <f t="array" aca="1" ref="C85" ca="1">_xll.BQL($A85, "#itm().value as #v", "#itm=is_oper_inc(fpt=q,fpo=range(-13,2),ae=ae,fa_adjusted=y,currency='USD')/1m","showids=f","transpose=t","showheaders=f")</f>
        <v/>
      </c>
      <c r="D85" s="30" t="n"/>
      <c r="E85" s="30" t="n"/>
      <c r="F85" s="30" t="n"/>
      <c r="G85" s="30" t="n"/>
      <c r="H85" s="30" t="n"/>
      <c r="I85" s="30" t="n"/>
      <c r="J85" s="30" t="n"/>
      <c r="K85" s="30" t="n"/>
      <c r="L85" s="30" t="n"/>
      <c r="M85" s="30" t="n"/>
      <c r="N85" s="30" t="n"/>
      <c r="O85" s="30" t="n"/>
      <c r="P85" s="30" t="n"/>
      <c r="Q85" s="31" t="n"/>
      <c r="R85" s="31" t="n"/>
    </row>
    <row r="86">
      <c r="A86" s="19">
        <f>Tickers!$A$86</f>
        <v/>
      </c>
      <c r="B86" s="19">
        <f>'SW Rev'!$B86</f>
        <v/>
      </c>
      <c r="C86" s="30" cm="1">
        <f t="array" aca="1" ref="C86" ca="1">_xll.BQL($A86, "#itm().value as #v", "#itm=is_oper_inc(fpt=q,fpo=range(-13,2),ae=ae,fa_adjusted=y,currency='USD')/1m","showids=f","transpose=t","showheaders=f")</f>
        <v/>
      </c>
      <c r="D86" s="30" t="n"/>
      <c r="E86" s="30" t="n"/>
      <c r="F86" s="30" t="n"/>
      <c r="G86" s="30" t="n"/>
      <c r="H86" s="30" t="n"/>
      <c r="I86" s="30" t="n"/>
      <c r="J86" s="30" t="n"/>
      <c r="K86" s="30" t="n"/>
      <c r="L86" s="30" t="n"/>
      <c r="M86" s="30" t="n"/>
      <c r="N86" s="30" t="n"/>
      <c r="O86" s="30" t="n"/>
      <c r="P86" s="30" t="n"/>
      <c r="Q86" s="31" t="n"/>
      <c r="R86" s="31" t="n"/>
    </row>
    <row r="87">
      <c r="A87" s="19">
        <f>Tickers!$A$87</f>
        <v/>
      </c>
      <c r="B87" s="19">
        <f>'SW Rev'!$B87</f>
        <v/>
      </c>
      <c r="C87" s="30" cm="1">
        <f t="array" aca="1" ref="C87" ca="1">_xll.BQL($A87, "#itm().value as #v", "#itm=is_oper_inc(fpt=q,fpo=range(-13,2),ae=ae,fa_adjusted=y,currency='USD')/1m","showids=f","transpose=t","showheaders=f")</f>
        <v/>
      </c>
      <c r="D87" s="30" t="n"/>
      <c r="E87" s="30" t="n"/>
      <c r="F87" s="30" t="n"/>
      <c r="G87" s="30" t="n"/>
      <c r="H87" s="30" t="n"/>
      <c r="I87" s="30" t="n"/>
      <c r="J87" s="30" t="n"/>
      <c r="K87" s="30" t="n"/>
      <c r="L87" s="30" t="n"/>
      <c r="M87" s="30" t="n"/>
      <c r="N87" s="30" t="n"/>
      <c r="O87" s="30" t="n"/>
      <c r="P87" s="30" t="n"/>
      <c r="Q87" s="31" t="n"/>
      <c r="R87" s="31" t="n"/>
    </row>
    <row r="88">
      <c r="A88" s="19">
        <f>Tickers!$A$88</f>
        <v/>
      </c>
      <c r="B88" s="19">
        <f>'SW Rev'!$B88</f>
        <v/>
      </c>
      <c r="C88" s="30" cm="1">
        <f t="array" aca="1" ref="C88" ca="1">_xll.BQL($A88, "#itm().value as #v", "#itm=is_oper_inc(fpt=q,fpo=range(-13,2),ae=ae,fa_adjusted=y,currency='USD')/1m","showids=f","transpose=t","showheaders=f")</f>
        <v/>
      </c>
      <c r="D88" s="30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30" t="n"/>
      <c r="P88" s="30" t="n"/>
      <c r="Q88" s="31" t="n"/>
      <c r="R88" s="31" t="n"/>
    </row>
    <row r="89">
      <c r="A89" s="19">
        <f>Tickers!$A$89</f>
        <v/>
      </c>
      <c r="B89" s="19">
        <f>'SW Rev'!$B89</f>
        <v/>
      </c>
      <c r="C89" s="30" cm="1">
        <f t="array" aca="1" ref="C89" ca="1">_xll.BQL($A89, "#itm().value as #v", "#itm=is_oper_inc(fpt=q,fpo=range(-13,2),ae=ae,fa_adjusted=y,currency='USD')/1m","showids=f","transpose=t","showheaders=f")</f>
        <v/>
      </c>
      <c r="D89" s="30" t="n"/>
      <c r="E89" s="30" t="n"/>
      <c r="F89" s="30" t="n"/>
      <c r="G89" s="30" t="n"/>
      <c r="H89" s="30" t="n"/>
      <c r="I89" s="30" t="n"/>
      <c r="J89" s="30" t="n"/>
      <c r="K89" s="30" t="n"/>
      <c r="L89" s="30" t="n"/>
      <c r="M89" s="30" t="n"/>
      <c r="N89" s="30" t="n"/>
      <c r="O89" s="30" t="n"/>
      <c r="P89" s="30" t="n"/>
      <c r="Q89" s="31" t="n"/>
      <c r="R89" s="31" t="n"/>
    </row>
    <row r="90">
      <c r="A90" s="19">
        <f>Tickers!$A$90</f>
        <v/>
      </c>
      <c r="B90" s="19">
        <f>'SW Rev'!$B90</f>
        <v/>
      </c>
      <c r="C90" s="30" cm="1">
        <f t="array" aca="1" ref="C90" ca="1">_xll.BQL($A90, "#itm().value as #v", "#itm=is_oper_inc(fpt=q,fpo=range(-13,2),ae=ae,fa_adjusted=y,currency='USD')/1m","showids=f","transpose=t","showheaders=f")</f>
        <v/>
      </c>
      <c r="D90" s="30" t="n"/>
      <c r="E90" s="30" t="n"/>
      <c r="F90" s="30" t="n"/>
      <c r="G90" s="30" t="n"/>
      <c r="H90" s="30" t="n"/>
      <c r="I90" s="30" t="n"/>
      <c r="J90" s="30" t="n"/>
      <c r="K90" s="30" t="n"/>
      <c r="L90" s="30" t="n"/>
      <c r="M90" s="30" t="n"/>
      <c r="N90" s="30" t="n"/>
      <c r="O90" s="30" t="n"/>
      <c r="P90" s="30" t="n"/>
      <c r="Q90" s="31" t="n"/>
      <c r="R90" s="31" t="n"/>
    </row>
    <row r="91">
      <c r="A91" s="19">
        <f>Tickers!$A$91</f>
        <v/>
      </c>
      <c r="B91" s="19">
        <f>'SW Rev'!$B91</f>
        <v/>
      </c>
      <c r="C91" s="30" cm="1">
        <f t="array" aca="1" ref="C91" ca="1">_xll.BQL($A91, "#itm().value as #v", "#itm=is_oper_inc(fpt=q,fpo=range(-13,2),ae=ae,fa_adjusted=y,currency='USD')/1m","showids=f","transpose=t","showheaders=f")</f>
        <v/>
      </c>
      <c r="D91" s="30" t="n"/>
      <c r="E91" s="30" t="n"/>
      <c r="F91" s="30" t="n"/>
      <c r="G91" s="30" t="n"/>
      <c r="H91" s="30" t="n"/>
      <c r="I91" s="30" t="n"/>
      <c r="J91" s="30" t="n"/>
      <c r="K91" s="30" t="n"/>
      <c r="L91" s="30" t="n"/>
      <c r="M91" s="30" t="n"/>
      <c r="N91" s="30" t="n"/>
      <c r="O91" s="30" t="n"/>
      <c r="P91" s="30" t="n"/>
      <c r="Q91" s="31" t="n"/>
      <c r="R91" s="31" t="n"/>
    </row>
    <row r="92">
      <c r="A92" s="19">
        <f>Tickers!$A$92</f>
        <v/>
      </c>
      <c r="B92" s="19">
        <f>'SW Rev'!$B92</f>
        <v/>
      </c>
      <c r="C92" s="30" cm="1">
        <f t="array" aca="1" ref="C92" ca="1">_xll.BQL($A92, "#itm().value as #v", "#itm=is_oper_inc(fpt=q,fpo=range(-13,2),ae=ae,fa_adjusted=y,currency='USD')/1m","showids=f","transpose=t","showheaders=f")</f>
        <v/>
      </c>
      <c r="D92" s="30" t="n"/>
      <c r="E92" s="30" t="n"/>
      <c r="F92" s="30" t="n"/>
      <c r="G92" s="30" t="n"/>
      <c r="H92" s="30" t="n"/>
      <c r="I92" s="30" t="n"/>
      <c r="J92" s="30" t="n"/>
      <c r="K92" s="30" t="n"/>
      <c r="L92" s="30" t="n"/>
      <c r="M92" s="30" t="n"/>
      <c r="N92" s="30" t="n"/>
      <c r="O92" s="30" t="n"/>
      <c r="P92" s="30" t="n"/>
      <c r="Q92" s="31" t="n"/>
      <c r="R92" s="31" t="n"/>
    </row>
    <row r="93">
      <c r="A93" s="19">
        <f>Tickers!$A$93</f>
        <v/>
      </c>
      <c r="B93" s="19">
        <f>'SW Rev'!$B93</f>
        <v/>
      </c>
      <c r="C93" s="30" cm="1">
        <f t="array" aca="1" ref="C93" ca="1">_xll.BQL($A93, "#itm().value as #v", "#itm=is_oper_inc(fpt=q,fpo=range(-13,2),ae=ae,fa_adjusted=y,currency='USD')/1m","showids=f","transpose=t","showheaders=f")</f>
        <v/>
      </c>
      <c r="D93" s="30" t="n"/>
      <c r="E93" s="30" t="n"/>
      <c r="F93" s="30" t="n"/>
      <c r="G93" s="30" t="n"/>
      <c r="H93" s="30" t="n"/>
      <c r="I93" s="30" t="n"/>
      <c r="J93" s="30" t="n"/>
      <c r="K93" s="30" t="n"/>
      <c r="L93" s="30" t="n"/>
      <c r="M93" s="30" t="n"/>
      <c r="N93" s="30" t="n"/>
      <c r="O93" s="30" t="n"/>
      <c r="P93" s="30" t="n"/>
      <c r="Q93" s="31" t="n"/>
      <c r="R93" s="31" t="n"/>
    </row>
    <row r="94">
      <c r="A94" s="19">
        <f>Tickers!$A$94</f>
        <v/>
      </c>
      <c r="B94" s="19">
        <f>'SW Rev'!$B94</f>
        <v/>
      </c>
      <c r="C94" s="30" cm="1">
        <f t="array" aca="1" ref="C94" ca="1">_xll.BQL($A94, "#itm().value as #v", "#itm=is_oper_inc(fpt=q,fpo=range(-13,2),ae=ae,fa_adjusted=y,currency='USD')/1m","showids=f","transpose=t","showheaders=f")</f>
        <v/>
      </c>
      <c r="D94" s="30" t="n"/>
      <c r="E94" s="30" t="n"/>
      <c r="F94" s="30" t="n"/>
      <c r="G94" s="30" t="n"/>
      <c r="H94" s="30" t="n"/>
      <c r="I94" s="30" t="n"/>
      <c r="J94" s="30" t="n"/>
      <c r="K94" s="30" t="n"/>
      <c r="L94" s="30" t="n"/>
      <c r="M94" s="30" t="n"/>
      <c r="N94" s="30" t="n"/>
      <c r="O94" s="30" t="n"/>
      <c r="P94" s="30" t="n"/>
      <c r="Q94" s="31" t="n"/>
      <c r="R94" s="31" t="n"/>
    </row>
    <row r="95">
      <c r="A95" s="19">
        <f>Tickers!$A$95</f>
        <v/>
      </c>
      <c r="B95" s="19">
        <f>'SW Rev'!$B95</f>
        <v/>
      </c>
      <c r="C95" s="30" cm="1">
        <f t="array" aca="1" ref="C95" ca="1">_xll.BQL($A95, "#itm().value as #v", "#itm=is_oper_inc(fpt=q,fpo=range(-13,2),ae=ae,fa_adjusted=y,currency='USD')/1m","showids=f","transpose=t","showheaders=f")</f>
        <v/>
      </c>
      <c r="D95" s="30" t="n"/>
      <c r="E95" s="30" t="n"/>
      <c r="F95" s="30" t="n"/>
      <c r="G95" s="30" t="n"/>
      <c r="H95" s="30" t="n"/>
      <c r="I95" s="30" t="n"/>
      <c r="J95" s="30" t="n"/>
      <c r="K95" s="30" t="n"/>
      <c r="L95" s="30" t="n"/>
      <c r="M95" s="30" t="n"/>
      <c r="N95" s="30" t="n"/>
      <c r="O95" s="30" t="n"/>
      <c r="P95" s="30" t="n"/>
      <c r="Q95" s="31" t="n"/>
      <c r="R95" s="31" t="n"/>
    </row>
    <row r="96">
      <c r="A96" s="19">
        <f>Tickers!$A$96</f>
        <v/>
      </c>
      <c r="B96" s="19">
        <f>'SW Rev'!$B96</f>
        <v/>
      </c>
      <c r="C96" s="30" cm="1">
        <f t="array" aca="1" ref="C96" ca="1">_xll.BQL($A96, "#itm().value as #v", "#itm=is_oper_inc(fpt=q,fpo=range(-13,2),ae=ae,fa_adjusted=y,currency='USD')/1m","showids=f","transpose=t","showheaders=f")</f>
        <v/>
      </c>
      <c r="D96" s="30" t="n"/>
      <c r="E96" s="30" t="n"/>
      <c r="F96" s="30" t="n"/>
      <c r="G96" s="30" t="n"/>
      <c r="H96" s="30" t="n"/>
      <c r="I96" s="30" t="n"/>
      <c r="J96" s="30" t="n"/>
      <c r="K96" s="30" t="n"/>
      <c r="L96" s="30" t="n"/>
      <c r="M96" s="30" t="n"/>
      <c r="N96" s="30" t="n"/>
      <c r="O96" s="30" t="n"/>
      <c r="P96" s="30" t="n"/>
      <c r="Q96" s="31" t="n"/>
      <c r="R96" s="31" t="n"/>
    </row>
    <row r="97">
      <c r="A97" s="19">
        <f>Tickers!$A$97</f>
        <v/>
      </c>
      <c r="B97" s="19">
        <f>'SW Rev'!$B97</f>
        <v/>
      </c>
      <c r="C97" s="30" cm="1">
        <f t="array" aca="1" ref="C97" ca="1">_xll.BQL($A97, "#itm().value as #v", "#itm=is_oper_inc(fpt=q,fpo=range(-13,2),ae=ae,fa_adjusted=y,currency='USD')/1m","showids=f","transpose=t","showheaders=f")</f>
        <v/>
      </c>
      <c r="D97" s="30" t="n"/>
      <c r="E97" s="30" t="n"/>
      <c r="F97" s="30" t="n"/>
      <c r="G97" s="30" t="n"/>
      <c r="H97" s="30" t="n"/>
      <c r="I97" s="30" t="n"/>
      <c r="J97" s="30" t="n"/>
      <c r="K97" s="30" t="n"/>
      <c r="L97" s="30" t="n"/>
      <c r="M97" s="30" t="n"/>
      <c r="N97" s="30" t="n"/>
      <c r="O97" s="30" t="n"/>
      <c r="P97" s="30" t="n"/>
      <c r="Q97" s="31" t="n"/>
      <c r="R97" s="31" t="n"/>
    </row>
    <row r="98">
      <c r="A98" s="19">
        <f>Tickers!$A$98</f>
        <v/>
      </c>
      <c r="B98" s="19">
        <f>'SW Rev'!$B98</f>
        <v/>
      </c>
      <c r="C98" s="30" cm="1">
        <f t="array" aca="1" ref="C98" ca="1">_xll.BQL($A98, "#itm().value as #v", "#itm=is_oper_inc(fpt=q,fpo=range(-13,2),ae=ae,fa_adjusted=y,currency='USD')/1m","showids=f","transpose=t","showheaders=f")</f>
        <v/>
      </c>
      <c r="D98" s="30" t="n"/>
      <c r="E98" s="30" t="n"/>
      <c r="F98" s="30" t="n"/>
      <c r="G98" s="30" t="n"/>
      <c r="H98" s="30" t="n"/>
      <c r="I98" s="30" t="n"/>
      <c r="J98" s="30" t="n"/>
      <c r="K98" s="30" t="n"/>
      <c r="L98" s="30" t="n"/>
      <c r="M98" s="30" t="n"/>
      <c r="N98" s="30" t="n"/>
      <c r="O98" s="30" t="n"/>
      <c r="P98" s="30" t="n"/>
      <c r="Q98" s="31" t="n"/>
      <c r="R98" s="31" t="n"/>
    </row>
    <row r="99">
      <c r="A99" s="19">
        <f>Tickers!$A$99</f>
        <v/>
      </c>
      <c r="B99" s="19">
        <f>'SW Rev'!$B99</f>
        <v/>
      </c>
      <c r="C99" s="30" cm="1">
        <f t="array" aca="1" ref="C99" ca="1">_xll.BQL($A99, "#itm().value as #v", "#itm=is_oper_inc(fpt=q,fpo=range(-13,2),ae=ae,fa_adjusted=y,currency='USD')/1m","showids=f","transpose=t","showheaders=f")</f>
        <v/>
      </c>
      <c r="D99" s="30" t="n"/>
      <c r="E99" s="30" t="n"/>
      <c r="F99" s="30" t="n"/>
      <c r="G99" s="30" t="n"/>
      <c r="H99" s="30" t="n"/>
      <c r="I99" s="30" t="n"/>
      <c r="J99" s="30" t="n"/>
      <c r="K99" s="30" t="n"/>
      <c r="L99" s="30" t="n"/>
      <c r="M99" s="30" t="n"/>
      <c r="N99" s="30" t="n"/>
      <c r="O99" s="30" t="n"/>
      <c r="P99" s="30" t="n"/>
      <c r="Q99" s="31" t="n"/>
      <c r="R99" s="31" t="n"/>
    </row>
    <row r="100">
      <c r="A100" s="19">
        <f>Tickers!$A$100</f>
        <v/>
      </c>
      <c r="B100" s="19">
        <f>'SW Rev'!$B100</f>
        <v/>
      </c>
      <c r="C100" s="30" cm="1">
        <f t="array" aca="1" ref="C100" ca="1">_xll.BQL($A100, "#itm().value as #v", "#itm=is_oper_inc(fpt=q,fpo=range(-13,2),ae=ae,fa_adjusted=y,currency='USD')/1m","showids=f","transpose=t","showheaders=f")</f>
        <v/>
      </c>
      <c r="D100" s="30" t="n"/>
      <c r="E100" s="30" t="n"/>
      <c r="F100" s="30" t="n"/>
      <c r="G100" s="30" t="n"/>
      <c r="H100" s="30" t="n"/>
      <c r="I100" s="30" t="n"/>
      <c r="J100" s="30" t="n"/>
      <c r="K100" s="30" t="n"/>
      <c r="L100" s="30" t="n"/>
      <c r="M100" s="30" t="n"/>
      <c r="N100" s="30" t="n"/>
      <c r="O100" s="30" t="n"/>
      <c r="P100" s="30" t="n"/>
      <c r="Q100" s="31" t="n"/>
      <c r="R100" s="31" t="n"/>
    </row>
    <row r="101">
      <c r="A101" s="19">
        <f>Tickers!$A$101</f>
        <v/>
      </c>
      <c r="B101" s="19">
        <f>'SW Rev'!$B101</f>
        <v/>
      </c>
      <c r="C101" s="30" cm="1">
        <f t="array" aca="1" ref="C101" ca="1">_xll.BQL($A101, "#itm().value as #v", "#itm=is_oper_inc(fpt=q,fpo=range(-13,2),ae=ae,fa_adjusted=y,currency='USD')/1m","showids=f","transpose=t","showheaders=f")</f>
        <v/>
      </c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  <c r="M101" s="30" t="n"/>
      <c r="N101" s="30" t="n"/>
      <c r="O101" s="30" t="n"/>
      <c r="P101" s="30" t="n"/>
      <c r="Q101" s="31" t="n"/>
      <c r="R101" s="31" t="n"/>
    </row>
    <row r="102">
      <c r="A102" s="19">
        <f>Tickers!$A$102</f>
        <v/>
      </c>
      <c r="B102" s="19">
        <f>'SW Rev'!$B102</f>
        <v/>
      </c>
      <c r="C102" s="30" cm="1">
        <f t="array" aca="1" ref="C102" ca="1">_xll.BQL($A102, "#itm().value as #v", "#itm=is_oper_inc(fpt=q,fpo=range(-13,2),ae=ae,fa_adjusted=y,currency='USD')/1m","showids=f","transpose=t","showheaders=f")</f>
        <v/>
      </c>
      <c r="D102" s="30" t="n"/>
      <c r="E102" s="30" t="n"/>
      <c r="F102" s="30" t="n"/>
      <c r="G102" s="30" t="n"/>
      <c r="H102" s="30" t="n"/>
      <c r="I102" s="30" t="n"/>
      <c r="J102" s="30" t="n"/>
      <c r="K102" s="30" t="n"/>
      <c r="L102" s="30" t="n"/>
      <c r="M102" s="30" t="n"/>
      <c r="N102" s="30" t="n"/>
      <c r="O102" s="30" t="n"/>
      <c r="P102" s="30" t="n"/>
      <c r="Q102" s="31" t="n"/>
      <c r="R102" s="31" t="n"/>
    </row>
    <row r="103">
      <c r="A103" s="19">
        <f>Tickers!$A$103</f>
        <v/>
      </c>
      <c r="B103" s="19">
        <f>'SW Rev'!$B103</f>
        <v/>
      </c>
      <c r="C103" s="30" cm="1">
        <f t="array" aca="1" ref="C103" ca="1">_xll.BQL($A103, "#itm().value as #v", "#itm=is_oper_inc(fpt=q,fpo=range(-13,2),ae=ae,fa_adjusted=y,currency='USD')/1m","showids=f","transpose=t","showheaders=f")</f>
        <v/>
      </c>
      <c r="D103" s="30" t="n"/>
      <c r="E103" s="30" t="n"/>
      <c r="F103" s="30" t="n"/>
      <c r="G103" s="30" t="n"/>
      <c r="H103" s="30" t="n"/>
      <c r="I103" s="30" t="n"/>
      <c r="J103" s="30" t="n"/>
      <c r="K103" s="30" t="n"/>
      <c r="L103" s="30" t="n"/>
      <c r="M103" s="30" t="n"/>
      <c r="N103" s="30" t="n"/>
      <c r="O103" s="30" t="n"/>
      <c r="P103" s="30" t="n"/>
      <c r="Q103" s="31" t="n"/>
      <c r="R103" s="3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0070C0"/>
    <outlinePr summaryBelow="1" summaryRight="1"/>
    <pageSetUpPr/>
  </sheetPr>
  <dimension ref="A1:R10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</cols>
  <sheetData>
    <row r="1">
      <c r="A1" s="5" t="inlineStr">
        <is>
          <t>Software — Quarterly Free Cash Flow (USD mm)</t>
        </is>
      </c>
      <c r="H1" s="6" t="inlineStr">
        <is>
          <t>⚠ Cells blank? This is a LIVE Bloomberg workbook — it has no saved data until its first refresh. Open it in desktop Excel on your Bloomberg terminal PC (add-in logged in), then Bloomberg ribbon ▸ Refresh All (or Ctrl+Alt+F9), wait a few minutes, and save. See README.</t>
        </is>
      </c>
    </row>
    <row r="2">
      <c r="A2" s="7" t="inlineStr">
        <is>
          <t>Columns are aligned by fiscal period offset (FPO): FPO 0 = each company's most recently REPORTED quarter, so fiscal calendars differ across rows (e.g. ZM's FY ends Jan). FPO +1/+2 are consensus estimates (shaded).</t>
        </is>
      </c>
    </row>
    <row r="3">
      <c r="A3" s="7" t="inlineStr">
        <is>
          <t>Source: Bloomberg — BQL: cf_free_cash_flow, fpt=q, ae=ae, currency='USD', /1m. FCF estimates are sparse for smaller names — blanks/#N/A in FPO +1/+2 are normal. Refresh on a Bloomberg terminal (Bloomberg ribbon &gt; Refresh All).</t>
        </is>
      </c>
    </row>
    <row r="4" ht="28" customHeight="1">
      <c r="A4" s="8" t="inlineStr">
        <is>
          <t>Ticker</t>
        </is>
      </c>
      <c r="B4" s="8" t="inlineStr">
        <is>
          <t>Latest Rpt Qtr</t>
        </is>
      </c>
      <c r="C4" s="8" t="inlineStr">
        <is>
          <t>FPO -13</t>
        </is>
      </c>
      <c r="D4" s="8" t="inlineStr">
        <is>
          <t>FPO -12</t>
        </is>
      </c>
      <c r="E4" s="8" t="inlineStr">
        <is>
          <t>FPO -11</t>
        </is>
      </c>
      <c r="F4" s="8" t="inlineStr">
        <is>
          <t>FPO -10</t>
        </is>
      </c>
      <c r="G4" s="8" t="inlineStr">
        <is>
          <t>FPO -9</t>
        </is>
      </c>
      <c r="H4" s="8" t="inlineStr">
        <is>
          <t>FPO -8</t>
        </is>
      </c>
      <c r="I4" s="8" t="inlineStr">
        <is>
          <t>FPO -7</t>
        </is>
      </c>
      <c r="J4" s="8" t="inlineStr">
        <is>
          <t>FPO -6</t>
        </is>
      </c>
      <c r="K4" s="8" t="inlineStr">
        <is>
          <t>FPO -5</t>
        </is>
      </c>
      <c r="L4" s="8" t="inlineStr">
        <is>
          <t>FPO -4</t>
        </is>
      </c>
      <c r="M4" s="8" t="inlineStr">
        <is>
          <t>FPO -3</t>
        </is>
      </c>
      <c r="N4" s="8" t="inlineStr">
        <is>
          <t>FPO -2</t>
        </is>
      </c>
      <c r="O4" s="8" t="inlineStr">
        <is>
          <t>FPO -1</t>
        </is>
      </c>
      <c r="P4" s="8" t="inlineStr">
        <is>
          <t>FPO 0 (latest rpt)</t>
        </is>
      </c>
      <c r="Q4" s="8" t="inlineStr">
        <is>
          <t>FPO +1E</t>
        </is>
      </c>
      <c r="R4" s="8" t="inlineStr">
        <is>
          <t>FPO +2E</t>
        </is>
      </c>
    </row>
    <row r="5">
      <c r="A5" s="19">
        <f>Tickers!$A$5</f>
        <v/>
      </c>
      <c r="B5" s="19">
        <f>'SW Rev'!$B5</f>
        <v/>
      </c>
      <c r="C5" s="30" cm="1">
        <f t="array" aca="1" ref="C5" ca="1">_xll.BQL($A5, "#itm().value as #v", "#itm=cf_free_cash_flow(fpt=q,fpo=range(-13,2),ae=ae,currency='USD')/1m","showids=f","transpose=t","showheaders=f")</f>
        <v/>
      </c>
      <c r="D5" s="30" t="n"/>
      <c r="E5" s="30" t="n"/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  <c r="O5" s="30" t="n"/>
      <c r="P5" s="30" t="n"/>
      <c r="Q5" s="31" t="n"/>
      <c r="R5" s="31" t="n"/>
    </row>
    <row r="6">
      <c r="A6" s="19">
        <f>Tickers!$A$6</f>
        <v/>
      </c>
      <c r="B6" s="19">
        <f>'SW Rev'!$B6</f>
        <v/>
      </c>
      <c r="C6" s="30" cm="1">
        <f t="array" aca="1" ref="C6" ca="1">_xll.BQL($A6, "#itm().value as #v", "#itm=cf_free_cash_flow(fpt=q,fpo=range(-13,2),ae=ae,currency='USD')/1m","showids=f","transpose=t","showheaders=f")</f>
        <v/>
      </c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1" t="n"/>
      <c r="R6" s="31" t="n"/>
    </row>
    <row r="7">
      <c r="A7" s="19">
        <f>Tickers!$A$7</f>
        <v/>
      </c>
      <c r="B7" s="19">
        <f>'SW Rev'!$B7</f>
        <v/>
      </c>
      <c r="C7" s="30" cm="1">
        <f t="array" aca="1" ref="C7" ca="1">_xll.BQL($A7, "#itm().value as #v", "#itm=cf_free_cash_flow(fpt=q,fpo=range(-13,2),ae=ae,currency='USD')/1m","showids=f","transpose=t","showheaders=f")</f>
        <v/>
      </c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1" t="n"/>
      <c r="R7" s="31" t="n"/>
    </row>
    <row r="8">
      <c r="A8" s="19">
        <f>Tickers!$A$8</f>
        <v/>
      </c>
      <c r="B8" s="19">
        <f>'SW Rev'!$B8</f>
        <v/>
      </c>
      <c r="C8" s="30" cm="1">
        <f t="array" aca="1" ref="C8" ca="1">_xll.BQL($A8, "#itm().value as #v", "#itm=cf_free_cash_flow(fpt=q,fpo=range(-13,2),ae=ae,currency='USD')/1m","showids=f","transpose=t","showheaders=f")</f>
        <v/>
      </c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1" t="n"/>
      <c r="R8" s="31" t="n"/>
    </row>
    <row r="9">
      <c r="A9" s="19">
        <f>Tickers!$A$9</f>
        <v/>
      </c>
      <c r="B9" s="19">
        <f>'SW Rev'!$B9</f>
        <v/>
      </c>
      <c r="C9" s="30" cm="1">
        <f t="array" aca="1" ref="C9" ca="1">_xll.BQL($A9, "#itm().value as #v", "#itm=cf_free_cash_flow(fpt=q,fpo=range(-13,2),ae=ae,currency='USD')/1m","showids=f","transpose=t","showheaders=f")</f>
        <v/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1" t="n"/>
      <c r="R9" s="31" t="n"/>
    </row>
    <row r="10">
      <c r="A10" s="19">
        <f>Tickers!$A$10</f>
        <v/>
      </c>
      <c r="B10" s="19">
        <f>'SW Rev'!$B10</f>
        <v/>
      </c>
      <c r="C10" s="30" cm="1">
        <f t="array" aca="1" ref="C10" ca="1">_xll.BQL($A10, "#itm().value as #v", "#itm=cf_free_cash_flow(fpt=q,fpo=range(-13,2),ae=ae,currency='USD')/1m","showids=f","transpose=t","showheaders=f")</f>
        <v/>
      </c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30" t="n"/>
      <c r="Q10" s="31" t="n"/>
      <c r="R10" s="31" t="n"/>
    </row>
    <row r="11">
      <c r="A11" s="19">
        <f>Tickers!$A$11</f>
        <v/>
      </c>
      <c r="B11" s="19">
        <f>'SW Rev'!$B11</f>
        <v/>
      </c>
      <c r="C11" s="30" cm="1">
        <f t="array" aca="1" ref="C11" ca="1">_xll.BQL($A11, "#itm().value as #v", "#itm=cf_free_cash_flow(fpt=q,fpo=range(-13,2),ae=ae,currency='USD')/1m","showids=f","transpose=t","showheaders=f")</f>
        <v/>
      </c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1" t="n"/>
      <c r="R11" s="31" t="n"/>
    </row>
    <row r="12">
      <c r="A12" s="19">
        <f>Tickers!$A$12</f>
        <v/>
      </c>
      <c r="B12" s="19">
        <f>'SW Rev'!$B12</f>
        <v/>
      </c>
      <c r="C12" s="30" cm="1">
        <f t="array" aca="1" ref="C12" ca="1">_xll.BQL($A12, "#itm().value as #v", "#itm=cf_free_cash_flow(fpt=q,fpo=range(-13,2),ae=ae,currency='USD')/1m","showids=f","transpose=t","showheaders=f")</f>
        <v/>
      </c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1" t="n"/>
      <c r="R12" s="31" t="n"/>
    </row>
    <row r="13">
      <c r="A13" s="19">
        <f>Tickers!$A$13</f>
        <v/>
      </c>
      <c r="B13" s="19">
        <f>'SW Rev'!$B13</f>
        <v/>
      </c>
      <c r="C13" s="30" cm="1">
        <f t="array" aca="1" ref="C13" ca="1">_xll.BQL($A13, "#itm().value as #v", "#itm=cf_free_cash_flow(fpt=q,fpo=range(-13,2),ae=ae,currency='USD')/1m","showids=f","transpose=t","showheaders=f")</f>
        <v/>
      </c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1" t="n"/>
      <c r="R13" s="31" t="n"/>
    </row>
    <row r="14">
      <c r="A14" s="19">
        <f>Tickers!$A$14</f>
        <v/>
      </c>
      <c r="B14" s="19">
        <f>'SW Rev'!$B14</f>
        <v/>
      </c>
      <c r="C14" s="30" cm="1">
        <f t="array" aca="1" ref="C14" ca="1">_xll.BQL($A14, "#itm().value as #v", "#itm=cf_free_cash_flow(fpt=q,fpo=range(-13,2),ae=ae,currency='USD')/1m","showids=f","transpose=t","showheaders=f")</f>
        <v/>
      </c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  <c r="Q14" s="31" t="n"/>
      <c r="R14" s="31" t="n"/>
    </row>
    <row r="15">
      <c r="A15" s="19">
        <f>Tickers!$A$15</f>
        <v/>
      </c>
      <c r="B15" s="19">
        <f>'SW Rev'!$B15</f>
        <v/>
      </c>
      <c r="C15" s="30" cm="1">
        <f t="array" aca="1" ref="C15" ca="1">_xll.BQL($A15, "#itm().value as #v", "#itm=cf_free_cash_flow(fpt=q,fpo=range(-13,2),ae=ae,currency='USD')/1m","showids=f","transpose=t","showheaders=f")</f>
        <v/>
      </c>
      <c r="D15" s="30" t="n"/>
      <c r="E15" s="30" t="n"/>
      <c r="F15" s="30" t="n"/>
      <c r="G15" s="30" t="n"/>
      <c r="H15" s="30" t="n"/>
      <c r="I15" s="30" t="n"/>
      <c r="J15" s="30" t="n"/>
      <c r="K15" s="30" t="n"/>
      <c r="L15" s="30" t="n"/>
      <c r="M15" s="30" t="n"/>
      <c r="N15" s="30" t="n"/>
      <c r="O15" s="30" t="n"/>
      <c r="P15" s="30" t="n"/>
      <c r="Q15" s="31" t="n"/>
      <c r="R15" s="31" t="n"/>
    </row>
    <row r="16">
      <c r="A16" s="19">
        <f>Tickers!$A$16</f>
        <v/>
      </c>
      <c r="B16" s="19">
        <f>'SW Rev'!$B16</f>
        <v/>
      </c>
      <c r="C16" s="30" cm="1">
        <f t="array" aca="1" ref="C16" ca="1">_xll.BQL($A16, "#itm().value as #v", "#itm=cf_free_cash_flow(fpt=q,fpo=range(-13,2),ae=ae,currency='USD')/1m","showids=f","transpose=t","showheaders=f")</f>
        <v/>
      </c>
      <c r="D16" s="30" t="n"/>
      <c r="E16" s="30" t="n"/>
      <c r="F16" s="30" t="n"/>
      <c r="G16" s="30" t="n"/>
      <c r="H16" s="30" t="n"/>
      <c r="I16" s="30" t="n"/>
      <c r="J16" s="30" t="n"/>
      <c r="K16" s="30" t="n"/>
      <c r="L16" s="30" t="n"/>
      <c r="M16" s="30" t="n"/>
      <c r="N16" s="30" t="n"/>
      <c r="O16" s="30" t="n"/>
      <c r="P16" s="30" t="n"/>
      <c r="Q16" s="31" t="n"/>
      <c r="R16" s="31" t="n"/>
    </row>
    <row r="17">
      <c r="A17" s="19">
        <f>Tickers!$A$17</f>
        <v/>
      </c>
      <c r="B17" s="19">
        <f>'SW Rev'!$B17</f>
        <v/>
      </c>
      <c r="C17" s="30" cm="1">
        <f t="array" aca="1" ref="C17" ca="1">_xll.BQL($A17, "#itm().value as #v", "#itm=cf_free_cash_flow(fpt=q,fpo=range(-13,2),ae=ae,currency='USD')/1m","showids=f","transpose=t","showheaders=f")</f>
        <v/>
      </c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30" t="n"/>
      <c r="Q17" s="31" t="n"/>
      <c r="R17" s="31" t="n"/>
    </row>
    <row r="18">
      <c r="A18" s="19">
        <f>Tickers!$A$18</f>
        <v/>
      </c>
      <c r="B18" s="19">
        <f>'SW Rev'!$B18</f>
        <v/>
      </c>
      <c r="C18" s="30" cm="1">
        <f t="array" aca="1" ref="C18" ca="1">_xll.BQL($A18, "#itm().value as #v", "#itm=cf_free_cash_flow(fpt=q,fpo=range(-13,2),ae=ae,currency='USD')/1m","showids=f","transpose=t","showheaders=f")</f>
        <v/>
      </c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1" t="n"/>
      <c r="R18" s="31" t="n"/>
    </row>
    <row r="19">
      <c r="A19" s="19">
        <f>Tickers!$A$19</f>
        <v/>
      </c>
      <c r="B19" s="19">
        <f>'SW Rev'!$B19</f>
        <v/>
      </c>
      <c r="C19" s="30" cm="1">
        <f t="array" aca="1" ref="C19" ca="1">_xll.BQL($A19, "#itm().value as #v", "#itm=cf_free_cash_flow(fpt=q,fpo=range(-13,2),ae=ae,currency='USD')/1m","showids=f","transpose=t","showheaders=f")</f>
        <v/>
      </c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1" t="n"/>
      <c r="R19" s="31" t="n"/>
    </row>
    <row r="20">
      <c r="A20" s="19">
        <f>Tickers!$A$20</f>
        <v/>
      </c>
      <c r="B20" s="19">
        <f>'SW Rev'!$B20</f>
        <v/>
      </c>
      <c r="C20" s="30" cm="1">
        <f t="array" aca="1" ref="C20" ca="1">_xll.BQL($A20, "#itm().value as #v", "#itm=cf_free_cash_flow(fpt=q,fpo=range(-13,2),ae=ae,currency='USD')/1m","showids=f","transpose=t","showheaders=f")</f>
        <v/>
      </c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30" t="n"/>
      <c r="Q20" s="31" t="n"/>
      <c r="R20" s="31" t="n"/>
    </row>
    <row r="21">
      <c r="A21" s="19">
        <f>Tickers!$A$21</f>
        <v/>
      </c>
      <c r="B21" s="19">
        <f>'SW Rev'!$B21</f>
        <v/>
      </c>
      <c r="C21" s="30" cm="1">
        <f t="array" aca="1" ref="C21" ca="1">_xll.BQL($A21, "#itm().value as #v", "#itm=cf_free_cash_flow(fpt=q,fpo=range(-13,2),ae=ae,currency='USD')/1m","showids=f","transpose=t","showheaders=f")</f>
        <v/>
      </c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  <c r="P21" s="30" t="n"/>
      <c r="Q21" s="31" t="n"/>
      <c r="R21" s="31" t="n"/>
    </row>
    <row r="22">
      <c r="A22" s="19">
        <f>Tickers!$A$22</f>
        <v/>
      </c>
      <c r="B22" s="19">
        <f>'SW Rev'!$B22</f>
        <v/>
      </c>
      <c r="C22" s="30" cm="1">
        <f t="array" aca="1" ref="C22" ca="1">_xll.BQL($A22, "#itm().value as #v", "#itm=cf_free_cash_flow(fpt=q,fpo=range(-13,2),ae=ae,currency='USD')/1m","showids=f","transpose=t","showheaders=f")</f>
        <v/>
      </c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n"/>
      <c r="Q22" s="31" t="n"/>
      <c r="R22" s="31" t="n"/>
    </row>
    <row r="23">
      <c r="A23" s="19">
        <f>Tickers!$A$23</f>
        <v/>
      </c>
      <c r="B23" s="19">
        <f>'SW Rev'!$B23</f>
        <v/>
      </c>
      <c r="C23" s="30" cm="1">
        <f t="array" aca="1" ref="C23" ca="1">_xll.BQL($A23, "#itm().value as #v", "#itm=cf_free_cash_flow(fpt=q,fpo=range(-13,2),ae=ae,currency='USD')/1m","showids=f","transpose=t","showheaders=f")</f>
        <v/>
      </c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30" t="n"/>
      <c r="P23" s="30" t="n"/>
      <c r="Q23" s="31" t="n"/>
      <c r="R23" s="31" t="n"/>
    </row>
    <row r="24">
      <c r="A24" s="19">
        <f>Tickers!$A$24</f>
        <v/>
      </c>
      <c r="B24" s="19">
        <f>'SW Rev'!$B24</f>
        <v/>
      </c>
      <c r="C24" s="30" cm="1">
        <f t="array" aca="1" ref="C24" ca="1">_xll.BQL($A24, "#itm().value as #v", "#itm=cf_free_cash_flow(fpt=q,fpo=range(-13,2),ae=ae,currency='USD')/1m","showids=f","transpose=t","showheaders=f")</f>
        <v/>
      </c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30" t="n"/>
      <c r="Q24" s="31" t="n"/>
      <c r="R24" s="31" t="n"/>
    </row>
    <row r="25">
      <c r="A25" s="19">
        <f>Tickers!$A$25</f>
        <v/>
      </c>
      <c r="B25" s="19">
        <f>'SW Rev'!$B25</f>
        <v/>
      </c>
      <c r="C25" s="30" cm="1">
        <f t="array" aca="1" ref="C25" ca="1">_xll.BQL($A25, "#itm().value as #v", "#itm=cf_free_cash_flow(fpt=q,fpo=range(-13,2),ae=ae,currency='USD')/1m","showids=f","transpose=t","showheaders=f")</f>
        <v/>
      </c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  <c r="Q25" s="31" t="n"/>
      <c r="R25" s="31" t="n"/>
    </row>
    <row r="26">
      <c r="A26" s="19">
        <f>Tickers!$A$26</f>
        <v/>
      </c>
      <c r="B26" s="19">
        <f>'SW Rev'!$B26</f>
        <v/>
      </c>
      <c r="C26" s="30" cm="1">
        <f t="array" aca="1" ref="C26" ca="1">_xll.BQL($A26, "#itm().value as #v", "#itm=cf_free_cash_flow(fpt=q,fpo=range(-13,2),ae=ae,currency='USD')/1m","showids=f","transpose=t","showheaders=f")</f>
        <v/>
      </c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30" t="n"/>
      <c r="Q26" s="31" t="n"/>
      <c r="R26" s="31" t="n"/>
    </row>
    <row r="27">
      <c r="A27" s="19">
        <f>Tickers!$A$27</f>
        <v/>
      </c>
      <c r="B27" s="19">
        <f>'SW Rev'!$B27</f>
        <v/>
      </c>
      <c r="C27" s="30" cm="1">
        <f t="array" aca="1" ref="C27" ca="1">_xll.BQL($A27, "#itm().value as #v", "#itm=cf_free_cash_flow(fpt=q,fpo=range(-13,2),ae=ae,currency='USD')/1m","showids=f","transpose=t","showheaders=f")</f>
        <v/>
      </c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30" t="n"/>
      <c r="Q27" s="31" t="n"/>
      <c r="R27" s="31" t="n"/>
    </row>
    <row r="28">
      <c r="A28" s="19">
        <f>Tickers!$A$28</f>
        <v/>
      </c>
      <c r="B28" s="19">
        <f>'SW Rev'!$B28</f>
        <v/>
      </c>
      <c r="C28" s="30" cm="1">
        <f t="array" aca="1" ref="C28" ca="1">_xll.BQL($A28, "#itm().value as #v", "#itm=cf_free_cash_flow(fpt=q,fpo=range(-13,2),ae=ae,currency='USD')/1m","showids=f","transpose=t","showheaders=f")</f>
        <v/>
      </c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30" t="n"/>
      <c r="Q28" s="31" t="n"/>
      <c r="R28" s="31" t="n"/>
    </row>
    <row r="29">
      <c r="A29" s="19">
        <f>Tickers!$A$29</f>
        <v/>
      </c>
      <c r="B29" s="19">
        <f>'SW Rev'!$B29</f>
        <v/>
      </c>
      <c r="C29" s="30" cm="1">
        <f t="array" aca="1" ref="C29" ca="1">_xll.BQL($A29, "#itm().value as #v", "#itm=cf_free_cash_flow(fpt=q,fpo=range(-13,2),ae=ae,currency='USD')/1m","showids=f","transpose=t","showheaders=f")</f>
        <v/>
      </c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30" t="n"/>
      <c r="Q29" s="31" t="n"/>
      <c r="R29" s="31" t="n"/>
    </row>
    <row r="30">
      <c r="A30" s="19">
        <f>Tickers!$A$30</f>
        <v/>
      </c>
      <c r="B30" s="19">
        <f>'SW Rev'!$B30</f>
        <v/>
      </c>
      <c r="C30" s="30" cm="1">
        <f t="array" aca="1" ref="C30" ca="1">_xll.BQL($A30, "#itm().value as #v", "#itm=cf_free_cash_flow(fpt=q,fpo=range(-13,2),ae=ae,currency='USD')/1m","showids=f","transpose=t","showheaders=f")</f>
        <v/>
      </c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30" t="n"/>
      <c r="Q30" s="31" t="n"/>
      <c r="R30" s="31" t="n"/>
    </row>
    <row r="31">
      <c r="A31" s="19">
        <f>Tickers!$A$31</f>
        <v/>
      </c>
      <c r="B31" s="19">
        <f>'SW Rev'!$B31</f>
        <v/>
      </c>
      <c r="C31" s="30" cm="1">
        <f t="array" aca="1" ref="C31" ca="1">_xll.BQL($A31, "#itm().value as #v", "#itm=cf_free_cash_flow(fpt=q,fpo=range(-13,2),ae=ae,currency='USD')/1m","showids=f","transpose=t","showheaders=f")</f>
        <v/>
      </c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0" t="n"/>
      <c r="Q31" s="31" t="n"/>
      <c r="R31" s="31" t="n"/>
    </row>
    <row r="32">
      <c r="A32" s="19">
        <f>Tickers!$A$32</f>
        <v/>
      </c>
      <c r="B32" s="19">
        <f>'SW Rev'!$B32</f>
        <v/>
      </c>
      <c r="C32" s="30" cm="1">
        <f t="array" aca="1" ref="C32" ca="1">_xll.BQL($A32, "#itm().value as #v", "#itm=cf_free_cash_flow(fpt=q,fpo=range(-13,2),ae=ae,currency='USD')/1m","showids=f","transpose=t","showheaders=f")</f>
        <v/>
      </c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30" t="n"/>
      <c r="Q32" s="31" t="n"/>
      <c r="R32" s="31" t="n"/>
    </row>
    <row r="33">
      <c r="A33" s="19">
        <f>Tickers!$A$33</f>
        <v/>
      </c>
      <c r="B33" s="19">
        <f>'SW Rev'!$B33</f>
        <v/>
      </c>
      <c r="C33" s="30" cm="1">
        <f t="array" aca="1" ref="C33" ca="1">_xll.BQL($A33, "#itm().value as #v", "#itm=cf_free_cash_flow(fpt=q,fpo=range(-13,2),ae=ae,currency='USD')/1m","showids=f","transpose=t","showheaders=f")</f>
        <v/>
      </c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0" t="n"/>
      <c r="P33" s="30" t="n"/>
      <c r="Q33" s="31" t="n"/>
      <c r="R33" s="31" t="n"/>
    </row>
    <row r="34">
      <c r="A34" s="19">
        <f>Tickers!$A$34</f>
        <v/>
      </c>
      <c r="B34" s="19">
        <f>'SW Rev'!$B34</f>
        <v/>
      </c>
      <c r="C34" s="30" cm="1">
        <f t="array" aca="1" ref="C34" ca="1">_xll.BQL($A34, "#itm().value as #v", "#itm=cf_free_cash_flow(fpt=q,fpo=range(-13,2),ae=ae,currency='USD')/1m","showids=f","transpose=t","showheaders=f")</f>
        <v/>
      </c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30" t="n"/>
      <c r="Q34" s="31" t="n"/>
      <c r="R34" s="31" t="n"/>
    </row>
    <row r="35">
      <c r="A35" s="19">
        <f>Tickers!$A$35</f>
        <v/>
      </c>
      <c r="B35" s="19">
        <f>'SW Rev'!$B35</f>
        <v/>
      </c>
      <c r="C35" s="30" cm="1">
        <f t="array" aca="1" ref="C35" ca="1">_xll.BQL($A35, "#itm().value as #v", "#itm=cf_free_cash_flow(fpt=q,fpo=range(-13,2),ae=ae,currency='USD')/1m","showids=f","transpose=t","showheaders=f")</f>
        <v/>
      </c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1" t="n"/>
      <c r="R35" s="31" t="n"/>
    </row>
    <row r="36">
      <c r="A36" s="19">
        <f>Tickers!$A$36</f>
        <v/>
      </c>
      <c r="B36" s="19">
        <f>'SW Rev'!$B36</f>
        <v/>
      </c>
      <c r="C36" s="30" cm="1">
        <f t="array" aca="1" ref="C36" ca="1">_xll.BQL($A36, "#itm().value as #v", "#itm=cf_free_cash_flow(fpt=q,fpo=range(-13,2),ae=ae,currency='USD')/1m","showids=f","transpose=t","showheaders=f")</f>
        <v/>
      </c>
      <c r="D36" s="30" t="n"/>
      <c r="E36" s="30" t="n"/>
      <c r="F36" s="30" t="n"/>
      <c r="G36" s="30" t="n"/>
      <c r="H36" s="30" t="n"/>
      <c r="I36" s="30" t="n"/>
      <c r="J36" s="30" t="n"/>
      <c r="K36" s="30" t="n"/>
      <c r="L36" s="30" t="n"/>
      <c r="M36" s="30" t="n"/>
      <c r="N36" s="30" t="n"/>
      <c r="O36" s="30" t="n"/>
      <c r="P36" s="30" t="n"/>
      <c r="Q36" s="31" t="n"/>
      <c r="R36" s="31" t="n"/>
    </row>
    <row r="37">
      <c r="A37" s="19">
        <f>Tickers!$A$37</f>
        <v/>
      </c>
      <c r="B37" s="19">
        <f>'SW Rev'!$B37</f>
        <v/>
      </c>
      <c r="C37" s="30" cm="1">
        <f t="array" aca="1" ref="C37" ca="1">_xll.BQL($A37, "#itm().value as #v", "#itm=cf_free_cash_flow(fpt=q,fpo=range(-13,2),ae=ae,currency='USD')/1m","showids=f","transpose=t","showheaders=f")</f>
        <v/>
      </c>
      <c r="D37" s="30" t="n"/>
      <c r="E37" s="30" t="n"/>
      <c r="F37" s="30" t="n"/>
      <c r="G37" s="30" t="n"/>
      <c r="H37" s="30" t="n"/>
      <c r="I37" s="30" t="n"/>
      <c r="J37" s="30" t="n"/>
      <c r="K37" s="30" t="n"/>
      <c r="L37" s="30" t="n"/>
      <c r="M37" s="30" t="n"/>
      <c r="N37" s="30" t="n"/>
      <c r="O37" s="30" t="n"/>
      <c r="P37" s="30" t="n"/>
      <c r="Q37" s="31" t="n"/>
      <c r="R37" s="31" t="n"/>
    </row>
    <row r="38">
      <c r="A38" s="19">
        <f>Tickers!$A$38</f>
        <v/>
      </c>
      <c r="B38" s="19">
        <f>'SW Rev'!$B38</f>
        <v/>
      </c>
      <c r="C38" s="30" cm="1">
        <f t="array" aca="1" ref="C38" ca="1">_xll.BQL($A38, "#itm().value as #v", "#itm=cf_free_cash_flow(fpt=q,fpo=range(-13,2),ae=ae,currency='USD')/1m","showids=f","transpose=t","showheaders=f")</f>
        <v/>
      </c>
      <c r="D38" s="30" t="n"/>
      <c r="E38" s="30" t="n"/>
      <c r="F38" s="30" t="n"/>
      <c r="G38" s="30" t="n"/>
      <c r="H38" s="30" t="n"/>
      <c r="I38" s="30" t="n"/>
      <c r="J38" s="30" t="n"/>
      <c r="K38" s="30" t="n"/>
      <c r="L38" s="30" t="n"/>
      <c r="M38" s="30" t="n"/>
      <c r="N38" s="30" t="n"/>
      <c r="O38" s="30" t="n"/>
      <c r="P38" s="30" t="n"/>
      <c r="Q38" s="31" t="n"/>
      <c r="R38" s="31" t="n"/>
    </row>
    <row r="39">
      <c r="A39" s="19">
        <f>Tickers!$A$39</f>
        <v/>
      </c>
      <c r="B39" s="19">
        <f>'SW Rev'!$B39</f>
        <v/>
      </c>
      <c r="C39" s="30" cm="1">
        <f t="array" aca="1" ref="C39" ca="1">_xll.BQL($A39, "#itm().value as #v", "#itm=cf_free_cash_flow(fpt=q,fpo=range(-13,2),ae=ae,currency='USD')/1m","showids=f","transpose=t","showheaders=f")</f>
        <v/>
      </c>
      <c r="D39" s="30" t="n"/>
      <c r="E39" s="30" t="n"/>
      <c r="F39" s="30" t="n"/>
      <c r="G39" s="30" t="n"/>
      <c r="H39" s="30" t="n"/>
      <c r="I39" s="30" t="n"/>
      <c r="J39" s="30" t="n"/>
      <c r="K39" s="30" t="n"/>
      <c r="L39" s="30" t="n"/>
      <c r="M39" s="30" t="n"/>
      <c r="N39" s="30" t="n"/>
      <c r="O39" s="30" t="n"/>
      <c r="P39" s="30" t="n"/>
      <c r="Q39" s="31" t="n"/>
      <c r="R39" s="31" t="n"/>
    </row>
    <row r="40">
      <c r="A40" s="19">
        <f>Tickers!$A$40</f>
        <v/>
      </c>
      <c r="B40" s="19">
        <f>'SW Rev'!$B40</f>
        <v/>
      </c>
      <c r="C40" s="30" cm="1">
        <f t="array" aca="1" ref="C40" ca="1">_xll.BQL($A40, "#itm().value as #v", "#itm=cf_free_cash_flow(fpt=q,fpo=range(-13,2),ae=ae,currency='USD')/1m","showids=f","transpose=t","showheaders=f")</f>
        <v/>
      </c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30" t="n"/>
      <c r="Q40" s="31" t="n"/>
      <c r="R40" s="31" t="n"/>
    </row>
    <row r="41">
      <c r="A41" s="19">
        <f>Tickers!$A$41</f>
        <v/>
      </c>
      <c r="B41" s="19">
        <f>'SW Rev'!$B41</f>
        <v/>
      </c>
      <c r="C41" s="30" cm="1">
        <f t="array" aca="1" ref="C41" ca="1">_xll.BQL($A41, "#itm().value as #v", "#itm=cf_free_cash_flow(fpt=q,fpo=range(-13,2),ae=ae,currency='USD')/1m","showids=f","transpose=t","showheaders=f")</f>
        <v/>
      </c>
      <c r="D41" s="30" t="n"/>
      <c r="E41" s="30" t="n"/>
      <c r="F41" s="30" t="n"/>
      <c r="G41" s="30" t="n"/>
      <c r="H41" s="30" t="n"/>
      <c r="I41" s="30" t="n"/>
      <c r="J41" s="30" t="n"/>
      <c r="K41" s="30" t="n"/>
      <c r="L41" s="30" t="n"/>
      <c r="M41" s="30" t="n"/>
      <c r="N41" s="30" t="n"/>
      <c r="O41" s="30" t="n"/>
      <c r="P41" s="30" t="n"/>
      <c r="Q41" s="31" t="n"/>
      <c r="R41" s="31" t="n"/>
    </row>
    <row r="42">
      <c r="A42" s="19">
        <f>Tickers!$A$42</f>
        <v/>
      </c>
      <c r="B42" s="19">
        <f>'SW Rev'!$B42</f>
        <v/>
      </c>
      <c r="C42" s="30" cm="1">
        <f t="array" aca="1" ref="C42" ca="1">_xll.BQL($A42, "#itm().value as #v", "#itm=cf_free_cash_flow(fpt=q,fpo=range(-13,2),ae=ae,currency='USD')/1m","showids=f","transpose=t","showheaders=f")</f>
        <v/>
      </c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30" t="n"/>
      <c r="P42" s="30" t="n"/>
      <c r="Q42" s="31" t="n"/>
      <c r="R42" s="31" t="n"/>
    </row>
    <row r="43">
      <c r="A43" s="19">
        <f>Tickers!$A$43</f>
        <v/>
      </c>
      <c r="B43" s="19">
        <f>'SW Rev'!$B43</f>
        <v/>
      </c>
      <c r="C43" s="30" cm="1">
        <f t="array" aca="1" ref="C43" ca="1">_xll.BQL($A43, "#itm().value as #v", "#itm=cf_free_cash_flow(fpt=q,fpo=range(-13,2),ae=ae,currency='USD')/1m","showids=f","transpose=t","showheaders=f")</f>
        <v/>
      </c>
      <c r="D43" s="30" t="n"/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30" t="n"/>
      <c r="Q43" s="31" t="n"/>
      <c r="R43" s="31" t="n"/>
    </row>
    <row r="44">
      <c r="A44" s="19">
        <f>Tickers!$A$44</f>
        <v/>
      </c>
      <c r="B44" s="19">
        <f>'SW Rev'!$B44</f>
        <v/>
      </c>
      <c r="C44" s="30" cm="1">
        <f t="array" aca="1" ref="C44" ca="1">_xll.BQL($A44, "#itm().value as #v", "#itm=cf_free_cash_flow(fpt=q,fpo=range(-13,2),ae=ae,currency='USD')/1m","showids=f","transpose=t","showheaders=f")</f>
        <v/>
      </c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0" t="n"/>
      <c r="O44" s="30" t="n"/>
      <c r="P44" s="30" t="n"/>
      <c r="Q44" s="31" t="n"/>
      <c r="R44" s="31" t="n"/>
    </row>
    <row r="45">
      <c r="A45" s="19">
        <f>Tickers!$A$45</f>
        <v/>
      </c>
      <c r="B45" s="19">
        <f>'SW Rev'!$B45</f>
        <v/>
      </c>
      <c r="C45" s="30" cm="1">
        <f t="array" aca="1" ref="C45" ca="1">_xll.BQL($A45, "#itm().value as #v", "#itm=cf_free_cash_flow(fpt=q,fpo=range(-13,2),ae=ae,currency='USD')/1m","showids=f","transpose=t","showheaders=f")</f>
        <v/>
      </c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n"/>
      <c r="M45" s="30" t="n"/>
      <c r="N45" s="30" t="n"/>
      <c r="O45" s="30" t="n"/>
      <c r="P45" s="30" t="n"/>
      <c r="Q45" s="31" t="n"/>
      <c r="R45" s="31" t="n"/>
    </row>
    <row r="46">
      <c r="A46" s="19">
        <f>Tickers!$A$46</f>
        <v/>
      </c>
      <c r="B46" s="19">
        <f>'SW Rev'!$B46</f>
        <v/>
      </c>
      <c r="C46" s="30" cm="1">
        <f t="array" aca="1" ref="C46" ca="1">_xll.BQL($A46, "#itm().value as #v", "#itm=cf_free_cash_flow(fpt=q,fpo=range(-13,2),ae=ae,currency='USD')/1m","showids=f","transpose=t","showheaders=f")</f>
        <v/>
      </c>
      <c r="D46" s="30" t="n"/>
      <c r="E46" s="30" t="n"/>
      <c r="F46" s="30" t="n"/>
      <c r="G46" s="30" t="n"/>
      <c r="H46" s="30" t="n"/>
      <c r="I46" s="30" t="n"/>
      <c r="J46" s="30" t="n"/>
      <c r="K46" s="30" t="n"/>
      <c r="L46" s="30" t="n"/>
      <c r="M46" s="30" t="n"/>
      <c r="N46" s="30" t="n"/>
      <c r="O46" s="30" t="n"/>
      <c r="P46" s="30" t="n"/>
      <c r="Q46" s="31" t="n"/>
      <c r="R46" s="31" t="n"/>
    </row>
    <row r="47">
      <c r="A47" s="19">
        <f>Tickers!$A$47</f>
        <v/>
      </c>
      <c r="B47" s="19">
        <f>'SW Rev'!$B47</f>
        <v/>
      </c>
      <c r="C47" s="30" cm="1">
        <f t="array" aca="1" ref="C47" ca="1">_xll.BQL($A47, "#itm().value as #v", "#itm=cf_free_cash_flow(fpt=q,fpo=range(-13,2),ae=ae,currency='USD')/1m","showids=f","transpose=t","showheaders=f")</f>
        <v/>
      </c>
      <c r="D47" s="30" t="n"/>
      <c r="E47" s="30" t="n"/>
      <c r="F47" s="30" t="n"/>
      <c r="G47" s="30" t="n"/>
      <c r="H47" s="30" t="n"/>
      <c r="I47" s="30" t="n"/>
      <c r="J47" s="30" t="n"/>
      <c r="K47" s="30" t="n"/>
      <c r="L47" s="30" t="n"/>
      <c r="M47" s="30" t="n"/>
      <c r="N47" s="30" t="n"/>
      <c r="O47" s="30" t="n"/>
      <c r="P47" s="30" t="n"/>
      <c r="Q47" s="31" t="n"/>
      <c r="R47" s="31" t="n"/>
    </row>
    <row r="48">
      <c r="A48" s="19">
        <f>Tickers!$A$48</f>
        <v/>
      </c>
      <c r="B48" s="19">
        <f>'SW Rev'!$B48</f>
        <v/>
      </c>
      <c r="C48" s="30" cm="1">
        <f t="array" aca="1" ref="C48" ca="1">_xll.BQL($A48, "#itm().value as #v", "#itm=cf_free_cash_flow(fpt=q,fpo=range(-13,2),ae=ae,currency='USD')/1m","showids=f","transpose=t","showheaders=f")</f>
        <v/>
      </c>
      <c r="D48" s="30" t="n"/>
      <c r="E48" s="30" t="n"/>
      <c r="F48" s="30" t="n"/>
      <c r="G48" s="30" t="n"/>
      <c r="H48" s="30" t="n"/>
      <c r="I48" s="30" t="n"/>
      <c r="J48" s="30" t="n"/>
      <c r="K48" s="30" t="n"/>
      <c r="L48" s="30" t="n"/>
      <c r="M48" s="30" t="n"/>
      <c r="N48" s="30" t="n"/>
      <c r="O48" s="30" t="n"/>
      <c r="P48" s="30" t="n"/>
      <c r="Q48" s="31" t="n"/>
      <c r="R48" s="31" t="n"/>
    </row>
    <row r="49">
      <c r="A49" s="19">
        <f>Tickers!$A$49</f>
        <v/>
      </c>
      <c r="B49" s="19">
        <f>'SW Rev'!$B49</f>
        <v/>
      </c>
      <c r="C49" s="30" cm="1">
        <f t="array" aca="1" ref="C49" ca="1">_xll.BQL($A49, "#itm().value as #v", "#itm=cf_free_cash_flow(fpt=q,fpo=range(-13,2),ae=ae,currency='USD')/1m","showids=f","transpose=t","showheaders=f")</f>
        <v/>
      </c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  <c r="M49" s="30" t="n"/>
      <c r="N49" s="30" t="n"/>
      <c r="O49" s="30" t="n"/>
      <c r="P49" s="30" t="n"/>
      <c r="Q49" s="31" t="n"/>
      <c r="R49" s="31" t="n"/>
    </row>
    <row r="50">
      <c r="A50" s="19">
        <f>Tickers!$A$50</f>
        <v/>
      </c>
      <c r="B50" s="19">
        <f>'SW Rev'!$B50</f>
        <v/>
      </c>
      <c r="C50" s="30" cm="1">
        <f t="array" aca="1" ref="C50" ca="1">_xll.BQL($A50, "#itm().value as #v", "#itm=cf_free_cash_flow(fpt=q,fpo=range(-13,2),ae=ae,currency='USD')/1m","showids=f","transpose=t","showheaders=f")</f>
        <v/>
      </c>
      <c r="D50" s="30" t="n"/>
      <c r="E50" s="30" t="n"/>
      <c r="F50" s="30" t="n"/>
      <c r="G50" s="30" t="n"/>
      <c r="H50" s="30" t="n"/>
      <c r="I50" s="30" t="n"/>
      <c r="J50" s="30" t="n"/>
      <c r="K50" s="30" t="n"/>
      <c r="L50" s="30" t="n"/>
      <c r="M50" s="30" t="n"/>
      <c r="N50" s="30" t="n"/>
      <c r="O50" s="30" t="n"/>
      <c r="P50" s="30" t="n"/>
      <c r="Q50" s="31" t="n"/>
      <c r="R50" s="31" t="n"/>
    </row>
    <row r="51">
      <c r="A51" s="19">
        <f>Tickers!$A$51</f>
        <v/>
      </c>
      <c r="B51" s="19">
        <f>'SW Rev'!$B51</f>
        <v/>
      </c>
      <c r="C51" s="30" cm="1">
        <f t="array" aca="1" ref="C51" ca="1">_xll.BQL($A51, "#itm().value as #v", "#itm=cf_free_cash_flow(fpt=q,fpo=range(-13,2),ae=ae,currency='USD')/1m","showids=f","transpose=t","showheaders=f")</f>
        <v/>
      </c>
      <c r="D51" s="30" t="n"/>
      <c r="E51" s="30" t="n"/>
      <c r="F51" s="30" t="n"/>
      <c r="G51" s="30" t="n"/>
      <c r="H51" s="30" t="n"/>
      <c r="I51" s="30" t="n"/>
      <c r="J51" s="30" t="n"/>
      <c r="K51" s="30" t="n"/>
      <c r="L51" s="30" t="n"/>
      <c r="M51" s="30" t="n"/>
      <c r="N51" s="30" t="n"/>
      <c r="O51" s="30" t="n"/>
      <c r="P51" s="30" t="n"/>
      <c r="Q51" s="31" t="n"/>
      <c r="R51" s="31" t="n"/>
    </row>
    <row r="52">
      <c r="A52" s="19">
        <f>Tickers!$A$52</f>
        <v/>
      </c>
      <c r="B52" s="19">
        <f>'SW Rev'!$B52</f>
        <v/>
      </c>
      <c r="C52" s="30" cm="1">
        <f t="array" aca="1" ref="C52" ca="1">_xll.BQL($A52, "#itm().value as #v", "#itm=cf_free_cash_flow(fpt=q,fpo=range(-13,2),ae=ae,currency='USD')/1m","showids=f","transpose=t","showheaders=f")</f>
        <v/>
      </c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30" t="n"/>
      <c r="P52" s="30" t="n"/>
      <c r="Q52" s="31" t="n"/>
      <c r="R52" s="31" t="n"/>
    </row>
    <row r="53">
      <c r="A53" s="19">
        <f>Tickers!$A$53</f>
        <v/>
      </c>
      <c r="B53" s="19">
        <f>'SW Rev'!$B53</f>
        <v/>
      </c>
      <c r="C53" s="30" cm="1">
        <f t="array" aca="1" ref="C53" ca="1">_xll.BQL($A53, "#itm().value as #v", "#itm=cf_free_cash_flow(fpt=q,fpo=range(-13,2),ae=ae,currency='USD')/1m","showids=f","transpose=t","showheaders=f")</f>
        <v/>
      </c>
      <c r="D53" s="30" t="n"/>
      <c r="E53" s="30" t="n"/>
      <c r="F53" s="30" t="n"/>
      <c r="G53" s="30" t="n"/>
      <c r="H53" s="30" t="n"/>
      <c r="I53" s="30" t="n"/>
      <c r="J53" s="30" t="n"/>
      <c r="K53" s="30" t="n"/>
      <c r="L53" s="30" t="n"/>
      <c r="M53" s="30" t="n"/>
      <c r="N53" s="30" t="n"/>
      <c r="O53" s="30" t="n"/>
      <c r="P53" s="30" t="n"/>
      <c r="Q53" s="31" t="n"/>
      <c r="R53" s="31" t="n"/>
    </row>
    <row r="54">
      <c r="A54" s="19">
        <f>Tickers!$A$54</f>
        <v/>
      </c>
      <c r="B54" s="19">
        <f>'SW Rev'!$B54</f>
        <v/>
      </c>
      <c r="C54" s="30" cm="1">
        <f t="array" aca="1" ref="C54" ca="1">_xll.BQL($A54, "#itm().value as #v", "#itm=cf_free_cash_flow(fpt=q,fpo=range(-13,2),ae=ae,currency='USD')/1m","showids=f","transpose=t","showheaders=f")</f>
        <v/>
      </c>
      <c r="D54" s="30" t="n"/>
      <c r="E54" s="30" t="n"/>
      <c r="F54" s="30" t="n"/>
      <c r="G54" s="30" t="n"/>
      <c r="H54" s="30" t="n"/>
      <c r="I54" s="30" t="n"/>
      <c r="J54" s="30" t="n"/>
      <c r="K54" s="30" t="n"/>
      <c r="L54" s="30" t="n"/>
      <c r="M54" s="30" t="n"/>
      <c r="N54" s="30" t="n"/>
      <c r="O54" s="30" t="n"/>
      <c r="P54" s="30" t="n"/>
      <c r="Q54" s="31" t="n"/>
      <c r="R54" s="31" t="n"/>
    </row>
    <row r="55">
      <c r="A55" s="19">
        <f>Tickers!$A$55</f>
        <v/>
      </c>
      <c r="B55" s="19">
        <f>'SW Rev'!$B55</f>
        <v/>
      </c>
      <c r="C55" s="30" cm="1">
        <f t="array" aca="1" ref="C55" ca="1">_xll.BQL($A55, "#itm().value as #v", "#itm=cf_free_cash_flow(fpt=q,fpo=range(-13,2),ae=ae,currency='USD')/1m","showids=f","transpose=t","showheaders=f")</f>
        <v/>
      </c>
      <c r="D55" s="30" t="n"/>
      <c r="E55" s="30" t="n"/>
      <c r="F55" s="30" t="n"/>
      <c r="G55" s="30" t="n"/>
      <c r="H55" s="30" t="n"/>
      <c r="I55" s="30" t="n"/>
      <c r="J55" s="30" t="n"/>
      <c r="K55" s="30" t="n"/>
      <c r="L55" s="30" t="n"/>
      <c r="M55" s="30" t="n"/>
      <c r="N55" s="30" t="n"/>
      <c r="O55" s="30" t="n"/>
      <c r="P55" s="30" t="n"/>
      <c r="Q55" s="31" t="n"/>
      <c r="R55" s="31" t="n"/>
    </row>
    <row r="56">
      <c r="A56" s="19">
        <f>Tickers!$A$56</f>
        <v/>
      </c>
      <c r="B56" s="19">
        <f>'SW Rev'!$B56</f>
        <v/>
      </c>
      <c r="C56" s="30" cm="1">
        <f t="array" aca="1" ref="C56" ca="1">_xll.BQL($A56, "#itm().value as #v", "#itm=cf_free_cash_flow(fpt=q,fpo=range(-13,2),ae=ae,currency='USD')/1m","showids=f","transpose=t","showheaders=f")</f>
        <v/>
      </c>
      <c r="D56" s="30" t="n"/>
      <c r="E56" s="30" t="n"/>
      <c r="F56" s="30" t="n"/>
      <c r="G56" s="30" t="n"/>
      <c r="H56" s="30" t="n"/>
      <c r="I56" s="30" t="n"/>
      <c r="J56" s="30" t="n"/>
      <c r="K56" s="30" t="n"/>
      <c r="L56" s="30" t="n"/>
      <c r="M56" s="30" t="n"/>
      <c r="N56" s="30" t="n"/>
      <c r="O56" s="30" t="n"/>
      <c r="P56" s="30" t="n"/>
      <c r="Q56" s="31" t="n"/>
      <c r="R56" s="31" t="n"/>
    </row>
    <row r="57">
      <c r="A57" s="19">
        <f>Tickers!$A$57</f>
        <v/>
      </c>
      <c r="B57" s="19">
        <f>'SW Rev'!$B57</f>
        <v/>
      </c>
      <c r="C57" s="30" cm="1">
        <f t="array" aca="1" ref="C57" ca="1">_xll.BQL($A57, "#itm().value as #v", "#itm=cf_free_cash_flow(fpt=q,fpo=range(-13,2),ae=ae,currency='USD')/1m","showids=f","transpose=t","showheaders=f")</f>
        <v/>
      </c>
      <c r="D57" s="30" t="n"/>
      <c r="E57" s="30" t="n"/>
      <c r="F57" s="30" t="n"/>
      <c r="G57" s="30" t="n"/>
      <c r="H57" s="30" t="n"/>
      <c r="I57" s="30" t="n"/>
      <c r="J57" s="30" t="n"/>
      <c r="K57" s="30" t="n"/>
      <c r="L57" s="30" t="n"/>
      <c r="M57" s="30" t="n"/>
      <c r="N57" s="30" t="n"/>
      <c r="O57" s="30" t="n"/>
      <c r="P57" s="30" t="n"/>
      <c r="Q57" s="31" t="n"/>
      <c r="R57" s="31" t="n"/>
    </row>
    <row r="58">
      <c r="A58" s="19">
        <f>Tickers!$A$58</f>
        <v/>
      </c>
      <c r="B58" s="19">
        <f>'SW Rev'!$B58</f>
        <v/>
      </c>
      <c r="C58" s="30" cm="1">
        <f t="array" aca="1" ref="C58" ca="1">_xll.BQL($A58, "#itm().value as #v", "#itm=cf_free_cash_flow(fpt=q,fpo=range(-13,2),ae=ae,currency='USD')/1m","showids=f","transpose=t","showheaders=f")</f>
        <v/>
      </c>
      <c r="D58" s="30" t="n"/>
      <c r="E58" s="30" t="n"/>
      <c r="F58" s="30" t="n"/>
      <c r="G58" s="30" t="n"/>
      <c r="H58" s="30" t="n"/>
      <c r="I58" s="30" t="n"/>
      <c r="J58" s="30" t="n"/>
      <c r="K58" s="30" t="n"/>
      <c r="L58" s="30" t="n"/>
      <c r="M58" s="30" t="n"/>
      <c r="N58" s="30" t="n"/>
      <c r="O58" s="30" t="n"/>
      <c r="P58" s="30" t="n"/>
      <c r="Q58" s="31" t="n"/>
      <c r="R58" s="31" t="n"/>
    </row>
    <row r="59">
      <c r="A59" s="19">
        <f>Tickers!$A$59</f>
        <v/>
      </c>
      <c r="B59" s="19">
        <f>'SW Rev'!$B59</f>
        <v/>
      </c>
      <c r="C59" s="30" cm="1">
        <f t="array" aca="1" ref="C59" ca="1">_xll.BQL($A59, "#itm().value as #v", "#itm=cf_free_cash_flow(fpt=q,fpo=range(-13,2),ae=ae,currency='USD')/1m","showids=f","transpose=t","showheaders=f")</f>
        <v/>
      </c>
      <c r="D59" s="30" t="n"/>
      <c r="E59" s="30" t="n"/>
      <c r="F59" s="30" t="n"/>
      <c r="G59" s="30" t="n"/>
      <c r="H59" s="30" t="n"/>
      <c r="I59" s="30" t="n"/>
      <c r="J59" s="30" t="n"/>
      <c r="K59" s="30" t="n"/>
      <c r="L59" s="30" t="n"/>
      <c r="M59" s="30" t="n"/>
      <c r="N59" s="30" t="n"/>
      <c r="O59" s="30" t="n"/>
      <c r="P59" s="30" t="n"/>
      <c r="Q59" s="31" t="n"/>
      <c r="R59" s="31" t="n"/>
    </row>
    <row r="60">
      <c r="A60" s="19">
        <f>Tickers!$A$60</f>
        <v/>
      </c>
      <c r="B60" s="19">
        <f>'SW Rev'!$B60</f>
        <v/>
      </c>
      <c r="C60" s="30" cm="1">
        <f t="array" aca="1" ref="C60" ca="1">_xll.BQL($A60, "#itm().value as #v", "#itm=cf_free_cash_flow(fpt=q,fpo=range(-13,2),ae=ae,currency='USD')/1m","showids=f","transpose=t","showheaders=f")</f>
        <v/>
      </c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1" t="n"/>
      <c r="R60" s="31" t="n"/>
    </row>
    <row r="61">
      <c r="A61" s="19">
        <f>Tickers!$A$61</f>
        <v/>
      </c>
      <c r="B61" s="19">
        <f>'SW Rev'!$B61</f>
        <v/>
      </c>
      <c r="C61" s="30" cm="1">
        <f t="array" aca="1" ref="C61" ca="1">_xll.BQL($A61, "#itm().value as #v", "#itm=cf_free_cash_flow(fpt=q,fpo=range(-13,2),ae=ae,currency='USD')/1m","showids=f","transpose=t","showheaders=f")</f>
        <v/>
      </c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  <c r="M61" s="30" t="n"/>
      <c r="N61" s="30" t="n"/>
      <c r="O61" s="30" t="n"/>
      <c r="P61" s="30" t="n"/>
      <c r="Q61" s="31" t="n"/>
      <c r="R61" s="31" t="n"/>
    </row>
    <row r="62">
      <c r="A62" s="19">
        <f>Tickers!$A$62</f>
        <v/>
      </c>
      <c r="B62" s="19">
        <f>'SW Rev'!$B62</f>
        <v/>
      </c>
      <c r="C62" s="30" cm="1">
        <f t="array" aca="1" ref="C62" ca="1">_xll.BQL($A62, "#itm().value as #v", "#itm=cf_free_cash_flow(fpt=q,fpo=range(-13,2),ae=ae,currency='USD')/1m","showids=f","transpose=t","showheaders=f")</f>
        <v/>
      </c>
      <c r="D62" s="30" t="n"/>
      <c r="E62" s="30" t="n"/>
      <c r="F62" s="30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30" t="n"/>
      <c r="P62" s="30" t="n"/>
      <c r="Q62" s="31" t="n"/>
      <c r="R62" s="31" t="n"/>
    </row>
    <row r="63">
      <c r="A63" s="19">
        <f>Tickers!$A$63</f>
        <v/>
      </c>
      <c r="B63" s="19">
        <f>'SW Rev'!$B63</f>
        <v/>
      </c>
      <c r="C63" s="30" cm="1">
        <f t="array" aca="1" ref="C63" ca="1">_xll.BQL($A63, "#itm().value as #v", "#itm=cf_free_cash_flow(fpt=q,fpo=range(-13,2),ae=ae,currency='USD')/1m","showids=f","transpose=t","showheaders=f")</f>
        <v/>
      </c>
      <c r="D63" s="30" t="n"/>
      <c r="E63" s="30" t="n"/>
      <c r="F63" s="30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30" t="n"/>
      <c r="P63" s="30" t="n"/>
      <c r="Q63" s="31" t="n"/>
      <c r="R63" s="31" t="n"/>
    </row>
    <row r="64">
      <c r="A64" s="19">
        <f>Tickers!$A$64</f>
        <v/>
      </c>
      <c r="B64" s="19">
        <f>'SW Rev'!$B64</f>
        <v/>
      </c>
      <c r="C64" s="30" cm="1">
        <f t="array" aca="1" ref="C64" ca="1">_xll.BQL($A64, "#itm().value as #v", "#itm=cf_free_cash_flow(fpt=q,fpo=range(-13,2),ae=ae,currency='USD')/1m","showids=f","transpose=t","showheaders=f")</f>
        <v/>
      </c>
      <c r="D64" s="30" t="n"/>
      <c r="E64" s="30" t="n"/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30" t="n"/>
      <c r="Q64" s="31" t="n"/>
      <c r="R64" s="31" t="n"/>
    </row>
    <row r="65">
      <c r="A65" s="19">
        <f>Tickers!$A$65</f>
        <v/>
      </c>
      <c r="B65" s="19">
        <f>'SW Rev'!$B65</f>
        <v/>
      </c>
      <c r="C65" s="30" cm="1">
        <f t="array" aca="1" ref="C65" ca="1">_xll.BQL($A65, "#itm().value as #v", "#itm=cf_free_cash_flow(fpt=q,fpo=range(-13,2),ae=ae,currency='USD')/1m","showids=f","transpose=t","showheaders=f")</f>
        <v/>
      </c>
      <c r="D65" s="30" t="n"/>
      <c r="E65" s="30" t="n"/>
      <c r="F65" s="30" t="n"/>
      <c r="G65" s="30" t="n"/>
      <c r="H65" s="30" t="n"/>
      <c r="I65" s="30" t="n"/>
      <c r="J65" s="30" t="n"/>
      <c r="K65" s="30" t="n"/>
      <c r="L65" s="30" t="n"/>
      <c r="M65" s="30" t="n"/>
      <c r="N65" s="30" t="n"/>
      <c r="O65" s="30" t="n"/>
      <c r="P65" s="30" t="n"/>
      <c r="Q65" s="31" t="n"/>
      <c r="R65" s="31" t="n"/>
    </row>
    <row r="66">
      <c r="A66" s="19">
        <f>Tickers!$A$66</f>
        <v/>
      </c>
      <c r="B66" s="19">
        <f>'SW Rev'!$B66</f>
        <v/>
      </c>
      <c r="C66" s="30" cm="1">
        <f t="array" aca="1" ref="C66" ca="1">_xll.BQL($A66, "#itm().value as #v", "#itm=cf_free_cash_flow(fpt=q,fpo=range(-13,2),ae=ae,currency='USD')/1m","showids=f","transpose=t","showheaders=f")</f>
        <v/>
      </c>
      <c r="D66" s="30" t="n"/>
      <c r="E66" s="30" t="n"/>
      <c r="F66" s="30" t="n"/>
      <c r="G66" s="30" t="n"/>
      <c r="H66" s="30" t="n"/>
      <c r="I66" s="30" t="n"/>
      <c r="J66" s="30" t="n"/>
      <c r="K66" s="30" t="n"/>
      <c r="L66" s="30" t="n"/>
      <c r="M66" s="30" t="n"/>
      <c r="N66" s="30" t="n"/>
      <c r="O66" s="30" t="n"/>
      <c r="P66" s="30" t="n"/>
      <c r="Q66" s="31" t="n"/>
      <c r="R66" s="31" t="n"/>
    </row>
    <row r="67">
      <c r="A67" s="19">
        <f>Tickers!$A$67</f>
        <v/>
      </c>
      <c r="B67" s="19">
        <f>'SW Rev'!$B67</f>
        <v/>
      </c>
      <c r="C67" s="30" cm="1">
        <f t="array" aca="1" ref="C67" ca="1">_xll.BQL($A67, "#itm().value as #v", "#itm=cf_free_cash_flow(fpt=q,fpo=range(-13,2),ae=ae,currency='USD')/1m","showids=f","transpose=t","showheaders=f")</f>
        <v/>
      </c>
      <c r="D67" s="30" t="n"/>
      <c r="E67" s="30" t="n"/>
      <c r="F67" s="30" t="n"/>
      <c r="G67" s="30" t="n"/>
      <c r="H67" s="30" t="n"/>
      <c r="I67" s="30" t="n"/>
      <c r="J67" s="30" t="n"/>
      <c r="K67" s="30" t="n"/>
      <c r="L67" s="30" t="n"/>
      <c r="M67" s="30" t="n"/>
      <c r="N67" s="30" t="n"/>
      <c r="O67" s="30" t="n"/>
      <c r="P67" s="30" t="n"/>
      <c r="Q67" s="31" t="n"/>
      <c r="R67" s="31" t="n"/>
    </row>
    <row r="68">
      <c r="A68" s="19">
        <f>Tickers!$A$68</f>
        <v/>
      </c>
      <c r="B68" s="19">
        <f>'SW Rev'!$B68</f>
        <v/>
      </c>
      <c r="C68" s="30" cm="1">
        <f t="array" aca="1" ref="C68" ca="1">_xll.BQL($A68, "#itm().value as #v", "#itm=cf_free_cash_flow(fpt=q,fpo=range(-13,2),ae=ae,currency='USD')/1m","showids=f","transpose=t","showheaders=f")</f>
        <v/>
      </c>
      <c r="D68" s="30" t="n"/>
      <c r="E68" s="30" t="n"/>
      <c r="F68" s="30" t="n"/>
      <c r="G68" s="30" t="n"/>
      <c r="H68" s="30" t="n"/>
      <c r="I68" s="30" t="n"/>
      <c r="J68" s="30" t="n"/>
      <c r="K68" s="30" t="n"/>
      <c r="L68" s="30" t="n"/>
      <c r="M68" s="30" t="n"/>
      <c r="N68" s="30" t="n"/>
      <c r="O68" s="30" t="n"/>
      <c r="P68" s="30" t="n"/>
      <c r="Q68" s="31" t="n"/>
      <c r="R68" s="31" t="n"/>
    </row>
    <row r="69">
      <c r="A69" s="19">
        <f>Tickers!$A$69</f>
        <v/>
      </c>
      <c r="B69" s="19">
        <f>'SW Rev'!$B69</f>
        <v/>
      </c>
      <c r="C69" s="30" cm="1">
        <f t="array" aca="1" ref="C69" ca="1">_xll.BQL($A69, "#itm().value as #v", "#itm=cf_free_cash_flow(fpt=q,fpo=range(-13,2),ae=ae,currency='USD')/1m","showids=f","transpose=t","showheaders=f")</f>
        <v/>
      </c>
      <c r="D69" s="30" t="n"/>
      <c r="E69" s="30" t="n"/>
      <c r="F69" s="30" t="n"/>
      <c r="G69" s="30" t="n"/>
      <c r="H69" s="30" t="n"/>
      <c r="I69" s="30" t="n"/>
      <c r="J69" s="30" t="n"/>
      <c r="K69" s="30" t="n"/>
      <c r="L69" s="30" t="n"/>
      <c r="M69" s="30" t="n"/>
      <c r="N69" s="30" t="n"/>
      <c r="O69" s="30" t="n"/>
      <c r="P69" s="30" t="n"/>
      <c r="Q69" s="31" t="n"/>
      <c r="R69" s="31" t="n"/>
    </row>
    <row r="70">
      <c r="A70" s="19">
        <f>Tickers!$A$70</f>
        <v/>
      </c>
      <c r="B70" s="19">
        <f>'SW Rev'!$B70</f>
        <v/>
      </c>
      <c r="C70" s="30" cm="1">
        <f t="array" aca="1" ref="C70" ca="1">_xll.BQL($A70, "#itm().value as #v", "#itm=cf_free_cash_flow(fpt=q,fpo=range(-13,2),ae=ae,currency='USD')/1m","showids=f","transpose=t","showheaders=f")</f>
        <v/>
      </c>
      <c r="D70" s="30" t="n"/>
      <c r="E70" s="30" t="n"/>
      <c r="F70" s="30" t="n"/>
      <c r="G70" s="30" t="n"/>
      <c r="H70" s="30" t="n"/>
      <c r="I70" s="30" t="n"/>
      <c r="J70" s="30" t="n"/>
      <c r="K70" s="30" t="n"/>
      <c r="L70" s="30" t="n"/>
      <c r="M70" s="30" t="n"/>
      <c r="N70" s="30" t="n"/>
      <c r="O70" s="30" t="n"/>
      <c r="P70" s="30" t="n"/>
      <c r="Q70" s="31" t="n"/>
      <c r="R70" s="31" t="n"/>
    </row>
    <row r="71">
      <c r="A71" s="19">
        <f>Tickers!$A$71</f>
        <v/>
      </c>
      <c r="B71" s="19">
        <f>'SW Rev'!$B71</f>
        <v/>
      </c>
      <c r="C71" s="30" cm="1">
        <f t="array" aca="1" ref="C71" ca="1">_xll.BQL($A71, "#itm().value as #v", "#itm=cf_free_cash_flow(fpt=q,fpo=range(-13,2),ae=ae,currency='USD')/1m","showids=f","transpose=t","showheaders=f")</f>
        <v/>
      </c>
      <c r="D71" s="30" t="n"/>
      <c r="E71" s="30" t="n"/>
      <c r="F71" s="30" t="n"/>
      <c r="G71" s="30" t="n"/>
      <c r="H71" s="30" t="n"/>
      <c r="I71" s="30" t="n"/>
      <c r="J71" s="30" t="n"/>
      <c r="K71" s="30" t="n"/>
      <c r="L71" s="30" t="n"/>
      <c r="M71" s="30" t="n"/>
      <c r="N71" s="30" t="n"/>
      <c r="O71" s="30" t="n"/>
      <c r="P71" s="30" t="n"/>
      <c r="Q71" s="31" t="n"/>
      <c r="R71" s="31" t="n"/>
    </row>
    <row r="72">
      <c r="A72" s="19">
        <f>Tickers!$A$72</f>
        <v/>
      </c>
      <c r="B72" s="19">
        <f>'SW Rev'!$B72</f>
        <v/>
      </c>
      <c r="C72" s="30" cm="1">
        <f t="array" aca="1" ref="C72" ca="1">_xll.BQL($A72, "#itm().value as #v", "#itm=cf_free_cash_flow(fpt=q,fpo=range(-13,2),ae=ae,currency='USD')/1m","showids=f","transpose=t","showheaders=f")</f>
        <v/>
      </c>
      <c r="D72" s="30" t="n"/>
      <c r="E72" s="30" t="n"/>
      <c r="F72" s="30" t="n"/>
      <c r="G72" s="30" t="n"/>
      <c r="H72" s="30" t="n"/>
      <c r="I72" s="30" t="n"/>
      <c r="J72" s="30" t="n"/>
      <c r="K72" s="30" t="n"/>
      <c r="L72" s="30" t="n"/>
      <c r="M72" s="30" t="n"/>
      <c r="N72" s="30" t="n"/>
      <c r="O72" s="30" t="n"/>
      <c r="P72" s="30" t="n"/>
      <c r="Q72" s="31" t="n"/>
      <c r="R72" s="31" t="n"/>
    </row>
    <row r="73">
      <c r="A73" s="19">
        <f>Tickers!$A$73</f>
        <v/>
      </c>
      <c r="B73" s="19">
        <f>'SW Rev'!$B73</f>
        <v/>
      </c>
      <c r="C73" s="30" cm="1">
        <f t="array" aca="1" ref="C73" ca="1">_xll.BQL($A73, "#itm().value as #v", "#itm=cf_free_cash_flow(fpt=q,fpo=range(-13,2),ae=ae,currency='USD')/1m","showids=f","transpose=t","showheaders=f")</f>
        <v/>
      </c>
      <c r="D73" s="30" t="n"/>
      <c r="E73" s="30" t="n"/>
      <c r="F73" s="30" t="n"/>
      <c r="G73" s="30" t="n"/>
      <c r="H73" s="30" t="n"/>
      <c r="I73" s="30" t="n"/>
      <c r="J73" s="30" t="n"/>
      <c r="K73" s="30" t="n"/>
      <c r="L73" s="30" t="n"/>
      <c r="M73" s="30" t="n"/>
      <c r="N73" s="30" t="n"/>
      <c r="O73" s="30" t="n"/>
      <c r="P73" s="30" t="n"/>
      <c r="Q73" s="31" t="n"/>
      <c r="R73" s="31" t="n"/>
    </row>
    <row r="74">
      <c r="A74" s="19">
        <f>Tickers!$A$74</f>
        <v/>
      </c>
      <c r="B74" s="19">
        <f>'SW Rev'!$B74</f>
        <v/>
      </c>
      <c r="C74" s="30" cm="1">
        <f t="array" aca="1" ref="C74" ca="1">_xll.BQL($A74, "#itm().value as #v", "#itm=cf_free_cash_flow(fpt=q,fpo=range(-13,2),ae=ae,currency='USD')/1m","showids=f","transpose=t","showheaders=f")</f>
        <v/>
      </c>
      <c r="D74" s="30" t="n"/>
      <c r="E74" s="30" t="n"/>
      <c r="F74" s="30" t="n"/>
      <c r="G74" s="30" t="n"/>
      <c r="H74" s="30" t="n"/>
      <c r="I74" s="30" t="n"/>
      <c r="J74" s="30" t="n"/>
      <c r="K74" s="30" t="n"/>
      <c r="L74" s="30" t="n"/>
      <c r="M74" s="30" t="n"/>
      <c r="N74" s="30" t="n"/>
      <c r="O74" s="30" t="n"/>
      <c r="P74" s="30" t="n"/>
      <c r="Q74" s="31" t="n"/>
      <c r="R74" s="31" t="n"/>
    </row>
    <row r="75">
      <c r="A75" s="19">
        <f>Tickers!$A$75</f>
        <v/>
      </c>
      <c r="B75" s="19">
        <f>'SW Rev'!$B75</f>
        <v/>
      </c>
      <c r="C75" s="30" cm="1">
        <f t="array" aca="1" ref="C75" ca="1">_xll.BQL($A75, "#itm().value as #v", "#itm=cf_free_cash_flow(fpt=q,fpo=range(-13,2),ae=ae,currency='USD')/1m","showids=f","transpose=t","showheaders=f")</f>
        <v/>
      </c>
      <c r="D75" s="30" t="n"/>
      <c r="E75" s="30" t="n"/>
      <c r="F75" s="30" t="n"/>
      <c r="G75" s="30" t="n"/>
      <c r="H75" s="30" t="n"/>
      <c r="I75" s="30" t="n"/>
      <c r="J75" s="30" t="n"/>
      <c r="K75" s="30" t="n"/>
      <c r="L75" s="30" t="n"/>
      <c r="M75" s="30" t="n"/>
      <c r="N75" s="30" t="n"/>
      <c r="O75" s="30" t="n"/>
      <c r="P75" s="30" t="n"/>
      <c r="Q75" s="31" t="n"/>
      <c r="R75" s="31" t="n"/>
    </row>
    <row r="76">
      <c r="A76" s="19">
        <f>Tickers!$A$76</f>
        <v/>
      </c>
      <c r="B76" s="19">
        <f>'SW Rev'!$B76</f>
        <v/>
      </c>
      <c r="C76" s="30" cm="1">
        <f t="array" aca="1" ref="C76" ca="1">_xll.BQL($A76, "#itm().value as #v", "#itm=cf_free_cash_flow(fpt=q,fpo=range(-13,2),ae=ae,currency='USD')/1m","showids=f","transpose=t","showheaders=f")</f>
        <v/>
      </c>
      <c r="D76" s="30" t="n"/>
      <c r="E76" s="30" t="n"/>
      <c r="F76" s="30" t="n"/>
      <c r="G76" s="30" t="n"/>
      <c r="H76" s="30" t="n"/>
      <c r="I76" s="30" t="n"/>
      <c r="J76" s="30" t="n"/>
      <c r="K76" s="30" t="n"/>
      <c r="L76" s="30" t="n"/>
      <c r="M76" s="30" t="n"/>
      <c r="N76" s="30" t="n"/>
      <c r="O76" s="30" t="n"/>
      <c r="P76" s="30" t="n"/>
      <c r="Q76" s="31" t="n"/>
      <c r="R76" s="31" t="n"/>
    </row>
    <row r="77">
      <c r="A77" s="19">
        <f>Tickers!$A$77</f>
        <v/>
      </c>
      <c r="B77" s="19">
        <f>'SW Rev'!$B77</f>
        <v/>
      </c>
      <c r="C77" s="30" cm="1">
        <f t="array" aca="1" ref="C77" ca="1">_xll.BQL($A77, "#itm().value as #v", "#itm=cf_free_cash_flow(fpt=q,fpo=range(-13,2),ae=ae,currency='USD')/1m","showids=f","transpose=t","showheaders=f")</f>
        <v/>
      </c>
      <c r="D77" s="30" t="n"/>
      <c r="E77" s="30" t="n"/>
      <c r="F77" s="30" t="n"/>
      <c r="G77" s="30" t="n"/>
      <c r="H77" s="30" t="n"/>
      <c r="I77" s="30" t="n"/>
      <c r="J77" s="30" t="n"/>
      <c r="K77" s="30" t="n"/>
      <c r="L77" s="30" t="n"/>
      <c r="M77" s="30" t="n"/>
      <c r="N77" s="30" t="n"/>
      <c r="O77" s="30" t="n"/>
      <c r="P77" s="30" t="n"/>
      <c r="Q77" s="31" t="n"/>
      <c r="R77" s="31" t="n"/>
    </row>
    <row r="78">
      <c r="A78" s="19">
        <f>Tickers!$A$78</f>
        <v/>
      </c>
      <c r="B78" s="19">
        <f>'SW Rev'!$B78</f>
        <v/>
      </c>
      <c r="C78" s="30" cm="1">
        <f t="array" aca="1" ref="C78" ca="1">_xll.BQL($A78, "#itm().value as #v", "#itm=cf_free_cash_flow(fpt=q,fpo=range(-13,2),ae=ae,currency='USD')/1m","showids=f","transpose=t","showheaders=f")</f>
        <v/>
      </c>
      <c r="D78" s="30" t="n"/>
      <c r="E78" s="30" t="n"/>
      <c r="F78" s="30" t="n"/>
      <c r="G78" s="30" t="n"/>
      <c r="H78" s="30" t="n"/>
      <c r="I78" s="30" t="n"/>
      <c r="J78" s="30" t="n"/>
      <c r="K78" s="30" t="n"/>
      <c r="L78" s="30" t="n"/>
      <c r="M78" s="30" t="n"/>
      <c r="N78" s="30" t="n"/>
      <c r="O78" s="30" t="n"/>
      <c r="P78" s="30" t="n"/>
      <c r="Q78" s="31" t="n"/>
      <c r="R78" s="31" t="n"/>
    </row>
    <row r="79">
      <c r="A79" s="19">
        <f>Tickers!$A$79</f>
        <v/>
      </c>
      <c r="B79" s="19">
        <f>'SW Rev'!$B79</f>
        <v/>
      </c>
      <c r="C79" s="30" cm="1">
        <f t="array" aca="1" ref="C79" ca="1">_xll.BQL($A79, "#itm().value as #v", "#itm=cf_free_cash_flow(fpt=q,fpo=range(-13,2),ae=ae,currency='USD')/1m","showids=f","transpose=t","showheaders=f")</f>
        <v/>
      </c>
      <c r="D79" s="30" t="n"/>
      <c r="E79" s="30" t="n"/>
      <c r="F79" s="30" t="n"/>
      <c r="G79" s="30" t="n"/>
      <c r="H79" s="30" t="n"/>
      <c r="I79" s="30" t="n"/>
      <c r="J79" s="30" t="n"/>
      <c r="K79" s="30" t="n"/>
      <c r="L79" s="30" t="n"/>
      <c r="M79" s="30" t="n"/>
      <c r="N79" s="30" t="n"/>
      <c r="O79" s="30" t="n"/>
      <c r="P79" s="30" t="n"/>
      <c r="Q79" s="31" t="n"/>
      <c r="R79" s="31" t="n"/>
    </row>
    <row r="80">
      <c r="A80" s="19">
        <f>Tickers!$A$80</f>
        <v/>
      </c>
      <c r="B80" s="19">
        <f>'SW Rev'!$B80</f>
        <v/>
      </c>
      <c r="C80" s="30" cm="1">
        <f t="array" aca="1" ref="C80" ca="1">_xll.BQL($A80, "#itm().value as #v", "#itm=cf_free_cash_flow(fpt=q,fpo=range(-13,2),ae=ae,currency='USD')/1m","showids=f","transpose=t","showheaders=f")</f>
        <v/>
      </c>
      <c r="D80" s="30" t="n"/>
      <c r="E80" s="30" t="n"/>
      <c r="F80" s="30" t="n"/>
      <c r="G80" s="30" t="n"/>
      <c r="H80" s="30" t="n"/>
      <c r="I80" s="30" t="n"/>
      <c r="J80" s="30" t="n"/>
      <c r="K80" s="30" t="n"/>
      <c r="L80" s="30" t="n"/>
      <c r="M80" s="30" t="n"/>
      <c r="N80" s="30" t="n"/>
      <c r="O80" s="30" t="n"/>
      <c r="P80" s="30" t="n"/>
      <c r="Q80" s="31" t="n"/>
      <c r="R80" s="31" t="n"/>
    </row>
    <row r="81">
      <c r="A81" s="19">
        <f>Tickers!$A$81</f>
        <v/>
      </c>
      <c r="B81" s="19">
        <f>'SW Rev'!$B81</f>
        <v/>
      </c>
      <c r="C81" s="30" cm="1">
        <f t="array" aca="1" ref="C81" ca="1">_xll.BQL($A81, "#itm().value as #v", "#itm=cf_free_cash_flow(fpt=q,fpo=range(-13,2),ae=ae,currency='USD')/1m","showids=f","transpose=t","showheaders=f")</f>
        <v/>
      </c>
      <c r="D81" s="30" t="n"/>
      <c r="E81" s="30" t="n"/>
      <c r="F81" s="30" t="n"/>
      <c r="G81" s="30" t="n"/>
      <c r="H81" s="30" t="n"/>
      <c r="I81" s="30" t="n"/>
      <c r="J81" s="30" t="n"/>
      <c r="K81" s="30" t="n"/>
      <c r="L81" s="30" t="n"/>
      <c r="M81" s="30" t="n"/>
      <c r="N81" s="30" t="n"/>
      <c r="O81" s="30" t="n"/>
      <c r="P81" s="30" t="n"/>
      <c r="Q81" s="31" t="n"/>
      <c r="R81" s="31" t="n"/>
    </row>
    <row r="82">
      <c r="A82" s="19">
        <f>Tickers!$A$82</f>
        <v/>
      </c>
      <c r="B82" s="19">
        <f>'SW Rev'!$B82</f>
        <v/>
      </c>
      <c r="C82" s="30" cm="1">
        <f t="array" aca="1" ref="C82" ca="1">_xll.BQL($A82, "#itm().value as #v", "#itm=cf_free_cash_flow(fpt=q,fpo=range(-13,2),ae=ae,currency='USD')/1m","showids=f","transpose=t","showheaders=f")</f>
        <v/>
      </c>
      <c r="D82" s="30" t="n"/>
      <c r="E82" s="30" t="n"/>
      <c r="F82" s="30" t="n"/>
      <c r="G82" s="30" t="n"/>
      <c r="H82" s="30" t="n"/>
      <c r="I82" s="30" t="n"/>
      <c r="J82" s="30" t="n"/>
      <c r="K82" s="30" t="n"/>
      <c r="L82" s="30" t="n"/>
      <c r="M82" s="30" t="n"/>
      <c r="N82" s="30" t="n"/>
      <c r="O82" s="30" t="n"/>
      <c r="P82" s="30" t="n"/>
      <c r="Q82" s="31" t="n"/>
      <c r="R82" s="31" t="n"/>
    </row>
    <row r="83">
      <c r="A83" s="19">
        <f>Tickers!$A$83</f>
        <v/>
      </c>
      <c r="B83" s="19">
        <f>'SW Rev'!$B83</f>
        <v/>
      </c>
      <c r="C83" s="30" cm="1">
        <f t="array" aca="1" ref="C83" ca="1">_xll.BQL($A83, "#itm().value as #v", "#itm=cf_free_cash_flow(fpt=q,fpo=range(-13,2),ae=ae,currency='USD')/1m","showids=f","transpose=t","showheaders=f")</f>
        <v/>
      </c>
      <c r="D83" s="30" t="n"/>
      <c r="E83" s="30" t="n"/>
      <c r="F83" s="30" t="n"/>
      <c r="G83" s="30" t="n"/>
      <c r="H83" s="30" t="n"/>
      <c r="I83" s="30" t="n"/>
      <c r="J83" s="30" t="n"/>
      <c r="K83" s="30" t="n"/>
      <c r="L83" s="30" t="n"/>
      <c r="M83" s="30" t="n"/>
      <c r="N83" s="30" t="n"/>
      <c r="O83" s="30" t="n"/>
      <c r="P83" s="30" t="n"/>
      <c r="Q83" s="31" t="n"/>
      <c r="R83" s="31" t="n"/>
    </row>
    <row r="84">
      <c r="A84" s="19">
        <f>Tickers!$A$84</f>
        <v/>
      </c>
      <c r="B84" s="19">
        <f>'SW Rev'!$B84</f>
        <v/>
      </c>
      <c r="C84" s="30" cm="1">
        <f t="array" aca="1" ref="C84" ca="1">_xll.BQL($A84, "#itm().value as #v", "#itm=cf_free_cash_flow(fpt=q,fpo=range(-13,2),ae=ae,currency='USD')/1m","showids=f","transpose=t","showheaders=f")</f>
        <v/>
      </c>
      <c r="D84" s="30" t="n"/>
      <c r="E84" s="30" t="n"/>
      <c r="F84" s="30" t="n"/>
      <c r="G84" s="30" t="n"/>
      <c r="H84" s="30" t="n"/>
      <c r="I84" s="30" t="n"/>
      <c r="J84" s="30" t="n"/>
      <c r="K84" s="30" t="n"/>
      <c r="L84" s="30" t="n"/>
      <c r="M84" s="30" t="n"/>
      <c r="N84" s="30" t="n"/>
      <c r="O84" s="30" t="n"/>
      <c r="P84" s="30" t="n"/>
      <c r="Q84" s="31" t="n"/>
      <c r="R84" s="31" t="n"/>
    </row>
    <row r="85">
      <c r="A85" s="19">
        <f>Tickers!$A$85</f>
        <v/>
      </c>
      <c r="B85" s="19">
        <f>'SW Rev'!$B85</f>
        <v/>
      </c>
      <c r="C85" s="30" cm="1">
        <f t="array" aca="1" ref="C85" ca="1">_xll.BQL($A85, "#itm().value as #v", "#itm=cf_free_cash_flow(fpt=q,fpo=range(-13,2),ae=ae,currency='USD')/1m","showids=f","transpose=t","showheaders=f")</f>
        <v/>
      </c>
      <c r="D85" s="30" t="n"/>
      <c r="E85" s="30" t="n"/>
      <c r="F85" s="30" t="n"/>
      <c r="G85" s="30" t="n"/>
      <c r="H85" s="30" t="n"/>
      <c r="I85" s="30" t="n"/>
      <c r="J85" s="30" t="n"/>
      <c r="K85" s="30" t="n"/>
      <c r="L85" s="30" t="n"/>
      <c r="M85" s="30" t="n"/>
      <c r="N85" s="30" t="n"/>
      <c r="O85" s="30" t="n"/>
      <c r="P85" s="30" t="n"/>
      <c r="Q85" s="31" t="n"/>
      <c r="R85" s="31" t="n"/>
    </row>
    <row r="86">
      <c r="A86" s="19">
        <f>Tickers!$A$86</f>
        <v/>
      </c>
      <c r="B86" s="19">
        <f>'SW Rev'!$B86</f>
        <v/>
      </c>
      <c r="C86" s="30" cm="1">
        <f t="array" aca="1" ref="C86" ca="1">_xll.BQL($A86, "#itm().value as #v", "#itm=cf_free_cash_flow(fpt=q,fpo=range(-13,2),ae=ae,currency='USD')/1m","showids=f","transpose=t","showheaders=f")</f>
        <v/>
      </c>
      <c r="D86" s="30" t="n"/>
      <c r="E86" s="30" t="n"/>
      <c r="F86" s="30" t="n"/>
      <c r="G86" s="30" t="n"/>
      <c r="H86" s="30" t="n"/>
      <c r="I86" s="30" t="n"/>
      <c r="J86" s="30" t="n"/>
      <c r="K86" s="30" t="n"/>
      <c r="L86" s="30" t="n"/>
      <c r="M86" s="30" t="n"/>
      <c r="N86" s="30" t="n"/>
      <c r="O86" s="30" t="n"/>
      <c r="P86" s="30" t="n"/>
      <c r="Q86" s="31" t="n"/>
      <c r="R86" s="31" t="n"/>
    </row>
    <row r="87">
      <c r="A87" s="19">
        <f>Tickers!$A$87</f>
        <v/>
      </c>
      <c r="B87" s="19">
        <f>'SW Rev'!$B87</f>
        <v/>
      </c>
      <c r="C87" s="30" cm="1">
        <f t="array" aca="1" ref="C87" ca="1">_xll.BQL($A87, "#itm().value as #v", "#itm=cf_free_cash_flow(fpt=q,fpo=range(-13,2),ae=ae,currency='USD')/1m","showids=f","transpose=t","showheaders=f")</f>
        <v/>
      </c>
      <c r="D87" s="30" t="n"/>
      <c r="E87" s="30" t="n"/>
      <c r="F87" s="30" t="n"/>
      <c r="G87" s="30" t="n"/>
      <c r="H87" s="30" t="n"/>
      <c r="I87" s="30" t="n"/>
      <c r="J87" s="30" t="n"/>
      <c r="K87" s="30" t="n"/>
      <c r="L87" s="30" t="n"/>
      <c r="M87" s="30" t="n"/>
      <c r="N87" s="30" t="n"/>
      <c r="O87" s="30" t="n"/>
      <c r="P87" s="30" t="n"/>
      <c r="Q87" s="31" t="n"/>
      <c r="R87" s="31" t="n"/>
    </row>
    <row r="88">
      <c r="A88" s="19">
        <f>Tickers!$A$88</f>
        <v/>
      </c>
      <c r="B88" s="19">
        <f>'SW Rev'!$B88</f>
        <v/>
      </c>
      <c r="C88" s="30" cm="1">
        <f t="array" aca="1" ref="C88" ca="1">_xll.BQL($A88, "#itm().value as #v", "#itm=cf_free_cash_flow(fpt=q,fpo=range(-13,2),ae=ae,currency='USD')/1m","showids=f","transpose=t","showheaders=f")</f>
        <v/>
      </c>
      <c r="D88" s="30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30" t="n"/>
      <c r="P88" s="30" t="n"/>
      <c r="Q88" s="31" t="n"/>
      <c r="R88" s="31" t="n"/>
    </row>
    <row r="89">
      <c r="A89" s="19">
        <f>Tickers!$A$89</f>
        <v/>
      </c>
      <c r="B89" s="19">
        <f>'SW Rev'!$B89</f>
        <v/>
      </c>
      <c r="C89" s="30" cm="1">
        <f t="array" aca="1" ref="C89" ca="1">_xll.BQL($A89, "#itm().value as #v", "#itm=cf_free_cash_flow(fpt=q,fpo=range(-13,2),ae=ae,currency='USD')/1m","showids=f","transpose=t","showheaders=f")</f>
        <v/>
      </c>
      <c r="D89" s="30" t="n"/>
      <c r="E89" s="30" t="n"/>
      <c r="F89" s="30" t="n"/>
      <c r="G89" s="30" t="n"/>
      <c r="H89" s="30" t="n"/>
      <c r="I89" s="30" t="n"/>
      <c r="J89" s="30" t="n"/>
      <c r="K89" s="30" t="n"/>
      <c r="L89" s="30" t="n"/>
      <c r="M89" s="30" t="n"/>
      <c r="N89" s="30" t="n"/>
      <c r="O89" s="30" t="n"/>
      <c r="P89" s="30" t="n"/>
      <c r="Q89" s="31" t="n"/>
      <c r="R89" s="31" t="n"/>
    </row>
    <row r="90">
      <c r="A90" s="19">
        <f>Tickers!$A$90</f>
        <v/>
      </c>
      <c r="B90" s="19">
        <f>'SW Rev'!$B90</f>
        <v/>
      </c>
      <c r="C90" s="30" cm="1">
        <f t="array" aca="1" ref="C90" ca="1">_xll.BQL($A90, "#itm().value as #v", "#itm=cf_free_cash_flow(fpt=q,fpo=range(-13,2),ae=ae,currency='USD')/1m","showids=f","transpose=t","showheaders=f")</f>
        <v/>
      </c>
      <c r="D90" s="30" t="n"/>
      <c r="E90" s="30" t="n"/>
      <c r="F90" s="30" t="n"/>
      <c r="G90" s="30" t="n"/>
      <c r="H90" s="30" t="n"/>
      <c r="I90" s="30" t="n"/>
      <c r="J90" s="30" t="n"/>
      <c r="K90" s="30" t="n"/>
      <c r="L90" s="30" t="n"/>
      <c r="M90" s="30" t="n"/>
      <c r="N90" s="30" t="n"/>
      <c r="O90" s="30" t="n"/>
      <c r="P90" s="30" t="n"/>
      <c r="Q90" s="31" t="n"/>
      <c r="R90" s="31" t="n"/>
    </row>
    <row r="91">
      <c r="A91" s="19">
        <f>Tickers!$A$91</f>
        <v/>
      </c>
      <c r="B91" s="19">
        <f>'SW Rev'!$B91</f>
        <v/>
      </c>
      <c r="C91" s="30" cm="1">
        <f t="array" aca="1" ref="C91" ca="1">_xll.BQL($A91, "#itm().value as #v", "#itm=cf_free_cash_flow(fpt=q,fpo=range(-13,2),ae=ae,currency='USD')/1m","showids=f","transpose=t","showheaders=f")</f>
        <v/>
      </c>
      <c r="D91" s="30" t="n"/>
      <c r="E91" s="30" t="n"/>
      <c r="F91" s="30" t="n"/>
      <c r="G91" s="30" t="n"/>
      <c r="H91" s="30" t="n"/>
      <c r="I91" s="30" t="n"/>
      <c r="J91" s="30" t="n"/>
      <c r="K91" s="30" t="n"/>
      <c r="L91" s="30" t="n"/>
      <c r="M91" s="30" t="n"/>
      <c r="N91" s="30" t="n"/>
      <c r="O91" s="30" t="n"/>
      <c r="P91" s="30" t="n"/>
      <c r="Q91" s="31" t="n"/>
      <c r="R91" s="31" t="n"/>
    </row>
    <row r="92">
      <c r="A92" s="19">
        <f>Tickers!$A$92</f>
        <v/>
      </c>
      <c r="B92" s="19">
        <f>'SW Rev'!$B92</f>
        <v/>
      </c>
      <c r="C92" s="30" cm="1">
        <f t="array" aca="1" ref="C92" ca="1">_xll.BQL($A92, "#itm().value as #v", "#itm=cf_free_cash_flow(fpt=q,fpo=range(-13,2),ae=ae,currency='USD')/1m","showids=f","transpose=t","showheaders=f")</f>
        <v/>
      </c>
      <c r="D92" s="30" t="n"/>
      <c r="E92" s="30" t="n"/>
      <c r="F92" s="30" t="n"/>
      <c r="G92" s="30" t="n"/>
      <c r="H92" s="30" t="n"/>
      <c r="I92" s="30" t="n"/>
      <c r="J92" s="30" t="n"/>
      <c r="K92" s="30" t="n"/>
      <c r="L92" s="30" t="n"/>
      <c r="M92" s="30" t="n"/>
      <c r="N92" s="30" t="n"/>
      <c r="O92" s="30" t="n"/>
      <c r="P92" s="30" t="n"/>
      <c r="Q92" s="31" t="n"/>
      <c r="R92" s="31" t="n"/>
    </row>
    <row r="93">
      <c r="A93" s="19">
        <f>Tickers!$A$93</f>
        <v/>
      </c>
      <c r="B93" s="19">
        <f>'SW Rev'!$B93</f>
        <v/>
      </c>
      <c r="C93" s="30" cm="1">
        <f t="array" aca="1" ref="C93" ca="1">_xll.BQL($A93, "#itm().value as #v", "#itm=cf_free_cash_flow(fpt=q,fpo=range(-13,2),ae=ae,currency='USD')/1m","showids=f","transpose=t","showheaders=f")</f>
        <v/>
      </c>
      <c r="D93" s="30" t="n"/>
      <c r="E93" s="30" t="n"/>
      <c r="F93" s="30" t="n"/>
      <c r="G93" s="30" t="n"/>
      <c r="H93" s="30" t="n"/>
      <c r="I93" s="30" t="n"/>
      <c r="J93" s="30" t="n"/>
      <c r="K93" s="30" t="n"/>
      <c r="L93" s="30" t="n"/>
      <c r="M93" s="30" t="n"/>
      <c r="N93" s="30" t="n"/>
      <c r="O93" s="30" t="n"/>
      <c r="P93" s="30" t="n"/>
      <c r="Q93" s="31" t="n"/>
      <c r="R93" s="31" t="n"/>
    </row>
    <row r="94">
      <c r="A94" s="19">
        <f>Tickers!$A$94</f>
        <v/>
      </c>
      <c r="B94" s="19">
        <f>'SW Rev'!$B94</f>
        <v/>
      </c>
      <c r="C94" s="30" cm="1">
        <f t="array" aca="1" ref="C94" ca="1">_xll.BQL($A94, "#itm().value as #v", "#itm=cf_free_cash_flow(fpt=q,fpo=range(-13,2),ae=ae,currency='USD')/1m","showids=f","transpose=t","showheaders=f")</f>
        <v/>
      </c>
      <c r="D94" s="30" t="n"/>
      <c r="E94" s="30" t="n"/>
      <c r="F94" s="30" t="n"/>
      <c r="G94" s="30" t="n"/>
      <c r="H94" s="30" t="n"/>
      <c r="I94" s="30" t="n"/>
      <c r="J94" s="30" t="n"/>
      <c r="K94" s="30" t="n"/>
      <c r="L94" s="30" t="n"/>
      <c r="M94" s="30" t="n"/>
      <c r="N94" s="30" t="n"/>
      <c r="O94" s="30" t="n"/>
      <c r="P94" s="30" t="n"/>
      <c r="Q94" s="31" t="n"/>
      <c r="R94" s="31" t="n"/>
    </row>
    <row r="95">
      <c r="A95" s="19">
        <f>Tickers!$A$95</f>
        <v/>
      </c>
      <c r="B95" s="19">
        <f>'SW Rev'!$B95</f>
        <v/>
      </c>
      <c r="C95" s="30" cm="1">
        <f t="array" aca="1" ref="C95" ca="1">_xll.BQL($A95, "#itm().value as #v", "#itm=cf_free_cash_flow(fpt=q,fpo=range(-13,2),ae=ae,currency='USD')/1m","showids=f","transpose=t","showheaders=f")</f>
        <v/>
      </c>
      <c r="D95" s="30" t="n"/>
      <c r="E95" s="30" t="n"/>
      <c r="F95" s="30" t="n"/>
      <c r="G95" s="30" t="n"/>
      <c r="H95" s="30" t="n"/>
      <c r="I95" s="30" t="n"/>
      <c r="J95" s="30" t="n"/>
      <c r="K95" s="30" t="n"/>
      <c r="L95" s="30" t="n"/>
      <c r="M95" s="30" t="n"/>
      <c r="N95" s="30" t="n"/>
      <c r="O95" s="30" t="n"/>
      <c r="P95" s="30" t="n"/>
      <c r="Q95" s="31" t="n"/>
      <c r="R95" s="31" t="n"/>
    </row>
    <row r="96">
      <c r="A96" s="19">
        <f>Tickers!$A$96</f>
        <v/>
      </c>
      <c r="B96" s="19">
        <f>'SW Rev'!$B96</f>
        <v/>
      </c>
      <c r="C96" s="30" cm="1">
        <f t="array" aca="1" ref="C96" ca="1">_xll.BQL($A96, "#itm().value as #v", "#itm=cf_free_cash_flow(fpt=q,fpo=range(-13,2),ae=ae,currency='USD')/1m","showids=f","transpose=t","showheaders=f")</f>
        <v/>
      </c>
      <c r="D96" s="30" t="n"/>
      <c r="E96" s="30" t="n"/>
      <c r="F96" s="30" t="n"/>
      <c r="G96" s="30" t="n"/>
      <c r="H96" s="30" t="n"/>
      <c r="I96" s="30" t="n"/>
      <c r="J96" s="30" t="n"/>
      <c r="K96" s="30" t="n"/>
      <c r="L96" s="30" t="n"/>
      <c r="M96" s="30" t="n"/>
      <c r="N96" s="30" t="n"/>
      <c r="O96" s="30" t="n"/>
      <c r="P96" s="30" t="n"/>
      <c r="Q96" s="31" t="n"/>
      <c r="R96" s="31" t="n"/>
    </row>
    <row r="97">
      <c r="A97" s="19">
        <f>Tickers!$A$97</f>
        <v/>
      </c>
      <c r="B97" s="19">
        <f>'SW Rev'!$B97</f>
        <v/>
      </c>
      <c r="C97" s="30" cm="1">
        <f t="array" aca="1" ref="C97" ca="1">_xll.BQL($A97, "#itm().value as #v", "#itm=cf_free_cash_flow(fpt=q,fpo=range(-13,2),ae=ae,currency='USD')/1m","showids=f","transpose=t","showheaders=f")</f>
        <v/>
      </c>
      <c r="D97" s="30" t="n"/>
      <c r="E97" s="30" t="n"/>
      <c r="F97" s="30" t="n"/>
      <c r="G97" s="30" t="n"/>
      <c r="H97" s="30" t="n"/>
      <c r="I97" s="30" t="n"/>
      <c r="J97" s="30" t="n"/>
      <c r="K97" s="30" t="n"/>
      <c r="L97" s="30" t="n"/>
      <c r="M97" s="30" t="n"/>
      <c r="N97" s="30" t="n"/>
      <c r="O97" s="30" t="n"/>
      <c r="P97" s="30" t="n"/>
      <c r="Q97" s="31" t="n"/>
      <c r="R97" s="31" t="n"/>
    </row>
    <row r="98">
      <c r="A98" s="19">
        <f>Tickers!$A$98</f>
        <v/>
      </c>
      <c r="B98" s="19">
        <f>'SW Rev'!$B98</f>
        <v/>
      </c>
      <c r="C98" s="30" cm="1">
        <f t="array" aca="1" ref="C98" ca="1">_xll.BQL($A98, "#itm().value as #v", "#itm=cf_free_cash_flow(fpt=q,fpo=range(-13,2),ae=ae,currency='USD')/1m","showids=f","transpose=t","showheaders=f")</f>
        <v/>
      </c>
      <c r="D98" s="30" t="n"/>
      <c r="E98" s="30" t="n"/>
      <c r="F98" s="30" t="n"/>
      <c r="G98" s="30" t="n"/>
      <c r="H98" s="30" t="n"/>
      <c r="I98" s="30" t="n"/>
      <c r="J98" s="30" t="n"/>
      <c r="K98" s="30" t="n"/>
      <c r="L98" s="30" t="n"/>
      <c r="M98" s="30" t="n"/>
      <c r="N98" s="30" t="n"/>
      <c r="O98" s="30" t="n"/>
      <c r="P98" s="30" t="n"/>
      <c r="Q98" s="31" t="n"/>
      <c r="R98" s="31" t="n"/>
    </row>
    <row r="99">
      <c r="A99" s="19">
        <f>Tickers!$A$99</f>
        <v/>
      </c>
      <c r="B99" s="19">
        <f>'SW Rev'!$B99</f>
        <v/>
      </c>
      <c r="C99" s="30" cm="1">
        <f t="array" aca="1" ref="C99" ca="1">_xll.BQL($A99, "#itm().value as #v", "#itm=cf_free_cash_flow(fpt=q,fpo=range(-13,2),ae=ae,currency='USD')/1m","showids=f","transpose=t","showheaders=f")</f>
        <v/>
      </c>
      <c r="D99" s="30" t="n"/>
      <c r="E99" s="30" t="n"/>
      <c r="F99" s="30" t="n"/>
      <c r="G99" s="30" t="n"/>
      <c r="H99" s="30" t="n"/>
      <c r="I99" s="30" t="n"/>
      <c r="J99" s="30" t="n"/>
      <c r="K99" s="30" t="n"/>
      <c r="L99" s="30" t="n"/>
      <c r="M99" s="30" t="n"/>
      <c r="N99" s="30" t="n"/>
      <c r="O99" s="30" t="n"/>
      <c r="P99" s="30" t="n"/>
      <c r="Q99" s="31" t="n"/>
      <c r="R99" s="31" t="n"/>
    </row>
    <row r="100">
      <c r="A100" s="19">
        <f>Tickers!$A$100</f>
        <v/>
      </c>
      <c r="B100" s="19">
        <f>'SW Rev'!$B100</f>
        <v/>
      </c>
      <c r="C100" s="30" cm="1">
        <f t="array" aca="1" ref="C100" ca="1">_xll.BQL($A100, "#itm().value as #v", "#itm=cf_free_cash_flow(fpt=q,fpo=range(-13,2),ae=ae,currency='USD')/1m","showids=f","transpose=t","showheaders=f")</f>
        <v/>
      </c>
      <c r="D100" s="30" t="n"/>
      <c r="E100" s="30" t="n"/>
      <c r="F100" s="30" t="n"/>
      <c r="G100" s="30" t="n"/>
      <c r="H100" s="30" t="n"/>
      <c r="I100" s="30" t="n"/>
      <c r="J100" s="30" t="n"/>
      <c r="K100" s="30" t="n"/>
      <c r="L100" s="30" t="n"/>
      <c r="M100" s="30" t="n"/>
      <c r="N100" s="30" t="n"/>
      <c r="O100" s="30" t="n"/>
      <c r="P100" s="30" t="n"/>
      <c r="Q100" s="31" t="n"/>
      <c r="R100" s="31" t="n"/>
    </row>
    <row r="101">
      <c r="A101" s="19">
        <f>Tickers!$A$101</f>
        <v/>
      </c>
      <c r="B101" s="19">
        <f>'SW Rev'!$B101</f>
        <v/>
      </c>
      <c r="C101" s="30" cm="1">
        <f t="array" aca="1" ref="C101" ca="1">_xll.BQL($A101, "#itm().value as #v", "#itm=cf_free_cash_flow(fpt=q,fpo=range(-13,2),ae=ae,currency='USD')/1m","showids=f","transpose=t","showheaders=f")</f>
        <v/>
      </c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  <c r="M101" s="30" t="n"/>
      <c r="N101" s="30" t="n"/>
      <c r="O101" s="30" t="n"/>
      <c r="P101" s="30" t="n"/>
      <c r="Q101" s="31" t="n"/>
      <c r="R101" s="31" t="n"/>
    </row>
    <row r="102">
      <c r="A102" s="19">
        <f>Tickers!$A$102</f>
        <v/>
      </c>
      <c r="B102" s="19">
        <f>'SW Rev'!$B102</f>
        <v/>
      </c>
      <c r="C102" s="30" cm="1">
        <f t="array" aca="1" ref="C102" ca="1">_xll.BQL($A102, "#itm().value as #v", "#itm=cf_free_cash_flow(fpt=q,fpo=range(-13,2),ae=ae,currency='USD')/1m","showids=f","transpose=t","showheaders=f")</f>
        <v/>
      </c>
      <c r="D102" s="30" t="n"/>
      <c r="E102" s="30" t="n"/>
      <c r="F102" s="30" t="n"/>
      <c r="G102" s="30" t="n"/>
      <c r="H102" s="30" t="n"/>
      <c r="I102" s="30" t="n"/>
      <c r="J102" s="30" t="n"/>
      <c r="K102" s="30" t="n"/>
      <c r="L102" s="30" t="n"/>
      <c r="M102" s="30" t="n"/>
      <c r="N102" s="30" t="n"/>
      <c r="O102" s="30" t="n"/>
      <c r="P102" s="30" t="n"/>
      <c r="Q102" s="31" t="n"/>
      <c r="R102" s="31" t="n"/>
    </row>
    <row r="103">
      <c r="A103" s="19">
        <f>Tickers!$A$103</f>
        <v/>
      </c>
      <c r="B103" s="19">
        <f>'SW Rev'!$B103</f>
        <v/>
      </c>
      <c r="C103" s="30" cm="1">
        <f t="array" aca="1" ref="C103" ca="1">_xll.BQL($A103, "#itm().value as #v", "#itm=cf_free_cash_flow(fpt=q,fpo=range(-13,2),ae=ae,currency='USD')/1m","showids=f","transpose=t","showheaders=f")</f>
        <v/>
      </c>
      <c r="D103" s="30" t="n"/>
      <c r="E103" s="30" t="n"/>
      <c r="F103" s="30" t="n"/>
      <c r="G103" s="30" t="n"/>
      <c r="H103" s="30" t="n"/>
      <c r="I103" s="30" t="n"/>
      <c r="J103" s="30" t="n"/>
      <c r="K103" s="30" t="n"/>
      <c r="L103" s="30" t="n"/>
      <c r="M103" s="30" t="n"/>
      <c r="N103" s="30" t="n"/>
      <c r="O103" s="30" t="n"/>
      <c r="P103" s="30" t="n"/>
      <c r="Q103" s="31" t="n"/>
      <c r="R103" s="3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ED7D31"/>
    <outlinePr summaryBelow="1" summaryRight="1"/>
    <pageSetUpPr/>
  </sheetPr>
  <dimension ref="A1:Y146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5" t="inlineStr">
        <is>
          <t>Semiconductors — Earnings Comp Dashboard (latest reported quarter)</t>
        </is>
      </c>
      <c r="H1" s="6" t="inlineStr">
        <is>
          <t>⚠ Cells blank? This is a LIVE Bloomberg workbook — it has no saved data until its first refresh. Open it in desktop Excel on your Bloomberg terminal PC (add-in logged in), then Bloomberg ribbon ▸ Refresh All (or Ctrl+Alt+F9), wait a few minutes, and save. See README.</t>
        </is>
      </c>
    </row>
    <row r="2">
      <c r="A2" s="7" t="inlineStr">
        <is>
          <t>USD mm unless noted. Every row reads the same-numbered row on the data/metric sheets. FPO 0 = each company's own latest reported quarter. Estimate-based columns note (Est).</t>
        </is>
      </c>
    </row>
    <row r="4" ht="42" customHeight="1">
      <c r="A4" s="8" t="inlineStr">
        <is>
          <t>Ticker</t>
        </is>
      </c>
      <c r="B4" s="8" t="inlineStr">
        <is>
          <t>Latest Rpt Qtr</t>
        </is>
      </c>
      <c r="C4" s="8" t="inlineStr">
        <is>
          <t>Revenue LQ (USD mm)</t>
        </is>
      </c>
      <c r="D4" s="8" t="inlineStr">
        <is>
          <t>Rev YoY %</t>
        </is>
      </c>
      <c r="E4" s="8" t="inlineStr">
        <is>
          <t>Rev YoY % (prior qtr)</t>
        </is>
      </c>
      <c r="F4" s="8" t="inlineStr">
        <is>
          <t>Accel / (Decel) (pp)</t>
        </is>
      </c>
      <c r="G4" s="8" t="inlineStr">
        <is>
          <t>Rev QoQ %</t>
        </is>
      </c>
      <c r="H4" s="8" t="inlineStr">
        <is>
          <t>$ Added QoQ (mm)</t>
        </is>
      </c>
      <c r="I4" s="8" t="inlineStr">
        <is>
          <t>$ Added YoY (mm)</t>
        </is>
      </c>
      <c r="J4" s="8" t="inlineStr">
        <is>
          <t>Next Qtr YoY % (Est)</t>
        </is>
      </c>
      <c r="K4" s="8" t="inlineStr">
        <is>
          <t>Op Margin %</t>
        </is>
      </c>
      <c r="L4" s="8" t="inlineStr">
        <is>
          <t>OpM Δ YoY (bps)</t>
        </is>
      </c>
      <c r="M4" s="8" t="inlineStr">
        <is>
          <t>Op Inc YoY %</t>
        </is>
      </c>
      <c r="N4" s="8" t="inlineStr">
        <is>
          <t>Incr OpM % (Op Leverage)</t>
        </is>
      </c>
      <c r="O4" s="8" t="inlineStr">
        <is>
          <t>Op Lev (x)</t>
        </is>
      </c>
      <c r="P4" s="8" t="inlineStr">
        <is>
          <t>FCF Margin LTM %</t>
        </is>
      </c>
      <c r="Q4" s="8" t="inlineStr">
        <is>
          <t>FCF Margin Δ YoY (bps)</t>
        </is>
      </c>
      <c r="R4" s="8" t="inlineStr">
        <is>
          <t>NTM Rev Rev Δ1M %</t>
        </is>
      </c>
      <c r="S4" s="8" t="inlineStr">
        <is>
          <t>NTM Rev Rev Δ3M %</t>
        </is>
      </c>
      <c r="T4" s="8" t="inlineStr">
        <is>
          <t>NTM Rev Rev Δ6M %</t>
        </is>
      </c>
      <c r="U4" s="8" t="inlineStr">
        <is>
          <t>NTM EPS Rev Δ1M %</t>
        </is>
      </c>
      <c r="V4" s="8" t="inlineStr">
        <is>
          <t>NTM EPS Rev Δ3M %</t>
        </is>
      </c>
      <c r="W4" s="8" t="inlineStr">
        <is>
          <t>NTM EPS Rev Δ6M %</t>
        </is>
      </c>
      <c r="X4" s="8" t="inlineStr">
        <is>
          <t>Rank: Rev YoY</t>
        </is>
      </c>
      <c r="Y4" s="8" t="inlineStr">
        <is>
          <t>Rank: NTM Rev Δ3M</t>
        </is>
      </c>
    </row>
    <row r="5">
      <c r="A5" s="11" t="inlineStr">
        <is>
          <t>Peer Median</t>
        </is>
      </c>
      <c r="B5" s="12" t="n"/>
      <c r="C5" s="13">
        <f>IFERROR(MEDIAN(C8:C146),"")</f>
        <v/>
      </c>
      <c r="D5" s="14">
        <f>IFERROR(MEDIAN(D8:D146),"")</f>
        <v/>
      </c>
      <c r="E5" s="14">
        <f>IFERROR(MEDIAN(E8:E146),"")</f>
        <v/>
      </c>
      <c r="F5" s="15">
        <f>IFERROR(MEDIAN(F8:F146),"")</f>
        <v/>
      </c>
      <c r="G5" s="14">
        <f>IFERROR(MEDIAN(G8:G146),"")</f>
        <v/>
      </c>
      <c r="H5" s="13">
        <f>IFERROR(MEDIAN(H8:H146),"")</f>
        <v/>
      </c>
      <c r="I5" s="13">
        <f>IFERROR(MEDIAN(I8:I146),"")</f>
        <v/>
      </c>
      <c r="J5" s="14">
        <f>IFERROR(MEDIAN(J8:J146),"")</f>
        <v/>
      </c>
      <c r="K5" s="14">
        <f>IFERROR(MEDIAN(K8:K146),"")</f>
        <v/>
      </c>
      <c r="L5" s="16">
        <f>IFERROR(MEDIAN(L8:L146),"")</f>
        <v/>
      </c>
      <c r="M5" s="14">
        <f>IFERROR(MEDIAN(M8:M146),"")</f>
        <v/>
      </c>
      <c r="N5" s="14">
        <f>IFERROR(MEDIAN(N8:N146),"")</f>
        <v/>
      </c>
      <c r="O5" s="17">
        <f>IFERROR(MEDIAN(O8:O146),"")</f>
        <v/>
      </c>
      <c r="P5" s="14">
        <f>IFERROR(MEDIAN(P8:P146),"")</f>
        <v/>
      </c>
      <c r="Q5" s="16">
        <f>IFERROR(MEDIAN(Q8:Q146),"")</f>
        <v/>
      </c>
      <c r="R5" s="15">
        <f>IFERROR(MEDIAN(R8:R146),"")</f>
        <v/>
      </c>
      <c r="S5" s="15">
        <f>IFERROR(MEDIAN(S8:S146),"")</f>
        <v/>
      </c>
      <c r="T5" s="15">
        <f>IFERROR(MEDIAN(T8:T146),"")</f>
        <v/>
      </c>
      <c r="U5" s="15">
        <f>IFERROR(MEDIAN(U8:U146),"")</f>
        <v/>
      </c>
      <c r="V5" s="15">
        <f>IFERROR(MEDIAN(V8:V146),"")</f>
        <v/>
      </c>
      <c r="W5" s="15">
        <f>IFERROR(MEDIAN(W8:W146),"")</f>
        <v/>
      </c>
      <c r="X5" s="18" t="n"/>
      <c r="Y5" s="18" t="n"/>
    </row>
    <row r="6">
      <c r="A6" s="11" t="inlineStr">
        <is>
          <t>Top Quartile (75th)</t>
        </is>
      </c>
      <c r="B6" s="12" t="n"/>
      <c r="C6" s="13">
        <f>IFERROR(QUARTILE(C8:C146,3),"")</f>
        <v/>
      </c>
      <c r="D6" s="14">
        <f>IFERROR(QUARTILE(D8:D146,3),"")</f>
        <v/>
      </c>
      <c r="E6" s="14">
        <f>IFERROR(QUARTILE(E8:E146,3),"")</f>
        <v/>
      </c>
      <c r="F6" s="15">
        <f>IFERROR(QUARTILE(F8:F146,3),"")</f>
        <v/>
      </c>
      <c r="G6" s="14">
        <f>IFERROR(QUARTILE(G8:G146,3),"")</f>
        <v/>
      </c>
      <c r="H6" s="13">
        <f>IFERROR(QUARTILE(H8:H146,3),"")</f>
        <v/>
      </c>
      <c r="I6" s="13">
        <f>IFERROR(QUARTILE(I8:I146,3),"")</f>
        <v/>
      </c>
      <c r="J6" s="14">
        <f>IFERROR(QUARTILE(J8:J146,3),"")</f>
        <v/>
      </c>
      <c r="K6" s="14">
        <f>IFERROR(QUARTILE(K8:K146,3),"")</f>
        <v/>
      </c>
      <c r="L6" s="16">
        <f>IFERROR(QUARTILE(L8:L146,3),"")</f>
        <v/>
      </c>
      <c r="M6" s="14">
        <f>IFERROR(QUARTILE(M8:M146,3),"")</f>
        <v/>
      </c>
      <c r="N6" s="14">
        <f>IFERROR(QUARTILE(N8:N146,3),"")</f>
        <v/>
      </c>
      <c r="O6" s="17">
        <f>IFERROR(QUARTILE(O8:O146,3),"")</f>
        <v/>
      </c>
      <c r="P6" s="14">
        <f>IFERROR(QUARTILE(P8:P146,3),"")</f>
        <v/>
      </c>
      <c r="Q6" s="16">
        <f>IFERROR(QUARTILE(Q8:Q146,3),"")</f>
        <v/>
      </c>
      <c r="R6" s="15">
        <f>IFERROR(QUARTILE(R8:R146,3),"")</f>
        <v/>
      </c>
      <c r="S6" s="15">
        <f>IFERROR(QUARTILE(S8:S146,3),"")</f>
        <v/>
      </c>
      <c r="T6" s="15">
        <f>IFERROR(QUARTILE(T8:T146,3),"")</f>
        <v/>
      </c>
      <c r="U6" s="15">
        <f>IFERROR(QUARTILE(U8:U146,3),"")</f>
        <v/>
      </c>
      <c r="V6" s="15">
        <f>IFERROR(QUARTILE(V8:V146,3),"")</f>
        <v/>
      </c>
      <c r="W6" s="15">
        <f>IFERROR(QUARTILE(W8:W146,3),"")</f>
        <v/>
      </c>
      <c r="X6" s="18" t="n"/>
      <c r="Y6" s="18" t="n"/>
    </row>
    <row r="7">
      <c r="A7" s="11" t="inlineStr">
        <is>
          <t>Bottom Quartile (25th)</t>
        </is>
      </c>
      <c r="B7" s="12" t="n"/>
      <c r="C7" s="13">
        <f>IFERROR(QUARTILE(C8:C146,1),"")</f>
        <v/>
      </c>
      <c r="D7" s="14">
        <f>IFERROR(QUARTILE(D8:D146,1),"")</f>
        <v/>
      </c>
      <c r="E7" s="14">
        <f>IFERROR(QUARTILE(E8:E146,1),"")</f>
        <v/>
      </c>
      <c r="F7" s="15">
        <f>IFERROR(QUARTILE(F8:F146,1),"")</f>
        <v/>
      </c>
      <c r="G7" s="14">
        <f>IFERROR(QUARTILE(G8:G146,1),"")</f>
        <v/>
      </c>
      <c r="H7" s="13">
        <f>IFERROR(QUARTILE(H8:H146,1),"")</f>
        <v/>
      </c>
      <c r="I7" s="13">
        <f>IFERROR(QUARTILE(I8:I146,1),"")</f>
        <v/>
      </c>
      <c r="J7" s="14">
        <f>IFERROR(QUARTILE(J8:J146,1),"")</f>
        <v/>
      </c>
      <c r="K7" s="14">
        <f>IFERROR(QUARTILE(K8:K146,1),"")</f>
        <v/>
      </c>
      <c r="L7" s="16">
        <f>IFERROR(QUARTILE(L8:L146,1),"")</f>
        <v/>
      </c>
      <c r="M7" s="14">
        <f>IFERROR(QUARTILE(M8:M146,1),"")</f>
        <v/>
      </c>
      <c r="N7" s="14">
        <f>IFERROR(QUARTILE(N8:N146,1),"")</f>
        <v/>
      </c>
      <c r="O7" s="17">
        <f>IFERROR(QUARTILE(O8:O146,1),"")</f>
        <v/>
      </c>
      <c r="P7" s="14">
        <f>IFERROR(QUARTILE(P8:P146,1),"")</f>
        <v/>
      </c>
      <c r="Q7" s="16">
        <f>IFERROR(QUARTILE(Q8:Q146,1),"")</f>
        <v/>
      </c>
      <c r="R7" s="15">
        <f>IFERROR(QUARTILE(R8:R146,1),"")</f>
        <v/>
      </c>
      <c r="S7" s="15">
        <f>IFERROR(QUARTILE(S8:S146,1),"")</f>
        <v/>
      </c>
      <c r="T7" s="15">
        <f>IFERROR(QUARTILE(T8:T146,1),"")</f>
        <v/>
      </c>
      <c r="U7" s="15">
        <f>IFERROR(QUARTILE(U8:U146,1),"")</f>
        <v/>
      </c>
      <c r="V7" s="15">
        <f>IFERROR(QUARTILE(V8:V146,1),"")</f>
        <v/>
      </c>
      <c r="W7" s="15">
        <f>IFERROR(QUARTILE(W8:W146,1),"")</f>
        <v/>
      </c>
      <c r="X7" s="18" t="n"/>
      <c r="Y7" s="18" t="n"/>
    </row>
    <row r="8">
      <c r="A8" s="19">
        <f>'Semi Rev'!$A5</f>
        <v/>
      </c>
      <c r="B8" s="19">
        <f>'Semi Rev'!$B5</f>
        <v/>
      </c>
      <c r="C8" s="20">
        <f>IF(ISNUMBER('Semi Rev'!P5),'Semi Rev'!P5,"")</f>
        <v/>
      </c>
      <c r="D8" s="21">
        <f>'Semi Metrics'!L148</f>
        <v/>
      </c>
      <c r="E8" s="21">
        <f>'Semi Metrics'!K148</f>
        <v/>
      </c>
      <c r="F8" s="22">
        <f>IF(OR(D8="",E8=""),"",D8-E8)</f>
        <v/>
      </c>
      <c r="G8" s="21">
        <f>'Semi Metrics'!L290</f>
        <v/>
      </c>
      <c r="H8" s="20">
        <f>'Semi Metrics'!L574</f>
        <v/>
      </c>
      <c r="I8" s="20">
        <f>'Semi Metrics'!L432</f>
        <v/>
      </c>
      <c r="J8" s="21">
        <f>'Semi Metrics'!M148</f>
        <v/>
      </c>
      <c r="K8" s="21">
        <f>'Semi Metrics'!L716</f>
        <v/>
      </c>
      <c r="L8" s="23">
        <f>'Semi Metrics'!L858</f>
        <v/>
      </c>
      <c r="M8" s="21">
        <f>'Semi Metrics'!L1000</f>
        <v/>
      </c>
      <c r="N8" s="21">
        <f>'Semi Metrics'!L1142</f>
        <v/>
      </c>
      <c r="O8" s="24">
        <f>IFERROR(IF(AND(N(D8)&gt;0,N(M8)&gt;0),M8/D8,""),"")</f>
        <v/>
      </c>
      <c r="P8" s="21">
        <f>'Semi Metrics'!L1284</f>
        <v/>
      </c>
      <c r="Q8" s="23">
        <f>'Semi Metrics'!L1426</f>
        <v/>
      </c>
      <c r="R8" s="25">
        <f>'Semi Revisions'!G6</f>
        <v/>
      </c>
      <c r="S8" s="25">
        <f>'Semi Revisions'!H6</f>
        <v/>
      </c>
      <c r="T8" s="25">
        <f>'Semi Revisions'!I6</f>
        <v/>
      </c>
      <c r="U8" s="25">
        <f>'Semi Revisions'!O6</f>
        <v/>
      </c>
      <c r="V8" s="25">
        <f>'Semi Revisions'!P6</f>
        <v/>
      </c>
      <c r="W8" s="25">
        <f>'Semi Revisions'!Q6</f>
        <v/>
      </c>
      <c r="X8" s="26">
        <f>IFERROR(RANK(D8,D$8:D$146),"")</f>
        <v/>
      </c>
      <c r="Y8" s="26">
        <f>IFERROR(RANK(S8,S$8:S$146),"")</f>
        <v/>
      </c>
    </row>
    <row r="9">
      <c r="A9" s="19">
        <f>'Semi Rev'!$A6</f>
        <v/>
      </c>
      <c r="B9" s="19">
        <f>'Semi Rev'!$B6</f>
        <v/>
      </c>
      <c r="C9" s="20">
        <f>IF(ISNUMBER('Semi Rev'!P6),'Semi Rev'!P6,"")</f>
        <v/>
      </c>
      <c r="D9" s="21">
        <f>'Semi Metrics'!L149</f>
        <v/>
      </c>
      <c r="E9" s="21">
        <f>'Semi Metrics'!K149</f>
        <v/>
      </c>
      <c r="F9" s="22">
        <f>IF(OR(D9="",E9=""),"",D9-E9)</f>
        <v/>
      </c>
      <c r="G9" s="21">
        <f>'Semi Metrics'!L291</f>
        <v/>
      </c>
      <c r="H9" s="20">
        <f>'Semi Metrics'!L575</f>
        <v/>
      </c>
      <c r="I9" s="20">
        <f>'Semi Metrics'!L433</f>
        <v/>
      </c>
      <c r="J9" s="21">
        <f>'Semi Metrics'!M149</f>
        <v/>
      </c>
      <c r="K9" s="21">
        <f>'Semi Metrics'!L717</f>
        <v/>
      </c>
      <c r="L9" s="23">
        <f>'Semi Metrics'!L859</f>
        <v/>
      </c>
      <c r="M9" s="21">
        <f>'Semi Metrics'!L1001</f>
        <v/>
      </c>
      <c r="N9" s="21">
        <f>'Semi Metrics'!L1143</f>
        <v/>
      </c>
      <c r="O9" s="24">
        <f>IFERROR(IF(AND(N(D9)&gt;0,N(M9)&gt;0),M9/D9,""),"")</f>
        <v/>
      </c>
      <c r="P9" s="21">
        <f>'Semi Metrics'!L1285</f>
        <v/>
      </c>
      <c r="Q9" s="23">
        <f>'Semi Metrics'!L1427</f>
        <v/>
      </c>
      <c r="R9" s="25">
        <f>'Semi Revisions'!G7</f>
        <v/>
      </c>
      <c r="S9" s="25">
        <f>'Semi Revisions'!H7</f>
        <v/>
      </c>
      <c r="T9" s="25">
        <f>'Semi Revisions'!I7</f>
        <v/>
      </c>
      <c r="U9" s="25">
        <f>'Semi Revisions'!O7</f>
        <v/>
      </c>
      <c r="V9" s="25">
        <f>'Semi Revisions'!P7</f>
        <v/>
      </c>
      <c r="W9" s="25">
        <f>'Semi Revisions'!Q7</f>
        <v/>
      </c>
      <c r="X9" s="26">
        <f>IFERROR(RANK(D9,D$8:D$146),"")</f>
        <v/>
      </c>
      <c r="Y9" s="26">
        <f>IFERROR(RANK(S9,S$8:S$146),"")</f>
        <v/>
      </c>
    </row>
    <row r="10">
      <c r="A10" s="19">
        <f>'Semi Rev'!$A7</f>
        <v/>
      </c>
      <c r="B10" s="19">
        <f>'Semi Rev'!$B7</f>
        <v/>
      </c>
      <c r="C10" s="20">
        <f>IF(ISNUMBER('Semi Rev'!P7),'Semi Rev'!P7,"")</f>
        <v/>
      </c>
      <c r="D10" s="21">
        <f>'Semi Metrics'!L150</f>
        <v/>
      </c>
      <c r="E10" s="21">
        <f>'Semi Metrics'!K150</f>
        <v/>
      </c>
      <c r="F10" s="22">
        <f>IF(OR(D10="",E10=""),"",D10-E10)</f>
        <v/>
      </c>
      <c r="G10" s="21">
        <f>'Semi Metrics'!L292</f>
        <v/>
      </c>
      <c r="H10" s="20">
        <f>'Semi Metrics'!L576</f>
        <v/>
      </c>
      <c r="I10" s="20">
        <f>'Semi Metrics'!L434</f>
        <v/>
      </c>
      <c r="J10" s="21">
        <f>'Semi Metrics'!M150</f>
        <v/>
      </c>
      <c r="K10" s="21">
        <f>'Semi Metrics'!L718</f>
        <v/>
      </c>
      <c r="L10" s="23">
        <f>'Semi Metrics'!L860</f>
        <v/>
      </c>
      <c r="M10" s="21">
        <f>'Semi Metrics'!L1002</f>
        <v/>
      </c>
      <c r="N10" s="21">
        <f>'Semi Metrics'!L1144</f>
        <v/>
      </c>
      <c r="O10" s="24">
        <f>IFERROR(IF(AND(N(D10)&gt;0,N(M10)&gt;0),M10/D10,""),"")</f>
        <v/>
      </c>
      <c r="P10" s="21">
        <f>'Semi Metrics'!L1286</f>
        <v/>
      </c>
      <c r="Q10" s="23">
        <f>'Semi Metrics'!L1428</f>
        <v/>
      </c>
      <c r="R10" s="25">
        <f>'Semi Revisions'!G8</f>
        <v/>
      </c>
      <c r="S10" s="25">
        <f>'Semi Revisions'!H8</f>
        <v/>
      </c>
      <c r="T10" s="25">
        <f>'Semi Revisions'!I8</f>
        <v/>
      </c>
      <c r="U10" s="25">
        <f>'Semi Revisions'!O8</f>
        <v/>
      </c>
      <c r="V10" s="25">
        <f>'Semi Revisions'!P8</f>
        <v/>
      </c>
      <c r="W10" s="25">
        <f>'Semi Revisions'!Q8</f>
        <v/>
      </c>
      <c r="X10" s="26">
        <f>IFERROR(RANK(D10,D$8:D$146),"")</f>
        <v/>
      </c>
      <c r="Y10" s="26">
        <f>IFERROR(RANK(S10,S$8:S$146),"")</f>
        <v/>
      </c>
    </row>
    <row r="11">
      <c r="A11" s="19">
        <f>'Semi Rev'!$A8</f>
        <v/>
      </c>
      <c r="B11" s="19">
        <f>'Semi Rev'!$B8</f>
        <v/>
      </c>
      <c r="C11" s="20">
        <f>IF(ISNUMBER('Semi Rev'!P8),'Semi Rev'!P8,"")</f>
        <v/>
      </c>
      <c r="D11" s="21">
        <f>'Semi Metrics'!L151</f>
        <v/>
      </c>
      <c r="E11" s="21">
        <f>'Semi Metrics'!K151</f>
        <v/>
      </c>
      <c r="F11" s="22">
        <f>IF(OR(D11="",E11=""),"",D11-E11)</f>
        <v/>
      </c>
      <c r="G11" s="21">
        <f>'Semi Metrics'!L293</f>
        <v/>
      </c>
      <c r="H11" s="20">
        <f>'Semi Metrics'!L577</f>
        <v/>
      </c>
      <c r="I11" s="20">
        <f>'Semi Metrics'!L435</f>
        <v/>
      </c>
      <c r="J11" s="21">
        <f>'Semi Metrics'!M151</f>
        <v/>
      </c>
      <c r="K11" s="21">
        <f>'Semi Metrics'!L719</f>
        <v/>
      </c>
      <c r="L11" s="23">
        <f>'Semi Metrics'!L861</f>
        <v/>
      </c>
      <c r="M11" s="21">
        <f>'Semi Metrics'!L1003</f>
        <v/>
      </c>
      <c r="N11" s="21">
        <f>'Semi Metrics'!L1145</f>
        <v/>
      </c>
      <c r="O11" s="24">
        <f>IFERROR(IF(AND(N(D11)&gt;0,N(M11)&gt;0),M11/D11,""),"")</f>
        <v/>
      </c>
      <c r="P11" s="21">
        <f>'Semi Metrics'!L1287</f>
        <v/>
      </c>
      <c r="Q11" s="23">
        <f>'Semi Metrics'!L1429</f>
        <v/>
      </c>
      <c r="R11" s="25">
        <f>'Semi Revisions'!G9</f>
        <v/>
      </c>
      <c r="S11" s="25">
        <f>'Semi Revisions'!H9</f>
        <v/>
      </c>
      <c r="T11" s="25">
        <f>'Semi Revisions'!I9</f>
        <v/>
      </c>
      <c r="U11" s="25">
        <f>'Semi Revisions'!O9</f>
        <v/>
      </c>
      <c r="V11" s="25">
        <f>'Semi Revisions'!P9</f>
        <v/>
      </c>
      <c r="W11" s="25">
        <f>'Semi Revisions'!Q9</f>
        <v/>
      </c>
      <c r="X11" s="26">
        <f>IFERROR(RANK(D11,D$8:D$146),"")</f>
        <v/>
      </c>
      <c r="Y11" s="26">
        <f>IFERROR(RANK(S11,S$8:S$146),"")</f>
        <v/>
      </c>
    </row>
    <row r="12">
      <c r="A12" s="19">
        <f>'Semi Rev'!$A9</f>
        <v/>
      </c>
      <c r="B12" s="19">
        <f>'Semi Rev'!$B9</f>
        <v/>
      </c>
      <c r="C12" s="20">
        <f>IF(ISNUMBER('Semi Rev'!P9),'Semi Rev'!P9,"")</f>
        <v/>
      </c>
      <c r="D12" s="21">
        <f>'Semi Metrics'!L152</f>
        <v/>
      </c>
      <c r="E12" s="21">
        <f>'Semi Metrics'!K152</f>
        <v/>
      </c>
      <c r="F12" s="22">
        <f>IF(OR(D12="",E12=""),"",D12-E12)</f>
        <v/>
      </c>
      <c r="G12" s="21">
        <f>'Semi Metrics'!L294</f>
        <v/>
      </c>
      <c r="H12" s="20">
        <f>'Semi Metrics'!L578</f>
        <v/>
      </c>
      <c r="I12" s="20">
        <f>'Semi Metrics'!L436</f>
        <v/>
      </c>
      <c r="J12" s="21">
        <f>'Semi Metrics'!M152</f>
        <v/>
      </c>
      <c r="K12" s="21">
        <f>'Semi Metrics'!L720</f>
        <v/>
      </c>
      <c r="L12" s="23">
        <f>'Semi Metrics'!L862</f>
        <v/>
      </c>
      <c r="M12" s="21">
        <f>'Semi Metrics'!L1004</f>
        <v/>
      </c>
      <c r="N12" s="21">
        <f>'Semi Metrics'!L1146</f>
        <v/>
      </c>
      <c r="O12" s="24">
        <f>IFERROR(IF(AND(N(D12)&gt;0,N(M12)&gt;0),M12/D12,""),"")</f>
        <v/>
      </c>
      <c r="P12" s="21">
        <f>'Semi Metrics'!L1288</f>
        <v/>
      </c>
      <c r="Q12" s="23">
        <f>'Semi Metrics'!L1430</f>
        <v/>
      </c>
      <c r="R12" s="25">
        <f>'Semi Revisions'!G10</f>
        <v/>
      </c>
      <c r="S12" s="25">
        <f>'Semi Revisions'!H10</f>
        <v/>
      </c>
      <c r="T12" s="25">
        <f>'Semi Revisions'!I10</f>
        <v/>
      </c>
      <c r="U12" s="25">
        <f>'Semi Revisions'!O10</f>
        <v/>
      </c>
      <c r="V12" s="25">
        <f>'Semi Revisions'!P10</f>
        <v/>
      </c>
      <c r="W12" s="25">
        <f>'Semi Revisions'!Q10</f>
        <v/>
      </c>
      <c r="X12" s="26">
        <f>IFERROR(RANK(D12,D$8:D$146),"")</f>
        <v/>
      </c>
      <c r="Y12" s="26">
        <f>IFERROR(RANK(S12,S$8:S$146),"")</f>
        <v/>
      </c>
    </row>
    <row r="13">
      <c r="A13" s="19">
        <f>'Semi Rev'!$A10</f>
        <v/>
      </c>
      <c r="B13" s="19">
        <f>'Semi Rev'!$B10</f>
        <v/>
      </c>
      <c r="C13" s="20">
        <f>IF(ISNUMBER('Semi Rev'!P10),'Semi Rev'!P10,"")</f>
        <v/>
      </c>
      <c r="D13" s="21">
        <f>'Semi Metrics'!L153</f>
        <v/>
      </c>
      <c r="E13" s="21">
        <f>'Semi Metrics'!K153</f>
        <v/>
      </c>
      <c r="F13" s="22">
        <f>IF(OR(D13="",E13=""),"",D13-E13)</f>
        <v/>
      </c>
      <c r="G13" s="21">
        <f>'Semi Metrics'!L295</f>
        <v/>
      </c>
      <c r="H13" s="20">
        <f>'Semi Metrics'!L579</f>
        <v/>
      </c>
      <c r="I13" s="20">
        <f>'Semi Metrics'!L437</f>
        <v/>
      </c>
      <c r="J13" s="21">
        <f>'Semi Metrics'!M153</f>
        <v/>
      </c>
      <c r="K13" s="21">
        <f>'Semi Metrics'!L721</f>
        <v/>
      </c>
      <c r="L13" s="23">
        <f>'Semi Metrics'!L863</f>
        <v/>
      </c>
      <c r="M13" s="21">
        <f>'Semi Metrics'!L1005</f>
        <v/>
      </c>
      <c r="N13" s="21">
        <f>'Semi Metrics'!L1147</f>
        <v/>
      </c>
      <c r="O13" s="24">
        <f>IFERROR(IF(AND(N(D13)&gt;0,N(M13)&gt;0),M13/D13,""),"")</f>
        <v/>
      </c>
      <c r="P13" s="21">
        <f>'Semi Metrics'!L1289</f>
        <v/>
      </c>
      <c r="Q13" s="23">
        <f>'Semi Metrics'!L1431</f>
        <v/>
      </c>
      <c r="R13" s="25">
        <f>'Semi Revisions'!G11</f>
        <v/>
      </c>
      <c r="S13" s="25">
        <f>'Semi Revisions'!H11</f>
        <v/>
      </c>
      <c r="T13" s="25">
        <f>'Semi Revisions'!I11</f>
        <v/>
      </c>
      <c r="U13" s="25">
        <f>'Semi Revisions'!O11</f>
        <v/>
      </c>
      <c r="V13" s="25">
        <f>'Semi Revisions'!P11</f>
        <v/>
      </c>
      <c r="W13" s="25">
        <f>'Semi Revisions'!Q11</f>
        <v/>
      </c>
      <c r="X13" s="26">
        <f>IFERROR(RANK(D13,D$8:D$146),"")</f>
        <v/>
      </c>
      <c r="Y13" s="26">
        <f>IFERROR(RANK(S13,S$8:S$146),"")</f>
        <v/>
      </c>
    </row>
    <row r="14">
      <c r="A14" s="19">
        <f>'Semi Rev'!$A11</f>
        <v/>
      </c>
      <c r="B14" s="19">
        <f>'Semi Rev'!$B11</f>
        <v/>
      </c>
      <c r="C14" s="20">
        <f>IF(ISNUMBER('Semi Rev'!P11),'Semi Rev'!P11,"")</f>
        <v/>
      </c>
      <c r="D14" s="21">
        <f>'Semi Metrics'!L154</f>
        <v/>
      </c>
      <c r="E14" s="21">
        <f>'Semi Metrics'!K154</f>
        <v/>
      </c>
      <c r="F14" s="22">
        <f>IF(OR(D14="",E14=""),"",D14-E14)</f>
        <v/>
      </c>
      <c r="G14" s="21">
        <f>'Semi Metrics'!L296</f>
        <v/>
      </c>
      <c r="H14" s="20">
        <f>'Semi Metrics'!L580</f>
        <v/>
      </c>
      <c r="I14" s="20">
        <f>'Semi Metrics'!L438</f>
        <v/>
      </c>
      <c r="J14" s="21">
        <f>'Semi Metrics'!M154</f>
        <v/>
      </c>
      <c r="K14" s="21">
        <f>'Semi Metrics'!L722</f>
        <v/>
      </c>
      <c r="L14" s="23">
        <f>'Semi Metrics'!L864</f>
        <v/>
      </c>
      <c r="M14" s="21">
        <f>'Semi Metrics'!L1006</f>
        <v/>
      </c>
      <c r="N14" s="21">
        <f>'Semi Metrics'!L1148</f>
        <v/>
      </c>
      <c r="O14" s="24">
        <f>IFERROR(IF(AND(N(D14)&gt;0,N(M14)&gt;0),M14/D14,""),"")</f>
        <v/>
      </c>
      <c r="P14" s="21">
        <f>'Semi Metrics'!L1290</f>
        <v/>
      </c>
      <c r="Q14" s="23">
        <f>'Semi Metrics'!L1432</f>
        <v/>
      </c>
      <c r="R14" s="25">
        <f>'Semi Revisions'!G12</f>
        <v/>
      </c>
      <c r="S14" s="25">
        <f>'Semi Revisions'!H12</f>
        <v/>
      </c>
      <c r="T14" s="25">
        <f>'Semi Revisions'!I12</f>
        <v/>
      </c>
      <c r="U14" s="25">
        <f>'Semi Revisions'!O12</f>
        <v/>
      </c>
      <c r="V14" s="25">
        <f>'Semi Revisions'!P12</f>
        <v/>
      </c>
      <c r="W14" s="25">
        <f>'Semi Revisions'!Q12</f>
        <v/>
      </c>
      <c r="X14" s="26">
        <f>IFERROR(RANK(D14,D$8:D$146),"")</f>
        <v/>
      </c>
      <c r="Y14" s="26">
        <f>IFERROR(RANK(S14,S$8:S$146),"")</f>
        <v/>
      </c>
    </row>
    <row r="15">
      <c r="A15" s="19">
        <f>'Semi Rev'!$A12</f>
        <v/>
      </c>
      <c r="B15" s="19">
        <f>'Semi Rev'!$B12</f>
        <v/>
      </c>
      <c r="C15" s="20">
        <f>IF(ISNUMBER('Semi Rev'!P12),'Semi Rev'!P12,"")</f>
        <v/>
      </c>
      <c r="D15" s="21">
        <f>'Semi Metrics'!L155</f>
        <v/>
      </c>
      <c r="E15" s="21">
        <f>'Semi Metrics'!K155</f>
        <v/>
      </c>
      <c r="F15" s="22">
        <f>IF(OR(D15="",E15=""),"",D15-E15)</f>
        <v/>
      </c>
      <c r="G15" s="21">
        <f>'Semi Metrics'!L297</f>
        <v/>
      </c>
      <c r="H15" s="20">
        <f>'Semi Metrics'!L581</f>
        <v/>
      </c>
      <c r="I15" s="20">
        <f>'Semi Metrics'!L439</f>
        <v/>
      </c>
      <c r="J15" s="21">
        <f>'Semi Metrics'!M155</f>
        <v/>
      </c>
      <c r="K15" s="21">
        <f>'Semi Metrics'!L723</f>
        <v/>
      </c>
      <c r="L15" s="23">
        <f>'Semi Metrics'!L865</f>
        <v/>
      </c>
      <c r="M15" s="21">
        <f>'Semi Metrics'!L1007</f>
        <v/>
      </c>
      <c r="N15" s="21">
        <f>'Semi Metrics'!L1149</f>
        <v/>
      </c>
      <c r="O15" s="24">
        <f>IFERROR(IF(AND(N(D15)&gt;0,N(M15)&gt;0),M15/D15,""),"")</f>
        <v/>
      </c>
      <c r="P15" s="21">
        <f>'Semi Metrics'!L1291</f>
        <v/>
      </c>
      <c r="Q15" s="23">
        <f>'Semi Metrics'!L1433</f>
        <v/>
      </c>
      <c r="R15" s="25">
        <f>'Semi Revisions'!G13</f>
        <v/>
      </c>
      <c r="S15" s="25">
        <f>'Semi Revisions'!H13</f>
        <v/>
      </c>
      <c r="T15" s="25">
        <f>'Semi Revisions'!I13</f>
        <v/>
      </c>
      <c r="U15" s="25">
        <f>'Semi Revisions'!O13</f>
        <v/>
      </c>
      <c r="V15" s="25">
        <f>'Semi Revisions'!P13</f>
        <v/>
      </c>
      <c r="W15" s="25">
        <f>'Semi Revisions'!Q13</f>
        <v/>
      </c>
      <c r="X15" s="26">
        <f>IFERROR(RANK(D15,D$8:D$146),"")</f>
        <v/>
      </c>
      <c r="Y15" s="26">
        <f>IFERROR(RANK(S15,S$8:S$146),"")</f>
        <v/>
      </c>
    </row>
    <row r="16">
      <c r="A16" s="19">
        <f>'Semi Rev'!$A13</f>
        <v/>
      </c>
      <c r="B16" s="19">
        <f>'Semi Rev'!$B13</f>
        <v/>
      </c>
      <c r="C16" s="20">
        <f>IF(ISNUMBER('Semi Rev'!P13),'Semi Rev'!P13,"")</f>
        <v/>
      </c>
      <c r="D16" s="21">
        <f>'Semi Metrics'!L156</f>
        <v/>
      </c>
      <c r="E16" s="21">
        <f>'Semi Metrics'!K156</f>
        <v/>
      </c>
      <c r="F16" s="22">
        <f>IF(OR(D16="",E16=""),"",D16-E16)</f>
        <v/>
      </c>
      <c r="G16" s="21">
        <f>'Semi Metrics'!L298</f>
        <v/>
      </c>
      <c r="H16" s="20">
        <f>'Semi Metrics'!L582</f>
        <v/>
      </c>
      <c r="I16" s="20">
        <f>'Semi Metrics'!L440</f>
        <v/>
      </c>
      <c r="J16" s="21">
        <f>'Semi Metrics'!M156</f>
        <v/>
      </c>
      <c r="K16" s="21">
        <f>'Semi Metrics'!L724</f>
        <v/>
      </c>
      <c r="L16" s="23">
        <f>'Semi Metrics'!L866</f>
        <v/>
      </c>
      <c r="M16" s="21">
        <f>'Semi Metrics'!L1008</f>
        <v/>
      </c>
      <c r="N16" s="21">
        <f>'Semi Metrics'!L1150</f>
        <v/>
      </c>
      <c r="O16" s="24">
        <f>IFERROR(IF(AND(N(D16)&gt;0,N(M16)&gt;0),M16/D16,""),"")</f>
        <v/>
      </c>
      <c r="P16" s="21">
        <f>'Semi Metrics'!L1292</f>
        <v/>
      </c>
      <c r="Q16" s="23">
        <f>'Semi Metrics'!L1434</f>
        <v/>
      </c>
      <c r="R16" s="25">
        <f>'Semi Revisions'!G14</f>
        <v/>
      </c>
      <c r="S16" s="25">
        <f>'Semi Revisions'!H14</f>
        <v/>
      </c>
      <c r="T16" s="25">
        <f>'Semi Revisions'!I14</f>
        <v/>
      </c>
      <c r="U16" s="25">
        <f>'Semi Revisions'!O14</f>
        <v/>
      </c>
      <c r="V16" s="25">
        <f>'Semi Revisions'!P14</f>
        <v/>
      </c>
      <c r="W16" s="25">
        <f>'Semi Revisions'!Q14</f>
        <v/>
      </c>
      <c r="X16" s="26">
        <f>IFERROR(RANK(D16,D$8:D$146),"")</f>
        <v/>
      </c>
      <c r="Y16" s="26">
        <f>IFERROR(RANK(S16,S$8:S$146),"")</f>
        <v/>
      </c>
    </row>
    <row r="17">
      <c r="A17" s="19">
        <f>'Semi Rev'!$A14</f>
        <v/>
      </c>
      <c r="B17" s="19">
        <f>'Semi Rev'!$B14</f>
        <v/>
      </c>
      <c r="C17" s="20">
        <f>IF(ISNUMBER('Semi Rev'!P14),'Semi Rev'!P14,"")</f>
        <v/>
      </c>
      <c r="D17" s="21">
        <f>'Semi Metrics'!L157</f>
        <v/>
      </c>
      <c r="E17" s="21">
        <f>'Semi Metrics'!K157</f>
        <v/>
      </c>
      <c r="F17" s="22">
        <f>IF(OR(D17="",E17=""),"",D17-E17)</f>
        <v/>
      </c>
      <c r="G17" s="21">
        <f>'Semi Metrics'!L299</f>
        <v/>
      </c>
      <c r="H17" s="20">
        <f>'Semi Metrics'!L583</f>
        <v/>
      </c>
      <c r="I17" s="20">
        <f>'Semi Metrics'!L441</f>
        <v/>
      </c>
      <c r="J17" s="21">
        <f>'Semi Metrics'!M157</f>
        <v/>
      </c>
      <c r="K17" s="21">
        <f>'Semi Metrics'!L725</f>
        <v/>
      </c>
      <c r="L17" s="23">
        <f>'Semi Metrics'!L867</f>
        <v/>
      </c>
      <c r="M17" s="21">
        <f>'Semi Metrics'!L1009</f>
        <v/>
      </c>
      <c r="N17" s="21">
        <f>'Semi Metrics'!L1151</f>
        <v/>
      </c>
      <c r="O17" s="24">
        <f>IFERROR(IF(AND(N(D17)&gt;0,N(M17)&gt;0),M17/D17,""),"")</f>
        <v/>
      </c>
      <c r="P17" s="21">
        <f>'Semi Metrics'!L1293</f>
        <v/>
      </c>
      <c r="Q17" s="23">
        <f>'Semi Metrics'!L1435</f>
        <v/>
      </c>
      <c r="R17" s="25">
        <f>'Semi Revisions'!G15</f>
        <v/>
      </c>
      <c r="S17" s="25">
        <f>'Semi Revisions'!H15</f>
        <v/>
      </c>
      <c r="T17" s="25">
        <f>'Semi Revisions'!I15</f>
        <v/>
      </c>
      <c r="U17" s="25">
        <f>'Semi Revisions'!O15</f>
        <v/>
      </c>
      <c r="V17" s="25">
        <f>'Semi Revisions'!P15</f>
        <v/>
      </c>
      <c r="W17" s="25">
        <f>'Semi Revisions'!Q15</f>
        <v/>
      </c>
      <c r="X17" s="26">
        <f>IFERROR(RANK(D17,D$8:D$146),"")</f>
        <v/>
      </c>
      <c r="Y17" s="26">
        <f>IFERROR(RANK(S17,S$8:S$146),"")</f>
        <v/>
      </c>
    </row>
    <row r="18">
      <c r="A18" s="19">
        <f>'Semi Rev'!$A15</f>
        <v/>
      </c>
      <c r="B18" s="19">
        <f>'Semi Rev'!$B15</f>
        <v/>
      </c>
      <c r="C18" s="20">
        <f>IF(ISNUMBER('Semi Rev'!P15),'Semi Rev'!P15,"")</f>
        <v/>
      </c>
      <c r="D18" s="21">
        <f>'Semi Metrics'!L158</f>
        <v/>
      </c>
      <c r="E18" s="21">
        <f>'Semi Metrics'!K158</f>
        <v/>
      </c>
      <c r="F18" s="22">
        <f>IF(OR(D18="",E18=""),"",D18-E18)</f>
        <v/>
      </c>
      <c r="G18" s="21">
        <f>'Semi Metrics'!L300</f>
        <v/>
      </c>
      <c r="H18" s="20">
        <f>'Semi Metrics'!L584</f>
        <v/>
      </c>
      <c r="I18" s="20">
        <f>'Semi Metrics'!L442</f>
        <v/>
      </c>
      <c r="J18" s="21">
        <f>'Semi Metrics'!M158</f>
        <v/>
      </c>
      <c r="K18" s="21">
        <f>'Semi Metrics'!L726</f>
        <v/>
      </c>
      <c r="L18" s="23">
        <f>'Semi Metrics'!L868</f>
        <v/>
      </c>
      <c r="M18" s="21">
        <f>'Semi Metrics'!L1010</f>
        <v/>
      </c>
      <c r="N18" s="21">
        <f>'Semi Metrics'!L1152</f>
        <v/>
      </c>
      <c r="O18" s="24">
        <f>IFERROR(IF(AND(N(D18)&gt;0,N(M18)&gt;0),M18/D18,""),"")</f>
        <v/>
      </c>
      <c r="P18" s="21">
        <f>'Semi Metrics'!L1294</f>
        <v/>
      </c>
      <c r="Q18" s="23">
        <f>'Semi Metrics'!L1436</f>
        <v/>
      </c>
      <c r="R18" s="25">
        <f>'Semi Revisions'!G16</f>
        <v/>
      </c>
      <c r="S18" s="25">
        <f>'Semi Revisions'!H16</f>
        <v/>
      </c>
      <c r="T18" s="25">
        <f>'Semi Revisions'!I16</f>
        <v/>
      </c>
      <c r="U18" s="25">
        <f>'Semi Revisions'!O16</f>
        <v/>
      </c>
      <c r="V18" s="25">
        <f>'Semi Revisions'!P16</f>
        <v/>
      </c>
      <c r="W18" s="25">
        <f>'Semi Revisions'!Q16</f>
        <v/>
      </c>
      <c r="X18" s="26">
        <f>IFERROR(RANK(D18,D$8:D$146),"")</f>
        <v/>
      </c>
      <c r="Y18" s="26">
        <f>IFERROR(RANK(S18,S$8:S$146),"")</f>
        <v/>
      </c>
    </row>
    <row r="19">
      <c r="A19" s="19">
        <f>'Semi Rev'!$A16</f>
        <v/>
      </c>
      <c r="B19" s="19">
        <f>'Semi Rev'!$B16</f>
        <v/>
      </c>
      <c r="C19" s="20">
        <f>IF(ISNUMBER('Semi Rev'!P16),'Semi Rev'!P16,"")</f>
        <v/>
      </c>
      <c r="D19" s="21">
        <f>'Semi Metrics'!L159</f>
        <v/>
      </c>
      <c r="E19" s="21">
        <f>'Semi Metrics'!K159</f>
        <v/>
      </c>
      <c r="F19" s="22">
        <f>IF(OR(D19="",E19=""),"",D19-E19)</f>
        <v/>
      </c>
      <c r="G19" s="21">
        <f>'Semi Metrics'!L301</f>
        <v/>
      </c>
      <c r="H19" s="20">
        <f>'Semi Metrics'!L585</f>
        <v/>
      </c>
      <c r="I19" s="20">
        <f>'Semi Metrics'!L443</f>
        <v/>
      </c>
      <c r="J19" s="21">
        <f>'Semi Metrics'!M159</f>
        <v/>
      </c>
      <c r="K19" s="21">
        <f>'Semi Metrics'!L727</f>
        <v/>
      </c>
      <c r="L19" s="23">
        <f>'Semi Metrics'!L869</f>
        <v/>
      </c>
      <c r="M19" s="21">
        <f>'Semi Metrics'!L1011</f>
        <v/>
      </c>
      <c r="N19" s="21">
        <f>'Semi Metrics'!L1153</f>
        <v/>
      </c>
      <c r="O19" s="24">
        <f>IFERROR(IF(AND(N(D19)&gt;0,N(M19)&gt;0),M19/D19,""),"")</f>
        <v/>
      </c>
      <c r="P19" s="21">
        <f>'Semi Metrics'!L1295</f>
        <v/>
      </c>
      <c r="Q19" s="23">
        <f>'Semi Metrics'!L1437</f>
        <v/>
      </c>
      <c r="R19" s="25">
        <f>'Semi Revisions'!G17</f>
        <v/>
      </c>
      <c r="S19" s="25">
        <f>'Semi Revisions'!H17</f>
        <v/>
      </c>
      <c r="T19" s="25">
        <f>'Semi Revisions'!I17</f>
        <v/>
      </c>
      <c r="U19" s="25">
        <f>'Semi Revisions'!O17</f>
        <v/>
      </c>
      <c r="V19" s="25">
        <f>'Semi Revisions'!P17</f>
        <v/>
      </c>
      <c r="W19" s="25">
        <f>'Semi Revisions'!Q17</f>
        <v/>
      </c>
      <c r="X19" s="26">
        <f>IFERROR(RANK(D19,D$8:D$146),"")</f>
        <v/>
      </c>
      <c r="Y19" s="26">
        <f>IFERROR(RANK(S19,S$8:S$146),"")</f>
        <v/>
      </c>
    </row>
    <row r="20">
      <c r="A20" s="19">
        <f>'Semi Rev'!$A17</f>
        <v/>
      </c>
      <c r="B20" s="19">
        <f>'Semi Rev'!$B17</f>
        <v/>
      </c>
      <c r="C20" s="20">
        <f>IF(ISNUMBER('Semi Rev'!P17),'Semi Rev'!P17,"")</f>
        <v/>
      </c>
      <c r="D20" s="21">
        <f>'Semi Metrics'!L160</f>
        <v/>
      </c>
      <c r="E20" s="21">
        <f>'Semi Metrics'!K160</f>
        <v/>
      </c>
      <c r="F20" s="22">
        <f>IF(OR(D20="",E20=""),"",D20-E20)</f>
        <v/>
      </c>
      <c r="G20" s="21">
        <f>'Semi Metrics'!L302</f>
        <v/>
      </c>
      <c r="H20" s="20">
        <f>'Semi Metrics'!L586</f>
        <v/>
      </c>
      <c r="I20" s="20">
        <f>'Semi Metrics'!L444</f>
        <v/>
      </c>
      <c r="J20" s="21">
        <f>'Semi Metrics'!M160</f>
        <v/>
      </c>
      <c r="K20" s="21">
        <f>'Semi Metrics'!L728</f>
        <v/>
      </c>
      <c r="L20" s="23">
        <f>'Semi Metrics'!L870</f>
        <v/>
      </c>
      <c r="M20" s="21">
        <f>'Semi Metrics'!L1012</f>
        <v/>
      </c>
      <c r="N20" s="21">
        <f>'Semi Metrics'!L1154</f>
        <v/>
      </c>
      <c r="O20" s="24">
        <f>IFERROR(IF(AND(N(D20)&gt;0,N(M20)&gt;0),M20/D20,""),"")</f>
        <v/>
      </c>
      <c r="P20" s="21">
        <f>'Semi Metrics'!L1296</f>
        <v/>
      </c>
      <c r="Q20" s="23">
        <f>'Semi Metrics'!L1438</f>
        <v/>
      </c>
      <c r="R20" s="25">
        <f>'Semi Revisions'!G18</f>
        <v/>
      </c>
      <c r="S20" s="25">
        <f>'Semi Revisions'!H18</f>
        <v/>
      </c>
      <c r="T20" s="25">
        <f>'Semi Revisions'!I18</f>
        <v/>
      </c>
      <c r="U20" s="25">
        <f>'Semi Revisions'!O18</f>
        <v/>
      </c>
      <c r="V20" s="25">
        <f>'Semi Revisions'!P18</f>
        <v/>
      </c>
      <c r="W20" s="25">
        <f>'Semi Revisions'!Q18</f>
        <v/>
      </c>
      <c r="X20" s="26">
        <f>IFERROR(RANK(D20,D$8:D$146),"")</f>
        <v/>
      </c>
      <c r="Y20" s="26">
        <f>IFERROR(RANK(S20,S$8:S$146),"")</f>
        <v/>
      </c>
    </row>
    <row r="21">
      <c r="A21" s="19">
        <f>'Semi Rev'!$A18</f>
        <v/>
      </c>
      <c r="B21" s="19">
        <f>'Semi Rev'!$B18</f>
        <v/>
      </c>
      <c r="C21" s="20">
        <f>IF(ISNUMBER('Semi Rev'!P18),'Semi Rev'!P18,"")</f>
        <v/>
      </c>
      <c r="D21" s="21">
        <f>'Semi Metrics'!L161</f>
        <v/>
      </c>
      <c r="E21" s="21">
        <f>'Semi Metrics'!K161</f>
        <v/>
      </c>
      <c r="F21" s="22">
        <f>IF(OR(D21="",E21=""),"",D21-E21)</f>
        <v/>
      </c>
      <c r="G21" s="21">
        <f>'Semi Metrics'!L303</f>
        <v/>
      </c>
      <c r="H21" s="20">
        <f>'Semi Metrics'!L587</f>
        <v/>
      </c>
      <c r="I21" s="20">
        <f>'Semi Metrics'!L445</f>
        <v/>
      </c>
      <c r="J21" s="21">
        <f>'Semi Metrics'!M161</f>
        <v/>
      </c>
      <c r="K21" s="21">
        <f>'Semi Metrics'!L729</f>
        <v/>
      </c>
      <c r="L21" s="23">
        <f>'Semi Metrics'!L871</f>
        <v/>
      </c>
      <c r="M21" s="21">
        <f>'Semi Metrics'!L1013</f>
        <v/>
      </c>
      <c r="N21" s="21">
        <f>'Semi Metrics'!L1155</f>
        <v/>
      </c>
      <c r="O21" s="24">
        <f>IFERROR(IF(AND(N(D21)&gt;0,N(M21)&gt;0),M21/D21,""),"")</f>
        <v/>
      </c>
      <c r="P21" s="21">
        <f>'Semi Metrics'!L1297</f>
        <v/>
      </c>
      <c r="Q21" s="23">
        <f>'Semi Metrics'!L1439</f>
        <v/>
      </c>
      <c r="R21" s="25">
        <f>'Semi Revisions'!G19</f>
        <v/>
      </c>
      <c r="S21" s="25">
        <f>'Semi Revisions'!H19</f>
        <v/>
      </c>
      <c r="T21" s="25">
        <f>'Semi Revisions'!I19</f>
        <v/>
      </c>
      <c r="U21" s="25">
        <f>'Semi Revisions'!O19</f>
        <v/>
      </c>
      <c r="V21" s="25">
        <f>'Semi Revisions'!P19</f>
        <v/>
      </c>
      <c r="W21" s="25">
        <f>'Semi Revisions'!Q19</f>
        <v/>
      </c>
      <c r="X21" s="26">
        <f>IFERROR(RANK(D21,D$8:D$146),"")</f>
        <v/>
      </c>
      <c r="Y21" s="26">
        <f>IFERROR(RANK(S21,S$8:S$146),"")</f>
        <v/>
      </c>
    </row>
    <row r="22">
      <c r="A22" s="19">
        <f>'Semi Rev'!$A19</f>
        <v/>
      </c>
      <c r="B22" s="19">
        <f>'Semi Rev'!$B19</f>
        <v/>
      </c>
      <c r="C22" s="20">
        <f>IF(ISNUMBER('Semi Rev'!P19),'Semi Rev'!P19,"")</f>
        <v/>
      </c>
      <c r="D22" s="21">
        <f>'Semi Metrics'!L162</f>
        <v/>
      </c>
      <c r="E22" s="21">
        <f>'Semi Metrics'!K162</f>
        <v/>
      </c>
      <c r="F22" s="22">
        <f>IF(OR(D22="",E22=""),"",D22-E22)</f>
        <v/>
      </c>
      <c r="G22" s="21">
        <f>'Semi Metrics'!L304</f>
        <v/>
      </c>
      <c r="H22" s="20">
        <f>'Semi Metrics'!L588</f>
        <v/>
      </c>
      <c r="I22" s="20">
        <f>'Semi Metrics'!L446</f>
        <v/>
      </c>
      <c r="J22" s="21">
        <f>'Semi Metrics'!M162</f>
        <v/>
      </c>
      <c r="K22" s="21">
        <f>'Semi Metrics'!L730</f>
        <v/>
      </c>
      <c r="L22" s="23">
        <f>'Semi Metrics'!L872</f>
        <v/>
      </c>
      <c r="M22" s="21">
        <f>'Semi Metrics'!L1014</f>
        <v/>
      </c>
      <c r="N22" s="21">
        <f>'Semi Metrics'!L1156</f>
        <v/>
      </c>
      <c r="O22" s="24">
        <f>IFERROR(IF(AND(N(D22)&gt;0,N(M22)&gt;0),M22/D22,""),"")</f>
        <v/>
      </c>
      <c r="P22" s="21">
        <f>'Semi Metrics'!L1298</f>
        <v/>
      </c>
      <c r="Q22" s="23">
        <f>'Semi Metrics'!L1440</f>
        <v/>
      </c>
      <c r="R22" s="25">
        <f>'Semi Revisions'!G20</f>
        <v/>
      </c>
      <c r="S22" s="25">
        <f>'Semi Revisions'!H20</f>
        <v/>
      </c>
      <c r="T22" s="25">
        <f>'Semi Revisions'!I20</f>
        <v/>
      </c>
      <c r="U22" s="25">
        <f>'Semi Revisions'!O20</f>
        <v/>
      </c>
      <c r="V22" s="25">
        <f>'Semi Revisions'!P20</f>
        <v/>
      </c>
      <c r="W22" s="25">
        <f>'Semi Revisions'!Q20</f>
        <v/>
      </c>
      <c r="X22" s="26">
        <f>IFERROR(RANK(D22,D$8:D$146),"")</f>
        <v/>
      </c>
      <c r="Y22" s="26">
        <f>IFERROR(RANK(S22,S$8:S$146),"")</f>
        <v/>
      </c>
    </row>
    <row r="23">
      <c r="A23" s="19">
        <f>'Semi Rev'!$A20</f>
        <v/>
      </c>
      <c r="B23" s="19">
        <f>'Semi Rev'!$B20</f>
        <v/>
      </c>
      <c r="C23" s="20">
        <f>IF(ISNUMBER('Semi Rev'!P20),'Semi Rev'!P20,"")</f>
        <v/>
      </c>
      <c r="D23" s="21">
        <f>'Semi Metrics'!L163</f>
        <v/>
      </c>
      <c r="E23" s="21">
        <f>'Semi Metrics'!K163</f>
        <v/>
      </c>
      <c r="F23" s="22">
        <f>IF(OR(D23="",E23=""),"",D23-E23)</f>
        <v/>
      </c>
      <c r="G23" s="21">
        <f>'Semi Metrics'!L305</f>
        <v/>
      </c>
      <c r="H23" s="20">
        <f>'Semi Metrics'!L589</f>
        <v/>
      </c>
      <c r="I23" s="20">
        <f>'Semi Metrics'!L447</f>
        <v/>
      </c>
      <c r="J23" s="21">
        <f>'Semi Metrics'!M163</f>
        <v/>
      </c>
      <c r="K23" s="21">
        <f>'Semi Metrics'!L731</f>
        <v/>
      </c>
      <c r="L23" s="23">
        <f>'Semi Metrics'!L873</f>
        <v/>
      </c>
      <c r="M23" s="21">
        <f>'Semi Metrics'!L1015</f>
        <v/>
      </c>
      <c r="N23" s="21">
        <f>'Semi Metrics'!L1157</f>
        <v/>
      </c>
      <c r="O23" s="24">
        <f>IFERROR(IF(AND(N(D23)&gt;0,N(M23)&gt;0),M23/D23,""),"")</f>
        <v/>
      </c>
      <c r="P23" s="21">
        <f>'Semi Metrics'!L1299</f>
        <v/>
      </c>
      <c r="Q23" s="23">
        <f>'Semi Metrics'!L1441</f>
        <v/>
      </c>
      <c r="R23" s="25">
        <f>'Semi Revisions'!G21</f>
        <v/>
      </c>
      <c r="S23" s="25">
        <f>'Semi Revisions'!H21</f>
        <v/>
      </c>
      <c r="T23" s="25">
        <f>'Semi Revisions'!I21</f>
        <v/>
      </c>
      <c r="U23" s="25">
        <f>'Semi Revisions'!O21</f>
        <v/>
      </c>
      <c r="V23" s="25">
        <f>'Semi Revisions'!P21</f>
        <v/>
      </c>
      <c r="W23" s="25">
        <f>'Semi Revisions'!Q21</f>
        <v/>
      </c>
      <c r="X23" s="26">
        <f>IFERROR(RANK(D23,D$8:D$146),"")</f>
        <v/>
      </c>
      <c r="Y23" s="26">
        <f>IFERROR(RANK(S23,S$8:S$146),"")</f>
        <v/>
      </c>
    </row>
    <row r="24">
      <c r="A24" s="19">
        <f>'Semi Rev'!$A21</f>
        <v/>
      </c>
      <c r="B24" s="19">
        <f>'Semi Rev'!$B21</f>
        <v/>
      </c>
      <c r="C24" s="20">
        <f>IF(ISNUMBER('Semi Rev'!P21),'Semi Rev'!P21,"")</f>
        <v/>
      </c>
      <c r="D24" s="21">
        <f>'Semi Metrics'!L164</f>
        <v/>
      </c>
      <c r="E24" s="21">
        <f>'Semi Metrics'!K164</f>
        <v/>
      </c>
      <c r="F24" s="22">
        <f>IF(OR(D24="",E24=""),"",D24-E24)</f>
        <v/>
      </c>
      <c r="G24" s="21">
        <f>'Semi Metrics'!L306</f>
        <v/>
      </c>
      <c r="H24" s="20">
        <f>'Semi Metrics'!L590</f>
        <v/>
      </c>
      <c r="I24" s="20">
        <f>'Semi Metrics'!L448</f>
        <v/>
      </c>
      <c r="J24" s="21">
        <f>'Semi Metrics'!M164</f>
        <v/>
      </c>
      <c r="K24" s="21">
        <f>'Semi Metrics'!L732</f>
        <v/>
      </c>
      <c r="L24" s="23">
        <f>'Semi Metrics'!L874</f>
        <v/>
      </c>
      <c r="M24" s="21">
        <f>'Semi Metrics'!L1016</f>
        <v/>
      </c>
      <c r="N24" s="21">
        <f>'Semi Metrics'!L1158</f>
        <v/>
      </c>
      <c r="O24" s="24">
        <f>IFERROR(IF(AND(N(D24)&gt;0,N(M24)&gt;0),M24/D24,""),"")</f>
        <v/>
      </c>
      <c r="P24" s="21">
        <f>'Semi Metrics'!L1300</f>
        <v/>
      </c>
      <c r="Q24" s="23">
        <f>'Semi Metrics'!L1442</f>
        <v/>
      </c>
      <c r="R24" s="25">
        <f>'Semi Revisions'!G22</f>
        <v/>
      </c>
      <c r="S24" s="25">
        <f>'Semi Revisions'!H22</f>
        <v/>
      </c>
      <c r="T24" s="25">
        <f>'Semi Revisions'!I22</f>
        <v/>
      </c>
      <c r="U24" s="25">
        <f>'Semi Revisions'!O22</f>
        <v/>
      </c>
      <c r="V24" s="25">
        <f>'Semi Revisions'!P22</f>
        <v/>
      </c>
      <c r="W24" s="25">
        <f>'Semi Revisions'!Q22</f>
        <v/>
      </c>
      <c r="X24" s="26">
        <f>IFERROR(RANK(D24,D$8:D$146),"")</f>
        <v/>
      </c>
      <c r="Y24" s="26">
        <f>IFERROR(RANK(S24,S$8:S$146),"")</f>
        <v/>
      </c>
    </row>
    <row r="25">
      <c r="A25" s="19">
        <f>'Semi Rev'!$A22</f>
        <v/>
      </c>
      <c r="B25" s="19">
        <f>'Semi Rev'!$B22</f>
        <v/>
      </c>
      <c r="C25" s="20">
        <f>IF(ISNUMBER('Semi Rev'!P22),'Semi Rev'!P22,"")</f>
        <v/>
      </c>
      <c r="D25" s="21">
        <f>'Semi Metrics'!L165</f>
        <v/>
      </c>
      <c r="E25" s="21">
        <f>'Semi Metrics'!K165</f>
        <v/>
      </c>
      <c r="F25" s="22">
        <f>IF(OR(D25="",E25=""),"",D25-E25)</f>
        <v/>
      </c>
      <c r="G25" s="21">
        <f>'Semi Metrics'!L307</f>
        <v/>
      </c>
      <c r="H25" s="20">
        <f>'Semi Metrics'!L591</f>
        <v/>
      </c>
      <c r="I25" s="20">
        <f>'Semi Metrics'!L449</f>
        <v/>
      </c>
      <c r="J25" s="21">
        <f>'Semi Metrics'!M165</f>
        <v/>
      </c>
      <c r="K25" s="21">
        <f>'Semi Metrics'!L733</f>
        <v/>
      </c>
      <c r="L25" s="23">
        <f>'Semi Metrics'!L875</f>
        <v/>
      </c>
      <c r="M25" s="21">
        <f>'Semi Metrics'!L1017</f>
        <v/>
      </c>
      <c r="N25" s="21">
        <f>'Semi Metrics'!L1159</f>
        <v/>
      </c>
      <c r="O25" s="24">
        <f>IFERROR(IF(AND(N(D25)&gt;0,N(M25)&gt;0),M25/D25,""),"")</f>
        <v/>
      </c>
      <c r="P25" s="21">
        <f>'Semi Metrics'!L1301</f>
        <v/>
      </c>
      <c r="Q25" s="23">
        <f>'Semi Metrics'!L1443</f>
        <v/>
      </c>
      <c r="R25" s="25">
        <f>'Semi Revisions'!G23</f>
        <v/>
      </c>
      <c r="S25" s="25">
        <f>'Semi Revisions'!H23</f>
        <v/>
      </c>
      <c r="T25" s="25">
        <f>'Semi Revisions'!I23</f>
        <v/>
      </c>
      <c r="U25" s="25">
        <f>'Semi Revisions'!O23</f>
        <v/>
      </c>
      <c r="V25" s="25">
        <f>'Semi Revisions'!P23</f>
        <v/>
      </c>
      <c r="W25" s="25">
        <f>'Semi Revisions'!Q23</f>
        <v/>
      </c>
      <c r="X25" s="26">
        <f>IFERROR(RANK(D25,D$8:D$146),"")</f>
        <v/>
      </c>
      <c r="Y25" s="26">
        <f>IFERROR(RANK(S25,S$8:S$146),"")</f>
        <v/>
      </c>
    </row>
    <row r="26">
      <c r="A26" s="19">
        <f>'Semi Rev'!$A23</f>
        <v/>
      </c>
      <c r="B26" s="19">
        <f>'Semi Rev'!$B23</f>
        <v/>
      </c>
      <c r="C26" s="20">
        <f>IF(ISNUMBER('Semi Rev'!P23),'Semi Rev'!P23,"")</f>
        <v/>
      </c>
      <c r="D26" s="21">
        <f>'Semi Metrics'!L166</f>
        <v/>
      </c>
      <c r="E26" s="21">
        <f>'Semi Metrics'!K166</f>
        <v/>
      </c>
      <c r="F26" s="22">
        <f>IF(OR(D26="",E26=""),"",D26-E26)</f>
        <v/>
      </c>
      <c r="G26" s="21">
        <f>'Semi Metrics'!L308</f>
        <v/>
      </c>
      <c r="H26" s="20">
        <f>'Semi Metrics'!L592</f>
        <v/>
      </c>
      <c r="I26" s="20">
        <f>'Semi Metrics'!L450</f>
        <v/>
      </c>
      <c r="J26" s="21">
        <f>'Semi Metrics'!M166</f>
        <v/>
      </c>
      <c r="K26" s="21">
        <f>'Semi Metrics'!L734</f>
        <v/>
      </c>
      <c r="L26" s="23">
        <f>'Semi Metrics'!L876</f>
        <v/>
      </c>
      <c r="M26" s="21">
        <f>'Semi Metrics'!L1018</f>
        <v/>
      </c>
      <c r="N26" s="21">
        <f>'Semi Metrics'!L1160</f>
        <v/>
      </c>
      <c r="O26" s="24">
        <f>IFERROR(IF(AND(N(D26)&gt;0,N(M26)&gt;0),M26/D26,""),"")</f>
        <v/>
      </c>
      <c r="P26" s="21">
        <f>'Semi Metrics'!L1302</f>
        <v/>
      </c>
      <c r="Q26" s="23">
        <f>'Semi Metrics'!L1444</f>
        <v/>
      </c>
      <c r="R26" s="25">
        <f>'Semi Revisions'!G24</f>
        <v/>
      </c>
      <c r="S26" s="25">
        <f>'Semi Revisions'!H24</f>
        <v/>
      </c>
      <c r="T26" s="25">
        <f>'Semi Revisions'!I24</f>
        <v/>
      </c>
      <c r="U26" s="25">
        <f>'Semi Revisions'!O24</f>
        <v/>
      </c>
      <c r="V26" s="25">
        <f>'Semi Revisions'!P24</f>
        <v/>
      </c>
      <c r="W26" s="25">
        <f>'Semi Revisions'!Q24</f>
        <v/>
      </c>
      <c r="X26" s="26">
        <f>IFERROR(RANK(D26,D$8:D$146),"")</f>
        <v/>
      </c>
      <c r="Y26" s="26">
        <f>IFERROR(RANK(S26,S$8:S$146),"")</f>
        <v/>
      </c>
    </row>
    <row r="27">
      <c r="A27" s="19">
        <f>'Semi Rev'!$A24</f>
        <v/>
      </c>
      <c r="B27" s="19">
        <f>'Semi Rev'!$B24</f>
        <v/>
      </c>
      <c r="C27" s="20">
        <f>IF(ISNUMBER('Semi Rev'!P24),'Semi Rev'!P24,"")</f>
        <v/>
      </c>
      <c r="D27" s="21">
        <f>'Semi Metrics'!L167</f>
        <v/>
      </c>
      <c r="E27" s="21">
        <f>'Semi Metrics'!K167</f>
        <v/>
      </c>
      <c r="F27" s="22">
        <f>IF(OR(D27="",E27=""),"",D27-E27)</f>
        <v/>
      </c>
      <c r="G27" s="21">
        <f>'Semi Metrics'!L309</f>
        <v/>
      </c>
      <c r="H27" s="20">
        <f>'Semi Metrics'!L593</f>
        <v/>
      </c>
      <c r="I27" s="20">
        <f>'Semi Metrics'!L451</f>
        <v/>
      </c>
      <c r="J27" s="21">
        <f>'Semi Metrics'!M167</f>
        <v/>
      </c>
      <c r="K27" s="21">
        <f>'Semi Metrics'!L735</f>
        <v/>
      </c>
      <c r="L27" s="23">
        <f>'Semi Metrics'!L877</f>
        <v/>
      </c>
      <c r="M27" s="21">
        <f>'Semi Metrics'!L1019</f>
        <v/>
      </c>
      <c r="N27" s="21">
        <f>'Semi Metrics'!L1161</f>
        <v/>
      </c>
      <c r="O27" s="24">
        <f>IFERROR(IF(AND(N(D27)&gt;0,N(M27)&gt;0),M27/D27,""),"")</f>
        <v/>
      </c>
      <c r="P27" s="21">
        <f>'Semi Metrics'!L1303</f>
        <v/>
      </c>
      <c r="Q27" s="23">
        <f>'Semi Metrics'!L1445</f>
        <v/>
      </c>
      <c r="R27" s="25">
        <f>'Semi Revisions'!G25</f>
        <v/>
      </c>
      <c r="S27" s="25">
        <f>'Semi Revisions'!H25</f>
        <v/>
      </c>
      <c r="T27" s="25">
        <f>'Semi Revisions'!I25</f>
        <v/>
      </c>
      <c r="U27" s="25">
        <f>'Semi Revisions'!O25</f>
        <v/>
      </c>
      <c r="V27" s="25">
        <f>'Semi Revisions'!P25</f>
        <v/>
      </c>
      <c r="W27" s="25">
        <f>'Semi Revisions'!Q25</f>
        <v/>
      </c>
      <c r="X27" s="26">
        <f>IFERROR(RANK(D27,D$8:D$146),"")</f>
        <v/>
      </c>
      <c r="Y27" s="26">
        <f>IFERROR(RANK(S27,S$8:S$146),"")</f>
        <v/>
      </c>
    </row>
    <row r="28">
      <c r="A28" s="19">
        <f>'Semi Rev'!$A25</f>
        <v/>
      </c>
      <c r="B28" s="19">
        <f>'Semi Rev'!$B25</f>
        <v/>
      </c>
      <c r="C28" s="20">
        <f>IF(ISNUMBER('Semi Rev'!P25),'Semi Rev'!P25,"")</f>
        <v/>
      </c>
      <c r="D28" s="21">
        <f>'Semi Metrics'!L168</f>
        <v/>
      </c>
      <c r="E28" s="21">
        <f>'Semi Metrics'!K168</f>
        <v/>
      </c>
      <c r="F28" s="22">
        <f>IF(OR(D28="",E28=""),"",D28-E28)</f>
        <v/>
      </c>
      <c r="G28" s="21">
        <f>'Semi Metrics'!L310</f>
        <v/>
      </c>
      <c r="H28" s="20">
        <f>'Semi Metrics'!L594</f>
        <v/>
      </c>
      <c r="I28" s="20">
        <f>'Semi Metrics'!L452</f>
        <v/>
      </c>
      <c r="J28" s="21">
        <f>'Semi Metrics'!M168</f>
        <v/>
      </c>
      <c r="K28" s="21">
        <f>'Semi Metrics'!L736</f>
        <v/>
      </c>
      <c r="L28" s="23">
        <f>'Semi Metrics'!L878</f>
        <v/>
      </c>
      <c r="M28" s="21">
        <f>'Semi Metrics'!L1020</f>
        <v/>
      </c>
      <c r="N28" s="21">
        <f>'Semi Metrics'!L1162</f>
        <v/>
      </c>
      <c r="O28" s="24">
        <f>IFERROR(IF(AND(N(D28)&gt;0,N(M28)&gt;0),M28/D28,""),"")</f>
        <v/>
      </c>
      <c r="P28" s="21">
        <f>'Semi Metrics'!L1304</f>
        <v/>
      </c>
      <c r="Q28" s="23">
        <f>'Semi Metrics'!L1446</f>
        <v/>
      </c>
      <c r="R28" s="25">
        <f>'Semi Revisions'!G26</f>
        <v/>
      </c>
      <c r="S28" s="25">
        <f>'Semi Revisions'!H26</f>
        <v/>
      </c>
      <c r="T28" s="25">
        <f>'Semi Revisions'!I26</f>
        <v/>
      </c>
      <c r="U28" s="25">
        <f>'Semi Revisions'!O26</f>
        <v/>
      </c>
      <c r="V28" s="25">
        <f>'Semi Revisions'!P26</f>
        <v/>
      </c>
      <c r="W28" s="25">
        <f>'Semi Revisions'!Q26</f>
        <v/>
      </c>
      <c r="X28" s="26">
        <f>IFERROR(RANK(D28,D$8:D$146),"")</f>
        <v/>
      </c>
      <c r="Y28" s="26">
        <f>IFERROR(RANK(S28,S$8:S$146),"")</f>
        <v/>
      </c>
    </row>
    <row r="29">
      <c r="A29" s="19">
        <f>'Semi Rev'!$A26</f>
        <v/>
      </c>
      <c r="B29" s="19">
        <f>'Semi Rev'!$B26</f>
        <v/>
      </c>
      <c r="C29" s="20">
        <f>IF(ISNUMBER('Semi Rev'!P26),'Semi Rev'!P26,"")</f>
        <v/>
      </c>
      <c r="D29" s="21">
        <f>'Semi Metrics'!L169</f>
        <v/>
      </c>
      <c r="E29" s="21">
        <f>'Semi Metrics'!K169</f>
        <v/>
      </c>
      <c r="F29" s="22">
        <f>IF(OR(D29="",E29=""),"",D29-E29)</f>
        <v/>
      </c>
      <c r="G29" s="21">
        <f>'Semi Metrics'!L311</f>
        <v/>
      </c>
      <c r="H29" s="20">
        <f>'Semi Metrics'!L595</f>
        <v/>
      </c>
      <c r="I29" s="20">
        <f>'Semi Metrics'!L453</f>
        <v/>
      </c>
      <c r="J29" s="21">
        <f>'Semi Metrics'!M169</f>
        <v/>
      </c>
      <c r="K29" s="21">
        <f>'Semi Metrics'!L737</f>
        <v/>
      </c>
      <c r="L29" s="23">
        <f>'Semi Metrics'!L879</f>
        <v/>
      </c>
      <c r="M29" s="21">
        <f>'Semi Metrics'!L1021</f>
        <v/>
      </c>
      <c r="N29" s="21">
        <f>'Semi Metrics'!L1163</f>
        <v/>
      </c>
      <c r="O29" s="24">
        <f>IFERROR(IF(AND(N(D29)&gt;0,N(M29)&gt;0),M29/D29,""),"")</f>
        <v/>
      </c>
      <c r="P29" s="21">
        <f>'Semi Metrics'!L1305</f>
        <v/>
      </c>
      <c r="Q29" s="23">
        <f>'Semi Metrics'!L1447</f>
        <v/>
      </c>
      <c r="R29" s="25">
        <f>'Semi Revisions'!G27</f>
        <v/>
      </c>
      <c r="S29" s="25">
        <f>'Semi Revisions'!H27</f>
        <v/>
      </c>
      <c r="T29" s="25">
        <f>'Semi Revisions'!I27</f>
        <v/>
      </c>
      <c r="U29" s="25">
        <f>'Semi Revisions'!O27</f>
        <v/>
      </c>
      <c r="V29" s="25">
        <f>'Semi Revisions'!P27</f>
        <v/>
      </c>
      <c r="W29" s="25">
        <f>'Semi Revisions'!Q27</f>
        <v/>
      </c>
      <c r="X29" s="26">
        <f>IFERROR(RANK(D29,D$8:D$146),"")</f>
        <v/>
      </c>
      <c r="Y29" s="26">
        <f>IFERROR(RANK(S29,S$8:S$146),"")</f>
        <v/>
      </c>
    </row>
    <row r="30">
      <c r="A30" s="19">
        <f>'Semi Rev'!$A27</f>
        <v/>
      </c>
      <c r="B30" s="19">
        <f>'Semi Rev'!$B27</f>
        <v/>
      </c>
      <c r="C30" s="20">
        <f>IF(ISNUMBER('Semi Rev'!P27),'Semi Rev'!P27,"")</f>
        <v/>
      </c>
      <c r="D30" s="21">
        <f>'Semi Metrics'!L170</f>
        <v/>
      </c>
      <c r="E30" s="21">
        <f>'Semi Metrics'!K170</f>
        <v/>
      </c>
      <c r="F30" s="22">
        <f>IF(OR(D30="",E30=""),"",D30-E30)</f>
        <v/>
      </c>
      <c r="G30" s="21">
        <f>'Semi Metrics'!L312</f>
        <v/>
      </c>
      <c r="H30" s="20">
        <f>'Semi Metrics'!L596</f>
        <v/>
      </c>
      <c r="I30" s="20">
        <f>'Semi Metrics'!L454</f>
        <v/>
      </c>
      <c r="J30" s="21">
        <f>'Semi Metrics'!M170</f>
        <v/>
      </c>
      <c r="K30" s="21">
        <f>'Semi Metrics'!L738</f>
        <v/>
      </c>
      <c r="L30" s="23">
        <f>'Semi Metrics'!L880</f>
        <v/>
      </c>
      <c r="M30" s="21">
        <f>'Semi Metrics'!L1022</f>
        <v/>
      </c>
      <c r="N30" s="21">
        <f>'Semi Metrics'!L1164</f>
        <v/>
      </c>
      <c r="O30" s="24">
        <f>IFERROR(IF(AND(N(D30)&gt;0,N(M30)&gt;0),M30/D30,""),"")</f>
        <v/>
      </c>
      <c r="P30" s="21">
        <f>'Semi Metrics'!L1306</f>
        <v/>
      </c>
      <c r="Q30" s="23">
        <f>'Semi Metrics'!L1448</f>
        <v/>
      </c>
      <c r="R30" s="25">
        <f>'Semi Revisions'!G28</f>
        <v/>
      </c>
      <c r="S30" s="25">
        <f>'Semi Revisions'!H28</f>
        <v/>
      </c>
      <c r="T30" s="25">
        <f>'Semi Revisions'!I28</f>
        <v/>
      </c>
      <c r="U30" s="25">
        <f>'Semi Revisions'!O28</f>
        <v/>
      </c>
      <c r="V30" s="25">
        <f>'Semi Revisions'!P28</f>
        <v/>
      </c>
      <c r="W30" s="25">
        <f>'Semi Revisions'!Q28</f>
        <v/>
      </c>
      <c r="X30" s="26">
        <f>IFERROR(RANK(D30,D$8:D$146),"")</f>
        <v/>
      </c>
      <c r="Y30" s="26">
        <f>IFERROR(RANK(S30,S$8:S$146),"")</f>
        <v/>
      </c>
    </row>
    <row r="31">
      <c r="A31" s="19">
        <f>'Semi Rev'!$A28</f>
        <v/>
      </c>
      <c r="B31" s="19">
        <f>'Semi Rev'!$B28</f>
        <v/>
      </c>
      <c r="C31" s="20">
        <f>IF(ISNUMBER('Semi Rev'!P28),'Semi Rev'!P28,"")</f>
        <v/>
      </c>
      <c r="D31" s="21">
        <f>'Semi Metrics'!L171</f>
        <v/>
      </c>
      <c r="E31" s="21">
        <f>'Semi Metrics'!K171</f>
        <v/>
      </c>
      <c r="F31" s="22">
        <f>IF(OR(D31="",E31=""),"",D31-E31)</f>
        <v/>
      </c>
      <c r="G31" s="21">
        <f>'Semi Metrics'!L313</f>
        <v/>
      </c>
      <c r="H31" s="20">
        <f>'Semi Metrics'!L597</f>
        <v/>
      </c>
      <c r="I31" s="20">
        <f>'Semi Metrics'!L455</f>
        <v/>
      </c>
      <c r="J31" s="21">
        <f>'Semi Metrics'!M171</f>
        <v/>
      </c>
      <c r="K31" s="21">
        <f>'Semi Metrics'!L739</f>
        <v/>
      </c>
      <c r="L31" s="23">
        <f>'Semi Metrics'!L881</f>
        <v/>
      </c>
      <c r="M31" s="21">
        <f>'Semi Metrics'!L1023</f>
        <v/>
      </c>
      <c r="N31" s="21">
        <f>'Semi Metrics'!L1165</f>
        <v/>
      </c>
      <c r="O31" s="24">
        <f>IFERROR(IF(AND(N(D31)&gt;0,N(M31)&gt;0),M31/D31,""),"")</f>
        <v/>
      </c>
      <c r="P31" s="21">
        <f>'Semi Metrics'!L1307</f>
        <v/>
      </c>
      <c r="Q31" s="23">
        <f>'Semi Metrics'!L1449</f>
        <v/>
      </c>
      <c r="R31" s="25">
        <f>'Semi Revisions'!G29</f>
        <v/>
      </c>
      <c r="S31" s="25">
        <f>'Semi Revisions'!H29</f>
        <v/>
      </c>
      <c r="T31" s="25">
        <f>'Semi Revisions'!I29</f>
        <v/>
      </c>
      <c r="U31" s="25">
        <f>'Semi Revisions'!O29</f>
        <v/>
      </c>
      <c r="V31" s="25">
        <f>'Semi Revisions'!P29</f>
        <v/>
      </c>
      <c r="W31" s="25">
        <f>'Semi Revisions'!Q29</f>
        <v/>
      </c>
      <c r="X31" s="26">
        <f>IFERROR(RANK(D31,D$8:D$146),"")</f>
        <v/>
      </c>
      <c r="Y31" s="26">
        <f>IFERROR(RANK(S31,S$8:S$146),"")</f>
        <v/>
      </c>
    </row>
    <row r="32">
      <c r="A32" s="19">
        <f>'Semi Rev'!$A29</f>
        <v/>
      </c>
      <c r="B32" s="19">
        <f>'Semi Rev'!$B29</f>
        <v/>
      </c>
      <c r="C32" s="20">
        <f>IF(ISNUMBER('Semi Rev'!P29),'Semi Rev'!P29,"")</f>
        <v/>
      </c>
      <c r="D32" s="21">
        <f>'Semi Metrics'!L172</f>
        <v/>
      </c>
      <c r="E32" s="21">
        <f>'Semi Metrics'!K172</f>
        <v/>
      </c>
      <c r="F32" s="22">
        <f>IF(OR(D32="",E32=""),"",D32-E32)</f>
        <v/>
      </c>
      <c r="G32" s="21">
        <f>'Semi Metrics'!L314</f>
        <v/>
      </c>
      <c r="H32" s="20">
        <f>'Semi Metrics'!L598</f>
        <v/>
      </c>
      <c r="I32" s="20">
        <f>'Semi Metrics'!L456</f>
        <v/>
      </c>
      <c r="J32" s="21">
        <f>'Semi Metrics'!M172</f>
        <v/>
      </c>
      <c r="K32" s="21">
        <f>'Semi Metrics'!L740</f>
        <v/>
      </c>
      <c r="L32" s="23">
        <f>'Semi Metrics'!L882</f>
        <v/>
      </c>
      <c r="M32" s="21">
        <f>'Semi Metrics'!L1024</f>
        <v/>
      </c>
      <c r="N32" s="21">
        <f>'Semi Metrics'!L1166</f>
        <v/>
      </c>
      <c r="O32" s="24">
        <f>IFERROR(IF(AND(N(D32)&gt;0,N(M32)&gt;0),M32/D32,""),"")</f>
        <v/>
      </c>
      <c r="P32" s="21">
        <f>'Semi Metrics'!L1308</f>
        <v/>
      </c>
      <c r="Q32" s="23">
        <f>'Semi Metrics'!L1450</f>
        <v/>
      </c>
      <c r="R32" s="25">
        <f>'Semi Revisions'!G30</f>
        <v/>
      </c>
      <c r="S32" s="25">
        <f>'Semi Revisions'!H30</f>
        <v/>
      </c>
      <c r="T32" s="25">
        <f>'Semi Revisions'!I30</f>
        <v/>
      </c>
      <c r="U32" s="25">
        <f>'Semi Revisions'!O30</f>
        <v/>
      </c>
      <c r="V32" s="25">
        <f>'Semi Revisions'!P30</f>
        <v/>
      </c>
      <c r="W32" s="25">
        <f>'Semi Revisions'!Q30</f>
        <v/>
      </c>
      <c r="X32" s="26">
        <f>IFERROR(RANK(D32,D$8:D$146),"")</f>
        <v/>
      </c>
      <c r="Y32" s="26">
        <f>IFERROR(RANK(S32,S$8:S$146),"")</f>
        <v/>
      </c>
    </row>
    <row r="33">
      <c r="A33" s="19">
        <f>'Semi Rev'!$A30</f>
        <v/>
      </c>
      <c r="B33" s="19">
        <f>'Semi Rev'!$B30</f>
        <v/>
      </c>
      <c r="C33" s="20">
        <f>IF(ISNUMBER('Semi Rev'!P30),'Semi Rev'!P30,"")</f>
        <v/>
      </c>
      <c r="D33" s="21">
        <f>'Semi Metrics'!L173</f>
        <v/>
      </c>
      <c r="E33" s="21">
        <f>'Semi Metrics'!K173</f>
        <v/>
      </c>
      <c r="F33" s="22">
        <f>IF(OR(D33="",E33=""),"",D33-E33)</f>
        <v/>
      </c>
      <c r="G33" s="21">
        <f>'Semi Metrics'!L315</f>
        <v/>
      </c>
      <c r="H33" s="20">
        <f>'Semi Metrics'!L599</f>
        <v/>
      </c>
      <c r="I33" s="20">
        <f>'Semi Metrics'!L457</f>
        <v/>
      </c>
      <c r="J33" s="21">
        <f>'Semi Metrics'!M173</f>
        <v/>
      </c>
      <c r="K33" s="21">
        <f>'Semi Metrics'!L741</f>
        <v/>
      </c>
      <c r="L33" s="23">
        <f>'Semi Metrics'!L883</f>
        <v/>
      </c>
      <c r="M33" s="21">
        <f>'Semi Metrics'!L1025</f>
        <v/>
      </c>
      <c r="N33" s="21">
        <f>'Semi Metrics'!L1167</f>
        <v/>
      </c>
      <c r="O33" s="24">
        <f>IFERROR(IF(AND(N(D33)&gt;0,N(M33)&gt;0),M33/D33,""),"")</f>
        <v/>
      </c>
      <c r="P33" s="21">
        <f>'Semi Metrics'!L1309</f>
        <v/>
      </c>
      <c r="Q33" s="23">
        <f>'Semi Metrics'!L1451</f>
        <v/>
      </c>
      <c r="R33" s="25">
        <f>'Semi Revisions'!G31</f>
        <v/>
      </c>
      <c r="S33" s="25">
        <f>'Semi Revisions'!H31</f>
        <v/>
      </c>
      <c r="T33" s="25">
        <f>'Semi Revisions'!I31</f>
        <v/>
      </c>
      <c r="U33" s="25">
        <f>'Semi Revisions'!O31</f>
        <v/>
      </c>
      <c r="V33" s="25">
        <f>'Semi Revisions'!P31</f>
        <v/>
      </c>
      <c r="W33" s="25">
        <f>'Semi Revisions'!Q31</f>
        <v/>
      </c>
      <c r="X33" s="26">
        <f>IFERROR(RANK(D33,D$8:D$146),"")</f>
        <v/>
      </c>
      <c r="Y33" s="26">
        <f>IFERROR(RANK(S33,S$8:S$146),"")</f>
        <v/>
      </c>
    </row>
    <row r="34">
      <c r="A34" s="19">
        <f>'Semi Rev'!$A31</f>
        <v/>
      </c>
      <c r="B34" s="19">
        <f>'Semi Rev'!$B31</f>
        <v/>
      </c>
      <c r="C34" s="20">
        <f>IF(ISNUMBER('Semi Rev'!P31),'Semi Rev'!P31,"")</f>
        <v/>
      </c>
      <c r="D34" s="21">
        <f>'Semi Metrics'!L174</f>
        <v/>
      </c>
      <c r="E34" s="21">
        <f>'Semi Metrics'!K174</f>
        <v/>
      </c>
      <c r="F34" s="22">
        <f>IF(OR(D34="",E34=""),"",D34-E34)</f>
        <v/>
      </c>
      <c r="G34" s="21">
        <f>'Semi Metrics'!L316</f>
        <v/>
      </c>
      <c r="H34" s="20">
        <f>'Semi Metrics'!L600</f>
        <v/>
      </c>
      <c r="I34" s="20">
        <f>'Semi Metrics'!L458</f>
        <v/>
      </c>
      <c r="J34" s="21">
        <f>'Semi Metrics'!M174</f>
        <v/>
      </c>
      <c r="K34" s="21">
        <f>'Semi Metrics'!L742</f>
        <v/>
      </c>
      <c r="L34" s="23">
        <f>'Semi Metrics'!L884</f>
        <v/>
      </c>
      <c r="M34" s="21">
        <f>'Semi Metrics'!L1026</f>
        <v/>
      </c>
      <c r="N34" s="21">
        <f>'Semi Metrics'!L1168</f>
        <v/>
      </c>
      <c r="O34" s="24">
        <f>IFERROR(IF(AND(N(D34)&gt;0,N(M34)&gt;0),M34/D34,""),"")</f>
        <v/>
      </c>
      <c r="P34" s="21">
        <f>'Semi Metrics'!L1310</f>
        <v/>
      </c>
      <c r="Q34" s="23">
        <f>'Semi Metrics'!L1452</f>
        <v/>
      </c>
      <c r="R34" s="25">
        <f>'Semi Revisions'!G32</f>
        <v/>
      </c>
      <c r="S34" s="25">
        <f>'Semi Revisions'!H32</f>
        <v/>
      </c>
      <c r="T34" s="25">
        <f>'Semi Revisions'!I32</f>
        <v/>
      </c>
      <c r="U34" s="25">
        <f>'Semi Revisions'!O32</f>
        <v/>
      </c>
      <c r="V34" s="25">
        <f>'Semi Revisions'!P32</f>
        <v/>
      </c>
      <c r="W34" s="25">
        <f>'Semi Revisions'!Q32</f>
        <v/>
      </c>
      <c r="X34" s="26">
        <f>IFERROR(RANK(D34,D$8:D$146),"")</f>
        <v/>
      </c>
      <c r="Y34" s="26">
        <f>IFERROR(RANK(S34,S$8:S$146),"")</f>
        <v/>
      </c>
    </row>
    <row r="35">
      <c r="A35" s="19">
        <f>'Semi Rev'!$A32</f>
        <v/>
      </c>
      <c r="B35" s="19">
        <f>'Semi Rev'!$B32</f>
        <v/>
      </c>
      <c r="C35" s="20">
        <f>IF(ISNUMBER('Semi Rev'!P32),'Semi Rev'!P32,"")</f>
        <v/>
      </c>
      <c r="D35" s="21">
        <f>'Semi Metrics'!L175</f>
        <v/>
      </c>
      <c r="E35" s="21">
        <f>'Semi Metrics'!K175</f>
        <v/>
      </c>
      <c r="F35" s="22">
        <f>IF(OR(D35="",E35=""),"",D35-E35)</f>
        <v/>
      </c>
      <c r="G35" s="21">
        <f>'Semi Metrics'!L317</f>
        <v/>
      </c>
      <c r="H35" s="20">
        <f>'Semi Metrics'!L601</f>
        <v/>
      </c>
      <c r="I35" s="20">
        <f>'Semi Metrics'!L459</f>
        <v/>
      </c>
      <c r="J35" s="21">
        <f>'Semi Metrics'!M175</f>
        <v/>
      </c>
      <c r="K35" s="21">
        <f>'Semi Metrics'!L743</f>
        <v/>
      </c>
      <c r="L35" s="23">
        <f>'Semi Metrics'!L885</f>
        <v/>
      </c>
      <c r="M35" s="21">
        <f>'Semi Metrics'!L1027</f>
        <v/>
      </c>
      <c r="N35" s="21">
        <f>'Semi Metrics'!L1169</f>
        <v/>
      </c>
      <c r="O35" s="24">
        <f>IFERROR(IF(AND(N(D35)&gt;0,N(M35)&gt;0),M35/D35,""),"")</f>
        <v/>
      </c>
      <c r="P35" s="21">
        <f>'Semi Metrics'!L1311</f>
        <v/>
      </c>
      <c r="Q35" s="23">
        <f>'Semi Metrics'!L1453</f>
        <v/>
      </c>
      <c r="R35" s="25">
        <f>'Semi Revisions'!G33</f>
        <v/>
      </c>
      <c r="S35" s="25">
        <f>'Semi Revisions'!H33</f>
        <v/>
      </c>
      <c r="T35" s="25">
        <f>'Semi Revisions'!I33</f>
        <v/>
      </c>
      <c r="U35" s="25">
        <f>'Semi Revisions'!O33</f>
        <v/>
      </c>
      <c r="V35" s="25">
        <f>'Semi Revisions'!P33</f>
        <v/>
      </c>
      <c r="W35" s="25">
        <f>'Semi Revisions'!Q33</f>
        <v/>
      </c>
      <c r="X35" s="26">
        <f>IFERROR(RANK(D35,D$8:D$146),"")</f>
        <v/>
      </c>
      <c r="Y35" s="26">
        <f>IFERROR(RANK(S35,S$8:S$146),"")</f>
        <v/>
      </c>
    </row>
    <row r="36">
      <c r="A36" s="19">
        <f>'Semi Rev'!$A33</f>
        <v/>
      </c>
      <c r="B36" s="19">
        <f>'Semi Rev'!$B33</f>
        <v/>
      </c>
      <c r="C36" s="20">
        <f>IF(ISNUMBER('Semi Rev'!P33),'Semi Rev'!P33,"")</f>
        <v/>
      </c>
      <c r="D36" s="21">
        <f>'Semi Metrics'!L176</f>
        <v/>
      </c>
      <c r="E36" s="21">
        <f>'Semi Metrics'!K176</f>
        <v/>
      </c>
      <c r="F36" s="22">
        <f>IF(OR(D36="",E36=""),"",D36-E36)</f>
        <v/>
      </c>
      <c r="G36" s="21">
        <f>'Semi Metrics'!L318</f>
        <v/>
      </c>
      <c r="H36" s="20">
        <f>'Semi Metrics'!L602</f>
        <v/>
      </c>
      <c r="I36" s="20">
        <f>'Semi Metrics'!L460</f>
        <v/>
      </c>
      <c r="J36" s="21">
        <f>'Semi Metrics'!M176</f>
        <v/>
      </c>
      <c r="K36" s="21">
        <f>'Semi Metrics'!L744</f>
        <v/>
      </c>
      <c r="L36" s="23">
        <f>'Semi Metrics'!L886</f>
        <v/>
      </c>
      <c r="M36" s="21">
        <f>'Semi Metrics'!L1028</f>
        <v/>
      </c>
      <c r="N36" s="21">
        <f>'Semi Metrics'!L1170</f>
        <v/>
      </c>
      <c r="O36" s="24">
        <f>IFERROR(IF(AND(N(D36)&gt;0,N(M36)&gt;0),M36/D36,""),"")</f>
        <v/>
      </c>
      <c r="P36" s="21">
        <f>'Semi Metrics'!L1312</f>
        <v/>
      </c>
      <c r="Q36" s="23">
        <f>'Semi Metrics'!L1454</f>
        <v/>
      </c>
      <c r="R36" s="25">
        <f>'Semi Revisions'!G34</f>
        <v/>
      </c>
      <c r="S36" s="25">
        <f>'Semi Revisions'!H34</f>
        <v/>
      </c>
      <c r="T36" s="25">
        <f>'Semi Revisions'!I34</f>
        <v/>
      </c>
      <c r="U36" s="25">
        <f>'Semi Revisions'!O34</f>
        <v/>
      </c>
      <c r="V36" s="25">
        <f>'Semi Revisions'!P34</f>
        <v/>
      </c>
      <c r="W36" s="25">
        <f>'Semi Revisions'!Q34</f>
        <v/>
      </c>
      <c r="X36" s="26">
        <f>IFERROR(RANK(D36,D$8:D$146),"")</f>
        <v/>
      </c>
      <c r="Y36" s="26">
        <f>IFERROR(RANK(S36,S$8:S$146),"")</f>
        <v/>
      </c>
    </row>
    <row r="37">
      <c r="A37" s="19">
        <f>'Semi Rev'!$A34</f>
        <v/>
      </c>
      <c r="B37" s="19">
        <f>'Semi Rev'!$B34</f>
        <v/>
      </c>
      <c r="C37" s="20">
        <f>IF(ISNUMBER('Semi Rev'!P34),'Semi Rev'!P34,"")</f>
        <v/>
      </c>
      <c r="D37" s="21">
        <f>'Semi Metrics'!L177</f>
        <v/>
      </c>
      <c r="E37" s="21">
        <f>'Semi Metrics'!K177</f>
        <v/>
      </c>
      <c r="F37" s="22">
        <f>IF(OR(D37="",E37=""),"",D37-E37)</f>
        <v/>
      </c>
      <c r="G37" s="21">
        <f>'Semi Metrics'!L319</f>
        <v/>
      </c>
      <c r="H37" s="20">
        <f>'Semi Metrics'!L603</f>
        <v/>
      </c>
      <c r="I37" s="20">
        <f>'Semi Metrics'!L461</f>
        <v/>
      </c>
      <c r="J37" s="21">
        <f>'Semi Metrics'!M177</f>
        <v/>
      </c>
      <c r="K37" s="21">
        <f>'Semi Metrics'!L745</f>
        <v/>
      </c>
      <c r="L37" s="23">
        <f>'Semi Metrics'!L887</f>
        <v/>
      </c>
      <c r="M37" s="21">
        <f>'Semi Metrics'!L1029</f>
        <v/>
      </c>
      <c r="N37" s="21">
        <f>'Semi Metrics'!L1171</f>
        <v/>
      </c>
      <c r="O37" s="24">
        <f>IFERROR(IF(AND(N(D37)&gt;0,N(M37)&gt;0),M37/D37,""),"")</f>
        <v/>
      </c>
      <c r="P37" s="21">
        <f>'Semi Metrics'!L1313</f>
        <v/>
      </c>
      <c r="Q37" s="23">
        <f>'Semi Metrics'!L1455</f>
        <v/>
      </c>
      <c r="R37" s="25">
        <f>'Semi Revisions'!G35</f>
        <v/>
      </c>
      <c r="S37" s="25">
        <f>'Semi Revisions'!H35</f>
        <v/>
      </c>
      <c r="T37" s="25">
        <f>'Semi Revisions'!I35</f>
        <v/>
      </c>
      <c r="U37" s="25">
        <f>'Semi Revisions'!O35</f>
        <v/>
      </c>
      <c r="V37" s="25">
        <f>'Semi Revisions'!P35</f>
        <v/>
      </c>
      <c r="W37" s="25">
        <f>'Semi Revisions'!Q35</f>
        <v/>
      </c>
      <c r="X37" s="26">
        <f>IFERROR(RANK(D37,D$8:D$146),"")</f>
        <v/>
      </c>
      <c r="Y37" s="26">
        <f>IFERROR(RANK(S37,S$8:S$146),"")</f>
        <v/>
      </c>
    </row>
    <row r="38">
      <c r="A38" s="19">
        <f>'Semi Rev'!$A35</f>
        <v/>
      </c>
      <c r="B38" s="19">
        <f>'Semi Rev'!$B35</f>
        <v/>
      </c>
      <c r="C38" s="20">
        <f>IF(ISNUMBER('Semi Rev'!P35),'Semi Rev'!P35,"")</f>
        <v/>
      </c>
      <c r="D38" s="21">
        <f>'Semi Metrics'!L178</f>
        <v/>
      </c>
      <c r="E38" s="21">
        <f>'Semi Metrics'!K178</f>
        <v/>
      </c>
      <c r="F38" s="22">
        <f>IF(OR(D38="",E38=""),"",D38-E38)</f>
        <v/>
      </c>
      <c r="G38" s="21">
        <f>'Semi Metrics'!L320</f>
        <v/>
      </c>
      <c r="H38" s="20">
        <f>'Semi Metrics'!L604</f>
        <v/>
      </c>
      <c r="I38" s="20">
        <f>'Semi Metrics'!L462</f>
        <v/>
      </c>
      <c r="J38" s="21">
        <f>'Semi Metrics'!M178</f>
        <v/>
      </c>
      <c r="K38" s="21">
        <f>'Semi Metrics'!L746</f>
        <v/>
      </c>
      <c r="L38" s="23">
        <f>'Semi Metrics'!L888</f>
        <v/>
      </c>
      <c r="M38" s="21">
        <f>'Semi Metrics'!L1030</f>
        <v/>
      </c>
      <c r="N38" s="21">
        <f>'Semi Metrics'!L1172</f>
        <v/>
      </c>
      <c r="O38" s="24">
        <f>IFERROR(IF(AND(N(D38)&gt;0,N(M38)&gt;0),M38/D38,""),"")</f>
        <v/>
      </c>
      <c r="P38" s="21">
        <f>'Semi Metrics'!L1314</f>
        <v/>
      </c>
      <c r="Q38" s="23">
        <f>'Semi Metrics'!L1456</f>
        <v/>
      </c>
      <c r="R38" s="25">
        <f>'Semi Revisions'!G36</f>
        <v/>
      </c>
      <c r="S38" s="25">
        <f>'Semi Revisions'!H36</f>
        <v/>
      </c>
      <c r="T38" s="25">
        <f>'Semi Revisions'!I36</f>
        <v/>
      </c>
      <c r="U38" s="25">
        <f>'Semi Revisions'!O36</f>
        <v/>
      </c>
      <c r="V38" s="25">
        <f>'Semi Revisions'!P36</f>
        <v/>
      </c>
      <c r="W38" s="25">
        <f>'Semi Revisions'!Q36</f>
        <v/>
      </c>
      <c r="X38" s="26">
        <f>IFERROR(RANK(D38,D$8:D$146),"")</f>
        <v/>
      </c>
      <c r="Y38" s="26">
        <f>IFERROR(RANK(S38,S$8:S$146),"")</f>
        <v/>
      </c>
    </row>
    <row r="39">
      <c r="A39" s="19">
        <f>'Semi Rev'!$A36</f>
        <v/>
      </c>
      <c r="B39" s="19">
        <f>'Semi Rev'!$B36</f>
        <v/>
      </c>
      <c r="C39" s="20">
        <f>IF(ISNUMBER('Semi Rev'!P36),'Semi Rev'!P36,"")</f>
        <v/>
      </c>
      <c r="D39" s="21">
        <f>'Semi Metrics'!L179</f>
        <v/>
      </c>
      <c r="E39" s="21">
        <f>'Semi Metrics'!K179</f>
        <v/>
      </c>
      <c r="F39" s="22">
        <f>IF(OR(D39="",E39=""),"",D39-E39)</f>
        <v/>
      </c>
      <c r="G39" s="21">
        <f>'Semi Metrics'!L321</f>
        <v/>
      </c>
      <c r="H39" s="20">
        <f>'Semi Metrics'!L605</f>
        <v/>
      </c>
      <c r="I39" s="20">
        <f>'Semi Metrics'!L463</f>
        <v/>
      </c>
      <c r="J39" s="21">
        <f>'Semi Metrics'!M179</f>
        <v/>
      </c>
      <c r="K39" s="21">
        <f>'Semi Metrics'!L747</f>
        <v/>
      </c>
      <c r="L39" s="23">
        <f>'Semi Metrics'!L889</f>
        <v/>
      </c>
      <c r="M39" s="21">
        <f>'Semi Metrics'!L1031</f>
        <v/>
      </c>
      <c r="N39" s="21">
        <f>'Semi Metrics'!L1173</f>
        <v/>
      </c>
      <c r="O39" s="24">
        <f>IFERROR(IF(AND(N(D39)&gt;0,N(M39)&gt;0),M39/D39,""),"")</f>
        <v/>
      </c>
      <c r="P39" s="21">
        <f>'Semi Metrics'!L1315</f>
        <v/>
      </c>
      <c r="Q39" s="23">
        <f>'Semi Metrics'!L1457</f>
        <v/>
      </c>
      <c r="R39" s="25">
        <f>'Semi Revisions'!G37</f>
        <v/>
      </c>
      <c r="S39" s="25">
        <f>'Semi Revisions'!H37</f>
        <v/>
      </c>
      <c r="T39" s="25">
        <f>'Semi Revisions'!I37</f>
        <v/>
      </c>
      <c r="U39" s="25">
        <f>'Semi Revisions'!O37</f>
        <v/>
      </c>
      <c r="V39" s="25">
        <f>'Semi Revisions'!P37</f>
        <v/>
      </c>
      <c r="W39" s="25">
        <f>'Semi Revisions'!Q37</f>
        <v/>
      </c>
      <c r="X39" s="26">
        <f>IFERROR(RANK(D39,D$8:D$146),"")</f>
        <v/>
      </c>
      <c r="Y39" s="26">
        <f>IFERROR(RANK(S39,S$8:S$146),"")</f>
        <v/>
      </c>
    </row>
    <row r="40">
      <c r="A40" s="19">
        <f>'Semi Rev'!$A37</f>
        <v/>
      </c>
      <c r="B40" s="19">
        <f>'Semi Rev'!$B37</f>
        <v/>
      </c>
      <c r="C40" s="20">
        <f>IF(ISNUMBER('Semi Rev'!P37),'Semi Rev'!P37,"")</f>
        <v/>
      </c>
      <c r="D40" s="21">
        <f>'Semi Metrics'!L180</f>
        <v/>
      </c>
      <c r="E40" s="21">
        <f>'Semi Metrics'!K180</f>
        <v/>
      </c>
      <c r="F40" s="22">
        <f>IF(OR(D40="",E40=""),"",D40-E40)</f>
        <v/>
      </c>
      <c r="G40" s="21">
        <f>'Semi Metrics'!L322</f>
        <v/>
      </c>
      <c r="H40" s="20">
        <f>'Semi Metrics'!L606</f>
        <v/>
      </c>
      <c r="I40" s="20">
        <f>'Semi Metrics'!L464</f>
        <v/>
      </c>
      <c r="J40" s="21">
        <f>'Semi Metrics'!M180</f>
        <v/>
      </c>
      <c r="K40" s="21">
        <f>'Semi Metrics'!L748</f>
        <v/>
      </c>
      <c r="L40" s="23">
        <f>'Semi Metrics'!L890</f>
        <v/>
      </c>
      <c r="M40" s="21">
        <f>'Semi Metrics'!L1032</f>
        <v/>
      </c>
      <c r="N40" s="21">
        <f>'Semi Metrics'!L1174</f>
        <v/>
      </c>
      <c r="O40" s="24">
        <f>IFERROR(IF(AND(N(D40)&gt;0,N(M40)&gt;0),M40/D40,""),"")</f>
        <v/>
      </c>
      <c r="P40" s="21">
        <f>'Semi Metrics'!L1316</f>
        <v/>
      </c>
      <c r="Q40" s="23">
        <f>'Semi Metrics'!L1458</f>
        <v/>
      </c>
      <c r="R40" s="25">
        <f>'Semi Revisions'!G38</f>
        <v/>
      </c>
      <c r="S40" s="25">
        <f>'Semi Revisions'!H38</f>
        <v/>
      </c>
      <c r="T40" s="25">
        <f>'Semi Revisions'!I38</f>
        <v/>
      </c>
      <c r="U40" s="25">
        <f>'Semi Revisions'!O38</f>
        <v/>
      </c>
      <c r="V40" s="25">
        <f>'Semi Revisions'!P38</f>
        <v/>
      </c>
      <c r="W40" s="25">
        <f>'Semi Revisions'!Q38</f>
        <v/>
      </c>
      <c r="X40" s="26">
        <f>IFERROR(RANK(D40,D$8:D$146),"")</f>
        <v/>
      </c>
      <c r="Y40" s="26">
        <f>IFERROR(RANK(S40,S$8:S$146),"")</f>
        <v/>
      </c>
    </row>
    <row r="41">
      <c r="A41" s="19">
        <f>'Semi Rev'!$A38</f>
        <v/>
      </c>
      <c r="B41" s="19">
        <f>'Semi Rev'!$B38</f>
        <v/>
      </c>
      <c r="C41" s="20">
        <f>IF(ISNUMBER('Semi Rev'!P38),'Semi Rev'!P38,"")</f>
        <v/>
      </c>
      <c r="D41" s="21">
        <f>'Semi Metrics'!L181</f>
        <v/>
      </c>
      <c r="E41" s="21">
        <f>'Semi Metrics'!K181</f>
        <v/>
      </c>
      <c r="F41" s="22">
        <f>IF(OR(D41="",E41=""),"",D41-E41)</f>
        <v/>
      </c>
      <c r="G41" s="21">
        <f>'Semi Metrics'!L323</f>
        <v/>
      </c>
      <c r="H41" s="20">
        <f>'Semi Metrics'!L607</f>
        <v/>
      </c>
      <c r="I41" s="20">
        <f>'Semi Metrics'!L465</f>
        <v/>
      </c>
      <c r="J41" s="21">
        <f>'Semi Metrics'!M181</f>
        <v/>
      </c>
      <c r="K41" s="21">
        <f>'Semi Metrics'!L749</f>
        <v/>
      </c>
      <c r="L41" s="23">
        <f>'Semi Metrics'!L891</f>
        <v/>
      </c>
      <c r="M41" s="21">
        <f>'Semi Metrics'!L1033</f>
        <v/>
      </c>
      <c r="N41" s="21">
        <f>'Semi Metrics'!L1175</f>
        <v/>
      </c>
      <c r="O41" s="24">
        <f>IFERROR(IF(AND(N(D41)&gt;0,N(M41)&gt;0),M41/D41,""),"")</f>
        <v/>
      </c>
      <c r="P41" s="21">
        <f>'Semi Metrics'!L1317</f>
        <v/>
      </c>
      <c r="Q41" s="23">
        <f>'Semi Metrics'!L1459</f>
        <v/>
      </c>
      <c r="R41" s="25">
        <f>'Semi Revisions'!G39</f>
        <v/>
      </c>
      <c r="S41" s="25">
        <f>'Semi Revisions'!H39</f>
        <v/>
      </c>
      <c r="T41" s="25">
        <f>'Semi Revisions'!I39</f>
        <v/>
      </c>
      <c r="U41" s="25">
        <f>'Semi Revisions'!O39</f>
        <v/>
      </c>
      <c r="V41" s="25">
        <f>'Semi Revisions'!P39</f>
        <v/>
      </c>
      <c r="W41" s="25">
        <f>'Semi Revisions'!Q39</f>
        <v/>
      </c>
      <c r="X41" s="26">
        <f>IFERROR(RANK(D41,D$8:D$146),"")</f>
        <v/>
      </c>
      <c r="Y41" s="26">
        <f>IFERROR(RANK(S41,S$8:S$146),"")</f>
        <v/>
      </c>
    </row>
    <row r="42">
      <c r="A42" s="19">
        <f>'Semi Rev'!$A39</f>
        <v/>
      </c>
      <c r="B42" s="19">
        <f>'Semi Rev'!$B39</f>
        <v/>
      </c>
      <c r="C42" s="20">
        <f>IF(ISNUMBER('Semi Rev'!P39),'Semi Rev'!P39,"")</f>
        <v/>
      </c>
      <c r="D42" s="21">
        <f>'Semi Metrics'!L182</f>
        <v/>
      </c>
      <c r="E42" s="21">
        <f>'Semi Metrics'!K182</f>
        <v/>
      </c>
      <c r="F42" s="22">
        <f>IF(OR(D42="",E42=""),"",D42-E42)</f>
        <v/>
      </c>
      <c r="G42" s="21">
        <f>'Semi Metrics'!L324</f>
        <v/>
      </c>
      <c r="H42" s="20">
        <f>'Semi Metrics'!L608</f>
        <v/>
      </c>
      <c r="I42" s="20">
        <f>'Semi Metrics'!L466</f>
        <v/>
      </c>
      <c r="J42" s="21">
        <f>'Semi Metrics'!M182</f>
        <v/>
      </c>
      <c r="K42" s="21">
        <f>'Semi Metrics'!L750</f>
        <v/>
      </c>
      <c r="L42" s="23">
        <f>'Semi Metrics'!L892</f>
        <v/>
      </c>
      <c r="M42" s="21">
        <f>'Semi Metrics'!L1034</f>
        <v/>
      </c>
      <c r="N42" s="21">
        <f>'Semi Metrics'!L1176</f>
        <v/>
      </c>
      <c r="O42" s="24">
        <f>IFERROR(IF(AND(N(D42)&gt;0,N(M42)&gt;0),M42/D42,""),"")</f>
        <v/>
      </c>
      <c r="P42" s="21">
        <f>'Semi Metrics'!L1318</f>
        <v/>
      </c>
      <c r="Q42" s="23">
        <f>'Semi Metrics'!L1460</f>
        <v/>
      </c>
      <c r="R42" s="25">
        <f>'Semi Revisions'!G40</f>
        <v/>
      </c>
      <c r="S42" s="25">
        <f>'Semi Revisions'!H40</f>
        <v/>
      </c>
      <c r="T42" s="25">
        <f>'Semi Revisions'!I40</f>
        <v/>
      </c>
      <c r="U42" s="25">
        <f>'Semi Revisions'!O40</f>
        <v/>
      </c>
      <c r="V42" s="25">
        <f>'Semi Revisions'!P40</f>
        <v/>
      </c>
      <c r="W42" s="25">
        <f>'Semi Revisions'!Q40</f>
        <v/>
      </c>
      <c r="X42" s="26">
        <f>IFERROR(RANK(D42,D$8:D$146),"")</f>
        <v/>
      </c>
      <c r="Y42" s="26">
        <f>IFERROR(RANK(S42,S$8:S$146),"")</f>
        <v/>
      </c>
    </row>
    <row r="43">
      <c r="A43" s="19">
        <f>'Semi Rev'!$A40</f>
        <v/>
      </c>
      <c r="B43" s="19">
        <f>'Semi Rev'!$B40</f>
        <v/>
      </c>
      <c r="C43" s="20">
        <f>IF(ISNUMBER('Semi Rev'!P40),'Semi Rev'!P40,"")</f>
        <v/>
      </c>
      <c r="D43" s="21">
        <f>'Semi Metrics'!L183</f>
        <v/>
      </c>
      <c r="E43" s="21">
        <f>'Semi Metrics'!K183</f>
        <v/>
      </c>
      <c r="F43" s="22">
        <f>IF(OR(D43="",E43=""),"",D43-E43)</f>
        <v/>
      </c>
      <c r="G43" s="21">
        <f>'Semi Metrics'!L325</f>
        <v/>
      </c>
      <c r="H43" s="20">
        <f>'Semi Metrics'!L609</f>
        <v/>
      </c>
      <c r="I43" s="20">
        <f>'Semi Metrics'!L467</f>
        <v/>
      </c>
      <c r="J43" s="21">
        <f>'Semi Metrics'!M183</f>
        <v/>
      </c>
      <c r="K43" s="21">
        <f>'Semi Metrics'!L751</f>
        <v/>
      </c>
      <c r="L43" s="23">
        <f>'Semi Metrics'!L893</f>
        <v/>
      </c>
      <c r="M43" s="21">
        <f>'Semi Metrics'!L1035</f>
        <v/>
      </c>
      <c r="N43" s="21">
        <f>'Semi Metrics'!L1177</f>
        <v/>
      </c>
      <c r="O43" s="24">
        <f>IFERROR(IF(AND(N(D43)&gt;0,N(M43)&gt;0),M43/D43,""),"")</f>
        <v/>
      </c>
      <c r="P43" s="21">
        <f>'Semi Metrics'!L1319</f>
        <v/>
      </c>
      <c r="Q43" s="23">
        <f>'Semi Metrics'!L1461</f>
        <v/>
      </c>
      <c r="R43" s="25">
        <f>'Semi Revisions'!G41</f>
        <v/>
      </c>
      <c r="S43" s="25">
        <f>'Semi Revisions'!H41</f>
        <v/>
      </c>
      <c r="T43" s="25">
        <f>'Semi Revisions'!I41</f>
        <v/>
      </c>
      <c r="U43" s="25">
        <f>'Semi Revisions'!O41</f>
        <v/>
      </c>
      <c r="V43" s="25">
        <f>'Semi Revisions'!P41</f>
        <v/>
      </c>
      <c r="W43" s="25">
        <f>'Semi Revisions'!Q41</f>
        <v/>
      </c>
      <c r="X43" s="26">
        <f>IFERROR(RANK(D43,D$8:D$146),"")</f>
        <v/>
      </c>
      <c r="Y43" s="26">
        <f>IFERROR(RANK(S43,S$8:S$146),"")</f>
        <v/>
      </c>
    </row>
    <row r="44">
      <c r="A44" s="19">
        <f>'Semi Rev'!$A41</f>
        <v/>
      </c>
      <c r="B44" s="19">
        <f>'Semi Rev'!$B41</f>
        <v/>
      </c>
      <c r="C44" s="20">
        <f>IF(ISNUMBER('Semi Rev'!P41),'Semi Rev'!P41,"")</f>
        <v/>
      </c>
      <c r="D44" s="21">
        <f>'Semi Metrics'!L184</f>
        <v/>
      </c>
      <c r="E44" s="21">
        <f>'Semi Metrics'!K184</f>
        <v/>
      </c>
      <c r="F44" s="22">
        <f>IF(OR(D44="",E44=""),"",D44-E44)</f>
        <v/>
      </c>
      <c r="G44" s="21">
        <f>'Semi Metrics'!L326</f>
        <v/>
      </c>
      <c r="H44" s="20">
        <f>'Semi Metrics'!L610</f>
        <v/>
      </c>
      <c r="I44" s="20">
        <f>'Semi Metrics'!L468</f>
        <v/>
      </c>
      <c r="J44" s="21">
        <f>'Semi Metrics'!M184</f>
        <v/>
      </c>
      <c r="K44" s="21">
        <f>'Semi Metrics'!L752</f>
        <v/>
      </c>
      <c r="L44" s="23">
        <f>'Semi Metrics'!L894</f>
        <v/>
      </c>
      <c r="M44" s="21">
        <f>'Semi Metrics'!L1036</f>
        <v/>
      </c>
      <c r="N44" s="21">
        <f>'Semi Metrics'!L1178</f>
        <v/>
      </c>
      <c r="O44" s="24">
        <f>IFERROR(IF(AND(N(D44)&gt;0,N(M44)&gt;0),M44/D44,""),"")</f>
        <v/>
      </c>
      <c r="P44" s="21">
        <f>'Semi Metrics'!L1320</f>
        <v/>
      </c>
      <c r="Q44" s="23">
        <f>'Semi Metrics'!L1462</f>
        <v/>
      </c>
      <c r="R44" s="25">
        <f>'Semi Revisions'!G42</f>
        <v/>
      </c>
      <c r="S44" s="25">
        <f>'Semi Revisions'!H42</f>
        <v/>
      </c>
      <c r="T44" s="25">
        <f>'Semi Revisions'!I42</f>
        <v/>
      </c>
      <c r="U44" s="25">
        <f>'Semi Revisions'!O42</f>
        <v/>
      </c>
      <c r="V44" s="25">
        <f>'Semi Revisions'!P42</f>
        <v/>
      </c>
      <c r="W44" s="25">
        <f>'Semi Revisions'!Q42</f>
        <v/>
      </c>
      <c r="X44" s="26">
        <f>IFERROR(RANK(D44,D$8:D$146),"")</f>
        <v/>
      </c>
      <c r="Y44" s="26">
        <f>IFERROR(RANK(S44,S$8:S$146),"")</f>
        <v/>
      </c>
    </row>
    <row r="45">
      <c r="A45" s="19">
        <f>'Semi Rev'!$A42</f>
        <v/>
      </c>
      <c r="B45" s="19">
        <f>'Semi Rev'!$B42</f>
        <v/>
      </c>
      <c r="C45" s="20">
        <f>IF(ISNUMBER('Semi Rev'!P42),'Semi Rev'!P42,"")</f>
        <v/>
      </c>
      <c r="D45" s="21">
        <f>'Semi Metrics'!L185</f>
        <v/>
      </c>
      <c r="E45" s="21">
        <f>'Semi Metrics'!K185</f>
        <v/>
      </c>
      <c r="F45" s="22">
        <f>IF(OR(D45="",E45=""),"",D45-E45)</f>
        <v/>
      </c>
      <c r="G45" s="21">
        <f>'Semi Metrics'!L327</f>
        <v/>
      </c>
      <c r="H45" s="20">
        <f>'Semi Metrics'!L611</f>
        <v/>
      </c>
      <c r="I45" s="20">
        <f>'Semi Metrics'!L469</f>
        <v/>
      </c>
      <c r="J45" s="21">
        <f>'Semi Metrics'!M185</f>
        <v/>
      </c>
      <c r="K45" s="21">
        <f>'Semi Metrics'!L753</f>
        <v/>
      </c>
      <c r="L45" s="23">
        <f>'Semi Metrics'!L895</f>
        <v/>
      </c>
      <c r="M45" s="21">
        <f>'Semi Metrics'!L1037</f>
        <v/>
      </c>
      <c r="N45" s="21">
        <f>'Semi Metrics'!L1179</f>
        <v/>
      </c>
      <c r="O45" s="24">
        <f>IFERROR(IF(AND(N(D45)&gt;0,N(M45)&gt;0),M45/D45,""),"")</f>
        <v/>
      </c>
      <c r="P45" s="21">
        <f>'Semi Metrics'!L1321</f>
        <v/>
      </c>
      <c r="Q45" s="23">
        <f>'Semi Metrics'!L1463</f>
        <v/>
      </c>
      <c r="R45" s="25">
        <f>'Semi Revisions'!G43</f>
        <v/>
      </c>
      <c r="S45" s="25">
        <f>'Semi Revisions'!H43</f>
        <v/>
      </c>
      <c r="T45" s="25">
        <f>'Semi Revisions'!I43</f>
        <v/>
      </c>
      <c r="U45" s="25">
        <f>'Semi Revisions'!O43</f>
        <v/>
      </c>
      <c r="V45" s="25">
        <f>'Semi Revisions'!P43</f>
        <v/>
      </c>
      <c r="W45" s="25">
        <f>'Semi Revisions'!Q43</f>
        <v/>
      </c>
      <c r="X45" s="26">
        <f>IFERROR(RANK(D45,D$8:D$146),"")</f>
        <v/>
      </c>
      <c r="Y45" s="26">
        <f>IFERROR(RANK(S45,S$8:S$146),"")</f>
        <v/>
      </c>
    </row>
    <row r="46">
      <c r="A46" s="19">
        <f>'Semi Rev'!$A43</f>
        <v/>
      </c>
      <c r="B46" s="19">
        <f>'Semi Rev'!$B43</f>
        <v/>
      </c>
      <c r="C46" s="20">
        <f>IF(ISNUMBER('Semi Rev'!P43),'Semi Rev'!P43,"")</f>
        <v/>
      </c>
      <c r="D46" s="21">
        <f>'Semi Metrics'!L186</f>
        <v/>
      </c>
      <c r="E46" s="21">
        <f>'Semi Metrics'!K186</f>
        <v/>
      </c>
      <c r="F46" s="22">
        <f>IF(OR(D46="",E46=""),"",D46-E46)</f>
        <v/>
      </c>
      <c r="G46" s="21">
        <f>'Semi Metrics'!L328</f>
        <v/>
      </c>
      <c r="H46" s="20">
        <f>'Semi Metrics'!L612</f>
        <v/>
      </c>
      <c r="I46" s="20">
        <f>'Semi Metrics'!L470</f>
        <v/>
      </c>
      <c r="J46" s="21">
        <f>'Semi Metrics'!M186</f>
        <v/>
      </c>
      <c r="K46" s="21">
        <f>'Semi Metrics'!L754</f>
        <v/>
      </c>
      <c r="L46" s="23">
        <f>'Semi Metrics'!L896</f>
        <v/>
      </c>
      <c r="M46" s="21">
        <f>'Semi Metrics'!L1038</f>
        <v/>
      </c>
      <c r="N46" s="21">
        <f>'Semi Metrics'!L1180</f>
        <v/>
      </c>
      <c r="O46" s="24">
        <f>IFERROR(IF(AND(N(D46)&gt;0,N(M46)&gt;0),M46/D46,""),"")</f>
        <v/>
      </c>
      <c r="P46" s="21">
        <f>'Semi Metrics'!L1322</f>
        <v/>
      </c>
      <c r="Q46" s="23">
        <f>'Semi Metrics'!L1464</f>
        <v/>
      </c>
      <c r="R46" s="25">
        <f>'Semi Revisions'!G44</f>
        <v/>
      </c>
      <c r="S46" s="25">
        <f>'Semi Revisions'!H44</f>
        <v/>
      </c>
      <c r="T46" s="25">
        <f>'Semi Revisions'!I44</f>
        <v/>
      </c>
      <c r="U46" s="25">
        <f>'Semi Revisions'!O44</f>
        <v/>
      </c>
      <c r="V46" s="25">
        <f>'Semi Revisions'!P44</f>
        <v/>
      </c>
      <c r="W46" s="25">
        <f>'Semi Revisions'!Q44</f>
        <v/>
      </c>
      <c r="X46" s="26">
        <f>IFERROR(RANK(D46,D$8:D$146),"")</f>
        <v/>
      </c>
      <c r="Y46" s="26">
        <f>IFERROR(RANK(S46,S$8:S$146),"")</f>
        <v/>
      </c>
    </row>
    <row r="47">
      <c r="A47" s="19">
        <f>'Semi Rev'!$A44</f>
        <v/>
      </c>
      <c r="B47" s="19">
        <f>'Semi Rev'!$B44</f>
        <v/>
      </c>
      <c r="C47" s="20">
        <f>IF(ISNUMBER('Semi Rev'!P44),'Semi Rev'!P44,"")</f>
        <v/>
      </c>
      <c r="D47" s="21">
        <f>'Semi Metrics'!L187</f>
        <v/>
      </c>
      <c r="E47" s="21">
        <f>'Semi Metrics'!K187</f>
        <v/>
      </c>
      <c r="F47" s="22">
        <f>IF(OR(D47="",E47=""),"",D47-E47)</f>
        <v/>
      </c>
      <c r="G47" s="21">
        <f>'Semi Metrics'!L329</f>
        <v/>
      </c>
      <c r="H47" s="20">
        <f>'Semi Metrics'!L613</f>
        <v/>
      </c>
      <c r="I47" s="20">
        <f>'Semi Metrics'!L471</f>
        <v/>
      </c>
      <c r="J47" s="21">
        <f>'Semi Metrics'!M187</f>
        <v/>
      </c>
      <c r="K47" s="21">
        <f>'Semi Metrics'!L755</f>
        <v/>
      </c>
      <c r="L47" s="23">
        <f>'Semi Metrics'!L897</f>
        <v/>
      </c>
      <c r="M47" s="21">
        <f>'Semi Metrics'!L1039</f>
        <v/>
      </c>
      <c r="N47" s="21">
        <f>'Semi Metrics'!L1181</f>
        <v/>
      </c>
      <c r="O47" s="24">
        <f>IFERROR(IF(AND(N(D47)&gt;0,N(M47)&gt;0),M47/D47,""),"")</f>
        <v/>
      </c>
      <c r="P47" s="21">
        <f>'Semi Metrics'!L1323</f>
        <v/>
      </c>
      <c r="Q47" s="23">
        <f>'Semi Metrics'!L1465</f>
        <v/>
      </c>
      <c r="R47" s="25">
        <f>'Semi Revisions'!G45</f>
        <v/>
      </c>
      <c r="S47" s="25">
        <f>'Semi Revisions'!H45</f>
        <v/>
      </c>
      <c r="T47" s="25">
        <f>'Semi Revisions'!I45</f>
        <v/>
      </c>
      <c r="U47" s="25">
        <f>'Semi Revisions'!O45</f>
        <v/>
      </c>
      <c r="V47" s="25">
        <f>'Semi Revisions'!P45</f>
        <v/>
      </c>
      <c r="W47" s="25">
        <f>'Semi Revisions'!Q45</f>
        <v/>
      </c>
      <c r="X47" s="26">
        <f>IFERROR(RANK(D47,D$8:D$146),"")</f>
        <v/>
      </c>
      <c r="Y47" s="26">
        <f>IFERROR(RANK(S47,S$8:S$146),"")</f>
        <v/>
      </c>
    </row>
    <row r="48">
      <c r="A48" s="19">
        <f>'Semi Rev'!$A45</f>
        <v/>
      </c>
      <c r="B48" s="19">
        <f>'Semi Rev'!$B45</f>
        <v/>
      </c>
      <c r="C48" s="20">
        <f>IF(ISNUMBER('Semi Rev'!P45),'Semi Rev'!P45,"")</f>
        <v/>
      </c>
      <c r="D48" s="21">
        <f>'Semi Metrics'!L188</f>
        <v/>
      </c>
      <c r="E48" s="21">
        <f>'Semi Metrics'!K188</f>
        <v/>
      </c>
      <c r="F48" s="22">
        <f>IF(OR(D48="",E48=""),"",D48-E48)</f>
        <v/>
      </c>
      <c r="G48" s="21">
        <f>'Semi Metrics'!L330</f>
        <v/>
      </c>
      <c r="H48" s="20">
        <f>'Semi Metrics'!L614</f>
        <v/>
      </c>
      <c r="I48" s="20">
        <f>'Semi Metrics'!L472</f>
        <v/>
      </c>
      <c r="J48" s="21">
        <f>'Semi Metrics'!M188</f>
        <v/>
      </c>
      <c r="K48" s="21">
        <f>'Semi Metrics'!L756</f>
        <v/>
      </c>
      <c r="L48" s="23">
        <f>'Semi Metrics'!L898</f>
        <v/>
      </c>
      <c r="M48" s="21">
        <f>'Semi Metrics'!L1040</f>
        <v/>
      </c>
      <c r="N48" s="21">
        <f>'Semi Metrics'!L1182</f>
        <v/>
      </c>
      <c r="O48" s="24">
        <f>IFERROR(IF(AND(N(D48)&gt;0,N(M48)&gt;0),M48/D48,""),"")</f>
        <v/>
      </c>
      <c r="P48" s="21">
        <f>'Semi Metrics'!L1324</f>
        <v/>
      </c>
      <c r="Q48" s="23">
        <f>'Semi Metrics'!L1466</f>
        <v/>
      </c>
      <c r="R48" s="25">
        <f>'Semi Revisions'!G46</f>
        <v/>
      </c>
      <c r="S48" s="25">
        <f>'Semi Revisions'!H46</f>
        <v/>
      </c>
      <c r="T48" s="25">
        <f>'Semi Revisions'!I46</f>
        <v/>
      </c>
      <c r="U48" s="25">
        <f>'Semi Revisions'!O46</f>
        <v/>
      </c>
      <c r="V48" s="25">
        <f>'Semi Revisions'!P46</f>
        <v/>
      </c>
      <c r="W48" s="25">
        <f>'Semi Revisions'!Q46</f>
        <v/>
      </c>
      <c r="X48" s="26">
        <f>IFERROR(RANK(D48,D$8:D$146),"")</f>
        <v/>
      </c>
      <c r="Y48" s="26">
        <f>IFERROR(RANK(S48,S$8:S$146),"")</f>
        <v/>
      </c>
    </row>
    <row r="49">
      <c r="A49" s="19">
        <f>'Semi Rev'!$A46</f>
        <v/>
      </c>
      <c r="B49" s="19">
        <f>'Semi Rev'!$B46</f>
        <v/>
      </c>
      <c r="C49" s="20">
        <f>IF(ISNUMBER('Semi Rev'!P46),'Semi Rev'!P46,"")</f>
        <v/>
      </c>
      <c r="D49" s="21">
        <f>'Semi Metrics'!L189</f>
        <v/>
      </c>
      <c r="E49" s="21">
        <f>'Semi Metrics'!K189</f>
        <v/>
      </c>
      <c r="F49" s="22">
        <f>IF(OR(D49="",E49=""),"",D49-E49)</f>
        <v/>
      </c>
      <c r="G49" s="21">
        <f>'Semi Metrics'!L331</f>
        <v/>
      </c>
      <c r="H49" s="20">
        <f>'Semi Metrics'!L615</f>
        <v/>
      </c>
      <c r="I49" s="20">
        <f>'Semi Metrics'!L473</f>
        <v/>
      </c>
      <c r="J49" s="21">
        <f>'Semi Metrics'!M189</f>
        <v/>
      </c>
      <c r="K49" s="21">
        <f>'Semi Metrics'!L757</f>
        <v/>
      </c>
      <c r="L49" s="23">
        <f>'Semi Metrics'!L899</f>
        <v/>
      </c>
      <c r="M49" s="21">
        <f>'Semi Metrics'!L1041</f>
        <v/>
      </c>
      <c r="N49" s="21">
        <f>'Semi Metrics'!L1183</f>
        <v/>
      </c>
      <c r="O49" s="24">
        <f>IFERROR(IF(AND(N(D49)&gt;0,N(M49)&gt;0),M49/D49,""),"")</f>
        <v/>
      </c>
      <c r="P49" s="21">
        <f>'Semi Metrics'!L1325</f>
        <v/>
      </c>
      <c r="Q49" s="23">
        <f>'Semi Metrics'!L1467</f>
        <v/>
      </c>
      <c r="R49" s="25">
        <f>'Semi Revisions'!G47</f>
        <v/>
      </c>
      <c r="S49" s="25">
        <f>'Semi Revisions'!H47</f>
        <v/>
      </c>
      <c r="T49" s="25">
        <f>'Semi Revisions'!I47</f>
        <v/>
      </c>
      <c r="U49" s="25">
        <f>'Semi Revisions'!O47</f>
        <v/>
      </c>
      <c r="V49" s="25">
        <f>'Semi Revisions'!P47</f>
        <v/>
      </c>
      <c r="W49" s="25">
        <f>'Semi Revisions'!Q47</f>
        <v/>
      </c>
      <c r="X49" s="26">
        <f>IFERROR(RANK(D49,D$8:D$146),"")</f>
        <v/>
      </c>
      <c r="Y49" s="26">
        <f>IFERROR(RANK(S49,S$8:S$146),"")</f>
        <v/>
      </c>
    </row>
    <row r="50">
      <c r="A50" s="19">
        <f>'Semi Rev'!$A47</f>
        <v/>
      </c>
      <c r="B50" s="19">
        <f>'Semi Rev'!$B47</f>
        <v/>
      </c>
      <c r="C50" s="20">
        <f>IF(ISNUMBER('Semi Rev'!P47),'Semi Rev'!P47,"")</f>
        <v/>
      </c>
      <c r="D50" s="21">
        <f>'Semi Metrics'!L190</f>
        <v/>
      </c>
      <c r="E50" s="21">
        <f>'Semi Metrics'!K190</f>
        <v/>
      </c>
      <c r="F50" s="22">
        <f>IF(OR(D50="",E50=""),"",D50-E50)</f>
        <v/>
      </c>
      <c r="G50" s="21">
        <f>'Semi Metrics'!L332</f>
        <v/>
      </c>
      <c r="H50" s="20">
        <f>'Semi Metrics'!L616</f>
        <v/>
      </c>
      <c r="I50" s="20">
        <f>'Semi Metrics'!L474</f>
        <v/>
      </c>
      <c r="J50" s="21">
        <f>'Semi Metrics'!M190</f>
        <v/>
      </c>
      <c r="K50" s="21">
        <f>'Semi Metrics'!L758</f>
        <v/>
      </c>
      <c r="L50" s="23">
        <f>'Semi Metrics'!L900</f>
        <v/>
      </c>
      <c r="M50" s="21">
        <f>'Semi Metrics'!L1042</f>
        <v/>
      </c>
      <c r="N50" s="21">
        <f>'Semi Metrics'!L1184</f>
        <v/>
      </c>
      <c r="O50" s="24">
        <f>IFERROR(IF(AND(N(D50)&gt;0,N(M50)&gt;0),M50/D50,""),"")</f>
        <v/>
      </c>
      <c r="P50" s="21">
        <f>'Semi Metrics'!L1326</f>
        <v/>
      </c>
      <c r="Q50" s="23">
        <f>'Semi Metrics'!L1468</f>
        <v/>
      </c>
      <c r="R50" s="25">
        <f>'Semi Revisions'!G48</f>
        <v/>
      </c>
      <c r="S50" s="25">
        <f>'Semi Revisions'!H48</f>
        <v/>
      </c>
      <c r="T50" s="25">
        <f>'Semi Revisions'!I48</f>
        <v/>
      </c>
      <c r="U50" s="25">
        <f>'Semi Revisions'!O48</f>
        <v/>
      </c>
      <c r="V50" s="25">
        <f>'Semi Revisions'!P48</f>
        <v/>
      </c>
      <c r="W50" s="25">
        <f>'Semi Revisions'!Q48</f>
        <v/>
      </c>
      <c r="X50" s="26">
        <f>IFERROR(RANK(D50,D$8:D$146),"")</f>
        <v/>
      </c>
      <c r="Y50" s="26">
        <f>IFERROR(RANK(S50,S$8:S$146),"")</f>
        <v/>
      </c>
    </row>
    <row r="51">
      <c r="A51" s="19">
        <f>'Semi Rev'!$A48</f>
        <v/>
      </c>
      <c r="B51" s="19">
        <f>'Semi Rev'!$B48</f>
        <v/>
      </c>
      <c r="C51" s="20">
        <f>IF(ISNUMBER('Semi Rev'!P48),'Semi Rev'!P48,"")</f>
        <v/>
      </c>
      <c r="D51" s="21">
        <f>'Semi Metrics'!L191</f>
        <v/>
      </c>
      <c r="E51" s="21">
        <f>'Semi Metrics'!K191</f>
        <v/>
      </c>
      <c r="F51" s="22">
        <f>IF(OR(D51="",E51=""),"",D51-E51)</f>
        <v/>
      </c>
      <c r="G51" s="21">
        <f>'Semi Metrics'!L333</f>
        <v/>
      </c>
      <c r="H51" s="20">
        <f>'Semi Metrics'!L617</f>
        <v/>
      </c>
      <c r="I51" s="20">
        <f>'Semi Metrics'!L475</f>
        <v/>
      </c>
      <c r="J51" s="21">
        <f>'Semi Metrics'!M191</f>
        <v/>
      </c>
      <c r="K51" s="21">
        <f>'Semi Metrics'!L759</f>
        <v/>
      </c>
      <c r="L51" s="23">
        <f>'Semi Metrics'!L901</f>
        <v/>
      </c>
      <c r="M51" s="21">
        <f>'Semi Metrics'!L1043</f>
        <v/>
      </c>
      <c r="N51" s="21">
        <f>'Semi Metrics'!L1185</f>
        <v/>
      </c>
      <c r="O51" s="24">
        <f>IFERROR(IF(AND(N(D51)&gt;0,N(M51)&gt;0),M51/D51,""),"")</f>
        <v/>
      </c>
      <c r="P51" s="21">
        <f>'Semi Metrics'!L1327</f>
        <v/>
      </c>
      <c r="Q51" s="23">
        <f>'Semi Metrics'!L1469</f>
        <v/>
      </c>
      <c r="R51" s="25">
        <f>'Semi Revisions'!G49</f>
        <v/>
      </c>
      <c r="S51" s="25">
        <f>'Semi Revisions'!H49</f>
        <v/>
      </c>
      <c r="T51" s="25">
        <f>'Semi Revisions'!I49</f>
        <v/>
      </c>
      <c r="U51" s="25">
        <f>'Semi Revisions'!O49</f>
        <v/>
      </c>
      <c r="V51" s="25">
        <f>'Semi Revisions'!P49</f>
        <v/>
      </c>
      <c r="W51" s="25">
        <f>'Semi Revisions'!Q49</f>
        <v/>
      </c>
      <c r="X51" s="26">
        <f>IFERROR(RANK(D51,D$8:D$146),"")</f>
        <v/>
      </c>
      <c r="Y51" s="26">
        <f>IFERROR(RANK(S51,S$8:S$146),"")</f>
        <v/>
      </c>
    </row>
    <row r="52">
      <c r="A52" s="19">
        <f>'Semi Rev'!$A49</f>
        <v/>
      </c>
      <c r="B52" s="19">
        <f>'Semi Rev'!$B49</f>
        <v/>
      </c>
      <c r="C52" s="20">
        <f>IF(ISNUMBER('Semi Rev'!P49),'Semi Rev'!P49,"")</f>
        <v/>
      </c>
      <c r="D52" s="21">
        <f>'Semi Metrics'!L192</f>
        <v/>
      </c>
      <c r="E52" s="21">
        <f>'Semi Metrics'!K192</f>
        <v/>
      </c>
      <c r="F52" s="22">
        <f>IF(OR(D52="",E52=""),"",D52-E52)</f>
        <v/>
      </c>
      <c r="G52" s="21">
        <f>'Semi Metrics'!L334</f>
        <v/>
      </c>
      <c r="H52" s="20">
        <f>'Semi Metrics'!L618</f>
        <v/>
      </c>
      <c r="I52" s="20">
        <f>'Semi Metrics'!L476</f>
        <v/>
      </c>
      <c r="J52" s="21">
        <f>'Semi Metrics'!M192</f>
        <v/>
      </c>
      <c r="K52" s="21">
        <f>'Semi Metrics'!L760</f>
        <v/>
      </c>
      <c r="L52" s="23">
        <f>'Semi Metrics'!L902</f>
        <v/>
      </c>
      <c r="M52" s="21">
        <f>'Semi Metrics'!L1044</f>
        <v/>
      </c>
      <c r="N52" s="21">
        <f>'Semi Metrics'!L1186</f>
        <v/>
      </c>
      <c r="O52" s="24">
        <f>IFERROR(IF(AND(N(D52)&gt;0,N(M52)&gt;0),M52/D52,""),"")</f>
        <v/>
      </c>
      <c r="P52" s="21">
        <f>'Semi Metrics'!L1328</f>
        <v/>
      </c>
      <c r="Q52" s="23">
        <f>'Semi Metrics'!L1470</f>
        <v/>
      </c>
      <c r="R52" s="25">
        <f>'Semi Revisions'!G50</f>
        <v/>
      </c>
      <c r="S52" s="25">
        <f>'Semi Revisions'!H50</f>
        <v/>
      </c>
      <c r="T52" s="25">
        <f>'Semi Revisions'!I50</f>
        <v/>
      </c>
      <c r="U52" s="25">
        <f>'Semi Revisions'!O50</f>
        <v/>
      </c>
      <c r="V52" s="25">
        <f>'Semi Revisions'!P50</f>
        <v/>
      </c>
      <c r="W52" s="25">
        <f>'Semi Revisions'!Q50</f>
        <v/>
      </c>
      <c r="X52" s="26">
        <f>IFERROR(RANK(D52,D$8:D$146),"")</f>
        <v/>
      </c>
      <c r="Y52" s="26">
        <f>IFERROR(RANK(S52,S$8:S$146),"")</f>
        <v/>
      </c>
    </row>
    <row r="53">
      <c r="A53" s="19">
        <f>'Semi Rev'!$A50</f>
        <v/>
      </c>
      <c r="B53" s="19">
        <f>'Semi Rev'!$B50</f>
        <v/>
      </c>
      <c r="C53" s="20">
        <f>IF(ISNUMBER('Semi Rev'!P50),'Semi Rev'!P50,"")</f>
        <v/>
      </c>
      <c r="D53" s="21">
        <f>'Semi Metrics'!L193</f>
        <v/>
      </c>
      <c r="E53" s="21">
        <f>'Semi Metrics'!K193</f>
        <v/>
      </c>
      <c r="F53" s="22">
        <f>IF(OR(D53="",E53=""),"",D53-E53)</f>
        <v/>
      </c>
      <c r="G53" s="21">
        <f>'Semi Metrics'!L335</f>
        <v/>
      </c>
      <c r="H53" s="20">
        <f>'Semi Metrics'!L619</f>
        <v/>
      </c>
      <c r="I53" s="20">
        <f>'Semi Metrics'!L477</f>
        <v/>
      </c>
      <c r="J53" s="21">
        <f>'Semi Metrics'!M193</f>
        <v/>
      </c>
      <c r="K53" s="21">
        <f>'Semi Metrics'!L761</f>
        <v/>
      </c>
      <c r="L53" s="23">
        <f>'Semi Metrics'!L903</f>
        <v/>
      </c>
      <c r="M53" s="21">
        <f>'Semi Metrics'!L1045</f>
        <v/>
      </c>
      <c r="N53" s="21">
        <f>'Semi Metrics'!L1187</f>
        <v/>
      </c>
      <c r="O53" s="24">
        <f>IFERROR(IF(AND(N(D53)&gt;0,N(M53)&gt;0),M53/D53,""),"")</f>
        <v/>
      </c>
      <c r="P53" s="21">
        <f>'Semi Metrics'!L1329</f>
        <v/>
      </c>
      <c r="Q53" s="23">
        <f>'Semi Metrics'!L1471</f>
        <v/>
      </c>
      <c r="R53" s="25">
        <f>'Semi Revisions'!G51</f>
        <v/>
      </c>
      <c r="S53" s="25">
        <f>'Semi Revisions'!H51</f>
        <v/>
      </c>
      <c r="T53" s="25">
        <f>'Semi Revisions'!I51</f>
        <v/>
      </c>
      <c r="U53" s="25">
        <f>'Semi Revisions'!O51</f>
        <v/>
      </c>
      <c r="V53" s="25">
        <f>'Semi Revisions'!P51</f>
        <v/>
      </c>
      <c r="W53" s="25">
        <f>'Semi Revisions'!Q51</f>
        <v/>
      </c>
      <c r="X53" s="26">
        <f>IFERROR(RANK(D53,D$8:D$146),"")</f>
        <v/>
      </c>
      <c r="Y53" s="26">
        <f>IFERROR(RANK(S53,S$8:S$146),"")</f>
        <v/>
      </c>
    </row>
    <row r="54">
      <c r="A54" s="19">
        <f>'Semi Rev'!$A51</f>
        <v/>
      </c>
      <c r="B54" s="19">
        <f>'Semi Rev'!$B51</f>
        <v/>
      </c>
      <c r="C54" s="20">
        <f>IF(ISNUMBER('Semi Rev'!P51),'Semi Rev'!P51,"")</f>
        <v/>
      </c>
      <c r="D54" s="21">
        <f>'Semi Metrics'!L194</f>
        <v/>
      </c>
      <c r="E54" s="21">
        <f>'Semi Metrics'!K194</f>
        <v/>
      </c>
      <c r="F54" s="22">
        <f>IF(OR(D54="",E54=""),"",D54-E54)</f>
        <v/>
      </c>
      <c r="G54" s="21">
        <f>'Semi Metrics'!L336</f>
        <v/>
      </c>
      <c r="H54" s="20">
        <f>'Semi Metrics'!L620</f>
        <v/>
      </c>
      <c r="I54" s="20">
        <f>'Semi Metrics'!L478</f>
        <v/>
      </c>
      <c r="J54" s="21">
        <f>'Semi Metrics'!M194</f>
        <v/>
      </c>
      <c r="K54" s="21">
        <f>'Semi Metrics'!L762</f>
        <v/>
      </c>
      <c r="L54" s="23">
        <f>'Semi Metrics'!L904</f>
        <v/>
      </c>
      <c r="M54" s="21">
        <f>'Semi Metrics'!L1046</f>
        <v/>
      </c>
      <c r="N54" s="21">
        <f>'Semi Metrics'!L1188</f>
        <v/>
      </c>
      <c r="O54" s="24">
        <f>IFERROR(IF(AND(N(D54)&gt;0,N(M54)&gt;0),M54/D54,""),"")</f>
        <v/>
      </c>
      <c r="P54" s="21">
        <f>'Semi Metrics'!L1330</f>
        <v/>
      </c>
      <c r="Q54" s="23">
        <f>'Semi Metrics'!L1472</f>
        <v/>
      </c>
      <c r="R54" s="25">
        <f>'Semi Revisions'!G52</f>
        <v/>
      </c>
      <c r="S54" s="25">
        <f>'Semi Revisions'!H52</f>
        <v/>
      </c>
      <c r="T54" s="25">
        <f>'Semi Revisions'!I52</f>
        <v/>
      </c>
      <c r="U54" s="25">
        <f>'Semi Revisions'!O52</f>
        <v/>
      </c>
      <c r="V54" s="25">
        <f>'Semi Revisions'!P52</f>
        <v/>
      </c>
      <c r="W54" s="25">
        <f>'Semi Revisions'!Q52</f>
        <v/>
      </c>
      <c r="X54" s="26">
        <f>IFERROR(RANK(D54,D$8:D$146),"")</f>
        <v/>
      </c>
      <c r="Y54" s="26">
        <f>IFERROR(RANK(S54,S$8:S$146),"")</f>
        <v/>
      </c>
    </row>
    <row r="55">
      <c r="A55" s="19">
        <f>'Semi Rev'!$A52</f>
        <v/>
      </c>
      <c r="B55" s="19">
        <f>'Semi Rev'!$B52</f>
        <v/>
      </c>
      <c r="C55" s="20">
        <f>IF(ISNUMBER('Semi Rev'!P52),'Semi Rev'!P52,"")</f>
        <v/>
      </c>
      <c r="D55" s="21">
        <f>'Semi Metrics'!L195</f>
        <v/>
      </c>
      <c r="E55" s="21">
        <f>'Semi Metrics'!K195</f>
        <v/>
      </c>
      <c r="F55" s="22">
        <f>IF(OR(D55="",E55=""),"",D55-E55)</f>
        <v/>
      </c>
      <c r="G55" s="21">
        <f>'Semi Metrics'!L337</f>
        <v/>
      </c>
      <c r="H55" s="20">
        <f>'Semi Metrics'!L621</f>
        <v/>
      </c>
      <c r="I55" s="20">
        <f>'Semi Metrics'!L479</f>
        <v/>
      </c>
      <c r="J55" s="21">
        <f>'Semi Metrics'!M195</f>
        <v/>
      </c>
      <c r="K55" s="21">
        <f>'Semi Metrics'!L763</f>
        <v/>
      </c>
      <c r="L55" s="23">
        <f>'Semi Metrics'!L905</f>
        <v/>
      </c>
      <c r="M55" s="21">
        <f>'Semi Metrics'!L1047</f>
        <v/>
      </c>
      <c r="N55" s="21">
        <f>'Semi Metrics'!L1189</f>
        <v/>
      </c>
      <c r="O55" s="24">
        <f>IFERROR(IF(AND(N(D55)&gt;0,N(M55)&gt;0),M55/D55,""),"")</f>
        <v/>
      </c>
      <c r="P55" s="21">
        <f>'Semi Metrics'!L1331</f>
        <v/>
      </c>
      <c r="Q55" s="23">
        <f>'Semi Metrics'!L1473</f>
        <v/>
      </c>
      <c r="R55" s="25">
        <f>'Semi Revisions'!G53</f>
        <v/>
      </c>
      <c r="S55" s="25">
        <f>'Semi Revisions'!H53</f>
        <v/>
      </c>
      <c r="T55" s="25">
        <f>'Semi Revisions'!I53</f>
        <v/>
      </c>
      <c r="U55" s="25">
        <f>'Semi Revisions'!O53</f>
        <v/>
      </c>
      <c r="V55" s="25">
        <f>'Semi Revisions'!P53</f>
        <v/>
      </c>
      <c r="W55" s="25">
        <f>'Semi Revisions'!Q53</f>
        <v/>
      </c>
      <c r="X55" s="26">
        <f>IFERROR(RANK(D55,D$8:D$146),"")</f>
        <v/>
      </c>
      <c r="Y55" s="26">
        <f>IFERROR(RANK(S55,S$8:S$146),"")</f>
        <v/>
      </c>
    </row>
    <row r="56">
      <c r="A56" s="19">
        <f>'Semi Rev'!$A53</f>
        <v/>
      </c>
      <c r="B56" s="19">
        <f>'Semi Rev'!$B53</f>
        <v/>
      </c>
      <c r="C56" s="20">
        <f>IF(ISNUMBER('Semi Rev'!P53),'Semi Rev'!P53,"")</f>
        <v/>
      </c>
      <c r="D56" s="21">
        <f>'Semi Metrics'!L196</f>
        <v/>
      </c>
      <c r="E56" s="21">
        <f>'Semi Metrics'!K196</f>
        <v/>
      </c>
      <c r="F56" s="22">
        <f>IF(OR(D56="",E56=""),"",D56-E56)</f>
        <v/>
      </c>
      <c r="G56" s="21">
        <f>'Semi Metrics'!L338</f>
        <v/>
      </c>
      <c r="H56" s="20">
        <f>'Semi Metrics'!L622</f>
        <v/>
      </c>
      <c r="I56" s="20">
        <f>'Semi Metrics'!L480</f>
        <v/>
      </c>
      <c r="J56" s="21">
        <f>'Semi Metrics'!M196</f>
        <v/>
      </c>
      <c r="K56" s="21">
        <f>'Semi Metrics'!L764</f>
        <v/>
      </c>
      <c r="L56" s="23">
        <f>'Semi Metrics'!L906</f>
        <v/>
      </c>
      <c r="M56" s="21">
        <f>'Semi Metrics'!L1048</f>
        <v/>
      </c>
      <c r="N56" s="21">
        <f>'Semi Metrics'!L1190</f>
        <v/>
      </c>
      <c r="O56" s="24">
        <f>IFERROR(IF(AND(N(D56)&gt;0,N(M56)&gt;0),M56/D56,""),"")</f>
        <v/>
      </c>
      <c r="P56" s="21">
        <f>'Semi Metrics'!L1332</f>
        <v/>
      </c>
      <c r="Q56" s="23">
        <f>'Semi Metrics'!L1474</f>
        <v/>
      </c>
      <c r="R56" s="25">
        <f>'Semi Revisions'!G54</f>
        <v/>
      </c>
      <c r="S56" s="25">
        <f>'Semi Revisions'!H54</f>
        <v/>
      </c>
      <c r="T56" s="25">
        <f>'Semi Revisions'!I54</f>
        <v/>
      </c>
      <c r="U56" s="25">
        <f>'Semi Revisions'!O54</f>
        <v/>
      </c>
      <c r="V56" s="25">
        <f>'Semi Revisions'!P54</f>
        <v/>
      </c>
      <c r="W56" s="25">
        <f>'Semi Revisions'!Q54</f>
        <v/>
      </c>
      <c r="X56" s="26">
        <f>IFERROR(RANK(D56,D$8:D$146),"")</f>
        <v/>
      </c>
      <c r="Y56" s="26">
        <f>IFERROR(RANK(S56,S$8:S$146),"")</f>
        <v/>
      </c>
    </row>
    <row r="57">
      <c r="A57" s="19">
        <f>'Semi Rev'!$A54</f>
        <v/>
      </c>
      <c r="B57" s="19">
        <f>'Semi Rev'!$B54</f>
        <v/>
      </c>
      <c r="C57" s="20">
        <f>IF(ISNUMBER('Semi Rev'!P54),'Semi Rev'!P54,"")</f>
        <v/>
      </c>
      <c r="D57" s="21">
        <f>'Semi Metrics'!L197</f>
        <v/>
      </c>
      <c r="E57" s="21">
        <f>'Semi Metrics'!K197</f>
        <v/>
      </c>
      <c r="F57" s="22">
        <f>IF(OR(D57="",E57=""),"",D57-E57)</f>
        <v/>
      </c>
      <c r="G57" s="21">
        <f>'Semi Metrics'!L339</f>
        <v/>
      </c>
      <c r="H57" s="20">
        <f>'Semi Metrics'!L623</f>
        <v/>
      </c>
      <c r="I57" s="20">
        <f>'Semi Metrics'!L481</f>
        <v/>
      </c>
      <c r="J57" s="21">
        <f>'Semi Metrics'!M197</f>
        <v/>
      </c>
      <c r="K57" s="21">
        <f>'Semi Metrics'!L765</f>
        <v/>
      </c>
      <c r="L57" s="23">
        <f>'Semi Metrics'!L907</f>
        <v/>
      </c>
      <c r="M57" s="21">
        <f>'Semi Metrics'!L1049</f>
        <v/>
      </c>
      <c r="N57" s="21">
        <f>'Semi Metrics'!L1191</f>
        <v/>
      </c>
      <c r="O57" s="24">
        <f>IFERROR(IF(AND(N(D57)&gt;0,N(M57)&gt;0),M57/D57,""),"")</f>
        <v/>
      </c>
      <c r="P57" s="21">
        <f>'Semi Metrics'!L1333</f>
        <v/>
      </c>
      <c r="Q57" s="23">
        <f>'Semi Metrics'!L1475</f>
        <v/>
      </c>
      <c r="R57" s="25">
        <f>'Semi Revisions'!G55</f>
        <v/>
      </c>
      <c r="S57" s="25">
        <f>'Semi Revisions'!H55</f>
        <v/>
      </c>
      <c r="T57" s="25">
        <f>'Semi Revisions'!I55</f>
        <v/>
      </c>
      <c r="U57" s="25">
        <f>'Semi Revisions'!O55</f>
        <v/>
      </c>
      <c r="V57" s="25">
        <f>'Semi Revisions'!P55</f>
        <v/>
      </c>
      <c r="W57" s="25">
        <f>'Semi Revisions'!Q55</f>
        <v/>
      </c>
      <c r="X57" s="26">
        <f>IFERROR(RANK(D57,D$8:D$146),"")</f>
        <v/>
      </c>
      <c r="Y57" s="26">
        <f>IFERROR(RANK(S57,S$8:S$146),"")</f>
        <v/>
      </c>
    </row>
    <row r="58">
      <c r="A58" s="19">
        <f>'Semi Rev'!$A55</f>
        <v/>
      </c>
      <c r="B58" s="19">
        <f>'Semi Rev'!$B55</f>
        <v/>
      </c>
      <c r="C58" s="20">
        <f>IF(ISNUMBER('Semi Rev'!P55),'Semi Rev'!P55,"")</f>
        <v/>
      </c>
      <c r="D58" s="21">
        <f>'Semi Metrics'!L198</f>
        <v/>
      </c>
      <c r="E58" s="21">
        <f>'Semi Metrics'!K198</f>
        <v/>
      </c>
      <c r="F58" s="22">
        <f>IF(OR(D58="",E58=""),"",D58-E58)</f>
        <v/>
      </c>
      <c r="G58" s="21">
        <f>'Semi Metrics'!L340</f>
        <v/>
      </c>
      <c r="H58" s="20">
        <f>'Semi Metrics'!L624</f>
        <v/>
      </c>
      <c r="I58" s="20">
        <f>'Semi Metrics'!L482</f>
        <v/>
      </c>
      <c r="J58" s="21">
        <f>'Semi Metrics'!M198</f>
        <v/>
      </c>
      <c r="K58" s="21">
        <f>'Semi Metrics'!L766</f>
        <v/>
      </c>
      <c r="L58" s="23">
        <f>'Semi Metrics'!L908</f>
        <v/>
      </c>
      <c r="M58" s="21">
        <f>'Semi Metrics'!L1050</f>
        <v/>
      </c>
      <c r="N58" s="21">
        <f>'Semi Metrics'!L1192</f>
        <v/>
      </c>
      <c r="O58" s="24">
        <f>IFERROR(IF(AND(N(D58)&gt;0,N(M58)&gt;0),M58/D58,""),"")</f>
        <v/>
      </c>
      <c r="P58" s="21">
        <f>'Semi Metrics'!L1334</f>
        <v/>
      </c>
      <c r="Q58" s="23">
        <f>'Semi Metrics'!L1476</f>
        <v/>
      </c>
      <c r="R58" s="25">
        <f>'Semi Revisions'!G56</f>
        <v/>
      </c>
      <c r="S58" s="25">
        <f>'Semi Revisions'!H56</f>
        <v/>
      </c>
      <c r="T58" s="25">
        <f>'Semi Revisions'!I56</f>
        <v/>
      </c>
      <c r="U58" s="25">
        <f>'Semi Revisions'!O56</f>
        <v/>
      </c>
      <c r="V58" s="25">
        <f>'Semi Revisions'!P56</f>
        <v/>
      </c>
      <c r="W58" s="25">
        <f>'Semi Revisions'!Q56</f>
        <v/>
      </c>
      <c r="X58" s="26">
        <f>IFERROR(RANK(D58,D$8:D$146),"")</f>
        <v/>
      </c>
      <c r="Y58" s="26">
        <f>IFERROR(RANK(S58,S$8:S$146),"")</f>
        <v/>
      </c>
    </row>
    <row r="59">
      <c r="A59" s="19">
        <f>'Semi Rev'!$A56</f>
        <v/>
      </c>
      <c r="B59" s="19">
        <f>'Semi Rev'!$B56</f>
        <v/>
      </c>
      <c r="C59" s="20">
        <f>IF(ISNUMBER('Semi Rev'!P56),'Semi Rev'!P56,"")</f>
        <v/>
      </c>
      <c r="D59" s="21">
        <f>'Semi Metrics'!L199</f>
        <v/>
      </c>
      <c r="E59" s="21">
        <f>'Semi Metrics'!K199</f>
        <v/>
      </c>
      <c r="F59" s="22">
        <f>IF(OR(D59="",E59=""),"",D59-E59)</f>
        <v/>
      </c>
      <c r="G59" s="21">
        <f>'Semi Metrics'!L341</f>
        <v/>
      </c>
      <c r="H59" s="20">
        <f>'Semi Metrics'!L625</f>
        <v/>
      </c>
      <c r="I59" s="20">
        <f>'Semi Metrics'!L483</f>
        <v/>
      </c>
      <c r="J59" s="21">
        <f>'Semi Metrics'!M199</f>
        <v/>
      </c>
      <c r="K59" s="21">
        <f>'Semi Metrics'!L767</f>
        <v/>
      </c>
      <c r="L59" s="23">
        <f>'Semi Metrics'!L909</f>
        <v/>
      </c>
      <c r="M59" s="21">
        <f>'Semi Metrics'!L1051</f>
        <v/>
      </c>
      <c r="N59" s="21">
        <f>'Semi Metrics'!L1193</f>
        <v/>
      </c>
      <c r="O59" s="24">
        <f>IFERROR(IF(AND(N(D59)&gt;0,N(M59)&gt;0),M59/D59,""),"")</f>
        <v/>
      </c>
      <c r="P59" s="21">
        <f>'Semi Metrics'!L1335</f>
        <v/>
      </c>
      <c r="Q59" s="23">
        <f>'Semi Metrics'!L1477</f>
        <v/>
      </c>
      <c r="R59" s="25">
        <f>'Semi Revisions'!G57</f>
        <v/>
      </c>
      <c r="S59" s="25">
        <f>'Semi Revisions'!H57</f>
        <v/>
      </c>
      <c r="T59" s="25">
        <f>'Semi Revisions'!I57</f>
        <v/>
      </c>
      <c r="U59" s="25">
        <f>'Semi Revisions'!O57</f>
        <v/>
      </c>
      <c r="V59" s="25">
        <f>'Semi Revisions'!P57</f>
        <v/>
      </c>
      <c r="W59" s="25">
        <f>'Semi Revisions'!Q57</f>
        <v/>
      </c>
      <c r="X59" s="26">
        <f>IFERROR(RANK(D59,D$8:D$146),"")</f>
        <v/>
      </c>
      <c r="Y59" s="26">
        <f>IFERROR(RANK(S59,S$8:S$146),"")</f>
        <v/>
      </c>
    </row>
    <row r="60">
      <c r="A60" s="19">
        <f>'Semi Rev'!$A57</f>
        <v/>
      </c>
      <c r="B60" s="19">
        <f>'Semi Rev'!$B57</f>
        <v/>
      </c>
      <c r="C60" s="20">
        <f>IF(ISNUMBER('Semi Rev'!P57),'Semi Rev'!P57,"")</f>
        <v/>
      </c>
      <c r="D60" s="21">
        <f>'Semi Metrics'!L200</f>
        <v/>
      </c>
      <c r="E60" s="21">
        <f>'Semi Metrics'!K200</f>
        <v/>
      </c>
      <c r="F60" s="22">
        <f>IF(OR(D60="",E60=""),"",D60-E60)</f>
        <v/>
      </c>
      <c r="G60" s="21">
        <f>'Semi Metrics'!L342</f>
        <v/>
      </c>
      <c r="H60" s="20">
        <f>'Semi Metrics'!L626</f>
        <v/>
      </c>
      <c r="I60" s="20">
        <f>'Semi Metrics'!L484</f>
        <v/>
      </c>
      <c r="J60" s="21">
        <f>'Semi Metrics'!M200</f>
        <v/>
      </c>
      <c r="K60" s="21">
        <f>'Semi Metrics'!L768</f>
        <v/>
      </c>
      <c r="L60" s="23">
        <f>'Semi Metrics'!L910</f>
        <v/>
      </c>
      <c r="M60" s="21">
        <f>'Semi Metrics'!L1052</f>
        <v/>
      </c>
      <c r="N60" s="21">
        <f>'Semi Metrics'!L1194</f>
        <v/>
      </c>
      <c r="O60" s="24">
        <f>IFERROR(IF(AND(N(D60)&gt;0,N(M60)&gt;0),M60/D60,""),"")</f>
        <v/>
      </c>
      <c r="P60" s="21">
        <f>'Semi Metrics'!L1336</f>
        <v/>
      </c>
      <c r="Q60" s="23">
        <f>'Semi Metrics'!L1478</f>
        <v/>
      </c>
      <c r="R60" s="25">
        <f>'Semi Revisions'!G58</f>
        <v/>
      </c>
      <c r="S60" s="25">
        <f>'Semi Revisions'!H58</f>
        <v/>
      </c>
      <c r="T60" s="25">
        <f>'Semi Revisions'!I58</f>
        <v/>
      </c>
      <c r="U60" s="25">
        <f>'Semi Revisions'!O58</f>
        <v/>
      </c>
      <c r="V60" s="25">
        <f>'Semi Revisions'!P58</f>
        <v/>
      </c>
      <c r="W60" s="25">
        <f>'Semi Revisions'!Q58</f>
        <v/>
      </c>
      <c r="X60" s="26">
        <f>IFERROR(RANK(D60,D$8:D$146),"")</f>
        <v/>
      </c>
      <c r="Y60" s="26">
        <f>IFERROR(RANK(S60,S$8:S$146),"")</f>
        <v/>
      </c>
    </row>
    <row r="61">
      <c r="A61" s="19">
        <f>'Semi Rev'!$A58</f>
        <v/>
      </c>
      <c r="B61" s="19">
        <f>'Semi Rev'!$B58</f>
        <v/>
      </c>
      <c r="C61" s="20">
        <f>IF(ISNUMBER('Semi Rev'!P58),'Semi Rev'!P58,"")</f>
        <v/>
      </c>
      <c r="D61" s="21">
        <f>'Semi Metrics'!L201</f>
        <v/>
      </c>
      <c r="E61" s="21">
        <f>'Semi Metrics'!K201</f>
        <v/>
      </c>
      <c r="F61" s="22">
        <f>IF(OR(D61="",E61=""),"",D61-E61)</f>
        <v/>
      </c>
      <c r="G61" s="21">
        <f>'Semi Metrics'!L343</f>
        <v/>
      </c>
      <c r="H61" s="20">
        <f>'Semi Metrics'!L627</f>
        <v/>
      </c>
      <c r="I61" s="20">
        <f>'Semi Metrics'!L485</f>
        <v/>
      </c>
      <c r="J61" s="21">
        <f>'Semi Metrics'!M201</f>
        <v/>
      </c>
      <c r="K61" s="21">
        <f>'Semi Metrics'!L769</f>
        <v/>
      </c>
      <c r="L61" s="23">
        <f>'Semi Metrics'!L911</f>
        <v/>
      </c>
      <c r="M61" s="21">
        <f>'Semi Metrics'!L1053</f>
        <v/>
      </c>
      <c r="N61" s="21">
        <f>'Semi Metrics'!L1195</f>
        <v/>
      </c>
      <c r="O61" s="24">
        <f>IFERROR(IF(AND(N(D61)&gt;0,N(M61)&gt;0),M61/D61,""),"")</f>
        <v/>
      </c>
      <c r="P61" s="21">
        <f>'Semi Metrics'!L1337</f>
        <v/>
      </c>
      <c r="Q61" s="23">
        <f>'Semi Metrics'!L1479</f>
        <v/>
      </c>
      <c r="R61" s="25">
        <f>'Semi Revisions'!G59</f>
        <v/>
      </c>
      <c r="S61" s="25">
        <f>'Semi Revisions'!H59</f>
        <v/>
      </c>
      <c r="T61" s="25">
        <f>'Semi Revisions'!I59</f>
        <v/>
      </c>
      <c r="U61" s="25">
        <f>'Semi Revisions'!O59</f>
        <v/>
      </c>
      <c r="V61" s="25">
        <f>'Semi Revisions'!P59</f>
        <v/>
      </c>
      <c r="W61" s="25">
        <f>'Semi Revisions'!Q59</f>
        <v/>
      </c>
      <c r="X61" s="26">
        <f>IFERROR(RANK(D61,D$8:D$146),"")</f>
        <v/>
      </c>
      <c r="Y61" s="26">
        <f>IFERROR(RANK(S61,S$8:S$146),"")</f>
        <v/>
      </c>
    </row>
    <row r="62">
      <c r="A62" s="19">
        <f>'Semi Rev'!$A59</f>
        <v/>
      </c>
      <c r="B62" s="19">
        <f>'Semi Rev'!$B59</f>
        <v/>
      </c>
      <c r="C62" s="20">
        <f>IF(ISNUMBER('Semi Rev'!P59),'Semi Rev'!P59,"")</f>
        <v/>
      </c>
      <c r="D62" s="21">
        <f>'Semi Metrics'!L202</f>
        <v/>
      </c>
      <c r="E62" s="21">
        <f>'Semi Metrics'!K202</f>
        <v/>
      </c>
      <c r="F62" s="22">
        <f>IF(OR(D62="",E62=""),"",D62-E62)</f>
        <v/>
      </c>
      <c r="G62" s="21">
        <f>'Semi Metrics'!L344</f>
        <v/>
      </c>
      <c r="H62" s="20">
        <f>'Semi Metrics'!L628</f>
        <v/>
      </c>
      <c r="I62" s="20">
        <f>'Semi Metrics'!L486</f>
        <v/>
      </c>
      <c r="J62" s="21">
        <f>'Semi Metrics'!M202</f>
        <v/>
      </c>
      <c r="K62" s="21">
        <f>'Semi Metrics'!L770</f>
        <v/>
      </c>
      <c r="L62" s="23">
        <f>'Semi Metrics'!L912</f>
        <v/>
      </c>
      <c r="M62" s="21">
        <f>'Semi Metrics'!L1054</f>
        <v/>
      </c>
      <c r="N62" s="21">
        <f>'Semi Metrics'!L1196</f>
        <v/>
      </c>
      <c r="O62" s="24">
        <f>IFERROR(IF(AND(N(D62)&gt;0,N(M62)&gt;0),M62/D62,""),"")</f>
        <v/>
      </c>
      <c r="P62" s="21">
        <f>'Semi Metrics'!L1338</f>
        <v/>
      </c>
      <c r="Q62" s="23">
        <f>'Semi Metrics'!L1480</f>
        <v/>
      </c>
      <c r="R62" s="25">
        <f>'Semi Revisions'!G60</f>
        <v/>
      </c>
      <c r="S62" s="25">
        <f>'Semi Revisions'!H60</f>
        <v/>
      </c>
      <c r="T62" s="25">
        <f>'Semi Revisions'!I60</f>
        <v/>
      </c>
      <c r="U62" s="25">
        <f>'Semi Revisions'!O60</f>
        <v/>
      </c>
      <c r="V62" s="25">
        <f>'Semi Revisions'!P60</f>
        <v/>
      </c>
      <c r="W62" s="25">
        <f>'Semi Revisions'!Q60</f>
        <v/>
      </c>
      <c r="X62" s="26">
        <f>IFERROR(RANK(D62,D$8:D$146),"")</f>
        <v/>
      </c>
      <c r="Y62" s="26">
        <f>IFERROR(RANK(S62,S$8:S$146),"")</f>
        <v/>
      </c>
    </row>
    <row r="63">
      <c r="A63" s="19">
        <f>'Semi Rev'!$A60</f>
        <v/>
      </c>
      <c r="B63" s="19">
        <f>'Semi Rev'!$B60</f>
        <v/>
      </c>
      <c r="C63" s="20">
        <f>IF(ISNUMBER('Semi Rev'!P60),'Semi Rev'!P60,"")</f>
        <v/>
      </c>
      <c r="D63" s="21">
        <f>'Semi Metrics'!L203</f>
        <v/>
      </c>
      <c r="E63" s="21">
        <f>'Semi Metrics'!K203</f>
        <v/>
      </c>
      <c r="F63" s="22">
        <f>IF(OR(D63="",E63=""),"",D63-E63)</f>
        <v/>
      </c>
      <c r="G63" s="21">
        <f>'Semi Metrics'!L345</f>
        <v/>
      </c>
      <c r="H63" s="20">
        <f>'Semi Metrics'!L629</f>
        <v/>
      </c>
      <c r="I63" s="20">
        <f>'Semi Metrics'!L487</f>
        <v/>
      </c>
      <c r="J63" s="21">
        <f>'Semi Metrics'!M203</f>
        <v/>
      </c>
      <c r="K63" s="21">
        <f>'Semi Metrics'!L771</f>
        <v/>
      </c>
      <c r="L63" s="23">
        <f>'Semi Metrics'!L913</f>
        <v/>
      </c>
      <c r="M63" s="21">
        <f>'Semi Metrics'!L1055</f>
        <v/>
      </c>
      <c r="N63" s="21">
        <f>'Semi Metrics'!L1197</f>
        <v/>
      </c>
      <c r="O63" s="24">
        <f>IFERROR(IF(AND(N(D63)&gt;0,N(M63)&gt;0),M63/D63,""),"")</f>
        <v/>
      </c>
      <c r="P63" s="21">
        <f>'Semi Metrics'!L1339</f>
        <v/>
      </c>
      <c r="Q63" s="23">
        <f>'Semi Metrics'!L1481</f>
        <v/>
      </c>
      <c r="R63" s="25">
        <f>'Semi Revisions'!G61</f>
        <v/>
      </c>
      <c r="S63" s="25">
        <f>'Semi Revisions'!H61</f>
        <v/>
      </c>
      <c r="T63" s="25">
        <f>'Semi Revisions'!I61</f>
        <v/>
      </c>
      <c r="U63" s="25">
        <f>'Semi Revisions'!O61</f>
        <v/>
      </c>
      <c r="V63" s="25">
        <f>'Semi Revisions'!P61</f>
        <v/>
      </c>
      <c r="W63" s="25">
        <f>'Semi Revisions'!Q61</f>
        <v/>
      </c>
      <c r="X63" s="26">
        <f>IFERROR(RANK(D63,D$8:D$146),"")</f>
        <v/>
      </c>
      <c r="Y63" s="26">
        <f>IFERROR(RANK(S63,S$8:S$146),"")</f>
        <v/>
      </c>
    </row>
    <row r="64">
      <c r="A64" s="19">
        <f>'Semi Rev'!$A61</f>
        <v/>
      </c>
      <c r="B64" s="19">
        <f>'Semi Rev'!$B61</f>
        <v/>
      </c>
      <c r="C64" s="20">
        <f>IF(ISNUMBER('Semi Rev'!P61),'Semi Rev'!P61,"")</f>
        <v/>
      </c>
      <c r="D64" s="21">
        <f>'Semi Metrics'!L204</f>
        <v/>
      </c>
      <c r="E64" s="21">
        <f>'Semi Metrics'!K204</f>
        <v/>
      </c>
      <c r="F64" s="22">
        <f>IF(OR(D64="",E64=""),"",D64-E64)</f>
        <v/>
      </c>
      <c r="G64" s="21">
        <f>'Semi Metrics'!L346</f>
        <v/>
      </c>
      <c r="H64" s="20">
        <f>'Semi Metrics'!L630</f>
        <v/>
      </c>
      <c r="I64" s="20">
        <f>'Semi Metrics'!L488</f>
        <v/>
      </c>
      <c r="J64" s="21">
        <f>'Semi Metrics'!M204</f>
        <v/>
      </c>
      <c r="K64" s="21">
        <f>'Semi Metrics'!L772</f>
        <v/>
      </c>
      <c r="L64" s="23">
        <f>'Semi Metrics'!L914</f>
        <v/>
      </c>
      <c r="M64" s="21">
        <f>'Semi Metrics'!L1056</f>
        <v/>
      </c>
      <c r="N64" s="21">
        <f>'Semi Metrics'!L1198</f>
        <v/>
      </c>
      <c r="O64" s="24">
        <f>IFERROR(IF(AND(N(D64)&gt;0,N(M64)&gt;0),M64/D64,""),"")</f>
        <v/>
      </c>
      <c r="P64" s="21">
        <f>'Semi Metrics'!L1340</f>
        <v/>
      </c>
      <c r="Q64" s="23">
        <f>'Semi Metrics'!L1482</f>
        <v/>
      </c>
      <c r="R64" s="25">
        <f>'Semi Revisions'!G62</f>
        <v/>
      </c>
      <c r="S64" s="25">
        <f>'Semi Revisions'!H62</f>
        <v/>
      </c>
      <c r="T64" s="25">
        <f>'Semi Revisions'!I62</f>
        <v/>
      </c>
      <c r="U64" s="25">
        <f>'Semi Revisions'!O62</f>
        <v/>
      </c>
      <c r="V64" s="25">
        <f>'Semi Revisions'!P62</f>
        <v/>
      </c>
      <c r="W64" s="25">
        <f>'Semi Revisions'!Q62</f>
        <v/>
      </c>
      <c r="X64" s="26">
        <f>IFERROR(RANK(D64,D$8:D$146),"")</f>
        <v/>
      </c>
      <c r="Y64" s="26">
        <f>IFERROR(RANK(S64,S$8:S$146),"")</f>
        <v/>
      </c>
    </row>
    <row r="65">
      <c r="A65" s="19">
        <f>'Semi Rev'!$A62</f>
        <v/>
      </c>
      <c r="B65" s="19">
        <f>'Semi Rev'!$B62</f>
        <v/>
      </c>
      <c r="C65" s="20">
        <f>IF(ISNUMBER('Semi Rev'!P62),'Semi Rev'!P62,"")</f>
        <v/>
      </c>
      <c r="D65" s="21">
        <f>'Semi Metrics'!L205</f>
        <v/>
      </c>
      <c r="E65" s="21">
        <f>'Semi Metrics'!K205</f>
        <v/>
      </c>
      <c r="F65" s="22">
        <f>IF(OR(D65="",E65=""),"",D65-E65)</f>
        <v/>
      </c>
      <c r="G65" s="21">
        <f>'Semi Metrics'!L347</f>
        <v/>
      </c>
      <c r="H65" s="20">
        <f>'Semi Metrics'!L631</f>
        <v/>
      </c>
      <c r="I65" s="20">
        <f>'Semi Metrics'!L489</f>
        <v/>
      </c>
      <c r="J65" s="21">
        <f>'Semi Metrics'!M205</f>
        <v/>
      </c>
      <c r="K65" s="21">
        <f>'Semi Metrics'!L773</f>
        <v/>
      </c>
      <c r="L65" s="23">
        <f>'Semi Metrics'!L915</f>
        <v/>
      </c>
      <c r="M65" s="21">
        <f>'Semi Metrics'!L1057</f>
        <v/>
      </c>
      <c r="N65" s="21">
        <f>'Semi Metrics'!L1199</f>
        <v/>
      </c>
      <c r="O65" s="24">
        <f>IFERROR(IF(AND(N(D65)&gt;0,N(M65)&gt;0),M65/D65,""),"")</f>
        <v/>
      </c>
      <c r="P65" s="21">
        <f>'Semi Metrics'!L1341</f>
        <v/>
      </c>
      <c r="Q65" s="23">
        <f>'Semi Metrics'!L1483</f>
        <v/>
      </c>
      <c r="R65" s="25">
        <f>'Semi Revisions'!G63</f>
        <v/>
      </c>
      <c r="S65" s="25">
        <f>'Semi Revisions'!H63</f>
        <v/>
      </c>
      <c r="T65" s="25">
        <f>'Semi Revisions'!I63</f>
        <v/>
      </c>
      <c r="U65" s="25">
        <f>'Semi Revisions'!O63</f>
        <v/>
      </c>
      <c r="V65" s="25">
        <f>'Semi Revisions'!P63</f>
        <v/>
      </c>
      <c r="W65" s="25">
        <f>'Semi Revisions'!Q63</f>
        <v/>
      </c>
      <c r="X65" s="26">
        <f>IFERROR(RANK(D65,D$8:D$146),"")</f>
        <v/>
      </c>
      <c r="Y65" s="26">
        <f>IFERROR(RANK(S65,S$8:S$146),"")</f>
        <v/>
      </c>
    </row>
    <row r="66">
      <c r="A66" s="19">
        <f>'Semi Rev'!$A63</f>
        <v/>
      </c>
      <c r="B66" s="19">
        <f>'Semi Rev'!$B63</f>
        <v/>
      </c>
      <c r="C66" s="20">
        <f>IF(ISNUMBER('Semi Rev'!P63),'Semi Rev'!P63,"")</f>
        <v/>
      </c>
      <c r="D66" s="21">
        <f>'Semi Metrics'!L206</f>
        <v/>
      </c>
      <c r="E66" s="21">
        <f>'Semi Metrics'!K206</f>
        <v/>
      </c>
      <c r="F66" s="22">
        <f>IF(OR(D66="",E66=""),"",D66-E66)</f>
        <v/>
      </c>
      <c r="G66" s="21">
        <f>'Semi Metrics'!L348</f>
        <v/>
      </c>
      <c r="H66" s="20">
        <f>'Semi Metrics'!L632</f>
        <v/>
      </c>
      <c r="I66" s="20">
        <f>'Semi Metrics'!L490</f>
        <v/>
      </c>
      <c r="J66" s="21">
        <f>'Semi Metrics'!M206</f>
        <v/>
      </c>
      <c r="K66" s="21">
        <f>'Semi Metrics'!L774</f>
        <v/>
      </c>
      <c r="L66" s="23">
        <f>'Semi Metrics'!L916</f>
        <v/>
      </c>
      <c r="M66" s="21">
        <f>'Semi Metrics'!L1058</f>
        <v/>
      </c>
      <c r="N66" s="21">
        <f>'Semi Metrics'!L1200</f>
        <v/>
      </c>
      <c r="O66" s="24">
        <f>IFERROR(IF(AND(N(D66)&gt;0,N(M66)&gt;0),M66/D66,""),"")</f>
        <v/>
      </c>
      <c r="P66" s="21">
        <f>'Semi Metrics'!L1342</f>
        <v/>
      </c>
      <c r="Q66" s="23">
        <f>'Semi Metrics'!L1484</f>
        <v/>
      </c>
      <c r="R66" s="25">
        <f>'Semi Revisions'!G64</f>
        <v/>
      </c>
      <c r="S66" s="25">
        <f>'Semi Revisions'!H64</f>
        <v/>
      </c>
      <c r="T66" s="25">
        <f>'Semi Revisions'!I64</f>
        <v/>
      </c>
      <c r="U66" s="25">
        <f>'Semi Revisions'!O64</f>
        <v/>
      </c>
      <c r="V66" s="25">
        <f>'Semi Revisions'!P64</f>
        <v/>
      </c>
      <c r="W66" s="25">
        <f>'Semi Revisions'!Q64</f>
        <v/>
      </c>
      <c r="X66" s="26">
        <f>IFERROR(RANK(D66,D$8:D$146),"")</f>
        <v/>
      </c>
      <c r="Y66" s="26">
        <f>IFERROR(RANK(S66,S$8:S$146),"")</f>
        <v/>
      </c>
    </row>
    <row r="67">
      <c r="A67" s="19">
        <f>'Semi Rev'!$A64</f>
        <v/>
      </c>
      <c r="B67" s="19">
        <f>'Semi Rev'!$B64</f>
        <v/>
      </c>
      <c r="C67" s="20">
        <f>IF(ISNUMBER('Semi Rev'!P64),'Semi Rev'!P64,"")</f>
        <v/>
      </c>
      <c r="D67" s="21">
        <f>'Semi Metrics'!L207</f>
        <v/>
      </c>
      <c r="E67" s="21">
        <f>'Semi Metrics'!K207</f>
        <v/>
      </c>
      <c r="F67" s="22">
        <f>IF(OR(D67="",E67=""),"",D67-E67)</f>
        <v/>
      </c>
      <c r="G67" s="21">
        <f>'Semi Metrics'!L349</f>
        <v/>
      </c>
      <c r="H67" s="20">
        <f>'Semi Metrics'!L633</f>
        <v/>
      </c>
      <c r="I67" s="20">
        <f>'Semi Metrics'!L491</f>
        <v/>
      </c>
      <c r="J67" s="21">
        <f>'Semi Metrics'!M207</f>
        <v/>
      </c>
      <c r="K67" s="21">
        <f>'Semi Metrics'!L775</f>
        <v/>
      </c>
      <c r="L67" s="23">
        <f>'Semi Metrics'!L917</f>
        <v/>
      </c>
      <c r="M67" s="21">
        <f>'Semi Metrics'!L1059</f>
        <v/>
      </c>
      <c r="N67" s="21">
        <f>'Semi Metrics'!L1201</f>
        <v/>
      </c>
      <c r="O67" s="24">
        <f>IFERROR(IF(AND(N(D67)&gt;0,N(M67)&gt;0),M67/D67,""),"")</f>
        <v/>
      </c>
      <c r="P67" s="21">
        <f>'Semi Metrics'!L1343</f>
        <v/>
      </c>
      <c r="Q67" s="23">
        <f>'Semi Metrics'!L1485</f>
        <v/>
      </c>
      <c r="R67" s="25">
        <f>'Semi Revisions'!G65</f>
        <v/>
      </c>
      <c r="S67" s="25">
        <f>'Semi Revisions'!H65</f>
        <v/>
      </c>
      <c r="T67" s="25">
        <f>'Semi Revisions'!I65</f>
        <v/>
      </c>
      <c r="U67" s="25">
        <f>'Semi Revisions'!O65</f>
        <v/>
      </c>
      <c r="V67" s="25">
        <f>'Semi Revisions'!P65</f>
        <v/>
      </c>
      <c r="W67" s="25">
        <f>'Semi Revisions'!Q65</f>
        <v/>
      </c>
      <c r="X67" s="26">
        <f>IFERROR(RANK(D67,D$8:D$146),"")</f>
        <v/>
      </c>
      <c r="Y67" s="26">
        <f>IFERROR(RANK(S67,S$8:S$146),"")</f>
        <v/>
      </c>
    </row>
    <row r="68">
      <c r="A68" s="19">
        <f>'Semi Rev'!$A65</f>
        <v/>
      </c>
      <c r="B68" s="19">
        <f>'Semi Rev'!$B65</f>
        <v/>
      </c>
      <c r="C68" s="20">
        <f>IF(ISNUMBER('Semi Rev'!P65),'Semi Rev'!P65,"")</f>
        <v/>
      </c>
      <c r="D68" s="21">
        <f>'Semi Metrics'!L208</f>
        <v/>
      </c>
      <c r="E68" s="21">
        <f>'Semi Metrics'!K208</f>
        <v/>
      </c>
      <c r="F68" s="22">
        <f>IF(OR(D68="",E68=""),"",D68-E68)</f>
        <v/>
      </c>
      <c r="G68" s="21">
        <f>'Semi Metrics'!L350</f>
        <v/>
      </c>
      <c r="H68" s="20">
        <f>'Semi Metrics'!L634</f>
        <v/>
      </c>
      <c r="I68" s="20">
        <f>'Semi Metrics'!L492</f>
        <v/>
      </c>
      <c r="J68" s="21">
        <f>'Semi Metrics'!M208</f>
        <v/>
      </c>
      <c r="K68" s="21">
        <f>'Semi Metrics'!L776</f>
        <v/>
      </c>
      <c r="L68" s="23">
        <f>'Semi Metrics'!L918</f>
        <v/>
      </c>
      <c r="M68" s="21">
        <f>'Semi Metrics'!L1060</f>
        <v/>
      </c>
      <c r="N68" s="21">
        <f>'Semi Metrics'!L1202</f>
        <v/>
      </c>
      <c r="O68" s="24">
        <f>IFERROR(IF(AND(N(D68)&gt;0,N(M68)&gt;0),M68/D68,""),"")</f>
        <v/>
      </c>
      <c r="P68" s="21">
        <f>'Semi Metrics'!L1344</f>
        <v/>
      </c>
      <c r="Q68" s="23">
        <f>'Semi Metrics'!L1486</f>
        <v/>
      </c>
      <c r="R68" s="25">
        <f>'Semi Revisions'!G66</f>
        <v/>
      </c>
      <c r="S68" s="25">
        <f>'Semi Revisions'!H66</f>
        <v/>
      </c>
      <c r="T68" s="25">
        <f>'Semi Revisions'!I66</f>
        <v/>
      </c>
      <c r="U68" s="25">
        <f>'Semi Revisions'!O66</f>
        <v/>
      </c>
      <c r="V68" s="25">
        <f>'Semi Revisions'!P66</f>
        <v/>
      </c>
      <c r="W68" s="25">
        <f>'Semi Revisions'!Q66</f>
        <v/>
      </c>
      <c r="X68" s="26">
        <f>IFERROR(RANK(D68,D$8:D$146),"")</f>
        <v/>
      </c>
      <c r="Y68" s="26">
        <f>IFERROR(RANK(S68,S$8:S$146),"")</f>
        <v/>
      </c>
    </row>
    <row r="69">
      <c r="A69" s="19">
        <f>'Semi Rev'!$A66</f>
        <v/>
      </c>
      <c r="B69" s="19">
        <f>'Semi Rev'!$B66</f>
        <v/>
      </c>
      <c r="C69" s="20">
        <f>IF(ISNUMBER('Semi Rev'!P66),'Semi Rev'!P66,"")</f>
        <v/>
      </c>
      <c r="D69" s="21">
        <f>'Semi Metrics'!L209</f>
        <v/>
      </c>
      <c r="E69" s="21">
        <f>'Semi Metrics'!K209</f>
        <v/>
      </c>
      <c r="F69" s="22">
        <f>IF(OR(D69="",E69=""),"",D69-E69)</f>
        <v/>
      </c>
      <c r="G69" s="21">
        <f>'Semi Metrics'!L351</f>
        <v/>
      </c>
      <c r="H69" s="20">
        <f>'Semi Metrics'!L635</f>
        <v/>
      </c>
      <c r="I69" s="20">
        <f>'Semi Metrics'!L493</f>
        <v/>
      </c>
      <c r="J69" s="21">
        <f>'Semi Metrics'!M209</f>
        <v/>
      </c>
      <c r="K69" s="21">
        <f>'Semi Metrics'!L777</f>
        <v/>
      </c>
      <c r="L69" s="23">
        <f>'Semi Metrics'!L919</f>
        <v/>
      </c>
      <c r="M69" s="21">
        <f>'Semi Metrics'!L1061</f>
        <v/>
      </c>
      <c r="N69" s="21">
        <f>'Semi Metrics'!L1203</f>
        <v/>
      </c>
      <c r="O69" s="24">
        <f>IFERROR(IF(AND(N(D69)&gt;0,N(M69)&gt;0),M69/D69,""),"")</f>
        <v/>
      </c>
      <c r="P69" s="21">
        <f>'Semi Metrics'!L1345</f>
        <v/>
      </c>
      <c r="Q69" s="23">
        <f>'Semi Metrics'!L1487</f>
        <v/>
      </c>
      <c r="R69" s="25">
        <f>'Semi Revisions'!G67</f>
        <v/>
      </c>
      <c r="S69" s="25">
        <f>'Semi Revisions'!H67</f>
        <v/>
      </c>
      <c r="T69" s="25">
        <f>'Semi Revisions'!I67</f>
        <v/>
      </c>
      <c r="U69" s="25">
        <f>'Semi Revisions'!O67</f>
        <v/>
      </c>
      <c r="V69" s="25">
        <f>'Semi Revisions'!P67</f>
        <v/>
      </c>
      <c r="W69" s="25">
        <f>'Semi Revisions'!Q67</f>
        <v/>
      </c>
      <c r="X69" s="26">
        <f>IFERROR(RANK(D69,D$8:D$146),"")</f>
        <v/>
      </c>
      <c r="Y69" s="26">
        <f>IFERROR(RANK(S69,S$8:S$146),"")</f>
        <v/>
      </c>
    </row>
    <row r="70">
      <c r="A70" s="19">
        <f>'Semi Rev'!$A67</f>
        <v/>
      </c>
      <c r="B70" s="19">
        <f>'Semi Rev'!$B67</f>
        <v/>
      </c>
      <c r="C70" s="20">
        <f>IF(ISNUMBER('Semi Rev'!P67),'Semi Rev'!P67,"")</f>
        <v/>
      </c>
      <c r="D70" s="21">
        <f>'Semi Metrics'!L210</f>
        <v/>
      </c>
      <c r="E70" s="21">
        <f>'Semi Metrics'!K210</f>
        <v/>
      </c>
      <c r="F70" s="22">
        <f>IF(OR(D70="",E70=""),"",D70-E70)</f>
        <v/>
      </c>
      <c r="G70" s="21">
        <f>'Semi Metrics'!L352</f>
        <v/>
      </c>
      <c r="H70" s="20">
        <f>'Semi Metrics'!L636</f>
        <v/>
      </c>
      <c r="I70" s="20">
        <f>'Semi Metrics'!L494</f>
        <v/>
      </c>
      <c r="J70" s="21">
        <f>'Semi Metrics'!M210</f>
        <v/>
      </c>
      <c r="K70" s="21">
        <f>'Semi Metrics'!L778</f>
        <v/>
      </c>
      <c r="L70" s="23">
        <f>'Semi Metrics'!L920</f>
        <v/>
      </c>
      <c r="M70" s="21">
        <f>'Semi Metrics'!L1062</f>
        <v/>
      </c>
      <c r="N70" s="21">
        <f>'Semi Metrics'!L1204</f>
        <v/>
      </c>
      <c r="O70" s="24">
        <f>IFERROR(IF(AND(N(D70)&gt;0,N(M70)&gt;0),M70/D70,""),"")</f>
        <v/>
      </c>
      <c r="P70" s="21">
        <f>'Semi Metrics'!L1346</f>
        <v/>
      </c>
      <c r="Q70" s="23">
        <f>'Semi Metrics'!L1488</f>
        <v/>
      </c>
      <c r="R70" s="25">
        <f>'Semi Revisions'!G68</f>
        <v/>
      </c>
      <c r="S70" s="25">
        <f>'Semi Revisions'!H68</f>
        <v/>
      </c>
      <c r="T70" s="25">
        <f>'Semi Revisions'!I68</f>
        <v/>
      </c>
      <c r="U70" s="25">
        <f>'Semi Revisions'!O68</f>
        <v/>
      </c>
      <c r="V70" s="25">
        <f>'Semi Revisions'!P68</f>
        <v/>
      </c>
      <c r="W70" s="25">
        <f>'Semi Revisions'!Q68</f>
        <v/>
      </c>
      <c r="X70" s="26">
        <f>IFERROR(RANK(D70,D$8:D$146),"")</f>
        <v/>
      </c>
      <c r="Y70" s="26">
        <f>IFERROR(RANK(S70,S$8:S$146),"")</f>
        <v/>
      </c>
    </row>
    <row r="71">
      <c r="A71" s="19">
        <f>'Semi Rev'!$A68</f>
        <v/>
      </c>
      <c r="B71" s="19">
        <f>'Semi Rev'!$B68</f>
        <v/>
      </c>
      <c r="C71" s="20">
        <f>IF(ISNUMBER('Semi Rev'!P68),'Semi Rev'!P68,"")</f>
        <v/>
      </c>
      <c r="D71" s="21">
        <f>'Semi Metrics'!L211</f>
        <v/>
      </c>
      <c r="E71" s="21">
        <f>'Semi Metrics'!K211</f>
        <v/>
      </c>
      <c r="F71" s="22">
        <f>IF(OR(D71="",E71=""),"",D71-E71)</f>
        <v/>
      </c>
      <c r="G71" s="21">
        <f>'Semi Metrics'!L353</f>
        <v/>
      </c>
      <c r="H71" s="20">
        <f>'Semi Metrics'!L637</f>
        <v/>
      </c>
      <c r="I71" s="20">
        <f>'Semi Metrics'!L495</f>
        <v/>
      </c>
      <c r="J71" s="21">
        <f>'Semi Metrics'!M211</f>
        <v/>
      </c>
      <c r="K71" s="21">
        <f>'Semi Metrics'!L779</f>
        <v/>
      </c>
      <c r="L71" s="23">
        <f>'Semi Metrics'!L921</f>
        <v/>
      </c>
      <c r="M71" s="21">
        <f>'Semi Metrics'!L1063</f>
        <v/>
      </c>
      <c r="N71" s="21">
        <f>'Semi Metrics'!L1205</f>
        <v/>
      </c>
      <c r="O71" s="24">
        <f>IFERROR(IF(AND(N(D71)&gt;0,N(M71)&gt;0),M71/D71,""),"")</f>
        <v/>
      </c>
      <c r="P71" s="21">
        <f>'Semi Metrics'!L1347</f>
        <v/>
      </c>
      <c r="Q71" s="23">
        <f>'Semi Metrics'!L1489</f>
        <v/>
      </c>
      <c r="R71" s="25">
        <f>'Semi Revisions'!G69</f>
        <v/>
      </c>
      <c r="S71" s="25">
        <f>'Semi Revisions'!H69</f>
        <v/>
      </c>
      <c r="T71" s="25">
        <f>'Semi Revisions'!I69</f>
        <v/>
      </c>
      <c r="U71" s="25">
        <f>'Semi Revisions'!O69</f>
        <v/>
      </c>
      <c r="V71" s="25">
        <f>'Semi Revisions'!P69</f>
        <v/>
      </c>
      <c r="W71" s="25">
        <f>'Semi Revisions'!Q69</f>
        <v/>
      </c>
      <c r="X71" s="26">
        <f>IFERROR(RANK(D71,D$8:D$146),"")</f>
        <v/>
      </c>
      <c r="Y71" s="26">
        <f>IFERROR(RANK(S71,S$8:S$146),"")</f>
        <v/>
      </c>
    </row>
    <row r="72">
      <c r="A72" s="19">
        <f>'Semi Rev'!$A69</f>
        <v/>
      </c>
      <c r="B72" s="19">
        <f>'Semi Rev'!$B69</f>
        <v/>
      </c>
      <c r="C72" s="20">
        <f>IF(ISNUMBER('Semi Rev'!P69),'Semi Rev'!P69,"")</f>
        <v/>
      </c>
      <c r="D72" s="21">
        <f>'Semi Metrics'!L212</f>
        <v/>
      </c>
      <c r="E72" s="21">
        <f>'Semi Metrics'!K212</f>
        <v/>
      </c>
      <c r="F72" s="22">
        <f>IF(OR(D72="",E72=""),"",D72-E72)</f>
        <v/>
      </c>
      <c r="G72" s="21">
        <f>'Semi Metrics'!L354</f>
        <v/>
      </c>
      <c r="H72" s="20">
        <f>'Semi Metrics'!L638</f>
        <v/>
      </c>
      <c r="I72" s="20">
        <f>'Semi Metrics'!L496</f>
        <v/>
      </c>
      <c r="J72" s="21">
        <f>'Semi Metrics'!M212</f>
        <v/>
      </c>
      <c r="K72" s="21">
        <f>'Semi Metrics'!L780</f>
        <v/>
      </c>
      <c r="L72" s="23">
        <f>'Semi Metrics'!L922</f>
        <v/>
      </c>
      <c r="M72" s="21">
        <f>'Semi Metrics'!L1064</f>
        <v/>
      </c>
      <c r="N72" s="21">
        <f>'Semi Metrics'!L1206</f>
        <v/>
      </c>
      <c r="O72" s="24">
        <f>IFERROR(IF(AND(N(D72)&gt;0,N(M72)&gt;0),M72/D72,""),"")</f>
        <v/>
      </c>
      <c r="P72" s="21">
        <f>'Semi Metrics'!L1348</f>
        <v/>
      </c>
      <c r="Q72" s="23">
        <f>'Semi Metrics'!L1490</f>
        <v/>
      </c>
      <c r="R72" s="25">
        <f>'Semi Revisions'!G70</f>
        <v/>
      </c>
      <c r="S72" s="25">
        <f>'Semi Revisions'!H70</f>
        <v/>
      </c>
      <c r="T72" s="25">
        <f>'Semi Revisions'!I70</f>
        <v/>
      </c>
      <c r="U72" s="25">
        <f>'Semi Revisions'!O70</f>
        <v/>
      </c>
      <c r="V72" s="25">
        <f>'Semi Revisions'!P70</f>
        <v/>
      </c>
      <c r="W72" s="25">
        <f>'Semi Revisions'!Q70</f>
        <v/>
      </c>
      <c r="X72" s="26">
        <f>IFERROR(RANK(D72,D$8:D$146),"")</f>
        <v/>
      </c>
      <c r="Y72" s="26">
        <f>IFERROR(RANK(S72,S$8:S$146),"")</f>
        <v/>
      </c>
    </row>
    <row r="73">
      <c r="A73" s="19">
        <f>'Semi Rev'!$A70</f>
        <v/>
      </c>
      <c r="B73" s="19">
        <f>'Semi Rev'!$B70</f>
        <v/>
      </c>
      <c r="C73" s="20">
        <f>IF(ISNUMBER('Semi Rev'!P70),'Semi Rev'!P70,"")</f>
        <v/>
      </c>
      <c r="D73" s="21">
        <f>'Semi Metrics'!L213</f>
        <v/>
      </c>
      <c r="E73" s="21">
        <f>'Semi Metrics'!K213</f>
        <v/>
      </c>
      <c r="F73" s="22">
        <f>IF(OR(D73="",E73=""),"",D73-E73)</f>
        <v/>
      </c>
      <c r="G73" s="21">
        <f>'Semi Metrics'!L355</f>
        <v/>
      </c>
      <c r="H73" s="20">
        <f>'Semi Metrics'!L639</f>
        <v/>
      </c>
      <c r="I73" s="20">
        <f>'Semi Metrics'!L497</f>
        <v/>
      </c>
      <c r="J73" s="21">
        <f>'Semi Metrics'!M213</f>
        <v/>
      </c>
      <c r="K73" s="21">
        <f>'Semi Metrics'!L781</f>
        <v/>
      </c>
      <c r="L73" s="23">
        <f>'Semi Metrics'!L923</f>
        <v/>
      </c>
      <c r="M73" s="21">
        <f>'Semi Metrics'!L1065</f>
        <v/>
      </c>
      <c r="N73" s="21">
        <f>'Semi Metrics'!L1207</f>
        <v/>
      </c>
      <c r="O73" s="24">
        <f>IFERROR(IF(AND(N(D73)&gt;0,N(M73)&gt;0),M73/D73,""),"")</f>
        <v/>
      </c>
      <c r="P73" s="21">
        <f>'Semi Metrics'!L1349</f>
        <v/>
      </c>
      <c r="Q73" s="23">
        <f>'Semi Metrics'!L1491</f>
        <v/>
      </c>
      <c r="R73" s="25">
        <f>'Semi Revisions'!G71</f>
        <v/>
      </c>
      <c r="S73" s="25">
        <f>'Semi Revisions'!H71</f>
        <v/>
      </c>
      <c r="T73" s="25">
        <f>'Semi Revisions'!I71</f>
        <v/>
      </c>
      <c r="U73" s="25">
        <f>'Semi Revisions'!O71</f>
        <v/>
      </c>
      <c r="V73" s="25">
        <f>'Semi Revisions'!P71</f>
        <v/>
      </c>
      <c r="W73" s="25">
        <f>'Semi Revisions'!Q71</f>
        <v/>
      </c>
      <c r="X73" s="26">
        <f>IFERROR(RANK(D73,D$8:D$146),"")</f>
        <v/>
      </c>
      <c r="Y73" s="26">
        <f>IFERROR(RANK(S73,S$8:S$146),"")</f>
        <v/>
      </c>
    </row>
    <row r="74">
      <c r="A74" s="19">
        <f>'Semi Rev'!$A71</f>
        <v/>
      </c>
      <c r="B74" s="19">
        <f>'Semi Rev'!$B71</f>
        <v/>
      </c>
      <c r="C74" s="20">
        <f>IF(ISNUMBER('Semi Rev'!P71),'Semi Rev'!P71,"")</f>
        <v/>
      </c>
      <c r="D74" s="21">
        <f>'Semi Metrics'!L214</f>
        <v/>
      </c>
      <c r="E74" s="21">
        <f>'Semi Metrics'!K214</f>
        <v/>
      </c>
      <c r="F74" s="22">
        <f>IF(OR(D74="",E74=""),"",D74-E74)</f>
        <v/>
      </c>
      <c r="G74" s="21">
        <f>'Semi Metrics'!L356</f>
        <v/>
      </c>
      <c r="H74" s="20">
        <f>'Semi Metrics'!L640</f>
        <v/>
      </c>
      <c r="I74" s="20">
        <f>'Semi Metrics'!L498</f>
        <v/>
      </c>
      <c r="J74" s="21">
        <f>'Semi Metrics'!M214</f>
        <v/>
      </c>
      <c r="K74" s="21">
        <f>'Semi Metrics'!L782</f>
        <v/>
      </c>
      <c r="L74" s="23">
        <f>'Semi Metrics'!L924</f>
        <v/>
      </c>
      <c r="M74" s="21">
        <f>'Semi Metrics'!L1066</f>
        <v/>
      </c>
      <c r="N74" s="21">
        <f>'Semi Metrics'!L1208</f>
        <v/>
      </c>
      <c r="O74" s="24">
        <f>IFERROR(IF(AND(N(D74)&gt;0,N(M74)&gt;0),M74/D74,""),"")</f>
        <v/>
      </c>
      <c r="P74" s="21">
        <f>'Semi Metrics'!L1350</f>
        <v/>
      </c>
      <c r="Q74" s="23">
        <f>'Semi Metrics'!L1492</f>
        <v/>
      </c>
      <c r="R74" s="25">
        <f>'Semi Revisions'!G72</f>
        <v/>
      </c>
      <c r="S74" s="25">
        <f>'Semi Revisions'!H72</f>
        <v/>
      </c>
      <c r="T74" s="25">
        <f>'Semi Revisions'!I72</f>
        <v/>
      </c>
      <c r="U74" s="25">
        <f>'Semi Revisions'!O72</f>
        <v/>
      </c>
      <c r="V74" s="25">
        <f>'Semi Revisions'!P72</f>
        <v/>
      </c>
      <c r="W74" s="25">
        <f>'Semi Revisions'!Q72</f>
        <v/>
      </c>
      <c r="X74" s="26">
        <f>IFERROR(RANK(D74,D$8:D$146),"")</f>
        <v/>
      </c>
      <c r="Y74" s="26">
        <f>IFERROR(RANK(S74,S$8:S$146),"")</f>
        <v/>
      </c>
    </row>
    <row r="75">
      <c r="A75" s="19">
        <f>'Semi Rev'!$A72</f>
        <v/>
      </c>
      <c r="B75" s="19">
        <f>'Semi Rev'!$B72</f>
        <v/>
      </c>
      <c r="C75" s="20">
        <f>IF(ISNUMBER('Semi Rev'!P72),'Semi Rev'!P72,"")</f>
        <v/>
      </c>
      <c r="D75" s="21">
        <f>'Semi Metrics'!L215</f>
        <v/>
      </c>
      <c r="E75" s="21">
        <f>'Semi Metrics'!K215</f>
        <v/>
      </c>
      <c r="F75" s="22">
        <f>IF(OR(D75="",E75=""),"",D75-E75)</f>
        <v/>
      </c>
      <c r="G75" s="21">
        <f>'Semi Metrics'!L357</f>
        <v/>
      </c>
      <c r="H75" s="20">
        <f>'Semi Metrics'!L641</f>
        <v/>
      </c>
      <c r="I75" s="20">
        <f>'Semi Metrics'!L499</f>
        <v/>
      </c>
      <c r="J75" s="21">
        <f>'Semi Metrics'!M215</f>
        <v/>
      </c>
      <c r="K75" s="21">
        <f>'Semi Metrics'!L783</f>
        <v/>
      </c>
      <c r="L75" s="23">
        <f>'Semi Metrics'!L925</f>
        <v/>
      </c>
      <c r="M75" s="21">
        <f>'Semi Metrics'!L1067</f>
        <v/>
      </c>
      <c r="N75" s="21">
        <f>'Semi Metrics'!L1209</f>
        <v/>
      </c>
      <c r="O75" s="24">
        <f>IFERROR(IF(AND(N(D75)&gt;0,N(M75)&gt;0),M75/D75,""),"")</f>
        <v/>
      </c>
      <c r="P75" s="21">
        <f>'Semi Metrics'!L1351</f>
        <v/>
      </c>
      <c r="Q75" s="23">
        <f>'Semi Metrics'!L1493</f>
        <v/>
      </c>
      <c r="R75" s="25">
        <f>'Semi Revisions'!G73</f>
        <v/>
      </c>
      <c r="S75" s="25">
        <f>'Semi Revisions'!H73</f>
        <v/>
      </c>
      <c r="T75" s="25">
        <f>'Semi Revisions'!I73</f>
        <v/>
      </c>
      <c r="U75" s="25">
        <f>'Semi Revisions'!O73</f>
        <v/>
      </c>
      <c r="V75" s="25">
        <f>'Semi Revisions'!P73</f>
        <v/>
      </c>
      <c r="W75" s="25">
        <f>'Semi Revisions'!Q73</f>
        <v/>
      </c>
      <c r="X75" s="26">
        <f>IFERROR(RANK(D75,D$8:D$146),"")</f>
        <v/>
      </c>
      <c r="Y75" s="26">
        <f>IFERROR(RANK(S75,S$8:S$146),"")</f>
        <v/>
      </c>
    </row>
    <row r="76">
      <c r="A76" s="19">
        <f>'Semi Rev'!$A73</f>
        <v/>
      </c>
      <c r="B76" s="19">
        <f>'Semi Rev'!$B73</f>
        <v/>
      </c>
      <c r="C76" s="20">
        <f>IF(ISNUMBER('Semi Rev'!P73),'Semi Rev'!P73,"")</f>
        <v/>
      </c>
      <c r="D76" s="21">
        <f>'Semi Metrics'!L216</f>
        <v/>
      </c>
      <c r="E76" s="21">
        <f>'Semi Metrics'!K216</f>
        <v/>
      </c>
      <c r="F76" s="22">
        <f>IF(OR(D76="",E76=""),"",D76-E76)</f>
        <v/>
      </c>
      <c r="G76" s="21">
        <f>'Semi Metrics'!L358</f>
        <v/>
      </c>
      <c r="H76" s="20">
        <f>'Semi Metrics'!L642</f>
        <v/>
      </c>
      <c r="I76" s="20">
        <f>'Semi Metrics'!L500</f>
        <v/>
      </c>
      <c r="J76" s="21">
        <f>'Semi Metrics'!M216</f>
        <v/>
      </c>
      <c r="K76" s="21">
        <f>'Semi Metrics'!L784</f>
        <v/>
      </c>
      <c r="L76" s="23">
        <f>'Semi Metrics'!L926</f>
        <v/>
      </c>
      <c r="M76" s="21">
        <f>'Semi Metrics'!L1068</f>
        <v/>
      </c>
      <c r="N76" s="21">
        <f>'Semi Metrics'!L1210</f>
        <v/>
      </c>
      <c r="O76" s="24">
        <f>IFERROR(IF(AND(N(D76)&gt;0,N(M76)&gt;0),M76/D76,""),"")</f>
        <v/>
      </c>
      <c r="P76" s="21">
        <f>'Semi Metrics'!L1352</f>
        <v/>
      </c>
      <c r="Q76" s="23">
        <f>'Semi Metrics'!L1494</f>
        <v/>
      </c>
      <c r="R76" s="25">
        <f>'Semi Revisions'!G74</f>
        <v/>
      </c>
      <c r="S76" s="25">
        <f>'Semi Revisions'!H74</f>
        <v/>
      </c>
      <c r="T76" s="25">
        <f>'Semi Revisions'!I74</f>
        <v/>
      </c>
      <c r="U76" s="25">
        <f>'Semi Revisions'!O74</f>
        <v/>
      </c>
      <c r="V76" s="25">
        <f>'Semi Revisions'!P74</f>
        <v/>
      </c>
      <c r="W76" s="25">
        <f>'Semi Revisions'!Q74</f>
        <v/>
      </c>
      <c r="X76" s="26">
        <f>IFERROR(RANK(D76,D$8:D$146),"")</f>
        <v/>
      </c>
      <c r="Y76" s="26">
        <f>IFERROR(RANK(S76,S$8:S$146),"")</f>
        <v/>
      </c>
    </row>
    <row r="77">
      <c r="A77" s="19">
        <f>'Semi Rev'!$A74</f>
        <v/>
      </c>
      <c r="B77" s="19">
        <f>'Semi Rev'!$B74</f>
        <v/>
      </c>
      <c r="C77" s="20">
        <f>IF(ISNUMBER('Semi Rev'!P74),'Semi Rev'!P74,"")</f>
        <v/>
      </c>
      <c r="D77" s="21">
        <f>'Semi Metrics'!L217</f>
        <v/>
      </c>
      <c r="E77" s="21">
        <f>'Semi Metrics'!K217</f>
        <v/>
      </c>
      <c r="F77" s="22">
        <f>IF(OR(D77="",E77=""),"",D77-E77)</f>
        <v/>
      </c>
      <c r="G77" s="21">
        <f>'Semi Metrics'!L359</f>
        <v/>
      </c>
      <c r="H77" s="20">
        <f>'Semi Metrics'!L643</f>
        <v/>
      </c>
      <c r="I77" s="20">
        <f>'Semi Metrics'!L501</f>
        <v/>
      </c>
      <c r="J77" s="21">
        <f>'Semi Metrics'!M217</f>
        <v/>
      </c>
      <c r="K77" s="21">
        <f>'Semi Metrics'!L785</f>
        <v/>
      </c>
      <c r="L77" s="23">
        <f>'Semi Metrics'!L927</f>
        <v/>
      </c>
      <c r="M77" s="21">
        <f>'Semi Metrics'!L1069</f>
        <v/>
      </c>
      <c r="N77" s="21">
        <f>'Semi Metrics'!L1211</f>
        <v/>
      </c>
      <c r="O77" s="24">
        <f>IFERROR(IF(AND(N(D77)&gt;0,N(M77)&gt;0),M77/D77,""),"")</f>
        <v/>
      </c>
      <c r="P77" s="21">
        <f>'Semi Metrics'!L1353</f>
        <v/>
      </c>
      <c r="Q77" s="23">
        <f>'Semi Metrics'!L1495</f>
        <v/>
      </c>
      <c r="R77" s="25">
        <f>'Semi Revisions'!G75</f>
        <v/>
      </c>
      <c r="S77" s="25">
        <f>'Semi Revisions'!H75</f>
        <v/>
      </c>
      <c r="T77" s="25">
        <f>'Semi Revisions'!I75</f>
        <v/>
      </c>
      <c r="U77" s="25">
        <f>'Semi Revisions'!O75</f>
        <v/>
      </c>
      <c r="V77" s="25">
        <f>'Semi Revisions'!P75</f>
        <v/>
      </c>
      <c r="W77" s="25">
        <f>'Semi Revisions'!Q75</f>
        <v/>
      </c>
      <c r="X77" s="26">
        <f>IFERROR(RANK(D77,D$8:D$146),"")</f>
        <v/>
      </c>
      <c r="Y77" s="26">
        <f>IFERROR(RANK(S77,S$8:S$146),"")</f>
        <v/>
      </c>
    </row>
    <row r="78">
      <c r="A78" s="19">
        <f>'Semi Rev'!$A75</f>
        <v/>
      </c>
      <c r="B78" s="19">
        <f>'Semi Rev'!$B75</f>
        <v/>
      </c>
      <c r="C78" s="20">
        <f>IF(ISNUMBER('Semi Rev'!P75),'Semi Rev'!P75,"")</f>
        <v/>
      </c>
      <c r="D78" s="21">
        <f>'Semi Metrics'!L218</f>
        <v/>
      </c>
      <c r="E78" s="21">
        <f>'Semi Metrics'!K218</f>
        <v/>
      </c>
      <c r="F78" s="22">
        <f>IF(OR(D78="",E78=""),"",D78-E78)</f>
        <v/>
      </c>
      <c r="G78" s="21">
        <f>'Semi Metrics'!L360</f>
        <v/>
      </c>
      <c r="H78" s="20">
        <f>'Semi Metrics'!L644</f>
        <v/>
      </c>
      <c r="I78" s="20">
        <f>'Semi Metrics'!L502</f>
        <v/>
      </c>
      <c r="J78" s="21">
        <f>'Semi Metrics'!M218</f>
        <v/>
      </c>
      <c r="K78" s="21">
        <f>'Semi Metrics'!L786</f>
        <v/>
      </c>
      <c r="L78" s="23">
        <f>'Semi Metrics'!L928</f>
        <v/>
      </c>
      <c r="M78" s="21">
        <f>'Semi Metrics'!L1070</f>
        <v/>
      </c>
      <c r="N78" s="21">
        <f>'Semi Metrics'!L1212</f>
        <v/>
      </c>
      <c r="O78" s="24">
        <f>IFERROR(IF(AND(N(D78)&gt;0,N(M78)&gt;0),M78/D78,""),"")</f>
        <v/>
      </c>
      <c r="P78" s="21">
        <f>'Semi Metrics'!L1354</f>
        <v/>
      </c>
      <c r="Q78" s="23">
        <f>'Semi Metrics'!L1496</f>
        <v/>
      </c>
      <c r="R78" s="25">
        <f>'Semi Revisions'!G76</f>
        <v/>
      </c>
      <c r="S78" s="25">
        <f>'Semi Revisions'!H76</f>
        <v/>
      </c>
      <c r="T78" s="25">
        <f>'Semi Revisions'!I76</f>
        <v/>
      </c>
      <c r="U78" s="25">
        <f>'Semi Revisions'!O76</f>
        <v/>
      </c>
      <c r="V78" s="25">
        <f>'Semi Revisions'!P76</f>
        <v/>
      </c>
      <c r="W78" s="25">
        <f>'Semi Revisions'!Q76</f>
        <v/>
      </c>
      <c r="X78" s="26">
        <f>IFERROR(RANK(D78,D$8:D$146),"")</f>
        <v/>
      </c>
      <c r="Y78" s="26">
        <f>IFERROR(RANK(S78,S$8:S$146),"")</f>
        <v/>
      </c>
    </row>
    <row r="79">
      <c r="A79" s="19">
        <f>'Semi Rev'!$A76</f>
        <v/>
      </c>
      <c r="B79" s="19">
        <f>'Semi Rev'!$B76</f>
        <v/>
      </c>
      <c r="C79" s="20">
        <f>IF(ISNUMBER('Semi Rev'!P76),'Semi Rev'!P76,"")</f>
        <v/>
      </c>
      <c r="D79" s="21">
        <f>'Semi Metrics'!L219</f>
        <v/>
      </c>
      <c r="E79" s="21">
        <f>'Semi Metrics'!K219</f>
        <v/>
      </c>
      <c r="F79" s="22">
        <f>IF(OR(D79="",E79=""),"",D79-E79)</f>
        <v/>
      </c>
      <c r="G79" s="21">
        <f>'Semi Metrics'!L361</f>
        <v/>
      </c>
      <c r="H79" s="20">
        <f>'Semi Metrics'!L645</f>
        <v/>
      </c>
      <c r="I79" s="20">
        <f>'Semi Metrics'!L503</f>
        <v/>
      </c>
      <c r="J79" s="21">
        <f>'Semi Metrics'!M219</f>
        <v/>
      </c>
      <c r="K79" s="21">
        <f>'Semi Metrics'!L787</f>
        <v/>
      </c>
      <c r="L79" s="23">
        <f>'Semi Metrics'!L929</f>
        <v/>
      </c>
      <c r="M79" s="21">
        <f>'Semi Metrics'!L1071</f>
        <v/>
      </c>
      <c r="N79" s="21">
        <f>'Semi Metrics'!L1213</f>
        <v/>
      </c>
      <c r="O79" s="24">
        <f>IFERROR(IF(AND(N(D79)&gt;0,N(M79)&gt;0),M79/D79,""),"")</f>
        <v/>
      </c>
      <c r="P79" s="21">
        <f>'Semi Metrics'!L1355</f>
        <v/>
      </c>
      <c r="Q79" s="23">
        <f>'Semi Metrics'!L1497</f>
        <v/>
      </c>
      <c r="R79" s="25">
        <f>'Semi Revisions'!G77</f>
        <v/>
      </c>
      <c r="S79" s="25">
        <f>'Semi Revisions'!H77</f>
        <v/>
      </c>
      <c r="T79" s="25">
        <f>'Semi Revisions'!I77</f>
        <v/>
      </c>
      <c r="U79" s="25">
        <f>'Semi Revisions'!O77</f>
        <v/>
      </c>
      <c r="V79" s="25">
        <f>'Semi Revisions'!P77</f>
        <v/>
      </c>
      <c r="W79" s="25">
        <f>'Semi Revisions'!Q77</f>
        <v/>
      </c>
      <c r="X79" s="26">
        <f>IFERROR(RANK(D79,D$8:D$146),"")</f>
        <v/>
      </c>
      <c r="Y79" s="26">
        <f>IFERROR(RANK(S79,S$8:S$146),"")</f>
        <v/>
      </c>
    </row>
    <row r="80">
      <c r="A80" s="19">
        <f>'Semi Rev'!$A77</f>
        <v/>
      </c>
      <c r="B80" s="19">
        <f>'Semi Rev'!$B77</f>
        <v/>
      </c>
      <c r="C80" s="20">
        <f>IF(ISNUMBER('Semi Rev'!P77),'Semi Rev'!P77,"")</f>
        <v/>
      </c>
      <c r="D80" s="21">
        <f>'Semi Metrics'!L220</f>
        <v/>
      </c>
      <c r="E80" s="21">
        <f>'Semi Metrics'!K220</f>
        <v/>
      </c>
      <c r="F80" s="22">
        <f>IF(OR(D80="",E80=""),"",D80-E80)</f>
        <v/>
      </c>
      <c r="G80" s="21">
        <f>'Semi Metrics'!L362</f>
        <v/>
      </c>
      <c r="H80" s="20">
        <f>'Semi Metrics'!L646</f>
        <v/>
      </c>
      <c r="I80" s="20">
        <f>'Semi Metrics'!L504</f>
        <v/>
      </c>
      <c r="J80" s="21">
        <f>'Semi Metrics'!M220</f>
        <v/>
      </c>
      <c r="K80" s="21">
        <f>'Semi Metrics'!L788</f>
        <v/>
      </c>
      <c r="L80" s="23">
        <f>'Semi Metrics'!L930</f>
        <v/>
      </c>
      <c r="M80" s="21">
        <f>'Semi Metrics'!L1072</f>
        <v/>
      </c>
      <c r="N80" s="21">
        <f>'Semi Metrics'!L1214</f>
        <v/>
      </c>
      <c r="O80" s="24">
        <f>IFERROR(IF(AND(N(D80)&gt;0,N(M80)&gt;0),M80/D80,""),"")</f>
        <v/>
      </c>
      <c r="P80" s="21">
        <f>'Semi Metrics'!L1356</f>
        <v/>
      </c>
      <c r="Q80" s="23">
        <f>'Semi Metrics'!L1498</f>
        <v/>
      </c>
      <c r="R80" s="25">
        <f>'Semi Revisions'!G78</f>
        <v/>
      </c>
      <c r="S80" s="25">
        <f>'Semi Revisions'!H78</f>
        <v/>
      </c>
      <c r="T80" s="25">
        <f>'Semi Revisions'!I78</f>
        <v/>
      </c>
      <c r="U80" s="25">
        <f>'Semi Revisions'!O78</f>
        <v/>
      </c>
      <c r="V80" s="25">
        <f>'Semi Revisions'!P78</f>
        <v/>
      </c>
      <c r="W80" s="25">
        <f>'Semi Revisions'!Q78</f>
        <v/>
      </c>
      <c r="X80" s="26">
        <f>IFERROR(RANK(D80,D$8:D$146),"")</f>
        <v/>
      </c>
      <c r="Y80" s="26">
        <f>IFERROR(RANK(S80,S$8:S$146),"")</f>
        <v/>
      </c>
    </row>
    <row r="81">
      <c r="A81" s="19">
        <f>'Semi Rev'!$A78</f>
        <v/>
      </c>
      <c r="B81" s="19">
        <f>'Semi Rev'!$B78</f>
        <v/>
      </c>
      <c r="C81" s="20">
        <f>IF(ISNUMBER('Semi Rev'!P78),'Semi Rev'!P78,"")</f>
        <v/>
      </c>
      <c r="D81" s="21">
        <f>'Semi Metrics'!L221</f>
        <v/>
      </c>
      <c r="E81" s="21">
        <f>'Semi Metrics'!K221</f>
        <v/>
      </c>
      <c r="F81" s="22">
        <f>IF(OR(D81="",E81=""),"",D81-E81)</f>
        <v/>
      </c>
      <c r="G81" s="21">
        <f>'Semi Metrics'!L363</f>
        <v/>
      </c>
      <c r="H81" s="20">
        <f>'Semi Metrics'!L647</f>
        <v/>
      </c>
      <c r="I81" s="20">
        <f>'Semi Metrics'!L505</f>
        <v/>
      </c>
      <c r="J81" s="21">
        <f>'Semi Metrics'!M221</f>
        <v/>
      </c>
      <c r="K81" s="21">
        <f>'Semi Metrics'!L789</f>
        <v/>
      </c>
      <c r="L81" s="23">
        <f>'Semi Metrics'!L931</f>
        <v/>
      </c>
      <c r="M81" s="21">
        <f>'Semi Metrics'!L1073</f>
        <v/>
      </c>
      <c r="N81" s="21">
        <f>'Semi Metrics'!L1215</f>
        <v/>
      </c>
      <c r="O81" s="24">
        <f>IFERROR(IF(AND(N(D81)&gt;0,N(M81)&gt;0),M81/D81,""),"")</f>
        <v/>
      </c>
      <c r="P81" s="21">
        <f>'Semi Metrics'!L1357</f>
        <v/>
      </c>
      <c r="Q81" s="23">
        <f>'Semi Metrics'!L1499</f>
        <v/>
      </c>
      <c r="R81" s="25">
        <f>'Semi Revisions'!G79</f>
        <v/>
      </c>
      <c r="S81" s="25">
        <f>'Semi Revisions'!H79</f>
        <v/>
      </c>
      <c r="T81" s="25">
        <f>'Semi Revisions'!I79</f>
        <v/>
      </c>
      <c r="U81" s="25">
        <f>'Semi Revisions'!O79</f>
        <v/>
      </c>
      <c r="V81" s="25">
        <f>'Semi Revisions'!P79</f>
        <v/>
      </c>
      <c r="W81" s="25">
        <f>'Semi Revisions'!Q79</f>
        <v/>
      </c>
      <c r="X81" s="26">
        <f>IFERROR(RANK(D81,D$8:D$146),"")</f>
        <v/>
      </c>
      <c r="Y81" s="26">
        <f>IFERROR(RANK(S81,S$8:S$146),"")</f>
        <v/>
      </c>
    </row>
    <row r="82">
      <c r="A82" s="19">
        <f>'Semi Rev'!$A79</f>
        <v/>
      </c>
      <c r="B82" s="19">
        <f>'Semi Rev'!$B79</f>
        <v/>
      </c>
      <c r="C82" s="20">
        <f>IF(ISNUMBER('Semi Rev'!P79),'Semi Rev'!P79,"")</f>
        <v/>
      </c>
      <c r="D82" s="21">
        <f>'Semi Metrics'!L222</f>
        <v/>
      </c>
      <c r="E82" s="21">
        <f>'Semi Metrics'!K222</f>
        <v/>
      </c>
      <c r="F82" s="22">
        <f>IF(OR(D82="",E82=""),"",D82-E82)</f>
        <v/>
      </c>
      <c r="G82" s="21">
        <f>'Semi Metrics'!L364</f>
        <v/>
      </c>
      <c r="H82" s="20">
        <f>'Semi Metrics'!L648</f>
        <v/>
      </c>
      <c r="I82" s="20">
        <f>'Semi Metrics'!L506</f>
        <v/>
      </c>
      <c r="J82" s="21">
        <f>'Semi Metrics'!M222</f>
        <v/>
      </c>
      <c r="K82" s="21">
        <f>'Semi Metrics'!L790</f>
        <v/>
      </c>
      <c r="L82" s="23">
        <f>'Semi Metrics'!L932</f>
        <v/>
      </c>
      <c r="M82" s="21">
        <f>'Semi Metrics'!L1074</f>
        <v/>
      </c>
      <c r="N82" s="21">
        <f>'Semi Metrics'!L1216</f>
        <v/>
      </c>
      <c r="O82" s="24">
        <f>IFERROR(IF(AND(N(D82)&gt;0,N(M82)&gt;0),M82/D82,""),"")</f>
        <v/>
      </c>
      <c r="P82" s="21">
        <f>'Semi Metrics'!L1358</f>
        <v/>
      </c>
      <c r="Q82" s="23">
        <f>'Semi Metrics'!L1500</f>
        <v/>
      </c>
      <c r="R82" s="25">
        <f>'Semi Revisions'!G80</f>
        <v/>
      </c>
      <c r="S82" s="25">
        <f>'Semi Revisions'!H80</f>
        <v/>
      </c>
      <c r="T82" s="25">
        <f>'Semi Revisions'!I80</f>
        <v/>
      </c>
      <c r="U82" s="25">
        <f>'Semi Revisions'!O80</f>
        <v/>
      </c>
      <c r="V82" s="25">
        <f>'Semi Revisions'!P80</f>
        <v/>
      </c>
      <c r="W82" s="25">
        <f>'Semi Revisions'!Q80</f>
        <v/>
      </c>
      <c r="X82" s="26">
        <f>IFERROR(RANK(D82,D$8:D$146),"")</f>
        <v/>
      </c>
      <c r="Y82" s="26">
        <f>IFERROR(RANK(S82,S$8:S$146),"")</f>
        <v/>
      </c>
    </row>
    <row r="83">
      <c r="A83" s="19">
        <f>'Semi Rev'!$A80</f>
        <v/>
      </c>
      <c r="B83" s="19">
        <f>'Semi Rev'!$B80</f>
        <v/>
      </c>
      <c r="C83" s="20">
        <f>IF(ISNUMBER('Semi Rev'!P80),'Semi Rev'!P80,"")</f>
        <v/>
      </c>
      <c r="D83" s="21">
        <f>'Semi Metrics'!L223</f>
        <v/>
      </c>
      <c r="E83" s="21">
        <f>'Semi Metrics'!K223</f>
        <v/>
      </c>
      <c r="F83" s="22">
        <f>IF(OR(D83="",E83=""),"",D83-E83)</f>
        <v/>
      </c>
      <c r="G83" s="21">
        <f>'Semi Metrics'!L365</f>
        <v/>
      </c>
      <c r="H83" s="20">
        <f>'Semi Metrics'!L649</f>
        <v/>
      </c>
      <c r="I83" s="20">
        <f>'Semi Metrics'!L507</f>
        <v/>
      </c>
      <c r="J83" s="21">
        <f>'Semi Metrics'!M223</f>
        <v/>
      </c>
      <c r="K83" s="21">
        <f>'Semi Metrics'!L791</f>
        <v/>
      </c>
      <c r="L83" s="23">
        <f>'Semi Metrics'!L933</f>
        <v/>
      </c>
      <c r="M83" s="21">
        <f>'Semi Metrics'!L1075</f>
        <v/>
      </c>
      <c r="N83" s="21">
        <f>'Semi Metrics'!L1217</f>
        <v/>
      </c>
      <c r="O83" s="24">
        <f>IFERROR(IF(AND(N(D83)&gt;0,N(M83)&gt;0),M83/D83,""),"")</f>
        <v/>
      </c>
      <c r="P83" s="21">
        <f>'Semi Metrics'!L1359</f>
        <v/>
      </c>
      <c r="Q83" s="23">
        <f>'Semi Metrics'!L1501</f>
        <v/>
      </c>
      <c r="R83" s="25">
        <f>'Semi Revisions'!G81</f>
        <v/>
      </c>
      <c r="S83" s="25">
        <f>'Semi Revisions'!H81</f>
        <v/>
      </c>
      <c r="T83" s="25">
        <f>'Semi Revisions'!I81</f>
        <v/>
      </c>
      <c r="U83" s="25">
        <f>'Semi Revisions'!O81</f>
        <v/>
      </c>
      <c r="V83" s="25">
        <f>'Semi Revisions'!P81</f>
        <v/>
      </c>
      <c r="W83" s="25">
        <f>'Semi Revisions'!Q81</f>
        <v/>
      </c>
      <c r="X83" s="26">
        <f>IFERROR(RANK(D83,D$8:D$146),"")</f>
        <v/>
      </c>
      <c r="Y83" s="26">
        <f>IFERROR(RANK(S83,S$8:S$146),"")</f>
        <v/>
      </c>
    </row>
    <row r="84">
      <c r="A84" s="19">
        <f>'Semi Rev'!$A81</f>
        <v/>
      </c>
      <c r="B84" s="19">
        <f>'Semi Rev'!$B81</f>
        <v/>
      </c>
      <c r="C84" s="20">
        <f>IF(ISNUMBER('Semi Rev'!P81),'Semi Rev'!P81,"")</f>
        <v/>
      </c>
      <c r="D84" s="21">
        <f>'Semi Metrics'!L224</f>
        <v/>
      </c>
      <c r="E84" s="21">
        <f>'Semi Metrics'!K224</f>
        <v/>
      </c>
      <c r="F84" s="22">
        <f>IF(OR(D84="",E84=""),"",D84-E84)</f>
        <v/>
      </c>
      <c r="G84" s="21">
        <f>'Semi Metrics'!L366</f>
        <v/>
      </c>
      <c r="H84" s="20">
        <f>'Semi Metrics'!L650</f>
        <v/>
      </c>
      <c r="I84" s="20">
        <f>'Semi Metrics'!L508</f>
        <v/>
      </c>
      <c r="J84" s="21">
        <f>'Semi Metrics'!M224</f>
        <v/>
      </c>
      <c r="K84" s="21">
        <f>'Semi Metrics'!L792</f>
        <v/>
      </c>
      <c r="L84" s="23">
        <f>'Semi Metrics'!L934</f>
        <v/>
      </c>
      <c r="M84" s="21">
        <f>'Semi Metrics'!L1076</f>
        <v/>
      </c>
      <c r="N84" s="21">
        <f>'Semi Metrics'!L1218</f>
        <v/>
      </c>
      <c r="O84" s="24">
        <f>IFERROR(IF(AND(N(D84)&gt;0,N(M84)&gt;0),M84/D84,""),"")</f>
        <v/>
      </c>
      <c r="P84" s="21">
        <f>'Semi Metrics'!L1360</f>
        <v/>
      </c>
      <c r="Q84" s="23">
        <f>'Semi Metrics'!L1502</f>
        <v/>
      </c>
      <c r="R84" s="25">
        <f>'Semi Revisions'!G82</f>
        <v/>
      </c>
      <c r="S84" s="25">
        <f>'Semi Revisions'!H82</f>
        <v/>
      </c>
      <c r="T84" s="25">
        <f>'Semi Revisions'!I82</f>
        <v/>
      </c>
      <c r="U84" s="25">
        <f>'Semi Revisions'!O82</f>
        <v/>
      </c>
      <c r="V84" s="25">
        <f>'Semi Revisions'!P82</f>
        <v/>
      </c>
      <c r="W84" s="25">
        <f>'Semi Revisions'!Q82</f>
        <v/>
      </c>
      <c r="X84" s="26">
        <f>IFERROR(RANK(D84,D$8:D$146),"")</f>
        <v/>
      </c>
      <c r="Y84" s="26">
        <f>IFERROR(RANK(S84,S$8:S$146),"")</f>
        <v/>
      </c>
    </row>
    <row r="85">
      <c r="A85" s="19">
        <f>'Semi Rev'!$A82</f>
        <v/>
      </c>
      <c r="B85" s="19">
        <f>'Semi Rev'!$B82</f>
        <v/>
      </c>
      <c r="C85" s="20">
        <f>IF(ISNUMBER('Semi Rev'!P82),'Semi Rev'!P82,"")</f>
        <v/>
      </c>
      <c r="D85" s="21">
        <f>'Semi Metrics'!L225</f>
        <v/>
      </c>
      <c r="E85" s="21">
        <f>'Semi Metrics'!K225</f>
        <v/>
      </c>
      <c r="F85" s="22">
        <f>IF(OR(D85="",E85=""),"",D85-E85)</f>
        <v/>
      </c>
      <c r="G85" s="21">
        <f>'Semi Metrics'!L367</f>
        <v/>
      </c>
      <c r="H85" s="20">
        <f>'Semi Metrics'!L651</f>
        <v/>
      </c>
      <c r="I85" s="20">
        <f>'Semi Metrics'!L509</f>
        <v/>
      </c>
      <c r="J85" s="21">
        <f>'Semi Metrics'!M225</f>
        <v/>
      </c>
      <c r="K85" s="21">
        <f>'Semi Metrics'!L793</f>
        <v/>
      </c>
      <c r="L85" s="23">
        <f>'Semi Metrics'!L935</f>
        <v/>
      </c>
      <c r="M85" s="21">
        <f>'Semi Metrics'!L1077</f>
        <v/>
      </c>
      <c r="N85" s="21">
        <f>'Semi Metrics'!L1219</f>
        <v/>
      </c>
      <c r="O85" s="24">
        <f>IFERROR(IF(AND(N(D85)&gt;0,N(M85)&gt;0),M85/D85,""),"")</f>
        <v/>
      </c>
      <c r="P85" s="21">
        <f>'Semi Metrics'!L1361</f>
        <v/>
      </c>
      <c r="Q85" s="23">
        <f>'Semi Metrics'!L1503</f>
        <v/>
      </c>
      <c r="R85" s="25">
        <f>'Semi Revisions'!G83</f>
        <v/>
      </c>
      <c r="S85" s="25">
        <f>'Semi Revisions'!H83</f>
        <v/>
      </c>
      <c r="T85" s="25">
        <f>'Semi Revisions'!I83</f>
        <v/>
      </c>
      <c r="U85" s="25">
        <f>'Semi Revisions'!O83</f>
        <v/>
      </c>
      <c r="V85" s="25">
        <f>'Semi Revisions'!P83</f>
        <v/>
      </c>
      <c r="W85" s="25">
        <f>'Semi Revisions'!Q83</f>
        <v/>
      </c>
      <c r="X85" s="26">
        <f>IFERROR(RANK(D85,D$8:D$146),"")</f>
        <v/>
      </c>
      <c r="Y85" s="26">
        <f>IFERROR(RANK(S85,S$8:S$146),"")</f>
        <v/>
      </c>
    </row>
    <row r="86">
      <c r="A86" s="19">
        <f>'Semi Rev'!$A83</f>
        <v/>
      </c>
      <c r="B86" s="19">
        <f>'Semi Rev'!$B83</f>
        <v/>
      </c>
      <c r="C86" s="20">
        <f>IF(ISNUMBER('Semi Rev'!P83),'Semi Rev'!P83,"")</f>
        <v/>
      </c>
      <c r="D86" s="21">
        <f>'Semi Metrics'!L226</f>
        <v/>
      </c>
      <c r="E86" s="21">
        <f>'Semi Metrics'!K226</f>
        <v/>
      </c>
      <c r="F86" s="22">
        <f>IF(OR(D86="",E86=""),"",D86-E86)</f>
        <v/>
      </c>
      <c r="G86" s="21">
        <f>'Semi Metrics'!L368</f>
        <v/>
      </c>
      <c r="H86" s="20">
        <f>'Semi Metrics'!L652</f>
        <v/>
      </c>
      <c r="I86" s="20">
        <f>'Semi Metrics'!L510</f>
        <v/>
      </c>
      <c r="J86" s="21">
        <f>'Semi Metrics'!M226</f>
        <v/>
      </c>
      <c r="K86" s="21">
        <f>'Semi Metrics'!L794</f>
        <v/>
      </c>
      <c r="L86" s="23">
        <f>'Semi Metrics'!L936</f>
        <v/>
      </c>
      <c r="M86" s="21">
        <f>'Semi Metrics'!L1078</f>
        <v/>
      </c>
      <c r="N86" s="21">
        <f>'Semi Metrics'!L1220</f>
        <v/>
      </c>
      <c r="O86" s="24">
        <f>IFERROR(IF(AND(N(D86)&gt;0,N(M86)&gt;0),M86/D86,""),"")</f>
        <v/>
      </c>
      <c r="P86" s="21">
        <f>'Semi Metrics'!L1362</f>
        <v/>
      </c>
      <c r="Q86" s="23">
        <f>'Semi Metrics'!L1504</f>
        <v/>
      </c>
      <c r="R86" s="25">
        <f>'Semi Revisions'!G84</f>
        <v/>
      </c>
      <c r="S86" s="25">
        <f>'Semi Revisions'!H84</f>
        <v/>
      </c>
      <c r="T86" s="25">
        <f>'Semi Revisions'!I84</f>
        <v/>
      </c>
      <c r="U86" s="25">
        <f>'Semi Revisions'!O84</f>
        <v/>
      </c>
      <c r="V86" s="25">
        <f>'Semi Revisions'!P84</f>
        <v/>
      </c>
      <c r="W86" s="25">
        <f>'Semi Revisions'!Q84</f>
        <v/>
      </c>
      <c r="X86" s="26">
        <f>IFERROR(RANK(D86,D$8:D$146),"")</f>
        <v/>
      </c>
      <c r="Y86" s="26">
        <f>IFERROR(RANK(S86,S$8:S$146),"")</f>
        <v/>
      </c>
    </row>
    <row r="87">
      <c r="A87" s="19">
        <f>'Semi Rev'!$A84</f>
        <v/>
      </c>
      <c r="B87" s="19">
        <f>'Semi Rev'!$B84</f>
        <v/>
      </c>
      <c r="C87" s="20">
        <f>IF(ISNUMBER('Semi Rev'!P84),'Semi Rev'!P84,"")</f>
        <v/>
      </c>
      <c r="D87" s="21">
        <f>'Semi Metrics'!L227</f>
        <v/>
      </c>
      <c r="E87" s="21">
        <f>'Semi Metrics'!K227</f>
        <v/>
      </c>
      <c r="F87" s="22">
        <f>IF(OR(D87="",E87=""),"",D87-E87)</f>
        <v/>
      </c>
      <c r="G87" s="21">
        <f>'Semi Metrics'!L369</f>
        <v/>
      </c>
      <c r="H87" s="20">
        <f>'Semi Metrics'!L653</f>
        <v/>
      </c>
      <c r="I87" s="20">
        <f>'Semi Metrics'!L511</f>
        <v/>
      </c>
      <c r="J87" s="21">
        <f>'Semi Metrics'!M227</f>
        <v/>
      </c>
      <c r="K87" s="21">
        <f>'Semi Metrics'!L795</f>
        <v/>
      </c>
      <c r="L87" s="23">
        <f>'Semi Metrics'!L937</f>
        <v/>
      </c>
      <c r="M87" s="21">
        <f>'Semi Metrics'!L1079</f>
        <v/>
      </c>
      <c r="N87" s="21">
        <f>'Semi Metrics'!L1221</f>
        <v/>
      </c>
      <c r="O87" s="24">
        <f>IFERROR(IF(AND(N(D87)&gt;0,N(M87)&gt;0),M87/D87,""),"")</f>
        <v/>
      </c>
      <c r="P87" s="21">
        <f>'Semi Metrics'!L1363</f>
        <v/>
      </c>
      <c r="Q87" s="23">
        <f>'Semi Metrics'!L1505</f>
        <v/>
      </c>
      <c r="R87" s="25">
        <f>'Semi Revisions'!G85</f>
        <v/>
      </c>
      <c r="S87" s="25">
        <f>'Semi Revisions'!H85</f>
        <v/>
      </c>
      <c r="T87" s="25">
        <f>'Semi Revisions'!I85</f>
        <v/>
      </c>
      <c r="U87" s="25">
        <f>'Semi Revisions'!O85</f>
        <v/>
      </c>
      <c r="V87" s="25">
        <f>'Semi Revisions'!P85</f>
        <v/>
      </c>
      <c r="W87" s="25">
        <f>'Semi Revisions'!Q85</f>
        <v/>
      </c>
      <c r="X87" s="26">
        <f>IFERROR(RANK(D87,D$8:D$146),"")</f>
        <v/>
      </c>
      <c r="Y87" s="26">
        <f>IFERROR(RANK(S87,S$8:S$146),"")</f>
        <v/>
      </c>
    </row>
    <row r="88">
      <c r="A88" s="19">
        <f>'Semi Rev'!$A85</f>
        <v/>
      </c>
      <c r="B88" s="19">
        <f>'Semi Rev'!$B85</f>
        <v/>
      </c>
      <c r="C88" s="20">
        <f>IF(ISNUMBER('Semi Rev'!P85),'Semi Rev'!P85,"")</f>
        <v/>
      </c>
      <c r="D88" s="21">
        <f>'Semi Metrics'!L228</f>
        <v/>
      </c>
      <c r="E88" s="21">
        <f>'Semi Metrics'!K228</f>
        <v/>
      </c>
      <c r="F88" s="22">
        <f>IF(OR(D88="",E88=""),"",D88-E88)</f>
        <v/>
      </c>
      <c r="G88" s="21">
        <f>'Semi Metrics'!L370</f>
        <v/>
      </c>
      <c r="H88" s="20">
        <f>'Semi Metrics'!L654</f>
        <v/>
      </c>
      <c r="I88" s="20">
        <f>'Semi Metrics'!L512</f>
        <v/>
      </c>
      <c r="J88" s="21">
        <f>'Semi Metrics'!M228</f>
        <v/>
      </c>
      <c r="K88" s="21">
        <f>'Semi Metrics'!L796</f>
        <v/>
      </c>
      <c r="L88" s="23">
        <f>'Semi Metrics'!L938</f>
        <v/>
      </c>
      <c r="M88" s="21">
        <f>'Semi Metrics'!L1080</f>
        <v/>
      </c>
      <c r="N88" s="21">
        <f>'Semi Metrics'!L1222</f>
        <v/>
      </c>
      <c r="O88" s="24">
        <f>IFERROR(IF(AND(N(D88)&gt;0,N(M88)&gt;0),M88/D88,""),"")</f>
        <v/>
      </c>
      <c r="P88" s="21">
        <f>'Semi Metrics'!L1364</f>
        <v/>
      </c>
      <c r="Q88" s="23">
        <f>'Semi Metrics'!L1506</f>
        <v/>
      </c>
      <c r="R88" s="25">
        <f>'Semi Revisions'!G86</f>
        <v/>
      </c>
      <c r="S88" s="25">
        <f>'Semi Revisions'!H86</f>
        <v/>
      </c>
      <c r="T88" s="25">
        <f>'Semi Revisions'!I86</f>
        <v/>
      </c>
      <c r="U88" s="25">
        <f>'Semi Revisions'!O86</f>
        <v/>
      </c>
      <c r="V88" s="25">
        <f>'Semi Revisions'!P86</f>
        <v/>
      </c>
      <c r="W88" s="25">
        <f>'Semi Revisions'!Q86</f>
        <v/>
      </c>
      <c r="X88" s="26">
        <f>IFERROR(RANK(D88,D$8:D$146),"")</f>
        <v/>
      </c>
      <c r="Y88" s="26">
        <f>IFERROR(RANK(S88,S$8:S$146),"")</f>
        <v/>
      </c>
    </row>
    <row r="89">
      <c r="A89" s="19">
        <f>'Semi Rev'!$A86</f>
        <v/>
      </c>
      <c r="B89" s="19">
        <f>'Semi Rev'!$B86</f>
        <v/>
      </c>
      <c r="C89" s="20">
        <f>IF(ISNUMBER('Semi Rev'!P86),'Semi Rev'!P86,"")</f>
        <v/>
      </c>
      <c r="D89" s="21">
        <f>'Semi Metrics'!L229</f>
        <v/>
      </c>
      <c r="E89" s="21">
        <f>'Semi Metrics'!K229</f>
        <v/>
      </c>
      <c r="F89" s="22">
        <f>IF(OR(D89="",E89=""),"",D89-E89)</f>
        <v/>
      </c>
      <c r="G89" s="21">
        <f>'Semi Metrics'!L371</f>
        <v/>
      </c>
      <c r="H89" s="20">
        <f>'Semi Metrics'!L655</f>
        <v/>
      </c>
      <c r="I89" s="20">
        <f>'Semi Metrics'!L513</f>
        <v/>
      </c>
      <c r="J89" s="21">
        <f>'Semi Metrics'!M229</f>
        <v/>
      </c>
      <c r="K89" s="21">
        <f>'Semi Metrics'!L797</f>
        <v/>
      </c>
      <c r="L89" s="23">
        <f>'Semi Metrics'!L939</f>
        <v/>
      </c>
      <c r="M89" s="21">
        <f>'Semi Metrics'!L1081</f>
        <v/>
      </c>
      <c r="N89" s="21">
        <f>'Semi Metrics'!L1223</f>
        <v/>
      </c>
      <c r="O89" s="24">
        <f>IFERROR(IF(AND(N(D89)&gt;0,N(M89)&gt;0),M89/D89,""),"")</f>
        <v/>
      </c>
      <c r="P89" s="21">
        <f>'Semi Metrics'!L1365</f>
        <v/>
      </c>
      <c r="Q89" s="23">
        <f>'Semi Metrics'!L1507</f>
        <v/>
      </c>
      <c r="R89" s="25">
        <f>'Semi Revisions'!G87</f>
        <v/>
      </c>
      <c r="S89" s="25">
        <f>'Semi Revisions'!H87</f>
        <v/>
      </c>
      <c r="T89" s="25">
        <f>'Semi Revisions'!I87</f>
        <v/>
      </c>
      <c r="U89" s="25">
        <f>'Semi Revisions'!O87</f>
        <v/>
      </c>
      <c r="V89" s="25">
        <f>'Semi Revisions'!P87</f>
        <v/>
      </c>
      <c r="W89" s="25">
        <f>'Semi Revisions'!Q87</f>
        <v/>
      </c>
      <c r="X89" s="26">
        <f>IFERROR(RANK(D89,D$8:D$146),"")</f>
        <v/>
      </c>
      <c r="Y89" s="26">
        <f>IFERROR(RANK(S89,S$8:S$146),"")</f>
        <v/>
      </c>
    </row>
    <row r="90">
      <c r="A90" s="19">
        <f>'Semi Rev'!$A87</f>
        <v/>
      </c>
      <c r="B90" s="19">
        <f>'Semi Rev'!$B87</f>
        <v/>
      </c>
      <c r="C90" s="20">
        <f>IF(ISNUMBER('Semi Rev'!P87),'Semi Rev'!P87,"")</f>
        <v/>
      </c>
      <c r="D90" s="21">
        <f>'Semi Metrics'!L230</f>
        <v/>
      </c>
      <c r="E90" s="21">
        <f>'Semi Metrics'!K230</f>
        <v/>
      </c>
      <c r="F90" s="22">
        <f>IF(OR(D90="",E90=""),"",D90-E90)</f>
        <v/>
      </c>
      <c r="G90" s="21">
        <f>'Semi Metrics'!L372</f>
        <v/>
      </c>
      <c r="H90" s="20">
        <f>'Semi Metrics'!L656</f>
        <v/>
      </c>
      <c r="I90" s="20">
        <f>'Semi Metrics'!L514</f>
        <v/>
      </c>
      <c r="J90" s="21">
        <f>'Semi Metrics'!M230</f>
        <v/>
      </c>
      <c r="K90" s="21">
        <f>'Semi Metrics'!L798</f>
        <v/>
      </c>
      <c r="L90" s="23">
        <f>'Semi Metrics'!L940</f>
        <v/>
      </c>
      <c r="M90" s="21">
        <f>'Semi Metrics'!L1082</f>
        <v/>
      </c>
      <c r="N90" s="21">
        <f>'Semi Metrics'!L1224</f>
        <v/>
      </c>
      <c r="O90" s="24">
        <f>IFERROR(IF(AND(N(D90)&gt;0,N(M90)&gt;0),M90/D90,""),"")</f>
        <v/>
      </c>
      <c r="P90" s="21">
        <f>'Semi Metrics'!L1366</f>
        <v/>
      </c>
      <c r="Q90" s="23">
        <f>'Semi Metrics'!L1508</f>
        <v/>
      </c>
      <c r="R90" s="25">
        <f>'Semi Revisions'!G88</f>
        <v/>
      </c>
      <c r="S90" s="25">
        <f>'Semi Revisions'!H88</f>
        <v/>
      </c>
      <c r="T90" s="25">
        <f>'Semi Revisions'!I88</f>
        <v/>
      </c>
      <c r="U90" s="25">
        <f>'Semi Revisions'!O88</f>
        <v/>
      </c>
      <c r="V90" s="25">
        <f>'Semi Revisions'!P88</f>
        <v/>
      </c>
      <c r="W90" s="25">
        <f>'Semi Revisions'!Q88</f>
        <v/>
      </c>
      <c r="X90" s="26">
        <f>IFERROR(RANK(D90,D$8:D$146),"")</f>
        <v/>
      </c>
      <c r="Y90" s="26">
        <f>IFERROR(RANK(S90,S$8:S$146),"")</f>
        <v/>
      </c>
    </row>
    <row r="91">
      <c r="A91" s="19">
        <f>'Semi Rev'!$A88</f>
        <v/>
      </c>
      <c r="B91" s="19">
        <f>'Semi Rev'!$B88</f>
        <v/>
      </c>
      <c r="C91" s="20">
        <f>IF(ISNUMBER('Semi Rev'!P88),'Semi Rev'!P88,"")</f>
        <v/>
      </c>
      <c r="D91" s="21">
        <f>'Semi Metrics'!L231</f>
        <v/>
      </c>
      <c r="E91" s="21">
        <f>'Semi Metrics'!K231</f>
        <v/>
      </c>
      <c r="F91" s="22">
        <f>IF(OR(D91="",E91=""),"",D91-E91)</f>
        <v/>
      </c>
      <c r="G91" s="21">
        <f>'Semi Metrics'!L373</f>
        <v/>
      </c>
      <c r="H91" s="20">
        <f>'Semi Metrics'!L657</f>
        <v/>
      </c>
      <c r="I91" s="20">
        <f>'Semi Metrics'!L515</f>
        <v/>
      </c>
      <c r="J91" s="21">
        <f>'Semi Metrics'!M231</f>
        <v/>
      </c>
      <c r="K91" s="21">
        <f>'Semi Metrics'!L799</f>
        <v/>
      </c>
      <c r="L91" s="23">
        <f>'Semi Metrics'!L941</f>
        <v/>
      </c>
      <c r="M91" s="21">
        <f>'Semi Metrics'!L1083</f>
        <v/>
      </c>
      <c r="N91" s="21">
        <f>'Semi Metrics'!L1225</f>
        <v/>
      </c>
      <c r="O91" s="24">
        <f>IFERROR(IF(AND(N(D91)&gt;0,N(M91)&gt;0),M91/D91,""),"")</f>
        <v/>
      </c>
      <c r="P91" s="21">
        <f>'Semi Metrics'!L1367</f>
        <v/>
      </c>
      <c r="Q91" s="23">
        <f>'Semi Metrics'!L1509</f>
        <v/>
      </c>
      <c r="R91" s="25">
        <f>'Semi Revisions'!G89</f>
        <v/>
      </c>
      <c r="S91" s="25">
        <f>'Semi Revisions'!H89</f>
        <v/>
      </c>
      <c r="T91" s="25">
        <f>'Semi Revisions'!I89</f>
        <v/>
      </c>
      <c r="U91" s="25">
        <f>'Semi Revisions'!O89</f>
        <v/>
      </c>
      <c r="V91" s="25">
        <f>'Semi Revisions'!P89</f>
        <v/>
      </c>
      <c r="W91" s="25">
        <f>'Semi Revisions'!Q89</f>
        <v/>
      </c>
      <c r="X91" s="26">
        <f>IFERROR(RANK(D91,D$8:D$146),"")</f>
        <v/>
      </c>
      <c r="Y91" s="26">
        <f>IFERROR(RANK(S91,S$8:S$146),"")</f>
        <v/>
      </c>
    </row>
    <row r="92">
      <c r="A92" s="19">
        <f>'Semi Rev'!$A89</f>
        <v/>
      </c>
      <c r="B92" s="19">
        <f>'Semi Rev'!$B89</f>
        <v/>
      </c>
      <c r="C92" s="20">
        <f>IF(ISNUMBER('Semi Rev'!P89),'Semi Rev'!P89,"")</f>
        <v/>
      </c>
      <c r="D92" s="21">
        <f>'Semi Metrics'!L232</f>
        <v/>
      </c>
      <c r="E92" s="21">
        <f>'Semi Metrics'!K232</f>
        <v/>
      </c>
      <c r="F92" s="22">
        <f>IF(OR(D92="",E92=""),"",D92-E92)</f>
        <v/>
      </c>
      <c r="G92" s="21">
        <f>'Semi Metrics'!L374</f>
        <v/>
      </c>
      <c r="H92" s="20">
        <f>'Semi Metrics'!L658</f>
        <v/>
      </c>
      <c r="I92" s="20">
        <f>'Semi Metrics'!L516</f>
        <v/>
      </c>
      <c r="J92" s="21">
        <f>'Semi Metrics'!M232</f>
        <v/>
      </c>
      <c r="K92" s="21">
        <f>'Semi Metrics'!L800</f>
        <v/>
      </c>
      <c r="L92" s="23">
        <f>'Semi Metrics'!L942</f>
        <v/>
      </c>
      <c r="M92" s="21">
        <f>'Semi Metrics'!L1084</f>
        <v/>
      </c>
      <c r="N92" s="21">
        <f>'Semi Metrics'!L1226</f>
        <v/>
      </c>
      <c r="O92" s="24">
        <f>IFERROR(IF(AND(N(D92)&gt;0,N(M92)&gt;0),M92/D92,""),"")</f>
        <v/>
      </c>
      <c r="P92" s="21">
        <f>'Semi Metrics'!L1368</f>
        <v/>
      </c>
      <c r="Q92" s="23">
        <f>'Semi Metrics'!L1510</f>
        <v/>
      </c>
      <c r="R92" s="25">
        <f>'Semi Revisions'!G90</f>
        <v/>
      </c>
      <c r="S92" s="25">
        <f>'Semi Revisions'!H90</f>
        <v/>
      </c>
      <c r="T92" s="25">
        <f>'Semi Revisions'!I90</f>
        <v/>
      </c>
      <c r="U92" s="25">
        <f>'Semi Revisions'!O90</f>
        <v/>
      </c>
      <c r="V92" s="25">
        <f>'Semi Revisions'!P90</f>
        <v/>
      </c>
      <c r="W92" s="25">
        <f>'Semi Revisions'!Q90</f>
        <v/>
      </c>
      <c r="X92" s="26">
        <f>IFERROR(RANK(D92,D$8:D$146),"")</f>
        <v/>
      </c>
      <c r="Y92" s="26">
        <f>IFERROR(RANK(S92,S$8:S$146),"")</f>
        <v/>
      </c>
    </row>
    <row r="93">
      <c r="A93" s="19">
        <f>'Semi Rev'!$A90</f>
        <v/>
      </c>
      <c r="B93" s="19">
        <f>'Semi Rev'!$B90</f>
        <v/>
      </c>
      <c r="C93" s="20">
        <f>IF(ISNUMBER('Semi Rev'!P90),'Semi Rev'!P90,"")</f>
        <v/>
      </c>
      <c r="D93" s="21">
        <f>'Semi Metrics'!L233</f>
        <v/>
      </c>
      <c r="E93" s="21">
        <f>'Semi Metrics'!K233</f>
        <v/>
      </c>
      <c r="F93" s="22">
        <f>IF(OR(D93="",E93=""),"",D93-E93)</f>
        <v/>
      </c>
      <c r="G93" s="21">
        <f>'Semi Metrics'!L375</f>
        <v/>
      </c>
      <c r="H93" s="20">
        <f>'Semi Metrics'!L659</f>
        <v/>
      </c>
      <c r="I93" s="20">
        <f>'Semi Metrics'!L517</f>
        <v/>
      </c>
      <c r="J93" s="21">
        <f>'Semi Metrics'!M233</f>
        <v/>
      </c>
      <c r="K93" s="21">
        <f>'Semi Metrics'!L801</f>
        <v/>
      </c>
      <c r="L93" s="23">
        <f>'Semi Metrics'!L943</f>
        <v/>
      </c>
      <c r="M93" s="21">
        <f>'Semi Metrics'!L1085</f>
        <v/>
      </c>
      <c r="N93" s="21">
        <f>'Semi Metrics'!L1227</f>
        <v/>
      </c>
      <c r="O93" s="24">
        <f>IFERROR(IF(AND(N(D93)&gt;0,N(M93)&gt;0),M93/D93,""),"")</f>
        <v/>
      </c>
      <c r="P93" s="21">
        <f>'Semi Metrics'!L1369</f>
        <v/>
      </c>
      <c r="Q93" s="23">
        <f>'Semi Metrics'!L1511</f>
        <v/>
      </c>
      <c r="R93" s="25">
        <f>'Semi Revisions'!G91</f>
        <v/>
      </c>
      <c r="S93" s="25">
        <f>'Semi Revisions'!H91</f>
        <v/>
      </c>
      <c r="T93" s="25">
        <f>'Semi Revisions'!I91</f>
        <v/>
      </c>
      <c r="U93" s="25">
        <f>'Semi Revisions'!O91</f>
        <v/>
      </c>
      <c r="V93" s="25">
        <f>'Semi Revisions'!P91</f>
        <v/>
      </c>
      <c r="W93" s="25">
        <f>'Semi Revisions'!Q91</f>
        <v/>
      </c>
      <c r="X93" s="26">
        <f>IFERROR(RANK(D93,D$8:D$146),"")</f>
        <v/>
      </c>
      <c r="Y93" s="26">
        <f>IFERROR(RANK(S93,S$8:S$146),"")</f>
        <v/>
      </c>
    </row>
    <row r="94">
      <c r="A94" s="19">
        <f>'Semi Rev'!$A91</f>
        <v/>
      </c>
      <c r="B94" s="19">
        <f>'Semi Rev'!$B91</f>
        <v/>
      </c>
      <c r="C94" s="20">
        <f>IF(ISNUMBER('Semi Rev'!P91),'Semi Rev'!P91,"")</f>
        <v/>
      </c>
      <c r="D94" s="21">
        <f>'Semi Metrics'!L234</f>
        <v/>
      </c>
      <c r="E94" s="21">
        <f>'Semi Metrics'!K234</f>
        <v/>
      </c>
      <c r="F94" s="22">
        <f>IF(OR(D94="",E94=""),"",D94-E94)</f>
        <v/>
      </c>
      <c r="G94" s="21">
        <f>'Semi Metrics'!L376</f>
        <v/>
      </c>
      <c r="H94" s="20">
        <f>'Semi Metrics'!L660</f>
        <v/>
      </c>
      <c r="I94" s="20">
        <f>'Semi Metrics'!L518</f>
        <v/>
      </c>
      <c r="J94" s="21">
        <f>'Semi Metrics'!M234</f>
        <v/>
      </c>
      <c r="K94" s="21">
        <f>'Semi Metrics'!L802</f>
        <v/>
      </c>
      <c r="L94" s="23">
        <f>'Semi Metrics'!L944</f>
        <v/>
      </c>
      <c r="M94" s="21">
        <f>'Semi Metrics'!L1086</f>
        <v/>
      </c>
      <c r="N94" s="21">
        <f>'Semi Metrics'!L1228</f>
        <v/>
      </c>
      <c r="O94" s="24">
        <f>IFERROR(IF(AND(N(D94)&gt;0,N(M94)&gt;0),M94/D94,""),"")</f>
        <v/>
      </c>
      <c r="P94" s="21">
        <f>'Semi Metrics'!L1370</f>
        <v/>
      </c>
      <c r="Q94" s="23">
        <f>'Semi Metrics'!L1512</f>
        <v/>
      </c>
      <c r="R94" s="25">
        <f>'Semi Revisions'!G92</f>
        <v/>
      </c>
      <c r="S94" s="25">
        <f>'Semi Revisions'!H92</f>
        <v/>
      </c>
      <c r="T94" s="25">
        <f>'Semi Revisions'!I92</f>
        <v/>
      </c>
      <c r="U94" s="25">
        <f>'Semi Revisions'!O92</f>
        <v/>
      </c>
      <c r="V94" s="25">
        <f>'Semi Revisions'!P92</f>
        <v/>
      </c>
      <c r="W94" s="25">
        <f>'Semi Revisions'!Q92</f>
        <v/>
      </c>
      <c r="X94" s="26">
        <f>IFERROR(RANK(D94,D$8:D$146),"")</f>
        <v/>
      </c>
      <c r="Y94" s="26">
        <f>IFERROR(RANK(S94,S$8:S$146),"")</f>
        <v/>
      </c>
    </row>
    <row r="95">
      <c r="A95" s="19">
        <f>'Semi Rev'!$A92</f>
        <v/>
      </c>
      <c r="B95" s="19">
        <f>'Semi Rev'!$B92</f>
        <v/>
      </c>
      <c r="C95" s="20">
        <f>IF(ISNUMBER('Semi Rev'!P92),'Semi Rev'!P92,"")</f>
        <v/>
      </c>
      <c r="D95" s="21">
        <f>'Semi Metrics'!L235</f>
        <v/>
      </c>
      <c r="E95" s="21">
        <f>'Semi Metrics'!K235</f>
        <v/>
      </c>
      <c r="F95" s="22">
        <f>IF(OR(D95="",E95=""),"",D95-E95)</f>
        <v/>
      </c>
      <c r="G95" s="21">
        <f>'Semi Metrics'!L377</f>
        <v/>
      </c>
      <c r="H95" s="20">
        <f>'Semi Metrics'!L661</f>
        <v/>
      </c>
      <c r="I95" s="20">
        <f>'Semi Metrics'!L519</f>
        <v/>
      </c>
      <c r="J95" s="21">
        <f>'Semi Metrics'!M235</f>
        <v/>
      </c>
      <c r="K95" s="21">
        <f>'Semi Metrics'!L803</f>
        <v/>
      </c>
      <c r="L95" s="23">
        <f>'Semi Metrics'!L945</f>
        <v/>
      </c>
      <c r="M95" s="21">
        <f>'Semi Metrics'!L1087</f>
        <v/>
      </c>
      <c r="N95" s="21">
        <f>'Semi Metrics'!L1229</f>
        <v/>
      </c>
      <c r="O95" s="24">
        <f>IFERROR(IF(AND(N(D95)&gt;0,N(M95)&gt;0),M95/D95,""),"")</f>
        <v/>
      </c>
      <c r="P95" s="21">
        <f>'Semi Metrics'!L1371</f>
        <v/>
      </c>
      <c r="Q95" s="23">
        <f>'Semi Metrics'!L1513</f>
        <v/>
      </c>
      <c r="R95" s="25">
        <f>'Semi Revisions'!G93</f>
        <v/>
      </c>
      <c r="S95" s="25">
        <f>'Semi Revisions'!H93</f>
        <v/>
      </c>
      <c r="T95" s="25">
        <f>'Semi Revisions'!I93</f>
        <v/>
      </c>
      <c r="U95" s="25">
        <f>'Semi Revisions'!O93</f>
        <v/>
      </c>
      <c r="V95" s="25">
        <f>'Semi Revisions'!P93</f>
        <v/>
      </c>
      <c r="W95" s="25">
        <f>'Semi Revisions'!Q93</f>
        <v/>
      </c>
      <c r="X95" s="26">
        <f>IFERROR(RANK(D95,D$8:D$146),"")</f>
        <v/>
      </c>
      <c r="Y95" s="26">
        <f>IFERROR(RANK(S95,S$8:S$146),"")</f>
        <v/>
      </c>
    </row>
    <row r="96">
      <c r="A96" s="19">
        <f>'Semi Rev'!$A93</f>
        <v/>
      </c>
      <c r="B96" s="19">
        <f>'Semi Rev'!$B93</f>
        <v/>
      </c>
      <c r="C96" s="20">
        <f>IF(ISNUMBER('Semi Rev'!P93),'Semi Rev'!P93,"")</f>
        <v/>
      </c>
      <c r="D96" s="21">
        <f>'Semi Metrics'!L236</f>
        <v/>
      </c>
      <c r="E96" s="21">
        <f>'Semi Metrics'!K236</f>
        <v/>
      </c>
      <c r="F96" s="22">
        <f>IF(OR(D96="",E96=""),"",D96-E96)</f>
        <v/>
      </c>
      <c r="G96" s="21">
        <f>'Semi Metrics'!L378</f>
        <v/>
      </c>
      <c r="H96" s="20">
        <f>'Semi Metrics'!L662</f>
        <v/>
      </c>
      <c r="I96" s="20">
        <f>'Semi Metrics'!L520</f>
        <v/>
      </c>
      <c r="J96" s="21">
        <f>'Semi Metrics'!M236</f>
        <v/>
      </c>
      <c r="K96" s="21">
        <f>'Semi Metrics'!L804</f>
        <v/>
      </c>
      <c r="L96" s="23">
        <f>'Semi Metrics'!L946</f>
        <v/>
      </c>
      <c r="M96" s="21">
        <f>'Semi Metrics'!L1088</f>
        <v/>
      </c>
      <c r="N96" s="21">
        <f>'Semi Metrics'!L1230</f>
        <v/>
      </c>
      <c r="O96" s="24">
        <f>IFERROR(IF(AND(N(D96)&gt;0,N(M96)&gt;0),M96/D96,""),"")</f>
        <v/>
      </c>
      <c r="P96" s="21">
        <f>'Semi Metrics'!L1372</f>
        <v/>
      </c>
      <c r="Q96" s="23">
        <f>'Semi Metrics'!L1514</f>
        <v/>
      </c>
      <c r="R96" s="25">
        <f>'Semi Revisions'!G94</f>
        <v/>
      </c>
      <c r="S96" s="25">
        <f>'Semi Revisions'!H94</f>
        <v/>
      </c>
      <c r="T96" s="25">
        <f>'Semi Revisions'!I94</f>
        <v/>
      </c>
      <c r="U96" s="25">
        <f>'Semi Revisions'!O94</f>
        <v/>
      </c>
      <c r="V96" s="25">
        <f>'Semi Revisions'!P94</f>
        <v/>
      </c>
      <c r="W96" s="25">
        <f>'Semi Revisions'!Q94</f>
        <v/>
      </c>
      <c r="X96" s="26">
        <f>IFERROR(RANK(D96,D$8:D$146),"")</f>
        <v/>
      </c>
      <c r="Y96" s="26">
        <f>IFERROR(RANK(S96,S$8:S$146),"")</f>
        <v/>
      </c>
    </row>
    <row r="97">
      <c r="A97" s="19">
        <f>'Semi Rev'!$A94</f>
        <v/>
      </c>
      <c r="B97" s="19">
        <f>'Semi Rev'!$B94</f>
        <v/>
      </c>
      <c r="C97" s="20">
        <f>IF(ISNUMBER('Semi Rev'!P94),'Semi Rev'!P94,"")</f>
        <v/>
      </c>
      <c r="D97" s="21">
        <f>'Semi Metrics'!L237</f>
        <v/>
      </c>
      <c r="E97" s="21">
        <f>'Semi Metrics'!K237</f>
        <v/>
      </c>
      <c r="F97" s="22">
        <f>IF(OR(D97="",E97=""),"",D97-E97)</f>
        <v/>
      </c>
      <c r="G97" s="21">
        <f>'Semi Metrics'!L379</f>
        <v/>
      </c>
      <c r="H97" s="20">
        <f>'Semi Metrics'!L663</f>
        <v/>
      </c>
      <c r="I97" s="20">
        <f>'Semi Metrics'!L521</f>
        <v/>
      </c>
      <c r="J97" s="21">
        <f>'Semi Metrics'!M237</f>
        <v/>
      </c>
      <c r="K97" s="21">
        <f>'Semi Metrics'!L805</f>
        <v/>
      </c>
      <c r="L97" s="23">
        <f>'Semi Metrics'!L947</f>
        <v/>
      </c>
      <c r="M97" s="21">
        <f>'Semi Metrics'!L1089</f>
        <v/>
      </c>
      <c r="N97" s="21">
        <f>'Semi Metrics'!L1231</f>
        <v/>
      </c>
      <c r="O97" s="24">
        <f>IFERROR(IF(AND(N(D97)&gt;0,N(M97)&gt;0),M97/D97,""),"")</f>
        <v/>
      </c>
      <c r="P97" s="21">
        <f>'Semi Metrics'!L1373</f>
        <v/>
      </c>
      <c r="Q97" s="23">
        <f>'Semi Metrics'!L1515</f>
        <v/>
      </c>
      <c r="R97" s="25">
        <f>'Semi Revisions'!G95</f>
        <v/>
      </c>
      <c r="S97" s="25">
        <f>'Semi Revisions'!H95</f>
        <v/>
      </c>
      <c r="T97" s="25">
        <f>'Semi Revisions'!I95</f>
        <v/>
      </c>
      <c r="U97" s="25">
        <f>'Semi Revisions'!O95</f>
        <v/>
      </c>
      <c r="V97" s="25">
        <f>'Semi Revisions'!P95</f>
        <v/>
      </c>
      <c r="W97" s="25">
        <f>'Semi Revisions'!Q95</f>
        <v/>
      </c>
      <c r="X97" s="26">
        <f>IFERROR(RANK(D97,D$8:D$146),"")</f>
        <v/>
      </c>
      <c r="Y97" s="26">
        <f>IFERROR(RANK(S97,S$8:S$146),"")</f>
        <v/>
      </c>
    </row>
    <row r="98">
      <c r="A98" s="19">
        <f>'Semi Rev'!$A95</f>
        <v/>
      </c>
      <c r="B98" s="19">
        <f>'Semi Rev'!$B95</f>
        <v/>
      </c>
      <c r="C98" s="20">
        <f>IF(ISNUMBER('Semi Rev'!P95),'Semi Rev'!P95,"")</f>
        <v/>
      </c>
      <c r="D98" s="21">
        <f>'Semi Metrics'!L238</f>
        <v/>
      </c>
      <c r="E98" s="21">
        <f>'Semi Metrics'!K238</f>
        <v/>
      </c>
      <c r="F98" s="22">
        <f>IF(OR(D98="",E98=""),"",D98-E98)</f>
        <v/>
      </c>
      <c r="G98" s="21">
        <f>'Semi Metrics'!L380</f>
        <v/>
      </c>
      <c r="H98" s="20">
        <f>'Semi Metrics'!L664</f>
        <v/>
      </c>
      <c r="I98" s="20">
        <f>'Semi Metrics'!L522</f>
        <v/>
      </c>
      <c r="J98" s="21">
        <f>'Semi Metrics'!M238</f>
        <v/>
      </c>
      <c r="K98" s="21">
        <f>'Semi Metrics'!L806</f>
        <v/>
      </c>
      <c r="L98" s="23">
        <f>'Semi Metrics'!L948</f>
        <v/>
      </c>
      <c r="M98" s="21">
        <f>'Semi Metrics'!L1090</f>
        <v/>
      </c>
      <c r="N98" s="21">
        <f>'Semi Metrics'!L1232</f>
        <v/>
      </c>
      <c r="O98" s="24">
        <f>IFERROR(IF(AND(N(D98)&gt;0,N(M98)&gt;0),M98/D98,""),"")</f>
        <v/>
      </c>
      <c r="P98" s="21">
        <f>'Semi Metrics'!L1374</f>
        <v/>
      </c>
      <c r="Q98" s="23">
        <f>'Semi Metrics'!L1516</f>
        <v/>
      </c>
      <c r="R98" s="25">
        <f>'Semi Revisions'!G96</f>
        <v/>
      </c>
      <c r="S98" s="25">
        <f>'Semi Revisions'!H96</f>
        <v/>
      </c>
      <c r="T98" s="25">
        <f>'Semi Revisions'!I96</f>
        <v/>
      </c>
      <c r="U98" s="25">
        <f>'Semi Revisions'!O96</f>
        <v/>
      </c>
      <c r="V98" s="25">
        <f>'Semi Revisions'!P96</f>
        <v/>
      </c>
      <c r="W98" s="25">
        <f>'Semi Revisions'!Q96</f>
        <v/>
      </c>
      <c r="X98" s="26">
        <f>IFERROR(RANK(D98,D$8:D$146),"")</f>
        <v/>
      </c>
      <c r="Y98" s="26">
        <f>IFERROR(RANK(S98,S$8:S$146),"")</f>
        <v/>
      </c>
    </row>
    <row r="99">
      <c r="A99" s="19">
        <f>'Semi Rev'!$A96</f>
        <v/>
      </c>
      <c r="B99" s="19">
        <f>'Semi Rev'!$B96</f>
        <v/>
      </c>
      <c r="C99" s="20">
        <f>IF(ISNUMBER('Semi Rev'!P96),'Semi Rev'!P96,"")</f>
        <v/>
      </c>
      <c r="D99" s="21">
        <f>'Semi Metrics'!L239</f>
        <v/>
      </c>
      <c r="E99" s="21">
        <f>'Semi Metrics'!K239</f>
        <v/>
      </c>
      <c r="F99" s="22">
        <f>IF(OR(D99="",E99=""),"",D99-E99)</f>
        <v/>
      </c>
      <c r="G99" s="21">
        <f>'Semi Metrics'!L381</f>
        <v/>
      </c>
      <c r="H99" s="20">
        <f>'Semi Metrics'!L665</f>
        <v/>
      </c>
      <c r="I99" s="20">
        <f>'Semi Metrics'!L523</f>
        <v/>
      </c>
      <c r="J99" s="21">
        <f>'Semi Metrics'!M239</f>
        <v/>
      </c>
      <c r="K99" s="21">
        <f>'Semi Metrics'!L807</f>
        <v/>
      </c>
      <c r="L99" s="23">
        <f>'Semi Metrics'!L949</f>
        <v/>
      </c>
      <c r="M99" s="21">
        <f>'Semi Metrics'!L1091</f>
        <v/>
      </c>
      <c r="N99" s="21">
        <f>'Semi Metrics'!L1233</f>
        <v/>
      </c>
      <c r="O99" s="24">
        <f>IFERROR(IF(AND(N(D99)&gt;0,N(M99)&gt;0),M99/D99,""),"")</f>
        <v/>
      </c>
      <c r="P99" s="21">
        <f>'Semi Metrics'!L1375</f>
        <v/>
      </c>
      <c r="Q99" s="23">
        <f>'Semi Metrics'!L1517</f>
        <v/>
      </c>
      <c r="R99" s="25">
        <f>'Semi Revisions'!G97</f>
        <v/>
      </c>
      <c r="S99" s="25">
        <f>'Semi Revisions'!H97</f>
        <v/>
      </c>
      <c r="T99" s="25">
        <f>'Semi Revisions'!I97</f>
        <v/>
      </c>
      <c r="U99" s="25">
        <f>'Semi Revisions'!O97</f>
        <v/>
      </c>
      <c r="V99" s="25">
        <f>'Semi Revisions'!P97</f>
        <v/>
      </c>
      <c r="W99" s="25">
        <f>'Semi Revisions'!Q97</f>
        <v/>
      </c>
      <c r="X99" s="26">
        <f>IFERROR(RANK(D99,D$8:D$146),"")</f>
        <v/>
      </c>
      <c r="Y99" s="26">
        <f>IFERROR(RANK(S99,S$8:S$146),"")</f>
        <v/>
      </c>
    </row>
    <row r="100">
      <c r="A100" s="19">
        <f>'Semi Rev'!$A97</f>
        <v/>
      </c>
      <c r="B100" s="19">
        <f>'Semi Rev'!$B97</f>
        <v/>
      </c>
      <c r="C100" s="20">
        <f>IF(ISNUMBER('Semi Rev'!P97),'Semi Rev'!P97,"")</f>
        <v/>
      </c>
      <c r="D100" s="21">
        <f>'Semi Metrics'!L240</f>
        <v/>
      </c>
      <c r="E100" s="21">
        <f>'Semi Metrics'!K240</f>
        <v/>
      </c>
      <c r="F100" s="22">
        <f>IF(OR(D100="",E100=""),"",D100-E100)</f>
        <v/>
      </c>
      <c r="G100" s="21">
        <f>'Semi Metrics'!L382</f>
        <v/>
      </c>
      <c r="H100" s="20">
        <f>'Semi Metrics'!L666</f>
        <v/>
      </c>
      <c r="I100" s="20">
        <f>'Semi Metrics'!L524</f>
        <v/>
      </c>
      <c r="J100" s="21">
        <f>'Semi Metrics'!M240</f>
        <v/>
      </c>
      <c r="K100" s="21">
        <f>'Semi Metrics'!L808</f>
        <v/>
      </c>
      <c r="L100" s="23">
        <f>'Semi Metrics'!L950</f>
        <v/>
      </c>
      <c r="M100" s="21">
        <f>'Semi Metrics'!L1092</f>
        <v/>
      </c>
      <c r="N100" s="21">
        <f>'Semi Metrics'!L1234</f>
        <v/>
      </c>
      <c r="O100" s="24">
        <f>IFERROR(IF(AND(N(D100)&gt;0,N(M100)&gt;0),M100/D100,""),"")</f>
        <v/>
      </c>
      <c r="P100" s="21">
        <f>'Semi Metrics'!L1376</f>
        <v/>
      </c>
      <c r="Q100" s="23">
        <f>'Semi Metrics'!L1518</f>
        <v/>
      </c>
      <c r="R100" s="25">
        <f>'Semi Revisions'!G98</f>
        <v/>
      </c>
      <c r="S100" s="25">
        <f>'Semi Revisions'!H98</f>
        <v/>
      </c>
      <c r="T100" s="25">
        <f>'Semi Revisions'!I98</f>
        <v/>
      </c>
      <c r="U100" s="25">
        <f>'Semi Revisions'!O98</f>
        <v/>
      </c>
      <c r="V100" s="25">
        <f>'Semi Revisions'!P98</f>
        <v/>
      </c>
      <c r="W100" s="25">
        <f>'Semi Revisions'!Q98</f>
        <v/>
      </c>
      <c r="X100" s="26">
        <f>IFERROR(RANK(D100,D$8:D$146),"")</f>
        <v/>
      </c>
      <c r="Y100" s="26">
        <f>IFERROR(RANK(S100,S$8:S$146),"")</f>
        <v/>
      </c>
    </row>
    <row r="101">
      <c r="A101" s="19">
        <f>'Semi Rev'!$A98</f>
        <v/>
      </c>
      <c r="B101" s="19">
        <f>'Semi Rev'!$B98</f>
        <v/>
      </c>
      <c r="C101" s="20">
        <f>IF(ISNUMBER('Semi Rev'!P98),'Semi Rev'!P98,"")</f>
        <v/>
      </c>
      <c r="D101" s="21">
        <f>'Semi Metrics'!L241</f>
        <v/>
      </c>
      <c r="E101" s="21">
        <f>'Semi Metrics'!K241</f>
        <v/>
      </c>
      <c r="F101" s="22">
        <f>IF(OR(D101="",E101=""),"",D101-E101)</f>
        <v/>
      </c>
      <c r="G101" s="21">
        <f>'Semi Metrics'!L383</f>
        <v/>
      </c>
      <c r="H101" s="20">
        <f>'Semi Metrics'!L667</f>
        <v/>
      </c>
      <c r="I101" s="20">
        <f>'Semi Metrics'!L525</f>
        <v/>
      </c>
      <c r="J101" s="21">
        <f>'Semi Metrics'!M241</f>
        <v/>
      </c>
      <c r="K101" s="21">
        <f>'Semi Metrics'!L809</f>
        <v/>
      </c>
      <c r="L101" s="23">
        <f>'Semi Metrics'!L951</f>
        <v/>
      </c>
      <c r="M101" s="21">
        <f>'Semi Metrics'!L1093</f>
        <v/>
      </c>
      <c r="N101" s="21">
        <f>'Semi Metrics'!L1235</f>
        <v/>
      </c>
      <c r="O101" s="24">
        <f>IFERROR(IF(AND(N(D101)&gt;0,N(M101)&gt;0),M101/D101,""),"")</f>
        <v/>
      </c>
      <c r="P101" s="21">
        <f>'Semi Metrics'!L1377</f>
        <v/>
      </c>
      <c r="Q101" s="23">
        <f>'Semi Metrics'!L1519</f>
        <v/>
      </c>
      <c r="R101" s="25">
        <f>'Semi Revisions'!G99</f>
        <v/>
      </c>
      <c r="S101" s="25">
        <f>'Semi Revisions'!H99</f>
        <v/>
      </c>
      <c r="T101" s="25">
        <f>'Semi Revisions'!I99</f>
        <v/>
      </c>
      <c r="U101" s="25">
        <f>'Semi Revisions'!O99</f>
        <v/>
      </c>
      <c r="V101" s="25">
        <f>'Semi Revisions'!P99</f>
        <v/>
      </c>
      <c r="W101" s="25">
        <f>'Semi Revisions'!Q99</f>
        <v/>
      </c>
      <c r="X101" s="26">
        <f>IFERROR(RANK(D101,D$8:D$146),"")</f>
        <v/>
      </c>
      <c r="Y101" s="26">
        <f>IFERROR(RANK(S101,S$8:S$146),"")</f>
        <v/>
      </c>
    </row>
    <row r="102">
      <c r="A102" s="19">
        <f>'Semi Rev'!$A99</f>
        <v/>
      </c>
      <c r="B102" s="19">
        <f>'Semi Rev'!$B99</f>
        <v/>
      </c>
      <c r="C102" s="20">
        <f>IF(ISNUMBER('Semi Rev'!P99),'Semi Rev'!P99,"")</f>
        <v/>
      </c>
      <c r="D102" s="21">
        <f>'Semi Metrics'!L242</f>
        <v/>
      </c>
      <c r="E102" s="21">
        <f>'Semi Metrics'!K242</f>
        <v/>
      </c>
      <c r="F102" s="22">
        <f>IF(OR(D102="",E102=""),"",D102-E102)</f>
        <v/>
      </c>
      <c r="G102" s="21">
        <f>'Semi Metrics'!L384</f>
        <v/>
      </c>
      <c r="H102" s="20">
        <f>'Semi Metrics'!L668</f>
        <v/>
      </c>
      <c r="I102" s="20">
        <f>'Semi Metrics'!L526</f>
        <v/>
      </c>
      <c r="J102" s="21">
        <f>'Semi Metrics'!M242</f>
        <v/>
      </c>
      <c r="K102" s="21">
        <f>'Semi Metrics'!L810</f>
        <v/>
      </c>
      <c r="L102" s="23">
        <f>'Semi Metrics'!L952</f>
        <v/>
      </c>
      <c r="M102" s="21">
        <f>'Semi Metrics'!L1094</f>
        <v/>
      </c>
      <c r="N102" s="21">
        <f>'Semi Metrics'!L1236</f>
        <v/>
      </c>
      <c r="O102" s="24">
        <f>IFERROR(IF(AND(N(D102)&gt;0,N(M102)&gt;0),M102/D102,""),"")</f>
        <v/>
      </c>
      <c r="P102" s="21">
        <f>'Semi Metrics'!L1378</f>
        <v/>
      </c>
      <c r="Q102" s="23">
        <f>'Semi Metrics'!L1520</f>
        <v/>
      </c>
      <c r="R102" s="25">
        <f>'Semi Revisions'!G100</f>
        <v/>
      </c>
      <c r="S102" s="25">
        <f>'Semi Revisions'!H100</f>
        <v/>
      </c>
      <c r="T102" s="25">
        <f>'Semi Revisions'!I100</f>
        <v/>
      </c>
      <c r="U102" s="25">
        <f>'Semi Revisions'!O100</f>
        <v/>
      </c>
      <c r="V102" s="25">
        <f>'Semi Revisions'!P100</f>
        <v/>
      </c>
      <c r="W102" s="25">
        <f>'Semi Revisions'!Q100</f>
        <v/>
      </c>
      <c r="X102" s="26">
        <f>IFERROR(RANK(D102,D$8:D$146),"")</f>
        <v/>
      </c>
      <c r="Y102" s="26">
        <f>IFERROR(RANK(S102,S$8:S$146),"")</f>
        <v/>
      </c>
    </row>
    <row r="103">
      <c r="A103" s="19">
        <f>'Semi Rev'!$A100</f>
        <v/>
      </c>
      <c r="B103" s="19">
        <f>'Semi Rev'!$B100</f>
        <v/>
      </c>
      <c r="C103" s="20">
        <f>IF(ISNUMBER('Semi Rev'!P100),'Semi Rev'!P100,"")</f>
        <v/>
      </c>
      <c r="D103" s="21">
        <f>'Semi Metrics'!L243</f>
        <v/>
      </c>
      <c r="E103" s="21">
        <f>'Semi Metrics'!K243</f>
        <v/>
      </c>
      <c r="F103" s="22">
        <f>IF(OR(D103="",E103=""),"",D103-E103)</f>
        <v/>
      </c>
      <c r="G103" s="21">
        <f>'Semi Metrics'!L385</f>
        <v/>
      </c>
      <c r="H103" s="20">
        <f>'Semi Metrics'!L669</f>
        <v/>
      </c>
      <c r="I103" s="20">
        <f>'Semi Metrics'!L527</f>
        <v/>
      </c>
      <c r="J103" s="21">
        <f>'Semi Metrics'!M243</f>
        <v/>
      </c>
      <c r="K103" s="21">
        <f>'Semi Metrics'!L811</f>
        <v/>
      </c>
      <c r="L103" s="23">
        <f>'Semi Metrics'!L953</f>
        <v/>
      </c>
      <c r="M103" s="21">
        <f>'Semi Metrics'!L1095</f>
        <v/>
      </c>
      <c r="N103" s="21">
        <f>'Semi Metrics'!L1237</f>
        <v/>
      </c>
      <c r="O103" s="24">
        <f>IFERROR(IF(AND(N(D103)&gt;0,N(M103)&gt;0),M103/D103,""),"")</f>
        <v/>
      </c>
      <c r="P103" s="21">
        <f>'Semi Metrics'!L1379</f>
        <v/>
      </c>
      <c r="Q103" s="23">
        <f>'Semi Metrics'!L1521</f>
        <v/>
      </c>
      <c r="R103" s="25">
        <f>'Semi Revisions'!G101</f>
        <v/>
      </c>
      <c r="S103" s="25">
        <f>'Semi Revisions'!H101</f>
        <v/>
      </c>
      <c r="T103" s="25">
        <f>'Semi Revisions'!I101</f>
        <v/>
      </c>
      <c r="U103" s="25">
        <f>'Semi Revisions'!O101</f>
        <v/>
      </c>
      <c r="V103" s="25">
        <f>'Semi Revisions'!P101</f>
        <v/>
      </c>
      <c r="W103" s="25">
        <f>'Semi Revisions'!Q101</f>
        <v/>
      </c>
      <c r="X103" s="26">
        <f>IFERROR(RANK(D103,D$8:D$146),"")</f>
        <v/>
      </c>
      <c r="Y103" s="26">
        <f>IFERROR(RANK(S103,S$8:S$146),"")</f>
        <v/>
      </c>
    </row>
    <row r="104">
      <c r="A104" s="19">
        <f>'Semi Rev'!$A101</f>
        <v/>
      </c>
      <c r="B104" s="19">
        <f>'Semi Rev'!$B101</f>
        <v/>
      </c>
      <c r="C104" s="20">
        <f>IF(ISNUMBER('Semi Rev'!P101),'Semi Rev'!P101,"")</f>
        <v/>
      </c>
      <c r="D104" s="21">
        <f>'Semi Metrics'!L244</f>
        <v/>
      </c>
      <c r="E104" s="21">
        <f>'Semi Metrics'!K244</f>
        <v/>
      </c>
      <c r="F104" s="22">
        <f>IF(OR(D104="",E104=""),"",D104-E104)</f>
        <v/>
      </c>
      <c r="G104" s="21">
        <f>'Semi Metrics'!L386</f>
        <v/>
      </c>
      <c r="H104" s="20">
        <f>'Semi Metrics'!L670</f>
        <v/>
      </c>
      <c r="I104" s="20">
        <f>'Semi Metrics'!L528</f>
        <v/>
      </c>
      <c r="J104" s="21">
        <f>'Semi Metrics'!M244</f>
        <v/>
      </c>
      <c r="K104" s="21">
        <f>'Semi Metrics'!L812</f>
        <v/>
      </c>
      <c r="L104" s="23">
        <f>'Semi Metrics'!L954</f>
        <v/>
      </c>
      <c r="M104" s="21">
        <f>'Semi Metrics'!L1096</f>
        <v/>
      </c>
      <c r="N104" s="21">
        <f>'Semi Metrics'!L1238</f>
        <v/>
      </c>
      <c r="O104" s="24">
        <f>IFERROR(IF(AND(N(D104)&gt;0,N(M104)&gt;0),M104/D104,""),"")</f>
        <v/>
      </c>
      <c r="P104" s="21">
        <f>'Semi Metrics'!L1380</f>
        <v/>
      </c>
      <c r="Q104" s="23">
        <f>'Semi Metrics'!L1522</f>
        <v/>
      </c>
      <c r="R104" s="25">
        <f>'Semi Revisions'!G102</f>
        <v/>
      </c>
      <c r="S104" s="25">
        <f>'Semi Revisions'!H102</f>
        <v/>
      </c>
      <c r="T104" s="25">
        <f>'Semi Revisions'!I102</f>
        <v/>
      </c>
      <c r="U104" s="25">
        <f>'Semi Revisions'!O102</f>
        <v/>
      </c>
      <c r="V104" s="25">
        <f>'Semi Revisions'!P102</f>
        <v/>
      </c>
      <c r="W104" s="25">
        <f>'Semi Revisions'!Q102</f>
        <v/>
      </c>
      <c r="X104" s="26">
        <f>IFERROR(RANK(D104,D$8:D$146),"")</f>
        <v/>
      </c>
      <c r="Y104" s="26">
        <f>IFERROR(RANK(S104,S$8:S$146),"")</f>
        <v/>
      </c>
    </row>
    <row r="105">
      <c r="A105" s="19">
        <f>'Semi Rev'!$A102</f>
        <v/>
      </c>
      <c r="B105" s="19">
        <f>'Semi Rev'!$B102</f>
        <v/>
      </c>
      <c r="C105" s="20">
        <f>IF(ISNUMBER('Semi Rev'!P102),'Semi Rev'!P102,"")</f>
        <v/>
      </c>
      <c r="D105" s="21">
        <f>'Semi Metrics'!L245</f>
        <v/>
      </c>
      <c r="E105" s="21">
        <f>'Semi Metrics'!K245</f>
        <v/>
      </c>
      <c r="F105" s="22">
        <f>IF(OR(D105="",E105=""),"",D105-E105)</f>
        <v/>
      </c>
      <c r="G105" s="21">
        <f>'Semi Metrics'!L387</f>
        <v/>
      </c>
      <c r="H105" s="20">
        <f>'Semi Metrics'!L671</f>
        <v/>
      </c>
      <c r="I105" s="20">
        <f>'Semi Metrics'!L529</f>
        <v/>
      </c>
      <c r="J105" s="21">
        <f>'Semi Metrics'!M245</f>
        <v/>
      </c>
      <c r="K105" s="21">
        <f>'Semi Metrics'!L813</f>
        <v/>
      </c>
      <c r="L105" s="23">
        <f>'Semi Metrics'!L955</f>
        <v/>
      </c>
      <c r="M105" s="21">
        <f>'Semi Metrics'!L1097</f>
        <v/>
      </c>
      <c r="N105" s="21">
        <f>'Semi Metrics'!L1239</f>
        <v/>
      </c>
      <c r="O105" s="24">
        <f>IFERROR(IF(AND(N(D105)&gt;0,N(M105)&gt;0),M105/D105,""),"")</f>
        <v/>
      </c>
      <c r="P105" s="21">
        <f>'Semi Metrics'!L1381</f>
        <v/>
      </c>
      <c r="Q105" s="23">
        <f>'Semi Metrics'!L1523</f>
        <v/>
      </c>
      <c r="R105" s="25">
        <f>'Semi Revisions'!G103</f>
        <v/>
      </c>
      <c r="S105" s="25">
        <f>'Semi Revisions'!H103</f>
        <v/>
      </c>
      <c r="T105" s="25">
        <f>'Semi Revisions'!I103</f>
        <v/>
      </c>
      <c r="U105" s="25">
        <f>'Semi Revisions'!O103</f>
        <v/>
      </c>
      <c r="V105" s="25">
        <f>'Semi Revisions'!P103</f>
        <v/>
      </c>
      <c r="W105" s="25">
        <f>'Semi Revisions'!Q103</f>
        <v/>
      </c>
      <c r="X105" s="26">
        <f>IFERROR(RANK(D105,D$8:D$146),"")</f>
        <v/>
      </c>
      <c r="Y105" s="26">
        <f>IFERROR(RANK(S105,S$8:S$146),"")</f>
        <v/>
      </c>
    </row>
    <row r="106">
      <c r="A106" s="19">
        <f>'Semi Rev'!$A103</f>
        <v/>
      </c>
      <c r="B106" s="19">
        <f>'Semi Rev'!$B103</f>
        <v/>
      </c>
      <c r="C106" s="20">
        <f>IF(ISNUMBER('Semi Rev'!P103),'Semi Rev'!P103,"")</f>
        <v/>
      </c>
      <c r="D106" s="21">
        <f>'Semi Metrics'!L246</f>
        <v/>
      </c>
      <c r="E106" s="21">
        <f>'Semi Metrics'!K246</f>
        <v/>
      </c>
      <c r="F106" s="22">
        <f>IF(OR(D106="",E106=""),"",D106-E106)</f>
        <v/>
      </c>
      <c r="G106" s="21">
        <f>'Semi Metrics'!L388</f>
        <v/>
      </c>
      <c r="H106" s="20">
        <f>'Semi Metrics'!L672</f>
        <v/>
      </c>
      <c r="I106" s="20">
        <f>'Semi Metrics'!L530</f>
        <v/>
      </c>
      <c r="J106" s="21">
        <f>'Semi Metrics'!M246</f>
        <v/>
      </c>
      <c r="K106" s="21">
        <f>'Semi Metrics'!L814</f>
        <v/>
      </c>
      <c r="L106" s="23">
        <f>'Semi Metrics'!L956</f>
        <v/>
      </c>
      <c r="M106" s="21">
        <f>'Semi Metrics'!L1098</f>
        <v/>
      </c>
      <c r="N106" s="21">
        <f>'Semi Metrics'!L1240</f>
        <v/>
      </c>
      <c r="O106" s="24">
        <f>IFERROR(IF(AND(N(D106)&gt;0,N(M106)&gt;0),M106/D106,""),"")</f>
        <v/>
      </c>
      <c r="P106" s="21">
        <f>'Semi Metrics'!L1382</f>
        <v/>
      </c>
      <c r="Q106" s="23">
        <f>'Semi Metrics'!L1524</f>
        <v/>
      </c>
      <c r="R106" s="25">
        <f>'Semi Revisions'!G104</f>
        <v/>
      </c>
      <c r="S106" s="25">
        <f>'Semi Revisions'!H104</f>
        <v/>
      </c>
      <c r="T106" s="25">
        <f>'Semi Revisions'!I104</f>
        <v/>
      </c>
      <c r="U106" s="25">
        <f>'Semi Revisions'!O104</f>
        <v/>
      </c>
      <c r="V106" s="25">
        <f>'Semi Revisions'!P104</f>
        <v/>
      </c>
      <c r="W106" s="25">
        <f>'Semi Revisions'!Q104</f>
        <v/>
      </c>
      <c r="X106" s="26">
        <f>IFERROR(RANK(D106,D$8:D$146),"")</f>
        <v/>
      </c>
      <c r="Y106" s="26">
        <f>IFERROR(RANK(S106,S$8:S$146),"")</f>
        <v/>
      </c>
    </row>
    <row r="107">
      <c r="A107" s="19">
        <f>'Semi Rev'!$A104</f>
        <v/>
      </c>
      <c r="B107" s="19">
        <f>'Semi Rev'!$B104</f>
        <v/>
      </c>
      <c r="C107" s="20">
        <f>IF(ISNUMBER('Semi Rev'!P104),'Semi Rev'!P104,"")</f>
        <v/>
      </c>
      <c r="D107" s="21">
        <f>'Semi Metrics'!L247</f>
        <v/>
      </c>
      <c r="E107" s="21">
        <f>'Semi Metrics'!K247</f>
        <v/>
      </c>
      <c r="F107" s="22">
        <f>IF(OR(D107="",E107=""),"",D107-E107)</f>
        <v/>
      </c>
      <c r="G107" s="21">
        <f>'Semi Metrics'!L389</f>
        <v/>
      </c>
      <c r="H107" s="20">
        <f>'Semi Metrics'!L673</f>
        <v/>
      </c>
      <c r="I107" s="20">
        <f>'Semi Metrics'!L531</f>
        <v/>
      </c>
      <c r="J107" s="21">
        <f>'Semi Metrics'!M247</f>
        <v/>
      </c>
      <c r="K107" s="21">
        <f>'Semi Metrics'!L815</f>
        <v/>
      </c>
      <c r="L107" s="23">
        <f>'Semi Metrics'!L957</f>
        <v/>
      </c>
      <c r="M107" s="21">
        <f>'Semi Metrics'!L1099</f>
        <v/>
      </c>
      <c r="N107" s="21">
        <f>'Semi Metrics'!L1241</f>
        <v/>
      </c>
      <c r="O107" s="24">
        <f>IFERROR(IF(AND(N(D107)&gt;0,N(M107)&gt;0),M107/D107,""),"")</f>
        <v/>
      </c>
      <c r="P107" s="21">
        <f>'Semi Metrics'!L1383</f>
        <v/>
      </c>
      <c r="Q107" s="23">
        <f>'Semi Metrics'!L1525</f>
        <v/>
      </c>
      <c r="R107" s="25">
        <f>'Semi Revisions'!G105</f>
        <v/>
      </c>
      <c r="S107" s="25">
        <f>'Semi Revisions'!H105</f>
        <v/>
      </c>
      <c r="T107" s="25">
        <f>'Semi Revisions'!I105</f>
        <v/>
      </c>
      <c r="U107" s="25">
        <f>'Semi Revisions'!O105</f>
        <v/>
      </c>
      <c r="V107" s="25">
        <f>'Semi Revisions'!P105</f>
        <v/>
      </c>
      <c r="W107" s="25">
        <f>'Semi Revisions'!Q105</f>
        <v/>
      </c>
      <c r="X107" s="26">
        <f>IFERROR(RANK(D107,D$8:D$146),"")</f>
        <v/>
      </c>
      <c r="Y107" s="26">
        <f>IFERROR(RANK(S107,S$8:S$146),"")</f>
        <v/>
      </c>
    </row>
    <row r="108">
      <c r="A108" s="19">
        <f>'Semi Rev'!$A105</f>
        <v/>
      </c>
      <c r="B108" s="19">
        <f>'Semi Rev'!$B105</f>
        <v/>
      </c>
      <c r="C108" s="20">
        <f>IF(ISNUMBER('Semi Rev'!P105),'Semi Rev'!P105,"")</f>
        <v/>
      </c>
      <c r="D108" s="21">
        <f>'Semi Metrics'!L248</f>
        <v/>
      </c>
      <c r="E108" s="21">
        <f>'Semi Metrics'!K248</f>
        <v/>
      </c>
      <c r="F108" s="22">
        <f>IF(OR(D108="",E108=""),"",D108-E108)</f>
        <v/>
      </c>
      <c r="G108" s="21">
        <f>'Semi Metrics'!L390</f>
        <v/>
      </c>
      <c r="H108" s="20">
        <f>'Semi Metrics'!L674</f>
        <v/>
      </c>
      <c r="I108" s="20">
        <f>'Semi Metrics'!L532</f>
        <v/>
      </c>
      <c r="J108" s="21">
        <f>'Semi Metrics'!M248</f>
        <v/>
      </c>
      <c r="K108" s="21">
        <f>'Semi Metrics'!L816</f>
        <v/>
      </c>
      <c r="L108" s="23">
        <f>'Semi Metrics'!L958</f>
        <v/>
      </c>
      <c r="M108" s="21">
        <f>'Semi Metrics'!L1100</f>
        <v/>
      </c>
      <c r="N108" s="21">
        <f>'Semi Metrics'!L1242</f>
        <v/>
      </c>
      <c r="O108" s="24">
        <f>IFERROR(IF(AND(N(D108)&gt;0,N(M108)&gt;0),M108/D108,""),"")</f>
        <v/>
      </c>
      <c r="P108" s="21">
        <f>'Semi Metrics'!L1384</f>
        <v/>
      </c>
      <c r="Q108" s="23">
        <f>'Semi Metrics'!L1526</f>
        <v/>
      </c>
      <c r="R108" s="25">
        <f>'Semi Revisions'!G106</f>
        <v/>
      </c>
      <c r="S108" s="25">
        <f>'Semi Revisions'!H106</f>
        <v/>
      </c>
      <c r="T108" s="25">
        <f>'Semi Revisions'!I106</f>
        <v/>
      </c>
      <c r="U108" s="25">
        <f>'Semi Revisions'!O106</f>
        <v/>
      </c>
      <c r="V108" s="25">
        <f>'Semi Revisions'!P106</f>
        <v/>
      </c>
      <c r="W108" s="25">
        <f>'Semi Revisions'!Q106</f>
        <v/>
      </c>
      <c r="X108" s="26">
        <f>IFERROR(RANK(D108,D$8:D$146),"")</f>
        <v/>
      </c>
      <c r="Y108" s="26">
        <f>IFERROR(RANK(S108,S$8:S$146),"")</f>
        <v/>
      </c>
    </row>
    <row r="109">
      <c r="A109" s="19">
        <f>'Semi Rev'!$A106</f>
        <v/>
      </c>
      <c r="B109" s="19">
        <f>'Semi Rev'!$B106</f>
        <v/>
      </c>
      <c r="C109" s="20">
        <f>IF(ISNUMBER('Semi Rev'!P106),'Semi Rev'!P106,"")</f>
        <v/>
      </c>
      <c r="D109" s="21">
        <f>'Semi Metrics'!L249</f>
        <v/>
      </c>
      <c r="E109" s="21">
        <f>'Semi Metrics'!K249</f>
        <v/>
      </c>
      <c r="F109" s="22">
        <f>IF(OR(D109="",E109=""),"",D109-E109)</f>
        <v/>
      </c>
      <c r="G109" s="21">
        <f>'Semi Metrics'!L391</f>
        <v/>
      </c>
      <c r="H109" s="20">
        <f>'Semi Metrics'!L675</f>
        <v/>
      </c>
      <c r="I109" s="20">
        <f>'Semi Metrics'!L533</f>
        <v/>
      </c>
      <c r="J109" s="21">
        <f>'Semi Metrics'!M249</f>
        <v/>
      </c>
      <c r="K109" s="21">
        <f>'Semi Metrics'!L817</f>
        <v/>
      </c>
      <c r="L109" s="23">
        <f>'Semi Metrics'!L959</f>
        <v/>
      </c>
      <c r="M109" s="21">
        <f>'Semi Metrics'!L1101</f>
        <v/>
      </c>
      <c r="N109" s="21">
        <f>'Semi Metrics'!L1243</f>
        <v/>
      </c>
      <c r="O109" s="24">
        <f>IFERROR(IF(AND(N(D109)&gt;0,N(M109)&gt;0),M109/D109,""),"")</f>
        <v/>
      </c>
      <c r="P109" s="21">
        <f>'Semi Metrics'!L1385</f>
        <v/>
      </c>
      <c r="Q109" s="23">
        <f>'Semi Metrics'!L1527</f>
        <v/>
      </c>
      <c r="R109" s="25">
        <f>'Semi Revisions'!G107</f>
        <v/>
      </c>
      <c r="S109" s="25">
        <f>'Semi Revisions'!H107</f>
        <v/>
      </c>
      <c r="T109" s="25">
        <f>'Semi Revisions'!I107</f>
        <v/>
      </c>
      <c r="U109" s="25">
        <f>'Semi Revisions'!O107</f>
        <v/>
      </c>
      <c r="V109" s="25">
        <f>'Semi Revisions'!P107</f>
        <v/>
      </c>
      <c r="W109" s="25">
        <f>'Semi Revisions'!Q107</f>
        <v/>
      </c>
      <c r="X109" s="26">
        <f>IFERROR(RANK(D109,D$8:D$146),"")</f>
        <v/>
      </c>
      <c r="Y109" s="26">
        <f>IFERROR(RANK(S109,S$8:S$146),"")</f>
        <v/>
      </c>
    </row>
    <row r="110">
      <c r="A110" s="19">
        <f>'Semi Rev'!$A107</f>
        <v/>
      </c>
      <c r="B110" s="19">
        <f>'Semi Rev'!$B107</f>
        <v/>
      </c>
      <c r="C110" s="20">
        <f>IF(ISNUMBER('Semi Rev'!P107),'Semi Rev'!P107,"")</f>
        <v/>
      </c>
      <c r="D110" s="21">
        <f>'Semi Metrics'!L250</f>
        <v/>
      </c>
      <c r="E110" s="21">
        <f>'Semi Metrics'!K250</f>
        <v/>
      </c>
      <c r="F110" s="22">
        <f>IF(OR(D110="",E110=""),"",D110-E110)</f>
        <v/>
      </c>
      <c r="G110" s="21">
        <f>'Semi Metrics'!L392</f>
        <v/>
      </c>
      <c r="H110" s="20">
        <f>'Semi Metrics'!L676</f>
        <v/>
      </c>
      <c r="I110" s="20">
        <f>'Semi Metrics'!L534</f>
        <v/>
      </c>
      <c r="J110" s="21">
        <f>'Semi Metrics'!M250</f>
        <v/>
      </c>
      <c r="K110" s="21">
        <f>'Semi Metrics'!L818</f>
        <v/>
      </c>
      <c r="L110" s="23">
        <f>'Semi Metrics'!L960</f>
        <v/>
      </c>
      <c r="M110" s="21">
        <f>'Semi Metrics'!L1102</f>
        <v/>
      </c>
      <c r="N110" s="21">
        <f>'Semi Metrics'!L1244</f>
        <v/>
      </c>
      <c r="O110" s="24">
        <f>IFERROR(IF(AND(N(D110)&gt;0,N(M110)&gt;0),M110/D110,""),"")</f>
        <v/>
      </c>
      <c r="P110" s="21">
        <f>'Semi Metrics'!L1386</f>
        <v/>
      </c>
      <c r="Q110" s="23">
        <f>'Semi Metrics'!L1528</f>
        <v/>
      </c>
      <c r="R110" s="25">
        <f>'Semi Revisions'!G108</f>
        <v/>
      </c>
      <c r="S110" s="25">
        <f>'Semi Revisions'!H108</f>
        <v/>
      </c>
      <c r="T110" s="25">
        <f>'Semi Revisions'!I108</f>
        <v/>
      </c>
      <c r="U110" s="25">
        <f>'Semi Revisions'!O108</f>
        <v/>
      </c>
      <c r="V110" s="25">
        <f>'Semi Revisions'!P108</f>
        <v/>
      </c>
      <c r="W110" s="25">
        <f>'Semi Revisions'!Q108</f>
        <v/>
      </c>
      <c r="X110" s="26">
        <f>IFERROR(RANK(D110,D$8:D$146),"")</f>
        <v/>
      </c>
      <c r="Y110" s="26">
        <f>IFERROR(RANK(S110,S$8:S$146),"")</f>
        <v/>
      </c>
    </row>
    <row r="111">
      <c r="A111" s="19">
        <f>'Semi Rev'!$A108</f>
        <v/>
      </c>
      <c r="B111" s="19">
        <f>'Semi Rev'!$B108</f>
        <v/>
      </c>
      <c r="C111" s="20">
        <f>IF(ISNUMBER('Semi Rev'!P108),'Semi Rev'!P108,"")</f>
        <v/>
      </c>
      <c r="D111" s="21">
        <f>'Semi Metrics'!L251</f>
        <v/>
      </c>
      <c r="E111" s="21">
        <f>'Semi Metrics'!K251</f>
        <v/>
      </c>
      <c r="F111" s="22">
        <f>IF(OR(D111="",E111=""),"",D111-E111)</f>
        <v/>
      </c>
      <c r="G111" s="21">
        <f>'Semi Metrics'!L393</f>
        <v/>
      </c>
      <c r="H111" s="20">
        <f>'Semi Metrics'!L677</f>
        <v/>
      </c>
      <c r="I111" s="20">
        <f>'Semi Metrics'!L535</f>
        <v/>
      </c>
      <c r="J111" s="21">
        <f>'Semi Metrics'!M251</f>
        <v/>
      </c>
      <c r="K111" s="21">
        <f>'Semi Metrics'!L819</f>
        <v/>
      </c>
      <c r="L111" s="23">
        <f>'Semi Metrics'!L961</f>
        <v/>
      </c>
      <c r="M111" s="21">
        <f>'Semi Metrics'!L1103</f>
        <v/>
      </c>
      <c r="N111" s="21">
        <f>'Semi Metrics'!L1245</f>
        <v/>
      </c>
      <c r="O111" s="24">
        <f>IFERROR(IF(AND(N(D111)&gt;0,N(M111)&gt;0),M111/D111,""),"")</f>
        <v/>
      </c>
      <c r="P111" s="21">
        <f>'Semi Metrics'!L1387</f>
        <v/>
      </c>
      <c r="Q111" s="23">
        <f>'Semi Metrics'!L1529</f>
        <v/>
      </c>
      <c r="R111" s="25">
        <f>'Semi Revisions'!G109</f>
        <v/>
      </c>
      <c r="S111" s="25">
        <f>'Semi Revisions'!H109</f>
        <v/>
      </c>
      <c r="T111" s="25">
        <f>'Semi Revisions'!I109</f>
        <v/>
      </c>
      <c r="U111" s="25">
        <f>'Semi Revisions'!O109</f>
        <v/>
      </c>
      <c r="V111" s="25">
        <f>'Semi Revisions'!P109</f>
        <v/>
      </c>
      <c r="W111" s="25">
        <f>'Semi Revisions'!Q109</f>
        <v/>
      </c>
      <c r="X111" s="26">
        <f>IFERROR(RANK(D111,D$8:D$146),"")</f>
        <v/>
      </c>
      <c r="Y111" s="26">
        <f>IFERROR(RANK(S111,S$8:S$146),"")</f>
        <v/>
      </c>
    </row>
    <row r="112">
      <c r="A112" s="19">
        <f>'Semi Rev'!$A109</f>
        <v/>
      </c>
      <c r="B112" s="19">
        <f>'Semi Rev'!$B109</f>
        <v/>
      </c>
      <c r="C112" s="20">
        <f>IF(ISNUMBER('Semi Rev'!P109),'Semi Rev'!P109,"")</f>
        <v/>
      </c>
      <c r="D112" s="21">
        <f>'Semi Metrics'!L252</f>
        <v/>
      </c>
      <c r="E112" s="21">
        <f>'Semi Metrics'!K252</f>
        <v/>
      </c>
      <c r="F112" s="22">
        <f>IF(OR(D112="",E112=""),"",D112-E112)</f>
        <v/>
      </c>
      <c r="G112" s="21">
        <f>'Semi Metrics'!L394</f>
        <v/>
      </c>
      <c r="H112" s="20">
        <f>'Semi Metrics'!L678</f>
        <v/>
      </c>
      <c r="I112" s="20">
        <f>'Semi Metrics'!L536</f>
        <v/>
      </c>
      <c r="J112" s="21">
        <f>'Semi Metrics'!M252</f>
        <v/>
      </c>
      <c r="K112" s="21">
        <f>'Semi Metrics'!L820</f>
        <v/>
      </c>
      <c r="L112" s="23">
        <f>'Semi Metrics'!L962</f>
        <v/>
      </c>
      <c r="M112" s="21">
        <f>'Semi Metrics'!L1104</f>
        <v/>
      </c>
      <c r="N112" s="21">
        <f>'Semi Metrics'!L1246</f>
        <v/>
      </c>
      <c r="O112" s="24">
        <f>IFERROR(IF(AND(N(D112)&gt;0,N(M112)&gt;0),M112/D112,""),"")</f>
        <v/>
      </c>
      <c r="P112" s="21">
        <f>'Semi Metrics'!L1388</f>
        <v/>
      </c>
      <c r="Q112" s="23">
        <f>'Semi Metrics'!L1530</f>
        <v/>
      </c>
      <c r="R112" s="25">
        <f>'Semi Revisions'!G110</f>
        <v/>
      </c>
      <c r="S112" s="25">
        <f>'Semi Revisions'!H110</f>
        <v/>
      </c>
      <c r="T112" s="25">
        <f>'Semi Revisions'!I110</f>
        <v/>
      </c>
      <c r="U112" s="25">
        <f>'Semi Revisions'!O110</f>
        <v/>
      </c>
      <c r="V112" s="25">
        <f>'Semi Revisions'!P110</f>
        <v/>
      </c>
      <c r="W112" s="25">
        <f>'Semi Revisions'!Q110</f>
        <v/>
      </c>
      <c r="X112" s="26">
        <f>IFERROR(RANK(D112,D$8:D$146),"")</f>
        <v/>
      </c>
      <c r="Y112" s="26">
        <f>IFERROR(RANK(S112,S$8:S$146),"")</f>
        <v/>
      </c>
    </row>
    <row r="113">
      <c r="A113" s="19">
        <f>'Semi Rev'!$A110</f>
        <v/>
      </c>
      <c r="B113" s="19">
        <f>'Semi Rev'!$B110</f>
        <v/>
      </c>
      <c r="C113" s="20">
        <f>IF(ISNUMBER('Semi Rev'!P110),'Semi Rev'!P110,"")</f>
        <v/>
      </c>
      <c r="D113" s="21">
        <f>'Semi Metrics'!L253</f>
        <v/>
      </c>
      <c r="E113" s="21">
        <f>'Semi Metrics'!K253</f>
        <v/>
      </c>
      <c r="F113" s="22">
        <f>IF(OR(D113="",E113=""),"",D113-E113)</f>
        <v/>
      </c>
      <c r="G113" s="21">
        <f>'Semi Metrics'!L395</f>
        <v/>
      </c>
      <c r="H113" s="20">
        <f>'Semi Metrics'!L679</f>
        <v/>
      </c>
      <c r="I113" s="20">
        <f>'Semi Metrics'!L537</f>
        <v/>
      </c>
      <c r="J113" s="21">
        <f>'Semi Metrics'!M253</f>
        <v/>
      </c>
      <c r="K113" s="21">
        <f>'Semi Metrics'!L821</f>
        <v/>
      </c>
      <c r="L113" s="23">
        <f>'Semi Metrics'!L963</f>
        <v/>
      </c>
      <c r="M113" s="21">
        <f>'Semi Metrics'!L1105</f>
        <v/>
      </c>
      <c r="N113" s="21">
        <f>'Semi Metrics'!L1247</f>
        <v/>
      </c>
      <c r="O113" s="24">
        <f>IFERROR(IF(AND(N(D113)&gt;0,N(M113)&gt;0),M113/D113,""),"")</f>
        <v/>
      </c>
      <c r="P113" s="21">
        <f>'Semi Metrics'!L1389</f>
        <v/>
      </c>
      <c r="Q113" s="23">
        <f>'Semi Metrics'!L1531</f>
        <v/>
      </c>
      <c r="R113" s="25">
        <f>'Semi Revisions'!G111</f>
        <v/>
      </c>
      <c r="S113" s="25">
        <f>'Semi Revisions'!H111</f>
        <v/>
      </c>
      <c r="T113" s="25">
        <f>'Semi Revisions'!I111</f>
        <v/>
      </c>
      <c r="U113" s="25">
        <f>'Semi Revisions'!O111</f>
        <v/>
      </c>
      <c r="V113" s="25">
        <f>'Semi Revisions'!P111</f>
        <v/>
      </c>
      <c r="W113" s="25">
        <f>'Semi Revisions'!Q111</f>
        <v/>
      </c>
      <c r="X113" s="26">
        <f>IFERROR(RANK(D113,D$8:D$146),"")</f>
        <v/>
      </c>
      <c r="Y113" s="26">
        <f>IFERROR(RANK(S113,S$8:S$146),"")</f>
        <v/>
      </c>
    </row>
    <row r="114">
      <c r="A114" s="19">
        <f>'Semi Rev'!$A111</f>
        <v/>
      </c>
      <c r="B114" s="19">
        <f>'Semi Rev'!$B111</f>
        <v/>
      </c>
      <c r="C114" s="20">
        <f>IF(ISNUMBER('Semi Rev'!P111),'Semi Rev'!P111,"")</f>
        <v/>
      </c>
      <c r="D114" s="21">
        <f>'Semi Metrics'!L254</f>
        <v/>
      </c>
      <c r="E114" s="21">
        <f>'Semi Metrics'!K254</f>
        <v/>
      </c>
      <c r="F114" s="22">
        <f>IF(OR(D114="",E114=""),"",D114-E114)</f>
        <v/>
      </c>
      <c r="G114" s="21">
        <f>'Semi Metrics'!L396</f>
        <v/>
      </c>
      <c r="H114" s="20">
        <f>'Semi Metrics'!L680</f>
        <v/>
      </c>
      <c r="I114" s="20">
        <f>'Semi Metrics'!L538</f>
        <v/>
      </c>
      <c r="J114" s="21">
        <f>'Semi Metrics'!M254</f>
        <v/>
      </c>
      <c r="K114" s="21">
        <f>'Semi Metrics'!L822</f>
        <v/>
      </c>
      <c r="L114" s="23">
        <f>'Semi Metrics'!L964</f>
        <v/>
      </c>
      <c r="M114" s="21">
        <f>'Semi Metrics'!L1106</f>
        <v/>
      </c>
      <c r="N114" s="21">
        <f>'Semi Metrics'!L1248</f>
        <v/>
      </c>
      <c r="O114" s="24">
        <f>IFERROR(IF(AND(N(D114)&gt;0,N(M114)&gt;0),M114/D114,""),"")</f>
        <v/>
      </c>
      <c r="P114" s="21">
        <f>'Semi Metrics'!L1390</f>
        <v/>
      </c>
      <c r="Q114" s="23">
        <f>'Semi Metrics'!L1532</f>
        <v/>
      </c>
      <c r="R114" s="25">
        <f>'Semi Revisions'!G112</f>
        <v/>
      </c>
      <c r="S114" s="25">
        <f>'Semi Revisions'!H112</f>
        <v/>
      </c>
      <c r="T114" s="25">
        <f>'Semi Revisions'!I112</f>
        <v/>
      </c>
      <c r="U114" s="25">
        <f>'Semi Revisions'!O112</f>
        <v/>
      </c>
      <c r="V114" s="25">
        <f>'Semi Revisions'!P112</f>
        <v/>
      </c>
      <c r="W114" s="25">
        <f>'Semi Revisions'!Q112</f>
        <v/>
      </c>
      <c r="X114" s="26">
        <f>IFERROR(RANK(D114,D$8:D$146),"")</f>
        <v/>
      </c>
      <c r="Y114" s="26">
        <f>IFERROR(RANK(S114,S$8:S$146),"")</f>
        <v/>
      </c>
    </row>
    <row r="115">
      <c r="A115" s="19">
        <f>'Semi Rev'!$A112</f>
        <v/>
      </c>
      <c r="B115" s="19">
        <f>'Semi Rev'!$B112</f>
        <v/>
      </c>
      <c r="C115" s="20">
        <f>IF(ISNUMBER('Semi Rev'!P112),'Semi Rev'!P112,"")</f>
        <v/>
      </c>
      <c r="D115" s="21">
        <f>'Semi Metrics'!L255</f>
        <v/>
      </c>
      <c r="E115" s="21">
        <f>'Semi Metrics'!K255</f>
        <v/>
      </c>
      <c r="F115" s="22">
        <f>IF(OR(D115="",E115=""),"",D115-E115)</f>
        <v/>
      </c>
      <c r="G115" s="21">
        <f>'Semi Metrics'!L397</f>
        <v/>
      </c>
      <c r="H115" s="20">
        <f>'Semi Metrics'!L681</f>
        <v/>
      </c>
      <c r="I115" s="20">
        <f>'Semi Metrics'!L539</f>
        <v/>
      </c>
      <c r="J115" s="21">
        <f>'Semi Metrics'!M255</f>
        <v/>
      </c>
      <c r="K115" s="21">
        <f>'Semi Metrics'!L823</f>
        <v/>
      </c>
      <c r="L115" s="23">
        <f>'Semi Metrics'!L965</f>
        <v/>
      </c>
      <c r="M115" s="21">
        <f>'Semi Metrics'!L1107</f>
        <v/>
      </c>
      <c r="N115" s="21">
        <f>'Semi Metrics'!L1249</f>
        <v/>
      </c>
      <c r="O115" s="24">
        <f>IFERROR(IF(AND(N(D115)&gt;0,N(M115)&gt;0),M115/D115,""),"")</f>
        <v/>
      </c>
      <c r="P115" s="21">
        <f>'Semi Metrics'!L1391</f>
        <v/>
      </c>
      <c r="Q115" s="23">
        <f>'Semi Metrics'!L1533</f>
        <v/>
      </c>
      <c r="R115" s="25">
        <f>'Semi Revisions'!G113</f>
        <v/>
      </c>
      <c r="S115" s="25">
        <f>'Semi Revisions'!H113</f>
        <v/>
      </c>
      <c r="T115" s="25">
        <f>'Semi Revisions'!I113</f>
        <v/>
      </c>
      <c r="U115" s="25">
        <f>'Semi Revisions'!O113</f>
        <v/>
      </c>
      <c r="V115" s="25">
        <f>'Semi Revisions'!P113</f>
        <v/>
      </c>
      <c r="W115" s="25">
        <f>'Semi Revisions'!Q113</f>
        <v/>
      </c>
      <c r="X115" s="26">
        <f>IFERROR(RANK(D115,D$8:D$146),"")</f>
        <v/>
      </c>
      <c r="Y115" s="26">
        <f>IFERROR(RANK(S115,S$8:S$146),"")</f>
        <v/>
      </c>
    </row>
    <row r="116">
      <c r="A116" s="19">
        <f>'Semi Rev'!$A113</f>
        <v/>
      </c>
      <c r="B116" s="19">
        <f>'Semi Rev'!$B113</f>
        <v/>
      </c>
      <c r="C116" s="20">
        <f>IF(ISNUMBER('Semi Rev'!P113),'Semi Rev'!P113,"")</f>
        <v/>
      </c>
      <c r="D116" s="21">
        <f>'Semi Metrics'!L256</f>
        <v/>
      </c>
      <c r="E116" s="21">
        <f>'Semi Metrics'!K256</f>
        <v/>
      </c>
      <c r="F116" s="22">
        <f>IF(OR(D116="",E116=""),"",D116-E116)</f>
        <v/>
      </c>
      <c r="G116" s="21">
        <f>'Semi Metrics'!L398</f>
        <v/>
      </c>
      <c r="H116" s="20">
        <f>'Semi Metrics'!L682</f>
        <v/>
      </c>
      <c r="I116" s="20">
        <f>'Semi Metrics'!L540</f>
        <v/>
      </c>
      <c r="J116" s="21">
        <f>'Semi Metrics'!M256</f>
        <v/>
      </c>
      <c r="K116" s="21">
        <f>'Semi Metrics'!L824</f>
        <v/>
      </c>
      <c r="L116" s="23">
        <f>'Semi Metrics'!L966</f>
        <v/>
      </c>
      <c r="M116" s="21">
        <f>'Semi Metrics'!L1108</f>
        <v/>
      </c>
      <c r="N116" s="21">
        <f>'Semi Metrics'!L1250</f>
        <v/>
      </c>
      <c r="O116" s="24">
        <f>IFERROR(IF(AND(N(D116)&gt;0,N(M116)&gt;0),M116/D116,""),"")</f>
        <v/>
      </c>
      <c r="P116" s="21">
        <f>'Semi Metrics'!L1392</f>
        <v/>
      </c>
      <c r="Q116" s="23">
        <f>'Semi Metrics'!L1534</f>
        <v/>
      </c>
      <c r="R116" s="25">
        <f>'Semi Revisions'!G114</f>
        <v/>
      </c>
      <c r="S116" s="25">
        <f>'Semi Revisions'!H114</f>
        <v/>
      </c>
      <c r="T116" s="25">
        <f>'Semi Revisions'!I114</f>
        <v/>
      </c>
      <c r="U116" s="25">
        <f>'Semi Revisions'!O114</f>
        <v/>
      </c>
      <c r="V116" s="25">
        <f>'Semi Revisions'!P114</f>
        <v/>
      </c>
      <c r="W116" s="25">
        <f>'Semi Revisions'!Q114</f>
        <v/>
      </c>
      <c r="X116" s="26">
        <f>IFERROR(RANK(D116,D$8:D$146),"")</f>
        <v/>
      </c>
      <c r="Y116" s="26">
        <f>IFERROR(RANK(S116,S$8:S$146),"")</f>
        <v/>
      </c>
    </row>
    <row r="117">
      <c r="A117" s="19">
        <f>'Semi Rev'!$A114</f>
        <v/>
      </c>
      <c r="B117" s="19">
        <f>'Semi Rev'!$B114</f>
        <v/>
      </c>
      <c r="C117" s="20">
        <f>IF(ISNUMBER('Semi Rev'!P114),'Semi Rev'!P114,"")</f>
        <v/>
      </c>
      <c r="D117" s="21">
        <f>'Semi Metrics'!L257</f>
        <v/>
      </c>
      <c r="E117" s="21">
        <f>'Semi Metrics'!K257</f>
        <v/>
      </c>
      <c r="F117" s="22">
        <f>IF(OR(D117="",E117=""),"",D117-E117)</f>
        <v/>
      </c>
      <c r="G117" s="21">
        <f>'Semi Metrics'!L399</f>
        <v/>
      </c>
      <c r="H117" s="20">
        <f>'Semi Metrics'!L683</f>
        <v/>
      </c>
      <c r="I117" s="20">
        <f>'Semi Metrics'!L541</f>
        <v/>
      </c>
      <c r="J117" s="21">
        <f>'Semi Metrics'!M257</f>
        <v/>
      </c>
      <c r="K117" s="21">
        <f>'Semi Metrics'!L825</f>
        <v/>
      </c>
      <c r="L117" s="23">
        <f>'Semi Metrics'!L967</f>
        <v/>
      </c>
      <c r="M117" s="21">
        <f>'Semi Metrics'!L1109</f>
        <v/>
      </c>
      <c r="N117" s="21">
        <f>'Semi Metrics'!L1251</f>
        <v/>
      </c>
      <c r="O117" s="24">
        <f>IFERROR(IF(AND(N(D117)&gt;0,N(M117)&gt;0),M117/D117,""),"")</f>
        <v/>
      </c>
      <c r="P117" s="21">
        <f>'Semi Metrics'!L1393</f>
        <v/>
      </c>
      <c r="Q117" s="23">
        <f>'Semi Metrics'!L1535</f>
        <v/>
      </c>
      <c r="R117" s="25">
        <f>'Semi Revisions'!G115</f>
        <v/>
      </c>
      <c r="S117" s="25">
        <f>'Semi Revisions'!H115</f>
        <v/>
      </c>
      <c r="T117" s="25">
        <f>'Semi Revisions'!I115</f>
        <v/>
      </c>
      <c r="U117" s="25">
        <f>'Semi Revisions'!O115</f>
        <v/>
      </c>
      <c r="V117" s="25">
        <f>'Semi Revisions'!P115</f>
        <v/>
      </c>
      <c r="W117" s="25">
        <f>'Semi Revisions'!Q115</f>
        <v/>
      </c>
      <c r="X117" s="26">
        <f>IFERROR(RANK(D117,D$8:D$146),"")</f>
        <v/>
      </c>
      <c r="Y117" s="26">
        <f>IFERROR(RANK(S117,S$8:S$146),"")</f>
        <v/>
      </c>
    </row>
    <row r="118">
      <c r="A118" s="19">
        <f>'Semi Rev'!$A115</f>
        <v/>
      </c>
      <c r="B118" s="19">
        <f>'Semi Rev'!$B115</f>
        <v/>
      </c>
      <c r="C118" s="20">
        <f>IF(ISNUMBER('Semi Rev'!P115),'Semi Rev'!P115,"")</f>
        <v/>
      </c>
      <c r="D118" s="21">
        <f>'Semi Metrics'!L258</f>
        <v/>
      </c>
      <c r="E118" s="21">
        <f>'Semi Metrics'!K258</f>
        <v/>
      </c>
      <c r="F118" s="22">
        <f>IF(OR(D118="",E118=""),"",D118-E118)</f>
        <v/>
      </c>
      <c r="G118" s="21">
        <f>'Semi Metrics'!L400</f>
        <v/>
      </c>
      <c r="H118" s="20">
        <f>'Semi Metrics'!L684</f>
        <v/>
      </c>
      <c r="I118" s="20">
        <f>'Semi Metrics'!L542</f>
        <v/>
      </c>
      <c r="J118" s="21">
        <f>'Semi Metrics'!M258</f>
        <v/>
      </c>
      <c r="K118" s="21">
        <f>'Semi Metrics'!L826</f>
        <v/>
      </c>
      <c r="L118" s="23">
        <f>'Semi Metrics'!L968</f>
        <v/>
      </c>
      <c r="M118" s="21">
        <f>'Semi Metrics'!L1110</f>
        <v/>
      </c>
      <c r="N118" s="21">
        <f>'Semi Metrics'!L1252</f>
        <v/>
      </c>
      <c r="O118" s="24">
        <f>IFERROR(IF(AND(N(D118)&gt;0,N(M118)&gt;0),M118/D118,""),"")</f>
        <v/>
      </c>
      <c r="P118" s="21">
        <f>'Semi Metrics'!L1394</f>
        <v/>
      </c>
      <c r="Q118" s="23">
        <f>'Semi Metrics'!L1536</f>
        <v/>
      </c>
      <c r="R118" s="25">
        <f>'Semi Revisions'!G116</f>
        <v/>
      </c>
      <c r="S118" s="25">
        <f>'Semi Revisions'!H116</f>
        <v/>
      </c>
      <c r="T118" s="25">
        <f>'Semi Revisions'!I116</f>
        <v/>
      </c>
      <c r="U118" s="25">
        <f>'Semi Revisions'!O116</f>
        <v/>
      </c>
      <c r="V118" s="25">
        <f>'Semi Revisions'!P116</f>
        <v/>
      </c>
      <c r="W118" s="25">
        <f>'Semi Revisions'!Q116</f>
        <v/>
      </c>
      <c r="X118" s="26">
        <f>IFERROR(RANK(D118,D$8:D$146),"")</f>
        <v/>
      </c>
      <c r="Y118" s="26">
        <f>IFERROR(RANK(S118,S$8:S$146),"")</f>
        <v/>
      </c>
    </row>
    <row r="119">
      <c r="A119" s="19">
        <f>'Semi Rev'!$A116</f>
        <v/>
      </c>
      <c r="B119" s="19">
        <f>'Semi Rev'!$B116</f>
        <v/>
      </c>
      <c r="C119" s="20">
        <f>IF(ISNUMBER('Semi Rev'!P116),'Semi Rev'!P116,"")</f>
        <v/>
      </c>
      <c r="D119" s="21">
        <f>'Semi Metrics'!L259</f>
        <v/>
      </c>
      <c r="E119" s="21">
        <f>'Semi Metrics'!K259</f>
        <v/>
      </c>
      <c r="F119" s="22">
        <f>IF(OR(D119="",E119=""),"",D119-E119)</f>
        <v/>
      </c>
      <c r="G119" s="21">
        <f>'Semi Metrics'!L401</f>
        <v/>
      </c>
      <c r="H119" s="20">
        <f>'Semi Metrics'!L685</f>
        <v/>
      </c>
      <c r="I119" s="20">
        <f>'Semi Metrics'!L543</f>
        <v/>
      </c>
      <c r="J119" s="21">
        <f>'Semi Metrics'!M259</f>
        <v/>
      </c>
      <c r="K119" s="21">
        <f>'Semi Metrics'!L827</f>
        <v/>
      </c>
      <c r="L119" s="23">
        <f>'Semi Metrics'!L969</f>
        <v/>
      </c>
      <c r="M119" s="21">
        <f>'Semi Metrics'!L1111</f>
        <v/>
      </c>
      <c r="N119" s="21">
        <f>'Semi Metrics'!L1253</f>
        <v/>
      </c>
      <c r="O119" s="24">
        <f>IFERROR(IF(AND(N(D119)&gt;0,N(M119)&gt;0),M119/D119,""),"")</f>
        <v/>
      </c>
      <c r="P119" s="21">
        <f>'Semi Metrics'!L1395</f>
        <v/>
      </c>
      <c r="Q119" s="23">
        <f>'Semi Metrics'!L1537</f>
        <v/>
      </c>
      <c r="R119" s="25">
        <f>'Semi Revisions'!G117</f>
        <v/>
      </c>
      <c r="S119" s="25">
        <f>'Semi Revisions'!H117</f>
        <v/>
      </c>
      <c r="T119" s="25">
        <f>'Semi Revisions'!I117</f>
        <v/>
      </c>
      <c r="U119" s="25">
        <f>'Semi Revisions'!O117</f>
        <v/>
      </c>
      <c r="V119" s="25">
        <f>'Semi Revisions'!P117</f>
        <v/>
      </c>
      <c r="W119" s="25">
        <f>'Semi Revisions'!Q117</f>
        <v/>
      </c>
      <c r="X119" s="26">
        <f>IFERROR(RANK(D119,D$8:D$146),"")</f>
        <v/>
      </c>
      <c r="Y119" s="26">
        <f>IFERROR(RANK(S119,S$8:S$146),"")</f>
        <v/>
      </c>
    </row>
    <row r="120">
      <c r="A120" s="19">
        <f>'Semi Rev'!$A117</f>
        <v/>
      </c>
      <c r="B120" s="19">
        <f>'Semi Rev'!$B117</f>
        <v/>
      </c>
      <c r="C120" s="20">
        <f>IF(ISNUMBER('Semi Rev'!P117),'Semi Rev'!P117,"")</f>
        <v/>
      </c>
      <c r="D120" s="21">
        <f>'Semi Metrics'!L260</f>
        <v/>
      </c>
      <c r="E120" s="21">
        <f>'Semi Metrics'!K260</f>
        <v/>
      </c>
      <c r="F120" s="22">
        <f>IF(OR(D120="",E120=""),"",D120-E120)</f>
        <v/>
      </c>
      <c r="G120" s="21">
        <f>'Semi Metrics'!L402</f>
        <v/>
      </c>
      <c r="H120" s="20">
        <f>'Semi Metrics'!L686</f>
        <v/>
      </c>
      <c r="I120" s="20">
        <f>'Semi Metrics'!L544</f>
        <v/>
      </c>
      <c r="J120" s="21">
        <f>'Semi Metrics'!M260</f>
        <v/>
      </c>
      <c r="K120" s="21">
        <f>'Semi Metrics'!L828</f>
        <v/>
      </c>
      <c r="L120" s="23">
        <f>'Semi Metrics'!L970</f>
        <v/>
      </c>
      <c r="M120" s="21">
        <f>'Semi Metrics'!L1112</f>
        <v/>
      </c>
      <c r="N120" s="21">
        <f>'Semi Metrics'!L1254</f>
        <v/>
      </c>
      <c r="O120" s="24">
        <f>IFERROR(IF(AND(N(D120)&gt;0,N(M120)&gt;0),M120/D120,""),"")</f>
        <v/>
      </c>
      <c r="P120" s="21">
        <f>'Semi Metrics'!L1396</f>
        <v/>
      </c>
      <c r="Q120" s="23">
        <f>'Semi Metrics'!L1538</f>
        <v/>
      </c>
      <c r="R120" s="25">
        <f>'Semi Revisions'!G118</f>
        <v/>
      </c>
      <c r="S120" s="25">
        <f>'Semi Revisions'!H118</f>
        <v/>
      </c>
      <c r="T120" s="25">
        <f>'Semi Revisions'!I118</f>
        <v/>
      </c>
      <c r="U120" s="25">
        <f>'Semi Revisions'!O118</f>
        <v/>
      </c>
      <c r="V120" s="25">
        <f>'Semi Revisions'!P118</f>
        <v/>
      </c>
      <c r="W120" s="25">
        <f>'Semi Revisions'!Q118</f>
        <v/>
      </c>
      <c r="X120" s="26">
        <f>IFERROR(RANK(D120,D$8:D$146),"")</f>
        <v/>
      </c>
      <c r="Y120" s="26">
        <f>IFERROR(RANK(S120,S$8:S$146),"")</f>
        <v/>
      </c>
    </row>
    <row r="121">
      <c r="A121" s="19">
        <f>'Semi Rev'!$A118</f>
        <v/>
      </c>
      <c r="B121" s="19">
        <f>'Semi Rev'!$B118</f>
        <v/>
      </c>
      <c r="C121" s="20">
        <f>IF(ISNUMBER('Semi Rev'!P118),'Semi Rev'!P118,"")</f>
        <v/>
      </c>
      <c r="D121" s="21">
        <f>'Semi Metrics'!L261</f>
        <v/>
      </c>
      <c r="E121" s="21">
        <f>'Semi Metrics'!K261</f>
        <v/>
      </c>
      <c r="F121" s="22">
        <f>IF(OR(D121="",E121=""),"",D121-E121)</f>
        <v/>
      </c>
      <c r="G121" s="21">
        <f>'Semi Metrics'!L403</f>
        <v/>
      </c>
      <c r="H121" s="20">
        <f>'Semi Metrics'!L687</f>
        <v/>
      </c>
      <c r="I121" s="20">
        <f>'Semi Metrics'!L545</f>
        <v/>
      </c>
      <c r="J121" s="21">
        <f>'Semi Metrics'!M261</f>
        <v/>
      </c>
      <c r="K121" s="21">
        <f>'Semi Metrics'!L829</f>
        <v/>
      </c>
      <c r="L121" s="23">
        <f>'Semi Metrics'!L971</f>
        <v/>
      </c>
      <c r="M121" s="21">
        <f>'Semi Metrics'!L1113</f>
        <v/>
      </c>
      <c r="N121" s="21">
        <f>'Semi Metrics'!L1255</f>
        <v/>
      </c>
      <c r="O121" s="24">
        <f>IFERROR(IF(AND(N(D121)&gt;0,N(M121)&gt;0),M121/D121,""),"")</f>
        <v/>
      </c>
      <c r="P121" s="21">
        <f>'Semi Metrics'!L1397</f>
        <v/>
      </c>
      <c r="Q121" s="23">
        <f>'Semi Metrics'!L1539</f>
        <v/>
      </c>
      <c r="R121" s="25">
        <f>'Semi Revisions'!G119</f>
        <v/>
      </c>
      <c r="S121" s="25">
        <f>'Semi Revisions'!H119</f>
        <v/>
      </c>
      <c r="T121" s="25">
        <f>'Semi Revisions'!I119</f>
        <v/>
      </c>
      <c r="U121" s="25">
        <f>'Semi Revisions'!O119</f>
        <v/>
      </c>
      <c r="V121" s="25">
        <f>'Semi Revisions'!P119</f>
        <v/>
      </c>
      <c r="W121" s="25">
        <f>'Semi Revisions'!Q119</f>
        <v/>
      </c>
      <c r="X121" s="26">
        <f>IFERROR(RANK(D121,D$8:D$146),"")</f>
        <v/>
      </c>
      <c r="Y121" s="26">
        <f>IFERROR(RANK(S121,S$8:S$146),"")</f>
        <v/>
      </c>
    </row>
    <row r="122">
      <c r="A122" s="19">
        <f>'Semi Rev'!$A119</f>
        <v/>
      </c>
      <c r="B122" s="19">
        <f>'Semi Rev'!$B119</f>
        <v/>
      </c>
      <c r="C122" s="20">
        <f>IF(ISNUMBER('Semi Rev'!P119),'Semi Rev'!P119,"")</f>
        <v/>
      </c>
      <c r="D122" s="21">
        <f>'Semi Metrics'!L262</f>
        <v/>
      </c>
      <c r="E122" s="21">
        <f>'Semi Metrics'!K262</f>
        <v/>
      </c>
      <c r="F122" s="22">
        <f>IF(OR(D122="",E122=""),"",D122-E122)</f>
        <v/>
      </c>
      <c r="G122" s="21">
        <f>'Semi Metrics'!L404</f>
        <v/>
      </c>
      <c r="H122" s="20">
        <f>'Semi Metrics'!L688</f>
        <v/>
      </c>
      <c r="I122" s="20">
        <f>'Semi Metrics'!L546</f>
        <v/>
      </c>
      <c r="J122" s="21">
        <f>'Semi Metrics'!M262</f>
        <v/>
      </c>
      <c r="K122" s="21">
        <f>'Semi Metrics'!L830</f>
        <v/>
      </c>
      <c r="L122" s="23">
        <f>'Semi Metrics'!L972</f>
        <v/>
      </c>
      <c r="M122" s="21">
        <f>'Semi Metrics'!L1114</f>
        <v/>
      </c>
      <c r="N122" s="21">
        <f>'Semi Metrics'!L1256</f>
        <v/>
      </c>
      <c r="O122" s="24">
        <f>IFERROR(IF(AND(N(D122)&gt;0,N(M122)&gt;0),M122/D122,""),"")</f>
        <v/>
      </c>
      <c r="P122" s="21">
        <f>'Semi Metrics'!L1398</f>
        <v/>
      </c>
      <c r="Q122" s="23">
        <f>'Semi Metrics'!L1540</f>
        <v/>
      </c>
      <c r="R122" s="25">
        <f>'Semi Revisions'!G120</f>
        <v/>
      </c>
      <c r="S122" s="25">
        <f>'Semi Revisions'!H120</f>
        <v/>
      </c>
      <c r="T122" s="25">
        <f>'Semi Revisions'!I120</f>
        <v/>
      </c>
      <c r="U122" s="25">
        <f>'Semi Revisions'!O120</f>
        <v/>
      </c>
      <c r="V122" s="25">
        <f>'Semi Revisions'!P120</f>
        <v/>
      </c>
      <c r="W122" s="25">
        <f>'Semi Revisions'!Q120</f>
        <v/>
      </c>
      <c r="X122" s="26">
        <f>IFERROR(RANK(D122,D$8:D$146),"")</f>
        <v/>
      </c>
      <c r="Y122" s="26">
        <f>IFERROR(RANK(S122,S$8:S$146),"")</f>
        <v/>
      </c>
    </row>
    <row r="123">
      <c r="A123" s="19">
        <f>'Semi Rev'!$A120</f>
        <v/>
      </c>
      <c r="B123" s="19">
        <f>'Semi Rev'!$B120</f>
        <v/>
      </c>
      <c r="C123" s="20">
        <f>IF(ISNUMBER('Semi Rev'!P120),'Semi Rev'!P120,"")</f>
        <v/>
      </c>
      <c r="D123" s="21">
        <f>'Semi Metrics'!L263</f>
        <v/>
      </c>
      <c r="E123" s="21">
        <f>'Semi Metrics'!K263</f>
        <v/>
      </c>
      <c r="F123" s="22">
        <f>IF(OR(D123="",E123=""),"",D123-E123)</f>
        <v/>
      </c>
      <c r="G123" s="21">
        <f>'Semi Metrics'!L405</f>
        <v/>
      </c>
      <c r="H123" s="20">
        <f>'Semi Metrics'!L689</f>
        <v/>
      </c>
      <c r="I123" s="20">
        <f>'Semi Metrics'!L547</f>
        <v/>
      </c>
      <c r="J123" s="21">
        <f>'Semi Metrics'!M263</f>
        <v/>
      </c>
      <c r="K123" s="21">
        <f>'Semi Metrics'!L831</f>
        <v/>
      </c>
      <c r="L123" s="23">
        <f>'Semi Metrics'!L973</f>
        <v/>
      </c>
      <c r="M123" s="21">
        <f>'Semi Metrics'!L1115</f>
        <v/>
      </c>
      <c r="N123" s="21">
        <f>'Semi Metrics'!L1257</f>
        <v/>
      </c>
      <c r="O123" s="24">
        <f>IFERROR(IF(AND(N(D123)&gt;0,N(M123)&gt;0),M123/D123,""),"")</f>
        <v/>
      </c>
      <c r="P123" s="21">
        <f>'Semi Metrics'!L1399</f>
        <v/>
      </c>
      <c r="Q123" s="23">
        <f>'Semi Metrics'!L1541</f>
        <v/>
      </c>
      <c r="R123" s="25">
        <f>'Semi Revisions'!G121</f>
        <v/>
      </c>
      <c r="S123" s="25">
        <f>'Semi Revisions'!H121</f>
        <v/>
      </c>
      <c r="T123" s="25">
        <f>'Semi Revisions'!I121</f>
        <v/>
      </c>
      <c r="U123" s="25">
        <f>'Semi Revisions'!O121</f>
        <v/>
      </c>
      <c r="V123" s="25">
        <f>'Semi Revisions'!P121</f>
        <v/>
      </c>
      <c r="W123" s="25">
        <f>'Semi Revisions'!Q121</f>
        <v/>
      </c>
      <c r="X123" s="26">
        <f>IFERROR(RANK(D123,D$8:D$146),"")</f>
        <v/>
      </c>
      <c r="Y123" s="26">
        <f>IFERROR(RANK(S123,S$8:S$146),"")</f>
        <v/>
      </c>
    </row>
    <row r="124">
      <c r="A124" s="19">
        <f>'Semi Rev'!$A121</f>
        <v/>
      </c>
      <c r="B124" s="19">
        <f>'Semi Rev'!$B121</f>
        <v/>
      </c>
      <c r="C124" s="20">
        <f>IF(ISNUMBER('Semi Rev'!P121),'Semi Rev'!P121,"")</f>
        <v/>
      </c>
      <c r="D124" s="21">
        <f>'Semi Metrics'!L264</f>
        <v/>
      </c>
      <c r="E124" s="21">
        <f>'Semi Metrics'!K264</f>
        <v/>
      </c>
      <c r="F124" s="22">
        <f>IF(OR(D124="",E124=""),"",D124-E124)</f>
        <v/>
      </c>
      <c r="G124" s="21">
        <f>'Semi Metrics'!L406</f>
        <v/>
      </c>
      <c r="H124" s="20">
        <f>'Semi Metrics'!L690</f>
        <v/>
      </c>
      <c r="I124" s="20">
        <f>'Semi Metrics'!L548</f>
        <v/>
      </c>
      <c r="J124" s="21">
        <f>'Semi Metrics'!M264</f>
        <v/>
      </c>
      <c r="K124" s="21">
        <f>'Semi Metrics'!L832</f>
        <v/>
      </c>
      <c r="L124" s="23">
        <f>'Semi Metrics'!L974</f>
        <v/>
      </c>
      <c r="M124" s="21">
        <f>'Semi Metrics'!L1116</f>
        <v/>
      </c>
      <c r="N124" s="21">
        <f>'Semi Metrics'!L1258</f>
        <v/>
      </c>
      <c r="O124" s="24">
        <f>IFERROR(IF(AND(N(D124)&gt;0,N(M124)&gt;0),M124/D124,""),"")</f>
        <v/>
      </c>
      <c r="P124" s="21">
        <f>'Semi Metrics'!L1400</f>
        <v/>
      </c>
      <c r="Q124" s="23">
        <f>'Semi Metrics'!L1542</f>
        <v/>
      </c>
      <c r="R124" s="25">
        <f>'Semi Revisions'!G122</f>
        <v/>
      </c>
      <c r="S124" s="25">
        <f>'Semi Revisions'!H122</f>
        <v/>
      </c>
      <c r="T124" s="25">
        <f>'Semi Revisions'!I122</f>
        <v/>
      </c>
      <c r="U124" s="25">
        <f>'Semi Revisions'!O122</f>
        <v/>
      </c>
      <c r="V124" s="25">
        <f>'Semi Revisions'!P122</f>
        <v/>
      </c>
      <c r="W124" s="25">
        <f>'Semi Revisions'!Q122</f>
        <v/>
      </c>
      <c r="X124" s="26">
        <f>IFERROR(RANK(D124,D$8:D$146),"")</f>
        <v/>
      </c>
      <c r="Y124" s="26">
        <f>IFERROR(RANK(S124,S$8:S$146),"")</f>
        <v/>
      </c>
    </row>
    <row r="125">
      <c r="A125" s="19">
        <f>'Semi Rev'!$A122</f>
        <v/>
      </c>
      <c r="B125" s="19">
        <f>'Semi Rev'!$B122</f>
        <v/>
      </c>
      <c r="C125" s="20">
        <f>IF(ISNUMBER('Semi Rev'!P122),'Semi Rev'!P122,"")</f>
        <v/>
      </c>
      <c r="D125" s="21">
        <f>'Semi Metrics'!L265</f>
        <v/>
      </c>
      <c r="E125" s="21">
        <f>'Semi Metrics'!K265</f>
        <v/>
      </c>
      <c r="F125" s="22">
        <f>IF(OR(D125="",E125=""),"",D125-E125)</f>
        <v/>
      </c>
      <c r="G125" s="21">
        <f>'Semi Metrics'!L407</f>
        <v/>
      </c>
      <c r="H125" s="20">
        <f>'Semi Metrics'!L691</f>
        <v/>
      </c>
      <c r="I125" s="20">
        <f>'Semi Metrics'!L549</f>
        <v/>
      </c>
      <c r="J125" s="21">
        <f>'Semi Metrics'!M265</f>
        <v/>
      </c>
      <c r="K125" s="21">
        <f>'Semi Metrics'!L833</f>
        <v/>
      </c>
      <c r="L125" s="23">
        <f>'Semi Metrics'!L975</f>
        <v/>
      </c>
      <c r="M125" s="21">
        <f>'Semi Metrics'!L1117</f>
        <v/>
      </c>
      <c r="N125" s="21">
        <f>'Semi Metrics'!L1259</f>
        <v/>
      </c>
      <c r="O125" s="24">
        <f>IFERROR(IF(AND(N(D125)&gt;0,N(M125)&gt;0),M125/D125,""),"")</f>
        <v/>
      </c>
      <c r="P125" s="21">
        <f>'Semi Metrics'!L1401</f>
        <v/>
      </c>
      <c r="Q125" s="23">
        <f>'Semi Metrics'!L1543</f>
        <v/>
      </c>
      <c r="R125" s="25">
        <f>'Semi Revisions'!G123</f>
        <v/>
      </c>
      <c r="S125" s="25">
        <f>'Semi Revisions'!H123</f>
        <v/>
      </c>
      <c r="T125" s="25">
        <f>'Semi Revisions'!I123</f>
        <v/>
      </c>
      <c r="U125" s="25">
        <f>'Semi Revisions'!O123</f>
        <v/>
      </c>
      <c r="V125" s="25">
        <f>'Semi Revisions'!P123</f>
        <v/>
      </c>
      <c r="W125" s="25">
        <f>'Semi Revisions'!Q123</f>
        <v/>
      </c>
      <c r="X125" s="26">
        <f>IFERROR(RANK(D125,D$8:D$146),"")</f>
        <v/>
      </c>
      <c r="Y125" s="26">
        <f>IFERROR(RANK(S125,S$8:S$146),"")</f>
        <v/>
      </c>
    </row>
    <row r="126">
      <c r="A126" s="19">
        <f>'Semi Rev'!$A123</f>
        <v/>
      </c>
      <c r="B126" s="19">
        <f>'Semi Rev'!$B123</f>
        <v/>
      </c>
      <c r="C126" s="20">
        <f>IF(ISNUMBER('Semi Rev'!P123),'Semi Rev'!P123,"")</f>
        <v/>
      </c>
      <c r="D126" s="21">
        <f>'Semi Metrics'!L266</f>
        <v/>
      </c>
      <c r="E126" s="21">
        <f>'Semi Metrics'!K266</f>
        <v/>
      </c>
      <c r="F126" s="22">
        <f>IF(OR(D126="",E126=""),"",D126-E126)</f>
        <v/>
      </c>
      <c r="G126" s="21">
        <f>'Semi Metrics'!L408</f>
        <v/>
      </c>
      <c r="H126" s="20">
        <f>'Semi Metrics'!L692</f>
        <v/>
      </c>
      <c r="I126" s="20">
        <f>'Semi Metrics'!L550</f>
        <v/>
      </c>
      <c r="J126" s="21">
        <f>'Semi Metrics'!M266</f>
        <v/>
      </c>
      <c r="K126" s="21">
        <f>'Semi Metrics'!L834</f>
        <v/>
      </c>
      <c r="L126" s="23">
        <f>'Semi Metrics'!L976</f>
        <v/>
      </c>
      <c r="M126" s="21">
        <f>'Semi Metrics'!L1118</f>
        <v/>
      </c>
      <c r="N126" s="21">
        <f>'Semi Metrics'!L1260</f>
        <v/>
      </c>
      <c r="O126" s="24">
        <f>IFERROR(IF(AND(N(D126)&gt;0,N(M126)&gt;0),M126/D126,""),"")</f>
        <v/>
      </c>
      <c r="P126" s="21">
        <f>'Semi Metrics'!L1402</f>
        <v/>
      </c>
      <c r="Q126" s="23">
        <f>'Semi Metrics'!L1544</f>
        <v/>
      </c>
      <c r="R126" s="25">
        <f>'Semi Revisions'!G124</f>
        <v/>
      </c>
      <c r="S126" s="25">
        <f>'Semi Revisions'!H124</f>
        <v/>
      </c>
      <c r="T126" s="25">
        <f>'Semi Revisions'!I124</f>
        <v/>
      </c>
      <c r="U126" s="25">
        <f>'Semi Revisions'!O124</f>
        <v/>
      </c>
      <c r="V126" s="25">
        <f>'Semi Revisions'!P124</f>
        <v/>
      </c>
      <c r="W126" s="25">
        <f>'Semi Revisions'!Q124</f>
        <v/>
      </c>
      <c r="X126" s="26">
        <f>IFERROR(RANK(D126,D$8:D$146),"")</f>
        <v/>
      </c>
      <c r="Y126" s="26">
        <f>IFERROR(RANK(S126,S$8:S$146),"")</f>
        <v/>
      </c>
    </row>
    <row r="127">
      <c r="A127" s="19">
        <f>'Semi Rev'!$A124</f>
        <v/>
      </c>
      <c r="B127" s="19">
        <f>'Semi Rev'!$B124</f>
        <v/>
      </c>
      <c r="C127" s="20">
        <f>IF(ISNUMBER('Semi Rev'!P124),'Semi Rev'!P124,"")</f>
        <v/>
      </c>
      <c r="D127" s="21">
        <f>'Semi Metrics'!L267</f>
        <v/>
      </c>
      <c r="E127" s="21">
        <f>'Semi Metrics'!K267</f>
        <v/>
      </c>
      <c r="F127" s="22">
        <f>IF(OR(D127="",E127=""),"",D127-E127)</f>
        <v/>
      </c>
      <c r="G127" s="21">
        <f>'Semi Metrics'!L409</f>
        <v/>
      </c>
      <c r="H127" s="20">
        <f>'Semi Metrics'!L693</f>
        <v/>
      </c>
      <c r="I127" s="20">
        <f>'Semi Metrics'!L551</f>
        <v/>
      </c>
      <c r="J127" s="21">
        <f>'Semi Metrics'!M267</f>
        <v/>
      </c>
      <c r="K127" s="21">
        <f>'Semi Metrics'!L835</f>
        <v/>
      </c>
      <c r="L127" s="23">
        <f>'Semi Metrics'!L977</f>
        <v/>
      </c>
      <c r="M127" s="21">
        <f>'Semi Metrics'!L1119</f>
        <v/>
      </c>
      <c r="N127" s="21">
        <f>'Semi Metrics'!L1261</f>
        <v/>
      </c>
      <c r="O127" s="24">
        <f>IFERROR(IF(AND(N(D127)&gt;0,N(M127)&gt;0),M127/D127,""),"")</f>
        <v/>
      </c>
      <c r="P127" s="21">
        <f>'Semi Metrics'!L1403</f>
        <v/>
      </c>
      <c r="Q127" s="23">
        <f>'Semi Metrics'!L1545</f>
        <v/>
      </c>
      <c r="R127" s="25">
        <f>'Semi Revisions'!G125</f>
        <v/>
      </c>
      <c r="S127" s="25">
        <f>'Semi Revisions'!H125</f>
        <v/>
      </c>
      <c r="T127" s="25">
        <f>'Semi Revisions'!I125</f>
        <v/>
      </c>
      <c r="U127" s="25">
        <f>'Semi Revisions'!O125</f>
        <v/>
      </c>
      <c r="V127" s="25">
        <f>'Semi Revisions'!P125</f>
        <v/>
      </c>
      <c r="W127" s="25">
        <f>'Semi Revisions'!Q125</f>
        <v/>
      </c>
      <c r="X127" s="26">
        <f>IFERROR(RANK(D127,D$8:D$146),"")</f>
        <v/>
      </c>
      <c r="Y127" s="26">
        <f>IFERROR(RANK(S127,S$8:S$146),"")</f>
        <v/>
      </c>
    </row>
    <row r="128">
      <c r="A128" s="19">
        <f>'Semi Rev'!$A125</f>
        <v/>
      </c>
      <c r="B128" s="19">
        <f>'Semi Rev'!$B125</f>
        <v/>
      </c>
      <c r="C128" s="20">
        <f>IF(ISNUMBER('Semi Rev'!P125),'Semi Rev'!P125,"")</f>
        <v/>
      </c>
      <c r="D128" s="21">
        <f>'Semi Metrics'!L268</f>
        <v/>
      </c>
      <c r="E128" s="21">
        <f>'Semi Metrics'!K268</f>
        <v/>
      </c>
      <c r="F128" s="22">
        <f>IF(OR(D128="",E128=""),"",D128-E128)</f>
        <v/>
      </c>
      <c r="G128" s="21">
        <f>'Semi Metrics'!L410</f>
        <v/>
      </c>
      <c r="H128" s="20">
        <f>'Semi Metrics'!L694</f>
        <v/>
      </c>
      <c r="I128" s="20">
        <f>'Semi Metrics'!L552</f>
        <v/>
      </c>
      <c r="J128" s="21">
        <f>'Semi Metrics'!M268</f>
        <v/>
      </c>
      <c r="K128" s="21">
        <f>'Semi Metrics'!L836</f>
        <v/>
      </c>
      <c r="L128" s="23">
        <f>'Semi Metrics'!L978</f>
        <v/>
      </c>
      <c r="M128" s="21">
        <f>'Semi Metrics'!L1120</f>
        <v/>
      </c>
      <c r="N128" s="21">
        <f>'Semi Metrics'!L1262</f>
        <v/>
      </c>
      <c r="O128" s="24">
        <f>IFERROR(IF(AND(N(D128)&gt;0,N(M128)&gt;0),M128/D128,""),"")</f>
        <v/>
      </c>
      <c r="P128" s="21">
        <f>'Semi Metrics'!L1404</f>
        <v/>
      </c>
      <c r="Q128" s="23">
        <f>'Semi Metrics'!L1546</f>
        <v/>
      </c>
      <c r="R128" s="25">
        <f>'Semi Revisions'!G126</f>
        <v/>
      </c>
      <c r="S128" s="25">
        <f>'Semi Revisions'!H126</f>
        <v/>
      </c>
      <c r="T128" s="25">
        <f>'Semi Revisions'!I126</f>
        <v/>
      </c>
      <c r="U128" s="25">
        <f>'Semi Revisions'!O126</f>
        <v/>
      </c>
      <c r="V128" s="25">
        <f>'Semi Revisions'!P126</f>
        <v/>
      </c>
      <c r="W128" s="25">
        <f>'Semi Revisions'!Q126</f>
        <v/>
      </c>
      <c r="X128" s="26">
        <f>IFERROR(RANK(D128,D$8:D$146),"")</f>
        <v/>
      </c>
      <c r="Y128" s="26">
        <f>IFERROR(RANK(S128,S$8:S$146),"")</f>
        <v/>
      </c>
    </row>
    <row r="129">
      <c r="A129" s="19">
        <f>'Semi Rev'!$A126</f>
        <v/>
      </c>
      <c r="B129" s="19">
        <f>'Semi Rev'!$B126</f>
        <v/>
      </c>
      <c r="C129" s="20">
        <f>IF(ISNUMBER('Semi Rev'!P126),'Semi Rev'!P126,"")</f>
        <v/>
      </c>
      <c r="D129" s="21">
        <f>'Semi Metrics'!L269</f>
        <v/>
      </c>
      <c r="E129" s="21">
        <f>'Semi Metrics'!K269</f>
        <v/>
      </c>
      <c r="F129" s="22">
        <f>IF(OR(D129="",E129=""),"",D129-E129)</f>
        <v/>
      </c>
      <c r="G129" s="21">
        <f>'Semi Metrics'!L411</f>
        <v/>
      </c>
      <c r="H129" s="20">
        <f>'Semi Metrics'!L695</f>
        <v/>
      </c>
      <c r="I129" s="20">
        <f>'Semi Metrics'!L553</f>
        <v/>
      </c>
      <c r="J129" s="21">
        <f>'Semi Metrics'!M269</f>
        <v/>
      </c>
      <c r="K129" s="21">
        <f>'Semi Metrics'!L837</f>
        <v/>
      </c>
      <c r="L129" s="23">
        <f>'Semi Metrics'!L979</f>
        <v/>
      </c>
      <c r="M129" s="21">
        <f>'Semi Metrics'!L1121</f>
        <v/>
      </c>
      <c r="N129" s="21">
        <f>'Semi Metrics'!L1263</f>
        <v/>
      </c>
      <c r="O129" s="24">
        <f>IFERROR(IF(AND(N(D129)&gt;0,N(M129)&gt;0),M129/D129,""),"")</f>
        <v/>
      </c>
      <c r="P129" s="21">
        <f>'Semi Metrics'!L1405</f>
        <v/>
      </c>
      <c r="Q129" s="23">
        <f>'Semi Metrics'!L1547</f>
        <v/>
      </c>
      <c r="R129" s="25">
        <f>'Semi Revisions'!G127</f>
        <v/>
      </c>
      <c r="S129" s="25">
        <f>'Semi Revisions'!H127</f>
        <v/>
      </c>
      <c r="T129" s="25">
        <f>'Semi Revisions'!I127</f>
        <v/>
      </c>
      <c r="U129" s="25">
        <f>'Semi Revisions'!O127</f>
        <v/>
      </c>
      <c r="V129" s="25">
        <f>'Semi Revisions'!P127</f>
        <v/>
      </c>
      <c r="W129" s="25">
        <f>'Semi Revisions'!Q127</f>
        <v/>
      </c>
      <c r="X129" s="26">
        <f>IFERROR(RANK(D129,D$8:D$146),"")</f>
        <v/>
      </c>
      <c r="Y129" s="26">
        <f>IFERROR(RANK(S129,S$8:S$146),"")</f>
        <v/>
      </c>
    </row>
    <row r="130">
      <c r="A130" s="19">
        <f>'Semi Rev'!$A127</f>
        <v/>
      </c>
      <c r="B130" s="19">
        <f>'Semi Rev'!$B127</f>
        <v/>
      </c>
      <c r="C130" s="20">
        <f>IF(ISNUMBER('Semi Rev'!P127),'Semi Rev'!P127,"")</f>
        <v/>
      </c>
      <c r="D130" s="21">
        <f>'Semi Metrics'!L270</f>
        <v/>
      </c>
      <c r="E130" s="21">
        <f>'Semi Metrics'!K270</f>
        <v/>
      </c>
      <c r="F130" s="22">
        <f>IF(OR(D130="",E130=""),"",D130-E130)</f>
        <v/>
      </c>
      <c r="G130" s="21">
        <f>'Semi Metrics'!L412</f>
        <v/>
      </c>
      <c r="H130" s="20">
        <f>'Semi Metrics'!L696</f>
        <v/>
      </c>
      <c r="I130" s="20">
        <f>'Semi Metrics'!L554</f>
        <v/>
      </c>
      <c r="J130" s="21">
        <f>'Semi Metrics'!M270</f>
        <v/>
      </c>
      <c r="K130" s="21">
        <f>'Semi Metrics'!L838</f>
        <v/>
      </c>
      <c r="L130" s="23">
        <f>'Semi Metrics'!L980</f>
        <v/>
      </c>
      <c r="M130" s="21">
        <f>'Semi Metrics'!L1122</f>
        <v/>
      </c>
      <c r="N130" s="21">
        <f>'Semi Metrics'!L1264</f>
        <v/>
      </c>
      <c r="O130" s="24">
        <f>IFERROR(IF(AND(N(D130)&gt;0,N(M130)&gt;0),M130/D130,""),"")</f>
        <v/>
      </c>
      <c r="P130" s="21">
        <f>'Semi Metrics'!L1406</f>
        <v/>
      </c>
      <c r="Q130" s="23">
        <f>'Semi Metrics'!L1548</f>
        <v/>
      </c>
      <c r="R130" s="25">
        <f>'Semi Revisions'!G128</f>
        <v/>
      </c>
      <c r="S130" s="25">
        <f>'Semi Revisions'!H128</f>
        <v/>
      </c>
      <c r="T130" s="25">
        <f>'Semi Revisions'!I128</f>
        <v/>
      </c>
      <c r="U130" s="25">
        <f>'Semi Revisions'!O128</f>
        <v/>
      </c>
      <c r="V130" s="25">
        <f>'Semi Revisions'!P128</f>
        <v/>
      </c>
      <c r="W130" s="25">
        <f>'Semi Revisions'!Q128</f>
        <v/>
      </c>
      <c r="X130" s="26">
        <f>IFERROR(RANK(D130,D$8:D$146),"")</f>
        <v/>
      </c>
      <c r="Y130" s="26">
        <f>IFERROR(RANK(S130,S$8:S$146),"")</f>
        <v/>
      </c>
    </row>
    <row r="131">
      <c r="A131" s="19">
        <f>'Semi Rev'!$A128</f>
        <v/>
      </c>
      <c r="B131" s="19">
        <f>'Semi Rev'!$B128</f>
        <v/>
      </c>
      <c r="C131" s="20">
        <f>IF(ISNUMBER('Semi Rev'!P128),'Semi Rev'!P128,"")</f>
        <v/>
      </c>
      <c r="D131" s="21">
        <f>'Semi Metrics'!L271</f>
        <v/>
      </c>
      <c r="E131" s="21">
        <f>'Semi Metrics'!K271</f>
        <v/>
      </c>
      <c r="F131" s="22">
        <f>IF(OR(D131="",E131=""),"",D131-E131)</f>
        <v/>
      </c>
      <c r="G131" s="21">
        <f>'Semi Metrics'!L413</f>
        <v/>
      </c>
      <c r="H131" s="20">
        <f>'Semi Metrics'!L697</f>
        <v/>
      </c>
      <c r="I131" s="20">
        <f>'Semi Metrics'!L555</f>
        <v/>
      </c>
      <c r="J131" s="21">
        <f>'Semi Metrics'!M271</f>
        <v/>
      </c>
      <c r="K131" s="21">
        <f>'Semi Metrics'!L839</f>
        <v/>
      </c>
      <c r="L131" s="23">
        <f>'Semi Metrics'!L981</f>
        <v/>
      </c>
      <c r="M131" s="21">
        <f>'Semi Metrics'!L1123</f>
        <v/>
      </c>
      <c r="N131" s="21">
        <f>'Semi Metrics'!L1265</f>
        <v/>
      </c>
      <c r="O131" s="24">
        <f>IFERROR(IF(AND(N(D131)&gt;0,N(M131)&gt;0),M131/D131,""),"")</f>
        <v/>
      </c>
      <c r="P131" s="21">
        <f>'Semi Metrics'!L1407</f>
        <v/>
      </c>
      <c r="Q131" s="23">
        <f>'Semi Metrics'!L1549</f>
        <v/>
      </c>
      <c r="R131" s="25">
        <f>'Semi Revisions'!G129</f>
        <v/>
      </c>
      <c r="S131" s="25">
        <f>'Semi Revisions'!H129</f>
        <v/>
      </c>
      <c r="T131" s="25">
        <f>'Semi Revisions'!I129</f>
        <v/>
      </c>
      <c r="U131" s="25">
        <f>'Semi Revisions'!O129</f>
        <v/>
      </c>
      <c r="V131" s="25">
        <f>'Semi Revisions'!P129</f>
        <v/>
      </c>
      <c r="W131" s="25">
        <f>'Semi Revisions'!Q129</f>
        <v/>
      </c>
      <c r="X131" s="26">
        <f>IFERROR(RANK(D131,D$8:D$146),"")</f>
        <v/>
      </c>
      <c r="Y131" s="26">
        <f>IFERROR(RANK(S131,S$8:S$146),"")</f>
        <v/>
      </c>
    </row>
    <row r="132">
      <c r="A132" s="19">
        <f>'Semi Rev'!$A129</f>
        <v/>
      </c>
      <c r="B132" s="19">
        <f>'Semi Rev'!$B129</f>
        <v/>
      </c>
      <c r="C132" s="20">
        <f>IF(ISNUMBER('Semi Rev'!P129),'Semi Rev'!P129,"")</f>
        <v/>
      </c>
      <c r="D132" s="21">
        <f>'Semi Metrics'!L272</f>
        <v/>
      </c>
      <c r="E132" s="21">
        <f>'Semi Metrics'!K272</f>
        <v/>
      </c>
      <c r="F132" s="22">
        <f>IF(OR(D132="",E132=""),"",D132-E132)</f>
        <v/>
      </c>
      <c r="G132" s="21">
        <f>'Semi Metrics'!L414</f>
        <v/>
      </c>
      <c r="H132" s="20">
        <f>'Semi Metrics'!L698</f>
        <v/>
      </c>
      <c r="I132" s="20">
        <f>'Semi Metrics'!L556</f>
        <v/>
      </c>
      <c r="J132" s="21">
        <f>'Semi Metrics'!M272</f>
        <v/>
      </c>
      <c r="K132" s="21">
        <f>'Semi Metrics'!L840</f>
        <v/>
      </c>
      <c r="L132" s="23">
        <f>'Semi Metrics'!L982</f>
        <v/>
      </c>
      <c r="M132" s="21">
        <f>'Semi Metrics'!L1124</f>
        <v/>
      </c>
      <c r="N132" s="21">
        <f>'Semi Metrics'!L1266</f>
        <v/>
      </c>
      <c r="O132" s="24">
        <f>IFERROR(IF(AND(N(D132)&gt;0,N(M132)&gt;0),M132/D132,""),"")</f>
        <v/>
      </c>
      <c r="P132" s="21">
        <f>'Semi Metrics'!L1408</f>
        <v/>
      </c>
      <c r="Q132" s="23">
        <f>'Semi Metrics'!L1550</f>
        <v/>
      </c>
      <c r="R132" s="25">
        <f>'Semi Revisions'!G130</f>
        <v/>
      </c>
      <c r="S132" s="25">
        <f>'Semi Revisions'!H130</f>
        <v/>
      </c>
      <c r="T132" s="25">
        <f>'Semi Revisions'!I130</f>
        <v/>
      </c>
      <c r="U132" s="25">
        <f>'Semi Revisions'!O130</f>
        <v/>
      </c>
      <c r="V132" s="25">
        <f>'Semi Revisions'!P130</f>
        <v/>
      </c>
      <c r="W132" s="25">
        <f>'Semi Revisions'!Q130</f>
        <v/>
      </c>
      <c r="X132" s="26">
        <f>IFERROR(RANK(D132,D$8:D$146),"")</f>
        <v/>
      </c>
      <c r="Y132" s="26">
        <f>IFERROR(RANK(S132,S$8:S$146),"")</f>
        <v/>
      </c>
    </row>
    <row r="133">
      <c r="A133" s="19">
        <f>'Semi Rev'!$A130</f>
        <v/>
      </c>
      <c r="B133" s="19">
        <f>'Semi Rev'!$B130</f>
        <v/>
      </c>
      <c r="C133" s="20">
        <f>IF(ISNUMBER('Semi Rev'!P130),'Semi Rev'!P130,"")</f>
        <v/>
      </c>
      <c r="D133" s="21">
        <f>'Semi Metrics'!L273</f>
        <v/>
      </c>
      <c r="E133" s="21">
        <f>'Semi Metrics'!K273</f>
        <v/>
      </c>
      <c r="F133" s="22">
        <f>IF(OR(D133="",E133=""),"",D133-E133)</f>
        <v/>
      </c>
      <c r="G133" s="21">
        <f>'Semi Metrics'!L415</f>
        <v/>
      </c>
      <c r="H133" s="20">
        <f>'Semi Metrics'!L699</f>
        <v/>
      </c>
      <c r="I133" s="20">
        <f>'Semi Metrics'!L557</f>
        <v/>
      </c>
      <c r="J133" s="21">
        <f>'Semi Metrics'!M273</f>
        <v/>
      </c>
      <c r="K133" s="21">
        <f>'Semi Metrics'!L841</f>
        <v/>
      </c>
      <c r="L133" s="23">
        <f>'Semi Metrics'!L983</f>
        <v/>
      </c>
      <c r="M133" s="21">
        <f>'Semi Metrics'!L1125</f>
        <v/>
      </c>
      <c r="N133" s="21">
        <f>'Semi Metrics'!L1267</f>
        <v/>
      </c>
      <c r="O133" s="24">
        <f>IFERROR(IF(AND(N(D133)&gt;0,N(M133)&gt;0),M133/D133,""),"")</f>
        <v/>
      </c>
      <c r="P133" s="21">
        <f>'Semi Metrics'!L1409</f>
        <v/>
      </c>
      <c r="Q133" s="23">
        <f>'Semi Metrics'!L1551</f>
        <v/>
      </c>
      <c r="R133" s="25">
        <f>'Semi Revisions'!G131</f>
        <v/>
      </c>
      <c r="S133" s="25">
        <f>'Semi Revisions'!H131</f>
        <v/>
      </c>
      <c r="T133" s="25">
        <f>'Semi Revisions'!I131</f>
        <v/>
      </c>
      <c r="U133" s="25">
        <f>'Semi Revisions'!O131</f>
        <v/>
      </c>
      <c r="V133" s="25">
        <f>'Semi Revisions'!P131</f>
        <v/>
      </c>
      <c r="W133" s="25">
        <f>'Semi Revisions'!Q131</f>
        <v/>
      </c>
      <c r="X133" s="26">
        <f>IFERROR(RANK(D133,D$8:D$146),"")</f>
        <v/>
      </c>
      <c r="Y133" s="26">
        <f>IFERROR(RANK(S133,S$8:S$146),"")</f>
        <v/>
      </c>
    </row>
    <row r="134">
      <c r="A134" s="19">
        <f>'Semi Rev'!$A131</f>
        <v/>
      </c>
      <c r="B134" s="19">
        <f>'Semi Rev'!$B131</f>
        <v/>
      </c>
      <c r="C134" s="20">
        <f>IF(ISNUMBER('Semi Rev'!P131),'Semi Rev'!P131,"")</f>
        <v/>
      </c>
      <c r="D134" s="21">
        <f>'Semi Metrics'!L274</f>
        <v/>
      </c>
      <c r="E134" s="21">
        <f>'Semi Metrics'!K274</f>
        <v/>
      </c>
      <c r="F134" s="22">
        <f>IF(OR(D134="",E134=""),"",D134-E134)</f>
        <v/>
      </c>
      <c r="G134" s="21">
        <f>'Semi Metrics'!L416</f>
        <v/>
      </c>
      <c r="H134" s="20">
        <f>'Semi Metrics'!L700</f>
        <v/>
      </c>
      <c r="I134" s="20">
        <f>'Semi Metrics'!L558</f>
        <v/>
      </c>
      <c r="J134" s="21">
        <f>'Semi Metrics'!M274</f>
        <v/>
      </c>
      <c r="K134" s="21">
        <f>'Semi Metrics'!L842</f>
        <v/>
      </c>
      <c r="L134" s="23">
        <f>'Semi Metrics'!L984</f>
        <v/>
      </c>
      <c r="M134" s="21">
        <f>'Semi Metrics'!L1126</f>
        <v/>
      </c>
      <c r="N134" s="21">
        <f>'Semi Metrics'!L1268</f>
        <v/>
      </c>
      <c r="O134" s="24">
        <f>IFERROR(IF(AND(N(D134)&gt;0,N(M134)&gt;0),M134/D134,""),"")</f>
        <v/>
      </c>
      <c r="P134" s="21">
        <f>'Semi Metrics'!L1410</f>
        <v/>
      </c>
      <c r="Q134" s="23">
        <f>'Semi Metrics'!L1552</f>
        <v/>
      </c>
      <c r="R134" s="25">
        <f>'Semi Revisions'!G132</f>
        <v/>
      </c>
      <c r="S134" s="25">
        <f>'Semi Revisions'!H132</f>
        <v/>
      </c>
      <c r="T134" s="25">
        <f>'Semi Revisions'!I132</f>
        <v/>
      </c>
      <c r="U134" s="25">
        <f>'Semi Revisions'!O132</f>
        <v/>
      </c>
      <c r="V134" s="25">
        <f>'Semi Revisions'!P132</f>
        <v/>
      </c>
      <c r="W134" s="25">
        <f>'Semi Revisions'!Q132</f>
        <v/>
      </c>
      <c r="X134" s="26">
        <f>IFERROR(RANK(D134,D$8:D$146),"")</f>
        <v/>
      </c>
      <c r="Y134" s="26">
        <f>IFERROR(RANK(S134,S$8:S$146),"")</f>
        <v/>
      </c>
    </row>
    <row r="135">
      <c r="A135" s="19">
        <f>'Semi Rev'!$A132</f>
        <v/>
      </c>
      <c r="B135" s="19">
        <f>'Semi Rev'!$B132</f>
        <v/>
      </c>
      <c r="C135" s="20">
        <f>IF(ISNUMBER('Semi Rev'!P132),'Semi Rev'!P132,"")</f>
        <v/>
      </c>
      <c r="D135" s="21">
        <f>'Semi Metrics'!L275</f>
        <v/>
      </c>
      <c r="E135" s="21">
        <f>'Semi Metrics'!K275</f>
        <v/>
      </c>
      <c r="F135" s="22">
        <f>IF(OR(D135="",E135=""),"",D135-E135)</f>
        <v/>
      </c>
      <c r="G135" s="21">
        <f>'Semi Metrics'!L417</f>
        <v/>
      </c>
      <c r="H135" s="20">
        <f>'Semi Metrics'!L701</f>
        <v/>
      </c>
      <c r="I135" s="20">
        <f>'Semi Metrics'!L559</f>
        <v/>
      </c>
      <c r="J135" s="21">
        <f>'Semi Metrics'!M275</f>
        <v/>
      </c>
      <c r="K135" s="21">
        <f>'Semi Metrics'!L843</f>
        <v/>
      </c>
      <c r="L135" s="23">
        <f>'Semi Metrics'!L985</f>
        <v/>
      </c>
      <c r="M135" s="21">
        <f>'Semi Metrics'!L1127</f>
        <v/>
      </c>
      <c r="N135" s="21">
        <f>'Semi Metrics'!L1269</f>
        <v/>
      </c>
      <c r="O135" s="24">
        <f>IFERROR(IF(AND(N(D135)&gt;0,N(M135)&gt;0),M135/D135,""),"")</f>
        <v/>
      </c>
      <c r="P135" s="21">
        <f>'Semi Metrics'!L1411</f>
        <v/>
      </c>
      <c r="Q135" s="23">
        <f>'Semi Metrics'!L1553</f>
        <v/>
      </c>
      <c r="R135" s="25">
        <f>'Semi Revisions'!G133</f>
        <v/>
      </c>
      <c r="S135" s="25">
        <f>'Semi Revisions'!H133</f>
        <v/>
      </c>
      <c r="T135" s="25">
        <f>'Semi Revisions'!I133</f>
        <v/>
      </c>
      <c r="U135" s="25">
        <f>'Semi Revisions'!O133</f>
        <v/>
      </c>
      <c r="V135" s="25">
        <f>'Semi Revisions'!P133</f>
        <v/>
      </c>
      <c r="W135" s="25">
        <f>'Semi Revisions'!Q133</f>
        <v/>
      </c>
      <c r="X135" s="26">
        <f>IFERROR(RANK(D135,D$8:D$146),"")</f>
        <v/>
      </c>
      <c r="Y135" s="26">
        <f>IFERROR(RANK(S135,S$8:S$146),"")</f>
        <v/>
      </c>
    </row>
    <row r="136">
      <c r="A136" s="19">
        <f>'Semi Rev'!$A133</f>
        <v/>
      </c>
      <c r="B136" s="19">
        <f>'Semi Rev'!$B133</f>
        <v/>
      </c>
      <c r="C136" s="20">
        <f>IF(ISNUMBER('Semi Rev'!P133),'Semi Rev'!P133,"")</f>
        <v/>
      </c>
      <c r="D136" s="21">
        <f>'Semi Metrics'!L276</f>
        <v/>
      </c>
      <c r="E136" s="21">
        <f>'Semi Metrics'!K276</f>
        <v/>
      </c>
      <c r="F136" s="22">
        <f>IF(OR(D136="",E136=""),"",D136-E136)</f>
        <v/>
      </c>
      <c r="G136" s="21">
        <f>'Semi Metrics'!L418</f>
        <v/>
      </c>
      <c r="H136" s="20">
        <f>'Semi Metrics'!L702</f>
        <v/>
      </c>
      <c r="I136" s="20">
        <f>'Semi Metrics'!L560</f>
        <v/>
      </c>
      <c r="J136" s="21">
        <f>'Semi Metrics'!M276</f>
        <v/>
      </c>
      <c r="K136" s="21">
        <f>'Semi Metrics'!L844</f>
        <v/>
      </c>
      <c r="L136" s="23">
        <f>'Semi Metrics'!L986</f>
        <v/>
      </c>
      <c r="M136" s="21">
        <f>'Semi Metrics'!L1128</f>
        <v/>
      </c>
      <c r="N136" s="21">
        <f>'Semi Metrics'!L1270</f>
        <v/>
      </c>
      <c r="O136" s="24">
        <f>IFERROR(IF(AND(N(D136)&gt;0,N(M136)&gt;0),M136/D136,""),"")</f>
        <v/>
      </c>
      <c r="P136" s="21">
        <f>'Semi Metrics'!L1412</f>
        <v/>
      </c>
      <c r="Q136" s="23">
        <f>'Semi Metrics'!L1554</f>
        <v/>
      </c>
      <c r="R136" s="25">
        <f>'Semi Revisions'!G134</f>
        <v/>
      </c>
      <c r="S136" s="25">
        <f>'Semi Revisions'!H134</f>
        <v/>
      </c>
      <c r="T136" s="25">
        <f>'Semi Revisions'!I134</f>
        <v/>
      </c>
      <c r="U136" s="25">
        <f>'Semi Revisions'!O134</f>
        <v/>
      </c>
      <c r="V136" s="25">
        <f>'Semi Revisions'!P134</f>
        <v/>
      </c>
      <c r="W136" s="25">
        <f>'Semi Revisions'!Q134</f>
        <v/>
      </c>
      <c r="X136" s="26">
        <f>IFERROR(RANK(D136,D$8:D$146),"")</f>
        <v/>
      </c>
      <c r="Y136" s="26">
        <f>IFERROR(RANK(S136,S$8:S$146),"")</f>
        <v/>
      </c>
    </row>
    <row r="137">
      <c r="A137" s="19">
        <f>'Semi Rev'!$A134</f>
        <v/>
      </c>
      <c r="B137" s="19">
        <f>'Semi Rev'!$B134</f>
        <v/>
      </c>
      <c r="C137" s="20">
        <f>IF(ISNUMBER('Semi Rev'!P134),'Semi Rev'!P134,"")</f>
        <v/>
      </c>
      <c r="D137" s="21">
        <f>'Semi Metrics'!L277</f>
        <v/>
      </c>
      <c r="E137" s="21">
        <f>'Semi Metrics'!K277</f>
        <v/>
      </c>
      <c r="F137" s="22">
        <f>IF(OR(D137="",E137=""),"",D137-E137)</f>
        <v/>
      </c>
      <c r="G137" s="21">
        <f>'Semi Metrics'!L419</f>
        <v/>
      </c>
      <c r="H137" s="20">
        <f>'Semi Metrics'!L703</f>
        <v/>
      </c>
      <c r="I137" s="20">
        <f>'Semi Metrics'!L561</f>
        <v/>
      </c>
      <c r="J137" s="21">
        <f>'Semi Metrics'!M277</f>
        <v/>
      </c>
      <c r="K137" s="21">
        <f>'Semi Metrics'!L845</f>
        <v/>
      </c>
      <c r="L137" s="23">
        <f>'Semi Metrics'!L987</f>
        <v/>
      </c>
      <c r="M137" s="21">
        <f>'Semi Metrics'!L1129</f>
        <v/>
      </c>
      <c r="N137" s="21">
        <f>'Semi Metrics'!L1271</f>
        <v/>
      </c>
      <c r="O137" s="24">
        <f>IFERROR(IF(AND(N(D137)&gt;0,N(M137)&gt;0),M137/D137,""),"")</f>
        <v/>
      </c>
      <c r="P137" s="21">
        <f>'Semi Metrics'!L1413</f>
        <v/>
      </c>
      <c r="Q137" s="23">
        <f>'Semi Metrics'!L1555</f>
        <v/>
      </c>
      <c r="R137" s="25">
        <f>'Semi Revisions'!G135</f>
        <v/>
      </c>
      <c r="S137" s="25">
        <f>'Semi Revisions'!H135</f>
        <v/>
      </c>
      <c r="T137" s="25">
        <f>'Semi Revisions'!I135</f>
        <v/>
      </c>
      <c r="U137" s="25">
        <f>'Semi Revisions'!O135</f>
        <v/>
      </c>
      <c r="V137" s="25">
        <f>'Semi Revisions'!P135</f>
        <v/>
      </c>
      <c r="W137" s="25">
        <f>'Semi Revisions'!Q135</f>
        <v/>
      </c>
      <c r="X137" s="26">
        <f>IFERROR(RANK(D137,D$8:D$146),"")</f>
        <v/>
      </c>
      <c r="Y137" s="26">
        <f>IFERROR(RANK(S137,S$8:S$146),"")</f>
        <v/>
      </c>
    </row>
    <row r="138">
      <c r="A138" s="19">
        <f>'Semi Rev'!$A135</f>
        <v/>
      </c>
      <c r="B138" s="19">
        <f>'Semi Rev'!$B135</f>
        <v/>
      </c>
      <c r="C138" s="20">
        <f>IF(ISNUMBER('Semi Rev'!P135),'Semi Rev'!P135,"")</f>
        <v/>
      </c>
      <c r="D138" s="21">
        <f>'Semi Metrics'!L278</f>
        <v/>
      </c>
      <c r="E138" s="21">
        <f>'Semi Metrics'!K278</f>
        <v/>
      </c>
      <c r="F138" s="22">
        <f>IF(OR(D138="",E138=""),"",D138-E138)</f>
        <v/>
      </c>
      <c r="G138" s="21">
        <f>'Semi Metrics'!L420</f>
        <v/>
      </c>
      <c r="H138" s="20">
        <f>'Semi Metrics'!L704</f>
        <v/>
      </c>
      <c r="I138" s="20">
        <f>'Semi Metrics'!L562</f>
        <v/>
      </c>
      <c r="J138" s="21">
        <f>'Semi Metrics'!M278</f>
        <v/>
      </c>
      <c r="K138" s="21">
        <f>'Semi Metrics'!L846</f>
        <v/>
      </c>
      <c r="L138" s="23">
        <f>'Semi Metrics'!L988</f>
        <v/>
      </c>
      <c r="M138" s="21">
        <f>'Semi Metrics'!L1130</f>
        <v/>
      </c>
      <c r="N138" s="21">
        <f>'Semi Metrics'!L1272</f>
        <v/>
      </c>
      <c r="O138" s="24">
        <f>IFERROR(IF(AND(N(D138)&gt;0,N(M138)&gt;0),M138/D138,""),"")</f>
        <v/>
      </c>
      <c r="P138" s="21">
        <f>'Semi Metrics'!L1414</f>
        <v/>
      </c>
      <c r="Q138" s="23">
        <f>'Semi Metrics'!L1556</f>
        <v/>
      </c>
      <c r="R138" s="25">
        <f>'Semi Revisions'!G136</f>
        <v/>
      </c>
      <c r="S138" s="25">
        <f>'Semi Revisions'!H136</f>
        <v/>
      </c>
      <c r="T138" s="25">
        <f>'Semi Revisions'!I136</f>
        <v/>
      </c>
      <c r="U138" s="25">
        <f>'Semi Revisions'!O136</f>
        <v/>
      </c>
      <c r="V138" s="25">
        <f>'Semi Revisions'!P136</f>
        <v/>
      </c>
      <c r="W138" s="25">
        <f>'Semi Revisions'!Q136</f>
        <v/>
      </c>
      <c r="X138" s="26">
        <f>IFERROR(RANK(D138,D$8:D$146),"")</f>
        <v/>
      </c>
      <c r="Y138" s="26">
        <f>IFERROR(RANK(S138,S$8:S$146),"")</f>
        <v/>
      </c>
    </row>
    <row r="139">
      <c r="A139" s="19">
        <f>'Semi Rev'!$A136</f>
        <v/>
      </c>
      <c r="B139" s="19">
        <f>'Semi Rev'!$B136</f>
        <v/>
      </c>
      <c r="C139" s="20">
        <f>IF(ISNUMBER('Semi Rev'!P136),'Semi Rev'!P136,"")</f>
        <v/>
      </c>
      <c r="D139" s="21">
        <f>'Semi Metrics'!L279</f>
        <v/>
      </c>
      <c r="E139" s="21">
        <f>'Semi Metrics'!K279</f>
        <v/>
      </c>
      <c r="F139" s="22">
        <f>IF(OR(D139="",E139=""),"",D139-E139)</f>
        <v/>
      </c>
      <c r="G139" s="21">
        <f>'Semi Metrics'!L421</f>
        <v/>
      </c>
      <c r="H139" s="20">
        <f>'Semi Metrics'!L705</f>
        <v/>
      </c>
      <c r="I139" s="20">
        <f>'Semi Metrics'!L563</f>
        <v/>
      </c>
      <c r="J139" s="21">
        <f>'Semi Metrics'!M279</f>
        <v/>
      </c>
      <c r="K139" s="21">
        <f>'Semi Metrics'!L847</f>
        <v/>
      </c>
      <c r="L139" s="23">
        <f>'Semi Metrics'!L989</f>
        <v/>
      </c>
      <c r="M139" s="21">
        <f>'Semi Metrics'!L1131</f>
        <v/>
      </c>
      <c r="N139" s="21">
        <f>'Semi Metrics'!L1273</f>
        <v/>
      </c>
      <c r="O139" s="24">
        <f>IFERROR(IF(AND(N(D139)&gt;0,N(M139)&gt;0),M139/D139,""),"")</f>
        <v/>
      </c>
      <c r="P139" s="21">
        <f>'Semi Metrics'!L1415</f>
        <v/>
      </c>
      <c r="Q139" s="23">
        <f>'Semi Metrics'!L1557</f>
        <v/>
      </c>
      <c r="R139" s="25">
        <f>'Semi Revisions'!G137</f>
        <v/>
      </c>
      <c r="S139" s="25">
        <f>'Semi Revisions'!H137</f>
        <v/>
      </c>
      <c r="T139" s="25">
        <f>'Semi Revisions'!I137</f>
        <v/>
      </c>
      <c r="U139" s="25">
        <f>'Semi Revisions'!O137</f>
        <v/>
      </c>
      <c r="V139" s="25">
        <f>'Semi Revisions'!P137</f>
        <v/>
      </c>
      <c r="W139" s="25">
        <f>'Semi Revisions'!Q137</f>
        <v/>
      </c>
      <c r="X139" s="26">
        <f>IFERROR(RANK(D139,D$8:D$146),"")</f>
        <v/>
      </c>
      <c r="Y139" s="26">
        <f>IFERROR(RANK(S139,S$8:S$146),"")</f>
        <v/>
      </c>
    </row>
    <row r="140">
      <c r="A140" s="19">
        <f>'Semi Rev'!$A137</f>
        <v/>
      </c>
      <c r="B140" s="19">
        <f>'Semi Rev'!$B137</f>
        <v/>
      </c>
      <c r="C140" s="20">
        <f>IF(ISNUMBER('Semi Rev'!P137),'Semi Rev'!P137,"")</f>
        <v/>
      </c>
      <c r="D140" s="21">
        <f>'Semi Metrics'!L280</f>
        <v/>
      </c>
      <c r="E140" s="21">
        <f>'Semi Metrics'!K280</f>
        <v/>
      </c>
      <c r="F140" s="22">
        <f>IF(OR(D140="",E140=""),"",D140-E140)</f>
        <v/>
      </c>
      <c r="G140" s="21">
        <f>'Semi Metrics'!L422</f>
        <v/>
      </c>
      <c r="H140" s="20">
        <f>'Semi Metrics'!L706</f>
        <v/>
      </c>
      <c r="I140" s="20">
        <f>'Semi Metrics'!L564</f>
        <v/>
      </c>
      <c r="J140" s="21">
        <f>'Semi Metrics'!M280</f>
        <v/>
      </c>
      <c r="K140" s="21">
        <f>'Semi Metrics'!L848</f>
        <v/>
      </c>
      <c r="L140" s="23">
        <f>'Semi Metrics'!L990</f>
        <v/>
      </c>
      <c r="M140" s="21">
        <f>'Semi Metrics'!L1132</f>
        <v/>
      </c>
      <c r="N140" s="21">
        <f>'Semi Metrics'!L1274</f>
        <v/>
      </c>
      <c r="O140" s="24">
        <f>IFERROR(IF(AND(N(D140)&gt;0,N(M140)&gt;0),M140/D140,""),"")</f>
        <v/>
      </c>
      <c r="P140" s="21">
        <f>'Semi Metrics'!L1416</f>
        <v/>
      </c>
      <c r="Q140" s="23">
        <f>'Semi Metrics'!L1558</f>
        <v/>
      </c>
      <c r="R140" s="25">
        <f>'Semi Revisions'!G138</f>
        <v/>
      </c>
      <c r="S140" s="25">
        <f>'Semi Revisions'!H138</f>
        <v/>
      </c>
      <c r="T140" s="25">
        <f>'Semi Revisions'!I138</f>
        <v/>
      </c>
      <c r="U140" s="25">
        <f>'Semi Revisions'!O138</f>
        <v/>
      </c>
      <c r="V140" s="25">
        <f>'Semi Revisions'!P138</f>
        <v/>
      </c>
      <c r="W140" s="25">
        <f>'Semi Revisions'!Q138</f>
        <v/>
      </c>
      <c r="X140" s="26">
        <f>IFERROR(RANK(D140,D$8:D$146),"")</f>
        <v/>
      </c>
      <c r="Y140" s="26">
        <f>IFERROR(RANK(S140,S$8:S$146),"")</f>
        <v/>
      </c>
    </row>
    <row r="141">
      <c r="A141" s="19">
        <f>'Semi Rev'!$A138</f>
        <v/>
      </c>
      <c r="B141" s="19">
        <f>'Semi Rev'!$B138</f>
        <v/>
      </c>
      <c r="C141" s="20">
        <f>IF(ISNUMBER('Semi Rev'!P138),'Semi Rev'!P138,"")</f>
        <v/>
      </c>
      <c r="D141" s="21">
        <f>'Semi Metrics'!L281</f>
        <v/>
      </c>
      <c r="E141" s="21">
        <f>'Semi Metrics'!K281</f>
        <v/>
      </c>
      <c r="F141" s="22">
        <f>IF(OR(D141="",E141=""),"",D141-E141)</f>
        <v/>
      </c>
      <c r="G141" s="21">
        <f>'Semi Metrics'!L423</f>
        <v/>
      </c>
      <c r="H141" s="20">
        <f>'Semi Metrics'!L707</f>
        <v/>
      </c>
      <c r="I141" s="20">
        <f>'Semi Metrics'!L565</f>
        <v/>
      </c>
      <c r="J141" s="21">
        <f>'Semi Metrics'!M281</f>
        <v/>
      </c>
      <c r="K141" s="21">
        <f>'Semi Metrics'!L849</f>
        <v/>
      </c>
      <c r="L141" s="23">
        <f>'Semi Metrics'!L991</f>
        <v/>
      </c>
      <c r="M141" s="21">
        <f>'Semi Metrics'!L1133</f>
        <v/>
      </c>
      <c r="N141" s="21">
        <f>'Semi Metrics'!L1275</f>
        <v/>
      </c>
      <c r="O141" s="24">
        <f>IFERROR(IF(AND(N(D141)&gt;0,N(M141)&gt;0),M141/D141,""),"")</f>
        <v/>
      </c>
      <c r="P141" s="21">
        <f>'Semi Metrics'!L1417</f>
        <v/>
      </c>
      <c r="Q141" s="23">
        <f>'Semi Metrics'!L1559</f>
        <v/>
      </c>
      <c r="R141" s="25">
        <f>'Semi Revisions'!G139</f>
        <v/>
      </c>
      <c r="S141" s="25">
        <f>'Semi Revisions'!H139</f>
        <v/>
      </c>
      <c r="T141" s="25">
        <f>'Semi Revisions'!I139</f>
        <v/>
      </c>
      <c r="U141" s="25">
        <f>'Semi Revisions'!O139</f>
        <v/>
      </c>
      <c r="V141" s="25">
        <f>'Semi Revisions'!P139</f>
        <v/>
      </c>
      <c r="W141" s="25">
        <f>'Semi Revisions'!Q139</f>
        <v/>
      </c>
      <c r="X141" s="26">
        <f>IFERROR(RANK(D141,D$8:D$146),"")</f>
        <v/>
      </c>
      <c r="Y141" s="26">
        <f>IFERROR(RANK(S141,S$8:S$146),"")</f>
        <v/>
      </c>
    </row>
    <row r="142">
      <c r="A142" s="19">
        <f>'Semi Rev'!$A139</f>
        <v/>
      </c>
      <c r="B142" s="19">
        <f>'Semi Rev'!$B139</f>
        <v/>
      </c>
      <c r="C142" s="20">
        <f>IF(ISNUMBER('Semi Rev'!P139),'Semi Rev'!P139,"")</f>
        <v/>
      </c>
      <c r="D142" s="21">
        <f>'Semi Metrics'!L282</f>
        <v/>
      </c>
      <c r="E142" s="21">
        <f>'Semi Metrics'!K282</f>
        <v/>
      </c>
      <c r="F142" s="22">
        <f>IF(OR(D142="",E142=""),"",D142-E142)</f>
        <v/>
      </c>
      <c r="G142" s="21">
        <f>'Semi Metrics'!L424</f>
        <v/>
      </c>
      <c r="H142" s="20">
        <f>'Semi Metrics'!L708</f>
        <v/>
      </c>
      <c r="I142" s="20">
        <f>'Semi Metrics'!L566</f>
        <v/>
      </c>
      <c r="J142" s="21">
        <f>'Semi Metrics'!M282</f>
        <v/>
      </c>
      <c r="K142" s="21">
        <f>'Semi Metrics'!L850</f>
        <v/>
      </c>
      <c r="L142" s="23">
        <f>'Semi Metrics'!L992</f>
        <v/>
      </c>
      <c r="M142" s="21">
        <f>'Semi Metrics'!L1134</f>
        <v/>
      </c>
      <c r="N142" s="21">
        <f>'Semi Metrics'!L1276</f>
        <v/>
      </c>
      <c r="O142" s="24">
        <f>IFERROR(IF(AND(N(D142)&gt;0,N(M142)&gt;0),M142/D142,""),"")</f>
        <v/>
      </c>
      <c r="P142" s="21">
        <f>'Semi Metrics'!L1418</f>
        <v/>
      </c>
      <c r="Q142" s="23">
        <f>'Semi Metrics'!L1560</f>
        <v/>
      </c>
      <c r="R142" s="25">
        <f>'Semi Revisions'!G140</f>
        <v/>
      </c>
      <c r="S142" s="25">
        <f>'Semi Revisions'!H140</f>
        <v/>
      </c>
      <c r="T142" s="25">
        <f>'Semi Revisions'!I140</f>
        <v/>
      </c>
      <c r="U142" s="25">
        <f>'Semi Revisions'!O140</f>
        <v/>
      </c>
      <c r="V142" s="25">
        <f>'Semi Revisions'!P140</f>
        <v/>
      </c>
      <c r="W142" s="25">
        <f>'Semi Revisions'!Q140</f>
        <v/>
      </c>
      <c r="X142" s="26">
        <f>IFERROR(RANK(D142,D$8:D$146),"")</f>
        <v/>
      </c>
      <c r="Y142" s="26">
        <f>IFERROR(RANK(S142,S$8:S$146),"")</f>
        <v/>
      </c>
    </row>
    <row r="143">
      <c r="A143" s="19">
        <f>'Semi Rev'!$A140</f>
        <v/>
      </c>
      <c r="B143" s="19">
        <f>'Semi Rev'!$B140</f>
        <v/>
      </c>
      <c r="C143" s="20">
        <f>IF(ISNUMBER('Semi Rev'!P140),'Semi Rev'!P140,"")</f>
        <v/>
      </c>
      <c r="D143" s="21">
        <f>'Semi Metrics'!L283</f>
        <v/>
      </c>
      <c r="E143" s="21">
        <f>'Semi Metrics'!K283</f>
        <v/>
      </c>
      <c r="F143" s="22">
        <f>IF(OR(D143="",E143=""),"",D143-E143)</f>
        <v/>
      </c>
      <c r="G143" s="21">
        <f>'Semi Metrics'!L425</f>
        <v/>
      </c>
      <c r="H143" s="20">
        <f>'Semi Metrics'!L709</f>
        <v/>
      </c>
      <c r="I143" s="20">
        <f>'Semi Metrics'!L567</f>
        <v/>
      </c>
      <c r="J143" s="21">
        <f>'Semi Metrics'!M283</f>
        <v/>
      </c>
      <c r="K143" s="21">
        <f>'Semi Metrics'!L851</f>
        <v/>
      </c>
      <c r="L143" s="23">
        <f>'Semi Metrics'!L993</f>
        <v/>
      </c>
      <c r="M143" s="21">
        <f>'Semi Metrics'!L1135</f>
        <v/>
      </c>
      <c r="N143" s="21">
        <f>'Semi Metrics'!L1277</f>
        <v/>
      </c>
      <c r="O143" s="24">
        <f>IFERROR(IF(AND(N(D143)&gt;0,N(M143)&gt;0),M143/D143,""),"")</f>
        <v/>
      </c>
      <c r="P143" s="21">
        <f>'Semi Metrics'!L1419</f>
        <v/>
      </c>
      <c r="Q143" s="23">
        <f>'Semi Metrics'!L1561</f>
        <v/>
      </c>
      <c r="R143" s="25">
        <f>'Semi Revisions'!G141</f>
        <v/>
      </c>
      <c r="S143" s="25">
        <f>'Semi Revisions'!H141</f>
        <v/>
      </c>
      <c r="T143" s="25">
        <f>'Semi Revisions'!I141</f>
        <v/>
      </c>
      <c r="U143" s="25">
        <f>'Semi Revisions'!O141</f>
        <v/>
      </c>
      <c r="V143" s="25">
        <f>'Semi Revisions'!P141</f>
        <v/>
      </c>
      <c r="W143" s="25">
        <f>'Semi Revisions'!Q141</f>
        <v/>
      </c>
      <c r="X143" s="26">
        <f>IFERROR(RANK(D143,D$8:D$146),"")</f>
        <v/>
      </c>
      <c r="Y143" s="26">
        <f>IFERROR(RANK(S143,S$8:S$146),"")</f>
        <v/>
      </c>
    </row>
    <row r="144">
      <c r="A144" s="19">
        <f>'Semi Rev'!$A141</f>
        <v/>
      </c>
      <c r="B144" s="19">
        <f>'Semi Rev'!$B141</f>
        <v/>
      </c>
      <c r="C144" s="20">
        <f>IF(ISNUMBER('Semi Rev'!P141),'Semi Rev'!P141,"")</f>
        <v/>
      </c>
      <c r="D144" s="21">
        <f>'Semi Metrics'!L284</f>
        <v/>
      </c>
      <c r="E144" s="21">
        <f>'Semi Metrics'!K284</f>
        <v/>
      </c>
      <c r="F144" s="22">
        <f>IF(OR(D144="",E144=""),"",D144-E144)</f>
        <v/>
      </c>
      <c r="G144" s="21">
        <f>'Semi Metrics'!L426</f>
        <v/>
      </c>
      <c r="H144" s="20">
        <f>'Semi Metrics'!L710</f>
        <v/>
      </c>
      <c r="I144" s="20">
        <f>'Semi Metrics'!L568</f>
        <v/>
      </c>
      <c r="J144" s="21">
        <f>'Semi Metrics'!M284</f>
        <v/>
      </c>
      <c r="K144" s="21">
        <f>'Semi Metrics'!L852</f>
        <v/>
      </c>
      <c r="L144" s="23">
        <f>'Semi Metrics'!L994</f>
        <v/>
      </c>
      <c r="M144" s="21">
        <f>'Semi Metrics'!L1136</f>
        <v/>
      </c>
      <c r="N144" s="21">
        <f>'Semi Metrics'!L1278</f>
        <v/>
      </c>
      <c r="O144" s="24">
        <f>IFERROR(IF(AND(N(D144)&gt;0,N(M144)&gt;0),M144/D144,""),"")</f>
        <v/>
      </c>
      <c r="P144" s="21">
        <f>'Semi Metrics'!L1420</f>
        <v/>
      </c>
      <c r="Q144" s="23">
        <f>'Semi Metrics'!L1562</f>
        <v/>
      </c>
      <c r="R144" s="25">
        <f>'Semi Revisions'!G142</f>
        <v/>
      </c>
      <c r="S144" s="25">
        <f>'Semi Revisions'!H142</f>
        <v/>
      </c>
      <c r="T144" s="25">
        <f>'Semi Revisions'!I142</f>
        <v/>
      </c>
      <c r="U144" s="25">
        <f>'Semi Revisions'!O142</f>
        <v/>
      </c>
      <c r="V144" s="25">
        <f>'Semi Revisions'!P142</f>
        <v/>
      </c>
      <c r="W144" s="25">
        <f>'Semi Revisions'!Q142</f>
        <v/>
      </c>
      <c r="X144" s="26">
        <f>IFERROR(RANK(D144,D$8:D$146),"")</f>
        <v/>
      </c>
      <c r="Y144" s="26">
        <f>IFERROR(RANK(S144,S$8:S$146),"")</f>
        <v/>
      </c>
    </row>
    <row r="145">
      <c r="A145" s="19">
        <f>'Semi Rev'!$A142</f>
        <v/>
      </c>
      <c r="B145" s="19">
        <f>'Semi Rev'!$B142</f>
        <v/>
      </c>
      <c r="C145" s="20">
        <f>IF(ISNUMBER('Semi Rev'!P142),'Semi Rev'!P142,"")</f>
        <v/>
      </c>
      <c r="D145" s="21">
        <f>'Semi Metrics'!L285</f>
        <v/>
      </c>
      <c r="E145" s="21">
        <f>'Semi Metrics'!K285</f>
        <v/>
      </c>
      <c r="F145" s="22">
        <f>IF(OR(D145="",E145=""),"",D145-E145)</f>
        <v/>
      </c>
      <c r="G145" s="21">
        <f>'Semi Metrics'!L427</f>
        <v/>
      </c>
      <c r="H145" s="20">
        <f>'Semi Metrics'!L711</f>
        <v/>
      </c>
      <c r="I145" s="20">
        <f>'Semi Metrics'!L569</f>
        <v/>
      </c>
      <c r="J145" s="21">
        <f>'Semi Metrics'!M285</f>
        <v/>
      </c>
      <c r="K145" s="21">
        <f>'Semi Metrics'!L853</f>
        <v/>
      </c>
      <c r="L145" s="23">
        <f>'Semi Metrics'!L995</f>
        <v/>
      </c>
      <c r="M145" s="21">
        <f>'Semi Metrics'!L1137</f>
        <v/>
      </c>
      <c r="N145" s="21">
        <f>'Semi Metrics'!L1279</f>
        <v/>
      </c>
      <c r="O145" s="24">
        <f>IFERROR(IF(AND(N(D145)&gt;0,N(M145)&gt;0),M145/D145,""),"")</f>
        <v/>
      </c>
      <c r="P145" s="21">
        <f>'Semi Metrics'!L1421</f>
        <v/>
      </c>
      <c r="Q145" s="23">
        <f>'Semi Metrics'!L1563</f>
        <v/>
      </c>
      <c r="R145" s="25">
        <f>'Semi Revisions'!G143</f>
        <v/>
      </c>
      <c r="S145" s="25">
        <f>'Semi Revisions'!H143</f>
        <v/>
      </c>
      <c r="T145" s="25">
        <f>'Semi Revisions'!I143</f>
        <v/>
      </c>
      <c r="U145" s="25">
        <f>'Semi Revisions'!O143</f>
        <v/>
      </c>
      <c r="V145" s="25">
        <f>'Semi Revisions'!P143</f>
        <v/>
      </c>
      <c r="W145" s="25">
        <f>'Semi Revisions'!Q143</f>
        <v/>
      </c>
      <c r="X145" s="26">
        <f>IFERROR(RANK(D145,D$8:D$146),"")</f>
        <v/>
      </c>
      <c r="Y145" s="26">
        <f>IFERROR(RANK(S145,S$8:S$146),"")</f>
        <v/>
      </c>
    </row>
    <row r="146">
      <c r="A146" s="19">
        <f>'Semi Rev'!$A143</f>
        <v/>
      </c>
      <c r="B146" s="19">
        <f>'Semi Rev'!$B143</f>
        <v/>
      </c>
      <c r="C146" s="20">
        <f>IF(ISNUMBER('Semi Rev'!P143),'Semi Rev'!P143,"")</f>
        <v/>
      </c>
      <c r="D146" s="21">
        <f>'Semi Metrics'!L286</f>
        <v/>
      </c>
      <c r="E146" s="21">
        <f>'Semi Metrics'!K286</f>
        <v/>
      </c>
      <c r="F146" s="22">
        <f>IF(OR(D146="",E146=""),"",D146-E146)</f>
        <v/>
      </c>
      <c r="G146" s="21">
        <f>'Semi Metrics'!L428</f>
        <v/>
      </c>
      <c r="H146" s="20">
        <f>'Semi Metrics'!L712</f>
        <v/>
      </c>
      <c r="I146" s="20">
        <f>'Semi Metrics'!L570</f>
        <v/>
      </c>
      <c r="J146" s="21">
        <f>'Semi Metrics'!M286</f>
        <v/>
      </c>
      <c r="K146" s="21">
        <f>'Semi Metrics'!L854</f>
        <v/>
      </c>
      <c r="L146" s="23">
        <f>'Semi Metrics'!L996</f>
        <v/>
      </c>
      <c r="M146" s="21">
        <f>'Semi Metrics'!L1138</f>
        <v/>
      </c>
      <c r="N146" s="21">
        <f>'Semi Metrics'!L1280</f>
        <v/>
      </c>
      <c r="O146" s="24">
        <f>IFERROR(IF(AND(N(D146)&gt;0,N(M146)&gt;0),M146/D146,""),"")</f>
        <v/>
      </c>
      <c r="P146" s="21">
        <f>'Semi Metrics'!L1422</f>
        <v/>
      </c>
      <c r="Q146" s="23">
        <f>'Semi Metrics'!L1564</f>
        <v/>
      </c>
      <c r="R146" s="25">
        <f>'Semi Revisions'!G144</f>
        <v/>
      </c>
      <c r="S146" s="25">
        <f>'Semi Revisions'!H144</f>
        <v/>
      </c>
      <c r="T146" s="25">
        <f>'Semi Revisions'!I144</f>
        <v/>
      </c>
      <c r="U146" s="25">
        <f>'Semi Revisions'!O144</f>
        <v/>
      </c>
      <c r="V146" s="25">
        <f>'Semi Revisions'!P144</f>
        <v/>
      </c>
      <c r="W146" s="25">
        <f>'Semi Revisions'!Q144</f>
        <v/>
      </c>
      <c r="X146" s="26">
        <f>IFERROR(RANK(D146,D$8:D$146),"")</f>
        <v/>
      </c>
      <c r="Y146" s="26">
        <f>IFERROR(RANK(S146,S$8:S$146),"")</f>
        <v/>
      </c>
    </row>
  </sheetData>
  <conditionalFormatting sqref="D8:D146">
    <cfRule type="colorScale" priority="1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F8:F146">
    <cfRule type="colorScale" priority="2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J8:J146">
    <cfRule type="colorScale" priority="3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L8:L146">
    <cfRule type="colorScale" priority="4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N8:N146">
    <cfRule type="colorScale" priority="5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Q8:Q146">
    <cfRule type="colorScale" priority="6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R8:R146">
    <cfRule type="colorScale" priority="7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S8:S146">
    <cfRule type="colorScale" priority="8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T8:T146">
    <cfRule type="colorScale" priority="9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U8:U146">
    <cfRule type="colorScale" priority="10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V8:V146">
    <cfRule type="colorScale" priority="11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W8:W146">
    <cfRule type="colorScale" priority="12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ED7D31"/>
    <outlinePr summaryBelow="1" summaryRight="1"/>
    <pageSetUpPr/>
  </sheetPr>
  <dimension ref="A1:N59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5" t="inlineStr">
        <is>
          <t>Semiconductors — Single-Name vs Peers</t>
        </is>
      </c>
      <c r="H1" s="6" t="inlineStr">
        <is>
          <t>⚠ Cells blank? This is a LIVE Bloomberg workbook — it has no saved data until its first refresh. Open it in desktop Excel on your Bloomberg terminal PC (add-in logged in), then Bloomberg ribbon ▸ Refresh All (or Ctrl+Alt+F9), wait a few minutes, and save. See README.</t>
        </is>
      </c>
    </row>
    <row r="2">
      <c r="A2" s="7" t="inlineStr">
        <is>
          <t>Type any ticker from the Tickers sheet into the yellow cell. Each metric shows the company, the peer-set median (computed over the full list, selected name included), and the gap. Columns aligned by FPO (company's own fiscal quarters).</t>
        </is>
      </c>
    </row>
    <row r="4">
      <c r="A4" s="27" t="inlineStr">
        <is>
          <t>Company (edit):</t>
        </is>
      </c>
      <c r="B4" s="28" t="inlineStr">
        <is>
          <t>NVDA US Equity</t>
        </is>
      </c>
      <c r="C4" s="10">
        <f>IFERROR("Latest reported qtr: "&amp;INDEX('Semi Rev'!$B$5:$B$143,MATCH($B$4,'Semi Rev'!$A$5:$A$143,0)),"⚠ ticker not found in Tickers list")</f>
        <v/>
      </c>
    </row>
    <row r="6" ht="28" customHeight="1">
      <c r="A6" s="8" t="inlineStr">
        <is>
          <t>Metric</t>
        </is>
      </c>
      <c r="B6" s="8" t="inlineStr">
        <is>
          <t>Series</t>
        </is>
      </c>
      <c r="C6" s="8" t="inlineStr">
        <is>
          <t>FPO -9</t>
        </is>
      </c>
      <c r="D6" s="8" t="inlineStr">
        <is>
          <t>FPO -8</t>
        </is>
      </c>
      <c r="E6" s="8" t="inlineStr">
        <is>
          <t>FPO -7</t>
        </is>
      </c>
      <c r="F6" s="8" t="inlineStr">
        <is>
          <t>FPO -6</t>
        </is>
      </c>
      <c r="G6" s="8" t="inlineStr">
        <is>
          <t>FPO -5</t>
        </is>
      </c>
      <c r="H6" s="8" t="inlineStr">
        <is>
          <t>FPO -4</t>
        </is>
      </c>
      <c r="I6" s="8" t="inlineStr">
        <is>
          <t>FPO -3</t>
        </is>
      </c>
      <c r="J6" s="8" t="inlineStr">
        <is>
          <t>FPO -2</t>
        </is>
      </c>
      <c r="K6" s="8" t="inlineStr">
        <is>
          <t>FPO -1</t>
        </is>
      </c>
      <c r="L6" s="8" t="inlineStr">
        <is>
          <t>FPO 0 (latest rpt)</t>
        </is>
      </c>
      <c r="M6" s="8" t="inlineStr">
        <is>
          <t>FPO +1E</t>
        </is>
      </c>
      <c r="N6" s="8" t="inlineStr">
        <is>
          <t>FPO +2E</t>
        </is>
      </c>
    </row>
    <row r="7">
      <c r="A7" s="27" t="inlineStr">
        <is>
          <t>Revenue (USD mm)</t>
        </is>
      </c>
      <c r="B7" s="29" t="inlineStr">
        <is>
          <t>Company</t>
        </is>
      </c>
      <c r="C7" s="30">
        <f>IFERROR(INDEX('Semi Metrics'!$C$6:$C$144,MATCH($B$4,'Semi Metrics'!$A$6:$A$144,0)),"")</f>
        <v/>
      </c>
      <c r="D7" s="30">
        <f>IFERROR(INDEX('Semi Metrics'!$D$6:$D$144,MATCH($B$4,'Semi Metrics'!$A$6:$A$144,0)),"")</f>
        <v/>
      </c>
      <c r="E7" s="30">
        <f>IFERROR(INDEX('Semi Metrics'!$E$6:$E$144,MATCH($B$4,'Semi Metrics'!$A$6:$A$144,0)),"")</f>
        <v/>
      </c>
      <c r="F7" s="30">
        <f>IFERROR(INDEX('Semi Metrics'!$F$6:$F$144,MATCH($B$4,'Semi Metrics'!$A$6:$A$144,0)),"")</f>
        <v/>
      </c>
      <c r="G7" s="30">
        <f>IFERROR(INDEX('Semi Metrics'!$G$6:$G$144,MATCH($B$4,'Semi Metrics'!$A$6:$A$144,0)),"")</f>
        <v/>
      </c>
      <c r="H7" s="30">
        <f>IFERROR(INDEX('Semi Metrics'!$H$6:$H$144,MATCH($B$4,'Semi Metrics'!$A$6:$A$144,0)),"")</f>
        <v/>
      </c>
      <c r="I7" s="30">
        <f>IFERROR(INDEX('Semi Metrics'!$I$6:$I$144,MATCH($B$4,'Semi Metrics'!$A$6:$A$144,0)),"")</f>
        <v/>
      </c>
      <c r="J7" s="30">
        <f>IFERROR(INDEX('Semi Metrics'!$J$6:$J$144,MATCH($B$4,'Semi Metrics'!$A$6:$A$144,0)),"")</f>
        <v/>
      </c>
      <c r="K7" s="30">
        <f>IFERROR(INDEX('Semi Metrics'!$K$6:$K$144,MATCH($B$4,'Semi Metrics'!$A$6:$A$144,0)),"")</f>
        <v/>
      </c>
      <c r="L7" s="30">
        <f>IFERROR(INDEX('Semi Metrics'!$L$6:$L$144,MATCH($B$4,'Semi Metrics'!$A$6:$A$144,0)),"")</f>
        <v/>
      </c>
      <c r="M7" s="31">
        <f>IFERROR(INDEX('Semi Metrics'!$M$6:$M$144,MATCH($B$4,'Semi Metrics'!$A$6:$A$144,0)),"")</f>
        <v/>
      </c>
      <c r="N7" s="31">
        <f>IFERROR(INDEX('Semi Metrics'!$N$6:$N$144,MATCH($B$4,'Semi Metrics'!$A$6:$A$144,0)),"")</f>
        <v/>
      </c>
    </row>
    <row r="8">
      <c r="A8" s="29" t="inlineStr"/>
      <c r="B8" s="32" t="inlineStr">
        <is>
          <t>Peer median</t>
        </is>
      </c>
      <c r="C8" s="33">
        <f>IFERROR(MEDIAN('Semi Metrics'!$C$6:$C$144),"")</f>
        <v/>
      </c>
      <c r="D8" s="33">
        <f>IFERROR(MEDIAN('Semi Metrics'!$D$6:$D$144),"")</f>
        <v/>
      </c>
      <c r="E8" s="33">
        <f>IFERROR(MEDIAN('Semi Metrics'!$E$6:$E$144),"")</f>
        <v/>
      </c>
      <c r="F8" s="33">
        <f>IFERROR(MEDIAN('Semi Metrics'!$F$6:$F$144),"")</f>
        <v/>
      </c>
      <c r="G8" s="33">
        <f>IFERROR(MEDIAN('Semi Metrics'!$G$6:$G$144),"")</f>
        <v/>
      </c>
      <c r="H8" s="33">
        <f>IFERROR(MEDIAN('Semi Metrics'!$H$6:$H$144),"")</f>
        <v/>
      </c>
      <c r="I8" s="33">
        <f>IFERROR(MEDIAN('Semi Metrics'!$I$6:$I$144),"")</f>
        <v/>
      </c>
      <c r="J8" s="33">
        <f>IFERROR(MEDIAN('Semi Metrics'!$J$6:$J$144),"")</f>
        <v/>
      </c>
      <c r="K8" s="33">
        <f>IFERROR(MEDIAN('Semi Metrics'!$K$6:$K$144),"")</f>
        <v/>
      </c>
      <c r="L8" s="33">
        <f>IFERROR(MEDIAN('Semi Metrics'!$L$6:$L$144),"")</f>
        <v/>
      </c>
      <c r="M8" s="34">
        <f>IFERROR(MEDIAN('Semi Metrics'!$M$6:$M$144),"")</f>
        <v/>
      </c>
      <c r="N8" s="34">
        <f>IFERROR(MEDIAN('Semi Metrics'!$N$6:$N$144),"")</f>
        <v/>
      </c>
    </row>
    <row r="9">
      <c r="A9" s="29" t="inlineStr"/>
      <c r="B9" s="32" t="inlineStr">
        <is>
          <t>vs median</t>
        </is>
      </c>
      <c r="C9" s="35">
        <f>IF(OR(C7="",C8=""),"",C7-C8)</f>
        <v/>
      </c>
      <c r="D9" s="35">
        <f>IF(OR(D7="",D8=""),"",D7-D8)</f>
        <v/>
      </c>
      <c r="E9" s="35">
        <f>IF(OR(E7="",E8=""),"",E7-E8)</f>
        <v/>
      </c>
      <c r="F9" s="35">
        <f>IF(OR(F7="",F8=""),"",F7-F8)</f>
        <v/>
      </c>
      <c r="G9" s="35">
        <f>IF(OR(G7="",G8=""),"",G7-G8)</f>
        <v/>
      </c>
      <c r="H9" s="35">
        <f>IF(OR(H7="",H8=""),"",H7-H8)</f>
        <v/>
      </c>
      <c r="I9" s="35">
        <f>IF(OR(I7="",I8=""),"",I7-I8)</f>
        <v/>
      </c>
      <c r="J9" s="35">
        <f>IF(OR(J7="",J8=""),"",J7-J8)</f>
        <v/>
      </c>
      <c r="K9" s="35">
        <f>IF(OR(K7="",K8=""),"",K7-K8)</f>
        <v/>
      </c>
      <c r="L9" s="35">
        <f>IF(OR(L7="",L8=""),"",L7-L8)</f>
        <v/>
      </c>
      <c r="M9" s="36">
        <f>IF(OR(M7="",M8=""),"",M7-M8)</f>
        <v/>
      </c>
      <c r="N9" s="36">
        <f>IF(OR(N7="",N8=""),"",N7-N8)</f>
        <v/>
      </c>
    </row>
    <row r="11">
      <c r="A11" s="27" t="inlineStr">
        <is>
          <t>Revenue growth YoY %</t>
        </is>
      </c>
      <c r="B11" s="29" t="inlineStr">
        <is>
          <t>Company</t>
        </is>
      </c>
      <c r="C11" s="37">
        <f>IFERROR(INDEX('Semi Metrics'!$C$148:$C$286,MATCH($B$4,'Semi Metrics'!$A$148:$A$286,0)),"")</f>
        <v/>
      </c>
      <c r="D11" s="37">
        <f>IFERROR(INDEX('Semi Metrics'!$D$148:$D$286,MATCH($B$4,'Semi Metrics'!$A$148:$A$286,0)),"")</f>
        <v/>
      </c>
      <c r="E11" s="37">
        <f>IFERROR(INDEX('Semi Metrics'!$E$148:$E$286,MATCH($B$4,'Semi Metrics'!$A$148:$A$286,0)),"")</f>
        <v/>
      </c>
      <c r="F11" s="37">
        <f>IFERROR(INDEX('Semi Metrics'!$F$148:$F$286,MATCH($B$4,'Semi Metrics'!$A$148:$A$286,0)),"")</f>
        <v/>
      </c>
      <c r="G11" s="37">
        <f>IFERROR(INDEX('Semi Metrics'!$G$148:$G$286,MATCH($B$4,'Semi Metrics'!$A$148:$A$286,0)),"")</f>
        <v/>
      </c>
      <c r="H11" s="37">
        <f>IFERROR(INDEX('Semi Metrics'!$H$148:$H$286,MATCH($B$4,'Semi Metrics'!$A$148:$A$286,0)),"")</f>
        <v/>
      </c>
      <c r="I11" s="37">
        <f>IFERROR(INDEX('Semi Metrics'!$I$148:$I$286,MATCH($B$4,'Semi Metrics'!$A$148:$A$286,0)),"")</f>
        <v/>
      </c>
      <c r="J11" s="37">
        <f>IFERROR(INDEX('Semi Metrics'!$J$148:$J$286,MATCH($B$4,'Semi Metrics'!$A$148:$A$286,0)),"")</f>
        <v/>
      </c>
      <c r="K11" s="37">
        <f>IFERROR(INDEX('Semi Metrics'!$K$148:$K$286,MATCH($B$4,'Semi Metrics'!$A$148:$A$286,0)),"")</f>
        <v/>
      </c>
      <c r="L11" s="37">
        <f>IFERROR(INDEX('Semi Metrics'!$L$148:$L$286,MATCH($B$4,'Semi Metrics'!$A$148:$A$286,0)),"")</f>
        <v/>
      </c>
      <c r="M11" s="38">
        <f>IFERROR(INDEX('Semi Metrics'!$M$148:$M$286,MATCH($B$4,'Semi Metrics'!$A$148:$A$286,0)),"")</f>
        <v/>
      </c>
      <c r="N11" s="38">
        <f>IFERROR(INDEX('Semi Metrics'!$N$148:$N$286,MATCH($B$4,'Semi Metrics'!$A$148:$A$286,0)),"")</f>
        <v/>
      </c>
    </row>
    <row r="12">
      <c r="A12" s="29" t="inlineStr"/>
      <c r="B12" s="32" t="inlineStr">
        <is>
          <t>Peer median</t>
        </is>
      </c>
      <c r="C12" s="39">
        <f>IFERROR(MEDIAN('Semi Metrics'!$C$148:$C$286),"")</f>
        <v/>
      </c>
      <c r="D12" s="39">
        <f>IFERROR(MEDIAN('Semi Metrics'!$D$148:$D$286),"")</f>
        <v/>
      </c>
      <c r="E12" s="39">
        <f>IFERROR(MEDIAN('Semi Metrics'!$E$148:$E$286),"")</f>
        <v/>
      </c>
      <c r="F12" s="39">
        <f>IFERROR(MEDIAN('Semi Metrics'!$F$148:$F$286),"")</f>
        <v/>
      </c>
      <c r="G12" s="39">
        <f>IFERROR(MEDIAN('Semi Metrics'!$G$148:$G$286),"")</f>
        <v/>
      </c>
      <c r="H12" s="39">
        <f>IFERROR(MEDIAN('Semi Metrics'!$H$148:$H$286),"")</f>
        <v/>
      </c>
      <c r="I12" s="39">
        <f>IFERROR(MEDIAN('Semi Metrics'!$I$148:$I$286),"")</f>
        <v/>
      </c>
      <c r="J12" s="39">
        <f>IFERROR(MEDIAN('Semi Metrics'!$J$148:$J$286),"")</f>
        <v/>
      </c>
      <c r="K12" s="39">
        <f>IFERROR(MEDIAN('Semi Metrics'!$K$148:$K$286),"")</f>
        <v/>
      </c>
      <c r="L12" s="39">
        <f>IFERROR(MEDIAN('Semi Metrics'!$L$148:$L$286),"")</f>
        <v/>
      </c>
      <c r="M12" s="40">
        <f>IFERROR(MEDIAN('Semi Metrics'!$M$148:$M$286),"")</f>
        <v/>
      </c>
      <c r="N12" s="40">
        <f>IFERROR(MEDIAN('Semi Metrics'!$N$148:$N$286),"")</f>
        <v/>
      </c>
    </row>
    <row r="13">
      <c r="A13" s="29" t="inlineStr"/>
      <c r="B13" s="32" t="inlineStr">
        <is>
          <t>vs median</t>
        </is>
      </c>
      <c r="C13" s="41">
        <f>IF(OR(C11="",C12=""),"",C11-C12)</f>
        <v/>
      </c>
      <c r="D13" s="41">
        <f>IF(OR(D11="",D12=""),"",D11-D12)</f>
        <v/>
      </c>
      <c r="E13" s="41">
        <f>IF(OR(E11="",E12=""),"",E11-E12)</f>
        <v/>
      </c>
      <c r="F13" s="41">
        <f>IF(OR(F11="",F12=""),"",F11-F12)</f>
        <v/>
      </c>
      <c r="G13" s="41">
        <f>IF(OR(G11="",G12=""),"",G11-G12)</f>
        <v/>
      </c>
      <c r="H13" s="41">
        <f>IF(OR(H11="",H12=""),"",H11-H12)</f>
        <v/>
      </c>
      <c r="I13" s="41">
        <f>IF(OR(I11="",I12=""),"",I11-I12)</f>
        <v/>
      </c>
      <c r="J13" s="41">
        <f>IF(OR(J11="",J12=""),"",J11-J12)</f>
        <v/>
      </c>
      <c r="K13" s="41">
        <f>IF(OR(K11="",K12=""),"",K11-K12)</f>
        <v/>
      </c>
      <c r="L13" s="41">
        <f>IF(OR(L11="",L12=""),"",L11-L12)</f>
        <v/>
      </c>
      <c r="M13" s="42">
        <f>IF(OR(M11="",M12=""),"",M11-M12)</f>
        <v/>
      </c>
      <c r="N13" s="42">
        <f>IF(OR(N11="",N12=""),"",N11-N12)</f>
        <v/>
      </c>
    </row>
    <row r="15">
      <c r="A15" s="27" t="inlineStr">
        <is>
          <t>Revenue growth QoQ %</t>
        </is>
      </c>
      <c r="B15" s="29" t="inlineStr">
        <is>
          <t>Company</t>
        </is>
      </c>
      <c r="C15" s="37">
        <f>IFERROR(INDEX('Semi Metrics'!$C$290:$C$428,MATCH($B$4,'Semi Metrics'!$A$290:$A$428,0)),"")</f>
        <v/>
      </c>
      <c r="D15" s="37">
        <f>IFERROR(INDEX('Semi Metrics'!$D$290:$D$428,MATCH($B$4,'Semi Metrics'!$A$290:$A$428,0)),"")</f>
        <v/>
      </c>
      <c r="E15" s="37">
        <f>IFERROR(INDEX('Semi Metrics'!$E$290:$E$428,MATCH($B$4,'Semi Metrics'!$A$290:$A$428,0)),"")</f>
        <v/>
      </c>
      <c r="F15" s="37">
        <f>IFERROR(INDEX('Semi Metrics'!$F$290:$F$428,MATCH($B$4,'Semi Metrics'!$A$290:$A$428,0)),"")</f>
        <v/>
      </c>
      <c r="G15" s="37">
        <f>IFERROR(INDEX('Semi Metrics'!$G$290:$G$428,MATCH($B$4,'Semi Metrics'!$A$290:$A$428,0)),"")</f>
        <v/>
      </c>
      <c r="H15" s="37">
        <f>IFERROR(INDEX('Semi Metrics'!$H$290:$H$428,MATCH($B$4,'Semi Metrics'!$A$290:$A$428,0)),"")</f>
        <v/>
      </c>
      <c r="I15" s="37">
        <f>IFERROR(INDEX('Semi Metrics'!$I$290:$I$428,MATCH($B$4,'Semi Metrics'!$A$290:$A$428,0)),"")</f>
        <v/>
      </c>
      <c r="J15" s="37">
        <f>IFERROR(INDEX('Semi Metrics'!$J$290:$J$428,MATCH($B$4,'Semi Metrics'!$A$290:$A$428,0)),"")</f>
        <v/>
      </c>
      <c r="K15" s="37">
        <f>IFERROR(INDEX('Semi Metrics'!$K$290:$K$428,MATCH($B$4,'Semi Metrics'!$A$290:$A$428,0)),"")</f>
        <v/>
      </c>
      <c r="L15" s="37">
        <f>IFERROR(INDEX('Semi Metrics'!$L$290:$L$428,MATCH($B$4,'Semi Metrics'!$A$290:$A$428,0)),"")</f>
        <v/>
      </c>
      <c r="M15" s="38">
        <f>IFERROR(INDEX('Semi Metrics'!$M$290:$M$428,MATCH($B$4,'Semi Metrics'!$A$290:$A$428,0)),"")</f>
        <v/>
      </c>
      <c r="N15" s="38">
        <f>IFERROR(INDEX('Semi Metrics'!$N$290:$N$428,MATCH($B$4,'Semi Metrics'!$A$290:$A$428,0)),"")</f>
        <v/>
      </c>
    </row>
    <row r="16">
      <c r="A16" s="29" t="inlineStr"/>
      <c r="B16" s="32" t="inlineStr">
        <is>
          <t>Peer median</t>
        </is>
      </c>
      <c r="C16" s="39">
        <f>IFERROR(MEDIAN('Semi Metrics'!$C$290:$C$428),"")</f>
        <v/>
      </c>
      <c r="D16" s="39">
        <f>IFERROR(MEDIAN('Semi Metrics'!$D$290:$D$428),"")</f>
        <v/>
      </c>
      <c r="E16" s="39">
        <f>IFERROR(MEDIAN('Semi Metrics'!$E$290:$E$428),"")</f>
        <v/>
      </c>
      <c r="F16" s="39">
        <f>IFERROR(MEDIAN('Semi Metrics'!$F$290:$F$428),"")</f>
        <v/>
      </c>
      <c r="G16" s="39">
        <f>IFERROR(MEDIAN('Semi Metrics'!$G$290:$G$428),"")</f>
        <v/>
      </c>
      <c r="H16" s="39">
        <f>IFERROR(MEDIAN('Semi Metrics'!$H$290:$H$428),"")</f>
        <v/>
      </c>
      <c r="I16" s="39">
        <f>IFERROR(MEDIAN('Semi Metrics'!$I$290:$I$428),"")</f>
        <v/>
      </c>
      <c r="J16" s="39">
        <f>IFERROR(MEDIAN('Semi Metrics'!$J$290:$J$428),"")</f>
        <v/>
      </c>
      <c r="K16" s="39">
        <f>IFERROR(MEDIAN('Semi Metrics'!$K$290:$K$428),"")</f>
        <v/>
      </c>
      <c r="L16" s="39">
        <f>IFERROR(MEDIAN('Semi Metrics'!$L$290:$L$428),"")</f>
        <v/>
      </c>
      <c r="M16" s="40">
        <f>IFERROR(MEDIAN('Semi Metrics'!$M$290:$M$428),"")</f>
        <v/>
      </c>
      <c r="N16" s="40">
        <f>IFERROR(MEDIAN('Semi Metrics'!$N$290:$N$428),"")</f>
        <v/>
      </c>
    </row>
    <row r="17">
      <c r="A17" s="29" t="inlineStr"/>
      <c r="B17" s="32" t="inlineStr">
        <is>
          <t>vs median</t>
        </is>
      </c>
      <c r="C17" s="41">
        <f>IF(OR(C15="",C16=""),"",C15-C16)</f>
        <v/>
      </c>
      <c r="D17" s="41">
        <f>IF(OR(D15="",D16=""),"",D15-D16)</f>
        <v/>
      </c>
      <c r="E17" s="41">
        <f>IF(OR(E15="",E16=""),"",E15-E16)</f>
        <v/>
      </c>
      <c r="F17" s="41">
        <f>IF(OR(F15="",F16=""),"",F15-F16)</f>
        <v/>
      </c>
      <c r="G17" s="41">
        <f>IF(OR(G15="",G16=""),"",G15-G16)</f>
        <v/>
      </c>
      <c r="H17" s="41">
        <f>IF(OR(H15="",H16=""),"",H15-H16)</f>
        <v/>
      </c>
      <c r="I17" s="41">
        <f>IF(OR(I15="",I16=""),"",I15-I16)</f>
        <v/>
      </c>
      <c r="J17" s="41">
        <f>IF(OR(J15="",J16=""),"",J15-J16)</f>
        <v/>
      </c>
      <c r="K17" s="41">
        <f>IF(OR(K15="",K16=""),"",K15-K16)</f>
        <v/>
      </c>
      <c r="L17" s="41">
        <f>IF(OR(L15="",L16=""),"",L15-L16)</f>
        <v/>
      </c>
      <c r="M17" s="42">
        <f>IF(OR(M15="",M16=""),"",M15-M16)</f>
        <v/>
      </c>
      <c r="N17" s="42">
        <f>IF(OR(N15="",N16=""),"",N15-N16)</f>
        <v/>
      </c>
    </row>
    <row r="19">
      <c r="A19" s="27" t="inlineStr">
        <is>
          <t>$ Added YoY (USD mm)</t>
        </is>
      </c>
      <c r="B19" s="29" t="inlineStr">
        <is>
          <t>Company</t>
        </is>
      </c>
      <c r="C19" s="30">
        <f>IFERROR(INDEX('Semi Metrics'!$C$432:$C$570,MATCH($B$4,'Semi Metrics'!$A$432:$A$570,0)),"")</f>
        <v/>
      </c>
      <c r="D19" s="30">
        <f>IFERROR(INDEX('Semi Metrics'!$D$432:$D$570,MATCH($B$4,'Semi Metrics'!$A$432:$A$570,0)),"")</f>
        <v/>
      </c>
      <c r="E19" s="30">
        <f>IFERROR(INDEX('Semi Metrics'!$E$432:$E$570,MATCH($B$4,'Semi Metrics'!$A$432:$A$570,0)),"")</f>
        <v/>
      </c>
      <c r="F19" s="30">
        <f>IFERROR(INDEX('Semi Metrics'!$F$432:$F$570,MATCH($B$4,'Semi Metrics'!$A$432:$A$570,0)),"")</f>
        <v/>
      </c>
      <c r="G19" s="30">
        <f>IFERROR(INDEX('Semi Metrics'!$G$432:$G$570,MATCH($B$4,'Semi Metrics'!$A$432:$A$570,0)),"")</f>
        <v/>
      </c>
      <c r="H19" s="30">
        <f>IFERROR(INDEX('Semi Metrics'!$H$432:$H$570,MATCH($B$4,'Semi Metrics'!$A$432:$A$570,0)),"")</f>
        <v/>
      </c>
      <c r="I19" s="30">
        <f>IFERROR(INDEX('Semi Metrics'!$I$432:$I$570,MATCH($B$4,'Semi Metrics'!$A$432:$A$570,0)),"")</f>
        <v/>
      </c>
      <c r="J19" s="30">
        <f>IFERROR(INDEX('Semi Metrics'!$J$432:$J$570,MATCH($B$4,'Semi Metrics'!$A$432:$A$570,0)),"")</f>
        <v/>
      </c>
      <c r="K19" s="30">
        <f>IFERROR(INDEX('Semi Metrics'!$K$432:$K$570,MATCH($B$4,'Semi Metrics'!$A$432:$A$570,0)),"")</f>
        <v/>
      </c>
      <c r="L19" s="30">
        <f>IFERROR(INDEX('Semi Metrics'!$L$432:$L$570,MATCH($B$4,'Semi Metrics'!$A$432:$A$570,0)),"")</f>
        <v/>
      </c>
      <c r="M19" s="31">
        <f>IFERROR(INDEX('Semi Metrics'!$M$432:$M$570,MATCH($B$4,'Semi Metrics'!$A$432:$A$570,0)),"")</f>
        <v/>
      </c>
      <c r="N19" s="31">
        <f>IFERROR(INDEX('Semi Metrics'!$N$432:$N$570,MATCH($B$4,'Semi Metrics'!$A$432:$A$570,0)),"")</f>
        <v/>
      </c>
    </row>
    <row r="20">
      <c r="A20" s="29" t="inlineStr"/>
      <c r="B20" s="32" t="inlineStr">
        <is>
          <t>Peer median</t>
        </is>
      </c>
      <c r="C20" s="33">
        <f>IFERROR(MEDIAN('Semi Metrics'!$C$432:$C$570),"")</f>
        <v/>
      </c>
      <c r="D20" s="33">
        <f>IFERROR(MEDIAN('Semi Metrics'!$D$432:$D$570),"")</f>
        <v/>
      </c>
      <c r="E20" s="33">
        <f>IFERROR(MEDIAN('Semi Metrics'!$E$432:$E$570),"")</f>
        <v/>
      </c>
      <c r="F20" s="33">
        <f>IFERROR(MEDIAN('Semi Metrics'!$F$432:$F$570),"")</f>
        <v/>
      </c>
      <c r="G20" s="33">
        <f>IFERROR(MEDIAN('Semi Metrics'!$G$432:$G$570),"")</f>
        <v/>
      </c>
      <c r="H20" s="33">
        <f>IFERROR(MEDIAN('Semi Metrics'!$H$432:$H$570),"")</f>
        <v/>
      </c>
      <c r="I20" s="33">
        <f>IFERROR(MEDIAN('Semi Metrics'!$I$432:$I$570),"")</f>
        <v/>
      </c>
      <c r="J20" s="33">
        <f>IFERROR(MEDIAN('Semi Metrics'!$J$432:$J$570),"")</f>
        <v/>
      </c>
      <c r="K20" s="33">
        <f>IFERROR(MEDIAN('Semi Metrics'!$K$432:$K$570),"")</f>
        <v/>
      </c>
      <c r="L20" s="33">
        <f>IFERROR(MEDIAN('Semi Metrics'!$L$432:$L$570),"")</f>
        <v/>
      </c>
      <c r="M20" s="34">
        <f>IFERROR(MEDIAN('Semi Metrics'!$M$432:$M$570),"")</f>
        <v/>
      </c>
      <c r="N20" s="34">
        <f>IFERROR(MEDIAN('Semi Metrics'!$N$432:$N$570),"")</f>
        <v/>
      </c>
    </row>
    <row r="21">
      <c r="A21" s="29" t="inlineStr"/>
      <c r="B21" s="32" t="inlineStr">
        <is>
          <t>vs median</t>
        </is>
      </c>
      <c r="C21" s="35">
        <f>IF(OR(C19="",C20=""),"",C19-C20)</f>
        <v/>
      </c>
      <c r="D21" s="35">
        <f>IF(OR(D19="",D20=""),"",D19-D20)</f>
        <v/>
      </c>
      <c r="E21" s="35">
        <f>IF(OR(E19="",E20=""),"",E19-E20)</f>
        <v/>
      </c>
      <c r="F21" s="35">
        <f>IF(OR(F19="",F20=""),"",F19-F20)</f>
        <v/>
      </c>
      <c r="G21" s="35">
        <f>IF(OR(G19="",G20=""),"",G19-G20)</f>
        <v/>
      </c>
      <c r="H21" s="35">
        <f>IF(OR(H19="",H20=""),"",H19-H20)</f>
        <v/>
      </c>
      <c r="I21" s="35">
        <f>IF(OR(I19="",I20=""),"",I19-I20)</f>
        <v/>
      </c>
      <c r="J21" s="35">
        <f>IF(OR(J19="",J20=""),"",J19-J20)</f>
        <v/>
      </c>
      <c r="K21" s="35">
        <f>IF(OR(K19="",K20=""),"",K19-K20)</f>
        <v/>
      </c>
      <c r="L21" s="35">
        <f>IF(OR(L19="",L20=""),"",L19-L20)</f>
        <v/>
      </c>
      <c r="M21" s="36">
        <f>IF(OR(M19="",M20=""),"",M19-M20)</f>
        <v/>
      </c>
      <c r="N21" s="36">
        <f>IF(OR(N19="",N20=""),"",N19-N20)</f>
        <v/>
      </c>
    </row>
    <row r="23">
      <c r="A23" s="27" t="inlineStr">
        <is>
          <t>$ Added QoQ (USD mm)</t>
        </is>
      </c>
      <c r="B23" s="29" t="inlineStr">
        <is>
          <t>Company</t>
        </is>
      </c>
      <c r="C23" s="30">
        <f>IFERROR(INDEX('Semi Metrics'!$C$574:$C$712,MATCH($B$4,'Semi Metrics'!$A$574:$A$712,0)),"")</f>
        <v/>
      </c>
      <c r="D23" s="30">
        <f>IFERROR(INDEX('Semi Metrics'!$D$574:$D$712,MATCH($B$4,'Semi Metrics'!$A$574:$A$712,0)),"")</f>
        <v/>
      </c>
      <c r="E23" s="30">
        <f>IFERROR(INDEX('Semi Metrics'!$E$574:$E$712,MATCH($B$4,'Semi Metrics'!$A$574:$A$712,0)),"")</f>
        <v/>
      </c>
      <c r="F23" s="30">
        <f>IFERROR(INDEX('Semi Metrics'!$F$574:$F$712,MATCH($B$4,'Semi Metrics'!$A$574:$A$712,0)),"")</f>
        <v/>
      </c>
      <c r="G23" s="30">
        <f>IFERROR(INDEX('Semi Metrics'!$G$574:$G$712,MATCH($B$4,'Semi Metrics'!$A$574:$A$712,0)),"")</f>
        <v/>
      </c>
      <c r="H23" s="30">
        <f>IFERROR(INDEX('Semi Metrics'!$H$574:$H$712,MATCH($B$4,'Semi Metrics'!$A$574:$A$712,0)),"")</f>
        <v/>
      </c>
      <c r="I23" s="30">
        <f>IFERROR(INDEX('Semi Metrics'!$I$574:$I$712,MATCH($B$4,'Semi Metrics'!$A$574:$A$712,0)),"")</f>
        <v/>
      </c>
      <c r="J23" s="30">
        <f>IFERROR(INDEX('Semi Metrics'!$J$574:$J$712,MATCH($B$4,'Semi Metrics'!$A$574:$A$712,0)),"")</f>
        <v/>
      </c>
      <c r="K23" s="30">
        <f>IFERROR(INDEX('Semi Metrics'!$K$574:$K$712,MATCH($B$4,'Semi Metrics'!$A$574:$A$712,0)),"")</f>
        <v/>
      </c>
      <c r="L23" s="30">
        <f>IFERROR(INDEX('Semi Metrics'!$L$574:$L$712,MATCH($B$4,'Semi Metrics'!$A$574:$A$712,0)),"")</f>
        <v/>
      </c>
      <c r="M23" s="31">
        <f>IFERROR(INDEX('Semi Metrics'!$M$574:$M$712,MATCH($B$4,'Semi Metrics'!$A$574:$A$712,0)),"")</f>
        <v/>
      </c>
      <c r="N23" s="31">
        <f>IFERROR(INDEX('Semi Metrics'!$N$574:$N$712,MATCH($B$4,'Semi Metrics'!$A$574:$A$712,0)),"")</f>
        <v/>
      </c>
    </row>
    <row r="24">
      <c r="A24" s="29" t="inlineStr"/>
      <c r="B24" s="32" t="inlineStr">
        <is>
          <t>Peer median</t>
        </is>
      </c>
      <c r="C24" s="33">
        <f>IFERROR(MEDIAN('Semi Metrics'!$C$574:$C$712),"")</f>
        <v/>
      </c>
      <c r="D24" s="33">
        <f>IFERROR(MEDIAN('Semi Metrics'!$D$574:$D$712),"")</f>
        <v/>
      </c>
      <c r="E24" s="33">
        <f>IFERROR(MEDIAN('Semi Metrics'!$E$574:$E$712),"")</f>
        <v/>
      </c>
      <c r="F24" s="33">
        <f>IFERROR(MEDIAN('Semi Metrics'!$F$574:$F$712),"")</f>
        <v/>
      </c>
      <c r="G24" s="33">
        <f>IFERROR(MEDIAN('Semi Metrics'!$G$574:$G$712),"")</f>
        <v/>
      </c>
      <c r="H24" s="33">
        <f>IFERROR(MEDIAN('Semi Metrics'!$H$574:$H$712),"")</f>
        <v/>
      </c>
      <c r="I24" s="33">
        <f>IFERROR(MEDIAN('Semi Metrics'!$I$574:$I$712),"")</f>
        <v/>
      </c>
      <c r="J24" s="33">
        <f>IFERROR(MEDIAN('Semi Metrics'!$J$574:$J$712),"")</f>
        <v/>
      </c>
      <c r="K24" s="33">
        <f>IFERROR(MEDIAN('Semi Metrics'!$K$574:$K$712),"")</f>
        <v/>
      </c>
      <c r="L24" s="33">
        <f>IFERROR(MEDIAN('Semi Metrics'!$L$574:$L$712),"")</f>
        <v/>
      </c>
      <c r="M24" s="34">
        <f>IFERROR(MEDIAN('Semi Metrics'!$M$574:$M$712),"")</f>
        <v/>
      </c>
      <c r="N24" s="34">
        <f>IFERROR(MEDIAN('Semi Metrics'!$N$574:$N$712),"")</f>
        <v/>
      </c>
    </row>
    <row r="25">
      <c r="A25" s="29" t="inlineStr"/>
      <c r="B25" s="32" t="inlineStr">
        <is>
          <t>vs median</t>
        </is>
      </c>
      <c r="C25" s="35">
        <f>IF(OR(C23="",C24=""),"",C23-C24)</f>
        <v/>
      </c>
      <c r="D25" s="35">
        <f>IF(OR(D23="",D24=""),"",D23-D24)</f>
        <v/>
      </c>
      <c r="E25" s="35">
        <f>IF(OR(E23="",E24=""),"",E23-E24)</f>
        <v/>
      </c>
      <c r="F25" s="35">
        <f>IF(OR(F23="",F24=""),"",F23-F24)</f>
        <v/>
      </c>
      <c r="G25" s="35">
        <f>IF(OR(G23="",G24=""),"",G23-G24)</f>
        <v/>
      </c>
      <c r="H25" s="35">
        <f>IF(OR(H23="",H24=""),"",H23-H24)</f>
        <v/>
      </c>
      <c r="I25" s="35">
        <f>IF(OR(I23="",I24=""),"",I23-I24)</f>
        <v/>
      </c>
      <c r="J25" s="35">
        <f>IF(OR(J23="",J24=""),"",J23-J24)</f>
        <v/>
      </c>
      <c r="K25" s="35">
        <f>IF(OR(K23="",K24=""),"",K23-K24)</f>
        <v/>
      </c>
      <c r="L25" s="35">
        <f>IF(OR(L23="",L24=""),"",L23-L24)</f>
        <v/>
      </c>
      <c r="M25" s="36">
        <f>IF(OR(M23="",M24=""),"",M23-M24)</f>
        <v/>
      </c>
      <c r="N25" s="36">
        <f>IF(OR(N23="",N24=""),"",N23-N24)</f>
        <v/>
      </c>
    </row>
    <row r="27">
      <c r="A27" s="27" t="inlineStr">
        <is>
          <t>Op margin %</t>
        </is>
      </c>
      <c r="B27" s="29" t="inlineStr">
        <is>
          <t>Company</t>
        </is>
      </c>
      <c r="C27" s="37">
        <f>IFERROR(INDEX('Semi Metrics'!$C$716:$C$854,MATCH($B$4,'Semi Metrics'!$A$716:$A$854,0)),"")</f>
        <v/>
      </c>
      <c r="D27" s="37">
        <f>IFERROR(INDEX('Semi Metrics'!$D$716:$D$854,MATCH($B$4,'Semi Metrics'!$A$716:$A$854,0)),"")</f>
        <v/>
      </c>
      <c r="E27" s="37">
        <f>IFERROR(INDEX('Semi Metrics'!$E$716:$E$854,MATCH($B$4,'Semi Metrics'!$A$716:$A$854,0)),"")</f>
        <v/>
      </c>
      <c r="F27" s="37">
        <f>IFERROR(INDEX('Semi Metrics'!$F$716:$F$854,MATCH($B$4,'Semi Metrics'!$A$716:$A$854,0)),"")</f>
        <v/>
      </c>
      <c r="G27" s="37">
        <f>IFERROR(INDEX('Semi Metrics'!$G$716:$G$854,MATCH($B$4,'Semi Metrics'!$A$716:$A$854,0)),"")</f>
        <v/>
      </c>
      <c r="H27" s="37">
        <f>IFERROR(INDEX('Semi Metrics'!$H$716:$H$854,MATCH($B$4,'Semi Metrics'!$A$716:$A$854,0)),"")</f>
        <v/>
      </c>
      <c r="I27" s="37">
        <f>IFERROR(INDEX('Semi Metrics'!$I$716:$I$854,MATCH($B$4,'Semi Metrics'!$A$716:$A$854,0)),"")</f>
        <v/>
      </c>
      <c r="J27" s="37">
        <f>IFERROR(INDEX('Semi Metrics'!$J$716:$J$854,MATCH($B$4,'Semi Metrics'!$A$716:$A$854,0)),"")</f>
        <v/>
      </c>
      <c r="K27" s="37">
        <f>IFERROR(INDEX('Semi Metrics'!$K$716:$K$854,MATCH($B$4,'Semi Metrics'!$A$716:$A$854,0)),"")</f>
        <v/>
      </c>
      <c r="L27" s="37">
        <f>IFERROR(INDEX('Semi Metrics'!$L$716:$L$854,MATCH($B$4,'Semi Metrics'!$A$716:$A$854,0)),"")</f>
        <v/>
      </c>
      <c r="M27" s="38">
        <f>IFERROR(INDEX('Semi Metrics'!$M$716:$M$854,MATCH($B$4,'Semi Metrics'!$A$716:$A$854,0)),"")</f>
        <v/>
      </c>
      <c r="N27" s="38">
        <f>IFERROR(INDEX('Semi Metrics'!$N$716:$N$854,MATCH($B$4,'Semi Metrics'!$A$716:$A$854,0)),"")</f>
        <v/>
      </c>
    </row>
    <row r="28">
      <c r="A28" s="29" t="inlineStr"/>
      <c r="B28" s="32" t="inlineStr">
        <is>
          <t>Peer median</t>
        </is>
      </c>
      <c r="C28" s="39">
        <f>IFERROR(MEDIAN('Semi Metrics'!$C$716:$C$854),"")</f>
        <v/>
      </c>
      <c r="D28" s="39">
        <f>IFERROR(MEDIAN('Semi Metrics'!$D$716:$D$854),"")</f>
        <v/>
      </c>
      <c r="E28" s="39">
        <f>IFERROR(MEDIAN('Semi Metrics'!$E$716:$E$854),"")</f>
        <v/>
      </c>
      <c r="F28" s="39">
        <f>IFERROR(MEDIAN('Semi Metrics'!$F$716:$F$854),"")</f>
        <v/>
      </c>
      <c r="G28" s="39">
        <f>IFERROR(MEDIAN('Semi Metrics'!$G$716:$G$854),"")</f>
        <v/>
      </c>
      <c r="H28" s="39">
        <f>IFERROR(MEDIAN('Semi Metrics'!$H$716:$H$854),"")</f>
        <v/>
      </c>
      <c r="I28" s="39">
        <f>IFERROR(MEDIAN('Semi Metrics'!$I$716:$I$854),"")</f>
        <v/>
      </c>
      <c r="J28" s="39">
        <f>IFERROR(MEDIAN('Semi Metrics'!$J$716:$J$854),"")</f>
        <v/>
      </c>
      <c r="K28" s="39">
        <f>IFERROR(MEDIAN('Semi Metrics'!$K$716:$K$854),"")</f>
        <v/>
      </c>
      <c r="L28" s="39">
        <f>IFERROR(MEDIAN('Semi Metrics'!$L$716:$L$854),"")</f>
        <v/>
      </c>
      <c r="M28" s="40">
        <f>IFERROR(MEDIAN('Semi Metrics'!$M$716:$M$854),"")</f>
        <v/>
      </c>
      <c r="N28" s="40">
        <f>IFERROR(MEDIAN('Semi Metrics'!$N$716:$N$854),"")</f>
        <v/>
      </c>
    </row>
    <row r="29">
      <c r="A29" s="29" t="inlineStr"/>
      <c r="B29" s="32" t="inlineStr">
        <is>
          <t>vs median</t>
        </is>
      </c>
      <c r="C29" s="41">
        <f>IF(OR(C27="",C28=""),"",C27-C28)</f>
        <v/>
      </c>
      <c r="D29" s="41">
        <f>IF(OR(D27="",D28=""),"",D27-D28)</f>
        <v/>
      </c>
      <c r="E29" s="41">
        <f>IF(OR(E27="",E28=""),"",E27-E28)</f>
        <v/>
      </c>
      <c r="F29" s="41">
        <f>IF(OR(F27="",F28=""),"",F27-F28)</f>
        <v/>
      </c>
      <c r="G29" s="41">
        <f>IF(OR(G27="",G28=""),"",G27-G28)</f>
        <v/>
      </c>
      <c r="H29" s="41">
        <f>IF(OR(H27="",H28=""),"",H27-H28)</f>
        <v/>
      </c>
      <c r="I29" s="41">
        <f>IF(OR(I27="",I28=""),"",I27-I28)</f>
        <v/>
      </c>
      <c r="J29" s="41">
        <f>IF(OR(J27="",J28=""),"",J27-J28)</f>
        <v/>
      </c>
      <c r="K29" s="41">
        <f>IF(OR(K27="",K28=""),"",K27-K28)</f>
        <v/>
      </c>
      <c r="L29" s="41">
        <f>IF(OR(L27="",L28=""),"",L27-L28)</f>
        <v/>
      </c>
      <c r="M29" s="42">
        <f>IF(OR(M27="",M28=""),"",M27-M28)</f>
        <v/>
      </c>
      <c r="N29" s="42">
        <f>IF(OR(N27="",N28=""),"",N27-N28)</f>
        <v/>
      </c>
    </row>
    <row r="31">
      <c r="A31" s="27" t="inlineStr">
        <is>
          <t>Op margin Δ YoY (bps)</t>
        </is>
      </c>
      <c r="B31" s="29" t="inlineStr">
        <is>
          <t>Company</t>
        </is>
      </c>
      <c r="C31" s="43">
        <f>IFERROR(INDEX('Semi Metrics'!$C$858:$C$996,MATCH($B$4,'Semi Metrics'!$A$858:$A$996,0)),"")</f>
        <v/>
      </c>
      <c r="D31" s="43">
        <f>IFERROR(INDEX('Semi Metrics'!$D$858:$D$996,MATCH($B$4,'Semi Metrics'!$A$858:$A$996,0)),"")</f>
        <v/>
      </c>
      <c r="E31" s="43">
        <f>IFERROR(INDEX('Semi Metrics'!$E$858:$E$996,MATCH($B$4,'Semi Metrics'!$A$858:$A$996,0)),"")</f>
        <v/>
      </c>
      <c r="F31" s="43">
        <f>IFERROR(INDEX('Semi Metrics'!$F$858:$F$996,MATCH($B$4,'Semi Metrics'!$A$858:$A$996,0)),"")</f>
        <v/>
      </c>
      <c r="G31" s="43">
        <f>IFERROR(INDEX('Semi Metrics'!$G$858:$G$996,MATCH($B$4,'Semi Metrics'!$A$858:$A$996,0)),"")</f>
        <v/>
      </c>
      <c r="H31" s="43">
        <f>IFERROR(INDEX('Semi Metrics'!$H$858:$H$996,MATCH($B$4,'Semi Metrics'!$A$858:$A$996,0)),"")</f>
        <v/>
      </c>
      <c r="I31" s="43">
        <f>IFERROR(INDEX('Semi Metrics'!$I$858:$I$996,MATCH($B$4,'Semi Metrics'!$A$858:$A$996,0)),"")</f>
        <v/>
      </c>
      <c r="J31" s="43">
        <f>IFERROR(INDEX('Semi Metrics'!$J$858:$J$996,MATCH($B$4,'Semi Metrics'!$A$858:$A$996,0)),"")</f>
        <v/>
      </c>
      <c r="K31" s="43">
        <f>IFERROR(INDEX('Semi Metrics'!$K$858:$K$996,MATCH($B$4,'Semi Metrics'!$A$858:$A$996,0)),"")</f>
        <v/>
      </c>
      <c r="L31" s="43">
        <f>IFERROR(INDEX('Semi Metrics'!$L$858:$L$996,MATCH($B$4,'Semi Metrics'!$A$858:$A$996,0)),"")</f>
        <v/>
      </c>
      <c r="M31" s="44">
        <f>IFERROR(INDEX('Semi Metrics'!$M$858:$M$996,MATCH($B$4,'Semi Metrics'!$A$858:$A$996,0)),"")</f>
        <v/>
      </c>
      <c r="N31" s="44">
        <f>IFERROR(INDEX('Semi Metrics'!$N$858:$N$996,MATCH($B$4,'Semi Metrics'!$A$858:$A$996,0)),"")</f>
        <v/>
      </c>
    </row>
    <row r="32">
      <c r="A32" s="29" t="inlineStr"/>
      <c r="B32" s="32" t="inlineStr">
        <is>
          <t>Peer median</t>
        </is>
      </c>
      <c r="C32" s="45">
        <f>IFERROR(MEDIAN('Semi Metrics'!$C$858:$C$996),"")</f>
        <v/>
      </c>
      <c r="D32" s="45">
        <f>IFERROR(MEDIAN('Semi Metrics'!$D$858:$D$996),"")</f>
        <v/>
      </c>
      <c r="E32" s="45">
        <f>IFERROR(MEDIAN('Semi Metrics'!$E$858:$E$996),"")</f>
        <v/>
      </c>
      <c r="F32" s="45">
        <f>IFERROR(MEDIAN('Semi Metrics'!$F$858:$F$996),"")</f>
        <v/>
      </c>
      <c r="G32" s="45">
        <f>IFERROR(MEDIAN('Semi Metrics'!$G$858:$G$996),"")</f>
        <v/>
      </c>
      <c r="H32" s="45">
        <f>IFERROR(MEDIAN('Semi Metrics'!$H$858:$H$996),"")</f>
        <v/>
      </c>
      <c r="I32" s="45">
        <f>IFERROR(MEDIAN('Semi Metrics'!$I$858:$I$996),"")</f>
        <v/>
      </c>
      <c r="J32" s="45">
        <f>IFERROR(MEDIAN('Semi Metrics'!$J$858:$J$996),"")</f>
        <v/>
      </c>
      <c r="K32" s="45">
        <f>IFERROR(MEDIAN('Semi Metrics'!$K$858:$K$996),"")</f>
        <v/>
      </c>
      <c r="L32" s="45">
        <f>IFERROR(MEDIAN('Semi Metrics'!$L$858:$L$996),"")</f>
        <v/>
      </c>
      <c r="M32" s="46">
        <f>IFERROR(MEDIAN('Semi Metrics'!$M$858:$M$996),"")</f>
        <v/>
      </c>
      <c r="N32" s="46">
        <f>IFERROR(MEDIAN('Semi Metrics'!$N$858:$N$996),"")</f>
        <v/>
      </c>
    </row>
    <row r="33">
      <c r="A33" s="29" t="inlineStr"/>
      <c r="B33" s="32" t="inlineStr">
        <is>
          <t>vs median</t>
        </is>
      </c>
      <c r="C33" s="47">
        <f>IF(OR(C31="",C32=""),"",C31-C32)</f>
        <v/>
      </c>
      <c r="D33" s="47">
        <f>IF(OR(D31="",D32=""),"",D31-D32)</f>
        <v/>
      </c>
      <c r="E33" s="47">
        <f>IF(OR(E31="",E32=""),"",E31-E32)</f>
        <v/>
      </c>
      <c r="F33" s="47">
        <f>IF(OR(F31="",F32=""),"",F31-F32)</f>
        <v/>
      </c>
      <c r="G33" s="47">
        <f>IF(OR(G31="",G32=""),"",G31-G32)</f>
        <v/>
      </c>
      <c r="H33" s="47">
        <f>IF(OR(H31="",H32=""),"",H31-H32)</f>
        <v/>
      </c>
      <c r="I33" s="47">
        <f>IF(OR(I31="",I32=""),"",I31-I32)</f>
        <v/>
      </c>
      <c r="J33" s="47">
        <f>IF(OR(J31="",J32=""),"",J31-J32)</f>
        <v/>
      </c>
      <c r="K33" s="47">
        <f>IF(OR(K31="",K32=""),"",K31-K32)</f>
        <v/>
      </c>
      <c r="L33" s="47">
        <f>IF(OR(L31="",L32=""),"",L31-L32)</f>
        <v/>
      </c>
      <c r="M33" s="48">
        <f>IF(OR(M31="",M32=""),"",M31-M32)</f>
        <v/>
      </c>
      <c r="N33" s="48">
        <f>IF(OR(N31="",N32=""),"",N31-N32)</f>
        <v/>
      </c>
    </row>
    <row r="35">
      <c r="A35" s="27" t="inlineStr">
        <is>
          <t>Op income YoY %</t>
        </is>
      </c>
      <c r="B35" s="29" t="inlineStr">
        <is>
          <t>Company</t>
        </is>
      </c>
      <c r="C35" s="37">
        <f>IFERROR(INDEX('Semi Metrics'!$C$1000:$C$1138,MATCH($B$4,'Semi Metrics'!$A$1000:$A$1138,0)),"")</f>
        <v/>
      </c>
      <c r="D35" s="37">
        <f>IFERROR(INDEX('Semi Metrics'!$D$1000:$D$1138,MATCH($B$4,'Semi Metrics'!$A$1000:$A$1138,0)),"")</f>
        <v/>
      </c>
      <c r="E35" s="37">
        <f>IFERROR(INDEX('Semi Metrics'!$E$1000:$E$1138,MATCH($B$4,'Semi Metrics'!$A$1000:$A$1138,0)),"")</f>
        <v/>
      </c>
      <c r="F35" s="37">
        <f>IFERROR(INDEX('Semi Metrics'!$F$1000:$F$1138,MATCH($B$4,'Semi Metrics'!$A$1000:$A$1138,0)),"")</f>
        <v/>
      </c>
      <c r="G35" s="37">
        <f>IFERROR(INDEX('Semi Metrics'!$G$1000:$G$1138,MATCH($B$4,'Semi Metrics'!$A$1000:$A$1138,0)),"")</f>
        <v/>
      </c>
      <c r="H35" s="37">
        <f>IFERROR(INDEX('Semi Metrics'!$H$1000:$H$1138,MATCH($B$4,'Semi Metrics'!$A$1000:$A$1138,0)),"")</f>
        <v/>
      </c>
      <c r="I35" s="37">
        <f>IFERROR(INDEX('Semi Metrics'!$I$1000:$I$1138,MATCH($B$4,'Semi Metrics'!$A$1000:$A$1138,0)),"")</f>
        <v/>
      </c>
      <c r="J35" s="37">
        <f>IFERROR(INDEX('Semi Metrics'!$J$1000:$J$1138,MATCH($B$4,'Semi Metrics'!$A$1000:$A$1138,0)),"")</f>
        <v/>
      </c>
      <c r="K35" s="37">
        <f>IFERROR(INDEX('Semi Metrics'!$K$1000:$K$1138,MATCH($B$4,'Semi Metrics'!$A$1000:$A$1138,0)),"")</f>
        <v/>
      </c>
      <c r="L35" s="37">
        <f>IFERROR(INDEX('Semi Metrics'!$L$1000:$L$1138,MATCH($B$4,'Semi Metrics'!$A$1000:$A$1138,0)),"")</f>
        <v/>
      </c>
      <c r="M35" s="38">
        <f>IFERROR(INDEX('Semi Metrics'!$M$1000:$M$1138,MATCH($B$4,'Semi Metrics'!$A$1000:$A$1138,0)),"")</f>
        <v/>
      </c>
      <c r="N35" s="38">
        <f>IFERROR(INDEX('Semi Metrics'!$N$1000:$N$1138,MATCH($B$4,'Semi Metrics'!$A$1000:$A$1138,0)),"")</f>
        <v/>
      </c>
    </row>
    <row r="36">
      <c r="A36" s="29" t="inlineStr"/>
      <c r="B36" s="32" t="inlineStr">
        <is>
          <t>Peer median</t>
        </is>
      </c>
      <c r="C36" s="39">
        <f>IFERROR(MEDIAN('Semi Metrics'!$C$1000:$C$1138),"")</f>
        <v/>
      </c>
      <c r="D36" s="39">
        <f>IFERROR(MEDIAN('Semi Metrics'!$D$1000:$D$1138),"")</f>
        <v/>
      </c>
      <c r="E36" s="39">
        <f>IFERROR(MEDIAN('Semi Metrics'!$E$1000:$E$1138),"")</f>
        <v/>
      </c>
      <c r="F36" s="39">
        <f>IFERROR(MEDIAN('Semi Metrics'!$F$1000:$F$1138),"")</f>
        <v/>
      </c>
      <c r="G36" s="39">
        <f>IFERROR(MEDIAN('Semi Metrics'!$G$1000:$G$1138),"")</f>
        <v/>
      </c>
      <c r="H36" s="39">
        <f>IFERROR(MEDIAN('Semi Metrics'!$H$1000:$H$1138),"")</f>
        <v/>
      </c>
      <c r="I36" s="39">
        <f>IFERROR(MEDIAN('Semi Metrics'!$I$1000:$I$1138),"")</f>
        <v/>
      </c>
      <c r="J36" s="39">
        <f>IFERROR(MEDIAN('Semi Metrics'!$J$1000:$J$1138),"")</f>
        <v/>
      </c>
      <c r="K36" s="39">
        <f>IFERROR(MEDIAN('Semi Metrics'!$K$1000:$K$1138),"")</f>
        <v/>
      </c>
      <c r="L36" s="39">
        <f>IFERROR(MEDIAN('Semi Metrics'!$L$1000:$L$1138),"")</f>
        <v/>
      </c>
      <c r="M36" s="40">
        <f>IFERROR(MEDIAN('Semi Metrics'!$M$1000:$M$1138),"")</f>
        <v/>
      </c>
      <c r="N36" s="40">
        <f>IFERROR(MEDIAN('Semi Metrics'!$N$1000:$N$1138),"")</f>
        <v/>
      </c>
    </row>
    <row r="37">
      <c r="A37" s="29" t="inlineStr"/>
      <c r="B37" s="32" t="inlineStr">
        <is>
          <t>vs median</t>
        </is>
      </c>
      <c r="C37" s="41">
        <f>IF(OR(C35="",C36=""),"",C35-C36)</f>
        <v/>
      </c>
      <c r="D37" s="41">
        <f>IF(OR(D35="",D36=""),"",D35-D36)</f>
        <v/>
      </c>
      <c r="E37" s="41">
        <f>IF(OR(E35="",E36=""),"",E35-E36)</f>
        <v/>
      </c>
      <c r="F37" s="41">
        <f>IF(OR(F35="",F36=""),"",F35-F36)</f>
        <v/>
      </c>
      <c r="G37" s="41">
        <f>IF(OR(G35="",G36=""),"",G35-G36)</f>
        <v/>
      </c>
      <c r="H37" s="41">
        <f>IF(OR(H35="",H36=""),"",H35-H36)</f>
        <v/>
      </c>
      <c r="I37" s="41">
        <f>IF(OR(I35="",I36=""),"",I35-I36)</f>
        <v/>
      </c>
      <c r="J37" s="41">
        <f>IF(OR(J35="",J36=""),"",J35-J36)</f>
        <v/>
      </c>
      <c r="K37" s="41">
        <f>IF(OR(K35="",K36=""),"",K35-K36)</f>
        <v/>
      </c>
      <c r="L37" s="41">
        <f>IF(OR(L35="",L36=""),"",L35-L36)</f>
        <v/>
      </c>
      <c r="M37" s="42">
        <f>IF(OR(M35="",M36=""),"",M35-M36)</f>
        <v/>
      </c>
      <c r="N37" s="42">
        <f>IF(OR(N35="",N36=""),"",N35-N36)</f>
        <v/>
      </c>
    </row>
    <row r="39">
      <c r="A39" s="27" t="inlineStr">
        <is>
          <t>Incremental OpM % (leverage)</t>
        </is>
      </c>
      <c r="B39" s="29" t="inlineStr">
        <is>
          <t>Company</t>
        </is>
      </c>
      <c r="C39" s="37">
        <f>IFERROR(INDEX('Semi Metrics'!$C$1142:$C$1280,MATCH($B$4,'Semi Metrics'!$A$1142:$A$1280,0)),"")</f>
        <v/>
      </c>
      <c r="D39" s="37">
        <f>IFERROR(INDEX('Semi Metrics'!$D$1142:$D$1280,MATCH($B$4,'Semi Metrics'!$A$1142:$A$1280,0)),"")</f>
        <v/>
      </c>
      <c r="E39" s="37">
        <f>IFERROR(INDEX('Semi Metrics'!$E$1142:$E$1280,MATCH($B$4,'Semi Metrics'!$A$1142:$A$1280,0)),"")</f>
        <v/>
      </c>
      <c r="F39" s="37">
        <f>IFERROR(INDEX('Semi Metrics'!$F$1142:$F$1280,MATCH($B$4,'Semi Metrics'!$A$1142:$A$1280,0)),"")</f>
        <v/>
      </c>
      <c r="G39" s="37">
        <f>IFERROR(INDEX('Semi Metrics'!$G$1142:$G$1280,MATCH($B$4,'Semi Metrics'!$A$1142:$A$1280,0)),"")</f>
        <v/>
      </c>
      <c r="H39" s="37">
        <f>IFERROR(INDEX('Semi Metrics'!$H$1142:$H$1280,MATCH($B$4,'Semi Metrics'!$A$1142:$A$1280,0)),"")</f>
        <v/>
      </c>
      <c r="I39" s="37">
        <f>IFERROR(INDEX('Semi Metrics'!$I$1142:$I$1280,MATCH($B$4,'Semi Metrics'!$A$1142:$A$1280,0)),"")</f>
        <v/>
      </c>
      <c r="J39" s="37">
        <f>IFERROR(INDEX('Semi Metrics'!$J$1142:$J$1280,MATCH($B$4,'Semi Metrics'!$A$1142:$A$1280,0)),"")</f>
        <v/>
      </c>
      <c r="K39" s="37">
        <f>IFERROR(INDEX('Semi Metrics'!$K$1142:$K$1280,MATCH($B$4,'Semi Metrics'!$A$1142:$A$1280,0)),"")</f>
        <v/>
      </c>
      <c r="L39" s="37">
        <f>IFERROR(INDEX('Semi Metrics'!$L$1142:$L$1280,MATCH($B$4,'Semi Metrics'!$A$1142:$A$1280,0)),"")</f>
        <v/>
      </c>
      <c r="M39" s="38">
        <f>IFERROR(INDEX('Semi Metrics'!$M$1142:$M$1280,MATCH($B$4,'Semi Metrics'!$A$1142:$A$1280,0)),"")</f>
        <v/>
      </c>
      <c r="N39" s="38">
        <f>IFERROR(INDEX('Semi Metrics'!$N$1142:$N$1280,MATCH($B$4,'Semi Metrics'!$A$1142:$A$1280,0)),"")</f>
        <v/>
      </c>
    </row>
    <row r="40">
      <c r="A40" s="29" t="inlineStr"/>
      <c r="B40" s="32" t="inlineStr">
        <is>
          <t>Peer median</t>
        </is>
      </c>
      <c r="C40" s="39">
        <f>IFERROR(MEDIAN('Semi Metrics'!$C$1142:$C$1280),"")</f>
        <v/>
      </c>
      <c r="D40" s="39">
        <f>IFERROR(MEDIAN('Semi Metrics'!$D$1142:$D$1280),"")</f>
        <v/>
      </c>
      <c r="E40" s="39">
        <f>IFERROR(MEDIAN('Semi Metrics'!$E$1142:$E$1280),"")</f>
        <v/>
      </c>
      <c r="F40" s="39">
        <f>IFERROR(MEDIAN('Semi Metrics'!$F$1142:$F$1280),"")</f>
        <v/>
      </c>
      <c r="G40" s="39">
        <f>IFERROR(MEDIAN('Semi Metrics'!$G$1142:$G$1280),"")</f>
        <v/>
      </c>
      <c r="H40" s="39">
        <f>IFERROR(MEDIAN('Semi Metrics'!$H$1142:$H$1280),"")</f>
        <v/>
      </c>
      <c r="I40" s="39">
        <f>IFERROR(MEDIAN('Semi Metrics'!$I$1142:$I$1280),"")</f>
        <v/>
      </c>
      <c r="J40" s="39">
        <f>IFERROR(MEDIAN('Semi Metrics'!$J$1142:$J$1280),"")</f>
        <v/>
      </c>
      <c r="K40" s="39">
        <f>IFERROR(MEDIAN('Semi Metrics'!$K$1142:$K$1280),"")</f>
        <v/>
      </c>
      <c r="L40" s="39">
        <f>IFERROR(MEDIAN('Semi Metrics'!$L$1142:$L$1280),"")</f>
        <v/>
      </c>
      <c r="M40" s="40">
        <f>IFERROR(MEDIAN('Semi Metrics'!$M$1142:$M$1280),"")</f>
        <v/>
      </c>
      <c r="N40" s="40">
        <f>IFERROR(MEDIAN('Semi Metrics'!$N$1142:$N$1280),"")</f>
        <v/>
      </c>
    </row>
    <row r="41">
      <c r="A41" s="29" t="inlineStr"/>
      <c r="B41" s="32" t="inlineStr">
        <is>
          <t>vs median</t>
        </is>
      </c>
      <c r="C41" s="41">
        <f>IF(OR(C39="",C40=""),"",C39-C40)</f>
        <v/>
      </c>
      <c r="D41" s="41">
        <f>IF(OR(D39="",D40=""),"",D39-D40)</f>
        <v/>
      </c>
      <c r="E41" s="41">
        <f>IF(OR(E39="",E40=""),"",E39-E40)</f>
        <v/>
      </c>
      <c r="F41" s="41">
        <f>IF(OR(F39="",F40=""),"",F39-F40)</f>
        <v/>
      </c>
      <c r="G41" s="41">
        <f>IF(OR(G39="",G40=""),"",G39-G40)</f>
        <v/>
      </c>
      <c r="H41" s="41">
        <f>IF(OR(H39="",H40=""),"",H39-H40)</f>
        <v/>
      </c>
      <c r="I41" s="41">
        <f>IF(OR(I39="",I40=""),"",I39-I40)</f>
        <v/>
      </c>
      <c r="J41" s="41">
        <f>IF(OR(J39="",J40=""),"",J39-J40)</f>
        <v/>
      </c>
      <c r="K41" s="41">
        <f>IF(OR(K39="",K40=""),"",K39-K40)</f>
        <v/>
      </c>
      <c r="L41" s="41">
        <f>IF(OR(L39="",L40=""),"",L39-L40)</f>
        <v/>
      </c>
      <c r="M41" s="42">
        <f>IF(OR(M39="",M40=""),"",M39-M40)</f>
        <v/>
      </c>
      <c r="N41" s="42">
        <f>IF(OR(N39="",N40=""),"",N39-N40)</f>
        <v/>
      </c>
    </row>
    <row r="43">
      <c r="A43" s="27" t="inlineStr">
        <is>
          <t>FCF margin LTM %</t>
        </is>
      </c>
      <c r="B43" s="29" t="inlineStr">
        <is>
          <t>Company</t>
        </is>
      </c>
      <c r="C43" s="37">
        <f>IFERROR(INDEX('Semi Metrics'!$C$1284:$C$1422,MATCH($B$4,'Semi Metrics'!$A$1284:$A$1422,0)),"")</f>
        <v/>
      </c>
      <c r="D43" s="37">
        <f>IFERROR(INDEX('Semi Metrics'!$D$1284:$D$1422,MATCH($B$4,'Semi Metrics'!$A$1284:$A$1422,0)),"")</f>
        <v/>
      </c>
      <c r="E43" s="37">
        <f>IFERROR(INDEX('Semi Metrics'!$E$1284:$E$1422,MATCH($B$4,'Semi Metrics'!$A$1284:$A$1422,0)),"")</f>
        <v/>
      </c>
      <c r="F43" s="37">
        <f>IFERROR(INDEX('Semi Metrics'!$F$1284:$F$1422,MATCH($B$4,'Semi Metrics'!$A$1284:$A$1422,0)),"")</f>
        <v/>
      </c>
      <c r="G43" s="37">
        <f>IFERROR(INDEX('Semi Metrics'!$G$1284:$G$1422,MATCH($B$4,'Semi Metrics'!$A$1284:$A$1422,0)),"")</f>
        <v/>
      </c>
      <c r="H43" s="37">
        <f>IFERROR(INDEX('Semi Metrics'!$H$1284:$H$1422,MATCH($B$4,'Semi Metrics'!$A$1284:$A$1422,0)),"")</f>
        <v/>
      </c>
      <c r="I43" s="37">
        <f>IFERROR(INDEX('Semi Metrics'!$I$1284:$I$1422,MATCH($B$4,'Semi Metrics'!$A$1284:$A$1422,0)),"")</f>
        <v/>
      </c>
      <c r="J43" s="37">
        <f>IFERROR(INDEX('Semi Metrics'!$J$1284:$J$1422,MATCH($B$4,'Semi Metrics'!$A$1284:$A$1422,0)),"")</f>
        <v/>
      </c>
      <c r="K43" s="37">
        <f>IFERROR(INDEX('Semi Metrics'!$K$1284:$K$1422,MATCH($B$4,'Semi Metrics'!$A$1284:$A$1422,0)),"")</f>
        <v/>
      </c>
      <c r="L43" s="37">
        <f>IFERROR(INDEX('Semi Metrics'!$L$1284:$L$1422,MATCH($B$4,'Semi Metrics'!$A$1284:$A$1422,0)),"")</f>
        <v/>
      </c>
      <c r="M43" s="38">
        <f>IFERROR(INDEX('Semi Metrics'!$M$1284:$M$1422,MATCH($B$4,'Semi Metrics'!$A$1284:$A$1422,0)),"")</f>
        <v/>
      </c>
      <c r="N43" s="38">
        <f>IFERROR(INDEX('Semi Metrics'!$N$1284:$N$1422,MATCH($B$4,'Semi Metrics'!$A$1284:$A$1422,0)),"")</f>
        <v/>
      </c>
    </row>
    <row r="44">
      <c r="A44" s="29" t="inlineStr"/>
      <c r="B44" s="32" t="inlineStr">
        <is>
          <t>Peer median</t>
        </is>
      </c>
      <c r="C44" s="39">
        <f>IFERROR(MEDIAN('Semi Metrics'!$C$1284:$C$1422),"")</f>
        <v/>
      </c>
      <c r="D44" s="39">
        <f>IFERROR(MEDIAN('Semi Metrics'!$D$1284:$D$1422),"")</f>
        <v/>
      </c>
      <c r="E44" s="39">
        <f>IFERROR(MEDIAN('Semi Metrics'!$E$1284:$E$1422),"")</f>
        <v/>
      </c>
      <c r="F44" s="39">
        <f>IFERROR(MEDIAN('Semi Metrics'!$F$1284:$F$1422),"")</f>
        <v/>
      </c>
      <c r="G44" s="39">
        <f>IFERROR(MEDIAN('Semi Metrics'!$G$1284:$G$1422),"")</f>
        <v/>
      </c>
      <c r="H44" s="39">
        <f>IFERROR(MEDIAN('Semi Metrics'!$H$1284:$H$1422),"")</f>
        <v/>
      </c>
      <c r="I44" s="39">
        <f>IFERROR(MEDIAN('Semi Metrics'!$I$1284:$I$1422),"")</f>
        <v/>
      </c>
      <c r="J44" s="39">
        <f>IFERROR(MEDIAN('Semi Metrics'!$J$1284:$J$1422),"")</f>
        <v/>
      </c>
      <c r="K44" s="39">
        <f>IFERROR(MEDIAN('Semi Metrics'!$K$1284:$K$1422),"")</f>
        <v/>
      </c>
      <c r="L44" s="39">
        <f>IFERROR(MEDIAN('Semi Metrics'!$L$1284:$L$1422),"")</f>
        <v/>
      </c>
      <c r="M44" s="40">
        <f>IFERROR(MEDIAN('Semi Metrics'!$M$1284:$M$1422),"")</f>
        <v/>
      </c>
      <c r="N44" s="40">
        <f>IFERROR(MEDIAN('Semi Metrics'!$N$1284:$N$1422),"")</f>
        <v/>
      </c>
    </row>
    <row r="45">
      <c r="A45" s="29" t="inlineStr"/>
      <c r="B45" s="32" t="inlineStr">
        <is>
          <t>vs median</t>
        </is>
      </c>
      <c r="C45" s="41">
        <f>IF(OR(C43="",C44=""),"",C43-C44)</f>
        <v/>
      </c>
      <c r="D45" s="41">
        <f>IF(OR(D43="",D44=""),"",D43-D44)</f>
        <v/>
      </c>
      <c r="E45" s="41">
        <f>IF(OR(E43="",E44=""),"",E43-E44)</f>
        <v/>
      </c>
      <c r="F45" s="41">
        <f>IF(OR(F43="",F44=""),"",F43-F44)</f>
        <v/>
      </c>
      <c r="G45" s="41">
        <f>IF(OR(G43="",G44=""),"",G43-G44)</f>
        <v/>
      </c>
      <c r="H45" s="41">
        <f>IF(OR(H43="",H44=""),"",H43-H44)</f>
        <v/>
      </c>
      <c r="I45" s="41">
        <f>IF(OR(I43="",I44=""),"",I43-I44)</f>
        <v/>
      </c>
      <c r="J45" s="41">
        <f>IF(OR(J43="",J44=""),"",J43-J44)</f>
        <v/>
      </c>
      <c r="K45" s="41">
        <f>IF(OR(K43="",K44=""),"",K43-K44)</f>
        <v/>
      </c>
      <c r="L45" s="41">
        <f>IF(OR(L43="",L44=""),"",L43-L44)</f>
        <v/>
      </c>
      <c r="M45" s="42">
        <f>IF(OR(M43="",M44=""),"",M43-M44)</f>
        <v/>
      </c>
      <c r="N45" s="42">
        <f>IF(OR(N43="",N44=""),"",N43-N44)</f>
        <v/>
      </c>
    </row>
    <row r="47">
      <c r="A47" s="27" t="inlineStr">
        <is>
          <t>FCF margin Δ YoY (bps)</t>
        </is>
      </c>
      <c r="B47" s="29" t="inlineStr">
        <is>
          <t>Company</t>
        </is>
      </c>
      <c r="C47" s="43">
        <f>IFERROR(INDEX('Semi Metrics'!$C$1426:$C$1564,MATCH($B$4,'Semi Metrics'!$A$1426:$A$1564,0)),"")</f>
        <v/>
      </c>
      <c r="D47" s="43">
        <f>IFERROR(INDEX('Semi Metrics'!$D$1426:$D$1564,MATCH($B$4,'Semi Metrics'!$A$1426:$A$1564,0)),"")</f>
        <v/>
      </c>
      <c r="E47" s="43">
        <f>IFERROR(INDEX('Semi Metrics'!$E$1426:$E$1564,MATCH($B$4,'Semi Metrics'!$A$1426:$A$1564,0)),"")</f>
        <v/>
      </c>
      <c r="F47" s="43">
        <f>IFERROR(INDEX('Semi Metrics'!$F$1426:$F$1564,MATCH($B$4,'Semi Metrics'!$A$1426:$A$1564,0)),"")</f>
        <v/>
      </c>
      <c r="G47" s="43">
        <f>IFERROR(INDEX('Semi Metrics'!$G$1426:$G$1564,MATCH($B$4,'Semi Metrics'!$A$1426:$A$1564,0)),"")</f>
        <v/>
      </c>
      <c r="H47" s="43">
        <f>IFERROR(INDEX('Semi Metrics'!$H$1426:$H$1564,MATCH($B$4,'Semi Metrics'!$A$1426:$A$1564,0)),"")</f>
        <v/>
      </c>
      <c r="I47" s="43">
        <f>IFERROR(INDEX('Semi Metrics'!$I$1426:$I$1564,MATCH($B$4,'Semi Metrics'!$A$1426:$A$1564,0)),"")</f>
        <v/>
      </c>
      <c r="J47" s="43">
        <f>IFERROR(INDEX('Semi Metrics'!$J$1426:$J$1564,MATCH($B$4,'Semi Metrics'!$A$1426:$A$1564,0)),"")</f>
        <v/>
      </c>
      <c r="K47" s="43">
        <f>IFERROR(INDEX('Semi Metrics'!$K$1426:$K$1564,MATCH($B$4,'Semi Metrics'!$A$1426:$A$1564,0)),"")</f>
        <v/>
      </c>
      <c r="L47" s="43">
        <f>IFERROR(INDEX('Semi Metrics'!$L$1426:$L$1564,MATCH($B$4,'Semi Metrics'!$A$1426:$A$1564,0)),"")</f>
        <v/>
      </c>
      <c r="M47" s="44">
        <f>IFERROR(INDEX('Semi Metrics'!$M$1426:$M$1564,MATCH($B$4,'Semi Metrics'!$A$1426:$A$1564,0)),"")</f>
        <v/>
      </c>
      <c r="N47" s="44">
        <f>IFERROR(INDEX('Semi Metrics'!$N$1426:$N$1564,MATCH($B$4,'Semi Metrics'!$A$1426:$A$1564,0)),"")</f>
        <v/>
      </c>
    </row>
    <row r="48">
      <c r="A48" s="29" t="inlineStr"/>
      <c r="B48" s="32" t="inlineStr">
        <is>
          <t>Peer median</t>
        </is>
      </c>
      <c r="C48" s="45">
        <f>IFERROR(MEDIAN('Semi Metrics'!$C$1426:$C$1564),"")</f>
        <v/>
      </c>
      <c r="D48" s="45">
        <f>IFERROR(MEDIAN('Semi Metrics'!$D$1426:$D$1564),"")</f>
        <v/>
      </c>
      <c r="E48" s="45">
        <f>IFERROR(MEDIAN('Semi Metrics'!$E$1426:$E$1564),"")</f>
        <v/>
      </c>
      <c r="F48" s="45">
        <f>IFERROR(MEDIAN('Semi Metrics'!$F$1426:$F$1564),"")</f>
        <v/>
      </c>
      <c r="G48" s="45">
        <f>IFERROR(MEDIAN('Semi Metrics'!$G$1426:$G$1564),"")</f>
        <v/>
      </c>
      <c r="H48" s="45">
        <f>IFERROR(MEDIAN('Semi Metrics'!$H$1426:$H$1564),"")</f>
        <v/>
      </c>
      <c r="I48" s="45">
        <f>IFERROR(MEDIAN('Semi Metrics'!$I$1426:$I$1564),"")</f>
        <v/>
      </c>
      <c r="J48" s="45">
        <f>IFERROR(MEDIAN('Semi Metrics'!$J$1426:$J$1564),"")</f>
        <v/>
      </c>
      <c r="K48" s="45">
        <f>IFERROR(MEDIAN('Semi Metrics'!$K$1426:$K$1564),"")</f>
        <v/>
      </c>
      <c r="L48" s="45">
        <f>IFERROR(MEDIAN('Semi Metrics'!$L$1426:$L$1564),"")</f>
        <v/>
      </c>
      <c r="M48" s="46">
        <f>IFERROR(MEDIAN('Semi Metrics'!$M$1426:$M$1564),"")</f>
        <v/>
      </c>
      <c r="N48" s="46">
        <f>IFERROR(MEDIAN('Semi Metrics'!$N$1426:$N$1564),"")</f>
        <v/>
      </c>
    </row>
    <row r="49">
      <c r="A49" s="29" t="inlineStr"/>
      <c r="B49" s="32" t="inlineStr">
        <is>
          <t>vs median</t>
        </is>
      </c>
      <c r="C49" s="47">
        <f>IF(OR(C47="",C48=""),"",C47-C48)</f>
        <v/>
      </c>
      <c r="D49" s="47">
        <f>IF(OR(D47="",D48=""),"",D47-D48)</f>
        <v/>
      </c>
      <c r="E49" s="47">
        <f>IF(OR(E47="",E48=""),"",E47-E48)</f>
        <v/>
      </c>
      <c r="F49" s="47">
        <f>IF(OR(F47="",F48=""),"",F47-F48)</f>
        <v/>
      </c>
      <c r="G49" s="47">
        <f>IF(OR(G47="",G48=""),"",G47-G48)</f>
        <v/>
      </c>
      <c r="H49" s="47">
        <f>IF(OR(H47="",H48=""),"",H47-H48)</f>
        <v/>
      </c>
      <c r="I49" s="47">
        <f>IF(OR(I47="",I48=""),"",I47-I48)</f>
        <v/>
      </c>
      <c r="J49" s="47">
        <f>IF(OR(J47="",J48=""),"",J47-J48)</f>
        <v/>
      </c>
      <c r="K49" s="47">
        <f>IF(OR(K47="",K48=""),"",K47-K48)</f>
        <v/>
      </c>
      <c r="L49" s="47">
        <f>IF(OR(L47="",L48=""),"",L47-L48)</f>
        <v/>
      </c>
      <c r="M49" s="48">
        <f>IF(OR(M47="",M48=""),"",M47-M48)</f>
        <v/>
      </c>
      <c r="N49" s="48">
        <f>IF(OR(N47="",N48=""),"",N47-N48)</f>
        <v/>
      </c>
    </row>
    <row r="51">
      <c r="A51" s="49" t="inlineStr">
        <is>
          <t>NTM estimate revisions</t>
        </is>
      </c>
      <c r="B51" s="50" t="n"/>
      <c r="C51" s="50" t="n"/>
      <c r="D51" s="50" t="n"/>
      <c r="E51" s="50" t="n"/>
    </row>
    <row r="52">
      <c r="A52" s="8" t="inlineStr">
        <is>
          <t>Metric</t>
        </is>
      </c>
      <c r="B52" s="8" t="inlineStr">
        <is>
          <t>Series</t>
        </is>
      </c>
      <c r="C52" s="8" t="inlineStr">
        <is>
          <t>Δ1M %</t>
        </is>
      </c>
      <c r="D52" s="8" t="inlineStr">
        <is>
          <t>Δ3M %</t>
        </is>
      </c>
      <c r="E52" s="8" t="inlineStr">
        <is>
          <t>Δ6M %</t>
        </is>
      </c>
    </row>
    <row r="53">
      <c r="A53" s="27" t="inlineStr">
        <is>
          <t>NTM Revenue revision</t>
        </is>
      </c>
      <c r="B53" s="29" t="inlineStr">
        <is>
          <t>Company</t>
        </is>
      </c>
      <c r="C53" s="22">
        <f>IFERROR(INDEX('Semi Revisions'!$G$6:$G$144,MATCH($B$4,'Semi Revisions'!$A$6:$A$144,0)),"")</f>
        <v/>
      </c>
      <c r="D53" s="22">
        <f>IFERROR(INDEX('Semi Revisions'!$H$6:$H$144,MATCH($B$4,'Semi Revisions'!$A$6:$A$144,0)),"")</f>
        <v/>
      </c>
      <c r="E53" s="22">
        <f>IFERROR(INDEX('Semi Revisions'!$I$6:$I$144,MATCH($B$4,'Semi Revisions'!$A$6:$A$144,0)),"")</f>
        <v/>
      </c>
    </row>
    <row r="54">
      <c r="A54" s="29" t="inlineStr"/>
      <c r="B54" s="32" t="inlineStr">
        <is>
          <t>Peer median</t>
        </is>
      </c>
      <c r="C54" s="51">
        <f>IFERROR(MEDIAN('Semi Revisions'!$G$6:$G$144),"")</f>
        <v/>
      </c>
      <c r="D54" s="51">
        <f>IFERROR(MEDIAN('Semi Revisions'!$H$6:$H$144),"")</f>
        <v/>
      </c>
      <c r="E54" s="51">
        <f>IFERROR(MEDIAN('Semi Revisions'!$I$6:$I$144),"")</f>
        <v/>
      </c>
    </row>
    <row r="55">
      <c r="A55" s="29" t="inlineStr"/>
      <c r="B55" s="32" t="inlineStr">
        <is>
          <t>vs median</t>
        </is>
      </c>
      <c r="C55" s="52">
        <f>IF(OR(C53="",C54=""),"",C53-C54)</f>
        <v/>
      </c>
      <c r="D55" s="52">
        <f>IF(OR(D53="",D54=""),"",D53-D54)</f>
        <v/>
      </c>
      <c r="E55" s="52">
        <f>IF(OR(E53="",E54=""),"",E53-E54)</f>
        <v/>
      </c>
    </row>
    <row r="57">
      <c r="A57" s="27" t="inlineStr">
        <is>
          <t>NTM EPS revision</t>
        </is>
      </c>
      <c r="B57" s="29" t="inlineStr">
        <is>
          <t>Company</t>
        </is>
      </c>
      <c r="C57" s="22">
        <f>IFERROR(INDEX('Semi Revisions'!$O$6:$O$144,MATCH($B$4,'Semi Revisions'!$A$6:$A$144,0)),"")</f>
        <v/>
      </c>
      <c r="D57" s="22">
        <f>IFERROR(INDEX('Semi Revisions'!$P$6:$P$144,MATCH($B$4,'Semi Revisions'!$A$6:$A$144,0)),"")</f>
        <v/>
      </c>
      <c r="E57" s="22">
        <f>IFERROR(INDEX('Semi Revisions'!$Q$6:$Q$144,MATCH($B$4,'Semi Revisions'!$A$6:$A$144,0)),"")</f>
        <v/>
      </c>
    </row>
    <row r="58">
      <c r="A58" s="29" t="inlineStr"/>
      <c r="B58" s="32" t="inlineStr">
        <is>
          <t>Peer median</t>
        </is>
      </c>
      <c r="C58" s="51">
        <f>IFERROR(MEDIAN('Semi Revisions'!$O$6:$O$144),"")</f>
        <v/>
      </c>
      <c r="D58" s="51">
        <f>IFERROR(MEDIAN('Semi Revisions'!$P$6:$P$144),"")</f>
        <v/>
      </c>
      <c r="E58" s="51">
        <f>IFERROR(MEDIAN('Semi Revisions'!$Q$6:$Q$144),"")</f>
        <v/>
      </c>
    </row>
    <row r="59">
      <c r="A59" s="29" t="inlineStr"/>
      <c r="B59" s="32" t="inlineStr">
        <is>
          <t>vs median</t>
        </is>
      </c>
      <c r="C59" s="52">
        <f>IF(OR(C57="",C58=""),"",C57-C58)</f>
        <v/>
      </c>
      <c r="D59" s="52">
        <f>IF(OR(D57="",D58=""),"",D57-D58)</f>
        <v/>
      </c>
      <c r="E59" s="52">
        <f>IF(OR(E57="",E58=""),"",E57-E58)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D7D31"/>
    <outlinePr summaryBelow="1" summaryRight="1"/>
    <pageSetUpPr/>
  </sheetPr>
  <dimension ref="A1:N15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5" t="inlineStr">
        <is>
          <t>Semiconductors — Metric Grids (by fiscal period offset)</t>
        </is>
      </c>
      <c r="H1" s="6" t="inlineStr">
        <is>
          <t>⚠ Cells blank? This is a LIVE Bloomberg workbook — it has no saved data until its first refresh. Open it in desktop Excel on your Bloomberg terminal PC (add-in logged in), then Bloomberg ribbon ▸ Refresh All (or Ctrl+Alt+F9), wait a few minutes, and save. See README.</t>
        </is>
      </c>
    </row>
    <row r="2">
      <c r="A2" s="7" t="inlineStr">
        <is>
          <t>All inputs from the BQL data sheets. FPO 0 = latest reported quarter per company; +1/+2 = consensus estimates (shaded). Blank cells = insufficient history / no estimate. Hover column headers and block titles for definitions.</t>
        </is>
      </c>
    </row>
    <row r="4">
      <c r="A4" s="49" t="inlineStr">
        <is>
          <t>Revenue (USD mm)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5" ht="28" customHeight="1">
      <c r="A5" s="8" t="inlineStr">
        <is>
          <t>Ticker</t>
        </is>
      </c>
      <c r="B5" s="8" t="inlineStr">
        <is>
          <t>Latest Rpt Qtr</t>
        </is>
      </c>
      <c r="C5" s="8" t="inlineStr">
        <is>
          <t>FPO -9</t>
        </is>
      </c>
      <c r="D5" s="8" t="inlineStr">
        <is>
          <t>FPO -8</t>
        </is>
      </c>
      <c r="E5" s="8" t="inlineStr">
        <is>
          <t>FPO -7</t>
        </is>
      </c>
      <c r="F5" s="8" t="inlineStr">
        <is>
          <t>FPO -6</t>
        </is>
      </c>
      <c r="G5" s="8" t="inlineStr">
        <is>
          <t>FPO -5</t>
        </is>
      </c>
      <c r="H5" s="8" t="inlineStr">
        <is>
          <t>FPO -4</t>
        </is>
      </c>
      <c r="I5" s="8" t="inlineStr">
        <is>
          <t>FPO -3</t>
        </is>
      </c>
      <c r="J5" s="8" t="inlineStr">
        <is>
          <t>FPO -2</t>
        </is>
      </c>
      <c r="K5" s="8" t="inlineStr">
        <is>
          <t>FPO -1</t>
        </is>
      </c>
      <c r="L5" s="8" t="inlineStr">
        <is>
          <t>FPO 0 (latest rpt)</t>
        </is>
      </c>
      <c r="M5" s="8" t="inlineStr">
        <is>
          <t>FPO +1E</t>
        </is>
      </c>
      <c r="N5" s="8" t="inlineStr">
        <is>
          <t>FPO +2E</t>
        </is>
      </c>
    </row>
    <row r="6">
      <c r="A6" s="19">
        <f>'Semi Rev'!$A5</f>
        <v/>
      </c>
      <c r="B6" s="19">
        <f>'Semi Rev'!$B5</f>
        <v/>
      </c>
      <c r="C6" s="30">
        <f>IFERROR(IF(ISNUMBER('Semi Rev'!G5),'Semi Rev'!G5,""),"")</f>
        <v/>
      </c>
      <c r="D6" s="30">
        <f>IFERROR(IF(ISNUMBER('Semi Rev'!H5),'Semi Rev'!H5,""),"")</f>
        <v/>
      </c>
      <c r="E6" s="30">
        <f>IFERROR(IF(ISNUMBER('Semi Rev'!I5),'Semi Rev'!I5,""),"")</f>
        <v/>
      </c>
      <c r="F6" s="30">
        <f>IFERROR(IF(ISNUMBER('Semi Rev'!J5),'Semi Rev'!J5,""),"")</f>
        <v/>
      </c>
      <c r="G6" s="30">
        <f>IFERROR(IF(ISNUMBER('Semi Rev'!K5),'Semi Rev'!K5,""),"")</f>
        <v/>
      </c>
      <c r="H6" s="30">
        <f>IFERROR(IF(ISNUMBER('Semi Rev'!L5),'Semi Rev'!L5,""),"")</f>
        <v/>
      </c>
      <c r="I6" s="30">
        <f>IFERROR(IF(ISNUMBER('Semi Rev'!M5),'Semi Rev'!M5,""),"")</f>
        <v/>
      </c>
      <c r="J6" s="30">
        <f>IFERROR(IF(ISNUMBER('Semi Rev'!N5),'Semi Rev'!N5,""),"")</f>
        <v/>
      </c>
      <c r="K6" s="30">
        <f>IFERROR(IF(ISNUMBER('Semi Rev'!O5),'Semi Rev'!O5,""),"")</f>
        <v/>
      </c>
      <c r="L6" s="30">
        <f>IFERROR(IF(ISNUMBER('Semi Rev'!P5),'Semi Rev'!P5,""),"")</f>
        <v/>
      </c>
      <c r="M6" s="31">
        <f>IFERROR(IF(ISNUMBER('Semi Rev'!Q5),'Semi Rev'!Q5,""),"")</f>
        <v/>
      </c>
      <c r="N6" s="31">
        <f>IFERROR(IF(ISNUMBER('Semi Rev'!R5),'Semi Rev'!R5,""),"")</f>
        <v/>
      </c>
    </row>
    <row r="7">
      <c r="A7" s="19">
        <f>'Semi Rev'!$A6</f>
        <v/>
      </c>
      <c r="B7" s="19">
        <f>'Semi Rev'!$B6</f>
        <v/>
      </c>
      <c r="C7" s="30">
        <f>IFERROR(IF(ISNUMBER('Semi Rev'!G6),'Semi Rev'!G6,""),"")</f>
        <v/>
      </c>
      <c r="D7" s="30">
        <f>IFERROR(IF(ISNUMBER('Semi Rev'!H6),'Semi Rev'!H6,""),"")</f>
        <v/>
      </c>
      <c r="E7" s="30">
        <f>IFERROR(IF(ISNUMBER('Semi Rev'!I6),'Semi Rev'!I6,""),"")</f>
        <v/>
      </c>
      <c r="F7" s="30">
        <f>IFERROR(IF(ISNUMBER('Semi Rev'!J6),'Semi Rev'!J6,""),"")</f>
        <v/>
      </c>
      <c r="G7" s="30">
        <f>IFERROR(IF(ISNUMBER('Semi Rev'!K6),'Semi Rev'!K6,""),"")</f>
        <v/>
      </c>
      <c r="H7" s="30">
        <f>IFERROR(IF(ISNUMBER('Semi Rev'!L6),'Semi Rev'!L6,""),"")</f>
        <v/>
      </c>
      <c r="I7" s="30">
        <f>IFERROR(IF(ISNUMBER('Semi Rev'!M6),'Semi Rev'!M6,""),"")</f>
        <v/>
      </c>
      <c r="J7" s="30">
        <f>IFERROR(IF(ISNUMBER('Semi Rev'!N6),'Semi Rev'!N6,""),"")</f>
        <v/>
      </c>
      <c r="K7" s="30">
        <f>IFERROR(IF(ISNUMBER('Semi Rev'!O6),'Semi Rev'!O6,""),"")</f>
        <v/>
      </c>
      <c r="L7" s="30">
        <f>IFERROR(IF(ISNUMBER('Semi Rev'!P6),'Semi Rev'!P6,""),"")</f>
        <v/>
      </c>
      <c r="M7" s="31">
        <f>IFERROR(IF(ISNUMBER('Semi Rev'!Q6),'Semi Rev'!Q6,""),"")</f>
        <v/>
      </c>
      <c r="N7" s="31">
        <f>IFERROR(IF(ISNUMBER('Semi Rev'!R6),'Semi Rev'!R6,""),"")</f>
        <v/>
      </c>
    </row>
    <row r="8">
      <c r="A8" s="19">
        <f>'Semi Rev'!$A7</f>
        <v/>
      </c>
      <c r="B8" s="19">
        <f>'Semi Rev'!$B7</f>
        <v/>
      </c>
      <c r="C8" s="30">
        <f>IFERROR(IF(ISNUMBER('Semi Rev'!G7),'Semi Rev'!G7,""),"")</f>
        <v/>
      </c>
      <c r="D8" s="30">
        <f>IFERROR(IF(ISNUMBER('Semi Rev'!H7),'Semi Rev'!H7,""),"")</f>
        <v/>
      </c>
      <c r="E8" s="30">
        <f>IFERROR(IF(ISNUMBER('Semi Rev'!I7),'Semi Rev'!I7,""),"")</f>
        <v/>
      </c>
      <c r="F8" s="30">
        <f>IFERROR(IF(ISNUMBER('Semi Rev'!J7),'Semi Rev'!J7,""),"")</f>
        <v/>
      </c>
      <c r="G8" s="30">
        <f>IFERROR(IF(ISNUMBER('Semi Rev'!K7),'Semi Rev'!K7,""),"")</f>
        <v/>
      </c>
      <c r="H8" s="30">
        <f>IFERROR(IF(ISNUMBER('Semi Rev'!L7),'Semi Rev'!L7,""),"")</f>
        <v/>
      </c>
      <c r="I8" s="30">
        <f>IFERROR(IF(ISNUMBER('Semi Rev'!M7),'Semi Rev'!M7,""),"")</f>
        <v/>
      </c>
      <c r="J8" s="30">
        <f>IFERROR(IF(ISNUMBER('Semi Rev'!N7),'Semi Rev'!N7,""),"")</f>
        <v/>
      </c>
      <c r="K8" s="30">
        <f>IFERROR(IF(ISNUMBER('Semi Rev'!O7),'Semi Rev'!O7,""),"")</f>
        <v/>
      </c>
      <c r="L8" s="30">
        <f>IFERROR(IF(ISNUMBER('Semi Rev'!P7),'Semi Rev'!P7,""),"")</f>
        <v/>
      </c>
      <c r="M8" s="31">
        <f>IFERROR(IF(ISNUMBER('Semi Rev'!Q7),'Semi Rev'!Q7,""),"")</f>
        <v/>
      </c>
      <c r="N8" s="31">
        <f>IFERROR(IF(ISNUMBER('Semi Rev'!R7),'Semi Rev'!R7,""),"")</f>
        <v/>
      </c>
    </row>
    <row r="9">
      <c r="A9" s="19">
        <f>'Semi Rev'!$A8</f>
        <v/>
      </c>
      <c r="B9" s="19">
        <f>'Semi Rev'!$B8</f>
        <v/>
      </c>
      <c r="C9" s="30">
        <f>IFERROR(IF(ISNUMBER('Semi Rev'!G8),'Semi Rev'!G8,""),"")</f>
        <v/>
      </c>
      <c r="D9" s="30">
        <f>IFERROR(IF(ISNUMBER('Semi Rev'!H8),'Semi Rev'!H8,""),"")</f>
        <v/>
      </c>
      <c r="E9" s="30">
        <f>IFERROR(IF(ISNUMBER('Semi Rev'!I8),'Semi Rev'!I8,""),"")</f>
        <v/>
      </c>
      <c r="F9" s="30">
        <f>IFERROR(IF(ISNUMBER('Semi Rev'!J8),'Semi Rev'!J8,""),"")</f>
        <v/>
      </c>
      <c r="G9" s="30">
        <f>IFERROR(IF(ISNUMBER('Semi Rev'!K8),'Semi Rev'!K8,""),"")</f>
        <v/>
      </c>
      <c r="H9" s="30">
        <f>IFERROR(IF(ISNUMBER('Semi Rev'!L8),'Semi Rev'!L8,""),"")</f>
        <v/>
      </c>
      <c r="I9" s="30">
        <f>IFERROR(IF(ISNUMBER('Semi Rev'!M8),'Semi Rev'!M8,""),"")</f>
        <v/>
      </c>
      <c r="J9" s="30">
        <f>IFERROR(IF(ISNUMBER('Semi Rev'!N8),'Semi Rev'!N8,""),"")</f>
        <v/>
      </c>
      <c r="K9" s="30">
        <f>IFERROR(IF(ISNUMBER('Semi Rev'!O8),'Semi Rev'!O8,""),"")</f>
        <v/>
      </c>
      <c r="L9" s="30">
        <f>IFERROR(IF(ISNUMBER('Semi Rev'!P8),'Semi Rev'!P8,""),"")</f>
        <v/>
      </c>
      <c r="M9" s="31">
        <f>IFERROR(IF(ISNUMBER('Semi Rev'!Q8),'Semi Rev'!Q8,""),"")</f>
        <v/>
      </c>
      <c r="N9" s="31">
        <f>IFERROR(IF(ISNUMBER('Semi Rev'!R8),'Semi Rev'!R8,""),"")</f>
        <v/>
      </c>
    </row>
    <row r="10">
      <c r="A10" s="19">
        <f>'Semi Rev'!$A9</f>
        <v/>
      </c>
      <c r="B10" s="19">
        <f>'Semi Rev'!$B9</f>
        <v/>
      </c>
      <c r="C10" s="30">
        <f>IFERROR(IF(ISNUMBER('Semi Rev'!G9),'Semi Rev'!G9,""),"")</f>
        <v/>
      </c>
      <c r="D10" s="30">
        <f>IFERROR(IF(ISNUMBER('Semi Rev'!H9),'Semi Rev'!H9,""),"")</f>
        <v/>
      </c>
      <c r="E10" s="30">
        <f>IFERROR(IF(ISNUMBER('Semi Rev'!I9),'Semi Rev'!I9,""),"")</f>
        <v/>
      </c>
      <c r="F10" s="30">
        <f>IFERROR(IF(ISNUMBER('Semi Rev'!J9),'Semi Rev'!J9,""),"")</f>
        <v/>
      </c>
      <c r="G10" s="30">
        <f>IFERROR(IF(ISNUMBER('Semi Rev'!K9),'Semi Rev'!K9,""),"")</f>
        <v/>
      </c>
      <c r="H10" s="30">
        <f>IFERROR(IF(ISNUMBER('Semi Rev'!L9),'Semi Rev'!L9,""),"")</f>
        <v/>
      </c>
      <c r="I10" s="30">
        <f>IFERROR(IF(ISNUMBER('Semi Rev'!M9),'Semi Rev'!M9,""),"")</f>
        <v/>
      </c>
      <c r="J10" s="30">
        <f>IFERROR(IF(ISNUMBER('Semi Rev'!N9),'Semi Rev'!N9,""),"")</f>
        <v/>
      </c>
      <c r="K10" s="30">
        <f>IFERROR(IF(ISNUMBER('Semi Rev'!O9),'Semi Rev'!O9,""),"")</f>
        <v/>
      </c>
      <c r="L10" s="30">
        <f>IFERROR(IF(ISNUMBER('Semi Rev'!P9),'Semi Rev'!P9,""),"")</f>
        <v/>
      </c>
      <c r="M10" s="31">
        <f>IFERROR(IF(ISNUMBER('Semi Rev'!Q9),'Semi Rev'!Q9,""),"")</f>
        <v/>
      </c>
      <c r="N10" s="31">
        <f>IFERROR(IF(ISNUMBER('Semi Rev'!R9),'Semi Rev'!R9,""),"")</f>
        <v/>
      </c>
    </row>
    <row r="11">
      <c r="A11" s="19">
        <f>'Semi Rev'!$A10</f>
        <v/>
      </c>
      <c r="B11" s="19">
        <f>'Semi Rev'!$B10</f>
        <v/>
      </c>
      <c r="C11" s="30">
        <f>IFERROR(IF(ISNUMBER('Semi Rev'!G10),'Semi Rev'!G10,""),"")</f>
        <v/>
      </c>
      <c r="D11" s="30">
        <f>IFERROR(IF(ISNUMBER('Semi Rev'!H10),'Semi Rev'!H10,""),"")</f>
        <v/>
      </c>
      <c r="E11" s="30">
        <f>IFERROR(IF(ISNUMBER('Semi Rev'!I10),'Semi Rev'!I10,""),"")</f>
        <v/>
      </c>
      <c r="F11" s="30">
        <f>IFERROR(IF(ISNUMBER('Semi Rev'!J10),'Semi Rev'!J10,""),"")</f>
        <v/>
      </c>
      <c r="G11" s="30">
        <f>IFERROR(IF(ISNUMBER('Semi Rev'!K10),'Semi Rev'!K10,""),"")</f>
        <v/>
      </c>
      <c r="H11" s="30">
        <f>IFERROR(IF(ISNUMBER('Semi Rev'!L10),'Semi Rev'!L10,""),"")</f>
        <v/>
      </c>
      <c r="I11" s="30">
        <f>IFERROR(IF(ISNUMBER('Semi Rev'!M10),'Semi Rev'!M10,""),"")</f>
        <v/>
      </c>
      <c r="J11" s="30">
        <f>IFERROR(IF(ISNUMBER('Semi Rev'!N10),'Semi Rev'!N10,""),"")</f>
        <v/>
      </c>
      <c r="K11" s="30">
        <f>IFERROR(IF(ISNUMBER('Semi Rev'!O10),'Semi Rev'!O10,""),"")</f>
        <v/>
      </c>
      <c r="L11" s="30">
        <f>IFERROR(IF(ISNUMBER('Semi Rev'!P10),'Semi Rev'!P10,""),"")</f>
        <v/>
      </c>
      <c r="M11" s="31">
        <f>IFERROR(IF(ISNUMBER('Semi Rev'!Q10),'Semi Rev'!Q10,""),"")</f>
        <v/>
      </c>
      <c r="N11" s="31">
        <f>IFERROR(IF(ISNUMBER('Semi Rev'!R10),'Semi Rev'!R10,""),"")</f>
        <v/>
      </c>
    </row>
    <row r="12">
      <c r="A12" s="19">
        <f>'Semi Rev'!$A11</f>
        <v/>
      </c>
      <c r="B12" s="19">
        <f>'Semi Rev'!$B11</f>
        <v/>
      </c>
      <c r="C12" s="30">
        <f>IFERROR(IF(ISNUMBER('Semi Rev'!G11),'Semi Rev'!G11,""),"")</f>
        <v/>
      </c>
      <c r="D12" s="30">
        <f>IFERROR(IF(ISNUMBER('Semi Rev'!H11),'Semi Rev'!H11,""),"")</f>
        <v/>
      </c>
      <c r="E12" s="30">
        <f>IFERROR(IF(ISNUMBER('Semi Rev'!I11),'Semi Rev'!I11,""),"")</f>
        <v/>
      </c>
      <c r="F12" s="30">
        <f>IFERROR(IF(ISNUMBER('Semi Rev'!J11),'Semi Rev'!J11,""),"")</f>
        <v/>
      </c>
      <c r="G12" s="30">
        <f>IFERROR(IF(ISNUMBER('Semi Rev'!K11),'Semi Rev'!K11,""),"")</f>
        <v/>
      </c>
      <c r="H12" s="30">
        <f>IFERROR(IF(ISNUMBER('Semi Rev'!L11),'Semi Rev'!L11,""),"")</f>
        <v/>
      </c>
      <c r="I12" s="30">
        <f>IFERROR(IF(ISNUMBER('Semi Rev'!M11),'Semi Rev'!M11,""),"")</f>
        <v/>
      </c>
      <c r="J12" s="30">
        <f>IFERROR(IF(ISNUMBER('Semi Rev'!N11),'Semi Rev'!N11,""),"")</f>
        <v/>
      </c>
      <c r="K12" s="30">
        <f>IFERROR(IF(ISNUMBER('Semi Rev'!O11),'Semi Rev'!O11,""),"")</f>
        <v/>
      </c>
      <c r="L12" s="30">
        <f>IFERROR(IF(ISNUMBER('Semi Rev'!P11),'Semi Rev'!P11,""),"")</f>
        <v/>
      </c>
      <c r="M12" s="31">
        <f>IFERROR(IF(ISNUMBER('Semi Rev'!Q11),'Semi Rev'!Q11,""),"")</f>
        <v/>
      </c>
      <c r="N12" s="31">
        <f>IFERROR(IF(ISNUMBER('Semi Rev'!R11),'Semi Rev'!R11,""),"")</f>
        <v/>
      </c>
    </row>
    <row r="13">
      <c r="A13" s="19">
        <f>'Semi Rev'!$A12</f>
        <v/>
      </c>
      <c r="B13" s="19">
        <f>'Semi Rev'!$B12</f>
        <v/>
      </c>
      <c r="C13" s="30">
        <f>IFERROR(IF(ISNUMBER('Semi Rev'!G12),'Semi Rev'!G12,""),"")</f>
        <v/>
      </c>
      <c r="D13" s="30">
        <f>IFERROR(IF(ISNUMBER('Semi Rev'!H12),'Semi Rev'!H12,""),"")</f>
        <v/>
      </c>
      <c r="E13" s="30">
        <f>IFERROR(IF(ISNUMBER('Semi Rev'!I12),'Semi Rev'!I12,""),"")</f>
        <v/>
      </c>
      <c r="F13" s="30">
        <f>IFERROR(IF(ISNUMBER('Semi Rev'!J12),'Semi Rev'!J12,""),"")</f>
        <v/>
      </c>
      <c r="G13" s="30">
        <f>IFERROR(IF(ISNUMBER('Semi Rev'!K12),'Semi Rev'!K12,""),"")</f>
        <v/>
      </c>
      <c r="H13" s="30">
        <f>IFERROR(IF(ISNUMBER('Semi Rev'!L12),'Semi Rev'!L12,""),"")</f>
        <v/>
      </c>
      <c r="I13" s="30">
        <f>IFERROR(IF(ISNUMBER('Semi Rev'!M12),'Semi Rev'!M12,""),"")</f>
        <v/>
      </c>
      <c r="J13" s="30">
        <f>IFERROR(IF(ISNUMBER('Semi Rev'!N12),'Semi Rev'!N12,""),"")</f>
        <v/>
      </c>
      <c r="K13" s="30">
        <f>IFERROR(IF(ISNUMBER('Semi Rev'!O12),'Semi Rev'!O12,""),"")</f>
        <v/>
      </c>
      <c r="L13" s="30">
        <f>IFERROR(IF(ISNUMBER('Semi Rev'!P12),'Semi Rev'!P12,""),"")</f>
        <v/>
      </c>
      <c r="M13" s="31">
        <f>IFERROR(IF(ISNUMBER('Semi Rev'!Q12),'Semi Rev'!Q12,""),"")</f>
        <v/>
      </c>
      <c r="N13" s="31">
        <f>IFERROR(IF(ISNUMBER('Semi Rev'!R12),'Semi Rev'!R12,""),"")</f>
        <v/>
      </c>
    </row>
    <row r="14">
      <c r="A14" s="19">
        <f>'Semi Rev'!$A13</f>
        <v/>
      </c>
      <c r="B14" s="19">
        <f>'Semi Rev'!$B13</f>
        <v/>
      </c>
      <c r="C14" s="30">
        <f>IFERROR(IF(ISNUMBER('Semi Rev'!G13),'Semi Rev'!G13,""),"")</f>
        <v/>
      </c>
      <c r="D14" s="30">
        <f>IFERROR(IF(ISNUMBER('Semi Rev'!H13),'Semi Rev'!H13,""),"")</f>
        <v/>
      </c>
      <c r="E14" s="30">
        <f>IFERROR(IF(ISNUMBER('Semi Rev'!I13),'Semi Rev'!I13,""),"")</f>
        <v/>
      </c>
      <c r="F14" s="30">
        <f>IFERROR(IF(ISNUMBER('Semi Rev'!J13),'Semi Rev'!J13,""),"")</f>
        <v/>
      </c>
      <c r="G14" s="30">
        <f>IFERROR(IF(ISNUMBER('Semi Rev'!K13),'Semi Rev'!K13,""),"")</f>
        <v/>
      </c>
      <c r="H14" s="30">
        <f>IFERROR(IF(ISNUMBER('Semi Rev'!L13),'Semi Rev'!L13,""),"")</f>
        <v/>
      </c>
      <c r="I14" s="30">
        <f>IFERROR(IF(ISNUMBER('Semi Rev'!M13),'Semi Rev'!M13,""),"")</f>
        <v/>
      </c>
      <c r="J14" s="30">
        <f>IFERROR(IF(ISNUMBER('Semi Rev'!N13),'Semi Rev'!N13,""),"")</f>
        <v/>
      </c>
      <c r="K14" s="30">
        <f>IFERROR(IF(ISNUMBER('Semi Rev'!O13),'Semi Rev'!O13,""),"")</f>
        <v/>
      </c>
      <c r="L14" s="30">
        <f>IFERROR(IF(ISNUMBER('Semi Rev'!P13),'Semi Rev'!P13,""),"")</f>
        <v/>
      </c>
      <c r="M14" s="31">
        <f>IFERROR(IF(ISNUMBER('Semi Rev'!Q13),'Semi Rev'!Q13,""),"")</f>
        <v/>
      </c>
      <c r="N14" s="31">
        <f>IFERROR(IF(ISNUMBER('Semi Rev'!R13),'Semi Rev'!R13,""),"")</f>
        <v/>
      </c>
    </row>
    <row r="15">
      <c r="A15" s="19">
        <f>'Semi Rev'!$A14</f>
        <v/>
      </c>
      <c r="B15" s="19">
        <f>'Semi Rev'!$B14</f>
        <v/>
      </c>
      <c r="C15" s="30">
        <f>IFERROR(IF(ISNUMBER('Semi Rev'!G14),'Semi Rev'!G14,""),"")</f>
        <v/>
      </c>
      <c r="D15" s="30">
        <f>IFERROR(IF(ISNUMBER('Semi Rev'!H14),'Semi Rev'!H14,""),"")</f>
        <v/>
      </c>
      <c r="E15" s="30">
        <f>IFERROR(IF(ISNUMBER('Semi Rev'!I14),'Semi Rev'!I14,""),"")</f>
        <v/>
      </c>
      <c r="F15" s="30">
        <f>IFERROR(IF(ISNUMBER('Semi Rev'!J14),'Semi Rev'!J14,""),"")</f>
        <v/>
      </c>
      <c r="G15" s="30">
        <f>IFERROR(IF(ISNUMBER('Semi Rev'!K14),'Semi Rev'!K14,""),"")</f>
        <v/>
      </c>
      <c r="H15" s="30">
        <f>IFERROR(IF(ISNUMBER('Semi Rev'!L14),'Semi Rev'!L14,""),"")</f>
        <v/>
      </c>
      <c r="I15" s="30">
        <f>IFERROR(IF(ISNUMBER('Semi Rev'!M14),'Semi Rev'!M14,""),"")</f>
        <v/>
      </c>
      <c r="J15" s="30">
        <f>IFERROR(IF(ISNUMBER('Semi Rev'!N14),'Semi Rev'!N14,""),"")</f>
        <v/>
      </c>
      <c r="K15" s="30">
        <f>IFERROR(IF(ISNUMBER('Semi Rev'!O14),'Semi Rev'!O14,""),"")</f>
        <v/>
      </c>
      <c r="L15" s="30">
        <f>IFERROR(IF(ISNUMBER('Semi Rev'!P14),'Semi Rev'!P14,""),"")</f>
        <v/>
      </c>
      <c r="M15" s="31">
        <f>IFERROR(IF(ISNUMBER('Semi Rev'!Q14),'Semi Rev'!Q14,""),"")</f>
        <v/>
      </c>
      <c r="N15" s="31">
        <f>IFERROR(IF(ISNUMBER('Semi Rev'!R14),'Semi Rev'!R14,""),"")</f>
        <v/>
      </c>
    </row>
    <row r="16">
      <c r="A16" s="19">
        <f>'Semi Rev'!$A15</f>
        <v/>
      </c>
      <c r="B16" s="19">
        <f>'Semi Rev'!$B15</f>
        <v/>
      </c>
      <c r="C16" s="30">
        <f>IFERROR(IF(ISNUMBER('Semi Rev'!G15),'Semi Rev'!G15,""),"")</f>
        <v/>
      </c>
      <c r="D16" s="30">
        <f>IFERROR(IF(ISNUMBER('Semi Rev'!H15),'Semi Rev'!H15,""),"")</f>
        <v/>
      </c>
      <c r="E16" s="30">
        <f>IFERROR(IF(ISNUMBER('Semi Rev'!I15),'Semi Rev'!I15,""),"")</f>
        <v/>
      </c>
      <c r="F16" s="30">
        <f>IFERROR(IF(ISNUMBER('Semi Rev'!J15),'Semi Rev'!J15,""),"")</f>
        <v/>
      </c>
      <c r="G16" s="30">
        <f>IFERROR(IF(ISNUMBER('Semi Rev'!K15),'Semi Rev'!K15,""),"")</f>
        <v/>
      </c>
      <c r="H16" s="30">
        <f>IFERROR(IF(ISNUMBER('Semi Rev'!L15),'Semi Rev'!L15,""),"")</f>
        <v/>
      </c>
      <c r="I16" s="30">
        <f>IFERROR(IF(ISNUMBER('Semi Rev'!M15),'Semi Rev'!M15,""),"")</f>
        <v/>
      </c>
      <c r="J16" s="30">
        <f>IFERROR(IF(ISNUMBER('Semi Rev'!N15),'Semi Rev'!N15,""),"")</f>
        <v/>
      </c>
      <c r="K16" s="30">
        <f>IFERROR(IF(ISNUMBER('Semi Rev'!O15),'Semi Rev'!O15,""),"")</f>
        <v/>
      </c>
      <c r="L16" s="30">
        <f>IFERROR(IF(ISNUMBER('Semi Rev'!P15),'Semi Rev'!P15,""),"")</f>
        <v/>
      </c>
      <c r="M16" s="31">
        <f>IFERROR(IF(ISNUMBER('Semi Rev'!Q15),'Semi Rev'!Q15,""),"")</f>
        <v/>
      </c>
      <c r="N16" s="31">
        <f>IFERROR(IF(ISNUMBER('Semi Rev'!R15),'Semi Rev'!R15,""),"")</f>
        <v/>
      </c>
    </row>
    <row r="17">
      <c r="A17" s="19">
        <f>'Semi Rev'!$A16</f>
        <v/>
      </c>
      <c r="B17" s="19">
        <f>'Semi Rev'!$B16</f>
        <v/>
      </c>
      <c r="C17" s="30">
        <f>IFERROR(IF(ISNUMBER('Semi Rev'!G16),'Semi Rev'!G16,""),"")</f>
        <v/>
      </c>
      <c r="D17" s="30">
        <f>IFERROR(IF(ISNUMBER('Semi Rev'!H16),'Semi Rev'!H16,""),"")</f>
        <v/>
      </c>
      <c r="E17" s="30">
        <f>IFERROR(IF(ISNUMBER('Semi Rev'!I16),'Semi Rev'!I16,""),"")</f>
        <v/>
      </c>
      <c r="F17" s="30">
        <f>IFERROR(IF(ISNUMBER('Semi Rev'!J16),'Semi Rev'!J16,""),"")</f>
        <v/>
      </c>
      <c r="G17" s="30">
        <f>IFERROR(IF(ISNUMBER('Semi Rev'!K16),'Semi Rev'!K16,""),"")</f>
        <v/>
      </c>
      <c r="H17" s="30">
        <f>IFERROR(IF(ISNUMBER('Semi Rev'!L16),'Semi Rev'!L16,""),"")</f>
        <v/>
      </c>
      <c r="I17" s="30">
        <f>IFERROR(IF(ISNUMBER('Semi Rev'!M16),'Semi Rev'!M16,""),"")</f>
        <v/>
      </c>
      <c r="J17" s="30">
        <f>IFERROR(IF(ISNUMBER('Semi Rev'!N16),'Semi Rev'!N16,""),"")</f>
        <v/>
      </c>
      <c r="K17" s="30">
        <f>IFERROR(IF(ISNUMBER('Semi Rev'!O16),'Semi Rev'!O16,""),"")</f>
        <v/>
      </c>
      <c r="L17" s="30">
        <f>IFERROR(IF(ISNUMBER('Semi Rev'!P16),'Semi Rev'!P16,""),"")</f>
        <v/>
      </c>
      <c r="M17" s="31">
        <f>IFERROR(IF(ISNUMBER('Semi Rev'!Q16),'Semi Rev'!Q16,""),"")</f>
        <v/>
      </c>
      <c r="N17" s="31">
        <f>IFERROR(IF(ISNUMBER('Semi Rev'!R16),'Semi Rev'!R16,""),"")</f>
        <v/>
      </c>
    </row>
    <row r="18">
      <c r="A18" s="19">
        <f>'Semi Rev'!$A17</f>
        <v/>
      </c>
      <c r="B18" s="19">
        <f>'Semi Rev'!$B17</f>
        <v/>
      </c>
      <c r="C18" s="30">
        <f>IFERROR(IF(ISNUMBER('Semi Rev'!G17),'Semi Rev'!G17,""),"")</f>
        <v/>
      </c>
      <c r="D18" s="30">
        <f>IFERROR(IF(ISNUMBER('Semi Rev'!H17),'Semi Rev'!H17,""),"")</f>
        <v/>
      </c>
      <c r="E18" s="30">
        <f>IFERROR(IF(ISNUMBER('Semi Rev'!I17),'Semi Rev'!I17,""),"")</f>
        <v/>
      </c>
      <c r="F18" s="30">
        <f>IFERROR(IF(ISNUMBER('Semi Rev'!J17),'Semi Rev'!J17,""),"")</f>
        <v/>
      </c>
      <c r="G18" s="30">
        <f>IFERROR(IF(ISNUMBER('Semi Rev'!K17),'Semi Rev'!K17,""),"")</f>
        <v/>
      </c>
      <c r="H18" s="30">
        <f>IFERROR(IF(ISNUMBER('Semi Rev'!L17),'Semi Rev'!L17,""),"")</f>
        <v/>
      </c>
      <c r="I18" s="30">
        <f>IFERROR(IF(ISNUMBER('Semi Rev'!M17),'Semi Rev'!M17,""),"")</f>
        <v/>
      </c>
      <c r="J18" s="30">
        <f>IFERROR(IF(ISNUMBER('Semi Rev'!N17),'Semi Rev'!N17,""),"")</f>
        <v/>
      </c>
      <c r="K18" s="30">
        <f>IFERROR(IF(ISNUMBER('Semi Rev'!O17),'Semi Rev'!O17,""),"")</f>
        <v/>
      </c>
      <c r="L18" s="30">
        <f>IFERROR(IF(ISNUMBER('Semi Rev'!P17),'Semi Rev'!P17,""),"")</f>
        <v/>
      </c>
      <c r="M18" s="31">
        <f>IFERROR(IF(ISNUMBER('Semi Rev'!Q17),'Semi Rev'!Q17,""),"")</f>
        <v/>
      </c>
      <c r="N18" s="31">
        <f>IFERROR(IF(ISNUMBER('Semi Rev'!R17),'Semi Rev'!R17,""),"")</f>
        <v/>
      </c>
    </row>
    <row r="19">
      <c r="A19" s="19">
        <f>'Semi Rev'!$A18</f>
        <v/>
      </c>
      <c r="B19" s="19">
        <f>'Semi Rev'!$B18</f>
        <v/>
      </c>
      <c r="C19" s="30">
        <f>IFERROR(IF(ISNUMBER('Semi Rev'!G18),'Semi Rev'!G18,""),"")</f>
        <v/>
      </c>
      <c r="D19" s="30">
        <f>IFERROR(IF(ISNUMBER('Semi Rev'!H18),'Semi Rev'!H18,""),"")</f>
        <v/>
      </c>
      <c r="E19" s="30">
        <f>IFERROR(IF(ISNUMBER('Semi Rev'!I18),'Semi Rev'!I18,""),"")</f>
        <v/>
      </c>
      <c r="F19" s="30">
        <f>IFERROR(IF(ISNUMBER('Semi Rev'!J18),'Semi Rev'!J18,""),"")</f>
        <v/>
      </c>
      <c r="G19" s="30">
        <f>IFERROR(IF(ISNUMBER('Semi Rev'!K18),'Semi Rev'!K18,""),"")</f>
        <v/>
      </c>
      <c r="H19" s="30">
        <f>IFERROR(IF(ISNUMBER('Semi Rev'!L18),'Semi Rev'!L18,""),"")</f>
        <v/>
      </c>
      <c r="I19" s="30">
        <f>IFERROR(IF(ISNUMBER('Semi Rev'!M18),'Semi Rev'!M18,""),"")</f>
        <v/>
      </c>
      <c r="J19" s="30">
        <f>IFERROR(IF(ISNUMBER('Semi Rev'!N18),'Semi Rev'!N18,""),"")</f>
        <v/>
      </c>
      <c r="K19" s="30">
        <f>IFERROR(IF(ISNUMBER('Semi Rev'!O18),'Semi Rev'!O18,""),"")</f>
        <v/>
      </c>
      <c r="L19" s="30">
        <f>IFERROR(IF(ISNUMBER('Semi Rev'!P18),'Semi Rev'!P18,""),"")</f>
        <v/>
      </c>
      <c r="M19" s="31">
        <f>IFERROR(IF(ISNUMBER('Semi Rev'!Q18),'Semi Rev'!Q18,""),"")</f>
        <v/>
      </c>
      <c r="N19" s="31">
        <f>IFERROR(IF(ISNUMBER('Semi Rev'!R18),'Semi Rev'!R18,""),"")</f>
        <v/>
      </c>
    </row>
    <row r="20">
      <c r="A20" s="19">
        <f>'Semi Rev'!$A19</f>
        <v/>
      </c>
      <c r="B20" s="19">
        <f>'Semi Rev'!$B19</f>
        <v/>
      </c>
      <c r="C20" s="30">
        <f>IFERROR(IF(ISNUMBER('Semi Rev'!G19),'Semi Rev'!G19,""),"")</f>
        <v/>
      </c>
      <c r="D20" s="30">
        <f>IFERROR(IF(ISNUMBER('Semi Rev'!H19),'Semi Rev'!H19,""),"")</f>
        <v/>
      </c>
      <c r="E20" s="30">
        <f>IFERROR(IF(ISNUMBER('Semi Rev'!I19),'Semi Rev'!I19,""),"")</f>
        <v/>
      </c>
      <c r="F20" s="30">
        <f>IFERROR(IF(ISNUMBER('Semi Rev'!J19),'Semi Rev'!J19,""),"")</f>
        <v/>
      </c>
      <c r="G20" s="30">
        <f>IFERROR(IF(ISNUMBER('Semi Rev'!K19),'Semi Rev'!K19,""),"")</f>
        <v/>
      </c>
      <c r="H20" s="30">
        <f>IFERROR(IF(ISNUMBER('Semi Rev'!L19),'Semi Rev'!L19,""),"")</f>
        <v/>
      </c>
      <c r="I20" s="30">
        <f>IFERROR(IF(ISNUMBER('Semi Rev'!M19),'Semi Rev'!M19,""),"")</f>
        <v/>
      </c>
      <c r="J20" s="30">
        <f>IFERROR(IF(ISNUMBER('Semi Rev'!N19),'Semi Rev'!N19,""),"")</f>
        <v/>
      </c>
      <c r="K20" s="30">
        <f>IFERROR(IF(ISNUMBER('Semi Rev'!O19),'Semi Rev'!O19,""),"")</f>
        <v/>
      </c>
      <c r="L20" s="30">
        <f>IFERROR(IF(ISNUMBER('Semi Rev'!P19),'Semi Rev'!P19,""),"")</f>
        <v/>
      </c>
      <c r="M20" s="31">
        <f>IFERROR(IF(ISNUMBER('Semi Rev'!Q19),'Semi Rev'!Q19,""),"")</f>
        <v/>
      </c>
      <c r="N20" s="31">
        <f>IFERROR(IF(ISNUMBER('Semi Rev'!R19),'Semi Rev'!R19,""),"")</f>
        <v/>
      </c>
    </row>
    <row r="21">
      <c r="A21" s="19">
        <f>'Semi Rev'!$A20</f>
        <v/>
      </c>
      <c r="B21" s="19">
        <f>'Semi Rev'!$B20</f>
        <v/>
      </c>
      <c r="C21" s="30">
        <f>IFERROR(IF(ISNUMBER('Semi Rev'!G20),'Semi Rev'!G20,""),"")</f>
        <v/>
      </c>
      <c r="D21" s="30">
        <f>IFERROR(IF(ISNUMBER('Semi Rev'!H20),'Semi Rev'!H20,""),"")</f>
        <v/>
      </c>
      <c r="E21" s="30">
        <f>IFERROR(IF(ISNUMBER('Semi Rev'!I20),'Semi Rev'!I20,""),"")</f>
        <v/>
      </c>
      <c r="F21" s="30">
        <f>IFERROR(IF(ISNUMBER('Semi Rev'!J20),'Semi Rev'!J20,""),"")</f>
        <v/>
      </c>
      <c r="G21" s="30">
        <f>IFERROR(IF(ISNUMBER('Semi Rev'!K20),'Semi Rev'!K20,""),"")</f>
        <v/>
      </c>
      <c r="H21" s="30">
        <f>IFERROR(IF(ISNUMBER('Semi Rev'!L20),'Semi Rev'!L20,""),"")</f>
        <v/>
      </c>
      <c r="I21" s="30">
        <f>IFERROR(IF(ISNUMBER('Semi Rev'!M20),'Semi Rev'!M20,""),"")</f>
        <v/>
      </c>
      <c r="J21" s="30">
        <f>IFERROR(IF(ISNUMBER('Semi Rev'!N20),'Semi Rev'!N20,""),"")</f>
        <v/>
      </c>
      <c r="K21" s="30">
        <f>IFERROR(IF(ISNUMBER('Semi Rev'!O20),'Semi Rev'!O20,""),"")</f>
        <v/>
      </c>
      <c r="L21" s="30">
        <f>IFERROR(IF(ISNUMBER('Semi Rev'!P20),'Semi Rev'!P20,""),"")</f>
        <v/>
      </c>
      <c r="M21" s="31">
        <f>IFERROR(IF(ISNUMBER('Semi Rev'!Q20),'Semi Rev'!Q20,""),"")</f>
        <v/>
      </c>
      <c r="N21" s="31">
        <f>IFERROR(IF(ISNUMBER('Semi Rev'!R20),'Semi Rev'!R20,""),"")</f>
        <v/>
      </c>
    </row>
    <row r="22">
      <c r="A22" s="19">
        <f>'Semi Rev'!$A21</f>
        <v/>
      </c>
      <c r="B22" s="19">
        <f>'Semi Rev'!$B21</f>
        <v/>
      </c>
      <c r="C22" s="30">
        <f>IFERROR(IF(ISNUMBER('Semi Rev'!G21),'Semi Rev'!G21,""),"")</f>
        <v/>
      </c>
      <c r="D22" s="30">
        <f>IFERROR(IF(ISNUMBER('Semi Rev'!H21),'Semi Rev'!H21,""),"")</f>
        <v/>
      </c>
      <c r="E22" s="30">
        <f>IFERROR(IF(ISNUMBER('Semi Rev'!I21),'Semi Rev'!I21,""),"")</f>
        <v/>
      </c>
      <c r="F22" s="30">
        <f>IFERROR(IF(ISNUMBER('Semi Rev'!J21),'Semi Rev'!J21,""),"")</f>
        <v/>
      </c>
      <c r="G22" s="30">
        <f>IFERROR(IF(ISNUMBER('Semi Rev'!K21),'Semi Rev'!K21,""),"")</f>
        <v/>
      </c>
      <c r="H22" s="30">
        <f>IFERROR(IF(ISNUMBER('Semi Rev'!L21),'Semi Rev'!L21,""),"")</f>
        <v/>
      </c>
      <c r="I22" s="30">
        <f>IFERROR(IF(ISNUMBER('Semi Rev'!M21),'Semi Rev'!M21,""),"")</f>
        <v/>
      </c>
      <c r="J22" s="30">
        <f>IFERROR(IF(ISNUMBER('Semi Rev'!N21),'Semi Rev'!N21,""),"")</f>
        <v/>
      </c>
      <c r="K22" s="30">
        <f>IFERROR(IF(ISNUMBER('Semi Rev'!O21),'Semi Rev'!O21,""),"")</f>
        <v/>
      </c>
      <c r="L22" s="30">
        <f>IFERROR(IF(ISNUMBER('Semi Rev'!P21),'Semi Rev'!P21,""),"")</f>
        <v/>
      </c>
      <c r="M22" s="31">
        <f>IFERROR(IF(ISNUMBER('Semi Rev'!Q21),'Semi Rev'!Q21,""),"")</f>
        <v/>
      </c>
      <c r="N22" s="31">
        <f>IFERROR(IF(ISNUMBER('Semi Rev'!R21),'Semi Rev'!R21,""),"")</f>
        <v/>
      </c>
    </row>
    <row r="23">
      <c r="A23" s="19">
        <f>'Semi Rev'!$A22</f>
        <v/>
      </c>
      <c r="B23" s="19">
        <f>'Semi Rev'!$B22</f>
        <v/>
      </c>
      <c r="C23" s="30">
        <f>IFERROR(IF(ISNUMBER('Semi Rev'!G22),'Semi Rev'!G22,""),"")</f>
        <v/>
      </c>
      <c r="D23" s="30">
        <f>IFERROR(IF(ISNUMBER('Semi Rev'!H22),'Semi Rev'!H22,""),"")</f>
        <v/>
      </c>
      <c r="E23" s="30">
        <f>IFERROR(IF(ISNUMBER('Semi Rev'!I22),'Semi Rev'!I22,""),"")</f>
        <v/>
      </c>
      <c r="F23" s="30">
        <f>IFERROR(IF(ISNUMBER('Semi Rev'!J22),'Semi Rev'!J22,""),"")</f>
        <v/>
      </c>
      <c r="G23" s="30">
        <f>IFERROR(IF(ISNUMBER('Semi Rev'!K22),'Semi Rev'!K22,""),"")</f>
        <v/>
      </c>
      <c r="H23" s="30">
        <f>IFERROR(IF(ISNUMBER('Semi Rev'!L22),'Semi Rev'!L22,""),"")</f>
        <v/>
      </c>
      <c r="I23" s="30">
        <f>IFERROR(IF(ISNUMBER('Semi Rev'!M22),'Semi Rev'!M22,""),"")</f>
        <v/>
      </c>
      <c r="J23" s="30">
        <f>IFERROR(IF(ISNUMBER('Semi Rev'!N22),'Semi Rev'!N22,""),"")</f>
        <v/>
      </c>
      <c r="K23" s="30">
        <f>IFERROR(IF(ISNUMBER('Semi Rev'!O22),'Semi Rev'!O22,""),"")</f>
        <v/>
      </c>
      <c r="L23" s="30">
        <f>IFERROR(IF(ISNUMBER('Semi Rev'!P22),'Semi Rev'!P22,""),"")</f>
        <v/>
      </c>
      <c r="M23" s="31">
        <f>IFERROR(IF(ISNUMBER('Semi Rev'!Q22),'Semi Rev'!Q22,""),"")</f>
        <v/>
      </c>
      <c r="N23" s="31">
        <f>IFERROR(IF(ISNUMBER('Semi Rev'!R22),'Semi Rev'!R22,""),"")</f>
        <v/>
      </c>
    </row>
    <row r="24">
      <c r="A24" s="19">
        <f>'Semi Rev'!$A23</f>
        <v/>
      </c>
      <c r="B24" s="19">
        <f>'Semi Rev'!$B23</f>
        <v/>
      </c>
      <c r="C24" s="30">
        <f>IFERROR(IF(ISNUMBER('Semi Rev'!G23),'Semi Rev'!G23,""),"")</f>
        <v/>
      </c>
      <c r="D24" s="30">
        <f>IFERROR(IF(ISNUMBER('Semi Rev'!H23),'Semi Rev'!H23,""),"")</f>
        <v/>
      </c>
      <c r="E24" s="30">
        <f>IFERROR(IF(ISNUMBER('Semi Rev'!I23),'Semi Rev'!I23,""),"")</f>
        <v/>
      </c>
      <c r="F24" s="30">
        <f>IFERROR(IF(ISNUMBER('Semi Rev'!J23),'Semi Rev'!J23,""),"")</f>
        <v/>
      </c>
      <c r="G24" s="30">
        <f>IFERROR(IF(ISNUMBER('Semi Rev'!K23),'Semi Rev'!K23,""),"")</f>
        <v/>
      </c>
      <c r="H24" s="30">
        <f>IFERROR(IF(ISNUMBER('Semi Rev'!L23),'Semi Rev'!L23,""),"")</f>
        <v/>
      </c>
      <c r="I24" s="30">
        <f>IFERROR(IF(ISNUMBER('Semi Rev'!M23),'Semi Rev'!M23,""),"")</f>
        <v/>
      </c>
      <c r="J24" s="30">
        <f>IFERROR(IF(ISNUMBER('Semi Rev'!N23),'Semi Rev'!N23,""),"")</f>
        <v/>
      </c>
      <c r="K24" s="30">
        <f>IFERROR(IF(ISNUMBER('Semi Rev'!O23),'Semi Rev'!O23,""),"")</f>
        <v/>
      </c>
      <c r="L24" s="30">
        <f>IFERROR(IF(ISNUMBER('Semi Rev'!P23),'Semi Rev'!P23,""),"")</f>
        <v/>
      </c>
      <c r="M24" s="31">
        <f>IFERROR(IF(ISNUMBER('Semi Rev'!Q23),'Semi Rev'!Q23,""),"")</f>
        <v/>
      </c>
      <c r="N24" s="31">
        <f>IFERROR(IF(ISNUMBER('Semi Rev'!R23),'Semi Rev'!R23,""),"")</f>
        <v/>
      </c>
    </row>
    <row r="25">
      <c r="A25" s="19">
        <f>'Semi Rev'!$A24</f>
        <v/>
      </c>
      <c r="B25" s="19">
        <f>'Semi Rev'!$B24</f>
        <v/>
      </c>
      <c r="C25" s="30">
        <f>IFERROR(IF(ISNUMBER('Semi Rev'!G24),'Semi Rev'!G24,""),"")</f>
        <v/>
      </c>
      <c r="D25" s="30">
        <f>IFERROR(IF(ISNUMBER('Semi Rev'!H24),'Semi Rev'!H24,""),"")</f>
        <v/>
      </c>
      <c r="E25" s="30">
        <f>IFERROR(IF(ISNUMBER('Semi Rev'!I24),'Semi Rev'!I24,""),"")</f>
        <v/>
      </c>
      <c r="F25" s="30">
        <f>IFERROR(IF(ISNUMBER('Semi Rev'!J24),'Semi Rev'!J24,""),"")</f>
        <v/>
      </c>
      <c r="G25" s="30">
        <f>IFERROR(IF(ISNUMBER('Semi Rev'!K24),'Semi Rev'!K24,""),"")</f>
        <v/>
      </c>
      <c r="H25" s="30">
        <f>IFERROR(IF(ISNUMBER('Semi Rev'!L24),'Semi Rev'!L24,""),"")</f>
        <v/>
      </c>
      <c r="I25" s="30">
        <f>IFERROR(IF(ISNUMBER('Semi Rev'!M24),'Semi Rev'!M24,""),"")</f>
        <v/>
      </c>
      <c r="J25" s="30">
        <f>IFERROR(IF(ISNUMBER('Semi Rev'!N24),'Semi Rev'!N24,""),"")</f>
        <v/>
      </c>
      <c r="K25" s="30">
        <f>IFERROR(IF(ISNUMBER('Semi Rev'!O24),'Semi Rev'!O24,""),"")</f>
        <v/>
      </c>
      <c r="L25" s="30">
        <f>IFERROR(IF(ISNUMBER('Semi Rev'!P24),'Semi Rev'!P24,""),"")</f>
        <v/>
      </c>
      <c r="M25" s="31">
        <f>IFERROR(IF(ISNUMBER('Semi Rev'!Q24),'Semi Rev'!Q24,""),"")</f>
        <v/>
      </c>
      <c r="N25" s="31">
        <f>IFERROR(IF(ISNUMBER('Semi Rev'!R24),'Semi Rev'!R24,""),"")</f>
        <v/>
      </c>
    </row>
    <row r="26">
      <c r="A26" s="19">
        <f>'Semi Rev'!$A25</f>
        <v/>
      </c>
      <c r="B26" s="19">
        <f>'Semi Rev'!$B25</f>
        <v/>
      </c>
      <c r="C26" s="30">
        <f>IFERROR(IF(ISNUMBER('Semi Rev'!G25),'Semi Rev'!G25,""),"")</f>
        <v/>
      </c>
      <c r="D26" s="30">
        <f>IFERROR(IF(ISNUMBER('Semi Rev'!H25),'Semi Rev'!H25,""),"")</f>
        <v/>
      </c>
      <c r="E26" s="30">
        <f>IFERROR(IF(ISNUMBER('Semi Rev'!I25),'Semi Rev'!I25,""),"")</f>
        <v/>
      </c>
      <c r="F26" s="30">
        <f>IFERROR(IF(ISNUMBER('Semi Rev'!J25),'Semi Rev'!J25,""),"")</f>
        <v/>
      </c>
      <c r="G26" s="30">
        <f>IFERROR(IF(ISNUMBER('Semi Rev'!K25),'Semi Rev'!K25,""),"")</f>
        <v/>
      </c>
      <c r="H26" s="30">
        <f>IFERROR(IF(ISNUMBER('Semi Rev'!L25),'Semi Rev'!L25,""),"")</f>
        <v/>
      </c>
      <c r="I26" s="30">
        <f>IFERROR(IF(ISNUMBER('Semi Rev'!M25),'Semi Rev'!M25,""),"")</f>
        <v/>
      </c>
      <c r="J26" s="30">
        <f>IFERROR(IF(ISNUMBER('Semi Rev'!N25),'Semi Rev'!N25,""),"")</f>
        <v/>
      </c>
      <c r="K26" s="30">
        <f>IFERROR(IF(ISNUMBER('Semi Rev'!O25),'Semi Rev'!O25,""),"")</f>
        <v/>
      </c>
      <c r="L26" s="30">
        <f>IFERROR(IF(ISNUMBER('Semi Rev'!P25),'Semi Rev'!P25,""),"")</f>
        <v/>
      </c>
      <c r="M26" s="31">
        <f>IFERROR(IF(ISNUMBER('Semi Rev'!Q25),'Semi Rev'!Q25,""),"")</f>
        <v/>
      </c>
      <c r="N26" s="31">
        <f>IFERROR(IF(ISNUMBER('Semi Rev'!R25),'Semi Rev'!R25,""),"")</f>
        <v/>
      </c>
    </row>
    <row r="27">
      <c r="A27" s="19">
        <f>'Semi Rev'!$A26</f>
        <v/>
      </c>
      <c r="B27" s="19">
        <f>'Semi Rev'!$B26</f>
        <v/>
      </c>
      <c r="C27" s="30">
        <f>IFERROR(IF(ISNUMBER('Semi Rev'!G26),'Semi Rev'!G26,""),"")</f>
        <v/>
      </c>
      <c r="D27" s="30">
        <f>IFERROR(IF(ISNUMBER('Semi Rev'!H26),'Semi Rev'!H26,""),"")</f>
        <v/>
      </c>
      <c r="E27" s="30">
        <f>IFERROR(IF(ISNUMBER('Semi Rev'!I26),'Semi Rev'!I26,""),"")</f>
        <v/>
      </c>
      <c r="F27" s="30">
        <f>IFERROR(IF(ISNUMBER('Semi Rev'!J26),'Semi Rev'!J26,""),"")</f>
        <v/>
      </c>
      <c r="G27" s="30">
        <f>IFERROR(IF(ISNUMBER('Semi Rev'!K26),'Semi Rev'!K26,""),"")</f>
        <v/>
      </c>
      <c r="H27" s="30">
        <f>IFERROR(IF(ISNUMBER('Semi Rev'!L26),'Semi Rev'!L26,""),"")</f>
        <v/>
      </c>
      <c r="I27" s="30">
        <f>IFERROR(IF(ISNUMBER('Semi Rev'!M26),'Semi Rev'!M26,""),"")</f>
        <v/>
      </c>
      <c r="J27" s="30">
        <f>IFERROR(IF(ISNUMBER('Semi Rev'!N26),'Semi Rev'!N26,""),"")</f>
        <v/>
      </c>
      <c r="K27" s="30">
        <f>IFERROR(IF(ISNUMBER('Semi Rev'!O26),'Semi Rev'!O26,""),"")</f>
        <v/>
      </c>
      <c r="L27" s="30">
        <f>IFERROR(IF(ISNUMBER('Semi Rev'!P26),'Semi Rev'!P26,""),"")</f>
        <v/>
      </c>
      <c r="M27" s="31">
        <f>IFERROR(IF(ISNUMBER('Semi Rev'!Q26),'Semi Rev'!Q26,""),"")</f>
        <v/>
      </c>
      <c r="N27" s="31">
        <f>IFERROR(IF(ISNUMBER('Semi Rev'!R26),'Semi Rev'!R26,""),"")</f>
        <v/>
      </c>
    </row>
    <row r="28">
      <c r="A28" s="19">
        <f>'Semi Rev'!$A27</f>
        <v/>
      </c>
      <c r="B28" s="19">
        <f>'Semi Rev'!$B27</f>
        <v/>
      </c>
      <c r="C28" s="30">
        <f>IFERROR(IF(ISNUMBER('Semi Rev'!G27),'Semi Rev'!G27,""),"")</f>
        <v/>
      </c>
      <c r="D28" s="30">
        <f>IFERROR(IF(ISNUMBER('Semi Rev'!H27),'Semi Rev'!H27,""),"")</f>
        <v/>
      </c>
      <c r="E28" s="30">
        <f>IFERROR(IF(ISNUMBER('Semi Rev'!I27),'Semi Rev'!I27,""),"")</f>
        <v/>
      </c>
      <c r="F28" s="30">
        <f>IFERROR(IF(ISNUMBER('Semi Rev'!J27),'Semi Rev'!J27,""),"")</f>
        <v/>
      </c>
      <c r="G28" s="30">
        <f>IFERROR(IF(ISNUMBER('Semi Rev'!K27),'Semi Rev'!K27,""),"")</f>
        <v/>
      </c>
      <c r="H28" s="30">
        <f>IFERROR(IF(ISNUMBER('Semi Rev'!L27),'Semi Rev'!L27,""),"")</f>
        <v/>
      </c>
      <c r="I28" s="30">
        <f>IFERROR(IF(ISNUMBER('Semi Rev'!M27),'Semi Rev'!M27,""),"")</f>
        <v/>
      </c>
      <c r="J28" s="30">
        <f>IFERROR(IF(ISNUMBER('Semi Rev'!N27),'Semi Rev'!N27,""),"")</f>
        <v/>
      </c>
      <c r="K28" s="30">
        <f>IFERROR(IF(ISNUMBER('Semi Rev'!O27),'Semi Rev'!O27,""),"")</f>
        <v/>
      </c>
      <c r="L28" s="30">
        <f>IFERROR(IF(ISNUMBER('Semi Rev'!P27),'Semi Rev'!P27,""),"")</f>
        <v/>
      </c>
      <c r="M28" s="31">
        <f>IFERROR(IF(ISNUMBER('Semi Rev'!Q27),'Semi Rev'!Q27,""),"")</f>
        <v/>
      </c>
      <c r="N28" s="31">
        <f>IFERROR(IF(ISNUMBER('Semi Rev'!R27),'Semi Rev'!R27,""),"")</f>
        <v/>
      </c>
    </row>
    <row r="29">
      <c r="A29" s="19">
        <f>'Semi Rev'!$A28</f>
        <v/>
      </c>
      <c r="B29" s="19">
        <f>'Semi Rev'!$B28</f>
        <v/>
      </c>
      <c r="C29" s="30">
        <f>IFERROR(IF(ISNUMBER('Semi Rev'!G28),'Semi Rev'!G28,""),"")</f>
        <v/>
      </c>
      <c r="D29" s="30">
        <f>IFERROR(IF(ISNUMBER('Semi Rev'!H28),'Semi Rev'!H28,""),"")</f>
        <v/>
      </c>
      <c r="E29" s="30">
        <f>IFERROR(IF(ISNUMBER('Semi Rev'!I28),'Semi Rev'!I28,""),"")</f>
        <v/>
      </c>
      <c r="F29" s="30">
        <f>IFERROR(IF(ISNUMBER('Semi Rev'!J28),'Semi Rev'!J28,""),"")</f>
        <v/>
      </c>
      <c r="G29" s="30">
        <f>IFERROR(IF(ISNUMBER('Semi Rev'!K28),'Semi Rev'!K28,""),"")</f>
        <v/>
      </c>
      <c r="H29" s="30">
        <f>IFERROR(IF(ISNUMBER('Semi Rev'!L28),'Semi Rev'!L28,""),"")</f>
        <v/>
      </c>
      <c r="I29" s="30">
        <f>IFERROR(IF(ISNUMBER('Semi Rev'!M28),'Semi Rev'!M28,""),"")</f>
        <v/>
      </c>
      <c r="J29" s="30">
        <f>IFERROR(IF(ISNUMBER('Semi Rev'!N28),'Semi Rev'!N28,""),"")</f>
        <v/>
      </c>
      <c r="K29" s="30">
        <f>IFERROR(IF(ISNUMBER('Semi Rev'!O28),'Semi Rev'!O28,""),"")</f>
        <v/>
      </c>
      <c r="L29" s="30">
        <f>IFERROR(IF(ISNUMBER('Semi Rev'!P28),'Semi Rev'!P28,""),"")</f>
        <v/>
      </c>
      <c r="M29" s="31">
        <f>IFERROR(IF(ISNUMBER('Semi Rev'!Q28),'Semi Rev'!Q28,""),"")</f>
        <v/>
      </c>
      <c r="N29" s="31">
        <f>IFERROR(IF(ISNUMBER('Semi Rev'!R28),'Semi Rev'!R28,""),"")</f>
        <v/>
      </c>
    </row>
    <row r="30">
      <c r="A30" s="19">
        <f>'Semi Rev'!$A29</f>
        <v/>
      </c>
      <c r="B30" s="19">
        <f>'Semi Rev'!$B29</f>
        <v/>
      </c>
      <c r="C30" s="30">
        <f>IFERROR(IF(ISNUMBER('Semi Rev'!G29),'Semi Rev'!G29,""),"")</f>
        <v/>
      </c>
      <c r="D30" s="30">
        <f>IFERROR(IF(ISNUMBER('Semi Rev'!H29),'Semi Rev'!H29,""),"")</f>
        <v/>
      </c>
      <c r="E30" s="30">
        <f>IFERROR(IF(ISNUMBER('Semi Rev'!I29),'Semi Rev'!I29,""),"")</f>
        <v/>
      </c>
      <c r="F30" s="30">
        <f>IFERROR(IF(ISNUMBER('Semi Rev'!J29),'Semi Rev'!J29,""),"")</f>
        <v/>
      </c>
      <c r="G30" s="30">
        <f>IFERROR(IF(ISNUMBER('Semi Rev'!K29),'Semi Rev'!K29,""),"")</f>
        <v/>
      </c>
      <c r="H30" s="30">
        <f>IFERROR(IF(ISNUMBER('Semi Rev'!L29),'Semi Rev'!L29,""),"")</f>
        <v/>
      </c>
      <c r="I30" s="30">
        <f>IFERROR(IF(ISNUMBER('Semi Rev'!M29),'Semi Rev'!M29,""),"")</f>
        <v/>
      </c>
      <c r="J30" s="30">
        <f>IFERROR(IF(ISNUMBER('Semi Rev'!N29),'Semi Rev'!N29,""),"")</f>
        <v/>
      </c>
      <c r="K30" s="30">
        <f>IFERROR(IF(ISNUMBER('Semi Rev'!O29),'Semi Rev'!O29,""),"")</f>
        <v/>
      </c>
      <c r="L30" s="30">
        <f>IFERROR(IF(ISNUMBER('Semi Rev'!P29),'Semi Rev'!P29,""),"")</f>
        <v/>
      </c>
      <c r="M30" s="31">
        <f>IFERROR(IF(ISNUMBER('Semi Rev'!Q29),'Semi Rev'!Q29,""),"")</f>
        <v/>
      </c>
      <c r="N30" s="31">
        <f>IFERROR(IF(ISNUMBER('Semi Rev'!R29),'Semi Rev'!R29,""),"")</f>
        <v/>
      </c>
    </row>
    <row r="31">
      <c r="A31" s="19">
        <f>'Semi Rev'!$A30</f>
        <v/>
      </c>
      <c r="B31" s="19">
        <f>'Semi Rev'!$B30</f>
        <v/>
      </c>
      <c r="C31" s="30">
        <f>IFERROR(IF(ISNUMBER('Semi Rev'!G30),'Semi Rev'!G30,""),"")</f>
        <v/>
      </c>
      <c r="D31" s="30">
        <f>IFERROR(IF(ISNUMBER('Semi Rev'!H30),'Semi Rev'!H30,""),"")</f>
        <v/>
      </c>
      <c r="E31" s="30">
        <f>IFERROR(IF(ISNUMBER('Semi Rev'!I30),'Semi Rev'!I30,""),"")</f>
        <v/>
      </c>
      <c r="F31" s="30">
        <f>IFERROR(IF(ISNUMBER('Semi Rev'!J30),'Semi Rev'!J30,""),"")</f>
        <v/>
      </c>
      <c r="G31" s="30">
        <f>IFERROR(IF(ISNUMBER('Semi Rev'!K30),'Semi Rev'!K30,""),"")</f>
        <v/>
      </c>
      <c r="H31" s="30">
        <f>IFERROR(IF(ISNUMBER('Semi Rev'!L30),'Semi Rev'!L30,""),"")</f>
        <v/>
      </c>
      <c r="I31" s="30">
        <f>IFERROR(IF(ISNUMBER('Semi Rev'!M30),'Semi Rev'!M30,""),"")</f>
        <v/>
      </c>
      <c r="J31" s="30">
        <f>IFERROR(IF(ISNUMBER('Semi Rev'!N30),'Semi Rev'!N30,""),"")</f>
        <v/>
      </c>
      <c r="K31" s="30">
        <f>IFERROR(IF(ISNUMBER('Semi Rev'!O30),'Semi Rev'!O30,""),"")</f>
        <v/>
      </c>
      <c r="L31" s="30">
        <f>IFERROR(IF(ISNUMBER('Semi Rev'!P30),'Semi Rev'!P30,""),"")</f>
        <v/>
      </c>
      <c r="M31" s="31">
        <f>IFERROR(IF(ISNUMBER('Semi Rev'!Q30),'Semi Rev'!Q30,""),"")</f>
        <v/>
      </c>
      <c r="N31" s="31">
        <f>IFERROR(IF(ISNUMBER('Semi Rev'!R30),'Semi Rev'!R30,""),"")</f>
        <v/>
      </c>
    </row>
    <row r="32">
      <c r="A32" s="19">
        <f>'Semi Rev'!$A31</f>
        <v/>
      </c>
      <c r="B32" s="19">
        <f>'Semi Rev'!$B31</f>
        <v/>
      </c>
      <c r="C32" s="30">
        <f>IFERROR(IF(ISNUMBER('Semi Rev'!G31),'Semi Rev'!G31,""),"")</f>
        <v/>
      </c>
      <c r="D32" s="30">
        <f>IFERROR(IF(ISNUMBER('Semi Rev'!H31),'Semi Rev'!H31,""),"")</f>
        <v/>
      </c>
      <c r="E32" s="30">
        <f>IFERROR(IF(ISNUMBER('Semi Rev'!I31),'Semi Rev'!I31,""),"")</f>
        <v/>
      </c>
      <c r="F32" s="30">
        <f>IFERROR(IF(ISNUMBER('Semi Rev'!J31),'Semi Rev'!J31,""),"")</f>
        <v/>
      </c>
      <c r="G32" s="30">
        <f>IFERROR(IF(ISNUMBER('Semi Rev'!K31),'Semi Rev'!K31,""),"")</f>
        <v/>
      </c>
      <c r="H32" s="30">
        <f>IFERROR(IF(ISNUMBER('Semi Rev'!L31),'Semi Rev'!L31,""),"")</f>
        <v/>
      </c>
      <c r="I32" s="30">
        <f>IFERROR(IF(ISNUMBER('Semi Rev'!M31),'Semi Rev'!M31,""),"")</f>
        <v/>
      </c>
      <c r="J32" s="30">
        <f>IFERROR(IF(ISNUMBER('Semi Rev'!N31),'Semi Rev'!N31,""),"")</f>
        <v/>
      </c>
      <c r="K32" s="30">
        <f>IFERROR(IF(ISNUMBER('Semi Rev'!O31),'Semi Rev'!O31,""),"")</f>
        <v/>
      </c>
      <c r="L32" s="30">
        <f>IFERROR(IF(ISNUMBER('Semi Rev'!P31),'Semi Rev'!P31,""),"")</f>
        <v/>
      </c>
      <c r="M32" s="31">
        <f>IFERROR(IF(ISNUMBER('Semi Rev'!Q31),'Semi Rev'!Q31,""),"")</f>
        <v/>
      </c>
      <c r="N32" s="31">
        <f>IFERROR(IF(ISNUMBER('Semi Rev'!R31),'Semi Rev'!R31,""),"")</f>
        <v/>
      </c>
    </row>
    <row r="33">
      <c r="A33" s="19">
        <f>'Semi Rev'!$A32</f>
        <v/>
      </c>
      <c r="B33" s="19">
        <f>'Semi Rev'!$B32</f>
        <v/>
      </c>
      <c r="C33" s="30">
        <f>IFERROR(IF(ISNUMBER('Semi Rev'!G32),'Semi Rev'!G32,""),"")</f>
        <v/>
      </c>
      <c r="D33" s="30">
        <f>IFERROR(IF(ISNUMBER('Semi Rev'!H32),'Semi Rev'!H32,""),"")</f>
        <v/>
      </c>
      <c r="E33" s="30">
        <f>IFERROR(IF(ISNUMBER('Semi Rev'!I32),'Semi Rev'!I32,""),"")</f>
        <v/>
      </c>
      <c r="F33" s="30">
        <f>IFERROR(IF(ISNUMBER('Semi Rev'!J32),'Semi Rev'!J32,""),"")</f>
        <v/>
      </c>
      <c r="G33" s="30">
        <f>IFERROR(IF(ISNUMBER('Semi Rev'!K32),'Semi Rev'!K32,""),"")</f>
        <v/>
      </c>
      <c r="H33" s="30">
        <f>IFERROR(IF(ISNUMBER('Semi Rev'!L32),'Semi Rev'!L32,""),"")</f>
        <v/>
      </c>
      <c r="I33" s="30">
        <f>IFERROR(IF(ISNUMBER('Semi Rev'!M32),'Semi Rev'!M32,""),"")</f>
        <v/>
      </c>
      <c r="J33" s="30">
        <f>IFERROR(IF(ISNUMBER('Semi Rev'!N32),'Semi Rev'!N32,""),"")</f>
        <v/>
      </c>
      <c r="K33" s="30">
        <f>IFERROR(IF(ISNUMBER('Semi Rev'!O32),'Semi Rev'!O32,""),"")</f>
        <v/>
      </c>
      <c r="L33" s="30">
        <f>IFERROR(IF(ISNUMBER('Semi Rev'!P32),'Semi Rev'!P32,""),"")</f>
        <v/>
      </c>
      <c r="M33" s="31">
        <f>IFERROR(IF(ISNUMBER('Semi Rev'!Q32),'Semi Rev'!Q32,""),"")</f>
        <v/>
      </c>
      <c r="N33" s="31">
        <f>IFERROR(IF(ISNUMBER('Semi Rev'!R32),'Semi Rev'!R32,""),"")</f>
        <v/>
      </c>
    </row>
    <row r="34">
      <c r="A34" s="19">
        <f>'Semi Rev'!$A33</f>
        <v/>
      </c>
      <c r="B34" s="19">
        <f>'Semi Rev'!$B33</f>
        <v/>
      </c>
      <c r="C34" s="30">
        <f>IFERROR(IF(ISNUMBER('Semi Rev'!G33),'Semi Rev'!G33,""),"")</f>
        <v/>
      </c>
      <c r="D34" s="30">
        <f>IFERROR(IF(ISNUMBER('Semi Rev'!H33),'Semi Rev'!H33,""),"")</f>
        <v/>
      </c>
      <c r="E34" s="30">
        <f>IFERROR(IF(ISNUMBER('Semi Rev'!I33),'Semi Rev'!I33,""),"")</f>
        <v/>
      </c>
      <c r="F34" s="30">
        <f>IFERROR(IF(ISNUMBER('Semi Rev'!J33),'Semi Rev'!J33,""),"")</f>
        <v/>
      </c>
      <c r="G34" s="30">
        <f>IFERROR(IF(ISNUMBER('Semi Rev'!K33),'Semi Rev'!K33,""),"")</f>
        <v/>
      </c>
      <c r="H34" s="30">
        <f>IFERROR(IF(ISNUMBER('Semi Rev'!L33),'Semi Rev'!L33,""),"")</f>
        <v/>
      </c>
      <c r="I34" s="30">
        <f>IFERROR(IF(ISNUMBER('Semi Rev'!M33),'Semi Rev'!M33,""),"")</f>
        <v/>
      </c>
      <c r="J34" s="30">
        <f>IFERROR(IF(ISNUMBER('Semi Rev'!N33),'Semi Rev'!N33,""),"")</f>
        <v/>
      </c>
      <c r="K34" s="30">
        <f>IFERROR(IF(ISNUMBER('Semi Rev'!O33),'Semi Rev'!O33,""),"")</f>
        <v/>
      </c>
      <c r="L34" s="30">
        <f>IFERROR(IF(ISNUMBER('Semi Rev'!P33),'Semi Rev'!P33,""),"")</f>
        <v/>
      </c>
      <c r="M34" s="31">
        <f>IFERROR(IF(ISNUMBER('Semi Rev'!Q33),'Semi Rev'!Q33,""),"")</f>
        <v/>
      </c>
      <c r="N34" s="31">
        <f>IFERROR(IF(ISNUMBER('Semi Rev'!R33),'Semi Rev'!R33,""),"")</f>
        <v/>
      </c>
    </row>
    <row r="35">
      <c r="A35" s="19">
        <f>'Semi Rev'!$A34</f>
        <v/>
      </c>
      <c r="B35" s="19">
        <f>'Semi Rev'!$B34</f>
        <v/>
      </c>
      <c r="C35" s="30">
        <f>IFERROR(IF(ISNUMBER('Semi Rev'!G34),'Semi Rev'!G34,""),"")</f>
        <v/>
      </c>
      <c r="D35" s="30">
        <f>IFERROR(IF(ISNUMBER('Semi Rev'!H34),'Semi Rev'!H34,""),"")</f>
        <v/>
      </c>
      <c r="E35" s="30">
        <f>IFERROR(IF(ISNUMBER('Semi Rev'!I34),'Semi Rev'!I34,""),"")</f>
        <v/>
      </c>
      <c r="F35" s="30">
        <f>IFERROR(IF(ISNUMBER('Semi Rev'!J34),'Semi Rev'!J34,""),"")</f>
        <v/>
      </c>
      <c r="G35" s="30">
        <f>IFERROR(IF(ISNUMBER('Semi Rev'!K34),'Semi Rev'!K34,""),"")</f>
        <v/>
      </c>
      <c r="H35" s="30">
        <f>IFERROR(IF(ISNUMBER('Semi Rev'!L34),'Semi Rev'!L34,""),"")</f>
        <v/>
      </c>
      <c r="I35" s="30">
        <f>IFERROR(IF(ISNUMBER('Semi Rev'!M34),'Semi Rev'!M34,""),"")</f>
        <v/>
      </c>
      <c r="J35" s="30">
        <f>IFERROR(IF(ISNUMBER('Semi Rev'!N34),'Semi Rev'!N34,""),"")</f>
        <v/>
      </c>
      <c r="K35" s="30">
        <f>IFERROR(IF(ISNUMBER('Semi Rev'!O34),'Semi Rev'!O34,""),"")</f>
        <v/>
      </c>
      <c r="L35" s="30">
        <f>IFERROR(IF(ISNUMBER('Semi Rev'!P34),'Semi Rev'!P34,""),"")</f>
        <v/>
      </c>
      <c r="M35" s="31">
        <f>IFERROR(IF(ISNUMBER('Semi Rev'!Q34),'Semi Rev'!Q34,""),"")</f>
        <v/>
      </c>
      <c r="N35" s="31">
        <f>IFERROR(IF(ISNUMBER('Semi Rev'!R34),'Semi Rev'!R34,""),"")</f>
        <v/>
      </c>
    </row>
    <row r="36">
      <c r="A36" s="19">
        <f>'Semi Rev'!$A35</f>
        <v/>
      </c>
      <c r="B36" s="19">
        <f>'Semi Rev'!$B35</f>
        <v/>
      </c>
      <c r="C36" s="30">
        <f>IFERROR(IF(ISNUMBER('Semi Rev'!G35),'Semi Rev'!G35,""),"")</f>
        <v/>
      </c>
      <c r="D36" s="30">
        <f>IFERROR(IF(ISNUMBER('Semi Rev'!H35),'Semi Rev'!H35,""),"")</f>
        <v/>
      </c>
      <c r="E36" s="30">
        <f>IFERROR(IF(ISNUMBER('Semi Rev'!I35),'Semi Rev'!I35,""),"")</f>
        <v/>
      </c>
      <c r="F36" s="30">
        <f>IFERROR(IF(ISNUMBER('Semi Rev'!J35),'Semi Rev'!J35,""),"")</f>
        <v/>
      </c>
      <c r="G36" s="30">
        <f>IFERROR(IF(ISNUMBER('Semi Rev'!K35),'Semi Rev'!K35,""),"")</f>
        <v/>
      </c>
      <c r="H36" s="30">
        <f>IFERROR(IF(ISNUMBER('Semi Rev'!L35),'Semi Rev'!L35,""),"")</f>
        <v/>
      </c>
      <c r="I36" s="30">
        <f>IFERROR(IF(ISNUMBER('Semi Rev'!M35),'Semi Rev'!M35,""),"")</f>
        <v/>
      </c>
      <c r="J36" s="30">
        <f>IFERROR(IF(ISNUMBER('Semi Rev'!N35),'Semi Rev'!N35,""),"")</f>
        <v/>
      </c>
      <c r="K36" s="30">
        <f>IFERROR(IF(ISNUMBER('Semi Rev'!O35),'Semi Rev'!O35,""),"")</f>
        <v/>
      </c>
      <c r="L36" s="30">
        <f>IFERROR(IF(ISNUMBER('Semi Rev'!P35),'Semi Rev'!P35,""),"")</f>
        <v/>
      </c>
      <c r="M36" s="31">
        <f>IFERROR(IF(ISNUMBER('Semi Rev'!Q35),'Semi Rev'!Q35,""),"")</f>
        <v/>
      </c>
      <c r="N36" s="31">
        <f>IFERROR(IF(ISNUMBER('Semi Rev'!R35),'Semi Rev'!R35,""),"")</f>
        <v/>
      </c>
    </row>
    <row r="37">
      <c r="A37" s="19">
        <f>'Semi Rev'!$A36</f>
        <v/>
      </c>
      <c r="B37" s="19">
        <f>'Semi Rev'!$B36</f>
        <v/>
      </c>
      <c r="C37" s="30">
        <f>IFERROR(IF(ISNUMBER('Semi Rev'!G36),'Semi Rev'!G36,""),"")</f>
        <v/>
      </c>
      <c r="D37" s="30">
        <f>IFERROR(IF(ISNUMBER('Semi Rev'!H36),'Semi Rev'!H36,""),"")</f>
        <v/>
      </c>
      <c r="E37" s="30">
        <f>IFERROR(IF(ISNUMBER('Semi Rev'!I36),'Semi Rev'!I36,""),"")</f>
        <v/>
      </c>
      <c r="F37" s="30">
        <f>IFERROR(IF(ISNUMBER('Semi Rev'!J36),'Semi Rev'!J36,""),"")</f>
        <v/>
      </c>
      <c r="G37" s="30">
        <f>IFERROR(IF(ISNUMBER('Semi Rev'!K36),'Semi Rev'!K36,""),"")</f>
        <v/>
      </c>
      <c r="H37" s="30">
        <f>IFERROR(IF(ISNUMBER('Semi Rev'!L36),'Semi Rev'!L36,""),"")</f>
        <v/>
      </c>
      <c r="I37" s="30">
        <f>IFERROR(IF(ISNUMBER('Semi Rev'!M36),'Semi Rev'!M36,""),"")</f>
        <v/>
      </c>
      <c r="J37" s="30">
        <f>IFERROR(IF(ISNUMBER('Semi Rev'!N36),'Semi Rev'!N36,""),"")</f>
        <v/>
      </c>
      <c r="K37" s="30">
        <f>IFERROR(IF(ISNUMBER('Semi Rev'!O36),'Semi Rev'!O36,""),"")</f>
        <v/>
      </c>
      <c r="L37" s="30">
        <f>IFERROR(IF(ISNUMBER('Semi Rev'!P36),'Semi Rev'!P36,""),"")</f>
        <v/>
      </c>
      <c r="M37" s="31">
        <f>IFERROR(IF(ISNUMBER('Semi Rev'!Q36),'Semi Rev'!Q36,""),"")</f>
        <v/>
      </c>
      <c r="N37" s="31">
        <f>IFERROR(IF(ISNUMBER('Semi Rev'!R36),'Semi Rev'!R36,""),"")</f>
        <v/>
      </c>
    </row>
    <row r="38">
      <c r="A38" s="19">
        <f>'Semi Rev'!$A37</f>
        <v/>
      </c>
      <c r="B38" s="19">
        <f>'Semi Rev'!$B37</f>
        <v/>
      </c>
      <c r="C38" s="30">
        <f>IFERROR(IF(ISNUMBER('Semi Rev'!G37),'Semi Rev'!G37,""),"")</f>
        <v/>
      </c>
      <c r="D38" s="30">
        <f>IFERROR(IF(ISNUMBER('Semi Rev'!H37),'Semi Rev'!H37,""),"")</f>
        <v/>
      </c>
      <c r="E38" s="30">
        <f>IFERROR(IF(ISNUMBER('Semi Rev'!I37),'Semi Rev'!I37,""),"")</f>
        <v/>
      </c>
      <c r="F38" s="30">
        <f>IFERROR(IF(ISNUMBER('Semi Rev'!J37),'Semi Rev'!J37,""),"")</f>
        <v/>
      </c>
      <c r="G38" s="30">
        <f>IFERROR(IF(ISNUMBER('Semi Rev'!K37),'Semi Rev'!K37,""),"")</f>
        <v/>
      </c>
      <c r="H38" s="30">
        <f>IFERROR(IF(ISNUMBER('Semi Rev'!L37),'Semi Rev'!L37,""),"")</f>
        <v/>
      </c>
      <c r="I38" s="30">
        <f>IFERROR(IF(ISNUMBER('Semi Rev'!M37),'Semi Rev'!M37,""),"")</f>
        <v/>
      </c>
      <c r="J38" s="30">
        <f>IFERROR(IF(ISNUMBER('Semi Rev'!N37),'Semi Rev'!N37,""),"")</f>
        <v/>
      </c>
      <c r="K38" s="30">
        <f>IFERROR(IF(ISNUMBER('Semi Rev'!O37),'Semi Rev'!O37,""),"")</f>
        <v/>
      </c>
      <c r="L38" s="30">
        <f>IFERROR(IF(ISNUMBER('Semi Rev'!P37),'Semi Rev'!P37,""),"")</f>
        <v/>
      </c>
      <c r="M38" s="31">
        <f>IFERROR(IF(ISNUMBER('Semi Rev'!Q37),'Semi Rev'!Q37,""),"")</f>
        <v/>
      </c>
      <c r="N38" s="31">
        <f>IFERROR(IF(ISNUMBER('Semi Rev'!R37),'Semi Rev'!R37,""),"")</f>
        <v/>
      </c>
    </row>
    <row r="39">
      <c r="A39" s="19">
        <f>'Semi Rev'!$A38</f>
        <v/>
      </c>
      <c r="B39" s="19">
        <f>'Semi Rev'!$B38</f>
        <v/>
      </c>
      <c r="C39" s="30">
        <f>IFERROR(IF(ISNUMBER('Semi Rev'!G38),'Semi Rev'!G38,""),"")</f>
        <v/>
      </c>
      <c r="D39" s="30">
        <f>IFERROR(IF(ISNUMBER('Semi Rev'!H38),'Semi Rev'!H38,""),"")</f>
        <v/>
      </c>
      <c r="E39" s="30">
        <f>IFERROR(IF(ISNUMBER('Semi Rev'!I38),'Semi Rev'!I38,""),"")</f>
        <v/>
      </c>
      <c r="F39" s="30">
        <f>IFERROR(IF(ISNUMBER('Semi Rev'!J38),'Semi Rev'!J38,""),"")</f>
        <v/>
      </c>
      <c r="G39" s="30">
        <f>IFERROR(IF(ISNUMBER('Semi Rev'!K38),'Semi Rev'!K38,""),"")</f>
        <v/>
      </c>
      <c r="H39" s="30">
        <f>IFERROR(IF(ISNUMBER('Semi Rev'!L38),'Semi Rev'!L38,""),"")</f>
        <v/>
      </c>
      <c r="I39" s="30">
        <f>IFERROR(IF(ISNUMBER('Semi Rev'!M38),'Semi Rev'!M38,""),"")</f>
        <v/>
      </c>
      <c r="J39" s="30">
        <f>IFERROR(IF(ISNUMBER('Semi Rev'!N38),'Semi Rev'!N38,""),"")</f>
        <v/>
      </c>
      <c r="K39" s="30">
        <f>IFERROR(IF(ISNUMBER('Semi Rev'!O38),'Semi Rev'!O38,""),"")</f>
        <v/>
      </c>
      <c r="L39" s="30">
        <f>IFERROR(IF(ISNUMBER('Semi Rev'!P38),'Semi Rev'!P38,""),"")</f>
        <v/>
      </c>
      <c r="M39" s="31">
        <f>IFERROR(IF(ISNUMBER('Semi Rev'!Q38),'Semi Rev'!Q38,""),"")</f>
        <v/>
      </c>
      <c r="N39" s="31">
        <f>IFERROR(IF(ISNUMBER('Semi Rev'!R38),'Semi Rev'!R38,""),"")</f>
        <v/>
      </c>
    </row>
    <row r="40">
      <c r="A40" s="19">
        <f>'Semi Rev'!$A39</f>
        <v/>
      </c>
      <c r="B40" s="19">
        <f>'Semi Rev'!$B39</f>
        <v/>
      </c>
      <c r="C40" s="30">
        <f>IFERROR(IF(ISNUMBER('Semi Rev'!G39),'Semi Rev'!G39,""),"")</f>
        <v/>
      </c>
      <c r="D40" s="30">
        <f>IFERROR(IF(ISNUMBER('Semi Rev'!H39),'Semi Rev'!H39,""),"")</f>
        <v/>
      </c>
      <c r="E40" s="30">
        <f>IFERROR(IF(ISNUMBER('Semi Rev'!I39),'Semi Rev'!I39,""),"")</f>
        <v/>
      </c>
      <c r="F40" s="30">
        <f>IFERROR(IF(ISNUMBER('Semi Rev'!J39),'Semi Rev'!J39,""),"")</f>
        <v/>
      </c>
      <c r="G40" s="30">
        <f>IFERROR(IF(ISNUMBER('Semi Rev'!K39),'Semi Rev'!K39,""),"")</f>
        <v/>
      </c>
      <c r="H40" s="30">
        <f>IFERROR(IF(ISNUMBER('Semi Rev'!L39),'Semi Rev'!L39,""),"")</f>
        <v/>
      </c>
      <c r="I40" s="30">
        <f>IFERROR(IF(ISNUMBER('Semi Rev'!M39),'Semi Rev'!M39,""),"")</f>
        <v/>
      </c>
      <c r="J40" s="30">
        <f>IFERROR(IF(ISNUMBER('Semi Rev'!N39),'Semi Rev'!N39,""),"")</f>
        <v/>
      </c>
      <c r="K40" s="30">
        <f>IFERROR(IF(ISNUMBER('Semi Rev'!O39),'Semi Rev'!O39,""),"")</f>
        <v/>
      </c>
      <c r="L40" s="30">
        <f>IFERROR(IF(ISNUMBER('Semi Rev'!P39),'Semi Rev'!P39,""),"")</f>
        <v/>
      </c>
      <c r="M40" s="31">
        <f>IFERROR(IF(ISNUMBER('Semi Rev'!Q39),'Semi Rev'!Q39,""),"")</f>
        <v/>
      </c>
      <c r="N40" s="31">
        <f>IFERROR(IF(ISNUMBER('Semi Rev'!R39),'Semi Rev'!R39,""),"")</f>
        <v/>
      </c>
    </row>
    <row r="41">
      <c r="A41" s="19">
        <f>'Semi Rev'!$A40</f>
        <v/>
      </c>
      <c r="B41" s="19">
        <f>'Semi Rev'!$B40</f>
        <v/>
      </c>
      <c r="C41" s="30">
        <f>IFERROR(IF(ISNUMBER('Semi Rev'!G40),'Semi Rev'!G40,""),"")</f>
        <v/>
      </c>
      <c r="D41" s="30">
        <f>IFERROR(IF(ISNUMBER('Semi Rev'!H40),'Semi Rev'!H40,""),"")</f>
        <v/>
      </c>
      <c r="E41" s="30">
        <f>IFERROR(IF(ISNUMBER('Semi Rev'!I40),'Semi Rev'!I40,""),"")</f>
        <v/>
      </c>
      <c r="F41" s="30">
        <f>IFERROR(IF(ISNUMBER('Semi Rev'!J40),'Semi Rev'!J40,""),"")</f>
        <v/>
      </c>
      <c r="G41" s="30">
        <f>IFERROR(IF(ISNUMBER('Semi Rev'!K40),'Semi Rev'!K40,""),"")</f>
        <v/>
      </c>
      <c r="H41" s="30">
        <f>IFERROR(IF(ISNUMBER('Semi Rev'!L40),'Semi Rev'!L40,""),"")</f>
        <v/>
      </c>
      <c r="I41" s="30">
        <f>IFERROR(IF(ISNUMBER('Semi Rev'!M40),'Semi Rev'!M40,""),"")</f>
        <v/>
      </c>
      <c r="J41" s="30">
        <f>IFERROR(IF(ISNUMBER('Semi Rev'!N40),'Semi Rev'!N40,""),"")</f>
        <v/>
      </c>
      <c r="K41" s="30">
        <f>IFERROR(IF(ISNUMBER('Semi Rev'!O40),'Semi Rev'!O40,""),"")</f>
        <v/>
      </c>
      <c r="L41" s="30">
        <f>IFERROR(IF(ISNUMBER('Semi Rev'!P40),'Semi Rev'!P40,""),"")</f>
        <v/>
      </c>
      <c r="M41" s="31">
        <f>IFERROR(IF(ISNUMBER('Semi Rev'!Q40),'Semi Rev'!Q40,""),"")</f>
        <v/>
      </c>
      <c r="N41" s="31">
        <f>IFERROR(IF(ISNUMBER('Semi Rev'!R40),'Semi Rev'!R40,""),"")</f>
        <v/>
      </c>
    </row>
    <row r="42">
      <c r="A42" s="19">
        <f>'Semi Rev'!$A41</f>
        <v/>
      </c>
      <c r="B42" s="19">
        <f>'Semi Rev'!$B41</f>
        <v/>
      </c>
      <c r="C42" s="30">
        <f>IFERROR(IF(ISNUMBER('Semi Rev'!G41),'Semi Rev'!G41,""),"")</f>
        <v/>
      </c>
      <c r="D42" s="30">
        <f>IFERROR(IF(ISNUMBER('Semi Rev'!H41),'Semi Rev'!H41,""),"")</f>
        <v/>
      </c>
      <c r="E42" s="30">
        <f>IFERROR(IF(ISNUMBER('Semi Rev'!I41),'Semi Rev'!I41,""),"")</f>
        <v/>
      </c>
      <c r="F42" s="30">
        <f>IFERROR(IF(ISNUMBER('Semi Rev'!J41),'Semi Rev'!J41,""),"")</f>
        <v/>
      </c>
      <c r="G42" s="30">
        <f>IFERROR(IF(ISNUMBER('Semi Rev'!K41),'Semi Rev'!K41,""),"")</f>
        <v/>
      </c>
      <c r="H42" s="30">
        <f>IFERROR(IF(ISNUMBER('Semi Rev'!L41),'Semi Rev'!L41,""),"")</f>
        <v/>
      </c>
      <c r="I42" s="30">
        <f>IFERROR(IF(ISNUMBER('Semi Rev'!M41),'Semi Rev'!M41,""),"")</f>
        <v/>
      </c>
      <c r="J42" s="30">
        <f>IFERROR(IF(ISNUMBER('Semi Rev'!N41),'Semi Rev'!N41,""),"")</f>
        <v/>
      </c>
      <c r="K42" s="30">
        <f>IFERROR(IF(ISNUMBER('Semi Rev'!O41),'Semi Rev'!O41,""),"")</f>
        <v/>
      </c>
      <c r="L42" s="30">
        <f>IFERROR(IF(ISNUMBER('Semi Rev'!P41),'Semi Rev'!P41,""),"")</f>
        <v/>
      </c>
      <c r="M42" s="31">
        <f>IFERROR(IF(ISNUMBER('Semi Rev'!Q41),'Semi Rev'!Q41,""),"")</f>
        <v/>
      </c>
      <c r="N42" s="31">
        <f>IFERROR(IF(ISNUMBER('Semi Rev'!R41),'Semi Rev'!R41,""),"")</f>
        <v/>
      </c>
    </row>
    <row r="43">
      <c r="A43" s="19">
        <f>'Semi Rev'!$A42</f>
        <v/>
      </c>
      <c r="B43" s="19">
        <f>'Semi Rev'!$B42</f>
        <v/>
      </c>
      <c r="C43" s="30">
        <f>IFERROR(IF(ISNUMBER('Semi Rev'!G42),'Semi Rev'!G42,""),"")</f>
        <v/>
      </c>
      <c r="D43" s="30">
        <f>IFERROR(IF(ISNUMBER('Semi Rev'!H42),'Semi Rev'!H42,""),"")</f>
        <v/>
      </c>
      <c r="E43" s="30">
        <f>IFERROR(IF(ISNUMBER('Semi Rev'!I42),'Semi Rev'!I42,""),"")</f>
        <v/>
      </c>
      <c r="F43" s="30">
        <f>IFERROR(IF(ISNUMBER('Semi Rev'!J42),'Semi Rev'!J42,""),"")</f>
        <v/>
      </c>
      <c r="G43" s="30">
        <f>IFERROR(IF(ISNUMBER('Semi Rev'!K42),'Semi Rev'!K42,""),"")</f>
        <v/>
      </c>
      <c r="H43" s="30">
        <f>IFERROR(IF(ISNUMBER('Semi Rev'!L42),'Semi Rev'!L42,""),"")</f>
        <v/>
      </c>
      <c r="I43" s="30">
        <f>IFERROR(IF(ISNUMBER('Semi Rev'!M42),'Semi Rev'!M42,""),"")</f>
        <v/>
      </c>
      <c r="J43" s="30">
        <f>IFERROR(IF(ISNUMBER('Semi Rev'!N42),'Semi Rev'!N42,""),"")</f>
        <v/>
      </c>
      <c r="K43" s="30">
        <f>IFERROR(IF(ISNUMBER('Semi Rev'!O42),'Semi Rev'!O42,""),"")</f>
        <v/>
      </c>
      <c r="L43" s="30">
        <f>IFERROR(IF(ISNUMBER('Semi Rev'!P42),'Semi Rev'!P42,""),"")</f>
        <v/>
      </c>
      <c r="M43" s="31">
        <f>IFERROR(IF(ISNUMBER('Semi Rev'!Q42),'Semi Rev'!Q42,""),"")</f>
        <v/>
      </c>
      <c r="N43" s="31">
        <f>IFERROR(IF(ISNUMBER('Semi Rev'!R42),'Semi Rev'!R42,""),"")</f>
        <v/>
      </c>
    </row>
    <row r="44">
      <c r="A44" s="19">
        <f>'Semi Rev'!$A43</f>
        <v/>
      </c>
      <c r="B44" s="19">
        <f>'Semi Rev'!$B43</f>
        <v/>
      </c>
      <c r="C44" s="30">
        <f>IFERROR(IF(ISNUMBER('Semi Rev'!G43),'Semi Rev'!G43,""),"")</f>
        <v/>
      </c>
      <c r="D44" s="30">
        <f>IFERROR(IF(ISNUMBER('Semi Rev'!H43),'Semi Rev'!H43,""),"")</f>
        <v/>
      </c>
      <c r="E44" s="30">
        <f>IFERROR(IF(ISNUMBER('Semi Rev'!I43),'Semi Rev'!I43,""),"")</f>
        <v/>
      </c>
      <c r="F44" s="30">
        <f>IFERROR(IF(ISNUMBER('Semi Rev'!J43),'Semi Rev'!J43,""),"")</f>
        <v/>
      </c>
      <c r="G44" s="30">
        <f>IFERROR(IF(ISNUMBER('Semi Rev'!K43),'Semi Rev'!K43,""),"")</f>
        <v/>
      </c>
      <c r="H44" s="30">
        <f>IFERROR(IF(ISNUMBER('Semi Rev'!L43),'Semi Rev'!L43,""),"")</f>
        <v/>
      </c>
      <c r="I44" s="30">
        <f>IFERROR(IF(ISNUMBER('Semi Rev'!M43),'Semi Rev'!M43,""),"")</f>
        <v/>
      </c>
      <c r="J44" s="30">
        <f>IFERROR(IF(ISNUMBER('Semi Rev'!N43),'Semi Rev'!N43,""),"")</f>
        <v/>
      </c>
      <c r="K44" s="30">
        <f>IFERROR(IF(ISNUMBER('Semi Rev'!O43),'Semi Rev'!O43,""),"")</f>
        <v/>
      </c>
      <c r="L44" s="30">
        <f>IFERROR(IF(ISNUMBER('Semi Rev'!P43),'Semi Rev'!P43,""),"")</f>
        <v/>
      </c>
      <c r="M44" s="31">
        <f>IFERROR(IF(ISNUMBER('Semi Rev'!Q43),'Semi Rev'!Q43,""),"")</f>
        <v/>
      </c>
      <c r="N44" s="31">
        <f>IFERROR(IF(ISNUMBER('Semi Rev'!R43),'Semi Rev'!R43,""),"")</f>
        <v/>
      </c>
    </row>
    <row r="45">
      <c r="A45" s="19">
        <f>'Semi Rev'!$A44</f>
        <v/>
      </c>
      <c r="B45" s="19">
        <f>'Semi Rev'!$B44</f>
        <v/>
      </c>
      <c r="C45" s="30">
        <f>IFERROR(IF(ISNUMBER('Semi Rev'!G44),'Semi Rev'!G44,""),"")</f>
        <v/>
      </c>
      <c r="D45" s="30">
        <f>IFERROR(IF(ISNUMBER('Semi Rev'!H44),'Semi Rev'!H44,""),"")</f>
        <v/>
      </c>
      <c r="E45" s="30">
        <f>IFERROR(IF(ISNUMBER('Semi Rev'!I44),'Semi Rev'!I44,""),"")</f>
        <v/>
      </c>
      <c r="F45" s="30">
        <f>IFERROR(IF(ISNUMBER('Semi Rev'!J44),'Semi Rev'!J44,""),"")</f>
        <v/>
      </c>
      <c r="G45" s="30">
        <f>IFERROR(IF(ISNUMBER('Semi Rev'!K44),'Semi Rev'!K44,""),"")</f>
        <v/>
      </c>
      <c r="H45" s="30">
        <f>IFERROR(IF(ISNUMBER('Semi Rev'!L44),'Semi Rev'!L44,""),"")</f>
        <v/>
      </c>
      <c r="I45" s="30">
        <f>IFERROR(IF(ISNUMBER('Semi Rev'!M44),'Semi Rev'!M44,""),"")</f>
        <v/>
      </c>
      <c r="J45" s="30">
        <f>IFERROR(IF(ISNUMBER('Semi Rev'!N44),'Semi Rev'!N44,""),"")</f>
        <v/>
      </c>
      <c r="K45" s="30">
        <f>IFERROR(IF(ISNUMBER('Semi Rev'!O44),'Semi Rev'!O44,""),"")</f>
        <v/>
      </c>
      <c r="L45" s="30">
        <f>IFERROR(IF(ISNUMBER('Semi Rev'!P44),'Semi Rev'!P44,""),"")</f>
        <v/>
      </c>
      <c r="M45" s="31">
        <f>IFERROR(IF(ISNUMBER('Semi Rev'!Q44),'Semi Rev'!Q44,""),"")</f>
        <v/>
      </c>
      <c r="N45" s="31">
        <f>IFERROR(IF(ISNUMBER('Semi Rev'!R44),'Semi Rev'!R44,""),"")</f>
        <v/>
      </c>
    </row>
    <row r="46">
      <c r="A46" s="19">
        <f>'Semi Rev'!$A45</f>
        <v/>
      </c>
      <c r="B46" s="19">
        <f>'Semi Rev'!$B45</f>
        <v/>
      </c>
      <c r="C46" s="30">
        <f>IFERROR(IF(ISNUMBER('Semi Rev'!G45),'Semi Rev'!G45,""),"")</f>
        <v/>
      </c>
      <c r="D46" s="30">
        <f>IFERROR(IF(ISNUMBER('Semi Rev'!H45),'Semi Rev'!H45,""),"")</f>
        <v/>
      </c>
      <c r="E46" s="30">
        <f>IFERROR(IF(ISNUMBER('Semi Rev'!I45),'Semi Rev'!I45,""),"")</f>
        <v/>
      </c>
      <c r="F46" s="30">
        <f>IFERROR(IF(ISNUMBER('Semi Rev'!J45),'Semi Rev'!J45,""),"")</f>
        <v/>
      </c>
      <c r="G46" s="30">
        <f>IFERROR(IF(ISNUMBER('Semi Rev'!K45),'Semi Rev'!K45,""),"")</f>
        <v/>
      </c>
      <c r="H46" s="30">
        <f>IFERROR(IF(ISNUMBER('Semi Rev'!L45),'Semi Rev'!L45,""),"")</f>
        <v/>
      </c>
      <c r="I46" s="30">
        <f>IFERROR(IF(ISNUMBER('Semi Rev'!M45),'Semi Rev'!M45,""),"")</f>
        <v/>
      </c>
      <c r="J46" s="30">
        <f>IFERROR(IF(ISNUMBER('Semi Rev'!N45),'Semi Rev'!N45,""),"")</f>
        <v/>
      </c>
      <c r="K46" s="30">
        <f>IFERROR(IF(ISNUMBER('Semi Rev'!O45),'Semi Rev'!O45,""),"")</f>
        <v/>
      </c>
      <c r="L46" s="30">
        <f>IFERROR(IF(ISNUMBER('Semi Rev'!P45),'Semi Rev'!P45,""),"")</f>
        <v/>
      </c>
      <c r="M46" s="31">
        <f>IFERROR(IF(ISNUMBER('Semi Rev'!Q45),'Semi Rev'!Q45,""),"")</f>
        <v/>
      </c>
      <c r="N46" s="31">
        <f>IFERROR(IF(ISNUMBER('Semi Rev'!R45),'Semi Rev'!R45,""),"")</f>
        <v/>
      </c>
    </row>
    <row r="47">
      <c r="A47" s="19">
        <f>'Semi Rev'!$A46</f>
        <v/>
      </c>
      <c r="B47" s="19">
        <f>'Semi Rev'!$B46</f>
        <v/>
      </c>
      <c r="C47" s="30">
        <f>IFERROR(IF(ISNUMBER('Semi Rev'!G46),'Semi Rev'!G46,""),"")</f>
        <v/>
      </c>
      <c r="D47" s="30">
        <f>IFERROR(IF(ISNUMBER('Semi Rev'!H46),'Semi Rev'!H46,""),"")</f>
        <v/>
      </c>
      <c r="E47" s="30">
        <f>IFERROR(IF(ISNUMBER('Semi Rev'!I46),'Semi Rev'!I46,""),"")</f>
        <v/>
      </c>
      <c r="F47" s="30">
        <f>IFERROR(IF(ISNUMBER('Semi Rev'!J46),'Semi Rev'!J46,""),"")</f>
        <v/>
      </c>
      <c r="G47" s="30">
        <f>IFERROR(IF(ISNUMBER('Semi Rev'!K46),'Semi Rev'!K46,""),"")</f>
        <v/>
      </c>
      <c r="H47" s="30">
        <f>IFERROR(IF(ISNUMBER('Semi Rev'!L46),'Semi Rev'!L46,""),"")</f>
        <v/>
      </c>
      <c r="I47" s="30">
        <f>IFERROR(IF(ISNUMBER('Semi Rev'!M46),'Semi Rev'!M46,""),"")</f>
        <v/>
      </c>
      <c r="J47" s="30">
        <f>IFERROR(IF(ISNUMBER('Semi Rev'!N46),'Semi Rev'!N46,""),"")</f>
        <v/>
      </c>
      <c r="K47" s="30">
        <f>IFERROR(IF(ISNUMBER('Semi Rev'!O46),'Semi Rev'!O46,""),"")</f>
        <v/>
      </c>
      <c r="L47" s="30">
        <f>IFERROR(IF(ISNUMBER('Semi Rev'!P46),'Semi Rev'!P46,""),"")</f>
        <v/>
      </c>
      <c r="M47" s="31">
        <f>IFERROR(IF(ISNUMBER('Semi Rev'!Q46),'Semi Rev'!Q46,""),"")</f>
        <v/>
      </c>
      <c r="N47" s="31">
        <f>IFERROR(IF(ISNUMBER('Semi Rev'!R46),'Semi Rev'!R46,""),"")</f>
        <v/>
      </c>
    </row>
    <row r="48">
      <c r="A48" s="19">
        <f>'Semi Rev'!$A47</f>
        <v/>
      </c>
      <c r="B48" s="19">
        <f>'Semi Rev'!$B47</f>
        <v/>
      </c>
      <c r="C48" s="30">
        <f>IFERROR(IF(ISNUMBER('Semi Rev'!G47),'Semi Rev'!G47,""),"")</f>
        <v/>
      </c>
      <c r="D48" s="30">
        <f>IFERROR(IF(ISNUMBER('Semi Rev'!H47),'Semi Rev'!H47,""),"")</f>
        <v/>
      </c>
      <c r="E48" s="30">
        <f>IFERROR(IF(ISNUMBER('Semi Rev'!I47),'Semi Rev'!I47,""),"")</f>
        <v/>
      </c>
      <c r="F48" s="30">
        <f>IFERROR(IF(ISNUMBER('Semi Rev'!J47),'Semi Rev'!J47,""),"")</f>
        <v/>
      </c>
      <c r="G48" s="30">
        <f>IFERROR(IF(ISNUMBER('Semi Rev'!K47),'Semi Rev'!K47,""),"")</f>
        <v/>
      </c>
      <c r="H48" s="30">
        <f>IFERROR(IF(ISNUMBER('Semi Rev'!L47),'Semi Rev'!L47,""),"")</f>
        <v/>
      </c>
      <c r="I48" s="30">
        <f>IFERROR(IF(ISNUMBER('Semi Rev'!M47),'Semi Rev'!M47,""),"")</f>
        <v/>
      </c>
      <c r="J48" s="30">
        <f>IFERROR(IF(ISNUMBER('Semi Rev'!N47),'Semi Rev'!N47,""),"")</f>
        <v/>
      </c>
      <c r="K48" s="30">
        <f>IFERROR(IF(ISNUMBER('Semi Rev'!O47),'Semi Rev'!O47,""),"")</f>
        <v/>
      </c>
      <c r="L48" s="30">
        <f>IFERROR(IF(ISNUMBER('Semi Rev'!P47),'Semi Rev'!P47,""),"")</f>
        <v/>
      </c>
      <c r="M48" s="31">
        <f>IFERROR(IF(ISNUMBER('Semi Rev'!Q47),'Semi Rev'!Q47,""),"")</f>
        <v/>
      </c>
      <c r="N48" s="31">
        <f>IFERROR(IF(ISNUMBER('Semi Rev'!R47),'Semi Rev'!R47,""),"")</f>
        <v/>
      </c>
    </row>
    <row r="49">
      <c r="A49" s="19">
        <f>'Semi Rev'!$A48</f>
        <v/>
      </c>
      <c r="B49" s="19">
        <f>'Semi Rev'!$B48</f>
        <v/>
      </c>
      <c r="C49" s="30">
        <f>IFERROR(IF(ISNUMBER('Semi Rev'!G48),'Semi Rev'!G48,""),"")</f>
        <v/>
      </c>
      <c r="D49" s="30">
        <f>IFERROR(IF(ISNUMBER('Semi Rev'!H48),'Semi Rev'!H48,""),"")</f>
        <v/>
      </c>
      <c r="E49" s="30">
        <f>IFERROR(IF(ISNUMBER('Semi Rev'!I48),'Semi Rev'!I48,""),"")</f>
        <v/>
      </c>
      <c r="F49" s="30">
        <f>IFERROR(IF(ISNUMBER('Semi Rev'!J48),'Semi Rev'!J48,""),"")</f>
        <v/>
      </c>
      <c r="G49" s="30">
        <f>IFERROR(IF(ISNUMBER('Semi Rev'!K48),'Semi Rev'!K48,""),"")</f>
        <v/>
      </c>
      <c r="H49" s="30">
        <f>IFERROR(IF(ISNUMBER('Semi Rev'!L48),'Semi Rev'!L48,""),"")</f>
        <v/>
      </c>
      <c r="I49" s="30">
        <f>IFERROR(IF(ISNUMBER('Semi Rev'!M48),'Semi Rev'!M48,""),"")</f>
        <v/>
      </c>
      <c r="J49" s="30">
        <f>IFERROR(IF(ISNUMBER('Semi Rev'!N48),'Semi Rev'!N48,""),"")</f>
        <v/>
      </c>
      <c r="K49" s="30">
        <f>IFERROR(IF(ISNUMBER('Semi Rev'!O48),'Semi Rev'!O48,""),"")</f>
        <v/>
      </c>
      <c r="L49" s="30">
        <f>IFERROR(IF(ISNUMBER('Semi Rev'!P48),'Semi Rev'!P48,""),"")</f>
        <v/>
      </c>
      <c r="M49" s="31">
        <f>IFERROR(IF(ISNUMBER('Semi Rev'!Q48),'Semi Rev'!Q48,""),"")</f>
        <v/>
      </c>
      <c r="N49" s="31">
        <f>IFERROR(IF(ISNUMBER('Semi Rev'!R48),'Semi Rev'!R48,""),"")</f>
        <v/>
      </c>
    </row>
    <row r="50">
      <c r="A50" s="19">
        <f>'Semi Rev'!$A49</f>
        <v/>
      </c>
      <c r="B50" s="19">
        <f>'Semi Rev'!$B49</f>
        <v/>
      </c>
      <c r="C50" s="30">
        <f>IFERROR(IF(ISNUMBER('Semi Rev'!G49),'Semi Rev'!G49,""),"")</f>
        <v/>
      </c>
      <c r="D50" s="30">
        <f>IFERROR(IF(ISNUMBER('Semi Rev'!H49),'Semi Rev'!H49,""),"")</f>
        <v/>
      </c>
      <c r="E50" s="30">
        <f>IFERROR(IF(ISNUMBER('Semi Rev'!I49),'Semi Rev'!I49,""),"")</f>
        <v/>
      </c>
      <c r="F50" s="30">
        <f>IFERROR(IF(ISNUMBER('Semi Rev'!J49),'Semi Rev'!J49,""),"")</f>
        <v/>
      </c>
      <c r="G50" s="30">
        <f>IFERROR(IF(ISNUMBER('Semi Rev'!K49),'Semi Rev'!K49,""),"")</f>
        <v/>
      </c>
      <c r="H50" s="30">
        <f>IFERROR(IF(ISNUMBER('Semi Rev'!L49),'Semi Rev'!L49,""),"")</f>
        <v/>
      </c>
      <c r="I50" s="30">
        <f>IFERROR(IF(ISNUMBER('Semi Rev'!M49),'Semi Rev'!M49,""),"")</f>
        <v/>
      </c>
      <c r="J50" s="30">
        <f>IFERROR(IF(ISNUMBER('Semi Rev'!N49),'Semi Rev'!N49,""),"")</f>
        <v/>
      </c>
      <c r="K50" s="30">
        <f>IFERROR(IF(ISNUMBER('Semi Rev'!O49),'Semi Rev'!O49,""),"")</f>
        <v/>
      </c>
      <c r="L50" s="30">
        <f>IFERROR(IF(ISNUMBER('Semi Rev'!P49),'Semi Rev'!P49,""),"")</f>
        <v/>
      </c>
      <c r="M50" s="31">
        <f>IFERROR(IF(ISNUMBER('Semi Rev'!Q49),'Semi Rev'!Q49,""),"")</f>
        <v/>
      </c>
      <c r="N50" s="31">
        <f>IFERROR(IF(ISNUMBER('Semi Rev'!R49),'Semi Rev'!R49,""),"")</f>
        <v/>
      </c>
    </row>
    <row r="51">
      <c r="A51" s="19">
        <f>'Semi Rev'!$A50</f>
        <v/>
      </c>
      <c r="B51" s="19">
        <f>'Semi Rev'!$B50</f>
        <v/>
      </c>
      <c r="C51" s="30">
        <f>IFERROR(IF(ISNUMBER('Semi Rev'!G50),'Semi Rev'!G50,""),"")</f>
        <v/>
      </c>
      <c r="D51" s="30">
        <f>IFERROR(IF(ISNUMBER('Semi Rev'!H50),'Semi Rev'!H50,""),"")</f>
        <v/>
      </c>
      <c r="E51" s="30">
        <f>IFERROR(IF(ISNUMBER('Semi Rev'!I50),'Semi Rev'!I50,""),"")</f>
        <v/>
      </c>
      <c r="F51" s="30">
        <f>IFERROR(IF(ISNUMBER('Semi Rev'!J50),'Semi Rev'!J50,""),"")</f>
        <v/>
      </c>
      <c r="G51" s="30">
        <f>IFERROR(IF(ISNUMBER('Semi Rev'!K50),'Semi Rev'!K50,""),"")</f>
        <v/>
      </c>
      <c r="H51" s="30">
        <f>IFERROR(IF(ISNUMBER('Semi Rev'!L50),'Semi Rev'!L50,""),"")</f>
        <v/>
      </c>
      <c r="I51" s="30">
        <f>IFERROR(IF(ISNUMBER('Semi Rev'!M50),'Semi Rev'!M50,""),"")</f>
        <v/>
      </c>
      <c r="J51" s="30">
        <f>IFERROR(IF(ISNUMBER('Semi Rev'!N50),'Semi Rev'!N50,""),"")</f>
        <v/>
      </c>
      <c r="K51" s="30">
        <f>IFERROR(IF(ISNUMBER('Semi Rev'!O50),'Semi Rev'!O50,""),"")</f>
        <v/>
      </c>
      <c r="L51" s="30">
        <f>IFERROR(IF(ISNUMBER('Semi Rev'!P50),'Semi Rev'!P50,""),"")</f>
        <v/>
      </c>
      <c r="M51" s="31">
        <f>IFERROR(IF(ISNUMBER('Semi Rev'!Q50),'Semi Rev'!Q50,""),"")</f>
        <v/>
      </c>
      <c r="N51" s="31">
        <f>IFERROR(IF(ISNUMBER('Semi Rev'!R50),'Semi Rev'!R50,""),"")</f>
        <v/>
      </c>
    </row>
    <row r="52">
      <c r="A52" s="19">
        <f>'Semi Rev'!$A51</f>
        <v/>
      </c>
      <c r="B52" s="19">
        <f>'Semi Rev'!$B51</f>
        <v/>
      </c>
      <c r="C52" s="30">
        <f>IFERROR(IF(ISNUMBER('Semi Rev'!G51),'Semi Rev'!G51,""),"")</f>
        <v/>
      </c>
      <c r="D52" s="30">
        <f>IFERROR(IF(ISNUMBER('Semi Rev'!H51),'Semi Rev'!H51,""),"")</f>
        <v/>
      </c>
      <c r="E52" s="30">
        <f>IFERROR(IF(ISNUMBER('Semi Rev'!I51),'Semi Rev'!I51,""),"")</f>
        <v/>
      </c>
      <c r="F52" s="30">
        <f>IFERROR(IF(ISNUMBER('Semi Rev'!J51),'Semi Rev'!J51,""),"")</f>
        <v/>
      </c>
      <c r="G52" s="30">
        <f>IFERROR(IF(ISNUMBER('Semi Rev'!K51),'Semi Rev'!K51,""),"")</f>
        <v/>
      </c>
      <c r="H52" s="30">
        <f>IFERROR(IF(ISNUMBER('Semi Rev'!L51),'Semi Rev'!L51,""),"")</f>
        <v/>
      </c>
      <c r="I52" s="30">
        <f>IFERROR(IF(ISNUMBER('Semi Rev'!M51),'Semi Rev'!M51,""),"")</f>
        <v/>
      </c>
      <c r="J52" s="30">
        <f>IFERROR(IF(ISNUMBER('Semi Rev'!N51),'Semi Rev'!N51,""),"")</f>
        <v/>
      </c>
      <c r="K52" s="30">
        <f>IFERROR(IF(ISNUMBER('Semi Rev'!O51),'Semi Rev'!O51,""),"")</f>
        <v/>
      </c>
      <c r="L52" s="30">
        <f>IFERROR(IF(ISNUMBER('Semi Rev'!P51),'Semi Rev'!P51,""),"")</f>
        <v/>
      </c>
      <c r="M52" s="31">
        <f>IFERROR(IF(ISNUMBER('Semi Rev'!Q51),'Semi Rev'!Q51,""),"")</f>
        <v/>
      </c>
      <c r="N52" s="31">
        <f>IFERROR(IF(ISNUMBER('Semi Rev'!R51),'Semi Rev'!R51,""),"")</f>
        <v/>
      </c>
    </row>
    <row r="53">
      <c r="A53" s="19">
        <f>'Semi Rev'!$A52</f>
        <v/>
      </c>
      <c r="B53" s="19">
        <f>'Semi Rev'!$B52</f>
        <v/>
      </c>
      <c r="C53" s="30">
        <f>IFERROR(IF(ISNUMBER('Semi Rev'!G52),'Semi Rev'!G52,""),"")</f>
        <v/>
      </c>
      <c r="D53" s="30">
        <f>IFERROR(IF(ISNUMBER('Semi Rev'!H52),'Semi Rev'!H52,""),"")</f>
        <v/>
      </c>
      <c r="E53" s="30">
        <f>IFERROR(IF(ISNUMBER('Semi Rev'!I52),'Semi Rev'!I52,""),"")</f>
        <v/>
      </c>
      <c r="F53" s="30">
        <f>IFERROR(IF(ISNUMBER('Semi Rev'!J52),'Semi Rev'!J52,""),"")</f>
        <v/>
      </c>
      <c r="G53" s="30">
        <f>IFERROR(IF(ISNUMBER('Semi Rev'!K52),'Semi Rev'!K52,""),"")</f>
        <v/>
      </c>
      <c r="H53" s="30">
        <f>IFERROR(IF(ISNUMBER('Semi Rev'!L52),'Semi Rev'!L52,""),"")</f>
        <v/>
      </c>
      <c r="I53" s="30">
        <f>IFERROR(IF(ISNUMBER('Semi Rev'!M52),'Semi Rev'!M52,""),"")</f>
        <v/>
      </c>
      <c r="J53" s="30">
        <f>IFERROR(IF(ISNUMBER('Semi Rev'!N52),'Semi Rev'!N52,""),"")</f>
        <v/>
      </c>
      <c r="K53" s="30">
        <f>IFERROR(IF(ISNUMBER('Semi Rev'!O52),'Semi Rev'!O52,""),"")</f>
        <v/>
      </c>
      <c r="L53" s="30">
        <f>IFERROR(IF(ISNUMBER('Semi Rev'!P52),'Semi Rev'!P52,""),"")</f>
        <v/>
      </c>
      <c r="M53" s="31">
        <f>IFERROR(IF(ISNUMBER('Semi Rev'!Q52),'Semi Rev'!Q52,""),"")</f>
        <v/>
      </c>
      <c r="N53" s="31">
        <f>IFERROR(IF(ISNUMBER('Semi Rev'!R52),'Semi Rev'!R52,""),"")</f>
        <v/>
      </c>
    </row>
    <row r="54">
      <c r="A54" s="19">
        <f>'Semi Rev'!$A53</f>
        <v/>
      </c>
      <c r="B54" s="19">
        <f>'Semi Rev'!$B53</f>
        <v/>
      </c>
      <c r="C54" s="30">
        <f>IFERROR(IF(ISNUMBER('Semi Rev'!G53),'Semi Rev'!G53,""),"")</f>
        <v/>
      </c>
      <c r="D54" s="30">
        <f>IFERROR(IF(ISNUMBER('Semi Rev'!H53),'Semi Rev'!H53,""),"")</f>
        <v/>
      </c>
      <c r="E54" s="30">
        <f>IFERROR(IF(ISNUMBER('Semi Rev'!I53),'Semi Rev'!I53,""),"")</f>
        <v/>
      </c>
      <c r="F54" s="30">
        <f>IFERROR(IF(ISNUMBER('Semi Rev'!J53),'Semi Rev'!J53,""),"")</f>
        <v/>
      </c>
      <c r="G54" s="30">
        <f>IFERROR(IF(ISNUMBER('Semi Rev'!K53),'Semi Rev'!K53,""),"")</f>
        <v/>
      </c>
      <c r="H54" s="30">
        <f>IFERROR(IF(ISNUMBER('Semi Rev'!L53),'Semi Rev'!L53,""),"")</f>
        <v/>
      </c>
      <c r="I54" s="30">
        <f>IFERROR(IF(ISNUMBER('Semi Rev'!M53),'Semi Rev'!M53,""),"")</f>
        <v/>
      </c>
      <c r="J54" s="30">
        <f>IFERROR(IF(ISNUMBER('Semi Rev'!N53),'Semi Rev'!N53,""),"")</f>
        <v/>
      </c>
      <c r="K54" s="30">
        <f>IFERROR(IF(ISNUMBER('Semi Rev'!O53),'Semi Rev'!O53,""),"")</f>
        <v/>
      </c>
      <c r="L54" s="30">
        <f>IFERROR(IF(ISNUMBER('Semi Rev'!P53),'Semi Rev'!P53,""),"")</f>
        <v/>
      </c>
      <c r="M54" s="31">
        <f>IFERROR(IF(ISNUMBER('Semi Rev'!Q53),'Semi Rev'!Q53,""),"")</f>
        <v/>
      </c>
      <c r="N54" s="31">
        <f>IFERROR(IF(ISNUMBER('Semi Rev'!R53),'Semi Rev'!R53,""),"")</f>
        <v/>
      </c>
    </row>
    <row r="55">
      <c r="A55" s="19">
        <f>'Semi Rev'!$A54</f>
        <v/>
      </c>
      <c r="B55" s="19">
        <f>'Semi Rev'!$B54</f>
        <v/>
      </c>
      <c r="C55" s="30">
        <f>IFERROR(IF(ISNUMBER('Semi Rev'!G54),'Semi Rev'!G54,""),"")</f>
        <v/>
      </c>
      <c r="D55" s="30">
        <f>IFERROR(IF(ISNUMBER('Semi Rev'!H54),'Semi Rev'!H54,""),"")</f>
        <v/>
      </c>
      <c r="E55" s="30">
        <f>IFERROR(IF(ISNUMBER('Semi Rev'!I54),'Semi Rev'!I54,""),"")</f>
        <v/>
      </c>
      <c r="F55" s="30">
        <f>IFERROR(IF(ISNUMBER('Semi Rev'!J54),'Semi Rev'!J54,""),"")</f>
        <v/>
      </c>
      <c r="G55" s="30">
        <f>IFERROR(IF(ISNUMBER('Semi Rev'!K54),'Semi Rev'!K54,""),"")</f>
        <v/>
      </c>
      <c r="H55" s="30">
        <f>IFERROR(IF(ISNUMBER('Semi Rev'!L54),'Semi Rev'!L54,""),"")</f>
        <v/>
      </c>
      <c r="I55" s="30">
        <f>IFERROR(IF(ISNUMBER('Semi Rev'!M54),'Semi Rev'!M54,""),"")</f>
        <v/>
      </c>
      <c r="J55" s="30">
        <f>IFERROR(IF(ISNUMBER('Semi Rev'!N54),'Semi Rev'!N54,""),"")</f>
        <v/>
      </c>
      <c r="K55" s="30">
        <f>IFERROR(IF(ISNUMBER('Semi Rev'!O54),'Semi Rev'!O54,""),"")</f>
        <v/>
      </c>
      <c r="L55" s="30">
        <f>IFERROR(IF(ISNUMBER('Semi Rev'!P54),'Semi Rev'!P54,""),"")</f>
        <v/>
      </c>
      <c r="M55" s="31">
        <f>IFERROR(IF(ISNUMBER('Semi Rev'!Q54),'Semi Rev'!Q54,""),"")</f>
        <v/>
      </c>
      <c r="N55" s="31">
        <f>IFERROR(IF(ISNUMBER('Semi Rev'!R54),'Semi Rev'!R54,""),"")</f>
        <v/>
      </c>
    </row>
    <row r="56">
      <c r="A56" s="19">
        <f>'Semi Rev'!$A55</f>
        <v/>
      </c>
      <c r="B56" s="19">
        <f>'Semi Rev'!$B55</f>
        <v/>
      </c>
      <c r="C56" s="30">
        <f>IFERROR(IF(ISNUMBER('Semi Rev'!G55),'Semi Rev'!G55,""),"")</f>
        <v/>
      </c>
      <c r="D56" s="30">
        <f>IFERROR(IF(ISNUMBER('Semi Rev'!H55),'Semi Rev'!H55,""),"")</f>
        <v/>
      </c>
      <c r="E56" s="30">
        <f>IFERROR(IF(ISNUMBER('Semi Rev'!I55),'Semi Rev'!I55,""),"")</f>
        <v/>
      </c>
      <c r="F56" s="30">
        <f>IFERROR(IF(ISNUMBER('Semi Rev'!J55),'Semi Rev'!J55,""),"")</f>
        <v/>
      </c>
      <c r="G56" s="30">
        <f>IFERROR(IF(ISNUMBER('Semi Rev'!K55),'Semi Rev'!K55,""),"")</f>
        <v/>
      </c>
      <c r="H56" s="30">
        <f>IFERROR(IF(ISNUMBER('Semi Rev'!L55),'Semi Rev'!L55,""),"")</f>
        <v/>
      </c>
      <c r="I56" s="30">
        <f>IFERROR(IF(ISNUMBER('Semi Rev'!M55),'Semi Rev'!M55,""),"")</f>
        <v/>
      </c>
      <c r="J56" s="30">
        <f>IFERROR(IF(ISNUMBER('Semi Rev'!N55),'Semi Rev'!N55,""),"")</f>
        <v/>
      </c>
      <c r="K56" s="30">
        <f>IFERROR(IF(ISNUMBER('Semi Rev'!O55),'Semi Rev'!O55,""),"")</f>
        <v/>
      </c>
      <c r="L56" s="30">
        <f>IFERROR(IF(ISNUMBER('Semi Rev'!P55),'Semi Rev'!P55,""),"")</f>
        <v/>
      </c>
      <c r="M56" s="31">
        <f>IFERROR(IF(ISNUMBER('Semi Rev'!Q55),'Semi Rev'!Q55,""),"")</f>
        <v/>
      </c>
      <c r="N56" s="31">
        <f>IFERROR(IF(ISNUMBER('Semi Rev'!R55),'Semi Rev'!R55,""),"")</f>
        <v/>
      </c>
    </row>
    <row r="57">
      <c r="A57" s="19">
        <f>'Semi Rev'!$A56</f>
        <v/>
      </c>
      <c r="B57" s="19">
        <f>'Semi Rev'!$B56</f>
        <v/>
      </c>
      <c r="C57" s="30">
        <f>IFERROR(IF(ISNUMBER('Semi Rev'!G56),'Semi Rev'!G56,""),"")</f>
        <v/>
      </c>
      <c r="D57" s="30">
        <f>IFERROR(IF(ISNUMBER('Semi Rev'!H56),'Semi Rev'!H56,""),"")</f>
        <v/>
      </c>
      <c r="E57" s="30">
        <f>IFERROR(IF(ISNUMBER('Semi Rev'!I56),'Semi Rev'!I56,""),"")</f>
        <v/>
      </c>
      <c r="F57" s="30">
        <f>IFERROR(IF(ISNUMBER('Semi Rev'!J56),'Semi Rev'!J56,""),"")</f>
        <v/>
      </c>
      <c r="G57" s="30">
        <f>IFERROR(IF(ISNUMBER('Semi Rev'!K56),'Semi Rev'!K56,""),"")</f>
        <v/>
      </c>
      <c r="H57" s="30">
        <f>IFERROR(IF(ISNUMBER('Semi Rev'!L56),'Semi Rev'!L56,""),"")</f>
        <v/>
      </c>
      <c r="I57" s="30">
        <f>IFERROR(IF(ISNUMBER('Semi Rev'!M56),'Semi Rev'!M56,""),"")</f>
        <v/>
      </c>
      <c r="J57" s="30">
        <f>IFERROR(IF(ISNUMBER('Semi Rev'!N56),'Semi Rev'!N56,""),"")</f>
        <v/>
      </c>
      <c r="K57" s="30">
        <f>IFERROR(IF(ISNUMBER('Semi Rev'!O56),'Semi Rev'!O56,""),"")</f>
        <v/>
      </c>
      <c r="L57" s="30">
        <f>IFERROR(IF(ISNUMBER('Semi Rev'!P56),'Semi Rev'!P56,""),"")</f>
        <v/>
      </c>
      <c r="M57" s="31">
        <f>IFERROR(IF(ISNUMBER('Semi Rev'!Q56),'Semi Rev'!Q56,""),"")</f>
        <v/>
      </c>
      <c r="N57" s="31">
        <f>IFERROR(IF(ISNUMBER('Semi Rev'!R56),'Semi Rev'!R56,""),"")</f>
        <v/>
      </c>
    </row>
    <row r="58">
      <c r="A58" s="19">
        <f>'Semi Rev'!$A57</f>
        <v/>
      </c>
      <c r="B58" s="19">
        <f>'Semi Rev'!$B57</f>
        <v/>
      </c>
      <c r="C58" s="30">
        <f>IFERROR(IF(ISNUMBER('Semi Rev'!G57),'Semi Rev'!G57,""),"")</f>
        <v/>
      </c>
      <c r="D58" s="30">
        <f>IFERROR(IF(ISNUMBER('Semi Rev'!H57),'Semi Rev'!H57,""),"")</f>
        <v/>
      </c>
      <c r="E58" s="30">
        <f>IFERROR(IF(ISNUMBER('Semi Rev'!I57),'Semi Rev'!I57,""),"")</f>
        <v/>
      </c>
      <c r="F58" s="30">
        <f>IFERROR(IF(ISNUMBER('Semi Rev'!J57),'Semi Rev'!J57,""),"")</f>
        <v/>
      </c>
      <c r="G58" s="30">
        <f>IFERROR(IF(ISNUMBER('Semi Rev'!K57),'Semi Rev'!K57,""),"")</f>
        <v/>
      </c>
      <c r="H58" s="30">
        <f>IFERROR(IF(ISNUMBER('Semi Rev'!L57),'Semi Rev'!L57,""),"")</f>
        <v/>
      </c>
      <c r="I58" s="30">
        <f>IFERROR(IF(ISNUMBER('Semi Rev'!M57),'Semi Rev'!M57,""),"")</f>
        <v/>
      </c>
      <c r="J58" s="30">
        <f>IFERROR(IF(ISNUMBER('Semi Rev'!N57),'Semi Rev'!N57,""),"")</f>
        <v/>
      </c>
      <c r="K58" s="30">
        <f>IFERROR(IF(ISNUMBER('Semi Rev'!O57),'Semi Rev'!O57,""),"")</f>
        <v/>
      </c>
      <c r="L58" s="30">
        <f>IFERROR(IF(ISNUMBER('Semi Rev'!P57),'Semi Rev'!P57,""),"")</f>
        <v/>
      </c>
      <c r="M58" s="31">
        <f>IFERROR(IF(ISNUMBER('Semi Rev'!Q57),'Semi Rev'!Q57,""),"")</f>
        <v/>
      </c>
      <c r="N58" s="31">
        <f>IFERROR(IF(ISNUMBER('Semi Rev'!R57),'Semi Rev'!R57,""),"")</f>
        <v/>
      </c>
    </row>
    <row r="59">
      <c r="A59" s="19">
        <f>'Semi Rev'!$A58</f>
        <v/>
      </c>
      <c r="B59" s="19">
        <f>'Semi Rev'!$B58</f>
        <v/>
      </c>
      <c r="C59" s="30">
        <f>IFERROR(IF(ISNUMBER('Semi Rev'!G58),'Semi Rev'!G58,""),"")</f>
        <v/>
      </c>
      <c r="D59" s="30">
        <f>IFERROR(IF(ISNUMBER('Semi Rev'!H58),'Semi Rev'!H58,""),"")</f>
        <v/>
      </c>
      <c r="E59" s="30">
        <f>IFERROR(IF(ISNUMBER('Semi Rev'!I58),'Semi Rev'!I58,""),"")</f>
        <v/>
      </c>
      <c r="F59" s="30">
        <f>IFERROR(IF(ISNUMBER('Semi Rev'!J58),'Semi Rev'!J58,""),"")</f>
        <v/>
      </c>
      <c r="G59" s="30">
        <f>IFERROR(IF(ISNUMBER('Semi Rev'!K58),'Semi Rev'!K58,""),"")</f>
        <v/>
      </c>
      <c r="H59" s="30">
        <f>IFERROR(IF(ISNUMBER('Semi Rev'!L58),'Semi Rev'!L58,""),"")</f>
        <v/>
      </c>
      <c r="I59" s="30">
        <f>IFERROR(IF(ISNUMBER('Semi Rev'!M58),'Semi Rev'!M58,""),"")</f>
        <v/>
      </c>
      <c r="J59" s="30">
        <f>IFERROR(IF(ISNUMBER('Semi Rev'!N58),'Semi Rev'!N58,""),"")</f>
        <v/>
      </c>
      <c r="K59" s="30">
        <f>IFERROR(IF(ISNUMBER('Semi Rev'!O58),'Semi Rev'!O58,""),"")</f>
        <v/>
      </c>
      <c r="L59" s="30">
        <f>IFERROR(IF(ISNUMBER('Semi Rev'!P58),'Semi Rev'!P58,""),"")</f>
        <v/>
      </c>
      <c r="M59" s="31">
        <f>IFERROR(IF(ISNUMBER('Semi Rev'!Q58),'Semi Rev'!Q58,""),"")</f>
        <v/>
      </c>
      <c r="N59" s="31">
        <f>IFERROR(IF(ISNUMBER('Semi Rev'!R58),'Semi Rev'!R58,""),"")</f>
        <v/>
      </c>
    </row>
    <row r="60">
      <c r="A60" s="19">
        <f>'Semi Rev'!$A59</f>
        <v/>
      </c>
      <c r="B60" s="19">
        <f>'Semi Rev'!$B59</f>
        <v/>
      </c>
      <c r="C60" s="30">
        <f>IFERROR(IF(ISNUMBER('Semi Rev'!G59),'Semi Rev'!G59,""),"")</f>
        <v/>
      </c>
      <c r="D60" s="30">
        <f>IFERROR(IF(ISNUMBER('Semi Rev'!H59),'Semi Rev'!H59,""),"")</f>
        <v/>
      </c>
      <c r="E60" s="30">
        <f>IFERROR(IF(ISNUMBER('Semi Rev'!I59),'Semi Rev'!I59,""),"")</f>
        <v/>
      </c>
      <c r="F60" s="30">
        <f>IFERROR(IF(ISNUMBER('Semi Rev'!J59),'Semi Rev'!J59,""),"")</f>
        <v/>
      </c>
      <c r="G60" s="30">
        <f>IFERROR(IF(ISNUMBER('Semi Rev'!K59),'Semi Rev'!K59,""),"")</f>
        <v/>
      </c>
      <c r="H60" s="30">
        <f>IFERROR(IF(ISNUMBER('Semi Rev'!L59),'Semi Rev'!L59,""),"")</f>
        <v/>
      </c>
      <c r="I60" s="30">
        <f>IFERROR(IF(ISNUMBER('Semi Rev'!M59),'Semi Rev'!M59,""),"")</f>
        <v/>
      </c>
      <c r="J60" s="30">
        <f>IFERROR(IF(ISNUMBER('Semi Rev'!N59),'Semi Rev'!N59,""),"")</f>
        <v/>
      </c>
      <c r="K60" s="30">
        <f>IFERROR(IF(ISNUMBER('Semi Rev'!O59),'Semi Rev'!O59,""),"")</f>
        <v/>
      </c>
      <c r="L60" s="30">
        <f>IFERROR(IF(ISNUMBER('Semi Rev'!P59),'Semi Rev'!P59,""),"")</f>
        <v/>
      </c>
      <c r="M60" s="31">
        <f>IFERROR(IF(ISNUMBER('Semi Rev'!Q59),'Semi Rev'!Q59,""),"")</f>
        <v/>
      </c>
      <c r="N60" s="31">
        <f>IFERROR(IF(ISNUMBER('Semi Rev'!R59),'Semi Rev'!R59,""),"")</f>
        <v/>
      </c>
    </row>
    <row r="61">
      <c r="A61" s="19">
        <f>'Semi Rev'!$A60</f>
        <v/>
      </c>
      <c r="B61" s="19">
        <f>'Semi Rev'!$B60</f>
        <v/>
      </c>
      <c r="C61" s="30">
        <f>IFERROR(IF(ISNUMBER('Semi Rev'!G60),'Semi Rev'!G60,""),"")</f>
        <v/>
      </c>
      <c r="D61" s="30">
        <f>IFERROR(IF(ISNUMBER('Semi Rev'!H60),'Semi Rev'!H60,""),"")</f>
        <v/>
      </c>
      <c r="E61" s="30">
        <f>IFERROR(IF(ISNUMBER('Semi Rev'!I60),'Semi Rev'!I60,""),"")</f>
        <v/>
      </c>
      <c r="F61" s="30">
        <f>IFERROR(IF(ISNUMBER('Semi Rev'!J60),'Semi Rev'!J60,""),"")</f>
        <v/>
      </c>
      <c r="G61" s="30">
        <f>IFERROR(IF(ISNUMBER('Semi Rev'!K60),'Semi Rev'!K60,""),"")</f>
        <v/>
      </c>
      <c r="H61" s="30">
        <f>IFERROR(IF(ISNUMBER('Semi Rev'!L60),'Semi Rev'!L60,""),"")</f>
        <v/>
      </c>
      <c r="I61" s="30">
        <f>IFERROR(IF(ISNUMBER('Semi Rev'!M60),'Semi Rev'!M60,""),"")</f>
        <v/>
      </c>
      <c r="J61" s="30">
        <f>IFERROR(IF(ISNUMBER('Semi Rev'!N60),'Semi Rev'!N60,""),"")</f>
        <v/>
      </c>
      <c r="K61" s="30">
        <f>IFERROR(IF(ISNUMBER('Semi Rev'!O60),'Semi Rev'!O60,""),"")</f>
        <v/>
      </c>
      <c r="L61" s="30">
        <f>IFERROR(IF(ISNUMBER('Semi Rev'!P60),'Semi Rev'!P60,""),"")</f>
        <v/>
      </c>
      <c r="M61" s="31">
        <f>IFERROR(IF(ISNUMBER('Semi Rev'!Q60),'Semi Rev'!Q60,""),"")</f>
        <v/>
      </c>
      <c r="N61" s="31">
        <f>IFERROR(IF(ISNUMBER('Semi Rev'!R60),'Semi Rev'!R60,""),"")</f>
        <v/>
      </c>
    </row>
    <row r="62">
      <c r="A62" s="19">
        <f>'Semi Rev'!$A61</f>
        <v/>
      </c>
      <c r="B62" s="19">
        <f>'Semi Rev'!$B61</f>
        <v/>
      </c>
      <c r="C62" s="30">
        <f>IFERROR(IF(ISNUMBER('Semi Rev'!G61),'Semi Rev'!G61,""),"")</f>
        <v/>
      </c>
      <c r="D62" s="30">
        <f>IFERROR(IF(ISNUMBER('Semi Rev'!H61),'Semi Rev'!H61,""),"")</f>
        <v/>
      </c>
      <c r="E62" s="30">
        <f>IFERROR(IF(ISNUMBER('Semi Rev'!I61),'Semi Rev'!I61,""),"")</f>
        <v/>
      </c>
      <c r="F62" s="30">
        <f>IFERROR(IF(ISNUMBER('Semi Rev'!J61),'Semi Rev'!J61,""),"")</f>
        <v/>
      </c>
      <c r="G62" s="30">
        <f>IFERROR(IF(ISNUMBER('Semi Rev'!K61),'Semi Rev'!K61,""),"")</f>
        <v/>
      </c>
      <c r="H62" s="30">
        <f>IFERROR(IF(ISNUMBER('Semi Rev'!L61),'Semi Rev'!L61,""),"")</f>
        <v/>
      </c>
      <c r="I62" s="30">
        <f>IFERROR(IF(ISNUMBER('Semi Rev'!M61),'Semi Rev'!M61,""),"")</f>
        <v/>
      </c>
      <c r="J62" s="30">
        <f>IFERROR(IF(ISNUMBER('Semi Rev'!N61),'Semi Rev'!N61,""),"")</f>
        <v/>
      </c>
      <c r="K62" s="30">
        <f>IFERROR(IF(ISNUMBER('Semi Rev'!O61),'Semi Rev'!O61,""),"")</f>
        <v/>
      </c>
      <c r="L62" s="30">
        <f>IFERROR(IF(ISNUMBER('Semi Rev'!P61),'Semi Rev'!P61,""),"")</f>
        <v/>
      </c>
      <c r="M62" s="31">
        <f>IFERROR(IF(ISNUMBER('Semi Rev'!Q61),'Semi Rev'!Q61,""),"")</f>
        <v/>
      </c>
      <c r="N62" s="31">
        <f>IFERROR(IF(ISNUMBER('Semi Rev'!R61),'Semi Rev'!R61,""),"")</f>
        <v/>
      </c>
    </row>
    <row r="63">
      <c r="A63" s="19">
        <f>'Semi Rev'!$A62</f>
        <v/>
      </c>
      <c r="B63" s="19">
        <f>'Semi Rev'!$B62</f>
        <v/>
      </c>
      <c r="C63" s="30">
        <f>IFERROR(IF(ISNUMBER('Semi Rev'!G62),'Semi Rev'!G62,""),"")</f>
        <v/>
      </c>
      <c r="D63" s="30">
        <f>IFERROR(IF(ISNUMBER('Semi Rev'!H62),'Semi Rev'!H62,""),"")</f>
        <v/>
      </c>
      <c r="E63" s="30">
        <f>IFERROR(IF(ISNUMBER('Semi Rev'!I62),'Semi Rev'!I62,""),"")</f>
        <v/>
      </c>
      <c r="F63" s="30">
        <f>IFERROR(IF(ISNUMBER('Semi Rev'!J62),'Semi Rev'!J62,""),"")</f>
        <v/>
      </c>
      <c r="G63" s="30">
        <f>IFERROR(IF(ISNUMBER('Semi Rev'!K62),'Semi Rev'!K62,""),"")</f>
        <v/>
      </c>
      <c r="H63" s="30">
        <f>IFERROR(IF(ISNUMBER('Semi Rev'!L62),'Semi Rev'!L62,""),"")</f>
        <v/>
      </c>
      <c r="I63" s="30">
        <f>IFERROR(IF(ISNUMBER('Semi Rev'!M62),'Semi Rev'!M62,""),"")</f>
        <v/>
      </c>
      <c r="J63" s="30">
        <f>IFERROR(IF(ISNUMBER('Semi Rev'!N62),'Semi Rev'!N62,""),"")</f>
        <v/>
      </c>
      <c r="K63" s="30">
        <f>IFERROR(IF(ISNUMBER('Semi Rev'!O62),'Semi Rev'!O62,""),"")</f>
        <v/>
      </c>
      <c r="L63" s="30">
        <f>IFERROR(IF(ISNUMBER('Semi Rev'!P62),'Semi Rev'!P62,""),"")</f>
        <v/>
      </c>
      <c r="M63" s="31">
        <f>IFERROR(IF(ISNUMBER('Semi Rev'!Q62),'Semi Rev'!Q62,""),"")</f>
        <v/>
      </c>
      <c r="N63" s="31">
        <f>IFERROR(IF(ISNUMBER('Semi Rev'!R62),'Semi Rev'!R62,""),"")</f>
        <v/>
      </c>
    </row>
    <row r="64">
      <c r="A64" s="19">
        <f>'Semi Rev'!$A63</f>
        <v/>
      </c>
      <c r="B64" s="19">
        <f>'Semi Rev'!$B63</f>
        <v/>
      </c>
      <c r="C64" s="30">
        <f>IFERROR(IF(ISNUMBER('Semi Rev'!G63),'Semi Rev'!G63,""),"")</f>
        <v/>
      </c>
      <c r="D64" s="30">
        <f>IFERROR(IF(ISNUMBER('Semi Rev'!H63),'Semi Rev'!H63,""),"")</f>
        <v/>
      </c>
      <c r="E64" s="30">
        <f>IFERROR(IF(ISNUMBER('Semi Rev'!I63),'Semi Rev'!I63,""),"")</f>
        <v/>
      </c>
      <c r="F64" s="30">
        <f>IFERROR(IF(ISNUMBER('Semi Rev'!J63),'Semi Rev'!J63,""),"")</f>
        <v/>
      </c>
      <c r="G64" s="30">
        <f>IFERROR(IF(ISNUMBER('Semi Rev'!K63),'Semi Rev'!K63,""),"")</f>
        <v/>
      </c>
      <c r="H64" s="30">
        <f>IFERROR(IF(ISNUMBER('Semi Rev'!L63),'Semi Rev'!L63,""),"")</f>
        <v/>
      </c>
      <c r="I64" s="30">
        <f>IFERROR(IF(ISNUMBER('Semi Rev'!M63),'Semi Rev'!M63,""),"")</f>
        <v/>
      </c>
      <c r="J64" s="30">
        <f>IFERROR(IF(ISNUMBER('Semi Rev'!N63),'Semi Rev'!N63,""),"")</f>
        <v/>
      </c>
      <c r="K64" s="30">
        <f>IFERROR(IF(ISNUMBER('Semi Rev'!O63),'Semi Rev'!O63,""),"")</f>
        <v/>
      </c>
      <c r="L64" s="30">
        <f>IFERROR(IF(ISNUMBER('Semi Rev'!P63),'Semi Rev'!P63,""),"")</f>
        <v/>
      </c>
      <c r="M64" s="31">
        <f>IFERROR(IF(ISNUMBER('Semi Rev'!Q63),'Semi Rev'!Q63,""),"")</f>
        <v/>
      </c>
      <c r="N64" s="31">
        <f>IFERROR(IF(ISNUMBER('Semi Rev'!R63),'Semi Rev'!R63,""),"")</f>
        <v/>
      </c>
    </row>
    <row r="65">
      <c r="A65" s="19">
        <f>'Semi Rev'!$A64</f>
        <v/>
      </c>
      <c r="B65" s="19">
        <f>'Semi Rev'!$B64</f>
        <v/>
      </c>
      <c r="C65" s="30">
        <f>IFERROR(IF(ISNUMBER('Semi Rev'!G64),'Semi Rev'!G64,""),"")</f>
        <v/>
      </c>
      <c r="D65" s="30">
        <f>IFERROR(IF(ISNUMBER('Semi Rev'!H64),'Semi Rev'!H64,""),"")</f>
        <v/>
      </c>
      <c r="E65" s="30">
        <f>IFERROR(IF(ISNUMBER('Semi Rev'!I64),'Semi Rev'!I64,""),"")</f>
        <v/>
      </c>
      <c r="F65" s="30">
        <f>IFERROR(IF(ISNUMBER('Semi Rev'!J64),'Semi Rev'!J64,""),"")</f>
        <v/>
      </c>
      <c r="G65" s="30">
        <f>IFERROR(IF(ISNUMBER('Semi Rev'!K64),'Semi Rev'!K64,""),"")</f>
        <v/>
      </c>
      <c r="H65" s="30">
        <f>IFERROR(IF(ISNUMBER('Semi Rev'!L64),'Semi Rev'!L64,""),"")</f>
        <v/>
      </c>
      <c r="I65" s="30">
        <f>IFERROR(IF(ISNUMBER('Semi Rev'!M64),'Semi Rev'!M64,""),"")</f>
        <v/>
      </c>
      <c r="J65" s="30">
        <f>IFERROR(IF(ISNUMBER('Semi Rev'!N64),'Semi Rev'!N64,""),"")</f>
        <v/>
      </c>
      <c r="K65" s="30">
        <f>IFERROR(IF(ISNUMBER('Semi Rev'!O64),'Semi Rev'!O64,""),"")</f>
        <v/>
      </c>
      <c r="L65" s="30">
        <f>IFERROR(IF(ISNUMBER('Semi Rev'!P64),'Semi Rev'!P64,""),"")</f>
        <v/>
      </c>
      <c r="M65" s="31">
        <f>IFERROR(IF(ISNUMBER('Semi Rev'!Q64),'Semi Rev'!Q64,""),"")</f>
        <v/>
      </c>
      <c r="N65" s="31">
        <f>IFERROR(IF(ISNUMBER('Semi Rev'!R64),'Semi Rev'!R64,""),"")</f>
        <v/>
      </c>
    </row>
    <row r="66">
      <c r="A66" s="19">
        <f>'Semi Rev'!$A65</f>
        <v/>
      </c>
      <c r="B66" s="19">
        <f>'Semi Rev'!$B65</f>
        <v/>
      </c>
      <c r="C66" s="30">
        <f>IFERROR(IF(ISNUMBER('Semi Rev'!G65),'Semi Rev'!G65,""),"")</f>
        <v/>
      </c>
      <c r="D66" s="30">
        <f>IFERROR(IF(ISNUMBER('Semi Rev'!H65),'Semi Rev'!H65,""),"")</f>
        <v/>
      </c>
      <c r="E66" s="30">
        <f>IFERROR(IF(ISNUMBER('Semi Rev'!I65),'Semi Rev'!I65,""),"")</f>
        <v/>
      </c>
      <c r="F66" s="30">
        <f>IFERROR(IF(ISNUMBER('Semi Rev'!J65),'Semi Rev'!J65,""),"")</f>
        <v/>
      </c>
      <c r="G66" s="30">
        <f>IFERROR(IF(ISNUMBER('Semi Rev'!K65),'Semi Rev'!K65,""),"")</f>
        <v/>
      </c>
      <c r="H66" s="30">
        <f>IFERROR(IF(ISNUMBER('Semi Rev'!L65),'Semi Rev'!L65,""),"")</f>
        <v/>
      </c>
      <c r="I66" s="30">
        <f>IFERROR(IF(ISNUMBER('Semi Rev'!M65),'Semi Rev'!M65,""),"")</f>
        <v/>
      </c>
      <c r="J66" s="30">
        <f>IFERROR(IF(ISNUMBER('Semi Rev'!N65),'Semi Rev'!N65,""),"")</f>
        <v/>
      </c>
      <c r="K66" s="30">
        <f>IFERROR(IF(ISNUMBER('Semi Rev'!O65),'Semi Rev'!O65,""),"")</f>
        <v/>
      </c>
      <c r="L66" s="30">
        <f>IFERROR(IF(ISNUMBER('Semi Rev'!P65),'Semi Rev'!P65,""),"")</f>
        <v/>
      </c>
      <c r="M66" s="31">
        <f>IFERROR(IF(ISNUMBER('Semi Rev'!Q65),'Semi Rev'!Q65,""),"")</f>
        <v/>
      </c>
      <c r="N66" s="31">
        <f>IFERROR(IF(ISNUMBER('Semi Rev'!R65),'Semi Rev'!R65,""),"")</f>
        <v/>
      </c>
    </row>
    <row r="67">
      <c r="A67" s="19">
        <f>'Semi Rev'!$A66</f>
        <v/>
      </c>
      <c r="B67" s="19">
        <f>'Semi Rev'!$B66</f>
        <v/>
      </c>
      <c r="C67" s="30">
        <f>IFERROR(IF(ISNUMBER('Semi Rev'!G66),'Semi Rev'!G66,""),"")</f>
        <v/>
      </c>
      <c r="D67" s="30">
        <f>IFERROR(IF(ISNUMBER('Semi Rev'!H66),'Semi Rev'!H66,""),"")</f>
        <v/>
      </c>
      <c r="E67" s="30">
        <f>IFERROR(IF(ISNUMBER('Semi Rev'!I66),'Semi Rev'!I66,""),"")</f>
        <v/>
      </c>
      <c r="F67" s="30">
        <f>IFERROR(IF(ISNUMBER('Semi Rev'!J66),'Semi Rev'!J66,""),"")</f>
        <v/>
      </c>
      <c r="G67" s="30">
        <f>IFERROR(IF(ISNUMBER('Semi Rev'!K66),'Semi Rev'!K66,""),"")</f>
        <v/>
      </c>
      <c r="H67" s="30">
        <f>IFERROR(IF(ISNUMBER('Semi Rev'!L66),'Semi Rev'!L66,""),"")</f>
        <v/>
      </c>
      <c r="I67" s="30">
        <f>IFERROR(IF(ISNUMBER('Semi Rev'!M66),'Semi Rev'!M66,""),"")</f>
        <v/>
      </c>
      <c r="J67" s="30">
        <f>IFERROR(IF(ISNUMBER('Semi Rev'!N66),'Semi Rev'!N66,""),"")</f>
        <v/>
      </c>
      <c r="K67" s="30">
        <f>IFERROR(IF(ISNUMBER('Semi Rev'!O66),'Semi Rev'!O66,""),"")</f>
        <v/>
      </c>
      <c r="L67" s="30">
        <f>IFERROR(IF(ISNUMBER('Semi Rev'!P66),'Semi Rev'!P66,""),"")</f>
        <v/>
      </c>
      <c r="M67" s="31">
        <f>IFERROR(IF(ISNUMBER('Semi Rev'!Q66),'Semi Rev'!Q66,""),"")</f>
        <v/>
      </c>
      <c r="N67" s="31">
        <f>IFERROR(IF(ISNUMBER('Semi Rev'!R66),'Semi Rev'!R66,""),"")</f>
        <v/>
      </c>
    </row>
    <row r="68">
      <c r="A68" s="19">
        <f>'Semi Rev'!$A67</f>
        <v/>
      </c>
      <c r="B68" s="19">
        <f>'Semi Rev'!$B67</f>
        <v/>
      </c>
      <c r="C68" s="30">
        <f>IFERROR(IF(ISNUMBER('Semi Rev'!G67),'Semi Rev'!G67,""),"")</f>
        <v/>
      </c>
      <c r="D68" s="30">
        <f>IFERROR(IF(ISNUMBER('Semi Rev'!H67),'Semi Rev'!H67,""),"")</f>
        <v/>
      </c>
      <c r="E68" s="30">
        <f>IFERROR(IF(ISNUMBER('Semi Rev'!I67),'Semi Rev'!I67,""),"")</f>
        <v/>
      </c>
      <c r="F68" s="30">
        <f>IFERROR(IF(ISNUMBER('Semi Rev'!J67),'Semi Rev'!J67,""),"")</f>
        <v/>
      </c>
      <c r="G68" s="30">
        <f>IFERROR(IF(ISNUMBER('Semi Rev'!K67),'Semi Rev'!K67,""),"")</f>
        <v/>
      </c>
      <c r="H68" s="30">
        <f>IFERROR(IF(ISNUMBER('Semi Rev'!L67),'Semi Rev'!L67,""),"")</f>
        <v/>
      </c>
      <c r="I68" s="30">
        <f>IFERROR(IF(ISNUMBER('Semi Rev'!M67),'Semi Rev'!M67,""),"")</f>
        <v/>
      </c>
      <c r="J68" s="30">
        <f>IFERROR(IF(ISNUMBER('Semi Rev'!N67),'Semi Rev'!N67,""),"")</f>
        <v/>
      </c>
      <c r="K68" s="30">
        <f>IFERROR(IF(ISNUMBER('Semi Rev'!O67),'Semi Rev'!O67,""),"")</f>
        <v/>
      </c>
      <c r="L68" s="30">
        <f>IFERROR(IF(ISNUMBER('Semi Rev'!P67),'Semi Rev'!P67,""),"")</f>
        <v/>
      </c>
      <c r="M68" s="31">
        <f>IFERROR(IF(ISNUMBER('Semi Rev'!Q67),'Semi Rev'!Q67,""),"")</f>
        <v/>
      </c>
      <c r="N68" s="31">
        <f>IFERROR(IF(ISNUMBER('Semi Rev'!R67),'Semi Rev'!R67,""),"")</f>
        <v/>
      </c>
    </row>
    <row r="69">
      <c r="A69" s="19">
        <f>'Semi Rev'!$A68</f>
        <v/>
      </c>
      <c r="B69" s="19">
        <f>'Semi Rev'!$B68</f>
        <v/>
      </c>
      <c r="C69" s="30">
        <f>IFERROR(IF(ISNUMBER('Semi Rev'!G68),'Semi Rev'!G68,""),"")</f>
        <v/>
      </c>
      <c r="D69" s="30">
        <f>IFERROR(IF(ISNUMBER('Semi Rev'!H68),'Semi Rev'!H68,""),"")</f>
        <v/>
      </c>
      <c r="E69" s="30">
        <f>IFERROR(IF(ISNUMBER('Semi Rev'!I68),'Semi Rev'!I68,""),"")</f>
        <v/>
      </c>
      <c r="F69" s="30">
        <f>IFERROR(IF(ISNUMBER('Semi Rev'!J68),'Semi Rev'!J68,""),"")</f>
        <v/>
      </c>
      <c r="G69" s="30">
        <f>IFERROR(IF(ISNUMBER('Semi Rev'!K68),'Semi Rev'!K68,""),"")</f>
        <v/>
      </c>
      <c r="H69" s="30">
        <f>IFERROR(IF(ISNUMBER('Semi Rev'!L68),'Semi Rev'!L68,""),"")</f>
        <v/>
      </c>
      <c r="I69" s="30">
        <f>IFERROR(IF(ISNUMBER('Semi Rev'!M68),'Semi Rev'!M68,""),"")</f>
        <v/>
      </c>
      <c r="J69" s="30">
        <f>IFERROR(IF(ISNUMBER('Semi Rev'!N68),'Semi Rev'!N68,""),"")</f>
        <v/>
      </c>
      <c r="K69" s="30">
        <f>IFERROR(IF(ISNUMBER('Semi Rev'!O68),'Semi Rev'!O68,""),"")</f>
        <v/>
      </c>
      <c r="L69" s="30">
        <f>IFERROR(IF(ISNUMBER('Semi Rev'!P68),'Semi Rev'!P68,""),"")</f>
        <v/>
      </c>
      <c r="M69" s="31">
        <f>IFERROR(IF(ISNUMBER('Semi Rev'!Q68),'Semi Rev'!Q68,""),"")</f>
        <v/>
      </c>
      <c r="N69" s="31">
        <f>IFERROR(IF(ISNUMBER('Semi Rev'!R68),'Semi Rev'!R68,""),"")</f>
        <v/>
      </c>
    </row>
    <row r="70">
      <c r="A70" s="19">
        <f>'Semi Rev'!$A69</f>
        <v/>
      </c>
      <c r="B70" s="19">
        <f>'Semi Rev'!$B69</f>
        <v/>
      </c>
      <c r="C70" s="30">
        <f>IFERROR(IF(ISNUMBER('Semi Rev'!G69),'Semi Rev'!G69,""),"")</f>
        <v/>
      </c>
      <c r="D70" s="30">
        <f>IFERROR(IF(ISNUMBER('Semi Rev'!H69),'Semi Rev'!H69,""),"")</f>
        <v/>
      </c>
      <c r="E70" s="30">
        <f>IFERROR(IF(ISNUMBER('Semi Rev'!I69),'Semi Rev'!I69,""),"")</f>
        <v/>
      </c>
      <c r="F70" s="30">
        <f>IFERROR(IF(ISNUMBER('Semi Rev'!J69),'Semi Rev'!J69,""),"")</f>
        <v/>
      </c>
      <c r="G70" s="30">
        <f>IFERROR(IF(ISNUMBER('Semi Rev'!K69),'Semi Rev'!K69,""),"")</f>
        <v/>
      </c>
      <c r="H70" s="30">
        <f>IFERROR(IF(ISNUMBER('Semi Rev'!L69),'Semi Rev'!L69,""),"")</f>
        <v/>
      </c>
      <c r="I70" s="30">
        <f>IFERROR(IF(ISNUMBER('Semi Rev'!M69),'Semi Rev'!M69,""),"")</f>
        <v/>
      </c>
      <c r="J70" s="30">
        <f>IFERROR(IF(ISNUMBER('Semi Rev'!N69),'Semi Rev'!N69,""),"")</f>
        <v/>
      </c>
      <c r="K70" s="30">
        <f>IFERROR(IF(ISNUMBER('Semi Rev'!O69),'Semi Rev'!O69,""),"")</f>
        <v/>
      </c>
      <c r="L70" s="30">
        <f>IFERROR(IF(ISNUMBER('Semi Rev'!P69),'Semi Rev'!P69,""),"")</f>
        <v/>
      </c>
      <c r="M70" s="31">
        <f>IFERROR(IF(ISNUMBER('Semi Rev'!Q69),'Semi Rev'!Q69,""),"")</f>
        <v/>
      </c>
      <c r="N70" s="31">
        <f>IFERROR(IF(ISNUMBER('Semi Rev'!R69),'Semi Rev'!R69,""),"")</f>
        <v/>
      </c>
    </row>
    <row r="71">
      <c r="A71" s="19">
        <f>'Semi Rev'!$A70</f>
        <v/>
      </c>
      <c r="B71" s="19">
        <f>'Semi Rev'!$B70</f>
        <v/>
      </c>
      <c r="C71" s="30">
        <f>IFERROR(IF(ISNUMBER('Semi Rev'!G70),'Semi Rev'!G70,""),"")</f>
        <v/>
      </c>
      <c r="D71" s="30">
        <f>IFERROR(IF(ISNUMBER('Semi Rev'!H70),'Semi Rev'!H70,""),"")</f>
        <v/>
      </c>
      <c r="E71" s="30">
        <f>IFERROR(IF(ISNUMBER('Semi Rev'!I70),'Semi Rev'!I70,""),"")</f>
        <v/>
      </c>
      <c r="F71" s="30">
        <f>IFERROR(IF(ISNUMBER('Semi Rev'!J70),'Semi Rev'!J70,""),"")</f>
        <v/>
      </c>
      <c r="G71" s="30">
        <f>IFERROR(IF(ISNUMBER('Semi Rev'!K70),'Semi Rev'!K70,""),"")</f>
        <v/>
      </c>
      <c r="H71" s="30">
        <f>IFERROR(IF(ISNUMBER('Semi Rev'!L70),'Semi Rev'!L70,""),"")</f>
        <v/>
      </c>
      <c r="I71" s="30">
        <f>IFERROR(IF(ISNUMBER('Semi Rev'!M70),'Semi Rev'!M70,""),"")</f>
        <v/>
      </c>
      <c r="J71" s="30">
        <f>IFERROR(IF(ISNUMBER('Semi Rev'!N70),'Semi Rev'!N70,""),"")</f>
        <v/>
      </c>
      <c r="K71" s="30">
        <f>IFERROR(IF(ISNUMBER('Semi Rev'!O70),'Semi Rev'!O70,""),"")</f>
        <v/>
      </c>
      <c r="L71" s="30">
        <f>IFERROR(IF(ISNUMBER('Semi Rev'!P70),'Semi Rev'!P70,""),"")</f>
        <v/>
      </c>
      <c r="M71" s="31">
        <f>IFERROR(IF(ISNUMBER('Semi Rev'!Q70),'Semi Rev'!Q70,""),"")</f>
        <v/>
      </c>
      <c r="N71" s="31">
        <f>IFERROR(IF(ISNUMBER('Semi Rev'!R70),'Semi Rev'!R70,""),"")</f>
        <v/>
      </c>
    </row>
    <row r="72">
      <c r="A72" s="19">
        <f>'Semi Rev'!$A71</f>
        <v/>
      </c>
      <c r="B72" s="19">
        <f>'Semi Rev'!$B71</f>
        <v/>
      </c>
      <c r="C72" s="30">
        <f>IFERROR(IF(ISNUMBER('Semi Rev'!G71),'Semi Rev'!G71,""),"")</f>
        <v/>
      </c>
      <c r="D72" s="30">
        <f>IFERROR(IF(ISNUMBER('Semi Rev'!H71),'Semi Rev'!H71,""),"")</f>
        <v/>
      </c>
      <c r="E72" s="30">
        <f>IFERROR(IF(ISNUMBER('Semi Rev'!I71),'Semi Rev'!I71,""),"")</f>
        <v/>
      </c>
      <c r="F72" s="30">
        <f>IFERROR(IF(ISNUMBER('Semi Rev'!J71),'Semi Rev'!J71,""),"")</f>
        <v/>
      </c>
      <c r="G72" s="30">
        <f>IFERROR(IF(ISNUMBER('Semi Rev'!K71),'Semi Rev'!K71,""),"")</f>
        <v/>
      </c>
      <c r="H72" s="30">
        <f>IFERROR(IF(ISNUMBER('Semi Rev'!L71),'Semi Rev'!L71,""),"")</f>
        <v/>
      </c>
      <c r="I72" s="30">
        <f>IFERROR(IF(ISNUMBER('Semi Rev'!M71),'Semi Rev'!M71,""),"")</f>
        <v/>
      </c>
      <c r="J72" s="30">
        <f>IFERROR(IF(ISNUMBER('Semi Rev'!N71),'Semi Rev'!N71,""),"")</f>
        <v/>
      </c>
      <c r="K72" s="30">
        <f>IFERROR(IF(ISNUMBER('Semi Rev'!O71),'Semi Rev'!O71,""),"")</f>
        <v/>
      </c>
      <c r="L72" s="30">
        <f>IFERROR(IF(ISNUMBER('Semi Rev'!P71),'Semi Rev'!P71,""),"")</f>
        <v/>
      </c>
      <c r="M72" s="31">
        <f>IFERROR(IF(ISNUMBER('Semi Rev'!Q71),'Semi Rev'!Q71,""),"")</f>
        <v/>
      </c>
      <c r="N72" s="31">
        <f>IFERROR(IF(ISNUMBER('Semi Rev'!R71),'Semi Rev'!R71,""),"")</f>
        <v/>
      </c>
    </row>
    <row r="73">
      <c r="A73" s="19">
        <f>'Semi Rev'!$A72</f>
        <v/>
      </c>
      <c r="B73" s="19">
        <f>'Semi Rev'!$B72</f>
        <v/>
      </c>
      <c r="C73" s="30">
        <f>IFERROR(IF(ISNUMBER('Semi Rev'!G72),'Semi Rev'!G72,""),"")</f>
        <v/>
      </c>
      <c r="D73" s="30">
        <f>IFERROR(IF(ISNUMBER('Semi Rev'!H72),'Semi Rev'!H72,""),"")</f>
        <v/>
      </c>
      <c r="E73" s="30">
        <f>IFERROR(IF(ISNUMBER('Semi Rev'!I72),'Semi Rev'!I72,""),"")</f>
        <v/>
      </c>
      <c r="F73" s="30">
        <f>IFERROR(IF(ISNUMBER('Semi Rev'!J72),'Semi Rev'!J72,""),"")</f>
        <v/>
      </c>
      <c r="G73" s="30">
        <f>IFERROR(IF(ISNUMBER('Semi Rev'!K72),'Semi Rev'!K72,""),"")</f>
        <v/>
      </c>
      <c r="H73" s="30">
        <f>IFERROR(IF(ISNUMBER('Semi Rev'!L72),'Semi Rev'!L72,""),"")</f>
        <v/>
      </c>
      <c r="I73" s="30">
        <f>IFERROR(IF(ISNUMBER('Semi Rev'!M72),'Semi Rev'!M72,""),"")</f>
        <v/>
      </c>
      <c r="J73" s="30">
        <f>IFERROR(IF(ISNUMBER('Semi Rev'!N72),'Semi Rev'!N72,""),"")</f>
        <v/>
      </c>
      <c r="K73" s="30">
        <f>IFERROR(IF(ISNUMBER('Semi Rev'!O72),'Semi Rev'!O72,""),"")</f>
        <v/>
      </c>
      <c r="L73" s="30">
        <f>IFERROR(IF(ISNUMBER('Semi Rev'!P72),'Semi Rev'!P72,""),"")</f>
        <v/>
      </c>
      <c r="M73" s="31">
        <f>IFERROR(IF(ISNUMBER('Semi Rev'!Q72),'Semi Rev'!Q72,""),"")</f>
        <v/>
      </c>
      <c r="N73" s="31">
        <f>IFERROR(IF(ISNUMBER('Semi Rev'!R72),'Semi Rev'!R72,""),"")</f>
        <v/>
      </c>
    </row>
    <row r="74">
      <c r="A74" s="19">
        <f>'Semi Rev'!$A73</f>
        <v/>
      </c>
      <c r="B74" s="19">
        <f>'Semi Rev'!$B73</f>
        <v/>
      </c>
      <c r="C74" s="30">
        <f>IFERROR(IF(ISNUMBER('Semi Rev'!G73),'Semi Rev'!G73,""),"")</f>
        <v/>
      </c>
      <c r="D74" s="30">
        <f>IFERROR(IF(ISNUMBER('Semi Rev'!H73),'Semi Rev'!H73,""),"")</f>
        <v/>
      </c>
      <c r="E74" s="30">
        <f>IFERROR(IF(ISNUMBER('Semi Rev'!I73),'Semi Rev'!I73,""),"")</f>
        <v/>
      </c>
      <c r="F74" s="30">
        <f>IFERROR(IF(ISNUMBER('Semi Rev'!J73),'Semi Rev'!J73,""),"")</f>
        <v/>
      </c>
      <c r="G74" s="30">
        <f>IFERROR(IF(ISNUMBER('Semi Rev'!K73),'Semi Rev'!K73,""),"")</f>
        <v/>
      </c>
      <c r="H74" s="30">
        <f>IFERROR(IF(ISNUMBER('Semi Rev'!L73),'Semi Rev'!L73,""),"")</f>
        <v/>
      </c>
      <c r="I74" s="30">
        <f>IFERROR(IF(ISNUMBER('Semi Rev'!M73),'Semi Rev'!M73,""),"")</f>
        <v/>
      </c>
      <c r="J74" s="30">
        <f>IFERROR(IF(ISNUMBER('Semi Rev'!N73),'Semi Rev'!N73,""),"")</f>
        <v/>
      </c>
      <c r="K74" s="30">
        <f>IFERROR(IF(ISNUMBER('Semi Rev'!O73),'Semi Rev'!O73,""),"")</f>
        <v/>
      </c>
      <c r="L74" s="30">
        <f>IFERROR(IF(ISNUMBER('Semi Rev'!P73),'Semi Rev'!P73,""),"")</f>
        <v/>
      </c>
      <c r="M74" s="31">
        <f>IFERROR(IF(ISNUMBER('Semi Rev'!Q73),'Semi Rev'!Q73,""),"")</f>
        <v/>
      </c>
      <c r="N74" s="31">
        <f>IFERROR(IF(ISNUMBER('Semi Rev'!R73),'Semi Rev'!R73,""),"")</f>
        <v/>
      </c>
    </row>
    <row r="75">
      <c r="A75" s="19">
        <f>'Semi Rev'!$A74</f>
        <v/>
      </c>
      <c r="B75" s="19">
        <f>'Semi Rev'!$B74</f>
        <v/>
      </c>
      <c r="C75" s="30">
        <f>IFERROR(IF(ISNUMBER('Semi Rev'!G74),'Semi Rev'!G74,""),"")</f>
        <v/>
      </c>
      <c r="D75" s="30">
        <f>IFERROR(IF(ISNUMBER('Semi Rev'!H74),'Semi Rev'!H74,""),"")</f>
        <v/>
      </c>
      <c r="E75" s="30">
        <f>IFERROR(IF(ISNUMBER('Semi Rev'!I74),'Semi Rev'!I74,""),"")</f>
        <v/>
      </c>
      <c r="F75" s="30">
        <f>IFERROR(IF(ISNUMBER('Semi Rev'!J74),'Semi Rev'!J74,""),"")</f>
        <v/>
      </c>
      <c r="G75" s="30">
        <f>IFERROR(IF(ISNUMBER('Semi Rev'!K74),'Semi Rev'!K74,""),"")</f>
        <v/>
      </c>
      <c r="H75" s="30">
        <f>IFERROR(IF(ISNUMBER('Semi Rev'!L74),'Semi Rev'!L74,""),"")</f>
        <v/>
      </c>
      <c r="I75" s="30">
        <f>IFERROR(IF(ISNUMBER('Semi Rev'!M74),'Semi Rev'!M74,""),"")</f>
        <v/>
      </c>
      <c r="J75" s="30">
        <f>IFERROR(IF(ISNUMBER('Semi Rev'!N74),'Semi Rev'!N74,""),"")</f>
        <v/>
      </c>
      <c r="K75" s="30">
        <f>IFERROR(IF(ISNUMBER('Semi Rev'!O74),'Semi Rev'!O74,""),"")</f>
        <v/>
      </c>
      <c r="L75" s="30">
        <f>IFERROR(IF(ISNUMBER('Semi Rev'!P74),'Semi Rev'!P74,""),"")</f>
        <v/>
      </c>
      <c r="M75" s="31">
        <f>IFERROR(IF(ISNUMBER('Semi Rev'!Q74),'Semi Rev'!Q74,""),"")</f>
        <v/>
      </c>
      <c r="N75" s="31">
        <f>IFERROR(IF(ISNUMBER('Semi Rev'!R74),'Semi Rev'!R74,""),"")</f>
        <v/>
      </c>
    </row>
    <row r="76">
      <c r="A76" s="19">
        <f>'Semi Rev'!$A75</f>
        <v/>
      </c>
      <c r="B76" s="19">
        <f>'Semi Rev'!$B75</f>
        <v/>
      </c>
      <c r="C76" s="30">
        <f>IFERROR(IF(ISNUMBER('Semi Rev'!G75),'Semi Rev'!G75,""),"")</f>
        <v/>
      </c>
      <c r="D76" s="30">
        <f>IFERROR(IF(ISNUMBER('Semi Rev'!H75),'Semi Rev'!H75,""),"")</f>
        <v/>
      </c>
      <c r="E76" s="30">
        <f>IFERROR(IF(ISNUMBER('Semi Rev'!I75),'Semi Rev'!I75,""),"")</f>
        <v/>
      </c>
      <c r="F76" s="30">
        <f>IFERROR(IF(ISNUMBER('Semi Rev'!J75),'Semi Rev'!J75,""),"")</f>
        <v/>
      </c>
      <c r="G76" s="30">
        <f>IFERROR(IF(ISNUMBER('Semi Rev'!K75),'Semi Rev'!K75,""),"")</f>
        <v/>
      </c>
      <c r="H76" s="30">
        <f>IFERROR(IF(ISNUMBER('Semi Rev'!L75),'Semi Rev'!L75,""),"")</f>
        <v/>
      </c>
      <c r="I76" s="30">
        <f>IFERROR(IF(ISNUMBER('Semi Rev'!M75),'Semi Rev'!M75,""),"")</f>
        <v/>
      </c>
      <c r="J76" s="30">
        <f>IFERROR(IF(ISNUMBER('Semi Rev'!N75),'Semi Rev'!N75,""),"")</f>
        <v/>
      </c>
      <c r="K76" s="30">
        <f>IFERROR(IF(ISNUMBER('Semi Rev'!O75),'Semi Rev'!O75,""),"")</f>
        <v/>
      </c>
      <c r="L76" s="30">
        <f>IFERROR(IF(ISNUMBER('Semi Rev'!P75),'Semi Rev'!P75,""),"")</f>
        <v/>
      </c>
      <c r="M76" s="31">
        <f>IFERROR(IF(ISNUMBER('Semi Rev'!Q75),'Semi Rev'!Q75,""),"")</f>
        <v/>
      </c>
      <c r="N76" s="31">
        <f>IFERROR(IF(ISNUMBER('Semi Rev'!R75),'Semi Rev'!R75,""),"")</f>
        <v/>
      </c>
    </row>
    <row r="77">
      <c r="A77" s="19">
        <f>'Semi Rev'!$A76</f>
        <v/>
      </c>
      <c r="B77" s="19">
        <f>'Semi Rev'!$B76</f>
        <v/>
      </c>
      <c r="C77" s="30">
        <f>IFERROR(IF(ISNUMBER('Semi Rev'!G76),'Semi Rev'!G76,""),"")</f>
        <v/>
      </c>
      <c r="D77" s="30">
        <f>IFERROR(IF(ISNUMBER('Semi Rev'!H76),'Semi Rev'!H76,""),"")</f>
        <v/>
      </c>
      <c r="E77" s="30">
        <f>IFERROR(IF(ISNUMBER('Semi Rev'!I76),'Semi Rev'!I76,""),"")</f>
        <v/>
      </c>
      <c r="F77" s="30">
        <f>IFERROR(IF(ISNUMBER('Semi Rev'!J76),'Semi Rev'!J76,""),"")</f>
        <v/>
      </c>
      <c r="G77" s="30">
        <f>IFERROR(IF(ISNUMBER('Semi Rev'!K76),'Semi Rev'!K76,""),"")</f>
        <v/>
      </c>
      <c r="H77" s="30">
        <f>IFERROR(IF(ISNUMBER('Semi Rev'!L76),'Semi Rev'!L76,""),"")</f>
        <v/>
      </c>
      <c r="I77" s="30">
        <f>IFERROR(IF(ISNUMBER('Semi Rev'!M76),'Semi Rev'!M76,""),"")</f>
        <v/>
      </c>
      <c r="J77" s="30">
        <f>IFERROR(IF(ISNUMBER('Semi Rev'!N76),'Semi Rev'!N76,""),"")</f>
        <v/>
      </c>
      <c r="K77" s="30">
        <f>IFERROR(IF(ISNUMBER('Semi Rev'!O76),'Semi Rev'!O76,""),"")</f>
        <v/>
      </c>
      <c r="L77" s="30">
        <f>IFERROR(IF(ISNUMBER('Semi Rev'!P76),'Semi Rev'!P76,""),"")</f>
        <v/>
      </c>
      <c r="M77" s="31">
        <f>IFERROR(IF(ISNUMBER('Semi Rev'!Q76),'Semi Rev'!Q76,""),"")</f>
        <v/>
      </c>
      <c r="N77" s="31">
        <f>IFERROR(IF(ISNUMBER('Semi Rev'!R76),'Semi Rev'!R76,""),"")</f>
        <v/>
      </c>
    </row>
    <row r="78">
      <c r="A78" s="19">
        <f>'Semi Rev'!$A77</f>
        <v/>
      </c>
      <c r="B78" s="19">
        <f>'Semi Rev'!$B77</f>
        <v/>
      </c>
      <c r="C78" s="30">
        <f>IFERROR(IF(ISNUMBER('Semi Rev'!G77),'Semi Rev'!G77,""),"")</f>
        <v/>
      </c>
      <c r="D78" s="30">
        <f>IFERROR(IF(ISNUMBER('Semi Rev'!H77),'Semi Rev'!H77,""),"")</f>
        <v/>
      </c>
      <c r="E78" s="30">
        <f>IFERROR(IF(ISNUMBER('Semi Rev'!I77),'Semi Rev'!I77,""),"")</f>
        <v/>
      </c>
      <c r="F78" s="30">
        <f>IFERROR(IF(ISNUMBER('Semi Rev'!J77),'Semi Rev'!J77,""),"")</f>
        <v/>
      </c>
      <c r="G78" s="30">
        <f>IFERROR(IF(ISNUMBER('Semi Rev'!K77),'Semi Rev'!K77,""),"")</f>
        <v/>
      </c>
      <c r="H78" s="30">
        <f>IFERROR(IF(ISNUMBER('Semi Rev'!L77),'Semi Rev'!L77,""),"")</f>
        <v/>
      </c>
      <c r="I78" s="30">
        <f>IFERROR(IF(ISNUMBER('Semi Rev'!M77),'Semi Rev'!M77,""),"")</f>
        <v/>
      </c>
      <c r="J78" s="30">
        <f>IFERROR(IF(ISNUMBER('Semi Rev'!N77),'Semi Rev'!N77,""),"")</f>
        <v/>
      </c>
      <c r="K78" s="30">
        <f>IFERROR(IF(ISNUMBER('Semi Rev'!O77),'Semi Rev'!O77,""),"")</f>
        <v/>
      </c>
      <c r="L78" s="30">
        <f>IFERROR(IF(ISNUMBER('Semi Rev'!P77),'Semi Rev'!P77,""),"")</f>
        <v/>
      </c>
      <c r="M78" s="31">
        <f>IFERROR(IF(ISNUMBER('Semi Rev'!Q77),'Semi Rev'!Q77,""),"")</f>
        <v/>
      </c>
      <c r="N78" s="31">
        <f>IFERROR(IF(ISNUMBER('Semi Rev'!R77),'Semi Rev'!R77,""),"")</f>
        <v/>
      </c>
    </row>
    <row r="79">
      <c r="A79" s="19">
        <f>'Semi Rev'!$A78</f>
        <v/>
      </c>
      <c r="B79" s="19">
        <f>'Semi Rev'!$B78</f>
        <v/>
      </c>
      <c r="C79" s="30">
        <f>IFERROR(IF(ISNUMBER('Semi Rev'!G78),'Semi Rev'!G78,""),"")</f>
        <v/>
      </c>
      <c r="D79" s="30">
        <f>IFERROR(IF(ISNUMBER('Semi Rev'!H78),'Semi Rev'!H78,""),"")</f>
        <v/>
      </c>
      <c r="E79" s="30">
        <f>IFERROR(IF(ISNUMBER('Semi Rev'!I78),'Semi Rev'!I78,""),"")</f>
        <v/>
      </c>
      <c r="F79" s="30">
        <f>IFERROR(IF(ISNUMBER('Semi Rev'!J78),'Semi Rev'!J78,""),"")</f>
        <v/>
      </c>
      <c r="G79" s="30">
        <f>IFERROR(IF(ISNUMBER('Semi Rev'!K78),'Semi Rev'!K78,""),"")</f>
        <v/>
      </c>
      <c r="H79" s="30">
        <f>IFERROR(IF(ISNUMBER('Semi Rev'!L78),'Semi Rev'!L78,""),"")</f>
        <v/>
      </c>
      <c r="I79" s="30">
        <f>IFERROR(IF(ISNUMBER('Semi Rev'!M78),'Semi Rev'!M78,""),"")</f>
        <v/>
      </c>
      <c r="J79" s="30">
        <f>IFERROR(IF(ISNUMBER('Semi Rev'!N78),'Semi Rev'!N78,""),"")</f>
        <v/>
      </c>
      <c r="K79" s="30">
        <f>IFERROR(IF(ISNUMBER('Semi Rev'!O78),'Semi Rev'!O78,""),"")</f>
        <v/>
      </c>
      <c r="L79" s="30">
        <f>IFERROR(IF(ISNUMBER('Semi Rev'!P78),'Semi Rev'!P78,""),"")</f>
        <v/>
      </c>
      <c r="M79" s="31">
        <f>IFERROR(IF(ISNUMBER('Semi Rev'!Q78),'Semi Rev'!Q78,""),"")</f>
        <v/>
      </c>
      <c r="N79" s="31">
        <f>IFERROR(IF(ISNUMBER('Semi Rev'!R78),'Semi Rev'!R78,""),"")</f>
        <v/>
      </c>
    </row>
    <row r="80">
      <c r="A80" s="19">
        <f>'Semi Rev'!$A79</f>
        <v/>
      </c>
      <c r="B80" s="19">
        <f>'Semi Rev'!$B79</f>
        <v/>
      </c>
      <c r="C80" s="30">
        <f>IFERROR(IF(ISNUMBER('Semi Rev'!G79),'Semi Rev'!G79,""),"")</f>
        <v/>
      </c>
      <c r="D80" s="30">
        <f>IFERROR(IF(ISNUMBER('Semi Rev'!H79),'Semi Rev'!H79,""),"")</f>
        <v/>
      </c>
      <c r="E80" s="30">
        <f>IFERROR(IF(ISNUMBER('Semi Rev'!I79),'Semi Rev'!I79,""),"")</f>
        <v/>
      </c>
      <c r="F80" s="30">
        <f>IFERROR(IF(ISNUMBER('Semi Rev'!J79),'Semi Rev'!J79,""),"")</f>
        <v/>
      </c>
      <c r="G80" s="30">
        <f>IFERROR(IF(ISNUMBER('Semi Rev'!K79),'Semi Rev'!K79,""),"")</f>
        <v/>
      </c>
      <c r="H80" s="30">
        <f>IFERROR(IF(ISNUMBER('Semi Rev'!L79),'Semi Rev'!L79,""),"")</f>
        <v/>
      </c>
      <c r="I80" s="30">
        <f>IFERROR(IF(ISNUMBER('Semi Rev'!M79),'Semi Rev'!M79,""),"")</f>
        <v/>
      </c>
      <c r="J80" s="30">
        <f>IFERROR(IF(ISNUMBER('Semi Rev'!N79),'Semi Rev'!N79,""),"")</f>
        <v/>
      </c>
      <c r="K80" s="30">
        <f>IFERROR(IF(ISNUMBER('Semi Rev'!O79),'Semi Rev'!O79,""),"")</f>
        <v/>
      </c>
      <c r="L80" s="30">
        <f>IFERROR(IF(ISNUMBER('Semi Rev'!P79),'Semi Rev'!P79,""),"")</f>
        <v/>
      </c>
      <c r="M80" s="31">
        <f>IFERROR(IF(ISNUMBER('Semi Rev'!Q79),'Semi Rev'!Q79,""),"")</f>
        <v/>
      </c>
      <c r="N80" s="31">
        <f>IFERROR(IF(ISNUMBER('Semi Rev'!R79),'Semi Rev'!R79,""),"")</f>
        <v/>
      </c>
    </row>
    <row r="81">
      <c r="A81" s="19">
        <f>'Semi Rev'!$A80</f>
        <v/>
      </c>
      <c r="B81" s="19">
        <f>'Semi Rev'!$B80</f>
        <v/>
      </c>
      <c r="C81" s="30">
        <f>IFERROR(IF(ISNUMBER('Semi Rev'!G80),'Semi Rev'!G80,""),"")</f>
        <v/>
      </c>
      <c r="D81" s="30">
        <f>IFERROR(IF(ISNUMBER('Semi Rev'!H80),'Semi Rev'!H80,""),"")</f>
        <v/>
      </c>
      <c r="E81" s="30">
        <f>IFERROR(IF(ISNUMBER('Semi Rev'!I80),'Semi Rev'!I80,""),"")</f>
        <v/>
      </c>
      <c r="F81" s="30">
        <f>IFERROR(IF(ISNUMBER('Semi Rev'!J80),'Semi Rev'!J80,""),"")</f>
        <v/>
      </c>
      <c r="G81" s="30">
        <f>IFERROR(IF(ISNUMBER('Semi Rev'!K80),'Semi Rev'!K80,""),"")</f>
        <v/>
      </c>
      <c r="H81" s="30">
        <f>IFERROR(IF(ISNUMBER('Semi Rev'!L80),'Semi Rev'!L80,""),"")</f>
        <v/>
      </c>
      <c r="I81" s="30">
        <f>IFERROR(IF(ISNUMBER('Semi Rev'!M80),'Semi Rev'!M80,""),"")</f>
        <v/>
      </c>
      <c r="J81" s="30">
        <f>IFERROR(IF(ISNUMBER('Semi Rev'!N80),'Semi Rev'!N80,""),"")</f>
        <v/>
      </c>
      <c r="K81" s="30">
        <f>IFERROR(IF(ISNUMBER('Semi Rev'!O80),'Semi Rev'!O80,""),"")</f>
        <v/>
      </c>
      <c r="L81" s="30">
        <f>IFERROR(IF(ISNUMBER('Semi Rev'!P80),'Semi Rev'!P80,""),"")</f>
        <v/>
      </c>
      <c r="M81" s="31">
        <f>IFERROR(IF(ISNUMBER('Semi Rev'!Q80),'Semi Rev'!Q80,""),"")</f>
        <v/>
      </c>
      <c r="N81" s="31">
        <f>IFERROR(IF(ISNUMBER('Semi Rev'!R80),'Semi Rev'!R80,""),"")</f>
        <v/>
      </c>
    </row>
    <row r="82">
      <c r="A82" s="19">
        <f>'Semi Rev'!$A81</f>
        <v/>
      </c>
      <c r="B82" s="19">
        <f>'Semi Rev'!$B81</f>
        <v/>
      </c>
      <c r="C82" s="30">
        <f>IFERROR(IF(ISNUMBER('Semi Rev'!G81),'Semi Rev'!G81,""),"")</f>
        <v/>
      </c>
      <c r="D82" s="30">
        <f>IFERROR(IF(ISNUMBER('Semi Rev'!H81),'Semi Rev'!H81,""),"")</f>
        <v/>
      </c>
      <c r="E82" s="30">
        <f>IFERROR(IF(ISNUMBER('Semi Rev'!I81),'Semi Rev'!I81,""),"")</f>
        <v/>
      </c>
      <c r="F82" s="30">
        <f>IFERROR(IF(ISNUMBER('Semi Rev'!J81),'Semi Rev'!J81,""),"")</f>
        <v/>
      </c>
      <c r="G82" s="30">
        <f>IFERROR(IF(ISNUMBER('Semi Rev'!K81),'Semi Rev'!K81,""),"")</f>
        <v/>
      </c>
      <c r="H82" s="30">
        <f>IFERROR(IF(ISNUMBER('Semi Rev'!L81),'Semi Rev'!L81,""),"")</f>
        <v/>
      </c>
      <c r="I82" s="30">
        <f>IFERROR(IF(ISNUMBER('Semi Rev'!M81),'Semi Rev'!M81,""),"")</f>
        <v/>
      </c>
      <c r="J82" s="30">
        <f>IFERROR(IF(ISNUMBER('Semi Rev'!N81),'Semi Rev'!N81,""),"")</f>
        <v/>
      </c>
      <c r="K82" s="30">
        <f>IFERROR(IF(ISNUMBER('Semi Rev'!O81),'Semi Rev'!O81,""),"")</f>
        <v/>
      </c>
      <c r="L82" s="30">
        <f>IFERROR(IF(ISNUMBER('Semi Rev'!P81),'Semi Rev'!P81,""),"")</f>
        <v/>
      </c>
      <c r="M82" s="31">
        <f>IFERROR(IF(ISNUMBER('Semi Rev'!Q81),'Semi Rev'!Q81,""),"")</f>
        <v/>
      </c>
      <c r="N82" s="31">
        <f>IFERROR(IF(ISNUMBER('Semi Rev'!R81),'Semi Rev'!R81,""),"")</f>
        <v/>
      </c>
    </row>
    <row r="83">
      <c r="A83" s="19">
        <f>'Semi Rev'!$A82</f>
        <v/>
      </c>
      <c r="B83" s="19">
        <f>'Semi Rev'!$B82</f>
        <v/>
      </c>
      <c r="C83" s="30">
        <f>IFERROR(IF(ISNUMBER('Semi Rev'!G82),'Semi Rev'!G82,""),"")</f>
        <v/>
      </c>
      <c r="D83" s="30">
        <f>IFERROR(IF(ISNUMBER('Semi Rev'!H82),'Semi Rev'!H82,""),"")</f>
        <v/>
      </c>
      <c r="E83" s="30">
        <f>IFERROR(IF(ISNUMBER('Semi Rev'!I82),'Semi Rev'!I82,""),"")</f>
        <v/>
      </c>
      <c r="F83" s="30">
        <f>IFERROR(IF(ISNUMBER('Semi Rev'!J82),'Semi Rev'!J82,""),"")</f>
        <v/>
      </c>
      <c r="G83" s="30">
        <f>IFERROR(IF(ISNUMBER('Semi Rev'!K82),'Semi Rev'!K82,""),"")</f>
        <v/>
      </c>
      <c r="H83" s="30">
        <f>IFERROR(IF(ISNUMBER('Semi Rev'!L82),'Semi Rev'!L82,""),"")</f>
        <v/>
      </c>
      <c r="I83" s="30">
        <f>IFERROR(IF(ISNUMBER('Semi Rev'!M82),'Semi Rev'!M82,""),"")</f>
        <v/>
      </c>
      <c r="J83" s="30">
        <f>IFERROR(IF(ISNUMBER('Semi Rev'!N82),'Semi Rev'!N82,""),"")</f>
        <v/>
      </c>
      <c r="K83" s="30">
        <f>IFERROR(IF(ISNUMBER('Semi Rev'!O82),'Semi Rev'!O82,""),"")</f>
        <v/>
      </c>
      <c r="L83" s="30">
        <f>IFERROR(IF(ISNUMBER('Semi Rev'!P82),'Semi Rev'!P82,""),"")</f>
        <v/>
      </c>
      <c r="M83" s="31">
        <f>IFERROR(IF(ISNUMBER('Semi Rev'!Q82),'Semi Rev'!Q82,""),"")</f>
        <v/>
      </c>
      <c r="N83" s="31">
        <f>IFERROR(IF(ISNUMBER('Semi Rev'!R82),'Semi Rev'!R82,""),"")</f>
        <v/>
      </c>
    </row>
    <row r="84">
      <c r="A84" s="19">
        <f>'Semi Rev'!$A83</f>
        <v/>
      </c>
      <c r="B84" s="19">
        <f>'Semi Rev'!$B83</f>
        <v/>
      </c>
      <c r="C84" s="30">
        <f>IFERROR(IF(ISNUMBER('Semi Rev'!G83),'Semi Rev'!G83,""),"")</f>
        <v/>
      </c>
      <c r="D84" s="30">
        <f>IFERROR(IF(ISNUMBER('Semi Rev'!H83),'Semi Rev'!H83,""),"")</f>
        <v/>
      </c>
      <c r="E84" s="30">
        <f>IFERROR(IF(ISNUMBER('Semi Rev'!I83),'Semi Rev'!I83,""),"")</f>
        <v/>
      </c>
      <c r="F84" s="30">
        <f>IFERROR(IF(ISNUMBER('Semi Rev'!J83),'Semi Rev'!J83,""),"")</f>
        <v/>
      </c>
      <c r="G84" s="30">
        <f>IFERROR(IF(ISNUMBER('Semi Rev'!K83),'Semi Rev'!K83,""),"")</f>
        <v/>
      </c>
      <c r="H84" s="30">
        <f>IFERROR(IF(ISNUMBER('Semi Rev'!L83),'Semi Rev'!L83,""),"")</f>
        <v/>
      </c>
      <c r="I84" s="30">
        <f>IFERROR(IF(ISNUMBER('Semi Rev'!M83),'Semi Rev'!M83,""),"")</f>
        <v/>
      </c>
      <c r="J84" s="30">
        <f>IFERROR(IF(ISNUMBER('Semi Rev'!N83),'Semi Rev'!N83,""),"")</f>
        <v/>
      </c>
      <c r="K84" s="30">
        <f>IFERROR(IF(ISNUMBER('Semi Rev'!O83),'Semi Rev'!O83,""),"")</f>
        <v/>
      </c>
      <c r="L84" s="30">
        <f>IFERROR(IF(ISNUMBER('Semi Rev'!P83),'Semi Rev'!P83,""),"")</f>
        <v/>
      </c>
      <c r="M84" s="31">
        <f>IFERROR(IF(ISNUMBER('Semi Rev'!Q83),'Semi Rev'!Q83,""),"")</f>
        <v/>
      </c>
      <c r="N84" s="31">
        <f>IFERROR(IF(ISNUMBER('Semi Rev'!R83),'Semi Rev'!R83,""),"")</f>
        <v/>
      </c>
    </row>
    <row r="85">
      <c r="A85" s="19">
        <f>'Semi Rev'!$A84</f>
        <v/>
      </c>
      <c r="B85" s="19">
        <f>'Semi Rev'!$B84</f>
        <v/>
      </c>
      <c r="C85" s="30">
        <f>IFERROR(IF(ISNUMBER('Semi Rev'!G84),'Semi Rev'!G84,""),"")</f>
        <v/>
      </c>
      <c r="D85" s="30">
        <f>IFERROR(IF(ISNUMBER('Semi Rev'!H84),'Semi Rev'!H84,""),"")</f>
        <v/>
      </c>
      <c r="E85" s="30">
        <f>IFERROR(IF(ISNUMBER('Semi Rev'!I84),'Semi Rev'!I84,""),"")</f>
        <v/>
      </c>
      <c r="F85" s="30">
        <f>IFERROR(IF(ISNUMBER('Semi Rev'!J84),'Semi Rev'!J84,""),"")</f>
        <v/>
      </c>
      <c r="G85" s="30">
        <f>IFERROR(IF(ISNUMBER('Semi Rev'!K84),'Semi Rev'!K84,""),"")</f>
        <v/>
      </c>
      <c r="H85" s="30">
        <f>IFERROR(IF(ISNUMBER('Semi Rev'!L84),'Semi Rev'!L84,""),"")</f>
        <v/>
      </c>
      <c r="I85" s="30">
        <f>IFERROR(IF(ISNUMBER('Semi Rev'!M84),'Semi Rev'!M84,""),"")</f>
        <v/>
      </c>
      <c r="J85" s="30">
        <f>IFERROR(IF(ISNUMBER('Semi Rev'!N84),'Semi Rev'!N84,""),"")</f>
        <v/>
      </c>
      <c r="K85" s="30">
        <f>IFERROR(IF(ISNUMBER('Semi Rev'!O84),'Semi Rev'!O84,""),"")</f>
        <v/>
      </c>
      <c r="L85" s="30">
        <f>IFERROR(IF(ISNUMBER('Semi Rev'!P84),'Semi Rev'!P84,""),"")</f>
        <v/>
      </c>
      <c r="M85" s="31">
        <f>IFERROR(IF(ISNUMBER('Semi Rev'!Q84),'Semi Rev'!Q84,""),"")</f>
        <v/>
      </c>
      <c r="N85" s="31">
        <f>IFERROR(IF(ISNUMBER('Semi Rev'!R84),'Semi Rev'!R84,""),"")</f>
        <v/>
      </c>
    </row>
    <row r="86">
      <c r="A86" s="19">
        <f>'Semi Rev'!$A85</f>
        <v/>
      </c>
      <c r="B86" s="19">
        <f>'Semi Rev'!$B85</f>
        <v/>
      </c>
      <c r="C86" s="30">
        <f>IFERROR(IF(ISNUMBER('Semi Rev'!G85),'Semi Rev'!G85,""),"")</f>
        <v/>
      </c>
      <c r="D86" s="30">
        <f>IFERROR(IF(ISNUMBER('Semi Rev'!H85),'Semi Rev'!H85,""),"")</f>
        <v/>
      </c>
      <c r="E86" s="30">
        <f>IFERROR(IF(ISNUMBER('Semi Rev'!I85),'Semi Rev'!I85,""),"")</f>
        <v/>
      </c>
      <c r="F86" s="30">
        <f>IFERROR(IF(ISNUMBER('Semi Rev'!J85),'Semi Rev'!J85,""),"")</f>
        <v/>
      </c>
      <c r="G86" s="30">
        <f>IFERROR(IF(ISNUMBER('Semi Rev'!K85),'Semi Rev'!K85,""),"")</f>
        <v/>
      </c>
      <c r="H86" s="30">
        <f>IFERROR(IF(ISNUMBER('Semi Rev'!L85),'Semi Rev'!L85,""),"")</f>
        <v/>
      </c>
      <c r="I86" s="30">
        <f>IFERROR(IF(ISNUMBER('Semi Rev'!M85),'Semi Rev'!M85,""),"")</f>
        <v/>
      </c>
      <c r="J86" s="30">
        <f>IFERROR(IF(ISNUMBER('Semi Rev'!N85),'Semi Rev'!N85,""),"")</f>
        <v/>
      </c>
      <c r="K86" s="30">
        <f>IFERROR(IF(ISNUMBER('Semi Rev'!O85),'Semi Rev'!O85,""),"")</f>
        <v/>
      </c>
      <c r="L86" s="30">
        <f>IFERROR(IF(ISNUMBER('Semi Rev'!P85),'Semi Rev'!P85,""),"")</f>
        <v/>
      </c>
      <c r="M86" s="31">
        <f>IFERROR(IF(ISNUMBER('Semi Rev'!Q85),'Semi Rev'!Q85,""),"")</f>
        <v/>
      </c>
      <c r="N86" s="31">
        <f>IFERROR(IF(ISNUMBER('Semi Rev'!R85),'Semi Rev'!R85,""),"")</f>
        <v/>
      </c>
    </row>
    <row r="87">
      <c r="A87" s="19">
        <f>'Semi Rev'!$A86</f>
        <v/>
      </c>
      <c r="B87" s="19">
        <f>'Semi Rev'!$B86</f>
        <v/>
      </c>
      <c r="C87" s="30">
        <f>IFERROR(IF(ISNUMBER('Semi Rev'!G86),'Semi Rev'!G86,""),"")</f>
        <v/>
      </c>
      <c r="D87" s="30">
        <f>IFERROR(IF(ISNUMBER('Semi Rev'!H86),'Semi Rev'!H86,""),"")</f>
        <v/>
      </c>
      <c r="E87" s="30">
        <f>IFERROR(IF(ISNUMBER('Semi Rev'!I86),'Semi Rev'!I86,""),"")</f>
        <v/>
      </c>
      <c r="F87" s="30">
        <f>IFERROR(IF(ISNUMBER('Semi Rev'!J86),'Semi Rev'!J86,""),"")</f>
        <v/>
      </c>
      <c r="G87" s="30">
        <f>IFERROR(IF(ISNUMBER('Semi Rev'!K86),'Semi Rev'!K86,""),"")</f>
        <v/>
      </c>
      <c r="H87" s="30">
        <f>IFERROR(IF(ISNUMBER('Semi Rev'!L86),'Semi Rev'!L86,""),"")</f>
        <v/>
      </c>
      <c r="I87" s="30">
        <f>IFERROR(IF(ISNUMBER('Semi Rev'!M86),'Semi Rev'!M86,""),"")</f>
        <v/>
      </c>
      <c r="J87" s="30">
        <f>IFERROR(IF(ISNUMBER('Semi Rev'!N86),'Semi Rev'!N86,""),"")</f>
        <v/>
      </c>
      <c r="K87" s="30">
        <f>IFERROR(IF(ISNUMBER('Semi Rev'!O86),'Semi Rev'!O86,""),"")</f>
        <v/>
      </c>
      <c r="L87" s="30">
        <f>IFERROR(IF(ISNUMBER('Semi Rev'!P86),'Semi Rev'!P86,""),"")</f>
        <v/>
      </c>
      <c r="M87" s="31">
        <f>IFERROR(IF(ISNUMBER('Semi Rev'!Q86),'Semi Rev'!Q86,""),"")</f>
        <v/>
      </c>
      <c r="N87" s="31">
        <f>IFERROR(IF(ISNUMBER('Semi Rev'!R86),'Semi Rev'!R86,""),"")</f>
        <v/>
      </c>
    </row>
    <row r="88">
      <c r="A88" s="19">
        <f>'Semi Rev'!$A87</f>
        <v/>
      </c>
      <c r="B88" s="19">
        <f>'Semi Rev'!$B87</f>
        <v/>
      </c>
      <c r="C88" s="30">
        <f>IFERROR(IF(ISNUMBER('Semi Rev'!G87),'Semi Rev'!G87,""),"")</f>
        <v/>
      </c>
      <c r="D88" s="30">
        <f>IFERROR(IF(ISNUMBER('Semi Rev'!H87),'Semi Rev'!H87,""),"")</f>
        <v/>
      </c>
      <c r="E88" s="30">
        <f>IFERROR(IF(ISNUMBER('Semi Rev'!I87),'Semi Rev'!I87,""),"")</f>
        <v/>
      </c>
      <c r="F88" s="30">
        <f>IFERROR(IF(ISNUMBER('Semi Rev'!J87),'Semi Rev'!J87,""),"")</f>
        <v/>
      </c>
      <c r="G88" s="30">
        <f>IFERROR(IF(ISNUMBER('Semi Rev'!K87),'Semi Rev'!K87,""),"")</f>
        <v/>
      </c>
      <c r="H88" s="30">
        <f>IFERROR(IF(ISNUMBER('Semi Rev'!L87),'Semi Rev'!L87,""),"")</f>
        <v/>
      </c>
      <c r="I88" s="30">
        <f>IFERROR(IF(ISNUMBER('Semi Rev'!M87),'Semi Rev'!M87,""),"")</f>
        <v/>
      </c>
      <c r="J88" s="30">
        <f>IFERROR(IF(ISNUMBER('Semi Rev'!N87),'Semi Rev'!N87,""),"")</f>
        <v/>
      </c>
      <c r="K88" s="30">
        <f>IFERROR(IF(ISNUMBER('Semi Rev'!O87),'Semi Rev'!O87,""),"")</f>
        <v/>
      </c>
      <c r="L88" s="30">
        <f>IFERROR(IF(ISNUMBER('Semi Rev'!P87),'Semi Rev'!P87,""),"")</f>
        <v/>
      </c>
      <c r="M88" s="31">
        <f>IFERROR(IF(ISNUMBER('Semi Rev'!Q87),'Semi Rev'!Q87,""),"")</f>
        <v/>
      </c>
      <c r="N88" s="31">
        <f>IFERROR(IF(ISNUMBER('Semi Rev'!R87),'Semi Rev'!R87,""),"")</f>
        <v/>
      </c>
    </row>
    <row r="89">
      <c r="A89" s="19">
        <f>'Semi Rev'!$A88</f>
        <v/>
      </c>
      <c r="B89" s="19">
        <f>'Semi Rev'!$B88</f>
        <v/>
      </c>
      <c r="C89" s="30">
        <f>IFERROR(IF(ISNUMBER('Semi Rev'!G88),'Semi Rev'!G88,""),"")</f>
        <v/>
      </c>
      <c r="D89" s="30">
        <f>IFERROR(IF(ISNUMBER('Semi Rev'!H88),'Semi Rev'!H88,""),"")</f>
        <v/>
      </c>
      <c r="E89" s="30">
        <f>IFERROR(IF(ISNUMBER('Semi Rev'!I88),'Semi Rev'!I88,""),"")</f>
        <v/>
      </c>
      <c r="F89" s="30">
        <f>IFERROR(IF(ISNUMBER('Semi Rev'!J88),'Semi Rev'!J88,""),"")</f>
        <v/>
      </c>
      <c r="G89" s="30">
        <f>IFERROR(IF(ISNUMBER('Semi Rev'!K88),'Semi Rev'!K88,""),"")</f>
        <v/>
      </c>
      <c r="H89" s="30">
        <f>IFERROR(IF(ISNUMBER('Semi Rev'!L88),'Semi Rev'!L88,""),"")</f>
        <v/>
      </c>
      <c r="I89" s="30">
        <f>IFERROR(IF(ISNUMBER('Semi Rev'!M88),'Semi Rev'!M88,""),"")</f>
        <v/>
      </c>
      <c r="J89" s="30">
        <f>IFERROR(IF(ISNUMBER('Semi Rev'!N88),'Semi Rev'!N88,""),"")</f>
        <v/>
      </c>
      <c r="K89" s="30">
        <f>IFERROR(IF(ISNUMBER('Semi Rev'!O88),'Semi Rev'!O88,""),"")</f>
        <v/>
      </c>
      <c r="L89" s="30">
        <f>IFERROR(IF(ISNUMBER('Semi Rev'!P88),'Semi Rev'!P88,""),"")</f>
        <v/>
      </c>
      <c r="M89" s="31">
        <f>IFERROR(IF(ISNUMBER('Semi Rev'!Q88),'Semi Rev'!Q88,""),"")</f>
        <v/>
      </c>
      <c r="N89" s="31">
        <f>IFERROR(IF(ISNUMBER('Semi Rev'!R88),'Semi Rev'!R88,""),"")</f>
        <v/>
      </c>
    </row>
    <row r="90">
      <c r="A90" s="19">
        <f>'Semi Rev'!$A89</f>
        <v/>
      </c>
      <c r="B90" s="19">
        <f>'Semi Rev'!$B89</f>
        <v/>
      </c>
      <c r="C90" s="30">
        <f>IFERROR(IF(ISNUMBER('Semi Rev'!G89),'Semi Rev'!G89,""),"")</f>
        <v/>
      </c>
      <c r="D90" s="30">
        <f>IFERROR(IF(ISNUMBER('Semi Rev'!H89),'Semi Rev'!H89,""),"")</f>
        <v/>
      </c>
      <c r="E90" s="30">
        <f>IFERROR(IF(ISNUMBER('Semi Rev'!I89),'Semi Rev'!I89,""),"")</f>
        <v/>
      </c>
      <c r="F90" s="30">
        <f>IFERROR(IF(ISNUMBER('Semi Rev'!J89),'Semi Rev'!J89,""),"")</f>
        <v/>
      </c>
      <c r="G90" s="30">
        <f>IFERROR(IF(ISNUMBER('Semi Rev'!K89),'Semi Rev'!K89,""),"")</f>
        <v/>
      </c>
      <c r="H90" s="30">
        <f>IFERROR(IF(ISNUMBER('Semi Rev'!L89),'Semi Rev'!L89,""),"")</f>
        <v/>
      </c>
      <c r="I90" s="30">
        <f>IFERROR(IF(ISNUMBER('Semi Rev'!M89),'Semi Rev'!M89,""),"")</f>
        <v/>
      </c>
      <c r="J90" s="30">
        <f>IFERROR(IF(ISNUMBER('Semi Rev'!N89),'Semi Rev'!N89,""),"")</f>
        <v/>
      </c>
      <c r="K90" s="30">
        <f>IFERROR(IF(ISNUMBER('Semi Rev'!O89),'Semi Rev'!O89,""),"")</f>
        <v/>
      </c>
      <c r="L90" s="30">
        <f>IFERROR(IF(ISNUMBER('Semi Rev'!P89),'Semi Rev'!P89,""),"")</f>
        <v/>
      </c>
      <c r="M90" s="31">
        <f>IFERROR(IF(ISNUMBER('Semi Rev'!Q89),'Semi Rev'!Q89,""),"")</f>
        <v/>
      </c>
      <c r="N90" s="31">
        <f>IFERROR(IF(ISNUMBER('Semi Rev'!R89),'Semi Rev'!R89,""),"")</f>
        <v/>
      </c>
    </row>
    <row r="91">
      <c r="A91" s="19">
        <f>'Semi Rev'!$A90</f>
        <v/>
      </c>
      <c r="B91" s="19">
        <f>'Semi Rev'!$B90</f>
        <v/>
      </c>
      <c r="C91" s="30">
        <f>IFERROR(IF(ISNUMBER('Semi Rev'!G90),'Semi Rev'!G90,""),"")</f>
        <v/>
      </c>
      <c r="D91" s="30">
        <f>IFERROR(IF(ISNUMBER('Semi Rev'!H90),'Semi Rev'!H90,""),"")</f>
        <v/>
      </c>
      <c r="E91" s="30">
        <f>IFERROR(IF(ISNUMBER('Semi Rev'!I90),'Semi Rev'!I90,""),"")</f>
        <v/>
      </c>
      <c r="F91" s="30">
        <f>IFERROR(IF(ISNUMBER('Semi Rev'!J90),'Semi Rev'!J90,""),"")</f>
        <v/>
      </c>
      <c r="G91" s="30">
        <f>IFERROR(IF(ISNUMBER('Semi Rev'!K90),'Semi Rev'!K90,""),"")</f>
        <v/>
      </c>
      <c r="H91" s="30">
        <f>IFERROR(IF(ISNUMBER('Semi Rev'!L90),'Semi Rev'!L90,""),"")</f>
        <v/>
      </c>
      <c r="I91" s="30">
        <f>IFERROR(IF(ISNUMBER('Semi Rev'!M90),'Semi Rev'!M90,""),"")</f>
        <v/>
      </c>
      <c r="J91" s="30">
        <f>IFERROR(IF(ISNUMBER('Semi Rev'!N90),'Semi Rev'!N90,""),"")</f>
        <v/>
      </c>
      <c r="K91" s="30">
        <f>IFERROR(IF(ISNUMBER('Semi Rev'!O90),'Semi Rev'!O90,""),"")</f>
        <v/>
      </c>
      <c r="L91" s="30">
        <f>IFERROR(IF(ISNUMBER('Semi Rev'!P90),'Semi Rev'!P90,""),"")</f>
        <v/>
      </c>
      <c r="M91" s="31">
        <f>IFERROR(IF(ISNUMBER('Semi Rev'!Q90),'Semi Rev'!Q90,""),"")</f>
        <v/>
      </c>
      <c r="N91" s="31">
        <f>IFERROR(IF(ISNUMBER('Semi Rev'!R90),'Semi Rev'!R90,""),"")</f>
        <v/>
      </c>
    </row>
    <row r="92">
      <c r="A92" s="19">
        <f>'Semi Rev'!$A91</f>
        <v/>
      </c>
      <c r="B92" s="19">
        <f>'Semi Rev'!$B91</f>
        <v/>
      </c>
      <c r="C92" s="30">
        <f>IFERROR(IF(ISNUMBER('Semi Rev'!G91),'Semi Rev'!G91,""),"")</f>
        <v/>
      </c>
      <c r="D92" s="30">
        <f>IFERROR(IF(ISNUMBER('Semi Rev'!H91),'Semi Rev'!H91,""),"")</f>
        <v/>
      </c>
      <c r="E92" s="30">
        <f>IFERROR(IF(ISNUMBER('Semi Rev'!I91),'Semi Rev'!I91,""),"")</f>
        <v/>
      </c>
      <c r="F92" s="30">
        <f>IFERROR(IF(ISNUMBER('Semi Rev'!J91),'Semi Rev'!J91,""),"")</f>
        <v/>
      </c>
      <c r="G92" s="30">
        <f>IFERROR(IF(ISNUMBER('Semi Rev'!K91),'Semi Rev'!K91,""),"")</f>
        <v/>
      </c>
      <c r="H92" s="30">
        <f>IFERROR(IF(ISNUMBER('Semi Rev'!L91),'Semi Rev'!L91,""),"")</f>
        <v/>
      </c>
      <c r="I92" s="30">
        <f>IFERROR(IF(ISNUMBER('Semi Rev'!M91),'Semi Rev'!M91,""),"")</f>
        <v/>
      </c>
      <c r="J92" s="30">
        <f>IFERROR(IF(ISNUMBER('Semi Rev'!N91),'Semi Rev'!N91,""),"")</f>
        <v/>
      </c>
      <c r="K92" s="30">
        <f>IFERROR(IF(ISNUMBER('Semi Rev'!O91),'Semi Rev'!O91,""),"")</f>
        <v/>
      </c>
      <c r="L92" s="30">
        <f>IFERROR(IF(ISNUMBER('Semi Rev'!P91),'Semi Rev'!P91,""),"")</f>
        <v/>
      </c>
      <c r="M92" s="31">
        <f>IFERROR(IF(ISNUMBER('Semi Rev'!Q91),'Semi Rev'!Q91,""),"")</f>
        <v/>
      </c>
      <c r="N92" s="31">
        <f>IFERROR(IF(ISNUMBER('Semi Rev'!R91),'Semi Rev'!R91,""),"")</f>
        <v/>
      </c>
    </row>
    <row r="93">
      <c r="A93" s="19">
        <f>'Semi Rev'!$A92</f>
        <v/>
      </c>
      <c r="B93" s="19">
        <f>'Semi Rev'!$B92</f>
        <v/>
      </c>
      <c r="C93" s="30">
        <f>IFERROR(IF(ISNUMBER('Semi Rev'!G92),'Semi Rev'!G92,""),"")</f>
        <v/>
      </c>
      <c r="D93" s="30">
        <f>IFERROR(IF(ISNUMBER('Semi Rev'!H92),'Semi Rev'!H92,""),"")</f>
        <v/>
      </c>
      <c r="E93" s="30">
        <f>IFERROR(IF(ISNUMBER('Semi Rev'!I92),'Semi Rev'!I92,""),"")</f>
        <v/>
      </c>
      <c r="F93" s="30">
        <f>IFERROR(IF(ISNUMBER('Semi Rev'!J92),'Semi Rev'!J92,""),"")</f>
        <v/>
      </c>
      <c r="G93" s="30">
        <f>IFERROR(IF(ISNUMBER('Semi Rev'!K92),'Semi Rev'!K92,""),"")</f>
        <v/>
      </c>
      <c r="H93" s="30">
        <f>IFERROR(IF(ISNUMBER('Semi Rev'!L92),'Semi Rev'!L92,""),"")</f>
        <v/>
      </c>
      <c r="I93" s="30">
        <f>IFERROR(IF(ISNUMBER('Semi Rev'!M92),'Semi Rev'!M92,""),"")</f>
        <v/>
      </c>
      <c r="J93" s="30">
        <f>IFERROR(IF(ISNUMBER('Semi Rev'!N92),'Semi Rev'!N92,""),"")</f>
        <v/>
      </c>
      <c r="K93" s="30">
        <f>IFERROR(IF(ISNUMBER('Semi Rev'!O92),'Semi Rev'!O92,""),"")</f>
        <v/>
      </c>
      <c r="L93" s="30">
        <f>IFERROR(IF(ISNUMBER('Semi Rev'!P92),'Semi Rev'!P92,""),"")</f>
        <v/>
      </c>
      <c r="M93" s="31">
        <f>IFERROR(IF(ISNUMBER('Semi Rev'!Q92),'Semi Rev'!Q92,""),"")</f>
        <v/>
      </c>
      <c r="N93" s="31">
        <f>IFERROR(IF(ISNUMBER('Semi Rev'!R92),'Semi Rev'!R92,""),"")</f>
        <v/>
      </c>
    </row>
    <row r="94">
      <c r="A94" s="19">
        <f>'Semi Rev'!$A93</f>
        <v/>
      </c>
      <c r="B94" s="19">
        <f>'Semi Rev'!$B93</f>
        <v/>
      </c>
      <c r="C94" s="30">
        <f>IFERROR(IF(ISNUMBER('Semi Rev'!G93),'Semi Rev'!G93,""),"")</f>
        <v/>
      </c>
      <c r="D94" s="30">
        <f>IFERROR(IF(ISNUMBER('Semi Rev'!H93),'Semi Rev'!H93,""),"")</f>
        <v/>
      </c>
      <c r="E94" s="30">
        <f>IFERROR(IF(ISNUMBER('Semi Rev'!I93),'Semi Rev'!I93,""),"")</f>
        <v/>
      </c>
      <c r="F94" s="30">
        <f>IFERROR(IF(ISNUMBER('Semi Rev'!J93),'Semi Rev'!J93,""),"")</f>
        <v/>
      </c>
      <c r="G94" s="30">
        <f>IFERROR(IF(ISNUMBER('Semi Rev'!K93),'Semi Rev'!K93,""),"")</f>
        <v/>
      </c>
      <c r="H94" s="30">
        <f>IFERROR(IF(ISNUMBER('Semi Rev'!L93),'Semi Rev'!L93,""),"")</f>
        <v/>
      </c>
      <c r="I94" s="30">
        <f>IFERROR(IF(ISNUMBER('Semi Rev'!M93),'Semi Rev'!M93,""),"")</f>
        <v/>
      </c>
      <c r="J94" s="30">
        <f>IFERROR(IF(ISNUMBER('Semi Rev'!N93),'Semi Rev'!N93,""),"")</f>
        <v/>
      </c>
      <c r="K94" s="30">
        <f>IFERROR(IF(ISNUMBER('Semi Rev'!O93),'Semi Rev'!O93,""),"")</f>
        <v/>
      </c>
      <c r="L94" s="30">
        <f>IFERROR(IF(ISNUMBER('Semi Rev'!P93),'Semi Rev'!P93,""),"")</f>
        <v/>
      </c>
      <c r="M94" s="31">
        <f>IFERROR(IF(ISNUMBER('Semi Rev'!Q93),'Semi Rev'!Q93,""),"")</f>
        <v/>
      </c>
      <c r="N94" s="31">
        <f>IFERROR(IF(ISNUMBER('Semi Rev'!R93),'Semi Rev'!R93,""),"")</f>
        <v/>
      </c>
    </row>
    <row r="95">
      <c r="A95" s="19">
        <f>'Semi Rev'!$A94</f>
        <v/>
      </c>
      <c r="B95" s="19">
        <f>'Semi Rev'!$B94</f>
        <v/>
      </c>
      <c r="C95" s="30">
        <f>IFERROR(IF(ISNUMBER('Semi Rev'!G94),'Semi Rev'!G94,""),"")</f>
        <v/>
      </c>
      <c r="D95" s="30">
        <f>IFERROR(IF(ISNUMBER('Semi Rev'!H94),'Semi Rev'!H94,""),"")</f>
        <v/>
      </c>
      <c r="E95" s="30">
        <f>IFERROR(IF(ISNUMBER('Semi Rev'!I94),'Semi Rev'!I94,""),"")</f>
        <v/>
      </c>
      <c r="F95" s="30">
        <f>IFERROR(IF(ISNUMBER('Semi Rev'!J94),'Semi Rev'!J94,""),"")</f>
        <v/>
      </c>
      <c r="G95" s="30">
        <f>IFERROR(IF(ISNUMBER('Semi Rev'!K94),'Semi Rev'!K94,""),"")</f>
        <v/>
      </c>
      <c r="H95" s="30">
        <f>IFERROR(IF(ISNUMBER('Semi Rev'!L94),'Semi Rev'!L94,""),"")</f>
        <v/>
      </c>
      <c r="I95" s="30">
        <f>IFERROR(IF(ISNUMBER('Semi Rev'!M94),'Semi Rev'!M94,""),"")</f>
        <v/>
      </c>
      <c r="J95" s="30">
        <f>IFERROR(IF(ISNUMBER('Semi Rev'!N94),'Semi Rev'!N94,""),"")</f>
        <v/>
      </c>
      <c r="K95" s="30">
        <f>IFERROR(IF(ISNUMBER('Semi Rev'!O94),'Semi Rev'!O94,""),"")</f>
        <v/>
      </c>
      <c r="L95" s="30">
        <f>IFERROR(IF(ISNUMBER('Semi Rev'!P94),'Semi Rev'!P94,""),"")</f>
        <v/>
      </c>
      <c r="M95" s="31">
        <f>IFERROR(IF(ISNUMBER('Semi Rev'!Q94),'Semi Rev'!Q94,""),"")</f>
        <v/>
      </c>
      <c r="N95" s="31">
        <f>IFERROR(IF(ISNUMBER('Semi Rev'!R94),'Semi Rev'!R94,""),"")</f>
        <v/>
      </c>
    </row>
    <row r="96">
      <c r="A96" s="19">
        <f>'Semi Rev'!$A95</f>
        <v/>
      </c>
      <c r="B96" s="19">
        <f>'Semi Rev'!$B95</f>
        <v/>
      </c>
      <c r="C96" s="30">
        <f>IFERROR(IF(ISNUMBER('Semi Rev'!G95),'Semi Rev'!G95,""),"")</f>
        <v/>
      </c>
      <c r="D96" s="30">
        <f>IFERROR(IF(ISNUMBER('Semi Rev'!H95),'Semi Rev'!H95,""),"")</f>
        <v/>
      </c>
      <c r="E96" s="30">
        <f>IFERROR(IF(ISNUMBER('Semi Rev'!I95),'Semi Rev'!I95,""),"")</f>
        <v/>
      </c>
      <c r="F96" s="30">
        <f>IFERROR(IF(ISNUMBER('Semi Rev'!J95),'Semi Rev'!J95,""),"")</f>
        <v/>
      </c>
      <c r="G96" s="30">
        <f>IFERROR(IF(ISNUMBER('Semi Rev'!K95),'Semi Rev'!K95,""),"")</f>
        <v/>
      </c>
      <c r="H96" s="30">
        <f>IFERROR(IF(ISNUMBER('Semi Rev'!L95),'Semi Rev'!L95,""),"")</f>
        <v/>
      </c>
      <c r="I96" s="30">
        <f>IFERROR(IF(ISNUMBER('Semi Rev'!M95),'Semi Rev'!M95,""),"")</f>
        <v/>
      </c>
      <c r="J96" s="30">
        <f>IFERROR(IF(ISNUMBER('Semi Rev'!N95),'Semi Rev'!N95,""),"")</f>
        <v/>
      </c>
      <c r="K96" s="30">
        <f>IFERROR(IF(ISNUMBER('Semi Rev'!O95),'Semi Rev'!O95,""),"")</f>
        <v/>
      </c>
      <c r="L96" s="30">
        <f>IFERROR(IF(ISNUMBER('Semi Rev'!P95),'Semi Rev'!P95,""),"")</f>
        <v/>
      </c>
      <c r="M96" s="31">
        <f>IFERROR(IF(ISNUMBER('Semi Rev'!Q95),'Semi Rev'!Q95,""),"")</f>
        <v/>
      </c>
      <c r="N96" s="31">
        <f>IFERROR(IF(ISNUMBER('Semi Rev'!R95),'Semi Rev'!R95,""),"")</f>
        <v/>
      </c>
    </row>
    <row r="97">
      <c r="A97" s="19">
        <f>'Semi Rev'!$A96</f>
        <v/>
      </c>
      <c r="B97" s="19">
        <f>'Semi Rev'!$B96</f>
        <v/>
      </c>
      <c r="C97" s="30">
        <f>IFERROR(IF(ISNUMBER('Semi Rev'!G96),'Semi Rev'!G96,""),"")</f>
        <v/>
      </c>
      <c r="D97" s="30">
        <f>IFERROR(IF(ISNUMBER('Semi Rev'!H96),'Semi Rev'!H96,""),"")</f>
        <v/>
      </c>
      <c r="E97" s="30">
        <f>IFERROR(IF(ISNUMBER('Semi Rev'!I96),'Semi Rev'!I96,""),"")</f>
        <v/>
      </c>
      <c r="F97" s="30">
        <f>IFERROR(IF(ISNUMBER('Semi Rev'!J96),'Semi Rev'!J96,""),"")</f>
        <v/>
      </c>
      <c r="G97" s="30">
        <f>IFERROR(IF(ISNUMBER('Semi Rev'!K96),'Semi Rev'!K96,""),"")</f>
        <v/>
      </c>
      <c r="H97" s="30">
        <f>IFERROR(IF(ISNUMBER('Semi Rev'!L96),'Semi Rev'!L96,""),"")</f>
        <v/>
      </c>
      <c r="I97" s="30">
        <f>IFERROR(IF(ISNUMBER('Semi Rev'!M96),'Semi Rev'!M96,""),"")</f>
        <v/>
      </c>
      <c r="J97" s="30">
        <f>IFERROR(IF(ISNUMBER('Semi Rev'!N96),'Semi Rev'!N96,""),"")</f>
        <v/>
      </c>
      <c r="K97" s="30">
        <f>IFERROR(IF(ISNUMBER('Semi Rev'!O96),'Semi Rev'!O96,""),"")</f>
        <v/>
      </c>
      <c r="L97" s="30">
        <f>IFERROR(IF(ISNUMBER('Semi Rev'!P96),'Semi Rev'!P96,""),"")</f>
        <v/>
      </c>
      <c r="M97" s="31">
        <f>IFERROR(IF(ISNUMBER('Semi Rev'!Q96),'Semi Rev'!Q96,""),"")</f>
        <v/>
      </c>
      <c r="N97" s="31">
        <f>IFERROR(IF(ISNUMBER('Semi Rev'!R96),'Semi Rev'!R96,""),"")</f>
        <v/>
      </c>
    </row>
    <row r="98">
      <c r="A98" s="19">
        <f>'Semi Rev'!$A97</f>
        <v/>
      </c>
      <c r="B98" s="19">
        <f>'Semi Rev'!$B97</f>
        <v/>
      </c>
      <c r="C98" s="30">
        <f>IFERROR(IF(ISNUMBER('Semi Rev'!G97),'Semi Rev'!G97,""),"")</f>
        <v/>
      </c>
      <c r="D98" s="30">
        <f>IFERROR(IF(ISNUMBER('Semi Rev'!H97),'Semi Rev'!H97,""),"")</f>
        <v/>
      </c>
      <c r="E98" s="30">
        <f>IFERROR(IF(ISNUMBER('Semi Rev'!I97),'Semi Rev'!I97,""),"")</f>
        <v/>
      </c>
      <c r="F98" s="30">
        <f>IFERROR(IF(ISNUMBER('Semi Rev'!J97),'Semi Rev'!J97,""),"")</f>
        <v/>
      </c>
      <c r="G98" s="30">
        <f>IFERROR(IF(ISNUMBER('Semi Rev'!K97),'Semi Rev'!K97,""),"")</f>
        <v/>
      </c>
      <c r="H98" s="30">
        <f>IFERROR(IF(ISNUMBER('Semi Rev'!L97),'Semi Rev'!L97,""),"")</f>
        <v/>
      </c>
      <c r="I98" s="30">
        <f>IFERROR(IF(ISNUMBER('Semi Rev'!M97),'Semi Rev'!M97,""),"")</f>
        <v/>
      </c>
      <c r="J98" s="30">
        <f>IFERROR(IF(ISNUMBER('Semi Rev'!N97),'Semi Rev'!N97,""),"")</f>
        <v/>
      </c>
      <c r="K98" s="30">
        <f>IFERROR(IF(ISNUMBER('Semi Rev'!O97),'Semi Rev'!O97,""),"")</f>
        <v/>
      </c>
      <c r="L98" s="30">
        <f>IFERROR(IF(ISNUMBER('Semi Rev'!P97),'Semi Rev'!P97,""),"")</f>
        <v/>
      </c>
      <c r="M98" s="31">
        <f>IFERROR(IF(ISNUMBER('Semi Rev'!Q97),'Semi Rev'!Q97,""),"")</f>
        <v/>
      </c>
      <c r="N98" s="31">
        <f>IFERROR(IF(ISNUMBER('Semi Rev'!R97),'Semi Rev'!R97,""),"")</f>
        <v/>
      </c>
    </row>
    <row r="99">
      <c r="A99" s="19">
        <f>'Semi Rev'!$A98</f>
        <v/>
      </c>
      <c r="B99" s="19">
        <f>'Semi Rev'!$B98</f>
        <v/>
      </c>
      <c r="C99" s="30">
        <f>IFERROR(IF(ISNUMBER('Semi Rev'!G98),'Semi Rev'!G98,""),"")</f>
        <v/>
      </c>
      <c r="D99" s="30">
        <f>IFERROR(IF(ISNUMBER('Semi Rev'!H98),'Semi Rev'!H98,""),"")</f>
        <v/>
      </c>
      <c r="E99" s="30">
        <f>IFERROR(IF(ISNUMBER('Semi Rev'!I98),'Semi Rev'!I98,""),"")</f>
        <v/>
      </c>
      <c r="F99" s="30">
        <f>IFERROR(IF(ISNUMBER('Semi Rev'!J98),'Semi Rev'!J98,""),"")</f>
        <v/>
      </c>
      <c r="G99" s="30">
        <f>IFERROR(IF(ISNUMBER('Semi Rev'!K98),'Semi Rev'!K98,""),"")</f>
        <v/>
      </c>
      <c r="H99" s="30">
        <f>IFERROR(IF(ISNUMBER('Semi Rev'!L98),'Semi Rev'!L98,""),"")</f>
        <v/>
      </c>
      <c r="I99" s="30">
        <f>IFERROR(IF(ISNUMBER('Semi Rev'!M98),'Semi Rev'!M98,""),"")</f>
        <v/>
      </c>
      <c r="J99" s="30">
        <f>IFERROR(IF(ISNUMBER('Semi Rev'!N98),'Semi Rev'!N98,""),"")</f>
        <v/>
      </c>
      <c r="K99" s="30">
        <f>IFERROR(IF(ISNUMBER('Semi Rev'!O98),'Semi Rev'!O98,""),"")</f>
        <v/>
      </c>
      <c r="L99" s="30">
        <f>IFERROR(IF(ISNUMBER('Semi Rev'!P98),'Semi Rev'!P98,""),"")</f>
        <v/>
      </c>
      <c r="M99" s="31">
        <f>IFERROR(IF(ISNUMBER('Semi Rev'!Q98),'Semi Rev'!Q98,""),"")</f>
        <v/>
      </c>
      <c r="N99" s="31">
        <f>IFERROR(IF(ISNUMBER('Semi Rev'!R98),'Semi Rev'!R98,""),"")</f>
        <v/>
      </c>
    </row>
    <row r="100">
      <c r="A100" s="19">
        <f>'Semi Rev'!$A99</f>
        <v/>
      </c>
      <c r="B100" s="19">
        <f>'Semi Rev'!$B99</f>
        <v/>
      </c>
      <c r="C100" s="30">
        <f>IFERROR(IF(ISNUMBER('Semi Rev'!G99),'Semi Rev'!G99,""),"")</f>
        <v/>
      </c>
      <c r="D100" s="30">
        <f>IFERROR(IF(ISNUMBER('Semi Rev'!H99),'Semi Rev'!H99,""),"")</f>
        <v/>
      </c>
      <c r="E100" s="30">
        <f>IFERROR(IF(ISNUMBER('Semi Rev'!I99),'Semi Rev'!I99,""),"")</f>
        <v/>
      </c>
      <c r="F100" s="30">
        <f>IFERROR(IF(ISNUMBER('Semi Rev'!J99),'Semi Rev'!J99,""),"")</f>
        <v/>
      </c>
      <c r="G100" s="30">
        <f>IFERROR(IF(ISNUMBER('Semi Rev'!K99),'Semi Rev'!K99,""),"")</f>
        <v/>
      </c>
      <c r="H100" s="30">
        <f>IFERROR(IF(ISNUMBER('Semi Rev'!L99),'Semi Rev'!L99,""),"")</f>
        <v/>
      </c>
      <c r="I100" s="30">
        <f>IFERROR(IF(ISNUMBER('Semi Rev'!M99),'Semi Rev'!M99,""),"")</f>
        <v/>
      </c>
      <c r="J100" s="30">
        <f>IFERROR(IF(ISNUMBER('Semi Rev'!N99),'Semi Rev'!N99,""),"")</f>
        <v/>
      </c>
      <c r="K100" s="30">
        <f>IFERROR(IF(ISNUMBER('Semi Rev'!O99),'Semi Rev'!O99,""),"")</f>
        <v/>
      </c>
      <c r="L100" s="30">
        <f>IFERROR(IF(ISNUMBER('Semi Rev'!P99),'Semi Rev'!P99,""),"")</f>
        <v/>
      </c>
      <c r="M100" s="31">
        <f>IFERROR(IF(ISNUMBER('Semi Rev'!Q99),'Semi Rev'!Q99,""),"")</f>
        <v/>
      </c>
      <c r="N100" s="31">
        <f>IFERROR(IF(ISNUMBER('Semi Rev'!R99),'Semi Rev'!R99,""),"")</f>
        <v/>
      </c>
    </row>
    <row r="101">
      <c r="A101" s="19">
        <f>'Semi Rev'!$A100</f>
        <v/>
      </c>
      <c r="B101" s="19">
        <f>'Semi Rev'!$B100</f>
        <v/>
      </c>
      <c r="C101" s="30">
        <f>IFERROR(IF(ISNUMBER('Semi Rev'!G100),'Semi Rev'!G100,""),"")</f>
        <v/>
      </c>
      <c r="D101" s="30">
        <f>IFERROR(IF(ISNUMBER('Semi Rev'!H100),'Semi Rev'!H100,""),"")</f>
        <v/>
      </c>
      <c r="E101" s="30">
        <f>IFERROR(IF(ISNUMBER('Semi Rev'!I100),'Semi Rev'!I100,""),"")</f>
        <v/>
      </c>
      <c r="F101" s="30">
        <f>IFERROR(IF(ISNUMBER('Semi Rev'!J100),'Semi Rev'!J100,""),"")</f>
        <v/>
      </c>
      <c r="G101" s="30">
        <f>IFERROR(IF(ISNUMBER('Semi Rev'!K100),'Semi Rev'!K100,""),"")</f>
        <v/>
      </c>
      <c r="H101" s="30">
        <f>IFERROR(IF(ISNUMBER('Semi Rev'!L100),'Semi Rev'!L100,""),"")</f>
        <v/>
      </c>
      <c r="I101" s="30">
        <f>IFERROR(IF(ISNUMBER('Semi Rev'!M100),'Semi Rev'!M100,""),"")</f>
        <v/>
      </c>
      <c r="J101" s="30">
        <f>IFERROR(IF(ISNUMBER('Semi Rev'!N100),'Semi Rev'!N100,""),"")</f>
        <v/>
      </c>
      <c r="K101" s="30">
        <f>IFERROR(IF(ISNUMBER('Semi Rev'!O100),'Semi Rev'!O100,""),"")</f>
        <v/>
      </c>
      <c r="L101" s="30">
        <f>IFERROR(IF(ISNUMBER('Semi Rev'!P100),'Semi Rev'!P100,""),"")</f>
        <v/>
      </c>
      <c r="M101" s="31">
        <f>IFERROR(IF(ISNUMBER('Semi Rev'!Q100),'Semi Rev'!Q100,""),"")</f>
        <v/>
      </c>
      <c r="N101" s="31">
        <f>IFERROR(IF(ISNUMBER('Semi Rev'!R100),'Semi Rev'!R100,""),"")</f>
        <v/>
      </c>
    </row>
    <row r="102">
      <c r="A102" s="19">
        <f>'Semi Rev'!$A101</f>
        <v/>
      </c>
      <c r="B102" s="19">
        <f>'Semi Rev'!$B101</f>
        <v/>
      </c>
      <c r="C102" s="30">
        <f>IFERROR(IF(ISNUMBER('Semi Rev'!G101),'Semi Rev'!G101,""),"")</f>
        <v/>
      </c>
      <c r="D102" s="30">
        <f>IFERROR(IF(ISNUMBER('Semi Rev'!H101),'Semi Rev'!H101,""),"")</f>
        <v/>
      </c>
      <c r="E102" s="30">
        <f>IFERROR(IF(ISNUMBER('Semi Rev'!I101),'Semi Rev'!I101,""),"")</f>
        <v/>
      </c>
      <c r="F102" s="30">
        <f>IFERROR(IF(ISNUMBER('Semi Rev'!J101),'Semi Rev'!J101,""),"")</f>
        <v/>
      </c>
      <c r="G102" s="30">
        <f>IFERROR(IF(ISNUMBER('Semi Rev'!K101),'Semi Rev'!K101,""),"")</f>
        <v/>
      </c>
      <c r="H102" s="30">
        <f>IFERROR(IF(ISNUMBER('Semi Rev'!L101),'Semi Rev'!L101,""),"")</f>
        <v/>
      </c>
      <c r="I102" s="30">
        <f>IFERROR(IF(ISNUMBER('Semi Rev'!M101),'Semi Rev'!M101,""),"")</f>
        <v/>
      </c>
      <c r="J102" s="30">
        <f>IFERROR(IF(ISNUMBER('Semi Rev'!N101),'Semi Rev'!N101,""),"")</f>
        <v/>
      </c>
      <c r="K102" s="30">
        <f>IFERROR(IF(ISNUMBER('Semi Rev'!O101),'Semi Rev'!O101,""),"")</f>
        <v/>
      </c>
      <c r="L102" s="30">
        <f>IFERROR(IF(ISNUMBER('Semi Rev'!P101),'Semi Rev'!P101,""),"")</f>
        <v/>
      </c>
      <c r="M102" s="31">
        <f>IFERROR(IF(ISNUMBER('Semi Rev'!Q101),'Semi Rev'!Q101,""),"")</f>
        <v/>
      </c>
      <c r="N102" s="31">
        <f>IFERROR(IF(ISNUMBER('Semi Rev'!R101),'Semi Rev'!R101,""),"")</f>
        <v/>
      </c>
    </row>
    <row r="103">
      <c r="A103" s="19">
        <f>'Semi Rev'!$A102</f>
        <v/>
      </c>
      <c r="B103" s="19">
        <f>'Semi Rev'!$B102</f>
        <v/>
      </c>
      <c r="C103" s="30">
        <f>IFERROR(IF(ISNUMBER('Semi Rev'!G102),'Semi Rev'!G102,""),"")</f>
        <v/>
      </c>
      <c r="D103" s="30">
        <f>IFERROR(IF(ISNUMBER('Semi Rev'!H102),'Semi Rev'!H102,""),"")</f>
        <v/>
      </c>
      <c r="E103" s="30">
        <f>IFERROR(IF(ISNUMBER('Semi Rev'!I102),'Semi Rev'!I102,""),"")</f>
        <v/>
      </c>
      <c r="F103" s="30">
        <f>IFERROR(IF(ISNUMBER('Semi Rev'!J102),'Semi Rev'!J102,""),"")</f>
        <v/>
      </c>
      <c r="G103" s="30">
        <f>IFERROR(IF(ISNUMBER('Semi Rev'!K102),'Semi Rev'!K102,""),"")</f>
        <v/>
      </c>
      <c r="H103" s="30">
        <f>IFERROR(IF(ISNUMBER('Semi Rev'!L102),'Semi Rev'!L102,""),"")</f>
        <v/>
      </c>
      <c r="I103" s="30">
        <f>IFERROR(IF(ISNUMBER('Semi Rev'!M102),'Semi Rev'!M102,""),"")</f>
        <v/>
      </c>
      <c r="J103" s="30">
        <f>IFERROR(IF(ISNUMBER('Semi Rev'!N102),'Semi Rev'!N102,""),"")</f>
        <v/>
      </c>
      <c r="K103" s="30">
        <f>IFERROR(IF(ISNUMBER('Semi Rev'!O102),'Semi Rev'!O102,""),"")</f>
        <v/>
      </c>
      <c r="L103" s="30">
        <f>IFERROR(IF(ISNUMBER('Semi Rev'!P102),'Semi Rev'!P102,""),"")</f>
        <v/>
      </c>
      <c r="M103" s="31">
        <f>IFERROR(IF(ISNUMBER('Semi Rev'!Q102),'Semi Rev'!Q102,""),"")</f>
        <v/>
      </c>
      <c r="N103" s="31">
        <f>IFERROR(IF(ISNUMBER('Semi Rev'!R102),'Semi Rev'!R102,""),"")</f>
        <v/>
      </c>
    </row>
    <row r="104">
      <c r="A104" s="19">
        <f>'Semi Rev'!$A103</f>
        <v/>
      </c>
      <c r="B104" s="19">
        <f>'Semi Rev'!$B103</f>
        <v/>
      </c>
      <c r="C104" s="30">
        <f>IFERROR(IF(ISNUMBER('Semi Rev'!G103),'Semi Rev'!G103,""),"")</f>
        <v/>
      </c>
      <c r="D104" s="30">
        <f>IFERROR(IF(ISNUMBER('Semi Rev'!H103),'Semi Rev'!H103,""),"")</f>
        <v/>
      </c>
      <c r="E104" s="30">
        <f>IFERROR(IF(ISNUMBER('Semi Rev'!I103),'Semi Rev'!I103,""),"")</f>
        <v/>
      </c>
      <c r="F104" s="30">
        <f>IFERROR(IF(ISNUMBER('Semi Rev'!J103),'Semi Rev'!J103,""),"")</f>
        <v/>
      </c>
      <c r="G104" s="30">
        <f>IFERROR(IF(ISNUMBER('Semi Rev'!K103),'Semi Rev'!K103,""),"")</f>
        <v/>
      </c>
      <c r="H104" s="30">
        <f>IFERROR(IF(ISNUMBER('Semi Rev'!L103),'Semi Rev'!L103,""),"")</f>
        <v/>
      </c>
      <c r="I104" s="30">
        <f>IFERROR(IF(ISNUMBER('Semi Rev'!M103),'Semi Rev'!M103,""),"")</f>
        <v/>
      </c>
      <c r="J104" s="30">
        <f>IFERROR(IF(ISNUMBER('Semi Rev'!N103),'Semi Rev'!N103,""),"")</f>
        <v/>
      </c>
      <c r="K104" s="30">
        <f>IFERROR(IF(ISNUMBER('Semi Rev'!O103),'Semi Rev'!O103,""),"")</f>
        <v/>
      </c>
      <c r="L104" s="30">
        <f>IFERROR(IF(ISNUMBER('Semi Rev'!P103),'Semi Rev'!P103,""),"")</f>
        <v/>
      </c>
      <c r="M104" s="31">
        <f>IFERROR(IF(ISNUMBER('Semi Rev'!Q103),'Semi Rev'!Q103,""),"")</f>
        <v/>
      </c>
      <c r="N104" s="31">
        <f>IFERROR(IF(ISNUMBER('Semi Rev'!R103),'Semi Rev'!R103,""),"")</f>
        <v/>
      </c>
    </row>
    <row r="105">
      <c r="A105" s="19">
        <f>'Semi Rev'!$A104</f>
        <v/>
      </c>
      <c r="B105" s="19">
        <f>'Semi Rev'!$B104</f>
        <v/>
      </c>
      <c r="C105" s="30">
        <f>IFERROR(IF(ISNUMBER('Semi Rev'!G104),'Semi Rev'!G104,""),"")</f>
        <v/>
      </c>
      <c r="D105" s="30">
        <f>IFERROR(IF(ISNUMBER('Semi Rev'!H104),'Semi Rev'!H104,""),"")</f>
        <v/>
      </c>
      <c r="E105" s="30">
        <f>IFERROR(IF(ISNUMBER('Semi Rev'!I104),'Semi Rev'!I104,""),"")</f>
        <v/>
      </c>
      <c r="F105" s="30">
        <f>IFERROR(IF(ISNUMBER('Semi Rev'!J104),'Semi Rev'!J104,""),"")</f>
        <v/>
      </c>
      <c r="G105" s="30">
        <f>IFERROR(IF(ISNUMBER('Semi Rev'!K104),'Semi Rev'!K104,""),"")</f>
        <v/>
      </c>
      <c r="H105" s="30">
        <f>IFERROR(IF(ISNUMBER('Semi Rev'!L104),'Semi Rev'!L104,""),"")</f>
        <v/>
      </c>
      <c r="I105" s="30">
        <f>IFERROR(IF(ISNUMBER('Semi Rev'!M104),'Semi Rev'!M104,""),"")</f>
        <v/>
      </c>
      <c r="J105" s="30">
        <f>IFERROR(IF(ISNUMBER('Semi Rev'!N104),'Semi Rev'!N104,""),"")</f>
        <v/>
      </c>
      <c r="K105" s="30">
        <f>IFERROR(IF(ISNUMBER('Semi Rev'!O104),'Semi Rev'!O104,""),"")</f>
        <v/>
      </c>
      <c r="L105" s="30">
        <f>IFERROR(IF(ISNUMBER('Semi Rev'!P104),'Semi Rev'!P104,""),"")</f>
        <v/>
      </c>
      <c r="M105" s="31">
        <f>IFERROR(IF(ISNUMBER('Semi Rev'!Q104),'Semi Rev'!Q104,""),"")</f>
        <v/>
      </c>
      <c r="N105" s="31">
        <f>IFERROR(IF(ISNUMBER('Semi Rev'!R104),'Semi Rev'!R104,""),"")</f>
        <v/>
      </c>
    </row>
    <row r="106">
      <c r="A106" s="19">
        <f>'Semi Rev'!$A105</f>
        <v/>
      </c>
      <c r="B106" s="19">
        <f>'Semi Rev'!$B105</f>
        <v/>
      </c>
      <c r="C106" s="30">
        <f>IFERROR(IF(ISNUMBER('Semi Rev'!G105),'Semi Rev'!G105,""),"")</f>
        <v/>
      </c>
      <c r="D106" s="30">
        <f>IFERROR(IF(ISNUMBER('Semi Rev'!H105),'Semi Rev'!H105,""),"")</f>
        <v/>
      </c>
      <c r="E106" s="30">
        <f>IFERROR(IF(ISNUMBER('Semi Rev'!I105),'Semi Rev'!I105,""),"")</f>
        <v/>
      </c>
      <c r="F106" s="30">
        <f>IFERROR(IF(ISNUMBER('Semi Rev'!J105),'Semi Rev'!J105,""),"")</f>
        <v/>
      </c>
      <c r="G106" s="30">
        <f>IFERROR(IF(ISNUMBER('Semi Rev'!K105),'Semi Rev'!K105,""),"")</f>
        <v/>
      </c>
      <c r="H106" s="30">
        <f>IFERROR(IF(ISNUMBER('Semi Rev'!L105),'Semi Rev'!L105,""),"")</f>
        <v/>
      </c>
      <c r="I106" s="30">
        <f>IFERROR(IF(ISNUMBER('Semi Rev'!M105),'Semi Rev'!M105,""),"")</f>
        <v/>
      </c>
      <c r="J106" s="30">
        <f>IFERROR(IF(ISNUMBER('Semi Rev'!N105),'Semi Rev'!N105,""),"")</f>
        <v/>
      </c>
      <c r="K106" s="30">
        <f>IFERROR(IF(ISNUMBER('Semi Rev'!O105),'Semi Rev'!O105,""),"")</f>
        <v/>
      </c>
      <c r="L106" s="30">
        <f>IFERROR(IF(ISNUMBER('Semi Rev'!P105),'Semi Rev'!P105,""),"")</f>
        <v/>
      </c>
      <c r="M106" s="31">
        <f>IFERROR(IF(ISNUMBER('Semi Rev'!Q105),'Semi Rev'!Q105,""),"")</f>
        <v/>
      </c>
      <c r="N106" s="31">
        <f>IFERROR(IF(ISNUMBER('Semi Rev'!R105),'Semi Rev'!R105,""),"")</f>
        <v/>
      </c>
    </row>
    <row r="107">
      <c r="A107" s="19">
        <f>'Semi Rev'!$A106</f>
        <v/>
      </c>
      <c r="B107" s="19">
        <f>'Semi Rev'!$B106</f>
        <v/>
      </c>
      <c r="C107" s="30">
        <f>IFERROR(IF(ISNUMBER('Semi Rev'!G106),'Semi Rev'!G106,""),"")</f>
        <v/>
      </c>
      <c r="D107" s="30">
        <f>IFERROR(IF(ISNUMBER('Semi Rev'!H106),'Semi Rev'!H106,""),"")</f>
        <v/>
      </c>
      <c r="E107" s="30">
        <f>IFERROR(IF(ISNUMBER('Semi Rev'!I106),'Semi Rev'!I106,""),"")</f>
        <v/>
      </c>
      <c r="F107" s="30">
        <f>IFERROR(IF(ISNUMBER('Semi Rev'!J106),'Semi Rev'!J106,""),"")</f>
        <v/>
      </c>
      <c r="G107" s="30">
        <f>IFERROR(IF(ISNUMBER('Semi Rev'!K106),'Semi Rev'!K106,""),"")</f>
        <v/>
      </c>
      <c r="H107" s="30">
        <f>IFERROR(IF(ISNUMBER('Semi Rev'!L106),'Semi Rev'!L106,""),"")</f>
        <v/>
      </c>
      <c r="I107" s="30">
        <f>IFERROR(IF(ISNUMBER('Semi Rev'!M106),'Semi Rev'!M106,""),"")</f>
        <v/>
      </c>
      <c r="J107" s="30">
        <f>IFERROR(IF(ISNUMBER('Semi Rev'!N106),'Semi Rev'!N106,""),"")</f>
        <v/>
      </c>
      <c r="K107" s="30">
        <f>IFERROR(IF(ISNUMBER('Semi Rev'!O106),'Semi Rev'!O106,""),"")</f>
        <v/>
      </c>
      <c r="L107" s="30">
        <f>IFERROR(IF(ISNUMBER('Semi Rev'!P106),'Semi Rev'!P106,""),"")</f>
        <v/>
      </c>
      <c r="M107" s="31">
        <f>IFERROR(IF(ISNUMBER('Semi Rev'!Q106),'Semi Rev'!Q106,""),"")</f>
        <v/>
      </c>
      <c r="N107" s="31">
        <f>IFERROR(IF(ISNUMBER('Semi Rev'!R106),'Semi Rev'!R106,""),"")</f>
        <v/>
      </c>
    </row>
    <row r="108">
      <c r="A108" s="19">
        <f>'Semi Rev'!$A107</f>
        <v/>
      </c>
      <c r="B108" s="19">
        <f>'Semi Rev'!$B107</f>
        <v/>
      </c>
      <c r="C108" s="30">
        <f>IFERROR(IF(ISNUMBER('Semi Rev'!G107),'Semi Rev'!G107,""),"")</f>
        <v/>
      </c>
      <c r="D108" s="30">
        <f>IFERROR(IF(ISNUMBER('Semi Rev'!H107),'Semi Rev'!H107,""),"")</f>
        <v/>
      </c>
      <c r="E108" s="30">
        <f>IFERROR(IF(ISNUMBER('Semi Rev'!I107),'Semi Rev'!I107,""),"")</f>
        <v/>
      </c>
      <c r="F108" s="30">
        <f>IFERROR(IF(ISNUMBER('Semi Rev'!J107),'Semi Rev'!J107,""),"")</f>
        <v/>
      </c>
      <c r="G108" s="30">
        <f>IFERROR(IF(ISNUMBER('Semi Rev'!K107),'Semi Rev'!K107,""),"")</f>
        <v/>
      </c>
      <c r="H108" s="30">
        <f>IFERROR(IF(ISNUMBER('Semi Rev'!L107),'Semi Rev'!L107,""),"")</f>
        <v/>
      </c>
      <c r="I108" s="30">
        <f>IFERROR(IF(ISNUMBER('Semi Rev'!M107),'Semi Rev'!M107,""),"")</f>
        <v/>
      </c>
      <c r="J108" s="30">
        <f>IFERROR(IF(ISNUMBER('Semi Rev'!N107),'Semi Rev'!N107,""),"")</f>
        <v/>
      </c>
      <c r="K108" s="30">
        <f>IFERROR(IF(ISNUMBER('Semi Rev'!O107),'Semi Rev'!O107,""),"")</f>
        <v/>
      </c>
      <c r="L108" s="30">
        <f>IFERROR(IF(ISNUMBER('Semi Rev'!P107),'Semi Rev'!P107,""),"")</f>
        <v/>
      </c>
      <c r="M108" s="31">
        <f>IFERROR(IF(ISNUMBER('Semi Rev'!Q107),'Semi Rev'!Q107,""),"")</f>
        <v/>
      </c>
      <c r="N108" s="31">
        <f>IFERROR(IF(ISNUMBER('Semi Rev'!R107),'Semi Rev'!R107,""),"")</f>
        <v/>
      </c>
    </row>
    <row r="109">
      <c r="A109" s="19">
        <f>'Semi Rev'!$A108</f>
        <v/>
      </c>
      <c r="B109" s="19">
        <f>'Semi Rev'!$B108</f>
        <v/>
      </c>
      <c r="C109" s="30">
        <f>IFERROR(IF(ISNUMBER('Semi Rev'!G108),'Semi Rev'!G108,""),"")</f>
        <v/>
      </c>
      <c r="D109" s="30">
        <f>IFERROR(IF(ISNUMBER('Semi Rev'!H108),'Semi Rev'!H108,""),"")</f>
        <v/>
      </c>
      <c r="E109" s="30">
        <f>IFERROR(IF(ISNUMBER('Semi Rev'!I108),'Semi Rev'!I108,""),"")</f>
        <v/>
      </c>
      <c r="F109" s="30">
        <f>IFERROR(IF(ISNUMBER('Semi Rev'!J108),'Semi Rev'!J108,""),"")</f>
        <v/>
      </c>
      <c r="G109" s="30">
        <f>IFERROR(IF(ISNUMBER('Semi Rev'!K108),'Semi Rev'!K108,""),"")</f>
        <v/>
      </c>
      <c r="H109" s="30">
        <f>IFERROR(IF(ISNUMBER('Semi Rev'!L108),'Semi Rev'!L108,""),"")</f>
        <v/>
      </c>
      <c r="I109" s="30">
        <f>IFERROR(IF(ISNUMBER('Semi Rev'!M108),'Semi Rev'!M108,""),"")</f>
        <v/>
      </c>
      <c r="J109" s="30">
        <f>IFERROR(IF(ISNUMBER('Semi Rev'!N108),'Semi Rev'!N108,""),"")</f>
        <v/>
      </c>
      <c r="K109" s="30">
        <f>IFERROR(IF(ISNUMBER('Semi Rev'!O108),'Semi Rev'!O108,""),"")</f>
        <v/>
      </c>
      <c r="L109" s="30">
        <f>IFERROR(IF(ISNUMBER('Semi Rev'!P108),'Semi Rev'!P108,""),"")</f>
        <v/>
      </c>
      <c r="M109" s="31">
        <f>IFERROR(IF(ISNUMBER('Semi Rev'!Q108),'Semi Rev'!Q108,""),"")</f>
        <v/>
      </c>
      <c r="N109" s="31">
        <f>IFERROR(IF(ISNUMBER('Semi Rev'!R108),'Semi Rev'!R108,""),"")</f>
        <v/>
      </c>
    </row>
    <row r="110">
      <c r="A110" s="19">
        <f>'Semi Rev'!$A109</f>
        <v/>
      </c>
      <c r="B110" s="19">
        <f>'Semi Rev'!$B109</f>
        <v/>
      </c>
      <c r="C110" s="30">
        <f>IFERROR(IF(ISNUMBER('Semi Rev'!G109),'Semi Rev'!G109,""),"")</f>
        <v/>
      </c>
      <c r="D110" s="30">
        <f>IFERROR(IF(ISNUMBER('Semi Rev'!H109),'Semi Rev'!H109,""),"")</f>
        <v/>
      </c>
      <c r="E110" s="30">
        <f>IFERROR(IF(ISNUMBER('Semi Rev'!I109),'Semi Rev'!I109,""),"")</f>
        <v/>
      </c>
      <c r="F110" s="30">
        <f>IFERROR(IF(ISNUMBER('Semi Rev'!J109),'Semi Rev'!J109,""),"")</f>
        <v/>
      </c>
      <c r="G110" s="30">
        <f>IFERROR(IF(ISNUMBER('Semi Rev'!K109),'Semi Rev'!K109,""),"")</f>
        <v/>
      </c>
      <c r="H110" s="30">
        <f>IFERROR(IF(ISNUMBER('Semi Rev'!L109),'Semi Rev'!L109,""),"")</f>
        <v/>
      </c>
      <c r="I110" s="30">
        <f>IFERROR(IF(ISNUMBER('Semi Rev'!M109),'Semi Rev'!M109,""),"")</f>
        <v/>
      </c>
      <c r="J110" s="30">
        <f>IFERROR(IF(ISNUMBER('Semi Rev'!N109),'Semi Rev'!N109,""),"")</f>
        <v/>
      </c>
      <c r="K110" s="30">
        <f>IFERROR(IF(ISNUMBER('Semi Rev'!O109),'Semi Rev'!O109,""),"")</f>
        <v/>
      </c>
      <c r="L110" s="30">
        <f>IFERROR(IF(ISNUMBER('Semi Rev'!P109),'Semi Rev'!P109,""),"")</f>
        <v/>
      </c>
      <c r="M110" s="31">
        <f>IFERROR(IF(ISNUMBER('Semi Rev'!Q109),'Semi Rev'!Q109,""),"")</f>
        <v/>
      </c>
      <c r="N110" s="31">
        <f>IFERROR(IF(ISNUMBER('Semi Rev'!R109),'Semi Rev'!R109,""),"")</f>
        <v/>
      </c>
    </row>
    <row r="111">
      <c r="A111" s="19">
        <f>'Semi Rev'!$A110</f>
        <v/>
      </c>
      <c r="B111" s="19">
        <f>'Semi Rev'!$B110</f>
        <v/>
      </c>
      <c r="C111" s="30">
        <f>IFERROR(IF(ISNUMBER('Semi Rev'!G110),'Semi Rev'!G110,""),"")</f>
        <v/>
      </c>
      <c r="D111" s="30">
        <f>IFERROR(IF(ISNUMBER('Semi Rev'!H110),'Semi Rev'!H110,""),"")</f>
        <v/>
      </c>
      <c r="E111" s="30">
        <f>IFERROR(IF(ISNUMBER('Semi Rev'!I110),'Semi Rev'!I110,""),"")</f>
        <v/>
      </c>
      <c r="F111" s="30">
        <f>IFERROR(IF(ISNUMBER('Semi Rev'!J110),'Semi Rev'!J110,""),"")</f>
        <v/>
      </c>
      <c r="G111" s="30">
        <f>IFERROR(IF(ISNUMBER('Semi Rev'!K110),'Semi Rev'!K110,""),"")</f>
        <v/>
      </c>
      <c r="H111" s="30">
        <f>IFERROR(IF(ISNUMBER('Semi Rev'!L110),'Semi Rev'!L110,""),"")</f>
        <v/>
      </c>
      <c r="I111" s="30">
        <f>IFERROR(IF(ISNUMBER('Semi Rev'!M110),'Semi Rev'!M110,""),"")</f>
        <v/>
      </c>
      <c r="J111" s="30">
        <f>IFERROR(IF(ISNUMBER('Semi Rev'!N110),'Semi Rev'!N110,""),"")</f>
        <v/>
      </c>
      <c r="K111" s="30">
        <f>IFERROR(IF(ISNUMBER('Semi Rev'!O110),'Semi Rev'!O110,""),"")</f>
        <v/>
      </c>
      <c r="L111" s="30">
        <f>IFERROR(IF(ISNUMBER('Semi Rev'!P110),'Semi Rev'!P110,""),"")</f>
        <v/>
      </c>
      <c r="M111" s="31">
        <f>IFERROR(IF(ISNUMBER('Semi Rev'!Q110),'Semi Rev'!Q110,""),"")</f>
        <v/>
      </c>
      <c r="N111" s="31">
        <f>IFERROR(IF(ISNUMBER('Semi Rev'!R110),'Semi Rev'!R110,""),"")</f>
        <v/>
      </c>
    </row>
    <row r="112">
      <c r="A112" s="19">
        <f>'Semi Rev'!$A111</f>
        <v/>
      </c>
      <c r="B112" s="19">
        <f>'Semi Rev'!$B111</f>
        <v/>
      </c>
      <c r="C112" s="30">
        <f>IFERROR(IF(ISNUMBER('Semi Rev'!G111),'Semi Rev'!G111,""),"")</f>
        <v/>
      </c>
      <c r="D112" s="30">
        <f>IFERROR(IF(ISNUMBER('Semi Rev'!H111),'Semi Rev'!H111,""),"")</f>
        <v/>
      </c>
      <c r="E112" s="30">
        <f>IFERROR(IF(ISNUMBER('Semi Rev'!I111),'Semi Rev'!I111,""),"")</f>
        <v/>
      </c>
      <c r="F112" s="30">
        <f>IFERROR(IF(ISNUMBER('Semi Rev'!J111),'Semi Rev'!J111,""),"")</f>
        <v/>
      </c>
      <c r="G112" s="30">
        <f>IFERROR(IF(ISNUMBER('Semi Rev'!K111),'Semi Rev'!K111,""),"")</f>
        <v/>
      </c>
      <c r="H112" s="30">
        <f>IFERROR(IF(ISNUMBER('Semi Rev'!L111),'Semi Rev'!L111,""),"")</f>
        <v/>
      </c>
      <c r="I112" s="30">
        <f>IFERROR(IF(ISNUMBER('Semi Rev'!M111),'Semi Rev'!M111,""),"")</f>
        <v/>
      </c>
      <c r="J112" s="30">
        <f>IFERROR(IF(ISNUMBER('Semi Rev'!N111),'Semi Rev'!N111,""),"")</f>
        <v/>
      </c>
      <c r="K112" s="30">
        <f>IFERROR(IF(ISNUMBER('Semi Rev'!O111),'Semi Rev'!O111,""),"")</f>
        <v/>
      </c>
      <c r="L112" s="30">
        <f>IFERROR(IF(ISNUMBER('Semi Rev'!P111),'Semi Rev'!P111,""),"")</f>
        <v/>
      </c>
      <c r="M112" s="31">
        <f>IFERROR(IF(ISNUMBER('Semi Rev'!Q111),'Semi Rev'!Q111,""),"")</f>
        <v/>
      </c>
      <c r="N112" s="31">
        <f>IFERROR(IF(ISNUMBER('Semi Rev'!R111),'Semi Rev'!R111,""),"")</f>
        <v/>
      </c>
    </row>
    <row r="113">
      <c r="A113" s="19">
        <f>'Semi Rev'!$A112</f>
        <v/>
      </c>
      <c r="B113" s="19">
        <f>'Semi Rev'!$B112</f>
        <v/>
      </c>
      <c r="C113" s="30">
        <f>IFERROR(IF(ISNUMBER('Semi Rev'!G112),'Semi Rev'!G112,""),"")</f>
        <v/>
      </c>
      <c r="D113" s="30">
        <f>IFERROR(IF(ISNUMBER('Semi Rev'!H112),'Semi Rev'!H112,""),"")</f>
        <v/>
      </c>
      <c r="E113" s="30">
        <f>IFERROR(IF(ISNUMBER('Semi Rev'!I112),'Semi Rev'!I112,""),"")</f>
        <v/>
      </c>
      <c r="F113" s="30">
        <f>IFERROR(IF(ISNUMBER('Semi Rev'!J112),'Semi Rev'!J112,""),"")</f>
        <v/>
      </c>
      <c r="G113" s="30">
        <f>IFERROR(IF(ISNUMBER('Semi Rev'!K112),'Semi Rev'!K112,""),"")</f>
        <v/>
      </c>
      <c r="H113" s="30">
        <f>IFERROR(IF(ISNUMBER('Semi Rev'!L112),'Semi Rev'!L112,""),"")</f>
        <v/>
      </c>
      <c r="I113" s="30">
        <f>IFERROR(IF(ISNUMBER('Semi Rev'!M112),'Semi Rev'!M112,""),"")</f>
        <v/>
      </c>
      <c r="J113" s="30">
        <f>IFERROR(IF(ISNUMBER('Semi Rev'!N112),'Semi Rev'!N112,""),"")</f>
        <v/>
      </c>
      <c r="K113" s="30">
        <f>IFERROR(IF(ISNUMBER('Semi Rev'!O112),'Semi Rev'!O112,""),"")</f>
        <v/>
      </c>
      <c r="L113" s="30">
        <f>IFERROR(IF(ISNUMBER('Semi Rev'!P112),'Semi Rev'!P112,""),"")</f>
        <v/>
      </c>
      <c r="M113" s="31">
        <f>IFERROR(IF(ISNUMBER('Semi Rev'!Q112),'Semi Rev'!Q112,""),"")</f>
        <v/>
      </c>
      <c r="N113" s="31">
        <f>IFERROR(IF(ISNUMBER('Semi Rev'!R112),'Semi Rev'!R112,""),"")</f>
        <v/>
      </c>
    </row>
    <row r="114">
      <c r="A114" s="19">
        <f>'Semi Rev'!$A113</f>
        <v/>
      </c>
      <c r="B114" s="19">
        <f>'Semi Rev'!$B113</f>
        <v/>
      </c>
      <c r="C114" s="30">
        <f>IFERROR(IF(ISNUMBER('Semi Rev'!G113),'Semi Rev'!G113,""),"")</f>
        <v/>
      </c>
      <c r="D114" s="30">
        <f>IFERROR(IF(ISNUMBER('Semi Rev'!H113),'Semi Rev'!H113,""),"")</f>
        <v/>
      </c>
      <c r="E114" s="30">
        <f>IFERROR(IF(ISNUMBER('Semi Rev'!I113),'Semi Rev'!I113,""),"")</f>
        <v/>
      </c>
      <c r="F114" s="30">
        <f>IFERROR(IF(ISNUMBER('Semi Rev'!J113),'Semi Rev'!J113,""),"")</f>
        <v/>
      </c>
      <c r="G114" s="30">
        <f>IFERROR(IF(ISNUMBER('Semi Rev'!K113),'Semi Rev'!K113,""),"")</f>
        <v/>
      </c>
      <c r="H114" s="30">
        <f>IFERROR(IF(ISNUMBER('Semi Rev'!L113),'Semi Rev'!L113,""),"")</f>
        <v/>
      </c>
      <c r="I114" s="30">
        <f>IFERROR(IF(ISNUMBER('Semi Rev'!M113),'Semi Rev'!M113,""),"")</f>
        <v/>
      </c>
      <c r="J114" s="30">
        <f>IFERROR(IF(ISNUMBER('Semi Rev'!N113),'Semi Rev'!N113,""),"")</f>
        <v/>
      </c>
      <c r="K114" s="30">
        <f>IFERROR(IF(ISNUMBER('Semi Rev'!O113),'Semi Rev'!O113,""),"")</f>
        <v/>
      </c>
      <c r="L114" s="30">
        <f>IFERROR(IF(ISNUMBER('Semi Rev'!P113),'Semi Rev'!P113,""),"")</f>
        <v/>
      </c>
      <c r="M114" s="31">
        <f>IFERROR(IF(ISNUMBER('Semi Rev'!Q113),'Semi Rev'!Q113,""),"")</f>
        <v/>
      </c>
      <c r="N114" s="31">
        <f>IFERROR(IF(ISNUMBER('Semi Rev'!R113),'Semi Rev'!R113,""),"")</f>
        <v/>
      </c>
    </row>
    <row r="115">
      <c r="A115" s="19">
        <f>'Semi Rev'!$A114</f>
        <v/>
      </c>
      <c r="B115" s="19">
        <f>'Semi Rev'!$B114</f>
        <v/>
      </c>
      <c r="C115" s="30">
        <f>IFERROR(IF(ISNUMBER('Semi Rev'!G114),'Semi Rev'!G114,""),"")</f>
        <v/>
      </c>
      <c r="D115" s="30">
        <f>IFERROR(IF(ISNUMBER('Semi Rev'!H114),'Semi Rev'!H114,""),"")</f>
        <v/>
      </c>
      <c r="E115" s="30">
        <f>IFERROR(IF(ISNUMBER('Semi Rev'!I114),'Semi Rev'!I114,""),"")</f>
        <v/>
      </c>
      <c r="F115" s="30">
        <f>IFERROR(IF(ISNUMBER('Semi Rev'!J114),'Semi Rev'!J114,""),"")</f>
        <v/>
      </c>
      <c r="G115" s="30">
        <f>IFERROR(IF(ISNUMBER('Semi Rev'!K114),'Semi Rev'!K114,""),"")</f>
        <v/>
      </c>
      <c r="H115" s="30">
        <f>IFERROR(IF(ISNUMBER('Semi Rev'!L114),'Semi Rev'!L114,""),"")</f>
        <v/>
      </c>
      <c r="I115" s="30">
        <f>IFERROR(IF(ISNUMBER('Semi Rev'!M114),'Semi Rev'!M114,""),"")</f>
        <v/>
      </c>
      <c r="J115" s="30">
        <f>IFERROR(IF(ISNUMBER('Semi Rev'!N114),'Semi Rev'!N114,""),"")</f>
        <v/>
      </c>
      <c r="K115" s="30">
        <f>IFERROR(IF(ISNUMBER('Semi Rev'!O114),'Semi Rev'!O114,""),"")</f>
        <v/>
      </c>
      <c r="L115" s="30">
        <f>IFERROR(IF(ISNUMBER('Semi Rev'!P114),'Semi Rev'!P114,""),"")</f>
        <v/>
      </c>
      <c r="M115" s="31">
        <f>IFERROR(IF(ISNUMBER('Semi Rev'!Q114),'Semi Rev'!Q114,""),"")</f>
        <v/>
      </c>
      <c r="N115" s="31">
        <f>IFERROR(IF(ISNUMBER('Semi Rev'!R114),'Semi Rev'!R114,""),"")</f>
        <v/>
      </c>
    </row>
    <row r="116">
      <c r="A116" s="19">
        <f>'Semi Rev'!$A115</f>
        <v/>
      </c>
      <c r="B116" s="19">
        <f>'Semi Rev'!$B115</f>
        <v/>
      </c>
      <c r="C116" s="30">
        <f>IFERROR(IF(ISNUMBER('Semi Rev'!G115),'Semi Rev'!G115,""),"")</f>
        <v/>
      </c>
      <c r="D116" s="30">
        <f>IFERROR(IF(ISNUMBER('Semi Rev'!H115),'Semi Rev'!H115,""),"")</f>
        <v/>
      </c>
      <c r="E116" s="30">
        <f>IFERROR(IF(ISNUMBER('Semi Rev'!I115),'Semi Rev'!I115,""),"")</f>
        <v/>
      </c>
      <c r="F116" s="30">
        <f>IFERROR(IF(ISNUMBER('Semi Rev'!J115),'Semi Rev'!J115,""),"")</f>
        <v/>
      </c>
      <c r="G116" s="30">
        <f>IFERROR(IF(ISNUMBER('Semi Rev'!K115),'Semi Rev'!K115,""),"")</f>
        <v/>
      </c>
      <c r="H116" s="30">
        <f>IFERROR(IF(ISNUMBER('Semi Rev'!L115),'Semi Rev'!L115,""),"")</f>
        <v/>
      </c>
      <c r="I116" s="30">
        <f>IFERROR(IF(ISNUMBER('Semi Rev'!M115),'Semi Rev'!M115,""),"")</f>
        <v/>
      </c>
      <c r="J116" s="30">
        <f>IFERROR(IF(ISNUMBER('Semi Rev'!N115),'Semi Rev'!N115,""),"")</f>
        <v/>
      </c>
      <c r="K116" s="30">
        <f>IFERROR(IF(ISNUMBER('Semi Rev'!O115),'Semi Rev'!O115,""),"")</f>
        <v/>
      </c>
      <c r="L116" s="30">
        <f>IFERROR(IF(ISNUMBER('Semi Rev'!P115),'Semi Rev'!P115,""),"")</f>
        <v/>
      </c>
      <c r="M116" s="31">
        <f>IFERROR(IF(ISNUMBER('Semi Rev'!Q115),'Semi Rev'!Q115,""),"")</f>
        <v/>
      </c>
      <c r="N116" s="31">
        <f>IFERROR(IF(ISNUMBER('Semi Rev'!R115),'Semi Rev'!R115,""),"")</f>
        <v/>
      </c>
    </row>
    <row r="117">
      <c r="A117" s="19">
        <f>'Semi Rev'!$A116</f>
        <v/>
      </c>
      <c r="B117" s="19">
        <f>'Semi Rev'!$B116</f>
        <v/>
      </c>
      <c r="C117" s="30">
        <f>IFERROR(IF(ISNUMBER('Semi Rev'!G116),'Semi Rev'!G116,""),"")</f>
        <v/>
      </c>
      <c r="D117" s="30">
        <f>IFERROR(IF(ISNUMBER('Semi Rev'!H116),'Semi Rev'!H116,""),"")</f>
        <v/>
      </c>
      <c r="E117" s="30">
        <f>IFERROR(IF(ISNUMBER('Semi Rev'!I116),'Semi Rev'!I116,""),"")</f>
        <v/>
      </c>
      <c r="F117" s="30">
        <f>IFERROR(IF(ISNUMBER('Semi Rev'!J116),'Semi Rev'!J116,""),"")</f>
        <v/>
      </c>
      <c r="G117" s="30">
        <f>IFERROR(IF(ISNUMBER('Semi Rev'!K116),'Semi Rev'!K116,""),"")</f>
        <v/>
      </c>
      <c r="H117" s="30">
        <f>IFERROR(IF(ISNUMBER('Semi Rev'!L116),'Semi Rev'!L116,""),"")</f>
        <v/>
      </c>
      <c r="I117" s="30">
        <f>IFERROR(IF(ISNUMBER('Semi Rev'!M116),'Semi Rev'!M116,""),"")</f>
        <v/>
      </c>
      <c r="J117" s="30">
        <f>IFERROR(IF(ISNUMBER('Semi Rev'!N116),'Semi Rev'!N116,""),"")</f>
        <v/>
      </c>
      <c r="K117" s="30">
        <f>IFERROR(IF(ISNUMBER('Semi Rev'!O116),'Semi Rev'!O116,""),"")</f>
        <v/>
      </c>
      <c r="L117" s="30">
        <f>IFERROR(IF(ISNUMBER('Semi Rev'!P116),'Semi Rev'!P116,""),"")</f>
        <v/>
      </c>
      <c r="M117" s="31">
        <f>IFERROR(IF(ISNUMBER('Semi Rev'!Q116),'Semi Rev'!Q116,""),"")</f>
        <v/>
      </c>
      <c r="N117" s="31">
        <f>IFERROR(IF(ISNUMBER('Semi Rev'!R116),'Semi Rev'!R116,""),"")</f>
        <v/>
      </c>
    </row>
    <row r="118">
      <c r="A118" s="19">
        <f>'Semi Rev'!$A117</f>
        <v/>
      </c>
      <c r="B118" s="19">
        <f>'Semi Rev'!$B117</f>
        <v/>
      </c>
      <c r="C118" s="30">
        <f>IFERROR(IF(ISNUMBER('Semi Rev'!G117),'Semi Rev'!G117,""),"")</f>
        <v/>
      </c>
      <c r="D118" s="30">
        <f>IFERROR(IF(ISNUMBER('Semi Rev'!H117),'Semi Rev'!H117,""),"")</f>
        <v/>
      </c>
      <c r="E118" s="30">
        <f>IFERROR(IF(ISNUMBER('Semi Rev'!I117),'Semi Rev'!I117,""),"")</f>
        <v/>
      </c>
      <c r="F118" s="30">
        <f>IFERROR(IF(ISNUMBER('Semi Rev'!J117),'Semi Rev'!J117,""),"")</f>
        <v/>
      </c>
      <c r="G118" s="30">
        <f>IFERROR(IF(ISNUMBER('Semi Rev'!K117),'Semi Rev'!K117,""),"")</f>
        <v/>
      </c>
      <c r="H118" s="30">
        <f>IFERROR(IF(ISNUMBER('Semi Rev'!L117),'Semi Rev'!L117,""),"")</f>
        <v/>
      </c>
      <c r="I118" s="30">
        <f>IFERROR(IF(ISNUMBER('Semi Rev'!M117),'Semi Rev'!M117,""),"")</f>
        <v/>
      </c>
      <c r="J118" s="30">
        <f>IFERROR(IF(ISNUMBER('Semi Rev'!N117),'Semi Rev'!N117,""),"")</f>
        <v/>
      </c>
      <c r="K118" s="30">
        <f>IFERROR(IF(ISNUMBER('Semi Rev'!O117),'Semi Rev'!O117,""),"")</f>
        <v/>
      </c>
      <c r="L118" s="30">
        <f>IFERROR(IF(ISNUMBER('Semi Rev'!P117),'Semi Rev'!P117,""),"")</f>
        <v/>
      </c>
      <c r="M118" s="31">
        <f>IFERROR(IF(ISNUMBER('Semi Rev'!Q117),'Semi Rev'!Q117,""),"")</f>
        <v/>
      </c>
      <c r="N118" s="31">
        <f>IFERROR(IF(ISNUMBER('Semi Rev'!R117),'Semi Rev'!R117,""),"")</f>
        <v/>
      </c>
    </row>
    <row r="119">
      <c r="A119" s="19">
        <f>'Semi Rev'!$A118</f>
        <v/>
      </c>
      <c r="B119" s="19">
        <f>'Semi Rev'!$B118</f>
        <v/>
      </c>
      <c r="C119" s="30">
        <f>IFERROR(IF(ISNUMBER('Semi Rev'!G118),'Semi Rev'!G118,""),"")</f>
        <v/>
      </c>
      <c r="D119" s="30">
        <f>IFERROR(IF(ISNUMBER('Semi Rev'!H118),'Semi Rev'!H118,""),"")</f>
        <v/>
      </c>
      <c r="E119" s="30">
        <f>IFERROR(IF(ISNUMBER('Semi Rev'!I118),'Semi Rev'!I118,""),"")</f>
        <v/>
      </c>
      <c r="F119" s="30">
        <f>IFERROR(IF(ISNUMBER('Semi Rev'!J118),'Semi Rev'!J118,""),"")</f>
        <v/>
      </c>
      <c r="G119" s="30">
        <f>IFERROR(IF(ISNUMBER('Semi Rev'!K118),'Semi Rev'!K118,""),"")</f>
        <v/>
      </c>
      <c r="H119" s="30">
        <f>IFERROR(IF(ISNUMBER('Semi Rev'!L118),'Semi Rev'!L118,""),"")</f>
        <v/>
      </c>
      <c r="I119" s="30">
        <f>IFERROR(IF(ISNUMBER('Semi Rev'!M118),'Semi Rev'!M118,""),"")</f>
        <v/>
      </c>
      <c r="J119" s="30">
        <f>IFERROR(IF(ISNUMBER('Semi Rev'!N118),'Semi Rev'!N118,""),"")</f>
        <v/>
      </c>
      <c r="K119" s="30">
        <f>IFERROR(IF(ISNUMBER('Semi Rev'!O118),'Semi Rev'!O118,""),"")</f>
        <v/>
      </c>
      <c r="L119" s="30">
        <f>IFERROR(IF(ISNUMBER('Semi Rev'!P118),'Semi Rev'!P118,""),"")</f>
        <v/>
      </c>
      <c r="M119" s="31">
        <f>IFERROR(IF(ISNUMBER('Semi Rev'!Q118),'Semi Rev'!Q118,""),"")</f>
        <v/>
      </c>
      <c r="N119" s="31">
        <f>IFERROR(IF(ISNUMBER('Semi Rev'!R118),'Semi Rev'!R118,""),"")</f>
        <v/>
      </c>
    </row>
    <row r="120">
      <c r="A120" s="19">
        <f>'Semi Rev'!$A119</f>
        <v/>
      </c>
      <c r="B120" s="19">
        <f>'Semi Rev'!$B119</f>
        <v/>
      </c>
      <c r="C120" s="30">
        <f>IFERROR(IF(ISNUMBER('Semi Rev'!G119),'Semi Rev'!G119,""),"")</f>
        <v/>
      </c>
      <c r="D120" s="30">
        <f>IFERROR(IF(ISNUMBER('Semi Rev'!H119),'Semi Rev'!H119,""),"")</f>
        <v/>
      </c>
      <c r="E120" s="30">
        <f>IFERROR(IF(ISNUMBER('Semi Rev'!I119),'Semi Rev'!I119,""),"")</f>
        <v/>
      </c>
      <c r="F120" s="30">
        <f>IFERROR(IF(ISNUMBER('Semi Rev'!J119),'Semi Rev'!J119,""),"")</f>
        <v/>
      </c>
      <c r="G120" s="30">
        <f>IFERROR(IF(ISNUMBER('Semi Rev'!K119),'Semi Rev'!K119,""),"")</f>
        <v/>
      </c>
      <c r="H120" s="30">
        <f>IFERROR(IF(ISNUMBER('Semi Rev'!L119),'Semi Rev'!L119,""),"")</f>
        <v/>
      </c>
      <c r="I120" s="30">
        <f>IFERROR(IF(ISNUMBER('Semi Rev'!M119),'Semi Rev'!M119,""),"")</f>
        <v/>
      </c>
      <c r="J120" s="30">
        <f>IFERROR(IF(ISNUMBER('Semi Rev'!N119),'Semi Rev'!N119,""),"")</f>
        <v/>
      </c>
      <c r="K120" s="30">
        <f>IFERROR(IF(ISNUMBER('Semi Rev'!O119),'Semi Rev'!O119,""),"")</f>
        <v/>
      </c>
      <c r="L120" s="30">
        <f>IFERROR(IF(ISNUMBER('Semi Rev'!P119),'Semi Rev'!P119,""),"")</f>
        <v/>
      </c>
      <c r="M120" s="31">
        <f>IFERROR(IF(ISNUMBER('Semi Rev'!Q119),'Semi Rev'!Q119,""),"")</f>
        <v/>
      </c>
      <c r="N120" s="31">
        <f>IFERROR(IF(ISNUMBER('Semi Rev'!R119),'Semi Rev'!R119,""),"")</f>
        <v/>
      </c>
    </row>
    <row r="121">
      <c r="A121" s="19">
        <f>'Semi Rev'!$A120</f>
        <v/>
      </c>
      <c r="B121" s="19">
        <f>'Semi Rev'!$B120</f>
        <v/>
      </c>
      <c r="C121" s="30">
        <f>IFERROR(IF(ISNUMBER('Semi Rev'!G120),'Semi Rev'!G120,""),"")</f>
        <v/>
      </c>
      <c r="D121" s="30">
        <f>IFERROR(IF(ISNUMBER('Semi Rev'!H120),'Semi Rev'!H120,""),"")</f>
        <v/>
      </c>
      <c r="E121" s="30">
        <f>IFERROR(IF(ISNUMBER('Semi Rev'!I120),'Semi Rev'!I120,""),"")</f>
        <v/>
      </c>
      <c r="F121" s="30">
        <f>IFERROR(IF(ISNUMBER('Semi Rev'!J120),'Semi Rev'!J120,""),"")</f>
        <v/>
      </c>
      <c r="G121" s="30">
        <f>IFERROR(IF(ISNUMBER('Semi Rev'!K120),'Semi Rev'!K120,""),"")</f>
        <v/>
      </c>
      <c r="H121" s="30">
        <f>IFERROR(IF(ISNUMBER('Semi Rev'!L120),'Semi Rev'!L120,""),"")</f>
        <v/>
      </c>
      <c r="I121" s="30">
        <f>IFERROR(IF(ISNUMBER('Semi Rev'!M120),'Semi Rev'!M120,""),"")</f>
        <v/>
      </c>
      <c r="J121" s="30">
        <f>IFERROR(IF(ISNUMBER('Semi Rev'!N120),'Semi Rev'!N120,""),"")</f>
        <v/>
      </c>
      <c r="K121" s="30">
        <f>IFERROR(IF(ISNUMBER('Semi Rev'!O120),'Semi Rev'!O120,""),"")</f>
        <v/>
      </c>
      <c r="L121" s="30">
        <f>IFERROR(IF(ISNUMBER('Semi Rev'!P120),'Semi Rev'!P120,""),"")</f>
        <v/>
      </c>
      <c r="M121" s="31">
        <f>IFERROR(IF(ISNUMBER('Semi Rev'!Q120),'Semi Rev'!Q120,""),"")</f>
        <v/>
      </c>
      <c r="N121" s="31">
        <f>IFERROR(IF(ISNUMBER('Semi Rev'!R120),'Semi Rev'!R120,""),"")</f>
        <v/>
      </c>
    </row>
    <row r="122">
      <c r="A122" s="19">
        <f>'Semi Rev'!$A121</f>
        <v/>
      </c>
      <c r="B122" s="19">
        <f>'Semi Rev'!$B121</f>
        <v/>
      </c>
      <c r="C122" s="30">
        <f>IFERROR(IF(ISNUMBER('Semi Rev'!G121),'Semi Rev'!G121,""),"")</f>
        <v/>
      </c>
      <c r="D122" s="30">
        <f>IFERROR(IF(ISNUMBER('Semi Rev'!H121),'Semi Rev'!H121,""),"")</f>
        <v/>
      </c>
      <c r="E122" s="30">
        <f>IFERROR(IF(ISNUMBER('Semi Rev'!I121),'Semi Rev'!I121,""),"")</f>
        <v/>
      </c>
      <c r="F122" s="30">
        <f>IFERROR(IF(ISNUMBER('Semi Rev'!J121),'Semi Rev'!J121,""),"")</f>
        <v/>
      </c>
      <c r="G122" s="30">
        <f>IFERROR(IF(ISNUMBER('Semi Rev'!K121),'Semi Rev'!K121,""),"")</f>
        <v/>
      </c>
      <c r="H122" s="30">
        <f>IFERROR(IF(ISNUMBER('Semi Rev'!L121),'Semi Rev'!L121,""),"")</f>
        <v/>
      </c>
      <c r="I122" s="30">
        <f>IFERROR(IF(ISNUMBER('Semi Rev'!M121),'Semi Rev'!M121,""),"")</f>
        <v/>
      </c>
      <c r="J122" s="30">
        <f>IFERROR(IF(ISNUMBER('Semi Rev'!N121),'Semi Rev'!N121,""),"")</f>
        <v/>
      </c>
      <c r="K122" s="30">
        <f>IFERROR(IF(ISNUMBER('Semi Rev'!O121),'Semi Rev'!O121,""),"")</f>
        <v/>
      </c>
      <c r="L122" s="30">
        <f>IFERROR(IF(ISNUMBER('Semi Rev'!P121),'Semi Rev'!P121,""),"")</f>
        <v/>
      </c>
      <c r="M122" s="31">
        <f>IFERROR(IF(ISNUMBER('Semi Rev'!Q121),'Semi Rev'!Q121,""),"")</f>
        <v/>
      </c>
      <c r="N122" s="31">
        <f>IFERROR(IF(ISNUMBER('Semi Rev'!R121),'Semi Rev'!R121,""),"")</f>
        <v/>
      </c>
    </row>
    <row r="123">
      <c r="A123" s="19">
        <f>'Semi Rev'!$A122</f>
        <v/>
      </c>
      <c r="B123" s="19">
        <f>'Semi Rev'!$B122</f>
        <v/>
      </c>
      <c r="C123" s="30">
        <f>IFERROR(IF(ISNUMBER('Semi Rev'!G122),'Semi Rev'!G122,""),"")</f>
        <v/>
      </c>
      <c r="D123" s="30">
        <f>IFERROR(IF(ISNUMBER('Semi Rev'!H122),'Semi Rev'!H122,""),"")</f>
        <v/>
      </c>
      <c r="E123" s="30">
        <f>IFERROR(IF(ISNUMBER('Semi Rev'!I122),'Semi Rev'!I122,""),"")</f>
        <v/>
      </c>
      <c r="F123" s="30">
        <f>IFERROR(IF(ISNUMBER('Semi Rev'!J122),'Semi Rev'!J122,""),"")</f>
        <v/>
      </c>
      <c r="G123" s="30">
        <f>IFERROR(IF(ISNUMBER('Semi Rev'!K122),'Semi Rev'!K122,""),"")</f>
        <v/>
      </c>
      <c r="H123" s="30">
        <f>IFERROR(IF(ISNUMBER('Semi Rev'!L122),'Semi Rev'!L122,""),"")</f>
        <v/>
      </c>
      <c r="I123" s="30">
        <f>IFERROR(IF(ISNUMBER('Semi Rev'!M122),'Semi Rev'!M122,""),"")</f>
        <v/>
      </c>
      <c r="J123" s="30">
        <f>IFERROR(IF(ISNUMBER('Semi Rev'!N122),'Semi Rev'!N122,""),"")</f>
        <v/>
      </c>
      <c r="K123" s="30">
        <f>IFERROR(IF(ISNUMBER('Semi Rev'!O122),'Semi Rev'!O122,""),"")</f>
        <v/>
      </c>
      <c r="L123" s="30">
        <f>IFERROR(IF(ISNUMBER('Semi Rev'!P122),'Semi Rev'!P122,""),"")</f>
        <v/>
      </c>
      <c r="M123" s="31">
        <f>IFERROR(IF(ISNUMBER('Semi Rev'!Q122),'Semi Rev'!Q122,""),"")</f>
        <v/>
      </c>
      <c r="N123" s="31">
        <f>IFERROR(IF(ISNUMBER('Semi Rev'!R122),'Semi Rev'!R122,""),"")</f>
        <v/>
      </c>
    </row>
    <row r="124">
      <c r="A124" s="19">
        <f>'Semi Rev'!$A123</f>
        <v/>
      </c>
      <c r="B124" s="19">
        <f>'Semi Rev'!$B123</f>
        <v/>
      </c>
      <c r="C124" s="30">
        <f>IFERROR(IF(ISNUMBER('Semi Rev'!G123),'Semi Rev'!G123,""),"")</f>
        <v/>
      </c>
      <c r="D124" s="30">
        <f>IFERROR(IF(ISNUMBER('Semi Rev'!H123),'Semi Rev'!H123,""),"")</f>
        <v/>
      </c>
      <c r="E124" s="30">
        <f>IFERROR(IF(ISNUMBER('Semi Rev'!I123),'Semi Rev'!I123,""),"")</f>
        <v/>
      </c>
      <c r="F124" s="30">
        <f>IFERROR(IF(ISNUMBER('Semi Rev'!J123),'Semi Rev'!J123,""),"")</f>
        <v/>
      </c>
      <c r="G124" s="30">
        <f>IFERROR(IF(ISNUMBER('Semi Rev'!K123),'Semi Rev'!K123,""),"")</f>
        <v/>
      </c>
      <c r="H124" s="30">
        <f>IFERROR(IF(ISNUMBER('Semi Rev'!L123),'Semi Rev'!L123,""),"")</f>
        <v/>
      </c>
      <c r="I124" s="30">
        <f>IFERROR(IF(ISNUMBER('Semi Rev'!M123),'Semi Rev'!M123,""),"")</f>
        <v/>
      </c>
      <c r="J124" s="30">
        <f>IFERROR(IF(ISNUMBER('Semi Rev'!N123),'Semi Rev'!N123,""),"")</f>
        <v/>
      </c>
      <c r="K124" s="30">
        <f>IFERROR(IF(ISNUMBER('Semi Rev'!O123),'Semi Rev'!O123,""),"")</f>
        <v/>
      </c>
      <c r="L124" s="30">
        <f>IFERROR(IF(ISNUMBER('Semi Rev'!P123),'Semi Rev'!P123,""),"")</f>
        <v/>
      </c>
      <c r="M124" s="31">
        <f>IFERROR(IF(ISNUMBER('Semi Rev'!Q123),'Semi Rev'!Q123,""),"")</f>
        <v/>
      </c>
      <c r="N124" s="31">
        <f>IFERROR(IF(ISNUMBER('Semi Rev'!R123),'Semi Rev'!R123,""),"")</f>
        <v/>
      </c>
    </row>
    <row r="125">
      <c r="A125" s="19">
        <f>'Semi Rev'!$A124</f>
        <v/>
      </c>
      <c r="B125" s="19">
        <f>'Semi Rev'!$B124</f>
        <v/>
      </c>
      <c r="C125" s="30">
        <f>IFERROR(IF(ISNUMBER('Semi Rev'!G124),'Semi Rev'!G124,""),"")</f>
        <v/>
      </c>
      <c r="D125" s="30">
        <f>IFERROR(IF(ISNUMBER('Semi Rev'!H124),'Semi Rev'!H124,""),"")</f>
        <v/>
      </c>
      <c r="E125" s="30">
        <f>IFERROR(IF(ISNUMBER('Semi Rev'!I124),'Semi Rev'!I124,""),"")</f>
        <v/>
      </c>
      <c r="F125" s="30">
        <f>IFERROR(IF(ISNUMBER('Semi Rev'!J124),'Semi Rev'!J124,""),"")</f>
        <v/>
      </c>
      <c r="G125" s="30">
        <f>IFERROR(IF(ISNUMBER('Semi Rev'!K124),'Semi Rev'!K124,""),"")</f>
        <v/>
      </c>
      <c r="H125" s="30">
        <f>IFERROR(IF(ISNUMBER('Semi Rev'!L124),'Semi Rev'!L124,""),"")</f>
        <v/>
      </c>
      <c r="I125" s="30">
        <f>IFERROR(IF(ISNUMBER('Semi Rev'!M124),'Semi Rev'!M124,""),"")</f>
        <v/>
      </c>
      <c r="J125" s="30">
        <f>IFERROR(IF(ISNUMBER('Semi Rev'!N124),'Semi Rev'!N124,""),"")</f>
        <v/>
      </c>
      <c r="K125" s="30">
        <f>IFERROR(IF(ISNUMBER('Semi Rev'!O124),'Semi Rev'!O124,""),"")</f>
        <v/>
      </c>
      <c r="L125" s="30">
        <f>IFERROR(IF(ISNUMBER('Semi Rev'!P124),'Semi Rev'!P124,""),"")</f>
        <v/>
      </c>
      <c r="M125" s="31">
        <f>IFERROR(IF(ISNUMBER('Semi Rev'!Q124),'Semi Rev'!Q124,""),"")</f>
        <v/>
      </c>
      <c r="N125" s="31">
        <f>IFERROR(IF(ISNUMBER('Semi Rev'!R124),'Semi Rev'!R124,""),"")</f>
        <v/>
      </c>
    </row>
    <row r="126">
      <c r="A126" s="19">
        <f>'Semi Rev'!$A125</f>
        <v/>
      </c>
      <c r="B126" s="19">
        <f>'Semi Rev'!$B125</f>
        <v/>
      </c>
      <c r="C126" s="30">
        <f>IFERROR(IF(ISNUMBER('Semi Rev'!G125),'Semi Rev'!G125,""),"")</f>
        <v/>
      </c>
      <c r="D126" s="30">
        <f>IFERROR(IF(ISNUMBER('Semi Rev'!H125),'Semi Rev'!H125,""),"")</f>
        <v/>
      </c>
      <c r="E126" s="30">
        <f>IFERROR(IF(ISNUMBER('Semi Rev'!I125),'Semi Rev'!I125,""),"")</f>
        <v/>
      </c>
      <c r="F126" s="30">
        <f>IFERROR(IF(ISNUMBER('Semi Rev'!J125),'Semi Rev'!J125,""),"")</f>
        <v/>
      </c>
      <c r="G126" s="30">
        <f>IFERROR(IF(ISNUMBER('Semi Rev'!K125),'Semi Rev'!K125,""),"")</f>
        <v/>
      </c>
      <c r="H126" s="30">
        <f>IFERROR(IF(ISNUMBER('Semi Rev'!L125),'Semi Rev'!L125,""),"")</f>
        <v/>
      </c>
      <c r="I126" s="30">
        <f>IFERROR(IF(ISNUMBER('Semi Rev'!M125),'Semi Rev'!M125,""),"")</f>
        <v/>
      </c>
      <c r="J126" s="30">
        <f>IFERROR(IF(ISNUMBER('Semi Rev'!N125),'Semi Rev'!N125,""),"")</f>
        <v/>
      </c>
      <c r="K126" s="30">
        <f>IFERROR(IF(ISNUMBER('Semi Rev'!O125),'Semi Rev'!O125,""),"")</f>
        <v/>
      </c>
      <c r="L126" s="30">
        <f>IFERROR(IF(ISNUMBER('Semi Rev'!P125),'Semi Rev'!P125,""),"")</f>
        <v/>
      </c>
      <c r="M126" s="31">
        <f>IFERROR(IF(ISNUMBER('Semi Rev'!Q125),'Semi Rev'!Q125,""),"")</f>
        <v/>
      </c>
      <c r="N126" s="31">
        <f>IFERROR(IF(ISNUMBER('Semi Rev'!R125),'Semi Rev'!R125,""),"")</f>
        <v/>
      </c>
    </row>
    <row r="127">
      <c r="A127" s="19">
        <f>'Semi Rev'!$A126</f>
        <v/>
      </c>
      <c r="B127" s="19">
        <f>'Semi Rev'!$B126</f>
        <v/>
      </c>
      <c r="C127" s="30">
        <f>IFERROR(IF(ISNUMBER('Semi Rev'!G126),'Semi Rev'!G126,""),"")</f>
        <v/>
      </c>
      <c r="D127" s="30">
        <f>IFERROR(IF(ISNUMBER('Semi Rev'!H126),'Semi Rev'!H126,""),"")</f>
        <v/>
      </c>
      <c r="E127" s="30">
        <f>IFERROR(IF(ISNUMBER('Semi Rev'!I126),'Semi Rev'!I126,""),"")</f>
        <v/>
      </c>
      <c r="F127" s="30">
        <f>IFERROR(IF(ISNUMBER('Semi Rev'!J126),'Semi Rev'!J126,""),"")</f>
        <v/>
      </c>
      <c r="G127" s="30">
        <f>IFERROR(IF(ISNUMBER('Semi Rev'!K126),'Semi Rev'!K126,""),"")</f>
        <v/>
      </c>
      <c r="H127" s="30">
        <f>IFERROR(IF(ISNUMBER('Semi Rev'!L126),'Semi Rev'!L126,""),"")</f>
        <v/>
      </c>
      <c r="I127" s="30">
        <f>IFERROR(IF(ISNUMBER('Semi Rev'!M126),'Semi Rev'!M126,""),"")</f>
        <v/>
      </c>
      <c r="J127" s="30">
        <f>IFERROR(IF(ISNUMBER('Semi Rev'!N126),'Semi Rev'!N126,""),"")</f>
        <v/>
      </c>
      <c r="K127" s="30">
        <f>IFERROR(IF(ISNUMBER('Semi Rev'!O126),'Semi Rev'!O126,""),"")</f>
        <v/>
      </c>
      <c r="L127" s="30">
        <f>IFERROR(IF(ISNUMBER('Semi Rev'!P126),'Semi Rev'!P126,""),"")</f>
        <v/>
      </c>
      <c r="M127" s="31">
        <f>IFERROR(IF(ISNUMBER('Semi Rev'!Q126),'Semi Rev'!Q126,""),"")</f>
        <v/>
      </c>
      <c r="N127" s="31">
        <f>IFERROR(IF(ISNUMBER('Semi Rev'!R126),'Semi Rev'!R126,""),"")</f>
        <v/>
      </c>
    </row>
    <row r="128">
      <c r="A128" s="19">
        <f>'Semi Rev'!$A127</f>
        <v/>
      </c>
      <c r="B128" s="19">
        <f>'Semi Rev'!$B127</f>
        <v/>
      </c>
      <c r="C128" s="30">
        <f>IFERROR(IF(ISNUMBER('Semi Rev'!G127),'Semi Rev'!G127,""),"")</f>
        <v/>
      </c>
      <c r="D128" s="30">
        <f>IFERROR(IF(ISNUMBER('Semi Rev'!H127),'Semi Rev'!H127,""),"")</f>
        <v/>
      </c>
      <c r="E128" s="30">
        <f>IFERROR(IF(ISNUMBER('Semi Rev'!I127),'Semi Rev'!I127,""),"")</f>
        <v/>
      </c>
      <c r="F128" s="30">
        <f>IFERROR(IF(ISNUMBER('Semi Rev'!J127),'Semi Rev'!J127,""),"")</f>
        <v/>
      </c>
      <c r="G128" s="30">
        <f>IFERROR(IF(ISNUMBER('Semi Rev'!K127),'Semi Rev'!K127,""),"")</f>
        <v/>
      </c>
      <c r="H128" s="30">
        <f>IFERROR(IF(ISNUMBER('Semi Rev'!L127),'Semi Rev'!L127,""),"")</f>
        <v/>
      </c>
      <c r="I128" s="30">
        <f>IFERROR(IF(ISNUMBER('Semi Rev'!M127),'Semi Rev'!M127,""),"")</f>
        <v/>
      </c>
      <c r="J128" s="30">
        <f>IFERROR(IF(ISNUMBER('Semi Rev'!N127),'Semi Rev'!N127,""),"")</f>
        <v/>
      </c>
      <c r="K128" s="30">
        <f>IFERROR(IF(ISNUMBER('Semi Rev'!O127),'Semi Rev'!O127,""),"")</f>
        <v/>
      </c>
      <c r="L128" s="30">
        <f>IFERROR(IF(ISNUMBER('Semi Rev'!P127),'Semi Rev'!P127,""),"")</f>
        <v/>
      </c>
      <c r="M128" s="31">
        <f>IFERROR(IF(ISNUMBER('Semi Rev'!Q127),'Semi Rev'!Q127,""),"")</f>
        <v/>
      </c>
      <c r="N128" s="31">
        <f>IFERROR(IF(ISNUMBER('Semi Rev'!R127),'Semi Rev'!R127,""),"")</f>
        <v/>
      </c>
    </row>
    <row r="129">
      <c r="A129" s="19">
        <f>'Semi Rev'!$A128</f>
        <v/>
      </c>
      <c r="B129" s="19">
        <f>'Semi Rev'!$B128</f>
        <v/>
      </c>
      <c r="C129" s="30">
        <f>IFERROR(IF(ISNUMBER('Semi Rev'!G128),'Semi Rev'!G128,""),"")</f>
        <v/>
      </c>
      <c r="D129" s="30">
        <f>IFERROR(IF(ISNUMBER('Semi Rev'!H128),'Semi Rev'!H128,""),"")</f>
        <v/>
      </c>
      <c r="E129" s="30">
        <f>IFERROR(IF(ISNUMBER('Semi Rev'!I128),'Semi Rev'!I128,""),"")</f>
        <v/>
      </c>
      <c r="F129" s="30">
        <f>IFERROR(IF(ISNUMBER('Semi Rev'!J128),'Semi Rev'!J128,""),"")</f>
        <v/>
      </c>
      <c r="G129" s="30">
        <f>IFERROR(IF(ISNUMBER('Semi Rev'!K128),'Semi Rev'!K128,""),"")</f>
        <v/>
      </c>
      <c r="H129" s="30">
        <f>IFERROR(IF(ISNUMBER('Semi Rev'!L128),'Semi Rev'!L128,""),"")</f>
        <v/>
      </c>
      <c r="I129" s="30">
        <f>IFERROR(IF(ISNUMBER('Semi Rev'!M128),'Semi Rev'!M128,""),"")</f>
        <v/>
      </c>
      <c r="J129" s="30">
        <f>IFERROR(IF(ISNUMBER('Semi Rev'!N128),'Semi Rev'!N128,""),"")</f>
        <v/>
      </c>
      <c r="K129" s="30">
        <f>IFERROR(IF(ISNUMBER('Semi Rev'!O128),'Semi Rev'!O128,""),"")</f>
        <v/>
      </c>
      <c r="L129" s="30">
        <f>IFERROR(IF(ISNUMBER('Semi Rev'!P128),'Semi Rev'!P128,""),"")</f>
        <v/>
      </c>
      <c r="M129" s="31">
        <f>IFERROR(IF(ISNUMBER('Semi Rev'!Q128),'Semi Rev'!Q128,""),"")</f>
        <v/>
      </c>
      <c r="N129" s="31">
        <f>IFERROR(IF(ISNUMBER('Semi Rev'!R128),'Semi Rev'!R128,""),"")</f>
        <v/>
      </c>
    </row>
    <row r="130">
      <c r="A130" s="19">
        <f>'Semi Rev'!$A129</f>
        <v/>
      </c>
      <c r="B130" s="19">
        <f>'Semi Rev'!$B129</f>
        <v/>
      </c>
      <c r="C130" s="30">
        <f>IFERROR(IF(ISNUMBER('Semi Rev'!G129),'Semi Rev'!G129,""),"")</f>
        <v/>
      </c>
      <c r="D130" s="30">
        <f>IFERROR(IF(ISNUMBER('Semi Rev'!H129),'Semi Rev'!H129,""),"")</f>
        <v/>
      </c>
      <c r="E130" s="30">
        <f>IFERROR(IF(ISNUMBER('Semi Rev'!I129),'Semi Rev'!I129,""),"")</f>
        <v/>
      </c>
      <c r="F130" s="30">
        <f>IFERROR(IF(ISNUMBER('Semi Rev'!J129),'Semi Rev'!J129,""),"")</f>
        <v/>
      </c>
      <c r="G130" s="30">
        <f>IFERROR(IF(ISNUMBER('Semi Rev'!K129),'Semi Rev'!K129,""),"")</f>
        <v/>
      </c>
      <c r="H130" s="30">
        <f>IFERROR(IF(ISNUMBER('Semi Rev'!L129),'Semi Rev'!L129,""),"")</f>
        <v/>
      </c>
      <c r="I130" s="30">
        <f>IFERROR(IF(ISNUMBER('Semi Rev'!M129),'Semi Rev'!M129,""),"")</f>
        <v/>
      </c>
      <c r="J130" s="30">
        <f>IFERROR(IF(ISNUMBER('Semi Rev'!N129),'Semi Rev'!N129,""),"")</f>
        <v/>
      </c>
      <c r="K130" s="30">
        <f>IFERROR(IF(ISNUMBER('Semi Rev'!O129),'Semi Rev'!O129,""),"")</f>
        <v/>
      </c>
      <c r="L130" s="30">
        <f>IFERROR(IF(ISNUMBER('Semi Rev'!P129),'Semi Rev'!P129,""),"")</f>
        <v/>
      </c>
      <c r="M130" s="31">
        <f>IFERROR(IF(ISNUMBER('Semi Rev'!Q129),'Semi Rev'!Q129,""),"")</f>
        <v/>
      </c>
      <c r="N130" s="31">
        <f>IFERROR(IF(ISNUMBER('Semi Rev'!R129),'Semi Rev'!R129,""),"")</f>
        <v/>
      </c>
    </row>
    <row r="131">
      <c r="A131" s="19">
        <f>'Semi Rev'!$A130</f>
        <v/>
      </c>
      <c r="B131" s="19">
        <f>'Semi Rev'!$B130</f>
        <v/>
      </c>
      <c r="C131" s="30">
        <f>IFERROR(IF(ISNUMBER('Semi Rev'!G130),'Semi Rev'!G130,""),"")</f>
        <v/>
      </c>
      <c r="D131" s="30">
        <f>IFERROR(IF(ISNUMBER('Semi Rev'!H130),'Semi Rev'!H130,""),"")</f>
        <v/>
      </c>
      <c r="E131" s="30">
        <f>IFERROR(IF(ISNUMBER('Semi Rev'!I130),'Semi Rev'!I130,""),"")</f>
        <v/>
      </c>
      <c r="F131" s="30">
        <f>IFERROR(IF(ISNUMBER('Semi Rev'!J130),'Semi Rev'!J130,""),"")</f>
        <v/>
      </c>
      <c r="G131" s="30">
        <f>IFERROR(IF(ISNUMBER('Semi Rev'!K130),'Semi Rev'!K130,""),"")</f>
        <v/>
      </c>
      <c r="H131" s="30">
        <f>IFERROR(IF(ISNUMBER('Semi Rev'!L130),'Semi Rev'!L130,""),"")</f>
        <v/>
      </c>
      <c r="I131" s="30">
        <f>IFERROR(IF(ISNUMBER('Semi Rev'!M130),'Semi Rev'!M130,""),"")</f>
        <v/>
      </c>
      <c r="J131" s="30">
        <f>IFERROR(IF(ISNUMBER('Semi Rev'!N130),'Semi Rev'!N130,""),"")</f>
        <v/>
      </c>
      <c r="K131" s="30">
        <f>IFERROR(IF(ISNUMBER('Semi Rev'!O130),'Semi Rev'!O130,""),"")</f>
        <v/>
      </c>
      <c r="L131" s="30">
        <f>IFERROR(IF(ISNUMBER('Semi Rev'!P130),'Semi Rev'!P130,""),"")</f>
        <v/>
      </c>
      <c r="M131" s="31">
        <f>IFERROR(IF(ISNUMBER('Semi Rev'!Q130),'Semi Rev'!Q130,""),"")</f>
        <v/>
      </c>
      <c r="N131" s="31">
        <f>IFERROR(IF(ISNUMBER('Semi Rev'!R130),'Semi Rev'!R130,""),"")</f>
        <v/>
      </c>
    </row>
    <row r="132">
      <c r="A132" s="19">
        <f>'Semi Rev'!$A131</f>
        <v/>
      </c>
      <c r="B132" s="19">
        <f>'Semi Rev'!$B131</f>
        <v/>
      </c>
      <c r="C132" s="30">
        <f>IFERROR(IF(ISNUMBER('Semi Rev'!G131),'Semi Rev'!G131,""),"")</f>
        <v/>
      </c>
      <c r="D132" s="30">
        <f>IFERROR(IF(ISNUMBER('Semi Rev'!H131),'Semi Rev'!H131,""),"")</f>
        <v/>
      </c>
      <c r="E132" s="30">
        <f>IFERROR(IF(ISNUMBER('Semi Rev'!I131),'Semi Rev'!I131,""),"")</f>
        <v/>
      </c>
      <c r="F132" s="30">
        <f>IFERROR(IF(ISNUMBER('Semi Rev'!J131),'Semi Rev'!J131,""),"")</f>
        <v/>
      </c>
      <c r="G132" s="30">
        <f>IFERROR(IF(ISNUMBER('Semi Rev'!K131),'Semi Rev'!K131,""),"")</f>
        <v/>
      </c>
      <c r="H132" s="30">
        <f>IFERROR(IF(ISNUMBER('Semi Rev'!L131),'Semi Rev'!L131,""),"")</f>
        <v/>
      </c>
      <c r="I132" s="30">
        <f>IFERROR(IF(ISNUMBER('Semi Rev'!M131),'Semi Rev'!M131,""),"")</f>
        <v/>
      </c>
      <c r="J132" s="30">
        <f>IFERROR(IF(ISNUMBER('Semi Rev'!N131),'Semi Rev'!N131,""),"")</f>
        <v/>
      </c>
      <c r="K132" s="30">
        <f>IFERROR(IF(ISNUMBER('Semi Rev'!O131),'Semi Rev'!O131,""),"")</f>
        <v/>
      </c>
      <c r="L132" s="30">
        <f>IFERROR(IF(ISNUMBER('Semi Rev'!P131),'Semi Rev'!P131,""),"")</f>
        <v/>
      </c>
      <c r="M132" s="31">
        <f>IFERROR(IF(ISNUMBER('Semi Rev'!Q131),'Semi Rev'!Q131,""),"")</f>
        <v/>
      </c>
      <c r="N132" s="31">
        <f>IFERROR(IF(ISNUMBER('Semi Rev'!R131),'Semi Rev'!R131,""),"")</f>
        <v/>
      </c>
    </row>
    <row r="133">
      <c r="A133" s="19">
        <f>'Semi Rev'!$A132</f>
        <v/>
      </c>
      <c r="B133" s="19">
        <f>'Semi Rev'!$B132</f>
        <v/>
      </c>
      <c r="C133" s="30">
        <f>IFERROR(IF(ISNUMBER('Semi Rev'!G132),'Semi Rev'!G132,""),"")</f>
        <v/>
      </c>
      <c r="D133" s="30">
        <f>IFERROR(IF(ISNUMBER('Semi Rev'!H132),'Semi Rev'!H132,""),"")</f>
        <v/>
      </c>
      <c r="E133" s="30">
        <f>IFERROR(IF(ISNUMBER('Semi Rev'!I132),'Semi Rev'!I132,""),"")</f>
        <v/>
      </c>
      <c r="F133" s="30">
        <f>IFERROR(IF(ISNUMBER('Semi Rev'!J132),'Semi Rev'!J132,""),"")</f>
        <v/>
      </c>
      <c r="G133" s="30">
        <f>IFERROR(IF(ISNUMBER('Semi Rev'!K132),'Semi Rev'!K132,""),"")</f>
        <v/>
      </c>
      <c r="H133" s="30">
        <f>IFERROR(IF(ISNUMBER('Semi Rev'!L132),'Semi Rev'!L132,""),"")</f>
        <v/>
      </c>
      <c r="I133" s="30">
        <f>IFERROR(IF(ISNUMBER('Semi Rev'!M132),'Semi Rev'!M132,""),"")</f>
        <v/>
      </c>
      <c r="J133" s="30">
        <f>IFERROR(IF(ISNUMBER('Semi Rev'!N132),'Semi Rev'!N132,""),"")</f>
        <v/>
      </c>
      <c r="K133" s="30">
        <f>IFERROR(IF(ISNUMBER('Semi Rev'!O132),'Semi Rev'!O132,""),"")</f>
        <v/>
      </c>
      <c r="L133" s="30">
        <f>IFERROR(IF(ISNUMBER('Semi Rev'!P132),'Semi Rev'!P132,""),"")</f>
        <v/>
      </c>
      <c r="M133" s="31">
        <f>IFERROR(IF(ISNUMBER('Semi Rev'!Q132),'Semi Rev'!Q132,""),"")</f>
        <v/>
      </c>
      <c r="N133" s="31">
        <f>IFERROR(IF(ISNUMBER('Semi Rev'!R132),'Semi Rev'!R132,""),"")</f>
        <v/>
      </c>
    </row>
    <row r="134">
      <c r="A134" s="19">
        <f>'Semi Rev'!$A133</f>
        <v/>
      </c>
      <c r="B134" s="19">
        <f>'Semi Rev'!$B133</f>
        <v/>
      </c>
      <c r="C134" s="30">
        <f>IFERROR(IF(ISNUMBER('Semi Rev'!G133),'Semi Rev'!G133,""),"")</f>
        <v/>
      </c>
      <c r="D134" s="30">
        <f>IFERROR(IF(ISNUMBER('Semi Rev'!H133),'Semi Rev'!H133,""),"")</f>
        <v/>
      </c>
      <c r="E134" s="30">
        <f>IFERROR(IF(ISNUMBER('Semi Rev'!I133),'Semi Rev'!I133,""),"")</f>
        <v/>
      </c>
      <c r="F134" s="30">
        <f>IFERROR(IF(ISNUMBER('Semi Rev'!J133),'Semi Rev'!J133,""),"")</f>
        <v/>
      </c>
      <c r="G134" s="30">
        <f>IFERROR(IF(ISNUMBER('Semi Rev'!K133),'Semi Rev'!K133,""),"")</f>
        <v/>
      </c>
      <c r="H134" s="30">
        <f>IFERROR(IF(ISNUMBER('Semi Rev'!L133),'Semi Rev'!L133,""),"")</f>
        <v/>
      </c>
      <c r="I134" s="30">
        <f>IFERROR(IF(ISNUMBER('Semi Rev'!M133),'Semi Rev'!M133,""),"")</f>
        <v/>
      </c>
      <c r="J134" s="30">
        <f>IFERROR(IF(ISNUMBER('Semi Rev'!N133),'Semi Rev'!N133,""),"")</f>
        <v/>
      </c>
      <c r="K134" s="30">
        <f>IFERROR(IF(ISNUMBER('Semi Rev'!O133),'Semi Rev'!O133,""),"")</f>
        <v/>
      </c>
      <c r="L134" s="30">
        <f>IFERROR(IF(ISNUMBER('Semi Rev'!P133),'Semi Rev'!P133,""),"")</f>
        <v/>
      </c>
      <c r="M134" s="31">
        <f>IFERROR(IF(ISNUMBER('Semi Rev'!Q133),'Semi Rev'!Q133,""),"")</f>
        <v/>
      </c>
      <c r="N134" s="31">
        <f>IFERROR(IF(ISNUMBER('Semi Rev'!R133),'Semi Rev'!R133,""),"")</f>
        <v/>
      </c>
    </row>
    <row r="135">
      <c r="A135" s="19">
        <f>'Semi Rev'!$A134</f>
        <v/>
      </c>
      <c r="B135" s="19">
        <f>'Semi Rev'!$B134</f>
        <v/>
      </c>
      <c r="C135" s="30">
        <f>IFERROR(IF(ISNUMBER('Semi Rev'!G134),'Semi Rev'!G134,""),"")</f>
        <v/>
      </c>
      <c r="D135" s="30">
        <f>IFERROR(IF(ISNUMBER('Semi Rev'!H134),'Semi Rev'!H134,""),"")</f>
        <v/>
      </c>
      <c r="E135" s="30">
        <f>IFERROR(IF(ISNUMBER('Semi Rev'!I134),'Semi Rev'!I134,""),"")</f>
        <v/>
      </c>
      <c r="F135" s="30">
        <f>IFERROR(IF(ISNUMBER('Semi Rev'!J134),'Semi Rev'!J134,""),"")</f>
        <v/>
      </c>
      <c r="G135" s="30">
        <f>IFERROR(IF(ISNUMBER('Semi Rev'!K134),'Semi Rev'!K134,""),"")</f>
        <v/>
      </c>
      <c r="H135" s="30">
        <f>IFERROR(IF(ISNUMBER('Semi Rev'!L134),'Semi Rev'!L134,""),"")</f>
        <v/>
      </c>
      <c r="I135" s="30">
        <f>IFERROR(IF(ISNUMBER('Semi Rev'!M134),'Semi Rev'!M134,""),"")</f>
        <v/>
      </c>
      <c r="J135" s="30">
        <f>IFERROR(IF(ISNUMBER('Semi Rev'!N134),'Semi Rev'!N134,""),"")</f>
        <v/>
      </c>
      <c r="K135" s="30">
        <f>IFERROR(IF(ISNUMBER('Semi Rev'!O134),'Semi Rev'!O134,""),"")</f>
        <v/>
      </c>
      <c r="L135" s="30">
        <f>IFERROR(IF(ISNUMBER('Semi Rev'!P134),'Semi Rev'!P134,""),"")</f>
        <v/>
      </c>
      <c r="M135" s="31">
        <f>IFERROR(IF(ISNUMBER('Semi Rev'!Q134),'Semi Rev'!Q134,""),"")</f>
        <v/>
      </c>
      <c r="N135" s="31">
        <f>IFERROR(IF(ISNUMBER('Semi Rev'!R134),'Semi Rev'!R134,""),"")</f>
        <v/>
      </c>
    </row>
    <row r="136">
      <c r="A136" s="19">
        <f>'Semi Rev'!$A135</f>
        <v/>
      </c>
      <c r="B136" s="19">
        <f>'Semi Rev'!$B135</f>
        <v/>
      </c>
      <c r="C136" s="30">
        <f>IFERROR(IF(ISNUMBER('Semi Rev'!G135),'Semi Rev'!G135,""),"")</f>
        <v/>
      </c>
      <c r="D136" s="30">
        <f>IFERROR(IF(ISNUMBER('Semi Rev'!H135),'Semi Rev'!H135,""),"")</f>
        <v/>
      </c>
      <c r="E136" s="30">
        <f>IFERROR(IF(ISNUMBER('Semi Rev'!I135),'Semi Rev'!I135,""),"")</f>
        <v/>
      </c>
      <c r="F136" s="30">
        <f>IFERROR(IF(ISNUMBER('Semi Rev'!J135),'Semi Rev'!J135,""),"")</f>
        <v/>
      </c>
      <c r="G136" s="30">
        <f>IFERROR(IF(ISNUMBER('Semi Rev'!K135),'Semi Rev'!K135,""),"")</f>
        <v/>
      </c>
      <c r="H136" s="30">
        <f>IFERROR(IF(ISNUMBER('Semi Rev'!L135),'Semi Rev'!L135,""),"")</f>
        <v/>
      </c>
      <c r="I136" s="30">
        <f>IFERROR(IF(ISNUMBER('Semi Rev'!M135),'Semi Rev'!M135,""),"")</f>
        <v/>
      </c>
      <c r="J136" s="30">
        <f>IFERROR(IF(ISNUMBER('Semi Rev'!N135),'Semi Rev'!N135,""),"")</f>
        <v/>
      </c>
      <c r="K136" s="30">
        <f>IFERROR(IF(ISNUMBER('Semi Rev'!O135),'Semi Rev'!O135,""),"")</f>
        <v/>
      </c>
      <c r="L136" s="30">
        <f>IFERROR(IF(ISNUMBER('Semi Rev'!P135),'Semi Rev'!P135,""),"")</f>
        <v/>
      </c>
      <c r="M136" s="31">
        <f>IFERROR(IF(ISNUMBER('Semi Rev'!Q135),'Semi Rev'!Q135,""),"")</f>
        <v/>
      </c>
      <c r="N136" s="31">
        <f>IFERROR(IF(ISNUMBER('Semi Rev'!R135),'Semi Rev'!R135,""),"")</f>
        <v/>
      </c>
    </row>
    <row r="137">
      <c r="A137" s="19">
        <f>'Semi Rev'!$A136</f>
        <v/>
      </c>
      <c r="B137" s="19">
        <f>'Semi Rev'!$B136</f>
        <v/>
      </c>
      <c r="C137" s="30">
        <f>IFERROR(IF(ISNUMBER('Semi Rev'!G136),'Semi Rev'!G136,""),"")</f>
        <v/>
      </c>
      <c r="D137" s="30">
        <f>IFERROR(IF(ISNUMBER('Semi Rev'!H136),'Semi Rev'!H136,""),"")</f>
        <v/>
      </c>
      <c r="E137" s="30">
        <f>IFERROR(IF(ISNUMBER('Semi Rev'!I136),'Semi Rev'!I136,""),"")</f>
        <v/>
      </c>
      <c r="F137" s="30">
        <f>IFERROR(IF(ISNUMBER('Semi Rev'!J136),'Semi Rev'!J136,""),"")</f>
        <v/>
      </c>
      <c r="G137" s="30">
        <f>IFERROR(IF(ISNUMBER('Semi Rev'!K136),'Semi Rev'!K136,""),"")</f>
        <v/>
      </c>
      <c r="H137" s="30">
        <f>IFERROR(IF(ISNUMBER('Semi Rev'!L136),'Semi Rev'!L136,""),"")</f>
        <v/>
      </c>
      <c r="I137" s="30">
        <f>IFERROR(IF(ISNUMBER('Semi Rev'!M136),'Semi Rev'!M136,""),"")</f>
        <v/>
      </c>
      <c r="J137" s="30">
        <f>IFERROR(IF(ISNUMBER('Semi Rev'!N136),'Semi Rev'!N136,""),"")</f>
        <v/>
      </c>
      <c r="K137" s="30">
        <f>IFERROR(IF(ISNUMBER('Semi Rev'!O136),'Semi Rev'!O136,""),"")</f>
        <v/>
      </c>
      <c r="L137" s="30">
        <f>IFERROR(IF(ISNUMBER('Semi Rev'!P136),'Semi Rev'!P136,""),"")</f>
        <v/>
      </c>
      <c r="M137" s="31">
        <f>IFERROR(IF(ISNUMBER('Semi Rev'!Q136),'Semi Rev'!Q136,""),"")</f>
        <v/>
      </c>
      <c r="N137" s="31">
        <f>IFERROR(IF(ISNUMBER('Semi Rev'!R136),'Semi Rev'!R136,""),"")</f>
        <v/>
      </c>
    </row>
    <row r="138">
      <c r="A138" s="19">
        <f>'Semi Rev'!$A137</f>
        <v/>
      </c>
      <c r="B138" s="19">
        <f>'Semi Rev'!$B137</f>
        <v/>
      </c>
      <c r="C138" s="30">
        <f>IFERROR(IF(ISNUMBER('Semi Rev'!G137),'Semi Rev'!G137,""),"")</f>
        <v/>
      </c>
      <c r="D138" s="30">
        <f>IFERROR(IF(ISNUMBER('Semi Rev'!H137),'Semi Rev'!H137,""),"")</f>
        <v/>
      </c>
      <c r="E138" s="30">
        <f>IFERROR(IF(ISNUMBER('Semi Rev'!I137),'Semi Rev'!I137,""),"")</f>
        <v/>
      </c>
      <c r="F138" s="30">
        <f>IFERROR(IF(ISNUMBER('Semi Rev'!J137),'Semi Rev'!J137,""),"")</f>
        <v/>
      </c>
      <c r="G138" s="30">
        <f>IFERROR(IF(ISNUMBER('Semi Rev'!K137),'Semi Rev'!K137,""),"")</f>
        <v/>
      </c>
      <c r="H138" s="30">
        <f>IFERROR(IF(ISNUMBER('Semi Rev'!L137),'Semi Rev'!L137,""),"")</f>
        <v/>
      </c>
      <c r="I138" s="30">
        <f>IFERROR(IF(ISNUMBER('Semi Rev'!M137),'Semi Rev'!M137,""),"")</f>
        <v/>
      </c>
      <c r="J138" s="30">
        <f>IFERROR(IF(ISNUMBER('Semi Rev'!N137),'Semi Rev'!N137,""),"")</f>
        <v/>
      </c>
      <c r="K138" s="30">
        <f>IFERROR(IF(ISNUMBER('Semi Rev'!O137),'Semi Rev'!O137,""),"")</f>
        <v/>
      </c>
      <c r="L138" s="30">
        <f>IFERROR(IF(ISNUMBER('Semi Rev'!P137),'Semi Rev'!P137,""),"")</f>
        <v/>
      </c>
      <c r="M138" s="31">
        <f>IFERROR(IF(ISNUMBER('Semi Rev'!Q137),'Semi Rev'!Q137,""),"")</f>
        <v/>
      </c>
      <c r="N138" s="31">
        <f>IFERROR(IF(ISNUMBER('Semi Rev'!R137),'Semi Rev'!R137,""),"")</f>
        <v/>
      </c>
    </row>
    <row r="139">
      <c r="A139" s="19">
        <f>'Semi Rev'!$A138</f>
        <v/>
      </c>
      <c r="B139" s="19">
        <f>'Semi Rev'!$B138</f>
        <v/>
      </c>
      <c r="C139" s="30">
        <f>IFERROR(IF(ISNUMBER('Semi Rev'!G138),'Semi Rev'!G138,""),"")</f>
        <v/>
      </c>
      <c r="D139" s="30">
        <f>IFERROR(IF(ISNUMBER('Semi Rev'!H138),'Semi Rev'!H138,""),"")</f>
        <v/>
      </c>
      <c r="E139" s="30">
        <f>IFERROR(IF(ISNUMBER('Semi Rev'!I138),'Semi Rev'!I138,""),"")</f>
        <v/>
      </c>
      <c r="F139" s="30">
        <f>IFERROR(IF(ISNUMBER('Semi Rev'!J138),'Semi Rev'!J138,""),"")</f>
        <v/>
      </c>
      <c r="G139" s="30">
        <f>IFERROR(IF(ISNUMBER('Semi Rev'!K138),'Semi Rev'!K138,""),"")</f>
        <v/>
      </c>
      <c r="H139" s="30">
        <f>IFERROR(IF(ISNUMBER('Semi Rev'!L138),'Semi Rev'!L138,""),"")</f>
        <v/>
      </c>
      <c r="I139" s="30">
        <f>IFERROR(IF(ISNUMBER('Semi Rev'!M138),'Semi Rev'!M138,""),"")</f>
        <v/>
      </c>
      <c r="J139" s="30">
        <f>IFERROR(IF(ISNUMBER('Semi Rev'!N138),'Semi Rev'!N138,""),"")</f>
        <v/>
      </c>
      <c r="K139" s="30">
        <f>IFERROR(IF(ISNUMBER('Semi Rev'!O138),'Semi Rev'!O138,""),"")</f>
        <v/>
      </c>
      <c r="L139" s="30">
        <f>IFERROR(IF(ISNUMBER('Semi Rev'!P138),'Semi Rev'!P138,""),"")</f>
        <v/>
      </c>
      <c r="M139" s="31">
        <f>IFERROR(IF(ISNUMBER('Semi Rev'!Q138),'Semi Rev'!Q138,""),"")</f>
        <v/>
      </c>
      <c r="N139" s="31">
        <f>IFERROR(IF(ISNUMBER('Semi Rev'!R138),'Semi Rev'!R138,""),"")</f>
        <v/>
      </c>
    </row>
    <row r="140">
      <c r="A140" s="19">
        <f>'Semi Rev'!$A139</f>
        <v/>
      </c>
      <c r="B140" s="19">
        <f>'Semi Rev'!$B139</f>
        <v/>
      </c>
      <c r="C140" s="30">
        <f>IFERROR(IF(ISNUMBER('Semi Rev'!G139),'Semi Rev'!G139,""),"")</f>
        <v/>
      </c>
      <c r="D140" s="30">
        <f>IFERROR(IF(ISNUMBER('Semi Rev'!H139),'Semi Rev'!H139,""),"")</f>
        <v/>
      </c>
      <c r="E140" s="30">
        <f>IFERROR(IF(ISNUMBER('Semi Rev'!I139),'Semi Rev'!I139,""),"")</f>
        <v/>
      </c>
      <c r="F140" s="30">
        <f>IFERROR(IF(ISNUMBER('Semi Rev'!J139),'Semi Rev'!J139,""),"")</f>
        <v/>
      </c>
      <c r="G140" s="30">
        <f>IFERROR(IF(ISNUMBER('Semi Rev'!K139),'Semi Rev'!K139,""),"")</f>
        <v/>
      </c>
      <c r="H140" s="30">
        <f>IFERROR(IF(ISNUMBER('Semi Rev'!L139),'Semi Rev'!L139,""),"")</f>
        <v/>
      </c>
      <c r="I140" s="30">
        <f>IFERROR(IF(ISNUMBER('Semi Rev'!M139),'Semi Rev'!M139,""),"")</f>
        <v/>
      </c>
      <c r="J140" s="30">
        <f>IFERROR(IF(ISNUMBER('Semi Rev'!N139),'Semi Rev'!N139,""),"")</f>
        <v/>
      </c>
      <c r="K140" s="30">
        <f>IFERROR(IF(ISNUMBER('Semi Rev'!O139),'Semi Rev'!O139,""),"")</f>
        <v/>
      </c>
      <c r="L140" s="30">
        <f>IFERROR(IF(ISNUMBER('Semi Rev'!P139),'Semi Rev'!P139,""),"")</f>
        <v/>
      </c>
      <c r="M140" s="31">
        <f>IFERROR(IF(ISNUMBER('Semi Rev'!Q139),'Semi Rev'!Q139,""),"")</f>
        <v/>
      </c>
      <c r="N140" s="31">
        <f>IFERROR(IF(ISNUMBER('Semi Rev'!R139),'Semi Rev'!R139,""),"")</f>
        <v/>
      </c>
    </row>
    <row r="141">
      <c r="A141" s="19">
        <f>'Semi Rev'!$A140</f>
        <v/>
      </c>
      <c r="B141" s="19">
        <f>'Semi Rev'!$B140</f>
        <v/>
      </c>
      <c r="C141" s="30">
        <f>IFERROR(IF(ISNUMBER('Semi Rev'!G140),'Semi Rev'!G140,""),"")</f>
        <v/>
      </c>
      <c r="D141" s="30">
        <f>IFERROR(IF(ISNUMBER('Semi Rev'!H140),'Semi Rev'!H140,""),"")</f>
        <v/>
      </c>
      <c r="E141" s="30">
        <f>IFERROR(IF(ISNUMBER('Semi Rev'!I140),'Semi Rev'!I140,""),"")</f>
        <v/>
      </c>
      <c r="F141" s="30">
        <f>IFERROR(IF(ISNUMBER('Semi Rev'!J140),'Semi Rev'!J140,""),"")</f>
        <v/>
      </c>
      <c r="G141" s="30">
        <f>IFERROR(IF(ISNUMBER('Semi Rev'!K140),'Semi Rev'!K140,""),"")</f>
        <v/>
      </c>
      <c r="H141" s="30">
        <f>IFERROR(IF(ISNUMBER('Semi Rev'!L140),'Semi Rev'!L140,""),"")</f>
        <v/>
      </c>
      <c r="I141" s="30">
        <f>IFERROR(IF(ISNUMBER('Semi Rev'!M140),'Semi Rev'!M140,""),"")</f>
        <v/>
      </c>
      <c r="J141" s="30">
        <f>IFERROR(IF(ISNUMBER('Semi Rev'!N140),'Semi Rev'!N140,""),"")</f>
        <v/>
      </c>
      <c r="K141" s="30">
        <f>IFERROR(IF(ISNUMBER('Semi Rev'!O140),'Semi Rev'!O140,""),"")</f>
        <v/>
      </c>
      <c r="L141" s="30">
        <f>IFERROR(IF(ISNUMBER('Semi Rev'!P140),'Semi Rev'!P140,""),"")</f>
        <v/>
      </c>
      <c r="M141" s="31">
        <f>IFERROR(IF(ISNUMBER('Semi Rev'!Q140),'Semi Rev'!Q140,""),"")</f>
        <v/>
      </c>
      <c r="N141" s="31">
        <f>IFERROR(IF(ISNUMBER('Semi Rev'!R140),'Semi Rev'!R140,""),"")</f>
        <v/>
      </c>
    </row>
    <row r="142">
      <c r="A142" s="19">
        <f>'Semi Rev'!$A141</f>
        <v/>
      </c>
      <c r="B142" s="19">
        <f>'Semi Rev'!$B141</f>
        <v/>
      </c>
      <c r="C142" s="30">
        <f>IFERROR(IF(ISNUMBER('Semi Rev'!G141),'Semi Rev'!G141,""),"")</f>
        <v/>
      </c>
      <c r="D142" s="30">
        <f>IFERROR(IF(ISNUMBER('Semi Rev'!H141),'Semi Rev'!H141,""),"")</f>
        <v/>
      </c>
      <c r="E142" s="30">
        <f>IFERROR(IF(ISNUMBER('Semi Rev'!I141),'Semi Rev'!I141,""),"")</f>
        <v/>
      </c>
      <c r="F142" s="30">
        <f>IFERROR(IF(ISNUMBER('Semi Rev'!J141),'Semi Rev'!J141,""),"")</f>
        <v/>
      </c>
      <c r="G142" s="30">
        <f>IFERROR(IF(ISNUMBER('Semi Rev'!K141),'Semi Rev'!K141,""),"")</f>
        <v/>
      </c>
      <c r="H142" s="30">
        <f>IFERROR(IF(ISNUMBER('Semi Rev'!L141),'Semi Rev'!L141,""),"")</f>
        <v/>
      </c>
      <c r="I142" s="30">
        <f>IFERROR(IF(ISNUMBER('Semi Rev'!M141),'Semi Rev'!M141,""),"")</f>
        <v/>
      </c>
      <c r="J142" s="30">
        <f>IFERROR(IF(ISNUMBER('Semi Rev'!N141),'Semi Rev'!N141,""),"")</f>
        <v/>
      </c>
      <c r="K142" s="30">
        <f>IFERROR(IF(ISNUMBER('Semi Rev'!O141),'Semi Rev'!O141,""),"")</f>
        <v/>
      </c>
      <c r="L142" s="30">
        <f>IFERROR(IF(ISNUMBER('Semi Rev'!P141),'Semi Rev'!P141,""),"")</f>
        <v/>
      </c>
      <c r="M142" s="31">
        <f>IFERROR(IF(ISNUMBER('Semi Rev'!Q141),'Semi Rev'!Q141,""),"")</f>
        <v/>
      </c>
      <c r="N142" s="31">
        <f>IFERROR(IF(ISNUMBER('Semi Rev'!R141),'Semi Rev'!R141,""),"")</f>
        <v/>
      </c>
    </row>
    <row r="143">
      <c r="A143" s="19">
        <f>'Semi Rev'!$A142</f>
        <v/>
      </c>
      <c r="B143" s="19">
        <f>'Semi Rev'!$B142</f>
        <v/>
      </c>
      <c r="C143" s="30">
        <f>IFERROR(IF(ISNUMBER('Semi Rev'!G142),'Semi Rev'!G142,""),"")</f>
        <v/>
      </c>
      <c r="D143" s="30">
        <f>IFERROR(IF(ISNUMBER('Semi Rev'!H142),'Semi Rev'!H142,""),"")</f>
        <v/>
      </c>
      <c r="E143" s="30">
        <f>IFERROR(IF(ISNUMBER('Semi Rev'!I142),'Semi Rev'!I142,""),"")</f>
        <v/>
      </c>
      <c r="F143" s="30">
        <f>IFERROR(IF(ISNUMBER('Semi Rev'!J142),'Semi Rev'!J142,""),"")</f>
        <v/>
      </c>
      <c r="G143" s="30">
        <f>IFERROR(IF(ISNUMBER('Semi Rev'!K142),'Semi Rev'!K142,""),"")</f>
        <v/>
      </c>
      <c r="H143" s="30">
        <f>IFERROR(IF(ISNUMBER('Semi Rev'!L142),'Semi Rev'!L142,""),"")</f>
        <v/>
      </c>
      <c r="I143" s="30">
        <f>IFERROR(IF(ISNUMBER('Semi Rev'!M142),'Semi Rev'!M142,""),"")</f>
        <v/>
      </c>
      <c r="J143" s="30">
        <f>IFERROR(IF(ISNUMBER('Semi Rev'!N142),'Semi Rev'!N142,""),"")</f>
        <v/>
      </c>
      <c r="K143" s="30">
        <f>IFERROR(IF(ISNUMBER('Semi Rev'!O142),'Semi Rev'!O142,""),"")</f>
        <v/>
      </c>
      <c r="L143" s="30">
        <f>IFERROR(IF(ISNUMBER('Semi Rev'!P142),'Semi Rev'!P142,""),"")</f>
        <v/>
      </c>
      <c r="M143" s="31">
        <f>IFERROR(IF(ISNUMBER('Semi Rev'!Q142),'Semi Rev'!Q142,""),"")</f>
        <v/>
      </c>
      <c r="N143" s="31">
        <f>IFERROR(IF(ISNUMBER('Semi Rev'!R142),'Semi Rev'!R142,""),"")</f>
        <v/>
      </c>
    </row>
    <row r="144">
      <c r="A144" s="19">
        <f>'Semi Rev'!$A143</f>
        <v/>
      </c>
      <c r="B144" s="19">
        <f>'Semi Rev'!$B143</f>
        <v/>
      </c>
      <c r="C144" s="30">
        <f>IFERROR(IF(ISNUMBER('Semi Rev'!G143),'Semi Rev'!G143,""),"")</f>
        <v/>
      </c>
      <c r="D144" s="30">
        <f>IFERROR(IF(ISNUMBER('Semi Rev'!H143),'Semi Rev'!H143,""),"")</f>
        <v/>
      </c>
      <c r="E144" s="30">
        <f>IFERROR(IF(ISNUMBER('Semi Rev'!I143),'Semi Rev'!I143,""),"")</f>
        <v/>
      </c>
      <c r="F144" s="30">
        <f>IFERROR(IF(ISNUMBER('Semi Rev'!J143),'Semi Rev'!J143,""),"")</f>
        <v/>
      </c>
      <c r="G144" s="30">
        <f>IFERROR(IF(ISNUMBER('Semi Rev'!K143),'Semi Rev'!K143,""),"")</f>
        <v/>
      </c>
      <c r="H144" s="30">
        <f>IFERROR(IF(ISNUMBER('Semi Rev'!L143),'Semi Rev'!L143,""),"")</f>
        <v/>
      </c>
      <c r="I144" s="30">
        <f>IFERROR(IF(ISNUMBER('Semi Rev'!M143),'Semi Rev'!M143,""),"")</f>
        <v/>
      </c>
      <c r="J144" s="30">
        <f>IFERROR(IF(ISNUMBER('Semi Rev'!N143),'Semi Rev'!N143,""),"")</f>
        <v/>
      </c>
      <c r="K144" s="30">
        <f>IFERROR(IF(ISNUMBER('Semi Rev'!O143),'Semi Rev'!O143,""),"")</f>
        <v/>
      </c>
      <c r="L144" s="30">
        <f>IFERROR(IF(ISNUMBER('Semi Rev'!P143),'Semi Rev'!P143,""),"")</f>
        <v/>
      </c>
      <c r="M144" s="31">
        <f>IFERROR(IF(ISNUMBER('Semi Rev'!Q143),'Semi Rev'!Q143,""),"")</f>
        <v/>
      </c>
      <c r="N144" s="31">
        <f>IFERROR(IF(ISNUMBER('Semi Rev'!R143),'Semi Rev'!R143,""),"")</f>
        <v/>
      </c>
    </row>
    <row r="146">
      <c r="A146" s="49" t="inlineStr">
        <is>
          <t>Revenue growth YoY %</t>
        </is>
      </c>
      <c r="B146" s="50" t="n"/>
      <c r="C146" s="50" t="n"/>
      <c r="D146" s="50" t="n"/>
      <c r="E146" s="50" t="n"/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</row>
    <row r="147" ht="28" customHeight="1">
      <c r="A147" s="8" t="inlineStr">
        <is>
          <t>Ticker</t>
        </is>
      </c>
      <c r="B147" s="8" t="inlineStr">
        <is>
          <t>Latest Rpt Qtr</t>
        </is>
      </c>
      <c r="C147" s="8" t="inlineStr">
        <is>
          <t>FPO -9</t>
        </is>
      </c>
      <c r="D147" s="8" t="inlineStr">
        <is>
          <t>FPO -8</t>
        </is>
      </c>
      <c r="E147" s="8" t="inlineStr">
        <is>
          <t>FPO -7</t>
        </is>
      </c>
      <c r="F147" s="8" t="inlineStr">
        <is>
          <t>FPO -6</t>
        </is>
      </c>
      <c r="G147" s="8" t="inlineStr">
        <is>
          <t>FPO -5</t>
        </is>
      </c>
      <c r="H147" s="8" t="inlineStr">
        <is>
          <t>FPO -4</t>
        </is>
      </c>
      <c r="I147" s="8" t="inlineStr">
        <is>
          <t>FPO -3</t>
        </is>
      </c>
      <c r="J147" s="8" t="inlineStr">
        <is>
          <t>FPO -2</t>
        </is>
      </c>
      <c r="K147" s="8" t="inlineStr">
        <is>
          <t>FPO -1</t>
        </is>
      </c>
      <c r="L147" s="8" t="inlineStr">
        <is>
          <t>FPO 0 (latest rpt)</t>
        </is>
      </c>
      <c r="M147" s="8" t="inlineStr">
        <is>
          <t>FPO +1E</t>
        </is>
      </c>
      <c r="N147" s="8" t="inlineStr">
        <is>
          <t>FPO +2E</t>
        </is>
      </c>
    </row>
    <row r="148">
      <c r="A148" s="19">
        <f>'Semi Rev'!$A5</f>
        <v/>
      </c>
      <c r="B148" s="19">
        <f>'Semi Rev'!$B5</f>
        <v/>
      </c>
      <c r="C148" s="37">
        <f>IFERROR(IF(AND(ISNUMBER('Semi Rev'!G5),ISNUMBER('Semi Rev'!C5),'Semi Rev'!C5&gt;0),'Semi Rev'!G5/'Semi Rev'!C5-1,""),"")</f>
        <v/>
      </c>
      <c r="D148" s="37">
        <f>IFERROR(IF(AND(ISNUMBER('Semi Rev'!H5),ISNUMBER('Semi Rev'!D5),'Semi Rev'!D5&gt;0),'Semi Rev'!H5/'Semi Rev'!D5-1,""),"")</f>
        <v/>
      </c>
      <c r="E148" s="37">
        <f>IFERROR(IF(AND(ISNUMBER('Semi Rev'!I5),ISNUMBER('Semi Rev'!E5),'Semi Rev'!E5&gt;0),'Semi Rev'!I5/'Semi Rev'!E5-1,""),"")</f>
        <v/>
      </c>
      <c r="F148" s="37">
        <f>IFERROR(IF(AND(ISNUMBER('Semi Rev'!J5),ISNUMBER('Semi Rev'!F5),'Semi Rev'!F5&gt;0),'Semi Rev'!J5/'Semi Rev'!F5-1,""),"")</f>
        <v/>
      </c>
      <c r="G148" s="37">
        <f>IFERROR(IF(AND(ISNUMBER('Semi Rev'!K5),ISNUMBER('Semi Rev'!G5),'Semi Rev'!G5&gt;0),'Semi Rev'!K5/'Semi Rev'!G5-1,""),"")</f>
        <v/>
      </c>
      <c r="H148" s="37">
        <f>IFERROR(IF(AND(ISNUMBER('Semi Rev'!L5),ISNUMBER('Semi Rev'!H5),'Semi Rev'!H5&gt;0),'Semi Rev'!L5/'Semi Rev'!H5-1,""),"")</f>
        <v/>
      </c>
      <c r="I148" s="37">
        <f>IFERROR(IF(AND(ISNUMBER('Semi Rev'!M5),ISNUMBER('Semi Rev'!I5),'Semi Rev'!I5&gt;0),'Semi Rev'!M5/'Semi Rev'!I5-1,""),"")</f>
        <v/>
      </c>
      <c r="J148" s="37">
        <f>IFERROR(IF(AND(ISNUMBER('Semi Rev'!N5),ISNUMBER('Semi Rev'!J5),'Semi Rev'!J5&gt;0),'Semi Rev'!N5/'Semi Rev'!J5-1,""),"")</f>
        <v/>
      </c>
      <c r="K148" s="37">
        <f>IFERROR(IF(AND(ISNUMBER('Semi Rev'!O5),ISNUMBER('Semi Rev'!K5),'Semi Rev'!K5&gt;0),'Semi Rev'!O5/'Semi Rev'!K5-1,""),"")</f>
        <v/>
      </c>
      <c r="L148" s="37">
        <f>IFERROR(IF(AND(ISNUMBER('Semi Rev'!P5),ISNUMBER('Semi Rev'!L5),'Semi Rev'!L5&gt;0),'Semi Rev'!P5/'Semi Rev'!L5-1,""),"")</f>
        <v/>
      </c>
      <c r="M148" s="38">
        <f>IFERROR(IF(AND(ISNUMBER('Semi Rev'!Q5),ISNUMBER('Semi Rev'!M5),'Semi Rev'!M5&gt;0),'Semi Rev'!Q5/'Semi Rev'!M5-1,""),"")</f>
        <v/>
      </c>
      <c r="N148" s="38">
        <f>IFERROR(IF(AND(ISNUMBER('Semi Rev'!R5),ISNUMBER('Semi Rev'!N5),'Semi Rev'!N5&gt;0),'Semi Rev'!R5/'Semi Rev'!N5-1,""),"")</f>
        <v/>
      </c>
    </row>
    <row r="149">
      <c r="A149" s="19">
        <f>'Semi Rev'!$A6</f>
        <v/>
      </c>
      <c r="B149" s="19">
        <f>'Semi Rev'!$B6</f>
        <v/>
      </c>
      <c r="C149" s="37">
        <f>IFERROR(IF(AND(ISNUMBER('Semi Rev'!G6),ISNUMBER('Semi Rev'!C6),'Semi Rev'!C6&gt;0),'Semi Rev'!G6/'Semi Rev'!C6-1,""),"")</f>
        <v/>
      </c>
      <c r="D149" s="37">
        <f>IFERROR(IF(AND(ISNUMBER('Semi Rev'!H6),ISNUMBER('Semi Rev'!D6),'Semi Rev'!D6&gt;0),'Semi Rev'!H6/'Semi Rev'!D6-1,""),"")</f>
        <v/>
      </c>
      <c r="E149" s="37">
        <f>IFERROR(IF(AND(ISNUMBER('Semi Rev'!I6),ISNUMBER('Semi Rev'!E6),'Semi Rev'!E6&gt;0),'Semi Rev'!I6/'Semi Rev'!E6-1,""),"")</f>
        <v/>
      </c>
      <c r="F149" s="37">
        <f>IFERROR(IF(AND(ISNUMBER('Semi Rev'!J6),ISNUMBER('Semi Rev'!F6),'Semi Rev'!F6&gt;0),'Semi Rev'!J6/'Semi Rev'!F6-1,""),"")</f>
        <v/>
      </c>
      <c r="G149" s="37">
        <f>IFERROR(IF(AND(ISNUMBER('Semi Rev'!K6),ISNUMBER('Semi Rev'!G6),'Semi Rev'!G6&gt;0),'Semi Rev'!K6/'Semi Rev'!G6-1,""),"")</f>
        <v/>
      </c>
      <c r="H149" s="37">
        <f>IFERROR(IF(AND(ISNUMBER('Semi Rev'!L6),ISNUMBER('Semi Rev'!H6),'Semi Rev'!H6&gt;0),'Semi Rev'!L6/'Semi Rev'!H6-1,""),"")</f>
        <v/>
      </c>
      <c r="I149" s="37">
        <f>IFERROR(IF(AND(ISNUMBER('Semi Rev'!M6),ISNUMBER('Semi Rev'!I6),'Semi Rev'!I6&gt;0),'Semi Rev'!M6/'Semi Rev'!I6-1,""),"")</f>
        <v/>
      </c>
      <c r="J149" s="37">
        <f>IFERROR(IF(AND(ISNUMBER('Semi Rev'!N6),ISNUMBER('Semi Rev'!J6),'Semi Rev'!J6&gt;0),'Semi Rev'!N6/'Semi Rev'!J6-1,""),"")</f>
        <v/>
      </c>
      <c r="K149" s="37">
        <f>IFERROR(IF(AND(ISNUMBER('Semi Rev'!O6),ISNUMBER('Semi Rev'!K6),'Semi Rev'!K6&gt;0),'Semi Rev'!O6/'Semi Rev'!K6-1,""),"")</f>
        <v/>
      </c>
      <c r="L149" s="37">
        <f>IFERROR(IF(AND(ISNUMBER('Semi Rev'!P6),ISNUMBER('Semi Rev'!L6),'Semi Rev'!L6&gt;0),'Semi Rev'!P6/'Semi Rev'!L6-1,""),"")</f>
        <v/>
      </c>
      <c r="M149" s="38">
        <f>IFERROR(IF(AND(ISNUMBER('Semi Rev'!Q6),ISNUMBER('Semi Rev'!M6),'Semi Rev'!M6&gt;0),'Semi Rev'!Q6/'Semi Rev'!M6-1,""),"")</f>
        <v/>
      </c>
      <c r="N149" s="38">
        <f>IFERROR(IF(AND(ISNUMBER('Semi Rev'!R6),ISNUMBER('Semi Rev'!N6),'Semi Rev'!N6&gt;0),'Semi Rev'!R6/'Semi Rev'!N6-1,""),"")</f>
        <v/>
      </c>
    </row>
    <row r="150">
      <c r="A150" s="19">
        <f>'Semi Rev'!$A7</f>
        <v/>
      </c>
      <c r="B150" s="19">
        <f>'Semi Rev'!$B7</f>
        <v/>
      </c>
      <c r="C150" s="37">
        <f>IFERROR(IF(AND(ISNUMBER('Semi Rev'!G7),ISNUMBER('Semi Rev'!C7),'Semi Rev'!C7&gt;0),'Semi Rev'!G7/'Semi Rev'!C7-1,""),"")</f>
        <v/>
      </c>
      <c r="D150" s="37">
        <f>IFERROR(IF(AND(ISNUMBER('Semi Rev'!H7),ISNUMBER('Semi Rev'!D7),'Semi Rev'!D7&gt;0),'Semi Rev'!H7/'Semi Rev'!D7-1,""),"")</f>
        <v/>
      </c>
      <c r="E150" s="37">
        <f>IFERROR(IF(AND(ISNUMBER('Semi Rev'!I7),ISNUMBER('Semi Rev'!E7),'Semi Rev'!E7&gt;0),'Semi Rev'!I7/'Semi Rev'!E7-1,""),"")</f>
        <v/>
      </c>
      <c r="F150" s="37">
        <f>IFERROR(IF(AND(ISNUMBER('Semi Rev'!J7),ISNUMBER('Semi Rev'!F7),'Semi Rev'!F7&gt;0),'Semi Rev'!J7/'Semi Rev'!F7-1,""),"")</f>
        <v/>
      </c>
      <c r="G150" s="37">
        <f>IFERROR(IF(AND(ISNUMBER('Semi Rev'!K7),ISNUMBER('Semi Rev'!G7),'Semi Rev'!G7&gt;0),'Semi Rev'!K7/'Semi Rev'!G7-1,""),"")</f>
        <v/>
      </c>
      <c r="H150" s="37">
        <f>IFERROR(IF(AND(ISNUMBER('Semi Rev'!L7),ISNUMBER('Semi Rev'!H7),'Semi Rev'!H7&gt;0),'Semi Rev'!L7/'Semi Rev'!H7-1,""),"")</f>
        <v/>
      </c>
      <c r="I150" s="37">
        <f>IFERROR(IF(AND(ISNUMBER('Semi Rev'!M7),ISNUMBER('Semi Rev'!I7),'Semi Rev'!I7&gt;0),'Semi Rev'!M7/'Semi Rev'!I7-1,""),"")</f>
        <v/>
      </c>
      <c r="J150" s="37">
        <f>IFERROR(IF(AND(ISNUMBER('Semi Rev'!N7),ISNUMBER('Semi Rev'!J7),'Semi Rev'!J7&gt;0),'Semi Rev'!N7/'Semi Rev'!J7-1,""),"")</f>
        <v/>
      </c>
      <c r="K150" s="37">
        <f>IFERROR(IF(AND(ISNUMBER('Semi Rev'!O7),ISNUMBER('Semi Rev'!K7),'Semi Rev'!K7&gt;0),'Semi Rev'!O7/'Semi Rev'!K7-1,""),"")</f>
        <v/>
      </c>
      <c r="L150" s="37">
        <f>IFERROR(IF(AND(ISNUMBER('Semi Rev'!P7),ISNUMBER('Semi Rev'!L7),'Semi Rev'!L7&gt;0),'Semi Rev'!P7/'Semi Rev'!L7-1,""),"")</f>
        <v/>
      </c>
      <c r="M150" s="38">
        <f>IFERROR(IF(AND(ISNUMBER('Semi Rev'!Q7),ISNUMBER('Semi Rev'!M7),'Semi Rev'!M7&gt;0),'Semi Rev'!Q7/'Semi Rev'!M7-1,""),"")</f>
        <v/>
      </c>
      <c r="N150" s="38">
        <f>IFERROR(IF(AND(ISNUMBER('Semi Rev'!R7),ISNUMBER('Semi Rev'!N7),'Semi Rev'!N7&gt;0),'Semi Rev'!R7/'Semi Rev'!N7-1,""),"")</f>
        <v/>
      </c>
    </row>
    <row r="151">
      <c r="A151" s="19">
        <f>'Semi Rev'!$A8</f>
        <v/>
      </c>
      <c r="B151" s="19">
        <f>'Semi Rev'!$B8</f>
        <v/>
      </c>
      <c r="C151" s="37">
        <f>IFERROR(IF(AND(ISNUMBER('Semi Rev'!G8),ISNUMBER('Semi Rev'!C8),'Semi Rev'!C8&gt;0),'Semi Rev'!G8/'Semi Rev'!C8-1,""),"")</f>
        <v/>
      </c>
      <c r="D151" s="37">
        <f>IFERROR(IF(AND(ISNUMBER('Semi Rev'!H8),ISNUMBER('Semi Rev'!D8),'Semi Rev'!D8&gt;0),'Semi Rev'!H8/'Semi Rev'!D8-1,""),"")</f>
        <v/>
      </c>
      <c r="E151" s="37">
        <f>IFERROR(IF(AND(ISNUMBER('Semi Rev'!I8),ISNUMBER('Semi Rev'!E8),'Semi Rev'!E8&gt;0),'Semi Rev'!I8/'Semi Rev'!E8-1,""),"")</f>
        <v/>
      </c>
      <c r="F151" s="37">
        <f>IFERROR(IF(AND(ISNUMBER('Semi Rev'!J8),ISNUMBER('Semi Rev'!F8),'Semi Rev'!F8&gt;0),'Semi Rev'!J8/'Semi Rev'!F8-1,""),"")</f>
        <v/>
      </c>
      <c r="G151" s="37">
        <f>IFERROR(IF(AND(ISNUMBER('Semi Rev'!K8),ISNUMBER('Semi Rev'!G8),'Semi Rev'!G8&gt;0),'Semi Rev'!K8/'Semi Rev'!G8-1,""),"")</f>
        <v/>
      </c>
      <c r="H151" s="37">
        <f>IFERROR(IF(AND(ISNUMBER('Semi Rev'!L8),ISNUMBER('Semi Rev'!H8),'Semi Rev'!H8&gt;0),'Semi Rev'!L8/'Semi Rev'!H8-1,""),"")</f>
        <v/>
      </c>
      <c r="I151" s="37">
        <f>IFERROR(IF(AND(ISNUMBER('Semi Rev'!M8),ISNUMBER('Semi Rev'!I8),'Semi Rev'!I8&gt;0),'Semi Rev'!M8/'Semi Rev'!I8-1,""),"")</f>
        <v/>
      </c>
      <c r="J151" s="37">
        <f>IFERROR(IF(AND(ISNUMBER('Semi Rev'!N8),ISNUMBER('Semi Rev'!J8),'Semi Rev'!J8&gt;0),'Semi Rev'!N8/'Semi Rev'!J8-1,""),"")</f>
        <v/>
      </c>
      <c r="K151" s="37">
        <f>IFERROR(IF(AND(ISNUMBER('Semi Rev'!O8),ISNUMBER('Semi Rev'!K8),'Semi Rev'!K8&gt;0),'Semi Rev'!O8/'Semi Rev'!K8-1,""),"")</f>
        <v/>
      </c>
      <c r="L151" s="37">
        <f>IFERROR(IF(AND(ISNUMBER('Semi Rev'!P8),ISNUMBER('Semi Rev'!L8),'Semi Rev'!L8&gt;0),'Semi Rev'!P8/'Semi Rev'!L8-1,""),"")</f>
        <v/>
      </c>
      <c r="M151" s="38">
        <f>IFERROR(IF(AND(ISNUMBER('Semi Rev'!Q8),ISNUMBER('Semi Rev'!M8),'Semi Rev'!M8&gt;0),'Semi Rev'!Q8/'Semi Rev'!M8-1,""),"")</f>
        <v/>
      </c>
      <c r="N151" s="38">
        <f>IFERROR(IF(AND(ISNUMBER('Semi Rev'!R8),ISNUMBER('Semi Rev'!N8),'Semi Rev'!N8&gt;0),'Semi Rev'!R8/'Semi Rev'!N8-1,""),"")</f>
        <v/>
      </c>
    </row>
    <row r="152">
      <c r="A152" s="19">
        <f>'Semi Rev'!$A9</f>
        <v/>
      </c>
      <c r="B152" s="19">
        <f>'Semi Rev'!$B9</f>
        <v/>
      </c>
      <c r="C152" s="37">
        <f>IFERROR(IF(AND(ISNUMBER('Semi Rev'!G9),ISNUMBER('Semi Rev'!C9),'Semi Rev'!C9&gt;0),'Semi Rev'!G9/'Semi Rev'!C9-1,""),"")</f>
        <v/>
      </c>
      <c r="D152" s="37">
        <f>IFERROR(IF(AND(ISNUMBER('Semi Rev'!H9),ISNUMBER('Semi Rev'!D9),'Semi Rev'!D9&gt;0),'Semi Rev'!H9/'Semi Rev'!D9-1,""),"")</f>
        <v/>
      </c>
      <c r="E152" s="37">
        <f>IFERROR(IF(AND(ISNUMBER('Semi Rev'!I9),ISNUMBER('Semi Rev'!E9),'Semi Rev'!E9&gt;0),'Semi Rev'!I9/'Semi Rev'!E9-1,""),"")</f>
        <v/>
      </c>
      <c r="F152" s="37">
        <f>IFERROR(IF(AND(ISNUMBER('Semi Rev'!J9),ISNUMBER('Semi Rev'!F9),'Semi Rev'!F9&gt;0),'Semi Rev'!J9/'Semi Rev'!F9-1,""),"")</f>
        <v/>
      </c>
      <c r="G152" s="37">
        <f>IFERROR(IF(AND(ISNUMBER('Semi Rev'!K9),ISNUMBER('Semi Rev'!G9),'Semi Rev'!G9&gt;0),'Semi Rev'!K9/'Semi Rev'!G9-1,""),"")</f>
        <v/>
      </c>
      <c r="H152" s="37">
        <f>IFERROR(IF(AND(ISNUMBER('Semi Rev'!L9),ISNUMBER('Semi Rev'!H9),'Semi Rev'!H9&gt;0),'Semi Rev'!L9/'Semi Rev'!H9-1,""),"")</f>
        <v/>
      </c>
      <c r="I152" s="37">
        <f>IFERROR(IF(AND(ISNUMBER('Semi Rev'!M9),ISNUMBER('Semi Rev'!I9),'Semi Rev'!I9&gt;0),'Semi Rev'!M9/'Semi Rev'!I9-1,""),"")</f>
        <v/>
      </c>
      <c r="J152" s="37">
        <f>IFERROR(IF(AND(ISNUMBER('Semi Rev'!N9),ISNUMBER('Semi Rev'!J9),'Semi Rev'!J9&gt;0),'Semi Rev'!N9/'Semi Rev'!J9-1,""),"")</f>
        <v/>
      </c>
      <c r="K152" s="37">
        <f>IFERROR(IF(AND(ISNUMBER('Semi Rev'!O9),ISNUMBER('Semi Rev'!K9),'Semi Rev'!K9&gt;0),'Semi Rev'!O9/'Semi Rev'!K9-1,""),"")</f>
        <v/>
      </c>
      <c r="L152" s="37">
        <f>IFERROR(IF(AND(ISNUMBER('Semi Rev'!P9),ISNUMBER('Semi Rev'!L9),'Semi Rev'!L9&gt;0),'Semi Rev'!P9/'Semi Rev'!L9-1,""),"")</f>
        <v/>
      </c>
      <c r="M152" s="38">
        <f>IFERROR(IF(AND(ISNUMBER('Semi Rev'!Q9),ISNUMBER('Semi Rev'!M9),'Semi Rev'!M9&gt;0),'Semi Rev'!Q9/'Semi Rev'!M9-1,""),"")</f>
        <v/>
      </c>
      <c r="N152" s="38">
        <f>IFERROR(IF(AND(ISNUMBER('Semi Rev'!R9),ISNUMBER('Semi Rev'!N9),'Semi Rev'!N9&gt;0),'Semi Rev'!R9/'Semi Rev'!N9-1,""),"")</f>
        <v/>
      </c>
    </row>
    <row r="153">
      <c r="A153" s="19">
        <f>'Semi Rev'!$A10</f>
        <v/>
      </c>
      <c r="B153" s="19">
        <f>'Semi Rev'!$B10</f>
        <v/>
      </c>
      <c r="C153" s="37">
        <f>IFERROR(IF(AND(ISNUMBER('Semi Rev'!G10),ISNUMBER('Semi Rev'!C10),'Semi Rev'!C10&gt;0),'Semi Rev'!G10/'Semi Rev'!C10-1,""),"")</f>
        <v/>
      </c>
      <c r="D153" s="37">
        <f>IFERROR(IF(AND(ISNUMBER('Semi Rev'!H10),ISNUMBER('Semi Rev'!D10),'Semi Rev'!D10&gt;0),'Semi Rev'!H10/'Semi Rev'!D10-1,""),"")</f>
        <v/>
      </c>
      <c r="E153" s="37">
        <f>IFERROR(IF(AND(ISNUMBER('Semi Rev'!I10),ISNUMBER('Semi Rev'!E10),'Semi Rev'!E10&gt;0),'Semi Rev'!I10/'Semi Rev'!E10-1,""),"")</f>
        <v/>
      </c>
      <c r="F153" s="37">
        <f>IFERROR(IF(AND(ISNUMBER('Semi Rev'!J10),ISNUMBER('Semi Rev'!F10),'Semi Rev'!F10&gt;0),'Semi Rev'!J10/'Semi Rev'!F10-1,""),"")</f>
        <v/>
      </c>
      <c r="G153" s="37">
        <f>IFERROR(IF(AND(ISNUMBER('Semi Rev'!K10),ISNUMBER('Semi Rev'!G10),'Semi Rev'!G10&gt;0),'Semi Rev'!K10/'Semi Rev'!G10-1,""),"")</f>
        <v/>
      </c>
      <c r="H153" s="37">
        <f>IFERROR(IF(AND(ISNUMBER('Semi Rev'!L10),ISNUMBER('Semi Rev'!H10),'Semi Rev'!H10&gt;0),'Semi Rev'!L10/'Semi Rev'!H10-1,""),"")</f>
        <v/>
      </c>
      <c r="I153" s="37">
        <f>IFERROR(IF(AND(ISNUMBER('Semi Rev'!M10),ISNUMBER('Semi Rev'!I10),'Semi Rev'!I10&gt;0),'Semi Rev'!M10/'Semi Rev'!I10-1,""),"")</f>
        <v/>
      </c>
      <c r="J153" s="37">
        <f>IFERROR(IF(AND(ISNUMBER('Semi Rev'!N10),ISNUMBER('Semi Rev'!J10),'Semi Rev'!J10&gt;0),'Semi Rev'!N10/'Semi Rev'!J10-1,""),"")</f>
        <v/>
      </c>
      <c r="K153" s="37">
        <f>IFERROR(IF(AND(ISNUMBER('Semi Rev'!O10),ISNUMBER('Semi Rev'!K10),'Semi Rev'!K10&gt;0),'Semi Rev'!O10/'Semi Rev'!K10-1,""),"")</f>
        <v/>
      </c>
      <c r="L153" s="37">
        <f>IFERROR(IF(AND(ISNUMBER('Semi Rev'!P10),ISNUMBER('Semi Rev'!L10),'Semi Rev'!L10&gt;0),'Semi Rev'!P10/'Semi Rev'!L10-1,""),"")</f>
        <v/>
      </c>
      <c r="M153" s="38">
        <f>IFERROR(IF(AND(ISNUMBER('Semi Rev'!Q10),ISNUMBER('Semi Rev'!M10),'Semi Rev'!M10&gt;0),'Semi Rev'!Q10/'Semi Rev'!M10-1,""),"")</f>
        <v/>
      </c>
      <c r="N153" s="38">
        <f>IFERROR(IF(AND(ISNUMBER('Semi Rev'!R10),ISNUMBER('Semi Rev'!N10),'Semi Rev'!N10&gt;0),'Semi Rev'!R10/'Semi Rev'!N10-1,""),"")</f>
        <v/>
      </c>
    </row>
    <row r="154">
      <c r="A154" s="19">
        <f>'Semi Rev'!$A11</f>
        <v/>
      </c>
      <c r="B154" s="19">
        <f>'Semi Rev'!$B11</f>
        <v/>
      </c>
      <c r="C154" s="37">
        <f>IFERROR(IF(AND(ISNUMBER('Semi Rev'!G11),ISNUMBER('Semi Rev'!C11),'Semi Rev'!C11&gt;0),'Semi Rev'!G11/'Semi Rev'!C11-1,""),"")</f>
        <v/>
      </c>
      <c r="D154" s="37">
        <f>IFERROR(IF(AND(ISNUMBER('Semi Rev'!H11),ISNUMBER('Semi Rev'!D11),'Semi Rev'!D11&gt;0),'Semi Rev'!H11/'Semi Rev'!D11-1,""),"")</f>
        <v/>
      </c>
      <c r="E154" s="37">
        <f>IFERROR(IF(AND(ISNUMBER('Semi Rev'!I11),ISNUMBER('Semi Rev'!E11),'Semi Rev'!E11&gt;0),'Semi Rev'!I11/'Semi Rev'!E11-1,""),"")</f>
        <v/>
      </c>
      <c r="F154" s="37">
        <f>IFERROR(IF(AND(ISNUMBER('Semi Rev'!J11),ISNUMBER('Semi Rev'!F11),'Semi Rev'!F11&gt;0),'Semi Rev'!J11/'Semi Rev'!F11-1,""),"")</f>
        <v/>
      </c>
      <c r="G154" s="37">
        <f>IFERROR(IF(AND(ISNUMBER('Semi Rev'!K11),ISNUMBER('Semi Rev'!G11),'Semi Rev'!G11&gt;0),'Semi Rev'!K11/'Semi Rev'!G11-1,""),"")</f>
        <v/>
      </c>
      <c r="H154" s="37">
        <f>IFERROR(IF(AND(ISNUMBER('Semi Rev'!L11),ISNUMBER('Semi Rev'!H11),'Semi Rev'!H11&gt;0),'Semi Rev'!L11/'Semi Rev'!H11-1,""),"")</f>
        <v/>
      </c>
      <c r="I154" s="37">
        <f>IFERROR(IF(AND(ISNUMBER('Semi Rev'!M11),ISNUMBER('Semi Rev'!I11),'Semi Rev'!I11&gt;0),'Semi Rev'!M11/'Semi Rev'!I11-1,""),"")</f>
        <v/>
      </c>
      <c r="J154" s="37">
        <f>IFERROR(IF(AND(ISNUMBER('Semi Rev'!N11),ISNUMBER('Semi Rev'!J11),'Semi Rev'!J11&gt;0),'Semi Rev'!N11/'Semi Rev'!J11-1,""),"")</f>
        <v/>
      </c>
      <c r="K154" s="37">
        <f>IFERROR(IF(AND(ISNUMBER('Semi Rev'!O11),ISNUMBER('Semi Rev'!K11),'Semi Rev'!K11&gt;0),'Semi Rev'!O11/'Semi Rev'!K11-1,""),"")</f>
        <v/>
      </c>
      <c r="L154" s="37">
        <f>IFERROR(IF(AND(ISNUMBER('Semi Rev'!P11),ISNUMBER('Semi Rev'!L11),'Semi Rev'!L11&gt;0),'Semi Rev'!P11/'Semi Rev'!L11-1,""),"")</f>
        <v/>
      </c>
      <c r="M154" s="38">
        <f>IFERROR(IF(AND(ISNUMBER('Semi Rev'!Q11),ISNUMBER('Semi Rev'!M11),'Semi Rev'!M11&gt;0),'Semi Rev'!Q11/'Semi Rev'!M11-1,""),"")</f>
        <v/>
      </c>
      <c r="N154" s="38">
        <f>IFERROR(IF(AND(ISNUMBER('Semi Rev'!R11),ISNUMBER('Semi Rev'!N11),'Semi Rev'!N11&gt;0),'Semi Rev'!R11/'Semi Rev'!N11-1,""),"")</f>
        <v/>
      </c>
    </row>
    <row r="155">
      <c r="A155" s="19">
        <f>'Semi Rev'!$A12</f>
        <v/>
      </c>
      <c r="B155" s="19">
        <f>'Semi Rev'!$B12</f>
        <v/>
      </c>
      <c r="C155" s="37">
        <f>IFERROR(IF(AND(ISNUMBER('Semi Rev'!G12),ISNUMBER('Semi Rev'!C12),'Semi Rev'!C12&gt;0),'Semi Rev'!G12/'Semi Rev'!C12-1,""),"")</f>
        <v/>
      </c>
      <c r="D155" s="37">
        <f>IFERROR(IF(AND(ISNUMBER('Semi Rev'!H12),ISNUMBER('Semi Rev'!D12),'Semi Rev'!D12&gt;0),'Semi Rev'!H12/'Semi Rev'!D12-1,""),"")</f>
        <v/>
      </c>
      <c r="E155" s="37">
        <f>IFERROR(IF(AND(ISNUMBER('Semi Rev'!I12),ISNUMBER('Semi Rev'!E12),'Semi Rev'!E12&gt;0),'Semi Rev'!I12/'Semi Rev'!E12-1,""),"")</f>
        <v/>
      </c>
      <c r="F155" s="37">
        <f>IFERROR(IF(AND(ISNUMBER('Semi Rev'!J12),ISNUMBER('Semi Rev'!F12),'Semi Rev'!F12&gt;0),'Semi Rev'!J12/'Semi Rev'!F12-1,""),"")</f>
        <v/>
      </c>
      <c r="G155" s="37">
        <f>IFERROR(IF(AND(ISNUMBER('Semi Rev'!K12),ISNUMBER('Semi Rev'!G12),'Semi Rev'!G12&gt;0),'Semi Rev'!K12/'Semi Rev'!G12-1,""),"")</f>
        <v/>
      </c>
      <c r="H155" s="37">
        <f>IFERROR(IF(AND(ISNUMBER('Semi Rev'!L12),ISNUMBER('Semi Rev'!H12),'Semi Rev'!H12&gt;0),'Semi Rev'!L12/'Semi Rev'!H12-1,""),"")</f>
        <v/>
      </c>
      <c r="I155" s="37">
        <f>IFERROR(IF(AND(ISNUMBER('Semi Rev'!M12),ISNUMBER('Semi Rev'!I12),'Semi Rev'!I12&gt;0),'Semi Rev'!M12/'Semi Rev'!I12-1,""),"")</f>
        <v/>
      </c>
      <c r="J155" s="37">
        <f>IFERROR(IF(AND(ISNUMBER('Semi Rev'!N12),ISNUMBER('Semi Rev'!J12),'Semi Rev'!J12&gt;0),'Semi Rev'!N12/'Semi Rev'!J12-1,""),"")</f>
        <v/>
      </c>
      <c r="K155" s="37">
        <f>IFERROR(IF(AND(ISNUMBER('Semi Rev'!O12),ISNUMBER('Semi Rev'!K12),'Semi Rev'!K12&gt;0),'Semi Rev'!O12/'Semi Rev'!K12-1,""),"")</f>
        <v/>
      </c>
      <c r="L155" s="37">
        <f>IFERROR(IF(AND(ISNUMBER('Semi Rev'!P12),ISNUMBER('Semi Rev'!L12),'Semi Rev'!L12&gt;0),'Semi Rev'!P12/'Semi Rev'!L12-1,""),"")</f>
        <v/>
      </c>
      <c r="M155" s="38">
        <f>IFERROR(IF(AND(ISNUMBER('Semi Rev'!Q12),ISNUMBER('Semi Rev'!M12),'Semi Rev'!M12&gt;0),'Semi Rev'!Q12/'Semi Rev'!M12-1,""),"")</f>
        <v/>
      </c>
      <c r="N155" s="38">
        <f>IFERROR(IF(AND(ISNUMBER('Semi Rev'!R12),ISNUMBER('Semi Rev'!N12),'Semi Rev'!N12&gt;0),'Semi Rev'!R12/'Semi Rev'!N12-1,""),"")</f>
        <v/>
      </c>
    </row>
    <row r="156">
      <c r="A156" s="19">
        <f>'Semi Rev'!$A13</f>
        <v/>
      </c>
      <c r="B156" s="19">
        <f>'Semi Rev'!$B13</f>
        <v/>
      </c>
      <c r="C156" s="37">
        <f>IFERROR(IF(AND(ISNUMBER('Semi Rev'!G13),ISNUMBER('Semi Rev'!C13),'Semi Rev'!C13&gt;0),'Semi Rev'!G13/'Semi Rev'!C13-1,""),"")</f>
        <v/>
      </c>
      <c r="D156" s="37">
        <f>IFERROR(IF(AND(ISNUMBER('Semi Rev'!H13),ISNUMBER('Semi Rev'!D13),'Semi Rev'!D13&gt;0),'Semi Rev'!H13/'Semi Rev'!D13-1,""),"")</f>
        <v/>
      </c>
      <c r="E156" s="37">
        <f>IFERROR(IF(AND(ISNUMBER('Semi Rev'!I13),ISNUMBER('Semi Rev'!E13),'Semi Rev'!E13&gt;0),'Semi Rev'!I13/'Semi Rev'!E13-1,""),"")</f>
        <v/>
      </c>
      <c r="F156" s="37">
        <f>IFERROR(IF(AND(ISNUMBER('Semi Rev'!J13),ISNUMBER('Semi Rev'!F13),'Semi Rev'!F13&gt;0),'Semi Rev'!J13/'Semi Rev'!F13-1,""),"")</f>
        <v/>
      </c>
      <c r="G156" s="37">
        <f>IFERROR(IF(AND(ISNUMBER('Semi Rev'!K13),ISNUMBER('Semi Rev'!G13),'Semi Rev'!G13&gt;0),'Semi Rev'!K13/'Semi Rev'!G13-1,""),"")</f>
        <v/>
      </c>
      <c r="H156" s="37">
        <f>IFERROR(IF(AND(ISNUMBER('Semi Rev'!L13),ISNUMBER('Semi Rev'!H13),'Semi Rev'!H13&gt;0),'Semi Rev'!L13/'Semi Rev'!H13-1,""),"")</f>
        <v/>
      </c>
      <c r="I156" s="37">
        <f>IFERROR(IF(AND(ISNUMBER('Semi Rev'!M13),ISNUMBER('Semi Rev'!I13),'Semi Rev'!I13&gt;0),'Semi Rev'!M13/'Semi Rev'!I13-1,""),"")</f>
        <v/>
      </c>
      <c r="J156" s="37">
        <f>IFERROR(IF(AND(ISNUMBER('Semi Rev'!N13),ISNUMBER('Semi Rev'!J13),'Semi Rev'!J13&gt;0),'Semi Rev'!N13/'Semi Rev'!J13-1,""),"")</f>
        <v/>
      </c>
      <c r="K156" s="37">
        <f>IFERROR(IF(AND(ISNUMBER('Semi Rev'!O13),ISNUMBER('Semi Rev'!K13),'Semi Rev'!K13&gt;0),'Semi Rev'!O13/'Semi Rev'!K13-1,""),"")</f>
        <v/>
      </c>
      <c r="L156" s="37">
        <f>IFERROR(IF(AND(ISNUMBER('Semi Rev'!P13),ISNUMBER('Semi Rev'!L13),'Semi Rev'!L13&gt;0),'Semi Rev'!P13/'Semi Rev'!L13-1,""),"")</f>
        <v/>
      </c>
      <c r="M156" s="38">
        <f>IFERROR(IF(AND(ISNUMBER('Semi Rev'!Q13),ISNUMBER('Semi Rev'!M13),'Semi Rev'!M13&gt;0),'Semi Rev'!Q13/'Semi Rev'!M13-1,""),"")</f>
        <v/>
      </c>
      <c r="N156" s="38">
        <f>IFERROR(IF(AND(ISNUMBER('Semi Rev'!R13),ISNUMBER('Semi Rev'!N13),'Semi Rev'!N13&gt;0),'Semi Rev'!R13/'Semi Rev'!N13-1,""),"")</f>
        <v/>
      </c>
    </row>
    <row r="157">
      <c r="A157" s="19">
        <f>'Semi Rev'!$A14</f>
        <v/>
      </c>
      <c r="B157" s="19">
        <f>'Semi Rev'!$B14</f>
        <v/>
      </c>
      <c r="C157" s="37">
        <f>IFERROR(IF(AND(ISNUMBER('Semi Rev'!G14),ISNUMBER('Semi Rev'!C14),'Semi Rev'!C14&gt;0),'Semi Rev'!G14/'Semi Rev'!C14-1,""),"")</f>
        <v/>
      </c>
      <c r="D157" s="37">
        <f>IFERROR(IF(AND(ISNUMBER('Semi Rev'!H14),ISNUMBER('Semi Rev'!D14),'Semi Rev'!D14&gt;0),'Semi Rev'!H14/'Semi Rev'!D14-1,""),"")</f>
        <v/>
      </c>
      <c r="E157" s="37">
        <f>IFERROR(IF(AND(ISNUMBER('Semi Rev'!I14),ISNUMBER('Semi Rev'!E14),'Semi Rev'!E14&gt;0),'Semi Rev'!I14/'Semi Rev'!E14-1,""),"")</f>
        <v/>
      </c>
      <c r="F157" s="37">
        <f>IFERROR(IF(AND(ISNUMBER('Semi Rev'!J14),ISNUMBER('Semi Rev'!F14),'Semi Rev'!F14&gt;0),'Semi Rev'!J14/'Semi Rev'!F14-1,""),"")</f>
        <v/>
      </c>
      <c r="G157" s="37">
        <f>IFERROR(IF(AND(ISNUMBER('Semi Rev'!K14),ISNUMBER('Semi Rev'!G14),'Semi Rev'!G14&gt;0),'Semi Rev'!K14/'Semi Rev'!G14-1,""),"")</f>
        <v/>
      </c>
      <c r="H157" s="37">
        <f>IFERROR(IF(AND(ISNUMBER('Semi Rev'!L14),ISNUMBER('Semi Rev'!H14),'Semi Rev'!H14&gt;0),'Semi Rev'!L14/'Semi Rev'!H14-1,""),"")</f>
        <v/>
      </c>
      <c r="I157" s="37">
        <f>IFERROR(IF(AND(ISNUMBER('Semi Rev'!M14),ISNUMBER('Semi Rev'!I14),'Semi Rev'!I14&gt;0),'Semi Rev'!M14/'Semi Rev'!I14-1,""),"")</f>
        <v/>
      </c>
      <c r="J157" s="37">
        <f>IFERROR(IF(AND(ISNUMBER('Semi Rev'!N14),ISNUMBER('Semi Rev'!J14),'Semi Rev'!J14&gt;0),'Semi Rev'!N14/'Semi Rev'!J14-1,""),"")</f>
        <v/>
      </c>
      <c r="K157" s="37">
        <f>IFERROR(IF(AND(ISNUMBER('Semi Rev'!O14),ISNUMBER('Semi Rev'!K14),'Semi Rev'!K14&gt;0),'Semi Rev'!O14/'Semi Rev'!K14-1,""),"")</f>
        <v/>
      </c>
      <c r="L157" s="37">
        <f>IFERROR(IF(AND(ISNUMBER('Semi Rev'!P14),ISNUMBER('Semi Rev'!L14),'Semi Rev'!L14&gt;0),'Semi Rev'!P14/'Semi Rev'!L14-1,""),"")</f>
        <v/>
      </c>
      <c r="M157" s="38">
        <f>IFERROR(IF(AND(ISNUMBER('Semi Rev'!Q14),ISNUMBER('Semi Rev'!M14),'Semi Rev'!M14&gt;0),'Semi Rev'!Q14/'Semi Rev'!M14-1,""),"")</f>
        <v/>
      </c>
      <c r="N157" s="38">
        <f>IFERROR(IF(AND(ISNUMBER('Semi Rev'!R14),ISNUMBER('Semi Rev'!N14),'Semi Rev'!N14&gt;0),'Semi Rev'!R14/'Semi Rev'!N14-1,""),"")</f>
        <v/>
      </c>
    </row>
    <row r="158">
      <c r="A158" s="19">
        <f>'Semi Rev'!$A15</f>
        <v/>
      </c>
      <c r="B158" s="19">
        <f>'Semi Rev'!$B15</f>
        <v/>
      </c>
      <c r="C158" s="37">
        <f>IFERROR(IF(AND(ISNUMBER('Semi Rev'!G15),ISNUMBER('Semi Rev'!C15),'Semi Rev'!C15&gt;0),'Semi Rev'!G15/'Semi Rev'!C15-1,""),"")</f>
        <v/>
      </c>
      <c r="D158" s="37">
        <f>IFERROR(IF(AND(ISNUMBER('Semi Rev'!H15),ISNUMBER('Semi Rev'!D15),'Semi Rev'!D15&gt;0),'Semi Rev'!H15/'Semi Rev'!D15-1,""),"")</f>
        <v/>
      </c>
      <c r="E158" s="37">
        <f>IFERROR(IF(AND(ISNUMBER('Semi Rev'!I15),ISNUMBER('Semi Rev'!E15),'Semi Rev'!E15&gt;0),'Semi Rev'!I15/'Semi Rev'!E15-1,""),"")</f>
        <v/>
      </c>
      <c r="F158" s="37">
        <f>IFERROR(IF(AND(ISNUMBER('Semi Rev'!J15),ISNUMBER('Semi Rev'!F15),'Semi Rev'!F15&gt;0),'Semi Rev'!J15/'Semi Rev'!F15-1,""),"")</f>
        <v/>
      </c>
      <c r="G158" s="37">
        <f>IFERROR(IF(AND(ISNUMBER('Semi Rev'!K15),ISNUMBER('Semi Rev'!G15),'Semi Rev'!G15&gt;0),'Semi Rev'!K15/'Semi Rev'!G15-1,""),"")</f>
        <v/>
      </c>
      <c r="H158" s="37">
        <f>IFERROR(IF(AND(ISNUMBER('Semi Rev'!L15),ISNUMBER('Semi Rev'!H15),'Semi Rev'!H15&gt;0),'Semi Rev'!L15/'Semi Rev'!H15-1,""),"")</f>
        <v/>
      </c>
      <c r="I158" s="37">
        <f>IFERROR(IF(AND(ISNUMBER('Semi Rev'!M15),ISNUMBER('Semi Rev'!I15),'Semi Rev'!I15&gt;0),'Semi Rev'!M15/'Semi Rev'!I15-1,""),"")</f>
        <v/>
      </c>
      <c r="J158" s="37">
        <f>IFERROR(IF(AND(ISNUMBER('Semi Rev'!N15),ISNUMBER('Semi Rev'!J15),'Semi Rev'!J15&gt;0),'Semi Rev'!N15/'Semi Rev'!J15-1,""),"")</f>
        <v/>
      </c>
      <c r="K158" s="37">
        <f>IFERROR(IF(AND(ISNUMBER('Semi Rev'!O15),ISNUMBER('Semi Rev'!K15),'Semi Rev'!K15&gt;0),'Semi Rev'!O15/'Semi Rev'!K15-1,""),"")</f>
        <v/>
      </c>
      <c r="L158" s="37">
        <f>IFERROR(IF(AND(ISNUMBER('Semi Rev'!P15),ISNUMBER('Semi Rev'!L15),'Semi Rev'!L15&gt;0),'Semi Rev'!P15/'Semi Rev'!L15-1,""),"")</f>
        <v/>
      </c>
      <c r="M158" s="38">
        <f>IFERROR(IF(AND(ISNUMBER('Semi Rev'!Q15),ISNUMBER('Semi Rev'!M15),'Semi Rev'!M15&gt;0),'Semi Rev'!Q15/'Semi Rev'!M15-1,""),"")</f>
        <v/>
      </c>
      <c r="N158" s="38">
        <f>IFERROR(IF(AND(ISNUMBER('Semi Rev'!R15),ISNUMBER('Semi Rev'!N15),'Semi Rev'!N15&gt;0),'Semi Rev'!R15/'Semi Rev'!N15-1,""),"")</f>
        <v/>
      </c>
    </row>
    <row r="159">
      <c r="A159" s="19">
        <f>'Semi Rev'!$A16</f>
        <v/>
      </c>
      <c r="B159" s="19">
        <f>'Semi Rev'!$B16</f>
        <v/>
      </c>
      <c r="C159" s="37">
        <f>IFERROR(IF(AND(ISNUMBER('Semi Rev'!G16),ISNUMBER('Semi Rev'!C16),'Semi Rev'!C16&gt;0),'Semi Rev'!G16/'Semi Rev'!C16-1,""),"")</f>
        <v/>
      </c>
      <c r="D159" s="37">
        <f>IFERROR(IF(AND(ISNUMBER('Semi Rev'!H16),ISNUMBER('Semi Rev'!D16),'Semi Rev'!D16&gt;0),'Semi Rev'!H16/'Semi Rev'!D16-1,""),"")</f>
        <v/>
      </c>
      <c r="E159" s="37">
        <f>IFERROR(IF(AND(ISNUMBER('Semi Rev'!I16),ISNUMBER('Semi Rev'!E16),'Semi Rev'!E16&gt;0),'Semi Rev'!I16/'Semi Rev'!E16-1,""),"")</f>
        <v/>
      </c>
      <c r="F159" s="37">
        <f>IFERROR(IF(AND(ISNUMBER('Semi Rev'!J16),ISNUMBER('Semi Rev'!F16),'Semi Rev'!F16&gt;0),'Semi Rev'!J16/'Semi Rev'!F16-1,""),"")</f>
        <v/>
      </c>
      <c r="G159" s="37">
        <f>IFERROR(IF(AND(ISNUMBER('Semi Rev'!K16),ISNUMBER('Semi Rev'!G16),'Semi Rev'!G16&gt;0),'Semi Rev'!K16/'Semi Rev'!G16-1,""),"")</f>
        <v/>
      </c>
      <c r="H159" s="37">
        <f>IFERROR(IF(AND(ISNUMBER('Semi Rev'!L16),ISNUMBER('Semi Rev'!H16),'Semi Rev'!H16&gt;0),'Semi Rev'!L16/'Semi Rev'!H16-1,""),"")</f>
        <v/>
      </c>
      <c r="I159" s="37">
        <f>IFERROR(IF(AND(ISNUMBER('Semi Rev'!M16),ISNUMBER('Semi Rev'!I16),'Semi Rev'!I16&gt;0),'Semi Rev'!M16/'Semi Rev'!I16-1,""),"")</f>
        <v/>
      </c>
      <c r="J159" s="37">
        <f>IFERROR(IF(AND(ISNUMBER('Semi Rev'!N16),ISNUMBER('Semi Rev'!J16),'Semi Rev'!J16&gt;0),'Semi Rev'!N16/'Semi Rev'!J16-1,""),"")</f>
        <v/>
      </c>
      <c r="K159" s="37">
        <f>IFERROR(IF(AND(ISNUMBER('Semi Rev'!O16),ISNUMBER('Semi Rev'!K16),'Semi Rev'!K16&gt;0),'Semi Rev'!O16/'Semi Rev'!K16-1,""),"")</f>
        <v/>
      </c>
      <c r="L159" s="37">
        <f>IFERROR(IF(AND(ISNUMBER('Semi Rev'!P16),ISNUMBER('Semi Rev'!L16),'Semi Rev'!L16&gt;0),'Semi Rev'!P16/'Semi Rev'!L16-1,""),"")</f>
        <v/>
      </c>
      <c r="M159" s="38">
        <f>IFERROR(IF(AND(ISNUMBER('Semi Rev'!Q16),ISNUMBER('Semi Rev'!M16),'Semi Rev'!M16&gt;0),'Semi Rev'!Q16/'Semi Rev'!M16-1,""),"")</f>
        <v/>
      </c>
      <c r="N159" s="38">
        <f>IFERROR(IF(AND(ISNUMBER('Semi Rev'!R16),ISNUMBER('Semi Rev'!N16),'Semi Rev'!N16&gt;0),'Semi Rev'!R16/'Semi Rev'!N16-1,""),"")</f>
        <v/>
      </c>
    </row>
    <row r="160">
      <c r="A160" s="19">
        <f>'Semi Rev'!$A17</f>
        <v/>
      </c>
      <c r="B160" s="19">
        <f>'Semi Rev'!$B17</f>
        <v/>
      </c>
      <c r="C160" s="37">
        <f>IFERROR(IF(AND(ISNUMBER('Semi Rev'!G17),ISNUMBER('Semi Rev'!C17),'Semi Rev'!C17&gt;0),'Semi Rev'!G17/'Semi Rev'!C17-1,""),"")</f>
        <v/>
      </c>
      <c r="D160" s="37">
        <f>IFERROR(IF(AND(ISNUMBER('Semi Rev'!H17),ISNUMBER('Semi Rev'!D17),'Semi Rev'!D17&gt;0),'Semi Rev'!H17/'Semi Rev'!D17-1,""),"")</f>
        <v/>
      </c>
      <c r="E160" s="37">
        <f>IFERROR(IF(AND(ISNUMBER('Semi Rev'!I17),ISNUMBER('Semi Rev'!E17),'Semi Rev'!E17&gt;0),'Semi Rev'!I17/'Semi Rev'!E17-1,""),"")</f>
        <v/>
      </c>
      <c r="F160" s="37">
        <f>IFERROR(IF(AND(ISNUMBER('Semi Rev'!J17),ISNUMBER('Semi Rev'!F17),'Semi Rev'!F17&gt;0),'Semi Rev'!J17/'Semi Rev'!F17-1,""),"")</f>
        <v/>
      </c>
      <c r="G160" s="37">
        <f>IFERROR(IF(AND(ISNUMBER('Semi Rev'!K17),ISNUMBER('Semi Rev'!G17),'Semi Rev'!G17&gt;0),'Semi Rev'!K17/'Semi Rev'!G17-1,""),"")</f>
        <v/>
      </c>
      <c r="H160" s="37">
        <f>IFERROR(IF(AND(ISNUMBER('Semi Rev'!L17),ISNUMBER('Semi Rev'!H17),'Semi Rev'!H17&gt;0),'Semi Rev'!L17/'Semi Rev'!H17-1,""),"")</f>
        <v/>
      </c>
      <c r="I160" s="37">
        <f>IFERROR(IF(AND(ISNUMBER('Semi Rev'!M17),ISNUMBER('Semi Rev'!I17),'Semi Rev'!I17&gt;0),'Semi Rev'!M17/'Semi Rev'!I17-1,""),"")</f>
        <v/>
      </c>
      <c r="J160" s="37">
        <f>IFERROR(IF(AND(ISNUMBER('Semi Rev'!N17),ISNUMBER('Semi Rev'!J17),'Semi Rev'!J17&gt;0),'Semi Rev'!N17/'Semi Rev'!J17-1,""),"")</f>
        <v/>
      </c>
      <c r="K160" s="37">
        <f>IFERROR(IF(AND(ISNUMBER('Semi Rev'!O17),ISNUMBER('Semi Rev'!K17),'Semi Rev'!K17&gt;0),'Semi Rev'!O17/'Semi Rev'!K17-1,""),"")</f>
        <v/>
      </c>
      <c r="L160" s="37">
        <f>IFERROR(IF(AND(ISNUMBER('Semi Rev'!P17),ISNUMBER('Semi Rev'!L17),'Semi Rev'!L17&gt;0),'Semi Rev'!P17/'Semi Rev'!L17-1,""),"")</f>
        <v/>
      </c>
      <c r="M160" s="38">
        <f>IFERROR(IF(AND(ISNUMBER('Semi Rev'!Q17),ISNUMBER('Semi Rev'!M17),'Semi Rev'!M17&gt;0),'Semi Rev'!Q17/'Semi Rev'!M17-1,""),"")</f>
        <v/>
      </c>
      <c r="N160" s="38">
        <f>IFERROR(IF(AND(ISNUMBER('Semi Rev'!R17),ISNUMBER('Semi Rev'!N17),'Semi Rev'!N17&gt;0),'Semi Rev'!R17/'Semi Rev'!N17-1,""),"")</f>
        <v/>
      </c>
    </row>
    <row r="161">
      <c r="A161" s="19">
        <f>'Semi Rev'!$A18</f>
        <v/>
      </c>
      <c r="B161" s="19">
        <f>'Semi Rev'!$B18</f>
        <v/>
      </c>
      <c r="C161" s="37">
        <f>IFERROR(IF(AND(ISNUMBER('Semi Rev'!G18),ISNUMBER('Semi Rev'!C18),'Semi Rev'!C18&gt;0),'Semi Rev'!G18/'Semi Rev'!C18-1,""),"")</f>
        <v/>
      </c>
      <c r="D161" s="37">
        <f>IFERROR(IF(AND(ISNUMBER('Semi Rev'!H18),ISNUMBER('Semi Rev'!D18),'Semi Rev'!D18&gt;0),'Semi Rev'!H18/'Semi Rev'!D18-1,""),"")</f>
        <v/>
      </c>
      <c r="E161" s="37">
        <f>IFERROR(IF(AND(ISNUMBER('Semi Rev'!I18),ISNUMBER('Semi Rev'!E18),'Semi Rev'!E18&gt;0),'Semi Rev'!I18/'Semi Rev'!E18-1,""),"")</f>
        <v/>
      </c>
      <c r="F161" s="37">
        <f>IFERROR(IF(AND(ISNUMBER('Semi Rev'!J18),ISNUMBER('Semi Rev'!F18),'Semi Rev'!F18&gt;0),'Semi Rev'!J18/'Semi Rev'!F18-1,""),"")</f>
        <v/>
      </c>
      <c r="G161" s="37">
        <f>IFERROR(IF(AND(ISNUMBER('Semi Rev'!K18),ISNUMBER('Semi Rev'!G18),'Semi Rev'!G18&gt;0),'Semi Rev'!K18/'Semi Rev'!G18-1,""),"")</f>
        <v/>
      </c>
      <c r="H161" s="37">
        <f>IFERROR(IF(AND(ISNUMBER('Semi Rev'!L18),ISNUMBER('Semi Rev'!H18),'Semi Rev'!H18&gt;0),'Semi Rev'!L18/'Semi Rev'!H18-1,""),"")</f>
        <v/>
      </c>
      <c r="I161" s="37">
        <f>IFERROR(IF(AND(ISNUMBER('Semi Rev'!M18),ISNUMBER('Semi Rev'!I18),'Semi Rev'!I18&gt;0),'Semi Rev'!M18/'Semi Rev'!I18-1,""),"")</f>
        <v/>
      </c>
      <c r="J161" s="37">
        <f>IFERROR(IF(AND(ISNUMBER('Semi Rev'!N18),ISNUMBER('Semi Rev'!J18),'Semi Rev'!J18&gt;0),'Semi Rev'!N18/'Semi Rev'!J18-1,""),"")</f>
        <v/>
      </c>
      <c r="K161" s="37">
        <f>IFERROR(IF(AND(ISNUMBER('Semi Rev'!O18),ISNUMBER('Semi Rev'!K18),'Semi Rev'!K18&gt;0),'Semi Rev'!O18/'Semi Rev'!K18-1,""),"")</f>
        <v/>
      </c>
      <c r="L161" s="37">
        <f>IFERROR(IF(AND(ISNUMBER('Semi Rev'!P18),ISNUMBER('Semi Rev'!L18),'Semi Rev'!L18&gt;0),'Semi Rev'!P18/'Semi Rev'!L18-1,""),"")</f>
        <v/>
      </c>
      <c r="M161" s="38">
        <f>IFERROR(IF(AND(ISNUMBER('Semi Rev'!Q18),ISNUMBER('Semi Rev'!M18),'Semi Rev'!M18&gt;0),'Semi Rev'!Q18/'Semi Rev'!M18-1,""),"")</f>
        <v/>
      </c>
      <c r="N161" s="38">
        <f>IFERROR(IF(AND(ISNUMBER('Semi Rev'!R18),ISNUMBER('Semi Rev'!N18),'Semi Rev'!N18&gt;0),'Semi Rev'!R18/'Semi Rev'!N18-1,""),"")</f>
        <v/>
      </c>
    </row>
    <row r="162">
      <c r="A162" s="19">
        <f>'Semi Rev'!$A19</f>
        <v/>
      </c>
      <c r="B162" s="19">
        <f>'Semi Rev'!$B19</f>
        <v/>
      </c>
      <c r="C162" s="37">
        <f>IFERROR(IF(AND(ISNUMBER('Semi Rev'!G19),ISNUMBER('Semi Rev'!C19),'Semi Rev'!C19&gt;0),'Semi Rev'!G19/'Semi Rev'!C19-1,""),"")</f>
        <v/>
      </c>
      <c r="D162" s="37">
        <f>IFERROR(IF(AND(ISNUMBER('Semi Rev'!H19),ISNUMBER('Semi Rev'!D19),'Semi Rev'!D19&gt;0),'Semi Rev'!H19/'Semi Rev'!D19-1,""),"")</f>
        <v/>
      </c>
      <c r="E162" s="37">
        <f>IFERROR(IF(AND(ISNUMBER('Semi Rev'!I19),ISNUMBER('Semi Rev'!E19),'Semi Rev'!E19&gt;0),'Semi Rev'!I19/'Semi Rev'!E19-1,""),"")</f>
        <v/>
      </c>
      <c r="F162" s="37">
        <f>IFERROR(IF(AND(ISNUMBER('Semi Rev'!J19),ISNUMBER('Semi Rev'!F19),'Semi Rev'!F19&gt;0),'Semi Rev'!J19/'Semi Rev'!F19-1,""),"")</f>
        <v/>
      </c>
      <c r="G162" s="37">
        <f>IFERROR(IF(AND(ISNUMBER('Semi Rev'!K19),ISNUMBER('Semi Rev'!G19),'Semi Rev'!G19&gt;0),'Semi Rev'!K19/'Semi Rev'!G19-1,""),"")</f>
        <v/>
      </c>
      <c r="H162" s="37">
        <f>IFERROR(IF(AND(ISNUMBER('Semi Rev'!L19),ISNUMBER('Semi Rev'!H19),'Semi Rev'!H19&gt;0),'Semi Rev'!L19/'Semi Rev'!H19-1,""),"")</f>
        <v/>
      </c>
      <c r="I162" s="37">
        <f>IFERROR(IF(AND(ISNUMBER('Semi Rev'!M19),ISNUMBER('Semi Rev'!I19),'Semi Rev'!I19&gt;0),'Semi Rev'!M19/'Semi Rev'!I19-1,""),"")</f>
        <v/>
      </c>
      <c r="J162" s="37">
        <f>IFERROR(IF(AND(ISNUMBER('Semi Rev'!N19),ISNUMBER('Semi Rev'!J19),'Semi Rev'!J19&gt;0),'Semi Rev'!N19/'Semi Rev'!J19-1,""),"")</f>
        <v/>
      </c>
      <c r="K162" s="37">
        <f>IFERROR(IF(AND(ISNUMBER('Semi Rev'!O19),ISNUMBER('Semi Rev'!K19),'Semi Rev'!K19&gt;0),'Semi Rev'!O19/'Semi Rev'!K19-1,""),"")</f>
        <v/>
      </c>
      <c r="L162" s="37">
        <f>IFERROR(IF(AND(ISNUMBER('Semi Rev'!P19),ISNUMBER('Semi Rev'!L19),'Semi Rev'!L19&gt;0),'Semi Rev'!P19/'Semi Rev'!L19-1,""),"")</f>
        <v/>
      </c>
      <c r="M162" s="38">
        <f>IFERROR(IF(AND(ISNUMBER('Semi Rev'!Q19),ISNUMBER('Semi Rev'!M19),'Semi Rev'!M19&gt;0),'Semi Rev'!Q19/'Semi Rev'!M19-1,""),"")</f>
        <v/>
      </c>
      <c r="N162" s="38">
        <f>IFERROR(IF(AND(ISNUMBER('Semi Rev'!R19),ISNUMBER('Semi Rev'!N19),'Semi Rev'!N19&gt;0),'Semi Rev'!R19/'Semi Rev'!N19-1,""),"")</f>
        <v/>
      </c>
    </row>
    <row r="163">
      <c r="A163" s="19">
        <f>'Semi Rev'!$A20</f>
        <v/>
      </c>
      <c r="B163" s="19">
        <f>'Semi Rev'!$B20</f>
        <v/>
      </c>
      <c r="C163" s="37">
        <f>IFERROR(IF(AND(ISNUMBER('Semi Rev'!G20),ISNUMBER('Semi Rev'!C20),'Semi Rev'!C20&gt;0),'Semi Rev'!G20/'Semi Rev'!C20-1,""),"")</f>
        <v/>
      </c>
      <c r="D163" s="37">
        <f>IFERROR(IF(AND(ISNUMBER('Semi Rev'!H20),ISNUMBER('Semi Rev'!D20),'Semi Rev'!D20&gt;0),'Semi Rev'!H20/'Semi Rev'!D20-1,""),"")</f>
        <v/>
      </c>
      <c r="E163" s="37">
        <f>IFERROR(IF(AND(ISNUMBER('Semi Rev'!I20),ISNUMBER('Semi Rev'!E20),'Semi Rev'!E20&gt;0),'Semi Rev'!I20/'Semi Rev'!E20-1,""),"")</f>
        <v/>
      </c>
      <c r="F163" s="37">
        <f>IFERROR(IF(AND(ISNUMBER('Semi Rev'!J20),ISNUMBER('Semi Rev'!F20),'Semi Rev'!F20&gt;0),'Semi Rev'!J20/'Semi Rev'!F20-1,""),"")</f>
        <v/>
      </c>
      <c r="G163" s="37">
        <f>IFERROR(IF(AND(ISNUMBER('Semi Rev'!K20),ISNUMBER('Semi Rev'!G20),'Semi Rev'!G20&gt;0),'Semi Rev'!K20/'Semi Rev'!G20-1,""),"")</f>
        <v/>
      </c>
      <c r="H163" s="37">
        <f>IFERROR(IF(AND(ISNUMBER('Semi Rev'!L20),ISNUMBER('Semi Rev'!H20),'Semi Rev'!H20&gt;0),'Semi Rev'!L20/'Semi Rev'!H20-1,""),"")</f>
        <v/>
      </c>
      <c r="I163" s="37">
        <f>IFERROR(IF(AND(ISNUMBER('Semi Rev'!M20),ISNUMBER('Semi Rev'!I20),'Semi Rev'!I20&gt;0),'Semi Rev'!M20/'Semi Rev'!I20-1,""),"")</f>
        <v/>
      </c>
      <c r="J163" s="37">
        <f>IFERROR(IF(AND(ISNUMBER('Semi Rev'!N20),ISNUMBER('Semi Rev'!J20),'Semi Rev'!J20&gt;0),'Semi Rev'!N20/'Semi Rev'!J20-1,""),"")</f>
        <v/>
      </c>
      <c r="K163" s="37">
        <f>IFERROR(IF(AND(ISNUMBER('Semi Rev'!O20),ISNUMBER('Semi Rev'!K20),'Semi Rev'!K20&gt;0),'Semi Rev'!O20/'Semi Rev'!K20-1,""),"")</f>
        <v/>
      </c>
      <c r="L163" s="37">
        <f>IFERROR(IF(AND(ISNUMBER('Semi Rev'!P20),ISNUMBER('Semi Rev'!L20),'Semi Rev'!L20&gt;0),'Semi Rev'!P20/'Semi Rev'!L20-1,""),"")</f>
        <v/>
      </c>
      <c r="M163" s="38">
        <f>IFERROR(IF(AND(ISNUMBER('Semi Rev'!Q20),ISNUMBER('Semi Rev'!M20),'Semi Rev'!M20&gt;0),'Semi Rev'!Q20/'Semi Rev'!M20-1,""),"")</f>
        <v/>
      </c>
      <c r="N163" s="38">
        <f>IFERROR(IF(AND(ISNUMBER('Semi Rev'!R20),ISNUMBER('Semi Rev'!N20),'Semi Rev'!N20&gt;0),'Semi Rev'!R20/'Semi Rev'!N20-1,""),"")</f>
        <v/>
      </c>
    </row>
    <row r="164">
      <c r="A164" s="19">
        <f>'Semi Rev'!$A21</f>
        <v/>
      </c>
      <c r="B164" s="19">
        <f>'Semi Rev'!$B21</f>
        <v/>
      </c>
      <c r="C164" s="37">
        <f>IFERROR(IF(AND(ISNUMBER('Semi Rev'!G21),ISNUMBER('Semi Rev'!C21),'Semi Rev'!C21&gt;0),'Semi Rev'!G21/'Semi Rev'!C21-1,""),"")</f>
        <v/>
      </c>
      <c r="D164" s="37">
        <f>IFERROR(IF(AND(ISNUMBER('Semi Rev'!H21),ISNUMBER('Semi Rev'!D21),'Semi Rev'!D21&gt;0),'Semi Rev'!H21/'Semi Rev'!D21-1,""),"")</f>
        <v/>
      </c>
      <c r="E164" s="37">
        <f>IFERROR(IF(AND(ISNUMBER('Semi Rev'!I21),ISNUMBER('Semi Rev'!E21),'Semi Rev'!E21&gt;0),'Semi Rev'!I21/'Semi Rev'!E21-1,""),"")</f>
        <v/>
      </c>
      <c r="F164" s="37">
        <f>IFERROR(IF(AND(ISNUMBER('Semi Rev'!J21),ISNUMBER('Semi Rev'!F21),'Semi Rev'!F21&gt;0),'Semi Rev'!J21/'Semi Rev'!F21-1,""),"")</f>
        <v/>
      </c>
      <c r="G164" s="37">
        <f>IFERROR(IF(AND(ISNUMBER('Semi Rev'!K21),ISNUMBER('Semi Rev'!G21),'Semi Rev'!G21&gt;0),'Semi Rev'!K21/'Semi Rev'!G21-1,""),"")</f>
        <v/>
      </c>
      <c r="H164" s="37">
        <f>IFERROR(IF(AND(ISNUMBER('Semi Rev'!L21),ISNUMBER('Semi Rev'!H21),'Semi Rev'!H21&gt;0),'Semi Rev'!L21/'Semi Rev'!H21-1,""),"")</f>
        <v/>
      </c>
      <c r="I164" s="37">
        <f>IFERROR(IF(AND(ISNUMBER('Semi Rev'!M21),ISNUMBER('Semi Rev'!I21),'Semi Rev'!I21&gt;0),'Semi Rev'!M21/'Semi Rev'!I21-1,""),"")</f>
        <v/>
      </c>
      <c r="J164" s="37">
        <f>IFERROR(IF(AND(ISNUMBER('Semi Rev'!N21),ISNUMBER('Semi Rev'!J21),'Semi Rev'!J21&gt;0),'Semi Rev'!N21/'Semi Rev'!J21-1,""),"")</f>
        <v/>
      </c>
      <c r="K164" s="37">
        <f>IFERROR(IF(AND(ISNUMBER('Semi Rev'!O21),ISNUMBER('Semi Rev'!K21),'Semi Rev'!K21&gt;0),'Semi Rev'!O21/'Semi Rev'!K21-1,""),"")</f>
        <v/>
      </c>
      <c r="L164" s="37">
        <f>IFERROR(IF(AND(ISNUMBER('Semi Rev'!P21),ISNUMBER('Semi Rev'!L21),'Semi Rev'!L21&gt;0),'Semi Rev'!P21/'Semi Rev'!L21-1,""),"")</f>
        <v/>
      </c>
      <c r="M164" s="38">
        <f>IFERROR(IF(AND(ISNUMBER('Semi Rev'!Q21),ISNUMBER('Semi Rev'!M21),'Semi Rev'!M21&gt;0),'Semi Rev'!Q21/'Semi Rev'!M21-1,""),"")</f>
        <v/>
      </c>
      <c r="N164" s="38">
        <f>IFERROR(IF(AND(ISNUMBER('Semi Rev'!R21),ISNUMBER('Semi Rev'!N21),'Semi Rev'!N21&gt;0),'Semi Rev'!R21/'Semi Rev'!N21-1,""),"")</f>
        <v/>
      </c>
    </row>
    <row r="165">
      <c r="A165" s="19">
        <f>'Semi Rev'!$A22</f>
        <v/>
      </c>
      <c r="B165" s="19">
        <f>'Semi Rev'!$B22</f>
        <v/>
      </c>
      <c r="C165" s="37">
        <f>IFERROR(IF(AND(ISNUMBER('Semi Rev'!G22),ISNUMBER('Semi Rev'!C22),'Semi Rev'!C22&gt;0),'Semi Rev'!G22/'Semi Rev'!C22-1,""),"")</f>
        <v/>
      </c>
      <c r="D165" s="37">
        <f>IFERROR(IF(AND(ISNUMBER('Semi Rev'!H22),ISNUMBER('Semi Rev'!D22),'Semi Rev'!D22&gt;0),'Semi Rev'!H22/'Semi Rev'!D22-1,""),"")</f>
        <v/>
      </c>
      <c r="E165" s="37">
        <f>IFERROR(IF(AND(ISNUMBER('Semi Rev'!I22),ISNUMBER('Semi Rev'!E22),'Semi Rev'!E22&gt;0),'Semi Rev'!I22/'Semi Rev'!E22-1,""),"")</f>
        <v/>
      </c>
      <c r="F165" s="37">
        <f>IFERROR(IF(AND(ISNUMBER('Semi Rev'!J22),ISNUMBER('Semi Rev'!F22),'Semi Rev'!F22&gt;0),'Semi Rev'!J22/'Semi Rev'!F22-1,""),"")</f>
        <v/>
      </c>
      <c r="G165" s="37">
        <f>IFERROR(IF(AND(ISNUMBER('Semi Rev'!K22),ISNUMBER('Semi Rev'!G22),'Semi Rev'!G22&gt;0),'Semi Rev'!K22/'Semi Rev'!G22-1,""),"")</f>
        <v/>
      </c>
      <c r="H165" s="37">
        <f>IFERROR(IF(AND(ISNUMBER('Semi Rev'!L22),ISNUMBER('Semi Rev'!H22),'Semi Rev'!H22&gt;0),'Semi Rev'!L22/'Semi Rev'!H22-1,""),"")</f>
        <v/>
      </c>
      <c r="I165" s="37">
        <f>IFERROR(IF(AND(ISNUMBER('Semi Rev'!M22),ISNUMBER('Semi Rev'!I22),'Semi Rev'!I22&gt;0),'Semi Rev'!M22/'Semi Rev'!I22-1,""),"")</f>
        <v/>
      </c>
      <c r="J165" s="37">
        <f>IFERROR(IF(AND(ISNUMBER('Semi Rev'!N22),ISNUMBER('Semi Rev'!J22),'Semi Rev'!J22&gt;0),'Semi Rev'!N22/'Semi Rev'!J22-1,""),"")</f>
        <v/>
      </c>
      <c r="K165" s="37">
        <f>IFERROR(IF(AND(ISNUMBER('Semi Rev'!O22),ISNUMBER('Semi Rev'!K22),'Semi Rev'!K22&gt;0),'Semi Rev'!O22/'Semi Rev'!K22-1,""),"")</f>
        <v/>
      </c>
      <c r="L165" s="37">
        <f>IFERROR(IF(AND(ISNUMBER('Semi Rev'!P22),ISNUMBER('Semi Rev'!L22),'Semi Rev'!L22&gt;0),'Semi Rev'!P22/'Semi Rev'!L22-1,""),"")</f>
        <v/>
      </c>
      <c r="M165" s="38">
        <f>IFERROR(IF(AND(ISNUMBER('Semi Rev'!Q22),ISNUMBER('Semi Rev'!M22),'Semi Rev'!M22&gt;0),'Semi Rev'!Q22/'Semi Rev'!M22-1,""),"")</f>
        <v/>
      </c>
      <c r="N165" s="38">
        <f>IFERROR(IF(AND(ISNUMBER('Semi Rev'!R22),ISNUMBER('Semi Rev'!N22),'Semi Rev'!N22&gt;0),'Semi Rev'!R22/'Semi Rev'!N22-1,""),"")</f>
        <v/>
      </c>
    </row>
    <row r="166">
      <c r="A166" s="19">
        <f>'Semi Rev'!$A23</f>
        <v/>
      </c>
      <c r="B166" s="19">
        <f>'Semi Rev'!$B23</f>
        <v/>
      </c>
      <c r="C166" s="37">
        <f>IFERROR(IF(AND(ISNUMBER('Semi Rev'!G23),ISNUMBER('Semi Rev'!C23),'Semi Rev'!C23&gt;0),'Semi Rev'!G23/'Semi Rev'!C23-1,""),"")</f>
        <v/>
      </c>
      <c r="D166" s="37">
        <f>IFERROR(IF(AND(ISNUMBER('Semi Rev'!H23),ISNUMBER('Semi Rev'!D23),'Semi Rev'!D23&gt;0),'Semi Rev'!H23/'Semi Rev'!D23-1,""),"")</f>
        <v/>
      </c>
      <c r="E166" s="37">
        <f>IFERROR(IF(AND(ISNUMBER('Semi Rev'!I23),ISNUMBER('Semi Rev'!E23),'Semi Rev'!E23&gt;0),'Semi Rev'!I23/'Semi Rev'!E23-1,""),"")</f>
        <v/>
      </c>
      <c r="F166" s="37">
        <f>IFERROR(IF(AND(ISNUMBER('Semi Rev'!J23),ISNUMBER('Semi Rev'!F23),'Semi Rev'!F23&gt;0),'Semi Rev'!J23/'Semi Rev'!F23-1,""),"")</f>
        <v/>
      </c>
      <c r="G166" s="37">
        <f>IFERROR(IF(AND(ISNUMBER('Semi Rev'!K23),ISNUMBER('Semi Rev'!G23),'Semi Rev'!G23&gt;0),'Semi Rev'!K23/'Semi Rev'!G23-1,""),"")</f>
        <v/>
      </c>
      <c r="H166" s="37">
        <f>IFERROR(IF(AND(ISNUMBER('Semi Rev'!L23),ISNUMBER('Semi Rev'!H23),'Semi Rev'!H23&gt;0),'Semi Rev'!L23/'Semi Rev'!H23-1,""),"")</f>
        <v/>
      </c>
      <c r="I166" s="37">
        <f>IFERROR(IF(AND(ISNUMBER('Semi Rev'!M23),ISNUMBER('Semi Rev'!I23),'Semi Rev'!I23&gt;0),'Semi Rev'!M23/'Semi Rev'!I23-1,""),"")</f>
        <v/>
      </c>
      <c r="J166" s="37">
        <f>IFERROR(IF(AND(ISNUMBER('Semi Rev'!N23),ISNUMBER('Semi Rev'!J23),'Semi Rev'!J23&gt;0),'Semi Rev'!N23/'Semi Rev'!J23-1,""),"")</f>
        <v/>
      </c>
      <c r="K166" s="37">
        <f>IFERROR(IF(AND(ISNUMBER('Semi Rev'!O23),ISNUMBER('Semi Rev'!K23),'Semi Rev'!K23&gt;0),'Semi Rev'!O23/'Semi Rev'!K23-1,""),"")</f>
        <v/>
      </c>
      <c r="L166" s="37">
        <f>IFERROR(IF(AND(ISNUMBER('Semi Rev'!P23),ISNUMBER('Semi Rev'!L23),'Semi Rev'!L23&gt;0),'Semi Rev'!P23/'Semi Rev'!L23-1,""),"")</f>
        <v/>
      </c>
      <c r="M166" s="38">
        <f>IFERROR(IF(AND(ISNUMBER('Semi Rev'!Q23),ISNUMBER('Semi Rev'!M23),'Semi Rev'!M23&gt;0),'Semi Rev'!Q23/'Semi Rev'!M23-1,""),"")</f>
        <v/>
      </c>
      <c r="N166" s="38">
        <f>IFERROR(IF(AND(ISNUMBER('Semi Rev'!R23),ISNUMBER('Semi Rev'!N23),'Semi Rev'!N23&gt;0),'Semi Rev'!R23/'Semi Rev'!N23-1,""),"")</f>
        <v/>
      </c>
    </row>
    <row r="167">
      <c r="A167" s="19">
        <f>'Semi Rev'!$A24</f>
        <v/>
      </c>
      <c r="B167" s="19">
        <f>'Semi Rev'!$B24</f>
        <v/>
      </c>
      <c r="C167" s="37">
        <f>IFERROR(IF(AND(ISNUMBER('Semi Rev'!G24),ISNUMBER('Semi Rev'!C24),'Semi Rev'!C24&gt;0),'Semi Rev'!G24/'Semi Rev'!C24-1,""),"")</f>
        <v/>
      </c>
      <c r="D167" s="37">
        <f>IFERROR(IF(AND(ISNUMBER('Semi Rev'!H24),ISNUMBER('Semi Rev'!D24),'Semi Rev'!D24&gt;0),'Semi Rev'!H24/'Semi Rev'!D24-1,""),"")</f>
        <v/>
      </c>
      <c r="E167" s="37">
        <f>IFERROR(IF(AND(ISNUMBER('Semi Rev'!I24),ISNUMBER('Semi Rev'!E24),'Semi Rev'!E24&gt;0),'Semi Rev'!I24/'Semi Rev'!E24-1,""),"")</f>
        <v/>
      </c>
      <c r="F167" s="37">
        <f>IFERROR(IF(AND(ISNUMBER('Semi Rev'!J24),ISNUMBER('Semi Rev'!F24),'Semi Rev'!F24&gt;0),'Semi Rev'!J24/'Semi Rev'!F24-1,""),"")</f>
        <v/>
      </c>
      <c r="G167" s="37">
        <f>IFERROR(IF(AND(ISNUMBER('Semi Rev'!K24),ISNUMBER('Semi Rev'!G24),'Semi Rev'!G24&gt;0),'Semi Rev'!K24/'Semi Rev'!G24-1,""),"")</f>
        <v/>
      </c>
      <c r="H167" s="37">
        <f>IFERROR(IF(AND(ISNUMBER('Semi Rev'!L24),ISNUMBER('Semi Rev'!H24),'Semi Rev'!H24&gt;0),'Semi Rev'!L24/'Semi Rev'!H24-1,""),"")</f>
        <v/>
      </c>
      <c r="I167" s="37">
        <f>IFERROR(IF(AND(ISNUMBER('Semi Rev'!M24),ISNUMBER('Semi Rev'!I24),'Semi Rev'!I24&gt;0),'Semi Rev'!M24/'Semi Rev'!I24-1,""),"")</f>
        <v/>
      </c>
      <c r="J167" s="37">
        <f>IFERROR(IF(AND(ISNUMBER('Semi Rev'!N24),ISNUMBER('Semi Rev'!J24),'Semi Rev'!J24&gt;0),'Semi Rev'!N24/'Semi Rev'!J24-1,""),"")</f>
        <v/>
      </c>
      <c r="K167" s="37">
        <f>IFERROR(IF(AND(ISNUMBER('Semi Rev'!O24),ISNUMBER('Semi Rev'!K24),'Semi Rev'!K24&gt;0),'Semi Rev'!O24/'Semi Rev'!K24-1,""),"")</f>
        <v/>
      </c>
      <c r="L167" s="37">
        <f>IFERROR(IF(AND(ISNUMBER('Semi Rev'!P24),ISNUMBER('Semi Rev'!L24),'Semi Rev'!L24&gt;0),'Semi Rev'!P24/'Semi Rev'!L24-1,""),"")</f>
        <v/>
      </c>
      <c r="M167" s="38">
        <f>IFERROR(IF(AND(ISNUMBER('Semi Rev'!Q24),ISNUMBER('Semi Rev'!M24),'Semi Rev'!M24&gt;0),'Semi Rev'!Q24/'Semi Rev'!M24-1,""),"")</f>
        <v/>
      </c>
      <c r="N167" s="38">
        <f>IFERROR(IF(AND(ISNUMBER('Semi Rev'!R24),ISNUMBER('Semi Rev'!N24),'Semi Rev'!N24&gt;0),'Semi Rev'!R24/'Semi Rev'!N24-1,""),"")</f>
        <v/>
      </c>
    </row>
    <row r="168">
      <c r="A168" s="19">
        <f>'Semi Rev'!$A25</f>
        <v/>
      </c>
      <c r="B168" s="19">
        <f>'Semi Rev'!$B25</f>
        <v/>
      </c>
      <c r="C168" s="37">
        <f>IFERROR(IF(AND(ISNUMBER('Semi Rev'!G25),ISNUMBER('Semi Rev'!C25),'Semi Rev'!C25&gt;0),'Semi Rev'!G25/'Semi Rev'!C25-1,""),"")</f>
        <v/>
      </c>
      <c r="D168" s="37">
        <f>IFERROR(IF(AND(ISNUMBER('Semi Rev'!H25),ISNUMBER('Semi Rev'!D25),'Semi Rev'!D25&gt;0),'Semi Rev'!H25/'Semi Rev'!D25-1,""),"")</f>
        <v/>
      </c>
      <c r="E168" s="37">
        <f>IFERROR(IF(AND(ISNUMBER('Semi Rev'!I25),ISNUMBER('Semi Rev'!E25),'Semi Rev'!E25&gt;0),'Semi Rev'!I25/'Semi Rev'!E25-1,""),"")</f>
        <v/>
      </c>
      <c r="F168" s="37">
        <f>IFERROR(IF(AND(ISNUMBER('Semi Rev'!J25),ISNUMBER('Semi Rev'!F25),'Semi Rev'!F25&gt;0),'Semi Rev'!J25/'Semi Rev'!F25-1,""),"")</f>
        <v/>
      </c>
      <c r="G168" s="37">
        <f>IFERROR(IF(AND(ISNUMBER('Semi Rev'!K25),ISNUMBER('Semi Rev'!G25),'Semi Rev'!G25&gt;0),'Semi Rev'!K25/'Semi Rev'!G25-1,""),"")</f>
        <v/>
      </c>
      <c r="H168" s="37">
        <f>IFERROR(IF(AND(ISNUMBER('Semi Rev'!L25),ISNUMBER('Semi Rev'!H25),'Semi Rev'!H25&gt;0),'Semi Rev'!L25/'Semi Rev'!H25-1,""),"")</f>
        <v/>
      </c>
      <c r="I168" s="37">
        <f>IFERROR(IF(AND(ISNUMBER('Semi Rev'!M25),ISNUMBER('Semi Rev'!I25),'Semi Rev'!I25&gt;0),'Semi Rev'!M25/'Semi Rev'!I25-1,""),"")</f>
        <v/>
      </c>
      <c r="J168" s="37">
        <f>IFERROR(IF(AND(ISNUMBER('Semi Rev'!N25),ISNUMBER('Semi Rev'!J25),'Semi Rev'!J25&gt;0),'Semi Rev'!N25/'Semi Rev'!J25-1,""),"")</f>
        <v/>
      </c>
      <c r="K168" s="37">
        <f>IFERROR(IF(AND(ISNUMBER('Semi Rev'!O25),ISNUMBER('Semi Rev'!K25),'Semi Rev'!K25&gt;0),'Semi Rev'!O25/'Semi Rev'!K25-1,""),"")</f>
        <v/>
      </c>
      <c r="L168" s="37">
        <f>IFERROR(IF(AND(ISNUMBER('Semi Rev'!P25),ISNUMBER('Semi Rev'!L25),'Semi Rev'!L25&gt;0),'Semi Rev'!P25/'Semi Rev'!L25-1,""),"")</f>
        <v/>
      </c>
      <c r="M168" s="38">
        <f>IFERROR(IF(AND(ISNUMBER('Semi Rev'!Q25),ISNUMBER('Semi Rev'!M25),'Semi Rev'!M25&gt;0),'Semi Rev'!Q25/'Semi Rev'!M25-1,""),"")</f>
        <v/>
      </c>
      <c r="N168" s="38">
        <f>IFERROR(IF(AND(ISNUMBER('Semi Rev'!R25),ISNUMBER('Semi Rev'!N25),'Semi Rev'!N25&gt;0),'Semi Rev'!R25/'Semi Rev'!N25-1,""),"")</f>
        <v/>
      </c>
    </row>
    <row r="169">
      <c r="A169" s="19">
        <f>'Semi Rev'!$A26</f>
        <v/>
      </c>
      <c r="B169" s="19">
        <f>'Semi Rev'!$B26</f>
        <v/>
      </c>
      <c r="C169" s="37">
        <f>IFERROR(IF(AND(ISNUMBER('Semi Rev'!G26),ISNUMBER('Semi Rev'!C26),'Semi Rev'!C26&gt;0),'Semi Rev'!G26/'Semi Rev'!C26-1,""),"")</f>
        <v/>
      </c>
      <c r="D169" s="37">
        <f>IFERROR(IF(AND(ISNUMBER('Semi Rev'!H26),ISNUMBER('Semi Rev'!D26),'Semi Rev'!D26&gt;0),'Semi Rev'!H26/'Semi Rev'!D26-1,""),"")</f>
        <v/>
      </c>
      <c r="E169" s="37">
        <f>IFERROR(IF(AND(ISNUMBER('Semi Rev'!I26),ISNUMBER('Semi Rev'!E26),'Semi Rev'!E26&gt;0),'Semi Rev'!I26/'Semi Rev'!E26-1,""),"")</f>
        <v/>
      </c>
      <c r="F169" s="37">
        <f>IFERROR(IF(AND(ISNUMBER('Semi Rev'!J26),ISNUMBER('Semi Rev'!F26),'Semi Rev'!F26&gt;0),'Semi Rev'!J26/'Semi Rev'!F26-1,""),"")</f>
        <v/>
      </c>
      <c r="G169" s="37">
        <f>IFERROR(IF(AND(ISNUMBER('Semi Rev'!K26),ISNUMBER('Semi Rev'!G26),'Semi Rev'!G26&gt;0),'Semi Rev'!K26/'Semi Rev'!G26-1,""),"")</f>
        <v/>
      </c>
      <c r="H169" s="37">
        <f>IFERROR(IF(AND(ISNUMBER('Semi Rev'!L26),ISNUMBER('Semi Rev'!H26),'Semi Rev'!H26&gt;0),'Semi Rev'!L26/'Semi Rev'!H26-1,""),"")</f>
        <v/>
      </c>
      <c r="I169" s="37">
        <f>IFERROR(IF(AND(ISNUMBER('Semi Rev'!M26),ISNUMBER('Semi Rev'!I26),'Semi Rev'!I26&gt;0),'Semi Rev'!M26/'Semi Rev'!I26-1,""),"")</f>
        <v/>
      </c>
      <c r="J169" s="37">
        <f>IFERROR(IF(AND(ISNUMBER('Semi Rev'!N26),ISNUMBER('Semi Rev'!J26),'Semi Rev'!J26&gt;0),'Semi Rev'!N26/'Semi Rev'!J26-1,""),"")</f>
        <v/>
      </c>
      <c r="K169" s="37">
        <f>IFERROR(IF(AND(ISNUMBER('Semi Rev'!O26),ISNUMBER('Semi Rev'!K26),'Semi Rev'!K26&gt;0),'Semi Rev'!O26/'Semi Rev'!K26-1,""),"")</f>
        <v/>
      </c>
      <c r="L169" s="37">
        <f>IFERROR(IF(AND(ISNUMBER('Semi Rev'!P26),ISNUMBER('Semi Rev'!L26),'Semi Rev'!L26&gt;0),'Semi Rev'!P26/'Semi Rev'!L26-1,""),"")</f>
        <v/>
      </c>
      <c r="M169" s="38">
        <f>IFERROR(IF(AND(ISNUMBER('Semi Rev'!Q26),ISNUMBER('Semi Rev'!M26),'Semi Rev'!M26&gt;0),'Semi Rev'!Q26/'Semi Rev'!M26-1,""),"")</f>
        <v/>
      </c>
      <c r="N169" s="38">
        <f>IFERROR(IF(AND(ISNUMBER('Semi Rev'!R26),ISNUMBER('Semi Rev'!N26),'Semi Rev'!N26&gt;0),'Semi Rev'!R26/'Semi Rev'!N26-1,""),"")</f>
        <v/>
      </c>
    </row>
    <row r="170">
      <c r="A170" s="19">
        <f>'Semi Rev'!$A27</f>
        <v/>
      </c>
      <c r="B170" s="19">
        <f>'Semi Rev'!$B27</f>
        <v/>
      </c>
      <c r="C170" s="37">
        <f>IFERROR(IF(AND(ISNUMBER('Semi Rev'!G27),ISNUMBER('Semi Rev'!C27),'Semi Rev'!C27&gt;0),'Semi Rev'!G27/'Semi Rev'!C27-1,""),"")</f>
        <v/>
      </c>
      <c r="D170" s="37">
        <f>IFERROR(IF(AND(ISNUMBER('Semi Rev'!H27),ISNUMBER('Semi Rev'!D27),'Semi Rev'!D27&gt;0),'Semi Rev'!H27/'Semi Rev'!D27-1,""),"")</f>
        <v/>
      </c>
      <c r="E170" s="37">
        <f>IFERROR(IF(AND(ISNUMBER('Semi Rev'!I27),ISNUMBER('Semi Rev'!E27),'Semi Rev'!E27&gt;0),'Semi Rev'!I27/'Semi Rev'!E27-1,""),"")</f>
        <v/>
      </c>
      <c r="F170" s="37">
        <f>IFERROR(IF(AND(ISNUMBER('Semi Rev'!J27),ISNUMBER('Semi Rev'!F27),'Semi Rev'!F27&gt;0),'Semi Rev'!J27/'Semi Rev'!F27-1,""),"")</f>
        <v/>
      </c>
      <c r="G170" s="37">
        <f>IFERROR(IF(AND(ISNUMBER('Semi Rev'!K27),ISNUMBER('Semi Rev'!G27),'Semi Rev'!G27&gt;0),'Semi Rev'!K27/'Semi Rev'!G27-1,""),"")</f>
        <v/>
      </c>
      <c r="H170" s="37">
        <f>IFERROR(IF(AND(ISNUMBER('Semi Rev'!L27),ISNUMBER('Semi Rev'!H27),'Semi Rev'!H27&gt;0),'Semi Rev'!L27/'Semi Rev'!H27-1,""),"")</f>
        <v/>
      </c>
      <c r="I170" s="37">
        <f>IFERROR(IF(AND(ISNUMBER('Semi Rev'!M27),ISNUMBER('Semi Rev'!I27),'Semi Rev'!I27&gt;0),'Semi Rev'!M27/'Semi Rev'!I27-1,""),"")</f>
        <v/>
      </c>
      <c r="J170" s="37">
        <f>IFERROR(IF(AND(ISNUMBER('Semi Rev'!N27),ISNUMBER('Semi Rev'!J27),'Semi Rev'!J27&gt;0),'Semi Rev'!N27/'Semi Rev'!J27-1,""),"")</f>
        <v/>
      </c>
      <c r="K170" s="37">
        <f>IFERROR(IF(AND(ISNUMBER('Semi Rev'!O27),ISNUMBER('Semi Rev'!K27),'Semi Rev'!K27&gt;0),'Semi Rev'!O27/'Semi Rev'!K27-1,""),"")</f>
        <v/>
      </c>
      <c r="L170" s="37">
        <f>IFERROR(IF(AND(ISNUMBER('Semi Rev'!P27),ISNUMBER('Semi Rev'!L27),'Semi Rev'!L27&gt;0),'Semi Rev'!P27/'Semi Rev'!L27-1,""),"")</f>
        <v/>
      </c>
      <c r="M170" s="38">
        <f>IFERROR(IF(AND(ISNUMBER('Semi Rev'!Q27),ISNUMBER('Semi Rev'!M27),'Semi Rev'!M27&gt;0),'Semi Rev'!Q27/'Semi Rev'!M27-1,""),"")</f>
        <v/>
      </c>
      <c r="N170" s="38">
        <f>IFERROR(IF(AND(ISNUMBER('Semi Rev'!R27),ISNUMBER('Semi Rev'!N27),'Semi Rev'!N27&gt;0),'Semi Rev'!R27/'Semi Rev'!N27-1,""),"")</f>
        <v/>
      </c>
    </row>
    <row r="171">
      <c r="A171" s="19">
        <f>'Semi Rev'!$A28</f>
        <v/>
      </c>
      <c r="B171" s="19">
        <f>'Semi Rev'!$B28</f>
        <v/>
      </c>
      <c r="C171" s="37">
        <f>IFERROR(IF(AND(ISNUMBER('Semi Rev'!G28),ISNUMBER('Semi Rev'!C28),'Semi Rev'!C28&gt;0),'Semi Rev'!G28/'Semi Rev'!C28-1,""),"")</f>
        <v/>
      </c>
      <c r="D171" s="37">
        <f>IFERROR(IF(AND(ISNUMBER('Semi Rev'!H28),ISNUMBER('Semi Rev'!D28),'Semi Rev'!D28&gt;0),'Semi Rev'!H28/'Semi Rev'!D28-1,""),"")</f>
        <v/>
      </c>
      <c r="E171" s="37">
        <f>IFERROR(IF(AND(ISNUMBER('Semi Rev'!I28),ISNUMBER('Semi Rev'!E28),'Semi Rev'!E28&gt;0),'Semi Rev'!I28/'Semi Rev'!E28-1,""),"")</f>
        <v/>
      </c>
      <c r="F171" s="37">
        <f>IFERROR(IF(AND(ISNUMBER('Semi Rev'!J28),ISNUMBER('Semi Rev'!F28),'Semi Rev'!F28&gt;0),'Semi Rev'!J28/'Semi Rev'!F28-1,""),"")</f>
        <v/>
      </c>
      <c r="G171" s="37">
        <f>IFERROR(IF(AND(ISNUMBER('Semi Rev'!K28),ISNUMBER('Semi Rev'!G28),'Semi Rev'!G28&gt;0),'Semi Rev'!K28/'Semi Rev'!G28-1,""),"")</f>
        <v/>
      </c>
      <c r="H171" s="37">
        <f>IFERROR(IF(AND(ISNUMBER('Semi Rev'!L28),ISNUMBER('Semi Rev'!H28),'Semi Rev'!H28&gt;0),'Semi Rev'!L28/'Semi Rev'!H28-1,""),"")</f>
        <v/>
      </c>
      <c r="I171" s="37">
        <f>IFERROR(IF(AND(ISNUMBER('Semi Rev'!M28),ISNUMBER('Semi Rev'!I28),'Semi Rev'!I28&gt;0),'Semi Rev'!M28/'Semi Rev'!I28-1,""),"")</f>
        <v/>
      </c>
      <c r="J171" s="37">
        <f>IFERROR(IF(AND(ISNUMBER('Semi Rev'!N28),ISNUMBER('Semi Rev'!J28),'Semi Rev'!J28&gt;0),'Semi Rev'!N28/'Semi Rev'!J28-1,""),"")</f>
        <v/>
      </c>
      <c r="K171" s="37">
        <f>IFERROR(IF(AND(ISNUMBER('Semi Rev'!O28),ISNUMBER('Semi Rev'!K28),'Semi Rev'!K28&gt;0),'Semi Rev'!O28/'Semi Rev'!K28-1,""),"")</f>
        <v/>
      </c>
      <c r="L171" s="37">
        <f>IFERROR(IF(AND(ISNUMBER('Semi Rev'!P28),ISNUMBER('Semi Rev'!L28),'Semi Rev'!L28&gt;0),'Semi Rev'!P28/'Semi Rev'!L28-1,""),"")</f>
        <v/>
      </c>
      <c r="M171" s="38">
        <f>IFERROR(IF(AND(ISNUMBER('Semi Rev'!Q28),ISNUMBER('Semi Rev'!M28),'Semi Rev'!M28&gt;0),'Semi Rev'!Q28/'Semi Rev'!M28-1,""),"")</f>
        <v/>
      </c>
      <c r="N171" s="38">
        <f>IFERROR(IF(AND(ISNUMBER('Semi Rev'!R28),ISNUMBER('Semi Rev'!N28),'Semi Rev'!N28&gt;0),'Semi Rev'!R28/'Semi Rev'!N28-1,""),"")</f>
        <v/>
      </c>
    </row>
    <row r="172">
      <c r="A172" s="19">
        <f>'Semi Rev'!$A29</f>
        <v/>
      </c>
      <c r="B172" s="19">
        <f>'Semi Rev'!$B29</f>
        <v/>
      </c>
      <c r="C172" s="37">
        <f>IFERROR(IF(AND(ISNUMBER('Semi Rev'!G29),ISNUMBER('Semi Rev'!C29),'Semi Rev'!C29&gt;0),'Semi Rev'!G29/'Semi Rev'!C29-1,""),"")</f>
        <v/>
      </c>
      <c r="D172" s="37">
        <f>IFERROR(IF(AND(ISNUMBER('Semi Rev'!H29),ISNUMBER('Semi Rev'!D29),'Semi Rev'!D29&gt;0),'Semi Rev'!H29/'Semi Rev'!D29-1,""),"")</f>
        <v/>
      </c>
      <c r="E172" s="37">
        <f>IFERROR(IF(AND(ISNUMBER('Semi Rev'!I29),ISNUMBER('Semi Rev'!E29),'Semi Rev'!E29&gt;0),'Semi Rev'!I29/'Semi Rev'!E29-1,""),"")</f>
        <v/>
      </c>
      <c r="F172" s="37">
        <f>IFERROR(IF(AND(ISNUMBER('Semi Rev'!J29),ISNUMBER('Semi Rev'!F29),'Semi Rev'!F29&gt;0),'Semi Rev'!J29/'Semi Rev'!F29-1,""),"")</f>
        <v/>
      </c>
      <c r="G172" s="37">
        <f>IFERROR(IF(AND(ISNUMBER('Semi Rev'!K29),ISNUMBER('Semi Rev'!G29),'Semi Rev'!G29&gt;0),'Semi Rev'!K29/'Semi Rev'!G29-1,""),"")</f>
        <v/>
      </c>
      <c r="H172" s="37">
        <f>IFERROR(IF(AND(ISNUMBER('Semi Rev'!L29),ISNUMBER('Semi Rev'!H29),'Semi Rev'!H29&gt;0),'Semi Rev'!L29/'Semi Rev'!H29-1,""),"")</f>
        <v/>
      </c>
      <c r="I172" s="37">
        <f>IFERROR(IF(AND(ISNUMBER('Semi Rev'!M29),ISNUMBER('Semi Rev'!I29),'Semi Rev'!I29&gt;0),'Semi Rev'!M29/'Semi Rev'!I29-1,""),"")</f>
        <v/>
      </c>
      <c r="J172" s="37">
        <f>IFERROR(IF(AND(ISNUMBER('Semi Rev'!N29),ISNUMBER('Semi Rev'!J29),'Semi Rev'!J29&gt;0),'Semi Rev'!N29/'Semi Rev'!J29-1,""),"")</f>
        <v/>
      </c>
      <c r="K172" s="37">
        <f>IFERROR(IF(AND(ISNUMBER('Semi Rev'!O29),ISNUMBER('Semi Rev'!K29),'Semi Rev'!K29&gt;0),'Semi Rev'!O29/'Semi Rev'!K29-1,""),"")</f>
        <v/>
      </c>
      <c r="L172" s="37">
        <f>IFERROR(IF(AND(ISNUMBER('Semi Rev'!P29),ISNUMBER('Semi Rev'!L29),'Semi Rev'!L29&gt;0),'Semi Rev'!P29/'Semi Rev'!L29-1,""),"")</f>
        <v/>
      </c>
      <c r="M172" s="38">
        <f>IFERROR(IF(AND(ISNUMBER('Semi Rev'!Q29),ISNUMBER('Semi Rev'!M29),'Semi Rev'!M29&gt;0),'Semi Rev'!Q29/'Semi Rev'!M29-1,""),"")</f>
        <v/>
      </c>
      <c r="N172" s="38">
        <f>IFERROR(IF(AND(ISNUMBER('Semi Rev'!R29),ISNUMBER('Semi Rev'!N29),'Semi Rev'!N29&gt;0),'Semi Rev'!R29/'Semi Rev'!N29-1,""),"")</f>
        <v/>
      </c>
    </row>
    <row r="173">
      <c r="A173" s="19">
        <f>'Semi Rev'!$A30</f>
        <v/>
      </c>
      <c r="B173" s="19">
        <f>'Semi Rev'!$B30</f>
        <v/>
      </c>
      <c r="C173" s="37">
        <f>IFERROR(IF(AND(ISNUMBER('Semi Rev'!G30),ISNUMBER('Semi Rev'!C30),'Semi Rev'!C30&gt;0),'Semi Rev'!G30/'Semi Rev'!C30-1,""),"")</f>
        <v/>
      </c>
      <c r="D173" s="37">
        <f>IFERROR(IF(AND(ISNUMBER('Semi Rev'!H30),ISNUMBER('Semi Rev'!D30),'Semi Rev'!D30&gt;0),'Semi Rev'!H30/'Semi Rev'!D30-1,""),"")</f>
        <v/>
      </c>
      <c r="E173" s="37">
        <f>IFERROR(IF(AND(ISNUMBER('Semi Rev'!I30),ISNUMBER('Semi Rev'!E30),'Semi Rev'!E30&gt;0),'Semi Rev'!I30/'Semi Rev'!E30-1,""),"")</f>
        <v/>
      </c>
      <c r="F173" s="37">
        <f>IFERROR(IF(AND(ISNUMBER('Semi Rev'!J30),ISNUMBER('Semi Rev'!F30),'Semi Rev'!F30&gt;0),'Semi Rev'!J30/'Semi Rev'!F30-1,""),"")</f>
        <v/>
      </c>
      <c r="G173" s="37">
        <f>IFERROR(IF(AND(ISNUMBER('Semi Rev'!K30),ISNUMBER('Semi Rev'!G30),'Semi Rev'!G30&gt;0),'Semi Rev'!K30/'Semi Rev'!G30-1,""),"")</f>
        <v/>
      </c>
      <c r="H173" s="37">
        <f>IFERROR(IF(AND(ISNUMBER('Semi Rev'!L30),ISNUMBER('Semi Rev'!H30),'Semi Rev'!H30&gt;0),'Semi Rev'!L30/'Semi Rev'!H30-1,""),"")</f>
        <v/>
      </c>
      <c r="I173" s="37">
        <f>IFERROR(IF(AND(ISNUMBER('Semi Rev'!M30),ISNUMBER('Semi Rev'!I30),'Semi Rev'!I30&gt;0),'Semi Rev'!M30/'Semi Rev'!I30-1,""),"")</f>
        <v/>
      </c>
      <c r="J173" s="37">
        <f>IFERROR(IF(AND(ISNUMBER('Semi Rev'!N30),ISNUMBER('Semi Rev'!J30),'Semi Rev'!J30&gt;0),'Semi Rev'!N30/'Semi Rev'!J30-1,""),"")</f>
        <v/>
      </c>
      <c r="K173" s="37">
        <f>IFERROR(IF(AND(ISNUMBER('Semi Rev'!O30),ISNUMBER('Semi Rev'!K30),'Semi Rev'!K30&gt;0),'Semi Rev'!O30/'Semi Rev'!K30-1,""),"")</f>
        <v/>
      </c>
      <c r="L173" s="37">
        <f>IFERROR(IF(AND(ISNUMBER('Semi Rev'!P30),ISNUMBER('Semi Rev'!L30),'Semi Rev'!L30&gt;0),'Semi Rev'!P30/'Semi Rev'!L30-1,""),"")</f>
        <v/>
      </c>
      <c r="M173" s="38">
        <f>IFERROR(IF(AND(ISNUMBER('Semi Rev'!Q30),ISNUMBER('Semi Rev'!M30),'Semi Rev'!M30&gt;0),'Semi Rev'!Q30/'Semi Rev'!M30-1,""),"")</f>
        <v/>
      </c>
      <c r="N173" s="38">
        <f>IFERROR(IF(AND(ISNUMBER('Semi Rev'!R30),ISNUMBER('Semi Rev'!N30),'Semi Rev'!N30&gt;0),'Semi Rev'!R30/'Semi Rev'!N30-1,""),"")</f>
        <v/>
      </c>
    </row>
    <row r="174">
      <c r="A174" s="19">
        <f>'Semi Rev'!$A31</f>
        <v/>
      </c>
      <c r="B174" s="19">
        <f>'Semi Rev'!$B31</f>
        <v/>
      </c>
      <c r="C174" s="37">
        <f>IFERROR(IF(AND(ISNUMBER('Semi Rev'!G31),ISNUMBER('Semi Rev'!C31),'Semi Rev'!C31&gt;0),'Semi Rev'!G31/'Semi Rev'!C31-1,""),"")</f>
        <v/>
      </c>
      <c r="D174" s="37">
        <f>IFERROR(IF(AND(ISNUMBER('Semi Rev'!H31),ISNUMBER('Semi Rev'!D31),'Semi Rev'!D31&gt;0),'Semi Rev'!H31/'Semi Rev'!D31-1,""),"")</f>
        <v/>
      </c>
      <c r="E174" s="37">
        <f>IFERROR(IF(AND(ISNUMBER('Semi Rev'!I31),ISNUMBER('Semi Rev'!E31),'Semi Rev'!E31&gt;0),'Semi Rev'!I31/'Semi Rev'!E31-1,""),"")</f>
        <v/>
      </c>
      <c r="F174" s="37">
        <f>IFERROR(IF(AND(ISNUMBER('Semi Rev'!J31),ISNUMBER('Semi Rev'!F31),'Semi Rev'!F31&gt;0),'Semi Rev'!J31/'Semi Rev'!F31-1,""),"")</f>
        <v/>
      </c>
      <c r="G174" s="37">
        <f>IFERROR(IF(AND(ISNUMBER('Semi Rev'!K31),ISNUMBER('Semi Rev'!G31),'Semi Rev'!G31&gt;0),'Semi Rev'!K31/'Semi Rev'!G31-1,""),"")</f>
        <v/>
      </c>
      <c r="H174" s="37">
        <f>IFERROR(IF(AND(ISNUMBER('Semi Rev'!L31),ISNUMBER('Semi Rev'!H31),'Semi Rev'!H31&gt;0),'Semi Rev'!L31/'Semi Rev'!H31-1,""),"")</f>
        <v/>
      </c>
      <c r="I174" s="37">
        <f>IFERROR(IF(AND(ISNUMBER('Semi Rev'!M31),ISNUMBER('Semi Rev'!I31),'Semi Rev'!I31&gt;0),'Semi Rev'!M31/'Semi Rev'!I31-1,""),"")</f>
        <v/>
      </c>
      <c r="J174" s="37">
        <f>IFERROR(IF(AND(ISNUMBER('Semi Rev'!N31),ISNUMBER('Semi Rev'!J31),'Semi Rev'!J31&gt;0),'Semi Rev'!N31/'Semi Rev'!J31-1,""),"")</f>
        <v/>
      </c>
      <c r="K174" s="37">
        <f>IFERROR(IF(AND(ISNUMBER('Semi Rev'!O31),ISNUMBER('Semi Rev'!K31),'Semi Rev'!K31&gt;0),'Semi Rev'!O31/'Semi Rev'!K31-1,""),"")</f>
        <v/>
      </c>
      <c r="L174" s="37">
        <f>IFERROR(IF(AND(ISNUMBER('Semi Rev'!P31),ISNUMBER('Semi Rev'!L31),'Semi Rev'!L31&gt;0),'Semi Rev'!P31/'Semi Rev'!L31-1,""),"")</f>
        <v/>
      </c>
      <c r="M174" s="38">
        <f>IFERROR(IF(AND(ISNUMBER('Semi Rev'!Q31),ISNUMBER('Semi Rev'!M31),'Semi Rev'!M31&gt;0),'Semi Rev'!Q31/'Semi Rev'!M31-1,""),"")</f>
        <v/>
      </c>
      <c r="N174" s="38">
        <f>IFERROR(IF(AND(ISNUMBER('Semi Rev'!R31),ISNUMBER('Semi Rev'!N31),'Semi Rev'!N31&gt;0),'Semi Rev'!R31/'Semi Rev'!N31-1,""),"")</f>
        <v/>
      </c>
    </row>
    <row r="175">
      <c r="A175" s="19">
        <f>'Semi Rev'!$A32</f>
        <v/>
      </c>
      <c r="B175" s="19">
        <f>'Semi Rev'!$B32</f>
        <v/>
      </c>
      <c r="C175" s="37">
        <f>IFERROR(IF(AND(ISNUMBER('Semi Rev'!G32),ISNUMBER('Semi Rev'!C32),'Semi Rev'!C32&gt;0),'Semi Rev'!G32/'Semi Rev'!C32-1,""),"")</f>
        <v/>
      </c>
      <c r="D175" s="37">
        <f>IFERROR(IF(AND(ISNUMBER('Semi Rev'!H32),ISNUMBER('Semi Rev'!D32),'Semi Rev'!D32&gt;0),'Semi Rev'!H32/'Semi Rev'!D32-1,""),"")</f>
        <v/>
      </c>
      <c r="E175" s="37">
        <f>IFERROR(IF(AND(ISNUMBER('Semi Rev'!I32),ISNUMBER('Semi Rev'!E32),'Semi Rev'!E32&gt;0),'Semi Rev'!I32/'Semi Rev'!E32-1,""),"")</f>
        <v/>
      </c>
      <c r="F175" s="37">
        <f>IFERROR(IF(AND(ISNUMBER('Semi Rev'!J32),ISNUMBER('Semi Rev'!F32),'Semi Rev'!F32&gt;0),'Semi Rev'!J32/'Semi Rev'!F32-1,""),"")</f>
        <v/>
      </c>
      <c r="G175" s="37">
        <f>IFERROR(IF(AND(ISNUMBER('Semi Rev'!K32),ISNUMBER('Semi Rev'!G32),'Semi Rev'!G32&gt;0),'Semi Rev'!K32/'Semi Rev'!G32-1,""),"")</f>
        <v/>
      </c>
      <c r="H175" s="37">
        <f>IFERROR(IF(AND(ISNUMBER('Semi Rev'!L32),ISNUMBER('Semi Rev'!H32),'Semi Rev'!H32&gt;0),'Semi Rev'!L32/'Semi Rev'!H32-1,""),"")</f>
        <v/>
      </c>
      <c r="I175" s="37">
        <f>IFERROR(IF(AND(ISNUMBER('Semi Rev'!M32),ISNUMBER('Semi Rev'!I32),'Semi Rev'!I32&gt;0),'Semi Rev'!M32/'Semi Rev'!I32-1,""),"")</f>
        <v/>
      </c>
      <c r="J175" s="37">
        <f>IFERROR(IF(AND(ISNUMBER('Semi Rev'!N32),ISNUMBER('Semi Rev'!J32),'Semi Rev'!J32&gt;0),'Semi Rev'!N32/'Semi Rev'!J32-1,""),"")</f>
        <v/>
      </c>
      <c r="K175" s="37">
        <f>IFERROR(IF(AND(ISNUMBER('Semi Rev'!O32),ISNUMBER('Semi Rev'!K32),'Semi Rev'!K32&gt;0),'Semi Rev'!O32/'Semi Rev'!K32-1,""),"")</f>
        <v/>
      </c>
      <c r="L175" s="37">
        <f>IFERROR(IF(AND(ISNUMBER('Semi Rev'!P32),ISNUMBER('Semi Rev'!L32),'Semi Rev'!L32&gt;0),'Semi Rev'!P32/'Semi Rev'!L32-1,""),"")</f>
        <v/>
      </c>
      <c r="M175" s="38">
        <f>IFERROR(IF(AND(ISNUMBER('Semi Rev'!Q32),ISNUMBER('Semi Rev'!M32),'Semi Rev'!M32&gt;0),'Semi Rev'!Q32/'Semi Rev'!M32-1,""),"")</f>
        <v/>
      </c>
      <c r="N175" s="38">
        <f>IFERROR(IF(AND(ISNUMBER('Semi Rev'!R32),ISNUMBER('Semi Rev'!N32),'Semi Rev'!N32&gt;0),'Semi Rev'!R32/'Semi Rev'!N32-1,""),"")</f>
        <v/>
      </c>
    </row>
    <row r="176">
      <c r="A176" s="19">
        <f>'Semi Rev'!$A33</f>
        <v/>
      </c>
      <c r="B176" s="19">
        <f>'Semi Rev'!$B33</f>
        <v/>
      </c>
      <c r="C176" s="37">
        <f>IFERROR(IF(AND(ISNUMBER('Semi Rev'!G33),ISNUMBER('Semi Rev'!C33),'Semi Rev'!C33&gt;0),'Semi Rev'!G33/'Semi Rev'!C33-1,""),"")</f>
        <v/>
      </c>
      <c r="D176" s="37">
        <f>IFERROR(IF(AND(ISNUMBER('Semi Rev'!H33),ISNUMBER('Semi Rev'!D33),'Semi Rev'!D33&gt;0),'Semi Rev'!H33/'Semi Rev'!D33-1,""),"")</f>
        <v/>
      </c>
      <c r="E176" s="37">
        <f>IFERROR(IF(AND(ISNUMBER('Semi Rev'!I33),ISNUMBER('Semi Rev'!E33),'Semi Rev'!E33&gt;0),'Semi Rev'!I33/'Semi Rev'!E33-1,""),"")</f>
        <v/>
      </c>
      <c r="F176" s="37">
        <f>IFERROR(IF(AND(ISNUMBER('Semi Rev'!J33),ISNUMBER('Semi Rev'!F33),'Semi Rev'!F33&gt;0),'Semi Rev'!J33/'Semi Rev'!F33-1,""),"")</f>
        <v/>
      </c>
      <c r="G176" s="37">
        <f>IFERROR(IF(AND(ISNUMBER('Semi Rev'!K33),ISNUMBER('Semi Rev'!G33),'Semi Rev'!G33&gt;0),'Semi Rev'!K33/'Semi Rev'!G33-1,""),"")</f>
        <v/>
      </c>
      <c r="H176" s="37">
        <f>IFERROR(IF(AND(ISNUMBER('Semi Rev'!L33),ISNUMBER('Semi Rev'!H33),'Semi Rev'!H33&gt;0),'Semi Rev'!L33/'Semi Rev'!H33-1,""),"")</f>
        <v/>
      </c>
      <c r="I176" s="37">
        <f>IFERROR(IF(AND(ISNUMBER('Semi Rev'!M33),ISNUMBER('Semi Rev'!I33),'Semi Rev'!I33&gt;0),'Semi Rev'!M33/'Semi Rev'!I33-1,""),"")</f>
        <v/>
      </c>
      <c r="J176" s="37">
        <f>IFERROR(IF(AND(ISNUMBER('Semi Rev'!N33),ISNUMBER('Semi Rev'!J33),'Semi Rev'!J33&gt;0),'Semi Rev'!N33/'Semi Rev'!J33-1,""),"")</f>
        <v/>
      </c>
      <c r="K176" s="37">
        <f>IFERROR(IF(AND(ISNUMBER('Semi Rev'!O33),ISNUMBER('Semi Rev'!K33),'Semi Rev'!K33&gt;0),'Semi Rev'!O33/'Semi Rev'!K33-1,""),"")</f>
        <v/>
      </c>
      <c r="L176" s="37">
        <f>IFERROR(IF(AND(ISNUMBER('Semi Rev'!P33),ISNUMBER('Semi Rev'!L33),'Semi Rev'!L33&gt;0),'Semi Rev'!P33/'Semi Rev'!L33-1,""),"")</f>
        <v/>
      </c>
      <c r="M176" s="38">
        <f>IFERROR(IF(AND(ISNUMBER('Semi Rev'!Q33),ISNUMBER('Semi Rev'!M33),'Semi Rev'!M33&gt;0),'Semi Rev'!Q33/'Semi Rev'!M33-1,""),"")</f>
        <v/>
      </c>
      <c r="N176" s="38">
        <f>IFERROR(IF(AND(ISNUMBER('Semi Rev'!R33),ISNUMBER('Semi Rev'!N33),'Semi Rev'!N33&gt;0),'Semi Rev'!R33/'Semi Rev'!N33-1,""),"")</f>
        <v/>
      </c>
    </row>
    <row r="177">
      <c r="A177" s="19">
        <f>'Semi Rev'!$A34</f>
        <v/>
      </c>
      <c r="B177" s="19">
        <f>'Semi Rev'!$B34</f>
        <v/>
      </c>
      <c r="C177" s="37">
        <f>IFERROR(IF(AND(ISNUMBER('Semi Rev'!G34),ISNUMBER('Semi Rev'!C34),'Semi Rev'!C34&gt;0),'Semi Rev'!G34/'Semi Rev'!C34-1,""),"")</f>
        <v/>
      </c>
      <c r="D177" s="37">
        <f>IFERROR(IF(AND(ISNUMBER('Semi Rev'!H34),ISNUMBER('Semi Rev'!D34),'Semi Rev'!D34&gt;0),'Semi Rev'!H34/'Semi Rev'!D34-1,""),"")</f>
        <v/>
      </c>
      <c r="E177" s="37">
        <f>IFERROR(IF(AND(ISNUMBER('Semi Rev'!I34),ISNUMBER('Semi Rev'!E34),'Semi Rev'!E34&gt;0),'Semi Rev'!I34/'Semi Rev'!E34-1,""),"")</f>
        <v/>
      </c>
      <c r="F177" s="37">
        <f>IFERROR(IF(AND(ISNUMBER('Semi Rev'!J34),ISNUMBER('Semi Rev'!F34),'Semi Rev'!F34&gt;0),'Semi Rev'!J34/'Semi Rev'!F34-1,""),"")</f>
        <v/>
      </c>
      <c r="G177" s="37">
        <f>IFERROR(IF(AND(ISNUMBER('Semi Rev'!K34),ISNUMBER('Semi Rev'!G34),'Semi Rev'!G34&gt;0),'Semi Rev'!K34/'Semi Rev'!G34-1,""),"")</f>
        <v/>
      </c>
      <c r="H177" s="37">
        <f>IFERROR(IF(AND(ISNUMBER('Semi Rev'!L34),ISNUMBER('Semi Rev'!H34),'Semi Rev'!H34&gt;0),'Semi Rev'!L34/'Semi Rev'!H34-1,""),"")</f>
        <v/>
      </c>
      <c r="I177" s="37">
        <f>IFERROR(IF(AND(ISNUMBER('Semi Rev'!M34),ISNUMBER('Semi Rev'!I34),'Semi Rev'!I34&gt;0),'Semi Rev'!M34/'Semi Rev'!I34-1,""),"")</f>
        <v/>
      </c>
      <c r="J177" s="37">
        <f>IFERROR(IF(AND(ISNUMBER('Semi Rev'!N34),ISNUMBER('Semi Rev'!J34),'Semi Rev'!J34&gt;0),'Semi Rev'!N34/'Semi Rev'!J34-1,""),"")</f>
        <v/>
      </c>
      <c r="K177" s="37">
        <f>IFERROR(IF(AND(ISNUMBER('Semi Rev'!O34),ISNUMBER('Semi Rev'!K34),'Semi Rev'!K34&gt;0),'Semi Rev'!O34/'Semi Rev'!K34-1,""),"")</f>
        <v/>
      </c>
      <c r="L177" s="37">
        <f>IFERROR(IF(AND(ISNUMBER('Semi Rev'!P34),ISNUMBER('Semi Rev'!L34),'Semi Rev'!L34&gt;0),'Semi Rev'!P34/'Semi Rev'!L34-1,""),"")</f>
        <v/>
      </c>
      <c r="M177" s="38">
        <f>IFERROR(IF(AND(ISNUMBER('Semi Rev'!Q34),ISNUMBER('Semi Rev'!M34),'Semi Rev'!M34&gt;0),'Semi Rev'!Q34/'Semi Rev'!M34-1,""),"")</f>
        <v/>
      </c>
      <c r="N177" s="38">
        <f>IFERROR(IF(AND(ISNUMBER('Semi Rev'!R34),ISNUMBER('Semi Rev'!N34),'Semi Rev'!N34&gt;0),'Semi Rev'!R34/'Semi Rev'!N34-1,""),"")</f>
        <v/>
      </c>
    </row>
    <row r="178">
      <c r="A178" s="19">
        <f>'Semi Rev'!$A35</f>
        <v/>
      </c>
      <c r="B178" s="19">
        <f>'Semi Rev'!$B35</f>
        <v/>
      </c>
      <c r="C178" s="37">
        <f>IFERROR(IF(AND(ISNUMBER('Semi Rev'!G35),ISNUMBER('Semi Rev'!C35),'Semi Rev'!C35&gt;0),'Semi Rev'!G35/'Semi Rev'!C35-1,""),"")</f>
        <v/>
      </c>
      <c r="D178" s="37">
        <f>IFERROR(IF(AND(ISNUMBER('Semi Rev'!H35),ISNUMBER('Semi Rev'!D35),'Semi Rev'!D35&gt;0),'Semi Rev'!H35/'Semi Rev'!D35-1,""),"")</f>
        <v/>
      </c>
      <c r="E178" s="37">
        <f>IFERROR(IF(AND(ISNUMBER('Semi Rev'!I35),ISNUMBER('Semi Rev'!E35),'Semi Rev'!E35&gt;0),'Semi Rev'!I35/'Semi Rev'!E35-1,""),"")</f>
        <v/>
      </c>
      <c r="F178" s="37">
        <f>IFERROR(IF(AND(ISNUMBER('Semi Rev'!J35),ISNUMBER('Semi Rev'!F35),'Semi Rev'!F35&gt;0),'Semi Rev'!J35/'Semi Rev'!F35-1,""),"")</f>
        <v/>
      </c>
      <c r="G178" s="37">
        <f>IFERROR(IF(AND(ISNUMBER('Semi Rev'!K35),ISNUMBER('Semi Rev'!G35),'Semi Rev'!G35&gt;0),'Semi Rev'!K35/'Semi Rev'!G35-1,""),"")</f>
        <v/>
      </c>
      <c r="H178" s="37">
        <f>IFERROR(IF(AND(ISNUMBER('Semi Rev'!L35),ISNUMBER('Semi Rev'!H35),'Semi Rev'!H35&gt;0),'Semi Rev'!L35/'Semi Rev'!H35-1,""),"")</f>
        <v/>
      </c>
      <c r="I178" s="37">
        <f>IFERROR(IF(AND(ISNUMBER('Semi Rev'!M35),ISNUMBER('Semi Rev'!I35),'Semi Rev'!I35&gt;0),'Semi Rev'!M35/'Semi Rev'!I35-1,""),"")</f>
        <v/>
      </c>
      <c r="J178" s="37">
        <f>IFERROR(IF(AND(ISNUMBER('Semi Rev'!N35),ISNUMBER('Semi Rev'!J35),'Semi Rev'!J35&gt;0),'Semi Rev'!N35/'Semi Rev'!J35-1,""),"")</f>
        <v/>
      </c>
      <c r="K178" s="37">
        <f>IFERROR(IF(AND(ISNUMBER('Semi Rev'!O35),ISNUMBER('Semi Rev'!K35),'Semi Rev'!K35&gt;0),'Semi Rev'!O35/'Semi Rev'!K35-1,""),"")</f>
        <v/>
      </c>
      <c r="L178" s="37">
        <f>IFERROR(IF(AND(ISNUMBER('Semi Rev'!P35),ISNUMBER('Semi Rev'!L35),'Semi Rev'!L35&gt;0),'Semi Rev'!P35/'Semi Rev'!L35-1,""),"")</f>
        <v/>
      </c>
      <c r="M178" s="38">
        <f>IFERROR(IF(AND(ISNUMBER('Semi Rev'!Q35),ISNUMBER('Semi Rev'!M35),'Semi Rev'!M35&gt;0),'Semi Rev'!Q35/'Semi Rev'!M35-1,""),"")</f>
        <v/>
      </c>
      <c r="N178" s="38">
        <f>IFERROR(IF(AND(ISNUMBER('Semi Rev'!R35),ISNUMBER('Semi Rev'!N35),'Semi Rev'!N35&gt;0),'Semi Rev'!R35/'Semi Rev'!N35-1,""),"")</f>
        <v/>
      </c>
    </row>
    <row r="179">
      <c r="A179" s="19">
        <f>'Semi Rev'!$A36</f>
        <v/>
      </c>
      <c r="B179" s="19">
        <f>'Semi Rev'!$B36</f>
        <v/>
      </c>
      <c r="C179" s="37">
        <f>IFERROR(IF(AND(ISNUMBER('Semi Rev'!G36),ISNUMBER('Semi Rev'!C36),'Semi Rev'!C36&gt;0),'Semi Rev'!G36/'Semi Rev'!C36-1,""),"")</f>
        <v/>
      </c>
      <c r="D179" s="37">
        <f>IFERROR(IF(AND(ISNUMBER('Semi Rev'!H36),ISNUMBER('Semi Rev'!D36),'Semi Rev'!D36&gt;0),'Semi Rev'!H36/'Semi Rev'!D36-1,""),"")</f>
        <v/>
      </c>
      <c r="E179" s="37">
        <f>IFERROR(IF(AND(ISNUMBER('Semi Rev'!I36),ISNUMBER('Semi Rev'!E36),'Semi Rev'!E36&gt;0),'Semi Rev'!I36/'Semi Rev'!E36-1,""),"")</f>
        <v/>
      </c>
      <c r="F179" s="37">
        <f>IFERROR(IF(AND(ISNUMBER('Semi Rev'!J36),ISNUMBER('Semi Rev'!F36),'Semi Rev'!F36&gt;0),'Semi Rev'!J36/'Semi Rev'!F36-1,""),"")</f>
        <v/>
      </c>
      <c r="G179" s="37">
        <f>IFERROR(IF(AND(ISNUMBER('Semi Rev'!K36),ISNUMBER('Semi Rev'!G36),'Semi Rev'!G36&gt;0),'Semi Rev'!K36/'Semi Rev'!G36-1,""),"")</f>
        <v/>
      </c>
      <c r="H179" s="37">
        <f>IFERROR(IF(AND(ISNUMBER('Semi Rev'!L36),ISNUMBER('Semi Rev'!H36),'Semi Rev'!H36&gt;0),'Semi Rev'!L36/'Semi Rev'!H36-1,""),"")</f>
        <v/>
      </c>
      <c r="I179" s="37">
        <f>IFERROR(IF(AND(ISNUMBER('Semi Rev'!M36),ISNUMBER('Semi Rev'!I36),'Semi Rev'!I36&gt;0),'Semi Rev'!M36/'Semi Rev'!I36-1,""),"")</f>
        <v/>
      </c>
      <c r="J179" s="37">
        <f>IFERROR(IF(AND(ISNUMBER('Semi Rev'!N36),ISNUMBER('Semi Rev'!J36),'Semi Rev'!J36&gt;0),'Semi Rev'!N36/'Semi Rev'!J36-1,""),"")</f>
        <v/>
      </c>
      <c r="K179" s="37">
        <f>IFERROR(IF(AND(ISNUMBER('Semi Rev'!O36),ISNUMBER('Semi Rev'!K36),'Semi Rev'!K36&gt;0),'Semi Rev'!O36/'Semi Rev'!K36-1,""),"")</f>
        <v/>
      </c>
      <c r="L179" s="37">
        <f>IFERROR(IF(AND(ISNUMBER('Semi Rev'!P36),ISNUMBER('Semi Rev'!L36),'Semi Rev'!L36&gt;0),'Semi Rev'!P36/'Semi Rev'!L36-1,""),"")</f>
        <v/>
      </c>
      <c r="M179" s="38">
        <f>IFERROR(IF(AND(ISNUMBER('Semi Rev'!Q36),ISNUMBER('Semi Rev'!M36),'Semi Rev'!M36&gt;0),'Semi Rev'!Q36/'Semi Rev'!M36-1,""),"")</f>
        <v/>
      </c>
      <c r="N179" s="38">
        <f>IFERROR(IF(AND(ISNUMBER('Semi Rev'!R36),ISNUMBER('Semi Rev'!N36),'Semi Rev'!N36&gt;0),'Semi Rev'!R36/'Semi Rev'!N36-1,""),"")</f>
        <v/>
      </c>
    </row>
    <row r="180">
      <c r="A180" s="19">
        <f>'Semi Rev'!$A37</f>
        <v/>
      </c>
      <c r="B180" s="19">
        <f>'Semi Rev'!$B37</f>
        <v/>
      </c>
      <c r="C180" s="37">
        <f>IFERROR(IF(AND(ISNUMBER('Semi Rev'!G37),ISNUMBER('Semi Rev'!C37),'Semi Rev'!C37&gt;0),'Semi Rev'!G37/'Semi Rev'!C37-1,""),"")</f>
        <v/>
      </c>
      <c r="D180" s="37">
        <f>IFERROR(IF(AND(ISNUMBER('Semi Rev'!H37),ISNUMBER('Semi Rev'!D37),'Semi Rev'!D37&gt;0),'Semi Rev'!H37/'Semi Rev'!D37-1,""),"")</f>
        <v/>
      </c>
      <c r="E180" s="37">
        <f>IFERROR(IF(AND(ISNUMBER('Semi Rev'!I37),ISNUMBER('Semi Rev'!E37),'Semi Rev'!E37&gt;0),'Semi Rev'!I37/'Semi Rev'!E37-1,""),"")</f>
        <v/>
      </c>
      <c r="F180" s="37">
        <f>IFERROR(IF(AND(ISNUMBER('Semi Rev'!J37),ISNUMBER('Semi Rev'!F37),'Semi Rev'!F37&gt;0),'Semi Rev'!J37/'Semi Rev'!F37-1,""),"")</f>
        <v/>
      </c>
      <c r="G180" s="37">
        <f>IFERROR(IF(AND(ISNUMBER('Semi Rev'!K37),ISNUMBER('Semi Rev'!G37),'Semi Rev'!G37&gt;0),'Semi Rev'!K37/'Semi Rev'!G37-1,""),"")</f>
        <v/>
      </c>
      <c r="H180" s="37">
        <f>IFERROR(IF(AND(ISNUMBER('Semi Rev'!L37),ISNUMBER('Semi Rev'!H37),'Semi Rev'!H37&gt;0),'Semi Rev'!L37/'Semi Rev'!H37-1,""),"")</f>
        <v/>
      </c>
      <c r="I180" s="37">
        <f>IFERROR(IF(AND(ISNUMBER('Semi Rev'!M37),ISNUMBER('Semi Rev'!I37),'Semi Rev'!I37&gt;0),'Semi Rev'!M37/'Semi Rev'!I37-1,""),"")</f>
        <v/>
      </c>
      <c r="J180" s="37">
        <f>IFERROR(IF(AND(ISNUMBER('Semi Rev'!N37),ISNUMBER('Semi Rev'!J37),'Semi Rev'!J37&gt;0),'Semi Rev'!N37/'Semi Rev'!J37-1,""),"")</f>
        <v/>
      </c>
      <c r="K180" s="37">
        <f>IFERROR(IF(AND(ISNUMBER('Semi Rev'!O37),ISNUMBER('Semi Rev'!K37),'Semi Rev'!K37&gt;0),'Semi Rev'!O37/'Semi Rev'!K37-1,""),"")</f>
        <v/>
      </c>
      <c r="L180" s="37">
        <f>IFERROR(IF(AND(ISNUMBER('Semi Rev'!P37),ISNUMBER('Semi Rev'!L37),'Semi Rev'!L37&gt;0),'Semi Rev'!P37/'Semi Rev'!L37-1,""),"")</f>
        <v/>
      </c>
      <c r="M180" s="38">
        <f>IFERROR(IF(AND(ISNUMBER('Semi Rev'!Q37),ISNUMBER('Semi Rev'!M37),'Semi Rev'!M37&gt;0),'Semi Rev'!Q37/'Semi Rev'!M37-1,""),"")</f>
        <v/>
      </c>
      <c r="N180" s="38">
        <f>IFERROR(IF(AND(ISNUMBER('Semi Rev'!R37),ISNUMBER('Semi Rev'!N37),'Semi Rev'!N37&gt;0),'Semi Rev'!R37/'Semi Rev'!N37-1,""),"")</f>
        <v/>
      </c>
    </row>
    <row r="181">
      <c r="A181" s="19">
        <f>'Semi Rev'!$A38</f>
        <v/>
      </c>
      <c r="B181" s="19">
        <f>'Semi Rev'!$B38</f>
        <v/>
      </c>
      <c r="C181" s="37">
        <f>IFERROR(IF(AND(ISNUMBER('Semi Rev'!G38),ISNUMBER('Semi Rev'!C38),'Semi Rev'!C38&gt;0),'Semi Rev'!G38/'Semi Rev'!C38-1,""),"")</f>
        <v/>
      </c>
      <c r="D181" s="37">
        <f>IFERROR(IF(AND(ISNUMBER('Semi Rev'!H38),ISNUMBER('Semi Rev'!D38),'Semi Rev'!D38&gt;0),'Semi Rev'!H38/'Semi Rev'!D38-1,""),"")</f>
        <v/>
      </c>
      <c r="E181" s="37">
        <f>IFERROR(IF(AND(ISNUMBER('Semi Rev'!I38),ISNUMBER('Semi Rev'!E38),'Semi Rev'!E38&gt;0),'Semi Rev'!I38/'Semi Rev'!E38-1,""),"")</f>
        <v/>
      </c>
      <c r="F181" s="37">
        <f>IFERROR(IF(AND(ISNUMBER('Semi Rev'!J38),ISNUMBER('Semi Rev'!F38),'Semi Rev'!F38&gt;0),'Semi Rev'!J38/'Semi Rev'!F38-1,""),"")</f>
        <v/>
      </c>
      <c r="G181" s="37">
        <f>IFERROR(IF(AND(ISNUMBER('Semi Rev'!K38),ISNUMBER('Semi Rev'!G38),'Semi Rev'!G38&gt;0),'Semi Rev'!K38/'Semi Rev'!G38-1,""),"")</f>
        <v/>
      </c>
      <c r="H181" s="37">
        <f>IFERROR(IF(AND(ISNUMBER('Semi Rev'!L38),ISNUMBER('Semi Rev'!H38),'Semi Rev'!H38&gt;0),'Semi Rev'!L38/'Semi Rev'!H38-1,""),"")</f>
        <v/>
      </c>
      <c r="I181" s="37">
        <f>IFERROR(IF(AND(ISNUMBER('Semi Rev'!M38),ISNUMBER('Semi Rev'!I38),'Semi Rev'!I38&gt;0),'Semi Rev'!M38/'Semi Rev'!I38-1,""),"")</f>
        <v/>
      </c>
      <c r="J181" s="37">
        <f>IFERROR(IF(AND(ISNUMBER('Semi Rev'!N38),ISNUMBER('Semi Rev'!J38),'Semi Rev'!J38&gt;0),'Semi Rev'!N38/'Semi Rev'!J38-1,""),"")</f>
        <v/>
      </c>
      <c r="K181" s="37">
        <f>IFERROR(IF(AND(ISNUMBER('Semi Rev'!O38),ISNUMBER('Semi Rev'!K38),'Semi Rev'!K38&gt;0),'Semi Rev'!O38/'Semi Rev'!K38-1,""),"")</f>
        <v/>
      </c>
      <c r="L181" s="37">
        <f>IFERROR(IF(AND(ISNUMBER('Semi Rev'!P38),ISNUMBER('Semi Rev'!L38),'Semi Rev'!L38&gt;0),'Semi Rev'!P38/'Semi Rev'!L38-1,""),"")</f>
        <v/>
      </c>
      <c r="M181" s="38">
        <f>IFERROR(IF(AND(ISNUMBER('Semi Rev'!Q38),ISNUMBER('Semi Rev'!M38),'Semi Rev'!M38&gt;0),'Semi Rev'!Q38/'Semi Rev'!M38-1,""),"")</f>
        <v/>
      </c>
      <c r="N181" s="38">
        <f>IFERROR(IF(AND(ISNUMBER('Semi Rev'!R38),ISNUMBER('Semi Rev'!N38),'Semi Rev'!N38&gt;0),'Semi Rev'!R38/'Semi Rev'!N38-1,""),"")</f>
        <v/>
      </c>
    </row>
    <row r="182">
      <c r="A182" s="19">
        <f>'Semi Rev'!$A39</f>
        <v/>
      </c>
      <c r="B182" s="19">
        <f>'Semi Rev'!$B39</f>
        <v/>
      </c>
      <c r="C182" s="37">
        <f>IFERROR(IF(AND(ISNUMBER('Semi Rev'!G39),ISNUMBER('Semi Rev'!C39),'Semi Rev'!C39&gt;0),'Semi Rev'!G39/'Semi Rev'!C39-1,""),"")</f>
        <v/>
      </c>
      <c r="D182" s="37">
        <f>IFERROR(IF(AND(ISNUMBER('Semi Rev'!H39),ISNUMBER('Semi Rev'!D39),'Semi Rev'!D39&gt;0),'Semi Rev'!H39/'Semi Rev'!D39-1,""),"")</f>
        <v/>
      </c>
      <c r="E182" s="37">
        <f>IFERROR(IF(AND(ISNUMBER('Semi Rev'!I39),ISNUMBER('Semi Rev'!E39),'Semi Rev'!E39&gt;0),'Semi Rev'!I39/'Semi Rev'!E39-1,""),"")</f>
        <v/>
      </c>
      <c r="F182" s="37">
        <f>IFERROR(IF(AND(ISNUMBER('Semi Rev'!J39),ISNUMBER('Semi Rev'!F39),'Semi Rev'!F39&gt;0),'Semi Rev'!J39/'Semi Rev'!F39-1,""),"")</f>
        <v/>
      </c>
      <c r="G182" s="37">
        <f>IFERROR(IF(AND(ISNUMBER('Semi Rev'!K39),ISNUMBER('Semi Rev'!G39),'Semi Rev'!G39&gt;0),'Semi Rev'!K39/'Semi Rev'!G39-1,""),"")</f>
        <v/>
      </c>
      <c r="H182" s="37">
        <f>IFERROR(IF(AND(ISNUMBER('Semi Rev'!L39),ISNUMBER('Semi Rev'!H39),'Semi Rev'!H39&gt;0),'Semi Rev'!L39/'Semi Rev'!H39-1,""),"")</f>
        <v/>
      </c>
      <c r="I182" s="37">
        <f>IFERROR(IF(AND(ISNUMBER('Semi Rev'!M39),ISNUMBER('Semi Rev'!I39),'Semi Rev'!I39&gt;0),'Semi Rev'!M39/'Semi Rev'!I39-1,""),"")</f>
        <v/>
      </c>
      <c r="J182" s="37">
        <f>IFERROR(IF(AND(ISNUMBER('Semi Rev'!N39),ISNUMBER('Semi Rev'!J39),'Semi Rev'!J39&gt;0),'Semi Rev'!N39/'Semi Rev'!J39-1,""),"")</f>
        <v/>
      </c>
      <c r="K182" s="37">
        <f>IFERROR(IF(AND(ISNUMBER('Semi Rev'!O39),ISNUMBER('Semi Rev'!K39),'Semi Rev'!K39&gt;0),'Semi Rev'!O39/'Semi Rev'!K39-1,""),"")</f>
        <v/>
      </c>
      <c r="L182" s="37">
        <f>IFERROR(IF(AND(ISNUMBER('Semi Rev'!P39),ISNUMBER('Semi Rev'!L39),'Semi Rev'!L39&gt;0),'Semi Rev'!P39/'Semi Rev'!L39-1,""),"")</f>
        <v/>
      </c>
      <c r="M182" s="38">
        <f>IFERROR(IF(AND(ISNUMBER('Semi Rev'!Q39),ISNUMBER('Semi Rev'!M39),'Semi Rev'!M39&gt;0),'Semi Rev'!Q39/'Semi Rev'!M39-1,""),"")</f>
        <v/>
      </c>
      <c r="N182" s="38">
        <f>IFERROR(IF(AND(ISNUMBER('Semi Rev'!R39),ISNUMBER('Semi Rev'!N39),'Semi Rev'!N39&gt;0),'Semi Rev'!R39/'Semi Rev'!N39-1,""),"")</f>
        <v/>
      </c>
    </row>
    <row r="183">
      <c r="A183" s="19">
        <f>'Semi Rev'!$A40</f>
        <v/>
      </c>
      <c r="B183" s="19">
        <f>'Semi Rev'!$B40</f>
        <v/>
      </c>
      <c r="C183" s="37">
        <f>IFERROR(IF(AND(ISNUMBER('Semi Rev'!G40),ISNUMBER('Semi Rev'!C40),'Semi Rev'!C40&gt;0),'Semi Rev'!G40/'Semi Rev'!C40-1,""),"")</f>
        <v/>
      </c>
      <c r="D183" s="37">
        <f>IFERROR(IF(AND(ISNUMBER('Semi Rev'!H40),ISNUMBER('Semi Rev'!D40),'Semi Rev'!D40&gt;0),'Semi Rev'!H40/'Semi Rev'!D40-1,""),"")</f>
        <v/>
      </c>
      <c r="E183" s="37">
        <f>IFERROR(IF(AND(ISNUMBER('Semi Rev'!I40),ISNUMBER('Semi Rev'!E40),'Semi Rev'!E40&gt;0),'Semi Rev'!I40/'Semi Rev'!E40-1,""),"")</f>
        <v/>
      </c>
      <c r="F183" s="37">
        <f>IFERROR(IF(AND(ISNUMBER('Semi Rev'!J40),ISNUMBER('Semi Rev'!F40),'Semi Rev'!F40&gt;0),'Semi Rev'!J40/'Semi Rev'!F40-1,""),"")</f>
        <v/>
      </c>
      <c r="G183" s="37">
        <f>IFERROR(IF(AND(ISNUMBER('Semi Rev'!K40),ISNUMBER('Semi Rev'!G40),'Semi Rev'!G40&gt;0),'Semi Rev'!K40/'Semi Rev'!G40-1,""),"")</f>
        <v/>
      </c>
      <c r="H183" s="37">
        <f>IFERROR(IF(AND(ISNUMBER('Semi Rev'!L40),ISNUMBER('Semi Rev'!H40),'Semi Rev'!H40&gt;0),'Semi Rev'!L40/'Semi Rev'!H40-1,""),"")</f>
        <v/>
      </c>
      <c r="I183" s="37">
        <f>IFERROR(IF(AND(ISNUMBER('Semi Rev'!M40),ISNUMBER('Semi Rev'!I40),'Semi Rev'!I40&gt;0),'Semi Rev'!M40/'Semi Rev'!I40-1,""),"")</f>
        <v/>
      </c>
      <c r="J183" s="37">
        <f>IFERROR(IF(AND(ISNUMBER('Semi Rev'!N40),ISNUMBER('Semi Rev'!J40),'Semi Rev'!J40&gt;0),'Semi Rev'!N40/'Semi Rev'!J40-1,""),"")</f>
        <v/>
      </c>
      <c r="K183" s="37">
        <f>IFERROR(IF(AND(ISNUMBER('Semi Rev'!O40),ISNUMBER('Semi Rev'!K40),'Semi Rev'!K40&gt;0),'Semi Rev'!O40/'Semi Rev'!K40-1,""),"")</f>
        <v/>
      </c>
      <c r="L183" s="37">
        <f>IFERROR(IF(AND(ISNUMBER('Semi Rev'!P40),ISNUMBER('Semi Rev'!L40),'Semi Rev'!L40&gt;0),'Semi Rev'!P40/'Semi Rev'!L40-1,""),"")</f>
        <v/>
      </c>
      <c r="M183" s="38">
        <f>IFERROR(IF(AND(ISNUMBER('Semi Rev'!Q40),ISNUMBER('Semi Rev'!M40),'Semi Rev'!M40&gt;0),'Semi Rev'!Q40/'Semi Rev'!M40-1,""),"")</f>
        <v/>
      </c>
      <c r="N183" s="38">
        <f>IFERROR(IF(AND(ISNUMBER('Semi Rev'!R40),ISNUMBER('Semi Rev'!N40),'Semi Rev'!N40&gt;0),'Semi Rev'!R40/'Semi Rev'!N40-1,""),"")</f>
        <v/>
      </c>
    </row>
    <row r="184">
      <c r="A184" s="19">
        <f>'Semi Rev'!$A41</f>
        <v/>
      </c>
      <c r="B184" s="19">
        <f>'Semi Rev'!$B41</f>
        <v/>
      </c>
      <c r="C184" s="37">
        <f>IFERROR(IF(AND(ISNUMBER('Semi Rev'!G41),ISNUMBER('Semi Rev'!C41),'Semi Rev'!C41&gt;0),'Semi Rev'!G41/'Semi Rev'!C41-1,""),"")</f>
        <v/>
      </c>
      <c r="D184" s="37">
        <f>IFERROR(IF(AND(ISNUMBER('Semi Rev'!H41),ISNUMBER('Semi Rev'!D41),'Semi Rev'!D41&gt;0),'Semi Rev'!H41/'Semi Rev'!D41-1,""),"")</f>
        <v/>
      </c>
      <c r="E184" s="37">
        <f>IFERROR(IF(AND(ISNUMBER('Semi Rev'!I41),ISNUMBER('Semi Rev'!E41),'Semi Rev'!E41&gt;0),'Semi Rev'!I41/'Semi Rev'!E41-1,""),"")</f>
        <v/>
      </c>
      <c r="F184" s="37">
        <f>IFERROR(IF(AND(ISNUMBER('Semi Rev'!J41),ISNUMBER('Semi Rev'!F41),'Semi Rev'!F41&gt;0),'Semi Rev'!J41/'Semi Rev'!F41-1,""),"")</f>
        <v/>
      </c>
      <c r="G184" s="37">
        <f>IFERROR(IF(AND(ISNUMBER('Semi Rev'!K41),ISNUMBER('Semi Rev'!G41),'Semi Rev'!G41&gt;0),'Semi Rev'!K41/'Semi Rev'!G41-1,""),"")</f>
        <v/>
      </c>
      <c r="H184" s="37">
        <f>IFERROR(IF(AND(ISNUMBER('Semi Rev'!L41),ISNUMBER('Semi Rev'!H41),'Semi Rev'!H41&gt;0),'Semi Rev'!L41/'Semi Rev'!H41-1,""),"")</f>
        <v/>
      </c>
      <c r="I184" s="37">
        <f>IFERROR(IF(AND(ISNUMBER('Semi Rev'!M41),ISNUMBER('Semi Rev'!I41),'Semi Rev'!I41&gt;0),'Semi Rev'!M41/'Semi Rev'!I41-1,""),"")</f>
        <v/>
      </c>
      <c r="J184" s="37">
        <f>IFERROR(IF(AND(ISNUMBER('Semi Rev'!N41),ISNUMBER('Semi Rev'!J41),'Semi Rev'!J41&gt;0),'Semi Rev'!N41/'Semi Rev'!J41-1,""),"")</f>
        <v/>
      </c>
      <c r="K184" s="37">
        <f>IFERROR(IF(AND(ISNUMBER('Semi Rev'!O41),ISNUMBER('Semi Rev'!K41),'Semi Rev'!K41&gt;0),'Semi Rev'!O41/'Semi Rev'!K41-1,""),"")</f>
        <v/>
      </c>
      <c r="L184" s="37">
        <f>IFERROR(IF(AND(ISNUMBER('Semi Rev'!P41),ISNUMBER('Semi Rev'!L41),'Semi Rev'!L41&gt;0),'Semi Rev'!P41/'Semi Rev'!L41-1,""),"")</f>
        <v/>
      </c>
      <c r="M184" s="38">
        <f>IFERROR(IF(AND(ISNUMBER('Semi Rev'!Q41),ISNUMBER('Semi Rev'!M41),'Semi Rev'!M41&gt;0),'Semi Rev'!Q41/'Semi Rev'!M41-1,""),"")</f>
        <v/>
      </c>
      <c r="N184" s="38">
        <f>IFERROR(IF(AND(ISNUMBER('Semi Rev'!R41),ISNUMBER('Semi Rev'!N41),'Semi Rev'!N41&gt;0),'Semi Rev'!R41/'Semi Rev'!N41-1,""),"")</f>
        <v/>
      </c>
    </row>
    <row r="185">
      <c r="A185" s="19">
        <f>'Semi Rev'!$A42</f>
        <v/>
      </c>
      <c r="B185" s="19">
        <f>'Semi Rev'!$B42</f>
        <v/>
      </c>
      <c r="C185" s="37">
        <f>IFERROR(IF(AND(ISNUMBER('Semi Rev'!G42),ISNUMBER('Semi Rev'!C42),'Semi Rev'!C42&gt;0),'Semi Rev'!G42/'Semi Rev'!C42-1,""),"")</f>
        <v/>
      </c>
      <c r="D185" s="37">
        <f>IFERROR(IF(AND(ISNUMBER('Semi Rev'!H42),ISNUMBER('Semi Rev'!D42),'Semi Rev'!D42&gt;0),'Semi Rev'!H42/'Semi Rev'!D42-1,""),"")</f>
        <v/>
      </c>
      <c r="E185" s="37">
        <f>IFERROR(IF(AND(ISNUMBER('Semi Rev'!I42),ISNUMBER('Semi Rev'!E42),'Semi Rev'!E42&gt;0),'Semi Rev'!I42/'Semi Rev'!E42-1,""),"")</f>
        <v/>
      </c>
      <c r="F185" s="37">
        <f>IFERROR(IF(AND(ISNUMBER('Semi Rev'!J42),ISNUMBER('Semi Rev'!F42),'Semi Rev'!F42&gt;0),'Semi Rev'!J42/'Semi Rev'!F42-1,""),"")</f>
        <v/>
      </c>
      <c r="G185" s="37">
        <f>IFERROR(IF(AND(ISNUMBER('Semi Rev'!K42),ISNUMBER('Semi Rev'!G42),'Semi Rev'!G42&gt;0),'Semi Rev'!K42/'Semi Rev'!G42-1,""),"")</f>
        <v/>
      </c>
      <c r="H185" s="37">
        <f>IFERROR(IF(AND(ISNUMBER('Semi Rev'!L42),ISNUMBER('Semi Rev'!H42),'Semi Rev'!H42&gt;0),'Semi Rev'!L42/'Semi Rev'!H42-1,""),"")</f>
        <v/>
      </c>
      <c r="I185" s="37">
        <f>IFERROR(IF(AND(ISNUMBER('Semi Rev'!M42),ISNUMBER('Semi Rev'!I42),'Semi Rev'!I42&gt;0),'Semi Rev'!M42/'Semi Rev'!I42-1,""),"")</f>
        <v/>
      </c>
      <c r="J185" s="37">
        <f>IFERROR(IF(AND(ISNUMBER('Semi Rev'!N42),ISNUMBER('Semi Rev'!J42),'Semi Rev'!J42&gt;0),'Semi Rev'!N42/'Semi Rev'!J42-1,""),"")</f>
        <v/>
      </c>
      <c r="K185" s="37">
        <f>IFERROR(IF(AND(ISNUMBER('Semi Rev'!O42),ISNUMBER('Semi Rev'!K42),'Semi Rev'!K42&gt;0),'Semi Rev'!O42/'Semi Rev'!K42-1,""),"")</f>
        <v/>
      </c>
      <c r="L185" s="37">
        <f>IFERROR(IF(AND(ISNUMBER('Semi Rev'!P42),ISNUMBER('Semi Rev'!L42),'Semi Rev'!L42&gt;0),'Semi Rev'!P42/'Semi Rev'!L42-1,""),"")</f>
        <v/>
      </c>
      <c r="M185" s="38">
        <f>IFERROR(IF(AND(ISNUMBER('Semi Rev'!Q42),ISNUMBER('Semi Rev'!M42),'Semi Rev'!M42&gt;0),'Semi Rev'!Q42/'Semi Rev'!M42-1,""),"")</f>
        <v/>
      </c>
      <c r="N185" s="38">
        <f>IFERROR(IF(AND(ISNUMBER('Semi Rev'!R42),ISNUMBER('Semi Rev'!N42),'Semi Rev'!N42&gt;0),'Semi Rev'!R42/'Semi Rev'!N42-1,""),"")</f>
        <v/>
      </c>
    </row>
    <row r="186">
      <c r="A186" s="19">
        <f>'Semi Rev'!$A43</f>
        <v/>
      </c>
      <c r="B186" s="19">
        <f>'Semi Rev'!$B43</f>
        <v/>
      </c>
      <c r="C186" s="37">
        <f>IFERROR(IF(AND(ISNUMBER('Semi Rev'!G43),ISNUMBER('Semi Rev'!C43),'Semi Rev'!C43&gt;0),'Semi Rev'!G43/'Semi Rev'!C43-1,""),"")</f>
        <v/>
      </c>
      <c r="D186" s="37">
        <f>IFERROR(IF(AND(ISNUMBER('Semi Rev'!H43),ISNUMBER('Semi Rev'!D43),'Semi Rev'!D43&gt;0),'Semi Rev'!H43/'Semi Rev'!D43-1,""),"")</f>
        <v/>
      </c>
      <c r="E186" s="37">
        <f>IFERROR(IF(AND(ISNUMBER('Semi Rev'!I43),ISNUMBER('Semi Rev'!E43),'Semi Rev'!E43&gt;0),'Semi Rev'!I43/'Semi Rev'!E43-1,""),"")</f>
        <v/>
      </c>
      <c r="F186" s="37">
        <f>IFERROR(IF(AND(ISNUMBER('Semi Rev'!J43),ISNUMBER('Semi Rev'!F43),'Semi Rev'!F43&gt;0),'Semi Rev'!J43/'Semi Rev'!F43-1,""),"")</f>
        <v/>
      </c>
      <c r="G186" s="37">
        <f>IFERROR(IF(AND(ISNUMBER('Semi Rev'!K43),ISNUMBER('Semi Rev'!G43),'Semi Rev'!G43&gt;0),'Semi Rev'!K43/'Semi Rev'!G43-1,""),"")</f>
        <v/>
      </c>
      <c r="H186" s="37">
        <f>IFERROR(IF(AND(ISNUMBER('Semi Rev'!L43),ISNUMBER('Semi Rev'!H43),'Semi Rev'!H43&gt;0),'Semi Rev'!L43/'Semi Rev'!H43-1,""),"")</f>
        <v/>
      </c>
      <c r="I186" s="37">
        <f>IFERROR(IF(AND(ISNUMBER('Semi Rev'!M43),ISNUMBER('Semi Rev'!I43),'Semi Rev'!I43&gt;0),'Semi Rev'!M43/'Semi Rev'!I43-1,""),"")</f>
        <v/>
      </c>
      <c r="J186" s="37">
        <f>IFERROR(IF(AND(ISNUMBER('Semi Rev'!N43),ISNUMBER('Semi Rev'!J43),'Semi Rev'!J43&gt;0),'Semi Rev'!N43/'Semi Rev'!J43-1,""),"")</f>
        <v/>
      </c>
      <c r="K186" s="37">
        <f>IFERROR(IF(AND(ISNUMBER('Semi Rev'!O43),ISNUMBER('Semi Rev'!K43),'Semi Rev'!K43&gt;0),'Semi Rev'!O43/'Semi Rev'!K43-1,""),"")</f>
        <v/>
      </c>
      <c r="L186" s="37">
        <f>IFERROR(IF(AND(ISNUMBER('Semi Rev'!P43),ISNUMBER('Semi Rev'!L43),'Semi Rev'!L43&gt;0),'Semi Rev'!P43/'Semi Rev'!L43-1,""),"")</f>
        <v/>
      </c>
      <c r="M186" s="38">
        <f>IFERROR(IF(AND(ISNUMBER('Semi Rev'!Q43),ISNUMBER('Semi Rev'!M43),'Semi Rev'!M43&gt;0),'Semi Rev'!Q43/'Semi Rev'!M43-1,""),"")</f>
        <v/>
      </c>
      <c r="N186" s="38">
        <f>IFERROR(IF(AND(ISNUMBER('Semi Rev'!R43),ISNUMBER('Semi Rev'!N43),'Semi Rev'!N43&gt;0),'Semi Rev'!R43/'Semi Rev'!N43-1,""),"")</f>
        <v/>
      </c>
    </row>
    <row r="187">
      <c r="A187" s="19">
        <f>'Semi Rev'!$A44</f>
        <v/>
      </c>
      <c r="B187" s="19">
        <f>'Semi Rev'!$B44</f>
        <v/>
      </c>
      <c r="C187" s="37">
        <f>IFERROR(IF(AND(ISNUMBER('Semi Rev'!G44),ISNUMBER('Semi Rev'!C44),'Semi Rev'!C44&gt;0),'Semi Rev'!G44/'Semi Rev'!C44-1,""),"")</f>
        <v/>
      </c>
      <c r="D187" s="37">
        <f>IFERROR(IF(AND(ISNUMBER('Semi Rev'!H44),ISNUMBER('Semi Rev'!D44),'Semi Rev'!D44&gt;0),'Semi Rev'!H44/'Semi Rev'!D44-1,""),"")</f>
        <v/>
      </c>
      <c r="E187" s="37">
        <f>IFERROR(IF(AND(ISNUMBER('Semi Rev'!I44),ISNUMBER('Semi Rev'!E44),'Semi Rev'!E44&gt;0),'Semi Rev'!I44/'Semi Rev'!E44-1,""),"")</f>
        <v/>
      </c>
      <c r="F187" s="37">
        <f>IFERROR(IF(AND(ISNUMBER('Semi Rev'!J44),ISNUMBER('Semi Rev'!F44),'Semi Rev'!F44&gt;0),'Semi Rev'!J44/'Semi Rev'!F44-1,""),"")</f>
        <v/>
      </c>
      <c r="G187" s="37">
        <f>IFERROR(IF(AND(ISNUMBER('Semi Rev'!K44),ISNUMBER('Semi Rev'!G44),'Semi Rev'!G44&gt;0),'Semi Rev'!K44/'Semi Rev'!G44-1,""),"")</f>
        <v/>
      </c>
      <c r="H187" s="37">
        <f>IFERROR(IF(AND(ISNUMBER('Semi Rev'!L44),ISNUMBER('Semi Rev'!H44),'Semi Rev'!H44&gt;0),'Semi Rev'!L44/'Semi Rev'!H44-1,""),"")</f>
        <v/>
      </c>
      <c r="I187" s="37">
        <f>IFERROR(IF(AND(ISNUMBER('Semi Rev'!M44),ISNUMBER('Semi Rev'!I44),'Semi Rev'!I44&gt;0),'Semi Rev'!M44/'Semi Rev'!I44-1,""),"")</f>
        <v/>
      </c>
      <c r="J187" s="37">
        <f>IFERROR(IF(AND(ISNUMBER('Semi Rev'!N44),ISNUMBER('Semi Rev'!J44),'Semi Rev'!J44&gt;0),'Semi Rev'!N44/'Semi Rev'!J44-1,""),"")</f>
        <v/>
      </c>
      <c r="K187" s="37">
        <f>IFERROR(IF(AND(ISNUMBER('Semi Rev'!O44),ISNUMBER('Semi Rev'!K44),'Semi Rev'!K44&gt;0),'Semi Rev'!O44/'Semi Rev'!K44-1,""),"")</f>
        <v/>
      </c>
      <c r="L187" s="37">
        <f>IFERROR(IF(AND(ISNUMBER('Semi Rev'!P44),ISNUMBER('Semi Rev'!L44),'Semi Rev'!L44&gt;0),'Semi Rev'!P44/'Semi Rev'!L44-1,""),"")</f>
        <v/>
      </c>
      <c r="M187" s="38">
        <f>IFERROR(IF(AND(ISNUMBER('Semi Rev'!Q44),ISNUMBER('Semi Rev'!M44),'Semi Rev'!M44&gt;0),'Semi Rev'!Q44/'Semi Rev'!M44-1,""),"")</f>
        <v/>
      </c>
      <c r="N187" s="38">
        <f>IFERROR(IF(AND(ISNUMBER('Semi Rev'!R44),ISNUMBER('Semi Rev'!N44),'Semi Rev'!N44&gt;0),'Semi Rev'!R44/'Semi Rev'!N44-1,""),"")</f>
        <v/>
      </c>
    </row>
    <row r="188">
      <c r="A188" s="19">
        <f>'Semi Rev'!$A45</f>
        <v/>
      </c>
      <c r="B188" s="19">
        <f>'Semi Rev'!$B45</f>
        <v/>
      </c>
      <c r="C188" s="37">
        <f>IFERROR(IF(AND(ISNUMBER('Semi Rev'!G45),ISNUMBER('Semi Rev'!C45),'Semi Rev'!C45&gt;0),'Semi Rev'!G45/'Semi Rev'!C45-1,""),"")</f>
        <v/>
      </c>
      <c r="D188" s="37">
        <f>IFERROR(IF(AND(ISNUMBER('Semi Rev'!H45),ISNUMBER('Semi Rev'!D45),'Semi Rev'!D45&gt;0),'Semi Rev'!H45/'Semi Rev'!D45-1,""),"")</f>
        <v/>
      </c>
      <c r="E188" s="37">
        <f>IFERROR(IF(AND(ISNUMBER('Semi Rev'!I45),ISNUMBER('Semi Rev'!E45),'Semi Rev'!E45&gt;0),'Semi Rev'!I45/'Semi Rev'!E45-1,""),"")</f>
        <v/>
      </c>
      <c r="F188" s="37">
        <f>IFERROR(IF(AND(ISNUMBER('Semi Rev'!J45),ISNUMBER('Semi Rev'!F45),'Semi Rev'!F45&gt;0),'Semi Rev'!J45/'Semi Rev'!F45-1,""),"")</f>
        <v/>
      </c>
      <c r="G188" s="37">
        <f>IFERROR(IF(AND(ISNUMBER('Semi Rev'!K45),ISNUMBER('Semi Rev'!G45),'Semi Rev'!G45&gt;0),'Semi Rev'!K45/'Semi Rev'!G45-1,""),"")</f>
        <v/>
      </c>
      <c r="H188" s="37">
        <f>IFERROR(IF(AND(ISNUMBER('Semi Rev'!L45),ISNUMBER('Semi Rev'!H45),'Semi Rev'!H45&gt;0),'Semi Rev'!L45/'Semi Rev'!H45-1,""),"")</f>
        <v/>
      </c>
      <c r="I188" s="37">
        <f>IFERROR(IF(AND(ISNUMBER('Semi Rev'!M45),ISNUMBER('Semi Rev'!I45),'Semi Rev'!I45&gt;0),'Semi Rev'!M45/'Semi Rev'!I45-1,""),"")</f>
        <v/>
      </c>
      <c r="J188" s="37">
        <f>IFERROR(IF(AND(ISNUMBER('Semi Rev'!N45),ISNUMBER('Semi Rev'!J45),'Semi Rev'!J45&gt;0),'Semi Rev'!N45/'Semi Rev'!J45-1,""),"")</f>
        <v/>
      </c>
      <c r="K188" s="37">
        <f>IFERROR(IF(AND(ISNUMBER('Semi Rev'!O45),ISNUMBER('Semi Rev'!K45),'Semi Rev'!K45&gt;0),'Semi Rev'!O45/'Semi Rev'!K45-1,""),"")</f>
        <v/>
      </c>
      <c r="L188" s="37">
        <f>IFERROR(IF(AND(ISNUMBER('Semi Rev'!P45),ISNUMBER('Semi Rev'!L45),'Semi Rev'!L45&gt;0),'Semi Rev'!P45/'Semi Rev'!L45-1,""),"")</f>
        <v/>
      </c>
      <c r="M188" s="38">
        <f>IFERROR(IF(AND(ISNUMBER('Semi Rev'!Q45),ISNUMBER('Semi Rev'!M45),'Semi Rev'!M45&gt;0),'Semi Rev'!Q45/'Semi Rev'!M45-1,""),"")</f>
        <v/>
      </c>
      <c r="N188" s="38">
        <f>IFERROR(IF(AND(ISNUMBER('Semi Rev'!R45),ISNUMBER('Semi Rev'!N45),'Semi Rev'!N45&gt;0),'Semi Rev'!R45/'Semi Rev'!N45-1,""),"")</f>
        <v/>
      </c>
    </row>
    <row r="189">
      <c r="A189" s="19">
        <f>'Semi Rev'!$A46</f>
        <v/>
      </c>
      <c r="B189" s="19">
        <f>'Semi Rev'!$B46</f>
        <v/>
      </c>
      <c r="C189" s="37">
        <f>IFERROR(IF(AND(ISNUMBER('Semi Rev'!G46),ISNUMBER('Semi Rev'!C46),'Semi Rev'!C46&gt;0),'Semi Rev'!G46/'Semi Rev'!C46-1,""),"")</f>
        <v/>
      </c>
      <c r="D189" s="37">
        <f>IFERROR(IF(AND(ISNUMBER('Semi Rev'!H46),ISNUMBER('Semi Rev'!D46),'Semi Rev'!D46&gt;0),'Semi Rev'!H46/'Semi Rev'!D46-1,""),"")</f>
        <v/>
      </c>
      <c r="E189" s="37">
        <f>IFERROR(IF(AND(ISNUMBER('Semi Rev'!I46),ISNUMBER('Semi Rev'!E46),'Semi Rev'!E46&gt;0),'Semi Rev'!I46/'Semi Rev'!E46-1,""),"")</f>
        <v/>
      </c>
      <c r="F189" s="37">
        <f>IFERROR(IF(AND(ISNUMBER('Semi Rev'!J46),ISNUMBER('Semi Rev'!F46),'Semi Rev'!F46&gt;0),'Semi Rev'!J46/'Semi Rev'!F46-1,""),"")</f>
        <v/>
      </c>
      <c r="G189" s="37">
        <f>IFERROR(IF(AND(ISNUMBER('Semi Rev'!K46),ISNUMBER('Semi Rev'!G46),'Semi Rev'!G46&gt;0),'Semi Rev'!K46/'Semi Rev'!G46-1,""),"")</f>
        <v/>
      </c>
      <c r="H189" s="37">
        <f>IFERROR(IF(AND(ISNUMBER('Semi Rev'!L46),ISNUMBER('Semi Rev'!H46),'Semi Rev'!H46&gt;0),'Semi Rev'!L46/'Semi Rev'!H46-1,""),"")</f>
        <v/>
      </c>
      <c r="I189" s="37">
        <f>IFERROR(IF(AND(ISNUMBER('Semi Rev'!M46),ISNUMBER('Semi Rev'!I46),'Semi Rev'!I46&gt;0),'Semi Rev'!M46/'Semi Rev'!I46-1,""),"")</f>
        <v/>
      </c>
      <c r="J189" s="37">
        <f>IFERROR(IF(AND(ISNUMBER('Semi Rev'!N46),ISNUMBER('Semi Rev'!J46),'Semi Rev'!J46&gt;0),'Semi Rev'!N46/'Semi Rev'!J46-1,""),"")</f>
        <v/>
      </c>
      <c r="K189" s="37">
        <f>IFERROR(IF(AND(ISNUMBER('Semi Rev'!O46),ISNUMBER('Semi Rev'!K46),'Semi Rev'!K46&gt;0),'Semi Rev'!O46/'Semi Rev'!K46-1,""),"")</f>
        <v/>
      </c>
      <c r="L189" s="37">
        <f>IFERROR(IF(AND(ISNUMBER('Semi Rev'!P46),ISNUMBER('Semi Rev'!L46),'Semi Rev'!L46&gt;0),'Semi Rev'!P46/'Semi Rev'!L46-1,""),"")</f>
        <v/>
      </c>
      <c r="M189" s="38">
        <f>IFERROR(IF(AND(ISNUMBER('Semi Rev'!Q46),ISNUMBER('Semi Rev'!M46),'Semi Rev'!M46&gt;0),'Semi Rev'!Q46/'Semi Rev'!M46-1,""),"")</f>
        <v/>
      </c>
      <c r="N189" s="38">
        <f>IFERROR(IF(AND(ISNUMBER('Semi Rev'!R46),ISNUMBER('Semi Rev'!N46),'Semi Rev'!N46&gt;0),'Semi Rev'!R46/'Semi Rev'!N46-1,""),"")</f>
        <v/>
      </c>
    </row>
    <row r="190">
      <c r="A190" s="19">
        <f>'Semi Rev'!$A47</f>
        <v/>
      </c>
      <c r="B190" s="19">
        <f>'Semi Rev'!$B47</f>
        <v/>
      </c>
      <c r="C190" s="37">
        <f>IFERROR(IF(AND(ISNUMBER('Semi Rev'!G47),ISNUMBER('Semi Rev'!C47),'Semi Rev'!C47&gt;0),'Semi Rev'!G47/'Semi Rev'!C47-1,""),"")</f>
        <v/>
      </c>
      <c r="D190" s="37">
        <f>IFERROR(IF(AND(ISNUMBER('Semi Rev'!H47),ISNUMBER('Semi Rev'!D47),'Semi Rev'!D47&gt;0),'Semi Rev'!H47/'Semi Rev'!D47-1,""),"")</f>
        <v/>
      </c>
      <c r="E190" s="37">
        <f>IFERROR(IF(AND(ISNUMBER('Semi Rev'!I47),ISNUMBER('Semi Rev'!E47),'Semi Rev'!E47&gt;0),'Semi Rev'!I47/'Semi Rev'!E47-1,""),"")</f>
        <v/>
      </c>
      <c r="F190" s="37">
        <f>IFERROR(IF(AND(ISNUMBER('Semi Rev'!J47),ISNUMBER('Semi Rev'!F47),'Semi Rev'!F47&gt;0),'Semi Rev'!J47/'Semi Rev'!F47-1,""),"")</f>
        <v/>
      </c>
      <c r="G190" s="37">
        <f>IFERROR(IF(AND(ISNUMBER('Semi Rev'!K47),ISNUMBER('Semi Rev'!G47),'Semi Rev'!G47&gt;0),'Semi Rev'!K47/'Semi Rev'!G47-1,""),"")</f>
        <v/>
      </c>
      <c r="H190" s="37">
        <f>IFERROR(IF(AND(ISNUMBER('Semi Rev'!L47),ISNUMBER('Semi Rev'!H47),'Semi Rev'!H47&gt;0),'Semi Rev'!L47/'Semi Rev'!H47-1,""),"")</f>
        <v/>
      </c>
      <c r="I190" s="37">
        <f>IFERROR(IF(AND(ISNUMBER('Semi Rev'!M47),ISNUMBER('Semi Rev'!I47),'Semi Rev'!I47&gt;0),'Semi Rev'!M47/'Semi Rev'!I47-1,""),"")</f>
        <v/>
      </c>
      <c r="J190" s="37">
        <f>IFERROR(IF(AND(ISNUMBER('Semi Rev'!N47),ISNUMBER('Semi Rev'!J47),'Semi Rev'!J47&gt;0),'Semi Rev'!N47/'Semi Rev'!J47-1,""),"")</f>
        <v/>
      </c>
      <c r="K190" s="37">
        <f>IFERROR(IF(AND(ISNUMBER('Semi Rev'!O47),ISNUMBER('Semi Rev'!K47),'Semi Rev'!K47&gt;0),'Semi Rev'!O47/'Semi Rev'!K47-1,""),"")</f>
        <v/>
      </c>
      <c r="L190" s="37">
        <f>IFERROR(IF(AND(ISNUMBER('Semi Rev'!P47),ISNUMBER('Semi Rev'!L47),'Semi Rev'!L47&gt;0),'Semi Rev'!P47/'Semi Rev'!L47-1,""),"")</f>
        <v/>
      </c>
      <c r="M190" s="38">
        <f>IFERROR(IF(AND(ISNUMBER('Semi Rev'!Q47),ISNUMBER('Semi Rev'!M47),'Semi Rev'!M47&gt;0),'Semi Rev'!Q47/'Semi Rev'!M47-1,""),"")</f>
        <v/>
      </c>
      <c r="N190" s="38">
        <f>IFERROR(IF(AND(ISNUMBER('Semi Rev'!R47),ISNUMBER('Semi Rev'!N47),'Semi Rev'!N47&gt;0),'Semi Rev'!R47/'Semi Rev'!N47-1,""),"")</f>
        <v/>
      </c>
    </row>
    <row r="191">
      <c r="A191" s="19">
        <f>'Semi Rev'!$A48</f>
        <v/>
      </c>
      <c r="B191" s="19">
        <f>'Semi Rev'!$B48</f>
        <v/>
      </c>
      <c r="C191" s="37">
        <f>IFERROR(IF(AND(ISNUMBER('Semi Rev'!G48),ISNUMBER('Semi Rev'!C48),'Semi Rev'!C48&gt;0),'Semi Rev'!G48/'Semi Rev'!C48-1,""),"")</f>
        <v/>
      </c>
      <c r="D191" s="37">
        <f>IFERROR(IF(AND(ISNUMBER('Semi Rev'!H48),ISNUMBER('Semi Rev'!D48),'Semi Rev'!D48&gt;0),'Semi Rev'!H48/'Semi Rev'!D48-1,""),"")</f>
        <v/>
      </c>
      <c r="E191" s="37">
        <f>IFERROR(IF(AND(ISNUMBER('Semi Rev'!I48),ISNUMBER('Semi Rev'!E48),'Semi Rev'!E48&gt;0),'Semi Rev'!I48/'Semi Rev'!E48-1,""),"")</f>
        <v/>
      </c>
      <c r="F191" s="37">
        <f>IFERROR(IF(AND(ISNUMBER('Semi Rev'!J48),ISNUMBER('Semi Rev'!F48),'Semi Rev'!F48&gt;0),'Semi Rev'!J48/'Semi Rev'!F48-1,""),"")</f>
        <v/>
      </c>
      <c r="G191" s="37">
        <f>IFERROR(IF(AND(ISNUMBER('Semi Rev'!K48),ISNUMBER('Semi Rev'!G48),'Semi Rev'!G48&gt;0),'Semi Rev'!K48/'Semi Rev'!G48-1,""),"")</f>
        <v/>
      </c>
      <c r="H191" s="37">
        <f>IFERROR(IF(AND(ISNUMBER('Semi Rev'!L48),ISNUMBER('Semi Rev'!H48),'Semi Rev'!H48&gt;0),'Semi Rev'!L48/'Semi Rev'!H48-1,""),"")</f>
        <v/>
      </c>
      <c r="I191" s="37">
        <f>IFERROR(IF(AND(ISNUMBER('Semi Rev'!M48),ISNUMBER('Semi Rev'!I48),'Semi Rev'!I48&gt;0),'Semi Rev'!M48/'Semi Rev'!I48-1,""),"")</f>
        <v/>
      </c>
      <c r="J191" s="37">
        <f>IFERROR(IF(AND(ISNUMBER('Semi Rev'!N48),ISNUMBER('Semi Rev'!J48),'Semi Rev'!J48&gt;0),'Semi Rev'!N48/'Semi Rev'!J48-1,""),"")</f>
        <v/>
      </c>
      <c r="K191" s="37">
        <f>IFERROR(IF(AND(ISNUMBER('Semi Rev'!O48),ISNUMBER('Semi Rev'!K48),'Semi Rev'!K48&gt;0),'Semi Rev'!O48/'Semi Rev'!K48-1,""),"")</f>
        <v/>
      </c>
      <c r="L191" s="37">
        <f>IFERROR(IF(AND(ISNUMBER('Semi Rev'!P48),ISNUMBER('Semi Rev'!L48),'Semi Rev'!L48&gt;0),'Semi Rev'!P48/'Semi Rev'!L48-1,""),"")</f>
        <v/>
      </c>
      <c r="M191" s="38">
        <f>IFERROR(IF(AND(ISNUMBER('Semi Rev'!Q48),ISNUMBER('Semi Rev'!M48),'Semi Rev'!M48&gt;0),'Semi Rev'!Q48/'Semi Rev'!M48-1,""),"")</f>
        <v/>
      </c>
      <c r="N191" s="38">
        <f>IFERROR(IF(AND(ISNUMBER('Semi Rev'!R48),ISNUMBER('Semi Rev'!N48),'Semi Rev'!N48&gt;0),'Semi Rev'!R48/'Semi Rev'!N48-1,""),"")</f>
        <v/>
      </c>
    </row>
    <row r="192">
      <c r="A192" s="19">
        <f>'Semi Rev'!$A49</f>
        <v/>
      </c>
      <c r="B192" s="19">
        <f>'Semi Rev'!$B49</f>
        <v/>
      </c>
      <c r="C192" s="37">
        <f>IFERROR(IF(AND(ISNUMBER('Semi Rev'!G49),ISNUMBER('Semi Rev'!C49),'Semi Rev'!C49&gt;0),'Semi Rev'!G49/'Semi Rev'!C49-1,""),"")</f>
        <v/>
      </c>
      <c r="D192" s="37">
        <f>IFERROR(IF(AND(ISNUMBER('Semi Rev'!H49),ISNUMBER('Semi Rev'!D49),'Semi Rev'!D49&gt;0),'Semi Rev'!H49/'Semi Rev'!D49-1,""),"")</f>
        <v/>
      </c>
      <c r="E192" s="37">
        <f>IFERROR(IF(AND(ISNUMBER('Semi Rev'!I49),ISNUMBER('Semi Rev'!E49),'Semi Rev'!E49&gt;0),'Semi Rev'!I49/'Semi Rev'!E49-1,""),"")</f>
        <v/>
      </c>
      <c r="F192" s="37">
        <f>IFERROR(IF(AND(ISNUMBER('Semi Rev'!J49),ISNUMBER('Semi Rev'!F49),'Semi Rev'!F49&gt;0),'Semi Rev'!J49/'Semi Rev'!F49-1,""),"")</f>
        <v/>
      </c>
      <c r="G192" s="37">
        <f>IFERROR(IF(AND(ISNUMBER('Semi Rev'!K49),ISNUMBER('Semi Rev'!G49),'Semi Rev'!G49&gt;0),'Semi Rev'!K49/'Semi Rev'!G49-1,""),"")</f>
        <v/>
      </c>
      <c r="H192" s="37">
        <f>IFERROR(IF(AND(ISNUMBER('Semi Rev'!L49),ISNUMBER('Semi Rev'!H49),'Semi Rev'!H49&gt;0),'Semi Rev'!L49/'Semi Rev'!H49-1,""),"")</f>
        <v/>
      </c>
      <c r="I192" s="37">
        <f>IFERROR(IF(AND(ISNUMBER('Semi Rev'!M49),ISNUMBER('Semi Rev'!I49),'Semi Rev'!I49&gt;0),'Semi Rev'!M49/'Semi Rev'!I49-1,""),"")</f>
        <v/>
      </c>
      <c r="J192" s="37">
        <f>IFERROR(IF(AND(ISNUMBER('Semi Rev'!N49),ISNUMBER('Semi Rev'!J49),'Semi Rev'!J49&gt;0),'Semi Rev'!N49/'Semi Rev'!J49-1,""),"")</f>
        <v/>
      </c>
      <c r="K192" s="37">
        <f>IFERROR(IF(AND(ISNUMBER('Semi Rev'!O49),ISNUMBER('Semi Rev'!K49),'Semi Rev'!K49&gt;0),'Semi Rev'!O49/'Semi Rev'!K49-1,""),"")</f>
        <v/>
      </c>
      <c r="L192" s="37">
        <f>IFERROR(IF(AND(ISNUMBER('Semi Rev'!P49),ISNUMBER('Semi Rev'!L49),'Semi Rev'!L49&gt;0),'Semi Rev'!P49/'Semi Rev'!L49-1,""),"")</f>
        <v/>
      </c>
      <c r="M192" s="38">
        <f>IFERROR(IF(AND(ISNUMBER('Semi Rev'!Q49),ISNUMBER('Semi Rev'!M49),'Semi Rev'!M49&gt;0),'Semi Rev'!Q49/'Semi Rev'!M49-1,""),"")</f>
        <v/>
      </c>
      <c r="N192" s="38">
        <f>IFERROR(IF(AND(ISNUMBER('Semi Rev'!R49),ISNUMBER('Semi Rev'!N49),'Semi Rev'!N49&gt;0),'Semi Rev'!R49/'Semi Rev'!N49-1,""),"")</f>
        <v/>
      </c>
    </row>
    <row r="193">
      <c r="A193" s="19">
        <f>'Semi Rev'!$A50</f>
        <v/>
      </c>
      <c r="B193" s="19">
        <f>'Semi Rev'!$B50</f>
        <v/>
      </c>
      <c r="C193" s="37">
        <f>IFERROR(IF(AND(ISNUMBER('Semi Rev'!G50),ISNUMBER('Semi Rev'!C50),'Semi Rev'!C50&gt;0),'Semi Rev'!G50/'Semi Rev'!C50-1,""),"")</f>
        <v/>
      </c>
      <c r="D193" s="37">
        <f>IFERROR(IF(AND(ISNUMBER('Semi Rev'!H50),ISNUMBER('Semi Rev'!D50),'Semi Rev'!D50&gt;0),'Semi Rev'!H50/'Semi Rev'!D50-1,""),"")</f>
        <v/>
      </c>
      <c r="E193" s="37">
        <f>IFERROR(IF(AND(ISNUMBER('Semi Rev'!I50),ISNUMBER('Semi Rev'!E50),'Semi Rev'!E50&gt;0),'Semi Rev'!I50/'Semi Rev'!E50-1,""),"")</f>
        <v/>
      </c>
      <c r="F193" s="37">
        <f>IFERROR(IF(AND(ISNUMBER('Semi Rev'!J50),ISNUMBER('Semi Rev'!F50),'Semi Rev'!F50&gt;0),'Semi Rev'!J50/'Semi Rev'!F50-1,""),"")</f>
        <v/>
      </c>
      <c r="G193" s="37">
        <f>IFERROR(IF(AND(ISNUMBER('Semi Rev'!K50),ISNUMBER('Semi Rev'!G50),'Semi Rev'!G50&gt;0),'Semi Rev'!K50/'Semi Rev'!G50-1,""),"")</f>
        <v/>
      </c>
      <c r="H193" s="37">
        <f>IFERROR(IF(AND(ISNUMBER('Semi Rev'!L50),ISNUMBER('Semi Rev'!H50),'Semi Rev'!H50&gt;0),'Semi Rev'!L50/'Semi Rev'!H50-1,""),"")</f>
        <v/>
      </c>
      <c r="I193" s="37">
        <f>IFERROR(IF(AND(ISNUMBER('Semi Rev'!M50),ISNUMBER('Semi Rev'!I50),'Semi Rev'!I50&gt;0),'Semi Rev'!M50/'Semi Rev'!I50-1,""),"")</f>
        <v/>
      </c>
      <c r="J193" s="37">
        <f>IFERROR(IF(AND(ISNUMBER('Semi Rev'!N50),ISNUMBER('Semi Rev'!J50),'Semi Rev'!J50&gt;0),'Semi Rev'!N50/'Semi Rev'!J50-1,""),"")</f>
        <v/>
      </c>
      <c r="K193" s="37">
        <f>IFERROR(IF(AND(ISNUMBER('Semi Rev'!O50),ISNUMBER('Semi Rev'!K50),'Semi Rev'!K50&gt;0),'Semi Rev'!O50/'Semi Rev'!K50-1,""),"")</f>
        <v/>
      </c>
      <c r="L193" s="37">
        <f>IFERROR(IF(AND(ISNUMBER('Semi Rev'!P50),ISNUMBER('Semi Rev'!L50),'Semi Rev'!L50&gt;0),'Semi Rev'!P50/'Semi Rev'!L50-1,""),"")</f>
        <v/>
      </c>
      <c r="M193" s="38">
        <f>IFERROR(IF(AND(ISNUMBER('Semi Rev'!Q50),ISNUMBER('Semi Rev'!M50),'Semi Rev'!M50&gt;0),'Semi Rev'!Q50/'Semi Rev'!M50-1,""),"")</f>
        <v/>
      </c>
      <c r="N193" s="38">
        <f>IFERROR(IF(AND(ISNUMBER('Semi Rev'!R50),ISNUMBER('Semi Rev'!N50),'Semi Rev'!N50&gt;0),'Semi Rev'!R50/'Semi Rev'!N50-1,""),"")</f>
        <v/>
      </c>
    </row>
    <row r="194">
      <c r="A194" s="19">
        <f>'Semi Rev'!$A51</f>
        <v/>
      </c>
      <c r="B194" s="19">
        <f>'Semi Rev'!$B51</f>
        <v/>
      </c>
      <c r="C194" s="37">
        <f>IFERROR(IF(AND(ISNUMBER('Semi Rev'!G51),ISNUMBER('Semi Rev'!C51),'Semi Rev'!C51&gt;0),'Semi Rev'!G51/'Semi Rev'!C51-1,""),"")</f>
        <v/>
      </c>
      <c r="D194" s="37">
        <f>IFERROR(IF(AND(ISNUMBER('Semi Rev'!H51),ISNUMBER('Semi Rev'!D51),'Semi Rev'!D51&gt;0),'Semi Rev'!H51/'Semi Rev'!D51-1,""),"")</f>
        <v/>
      </c>
      <c r="E194" s="37">
        <f>IFERROR(IF(AND(ISNUMBER('Semi Rev'!I51),ISNUMBER('Semi Rev'!E51),'Semi Rev'!E51&gt;0),'Semi Rev'!I51/'Semi Rev'!E51-1,""),"")</f>
        <v/>
      </c>
      <c r="F194" s="37">
        <f>IFERROR(IF(AND(ISNUMBER('Semi Rev'!J51),ISNUMBER('Semi Rev'!F51),'Semi Rev'!F51&gt;0),'Semi Rev'!J51/'Semi Rev'!F51-1,""),"")</f>
        <v/>
      </c>
      <c r="G194" s="37">
        <f>IFERROR(IF(AND(ISNUMBER('Semi Rev'!K51),ISNUMBER('Semi Rev'!G51),'Semi Rev'!G51&gt;0),'Semi Rev'!K51/'Semi Rev'!G51-1,""),"")</f>
        <v/>
      </c>
      <c r="H194" s="37">
        <f>IFERROR(IF(AND(ISNUMBER('Semi Rev'!L51),ISNUMBER('Semi Rev'!H51),'Semi Rev'!H51&gt;0),'Semi Rev'!L51/'Semi Rev'!H51-1,""),"")</f>
        <v/>
      </c>
      <c r="I194" s="37">
        <f>IFERROR(IF(AND(ISNUMBER('Semi Rev'!M51),ISNUMBER('Semi Rev'!I51),'Semi Rev'!I51&gt;0),'Semi Rev'!M51/'Semi Rev'!I51-1,""),"")</f>
        <v/>
      </c>
      <c r="J194" s="37">
        <f>IFERROR(IF(AND(ISNUMBER('Semi Rev'!N51),ISNUMBER('Semi Rev'!J51),'Semi Rev'!J51&gt;0),'Semi Rev'!N51/'Semi Rev'!J51-1,""),"")</f>
        <v/>
      </c>
      <c r="K194" s="37">
        <f>IFERROR(IF(AND(ISNUMBER('Semi Rev'!O51),ISNUMBER('Semi Rev'!K51),'Semi Rev'!K51&gt;0),'Semi Rev'!O51/'Semi Rev'!K51-1,""),"")</f>
        <v/>
      </c>
      <c r="L194" s="37">
        <f>IFERROR(IF(AND(ISNUMBER('Semi Rev'!P51),ISNUMBER('Semi Rev'!L51),'Semi Rev'!L51&gt;0),'Semi Rev'!P51/'Semi Rev'!L51-1,""),"")</f>
        <v/>
      </c>
      <c r="M194" s="38">
        <f>IFERROR(IF(AND(ISNUMBER('Semi Rev'!Q51),ISNUMBER('Semi Rev'!M51),'Semi Rev'!M51&gt;0),'Semi Rev'!Q51/'Semi Rev'!M51-1,""),"")</f>
        <v/>
      </c>
      <c r="N194" s="38">
        <f>IFERROR(IF(AND(ISNUMBER('Semi Rev'!R51),ISNUMBER('Semi Rev'!N51),'Semi Rev'!N51&gt;0),'Semi Rev'!R51/'Semi Rev'!N51-1,""),"")</f>
        <v/>
      </c>
    </row>
    <row r="195">
      <c r="A195" s="19">
        <f>'Semi Rev'!$A52</f>
        <v/>
      </c>
      <c r="B195" s="19">
        <f>'Semi Rev'!$B52</f>
        <v/>
      </c>
      <c r="C195" s="37">
        <f>IFERROR(IF(AND(ISNUMBER('Semi Rev'!G52),ISNUMBER('Semi Rev'!C52),'Semi Rev'!C52&gt;0),'Semi Rev'!G52/'Semi Rev'!C52-1,""),"")</f>
        <v/>
      </c>
      <c r="D195" s="37">
        <f>IFERROR(IF(AND(ISNUMBER('Semi Rev'!H52),ISNUMBER('Semi Rev'!D52),'Semi Rev'!D52&gt;0),'Semi Rev'!H52/'Semi Rev'!D52-1,""),"")</f>
        <v/>
      </c>
      <c r="E195" s="37">
        <f>IFERROR(IF(AND(ISNUMBER('Semi Rev'!I52),ISNUMBER('Semi Rev'!E52),'Semi Rev'!E52&gt;0),'Semi Rev'!I52/'Semi Rev'!E52-1,""),"")</f>
        <v/>
      </c>
      <c r="F195" s="37">
        <f>IFERROR(IF(AND(ISNUMBER('Semi Rev'!J52),ISNUMBER('Semi Rev'!F52),'Semi Rev'!F52&gt;0),'Semi Rev'!J52/'Semi Rev'!F52-1,""),"")</f>
        <v/>
      </c>
      <c r="G195" s="37">
        <f>IFERROR(IF(AND(ISNUMBER('Semi Rev'!K52),ISNUMBER('Semi Rev'!G52),'Semi Rev'!G52&gt;0),'Semi Rev'!K52/'Semi Rev'!G52-1,""),"")</f>
        <v/>
      </c>
      <c r="H195" s="37">
        <f>IFERROR(IF(AND(ISNUMBER('Semi Rev'!L52),ISNUMBER('Semi Rev'!H52),'Semi Rev'!H52&gt;0),'Semi Rev'!L52/'Semi Rev'!H52-1,""),"")</f>
        <v/>
      </c>
      <c r="I195" s="37">
        <f>IFERROR(IF(AND(ISNUMBER('Semi Rev'!M52),ISNUMBER('Semi Rev'!I52),'Semi Rev'!I52&gt;0),'Semi Rev'!M52/'Semi Rev'!I52-1,""),"")</f>
        <v/>
      </c>
      <c r="J195" s="37">
        <f>IFERROR(IF(AND(ISNUMBER('Semi Rev'!N52),ISNUMBER('Semi Rev'!J52),'Semi Rev'!J52&gt;0),'Semi Rev'!N52/'Semi Rev'!J52-1,""),"")</f>
        <v/>
      </c>
      <c r="K195" s="37">
        <f>IFERROR(IF(AND(ISNUMBER('Semi Rev'!O52),ISNUMBER('Semi Rev'!K52),'Semi Rev'!K52&gt;0),'Semi Rev'!O52/'Semi Rev'!K52-1,""),"")</f>
        <v/>
      </c>
      <c r="L195" s="37">
        <f>IFERROR(IF(AND(ISNUMBER('Semi Rev'!P52),ISNUMBER('Semi Rev'!L52),'Semi Rev'!L52&gt;0),'Semi Rev'!P52/'Semi Rev'!L52-1,""),"")</f>
        <v/>
      </c>
      <c r="M195" s="38">
        <f>IFERROR(IF(AND(ISNUMBER('Semi Rev'!Q52),ISNUMBER('Semi Rev'!M52),'Semi Rev'!M52&gt;0),'Semi Rev'!Q52/'Semi Rev'!M52-1,""),"")</f>
        <v/>
      </c>
      <c r="N195" s="38">
        <f>IFERROR(IF(AND(ISNUMBER('Semi Rev'!R52),ISNUMBER('Semi Rev'!N52),'Semi Rev'!N52&gt;0),'Semi Rev'!R52/'Semi Rev'!N52-1,""),"")</f>
        <v/>
      </c>
    </row>
    <row r="196">
      <c r="A196" s="19">
        <f>'Semi Rev'!$A53</f>
        <v/>
      </c>
      <c r="B196" s="19">
        <f>'Semi Rev'!$B53</f>
        <v/>
      </c>
      <c r="C196" s="37">
        <f>IFERROR(IF(AND(ISNUMBER('Semi Rev'!G53),ISNUMBER('Semi Rev'!C53),'Semi Rev'!C53&gt;0),'Semi Rev'!G53/'Semi Rev'!C53-1,""),"")</f>
        <v/>
      </c>
      <c r="D196" s="37">
        <f>IFERROR(IF(AND(ISNUMBER('Semi Rev'!H53),ISNUMBER('Semi Rev'!D53),'Semi Rev'!D53&gt;0),'Semi Rev'!H53/'Semi Rev'!D53-1,""),"")</f>
        <v/>
      </c>
      <c r="E196" s="37">
        <f>IFERROR(IF(AND(ISNUMBER('Semi Rev'!I53),ISNUMBER('Semi Rev'!E53),'Semi Rev'!E53&gt;0),'Semi Rev'!I53/'Semi Rev'!E53-1,""),"")</f>
        <v/>
      </c>
      <c r="F196" s="37">
        <f>IFERROR(IF(AND(ISNUMBER('Semi Rev'!J53),ISNUMBER('Semi Rev'!F53),'Semi Rev'!F53&gt;0),'Semi Rev'!J53/'Semi Rev'!F53-1,""),"")</f>
        <v/>
      </c>
      <c r="G196" s="37">
        <f>IFERROR(IF(AND(ISNUMBER('Semi Rev'!K53),ISNUMBER('Semi Rev'!G53),'Semi Rev'!G53&gt;0),'Semi Rev'!K53/'Semi Rev'!G53-1,""),"")</f>
        <v/>
      </c>
      <c r="H196" s="37">
        <f>IFERROR(IF(AND(ISNUMBER('Semi Rev'!L53),ISNUMBER('Semi Rev'!H53),'Semi Rev'!H53&gt;0),'Semi Rev'!L53/'Semi Rev'!H53-1,""),"")</f>
        <v/>
      </c>
      <c r="I196" s="37">
        <f>IFERROR(IF(AND(ISNUMBER('Semi Rev'!M53),ISNUMBER('Semi Rev'!I53),'Semi Rev'!I53&gt;0),'Semi Rev'!M53/'Semi Rev'!I53-1,""),"")</f>
        <v/>
      </c>
      <c r="J196" s="37">
        <f>IFERROR(IF(AND(ISNUMBER('Semi Rev'!N53),ISNUMBER('Semi Rev'!J53),'Semi Rev'!J53&gt;0),'Semi Rev'!N53/'Semi Rev'!J53-1,""),"")</f>
        <v/>
      </c>
      <c r="K196" s="37">
        <f>IFERROR(IF(AND(ISNUMBER('Semi Rev'!O53),ISNUMBER('Semi Rev'!K53),'Semi Rev'!K53&gt;0),'Semi Rev'!O53/'Semi Rev'!K53-1,""),"")</f>
        <v/>
      </c>
      <c r="L196" s="37">
        <f>IFERROR(IF(AND(ISNUMBER('Semi Rev'!P53),ISNUMBER('Semi Rev'!L53),'Semi Rev'!L53&gt;0),'Semi Rev'!P53/'Semi Rev'!L53-1,""),"")</f>
        <v/>
      </c>
      <c r="M196" s="38">
        <f>IFERROR(IF(AND(ISNUMBER('Semi Rev'!Q53),ISNUMBER('Semi Rev'!M53),'Semi Rev'!M53&gt;0),'Semi Rev'!Q53/'Semi Rev'!M53-1,""),"")</f>
        <v/>
      </c>
      <c r="N196" s="38">
        <f>IFERROR(IF(AND(ISNUMBER('Semi Rev'!R53),ISNUMBER('Semi Rev'!N53),'Semi Rev'!N53&gt;0),'Semi Rev'!R53/'Semi Rev'!N53-1,""),"")</f>
        <v/>
      </c>
    </row>
    <row r="197">
      <c r="A197" s="19">
        <f>'Semi Rev'!$A54</f>
        <v/>
      </c>
      <c r="B197" s="19">
        <f>'Semi Rev'!$B54</f>
        <v/>
      </c>
      <c r="C197" s="37">
        <f>IFERROR(IF(AND(ISNUMBER('Semi Rev'!G54),ISNUMBER('Semi Rev'!C54),'Semi Rev'!C54&gt;0),'Semi Rev'!G54/'Semi Rev'!C54-1,""),"")</f>
        <v/>
      </c>
      <c r="D197" s="37">
        <f>IFERROR(IF(AND(ISNUMBER('Semi Rev'!H54),ISNUMBER('Semi Rev'!D54),'Semi Rev'!D54&gt;0),'Semi Rev'!H54/'Semi Rev'!D54-1,""),"")</f>
        <v/>
      </c>
      <c r="E197" s="37">
        <f>IFERROR(IF(AND(ISNUMBER('Semi Rev'!I54),ISNUMBER('Semi Rev'!E54),'Semi Rev'!E54&gt;0),'Semi Rev'!I54/'Semi Rev'!E54-1,""),"")</f>
        <v/>
      </c>
      <c r="F197" s="37">
        <f>IFERROR(IF(AND(ISNUMBER('Semi Rev'!J54),ISNUMBER('Semi Rev'!F54),'Semi Rev'!F54&gt;0),'Semi Rev'!J54/'Semi Rev'!F54-1,""),"")</f>
        <v/>
      </c>
      <c r="G197" s="37">
        <f>IFERROR(IF(AND(ISNUMBER('Semi Rev'!K54),ISNUMBER('Semi Rev'!G54),'Semi Rev'!G54&gt;0),'Semi Rev'!K54/'Semi Rev'!G54-1,""),"")</f>
        <v/>
      </c>
      <c r="H197" s="37">
        <f>IFERROR(IF(AND(ISNUMBER('Semi Rev'!L54),ISNUMBER('Semi Rev'!H54),'Semi Rev'!H54&gt;0),'Semi Rev'!L54/'Semi Rev'!H54-1,""),"")</f>
        <v/>
      </c>
      <c r="I197" s="37">
        <f>IFERROR(IF(AND(ISNUMBER('Semi Rev'!M54),ISNUMBER('Semi Rev'!I54),'Semi Rev'!I54&gt;0),'Semi Rev'!M54/'Semi Rev'!I54-1,""),"")</f>
        <v/>
      </c>
      <c r="J197" s="37">
        <f>IFERROR(IF(AND(ISNUMBER('Semi Rev'!N54),ISNUMBER('Semi Rev'!J54),'Semi Rev'!J54&gt;0),'Semi Rev'!N54/'Semi Rev'!J54-1,""),"")</f>
        <v/>
      </c>
      <c r="K197" s="37">
        <f>IFERROR(IF(AND(ISNUMBER('Semi Rev'!O54),ISNUMBER('Semi Rev'!K54),'Semi Rev'!K54&gt;0),'Semi Rev'!O54/'Semi Rev'!K54-1,""),"")</f>
        <v/>
      </c>
      <c r="L197" s="37">
        <f>IFERROR(IF(AND(ISNUMBER('Semi Rev'!P54),ISNUMBER('Semi Rev'!L54),'Semi Rev'!L54&gt;0),'Semi Rev'!P54/'Semi Rev'!L54-1,""),"")</f>
        <v/>
      </c>
      <c r="M197" s="38">
        <f>IFERROR(IF(AND(ISNUMBER('Semi Rev'!Q54),ISNUMBER('Semi Rev'!M54),'Semi Rev'!M54&gt;0),'Semi Rev'!Q54/'Semi Rev'!M54-1,""),"")</f>
        <v/>
      </c>
      <c r="N197" s="38">
        <f>IFERROR(IF(AND(ISNUMBER('Semi Rev'!R54),ISNUMBER('Semi Rev'!N54),'Semi Rev'!N54&gt;0),'Semi Rev'!R54/'Semi Rev'!N54-1,""),"")</f>
        <v/>
      </c>
    </row>
    <row r="198">
      <c r="A198" s="19">
        <f>'Semi Rev'!$A55</f>
        <v/>
      </c>
      <c r="B198" s="19">
        <f>'Semi Rev'!$B55</f>
        <v/>
      </c>
      <c r="C198" s="37">
        <f>IFERROR(IF(AND(ISNUMBER('Semi Rev'!G55),ISNUMBER('Semi Rev'!C55),'Semi Rev'!C55&gt;0),'Semi Rev'!G55/'Semi Rev'!C55-1,""),"")</f>
        <v/>
      </c>
      <c r="D198" s="37">
        <f>IFERROR(IF(AND(ISNUMBER('Semi Rev'!H55),ISNUMBER('Semi Rev'!D55),'Semi Rev'!D55&gt;0),'Semi Rev'!H55/'Semi Rev'!D55-1,""),"")</f>
        <v/>
      </c>
      <c r="E198" s="37">
        <f>IFERROR(IF(AND(ISNUMBER('Semi Rev'!I55),ISNUMBER('Semi Rev'!E55),'Semi Rev'!E55&gt;0),'Semi Rev'!I55/'Semi Rev'!E55-1,""),"")</f>
        <v/>
      </c>
      <c r="F198" s="37">
        <f>IFERROR(IF(AND(ISNUMBER('Semi Rev'!J55),ISNUMBER('Semi Rev'!F55),'Semi Rev'!F55&gt;0),'Semi Rev'!J55/'Semi Rev'!F55-1,""),"")</f>
        <v/>
      </c>
      <c r="G198" s="37">
        <f>IFERROR(IF(AND(ISNUMBER('Semi Rev'!K55),ISNUMBER('Semi Rev'!G55),'Semi Rev'!G55&gt;0),'Semi Rev'!K55/'Semi Rev'!G55-1,""),"")</f>
        <v/>
      </c>
      <c r="H198" s="37">
        <f>IFERROR(IF(AND(ISNUMBER('Semi Rev'!L55),ISNUMBER('Semi Rev'!H55),'Semi Rev'!H55&gt;0),'Semi Rev'!L55/'Semi Rev'!H55-1,""),"")</f>
        <v/>
      </c>
      <c r="I198" s="37">
        <f>IFERROR(IF(AND(ISNUMBER('Semi Rev'!M55),ISNUMBER('Semi Rev'!I55),'Semi Rev'!I55&gt;0),'Semi Rev'!M55/'Semi Rev'!I55-1,""),"")</f>
        <v/>
      </c>
      <c r="J198" s="37">
        <f>IFERROR(IF(AND(ISNUMBER('Semi Rev'!N55),ISNUMBER('Semi Rev'!J55),'Semi Rev'!J55&gt;0),'Semi Rev'!N55/'Semi Rev'!J55-1,""),"")</f>
        <v/>
      </c>
      <c r="K198" s="37">
        <f>IFERROR(IF(AND(ISNUMBER('Semi Rev'!O55),ISNUMBER('Semi Rev'!K55),'Semi Rev'!K55&gt;0),'Semi Rev'!O55/'Semi Rev'!K55-1,""),"")</f>
        <v/>
      </c>
      <c r="L198" s="37">
        <f>IFERROR(IF(AND(ISNUMBER('Semi Rev'!P55),ISNUMBER('Semi Rev'!L55),'Semi Rev'!L55&gt;0),'Semi Rev'!P55/'Semi Rev'!L55-1,""),"")</f>
        <v/>
      </c>
      <c r="M198" s="38">
        <f>IFERROR(IF(AND(ISNUMBER('Semi Rev'!Q55),ISNUMBER('Semi Rev'!M55),'Semi Rev'!M55&gt;0),'Semi Rev'!Q55/'Semi Rev'!M55-1,""),"")</f>
        <v/>
      </c>
      <c r="N198" s="38">
        <f>IFERROR(IF(AND(ISNUMBER('Semi Rev'!R55),ISNUMBER('Semi Rev'!N55),'Semi Rev'!N55&gt;0),'Semi Rev'!R55/'Semi Rev'!N55-1,""),"")</f>
        <v/>
      </c>
    </row>
    <row r="199">
      <c r="A199" s="19">
        <f>'Semi Rev'!$A56</f>
        <v/>
      </c>
      <c r="B199" s="19">
        <f>'Semi Rev'!$B56</f>
        <v/>
      </c>
      <c r="C199" s="37">
        <f>IFERROR(IF(AND(ISNUMBER('Semi Rev'!G56),ISNUMBER('Semi Rev'!C56),'Semi Rev'!C56&gt;0),'Semi Rev'!G56/'Semi Rev'!C56-1,""),"")</f>
        <v/>
      </c>
      <c r="D199" s="37">
        <f>IFERROR(IF(AND(ISNUMBER('Semi Rev'!H56),ISNUMBER('Semi Rev'!D56),'Semi Rev'!D56&gt;0),'Semi Rev'!H56/'Semi Rev'!D56-1,""),"")</f>
        <v/>
      </c>
      <c r="E199" s="37">
        <f>IFERROR(IF(AND(ISNUMBER('Semi Rev'!I56),ISNUMBER('Semi Rev'!E56),'Semi Rev'!E56&gt;0),'Semi Rev'!I56/'Semi Rev'!E56-1,""),"")</f>
        <v/>
      </c>
      <c r="F199" s="37">
        <f>IFERROR(IF(AND(ISNUMBER('Semi Rev'!J56),ISNUMBER('Semi Rev'!F56),'Semi Rev'!F56&gt;0),'Semi Rev'!J56/'Semi Rev'!F56-1,""),"")</f>
        <v/>
      </c>
      <c r="G199" s="37">
        <f>IFERROR(IF(AND(ISNUMBER('Semi Rev'!K56),ISNUMBER('Semi Rev'!G56),'Semi Rev'!G56&gt;0),'Semi Rev'!K56/'Semi Rev'!G56-1,""),"")</f>
        <v/>
      </c>
      <c r="H199" s="37">
        <f>IFERROR(IF(AND(ISNUMBER('Semi Rev'!L56),ISNUMBER('Semi Rev'!H56),'Semi Rev'!H56&gt;0),'Semi Rev'!L56/'Semi Rev'!H56-1,""),"")</f>
        <v/>
      </c>
      <c r="I199" s="37">
        <f>IFERROR(IF(AND(ISNUMBER('Semi Rev'!M56),ISNUMBER('Semi Rev'!I56),'Semi Rev'!I56&gt;0),'Semi Rev'!M56/'Semi Rev'!I56-1,""),"")</f>
        <v/>
      </c>
      <c r="J199" s="37">
        <f>IFERROR(IF(AND(ISNUMBER('Semi Rev'!N56),ISNUMBER('Semi Rev'!J56),'Semi Rev'!J56&gt;0),'Semi Rev'!N56/'Semi Rev'!J56-1,""),"")</f>
        <v/>
      </c>
      <c r="K199" s="37">
        <f>IFERROR(IF(AND(ISNUMBER('Semi Rev'!O56),ISNUMBER('Semi Rev'!K56),'Semi Rev'!K56&gt;0),'Semi Rev'!O56/'Semi Rev'!K56-1,""),"")</f>
        <v/>
      </c>
      <c r="L199" s="37">
        <f>IFERROR(IF(AND(ISNUMBER('Semi Rev'!P56),ISNUMBER('Semi Rev'!L56),'Semi Rev'!L56&gt;0),'Semi Rev'!P56/'Semi Rev'!L56-1,""),"")</f>
        <v/>
      </c>
      <c r="M199" s="38">
        <f>IFERROR(IF(AND(ISNUMBER('Semi Rev'!Q56),ISNUMBER('Semi Rev'!M56),'Semi Rev'!M56&gt;0),'Semi Rev'!Q56/'Semi Rev'!M56-1,""),"")</f>
        <v/>
      </c>
      <c r="N199" s="38">
        <f>IFERROR(IF(AND(ISNUMBER('Semi Rev'!R56),ISNUMBER('Semi Rev'!N56),'Semi Rev'!N56&gt;0),'Semi Rev'!R56/'Semi Rev'!N56-1,""),"")</f>
        <v/>
      </c>
    </row>
    <row r="200">
      <c r="A200" s="19">
        <f>'Semi Rev'!$A57</f>
        <v/>
      </c>
      <c r="B200" s="19">
        <f>'Semi Rev'!$B57</f>
        <v/>
      </c>
      <c r="C200" s="37">
        <f>IFERROR(IF(AND(ISNUMBER('Semi Rev'!G57),ISNUMBER('Semi Rev'!C57),'Semi Rev'!C57&gt;0),'Semi Rev'!G57/'Semi Rev'!C57-1,""),"")</f>
        <v/>
      </c>
      <c r="D200" s="37">
        <f>IFERROR(IF(AND(ISNUMBER('Semi Rev'!H57),ISNUMBER('Semi Rev'!D57),'Semi Rev'!D57&gt;0),'Semi Rev'!H57/'Semi Rev'!D57-1,""),"")</f>
        <v/>
      </c>
      <c r="E200" s="37">
        <f>IFERROR(IF(AND(ISNUMBER('Semi Rev'!I57),ISNUMBER('Semi Rev'!E57),'Semi Rev'!E57&gt;0),'Semi Rev'!I57/'Semi Rev'!E57-1,""),"")</f>
        <v/>
      </c>
      <c r="F200" s="37">
        <f>IFERROR(IF(AND(ISNUMBER('Semi Rev'!J57),ISNUMBER('Semi Rev'!F57),'Semi Rev'!F57&gt;0),'Semi Rev'!J57/'Semi Rev'!F57-1,""),"")</f>
        <v/>
      </c>
      <c r="G200" s="37">
        <f>IFERROR(IF(AND(ISNUMBER('Semi Rev'!K57),ISNUMBER('Semi Rev'!G57),'Semi Rev'!G57&gt;0),'Semi Rev'!K57/'Semi Rev'!G57-1,""),"")</f>
        <v/>
      </c>
      <c r="H200" s="37">
        <f>IFERROR(IF(AND(ISNUMBER('Semi Rev'!L57),ISNUMBER('Semi Rev'!H57),'Semi Rev'!H57&gt;0),'Semi Rev'!L57/'Semi Rev'!H57-1,""),"")</f>
        <v/>
      </c>
      <c r="I200" s="37">
        <f>IFERROR(IF(AND(ISNUMBER('Semi Rev'!M57),ISNUMBER('Semi Rev'!I57),'Semi Rev'!I57&gt;0),'Semi Rev'!M57/'Semi Rev'!I57-1,""),"")</f>
        <v/>
      </c>
      <c r="J200" s="37">
        <f>IFERROR(IF(AND(ISNUMBER('Semi Rev'!N57),ISNUMBER('Semi Rev'!J57),'Semi Rev'!J57&gt;0),'Semi Rev'!N57/'Semi Rev'!J57-1,""),"")</f>
        <v/>
      </c>
      <c r="K200" s="37">
        <f>IFERROR(IF(AND(ISNUMBER('Semi Rev'!O57),ISNUMBER('Semi Rev'!K57),'Semi Rev'!K57&gt;0),'Semi Rev'!O57/'Semi Rev'!K57-1,""),"")</f>
        <v/>
      </c>
      <c r="L200" s="37">
        <f>IFERROR(IF(AND(ISNUMBER('Semi Rev'!P57),ISNUMBER('Semi Rev'!L57),'Semi Rev'!L57&gt;0),'Semi Rev'!P57/'Semi Rev'!L57-1,""),"")</f>
        <v/>
      </c>
      <c r="M200" s="38">
        <f>IFERROR(IF(AND(ISNUMBER('Semi Rev'!Q57),ISNUMBER('Semi Rev'!M57),'Semi Rev'!M57&gt;0),'Semi Rev'!Q57/'Semi Rev'!M57-1,""),"")</f>
        <v/>
      </c>
      <c r="N200" s="38">
        <f>IFERROR(IF(AND(ISNUMBER('Semi Rev'!R57),ISNUMBER('Semi Rev'!N57),'Semi Rev'!N57&gt;0),'Semi Rev'!R57/'Semi Rev'!N57-1,""),"")</f>
        <v/>
      </c>
    </row>
    <row r="201">
      <c r="A201" s="19">
        <f>'Semi Rev'!$A58</f>
        <v/>
      </c>
      <c r="B201" s="19">
        <f>'Semi Rev'!$B58</f>
        <v/>
      </c>
      <c r="C201" s="37">
        <f>IFERROR(IF(AND(ISNUMBER('Semi Rev'!G58),ISNUMBER('Semi Rev'!C58),'Semi Rev'!C58&gt;0),'Semi Rev'!G58/'Semi Rev'!C58-1,""),"")</f>
        <v/>
      </c>
      <c r="D201" s="37">
        <f>IFERROR(IF(AND(ISNUMBER('Semi Rev'!H58),ISNUMBER('Semi Rev'!D58),'Semi Rev'!D58&gt;0),'Semi Rev'!H58/'Semi Rev'!D58-1,""),"")</f>
        <v/>
      </c>
      <c r="E201" s="37">
        <f>IFERROR(IF(AND(ISNUMBER('Semi Rev'!I58),ISNUMBER('Semi Rev'!E58),'Semi Rev'!E58&gt;0),'Semi Rev'!I58/'Semi Rev'!E58-1,""),"")</f>
        <v/>
      </c>
      <c r="F201" s="37">
        <f>IFERROR(IF(AND(ISNUMBER('Semi Rev'!J58),ISNUMBER('Semi Rev'!F58),'Semi Rev'!F58&gt;0),'Semi Rev'!J58/'Semi Rev'!F58-1,""),"")</f>
        <v/>
      </c>
      <c r="G201" s="37">
        <f>IFERROR(IF(AND(ISNUMBER('Semi Rev'!K58),ISNUMBER('Semi Rev'!G58),'Semi Rev'!G58&gt;0),'Semi Rev'!K58/'Semi Rev'!G58-1,""),"")</f>
        <v/>
      </c>
      <c r="H201" s="37">
        <f>IFERROR(IF(AND(ISNUMBER('Semi Rev'!L58),ISNUMBER('Semi Rev'!H58),'Semi Rev'!H58&gt;0),'Semi Rev'!L58/'Semi Rev'!H58-1,""),"")</f>
        <v/>
      </c>
      <c r="I201" s="37">
        <f>IFERROR(IF(AND(ISNUMBER('Semi Rev'!M58),ISNUMBER('Semi Rev'!I58),'Semi Rev'!I58&gt;0),'Semi Rev'!M58/'Semi Rev'!I58-1,""),"")</f>
        <v/>
      </c>
      <c r="J201" s="37">
        <f>IFERROR(IF(AND(ISNUMBER('Semi Rev'!N58),ISNUMBER('Semi Rev'!J58),'Semi Rev'!J58&gt;0),'Semi Rev'!N58/'Semi Rev'!J58-1,""),"")</f>
        <v/>
      </c>
      <c r="K201" s="37">
        <f>IFERROR(IF(AND(ISNUMBER('Semi Rev'!O58),ISNUMBER('Semi Rev'!K58),'Semi Rev'!K58&gt;0),'Semi Rev'!O58/'Semi Rev'!K58-1,""),"")</f>
        <v/>
      </c>
      <c r="L201" s="37">
        <f>IFERROR(IF(AND(ISNUMBER('Semi Rev'!P58),ISNUMBER('Semi Rev'!L58),'Semi Rev'!L58&gt;0),'Semi Rev'!P58/'Semi Rev'!L58-1,""),"")</f>
        <v/>
      </c>
      <c r="M201" s="38">
        <f>IFERROR(IF(AND(ISNUMBER('Semi Rev'!Q58),ISNUMBER('Semi Rev'!M58),'Semi Rev'!M58&gt;0),'Semi Rev'!Q58/'Semi Rev'!M58-1,""),"")</f>
        <v/>
      </c>
      <c r="N201" s="38">
        <f>IFERROR(IF(AND(ISNUMBER('Semi Rev'!R58),ISNUMBER('Semi Rev'!N58),'Semi Rev'!N58&gt;0),'Semi Rev'!R58/'Semi Rev'!N58-1,""),"")</f>
        <v/>
      </c>
    </row>
    <row r="202">
      <c r="A202" s="19">
        <f>'Semi Rev'!$A59</f>
        <v/>
      </c>
      <c r="B202" s="19">
        <f>'Semi Rev'!$B59</f>
        <v/>
      </c>
      <c r="C202" s="37">
        <f>IFERROR(IF(AND(ISNUMBER('Semi Rev'!G59),ISNUMBER('Semi Rev'!C59),'Semi Rev'!C59&gt;0),'Semi Rev'!G59/'Semi Rev'!C59-1,""),"")</f>
        <v/>
      </c>
      <c r="D202" s="37">
        <f>IFERROR(IF(AND(ISNUMBER('Semi Rev'!H59),ISNUMBER('Semi Rev'!D59),'Semi Rev'!D59&gt;0),'Semi Rev'!H59/'Semi Rev'!D59-1,""),"")</f>
        <v/>
      </c>
      <c r="E202" s="37">
        <f>IFERROR(IF(AND(ISNUMBER('Semi Rev'!I59),ISNUMBER('Semi Rev'!E59),'Semi Rev'!E59&gt;0),'Semi Rev'!I59/'Semi Rev'!E59-1,""),"")</f>
        <v/>
      </c>
      <c r="F202" s="37">
        <f>IFERROR(IF(AND(ISNUMBER('Semi Rev'!J59),ISNUMBER('Semi Rev'!F59),'Semi Rev'!F59&gt;0),'Semi Rev'!J59/'Semi Rev'!F59-1,""),"")</f>
        <v/>
      </c>
      <c r="G202" s="37">
        <f>IFERROR(IF(AND(ISNUMBER('Semi Rev'!K59),ISNUMBER('Semi Rev'!G59),'Semi Rev'!G59&gt;0),'Semi Rev'!K59/'Semi Rev'!G59-1,""),"")</f>
        <v/>
      </c>
      <c r="H202" s="37">
        <f>IFERROR(IF(AND(ISNUMBER('Semi Rev'!L59),ISNUMBER('Semi Rev'!H59),'Semi Rev'!H59&gt;0),'Semi Rev'!L59/'Semi Rev'!H59-1,""),"")</f>
        <v/>
      </c>
      <c r="I202" s="37">
        <f>IFERROR(IF(AND(ISNUMBER('Semi Rev'!M59),ISNUMBER('Semi Rev'!I59),'Semi Rev'!I59&gt;0),'Semi Rev'!M59/'Semi Rev'!I59-1,""),"")</f>
        <v/>
      </c>
      <c r="J202" s="37">
        <f>IFERROR(IF(AND(ISNUMBER('Semi Rev'!N59),ISNUMBER('Semi Rev'!J59),'Semi Rev'!J59&gt;0),'Semi Rev'!N59/'Semi Rev'!J59-1,""),"")</f>
        <v/>
      </c>
      <c r="K202" s="37">
        <f>IFERROR(IF(AND(ISNUMBER('Semi Rev'!O59),ISNUMBER('Semi Rev'!K59),'Semi Rev'!K59&gt;0),'Semi Rev'!O59/'Semi Rev'!K59-1,""),"")</f>
        <v/>
      </c>
      <c r="L202" s="37">
        <f>IFERROR(IF(AND(ISNUMBER('Semi Rev'!P59),ISNUMBER('Semi Rev'!L59),'Semi Rev'!L59&gt;0),'Semi Rev'!P59/'Semi Rev'!L59-1,""),"")</f>
        <v/>
      </c>
      <c r="M202" s="38">
        <f>IFERROR(IF(AND(ISNUMBER('Semi Rev'!Q59),ISNUMBER('Semi Rev'!M59),'Semi Rev'!M59&gt;0),'Semi Rev'!Q59/'Semi Rev'!M59-1,""),"")</f>
        <v/>
      </c>
      <c r="N202" s="38">
        <f>IFERROR(IF(AND(ISNUMBER('Semi Rev'!R59),ISNUMBER('Semi Rev'!N59),'Semi Rev'!N59&gt;0),'Semi Rev'!R59/'Semi Rev'!N59-1,""),"")</f>
        <v/>
      </c>
    </row>
    <row r="203">
      <c r="A203" s="19">
        <f>'Semi Rev'!$A60</f>
        <v/>
      </c>
      <c r="B203" s="19">
        <f>'Semi Rev'!$B60</f>
        <v/>
      </c>
      <c r="C203" s="37">
        <f>IFERROR(IF(AND(ISNUMBER('Semi Rev'!G60),ISNUMBER('Semi Rev'!C60),'Semi Rev'!C60&gt;0),'Semi Rev'!G60/'Semi Rev'!C60-1,""),"")</f>
        <v/>
      </c>
      <c r="D203" s="37">
        <f>IFERROR(IF(AND(ISNUMBER('Semi Rev'!H60),ISNUMBER('Semi Rev'!D60),'Semi Rev'!D60&gt;0),'Semi Rev'!H60/'Semi Rev'!D60-1,""),"")</f>
        <v/>
      </c>
      <c r="E203" s="37">
        <f>IFERROR(IF(AND(ISNUMBER('Semi Rev'!I60),ISNUMBER('Semi Rev'!E60),'Semi Rev'!E60&gt;0),'Semi Rev'!I60/'Semi Rev'!E60-1,""),"")</f>
        <v/>
      </c>
      <c r="F203" s="37">
        <f>IFERROR(IF(AND(ISNUMBER('Semi Rev'!J60),ISNUMBER('Semi Rev'!F60),'Semi Rev'!F60&gt;0),'Semi Rev'!J60/'Semi Rev'!F60-1,""),"")</f>
        <v/>
      </c>
      <c r="G203" s="37">
        <f>IFERROR(IF(AND(ISNUMBER('Semi Rev'!K60),ISNUMBER('Semi Rev'!G60),'Semi Rev'!G60&gt;0),'Semi Rev'!K60/'Semi Rev'!G60-1,""),"")</f>
        <v/>
      </c>
      <c r="H203" s="37">
        <f>IFERROR(IF(AND(ISNUMBER('Semi Rev'!L60),ISNUMBER('Semi Rev'!H60),'Semi Rev'!H60&gt;0),'Semi Rev'!L60/'Semi Rev'!H60-1,""),"")</f>
        <v/>
      </c>
      <c r="I203" s="37">
        <f>IFERROR(IF(AND(ISNUMBER('Semi Rev'!M60),ISNUMBER('Semi Rev'!I60),'Semi Rev'!I60&gt;0),'Semi Rev'!M60/'Semi Rev'!I60-1,""),"")</f>
        <v/>
      </c>
      <c r="J203" s="37">
        <f>IFERROR(IF(AND(ISNUMBER('Semi Rev'!N60),ISNUMBER('Semi Rev'!J60),'Semi Rev'!J60&gt;0),'Semi Rev'!N60/'Semi Rev'!J60-1,""),"")</f>
        <v/>
      </c>
      <c r="K203" s="37">
        <f>IFERROR(IF(AND(ISNUMBER('Semi Rev'!O60),ISNUMBER('Semi Rev'!K60),'Semi Rev'!K60&gt;0),'Semi Rev'!O60/'Semi Rev'!K60-1,""),"")</f>
        <v/>
      </c>
      <c r="L203" s="37">
        <f>IFERROR(IF(AND(ISNUMBER('Semi Rev'!P60),ISNUMBER('Semi Rev'!L60),'Semi Rev'!L60&gt;0),'Semi Rev'!P60/'Semi Rev'!L60-1,""),"")</f>
        <v/>
      </c>
      <c r="M203" s="38">
        <f>IFERROR(IF(AND(ISNUMBER('Semi Rev'!Q60),ISNUMBER('Semi Rev'!M60),'Semi Rev'!M60&gt;0),'Semi Rev'!Q60/'Semi Rev'!M60-1,""),"")</f>
        <v/>
      </c>
      <c r="N203" s="38">
        <f>IFERROR(IF(AND(ISNUMBER('Semi Rev'!R60),ISNUMBER('Semi Rev'!N60),'Semi Rev'!N60&gt;0),'Semi Rev'!R60/'Semi Rev'!N60-1,""),"")</f>
        <v/>
      </c>
    </row>
    <row r="204">
      <c r="A204" s="19">
        <f>'Semi Rev'!$A61</f>
        <v/>
      </c>
      <c r="B204" s="19">
        <f>'Semi Rev'!$B61</f>
        <v/>
      </c>
      <c r="C204" s="37">
        <f>IFERROR(IF(AND(ISNUMBER('Semi Rev'!G61),ISNUMBER('Semi Rev'!C61),'Semi Rev'!C61&gt;0),'Semi Rev'!G61/'Semi Rev'!C61-1,""),"")</f>
        <v/>
      </c>
      <c r="D204" s="37">
        <f>IFERROR(IF(AND(ISNUMBER('Semi Rev'!H61),ISNUMBER('Semi Rev'!D61),'Semi Rev'!D61&gt;0),'Semi Rev'!H61/'Semi Rev'!D61-1,""),"")</f>
        <v/>
      </c>
      <c r="E204" s="37">
        <f>IFERROR(IF(AND(ISNUMBER('Semi Rev'!I61),ISNUMBER('Semi Rev'!E61),'Semi Rev'!E61&gt;0),'Semi Rev'!I61/'Semi Rev'!E61-1,""),"")</f>
        <v/>
      </c>
      <c r="F204" s="37">
        <f>IFERROR(IF(AND(ISNUMBER('Semi Rev'!J61),ISNUMBER('Semi Rev'!F61),'Semi Rev'!F61&gt;0),'Semi Rev'!J61/'Semi Rev'!F61-1,""),"")</f>
        <v/>
      </c>
      <c r="G204" s="37">
        <f>IFERROR(IF(AND(ISNUMBER('Semi Rev'!K61),ISNUMBER('Semi Rev'!G61),'Semi Rev'!G61&gt;0),'Semi Rev'!K61/'Semi Rev'!G61-1,""),"")</f>
        <v/>
      </c>
      <c r="H204" s="37">
        <f>IFERROR(IF(AND(ISNUMBER('Semi Rev'!L61),ISNUMBER('Semi Rev'!H61),'Semi Rev'!H61&gt;0),'Semi Rev'!L61/'Semi Rev'!H61-1,""),"")</f>
        <v/>
      </c>
      <c r="I204" s="37">
        <f>IFERROR(IF(AND(ISNUMBER('Semi Rev'!M61),ISNUMBER('Semi Rev'!I61),'Semi Rev'!I61&gt;0),'Semi Rev'!M61/'Semi Rev'!I61-1,""),"")</f>
        <v/>
      </c>
      <c r="J204" s="37">
        <f>IFERROR(IF(AND(ISNUMBER('Semi Rev'!N61),ISNUMBER('Semi Rev'!J61),'Semi Rev'!J61&gt;0),'Semi Rev'!N61/'Semi Rev'!J61-1,""),"")</f>
        <v/>
      </c>
      <c r="K204" s="37">
        <f>IFERROR(IF(AND(ISNUMBER('Semi Rev'!O61),ISNUMBER('Semi Rev'!K61),'Semi Rev'!K61&gt;0),'Semi Rev'!O61/'Semi Rev'!K61-1,""),"")</f>
        <v/>
      </c>
      <c r="L204" s="37">
        <f>IFERROR(IF(AND(ISNUMBER('Semi Rev'!P61),ISNUMBER('Semi Rev'!L61),'Semi Rev'!L61&gt;0),'Semi Rev'!P61/'Semi Rev'!L61-1,""),"")</f>
        <v/>
      </c>
      <c r="M204" s="38">
        <f>IFERROR(IF(AND(ISNUMBER('Semi Rev'!Q61),ISNUMBER('Semi Rev'!M61),'Semi Rev'!M61&gt;0),'Semi Rev'!Q61/'Semi Rev'!M61-1,""),"")</f>
        <v/>
      </c>
      <c r="N204" s="38">
        <f>IFERROR(IF(AND(ISNUMBER('Semi Rev'!R61),ISNUMBER('Semi Rev'!N61),'Semi Rev'!N61&gt;0),'Semi Rev'!R61/'Semi Rev'!N61-1,""),"")</f>
        <v/>
      </c>
    </row>
    <row r="205">
      <c r="A205" s="19">
        <f>'Semi Rev'!$A62</f>
        <v/>
      </c>
      <c r="B205" s="19">
        <f>'Semi Rev'!$B62</f>
        <v/>
      </c>
      <c r="C205" s="37">
        <f>IFERROR(IF(AND(ISNUMBER('Semi Rev'!G62),ISNUMBER('Semi Rev'!C62),'Semi Rev'!C62&gt;0),'Semi Rev'!G62/'Semi Rev'!C62-1,""),"")</f>
        <v/>
      </c>
      <c r="D205" s="37">
        <f>IFERROR(IF(AND(ISNUMBER('Semi Rev'!H62),ISNUMBER('Semi Rev'!D62),'Semi Rev'!D62&gt;0),'Semi Rev'!H62/'Semi Rev'!D62-1,""),"")</f>
        <v/>
      </c>
      <c r="E205" s="37">
        <f>IFERROR(IF(AND(ISNUMBER('Semi Rev'!I62),ISNUMBER('Semi Rev'!E62),'Semi Rev'!E62&gt;0),'Semi Rev'!I62/'Semi Rev'!E62-1,""),"")</f>
        <v/>
      </c>
      <c r="F205" s="37">
        <f>IFERROR(IF(AND(ISNUMBER('Semi Rev'!J62),ISNUMBER('Semi Rev'!F62),'Semi Rev'!F62&gt;0),'Semi Rev'!J62/'Semi Rev'!F62-1,""),"")</f>
        <v/>
      </c>
      <c r="G205" s="37">
        <f>IFERROR(IF(AND(ISNUMBER('Semi Rev'!K62),ISNUMBER('Semi Rev'!G62),'Semi Rev'!G62&gt;0),'Semi Rev'!K62/'Semi Rev'!G62-1,""),"")</f>
        <v/>
      </c>
      <c r="H205" s="37">
        <f>IFERROR(IF(AND(ISNUMBER('Semi Rev'!L62),ISNUMBER('Semi Rev'!H62),'Semi Rev'!H62&gt;0),'Semi Rev'!L62/'Semi Rev'!H62-1,""),"")</f>
        <v/>
      </c>
      <c r="I205" s="37">
        <f>IFERROR(IF(AND(ISNUMBER('Semi Rev'!M62),ISNUMBER('Semi Rev'!I62),'Semi Rev'!I62&gt;0),'Semi Rev'!M62/'Semi Rev'!I62-1,""),"")</f>
        <v/>
      </c>
      <c r="J205" s="37">
        <f>IFERROR(IF(AND(ISNUMBER('Semi Rev'!N62),ISNUMBER('Semi Rev'!J62),'Semi Rev'!J62&gt;0),'Semi Rev'!N62/'Semi Rev'!J62-1,""),"")</f>
        <v/>
      </c>
      <c r="K205" s="37">
        <f>IFERROR(IF(AND(ISNUMBER('Semi Rev'!O62),ISNUMBER('Semi Rev'!K62),'Semi Rev'!K62&gt;0),'Semi Rev'!O62/'Semi Rev'!K62-1,""),"")</f>
        <v/>
      </c>
      <c r="L205" s="37">
        <f>IFERROR(IF(AND(ISNUMBER('Semi Rev'!P62),ISNUMBER('Semi Rev'!L62),'Semi Rev'!L62&gt;0),'Semi Rev'!P62/'Semi Rev'!L62-1,""),"")</f>
        <v/>
      </c>
      <c r="M205" s="38">
        <f>IFERROR(IF(AND(ISNUMBER('Semi Rev'!Q62),ISNUMBER('Semi Rev'!M62),'Semi Rev'!M62&gt;0),'Semi Rev'!Q62/'Semi Rev'!M62-1,""),"")</f>
        <v/>
      </c>
      <c r="N205" s="38">
        <f>IFERROR(IF(AND(ISNUMBER('Semi Rev'!R62),ISNUMBER('Semi Rev'!N62),'Semi Rev'!N62&gt;0),'Semi Rev'!R62/'Semi Rev'!N62-1,""),"")</f>
        <v/>
      </c>
    </row>
    <row r="206">
      <c r="A206" s="19">
        <f>'Semi Rev'!$A63</f>
        <v/>
      </c>
      <c r="B206" s="19">
        <f>'Semi Rev'!$B63</f>
        <v/>
      </c>
      <c r="C206" s="37">
        <f>IFERROR(IF(AND(ISNUMBER('Semi Rev'!G63),ISNUMBER('Semi Rev'!C63),'Semi Rev'!C63&gt;0),'Semi Rev'!G63/'Semi Rev'!C63-1,""),"")</f>
        <v/>
      </c>
      <c r="D206" s="37">
        <f>IFERROR(IF(AND(ISNUMBER('Semi Rev'!H63),ISNUMBER('Semi Rev'!D63),'Semi Rev'!D63&gt;0),'Semi Rev'!H63/'Semi Rev'!D63-1,""),"")</f>
        <v/>
      </c>
      <c r="E206" s="37">
        <f>IFERROR(IF(AND(ISNUMBER('Semi Rev'!I63),ISNUMBER('Semi Rev'!E63),'Semi Rev'!E63&gt;0),'Semi Rev'!I63/'Semi Rev'!E63-1,""),"")</f>
        <v/>
      </c>
      <c r="F206" s="37">
        <f>IFERROR(IF(AND(ISNUMBER('Semi Rev'!J63),ISNUMBER('Semi Rev'!F63),'Semi Rev'!F63&gt;0),'Semi Rev'!J63/'Semi Rev'!F63-1,""),"")</f>
        <v/>
      </c>
      <c r="G206" s="37">
        <f>IFERROR(IF(AND(ISNUMBER('Semi Rev'!K63),ISNUMBER('Semi Rev'!G63),'Semi Rev'!G63&gt;0),'Semi Rev'!K63/'Semi Rev'!G63-1,""),"")</f>
        <v/>
      </c>
      <c r="H206" s="37">
        <f>IFERROR(IF(AND(ISNUMBER('Semi Rev'!L63),ISNUMBER('Semi Rev'!H63),'Semi Rev'!H63&gt;0),'Semi Rev'!L63/'Semi Rev'!H63-1,""),"")</f>
        <v/>
      </c>
      <c r="I206" s="37">
        <f>IFERROR(IF(AND(ISNUMBER('Semi Rev'!M63),ISNUMBER('Semi Rev'!I63),'Semi Rev'!I63&gt;0),'Semi Rev'!M63/'Semi Rev'!I63-1,""),"")</f>
        <v/>
      </c>
      <c r="J206" s="37">
        <f>IFERROR(IF(AND(ISNUMBER('Semi Rev'!N63),ISNUMBER('Semi Rev'!J63),'Semi Rev'!J63&gt;0),'Semi Rev'!N63/'Semi Rev'!J63-1,""),"")</f>
        <v/>
      </c>
      <c r="K206" s="37">
        <f>IFERROR(IF(AND(ISNUMBER('Semi Rev'!O63),ISNUMBER('Semi Rev'!K63),'Semi Rev'!K63&gt;0),'Semi Rev'!O63/'Semi Rev'!K63-1,""),"")</f>
        <v/>
      </c>
      <c r="L206" s="37">
        <f>IFERROR(IF(AND(ISNUMBER('Semi Rev'!P63),ISNUMBER('Semi Rev'!L63),'Semi Rev'!L63&gt;0),'Semi Rev'!P63/'Semi Rev'!L63-1,""),"")</f>
        <v/>
      </c>
      <c r="M206" s="38">
        <f>IFERROR(IF(AND(ISNUMBER('Semi Rev'!Q63),ISNUMBER('Semi Rev'!M63),'Semi Rev'!M63&gt;0),'Semi Rev'!Q63/'Semi Rev'!M63-1,""),"")</f>
        <v/>
      </c>
      <c r="N206" s="38">
        <f>IFERROR(IF(AND(ISNUMBER('Semi Rev'!R63),ISNUMBER('Semi Rev'!N63),'Semi Rev'!N63&gt;0),'Semi Rev'!R63/'Semi Rev'!N63-1,""),"")</f>
        <v/>
      </c>
    </row>
    <row r="207">
      <c r="A207" s="19">
        <f>'Semi Rev'!$A64</f>
        <v/>
      </c>
      <c r="B207" s="19">
        <f>'Semi Rev'!$B64</f>
        <v/>
      </c>
      <c r="C207" s="37">
        <f>IFERROR(IF(AND(ISNUMBER('Semi Rev'!G64),ISNUMBER('Semi Rev'!C64),'Semi Rev'!C64&gt;0),'Semi Rev'!G64/'Semi Rev'!C64-1,""),"")</f>
        <v/>
      </c>
      <c r="D207" s="37">
        <f>IFERROR(IF(AND(ISNUMBER('Semi Rev'!H64),ISNUMBER('Semi Rev'!D64),'Semi Rev'!D64&gt;0),'Semi Rev'!H64/'Semi Rev'!D64-1,""),"")</f>
        <v/>
      </c>
      <c r="E207" s="37">
        <f>IFERROR(IF(AND(ISNUMBER('Semi Rev'!I64),ISNUMBER('Semi Rev'!E64),'Semi Rev'!E64&gt;0),'Semi Rev'!I64/'Semi Rev'!E64-1,""),"")</f>
        <v/>
      </c>
      <c r="F207" s="37">
        <f>IFERROR(IF(AND(ISNUMBER('Semi Rev'!J64),ISNUMBER('Semi Rev'!F64),'Semi Rev'!F64&gt;0),'Semi Rev'!J64/'Semi Rev'!F64-1,""),"")</f>
        <v/>
      </c>
      <c r="G207" s="37">
        <f>IFERROR(IF(AND(ISNUMBER('Semi Rev'!K64),ISNUMBER('Semi Rev'!G64),'Semi Rev'!G64&gt;0),'Semi Rev'!K64/'Semi Rev'!G64-1,""),"")</f>
        <v/>
      </c>
      <c r="H207" s="37">
        <f>IFERROR(IF(AND(ISNUMBER('Semi Rev'!L64),ISNUMBER('Semi Rev'!H64),'Semi Rev'!H64&gt;0),'Semi Rev'!L64/'Semi Rev'!H64-1,""),"")</f>
        <v/>
      </c>
      <c r="I207" s="37">
        <f>IFERROR(IF(AND(ISNUMBER('Semi Rev'!M64),ISNUMBER('Semi Rev'!I64),'Semi Rev'!I64&gt;0),'Semi Rev'!M64/'Semi Rev'!I64-1,""),"")</f>
        <v/>
      </c>
      <c r="J207" s="37">
        <f>IFERROR(IF(AND(ISNUMBER('Semi Rev'!N64),ISNUMBER('Semi Rev'!J64),'Semi Rev'!J64&gt;0),'Semi Rev'!N64/'Semi Rev'!J64-1,""),"")</f>
        <v/>
      </c>
      <c r="K207" s="37">
        <f>IFERROR(IF(AND(ISNUMBER('Semi Rev'!O64),ISNUMBER('Semi Rev'!K64),'Semi Rev'!K64&gt;0),'Semi Rev'!O64/'Semi Rev'!K64-1,""),"")</f>
        <v/>
      </c>
      <c r="L207" s="37">
        <f>IFERROR(IF(AND(ISNUMBER('Semi Rev'!P64),ISNUMBER('Semi Rev'!L64),'Semi Rev'!L64&gt;0),'Semi Rev'!P64/'Semi Rev'!L64-1,""),"")</f>
        <v/>
      </c>
      <c r="M207" s="38">
        <f>IFERROR(IF(AND(ISNUMBER('Semi Rev'!Q64),ISNUMBER('Semi Rev'!M64),'Semi Rev'!M64&gt;0),'Semi Rev'!Q64/'Semi Rev'!M64-1,""),"")</f>
        <v/>
      </c>
      <c r="N207" s="38">
        <f>IFERROR(IF(AND(ISNUMBER('Semi Rev'!R64),ISNUMBER('Semi Rev'!N64),'Semi Rev'!N64&gt;0),'Semi Rev'!R64/'Semi Rev'!N64-1,""),"")</f>
        <v/>
      </c>
    </row>
    <row r="208">
      <c r="A208" s="19">
        <f>'Semi Rev'!$A65</f>
        <v/>
      </c>
      <c r="B208" s="19">
        <f>'Semi Rev'!$B65</f>
        <v/>
      </c>
      <c r="C208" s="37">
        <f>IFERROR(IF(AND(ISNUMBER('Semi Rev'!G65),ISNUMBER('Semi Rev'!C65),'Semi Rev'!C65&gt;0),'Semi Rev'!G65/'Semi Rev'!C65-1,""),"")</f>
        <v/>
      </c>
      <c r="D208" s="37">
        <f>IFERROR(IF(AND(ISNUMBER('Semi Rev'!H65),ISNUMBER('Semi Rev'!D65),'Semi Rev'!D65&gt;0),'Semi Rev'!H65/'Semi Rev'!D65-1,""),"")</f>
        <v/>
      </c>
      <c r="E208" s="37">
        <f>IFERROR(IF(AND(ISNUMBER('Semi Rev'!I65),ISNUMBER('Semi Rev'!E65),'Semi Rev'!E65&gt;0),'Semi Rev'!I65/'Semi Rev'!E65-1,""),"")</f>
        <v/>
      </c>
      <c r="F208" s="37">
        <f>IFERROR(IF(AND(ISNUMBER('Semi Rev'!J65),ISNUMBER('Semi Rev'!F65),'Semi Rev'!F65&gt;0),'Semi Rev'!J65/'Semi Rev'!F65-1,""),"")</f>
        <v/>
      </c>
      <c r="G208" s="37">
        <f>IFERROR(IF(AND(ISNUMBER('Semi Rev'!K65),ISNUMBER('Semi Rev'!G65),'Semi Rev'!G65&gt;0),'Semi Rev'!K65/'Semi Rev'!G65-1,""),"")</f>
        <v/>
      </c>
      <c r="H208" s="37">
        <f>IFERROR(IF(AND(ISNUMBER('Semi Rev'!L65),ISNUMBER('Semi Rev'!H65),'Semi Rev'!H65&gt;0),'Semi Rev'!L65/'Semi Rev'!H65-1,""),"")</f>
        <v/>
      </c>
      <c r="I208" s="37">
        <f>IFERROR(IF(AND(ISNUMBER('Semi Rev'!M65),ISNUMBER('Semi Rev'!I65),'Semi Rev'!I65&gt;0),'Semi Rev'!M65/'Semi Rev'!I65-1,""),"")</f>
        <v/>
      </c>
      <c r="J208" s="37">
        <f>IFERROR(IF(AND(ISNUMBER('Semi Rev'!N65),ISNUMBER('Semi Rev'!J65),'Semi Rev'!J65&gt;0),'Semi Rev'!N65/'Semi Rev'!J65-1,""),"")</f>
        <v/>
      </c>
      <c r="K208" s="37">
        <f>IFERROR(IF(AND(ISNUMBER('Semi Rev'!O65),ISNUMBER('Semi Rev'!K65),'Semi Rev'!K65&gt;0),'Semi Rev'!O65/'Semi Rev'!K65-1,""),"")</f>
        <v/>
      </c>
      <c r="L208" s="37">
        <f>IFERROR(IF(AND(ISNUMBER('Semi Rev'!P65),ISNUMBER('Semi Rev'!L65),'Semi Rev'!L65&gt;0),'Semi Rev'!P65/'Semi Rev'!L65-1,""),"")</f>
        <v/>
      </c>
      <c r="M208" s="38">
        <f>IFERROR(IF(AND(ISNUMBER('Semi Rev'!Q65),ISNUMBER('Semi Rev'!M65),'Semi Rev'!M65&gt;0),'Semi Rev'!Q65/'Semi Rev'!M65-1,""),"")</f>
        <v/>
      </c>
      <c r="N208" s="38">
        <f>IFERROR(IF(AND(ISNUMBER('Semi Rev'!R65),ISNUMBER('Semi Rev'!N65),'Semi Rev'!N65&gt;0),'Semi Rev'!R65/'Semi Rev'!N65-1,""),"")</f>
        <v/>
      </c>
    </row>
    <row r="209">
      <c r="A209" s="19">
        <f>'Semi Rev'!$A66</f>
        <v/>
      </c>
      <c r="B209" s="19">
        <f>'Semi Rev'!$B66</f>
        <v/>
      </c>
      <c r="C209" s="37">
        <f>IFERROR(IF(AND(ISNUMBER('Semi Rev'!G66),ISNUMBER('Semi Rev'!C66),'Semi Rev'!C66&gt;0),'Semi Rev'!G66/'Semi Rev'!C66-1,""),"")</f>
        <v/>
      </c>
      <c r="D209" s="37">
        <f>IFERROR(IF(AND(ISNUMBER('Semi Rev'!H66),ISNUMBER('Semi Rev'!D66),'Semi Rev'!D66&gt;0),'Semi Rev'!H66/'Semi Rev'!D66-1,""),"")</f>
        <v/>
      </c>
      <c r="E209" s="37">
        <f>IFERROR(IF(AND(ISNUMBER('Semi Rev'!I66),ISNUMBER('Semi Rev'!E66),'Semi Rev'!E66&gt;0),'Semi Rev'!I66/'Semi Rev'!E66-1,""),"")</f>
        <v/>
      </c>
      <c r="F209" s="37">
        <f>IFERROR(IF(AND(ISNUMBER('Semi Rev'!J66),ISNUMBER('Semi Rev'!F66),'Semi Rev'!F66&gt;0),'Semi Rev'!J66/'Semi Rev'!F66-1,""),"")</f>
        <v/>
      </c>
      <c r="G209" s="37">
        <f>IFERROR(IF(AND(ISNUMBER('Semi Rev'!K66),ISNUMBER('Semi Rev'!G66),'Semi Rev'!G66&gt;0),'Semi Rev'!K66/'Semi Rev'!G66-1,""),"")</f>
        <v/>
      </c>
      <c r="H209" s="37">
        <f>IFERROR(IF(AND(ISNUMBER('Semi Rev'!L66),ISNUMBER('Semi Rev'!H66),'Semi Rev'!H66&gt;0),'Semi Rev'!L66/'Semi Rev'!H66-1,""),"")</f>
        <v/>
      </c>
      <c r="I209" s="37">
        <f>IFERROR(IF(AND(ISNUMBER('Semi Rev'!M66),ISNUMBER('Semi Rev'!I66),'Semi Rev'!I66&gt;0),'Semi Rev'!M66/'Semi Rev'!I66-1,""),"")</f>
        <v/>
      </c>
      <c r="J209" s="37">
        <f>IFERROR(IF(AND(ISNUMBER('Semi Rev'!N66),ISNUMBER('Semi Rev'!J66),'Semi Rev'!J66&gt;0),'Semi Rev'!N66/'Semi Rev'!J66-1,""),"")</f>
        <v/>
      </c>
      <c r="K209" s="37">
        <f>IFERROR(IF(AND(ISNUMBER('Semi Rev'!O66),ISNUMBER('Semi Rev'!K66),'Semi Rev'!K66&gt;0),'Semi Rev'!O66/'Semi Rev'!K66-1,""),"")</f>
        <v/>
      </c>
      <c r="L209" s="37">
        <f>IFERROR(IF(AND(ISNUMBER('Semi Rev'!P66),ISNUMBER('Semi Rev'!L66),'Semi Rev'!L66&gt;0),'Semi Rev'!P66/'Semi Rev'!L66-1,""),"")</f>
        <v/>
      </c>
      <c r="M209" s="38">
        <f>IFERROR(IF(AND(ISNUMBER('Semi Rev'!Q66),ISNUMBER('Semi Rev'!M66),'Semi Rev'!M66&gt;0),'Semi Rev'!Q66/'Semi Rev'!M66-1,""),"")</f>
        <v/>
      </c>
      <c r="N209" s="38">
        <f>IFERROR(IF(AND(ISNUMBER('Semi Rev'!R66),ISNUMBER('Semi Rev'!N66),'Semi Rev'!N66&gt;0),'Semi Rev'!R66/'Semi Rev'!N66-1,""),"")</f>
        <v/>
      </c>
    </row>
    <row r="210">
      <c r="A210" s="19">
        <f>'Semi Rev'!$A67</f>
        <v/>
      </c>
      <c r="B210" s="19">
        <f>'Semi Rev'!$B67</f>
        <v/>
      </c>
      <c r="C210" s="37">
        <f>IFERROR(IF(AND(ISNUMBER('Semi Rev'!G67),ISNUMBER('Semi Rev'!C67),'Semi Rev'!C67&gt;0),'Semi Rev'!G67/'Semi Rev'!C67-1,""),"")</f>
        <v/>
      </c>
      <c r="D210" s="37">
        <f>IFERROR(IF(AND(ISNUMBER('Semi Rev'!H67),ISNUMBER('Semi Rev'!D67),'Semi Rev'!D67&gt;0),'Semi Rev'!H67/'Semi Rev'!D67-1,""),"")</f>
        <v/>
      </c>
      <c r="E210" s="37">
        <f>IFERROR(IF(AND(ISNUMBER('Semi Rev'!I67),ISNUMBER('Semi Rev'!E67),'Semi Rev'!E67&gt;0),'Semi Rev'!I67/'Semi Rev'!E67-1,""),"")</f>
        <v/>
      </c>
      <c r="F210" s="37">
        <f>IFERROR(IF(AND(ISNUMBER('Semi Rev'!J67),ISNUMBER('Semi Rev'!F67),'Semi Rev'!F67&gt;0),'Semi Rev'!J67/'Semi Rev'!F67-1,""),"")</f>
        <v/>
      </c>
      <c r="G210" s="37">
        <f>IFERROR(IF(AND(ISNUMBER('Semi Rev'!K67),ISNUMBER('Semi Rev'!G67),'Semi Rev'!G67&gt;0),'Semi Rev'!K67/'Semi Rev'!G67-1,""),"")</f>
        <v/>
      </c>
      <c r="H210" s="37">
        <f>IFERROR(IF(AND(ISNUMBER('Semi Rev'!L67),ISNUMBER('Semi Rev'!H67),'Semi Rev'!H67&gt;0),'Semi Rev'!L67/'Semi Rev'!H67-1,""),"")</f>
        <v/>
      </c>
      <c r="I210" s="37">
        <f>IFERROR(IF(AND(ISNUMBER('Semi Rev'!M67),ISNUMBER('Semi Rev'!I67),'Semi Rev'!I67&gt;0),'Semi Rev'!M67/'Semi Rev'!I67-1,""),"")</f>
        <v/>
      </c>
      <c r="J210" s="37">
        <f>IFERROR(IF(AND(ISNUMBER('Semi Rev'!N67),ISNUMBER('Semi Rev'!J67),'Semi Rev'!J67&gt;0),'Semi Rev'!N67/'Semi Rev'!J67-1,""),"")</f>
        <v/>
      </c>
      <c r="K210" s="37">
        <f>IFERROR(IF(AND(ISNUMBER('Semi Rev'!O67),ISNUMBER('Semi Rev'!K67),'Semi Rev'!K67&gt;0),'Semi Rev'!O67/'Semi Rev'!K67-1,""),"")</f>
        <v/>
      </c>
      <c r="L210" s="37">
        <f>IFERROR(IF(AND(ISNUMBER('Semi Rev'!P67),ISNUMBER('Semi Rev'!L67),'Semi Rev'!L67&gt;0),'Semi Rev'!P67/'Semi Rev'!L67-1,""),"")</f>
        <v/>
      </c>
      <c r="M210" s="38">
        <f>IFERROR(IF(AND(ISNUMBER('Semi Rev'!Q67),ISNUMBER('Semi Rev'!M67),'Semi Rev'!M67&gt;0),'Semi Rev'!Q67/'Semi Rev'!M67-1,""),"")</f>
        <v/>
      </c>
      <c r="N210" s="38">
        <f>IFERROR(IF(AND(ISNUMBER('Semi Rev'!R67),ISNUMBER('Semi Rev'!N67),'Semi Rev'!N67&gt;0),'Semi Rev'!R67/'Semi Rev'!N67-1,""),"")</f>
        <v/>
      </c>
    </row>
    <row r="211">
      <c r="A211" s="19">
        <f>'Semi Rev'!$A68</f>
        <v/>
      </c>
      <c r="B211" s="19">
        <f>'Semi Rev'!$B68</f>
        <v/>
      </c>
      <c r="C211" s="37">
        <f>IFERROR(IF(AND(ISNUMBER('Semi Rev'!G68),ISNUMBER('Semi Rev'!C68),'Semi Rev'!C68&gt;0),'Semi Rev'!G68/'Semi Rev'!C68-1,""),"")</f>
        <v/>
      </c>
      <c r="D211" s="37">
        <f>IFERROR(IF(AND(ISNUMBER('Semi Rev'!H68),ISNUMBER('Semi Rev'!D68),'Semi Rev'!D68&gt;0),'Semi Rev'!H68/'Semi Rev'!D68-1,""),"")</f>
        <v/>
      </c>
      <c r="E211" s="37">
        <f>IFERROR(IF(AND(ISNUMBER('Semi Rev'!I68),ISNUMBER('Semi Rev'!E68),'Semi Rev'!E68&gt;0),'Semi Rev'!I68/'Semi Rev'!E68-1,""),"")</f>
        <v/>
      </c>
      <c r="F211" s="37">
        <f>IFERROR(IF(AND(ISNUMBER('Semi Rev'!J68),ISNUMBER('Semi Rev'!F68),'Semi Rev'!F68&gt;0),'Semi Rev'!J68/'Semi Rev'!F68-1,""),"")</f>
        <v/>
      </c>
      <c r="G211" s="37">
        <f>IFERROR(IF(AND(ISNUMBER('Semi Rev'!K68),ISNUMBER('Semi Rev'!G68),'Semi Rev'!G68&gt;0),'Semi Rev'!K68/'Semi Rev'!G68-1,""),"")</f>
        <v/>
      </c>
      <c r="H211" s="37">
        <f>IFERROR(IF(AND(ISNUMBER('Semi Rev'!L68),ISNUMBER('Semi Rev'!H68),'Semi Rev'!H68&gt;0),'Semi Rev'!L68/'Semi Rev'!H68-1,""),"")</f>
        <v/>
      </c>
      <c r="I211" s="37">
        <f>IFERROR(IF(AND(ISNUMBER('Semi Rev'!M68),ISNUMBER('Semi Rev'!I68),'Semi Rev'!I68&gt;0),'Semi Rev'!M68/'Semi Rev'!I68-1,""),"")</f>
        <v/>
      </c>
      <c r="J211" s="37">
        <f>IFERROR(IF(AND(ISNUMBER('Semi Rev'!N68),ISNUMBER('Semi Rev'!J68),'Semi Rev'!J68&gt;0),'Semi Rev'!N68/'Semi Rev'!J68-1,""),"")</f>
        <v/>
      </c>
      <c r="K211" s="37">
        <f>IFERROR(IF(AND(ISNUMBER('Semi Rev'!O68),ISNUMBER('Semi Rev'!K68),'Semi Rev'!K68&gt;0),'Semi Rev'!O68/'Semi Rev'!K68-1,""),"")</f>
        <v/>
      </c>
      <c r="L211" s="37">
        <f>IFERROR(IF(AND(ISNUMBER('Semi Rev'!P68),ISNUMBER('Semi Rev'!L68),'Semi Rev'!L68&gt;0),'Semi Rev'!P68/'Semi Rev'!L68-1,""),"")</f>
        <v/>
      </c>
      <c r="M211" s="38">
        <f>IFERROR(IF(AND(ISNUMBER('Semi Rev'!Q68),ISNUMBER('Semi Rev'!M68),'Semi Rev'!M68&gt;0),'Semi Rev'!Q68/'Semi Rev'!M68-1,""),"")</f>
        <v/>
      </c>
      <c r="N211" s="38">
        <f>IFERROR(IF(AND(ISNUMBER('Semi Rev'!R68),ISNUMBER('Semi Rev'!N68),'Semi Rev'!N68&gt;0),'Semi Rev'!R68/'Semi Rev'!N68-1,""),"")</f>
        <v/>
      </c>
    </row>
    <row r="212">
      <c r="A212" s="19">
        <f>'Semi Rev'!$A69</f>
        <v/>
      </c>
      <c r="B212" s="19">
        <f>'Semi Rev'!$B69</f>
        <v/>
      </c>
      <c r="C212" s="37">
        <f>IFERROR(IF(AND(ISNUMBER('Semi Rev'!G69),ISNUMBER('Semi Rev'!C69),'Semi Rev'!C69&gt;0),'Semi Rev'!G69/'Semi Rev'!C69-1,""),"")</f>
        <v/>
      </c>
      <c r="D212" s="37">
        <f>IFERROR(IF(AND(ISNUMBER('Semi Rev'!H69),ISNUMBER('Semi Rev'!D69),'Semi Rev'!D69&gt;0),'Semi Rev'!H69/'Semi Rev'!D69-1,""),"")</f>
        <v/>
      </c>
      <c r="E212" s="37">
        <f>IFERROR(IF(AND(ISNUMBER('Semi Rev'!I69),ISNUMBER('Semi Rev'!E69),'Semi Rev'!E69&gt;0),'Semi Rev'!I69/'Semi Rev'!E69-1,""),"")</f>
        <v/>
      </c>
      <c r="F212" s="37">
        <f>IFERROR(IF(AND(ISNUMBER('Semi Rev'!J69),ISNUMBER('Semi Rev'!F69),'Semi Rev'!F69&gt;0),'Semi Rev'!J69/'Semi Rev'!F69-1,""),"")</f>
        <v/>
      </c>
      <c r="G212" s="37">
        <f>IFERROR(IF(AND(ISNUMBER('Semi Rev'!K69),ISNUMBER('Semi Rev'!G69),'Semi Rev'!G69&gt;0),'Semi Rev'!K69/'Semi Rev'!G69-1,""),"")</f>
        <v/>
      </c>
      <c r="H212" s="37">
        <f>IFERROR(IF(AND(ISNUMBER('Semi Rev'!L69),ISNUMBER('Semi Rev'!H69),'Semi Rev'!H69&gt;0),'Semi Rev'!L69/'Semi Rev'!H69-1,""),"")</f>
        <v/>
      </c>
      <c r="I212" s="37">
        <f>IFERROR(IF(AND(ISNUMBER('Semi Rev'!M69),ISNUMBER('Semi Rev'!I69),'Semi Rev'!I69&gt;0),'Semi Rev'!M69/'Semi Rev'!I69-1,""),"")</f>
        <v/>
      </c>
      <c r="J212" s="37">
        <f>IFERROR(IF(AND(ISNUMBER('Semi Rev'!N69),ISNUMBER('Semi Rev'!J69),'Semi Rev'!J69&gt;0),'Semi Rev'!N69/'Semi Rev'!J69-1,""),"")</f>
        <v/>
      </c>
      <c r="K212" s="37">
        <f>IFERROR(IF(AND(ISNUMBER('Semi Rev'!O69),ISNUMBER('Semi Rev'!K69),'Semi Rev'!K69&gt;0),'Semi Rev'!O69/'Semi Rev'!K69-1,""),"")</f>
        <v/>
      </c>
      <c r="L212" s="37">
        <f>IFERROR(IF(AND(ISNUMBER('Semi Rev'!P69),ISNUMBER('Semi Rev'!L69),'Semi Rev'!L69&gt;0),'Semi Rev'!P69/'Semi Rev'!L69-1,""),"")</f>
        <v/>
      </c>
      <c r="M212" s="38">
        <f>IFERROR(IF(AND(ISNUMBER('Semi Rev'!Q69),ISNUMBER('Semi Rev'!M69),'Semi Rev'!M69&gt;0),'Semi Rev'!Q69/'Semi Rev'!M69-1,""),"")</f>
        <v/>
      </c>
      <c r="N212" s="38">
        <f>IFERROR(IF(AND(ISNUMBER('Semi Rev'!R69),ISNUMBER('Semi Rev'!N69),'Semi Rev'!N69&gt;0),'Semi Rev'!R69/'Semi Rev'!N69-1,""),"")</f>
        <v/>
      </c>
    </row>
    <row r="213">
      <c r="A213" s="19">
        <f>'Semi Rev'!$A70</f>
        <v/>
      </c>
      <c r="B213" s="19">
        <f>'Semi Rev'!$B70</f>
        <v/>
      </c>
      <c r="C213" s="37">
        <f>IFERROR(IF(AND(ISNUMBER('Semi Rev'!G70),ISNUMBER('Semi Rev'!C70),'Semi Rev'!C70&gt;0),'Semi Rev'!G70/'Semi Rev'!C70-1,""),"")</f>
        <v/>
      </c>
      <c r="D213" s="37">
        <f>IFERROR(IF(AND(ISNUMBER('Semi Rev'!H70),ISNUMBER('Semi Rev'!D70),'Semi Rev'!D70&gt;0),'Semi Rev'!H70/'Semi Rev'!D70-1,""),"")</f>
        <v/>
      </c>
      <c r="E213" s="37">
        <f>IFERROR(IF(AND(ISNUMBER('Semi Rev'!I70),ISNUMBER('Semi Rev'!E70),'Semi Rev'!E70&gt;0),'Semi Rev'!I70/'Semi Rev'!E70-1,""),"")</f>
        <v/>
      </c>
      <c r="F213" s="37">
        <f>IFERROR(IF(AND(ISNUMBER('Semi Rev'!J70),ISNUMBER('Semi Rev'!F70),'Semi Rev'!F70&gt;0),'Semi Rev'!J70/'Semi Rev'!F70-1,""),"")</f>
        <v/>
      </c>
      <c r="G213" s="37">
        <f>IFERROR(IF(AND(ISNUMBER('Semi Rev'!K70),ISNUMBER('Semi Rev'!G70),'Semi Rev'!G70&gt;0),'Semi Rev'!K70/'Semi Rev'!G70-1,""),"")</f>
        <v/>
      </c>
      <c r="H213" s="37">
        <f>IFERROR(IF(AND(ISNUMBER('Semi Rev'!L70),ISNUMBER('Semi Rev'!H70),'Semi Rev'!H70&gt;0),'Semi Rev'!L70/'Semi Rev'!H70-1,""),"")</f>
        <v/>
      </c>
      <c r="I213" s="37">
        <f>IFERROR(IF(AND(ISNUMBER('Semi Rev'!M70),ISNUMBER('Semi Rev'!I70),'Semi Rev'!I70&gt;0),'Semi Rev'!M70/'Semi Rev'!I70-1,""),"")</f>
        <v/>
      </c>
      <c r="J213" s="37">
        <f>IFERROR(IF(AND(ISNUMBER('Semi Rev'!N70),ISNUMBER('Semi Rev'!J70),'Semi Rev'!J70&gt;0),'Semi Rev'!N70/'Semi Rev'!J70-1,""),"")</f>
        <v/>
      </c>
      <c r="K213" s="37">
        <f>IFERROR(IF(AND(ISNUMBER('Semi Rev'!O70),ISNUMBER('Semi Rev'!K70),'Semi Rev'!K70&gt;0),'Semi Rev'!O70/'Semi Rev'!K70-1,""),"")</f>
        <v/>
      </c>
      <c r="L213" s="37">
        <f>IFERROR(IF(AND(ISNUMBER('Semi Rev'!P70),ISNUMBER('Semi Rev'!L70),'Semi Rev'!L70&gt;0),'Semi Rev'!P70/'Semi Rev'!L70-1,""),"")</f>
        <v/>
      </c>
      <c r="M213" s="38">
        <f>IFERROR(IF(AND(ISNUMBER('Semi Rev'!Q70),ISNUMBER('Semi Rev'!M70),'Semi Rev'!M70&gt;0),'Semi Rev'!Q70/'Semi Rev'!M70-1,""),"")</f>
        <v/>
      </c>
      <c r="N213" s="38">
        <f>IFERROR(IF(AND(ISNUMBER('Semi Rev'!R70),ISNUMBER('Semi Rev'!N70),'Semi Rev'!N70&gt;0),'Semi Rev'!R70/'Semi Rev'!N70-1,""),"")</f>
        <v/>
      </c>
    </row>
    <row r="214">
      <c r="A214" s="19">
        <f>'Semi Rev'!$A71</f>
        <v/>
      </c>
      <c r="B214" s="19">
        <f>'Semi Rev'!$B71</f>
        <v/>
      </c>
      <c r="C214" s="37">
        <f>IFERROR(IF(AND(ISNUMBER('Semi Rev'!G71),ISNUMBER('Semi Rev'!C71),'Semi Rev'!C71&gt;0),'Semi Rev'!G71/'Semi Rev'!C71-1,""),"")</f>
        <v/>
      </c>
      <c r="D214" s="37">
        <f>IFERROR(IF(AND(ISNUMBER('Semi Rev'!H71),ISNUMBER('Semi Rev'!D71),'Semi Rev'!D71&gt;0),'Semi Rev'!H71/'Semi Rev'!D71-1,""),"")</f>
        <v/>
      </c>
      <c r="E214" s="37">
        <f>IFERROR(IF(AND(ISNUMBER('Semi Rev'!I71),ISNUMBER('Semi Rev'!E71),'Semi Rev'!E71&gt;0),'Semi Rev'!I71/'Semi Rev'!E71-1,""),"")</f>
        <v/>
      </c>
      <c r="F214" s="37">
        <f>IFERROR(IF(AND(ISNUMBER('Semi Rev'!J71),ISNUMBER('Semi Rev'!F71),'Semi Rev'!F71&gt;0),'Semi Rev'!J71/'Semi Rev'!F71-1,""),"")</f>
        <v/>
      </c>
      <c r="G214" s="37">
        <f>IFERROR(IF(AND(ISNUMBER('Semi Rev'!K71),ISNUMBER('Semi Rev'!G71),'Semi Rev'!G71&gt;0),'Semi Rev'!K71/'Semi Rev'!G71-1,""),"")</f>
        <v/>
      </c>
      <c r="H214" s="37">
        <f>IFERROR(IF(AND(ISNUMBER('Semi Rev'!L71),ISNUMBER('Semi Rev'!H71),'Semi Rev'!H71&gt;0),'Semi Rev'!L71/'Semi Rev'!H71-1,""),"")</f>
        <v/>
      </c>
      <c r="I214" s="37">
        <f>IFERROR(IF(AND(ISNUMBER('Semi Rev'!M71),ISNUMBER('Semi Rev'!I71),'Semi Rev'!I71&gt;0),'Semi Rev'!M71/'Semi Rev'!I71-1,""),"")</f>
        <v/>
      </c>
      <c r="J214" s="37">
        <f>IFERROR(IF(AND(ISNUMBER('Semi Rev'!N71),ISNUMBER('Semi Rev'!J71),'Semi Rev'!J71&gt;0),'Semi Rev'!N71/'Semi Rev'!J71-1,""),"")</f>
        <v/>
      </c>
      <c r="K214" s="37">
        <f>IFERROR(IF(AND(ISNUMBER('Semi Rev'!O71),ISNUMBER('Semi Rev'!K71),'Semi Rev'!K71&gt;0),'Semi Rev'!O71/'Semi Rev'!K71-1,""),"")</f>
        <v/>
      </c>
      <c r="L214" s="37">
        <f>IFERROR(IF(AND(ISNUMBER('Semi Rev'!P71),ISNUMBER('Semi Rev'!L71),'Semi Rev'!L71&gt;0),'Semi Rev'!P71/'Semi Rev'!L71-1,""),"")</f>
        <v/>
      </c>
      <c r="M214" s="38">
        <f>IFERROR(IF(AND(ISNUMBER('Semi Rev'!Q71),ISNUMBER('Semi Rev'!M71),'Semi Rev'!M71&gt;0),'Semi Rev'!Q71/'Semi Rev'!M71-1,""),"")</f>
        <v/>
      </c>
      <c r="N214" s="38">
        <f>IFERROR(IF(AND(ISNUMBER('Semi Rev'!R71),ISNUMBER('Semi Rev'!N71),'Semi Rev'!N71&gt;0),'Semi Rev'!R71/'Semi Rev'!N71-1,""),"")</f>
        <v/>
      </c>
    </row>
    <row r="215">
      <c r="A215" s="19">
        <f>'Semi Rev'!$A72</f>
        <v/>
      </c>
      <c r="B215" s="19">
        <f>'Semi Rev'!$B72</f>
        <v/>
      </c>
      <c r="C215" s="37">
        <f>IFERROR(IF(AND(ISNUMBER('Semi Rev'!G72),ISNUMBER('Semi Rev'!C72),'Semi Rev'!C72&gt;0),'Semi Rev'!G72/'Semi Rev'!C72-1,""),"")</f>
        <v/>
      </c>
      <c r="D215" s="37">
        <f>IFERROR(IF(AND(ISNUMBER('Semi Rev'!H72),ISNUMBER('Semi Rev'!D72),'Semi Rev'!D72&gt;0),'Semi Rev'!H72/'Semi Rev'!D72-1,""),"")</f>
        <v/>
      </c>
      <c r="E215" s="37">
        <f>IFERROR(IF(AND(ISNUMBER('Semi Rev'!I72),ISNUMBER('Semi Rev'!E72),'Semi Rev'!E72&gt;0),'Semi Rev'!I72/'Semi Rev'!E72-1,""),"")</f>
        <v/>
      </c>
      <c r="F215" s="37">
        <f>IFERROR(IF(AND(ISNUMBER('Semi Rev'!J72),ISNUMBER('Semi Rev'!F72),'Semi Rev'!F72&gt;0),'Semi Rev'!J72/'Semi Rev'!F72-1,""),"")</f>
        <v/>
      </c>
      <c r="G215" s="37">
        <f>IFERROR(IF(AND(ISNUMBER('Semi Rev'!K72),ISNUMBER('Semi Rev'!G72),'Semi Rev'!G72&gt;0),'Semi Rev'!K72/'Semi Rev'!G72-1,""),"")</f>
        <v/>
      </c>
      <c r="H215" s="37">
        <f>IFERROR(IF(AND(ISNUMBER('Semi Rev'!L72),ISNUMBER('Semi Rev'!H72),'Semi Rev'!H72&gt;0),'Semi Rev'!L72/'Semi Rev'!H72-1,""),"")</f>
        <v/>
      </c>
      <c r="I215" s="37">
        <f>IFERROR(IF(AND(ISNUMBER('Semi Rev'!M72),ISNUMBER('Semi Rev'!I72),'Semi Rev'!I72&gt;0),'Semi Rev'!M72/'Semi Rev'!I72-1,""),"")</f>
        <v/>
      </c>
      <c r="J215" s="37">
        <f>IFERROR(IF(AND(ISNUMBER('Semi Rev'!N72),ISNUMBER('Semi Rev'!J72),'Semi Rev'!J72&gt;0),'Semi Rev'!N72/'Semi Rev'!J72-1,""),"")</f>
        <v/>
      </c>
      <c r="K215" s="37">
        <f>IFERROR(IF(AND(ISNUMBER('Semi Rev'!O72),ISNUMBER('Semi Rev'!K72),'Semi Rev'!K72&gt;0),'Semi Rev'!O72/'Semi Rev'!K72-1,""),"")</f>
        <v/>
      </c>
      <c r="L215" s="37">
        <f>IFERROR(IF(AND(ISNUMBER('Semi Rev'!P72),ISNUMBER('Semi Rev'!L72),'Semi Rev'!L72&gt;0),'Semi Rev'!P72/'Semi Rev'!L72-1,""),"")</f>
        <v/>
      </c>
      <c r="M215" s="38">
        <f>IFERROR(IF(AND(ISNUMBER('Semi Rev'!Q72),ISNUMBER('Semi Rev'!M72),'Semi Rev'!M72&gt;0),'Semi Rev'!Q72/'Semi Rev'!M72-1,""),"")</f>
        <v/>
      </c>
      <c r="N215" s="38">
        <f>IFERROR(IF(AND(ISNUMBER('Semi Rev'!R72),ISNUMBER('Semi Rev'!N72),'Semi Rev'!N72&gt;0),'Semi Rev'!R72/'Semi Rev'!N72-1,""),"")</f>
        <v/>
      </c>
    </row>
    <row r="216">
      <c r="A216" s="19">
        <f>'Semi Rev'!$A73</f>
        <v/>
      </c>
      <c r="B216" s="19">
        <f>'Semi Rev'!$B73</f>
        <v/>
      </c>
      <c r="C216" s="37">
        <f>IFERROR(IF(AND(ISNUMBER('Semi Rev'!G73),ISNUMBER('Semi Rev'!C73),'Semi Rev'!C73&gt;0),'Semi Rev'!G73/'Semi Rev'!C73-1,""),"")</f>
        <v/>
      </c>
      <c r="D216" s="37">
        <f>IFERROR(IF(AND(ISNUMBER('Semi Rev'!H73),ISNUMBER('Semi Rev'!D73),'Semi Rev'!D73&gt;0),'Semi Rev'!H73/'Semi Rev'!D73-1,""),"")</f>
        <v/>
      </c>
      <c r="E216" s="37">
        <f>IFERROR(IF(AND(ISNUMBER('Semi Rev'!I73),ISNUMBER('Semi Rev'!E73),'Semi Rev'!E73&gt;0),'Semi Rev'!I73/'Semi Rev'!E73-1,""),"")</f>
        <v/>
      </c>
      <c r="F216" s="37">
        <f>IFERROR(IF(AND(ISNUMBER('Semi Rev'!J73),ISNUMBER('Semi Rev'!F73),'Semi Rev'!F73&gt;0),'Semi Rev'!J73/'Semi Rev'!F73-1,""),"")</f>
        <v/>
      </c>
      <c r="G216" s="37">
        <f>IFERROR(IF(AND(ISNUMBER('Semi Rev'!K73),ISNUMBER('Semi Rev'!G73),'Semi Rev'!G73&gt;0),'Semi Rev'!K73/'Semi Rev'!G73-1,""),"")</f>
        <v/>
      </c>
      <c r="H216" s="37">
        <f>IFERROR(IF(AND(ISNUMBER('Semi Rev'!L73),ISNUMBER('Semi Rev'!H73),'Semi Rev'!H73&gt;0),'Semi Rev'!L73/'Semi Rev'!H73-1,""),"")</f>
        <v/>
      </c>
      <c r="I216" s="37">
        <f>IFERROR(IF(AND(ISNUMBER('Semi Rev'!M73),ISNUMBER('Semi Rev'!I73),'Semi Rev'!I73&gt;0),'Semi Rev'!M73/'Semi Rev'!I73-1,""),"")</f>
        <v/>
      </c>
      <c r="J216" s="37">
        <f>IFERROR(IF(AND(ISNUMBER('Semi Rev'!N73),ISNUMBER('Semi Rev'!J73),'Semi Rev'!J73&gt;0),'Semi Rev'!N73/'Semi Rev'!J73-1,""),"")</f>
        <v/>
      </c>
      <c r="K216" s="37">
        <f>IFERROR(IF(AND(ISNUMBER('Semi Rev'!O73),ISNUMBER('Semi Rev'!K73),'Semi Rev'!K73&gt;0),'Semi Rev'!O73/'Semi Rev'!K73-1,""),"")</f>
        <v/>
      </c>
      <c r="L216" s="37">
        <f>IFERROR(IF(AND(ISNUMBER('Semi Rev'!P73),ISNUMBER('Semi Rev'!L73),'Semi Rev'!L73&gt;0),'Semi Rev'!P73/'Semi Rev'!L73-1,""),"")</f>
        <v/>
      </c>
      <c r="M216" s="38">
        <f>IFERROR(IF(AND(ISNUMBER('Semi Rev'!Q73),ISNUMBER('Semi Rev'!M73),'Semi Rev'!M73&gt;0),'Semi Rev'!Q73/'Semi Rev'!M73-1,""),"")</f>
        <v/>
      </c>
      <c r="N216" s="38">
        <f>IFERROR(IF(AND(ISNUMBER('Semi Rev'!R73),ISNUMBER('Semi Rev'!N73),'Semi Rev'!N73&gt;0),'Semi Rev'!R73/'Semi Rev'!N73-1,""),"")</f>
        <v/>
      </c>
    </row>
    <row r="217">
      <c r="A217" s="19">
        <f>'Semi Rev'!$A74</f>
        <v/>
      </c>
      <c r="B217" s="19">
        <f>'Semi Rev'!$B74</f>
        <v/>
      </c>
      <c r="C217" s="37">
        <f>IFERROR(IF(AND(ISNUMBER('Semi Rev'!G74),ISNUMBER('Semi Rev'!C74),'Semi Rev'!C74&gt;0),'Semi Rev'!G74/'Semi Rev'!C74-1,""),"")</f>
        <v/>
      </c>
      <c r="D217" s="37">
        <f>IFERROR(IF(AND(ISNUMBER('Semi Rev'!H74),ISNUMBER('Semi Rev'!D74),'Semi Rev'!D74&gt;0),'Semi Rev'!H74/'Semi Rev'!D74-1,""),"")</f>
        <v/>
      </c>
      <c r="E217" s="37">
        <f>IFERROR(IF(AND(ISNUMBER('Semi Rev'!I74),ISNUMBER('Semi Rev'!E74),'Semi Rev'!E74&gt;0),'Semi Rev'!I74/'Semi Rev'!E74-1,""),"")</f>
        <v/>
      </c>
      <c r="F217" s="37">
        <f>IFERROR(IF(AND(ISNUMBER('Semi Rev'!J74),ISNUMBER('Semi Rev'!F74),'Semi Rev'!F74&gt;0),'Semi Rev'!J74/'Semi Rev'!F74-1,""),"")</f>
        <v/>
      </c>
      <c r="G217" s="37">
        <f>IFERROR(IF(AND(ISNUMBER('Semi Rev'!K74),ISNUMBER('Semi Rev'!G74),'Semi Rev'!G74&gt;0),'Semi Rev'!K74/'Semi Rev'!G74-1,""),"")</f>
        <v/>
      </c>
      <c r="H217" s="37">
        <f>IFERROR(IF(AND(ISNUMBER('Semi Rev'!L74),ISNUMBER('Semi Rev'!H74),'Semi Rev'!H74&gt;0),'Semi Rev'!L74/'Semi Rev'!H74-1,""),"")</f>
        <v/>
      </c>
      <c r="I217" s="37">
        <f>IFERROR(IF(AND(ISNUMBER('Semi Rev'!M74),ISNUMBER('Semi Rev'!I74),'Semi Rev'!I74&gt;0),'Semi Rev'!M74/'Semi Rev'!I74-1,""),"")</f>
        <v/>
      </c>
      <c r="J217" s="37">
        <f>IFERROR(IF(AND(ISNUMBER('Semi Rev'!N74),ISNUMBER('Semi Rev'!J74),'Semi Rev'!J74&gt;0),'Semi Rev'!N74/'Semi Rev'!J74-1,""),"")</f>
        <v/>
      </c>
      <c r="K217" s="37">
        <f>IFERROR(IF(AND(ISNUMBER('Semi Rev'!O74),ISNUMBER('Semi Rev'!K74),'Semi Rev'!K74&gt;0),'Semi Rev'!O74/'Semi Rev'!K74-1,""),"")</f>
        <v/>
      </c>
      <c r="L217" s="37">
        <f>IFERROR(IF(AND(ISNUMBER('Semi Rev'!P74),ISNUMBER('Semi Rev'!L74),'Semi Rev'!L74&gt;0),'Semi Rev'!P74/'Semi Rev'!L74-1,""),"")</f>
        <v/>
      </c>
      <c r="M217" s="38">
        <f>IFERROR(IF(AND(ISNUMBER('Semi Rev'!Q74),ISNUMBER('Semi Rev'!M74),'Semi Rev'!M74&gt;0),'Semi Rev'!Q74/'Semi Rev'!M74-1,""),"")</f>
        <v/>
      </c>
      <c r="N217" s="38">
        <f>IFERROR(IF(AND(ISNUMBER('Semi Rev'!R74),ISNUMBER('Semi Rev'!N74),'Semi Rev'!N74&gt;0),'Semi Rev'!R74/'Semi Rev'!N74-1,""),"")</f>
        <v/>
      </c>
    </row>
    <row r="218">
      <c r="A218" s="19">
        <f>'Semi Rev'!$A75</f>
        <v/>
      </c>
      <c r="B218" s="19">
        <f>'Semi Rev'!$B75</f>
        <v/>
      </c>
      <c r="C218" s="37">
        <f>IFERROR(IF(AND(ISNUMBER('Semi Rev'!G75),ISNUMBER('Semi Rev'!C75),'Semi Rev'!C75&gt;0),'Semi Rev'!G75/'Semi Rev'!C75-1,""),"")</f>
        <v/>
      </c>
      <c r="D218" s="37">
        <f>IFERROR(IF(AND(ISNUMBER('Semi Rev'!H75),ISNUMBER('Semi Rev'!D75),'Semi Rev'!D75&gt;0),'Semi Rev'!H75/'Semi Rev'!D75-1,""),"")</f>
        <v/>
      </c>
      <c r="E218" s="37">
        <f>IFERROR(IF(AND(ISNUMBER('Semi Rev'!I75),ISNUMBER('Semi Rev'!E75),'Semi Rev'!E75&gt;0),'Semi Rev'!I75/'Semi Rev'!E75-1,""),"")</f>
        <v/>
      </c>
      <c r="F218" s="37">
        <f>IFERROR(IF(AND(ISNUMBER('Semi Rev'!J75),ISNUMBER('Semi Rev'!F75),'Semi Rev'!F75&gt;0),'Semi Rev'!J75/'Semi Rev'!F75-1,""),"")</f>
        <v/>
      </c>
      <c r="G218" s="37">
        <f>IFERROR(IF(AND(ISNUMBER('Semi Rev'!K75),ISNUMBER('Semi Rev'!G75),'Semi Rev'!G75&gt;0),'Semi Rev'!K75/'Semi Rev'!G75-1,""),"")</f>
        <v/>
      </c>
      <c r="H218" s="37">
        <f>IFERROR(IF(AND(ISNUMBER('Semi Rev'!L75),ISNUMBER('Semi Rev'!H75),'Semi Rev'!H75&gt;0),'Semi Rev'!L75/'Semi Rev'!H75-1,""),"")</f>
        <v/>
      </c>
      <c r="I218" s="37">
        <f>IFERROR(IF(AND(ISNUMBER('Semi Rev'!M75),ISNUMBER('Semi Rev'!I75),'Semi Rev'!I75&gt;0),'Semi Rev'!M75/'Semi Rev'!I75-1,""),"")</f>
        <v/>
      </c>
      <c r="J218" s="37">
        <f>IFERROR(IF(AND(ISNUMBER('Semi Rev'!N75),ISNUMBER('Semi Rev'!J75),'Semi Rev'!J75&gt;0),'Semi Rev'!N75/'Semi Rev'!J75-1,""),"")</f>
        <v/>
      </c>
      <c r="K218" s="37">
        <f>IFERROR(IF(AND(ISNUMBER('Semi Rev'!O75),ISNUMBER('Semi Rev'!K75),'Semi Rev'!K75&gt;0),'Semi Rev'!O75/'Semi Rev'!K75-1,""),"")</f>
        <v/>
      </c>
      <c r="L218" s="37">
        <f>IFERROR(IF(AND(ISNUMBER('Semi Rev'!P75),ISNUMBER('Semi Rev'!L75),'Semi Rev'!L75&gt;0),'Semi Rev'!P75/'Semi Rev'!L75-1,""),"")</f>
        <v/>
      </c>
      <c r="M218" s="38">
        <f>IFERROR(IF(AND(ISNUMBER('Semi Rev'!Q75),ISNUMBER('Semi Rev'!M75),'Semi Rev'!M75&gt;0),'Semi Rev'!Q75/'Semi Rev'!M75-1,""),"")</f>
        <v/>
      </c>
      <c r="N218" s="38">
        <f>IFERROR(IF(AND(ISNUMBER('Semi Rev'!R75),ISNUMBER('Semi Rev'!N75),'Semi Rev'!N75&gt;0),'Semi Rev'!R75/'Semi Rev'!N75-1,""),"")</f>
        <v/>
      </c>
    </row>
    <row r="219">
      <c r="A219" s="19">
        <f>'Semi Rev'!$A76</f>
        <v/>
      </c>
      <c r="B219" s="19">
        <f>'Semi Rev'!$B76</f>
        <v/>
      </c>
      <c r="C219" s="37">
        <f>IFERROR(IF(AND(ISNUMBER('Semi Rev'!G76),ISNUMBER('Semi Rev'!C76),'Semi Rev'!C76&gt;0),'Semi Rev'!G76/'Semi Rev'!C76-1,""),"")</f>
        <v/>
      </c>
      <c r="D219" s="37">
        <f>IFERROR(IF(AND(ISNUMBER('Semi Rev'!H76),ISNUMBER('Semi Rev'!D76),'Semi Rev'!D76&gt;0),'Semi Rev'!H76/'Semi Rev'!D76-1,""),"")</f>
        <v/>
      </c>
      <c r="E219" s="37">
        <f>IFERROR(IF(AND(ISNUMBER('Semi Rev'!I76),ISNUMBER('Semi Rev'!E76),'Semi Rev'!E76&gt;0),'Semi Rev'!I76/'Semi Rev'!E76-1,""),"")</f>
        <v/>
      </c>
      <c r="F219" s="37">
        <f>IFERROR(IF(AND(ISNUMBER('Semi Rev'!J76),ISNUMBER('Semi Rev'!F76),'Semi Rev'!F76&gt;0),'Semi Rev'!J76/'Semi Rev'!F76-1,""),"")</f>
        <v/>
      </c>
      <c r="G219" s="37">
        <f>IFERROR(IF(AND(ISNUMBER('Semi Rev'!K76),ISNUMBER('Semi Rev'!G76),'Semi Rev'!G76&gt;0),'Semi Rev'!K76/'Semi Rev'!G76-1,""),"")</f>
        <v/>
      </c>
      <c r="H219" s="37">
        <f>IFERROR(IF(AND(ISNUMBER('Semi Rev'!L76),ISNUMBER('Semi Rev'!H76),'Semi Rev'!H76&gt;0),'Semi Rev'!L76/'Semi Rev'!H76-1,""),"")</f>
        <v/>
      </c>
      <c r="I219" s="37">
        <f>IFERROR(IF(AND(ISNUMBER('Semi Rev'!M76),ISNUMBER('Semi Rev'!I76),'Semi Rev'!I76&gt;0),'Semi Rev'!M76/'Semi Rev'!I76-1,""),"")</f>
        <v/>
      </c>
      <c r="J219" s="37">
        <f>IFERROR(IF(AND(ISNUMBER('Semi Rev'!N76),ISNUMBER('Semi Rev'!J76),'Semi Rev'!J76&gt;0),'Semi Rev'!N76/'Semi Rev'!J76-1,""),"")</f>
        <v/>
      </c>
      <c r="K219" s="37">
        <f>IFERROR(IF(AND(ISNUMBER('Semi Rev'!O76),ISNUMBER('Semi Rev'!K76),'Semi Rev'!K76&gt;0),'Semi Rev'!O76/'Semi Rev'!K76-1,""),"")</f>
        <v/>
      </c>
      <c r="L219" s="37">
        <f>IFERROR(IF(AND(ISNUMBER('Semi Rev'!P76),ISNUMBER('Semi Rev'!L76),'Semi Rev'!L76&gt;0),'Semi Rev'!P76/'Semi Rev'!L76-1,""),"")</f>
        <v/>
      </c>
      <c r="M219" s="38">
        <f>IFERROR(IF(AND(ISNUMBER('Semi Rev'!Q76),ISNUMBER('Semi Rev'!M76),'Semi Rev'!M76&gt;0),'Semi Rev'!Q76/'Semi Rev'!M76-1,""),"")</f>
        <v/>
      </c>
      <c r="N219" s="38">
        <f>IFERROR(IF(AND(ISNUMBER('Semi Rev'!R76),ISNUMBER('Semi Rev'!N76),'Semi Rev'!N76&gt;0),'Semi Rev'!R76/'Semi Rev'!N76-1,""),"")</f>
        <v/>
      </c>
    </row>
    <row r="220">
      <c r="A220" s="19">
        <f>'Semi Rev'!$A77</f>
        <v/>
      </c>
      <c r="B220" s="19">
        <f>'Semi Rev'!$B77</f>
        <v/>
      </c>
      <c r="C220" s="37">
        <f>IFERROR(IF(AND(ISNUMBER('Semi Rev'!G77),ISNUMBER('Semi Rev'!C77),'Semi Rev'!C77&gt;0),'Semi Rev'!G77/'Semi Rev'!C77-1,""),"")</f>
        <v/>
      </c>
      <c r="D220" s="37">
        <f>IFERROR(IF(AND(ISNUMBER('Semi Rev'!H77),ISNUMBER('Semi Rev'!D77),'Semi Rev'!D77&gt;0),'Semi Rev'!H77/'Semi Rev'!D77-1,""),"")</f>
        <v/>
      </c>
      <c r="E220" s="37">
        <f>IFERROR(IF(AND(ISNUMBER('Semi Rev'!I77),ISNUMBER('Semi Rev'!E77),'Semi Rev'!E77&gt;0),'Semi Rev'!I77/'Semi Rev'!E77-1,""),"")</f>
        <v/>
      </c>
      <c r="F220" s="37">
        <f>IFERROR(IF(AND(ISNUMBER('Semi Rev'!J77),ISNUMBER('Semi Rev'!F77),'Semi Rev'!F77&gt;0),'Semi Rev'!J77/'Semi Rev'!F77-1,""),"")</f>
        <v/>
      </c>
      <c r="G220" s="37">
        <f>IFERROR(IF(AND(ISNUMBER('Semi Rev'!K77),ISNUMBER('Semi Rev'!G77),'Semi Rev'!G77&gt;0),'Semi Rev'!K77/'Semi Rev'!G77-1,""),"")</f>
        <v/>
      </c>
      <c r="H220" s="37">
        <f>IFERROR(IF(AND(ISNUMBER('Semi Rev'!L77),ISNUMBER('Semi Rev'!H77),'Semi Rev'!H77&gt;0),'Semi Rev'!L77/'Semi Rev'!H77-1,""),"")</f>
        <v/>
      </c>
      <c r="I220" s="37">
        <f>IFERROR(IF(AND(ISNUMBER('Semi Rev'!M77),ISNUMBER('Semi Rev'!I77),'Semi Rev'!I77&gt;0),'Semi Rev'!M77/'Semi Rev'!I77-1,""),"")</f>
        <v/>
      </c>
      <c r="J220" s="37">
        <f>IFERROR(IF(AND(ISNUMBER('Semi Rev'!N77),ISNUMBER('Semi Rev'!J77),'Semi Rev'!J77&gt;0),'Semi Rev'!N77/'Semi Rev'!J77-1,""),"")</f>
        <v/>
      </c>
      <c r="K220" s="37">
        <f>IFERROR(IF(AND(ISNUMBER('Semi Rev'!O77),ISNUMBER('Semi Rev'!K77),'Semi Rev'!K77&gt;0),'Semi Rev'!O77/'Semi Rev'!K77-1,""),"")</f>
        <v/>
      </c>
      <c r="L220" s="37">
        <f>IFERROR(IF(AND(ISNUMBER('Semi Rev'!P77),ISNUMBER('Semi Rev'!L77),'Semi Rev'!L77&gt;0),'Semi Rev'!P77/'Semi Rev'!L77-1,""),"")</f>
        <v/>
      </c>
      <c r="M220" s="38">
        <f>IFERROR(IF(AND(ISNUMBER('Semi Rev'!Q77),ISNUMBER('Semi Rev'!M77),'Semi Rev'!M77&gt;0),'Semi Rev'!Q77/'Semi Rev'!M77-1,""),"")</f>
        <v/>
      </c>
      <c r="N220" s="38">
        <f>IFERROR(IF(AND(ISNUMBER('Semi Rev'!R77),ISNUMBER('Semi Rev'!N77),'Semi Rev'!N77&gt;0),'Semi Rev'!R77/'Semi Rev'!N77-1,""),"")</f>
        <v/>
      </c>
    </row>
    <row r="221">
      <c r="A221" s="19">
        <f>'Semi Rev'!$A78</f>
        <v/>
      </c>
      <c r="B221" s="19">
        <f>'Semi Rev'!$B78</f>
        <v/>
      </c>
      <c r="C221" s="37">
        <f>IFERROR(IF(AND(ISNUMBER('Semi Rev'!G78),ISNUMBER('Semi Rev'!C78),'Semi Rev'!C78&gt;0),'Semi Rev'!G78/'Semi Rev'!C78-1,""),"")</f>
        <v/>
      </c>
      <c r="D221" s="37">
        <f>IFERROR(IF(AND(ISNUMBER('Semi Rev'!H78),ISNUMBER('Semi Rev'!D78),'Semi Rev'!D78&gt;0),'Semi Rev'!H78/'Semi Rev'!D78-1,""),"")</f>
        <v/>
      </c>
      <c r="E221" s="37">
        <f>IFERROR(IF(AND(ISNUMBER('Semi Rev'!I78),ISNUMBER('Semi Rev'!E78),'Semi Rev'!E78&gt;0),'Semi Rev'!I78/'Semi Rev'!E78-1,""),"")</f>
        <v/>
      </c>
      <c r="F221" s="37">
        <f>IFERROR(IF(AND(ISNUMBER('Semi Rev'!J78),ISNUMBER('Semi Rev'!F78),'Semi Rev'!F78&gt;0),'Semi Rev'!J78/'Semi Rev'!F78-1,""),"")</f>
        <v/>
      </c>
      <c r="G221" s="37">
        <f>IFERROR(IF(AND(ISNUMBER('Semi Rev'!K78),ISNUMBER('Semi Rev'!G78),'Semi Rev'!G78&gt;0),'Semi Rev'!K78/'Semi Rev'!G78-1,""),"")</f>
        <v/>
      </c>
      <c r="H221" s="37">
        <f>IFERROR(IF(AND(ISNUMBER('Semi Rev'!L78),ISNUMBER('Semi Rev'!H78),'Semi Rev'!H78&gt;0),'Semi Rev'!L78/'Semi Rev'!H78-1,""),"")</f>
        <v/>
      </c>
      <c r="I221" s="37">
        <f>IFERROR(IF(AND(ISNUMBER('Semi Rev'!M78),ISNUMBER('Semi Rev'!I78),'Semi Rev'!I78&gt;0),'Semi Rev'!M78/'Semi Rev'!I78-1,""),"")</f>
        <v/>
      </c>
      <c r="J221" s="37">
        <f>IFERROR(IF(AND(ISNUMBER('Semi Rev'!N78),ISNUMBER('Semi Rev'!J78),'Semi Rev'!J78&gt;0),'Semi Rev'!N78/'Semi Rev'!J78-1,""),"")</f>
        <v/>
      </c>
      <c r="K221" s="37">
        <f>IFERROR(IF(AND(ISNUMBER('Semi Rev'!O78),ISNUMBER('Semi Rev'!K78),'Semi Rev'!K78&gt;0),'Semi Rev'!O78/'Semi Rev'!K78-1,""),"")</f>
        <v/>
      </c>
      <c r="L221" s="37">
        <f>IFERROR(IF(AND(ISNUMBER('Semi Rev'!P78),ISNUMBER('Semi Rev'!L78),'Semi Rev'!L78&gt;0),'Semi Rev'!P78/'Semi Rev'!L78-1,""),"")</f>
        <v/>
      </c>
      <c r="M221" s="38">
        <f>IFERROR(IF(AND(ISNUMBER('Semi Rev'!Q78),ISNUMBER('Semi Rev'!M78),'Semi Rev'!M78&gt;0),'Semi Rev'!Q78/'Semi Rev'!M78-1,""),"")</f>
        <v/>
      </c>
      <c r="N221" s="38">
        <f>IFERROR(IF(AND(ISNUMBER('Semi Rev'!R78),ISNUMBER('Semi Rev'!N78),'Semi Rev'!N78&gt;0),'Semi Rev'!R78/'Semi Rev'!N78-1,""),"")</f>
        <v/>
      </c>
    </row>
    <row r="222">
      <c r="A222" s="19">
        <f>'Semi Rev'!$A79</f>
        <v/>
      </c>
      <c r="B222" s="19">
        <f>'Semi Rev'!$B79</f>
        <v/>
      </c>
      <c r="C222" s="37">
        <f>IFERROR(IF(AND(ISNUMBER('Semi Rev'!G79),ISNUMBER('Semi Rev'!C79),'Semi Rev'!C79&gt;0),'Semi Rev'!G79/'Semi Rev'!C79-1,""),"")</f>
        <v/>
      </c>
      <c r="D222" s="37">
        <f>IFERROR(IF(AND(ISNUMBER('Semi Rev'!H79),ISNUMBER('Semi Rev'!D79),'Semi Rev'!D79&gt;0),'Semi Rev'!H79/'Semi Rev'!D79-1,""),"")</f>
        <v/>
      </c>
      <c r="E222" s="37">
        <f>IFERROR(IF(AND(ISNUMBER('Semi Rev'!I79),ISNUMBER('Semi Rev'!E79),'Semi Rev'!E79&gt;0),'Semi Rev'!I79/'Semi Rev'!E79-1,""),"")</f>
        <v/>
      </c>
      <c r="F222" s="37">
        <f>IFERROR(IF(AND(ISNUMBER('Semi Rev'!J79),ISNUMBER('Semi Rev'!F79),'Semi Rev'!F79&gt;0),'Semi Rev'!J79/'Semi Rev'!F79-1,""),"")</f>
        <v/>
      </c>
      <c r="G222" s="37">
        <f>IFERROR(IF(AND(ISNUMBER('Semi Rev'!K79),ISNUMBER('Semi Rev'!G79),'Semi Rev'!G79&gt;0),'Semi Rev'!K79/'Semi Rev'!G79-1,""),"")</f>
        <v/>
      </c>
      <c r="H222" s="37">
        <f>IFERROR(IF(AND(ISNUMBER('Semi Rev'!L79),ISNUMBER('Semi Rev'!H79),'Semi Rev'!H79&gt;0),'Semi Rev'!L79/'Semi Rev'!H79-1,""),"")</f>
        <v/>
      </c>
      <c r="I222" s="37">
        <f>IFERROR(IF(AND(ISNUMBER('Semi Rev'!M79),ISNUMBER('Semi Rev'!I79),'Semi Rev'!I79&gt;0),'Semi Rev'!M79/'Semi Rev'!I79-1,""),"")</f>
        <v/>
      </c>
      <c r="J222" s="37">
        <f>IFERROR(IF(AND(ISNUMBER('Semi Rev'!N79),ISNUMBER('Semi Rev'!J79),'Semi Rev'!J79&gt;0),'Semi Rev'!N79/'Semi Rev'!J79-1,""),"")</f>
        <v/>
      </c>
      <c r="K222" s="37">
        <f>IFERROR(IF(AND(ISNUMBER('Semi Rev'!O79),ISNUMBER('Semi Rev'!K79),'Semi Rev'!K79&gt;0),'Semi Rev'!O79/'Semi Rev'!K79-1,""),"")</f>
        <v/>
      </c>
      <c r="L222" s="37">
        <f>IFERROR(IF(AND(ISNUMBER('Semi Rev'!P79),ISNUMBER('Semi Rev'!L79),'Semi Rev'!L79&gt;0),'Semi Rev'!P79/'Semi Rev'!L79-1,""),"")</f>
        <v/>
      </c>
      <c r="M222" s="38">
        <f>IFERROR(IF(AND(ISNUMBER('Semi Rev'!Q79),ISNUMBER('Semi Rev'!M79),'Semi Rev'!M79&gt;0),'Semi Rev'!Q79/'Semi Rev'!M79-1,""),"")</f>
        <v/>
      </c>
      <c r="N222" s="38">
        <f>IFERROR(IF(AND(ISNUMBER('Semi Rev'!R79),ISNUMBER('Semi Rev'!N79),'Semi Rev'!N79&gt;0),'Semi Rev'!R79/'Semi Rev'!N79-1,""),"")</f>
        <v/>
      </c>
    </row>
    <row r="223">
      <c r="A223" s="19">
        <f>'Semi Rev'!$A80</f>
        <v/>
      </c>
      <c r="B223" s="19">
        <f>'Semi Rev'!$B80</f>
        <v/>
      </c>
      <c r="C223" s="37">
        <f>IFERROR(IF(AND(ISNUMBER('Semi Rev'!G80),ISNUMBER('Semi Rev'!C80),'Semi Rev'!C80&gt;0),'Semi Rev'!G80/'Semi Rev'!C80-1,""),"")</f>
        <v/>
      </c>
      <c r="D223" s="37">
        <f>IFERROR(IF(AND(ISNUMBER('Semi Rev'!H80),ISNUMBER('Semi Rev'!D80),'Semi Rev'!D80&gt;0),'Semi Rev'!H80/'Semi Rev'!D80-1,""),"")</f>
        <v/>
      </c>
      <c r="E223" s="37">
        <f>IFERROR(IF(AND(ISNUMBER('Semi Rev'!I80),ISNUMBER('Semi Rev'!E80),'Semi Rev'!E80&gt;0),'Semi Rev'!I80/'Semi Rev'!E80-1,""),"")</f>
        <v/>
      </c>
      <c r="F223" s="37">
        <f>IFERROR(IF(AND(ISNUMBER('Semi Rev'!J80),ISNUMBER('Semi Rev'!F80),'Semi Rev'!F80&gt;0),'Semi Rev'!J80/'Semi Rev'!F80-1,""),"")</f>
        <v/>
      </c>
      <c r="G223" s="37">
        <f>IFERROR(IF(AND(ISNUMBER('Semi Rev'!K80),ISNUMBER('Semi Rev'!G80),'Semi Rev'!G80&gt;0),'Semi Rev'!K80/'Semi Rev'!G80-1,""),"")</f>
        <v/>
      </c>
      <c r="H223" s="37">
        <f>IFERROR(IF(AND(ISNUMBER('Semi Rev'!L80),ISNUMBER('Semi Rev'!H80),'Semi Rev'!H80&gt;0),'Semi Rev'!L80/'Semi Rev'!H80-1,""),"")</f>
        <v/>
      </c>
      <c r="I223" s="37">
        <f>IFERROR(IF(AND(ISNUMBER('Semi Rev'!M80),ISNUMBER('Semi Rev'!I80),'Semi Rev'!I80&gt;0),'Semi Rev'!M80/'Semi Rev'!I80-1,""),"")</f>
        <v/>
      </c>
      <c r="J223" s="37">
        <f>IFERROR(IF(AND(ISNUMBER('Semi Rev'!N80),ISNUMBER('Semi Rev'!J80),'Semi Rev'!J80&gt;0),'Semi Rev'!N80/'Semi Rev'!J80-1,""),"")</f>
        <v/>
      </c>
      <c r="K223" s="37">
        <f>IFERROR(IF(AND(ISNUMBER('Semi Rev'!O80),ISNUMBER('Semi Rev'!K80),'Semi Rev'!K80&gt;0),'Semi Rev'!O80/'Semi Rev'!K80-1,""),"")</f>
        <v/>
      </c>
      <c r="L223" s="37">
        <f>IFERROR(IF(AND(ISNUMBER('Semi Rev'!P80),ISNUMBER('Semi Rev'!L80),'Semi Rev'!L80&gt;0),'Semi Rev'!P80/'Semi Rev'!L80-1,""),"")</f>
        <v/>
      </c>
      <c r="M223" s="38">
        <f>IFERROR(IF(AND(ISNUMBER('Semi Rev'!Q80),ISNUMBER('Semi Rev'!M80),'Semi Rev'!M80&gt;0),'Semi Rev'!Q80/'Semi Rev'!M80-1,""),"")</f>
        <v/>
      </c>
      <c r="N223" s="38">
        <f>IFERROR(IF(AND(ISNUMBER('Semi Rev'!R80),ISNUMBER('Semi Rev'!N80),'Semi Rev'!N80&gt;0),'Semi Rev'!R80/'Semi Rev'!N80-1,""),"")</f>
        <v/>
      </c>
    </row>
    <row r="224">
      <c r="A224" s="19">
        <f>'Semi Rev'!$A81</f>
        <v/>
      </c>
      <c r="B224" s="19">
        <f>'Semi Rev'!$B81</f>
        <v/>
      </c>
      <c r="C224" s="37">
        <f>IFERROR(IF(AND(ISNUMBER('Semi Rev'!G81),ISNUMBER('Semi Rev'!C81),'Semi Rev'!C81&gt;0),'Semi Rev'!G81/'Semi Rev'!C81-1,""),"")</f>
        <v/>
      </c>
      <c r="D224" s="37">
        <f>IFERROR(IF(AND(ISNUMBER('Semi Rev'!H81),ISNUMBER('Semi Rev'!D81),'Semi Rev'!D81&gt;0),'Semi Rev'!H81/'Semi Rev'!D81-1,""),"")</f>
        <v/>
      </c>
      <c r="E224" s="37">
        <f>IFERROR(IF(AND(ISNUMBER('Semi Rev'!I81),ISNUMBER('Semi Rev'!E81),'Semi Rev'!E81&gt;0),'Semi Rev'!I81/'Semi Rev'!E81-1,""),"")</f>
        <v/>
      </c>
      <c r="F224" s="37">
        <f>IFERROR(IF(AND(ISNUMBER('Semi Rev'!J81),ISNUMBER('Semi Rev'!F81),'Semi Rev'!F81&gt;0),'Semi Rev'!J81/'Semi Rev'!F81-1,""),"")</f>
        <v/>
      </c>
      <c r="G224" s="37">
        <f>IFERROR(IF(AND(ISNUMBER('Semi Rev'!K81),ISNUMBER('Semi Rev'!G81),'Semi Rev'!G81&gt;0),'Semi Rev'!K81/'Semi Rev'!G81-1,""),"")</f>
        <v/>
      </c>
      <c r="H224" s="37">
        <f>IFERROR(IF(AND(ISNUMBER('Semi Rev'!L81),ISNUMBER('Semi Rev'!H81),'Semi Rev'!H81&gt;0),'Semi Rev'!L81/'Semi Rev'!H81-1,""),"")</f>
        <v/>
      </c>
      <c r="I224" s="37">
        <f>IFERROR(IF(AND(ISNUMBER('Semi Rev'!M81),ISNUMBER('Semi Rev'!I81),'Semi Rev'!I81&gt;0),'Semi Rev'!M81/'Semi Rev'!I81-1,""),"")</f>
        <v/>
      </c>
      <c r="J224" s="37">
        <f>IFERROR(IF(AND(ISNUMBER('Semi Rev'!N81),ISNUMBER('Semi Rev'!J81),'Semi Rev'!J81&gt;0),'Semi Rev'!N81/'Semi Rev'!J81-1,""),"")</f>
        <v/>
      </c>
      <c r="K224" s="37">
        <f>IFERROR(IF(AND(ISNUMBER('Semi Rev'!O81),ISNUMBER('Semi Rev'!K81),'Semi Rev'!K81&gt;0),'Semi Rev'!O81/'Semi Rev'!K81-1,""),"")</f>
        <v/>
      </c>
      <c r="L224" s="37">
        <f>IFERROR(IF(AND(ISNUMBER('Semi Rev'!P81),ISNUMBER('Semi Rev'!L81),'Semi Rev'!L81&gt;0),'Semi Rev'!P81/'Semi Rev'!L81-1,""),"")</f>
        <v/>
      </c>
      <c r="M224" s="38">
        <f>IFERROR(IF(AND(ISNUMBER('Semi Rev'!Q81),ISNUMBER('Semi Rev'!M81),'Semi Rev'!M81&gt;0),'Semi Rev'!Q81/'Semi Rev'!M81-1,""),"")</f>
        <v/>
      </c>
      <c r="N224" s="38">
        <f>IFERROR(IF(AND(ISNUMBER('Semi Rev'!R81),ISNUMBER('Semi Rev'!N81),'Semi Rev'!N81&gt;0),'Semi Rev'!R81/'Semi Rev'!N81-1,""),"")</f>
        <v/>
      </c>
    </row>
    <row r="225">
      <c r="A225" s="19">
        <f>'Semi Rev'!$A82</f>
        <v/>
      </c>
      <c r="B225" s="19">
        <f>'Semi Rev'!$B82</f>
        <v/>
      </c>
      <c r="C225" s="37">
        <f>IFERROR(IF(AND(ISNUMBER('Semi Rev'!G82),ISNUMBER('Semi Rev'!C82),'Semi Rev'!C82&gt;0),'Semi Rev'!G82/'Semi Rev'!C82-1,""),"")</f>
        <v/>
      </c>
      <c r="D225" s="37">
        <f>IFERROR(IF(AND(ISNUMBER('Semi Rev'!H82),ISNUMBER('Semi Rev'!D82),'Semi Rev'!D82&gt;0),'Semi Rev'!H82/'Semi Rev'!D82-1,""),"")</f>
        <v/>
      </c>
      <c r="E225" s="37">
        <f>IFERROR(IF(AND(ISNUMBER('Semi Rev'!I82),ISNUMBER('Semi Rev'!E82),'Semi Rev'!E82&gt;0),'Semi Rev'!I82/'Semi Rev'!E82-1,""),"")</f>
        <v/>
      </c>
      <c r="F225" s="37">
        <f>IFERROR(IF(AND(ISNUMBER('Semi Rev'!J82),ISNUMBER('Semi Rev'!F82),'Semi Rev'!F82&gt;0),'Semi Rev'!J82/'Semi Rev'!F82-1,""),"")</f>
        <v/>
      </c>
      <c r="G225" s="37">
        <f>IFERROR(IF(AND(ISNUMBER('Semi Rev'!K82),ISNUMBER('Semi Rev'!G82),'Semi Rev'!G82&gt;0),'Semi Rev'!K82/'Semi Rev'!G82-1,""),"")</f>
        <v/>
      </c>
      <c r="H225" s="37">
        <f>IFERROR(IF(AND(ISNUMBER('Semi Rev'!L82),ISNUMBER('Semi Rev'!H82),'Semi Rev'!H82&gt;0),'Semi Rev'!L82/'Semi Rev'!H82-1,""),"")</f>
        <v/>
      </c>
      <c r="I225" s="37">
        <f>IFERROR(IF(AND(ISNUMBER('Semi Rev'!M82),ISNUMBER('Semi Rev'!I82),'Semi Rev'!I82&gt;0),'Semi Rev'!M82/'Semi Rev'!I82-1,""),"")</f>
        <v/>
      </c>
      <c r="J225" s="37">
        <f>IFERROR(IF(AND(ISNUMBER('Semi Rev'!N82),ISNUMBER('Semi Rev'!J82),'Semi Rev'!J82&gt;0),'Semi Rev'!N82/'Semi Rev'!J82-1,""),"")</f>
        <v/>
      </c>
      <c r="K225" s="37">
        <f>IFERROR(IF(AND(ISNUMBER('Semi Rev'!O82),ISNUMBER('Semi Rev'!K82),'Semi Rev'!K82&gt;0),'Semi Rev'!O82/'Semi Rev'!K82-1,""),"")</f>
        <v/>
      </c>
      <c r="L225" s="37">
        <f>IFERROR(IF(AND(ISNUMBER('Semi Rev'!P82),ISNUMBER('Semi Rev'!L82),'Semi Rev'!L82&gt;0),'Semi Rev'!P82/'Semi Rev'!L82-1,""),"")</f>
        <v/>
      </c>
      <c r="M225" s="38">
        <f>IFERROR(IF(AND(ISNUMBER('Semi Rev'!Q82),ISNUMBER('Semi Rev'!M82),'Semi Rev'!M82&gt;0),'Semi Rev'!Q82/'Semi Rev'!M82-1,""),"")</f>
        <v/>
      </c>
      <c r="N225" s="38">
        <f>IFERROR(IF(AND(ISNUMBER('Semi Rev'!R82),ISNUMBER('Semi Rev'!N82),'Semi Rev'!N82&gt;0),'Semi Rev'!R82/'Semi Rev'!N82-1,""),"")</f>
        <v/>
      </c>
    </row>
    <row r="226">
      <c r="A226" s="19">
        <f>'Semi Rev'!$A83</f>
        <v/>
      </c>
      <c r="B226" s="19">
        <f>'Semi Rev'!$B83</f>
        <v/>
      </c>
      <c r="C226" s="37">
        <f>IFERROR(IF(AND(ISNUMBER('Semi Rev'!G83),ISNUMBER('Semi Rev'!C83),'Semi Rev'!C83&gt;0),'Semi Rev'!G83/'Semi Rev'!C83-1,""),"")</f>
        <v/>
      </c>
      <c r="D226" s="37">
        <f>IFERROR(IF(AND(ISNUMBER('Semi Rev'!H83),ISNUMBER('Semi Rev'!D83),'Semi Rev'!D83&gt;0),'Semi Rev'!H83/'Semi Rev'!D83-1,""),"")</f>
        <v/>
      </c>
      <c r="E226" s="37">
        <f>IFERROR(IF(AND(ISNUMBER('Semi Rev'!I83),ISNUMBER('Semi Rev'!E83),'Semi Rev'!E83&gt;0),'Semi Rev'!I83/'Semi Rev'!E83-1,""),"")</f>
        <v/>
      </c>
      <c r="F226" s="37">
        <f>IFERROR(IF(AND(ISNUMBER('Semi Rev'!J83),ISNUMBER('Semi Rev'!F83),'Semi Rev'!F83&gt;0),'Semi Rev'!J83/'Semi Rev'!F83-1,""),"")</f>
        <v/>
      </c>
      <c r="G226" s="37">
        <f>IFERROR(IF(AND(ISNUMBER('Semi Rev'!K83),ISNUMBER('Semi Rev'!G83),'Semi Rev'!G83&gt;0),'Semi Rev'!K83/'Semi Rev'!G83-1,""),"")</f>
        <v/>
      </c>
      <c r="H226" s="37">
        <f>IFERROR(IF(AND(ISNUMBER('Semi Rev'!L83),ISNUMBER('Semi Rev'!H83),'Semi Rev'!H83&gt;0),'Semi Rev'!L83/'Semi Rev'!H83-1,""),"")</f>
        <v/>
      </c>
      <c r="I226" s="37">
        <f>IFERROR(IF(AND(ISNUMBER('Semi Rev'!M83),ISNUMBER('Semi Rev'!I83),'Semi Rev'!I83&gt;0),'Semi Rev'!M83/'Semi Rev'!I83-1,""),"")</f>
        <v/>
      </c>
      <c r="J226" s="37">
        <f>IFERROR(IF(AND(ISNUMBER('Semi Rev'!N83),ISNUMBER('Semi Rev'!J83),'Semi Rev'!J83&gt;0),'Semi Rev'!N83/'Semi Rev'!J83-1,""),"")</f>
        <v/>
      </c>
      <c r="K226" s="37">
        <f>IFERROR(IF(AND(ISNUMBER('Semi Rev'!O83),ISNUMBER('Semi Rev'!K83),'Semi Rev'!K83&gt;0),'Semi Rev'!O83/'Semi Rev'!K83-1,""),"")</f>
        <v/>
      </c>
      <c r="L226" s="37">
        <f>IFERROR(IF(AND(ISNUMBER('Semi Rev'!P83),ISNUMBER('Semi Rev'!L83),'Semi Rev'!L83&gt;0),'Semi Rev'!P83/'Semi Rev'!L83-1,""),"")</f>
        <v/>
      </c>
      <c r="M226" s="38">
        <f>IFERROR(IF(AND(ISNUMBER('Semi Rev'!Q83),ISNUMBER('Semi Rev'!M83),'Semi Rev'!M83&gt;0),'Semi Rev'!Q83/'Semi Rev'!M83-1,""),"")</f>
        <v/>
      </c>
      <c r="N226" s="38">
        <f>IFERROR(IF(AND(ISNUMBER('Semi Rev'!R83),ISNUMBER('Semi Rev'!N83),'Semi Rev'!N83&gt;0),'Semi Rev'!R83/'Semi Rev'!N83-1,""),"")</f>
        <v/>
      </c>
    </row>
    <row r="227">
      <c r="A227" s="19">
        <f>'Semi Rev'!$A84</f>
        <v/>
      </c>
      <c r="B227" s="19">
        <f>'Semi Rev'!$B84</f>
        <v/>
      </c>
      <c r="C227" s="37">
        <f>IFERROR(IF(AND(ISNUMBER('Semi Rev'!G84),ISNUMBER('Semi Rev'!C84),'Semi Rev'!C84&gt;0),'Semi Rev'!G84/'Semi Rev'!C84-1,""),"")</f>
        <v/>
      </c>
      <c r="D227" s="37">
        <f>IFERROR(IF(AND(ISNUMBER('Semi Rev'!H84),ISNUMBER('Semi Rev'!D84),'Semi Rev'!D84&gt;0),'Semi Rev'!H84/'Semi Rev'!D84-1,""),"")</f>
        <v/>
      </c>
      <c r="E227" s="37">
        <f>IFERROR(IF(AND(ISNUMBER('Semi Rev'!I84),ISNUMBER('Semi Rev'!E84),'Semi Rev'!E84&gt;0),'Semi Rev'!I84/'Semi Rev'!E84-1,""),"")</f>
        <v/>
      </c>
      <c r="F227" s="37">
        <f>IFERROR(IF(AND(ISNUMBER('Semi Rev'!J84),ISNUMBER('Semi Rev'!F84),'Semi Rev'!F84&gt;0),'Semi Rev'!J84/'Semi Rev'!F84-1,""),"")</f>
        <v/>
      </c>
      <c r="G227" s="37">
        <f>IFERROR(IF(AND(ISNUMBER('Semi Rev'!K84),ISNUMBER('Semi Rev'!G84),'Semi Rev'!G84&gt;0),'Semi Rev'!K84/'Semi Rev'!G84-1,""),"")</f>
        <v/>
      </c>
      <c r="H227" s="37">
        <f>IFERROR(IF(AND(ISNUMBER('Semi Rev'!L84),ISNUMBER('Semi Rev'!H84),'Semi Rev'!H84&gt;0),'Semi Rev'!L84/'Semi Rev'!H84-1,""),"")</f>
        <v/>
      </c>
      <c r="I227" s="37">
        <f>IFERROR(IF(AND(ISNUMBER('Semi Rev'!M84),ISNUMBER('Semi Rev'!I84),'Semi Rev'!I84&gt;0),'Semi Rev'!M84/'Semi Rev'!I84-1,""),"")</f>
        <v/>
      </c>
      <c r="J227" s="37">
        <f>IFERROR(IF(AND(ISNUMBER('Semi Rev'!N84),ISNUMBER('Semi Rev'!J84),'Semi Rev'!J84&gt;0),'Semi Rev'!N84/'Semi Rev'!J84-1,""),"")</f>
        <v/>
      </c>
      <c r="K227" s="37">
        <f>IFERROR(IF(AND(ISNUMBER('Semi Rev'!O84),ISNUMBER('Semi Rev'!K84),'Semi Rev'!K84&gt;0),'Semi Rev'!O84/'Semi Rev'!K84-1,""),"")</f>
        <v/>
      </c>
      <c r="L227" s="37">
        <f>IFERROR(IF(AND(ISNUMBER('Semi Rev'!P84),ISNUMBER('Semi Rev'!L84),'Semi Rev'!L84&gt;0),'Semi Rev'!P84/'Semi Rev'!L84-1,""),"")</f>
        <v/>
      </c>
      <c r="M227" s="38">
        <f>IFERROR(IF(AND(ISNUMBER('Semi Rev'!Q84),ISNUMBER('Semi Rev'!M84),'Semi Rev'!M84&gt;0),'Semi Rev'!Q84/'Semi Rev'!M84-1,""),"")</f>
        <v/>
      </c>
      <c r="N227" s="38">
        <f>IFERROR(IF(AND(ISNUMBER('Semi Rev'!R84),ISNUMBER('Semi Rev'!N84),'Semi Rev'!N84&gt;0),'Semi Rev'!R84/'Semi Rev'!N84-1,""),"")</f>
        <v/>
      </c>
    </row>
    <row r="228">
      <c r="A228" s="19">
        <f>'Semi Rev'!$A85</f>
        <v/>
      </c>
      <c r="B228" s="19">
        <f>'Semi Rev'!$B85</f>
        <v/>
      </c>
      <c r="C228" s="37">
        <f>IFERROR(IF(AND(ISNUMBER('Semi Rev'!G85),ISNUMBER('Semi Rev'!C85),'Semi Rev'!C85&gt;0),'Semi Rev'!G85/'Semi Rev'!C85-1,""),"")</f>
        <v/>
      </c>
      <c r="D228" s="37">
        <f>IFERROR(IF(AND(ISNUMBER('Semi Rev'!H85),ISNUMBER('Semi Rev'!D85),'Semi Rev'!D85&gt;0),'Semi Rev'!H85/'Semi Rev'!D85-1,""),"")</f>
        <v/>
      </c>
      <c r="E228" s="37">
        <f>IFERROR(IF(AND(ISNUMBER('Semi Rev'!I85),ISNUMBER('Semi Rev'!E85),'Semi Rev'!E85&gt;0),'Semi Rev'!I85/'Semi Rev'!E85-1,""),"")</f>
        <v/>
      </c>
      <c r="F228" s="37">
        <f>IFERROR(IF(AND(ISNUMBER('Semi Rev'!J85),ISNUMBER('Semi Rev'!F85),'Semi Rev'!F85&gt;0),'Semi Rev'!J85/'Semi Rev'!F85-1,""),"")</f>
        <v/>
      </c>
      <c r="G228" s="37">
        <f>IFERROR(IF(AND(ISNUMBER('Semi Rev'!K85),ISNUMBER('Semi Rev'!G85),'Semi Rev'!G85&gt;0),'Semi Rev'!K85/'Semi Rev'!G85-1,""),"")</f>
        <v/>
      </c>
      <c r="H228" s="37">
        <f>IFERROR(IF(AND(ISNUMBER('Semi Rev'!L85),ISNUMBER('Semi Rev'!H85),'Semi Rev'!H85&gt;0),'Semi Rev'!L85/'Semi Rev'!H85-1,""),"")</f>
        <v/>
      </c>
      <c r="I228" s="37">
        <f>IFERROR(IF(AND(ISNUMBER('Semi Rev'!M85),ISNUMBER('Semi Rev'!I85),'Semi Rev'!I85&gt;0),'Semi Rev'!M85/'Semi Rev'!I85-1,""),"")</f>
        <v/>
      </c>
      <c r="J228" s="37">
        <f>IFERROR(IF(AND(ISNUMBER('Semi Rev'!N85),ISNUMBER('Semi Rev'!J85),'Semi Rev'!J85&gt;0),'Semi Rev'!N85/'Semi Rev'!J85-1,""),"")</f>
        <v/>
      </c>
      <c r="K228" s="37">
        <f>IFERROR(IF(AND(ISNUMBER('Semi Rev'!O85),ISNUMBER('Semi Rev'!K85),'Semi Rev'!K85&gt;0),'Semi Rev'!O85/'Semi Rev'!K85-1,""),"")</f>
        <v/>
      </c>
      <c r="L228" s="37">
        <f>IFERROR(IF(AND(ISNUMBER('Semi Rev'!P85),ISNUMBER('Semi Rev'!L85),'Semi Rev'!L85&gt;0),'Semi Rev'!P85/'Semi Rev'!L85-1,""),"")</f>
        <v/>
      </c>
      <c r="M228" s="38">
        <f>IFERROR(IF(AND(ISNUMBER('Semi Rev'!Q85),ISNUMBER('Semi Rev'!M85),'Semi Rev'!M85&gt;0),'Semi Rev'!Q85/'Semi Rev'!M85-1,""),"")</f>
        <v/>
      </c>
      <c r="N228" s="38">
        <f>IFERROR(IF(AND(ISNUMBER('Semi Rev'!R85),ISNUMBER('Semi Rev'!N85),'Semi Rev'!N85&gt;0),'Semi Rev'!R85/'Semi Rev'!N85-1,""),"")</f>
        <v/>
      </c>
    </row>
    <row r="229">
      <c r="A229" s="19">
        <f>'Semi Rev'!$A86</f>
        <v/>
      </c>
      <c r="B229" s="19">
        <f>'Semi Rev'!$B86</f>
        <v/>
      </c>
      <c r="C229" s="37">
        <f>IFERROR(IF(AND(ISNUMBER('Semi Rev'!G86),ISNUMBER('Semi Rev'!C86),'Semi Rev'!C86&gt;0),'Semi Rev'!G86/'Semi Rev'!C86-1,""),"")</f>
        <v/>
      </c>
      <c r="D229" s="37">
        <f>IFERROR(IF(AND(ISNUMBER('Semi Rev'!H86),ISNUMBER('Semi Rev'!D86),'Semi Rev'!D86&gt;0),'Semi Rev'!H86/'Semi Rev'!D86-1,""),"")</f>
        <v/>
      </c>
      <c r="E229" s="37">
        <f>IFERROR(IF(AND(ISNUMBER('Semi Rev'!I86),ISNUMBER('Semi Rev'!E86),'Semi Rev'!E86&gt;0),'Semi Rev'!I86/'Semi Rev'!E86-1,""),"")</f>
        <v/>
      </c>
      <c r="F229" s="37">
        <f>IFERROR(IF(AND(ISNUMBER('Semi Rev'!J86),ISNUMBER('Semi Rev'!F86),'Semi Rev'!F86&gt;0),'Semi Rev'!J86/'Semi Rev'!F86-1,""),"")</f>
        <v/>
      </c>
      <c r="G229" s="37">
        <f>IFERROR(IF(AND(ISNUMBER('Semi Rev'!K86),ISNUMBER('Semi Rev'!G86),'Semi Rev'!G86&gt;0),'Semi Rev'!K86/'Semi Rev'!G86-1,""),"")</f>
        <v/>
      </c>
      <c r="H229" s="37">
        <f>IFERROR(IF(AND(ISNUMBER('Semi Rev'!L86),ISNUMBER('Semi Rev'!H86),'Semi Rev'!H86&gt;0),'Semi Rev'!L86/'Semi Rev'!H86-1,""),"")</f>
        <v/>
      </c>
      <c r="I229" s="37">
        <f>IFERROR(IF(AND(ISNUMBER('Semi Rev'!M86),ISNUMBER('Semi Rev'!I86),'Semi Rev'!I86&gt;0),'Semi Rev'!M86/'Semi Rev'!I86-1,""),"")</f>
        <v/>
      </c>
      <c r="J229" s="37">
        <f>IFERROR(IF(AND(ISNUMBER('Semi Rev'!N86),ISNUMBER('Semi Rev'!J86),'Semi Rev'!J86&gt;0),'Semi Rev'!N86/'Semi Rev'!J86-1,""),"")</f>
        <v/>
      </c>
      <c r="K229" s="37">
        <f>IFERROR(IF(AND(ISNUMBER('Semi Rev'!O86),ISNUMBER('Semi Rev'!K86),'Semi Rev'!K86&gt;0),'Semi Rev'!O86/'Semi Rev'!K86-1,""),"")</f>
        <v/>
      </c>
      <c r="L229" s="37">
        <f>IFERROR(IF(AND(ISNUMBER('Semi Rev'!P86),ISNUMBER('Semi Rev'!L86),'Semi Rev'!L86&gt;0),'Semi Rev'!P86/'Semi Rev'!L86-1,""),"")</f>
        <v/>
      </c>
      <c r="M229" s="38">
        <f>IFERROR(IF(AND(ISNUMBER('Semi Rev'!Q86),ISNUMBER('Semi Rev'!M86),'Semi Rev'!M86&gt;0),'Semi Rev'!Q86/'Semi Rev'!M86-1,""),"")</f>
        <v/>
      </c>
      <c r="N229" s="38">
        <f>IFERROR(IF(AND(ISNUMBER('Semi Rev'!R86),ISNUMBER('Semi Rev'!N86),'Semi Rev'!N86&gt;0),'Semi Rev'!R86/'Semi Rev'!N86-1,""),"")</f>
        <v/>
      </c>
    </row>
    <row r="230">
      <c r="A230" s="19">
        <f>'Semi Rev'!$A87</f>
        <v/>
      </c>
      <c r="B230" s="19">
        <f>'Semi Rev'!$B87</f>
        <v/>
      </c>
      <c r="C230" s="37">
        <f>IFERROR(IF(AND(ISNUMBER('Semi Rev'!G87),ISNUMBER('Semi Rev'!C87),'Semi Rev'!C87&gt;0),'Semi Rev'!G87/'Semi Rev'!C87-1,""),"")</f>
        <v/>
      </c>
      <c r="D230" s="37">
        <f>IFERROR(IF(AND(ISNUMBER('Semi Rev'!H87),ISNUMBER('Semi Rev'!D87),'Semi Rev'!D87&gt;0),'Semi Rev'!H87/'Semi Rev'!D87-1,""),"")</f>
        <v/>
      </c>
      <c r="E230" s="37">
        <f>IFERROR(IF(AND(ISNUMBER('Semi Rev'!I87),ISNUMBER('Semi Rev'!E87),'Semi Rev'!E87&gt;0),'Semi Rev'!I87/'Semi Rev'!E87-1,""),"")</f>
        <v/>
      </c>
      <c r="F230" s="37">
        <f>IFERROR(IF(AND(ISNUMBER('Semi Rev'!J87),ISNUMBER('Semi Rev'!F87),'Semi Rev'!F87&gt;0),'Semi Rev'!J87/'Semi Rev'!F87-1,""),"")</f>
        <v/>
      </c>
      <c r="G230" s="37">
        <f>IFERROR(IF(AND(ISNUMBER('Semi Rev'!K87),ISNUMBER('Semi Rev'!G87),'Semi Rev'!G87&gt;0),'Semi Rev'!K87/'Semi Rev'!G87-1,""),"")</f>
        <v/>
      </c>
      <c r="H230" s="37">
        <f>IFERROR(IF(AND(ISNUMBER('Semi Rev'!L87),ISNUMBER('Semi Rev'!H87),'Semi Rev'!H87&gt;0),'Semi Rev'!L87/'Semi Rev'!H87-1,""),"")</f>
        <v/>
      </c>
      <c r="I230" s="37">
        <f>IFERROR(IF(AND(ISNUMBER('Semi Rev'!M87),ISNUMBER('Semi Rev'!I87),'Semi Rev'!I87&gt;0),'Semi Rev'!M87/'Semi Rev'!I87-1,""),"")</f>
        <v/>
      </c>
      <c r="J230" s="37">
        <f>IFERROR(IF(AND(ISNUMBER('Semi Rev'!N87),ISNUMBER('Semi Rev'!J87),'Semi Rev'!J87&gt;0),'Semi Rev'!N87/'Semi Rev'!J87-1,""),"")</f>
        <v/>
      </c>
      <c r="K230" s="37">
        <f>IFERROR(IF(AND(ISNUMBER('Semi Rev'!O87),ISNUMBER('Semi Rev'!K87),'Semi Rev'!K87&gt;0),'Semi Rev'!O87/'Semi Rev'!K87-1,""),"")</f>
        <v/>
      </c>
      <c r="L230" s="37">
        <f>IFERROR(IF(AND(ISNUMBER('Semi Rev'!P87),ISNUMBER('Semi Rev'!L87),'Semi Rev'!L87&gt;0),'Semi Rev'!P87/'Semi Rev'!L87-1,""),"")</f>
        <v/>
      </c>
      <c r="M230" s="38">
        <f>IFERROR(IF(AND(ISNUMBER('Semi Rev'!Q87),ISNUMBER('Semi Rev'!M87),'Semi Rev'!M87&gt;0),'Semi Rev'!Q87/'Semi Rev'!M87-1,""),"")</f>
        <v/>
      </c>
      <c r="N230" s="38">
        <f>IFERROR(IF(AND(ISNUMBER('Semi Rev'!R87),ISNUMBER('Semi Rev'!N87),'Semi Rev'!N87&gt;0),'Semi Rev'!R87/'Semi Rev'!N87-1,""),"")</f>
        <v/>
      </c>
    </row>
    <row r="231">
      <c r="A231" s="19">
        <f>'Semi Rev'!$A88</f>
        <v/>
      </c>
      <c r="B231" s="19">
        <f>'Semi Rev'!$B88</f>
        <v/>
      </c>
      <c r="C231" s="37">
        <f>IFERROR(IF(AND(ISNUMBER('Semi Rev'!G88),ISNUMBER('Semi Rev'!C88),'Semi Rev'!C88&gt;0),'Semi Rev'!G88/'Semi Rev'!C88-1,""),"")</f>
        <v/>
      </c>
      <c r="D231" s="37">
        <f>IFERROR(IF(AND(ISNUMBER('Semi Rev'!H88),ISNUMBER('Semi Rev'!D88),'Semi Rev'!D88&gt;0),'Semi Rev'!H88/'Semi Rev'!D88-1,""),"")</f>
        <v/>
      </c>
      <c r="E231" s="37">
        <f>IFERROR(IF(AND(ISNUMBER('Semi Rev'!I88),ISNUMBER('Semi Rev'!E88),'Semi Rev'!E88&gt;0),'Semi Rev'!I88/'Semi Rev'!E88-1,""),"")</f>
        <v/>
      </c>
      <c r="F231" s="37">
        <f>IFERROR(IF(AND(ISNUMBER('Semi Rev'!J88),ISNUMBER('Semi Rev'!F88),'Semi Rev'!F88&gt;0),'Semi Rev'!J88/'Semi Rev'!F88-1,""),"")</f>
        <v/>
      </c>
      <c r="G231" s="37">
        <f>IFERROR(IF(AND(ISNUMBER('Semi Rev'!K88),ISNUMBER('Semi Rev'!G88),'Semi Rev'!G88&gt;0),'Semi Rev'!K88/'Semi Rev'!G88-1,""),"")</f>
        <v/>
      </c>
      <c r="H231" s="37">
        <f>IFERROR(IF(AND(ISNUMBER('Semi Rev'!L88),ISNUMBER('Semi Rev'!H88),'Semi Rev'!H88&gt;0),'Semi Rev'!L88/'Semi Rev'!H88-1,""),"")</f>
        <v/>
      </c>
      <c r="I231" s="37">
        <f>IFERROR(IF(AND(ISNUMBER('Semi Rev'!M88),ISNUMBER('Semi Rev'!I88),'Semi Rev'!I88&gt;0),'Semi Rev'!M88/'Semi Rev'!I88-1,""),"")</f>
        <v/>
      </c>
      <c r="J231" s="37">
        <f>IFERROR(IF(AND(ISNUMBER('Semi Rev'!N88),ISNUMBER('Semi Rev'!J88),'Semi Rev'!J88&gt;0),'Semi Rev'!N88/'Semi Rev'!J88-1,""),"")</f>
        <v/>
      </c>
      <c r="K231" s="37">
        <f>IFERROR(IF(AND(ISNUMBER('Semi Rev'!O88),ISNUMBER('Semi Rev'!K88),'Semi Rev'!K88&gt;0),'Semi Rev'!O88/'Semi Rev'!K88-1,""),"")</f>
        <v/>
      </c>
      <c r="L231" s="37">
        <f>IFERROR(IF(AND(ISNUMBER('Semi Rev'!P88),ISNUMBER('Semi Rev'!L88),'Semi Rev'!L88&gt;0),'Semi Rev'!P88/'Semi Rev'!L88-1,""),"")</f>
        <v/>
      </c>
      <c r="M231" s="38">
        <f>IFERROR(IF(AND(ISNUMBER('Semi Rev'!Q88),ISNUMBER('Semi Rev'!M88),'Semi Rev'!M88&gt;0),'Semi Rev'!Q88/'Semi Rev'!M88-1,""),"")</f>
        <v/>
      </c>
      <c r="N231" s="38">
        <f>IFERROR(IF(AND(ISNUMBER('Semi Rev'!R88),ISNUMBER('Semi Rev'!N88),'Semi Rev'!N88&gt;0),'Semi Rev'!R88/'Semi Rev'!N88-1,""),"")</f>
        <v/>
      </c>
    </row>
    <row r="232">
      <c r="A232" s="19">
        <f>'Semi Rev'!$A89</f>
        <v/>
      </c>
      <c r="B232" s="19">
        <f>'Semi Rev'!$B89</f>
        <v/>
      </c>
      <c r="C232" s="37">
        <f>IFERROR(IF(AND(ISNUMBER('Semi Rev'!G89),ISNUMBER('Semi Rev'!C89),'Semi Rev'!C89&gt;0),'Semi Rev'!G89/'Semi Rev'!C89-1,""),"")</f>
        <v/>
      </c>
      <c r="D232" s="37">
        <f>IFERROR(IF(AND(ISNUMBER('Semi Rev'!H89),ISNUMBER('Semi Rev'!D89),'Semi Rev'!D89&gt;0),'Semi Rev'!H89/'Semi Rev'!D89-1,""),"")</f>
        <v/>
      </c>
      <c r="E232" s="37">
        <f>IFERROR(IF(AND(ISNUMBER('Semi Rev'!I89),ISNUMBER('Semi Rev'!E89),'Semi Rev'!E89&gt;0),'Semi Rev'!I89/'Semi Rev'!E89-1,""),"")</f>
        <v/>
      </c>
      <c r="F232" s="37">
        <f>IFERROR(IF(AND(ISNUMBER('Semi Rev'!J89),ISNUMBER('Semi Rev'!F89),'Semi Rev'!F89&gt;0),'Semi Rev'!J89/'Semi Rev'!F89-1,""),"")</f>
        <v/>
      </c>
      <c r="G232" s="37">
        <f>IFERROR(IF(AND(ISNUMBER('Semi Rev'!K89),ISNUMBER('Semi Rev'!G89),'Semi Rev'!G89&gt;0),'Semi Rev'!K89/'Semi Rev'!G89-1,""),"")</f>
        <v/>
      </c>
      <c r="H232" s="37">
        <f>IFERROR(IF(AND(ISNUMBER('Semi Rev'!L89),ISNUMBER('Semi Rev'!H89),'Semi Rev'!H89&gt;0),'Semi Rev'!L89/'Semi Rev'!H89-1,""),"")</f>
        <v/>
      </c>
      <c r="I232" s="37">
        <f>IFERROR(IF(AND(ISNUMBER('Semi Rev'!M89),ISNUMBER('Semi Rev'!I89),'Semi Rev'!I89&gt;0),'Semi Rev'!M89/'Semi Rev'!I89-1,""),"")</f>
        <v/>
      </c>
      <c r="J232" s="37">
        <f>IFERROR(IF(AND(ISNUMBER('Semi Rev'!N89),ISNUMBER('Semi Rev'!J89),'Semi Rev'!J89&gt;0),'Semi Rev'!N89/'Semi Rev'!J89-1,""),"")</f>
        <v/>
      </c>
      <c r="K232" s="37">
        <f>IFERROR(IF(AND(ISNUMBER('Semi Rev'!O89),ISNUMBER('Semi Rev'!K89),'Semi Rev'!K89&gt;0),'Semi Rev'!O89/'Semi Rev'!K89-1,""),"")</f>
        <v/>
      </c>
      <c r="L232" s="37">
        <f>IFERROR(IF(AND(ISNUMBER('Semi Rev'!P89),ISNUMBER('Semi Rev'!L89),'Semi Rev'!L89&gt;0),'Semi Rev'!P89/'Semi Rev'!L89-1,""),"")</f>
        <v/>
      </c>
      <c r="M232" s="38">
        <f>IFERROR(IF(AND(ISNUMBER('Semi Rev'!Q89),ISNUMBER('Semi Rev'!M89),'Semi Rev'!M89&gt;0),'Semi Rev'!Q89/'Semi Rev'!M89-1,""),"")</f>
        <v/>
      </c>
      <c r="N232" s="38">
        <f>IFERROR(IF(AND(ISNUMBER('Semi Rev'!R89),ISNUMBER('Semi Rev'!N89),'Semi Rev'!N89&gt;0),'Semi Rev'!R89/'Semi Rev'!N89-1,""),"")</f>
        <v/>
      </c>
    </row>
    <row r="233">
      <c r="A233" s="19">
        <f>'Semi Rev'!$A90</f>
        <v/>
      </c>
      <c r="B233" s="19">
        <f>'Semi Rev'!$B90</f>
        <v/>
      </c>
      <c r="C233" s="37">
        <f>IFERROR(IF(AND(ISNUMBER('Semi Rev'!G90),ISNUMBER('Semi Rev'!C90),'Semi Rev'!C90&gt;0),'Semi Rev'!G90/'Semi Rev'!C90-1,""),"")</f>
        <v/>
      </c>
      <c r="D233" s="37">
        <f>IFERROR(IF(AND(ISNUMBER('Semi Rev'!H90),ISNUMBER('Semi Rev'!D90),'Semi Rev'!D90&gt;0),'Semi Rev'!H90/'Semi Rev'!D90-1,""),"")</f>
        <v/>
      </c>
      <c r="E233" s="37">
        <f>IFERROR(IF(AND(ISNUMBER('Semi Rev'!I90),ISNUMBER('Semi Rev'!E90),'Semi Rev'!E90&gt;0),'Semi Rev'!I90/'Semi Rev'!E90-1,""),"")</f>
        <v/>
      </c>
      <c r="F233" s="37">
        <f>IFERROR(IF(AND(ISNUMBER('Semi Rev'!J90),ISNUMBER('Semi Rev'!F90),'Semi Rev'!F90&gt;0),'Semi Rev'!J90/'Semi Rev'!F90-1,""),"")</f>
        <v/>
      </c>
      <c r="G233" s="37">
        <f>IFERROR(IF(AND(ISNUMBER('Semi Rev'!K90),ISNUMBER('Semi Rev'!G90),'Semi Rev'!G90&gt;0),'Semi Rev'!K90/'Semi Rev'!G90-1,""),"")</f>
        <v/>
      </c>
      <c r="H233" s="37">
        <f>IFERROR(IF(AND(ISNUMBER('Semi Rev'!L90),ISNUMBER('Semi Rev'!H90),'Semi Rev'!H90&gt;0),'Semi Rev'!L90/'Semi Rev'!H90-1,""),"")</f>
        <v/>
      </c>
      <c r="I233" s="37">
        <f>IFERROR(IF(AND(ISNUMBER('Semi Rev'!M90),ISNUMBER('Semi Rev'!I90),'Semi Rev'!I90&gt;0),'Semi Rev'!M90/'Semi Rev'!I90-1,""),"")</f>
        <v/>
      </c>
      <c r="J233" s="37">
        <f>IFERROR(IF(AND(ISNUMBER('Semi Rev'!N90),ISNUMBER('Semi Rev'!J90),'Semi Rev'!J90&gt;0),'Semi Rev'!N90/'Semi Rev'!J90-1,""),"")</f>
        <v/>
      </c>
      <c r="K233" s="37">
        <f>IFERROR(IF(AND(ISNUMBER('Semi Rev'!O90),ISNUMBER('Semi Rev'!K90),'Semi Rev'!K90&gt;0),'Semi Rev'!O90/'Semi Rev'!K90-1,""),"")</f>
        <v/>
      </c>
      <c r="L233" s="37">
        <f>IFERROR(IF(AND(ISNUMBER('Semi Rev'!P90),ISNUMBER('Semi Rev'!L90),'Semi Rev'!L90&gt;0),'Semi Rev'!P90/'Semi Rev'!L90-1,""),"")</f>
        <v/>
      </c>
      <c r="M233" s="38">
        <f>IFERROR(IF(AND(ISNUMBER('Semi Rev'!Q90),ISNUMBER('Semi Rev'!M90),'Semi Rev'!M90&gt;0),'Semi Rev'!Q90/'Semi Rev'!M90-1,""),"")</f>
        <v/>
      </c>
      <c r="N233" s="38">
        <f>IFERROR(IF(AND(ISNUMBER('Semi Rev'!R90),ISNUMBER('Semi Rev'!N90),'Semi Rev'!N90&gt;0),'Semi Rev'!R90/'Semi Rev'!N90-1,""),"")</f>
        <v/>
      </c>
    </row>
    <row r="234">
      <c r="A234" s="19">
        <f>'Semi Rev'!$A91</f>
        <v/>
      </c>
      <c r="B234" s="19">
        <f>'Semi Rev'!$B91</f>
        <v/>
      </c>
      <c r="C234" s="37">
        <f>IFERROR(IF(AND(ISNUMBER('Semi Rev'!G91),ISNUMBER('Semi Rev'!C91),'Semi Rev'!C91&gt;0),'Semi Rev'!G91/'Semi Rev'!C91-1,""),"")</f>
        <v/>
      </c>
      <c r="D234" s="37">
        <f>IFERROR(IF(AND(ISNUMBER('Semi Rev'!H91),ISNUMBER('Semi Rev'!D91),'Semi Rev'!D91&gt;0),'Semi Rev'!H91/'Semi Rev'!D91-1,""),"")</f>
        <v/>
      </c>
      <c r="E234" s="37">
        <f>IFERROR(IF(AND(ISNUMBER('Semi Rev'!I91),ISNUMBER('Semi Rev'!E91),'Semi Rev'!E91&gt;0),'Semi Rev'!I91/'Semi Rev'!E91-1,""),"")</f>
        <v/>
      </c>
      <c r="F234" s="37">
        <f>IFERROR(IF(AND(ISNUMBER('Semi Rev'!J91),ISNUMBER('Semi Rev'!F91),'Semi Rev'!F91&gt;0),'Semi Rev'!J91/'Semi Rev'!F91-1,""),"")</f>
        <v/>
      </c>
      <c r="G234" s="37">
        <f>IFERROR(IF(AND(ISNUMBER('Semi Rev'!K91),ISNUMBER('Semi Rev'!G91),'Semi Rev'!G91&gt;0),'Semi Rev'!K91/'Semi Rev'!G91-1,""),"")</f>
        <v/>
      </c>
      <c r="H234" s="37">
        <f>IFERROR(IF(AND(ISNUMBER('Semi Rev'!L91),ISNUMBER('Semi Rev'!H91),'Semi Rev'!H91&gt;0),'Semi Rev'!L91/'Semi Rev'!H91-1,""),"")</f>
        <v/>
      </c>
      <c r="I234" s="37">
        <f>IFERROR(IF(AND(ISNUMBER('Semi Rev'!M91),ISNUMBER('Semi Rev'!I91),'Semi Rev'!I91&gt;0),'Semi Rev'!M91/'Semi Rev'!I91-1,""),"")</f>
        <v/>
      </c>
      <c r="J234" s="37">
        <f>IFERROR(IF(AND(ISNUMBER('Semi Rev'!N91),ISNUMBER('Semi Rev'!J91),'Semi Rev'!J91&gt;0),'Semi Rev'!N91/'Semi Rev'!J91-1,""),"")</f>
        <v/>
      </c>
      <c r="K234" s="37">
        <f>IFERROR(IF(AND(ISNUMBER('Semi Rev'!O91),ISNUMBER('Semi Rev'!K91),'Semi Rev'!K91&gt;0),'Semi Rev'!O91/'Semi Rev'!K91-1,""),"")</f>
        <v/>
      </c>
      <c r="L234" s="37">
        <f>IFERROR(IF(AND(ISNUMBER('Semi Rev'!P91),ISNUMBER('Semi Rev'!L91),'Semi Rev'!L91&gt;0),'Semi Rev'!P91/'Semi Rev'!L91-1,""),"")</f>
        <v/>
      </c>
      <c r="M234" s="38">
        <f>IFERROR(IF(AND(ISNUMBER('Semi Rev'!Q91),ISNUMBER('Semi Rev'!M91),'Semi Rev'!M91&gt;0),'Semi Rev'!Q91/'Semi Rev'!M91-1,""),"")</f>
        <v/>
      </c>
      <c r="N234" s="38">
        <f>IFERROR(IF(AND(ISNUMBER('Semi Rev'!R91),ISNUMBER('Semi Rev'!N91),'Semi Rev'!N91&gt;0),'Semi Rev'!R91/'Semi Rev'!N91-1,""),"")</f>
        <v/>
      </c>
    </row>
    <row r="235">
      <c r="A235" s="19">
        <f>'Semi Rev'!$A92</f>
        <v/>
      </c>
      <c r="B235" s="19">
        <f>'Semi Rev'!$B92</f>
        <v/>
      </c>
      <c r="C235" s="37">
        <f>IFERROR(IF(AND(ISNUMBER('Semi Rev'!G92),ISNUMBER('Semi Rev'!C92),'Semi Rev'!C92&gt;0),'Semi Rev'!G92/'Semi Rev'!C92-1,""),"")</f>
        <v/>
      </c>
      <c r="D235" s="37">
        <f>IFERROR(IF(AND(ISNUMBER('Semi Rev'!H92),ISNUMBER('Semi Rev'!D92),'Semi Rev'!D92&gt;0),'Semi Rev'!H92/'Semi Rev'!D92-1,""),"")</f>
        <v/>
      </c>
      <c r="E235" s="37">
        <f>IFERROR(IF(AND(ISNUMBER('Semi Rev'!I92),ISNUMBER('Semi Rev'!E92),'Semi Rev'!E92&gt;0),'Semi Rev'!I92/'Semi Rev'!E92-1,""),"")</f>
        <v/>
      </c>
      <c r="F235" s="37">
        <f>IFERROR(IF(AND(ISNUMBER('Semi Rev'!J92),ISNUMBER('Semi Rev'!F92),'Semi Rev'!F92&gt;0),'Semi Rev'!J92/'Semi Rev'!F92-1,""),"")</f>
        <v/>
      </c>
      <c r="G235" s="37">
        <f>IFERROR(IF(AND(ISNUMBER('Semi Rev'!K92),ISNUMBER('Semi Rev'!G92),'Semi Rev'!G92&gt;0),'Semi Rev'!K92/'Semi Rev'!G92-1,""),"")</f>
        <v/>
      </c>
      <c r="H235" s="37">
        <f>IFERROR(IF(AND(ISNUMBER('Semi Rev'!L92),ISNUMBER('Semi Rev'!H92),'Semi Rev'!H92&gt;0),'Semi Rev'!L92/'Semi Rev'!H92-1,""),"")</f>
        <v/>
      </c>
      <c r="I235" s="37">
        <f>IFERROR(IF(AND(ISNUMBER('Semi Rev'!M92),ISNUMBER('Semi Rev'!I92),'Semi Rev'!I92&gt;0),'Semi Rev'!M92/'Semi Rev'!I92-1,""),"")</f>
        <v/>
      </c>
      <c r="J235" s="37">
        <f>IFERROR(IF(AND(ISNUMBER('Semi Rev'!N92),ISNUMBER('Semi Rev'!J92),'Semi Rev'!J92&gt;0),'Semi Rev'!N92/'Semi Rev'!J92-1,""),"")</f>
        <v/>
      </c>
      <c r="K235" s="37">
        <f>IFERROR(IF(AND(ISNUMBER('Semi Rev'!O92),ISNUMBER('Semi Rev'!K92),'Semi Rev'!K92&gt;0),'Semi Rev'!O92/'Semi Rev'!K92-1,""),"")</f>
        <v/>
      </c>
      <c r="L235" s="37">
        <f>IFERROR(IF(AND(ISNUMBER('Semi Rev'!P92),ISNUMBER('Semi Rev'!L92),'Semi Rev'!L92&gt;0),'Semi Rev'!P92/'Semi Rev'!L92-1,""),"")</f>
        <v/>
      </c>
      <c r="M235" s="38">
        <f>IFERROR(IF(AND(ISNUMBER('Semi Rev'!Q92),ISNUMBER('Semi Rev'!M92),'Semi Rev'!M92&gt;0),'Semi Rev'!Q92/'Semi Rev'!M92-1,""),"")</f>
        <v/>
      </c>
      <c r="N235" s="38">
        <f>IFERROR(IF(AND(ISNUMBER('Semi Rev'!R92),ISNUMBER('Semi Rev'!N92),'Semi Rev'!N92&gt;0),'Semi Rev'!R92/'Semi Rev'!N92-1,""),"")</f>
        <v/>
      </c>
    </row>
    <row r="236">
      <c r="A236" s="19">
        <f>'Semi Rev'!$A93</f>
        <v/>
      </c>
      <c r="B236" s="19">
        <f>'Semi Rev'!$B93</f>
        <v/>
      </c>
      <c r="C236" s="37">
        <f>IFERROR(IF(AND(ISNUMBER('Semi Rev'!G93),ISNUMBER('Semi Rev'!C93),'Semi Rev'!C93&gt;0),'Semi Rev'!G93/'Semi Rev'!C93-1,""),"")</f>
        <v/>
      </c>
      <c r="D236" s="37">
        <f>IFERROR(IF(AND(ISNUMBER('Semi Rev'!H93),ISNUMBER('Semi Rev'!D93),'Semi Rev'!D93&gt;0),'Semi Rev'!H93/'Semi Rev'!D93-1,""),"")</f>
        <v/>
      </c>
      <c r="E236" s="37">
        <f>IFERROR(IF(AND(ISNUMBER('Semi Rev'!I93),ISNUMBER('Semi Rev'!E93),'Semi Rev'!E93&gt;0),'Semi Rev'!I93/'Semi Rev'!E93-1,""),"")</f>
        <v/>
      </c>
      <c r="F236" s="37">
        <f>IFERROR(IF(AND(ISNUMBER('Semi Rev'!J93),ISNUMBER('Semi Rev'!F93),'Semi Rev'!F93&gt;0),'Semi Rev'!J93/'Semi Rev'!F93-1,""),"")</f>
        <v/>
      </c>
      <c r="G236" s="37">
        <f>IFERROR(IF(AND(ISNUMBER('Semi Rev'!K93),ISNUMBER('Semi Rev'!G93),'Semi Rev'!G93&gt;0),'Semi Rev'!K93/'Semi Rev'!G93-1,""),"")</f>
        <v/>
      </c>
      <c r="H236" s="37">
        <f>IFERROR(IF(AND(ISNUMBER('Semi Rev'!L93),ISNUMBER('Semi Rev'!H93),'Semi Rev'!H93&gt;0),'Semi Rev'!L93/'Semi Rev'!H93-1,""),"")</f>
        <v/>
      </c>
      <c r="I236" s="37">
        <f>IFERROR(IF(AND(ISNUMBER('Semi Rev'!M93),ISNUMBER('Semi Rev'!I93),'Semi Rev'!I93&gt;0),'Semi Rev'!M93/'Semi Rev'!I93-1,""),"")</f>
        <v/>
      </c>
      <c r="J236" s="37">
        <f>IFERROR(IF(AND(ISNUMBER('Semi Rev'!N93),ISNUMBER('Semi Rev'!J93),'Semi Rev'!J93&gt;0),'Semi Rev'!N93/'Semi Rev'!J93-1,""),"")</f>
        <v/>
      </c>
      <c r="K236" s="37">
        <f>IFERROR(IF(AND(ISNUMBER('Semi Rev'!O93),ISNUMBER('Semi Rev'!K93),'Semi Rev'!K93&gt;0),'Semi Rev'!O93/'Semi Rev'!K93-1,""),"")</f>
        <v/>
      </c>
      <c r="L236" s="37">
        <f>IFERROR(IF(AND(ISNUMBER('Semi Rev'!P93),ISNUMBER('Semi Rev'!L93),'Semi Rev'!L93&gt;0),'Semi Rev'!P93/'Semi Rev'!L93-1,""),"")</f>
        <v/>
      </c>
      <c r="M236" s="38">
        <f>IFERROR(IF(AND(ISNUMBER('Semi Rev'!Q93),ISNUMBER('Semi Rev'!M93),'Semi Rev'!M93&gt;0),'Semi Rev'!Q93/'Semi Rev'!M93-1,""),"")</f>
        <v/>
      </c>
      <c r="N236" s="38">
        <f>IFERROR(IF(AND(ISNUMBER('Semi Rev'!R93),ISNUMBER('Semi Rev'!N93),'Semi Rev'!N93&gt;0),'Semi Rev'!R93/'Semi Rev'!N93-1,""),"")</f>
        <v/>
      </c>
    </row>
    <row r="237">
      <c r="A237" s="19">
        <f>'Semi Rev'!$A94</f>
        <v/>
      </c>
      <c r="B237" s="19">
        <f>'Semi Rev'!$B94</f>
        <v/>
      </c>
      <c r="C237" s="37">
        <f>IFERROR(IF(AND(ISNUMBER('Semi Rev'!G94),ISNUMBER('Semi Rev'!C94),'Semi Rev'!C94&gt;0),'Semi Rev'!G94/'Semi Rev'!C94-1,""),"")</f>
        <v/>
      </c>
      <c r="D237" s="37">
        <f>IFERROR(IF(AND(ISNUMBER('Semi Rev'!H94),ISNUMBER('Semi Rev'!D94),'Semi Rev'!D94&gt;0),'Semi Rev'!H94/'Semi Rev'!D94-1,""),"")</f>
        <v/>
      </c>
      <c r="E237" s="37">
        <f>IFERROR(IF(AND(ISNUMBER('Semi Rev'!I94),ISNUMBER('Semi Rev'!E94),'Semi Rev'!E94&gt;0),'Semi Rev'!I94/'Semi Rev'!E94-1,""),"")</f>
        <v/>
      </c>
      <c r="F237" s="37">
        <f>IFERROR(IF(AND(ISNUMBER('Semi Rev'!J94),ISNUMBER('Semi Rev'!F94),'Semi Rev'!F94&gt;0),'Semi Rev'!J94/'Semi Rev'!F94-1,""),"")</f>
        <v/>
      </c>
      <c r="G237" s="37">
        <f>IFERROR(IF(AND(ISNUMBER('Semi Rev'!K94),ISNUMBER('Semi Rev'!G94),'Semi Rev'!G94&gt;0),'Semi Rev'!K94/'Semi Rev'!G94-1,""),"")</f>
        <v/>
      </c>
      <c r="H237" s="37">
        <f>IFERROR(IF(AND(ISNUMBER('Semi Rev'!L94),ISNUMBER('Semi Rev'!H94),'Semi Rev'!H94&gt;0),'Semi Rev'!L94/'Semi Rev'!H94-1,""),"")</f>
        <v/>
      </c>
      <c r="I237" s="37">
        <f>IFERROR(IF(AND(ISNUMBER('Semi Rev'!M94),ISNUMBER('Semi Rev'!I94),'Semi Rev'!I94&gt;0),'Semi Rev'!M94/'Semi Rev'!I94-1,""),"")</f>
        <v/>
      </c>
      <c r="J237" s="37">
        <f>IFERROR(IF(AND(ISNUMBER('Semi Rev'!N94),ISNUMBER('Semi Rev'!J94),'Semi Rev'!J94&gt;0),'Semi Rev'!N94/'Semi Rev'!J94-1,""),"")</f>
        <v/>
      </c>
      <c r="K237" s="37">
        <f>IFERROR(IF(AND(ISNUMBER('Semi Rev'!O94),ISNUMBER('Semi Rev'!K94),'Semi Rev'!K94&gt;0),'Semi Rev'!O94/'Semi Rev'!K94-1,""),"")</f>
        <v/>
      </c>
      <c r="L237" s="37">
        <f>IFERROR(IF(AND(ISNUMBER('Semi Rev'!P94),ISNUMBER('Semi Rev'!L94),'Semi Rev'!L94&gt;0),'Semi Rev'!P94/'Semi Rev'!L94-1,""),"")</f>
        <v/>
      </c>
      <c r="M237" s="38">
        <f>IFERROR(IF(AND(ISNUMBER('Semi Rev'!Q94),ISNUMBER('Semi Rev'!M94),'Semi Rev'!M94&gt;0),'Semi Rev'!Q94/'Semi Rev'!M94-1,""),"")</f>
        <v/>
      </c>
      <c r="N237" s="38">
        <f>IFERROR(IF(AND(ISNUMBER('Semi Rev'!R94),ISNUMBER('Semi Rev'!N94),'Semi Rev'!N94&gt;0),'Semi Rev'!R94/'Semi Rev'!N94-1,""),"")</f>
        <v/>
      </c>
    </row>
    <row r="238">
      <c r="A238" s="19">
        <f>'Semi Rev'!$A95</f>
        <v/>
      </c>
      <c r="B238" s="19">
        <f>'Semi Rev'!$B95</f>
        <v/>
      </c>
      <c r="C238" s="37">
        <f>IFERROR(IF(AND(ISNUMBER('Semi Rev'!G95),ISNUMBER('Semi Rev'!C95),'Semi Rev'!C95&gt;0),'Semi Rev'!G95/'Semi Rev'!C95-1,""),"")</f>
        <v/>
      </c>
      <c r="D238" s="37">
        <f>IFERROR(IF(AND(ISNUMBER('Semi Rev'!H95),ISNUMBER('Semi Rev'!D95),'Semi Rev'!D95&gt;0),'Semi Rev'!H95/'Semi Rev'!D95-1,""),"")</f>
        <v/>
      </c>
      <c r="E238" s="37">
        <f>IFERROR(IF(AND(ISNUMBER('Semi Rev'!I95),ISNUMBER('Semi Rev'!E95),'Semi Rev'!E95&gt;0),'Semi Rev'!I95/'Semi Rev'!E95-1,""),"")</f>
        <v/>
      </c>
      <c r="F238" s="37">
        <f>IFERROR(IF(AND(ISNUMBER('Semi Rev'!J95),ISNUMBER('Semi Rev'!F95),'Semi Rev'!F95&gt;0),'Semi Rev'!J95/'Semi Rev'!F95-1,""),"")</f>
        <v/>
      </c>
      <c r="G238" s="37">
        <f>IFERROR(IF(AND(ISNUMBER('Semi Rev'!K95),ISNUMBER('Semi Rev'!G95),'Semi Rev'!G95&gt;0),'Semi Rev'!K95/'Semi Rev'!G95-1,""),"")</f>
        <v/>
      </c>
      <c r="H238" s="37">
        <f>IFERROR(IF(AND(ISNUMBER('Semi Rev'!L95),ISNUMBER('Semi Rev'!H95),'Semi Rev'!H95&gt;0),'Semi Rev'!L95/'Semi Rev'!H95-1,""),"")</f>
        <v/>
      </c>
      <c r="I238" s="37">
        <f>IFERROR(IF(AND(ISNUMBER('Semi Rev'!M95),ISNUMBER('Semi Rev'!I95),'Semi Rev'!I95&gt;0),'Semi Rev'!M95/'Semi Rev'!I95-1,""),"")</f>
        <v/>
      </c>
      <c r="J238" s="37">
        <f>IFERROR(IF(AND(ISNUMBER('Semi Rev'!N95),ISNUMBER('Semi Rev'!J95),'Semi Rev'!J95&gt;0),'Semi Rev'!N95/'Semi Rev'!J95-1,""),"")</f>
        <v/>
      </c>
      <c r="K238" s="37">
        <f>IFERROR(IF(AND(ISNUMBER('Semi Rev'!O95),ISNUMBER('Semi Rev'!K95),'Semi Rev'!K95&gt;0),'Semi Rev'!O95/'Semi Rev'!K95-1,""),"")</f>
        <v/>
      </c>
      <c r="L238" s="37">
        <f>IFERROR(IF(AND(ISNUMBER('Semi Rev'!P95),ISNUMBER('Semi Rev'!L95),'Semi Rev'!L95&gt;0),'Semi Rev'!P95/'Semi Rev'!L95-1,""),"")</f>
        <v/>
      </c>
      <c r="M238" s="38">
        <f>IFERROR(IF(AND(ISNUMBER('Semi Rev'!Q95),ISNUMBER('Semi Rev'!M95),'Semi Rev'!M95&gt;0),'Semi Rev'!Q95/'Semi Rev'!M95-1,""),"")</f>
        <v/>
      </c>
      <c r="N238" s="38">
        <f>IFERROR(IF(AND(ISNUMBER('Semi Rev'!R95),ISNUMBER('Semi Rev'!N95),'Semi Rev'!N95&gt;0),'Semi Rev'!R95/'Semi Rev'!N95-1,""),"")</f>
        <v/>
      </c>
    </row>
    <row r="239">
      <c r="A239" s="19">
        <f>'Semi Rev'!$A96</f>
        <v/>
      </c>
      <c r="B239" s="19">
        <f>'Semi Rev'!$B96</f>
        <v/>
      </c>
      <c r="C239" s="37">
        <f>IFERROR(IF(AND(ISNUMBER('Semi Rev'!G96),ISNUMBER('Semi Rev'!C96),'Semi Rev'!C96&gt;0),'Semi Rev'!G96/'Semi Rev'!C96-1,""),"")</f>
        <v/>
      </c>
      <c r="D239" s="37">
        <f>IFERROR(IF(AND(ISNUMBER('Semi Rev'!H96),ISNUMBER('Semi Rev'!D96),'Semi Rev'!D96&gt;0),'Semi Rev'!H96/'Semi Rev'!D96-1,""),"")</f>
        <v/>
      </c>
      <c r="E239" s="37">
        <f>IFERROR(IF(AND(ISNUMBER('Semi Rev'!I96),ISNUMBER('Semi Rev'!E96),'Semi Rev'!E96&gt;0),'Semi Rev'!I96/'Semi Rev'!E96-1,""),"")</f>
        <v/>
      </c>
      <c r="F239" s="37">
        <f>IFERROR(IF(AND(ISNUMBER('Semi Rev'!J96),ISNUMBER('Semi Rev'!F96),'Semi Rev'!F96&gt;0),'Semi Rev'!J96/'Semi Rev'!F96-1,""),"")</f>
        <v/>
      </c>
      <c r="G239" s="37">
        <f>IFERROR(IF(AND(ISNUMBER('Semi Rev'!K96),ISNUMBER('Semi Rev'!G96),'Semi Rev'!G96&gt;0),'Semi Rev'!K96/'Semi Rev'!G96-1,""),"")</f>
        <v/>
      </c>
      <c r="H239" s="37">
        <f>IFERROR(IF(AND(ISNUMBER('Semi Rev'!L96),ISNUMBER('Semi Rev'!H96),'Semi Rev'!H96&gt;0),'Semi Rev'!L96/'Semi Rev'!H96-1,""),"")</f>
        <v/>
      </c>
      <c r="I239" s="37">
        <f>IFERROR(IF(AND(ISNUMBER('Semi Rev'!M96),ISNUMBER('Semi Rev'!I96),'Semi Rev'!I96&gt;0),'Semi Rev'!M96/'Semi Rev'!I96-1,""),"")</f>
        <v/>
      </c>
      <c r="J239" s="37">
        <f>IFERROR(IF(AND(ISNUMBER('Semi Rev'!N96),ISNUMBER('Semi Rev'!J96),'Semi Rev'!J96&gt;0),'Semi Rev'!N96/'Semi Rev'!J96-1,""),"")</f>
        <v/>
      </c>
      <c r="K239" s="37">
        <f>IFERROR(IF(AND(ISNUMBER('Semi Rev'!O96),ISNUMBER('Semi Rev'!K96),'Semi Rev'!K96&gt;0),'Semi Rev'!O96/'Semi Rev'!K96-1,""),"")</f>
        <v/>
      </c>
      <c r="L239" s="37">
        <f>IFERROR(IF(AND(ISNUMBER('Semi Rev'!P96),ISNUMBER('Semi Rev'!L96),'Semi Rev'!L96&gt;0),'Semi Rev'!P96/'Semi Rev'!L96-1,""),"")</f>
        <v/>
      </c>
      <c r="M239" s="38">
        <f>IFERROR(IF(AND(ISNUMBER('Semi Rev'!Q96),ISNUMBER('Semi Rev'!M96),'Semi Rev'!M96&gt;0),'Semi Rev'!Q96/'Semi Rev'!M96-1,""),"")</f>
        <v/>
      </c>
      <c r="N239" s="38">
        <f>IFERROR(IF(AND(ISNUMBER('Semi Rev'!R96),ISNUMBER('Semi Rev'!N96),'Semi Rev'!N96&gt;0),'Semi Rev'!R96/'Semi Rev'!N96-1,""),"")</f>
        <v/>
      </c>
    </row>
    <row r="240">
      <c r="A240" s="19">
        <f>'Semi Rev'!$A97</f>
        <v/>
      </c>
      <c r="B240" s="19">
        <f>'Semi Rev'!$B97</f>
        <v/>
      </c>
      <c r="C240" s="37">
        <f>IFERROR(IF(AND(ISNUMBER('Semi Rev'!G97),ISNUMBER('Semi Rev'!C97),'Semi Rev'!C97&gt;0),'Semi Rev'!G97/'Semi Rev'!C97-1,""),"")</f>
        <v/>
      </c>
      <c r="D240" s="37">
        <f>IFERROR(IF(AND(ISNUMBER('Semi Rev'!H97),ISNUMBER('Semi Rev'!D97),'Semi Rev'!D97&gt;0),'Semi Rev'!H97/'Semi Rev'!D97-1,""),"")</f>
        <v/>
      </c>
      <c r="E240" s="37">
        <f>IFERROR(IF(AND(ISNUMBER('Semi Rev'!I97),ISNUMBER('Semi Rev'!E97),'Semi Rev'!E97&gt;0),'Semi Rev'!I97/'Semi Rev'!E97-1,""),"")</f>
        <v/>
      </c>
      <c r="F240" s="37">
        <f>IFERROR(IF(AND(ISNUMBER('Semi Rev'!J97),ISNUMBER('Semi Rev'!F97),'Semi Rev'!F97&gt;0),'Semi Rev'!J97/'Semi Rev'!F97-1,""),"")</f>
        <v/>
      </c>
      <c r="G240" s="37">
        <f>IFERROR(IF(AND(ISNUMBER('Semi Rev'!K97),ISNUMBER('Semi Rev'!G97),'Semi Rev'!G97&gt;0),'Semi Rev'!K97/'Semi Rev'!G97-1,""),"")</f>
        <v/>
      </c>
      <c r="H240" s="37">
        <f>IFERROR(IF(AND(ISNUMBER('Semi Rev'!L97),ISNUMBER('Semi Rev'!H97),'Semi Rev'!H97&gt;0),'Semi Rev'!L97/'Semi Rev'!H97-1,""),"")</f>
        <v/>
      </c>
      <c r="I240" s="37">
        <f>IFERROR(IF(AND(ISNUMBER('Semi Rev'!M97),ISNUMBER('Semi Rev'!I97),'Semi Rev'!I97&gt;0),'Semi Rev'!M97/'Semi Rev'!I97-1,""),"")</f>
        <v/>
      </c>
      <c r="J240" s="37">
        <f>IFERROR(IF(AND(ISNUMBER('Semi Rev'!N97),ISNUMBER('Semi Rev'!J97),'Semi Rev'!J97&gt;0),'Semi Rev'!N97/'Semi Rev'!J97-1,""),"")</f>
        <v/>
      </c>
      <c r="K240" s="37">
        <f>IFERROR(IF(AND(ISNUMBER('Semi Rev'!O97),ISNUMBER('Semi Rev'!K97),'Semi Rev'!K97&gt;0),'Semi Rev'!O97/'Semi Rev'!K97-1,""),"")</f>
        <v/>
      </c>
      <c r="L240" s="37">
        <f>IFERROR(IF(AND(ISNUMBER('Semi Rev'!P97),ISNUMBER('Semi Rev'!L97),'Semi Rev'!L97&gt;0),'Semi Rev'!P97/'Semi Rev'!L97-1,""),"")</f>
        <v/>
      </c>
      <c r="M240" s="38">
        <f>IFERROR(IF(AND(ISNUMBER('Semi Rev'!Q97),ISNUMBER('Semi Rev'!M97),'Semi Rev'!M97&gt;0),'Semi Rev'!Q97/'Semi Rev'!M97-1,""),"")</f>
        <v/>
      </c>
      <c r="N240" s="38">
        <f>IFERROR(IF(AND(ISNUMBER('Semi Rev'!R97),ISNUMBER('Semi Rev'!N97),'Semi Rev'!N97&gt;0),'Semi Rev'!R97/'Semi Rev'!N97-1,""),"")</f>
        <v/>
      </c>
    </row>
    <row r="241">
      <c r="A241" s="19">
        <f>'Semi Rev'!$A98</f>
        <v/>
      </c>
      <c r="B241" s="19">
        <f>'Semi Rev'!$B98</f>
        <v/>
      </c>
      <c r="C241" s="37">
        <f>IFERROR(IF(AND(ISNUMBER('Semi Rev'!G98),ISNUMBER('Semi Rev'!C98),'Semi Rev'!C98&gt;0),'Semi Rev'!G98/'Semi Rev'!C98-1,""),"")</f>
        <v/>
      </c>
      <c r="D241" s="37">
        <f>IFERROR(IF(AND(ISNUMBER('Semi Rev'!H98),ISNUMBER('Semi Rev'!D98),'Semi Rev'!D98&gt;0),'Semi Rev'!H98/'Semi Rev'!D98-1,""),"")</f>
        <v/>
      </c>
      <c r="E241" s="37">
        <f>IFERROR(IF(AND(ISNUMBER('Semi Rev'!I98),ISNUMBER('Semi Rev'!E98),'Semi Rev'!E98&gt;0),'Semi Rev'!I98/'Semi Rev'!E98-1,""),"")</f>
        <v/>
      </c>
      <c r="F241" s="37">
        <f>IFERROR(IF(AND(ISNUMBER('Semi Rev'!J98),ISNUMBER('Semi Rev'!F98),'Semi Rev'!F98&gt;0),'Semi Rev'!J98/'Semi Rev'!F98-1,""),"")</f>
        <v/>
      </c>
      <c r="G241" s="37">
        <f>IFERROR(IF(AND(ISNUMBER('Semi Rev'!K98),ISNUMBER('Semi Rev'!G98),'Semi Rev'!G98&gt;0),'Semi Rev'!K98/'Semi Rev'!G98-1,""),"")</f>
        <v/>
      </c>
      <c r="H241" s="37">
        <f>IFERROR(IF(AND(ISNUMBER('Semi Rev'!L98),ISNUMBER('Semi Rev'!H98),'Semi Rev'!H98&gt;0),'Semi Rev'!L98/'Semi Rev'!H98-1,""),"")</f>
        <v/>
      </c>
      <c r="I241" s="37">
        <f>IFERROR(IF(AND(ISNUMBER('Semi Rev'!M98),ISNUMBER('Semi Rev'!I98),'Semi Rev'!I98&gt;0),'Semi Rev'!M98/'Semi Rev'!I98-1,""),"")</f>
        <v/>
      </c>
      <c r="J241" s="37">
        <f>IFERROR(IF(AND(ISNUMBER('Semi Rev'!N98),ISNUMBER('Semi Rev'!J98),'Semi Rev'!J98&gt;0),'Semi Rev'!N98/'Semi Rev'!J98-1,""),"")</f>
        <v/>
      </c>
      <c r="K241" s="37">
        <f>IFERROR(IF(AND(ISNUMBER('Semi Rev'!O98),ISNUMBER('Semi Rev'!K98),'Semi Rev'!K98&gt;0),'Semi Rev'!O98/'Semi Rev'!K98-1,""),"")</f>
        <v/>
      </c>
      <c r="L241" s="37">
        <f>IFERROR(IF(AND(ISNUMBER('Semi Rev'!P98),ISNUMBER('Semi Rev'!L98),'Semi Rev'!L98&gt;0),'Semi Rev'!P98/'Semi Rev'!L98-1,""),"")</f>
        <v/>
      </c>
      <c r="M241" s="38">
        <f>IFERROR(IF(AND(ISNUMBER('Semi Rev'!Q98),ISNUMBER('Semi Rev'!M98),'Semi Rev'!M98&gt;0),'Semi Rev'!Q98/'Semi Rev'!M98-1,""),"")</f>
        <v/>
      </c>
      <c r="N241" s="38">
        <f>IFERROR(IF(AND(ISNUMBER('Semi Rev'!R98),ISNUMBER('Semi Rev'!N98),'Semi Rev'!N98&gt;0),'Semi Rev'!R98/'Semi Rev'!N98-1,""),"")</f>
        <v/>
      </c>
    </row>
    <row r="242">
      <c r="A242" s="19">
        <f>'Semi Rev'!$A99</f>
        <v/>
      </c>
      <c r="B242" s="19">
        <f>'Semi Rev'!$B99</f>
        <v/>
      </c>
      <c r="C242" s="37">
        <f>IFERROR(IF(AND(ISNUMBER('Semi Rev'!G99),ISNUMBER('Semi Rev'!C99),'Semi Rev'!C99&gt;0),'Semi Rev'!G99/'Semi Rev'!C99-1,""),"")</f>
        <v/>
      </c>
      <c r="D242" s="37">
        <f>IFERROR(IF(AND(ISNUMBER('Semi Rev'!H99),ISNUMBER('Semi Rev'!D99),'Semi Rev'!D99&gt;0),'Semi Rev'!H99/'Semi Rev'!D99-1,""),"")</f>
        <v/>
      </c>
      <c r="E242" s="37">
        <f>IFERROR(IF(AND(ISNUMBER('Semi Rev'!I99),ISNUMBER('Semi Rev'!E99),'Semi Rev'!E99&gt;0),'Semi Rev'!I99/'Semi Rev'!E99-1,""),"")</f>
        <v/>
      </c>
      <c r="F242" s="37">
        <f>IFERROR(IF(AND(ISNUMBER('Semi Rev'!J99),ISNUMBER('Semi Rev'!F99),'Semi Rev'!F99&gt;0),'Semi Rev'!J99/'Semi Rev'!F99-1,""),"")</f>
        <v/>
      </c>
      <c r="G242" s="37">
        <f>IFERROR(IF(AND(ISNUMBER('Semi Rev'!K99),ISNUMBER('Semi Rev'!G99),'Semi Rev'!G99&gt;0),'Semi Rev'!K99/'Semi Rev'!G99-1,""),"")</f>
        <v/>
      </c>
      <c r="H242" s="37">
        <f>IFERROR(IF(AND(ISNUMBER('Semi Rev'!L99),ISNUMBER('Semi Rev'!H99),'Semi Rev'!H99&gt;0),'Semi Rev'!L99/'Semi Rev'!H99-1,""),"")</f>
        <v/>
      </c>
      <c r="I242" s="37">
        <f>IFERROR(IF(AND(ISNUMBER('Semi Rev'!M99),ISNUMBER('Semi Rev'!I99),'Semi Rev'!I99&gt;0),'Semi Rev'!M99/'Semi Rev'!I99-1,""),"")</f>
        <v/>
      </c>
      <c r="J242" s="37">
        <f>IFERROR(IF(AND(ISNUMBER('Semi Rev'!N99),ISNUMBER('Semi Rev'!J99),'Semi Rev'!J99&gt;0),'Semi Rev'!N99/'Semi Rev'!J99-1,""),"")</f>
        <v/>
      </c>
      <c r="K242" s="37">
        <f>IFERROR(IF(AND(ISNUMBER('Semi Rev'!O99),ISNUMBER('Semi Rev'!K99),'Semi Rev'!K99&gt;0),'Semi Rev'!O99/'Semi Rev'!K99-1,""),"")</f>
        <v/>
      </c>
      <c r="L242" s="37">
        <f>IFERROR(IF(AND(ISNUMBER('Semi Rev'!P99),ISNUMBER('Semi Rev'!L99),'Semi Rev'!L99&gt;0),'Semi Rev'!P99/'Semi Rev'!L99-1,""),"")</f>
        <v/>
      </c>
      <c r="M242" s="38">
        <f>IFERROR(IF(AND(ISNUMBER('Semi Rev'!Q99),ISNUMBER('Semi Rev'!M99),'Semi Rev'!M99&gt;0),'Semi Rev'!Q99/'Semi Rev'!M99-1,""),"")</f>
        <v/>
      </c>
      <c r="N242" s="38">
        <f>IFERROR(IF(AND(ISNUMBER('Semi Rev'!R99),ISNUMBER('Semi Rev'!N99),'Semi Rev'!N99&gt;0),'Semi Rev'!R99/'Semi Rev'!N99-1,""),"")</f>
        <v/>
      </c>
    </row>
    <row r="243">
      <c r="A243" s="19">
        <f>'Semi Rev'!$A100</f>
        <v/>
      </c>
      <c r="B243" s="19">
        <f>'Semi Rev'!$B100</f>
        <v/>
      </c>
      <c r="C243" s="37">
        <f>IFERROR(IF(AND(ISNUMBER('Semi Rev'!G100),ISNUMBER('Semi Rev'!C100),'Semi Rev'!C100&gt;0),'Semi Rev'!G100/'Semi Rev'!C100-1,""),"")</f>
        <v/>
      </c>
      <c r="D243" s="37">
        <f>IFERROR(IF(AND(ISNUMBER('Semi Rev'!H100),ISNUMBER('Semi Rev'!D100),'Semi Rev'!D100&gt;0),'Semi Rev'!H100/'Semi Rev'!D100-1,""),"")</f>
        <v/>
      </c>
      <c r="E243" s="37">
        <f>IFERROR(IF(AND(ISNUMBER('Semi Rev'!I100),ISNUMBER('Semi Rev'!E100),'Semi Rev'!E100&gt;0),'Semi Rev'!I100/'Semi Rev'!E100-1,""),"")</f>
        <v/>
      </c>
      <c r="F243" s="37">
        <f>IFERROR(IF(AND(ISNUMBER('Semi Rev'!J100),ISNUMBER('Semi Rev'!F100),'Semi Rev'!F100&gt;0),'Semi Rev'!J100/'Semi Rev'!F100-1,""),"")</f>
        <v/>
      </c>
      <c r="G243" s="37">
        <f>IFERROR(IF(AND(ISNUMBER('Semi Rev'!K100),ISNUMBER('Semi Rev'!G100),'Semi Rev'!G100&gt;0),'Semi Rev'!K100/'Semi Rev'!G100-1,""),"")</f>
        <v/>
      </c>
      <c r="H243" s="37">
        <f>IFERROR(IF(AND(ISNUMBER('Semi Rev'!L100),ISNUMBER('Semi Rev'!H100),'Semi Rev'!H100&gt;0),'Semi Rev'!L100/'Semi Rev'!H100-1,""),"")</f>
        <v/>
      </c>
      <c r="I243" s="37">
        <f>IFERROR(IF(AND(ISNUMBER('Semi Rev'!M100),ISNUMBER('Semi Rev'!I100),'Semi Rev'!I100&gt;0),'Semi Rev'!M100/'Semi Rev'!I100-1,""),"")</f>
        <v/>
      </c>
      <c r="J243" s="37">
        <f>IFERROR(IF(AND(ISNUMBER('Semi Rev'!N100),ISNUMBER('Semi Rev'!J100),'Semi Rev'!J100&gt;0),'Semi Rev'!N100/'Semi Rev'!J100-1,""),"")</f>
        <v/>
      </c>
      <c r="K243" s="37">
        <f>IFERROR(IF(AND(ISNUMBER('Semi Rev'!O100),ISNUMBER('Semi Rev'!K100),'Semi Rev'!K100&gt;0),'Semi Rev'!O100/'Semi Rev'!K100-1,""),"")</f>
        <v/>
      </c>
      <c r="L243" s="37">
        <f>IFERROR(IF(AND(ISNUMBER('Semi Rev'!P100),ISNUMBER('Semi Rev'!L100),'Semi Rev'!L100&gt;0),'Semi Rev'!P100/'Semi Rev'!L100-1,""),"")</f>
        <v/>
      </c>
      <c r="M243" s="38">
        <f>IFERROR(IF(AND(ISNUMBER('Semi Rev'!Q100),ISNUMBER('Semi Rev'!M100),'Semi Rev'!M100&gt;0),'Semi Rev'!Q100/'Semi Rev'!M100-1,""),"")</f>
        <v/>
      </c>
      <c r="N243" s="38">
        <f>IFERROR(IF(AND(ISNUMBER('Semi Rev'!R100),ISNUMBER('Semi Rev'!N100),'Semi Rev'!N100&gt;0),'Semi Rev'!R100/'Semi Rev'!N100-1,""),"")</f>
        <v/>
      </c>
    </row>
    <row r="244">
      <c r="A244" s="19">
        <f>'Semi Rev'!$A101</f>
        <v/>
      </c>
      <c r="B244" s="19">
        <f>'Semi Rev'!$B101</f>
        <v/>
      </c>
      <c r="C244" s="37">
        <f>IFERROR(IF(AND(ISNUMBER('Semi Rev'!G101),ISNUMBER('Semi Rev'!C101),'Semi Rev'!C101&gt;0),'Semi Rev'!G101/'Semi Rev'!C101-1,""),"")</f>
        <v/>
      </c>
      <c r="D244" s="37">
        <f>IFERROR(IF(AND(ISNUMBER('Semi Rev'!H101),ISNUMBER('Semi Rev'!D101),'Semi Rev'!D101&gt;0),'Semi Rev'!H101/'Semi Rev'!D101-1,""),"")</f>
        <v/>
      </c>
      <c r="E244" s="37">
        <f>IFERROR(IF(AND(ISNUMBER('Semi Rev'!I101),ISNUMBER('Semi Rev'!E101),'Semi Rev'!E101&gt;0),'Semi Rev'!I101/'Semi Rev'!E101-1,""),"")</f>
        <v/>
      </c>
      <c r="F244" s="37">
        <f>IFERROR(IF(AND(ISNUMBER('Semi Rev'!J101),ISNUMBER('Semi Rev'!F101),'Semi Rev'!F101&gt;0),'Semi Rev'!J101/'Semi Rev'!F101-1,""),"")</f>
        <v/>
      </c>
      <c r="G244" s="37">
        <f>IFERROR(IF(AND(ISNUMBER('Semi Rev'!K101),ISNUMBER('Semi Rev'!G101),'Semi Rev'!G101&gt;0),'Semi Rev'!K101/'Semi Rev'!G101-1,""),"")</f>
        <v/>
      </c>
      <c r="H244" s="37">
        <f>IFERROR(IF(AND(ISNUMBER('Semi Rev'!L101),ISNUMBER('Semi Rev'!H101),'Semi Rev'!H101&gt;0),'Semi Rev'!L101/'Semi Rev'!H101-1,""),"")</f>
        <v/>
      </c>
      <c r="I244" s="37">
        <f>IFERROR(IF(AND(ISNUMBER('Semi Rev'!M101),ISNUMBER('Semi Rev'!I101),'Semi Rev'!I101&gt;0),'Semi Rev'!M101/'Semi Rev'!I101-1,""),"")</f>
        <v/>
      </c>
      <c r="J244" s="37">
        <f>IFERROR(IF(AND(ISNUMBER('Semi Rev'!N101),ISNUMBER('Semi Rev'!J101),'Semi Rev'!J101&gt;0),'Semi Rev'!N101/'Semi Rev'!J101-1,""),"")</f>
        <v/>
      </c>
      <c r="K244" s="37">
        <f>IFERROR(IF(AND(ISNUMBER('Semi Rev'!O101),ISNUMBER('Semi Rev'!K101),'Semi Rev'!K101&gt;0),'Semi Rev'!O101/'Semi Rev'!K101-1,""),"")</f>
        <v/>
      </c>
      <c r="L244" s="37">
        <f>IFERROR(IF(AND(ISNUMBER('Semi Rev'!P101),ISNUMBER('Semi Rev'!L101),'Semi Rev'!L101&gt;0),'Semi Rev'!P101/'Semi Rev'!L101-1,""),"")</f>
        <v/>
      </c>
      <c r="M244" s="38">
        <f>IFERROR(IF(AND(ISNUMBER('Semi Rev'!Q101),ISNUMBER('Semi Rev'!M101),'Semi Rev'!M101&gt;0),'Semi Rev'!Q101/'Semi Rev'!M101-1,""),"")</f>
        <v/>
      </c>
      <c r="N244" s="38">
        <f>IFERROR(IF(AND(ISNUMBER('Semi Rev'!R101),ISNUMBER('Semi Rev'!N101),'Semi Rev'!N101&gt;0),'Semi Rev'!R101/'Semi Rev'!N101-1,""),"")</f>
        <v/>
      </c>
    </row>
    <row r="245">
      <c r="A245" s="19">
        <f>'Semi Rev'!$A102</f>
        <v/>
      </c>
      <c r="B245" s="19">
        <f>'Semi Rev'!$B102</f>
        <v/>
      </c>
      <c r="C245" s="37">
        <f>IFERROR(IF(AND(ISNUMBER('Semi Rev'!G102),ISNUMBER('Semi Rev'!C102),'Semi Rev'!C102&gt;0),'Semi Rev'!G102/'Semi Rev'!C102-1,""),"")</f>
        <v/>
      </c>
      <c r="D245" s="37">
        <f>IFERROR(IF(AND(ISNUMBER('Semi Rev'!H102),ISNUMBER('Semi Rev'!D102),'Semi Rev'!D102&gt;0),'Semi Rev'!H102/'Semi Rev'!D102-1,""),"")</f>
        <v/>
      </c>
      <c r="E245" s="37">
        <f>IFERROR(IF(AND(ISNUMBER('Semi Rev'!I102),ISNUMBER('Semi Rev'!E102),'Semi Rev'!E102&gt;0),'Semi Rev'!I102/'Semi Rev'!E102-1,""),"")</f>
        <v/>
      </c>
      <c r="F245" s="37">
        <f>IFERROR(IF(AND(ISNUMBER('Semi Rev'!J102),ISNUMBER('Semi Rev'!F102),'Semi Rev'!F102&gt;0),'Semi Rev'!J102/'Semi Rev'!F102-1,""),"")</f>
        <v/>
      </c>
      <c r="G245" s="37">
        <f>IFERROR(IF(AND(ISNUMBER('Semi Rev'!K102),ISNUMBER('Semi Rev'!G102),'Semi Rev'!G102&gt;0),'Semi Rev'!K102/'Semi Rev'!G102-1,""),"")</f>
        <v/>
      </c>
      <c r="H245" s="37">
        <f>IFERROR(IF(AND(ISNUMBER('Semi Rev'!L102),ISNUMBER('Semi Rev'!H102),'Semi Rev'!H102&gt;0),'Semi Rev'!L102/'Semi Rev'!H102-1,""),"")</f>
        <v/>
      </c>
      <c r="I245" s="37">
        <f>IFERROR(IF(AND(ISNUMBER('Semi Rev'!M102),ISNUMBER('Semi Rev'!I102),'Semi Rev'!I102&gt;0),'Semi Rev'!M102/'Semi Rev'!I102-1,""),"")</f>
        <v/>
      </c>
      <c r="J245" s="37">
        <f>IFERROR(IF(AND(ISNUMBER('Semi Rev'!N102),ISNUMBER('Semi Rev'!J102),'Semi Rev'!J102&gt;0),'Semi Rev'!N102/'Semi Rev'!J102-1,""),"")</f>
        <v/>
      </c>
      <c r="K245" s="37">
        <f>IFERROR(IF(AND(ISNUMBER('Semi Rev'!O102),ISNUMBER('Semi Rev'!K102),'Semi Rev'!K102&gt;0),'Semi Rev'!O102/'Semi Rev'!K102-1,""),"")</f>
        <v/>
      </c>
      <c r="L245" s="37">
        <f>IFERROR(IF(AND(ISNUMBER('Semi Rev'!P102),ISNUMBER('Semi Rev'!L102),'Semi Rev'!L102&gt;0),'Semi Rev'!P102/'Semi Rev'!L102-1,""),"")</f>
        <v/>
      </c>
      <c r="M245" s="38">
        <f>IFERROR(IF(AND(ISNUMBER('Semi Rev'!Q102),ISNUMBER('Semi Rev'!M102),'Semi Rev'!M102&gt;0),'Semi Rev'!Q102/'Semi Rev'!M102-1,""),"")</f>
        <v/>
      </c>
      <c r="N245" s="38">
        <f>IFERROR(IF(AND(ISNUMBER('Semi Rev'!R102),ISNUMBER('Semi Rev'!N102),'Semi Rev'!N102&gt;0),'Semi Rev'!R102/'Semi Rev'!N102-1,""),"")</f>
        <v/>
      </c>
    </row>
    <row r="246">
      <c r="A246" s="19">
        <f>'Semi Rev'!$A103</f>
        <v/>
      </c>
      <c r="B246" s="19">
        <f>'Semi Rev'!$B103</f>
        <v/>
      </c>
      <c r="C246" s="37">
        <f>IFERROR(IF(AND(ISNUMBER('Semi Rev'!G103),ISNUMBER('Semi Rev'!C103),'Semi Rev'!C103&gt;0),'Semi Rev'!G103/'Semi Rev'!C103-1,""),"")</f>
        <v/>
      </c>
      <c r="D246" s="37">
        <f>IFERROR(IF(AND(ISNUMBER('Semi Rev'!H103),ISNUMBER('Semi Rev'!D103),'Semi Rev'!D103&gt;0),'Semi Rev'!H103/'Semi Rev'!D103-1,""),"")</f>
        <v/>
      </c>
      <c r="E246" s="37">
        <f>IFERROR(IF(AND(ISNUMBER('Semi Rev'!I103),ISNUMBER('Semi Rev'!E103),'Semi Rev'!E103&gt;0),'Semi Rev'!I103/'Semi Rev'!E103-1,""),"")</f>
        <v/>
      </c>
      <c r="F246" s="37">
        <f>IFERROR(IF(AND(ISNUMBER('Semi Rev'!J103),ISNUMBER('Semi Rev'!F103),'Semi Rev'!F103&gt;0),'Semi Rev'!J103/'Semi Rev'!F103-1,""),"")</f>
        <v/>
      </c>
      <c r="G246" s="37">
        <f>IFERROR(IF(AND(ISNUMBER('Semi Rev'!K103),ISNUMBER('Semi Rev'!G103),'Semi Rev'!G103&gt;0),'Semi Rev'!K103/'Semi Rev'!G103-1,""),"")</f>
        <v/>
      </c>
      <c r="H246" s="37">
        <f>IFERROR(IF(AND(ISNUMBER('Semi Rev'!L103),ISNUMBER('Semi Rev'!H103),'Semi Rev'!H103&gt;0),'Semi Rev'!L103/'Semi Rev'!H103-1,""),"")</f>
        <v/>
      </c>
      <c r="I246" s="37">
        <f>IFERROR(IF(AND(ISNUMBER('Semi Rev'!M103),ISNUMBER('Semi Rev'!I103),'Semi Rev'!I103&gt;0),'Semi Rev'!M103/'Semi Rev'!I103-1,""),"")</f>
        <v/>
      </c>
      <c r="J246" s="37">
        <f>IFERROR(IF(AND(ISNUMBER('Semi Rev'!N103),ISNUMBER('Semi Rev'!J103),'Semi Rev'!J103&gt;0),'Semi Rev'!N103/'Semi Rev'!J103-1,""),"")</f>
        <v/>
      </c>
      <c r="K246" s="37">
        <f>IFERROR(IF(AND(ISNUMBER('Semi Rev'!O103),ISNUMBER('Semi Rev'!K103),'Semi Rev'!K103&gt;0),'Semi Rev'!O103/'Semi Rev'!K103-1,""),"")</f>
        <v/>
      </c>
      <c r="L246" s="37">
        <f>IFERROR(IF(AND(ISNUMBER('Semi Rev'!P103),ISNUMBER('Semi Rev'!L103),'Semi Rev'!L103&gt;0),'Semi Rev'!P103/'Semi Rev'!L103-1,""),"")</f>
        <v/>
      </c>
      <c r="M246" s="38">
        <f>IFERROR(IF(AND(ISNUMBER('Semi Rev'!Q103),ISNUMBER('Semi Rev'!M103),'Semi Rev'!M103&gt;0),'Semi Rev'!Q103/'Semi Rev'!M103-1,""),"")</f>
        <v/>
      </c>
      <c r="N246" s="38">
        <f>IFERROR(IF(AND(ISNUMBER('Semi Rev'!R103),ISNUMBER('Semi Rev'!N103),'Semi Rev'!N103&gt;0),'Semi Rev'!R103/'Semi Rev'!N103-1,""),"")</f>
        <v/>
      </c>
    </row>
    <row r="247">
      <c r="A247" s="19">
        <f>'Semi Rev'!$A104</f>
        <v/>
      </c>
      <c r="B247" s="19">
        <f>'Semi Rev'!$B104</f>
        <v/>
      </c>
      <c r="C247" s="37">
        <f>IFERROR(IF(AND(ISNUMBER('Semi Rev'!G104),ISNUMBER('Semi Rev'!C104),'Semi Rev'!C104&gt;0),'Semi Rev'!G104/'Semi Rev'!C104-1,""),"")</f>
        <v/>
      </c>
      <c r="D247" s="37">
        <f>IFERROR(IF(AND(ISNUMBER('Semi Rev'!H104),ISNUMBER('Semi Rev'!D104),'Semi Rev'!D104&gt;0),'Semi Rev'!H104/'Semi Rev'!D104-1,""),"")</f>
        <v/>
      </c>
      <c r="E247" s="37">
        <f>IFERROR(IF(AND(ISNUMBER('Semi Rev'!I104),ISNUMBER('Semi Rev'!E104),'Semi Rev'!E104&gt;0),'Semi Rev'!I104/'Semi Rev'!E104-1,""),"")</f>
        <v/>
      </c>
      <c r="F247" s="37">
        <f>IFERROR(IF(AND(ISNUMBER('Semi Rev'!J104),ISNUMBER('Semi Rev'!F104),'Semi Rev'!F104&gt;0),'Semi Rev'!J104/'Semi Rev'!F104-1,""),"")</f>
        <v/>
      </c>
      <c r="G247" s="37">
        <f>IFERROR(IF(AND(ISNUMBER('Semi Rev'!K104),ISNUMBER('Semi Rev'!G104),'Semi Rev'!G104&gt;0),'Semi Rev'!K104/'Semi Rev'!G104-1,""),"")</f>
        <v/>
      </c>
      <c r="H247" s="37">
        <f>IFERROR(IF(AND(ISNUMBER('Semi Rev'!L104),ISNUMBER('Semi Rev'!H104),'Semi Rev'!H104&gt;0),'Semi Rev'!L104/'Semi Rev'!H104-1,""),"")</f>
        <v/>
      </c>
      <c r="I247" s="37">
        <f>IFERROR(IF(AND(ISNUMBER('Semi Rev'!M104),ISNUMBER('Semi Rev'!I104),'Semi Rev'!I104&gt;0),'Semi Rev'!M104/'Semi Rev'!I104-1,""),"")</f>
        <v/>
      </c>
      <c r="J247" s="37">
        <f>IFERROR(IF(AND(ISNUMBER('Semi Rev'!N104),ISNUMBER('Semi Rev'!J104),'Semi Rev'!J104&gt;0),'Semi Rev'!N104/'Semi Rev'!J104-1,""),"")</f>
        <v/>
      </c>
      <c r="K247" s="37">
        <f>IFERROR(IF(AND(ISNUMBER('Semi Rev'!O104),ISNUMBER('Semi Rev'!K104),'Semi Rev'!K104&gt;0),'Semi Rev'!O104/'Semi Rev'!K104-1,""),"")</f>
        <v/>
      </c>
      <c r="L247" s="37">
        <f>IFERROR(IF(AND(ISNUMBER('Semi Rev'!P104),ISNUMBER('Semi Rev'!L104),'Semi Rev'!L104&gt;0),'Semi Rev'!P104/'Semi Rev'!L104-1,""),"")</f>
        <v/>
      </c>
      <c r="M247" s="38">
        <f>IFERROR(IF(AND(ISNUMBER('Semi Rev'!Q104),ISNUMBER('Semi Rev'!M104),'Semi Rev'!M104&gt;0),'Semi Rev'!Q104/'Semi Rev'!M104-1,""),"")</f>
        <v/>
      </c>
      <c r="N247" s="38">
        <f>IFERROR(IF(AND(ISNUMBER('Semi Rev'!R104),ISNUMBER('Semi Rev'!N104),'Semi Rev'!N104&gt;0),'Semi Rev'!R104/'Semi Rev'!N104-1,""),"")</f>
        <v/>
      </c>
    </row>
    <row r="248">
      <c r="A248" s="19">
        <f>'Semi Rev'!$A105</f>
        <v/>
      </c>
      <c r="B248" s="19">
        <f>'Semi Rev'!$B105</f>
        <v/>
      </c>
      <c r="C248" s="37">
        <f>IFERROR(IF(AND(ISNUMBER('Semi Rev'!G105),ISNUMBER('Semi Rev'!C105),'Semi Rev'!C105&gt;0),'Semi Rev'!G105/'Semi Rev'!C105-1,""),"")</f>
        <v/>
      </c>
      <c r="D248" s="37">
        <f>IFERROR(IF(AND(ISNUMBER('Semi Rev'!H105),ISNUMBER('Semi Rev'!D105),'Semi Rev'!D105&gt;0),'Semi Rev'!H105/'Semi Rev'!D105-1,""),"")</f>
        <v/>
      </c>
      <c r="E248" s="37">
        <f>IFERROR(IF(AND(ISNUMBER('Semi Rev'!I105),ISNUMBER('Semi Rev'!E105),'Semi Rev'!E105&gt;0),'Semi Rev'!I105/'Semi Rev'!E105-1,""),"")</f>
        <v/>
      </c>
      <c r="F248" s="37">
        <f>IFERROR(IF(AND(ISNUMBER('Semi Rev'!J105),ISNUMBER('Semi Rev'!F105),'Semi Rev'!F105&gt;0),'Semi Rev'!J105/'Semi Rev'!F105-1,""),"")</f>
        <v/>
      </c>
      <c r="G248" s="37">
        <f>IFERROR(IF(AND(ISNUMBER('Semi Rev'!K105),ISNUMBER('Semi Rev'!G105),'Semi Rev'!G105&gt;0),'Semi Rev'!K105/'Semi Rev'!G105-1,""),"")</f>
        <v/>
      </c>
      <c r="H248" s="37">
        <f>IFERROR(IF(AND(ISNUMBER('Semi Rev'!L105),ISNUMBER('Semi Rev'!H105),'Semi Rev'!H105&gt;0),'Semi Rev'!L105/'Semi Rev'!H105-1,""),"")</f>
        <v/>
      </c>
      <c r="I248" s="37">
        <f>IFERROR(IF(AND(ISNUMBER('Semi Rev'!M105),ISNUMBER('Semi Rev'!I105),'Semi Rev'!I105&gt;0),'Semi Rev'!M105/'Semi Rev'!I105-1,""),"")</f>
        <v/>
      </c>
      <c r="J248" s="37">
        <f>IFERROR(IF(AND(ISNUMBER('Semi Rev'!N105),ISNUMBER('Semi Rev'!J105),'Semi Rev'!J105&gt;0),'Semi Rev'!N105/'Semi Rev'!J105-1,""),"")</f>
        <v/>
      </c>
      <c r="K248" s="37">
        <f>IFERROR(IF(AND(ISNUMBER('Semi Rev'!O105),ISNUMBER('Semi Rev'!K105),'Semi Rev'!K105&gt;0),'Semi Rev'!O105/'Semi Rev'!K105-1,""),"")</f>
        <v/>
      </c>
      <c r="L248" s="37">
        <f>IFERROR(IF(AND(ISNUMBER('Semi Rev'!P105),ISNUMBER('Semi Rev'!L105),'Semi Rev'!L105&gt;0),'Semi Rev'!P105/'Semi Rev'!L105-1,""),"")</f>
        <v/>
      </c>
      <c r="M248" s="38">
        <f>IFERROR(IF(AND(ISNUMBER('Semi Rev'!Q105),ISNUMBER('Semi Rev'!M105),'Semi Rev'!M105&gt;0),'Semi Rev'!Q105/'Semi Rev'!M105-1,""),"")</f>
        <v/>
      </c>
      <c r="N248" s="38">
        <f>IFERROR(IF(AND(ISNUMBER('Semi Rev'!R105),ISNUMBER('Semi Rev'!N105),'Semi Rev'!N105&gt;0),'Semi Rev'!R105/'Semi Rev'!N105-1,""),"")</f>
        <v/>
      </c>
    </row>
    <row r="249">
      <c r="A249" s="19">
        <f>'Semi Rev'!$A106</f>
        <v/>
      </c>
      <c r="B249" s="19">
        <f>'Semi Rev'!$B106</f>
        <v/>
      </c>
      <c r="C249" s="37">
        <f>IFERROR(IF(AND(ISNUMBER('Semi Rev'!G106),ISNUMBER('Semi Rev'!C106),'Semi Rev'!C106&gt;0),'Semi Rev'!G106/'Semi Rev'!C106-1,""),"")</f>
        <v/>
      </c>
      <c r="D249" s="37">
        <f>IFERROR(IF(AND(ISNUMBER('Semi Rev'!H106),ISNUMBER('Semi Rev'!D106),'Semi Rev'!D106&gt;0),'Semi Rev'!H106/'Semi Rev'!D106-1,""),"")</f>
        <v/>
      </c>
      <c r="E249" s="37">
        <f>IFERROR(IF(AND(ISNUMBER('Semi Rev'!I106),ISNUMBER('Semi Rev'!E106),'Semi Rev'!E106&gt;0),'Semi Rev'!I106/'Semi Rev'!E106-1,""),"")</f>
        <v/>
      </c>
      <c r="F249" s="37">
        <f>IFERROR(IF(AND(ISNUMBER('Semi Rev'!J106),ISNUMBER('Semi Rev'!F106),'Semi Rev'!F106&gt;0),'Semi Rev'!J106/'Semi Rev'!F106-1,""),"")</f>
        <v/>
      </c>
      <c r="G249" s="37">
        <f>IFERROR(IF(AND(ISNUMBER('Semi Rev'!K106),ISNUMBER('Semi Rev'!G106),'Semi Rev'!G106&gt;0),'Semi Rev'!K106/'Semi Rev'!G106-1,""),"")</f>
        <v/>
      </c>
      <c r="H249" s="37">
        <f>IFERROR(IF(AND(ISNUMBER('Semi Rev'!L106),ISNUMBER('Semi Rev'!H106),'Semi Rev'!H106&gt;0),'Semi Rev'!L106/'Semi Rev'!H106-1,""),"")</f>
        <v/>
      </c>
      <c r="I249" s="37">
        <f>IFERROR(IF(AND(ISNUMBER('Semi Rev'!M106),ISNUMBER('Semi Rev'!I106),'Semi Rev'!I106&gt;0),'Semi Rev'!M106/'Semi Rev'!I106-1,""),"")</f>
        <v/>
      </c>
      <c r="J249" s="37">
        <f>IFERROR(IF(AND(ISNUMBER('Semi Rev'!N106),ISNUMBER('Semi Rev'!J106),'Semi Rev'!J106&gt;0),'Semi Rev'!N106/'Semi Rev'!J106-1,""),"")</f>
        <v/>
      </c>
      <c r="K249" s="37">
        <f>IFERROR(IF(AND(ISNUMBER('Semi Rev'!O106),ISNUMBER('Semi Rev'!K106),'Semi Rev'!K106&gt;0),'Semi Rev'!O106/'Semi Rev'!K106-1,""),"")</f>
        <v/>
      </c>
      <c r="L249" s="37">
        <f>IFERROR(IF(AND(ISNUMBER('Semi Rev'!P106),ISNUMBER('Semi Rev'!L106),'Semi Rev'!L106&gt;0),'Semi Rev'!P106/'Semi Rev'!L106-1,""),"")</f>
        <v/>
      </c>
      <c r="M249" s="38">
        <f>IFERROR(IF(AND(ISNUMBER('Semi Rev'!Q106),ISNUMBER('Semi Rev'!M106),'Semi Rev'!M106&gt;0),'Semi Rev'!Q106/'Semi Rev'!M106-1,""),"")</f>
        <v/>
      </c>
      <c r="N249" s="38">
        <f>IFERROR(IF(AND(ISNUMBER('Semi Rev'!R106),ISNUMBER('Semi Rev'!N106),'Semi Rev'!N106&gt;0),'Semi Rev'!R106/'Semi Rev'!N106-1,""),"")</f>
        <v/>
      </c>
    </row>
    <row r="250">
      <c r="A250" s="19">
        <f>'Semi Rev'!$A107</f>
        <v/>
      </c>
      <c r="B250" s="19">
        <f>'Semi Rev'!$B107</f>
        <v/>
      </c>
      <c r="C250" s="37">
        <f>IFERROR(IF(AND(ISNUMBER('Semi Rev'!G107),ISNUMBER('Semi Rev'!C107),'Semi Rev'!C107&gt;0),'Semi Rev'!G107/'Semi Rev'!C107-1,""),"")</f>
        <v/>
      </c>
      <c r="D250" s="37">
        <f>IFERROR(IF(AND(ISNUMBER('Semi Rev'!H107),ISNUMBER('Semi Rev'!D107),'Semi Rev'!D107&gt;0),'Semi Rev'!H107/'Semi Rev'!D107-1,""),"")</f>
        <v/>
      </c>
      <c r="E250" s="37">
        <f>IFERROR(IF(AND(ISNUMBER('Semi Rev'!I107),ISNUMBER('Semi Rev'!E107),'Semi Rev'!E107&gt;0),'Semi Rev'!I107/'Semi Rev'!E107-1,""),"")</f>
        <v/>
      </c>
      <c r="F250" s="37">
        <f>IFERROR(IF(AND(ISNUMBER('Semi Rev'!J107),ISNUMBER('Semi Rev'!F107),'Semi Rev'!F107&gt;0),'Semi Rev'!J107/'Semi Rev'!F107-1,""),"")</f>
        <v/>
      </c>
      <c r="G250" s="37">
        <f>IFERROR(IF(AND(ISNUMBER('Semi Rev'!K107),ISNUMBER('Semi Rev'!G107),'Semi Rev'!G107&gt;0),'Semi Rev'!K107/'Semi Rev'!G107-1,""),"")</f>
        <v/>
      </c>
      <c r="H250" s="37">
        <f>IFERROR(IF(AND(ISNUMBER('Semi Rev'!L107),ISNUMBER('Semi Rev'!H107),'Semi Rev'!H107&gt;0),'Semi Rev'!L107/'Semi Rev'!H107-1,""),"")</f>
        <v/>
      </c>
      <c r="I250" s="37">
        <f>IFERROR(IF(AND(ISNUMBER('Semi Rev'!M107),ISNUMBER('Semi Rev'!I107),'Semi Rev'!I107&gt;0),'Semi Rev'!M107/'Semi Rev'!I107-1,""),"")</f>
        <v/>
      </c>
      <c r="J250" s="37">
        <f>IFERROR(IF(AND(ISNUMBER('Semi Rev'!N107),ISNUMBER('Semi Rev'!J107),'Semi Rev'!J107&gt;0),'Semi Rev'!N107/'Semi Rev'!J107-1,""),"")</f>
        <v/>
      </c>
      <c r="K250" s="37">
        <f>IFERROR(IF(AND(ISNUMBER('Semi Rev'!O107),ISNUMBER('Semi Rev'!K107),'Semi Rev'!K107&gt;0),'Semi Rev'!O107/'Semi Rev'!K107-1,""),"")</f>
        <v/>
      </c>
      <c r="L250" s="37">
        <f>IFERROR(IF(AND(ISNUMBER('Semi Rev'!P107),ISNUMBER('Semi Rev'!L107),'Semi Rev'!L107&gt;0),'Semi Rev'!P107/'Semi Rev'!L107-1,""),"")</f>
        <v/>
      </c>
      <c r="M250" s="38">
        <f>IFERROR(IF(AND(ISNUMBER('Semi Rev'!Q107),ISNUMBER('Semi Rev'!M107),'Semi Rev'!M107&gt;0),'Semi Rev'!Q107/'Semi Rev'!M107-1,""),"")</f>
        <v/>
      </c>
      <c r="N250" s="38">
        <f>IFERROR(IF(AND(ISNUMBER('Semi Rev'!R107),ISNUMBER('Semi Rev'!N107),'Semi Rev'!N107&gt;0),'Semi Rev'!R107/'Semi Rev'!N107-1,""),"")</f>
        <v/>
      </c>
    </row>
    <row r="251">
      <c r="A251" s="19">
        <f>'Semi Rev'!$A108</f>
        <v/>
      </c>
      <c r="B251" s="19">
        <f>'Semi Rev'!$B108</f>
        <v/>
      </c>
      <c r="C251" s="37">
        <f>IFERROR(IF(AND(ISNUMBER('Semi Rev'!G108),ISNUMBER('Semi Rev'!C108),'Semi Rev'!C108&gt;0),'Semi Rev'!G108/'Semi Rev'!C108-1,""),"")</f>
        <v/>
      </c>
      <c r="D251" s="37">
        <f>IFERROR(IF(AND(ISNUMBER('Semi Rev'!H108),ISNUMBER('Semi Rev'!D108),'Semi Rev'!D108&gt;0),'Semi Rev'!H108/'Semi Rev'!D108-1,""),"")</f>
        <v/>
      </c>
      <c r="E251" s="37">
        <f>IFERROR(IF(AND(ISNUMBER('Semi Rev'!I108),ISNUMBER('Semi Rev'!E108),'Semi Rev'!E108&gt;0),'Semi Rev'!I108/'Semi Rev'!E108-1,""),"")</f>
        <v/>
      </c>
      <c r="F251" s="37">
        <f>IFERROR(IF(AND(ISNUMBER('Semi Rev'!J108),ISNUMBER('Semi Rev'!F108),'Semi Rev'!F108&gt;0),'Semi Rev'!J108/'Semi Rev'!F108-1,""),"")</f>
        <v/>
      </c>
      <c r="G251" s="37">
        <f>IFERROR(IF(AND(ISNUMBER('Semi Rev'!K108),ISNUMBER('Semi Rev'!G108),'Semi Rev'!G108&gt;0),'Semi Rev'!K108/'Semi Rev'!G108-1,""),"")</f>
        <v/>
      </c>
      <c r="H251" s="37">
        <f>IFERROR(IF(AND(ISNUMBER('Semi Rev'!L108),ISNUMBER('Semi Rev'!H108),'Semi Rev'!H108&gt;0),'Semi Rev'!L108/'Semi Rev'!H108-1,""),"")</f>
        <v/>
      </c>
      <c r="I251" s="37">
        <f>IFERROR(IF(AND(ISNUMBER('Semi Rev'!M108),ISNUMBER('Semi Rev'!I108),'Semi Rev'!I108&gt;0),'Semi Rev'!M108/'Semi Rev'!I108-1,""),"")</f>
        <v/>
      </c>
      <c r="J251" s="37">
        <f>IFERROR(IF(AND(ISNUMBER('Semi Rev'!N108),ISNUMBER('Semi Rev'!J108),'Semi Rev'!J108&gt;0),'Semi Rev'!N108/'Semi Rev'!J108-1,""),"")</f>
        <v/>
      </c>
      <c r="K251" s="37">
        <f>IFERROR(IF(AND(ISNUMBER('Semi Rev'!O108),ISNUMBER('Semi Rev'!K108),'Semi Rev'!K108&gt;0),'Semi Rev'!O108/'Semi Rev'!K108-1,""),"")</f>
        <v/>
      </c>
      <c r="L251" s="37">
        <f>IFERROR(IF(AND(ISNUMBER('Semi Rev'!P108),ISNUMBER('Semi Rev'!L108),'Semi Rev'!L108&gt;0),'Semi Rev'!P108/'Semi Rev'!L108-1,""),"")</f>
        <v/>
      </c>
      <c r="M251" s="38">
        <f>IFERROR(IF(AND(ISNUMBER('Semi Rev'!Q108),ISNUMBER('Semi Rev'!M108),'Semi Rev'!M108&gt;0),'Semi Rev'!Q108/'Semi Rev'!M108-1,""),"")</f>
        <v/>
      </c>
      <c r="N251" s="38">
        <f>IFERROR(IF(AND(ISNUMBER('Semi Rev'!R108),ISNUMBER('Semi Rev'!N108),'Semi Rev'!N108&gt;0),'Semi Rev'!R108/'Semi Rev'!N108-1,""),"")</f>
        <v/>
      </c>
    </row>
    <row r="252">
      <c r="A252" s="19">
        <f>'Semi Rev'!$A109</f>
        <v/>
      </c>
      <c r="B252" s="19">
        <f>'Semi Rev'!$B109</f>
        <v/>
      </c>
      <c r="C252" s="37">
        <f>IFERROR(IF(AND(ISNUMBER('Semi Rev'!G109),ISNUMBER('Semi Rev'!C109),'Semi Rev'!C109&gt;0),'Semi Rev'!G109/'Semi Rev'!C109-1,""),"")</f>
        <v/>
      </c>
      <c r="D252" s="37">
        <f>IFERROR(IF(AND(ISNUMBER('Semi Rev'!H109),ISNUMBER('Semi Rev'!D109),'Semi Rev'!D109&gt;0),'Semi Rev'!H109/'Semi Rev'!D109-1,""),"")</f>
        <v/>
      </c>
      <c r="E252" s="37">
        <f>IFERROR(IF(AND(ISNUMBER('Semi Rev'!I109),ISNUMBER('Semi Rev'!E109),'Semi Rev'!E109&gt;0),'Semi Rev'!I109/'Semi Rev'!E109-1,""),"")</f>
        <v/>
      </c>
      <c r="F252" s="37">
        <f>IFERROR(IF(AND(ISNUMBER('Semi Rev'!J109),ISNUMBER('Semi Rev'!F109),'Semi Rev'!F109&gt;0),'Semi Rev'!J109/'Semi Rev'!F109-1,""),"")</f>
        <v/>
      </c>
      <c r="G252" s="37">
        <f>IFERROR(IF(AND(ISNUMBER('Semi Rev'!K109),ISNUMBER('Semi Rev'!G109),'Semi Rev'!G109&gt;0),'Semi Rev'!K109/'Semi Rev'!G109-1,""),"")</f>
        <v/>
      </c>
      <c r="H252" s="37">
        <f>IFERROR(IF(AND(ISNUMBER('Semi Rev'!L109),ISNUMBER('Semi Rev'!H109),'Semi Rev'!H109&gt;0),'Semi Rev'!L109/'Semi Rev'!H109-1,""),"")</f>
        <v/>
      </c>
      <c r="I252" s="37">
        <f>IFERROR(IF(AND(ISNUMBER('Semi Rev'!M109),ISNUMBER('Semi Rev'!I109),'Semi Rev'!I109&gt;0),'Semi Rev'!M109/'Semi Rev'!I109-1,""),"")</f>
        <v/>
      </c>
      <c r="J252" s="37">
        <f>IFERROR(IF(AND(ISNUMBER('Semi Rev'!N109),ISNUMBER('Semi Rev'!J109),'Semi Rev'!J109&gt;0),'Semi Rev'!N109/'Semi Rev'!J109-1,""),"")</f>
        <v/>
      </c>
      <c r="K252" s="37">
        <f>IFERROR(IF(AND(ISNUMBER('Semi Rev'!O109),ISNUMBER('Semi Rev'!K109),'Semi Rev'!K109&gt;0),'Semi Rev'!O109/'Semi Rev'!K109-1,""),"")</f>
        <v/>
      </c>
      <c r="L252" s="37">
        <f>IFERROR(IF(AND(ISNUMBER('Semi Rev'!P109),ISNUMBER('Semi Rev'!L109),'Semi Rev'!L109&gt;0),'Semi Rev'!P109/'Semi Rev'!L109-1,""),"")</f>
        <v/>
      </c>
      <c r="M252" s="38">
        <f>IFERROR(IF(AND(ISNUMBER('Semi Rev'!Q109),ISNUMBER('Semi Rev'!M109),'Semi Rev'!M109&gt;0),'Semi Rev'!Q109/'Semi Rev'!M109-1,""),"")</f>
        <v/>
      </c>
      <c r="N252" s="38">
        <f>IFERROR(IF(AND(ISNUMBER('Semi Rev'!R109),ISNUMBER('Semi Rev'!N109),'Semi Rev'!N109&gt;0),'Semi Rev'!R109/'Semi Rev'!N109-1,""),"")</f>
        <v/>
      </c>
    </row>
    <row r="253">
      <c r="A253" s="19">
        <f>'Semi Rev'!$A110</f>
        <v/>
      </c>
      <c r="B253" s="19">
        <f>'Semi Rev'!$B110</f>
        <v/>
      </c>
      <c r="C253" s="37">
        <f>IFERROR(IF(AND(ISNUMBER('Semi Rev'!G110),ISNUMBER('Semi Rev'!C110),'Semi Rev'!C110&gt;0),'Semi Rev'!G110/'Semi Rev'!C110-1,""),"")</f>
        <v/>
      </c>
      <c r="D253" s="37">
        <f>IFERROR(IF(AND(ISNUMBER('Semi Rev'!H110),ISNUMBER('Semi Rev'!D110),'Semi Rev'!D110&gt;0),'Semi Rev'!H110/'Semi Rev'!D110-1,""),"")</f>
        <v/>
      </c>
      <c r="E253" s="37">
        <f>IFERROR(IF(AND(ISNUMBER('Semi Rev'!I110),ISNUMBER('Semi Rev'!E110),'Semi Rev'!E110&gt;0),'Semi Rev'!I110/'Semi Rev'!E110-1,""),"")</f>
        <v/>
      </c>
      <c r="F253" s="37">
        <f>IFERROR(IF(AND(ISNUMBER('Semi Rev'!J110),ISNUMBER('Semi Rev'!F110),'Semi Rev'!F110&gt;0),'Semi Rev'!J110/'Semi Rev'!F110-1,""),"")</f>
        <v/>
      </c>
      <c r="G253" s="37">
        <f>IFERROR(IF(AND(ISNUMBER('Semi Rev'!K110),ISNUMBER('Semi Rev'!G110),'Semi Rev'!G110&gt;0),'Semi Rev'!K110/'Semi Rev'!G110-1,""),"")</f>
        <v/>
      </c>
      <c r="H253" s="37">
        <f>IFERROR(IF(AND(ISNUMBER('Semi Rev'!L110),ISNUMBER('Semi Rev'!H110),'Semi Rev'!H110&gt;0),'Semi Rev'!L110/'Semi Rev'!H110-1,""),"")</f>
        <v/>
      </c>
      <c r="I253" s="37">
        <f>IFERROR(IF(AND(ISNUMBER('Semi Rev'!M110),ISNUMBER('Semi Rev'!I110),'Semi Rev'!I110&gt;0),'Semi Rev'!M110/'Semi Rev'!I110-1,""),"")</f>
        <v/>
      </c>
      <c r="J253" s="37">
        <f>IFERROR(IF(AND(ISNUMBER('Semi Rev'!N110),ISNUMBER('Semi Rev'!J110),'Semi Rev'!J110&gt;0),'Semi Rev'!N110/'Semi Rev'!J110-1,""),"")</f>
        <v/>
      </c>
      <c r="K253" s="37">
        <f>IFERROR(IF(AND(ISNUMBER('Semi Rev'!O110),ISNUMBER('Semi Rev'!K110),'Semi Rev'!K110&gt;0),'Semi Rev'!O110/'Semi Rev'!K110-1,""),"")</f>
        <v/>
      </c>
      <c r="L253" s="37">
        <f>IFERROR(IF(AND(ISNUMBER('Semi Rev'!P110),ISNUMBER('Semi Rev'!L110),'Semi Rev'!L110&gt;0),'Semi Rev'!P110/'Semi Rev'!L110-1,""),"")</f>
        <v/>
      </c>
      <c r="M253" s="38">
        <f>IFERROR(IF(AND(ISNUMBER('Semi Rev'!Q110),ISNUMBER('Semi Rev'!M110),'Semi Rev'!M110&gt;0),'Semi Rev'!Q110/'Semi Rev'!M110-1,""),"")</f>
        <v/>
      </c>
      <c r="N253" s="38">
        <f>IFERROR(IF(AND(ISNUMBER('Semi Rev'!R110),ISNUMBER('Semi Rev'!N110),'Semi Rev'!N110&gt;0),'Semi Rev'!R110/'Semi Rev'!N110-1,""),"")</f>
        <v/>
      </c>
    </row>
    <row r="254">
      <c r="A254" s="19">
        <f>'Semi Rev'!$A111</f>
        <v/>
      </c>
      <c r="B254" s="19">
        <f>'Semi Rev'!$B111</f>
        <v/>
      </c>
      <c r="C254" s="37">
        <f>IFERROR(IF(AND(ISNUMBER('Semi Rev'!G111),ISNUMBER('Semi Rev'!C111),'Semi Rev'!C111&gt;0),'Semi Rev'!G111/'Semi Rev'!C111-1,""),"")</f>
        <v/>
      </c>
      <c r="D254" s="37">
        <f>IFERROR(IF(AND(ISNUMBER('Semi Rev'!H111),ISNUMBER('Semi Rev'!D111),'Semi Rev'!D111&gt;0),'Semi Rev'!H111/'Semi Rev'!D111-1,""),"")</f>
        <v/>
      </c>
      <c r="E254" s="37">
        <f>IFERROR(IF(AND(ISNUMBER('Semi Rev'!I111),ISNUMBER('Semi Rev'!E111),'Semi Rev'!E111&gt;0),'Semi Rev'!I111/'Semi Rev'!E111-1,""),"")</f>
        <v/>
      </c>
      <c r="F254" s="37">
        <f>IFERROR(IF(AND(ISNUMBER('Semi Rev'!J111),ISNUMBER('Semi Rev'!F111),'Semi Rev'!F111&gt;0),'Semi Rev'!J111/'Semi Rev'!F111-1,""),"")</f>
        <v/>
      </c>
      <c r="G254" s="37">
        <f>IFERROR(IF(AND(ISNUMBER('Semi Rev'!K111),ISNUMBER('Semi Rev'!G111),'Semi Rev'!G111&gt;0),'Semi Rev'!K111/'Semi Rev'!G111-1,""),"")</f>
        <v/>
      </c>
      <c r="H254" s="37">
        <f>IFERROR(IF(AND(ISNUMBER('Semi Rev'!L111),ISNUMBER('Semi Rev'!H111),'Semi Rev'!H111&gt;0),'Semi Rev'!L111/'Semi Rev'!H111-1,""),"")</f>
        <v/>
      </c>
      <c r="I254" s="37">
        <f>IFERROR(IF(AND(ISNUMBER('Semi Rev'!M111),ISNUMBER('Semi Rev'!I111),'Semi Rev'!I111&gt;0),'Semi Rev'!M111/'Semi Rev'!I111-1,""),"")</f>
        <v/>
      </c>
      <c r="J254" s="37">
        <f>IFERROR(IF(AND(ISNUMBER('Semi Rev'!N111),ISNUMBER('Semi Rev'!J111),'Semi Rev'!J111&gt;0),'Semi Rev'!N111/'Semi Rev'!J111-1,""),"")</f>
        <v/>
      </c>
      <c r="K254" s="37">
        <f>IFERROR(IF(AND(ISNUMBER('Semi Rev'!O111),ISNUMBER('Semi Rev'!K111),'Semi Rev'!K111&gt;0),'Semi Rev'!O111/'Semi Rev'!K111-1,""),"")</f>
        <v/>
      </c>
      <c r="L254" s="37">
        <f>IFERROR(IF(AND(ISNUMBER('Semi Rev'!P111),ISNUMBER('Semi Rev'!L111),'Semi Rev'!L111&gt;0),'Semi Rev'!P111/'Semi Rev'!L111-1,""),"")</f>
        <v/>
      </c>
      <c r="M254" s="38">
        <f>IFERROR(IF(AND(ISNUMBER('Semi Rev'!Q111),ISNUMBER('Semi Rev'!M111),'Semi Rev'!M111&gt;0),'Semi Rev'!Q111/'Semi Rev'!M111-1,""),"")</f>
        <v/>
      </c>
      <c r="N254" s="38">
        <f>IFERROR(IF(AND(ISNUMBER('Semi Rev'!R111),ISNUMBER('Semi Rev'!N111),'Semi Rev'!N111&gt;0),'Semi Rev'!R111/'Semi Rev'!N111-1,""),"")</f>
        <v/>
      </c>
    </row>
    <row r="255">
      <c r="A255" s="19">
        <f>'Semi Rev'!$A112</f>
        <v/>
      </c>
      <c r="B255" s="19">
        <f>'Semi Rev'!$B112</f>
        <v/>
      </c>
      <c r="C255" s="37">
        <f>IFERROR(IF(AND(ISNUMBER('Semi Rev'!G112),ISNUMBER('Semi Rev'!C112),'Semi Rev'!C112&gt;0),'Semi Rev'!G112/'Semi Rev'!C112-1,""),"")</f>
        <v/>
      </c>
      <c r="D255" s="37">
        <f>IFERROR(IF(AND(ISNUMBER('Semi Rev'!H112),ISNUMBER('Semi Rev'!D112),'Semi Rev'!D112&gt;0),'Semi Rev'!H112/'Semi Rev'!D112-1,""),"")</f>
        <v/>
      </c>
      <c r="E255" s="37">
        <f>IFERROR(IF(AND(ISNUMBER('Semi Rev'!I112),ISNUMBER('Semi Rev'!E112),'Semi Rev'!E112&gt;0),'Semi Rev'!I112/'Semi Rev'!E112-1,""),"")</f>
        <v/>
      </c>
      <c r="F255" s="37">
        <f>IFERROR(IF(AND(ISNUMBER('Semi Rev'!J112),ISNUMBER('Semi Rev'!F112),'Semi Rev'!F112&gt;0),'Semi Rev'!J112/'Semi Rev'!F112-1,""),"")</f>
        <v/>
      </c>
      <c r="G255" s="37">
        <f>IFERROR(IF(AND(ISNUMBER('Semi Rev'!K112),ISNUMBER('Semi Rev'!G112),'Semi Rev'!G112&gt;0),'Semi Rev'!K112/'Semi Rev'!G112-1,""),"")</f>
        <v/>
      </c>
      <c r="H255" s="37">
        <f>IFERROR(IF(AND(ISNUMBER('Semi Rev'!L112),ISNUMBER('Semi Rev'!H112),'Semi Rev'!H112&gt;0),'Semi Rev'!L112/'Semi Rev'!H112-1,""),"")</f>
        <v/>
      </c>
      <c r="I255" s="37">
        <f>IFERROR(IF(AND(ISNUMBER('Semi Rev'!M112),ISNUMBER('Semi Rev'!I112),'Semi Rev'!I112&gt;0),'Semi Rev'!M112/'Semi Rev'!I112-1,""),"")</f>
        <v/>
      </c>
      <c r="J255" s="37">
        <f>IFERROR(IF(AND(ISNUMBER('Semi Rev'!N112),ISNUMBER('Semi Rev'!J112),'Semi Rev'!J112&gt;0),'Semi Rev'!N112/'Semi Rev'!J112-1,""),"")</f>
        <v/>
      </c>
      <c r="K255" s="37">
        <f>IFERROR(IF(AND(ISNUMBER('Semi Rev'!O112),ISNUMBER('Semi Rev'!K112),'Semi Rev'!K112&gt;0),'Semi Rev'!O112/'Semi Rev'!K112-1,""),"")</f>
        <v/>
      </c>
      <c r="L255" s="37">
        <f>IFERROR(IF(AND(ISNUMBER('Semi Rev'!P112),ISNUMBER('Semi Rev'!L112),'Semi Rev'!L112&gt;0),'Semi Rev'!P112/'Semi Rev'!L112-1,""),"")</f>
        <v/>
      </c>
      <c r="M255" s="38">
        <f>IFERROR(IF(AND(ISNUMBER('Semi Rev'!Q112),ISNUMBER('Semi Rev'!M112),'Semi Rev'!M112&gt;0),'Semi Rev'!Q112/'Semi Rev'!M112-1,""),"")</f>
        <v/>
      </c>
      <c r="N255" s="38">
        <f>IFERROR(IF(AND(ISNUMBER('Semi Rev'!R112),ISNUMBER('Semi Rev'!N112),'Semi Rev'!N112&gt;0),'Semi Rev'!R112/'Semi Rev'!N112-1,""),"")</f>
        <v/>
      </c>
    </row>
    <row r="256">
      <c r="A256" s="19">
        <f>'Semi Rev'!$A113</f>
        <v/>
      </c>
      <c r="B256" s="19">
        <f>'Semi Rev'!$B113</f>
        <v/>
      </c>
      <c r="C256" s="37">
        <f>IFERROR(IF(AND(ISNUMBER('Semi Rev'!G113),ISNUMBER('Semi Rev'!C113),'Semi Rev'!C113&gt;0),'Semi Rev'!G113/'Semi Rev'!C113-1,""),"")</f>
        <v/>
      </c>
      <c r="D256" s="37">
        <f>IFERROR(IF(AND(ISNUMBER('Semi Rev'!H113),ISNUMBER('Semi Rev'!D113),'Semi Rev'!D113&gt;0),'Semi Rev'!H113/'Semi Rev'!D113-1,""),"")</f>
        <v/>
      </c>
      <c r="E256" s="37">
        <f>IFERROR(IF(AND(ISNUMBER('Semi Rev'!I113),ISNUMBER('Semi Rev'!E113),'Semi Rev'!E113&gt;0),'Semi Rev'!I113/'Semi Rev'!E113-1,""),"")</f>
        <v/>
      </c>
      <c r="F256" s="37">
        <f>IFERROR(IF(AND(ISNUMBER('Semi Rev'!J113),ISNUMBER('Semi Rev'!F113),'Semi Rev'!F113&gt;0),'Semi Rev'!J113/'Semi Rev'!F113-1,""),"")</f>
        <v/>
      </c>
      <c r="G256" s="37">
        <f>IFERROR(IF(AND(ISNUMBER('Semi Rev'!K113),ISNUMBER('Semi Rev'!G113),'Semi Rev'!G113&gt;0),'Semi Rev'!K113/'Semi Rev'!G113-1,""),"")</f>
        <v/>
      </c>
      <c r="H256" s="37">
        <f>IFERROR(IF(AND(ISNUMBER('Semi Rev'!L113),ISNUMBER('Semi Rev'!H113),'Semi Rev'!H113&gt;0),'Semi Rev'!L113/'Semi Rev'!H113-1,""),"")</f>
        <v/>
      </c>
      <c r="I256" s="37">
        <f>IFERROR(IF(AND(ISNUMBER('Semi Rev'!M113),ISNUMBER('Semi Rev'!I113),'Semi Rev'!I113&gt;0),'Semi Rev'!M113/'Semi Rev'!I113-1,""),"")</f>
        <v/>
      </c>
      <c r="J256" s="37">
        <f>IFERROR(IF(AND(ISNUMBER('Semi Rev'!N113),ISNUMBER('Semi Rev'!J113),'Semi Rev'!J113&gt;0),'Semi Rev'!N113/'Semi Rev'!J113-1,""),"")</f>
        <v/>
      </c>
      <c r="K256" s="37">
        <f>IFERROR(IF(AND(ISNUMBER('Semi Rev'!O113),ISNUMBER('Semi Rev'!K113),'Semi Rev'!K113&gt;0),'Semi Rev'!O113/'Semi Rev'!K113-1,""),"")</f>
        <v/>
      </c>
      <c r="L256" s="37">
        <f>IFERROR(IF(AND(ISNUMBER('Semi Rev'!P113),ISNUMBER('Semi Rev'!L113),'Semi Rev'!L113&gt;0),'Semi Rev'!P113/'Semi Rev'!L113-1,""),"")</f>
        <v/>
      </c>
      <c r="M256" s="38">
        <f>IFERROR(IF(AND(ISNUMBER('Semi Rev'!Q113),ISNUMBER('Semi Rev'!M113),'Semi Rev'!M113&gt;0),'Semi Rev'!Q113/'Semi Rev'!M113-1,""),"")</f>
        <v/>
      </c>
      <c r="N256" s="38">
        <f>IFERROR(IF(AND(ISNUMBER('Semi Rev'!R113),ISNUMBER('Semi Rev'!N113),'Semi Rev'!N113&gt;0),'Semi Rev'!R113/'Semi Rev'!N113-1,""),"")</f>
        <v/>
      </c>
    </row>
    <row r="257">
      <c r="A257" s="19">
        <f>'Semi Rev'!$A114</f>
        <v/>
      </c>
      <c r="B257" s="19">
        <f>'Semi Rev'!$B114</f>
        <v/>
      </c>
      <c r="C257" s="37">
        <f>IFERROR(IF(AND(ISNUMBER('Semi Rev'!G114),ISNUMBER('Semi Rev'!C114),'Semi Rev'!C114&gt;0),'Semi Rev'!G114/'Semi Rev'!C114-1,""),"")</f>
        <v/>
      </c>
      <c r="D257" s="37">
        <f>IFERROR(IF(AND(ISNUMBER('Semi Rev'!H114),ISNUMBER('Semi Rev'!D114),'Semi Rev'!D114&gt;0),'Semi Rev'!H114/'Semi Rev'!D114-1,""),"")</f>
        <v/>
      </c>
      <c r="E257" s="37">
        <f>IFERROR(IF(AND(ISNUMBER('Semi Rev'!I114),ISNUMBER('Semi Rev'!E114),'Semi Rev'!E114&gt;0),'Semi Rev'!I114/'Semi Rev'!E114-1,""),"")</f>
        <v/>
      </c>
      <c r="F257" s="37">
        <f>IFERROR(IF(AND(ISNUMBER('Semi Rev'!J114),ISNUMBER('Semi Rev'!F114),'Semi Rev'!F114&gt;0),'Semi Rev'!J114/'Semi Rev'!F114-1,""),"")</f>
        <v/>
      </c>
      <c r="G257" s="37">
        <f>IFERROR(IF(AND(ISNUMBER('Semi Rev'!K114),ISNUMBER('Semi Rev'!G114),'Semi Rev'!G114&gt;0),'Semi Rev'!K114/'Semi Rev'!G114-1,""),"")</f>
        <v/>
      </c>
      <c r="H257" s="37">
        <f>IFERROR(IF(AND(ISNUMBER('Semi Rev'!L114),ISNUMBER('Semi Rev'!H114),'Semi Rev'!H114&gt;0),'Semi Rev'!L114/'Semi Rev'!H114-1,""),"")</f>
        <v/>
      </c>
      <c r="I257" s="37">
        <f>IFERROR(IF(AND(ISNUMBER('Semi Rev'!M114),ISNUMBER('Semi Rev'!I114),'Semi Rev'!I114&gt;0),'Semi Rev'!M114/'Semi Rev'!I114-1,""),"")</f>
        <v/>
      </c>
      <c r="J257" s="37">
        <f>IFERROR(IF(AND(ISNUMBER('Semi Rev'!N114),ISNUMBER('Semi Rev'!J114),'Semi Rev'!J114&gt;0),'Semi Rev'!N114/'Semi Rev'!J114-1,""),"")</f>
        <v/>
      </c>
      <c r="K257" s="37">
        <f>IFERROR(IF(AND(ISNUMBER('Semi Rev'!O114),ISNUMBER('Semi Rev'!K114),'Semi Rev'!K114&gt;0),'Semi Rev'!O114/'Semi Rev'!K114-1,""),"")</f>
        <v/>
      </c>
      <c r="L257" s="37">
        <f>IFERROR(IF(AND(ISNUMBER('Semi Rev'!P114),ISNUMBER('Semi Rev'!L114),'Semi Rev'!L114&gt;0),'Semi Rev'!P114/'Semi Rev'!L114-1,""),"")</f>
        <v/>
      </c>
      <c r="M257" s="38">
        <f>IFERROR(IF(AND(ISNUMBER('Semi Rev'!Q114),ISNUMBER('Semi Rev'!M114),'Semi Rev'!M114&gt;0),'Semi Rev'!Q114/'Semi Rev'!M114-1,""),"")</f>
        <v/>
      </c>
      <c r="N257" s="38">
        <f>IFERROR(IF(AND(ISNUMBER('Semi Rev'!R114),ISNUMBER('Semi Rev'!N114),'Semi Rev'!N114&gt;0),'Semi Rev'!R114/'Semi Rev'!N114-1,""),"")</f>
        <v/>
      </c>
    </row>
    <row r="258">
      <c r="A258" s="19">
        <f>'Semi Rev'!$A115</f>
        <v/>
      </c>
      <c r="B258" s="19">
        <f>'Semi Rev'!$B115</f>
        <v/>
      </c>
      <c r="C258" s="37">
        <f>IFERROR(IF(AND(ISNUMBER('Semi Rev'!G115),ISNUMBER('Semi Rev'!C115),'Semi Rev'!C115&gt;0),'Semi Rev'!G115/'Semi Rev'!C115-1,""),"")</f>
        <v/>
      </c>
      <c r="D258" s="37">
        <f>IFERROR(IF(AND(ISNUMBER('Semi Rev'!H115),ISNUMBER('Semi Rev'!D115),'Semi Rev'!D115&gt;0),'Semi Rev'!H115/'Semi Rev'!D115-1,""),"")</f>
        <v/>
      </c>
      <c r="E258" s="37">
        <f>IFERROR(IF(AND(ISNUMBER('Semi Rev'!I115),ISNUMBER('Semi Rev'!E115),'Semi Rev'!E115&gt;0),'Semi Rev'!I115/'Semi Rev'!E115-1,""),"")</f>
        <v/>
      </c>
      <c r="F258" s="37">
        <f>IFERROR(IF(AND(ISNUMBER('Semi Rev'!J115),ISNUMBER('Semi Rev'!F115),'Semi Rev'!F115&gt;0),'Semi Rev'!J115/'Semi Rev'!F115-1,""),"")</f>
        <v/>
      </c>
      <c r="G258" s="37">
        <f>IFERROR(IF(AND(ISNUMBER('Semi Rev'!K115),ISNUMBER('Semi Rev'!G115),'Semi Rev'!G115&gt;0),'Semi Rev'!K115/'Semi Rev'!G115-1,""),"")</f>
        <v/>
      </c>
      <c r="H258" s="37">
        <f>IFERROR(IF(AND(ISNUMBER('Semi Rev'!L115),ISNUMBER('Semi Rev'!H115),'Semi Rev'!H115&gt;0),'Semi Rev'!L115/'Semi Rev'!H115-1,""),"")</f>
        <v/>
      </c>
      <c r="I258" s="37">
        <f>IFERROR(IF(AND(ISNUMBER('Semi Rev'!M115),ISNUMBER('Semi Rev'!I115),'Semi Rev'!I115&gt;0),'Semi Rev'!M115/'Semi Rev'!I115-1,""),"")</f>
        <v/>
      </c>
      <c r="J258" s="37">
        <f>IFERROR(IF(AND(ISNUMBER('Semi Rev'!N115),ISNUMBER('Semi Rev'!J115),'Semi Rev'!J115&gt;0),'Semi Rev'!N115/'Semi Rev'!J115-1,""),"")</f>
        <v/>
      </c>
      <c r="K258" s="37">
        <f>IFERROR(IF(AND(ISNUMBER('Semi Rev'!O115),ISNUMBER('Semi Rev'!K115),'Semi Rev'!K115&gt;0),'Semi Rev'!O115/'Semi Rev'!K115-1,""),"")</f>
        <v/>
      </c>
      <c r="L258" s="37">
        <f>IFERROR(IF(AND(ISNUMBER('Semi Rev'!P115),ISNUMBER('Semi Rev'!L115),'Semi Rev'!L115&gt;0),'Semi Rev'!P115/'Semi Rev'!L115-1,""),"")</f>
        <v/>
      </c>
      <c r="M258" s="38">
        <f>IFERROR(IF(AND(ISNUMBER('Semi Rev'!Q115),ISNUMBER('Semi Rev'!M115),'Semi Rev'!M115&gt;0),'Semi Rev'!Q115/'Semi Rev'!M115-1,""),"")</f>
        <v/>
      </c>
      <c r="N258" s="38">
        <f>IFERROR(IF(AND(ISNUMBER('Semi Rev'!R115),ISNUMBER('Semi Rev'!N115),'Semi Rev'!N115&gt;0),'Semi Rev'!R115/'Semi Rev'!N115-1,""),"")</f>
        <v/>
      </c>
    </row>
    <row r="259">
      <c r="A259" s="19">
        <f>'Semi Rev'!$A116</f>
        <v/>
      </c>
      <c r="B259" s="19">
        <f>'Semi Rev'!$B116</f>
        <v/>
      </c>
      <c r="C259" s="37">
        <f>IFERROR(IF(AND(ISNUMBER('Semi Rev'!G116),ISNUMBER('Semi Rev'!C116),'Semi Rev'!C116&gt;0),'Semi Rev'!G116/'Semi Rev'!C116-1,""),"")</f>
        <v/>
      </c>
      <c r="D259" s="37">
        <f>IFERROR(IF(AND(ISNUMBER('Semi Rev'!H116),ISNUMBER('Semi Rev'!D116),'Semi Rev'!D116&gt;0),'Semi Rev'!H116/'Semi Rev'!D116-1,""),"")</f>
        <v/>
      </c>
      <c r="E259" s="37">
        <f>IFERROR(IF(AND(ISNUMBER('Semi Rev'!I116),ISNUMBER('Semi Rev'!E116),'Semi Rev'!E116&gt;0),'Semi Rev'!I116/'Semi Rev'!E116-1,""),"")</f>
        <v/>
      </c>
      <c r="F259" s="37">
        <f>IFERROR(IF(AND(ISNUMBER('Semi Rev'!J116),ISNUMBER('Semi Rev'!F116),'Semi Rev'!F116&gt;0),'Semi Rev'!J116/'Semi Rev'!F116-1,""),"")</f>
        <v/>
      </c>
      <c r="G259" s="37">
        <f>IFERROR(IF(AND(ISNUMBER('Semi Rev'!K116),ISNUMBER('Semi Rev'!G116),'Semi Rev'!G116&gt;0),'Semi Rev'!K116/'Semi Rev'!G116-1,""),"")</f>
        <v/>
      </c>
      <c r="H259" s="37">
        <f>IFERROR(IF(AND(ISNUMBER('Semi Rev'!L116),ISNUMBER('Semi Rev'!H116),'Semi Rev'!H116&gt;0),'Semi Rev'!L116/'Semi Rev'!H116-1,""),"")</f>
        <v/>
      </c>
      <c r="I259" s="37">
        <f>IFERROR(IF(AND(ISNUMBER('Semi Rev'!M116),ISNUMBER('Semi Rev'!I116),'Semi Rev'!I116&gt;0),'Semi Rev'!M116/'Semi Rev'!I116-1,""),"")</f>
        <v/>
      </c>
      <c r="J259" s="37">
        <f>IFERROR(IF(AND(ISNUMBER('Semi Rev'!N116),ISNUMBER('Semi Rev'!J116),'Semi Rev'!J116&gt;0),'Semi Rev'!N116/'Semi Rev'!J116-1,""),"")</f>
        <v/>
      </c>
      <c r="K259" s="37">
        <f>IFERROR(IF(AND(ISNUMBER('Semi Rev'!O116),ISNUMBER('Semi Rev'!K116),'Semi Rev'!K116&gt;0),'Semi Rev'!O116/'Semi Rev'!K116-1,""),"")</f>
        <v/>
      </c>
      <c r="L259" s="37">
        <f>IFERROR(IF(AND(ISNUMBER('Semi Rev'!P116),ISNUMBER('Semi Rev'!L116),'Semi Rev'!L116&gt;0),'Semi Rev'!P116/'Semi Rev'!L116-1,""),"")</f>
        <v/>
      </c>
      <c r="M259" s="38">
        <f>IFERROR(IF(AND(ISNUMBER('Semi Rev'!Q116),ISNUMBER('Semi Rev'!M116),'Semi Rev'!M116&gt;0),'Semi Rev'!Q116/'Semi Rev'!M116-1,""),"")</f>
        <v/>
      </c>
      <c r="N259" s="38">
        <f>IFERROR(IF(AND(ISNUMBER('Semi Rev'!R116),ISNUMBER('Semi Rev'!N116),'Semi Rev'!N116&gt;0),'Semi Rev'!R116/'Semi Rev'!N116-1,""),"")</f>
        <v/>
      </c>
    </row>
    <row r="260">
      <c r="A260" s="19">
        <f>'Semi Rev'!$A117</f>
        <v/>
      </c>
      <c r="B260" s="19">
        <f>'Semi Rev'!$B117</f>
        <v/>
      </c>
      <c r="C260" s="37">
        <f>IFERROR(IF(AND(ISNUMBER('Semi Rev'!G117),ISNUMBER('Semi Rev'!C117),'Semi Rev'!C117&gt;0),'Semi Rev'!G117/'Semi Rev'!C117-1,""),"")</f>
        <v/>
      </c>
      <c r="D260" s="37">
        <f>IFERROR(IF(AND(ISNUMBER('Semi Rev'!H117),ISNUMBER('Semi Rev'!D117),'Semi Rev'!D117&gt;0),'Semi Rev'!H117/'Semi Rev'!D117-1,""),"")</f>
        <v/>
      </c>
      <c r="E260" s="37">
        <f>IFERROR(IF(AND(ISNUMBER('Semi Rev'!I117),ISNUMBER('Semi Rev'!E117),'Semi Rev'!E117&gt;0),'Semi Rev'!I117/'Semi Rev'!E117-1,""),"")</f>
        <v/>
      </c>
      <c r="F260" s="37">
        <f>IFERROR(IF(AND(ISNUMBER('Semi Rev'!J117),ISNUMBER('Semi Rev'!F117),'Semi Rev'!F117&gt;0),'Semi Rev'!J117/'Semi Rev'!F117-1,""),"")</f>
        <v/>
      </c>
      <c r="G260" s="37">
        <f>IFERROR(IF(AND(ISNUMBER('Semi Rev'!K117),ISNUMBER('Semi Rev'!G117),'Semi Rev'!G117&gt;0),'Semi Rev'!K117/'Semi Rev'!G117-1,""),"")</f>
        <v/>
      </c>
      <c r="H260" s="37">
        <f>IFERROR(IF(AND(ISNUMBER('Semi Rev'!L117),ISNUMBER('Semi Rev'!H117),'Semi Rev'!H117&gt;0),'Semi Rev'!L117/'Semi Rev'!H117-1,""),"")</f>
        <v/>
      </c>
      <c r="I260" s="37">
        <f>IFERROR(IF(AND(ISNUMBER('Semi Rev'!M117),ISNUMBER('Semi Rev'!I117),'Semi Rev'!I117&gt;0),'Semi Rev'!M117/'Semi Rev'!I117-1,""),"")</f>
        <v/>
      </c>
      <c r="J260" s="37">
        <f>IFERROR(IF(AND(ISNUMBER('Semi Rev'!N117),ISNUMBER('Semi Rev'!J117),'Semi Rev'!J117&gt;0),'Semi Rev'!N117/'Semi Rev'!J117-1,""),"")</f>
        <v/>
      </c>
      <c r="K260" s="37">
        <f>IFERROR(IF(AND(ISNUMBER('Semi Rev'!O117),ISNUMBER('Semi Rev'!K117),'Semi Rev'!K117&gt;0),'Semi Rev'!O117/'Semi Rev'!K117-1,""),"")</f>
        <v/>
      </c>
      <c r="L260" s="37">
        <f>IFERROR(IF(AND(ISNUMBER('Semi Rev'!P117),ISNUMBER('Semi Rev'!L117),'Semi Rev'!L117&gt;0),'Semi Rev'!P117/'Semi Rev'!L117-1,""),"")</f>
        <v/>
      </c>
      <c r="M260" s="38">
        <f>IFERROR(IF(AND(ISNUMBER('Semi Rev'!Q117),ISNUMBER('Semi Rev'!M117),'Semi Rev'!M117&gt;0),'Semi Rev'!Q117/'Semi Rev'!M117-1,""),"")</f>
        <v/>
      </c>
      <c r="N260" s="38">
        <f>IFERROR(IF(AND(ISNUMBER('Semi Rev'!R117),ISNUMBER('Semi Rev'!N117),'Semi Rev'!N117&gt;0),'Semi Rev'!R117/'Semi Rev'!N117-1,""),"")</f>
        <v/>
      </c>
    </row>
    <row r="261">
      <c r="A261" s="19">
        <f>'Semi Rev'!$A118</f>
        <v/>
      </c>
      <c r="B261" s="19">
        <f>'Semi Rev'!$B118</f>
        <v/>
      </c>
      <c r="C261" s="37">
        <f>IFERROR(IF(AND(ISNUMBER('Semi Rev'!G118),ISNUMBER('Semi Rev'!C118),'Semi Rev'!C118&gt;0),'Semi Rev'!G118/'Semi Rev'!C118-1,""),"")</f>
        <v/>
      </c>
      <c r="D261" s="37">
        <f>IFERROR(IF(AND(ISNUMBER('Semi Rev'!H118),ISNUMBER('Semi Rev'!D118),'Semi Rev'!D118&gt;0),'Semi Rev'!H118/'Semi Rev'!D118-1,""),"")</f>
        <v/>
      </c>
      <c r="E261" s="37">
        <f>IFERROR(IF(AND(ISNUMBER('Semi Rev'!I118),ISNUMBER('Semi Rev'!E118),'Semi Rev'!E118&gt;0),'Semi Rev'!I118/'Semi Rev'!E118-1,""),"")</f>
        <v/>
      </c>
      <c r="F261" s="37">
        <f>IFERROR(IF(AND(ISNUMBER('Semi Rev'!J118),ISNUMBER('Semi Rev'!F118),'Semi Rev'!F118&gt;0),'Semi Rev'!J118/'Semi Rev'!F118-1,""),"")</f>
        <v/>
      </c>
      <c r="G261" s="37">
        <f>IFERROR(IF(AND(ISNUMBER('Semi Rev'!K118),ISNUMBER('Semi Rev'!G118),'Semi Rev'!G118&gt;0),'Semi Rev'!K118/'Semi Rev'!G118-1,""),"")</f>
        <v/>
      </c>
      <c r="H261" s="37">
        <f>IFERROR(IF(AND(ISNUMBER('Semi Rev'!L118),ISNUMBER('Semi Rev'!H118),'Semi Rev'!H118&gt;0),'Semi Rev'!L118/'Semi Rev'!H118-1,""),"")</f>
        <v/>
      </c>
      <c r="I261" s="37">
        <f>IFERROR(IF(AND(ISNUMBER('Semi Rev'!M118),ISNUMBER('Semi Rev'!I118),'Semi Rev'!I118&gt;0),'Semi Rev'!M118/'Semi Rev'!I118-1,""),"")</f>
        <v/>
      </c>
      <c r="J261" s="37">
        <f>IFERROR(IF(AND(ISNUMBER('Semi Rev'!N118),ISNUMBER('Semi Rev'!J118),'Semi Rev'!J118&gt;0),'Semi Rev'!N118/'Semi Rev'!J118-1,""),"")</f>
        <v/>
      </c>
      <c r="K261" s="37">
        <f>IFERROR(IF(AND(ISNUMBER('Semi Rev'!O118),ISNUMBER('Semi Rev'!K118),'Semi Rev'!K118&gt;0),'Semi Rev'!O118/'Semi Rev'!K118-1,""),"")</f>
        <v/>
      </c>
      <c r="L261" s="37">
        <f>IFERROR(IF(AND(ISNUMBER('Semi Rev'!P118),ISNUMBER('Semi Rev'!L118),'Semi Rev'!L118&gt;0),'Semi Rev'!P118/'Semi Rev'!L118-1,""),"")</f>
        <v/>
      </c>
      <c r="M261" s="38">
        <f>IFERROR(IF(AND(ISNUMBER('Semi Rev'!Q118),ISNUMBER('Semi Rev'!M118),'Semi Rev'!M118&gt;0),'Semi Rev'!Q118/'Semi Rev'!M118-1,""),"")</f>
        <v/>
      </c>
      <c r="N261" s="38">
        <f>IFERROR(IF(AND(ISNUMBER('Semi Rev'!R118),ISNUMBER('Semi Rev'!N118),'Semi Rev'!N118&gt;0),'Semi Rev'!R118/'Semi Rev'!N118-1,""),"")</f>
        <v/>
      </c>
    </row>
    <row r="262">
      <c r="A262" s="19">
        <f>'Semi Rev'!$A119</f>
        <v/>
      </c>
      <c r="B262" s="19">
        <f>'Semi Rev'!$B119</f>
        <v/>
      </c>
      <c r="C262" s="37">
        <f>IFERROR(IF(AND(ISNUMBER('Semi Rev'!G119),ISNUMBER('Semi Rev'!C119),'Semi Rev'!C119&gt;0),'Semi Rev'!G119/'Semi Rev'!C119-1,""),"")</f>
        <v/>
      </c>
      <c r="D262" s="37">
        <f>IFERROR(IF(AND(ISNUMBER('Semi Rev'!H119),ISNUMBER('Semi Rev'!D119),'Semi Rev'!D119&gt;0),'Semi Rev'!H119/'Semi Rev'!D119-1,""),"")</f>
        <v/>
      </c>
      <c r="E262" s="37">
        <f>IFERROR(IF(AND(ISNUMBER('Semi Rev'!I119),ISNUMBER('Semi Rev'!E119),'Semi Rev'!E119&gt;0),'Semi Rev'!I119/'Semi Rev'!E119-1,""),"")</f>
        <v/>
      </c>
      <c r="F262" s="37">
        <f>IFERROR(IF(AND(ISNUMBER('Semi Rev'!J119),ISNUMBER('Semi Rev'!F119),'Semi Rev'!F119&gt;0),'Semi Rev'!J119/'Semi Rev'!F119-1,""),"")</f>
        <v/>
      </c>
      <c r="G262" s="37">
        <f>IFERROR(IF(AND(ISNUMBER('Semi Rev'!K119),ISNUMBER('Semi Rev'!G119),'Semi Rev'!G119&gt;0),'Semi Rev'!K119/'Semi Rev'!G119-1,""),"")</f>
        <v/>
      </c>
      <c r="H262" s="37">
        <f>IFERROR(IF(AND(ISNUMBER('Semi Rev'!L119),ISNUMBER('Semi Rev'!H119),'Semi Rev'!H119&gt;0),'Semi Rev'!L119/'Semi Rev'!H119-1,""),"")</f>
        <v/>
      </c>
      <c r="I262" s="37">
        <f>IFERROR(IF(AND(ISNUMBER('Semi Rev'!M119),ISNUMBER('Semi Rev'!I119),'Semi Rev'!I119&gt;0),'Semi Rev'!M119/'Semi Rev'!I119-1,""),"")</f>
        <v/>
      </c>
      <c r="J262" s="37">
        <f>IFERROR(IF(AND(ISNUMBER('Semi Rev'!N119),ISNUMBER('Semi Rev'!J119),'Semi Rev'!J119&gt;0),'Semi Rev'!N119/'Semi Rev'!J119-1,""),"")</f>
        <v/>
      </c>
      <c r="K262" s="37">
        <f>IFERROR(IF(AND(ISNUMBER('Semi Rev'!O119),ISNUMBER('Semi Rev'!K119),'Semi Rev'!K119&gt;0),'Semi Rev'!O119/'Semi Rev'!K119-1,""),"")</f>
        <v/>
      </c>
      <c r="L262" s="37">
        <f>IFERROR(IF(AND(ISNUMBER('Semi Rev'!P119),ISNUMBER('Semi Rev'!L119),'Semi Rev'!L119&gt;0),'Semi Rev'!P119/'Semi Rev'!L119-1,""),"")</f>
        <v/>
      </c>
      <c r="M262" s="38">
        <f>IFERROR(IF(AND(ISNUMBER('Semi Rev'!Q119),ISNUMBER('Semi Rev'!M119),'Semi Rev'!M119&gt;0),'Semi Rev'!Q119/'Semi Rev'!M119-1,""),"")</f>
        <v/>
      </c>
      <c r="N262" s="38">
        <f>IFERROR(IF(AND(ISNUMBER('Semi Rev'!R119),ISNUMBER('Semi Rev'!N119),'Semi Rev'!N119&gt;0),'Semi Rev'!R119/'Semi Rev'!N119-1,""),"")</f>
        <v/>
      </c>
    </row>
    <row r="263">
      <c r="A263" s="19">
        <f>'Semi Rev'!$A120</f>
        <v/>
      </c>
      <c r="B263" s="19">
        <f>'Semi Rev'!$B120</f>
        <v/>
      </c>
      <c r="C263" s="37">
        <f>IFERROR(IF(AND(ISNUMBER('Semi Rev'!G120),ISNUMBER('Semi Rev'!C120),'Semi Rev'!C120&gt;0),'Semi Rev'!G120/'Semi Rev'!C120-1,""),"")</f>
        <v/>
      </c>
      <c r="D263" s="37">
        <f>IFERROR(IF(AND(ISNUMBER('Semi Rev'!H120),ISNUMBER('Semi Rev'!D120),'Semi Rev'!D120&gt;0),'Semi Rev'!H120/'Semi Rev'!D120-1,""),"")</f>
        <v/>
      </c>
      <c r="E263" s="37">
        <f>IFERROR(IF(AND(ISNUMBER('Semi Rev'!I120),ISNUMBER('Semi Rev'!E120),'Semi Rev'!E120&gt;0),'Semi Rev'!I120/'Semi Rev'!E120-1,""),"")</f>
        <v/>
      </c>
      <c r="F263" s="37">
        <f>IFERROR(IF(AND(ISNUMBER('Semi Rev'!J120),ISNUMBER('Semi Rev'!F120),'Semi Rev'!F120&gt;0),'Semi Rev'!J120/'Semi Rev'!F120-1,""),"")</f>
        <v/>
      </c>
      <c r="G263" s="37">
        <f>IFERROR(IF(AND(ISNUMBER('Semi Rev'!K120),ISNUMBER('Semi Rev'!G120),'Semi Rev'!G120&gt;0),'Semi Rev'!K120/'Semi Rev'!G120-1,""),"")</f>
        <v/>
      </c>
      <c r="H263" s="37">
        <f>IFERROR(IF(AND(ISNUMBER('Semi Rev'!L120),ISNUMBER('Semi Rev'!H120),'Semi Rev'!H120&gt;0),'Semi Rev'!L120/'Semi Rev'!H120-1,""),"")</f>
        <v/>
      </c>
      <c r="I263" s="37">
        <f>IFERROR(IF(AND(ISNUMBER('Semi Rev'!M120),ISNUMBER('Semi Rev'!I120),'Semi Rev'!I120&gt;0),'Semi Rev'!M120/'Semi Rev'!I120-1,""),"")</f>
        <v/>
      </c>
      <c r="J263" s="37">
        <f>IFERROR(IF(AND(ISNUMBER('Semi Rev'!N120),ISNUMBER('Semi Rev'!J120),'Semi Rev'!J120&gt;0),'Semi Rev'!N120/'Semi Rev'!J120-1,""),"")</f>
        <v/>
      </c>
      <c r="K263" s="37">
        <f>IFERROR(IF(AND(ISNUMBER('Semi Rev'!O120),ISNUMBER('Semi Rev'!K120),'Semi Rev'!K120&gt;0),'Semi Rev'!O120/'Semi Rev'!K120-1,""),"")</f>
        <v/>
      </c>
      <c r="L263" s="37">
        <f>IFERROR(IF(AND(ISNUMBER('Semi Rev'!P120),ISNUMBER('Semi Rev'!L120),'Semi Rev'!L120&gt;0),'Semi Rev'!P120/'Semi Rev'!L120-1,""),"")</f>
        <v/>
      </c>
      <c r="M263" s="38">
        <f>IFERROR(IF(AND(ISNUMBER('Semi Rev'!Q120),ISNUMBER('Semi Rev'!M120),'Semi Rev'!M120&gt;0),'Semi Rev'!Q120/'Semi Rev'!M120-1,""),"")</f>
        <v/>
      </c>
      <c r="N263" s="38">
        <f>IFERROR(IF(AND(ISNUMBER('Semi Rev'!R120),ISNUMBER('Semi Rev'!N120),'Semi Rev'!N120&gt;0),'Semi Rev'!R120/'Semi Rev'!N120-1,""),"")</f>
        <v/>
      </c>
    </row>
    <row r="264">
      <c r="A264" s="19">
        <f>'Semi Rev'!$A121</f>
        <v/>
      </c>
      <c r="B264" s="19">
        <f>'Semi Rev'!$B121</f>
        <v/>
      </c>
      <c r="C264" s="37">
        <f>IFERROR(IF(AND(ISNUMBER('Semi Rev'!G121),ISNUMBER('Semi Rev'!C121),'Semi Rev'!C121&gt;0),'Semi Rev'!G121/'Semi Rev'!C121-1,""),"")</f>
        <v/>
      </c>
      <c r="D264" s="37">
        <f>IFERROR(IF(AND(ISNUMBER('Semi Rev'!H121),ISNUMBER('Semi Rev'!D121),'Semi Rev'!D121&gt;0),'Semi Rev'!H121/'Semi Rev'!D121-1,""),"")</f>
        <v/>
      </c>
      <c r="E264" s="37">
        <f>IFERROR(IF(AND(ISNUMBER('Semi Rev'!I121),ISNUMBER('Semi Rev'!E121),'Semi Rev'!E121&gt;0),'Semi Rev'!I121/'Semi Rev'!E121-1,""),"")</f>
        <v/>
      </c>
      <c r="F264" s="37">
        <f>IFERROR(IF(AND(ISNUMBER('Semi Rev'!J121),ISNUMBER('Semi Rev'!F121),'Semi Rev'!F121&gt;0),'Semi Rev'!J121/'Semi Rev'!F121-1,""),"")</f>
        <v/>
      </c>
      <c r="G264" s="37">
        <f>IFERROR(IF(AND(ISNUMBER('Semi Rev'!K121),ISNUMBER('Semi Rev'!G121),'Semi Rev'!G121&gt;0),'Semi Rev'!K121/'Semi Rev'!G121-1,""),"")</f>
        <v/>
      </c>
      <c r="H264" s="37">
        <f>IFERROR(IF(AND(ISNUMBER('Semi Rev'!L121),ISNUMBER('Semi Rev'!H121),'Semi Rev'!H121&gt;0),'Semi Rev'!L121/'Semi Rev'!H121-1,""),"")</f>
        <v/>
      </c>
      <c r="I264" s="37">
        <f>IFERROR(IF(AND(ISNUMBER('Semi Rev'!M121),ISNUMBER('Semi Rev'!I121),'Semi Rev'!I121&gt;0),'Semi Rev'!M121/'Semi Rev'!I121-1,""),"")</f>
        <v/>
      </c>
      <c r="J264" s="37">
        <f>IFERROR(IF(AND(ISNUMBER('Semi Rev'!N121),ISNUMBER('Semi Rev'!J121),'Semi Rev'!J121&gt;0),'Semi Rev'!N121/'Semi Rev'!J121-1,""),"")</f>
        <v/>
      </c>
      <c r="K264" s="37">
        <f>IFERROR(IF(AND(ISNUMBER('Semi Rev'!O121),ISNUMBER('Semi Rev'!K121),'Semi Rev'!K121&gt;0),'Semi Rev'!O121/'Semi Rev'!K121-1,""),"")</f>
        <v/>
      </c>
      <c r="L264" s="37">
        <f>IFERROR(IF(AND(ISNUMBER('Semi Rev'!P121),ISNUMBER('Semi Rev'!L121),'Semi Rev'!L121&gt;0),'Semi Rev'!P121/'Semi Rev'!L121-1,""),"")</f>
        <v/>
      </c>
      <c r="M264" s="38">
        <f>IFERROR(IF(AND(ISNUMBER('Semi Rev'!Q121),ISNUMBER('Semi Rev'!M121),'Semi Rev'!M121&gt;0),'Semi Rev'!Q121/'Semi Rev'!M121-1,""),"")</f>
        <v/>
      </c>
      <c r="N264" s="38">
        <f>IFERROR(IF(AND(ISNUMBER('Semi Rev'!R121),ISNUMBER('Semi Rev'!N121),'Semi Rev'!N121&gt;0),'Semi Rev'!R121/'Semi Rev'!N121-1,""),"")</f>
        <v/>
      </c>
    </row>
    <row r="265">
      <c r="A265" s="19">
        <f>'Semi Rev'!$A122</f>
        <v/>
      </c>
      <c r="B265" s="19">
        <f>'Semi Rev'!$B122</f>
        <v/>
      </c>
      <c r="C265" s="37">
        <f>IFERROR(IF(AND(ISNUMBER('Semi Rev'!G122),ISNUMBER('Semi Rev'!C122),'Semi Rev'!C122&gt;0),'Semi Rev'!G122/'Semi Rev'!C122-1,""),"")</f>
        <v/>
      </c>
      <c r="D265" s="37">
        <f>IFERROR(IF(AND(ISNUMBER('Semi Rev'!H122),ISNUMBER('Semi Rev'!D122),'Semi Rev'!D122&gt;0),'Semi Rev'!H122/'Semi Rev'!D122-1,""),"")</f>
        <v/>
      </c>
      <c r="E265" s="37">
        <f>IFERROR(IF(AND(ISNUMBER('Semi Rev'!I122),ISNUMBER('Semi Rev'!E122),'Semi Rev'!E122&gt;0),'Semi Rev'!I122/'Semi Rev'!E122-1,""),"")</f>
        <v/>
      </c>
      <c r="F265" s="37">
        <f>IFERROR(IF(AND(ISNUMBER('Semi Rev'!J122),ISNUMBER('Semi Rev'!F122),'Semi Rev'!F122&gt;0),'Semi Rev'!J122/'Semi Rev'!F122-1,""),"")</f>
        <v/>
      </c>
      <c r="G265" s="37">
        <f>IFERROR(IF(AND(ISNUMBER('Semi Rev'!K122),ISNUMBER('Semi Rev'!G122),'Semi Rev'!G122&gt;0),'Semi Rev'!K122/'Semi Rev'!G122-1,""),"")</f>
        <v/>
      </c>
      <c r="H265" s="37">
        <f>IFERROR(IF(AND(ISNUMBER('Semi Rev'!L122),ISNUMBER('Semi Rev'!H122),'Semi Rev'!H122&gt;0),'Semi Rev'!L122/'Semi Rev'!H122-1,""),"")</f>
        <v/>
      </c>
      <c r="I265" s="37">
        <f>IFERROR(IF(AND(ISNUMBER('Semi Rev'!M122),ISNUMBER('Semi Rev'!I122),'Semi Rev'!I122&gt;0),'Semi Rev'!M122/'Semi Rev'!I122-1,""),"")</f>
        <v/>
      </c>
      <c r="J265" s="37">
        <f>IFERROR(IF(AND(ISNUMBER('Semi Rev'!N122),ISNUMBER('Semi Rev'!J122),'Semi Rev'!J122&gt;0),'Semi Rev'!N122/'Semi Rev'!J122-1,""),"")</f>
        <v/>
      </c>
      <c r="K265" s="37">
        <f>IFERROR(IF(AND(ISNUMBER('Semi Rev'!O122),ISNUMBER('Semi Rev'!K122),'Semi Rev'!K122&gt;0),'Semi Rev'!O122/'Semi Rev'!K122-1,""),"")</f>
        <v/>
      </c>
      <c r="L265" s="37">
        <f>IFERROR(IF(AND(ISNUMBER('Semi Rev'!P122),ISNUMBER('Semi Rev'!L122),'Semi Rev'!L122&gt;0),'Semi Rev'!P122/'Semi Rev'!L122-1,""),"")</f>
        <v/>
      </c>
      <c r="M265" s="38">
        <f>IFERROR(IF(AND(ISNUMBER('Semi Rev'!Q122),ISNUMBER('Semi Rev'!M122),'Semi Rev'!M122&gt;0),'Semi Rev'!Q122/'Semi Rev'!M122-1,""),"")</f>
        <v/>
      </c>
      <c r="N265" s="38">
        <f>IFERROR(IF(AND(ISNUMBER('Semi Rev'!R122),ISNUMBER('Semi Rev'!N122),'Semi Rev'!N122&gt;0),'Semi Rev'!R122/'Semi Rev'!N122-1,""),"")</f>
        <v/>
      </c>
    </row>
    <row r="266">
      <c r="A266" s="19">
        <f>'Semi Rev'!$A123</f>
        <v/>
      </c>
      <c r="B266" s="19">
        <f>'Semi Rev'!$B123</f>
        <v/>
      </c>
      <c r="C266" s="37">
        <f>IFERROR(IF(AND(ISNUMBER('Semi Rev'!G123),ISNUMBER('Semi Rev'!C123),'Semi Rev'!C123&gt;0),'Semi Rev'!G123/'Semi Rev'!C123-1,""),"")</f>
        <v/>
      </c>
      <c r="D266" s="37">
        <f>IFERROR(IF(AND(ISNUMBER('Semi Rev'!H123),ISNUMBER('Semi Rev'!D123),'Semi Rev'!D123&gt;0),'Semi Rev'!H123/'Semi Rev'!D123-1,""),"")</f>
        <v/>
      </c>
      <c r="E266" s="37">
        <f>IFERROR(IF(AND(ISNUMBER('Semi Rev'!I123),ISNUMBER('Semi Rev'!E123),'Semi Rev'!E123&gt;0),'Semi Rev'!I123/'Semi Rev'!E123-1,""),"")</f>
        <v/>
      </c>
      <c r="F266" s="37">
        <f>IFERROR(IF(AND(ISNUMBER('Semi Rev'!J123),ISNUMBER('Semi Rev'!F123),'Semi Rev'!F123&gt;0),'Semi Rev'!J123/'Semi Rev'!F123-1,""),"")</f>
        <v/>
      </c>
      <c r="G266" s="37">
        <f>IFERROR(IF(AND(ISNUMBER('Semi Rev'!K123),ISNUMBER('Semi Rev'!G123),'Semi Rev'!G123&gt;0),'Semi Rev'!K123/'Semi Rev'!G123-1,""),"")</f>
        <v/>
      </c>
      <c r="H266" s="37">
        <f>IFERROR(IF(AND(ISNUMBER('Semi Rev'!L123),ISNUMBER('Semi Rev'!H123),'Semi Rev'!H123&gt;0),'Semi Rev'!L123/'Semi Rev'!H123-1,""),"")</f>
        <v/>
      </c>
      <c r="I266" s="37">
        <f>IFERROR(IF(AND(ISNUMBER('Semi Rev'!M123),ISNUMBER('Semi Rev'!I123),'Semi Rev'!I123&gt;0),'Semi Rev'!M123/'Semi Rev'!I123-1,""),"")</f>
        <v/>
      </c>
      <c r="J266" s="37">
        <f>IFERROR(IF(AND(ISNUMBER('Semi Rev'!N123),ISNUMBER('Semi Rev'!J123),'Semi Rev'!J123&gt;0),'Semi Rev'!N123/'Semi Rev'!J123-1,""),"")</f>
        <v/>
      </c>
      <c r="K266" s="37">
        <f>IFERROR(IF(AND(ISNUMBER('Semi Rev'!O123),ISNUMBER('Semi Rev'!K123),'Semi Rev'!K123&gt;0),'Semi Rev'!O123/'Semi Rev'!K123-1,""),"")</f>
        <v/>
      </c>
      <c r="L266" s="37">
        <f>IFERROR(IF(AND(ISNUMBER('Semi Rev'!P123),ISNUMBER('Semi Rev'!L123),'Semi Rev'!L123&gt;0),'Semi Rev'!P123/'Semi Rev'!L123-1,""),"")</f>
        <v/>
      </c>
      <c r="M266" s="38">
        <f>IFERROR(IF(AND(ISNUMBER('Semi Rev'!Q123),ISNUMBER('Semi Rev'!M123),'Semi Rev'!M123&gt;0),'Semi Rev'!Q123/'Semi Rev'!M123-1,""),"")</f>
        <v/>
      </c>
      <c r="N266" s="38">
        <f>IFERROR(IF(AND(ISNUMBER('Semi Rev'!R123),ISNUMBER('Semi Rev'!N123),'Semi Rev'!N123&gt;0),'Semi Rev'!R123/'Semi Rev'!N123-1,""),"")</f>
        <v/>
      </c>
    </row>
    <row r="267">
      <c r="A267" s="19">
        <f>'Semi Rev'!$A124</f>
        <v/>
      </c>
      <c r="B267" s="19">
        <f>'Semi Rev'!$B124</f>
        <v/>
      </c>
      <c r="C267" s="37">
        <f>IFERROR(IF(AND(ISNUMBER('Semi Rev'!G124),ISNUMBER('Semi Rev'!C124),'Semi Rev'!C124&gt;0),'Semi Rev'!G124/'Semi Rev'!C124-1,""),"")</f>
        <v/>
      </c>
      <c r="D267" s="37">
        <f>IFERROR(IF(AND(ISNUMBER('Semi Rev'!H124),ISNUMBER('Semi Rev'!D124),'Semi Rev'!D124&gt;0),'Semi Rev'!H124/'Semi Rev'!D124-1,""),"")</f>
        <v/>
      </c>
      <c r="E267" s="37">
        <f>IFERROR(IF(AND(ISNUMBER('Semi Rev'!I124),ISNUMBER('Semi Rev'!E124),'Semi Rev'!E124&gt;0),'Semi Rev'!I124/'Semi Rev'!E124-1,""),"")</f>
        <v/>
      </c>
      <c r="F267" s="37">
        <f>IFERROR(IF(AND(ISNUMBER('Semi Rev'!J124),ISNUMBER('Semi Rev'!F124),'Semi Rev'!F124&gt;0),'Semi Rev'!J124/'Semi Rev'!F124-1,""),"")</f>
        <v/>
      </c>
      <c r="G267" s="37">
        <f>IFERROR(IF(AND(ISNUMBER('Semi Rev'!K124),ISNUMBER('Semi Rev'!G124),'Semi Rev'!G124&gt;0),'Semi Rev'!K124/'Semi Rev'!G124-1,""),"")</f>
        <v/>
      </c>
      <c r="H267" s="37">
        <f>IFERROR(IF(AND(ISNUMBER('Semi Rev'!L124),ISNUMBER('Semi Rev'!H124),'Semi Rev'!H124&gt;0),'Semi Rev'!L124/'Semi Rev'!H124-1,""),"")</f>
        <v/>
      </c>
      <c r="I267" s="37">
        <f>IFERROR(IF(AND(ISNUMBER('Semi Rev'!M124),ISNUMBER('Semi Rev'!I124),'Semi Rev'!I124&gt;0),'Semi Rev'!M124/'Semi Rev'!I124-1,""),"")</f>
        <v/>
      </c>
      <c r="J267" s="37">
        <f>IFERROR(IF(AND(ISNUMBER('Semi Rev'!N124),ISNUMBER('Semi Rev'!J124),'Semi Rev'!J124&gt;0),'Semi Rev'!N124/'Semi Rev'!J124-1,""),"")</f>
        <v/>
      </c>
      <c r="K267" s="37">
        <f>IFERROR(IF(AND(ISNUMBER('Semi Rev'!O124),ISNUMBER('Semi Rev'!K124),'Semi Rev'!K124&gt;0),'Semi Rev'!O124/'Semi Rev'!K124-1,""),"")</f>
        <v/>
      </c>
      <c r="L267" s="37">
        <f>IFERROR(IF(AND(ISNUMBER('Semi Rev'!P124),ISNUMBER('Semi Rev'!L124),'Semi Rev'!L124&gt;0),'Semi Rev'!P124/'Semi Rev'!L124-1,""),"")</f>
        <v/>
      </c>
      <c r="M267" s="38">
        <f>IFERROR(IF(AND(ISNUMBER('Semi Rev'!Q124),ISNUMBER('Semi Rev'!M124),'Semi Rev'!M124&gt;0),'Semi Rev'!Q124/'Semi Rev'!M124-1,""),"")</f>
        <v/>
      </c>
      <c r="N267" s="38">
        <f>IFERROR(IF(AND(ISNUMBER('Semi Rev'!R124),ISNUMBER('Semi Rev'!N124),'Semi Rev'!N124&gt;0),'Semi Rev'!R124/'Semi Rev'!N124-1,""),"")</f>
        <v/>
      </c>
    </row>
    <row r="268">
      <c r="A268" s="19">
        <f>'Semi Rev'!$A125</f>
        <v/>
      </c>
      <c r="B268" s="19">
        <f>'Semi Rev'!$B125</f>
        <v/>
      </c>
      <c r="C268" s="37">
        <f>IFERROR(IF(AND(ISNUMBER('Semi Rev'!G125),ISNUMBER('Semi Rev'!C125),'Semi Rev'!C125&gt;0),'Semi Rev'!G125/'Semi Rev'!C125-1,""),"")</f>
        <v/>
      </c>
      <c r="D268" s="37">
        <f>IFERROR(IF(AND(ISNUMBER('Semi Rev'!H125),ISNUMBER('Semi Rev'!D125),'Semi Rev'!D125&gt;0),'Semi Rev'!H125/'Semi Rev'!D125-1,""),"")</f>
        <v/>
      </c>
      <c r="E268" s="37">
        <f>IFERROR(IF(AND(ISNUMBER('Semi Rev'!I125),ISNUMBER('Semi Rev'!E125),'Semi Rev'!E125&gt;0),'Semi Rev'!I125/'Semi Rev'!E125-1,""),"")</f>
        <v/>
      </c>
      <c r="F268" s="37">
        <f>IFERROR(IF(AND(ISNUMBER('Semi Rev'!J125),ISNUMBER('Semi Rev'!F125),'Semi Rev'!F125&gt;0),'Semi Rev'!J125/'Semi Rev'!F125-1,""),"")</f>
        <v/>
      </c>
      <c r="G268" s="37">
        <f>IFERROR(IF(AND(ISNUMBER('Semi Rev'!K125),ISNUMBER('Semi Rev'!G125),'Semi Rev'!G125&gt;0),'Semi Rev'!K125/'Semi Rev'!G125-1,""),"")</f>
        <v/>
      </c>
      <c r="H268" s="37">
        <f>IFERROR(IF(AND(ISNUMBER('Semi Rev'!L125),ISNUMBER('Semi Rev'!H125),'Semi Rev'!H125&gt;0),'Semi Rev'!L125/'Semi Rev'!H125-1,""),"")</f>
        <v/>
      </c>
      <c r="I268" s="37">
        <f>IFERROR(IF(AND(ISNUMBER('Semi Rev'!M125),ISNUMBER('Semi Rev'!I125),'Semi Rev'!I125&gt;0),'Semi Rev'!M125/'Semi Rev'!I125-1,""),"")</f>
        <v/>
      </c>
      <c r="J268" s="37">
        <f>IFERROR(IF(AND(ISNUMBER('Semi Rev'!N125),ISNUMBER('Semi Rev'!J125),'Semi Rev'!J125&gt;0),'Semi Rev'!N125/'Semi Rev'!J125-1,""),"")</f>
        <v/>
      </c>
      <c r="K268" s="37">
        <f>IFERROR(IF(AND(ISNUMBER('Semi Rev'!O125),ISNUMBER('Semi Rev'!K125),'Semi Rev'!K125&gt;0),'Semi Rev'!O125/'Semi Rev'!K125-1,""),"")</f>
        <v/>
      </c>
      <c r="L268" s="37">
        <f>IFERROR(IF(AND(ISNUMBER('Semi Rev'!P125),ISNUMBER('Semi Rev'!L125),'Semi Rev'!L125&gt;0),'Semi Rev'!P125/'Semi Rev'!L125-1,""),"")</f>
        <v/>
      </c>
      <c r="M268" s="38">
        <f>IFERROR(IF(AND(ISNUMBER('Semi Rev'!Q125),ISNUMBER('Semi Rev'!M125),'Semi Rev'!M125&gt;0),'Semi Rev'!Q125/'Semi Rev'!M125-1,""),"")</f>
        <v/>
      </c>
      <c r="N268" s="38">
        <f>IFERROR(IF(AND(ISNUMBER('Semi Rev'!R125),ISNUMBER('Semi Rev'!N125),'Semi Rev'!N125&gt;0),'Semi Rev'!R125/'Semi Rev'!N125-1,""),"")</f>
        <v/>
      </c>
    </row>
    <row r="269">
      <c r="A269" s="19">
        <f>'Semi Rev'!$A126</f>
        <v/>
      </c>
      <c r="B269" s="19">
        <f>'Semi Rev'!$B126</f>
        <v/>
      </c>
      <c r="C269" s="37">
        <f>IFERROR(IF(AND(ISNUMBER('Semi Rev'!G126),ISNUMBER('Semi Rev'!C126),'Semi Rev'!C126&gt;0),'Semi Rev'!G126/'Semi Rev'!C126-1,""),"")</f>
        <v/>
      </c>
      <c r="D269" s="37">
        <f>IFERROR(IF(AND(ISNUMBER('Semi Rev'!H126),ISNUMBER('Semi Rev'!D126),'Semi Rev'!D126&gt;0),'Semi Rev'!H126/'Semi Rev'!D126-1,""),"")</f>
        <v/>
      </c>
      <c r="E269" s="37">
        <f>IFERROR(IF(AND(ISNUMBER('Semi Rev'!I126),ISNUMBER('Semi Rev'!E126),'Semi Rev'!E126&gt;0),'Semi Rev'!I126/'Semi Rev'!E126-1,""),"")</f>
        <v/>
      </c>
      <c r="F269" s="37">
        <f>IFERROR(IF(AND(ISNUMBER('Semi Rev'!J126),ISNUMBER('Semi Rev'!F126),'Semi Rev'!F126&gt;0),'Semi Rev'!J126/'Semi Rev'!F126-1,""),"")</f>
        <v/>
      </c>
      <c r="G269" s="37">
        <f>IFERROR(IF(AND(ISNUMBER('Semi Rev'!K126),ISNUMBER('Semi Rev'!G126),'Semi Rev'!G126&gt;0),'Semi Rev'!K126/'Semi Rev'!G126-1,""),"")</f>
        <v/>
      </c>
      <c r="H269" s="37">
        <f>IFERROR(IF(AND(ISNUMBER('Semi Rev'!L126),ISNUMBER('Semi Rev'!H126),'Semi Rev'!H126&gt;0),'Semi Rev'!L126/'Semi Rev'!H126-1,""),"")</f>
        <v/>
      </c>
      <c r="I269" s="37">
        <f>IFERROR(IF(AND(ISNUMBER('Semi Rev'!M126),ISNUMBER('Semi Rev'!I126),'Semi Rev'!I126&gt;0),'Semi Rev'!M126/'Semi Rev'!I126-1,""),"")</f>
        <v/>
      </c>
      <c r="J269" s="37">
        <f>IFERROR(IF(AND(ISNUMBER('Semi Rev'!N126),ISNUMBER('Semi Rev'!J126),'Semi Rev'!J126&gt;0),'Semi Rev'!N126/'Semi Rev'!J126-1,""),"")</f>
        <v/>
      </c>
      <c r="K269" s="37">
        <f>IFERROR(IF(AND(ISNUMBER('Semi Rev'!O126),ISNUMBER('Semi Rev'!K126),'Semi Rev'!K126&gt;0),'Semi Rev'!O126/'Semi Rev'!K126-1,""),"")</f>
        <v/>
      </c>
      <c r="L269" s="37">
        <f>IFERROR(IF(AND(ISNUMBER('Semi Rev'!P126),ISNUMBER('Semi Rev'!L126),'Semi Rev'!L126&gt;0),'Semi Rev'!P126/'Semi Rev'!L126-1,""),"")</f>
        <v/>
      </c>
      <c r="M269" s="38">
        <f>IFERROR(IF(AND(ISNUMBER('Semi Rev'!Q126),ISNUMBER('Semi Rev'!M126),'Semi Rev'!M126&gt;0),'Semi Rev'!Q126/'Semi Rev'!M126-1,""),"")</f>
        <v/>
      </c>
      <c r="N269" s="38">
        <f>IFERROR(IF(AND(ISNUMBER('Semi Rev'!R126),ISNUMBER('Semi Rev'!N126),'Semi Rev'!N126&gt;0),'Semi Rev'!R126/'Semi Rev'!N126-1,""),"")</f>
        <v/>
      </c>
    </row>
    <row r="270">
      <c r="A270" s="19">
        <f>'Semi Rev'!$A127</f>
        <v/>
      </c>
      <c r="B270" s="19">
        <f>'Semi Rev'!$B127</f>
        <v/>
      </c>
      <c r="C270" s="37">
        <f>IFERROR(IF(AND(ISNUMBER('Semi Rev'!G127),ISNUMBER('Semi Rev'!C127),'Semi Rev'!C127&gt;0),'Semi Rev'!G127/'Semi Rev'!C127-1,""),"")</f>
        <v/>
      </c>
      <c r="D270" s="37">
        <f>IFERROR(IF(AND(ISNUMBER('Semi Rev'!H127),ISNUMBER('Semi Rev'!D127),'Semi Rev'!D127&gt;0),'Semi Rev'!H127/'Semi Rev'!D127-1,""),"")</f>
        <v/>
      </c>
      <c r="E270" s="37">
        <f>IFERROR(IF(AND(ISNUMBER('Semi Rev'!I127),ISNUMBER('Semi Rev'!E127),'Semi Rev'!E127&gt;0),'Semi Rev'!I127/'Semi Rev'!E127-1,""),"")</f>
        <v/>
      </c>
      <c r="F270" s="37">
        <f>IFERROR(IF(AND(ISNUMBER('Semi Rev'!J127),ISNUMBER('Semi Rev'!F127),'Semi Rev'!F127&gt;0),'Semi Rev'!J127/'Semi Rev'!F127-1,""),"")</f>
        <v/>
      </c>
      <c r="G270" s="37">
        <f>IFERROR(IF(AND(ISNUMBER('Semi Rev'!K127),ISNUMBER('Semi Rev'!G127),'Semi Rev'!G127&gt;0),'Semi Rev'!K127/'Semi Rev'!G127-1,""),"")</f>
        <v/>
      </c>
      <c r="H270" s="37">
        <f>IFERROR(IF(AND(ISNUMBER('Semi Rev'!L127),ISNUMBER('Semi Rev'!H127),'Semi Rev'!H127&gt;0),'Semi Rev'!L127/'Semi Rev'!H127-1,""),"")</f>
        <v/>
      </c>
      <c r="I270" s="37">
        <f>IFERROR(IF(AND(ISNUMBER('Semi Rev'!M127),ISNUMBER('Semi Rev'!I127),'Semi Rev'!I127&gt;0),'Semi Rev'!M127/'Semi Rev'!I127-1,""),"")</f>
        <v/>
      </c>
      <c r="J270" s="37">
        <f>IFERROR(IF(AND(ISNUMBER('Semi Rev'!N127),ISNUMBER('Semi Rev'!J127),'Semi Rev'!J127&gt;0),'Semi Rev'!N127/'Semi Rev'!J127-1,""),"")</f>
        <v/>
      </c>
      <c r="K270" s="37">
        <f>IFERROR(IF(AND(ISNUMBER('Semi Rev'!O127),ISNUMBER('Semi Rev'!K127),'Semi Rev'!K127&gt;0),'Semi Rev'!O127/'Semi Rev'!K127-1,""),"")</f>
        <v/>
      </c>
      <c r="L270" s="37">
        <f>IFERROR(IF(AND(ISNUMBER('Semi Rev'!P127),ISNUMBER('Semi Rev'!L127),'Semi Rev'!L127&gt;0),'Semi Rev'!P127/'Semi Rev'!L127-1,""),"")</f>
        <v/>
      </c>
      <c r="M270" s="38">
        <f>IFERROR(IF(AND(ISNUMBER('Semi Rev'!Q127),ISNUMBER('Semi Rev'!M127),'Semi Rev'!M127&gt;0),'Semi Rev'!Q127/'Semi Rev'!M127-1,""),"")</f>
        <v/>
      </c>
      <c r="N270" s="38">
        <f>IFERROR(IF(AND(ISNUMBER('Semi Rev'!R127),ISNUMBER('Semi Rev'!N127),'Semi Rev'!N127&gt;0),'Semi Rev'!R127/'Semi Rev'!N127-1,""),"")</f>
        <v/>
      </c>
    </row>
    <row r="271">
      <c r="A271" s="19">
        <f>'Semi Rev'!$A128</f>
        <v/>
      </c>
      <c r="B271" s="19">
        <f>'Semi Rev'!$B128</f>
        <v/>
      </c>
      <c r="C271" s="37">
        <f>IFERROR(IF(AND(ISNUMBER('Semi Rev'!G128),ISNUMBER('Semi Rev'!C128),'Semi Rev'!C128&gt;0),'Semi Rev'!G128/'Semi Rev'!C128-1,""),"")</f>
        <v/>
      </c>
      <c r="D271" s="37">
        <f>IFERROR(IF(AND(ISNUMBER('Semi Rev'!H128),ISNUMBER('Semi Rev'!D128),'Semi Rev'!D128&gt;0),'Semi Rev'!H128/'Semi Rev'!D128-1,""),"")</f>
        <v/>
      </c>
      <c r="E271" s="37">
        <f>IFERROR(IF(AND(ISNUMBER('Semi Rev'!I128),ISNUMBER('Semi Rev'!E128),'Semi Rev'!E128&gt;0),'Semi Rev'!I128/'Semi Rev'!E128-1,""),"")</f>
        <v/>
      </c>
      <c r="F271" s="37">
        <f>IFERROR(IF(AND(ISNUMBER('Semi Rev'!J128),ISNUMBER('Semi Rev'!F128),'Semi Rev'!F128&gt;0),'Semi Rev'!J128/'Semi Rev'!F128-1,""),"")</f>
        <v/>
      </c>
      <c r="G271" s="37">
        <f>IFERROR(IF(AND(ISNUMBER('Semi Rev'!K128),ISNUMBER('Semi Rev'!G128),'Semi Rev'!G128&gt;0),'Semi Rev'!K128/'Semi Rev'!G128-1,""),"")</f>
        <v/>
      </c>
      <c r="H271" s="37">
        <f>IFERROR(IF(AND(ISNUMBER('Semi Rev'!L128),ISNUMBER('Semi Rev'!H128),'Semi Rev'!H128&gt;0),'Semi Rev'!L128/'Semi Rev'!H128-1,""),"")</f>
        <v/>
      </c>
      <c r="I271" s="37">
        <f>IFERROR(IF(AND(ISNUMBER('Semi Rev'!M128),ISNUMBER('Semi Rev'!I128),'Semi Rev'!I128&gt;0),'Semi Rev'!M128/'Semi Rev'!I128-1,""),"")</f>
        <v/>
      </c>
      <c r="J271" s="37">
        <f>IFERROR(IF(AND(ISNUMBER('Semi Rev'!N128),ISNUMBER('Semi Rev'!J128),'Semi Rev'!J128&gt;0),'Semi Rev'!N128/'Semi Rev'!J128-1,""),"")</f>
        <v/>
      </c>
      <c r="K271" s="37">
        <f>IFERROR(IF(AND(ISNUMBER('Semi Rev'!O128),ISNUMBER('Semi Rev'!K128),'Semi Rev'!K128&gt;0),'Semi Rev'!O128/'Semi Rev'!K128-1,""),"")</f>
        <v/>
      </c>
      <c r="L271" s="37">
        <f>IFERROR(IF(AND(ISNUMBER('Semi Rev'!P128),ISNUMBER('Semi Rev'!L128),'Semi Rev'!L128&gt;0),'Semi Rev'!P128/'Semi Rev'!L128-1,""),"")</f>
        <v/>
      </c>
      <c r="M271" s="38">
        <f>IFERROR(IF(AND(ISNUMBER('Semi Rev'!Q128),ISNUMBER('Semi Rev'!M128),'Semi Rev'!M128&gt;0),'Semi Rev'!Q128/'Semi Rev'!M128-1,""),"")</f>
        <v/>
      </c>
      <c r="N271" s="38">
        <f>IFERROR(IF(AND(ISNUMBER('Semi Rev'!R128),ISNUMBER('Semi Rev'!N128),'Semi Rev'!N128&gt;0),'Semi Rev'!R128/'Semi Rev'!N128-1,""),"")</f>
        <v/>
      </c>
    </row>
    <row r="272">
      <c r="A272" s="19">
        <f>'Semi Rev'!$A129</f>
        <v/>
      </c>
      <c r="B272" s="19">
        <f>'Semi Rev'!$B129</f>
        <v/>
      </c>
      <c r="C272" s="37">
        <f>IFERROR(IF(AND(ISNUMBER('Semi Rev'!G129),ISNUMBER('Semi Rev'!C129),'Semi Rev'!C129&gt;0),'Semi Rev'!G129/'Semi Rev'!C129-1,""),"")</f>
        <v/>
      </c>
      <c r="D272" s="37">
        <f>IFERROR(IF(AND(ISNUMBER('Semi Rev'!H129),ISNUMBER('Semi Rev'!D129),'Semi Rev'!D129&gt;0),'Semi Rev'!H129/'Semi Rev'!D129-1,""),"")</f>
        <v/>
      </c>
      <c r="E272" s="37">
        <f>IFERROR(IF(AND(ISNUMBER('Semi Rev'!I129),ISNUMBER('Semi Rev'!E129),'Semi Rev'!E129&gt;0),'Semi Rev'!I129/'Semi Rev'!E129-1,""),"")</f>
        <v/>
      </c>
      <c r="F272" s="37">
        <f>IFERROR(IF(AND(ISNUMBER('Semi Rev'!J129),ISNUMBER('Semi Rev'!F129),'Semi Rev'!F129&gt;0),'Semi Rev'!J129/'Semi Rev'!F129-1,""),"")</f>
        <v/>
      </c>
      <c r="G272" s="37">
        <f>IFERROR(IF(AND(ISNUMBER('Semi Rev'!K129),ISNUMBER('Semi Rev'!G129),'Semi Rev'!G129&gt;0),'Semi Rev'!K129/'Semi Rev'!G129-1,""),"")</f>
        <v/>
      </c>
      <c r="H272" s="37">
        <f>IFERROR(IF(AND(ISNUMBER('Semi Rev'!L129),ISNUMBER('Semi Rev'!H129),'Semi Rev'!H129&gt;0),'Semi Rev'!L129/'Semi Rev'!H129-1,""),"")</f>
        <v/>
      </c>
      <c r="I272" s="37">
        <f>IFERROR(IF(AND(ISNUMBER('Semi Rev'!M129),ISNUMBER('Semi Rev'!I129),'Semi Rev'!I129&gt;0),'Semi Rev'!M129/'Semi Rev'!I129-1,""),"")</f>
        <v/>
      </c>
      <c r="J272" s="37">
        <f>IFERROR(IF(AND(ISNUMBER('Semi Rev'!N129),ISNUMBER('Semi Rev'!J129),'Semi Rev'!J129&gt;0),'Semi Rev'!N129/'Semi Rev'!J129-1,""),"")</f>
        <v/>
      </c>
      <c r="K272" s="37">
        <f>IFERROR(IF(AND(ISNUMBER('Semi Rev'!O129),ISNUMBER('Semi Rev'!K129),'Semi Rev'!K129&gt;0),'Semi Rev'!O129/'Semi Rev'!K129-1,""),"")</f>
        <v/>
      </c>
      <c r="L272" s="37">
        <f>IFERROR(IF(AND(ISNUMBER('Semi Rev'!P129),ISNUMBER('Semi Rev'!L129),'Semi Rev'!L129&gt;0),'Semi Rev'!P129/'Semi Rev'!L129-1,""),"")</f>
        <v/>
      </c>
      <c r="M272" s="38">
        <f>IFERROR(IF(AND(ISNUMBER('Semi Rev'!Q129),ISNUMBER('Semi Rev'!M129),'Semi Rev'!M129&gt;0),'Semi Rev'!Q129/'Semi Rev'!M129-1,""),"")</f>
        <v/>
      </c>
      <c r="N272" s="38">
        <f>IFERROR(IF(AND(ISNUMBER('Semi Rev'!R129),ISNUMBER('Semi Rev'!N129),'Semi Rev'!N129&gt;0),'Semi Rev'!R129/'Semi Rev'!N129-1,""),"")</f>
        <v/>
      </c>
    </row>
    <row r="273">
      <c r="A273" s="19">
        <f>'Semi Rev'!$A130</f>
        <v/>
      </c>
      <c r="B273" s="19">
        <f>'Semi Rev'!$B130</f>
        <v/>
      </c>
      <c r="C273" s="37">
        <f>IFERROR(IF(AND(ISNUMBER('Semi Rev'!G130),ISNUMBER('Semi Rev'!C130),'Semi Rev'!C130&gt;0),'Semi Rev'!G130/'Semi Rev'!C130-1,""),"")</f>
        <v/>
      </c>
      <c r="D273" s="37">
        <f>IFERROR(IF(AND(ISNUMBER('Semi Rev'!H130),ISNUMBER('Semi Rev'!D130),'Semi Rev'!D130&gt;0),'Semi Rev'!H130/'Semi Rev'!D130-1,""),"")</f>
        <v/>
      </c>
      <c r="E273" s="37">
        <f>IFERROR(IF(AND(ISNUMBER('Semi Rev'!I130),ISNUMBER('Semi Rev'!E130),'Semi Rev'!E130&gt;0),'Semi Rev'!I130/'Semi Rev'!E130-1,""),"")</f>
        <v/>
      </c>
      <c r="F273" s="37">
        <f>IFERROR(IF(AND(ISNUMBER('Semi Rev'!J130),ISNUMBER('Semi Rev'!F130),'Semi Rev'!F130&gt;0),'Semi Rev'!J130/'Semi Rev'!F130-1,""),"")</f>
        <v/>
      </c>
      <c r="G273" s="37">
        <f>IFERROR(IF(AND(ISNUMBER('Semi Rev'!K130),ISNUMBER('Semi Rev'!G130),'Semi Rev'!G130&gt;0),'Semi Rev'!K130/'Semi Rev'!G130-1,""),"")</f>
        <v/>
      </c>
      <c r="H273" s="37">
        <f>IFERROR(IF(AND(ISNUMBER('Semi Rev'!L130),ISNUMBER('Semi Rev'!H130),'Semi Rev'!H130&gt;0),'Semi Rev'!L130/'Semi Rev'!H130-1,""),"")</f>
        <v/>
      </c>
      <c r="I273" s="37">
        <f>IFERROR(IF(AND(ISNUMBER('Semi Rev'!M130),ISNUMBER('Semi Rev'!I130),'Semi Rev'!I130&gt;0),'Semi Rev'!M130/'Semi Rev'!I130-1,""),"")</f>
        <v/>
      </c>
      <c r="J273" s="37">
        <f>IFERROR(IF(AND(ISNUMBER('Semi Rev'!N130),ISNUMBER('Semi Rev'!J130),'Semi Rev'!J130&gt;0),'Semi Rev'!N130/'Semi Rev'!J130-1,""),"")</f>
        <v/>
      </c>
      <c r="K273" s="37">
        <f>IFERROR(IF(AND(ISNUMBER('Semi Rev'!O130),ISNUMBER('Semi Rev'!K130),'Semi Rev'!K130&gt;0),'Semi Rev'!O130/'Semi Rev'!K130-1,""),"")</f>
        <v/>
      </c>
      <c r="L273" s="37">
        <f>IFERROR(IF(AND(ISNUMBER('Semi Rev'!P130),ISNUMBER('Semi Rev'!L130),'Semi Rev'!L130&gt;0),'Semi Rev'!P130/'Semi Rev'!L130-1,""),"")</f>
        <v/>
      </c>
      <c r="M273" s="38">
        <f>IFERROR(IF(AND(ISNUMBER('Semi Rev'!Q130),ISNUMBER('Semi Rev'!M130),'Semi Rev'!M130&gt;0),'Semi Rev'!Q130/'Semi Rev'!M130-1,""),"")</f>
        <v/>
      </c>
      <c r="N273" s="38">
        <f>IFERROR(IF(AND(ISNUMBER('Semi Rev'!R130),ISNUMBER('Semi Rev'!N130),'Semi Rev'!N130&gt;0),'Semi Rev'!R130/'Semi Rev'!N130-1,""),"")</f>
        <v/>
      </c>
    </row>
    <row r="274">
      <c r="A274" s="19">
        <f>'Semi Rev'!$A131</f>
        <v/>
      </c>
      <c r="B274" s="19">
        <f>'Semi Rev'!$B131</f>
        <v/>
      </c>
      <c r="C274" s="37">
        <f>IFERROR(IF(AND(ISNUMBER('Semi Rev'!G131),ISNUMBER('Semi Rev'!C131),'Semi Rev'!C131&gt;0),'Semi Rev'!G131/'Semi Rev'!C131-1,""),"")</f>
        <v/>
      </c>
      <c r="D274" s="37">
        <f>IFERROR(IF(AND(ISNUMBER('Semi Rev'!H131),ISNUMBER('Semi Rev'!D131),'Semi Rev'!D131&gt;0),'Semi Rev'!H131/'Semi Rev'!D131-1,""),"")</f>
        <v/>
      </c>
      <c r="E274" s="37">
        <f>IFERROR(IF(AND(ISNUMBER('Semi Rev'!I131),ISNUMBER('Semi Rev'!E131),'Semi Rev'!E131&gt;0),'Semi Rev'!I131/'Semi Rev'!E131-1,""),"")</f>
        <v/>
      </c>
      <c r="F274" s="37">
        <f>IFERROR(IF(AND(ISNUMBER('Semi Rev'!J131),ISNUMBER('Semi Rev'!F131),'Semi Rev'!F131&gt;0),'Semi Rev'!J131/'Semi Rev'!F131-1,""),"")</f>
        <v/>
      </c>
      <c r="G274" s="37">
        <f>IFERROR(IF(AND(ISNUMBER('Semi Rev'!K131),ISNUMBER('Semi Rev'!G131),'Semi Rev'!G131&gt;0),'Semi Rev'!K131/'Semi Rev'!G131-1,""),"")</f>
        <v/>
      </c>
      <c r="H274" s="37">
        <f>IFERROR(IF(AND(ISNUMBER('Semi Rev'!L131),ISNUMBER('Semi Rev'!H131),'Semi Rev'!H131&gt;0),'Semi Rev'!L131/'Semi Rev'!H131-1,""),"")</f>
        <v/>
      </c>
      <c r="I274" s="37">
        <f>IFERROR(IF(AND(ISNUMBER('Semi Rev'!M131),ISNUMBER('Semi Rev'!I131),'Semi Rev'!I131&gt;0),'Semi Rev'!M131/'Semi Rev'!I131-1,""),"")</f>
        <v/>
      </c>
      <c r="J274" s="37">
        <f>IFERROR(IF(AND(ISNUMBER('Semi Rev'!N131),ISNUMBER('Semi Rev'!J131),'Semi Rev'!J131&gt;0),'Semi Rev'!N131/'Semi Rev'!J131-1,""),"")</f>
        <v/>
      </c>
      <c r="K274" s="37">
        <f>IFERROR(IF(AND(ISNUMBER('Semi Rev'!O131),ISNUMBER('Semi Rev'!K131),'Semi Rev'!K131&gt;0),'Semi Rev'!O131/'Semi Rev'!K131-1,""),"")</f>
        <v/>
      </c>
      <c r="L274" s="37">
        <f>IFERROR(IF(AND(ISNUMBER('Semi Rev'!P131),ISNUMBER('Semi Rev'!L131),'Semi Rev'!L131&gt;0),'Semi Rev'!P131/'Semi Rev'!L131-1,""),"")</f>
        <v/>
      </c>
      <c r="M274" s="38">
        <f>IFERROR(IF(AND(ISNUMBER('Semi Rev'!Q131),ISNUMBER('Semi Rev'!M131),'Semi Rev'!M131&gt;0),'Semi Rev'!Q131/'Semi Rev'!M131-1,""),"")</f>
        <v/>
      </c>
      <c r="N274" s="38">
        <f>IFERROR(IF(AND(ISNUMBER('Semi Rev'!R131),ISNUMBER('Semi Rev'!N131),'Semi Rev'!N131&gt;0),'Semi Rev'!R131/'Semi Rev'!N131-1,""),"")</f>
        <v/>
      </c>
    </row>
    <row r="275">
      <c r="A275" s="19">
        <f>'Semi Rev'!$A132</f>
        <v/>
      </c>
      <c r="B275" s="19">
        <f>'Semi Rev'!$B132</f>
        <v/>
      </c>
      <c r="C275" s="37">
        <f>IFERROR(IF(AND(ISNUMBER('Semi Rev'!G132),ISNUMBER('Semi Rev'!C132),'Semi Rev'!C132&gt;0),'Semi Rev'!G132/'Semi Rev'!C132-1,""),"")</f>
        <v/>
      </c>
      <c r="D275" s="37">
        <f>IFERROR(IF(AND(ISNUMBER('Semi Rev'!H132),ISNUMBER('Semi Rev'!D132),'Semi Rev'!D132&gt;0),'Semi Rev'!H132/'Semi Rev'!D132-1,""),"")</f>
        <v/>
      </c>
      <c r="E275" s="37">
        <f>IFERROR(IF(AND(ISNUMBER('Semi Rev'!I132),ISNUMBER('Semi Rev'!E132),'Semi Rev'!E132&gt;0),'Semi Rev'!I132/'Semi Rev'!E132-1,""),"")</f>
        <v/>
      </c>
      <c r="F275" s="37">
        <f>IFERROR(IF(AND(ISNUMBER('Semi Rev'!J132),ISNUMBER('Semi Rev'!F132),'Semi Rev'!F132&gt;0),'Semi Rev'!J132/'Semi Rev'!F132-1,""),"")</f>
        <v/>
      </c>
      <c r="G275" s="37">
        <f>IFERROR(IF(AND(ISNUMBER('Semi Rev'!K132),ISNUMBER('Semi Rev'!G132),'Semi Rev'!G132&gt;0),'Semi Rev'!K132/'Semi Rev'!G132-1,""),"")</f>
        <v/>
      </c>
      <c r="H275" s="37">
        <f>IFERROR(IF(AND(ISNUMBER('Semi Rev'!L132),ISNUMBER('Semi Rev'!H132),'Semi Rev'!H132&gt;0),'Semi Rev'!L132/'Semi Rev'!H132-1,""),"")</f>
        <v/>
      </c>
      <c r="I275" s="37">
        <f>IFERROR(IF(AND(ISNUMBER('Semi Rev'!M132),ISNUMBER('Semi Rev'!I132),'Semi Rev'!I132&gt;0),'Semi Rev'!M132/'Semi Rev'!I132-1,""),"")</f>
        <v/>
      </c>
      <c r="J275" s="37">
        <f>IFERROR(IF(AND(ISNUMBER('Semi Rev'!N132),ISNUMBER('Semi Rev'!J132),'Semi Rev'!J132&gt;0),'Semi Rev'!N132/'Semi Rev'!J132-1,""),"")</f>
        <v/>
      </c>
      <c r="K275" s="37">
        <f>IFERROR(IF(AND(ISNUMBER('Semi Rev'!O132),ISNUMBER('Semi Rev'!K132),'Semi Rev'!K132&gt;0),'Semi Rev'!O132/'Semi Rev'!K132-1,""),"")</f>
        <v/>
      </c>
      <c r="L275" s="37">
        <f>IFERROR(IF(AND(ISNUMBER('Semi Rev'!P132),ISNUMBER('Semi Rev'!L132),'Semi Rev'!L132&gt;0),'Semi Rev'!P132/'Semi Rev'!L132-1,""),"")</f>
        <v/>
      </c>
      <c r="M275" s="38">
        <f>IFERROR(IF(AND(ISNUMBER('Semi Rev'!Q132),ISNUMBER('Semi Rev'!M132),'Semi Rev'!M132&gt;0),'Semi Rev'!Q132/'Semi Rev'!M132-1,""),"")</f>
        <v/>
      </c>
      <c r="N275" s="38">
        <f>IFERROR(IF(AND(ISNUMBER('Semi Rev'!R132),ISNUMBER('Semi Rev'!N132),'Semi Rev'!N132&gt;0),'Semi Rev'!R132/'Semi Rev'!N132-1,""),"")</f>
        <v/>
      </c>
    </row>
    <row r="276">
      <c r="A276" s="19">
        <f>'Semi Rev'!$A133</f>
        <v/>
      </c>
      <c r="B276" s="19">
        <f>'Semi Rev'!$B133</f>
        <v/>
      </c>
      <c r="C276" s="37">
        <f>IFERROR(IF(AND(ISNUMBER('Semi Rev'!G133),ISNUMBER('Semi Rev'!C133),'Semi Rev'!C133&gt;0),'Semi Rev'!G133/'Semi Rev'!C133-1,""),"")</f>
        <v/>
      </c>
      <c r="D276" s="37">
        <f>IFERROR(IF(AND(ISNUMBER('Semi Rev'!H133),ISNUMBER('Semi Rev'!D133),'Semi Rev'!D133&gt;0),'Semi Rev'!H133/'Semi Rev'!D133-1,""),"")</f>
        <v/>
      </c>
      <c r="E276" s="37">
        <f>IFERROR(IF(AND(ISNUMBER('Semi Rev'!I133),ISNUMBER('Semi Rev'!E133),'Semi Rev'!E133&gt;0),'Semi Rev'!I133/'Semi Rev'!E133-1,""),"")</f>
        <v/>
      </c>
      <c r="F276" s="37">
        <f>IFERROR(IF(AND(ISNUMBER('Semi Rev'!J133),ISNUMBER('Semi Rev'!F133),'Semi Rev'!F133&gt;0),'Semi Rev'!J133/'Semi Rev'!F133-1,""),"")</f>
        <v/>
      </c>
      <c r="G276" s="37">
        <f>IFERROR(IF(AND(ISNUMBER('Semi Rev'!K133),ISNUMBER('Semi Rev'!G133),'Semi Rev'!G133&gt;0),'Semi Rev'!K133/'Semi Rev'!G133-1,""),"")</f>
        <v/>
      </c>
      <c r="H276" s="37">
        <f>IFERROR(IF(AND(ISNUMBER('Semi Rev'!L133),ISNUMBER('Semi Rev'!H133),'Semi Rev'!H133&gt;0),'Semi Rev'!L133/'Semi Rev'!H133-1,""),"")</f>
        <v/>
      </c>
      <c r="I276" s="37">
        <f>IFERROR(IF(AND(ISNUMBER('Semi Rev'!M133),ISNUMBER('Semi Rev'!I133),'Semi Rev'!I133&gt;0),'Semi Rev'!M133/'Semi Rev'!I133-1,""),"")</f>
        <v/>
      </c>
      <c r="J276" s="37">
        <f>IFERROR(IF(AND(ISNUMBER('Semi Rev'!N133),ISNUMBER('Semi Rev'!J133),'Semi Rev'!J133&gt;0),'Semi Rev'!N133/'Semi Rev'!J133-1,""),"")</f>
        <v/>
      </c>
      <c r="K276" s="37">
        <f>IFERROR(IF(AND(ISNUMBER('Semi Rev'!O133),ISNUMBER('Semi Rev'!K133),'Semi Rev'!K133&gt;0),'Semi Rev'!O133/'Semi Rev'!K133-1,""),"")</f>
        <v/>
      </c>
      <c r="L276" s="37">
        <f>IFERROR(IF(AND(ISNUMBER('Semi Rev'!P133),ISNUMBER('Semi Rev'!L133),'Semi Rev'!L133&gt;0),'Semi Rev'!P133/'Semi Rev'!L133-1,""),"")</f>
        <v/>
      </c>
      <c r="M276" s="38">
        <f>IFERROR(IF(AND(ISNUMBER('Semi Rev'!Q133),ISNUMBER('Semi Rev'!M133),'Semi Rev'!M133&gt;0),'Semi Rev'!Q133/'Semi Rev'!M133-1,""),"")</f>
        <v/>
      </c>
      <c r="N276" s="38">
        <f>IFERROR(IF(AND(ISNUMBER('Semi Rev'!R133),ISNUMBER('Semi Rev'!N133),'Semi Rev'!N133&gt;0),'Semi Rev'!R133/'Semi Rev'!N133-1,""),"")</f>
        <v/>
      </c>
    </row>
    <row r="277">
      <c r="A277" s="19">
        <f>'Semi Rev'!$A134</f>
        <v/>
      </c>
      <c r="B277" s="19">
        <f>'Semi Rev'!$B134</f>
        <v/>
      </c>
      <c r="C277" s="37">
        <f>IFERROR(IF(AND(ISNUMBER('Semi Rev'!G134),ISNUMBER('Semi Rev'!C134),'Semi Rev'!C134&gt;0),'Semi Rev'!G134/'Semi Rev'!C134-1,""),"")</f>
        <v/>
      </c>
      <c r="D277" s="37">
        <f>IFERROR(IF(AND(ISNUMBER('Semi Rev'!H134),ISNUMBER('Semi Rev'!D134),'Semi Rev'!D134&gt;0),'Semi Rev'!H134/'Semi Rev'!D134-1,""),"")</f>
        <v/>
      </c>
      <c r="E277" s="37">
        <f>IFERROR(IF(AND(ISNUMBER('Semi Rev'!I134),ISNUMBER('Semi Rev'!E134),'Semi Rev'!E134&gt;0),'Semi Rev'!I134/'Semi Rev'!E134-1,""),"")</f>
        <v/>
      </c>
      <c r="F277" s="37">
        <f>IFERROR(IF(AND(ISNUMBER('Semi Rev'!J134),ISNUMBER('Semi Rev'!F134),'Semi Rev'!F134&gt;0),'Semi Rev'!J134/'Semi Rev'!F134-1,""),"")</f>
        <v/>
      </c>
      <c r="G277" s="37">
        <f>IFERROR(IF(AND(ISNUMBER('Semi Rev'!K134),ISNUMBER('Semi Rev'!G134),'Semi Rev'!G134&gt;0),'Semi Rev'!K134/'Semi Rev'!G134-1,""),"")</f>
        <v/>
      </c>
      <c r="H277" s="37">
        <f>IFERROR(IF(AND(ISNUMBER('Semi Rev'!L134),ISNUMBER('Semi Rev'!H134),'Semi Rev'!H134&gt;0),'Semi Rev'!L134/'Semi Rev'!H134-1,""),"")</f>
        <v/>
      </c>
      <c r="I277" s="37">
        <f>IFERROR(IF(AND(ISNUMBER('Semi Rev'!M134),ISNUMBER('Semi Rev'!I134),'Semi Rev'!I134&gt;0),'Semi Rev'!M134/'Semi Rev'!I134-1,""),"")</f>
        <v/>
      </c>
      <c r="J277" s="37">
        <f>IFERROR(IF(AND(ISNUMBER('Semi Rev'!N134),ISNUMBER('Semi Rev'!J134),'Semi Rev'!J134&gt;0),'Semi Rev'!N134/'Semi Rev'!J134-1,""),"")</f>
        <v/>
      </c>
      <c r="K277" s="37">
        <f>IFERROR(IF(AND(ISNUMBER('Semi Rev'!O134),ISNUMBER('Semi Rev'!K134),'Semi Rev'!K134&gt;0),'Semi Rev'!O134/'Semi Rev'!K134-1,""),"")</f>
        <v/>
      </c>
      <c r="L277" s="37">
        <f>IFERROR(IF(AND(ISNUMBER('Semi Rev'!P134),ISNUMBER('Semi Rev'!L134),'Semi Rev'!L134&gt;0),'Semi Rev'!P134/'Semi Rev'!L134-1,""),"")</f>
        <v/>
      </c>
      <c r="M277" s="38">
        <f>IFERROR(IF(AND(ISNUMBER('Semi Rev'!Q134),ISNUMBER('Semi Rev'!M134),'Semi Rev'!M134&gt;0),'Semi Rev'!Q134/'Semi Rev'!M134-1,""),"")</f>
        <v/>
      </c>
      <c r="N277" s="38">
        <f>IFERROR(IF(AND(ISNUMBER('Semi Rev'!R134),ISNUMBER('Semi Rev'!N134),'Semi Rev'!N134&gt;0),'Semi Rev'!R134/'Semi Rev'!N134-1,""),"")</f>
        <v/>
      </c>
    </row>
    <row r="278">
      <c r="A278" s="19">
        <f>'Semi Rev'!$A135</f>
        <v/>
      </c>
      <c r="B278" s="19">
        <f>'Semi Rev'!$B135</f>
        <v/>
      </c>
      <c r="C278" s="37">
        <f>IFERROR(IF(AND(ISNUMBER('Semi Rev'!G135),ISNUMBER('Semi Rev'!C135),'Semi Rev'!C135&gt;0),'Semi Rev'!G135/'Semi Rev'!C135-1,""),"")</f>
        <v/>
      </c>
      <c r="D278" s="37">
        <f>IFERROR(IF(AND(ISNUMBER('Semi Rev'!H135),ISNUMBER('Semi Rev'!D135),'Semi Rev'!D135&gt;0),'Semi Rev'!H135/'Semi Rev'!D135-1,""),"")</f>
        <v/>
      </c>
      <c r="E278" s="37">
        <f>IFERROR(IF(AND(ISNUMBER('Semi Rev'!I135),ISNUMBER('Semi Rev'!E135),'Semi Rev'!E135&gt;0),'Semi Rev'!I135/'Semi Rev'!E135-1,""),"")</f>
        <v/>
      </c>
      <c r="F278" s="37">
        <f>IFERROR(IF(AND(ISNUMBER('Semi Rev'!J135),ISNUMBER('Semi Rev'!F135),'Semi Rev'!F135&gt;0),'Semi Rev'!J135/'Semi Rev'!F135-1,""),"")</f>
        <v/>
      </c>
      <c r="G278" s="37">
        <f>IFERROR(IF(AND(ISNUMBER('Semi Rev'!K135),ISNUMBER('Semi Rev'!G135),'Semi Rev'!G135&gt;0),'Semi Rev'!K135/'Semi Rev'!G135-1,""),"")</f>
        <v/>
      </c>
      <c r="H278" s="37">
        <f>IFERROR(IF(AND(ISNUMBER('Semi Rev'!L135),ISNUMBER('Semi Rev'!H135),'Semi Rev'!H135&gt;0),'Semi Rev'!L135/'Semi Rev'!H135-1,""),"")</f>
        <v/>
      </c>
      <c r="I278" s="37">
        <f>IFERROR(IF(AND(ISNUMBER('Semi Rev'!M135),ISNUMBER('Semi Rev'!I135),'Semi Rev'!I135&gt;0),'Semi Rev'!M135/'Semi Rev'!I135-1,""),"")</f>
        <v/>
      </c>
      <c r="J278" s="37">
        <f>IFERROR(IF(AND(ISNUMBER('Semi Rev'!N135),ISNUMBER('Semi Rev'!J135),'Semi Rev'!J135&gt;0),'Semi Rev'!N135/'Semi Rev'!J135-1,""),"")</f>
        <v/>
      </c>
      <c r="K278" s="37">
        <f>IFERROR(IF(AND(ISNUMBER('Semi Rev'!O135),ISNUMBER('Semi Rev'!K135),'Semi Rev'!K135&gt;0),'Semi Rev'!O135/'Semi Rev'!K135-1,""),"")</f>
        <v/>
      </c>
      <c r="L278" s="37">
        <f>IFERROR(IF(AND(ISNUMBER('Semi Rev'!P135),ISNUMBER('Semi Rev'!L135),'Semi Rev'!L135&gt;0),'Semi Rev'!P135/'Semi Rev'!L135-1,""),"")</f>
        <v/>
      </c>
      <c r="M278" s="38">
        <f>IFERROR(IF(AND(ISNUMBER('Semi Rev'!Q135),ISNUMBER('Semi Rev'!M135),'Semi Rev'!M135&gt;0),'Semi Rev'!Q135/'Semi Rev'!M135-1,""),"")</f>
        <v/>
      </c>
      <c r="N278" s="38">
        <f>IFERROR(IF(AND(ISNUMBER('Semi Rev'!R135),ISNUMBER('Semi Rev'!N135),'Semi Rev'!N135&gt;0),'Semi Rev'!R135/'Semi Rev'!N135-1,""),"")</f>
        <v/>
      </c>
    </row>
    <row r="279">
      <c r="A279" s="19">
        <f>'Semi Rev'!$A136</f>
        <v/>
      </c>
      <c r="B279" s="19">
        <f>'Semi Rev'!$B136</f>
        <v/>
      </c>
      <c r="C279" s="37">
        <f>IFERROR(IF(AND(ISNUMBER('Semi Rev'!G136),ISNUMBER('Semi Rev'!C136),'Semi Rev'!C136&gt;0),'Semi Rev'!G136/'Semi Rev'!C136-1,""),"")</f>
        <v/>
      </c>
      <c r="D279" s="37">
        <f>IFERROR(IF(AND(ISNUMBER('Semi Rev'!H136),ISNUMBER('Semi Rev'!D136),'Semi Rev'!D136&gt;0),'Semi Rev'!H136/'Semi Rev'!D136-1,""),"")</f>
        <v/>
      </c>
      <c r="E279" s="37">
        <f>IFERROR(IF(AND(ISNUMBER('Semi Rev'!I136),ISNUMBER('Semi Rev'!E136),'Semi Rev'!E136&gt;0),'Semi Rev'!I136/'Semi Rev'!E136-1,""),"")</f>
        <v/>
      </c>
      <c r="F279" s="37">
        <f>IFERROR(IF(AND(ISNUMBER('Semi Rev'!J136),ISNUMBER('Semi Rev'!F136),'Semi Rev'!F136&gt;0),'Semi Rev'!J136/'Semi Rev'!F136-1,""),"")</f>
        <v/>
      </c>
      <c r="G279" s="37">
        <f>IFERROR(IF(AND(ISNUMBER('Semi Rev'!K136),ISNUMBER('Semi Rev'!G136),'Semi Rev'!G136&gt;0),'Semi Rev'!K136/'Semi Rev'!G136-1,""),"")</f>
        <v/>
      </c>
      <c r="H279" s="37">
        <f>IFERROR(IF(AND(ISNUMBER('Semi Rev'!L136),ISNUMBER('Semi Rev'!H136),'Semi Rev'!H136&gt;0),'Semi Rev'!L136/'Semi Rev'!H136-1,""),"")</f>
        <v/>
      </c>
      <c r="I279" s="37">
        <f>IFERROR(IF(AND(ISNUMBER('Semi Rev'!M136),ISNUMBER('Semi Rev'!I136),'Semi Rev'!I136&gt;0),'Semi Rev'!M136/'Semi Rev'!I136-1,""),"")</f>
        <v/>
      </c>
      <c r="J279" s="37">
        <f>IFERROR(IF(AND(ISNUMBER('Semi Rev'!N136),ISNUMBER('Semi Rev'!J136),'Semi Rev'!J136&gt;0),'Semi Rev'!N136/'Semi Rev'!J136-1,""),"")</f>
        <v/>
      </c>
      <c r="K279" s="37">
        <f>IFERROR(IF(AND(ISNUMBER('Semi Rev'!O136),ISNUMBER('Semi Rev'!K136),'Semi Rev'!K136&gt;0),'Semi Rev'!O136/'Semi Rev'!K136-1,""),"")</f>
        <v/>
      </c>
      <c r="L279" s="37">
        <f>IFERROR(IF(AND(ISNUMBER('Semi Rev'!P136),ISNUMBER('Semi Rev'!L136),'Semi Rev'!L136&gt;0),'Semi Rev'!P136/'Semi Rev'!L136-1,""),"")</f>
        <v/>
      </c>
      <c r="M279" s="38">
        <f>IFERROR(IF(AND(ISNUMBER('Semi Rev'!Q136),ISNUMBER('Semi Rev'!M136),'Semi Rev'!M136&gt;0),'Semi Rev'!Q136/'Semi Rev'!M136-1,""),"")</f>
        <v/>
      </c>
      <c r="N279" s="38">
        <f>IFERROR(IF(AND(ISNUMBER('Semi Rev'!R136),ISNUMBER('Semi Rev'!N136),'Semi Rev'!N136&gt;0),'Semi Rev'!R136/'Semi Rev'!N136-1,""),"")</f>
        <v/>
      </c>
    </row>
    <row r="280">
      <c r="A280" s="19">
        <f>'Semi Rev'!$A137</f>
        <v/>
      </c>
      <c r="B280" s="19">
        <f>'Semi Rev'!$B137</f>
        <v/>
      </c>
      <c r="C280" s="37">
        <f>IFERROR(IF(AND(ISNUMBER('Semi Rev'!G137),ISNUMBER('Semi Rev'!C137),'Semi Rev'!C137&gt;0),'Semi Rev'!G137/'Semi Rev'!C137-1,""),"")</f>
        <v/>
      </c>
      <c r="D280" s="37">
        <f>IFERROR(IF(AND(ISNUMBER('Semi Rev'!H137),ISNUMBER('Semi Rev'!D137),'Semi Rev'!D137&gt;0),'Semi Rev'!H137/'Semi Rev'!D137-1,""),"")</f>
        <v/>
      </c>
      <c r="E280" s="37">
        <f>IFERROR(IF(AND(ISNUMBER('Semi Rev'!I137),ISNUMBER('Semi Rev'!E137),'Semi Rev'!E137&gt;0),'Semi Rev'!I137/'Semi Rev'!E137-1,""),"")</f>
        <v/>
      </c>
      <c r="F280" s="37">
        <f>IFERROR(IF(AND(ISNUMBER('Semi Rev'!J137),ISNUMBER('Semi Rev'!F137),'Semi Rev'!F137&gt;0),'Semi Rev'!J137/'Semi Rev'!F137-1,""),"")</f>
        <v/>
      </c>
      <c r="G280" s="37">
        <f>IFERROR(IF(AND(ISNUMBER('Semi Rev'!K137),ISNUMBER('Semi Rev'!G137),'Semi Rev'!G137&gt;0),'Semi Rev'!K137/'Semi Rev'!G137-1,""),"")</f>
        <v/>
      </c>
      <c r="H280" s="37">
        <f>IFERROR(IF(AND(ISNUMBER('Semi Rev'!L137),ISNUMBER('Semi Rev'!H137),'Semi Rev'!H137&gt;0),'Semi Rev'!L137/'Semi Rev'!H137-1,""),"")</f>
        <v/>
      </c>
      <c r="I280" s="37">
        <f>IFERROR(IF(AND(ISNUMBER('Semi Rev'!M137),ISNUMBER('Semi Rev'!I137),'Semi Rev'!I137&gt;0),'Semi Rev'!M137/'Semi Rev'!I137-1,""),"")</f>
        <v/>
      </c>
      <c r="J280" s="37">
        <f>IFERROR(IF(AND(ISNUMBER('Semi Rev'!N137),ISNUMBER('Semi Rev'!J137),'Semi Rev'!J137&gt;0),'Semi Rev'!N137/'Semi Rev'!J137-1,""),"")</f>
        <v/>
      </c>
      <c r="K280" s="37">
        <f>IFERROR(IF(AND(ISNUMBER('Semi Rev'!O137),ISNUMBER('Semi Rev'!K137),'Semi Rev'!K137&gt;0),'Semi Rev'!O137/'Semi Rev'!K137-1,""),"")</f>
        <v/>
      </c>
      <c r="L280" s="37">
        <f>IFERROR(IF(AND(ISNUMBER('Semi Rev'!P137),ISNUMBER('Semi Rev'!L137),'Semi Rev'!L137&gt;0),'Semi Rev'!P137/'Semi Rev'!L137-1,""),"")</f>
        <v/>
      </c>
      <c r="M280" s="38">
        <f>IFERROR(IF(AND(ISNUMBER('Semi Rev'!Q137),ISNUMBER('Semi Rev'!M137),'Semi Rev'!M137&gt;0),'Semi Rev'!Q137/'Semi Rev'!M137-1,""),"")</f>
        <v/>
      </c>
      <c r="N280" s="38">
        <f>IFERROR(IF(AND(ISNUMBER('Semi Rev'!R137),ISNUMBER('Semi Rev'!N137),'Semi Rev'!N137&gt;0),'Semi Rev'!R137/'Semi Rev'!N137-1,""),"")</f>
        <v/>
      </c>
    </row>
    <row r="281">
      <c r="A281" s="19">
        <f>'Semi Rev'!$A138</f>
        <v/>
      </c>
      <c r="B281" s="19">
        <f>'Semi Rev'!$B138</f>
        <v/>
      </c>
      <c r="C281" s="37">
        <f>IFERROR(IF(AND(ISNUMBER('Semi Rev'!G138),ISNUMBER('Semi Rev'!C138),'Semi Rev'!C138&gt;0),'Semi Rev'!G138/'Semi Rev'!C138-1,""),"")</f>
        <v/>
      </c>
      <c r="D281" s="37">
        <f>IFERROR(IF(AND(ISNUMBER('Semi Rev'!H138),ISNUMBER('Semi Rev'!D138),'Semi Rev'!D138&gt;0),'Semi Rev'!H138/'Semi Rev'!D138-1,""),"")</f>
        <v/>
      </c>
      <c r="E281" s="37">
        <f>IFERROR(IF(AND(ISNUMBER('Semi Rev'!I138),ISNUMBER('Semi Rev'!E138),'Semi Rev'!E138&gt;0),'Semi Rev'!I138/'Semi Rev'!E138-1,""),"")</f>
        <v/>
      </c>
      <c r="F281" s="37">
        <f>IFERROR(IF(AND(ISNUMBER('Semi Rev'!J138),ISNUMBER('Semi Rev'!F138),'Semi Rev'!F138&gt;0),'Semi Rev'!J138/'Semi Rev'!F138-1,""),"")</f>
        <v/>
      </c>
      <c r="G281" s="37">
        <f>IFERROR(IF(AND(ISNUMBER('Semi Rev'!K138),ISNUMBER('Semi Rev'!G138),'Semi Rev'!G138&gt;0),'Semi Rev'!K138/'Semi Rev'!G138-1,""),"")</f>
        <v/>
      </c>
      <c r="H281" s="37">
        <f>IFERROR(IF(AND(ISNUMBER('Semi Rev'!L138),ISNUMBER('Semi Rev'!H138),'Semi Rev'!H138&gt;0),'Semi Rev'!L138/'Semi Rev'!H138-1,""),"")</f>
        <v/>
      </c>
      <c r="I281" s="37">
        <f>IFERROR(IF(AND(ISNUMBER('Semi Rev'!M138),ISNUMBER('Semi Rev'!I138),'Semi Rev'!I138&gt;0),'Semi Rev'!M138/'Semi Rev'!I138-1,""),"")</f>
        <v/>
      </c>
      <c r="J281" s="37">
        <f>IFERROR(IF(AND(ISNUMBER('Semi Rev'!N138),ISNUMBER('Semi Rev'!J138),'Semi Rev'!J138&gt;0),'Semi Rev'!N138/'Semi Rev'!J138-1,""),"")</f>
        <v/>
      </c>
      <c r="K281" s="37">
        <f>IFERROR(IF(AND(ISNUMBER('Semi Rev'!O138),ISNUMBER('Semi Rev'!K138),'Semi Rev'!K138&gt;0),'Semi Rev'!O138/'Semi Rev'!K138-1,""),"")</f>
        <v/>
      </c>
      <c r="L281" s="37">
        <f>IFERROR(IF(AND(ISNUMBER('Semi Rev'!P138),ISNUMBER('Semi Rev'!L138),'Semi Rev'!L138&gt;0),'Semi Rev'!P138/'Semi Rev'!L138-1,""),"")</f>
        <v/>
      </c>
      <c r="M281" s="38">
        <f>IFERROR(IF(AND(ISNUMBER('Semi Rev'!Q138),ISNUMBER('Semi Rev'!M138),'Semi Rev'!M138&gt;0),'Semi Rev'!Q138/'Semi Rev'!M138-1,""),"")</f>
        <v/>
      </c>
      <c r="N281" s="38">
        <f>IFERROR(IF(AND(ISNUMBER('Semi Rev'!R138),ISNUMBER('Semi Rev'!N138),'Semi Rev'!N138&gt;0),'Semi Rev'!R138/'Semi Rev'!N138-1,""),"")</f>
        <v/>
      </c>
    </row>
    <row r="282">
      <c r="A282" s="19">
        <f>'Semi Rev'!$A139</f>
        <v/>
      </c>
      <c r="B282" s="19">
        <f>'Semi Rev'!$B139</f>
        <v/>
      </c>
      <c r="C282" s="37">
        <f>IFERROR(IF(AND(ISNUMBER('Semi Rev'!G139),ISNUMBER('Semi Rev'!C139),'Semi Rev'!C139&gt;0),'Semi Rev'!G139/'Semi Rev'!C139-1,""),"")</f>
        <v/>
      </c>
      <c r="D282" s="37">
        <f>IFERROR(IF(AND(ISNUMBER('Semi Rev'!H139),ISNUMBER('Semi Rev'!D139),'Semi Rev'!D139&gt;0),'Semi Rev'!H139/'Semi Rev'!D139-1,""),"")</f>
        <v/>
      </c>
      <c r="E282" s="37">
        <f>IFERROR(IF(AND(ISNUMBER('Semi Rev'!I139),ISNUMBER('Semi Rev'!E139),'Semi Rev'!E139&gt;0),'Semi Rev'!I139/'Semi Rev'!E139-1,""),"")</f>
        <v/>
      </c>
      <c r="F282" s="37">
        <f>IFERROR(IF(AND(ISNUMBER('Semi Rev'!J139),ISNUMBER('Semi Rev'!F139),'Semi Rev'!F139&gt;0),'Semi Rev'!J139/'Semi Rev'!F139-1,""),"")</f>
        <v/>
      </c>
      <c r="G282" s="37">
        <f>IFERROR(IF(AND(ISNUMBER('Semi Rev'!K139),ISNUMBER('Semi Rev'!G139),'Semi Rev'!G139&gt;0),'Semi Rev'!K139/'Semi Rev'!G139-1,""),"")</f>
        <v/>
      </c>
      <c r="H282" s="37">
        <f>IFERROR(IF(AND(ISNUMBER('Semi Rev'!L139),ISNUMBER('Semi Rev'!H139),'Semi Rev'!H139&gt;0),'Semi Rev'!L139/'Semi Rev'!H139-1,""),"")</f>
        <v/>
      </c>
      <c r="I282" s="37">
        <f>IFERROR(IF(AND(ISNUMBER('Semi Rev'!M139),ISNUMBER('Semi Rev'!I139),'Semi Rev'!I139&gt;0),'Semi Rev'!M139/'Semi Rev'!I139-1,""),"")</f>
        <v/>
      </c>
      <c r="J282" s="37">
        <f>IFERROR(IF(AND(ISNUMBER('Semi Rev'!N139),ISNUMBER('Semi Rev'!J139),'Semi Rev'!J139&gt;0),'Semi Rev'!N139/'Semi Rev'!J139-1,""),"")</f>
        <v/>
      </c>
      <c r="K282" s="37">
        <f>IFERROR(IF(AND(ISNUMBER('Semi Rev'!O139),ISNUMBER('Semi Rev'!K139),'Semi Rev'!K139&gt;0),'Semi Rev'!O139/'Semi Rev'!K139-1,""),"")</f>
        <v/>
      </c>
      <c r="L282" s="37">
        <f>IFERROR(IF(AND(ISNUMBER('Semi Rev'!P139),ISNUMBER('Semi Rev'!L139),'Semi Rev'!L139&gt;0),'Semi Rev'!P139/'Semi Rev'!L139-1,""),"")</f>
        <v/>
      </c>
      <c r="M282" s="38">
        <f>IFERROR(IF(AND(ISNUMBER('Semi Rev'!Q139),ISNUMBER('Semi Rev'!M139),'Semi Rev'!M139&gt;0),'Semi Rev'!Q139/'Semi Rev'!M139-1,""),"")</f>
        <v/>
      </c>
      <c r="N282" s="38">
        <f>IFERROR(IF(AND(ISNUMBER('Semi Rev'!R139),ISNUMBER('Semi Rev'!N139),'Semi Rev'!N139&gt;0),'Semi Rev'!R139/'Semi Rev'!N139-1,""),"")</f>
        <v/>
      </c>
    </row>
    <row r="283">
      <c r="A283" s="19">
        <f>'Semi Rev'!$A140</f>
        <v/>
      </c>
      <c r="B283" s="19">
        <f>'Semi Rev'!$B140</f>
        <v/>
      </c>
      <c r="C283" s="37">
        <f>IFERROR(IF(AND(ISNUMBER('Semi Rev'!G140),ISNUMBER('Semi Rev'!C140),'Semi Rev'!C140&gt;0),'Semi Rev'!G140/'Semi Rev'!C140-1,""),"")</f>
        <v/>
      </c>
      <c r="D283" s="37">
        <f>IFERROR(IF(AND(ISNUMBER('Semi Rev'!H140),ISNUMBER('Semi Rev'!D140),'Semi Rev'!D140&gt;0),'Semi Rev'!H140/'Semi Rev'!D140-1,""),"")</f>
        <v/>
      </c>
      <c r="E283" s="37">
        <f>IFERROR(IF(AND(ISNUMBER('Semi Rev'!I140),ISNUMBER('Semi Rev'!E140),'Semi Rev'!E140&gt;0),'Semi Rev'!I140/'Semi Rev'!E140-1,""),"")</f>
        <v/>
      </c>
      <c r="F283" s="37">
        <f>IFERROR(IF(AND(ISNUMBER('Semi Rev'!J140),ISNUMBER('Semi Rev'!F140),'Semi Rev'!F140&gt;0),'Semi Rev'!J140/'Semi Rev'!F140-1,""),"")</f>
        <v/>
      </c>
      <c r="G283" s="37">
        <f>IFERROR(IF(AND(ISNUMBER('Semi Rev'!K140),ISNUMBER('Semi Rev'!G140),'Semi Rev'!G140&gt;0),'Semi Rev'!K140/'Semi Rev'!G140-1,""),"")</f>
        <v/>
      </c>
      <c r="H283" s="37">
        <f>IFERROR(IF(AND(ISNUMBER('Semi Rev'!L140),ISNUMBER('Semi Rev'!H140),'Semi Rev'!H140&gt;0),'Semi Rev'!L140/'Semi Rev'!H140-1,""),"")</f>
        <v/>
      </c>
      <c r="I283" s="37">
        <f>IFERROR(IF(AND(ISNUMBER('Semi Rev'!M140),ISNUMBER('Semi Rev'!I140),'Semi Rev'!I140&gt;0),'Semi Rev'!M140/'Semi Rev'!I140-1,""),"")</f>
        <v/>
      </c>
      <c r="J283" s="37">
        <f>IFERROR(IF(AND(ISNUMBER('Semi Rev'!N140),ISNUMBER('Semi Rev'!J140),'Semi Rev'!J140&gt;0),'Semi Rev'!N140/'Semi Rev'!J140-1,""),"")</f>
        <v/>
      </c>
      <c r="K283" s="37">
        <f>IFERROR(IF(AND(ISNUMBER('Semi Rev'!O140),ISNUMBER('Semi Rev'!K140),'Semi Rev'!K140&gt;0),'Semi Rev'!O140/'Semi Rev'!K140-1,""),"")</f>
        <v/>
      </c>
      <c r="L283" s="37">
        <f>IFERROR(IF(AND(ISNUMBER('Semi Rev'!P140),ISNUMBER('Semi Rev'!L140),'Semi Rev'!L140&gt;0),'Semi Rev'!P140/'Semi Rev'!L140-1,""),"")</f>
        <v/>
      </c>
      <c r="M283" s="38">
        <f>IFERROR(IF(AND(ISNUMBER('Semi Rev'!Q140),ISNUMBER('Semi Rev'!M140),'Semi Rev'!M140&gt;0),'Semi Rev'!Q140/'Semi Rev'!M140-1,""),"")</f>
        <v/>
      </c>
      <c r="N283" s="38">
        <f>IFERROR(IF(AND(ISNUMBER('Semi Rev'!R140),ISNUMBER('Semi Rev'!N140),'Semi Rev'!N140&gt;0),'Semi Rev'!R140/'Semi Rev'!N140-1,""),"")</f>
        <v/>
      </c>
    </row>
    <row r="284">
      <c r="A284" s="19">
        <f>'Semi Rev'!$A141</f>
        <v/>
      </c>
      <c r="B284" s="19">
        <f>'Semi Rev'!$B141</f>
        <v/>
      </c>
      <c r="C284" s="37">
        <f>IFERROR(IF(AND(ISNUMBER('Semi Rev'!G141),ISNUMBER('Semi Rev'!C141),'Semi Rev'!C141&gt;0),'Semi Rev'!G141/'Semi Rev'!C141-1,""),"")</f>
        <v/>
      </c>
      <c r="D284" s="37">
        <f>IFERROR(IF(AND(ISNUMBER('Semi Rev'!H141),ISNUMBER('Semi Rev'!D141),'Semi Rev'!D141&gt;0),'Semi Rev'!H141/'Semi Rev'!D141-1,""),"")</f>
        <v/>
      </c>
      <c r="E284" s="37">
        <f>IFERROR(IF(AND(ISNUMBER('Semi Rev'!I141),ISNUMBER('Semi Rev'!E141),'Semi Rev'!E141&gt;0),'Semi Rev'!I141/'Semi Rev'!E141-1,""),"")</f>
        <v/>
      </c>
      <c r="F284" s="37">
        <f>IFERROR(IF(AND(ISNUMBER('Semi Rev'!J141),ISNUMBER('Semi Rev'!F141),'Semi Rev'!F141&gt;0),'Semi Rev'!J141/'Semi Rev'!F141-1,""),"")</f>
        <v/>
      </c>
      <c r="G284" s="37">
        <f>IFERROR(IF(AND(ISNUMBER('Semi Rev'!K141),ISNUMBER('Semi Rev'!G141),'Semi Rev'!G141&gt;0),'Semi Rev'!K141/'Semi Rev'!G141-1,""),"")</f>
        <v/>
      </c>
      <c r="H284" s="37">
        <f>IFERROR(IF(AND(ISNUMBER('Semi Rev'!L141),ISNUMBER('Semi Rev'!H141),'Semi Rev'!H141&gt;0),'Semi Rev'!L141/'Semi Rev'!H141-1,""),"")</f>
        <v/>
      </c>
      <c r="I284" s="37">
        <f>IFERROR(IF(AND(ISNUMBER('Semi Rev'!M141),ISNUMBER('Semi Rev'!I141),'Semi Rev'!I141&gt;0),'Semi Rev'!M141/'Semi Rev'!I141-1,""),"")</f>
        <v/>
      </c>
      <c r="J284" s="37">
        <f>IFERROR(IF(AND(ISNUMBER('Semi Rev'!N141),ISNUMBER('Semi Rev'!J141),'Semi Rev'!J141&gt;0),'Semi Rev'!N141/'Semi Rev'!J141-1,""),"")</f>
        <v/>
      </c>
      <c r="K284" s="37">
        <f>IFERROR(IF(AND(ISNUMBER('Semi Rev'!O141),ISNUMBER('Semi Rev'!K141),'Semi Rev'!K141&gt;0),'Semi Rev'!O141/'Semi Rev'!K141-1,""),"")</f>
        <v/>
      </c>
      <c r="L284" s="37">
        <f>IFERROR(IF(AND(ISNUMBER('Semi Rev'!P141),ISNUMBER('Semi Rev'!L141),'Semi Rev'!L141&gt;0),'Semi Rev'!P141/'Semi Rev'!L141-1,""),"")</f>
        <v/>
      </c>
      <c r="M284" s="38">
        <f>IFERROR(IF(AND(ISNUMBER('Semi Rev'!Q141),ISNUMBER('Semi Rev'!M141),'Semi Rev'!M141&gt;0),'Semi Rev'!Q141/'Semi Rev'!M141-1,""),"")</f>
        <v/>
      </c>
      <c r="N284" s="38">
        <f>IFERROR(IF(AND(ISNUMBER('Semi Rev'!R141),ISNUMBER('Semi Rev'!N141),'Semi Rev'!N141&gt;0),'Semi Rev'!R141/'Semi Rev'!N141-1,""),"")</f>
        <v/>
      </c>
    </row>
    <row r="285">
      <c r="A285" s="19">
        <f>'Semi Rev'!$A142</f>
        <v/>
      </c>
      <c r="B285" s="19">
        <f>'Semi Rev'!$B142</f>
        <v/>
      </c>
      <c r="C285" s="37">
        <f>IFERROR(IF(AND(ISNUMBER('Semi Rev'!G142),ISNUMBER('Semi Rev'!C142),'Semi Rev'!C142&gt;0),'Semi Rev'!G142/'Semi Rev'!C142-1,""),"")</f>
        <v/>
      </c>
      <c r="D285" s="37">
        <f>IFERROR(IF(AND(ISNUMBER('Semi Rev'!H142),ISNUMBER('Semi Rev'!D142),'Semi Rev'!D142&gt;0),'Semi Rev'!H142/'Semi Rev'!D142-1,""),"")</f>
        <v/>
      </c>
      <c r="E285" s="37">
        <f>IFERROR(IF(AND(ISNUMBER('Semi Rev'!I142),ISNUMBER('Semi Rev'!E142),'Semi Rev'!E142&gt;0),'Semi Rev'!I142/'Semi Rev'!E142-1,""),"")</f>
        <v/>
      </c>
      <c r="F285" s="37">
        <f>IFERROR(IF(AND(ISNUMBER('Semi Rev'!J142),ISNUMBER('Semi Rev'!F142),'Semi Rev'!F142&gt;0),'Semi Rev'!J142/'Semi Rev'!F142-1,""),"")</f>
        <v/>
      </c>
      <c r="G285" s="37">
        <f>IFERROR(IF(AND(ISNUMBER('Semi Rev'!K142),ISNUMBER('Semi Rev'!G142),'Semi Rev'!G142&gt;0),'Semi Rev'!K142/'Semi Rev'!G142-1,""),"")</f>
        <v/>
      </c>
      <c r="H285" s="37">
        <f>IFERROR(IF(AND(ISNUMBER('Semi Rev'!L142),ISNUMBER('Semi Rev'!H142),'Semi Rev'!H142&gt;0),'Semi Rev'!L142/'Semi Rev'!H142-1,""),"")</f>
        <v/>
      </c>
      <c r="I285" s="37">
        <f>IFERROR(IF(AND(ISNUMBER('Semi Rev'!M142),ISNUMBER('Semi Rev'!I142),'Semi Rev'!I142&gt;0),'Semi Rev'!M142/'Semi Rev'!I142-1,""),"")</f>
        <v/>
      </c>
      <c r="J285" s="37">
        <f>IFERROR(IF(AND(ISNUMBER('Semi Rev'!N142),ISNUMBER('Semi Rev'!J142),'Semi Rev'!J142&gt;0),'Semi Rev'!N142/'Semi Rev'!J142-1,""),"")</f>
        <v/>
      </c>
      <c r="K285" s="37">
        <f>IFERROR(IF(AND(ISNUMBER('Semi Rev'!O142),ISNUMBER('Semi Rev'!K142),'Semi Rev'!K142&gt;0),'Semi Rev'!O142/'Semi Rev'!K142-1,""),"")</f>
        <v/>
      </c>
      <c r="L285" s="37">
        <f>IFERROR(IF(AND(ISNUMBER('Semi Rev'!P142),ISNUMBER('Semi Rev'!L142),'Semi Rev'!L142&gt;0),'Semi Rev'!P142/'Semi Rev'!L142-1,""),"")</f>
        <v/>
      </c>
      <c r="M285" s="38">
        <f>IFERROR(IF(AND(ISNUMBER('Semi Rev'!Q142),ISNUMBER('Semi Rev'!M142),'Semi Rev'!M142&gt;0),'Semi Rev'!Q142/'Semi Rev'!M142-1,""),"")</f>
        <v/>
      </c>
      <c r="N285" s="38">
        <f>IFERROR(IF(AND(ISNUMBER('Semi Rev'!R142),ISNUMBER('Semi Rev'!N142),'Semi Rev'!N142&gt;0),'Semi Rev'!R142/'Semi Rev'!N142-1,""),"")</f>
        <v/>
      </c>
    </row>
    <row r="286">
      <c r="A286" s="19">
        <f>'Semi Rev'!$A143</f>
        <v/>
      </c>
      <c r="B286" s="19">
        <f>'Semi Rev'!$B143</f>
        <v/>
      </c>
      <c r="C286" s="37">
        <f>IFERROR(IF(AND(ISNUMBER('Semi Rev'!G143),ISNUMBER('Semi Rev'!C143),'Semi Rev'!C143&gt;0),'Semi Rev'!G143/'Semi Rev'!C143-1,""),"")</f>
        <v/>
      </c>
      <c r="D286" s="37">
        <f>IFERROR(IF(AND(ISNUMBER('Semi Rev'!H143),ISNUMBER('Semi Rev'!D143),'Semi Rev'!D143&gt;0),'Semi Rev'!H143/'Semi Rev'!D143-1,""),"")</f>
        <v/>
      </c>
      <c r="E286" s="37">
        <f>IFERROR(IF(AND(ISNUMBER('Semi Rev'!I143),ISNUMBER('Semi Rev'!E143),'Semi Rev'!E143&gt;0),'Semi Rev'!I143/'Semi Rev'!E143-1,""),"")</f>
        <v/>
      </c>
      <c r="F286" s="37">
        <f>IFERROR(IF(AND(ISNUMBER('Semi Rev'!J143),ISNUMBER('Semi Rev'!F143),'Semi Rev'!F143&gt;0),'Semi Rev'!J143/'Semi Rev'!F143-1,""),"")</f>
        <v/>
      </c>
      <c r="G286" s="37">
        <f>IFERROR(IF(AND(ISNUMBER('Semi Rev'!K143),ISNUMBER('Semi Rev'!G143),'Semi Rev'!G143&gt;0),'Semi Rev'!K143/'Semi Rev'!G143-1,""),"")</f>
        <v/>
      </c>
      <c r="H286" s="37">
        <f>IFERROR(IF(AND(ISNUMBER('Semi Rev'!L143),ISNUMBER('Semi Rev'!H143),'Semi Rev'!H143&gt;0),'Semi Rev'!L143/'Semi Rev'!H143-1,""),"")</f>
        <v/>
      </c>
      <c r="I286" s="37">
        <f>IFERROR(IF(AND(ISNUMBER('Semi Rev'!M143),ISNUMBER('Semi Rev'!I143),'Semi Rev'!I143&gt;0),'Semi Rev'!M143/'Semi Rev'!I143-1,""),"")</f>
        <v/>
      </c>
      <c r="J286" s="37">
        <f>IFERROR(IF(AND(ISNUMBER('Semi Rev'!N143),ISNUMBER('Semi Rev'!J143),'Semi Rev'!J143&gt;0),'Semi Rev'!N143/'Semi Rev'!J143-1,""),"")</f>
        <v/>
      </c>
      <c r="K286" s="37">
        <f>IFERROR(IF(AND(ISNUMBER('Semi Rev'!O143),ISNUMBER('Semi Rev'!K143),'Semi Rev'!K143&gt;0),'Semi Rev'!O143/'Semi Rev'!K143-1,""),"")</f>
        <v/>
      </c>
      <c r="L286" s="37">
        <f>IFERROR(IF(AND(ISNUMBER('Semi Rev'!P143),ISNUMBER('Semi Rev'!L143),'Semi Rev'!L143&gt;0),'Semi Rev'!P143/'Semi Rev'!L143-1,""),"")</f>
        <v/>
      </c>
      <c r="M286" s="38">
        <f>IFERROR(IF(AND(ISNUMBER('Semi Rev'!Q143),ISNUMBER('Semi Rev'!M143),'Semi Rev'!M143&gt;0),'Semi Rev'!Q143/'Semi Rev'!M143-1,""),"")</f>
        <v/>
      </c>
      <c r="N286" s="38">
        <f>IFERROR(IF(AND(ISNUMBER('Semi Rev'!R143),ISNUMBER('Semi Rev'!N143),'Semi Rev'!N143&gt;0),'Semi Rev'!R143/'Semi Rev'!N143-1,""),"")</f>
        <v/>
      </c>
    </row>
    <row r="288">
      <c r="A288" s="49" t="inlineStr">
        <is>
          <t>Revenue growth QoQ %</t>
        </is>
      </c>
      <c r="B288" s="50" t="n"/>
      <c r="C288" s="50" t="n"/>
      <c r="D288" s="50" t="n"/>
      <c r="E288" s="50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</row>
    <row r="289" ht="28" customHeight="1">
      <c r="A289" s="8" t="inlineStr">
        <is>
          <t>Ticker</t>
        </is>
      </c>
      <c r="B289" s="8" t="inlineStr">
        <is>
          <t>Latest Rpt Qtr</t>
        </is>
      </c>
      <c r="C289" s="8" t="inlineStr">
        <is>
          <t>FPO -9</t>
        </is>
      </c>
      <c r="D289" s="8" t="inlineStr">
        <is>
          <t>FPO -8</t>
        </is>
      </c>
      <c r="E289" s="8" t="inlineStr">
        <is>
          <t>FPO -7</t>
        </is>
      </c>
      <c r="F289" s="8" t="inlineStr">
        <is>
          <t>FPO -6</t>
        </is>
      </c>
      <c r="G289" s="8" t="inlineStr">
        <is>
          <t>FPO -5</t>
        </is>
      </c>
      <c r="H289" s="8" t="inlineStr">
        <is>
          <t>FPO -4</t>
        </is>
      </c>
      <c r="I289" s="8" t="inlineStr">
        <is>
          <t>FPO -3</t>
        </is>
      </c>
      <c r="J289" s="8" t="inlineStr">
        <is>
          <t>FPO -2</t>
        </is>
      </c>
      <c r="K289" s="8" t="inlineStr">
        <is>
          <t>FPO -1</t>
        </is>
      </c>
      <c r="L289" s="8" t="inlineStr">
        <is>
          <t>FPO 0 (latest rpt)</t>
        </is>
      </c>
      <c r="M289" s="8" t="inlineStr">
        <is>
          <t>FPO +1E</t>
        </is>
      </c>
      <c r="N289" s="8" t="inlineStr">
        <is>
          <t>FPO +2E</t>
        </is>
      </c>
    </row>
    <row r="290">
      <c r="A290" s="19">
        <f>'Semi Rev'!$A5</f>
        <v/>
      </c>
      <c r="B290" s="19">
        <f>'Semi Rev'!$B5</f>
        <v/>
      </c>
      <c r="C290" s="37">
        <f>IFERROR(IF(AND(ISNUMBER('Semi Rev'!G5),ISNUMBER('Semi Rev'!F5),'Semi Rev'!F5&gt;0),'Semi Rev'!G5/'Semi Rev'!F5-1,""),"")</f>
        <v/>
      </c>
      <c r="D290" s="37">
        <f>IFERROR(IF(AND(ISNUMBER('Semi Rev'!H5),ISNUMBER('Semi Rev'!G5),'Semi Rev'!G5&gt;0),'Semi Rev'!H5/'Semi Rev'!G5-1,""),"")</f>
        <v/>
      </c>
      <c r="E290" s="37">
        <f>IFERROR(IF(AND(ISNUMBER('Semi Rev'!I5),ISNUMBER('Semi Rev'!H5),'Semi Rev'!H5&gt;0),'Semi Rev'!I5/'Semi Rev'!H5-1,""),"")</f>
        <v/>
      </c>
      <c r="F290" s="37">
        <f>IFERROR(IF(AND(ISNUMBER('Semi Rev'!J5),ISNUMBER('Semi Rev'!I5),'Semi Rev'!I5&gt;0),'Semi Rev'!J5/'Semi Rev'!I5-1,""),"")</f>
        <v/>
      </c>
      <c r="G290" s="37">
        <f>IFERROR(IF(AND(ISNUMBER('Semi Rev'!K5),ISNUMBER('Semi Rev'!J5),'Semi Rev'!J5&gt;0),'Semi Rev'!K5/'Semi Rev'!J5-1,""),"")</f>
        <v/>
      </c>
      <c r="H290" s="37">
        <f>IFERROR(IF(AND(ISNUMBER('Semi Rev'!L5),ISNUMBER('Semi Rev'!K5),'Semi Rev'!K5&gt;0),'Semi Rev'!L5/'Semi Rev'!K5-1,""),"")</f>
        <v/>
      </c>
      <c r="I290" s="37">
        <f>IFERROR(IF(AND(ISNUMBER('Semi Rev'!M5),ISNUMBER('Semi Rev'!L5),'Semi Rev'!L5&gt;0),'Semi Rev'!M5/'Semi Rev'!L5-1,""),"")</f>
        <v/>
      </c>
      <c r="J290" s="37">
        <f>IFERROR(IF(AND(ISNUMBER('Semi Rev'!N5),ISNUMBER('Semi Rev'!M5),'Semi Rev'!M5&gt;0),'Semi Rev'!N5/'Semi Rev'!M5-1,""),"")</f>
        <v/>
      </c>
      <c r="K290" s="37">
        <f>IFERROR(IF(AND(ISNUMBER('Semi Rev'!O5),ISNUMBER('Semi Rev'!N5),'Semi Rev'!N5&gt;0),'Semi Rev'!O5/'Semi Rev'!N5-1,""),"")</f>
        <v/>
      </c>
      <c r="L290" s="37">
        <f>IFERROR(IF(AND(ISNUMBER('Semi Rev'!P5),ISNUMBER('Semi Rev'!O5),'Semi Rev'!O5&gt;0),'Semi Rev'!P5/'Semi Rev'!O5-1,""),"")</f>
        <v/>
      </c>
      <c r="M290" s="38">
        <f>IFERROR(IF(AND(ISNUMBER('Semi Rev'!Q5),ISNUMBER('Semi Rev'!P5),'Semi Rev'!P5&gt;0),'Semi Rev'!Q5/'Semi Rev'!P5-1,""),"")</f>
        <v/>
      </c>
      <c r="N290" s="38">
        <f>IFERROR(IF(AND(ISNUMBER('Semi Rev'!R5),ISNUMBER('Semi Rev'!Q5),'Semi Rev'!Q5&gt;0),'Semi Rev'!R5/'Semi Rev'!Q5-1,""),"")</f>
        <v/>
      </c>
    </row>
    <row r="291">
      <c r="A291" s="19">
        <f>'Semi Rev'!$A6</f>
        <v/>
      </c>
      <c r="B291" s="19">
        <f>'Semi Rev'!$B6</f>
        <v/>
      </c>
      <c r="C291" s="37">
        <f>IFERROR(IF(AND(ISNUMBER('Semi Rev'!G6),ISNUMBER('Semi Rev'!F6),'Semi Rev'!F6&gt;0),'Semi Rev'!G6/'Semi Rev'!F6-1,""),"")</f>
        <v/>
      </c>
      <c r="D291" s="37">
        <f>IFERROR(IF(AND(ISNUMBER('Semi Rev'!H6),ISNUMBER('Semi Rev'!G6),'Semi Rev'!G6&gt;0),'Semi Rev'!H6/'Semi Rev'!G6-1,""),"")</f>
        <v/>
      </c>
      <c r="E291" s="37">
        <f>IFERROR(IF(AND(ISNUMBER('Semi Rev'!I6),ISNUMBER('Semi Rev'!H6),'Semi Rev'!H6&gt;0),'Semi Rev'!I6/'Semi Rev'!H6-1,""),"")</f>
        <v/>
      </c>
      <c r="F291" s="37">
        <f>IFERROR(IF(AND(ISNUMBER('Semi Rev'!J6),ISNUMBER('Semi Rev'!I6),'Semi Rev'!I6&gt;0),'Semi Rev'!J6/'Semi Rev'!I6-1,""),"")</f>
        <v/>
      </c>
      <c r="G291" s="37">
        <f>IFERROR(IF(AND(ISNUMBER('Semi Rev'!K6),ISNUMBER('Semi Rev'!J6),'Semi Rev'!J6&gt;0),'Semi Rev'!K6/'Semi Rev'!J6-1,""),"")</f>
        <v/>
      </c>
      <c r="H291" s="37">
        <f>IFERROR(IF(AND(ISNUMBER('Semi Rev'!L6),ISNUMBER('Semi Rev'!K6),'Semi Rev'!K6&gt;0),'Semi Rev'!L6/'Semi Rev'!K6-1,""),"")</f>
        <v/>
      </c>
      <c r="I291" s="37">
        <f>IFERROR(IF(AND(ISNUMBER('Semi Rev'!M6),ISNUMBER('Semi Rev'!L6),'Semi Rev'!L6&gt;0),'Semi Rev'!M6/'Semi Rev'!L6-1,""),"")</f>
        <v/>
      </c>
      <c r="J291" s="37">
        <f>IFERROR(IF(AND(ISNUMBER('Semi Rev'!N6),ISNUMBER('Semi Rev'!M6),'Semi Rev'!M6&gt;0),'Semi Rev'!N6/'Semi Rev'!M6-1,""),"")</f>
        <v/>
      </c>
      <c r="K291" s="37">
        <f>IFERROR(IF(AND(ISNUMBER('Semi Rev'!O6),ISNUMBER('Semi Rev'!N6),'Semi Rev'!N6&gt;0),'Semi Rev'!O6/'Semi Rev'!N6-1,""),"")</f>
        <v/>
      </c>
      <c r="L291" s="37">
        <f>IFERROR(IF(AND(ISNUMBER('Semi Rev'!P6),ISNUMBER('Semi Rev'!O6),'Semi Rev'!O6&gt;0),'Semi Rev'!P6/'Semi Rev'!O6-1,""),"")</f>
        <v/>
      </c>
      <c r="M291" s="38">
        <f>IFERROR(IF(AND(ISNUMBER('Semi Rev'!Q6),ISNUMBER('Semi Rev'!P6),'Semi Rev'!P6&gt;0),'Semi Rev'!Q6/'Semi Rev'!P6-1,""),"")</f>
        <v/>
      </c>
      <c r="N291" s="38">
        <f>IFERROR(IF(AND(ISNUMBER('Semi Rev'!R6),ISNUMBER('Semi Rev'!Q6),'Semi Rev'!Q6&gt;0),'Semi Rev'!R6/'Semi Rev'!Q6-1,""),"")</f>
        <v/>
      </c>
    </row>
    <row r="292">
      <c r="A292" s="19">
        <f>'Semi Rev'!$A7</f>
        <v/>
      </c>
      <c r="B292" s="19">
        <f>'Semi Rev'!$B7</f>
        <v/>
      </c>
      <c r="C292" s="37">
        <f>IFERROR(IF(AND(ISNUMBER('Semi Rev'!G7),ISNUMBER('Semi Rev'!F7),'Semi Rev'!F7&gt;0),'Semi Rev'!G7/'Semi Rev'!F7-1,""),"")</f>
        <v/>
      </c>
      <c r="D292" s="37">
        <f>IFERROR(IF(AND(ISNUMBER('Semi Rev'!H7),ISNUMBER('Semi Rev'!G7),'Semi Rev'!G7&gt;0),'Semi Rev'!H7/'Semi Rev'!G7-1,""),"")</f>
        <v/>
      </c>
      <c r="E292" s="37">
        <f>IFERROR(IF(AND(ISNUMBER('Semi Rev'!I7),ISNUMBER('Semi Rev'!H7),'Semi Rev'!H7&gt;0),'Semi Rev'!I7/'Semi Rev'!H7-1,""),"")</f>
        <v/>
      </c>
      <c r="F292" s="37">
        <f>IFERROR(IF(AND(ISNUMBER('Semi Rev'!J7),ISNUMBER('Semi Rev'!I7),'Semi Rev'!I7&gt;0),'Semi Rev'!J7/'Semi Rev'!I7-1,""),"")</f>
        <v/>
      </c>
      <c r="G292" s="37">
        <f>IFERROR(IF(AND(ISNUMBER('Semi Rev'!K7),ISNUMBER('Semi Rev'!J7),'Semi Rev'!J7&gt;0),'Semi Rev'!K7/'Semi Rev'!J7-1,""),"")</f>
        <v/>
      </c>
      <c r="H292" s="37">
        <f>IFERROR(IF(AND(ISNUMBER('Semi Rev'!L7),ISNUMBER('Semi Rev'!K7),'Semi Rev'!K7&gt;0),'Semi Rev'!L7/'Semi Rev'!K7-1,""),"")</f>
        <v/>
      </c>
      <c r="I292" s="37">
        <f>IFERROR(IF(AND(ISNUMBER('Semi Rev'!M7),ISNUMBER('Semi Rev'!L7),'Semi Rev'!L7&gt;0),'Semi Rev'!M7/'Semi Rev'!L7-1,""),"")</f>
        <v/>
      </c>
      <c r="J292" s="37">
        <f>IFERROR(IF(AND(ISNUMBER('Semi Rev'!N7),ISNUMBER('Semi Rev'!M7),'Semi Rev'!M7&gt;0),'Semi Rev'!N7/'Semi Rev'!M7-1,""),"")</f>
        <v/>
      </c>
      <c r="K292" s="37">
        <f>IFERROR(IF(AND(ISNUMBER('Semi Rev'!O7),ISNUMBER('Semi Rev'!N7),'Semi Rev'!N7&gt;0),'Semi Rev'!O7/'Semi Rev'!N7-1,""),"")</f>
        <v/>
      </c>
      <c r="L292" s="37">
        <f>IFERROR(IF(AND(ISNUMBER('Semi Rev'!P7),ISNUMBER('Semi Rev'!O7),'Semi Rev'!O7&gt;0),'Semi Rev'!P7/'Semi Rev'!O7-1,""),"")</f>
        <v/>
      </c>
      <c r="M292" s="38">
        <f>IFERROR(IF(AND(ISNUMBER('Semi Rev'!Q7),ISNUMBER('Semi Rev'!P7),'Semi Rev'!P7&gt;0),'Semi Rev'!Q7/'Semi Rev'!P7-1,""),"")</f>
        <v/>
      </c>
      <c r="N292" s="38">
        <f>IFERROR(IF(AND(ISNUMBER('Semi Rev'!R7),ISNUMBER('Semi Rev'!Q7),'Semi Rev'!Q7&gt;0),'Semi Rev'!R7/'Semi Rev'!Q7-1,""),"")</f>
        <v/>
      </c>
    </row>
    <row r="293">
      <c r="A293" s="19">
        <f>'Semi Rev'!$A8</f>
        <v/>
      </c>
      <c r="B293" s="19">
        <f>'Semi Rev'!$B8</f>
        <v/>
      </c>
      <c r="C293" s="37">
        <f>IFERROR(IF(AND(ISNUMBER('Semi Rev'!G8),ISNUMBER('Semi Rev'!F8),'Semi Rev'!F8&gt;0),'Semi Rev'!G8/'Semi Rev'!F8-1,""),"")</f>
        <v/>
      </c>
      <c r="D293" s="37">
        <f>IFERROR(IF(AND(ISNUMBER('Semi Rev'!H8),ISNUMBER('Semi Rev'!G8),'Semi Rev'!G8&gt;0),'Semi Rev'!H8/'Semi Rev'!G8-1,""),"")</f>
        <v/>
      </c>
      <c r="E293" s="37">
        <f>IFERROR(IF(AND(ISNUMBER('Semi Rev'!I8),ISNUMBER('Semi Rev'!H8),'Semi Rev'!H8&gt;0),'Semi Rev'!I8/'Semi Rev'!H8-1,""),"")</f>
        <v/>
      </c>
      <c r="F293" s="37">
        <f>IFERROR(IF(AND(ISNUMBER('Semi Rev'!J8),ISNUMBER('Semi Rev'!I8),'Semi Rev'!I8&gt;0),'Semi Rev'!J8/'Semi Rev'!I8-1,""),"")</f>
        <v/>
      </c>
      <c r="G293" s="37">
        <f>IFERROR(IF(AND(ISNUMBER('Semi Rev'!K8),ISNUMBER('Semi Rev'!J8),'Semi Rev'!J8&gt;0),'Semi Rev'!K8/'Semi Rev'!J8-1,""),"")</f>
        <v/>
      </c>
      <c r="H293" s="37">
        <f>IFERROR(IF(AND(ISNUMBER('Semi Rev'!L8),ISNUMBER('Semi Rev'!K8),'Semi Rev'!K8&gt;0),'Semi Rev'!L8/'Semi Rev'!K8-1,""),"")</f>
        <v/>
      </c>
      <c r="I293" s="37">
        <f>IFERROR(IF(AND(ISNUMBER('Semi Rev'!M8),ISNUMBER('Semi Rev'!L8),'Semi Rev'!L8&gt;0),'Semi Rev'!M8/'Semi Rev'!L8-1,""),"")</f>
        <v/>
      </c>
      <c r="J293" s="37">
        <f>IFERROR(IF(AND(ISNUMBER('Semi Rev'!N8),ISNUMBER('Semi Rev'!M8),'Semi Rev'!M8&gt;0),'Semi Rev'!N8/'Semi Rev'!M8-1,""),"")</f>
        <v/>
      </c>
      <c r="K293" s="37">
        <f>IFERROR(IF(AND(ISNUMBER('Semi Rev'!O8),ISNUMBER('Semi Rev'!N8),'Semi Rev'!N8&gt;0),'Semi Rev'!O8/'Semi Rev'!N8-1,""),"")</f>
        <v/>
      </c>
      <c r="L293" s="37">
        <f>IFERROR(IF(AND(ISNUMBER('Semi Rev'!P8),ISNUMBER('Semi Rev'!O8),'Semi Rev'!O8&gt;0),'Semi Rev'!P8/'Semi Rev'!O8-1,""),"")</f>
        <v/>
      </c>
      <c r="M293" s="38">
        <f>IFERROR(IF(AND(ISNUMBER('Semi Rev'!Q8),ISNUMBER('Semi Rev'!P8),'Semi Rev'!P8&gt;0),'Semi Rev'!Q8/'Semi Rev'!P8-1,""),"")</f>
        <v/>
      </c>
      <c r="N293" s="38">
        <f>IFERROR(IF(AND(ISNUMBER('Semi Rev'!R8),ISNUMBER('Semi Rev'!Q8),'Semi Rev'!Q8&gt;0),'Semi Rev'!R8/'Semi Rev'!Q8-1,""),"")</f>
        <v/>
      </c>
    </row>
    <row r="294">
      <c r="A294" s="19">
        <f>'Semi Rev'!$A9</f>
        <v/>
      </c>
      <c r="B294" s="19">
        <f>'Semi Rev'!$B9</f>
        <v/>
      </c>
      <c r="C294" s="37">
        <f>IFERROR(IF(AND(ISNUMBER('Semi Rev'!G9),ISNUMBER('Semi Rev'!F9),'Semi Rev'!F9&gt;0),'Semi Rev'!G9/'Semi Rev'!F9-1,""),"")</f>
        <v/>
      </c>
      <c r="D294" s="37">
        <f>IFERROR(IF(AND(ISNUMBER('Semi Rev'!H9),ISNUMBER('Semi Rev'!G9),'Semi Rev'!G9&gt;0),'Semi Rev'!H9/'Semi Rev'!G9-1,""),"")</f>
        <v/>
      </c>
      <c r="E294" s="37">
        <f>IFERROR(IF(AND(ISNUMBER('Semi Rev'!I9),ISNUMBER('Semi Rev'!H9),'Semi Rev'!H9&gt;0),'Semi Rev'!I9/'Semi Rev'!H9-1,""),"")</f>
        <v/>
      </c>
      <c r="F294" s="37">
        <f>IFERROR(IF(AND(ISNUMBER('Semi Rev'!J9),ISNUMBER('Semi Rev'!I9),'Semi Rev'!I9&gt;0),'Semi Rev'!J9/'Semi Rev'!I9-1,""),"")</f>
        <v/>
      </c>
      <c r="G294" s="37">
        <f>IFERROR(IF(AND(ISNUMBER('Semi Rev'!K9),ISNUMBER('Semi Rev'!J9),'Semi Rev'!J9&gt;0),'Semi Rev'!K9/'Semi Rev'!J9-1,""),"")</f>
        <v/>
      </c>
      <c r="H294" s="37">
        <f>IFERROR(IF(AND(ISNUMBER('Semi Rev'!L9),ISNUMBER('Semi Rev'!K9),'Semi Rev'!K9&gt;0),'Semi Rev'!L9/'Semi Rev'!K9-1,""),"")</f>
        <v/>
      </c>
      <c r="I294" s="37">
        <f>IFERROR(IF(AND(ISNUMBER('Semi Rev'!M9),ISNUMBER('Semi Rev'!L9),'Semi Rev'!L9&gt;0),'Semi Rev'!M9/'Semi Rev'!L9-1,""),"")</f>
        <v/>
      </c>
      <c r="J294" s="37">
        <f>IFERROR(IF(AND(ISNUMBER('Semi Rev'!N9),ISNUMBER('Semi Rev'!M9),'Semi Rev'!M9&gt;0),'Semi Rev'!N9/'Semi Rev'!M9-1,""),"")</f>
        <v/>
      </c>
      <c r="K294" s="37">
        <f>IFERROR(IF(AND(ISNUMBER('Semi Rev'!O9),ISNUMBER('Semi Rev'!N9),'Semi Rev'!N9&gt;0),'Semi Rev'!O9/'Semi Rev'!N9-1,""),"")</f>
        <v/>
      </c>
      <c r="L294" s="37">
        <f>IFERROR(IF(AND(ISNUMBER('Semi Rev'!P9),ISNUMBER('Semi Rev'!O9),'Semi Rev'!O9&gt;0),'Semi Rev'!P9/'Semi Rev'!O9-1,""),"")</f>
        <v/>
      </c>
      <c r="M294" s="38">
        <f>IFERROR(IF(AND(ISNUMBER('Semi Rev'!Q9),ISNUMBER('Semi Rev'!P9),'Semi Rev'!P9&gt;0),'Semi Rev'!Q9/'Semi Rev'!P9-1,""),"")</f>
        <v/>
      </c>
      <c r="N294" s="38">
        <f>IFERROR(IF(AND(ISNUMBER('Semi Rev'!R9),ISNUMBER('Semi Rev'!Q9),'Semi Rev'!Q9&gt;0),'Semi Rev'!R9/'Semi Rev'!Q9-1,""),"")</f>
        <v/>
      </c>
    </row>
    <row r="295">
      <c r="A295" s="19">
        <f>'Semi Rev'!$A10</f>
        <v/>
      </c>
      <c r="B295" s="19">
        <f>'Semi Rev'!$B10</f>
        <v/>
      </c>
      <c r="C295" s="37">
        <f>IFERROR(IF(AND(ISNUMBER('Semi Rev'!G10),ISNUMBER('Semi Rev'!F10),'Semi Rev'!F10&gt;0),'Semi Rev'!G10/'Semi Rev'!F10-1,""),"")</f>
        <v/>
      </c>
      <c r="D295" s="37">
        <f>IFERROR(IF(AND(ISNUMBER('Semi Rev'!H10),ISNUMBER('Semi Rev'!G10),'Semi Rev'!G10&gt;0),'Semi Rev'!H10/'Semi Rev'!G10-1,""),"")</f>
        <v/>
      </c>
      <c r="E295" s="37">
        <f>IFERROR(IF(AND(ISNUMBER('Semi Rev'!I10),ISNUMBER('Semi Rev'!H10),'Semi Rev'!H10&gt;0),'Semi Rev'!I10/'Semi Rev'!H10-1,""),"")</f>
        <v/>
      </c>
      <c r="F295" s="37">
        <f>IFERROR(IF(AND(ISNUMBER('Semi Rev'!J10),ISNUMBER('Semi Rev'!I10),'Semi Rev'!I10&gt;0),'Semi Rev'!J10/'Semi Rev'!I10-1,""),"")</f>
        <v/>
      </c>
      <c r="G295" s="37">
        <f>IFERROR(IF(AND(ISNUMBER('Semi Rev'!K10),ISNUMBER('Semi Rev'!J10),'Semi Rev'!J10&gt;0),'Semi Rev'!K10/'Semi Rev'!J10-1,""),"")</f>
        <v/>
      </c>
      <c r="H295" s="37">
        <f>IFERROR(IF(AND(ISNUMBER('Semi Rev'!L10),ISNUMBER('Semi Rev'!K10),'Semi Rev'!K10&gt;0),'Semi Rev'!L10/'Semi Rev'!K10-1,""),"")</f>
        <v/>
      </c>
      <c r="I295" s="37">
        <f>IFERROR(IF(AND(ISNUMBER('Semi Rev'!M10),ISNUMBER('Semi Rev'!L10),'Semi Rev'!L10&gt;0),'Semi Rev'!M10/'Semi Rev'!L10-1,""),"")</f>
        <v/>
      </c>
      <c r="J295" s="37">
        <f>IFERROR(IF(AND(ISNUMBER('Semi Rev'!N10),ISNUMBER('Semi Rev'!M10),'Semi Rev'!M10&gt;0),'Semi Rev'!N10/'Semi Rev'!M10-1,""),"")</f>
        <v/>
      </c>
      <c r="K295" s="37">
        <f>IFERROR(IF(AND(ISNUMBER('Semi Rev'!O10),ISNUMBER('Semi Rev'!N10),'Semi Rev'!N10&gt;0),'Semi Rev'!O10/'Semi Rev'!N10-1,""),"")</f>
        <v/>
      </c>
      <c r="L295" s="37">
        <f>IFERROR(IF(AND(ISNUMBER('Semi Rev'!P10),ISNUMBER('Semi Rev'!O10),'Semi Rev'!O10&gt;0),'Semi Rev'!P10/'Semi Rev'!O10-1,""),"")</f>
        <v/>
      </c>
      <c r="M295" s="38">
        <f>IFERROR(IF(AND(ISNUMBER('Semi Rev'!Q10),ISNUMBER('Semi Rev'!P10),'Semi Rev'!P10&gt;0),'Semi Rev'!Q10/'Semi Rev'!P10-1,""),"")</f>
        <v/>
      </c>
      <c r="N295" s="38">
        <f>IFERROR(IF(AND(ISNUMBER('Semi Rev'!R10),ISNUMBER('Semi Rev'!Q10),'Semi Rev'!Q10&gt;0),'Semi Rev'!R10/'Semi Rev'!Q10-1,""),"")</f>
        <v/>
      </c>
    </row>
    <row r="296">
      <c r="A296" s="19">
        <f>'Semi Rev'!$A11</f>
        <v/>
      </c>
      <c r="B296" s="19">
        <f>'Semi Rev'!$B11</f>
        <v/>
      </c>
      <c r="C296" s="37">
        <f>IFERROR(IF(AND(ISNUMBER('Semi Rev'!G11),ISNUMBER('Semi Rev'!F11),'Semi Rev'!F11&gt;0),'Semi Rev'!G11/'Semi Rev'!F11-1,""),"")</f>
        <v/>
      </c>
      <c r="D296" s="37">
        <f>IFERROR(IF(AND(ISNUMBER('Semi Rev'!H11),ISNUMBER('Semi Rev'!G11),'Semi Rev'!G11&gt;0),'Semi Rev'!H11/'Semi Rev'!G11-1,""),"")</f>
        <v/>
      </c>
      <c r="E296" s="37">
        <f>IFERROR(IF(AND(ISNUMBER('Semi Rev'!I11),ISNUMBER('Semi Rev'!H11),'Semi Rev'!H11&gt;0),'Semi Rev'!I11/'Semi Rev'!H11-1,""),"")</f>
        <v/>
      </c>
      <c r="F296" s="37">
        <f>IFERROR(IF(AND(ISNUMBER('Semi Rev'!J11),ISNUMBER('Semi Rev'!I11),'Semi Rev'!I11&gt;0),'Semi Rev'!J11/'Semi Rev'!I11-1,""),"")</f>
        <v/>
      </c>
      <c r="G296" s="37">
        <f>IFERROR(IF(AND(ISNUMBER('Semi Rev'!K11),ISNUMBER('Semi Rev'!J11),'Semi Rev'!J11&gt;0),'Semi Rev'!K11/'Semi Rev'!J11-1,""),"")</f>
        <v/>
      </c>
      <c r="H296" s="37">
        <f>IFERROR(IF(AND(ISNUMBER('Semi Rev'!L11),ISNUMBER('Semi Rev'!K11),'Semi Rev'!K11&gt;0),'Semi Rev'!L11/'Semi Rev'!K11-1,""),"")</f>
        <v/>
      </c>
      <c r="I296" s="37">
        <f>IFERROR(IF(AND(ISNUMBER('Semi Rev'!M11),ISNUMBER('Semi Rev'!L11),'Semi Rev'!L11&gt;0),'Semi Rev'!M11/'Semi Rev'!L11-1,""),"")</f>
        <v/>
      </c>
      <c r="J296" s="37">
        <f>IFERROR(IF(AND(ISNUMBER('Semi Rev'!N11),ISNUMBER('Semi Rev'!M11),'Semi Rev'!M11&gt;0),'Semi Rev'!N11/'Semi Rev'!M11-1,""),"")</f>
        <v/>
      </c>
      <c r="K296" s="37">
        <f>IFERROR(IF(AND(ISNUMBER('Semi Rev'!O11),ISNUMBER('Semi Rev'!N11),'Semi Rev'!N11&gt;0),'Semi Rev'!O11/'Semi Rev'!N11-1,""),"")</f>
        <v/>
      </c>
      <c r="L296" s="37">
        <f>IFERROR(IF(AND(ISNUMBER('Semi Rev'!P11),ISNUMBER('Semi Rev'!O11),'Semi Rev'!O11&gt;0),'Semi Rev'!P11/'Semi Rev'!O11-1,""),"")</f>
        <v/>
      </c>
      <c r="M296" s="38">
        <f>IFERROR(IF(AND(ISNUMBER('Semi Rev'!Q11),ISNUMBER('Semi Rev'!P11),'Semi Rev'!P11&gt;0),'Semi Rev'!Q11/'Semi Rev'!P11-1,""),"")</f>
        <v/>
      </c>
      <c r="N296" s="38">
        <f>IFERROR(IF(AND(ISNUMBER('Semi Rev'!R11),ISNUMBER('Semi Rev'!Q11),'Semi Rev'!Q11&gt;0),'Semi Rev'!R11/'Semi Rev'!Q11-1,""),"")</f>
        <v/>
      </c>
    </row>
    <row r="297">
      <c r="A297" s="19">
        <f>'Semi Rev'!$A12</f>
        <v/>
      </c>
      <c r="B297" s="19">
        <f>'Semi Rev'!$B12</f>
        <v/>
      </c>
      <c r="C297" s="37">
        <f>IFERROR(IF(AND(ISNUMBER('Semi Rev'!G12),ISNUMBER('Semi Rev'!F12),'Semi Rev'!F12&gt;0),'Semi Rev'!G12/'Semi Rev'!F12-1,""),"")</f>
        <v/>
      </c>
      <c r="D297" s="37">
        <f>IFERROR(IF(AND(ISNUMBER('Semi Rev'!H12),ISNUMBER('Semi Rev'!G12),'Semi Rev'!G12&gt;0),'Semi Rev'!H12/'Semi Rev'!G12-1,""),"")</f>
        <v/>
      </c>
      <c r="E297" s="37">
        <f>IFERROR(IF(AND(ISNUMBER('Semi Rev'!I12),ISNUMBER('Semi Rev'!H12),'Semi Rev'!H12&gt;0),'Semi Rev'!I12/'Semi Rev'!H12-1,""),"")</f>
        <v/>
      </c>
      <c r="F297" s="37">
        <f>IFERROR(IF(AND(ISNUMBER('Semi Rev'!J12),ISNUMBER('Semi Rev'!I12),'Semi Rev'!I12&gt;0),'Semi Rev'!J12/'Semi Rev'!I12-1,""),"")</f>
        <v/>
      </c>
      <c r="G297" s="37">
        <f>IFERROR(IF(AND(ISNUMBER('Semi Rev'!K12),ISNUMBER('Semi Rev'!J12),'Semi Rev'!J12&gt;0),'Semi Rev'!K12/'Semi Rev'!J12-1,""),"")</f>
        <v/>
      </c>
      <c r="H297" s="37">
        <f>IFERROR(IF(AND(ISNUMBER('Semi Rev'!L12),ISNUMBER('Semi Rev'!K12),'Semi Rev'!K12&gt;0),'Semi Rev'!L12/'Semi Rev'!K12-1,""),"")</f>
        <v/>
      </c>
      <c r="I297" s="37">
        <f>IFERROR(IF(AND(ISNUMBER('Semi Rev'!M12),ISNUMBER('Semi Rev'!L12),'Semi Rev'!L12&gt;0),'Semi Rev'!M12/'Semi Rev'!L12-1,""),"")</f>
        <v/>
      </c>
      <c r="J297" s="37">
        <f>IFERROR(IF(AND(ISNUMBER('Semi Rev'!N12),ISNUMBER('Semi Rev'!M12),'Semi Rev'!M12&gt;0),'Semi Rev'!N12/'Semi Rev'!M12-1,""),"")</f>
        <v/>
      </c>
      <c r="K297" s="37">
        <f>IFERROR(IF(AND(ISNUMBER('Semi Rev'!O12),ISNUMBER('Semi Rev'!N12),'Semi Rev'!N12&gt;0),'Semi Rev'!O12/'Semi Rev'!N12-1,""),"")</f>
        <v/>
      </c>
      <c r="L297" s="37">
        <f>IFERROR(IF(AND(ISNUMBER('Semi Rev'!P12),ISNUMBER('Semi Rev'!O12),'Semi Rev'!O12&gt;0),'Semi Rev'!P12/'Semi Rev'!O12-1,""),"")</f>
        <v/>
      </c>
      <c r="M297" s="38">
        <f>IFERROR(IF(AND(ISNUMBER('Semi Rev'!Q12),ISNUMBER('Semi Rev'!P12),'Semi Rev'!P12&gt;0),'Semi Rev'!Q12/'Semi Rev'!P12-1,""),"")</f>
        <v/>
      </c>
      <c r="N297" s="38">
        <f>IFERROR(IF(AND(ISNUMBER('Semi Rev'!R12),ISNUMBER('Semi Rev'!Q12),'Semi Rev'!Q12&gt;0),'Semi Rev'!R12/'Semi Rev'!Q12-1,""),"")</f>
        <v/>
      </c>
    </row>
    <row r="298">
      <c r="A298" s="19">
        <f>'Semi Rev'!$A13</f>
        <v/>
      </c>
      <c r="B298" s="19">
        <f>'Semi Rev'!$B13</f>
        <v/>
      </c>
      <c r="C298" s="37">
        <f>IFERROR(IF(AND(ISNUMBER('Semi Rev'!G13),ISNUMBER('Semi Rev'!F13),'Semi Rev'!F13&gt;0),'Semi Rev'!G13/'Semi Rev'!F13-1,""),"")</f>
        <v/>
      </c>
      <c r="D298" s="37">
        <f>IFERROR(IF(AND(ISNUMBER('Semi Rev'!H13),ISNUMBER('Semi Rev'!G13),'Semi Rev'!G13&gt;0),'Semi Rev'!H13/'Semi Rev'!G13-1,""),"")</f>
        <v/>
      </c>
      <c r="E298" s="37">
        <f>IFERROR(IF(AND(ISNUMBER('Semi Rev'!I13),ISNUMBER('Semi Rev'!H13),'Semi Rev'!H13&gt;0),'Semi Rev'!I13/'Semi Rev'!H13-1,""),"")</f>
        <v/>
      </c>
      <c r="F298" s="37">
        <f>IFERROR(IF(AND(ISNUMBER('Semi Rev'!J13),ISNUMBER('Semi Rev'!I13),'Semi Rev'!I13&gt;0),'Semi Rev'!J13/'Semi Rev'!I13-1,""),"")</f>
        <v/>
      </c>
      <c r="G298" s="37">
        <f>IFERROR(IF(AND(ISNUMBER('Semi Rev'!K13),ISNUMBER('Semi Rev'!J13),'Semi Rev'!J13&gt;0),'Semi Rev'!K13/'Semi Rev'!J13-1,""),"")</f>
        <v/>
      </c>
      <c r="H298" s="37">
        <f>IFERROR(IF(AND(ISNUMBER('Semi Rev'!L13),ISNUMBER('Semi Rev'!K13),'Semi Rev'!K13&gt;0),'Semi Rev'!L13/'Semi Rev'!K13-1,""),"")</f>
        <v/>
      </c>
      <c r="I298" s="37">
        <f>IFERROR(IF(AND(ISNUMBER('Semi Rev'!M13),ISNUMBER('Semi Rev'!L13),'Semi Rev'!L13&gt;0),'Semi Rev'!M13/'Semi Rev'!L13-1,""),"")</f>
        <v/>
      </c>
      <c r="J298" s="37">
        <f>IFERROR(IF(AND(ISNUMBER('Semi Rev'!N13),ISNUMBER('Semi Rev'!M13),'Semi Rev'!M13&gt;0),'Semi Rev'!N13/'Semi Rev'!M13-1,""),"")</f>
        <v/>
      </c>
      <c r="K298" s="37">
        <f>IFERROR(IF(AND(ISNUMBER('Semi Rev'!O13),ISNUMBER('Semi Rev'!N13),'Semi Rev'!N13&gt;0),'Semi Rev'!O13/'Semi Rev'!N13-1,""),"")</f>
        <v/>
      </c>
      <c r="L298" s="37">
        <f>IFERROR(IF(AND(ISNUMBER('Semi Rev'!P13),ISNUMBER('Semi Rev'!O13),'Semi Rev'!O13&gt;0),'Semi Rev'!P13/'Semi Rev'!O13-1,""),"")</f>
        <v/>
      </c>
      <c r="M298" s="38">
        <f>IFERROR(IF(AND(ISNUMBER('Semi Rev'!Q13),ISNUMBER('Semi Rev'!P13),'Semi Rev'!P13&gt;0),'Semi Rev'!Q13/'Semi Rev'!P13-1,""),"")</f>
        <v/>
      </c>
      <c r="N298" s="38">
        <f>IFERROR(IF(AND(ISNUMBER('Semi Rev'!R13),ISNUMBER('Semi Rev'!Q13),'Semi Rev'!Q13&gt;0),'Semi Rev'!R13/'Semi Rev'!Q13-1,""),"")</f>
        <v/>
      </c>
    </row>
    <row r="299">
      <c r="A299" s="19">
        <f>'Semi Rev'!$A14</f>
        <v/>
      </c>
      <c r="B299" s="19">
        <f>'Semi Rev'!$B14</f>
        <v/>
      </c>
      <c r="C299" s="37">
        <f>IFERROR(IF(AND(ISNUMBER('Semi Rev'!G14),ISNUMBER('Semi Rev'!F14),'Semi Rev'!F14&gt;0),'Semi Rev'!G14/'Semi Rev'!F14-1,""),"")</f>
        <v/>
      </c>
      <c r="D299" s="37">
        <f>IFERROR(IF(AND(ISNUMBER('Semi Rev'!H14),ISNUMBER('Semi Rev'!G14),'Semi Rev'!G14&gt;0),'Semi Rev'!H14/'Semi Rev'!G14-1,""),"")</f>
        <v/>
      </c>
      <c r="E299" s="37">
        <f>IFERROR(IF(AND(ISNUMBER('Semi Rev'!I14),ISNUMBER('Semi Rev'!H14),'Semi Rev'!H14&gt;0),'Semi Rev'!I14/'Semi Rev'!H14-1,""),"")</f>
        <v/>
      </c>
      <c r="F299" s="37">
        <f>IFERROR(IF(AND(ISNUMBER('Semi Rev'!J14),ISNUMBER('Semi Rev'!I14),'Semi Rev'!I14&gt;0),'Semi Rev'!J14/'Semi Rev'!I14-1,""),"")</f>
        <v/>
      </c>
      <c r="G299" s="37">
        <f>IFERROR(IF(AND(ISNUMBER('Semi Rev'!K14),ISNUMBER('Semi Rev'!J14),'Semi Rev'!J14&gt;0),'Semi Rev'!K14/'Semi Rev'!J14-1,""),"")</f>
        <v/>
      </c>
      <c r="H299" s="37">
        <f>IFERROR(IF(AND(ISNUMBER('Semi Rev'!L14),ISNUMBER('Semi Rev'!K14),'Semi Rev'!K14&gt;0),'Semi Rev'!L14/'Semi Rev'!K14-1,""),"")</f>
        <v/>
      </c>
      <c r="I299" s="37">
        <f>IFERROR(IF(AND(ISNUMBER('Semi Rev'!M14),ISNUMBER('Semi Rev'!L14),'Semi Rev'!L14&gt;0),'Semi Rev'!M14/'Semi Rev'!L14-1,""),"")</f>
        <v/>
      </c>
      <c r="J299" s="37">
        <f>IFERROR(IF(AND(ISNUMBER('Semi Rev'!N14),ISNUMBER('Semi Rev'!M14),'Semi Rev'!M14&gt;0),'Semi Rev'!N14/'Semi Rev'!M14-1,""),"")</f>
        <v/>
      </c>
      <c r="K299" s="37">
        <f>IFERROR(IF(AND(ISNUMBER('Semi Rev'!O14),ISNUMBER('Semi Rev'!N14),'Semi Rev'!N14&gt;0),'Semi Rev'!O14/'Semi Rev'!N14-1,""),"")</f>
        <v/>
      </c>
      <c r="L299" s="37">
        <f>IFERROR(IF(AND(ISNUMBER('Semi Rev'!P14),ISNUMBER('Semi Rev'!O14),'Semi Rev'!O14&gt;0),'Semi Rev'!P14/'Semi Rev'!O14-1,""),"")</f>
        <v/>
      </c>
      <c r="M299" s="38">
        <f>IFERROR(IF(AND(ISNUMBER('Semi Rev'!Q14),ISNUMBER('Semi Rev'!P14),'Semi Rev'!P14&gt;0),'Semi Rev'!Q14/'Semi Rev'!P14-1,""),"")</f>
        <v/>
      </c>
      <c r="N299" s="38">
        <f>IFERROR(IF(AND(ISNUMBER('Semi Rev'!R14),ISNUMBER('Semi Rev'!Q14),'Semi Rev'!Q14&gt;0),'Semi Rev'!R14/'Semi Rev'!Q14-1,""),"")</f>
        <v/>
      </c>
    </row>
    <row r="300">
      <c r="A300" s="19">
        <f>'Semi Rev'!$A15</f>
        <v/>
      </c>
      <c r="B300" s="19">
        <f>'Semi Rev'!$B15</f>
        <v/>
      </c>
      <c r="C300" s="37">
        <f>IFERROR(IF(AND(ISNUMBER('Semi Rev'!G15),ISNUMBER('Semi Rev'!F15),'Semi Rev'!F15&gt;0),'Semi Rev'!G15/'Semi Rev'!F15-1,""),"")</f>
        <v/>
      </c>
      <c r="D300" s="37">
        <f>IFERROR(IF(AND(ISNUMBER('Semi Rev'!H15),ISNUMBER('Semi Rev'!G15),'Semi Rev'!G15&gt;0),'Semi Rev'!H15/'Semi Rev'!G15-1,""),"")</f>
        <v/>
      </c>
      <c r="E300" s="37">
        <f>IFERROR(IF(AND(ISNUMBER('Semi Rev'!I15),ISNUMBER('Semi Rev'!H15),'Semi Rev'!H15&gt;0),'Semi Rev'!I15/'Semi Rev'!H15-1,""),"")</f>
        <v/>
      </c>
      <c r="F300" s="37">
        <f>IFERROR(IF(AND(ISNUMBER('Semi Rev'!J15),ISNUMBER('Semi Rev'!I15),'Semi Rev'!I15&gt;0),'Semi Rev'!J15/'Semi Rev'!I15-1,""),"")</f>
        <v/>
      </c>
      <c r="G300" s="37">
        <f>IFERROR(IF(AND(ISNUMBER('Semi Rev'!K15),ISNUMBER('Semi Rev'!J15),'Semi Rev'!J15&gt;0),'Semi Rev'!K15/'Semi Rev'!J15-1,""),"")</f>
        <v/>
      </c>
      <c r="H300" s="37">
        <f>IFERROR(IF(AND(ISNUMBER('Semi Rev'!L15),ISNUMBER('Semi Rev'!K15),'Semi Rev'!K15&gt;0),'Semi Rev'!L15/'Semi Rev'!K15-1,""),"")</f>
        <v/>
      </c>
      <c r="I300" s="37">
        <f>IFERROR(IF(AND(ISNUMBER('Semi Rev'!M15),ISNUMBER('Semi Rev'!L15),'Semi Rev'!L15&gt;0),'Semi Rev'!M15/'Semi Rev'!L15-1,""),"")</f>
        <v/>
      </c>
      <c r="J300" s="37">
        <f>IFERROR(IF(AND(ISNUMBER('Semi Rev'!N15),ISNUMBER('Semi Rev'!M15),'Semi Rev'!M15&gt;0),'Semi Rev'!N15/'Semi Rev'!M15-1,""),"")</f>
        <v/>
      </c>
      <c r="K300" s="37">
        <f>IFERROR(IF(AND(ISNUMBER('Semi Rev'!O15),ISNUMBER('Semi Rev'!N15),'Semi Rev'!N15&gt;0),'Semi Rev'!O15/'Semi Rev'!N15-1,""),"")</f>
        <v/>
      </c>
      <c r="L300" s="37">
        <f>IFERROR(IF(AND(ISNUMBER('Semi Rev'!P15),ISNUMBER('Semi Rev'!O15),'Semi Rev'!O15&gt;0),'Semi Rev'!P15/'Semi Rev'!O15-1,""),"")</f>
        <v/>
      </c>
      <c r="M300" s="38">
        <f>IFERROR(IF(AND(ISNUMBER('Semi Rev'!Q15),ISNUMBER('Semi Rev'!P15),'Semi Rev'!P15&gt;0),'Semi Rev'!Q15/'Semi Rev'!P15-1,""),"")</f>
        <v/>
      </c>
      <c r="N300" s="38">
        <f>IFERROR(IF(AND(ISNUMBER('Semi Rev'!R15),ISNUMBER('Semi Rev'!Q15),'Semi Rev'!Q15&gt;0),'Semi Rev'!R15/'Semi Rev'!Q15-1,""),"")</f>
        <v/>
      </c>
    </row>
    <row r="301">
      <c r="A301" s="19">
        <f>'Semi Rev'!$A16</f>
        <v/>
      </c>
      <c r="B301" s="19">
        <f>'Semi Rev'!$B16</f>
        <v/>
      </c>
      <c r="C301" s="37">
        <f>IFERROR(IF(AND(ISNUMBER('Semi Rev'!G16),ISNUMBER('Semi Rev'!F16),'Semi Rev'!F16&gt;0),'Semi Rev'!G16/'Semi Rev'!F16-1,""),"")</f>
        <v/>
      </c>
      <c r="D301" s="37">
        <f>IFERROR(IF(AND(ISNUMBER('Semi Rev'!H16),ISNUMBER('Semi Rev'!G16),'Semi Rev'!G16&gt;0),'Semi Rev'!H16/'Semi Rev'!G16-1,""),"")</f>
        <v/>
      </c>
      <c r="E301" s="37">
        <f>IFERROR(IF(AND(ISNUMBER('Semi Rev'!I16),ISNUMBER('Semi Rev'!H16),'Semi Rev'!H16&gt;0),'Semi Rev'!I16/'Semi Rev'!H16-1,""),"")</f>
        <v/>
      </c>
      <c r="F301" s="37">
        <f>IFERROR(IF(AND(ISNUMBER('Semi Rev'!J16),ISNUMBER('Semi Rev'!I16),'Semi Rev'!I16&gt;0),'Semi Rev'!J16/'Semi Rev'!I16-1,""),"")</f>
        <v/>
      </c>
      <c r="G301" s="37">
        <f>IFERROR(IF(AND(ISNUMBER('Semi Rev'!K16),ISNUMBER('Semi Rev'!J16),'Semi Rev'!J16&gt;0),'Semi Rev'!K16/'Semi Rev'!J16-1,""),"")</f>
        <v/>
      </c>
      <c r="H301" s="37">
        <f>IFERROR(IF(AND(ISNUMBER('Semi Rev'!L16),ISNUMBER('Semi Rev'!K16),'Semi Rev'!K16&gt;0),'Semi Rev'!L16/'Semi Rev'!K16-1,""),"")</f>
        <v/>
      </c>
      <c r="I301" s="37">
        <f>IFERROR(IF(AND(ISNUMBER('Semi Rev'!M16),ISNUMBER('Semi Rev'!L16),'Semi Rev'!L16&gt;0),'Semi Rev'!M16/'Semi Rev'!L16-1,""),"")</f>
        <v/>
      </c>
      <c r="J301" s="37">
        <f>IFERROR(IF(AND(ISNUMBER('Semi Rev'!N16),ISNUMBER('Semi Rev'!M16),'Semi Rev'!M16&gt;0),'Semi Rev'!N16/'Semi Rev'!M16-1,""),"")</f>
        <v/>
      </c>
      <c r="K301" s="37">
        <f>IFERROR(IF(AND(ISNUMBER('Semi Rev'!O16),ISNUMBER('Semi Rev'!N16),'Semi Rev'!N16&gt;0),'Semi Rev'!O16/'Semi Rev'!N16-1,""),"")</f>
        <v/>
      </c>
      <c r="L301" s="37">
        <f>IFERROR(IF(AND(ISNUMBER('Semi Rev'!P16),ISNUMBER('Semi Rev'!O16),'Semi Rev'!O16&gt;0),'Semi Rev'!P16/'Semi Rev'!O16-1,""),"")</f>
        <v/>
      </c>
      <c r="M301" s="38">
        <f>IFERROR(IF(AND(ISNUMBER('Semi Rev'!Q16),ISNUMBER('Semi Rev'!P16),'Semi Rev'!P16&gt;0),'Semi Rev'!Q16/'Semi Rev'!P16-1,""),"")</f>
        <v/>
      </c>
      <c r="N301" s="38">
        <f>IFERROR(IF(AND(ISNUMBER('Semi Rev'!R16),ISNUMBER('Semi Rev'!Q16),'Semi Rev'!Q16&gt;0),'Semi Rev'!R16/'Semi Rev'!Q16-1,""),"")</f>
        <v/>
      </c>
    </row>
    <row r="302">
      <c r="A302" s="19">
        <f>'Semi Rev'!$A17</f>
        <v/>
      </c>
      <c r="B302" s="19">
        <f>'Semi Rev'!$B17</f>
        <v/>
      </c>
      <c r="C302" s="37">
        <f>IFERROR(IF(AND(ISNUMBER('Semi Rev'!G17),ISNUMBER('Semi Rev'!F17),'Semi Rev'!F17&gt;0),'Semi Rev'!G17/'Semi Rev'!F17-1,""),"")</f>
        <v/>
      </c>
      <c r="D302" s="37">
        <f>IFERROR(IF(AND(ISNUMBER('Semi Rev'!H17),ISNUMBER('Semi Rev'!G17),'Semi Rev'!G17&gt;0),'Semi Rev'!H17/'Semi Rev'!G17-1,""),"")</f>
        <v/>
      </c>
      <c r="E302" s="37">
        <f>IFERROR(IF(AND(ISNUMBER('Semi Rev'!I17),ISNUMBER('Semi Rev'!H17),'Semi Rev'!H17&gt;0),'Semi Rev'!I17/'Semi Rev'!H17-1,""),"")</f>
        <v/>
      </c>
      <c r="F302" s="37">
        <f>IFERROR(IF(AND(ISNUMBER('Semi Rev'!J17),ISNUMBER('Semi Rev'!I17),'Semi Rev'!I17&gt;0),'Semi Rev'!J17/'Semi Rev'!I17-1,""),"")</f>
        <v/>
      </c>
      <c r="G302" s="37">
        <f>IFERROR(IF(AND(ISNUMBER('Semi Rev'!K17),ISNUMBER('Semi Rev'!J17),'Semi Rev'!J17&gt;0),'Semi Rev'!K17/'Semi Rev'!J17-1,""),"")</f>
        <v/>
      </c>
      <c r="H302" s="37">
        <f>IFERROR(IF(AND(ISNUMBER('Semi Rev'!L17),ISNUMBER('Semi Rev'!K17),'Semi Rev'!K17&gt;0),'Semi Rev'!L17/'Semi Rev'!K17-1,""),"")</f>
        <v/>
      </c>
      <c r="I302" s="37">
        <f>IFERROR(IF(AND(ISNUMBER('Semi Rev'!M17),ISNUMBER('Semi Rev'!L17),'Semi Rev'!L17&gt;0),'Semi Rev'!M17/'Semi Rev'!L17-1,""),"")</f>
        <v/>
      </c>
      <c r="J302" s="37">
        <f>IFERROR(IF(AND(ISNUMBER('Semi Rev'!N17),ISNUMBER('Semi Rev'!M17),'Semi Rev'!M17&gt;0),'Semi Rev'!N17/'Semi Rev'!M17-1,""),"")</f>
        <v/>
      </c>
      <c r="K302" s="37">
        <f>IFERROR(IF(AND(ISNUMBER('Semi Rev'!O17),ISNUMBER('Semi Rev'!N17),'Semi Rev'!N17&gt;0),'Semi Rev'!O17/'Semi Rev'!N17-1,""),"")</f>
        <v/>
      </c>
      <c r="L302" s="37">
        <f>IFERROR(IF(AND(ISNUMBER('Semi Rev'!P17),ISNUMBER('Semi Rev'!O17),'Semi Rev'!O17&gt;0),'Semi Rev'!P17/'Semi Rev'!O17-1,""),"")</f>
        <v/>
      </c>
      <c r="M302" s="38">
        <f>IFERROR(IF(AND(ISNUMBER('Semi Rev'!Q17),ISNUMBER('Semi Rev'!P17),'Semi Rev'!P17&gt;0),'Semi Rev'!Q17/'Semi Rev'!P17-1,""),"")</f>
        <v/>
      </c>
      <c r="N302" s="38">
        <f>IFERROR(IF(AND(ISNUMBER('Semi Rev'!R17),ISNUMBER('Semi Rev'!Q17),'Semi Rev'!Q17&gt;0),'Semi Rev'!R17/'Semi Rev'!Q17-1,""),"")</f>
        <v/>
      </c>
    </row>
    <row r="303">
      <c r="A303" s="19">
        <f>'Semi Rev'!$A18</f>
        <v/>
      </c>
      <c r="B303" s="19">
        <f>'Semi Rev'!$B18</f>
        <v/>
      </c>
      <c r="C303" s="37">
        <f>IFERROR(IF(AND(ISNUMBER('Semi Rev'!G18),ISNUMBER('Semi Rev'!F18),'Semi Rev'!F18&gt;0),'Semi Rev'!G18/'Semi Rev'!F18-1,""),"")</f>
        <v/>
      </c>
      <c r="D303" s="37">
        <f>IFERROR(IF(AND(ISNUMBER('Semi Rev'!H18),ISNUMBER('Semi Rev'!G18),'Semi Rev'!G18&gt;0),'Semi Rev'!H18/'Semi Rev'!G18-1,""),"")</f>
        <v/>
      </c>
      <c r="E303" s="37">
        <f>IFERROR(IF(AND(ISNUMBER('Semi Rev'!I18),ISNUMBER('Semi Rev'!H18),'Semi Rev'!H18&gt;0),'Semi Rev'!I18/'Semi Rev'!H18-1,""),"")</f>
        <v/>
      </c>
      <c r="F303" s="37">
        <f>IFERROR(IF(AND(ISNUMBER('Semi Rev'!J18),ISNUMBER('Semi Rev'!I18),'Semi Rev'!I18&gt;0),'Semi Rev'!J18/'Semi Rev'!I18-1,""),"")</f>
        <v/>
      </c>
      <c r="G303" s="37">
        <f>IFERROR(IF(AND(ISNUMBER('Semi Rev'!K18),ISNUMBER('Semi Rev'!J18),'Semi Rev'!J18&gt;0),'Semi Rev'!K18/'Semi Rev'!J18-1,""),"")</f>
        <v/>
      </c>
      <c r="H303" s="37">
        <f>IFERROR(IF(AND(ISNUMBER('Semi Rev'!L18),ISNUMBER('Semi Rev'!K18),'Semi Rev'!K18&gt;0),'Semi Rev'!L18/'Semi Rev'!K18-1,""),"")</f>
        <v/>
      </c>
      <c r="I303" s="37">
        <f>IFERROR(IF(AND(ISNUMBER('Semi Rev'!M18),ISNUMBER('Semi Rev'!L18),'Semi Rev'!L18&gt;0),'Semi Rev'!M18/'Semi Rev'!L18-1,""),"")</f>
        <v/>
      </c>
      <c r="J303" s="37">
        <f>IFERROR(IF(AND(ISNUMBER('Semi Rev'!N18),ISNUMBER('Semi Rev'!M18),'Semi Rev'!M18&gt;0),'Semi Rev'!N18/'Semi Rev'!M18-1,""),"")</f>
        <v/>
      </c>
      <c r="K303" s="37">
        <f>IFERROR(IF(AND(ISNUMBER('Semi Rev'!O18),ISNUMBER('Semi Rev'!N18),'Semi Rev'!N18&gt;0),'Semi Rev'!O18/'Semi Rev'!N18-1,""),"")</f>
        <v/>
      </c>
      <c r="L303" s="37">
        <f>IFERROR(IF(AND(ISNUMBER('Semi Rev'!P18),ISNUMBER('Semi Rev'!O18),'Semi Rev'!O18&gt;0),'Semi Rev'!P18/'Semi Rev'!O18-1,""),"")</f>
        <v/>
      </c>
      <c r="M303" s="38">
        <f>IFERROR(IF(AND(ISNUMBER('Semi Rev'!Q18),ISNUMBER('Semi Rev'!P18),'Semi Rev'!P18&gt;0),'Semi Rev'!Q18/'Semi Rev'!P18-1,""),"")</f>
        <v/>
      </c>
      <c r="N303" s="38">
        <f>IFERROR(IF(AND(ISNUMBER('Semi Rev'!R18),ISNUMBER('Semi Rev'!Q18),'Semi Rev'!Q18&gt;0),'Semi Rev'!R18/'Semi Rev'!Q18-1,""),"")</f>
        <v/>
      </c>
    </row>
    <row r="304">
      <c r="A304" s="19">
        <f>'Semi Rev'!$A19</f>
        <v/>
      </c>
      <c r="B304" s="19">
        <f>'Semi Rev'!$B19</f>
        <v/>
      </c>
      <c r="C304" s="37">
        <f>IFERROR(IF(AND(ISNUMBER('Semi Rev'!G19),ISNUMBER('Semi Rev'!F19),'Semi Rev'!F19&gt;0),'Semi Rev'!G19/'Semi Rev'!F19-1,""),"")</f>
        <v/>
      </c>
      <c r="D304" s="37">
        <f>IFERROR(IF(AND(ISNUMBER('Semi Rev'!H19),ISNUMBER('Semi Rev'!G19),'Semi Rev'!G19&gt;0),'Semi Rev'!H19/'Semi Rev'!G19-1,""),"")</f>
        <v/>
      </c>
      <c r="E304" s="37">
        <f>IFERROR(IF(AND(ISNUMBER('Semi Rev'!I19),ISNUMBER('Semi Rev'!H19),'Semi Rev'!H19&gt;0),'Semi Rev'!I19/'Semi Rev'!H19-1,""),"")</f>
        <v/>
      </c>
      <c r="F304" s="37">
        <f>IFERROR(IF(AND(ISNUMBER('Semi Rev'!J19),ISNUMBER('Semi Rev'!I19),'Semi Rev'!I19&gt;0),'Semi Rev'!J19/'Semi Rev'!I19-1,""),"")</f>
        <v/>
      </c>
      <c r="G304" s="37">
        <f>IFERROR(IF(AND(ISNUMBER('Semi Rev'!K19),ISNUMBER('Semi Rev'!J19),'Semi Rev'!J19&gt;0),'Semi Rev'!K19/'Semi Rev'!J19-1,""),"")</f>
        <v/>
      </c>
      <c r="H304" s="37">
        <f>IFERROR(IF(AND(ISNUMBER('Semi Rev'!L19),ISNUMBER('Semi Rev'!K19),'Semi Rev'!K19&gt;0),'Semi Rev'!L19/'Semi Rev'!K19-1,""),"")</f>
        <v/>
      </c>
      <c r="I304" s="37">
        <f>IFERROR(IF(AND(ISNUMBER('Semi Rev'!M19),ISNUMBER('Semi Rev'!L19),'Semi Rev'!L19&gt;0),'Semi Rev'!M19/'Semi Rev'!L19-1,""),"")</f>
        <v/>
      </c>
      <c r="J304" s="37">
        <f>IFERROR(IF(AND(ISNUMBER('Semi Rev'!N19),ISNUMBER('Semi Rev'!M19),'Semi Rev'!M19&gt;0),'Semi Rev'!N19/'Semi Rev'!M19-1,""),"")</f>
        <v/>
      </c>
      <c r="K304" s="37">
        <f>IFERROR(IF(AND(ISNUMBER('Semi Rev'!O19),ISNUMBER('Semi Rev'!N19),'Semi Rev'!N19&gt;0),'Semi Rev'!O19/'Semi Rev'!N19-1,""),"")</f>
        <v/>
      </c>
      <c r="L304" s="37">
        <f>IFERROR(IF(AND(ISNUMBER('Semi Rev'!P19),ISNUMBER('Semi Rev'!O19),'Semi Rev'!O19&gt;0),'Semi Rev'!P19/'Semi Rev'!O19-1,""),"")</f>
        <v/>
      </c>
      <c r="M304" s="38">
        <f>IFERROR(IF(AND(ISNUMBER('Semi Rev'!Q19),ISNUMBER('Semi Rev'!P19),'Semi Rev'!P19&gt;0),'Semi Rev'!Q19/'Semi Rev'!P19-1,""),"")</f>
        <v/>
      </c>
      <c r="N304" s="38">
        <f>IFERROR(IF(AND(ISNUMBER('Semi Rev'!R19),ISNUMBER('Semi Rev'!Q19),'Semi Rev'!Q19&gt;0),'Semi Rev'!R19/'Semi Rev'!Q19-1,""),"")</f>
        <v/>
      </c>
    </row>
    <row r="305">
      <c r="A305" s="19">
        <f>'Semi Rev'!$A20</f>
        <v/>
      </c>
      <c r="B305" s="19">
        <f>'Semi Rev'!$B20</f>
        <v/>
      </c>
      <c r="C305" s="37">
        <f>IFERROR(IF(AND(ISNUMBER('Semi Rev'!G20),ISNUMBER('Semi Rev'!F20),'Semi Rev'!F20&gt;0),'Semi Rev'!G20/'Semi Rev'!F20-1,""),"")</f>
        <v/>
      </c>
      <c r="D305" s="37">
        <f>IFERROR(IF(AND(ISNUMBER('Semi Rev'!H20),ISNUMBER('Semi Rev'!G20),'Semi Rev'!G20&gt;0),'Semi Rev'!H20/'Semi Rev'!G20-1,""),"")</f>
        <v/>
      </c>
      <c r="E305" s="37">
        <f>IFERROR(IF(AND(ISNUMBER('Semi Rev'!I20),ISNUMBER('Semi Rev'!H20),'Semi Rev'!H20&gt;0),'Semi Rev'!I20/'Semi Rev'!H20-1,""),"")</f>
        <v/>
      </c>
      <c r="F305" s="37">
        <f>IFERROR(IF(AND(ISNUMBER('Semi Rev'!J20),ISNUMBER('Semi Rev'!I20),'Semi Rev'!I20&gt;0),'Semi Rev'!J20/'Semi Rev'!I20-1,""),"")</f>
        <v/>
      </c>
      <c r="G305" s="37">
        <f>IFERROR(IF(AND(ISNUMBER('Semi Rev'!K20),ISNUMBER('Semi Rev'!J20),'Semi Rev'!J20&gt;0),'Semi Rev'!K20/'Semi Rev'!J20-1,""),"")</f>
        <v/>
      </c>
      <c r="H305" s="37">
        <f>IFERROR(IF(AND(ISNUMBER('Semi Rev'!L20),ISNUMBER('Semi Rev'!K20),'Semi Rev'!K20&gt;0),'Semi Rev'!L20/'Semi Rev'!K20-1,""),"")</f>
        <v/>
      </c>
      <c r="I305" s="37">
        <f>IFERROR(IF(AND(ISNUMBER('Semi Rev'!M20),ISNUMBER('Semi Rev'!L20),'Semi Rev'!L20&gt;0),'Semi Rev'!M20/'Semi Rev'!L20-1,""),"")</f>
        <v/>
      </c>
      <c r="J305" s="37">
        <f>IFERROR(IF(AND(ISNUMBER('Semi Rev'!N20),ISNUMBER('Semi Rev'!M20),'Semi Rev'!M20&gt;0),'Semi Rev'!N20/'Semi Rev'!M20-1,""),"")</f>
        <v/>
      </c>
      <c r="K305" s="37">
        <f>IFERROR(IF(AND(ISNUMBER('Semi Rev'!O20),ISNUMBER('Semi Rev'!N20),'Semi Rev'!N20&gt;0),'Semi Rev'!O20/'Semi Rev'!N20-1,""),"")</f>
        <v/>
      </c>
      <c r="L305" s="37">
        <f>IFERROR(IF(AND(ISNUMBER('Semi Rev'!P20),ISNUMBER('Semi Rev'!O20),'Semi Rev'!O20&gt;0),'Semi Rev'!P20/'Semi Rev'!O20-1,""),"")</f>
        <v/>
      </c>
      <c r="M305" s="38">
        <f>IFERROR(IF(AND(ISNUMBER('Semi Rev'!Q20),ISNUMBER('Semi Rev'!P20),'Semi Rev'!P20&gt;0),'Semi Rev'!Q20/'Semi Rev'!P20-1,""),"")</f>
        <v/>
      </c>
      <c r="N305" s="38">
        <f>IFERROR(IF(AND(ISNUMBER('Semi Rev'!R20),ISNUMBER('Semi Rev'!Q20),'Semi Rev'!Q20&gt;0),'Semi Rev'!R20/'Semi Rev'!Q20-1,""),"")</f>
        <v/>
      </c>
    </row>
    <row r="306">
      <c r="A306" s="19">
        <f>'Semi Rev'!$A21</f>
        <v/>
      </c>
      <c r="B306" s="19">
        <f>'Semi Rev'!$B21</f>
        <v/>
      </c>
      <c r="C306" s="37">
        <f>IFERROR(IF(AND(ISNUMBER('Semi Rev'!G21),ISNUMBER('Semi Rev'!F21),'Semi Rev'!F21&gt;0),'Semi Rev'!G21/'Semi Rev'!F21-1,""),"")</f>
        <v/>
      </c>
      <c r="D306" s="37">
        <f>IFERROR(IF(AND(ISNUMBER('Semi Rev'!H21),ISNUMBER('Semi Rev'!G21),'Semi Rev'!G21&gt;0),'Semi Rev'!H21/'Semi Rev'!G21-1,""),"")</f>
        <v/>
      </c>
      <c r="E306" s="37">
        <f>IFERROR(IF(AND(ISNUMBER('Semi Rev'!I21),ISNUMBER('Semi Rev'!H21),'Semi Rev'!H21&gt;0),'Semi Rev'!I21/'Semi Rev'!H21-1,""),"")</f>
        <v/>
      </c>
      <c r="F306" s="37">
        <f>IFERROR(IF(AND(ISNUMBER('Semi Rev'!J21),ISNUMBER('Semi Rev'!I21),'Semi Rev'!I21&gt;0),'Semi Rev'!J21/'Semi Rev'!I21-1,""),"")</f>
        <v/>
      </c>
      <c r="G306" s="37">
        <f>IFERROR(IF(AND(ISNUMBER('Semi Rev'!K21),ISNUMBER('Semi Rev'!J21),'Semi Rev'!J21&gt;0),'Semi Rev'!K21/'Semi Rev'!J21-1,""),"")</f>
        <v/>
      </c>
      <c r="H306" s="37">
        <f>IFERROR(IF(AND(ISNUMBER('Semi Rev'!L21),ISNUMBER('Semi Rev'!K21),'Semi Rev'!K21&gt;0),'Semi Rev'!L21/'Semi Rev'!K21-1,""),"")</f>
        <v/>
      </c>
      <c r="I306" s="37">
        <f>IFERROR(IF(AND(ISNUMBER('Semi Rev'!M21),ISNUMBER('Semi Rev'!L21),'Semi Rev'!L21&gt;0),'Semi Rev'!M21/'Semi Rev'!L21-1,""),"")</f>
        <v/>
      </c>
      <c r="J306" s="37">
        <f>IFERROR(IF(AND(ISNUMBER('Semi Rev'!N21),ISNUMBER('Semi Rev'!M21),'Semi Rev'!M21&gt;0),'Semi Rev'!N21/'Semi Rev'!M21-1,""),"")</f>
        <v/>
      </c>
      <c r="K306" s="37">
        <f>IFERROR(IF(AND(ISNUMBER('Semi Rev'!O21),ISNUMBER('Semi Rev'!N21),'Semi Rev'!N21&gt;0),'Semi Rev'!O21/'Semi Rev'!N21-1,""),"")</f>
        <v/>
      </c>
      <c r="L306" s="37">
        <f>IFERROR(IF(AND(ISNUMBER('Semi Rev'!P21),ISNUMBER('Semi Rev'!O21),'Semi Rev'!O21&gt;0),'Semi Rev'!P21/'Semi Rev'!O21-1,""),"")</f>
        <v/>
      </c>
      <c r="M306" s="38">
        <f>IFERROR(IF(AND(ISNUMBER('Semi Rev'!Q21),ISNUMBER('Semi Rev'!P21),'Semi Rev'!P21&gt;0),'Semi Rev'!Q21/'Semi Rev'!P21-1,""),"")</f>
        <v/>
      </c>
      <c r="N306" s="38">
        <f>IFERROR(IF(AND(ISNUMBER('Semi Rev'!R21),ISNUMBER('Semi Rev'!Q21),'Semi Rev'!Q21&gt;0),'Semi Rev'!R21/'Semi Rev'!Q21-1,""),"")</f>
        <v/>
      </c>
    </row>
    <row r="307">
      <c r="A307" s="19">
        <f>'Semi Rev'!$A22</f>
        <v/>
      </c>
      <c r="B307" s="19">
        <f>'Semi Rev'!$B22</f>
        <v/>
      </c>
      <c r="C307" s="37">
        <f>IFERROR(IF(AND(ISNUMBER('Semi Rev'!G22),ISNUMBER('Semi Rev'!F22),'Semi Rev'!F22&gt;0),'Semi Rev'!G22/'Semi Rev'!F22-1,""),"")</f>
        <v/>
      </c>
      <c r="D307" s="37">
        <f>IFERROR(IF(AND(ISNUMBER('Semi Rev'!H22),ISNUMBER('Semi Rev'!G22),'Semi Rev'!G22&gt;0),'Semi Rev'!H22/'Semi Rev'!G22-1,""),"")</f>
        <v/>
      </c>
      <c r="E307" s="37">
        <f>IFERROR(IF(AND(ISNUMBER('Semi Rev'!I22),ISNUMBER('Semi Rev'!H22),'Semi Rev'!H22&gt;0),'Semi Rev'!I22/'Semi Rev'!H22-1,""),"")</f>
        <v/>
      </c>
      <c r="F307" s="37">
        <f>IFERROR(IF(AND(ISNUMBER('Semi Rev'!J22),ISNUMBER('Semi Rev'!I22),'Semi Rev'!I22&gt;0),'Semi Rev'!J22/'Semi Rev'!I22-1,""),"")</f>
        <v/>
      </c>
      <c r="G307" s="37">
        <f>IFERROR(IF(AND(ISNUMBER('Semi Rev'!K22),ISNUMBER('Semi Rev'!J22),'Semi Rev'!J22&gt;0),'Semi Rev'!K22/'Semi Rev'!J22-1,""),"")</f>
        <v/>
      </c>
      <c r="H307" s="37">
        <f>IFERROR(IF(AND(ISNUMBER('Semi Rev'!L22),ISNUMBER('Semi Rev'!K22),'Semi Rev'!K22&gt;0),'Semi Rev'!L22/'Semi Rev'!K22-1,""),"")</f>
        <v/>
      </c>
      <c r="I307" s="37">
        <f>IFERROR(IF(AND(ISNUMBER('Semi Rev'!M22),ISNUMBER('Semi Rev'!L22),'Semi Rev'!L22&gt;0),'Semi Rev'!M22/'Semi Rev'!L22-1,""),"")</f>
        <v/>
      </c>
      <c r="J307" s="37">
        <f>IFERROR(IF(AND(ISNUMBER('Semi Rev'!N22),ISNUMBER('Semi Rev'!M22),'Semi Rev'!M22&gt;0),'Semi Rev'!N22/'Semi Rev'!M22-1,""),"")</f>
        <v/>
      </c>
      <c r="K307" s="37">
        <f>IFERROR(IF(AND(ISNUMBER('Semi Rev'!O22),ISNUMBER('Semi Rev'!N22),'Semi Rev'!N22&gt;0),'Semi Rev'!O22/'Semi Rev'!N22-1,""),"")</f>
        <v/>
      </c>
      <c r="L307" s="37">
        <f>IFERROR(IF(AND(ISNUMBER('Semi Rev'!P22),ISNUMBER('Semi Rev'!O22),'Semi Rev'!O22&gt;0),'Semi Rev'!P22/'Semi Rev'!O22-1,""),"")</f>
        <v/>
      </c>
      <c r="M307" s="38">
        <f>IFERROR(IF(AND(ISNUMBER('Semi Rev'!Q22),ISNUMBER('Semi Rev'!P22),'Semi Rev'!P22&gt;0),'Semi Rev'!Q22/'Semi Rev'!P22-1,""),"")</f>
        <v/>
      </c>
      <c r="N307" s="38">
        <f>IFERROR(IF(AND(ISNUMBER('Semi Rev'!R22),ISNUMBER('Semi Rev'!Q22),'Semi Rev'!Q22&gt;0),'Semi Rev'!R22/'Semi Rev'!Q22-1,""),"")</f>
        <v/>
      </c>
    </row>
    <row r="308">
      <c r="A308" s="19">
        <f>'Semi Rev'!$A23</f>
        <v/>
      </c>
      <c r="B308" s="19">
        <f>'Semi Rev'!$B23</f>
        <v/>
      </c>
      <c r="C308" s="37">
        <f>IFERROR(IF(AND(ISNUMBER('Semi Rev'!G23),ISNUMBER('Semi Rev'!F23),'Semi Rev'!F23&gt;0),'Semi Rev'!G23/'Semi Rev'!F23-1,""),"")</f>
        <v/>
      </c>
      <c r="D308" s="37">
        <f>IFERROR(IF(AND(ISNUMBER('Semi Rev'!H23),ISNUMBER('Semi Rev'!G23),'Semi Rev'!G23&gt;0),'Semi Rev'!H23/'Semi Rev'!G23-1,""),"")</f>
        <v/>
      </c>
      <c r="E308" s="37">
        <f>IFERROR(IF(AND(ISNUMBER('Semi Rev'!I23),ISNUMBER('Semi Rev'!H23),'Semi Rev'!H23&gt;0),'Semi Rev'!I23/'Semi Rev'!H23-1,""),"")</f>
        <v/>
      </c>
      <c r="F308" s="37">
        <f>IFERROR(IF(AND(ISNUMBER('Semi Rev'!J23),ISNUMBER('Semi Rev'!I23),'Semi Rev'!I23&gt;0),'Semi Rev'!J23/'Semi Rev'!I23-1,""),"")</f>
        <v/>
      </c>
      <c r="G308" s="37">
        <f>IFERROR(IF(AND(ISNUMBER('Semi Rev'!K23),ISNUMBER('Semi Rev'!J23),'Semi Rev'!J23&gt;0),'Semi Rev'!K23/'Semi Rev'!J23-1,""),"")</f>
        <v/>
      </c>
      <c r="H308" s="37">
        <f>IFERROR(IF(AND(ISNUMBER('Semi Rev'!L23),ISNUMBER('Semi Rev'!K23),'Semi Rev'!K23&gt;0),'Semi Rev'!L23/'Semi Rev'!K23-1,""),"")</f>
        <v/>
      </c>
      <c r="I308" s="37">
        <f>IFERROR(IF(AND(ISNUMBER('Semi Rev'!M23),ISNUMBER('Semi Rev'!L23),'Semi Rev'!L23&gt;0),'Semi Rev'!M23/'Semi Rev'!L23-1,""),"")</f>
        <v/>
      </c>
      <c r="J308" s="37">
        <f>IFERROR(IF(AND(ISNUMBER('Semi Rev'!N23),ISNUMBER('Semi Rev'!M23),'Semi Rev'!M23&gt;0),'Semi Rev'!N23/'Semi Rev'!M23-1,""),"")</f>
        <v/>
      </c>
      <c r="K308" s="37">
        <f>IFERROR(IF(AND(ISNUMBER('Semi Rev'!O23),ISNUMBER('Semi Rev'!N23),'Semi Rev'!N23&gt;0),'Semi Rev'!O23/'Semi Rev'!N23-1,""),"")</f>
        <v/>
      </c>
      <c r="L308" s="37">
        <f>IFERROR(IF(AND(ISNUMBER('Semi Rev'!P23),ISNUMBER('Semi Rev'!O23),'Semi Rev'!O23&gt;0),'Semi Rev'!P23/'Semi Rev'!O23-1,""),"")</f>
        <v/>
      </c>
      <c r="M308" s="38">
        <f>IFERROR(IF(AND(ISNUMBER('Semi Rev'!Q23),ISNUMBER('Semi Rev'!P23),'Semi Rev'!P23&gt;0),'Semi Rev'!Q23/'Semi Rev'!P23-1,""),"")</f>
        <v/>
      </c>
      <c r="N308" s="38">
        <f>IFERROR(IF(AND(ISNUMBER('Semi Rev'!R23),ISNUMBER('Semi Rev'!Q23),'Semi Rev'!Q23&gt;0),'Semi Rev'!R23/'Semi Rev'!Q23-1,""),"")</f>
        <v/>
      </c>
    </row>
    <row r="309">
      <c r="A309" s="19">
        <f>'Semi Rev'!$A24</f>
        <v/>
      </c>
      <c r="B309" s="19">
        <f>'Semi Rev'!$B24</f>
        <v/>
      </c>
      <c r="C309" s="37">
        <f>IFERROR(IF(AND(ISNUMBER('Semi Rev'!G24),ISNUMBER('Semi Rev'!F24),'Semi Rev'!F24&gt;0),'Semi Rev'!G24/'Semi Rev'!F24-1,""),"")</f>
        <v/>
      </c>
      <c r="D309" s="37">
        <f>IFERROR(IF(AND(ISNUMBER('Semi Rev'!H24),ISNUMBER('Semi Rev'!G24),'Semi Rev'!G24&gt;0),'Semi Rev'!H24/'Semi Rev'!G24-1,""),"")</f>
        <v/>
      </c>
      <c r="E309" s="37">
        <f>IFERROR(IF(AND(ISNUMBER('Semi Rev'!I24),ISNUMBER('Semi Rev'!H24),'Semi Rev'!H24&gt;0),'Semi Rev'!I24/'Semi Rev'!H24-1,""),"")</f>
        <v/>
      </c>
      <c r="F309" s="37">
        <f>IFERROR(IF(AND(ISNUMBER('Semi Rev'!J24),ISNUMBER('Semi Rev'!I24),'Semi Rev'!I24&gt;0),'Semi Rev'!J24/'Semi Rev'!I24-1,""),"")</f>
        <v/>
      </c>
      <c r="G309" s="37">
        <f>IFERROR(IF(AND(ISNUMBER('Semi Rev'!K24),ISNUMBER('Semi Rev'!J24),'Semi Rev'!J24&gt;0),'Semi Rev'!K24/'Semi Rev'!J24-1,""),"")</f>
        <v/>
      </c>
      <c r="H309" s="37">
        <f>IFERROR(IF(AND(ISNUMBER('Semi Rev'!L24),ISNUMBER('Semi Rev'!K24),'Semi Rev'!K24&gt;0),'Semi Rev'!L24/'Semi Rev'!K24-1,""),"")</f>
        <v/>
      </c>
      <c r="I309" s="37">
        <f>IFERROR(IF(AND(ISNUMBER('Semi Rev'!M24),ISNUMBER('Semi Rev'!L24),'Semi Rev'!L24&gt;0),'Semi Rev'!M24/'Semi Rev'!L24-1,""),"")</f>
        <v/>
      </c>
      <c r="J309" s="37">
        <f>IFERROR(IF(AND(ISNUMBER('Semi Rev'!N24),ISNUMBER('Semi Rev'!M24),'Semi Rev'!M24&gt;0),'Semi Rev'!N24/'Semi Rev'!M24-1,""),"")</f>
        <v/>
      </c>
      <c r="K309" s="37">
        <f>IFERROR(IF(AND(ISNUMBER('Semi Rev'!O24),ISNUMBER('Semi Rev'!N24),'Semi Rev'!N24&gt;0),'Semi Rev'!O24/'Semi Rev'!N24-1,""),"")</f>
        <v/>
      </c>
      <c r="L309" s="37">
        <f>IFERROR(IF(AND(ISNUMBER('Semi Rev'!P24),ISNUMBER('Semi Rev'!O24),'Semi Rev'!O24&gt;0),'Semi Rev'!P24/'Semi Rev'!O24-1,""),"")</f>
        <v/>
      </c>
      <c r="M309" s="38">
        <f>IFERROR(IF(AND(ISNUMBER('Semi Rev'!Q24),ISNUMBER('Semi Rev'!P24),'Semi Rev'!P24&gt;0),'Semi Rev'!Q24/'Semi Rev'!P24-1,""),"")</f>
        <v/>
      </c>
      <c r="N309" s="38">
        <f>IFERROR(IF(AND(ISNUMBER('Semi Rev'!R24),ISNUMBER('Semi Rev'!Q24),'Semi Rev'!Q24&gt;0),'Semi Rev'!R24/'Semi Rev'!Q24-1,""),"")</f>
        <v/>
      </c>
    </row>
    <row r="310">
      <c r="A310" s="19">
        <f>'Semi Rev'!$A25</f>
        <v/>
      </c>
      <c r="B310" s="19">
        <f>'Semi Rev'!$B25</f>
        <v/>
      </c>
      <c r="C310" s="37">
        <f>IFERROR(IF(AND(ISNUMBER('Semi Rev'!G25),ISNUMBER('Semi Rev'!F25),'Semi Rev'!F25&gt;0),'Semi Rev'!G25/'Semi Rev'!F25-1,""),"")</f>
        <v/>
      </c>
      <c r="D310" s="37">
        <f>IFERROR(IF(AND(ISNUMBER('Semi Rev'!H25),ISNUMBER('Semi Rev'!G25),'Semi Rev'!G25&gt;0),'Semi Rev'!H25/'Semi Rev'!G25-1,""),"")</f>
        <v/>
      </c>
      <c r="E310" s="37">
        <f>IFERROR(IF(AND(ISNUMBER('Semi Rev'!I25),ISNUMBER('Semi Rev'!H25),'Semi Rev'!H25&gt;0),'Semi Rev'!I25/'Semi Rev'!H25-1,""),"")</f>
        <v/>
      </c>
      <c r="F310" s="37">
        <f>IFERROR(IF(AND(ISNUMBER('Semi Rev'!J25),ISNUMBER('Semi Rev'!I25),'Semi Rev'!I25&gt;0),'Semi Rev'!J25/'Semi Rev'!I25-1,""),"")</f>
        <v/>
      </c>
      <c r="G310" s="37">
        <f>IFERROR(IF(AND(ISNUMBER('Semi Rev'!K25),ISNUMBER('Semi Rev'!J25),'Semi Rev'!J25&gt;0),'Semi Rev'!K25/'Semi Rev'!J25-1,""),"")</f>
        <v/>
      </c>
      <c r="H310" s="37">
        <f>IFERROR(IF(AND(ISNUMBER('Semi Rev'!L25),ISNUMBER('Semi Rev'!K25),'Semi Rev'!K25&gt;0),'Semi Rev'!L25/'Semi Rev'!K25-1,""),"")</f>
        <v/>
      </c>
      <c r="I310" s="37">
        <f>IFERROR(IF(AND(ISNUMBER('Semi Rev'!M25),ISNUMBER('Semi Rev'!L25),'Semi Rev'!L25&gt;0),'Semi Rev'!M25/'Semi Rev'!L25-1,""),"")</f>
        <v/>
      </c>
      <c r="J310" s="37">
        <f>IFERROR(IF(AND(ISNUMBER('Semi Rev'!N25),ISNUMBER('Semi Rev'!M25),'Semi Rev'!M25&gt;0),'Semi Rev'!N25/'Semi Rev'!M25-1,""),"")</f>
        <v/>
      </c>
      <c r="K310" s="37">
        <f>IFERROR(IF(AND(ISNUMBER('Semi Rev'!O25),ISNUMBER('Semi Rev'!N25),'Semi Rev'!N25&gt;0),'Semi Rev'!O25/'Semi Rev'!N25-1,""),"")</f>
        <v/>
      </c>
      <c r="L310" s="37">
        <f>IFERROR(IF(AND(ISNUMBER('Semi Rev'!P25),ISNUMBER('Semi Rev'!O25),'Semi Rev'!O25&gt;0),'Semi Rev'!P25/'Semi Rev'!O25-1,""),"")</f>
        <v/>
      </c>
      <c r="M310" s="38">
        <f>IFERROR(IF(AND(ISNUMBER('Semi Rev'!Q25),ISNUMBER('Semi Rev'!P25),'Semi Rev'!P25&gt;0),'Semi Rev'!Q25/'Semi Rev'!P25-1,""),"")</f>
        <v/>
      </c>
      <c r="N310" s="38">
        <f>IFERROR(IF(AND(ISNUMBER('Semi Rev'!R25),ISNUMBER('Semi Rev'!Q25),'Semi Rev'!Q25&gt;0),'Semi Rev'!R25/'Semi Rev'!Q25-1,""),"")</f>
        <v/>
      </c>
    </row>
    <row r="311">
      <c r="A311" s="19">
        <f>'Semi Rev'!$A26</f>
        <v/>
      </c>
      <c r="B311" s="19">
        <f>'Semi Rev'!$B26</f>
        <v/>
      </c>
      <c r="C311" s="37">
        <f>IFERROR(IF(AND(ISNUMBER('Semi Rev'!G26),ISNUMBER('Semi Rev'!F26),'Semi Rev'!F26&gt;0),'Semi Rev'!G26/'Semi Rev'!F26-1,""),"")</f>
        <v/>
      </c>
      <c r="D311" s="37">
        <f>IFERROR(IF(AND(ISNUMBER('Semi Rev'!H26),ISNUMBER('Semi Rev'!G26),'Semi Rev'!G26&gt;0),'Semi Rev'!H26/'Semi Rev'!G26-1,""),"")</f>
        <v/>
      </c>
      <c r="E311" s="37">
        <f>IFERROR(IF(AND(ISNUMBER('Semi Rev'!I26),ISNUMBER('Semi Rev'!H26),'Semi Rev'!H26&gt;0),'Semi Rev'!I26/'Semi Rev'!H26-1,""),"")</f>
        <v/>
      </c>
      <c r="F311" s="37">
        <f>IFERROR(IF(AND(ISNUMBER('Semi Rev'!J26),ISNUMBER('Semi Rev'!I26),'Semi Rev'!I26&gt;0),'Semi Rev'!J26/'Semi Rev'!I26-1,""),"")</f>
        <v/>
      </c>
      <c r="G311" s="37">
        <f>IFERROR(IF(AND(ISNUMBER('Semi Rev'!K26),ISNUMBER('Semi Rev'!J26),'Semi Rev'!J26&gt;0),'Semi Rev'!K26/'Semi Rev'!J26-1,""),"")</f>
        <v/>
      </c>
      <c r="H311" s="37">
        <f>IFERROR(IF(AND(ISNUMBER('Semi Rev'!L26),ISNUMBER('Semi Rev'!K26),'Semi Rev'!K26&gt;0),'Semi Rev'!L26/'Semi Rev'!K26-1,""),"")</f>
        <v/>
      </c>
      <c r="I311" s="37">
        <f>IFERROR(IF(AND(ISNUMBER('Semi Rev'!M26),ISNUMBER('Semi Rev'!L26),'Semi Rev'!L26&gt;0),'Semi Rev'!M26/'Semi Rev'!L26-1,""),"")</f>
        <v/>
      </c>
      <c r="J311" s="37">
        <f>IFERROR(IF(AND(ISNUMBER('Semi Rev'!N26),ISNUMBER('Semi Rev'!M26),'Semi Rev'!M26&gt;0),'Semi Rev'!N26/'Semi Rev'!M26-1,""),"")</f>
        <v/>
      </c>
      <c r="K311" s="37">
        <f>IFERROR(IF(AND(ISNUMBER('Semi Rev'!O26),ISNUMBER('Semi Rev'!N26),'Semi Rev'!N26&gt;0),'Semi Rev'!O26/'Semi Rev'!N26-1,""),"")</f>
        <v/>
      </c>
      <c r="L311" s="37">
        <f>IFERROR(IF(AND(ISNUMBER('Semi Rev'!P26),ISNUMBER('Semi Rev'!O26),'Semi Rev'!O26&gt;0),'Semi Rev'!P26/'Semi Rev'!O26-1,""),"")</f>
        <v/>
      </c>
      <c r="M311" s="38">
        <f>IFERROR(IF(AND(ISNUMBER('Semi Rev'!Q26),ISNUMBER('Semi Rev'!P26),'Semi Rev'!P26&gt;0),'Semi Rev'!Q26/'Semi Rev'!P26-1,""),"")</f>
        <v/>
      </c>
      <c r="N311" s="38">
        <f>IFERROR(IF(AND(ISNUMBER('Semi Rev'!R26),ISNUMBER('Semi Rev'!Q26),'Semi Rev'!Q26&gt;0),'Semi Rev'!R26/'Semi Rev'!Q26-1,""),"")</f>
        <v/>
      </c>
    </row>
    <row r="312">
      <c r="A312" s="19">
        <f>'Semi Rev'!$A27</f>
        <v/>
      </c>
      <c r="B312" s="19">
        <f>'Semi Rev'!$B27</f>
        <v/>
      </c>
      <c r="C312" s="37">
        <f>IFERROR(IF(AND(ISNUMBER('Semi Rev'!G27),ISNUMBER('Semi Rev'!F27),'Semi Rev'!F27&gt;0),'Semi Rev'!G27/'Semi Rev'!F27-1,""),"")</f>
        <v/>
      </c>
      <c r="D312" s="37">
        <f>IFERROR(IF(AND(ISNUMBER('Semi Rev'!H27),ISNUMBER('Semi Rev'!G27),'Semi Rev'!G27&gt;0),'Semi Rev'!H27/'Semi Rev'!G27-1,""),"")</f>
        <v/>
      </c>
      <c r="E312" s="37">
        <f>IFERROR(IF(AND(ISNUMBER('Semi Rev'!I27),ISNUMBER('Semi Rev'!H27),'Semi Rev'!H27&gt;0),'Semi Rev'!I27/'Semi Rev'!H27-1,""),"")</f>
        <v/>
      </c>
      <c r="F312" s="37">
        <f>IFERROR(IF(AND(ISNUMBER('Semi Rev'!J27),ISNUMBER('Semi Rev'!I27),'Semi Rev'!I27&gt;0),'Semi Rev'!J27/'Semi Rev'!I27-1,""),"")</f>
        <v/>
      </c>
      <c r="G312" s="37">
        <f>IFERROR(IF(AND(ISNUMBER('Semi Rev'!K27),ISNUMBER('Semi Rev'!J27),'Semi Rev'!J27&gt;0),'Semi Rev'!K27/'Semi Rev'!J27-1,""),"")</f>
        <v/>
      </c>
      <c r="H312" s="37">
        <f>IFERROR(IF(AND(ISNUMBER('Semi Rev'!L27),ISNUMBER('Semi Rev'!K27),'Semi Rev'!K27&gt;0),'Semi Rev'!L27/'Semi Rev'!K27-1,""),"")</f>
        <v/>
      </c>
      <c r="I312" s="37">
        <f>IFERROR(IF(AND(ISNUMBER('Semi Rev'!M27),ISNUMBER('Semi Rev'!L27),'Semi Rev'!L27&gt;0),'Semi Rev'!M27/'Semi Rev'!L27-1,""),"")</f>
        <v/>
      </c>
      <c r="J312" s="37">
        <f>IFERROR(IF(AND(ISNUMBER('Semi Rev'!N27),ISNUMBER('Semi Rev'!M27),'Semi Rev'!M27&gt;0),'Semi Rev'!N27/'Semi Rev'!M27-1,""),"")</f>
        <v/>
      </c>
      <c r="K312" s="37">
        <f>IFERROR(IF(AND(ISNUMBER('Semi Rev'!O27),ISNUMBER('Semi Rev'!N27),'Semi Rev'!N27&gt;0),'Semi Rev'!O27/'Semi Rev'!N27-1,""),"")</f>
        <v/>
      </c>
      <c r="L312" s="37">
        <f>IFERROR(IF(AND(ISNUMBER('Semi Rev'!P27),ISNUMBER('Semi Rev'!O27),'Semi Rev'!O27&gt;0),'Semi Rev'!P27/'Semi Rev'!O27-1,""),"")</f>
        <v/>
      </c>
      <c r="M312" s="38">
        <f>IFERROR(IF(AND(ISNUMBER('Semi Rev'!Q27),ISNUMBER('Semi Rev'!P27),'Semi Rev'!P27&gt;0),'Semi Rev'!Q27/'Semi Rev'!P27-1,""),"")</f>
        <v/>
      </c>
      <c r="N312" s="38">
        <f>IFERROR(IF(AND(ISNUMBER('Semi Rev'!R27),ISNUMBER('Semi Rev'!Q27),'Semi Rev'!Q27&gt;0),'Semi Rev'!R27/'Semi Rev'!Q27-1,""),"")</f>
        <v/>
      </c>
    </row>
    <row r="313">
      <c r="A313" s="19">
        <f>'Semi Rev'!$A28</f>
        <v/>
      </c>
      <c r="B313" s="19">
        <f>'Semi Rev'!$B28</f>
        <v/>
      </c>
      <c r="C313" s="37">
        <f>IFERROR(IF(AND(ISNUMBER('Semi Rev'!G28),ISNUMBER('Semi Rev'!F28),'Semi Rev'!F28&gt;0),'Semi Rev'!G28/'Semi Rev'!F28-1,""),"")</f>
        <v/>
      </c>
      <c r="D313" s="37">
        <f>IFERROR(IF(AND(ISNUMBER('Semi Rev'!H28),ISNUMBER('Semi Rev'!G28),'Semi Rev'!G28&gt;0),'Semi Rev'!H28/'Semi Rev'!G28-1,""),"")</f>
        <v/>
      </c>
      <c r="E313" s="37">
        <f>IFERROR(IF(AND(ISNUMBER('Semi Rev'!I28),ISNUMBER('Semi Rev'!H28),'Semi Rev'!H28&gt;0),'Semi Rev'!I28/'Semi Rev'!H28-1,""),"")</f>
        <v/>
      </c>
      <c r="F313" s="37">
        <f>IFERROR(IF(AND(ISNUMBER('Semi Rev'!J28),ISNUMBER('Semi Rev'!I28),'Semi Rev'!I28&gt;0),'Semi Rev'!J28/'Semi Rev'!I28-1,""),"")</f>
        <v/>
      </c>
      <c r="G313" s="37">
        <f>IFERROR(IF(AND(ISNUMBER('Semi Rev'!K28),ISNUMBER('Semi Rev'!J28),'Semi Rev'!J28&gt;0),'Semi Rev'!K28/'Semi Rev'!J28-1,""),"")</f>
        <v/>
      </c>
      <c r="H313" s="37">
        <f>IFERROR(IF(AND(ISNUMBER('Semi Rev'!L28),ISNUMBER('Semi Rev'!K28),'Semi Rev'!K28&gt;0),'Semi Rev'!L28/'Semi Rev'!K28-1,""),"")</f>
        <v/>
      </c>
      <c r="I313" s="37">
        <f>IFERROR(IF(AND(ISNUMBER('Semi Rev'!M28),ISNUMBER('Semi Rev'!L28),'Semi Rev'!L28&gt;0),'Semi Rev'!M28/'Semi Rev'!L28-1,""),"")</f>
        <v/>
      </c>
      <c r="J313" s="37">
        <f>IFERROR(IF(AND(ISNUMBER('Semi Rev'!N28),ISNUMBER('Semi Rev'!M28),'Semi Rev'!M28&gt;0),'Semi Rev'!N28/'Semi Rev'!M28-1,""),"")</f>
        <v/>
      </c>
      <c r="K313" s="37">
        <f>IFERROR(IF(AND(ISNUMBER('Semi Rev'!O28),ISNUMBER('Semi Rev'!N28),'Semi Rev'!N28&gt;0),'Semi Rev'!O28/'Semi Rev'!N28-1,""),"")</f>
        <v/>
      </c>
      <c r="L313" s="37">
        <f>IFERROR(IF(AND(ISNUMBER('Semi Rev'!P28),ISNUMBER('Semi Rev'!O28),'Semi Rev'!O28&gt;0),'Semi Rev'!P28/'Semi Rev'!O28-1,""),"")</f>
        <v/>
      </c>
      <c r="M313" s="38">
        <f>IFERROR(IF(AND(ISNUMBER('Semi Rev'!Q28),ISNUMBER('Semi Rev'!P28),'Semi Rev'!P28&gt;0),'Semi Rev'!Q28/'Semi Rev'!P28-1,""),"")</f>
        <v/>
      </c>
      <c r="N313" s="38">
        <f>IFERROR(IF(AND(ISNUMBER('Semi Rev'!R28),ISNUMBER('Semi Rev'!Q28),'Semi Rev'!Q28&gt;0),'Semi Rev'!R28/'Semi Rev'!Q28-1,""),"")</f>
        <v/>
      </c>
    </row>
    <row r="314">
      <c r="A314" s="19">
        <f>'Semi Rev'!$A29</f>
        <v/>
      </c>
      <c r="B314" s="19">
        <f>'Semi Rev'!$B29</f>
        <v/>
      </c>
      <c r="C314" s="37">
        <f>IFERROR(IF(AND(ISNUMBER('Semi Rev'!G29),ISNUMBER('Semi Rev'!F29),'Semi Rev'!F29&gt;0),'Semi Rev'!G29/'Semi Rev'!F29-1,""),"")</f>
        <v/>
      </c>
      <c r="D314" s="37">
        <f>IFERROR(IF(AND(ISNUMBER('Semi Rev'!H29),ISNUMBER('Semi Rev'!G29),'Semi Rev'!G29&gt;0),'Semi Rev'!H29/'Semi Rev'!G29-1,""),"")</f>
        <v/>
      </c>
      <c r="E314" s="37">
        <f>IFERROR(IF(AND(ISNUMBER('Semi Rev'!I29),ISNUMBER('Semi Rev'!H29),'Semi Rev'!H29&gt;0),'Semi Rev'!I29/'Semi Rev'!H29-1,""),"")</f>
        <v/>
      </c>
      <c r="F314" s="37">
        <f>IFERROR(IF(AND(ISNUMBER('Semi Rev'!J29),ISNUMBER('Semi Rev'!I29),'Semi Rev'!I29&gt;0),'Semi Rev'!J29/'Semi Rev'!I29-1,""),"")</f>
        <v/>
      </c>
      <c r="G314" s="37">
        <f>IFERROR(IF(AND(ISNUMBER('Semi Rev'!K29),ISNUMBER('Semi Rev'!J29),'Semi Rev'!J29&gt;0),'Semi Rev'!K29/'Semi Rev'!J29-1,""),"")</f>
        <v/>
      </c>
      <c r="H314" s="37">
        <f>IFERROR(IF(AND(ISNUMBER('Semi Rev'!L29),ISNUMBER('Semi Rev'!K29),'Semi Rev'!K29&gt;0),'Semi Rev'!L29/'Semi Rev'!K29-1,""),"")</f>
        <v/>
      </c>
      <c r="I314" s="37">
        <f>IFERROR(IF(AND(ISNUMBER('Semi Rev'!M29),ISNUMBER('Semi Rev'!L29),'Semi Rev'!L29&gt;0),'Semi Rev'!M29/'Semi Rev'!L29-1,""),"")</f>
        <v/>
      </c>
      <c r="J314" s="37">
        <f>IFERROR(IF(AND(ISNUMBER('Semi Rev'!N29),ISNUMBER('Semi Rev'!M29),'Semi Rev'!M29&gt;0),'Semi Rev'!N29/'Semi Rev'!M29-1,""),"")</f>
        <v/>
      </c>
      <c r="K314" s="37">
        <f>IFERROR(IF(AND(ISNUMBER('Semi Rev'!O29),ISNUMBER('Semi Rev'!N29),'Semi Rev'!N29&gt;0),'Semi Rev'!O29/'Semi Rev'!N29-1,""),"")</f>
        <v/>
      </c>
      <c r="L314" s="37">
        <f>IFERROR(IF(AND(ISNUMBER('Semi Rev'!P29),ISNUMBER('Semi Rev'!O29),'Semi Rev'!O29&gt;0),'Semi Rev'!P29/'Semi Rev'!O29-1,""),"")</f>
        <v/>
      </c>
      <c r="M314" s="38">
        <f>IFERROR(IF(AND(ISNUMBER('Semi Rev'!Q29),ISNUMBER('Semi Rev'!P29),'Semi Rev'!P29&gt;0),'Semi Rev'!Q29/'Semi Rev'!P29-1,""),"")</f>
        <v/>
      </c>
      <c r="N314" s="38">
        <f>IFERROR(IF(AND(ISNUMBER('Semi Rev'!R29),ISNUMBER('Semi Rev'!Q29),'Semi Rev'!Q29&gt;0),'Semi Rev'!R29/'Semi Rev'!Q29-1,""),"")</f>
        <v/>
      </c>
    </row>
    <row r="315">
      <c r="A315" s="19">
        <f>'Semi Rev'!$A30</f>
        <v/>
      </c>
      <c r="B315" s="19">
        <f>'Semi Rev'!$B30</f>
        <v/>
      </c>
      <c r="C315" s="37">
        <f>IFERROR(IF(AND(ISNUMBER('Semi Rev'!G30),ISNUMBER('Semi Rev'!F30),'Semi Rev'!F30&gt;0),'Semi Rev'!G30/'Semi Rev'!F30-1,""),"")</f>
        <v/>
      </c>
      <c r="D315" s="37">
        <f>IFERROR(IF(AND(ISNUMBER('Semi Rev'!H30),ISNUMBER('Semi Rev'!G30),'Semi Rev'!G30&gt;0),'Semi Rev'!H30/'Semi Rev'!G30-1,""),"")</f>
        <v/>
      </c>
      <c r="E315" s="37">
        <f>IFERROR(IF(AND(ISNUMBER('Semi Rev'!I30),ISNUMBER('Semi Rev'!H30),'Semi Rev'!H30&gt;0),'Semi Rev'!I30/'Semi Rev'!H30-1,""),"")</f>
        <v/>
      </c>
      <c r="F315" s="37">
        <f>IFERROR(IF(AND(ISNUMBER('Semi Rev'!J30),ISNUMBER('Semi Rev'!I30),'Semi Rev'!I30&gt;0),'Semi Rev'!J30/'Semi Rev'!I30-1,""),"")</f>
        <v/>
      </c>
      <c r="G315" s="37">
        <f>IFERROR(IF(AND(ISNUMBER('Semi Rev'!K30),ISNUMBER('Semi Rev'!J30),'Semi Rev'!J30&gt;0),'Semi Rev'!K30/'Semi Rev'!J30-1,""),"")</f>
        <v/>
      </c>
      <c r="H315" s="37">
        <f>IFERROR(IF(AND(ISNUMBER('Semi Rev'!L30),ISNUMBER('Semi Rev'!K30),'Semi Rev'!K30&gt;0),'Semi Rev'!L30/'Semi Rev'!K30-1,""),"")</f>
        <v/>
      </c>
      <c r="I315" s="37">
        <f>IFERROR(IF(AND(ISNUMBER('Semi Rev'!M30),ISNUMBER('Semi Rev'!L30),'Semi Rev'!L30&gt;0),'Semi Rev'!M30/'Semi Rev'!L30-1,""),"")</f>
        <v/>
      </c>
      <c r="J315" s="37">
        <f>IFERROR(IF(AND(ISNUMBER('Semi Rev'!N30),ISNUMBER('Semi Rev'!M30),'Semi Rev'!M30&gt;0),'Semi Rev'!N30/'Semi Rev'!M30-1,""),"")</f>
        <v/>
      </c>
      <c r="K315" s="37">
        <f>IFERROR(IF(AND(ISNUMBER('Semi Rev'!O30),ISNUMBER('Semi Rev'!N30),'Semi Rev'!N30&gt;0),'Semi Rev'!O30/'Semi Rev'!N30-1,""),"")</f>
        <v/>
      </c>
      <c r="L315" s="37">
        <f>IFERROR(IF(AND(ISNUMBER('Semi Rev'!P30),ISNUMBER('Semi Rev'!O30),'Semi Rev'!O30&gt;0),'Semi Rev'!P30/'Semi Rev'!O30-1,""),"")</f>
        <v/>
      </c>
      <c r="M315" s="38">
        <f>IFERROR(IF(AND(ISNUMBER('Semi Rev'!Q30),ISNUMBER('Semi Rev'!P30),'Semi Rev'!P30&gt;0),'Semi Rev'!Q30/'Semi Rev'!P30-1,""),"")</f>
        <v/>
      </c>
      <c r="N315" s="38">
        <f>IFERROR(IF(AND(ISNUMBER('Semi Rev'!R30),ISNUMBER('Semi Rev'!Q30),'Semi Rev'!Q30&gt;0),'Semi Rev'!R30/'Semi Rev'!Q30-1,""),"")</f>
        <v/>
      </c>
    </row>
    <row r="316">
      <c r="A316" s="19">
        <f>'Semi Rev'!$A31</f>
        <v/>
      </c>
      <c r="B316" s="19">
        <f>'Semi Rev'!$B31</f>
        <v/>
      </c>
      <c r="C316" s="37">
        <f>IFERROR(IF(AND(ISNUMBER('Semi Rev'!G31),ISNUMBER('Semi Rev'!F31),'Semi Rev'!F31&gt;0),'Semi Rev'!G31/'Semi Rev'!F31-1,""),"")</f>
        <v/>
      </c>
      <c r="D316" s="37">
        <f>IFERROR(IF(AND(ISNUMBER('Semi Rev'!H31),ISNUMBER('Semi Rev'!G31),'Semi Rev'!G31&gt;0),'Semi Rev'!H31/'Semi Rev'!G31-1,""),"")</f>
        <v/>
      </c>
      <c r="E316" s="37">
        <f>IFERROR(IF(AND(ISNUMBER('Semi Rev'!I31),ISNUMBER('Semi Rev'!H31),'Semi Rev'!H31&gt;0),'Semi Rev'!I31/'Semi Rev'!H31-1,""),"")</f>
        <v/>
      </c>
      <c r="F316" s="37">
        <f>IFERROR(IF(AND(ISNUMBER('Semi Rev'!J31),ISNUMBER('Semi Rev'!I31),'Semi Rev'!I31&gt;0),'Semi Rev'!J31/'Semi Rev'!I31-1,""),"")</f>
        <v/>
      </c>
      <c r="G316" s="37">
        <f>IFERROR(IF(AND(ISNUMBER('Semi Rev'!K31),ISNUMBER('Semi Rev'!J31),'Semi Rev'!J31&gt;0),'Semi Rev'!K31/'Semi Rev'!J31-1,""),"")</f>
        <v/>
      </c>
      <c r="H316" s="37">
        <f>IFERROR(IF(AND(ISNUMBER('Semi Rev'!L31),ISNUMBER('Semi Rev'!K31),'Semi Rev'!K31&gt;0),'Semi Rev'!L31/'Semi Rev'!K31-1,""),"")</f>
        <v/>
      </c>
      <c r="I316" s="37">
        <f>IFERROR(IF(AND(ISNUMBER('Semi Rev'!M31),ISNUMBER('Semi Rev'!L31),'Semi Rev'!L31&gt;0),'Semi Rev'!M31/'Semi Rev'!L31-1,""),"")</f>
        <v/>
      </c>
      <c r="J316" s="37">
        <f>IFERROR(IF(AND(ISNUMBER('Semi Rev'!N31),ISNUMBER('Semi Rev'!M31),'Semi Rev'!M31&gt;0),'Semi Rev'!N31/'Semi Rev'!M31-1,""),"")</f>
        <v/>
      </c>
      <c r="K316" s="37">
        <f>IFERROR(IF(AND(ISNUMBER('Semi Rev'!O31),ISNUMBER('Semi Rev'!N31),'Semi Rev'!N31&gt;0),'Semi Rev'!O31/'Semi Rev'!N31-1,""),"")</f>
        <v/>
      </c>
      <c r="L316" s="37">
        <f>IFERROR(IF(AND(ISNUMBER('Semi Rev'!P31),ISNUMBER('Semi Rev'!O31),'Semi Rev'!O31&gt;0),'Semi Rev'!P31/'Semi Rev'!O31-1,""),"")</f>
        <v/>
      </c>
      <c r="M316" s="38">
        <f>IFERROR(IF(AND(ISNUMBER('Semi Rev'!Q31),ISNUMBER('Semi Rev'!P31),'Semi Rev'!P31&gt;0),'Semi Rev'!Q31/'Semi Rev'!P31-1,""),"")</f>
        <v/>
      </c>
      <c r="N316" s="38">
        <f>IFERROR(IF(AND(ISNUMBER('Semi Rev'!R31),ISNUMBER('Semi Rev'!Q31),'Semi Rev'!Q31&gt;0),'Semi Rev'!R31/'Semi Rev'!Q31-1,""),"")</f>
        <v/>
      </c>
    </row>
    <row r="317">
      <c r="A317" s="19">
        <f>'Semi Rev'!$A32</f>
        <v/>
      </c>
      <c r="B317" s="19">
        <f>'Semi Rev'!$B32</f>
        <v/>
      </c>
      <c r="C317" s="37">
        <f>IFERROR(IF(AND(ISNUMBER('Semi Rev'!G32),ISNUMBER('Semi Rev'!F32),'Semi Rev'!F32&gt;0),'Semi Rev'!G32/'Semi Rev'!F32-1,""),"")</f>
        <v/>
      </c>
      <c r="D317" s="37">
        <f>IFERROR(IF(AND(ISNUMBER('Semi Rev'!H32),ISNUMBER('Semi Rev'!G32),'Semi Rev'!G32&gt;0),'Semi Rev'!H32/'Semi Rev'!G32-1,""),"")</f>
        <v/>
      </c>
      <c r="E317" s="37">
        <f>IFERROR(IF(AND(ISNUMBER('Semi Rev'!I32),ISNUMBER('Semi Rev'!H32),'Semi Rev'!H32&gt;0),'Semi Rev'!I32/'Semi Rev'!H32-1,""),"")</f>
        <v/>
      </c>
      <c r="F317" s="37">
        <f>IFERROR(IF(AND(ISNUMBER('Semi Rev'!J32),ISNUMBER('Semi Rev'!I32),'Semi Rev'!I32&gt;0),'Semi Rev'!J32/'Semi Rev'!I32-1,""),"")</f>
        <v/>
      </c>
      <c r="G317" s="37">
        <f>IFERROR(IF(AND(ISNUMBER('Semi Rev'!K32),ISNUMBER('Semi Rev'!J32),'Semi Rev'!J32&gt;0),'Semi Rev'!K32/'Semi Rev'!J32-1,""),"")</f>
        <v/>
      </c>
      <c r="H317" s="37">
        <f>IFERROR(IF(AND(ISNUMBER('Semi Rev'!L32),ISNUMBER('Semi Rev'!K32),'Semi Rev'!K32&gt;0),'Semi Rev'!L32/'Semi Rev'!K32-1,""),"")</f>
        <v/>
      </c>
      <c r="I317" s="37">
        <f>IFERROR(IF(AND(ISNUMBER('Semi Rev'!M32),ISNUMBER('Semi Rev'!L32),'Semi Rev'!L32&gt;0),'Semi Rev'!M32/'Semi Rev'!L32-1,""),"")</f>
        <v/>
      </c>
      <c r="J317" s="37">
        <f>IFERROR(IF(AND(ISNUMBER('Semi Rev'!N32),ISNUMBER('Semi Rev'!M32),'Semi Rev'!M32&gt;0),'Semi Rev'!N32/'Semi Rev'!M32-1,""),"")</f>
        <v/>
      </c>
      <c r="K317" s="37">
        <f>IFERROR(IF(AND(ISNUMBER('Semi Rev'!O32),ISNUMBER('Semi Rev'!N32),'Semi Rev'!N32&gt;0),'Semi Rev'!O32/'Semi Rev'!N32-1,""),"")</f>
        <v/>
      </c>
      <c r="L317" s="37">
        <f>IFERROR(IF(AND(ISNUMBER('Semi Rev'!P32),ISNUMBER('Semi Rev'!O32),'Semi Rev'!O32&gt;0),'Semi Rev'!P32/'Semi Rev'!O32-1,""),"")</f>
        <v/>
      </c>
      <c r="M317" s="38">
        <f>IFERROR(IF(AND(ISNUMBER('Semi Rev'!Q32),ISNUMBER('Semi Rev'!P32),'Semi Rev'!P32&gt;0),'Semi Rev'!Q32/'Semi Rev'!P32-1,""),"")</f>
        <v/>
      </c>
      <c r="N317" s="38">
        <f>IFERROR(IF(AND(ISNUMBER('Semi Rev'!R32),ISNUMBER('Semi Rev'!Q32),'Semi Rev'!Q32&gt;0),'Semi Rev'!R32/'Semi Rev'!Q32-1,""),"")</f>
        <v/>
      </c>
    </row>
    <row r="318">
      <c r="A318" s="19">
        <f>'Semi Rev'!$A33</f>
        <v/>
      </c>
      <c r="B318" s="19">
        <f>'Semi Rev'!$B33</f>
        <v/>
      </c>
      <c r="C318" s="37">
        <f>IFERROR(IF(AND(ISNUMBER('Semi Rev'!G33),ISNUMBER('Semi Rev'!F33),'Semi Rev'!F33&gt;0),'Semi Rev'!G33/'Semi Rev'!F33-1,""),"")</f>
        <v/>
      </c>
      <c r="D318" s="37">
        <f>IFERROR(IF(AND(ISNUMBER('Semi Rev'!H33),ISNUMBER('Semi Rev'!G33),'Semi Rev'!G33&gt;0),'Semi Rev'!H33/'Semi Rev'!G33-1,""),"")</f>
        <v/>
      </c>
      <c r="E318" s="37">
        <f>IFERROR(IF(AND(ISNUMBER('Semi Rev'!I33),ISNUMBER('Semi Rev'!H33),'Semi Rev'!H33&gt;0),'Semi Rev'!I33/'Semi Rev'!H33-1,""),"")</f>
        <v/>
      </c>
      <c r="F318" s="37">
        <f>IFERROR(IF(AND(ISNUMBER('Semi Rev'!J33),ISNUMBER('Semi Rev'!I33),'Semi Rev'!I33&gt;0),'Semi Rev'!J33/'Semi Rev'!I33-1,""),"")</f>
        <v/>
      </c>
      <c r="G318" s="37">
        <f>IFERROR(IF(AND(ISNUMBER('Semi Rev'!K33),ISNUMBER('Semi Rev'!J33),'Semi Rev'!J33&gt;0),'Semi Rev'!K33/'Semi Rev'!J33-1,""),"")</f>
        <v/>
      </c>
      <c r="H318" s="37">
        <f>IFERROR(IF(AND(ISNUMBER('Semi Rev'!L33),ISNUMBER('Semi Rev'!K33),'Semi Rev'!K33&gt;0),'Semi Rev'!L33/'Semi Rev'!K33-1,""),"")</f>
        <v/>
      </c>
      <c r="I318" s="37">
        <f>IFERROR(IF(AND(ISNUMBER('Semi Rev'!M33),ISNUMBER('Semi Rev'!L33),'Semi Rev'!L33&gt;0),'Semi Rev'!M33/'Semi Rev'!L33-1,""),"")</f>
        <v/>
      </c>
      <c r="J318" s="37">
        <f>IFERROR(IF(AND(ISNUMBER('Semi Rev'!N33),ISNUMBER('Semi Rev'!M33),'Semi Rev'!M33&gt;0),'Semi Rev'!N33/'Semi Rev'!M33-1,""),"")</f>
        <v/>
      </c>
      <c r="K318" s="37">
        <f>IFERROR(IF(AND(ISNUMBER('Semi Rev'!O33),ISNUMBER('Semi Rev'!N33),'Semi Rev'!N33&gt;0),'Semi Rev'!O33/'Semi Rev'!N33-1,""),"")</f>
        <v/>
      </c>
      <c r="L318" s="37">
        <f>IFERROR(IF(AND(ISNUMBER('Semi Rev'!P33),ISNUMBER('Semi Rev'!O33),'Semi Rev'!O33&gt;0),'Semi Rev'!P33/'Semi Rev'!O33-1,""),"")</f>
        <v/>
      </c>
      <c r="M318" s="38">
        <f>IFERROR(IF(AND(ISNUMBER('Semi Rev'!Q33),ISNUMBER('Semi Rev'!P33),'Semi Rev'!P33&gt;0),'Semi Rev'!Q33/'Semi Rev'!P33-1,""),"")</f>
        <v/>
      </c>
      <c r="N318" s="38">
        <f>IFERROR(IF(AND(ISNUMBER('Semi Rev'!R33),ISNUMBER('Semi Rev'!Q33),'Semi Rev'!Q33&gt;0),'Semi Rev'!R33/'Semi Rev'!Q33-1,""),"")</f>
        <v/>
      </c>
    </row>
    <row r="319">
      <c r="A319" s="19">
        <f>'Semi Rev'!$A34</f>
        <v/>
      </c>
      <c r="B319" s="19">
        <f>'Semi Rev'!$B34</f>
        <v/>
      </c>
      <c r="C319" s="37">
        <f>IFERROR(IF(AND(ISNUMBER('Semi Rev'!G34),ISNUMBER('Semi Rev'!F34),'Semi Rev'!F34&gt;0),'Semi Rev'!G34/'Semi Rev'!F34-1,""),"")</f>
        <v/>
      </c>
      <c r="D319" s="37">
        <f>IFERROR(IF(AND(ISNUMBER('Semi Rev'!H34),ISNUMBER('Semi Rev'!G34),'Semi Rev'!G34&gt;0),'Semi Rev'!H34/'Semi Rev'!G34-1,""),"")</f>
        <v/>
      </c>
      <c r="E319" s="37">
        <f>IFERROR(IF(AND(ISNUMBER('Semi Rev'!I34),ISNUMBER('Semi Rev'!H34),'Semi Rev'!H34&gt;0),'Semi Rev'!I34/'Semi Rev'!H34-1,""),"")</f>
        <v/>
      </c>
      <c r="F319" s="37">
        <f>IFERROR(IF(AND(ISNUMBER('Semi Rev'!J34),ISNUMBER('Semi Rev'!I34),'Semi Rev'!I34&gt;0),'Semi Rev'!J34/'Semi Rev'!I34-1,""),"")</f>
        <v/>
      </c>
      <c r="G319" s="37">
        <f>IFERROR(IF(AND(ISNUMBER('Semi Rev'!K34),ISNUMBER('Semi Rev'!J34),'Semi Rev'!J34&gt;0),'Semi Rev'!K34/'Semi Rev'!J34-1,""),"")</f>
        <v/>
      </c>
      <c r="H319" s="37">
        <f>IFERROR(IF(AND(ISNUMBER('Semi Rev'!L34),ISNUMBER('Semi Rev'!K34),'Semi Rev'!K34&gt;0),'Semi Rev'!L34/'Semi Rev'!K34-1,""),"")</f>
        <v/>
      </c>
      <c r="I319" s="37">
        <f>IFERROR(IF(AND(ISNUMBER('Semi Rev'!M34),ISNUMBER('Semi Rev'!L34),'Semi Rev'!L34&gt;0),'Semi Rev'!M34/'Semi Rev'!L34-1,""),"")</f>
        <v/>
      </c>
      <c r="J319" s="37">
        <f>IFERROR(IF(AND(ISNUMBER('Semi Rev'!N34),ISNUMBER('Semi Rev'!M34),'Semi Rev'!M34&gt;0),'Semi Rev'!N34/'Semi Rev'!M34-1,""),"")</f>
        <v/>
      </c>
      <c r="K319" s="37">
        <f>IFERROR(IF(AND(ISNUMBER('Semi Rev'!O34),ISNUMBER('Semi Rev'!N34),'Semi Rev'!N34&gt;0),'Semi Rev'!O34/'Semi Rev'!N34-1,""),"")</f>
        <v/>
      </c>
      <c r="L319" s="37">
        <f>IFERROR(IF(AND(ISNUMBER('Semi Rev'!P34),ISNUMBER('Semi Rev'!O34),'Semi Rev'!O34&gt;0),'Semi Rev'!P34/'Semi Rev'!O34-1,""),"")</f>
        <v/>
      </c>
      <c r="M319" s="38">
        <f>IFERROR(IF(AND(ISNUMBER('Semi Rev'!Q34),ISNUMBER('Semi Rev'!P34),'Semi Rev'!P34&gt;0),'Semi Rev'!Q34/'Semi Rev'!P34-1,""),"")</f>
        <v/>
      </c>
      <c r="N319" s="38">
        <f>IFERROR(IF(AND(ISNUMBER('Semi Rev'!R34),ISNUMBER('Semi Rev'!Q34),'Semi Rev'!Q34&gt;0),'Semi Rev'!R34/'Semi Rev'!Q34-1,""),"")</f>
        <v/>
      </c>
    </row>
    <row r="320">
      <c r="A320" s="19">
        <f>'Semi Rev'!$A35</f>
        <v/>
      </c>
      <c r="B320" s="19">
        <f>'Semi Rev'!$B35</f>
        <v/>
      </c>
      <c r="C320" s="37">
        <f>IFERROR(IF(AND(ISNUMBER('Semi Rev'!G35),ISNUMBER('Semi Rev'!F35),'Semi Rev'!F35&gt;0),'Semi Rev'!G35/'Semi Rev'!F35-1,""),"")</f>
        <v/>
      </c>
      <c r="D320" s="37">
        <f>IFERROR(IF(AND(ISNUMBER('Semi Rev'!H35),ISNUMBER('Semi Rev'!G35),'Semi Rev'!G35&gt;0),'Semi Rev'!H35/'Semi Rev'!G35-1,""),"")</f>
        <v/>
      </c>
      <c r="E320" s="37">
        <f>IFERROR(IF(AND(ISNUMBER('Semi Rev'!I35),ISNUMBER('Semi Rev'!H35),'Semi Rev'!H35&gt;0),'Semi Rev'!I35/'Semi Rev'!H35-1,""),"")</f>
        <v/>
      </c>
      <c r="F320" s="37">
        <f>IFERROR(IF(AND(ISNUMBER('Semi Rev'!J35),ISNUMBER('Semi Rev'!I35),'Semi Rev'!I35&gt;0),'Semi Rev'!J35/'Semi Rev'!I35-1,""),"")</f>
        <v/>
      </c>
      <c r="G320" s="37">
        <f>IFERROR(IF(AND(ISNUMBER('Semi Rev'!K35),ISNUMBER('Semi Rev'!J35),'Semi Rev'!J35&gt;0),'Semi Rev'!K35/'Semi Rev'!J35-1,""),"")</f>
        <v/>
      </c>
      <c r="H320" s="37">
        <f>IFERROR(IF(AND(ISNUMBER('Semi Rev'!L35),ISNUMBER('Semi Rev'!K35),'Semi Rev'!K35&gt;0),'Semi Rev'!L35/'Semi Rev'!K35-1,""),"")</f>
        <v/>
      </c>
      <c r="I320" s="37">
        <f>IFERROR(IF(AND(ISNUMBER('Semi Rev'!M35),ISNUMBER('Semi Rev'!L35),'Semi Rev'!L35&gt;0),'Semi Rev'!M35/'Semi Rev'!L35-1,""),"")</f>
        <v/>
      </c>
      <c r="J320" s="37">
        <f>IFERROR(IF(AND(ISNUMBER('Semi Rev'!N35),ISNUMBER('Semi Rev'!M35),'Semi Rev'!M35&gt;0),'Semi Rev'!N35/'Semi Rev'!M35-1,""),"")</f>
        <v/>
      </c>
      <c r="K320" s="37">
        <f>IFERROR(IF(AND(ISNUMBER('Semi Rev'!O35),ISNUMBER('Semi Rev'!N35),'Semi Rev'!N35&gt;0),'Semi Rev'!O35/'Semi Rev'!N35-1,""),"")</f>
        <v/>
      </c>
      <c r="L320" s="37">
        <f>IFERROR(IF(AND(ISNUMBER('Semi Rev'!P35),ISNUMBER('Semi Rev'!O35),'Semi Rev'!O35&gt;0),'Semi Rev'!P35/'Semi Rev'!O35-1,""),"")</f>
        <v/>
      </c>
      <c r="M320" s="38">
        <f>IFERROR(IF(AND(ISNUMBER('Semi Rev'!Q35),ISNUMBER('Semi Rev'!P35),'Semi Rev'!P35&gt;0),'Semi Rev'!Q35/'Semi Rev'!P35-1,""),"")</f>
        <v/>
      </c>
      <c r="N320" s="38">
        <f>IFERROR(IF(AND(ISNUMBER('Semi Rev'!R35),ISNUMBER('Semi Rev'!Q35),'Semi Rev'!Q35&gt;0),'Semi Rev'!R35/'Semi Rev'!Q35-1,""),"")</f>
        <v/>
      </c>
    </row>
    <row r="321">
      <c r="A321" s="19">
        <f>'Semi Rev'!$A36</f>
        <v/>
      </c>
      <c r="B321" s="19">
        <f>'Semi Rev'!$B36</f>
        <v/>
      </c>
      <c r="C321" s="37">
        <f>IFERROR(IF(AND(ISNUMBER('Semi Rev'!G36),ISNUMBER('Semi Rev'!F36),'Semi Rev'!F36&gt;0),'Semi Rev'!G36/'Semi Rev'!F36-1,""),"")</f>
        <v/>
      </c>
      <c r="D321" s="37">
        <f>IFERROR(IF(AND(ISNUMBER('Semi Rev'!H36),ISNUMBER('Semi Rev'!G36),'Semi Rev'!G36&gt;0),'Semi Rev'!H36/'Semi Rev'!G36-1,""),"")</f>
        <v/>
      </c>
      <c r="E321" s="37">
        <f>IFERROR(IF(AND(ISNUMBER('Semi Rev'!I36),ISNUMBER('Semi Rev'!H36),'Semi Rev'!H36&gt;0),'Semi Rev'!I36/'Semi Rev'!H36-1,""),"")</f>
        <v/>
      </c>
      <c r="F321" s="37">
        <f>IFERROR(IF(AND(ISNUMBER('Semi Rev'!J36),ISNUMBER('Semi Rev'!I36),'Semi Rev'!I36&gt;0),'Semi Rev'!J36/'Semi Rev'!I36-1,""),"")</f>
        <v/>
      </c>
      <c r="G321" s="37">
        <f>IFERROR(IF(AND(ISNUMBER('Semi Rev'!K36),ISNUMBER('Semi Rev'!J36),'Semi Rev'!J36&gt;0),'Semi Rev'!K36/'Semi Rev'!J36-1,""),"")</f>
        <v/>
      </c>
      <c r="H321" s="37">
        <f>IFERROR(IF(AND(ISNUMBER('Semi Rev'!L36),ISNUMBER('Semi Rev'!K36),'Semi Rev'!K36&gt;0),'Semi Rev'!L36/'Semi Rev'!K36-1,""),"")</f>
        <v/>
      </c>
      <c r="I321" s="37">
        <f>IFERROR(IF(AND(ISNUMBER('Semi Rev'!M36),ISNUMBER('Semi Rev'!L36),'Semi Rev'!L36&gt;0),'Semi Rev'!M36/'Semi Rev'!L36-1,""),"")</f>
        <v/>
      </c>
      <c r="J321" s="37">
        <f>IFERROR(IF(AND(ISNUMBER('Semi Rev'!N36),ISNUMBER('Semi Rev'!M36),'Semi Rev'!M36&gt;0),'Semi Rev'!N36/'Semi Rev'!M36-1,""),"")</f>
        <v/>
      </c>
      <c r="K321" s="37">
        <f>IFERROR(IF(AND(ISNUMBER('Semi Rev'!O36),ISNUMBER('Semi Rev'!N36),'Semi Rev'!N36&gt;0),'Semi Rev'!O36/'Semi Rev'!N36-1,""),"")</f>
        <v/>
      </c>
      <c r="L321" s="37">
        <f>IFERROR(IF(AND(ISNUMBER('Semi Rev'!P36),ISNUMBER('Semi Rev'!O36),'Semi Rev'!O36&gt;0),'Semi Rev'!P36/'Semi Rev'!O36-1,""),"")</f>
        <v/>
      </c>
      <c r="M321" s="38">
        <f>IFERROR(IF(AND(ISNUMBER('Semi Rev'!Q36),ISNUMBER('Semi Rev'!P36),'Semi Rev'!P36&gt;0),'Semi Rev'!Q36/'Semi Rev'!P36-1,""),"")</f>
        <v/>
      </c>
      <c r="N321" s="38">
        <f>IFERROR(IF(AND(ISNUMBER('Semi Rev'!R36),ISNUMBER('Semi Rev'!Q36),'Semi Rev'!Q36&gt;0),'Semi Rev'!R36/'Semi Rev'!Q36-1,""),"")</f>
        <v/>
      </c>
    </row>
    <row r="322">
      <c r="A322" s="19">
        <f>'Semi Rev'!$A37</f>
        <v/>
      </c>
      <c r="B322" s="19">
        <f>'Semi Rev'!$B37</f>
        <v/>
      </c>
      <c r="C322" s="37">
        <f>IFERROR(IF(AND(ISNUMBER('Semi Rev'!G37),ISNUMBER('Semi Rev'!F37),'Semi Rev'!F37&gt;0),'Semi Rev'!G37/'Semi Rev'!F37-1,""),"")</f>
        <v/>
      </c>
      <c r="D322" s="37">
        <f>IFERROR(IF(AND(ISNUMBER('Semi Rev'!H37),ISNUMBER('Semi Rev'!G37),'Semi Rev'!G37&gt;0),'Semi Rev'!H37/'Semi Rev'!G37-1,""),"")</f>
        <v/>
      </c>
      <c r="E322" s="37">
        <f>IFERROR(IF(AND(ISNUMBER('Semi Rev'!I37),ISNUMBER('Semi Rev'!H37),'Semi Rev'!H37&gt;0),'Semi Rev'!I37/'Semi Rev'!H37-1,""),"")</f>
        <v/>
      </c>
      <c r="F322" s="37">
        <f>IFERROR(IF(AND(ISNUMBER('Semi Rev'!J37),ISNUMBER('Semi Rev'!I37),'Semi Rev'!I37&gt;0),'Semi Rev'!J37/'Semi Rev'!I37-1,""),"")</f>
        <v/>
      </c>
      <c r="G322" s="37">
        <f>IFERROR(IF(AND(ISNUMBER('Semi Rev'!K37),ISNUMBER('Semi Rev'!J37),'Semi Rev'!J37&gt;0),'Semi Rev'!K37/'Semi Rev'!J37-1,""),"")</f>
        <v/>
      </c>
      <c r="H322" s="37">
        <f>IFERROR(IF(AND(ISNUMBER('Semi Rev'!L37),ISNUMBER('Semi Rev'!K37),'Semi Rev'!K37&gt;0),'Semi Rev'!L37/'Semi Rev'!K37-1,""),"")</f>
        <v/>
      </c>
      <c r="I322" s="37">
        <f>IFERROR(IF(AND(ISNUMBER('Semi Rev'!M37),ISNUMBER('Semi Rev'!L37),'Semi Rev'!L37&gt;0),'Semi Rev'!M37/'Semi Rev'!L37-1,""),"")</f>
        <v/>
      </c>
      <c r="J322" s="37">
        <f>IFERROR(IF(AND(ISNUMBER('Semi Rev'!N37),ISNUMBER('Semi Rev'!M37),'Semi Rev'!M37&gt;0),'Semi Rev'!N37/'Semi Rev'!M37-1,""),"")</f>
        <v/>
      </c>
      <c r="K322" s="37">
        <f>IFERROR(IF(AND(ISNUMBER('Semi Rev'!O37),ISNUMBER('Semi Rev'!N37),'Semi Rev'!N37&gt;0),'Semi Rev'!O37/'Semi Rev'!N37-1,""),"")</f>
        <v/>
      </c>
      <c r="L322" s="37">
        <f>IFERROR(IF(AND(ISNUMBER('Semi Rev'!P37),ISNUMBER('Semi Rev'!O37),'Semi Rev'!O37&gt;0),'Semi Rev'!P37/'Semi Rev'!O37-1,""),"")</f>
        <v/>
      </c>
      <c r="M322" s="38">
        <f>IFERROR(IF(AND(ISNUMBER('Semi Rev'!Q37),ISNUMBER('Semi Rev'!P37),'Semi Rev'!P37&gt;0),'Semi Rev'!Q37/'Semi Rev'!P37-1,""),"")</f>
        <v/>
      </c>
      <c r="N322" s="38">
        <f>IFERROR(IF(AND(ISNUMBER('Semi Rev'!R37),ISNUMBER('Semi Rev'!Q37),'Semi Rev'!Q37&gt;0),'Semi Rev'!R37/'Semi Rev'!Q37-1,""),"")</f>
        <v/>
      </c>
    </row>
    <row r="323">
      <c r="A323" s="19">
        <f>'Semi Rev'!$A38</f>
        <v/>
      </c>
      <c r="B323" s="19">
        <f>'Semi Rev'!$B38</f>
        <v/>
      </c>
      <c r="C323" s="37">
        <f>IFERROR(IF(AND(ISNUMBER('Semi Rev'!G38),ISNUMBER('Semi Rev'!F38),'Semi Rev'!F38&gt;0),'Semi Rev'!G38/'Semi Rev'!F38-1,""),"")</f>
        <v/>
      </c>
      <c r="D323" s="37">
        <f>IFERROR(IF(AND(ISNUMBER('Semi Rev'!H38),ISNUMBER('Semi Rev'!G38),'Semi Rev'!G38&gt;0),'Semi Rev'!H38/'Semi Rev'!G38-1,""),"")</f>
        <v/>
      </c>
      <c r="E323" s="37">
        <f>IFERROR(IF(AND(ISNUMBER('Semi Rev'!I38),ISNUMBER('Semi Rev'!H38),'Semi Rev'!H38&gt;0),'Semi Rev'!I38/'Semi Rev'!H38-1,""),"")</f>
        <v/>
      </c>
      <c r="F323" s="37">
        <f>IFERROR(IF(AND(ISNUMBER('Semi Rev'!J38),ISNUMBER('Semi Rev'!I38),'Semi Rev'!I38&gt;0),'Semi Rev'!J38/'Semi Rev'!I38-1,""),"")</f>
        <v/>
      </c>
      <c r="G323" s="37">
        <f>IFERROR(IF(AND(ISNUMBER('Semi Rev'!K38),ISNUMBER('Semi Rev'!J38),'Semi Rev'!J38&gt;0),'Semi Rev'!K38/'Semi Rev'!J38-1,""),"")</f>
        <v/>
      </c>
      <c r="H323" s="37">
        <f>IFERROR(IF(AND(ISNUMBER('Semi Rev'!L38),ISNUMBER('Semi Rev'!K38),'Semi Rev'!K38&gt;0),'Semi Rev'!L38/'Semi Rev'!K38-1,""),"")</f>
        <v/>
      </c>
      <c r="I323" s="37">
        <f>IFERROR(IF(AND(ISNUMBER('Semi Rev'!M38),ISNUMBER('Semi Rev'!L38),'Semi Rev'!L38&gt;0),'Semi Rev'!M38/'Semi Rev'!L38-1,""),"")</f>
        <v/>
      </c>
      <c r="J323" s="37">
        <f>IFERROR(IF(AND(ISNUMBER('Semi Rev'!N38),ISNUMBER('Semi Rev'!M38),'Semi Rev'!M38&gt;0),'Semi Rev'!N38/'Semi Rev'!M38-1,""),"")</f>
        <v/>
      </c>
      <c r="K323" s="37">
        <f>IFERROR(IF(AND(ISNUMBER('Semi Rev'!O38),ISNUMBER('Semi Rev'!N38),'Semi Rev'!N38&gt;0),'Semi Rev'!O38/'Semi Rev'!N38-1,""),"")</f>
        <v/>
      </c>
      <c r="L323" s="37">
        <f>IFERROR(IF(AND(ISNUMBER('Semi Rev'!P38),ISNUMBER('Semi Rev'!O38),'Semi Rev'!O38&gt;0),'Semi Rev'!P38/'Semi Rev'!O38-1,""),"")</f>
        <v/>
      </c>
      <c r="M323" s="38">
        <f>IFERROR(IF(AND(ISNUMBER('Semi Rev'!Q38),ISNUMBER('Semi Rev'!P38),'Semi Rev'!P38&gt;0),'Semi Rev'!Q38/'Semi Rev'!P38-1,""),"")</f>
        <v/>
      </c>
      <c r="N323" s="38">
        <f>IFERROR(IF(AND(ISNUMBER('Semi Rev'!R38),ISNUMBER('Semi Rev'!Q38),'Semi Rev'!Q38&gt;0),'Semi Rev'!R38/'Semi Rev'!Q38-1,""),"")</f>
        <v/>
      </c>
    </row>
    <row r="324">
      <c r="A324" s="19">
        <f>'Semi Rev'!$A39</f>
        <v/>
      </c>
      <c r="B324" s="19">
        <f>'Semi Rev'!$B39</f>
        <v/>
      </c>
      <c r="C324" s="37">
        <f>IFERROR(IF(AND(ISNUMBER('Semi Rev'!G39),ISNUMBER('Semi Rev'!F39),'Semi Rev'!F39&gt;0),'Semi Rev'!G39/'Semi Rev'!F39-1,""),"")</f>
        <v/>
      </c>
      <c r="D324" s="37">
        <f>IFERROR(IF(AND(ISNUMBER('Semi Rev'!H39),ISNUMBER('Semi Rev'!G39),'Semi Rev'!G39&gt;0),'Semi Rev'!H39/'Semi Rev'!G39-1,""),"")</f>
        <v/>
      </c>
      <c r="E324" s="37">
        <f>IFERROR(IF(AND(ISNUMBER('Semi Rev'!I39),ISNUMBER('Semi Rev'!H39),'Semi Rev'!H39&gt;0),'Semi Rev'!I39/'Semi Rev'!H39-1,""),"")</f>
        <v/>
      </c>
      <c r="F324" s="37">
        <f>IFERROR(IF(AND(ISNUMBER('Semi Rev'!J39),ISNUMBER('Semi Rev'!I39),'Semi Rev'!I39&gt;0),'Semi Rev'!J39/'Semi Rev'!I39-1,""),"")</f>
        <v/>
      </c>
      <c r="G324" s="37">
        <f>IFERROR(IF(AND(ISNUMBER('Semi Rev'!K39),ISNUMBER('Semi Rev'!J39),'Semi Rev'!J39&gt;0),'Semi Rev'!K39/'Semi Rev'!J39-1,""),"")</f>
        <v/>
      </c>
      <c r="H324" s="37">
        <f>IFERROR(IF(AND(ISNUMBER('Semi Rev'!L39),ISNUMBER('Semi Rev'!K39),'Semi Rev'!K39&gt;0),'Semi Rev'!L39/'Semi Rev'!K39-1,""),"")</f>
        <v/>
      </c>
      <c r="I324" s="37">
        <f>IFERROR(IF(AND(ISNUMBER('Semi Rev'!M39),ISNUMBER('Semi Rev'!L39),'Semi Rev'!L39&gt;0),'Semi Rev'!M39/'Semi Rev'!L39-1,""),"")</f>
        <v/>
      </c>
      <c r="J324" s="37">
        <f>IFERROR(IF(AND(ISNUMBER('Semi Rev'!N39),ISNUMBER('Semi Rev'!M39),'Semi Rev'!M39&gt;0),'Semi Rev'!N39/'Semi Rev'!M39-1,""),"")</f>
        <v/>
      </c>
      <c r="K324" s="37">
        <f>IFERROR(IF(AND(ISNUMBER('Semi Rev'!O39),ISNUMBER('Semi Rev'!N39),'Semi Rev'!N39&gt;0),'Semi Rev'!O39/'Semi Rev'!N39-1,""),"")</f>
        <v/>
      </c>
      <c r="L324" s="37">
        <f>IFERROR(IF(AND(ISNUMBER('Semi Rev'!P39),ISNUMBER('Semi Rev'!O39),'Semi Rev'!O39&gt;0),'Semi Rev'!P39/'Semi Rev'!O39-1,""),"")</f>
        <v/>
      </c>
      <c r="M324" s="38">
        <f>IFERROR(IF(AND(ISNUMBER('Semi Rev'!Q39),ISNUMBER('Semi Rev'!P39),'Semi Rev'!P39&gt;0),'Semi Rev'!Q39/'Semi Rev'!P39-1,""),"")</f>
        <v/>
      </c>
      <c r="N324" s="38">
        <f>IFERROR(IF(AND(ISNUMBER('Semi Rev'!R39),ISNUMBER('Semi Rev'!Q39),'Semi Rev'!Q39&gt;0),'Semi Rev'!R39/'Semi Rev'!Q39-1,""),"")</f>
        <v/>
      </c>
    </row>
    <row r="325">
      <c r="A325" s="19">
        <f>'Semi Rev'!$A40</f>
        <v/>
      </c>
      <c r="B325" s="19">
        <f>'Semi Rev'!$B40</f>
        <v/>
      </c>
      <c r="C325" s="37">
        <f>IFERROR(IF(AND(ISNUMBER('Semi Rev'!G40),ISNUMBER('Semi Rev'!F40),'Semi Rev'!F40&gt;0),'Semi Rev'!G40/'Semi Rev'!F40-1,""),"")</f>
        <v/>
      </c>
      <c r="D325" s="37">
        <f>IFERROR(IF(AND(ISNUMBER('Semi Rev'!H40),ISNUMBER('Semi Rev'!G40),'Semi Rev'!G40&gt;0),'Semi Rev'!H40/'Semi Rev'!G40-1,""),"")</f>
        <v/>
      </c>
      <c r="E325" s="37">
        <f>IFERROR(IF(AND(ISNUMBER('Semi Rev'!I40),ISNUMBER('Semi Rev'!H40),'Semi Rev'!H40&gt;0),'Semi Rev'!I40/'Semi Rev'!H40-1,""),"")</f>
        <v/>
      </c>
      <c r="F325" s="37">
        <f>IFERROR(IF(AND(ISNUMBER('Semi Rev'!J40),ISNUMBER('Semi Rev'!I40),'Semi Rev'!I40&gt;0),'Semi Rev'!J40/'Semi Rev'!I40-1,""),"")</f>
        <v/>
      </c>
      <c r="G325" s="37">
        <f>IFERROR(IF(AND(ISNUMBER('Semi Rev'!K40),ISNUMBER('Semi Rev'!J40),'Semi Rev'!J40&gt;0),'Semi Rev'!K40/'Semi Rev'!J40-1,""),"")</f>
        <v/>
      </c>
      <c r="H325" s="37">
        <f>IFERROR(IF(AND(ISNUMBER('Semi Rev'!L40),ISNUMBER('Semi Rev'!K40),'Semi Rev'!K40&gt;0),'Semi Rev'!L40/'Semi Rev'!K40-1,""),"")</f>
        <v/>
      </c>
      <c r="I325" s="37">
        <f>IFERROR(IF(AND(ISNUMBER('Semi Rev'!M40),ISNUMBER('Semi Rev'!L40),'Semi Rev'!L40&gt;0),'Semi Rev'!M40/'Semi Rev'!L40-1,""),"")</f>
        <v/>
      </c>
      <c r="J325" s="37">
        <f>IFERROR(IF(AND(ISNUMBER('Semi Rev'!N40),ISNUMBER('Semi Rev'!M40),'Semi Rev'!M40&gt;0),'Semi Rev'!N40/'Semi Rev'!M40-1,""),"")</f>
        <v/>
      </c>
      <c r="K325" s="37">
        <f>IFERROR(IF(AND(ISNUMBER('Semi Rev'!O40),ISNUMBER('Semi Rev'!N40),'Semi Rev'!N40&gt;0),'Semi Rev'!O40/'Semi Rev'!N40-1,""),"")</f>
        <v/>
      </c>
      <c r="L325" s="37">
        <f>IFERROR(IF(AND(ISNUMBER('Semi Rev'!P40),ISNUMBER('Semi Rev'!O40),'Semi Rev'!O40&gt;0),'Semi Rev'!P40/'Semi Rev'!O40-1,""),"")</f>
        <v/>
      </c>
      <c r="M325" s="38">
        <f>IFERROR(IF(AND(ISNUMBER('Semi Rev'!Q40),ISNUMBER('Semi Rev'!P40),'Semi Rev'!P40&gt;0),'Semi Rev'!Q40/'Semi Rev'!P40-1,""),"")</f>
        <v/>
      </c>
      <c r="N325" s="38">
        <f>IFERROR(IF(AND(ISNUMBER('Semi Rev'!R40),ISNUMBER('Semi Rev'!Q40),'Semi Rev'!Q40&gt;0),'Semi Rev'!R40/'Semi Rev'!Q40-1,""),"")</f>
        <v/>
      </c>
    </row>
    <row r="326">
      <c r="A326" s="19">
        <f>'Semi Rev'!$A41</f>
        <v/>
      </c>
      <c r="B326" s="19">
        <f>'Semi Rev'!$B41</f>
        <v/>
      </c>
      <c r="C326" s="37">
        <f>IFERROR(IF(AND(ISNUMBER('Semi Rev'!G41),ISNUMBER('Semi Rev'!F41),'Semi Rev'!F41&gt;0),'Semi Rev'!G41/'Semi Rev'!F41-1,""),"")</f>
        <v/>
      </c>
      <c r="D326" s="37">
        <f>IFERROR(IF(AND(ISNUMBER('Semi Rev'!H41),ISNUMBER('Semi Rev'!G41),'Semi Rev'!G41&gt;0),'Semi Rev'!H41/'Semi Rev'!G41-1,""),"")</f>
        <v/>
      </c>
      <c r="E326" s="37">
        <f>IFERROR(IF(AND(ISNUMBER('Semi Rev'!I41),ISNUMBER('Semi Rev'!H41),'Semi Rev'!H41&gt;0),'Semi Rev'!I41/'Semi Rev'!H41-1,""),"")</f>
        <v/>
      </c>
      <c r="F326" s="37">
        <f>IFERROR(IF(AND(ISNUMBER('Semi Rev'!J41),ISNUMBER('Semi Rev'!I41),'Semi Rev'!I41&gt;0),'Semi Rev'!J41/'Semi Rev'!I41-1,""),"")</f>
        <v/>
      </c>
      <c r="G326" s="37">
        <f>IFERROR(IF(AND(ISNUMBER('Semi Rev'!K41),ISNUMBER('Semi Rev'!J41),'Semi Rev'!J41&gt;0),'Semi Rev'!K41/'Semi Rev'!J41-1,""),"")</f>
        <v/>
      </c>
      <c r="H326" s="37">
        <f>IFERROR(IF(AND(ISNUMBER('Semi Rev'!L41),ISNUMBER('Semi Rev'!K41),'Semi Rev'!K41&gt;0),'Semi Rev'!L41/'Semi Rev'!K41-1,""),"")</f>
        <v/>
      </c>
      <c r="I326" s="37">
        <f>IFERROR(IF(AND(ISNUMBER('Semi Rev'!M41),ISNUMBER('Semi Rev'!L41),'Semi Rev'!L41&gt;0),'Semi Rev'!M41/'Semi Rev'!L41-1,""),"")</f>
        <v/>
      </c>
      <c r="J326" s="37">
        <f>IFERROR(IF(AND(ISNUMBER('Semi Rev'!N41),ISNUMBER('Semi Rev'!M41),'Semi Rev'!M41&gt;0),'Semi Rev'!N41/'Semi Rev'!M41-1,""),"")</f>
        <v/>
      </c>
      <c r="K326" s="37">
        <f>IFERROR(IF(AND(ISNUMBER('Semi Rev'!O41),ISNUMBER('Semi Rev'!N41),'Semi Rev'!N41&gt;0),'Semi Rev'!O41/'Semi Rev'!N41-1,""),"")</f>
        <v/>
      </c>
      <c r="L326" s="37">
        <f>IFERROR(IF(AND(ISNUMBER('Semi Rev'!P41),ISNUMBER('Semi Rev'!O41),'Semi Rev'!O41&gt;0),'Semi Rev'!P41/'Semi Rev'!O41-1,""),"")</f>
        <v/>
      </c>
      <c r="M326" s="38">
        <f>IFERROR(IF(AND(ISNUMBER('Semi Rev'!Q41),ISNUMBER('Semi Rev'!P41),'Semi Rev'!P41&gt;0),'Semi Rev'!Q41/'Semi Rev'!P41-1,""),"")</f>
        <v/>
      </c>
      <c r="N326" s="38">
        <f>IFERROR(IF(AND(ISNUMBER('Semi Rev'!R41),ISNUMBER('Semi Rev'!Q41),'Semi Rev'!Q41&gt;0),'Semi Rev'!R41/'Semi Rev'!Q41-1,""),"")</f>
        <v/>
      </c>
    </row>
    <row r="327">
      <c r="A327" s="19">
        <f>'Semi Rev'!$A42</f>
        <v/>
      </c>
      <c r="B327" s="19">
        <f>'Semi Rev'!$B42</f>
        <v/>
      </c>
      <c r="C327" s="37">
        <f>IFERROR(IF(AND(ISNUMBER('Semi Rev'!G42),ISNUMBER('Semi Rev'!F42),'Semi Rev'!F42&gt;0),'Semi Rev'!G42/'Semi Rev'!F42-1,""),"")</f>
        <v/>
      </c>
      <c r="D327" s="37">
        <f>IFERROR(IF(AND(ISNUMBER('Semi Rev'!H42),ISNUMBER('Semi Rev'!G42),'Semi Rev'!G42&gt;0),'Semi Rev'!H42/'Semi Rev'!G42-1,""),"")</f>
        <v/>
      </c>
      <c r="E327" s="37">
        <f>IFERROR(IF(AND(ISNUMBER('Semi Rev'!I42),ISNUMBER('Semi Rev'!H42),'Semi Rev'!H42&gt;0),'Semi Rev'!I42/'Semi Rev'!H42-1,""),"")</f>
        <v/>
      </c>
      <c r="F327" s="37">
        <f>IFERROR(IF(AND(ISNUMBER('Semi Rev'!J42),ISNUMBER('Semi Rev'!I42),'Semi Rev'!I42&gt;0),'Semi Rev'!J42/'Semi Rev'!I42-1,""),"")</f>
        <v/>
      </c>
      <c r="G327" s="37">
        <f>IFERROR(IF(AND(ISNUMBER('Semi Rev'!K42),ISNUMBER('Semi Rev'!J42),'Semi Rev'!J42&gt;0),'Semi Rev'!K42/'Semi Rev'!J42-1,""),"")</f>
        <v/>
      </c>
      <c r="H327" s="37">
        <f>IFERROR(IF(AND(ISNUMBER('Semi Rev'!L42),ISNUMBER('Semi Rev'!K42),'Semi Rev'!K42&gt;0),'Semi Rev'!L42/'Semi Rev'!K42-1,""),"")</f>
        <v/>
      </c>
      <c r="I327" s="37">
        <f>IFERROR(IF(AND(ISNUMBER('Semi Rev'!M42),ISNUMBER('Semi Rev'!L42),'Semi Rev'!L42&gt;0),'Semi Rev'!M42/'Semi Rev'!L42-1,""),"")</f>
        <v/>
      </c>
      <c r="J327" s="37">
        <f>IFERROR(IF(AND(ISNUMBER('Semi Rev'!N42),ISNUMBER('Semi Rev'!M42),'Semi Rev'!M42&gt;0),'Semi Rev'!N42/'Semi Rev'!M42-1,""),"")</f>
        <v/>
      </c>
      <c r="K327" s="37">
        <f>IFERROR(IF(AND(ISNUMBER('Semi Rev'!O42),ISNUMBER('Semi Rev'!N42),'Semi Rev'!N42&gt;0),'Semi Rev'!O42/'Semi Rev'!N42-1,""),"")</f>
        <v/>
      </c>
      <c r="L327" s="37">
        <f>IFERROR(IF(AND(ISNUMBER('Semi Rev'!P42),ISNUMBER('Semi Rev'!O42),'Semi Rev'!O42&gt;0),'Semi Rev'!P42/'Semi Rev'!O42-1,""),"")</f>
        <v/>
      </c>
      <c r="M327" s="38">
        <f>IFERROR(IF(AND(ISNUMBER('Semi Rev'!Q42),ISNUMBER('Semi Rev'!P42),'Semi Rev'!P42&gt;0),'Semi Rev'!Q42/'Semi Rev'!P42-1,""),"")</f>
        <v/>
      </c>
      <c r="N327" s="38">
        <f>IFERROR(IF(AND(ISNUMBER('Semi Rev'!R42),ISNUMBER('Semi Rev'!Q42),'Semi Rev'!Q42&gt;0),'Semi Rev'!R42/'Semi Rev'!Q42-1,""),"")</f>
        <v/>
      </c>
    </row>
    <row r="328">
      <c r="A328" s="19">
        <f>'Semi Rev'!$A43</f>
        <v/>
      </c>
      <c r="B328" s="19">
        <f>'Semi Rev'!$B43</f>
        <v/>
      </c>
      <c r="C328" s="37">
        <f>IFERROR(IF(AND(ISNUMBER('Semi Rev'!G43),ISNUMBER('Semi Rev'!F43),'Semi Rev'!F43&gt;0),'Semi Rev'!G43/'Semi Rev'!F43-1,""),"")</f>
        <v/>
      </c>
      <c r="D328" s="37">
        <f>IFERROR(IF(AND(ISNUMBER('Semi Rev'!H43),ISNUMBER('Semi Rev'!G43),'Semi Rev'!G43&gt;0),'Semi Rev'!H43/'Semi Rev'!G43-1,""),"")</f>
        <v/>
      </c>
      <c r="E328" s="37">
        <f>IFERROR(IF(AND(ISNUMBER('Semi Rev'!I43),ISNUMBER('Semi Rev'!H43),'Semi Rev'!H43&gt;0),'Semi Rev'!I43/'Semi Rev'!H43-1,""),"")</f>
        <v/>
      </c>
      <c r="F328" s="37">
        <f>IFERROR(IF(AND(ISNUMBER('Semi Rev'!J43),ISNUMBER('Semi Rev'!I43),'Semi Rev'!I43&gt;0),'Semi Rev'!J43/'Semi Rev'!I43-1,""),"")</f>
        <v/>
      </c>
      <c r="G328" s="37">
        <f>IFERROR(IF(AND(ISNUMBER('Semi Rev'!K43),ISNUMBER('Semi Rev'!J43),'Semi Rev'!J43&gt;0),'Semi Rev'!K43/'Semi Rev'!J43-1,""),"")</f>
        <v/>
      </c>
      <c r="H328" s="37">
        <f>IFERROR(IF(AND(ISNUMBER('Semi Rev'!L43),ISNUMBER('Semi Rev'!K43),'Semi Rev'!K43&gt;0),'Semi Rev'!L43/'Semi Rev'!K43-1,""),"")</f>
        <v/>
      </c>
      <c r="I328" s="37">
        <f>IFERROR(IF(AND(ISNUMBER('Semi Rev'!M43),ISNUMBER('Semi Rev'!L43),'Semi Rev'!L43&gt;0),'Semi Rev'!M43/'Semi Rev'!L43-1,""),"")</f>
        <v/>
      </c>
      <c r="J328" s="37">
        <f>IFERROR(IF(AND(ISNUMBER('Semi Rev'!N43),ISNUMBER('Semi Rev'!M43),'Semi Rev'!M43&gt;0),'Semi Rev'!N43/'Semi Rev'!M43-1,""),"")</f>
        <v/>
      </c>
      <c r="K328" s="37">
        <f>IFERROR(IF(AND(ISNUMBER('Semi Rev'!O43),ISNUMBER('Semi Rev'!N43),'Semi Rev'!N43&gt;0),'Semi Rev'!O43/'Semi Rev'!N43-1,""),"")</f>
        <v/>
      </c>
      <c r="L328" s="37">
        <f>IFERROR(IF(AND(ISNUMBER('Semi Rev'!P43),ISNUMBER('Semi Rev'!O43),'Semi Rev'!O43&gt;0),'Semi Rev'!P43/'Semi Rev'!O43-1,""),"")</f>
        <v/>
      </c>
      <c r="M328" s="38">
        <f>IFERROR(IF(AND(ISNUMBER('Semi Rev'!Q43),ISNUMBER('Semi Rev'!P43),'Semi Rev'!P43&gt;0),'Semi Rev'!Q43/'Semi Rev'!P43-1,""),"")</f>
        <v/>
      </c>
      <c r="N328" s="38">
        <f>IFERROR(IF(AND(ISNUMBER('Semi Rev'!R43),ISNUMBER('Semi Rev'!Q43),'Semi Rev'!Q43&gt;0),'Semi Rev'!R43/'Semi Rev'!Q43-1,""),"")</f>
        <v/>
      </c>
    </row>
    <row r="329">
      <c r="A329" s="19">
        <f>'Semi Rev'!$A44</f>
        <v/>
      </c>
      <c r="B329" s="19">
        <f>'Semi Rev'!$B44</f>
        <v/>
      </c>
      <c r="C329" s="37">
        <f>IFERROR(IF(AND(ISNUMBER('Semi Rev'!G44),ISNUMBER('Semi Rev'!F44),'Semi Rev'!F44&gt;0),'Semi Rev'!G44/'Semi Rev'!F44-1,""),"")</f>
        <v/>
      </c>
      <c r="D329" s="37">
        <f>IFERROR(IF(AND(ISNUMBER('Semi Rev'!H44),ISNUMBER('Semi Rev'!G44),'Semi Rev'!G44&gt;0),'Semi Rev'!H44/'Semi Rev'!G44-1,""),"")</f>
        <v/>
      </c>
      <c r="E329" s="37">
        <f>IFERROR(IF(AND(ISNUMBER('Semi Rev'!I44),ISNUMBER('Semi Rev'!H44),'Semi Rev'!H44&gt;0),'Semi Rev'!I44/'Semi Rev'!H44-1,""),"")</f>
        <v/>
      </c>
      <c r="F329" s="37">
        <f>IFERROR(IF(AND(ISNUMBER('Semi Rev'!J44),ISNUMBER('Semi Rev'!I44),'Semi Rev'!I44&gt;0),'Semi Rev'!J44/'Semi Rev'!I44-1,""),"")</f>
        <v/>
      </c>
      <c r="G329" s="37">
        <f>IFERROR(IF(AND(ISNUMBER('Semi Rev'!K44),ISNUMBER('Semi Rev'!J44),'Semi Rev'!J44&gt;0),'Semi Rev'!K44/'Semi Rev'!J44-1,""),"")</f>
        <v/>
      </c>
      <c r="H329" s="37">
        <f>IFERROR(IF(AND(ISNUMBER('Semi Rev'!L44),ISNUMBER('Semi Rev'!K44),'Semi Rev'!K44&gt;0),'Semi Rev'!L44/'Semi Rev'!K44-1,""),"")</f>
        <v/>
      </c>
      <c r="I329" s="37">
        <f>IFERROR(IF(AND(ISNUMBER('Semi Rev'!M44),ISNUMBER('Semi Rev'!L44),'Semi Rev'!L44&gt;0),'Semi Rev'!M44/'Semi Rev'!L44-1,""),"")</f>
        <v/>
      </c>
      <c r="J329" s="37">
        <f>IFERROR(IF(AND(ISNUMBER('Semi Rev'!N44),ISNUMBER('Semi Rev'!M44),'Semi Rev'!M44&gt;0),'Semi Rev'!N44/'Semi Rev'!M44-1,""),"")</f>
        <v/>
      </c>
      <c r="K329" s="37">
        <f>IFERROR(IF(AND(ISNUMBER('Semi Rev'!O44),ISNUMBER('Semi Rev'!N44),'Semi Rev'!N44&gt;0),'Semi Rev'!O44/'Semi Rev'!N44-1,""),"")</f>
        <v/>
      </c>
      <c r="L329" s="37">
        <f>IFERROR(IF(AND(ISNUMBER('Semi Rev'!P44),ISNUMBER('Semi Rev'!O44),'Semi Rev'!O44&gt;0),'Semi Rev'!P44/'Semi Rev'!O44-1,""),"")</f>
        <v/>
      </c>
      <c r="M329" s="38">
        <f>IFERROR(IF(AND(ISNUMBER('Semi Rev'!Q44),ISNUMBER('Semi Rev'!P44),'Semi Rev'!P44&gt;0),'Semi Rev'!Q44/'Semi Rev'!P44-1,""),"")</f>
        <v/>
      </c>
      <c r="N329" s="38">
        <f>IFERROR(IF(AND(ISNUMBER('Semi Rev'!R44),ISNUMBER('Semi Rev'!Q44),'Semi Rev'!Q44&gt;0),'Semi Rev'!R44/'Semi Rev'!Q44-1,""),"")</f>
        <v/>
      </c>
    </row>
    <row r="330">
      <c r="A330" s="19">
        <f>'Semi Rev'!$A45</f>
        <v/>
      </c>
      <c r="B330" s="19">
        <f>'Semi Rev'!$B45</f>
        <v/>
      </c>
      <c r="C330" s="37">
        <f>IFERROR(IF(AND(ISNUMBER('Semi Rev'!G45),ISNUMBER('Semi Rev'!F45),'Semi Rev'!F45&gt;0),'Semi Rev'!G45/'Semi Rev'!F45-1,""),"")</f>
        <v/>
      </c>
      <c r="D330" s="37">
        <f>IFERROR(IF(AND(ISNUMBER('Semi Rev'!H45),ISNUMBER('Semi Rev'!G45),'Semi Rev'!G45&gt;0),'Semi Rev'!H45/'Semi Rev'!G45-1,""),"")</f>
        <v/>
      </c>
      <c r="E330" s="37">
        <f>IFERROR(IF(AND(ISNUMBER('Semi Rev'!I45),ISNUMBER('Semi Rev'!H45),'Semi Rev'!H45&gt;0),'Semi Rev'!I45/'Semi Rev'!H45-1,""),"")</f>
        <v/>
      </c>
      <c r="F330" s="37">
        <f>IFERROR(IF(AND(ISNUMBER('Semi Rev'!J45),ISNUMBER('Semi Rev'!I45),'Semi Rev'!I45&gt;0),'Semi Rev'!J45/'Semi Rev'!I45-1,""),"")</f>
        <v/>
      </c>
      <c r="G330" s="37">
        <f>IFERROR(IF(AND(ISNUMBER('Semi Rev'!K45),ISNUMBER('Semi Rev'!J45),'Semi Rev'!J45&gt;0),'Semi Rev'!K45/'Semi Rev'!J45-1,""),"")</f>
        <v/>
      </c>
      <c r="H330" s="37">
        <f>IFERROR(IF(AND(ISNUMBER('Semi Rev'!L45),ISNUMBER('Semi Rev'!K45),'Semi Rev'!K45&gt;0),'Semi Rev'!L45/'Semi Rev'!K45-1,""),"")</f>
        <v/>
      </c>
      <c r="I330" s="37">
        <f>IFERROR(IF(AND(ISNUMBER('Semi Rev'!M45),ISNUMBER('Semi Rev'!L45),'Semi Rev'!L45&gt;0),'Semi Rev'!M45/'Semi Rev'!L45-1,""),"")</f>
        <v/>
      </c>
      <c r="J330" s="37">
        <f>IFERROR(IF(AND(ISNUMBER('Semi Rev'!N45),ISNUMBER('Semi Rev'!M45),'Semi Rev'!M45&gt;0),'Semi Rev'!N45/'Semi Rev'!M45-1,""),"")</f>
        <v/>
      </c>
      <c r="K330" s="37">
        <f>IFERROR(IF(AND(ISNUMBER('Semi Rev'!O45),ISNUMBER('Semi Rev'!N45),'Semi Rev'!N45&gt;0),'Semi Rev'!O45/'Semi Rev'!N45-1,""),"")</f>
        <v/>
      </c>
      <c r="L330" s="37">
        <f>IFERROR(IF(AND(ISNUMBER('Semi Rev'!P45),ISNUMBER('Semi Rev'!O45),'Semi Rev'!O45&gt;0),'Semi Rev'!P45/'Semi Rev'!O45-1,""),"")</f>
        <v/>
      </c>
      <c r="M330" s="38">
        <f>IFERROR(IF(AND(ISNUMBER('Semi Rev'!Q45),ISNUMBER('Semi Rev'!P45),'Semi Rev'!P45&gt;0),'Semi Rev'!Q45/'Semi Rev'!P45-1,""),"")</f>
        <v/>
      </c>
      <c r="N330" s="38">
        <f>IFERROR(IF(AND(ISNUMBER('Semi Rev'!R45),ISNUMBER('Semi Rev'!Q45),'Semi Rev'!Q45&gt;0),'Semi Rev'!R45/'Semi Rev'!Q45-1,""),"")</f>
        <v/>
      </c>
    </row>
    <row r="331">
      <c r="A331" s="19">
        <f>'Semi Rev'!$A46</f>
        <v/>
      </c>
      <c r="B331" s="19">
        <f>'Semi Rev'!$B46</f>
        <v/>
      </c>
      <c r="C331" s="37">
        <f>IFERROR(IF(AND(ISNUMBER('Semi Rev'!G46),ISNUMBER('Semi Rev'!F46),'Semi Rev'!F46&gt;0),'Semi Rev'!G46/'Semi Rev'!F46-1,""),"")</f>
        <v/>
      </c>
      <c r="D331" s="37">
        <f>IFERROR(IF(AND(ISNUMBER('Semi Rev'!H46),ISNUMBER('Semi Rev'!G46),'Semi Rev'!G46&gt;0),'Semi Rev'!H46/'Semi Rev'!G46-1,""),"")</f>
        <v/>
      </c>
      <c r="E331" s="37">
        <f>IFERROR(IF(AND(ISNUMBER('Semi Rev'!I46),ISNUMBER('Semi Rev'!H46),'Semi Rev'!H46&gt;0),'Semi Rev'!I46/'Semi Rev'!H46-1,""),"")</f>
        <v/>
      </c>
      <c r="F331" s="37">
        <f>IFERROR(IF(AND(ISNUMBER('Semi Rev'!J46),ISNUMBER('Semi Rev'!I46),'Semi Rev'!I46&gt;0),'Semi Rev'!J46/'Semi Rev'!I46-1,""),"")</f>
        <v/>
      </c>
      <c r="G331" s="37">
        <f>IFERROR(IF(AND(ISNUMBER('Semi Rev'!K46),ISNUMBER('Semi Rev'!J46),'Semi Rev'!J46&gt;0),'Semi Rev'!K46/'Semi Rev'!J46-1,""),"")</f>
        <v/>
      </c>
      <c r="H331" s="37">
        <f>IFERROR(IF(AND(ISNUMBER('Semi Rev'!L46),ISNUMBER('Semi Rev'!K46),'Semi Rev'!K46&gt;0),'Semi Rev'!L46/'Semi Rev'!K46-1,""),"")</f>
        <v/>
      </c>
      <c r="I331" s="37">
        <f>IFERROR(IF(AND(ISNUMBER('Semi Rev'!M46),ISNUMBER('Semi Rev'!L46),'Semi Rev'!L46&gt;0),'Semi Rev'!M46/'Semi Rev'!L46-1,""),"")</f>
        <v/>
      </c>
      <c r="J331" s="37">
        <f>IFERROR(IF(AND(ISNUMBER('Semi Rev'!N46),ISNUMBER('Semi Rev'!M46),'Semi Rev'!M46&gt;0),'Semi Rev'!N46/'Semi Rev'!M46-1,""),"")</f>
        <v/>
      </c>
      <c r="K331" s="37">
        <f>IFERROR(IF(AND(ISNUMBER('Semi Rev'!O46),ISNUMBER('Semi Rev'!N46),'Semi Rev'!N46&gt;0),'Semi Rev'!O46/'Semi Rev'!N46-1,""),"")</f>
        <v/>
      </c>
      <c r="L331" s="37">
        <f>IFERROR(IF(AND(ISNUMBER('Semi Rev'!P46),ISNUMBER('Semi Rev'!O46),'Semi Rev'!O46&gt;0),'Semi Rev'!P46/'Semi Rev'!O46-1,""),"")</f>
        <v/>
      </c>
      <c r="M331" s="38">
        <f>IFERROR(IF(AND(ISNUMBER('Semi Rev'!Q46),ISNUMBER('Semi Rev'!P46),'Semi Rev'!P46&gt;0),'Semi Rev'!Q46/'Semi Rev'!P46-1,""),"")</f>
        <v/>
      </c>
      <c r="N331" s="38">
        <f>IFERROR(IF(AND(ISNUMBER('Semi Rev'!R46),ISNUMBER('Semi Rev'!Q46),'Semi Rev'!Q46&gt;0),'Semi Rev'!R46/'Semi Rev'!Q46-1,""),"")</f>
        <v/>
      </c>
    </row>
    <row r="332">
      <c r="A332" s="19">
        <f>'Semi Rev'!$A47</f>
        <v/>
      </c>
      <c r="B332" s="19">
        <f>'Semi Rev'!$B47</f>
        <v/>
      </c>
      <c r="C332" s="37">
        <f>IFERROR(IF(AND(ISNUMBER('Semi Rev'!G47),ISNUMBER('Semi Rev'!F47),'Semi Rev'!F47&gt;0),'Semi Rev'!G47/'Semi Rev'!F47-1,""),"")</f>
        <v/>
      </c>
      <c r="D332" s="37">
        <f>IFERROR(IF(AND(ISNUMBER('Semi Rev'!H47),ISNUMBER('Semi Rev'!G47),'Semi Rev'!G47&gt;0),'Semi Rev'!H47/'Semi Rev'!G47-1,""),"")</f>
        <v/>
      </c>
      <c r="E332" s="37">
        <f>IFERROR(IF(AND(ISNUMBER('Semi Rev'!I47),ISNUMBER('Semi Rev'!H47),'Semi Rev'!H47&gt;0),'Semi Rev'!I47/'Semi Rev'!H47-1,""),"")</f>
        <v/>
      </c>
      <c r="F332" s="37">
        <f>IFERROR(IF(AND(ISNUMBER('Semi Rev'!J47),ISNUMBER('Semi Rev'!I47),'Semi Rev'!I47&gt;0),'Semi Rev'!J47/'Semi Rev'!I47-1,""),"")</f>
        <v/>
      </c>
      <c r="G332" s="37">
        <f>IFERROR(IF(AND(ISNUMBER('Semi Rev'!K47),ISNUMBER('Semi Rev'!J47),'Semi Rev'!J47&gt;0),'Semi Rev'!K47/'Semi Rev'!J47-1,""),"")</f>
        <v/>
      </c>
      <c r="H332" s="37">
        <f>IFERROR(IF(AND(ISNUMBER('Semi Rev'!L47),ISNUMBER('Semi Rev'!K47),'Semi Rev'!K47&gt;0),'Semi Rev'!L47/'Semi Rev'!K47-1,""),"")</f>
        <v/>
      </c>
      <c r="I332" s="37">
        <f>IFERROR(IF(AND(ISNUMBER('Semi Rev'!M47),ISNUMBER('Semi Rev'!L47),'Semi Rev'!L47&gt;0),'Semi Rev'!M47/'Semi Rev'!L47-1,""),"")</f>
        <v/>
      </c>
      <c r="J332" s="37">
        <f>IFERROR(IF(AND(ISNUMBER('Semi Rev'!N47),ISNUMBER('Semi Rev'!M47),'Semi Rev'!M47&gt;0),'Semi Rev'!N47/'Semi Rev'!M47-1,""),"")</f>
        <v/>
      </c>
      <c r="K332" s="37">
        <f>IFERROR(IF(AND(ISNUMBER('Semi Rev'!O47),ISNUMBER('Semi Rev'!N47),'Semi Rev'!N47&gt;0),'Semi Rev'!O47/'Semi Rev'!N47-1,""),"")</f>
        <v/>
      </c>
      <c r="L332" s="37">
        <f>IFERROR(IF(AND(ISNUMBER('Semi Rev'!P47),ISNUMBER('Semi Rev'!O47),'Semi Rev'!O47&gt;0),'Semi Rev'!P47/'Semi Rev'!O47-1,""),"")</f>
        <v/>
      </c>
      <c r="M332" s="38">
        <f>IFERROR(IF(AND(ISNUMBER('Semi Rev'!Q47),ISNUMBER('Semi Rev'!P47),'Semi Rev'!P47&gt;0),'Semi Rev'!Q47/'Semi Rev'!P47-1,""),"")</f>
        <v/>
      </c>
      <c r="N332" s="38">
        <f>IFERROR(IF(AND(ISNUMBER('Semi Rev'!R47),ISNUMBER('Semi Rev'!Q47),'Semi Rev'!Q47&gt;0),'Semi Rev'!R47/'Semi Rev'!Q47-1,""),"")</f>
        <v/>
      </c>
    </row>
    <row r="333">
      <c r="A333" s="19">
        <f>'Semi Rev'!$A48</f>
        <v/>
      </c>
      <c r="B333" s="19">
        <f>'Semi Rev'!$B48</f>
        <v/>
      </c>
      <c r="C333" s="37">
        <f>IFERROR(IF(AND(ISNUMBER('Semi Rev'!G48),ISNUMBER('Semi Rev'!F48),'Semi Rev'!F48&gt;0),'Semi Rev'!G48/'Semi Rev'!F48-1,""),"")</f>
        <v/>
      </c>
      <c r="D333" s="37">
        <f>IFERROR(IF(AND(ISNUMBER('Semi Rev'!H48),ISNUMBER('Semi Rev'!G48),'Semi Rev'!G48&gt;0),'Semi Rev'!H48/'Semi Rev'!G48-1,""),"")</f>
        <v/>
      </c>
      <c r="E333" s="37">
        <f>IFERROR(IF(AND(ISNUMBER('Semi Rev'!I48),ISNUMBER('Semi Rev'!H48),'Semi Rev'!H48&gt;0),'Semi Rev'!I48/'Semi Rev'!H48-1,""),"")</f>
        <v/>
      </c>
      <c r="F333" s="37">
        <f>IFERROR(IF(AND(ISNUMBER('Semi Rev'!J48),ISNUMBER('Semi Rev'!I48),'Semi Rev'!I48&gt;0),'Semi Rev'!J48/'Semi Rev'!I48-1,""),"")</f>
        <v/>
      </c>
      <c r="G333" s="37">
        <f>IFERROR(IF(AND(ISNUMBER('Semi Rev'!K48),ISNUMBER('Semi Rev'!J48),'Semi Rev'!J48&gt;0),'Semi Rev'!K48/'Semi Rev'!J48-1,""),"")</f>
        <v/>
      </c>
      <c r="H333" s="37">
        <f>IFERROR(IF(AND(ISNUMBER('Semi Rev'!L48),ISNUMBER('Semi Rev'!K48),'Semi Rev'!K48&gt;0),'Semi Rev'!L48/'Semi Rev'!K48-1,""),"")</f>
        <v/>
      </c>
      <c r="I333" s="37">
        <f>IFERROR(IF(AND(ISNUMBER('Semi Rev'!M48),ISNUMBER('Semi Rev'!L48),'Semi Rev'!L48&gt;0),'Semi Rev'!M48/'Semi Rev'!L48-1,""),"")</f>
        <v/>
      </c>
      <c r="J333" s="37">
        <f>IFERROR(IF(AND(ISNUMBER('Semi Rev'!N48),ISNUMBER('Semi Rev'!M48),'Semi Rev'!M48&gt;0),'Semi Rev'!N48/'Semi Rev'!M48-1,""),"")</f>
        <v/>
      </c>
      <c r="K333" s="37">
        <f>IFERROR(IF(AND(ISNUMBER('Semi Rev'!O48),ISNUMBER('Semi Rev'!N48),'Semi Rev'!N48&gt;0),'Semi Rev'!O48/'Semi Rev'!N48-1,""),"")</f>
        <v/>
      </c>
      <c r="L333" s="37">
        <f>IFERROR(IF(AND(ISNUMBER('Semi Rev'!P48),ISNUMBER('Semi Rev'!O48),'Semi Rev'!O48&gt;0),'Semi Rev'!P48/'Semi Rev'!O48-1,""),"")</f>
        <v/>
      </c>
      <c r="M333" s="38">
        <f>IFERROR(IF(AND(ISNUMBER('Semi Rev'!Q48),ISNUMBER('Semi Rev'!P48),'Semi Rev'!P48&gt;0),'Semi Rev'!Q48/'Semi Rev'!P48-1,""),"")</f>
        <v/>
      </c>
      <c r="N333" s="38">
        <f>IFERROR(IF(AND(ISNUMBER('Semi Rev'!R48),ISNUMBER('Semi Rev'!Q48),'Semi Rev'!Q48&gt;0),'Semi Rev'!R48/'Semi Rev'!Q48-1,""),"")</f>
        <v/>
      </c>
    </row>
    <row r="334">
      <c r="A334" s="19">
        <f>'Semi Rev'!$A49</f>
        <v/>
      </c>
      <c r="B334" s="19">
        <f>'Semi Rev'!$B49</f>
        <v/>
      </c>
      <c r="C334" s="37">
        <f>IFERROR(IF(AND(ISNUMBER('Semi Rev'!G49),ISNUMBER('Semi Rev'!F49),'Semi Rev'!F49&gt;0),'Semi Rev'!G49/'Semi Rev'!F49-1,""),"")</f>
        <v/>
      </c>
      <c r="D334" s="37">
        <f>IFERROR(IF(AND(ISNUMBER('Semi Rev'!H49),ISNUMBER('Semi Rev'!G49),'Semi Rev'!G49&gt;0),'Semi Rev'!H49/'Semi Rev'!G49-1,""),"")</f>
        <v/>
      </c>
      <c r="E334" s="37">
        <f>IFERROR(IF(AND(ISNUMBER('Semi Rev'!I49),ISNUMBER('Semi Rev'!H49),'Semi Rev'!H49&gt;0),'Semi Rev'!I49/'Semi Rev'!H49-1,""),"")</f>
        <v/>
      </c>
      <c r="F334" s="37">
        <f>IFERROR(IF(AND(ISNUMBER('Semi Rev'!J49),ISNUMBER('Semi Rev'!I49),'Semi Rev'!I49&gt;0),'Semi Rev'!J49/'Semi Rev'!I49-1,""),"")</f>
        <v/>
      </c>
      <c r="G334" s="37">
        <f>IFERROR(IF(AND(ISNUMBER('Semi Rev'!K49),ISNUMBER('Semi Rev'!J49),'Semi Rev'!J49&gt;0),'Semi Rev'!K49/'Semi Rev'!J49-1,""),"")</f>
        <v/>
      </c>
      <c r="H334" s="37">
        <f>IFERROR(IF(AND(ISNUMBER('Semi Rev'!L49),ISNUMBER('Semi Rev'!K49),'Semi Rev'!K49&gt;0),'Semi Rev'!L49/'Semi Rev'!K49-1,""),"")</f>
        <v/>
      </c>
      <c r="I334" s="37">
        <f>IFERROR(IF(AND(ISNUMBER('Semi Rev'!M49),ISNUMBER('Semi Rev'!L49),'Semi Rev'!L49&gt;0),'Semi Rev'!M49/'Semi Rev'!L49-1,""),"")</f>
        <v/>
      </c>
      <c r="J334" s="37">
        <f>IFERROR(IF(AND(ISNUMBER('Semi Rev'!N49),ISNUMBER('Semi Rev'!M49),'Semi Rev'!M49&gt;0),'Semi Rev'!N49/'Semi Rev'!M49-1,""),"")</f>
        <v/>
      </c>
      <c r="K334" s="37">
        <f>IFERROR(IF(AND(ISNUMBER('Semi Rev'!O49),ISNUMBER('Semi Rev'!N49),'Semi Rev'!N49&gt;0),'Semi Rev'!O49/'Semi Rev'!N49-1,""),"")</f>
        <v/>
      </c>
      <c r="L334" s="37">
        <f>IFERROR(IF(AND(ISNUMBER('Semi Rev'!P49),ISNUMBER('Semi Rev'!O49),'Semi Rev'!O49&gt;0),'Semi Rev'!P49/'Semi Rev'!O49-1,""),"")</f>
        <v/>
      </c>
      <c r="M334" s="38">
        <f>IFERROR(IF(AND(ISNUMBER('Semi Rev'!Q49),ISNUMBER('Semi Rev'!P49),'Semi Rev'!P49&gt;0),'Semi Rev'!Q49/'Semi Rev'!P49-1,""),"")</f>
        <v/>
      </c>
      <c r="N334" s="38">
        <f>IFERROR(IF(AND(ISNUMBER('Semi Rev'!R49),ISNUMBER('Semi Rev'!Q49),'Semi Rev'!Q49&gt;0),'Semi Rev'!R49/'Semi Rev'!Q49-1,""),"")</f>
        <v/>
      </c>
    </row>
    <row r="335">
      <c r="A335" s="19">
        <f>'Semi Rev'!$A50</f>
        <v/>
      </c>
      <c r="B335" s="19">
        <f>'Semi Rev'!$B50</f>
        <v/>
      </c>
      <c r="C335" s="37">
        <f>IFERROR(IF(AND(ISNUMBER('Semi Rev'!G50),ISNUMBER('Semi Rev'!F50),'Semi Rev'!F50&gt;0),'Semi Rev'!G50/'Semi Rev'!F50-1,""),"")</f>
        <v/>
      </c>
      <c r="D335" s="37">
        <f>IFERROR(IF(AND(ISNUMBER('Semi Rev'!H50),ISNUMBER('Semi Rev'!G50),'Semi Rev'!G50&gt;0),'Semi Rev'!H50/'Semi Rev'!G50-1,""),"")</f>
        <v/>
      </c>
      <c r="E335" s="37">
        <f>IFERROR(IF(AND(ISNUMBER('Semi Rev'!I50),ISNUMBER('Semi Rev'!H50),'Semi Rev'!H50&gt;0),'Semi Rev'!I50/'Semi Rev'!H50-1,""),"")</f>
        <v/>
      </c>
      <c r="F335" s="37">
        <f>IFERROR(IF(AND(ISNUMBER('Semi Rev'!J50),ISNUMBER('Semi Rev'!I50),'Semi Rev'!I50&gt;0),'Semi Rev'!J50/'Semi Rev'!I50-1,""),"")</f>
        <v/>
      </c>
      <c r="G335" s="37">
        <f>IFERROR(IF(AND(ISNUMBER('Semi Rev'!K50),ISNUMBER('Semi Rev'!J50),'Semi Rev'!J50&gt;0),'Semi Rev'!K50/'Semi Rev'!J50-1,""),"")</f>
        <v/>
      </c>
      <c r="H335" s="37">
        <f>IFERROR(IF(AND(ISNUMBER('Semi Rev'!L50),ISNUMBER('Semi Rev'!K50),'Semi Rev'!K50&gt;0),'Semi Rev'!L50/'Semi Rev'!K50-1,""),"")</f>
        <v/>
      </c>
      <c r="I335" s="37">
        <f>IFERROR(IF(AND(ISNUMBER('Semi Rev'!M50),ISNUMBER('Semi Rev'!L50),'Semi Rev'!L50&gt;0),'Semi Rev'!M50/'Semi Rev'!L50-1,""),"")</f>
        <v/>
      </c>
      <c r="J335" s="37">
        <f>IFERROR(IF(AND(ISNUMBER('Semi Rev'!N50),ISNUMBER('Semi Rev'!M50),'Semi Rev'!M50&gt;0),'Semi Rev'!N50/'Semi Rev'!M50-1,""),"")</f>
        <v/>
      </c>
      <c r="K335" s="37">
        <f>IFERROR(IF(AND(ISNUMBER('Semi Rev'!O50),ISNUMBER('Semi Rev'!N50),'Semi Rev'!N50&gt;0),'Semi Rev'!O50/'Semi Rev'!N50-1,""),"")</f>
        <v/>
      </c>
      <c r="L335" s="37">
        <f>IFERROR(IF(AND(ISNUMBER('Semi Rev'!P50),ISNUMBER('Semi Rev'!O50),'Semi Rev'!O50&gt;0),'Semi Rev'!P50/'Semi Rev'!O50-1,""),"")</f>
        <v/>
      </c>
      <c r="M335" s="38">
        <f>IFERROR(IF(AND(ISNUMBER('Semi Rev'!Q50),ISNUMBER('Semi Rev'!P50),'Semi Rev'!P50&gt;0),'Semi Rev'!Q50/'Semi Rev'!P50-1,""),"")</f>
        <v/>
      </c>
      <c r="N335" s="38">
        <f>IFERROR(IF(AND(ISNUMBER('Semi Rev'!R50),ISNUMBER('Semi Rev'!Q50),'Semi Rev'!Q50&gt;0),'Semi Rev'!R50/'Semi Rev'!Q50-1,""),"")</f>
        <v/>
      </c>
    </row>
    <row r="336">
      <c r="A336" s="19">
        <f>'Semi Rev'!$A51</f>
        <v/>
      </c>
      <c r="B336" s="19">
        <f>'Semi Rev'!$B51</f>
        <v/>
      </c>
      <c r="C336" s="37">
        <f>IFERROR(IF(AND(ISNUMBER('Semi Rev'!G51),ISNUMBER('Semi Rev'!F51),'Semi Rev'!F51&gt;0),'Semi Rev'!G51/'Semi Rev'!F51-1,""),"")</f>
        <v/>
      </c>
      <c r="D336" s="37">
        <f>IFERROR(IF(AND(ISNUMBER('Semi Rev'!H51),ISNUMBER('Semi Rev'!G51),'Semi Rev'!G51&gt;0),'Semi Rev'!H51/'Semi Rev'!G51-1,""),"")</f>
        <v/>
      </c>
      <c r="E336" s="37">
        <f>IFERROR(IF(AND(ISNUMBER('Semi Rev'!I51),ISNUMBER('Semi Rev'!H51),'Semi Rev'!H51&gt;0),'Semi Rev'!I51/'Semi Rev'!H51-1,""),"")</f>
        <v/>
      </c>
      <c r="F336" s="37">
        <f>IFERROR(IF(AND(ISNUMBER('Semi Rev'!J51),ISNUMBER('Semi Rev'!I51),'Semi Rev'!I51&gt;0),'Semi Rev'!J51/'Semi Rev'!I51-1,""),"")</f>
        <v/>
      </c>
      <c r="G336" s="37">
        <f>IFERROR(IF(AND(ISNUMBER('Semi Rev'!K51),ISNUMBER('Semi Rev'!J51),'Semi Rev'!J51&gt;0),'Semi Rev'!K51/'Semi Rev'!J51-1,""),"")</f>
        <v/>
      </c>
      <c r="H336" s="37">
        <f>IFERROR(IF(AND(ISNUMBER('Semi Rev'!L51),ISNUMBER('Semi Rev'!K51),'Semi Rev'!K51&gt;0),'Semi Rev'!L51/'Semi Rev'!K51-1,""),"")</f>
        <v/>
      </c>
      <c r="I336" s="37">
        <f>IFERROR(IF(AND(ISNUMBER('Semi Rev'!M51),ISNUMBER('Semi Rev'!L51),'Semi Rev'!L51&gt;0),'Semi Rev'!M51/'Semi Rev'!L51-1,""),"")</f>
        <v/>
      </c>
      <c r="J336" s="37">
        <f>IFERROR(IF(AND(ISNUMBER('Semi Rev'!N51),ISNUMBER('Semi Rev'!M51),'Semi Rev'!M51&gt;0),'Semi Rev'!N51/'Semi Rev'!M51-1,""),"")</f>
        <v/>
      </c>
      <c r="K336" s="37">
        <f>IFERROR(IF(AND(ISNUMBER('Semi Rev'!O51),ISNUMBER('Semi Rev'!N51),'Semi Rev'!N51&gt;0),'Semi Rev'!O51/'Semi Rev'!N51-1,""),"")</f>
        <v/>
      </c>
      <c r="L336" s="37">
        <f>IFERROR(IF(AND(ISNUMBER('Semi Rev'!P51),ISNUMBER('Semi Rev'!O51),'Semi Rev'!O51&gt;0),'Semi Rev'!P51/'Semi Rev'!O51-1,""),"")</f>
        <v/>
      </c>
      <c r="M336" s="38">
        <f>IFERROR(IF(AND(ISNUMBER('Semi Rev'!Q51),ISNUMBER('Semi Rev'!P51),'Semi Rev'!P51&gt;0),'Semi Rev'!Q51/'Semi Rev'!P51-1,""),"")</f>
        <v/>
      </c>
      <c r="N336" s="38">
        <f>IFERROR(IF(AND(ISNUMBER('Semi Rev'!R51),ISNUMBER('Semi Rev'!Q51),'Semi Rev'!Q51&gt;0),'Semi Rev'!R51/'Semi Rev'!Q51-1,""),"")</f>
        <v/>
      </c>
    </row>
    <row r="337">
      <c r="A337" s="19">
        <f>'Semi Rev'!$A52</f>
        <v/>
      </c>
      <c r="B337" s="19">
        <f>'Semi Rev'!$B52</f>
        <v/>
      </c>
      <c r="C337" s="37">
        <f>IFERROR(IF(AND(ISNUMBER('Semi Rev'!G52),ISNUMBER('Semi Rev'!F52),'Semi Rev'!F52&gt;0),'Semi Rev'!G52/'Semi Rev'!F52-1,""),"")</f>
        <v/>
      </c>
      <c r="D337" s="37">
        <f>IFERROR(IF(AND(ISNUMBER('Semi Rev'!H52),ISNUMBER('Semi Rev'!G52),'Semi Rev'!G52&gt;0),'Semi Rev'!H52/'Semi Rev'!G52-1,""),"")</f>
        <v/>
      </c>
      <c r="E337" s="37">
        <f>IFERROR(IF(AND(ISNUMBER('Semi Rev'!I52),ISNUMBER('Semi Rev'!H52),'Semi Rev'!H52&gt;0),'Semi Rev'!I52/'Semi Rev'!H52-1,""),"")</f>
        <v/>
      </c>
      <c r="F337" s="37">
        <f>IFERROR(IF(AND(ISNUMBER('Semi Rev'!J52),ISNUMBER('Semi Rev'!I52),'Semi Rev'!I52&gt;0),'Semi Rev'!J52/'Semi Rev'!I52-1,""),"")</f>
        <v/>
      </c>
      <c r="G337" s="37">
        <f>IFERROR(IF(AND(ISNUMBER('Semi Rev'!K52),ISNUMBER('Semi Rev'!J52),'Semi Rev'!J52&gt;0),'Semi Rev'!K52/'Semi Rev'!J52-1,""),"")</f>
        <v/>
      </c>
      <c r="H337" s="37">
        <f>IFERROR(IF(AND(ISNUMBER('Semi Rev'!L52),ISNUMBER('Semi Rev'!K52),'Semi Rev'!K52&gt;0),'Semi Rev'!L52/'Semi Rev'!K52-1,""),"")</f>
        <v/>
      </c>
      <c r="I337" s="37">
        <f>IFERROR(IF(AND(ISNUMBER('Semi Rev'!M52),ISNUMBER('Semi Rev'!L52),'Semi Rev'!L52&gt;0),'Semi Rev'!M52/'Semi Rev'!L52-1,""),"")</f>
        <v/>
      </c>
      <c r="J337" s="37">
        <f>IFERROR(IF(AND(ISNUMBER('Semi Rev'!N52),ISNUMBER('Semi Rev'!M52),'Semi Rev'!M52&gt;0),'Semi Rev'!N52/'Semi Rev'!M52-1,""),"")</f>
        <v/>
      </c>
      <c r="K337" s="37">
        <f>IFERROR(IF(AND(ISNUMBER('Semi Rev'!O52),ISNUMBER('Semi Rev'!N52),'Semi Rev'!N52&gt;0),'Semi Rev'!O52/'Semi Rev'!N52-1,""),"")</f>
        <v/>
      </c>
      <c r="L337" s="37">
        <f>IFERROR(IF(AND(ISNUMBER('Semi Rev'!P52),ISNUMBER('Semi Rev'!O52),'Semi Rev'!O52&gt;0),'Semi Rev'!P52/'Semi Rev'!O52-1,""),"")</f>
        <v/>
      </c>
      <c r="M337" s="38">
        <f>IFERROR(IF(AND(ISNUMBER('Semi Rev'!Q52),ISNUMBER('Semi Rev'!P52),'Semi Rev'!P52&gt;0),'Semi Rev'!Q52/'Semi Rev'!P52-1,""),"")</f>
        <v/>
      </c>
      <c r="N337" s="38">
        <f>IFERROR(IF(AND(ISNUMBER('Semi Rev'!R52),ISNUMBER('Semi Rev'!Q52),'Semi Rev'!Q52&gt;0),'Semi Rev'!R52/'Semi Rev'!Q52-1,""),"")</f>
        <v/>
      </c>
    </row>
    <row r="338">
      <c r="A338" s="19">
        <f>'Semi Rev'!$A53</f>
        <v/>
      </c>
      <c r="B338" s="19">
        <f>'Semi Rev'!$B53</f>
        <v/>
      </c>
      <c r="C338" s="37">
        <f>IFERROR(IF(AND(ISNUMBER('Semi Rev'!G53),ISNUMBER('Semi Rev'!F53),'Semi Rev'!F53&gt;0),'Semi Rev'!G53/'Semi Rev'!F53-1,""),"")</f>
        <v/>
      </c>
      <c r="D338" s="37">
        <f>IFERROR(IF(AND(ISNUMBER('Semi Rev'!H53),ISNUMBER('Semi Rev'!G53),'Semi Rev'!G53&gt;0),'Semi Rev'!H53/'Semi Rev'!G53-1,""),"")</f>
        <v/>
      </c>
      <c r="E338" s="37">
        <f>IFERROR(IF(AND(ISNUMBER('Semi Rev'!I53),ISNUMBER('Semi Rev'!H53),'Semi Rev'!H53&gt;0),'Semi Rev'!I53/'Semi Rev'!H53-1,""),"")</f>
        <v/>
      </c>
      <c r="F338" s="37">
        <f>IFERROR(IF(AND(ISNUMBER('Semi Rev'!J53),ISNUMBER('Semi Rev'!I53),'Semi Rev'!I53&gt;0),'Semi Rev'!J53/'Semi Rev'!I53-1,""),"")</f>
        <v/>
      </c>
      <c r="G338" s="37">
        <f>IFERROR(IF(AND(ISNUMBER('Semi Rev'!K53),ISNUMBER('Semi Rev'!J53),'Semi Rev'!J53&gt;0),'Semi Rev'!K53/'Semi Rev'!J53-1,""),"")</f>
        <v/>
      </c>
      <c r="H338" s="37">
        <f>IFERROR(IF(AND(ISNUMBER('Semi Rev'!L53),ISNUMBER('Semi Rev'!K53),'Semi Rev'!K53&gt;0),'Semi Rev'!L53/'Semi Rev'!K53-1,""),"")</f>
        <v/>
      </c>
      <c r="I338" s="37">
        <f>IFERROR(IF(AND(ISNUMBER('Semi Rev'!M53),ISNUMBER('Semi Rev'!L53),'Semi Rev'!L53&gt;0),'Semi Rev'!M53/'Semi Rev'!L53-1,""),"")</f>
        <v/>
      </c>
      <c r="J338" s="37">
        <f>IFERROR(IF(AND(ISNUMBER('Semi Rev'!N53),ISNUMBER('Semi Rev'!M53),'Semi Rev'!M53&gt;0),'Semi Rev'!N53/'Semi Rev'!M53-1,""),"")</f>
        <v/>
      </c>
      <c r="K338" s="37">
        <f>IFERROR(IF(AND(ISNUMBER('Semi Rev'!O53),ISNUMBER('Semi Rev'!N53),'Semi Rev'!N53&gt;0),'Semi Rev'!O53/'Semi Rev'!N53-1,""),"")</f>
        <v/>
      </c>
      <c r="L338" s="37">
        <f>IFERROR(IF(AND(ISNUMBER('Semi Rev'!P53),ISNUMBER('Semi Rev'!O53),'Semi Rev'!O53&gt;0),'Semi Rev'!P53/'Semi Rev'!O53-1,""),"")</f>
        <v/>
      </c>
      <c r="M338" s="38">
        <f>IFERROR(IF(AND(ISNUMBER('Semi Rev'!Q53),ISNUMBER('Semi Rev'!P53),'Semi Rev'!P53&gt;0),'Semi Rev'!Q53/'Semi Rev'!P53-1,""),"")</f>
        <v/>
      </c>
      <c r="N338" s="38">
        <f>IFERROR(IF(AND(ISNUMBER('Semi Rev'!R53),ISNUMBER('Semi Rev'!Q53),'Semi Rev'!Q53&gt;0),'Semi Rev'!R53/'Semi Rev'!Q53-1,""),"")</f>
        <v/>
      </c>
    </row>
    <row r="339">
      <c r="A339" s="19">
        <f>'Semi Rev'!$A54</f>
        <v/>
      </c>
      <c r="B339" s="19">
        <f>'Semi Rev'!$B54</f>
        <v/>
      </c>
      <c r="C339" s="37">
        <f>IFERROR(IF(AND(ISNUMBER('Semi Rev'!G54),ISNUMBER('Semi Rev'!F54),'Semi Rev'!F54&gt;0),'Semi Rev'!G54/'Semi Rev'!F54-1,""),"")</f>
        <v/>
      </c>
      <c r="D339" s="37">
        <f>IFERROR(IF(AND(ISNUMBER('Semi Rev'!H54),ISNUMBER('Semi Rev'!G54),'Semi Rev'!G54&gt;0),'Semi Rev'!H54/'Semi Rev'!G54-1,""),"")</f>
        <v/>
      </c>
      <c r="E339" s="37">
        <f>IFERROR(IF(AND(ISNUMBER('Semi Rev'!I54),ISNUMBER('Semi Rev'!H54),'Semi Rev'!H54&gt;0),'Semi Rev'!I54/'Semi Rev'!H54-1,""),"")</f>
        <v/>
      </c>
      <c r="F339" s="37">
        <f>IFERROR(IF(AND(ISNUMBER('Semi Rev'!J54),ISNUMBER('Semi Rev'!I54),'Semi Rev'!I54&gt;0),'Semi Rev'!J54/'Semi Rev'!I54-1,""),"")</f>
        <v/>
      </c>
      <c r="G339" s="37">
        <f>IFERROR(IF(AND(ISNUMBER('Semi Rev'!K54),ISNUMBER('Semi Rev'!J54),'Semi Rev'!J54&gt;0),'Semi Rev'!K54/'Semi Rev'!J54-1,""),"")</f>
        <v/>
      </c>
      <c r="H339" s="37">
        <f>IFERROR(IF(AND(ISNUMBER('Semi Rev'!L54),ISNUMBER('Semi Rev'!K54),'Semi Rev'!K54&gt;0),'Semi Rev'!L54/'Semi Rev'!K54-1,""),"")</f>
        <v/>
      </c>
      <c r="I339" s="37">
        <f>IFERROR(IF(AND(ISNUMBER('Semi Rev'!M54),ISNUMBER('Semi Rev'!L54),'Semi Rev'!L54&gt;0),'Semi Rev'!M54/'Semi Rev'!L54-1,""),"")</f>
        <v/>
      </c>
      <c r="J339" s="37">
        <f>IFERROR(IF(AND(ISNUMBER('Semi Rev'!N54),ISNUMBER('Semi Rev'!M54),'Semi Rev'!M54&gt;0),'Semi Rev'!N54/'Semi Rev'!M54-1,""),"")</f>
        <v/>
      </c>
      <c r="K339" s="37">
        <f>IFERROR(IF(AND(ISNUMBER('Semi Rev'!O54),ISNUMBER('Semi Rev'!N54),'Semi Rev'!N54&gt;0),'Semi Rev'!O54/'Semi Rev'!N54-1,""),"")</f>
        <v/>
      </c>
      <c r="L339" s="37">
        <f>IFERROR(IF(AND(ISNUMBER('Semi Rev'!P54),ISNUMBER('Semi Rev'!O54),'Semi Rev'!O54&gt;0),'Semi Rev'!P54/'Semi Rev'!O54-1,""),"")</f>
        <v/>
      </c>
      <c r="M339" s="38">
        <f>IFERROR(IF(AND(ISNUMBER('Semi Rev'!Q54),ISNUMBER('Semi Rev'!P54),'Semi Rev'!P54&gt;0),'Semi Rev'!Q54/'Semi Rev'!P54-1,""),"")</f>
        <v/>
      </c>
      <c r="N339" s="38">
        <f>IFERROR(IF(AND(ISNUMBER('Semi Rev'!R54),ISNUMBER('Semi Rev'!Q54),'Semi Rev'!Q54&gt;0),'Semi Rev'!R54/'Semi Rev'!Q54-1,""),"")</f>
        <v/>
      </c>
    </row>
    <row r="340">
      <c r="A340" s="19">
        <f>'Semi Rev'!$A55</f>
        <v/>
      </c>
      <c r="B340" s="19">
        <f>'Semi Rev'!$B55</f>
        <v/>
      </c>
      <c r="C340" s="37">
        <f>IFERROR(IF(AND(ISNUMBER('Semi Rev'!G55),ISNUMBER('Semi Rev'!F55),'Semi Rev'!F55&gt;0),'Semi Rev'!G55/'Semi Rev'!F55-1,""),"")</f>
        <v/>
      </c>
      <c r="D340" s="37">
        <f>IFERROR(IF(AND(ISNUMBER('Semi Rev'!H55),ISNUMBER('Semi Rev'!G55),'Semi Rev'!G55&gt;0),'Semi Rev'!H55/'Semi Rev'!G55-1,""),"")</f>
        <v/>
      </c>
      <c r="E340" s="37">
        <f>IFERROR(IF(AND(ISNUMBER('Semi Rev'!I55),ISNUMBER('Semi Rev'!H55),'Semi Rev'!H55&gt;0),'Semi Rev'!I55/'Semi Rev'!H55-1,""),"")</f>
        <v/>
      </c>
      <c r="F340" s="37">
        <f>IFERROR(IF(AND(ISNUMBER('Semi Rev'!J55),ISNUMBER('Semi Rev'!I55),'Semi Rev'!I55&gt;0),'Semi Rev'!J55/'Semi Rev'!I55-1,""),"")</f>
        <v/>
      </c>
      <c r="G340" s="37">
        <f>IFERROR(IF(AND(ISNUMBER('Semi Rev'!K55),ISNUMBER('Semi Rev'!J55),'Semi Rev'!J55&gt;0),'Semi Rev'!K55/'Semi Rev'!J55-1,""),"")</f>
        <v/>
      </c>
      <c r="H340" s="37">
        <f>IFERROR(IF(AND(ISNUMBER('Semi Rev'!L55),ISNUMBER('Semi Rev'!K55),'Semi Rev'!K55&gt;0),'Semi Rev'!L55/'Semi Rev'!K55-1,""),"")</f>
        <v/>
      </c>
      <c r="I340" s="37">
        <f>IFERROR(IF(AND(ISNUMBER('Semi Rev'!M55),ISNUMBER('Semi Rev'!L55),'Semi Rev'!L55&gt;0),'Semi Rev'!M55/'Semi Rev'!L55-1,""),"")</f>
        <v/>
      </c>
      <c r="J340" s="37">
        <f>IFERROR(IF(AND(ISNUMBER('Semi Rev'!N55),ISNUMBER('Semi Rev'!M55),'Semi Rev'!M55&gt;0),'Semi Rev'!N55/'Semi Rev'!M55-1,""),"")</f>
        <v/>
      </c>
      <c r="K340" s="37">
        <f>IFERROR(IF(AND(ISNUMBER('Semi Rev'!O55),ISNUMBER('Semi Rev'!N55),'Semi Rev'!N55&gt;0),'Semi Rev'!O55/'Semi Rev'!N55-1,""),"")</f>
        <v/>
      </c>
      <c r="L340" s="37">
        <f>IFERROR(IF(AND(ISNUMBER('Semi Rev'!P55),ISNUMBER('Semi Rev'!O55),'Semi Rev'!O55&gt;0),'Semi Rev'!P55/'Semi Rev'!O55-1,""),"")</f>
        <v/>
      </c>
      <c r="M340" s="38">
        <f>IFERROR(IF(AND(ISNUMBER('Semi Rev'!Q55),ISNUMBER('Semi Rev'!P55),'Semi Rev'!P55&gt;0),'Semi Rev'!Q55/'Semi Rev'!P55-1,""),"")</f>
        <v/>
      </c>
      <c r="N340" s="38">
        <f>IFERROR(IF(AND(ISNUMBER('Semi Rev'!R55),ISNUMBER('Semi Rev'!Q55),'Semi Rev'!Q55&gt;0),'Semi Rev'!R55/'Semi Rev'!Q55-1,""),"")</f>
        <v/>
      </c>
    </row>
    <row r="341">
      <c r="A341" s="19">
        <f>'Semi Rev'!$A56</f>
        <v/>
      </c>
      <c r="B341" s="19">
        <f>'Semi Rev'!$B56</f>
        <v/>
      </c>
      <c r="C341" s="37">
        <f>IFERROR(IF(AND(ISNUMBER('Semi Rev'!G56),ISNUMBER('Semi Rev'!F56),'Semi Rev'!F56&gt;0),'Semi Rev'!G56/'Semi Rev'!F56-1,""),"")</f>
        <v/>
      </c>
      <c r="D341" s="37">
        <f>IFERROR(IF(AND(ISNUMBER('Semi Rev'!H56),ISNUMBER('Semi Rev'!G56),'Semi Rev'!G56&gt;0),'Semi Rev'!H56/'Semi Rev'!G56-1,""),"")</f>
        <v/>
      </c>
      <c r="E341" s="37">
        <f>IFERROR(IF(AND(ISNUMBER('Semi Rev'!I56),ISNUMBER('Semi Rev'!H56),'Semi Rev'!H56&gt;0),'Semi Rev'!I56/'Semi Rev'!H56-1,""),"")</f>
        <v/>
      </c>
      <c r="F341" s="37">
        <f>IFERROR(IF(AND(ISNUMBER('Semi Rev'!J56),ISNUMBER('Semi Rev'!I56),'Semi Rev'!I56&gt;0),'Semi Rev'!J56/'Semi Rev'!I56-1,""),"")</f>
        <v/>
      </c>
      <c r="G341" s="37">
        <f>IFERROR(IF(AND(ISNUMBER('Semi Rev'!K56),ISNUMBER('Semi Rev'!J56),'Semi Rev'!J56&gt;0),'Semi Rev'!K56/'Semi Rev'!J56-1,""),"")</f>
        <v/>
      </c>
      <c r="H341" s="37">
        <f>IFERROR(IF(AND(ISNUMBER('Semi Rev'!L56),ISNUMBER('Semi Rev'!K56),'Semi Rev'!K56&gt;0),'Semi Rev'!L56/'Semi Rev'!K56-1,""),"")</f>
        <v/>
      </c>
      <c r="I341" s="37">
        <f>IFERROR(IF(AND(ISNUMBER('Semi Rev'!M56),ISNUMBER('Semi Rev'!L56),'Semi Rev'!L56&gt;0),'Semi Rev'!M56/'Semi Rev'!L56-1,""),"")</f>
        <v/>
      </c>
      <c r="J341" s="37">
        <f>IFERROR(IF(AND(ISNUMBER('Semi Rev'!N56),ISNUMBER('Semi Rev'!M56),'Semi Rev'!M56&gt;0),'Semi Rev'!N56/'Semi Rev'!M56-1,""),"")</f>
        <v/>
      </c>
      <c r="K341" s="37">
        <f>IFERROR(IF(AND(ISNUMBER('Semi Rev'!O56),ISNUMBER('Semi Rev'!N56),'Semi Rev'!N56&gt;0),'Semi Rev'!O56/'Semi Rev'!N56-1,""),"")</f>
        <v/>
      </c>
      <c r="L341" s="37">
        <f>IFERROR(IF(AND(ISNUMBER('Semi Rev'!P56),ISNUMBER('Semi Rev'!O56),'Semi Rev'!O56&gt;0),'Semi Rev'!P56/'Semi Rev'!O56-1,""),"")</f>
        <v/>
      </c>
      <c r="M341" s="38">
        <f>IFERROR(IF(AND(ISNUMBER('Semi Rev'!Q56),ISNUMBER('Semi Rev'!P56),'Semi Rev'!P56&gt;0),'Semi Rev'!Q56/'Semi Rev'!P56-1,""),"")</f>
        <v/>
      </c>
      <c r="N341" s="38">
        <f>IFERROR(IF(AND(ISNUMBER('Semi Rev'!R56),ISNUMBER('Semi Rev'!Q56),'Semi Rev'!Q56&gt;0),'Semi Rev'!R56/'Semi Rev'!Q56-1,""),"")</f>
        <v/>
      </c>
    </row>
    <row r="342">
      <c r="A342" s="19">
        <f>'Semi Rev'!$A57</f>
        <v/>
      </c>
      <c r="B342" s="19">
        <f>'Semi Rev'!$B57</f>
        <v/>
      </c>
      <c r="C342" s="37">
        <f>IFERROR(IF(AND(ISNUMBER('Semi Rev'!G57),ISNUMBER('Semi Rev'!F57),'Semi Rev'!F57&gt;0),'Semi Rev'!G57/'Semi Rev'!F57-1,""),"")</f>
        <v/>
      </c>
      <c r="D342" s="37">
        <f>IFERROR(IF(AND(ISNUMBER('Semi Rev'!H57),ISNUMBER('Semi Rev'!G57),'Semi Rev'!G57&gt;0),'Semi Rev'!H57/'Semi Rev'!G57-1,""),"")</f>
        <v/>
      </c>
      <c r="E342" s="37">
        <f>IFERROR(IF(AND(ISNUMBER('Semi Rev'!I57),ISNUMBER('Semi Rev'!H57),'Semi Rev'!H57&gt;0),'Semi Rev'!I57/'Semi Rev'!H57-1,""),"")</f>
        <v/>
      </c>
      <c r="F342" s="37">
        <f>IFERROR(IF(AND(ISNUMBER('Semi Rev'!J57),ISNUMBER('Semi Rev'!I57),'Semi Rev'!I57&gt;0),'Semi Rev'!J57/'Semi Rev'!I57-1,""),"")</f>
        <v/>
      </c>
      <c r="G342" s="37">
        <f>IFERROR(IF(AND(ISNUMBER('Semi Rev'!K57),ISNUMBER('Semi Rev'!J57),'Semi Rev'!J57&gt;0),'Semi Rev'!K57/'Semi Rev'!J57-1,""),"")</f>
        <v/>
      </c>
      <c r="H342" s="37">
        <f>IFERROR(IF(AND(ISNUMBER('Semi Rev'!L57),ISNUMBER('Semi Rev'!K57),'Semi Rev'!K57&gt;0),'Semi Rev'!L57/'Semi Rev'!K57-1,""),"")</f>
        <v/>
      </c>
      <c r="I342" s="37">
        <f>IFERROR(IF(AND(ISNUMBER('Semi Rev'!M57),ISNUMBER('Semi Rev'!L57),'Semi Rev'!L57&gt;0),'Semi Rev'!M57/'Semi Rev'!L57-1,""),"")</f>
        <v/>
      </c>
      <c r="J342" s="37">
        <f>IFERROR(IF(AND(ISNUMBER('Semi Rev'!N57),ISNUMBER('Semi Rev'!M57),'Semi Rev'!M57&gt;0),'Semi Rev'!N57/'Semi Rev'!M57-1,""),"")</f>
        <v/>
      </c>
      <c r="K342" s="37">
        <f>IFERROR(IF(AND(ISNUMBER('Semi Rev'!O57),ISNUMBER('Semi Rev'!N57),'Semi Rev'!N57&gt;0),'Semi Rev'!O57/'Semi Rev'!N57-1,""),"")</f>
        <v/>
      </c>
      <c r="L342" s="37">
        <f>IFERROR(IF(AND(ISNUMBER('Semi Rev'!P57),ISNUMBER('Semi Rev'!O57),'Semi Rev'!O57&gt;0),'Semi Rev'!P57/'Semi Rev'!O57-1,""),"")</f>
        <v/>
      </c>
      <c r="M342" s="38">
        <f>IFERROR(IF(AND(ISNUMBER('Semi Rev'!Q57),ISNUMBER('Semi Rev'!P57),'Semi Rev'!P57&gt;0),'Semi Rev'!Q57/'Semi Rev'!P57-1,""),"")</f>
        <v/>
      </c>
      <c r="N342" s="38">
        <f>IFERROR(IF(AND(ISNUMBER('Semi Rev'!R57),ISNUMBER('Semi Rev'!Q57),'Semi Rev'!Q57&gt;0),'Semi Rev'!R57/'Semi Rev'!Q57-1,""),"")</f>
        <v/>
      </c>
    </row>
    <row r="343">
      <c r="A343" s="19">
        <f>'Semi Rev'!$A58</f>
        <v/>
      </c>
      <c r="B343" s="19">
        <f>'Semi Rev'!$B58</f>
        <v/>
      </c>
      <c r="C343" s="37">
        <f>IFERROR(IF(AND(ISNUMBER('Semi Rev'!G58),ISNUMBER('Semi Rev'!F58),'Semi Rev'!F58&gt;0),'Semi Rev'!G58/'Semi Rev'!F58-1,""),"")</f>
        <v/>
      </c>
      <c r="D343" s="37">
        <f>IFERROR(IF(AND(ISNUMBER('Semi Rev'!H58),ISNUMBER('Semi Rev'!G58),'Semi Rev'!G58&gt;0),'Semi Rev'!H58/'Semi Rev'!G58-1,""),"")</f>
        <v/>
      </c>
      <c r="E343" s="37">
        <f>IFERROR(IF(AND(ISNUMBER('Semi Rev'!I58),ISNUMBER('Semi Rev'!H58),'Semi Rev'!H58&gt;0),'Semi Rev'!I58/'Semi Rev'!H58-1,""),"")</f>
        <v/>
      </c>
      <c r="F343" s="37">
        <f>IFERROR(IF(AND(ISNUMBER('Semi Rev'!J58),ISNUMBER('Semi Rev'!I58),'Semi Rev'!I58&gt;0),'Semi Rev'!J58/'Semi Rev'!I58-1,""),"")</f>
        <v/>
      </c>
      <c r="G343" s="37">
        <f>IFERROR(IF(AND(ISNUMBER('Semi Rev'!K58),ISNUMBER('Semi Rev'!J58),'Semi Rev'!J58&gt;0),'Semi Rev'!K58/'Semi Rev'!J58-1,""),"")</f>
        <v/>
      </c>
      <c r="H343" s="37">
        <f>IFERROR(IF(AND(ISNUMBER('Semi Rev'!L58),ISNUMBER('Semi Rev'!K58),'Semi Rev'!K58&gt;0),'Semi Rev'!L58/'Semi Rev'!K58-1,""),"")</f>
        <v/>
      </c>
      <c r="I343" s="37">
        <f>IFERROR(IF(AND(ISNUMBER('Semi Rev'!M58),ISNUMBER('Semi Rev'!L58),'Semi Rev'!L58&gt;0),'Semi Rev'!M58/'Semi Rev'!L58-1,""),"")</f>
        <v/>
      </c>
      <c r="J343" s="37">
        <f>IFERROR(IF(AND(ISNUMBER('Semi Rev'!N58),ISNUMBER('Semi Rev'!M58),'Semi Rev'!M58&gt;0),'Semi Rev'!N58/'Semi Rev'!M58-1,""),"")</f>
        <v/>
      </c>
      <c r="K343" s="37">
        <f>IFERROR(IF(AND(ISNUMBER('Semi Rev'!O58),ISNUMBER('Semi Rev'!N58),'Semi Rev'!N58&gt;0),'Semi Rev'!O58/'Semi Rev'!N58-1,""),"")</f>
        <v/>
      </c>
      <c r="L343" s="37">
        <f>IFERROR(IF(AND(ISNUMBER('Semi Rev'!P58),ISNUMBER('Semi Rev'!O58),'Semi Rev'!O58&gt;0),'Semi Rev'!P58/'Semi Rev'!O58-1,""),"")</f>
        <v/>
      </c>
      <c r="M343" s="38">
        <f>IFERROR(IF(AND(ISNUMBER('Semi Rev'!Q58),ISNUMBER('Semi Rev'!P58),'Semi Rev'!P58&gt;0),'Semi Rev'!Q58/'Semi Rev'!P58-1,""),"")</f>
        <v/>
      </c>
      <c r="N343" s="38">
        <f>IFERROR(IF(AND(ISNUMBER('Semi Rev'!R58),ISNUMBER('Semi Rev'!Q58),'Semi Rev'!Q58&gt;0),'Semi Rev'!R58/'Semi Rev'!Q58-1,""),"")</f>
        <v/>
      </c>
    </row>
    <row r="344">
      <c r="A344" s="19">
        <f>'Semi Rev'!$A59</f>
        <v/>
      </c>
      <c r="B344" s="19">
        <f>'Semi Rev'!$B59</f>
        <v/>
      </c>
      <c r="C344" s="37">
        <f>IFERROR(IF(AND(ISNUMBER('Semi Rev'!G59),ISNUMBER('Semi Rev'!F59),'Semi Rev'!F59&gt;0),'Semi Rev'!G59/'Semi Rev'!F59-1,""),"")</f>
        <v/>
      </c>
      <c r="D344" s="37">
        <f>IFERROR(IF(AND(ISNUMBER('Semi Rev'!H59),ISNUMBER('Semi Rev'!G59),'Semi Rev'!G59&gt;0),'Semi Rev'!H59/'Semi Rev'!G59-1,""),"")</f>
        <v/>
      </c>
      <c r="E344" s="37">
        <f>IFERROR(IF(AND(ISNUMBER('Semi Rev'!I59),ISNUMBER('Semi Rev'!H59),'Semi Rev'!H59&gt;0),'Semi Rev'!I59/'Semi Rev'!H59-1,""),"")</f>
        <v/>
      </c>
      <c r="F344" s="37">
        <f>IFERROR(IF(AND(ISNUMBER('Semi Rev'!J59),ISNUMBER('Semi Rev'!I59),'Semi Rev'!I59&gt;0),'Semi Rev'!J59/'Semi Rev'!I59-1,""),"")</f>
        <v/>
      </c>
      <c r="G344" s="37">
        <f>IFERROR(IF(AND(ISNUMBER('Semi Rev'!K59),ISNUMBER('Semi Rev'!J59),'Semi Rev'!J59&gt;0),'Semi Rev'!K59/'Semi Rev'!J59-1,""),"")</f>
        <v/>
      </c>
      <c r="H344" s="37">
        <f>IFERROR(IF(AND(ISNUMBER('Semi Rev'!L59),ISNUMBER('Semi Rev'!K59),'Semi Rev'!K59&gt;0),'Semi Rev'!L59/'Semi Rev'!K59-1,""),"")</f>
        <v/>
      </c>
      <c r="I344" s="37">
        <f>IFERROR(IF(AND(ISNUMBER('Semi Rev'!M59),ISNUMBER('Semi Rev'!L59),'Semi Rev'!L59&gt;0),'Semi Rev'!M59/'Semi Rev'!L59-1,""),"")</f>
        <v/>
      </c>
      <c r="J344" s="37">
        <f>IFERROR(IF(AND(ISNUMBER('Semi Rev'!N59),ISNUMBER('Semi Rev'!M59),'Semi Rev'!M59&gt;0),'Semi Rev'!N59/'Semi Rev'!M59-1,""),"")</f>
        <v/>
      </c>
      <c r="K344" s="37">
        <f>IFERROR(IF(AND(ISNUMBER('Semi Rev'!O59),ISNUMBER('Semi Rev'!N59),'Semi Rev'!N59&gt;0),'Semi Rev'!O59/'Semi Rev'!N59-1,""),"")</f>
        <v/>
      </c>
      <c r="L344" s="37">
        <f>IFERROR(IF(AND(ISNUMBER('Semi Rev'!P59),ISNUMBER('Semi Rev'!O59),'Semi Rev'!O59&gt;0),'Semi Rev'!P59/'Semi Rev'!O59-1,""),"")</f>
        <v/>
      </c>
      <c r="M344" s="38">
        <f>IFERROR(IF(AND(ISNUMBER('Semi Rev'!Q59),ISNUMBER('Semi Rev'!P59),'Semi Rev'!P59&gt;0),'Semi Rev'!Q59/'Semi Rev'!P59-1,""),"")</f>
        <v/>
      </c>
      <c r="N344" s="38">
        <f>IFERROR(IF(AND(ISNUMBER('Semi Rev'!R59),ISNUMBER('Semi Rev'!Q59),'Semi Rev'!Q59&gt;0),'Semi Rev'!R59/'Semi Rev'!Q59-1,""),"")</f>
        <v/>
      </c>
    </row>
    <row r="345">
      <c r="A345" s="19">
        <f>'Semi Rev'!$A60</f>
        <v/>
      </c>
      <c r="B345" s="19">
        <f>'Semi Rev'!$B60</f>
        <v/>
      </c>
      <c r="C345" s="37">
        <f>IFERROR(IF(AND(ISNUMBER('Semi Rev'!G60),ISNUMBER('Semi Rev'!F60),'Semi Rev'!F60&gt;0),'Semi Rev'!G60/'Semi Rev'!F60-1,""),"")</f>
        <v/>
      </c>
      <c r="D345" s="37">
        <f>IFERROR(IF(AND(ISNUMBER('Semi Rev'!H60),ISNUMBER('Semi Rev'!G60),'Semi Rev'!G60&gt;0),'Semi Rev'!H60/'Semi Rev'!G60-1,""),"")</f>
        <v/>
      </c>
      <c r="E345" s="37">
        <f>IFERROR(IF(AND(ISNUMBER('Semi Rev'!I60),ISNUMBER('Semi Rev'!H60),'Semi Rev'!H60&gt;0),'Semi Rev'!I60/'Semi Rev'!H60-1,""),"")</f>
        <v/>
      </c>
      <c r="F345" s="37">
        <f>IFERROR(IF(AND(ISNUMBER('Semi Rev'!J60),ISNUMBER('Semi Rev'!I60),'Semi Rev'!I60&gt;0),'Semi Rev'!J60/'Semi Rev'!I60-1,""),"")</f>
        <v/>
      </c>
      <c r="G345" s="37">
        <f>IFERROR(IF(AND(ISNUMBER('Semi Rev'!K60),ISNUMBER('Semi Rev'!J60),'Semi Rev'!J60&gt;0),'Semi Rev'!K60/'Semi Rev'!J60-1,""),"")</f>
        <v/>
      </c>
      <c r="H345" s="37">
        <f>IFERROR(IF(AND(ISNUMBER('Semi Rev'!L60),ISNUMBER('Semi Rev'!K60),'Semi Rev'!K60&gt;0),'Semi Rev'!L60/'Semi Rev'!K60-1,""),"")</f>
        <v/>
      </c>
      <c r="I345" s="37">
        <f>IFERROR(IF(AND(ISNUMBER('Semi Rev'!M60),ISNUMBER('Semi Rev'!L60),'Semi Rev'!L60&gt;0),'Semi Rev'!M60/'Semi Rev'!L60-1,""),"")</f>
        <v/>
      </c>
      <c r="J345" s="37">
        <f>IFERROR(IF(AND(ISNUMBER('Semi Rev'!N60),ISNUMBER('Semi Rev'!M60),'Semi Rev'!M60&gt;0),'Semi Rev'!N60/'Semi Rev'!M60-1,""),"")</f>
        <v/>
      </c>
      <c r="K345" s="37">
        <f>IFERROR(IF(AND(ISNUMBER('Semi Rev'!O60),ISNUMBER('Semi Rev'!N60),'Semi Rev'!N60&gt;0),'Semi Rev'!O60/'Semi Rev'!N60-1,""),"")</f>
        <v/>
      </c>
      <c r="L345" s="37">
        <f>IFERROR(IF(AND(ISNUMBER('Semi Rev'!P60),ISNUMBER('Semi Rev'!O60),'Semi Rev'!O60&gt;0),'Semi Rev'!P60/'Semi Rev'!O60-1,""),"")</f>
        <v/>
      </c>
      <c r="M345" s="38">
        <f>IFERROR(IF(AND(ISNUMBER('Semi Rev'!Q60),ISNUMBER('Semi Rev'!P60),'Semi Rev'!P60&gt;0),'Semi Rev'!Q60/'Semi Rev'!P60-1,""),"")</f>
        <v/>
      </c>
      <c r="N345" s="38">
        <f>IFERROR(IF(AND(ISNUMBER('Semi Rev'!R60),ISNUMBER('Semi Rev'!Q60),'Semi Rev'!Q60&gt;0),'Semi Rev'!R60/'Semi Rev'!Q60-1,""),"")</f>
        <v/>
      </c>
    </row>
    <row r="346">
      <c r="A346" s="19">
        <f>'Semi Rev'!$A61</f>
        <v/>
      </c>
      <c r="B346" s="19">
        <f>'Semi Rev'!$B61</f>
        <v/>
      </c>
      <c r="C346" s="37">
        <f>IFERROR(IF(AND(ISNUMBER('Semi Rev'!G61),ISNUMBER('Semi Rev'!F61),'Semi Rev'!F61&gt;0),'Semi Rev'!G61/'Semi Rev'!F61-1,""),"")</f>
        <v/>
      </c>
      <c r="D346" s="37">
        <f>IFERROR(IF(AND(ISNUMBER('Semi Rev'!H61),ISNUMBER('Semi Rev'!G61),'Semi Rev'!G61&gt;0),'Semi Rev'!H61/'Semi Rev'!G61-1,""),"")</f>
        <v/>
      </c>
      <c r="E346" s="37">
        <f>IFERROR(IF(AND(ISNUMBER('Semi Rev'!I61),ISNUMBER('Semi Rev'!H61),'Semi Rev'!H61&gt;0),'Semi Rev'!I61/'Semi Rev'!H61-1,""),"")</f>
        <v/>
      </c>
      <c r="F346" s="37">
        <f>IFERROR(IF(AND(ISNUMBER('Semi Rev'!J61),ISNUMBER('Semi Rev'!I61),'Semi Rev'!I61&gt;0),'Semi Rev'!J61/'Semi Rev'!I61-1,""),"")</f>
        <v/>
      </c>
      <c r="G346" s="37">
        <f>IFERROR(IF(AND(ISNUMBER('Semi Rev'!K61),ISNUMBER('Semi Rev'!J61),'Semi Rev'!J61&gt;0),'Semi Rev'!K61/'Semi Rev'!J61-1,""),"")</f>
        <v/>
      </c>
      <c r="H346" s="37">
        <f>IFERROR(IF(AND(ISNUMBER('Semi Rev'!L61),ISNUMBER('Semi Rev'!K61),'Semi Rev'!K61&gt;0),'Semi Rev'!L61/'Semi Rev'!K61-1,""),"")</f>
        <v/>
      </c>
      <c r="I346" s="37">
        <f>IFERROR(IF(AND(ISNUMBER('Semi Rev'!M61),ISNUMBER('Semi Rev'!L61),'Semi Rev'!L61&gt;0),'Semi Rev'!M61/'Semi Rev'!L61-1,""),"")</f>
        <v/>
      </c>
      <c r="J346" s="37">
        <f>IFERROR(IF(AND(ISNUMBER('Semi Rev'!N61),ISNUMBER('Semi Rev'!M61),'Semi Rev'!M61&gt;0),'Semi Rev'!N61/'Semi Rev'!M61-1,""),"")</f>
        <v/>
      </c>
      <c r="K346" s="37">
        <f>IFERROR(IF(AND(ISNUMBER('Semi Rev'!O61),ISNUMBER('Semi Rev'!N61),'Semi Rev'!N61&gt;0),'Semi Rev'!O61/'Semi Rev'!N61-1,""),"")</f>
        <v/>
      </c>
      <c r="L346" s="37">
        <f>IFERROR(IF(AND(ISNUMBER('Semi Rev'!P61),ISNUMBER('Semi Rev'!O61),'Semi Rev'!O61&gt;0),'Semi Rev'!P61/'Semi Rev'!O61-1,""),"")</f>
        <v/>
      </c>
      <c r="M346" s="38">
        <f>IFERROR(IF(AND(ISNUMBER('Semi Rev'!Q61),ISNUMBER('Semi Rev'!P61),'Semi Rev'!P61&gt;0),'Semi Rev'!Q61/'Semi Rev'!P61-1,""),"")</f>
        <v/>
      </c>
      <c r="N346" s="38">
        <f>IFERROR(IF(AND(ISNUMBER('Semi Rev'!R61),ISNUMBER('Semi Rev'!Q61),'Semi Rev'!Q61&gt;0),'Semi Rev'!R61/'Semi Rev'!Q61-1,""),"")</f>
        <v/>
      </c>
    </row>
    <row r="347">
      <c r="A347" s="19">
        <f>'Semi Rev'!$A62</f>
        <v/>
      </c>
      <c r="B347" s="19">
        <f>'Semi Rev'!$B62</f>
        <v/>
      </c>
      <c r="C347" s="37">
        <f>IFERROR(IF(AND(ISNUMBER('Semi Rev'!G62),ISNUMBER('Semi Rev'!F62),'Semi Rev'!F62&gt;0),'Semi Rev'!G62/'Semi Rev'!F62-1,""),"")</f>
        <v/>
      </c>
      <c r="D347" s="37">
        <f>IFERROR(IF(AND(ISNUMBER('Semi Rev'!H62),ISNUMBER('Semi Rev'!G62),'Semi Rev'!G62&gt;0),'Semi Rev'!H62/'Semi Rev'!G62-1,""),"")</f>
        <v/>
      </c>
      <c r="E347" s="37">
        <f>IFERROR(IF(AND(ISNUMBER('Semi Rev'!I62),ISNUMBER('Semi Rev'!H62),'Semi Rev'!H62&gt;0),'Semi Rev'!I62/'Semi Rev'!H62-1,""),"")</f>
        <v/>
      </c>
      <c r="F347" s="37">
        <f>IFERROR(IF(AND(ISNUMBER('Semi Rev'!J62),ISNUMBER('Semi Rev'!I62),'Semi Rev'!I62&gt;0),'Semi Rev'!J62/'Semi Rev'!I62-1,""),"")</f>
        <v/>
      </c>
      <c r="G347" s="37">
        <f>IFERROR(IF(AND(ISNUMBER('Semi Rev'!K62),ISNUMBER('Semi Rev'!J62),'Semi Rev'!J62&gt;0),'Semi Rev'!K62/'Semi Rev'!J62-1,""),"")</f>
        <v/>
      </c>
      <c r="H347" s="37">
        <f>IFERROR(IF(AND(ISNUMBER('Semi Rev'!L62),ISNUMBER('Semi Rev'!K62),'Semi Rev'!K62&gt;0),'Semi Rev'!L62/'Semi Rev'!K62-1,""),"")</f>
        <v/>
      </c>
      <c r="I347" s="37">
        <f>IFERROR(IF(AND(ISNUMBER('Semi Rev'!M62),ISNUMBER('Semi Rev'!L62),'Semi Rev'!L62&gt;0),'Semi Rev'!M62/'Semi Rev'!L62-1,""),"")</f>
        <v/>
      </c>
      <c r="J347" s="37">
        <f>IFERROR(IF(AND(ISNUMBER('Semi Rev'!N62),ISNUMBER('Semi Rev'!M62),'Semi Rev'!M62&gt;0),'Semi Rev'!N62/'Semi Rev'!M62-1,""),"")</f>
        <v/>
      </c>
      <c r="K347" s="37">
        <f>IFERROR(IF(AND(ISNUMBER('Semi Rev'!O62),ISNUMBER('Semi Rev'!N62),'Semi Rev'!N62&gt;0),'Semi Rev'!O62/'Semi Rev'!N62-1,""),"")</f>
        <v/>
      </c>
      <c r="L347" s="37">
        <f>IFERROR(IF(AND(ISNUMBER('Semi Rev'!P62),ISNUMBER('Semi Rev'!O62),'Semi Rev'!O62&gt;0),'Semi Rev'!P62/'Semi Rev'!O62-1,""),"")</f>
        <v/>
      </c>
      <c r="M347" s="38">
        <f>IFERROR(IF(AND(ISNUMBER('Semi Rev'!Q62),ISNUMBER('Semi Rev'!P62),'Semi Rev'!P62&gt;0),'Semi Rev'!Q62/'Semi Rev'!P62-1,""),"")</f>
        <v/>
      </c>
      <c r="N347" s="38">
        <f>IFERROR(IF(AND(ISNUMBER('Semi Rev'!R62),ISNUMBER('Semi Rev'!Q62),'Semi Rev'!Q62&gt;0),'Semi Rev'!R62/'Semi Rev'!Q62-1,""),"")</f>
        <v/>
      </c>
    </row>
    <row r="348">
      <c r="A348" s="19">
        <f>'Semi Rev'!$A63</f>
        <v/>
      </c>
      <c r="B348" s="19">
        <f>'Semi Rev'!$B63</f>
        <v/>
      </c>
      <c r="C348" s="37">
        <f>IFERROR(IF(AND(ISNUMBER('Semi Rev'!G63),ISNUMBER('Semi Rev'!F63),'Semi Rev'!F63&gt;0),'Semi Rev'!G63/'Semi Rev'!F63-1,""),"")</f>
        <v/>
      </c>
      <c r="D348" s="37">
        <f>IFERROR(IF(AND(ISNUMBER('Semi Rev'!H63),ISNUMBER('Semi Rev'!G63),'Semi Rev'!G63&gt;0),'Semi Rev'!H63/'Semi Rev'!G63-1,""),"")</f>
        <v/>
      </c>
      <c r="E348" s="37">
        <f>IFERROR(IF(AND(ISNUMBER('Semi Rev'!I63),ISNUMBER('Semi Rev'!H63),'Semi Rev'!H63&gt;0),'Semi Rev'!I63/'Semi Rev'!H63-1,""),"")</f>
        <v/>
      </c>
      <c r="F348" s="37">
        <f>IFERROR(IF(AND(ISNUMBER('Semi Rev'!J63),ISNUMBER('Semi Rev'!I63),'Semi Rev'!I63&gt;0),'Semi Rev'!J63/'Semi Rev'!I63-1,""),"")</f>
        <v/>
      </c>
      <c r="G348" s="37">
        <f>IFERROR(IF(AND(ISNUMBER('Semi Rev'!K63),ISNUMBER('Semi Rev'!J63),'Semi Rev'!J63&gt;0),'Semi Rev'!K63/'Semi Rev'!J63-1,""),"")</f>
        <v/>
      </c>
      <c r="H348" s="37">
        <f>IFERROR(IF(AND(ISNUMBER('Semi Rev'!L63),ISNUMBER('Semi Rev'!K63),'Semi Rev'!K63&gt;0),'Semi Rev'!L63/'Semi Rev'!K63-1,""),"")</f>
        <v/>
      </c>
      <c r="I348" s="37">
        <f>IFERROR(IF(AND(ISNUMBER('Semi Rev'!M63),ISNUMBER('Semi Rev'!L63),'Semi Rev'!L63&gt;0),'Semi Rev'!M63/'Semi Rev'!L63-1,""),"")</f>
        <v/>
      </c>
      <c r="J348" s="37">
        <f>IFERROR(IF(AND(ISNUMBER('Semi Rev'!N63),ISNUMBER('Semi Rev'!M63),'Semi Rev'!M63&gt;0),'Semi Rev'!N63/'Semi Rev'!M63-1,""),"")</f>
        <v/>
      </c>
      <c r="K348" s="37">
        <f>IFERROR(IF(AND(ISNUMBER('Semi Rev'!O63),ISNUMBER('Semi Rev'!N63),'Semi Rev'!N63&gt;0),'Semi Rev'!O63/'Semi Rev'!N63-1,""),"")</f>
        <v/>
      </c>
      <c r="L348" s="37">
        <f>IFERROR(IF(AND(ISNUMBER('Semi Rev'!P63),ISNUMBER('Semi Rev'!O63),'Semi Rev'!O63&gt;0),'Semi Rev'!P63/'Semi Rev'!O63-1,""),"")</f>
        <v/>
      </c>
      <c r="M348" s="38">
        <f>IFERROR(IF(AND(ISNUMBER('Semi Rev'!Q63),ISNUMBER('Semi Rev'!P63),'Semi Rev'!P63&gt;0),'Semi Rev'!Q63/'Semi Rev'!P63-1,""),"")</f>
        <v/>
      </c>
      <c r="N348" s="38">
        <f>IFERROR(IF(AND(ISNUMBER('Semi Rev'!R63),ISNUMBER('Semi Rev'!Q63),'Semi Rev'!Q63&gt;0),'Semi Rev'!R63/'Semi Rev'!Q63-1,""),"")</f>
        <v/>
      </c>
    </row>
    <row r="349">
      <c r="A349" s="19">
        <f>'Semi Rev'!$A64</f>
        <v/>
      </c>
      <c r="B349" s="19">
        <f>'Semi Rev'!$B64</f>
        <v/>
      </c>
      <c r="C349" s="37">
        <f>IFERROR(IF(AND(ISNUMBER('Semi Rev'!G64),ISNUMBER('Semi Rev'!F64),'Semi Rev'!F64&gt;0),'Semi Rev'!G64/'Semi Rev'!F64-1,""),"")</f>
        <v/>
      </c>
      <c r="D349" s="37">
        <f>IFERROR(IF(AND(ISNUMBER('Semi Rev'!H64),ISNUMBER('Semi Rev'!G64),'Semi Rev'!G64&gt;0),'Semi Rev'!H64/'Semi Rev'!G64-1,""),"")</f>
        <v/>
      </c>
      <c r="E349" s="37">
        <f>IFERROR(IF(AND(ISNUMBER('Semi Rev'!I64),ISNUMBER('Semi Rev'!H64),'Semi Rev'!H64&gt;0),'Semi Rev'!I64/'Semi Rev'!H64-1,""),"")</f>
        <v/>
      </c>
      <c r="F349" s="37">
        <f>IFERROR(IF(AND(ISNUMBER('Semi Rev'!J64),ISNUMBER('Semi Rev'!I64),'Semi Rev'!I64&gt;0),'Semi Rev'!J64/'Semi Rev'!I64-1,""),"")</f>
        <v/>
      </c>
      <c r="G349" s="37">
        <f>IFERROR(IF(AND(ISNUMBER('Semi Rev'!K64),ISNUMBER('Semi Rev'!J64),'Semi Rev'!J64&gt;0),'Semi Rev'!K64/'Semi Rev'!J64-1,""),"")</f>
        <v/>
      </c>
      <c r="H349" s="37">
        <f>IFERROR(IF(AND(ISNUMBER('Semi Rev'!L64),ISNUMBER('Semi Rev'!K64),'Semi Rev'!K64&gt;0),'Semi Rev'!L64/'Semi Rev'!K64-1,""),"")</f>
        <v/>
      </c>
      <c r="I349" s="37">
        <f>IFERROR(IF(AND(ISNUMBER('Semi Rev'!M64),ISNUMBER('Semi Rev'!L64),'Semi Rev'!L64&gt;0),'Semi Rev'!M64/'Semi Rev'!L64-1,""),"")</f>
        <v/>
      </c>
      <c r="J349" s="37">
        <f>IFERROR(IF(AND(ISNUMBER('Semi Rev'!N64),ISNUMBER('Semi Rev'!M64),'Semi Rev'!M64&gt;0),'Semi Rev'!N64/'Semi Rev'!M64-1,""),"")</f>
        <v/>
      </c>
      <c r="K349" s="37">
        <f>IFERROR(IF(AND(ISNUMBER('Semi Rev'!O64),ISNUMBER('Semi Rev'!N64),'Semi Rev'!N64&gt;0),'Semi Rev'!O64/'Semi Rev'!N64-1,""),"")</f>
        <v/>
      </c>
      <c r="L349" s="37">
        <f>IFERROR(IF(AND(ISNUMBER('Semi Rev'!P64),ISNUMBER('Semi Rev'!O64),'Semi Rev'!O64&gt;0),'Semi Rev'!P64/'Semi Rev'!O64-1,""),"")</f>
        <v/>
      </c>
      <c r="M349" s="38">
        <f>IFERROR(IF(AND(ISNUMBER('Semi Rev'!Q64),ISNUMBER('Semi Rev'!P64),'Semi Rev'!P64&gt;0),'Semi Rev'!Q64/'Semi Rev'!P64-1,""),"")</f>
        <v/>
      </c>
      <c r="N349" s="38">
        <f>IFERROR(IF(AND(ISNUMBER('Semi Rev'!R64),ISNUMBER('Semi Rev'!Q64),'Semi Rev'!Q64&gt;0),'Semi Rev'!R64/'Semi Rev'!Q64-1,""),"")</f>
        <v/>
      </c>
    </row>
    <row r="350">
      <c r="A350" s="19">
        <f>'Semi Rev'!$A65</f>
        <v/>
      </c>
      <c r="B350" s="19">
        <f>'Semi Rev'!$B65</f>
        <v/>
      </c>
      <c r="C350" s="37">
        <f>IFERROR(IF(AND(ISNUMBER('Semi Rev'!G65),ISNUMBER('Semi Rev'!F65),'Semi Rev'!F65&gt;0),'Semi Rev'!G65/'Semi Rev'!F65-1,""),"")</f>
        <v/>
      </c>
      <c r="D350" s="37">
        <f>IFERROR(IF(AND(ISNUMBER('Semi Rev'!H65),ISNUMBER('Semi Rev'!G65),'Semi Rev'!G65&gt;0),'Semi Rev'!H65/'Semi Rev'!G65-1,""),"")</f>
        <v/>
      </c>
      <c r="E350" s="37">
        <f>IFERROR(IF(AND(ISNUMBER('Semi Rev'!I65),ISNUMBER('Semi Rev'!H65),'Semi Rev'!H65&gt;0),'Semi Rev'!I65/'Semi Rev'!H65-1,""),"")</f>
        <v/>
      </c>
      <c r="F350" s="37">
        <f>IFERROR(IF(AND(ISNUMBER('Semi Rev'!J65),ISNUMBER('Semi Rev'!I65),'Semi Rev'!I65&gt;0),'Semi Rev'!J65/'Semi Rev'!I65-1,""),"")</f>
        <v/>
      </c>
      <c r="G350" s="37">
        <f>IFERROR(IF(AND(ISNUMBER('Semi Rev'!K65),ISNUMBER('Semi Rev'!J65),'Semi Rev'!J65&gt;0),'Semi Rev'!K65/'Semi Rev'!J65-1,""),"")</f>
        <v/>
      </c>
      <c r="H350" s="37">
        <f>IFERROR(IF(AND(ISNUMBER('Semi Rev'!L65),ISNUMBER('Semi Rev'!K65),'Semi Rev'!K65&gt;0),'Semi Rev'!L65/'Semi Rev'!K65-1,""),"")</f>
        <v/>
      </c>
      <c r="I350" s="37">
        <f>IFERROR(IF(AND(ISNUMBER('Semi Rev'!M65),ISNUMBER('Semi Rev'!L65),'Semi Rev'!L65&gt;0),'Semi Rev'!M65/'Semi Rev'!L65-1,""),"")</f>
        <v/>
      </c>
      <c r="J350" s="37">
        <f>IFERROR(IF(AND(ISNUMBER('Semi Rev'!N65),ISNUMBER('Semi Rev'!M65),'Semi Rev'!M65&gt;0),'Semi Rev'!N65/'Semi Rev'!M65-1,""),"")</f>
        <v/>
      </c>
      <c r="K350" s="37">
        <f>IFERROR(IF(AND(ISNUMBER('Semi Rev'!O65),ISNUMBER('Semi Rev'!N65),'Semi Rev'!N65&gt;0),'Semi Rev'!O65/'Semi Rev'!N65-1,""),"")</f>
        <v/>
      </c>
      <c r="L350" s="37">
        <f>IFERROR(IF(AND(ISNUMBER('Semi Rev'!P65),ISNUMBER('Semi Rev'!O65),'Semi Rev'!O65&gt;0),'Semi Rev'!P65/'Semi Rev'!O65-1,""),"")</f>
        <v/>
      </c>
      <c r="M350" s="38">
        <f>IFERROR(IF(AND(ISNUMBER('Semi Rev'!Q65),ISNUMBER('Semi Rev'!P65),'Semi Rev'!P65&gt;0),'Semi Rev'!Q65/'Semi Rev'!P65-1,""),"")</f>
        <v/>
      </c>
      <c r="N350" s="38">
        <f>IFERROR(IF(AND(ISNUMBER('Semi Rev'!R65),ISNUMBER('Semi Rev'!Q65),'Semi Rev'!Q65&gt;0),'Semi Rev'!R65/'Semi Rev'!Q65-1,""),"")</f>
        <v/>
      </c>
    </row>
    <row r="351">
      <c r="A351" s="19">
        <f>'Semi Rev'!$A66</f>
        <v/>
      </c>
      <c r="B351" s="19">
        <f>'Semi Rev'!$B66</f>
        <v/>
      </c>
      <c r="C351" s="37">
        <f>IFERROR(IF(AND(ISNUMBER('Semi Rev'!G66),ISNUMBER('Semi Rev'!F66),'Semi Rev'!F66&gt;0),'Semi Rev'!G66/'Semi Rev'!F66-1,""),"")</f>
        <v/>
      </c>
      <c r="D351" s="37">
        <f>IFERROR(IF(AND(ISNUMBER('Semi Rev'!H66),ISNUMBER('Semi Rev'!G66),'Semi Rev'!G66&gt;0),'Semi Rev'!H66/'Semi Rev'!G66-1,""),"")</f>
        <v/>
      </c>
      <c r="E351" s="37">
        <f>IFERROR(IF(AND(ISNUMBER('Semi Rev'!I66),ISNUMBER('Semi Rev'!H66),'Semi Rev'!H66&gt;0),'Semi Rev'!I66/'Semi Rev'!H66-1,""),"")</f>
        <v/>
      </c>
      <c r="F351" s="37">
        <f>IFERROR(IF(AND(ISNUMBER('Semi Rev'!J66),ISNUMBER('Semi Rev'!I66),'Semi Rev'!I66&gt;0),'Semi Rev'!J66/'Semi Rev'!I66-1,""),"")</f>
        <v/>
      </c>
      <c r="G351" s="37">
        <f>IFERROR(IF(AND(ISNUMBER('Semi Rev'!K66),ISNUMBER('Semi Rev'!J66),'Semi Rev'!J66&gt;0),'Semi Rev'!K66/'Semi Rev'!J66-1,""),"")</f>
        <v/>
      </c>
      <c r="H351" s="37">
        <f>IFERROR(IF(AND(ISNUMBER('Semi Rev'!L66),ISNUMBER('Semi Rev'!K66),'Semi Rev'!K66&gt;0),'Semi Rev'!L66/'Semi Rev'!K66-1,""),"")</f>
        <v/>
      </c>
      <c r="I351" s="37">
        <f>IFERROR(IF(AND(ISNUMBER('Semi Rev'!M66),ISNUMBER('Semi Rev'!L66),'Semi Rev'!L66&gt;0),'Semi Rev'!M66/'Semi Rev'!L66-1,""),"")</f>
        <v/>
      </c>
      <c r="J351" s="37">
        <f>IFERROR(IF(AND(ISNUMBER('Semi Rev'!N66),ISNUMBER('Semi Rev'!M66),'Semi Rev'!M66&gt;0),'Semi Rev'!N66/'Semi Rev'!M66-1,""),"")</f>
        <v/>
      </c>
      <c r="K351" s="37">
        <f>IFERROR(IF(AND(ISNUMBER('Semi Rev'!O66),ISNUMBER('Semi Rev'!N66),'Semi Rev'!N66&gt;0),'Semi Rev'!O66/'Semi Rev'!N66-1,""),"")</f>
        <v/>
      </c>
      <c r="L351" s="37">
        <f>IFERROR(IF(AND(ISNUMBER('Semi Rev'!P66),ISNUMBER('Semi Rev'!O66),'Semi Rev'!O66&gt;0),'Semi Rev'!P66/'Semi Rev'!O66-1,""),"")</f>
        <v/>
      </c>
      <c r="M351" s="38">
        <f>IFERROR(IF(AND(ISNUMBER('Semi Rev'!Q66),ISNUMBER('Semi Rev'!P66),'Semi Rev'!P66&gt;0),'Semi Rev'!Q66/'Semi Rev'!P66-1,""),"")</f>
        <v/>
      </c>
      <c r="N351" s="38">
        <f>IFERROR(IF(AND(ISNUMBER('Semi Rev'!R66),ISNUMBER('Semi Rev'!Q66),'Semi Rev'!Q66&gt;0),'Semi Rev'!R66/'Semi Rev'!Q66-1,""),"")</f>
        <v/>
      </c>
    </row>
    <row r="352">
      <c r="A352" s="19">
        <f>'Semi Rev'!$A67</f>
        <v/>
      </c>
      <c r="B352" s="19">
        <f>'Semi Rev'!$B67</f>
        <v/>
      </c>
      <c r="C352" s="37">
        <f>IFERROR(IF(AND(ISNUMBER('Semi Rev'!G67),ISNUMBER('Semi Rev'!F67),'Semi Rev'!F67&gt;0),'Semi Rev'!G67/'Semi Rev'!F67-1,""),"")</f>
        <v/>
      </c>
      <c r="D352" s="37">
        <f>IFERROR(IF(AND(ISNUMBER('Semi Rev'!H67),ISNUMBER('Semi Rev'!G67),'Semi Rev'!G67&gt;0),'Semi Rev'!H67/'Semi Rev'!G67-1,""),"")</f>
        <v/>
      </c>
      <c r="E352" s="37">
        <f>IFERROR(IF(AND(ISNUMBER('Semi Rev'!I67),ISNUMBER('Semi Rev'!H67),'Semi Rev'!H67&gt;0),'Semi Rev'!I67/'Semi Rev'!H67-1,""),"")</f>
        <v/>
      </c>
      <c r="F352" s="37">
        <f>IFERROR(IF(AND(ISNUMBER('Semi Rev'!J67),ISNUMBER('Semi Rev'!I67),'Semi Rev'!I67&gt;0),'Semi Rev'!J67/'Semi Rev'!I67-1,""),"")</f>
        <v/>
      </c>
      <c r="G352" s="37">
        <f>IFERROR(IF(AND(ISNUMBER('Semi Rev'!K67),ISNUMBER('Semi Rev'!J67),'Semi Rev'!J67&gt;0),'Semi Rev'!K67/'Semi Rev'!J67-1,""),"")</f>
        <v/>
      </c>
      <c r="H352" s="37">
        <f>IFERROR(IF(AND(ISNUMBER('Semi Rev'!L67),ISNUMBER('Semi Rev'!K67),'Semi Rev'!K67&gt;0),'Semi Rev'!L67/'Semi Rev'!K67-1,""),"")</f>
        <v/>
      </c>
      <c r="I352" s="37">
        <f>IFERROR(IF(AND(ISNUMBER('Semi Rev'!M67),ISNUMBER('Semi Rev'!L67),'Semi Rev'!L67&gt;0),'Semi Rev'!M67/'Semi Rev'!L67-1,""),"")</f>
        <v/>
      </c>
      <c r="J352" s="37">
        <f>IFERROR(IF(AND(ISNUMBER('Semi Rev'!N67),ISNUMBER('Semi Rev'!M67),'Semi Rev'!M67&gt;0),'Semi Rev'!N67/'Semi Rev'!M67-1,""),"")</f>
        <v/>
      </c>
      <c r="K352" s="37">
        <f>IFERROR(IF(AND(ISNUMBER('Semi Rev'!O67),ISNUMBER('Semi Rev'!N67),'Semi Rev'!N67&gt;0),'Semi Rev'!O67/'Semi Rev'!N67-1,""),"")</f>
        <v/>
      </c>
      <c r="L352" s="37">
        <f>IFERROR(IF(AND(ISNUMBER('Semi Rev'!P67),ISNUMBER('Semi Rev'!O67),'Semi Rev'!O67&gt;0),'Semi Rev'!P67/'Semi Rev'!O67-1,""),"")</f>
        <v/>
      </c>
      <c r="M352" s="38">
        <f>IFERROR(IF(AND(ISNUMBER('Semi Rev'!Q67),ISNUMBER('Semi Rev'!P67),'Semi Rev'!P67&gt;0),'Semi Rev'!Q67/'Semi Rev'!P67-1,""),"")</f>
        <v/>
      </c>
      <c r="N352" s="38">
        <f>IFERROR(IF(AND(ISNUMBER('Semi Rev'!R67),ISNUMBER('Semi Rev'!Q67),'Semi Rev'!Q67&gt;0),'Semi Rev'!R67/'Semi Rev'!Q67-1,""),"")</f>
        <v/>
      </c>
    </row>
    <row r="353">
      <c r="A353" s="19">
        <f>'Semi Rev'!$A68</f>
        <v/>
      </c>
      <c r="B353" s="19">
        <f>'Semi Rev'!$B68</f>
        <v/>
      </c>
      <c r="C353" s="37">
        <f>IFERROR(IF(AND(ISNUMBER('Semi Rev'!G68),ISNUMBER('Semi Rev'!F68),'Semi Rev'!F68&gt;0),'Semi Rev'!G68/'Semi Rev'!F68-1,""),"")</f>
        <v/>
      </c>
      <c r="D353" s="37">
        <f>IFERROR(IF(AND(ISNUMBER('Semi Rev'!H68),ISNUMBER('Semi Rev'!G68),'Semi Rev'!G68&gt;0),'Semi Rev'!H68/'Semi Rev'!G68-1,""),"")</f>
        <v/>
      </c>
      <c r="E353" s="37">
        <f>IFERROR(IF(AND(ISNUMBER('Semi Rev'!I68),ISNUMBER('Semi Rev'!H68),'Semi Rev'!H68&gt;0),'Semi Rev'!I68/'Semi Rev'!H68-1,""),"")</f>
        <v/>
      </c>
      <c r="F353" s="37">
        <f>IFERROR(IF(AND(ISNUMBER('Semi Rev'!J68),ISNUMBER('Semi Rev'!I68),'Semi Rev'!I68&gt;0),'Semi Rev'!J68/'Semi Rev'!I68-1,""),"")</f>
        <v/>
      </c>
      <c r="G353" s="37">
        <f>IFERROR(IF(AND(ISNUMBER('Semi Rev'!K68),ISNUMBER('Semi Rev'!J68),'Semi Rev'!J68&gt;0),'Semi Rev'!K68/'Semi Rev'!J68-1,""),"")</f>
        <v/>
      </c>
      <c r="H353" s="37">
        <f>IFERROR(IF(AND(ISNUMBER('Semi Rev'!L68),ISNUMBER('Semi Rev'!K68),'Semi Rev'!K68&gt;0),'Semi Rev'!L68/'Semi Rev'!K68-1,""),"")</f>
        <v/>
      </c>
      <c r="I353" s="37">
        <f>IFERROR(IF(AND(ISNUMBER('Semi Rev'!M68),ISNUMBER('Semi Rev'!L68),'Semi Rev'!L68&gt;0),'Semi Rev'!M68/'Semi Rev'!L68-1,""),"")</f>
        <v/>
      </c>
      <c r="J353" s="37">
        <f>IFERROR(IF(AND(ISNUMBER('Semi Rev'!N68),ISNUMBER('Semi Rev'!M68),'Semi Rev'!M68&gt;0),'Semi Rev'!N68/'Semi Rev'!M68-1,""),"")</f>
        <v/>
      </c>
      <c r="K353" s="37">
        <f>IFERROR(IF(AND(ISNUMBER('Semi Rev'!O68),ISNUMBER('Semi Rev'!N68),'Semi Rev'!N68&gt;0),'Semi Rev'!O68/'Semi Rev'!N68-1,""),"")</f>
        <v/>
      </c>
      <c r="L353" s="37">
        <f>IFERROR(IF(AND(ISNUMBER('Semi Rev'!P68),ISNUMBER('Semi Rev'!O68),'Semi Rev'!O68&gt;0),'Semi Rev'!P68/'Semi Rev'!O68-1,""),"")</f>
        <v/>
      </c>
      <c r="M353" s="38">
        <f>IFERROR(IF(AND(ISNUMBER('Semi Rev'!Q68),ISNUMBER('Semi Rev'!P68),'Semi Rev'!P68&gt;0),'Semi Rev'!Q68/'Semi Rev'!P68-1,""),"")</f>
        <v/>
      </c>
      <c r="N353" s="38">
        <f>IFERROR(IF(AND(ISNUMBER('Semi Rev'!R68),ISNUMBER('Semi Rev'!Q68),'Semi Rev'!Q68&gt;0),'Semi Rev'!R68/'Semi Rev'!Q68-1,""),"")</f>
        <v/>
      </c>
    </row>
    <row r="354">
      <c r="A354" s="19">
        <f>'Semi Rev'!$A69</f>
        <v/>
      </c>
      <c r="B354" s="19">
        <f>'Semi Rev'!$B69</f>
        <v/>
      </c>
      <c r="C354" s="37">
        <f>IFERROR(IF(AND(ISNUMBER('Semi Rev'!G69),ISNUMBER('Semi Rev'!F69),'Semi Rev'!F69&gt;0),'Semi Rev'!G69/'Semi Rev'!F69-1,""),"")</f>
        <v/>
      </c>
      <c r="D354" s="37">
        <f>IFERROR(IF(AND(ISNUMBER('Semi Rev'!H69),ISNUMBER('Semi Rev'!G69),'Semi Rev'!G69&gt;0),'Semi Rev'!H69/'Semi Rev'!G69-1,""),"")</f>
        <v/>
      </c>
      <c r="E354" s="37">
        <f>IFERROR(IF(AND(ISNUMBER('Semi Rev'!I69),ISNUMBER('Semi Rev'!H69),'Semi Rev'!H69&gt;0),'Semi Rev'!I69/'Semi Rev'!H69-1,""),"")</f>
        <v/>
      </c>
      <c r="F354" s="37">
        <f>IFERROR(IF(AND(ISNUMBER('Semi Rev'!J69),ISNUMBER('Semi Rev'!I69),'Semi Rev'!I69&gt;0),'Semi Rev'!J69/'Semi Rev'!I69-1,""),"")</f>
        <v/>
      </c>
      <c r="G354" s="37">
        <f>IFERROR(IF(AND(ISNUMBER('Semi Rev'!K69),ISNUMBER('Semi Rev'!J69),'Semi Rev'!J69&gt;0),'Semi Rev'!K69/'Semi Rev'!J69-1,""),"")</f>
        <v/>
      </c>
      <c r="H354" s="37">
        <f>IFERROR(IF(AND(ISNUMBER('Semi Rev'!L69),ISNUMBER('Semi Rev'!K69),'Semi Rev'!K69&gt;0),'Semi Rev'!L69/'Semi Rev'!K69-1,""),"")</f>
        <v/>
      </c>
      <c r="I354" s="37">
        <f>IFERROR(IF(AND(ISNUMBER('Semi Rev'!M69),ISNUMBER('Semi Rev'!L69),'Semi Rev'!L69&gt;0),'Semi Rev'!M69/'Semi Rev'!L69-1,""),"")</f>
        <v/>
      </c>
      <c r="J354" s="37">
        <f>IFERROR(IF(AND(ISNUMBER('Semi Rev'!N69),ISNUMBER('Semi Rev'!M69),'Semi Rev'!M69&gt;0),'Semi Rev'!N69/'Semi Rev'!M69-1,""),"")</f>
        <v/>
      </c>
      <c r="K354" s="37">
        <f>IFERROR(IF(AND(ISNUMBER('Semi Rev'!O69),ISNUMBER('Semi Rev'!N69),'Semi Rev'!N69&gt;0),'Semi Rev'!O69/'Semi Rev'!N69-1,""),"")</f>
        <v/>
      </c>
      <c r="L354" s="37">
        <f>IFERROR(IF(AND(ISNUMBER('Semi Rev'!P69),ISNUMBER('Semi Rev'!O69),'Semi Rev'!O69&gt;0),'Semi Rev'!P69/'Semi Rev'!O69-1,""),"")</f>
        <v/>
      </c>
      <c r="M354" s="38">
        <f>IFERROR(IF(AND(ISNUMBER('Semi Rev'!Q69),ISNUMBER('Semi Rev'!P69),'Semi Rev'!P69&gt;0),'Semi Rev'!Q69/'Semi Rev'!P69-1,""),"")</f>
        <v/>
      </c>
      <c r="N354" s="38">
        <f>IFERROR(IF(AND(ISNUMBER('Semi Rev'!R69),ISNUMBER('Semi Rev'!Q69),'Semi Rev'!Q69&gt;0),'Semi Rev'!R69/'Semi Rev'!Q69-1,""),"")</f>
        <v/>
      </c>
    </row>
    <row r="355">
      <c r="A355" s="19">
        <f>'Semi Rev'!$A70</f>
        <v/>
      </c>
      <c r="B355" s="19">
        <f>'Semi Rev'!$B70</f>
        <v/>
      </c>
      <c r="C355" s="37">
        <f>IFERROR(IF(AND(ISNUMBER('Semi Rev'!G70),ISNUMBER('Semi Rev'!F70),'Semi Rev'!F70&gt;0),'Semi Rev'!G70/'Semi Rev'!F70-1,""),"")</f>
        <v/>
      </c>
      <c r="D355" s="37">
        <f>IFERROR(IF(AND(ISNUMBER('Semi Rev'!H70),ISNUMBER('Semi Rev'!G70),'Semi Rev'!G70&gt;0),'Semi Rev'!H70/'Semi Rev'!G70-1,""),"")</f>
        <v/>
      </c>
      <c r="E355" s="37">
        <f>IFERROR(IF(AND(ISNUMBER('Semi Rev'!I70),ISNUMBER('Semi Rev'!H70),'Semi Rev'!H70&gt;0),'Semi Rev'!I70/'Semi Rev'!H70-1,""),"")</f>
        <v/>
      </c>
      <c r="F355" s="37">
        <f>IFERROR(IF(AND(ISNUMBER('Semi Rev'!J70),ISNUMBER('Semi Rev'!I70),'Semi Rev'!I70&gt;0),'Semi Rev'!J70/'Semi Rev'!I70-1,""),"")</f>
        <v/>
      </c>
      <c r="G355" s="37">
        <f>IFERROR(IF(AND(ISNUMBER('Semi Rev'!K70),ISNUMBER('Semi Rev'!J70),'Semi Rev'!J70&gt;0),'Semi Rev'!K70/'Semi Rev'!J70-1,""),"")</f>
        <v/>
      </c>
      <c r="H355" s="37">
        <f>IFERROR(IF(AND(ISNUMBER('Semi Rev'!L70),ISNUMBER('Semi Rev'!K70),'Semi Rev'!K70&gt;0),'Semi Rev'!L70/'Semi Rev'!K70-1,""),"")</f>
        <v/>
      </c>
      <c r="I355" s="37">
        <f>IFERROR(IF(AND(ISNUMBER('Semi Rev'!M70),ISNUMBER('Semi Rev'!L70),'Semi Rev'!L70&gt;0),'Semi Rev'!M70/'Semi Rev'!L70-1,""),"")</f>
        <v/>
      </c>
      <c r="J355" s="37">
        <f>IFERROR(IF(AND(ISNUMBER('Semi Rev'!N70),ISNUMBER('Semi Rev'!M70),'Semi Rev'!M70&gt;0),'Semi Rev'!N70/'Semi Rev'!M70-1,""),"")</f>
        <v/>
      </c>
      <c r="K355" s="37">
        <f>IFERROR(IF(AND(ISNUMBER('Semi Rev'!O70),ISNUMBER('Semi Rev'!N70),'Semi Rev'!N70&gt;0),'Semi Rev'!O70/'Semi Rev'!N70-1,""),"")</f>
        <v/>
      </c>
      <c r="L355" s="37">
        <f>IFERROR(IF(AND(ISNUMBER('Semi Rev'!P70),ISNUMBER('Semi Rev'!O70),'Semi Rev'!O70&gt;0),'Semi Rev'!P70/'Semi Rev'!O70-1,""),"")</f>
        <v/>
      </c>
      <c r="M355" s="38">
        <f>IFERROR(IF(AND(ISNUMBER('Semi Rev'!Q70),ISNUMBER('Semi Rev'!P70),'Semi Rev'!P70&gt;0),'Semi Rev'!Q70/'Semi Rev'!P70-1,""),"")</f>
        <v/>
      </c>
      <c r="N355" s="38">
        <f>IFERROR(IF(AND(ISNUMBER('Semi Rev'!R70),ISNUMBER('Semi Rev'!Q70),'Semi Rev'!Q70&gt;0),'Semi Rev'!R70/'Semi Rev'!Q70-1,""),"")</f>
        <v/>
      </c>
    </row>
    <row r="356">
      <c r="A356" s="19">
        <f>'Semi Rev'!$A71</f>
        <v/>
      </c>
      <c r="B356" s="19">
        <f>'Semi Rev'!$B71</f>
        <v/>
      </c>
      <c r="C356" s="37">
        <f>IFERROR(IF(AND(ISNUMBER('Semi Rev'!G71),ISNUMBER('Semi Rev'!F71),'Semi Rev'!F71&gt;0),'Semi Rev'!G71/'Semi Rev'!F71-1,""),"")</f>
        <v/>
      </c>
      <c r="D356" s="37">
        <f>IFERROR(IF(AND(ISNUMBER('Semi Rev'!H71),ISNUMBER('Semi Rev'!G71),'Semi Rev'!G71&gt;0),'Semi Rev'!H71/'Semi Rev'!G71-1,""),"")</f>
        <v/>
      </c>
      <c r="E356" s="37">
        <f>IFERROR(IF(AND(ISNUMBER('Semi Rev'!I71),ISNUMBER('Semi Rev'!H71),'Semi Rev'!H71&gt;0),'Semi Rev'!I71/'Semi Rev'!H71-1,""),"")</f>
        <v/>
      </c>
      <c r="F356" s="37">
        <f>IFERROR(IF(AND(ISNUMBER('Semi Rev'!J71),ISNUMBER('Semi Rev'!I71),'Semi Rev'!I71&gt;0),'Semi Rev'!J71/'Semi Rev'!I71-1,""),"")</f>
        <v/>
      </c>
      <c r="G356" s="37">
        <f>IFERROR(IF(AND(ISNUMBER('Semi Rev'!K71),ISNUMBER('Semi Rev'!J71),'Semi Rev'!J71&gt;0),'Semi Rev'!K71/'Semi Rev'!J71-1,""),"")</f>
        <v/>
      </c>
      <c r="H356" s="37">
        <f>IFERROR(IF(AND(ISNUMBER('Semi Rev'!L71),ISNUMBER('Semi Rev'!K71),'Semi Rev'!K71&gt;0),'Semi Rev'!L71/'Semi Rev'!K71-1,""),"")</f>
        <v/>
      </c>
      <c r="I356" s="37">
        <f>IFERROR(IF(AND(ISNUMBER('Semi Rev'!M71),ISNUMBER('Semi Rev'!L71),'Semi Rev'!L71&gt;0),'Semi Rev'!M71/'Semi Rev'!L71-1,""),"")</f>
        <v/>
      </c>
      <c r="J356" s="37">
        <f>IFERROR(IF(AND(ISNUMBER('Semi Rev'!N71),ISNUMBER('Semi Rev'!M71),'Semi Rev'!M71&gt;0),'Semi Rev'!N71/'Semi Rev'!M71-1,""),"")</f>
        <v/>
      </c>
      <c r="K356" s="37">
        <f>IFERROR(IF(AND(ISNUMBER('Semi Rev'!O71),ISNUMBER('Semi Rev'!N71),'Semi Rev'!N71&gt;0),'Semi Rev'!O71/'Semi Rev'!N71-1,""),"")</f>
        <v/>
      </c>
      <c r="L356" s="37">
        <f>IFERROR(IF(AND(ISNUMBER('Semi Rev'!P71),ISNUMBER('Semi Rev'!O71),'Semi Rev'!O71&gt;0),'Semi Rev'!P71/'Semi Rev'!O71-1,""),"")</f>
        <v/>
      </c>
      <c r="M356" s="38">
        <f>IFERROR(IF(AND(ISNUMBER('Semi Rev'!Q71),ISNUMBER('Semi Rev'!P71),'Semi Rev'!P71&gt;0),'Semi Rev'!Q71/'Semi Rev'!P71-1,""),"")</f>
        <v/>
      </c>
      <c r="N356" s="38">
        <f>IFERROR(IF(AND(ISNUMBER('Semi Rev'!R71),ISNUMBER('Semi Rev'!Q71),'Semi Rev'!Q71&gt;0),'Semi Rev'!R71/'Semi Rev'!Q71-1,""),"")</f>
        <v/>
      </c>
    </row>
    <row r="357">
      <c r="A357" s="19">
        <f>'Semi Rev'!$A72</f>
        <v/>
      </c>
      <c r="B357" s="19">
        <f>'Semi Rev'!$B72</f>
        <v/>
      </c>
      <c r="C357" s="37">
        <f>IFERROR(IF(AND(ISNUMBER('Semi Rev'!G72),ISNUMBER('Semi Rev'!F72),'Semi Rev'!F72&gt;0),'Semi Rev'!G72/'Semi Rev'!F72-1,""),"")</f>
        <v/>
      </c>
      <c r="D357" s="37">
        <f>IFERROR(IF(AND(ISNUMBER('Semi Rev'!H72),ISNUMBER('Semi Rev'!G72),'Semi Rev'!G72&gt;0),'Semi Rev'!H72/'Semi Rev'!G72-1,""),"")</f>
        <v/>
      </c>
      <c r="E357" s="37">
        <f>IFERROR(IF(AND(ISNUMBER('Semi Rev'!I72),ISNUMBER('Semi Rev'!H72),'Semi Rev'!H72&gt;0),'Semi Rev'!I72/'Semi Rev'!H72-1,""),"")</f>
        <v/>
      </c>
      <c r="F357" s="37">
        <f>IFERROR(IF(AND(ISNUMBER('Semi Rev'!J72),ISNUMBER('Semi Rev'!I72),'Semi Rev'!I72&gt;0),'Semi Rev'!J72/'Semi Rev'!I72-1,""),"")</f>
        <v/>
      </c>
      <c r="G357" s="37">
        <f>IFERROR(IF(AND(ISNUMBER('Semi Rev'!K72),ISNUMBER('Semi Rev'!J72),'Semi Rev'!J72&gt;0),'Semi Rev'!K72/'Semi Rev'!J72-1,""),"")</f>
        <v/>
      </c>
      <c r="H357" s="37">
        <f>IFERROR(IF(AND(ISNUMBER('Semi Rev'!L72),ISNUMBER('Semi Rev'!K72),'Semi Rev'!K72&gt;0),'Semi Rev'!L72/'Semi Rev'!K72-1,""),"")</f>
        <v/>
      </c>
      <c r="I357" s="37">
        <f>IFERROR(IF(AND(ISNUMBER('Semi Rev'!M72),ISNUMBER('Semi Rev'!L72),'Semi Rev'!L72&gt;0),'Semi Rev'!M72/'Semi Rev'!L72-1,""),"")</f>
        <v/>
      </c>
      <c r="J357" s="37">
        <f>IFERROR(IF(AND(ISNUMBER('Semi Rev'!N72),ISNUMBER('Semi Rev'!M72),'Semi Rev'!M72&gt;0),'Semi Rev'!N72/'Semi Rev'!M72-1,""),"")</f>
        <v/>
      </c>
      <c r="K357" s="37">
        <f>IFERROR(IF(AND(ISNUMBER('Semi Rev'!O72),ISNUMBER('Semi Rev'!N72),'Semi Rev'!N72&gt;0),'Semi Rev'!O72/'Semi Rev'!N72-1,""),"")</f>
        <v/>
      </c>
      <c r="L357" s="37">
        <f>IFERROR(IF(AND(ISNUMBER('Semi Rev'!P72),ISNUMBER('Semi Rev'!O72),'Semi Rev'!O72&gt;0),'Semi Rev'!P72/'Semi Rev'!O72-1,""),"")</f>
        <v/>
      </c>
      <c r="M357" s="38">
        <f>IFERROR(IF(AND(ISNUMBER('Semi Rev'!Q72),ISNUMBER('Semi Rev'!P72),'Semi Rev'!P72&gt;0),'Semi Rev'!Q72/'Semi Rev'!P72-1,""),"")</f>
        <v/>
      </c>
      <c r="N357" s="38">
        <f>IFERROR(IF(AND(ISNUMBER('Semi Rev'!R72),ISNUMBER('Semi Rev'!Q72),'Semi Rev'!Q72&gt;0),'Semi Rev'!R72/'Semi Rev'!Q72-1,""),"")</f>
        <v/>
      </c>
    </row>
    <row r="358">
      <c r="A358" s="19">
        <f>'Semi Rev'!$A73</f>
        <v/>
      </c>
      <c r="B358" s="19">
        <f>'Semi Rev'!$B73</f>
        <v/>
      </c>
      <c r="C358" s="37">
        <f>IFERROR(IF(AND(ISNUMBER('Semi Rev'!G73),ISNUMBER('Semi Rev'!F73),'Semi Rev'!F73&gt;0),'Semi Rev'!G73/'Semi Rev'!F73-1,""),"")</f>
        <v/>
      </c>
      <c r="D358" s="37">
        <f>IFERROR(IF(AND(ISNUMBER('Semi Rev'!H73),ISNUMBER('Semi Rev'!G73),'Semi Rev'!G73&gt;0),'Semi Rev'!H73/'Semi Rev'!G73-1,""),"")</f>
        <v/>
      </c>
      <c r="E358" s="37">
        <f>IFERROR(IF(AND(ISNUMBER('Semi Rev'!I73),ISNUMBER('Semi Rev'!H73),'Semi Rev'!H73&gt;0),'Semi Rev'!I73/'Semi Rev'!H73-1,""),"")</f>
        <v/>
      </c>
      <c r="F358" s="37">
        <f>IFERROR(IF(AND(ISNUMBER('Semi Rev'!J73),ISNUMBER('Semi Rev'!I73),'Semi Rev'!I73&gt;0),'Semi Rev'!J73/'Semi Rev'!I73-1,""),"")</f>
        <v/>
      </c>
      <c r="G358" s="37">
        <f>IFERROR(IF(AND(ISNUMBER('Semi Rev'!K73),ISNUMBER('Semi Rev'!J73),'Semi Rev'!J73&gt;0),'Semi Rev'!K73/'Semi Rev'!J73-1,""),"")</f>
        <v/>
      </c>
      <c r="H358" s="37">
        <f>IFERROR(IF(AND(ISNUMBER('Semi Rev'!L73),ISNUMBER('Semi Rev'!K73),'Semi Rev'!K73&gt;0),'Semi Rev'!L73/'Semi Rev'!K73-1,""),"")</f>
        <v/>
      </c>
      <c r="I358" s="37">
        <f>IFERROR(IF(AND(ISNUMBER('Semi Rev'!M73),ISNUMBER('Semi Rev'!L73),'Semi Rev'!L73&gt;0),'Semi Rev'!M73/'Semi Rev'!L73-1,""),"")</f>
        <v/>
      </c>
      <c r="J358" s="37">
        <f>IFERROR(IF(AND(ISNUMBER('Semi Rev'!N73),ISNUMBER('Semi Rev'!M73),'Semi Rev'!M73&gt;0),'Semi Rev'!N73/'Semi Rev'!M73-1,""),"")</f>
        <v/>
      </c>
      <c r="K358" s="37">
        <f>IFERROR(IF(AND(ISNUMBER('Semi Rev'!O73),ISNUMBER('Semi Rev'!N73),'Semi Rev'!N73&gt;0),'Semi Rev'!O73/'Semi Rev'!N73-1,""),"")</f>
        <v/>
      </c>
      <c r="L358" s="37">
        <f>IFERROR(IF(AND(ISNUMBER('Semi Rev'!P73),ISNUMBER('Semi Rev'!O73),'Semi Rev'!O73&gt;0),'Semi Rev'!P73/'Semi Rev'!O73-1,""),"")</f>
        <v/>
      </c>
      <c r="M358" s="38">
        <f>IFERROR(IF(AND(ISNUMBER('Semi Rev'!Q73),ISNUMBER('Semi Rev'!P73),'Semi Rev'!P73&gt;0),'Semi Rev'!Q73/'Semi Rev'!P73-1,""),"")</f>
        <v/>
      </c>
      <c r="N358" s="38">
        <f>IFERROR(IF(AND(ISNUMBER('Semi Rev'!R73),ISNUMBER('Semi Rev'!Q73),'Semi Rev'!Q73&gt;0),'Semi Rev'!R73/'Semi Rev'!Q73-1,""),"")</f>
        <v/>
      </c>
    </row>
    <row r="359">
      <c r="A359" s="19">
        <f>'Semi Rev'!$A74</f>
        <v/>
      </c>
      <c r="B359" s="19">
        <f>'Semi Rev'!$B74</f>
        <v/>
      </c>
      <c r="C359" s="37">
        <f>IFERROR(IF(AND(ISNUMBER('Semi Rev'!G74),ISNUMBER('Semi Rev'!F74),'Semi Rev'!F74&gt;0),'Semi Rev'!G74/'Semi Rev'!F74-1,""),"")</f>
        <v/>
      </c>
      <c r="D359" s="37">
        <f>IFERROR(IF(AND(ISNUMBER('Semi Rev'!H74),ISNUMBER('Semi Rev'!G74),'Semi Rev'!G74&gt;0),'Semi Rev'!H74/'Semi Rev'!G74-1,""),"")</f>
        <v/>
      </c>
      <c r="E359" s="37">
        <f>IFERROR(IF(AND(ISNUMBER('Semi Rev'!I74),ISNUMBER('Semi Rev'!H74),'Semi Rev'!H74&gt;0),'Semi Rev'!I74/'Semi Rev'!H74-1,""),"")</f>
        <v/>
      </c>
      <c r="F359" s="37">
        <f>IFERROR(IF(AND(ISNUMBER('Semi Rev'!J74),ISNUMBER('Semi Rev'!I74),'Semi Rev'!I74&gt;0),'Semi Rev'!J74/'Semi Rev'!I74-1,""),"")</f>
        <v/>
      </c>
      <c r="G359" s="37">
        <f>IFERROR(IF(AND(ISNUMBER('Semi Rev'!K74),ISNUMBER('Semi Rev'!J74),'Semi Rev'!J74&gt;0),'Semi Rev'!K74/'Semi Rev'!J74-1,""),"")</f>
        <v/>
      </c>
      <c r="H359" s="37">
        <f>IFERROR(IF(AND(ISNUMBER('Semi Rev'!L74),ISNUMBER('Semi Rev'!K74),'Semi Rev'!K74&gt;0),'Semi Rev'!L74/'Semi Rev'!K74-1,""),"")</f>
        <v/>
      </c>
      <c r="I359" s="37">
        <f>IFERROR(IF(AND(ISNUMBER('Semi Rev'!M74),ISNUMBER('Semi Rev'!L74),'Semi Rev'!L74&gt;0),'Semi Rev'!M74/'Semi Rev'!L74-1,""),"")</f>
        <v/>
      </c>
      <c r="J359" s="37">
        <f>IFERROR(IF(AND(ISNUMBER('Semi Rev'!N74),ISNUMBER('Semi Rev'!M74),'Semi Rev'!M74&gt;0),'Semi Rev'!N74/'Semi Rev'!M74-1,""),"")</f>
        <v/>
      </c>
      <c r="K359" s="37">
        <f>IFERROR(IF(AND(ISNUMBER('Semi Rev'!O74),ISNUMBER('Semi Rev'!N74),'Semi Rev'!N74&gt;0),'Semi Rev'!O74/'Semi Rev'!N74-1,""),"")</f>
        <v/>
      </c>
      <c r="L359" s="37">
        <f>IFERROR(IF(AND(ISNUMBER('Semi Rev'!P74),ISNUMBER('Semi Rev'!O74),'Semi Rev'!O74&gt;0),'Semi Rev'!P74/'Semi Rev'!O74-1,""),"")</f>
        <v/>
      </c>
      <c r="M359" s="38">
        <f>IFERROR(IF(AND(ISNUMBER('Semi Rev'!Q74),ISNUMBER('Semi Rev'!P74),'Semi Rev'!P74&gt;0),'Semi Rev'!Q74/'Semi Rev'!P74-1,""),"")</f>
        <v/>
      </c>
      <c r="N359" s="38">
        <f>IFERROR(IF(AND(ISNUMBER('Semi Rev'!R74),ISNUMBER('Semi Rev'!Q74),'Semi Rev'!Q74&gt;0),'Semi Rev'!R74/'Semi Rev'!Q74-1,""),"")</f>
        <v/>
      </c>
    </row>
    <row r="360">
      <c r="A360" s="19">
        <f>'Semi Rev'!$A75</f>
        <v/>
      </c>
      <c r="B360" s="19">
        <f>'Semi Rev'!$B75</f>
        <v/>
      </c>
      <c r="C360" s="37">
        <f>IFERROR(IF(AND(ISNUMBER('Semi Rev'!G75),ISNUMBER('Semi Rev'!F75),'Semi Rev'!F75&gt;0),'Semi Rev'!G75/'Semi Rev'!F75-1,""),"")</f>
        <v/>
      </c>
      <c r="D360" s="37">
        <f>IFERROR(IF(AND(ISNUMBER('Semi Rev'!H75),ISNUMBER('Semi Rev'!G75),'Semi Rev'!G75&gt;0),'Semi Rev'!H75/'Semi Rev'!G75-1,""),"")</f>
        <v/>
      </c>
      <c r="E360" s="37">
        <f>IFERROR(IF(AND(ISNUMBER('Semi Rev'!I75),ISNUMBER('Semi Rev'!H75),'Semi Rev'!H75&gt;0),'Semi Rev'!I75/'Semi Rev'!H75-1,""),"")</f>
        <v/>
      </c>
      <c r="F360" s="37">
        <f>IFERROR(IF(AND(ISNUMBER('Semi Rev'!J75),ISNUMBER('Semi Rev'!I75),'Semi Rev'!I75&gt;0),'Semi Rev'!J75/'Semi Rev'!I75-1,""),"")</f>
        <v/>
      </c>
      <c r="G360" s="37">
        <f>IFERROR(IF(AND(ISNUMBER('Semi Rev'!K75),ISNUMBER('Semi Rev'!J75),'Semi Rev'!J75&gt;0),'Semi Rev'!K75/'Semi Rev'!J75-1,""),"")</f>
        <v/>
      </c>
      <c r="H360" s="37">
        <f>IFERROR(IF(AND(ISNUMBER('Semi Rev'!L75),ISNUMBER('Semi Rev'!K75),'Semi Rev'!K75&gt;0),'Semi Rev'!L75/'Semi Rev'!K75-1,""),"")</f>
        <v/>
      </c>
      <c r="I360" s="37">
        <f>IFERROR(IF(AND(ISNUMBER('Semi Rev'!M75),ISNUMBER('Semi Rev'!L75),'Semi Rev'!L75&gt;0),'Semi Rev'!M75/'Semi Rev'!L75-1,""),"")</f>
        <v/>
      </c>
      <c r="J360" s="37">
        <f>IFERROR(IF(AND(ISNUMBER('Semi Rev'!N75),ISNUMBER('Semi Rev'!M75),'Semi Rev'!M75&gt;0),'Semi Rev'!N75/'Semi Rev'!M75-1,""),"")</f>
        <v/>
      </c>
      <c r="K360" s="37">
        <f>IFERROR(IF(AND(ISNUMBER('Semi Rev'!O75),ISNUMBER('Semi Rev'!N75),'Semi Rev'!N75&gt;0),'Semi Rev'!O75/'Semi Rev'!N75-1,""),"")</f>
        <v/>
      </c>
      <c r="L360" s="37">
        <f>IFERROR(IF(AND(ISNUMBER('Semi Rev'!P75),ISNUMBER('Semi Rev'!O75),'Semi Rev'!O75&gt;0),'Semi Rev'!P75/'Semi Rev'!O75-1,""),"")</f>
        <v/>
      </c>
      <c r="M360" s="38">
        <f>IFERROR(IF(AND(ISNUMBER('Semi Rev'!Q75),ISNUMBER('Semi Rev'!P75),'Semi Rev'!P75&gt;0),'Semi Rev'!Q75/'Semi Rev'!P75-1,""),"")</f>
        <v/>
      </c>
      <c r="N360" s="38">
        <f>IFERROR(IF(AND(ISNUMBER('Semi Rev'!R75),ISNUMBER('Semi Rev'!Q75),'Semi Rev'!Q75&gt;0),'Semi Rev'!R75/'Semi Rev'!Q75-1,""),"")</f>
        <v/>
      </c>
    </row>
    <row r="361">
      <c r="A361" s="19">
        <f>'Semi Rev'!$A76</f>
        <v/>
      </c>
      <c r="B361" s="19">
        <f>'Semi Rev'!$B76</f>
        <v/>
      </c>
      <c r="C361" s="37">
        <f>IFERROR(IF(AND(ISNUMBER('Semi Rev'!G76),ISNUMBER('Semi Rev'!F76),'Semi Rev'!F76&gt;0),'Semi Rev'!G76/'Semi Rev'!F76-1,""),"")</f>
        <v/>
      </c>
      <c r="D361" s="37">
        <f>IFERROR(IF(AND(ISNUMBER('Semi Rev'!H76),ISNUMBER('Semi Rev'!G76),'Semi Rev'!G76&gt;0),'Semi Rev'!H76/'Semi Rev'!G76-1,""),"")</f>
        <v/>
      </c>
      <c r="E361" s="37">
        <f>IFERROR(IF(AND(ISNUMBER('Semi Rev'!I76),ISNUMBER('Semi Rev'!H76),'Semi Rev'!H76&gt;0),'Semi Rev'!I76/'Semi Rev'!H76-1,""),"")</f>
        <v/>
      </c>
      <c r="F361" s="37">
        <f>IFERROR(IF(AND(ISNUMBER('Semi Rev'!J76),ISNUMBER('Semi Rev'!I76),'Semi Rev'!I76&gt;0),'Semi Rev'!J76/'Semi Rev'!I76-1,""),"")</f>
        <v/>
      </c>
      <c r="G361" s="37">
        <f>IFERROR(IF(AND(ISNUMBER('Semi Rev'!K76),ISNUMBER('Semi Rev'!J76),'Semi Rev'!J76&gt;0),'Semi Rev'!K76/'Semi Rev'!J76-1,""),"")</f>
        <v/>
      </c>
      <c r="H361" s="37">
        <f>IFERROR(IF(AND(ISNUMBER('Semi Rev'!L76),ISNUMBER('Semi Rev'!K76),'Semi Rev'!K76&gt;0),'Semi Rev'!L76/'Semi Rev'!K76-1,""),"")</f>
        <v/>
      </c>
      <c r="I361" s="37">
        <f>IFERROR(IF(AND(ISNUMBER('Semi Rev'!M76),ISNUMBER('Semi Rev'!L76),'Semi Rev'!L76&gt;0),'Semi Rev'!M76/'Semi Rev'!L76-1,""),"")</f>
        <v/>
      </c>
      <c r="J361" s="37">
        <f>IFERROR(IF(AND(ISNUMBER('Semi Rev'!N76),ISNUMBER('Semi Rev'!M76),'Semi Rev'!M76&gt;0),'Semi Rev'!N76/'Semi Rev'!M76-1,""),"")</f>
        <v/>
      </c>
      <c r="K361" s="37">
        <f>IFERROR(IF(AND(ISNUMBER('Semi Rev'!O76),ISNUMBER('Semi Rev'!N76),'Semi Rev'!N76&gt;0),'Semi Rev'!O76/'Semi Rev'!N76-1,""),"")</f>
        <v/>
      </c>
      <c r="L361" s="37">
        <f>IFERROR(IF(AND(ISNUMBER('Semi Rev'!P76),ISNUMBER('Semi Rev'!O76),'Semi Rev'!O76&gt;0),'Semi Rev'!P76/'Semi Rev'!O76-1,""),"")</f>
        <v/>
      </c>
      <c r="M361" s="38">
        <f>IFERROR(IF(AND(ISNUMBER('Semi Rev'!Q76),ISNUMBER('Semi Rev'!P76),'Semi Rev'!P76&gt;0),'Semi Rev'!Q76/'Semi Rev'!P76-1,""),"")</f>
        <v/>
      </c>
      <c r="N361" s="38">
        <f>IFERROR(IF(AND(ISNUMBER('Semi Rev'!R76),ISNUMBER('Semi Rev'!Q76),'Semi Rev'!Q76&gt;0),'Semi Rev'!R76/'Semi Rev'!Q76-1,""),"")</f>
        <v/>
      </c>
    </row>
    <row r="362">
      <c r="A362" s="19">
        <f>'Semi Rev'!$A77</f>
        <v/>
      </c>
      <c r="B362" s="19">
        <f>'Semi Rev'!$B77</f>
        <v/>
      </c>
      <c r="C362" s="37">
        <f>IFERROR(IF(AND(ISNUMBER('Semi Rev'!G77),ISNUMBER('Semi Rev'!F77),'Semi Rev'!F77&gt;0),'Semi Rev'!G77/'Semi Rev'!F77-1,""),"")</f>
        <v/>
      </c>
      <c r="D362" s="37">
        <f>IFERROR(IF(AND(ISNUMBER('Semi Rev'!H77),ISNUMBER('Semi Rev'!G77),'Semi Rev'!G77&gt;0),'Semi Rev'!H77/'Semi Rev'!G77-1,""),"")</f>
        <v/>
      </c>
      <c r="E362" s="37">
        <f>IFERROR(IF(AND(ISNUMBER('Semi Rev'!I77),ISNUMBER('Semi Rev'!H77),'Semi Rev'!H77&gt;0),'Semi Rev'!I77/'Semi Rev'!H77-1,""),"")</f>
        <v/>
      </c>
      <c r="F362" s="37">
        <f>IFERROR(IF(AND(ISNUMBER('Semi Rev'!J77),ISNUMBER('Semi Rev'!I77),'Semi Rev'!I77&gt;0),'Semi Rev'!J77/'Semi Rev'!I77-1,""),"")</f>
        <v/>
      </c>
      <c r="G362" s="37">
        <f>IFERROR(IF(AND(ISNUMBER('Semi Rev'!K77),ISNUMBER('Semi Rev'!J77),'Semi Rev'!J77&gt;0),'Semi Rev'!K77/'Semi Rev'!J77-1,""),"")</f>
        <v/>
      </c>
      <c r="H362" s="37">
        <f>IFERROR(IF(AND(ISNUMBER('Semi Rev'!L77),ISNUMBER('Semi Rev'!K77),'Semi Rev'!K77&gt;0),'Semi Rev'!L77/'Semi Rev'!K77-1,""),"")</f>
        <v/>
      </c>
      <c r="I362" s="37">
        <f>IFERROR(IF(AND(ISNUMBER('Semi Rev'!M77),ISNUMBER('Semi Rev'!L77),'Semi Rev'!L77&gt;0),'Semi Rev'!M77/'Semi Rev'!L77-1,""),"")</f>
        <v/>
      </c>
      <c r="J362" s="37">
        <f>IFERROR(IF(AND(ISNUMBER('Semi Rev'!N77),ISNUMBER('Semi Rev'!M77),'Semi Rev'!M77&gt;0),'Semi Rev'!N77/'Semi Rev'!M77-1,""),"")</f>
        <v/>
      </c>
      <c r="K362" s="37">
        <f>IFERROR(IF(AND(ISNUMBER('Semi Rev'!O77),ISNUMBER('Semi Rev'!N77),'Semi Rev'!N77&gt;0),'Semi Rev'!O77/'Semi Rev'!N77-1,""),"")</f>
        <v/>
      </c>
      <c r="L362" s="37">
        <f>IFERROR(IF(AND(ISNUMBER('Semi Rev'!P77),ISNUMBER('Semi Rev'!O77),'Semi Rev'!O77&gt;0),'Semi Rev'!P77/'Semi Rev'!O77-1,""),"")</f>
        <v/>
      </c>
      <c r="M362" s="38">
        <f>IFERROR(IF(AND(ISNUMBER('Semi Rev'!Q77),ISNUMBER('Semi Rev'!P77),'Semi Rev'!P77&gt;0),'Semi Rev'!Q77/'Semi Rev'!P77-1,""),"")</f>
        <v/>
      </c>
      <c r="N362" s="38">
        <f>IFERROR(IF(AND(ISNUMBER('Semi Rev'!R77),ISNUMBER('Semi Rev'!Q77),'Semi Rev'!Q77&gt;0),'Semi Rev'!R77/'Semi Rev'!Q77-1,""),"")</f>
        <v/>
      </c>
    </row>
    <row r="363">
      <c r="A363" s="19">
        <f>'Semi Rev'!$A78</f>
        <v/>
      </c>
      <c r="B363" s="19">
        <f>'Semi Rev'!$B78</f>
        <v/>
      </c>
      <c r="C363" s="37">
        <f>IFERROR(IF(AND(ISNUMBER('Semi Rev'!G78),ISNUMBER('Semi Rev'!F78),'Semi Rev'!F78&gt;0),'Semi Rev'!G78/'Semi Rev'!F78-1,""),"")</f>
        <v/>
      </c>
      <c r="D363" s="37">
        <f>IFERROR(IF(AND(ISNUMBER('Semi Rev'!H78),ISNUMBER('Semi Rev'!G78),'Semi Rev'!G78&gt;0),'Semi Rev'!H78/'Semi Rev'!G78-1,""),"")</f>
        <v/>
      </c>
      <c r="E363" s="37">
        <f>IFERROR(IF(AND(ISNUMBER('Semi Rev'!I78),ISNUMBER('Semi Rev'!H78),'Semi Rev'!H78&gt;0),'Semi Rev'!I78/'Semi Rev'!H78-1,""),"")</f>
        <v/>
      </c>
      <c r="F363" s="37">
        <f>IFERROR(IF(AND(ISNUMBER('Semi Rev'!J78),ISNUMBER('Semi Rev'!I78),'Semi Rev'!I78&gt;0),'Semi Rev'!J78/'Semi Rev'!I78-1,""),"")</f>
        <v/>
      </c>
      <c r="G363" s="37">
        <f>IFERROR(IF(AND(ISNUMBER('Semi Rev'!K78),ISNUMBER('Semi Rev'!J78),'Semi Rev'!J78&gt;0),'Semi Rev'!K78/'Semi Rev'!J78-1,""),"")</f>
        <v/>
      </c>
      <c r="H363" s="37">
        <f>IFERROR(IF(AND(ISNUMBER('Semi Rev'!L78),ISNUMBER('Semi Rev'!K78),'Semi Rev'!K78&gt;0),'Semi Rev'!L78/'Semi Rev'!K78-1,""),"")</f>
        <v/>
      </c>
      <c r="I363" s="37">
        <f>IFERROR(IF(AND(ISNUMBER('Semi Rev'!M78),ISNUMBER('Semi Rev'!L78),'Semi Rev'!L78&gt;0),'Semi Rev'!M78/'Semi Rev'!L78-1,""),"")</f>
        <v/>
      </c>
      <c r="J363" s="37">
        <f>IFERROR(IF(AND(ISNUMBER('Semi Rev'!N78),ISNUMBER('Semi Rev'!M78),'Semi Rev'!M78&gt;0),'Semi Rev'!N78/'Semi Rev'!M78-1,""),"")</f>
        <v/>
      </c>
      <c r="K363" s="37">
        <f>IFERROR(IF(AND(ISNUMBER('Semi Rev'!O78),ISNUMBER('Semi Rev'!N78),'Semi Rev'!N78&gt;0),'Semi Rev'!O78/'Semi Rev'!N78-1,""),"")</f>
        <v/>
      </c>
      <c r="L363" s="37">
        <f>IFERROR(IF(AND(ISNUMBER('Semi Rev'!P78),ISNUMBER('Semi Rev'!O78),'Semi Rev'!O78&gt;0),'Semi Rev'!P78/'Semi Rev'!O78-1,""),"")</f>
        <v/>
      </c>
      <c r="M363" s="38">
        <f>IFERROR(IF(AND(ISNUMBER('Semi Rev'!Q78),ISNUMBER('Semi Rev'!P78),'Semi Rev'!P78&gt;0),'Semi Rev'!Q78/'Semi Rev'!P78-1,""),"")</f>
        <v/>
      </c>
      <c r="N363" s="38">
        <f>IFERROR(IF(AND(ISNUMBER('Semi Rev'!R78),ISNUMBER('Semi Rev'!Q78),'Semi Rev'!Q78&gt;0),'Semi Rev'!R78/'Semi Rev'!Q78-1,""),"")</f>
        <v/>
      </c>
    </row>
    <row r="364">
      <c r="A364" s="19">
        <f>'Semi Rev'!$A79</f>
        <v/>
      </c>
      <c r="B364" s="19">
        <f>'Semi Rev'!$B79</f>
        <v/>
      </c>
      <c r="C364" s="37">
        <f>IFERROR(IF(AND(ISNUMBER('Semi Rev'!G79),ISNUMBER('Semi Rev'!F79),'Semi Rev'!F79&gt;0),'Semi Rev'!G79/'Semi Rev'!F79-1,""),"")</f>
        <v/>
      </c>
      <c r="D364" s="37">
        <f>IFERROR(IF(AND(ISNUMBER('Semi Rev'!H79),ISNUMBER('Semi Rev'!G79),'Semi Rev'!G79&gt;0),'Semi Rev'!H79/'Semi Rev'!G79-1,""),"")</f>
        <v/>
      </c>
      <c r="E364" s="37">
        <f>IFERROR(IF(AND(ISNUMBER('Semi Rev'!I79),ISNUMBER('Semi Rev'!H79),'Semi Rev'!H79&gt;0),'Semi Rev'!I79/'Semi Rev'!H79-1,""),"")</f>
        <v/>
      </c>
      <c r="F364" s="37">
        <f>IFERROR(IF(AND(ISNUMBER('Semi Rev'!J79),ISNUMBER('Semi Rev'!I79),'Semi Rev'!I79&gt;0),'Semi Rev'!J79/'Semi Rev'!I79-1,""),"")</f>
        <v/>
      </c>
      <c r="G364" s="37">
        <f>IFERROR(IF(AND(ISNUMBER('Semi Rev'!K79),ISNUMBER('Semi Rev'!J79),'Semi Rev'!J79&gt;0),'Semi Rev'!K79/'Semi Rev'!J79-1,""),"")</f>
        <v/>
      </c>
      <c r="H364" s="37">
        <f>IFERROR(IF(AND(ISNUMBER('Semi Rev'!L79),ISNUMBER('Semi Rev'!K79),'Semi Rev'!K79&gt;0),'Semi Rev'!L79/'Semi Rev'!K79-1,""),"")</f>
        <v/>
      </c>
      <c r="I364" s="37">
        <f>IFERROR(IF(AND(ISNUMBER('Semi Rev'!M79),ISNUMBER('Semi Rev'!L79),'Semi Rev'!L79&gt;0),'Semi Rev'!M79/'Semi Rev'!L79-1,""),"")</f>
        <v/>
      </c>
      <c r="J364" s="37">
        <f>IFERROR(IF(AND(ISNUMBER('Semi Rev'!N79),ISNUMBER('Semi Rev'!M79),'Semi Rev'!M79&gt;0),'Semi Rev'!N79/'Semi Rev'!M79-1,""),"")</f>
        <v/>
      </c>
      <c r="K364" s="37">
        <f>IFERROR(IF(AND(ISNUMBER('Semi Rev'!O79),ISNUMBER('Semi Rev'!N79),'Semi Rev'!N79&gt;0),'Semi Rev'!O79/'Semi Rev'!N79-1,""),"")</f>
        <v/>
      </c>
      <c r="L364" s="37">
        <f>IFERROR(IF(AND(ISNUMBER('Semi Rev'!P79),ISNUMBER('Semi Rev'!O79),'Semi Rev'!O79&gt;0),'Semi Rev'!P79/'Semi Rev'!O79-1,""),"")</f>
        <v/>
      </c>
      <c r="M364" s="38">
        <f>IFERROR(IF(AND(ISNUMBER('Semi Rev'!Q79),ISNUMBER('Semi Rev'!P79),'Semi Rev'!P79&gt;0),'Semi Rev'!Q79/'Semi Rev'!P79-1,""),"")</f>
        <v/>
      </c>
      <c r="N364" s="38">
        <f>IFERROR(IF(AND(ISNUMBER('Semi Rev'!R79),ISNUMBER('Semi Rev'!Q79),'Semi Rev'!Q79&gt;0),'Semi Rev'!R79/'Semi Rev'!Q79-1,""),"")</f>
        <v/>
      </c>
    </row>
    <row r="365">
      <c r="A365" s="19">
        <f>'Semi Rev'!$A80</f>
        <v/>
      </c>
      <c r="B365" s="19">
        <f>'Semi Rev'!$B80</f>
        <v/>
      </c>
      <c r="C365" s="37">
        <f>IFERROR(IF(AND(ISNUMBER('Semi Rev'!G80),ISNUMBER('Semi Rev'!F80),'Semi Rev'!F80&gt;0),'Semi Rev'!G80/'Semi Rev'!F80-1,""),"")</f>
        <v/>
      </c>
      <c r="D365" s="37">
        <f>IFERROR(IF(AND(ISNUMBER('Semi Rev'!H80),ISNUMBER('Semi Rev'!G80),'Semi Rev'!G80&gt;0),'Semi Rev'!H80/'Semi Rev'!G80-1,""),"")</f>
        <v/>
      </c>
      <c r="E365" s="37">
        <f>IFERROR(IF(AND(ISNUMBER('Semi Rev'!I80),ISNUMBER('Semi Rev'!H80),'Semi Rev'!H80&gt;0),'Semi Rev'!I80/'Semi Rev'!H80-1,""),"")</f>
        <v/>
      </c>
      <c r="F365" s="37">
        <f>IFERROR(IF(AND(ISNUMBER('Semi Rev'!J80),ISNUMBER('Semi Rev'!I80),'Semi Rev'!I80&gt;0),'Semi Rev'!J80/'Semi Rev'!I80-1,""),"")</f>
        <v/>
      </c>
      <c r="G365" s="37">
        <f>IFERROR(IF(AND(ISNUMBER('Semi Rev'!K80),ISNUMBER('Semi Rev'!J80),'Semi Rev'!J80&gt;0),'Semi Rev'!K80/'Semi Rev'!J80-1,""),"")</f>
        <v/>
      </c>
      <c r="H365" s="37">
        <f>IFERROR(IF(AND(ISNUMBER('Semi Rev'!L80),ISNUMBER('Semi Rev'!K80),'Semi Rev'!K80&gt;0),'Semi Rev'!L80/'Semi Rev'!K80-1,""),"")</f>
        <v/>
      </c>
      <c r="I365" s="37">
        <f>IFERROR(IF(AND(ISNUMBER('Semi Rev'!M80),ISNUMBER('Semi Rev'!L80),'Semi Rev'!L80&gt;0),'Semi Rev'!M80/'Semi Rev'!L80-1,""),"")</f>
        <v/>
      </c>
      <c r="J365" s="37">
        <f>IFERROR(IF(AND(ISNUMBER('Semi Rev'!N80),ISNUMBER('Semi Rev'!M80),'Semi Rev'!M80&gt;0),'Semi Rev'!N80/'Semi Rev'!M80-1,""),"")</f>
        <v/>
      </c>
      <c r="K365" s="37">
        <f>IFERROR(IF(AND(ISNUMBER('Semi Rev'!O80),ISNUMBER('Semi Rev'!N80),'Semi Rev'!N80&gt;0),'Semi Rev'!O80/'Semi Rev'!N80-1,""),"")</f>
        <v/>
      </c>
      <c r="L365" s="37">
        <f>IFERROR(IF(AND(ISNUMBER('Semi Rev'!P80),ISNUMBER('Semi Rev'!O80),'Semi Rev'!O80&gt;0),'Semi Rev'!P80/'Semi Rev'!O80-1,""),"")</f>
        <v/>
      </c>
      <c r="M365" s="38">
        <f>IFERROR(IF(AND(ISNUMBER('Semi Rev'!Q80),ISNUMBER('Semi Rev'!P80),'Semi Rev'!P80&gt;0),'Semi Rev'!Q80/'Semi Rev'!P80-1,""),"")</f>
        <v/>
      </c>
      <c r="N365" s="38">
        <f>IFERROR(IF(AND(ISNUMBER('Semi Rev'!R80),ISNUMBER('Semi Rev'!Q80),'Semi Rev'!Q80&gt;0),'Semi Rev'!R80/'Semi Rev'!Q80-1,""),"")</f>
        <v/>
      </c>
    </row>
    <row r="366">
      <c r="A366" s="19">
        <f>'Semi Rev'!$A81</f>
        <v/>
      </c>
      <c r="B366" s="19">
        <f>'Semi Rev'!$B81</f>
        <v/>
      </c>
      <c r="C366" s="37">
        <f>IFERROR(IF(AND(ISNUMBER('Semi Rev'!G81),ISNUMBER('Semi Rev'!F81),'Semi Rev'!F81&gt;0),'Semi Rev'!G81/'Semi Rev'!F81-1,""),"")</f>
        <v/>
      </c>
      <c r="D366" s="37">
        <f>IFERROR(IF(AND(ISNUMBER('Semi Rev'!H81),ISNUMBER('Semi Rev'!G81),'Semi Rev'!G81&gt;0),'Semi Rev'!H81/'Semi Rev'!G81-1,""),"")</f>
        <v/>
      </c>
      <c r="E366" s="37">
        <f>IFERROR(IF(AND(ISNUMBER('Semi Rev'!I81),ISNUMBER('Semi Rev'!H81),'Semi Rev'!H81&gt;0),'Semi Rev'!I81/'Semi Rev'!H81-1,""),"")</f>
        <v/>
      </c>
      <c r="F366" s="37">
        <f>IFERROR(IF(AND(ISNUMBER('Semi Rev'!J81),ISNUMBER('Semi Rev'!I81),'Semi Rev'!I81&gt;0),'Semi Rev'!J81/'Semi Rev'!I81-1,""),"")</f>
        <v/>
      </c>
      <c r="G366" s="37">
        <f>IFERROR(IF(AND(ISNUMBER('Semi Rev'!K81),ISNUMBER('Semi Rev'!J81),'Semi Rev'!J81&gt;0),'Semi Rev'!K81/'Semi Rev'!J81-1,""),"")</f>
        <v/>
      </c>
      <c r="H366" s="37">
        <f>IFERROR(IF(AND(ISNUMBER('Semi Rev'!L81),ISNUMBER('Semi Rev'!K81),'Semi Rev'!K81&gt;0),'Semi Rev'!L81/'Semi Rev'!K81-1,""),"")</f>
        <v/>
      </c>
      <c r="I366" s="37">
        <f>IFERROR(IF(AND(ISNUMBER('Semi Rev'!M81),ISNUMBER('Semi Rev'!L81),'Semi Rev'!L81&gt;0),'Semi Rev'!M81/'Semi Rev'!L81-1,""),"")</f>
        <v/>
      </c>
      <c r="J366" s="37">
        <f>IFERROR(IF(AND(ISNUMBER('Semi Rev'!N81),ISNUMBER('Semi Rev'!M81),'Semi Rev'!M81&gt;0),'Semi Rev'!N81/'Semi Rev'!M81-1,""),"")</f>
        <v/>
      </c>
      <c r="K366" s="37">
        <f>IFERROR(IF(AND(ISNUMBER('Semi Rev'!O81),ISNUMBER('Semi Rev'!N81),'Semi Rev'!N81&gt;0),'Semi Rev'!O81/'Semi Rev'!N81-1,""),"")</f>
        <v/>
      </c>
      <c r="L366" s="37">
        <f>IFERROR(IF(AND(ISNUMBER('Semi Rev'!P81),ISNUMBER('Semi Rev'!O81),'Semi Rev'!O81&gt;0),'Semi Rev'!P81/'Semi Rev'!O81-1,""),"")</f>
        <v/>
      </c>
      <c r="M366" s="38">
        <f>IFERROR(IF(AND(ISNUMBER('Semi Rev'!Q81),ISNUMBER('Semi Rev'!P81),'Semi Rev'!P81&gt;0),'Semi Rev'!Q81/'Semi Rev'!P81-1,""),"")</f>
        <v/>
      </c>
      <c r="N366" s="38">
        <f>IFERROR(IF(AND(ISNUMBER('Semi Rev'!R81),ISNUMBER('Semi Rev'!Q81),'Semi Rev'!Q81&gt;0),'Semi Rev'!R81/'Semi Rev'!Q81-1,""),"")</f>
        <v/>
      </c>
    </row>
    <row r="367">
      <c r="A367" s="19">
        <f>'Semi Rev'!$A82</f>
        <v/>
      </c>
      <c r="B367" s="19">
        <f>'Semi Rev'!$B82</f>
        <v/>
      </c>
      <c r="C367" s="37">
        <f>IFERROR(IF(AND(ISNUMBER('Semi Rev'!G82),ISNUMBER('Semi Rev'!F82),'Semi Rev'!F82&gt;0),'Semi Rev'!G82/'Semi Rev'!F82-1,""),"")</f>
        <v/>
      </c>
      <c r="D367" s="37">
        <f>IFERROR(IF(AND(ISNUMBER('Semi Rev'!H82),ISNUMBER('Semi Rev'!G82),'Semi Rev'!G82&gt;0),'Semi Rev'!H82/'Semi Rev'!G82-1,""),"")</f>
        <v/>
      </c>
      <c r="E367" s="37">
        <f>IFERROR(IF(AND(ISNUMBER('Semi Rev'!I82),ISNUMBER('Semi Rev'!H82),'Semi Rev'!H82&gt;0),'Semi Rev'!I82/'Semi Rev'!H82-1,""),"")</f>
        <v/>
      </c>
      <c r="F367" s="37">
        <f>IFERROR(IF(AND(ISNUMBER('Semi Rev'!J82),ISNUMBER('Semi Rev'!I82),'Semi Rev'!I82&gt;0),'Semi Rev'!J82/'Semi Rev'!I82-1,""),"")</f>
        <v/>
      </c>
      <c r="G367" s="37">
        <f>IFERROR(IF(AND(ISNUMBER('Semi Rev'!K82),ISNUMBER('Semi Rev'!J82),'Semi Rev'!J82&gt;0),'Semi Rev'!K82/'Semi Rev'!J82-1,""),"")</f>
        <v/>
      </c>
      <c r="H367" s="37">
        <f>IFERROR(IF(AND(ISNUMBER('Semi Rev'!L82),ISNUMBER('Semi Rev'!K82),'Semi Rev'!K82&gt;0),'Semi Rev'!L82/'Semi Rev'!K82-1,""),"")</f>
        <v/>
      </c>
      <c r="I367" s="37">
        <f>IFERROR(IF(AND(ISNUMBER('Semi Rev'!M82),ISNUMBER('Semi Rev'!L82),'Semi Rev'!L82&gt;0),'Semi Rev'!M82/'Semi Rev'!L82-1,""),"")</f>
        <v/>
      </c>
      <c r="J367" s="37">
        <f>IFERROR(IF(AND(ISNUMBER('Semi Rev'!N82),ISNUMBER('Semi Rev'!M82),'Semi Rev'!M82&gt;0),'Semi Rev'!N82/'Semi Rev'!M82-1,""),"")</f>
        <v/>
      </c>
      <c r="K367" s="37">
        <f>IFERROR(IF(AND(ISNUMBER('Semi Rev'!O82),ISNUMBER('Semi Rev'!N82),'Semi Rev'!N82&gt;0),'Semi Rev'!O82/'Semi Rev'!N82-1,""),"")</f>
        <v/>
      </c>
      <c r="L367" s="37">
        <f>IFERROR(IF(AND(ISNUMBER('Semi Rev'!P82),ISNUMBER('Semi Rev'!O82),'Semi Rev'!O82&gt;0),'Semi Rev'!P82/'Semi Rev'!O82-1,""),"")</f>
        <v/>
      </c>
      <c r="M367" s="38">
        <f>IFERROR(IF(AND(ISNUMBER('Semi Rev'!Q82),ISNUMBER('Semi Rev'!P82),'Semi Rev'!P82&gt;0),'Semi Rev'!Q82/'Semi Rev'!P82-1,""),"")</f>
        <v/>
      </c>
      <c r="N367" s="38">
        <f>IFERROR(IF(AND(ISNUMBER('Semi Rev'!R82),ISNUMBER('Semi Rev'!Q82),'Semi Rev'!Q82&gt;0),'Semi Rev'!R82/'Semi Rev'!Q82-1,""),"")</f>
        <v/>
      </c>
    </row>
    <row r="368">
      <c r="A368" s="19">
        <f>'Semi Rev'!$A83</f>
        <v/>
      </c>
      <c r="B368" s="19">
        <f>'Semi Rev'!$B83</f>
        <v/>
      </c>
      <c r="C368" s="37">
        <f>IFERROR(IF(AND(ISNUMBER('Semi Rev'!G83),ISNUMBER('Semi Rev'!F83),'Semi Rev'!F83&gt;0),'Semi Rev'!G83/'Semi Rev'!F83-1,""),"")</f>
        <v/>
      </c>
      <c r="D368" s="37">
        <f>IFERROR(IF(AND(ISNUMBER('Semi Rev'!H83),ISNUMBER('Semi Rev'!G83),'Semi Rev'!G83&gt;0),'Semi Rev'!H83/'Semi Rev'!G83-1,""),"")</f>
        <v/>
      </c>
      <c r="E368" s="37">
        <f>IFERROR(IF(AND(ISNUMBER('Semi Rev'!I83),ISNUMBER('Semi Rev'!H83),'Semi Rev'!H83&gt;0),'Semi Rev'!I83/'Semi Rev'!H83-1,""),"")</f>
        <v/>
      </c>
      <c r="F368" s="37">
        <f>IFERROR(IF(AND(ISNUMBER('Semi Rev'!J83),ISNUMBER('Semi Rev'!I83),'Semi Rev'!I83&gt;0),'Semi Rev'!J83/'Semi Rev'!I83-1,""),"")</f>
        <v/>
      </c>
      <c r="G368" s="37">
        <f>IFERROR(IF(AND(ISNUMBER('Semi Rev'!K83),ISNUMBER('Semi Rev'!J83),'Semi Rev'!J83&gt;0),'Semi Rev'!K83/'Semi Rev'!J83-1,""),"")</f>
        <v/>
      </c>
      <c r="H368" s="37">
        <f>IFERROR(IF(AND(ISNUMBER('Semi Rev'!L83),ISNUMBER('Semi Rev'!K83),'Semi Rev'!K83&gt;0),'Semi Rev'!L83/'Semi Rev'!K83-1,""),"")</f>
        <v/>
      </c>
      <c r="I368" s="37">
        <f>IFERROR(IF(AND(ISNUMBER('Semi Rev'!M83),ISNUMBER('Semi Rev'!L83),'Semi Rev'!L83&gt;0),'Semi Rev'!M83/'Semi Rev'!L83-1,""),"")</f>
        <v/>
      </c>
      <c r="J368" s="37">
        <f>IFERROR(IF(AND(ISNUMBER('Semi Rev'!N83),ISNUMBER('Semi Rev'!M83),'Semi Rev'!M83&gt;0),'Semi Rev'!N83/'Semi Rev'!M83-1,""),"")</f>
        <v/>
      </c>
      <c r="K368" s="37">
        <f>IFERROR(IF(AND(ISNUMBER('Semi Rev'!O83),ISNUMBER('Semi Rev'!N83),'Semi Rev'!N83&gt;0),'Semi Rev'!O83/'Semi Rev'!N83-1,""),"")</f>
        <v/>
      </c>
      <c r="L368" s="37">
        <f>IFERROR(IF(AND(ISNUMBER('Semi Rev'!P83),ISNUMBER('Semi Rev'!O83),'Semi Rev'!O83&gt;0),'Semi Rev'!P83/'Semi Rev'!O83-1,""),"")</f>
        <v/>
      </c>
      <c r="M368" s="38">
        <f>IFERROR(IF(AND(ISNUMBER('Semi Rev'!Q83),ISNUMBER('Semi Rev'!P83),'Semi Rev'!P83&gt;0),'Semi Rev'!Q83/'Semi Rev'!P83-1,""),"")</f>
        <v/>
      </c>
      <c r="N368" s="38">
        <f>IFERROR(IF(AND(ISNUMBER('Semi Rev'!R83),ISNUMBER('Semi Rev'!Q83),'Semi Rev'!Q83&gt;0),'Semi Rev'!R83/'Semi Rev'!Q83-1,""),"")</f>
        <v/>
      </c>
    </row>
    <row r="369">
      <c r="A369" s="19">
        <f>'Semi Rev'!$A84</f>
        <v/>
      </c>
      <c r="B369" s="19">
        <f>'Semi Rev'!$B84</f>
        <v/>
      </c>
      <c r="C369" s="37">
        <f>IFERROR(IF(AND(ISNUMBER('Semi Rev'!G84),ISNUMBER('Semi Rev'!F84),'Semi Rev'!F84&gt;0),'Semi Rev'!G84/'Semi Rev'!F84-1,""),"")</f>
        <v/>
      </c>
      <c r="D369" s="37">
        <f>IFERROR(IF(AND(ISNUMBER('Semi Rev'!H84),ISNUMBER('Semi Rev'!G84),'Semi Rev'!G84&gt;0),'Semi Rev'!H84/'Semi Rev'!G84-1,""),"")</f>
        <v/>
      </c>
      <c r="E369" s="37">
        <f>IFERROR(IF(AND(ISNUMBER('Semi Rev'!I84),ISNUMBER('Semi Rev'!H84),'Semi Rev'!H84&gt;0),'Semi Rev'!I84/'Semi Rev'!H84-1,""),"")</f>
        <v/>
      </c>
      <c r="F369" s="37">
        <f>IFERROR(IF(AND(ISNUMBER('Semi Rev'!J84),ISNUMBER('Semi Rev'!I84),'Semi Rev'!I84&gt;0),'Semi Rev'!J84/'Semi Rev'!I84-1,""),"")</f>
        <v/>
      </c>
      <c r="G369" s="37">
        <f>IFERROR(IF(AND(ISNUMBER('Semi Rev'!K84),ISNUMBER('Semi Rev'!J84),'Semi Rev'!J84&gt;0),'Semi Rev'!K84/'Semi Rev'!J84-1,""),"")</f>
        <v/>
      </c>
      <c r="H369" s="37">
        <f>IFERROR(IF(AND(ISNUMBER('Semi Rev'!L84),ISNUMBER('Semi Rev'!K84),'Semi Rev'!K84&gt;0),'Semi Rev'!L84/'Semi Rev'!K84-1,""),"")</f>
        <v/>
      </c>
      <c r="I369" s="37">
        <f>IFERROR(IF(AND(ISNUMBER('Semi Rev'!M84),ISNUMBER('Semi Rev'!L84),'Semi Rev'!L84&gt;0),'Semi Rev'!M84/'Semi Rev'!L84-1,""),"")</f>
        <v/>
      </c>
      <c r="J369" s="37">
        <f>IFERROR(IF(AND(ISNUMBER('Semi Rev'!N84),ISNUMBER('Semi Rev'!M84),'Semi Rev'!M84&gt;0),'Semi Rev'!N84/'Semi Rev'!M84-1,""),"")</f>
        <v/>
      </c>
      <c r="K369" s="37">
        <f>IFERROR(IF(AND(ISNUMBER('Semi Rev'!O84),ISNUMBER('Semi Rev'!N84),'Semi Rev'!N84&gt;0),'Semi Rev'!O84/'Semi Rev'!N84-1,""),"")</f>
        <v/>
      </c>
      <c r="L369" s="37">
        <f>IFERROR(IF(AND(ISNUMBER('Semi Rev'!P84),ISNUMBER('Semi Rev'!O84),'Semi Rev'!O84&gt;0),'Semi Rev'!P84/'Semi Rev'!O84-1,""),"")</f>
        <v/>
      </c>
      <c r="M369" s="38">
        <f>IFERROR(IF(AND(ISNUMBER('Semi Rev'!Q84),ISNUMBER('Semi Rev'!P84),'Semi Rev'!P84&gt;0),'Semi Rev'!Q84/'Semi Rev'!P84-1,""),"")</f>
        <v/>
      </c>
      <c r="N369" s="38">
        <f>IFERROR(IF(AND(ISNUMBER('Semi Rev'!R84),ISNUMBER('Semi Rev'!Q84),'Semi Rev'!Q84&gt;0),'Semi Rev'!R84/'Semi Rev'!Q84-1,""),"")</f>
        <v/>
      </c>
    </row>
    <row r="370">
      <c r="A370" s="19">
        <f>'Semi Rev'!$A85</f>
        <v/>
      </c>
      <c r="B370" s="19">
        <f>'Semi Rev'!$B85</f>
        <v/>
      </c>
      <c r="C370" s="37">
        <f>IFERROR(IF(AND(ISNUMBER('Semi Rev'!G85),ISNUMBER('Semi Rev'!F85),'Semi Rev'!F85&gt;0),'Semi Rev'!G85/'Semi Rev'!F85-1,""),"")</f>
        <v/>
      </c>
      <c r="D370" s="37">
        <f>IFERROR(IF(AND(ISNUMBER('Semi Rev'!H85),ISNUMBER('Semi Rev'!G85),'Semi Rev'!G85&gt;0),'Semi Rev'!H85/'Semi Rev'!G85-1,""),"")</f>
        <v/>
      </c>
      <c r="E370" s="37">
        <f>IFERROR(IF(AND(ISNUMBER('Semi Rev'!I85),ISNUMBER('Semi Rev'!H85),'Semi Rev'!H85&gt;0),'Semi Rev'!I85/'Semi Rev'!H85-1,""),"")</f>
        <v/>
      </c>
      <c r="F370" s="37">
        <f>IFERROR(IF(AND(ISNUMBER('Semi Rev'!J85),ISNUMBER('Semi Rev'!I85),'Semi Rev'!I85&gt;0),'Semi Rev'!J85/'Semi Rev'!I85-1,""),"")</f>
        <v/>
      </c>
      <c r="G370" s="37">
        <f>IFERROR(IF(AND(ISNUMBER('Semi Rev'!K85),ISNUMBER('Semi Rev'!J85),'Semi Rev'!J85&gt;0),'Semi Rev'!K85/'Semi Rev'!J85-1,""),"")</f>
        <v/>
      </c>
      <c r="H370" s="37">
        <f>IFERROR(IF(AND(ISNUMBER('Semi Rev'!L85),ISNUMBER('Semi Rev'!K85),'Semi Rev'!K85&gt;0),'Semi Rev'!L85/'Semi Rev'!K85-1,""),"")</f>
        <v/>
      </c>
      <c r="I370" s="37">
        <f>IFERROR(IF(AND(ISNUMBER('Semi Rev'!M85),ISNUMBER('Semi Rev'!L85),'Semi Rev'!L85&gt;0),'Semi Rev'!M85/'Semi Rev'!L85-1,""),"")</f>
        <v/>
      </c>
      <c r="J370" s="37">
        <f>IFERROR(IF(AND(ISNUMBER('Semi Rev'!N85),ISNUMBER('Semi Rev'!M85),'Semi Rev'!M85&gt;0),'Semi Rev'!N85/'Semi Rev'!M85-1,""),"")</f>
        <v/>
      </c>
      <c r="K370" s="37">
        <f>IFERROR(IF(AND(ISNUMBER('Semi Rev'!O85),ISNUMBER('Semi Rev'!N85),'Semi Rev'!N85&gt;0),'Semi Rev'!O85/'Semi Rev'!N85-1,""),"")</f>
        <v/>
      </c>
      <c r="L370" s="37">
        <f>IFERROR(IF(AND(ISNUMBER('Semi Rev'!P85),ISNUMBER('Semi Rev'!O85),'Semi Rev'!O85&gt;0),'Semi Rev'!P85/'Semi Rev'!O85-1,""),"")</f>
        <v/>
      </c>
      <c r="M370" s="38">
        <f>IFERROR(IF(AND(ISNUMBER('Semi Rev'!Q85),ISNUMBER('Semi Rev'!P85),'Semi Rev'!P85&gt;0),'Semi Rev'!Q85/'Semi Rev'!P85-1,""),"")</f>
        <v/>
      </c>
      <c r="N370" s="38">
        <f>IFERROR(IF(AND(ISNUMBER('Semi Rev'!R85),ISNUMBER('Semi Rev'!Q85),'Semi Rev'!Q85&gt;0),'Semi Rev'!R85/'Semi Rev'!Q85-1,""),"")</f>
        <v/>
      </c>
    </row>
    <row r="371">
      <c r="A371" s="19">
        <f>'Semi Rev'!$A86</f>
        <v/>
      </c>
      <c r="B371" s="19">
        <f>'Semi Rev'!$B86</f>
        <v/>
      </c>
      <c r="C371" s="37">
        <f>IFERROR(IF(AND(ISNUMBER('Semi Rev'!G86),ISNUMBER('Semi Rev'!F86),'Semi Rev'!F86&gt;0),'Semi Rev'!G86/'Semi Rev'!F86-1,""),"")</f>
        <v/>
      </c>
      <c r="D371" s="37">
        <f>IFERROR(IF(AND(ISNUMBER('Semi Rev'!H86),ISNUMBER('Semi Rev'!G86),'Semi Rev'!G86&gt;0),'Semi Rev'!H86/'Semi Rev'!G86-1,""),"")</f>
        <v/>
      </c>
      <c r="E371" s="37">
        <f>IFERROR(IF(AND(ISNUMBER('Semi Rev'!I86),ISNUMBER('Semi Rev'!H86),'Semi Rev'!H86&gt;0),'Semi Rev'!I86/'Semi Rev'!H86-1,""),"")</f>
        <v/>
      </c>
      <c r="F371" s="37">
        <f>IFERROR(IF(AND(ISNUMBER('Semi Rev'!J86),ISNUMBER('Semi Rev'!I86),'Semi Rev'!I86&gt;0),'Semi Rev'!J86/'Semi Rev'!I86-1,""),"")</f>
        <v/>
      </c>
      <c r="G371" s="37">
        <f>IFERROR(IF(AND(ISNUMBER('Semi Rev'!K86),ISNUMBER('Semi Rev'!J86),'Semi Rev'!J86&gt;0),'Semi Rev'!K86/'Semi Rev'!J86-1,""),"")</f>
        <v/>
      </c>
      <c r="H371" s="37">
        <f>IFERROR(IF(AND(ISNUMBER('Semi Rev'!L86),ISNUMBER('Semi Rev'!K86),'Semi Rev'!K86&gt;0),'Semi Rev'!L86/'Semi Rev'!K86-1,""),"")</f>
        <v/>
      </c>
      <c r="I371" s="37">
        <f>IFERROR(IF(AND(ISNUMBER('Semi Rev'!M86),ISNUMBER('Semi Rev'!L86),'Semi Rev'!L86&gt;0),'Semi Rev'!M86/'Semi Rev'!L86-1,""),"")</f>
        <v/>
      </c>
      <c r="J371" s="37">
        <f>IFERROR(IF(AND(ISNUMBER('Semi Rev'!N86),ISNUMBER('Semi Rev'!M86),'Semi Rev'!M86&gt;0),'Semi Rev'!N86/'Semi Rev'!M86-1,""),"")</f>
        <v/>
      </c>
      <c r="K371" s="37">
        <f>IFERROR(IF(AND(ISNUMBER('Semi Rev'!O86),ISNUMBER('Semi Rev'!N86),'Semi Rev'!N86&gt;0),'Semi Rev'!O86/'Semi Rev'!N86-1,""),"")</f>
        <v/>
      </c>
      <c r="L371" s="37">
        <f>IFERROR(IF(AND(ISNUMBER('Semi Rev'!P86),ISNUMBER('Semi Rev'!O86),'Semi Rev'!O86&gt;0),'Semi Rev'!P86/'Semi Rev'!O86-1,""),"")</f>
        <v/>
      </c>
      <c r="M371" s="38">
        <f>IFERROR(IF(AND(ISNUMBER('Semi Rev'!Q86),ISNUMBER('Semi Rev'!P86),'Semi Rev'!P86&gt;0),'Semi Rev'!Q86/'Semi Rev'!P86-1,""),"")</f>
        <v/>
      </c>
      <c r="N371" s="38">
        <f>IFERROR(IF(AND(ISNUMBER('Semi Rev'!R86),ISNUMBER('Semi Rev'!Q86),'Semi Rev'!Q86&gt;0),'Semi Rev'!R86/'Semi Rev'!Q86-1,""),"")</f>
        <v/>
      </c>
    </row>
    <row r="372">
      <c r="A372" s="19">
        <f>'Semi Rev'!$A87</f>
        <v/>
      </c>
      <c r="B372" s="19">
        <f>'Semi Rev'!$B87</f>
        <v/>
      </c>
      <c r="C372" s="37">
        <f>IFERROR(IF(AND(ISNUMBER('Semi Rev'!G87),ISNUMBER('Semi Rev'!F87),'Semi Rev'!F87&gt;0),'Semi Rev'!G87/'Semi Rev'!F87-1,""),"")</f>
        <v/>
      </c>
      <c r="D372" s="37">
        <f>IFERROR(IF(AND(ISNUMBER('Semi Rev'!H87),ISNUMBER('Semi Rev'!G87),'Semi Rev'!G87&gt;0),'Semi Rev'!H87/'Semi Rev'!G87-1,""),"")</f>
        <v/>
      </c>
      <c r="E372" s="37">
        <f>IFERROR(IF(AND(ISNUMBER('Semi Rev'!I87),ISNUMBER('Semi Rev'!H87),'Semi Rev'!H87&gt;0),'Semi Rev'!I87/'Semi Rev'!H87-1,""),"")</f>
        <v/>
      </c>
      <c r="F372" s="37">
        <f>IFERROR(IF(AND(ISNUMBER('Semi Rev'!J87),ISNUMBER('Semi Rev'!I87),'Semi Rev'!I87&gt;0),'Semi Rev'!J87/'Semi Rev'!I87-1,""),"")</f>
        <v/>
      </c>
      <c r="G372" s="37">
        <f>IFERROR(IF(AND(ISNUMBER('Semi Rev'!K87),ISNUMBER('Semi Rev'!J87),'Semi Rev'!J87&gt;0),'Semi Rev'!K87/'Semi Rev'!J87-1,""),"")</f>
        <v/>
      </c>
      <c r="H372" s="37">
        <f>IFERROR(IF(AND(ISNUMBER('Semi Rev'!L87),ISNUMBER('Semi Rev'!K87),'Semi Rev'!K87&gt;0),'Semi Rev'!L87/'Semi Rev'!K87-1,""),"")</f>
        <v/>
      </c>
      <c r="I372" s="37">
        <f>IFERROR(IF(AND(ISNUMBER('Semi Rev'!M87),ISNUMBER('Semi Rev'!L87),'Semi Rev'!L87&gt;0),'Semi Rev'!M87/'Semi Rev'!L87-1,""),"")</f>
        <v/>
      </c>
      <c r="J372" s="37">
        <f>IFERROR(IF(AND(ISNUMBER('Semi Rev'!N87),ISNUMBER('Semi Rev'!M87),'Semi Rev'!M87&gt;0),'Semi Rev'!N87/'Semi Rev'!M87-1,""),"")</f>
        <v/>
      </c>
      <c r="K372" s="37">
        <f>IFERROR(IF(AND(ISNUMBER('Semi Rev'!O87),ISNUMBER('Semi Rev'!N87),'Semi Rev'!N87&gt;0),'Semi Rev'!O87/'Semi Rev'!N87-1,""),"")</f>
        <v/>
      </c>
      <c r="L372" s="37">
        <f>IFERROR(IF(AND(ISNUMBER('Semi Rev'!P87),ISNUMBER('Semi Rev'!O87),'Semi Rev'!O87&gt;0),'Semi Rev'!P87/'Semi Rev'!O87-1,""),"")</f>
        <v/>
      </c>
      <c r="M372" s="38">
        <f>IFERROR(IF(AND(ISNUMBER('Semi Rev'!Q87),ISNUMBER('Semi Rev'!P87),'Semi Rev'!P87&gt;0),'Semi Rev'!Q87/'Semi Rev'!P87-1,""),"")</f>
        <v/>
      </c>
      <c r="N372" s="38">
        <f>IFERROR(IF(AND(ISNUMBER('Semi Rev'!R87),ISNUMBER('Semi Rev'!Q87),'Semi Rev'!Q87&gt;0),'Semi Rev'!R87/'Semi Rev'!Q87-1,""),"")</f>
        <v/>
      </c>
    </row>
    <row r="373">
      <c r="A373" s="19">
        <f>'Semi Rev'!$A88</f>
        <v/>
      </c>
      <c r="B373" s="19">
        <f>'Semi Rev'!$B88</f>
        <v/>
      </c>
      <c r="C373" s="37">
        <f>IFERROR(IF(AND(ISNUMBER('Semi Rev'!G88),ISNUMBER('Semi Rev'!F88),'Semi Rev'!F88&gt;0),'Semi Rev'!G88/'Semi Rev'!F88-1,""),"")</f>
        <v/>
      </c>
      <c r="D373" s="37">
        <f>IFERROR(IF(AND(ISNUMBER('Semi Rev'!H88),ISNUMBER('Semi Rev'!G88),'Semi Rev'!G88&gt;0),'Semi Rev'!H88/'Semi Rev'!G88-1,""),"")</f>
        <v/>
      </c>
      <c r="E373" s="37">
        <f>IFERROR(IF(AND(ISNUMBER('Semi Rev'!I88),ISNUMBER('Semi Rev'!H88),'Semi Rev'!H88&gt;0),'Semi Rev'!I88/'Semi Rev'!H88-1,""),"")</f>
        <v/>
      </c>
      <c r="F373" s="37">
        <f>IFERROR(IF(AND(ISNUMBER('Semi Rev'!J88),ISNUMBER('Semi Rev'!I88),'Semi Rev'!I88&gt;0),'Semi Rev'!J88/'Semi Rev'!I88-1,""),"")</f>
        <v/>
      </c>
      <c r="G373" s="37">
        <f>IFERROR(IF(AND(ISNUMBER('Semi Rev'!K88),ISNUMBER('Semi Rev'!J88),'Semi Rev'!J88&gt;0),'Semi Rev'!K88/'Semi Rev'!J88-1,""),"")</f>
        <v/>
      </c>
      <c r="H373" s="37">
        <f>IFERROR(IF(AND(ISNUMBER('Semi Rev'!L88),ISNUMBER('Semi Rev'!K88),'Semi Rev'!K88&gt;0),'Semi Rev'!L88/'Semi Rev'!K88-1,""),"")</f>
        <v/>
      </c>
      <c r="I373" s="37">
        <f>IFERROR(IF(AND(ISNUMBER('Semi Rev'!M88),ISNUMBER('Semi Rev'!L88),'Semi Rev'!L88&gt;0),'Semi Rev'!M88/'Semi Rev'!L88-1,""),"")</f>
        <v/>
      </c>
      <c r="J373" s="37">
        <f>IFERROR(IF(AND(ISNUMBER('Semi Rev'!N88),ISNUMBER('Semi Rev'!M88),'Semi Rev'!M88&gt;0),'Semi Rev'!N88/'Semi Rev'!M88-1,""),"")</f>
        <v/>
      </c>
      <c r="K373" s="37">
        <f>IFERROR(IF(AND(ISNUMBER('Semi Rev'!O88),ISNUMBER('Semi Rev'!N88),'Semi Rev'!N88&gt;0),'Semi Rev'!O88/'Semi Rev'!N88-1,""),"")</f>
        <v/>
      </c>
      <c r="L373" s="37">
        <f>IFERROR(IF(AND(ISNUMBER('Semi Rev'!P88),ISNUMBER('Semi Rev'!O88),'Semi Rev'!O88&gt;0),'Semi Rev'!P88/'Semi Rev'!O88-1,""),"")</f>
        <v/>
      </c>
      <c r="M373" s="38">
        <f>IFERROR(IF(AND(ISNUMBER('Semi Rev'!Q88),ISNUMBER('Semi Rev'!P88),'Semi Rev'!P88&gt;0),'Semi Rev'!Q88/'Semi Rev'!P88-1,""),"")</f>
        <v/>
      </c>
      <c r="N373" s="38">
        <f>IFERROR(IF(AND(ISNUMBER('Semi Rev'!R88),ISNUMBER('Semi Rev'!Q88),'Semi Rev'!Q88&gt;0),'Semi Rev'!R88/'Semi Rev'!Q88-1,""),"")</f>
        <v/>
      </c>
    </row>
    <row r="374">
      <c r="A374" s="19">
        <f>'Semi Rev'!$A89</f>
        <v/>
      </c>
      <c r="B374" s="19">
        <f>'Semi Rev'!$B89</f>
        <v/>
      </c>
      <c r="C374" s="37">
        <f>IFERROR(IF(AND(ISNUMBER('Semi Rev'!G89),ISNUMBER('Semi Rev'!F89),'Semi Rev'!F89&gt;0),'Semi Rev'!G89/'Semi Rev'!F89-1,""),"")</f>
        <v/>
      </c>
      <c r="D374" s="37">
        <f>IFERROR(IF(AND(ISNUMBER('Semi Rev'!H89),ISNUMBER('Semi Rev'!G89),'Semi Rev'!G89&gt;0),'Semi Rev'!H89/'Semi Rev'!G89-1,""),"")</f>
        <v/>
      </c>
      <c r="E374" s="37">
        <f>IFERROR(IF(AND(ISNUMBER('Semi Rev'!I89),ISNUMBER('Semi Rev'!H89),'Semi Rev'!H89&gt;0),'Semi Rev'!I89/'Semi Rev'!H89-1,""),"")</f>
        <v/>
      </c>
      <c r="F374" s="37">
        <f>IFERROR(IF(AND(ISNUMBER('Semi Rev'!J89),ISNUMBER('Semi Rev'!I89),'Semi Rev'!I89&gt;0),'Semi Rev'!J89/'Semi Rev'!I89-1,""),"")</f>
        <v/>
      </c>
      <c r="G374" s="37">
        <f>IFERROR(IF(AND(ISNUMBER('Semi Rev'!K89),ISNUMBER('Semi Rev'!J89),'Semi Rev'!J89&gt;0),'Semi Rev'!K89/'Semi Rev'!J89-1,""),"")</f>
        <v/>
      </c>
      <c r="H374" s="37">
        <f>IFERROR(IF(AND(ISNUMBER('Semi Rev'!L89),ISNUMBER('Semi Rev'!K89),'Semi Rev'!K89&gt;0),'Semi Rev'!L89/'Semi Rev'!K89-1,""),"")</f>
        <v/>
      </c>
      <c r="I374" s="37">
        <f>IFERROR(IF(AND(ISNUMBER('Semi Rev'!M89),ISNUMBER('Semi Rev'!L89),'Semi Rev'!L89&gt;0),'Semi Rev'!M89/'Semi Rev'!L89-1,""),"")</f>
        <v/>
      </c>
      <c r="J374" s="37">
        <f>IFERROR(IF(AND(ISNUMBER('Semi Rev'!N89),ISNUMBER('Semi Rev'!M89),'Semi Rev'!M89&gt;0),'Semi Rev'!N89/'Semi Rev'!M89-1,""),"")</f>
        <v/>
      </c>
      <c r="K374" s="37">
        <f>IFERROR(IF(AND(ISNUMBER('Semi Rev'!O89),ISNUMBER('Semi Rev'!N89),'Semi Rev'!N89&gt;0),'Semi Rev'!O89/'Semi Rev'!N89-1,""),"")</f>
        <v/>
      </c>
      <c r="L374" s="37">
        <f>IFERROR(IF(AND(ISNUMBER('Semi Rev'!P89),ISNUMBER('Semi Rev'!O89),'Semi Rev'!O89&gt;0),'Semi Rev'!P89/'Semi Rev'!O89-1,""),"")</f>
        <v/>
      </c>
      <c r="M374" s="38">
        <f>IFERROR(IF(AND(ISNUMBER('Semi Rev'!Q89),ISNUMBER('Semi Rev'!P89),'Semi Rev'!P89&gt;0),'Semi Rev'!Q89/'Semi Rev'!P89-1,""),"")</f>
        <v/>
      </c>
      <c r="N374" s="38">
        <f>IFERROR(IF(AND(ISNUMBER('Semi Rev'!R89),ISNUMBER('Semi Rev'!Q89),'Semi Rev'!Q89&gt;0),'Semi Rev'!R89/'Semi Rev'!Q89-1,""),"")</f>
        <v/>
      </c>
    </row>
    <row r="375">
      <c r="A375" s="19">
        <f>'Semi Rev'!$A90</f>
        <v/>
      </c>
      <c r="B375" s="19">
        <f>'Semi Rev'!$B90</f>
        <v/>
      </c>
      <c r="C375" s="37">
        <f>IFERROR(IF(AND(ISNUMBER('Semi Rev'!G90),ISNUMBER('Semi Rev'!F90),'Semi Rev'!F90&gt;0),'Semi Rev'!G90/'Semi Rev'!F90-1,""),"")</f>
        <v/>
      </c>
      <c r="D375" s="37">
        <f>IFERROR(IF(AND(ISNUMBER('Semi Rev'!H90),ISNUMBER('Semi Rev'!G90),'Semi Rev'!G90&gt;0),'Semi Rev'!H90/'Semi Rev'!G90-1,""),"")</f>
        <v/>
      </c>
      <c r="E375" s="37">
        <f>IFERROR(IF(AND(ISNUMBER('Semi Rev'!I90),ISNUMBER('Semi Rev'!H90),'Semi Rev'!H90&gt;0),'Semi Rev'!I90/'Semi Rev'!H90-1,""),"")</f>
        <v/>
      </c>
      <c r="F375" s="37">
        <f>IFERROR(IF(AND(ISNUMBER('Semi Rev'!J90),ISNUMBER('Semi Rev'!I90),'Semi Rev'!I90&gt;0),'Semi Rev'!J90/'Semi Rev'!I90-1,""),"")</f>
        <v/>
      </c>
      <c r="G375" s="37">
        <f>IFERROR(IF(AND(ISNUMBER('Semi Rev'!K90),ISNUMBER('Semi Rev'!J90),'Semi Rev'!J90&gt;0),'Semi Rev'!K90/'Semi Rev'!J90-1,""),"")</f>
        <v/>
      </c>
      <c r="H375" s="37">
        <f>IFERROR(IF(AND(ISNUMBER('Semi Rev'!L90),ISNUMBER('Semi Rev'!K90),'Semi Rev'!K90&gt;0),'Semi Rev'!L90/'Semi Rev'!K90-1,""),"")</f>
        <v/>
      </c>
      <c r="I375" s="37">
        <f>IFERROR(IF(AND(ISNUMBER('Semi Rev'!M90),ISNUMBER('Semi Rev'!L90),'Semi Rev'!L90&gt;0),'Semi Rev'!M90/'Semi Rev'!L90-1,""),"")</f>
        <v/>
      </c>
      <c r="J375" s="37">
        <f>IFERROR(IF(AND(ISNUMBER('Semi Rev'!N90),ISNUMBER('Semi Rev'!M90),'Semi Rev'!M90&gt;0),'Semi Rev'!N90/'Semi Rev'!M90-1,""),"")</f>
        <v/>
      </c>
      <c r="K375" s="37">
        <f>IFERROR(IF(AND(ISNUMBER('Semi Rev'!O90),ISNUMBER('Semi Rev'!N90),'Semi Rev'!N90&gt;0),'Semi Rev'!O90/'Semi Rev'!N90-1,""),"")</f>
        <v/>
      </c>
      <c r="L375" s="37">
        <f>IFERROR(IF(AND(ISNUMBER('Semi Rev'!P90),ISNUMBER('Semi Rev'!O90),'Semi Rev'!O90&gt;0),'Semi Rev'!P90/'Semi Rev'!O90-1,""),"")</f>
        <v/>
      </c>
      <c r="M375" s="38">
        <f>IFERROR(IF(AND(ISNUMBER('Semi Rev'!Q90),ISNUMBER('Semi Rev'!P90),'Semi Rev'!P90&gt;0),'Semi Rev'!Q90/'Semi Rev'!P90-1,""),"")</f>
        <v/>
      </c>
      <c r="N375" s="38">
        <f>IFERROR(IF(AND(ISNUMBER('Semi Rev'!R90),ISNUMBER('Semi Rev'!Q90),'Semi Rev'!Q90&gt;0),'Semi Rev'!R90/'Semi Rev'!Q90-1,""),"")</f>
        <v/>
      </c>
    </row>
    <row r="376">
      <c r="A376" s="19">
        <f>'Semi Rev'!$A91</f>
        <v/>
      </c>
      <c r="B376" s="19">
        <f>'Semi Rev'!$B91</f>
        <v/>
      </c>
      <c r="C376" s="37">
        <f>IFERROR(IF(AND(ISNUMBER('Semi Rev'!G91),ISNUMBER('Semi Rev'!F91),'Semi Rev'!F91&gt;0),'Semi Rev'!G91/'Semi Rev'!F91-1,""),"")</f>
        <v/>
      </c>
      <c r="D376" s="37">
        <f>IFERROR(IF(AND(ISNUMBER('Semi Rev'!H91),ISNUMBER('Semi Rev'!G91),'Semi Rev'!G91&gt;0),'Semi Rev'!H91/'Semi Rev'!G91-1,""),"")</f>
        <v/>
      </c>
      <c r="E376" s="37">
        <f>IFERROR(IF(AND(ISNUMBER('Semi Rev'!I91),ISNUMBER('Semi Rev'!H91),'Semi Rev'!H91&gt;0),'Semi Rev'!I91/'Semi Rev'!H91-1,""),"")</f>
        <v/>
      </c>
      <c r="F376" s="37">
        <f>IFERROR(IF(AND(ISNUMBER('Semi Rev'!J91),ISNUMBER('Semi Rev'!I91),'Semi Rev'!I91&gt;0),'Semi Rev'!J91/'Semi Rev'!I91-1,""),"")</f>
        <v/>
      </c>
      <c r="G376" s="37">
        <f>IFERROR(IF(AND(ISNUMBER('Semi Rev'!K91),ISNUMBER('Semi Rev'!J91),'Semi Rev'!J91&gt;0),'Semi Rev'!K91/'Semi Rev'!J91-1,""),"")</f>
        <v/>
      </c>
      <c r="H376" s="37">
        <f>IFERROR(IF(AND(ISNUMBER('Semi Rev'!L91),ISNUMBER('Semi Rev'!K91),'Semi Rev'!K91&gt;0),'Semi Rev'!L91/'Semi Rev'!K91-1,""),"")</f>
        <v/>
      </c>
      <c r="I376" s="37">
        <f>IFERROR(IF(AND(ISNUMBER('Semi Rev'!M91),ISNUMBER('Semi Rev'!L91),'Semi Rev'!L91&gt;0),'Semi Rev'!M91/'Semi Rev'!L91-1,""),"")</f>
        <v/>
      </c>
      <c r="J376" s="37">
        <f>IFERROR(IF(AND(ISNUMBER('Semi Rev'!N91),ISNUMBER('Semi Rev'!M91),'Semi Rev'!M91&gt;0),'Semi Rev'!N91/'Semi Rev'!M91-1,""),"")</f>
        <v/>
      </c>
      <c r="K376" s="37">
        <f>IFERROR(IF(AND(ISNUMBER('Semi Rev'!O91),ISNUMBER('Semi Rev'!N91),'Semi Rev'!N91&gt;0),'Semi Rev'!O91/'Semi Rev'!N91-1,""),"")</f>
        <v/>
      </c>
      <c r="L376" s="37">
        <f>IFERROR(IF(AND(ISNUMBER('Semi Rev'!P91),ISNUMBER('Semi Rev'!O91),'Semi Rev'!O91&gt;0),'Semi Rev'!P91/'Semi Rev'!O91-1,""),"")</f>
        <v/>
      </c>
      <c r="M376" s="38">
        <f>IFERROR(IF(AND(ISNUMBER('Semi Rev'!Q91),ISNUMBER('Semi Rev'!P91),'Semi Rev'!P91&gt;0),'Semi Rev'!Q91/'Semi Rev'!P91-1,""),"")</f>
        <v/>
      </c>
      <c r="N376" s="38">
        <f>IFERROR(IF(AND(ISNUMBER('Semi Rev'!R91),ISNUMBER('Semi Rev'!Q91),'Semi Rev'!Q91&gt;0),'Semi Rev'!R91/'Semi Rev'!Q91-1,""),"")</f>
        <v/>
      </c>
    </row>
    <row r="377">
      <c r="A377" s="19">
        <f>'Semi Rev'!$A92</f>
        <v/>
      </c>
      <c r="B377" s="19">
        <f>'Semi Rev'!$B92</f>
        <v/>
      </c>
      <c r="C377" s="37">
        <f>IFERROR(IF(AND(ISNUMBER('Semi Rev'!G92),ISNUMBER('Semi Rev'!F92),'Semi Rev'!F92&gt;0),'Semi Rev'!G92/'Semi Rev'!F92-1,""),"")</f>
        <v/>
      </c>
      <c r="D377" s="37">
        <f>IFERROR(IF(AND(ISNUMBER('Semi Rev'!H92),ISNUMBER('Semi Rev'!G92),'Semi Rev'!G92&gt;0),'Semi Rev'!H92/'Semi Rev'!G92-1,""),"")</f>
        <v/>
      </c>
      <c r="E377" s="37">
        <f>IFERROR(IF(AND(ISNUMBER('Semi Rev'!I92),ISNUMBER('Semi Rev'!H92),'Semi Rev'!H92&gt;0),'Semi Rev'!I92/'Semi Rev'!H92-1,""),"")</f>
        <v/>
      </c>
      <c r="F377" s="37">
        <f>IFERROR(IF(AND(ISNUMBER('Semi Rev'!J92),ISNUMBER('Semi Rev'!I92),'Semi Rev'!I92&gt;0),'Semi Rev'!J92/'Semi Rev'!I92-1,""),"")</f>
        <v/>
      </c>
      <c r="G377" s="37">
        <f>IFERROR(IF(AND(ISNUMBER('Semi Rev'!K92),ISNUMBER('Semi Rev'!J92),'Semi Rev'!J92&gt;0),'Semi Rev'!K92/'Semi Rev'!J92-1,""),"")</f>
        <v/>
      </c>
      <c r="H377" s="37">
        <f>IFERROR(IF(AND(ISNUMBER('Semi Rev'!L92),ISNUMBER('Semi Rev'!K92),'Semi Rev'!K92&gt;0),'Semi Rev'!L92/'Semi Rev'!K92-1,""),"")</f>
        <v/>
      </c>
      <c r="I377" s="37">
        <f>IFERROR(IF(AND(ISNUMBER('Semi Rev'!M92),ISNUMBER('Semi Rev'!L92),'Semi Rev'!L92&gt;0),'Semi Rev'!M92/'Semi Rev'!L92-1,""),"")</f>
        <v/>
      </c>
      <c r="J377" s="37">
        <f>IFERROR(IF(AND(ISNUMBER('Semi Rev'!N92),ISNUMBER('Semi Rev'!M92),'Semi Rev'!M92&gt;0),'Semi Rev'!N92/'Semi Rev'!M92-1,""),"")</f>
        <v/>
      </c>
      <c r="K377" s="37">
        <f>IFERROR(IF(AND(ISNUMBER('Semi Rev'!O92),ISNUMBER('Semi Rev'!N92),'Semi Rev'!N92&gt;0),'Semi Rev'!O92/'Semi Rev'!N92-1,""),"")</f>
        <v/>
      </c>
      <c r="L377" s="37">
        <f>IFERROR(IF(AND(ISNUMBER('Semi Rev'!P92),ISNUMBER('Semi Rev'!O92),'Semi Rev'!O92&gt;0),'Semi Rev'!P92/'Semi Rev'!O92-1,""),"")</f>
        <v/>
      </c>
      <c r="M377" s="38">
        <f>IFERROR(IF(AND(ISNUMBER('Semi Rev'!Q92),ISNUMBER('Semi Rev'!P92),'Semi Rev'!P92&gt;0),'Semi Rev'!Q92/'Semi Rev'!P92-1,""),"")</f>
        <v/>
      </c>
      <c r="N377" s="38">
        <f>IFERROR(IF(AND(ISNUMBER('Semi Rev'!R92),ISNUMBER('Semi Rev'!Q92),'Semi Rev'!Q92&gt;0),'Semi Rev'!R92/'Semi Rev'!Q92-1,""),"")</f>
        <v/>
      </c>
    </row>
    <row r="378">
      <c r="A378" s="19">
        <f>'Semi Rev'!$A93</f>
        <v/>
      </c>
      <c r="B378" s="19">
        <f>'Semi Rev'!$B93</f>
        <v/>
      </c>
      <c r="C378" s="37">
        <f>IFERROR(IF(AND(ISNUMBER('Semi Rev'!G93),ISNUMBER('Semi Rev'!F93),'Semi Rev'!F93&gt;0),'Semi Rev'!G93/'Semi Rev'!F93-1,""),"")</f>
        <v/>
      </c>
      <c r="D378" s="37">
        <f>IFERROR(IF(AND(ISNUMBER('Semi Rev'!H93),ISNUMBER('Semi Rev'!G93),'Semi Rev'!G93&gt;0),'Semi Rev'!H93/'Semi Rev'!G93-1,""),"")</f>
        <v/>
      </c>
      <c r="E378" s="37">
        <f>IFERROR(IF(AND(ISNUMBER('Semi Rev'!I93),ISNUMBER('Semi Rev'!H93),'Semi Rev'!H93&gt;0),'Semi Rev'!I93/'Semi Rev'!H93-1,""),"")</f>
        <v/>
      </c>
      <c r="F378" s="37">
        <f>IFERROR(IF(AND(ISNUMBER('Semi Rev'!J93),ISNUMBER('Semi Rev'!I93),'Semi Rev'!I93&gt;0),'Semi Rev'!J93/'Semi Rev'!I93-1,""),"")</f>
        <v/>
      </c>
      <c r="G378" s="37">
        <f>IFERROR(IF(AND(ISNUMBER('Semi Rev'!K93),ISNUMBER('Semi Rev'!J93),'Semi Rev'!J93&gt;0),'Semi Rev'!K93/'Semi Rev'!J93-1,""),"")</f>
        <v/>
      </c>
      <c r="H378" s="37">
        <f>IFERROR(IF(AND(ISNUMBER('Semi Rev'!L93),ISNUMBER('Semi Rev'!K93),'Semi Rev'!K93&gt;0),'Semi Rev'!L93/'Semi Rev'!K93-1,""),"")</f>
        <v/>
      </c>
      <c r="I378" s="37">
        <f>IFERROR(IF(AND(ISNUMBER('Semi Rev'!M93),ISNUMBER('Semi Rev'!L93),'Semi Rev'!L93&gt;0),'Semi Rev'!M93/'Semi Rev'!L93-1,""),"")</f>
        <v/>
      </c>
      <c r="J378" s="37">
        <f>IFERROR(IF(AND(ISNUMBER('Semi Rev'!N93),ISNUMBER('Semi Rev'!M93),'Semi Rev'!M93&gt;0),'Semi Rev'!N93/'Semi Rev'!M93-1,""),"")</f>
        <v/>
      </c>
      <c r="K378" s="37">
        <f>IFERROR(IF(AND(ISNUMBER('Semi Rev'!O93),ISNUMBER('Semi Rev'!N93),'Semi Rev'!N93&gt;0),'Semi Rev'!O93/'Semi Rev'!N93-1,""),"")</f>
        <v/>
      </c>
      <c r="L378" s="37">
        <f>IFERROR(IF(AND(ISNUMBER('Semi Rev'!P93),ISNUMBER('Semi Rev'!O93),'Semi Rev'!O93&gt;0),'Semi Rev'!P93/'Semi Rev'!O93-1,""),"")</f>
        <v/>
      </c>
      <c r="M378" s="38">
        <f>IFERROR(IF(AND(ISNUMBER('Semi Rev'!Q93),ISNUMBER('Semi Rev'!P93),'Semi Rev'!P93&gt;0),'Semi Rev'!Q93/'Semi Rev'!P93-1,""),"")</f>
        <v/>
      </c>
      <c r="N378" s="38">
        <f>IFERROR(IF(AND(ISNUMBER('Semi Rev'!R93),ISNUMBER('Semi Rev'!Q93),'Semi Rev'!Q93&gt;0),'Semi Rev'!R93/'Semi Rev'!Q93-1,""),"")</f>
        <v/>
      </c>
    </row>
    <row r="379">
      <c r="A379" s="19">
        <f>'Semi Rev'!$A94</f>
        <v/>
      </c>
      <c r="B379" s="19">
        <f>'Semi Rev'!$B94</f>
        <v/>
      </c>
      <c r="C379" s="37">
        <f>IFERROR(IF(AND(ISNUMBER('Semi Rev'!G94),ISNUMBER('Semi Rev'!F94),'Semi Rev'!F94&gt;0),'Semi Rev'!G94/'Semi Rev'!F94-1,""),"")</f>
        <v/>
      </c>
      <c r="D379" s="37">
        <f>IFERROR(IF(AND(ISNUMBER('Semi Rev'!H94),ISNUMBER('Semi Rev'!G94),'Semi Rev'!G94&gt;0),'Semi Rev'!H94/'Semi Rev'!G94-1,""),"")</f>
        <v/>
      </c>
      <c r="E379" s="37">
        <f>IFERROR(IF(AND(ISNUMBER('Semi Rev'!I94),ISNUMBER('Semi Rev'!H94),'Semi Rev'!H94&gt;0),'Semi Rev'!I94/'Semi Rev'!H94-1,""),"")</f>
        <v/>
      </c>
      <c r="F379" s="37">
        <f>IFERROR(IF(AND(ISNUMBER('Semi Rev'!J94),ISNUMBER('Semi Rev'!I94),'Semi Rev'!I94&gt;0),'Semi Rev'!J94/'Semi Rev'!I94-1,""),"")</f>
        <v/>
      </c>
      <c r="G379" s="37">
        <f>IFERROR(IF(AND(ISNUMBER('Semi Rev'!K94),ISNUMBER('Semi Rev'!J94),'Semi Rev'!J94&gt;0),'Semi Rev'!K94/'Semi Rev'!J94-1,""),"")</f>
        <v/>
      </c>
      <c r="H379" s="37">
        <f>IFERROR(IF(AND(ISNUMBER('Semi Rev'!L94),ISNUMBER('Semi Rev'!K94),'Semi Rev'!K94&gt;0),'Semi Rev'!L94/'Semi Rev'!K94-1,""),"")</f>
        <v/>
      </c>
      <c r="I379" s="37">
        <f>IFERROR(IF(AND(ISNUMBER('Semi Rev'!M94),ISNUMBER('Semi Rev'!L94),'Semi Rev'!L94&gt;0),'Semi Rev'!M94/'Semi Rev'!L94-1,""),"")</f>
        <v/>
      </c>
      <c r="J379" s="37">
        <f>IFERROR(IF(AND(ISNUMBER('Semi Rev'!N94),ISNUMBER('Semi Rev'!M94),'Semi Rev'!M94&gt;0),'Semi Rev'!N94/'Semi Rev'!M94-1,""),"")</f>
        <v/>
      </c>
      <c r="K379" s="37">
        <f>IFERROR(IF(AND(ISNUMBER('Semi Rev'!O94),ISNUMBER('Semi Rev'!N94),'Semi Rev'!N94&gt;0),'Semi Rev'!O94/'Semi Rev'!N94-1,""),"")</f>
        <v/>
      </c>
      <c r="L379" s="37">
        <f>IFERROR(IF(AND(ISNUMBER('Semi Rev'!P94),ISNUMBER('Semi Rev'!O94),'Semi Rev'!O94&gt;0),'Semi Rev'!P94/'Semi Rev'!O94-1,""),"")</f>
        <v/>
      </c>
      <c r="M379" s="38">
        <f>IFERROR(IF(AND(ISNUMBER('Semi Rev'!Q94),ISNUMBER('Semi Rev'!P94),'Semi Rev'!P94&gt;0),'Semi Rev'!Q94/'Semi Rev'!P94-1,""),"")</f>
        <v/>
      </c>
      <c r="N379" s="38">
        <f>IFERROR(IF(AND(ISNUMBER('Semi Rev'!R94),ISNUMBER('Semi Rev'!Q94),'Semi Rev'!Q94&gt;0),'Semi Rev'!R94/'Semi Rev'!Q94-1,""),"")</f>
        <v/>
      </c>
    </row>
    <row r="380">
      <c r="A380" s="19">
        <f>'Semi Rev'!$A95</f>
        <v/>
      </c>
      <c r="B380" s="19">
        <f>'Semi Rev'!$B95</f>
        <v/>
      </c>
      <c r="C380" s="37">
        <f>IFERROR(IF(AND(ISNUMBER('Semi Rev'!G95),ISNUMBER('Semi Rev'!F95),'Semi Rev'!F95&gt;0),'Semi Rev'!G95/'Semi Rev'!F95-1,""),"")</f>
        <v/>
      </c>
      <c r="D380" s="37">
        <f>IFERROR(IF(AND(ISNUMBER('Semi Rev'!H95),ISNUMBER('Semi Rev'!G95),'Semi Rev'!G95&gt;0),'Semi Rev'!H95/'Semi Rev'!G95-1,""),"")</f>
        <v/>
      </c>
      <c r="E380" s="37">
        <f>IFERROR(IF(AND(ISNUMBER('Semi Rev'!I95),ISNUMBER('Semi Rev'!H95),'Semi Rev'!H95&gt;0),'Semi Rev'!I95/'Semi Rev'!H95-1,""),"")</f>
        <v/>
      </c>
      <c r="F380" s="37">
        <f>IFERROR(IF(AND(ISNUMBER('Semi Rev'!J95),ISNUMBER('Semi Rev'!I95),'Semi Rev'!I95&gt;0),'Semi Rev'!J95/'Semi Rev'!I95-1,""),"")</f>
        <v/>
      </c>
      <c r="G380" s="37">
        <f>IFERROR(IF(AND(ISNUMBER('Semi Rev'!K95),ISNUMBER('Semi Rev'!J95),'Semi Rev'!J95&gt;0),'Semi Rev'!K95/'Semi Rev'!J95-1,""),"")</f>
        <v/>
      </c>
      <c r="H380" s="37">
        <f>IFERROR(IF(AND(ISNUMBER('Semi Rev'!L95),ISNUMBER('Semi Rev'!K95),'Semi Rev'!K95&gt;0),'Semi Rev'!L95/'Semi Rev'!K95-1,""),"")</f>
        <v/>
      </c>
      <c r="I380" s="37">
        <f>IFERROR(IF(AND(ISNUMBER('Semi Rev'!M95),ISNUMBER('Semi Rev'!L95),'Semi Rev'!L95&gt;0),'Semi Rev'!M95/'Semi Rev'!L95-1,""),"")</f>
        <v/>
      </c>
      <c r="J380" s="37">
        <f>IFERROR(IF(AND(ISNUMBER('Semi Rev'!N95),ISNUMBER('Semi Rev'!M95),'Semi Rev'!M95&gt;0),'Semi Rev'!N95/'Semi Rev'!M95-1,""),"")</f>
        <v/>
      </c>
      <c r="K380" s="37">
        <f>IFERROR(IF(AND(ISNUMBER('Semi Rev'!O95),ISNUMBER('Semi Rev'!N95),'Semi Rev'!N95&gt;0),'Semi Rev'!O95/'Semi Rev'!N95-1,""),"")</f>
        <v/>
      </c>
      <c r="L380" s="37">
        <f>IFERROR(IF(AND(ISNUMBER('Semi Rev'!P95),ISNUMBER('Semi Rev'!O95),'Semi Rev'!O95&gt;0),'Semi Rev'!P95/'Semi Rev'!O95-1,""),"")</f>
        <v/>
      </c>
      <c r="M380" s="38">
        <f>IFERROR(IF(AND(ISNUMBER('Semi Rev'!Q95),ISNUMBER('Semi Rev'!P95),'Semi Rev'!P95&gt;0),'Semi Rev'!Q95/'Semi Rev'!P95-1,""),"")</f>
        <v/>
      </c>
      <c r="N380" s="38">
        <f>IFERROR(IF(AND(ISNUMBER('Semi Rev'!R95),ISNUMBER('Semi Rev'!Q95),'Semi Rev'!Q95&gt;0),'Semi Rev'!R95/'Semi Rev'!Q95-1,""),"")</f>
        <v/>
      </c>
    </row>
    <row r="381">
      <c r="A381" s="19">
        <f>'Semi Rev'!$A96</f>
        <v/>
      </c>
      <c r="B381" s="19">
        <f>'Semi Rev'!$B96</f>
        <v/>
      </c>
      <c r="C381" s="37">
        <f>IFERROR(IF(AND(ISNUMBER('Semi Rev'!G96),ISNUMBER('Semi Rev'!F96),'Semi Rev'!F96&gt;0),'Semi Rev'!G96/'Semi Rev'!F96-1,""),"")</f>
        <v/>
      </c>
      <c r="D381" s="37">
        <f>IFERROR(IF(AND(ISNUMBER('Semi Rev'!H96),ISNUMBER('Semi Rev'!G96),'Semi Rev'!G96&gt;0),'Semi Rev'!H96/'Semi Rev'!G96-1,""),"")</f>
        <v/>
      </c>
      <c r="E381" s="37">
        <f>IFERROR(IF(AND(ISNUMBER('Semi Rev'!I96),ISNUMBER('Semi Rev'!H96),'Semi Rev'!H96&gt;0),'Semi Rev'!I96/'Semi Rev'!H96-1,""),"")</f>
        <v/>
      </c>
      <c r="F381" s="37">
        <f>IFERROR(IF(AND(ISNUMBER('Semi Rev'!J96),ISNUMBER('Semi Rev'!I96),'Semi Rev'!I96&gt;0),'Semi Rev'!J96/'Semi Rev'!I96-1,""),"")</f>
        <v/>
      </c>
      <c r="G381" s="37">
        <f>IFERROR(IF(AND(ISNUMBER('Semi Rev'!K96),ISNUMBER('Semi Rev'!J96),'Semi Rev'!J96&gt;0),'Semi Rev'!K96/'Semi Rev'!J96-1,""),"")</f>
        <v/>
      </c>
      <c r="H381" s="37">
        <f>IFERROR(IF(AND(ISNUMBER('Semi Rev'!L96),ISNUMBER('Semi Rev'!K96),'Semi Rev'!K96&gt;0),'Semi Rev'!L96/'Semi Rev'!K96-1,""),"")</f>
        <v/>
      </c>
      <c r="I381" s="37">
        <f>IFERROR(IF(AND(ISNUMBER('Semi Rev'!M96),ISNUMBER('Semi Rev'!L96),'Semi Rev'!L96&gt;0),'Semi Rev'!M96/'Semi Rev'!L96-1,""),"")</f>
        <v/>
      </c>
      <c r="J381" s="37">
        <f>IFERROR(IF(AND(ISNUMBER('Semi Rev'!N96),ISNUMBER('Semi Rev'!M96),'Semi Rev'!M96&gt;0),'Semi Rev'!N96/'Semi Rev'!M96-1,""),"")</f>
        <v/>
      </c>
      <c r="K381" s="37">
        <f>IFERROR(IF(AND(ISNUMBER('Semi Rev'!O96),ISNUMBER('Semi Rev'!N96),'Semi Rev'!N96&gt;0),'Semi Rev'!O96/'Semi Rev'!N96-1,""),"")</f>
        <v/>
      </c>
      <c r="L381" s="37">
        <f>IFERROR(IF(AND(ISNUMBER('Semi Rev'!P96),ISNUMBER('Semi Rev'!O96),'Semi Rev'!O96&gt;0),'Semi Rev'!P96/'Semi Rev'!O96-1,""),"")</f>
        <v/>
      </c>
      <c r="M381" s="38">
        <f>IFERROR(IF(AND(ISNUMBER('Semi Rev'!Q96),ISNUMBER('Semi Rev'!P96),'Semi Rev'!P96&gt;0),'Semi Rev'!Q96/'Semi Rev'!P96-1,""),"")</f>
        <v/>
      </c>
      <c r="N381" s="38">
        <f>IFERROR(IF(AND(ISNUMBER('Semi Rev'!R96),ISNUMBER('Semi Rev'!Q96),'Semi Rev'!Q96&gt;0),'Semi Rev'!R96/'Semi Rev'!Q96-1,""),"")</f>
        <v/>
      </c>
    </row>
    <row r="382">
      <c r="A382" s="19">
        <f>'Semi Rev'!$A97</f>
        <v/>
      </c>
      <c r="B382" s="19">
        <f>'Semi Rev'!$B97</f>
        <v/>
      </c>
      <c r="C382" s="37">
        <f>IFERROR(IF(AND(ISNUMBER('Semi Rev'!G97),ISNUMBER('Semi Rev'!F97),'Semi Rev'!F97&gt;0),'Semi Rev'!G97/'Semi Rev'!F97-1,""),"")</f>
        <v/>
      </c>
      <c r="D382" s="37">
        <f>IFERROR(IF(AND(ISNUMBER('Semi Rev'!H97),ISNUMBER('Semi Rev'!G97),'Semi Rev'!G97&gt;0),'Semi Rev'!H97/'Semi Rev'!G97-1,""),"")</f>
        <v/>
      </c>
      <c r="E382" s="37">
        <f>IFERROR(IF(AND(ISNUMBER('Semi Rev'!I97),ISNUMBER('Semi Rev'!H97),'Semi Rev'!H97&gt;0),'Semi Rev'!I97/'Semi Rev'!H97-1,""),"")</f>
        <v/>
      </c>
      <c r="F382" s="37">
        <f>IFERROR(IF(AND(ISNUMBER('Semi Rev'!J97),ISNUMBER('Semi Rev'!I97),'Semi Rev'!I97&gt;0),'Semi Rev'!J97/'Semi Rev'!I97-1,""),"")</f>
        <v/>
      </c>
      <c r="G382" s="37">
        <f>IFERROR(IF(AND(ISNUMBER('Semi Rev'!K97),ISNUMBER('Semi Rev'!J97),'Semi Rev'!J97&gt;0),'Semi Rev'!K97/'Semi Rev'!J97-1,""),"")</f>
        <v/>
      </c>
      <c r="H382" s="37">
        <f>IFERROR(IF(AND(ISNUMBER('Semi Rev'!L97),ISNUMBER('Semi Rev'!K97),'Semi Rev'!K97&gt;0),'Semi Rev'!L97/'Semi Rev'!K97-1,""),"")</f>
        <v/>
      </c>
      <c r="I382" s="37">
        <f>IFERROR(IF(AND(ISNUMBER('Semi Rev'!M97),ISNUMBER('Semi Rev'!L97),'Semi Rev'!L97&gt;0),'Semi Rev'!M97/'Semi Rev'!L97-1,""),"")</f>
        <v/>
      </c>
      <c r="J382" s="37">
        <f>IFERROR(IF(AND(ISNUMBER('Semi Rev'!N97),ISNUMBER('Semi Rev'!M97),'Semi Rev'!M97&gt;0),'Semi Rev'!N97/'Semi Rev'!M97-1,""),"")</f>
        <v/>
      </c>
      <c r="K382" s="37">
        <f>IFERROR(IF(AND(ISNUMBER('Semi Rev'!O97),ISNUMBER('Semi Rev'!N97),'Semi Rev'!N97&gt;0),'Semi Rev'!O97/'Semi Rev'!N97-1,""),"")</f>
        <v/>
      </c>
      <c r="L382" s="37">
        <f>IFERROR(IF(AND(ISNUMBER('Semi Rev'!P97),ISNUMBER('Semi Rev'!O97),'Semi Rev'!O97&gt;0),'Semi Rev'!P97/'Semi Rev'!O97-1,""),"")</f>
        <v/>
      </c>
      <c r="M382" s="38">
        <f>IFERROR(IF(AND(ISNUMBER('Semi Rev'!Q97),ISNUMBER('Semi Rev'!P97),'Semi Rev'!P97&gt;0),'Semi Rev'!Q97/'Semi Rev'!P97-1,""),"")</f>
        <v/>
      </c>
      <c r="N382" s="38">
        <f>IFERROR(IF(AND(ISNUMBER('Semi Rev'!R97),ISNUMBER('Semi Rev'!Q97),'Semi Rev'!Q97&gt;0),'Semi Rev'!R97/'Semi Rev'!Q97-1,""),"")</f>
        <v/>
      </c>
    </row>
    <row r="383">
      <c r="A383" s="19">
        <f>'Semi Rev'!$A98</f>
        <v/>
      </c>
      <c r="B383" s="19">
        <f>'Semi Rev'!$B98</f>
        <v/>
      </c>
      <c r="C383" s="37">
        <f>IFERROR(IF(AND(ISNUMBER('Semi Rev'!G98),ISNUMBER('Semi Rev'!F98),'Semi Rev'!F98&gt;0),'Semi Rev'!G98/'Semi Rev'!F98-1,""),"")</f>
        <v/>
      </c>
      <c r="D383" s="37">
        <f>IFERROR(IF(AND(ISNUMBER('Semi Rev'!H98),ISNUMBER('Semi Rev'!G98),'Semi Rev'!G98&gt;0),'Semi Rev'!H98/'Semi Rev'!G98-1,""),"")</f>
        <v/>
      </c>
      <c r="E383" s="37">
        <f>IFERROR(IF(AND(ISNUMBER('Semi Rev'!I98),ISNUMBER('Semi Rev'!H98),'Semi Rev'!H98&gt;0),'Semi Rev'!I98/'Semi Rev'!H98-1,""),"")</f>
        <v/>
      </c>
      <c r="F383" s="37">
        <f>IFERROR(IF(AND(ISNUMBER('Semi Rev'!J98),ISNUMBER('Semi Rev'!I98),'Semi Rev'!I98&gt;0),'Semi Rev'!J98/'Semi Rev'!I98-1,""),"")</f>
        <v/>
      </c>
      <c r="G383" s="37">
        <f>IFERROR(IF(AND(ISNUMBER('Semi Rev'!K98),ISNUMBER('Semi Rev'!J98),'Semi Rev'!J98&gt;0),'Semi Rev'!K98/'Semi Rev'!J98-1,""),"")</f>
        <v/>
      </c>
      <c r="H383" s="37">
        <f>IFERROR(IF(AND(ISNUMBER('Semi Rev'!L98),ISNUMBER('Semi Rev'!K98),'Semi Rev'!K98&gt;0),'Semi Rev'!L98/'Semi Rev'!K98-1,""),"")</f>
        <v/>
      </c>
      <c r="I383" s="37">
        <f>IFERROR(IF(AND(ISNUMBER('Semi Rev'!M98),ISNUMBER('Semi Rev'!L98),'Semi Rev'!L98&gt;0),'Semi Rev'!M98/'Semi Rev'!L98-1,""),"")</f>
        <v/>
      </c>
      <c r="J383" s="37">
        <f>IFERROR(IF(AND(ISNUMBER('Semi Rev'!N98),ISNUMBER('Semi Rev'!M98),'Semi Rev'!M98&gt;0),'Semi Rev'!N98/'Semi Rev'!M98-1,""),"")</f>
        <v/>
      </c>
      <c r="K383" s="37">
        <f>IFERROR(IF(AND(ISNUMBER('Semi Rev'!O98),ISNUMBER('Semi Rev'!N98),'Semi Rev'!N98&gt;0),'Semi Rev'!O98/'Semi Rev'!N98-1,""),"")</f>
        <v/>
      </c>
      <c r="L383" s="37">
        <f>IFERROR(IF(AND(ISNUMBER('Semi Rev'!P98),ISNUMBER('Semi Rev'!O98),'Semi Rev'!O98&gt;0),'Semi Rev'!P98/'Semi Rev'!O98-1,""),"")</f>
        <v/>
      </c>
      <c r="M383" s="38">
        <f>IFERROR(IF(AND(ISNUMBER('Semi Rev'!Q98),ISNUMBER('Semi Rev'!P98),'Semi Rev'!P98&gt;0),'Semi Rev'!Q98/'Semi Rev'!P98-1,""),"")</f>
        <v/>
      </c>
      <c r="N383" s="38">
        <f>IFERROR(IF(AND(ISNUMBER('Semi Rev'!R98),ISNUMBER('Semi Rev'!Q98),'Semi Rev'!Q98&gt;0),'Semi Rev'!R98/'Semi Rev'!Q98-1,""),"")</f>
        <v/>
      </c>
    </row>
    <row r="384">
      <c r="A384" s="19">
        <f>'Semi Rev'!$A99</f>
        <v/>
      </c>
      <c r="B384" s="19">
        <f>'Semi Rev'!$B99</f>
        <v/>
      </c>
      <c r="C384" s="37">
        <f>IFERROR(IF(AND(ISNUMBER('Semi Rev'!G99),ISNUMBER('Semi Rev'!F99),'Semi Rev'!F99&gt;0),'Semi Rev'!G99/'Semi Rev'!F99-1,""),"")</f>
        <v/>
      </c>
      <c r="D384" s="37">
        <f>IFERROR(IF(AND(ISNUMBER('Semi Rev'!H99),ISNUMBER('Semi Rev'!G99),'Semi Rev'!G99&gt;0),'Semi Rev'!H99/'Semi Rev'!G99-1,""),"")</f>
        <v/>
      </c>
      <c r="E384" s="37">
        <f>IFERROR(IF(AND(ISNUMBER('Semi Rev'!I99),ISNUMBER('Semi Rev'!H99),'Semi Rev'!H99&gt;0),'Semi Rev'!I99/'Semi Rev'!H99-1,""),"")</f>
        <v/>
      </c>
      <c r="F384" s="37">
        <f>IFERROR(IF(AND(ISNUMBER('Semi Rev'!J99),ISNUMBER('Semi Rev'!I99),'Semi Rev'!I99&gt;0),'Semi Rev'!J99/'Semi Rev'!I99-1,""),"")</f>
        <v/>
      </c>
      <c r="G384" s="37">
        <f>IFERROR(IF(AND(ISNUMBER('Semi Rev'!K99),ISNUMBER('Semi Rev'!J99),'Semi Rev'!J99&gt;0),'Semi Rev'!K99/'Semi Rev'!J99-1,""),"")</f>
        <v/>
      </c>
      <c r="H384" s="37">
        <f>IFERROR(IF(AND(ISNUMBER('Semi Rev'!L99),ISNUMBER('Semi Rev'!K99),'Semi Rev'!K99&gt;0),'Semi Rev'!L99/'Semi Rev'!K99-1,""),"")</f>
        <v/>
      </c>
      <c r="I384" s="37">
        <f>IFERROR(IF(AND(ISNUMBER('Semi Rev'!M99),ISNUMBER('Semi Rev'!L99),'Semi Rev'!L99&gt;0),'Semi Rev'!M99/'Semi Rev'!L99-1,""),"")</f>
        <v/>
      </c>
      <c r="J384" s="37">
        <f>IFERROR(IF(AND(ISNUMBER('Semi Rev'!N99),ISNUMBER('Semi Rev'!M99),'Semi Rev'!M99&gt;0),'Semi Rev'!N99/'Semi Rev'!M99-1,""),"")</f>
        <v/>
      </c>
      <c r="K384" s="37">
        <f>IFERROR(IF(AND(ISNUMBER('Semi Rev'!O99),ISNUMBER('Semi Rev'!N99),'Semi Rev'!N99&gt;0),'Semi Rev'!O99/'Semi Rev'!N99-1,""),"")</f>
        <v/>
      </c>
      <c r="L384" s="37">
        <f>IFERROR(IF(AND(ISNUMBER('Semi Rev'!P99),ISNUMBER('Semi Rev'!O99),'Semi Rev'!O99&gt;0),'Semi Rev'!P99/'Semi Rev'!O99-1,""),"")</f>
        <v/>
      </c>
      <c r="M384" s="38">
        <f>IFERROR(IF(AND(ISNUMBER('Semi Rev'!Q99),ISNUMBER('Semi Rev'!P99),'Semi Rev'!P99&gt;0),'Semi Rev'!Q99/'Semi Rev'!P99-1,""),"")</f>
        <v/>
      </c>
      <c r="N384" s="38">
        <f>IFERROR(IF(AND(ISNUMBER('Semi Rev'!R99),ISNUMBER('Semi Rev'!Q99),'Semi Rev'!Q99&gt;0),'Semi Rev'!R99/'Semi Rev'!Q99-1,""),"")</f>
        <v/>
      </c>
    </row>
    <row r="385">
      <c r="A385" s="19">
        <f>'Semi Rev'!$A100</f>
        <v/>
      </c>
      <c r="B385" s="19">
        <f>'Semi Rev'!$B100</f>
        <v/>
      </c>
      <c r="C385" s="37">
        <f>IFERROR(IF(AND(ISNUMBER('Semi Rev'!G100),ISNUMBER('Semi Rev'!F100),'Semi Rev'!F100&gt;0),'Semi Rev'!G100/'Semi Rev'!F100-1,""),"")</f>
        <v/>
      </c>
      <c r="D385" s="37">
        <f>IFERROR(IF(AND(ISNUMBER('Semi Rev'!H100),ISNUMBER('Semi Rev'!G100),'Semi Rev'!G100&gt;0),'Semi Rev'!H100/'Semi Rev'!G100-1,""),"")</f>
        <v/>
      </c>
      <c r="E385" s="37">
        <f>IFERROR(IF(AND(ISNUMBER('Semi Rev'!I100),ISNUMBER('Semi Rev'!H100),'Semi Rev'!H100&gt;0),'Semi Rev'!I100/'Semi Rev'!H100-1,""),"")</f>
        <v/>
      </c>
      <c r="F385" s="37">
        <f>IFERROR(IF(AND(ISNUMBER('Semi Rev'!J100),ISNUMBER('Semi Rev'!I100),'Semi Rev'!I100&gt;0),'Semi Rev'!J100/'Semi Rev'!I100-1,""),"")</f>
        <v/>
      </c>
      <c r="G385" s="37">
        <f>IFERROR(IF(AND(ISNUMBER('Semi Rev'!K100),ISNUMBER('Semi Rev'!J100),'Semi Rev'!J100&gt;0),'Semi Rev'!K100/'Semi Rev'!J100-1,""),"")</f>
        <v/>
      </c>
      <c r="H385" s="37">
        <f>IFERROR(IF(AND(ISNUMBER('Semi Rev'!L100),ISNUMBER('Semi Rev'!K100),'Semi Rev'!K100&gt;0),'Semi Rev'!L100/'Semi Rev'!K100-1,""),"")</f>
        <v/>
      </c>
      <c r="I385" s="37">
        <f>IFERROR(IF(AND(ISNUMBER('Semi Rev'!M100),ISNUMBER('Semi Rev'!L100),'Semi Rev'!L100&gt;0),'Semi Rev'!M100/'Semi Rev'!L100-1,""),"")</f>
        <v/>
      </c>
      <c r="J385" s="37">
        <f>IFERROR(IF(AND(ISNUMBER('Semi Rev'!N100),ISNUMBER('Semi Rev'!M100),'Semi Rev'!M100&gt;0),'Semi Rev'!N100/'Semi Rev'!M100-1,""),"")</f>
        <v/>
      </c>
      <c r="K385" s="37">
        <f>IFERROR(IF(AND(ISNUMBER('Semi Rev'!O100),ISNUMBER('Semi Rev'!N100),'Semi Rev'!N100&gt;0),'Semi Rev'!O100/'Semi Rev'!N100-1,""),"")</f>
        <v/>
      </c>
      <c r="L385" s="37">
        <f>IFERROR(IF(AND(ISNUMBER('Semi Rev'!P100),ISNUMBER('Semi Rev'!O100),'Semi Rev'!O100&gt;0),'Semi Rev'!P100/'Semi Rev'!O100-1,""),"")</f>
        <v/>
      </c>
      <c r="M385" s="38">
        <f>IFERROR(IF(AND(ISNUMBER('Semi Rev'!Q100),ISNUMBER('Semi Rev'!P100),'Semi Rev'!P100&gt;0),'Semi Rev'!Q100/'Semi Rev'!P100-1,""),"")</f>
        <v/>
      </c>
      <c r="N385" s="38">
        <f>IFERROR(IF(AND(ISNUMBER('Semi Rev'!R100),ISNUMBER('Semi Rev'!Q100),'Semi Rev'!Q100&gt;0),'Semi Rev'!R100/'Semi Rev'!Q100-1,""),"")</f>
        <v/>
      </c>
    </row>
    <row r="386">
      <c r="A386" s="19">
        <f>'Semi Rev'!$A101</f>
        <v/>
      </c>
      <c r="B386" s="19">
        <f>'Semi Rev'!$B101</f>
        <v/>
      </c>
      <c r="C386" s="37">
        <f>IFERROR(IF(AND(ISNUMBER('Semi Rev'!G101),ISNUMBER('Semi Rev'!F101),'Semi Rev'!F101&gt;0),'Semi Rev'!G101/'Semi Rev'!F101-1,""),"")</f>
        <v/>
      </c>
      <c r="D386" s="37">
        <f>IFERROR(IF(AND(ISNUMBER('Semi Rev'!H101),ISNUMBER('Semi Rev'!G101),'Semi Rev'!G101&gt;0),'Semi Rev'!H101/'Semi Rev'!G101-1,""),"")</f>
        <v/>
      </c>
      <c r="E386" s="37">
        <f>IFERROR(IF(AND(ISNUMBER('Semi Rev'!I101),ISNUMBER('Semi Rev'!H101),'Semi Rev'!H101&gt;0),'Semi Rev'!I101/'Semi Rev'!H101-1,""),"")</f>
        <v/>
      </c>
      <c r="F386" s="37">
        <f>IFERROR(IF(AND(ISNUMBER('Semi Rev'!J101),ISNUMBER('Semi Rev'!I101),'Semi Rev'!I101&gt;0),'Semi Rev'!J101/'Semi Rev'!I101-1,""),"")</f>
        <v/>
      </c>
      <c r="G386" s="37">
        <f>IFERROR(IF(AND(ISNUMBER('Semi Rev'!K101),ISNUMBER('Semi Rev'!J101),'Semi Rev'!J101&gt;0),'Semi Rev'!K101/'Semi Rev'!J101-1,""),"")</f>
        <v/>
      </c>
      <c r="H386" s="37">
        <f>IFERROR(IF(AND(ISNUMBER('Semi Rev'!L101),ISNUMBER('Semi Rev'!K101),'Semi Rev'!K101&gt;0),'Semi Rev'!L101/'Semi Rev'!K101-1,""),"")</f>
        <v/>
      </c>
      <c r="I386" s="37">
        <f>IFERROR(IF(AND(ISNUMBER('Semi Rev'!M101),ISNUMBER('Semi Rev'!L101),'Semi Rev'!L101&gt;0),'Semi Rev'!M101/'Semi Rev'!L101-1,""),"")</f>
        <v/>
      </c>
      <c r="J386" s="37">
        <f>IFERROR(IF(AND(ISNUMBER('Semi Rev'!N101),ISNUMBER('Semi Rev'!M101),'Semi Rev'!M101&gt;0),'Semi Rev'!N101/'Semi Rev'!M101-1,""),"")</f>
        <v/>
      </c>
      <c r="K386" s="37">
        <f>IFERROR(IF(AND(ISNUMBER('Semi Rev'!O101),ISNUMBER('Semi Rev'!N101),'Semi Rev'!N101&gt;0),'Semi Rev'!O101/'Semi Rev'!N101-1,""),"")</f>
        <v/>
      </c>
      <c r="L386" s="37">
        <f>IFERROR(IF(AND(ISNUMBER('Semi Rev'!P101),ISNUMBER('Semi Rev'!O101),'Semi Rev'!O101&gt;0),'Semi Rev'!P101/'Semi Rev'!O101-1,""),"")</f>
        <v/>
      </c>
      <c r="M386" s="38">
        <f>IFERROR(IF(AND(ISNUMBER('Semi Rev'!Q101),ISNUMBER('Semi Rev'!P101),'Semi Rev'!P101&gt;0),'Semi Rev'!Q101/'Semi Rev'!P101-1,""),"")</f>
        <v/>
      </c>
      <c r="N386" s="38">
        <f>IFERROR(IF(AND(ISNUMBER('Semi Rev'!R101),ISNUMBER('Semi Rev'!Q101),'Semi Rev'!Q101&gt;0),'Semi Rev'!R101/'Semi Rev'!Q101-1,""),"")</f>
        <v/>
      </c>
    </row>
    <row r="387">
      <c r="A387" s="19">
        <f>'Semi Rev'!$A102</f>
        <v/>
      </c>
      <c r="B387" s="19">
        <f>'Semi Rev'!$B102</f>
        <v/>
      </c>
      <c r="C387" s="37">
        <f>IFERROR(IF(AND(ISNUMBER('Semi Rev'!G102),ISNUMBER('Semi Rev'!F102),'Semi Rev'!F102&gt;0),'Semi Rev'!G102/'Semi Rev'!F102-1,""),"")</f>
        <v/>
      </c>
      <c r="D387" s="37">
        <f>IFERROR(IF(AND(ISNUMBER('Semi Rev'!H102),ISNUMBER('Semi Rev'!G102),'Semi Rev'!G102&gt;0),'Semi Rev'!H102/'Semi Rev'!G102-1,""),"")</f>
        <v/>
      </c>
      <c r="E387" s="37">
        <f>IFERROR(IF(AND(ISNUMBER('Semi Rev'!I102),ISNUMBER('Semi Rev'!H102),'Semi Rev'!H102&gt;0),'Semi Rev'!I102/'Semi Rev'!H102-1,""),"")</f>
        <v/>
      </c>
      <c r="F387" s="37">
        <f>IFERROR(IF(AND(ISNUMBER('Semi Rev'!J102),ISNUMBER('Semi Rev'!I102),'Semi Rev'!I102&gt;0),'Semi Rev'!J102/'Semi Rev'!I102-1,""),"")</f>
        <v/>
      </c>
      <c r="G387" s="37">
        <f>IFERROR(IF(AND(ISNUMBER('Semi Rev'!K102),ISNUMBER('Semi Rev'!J102),'Semi Rev'!J102&gt;0),'Semi Rev'!K102/'Semi Rev'!J102-1,""),"")</f>
        <v/>
      </c>
      <c r="H387" s="37">
        <f>IFERROR(IF(AND(ISNUMBER('Semi Rev'!L102),ISNUMBER('Semi Rev'!K102),'Semi Rev'!K102&gt;0),'Semi Rev'!L102/'Semi Rev'!K102-1,""),"")</f>
        <v/>
      </c>
      <c r="I387" s="37">
        <f>IFERROR(IF(AND(ISNUMBER('Semi Rev'!M102),ISNUMBER('Semi Rev'!L102),'Semi Rev'!L102&gt;0),'Semi Rev'!M102/'Semi Rev'!L102-1,""),"")</f>
        <v/>
      </c>
      <c r="J387" s="37">
        <f>IFERROR(IF(AND(ISNUMBER('Semi Rev'!N102),ISNUMBER('Semi Rev'!M102),'Semi Rev'!M102&gt;0),'Semi Rev'!N102/'Semi Rev'!M102-1,""),"")</f>
        <v/>
      </c>
      <c r="K387" s="37">
        <f>IFERROR(IF(AND(ISNUMBER('Semi Rev'!O102),ISNUMBER('Semi Rev'!N102),'Semi Rev'!N102&gt;0),'Semi Rev'!O102/'Semi Rev'!N102-1,""),"")</f>
        <v/>
      </c>
      <c r="L387" s="37">
        <f>IFERROR(IF(AND(ISNUMBER('Semi Rev'!P102),ISNUMBER('Semi Rev'!O102),'Semi Rev'!O102&gt;0),'Semi Rev'!P102/'Semi Rev'!O102-1,""),"")</f>
        <v/>
      </c>
      <c r="M387" s="38">
        <f>IFERROR(IF(AND(ISNUMBER('Semi Rev'!Q102),ISNUMBER('Semi Rev'!P102),'Semi Rev'!P102&gt;0),'Semi Rev'!Q102/'Semi Rev'!P102-1,""),"")</f>
        <v/>
      </c>
      <c r="N387" s="38">
        <f>IFERROR(IF(AND(ISNUMBER('Semi Rev'!R102),ISNUMBER('Semi Rev'!Q102),'Semi Rev'!Q102&gt;0),'Semi Rev'!R102/'Semi Rev'!Q102-1,""),"")</f>
        <v/>
      </c>
    </row>
    <row r="388">
      <c r="A388" s="19">
        <f>'Semi Rev'!$A103</f>
        <v/>
      </c>
      <c r="B388" s="19">
        <f>'Semi Rev'!$B103</f>
        <v/>
      </c>
      <c r="C388" s="37">
        <f>IFERROR(IF(AND(ISNUMBER('Semi Rev'!G103),ISNUMBER('Semi Rev'!F103),'Semi Rev'!F103&gt;0),'Semi Rev'!G103/'Semi Rev'!F103-1,""),"")</f>
        <v/>
      </c>
      <c r="D388" s="37">
        <f>IFERROR(IF(AND(ISNUMBER('Semi Rev'!H103),ISNUMBER('Semi Rev'!G103),'Semi Rev'!G103&gt;0),'Semi Rev'!H103/'Semi Rev'!G103-1,""),"")</f>
        <v/>
      </c>
      <c r="E388" s="37">
        <f>IFERROR(IF(AND(ISNUMBER('Semi Rev'!I103),ISNUMBER('Semi Rev'!H103),'Semi Rev'!H103&gt;0),'Semi Rev'!I103/'Semi Rev'!H103-1,""),"")</f>
        <v/>
      </c>
      <c r="F388" s="37">
        <f>IFERROR(IF(AND(ISNUMBER('Semi Rev'!J103),ISNUMBER('Semi Rev'!I103),'Semi Rev'!I103&gt;0),'Semi Rev'!J103/'Semi Rev'!I103-1,""),"")</f>
        <v/>
      </c>
      <c r="G388" s="37">
        <f>IFERROR(IF(AND(ISNUMBER('Semi Rev'!K103),ISNUMBER('Semi Rev'!J103),'Semi Rev'!J103&gt;0),'Semi Rev'!K103/'Semi Rev'!J103-1,""),"")</f>
        <v/>
      </c>
      <c r="H388" s="37">
        <f>IFERROR(IF(AND(ISNUMBER('Semi Rev'!L103),ISNUMBER('Semi Rev'!K103),'Semi Rev'!K103&gt;0),'Semi Rev'!L103/'Semi Rev'!K103-1,""),"")</f>
        <v/>
      </c>
      <c r="I388" s="37">
        <f>IFERROR(IF(AND(ISNUMBER('Semi Rev'!M103),ISNUMBER('Semi Rev'!L103),'Semi Rev'!L103&gt;0),'Semi Rev'!M103/'Semi Rev'!L103-1,""),"")</f>
        <v/>
      </c>
      <c r="J388" s="37">
        <f>IFERROR(IF(AND(ISNUMBER('Semi Rev'!N103),ISNUMBER('Semi Rev'!M103),'Semi Rev'!M103&gt;0),'Semi Rev'!N103/'Semi Rev'!M103-1,""),"")</f>
        <v/>
      </c>
      <c r="K388" s="37">
        <f>IFERROR(IF(AND(ISNUMBER('Semi Rev'!O103),ISNUMBER('Semi Rev'!N103),'Semi Rev'!N103&gt;0),'Semi Rev'!O103/'Semi Rev'!N103-1,""),"")</f>
        <v/>
      </c>
      <c r="L388" s="37">
        <f>IFERROR(IF(AND(ISNUMBER('Semi Rev'!P103),ISNUMBER('Semi Rev'!O103),'Semi Rev'!O103&gt;0),'Semi Rev'!P103/'Semi Rev'!O103-1,""),"")</f>
        <v/>
      </c>
      <c r="M388" s="38">
        <f>IFERROR(IF(AND(ISNUMBER('Semi Rev'!Q103),ISNUMBER('Semi Rev'!P103),'Semi Rev'!P103&gt;0),'Semi Rev'!Q103/'Semi Rev'!P103-1,""),"")</f>
        <v/>
      </c>
      <c r="N388" s="38">
        <f>IFERROR(IF(AND(ISNUMBER('Semi Rev'!R103),ISNUMBER('Semi Rev'!Q103),'Semi Rev'!Q103&gt;0),'Semi Rev'!R103/'Semi Rev'!Q103-1,""),"")</f>
        <v/>
      </c>
    </row>
    <row r="389">
      <c r="A389" s="19">
        <f>'Semi Rev'!$A104</f>
        <v/>
      </c>
      <c r="B389" s="19">
        <f>'Semi Rev'!$B104</f>
        <v/>
      </c>
      <c r="C389" s="37">
        <f>IFERROR(IF(AND(ISNUMBER('Semi Rev'!G104),ISNUMBER('Semi Rev'!F104),'Semi Rev'!F104&gt;0),'Semi Rev'!G104/'Semi Rev'!F104-1,""),"")</f>
        <v/>
      </c>
      <c r="D389" s="37">
        <f>IFERROR(IF(AND(ISNUMBER('Semi Rev'!H104),ISNUMBER('Semi Rev'!G104),'Semi Rev'!G104&gt;0),'Semi Rev'!H104/'Semi Rev'!G104-1,""),"")</f>
        <v/>
      </c>
      <c r="E389" s="37">
        <f>IFERROR(IF(AND(ISNUMBER('Semi Rev'!I104),ISNUMBER('Semi Rev'!H104),'Semi Rev'!H104&gt;0),'Semi Rev'!I104/'Semi Rev'!H104-1,""),"")</f>
        <v/>
      </c>
      <c r="F389" s="37">
        <f>IFERROR(IF(AND(ISNUMBER('Semi Rev'!J104),ISNUMBER('Semi Rev'!I104),'Semi Rev'!I104&gt;0),'Semi Rev'!J104/'Semi Rev'!I104-1,""),"")</f>
        <v/>
      </c>
      <c r="G389" s="37">
        <f>IFERROR(IF(AND(ISNUMBER('Semi Rev'!K104),ISNUMBER('Semi Rev'!J104),'Semi Rev'!J104&gt;0),'Semi Rev'!K104/'Semi Rev'!J104-1,""),"")</f>
        <v/>
      </c>
      <c r="H389" s="37">
        <f>IFERROR(IF(AND(ISNUMBER('Semi Rev'!L104),ISNUMBER('Semi Rev'!K104),'Semi Rev'!K104&gt;0),'Semi Rev'!L104/'Semi Rev'!K104-1,""),"")</f>
        <v/>
      </c>
      <c r="I389" s="37">
        <f>IFERROR(IF(AND(ISNUMBER('Semi Rev'!M104),ISNUMBER('Semi Rev'!L104),'Semi Rev'!L104&gt;0),'Semi Rev'!M104/'Semi Rev'!L104-1,""),"")</f>
        <v/>
      </c>
      <c r="J389" s="37">
        <f>IFERROR(IF(AND(ISNUMBER('Semi Rev'!N104),ISNUMBER('Semi Rev'!M104),'Semi Rev'!M104&gt;0),'Semi Rev'!N104/'Semi Rev'!M104-1,""),"")</f>
        <v/>
      </c>
      <c r="K389" s="37">
        <f>IFERROR(IF(AND(ISNUMBER('Semi Rev'!O104),ISNUMBER('Semi Rev'!N104),'Semi Rev'!N104&gt;0),'Semi Rev'!O104/'Semi Rev'!N104-1,""),"")</f>
        <v/>
      </c>
      <c r="L389" s="37">
        <f>IFERROR(IF(AND(ISNUMBER('Semi Rev'!P104),ISNUMBER('Semi Rev'!O104),'Semi Rev'!O104&gt;0),'Semi Rev'!P104/'Semi Rev'!O104-1,""),"")</f>
        <v/>
      </c>
      <c r="M389" s="38">
        <f>IFERROR(IF(AND(ISNUMBER('Semi Rev'!Q104),ISNUMBER('Semi Rev'!P104),'Semi Rev'!P104&gt;0),'Semi Rev'!Q104/'Semi Rev'!P104-1,""),"")</f>
        <v/>
      </c>
      <c r="N389" s="38">
        <f>IFERROR(IF(AND(ISNUMBER('Semi Rev'!R104),ISNUMBER('Semi Rev'!Q104),'Semi Rev'!Q104&gt;0),'Semi Rev'!R104/'Semi Rev'!Q104-1,""),"")</f>
        <v/>
      </c>
    </row>
    <row r="390">
      <c r="A390" s="19">
        <f>'Semi Rev'!$A105</f>
        <v/>
      </c>
      <c r="B390" s="19">
        <f>'Semi Rev'!$B105</f>
        <v/>
      </c>
      <c r="C390" s="37">
        <f>IFERROR(IF(AND(ISNUMBER('Semi Rev'!G105),ISNUMBER('Semi Rev'!F105),'Semi Rev'!F105&gt;0),'Semi Rev'!G105/'Semi Rev'!F105-1,""),"")</f>
        <v/>
      </c>
      <c r="D390" s="37">
        <f>IFERROR(IF(AND(ISNUMBER('Semi Rev'!H105),ISNUMBER('Semi Rev'!G105),'Semi Rev'!G105&gt;0),'Semi Rev'!H105/'Semi Rev'!G105-1,""),"")</f>
        <v/>
      </c>
      <c r="E390" s="37">
        <f>IFERROR(IF(AND(ISNUMBER('Semi Rev'!I105),ISNUMBER('Semi Rev'!H105),'Semi Rev'!H105&gt;0),'Semi Rev'!I105/'Semi Rev'!H105-1,""),"")</f>
        <v/>
      </c>
      <c r="F390" s="37">
        <f>IFERROR(IF(AND(ISNUMBER('Semi Rev'!J105),ISNUMBER('Semi Rev'!I105),'Semi Rev'!I105&gt;0),'Semi Rev'!J105/'Semi Rev'!I105-1,""),"")</f>
        <v/>
      </c>
      <c r="G390" s="37">
        <f>IFERROR(IF(AND(ISNUMBER('Semi Rev'!K105),ISNUMBER('Semi Rev'!J105),'Semi Rev'!J105&gt;0),'Semi Rev'!K105/'Semi Rev'!J105-1,""),"")</f>
        <v/>
      </c>
      <c r="H390" s="37">
        <f>IFERROR(IF(AND(ISNUMBER('Semi Rev'!L105),ISNUMBER('Semi Rev'!K105),'Semi Rev'!K105&gt;0),'Semi Rev'!L105/'Semi Rev'!K105-1,""),"")</f>
        <v/>
      </c>
      <c r="I390" s="37">
        <f>IFERROR(IF(AND(ISNUMBER('Semi Rev'!M105),ISNUMBER('Semi Rev'!L105),'Semi Rev'!L105&gt;0),'Semi Rev'!M105/'Semi Rev'!L105-1,""),"")</f>
        <v/>
      </c>
      <c r="J390" s="37">
        <f>IFERROR(IF(AND(ISNUMBER('Semi Rev'!N105),ISNUMBER('Semi Rev'!M105),'Semi Rev'!M105&gt;0),'Semi Rev'!N105/'Semi Rev'!M105-1,""),"")</f>
        <v/>
      </c>
      <c r="K390" s="37">
        <f>IFERROR(IF(AND(ISNUMBER('Semi Rev'!O105),ISNUMBER('Semi Rev'!N105),'Semi Rev'!N105&gt;0),'Semi Rev'!O105/'Semi Rev'!N105-1,""),"")</f>
        <v/>
      </c>
      <c r="L390" s="37">
        <f>IFERROR(IF(AND(ISNUMBER('Semi Rev'!P105),ISNUMBER('Semi Rev'!O105),'Semi Rev'!O105&gt;0),'Semi Rev'!P105/'Semi Rev'!O105-1,""),"")</f>
        <v/>
      </c>
      <c r="M390" s="38">
        <f>IFERROR(IF(AND(ISNUMBER('Semi Rev'!Q105),ISNUMBER('Semi Rev'!P105),'Semi Rev'!P105&gt;0),'Semi Rev'!Q105/'Semi Rev'!P105-1,""),"")</f>
        <v/>
      </c>
      <c r="N390" s="38">
        <f>IFERROR(IF(AND(ISNUMBER('Semi Rev'!R105),ISNUMBER('Semi Rev'!Q105),'Semi Rev'!Q105&gt;0),'Semi Rev'!R105/'Semi Rev'!Q105-1,""),"")</f>
        <v/>
      </c>
    </row>
    <row r="391">
      <c r="A391" s="19">
        <f>'Semi Rev'!$A106</f>
        <v/>
      </c>
      <c r="B391" s="19">
        <f>'Semi Rev'!$B106</f>
        <v/>
      </c>
      <c r="C391" s="37">
        <f>IFERROR(IF(AND(ISNUMBER('Semi Rev'!G106),ISNUMBER('Semi Rev'!F106),'Semi Rev'!F106&gt;0),'Semi Rev'!G106/'Semi Rev'!F106-1,""),"")</f>
        <v/>
      </c>
      <c r="D391" s="37">
        <f>IFERROR(IF(AND(ISNUMBER('Semi Rev'!H106),ISNUMBER('Semi Rev'!G106),'Semi Rev'!G106&gt;0),'Semi Rev'!H106/'Semi Rev'!G106-1,""),"")</f>
        <v/>
      </c>
      <c r="E391" s="37">
        <f>IFERROR(IF(AND(ISNUMBER('Semi Rev'!I106),ISNUMBER('Semi Rev'!H106),'Semi Rev'!H106&gt;0),'Semi Rev'!I106/'Semi Rev'!H106-1,""),"")</f>
        <v/>
      </c>
      <c r="F391" s="37">
        <f>IFERROR(IF(AND(ISNUMBER('Semi Rev'!J106),ISNUMBER('Semi Rev'!I106),'Semi Rev'!I106&gt;0),'Semi Rev'!J106/'Semi Rev'!I106-1,""),"")</f>
        <v/>
      </c>
      <c r="G391" s="37">
        <f>IFERROR(IF(AND(ISNUMBER('Semi Rev'!K106),ISNUMBER('Semi Rev'!J106),'Semi Rev'!J106&gt;0),'Semi Rev'!K106/'Semi Rev'!J106-1,""),"")</f>
        <v/>
      </c>
      <c r="H391" s="37">
        <f>IFERROR(IF(AND(ISNUMBER('Semi Rev'!L106),ISNUMBER('Semi Rev'!K106),'Semi Rev'!K106&gt;0),'Semi Rev'!L106/'Semi Rev'!K106-1,""),"")</f>
        <v/>
      </c>
      <c r="I391" s="37">
        <f>IFERROR(IF(AND(ISNUMBER('Semi Rev'!M106),ISNUMBER('Semi Rev'!L106),'Semi Rev'!L106&gt;0),'Semi Rev'!M106/'Semi Rev'!L106-1,""),"")</f>
        <v/>
      </c>
      <c r="J391" s="37">
        <f>IFERROR(IF(AND(ISNUMBER('Semi Rev'!N106),ISNUMBER('Semi Rev'!M106),'Semi Rev'!M106&gt;0),'Semi Rev'!N106/'Semi Rev'!M106-1,""),"")</f>
        <v/>
      </c>
      <c r="K391" s="37">
        <f>IFERROR(IF(AND(ISNUMBER('Semi Rev'!O106),ISNUMBER('Semi Rev'!N106),'Semi Rev'!N106&gt;0),'Semi Rev'!O106/'Semi Rev'!N106-1,""),"")</f>
        <v/>
      </c>
      <c r="L391" s="37">
        <f>IFERROR(IF(AND(ISNUMBER('Semi Rev'!P106),ISNUMBER('Semi Rev'!O106),'Semi Rev'!O106&gt;0),'Semi Rev'!P106/'Semi Rev'!O106-1,""),"")</f>
        <v/>
      </c>
      <c r="M391" s="38">
        <f>IFERROR(IF(AND(ISNUMBER('Semi Rev'!Q106),ISNUMBER('Semi Rev'!P106),'Semi Rev'!P106&gt;0),'Semi Rev'!Q106/'Semi Rev'!P106-1,""),"")</f>
        <v/>
      </c>
      <c r="N391" s="38">
        <f>IFERROR(IF(AND(ISNUMBER('Semi Rev'!R106),ISNUMBER('Semi Rev'!Q106),'Semi Rev'!Q106&gt;0),'Semi Rev'!R106/'Semi Rev'!Q106-1,""),"")</f>
        <v/>
      </c>
    </row>
    <row r="392">
      <c r="A392" s="19">
        <f>'Semi Rev'!$A107</f>
        <v/>
      </c>
      <c r="B392" s="19">
        <f>'Semi Rev'!$B107</f>
        <v/>
      </c>
      <c r="C392" s="37">
        <f>IFERROR(IF(AND(ISNUMBER('Semi Rev'!G107),ISNUMBER('Semi Rev'!F107),'Semi Rev'!F107&gt;0),'Semi Rev'!G107/'Semi Rev'!F107-1,""),"")</f>
        <v/>
      </c>
      <c r="D392" s="37">
        <f>IFERROR(IF(AND(ISNUMBER('Semi Rev'!H107),ISNUMBER('Semi Rev'!G107),'Semi Rev'!G107&gt;0),'Semi Rev'!H107/'Semi Rev'!G107-1,""),"")</f>
        <v/>
      </c>
      <c r="E392" s="37">
        <f>IFERROR(IF(AND(ISNUMBER('Semi Rev'!I107),ISNUMBER('Semi Rev'!H107),'Semi Rev'!H107&gt;0),'Semi Rev'!I107/'Semi Rev'!H107-1,""),"")</f>
        <v/>
      </c>
      <c r="F392" s="37">
        <f>IFERROR(IF(AND(ISNUMBER('Semi Rev'!J107),ISNUMBER('Semi Rev'!I107),'Semi Rev'!I107&gt;0),'Semi Rev'!J107/'Semi Rev'!I107-1,""),"")</f>
        <v/>
      </c>
      <c r="G392" s="37">
        <f>IFERROR(IF(AND(ISNUMBER('Semi Rev'!K107),ISNUMBER('Semi Rev'!J107),'Semi Rev'!J107&gt;0),'Semi Rev'!K107/'Semi Rev'!J107-1,""),"")</f>
        <v/>
      </c>
      <c r="H392" s="37">
        <f>IFERROR(IF(AND(ISNUMBER('Semi Rev'!L107),ISNUMBER('Semi Rev'!K107),'Semi Rev'!K107&gt;0),'Semi Rev'!L107/'Semi Rev'!K107-1,""),"")</f>
        <v/>
      </c>
      <c r="I392" s="37">
        <f>IFERROR(IF(AND(ISNUMBER('Semi Rev'!M107),ISNUMBER('Semi Rev'!L107),'Semi Rev'!L107&gt;0),'Semi Rev'!M107/'Semi Rev'!L107-1,""),"")</f>
        <v/>
      </c>
      <c r="J392" s="37">
        <f>IFERROR(IF(AND(ISNUMBER('Semi Rev'!N107),ISNUMBER('Semi Rev'!M107),'Semi Rev'!M107&gt;0),'Semi Rev'!N107/'Semi Rev'!M107-1,""),"")</f>
        <v/>
      </c>
      <c r="K392" s="37">
        <f>IFERROR(IF(AND(ISNUMBER('Semi Rev'!O107),ISNUMBER('Semi Rev'!N107),'Semi Rev'!N107&gt;0),'Semi Rev'!O107/'Semi Rev'!N107-1,""),"")</f>
        <v/>
      </c>
      <c r="L392" s="37">
        <f>IFERROR(IF(AND(ISNUMBER('Semi Rev'!P107),ISNUMBER('Semi Rev'!O107),'Semi Rev'!O107&gt;0),'Semi Rev'!P107/'Semi Rev'!O107-1,""),"")</f>
        <v/>
      </c>
      <c r="M392" s="38">
        <f>IFERROR(IF(AND(ISNUMBER('Semi Rev'!Q107),ISNUMBER('Semi Rev'!P107),'Semi Rev'!P107&gt;0),'Semi Rev'!Q107/'Semi Rev'!P107-1,""),"")</f>
        <v/>
      </c>
      <c r="N392" s="38">
        <f>IFERROR(IF(AND(ISNUMBER('Semi Rev'!R107),ISNUMBER('Semi Rev'!Q107),'Semi Rev'!Q107&gt;0),'Semi Rev'!R107/'Semi Rev'!Q107-1,""),"")</f>
        <v/>
      </c>
    </row>
    <row r="393">
      <c r="A393" s="19">
        <f>'Semi Rev'!$A108</f>
        <v/>
      </c>
      <c r="B393" s="19">
        <f>'Semi Rev'!$B108</f>
        <v/>
      </c>
      <c r="C393" s="37">
        <f>IFERROR(IF(AND(ISNUMBER('Semi Rev'!G108),ISNUMBER('Semi Rev'!F108),'Semi Rev'!F108&gt;0),'Semi Rev'!G108/'Semi Rev'!F108-1,""),"")</f>
        <v/>
      </c>
      <c r="D393" s="37">
        <f>IFERROR(IF(AND(ISNUMBER('Semi Rev'!H108),ISNUMBER('Semi Rev'!G108),'Semi Rev'!G108&gt;0),'Semi Rev'!H108/'Semi Rev'!G108-1,""),"")</f>
        <v/>
      </c>
      <c r="E393" s="37">
        <f>IFERROR(IF(AND(ISNUMBER('Semi Rev'!I108),ISNUMBER('Semi Rev'!H108),'Semi Rev'!H108&gt;0),'Semi Rev'!I108/'Semi Rev'!H108-1,""),"")</f>
        <v/>
      </c>
      <c r="F393" s="37">
        <f>IFERROR(IF(AND(ISNUMBER('Semi Rev'!J108),ISNUMBER('Semi Rev'!I108),'Semi Rev'!I108&gt;0),'Semi Rev'!J108/'Semi Rev'!I108-1,""),"")</f>
        <v/>
      </c>
      <c r="G393" s="37">
        <f>IFERROR(IF(AND(ISNUMBER('Semi Rev'!K108),ISNUMBER('Semi Rev'!J108),'Semi Rev'!J108&gt;0),'Semi Rev'!K108/'Semi Rev'!J108-1,""),"")</f>
        <v/>
      </c>
      <c r="H393" s="37">
        <f>IFERROR(IF(AND(ISNUMBER('Semi Rev'!L108),ISNUMBER('Semi Rev'!K108),'Semi Rev'!K108&gt;0),'Semi Rev'!L108/'Semi Rev'!K108-1,""),"")</f>
        <v/>
      </c>
      <c r="I393" s="37">
        <f>IFERROR(IF(AND(ISNUMBER('Semi Rev'!M108),ISNUMBER('Semi Rev'!L108),'Semi Rev'!L108&gt;0),'Semi Rev'!M108/'Semi Rev'!L108-1,""),"")</f>
        <v/>
      </c>
      <c r="J393" s="37">
        <f>IFERROR(IF(AND(ISNUMBER('Semi Rev'!N108),ISNUMBER('Semi Rev'!M108),'Semi Rev'!M108&gt;0),'Semi Rev'!N108/'Semi Rev'!M108-1,""),"")</f>
        <v/>
      </c>
      <c r="K393" s="37">
        <f>IFERROR(IF(AND(ISNUMBER('Semi Rev'!O108),ISNUMBER('Semi Rev'!N108),'Semi Rev'!N108&gt;0),'Semi Rev'!O108/'Semi Rev'!N108-1,""),"")</f>
        <v/>
      </c>
      <c r="L393" s="37">
        <f>IFERROR(IF(AND(ISNUMBER('Semi Rev'!P108),ISNUMBER('Semi Rev'!O108),'Semi Rev'!O108&gt;0),'Semi Rev'!P108/'Semi Rev'!O108-1,""),"")</f>
        <v/>
      </c>
      <c r="M393" s="38">
        <f>IFERROR(IF(AND(ISNUMBER('Semi Rev'!Q108),ISNUMBER('Semi Rev'!P108),'Semi Rev'!P108&gt;0),'Semi Rev'!Q108/'Semi Rev'!P108-1,""),"")</f>
        <v/>
      </c>
      <c r="N393" s="38">
        <f>IFERROR(IF(AND(ISNUMBER('Semi Rev'!R108),ISNUMBER('Semi Rev'!Q108),'Semi Rev'!Q108&gt;0),'Semi Rev'!R108/'Semi Rev'!Q108-1,""),"")</f>
        <v/>
      </c>
    </row>
    <row r="394">
      <c r="A394" s="19">
        <f>'Semi Rev'!$A109</f>
        <v/>
      </c>
      <c r="B394" s="19">
        <f>'Semi Rev'!$B109</f>
        <v/>
      </c>
      <c r="C394" s="37">
        <f>IFERROR(IF(AND(ISNUMBER('Semi Rev'!G109),ISNUMBER('Semi Rev'!F109),'Semi Rev'!F109&gt;0),'Semi Rev'!G109/'Semi Rev'!F109-1,""),"")</f>
        <v/>
      </c>
      <c r="D394" s="37">
        <f>IFERROR(IF(AND(ISNUMBER('Semi Rev'!H109),ISNUMBER('Semi Rev'!G109),'Semi Rev'!G109&gt;0),'Semi Rev'!H109/'Semi Rev'!G109-1,""),"")</f>
        <v/>
      </c>
      <c r="E394" s="37">
        <f>IFERROR(IF(AND(ISNUMBER('Semi Rev'!I109),ISNUMBER('Semi Rev'!H109),'Semi Rev'!H109&gt;0),'Semi Rev'!I109/'Semi Rev'!H109-1,""),"")</f>
        <v/>
      </c>
      <c r="F394" s="37">
        <f>IFERROR(IF(AND(ISNUMBER('Semi Rev'!J109),ISNUMBER('Semi Rev'!I109),'Semi Rev'!I109&gt;0),'Semi Rev'!J109/'Semi Rev'!I109-1,""),"")</f>
        <v/>
      </c>
      <c r="G394" s="37">
        <f>IFERROR(IF(AND(ISNUMBER('Semi Rev'!K109),ISNUMBER('Semi Rev'!J109),'Semi Rev'!J109&gt;0),'Semi Rev'!K109/'Semi Rev'!J109-1,""),"")</f>
        <v/>
      </c>
      <c r="H394" s="37">
        <f>IFERROR(IF(AND(ISNUMBER('Semi Rev'!L109),ISNUMBER('Semi Rev'!K109),'Semi Rev'!K109&gt;0),'Semi Rev'!L109/'Semi Rev'!K109-1,""),"")</f>
        <v/>
      </c>
      <c r="I394" s="37">
        <f>IFERROR(IF(AND(ISNUMBER('Semi Rev'!M109),ISNUMBER('Semi Rev'!L109),'Semi Rev'!L109&gt;0),'Semi Rev'!M109/'Semi Rev'!L109-1,""),"")</f>
        <v/>
      </c>
      <c r="J394" s="37">
        <f>IFERROR(IF(AND(ISNUMBER('Semi Rev'!N109),ISNUMBER('Semi Rev'!M109),'Semi Rev'!M109&gt;0),'Semi Rev'!N109/'Semi Rev'!M109-1,""),"")</f>
        <v/>
      </c>
      <c r="K394" s="37">
        <f>IFERROR(IF(AND(ISNUMBER('Semi Rev'!O109),ISNUMBER('Semi Rev'!N109),'Semi Rev'!N109&gt;0),'Semi Rev'!O109/'Semi Rev'!N109-1,""),"")</f>
        <v/>
      </c>
      <c r="L394" s="37">
        <f>IFERROR(IF(AND(ISNUMBER('Semi Rev'!P109),ISNUMBER('Semi Rev'!O109),'Semi Rev'!O109&gt;0),'Semi Rev'!P109/'Semi Rev'!O109-1,""),"")</f>
        <v/>
      </c>
      <c r="M394" s="38">
        <f>IFERROR(IF(AND(ISNUMBER('Semi Rev'!Q109),ISNUMBER('Semi Rev'!P109),'Semi Rev'!P109&gt;0),'Semi Rev'!Q109/'Semi Rev'!P109-1,""),"")</f>
        <v/>
      </c>
      <c r="N394" s="38">
        <f>IFERROR(IF(AND(ISNUMBER('Semi Rev'!R109),ISNUMBER('Semi Rev'!Q109),'Semi Rev'!Q109&gt;0),'Semi Rev'!R109/'Semi Rev'!Q109-1,""),"")</f>
        <v/>
      </c>
    </row>
    <row r="395">
      <c r="A395" s="19">
        <f>'Semi Rev'!$A110</f>
        <v/>
      </c>
      <c r="B395" s="19">
        <f>'Semi Rev'!$B110</f>
        <v/>
      </c>
      <c r="C395" s="37">
        <f>IFERROR(IF(AND(ISNUMBER('Semi Rev'!G110),ISNUMBER('Semi Rev'!F110),'Semi Rev'!F110&gt;0),'Semi Rev'!G110/'Semi Rev'!F110-1,""),"")</f>
        <v/>
      </c>
      <c r="D395" s="37">
        <f>IFERROR(IF(AND(ISNUMBER('Semi Rev'!H110),ISNUMBER('Semi Rev'!G110),'Semi Rev'!G110&gt;0),'Semi Rev'!H110/'Semi Rev'!G110-1,""),"")</f>
        <v/>
      </c>
      <c r="E395" s="37">
        <f>IFERROR(IF(AND(ISNUMBER('Semi Rev'!I110),ISNUMBER('Semi Rev'!H110),'Semi Rev'!H110&gt;0),'Semi Rev'!I110/'Semi Rev'!H110-1,""),"")</f>
        <v/>
      </c>
      <c r="F395" s="37">
        <f>IFERROR(IF(AND(ISNUMBER('Semi Rev'!J110),ISNUMBER('Semi Rev'!I110),'Semi Rev'!I110&gt;0),'Semi Rev'!J110/'Semi Rev'!I110-1,""),"")</f>
        <v/>
      </c>
      <c r="G395" s="37">
        <f>IFERROR(IF(AND(ISNUMBER('Semi Rev'!K110),ISNUMBER('Semi Rev'!J110),'Semi Rev'!J110&gt;0),'Semi Rev'!K110/'Semi Rev'!J110-1,""),"")</f>
        <v/>
      </c>
      <c r="H395" s="37">
        <f>IFERROR(IF(AND(ISNUMBER('Semi Rev'!L110),ISNUMBER('Semi Rev'!K110),'Semi Rev'!K110&gt;0),'Semi Rev'!L110/'Semi Rev'!K110-1,""),"")</f>
        <v/>
      </c>
      <c r="I395" s="37">
        <f>IFERROR(IF(AND(ISNUMBER('Semi Rev'!M110),ISNUMBER('Semi Rev'!L110),'Semi Rev'!L110&gt;0),'Semi Rev'!M110/'Semi Rev'!L110-1,""),"")</f>
        <v/>
      </c>
      <c r="J395" s="37">
        <f>IFERROR(IF(AND(ISNUMBER('Semi Rev'!N110),ISNUMBER('Semi Rev'!M110),'Semi Rev'!M110&gt;0),'Semi Rev'!N110/'Semi Rev'!M110-1,""),"")</f>
        <v/>
      </c>
      <c r="K395" s="37">
        <f>IFERROR(IF(AND(ISNUMBER('Semi Rev'!O110),ISNUMBER('Semi Rev'!N110),'Semi Rev'!N110&gt;0),'Semi Rev'!O110/'Semi Rev'!N110-1,""),"")</f>
        <v/>
      </c>
      <c r="L395" s="37">
        <f>IFERROR(IF(AND(ISNUMBER('Semi Rev'!P110),ISNUMBER('Semi Rev'!O110),'Semi Rev'!O110&gt;0),'Semi Rev'!P110/'Semi Rev'!O110-1,""),"")</f>
        <v/>
      </c>
      <c r="M395" s="38">
        <f>IFERROR(IF(AND(ISNUMBER('Semi Rev'!Q110),ISNUMBER('Semi Rev'!P110),'Semi Rev'!P110&gt;0),'Semi Rev'!Q110/'Semi Rev'!P110-1,""),"")</f>
        <v/>
      </c>
      <c r="N395" s="38">
        <f>IFERROR(IF(AND(ISNUMBER('Semi Rev'!R110),ISNUMBER('Semi Rev'!Q110),'Semi Rev'!Q110&gt;0),'Semi Rev'!R110/'Semi Rev'!Q110-1,""),"")</f>
        <v/>
      </c>
    </row>
    <row r="396">
      <c r="A396" s="19">
        <f>'Semi Rev'!$A111</f>
        <v/>
      </c>
      <c r="B396" s="19">
        <f>'Semi Rev'!$B111</f>
        <v/>
      </c>
      <c r="C396" s="37">
        <f>IFERROR(IF(AND(ISNUMBER('Semi Rev'!G111),ISNUMBER('Semi Rev'!F111),'Semi Rev'!F111&gt;0),'Semi Rev'!G111/'Semi Rev'!F111-1,""),"")</f>
        <v/>
      </c>
      <c r="D396" s="37">
        <f>IFERROR(IF(AND(ISNUMBER('Semi Rev'!H111),ISNUMBER('Semi Rev'!G111),'Semi Rev'!G111&gt;0),'Semi Rev'!H111/'Semi Rev'!G111-1,""),"")</f>
        <v/>
      </c>
      <c r="E396" s="37">
        <f>IFERROR(IF(AND(ISNUMBER('Semi Rev'!I111),ISNUMBER('Semi Rev'!H111),'Semi Rev'!H111&gt;0),'Semi Rev'!I111/'Semi Rev'!H111-1,""),"")</f>
        <v/>
      </c>
      <c r="F396" s="37">
        <f>IFERROR(IF(AND(ISNUMBER('Semi Rev'!J111),ISNUMBER('Semi Rev'!I111),'Semi Rev'!I111&gt;0),'Semi Rev'!J111/'Semi Rev'!I111-1,""),"")</f>
        <v/>
      </c>
      <c r="G396" s="37">
        <f>IFERROR(IF(AND(ISNUMBER('Semi Rev'!K111),ISNUMBER('Semi Rev'!J111),'Semi Rev'!J111&gt;0),'Semi Rev'!K111/'Semi Rev'!J111-1,""),"")</f>
        <v/>
      </c>
      <c r="H396" s="37">
        <f>IFERROR(IF(AND(ISNUMBER('Semi Rev'!L111),ISNUMBER('Semi Rev'!K111),'Semi Rev'!K111&gt;0),'Semi Rev'!L111/'Semi Rev'!K111-1,""),"")</f>
        <v/>
      </c>
      <c r="I396" s="37">
        <f>IFERROR(IF(AND(ISNUMBER('Semi Rev'!M111),ISNUMBER('Semi Rev'!L111),'Semi Rev'!L111&gt;0),'Semi Rev'!M111/'Semi Rev'!L111-1,""),"")</f>
        <v/>
      </c>
      <c r="J396" s="37">
        <f>IFERROR(IF(AND(ISNUMBER('Semi Rev'!N111),ISNUMBER('Semi Rev'!M111),'Semi Rev'!M111&gt;0),'Semi Rev'!N111/'Semi Rev'!M111-1,""),"")</f>
        <v/>
      </c>
      <c r="K396" s="37">
        <f>IFERROR(IF(AND(ISNUMBER('Semi Rev'!O111),ISNUMBER('Semi Rev'!N111),'Semi Rev'!N111&gt;0),'Semi Rev'!O111/'Semi Rev'!N111-1,""),"")</f>
        <v/>
      </c>
      <c r="L396" s="37">
        <f>IFERROR(IF(AND(ISNUMBER('Semi Rev'!P111),ISNUMBER('Semi Rev'!O111),'Semi Rev'!O111&gt;0),'Semi Rev'!P111/'Semi Rev'!O111-1,""),"")</f>
        <v/>
      </c>
      <c r="M396" s="38">
        <f>IFERROR(IF(AND(ISNUMBER('Semi Rev'!Q111),ISNUMBER('Semi Rev'!P111),'Semi Rev'!P111&gt;0),'Semi Rev'!Q111/'Semi Rev'!P111-1,""),"")</f>
        <v/>
      </c>
      <c r="N396" s="38">
        <f>IFERROR(IF(AND(ISNUMBER('Semi Rev'!R111),ISNUMBER('Semi Rev'!Q111),'Semi Rev'!Q111&gt;0),'Semi Rev'!R111/'Semi Rev'!Q111-1,""),"")</f>
        <v/>
      </c>
    </row>
    <row r="397">
      <c r="A397" s="19">
        <f>'Semi Rev'!$A112</f>
        <v/>
      </c>
      <c r="B397" s="19">
        <f>'Semi Rev'!$B112</f>
        <v/>
      </c>
      <c r="C397" s="37">
        <f>IFERROR(IF(AND(ISNUMBER('Semi Rev'!G112),ISNUMBER('Semi Rev'!F112),'Semi Rev'!F112&gt;0),'Semi Rev'!G112/'Semi Rev'!F112-1,""),"")</f>
        <v/>
      </c>
      <c r="D397" s="37">
        <f>IFERROR(IF(AND(ISNUMBER('Semi Rev'!H112),ISNUMBER('Semi Rev'!G112),'Semi Rev'!G112&gt;0),'Semi Rev'!H112/'Semi Rev'!G112-1,""),"")</f>
        <v/>
      </c>
      <c r="E397" s="37">
        <f>IFERROR(IF(AND(ISNUMBER('Semi Rev'!I112),ISNUMBER('Semi Rev'!H112),'Semi Rev'!H112&gt;0),'Semi Rev'!I112/'Semi Rev'!H112-1,""),"")</f>
        <v/>
      </c>
      <c r="F397" s="37">
        <f>IFERROR(IF(AND(ISNUMBER('Semi Rev'!J112),ISNUMBER('Semi Rev'!I112),'Semi Rev'!I112&gt;0),'Semi Rev'!J112/'Semi Rev'!I112-1,""),"")</f>
        <v/>
      </c>
      <c r="G397" s="37">
        <f>IFERROR(IF(AND(ISNUMBER('Semi Rev'!K112),ISNUMBER('Semi Rev'!J112),'Semi Rev'!J112&gt;0),'Semi Rev'!K112/'Semi Rev'!J112-1,""),"")</f>
        <v/>
      </c>
      <c r="H397" s="37">
        <f>IFERROR(IF(AND(ISNUMBER('Semi Rev'!L112),ISNUMBER('Semi Rev'!K112),'Semi Rev'!K112&gt;0),'Semi Rev'!L112/'Semi Rev'!K112-1,""),"")</f>
        <v/>
      </c>
      <c r="I397" s="37">
        <f>IFERROR(IF(AND(ISNUMBER('Semi Rev'!M112),ISNUMBER('Semi Rev'!L112),'Semi Rev'!L112&gt;0),'Semi Rev'!M112/'Semi Rev'!L112-1,""),"")</f>
        <v/>
      </c>
      <c r="J397" s="37">
        <f>IFERROR(IF(AND(ISNUMBER('Semi Rev'!N112),ISNUMBER('Semi Rev'!M112),'Semi Rev'!M112&gt;0),'Semi Rev'!N112/'Semi Rev'!M112-1,""),"")</f>
        <v/>
      </c>
      <c r="K397" s="37">
        <f>IFERROR(IF(AND(ISNUMBER('Semi Rev'!O112),ISNUMBER('Semi Rev'!N112),'Semi Rev'!N112&gt;0),'Semi Rev'!O112/'Semi Rev'!N112-1,""),"")</f>
        <v/>
      </c>
      <c r="L397" s="37">
        <f>IFERROR(IF(AND(ISNUMBER('Semi Rev'!P112),ISNUMBER('Semi Rev'!O112),'Semi Rev'!O112&gt;0),'Semi Rev'!P112/'Semi Rev'!O112-1,""),"")</f>
        <v/>
      </c>
      <c r="M397" s="38">
        <f>IFERROR(IF(AND(ISNUMBER('Semi Rev'!Q112),ISNUMBER('Semi Rev'!P112),'Semi Rev'!P112&gt;0),'Semi Rev'!Q112/'Semi Rev'!P112-1,""),"")</f>
        <v/>
      </c>
      <c r="N397" s="38">
        <f>IFERROR(IF(AND(ISNUMBER('Semi Rev'!R112),ISNUMBER('Semi Rev'!Q112),'Semi Rev'!Q112&gt;0),'Semi Rev'!R112/'Semi Rev'!Q112-1,""),"")</f>
        <v/>
      </c>
    </row>
    <row r="398">
      <c r="A398" s="19">
        <f>'Semi Rev'!$A113</f>
        <v/>
      </c>
      <c r="B398" s="19">
        <f>'Semi Rev'!$B113</f>
        <v/>
      </c>
      <c r="C398" s="37">
        <f>IFERROR(IF(AND(ISNUMBER('Semi Rev'!G113),ISNUMBER('Semi Rev'!F113),'Semi Rev'!F113&gt;0),'Semi Rev'!G113/'Semi Rev'!F113-1,""),"")</f>
        <v/>
      </c>
      <c r="D398" s="37">
        <f>IFERROR(IF(AND(ISNUMBER('Semi Rev'!H113),ISNUMBER('Semi Rev'!G113),'Semi Rev'!G113&gt;0),'Semi Rev'!H113/'Semi Rev'!G113-1,""),"")</f>
        <v/>
      </c>
      <c r="E398" s="37">
        <f>IFERROR(IF(AND(ISNUMBER('Semi Rev'!I113),ISNUMBER('Semi Rev'!H113),'Semi Rev'!H113&gt;0),'Semi Rev'!I113/'Semi Rev'!H113-1,""),"")</f>
        <v/>
      </c>
      <c r="F398" s="37">
        <f>IFERROR(IF(AND(ISNUMBER('Semi Rev'!J113),ISNUMBER('Semi Rev'!I113),'Semi Rev'!I113&gt;0),'Semi Rev'!J113/'Semi Rev'!I113-1,""),"")</f>
        <v/>
      </c>
      <c r="G398" s="37">
        <f>IFERROR(IF(AND(ISNUMBER('Semi Rev'!K113),ISNUMBER('Semi Rev'!J113),'Semi Rev'!J113&gt;0),'Semi Rev'!K113/'Semi Rev'!J113-1,""),"")</f>
        <v/>
      </c>
      <c r="H398" s="37">
        <f>IFERROR(IF(AND(ISNUMBER('Semi Rev'!L113),ISNUMBER('Semi Rev'!K113),'Semi Rev'!K113&gt;0),'Semi Rev'!L113/'Semi Rev'!K113-1,""),"")</f>
        <v/>
      </c>
      <c r="I398" s="37">
        <f>IFERROR(IF(AND(ISNUMBER('Semi Rev'!M113),ISNUMBER('Semi Rev'!L113),'Semi Rev'!L113&gt;0),'Semi Rev'!M113/'Semi Rev'!L113-1,""),"")</f>
        <v/>
      </c>
      <c r="J398" s="37">
        <f>IFERROR(IF(AND(ISNUMBER('Semi Rev'!N113),ISNUMBER('Semi Rev'!M113),'Semi Rev'!M113&gt;0),'Semi Rev'!N113/'Semi Rev'!M113-1,""),"")</f>
        <v/>
      </c>
      <c r="K398" s="37">
        <f>IFERROR(IF(AND(ISNUMBER('Semi Rev'!O113),ISNUMBER('Semi Rev'!N113),'Semi Rev'!N113&gt;0),'Semi Rev'!O113/'Semi Rev'!N113-1,""),"")</f>
        <v/>
      </c>
      <c r="L398" s="37">
        <f>IFERROR(IF(AND(ISNUMBER('Semi Rev'!P113),ISNUMBER('Semi Rev'!O113),'Semi Rev'!O113&gt;0),'Semi Rev'!P113/'Semi Rev'!O113-1,""),"")</f>
        <v/>
      </c>
      <c r="M398" s="38">
        <f>IFERROR(IF(AND(ISNUMBER('Semi Rev'!Q113),ISNUMBER('Semi Rev'!P113),'Semi Rev'!P113&gt;0),'Semi Rev'!Q113/'Semi Rev'!P113-1,""),"")</f>
        <v/>
      </c>
      <c r="N398" s="38">
        <f>IFERROR(IF(AND(ISNUMBER('Semi Rev'!R113),ISNUMBER('Semi Rev'!Q113),'Semi Rev'!Q113&gt;0),'Semi Rev'!R113/'Semi Rev'!Q113-1,""),"")</f>
        <v/>
      </c>
    </row>
    <row r="399">
      <c r="A399" s="19">
        <f>'Semi Rev'!$A114</f>
        <v/>
      </c>
      <c r="B399" s="19">
        <f>'Semi Rev'!$B114</f>
        <v/>
      </c>
      <c r="C399" s="37">
        <f>IFERROR(IF(AND(ISNUMBER('Semi Rev'!G114),ISNUMBER('Semi Rev'!F114),'Semi Rev'!F114&gt;0),'Semi Rev'!G114/'Semi Rev'!F114-1,""),"")</f>
        <v/>
      </c>
      <c r="D399" s="37">
        <f>IFERROR(IF(AND(ISNUMBER('Semi Rev'!H114),ISNUMBER('Semi Rev'!G114),'Semi Rev'!G114&gt;0),'Semi Rev'!H114/'Semi Rev'!G114-1,""),"")</f>
        <v/>
      </c>
      <c r="E399" s="37">
        <f>IFERROR(IF(AND(ISNUMBER('Semi Rev'!I114),ISNUMBER('Semi Rev'!H114),'Semi Rev'!H114&gt;0),'Semi Rev'!I114/'Semi Rev'!H114-1,""),"")</f>
        <v/>
      </c>
      <c r="F399" s="37">
        <f>IFERROR(IF(AND(ISNUMBER('Semi Rev'!J114),ISNUMBER('Semi Rev'!I114),'Semi Rev'!I114&gt;0),'Semi Rev'!J114/'Semi Rev'!I114-1,""),"")</f>
        <v/>
      </c>
      <c r="G399" s="37">
        <f>IFERROR(IF(AND(ISNUMBER('Semi Rev'!K114),ISNUMBER('Semi Rev'!J114),'Semi Rev'!J114&gt;0),'Semi Rev'!K114/'Semi Rev'!J114-1,""),"")</f>
        <v/>
      </c>
      <c r="H399" s="37">
        <f>IFERROR(IF(AND(ISNUMBER('Semi Rev'!L114),ISNUMBER('Semi Rev'!K114),'Semi Rev'!K114&gt;0),'Semi Rev'!L114/'Semi Rev'!K114-1,""),"")</f>
        <v/>
      </c>
      <c r="I399" s="37">
        <f>IFERROR(IF(AND(ISNUMBER('Semi Rev'!M114),ISNUMBER('Semi Rev'!L114),'Semi Rev'!L114&gt;0),'Semi Rev'!M114/'Semi Rev'!L114-1,""),"")</f>
        <v/>
      </c>
      <c r="J399" s="37">
        <f>IFERROR(IF(AND(ISNUMBER('Semi Rev'!N114),ISNUMBER('Semi Rev'!M114),'Semi Rev'!M114&gt;0),'Semi Rev'!N114/'Semi Rev'!M114-1,""),"")</f>
        <v/>
      </c>
      <c r="K399" s="37">
        <f>IFERROR(IF(AND(ISNUMBER('Semi Rev'!O114),ISNUMBER('Semi Rev'!N114),'Semi Rev'!N114&gt;0),'Semi Rev'!O114/'Semi Rev'!N114-1,""),"")</f>
        <v/>
      </c>
      <c r="L399" s="37">
        <f>IFERROR(IF(AND(ISNUMBER('Semi Rev'!P114),ISNUMBER('Semi Rev'!O114),'Semi Rev'!O114&gt;0),'Semi Rev'!P114/'Semi Rev'!O114-1,""),"")</f>
        <v/>
      </c>
      <c r="M399" s="38">
        <f>IFERROR(IF(AND(ISNUMBER('Semi Rev'!Q114),ISNUMBER('Semi Rev'!P114),'Semi Rev'!P114&gt;0),'Semi Rev'!Q114/'Semi Rev'!P114-1,""),"")</f>
        <v/>
      </c>
      <c r="N399" s="38">
        <f>IFERROR(IF(AND(ISNUMBER('Semi Rev'!R114),ISNUMBER('Semi Rev'!Q114),'Semi Rev'!Q114&gt;0),'Semi Rev'!R114/'Semi Rev'!Q114-1,""),"")</f>
        <v/>
      </c>
    </row>
    <row r="400">
      <c r="A400" s="19">
        <f>'Semi Rev'!$A115</f>
        <v/>
      </c>
      <c r="B400" s="19">
        <f>'Semi Rev'!$B115</f>
        <v/>
      </c>
      <c r="C400" s="37">
        <f>IFERROR(IF(AND(ISNUMBER('Semi Rev'!G115),ISNUMBER('Semi Rev'!F115),'Semi Rev'!F115&gt;0),'Semi Rev'!G115/'Semi Rev'!F115-1,""),"")</f>
        <v/>
      </c>
      <c r="D400" s="37">
        <f>IFERROR(IF(AND(ISNUMBER('Semi Rev'!H115),ISNUMBER('Semi Rev'!G115),'Semi Rev'!G115&gt;0),'Semi Rev'!H115/'Semi Rev'!G115-1,""),"")</f>
        <v/>
      </c>
      <c r="E400" s="37">
        <f>IFERROR(IF(AND(ISNUMBER('Semi Rev'!I115),ISNUMBER('Semi Rev'!H115),'Semi Rev'!H115&gt;0),'Semi Rev'!I115/'Semi Rev'!H115-1,""),"")</f>
        <v/>
      </c>
      <c r="F400" s="37">
        <f>IFERROR(IF(AND(ISNUMBER('Semi Rev'!J115),ISNUMBER('Semi Rev'!I115),'Semi Rev'!I115&gt;0),'Semi Rev'!J115/'Semi Rev'!I115-1,""),"")</f>
        <v/>
      </c>
      <c r="G400" s="37">
        <f>IFERROR(IF(AND(ISNUMBER('Semi Rev'!K115),ISNUMBER('Semi Rev'!J115),'Semi Rev'!J115&gt;0),'Semi Rev'!K115/'Semi Rev'!J115-1,""),"")</f>
        <v/>
      </c>
      <c r="H400" s="37">
        <f>IFERROR(IF(AND(ISNUMBER('Semi Rev'!L115),ISNUMBER('Semi Rev'!K115),'Semi Rev'!K115&gt;0),'Semi Rev'!L115/'Semi Rev'!K115-1,""),"")</f>
        <v/>
      </c>
      <c r="I400" s="37">
        <f>IFERROR(IF(AND(ISNUMBER('Semi Rev'!M115),ISNUMBER('Semi Rev'!L115),'Semi Rev'!L115&gt;0),'Semi Rev'!M115/'Semi Rev'!L115-1,""),"")</f>
        <v/>
      </c>
      <c r="J400" s="37">
        <f>IFERROR(IF(AND(ISNUMBER('Semi Rev'!N115),ISNUMBER('Semi Rev'!M115),'Semi Rev'!M115&gt;0),'Semi Rev'!N115/'Semi Rev'!M115-1,""),"")</f>
        <v/>
      </c>
      <c r="K400" s="37">
        <f>IFERROR(IF(AND(ISNUMBER('Semi Rev'!O115),ISNUMBER('Semi Rev'!N115),'Semi Rev'!N115&gt;0),'Semi Rev'!O115/'Semi Rev'!N115-1,""),"")</f>
        <v/>
      </c>
      <c r="L400" s="37">
        <f>IFERROR(IF(AND(ISNUMBER('Semi Rev'!P115),ISNUMBER('Semi Rev'!O115),'Semi Rev'!O115&gt;0),'Semi Rev'!P115/'Semi Rev'!O115-1,""),"")</f>
        <v/>
      </c>
      <c r="M400" s="38">
        <f>IFERROR(IF(AND(ISNUMBER('Semi Rev'!Q115),ISNUMBER('Semi Rev'!P115),'Semi Rev'!P115&gt;0),'Semi Rev'!Q115/'Semi Rev'!P115-1,""),"")</f>
        <v/>
      </c>
      <c r="N400" s="38">
        <f>IFERROR(IF(AND(ISNUMBER('Semi Rev'!R115),ISNUMBER('Semi Rev'!Q115),'Semi Rev'!Q115&gt;0),'Semi Rev'!R115/'Semi Rev'!Q115-1,""),"")</f>
        <v/>
      </c>
    </row>
    <row r="401">
      <c r="A401" s="19">
        <f>'Semi Rev'!$A116</f>
        <v/>
      </c>
      <c r="B401" s="19">
        <f>'Semi Rev'!$B116</f>
        <v/>
      </c>
      <c r="C401" s="37">
        <f>IFERROR(IF(AND(ISNUMBER('Semi Rev'!G116),ISNUMBER('Semi Rev'!F116),'Semi Rev'!F116&gt;0),'Semi Rev'!G116/'Semi Rev'!F116-1,""),"")</f>
        <v/>
      </c>
      <c r="D401" s="37">
        <f>IFERROR(IF(AND(ISNUMBER('Semi Rev'!H116),ISNUMBER('Semi Rev'!G116),'Semi Rev'!G116&gt;0),'Semi Rev'!H116/'Semi Rev'!G116-1,""),"")</f>
        <v/>
      </c>
      <c r="E401" s="37">
        <f>IFERROR(IF(AND(ISNUMBER('Semi Rev'!I116),ISNUMBER('Semi Rev'!H116),'Semi Rev'!H116&gt;0),'Semi Rev'!I116/'Semi Rev'!H116-1,""),"")</f>
        <v/>
      </c>
      <c r="F401" s="37">
        <f>IFERROR(IF(AND(ISNUMBER('Semi Rev'!J116),ISNUMBER('Semi Rev'!I116),'Semi Rev'!I116&gt;0),'Semi Rev'!J116/'Semi Rev'!I116-1,""),"")</f>
        <v/>
      </c>
      <c r="G401" s="37">
        <f>IFERROR(IF(AND(ISNUMBER('Semi Rev'!K116),ISNUMBER('Semi Rev'!J116),'Semi Rev'!J116&gt;0),'Semi Rev'!K116/'Semi Rev'!J116-1,""),"")</f>
        <v/>
      </c>
      <c r="H401" s="37">
        <f>IFERROR(IF(AND(ISNUMBER('Semi Rev'!L116),ISNUMBER('Semi Rev'!K116),'Semi Rev'!K116&gt;0),'Semi Rev'!L116/'Semi Rev'!K116-1,""),"")</f>
        <v/>
      </c>
      <c r="I401" s="37">
        <f>IFERROR(IF(AND(ISNUMBER('Semi Rev'!M116),ISNUMBER('Semi Rev'!L116),'Semi Rev'!L116&gt;0),'Semi Rev'!M116/'Semi Rev'!L116-1,""),"")</f>
        <v/>
      </c>
      <c r="J401" s="37">
        <f>IFERROR(IF(AND(ISNUMBER('Semi Rev'!N116),ISNUMBER('Semi Rev'!M116),'Semi Rev'!M116&gt;0),'Semi Rev'!N116/'Semi Rev'!M116-1,""),"")</f>
        <v/>
      </c>
      <c r="K401" s="37">
        <f>IFERROR(IF(AND(ISNUMBER('Semi Rev'!O116),ISNUMBER('Semi Rev'!N116),'Semi Rev'!N116&gt;0),'Semi Rev'!O116/'Semi Rev'!N116-1,""),"")</f>
        <v/>
      </c>
      <c r="L401" s="37">
        <f>IFERROR(IF(AND(ISNUMBER('Semi Rev'!P116),ISNUMBER('Semi Rev'!O116),'Semi Rev'!O116&gt;0),'Semi Rev'!P116/'Semi Rev'!O116-1,""),"")</f>
        <v/>
      </c>
      <c r="M401" s="38">
        <f>IFERROR(IF(AND(ISNUMBER('Semi Rev'!Q116),ISNUMBER('Semi Rev'!P116),'Semi Rev'!P116&gt;0),'Semi Rev'!Q116/'Semi Rev'!P116-1,""),"")</f>
        <v/>
      </c>
      <c r="N401" s="38">
        <f>IFERROR(IF(AND(ISNUMBER('Semi Rev'!R116),ISNUMBER('Semi Rev'!Q116),'Semi Rev'!Q116&gt;0),'Semi Rev'!R116/'Semi Rev'!Q116-1,""),"")</f>
        <v/>
      </c>
    </row>
    <row r="402">
      <c r="A402" s="19">
        <f>'Semi Rev'!$A117</f>
        <v/>
      </c>
      <c r="B402" s="19">
        <f>'Semi Rev'!$B117</f>
        <v/>
      </c>
      <c r="C402" s="37">
        <f>IFERROR(IF(AND(ISNUMBER('Semi Rev'!G117),ISNUMBER('Semi Rev'!F117),'Semi Rev'!F117&gt;0),'Semi Rev'!G117/'Semi Rev'!F117-1,""),"")</f>
        <v/>
      </c>
      <c r="D402" s="37">
        <f>IFERROR(IF(AND(ISNUMBER('Semi Rev'!H117),ISNUMBER('Semi Rev'!G117),'Semi Rev'!G117&gt;0),'Semi Rev'!H117/'Semi Rev'!G117-1,""),"")</f>
        <v/>
      </c>
      <c r="E402" s="37">
        <f>IFERROR(IF(AND(ISNUMBER('Semi Rev'!I117),ISNUMBER('Semi Rev'!H117),'Semi Rev'!H117&gt;0),'Semi Rev'!I117/'Semi Rev'!H117-1,""),"")</f>
        <v/>
      </c>
      <c r="F402" s="37">
        <f>IFERROR(IF(AND(ISNUMBER('Semi Rev'!J117),ISNUMBER('Semi Rev'!I117),'Semi Rev'!I117&gt;0),'Semi Rev'!J117/'Semi Rev'!I117-1,""),"")</f>
        <v/>
      </c>
      <c r="G402" s="37">
        <f>IFERROR(IF(AND(ISNUMBER('Semi Rev'!K117),ISNUMBER('Semi Rev'!J117),'Semi Rev'!J117&gt;0),'Semi Rev'!K117/'Semi Rev'!J117-1,""),"")</f>
        <v/>
      </c>
      <c r="H402" s="37">
        <f>IFERROR(IF(AND(ISNUMBER('Semi Rev'!L117),ISNUMBER('Semi Rev'!K117),'Semi Rev'!K117&gt;0),'Semi Rev'!L117/'Semi Rev'!K117-1,""),"")</f>
        <v/>
      </c>
      <c r="I402" s="37">
        <f>IFERROR(IF(AND(ISNUMBER('Semi Rev'!M117),ISNUMBER('Semi Rev'!L117),'Semi Rev'!L117&gt;0),'Semi Rev'!M117/'Semi Rev'!L117-1,""),"")</f>
        <v/>
      </c>
      <c r="J402" s="37">
        <f>IFERROR(IF(AND(ISNUMBER('Semi Rev'!N117),ISNUMBER('Semi Rev'!M117),'Semi Rev'!M117&gt;0),'Semi Rev'!N117/'Semi Rev'!M117-1,""),"")</f>
        <v/>
      </c>
      <c r="K402" s="37">
        <f>IFERROR(IF(AND(ISNUMBER('Semi Rev'!O117),ISNUMBER('Semi Rev'!N117),'Semi Rev'!N117&gt;0),'Semi Rev'!O117/'Semi Rev'!N117-1,""),"")</f>
        <v/>
      </c>
      <c r="L402" s="37">
        <f>IFERROR(IF(AND(ISNUMBER('Semi Rev'!P117),ISNUMBER('Semi Rev'!O117),'Semi Rev'!O117&gt;0),'Semi Rev'!P117/'Semi Rev'!O117-1,""),"")</f>
        <v/>
      </c>
      <c r="M402" s="38">
        <f>IFERROR(IF(AND(ISNUMBER('Semi Rev'!Q117),ISNUMBER('Semi Rev'!P117),'Semi Rev'!P117&gt;0),'Semi Rev'!Q117/'Semi Rev'!P117-1,""),"")</f>
        <v/>
      </c>
      <c r="N402" s="38">
        <f>IFERROR(IF(AND(ISNUMBER('Semi Rev'!R117),ISNUMBER('Semi Rev'!Q117),'Semi Rev'!Q117&gt;0),'Semi Rev'!R117/'Semi Rev'!Q117-1,""),"")</f>
        <v/>
      </c>
    </row>
    <row r="403">
      <c r="A403" s="19">
        <f>'Semi Rev'!$A118</f>
        <v/>
      </c>
      <c r="B403" s="19">
        <f>'Semi Rev'!$B118</f>
        <v/>
      </c>
      <c r="C403" s="37">
        <f>IFERROR(IF(AND(ISNUMBER('Semi Rev'!G118),ISNUMBER('Semi Rev'!F118),'Semi Rev'!F118&gt;0),'Semi Rev'!G118/'Semi Rev'!F118-1,""),"")</f>
        <v/>
      </c>
      <c r="D403" s="37">
        <f>IFERROR(IF(AND(ISNUMBER('Semi Rev'!H118),ISNUMBER('Semi Rev'!G118),'Semi Rev'!G118&gt;0),'Semi Rev'!H118/'Semi Rev'!G118-1,""),"")</f>
        <v/>
      </c>
      <c r="E403" s="37">
        <f>IFERROR(IF(AND(ISNUMBER('Semi Rev'!I118),ISNUMBER('Semi Rev'!H118),'Semi Rev'!H118&gt;0),'Semi Rev'!I118/'Semi Rev'!H118-1,""),"")</f>
        <v/>
      </c>
      <c r="F403" s="37">
        <f>IFERROR(IF(AND(ISNUMBER('Semi Rev'!J118),ISNUMBER('Semi Rev'!I118),'Semi Rev'!I118&gt;0),'Semi Rev'!J118/'Semi Rev'!I118-1,""),"")</f>
        <v/>
      </c>
      <c r="G403" s="37">
        <f>IFERROR(IF(AND(ISNUMBER('Semi Rev'!K118),ISNUMBER('Semi Rev'!J118),'Semi Rev'!J118&gt;0),'Semi Rev'!K118/'Semi Rev'!J118-1,""),"")</f>
        <v/>
      </c>
      <c r="H403" s="37">
        <f>IFERROR(IF(AND(ISNUMBER('Semi Rev'!L118),ISNUMBER('Semi Rev'!K118),'Semi Rev'!K118&gt;0),'Semi Rev'!L118/'Semi Rev'!K118-1,""),"")</f>
        <v/>
      </c>
      <c r="I403" s="37">
        <f>IFERROR(IF(AND(ISNUMBER('Semi Rev'!M118),ISNUMBER('Semi Rev'!L118),'Semi Rev'!L118&gt;0),'Semi Rev'!M118/'Semi Rev'!L118-1,""),"")</f>
        <v/>
      </c>
      <c r="J403" s="37">
        <f>IFERROR(IF(AND(ISNUMBER('Semi Rev'!N118),ISNUMBER('Semi Rev'!M118),'Semi Rev'!M118&gt;0),'Semi Rev'!N118/'Semi Rev'!M118-1,""),"")</f>
        <v/>
      </c>
      <c r="K403" s="37">
        <f>IFERROR(IF(AND(ISNUMBER('Semi Rev'!O118),ISNUMBER('Semi Rev'!N118),'Semi Rev'!N118&gt;0),'Semi Rev'!O118/'Semi Rev'!N118-1,""),"")</f>
        <v/>
      </c>
      <c r="L403" s="37">
        <f>IFERROR(IF(AND(ISNUMBER('Semi Rev'!P118),ISNUMBER('Semi Rev'!O118),'Semi Rev'!O118&gt;0),'Semi Rev'!P118/'Semi Rev'!O118-1,""),"")</f>
        <v/>
      </c>
      <c r="M403" s="38">
        <f>IFERROR(IF(AND(ISNUMBER('Semi Rev'!Q118),ISNUMBER('Semi Rev'!P118),'Semi Rev'!P118&gt;0),'Semi Rev'!Q118/'Semi Rev'!P118-1,""),"")</f>
        <v/>
      </c>
      <c r="N403" s="38">
        <f>IFERROR(IF(AND(ISNUMBER('Semi Rev'!R118),ISNUMBER('Semi Rev'!Q118),'Semi Rev'!Q118&gt;0),'Semi Rev'!R118/'Semi Rev'!Q118-1,""),"")</f>
        <v/>
      </c>
    </row>
    <row r="404">
      <c r="A404" s="19">
        <f>'Semi Rev'!$A119</f>
        <v/>
      </c>
      <c r="B404" s="19">
        <f>'Semi Rev'!$B119</f>
        <v/>
      </c>
      <c r="C404" s="37">
        <f>IFERROR(IF(AND(ISNUMBER('Semi Rev'!G119),ISNUMBER('Semi Rev'!F119),'Semi Rev'!F119&gt;0),'Semi Rev'!G119/'Semi Rev'!F119-1,""),"")</f>
        <v/>
      </c>
      <c r="D404" s="37">
        <f>IFERROR(IF(AND(ISNUMBER('Semi Rev'!H119),ISNUMBER('Semi Rev'!G119),'Semi Rev'!G119&gt;0),'Semi Rev'!H119/'Semi Rev'!G119-1,""),"")</f>
        <v/>
      </c>
      <c r="E404" s="37">
        <f>IFERROR(IF(AND(ISNUMBER('Semi Rev'!I119),ISNUMBER('Semi Rev'!H119),'Semi Rev'!H119&gt;0),'Semi Rev'!I119/'Semi Rev'!H119-1,""),"")</f>
        <v/>
      </c>
      <c r="F404" s="37">
        <f>IFERROR(IF(AND(ISNUMBER('Semi Rev'!J119),ISNUMBER('Semi Rev'!I119),'Semi Rev'!I119&gt;0),'Semi Rev'!J119/'Semi Rev'!I119-1,""),"")</f>
        <v/>
      </c>
      <c r="G404" s="37">
        <f>IFERROR(IF(AND(ISNUMBER('Semi Rev'!K119),ISNUMBER('Semi Rev'!J119),'Semi Rev'!J119&gt;0),'Semi Rev'!K119/'Semi Rev'!J119-1,""),"")</f>
        <v/>
      </c>
      <c r="H404" s="37">
        <f>IFERROR(IF(AND(ISNUMBER('Semi Rev'!L119),ISNUMBER('Semi Rev'!K119),'Semi Rev'!K119&gt;0),'Semi Rev'!L119/'Semi Rev'!K119-1,""),"")</f>
        <v/>
      </c>
      <c r="I404" s="37">
        <f>IFERROR(IF(AND(ISNUMBER('Semi Rev'!M119),ISNUMBER('Semi Rev'!L119),'Semi Rev'!L119&gt;0),'Semi Rev'!M119/'Semi Rev'!L119-1,""),"")</f>
        <v/>
      </c>
      <c r="J404" s="37">
        <f>IFERROR(IF(AND(ISNUMBER('Semi Rev'!N119),ISNUMBER('Semi Rev'!M119),'Semi Rev'!M119&gt;0),'Semi Rev'!N119/'Semi Rev'!M119-1,""),"")</f>
        <v/>
      </c>
      <c r="K404" s="37">
        <f>IFERROR(IF(AND(ISNUMBER('Semi Rev'!O119),ISNUMBER('Semi Rev'!N119),'Semi Rev'!N119&gt;0),'Semi Rev'!O119/'Semi Rev'!N119-1,""),"")</f>
        <v/>
      </c>
      <c r="L404" s="37">
        <f>IFERROR(IF(AND(ISNUMBER('Semi Rev'!P119),ISNUMBER('Semi Rev'!O119),'Semi Rev'!O119&gt;0),'Semi Rev'!P119/'Semi Rev'!O119-1,""),"")</f>
        <v/>
      </c>
      <c r="M404" s="38">
        <f>IFERROR(IF(AND(ISNUMBER('Semi Rev'!Q119),ISNUMBER('Semi Rev'!P119),'Semi Rev'!P119&gt;0),'Semi Rev'!Q119/'Semi Rev'!P119-1,""),"")</f>
        <v/>
      </c>
      <c r="N404" s="38">
        <f>IFERROR(IF(AND(ISNUMBER('Semi Rev'!R119),ISNUMBER('Semi Rev'!Q119),'Semi Rev'!Q119&gt;0),'Semi Rev'!R119/'Semi Rev'!Q119-1,""),"")</f>
        <v/>
      </c>
    </row>
    <row r="405">
      <c r="A405" s="19">
        <f>'Semi Rev'!$A120</f>
        <v/>
      </c>
      <c r="B405" s="19">
        <f>'Semi Rev'!$B120</f>
        <v/>
      </c>
      <c r="C405" s="37">
        <f>IFERROR(IF(AND(ISNUMBER('Semi Rev'!G120),ISNUMBER('Semi Rev'!F120),'Semi Rev'!F120&gt;0),'Semi Rev'!G120/'Semi Rev'!F120-1,""),"")</f>
        <v/>
      </c>
      <c r="D405" s="37">
        <f>IFERROR(IF(AND(ISNUMBER('Semi Rev'!H120),ISNUMBER('Semi Rev'!G120),'Semi Rev'!G120&gt;0),'Semi Rev'!H120/'Semi Rev'!G120-1,""),"")</f>
        <v/>
      </c>
      <c r="E405" s="37">
        <f>IFERROR(IF(AND(ISNUMBER('Semi Rev'!I120),ISNUMBER('Semi Rev'!H120),'Semi Rev'!H120&gt;0),'Semi Rev'!I120/'Semi Rev'!H120-1,""),"")</f>
        <v/>
      </c>
      <c r="F405" s="37">
        <f>IFERROR(IF(AND(ISNUMBER('Semi Rev'!J120),ISNUMBER('Semi Rev'!I120),'Semi Rev'!I120&gt;0),'Semi Rev'!J120/'Semi Rev'!I120-1,""),"")</f>
        <v/>
      </c>
      <c r="G405" s="37">
        <f>IFERROR(IF(AND(ISNUMBER('Semi Rev'!K120),ISNUMBER('Semi Rev'!J120),'Semi Rev'!J120&gt;0),'Semi Rev'!K120/'Semi Rev'!J120-1,""),"")</f>
        <v/>
      </c>
      <c r="H405" s="37">
        <f>IFERROR(IF(AND(ISNUMBER('Semi Rev'!L120),ISNUMBER('Semi Rev'!K120),'Semi Rev'!K120&gt;0),'Semi Rev'!L120/'Semi Rev'!K120-1,""),"")</f>
        <v/>
      </c>
      <c r="I405" s="37">
        <f>IFERROR(IF(AND(ISNUMBER('Semi Rev'!M120),ISNUMBER('Semi Rev'!L120),'Semi Rev'!L120&gt;0),'Semi Rev'!M120/'Semi Rev'!L120-1,""),"")</f>
        <v/>
      </c>
      <c r="J405" s="37">
        <f>IFERROR(IF(AND(ISNUMBER('Semi Rev'!N120),ISNUMBER('Semi Rev'!M120),'Semi Rev'!M120&gt;0),'Semi Rev'!N120/'Semi Rev'!M120-1,""),"")</f>
        <v/>
      </c>
      <c r="K405" s="37">
        <f>IFERROR(IF(AND(ISNUMBER('Semi Rev'!O120),ISNUMBER('Semi Rev'!N120),'Semi Rev'!N120&gt;0),'Semi Rev'!O120/'Semi Rev'!N120-1,""),"")</f>
        <v/>
      </c>
      <c r="L405" s="37">
        <f>IFERROR(IF(AND(ISNUMBER('Semi Rev'!P120),ISNUMBER('Semi Rev'!O120),'Semi Rev'!O120&gt;0),'Semi Rev'!P120/'Semi Rev'!O120-1,""),"")</f>
        <v/>
      </c>
      <c r="M405" s="38">
        <f>IFERROR(IF(AND(ISNUMBER('Semi Rev'!Q120),ISNUMBER('Semi Rev'!P120),'Semi Rev'!P120&gt;0),'Semi Rev'!Q120/'Semi Rev'!P120-1,""),"")</f>
        <v/>
      </c>
      <c r="N405" s="38">
        <f>IFERROR(IF(AND(ISNUMBER('Semi Rev'!R120),ISNUMBER('Semi Rev'!Q120),'Semi Rev'!Q120&gt;0),'Semi Rev'!R120/'Semi Rev'!Q120-1,""),"")</f>
        <v/>
      </c>
    </row>
    <row r="406">
      <c r="A406" s="19">
        <f>'Semi Rev'!$A121</f>
        <v/>
      </c>
      <c r="B406" s="19">
        <f>'Semi Rev'!$B121</f>
        <v/>
      </c>
      <c r="C406" s="37">
        <f>IFERROR(IF(AND(ISNUMBER('Semi Rev'!G121),ISNUMBER('Semi Rev'!F121),'Semi Rev'!F121&gt;0),'Semi Rev'!G121/'Semi Rev'!F121-1,""),"")</f>
        <v/>
      </c>
      <c r="D406" s="37">
        <f>IFERROR(IF(AND(ISNUMBER('Semi Rev'!H121),ISNUMBER('Semi Rev'!G121),'Semi Rev'!G121&gt;0),'Semi Rev'!H121/'Semi Rev'!G121-1,""),"")</f>
        <v/>
      </c>
      <c r="E406" s="37">
        <f>IFERROR(IF(AND(ISNUMBER('Semi Rev'!I121),ISNUMBER('Semi Rev'!H121),'Semi Rev'!H121&gt;0),'Semi Rev'!I121/'Semi Rev'!H121-1,""),"")</f>
        <v/>
      </c>
      <c r="F406" s="37">
        <f>IFERROR(IF(AND(ISNUMBER('Semi Rev'!J121),ISNUMBER('Semi Rev'!I121),'Semi Rev'!I121&gt;0),'Semi Rev'!J121/'Semi Rev'!I121-1,""),"")</f>
        <v/>
      </c>
      <c r="G406" s="37">
        <f>IFERROR(IF(AND(ISNUMBER('Semi Rev'!K121),ISNUMBER('Semi Rev'!J121),'Semi Rev'!J121&gt;0),'Semi Rev'!K121/'Semi Rev'!J121-1,""),"")</f>
        <v/>
      </c>
      <c r="H406" s="37">
        <f>IFERROR(IF(AND(ISNUMBER('Semi Rev'!L121),ISNUMBER('Semi Rev'!K121),'Semi Rev'!K121&gt;0),'Semi Rev'!L121/'Semi Rev'!K121-1,""),"")</f>
        <v/>
      </c>
      <c r="I406" s="37">
        <f>IFERROR(IF(AND(ISNUMBER('Semi Rev'!M121),ISNUMBER('Semi Rev'!L121),'Semi Rev'!L121&gt;0),'Semi Rev'!M121/'Semi Rev'!L121-1,""),"")</f>
        <v/>
      </c>
      <c r="J406" s="37">
        <f>IFERROR(IF(AND(ISNUMBER('Semi Rev'!N121),ISNUMBER('Semi Rev'!M121),'Semi Rev'!M121&gt;0),'Semi Rev'!N121/'Semi Rev'!M121-1,""),"")</f>
        <v/>
      </c>
      <c r="K406" s="37">
        <f>IFERROR(IF(AND(ISNUMBER('Semi Rev'!O121),ISNUMBER('Semi Rev'!N121),'Semi Rev'!N121&gt;0),'Semi Rev'!O121/'Semi Rev'!N121-1,""),"")</f>
        <v/>
      </c>
      <c r="L406" s="37">
        <f>IFERROR(IF(AND(ISNUMBER('Semi Rev'!P121),ISNUMBER('Semi Rev'!O121),'Semi Rev'!O121&gt;0),'Semi Rev'!P121/'Semi Rev'!O121-1,""),"")</f>
        <v/>
      </c>
      <c r="M406" s="38">
        <f>IFERROR(IF(AND(ISNUMBER('Semi Rev'!Q121),ISNUMBER('Semi Rev'!P121),'Semi Rev'!P121&gt;0),'Semi Rev'!Q121/'Semi Rev'!P121-1,""),"")</f>
        <v/>
      </c>
      <c r="N406" s="38">
        <f>IFERROR(IF(AND(ISNUMBER('Semi Rev'!R121),ISNUMBER('Semi Rev'!Q121),'Semi Rev'!Q121&gt;0),'Semi Rev'!R121/'Semi Rev'!Q121-1,""),"")</f>
        <v/>
      </c>
    </row>
    <row r="407">
      <c r="A407" s="19">
        <f>'Semi Rev'!$A122</f>
        <v/>
      </c>
      <c r="B407" s="19">
        <f>'Semi Rev'!$B122</f>
        <v/>
      </c>
      <c r="C407" s="37">
        <f>IFERROR(IF(AND(ISNUMBER('Semi Rev'!G122),ISNUMBER('Semi Rev'!F122),'Semi Rev'!F122&gt;0),'Semi Rev'!G122/'Semi Rev'!F122-1,""),"")</f>
        <v/>
      </c>
      <c r="D407" s="37">
        <f>IFERROR(IF(AND(ISNUMBER('Semi Rev'!H122),ISNUMBER('Semi Rev'!G122),'Semi Rev'!G122&gt;0),'Semi Rev'!H122/'Semi Rev'!G122-1,""),"")</f>
        <v/>
      </c>
      <c r="E407" s="37">
        <f>IFERROR(IF(AND(ISNUMBER('Semi Rev'!I122),ISNUMBER('Semi Rev'!H122),'Semi Rev'!H122&gt;0),'Semi Rev'!I122/'Semi Rev'!H122-1,""),"")</f>
        <v/>
      </c>
      <c r="F407" s="37">
        <f>IFERROR(IF(AND(ISNUMBER('Semi Rev'!J122),ISNUMBER('Semi Rev'!I122),'Semi Rev'!I122&gt;0),'Semi Rev'!J122/'Semi Rev'!I122-1,""),"")</f>
        <v/>
      </c>
      <c r="G407" s="37">
        <f>IFERROR(IF(AND(ISNUMBER('Semi Rev'!K122),ISNUMBER('Semi Rev'!J122),'Semi Rev'!J122&gt;0),'Semi Rev'!K122/'Semi Rev'!J122-1,""),"")</f>
        <v/>
      </c>
      <c r="H407" s="37">
        <f>IFERROR(IF(AND(ISNUMBER('Semi Rev'!L122),ISNUMBER('Semi Rev'!K122),'Semi Rev'!K122&gt;0),'Semi Rev'!L122/'Semi Rev'!K122-1,""),"")</f>
        <v/>
      </c>
      <c r="I407" s="37">
        <f>IFERROR(IF(AND(ISNUMBER('Semi Rev'!M122),ISNUMBER('Semi Rev'!L122),'Semi Rev'!L122&gt;0),'Semi Rev'!M122/'Semi Rev'!L122-1,""),"")</f>
        <v/>
      </c>
      <c r="J407" s="37">
        <f>IFERROR(IF(AND(ISNUMBER('Semi Rev'!N122),ISNUMBER('Semi Rev'!M122),'Semi Rev'!M122&gt;0),'Semi Rev'!N122/'Semi Rev'!M122-1,""),"")</f>
        <v/>
      </c>
      <c r="K407" s="37">
        <f>IFERROR(IF(AND(ISNUMBER('Semi Rev'!O122),ISNUMBER('Semi Rev'!N122),'Semi Rev'!N122&gt;0),'Semi Rev'!O122/'Semi Rev'!N122-1,""),"")</f>
        <v/>
      </c>
      <c r="L407" s="37">
        <f>IFERROR(IF(AND(ISNUMBER('Semi Rev'!P122),ISNUMBER('Semi Rev'!O122),'Semi Rev'!O122&gt;0),'Semi Rev'!P122/'Semi Rev'!O122-1,""),"")</f>
        <v/>
      </c>
      <c r="M407" s="38">
        <f>IFERROR(IF(AND(ISNUMBER('Semi Rev'!Q122),ISNUMBER('Semi Rev'!P122),'Semi Rev'!P122&gt;0),'Semi Rev'!Q122/'Semi Rev'!P122-1,""),"")</f>
        <v/>
      </c>
      <c r="N407" s="38">
        <f>IFERROR(IF(AND(ISNUMBER('Semi Rev'!R122),ISNUMBER('Semi Rev'!Q122),'Semi Rev'!Q122&gt;0),'Semi Rev'!R122/'Semi Rev'!Q122-1,""),"")</f>
        <v/>
      </c>
    </row>
    <row r="408">
      <c r="A408" s="19">
        <f>'Semi Rev'!$A123</f>
        <v/>
      </c>
      <c r="B408" s="19">
        <f>'Semi Rev'!$B123</f>
        <v/>
      </c>
      <c r="C408" s="37">
        <f>IFERROR(IF(AND(ISNUMBER('Semi Rev'!G123),ISNUMBER('Semi Rev'!F123),'Semi Rev'!F123&gt;0),'Semi Rev'!G123/'Semi Rev'!F123-1,""),"")</f>
        <v/>
      </c>
      <c r="D408" s="37">
        <f>IFERROR(IF(AND(ISNUMBER('Semi Rev'!H123),ISNUMBER('Semi Rev'!G123),'Semi Rev'!G123&gt;0),'Semi Rev'!H123/'Semi Rev'!G123-1,""),"")</f>
        <v/>
      </c>
      <c r="E408" s="37">
        <f>IFERROR(IF(AND(ISNUMBER('Semi Rev'!I123),ISNUMBER('Semi Rev'!H123),'Semi Rev'!H123&gt;0),'Semi Rev'!I123/'Semi Rev'!H123-1,""),"")</f>
        <v/>
      </c>
      <c r="F408" s="37">
        <f>IFERROR(IF(AND(ISNUMBER('Semi Rev'!J123),ISNUMBER('Semi Rev'!I123),'Semi Rev'!I123&gt;0),'Semi Rev'!J123/'Semi Rev'!I123-1,""),"")</f>
        <v/>
      </c>
      <c r="G408" s="37">
        <f>IFERROR(IF(AND(ISNUMBER('Semi Rev'!K123),ISNUMBER('Semi Rev'!J123),'Semi Rev'!J123&gt;0),'Semi Rev'!K123/'Semi Rev'!J123-1,""),"")</f>
        <v/>
      </c>
      <c r="H408" s="37">
        <f>IFERROR(IF(AND(ISNUMBER('Semi Rev'!L123),ISNUMBER('Semi Rev'!K123),'Semi Rev'!K123&gt;0),'Semi Rev'!L123/'Semi Rev'!K123-1,""),"")</f>
        <v/>
      </c>
      <c r="I408" s="37">
        <f>IFERROR(IF(AND(ISNUMBER('Semi Rev'!M123),ISNUMBER('Semi Rev'!L123),'Semi Rev'!L123&gt;0),'Semi Rev'!M123/'Semi Rev'!L123-1,""),"")</f>
        <v/>
      </c>
      <c r="J408" s="37">
        <f>IFERROR(IF(AND(ISNUMBER('Semi Rev'!N123),ISNUMBER('Semi Rev'!M123),'Semi Rev'!M123&gt;0),'Semi Rev'!N123/'Semi Rev'!M123-1,""),"")</f>
        <v/>
      </c>
      <c r="K408" s="37">
        <f>IFERROR(IF(AND(ISNUMBER('Semi Rev'!O123),ISNUMBER('Semi Rev'!N123),'Semi Rev'!N123&gt;0),'Semi Rev'!O123/'Semi Rev'!N123-1,""),"")</f>
        <v/>
      </c>
      <c r="L408" s="37">
        <f>IFERROR(IF(AND(ISNUMBER('Semi Rev'!P123),ISNUMBER('Semi Rev'!O123),'Semi Rev'!O123&gt;0),'Semi Rev'!P123/'Semi Rev'!O123-1,""),"")</f>
        <v/>
      </c>
      <c r="M408" s="38">
        <f>IFERROR(IF(AND(ISNUMBER('Semi Rev'!Q123),ISNUMBER('Semi Rev'!P123),'Semi Rev'!P123&gt;0),'Semi Rev'!Q123/'Semi Rev'!P123-1,""),"")</f>
        <v/>
      </c>
      <c r="N408" s="38">
        <f>IFERROR(IF(AND(ISNUMBER('Semi Rev'!R123),ISNUMBER('Semi Rev'!Q123),'Semi Rev'!Q123&gt;0),'Semi Rev'!R123/'Semi Rev'!Q123-1,""),"")</f>
        <v/>
      </c>
    </row>
    <row r="409">
      <c r="A409" s="19">
        <f>'Semi Rev'!$A124</f>
        <v/>
      </c>
      <c r="B409" s="19">
        <f>'Semi Rev'!$B124</f>
        <v/>
      </c>
      <c r="C409" s="37">
        <f>IFERROR(IF(AND(ISNUMBER('Semi Rev'!G124),ISNUMBER('Semi Rev'!F124),'Semi Rev'!F124&gt;0),'Semi Rev'!G124/'Semi Rev'!F124-1,""),"")</f>
        <v/>
      </c>
      <c r="D409" s="37">
        <f>IFERROR(IF(AND(ISNUMBER('Semi Rev'!H124),ISNUMBER('Semi Rev'!G124),'Semi Rev'!G124&gt;0),'Semi Rev'!H124/'Semi Rev'!G124-1,""),"")</f>
        <v/>
      </c>
      <c r="E409" s="37">
        <f>IFERROR(IF(AND(ISNUMBER('Semi Rev'!I124),ISNUMBER('Semi Rev'!H124),'Semi Rev'!H124&gt;0),'Semi Rev'!I124/'Semi Rev'!H124-1,""),"")</f>
        <v/>
      </c>
      <c r="F409" s="37">
        <f>IFERROR(IF(AND(ISNUMBER('Semi Rev'!J124),ISNUMBER('Semi Rev'!I124),'Semi Rev'!I124&gt;0),'Semi Rev'!J124/'Semi Rev'!I124-1,""),"")</f>
        <v/>
      </c>
      <c r="G409" s="37">
        <f>IFERROR(IF(AND(ISNUMBER('Semi Rev'!K124),ISNUMBER('Semi Rev'!J124),'Semi Rev'!J124&gt;0),'Semi Rev'!K124/'Semi Rev'!J124-1,""),"")</f>
        <v/>
      </c>
      <c r="H409" s="37">
        <f>IFERROR(IF(AND(ISNUMBER('Semi Rev'!L124),ISNUMBER('Semi Rev'!K124),'Semi Rev'!K124&gt;0),'Semi Rev'!L124/'Semi Rev'!K124-1,""),"")</f>
        <v/>
      </c>
      <c r="I409" s="37">
        <f>IFERROR(IF(AND(ISNUMBER('Semi Rev'!M124),ISNUMBER('Semi Rev'!L124),'Semi Rev'!L124&gt;0),'Semi Rev'!M124/'Semi Rev'!L124-1,""),"")</f>
        <v/>
      </c>
      <c r="J409" s="37">
        <f>IFERROR(IF(AND(ISNUMBER('Semi Rev'!N124),ISNUMBER('Semi Rev'!M124),'Semi Rev'!M124&gt;0),'Semi Rev'!N124/'Semi Rev'!M124-1,""),"")</f>
        <v/>
      </c>
      <c r="K409" s="37">
        <f>IFERROR(IF(AND(ISNUMBER('Semi Rev'!O124),ISNUMBER('Semi Rev'!N124),'Semi Rev'!N124&gt;0),'Semi Rev'!O124/'Semi Rev'!N124-1,""),"")</f>
        <v/>
      </c>
      <c r="L409" s="37">
        <f>IFERROR(IF(AND(ISNUMBER('Semi Rev'!P124),ISNUMBER('Semi Rev'!O124),'Semi Rev'!O124&gt;0),'Semi Rev'!P124/'Semi Rev'!O124-1,""),"")</f>
        <v/>
      </c>
      <c r="M409" s="38">
        <f>IFERROR(IF(AND(ISNUMBER('Semi Rev'!Q124),ISNUMBER('Semi Rev'!P124),'Semi Rev'!P124&gt;0),'Semi Rev'!Q124/'Semi Rev'!P124-1,""),"")</f>
        <v/>
      </c>
      <c r="N409" s="38">
        <f>IFERROR(IF(AND(ISNUMBER('Semi Rev'!R124),ISNUMBER('Semi Rev'!Q124),'Semi Rev'!Q124&gt;0),'Semi Rev'!R124/'Semi Rev'!Q124-1,""),"")</f>
        <v/>
      </c>
    </row>
    <row r="410">
      <c r="A410" s="19">
        <f>'Semi Rev'!$A125</f>
        <v/>
      </c>
      <c r="B410" s="19">
        <f>'Semi Rev'!$B125</f>
        <v/>
      </c>
      <c r="C410" s="37">
        <f>IFERROR(IF(AND(ISNUMBER('Semi Rev'!G125),ISNUMBER('Semi Rev'!F125),'Semi Rev'!F125&gt;0),'Semi Rev'!G125/'Semi Rev'!F125-1,""),"")</f>
        <v/>
      </c>
      <c r="D410" s="37">
        <f>IFERROR(IF(AND(ISNUMBER('Semi Rev'!H125),ISNUMBER('Semi Rev'!G125),'Semi Rev'!G125&gt;0),'Semi Rev'!H125/'Semi Rev'!G125-1,""),"")</f>
        <v/>
      </c>
      <c r="E410" s="37">
        <f>IFERROR(IF(AND(ISNUMBER('Semi Rev'!I125),ISNUMBER('Semi Rev'!H125),'Semi Rev'!H125&gt;0),'Semi Rev'!I125/'Semi Rev'!H125-1,""),"")</f>
        <v/>
      </c>
      <c r="F410" s="37">
        <f>IFERROR(IF(AND(ISNUMBER('Semi Rev'!J125),ISNUMBER('Semi Rev'!I125),'Semi Rev'!I125&gt;0),'Semi Rev'!J125/'Semi Rev'!I125-1,""),"")</f>
        <v/>
      </c>
      <c r="G410" s="37">
        <f>IFERROR(IF(AND(ISNUMBER('Semi Rev'!K125),ISNUMBER('Semi Rev'!J125),'Semi Rev'!J125&gt;0),'Semi Rev'!K125/'Semi Rev'!J125-1,""),"")</f>
        <v/>
      </c>
      <c r="H410" s="37">
        <f>IFERROR(IF(AND(ISNUMBER('Semi Rev'!L125),ISNUMBER('Semi Rev'!K125),'Semi Rev'!K125&gt;0),'Semi Rev'!L125/'Semi Rev'!K125-1,""),"")</f>
        <v/>
      </c>
      <c r="I410" s="37">
        <f>IFERROR(IF(AND(ISNUMBER('Semi Rev'!M125),ISNUMBER('Semi Rev'!L125),'Semi Rev'!L125&gt;0),'Semi Rev'!M125/'Semi Rev'!L125-1,""),"")</f>
        <v/>
      </c>
      <c r="J410" s="37">
        <f>IFERROR(IF(AND(ISNUMBER('Semi Rev'!N125),ISNUMBER('Semi Rev'!M125),'Semi Rev'!M125&gt;0),'Semi Rev'!N125/'Semi Rev'!M125-1,""),"")</f>
        <v/>
      </c>
      <c r="K410" s="37">
        <f>IFERROR(IF(AND(ISNUMBER('Semi Rev'!O125),ISNUMBER('Semi Rev'!N125),'Semi Rev'!N125&gt;0),'Semi Rev'!O125/'Semi Rev'!N125-1,""),"")</f>
        <v/>
      </c>
      <c r="L410" s="37">
        <f>IFERROR(IF(AND(ISNUMBER('Semi Rev'!P125),ISNUMBER('Semi Rev'!O125),'Semi Rev'!O125&gt;0),'Semi Rev'!P125/'Semi Rev'!O125-1,""),"")</f>
        <v/>
      </c>
      <c r="M410" s="38">
        <f>IFERROR(IF(AND(ISNUMBER('Semi Rev'!Q125),ISNUMBER('Semi Rev'!P125),'Semi Rev'!P125&gt;0),'Semi Rev'!Q125/'Semi Rev'!P125-1,""),"")</f>
        <v/>
      </c>
      <c r="N410" s="38">
        <f>IFERROR(IF(AND(ISNUMBER('Semi Rev'!R125),ISNUMBER('Semi Rev'!Q125),'Semi Rev'!Q125&gt;0),'Semi Rev'!R125/'Semi Rev'!Q125-1,""),"")</f>
        <v/>
      </c>
    </row>
    <row r="411">
      <c r="A411" s="19">
        <f>'Semi Rev'!$A126</f>
        <v/>
      </c>
      <c r="B411" s="19">
        <f>'Semi Rev'!$B126</f>
        <v/>
      </c>
      <c r="C411" s="37">
        <f>IFERROR(IF(AND(ISNUMBER('Semi Rev'!G126),ISNUMBER('Semi Rev'!F126),'Semi Rev'!F126&gt;0),'Semi Rev'!G126/'Semi Rev'!F126-1,""),"")</f>
        <v/>
      </c>
      <c r="D411" s="37">
        <f>IFERROR(IF(AND(ISNUMBER('Semi Rev'!H126),ISNUMBER('Semi Rev'!G126),'Semi Rev'!G126&gt;0),'Semi Rev'!H126/'Semi Rev'!G126-1,""),"")</f>
        <v/>
      </c>
      <c r="E411" s="37">
        <f>IFERROR(IF(AND(ISNUMBER('Semi Rev'!I126),ISNUMBER('Semi Rev'!H126),'Semi Rev'!H126&gt;0),'Semi Rev'!I126/'Semi Rev'!H126-1,""),"")</f>
        <v/>
      </c>
      <c r="F411" s="37">
        <f>IFERROR(IF(AND(ISNUMBER('Semi Rev'!J126),ISNUMBER('Semi Rev'!I126),'Semi Rev'!I126&gt;0),'Semi Rev'!J126/'Semi Rev'!I126-1,""),"")</f>
        <v/>
      </c>
      <c r="G411" s="37">
        <f>IFERROR(IF(AND(ISNUMBER('Semi Rev'!K126),ISNUMBER('Semi Rev'!J126),'Semi Rev'!J126&gt;0),'Semi Rev'!K126/'Semi Rev'!J126-1,""),"")</f>
        <v/>
      </c>
      <c r="H411" s="37">
        <f>IFERROR(IF(AND(ISNUMBER('Semi Rev'!L126),ISNUMBER('Semi Rev'!K126),'Semi Rev'!K126&gt;0),'Semi Rev'!L126/'Semi Rev'!K126-1,""),"")</f>
        <v/>
      </c>
      <c r="I411" s="37">
        <f>IFERROR(IF(AND(ISNUMBER('Semi Rev'!M126),ISNUMBER('Semi Rev'!L126),'Semi Rev'!L126&gt;0),'Semi Rev'!M126/'Semi Rev'!L126-1,""),"")</f>
        <v/>
      </c>
      <c r="J411" s="37">
        <f>IFERROR(IF(AND(ISNUMBER('Semi Rev'!N126),ISNUMBER('Semi Rev'!M126),'Semi Rev'!M126&gt;0),'Semi Rev'!N126/'Semi Rev'!M126-1,""),"")</f>
        <v/>
      </c>
      <c r="K411" s="37">
        <f>IFERROR(IF(AND(ISNUMBER('Semi Rev'!O126),ISNUMBER('Semi Rev'!N126),'Semi Rev'!N126&gt;0),'Semi Rev'!O126/'Semi Rev'!N126-1,""),"")</f>
        <v/>
      </c>
      <c r="L411" s="37">
        <f>IFERROR(IF(AND(ISNUMBER('Semi Rev'!P126),ISNUMBER('Semi Rev'!O126),'Semi Rev'!O126&gt;0),'Semi Rev'!P126/'Semi Rev'!O126-1,""),"")</f>
        <v/>
      </c>
      <c r="M411" s="38">
        <f>IFERROR(IF(AND(ISNUMBER('Semi Rev'!Q126),ISNUMBER('Semi Rev'!P126),'Semi Rev'!P126&gt;0),'Semi Rev'!Q126/'Semi Rev'!P126-1,""),"")</f>
        <v/>
      </c>
      <c r="N411" s="38">
        <f>IFERROR(IF(AND(ISNUMBER('Semi Rev'!R126),ISNUMBER('Semi Rev'!Q126),'Semi Rev'!Q126&gt;0),'Semi Rev'!R126/'Semi Rev'!Q126-1,""),"")</f>
        <v/>
      </c>
    </row>
    <row r="412">
      <c r="A412" s="19">
        <f>'Semi Rev'!$A127</f>
        <v/>
      </c>
      <c r="B412" s="19">
        <f>'Semi Rev'!$B127</f>
        <v/>
      </c>
      <c r="C412" s="37">
        <f>IFERROR(IF(AND(ISNUMBER('Semi Rev'!G127),ISNUMBER('Semi Rev'!F127),'Semi Rev'!F127&gt;0),'Semi Rev'!G127/'Semi Rev'!F127-1,""),"")</f>
        <v/>
      </c>
      <c r="D412" s="37">
        <f>IFERROR(IF(AND(ISNUMBER('Semi Rev'!H127),ISNUMBER('Semi Rev'!G127),'Semi Rev'!G127&gt;0),'Semi Rev'!H127/'Semi Rev'!G127-1,""),"")</f>
        <v/>
      </c>
      <c r="E412" s="37">
        <f>IFERROR(IF(AND(ISNUMBER('Semi Rev'!I127),ISNUMBER('Semi Rev'!H127),'Semi Rev'!H127&gt;0),'Semi Rev'!I127/'Semi Rev'!H127-1,""),"")</f>
        <v/>
      </c>
      <c r="F412" s="37">
        <f>IFERROR(IF(AND(ISNUMBER('Semi Rev'!J127),ISNUMBER('Semi Rev'!I127),'Semi Rev'!I127&gt;0),'Semi Rev'!J127/'Semi Rev'!I127-1,""),"")</f>
        <v/>
      </c>
      <c r="G412" s="37">
        <f>IFERROR(IF(AND(ISNUMBER('Semi Rev'!K127),ISNUMBER('Semi Rev'!J127),'Semi Rev'!J127&gt;0),'Semi Rev'!K127/'Semi Rev'!J127-1,""),"")</f>
        <v/>
      </c>
      <c r="H412" s="37">
        <f>IFERROR(IF(AND(ISNUMBER('Semi Rev'!L127),ISNUMBER('Semi Rev'!K127),'Semi Rev'!K127&gt;0),'Semi Rev'!L127/'Semi Rev'!K127-1,""),"")</f>
        <v/>
      </c>
      <c r="I412" s="37">
        <f>IFERROR(IF(AND(ISNUMBER('Semi Rev'!M127),ISNUMBER('Semi Rev'!L127),'Semi Rev'!L127&gt;0),'Semi Rev'!M127/'Semi Rev'!L127-1,""),"")</f>
        <v/>
      </c>
      <c r="J412" s="37">
        <f>IFERROR(IF(AND(ISNUMBER('Semi Rev'!N127),ISNUMBER('Semi Rev'!M127),'Semi Rev'!M127&gt;0),'Semi Rev'!N127/'Semi Rev'!M127-1,""),"")</f>
        <v/>
      </c>
      <c r="K412" s="37">
        <f>IFERROR(IF(AND(ISNUMBER('Semi Rev'!O127),ISNUMBER('Semi Rev'!N127),'Semi Rev'!N127&gt;0),'Semi Rev'!O127/'Semi Rev'!N127-1,""),"")</f>
        <v/>
      </c>
      <c r="L412" s="37">
        <f>IFERROR(IF(AND(ISNUMBER('Semi Rev'!P127),ISNUMBER('Semi Rev'!O127),'Semi Rev'!O127&gt;0),'Semi Rev'!P127/'Semi Rev'!O127-1,""),"")</f>
        <v/>
      </c>
      <c r="M412" s="38">
        <f>IFERROR(IF(AND(ISNUMBER('Semi Rev'!Q127),ISNUMBER('Semi Rev'!P127),'Semi Rev'!P127&gt;0),'Semi Rev'!Q127/'Semi Rev'!P127-1,""),"")</f>
        <v/>
      </c>
      <c r="N412" s="38">
        <f>IFERROR(IF(AND(ISNUMBER('Semi Rev'!R127),ISNUMBER('Semi Rev'!Q127),'Semi Rev'!Q127&gt;0),'Semi Rev'!R127/'Semi Rev'!Q127-1,""),"")</f>
        <v/>
      </c>
    </row>
    <row r="413">
      <c r="A413" s="19">
        <f>'Semi Rev'!$A128</f>
        <v/>
      </c>
      <c r="B413" s="19">
        <f>'Semi Rev'!$B128</f>
        <v/>
      </c>
      <c r="C413" s="37">
        <f>IFERROR(IF(AND(ISNUMBER('Semi Rev'!G128),ISNUMBER('Semi Rev'!F128),'Semi Rev'!F128&gt;0),'Semi Rev'!G128/'Semi Rev'!F128-1,""),"")</f>
        <v/>
      </c>
      <c r="D413" s="37">
        <f>IFERROR(IF(AND(ISNUMBER('Semi Rev'!H128),ISNUMBER('Semi Rev'!G128),'Semi Rev'!G128&gt;0),'Semi Rev'!H128/'Semi Rev'!G128-1,""),"")</f>
        <v/>
      </c>
      <c r="E413" s="37">
        <f>IFERROR(IF(AND(ISNUMBER('Semi Rev'!I128),ISNUMBER('Semi Rev'!H128),'Semi Rev'!H128&gt;0),'Semi Rev'!I128/'Semi Rev'!H128-1,""),"")</f>
        <v/>
      </c>
      <c r="F413" s="37">
        <f>IFERROR(IF(AND(ISNUMBER('Semi Rev'!J128),ISNUMBER('Semi Rev'!I128),'Semi Rev'!I128&gt;0),'Semi Rev'!J128/'Semi Rev'!I128-1,""),"")</f>
        <v/>
      </c>
      <c r="G413" s="37">
        <f>IFERROR(IF(AND(ISNUMBER('Semi Rev'!K128),ISNUMBER('Semi Rev'!J128),'Semi Rev'!J128&gt;0),'Semi Rev'!K128/'Semi Rev'!J128-1,""),"")</f>
        <v/>
      </c>
      <c r="H413" s="37">
        <f>IFERROR(IF(AND(ISNUMBER('Semi Rev'!L128),ISNUMBER('Semi Rev'!K128),'Semi Rev'!K128&gt;0),'Semi Rev'!L128/'Semi Rev'!K128-1,""),"")</f>
        <v/>
      </c>
      <c r="I413" s="37">
        <f>IFERROR(IF(AND(ISNUMBER('Semi Rev'!M128),ISNUMBER('Semi Rev'!L128),'Semi Rev'!L128&gt;0),'Semi Rev'!M128/'Semi Rev'!L128-1,""),"")</f>
        <v/>
      </c>
      <c r="J413" s="37">
        <f>IFERROR(IF(AND(ISNUMBER('Semi Rev'!N128),ISNUMBER('Semi Rev'!M128),'Semi Rev'!M128&gt;0),'Semi Rev'!N128/'Semi Rev'!M128-1,""),"")</f>
        <v/>
      </c>
      <c r="K413" s="37">
        <f>IFERROR(IF(AND(ISNUMBER('Semi Rev'!O128),ISNUMBER('Semi Rev'!N128),'Semi Rev'!N128&gt;0),'Semi Rev'!O128/'Semi Rev'!N128-1,""),"")</f>
        <v/>
      </c>
      <c r="L413" s="37">
        <f>IFERROR(IF(AND(ISNUMBER('Semi Rev'!P128),ISNUMBER('Semi Rev'!O128),'Semi Rev'!O128&gt;0),'Semi Rev'!P128/'Semi Rev'!O128-1,""),"")</f>
        <v/>
      </c>
      <c r="M413" s="38">
        <f>IFERROR(IF(AND(ISNUMBER('Semi Rev'!Q128),ISNUMBER('Semi Rev'!P128),'Semi Rev'!P128&gt;0),'Semi Rev'!Q128/'Semi Rev'!P128-1,""),"")</f>
        <v/>
      </c>
      <c r="N413" s="38">
        <f>IFERROR(IF(AND(ISNUMBER('Semi Rev'!R128),ISNUMBER('Semi Rev'!Q128),'Semi Rev'!Q128&gt;0),'Semi Rev'!R128/'Semi Rev'!Q128-1,""),"")</f>
        <v/>
      </c>
    </row>
    <row r="414">
      <c r="A414" s="19">
        <f>'Semi Rev'!$A129</f>
        <v/>
      </c>
      <c r="B414" s="19">
        <f>'Semi Rev'!$B129</f>
        <v/>
      </c>
      <c r="C414" s="37">
        <f>IFERROR(IF(AND(ISNUMBER('Semi Rev'!G129),ISNUMBER('Semi Rev'!F129),'Semi Rev'!F129&gt;0),'Semi Rev'!G129/'Semi Rev'!F129-1,""),"")</f>
        <v/>
      </c>
      <c r="D414" s="37">
        <f>IFERROR(IF(AND(ISNUMBER('Semi Rev'!H129),ISNUMBER('Semi Rev'!G129),'Semi Rev'!G129&gt;0),'Semi Rev'!H129/'Semi Rev'!G129-1,""),"")</f>
        <v/>
      </c>
      <c r="E414" s="37">
        <f>IFERROR(IF(AND(ISNUMBER('Semi Rev'!I129),ISNUMBER('Semi Rev'!H129),'Semi Rev'!H129&gt;0),'Semi Rev'!I129/'Semi Rev'!H129-1,""),"")</f>
        <v/>
      </c>
      <c r="F414" s="37">
        <f>IFERROR(IF(AND(ISNUMBER('Semi Rev'!J129),ISNUMBER('Semi Rev'!I129),'Semi Rev'!I129&gt;0),'Semi Rev'!J129/'Semi Rev'!I129-1,""),"")</f>
        <v/>
      </c>
      <c r="G414" s="37">
        <f>IFERROR(IF(AND(ISNUMBER('Semi Rev'!K129),ISNUMBER('Semi Rev'!J129),'Semi Rev'!J129&gt;0),'Semi Rev'!K129/'Semi Rev'!J129-1,""),"")</f>
        <v/>
      </c>
      <c r="H414" s="37">
        <f>IFERROR(IF(AND(ISNUMBER('Semi Rev'!L129),ISNUMBER('Semi Rev'!K129),'Semi Rev'!K129&gt;0),'Semi Rev'!L129/'Semi Rev'!K129-1,""),"")</f>
        <v/>
      </c>
      <c r="I414" s="37">
        <f>IFERROR(IF(AND(ISNUMBER('Semi Rev'!M129),ISNUMBER('Semi Rev'!L129),'Semi Rev'!L129&gt;0),'Semi Rev'!M129/'Semi Rev'!L129-1,""),"")</f>
        <v/>
      </c>
      <c r="J414" s="37">
        <f>IFERROR(IF(AND(ISNUMBER('Semi Rev'!N129),ISNUMBER('Semi Rev'!M129),'Semi Rev'!M129&gt;0),'Semi Rev'!N129/'Semi Rev'!M129-1,""),"")</f>
        <v/>
      </c>
      <c r="K414" s="37">
        <f>IFERROR(IF(AND(ISNUMBER('Semi Rev'!O129),ISNUMBER('Semi Rev'!N129),'Semi Rev'!N129&gt;0),'Semi Rev'!O129/'Semi Rev'!N129-1,""),"")</f>
        <v/>
      </c>
      <c r="L414" s="37">
        <f>IFERROR(IF(AND(ISNUMBER('Semi Rev'!P129),ISNUMBER('Semi Rev'!O129),'Semi Rev'!O129&gt;0),'Semi Rev'!P129/'Semi Rev'!O129-1,""),"")</f>
        <v/>
      </c>
      <c r="M414" s="38">
        <f>IFERROR(IF(AND(ISNUMBER('Semi Rev'!Q129),ISNUMBER('Semi Rev'!P129),'Semi Rev'!P129&gt;0),'Semi Rev'!Q129/'Semi Rev'!P129-1,""),"")</f>
        <v/>
      </c>
      <c r="N414" s="38">
        <f>IFERROR(IF(AND(ISNUMBER('Semi Rev'!R129),ISNUMBER('Semi Rev'!Q129),'Semi Rev'!Q129&gt;0),'Semi Rev'!R129/'Semi Rev'!Q129-1,""),"")</f>
        <v/>
      </c>
    </row>
    <row r="415">
      <c r="A415" s="19">
        <f>'Semi Rev'!$A130</f>
        <v/>
      </c>
      <c r="B415" s="19">
        <f>'Semi Rev'!$B130</f>
        <v/>
      </c>
      <c r="C415" s="37">
        <f>IFERROR(IF(AND(ISNUMBER('Semi Rev'!G130),ISNUMBER('Semi Rev'!F130),'Semi Rev'!F130&gt;0),'Semi Rev'!G130/'Semi Rev'!F130-1,""),"")</f>
        <v/>
      </c>
      <c r="D415" s="37">
        <f>IFERROR(IF(AND(ISNUMBER('Semi Rev'!H130),ISNUMBER('Semi Rev'!G130),'Semi Rev'!G130&gt;0),'Semi Rev'!H130/'Semi Rev'!G130-1,""),"")</f>
        <v/>
      </c>
      <c r="E415" s="37">
        <f>IFERROR(IF(AND(ISNUMBER('Semi Rev'!I130),ISNUMBER('Semi Rev'!H130),'Semi Rev'!H130&gt;0),'Semi Rev'!I130/'Semi Rev'!H130-1,""),"")</f>
        <v/>
      </c>
      <c r="F415" s="37">
        <f>IFERROR(IF(AND(ISNUMBER('Semi Rev'!J130),ISNUMBER('Semi Rev'!I130),'Semi Rev'!I130&gt;0),'Semi Rev'!J130/'Semi Rev'!I130-1,""),"")</f>
        <v/>
      </c>
      <c r="G415" s="37">
        <f>IFERROR(IF(AND(ISNUMBER('Semi Rev'!K130),ISNUMBER('Semi Rev'!J130),'Semi Rev'!J130&gt;0),'Semi Rev'!K130/'Semi Rev'!J130-1,""),"")</f>
        <v/>
      </c>
      <c r="H415" s="37">
        <f>IFERROR(IF(AND(ISNUMBER('Semi Rev'!L130),ISNUMBER('Semi Rev'!K130),'Semi Rev'!K130&gt;0),'Semi Rev'!L130/'Semi Rev'!K130-1,""),"")</f>
        <v/>
      </c>
      <c r="I415" s="37">
        <f>IFERROR(IF(AND(ISNUMBER('Semi Rev'!M130),ISNUMBER('Semi Rev'!L130),'Semi Rev'!L130&gt;0),'Semi Rev'!M130/'Semi Rev'!L130-1,""),"")</f>
        <v/>
      </c>
      <c r="J415" s="37">
        <f>IFERROR(IF(AND(ISNUMBER('Semi Rev'!N130),ISNUMBER('Semi Rev'!M130),'Semi Rev'!M130&gt;0),'Semi Rev'!N130/'Semi Rev'!M130-1,""),"")</f>
        <v/>
      </c>
      <c r="K415" s="37">
        <f>IFERROR(IF(AND(ISNUMBER('Semi Rev'!O130),ISNUMBER('Semi Rev'!N130),'Semi Rev'!N130&gt;0),'Semi Rev'!O130/'Semi Rev'!N130-1,""),"")</f>
        <v/>
      </c>
      <c r="L415" s="37">
        <f>IFERROR(IF(AND(ISNUMBER('Semi Rev'!P130),ISNUMBER('Semi Rev'!O130),'Semi Rev'!O130&gt;0),'Semi Rev'!P130/'Semi Rev'!O130-1,""),"")</f>
        <v/>
      </c>
      <c r="M415" s="38">
        <f>IFERROR(IF(AND(ISNUMBER('Semi Rev'!Q130),ISNUMBER('Semi Rev'!P130),'Semi Rev'!P130&gt;0),'Semi Rev'!Q130/'Semi Rev'!P130-1,""),"")</f>
        <v/>
      </c>
      <c r="N415" s="38">
        <f>IFERROR(IF(AND(ISNUMBER('Semi Rev'!R130),ISNUMBER('Semi Rev'!Q130),'Semi Rev'!Q130&gt;0),'Semi Rev'!R130/'Semi Rev'!Q130-1,""),"")</f>
        <v/>
      </c>
    </row>
    <row r="416">
      <c r="A416" s="19">
        <f>'Semi Rev'!$A131</f>
        <v/>
      </c>
      <c r="B416" s="19">
        <f>'Semi Rev'!$B131</f>
        <v/>
      </c>
      <c r="C416" s="37">
        <f>IFERROR(IF(AND(ISNUMBER('Semi Rev'!G131),ISNUMBER('Semi Rev'!F131),'Semi Rev'!F131&gt;0),'Semi Rev'!G131/'Semi Rev'!F131-1,""),"")</f>
        <v/>
      </c>
      <c r="D416" s="37">
        <f>IFERROR(IF(AND(ISNUMBER('Semi Rev'!H131),ISNUMBER('Semi Rev'!G131),'Semi Rev'!G131&gt;0),'Semi Rev'!H131/'Semi Rev'!G131-1,""),"")</f>
        <v/>
      </c>
      <c r="E416" s="37">
        <f>IFERROR(IF(AND(ISNUMBER('Semi Rev'!I131),ISNUMBER('Semi Rev'!H131),'Semi Rev'!H131&gt;0),'Semi Rev'!I131/'Semi Rev'!H131-1,""),"")</f>
        <v/>
      </c>
      <c r="F416" s="37">
        <f>IFERROR(IF(AND(ISNUMBER('Semi Rev'!J131),ISNUMBER('Semi Rev'!I131),'Semi Rev'!I131&gt;0),'Semi Rev'!J131/'Semi Rev'!I131-1,""),"")</f>
        <v/>
      </c>
      <c r="G416" s="37">
        <f>IFERROR(IF(AND(ISNUMBER('Semi Rev'!K131),ISNUMBER('Semi Rev'!J131),'Semi Rev'!J131&gt;0),'Semi Rev'!K131/'Semi Rev'!J131-1,""),"")</f>
        <v/>
      </c>
      <c r="H416" s="37">
        <f>IFERROR(IF(AND(ISNUMBER('Semi Rev'!L131),ISNUMBER('Semi Rev'!K131),'Semi Rev'!K131&gt;0),'Semi Rev'!L131/'Semi Rev'!K131-1,""),"")</f>
        <v/>
      </c>
      <c r="I416" s="37">
        <f>IFERROR(IF(AND(ISNUMBER('Semi Rev'!M131),ISNUMBER('Semi Rev'!L131),'Semi Rev'!L131&gt;0),'Semi Rev'!M131/'Semi Rev'!L131-1,""),"")</f>
        <v/>
      </c>
      <c r="J416" s="37">
        <f>IFERROR(IF(AND(ISNUMBER('Semi Rev'!N131),ISNUMBER('Semi Rev'!M131),'Semi Rev'!M131&gt;0),'Semi Rev'!N131/'Semi Rev'!M131-1,""),"")</f>
        <v/>
      </c>
      <c r="K416" s="37">
        <f>IFERROR(IF(AND(ISNUMBER('Semi Rev'!O131),ISNUMBER('Semi Rev'!N131),'Semi Rev'!N131&gt;0),'Semi Rev'!O131/'Semi Rev'!N131-1,""),"")</f>
        <v/>
      </c>
      <c r="L416" s="37">
        <f>IFERROR(IF(AND(ISNUMBER('Semi Rev'!P131),ISNUMBER('Semi Rev'!O131),'Semi Rev'!O131&gt;0),'Semi Rev'!P131/'Semi Rev'!O131-1,""),"")</f>
        <v/>
      </c>
      <c r="M416" s="38">
        <f>IFERROR(IF(AND(ISNUMBER('Semi Rev'!Q131),ISNUMBER('Semi Rev'!P131),'Semi Rev'!P131&gt;0),'Semi Rev'!Q131/'Semi Rev'!P131-1,""),"")</f>
        <v/>
      </c>
      <c r="N416" s="38">
        <f>IFERROR(IF(AND(ISNUMBER('Semi Rev'!R131),ISNUMBER('Semi Rev'!Q131),'Semi Rev'!Q131&gt;0),'Semi Rev'!R131/'Semi Rev'!Q131-1,""),"")</f>
        <v/>
      </c>
    </row>
    <row r="417">
      <c r="A417" s="19">
        <f>'Semi Rev'!$A132</f>
        <v/>
      </c>
      <c r="B417" s="19">
        <f>'Semi Rev'!$B132</f>
        <v/>
      </c>
      <c r="C417" s="37">
        <f>IFERROR(IF(AND(ISNUMBER('Semi Rev'!G132),ISNUMBER('Semi Rev'!F132),'Semi Rev'!F132&gt;0),'Semi Rev'!G132/'Semi Rev'!F132-1,""),"")</f>
        <v/>
      </c>
      <c r="D417" s="37">
        <f>IFERROR(IF(AND(ISNUMBER('Semi Rev'!H132),ISNUMBER('Semi Rev'!G132),'Semi Rev'!G132&gt;0),'Semi Rev'!H132/'Semi Rev'!G132-1,""),"")</f>
        <v/>
      </c>
      <c r="E417" s="37">
        <f>IFERROR(IF(AND(ISNUMBER('Semi Rev'!I132),ISNUMBER('Semi Rev'!H132),'Semi Rev'!H132&gt;0),'Semi Rev'!I132/'Semi Rev'!H132-1,""),"")</f>
        <v/>
      </c>
      <c r="F417" s="37">
        <f>IFERROR(IF(AND(ISNUMBER('Semi Rev'!J132),ISNUMBER('Semi Rev'!I132),'Semi Rev'!I132&gt;0),'Semi Rev'!J132/'Semi Rev'!I132-1,""),"")</f>
        <v/>
      </c>
      <c r="G417" s="37">
        <f>IFERROR(IF(AND(ISNUMBER('Semi Rev'!K132),ISNUMBER('Semi Rev'!J132),'Semi Rev'!J132&gt;0),'Semi Rev'!K132/'Semi Rev'!J132-1,""),"")</f>
        <v/>
      </c>
      <c r="H417" s="37">
        <f>IFERROR(IF(AND(ISNUMBER('Semi Rev'!L132),ISNUMBER('Semi Rev'!K132),'Semi Rev'!K132&gt;0),'Semi Rev'!L132/'Semi Rev'!K132-1,""),"")</f>
        <v/>
      </c>
      <c r="I417" s="37">
        <f>IFERROR(IF(AND(ISNUMBER('Semi Rev'!M132),ISNUMBER('Semi Rev'!L132),'Semi Rev'!L132&gt;0),'Semi Rev'!M132/'Semi Rev'!L132-1,""),"")</f>
        <v/>
      </c>
      <c r="J417" s="37">
        <f>IFERROR(IF(AND(ISNUMBER('Semi Rev'!N132),ISNUMBER('Semi Rev'!M132),'Semi Rev'!M132&gt;0),'Semi Rev'!N132/'Semi Rev'!M132-1,""),"")</f>
        <v/>
      </c>
      <c r="K417" s="37">
        <f>IFERROR(IF(AND(ISNUMBER('Semi Rev'!O132),ISNUMBER('Semi Rev'!N132),'Semi Rev'!N132&gt;0),'Semi Rev'!O132/'Semi Rev'!N132-1,""),"")</f>
        <v/>
      </c>
      <c r="L417" s="37">
        <f>IFERROR(IF(AND(ISNUMBER('Semi Rev'!P132),ISNUMBER('Semi Rev'!O132),'Semi Rev'!O132&gt;0),'Semi Rev'!P132/'Semi Rev'!O132-1,""),"")</f>
        <v/>
      </c>
      <c r="M417" s="38">
        <f>IFERROR(IF(AND(ISNUMBER('Semi Rev'!Q132),ISNUMBER('Semi Rev'!P132),'Semi Rev'!P132&gt;0),'Semi Rev'!Q132/'Semi Rev'!P132-1,""),"")</f>
        <v/>
      </c>
      <c r="N417" s="38">
        <f>IFERROR(IF(AND(ISNUMBER('Semi Rev'!R132),ISNUMBER('Semi Rev'!Q132),'Semi Rev'!Q132&gt;0),'Semi Rev'!R132/'Semi Rev'!Q132-1,""),"")</f>
        <v/>
      </c>
    </row>
    <row r="418">
      <c r="A418" s="19">
        <f>'Semi Rev'!$A133</f>
        <v/>
      </c>
      <c r="B418" s="19">
        <f>'Semi Rev'!$B133</f>
        <v/>
      </c>
      <c r="C418" s="37">
        <f>IFERROR(IF(AND(ISNUMBER('Semi Rev'!G133),ISNUMBER('Semi Rev'!F133),'Semi Rev'!F133&gt;0),'Semi Rev'!G133/'Semi Rev'!F133-1,""),"")</f>
        <v/>
      </c>
      <c r="D418" s="37">
        <f>IFERROR(IF(AND(ISNUMBER('Semi Rev'!H133),ISNUMBER('Semi Rev'!G133),'Semi Rev'!G133&gt;0),'Semi Rev'!H133/'Semi Rev'!G133-1,""),"")</f>
        <v/>
      </c>
      <c r="E418" s="37">
        <f>IFERROR(IF(AND(ISNUMBER('Semi Rev'!I133),ISNUMBER('Semi Rev'!H133),'Semi Rev'!H133&gt;0),'Semi Rev'!I133/'Semi Rev'!H133-1,""),"")</f>
        <v/>
      </c>
      <c r="F418" s="37">
        <f>IFERROR(IF(AND(ISNUMBER('Semi Rev'!J133),ISNUMBER('Semi Rev'!I133),'Semi Rev'!I133&gt;0),'Semi Rev'!J133/'Semi Rev'!I133-1,""),"")</f>
        <v/>
      </c>
      <c r="G418" s="37">
        <f>IFERROR(IF(AND(ISNUMBER('Semi Rev'!K133),ISNUMBER('Semi Rev'!J133),'Semi Rev'!J133&gt;0),'Semi Rev'!K133/'Semi Rev'!J133-1,""),"")</f>
        <v/>
      </c>
      <c r="H418" s="37">
        <f>IFERROR(IF(AND(ISNUMBER('Semi Rev'!L133),ISNUMBER('Semi Rev'!K133),'Semi Rev'!K133&gt;0),'Semi Rev'!L133/'Semi Rev'!K133-1,""),"")</f>
        <v/>
      </c>
      <c r="I418" s="37">
        <f>IFERROR(IF(AND(ISNUMBER('Semi Rev'!M133),ISNUMBER('Semi Rev'!L133),'Semi Rev'!L133&gt;0),'Semi Rev'!M133/'Semi Rev'!L133-1,""),"")</f>
        <v/>
      </c>
      <c r="J418" s="37">
        <f>IFERROR(IF(AND(ISNUMBER('Semi Rev'!N133),ISNUMBER('Semi Rev'!M133),'Semi Rev'!M133&gt;0),'Semi Rev'!N133/'Semi Rev'!M133-1,""),"")</f>
        <v/>
      </c>
      <c r="K418" s="37">
        <f>IFERROR(IF(AND(ISNUMBER('Semi Rev'!O133),ISNUMBER('Semi Rev'!N133),'Semi Rev'!N133&gt;0),'Semi Rev'!O133/'Semi Rev'!N133-1,""),"")</f>
        <v/>
      </c>
      <c r="L418" s="37">
        <f>IFERROR(IF(AND(ISNUMBER('Semi Rev'!P133),ISNUMBER('Semi Rev'!O133),'Semi Rev'!O133&gt;0),'Semi Rev'!P133/'Semi Rev'!O133-1,""),"")</f>
        <v/>
      </c>
      <c r="M418" s="38">
        <f>IFERROR(IF(AND(ISNUMBER('Semi Rev'!Q133),ISNUMBER('Semi Rev'!P133),'Semi Rev'!P133&gt;0),'Semi Rev'!Q133/'Semi Rev'!P133-1,""),"")</f>
        <v/>
      </c>
      <c r="N418" s="38">
        <f>IFERROR(IF(AND(ISNUMBER('Semi Rev'!R133),ISNUMBER('Semi Rev'!Q133),'Semi Rev'!Q133&gt;0),'Semi Rev'!R133/'Semi Rev'!Q133-1,""),"")</f>
        <v/>
      </c>
    </row>
    <row r="419">
      <c r="A419" s="19">
        <f>'Semi Rev'!$A134</f>
        <v/>
      </c>
      <c r="B419" s="19">
        <f>'Semi Rev'!$B134</f>
        <v/>
      </c>
      <c r="C419" s="37">
        <f>IFERROR(IF(AND(ISNUMBER('Semi Rev'!G134),ISNUMBER('Semi Rev'!F134),'Semi Rev'!F134&gt;0),'Semi Rev'!G134/'Semi Rev'!F134-1,""),"")</f>
        <v/>
      </c>
      <c r="D419" s="37">
        <f>IFERROR(IF(AND(ISNUMBER('Semi Rev'!H134),ISNUMBER('Semi Rev'!G134),'Semi Rev'!G134&gt;0),'Semi Rev'!H134/'Semi Rev'!G134-1,""),"")</f>
        <v/>
      </c>
      <c r="E419" s="37">
        <f>IFERROR(IF(AND(ISNUMBER('Semi Rev'!I134),ISNUMBER('Semi Rev'!H134),'Semi Rev'!H134&gt;0),'Semi Rev'!I134/'Semi Rev'!H134-1,""),"")</f>
        <v/>
      </c>
      <c r="F419" s="37">
        <f>IFERROR(IF(AND(ISNUMBER('Semi Rev'!J134),ISNUMBER('Semi Rev'!I134),'Semi Rev'!I134&gt;0),'Semi Rev'!J134/'Semi Rev'!I134-1,""),"")</f>
        <v/>
      </c>
      <c r="G419" s="37">
        <f>IFERROR(IF(AND(ISNUMBER('Semi Rev'!K134),ISNUMBER('Semi Rev'!J134),'Semi Rev'!J134&gt;0),'Semi Rev'!K134/'Semi Rev'!J134-1,""),"")</f>
        <v/>
      </c>
      <c r="H419" s="37">
        <f>IFERROR(IF(AND(ISNUMBER('Semi Rev'!L134),ISNUMBER('Semi Rev'!K134),'Semi Rev'!K134&gt;0),'Semi Rev'!L134/'Semi Rev'!K134-1,""),"")</f>
        <v/>
      </c>
      <c r="I419" s="37">
        <f>IFERROR(IF(AND(ISNUMBER('Semi Rev'!M134),ISNUMBER('Semi Rev'!L134),'Semi Rev'!L134&gt;0),'Semi Rev'!M134/'Semi Rev'!L134-1,""),"")</f>
        <v/>
      </c>
      <c r="J419" s="37">
        <f>IFERROR(IF(AND(ISNUMBER('Semi Rev'!N134),ISNUMBER('Semi Rev'!M134),'Semi Rev'!M134&gt;0),'Semi Rev'!N134/'Semi Rev'!M134-1,""),"")</f>
        <v/>
      </c>
      <c r="K419" s="37">
        <f>IFERROR(IF(AND(ISNUMBER('Semi Rev'!O134),ISNUMBER('Semi Rev'!N134),'Semi Rev'!N134&gt;0),'Semi Rev'!O134/'Semi Rev'!N134-1,""),"")</f>
        <v/>
      </c>
      <c r="L419" s="37">
        <f>IFERROR(IF(AND(ISNUMBER('Semi Rev'!P134),ISNUMBER('Semi Rev'!O134),'Semi Rev'!O134&gt;0),'Semi Rev'!P134/'Semi Rev'!O134-1,""),"")</f>
        <v/>
      </c>
      <c r="M419" s="38">
        <f>IFERROR(IF(AND(ISNUMBER('Semi Rev'!Q134),ISNUMBER('Semi Rev'!P134),'Semi Rev'!P134&gt;0),'Semi Rev'!Q134/'Semi Rev'!P134-1,""),"")</f>
        <v/>
      </c>
      <c r="N419" s="38">
        <f>IFERROR(IF(AND(ISNUMBER('Semi Rev'!R134),ISNUMBER('Semi Rev'!Q134),'Semi Rev'!Q134&gt;0),'Semi Rev'!R134/'Semi Rev'!Q134-1,""),"")</f>
        <v/>
      </c>
    </row>
    <row r="420">
      <c r="A420" s="19">
        <f>'Semi Rev'!$A135</f>
        <v/>
      </c>
      <c r="B420" s="19">
        <f>'Semi Rev'!$B135</f>
        <v/>
      </c>
      <c r="C420" s="37">
        <f>IFERROR(IF(AND(ISNUMBER('Semi Rev'!G135),ISNUMBER('Semi Rev'!F135),'Semi Rev'!F135&gt;0),'Semi Rev'!G135/'Semi Rev'!F135-1,""),"")</f>
        <v/>
      </c>
      <c r="D420" s="37">
        <f>IFERROR(IF(AND(ISNUMBER('Semi Rev'!H135),ISNUMBER('Semi Rev'!G135),'Semi Rev'!G135&gt;0),'Semi Rev'!H135/'Semi Rev'!G135-1,""),"")</f>
        <v/>
      </c>
      <c r="E420" s="37">
        <f>IFERROR(IF(AND(ISNUMBER('Semi Rev'!I135),ISNUMBER('Semi Rev'!H135),'Semi Rev'!H135&gt;0),'Semi Rev'!I135/'Semi Rev'!H135-1,""),"")</f>
        <v/>
      </c>
      <c r="F420" s="37">
        <f>IFERROR(IF(AND(ISNUMBER('Semi Rev'!J135),ISNUMBER('Semi Rev'!I135),'Semi Rev'!I135&gt;0),'Semi Rev'!J135/'Semi Rev'!I135-1,""),"")</f>
        <v/>
      </c>
      <c r="G420" s="37">
        <f>IFERROR(IF(AND(ISNUMBER('Semi Rev'!K135),ISNUMBER('Semi Rev'!J135),'Semi Rev'!J135&gt;0),'Semi Rev'!K135/'Semi Rev'!J135-1,""),"")</f>
        <v/>
      </c>
      <c r="H420" s="37">
        <f>IFERROR(IF(AND(ISNUMBER('Semi Rev'!L135),ISNUMBER('Semi Rev'!K135),'Semi Rev'!K135&gt;0),'Semi Rev'!L135/'Semi Rev'!K135-1,""),"")</f>
        <v/>
      </c>
      <c r="I420" s="37">
        <f>IFERROR(IF(AND(ISNUMBER('Semi Rev'!M135),ISNUMBER('Semi Rev'!L135),'Semi Rev'!L135&gt;0),'Semi Rev'!M135/'Semi Rev'!L135-1,""),"")</f>
        <v/>
      </c>
      <c r="J420" s="37">
        <f>IFERROR(IF(AND(ISNUMBER('Semi Rev'!N135),ISNUMBER('Semi Rev'!M135),'Semi Rev'!M135&gt;0),'Semi Rev'!N135/'Semi Rev'!M135-1,""),"")</f>
        <v/>
      </c>
      <c r="K420" s="37">
        <f>IFERROR(IF(AND(ISNUMBER('Semi Rev'!O135),ISNUMBER('Semi Rev'!N135),'Semi Rev'!N135&gt;0),'Semi Rev'!O135/'Semi Rev'!N135-1,""),"")</f>
        <v/>
      </c>
      <c r="L420" s="37">
        <f>IFERROR(IF(AND(ISNUMBER('Semi Rev'!P135),ISNUMBER('Semi Rev'!O135),'Semi Rev'!O135&gt;0),'Semi Rev'!P135/'Semi Rev'!O135-1,""),"")</f>
        <v/>
      </c>
      <c r="M420" s="38">
        <f>IFERROR(IF(AND(ISNUMBER('Semi Rev'!Q135),ISNUMBER('Semi Rev'!P135),'Semi Rev'!P135&gt;0),'Semi Rev'!Q135/'Semi Rev'!P135-1,""),"")</f>
        <v/>
      </c>
      <c r="N420" s="38">
        <f>IFERROR(IF(AND(ISNUMBER('Semi Rev'!R135),ISNUMBER('Semi Rev'!Q135),'Semi Rev'!Q135&gt;0),'Semi Rev'!R135/'Semi Rev'!Q135-1,""),"")</f>
        <v/>
      </c>
    </row>
    <row r="421">
      <c r="A421" s="19">
        <f>'Semi Rev'!$A136</f>
        <v/>
      </c>
      <c r="B421" s="19">
        <f>'Semi Rev'!$B136</f>
        <v/>
      </c>
      <c r="C421" s="37">
        <f>IFERROR(IF(AND(ISNUMBER('Semi Rev'!G136),ISNUMBER('Semi Rev'!F136),'Semi Rev'!F136&gt;0),'Semi Rev'!G136/'Semi Rev'!F136-1,""),"")</f>
        <v/>
      </c>
      <c r="D421" s="37">
        <f>IFERROR(IF(AND(ISNUMBER('Semi Rev'!H136),ISNUMBER('Semi Rev'!G136),'Semi Rev'!G136&gt;0),'Semi Rev'!H136/'Semi Rev'!G136-1,""),"")</f>
        <v/>
      </c>
      <c r="E421" s="37">
        <f>IFERROR(IF(AND(ISNUMBER('Semi Rev'!I136),ISNUMBER('Semi Rev'!H136),'Semi Rev'!H136&gt;0),'Semi Rev'!I136/'Semi Rev'!H136-1,""),"")</f>
        <v/>
      </c>
      <c r="F421" s="37">
        <f>IFERROR(IF(AND(ISNUMBER('Semi Rev'!J136),ISNUMBER('Semi Rev'!I136),'Semi Rev'!I136&gt;0),'Semi Rev'!J136/'Semi Rev'!I136-1,""),"")</f>
        <v/>
      </c>
      <c r="G421" s="37">
        <f>IFERROR(IF(AND(ISNUMBER('Semi Rev'!K136),ISNUMBER('Semi Rev'!J136),'Semi Rev'!J136&gt;0),'Semi Rev'!K136/'Semi Rev'!J136-1,""),"")</f>
        <v/>
      </c>
      <c r="H421" s="37">
        <f>IFERROR(IF(AND(ISNUMBER('Semi Rev'!L136),ISNUMBER('Semi Rev'!K136),'Semi Rev'!K136&gt;0),'Semi Rev'!L136/'Semi Rev'!K136-1,""),"")</f>
        <v/>
      </c>
      <c r="I421" s="37">
        <f>IFERROR(IF(AND(ISNUMBER('Semi Rev'!M136),ISNUMBER('Semi Rev'!L136),'Semi Rev'!L136&gt;0),'Semi Rev'!M136/'Semi Rev'!L136-1,""),"")</f>
        <v/>
      </c>
      <c r="J421" s="37">
        <f>IFERROR(IF(AND(ISNUMBER('Semi Rev'!N136),ISNUMBER('Semi Rev'!M136),'Semi Rev'!M136&gt;0),'Semi Rev'!N136/'Semi Rev'!M136-1,""),"")</f>
        <v/>
      </c>
      <c r="K421" s="37">
        <f>IFERROR(IF(AND(ISNUMBER('Semi Rev'!O136),ISNUMBER('Semi Rev'!N136),'Semi Rev'!N136&gt;0),'Semi Rev'!O136/'Semi Rev'!N136-1,""),"")</f>
        <v/>
      </c>
      <c r="L421" s="37">
        <f>IFERROR(IF(AND(ISNUMBER('Semi Rev'!P136),ISNUMBER('Semi Rev'!O136),'Semi Rev'!O136&gt;0),'Semi Rev'!P136/'Semi Rev'!O136-1,""),"")</f>
        <v/>
      </c>
      <c r="M421" s="38">
        <f>IFERROR(IF(AND(ISNUMBER('Semi Rev'!Q136),ISNUMBER('Semi Rev'!P136),'Semi Rev'!P136&gt;0),'Semi Rev'!Q136/'Semi Rev'!P136-1,""),"")</f>
        <v/>
      </c>
      <c r="N421" s="38">
        <f>IFERROR(IF(AND(ISNUMBER('Semi Rev'!R136),ISNUMBER('Semi Rev'!Q136),'Semi Rev'!Q136&gt;0),'Semi Rev'!R136/'Semi Rev'!Q136-1,""),"")</f>
        <v/>
      </c>
    </row>
    <row r="422">
      <c r="A422" s="19">
        <f>'Semi Rev'!$A137</f>
        <v/>
      </c>
      <c r="B422" s="19">
        <f>'Semi Rev'!$B137</f>
        <v/>
      </c>
      <c r="C422" s="37">
        <f>IFERROR(IF(AND(ISNUMBER('Semi Rev'!G137),ISNUMBER('Semi Rev'!F137),'Semi Rev'!F137&gt;0),'Semi Rev'!G137/'Semi Rev'!F137-1,""),"")</f>
        <v/>
      </c>
      <c r="D422" s="37">
        <f>IFERROR(IF(AND(ISNUMBER('Semi Rev'!H137),ISNUMBER('Semi Rev'!G137),'Semi Rev'!G137&gt;0),'Semi Rev'!H137/'Semi Rev'!G137-1,""),"")</f>
        <v/>
      </c>
      <c r="E422" s="37">
        <f>IFERROR(IF(AND(ISNUMBER('Semi Rev'!I137),ISNUMBER('Semi Rev'!H137),'Semi Rev'!H137&gt;0),'Semi Rev'!I137/'Semi Rev'!H137-1,""),"")</f>
        <v/>
      </c>
      <c r="F422" s="37">
        <f>IFERROR(IF(AND(ISNUMBER('Semi Rev'!J137),ISNUMBER('Semi Rev'!I137),'Semi Rev'!I137&gt;0),'Semi Rev'!J137/'Semi Rev'!I137-1,""),"")</f>
        <v/>
      </c>
      <c r="G422" s="37">
        <f>IFERROR(IF(AND(ISNUMBER('Semi Rev'!K137),ISNUMBER('Semi Rev'!J137),'Semi Rev'!J137&gt;0),'Semi Rev'!K137/'Semi Rev'!J137-1,""),"")</f>
        <v/>
      </c>
      <c r="H422" s="37">
        <f>IFERROR(IF(AND(ISNUMBER('Semi Rev'!L137),ISNUMBER('Semi Rev'!K137),'Semi Rev'!K137&gt;0),'Semi Rev'!L137/'Semi Rev'!K137-1,""),"")</f>
        <v/>
      </c>
      <c r="I422" s="37">
        <f>IFERROR(IF(AND(ISNUMBER('Semi Rev'!M137),ISNUMBER('Semi Rev'!L137),'Semi Rev'!L137&gt;0),'Semi Rev'!M137/'Semi Rev'!L137-1,""),"")</f>
        <v/>
      </c>
      <c r="J422" s="37">
        <f>IFERROR(IF(AND(ISNUMBER('Semi Rev'!N137),ISNUMBER('Semi Rev'!M137),'Semi Rev'!M137&gt;0),'Semi Rev'!N137/'Semi Rev'!M137-1,""),"")</f>
        <v/>
      </c>
      <c r="K422" s="37">
        <f>IFERROR(IF(AND(ISNUMBER('Semi Rev'!O137),ISNUMBER('Semi Rev'!N137),'Semi Rev'!N137&gt;0),'Semi Rev'!O137/'Semi Rev'!N137-1,""),"")</f>
        <v/>
      </c>
      <c r="L422" s="37">
        <f>IFERROR(IF(AND(ISNUMBER('Semi Rev'!P137),ISNUMBER('Semi Rev'!O137),'Semi Rev'!O137&gt;0),'Semi Rev'!P137/'Semi Rev'!O137-1,""),"")</f>
        <v/>
      </c>
      <c r="M422" s="38">
        <f>IFERROR(IF(AND(ISNUMBER('Semi Rev'!Q137),ISNUMBER('Semi Rev'!P137),'Semi Rev'!P137&gt;0),'Semi Rev'!Q137/'Semi Rev'!P137-1,""),"")</f>
        <v/>
      </c>
      <c r="N422" s="38">
        <f>IFERROR(IF(AND(ISNUMBER('Semi Rev'!R137),ISNUMBER('Semi Rev'!Q137),'Semi Rev'!Q137&gt;0),'Semi Rev'!R137/'Semi Rev'!Q137-1,""),"")</f>
        <v/>
      </c>
    </row>
    <row r="423">
      <c r="A423" s="19">
        <f>'Semi Rev'!$A138</f>
        <v/>
      </c>
      <c r="B423" s="19">
        <f>'Semi Rev'!$B138</f>
        <v/>
      </c>
      <c r="C423" s="37">
        <f>IFERROR(IF(AND(ISNUMBER('Semi Rev'!G138),ISNUMBER('Semi Rev'!F138),'Semi Rev'!F138&gt;0),'Semi Rev'!G138/'Semi Rev'!F138-1,""),"")</f>
        <v/>
      </c>
      <c r="D423" s="37">
        <f>IFERROR(IF(AND(ISNUMBER('Semi Rev'!H138),ISNUMBER('Semi Rev'!G138),'Semi Rev'!G138&gt;0),'Semi Rev'!H138/'Semi Rev'!G138-1,""),"")</f>
        <v/>
      </c>
      <c r="E423" s="37">
        <f>IFERROR(IF(AND(ISNUMBER('Semi Rev'!I138),ISNUMBER('Semi Rev'!H138),'Semi Rev'!H138&gt;0),'Semi Rev'!I138/'Semi Rev'!H138-1,""),"")</f>
        <v/>
      </c>
      <c r="F423" s="37">
        <f>IFERROR(IF(AND(ISNUMBER('Semi Rev'!J138),ISNUMBER('Semi Rev'!I138),'Semi Rev'!I138&gt;0),'Semi Rev'!J138/'Semi Rev'!I138-1,""),"")</f>
        <v/>
      </c>
      <c r="G423" s="37">
        <f>IFERROR(IF(AND(ISNUMBER('Semi Rev'!K138),ISNUMBER('Semi Rev'!J138),'Semi Rev'!J138&gt;0),'Semi Rev'!K138/'Semi Rev'!J138-1,""),"")</f>
        <v/>
      </c>
      <c r="H423" s="37">
        <f>IFERROR(IF(AND(ISNUMBER('Semi Rev'!L138),ISNUMBER('Semi Rev'!K138),'Semi Rev'!K138&gt;0),'Semi Rev'!L138/'Semi Rev'!K138-1,""),"")</f>
        <v/>
      </c>
      <c r="I423" s="37">
        <f>IFERROR(IF(AND(ISNUMBER('Semi Rev'!M138),ISNUMBER('Semi Rev'!L138),'Semi Rev'!L138&gt;0),'Semi Rev'!M138/'Semi Rev'!L138-1,""),"")</f>
        <v/>
      </c>
      <c r="J423" s="37">
        <f>IFERROR(IF(AND(ISNUMBER('Semi Rev'!N138),ISNUMBER('Semi Rev'!M138),'Semi Rev'!M138&gt;0),'Semi Rev'!N138/'Semi Rev'!M138-1,""),"")</f>
        <v/>
      </c>
      <c r="K423" s="37">
        <f>IFERROR(IF(AND(ISNUMBER('Semi Rev'!O138),ISNUMBER('Semi Rev'!N138),'Semi Rev'!N138&gt;0),'Semi Rev'!O138/'Semi Rev'!N138-1,""),"")</f>
        <v/>
      </c>
      <c r="L423" s="37">
        <f>IFERROR(IF(AND(ISNUMBER('Semi Rev'!P138),ISNUMBER('Semi Rev'!O138),'Semi Rev'!O138&gt;0),'Semi Rev'!P138/'Semi Rev'!O138-1,""),"")</f>
        <v/>
      </c>
      <c r="M423" s="38">
        <f>IFERROR(IF(AND(ISNUMBER('Semi Rev'!Q138),ISNUMBER('Semi Rev'!P138),'Semi Rev'!P138&gt;0),'Semi Rev'!Q138/'Semi Rev'!P138-1,""),"")</f>
        <v/>
      </c>
      <c r="N423" s="38">
        <f>IFERROR(IF(AND(ISNUMBER('Semi Rev'!R138),ISNUMBER('Semi Rev'!Q138),'Semi Rev'!Q138&gt;0),'Semi Rev'!R138/'Semi Rev'!Q138-1,""),"")</f>
        <v/>
      </c>
    </row>
    <row r="424">
      <c r="A424" s="19">
        <f>'Semi Rev'!$A139</f>
        <v/>
      </c>
      <c r="B424" s="19">
        <f>'Semi Rev'!$B139</f>
        <v/>
      </c>
      <c r="C424" s="37">
        <f>IFERROR(IF(AND(ISNUMBER('Semi Rev'!G139),ISNUMBER('Semi Rev'!F139),'Semi Rev'!F139&gt;0),'Semi Rev'!G139/'Semi Rev'!F139-1,""),"")</f>
        <v/>
      </c>
      <c r="D424" s="37">
        <f>IFERROR(IF(AND(ISNUMBER('Semi Rev'!H139),ISNUMBER('Semi Rev'!G139),'Semi Rev'!G139&gt;0),'Semi Rev'!H139/'Semi Rev'!G139-1,""),"")</f>
        <v/>
      </c>
      <c r="E424" s="37">
        <f>IFERROR(IF(AND(ISNUMBER('Semi Rev'!I139),ISNUMBER('Semi Rev'!H139),'Semi Rev'!H139&gt;0),'Semi Rev'!I139/'Semi Rev'!H139-1,""),"")</f>
        <v/>
      </c>
      <c r="F424" s="37">
        <f>IFERROR(IF(AND(ISNUMBER('Semi Rev'!J139),ISNUMBER('Semi Rev'!I139),'Semi Rev'!I139&gt;0),'Semi Rev'!J139/'Semi Rev'!I139-1,""),"")</f>
        <v/>
      </c>
      <c r="G424" s="37">
        <f>IFERROR(IF(AND(ISNUMBER('Semi Rev'!K139),ISNUMBER('Semi Rev'!J139),'Semi Rev'!J139&gt;0),'Semi Rev'!K139/'Semi Rev'!J139-1,""),"")</f>
        <v/>
      </c>
      <c r="H424" s="37">
        <f>IFERROR(IF(AND(ISNUMBER('Semi Rev'!L139),ISNUMBER('Semi Rev'!K139),'Semi Rev'!K139&gt;0),'Semi Rev'!L139/'Semi Rev'!K139-1,""),"")</f>
        <v/>
      </c>
      <c r="I424" s="37">
        <f>IFERROR(IF(AND(ISNUMBER('Semi Rev'!M139),ISNUMBER('Semi Rev'!L139),'Semi Rev'!L139&gt;0),'Semi Rev'!M139/'Semi Rev'!L139-1,""),"")</f>
        <v/>
      </c>
      <c r="J424" s="37">
        <f>IFERROR(IF(AND(ISNUMBER('Semi Rev'!N139),ISNUMBER('Semi Rev'!M139),'Semi Rev'!M139&gt;0),'Semi Rev'!N139/'Semi Rev'!M139-1,""),"")</f>
        <v/>
      </c>
      <c r="K424" s="37">
        <f>IFERROR(IF(AND(ISNUMBER('Semi Rev'!O139),ISNUMBER('Semi Rev'!N139),'Semi Rev'!N139&gt;0),'Semi Rev'!O139/'Semi Rev'!N139-1,""),"")</f>
        <v/>
      </c>
      <c r="L424" s="37">
        <f>IFERROR(IF(AND(ISNUMBER('Semi Rev'!P139),ISNUMBER('Semi Rev'!O139),'Semi Rev'!O139&gt;0),'Semi Rev'!P139/'Semi Rev'!O139-1,""),"")</f>
        <v/>
      </c>
      <c r="M424" s="38">
        <f>IFERROR(IF(AND(ISNUMBER('Semi Rev'!Q139),ISNUMBER('Semi Rev'!P139),'Semi Rev'!P139&gt;0),'Semi Rev'!Q139/'Semi Rev'!P139-1,""),"")</f>
        <v/>
      </c>
      <c r="N424" s="38">
        <f>IFERROR(IF(AND(ISNUMBER('Semi Rev'!R139),ISNUMBER('Semi Rev'!Q139),'Semi Rev'!Q139&gt;0),'Semi Rev'!R139/'Semi Rev'!Q139-1,""),"")</f>
        <v/>
      </c>
    </row>
    <row r="425">
      <c r="A425" s="19">
        <f>'Semi Rev'!$A140</f>
        <v/>
      </c>
      <c r="B425" s="19">
        <f>'Semi Rev'!$B140</f>
        <v/>
      </c>
      <c r="C425" s="37">
        <f>IFERROR(IF(AND(ISNUMBER('Semi Rev'!G140),ISNUMBER('Semi Rev'!F140),'Semi Rev'!F140&gt;0),'Semi Rev'!G140/'Semi Rev'!F140-1,""),"")</f>
        <v/>
      </c>
      <c r="D425" s="37">
        <f>IFERROR(IF(AND(ISNUMBER('Semi Rev'!H140),ISNUMBER('Semi Rev'!G140),'Semi Rev'!G140&gt;0),'Semi Rev'!H140/'Semi Rev'!G140-1,""),"")</f>
        <v/>
      </c>
      <c r="E425" s="37">
        <f>IFERROR(IF(AND(ISNUMBER('Semi Rev'!I140),ISNUMBER('Semi Rev'!H140),'Semi Rev'!H140&gt;0),'Semi Rev'!I140/'Semi Rev'!H140-1,""),"")</f>
        <v/>
      </c>
      <c r="F425" s="37">
        <f>IFERROR(IF(AND(ISNUMBER('Semi Rev'!J140),ISNUMBER('Semi Rev'!I140),'Semi Rev'!I140&gt;0),'Semi Rev'!J140/'Semi Rev'!I140-1,""),"")</f>
        <v/>
      </c>
      <c r="G425" s="37">
        <f>IFERROR(IF(AND(ISNUMBER('Semi Rev'!K140),ISNUMBER('Semi Rev'!J140),'Semi Rev'!J140&gt;0),'Semi Rev'!K140/'Semi Rev'!J140-1,""),"")</f>
        <v/>
      </c>
      <c r="H425" s="37">
        <f>IFERROR(IF(AND(ISNUMBER('Semi Rev'!L140),ISNUMBER('Semi Rev'!K140),'Semi Rev'!K140&gt;0),'Semi Rev'!L140/'Semi Rev'!K140-1,""),"")</f>
        <v/>
      </c>
      <c r="I425" s="37">
        <f>IFERROR(IF(AND(ISNUMBER('Semi Rev'!M140),ISNUMBER('Semi Rev'!L140),'Semi Rev'!L140&gt;0),'Semi Rev'!M140/'Semi Rev'!L140-1,""),"")</f>
        <v/>
      </c>
      <c r="J425" s="37">
        <f>IFERROR(IF(AND(ISNUMBER('Semi Rev'!N140),ISNUMBER('Semi Rev'!M140),'Semi Rev'!M140&gt;0),'Semi Rev'!N140/'Semi Rev'!M140-1,""),"")</f>
        <v/>
      </c>
      <c r="K425" s="37">
        <f>IFERROR(IF(AND(ISNUMBER('Semi Rev'!O140),ISNUMBER('Semi Rev'!N140),'Semi Rev'!N140&gt;0),'Semi Rev'!O140/'Semi Rev'!N140-1,""),"")</f>
        <v/>
      </c>
      <c r="L425" s="37">
        <f>IFERROR(IF(AND(ISNUMBER('Semi Rev'!P140),ISNUMBER('Semi Rev'!O140),'Semi Rev'!O140&gt;0),'Semi Rev'!P140/'Semi Rev'!O140-1,""),"")</f>
        <v/>
      </c>
      <c r="M425" s="38">
        <f>IFERROR(IF(AND(ISNUMBER('Semi Rev'!Q140),ISNUMBER('Semi Rev'!P140),'Semi Rev'!P140&gt;0),'Semi Rev'!Q140/'Semi Rev'!P140-1,""),"")</f>
        <v/>
      </c>
      <c r="N425" s="38">
        <f>IFERROR(IF(AND(ISNUMBER('Semi Rev'!R140),ISNUMBER('Semi Rev'!Q140),'Semi Rev'!Q140&gt;0),'Semi Rev'!R140/'Semi Rev'!Q140-1,""),"")</f>
        <v/>
      </c>
    </row>
    <row r="426">
      <c r="A426" s="19">
        <f>'Semi Rev'!$A141</f>
        <v/>
      </c>
      <c r="B426" s="19">
        <f>'Semi Rev'!$B141</f>
        <v/>
      </c>
      <c r="C426" s="37">
        <f>IFERROR(IF(AND(ISNUMBER('Semi Rev'!G141),ISNUMBER('Semi Rev'!F141),'Semi Rev'!F141&gt;0),'Semi Rev'!G141/'Semi Rev'!F141-1,""),"")</f>
        <v/>
      </c>
      <c r="D426" s="37">
        <f>IFERROR(IF(AND(ISNUMBER('Semi Rev'!H141),ISNUMBER('Semi Rev'!G141),'Semi Rev'!G141&gt;0),'Semi Rev'!H141/'Semi Rev'!G141-1,""),"")</f>
        <v/>
      </c>
      <c r="E426" s="37">
        <f>IFERROR(IF(AND(ISNUMBER('Semi Rev'!I141),ISNUMBER('Semi Rev'!H141),'Semi Rev'!H141&gt;0),'Semi Rev'!I141/'Semi Rev'!H141-1,""),"")</f>
        <v/>
      </c>
      <c r="F426" s="37">
        <f>IFERROR(IF(AND(ISNUMBER('Semi Rev'!J141),ISNUMBER('Semi Rev'!I141),'Semi Rev'!I141&gt;0),'Semi Rev'!J141/'Semi Rev'!I141-1,""),"")</f>
        <v/>
      </c>
      <c r="G426" s="37">
        <f>IFERROR(IF(AND(ISNUMBER('Semi Rev'!K141),ISNUMBER('Semi Rev'!J141),'Semi Rev'!J141&gt;0),'Semi Rev'!K141/'Semi Rev'!J141-1,""),"")</f>
        <v/>
      </c>
      <c r="H426" s="37">
        <f>IFERROR(IF(AND(ISNUMBER('Semi Rev'!L141),ISNUMBER('Semi Rev'!K141),'Semi Rev'!K141&gt;0),'Semi Rev'!L141/'Semi Rev'!K141-1,""),"")</f>
        <v/>
      </c>
      <c r="I426" s="37">
        <f>IFERROR(IF(AND(ISNUMBER('Semi Rev'!M141),ISNUMBER('Semi Rev'!L141),'Semi Rev'!L141&gt;0),'Semi Rev'!M141/'Semi Rev'!L141-1,""),"")</f>
        <v/>
      </c>
      <c r="J426" s="37">
        <f>IFERROR(IF(AND(ISNUMBER('Semi Rev'!N141),ISNUMBER('Semi Rev'!M141),'Semi Rev'!M141&gt;0),'Semi Rev'!N141/'Semi Rev'!M141-1,""),"")</f>
        <v/>
      </c>
      <c r="K426" s="37">
        <f>IFERROR(IF(AND(ISNUMBER('Semi Rev'!O141),ISNUMBER('Semi Rev'!N141),'Semi Rev'!N141&gt;0),'Semi Rev'!O141/'Semi Rev'!N141-1,""),"")</f>
        <v/>
      </c>
      <c r="L426" s="37">
        <f>IFERROR(IF(AND(ISNUMBER('Semi Rev'!P141),ISNUMBER('Semi Rev'!O141),'Semi Rev'!O141&gt;0),'Semi Rev'!P141/'Semi Rev'!O141-1,""),"")</f>
        <v/>
      </c>
      <c r="M426" s="38">
        <f>IFERROR(IF(AND(ISNUMBER('Semi Rev'!Q141),ISNUMBER('Semi Rev'!P141),'Semi Rev'!P141&gt;0),'Semi Rev'!Q141/'Semi Rev'!P141-1,""),"")</f>
        <v/>
      </c>
      <c r="N426" s="38">
        <f>IFERROR(IF(AND(ISNUMBER('Semi Rev'!R141),ISNUMBER('Semi Rev'!Q141),'Semi Rev'!Q141&gt;0),'Semi Rev'!R141/'Semi Rev'!Q141-1,""),"")</f>
        <v/>
      </c>
    </row>
    <row r="427">
      <c r="A427" s="19">
        <f>'Semi Rev'!$A142</f>
        <v/>
      </c>
      <c r="B427" s="19">
        <f>'Semi Rev'!$B142</f>
        <v/>
      </c>
      <c r="C427" s="37">
        <f>IFERROR(IF(AND(ISNUMBER('Semi Rev'!G142),ISNUMBER('Semi Rev'!F142),'Semi Rev'!F142&gt;0),'Semi Rev'!G142/'Semi Rev'!F142-1,""),"")</f>
        <v/>
      </c>
      <c r="D427" s="37">
        <f>IFERROR(IF(AND(ISNUMBER('Semi Rev'!H142),ISNUMBER('Semi Rev'!G142),'Semi Rev'!G142&gt;0),'Semi Rev'!H142/'Semi Rev'!G142-1,""),"")</f>
        <v/>
      </c>
      <c r="E427" s="37">
        <f>IFERROR(IF(AND(ISNUMBER('Semi Rev'!I142),ISNUMBER('Semi Rev'!H142),'Semi Rev'!H142&gt;0),'Semi Rev'!I142/'Semi Rev'!H142-1,""),"")</f>
        <v/>
      </c>
      <c r="F427" s="37">
        <f>IFERROR(IF(AND(ISNUMBER('Semi Rev'!J142),ISNUMBER('Semi Rev'!I142),'Semi Rev'!I142&gt;0),'Semi Rev'!J142/'Semi Rev'!I142-1,""),"")</f>
        <v/>
      </c>
      <c r="G427" s="37">
        <f>IFERROR(IF(AND(ISNUMBER('Semi Rev'!K142),ISNUMBER('Semi Rev'!J142),'Semi Rev'!J142&gt;0),'Semi Rev'!K142/'Semi Rev'!J142-1,""),"")</f>
        <v/>
      </c>
      <c r="H427" s="37">
        <f>IFERROR(IF(AND(ISNUMBER('Semi Rev'!L142),ISNUMBER('Semi Rev'!K142),'Semi Rev'!K142&gt;0),'Semi Rev'!L142/'Semi Rev'!K142-1,""),"")</f>
        <v/>
      </c>
      <c r="I427" s="37">
        <f>IFERROR(IF(AND(ISNUMBER('Semi Rev'!M142),ISNUMBER('Semi Rev'!L142),'Semi Rev'!L142&gt;0),'Semi Rev'!M142/'Semi Rev'!L142-1,""),"")</f>
        <v/>
      </c>
      <c r="J427" s="37">
        <f>IFERROR(IF(AND(ISNUMBER('Semi Rev'!N142),ISNUMBER('Semi Rev'!M142),'Semi Rev'!M142&gt;0),'Semi Rev'!N142/'Semi Rev'!M142-1,""),"")</f>
        <v/>
      </c>
      <c r="K427" s="37">
        <f>IFERROR(IF(AND(ISNUMBER('Semi Rev'!O142),ISNUMBER('Semi Rev'!N142),'Semi Rev'!N142&gt;0),'Semi Rev'!O142/'Semi Rev'!N142-1,""),"")</f>
        <v/>
      </c>
      <c r="L427" s="37">
        <f>IFERROR(IF(AND(ISNUMBER('Semi Rev'!P142),ISNUMBER('Semi Rev'!O142),'Semi Rev'!O142&gt;0),'Semi Rev'!P142/'Semi Rev'!O142-1,""),"")</f>
        <v/>
      </c>
      <c r="M427" s="38">
        <f>IFERROR(IF(AND(ISNUMBER('Semi Rev'!Q142),ISNUMBER('Semi Rev'!P142),'Semi Rev'!P142&gt;0),'Semi Rev'!Q142/'Semi Rev'!P142-1,""),"")</f>
        <v/>
      </c>
      <c r="N427" s="38">
        <f>IFERROR(IF(AND(ISNUMBER('Semi Rev'!R142),ISNUMBER('Semi Rev'!Q142),'Semi Rev'!Q142&gt;0),'Semi Rev'!R142/'Semi Rev'!Q142-1,""),"")</f>
        <v/>
      </c>
    </row>
    <row r="428">
      <c r="A428" s="19">
        <f>'Semi Rev'!$A143</f>
        <v/>
      </c>
      <c r="B428" s="19">
        <f>'Semi Rev'!$B143</f>
        <v/>
      </c>
      <c r="C428" s="37">
        <f>IFERROR(IF(AND(ISNUMBER('Semi Rev'!G143),ISNUMBER('Semi Rev'!F143),'Semi Rev'!F143&gt;0),'Semi Rev'!G143/'Semi Rev'!F143-1,""),"")</f>
        <v/>
      </c>
      <c r="D428" s="37">
        <f>IFERROR(IF(AND(ISNUMBER('Semi Rev'!H143),ISNUMBER('Semi Rev'!G143),'Semi Rev'!G143&gt;0),'Semi Rev'!H143/'Semi Rev'!G143-1,""),"")</f>
        <v/>
      </c>
      <c r="E428" s="37">
        <f>IFERROR(IF(AND(ISNUMBER('Semi Rev'!I143),ISNUMBER('Semi Rev'!H143),'Semi Rev'!H143&gt;0),'Semi Rev'!I143/'Semi Rev'!H143-1,""),"")</f>
        <v/>
      </c>
      <c r="F428" s="37">
        <f>IFERROR(IF(AND(ISNUMBER('Semi Rev'!J143),ISNUMBER('Semi Rev'!I143),'Semi Rev'!I143&gt;0),'Semi Rev'!J143/'Semi Rev'!I143-1,""),"")</f>
        <v/>
      </c>
      <c r="G428" s="37">
        <f>IFERROR(IF(AND(ISNUMBER('Semi Rev'!K143),ISNUMBER('Semi Rev'!J143),'Semi Rev'!J143&gt;0),'Semi Rev'!K143/'Semi Rev'!J143-1,""),"")</f>
        <v/>
      </c>
      <c r="H428" s="37">
        <f>IFERROR(IF(AND(ISNUMBER('Semi Rev'!L143),ISNUMBER('Semi Rev'!K143),'Semi Rev'!K143&gt;0),'Semi Rev'!L143/'Semi Rev'!K143-1,""),"")</f>
        <v/>
      </c>
      <c r="I428" s="37">
        <f>IFERROR(IF(AND(ISNUMBER('Semi Rev'!M143),ISNUMBER('Semi Rev'!L143),'Semi Rev'!L143&gt;0),'Semi Rev'!M143/'Semi Rev'!L143-1,""),"")</f>
        <v/>
      </c>
      <c r="J428" s="37">
        <f>IFERROR(IF(AND(ISNUMBER('Semi Rev'!N143),ISNUMBER('Semi Rev'!M143),'Semi Rev'!M143&gt;0),'Semi Rev'!N143/'Semi Rev'!M143-1,""),"")</f>
        <v/>
      </c>
      <c r="K428" s="37">
        <f>IFERROR(IF(AND(ISNUMBER('Semi Rev'!O143),ISNUMBER('Semi Rev'!N143),'Semi Rev'!N143&gt;0),'Semi Rev'!O143/'Semi Rev'!N143-1,""),"")</f>
        <v/>
      </c>
      <c r="L428" s="37">
        <f>IFERROR(IF(AND(ISNUMBER('Semi Rev'!P143),ISNUMBER('Semi Rev'!O143),'Semi Rev'!O143&gt;0),'Semi Rev'!P143/'Semi Rev'!O143-1,""),"")</f>
        <v/>
      </c>
      <c r="M428" s="38">
        <f>IFERROR(IF(AND(ISNUMBER('Semi Rev'!Q143),ISNUMBER('Semi Rev'!P143),'Semi Rev'!P143&gt;0),'Semi Rev'!Q143/'Semi Rev'!P143-1,""),"")</f>
        <v/>
      </c>
      <c r="N428" s="38">
        <f>IFERROR(IF(AND(ISNUMBER('Semi Rev'!R143),ISNUMBER('Semi Rev'!Q143),'Semi Rev'!Q143&gt;0),'Semi Rev'!R143/'Semi Rev'!Q143-1,""),"")</f>
        <v/>
      </c>
    </row>
    <row r="430">
      <c r="A430" s="49" t="inlineStr">
        <is>
          <t>Revenue $ added YoY (USD mm)</t>
        </is>
      </c>
      <c r="B430" s="50" t="n"/>
      <c r="C430" s="50" t="n"/>
      <c r="D430" s="50" t="n"/>
      <c r="E430" s="50" t="n"/>
      <c r="F430" s="50" t="n"/>
      <c r="G430" s="50" t="n"/>
      <c r="H430" s="50" t="n"/>
      <c r="I430" s="50" t="n"/>
      <c r="J430" s="50" t="n"/>
      <c r="K430" s="50" t="n"/>
      <c r="L430" s="50" t="n"/>
      <c r="M430" s="50" t="n"/>
      <c r="N430" s="50" t="n"/>
    </row>
    <row r="431" ht="28" customHeight="1">
      <c r="A431" s="8" t="inlineStr">
        <is>
          <t>Ticker</t>
        </is>
      </c>
      <c r="B431" s="8" t="inlineStr">
        <is>
          <t>Latest Rpt Qtr</t>
        </is>
      </c>
      <c r="C431" s="8" t="inlineStr">
        <is>
          <t>FPO -9</t>
        </is>
      </c>
      <c r="D431" s="8" t="inlineStr">
        <is>
          <t>FPO -8</t>
        </is>
      </c>
      <c r="E431" s="8" t="inlineStr">
        <is>
          <t>FPO -7</t>
        </is>
      </c>
      <c r="F431" s="8" t="inlineStr">
        <is>
          <t>FPO -6</t>
        </is>
      </c>
      <c r="G431" s="8" t="inlineStr">
        <is>
          <t>FPO -5</t>
        </is>
      </c>
      <c r="H431" s="8" t="inlineStr">
        <is>
          <t>FPO -4</t>
        </is>
      </c>
      <c r="I431" s="8" t="inlineStr">
        <is>
          <t>FPO -3</t>
        </is>
      </c>
      <c r="J431" s="8" t="inlineStr">
        <is>
          <t>FPO -2</t>
        </is>
      </c>
      <c r="K431" s="8" t="inlineStr">
        <is>
          <t>FPO -1</t>
        </is>
      </c>
      <c r="L431" s="8" t="inlineStr">
        <is>
          <t>FPO 0 (latest rpt)</t>
        </is>
      </c>
      <c r="M431" s="8" t="inlineStr">
        <is>
          <t>FPO +1E</t>
        </is>
      </c>
      <c r="N431" s="8" t="inlineStr">
        <is>
          <t>FPO +2E</t>
        </is>
      </c>
    </row>
    <row r="432">
      <c r="A432" s="19">
        <f>'Semi Rev'!$A5</f>
        <v/>
      </c>
      <c r="B432" s="19">
        <f>'Semi Rev'!$B5</f>
        <v/>
      </c>
      <c r="C432" s="30">
        <f>IFERROR(IF(AND(ISNUMBER('Semi Rev'!G5),ISNUMBER('Semi Rev'!C5)),'Semi Rev'!G5-'Semi Rev'!C5,""),"")</f>
        <v/>
      </c>
      <c r="D432" s="30">
        <f>IFERROR(IF(AND(ISNUMBER('Semi Rev'!H5),ISNUMBER('Semi Rev'!D5)),'Semi Rev'!H5-'Semi Rev'!D5,""),"")</f>
        <v/>
      </c>
      <c r="E432" s="30">
        <f>IFERROR(IF(AND(ISNUMBER('Semi Rev'!I5),ISNUMBER('Semi Rev'!E5)),'Semi Rev'!I5-'Semi Rev'!E5,""),"")</f>
        <v/>
      </c>
      <c r="F432" s="30">
        <f>IFERROR(IF(AND(ISNUMBER('Semi Rev'!J5),ISNUMBER('Semi Rev'!F5)),'Semi Rev'!J5-'Semi Rev'!F5,""),"")</f>
        <v/>
      </c>
      <c r="G432" s="30">
        <f>IFERROR(IF(AND(ISNUMBER('Semi Rev'!K5),ISNUMBER('Semi Rev'!G5)),'Semi Rev'!K5-'Semi Rev'!G5,""),"")</f>
        <v/>
      </c>
      <c r="H432" s="30">
        <f>IFERROR(IF(AND(ISNUMBER('Semi Rev'!L5),ISNUMBER('Semi Rev'!H5)),'Semi Rev'!L5-'Semi Rev'!H5,""),"")</f>
        <v/>
      </c>
      <c r="I432" s="30">
        <f>IFERROR(IF(AND(ISNUMBER('Semi Rev'!M5),ISNUMBER('Semi Rev'!I5)),'Semi Rev'!M5-'Semi Rev'!I5,""),"")</f>
        <v/>
      </c>
      <c r="J432" s="30">
        <f>IFERROR(IF(AND(ISNUMBER('Semi Rev'!N5),ISNUMBER('Semi Rev'!J5)),'Semi Rev'!N5-'Semi Rev'!J5,""),"")</f>
        <v/>
      </c>
      <c r="K432" s="30">
        <f>IFERROR(IF(AND(ISNUMBER('Semi Rev'!O5),ISNUMBER('Semi Rev'!K5)),'Semi Rev'!O5-'Semi Rev'!K5,""),"")</f>
        <v/>
      </c>
      <c r="L432" s="30">
        <f>IFERROR(IF(AND(ISNUMBER('Semi Rev'!P5),ISNUMBER('Semi Rev'!L5)),'Semi Rev'!P5-'Semi Rev'!L5,""),"")</f>
        <v/>
      </c>
      <c r="M432" s="31">
        <f>IFERROR(IF(AND(ISNUMBER('Semi Rev'!Q5),ISNUMBER('Semi Rev'!M5)),'Semi Rev'!Q5-'Semi Rev'!M5,""),"")</f>
        <v/>
      </c>
      <c r="N432" s="31">
        <f>IFERROR(IF(AND(ISNUMBER('Semi Rev'!R5),ISNUMBER('Semi Rev'!N5)),'Semi Rev'!R5-'Semi Rev'!N5,""),"")</f>
        <v/>
      </c>
    </row>
    <row r="433">
      <c r="A433" s="19">
        <f>'Semi Rev'!$A6</f>
        <v/>
      </c>
      <c r="B433" s="19">
        <f>'Semi Rev'!$B6</f>
        <v/>
      </c>
      <c r="C433" s="30">
        <f>IFERROR(IF(AND(ISNUMBER('Semi Rev'!G6),ISNUMBER('Semi Rev'!C6)),'Semi Rev'!G6-'Semi Rev'!C6,""),"")</f>
        <v/>
      </c>
      <c r="D433" s="30">
        <f>IFERROR(IF(AND(ISNUMBER('Semi Rev'!H6),ISNUMBER('Semi Rev'!D6)),'Semi Rev'!H6-'Semi Rev'!D6,""),"")</f>
        <v/>
      </c>
      <c r="E433" s="30">
        <f>IFERROR(IF(AND(ISNUMBER('Semi Rev'!I6),ISNUMBER('Semi Rev'!E6)),'Semi Rev'!I6-'Semi Rev'!E6,""),"")</f>
        <v/>
      </c>
      <c r="F433" s="30">
        <f>IFERROR(IF(AND(ISNUMBER('Semi Rev'!J6),ISNUMBER('Semi Rev'!F6)),'Semi Rev'!J6-'Semi Rev'!F6,""),"")</f>
        <v/>
      </c>
      <c r="G433" s="30">
        <f>IFERROR(IF(AND(ISNUMBER('Semi Rev'!K6),ISNUMBER('Semi Rev'!G6)),'Semi Rev'!K6-'Semi Rev'!G6,""),"")</f>
        <v/>
      </c>
      <c r="H433" s="30">
        <f>IFERROR(IF(AND(ISNUMBER('Semi Rev'!L6),ISNUMBER('Semi Rev'!H6)),'Semi Rev'!L6-'Semi Rev'!H6,""),"")</f>
        <v/>
      </c>
      <c r="I433" s="30">
        <f>IFERROR(IF(AND(ISNUMBER('Semi Rev'!M6),ISNUMBER('Semi Rev'!I6)),'Semi Rev'!M6-'Semi Rev'!I6,""),"")</f>
        <v/>
      </c>
      <c r="J433" s="30">
        <f>IFERROR(IF(AND(ISNUMBER('Semi Rev'!N6),ISNUMBER('Semi Rev'!J6)),'Semi Rev'!N6-'Semi Rev'!J6,""),"")</f>
        <v/>
      </c>
      <c r="K433" s="30">
        <f>IFERROR(IF(AND(ISNUMBER('Semi Rev'!O6),ISNUMBER('Semi Rev'!K6)),'Semi Rev'!O6-'Semi Rev'!K6,""),"")</f>
        <v/>
      </c>
      <c r="L433" s="30">
        <f>IFERROR(IF(AND(ISNUMBER('Semi Rev'!P6),ISNUMBER('Semi Rev'!L6)),'Semi Rev'!P6-'Semi Rev'!L6,""),"")</f>
        <v/>
      </c>
      <c r="M433" s="31">
        <f>IFERROR(IF(AND(ISNUMBER('Semi Rev'!Q6),ISNUMBER('Semi Rev'!M6)),'Semi Rev'!Q6-'Semi Rev'!M6,""),"")</f>
        <v/>
      </c>
      <c r="N433" s="31">
        <f>IFERROR(IF(AND(ISNUMBER('Semi Rev'!R6),ISNUMBER('Semi Rev'!N6)),'Semi Rev'!R6-'Semi Rev'!N6,""),"")</f>
        <v/>
      </c>
    </row>
    <row r="434">
      <c r="A434" s="19">
        <f>'Semi Rev'!$A7</f>
        <v/>
      </c>
      <c r="B434" s="19">
        <f>'Semi Rev'!$B7</f>
        <v/>
      </c>
      <c r="C434" s="30">
        <f>IFERROR(IF(AND(ISNUMBER('Semi Rev'!G7),ISNUMBER('Semi Rev'!C7)),'Semi Rev'!G7-'Semi Rev'!C7,""),"")</f>
        <v/>
      </c>
      <c r="D434" s="30">
        <f>IFERROR(IF(AND(ISNUMBER('Semi Rev'!H7),ISNUMBER('Semi Rev'!D7)),'Semi Rev'!H7-'Semi Rev'!D7,""),"")</f>
        <v/>
      </c>
      <c r="E434" s="30">
        <f>IFERROR(IF(AND(ISNUMBER('Semi Rev'!I7),ISNUMBER('Semi Rev'!E7)),'Semi Rev'!I7-'Semi Rev'!E7,""),"")</f>
        <v/>
      </c>
      <c r="F434" s="30">
        <f>IFERROR(IF(AND(ISNUMBER('Semi Rev'!J7),ISNUMBER('Semi Rev'!F7)),'Semi Rev'!J7-'Semi Rev'!F7,""),"")</f>
        <v/>
      </c>
      <c r="G434" s="30">
        <f>IFERROR(IF(AND(ISNUMBER('Semi Rev'!K7),ISNUMBER('Semi Rev'!G7)),'Semi Rev'!K7-'Semi Rev'!G7,""),"")</f>
        <v/>
      </c>
      <c r="H434" s="30">
        <f>IFERROR(IF(AND(ISNUMBER('Semi Rev'!L7),ISNUMBER('Semi Rev'!H7)),'Semi Rev'!L7-'Semi Rev'!H7,""),"")</f>
        <v/>
      </c>
      <c r="I434" s="30">
        <f>IFERROR(IF(AND(ISNUMBER('Semi Rev'!M7),ISNUMBER('Semi Rev'!I7)),'Semi Rev'!M7-'Semi Rev'!I7,""),"")</f>
        <v/>
      </c>
      <c r="J434" s="30">
        <f>IFERROR(IF(AND(ISNUMBER('Semi Rev'!N7),ISNUMBER('Semi Rev'!J7)),'Semi Rev'!N7-'Semi Rev'!J7,""),"")</f>
        <v/>
      </c>
      <c r="K434" s="30">
        <f>IFERROR(IF(AND(ISNUMBER('Semi Rev'!O7),ISNUMBER('Semi Rev'!K7)),'Semi Rev'!O7-'Semi Rev'!K7,""),"")</f>
        <v/>
      </c>
      <c r="L434" s="30">
        <f>IFERROR(IF(AND(ISNUMBER('Semi Rev'!P7),ISNUMBER('Semi Rev'!L7)),'Semi Rev'!P7-'Semi Rev'!L7,""),"")</f>
        <v/>
      </c>
      <c r="M434" s="31">
        <f>IFERROR(IF(AND(ISNUMBER('Semi Rev'!Q7),ISNUMBER('Semi Rev'!M7)),'Semi Rev'!Q7-'Semi Rev'!M7,""),"")</f>
        <v/>
      </c>
      <c r="N434" s="31">
        <f>IFERROR(IF(AND(ISNUMBER('Semi Rev'!R7),ISNUMBER('Semi Rev'!N7)),'Semi Rev'!R7-'Semi Rev'!N7,""),"")</f>
        <v/>
      </c>
    </row>
    <row r="435">
      <c r="A435" s="19">
        <f>'Semi Rev'!$A8</f>
        <v/>
      </c>
      <c r="B435" s="19">
        <f>'Semi Rev'!$B8</f>
        <v/>
      </c>
      <c r="C435" s="30">
        <f>IFERROR(IF(AND(ISNUMBER('Semi Rev'!G8),ISNUMBER('Semi Rev'!C8)),'Semi Rev'!G8-'Semi Rev'!C8,""),"")</f>
        <v/>
      </c>
      <c r="D435" s="30">
        <f>IFERROR(IF(AND(ISNUMBER('Semi Rev'!H8),ISNUMBER('Semi Rev'!D8)),'Semi Rev'!H8-'Semi Rev'!D8,""),"")</f>
        <v/>
      </c>
      <c r="E435" s="30">
        <f>IFERROR(IF(AND(ISNUMBER('Semi Rev'!I8),ISNUMBER('Semi Rev'!E8)),'Semi Rev'!I8-'Semi Rev'!E8,""),"")</f>
        <v/>
      </c>
      <c r="F435" s="30">
        <f>IFERROR(IF(AND(ISNUMBER('Semi Rev'!J8),ISNUMBER('Semi Rev'!F8)),'Semi Rev'!J8-'Semi Rev'!F8,""),"")</f>
        <v/>
      </c>
      <c r="G435" s="30">
        <f>IFERROR(IF(AND(ISNUMBER('Semi Rev'!K8),ISNUMBER('Semi Rev'!G8)),'Semi Rev'!K8-'Semi Rev'!G8,""),"")</f>
        <v/>
      </c>
      <c r="H435" s="30">
        <f>IFERROR(IF(AND(ISNUMBER('Semi Rev'!L8),ISNUMBER('Semi Rev'!H8)),'Semi Rev'!L8-'Semi Rev'!H8,""),"")</f>
        <v/>
      </c>
      <c r="I435" s="30">
        <f>IFERROR(IF(AND(ISNUMBER('Semi Rev'!M8),ISNUMBER('Semi Rev'!I8)),'Semi Rev'!M8-'Semi Rev'!I8,""),"")</f>
        <v/>
      </c>
      <c r="J435" s="30">
        <f>IFERROR(IF(AND(ISNUMBER('Semi Rev'!N8),ISNUMBER('Semi Rev'!J8)),'Semi Rev'!N8-'Semi Rev'!J8,""),"")</f>
        <v/>
      </c>
      <c r="K435" s="30">
        <f>IFERROR(IF(AND(ISNUMBER('Semi Rev'!O8),ISNUMBER('Semi Rev'!K8)),'Semi Rev'!O8-'Semi Rev'!K8,""),"")</f>
        <v/>
      </c>
      <c r="L435" s="30">
        <f>IFERROR(IF(AND(ISNUMBER('Semi Rev'!P8),ISNUMBER('Semi Rev'!L8)),'Semi Rev'!P8-'Semi Rev'!L8,""),"")</f>
        <v/>
      </c>
      <c r="M435" s="31">
        <f>IFERROR(IF(AND(ISNUMBER('Semi Rev'!Q8),ISNUMBER('Semi Rev'!M8)),'Semi Rev'!Q8-'Semi Rev'!M8,""),"")</f>
        <v/>
      </c>
      <c r="N435" s="31">
        <f>IFERROR(IF(AND(ISNUMBER('Semi Rev'!R8),ISNUMBER('Semi Rev'!N8)),'Semi Rev'!R8-'Semi Rev'!N8,""),"")</f>
        <v/>
      </c>
    </row>
    <row r="436">
      <c r="A436" s="19">
        <f>'Semi Rev'!$A9</f>
        <v/>
      </c>
      <c r="B436" s="19">
        <f>'Semi Rev'!$B9</f>
        <v/>
      </c>
      <c r="C436" s="30">
        <f>IFERROR(IF(AND(ISNUMBER('Semi Rev'!G9),ISNUMBER('Semi Rev'!C9)),'Semi Rev'!G9-'Semi Rev'!C9,""),"")</f>
        <v/>
      </c>
      <c r="D436" s="30">
        <f>IFERROR(IF(AND(ISNUMBER('Semi Rev'!H9),ISNUMBER('Semi Rev'!D9)),'Semi Rev'!H9-'Semi Rev'!D9,""),"")</f>
        <v/>
      </c>
      <c r="E436" s="30">
        <f>IFERROR(IF(AND(ISNUMBER('Semi Rev'!I9),ISNUMBER('Semi Rev'!E9)),'Semi Rev'!I9-'Semi Rev'!E9,""),"")</f>
        <v/>
      </c>
      <c r="F436" s="30">
        <f>IFERROR(IF(AND(ISNUMBER('Semi Rev'!J9),ISNUMBER('Semi Rev'!F9)),'Semi Rev'!J9-'Semi Rev'!F9,""),"")</f>
        <v/>
      </c>
      <c r="G436" s="30">
        <f>IFERROR(IF(AND(ISNUMBER('Semi Rev'!K9),ISNUMBER('Semi Rev'!G9)),'Semi Rev'!K9-'Semi Rev'!G9,""),"")</f>
        <v/>
      </c>
      <c r="H436" s="30">
        <f>IFERROR(IF(AND(ISNUMBER('Semi Rev'!L9),ISNUMBER('Semi Rev'!H9)),'Semi Rev'!L9-'Semi Rev'!H9,""),"")</f>
        <v/>
      </c>
      <c r="I436" s="30">
        <f>IFERROR(IF(AND(ISNUMBER('Semi Rev'!M9),ISNUMBER('Semi Rev'!I9)),'Semi Rev'!M9-'Semi Rev'!I9,""),"")</f>
        <v/>
      </c>
      <c r="J436" s="30">
        <f>IFERROR(IF(AND(ISNUMBER('Semi Rev'!N9),ISNUMBER('Semi Rev'!J9)),'Semi Rev'!N9-'Semi Rev'!J9,""),"")</f>
        <v/>
      </c>
      <c r="K436" s="30">
        <f>IFERROR(IF(AND(ISNUMBER('Semi Rev'!O9),ISNUMBER('Semi Rev'!K9)),'Semi Rev'!O9-'Semi Rev'!K9,""),"")</f>
        <v/>
      </c>
      <c r="L436" s="30">
        <f>IFERROR(IF(AND(ISNUMBER('Semi Rev'!P9),ISNUMBER('Semi Rev'!L9)),'Semi Rev'!P9-'Semi Rev'!L9,""),"")</f>
        <v/>
      </c>
      <c r="M436" s="31">
        <f>IFERROR(IF(AND(ISNUMBER('Semi Rev'!Q9),ISNUMBER('Semi Rev'!M9)),'Semi Rev'!Q9-'Semi Rev'!M9,""),"")</f>
        <v/>
      </c>
      <c r="N436" s="31">
        <f>IFERROR(IF(AND(ISNUMBER('Semi Rev'!R9),ISNUMBER('Semi Rev'!N9)),'Semi Rev'!R9-'Semi Rev'!N9,""),"")</f>
        <v/>
      </c>
    </row>
    <row r="437">
      <c r="A437" s="19">
        <f>'Semi Rev'!$A10</f>
        <v/>
      </c>
      <c r="B437" s="19">
        <f>'Semi Rev'!$B10</f>
        <v/>
      </c>
      <c r="C437" s="30">
        <f>IFERROR(IF(AND(ISNUMBER('Semi Rev'!G10),ISNUMBER('Semi Rev'!C10)),'Semi Rev'!G10-'Semi Rev'!C10,""),"")</f>
        <v/>
      </c>
      <c r="D437" s="30">
        <f>IFERROR(IF(AND(ISNUMBER('Semi Rev'!H10),ISNUMBER('Semi Rev'!D10)),'Semi Rev'!H10-'Semi Rev'!D10,""),"")</f>
        <v/>
      </c>
      <c r="E437" s="30">
        <f>IFERROR(IF(AND(ISNUMBER('Semi Rev'!I10),ISNUMBER('Semi Rev'!E10)),'Semi Rev'!I10-'Semi Rev'!E10,""),"")</f>
        <v/>
      </c>
      <c r="F437" s="30">
        <f>IFERROR(IF(AND(ISNUMBER('Semi Rev'!J10),ISNUMBER('Semi Rev'!F10)),'Semi Rev'!J10-'Semi Rev'!F10,""),"")</f>
        <v/>
      </c>
      <c r="G437" s="30">
        <f>IFERROR(IF(AND(ISNUMBER('Semi Rev'!K10),ISNUMBER('Semi Rev'!G10)),'Semi Rev'!K10-'Semi Rev'!G10,""),"")</f>
        <v/>
      </c>
      <c r="H437" s="30">
        <f>IFERROR(IF(AND(ISNUMBER('Semi Rev'!L10),ISNUMBER('Semi Rev'!H10)),'Semi Rev'!L10-'Semi Rev'!H10,""),"")</f>
        <v/>
      </c>
      <c r="I437" s="30">
        <f>IFERROR(IF(AND(ISNUMBER('Semi Rev'!M10),ISNUMBER('Semi Rev'!I10)),'Semi Rev'!M10-'Semi Rev'!I10,""),"")</f>
        <v/>
      </c>
      <c r="J437" s="30">
        <f>IFERROR(IF(AND(ISNUMBER('Semi Rev'!N10),ISNUMBER('Semi Rev'!J10)),'Semi Rev'!N10-'Semi Rev'!J10,""),"")</f>
        <v/>
      </c>
      <c r="K437" s="30">
        <f>IFERROR(IF(AND(ISNUMBER('Semi Rev'!O10),ISNUMBER('Semi Rev'!K10)),'Semi Rev'!O10-'Semi Rev'!K10,""),"")</f>
        <v/>
      </c>
      <c r="L437" s="30">
        <f>IFERROR(IF(AND(ISNUMBER('Semi Rev'!P10),ISNUMBER('Semi Rev'!L10)),'Semi Rev'!P10-'Semi Rev'!L10,""),"")</f>
        <v/>
      </c>
      <c r="M437" s="31">
        <f>IFERROR(IF(AND(ISNUMBER('Semi Rev'!Q10),ISNUMBER('Semi Rev'!M10)),'Semi Rev'!Q10-'Semi Rev'!M10,""),"")</f>
        <v/>
      </c>
      <c r="N437" s="31">
        <f>IFERROR(IF(AND(ISNUMBER('Semi Rev'!R10),ISNUMBER('Semi Rev'!N10)),'Semi Rev'!R10-'Semi Rev'!N10,""),"")</f>
        <v/>
      </c>
    </row>
    <row r="438">
      <c r="A438" s="19">
        <f>'Semi Rev'!$A11</f>
        <v/>
      </c>
      <c r="B438" s="19">
        <f>'Semi Rev'!$B11</f>
        <v/>
      </c>
      <c r="C438" s="30">
        <f>IFERROR(IF(AND(ISNUMBER('Semi Rev'!G11),ISNUMBER('Semi Rev'!C11)),'Semi Rev'!G11-'Semi Rev'!C11,""),"")</f>
        <v/>
      </c>
      <c r="D438" s="30">
        <f>IFERROR(IF(AND(ISNUMBER('Semi Rev'!H11),ISNUMBER('Semi Rev'!D11)),'Semi Rev'!H11-'Semi Rev'!D11,""),"")</f>
        <v/>
      </c>
      <c r="E438" s="30">
        <f>IFERROR(IF(AND(ISNUMBER('Semi Rev'!I11),ISNUMBER('Semi Rev'!E11)),'Semi Rev'!I11-'Semi Rev'!E11,""),"")</f>
        <v/>
      </c>
      <c r="F438" s="30">
        <f>IFERROR(IF(AND(ISNUMBER('Semi Rev'!J11),ISNUMBER('Semi Rev'!F11)),'Semi Rev'!J11-'Semi Rev'!F11,""),"")</f>
        <v/>
      </c>
      <c r="G438" s="30">
        <f>IFERROR(IF(AND(ISNUMBER('Semi Rev'!K11),ISNUMBER('Semi Rev'!G11)),'Semi Rev'!K11-'Semi Rev'!G11,""),"")</f>
        <v/>
      </c>
      <c r="H438" s="30">
        <f>IFERROR(IF(AND(ISNUMBER('Semi Rev'!L11),ISNUMBER('Semi Rev'!H11)),'Semi Rev'!L11-'Semi Rev'!H11,""),"")</f>
        <v/>
      </c>
      <c r="I438" s="30">
        <f>IFERROR(IF(AND(ISNUMBER('Semi Rev'!M11),ISNUMBER('Semi Rev'!I11)),'Semi Rev'!M11-'Semi Rev'!I11,""),"")</f>
        <v/>
      </c>
      <c r="J438" s="30">
        <f>IFERROR(IF(AND(ISNUMBER('Semi Rev'!N11),ISNUMBER('Semi Rev'!J11)),'Semi Rev'!N11-'Semi Rev'!J11,""),"")</f>
        <v/>
      </c>
      <c r="K438" s="30">
        <f>IFERROR(IF(AND(ISNUMBER('Semi Rev'!O11),ISNUMBER('Semi Rev'!K11)),'Semi Rev'!O11-'Semi Rev'!K11,""),"")</f>
        <v/>
      </c>
      <c r="L438" s="30">
        <f>IFERROR(IF(AND(ISNUMBER('Semi Rev'!P11),ISNUMBER('Semi Rev'!L11)),'Semi Rev'!P11-'Semi Rev'!L11,""),"")</f>
        <v/>
      </c>
      <c r="M438" s="31">
        <f>IFERROR(IF(AND(ISNUMBER('Semi Rev'!Q11),ISNUMBER('Semi Rev'!M11)),'Semi Rev'!Q11-'Semi Rev'!M11,""),"")</f>
        <v/>
      </c>
      <c r="N438" s="31">
        <f>IFERROR(IF(AND(ISNUMBER('Semi Rev'!R11),ISNUMBER('Semi Rev'!N11)),'Semi Rev'!R11-'Semi Rev'!N11,""),"")</f>
        <v/>
      </c>
    </row>
    <row r="439">
      <c r="A439" s="19">
        <f>'Semi Rev'!$A12</f>
        <v/>
      </c>
      <c r="B439" s="19">
        <f>'Semi Rev'!$B12</f>
        <v/>
      </c>
      <c r="C439" s="30">
        <f>IFERROR(IF(AND(ISNUMBER('Semi Rev'!G12),ISNUMBER('Semi Rev'!C12)),'Semi Rev'!G12-'Semi Rev'!C12,""),"")</f>
        <v/>
      </c>
      <c r="D439" s="30">
        <f>IFERROR(IF(AND(ISNUMBER('Semi Rev'!H12),ISNUMBER('Semi Rev'!D12)),'Semi Rev'!H12-'Semi Rev'!D12,""),"")</f>
        <v/>
      </c>
      <c r="E439" s="30">
        <f>IFERROR(IF(AND(ISNUMBER('Semi Rev'!I12),ISNUMBER('Semi Rev'!E12)),'Semi Rev'!I12-'Semi Rev'!E12,""),"")</f>
        <v/>
      </c>
      <c r="F439" s="30">
        <f>IFERROR(IF(AND(ISNUMBER('Semi Rev'!J12),ISNUMBER('Semi Rev'!F12)),'Semi Rev'!J12-'Semi Rev'!F12,""),"")</f>
        <v/>
      </c>
      <c r="G439" s="30">
        <f>IFERROR(IF(AND(ISNUMBER('Semi Rev'!K12),ISNUMBER('Semi Rev'!G12)),'Semi Rev'!K12-'Semi Rev'!G12,""),"")</f>
        <v/>
      </c>
      <c r="H439" s="30">
        <f>IFERROR(IF(AND(ISNUMBER('Semi Rev'!L12),ISNUMBER('Semi Rev'!H12)),'Semi Rev'!L12-'Semi Rev'!H12,""),"")</f>
        <v/>
      </c>
      <c r="I439" s="30">
        <f>IFERROR(IF(AND(ISNUMBER('Semi Rev'!M12),ISNUMBER('Semi Rev'!I12)),'Semi Rev'!M12-'Semi Rev'!I12,""),"")</f>
        <v/>
      </c>
      <c r="J439" s="30">
        <f>IFERROR(IF(AND(ISNUMBER('Semi Rev'!N12),ISNUMBER('Semi Rev'!J12)),'Semi Rev'!N12-'Semi Rev'!J12,""),"")</f>
        <v/>
      </c>
      <c r="K439" s="30">
        <f>IFERROR(IF(AND(ISNUMBER('Semi Rev'!O12),ISNUMBER('Semi Rev'!K12)),'Semi Rev'!O12-'Semi Rev'!K12,""),"")</f>
        <v/>
      </c>
      <c r="L439" s="30">
        <f>IFERROR(IF(AND(ISNUMBER('Semi Rev'!P12),ISNUMBER('Semi Rev'!L12)),'Semi Rev'!P12-'Semi Rev'!L12,""),"")</f>
        <v/>
      </c>
      <c r="M439" s="31">
        <f>IFERROR(IF(AND(ISNUMBER('Semi Rev'!Q12),ISNUMBER('Semi Rev'!M12)),'Semi Rev'!Q12-'Semi Rev'!M12,""),"")</f>
        <v/>
      </c>
      <c r="N439" s="31">
        <f>IFERROR(IF(AND(ISNUMBER('Semi Rev'!R12),ISNUMBER('Semi Rev'!N12)),'Semi Rev'!R12-'Semi Rev'!N12,""),"")</f>
        <v/>
      </c>
    </row>
    <row r="440">
      <c r="A440" s="19">
        <f>'Semi Rev'!$A13</f>
        <v/>
      </c>
      <c r="B440" s="19">
        <f>'Semi Rev'!$B13</f>
        <v/>
      </c>
      <c r="C440" s="30">
        <f>IFERROR(IF(AND(ISNUMBER('Semi Rev'!G13),ISNUMBER('Semi Rev'!C13)),'Semi Rev'!G13-'Semi Rev'!C13,""),"")</f>
        <v/>
      </c>
      <c r="D440" s="30">
        <f>IFERROR(IF(AND(ISNUMBER('Semi Rev'!H13),ISNUMBER('Semi Rev'!D13)),'Semi Rev'!H13-'Semi Rev'!D13,""),"")</f>
        <v/>
      </c>
      <c r="E440" s="30">
        <f>IFERROR(IF(AND(ISNUMBER('Semi Rev'!I13),ISNUMBER('Semi Rev'!E13)),'Semi Rev'!I13-'Semi Rev'!E13,""),"")</f>
        <v/>
      </c>
      <c r="F440" s="30">
        <f>IFERROR(IF(AND(ISNUMBER('Semi Rev'!J13),ISNUMBER('Semi Rev'!F13)),'Semi Rev'!J13-'Semi Rev'!F13,""),"")</f>
        <v/>
      </c>
      <c r="G440" s="30">
        <f>IFERROR(IF(AND(ISNUMBER('Semi Rev'!K13),ISNUMBER('Semi Rev'!G13)),'Semi Rev'!K13-'Semi Rev'!G13,""),"")</f>
        <v/>
      </c>
      <c r="H440" s="30">
        <f>IFERROR(IF(AND(ISNUMBER('Semi Rev'!L13),ISNUMBER('Semi Rev'!H13)),'Semi Rev'!L13-'Semi Rev'!H13,""),"")</f>
        <v/>
      </c>
      <c r="I440" s="30">
        <f>IFERROR(IF(AND(ISNUMBER('Semi Rev'!M13),ISNUMBER('Semi Rev'!I13)),'Semi Rev'!M13-'Semi Rev'!I13,""),"")</f>
        <v/>
      </c>
      <c r="J440" s="30">
        <f>IFERROR(IF(AND(ISNUMBER('Semi Rev'!N13),ISNUMBER('Semi Rev'!J13)),'Semi Rev'!N13-'Semi Rev'!J13,""),"")</f>
        <v/>
      </c>
      <c r="K440" s="30">
        <f>IFERROR(IF(AND(ISNUMBER('Semi Rev'!O13),ISNUMBER('Semi Rev'!K13)),'Semi Rev'!O13-'Semi Rev'!K13,""),"")</f>
        <v/>
      </c>
      <c r="L440" s="30">
        <f>IFERROR(IF(AND(ISNUMBER('Semi Rev'!P13),ISNUMBER('Semi Rev'!L13)),'Semi Rev'!P13-'Semi Rev'!L13,""),"")</f>
        <v/>
      </c>
      <c r="M440" s="31">
        <f>IFERROR(IF(AND(ISNUMBER('Semi Rev'!Q13),ISNUMBER('Semi Rev'!M13)),'Semi Rev'!Q13-'Semi Rev'!M13,""),"")</f>
        <v/>
      </c>
      <c r="N440" s="31">
        <f>IFERROR(IF(AND(ISNUMBER('Semi Rev'!R13),ISNUMBER('Semi Rev'!N13)),'Semi Rev'!R13-'Semi Rev'!N13,""),"")</f>
        <v/>
      </c>
    </row>
    <row r="441">
      <c r="A441" s="19">
        <f>'Semi Rev'!$A14</f>
        <v/>
      </c>
      <c r="B441" s="19">
        <f>'Semi Rev'!$B14</f>
        <v/>
      </c>
      <c r="C441" s="30">
        <f>IFERROR(IF(AND(ISNUMBER('Semi Rev'!G14),ISNUMBER('Semi Rev'!C14)),'Semi Rev'!G14-'Semi Rev'!C14,""),"")</f>
        <v/>
      </c>
      <c r="D441" s="30">
        <f>IFERROR(IF(AND(ISNUMBER('Semi Rev'!H14),ISNUMBER('Semi Rev'!D14)),'Semi Rev'!H14-'Semi Rev'!D14,""),"")</f>
        <v/>
      </c>
      <c r="E441" s="30">
        <f>IFERROR(IF(AND(ISNUMBER('Semi Rev'!I14),ISNUMBER('Semi Rev'!E14)),'Semi Rev'!I14-'Semi Rev'!E14,""),"")</f>
        <v/>
      </c>
      <c r="F441" s="30">
        <f>IFERROR(IF(AND(ISNUMBER('Semi Rev'!J14),ISNUMBER('Semi Rev'!F14)),'Semi Rev'!J14-'Semi Rev'!F14,""),"")</f>
        <v/>
      </c>
      <c r="G441" s="30">
        <f>IFERROR(IF(AND(ISNUMBER('Semi Rev'!K14),ISNUMBER('Semi Rev'!G14)),'Semi Rev'!K14-'Semi Rev'!G14,""),"")</f>
        <v/>
      </c>
      <c r="H441" s="30">
        <f>IFERROR(IF(AND(ISNUMBER('Semi Rev'!L14),ISNUMBER('Semi Rev'!H14)),'Semi Rev'!L14-'Semi Rev'!H14,""),"")</f>
        <v/>
      </c>
      <c r="I441" s="30">
        <f>IFERROR(IF(AND(ISNUMBER('Semi Rev'!M14),ISNUMBER('Semi Rev'!I14)),'Semi Rev'!M14-'Semi Rev'!I14,""),"")</f>
        <v/>
      </c>
      <c r="J441" s="30">
        <f>IFERROR(IF(AND(ISNUMBER('Semi Rev'!N14),ISNUMBER('Semi Rev'!J14)),'Semi Rev'!N14-'Semi Rev'!J14,""),"")</f>
        <v/>
      </c>
      <c r="K441" s="30">
        <f>IFERROR(IF(AND(ISNUMBER('Semi Rev'!O14),ISNUMBER('Semi Rev'!K14)),'Semi Rev'!O14-'Semi Rev'!K14,""),"")</f>
        <v/>
      </c>
      <c r="L441" s="30">
        <f>IFERROR(IF(AND(ISNUMBER('Semi Rev'!P14),ISNUMBER('Semi Rev'!L14)),'Semi Rev'!P14-'Semi Rev'!L14,""),"")</f>
        <v/>
      </c>
      <c r="M441" s="31">
        <f>IFERROR(IF(AND(ISNUMBER('Semi Rev'!Q14),ISNUMBER('Semi Rev'!M14)),'Semi Rev'!Q14-'Semi Rev'!M14,""),"")</f>
        <v/>
      </c>
      <c r="N441" s="31">
        <f>IFERROR(IF(AND(ISNUMBER('Semi Rev'!R14),ISNUMBER('Semi Rev'!N14)),'Semi Rev'!R14-'Semi Rev'!N14,""),"")</f>
        <v/>
      </c>
    </row>
    <row r="442">
      <c r="A442" s="19">
        <f>'Semi Rev'!$A15</f>
        <v/>
      </c>
      <c r="B442" s="19">
        <f>'Semi Rev'!$B15</f>
        <v/>
      </c>
      <c r="C442" s="30">
        <f>IFERROR(IF(AND(ISNUMBER('Semi Rev'!G15),ISNUMBER('Semi Rev'!C15)),'Semi Rev'!G15-'Semi Rev'!C15,""),"")</f>
        <v/>
      </c>
      <c r="D442" s="30">
        <f>IFERROR(IF(AND(ISNUMBER('Semi Rev'!H15),ISNUMBER('Semi Rev'!D15)),'Semi Rev'!H15-'Semi Rev'!D15,""),"")</f>
        <v/>
      </c>
      <c r="E442" s="30">
        <f>IFERROR(IF(AND(ISNUMBER('Semi Rev'!I15),ISNUMBER('Semi Rev'!E15)),'Semi Rev'!I15-'Semi Rev'!E15,""),"")</f>
        <v/>
      </c>
      <c r="F442" s="30">
        <f>IFERROR(IF(AND(ISNUMBER('Semi Rev'!J15),ISNUMBER('Semi Rev'!F15)),'Semi Rev'!J15-'Semi Rev'!F15,""),"")</f>
        <v/>
      </c>
      <c r="G442" s="30">
        <f>IFERROR(IF(AND(ISNUMBER('Semi Rev'!K15),ISNUMBER('Semi Rev'!G15)),'Semi Rev'!K15-'Semi Rev'!G15,""),"")</f>
        <v/>
      </c>
      <c r="H442" s="30">
        <f>IFERROR(IF(AND(ISNUMBER('Semi Rev'!L15),ISNUMBER('Semi Rev'!H15)),'Semi Rev'!L15-'Semi Rev'!H15,""),"")</f>
        <v/>
      </c>
      <c r="I442" s="30">
        <f>IFERROR(IF(AND(ISNUMBER('Semi Rev'!M15),ISNUMBER('Semi Rev'!I15)),'Semi Rev'!M15-'Semi Rev'!I15,""),"")</f>
        <v/>
      </c>
      <c r="J442" s="30">
        <f>IFERROR(IF(AND(ISNUMBER('Semi Rev'!N15),ISNUMBER('Semi Rev'!J15)),'Semi Rev'!N15-'Semi Rev'!J15,""),"")</f>
        <v/>
      </c>
      <c r="K442" s="30">
        <f>IFERROR(IF(AND(ISNUMBER('Semi Rev'!O15),ISNUMBER('Semi Rev'!K15)),'Semi Rev'!O15-'Semi Rev'!K15,""),"")</f>
        <v/>
      </c>
      <c r="L442" s="30">
        <f>IFERROR(IF(AND(ISNUMBER('Semi Rev'!P15),ISNUMBER('Semi Rev'!L15)),'Semi Rev'!P15-'Semi Rev'!L15,""),"")</f>
        <v/>
      </c>
      <c r="M442" s="31">
        <f>IFERROR(IF(AND(ISNUMBER('Semi Rev'!Q15),ISNUMBER('Semi Rev'!M15)),'Semi Rev'!Q15-'Semi Rev'!M15,""),"")</f>
        <v/>
      </c>
      <c r="N442" s="31">
        <f>IFERROR(IF(AND(ISNUMBER('Semi Rev'!R15),ISNUMBER('Semi Rev'!N15)),'Semi Rev'!R15-'Semi Rev'!N15,""),"")</f>
        <v/>
      </c>
    </row>
    <row r="443">
      <c r="A443" s="19">
        <f>'Semi Rev'!$A16</f>
        <v/>
      </c>
      <c r="B443" s="19">
        <f>'Semi Rev'!$B16</f>
        <v/>
      </c>
      <c r="C443" s="30">
        <f>IFERROR(IF(AND(ISNUMBER('Semi Rev'!G16),ISNUMBER('Semi Rev'!C16)),'Semi Rev'!G16-'Semi Rev'!C16,""),"")</f>
        <v/>
      </c>
      <c r="D443" s="30">
        <f>IFERROR(IF(AND(ISNUMBER('Semi Rev'!H16),ISNUMBER('Semi Rev'!D16)),'Semi Rev'!H16-'Semi Rev'!D16,""),"")</f>
        <v/>
      </c>
      <c r="E443" s="30">
        <f>IFERROR(IF(AND(ISNUMBER('Semi Rev'!I16),ISNUMBER('Semi Rev'!E16)),'Semi Rev'!I16-'Semi Rev'!E16,""),"")</f>
        <v/>
      </c>
      <c r="F443" s="30">
        <f>IFERROR(IF(AND(ISNUMBER('Semi Rev'!J16),ISNUMBER('Semi Rev'!F16)),'Semi Rev'!J16-'Semi Rev'!F16,""),"")</f>
        <v/>
      </c>
      <c r="G443" s="30">
        <f>IFERROR(IF(AND(ISNUMBER('Semi Rev'!K16),ISNUMBER('Semi Rev'!G16)),'Semi Rev'!K16-'Semi Rev'!G16,""),"")</f>
        <v/>
      </c>
      <c r="H443" s="30">
        <f>IFERROR(IF(AND(ISNUMBER('Semi Rev'!L16),ISNUMBER('Semi Rev'!H16)),'Semi Rev'!L16-'Semi Rev'!H16,""),"")</f>
        <v/>
      </c>
      <c r="I443" s="30">
        <f>IFERROR(IF(AND(ISNUMBER('Semi Rev'!M16),ISNUMBER('Semi Rev'!I16)),'Semi Rev'!M16-'Semi Rev'!I16,""),"")</f>
        <v/>
      </c>
      <c r="J443" s="30">
        <f>IFERROR(IF(AND(ISNUMBER('Semi Rev'!N16),ISNUMBER('Semi Rev'!J16)),'Semi Rev'!N16-'Semi Rev'!J16,""),"")</f>
        <v/>
      </c>
      <c r="K443" s="30">
        <f>IFERROR(IF(AND(ISNUMBER('Semi Rev'!O16),ISNUMBER('Semi Rev'!K16)),'Semi Rev'!O16-'Semi Rev'!K16,""),"")</f>
        <v/>
      </c>
      <c r="L443" s="30">
        <f>IFERROR(IF(AND(ISNUMBER('Semi Rev'!P16),ISNUMBER('Semi Rev'!L16)),'Semi Rev'!P16-'Semi Rev'!L16,""),"")</f>
        <v/>
      </c>
      <c r="M443" s="31">
        <f>IFERROR(IF(AND(ISNUMBER('Semi Rev'!Q16),ISNUMBER('Semi Rev'!M16)),'Semi Rev'!Q16-'Semi Rev'!M16,""),"")</f>
        <v/>
      </c>
      <c r="N443" s="31">
        <f>IFERROR(IF(AND(ISNUMBER('Semi Rev'!R16),ISNUMBER('Semi Rev'!N16)),'Semi Rev'!R16-'Semi Rev'!N16,""),"")</f>
        <v/>
      </c>
    </row>
    <row r="444">
      <c r="A444" s="19">
        <f>'Semi Rev'!$A17</f>
        <v/>
      </c>
      <c r="B444" s="19">
        <f>'Semi Rev'!$B17</f>
        <v/>
      </c>
      <c r="C444" s="30">
        <f>IFERROR(IF(AND(ISNUMBER('Semi Rev'!G17),ISNUMBER('Semi Rev'!C17)),'Semi Rev'!G17-'Semi Rev'!C17,""),"")</f>
        <v/>
      </c>
      <c r="D444" s="30">
        <f>IFERROR(IF(AND(ISNUMBER('Semi Rev'!H17),ISNUMBER('Semi Rev'!D17)),'Semi Rev'!H17-'Semi Rev'!D17,""),"")</f>
        <v/>
      </c>
      <c r="E444" s="30">
        <f>IFERROR(IF(AND(ISNUMBER('Semi Rev'!I17),ISNUMBER('Semi Rev'!E17)),'Semi Rev'!I17-'Semi Rev'!E17,""),"")</f>
        <v/>
      </c>
      <c r="F444" s="30">
        <f>IFERROR(IF(AND(ISNUMBER('Semi Rev'!J17),ISNUMBER('Semi Rev'!F17)),'Semi Rev'!J17-'Semi Rev'!F17,""),"")</f>
        <v/>
      </c>
      <c r="G444" s="30">
        <f>IFERROR(IF(AND(ISNUMBER('Semi Rev'!K17),ISNUMBER('Semi Rev'!G17)),'Semi Rev'!K17-'Semi Rev'!G17,""),"")</f>
        <v/>
      </c>
      <c r="H444" s="30">
        <f>IFERROR(IF(AND(ISNUMBER('Semi Rev'!L17),ISNUMBER('Semi Rev'!H17)),'Semi Rev'!L17-'Semi Rev'!H17,""),"")</f>
        <v/>
      </c>
      <c r="I444" s="30">
        <f>IFERROR(IF(AND(ISNUMBER('Semi Rev'!M17),ISNUMBER('Semi Rev'!I17)),'Semi Rev'!M17-'Semi Rev'!I17,""),"")</f>
        <v/>
      </c>
      <c r="J444" s="30">
        <f>IFERROR(IF(AND(ISNUMBER('Semi Rev'!N17),ISNUMBER('Semi Rev'!J17)),'Semi Rev'!N17-'Semi Rev'!J17,""),"")</f>
        <v/>
      </c>
      <c r="K444" s="30">
        <f>IFERROR(IF(AND(ISNUMBER('Semi Rev'!O17),ISNUMBER('Semi Rev'!K17)),'Semi Rev'!O17-'Semi Rev'!K17,""),"")</f>
        <v/>
      </c>
      <c r="L444" s="30">
        <f>IFERROR(IF(AND(ISNUMBER('Semi Rev'!P17),ISNUMBER('Semi Rev'!L17)),'Semi Rev'!P17-'Semi Rev'!L17,""),"")</f>
        <v/>
      </c>
      <c r="M444" s="31">
        <f>IFERROR(IF(AND(ISNUMBER('Semi Rev'!Q17),ISNUMBER('Semi Rev'!M17)),'Semi Rev'!Q17-'Semi Rev'!M17,""),"")</f>
        <v/>
      </c>
      <c r="N444" s="31">
        <f>IFERROR(IF(AND(ISNUMBER('Semi Rev'!R17),ISNUMBER('Semi Rev'!N17)),'Semi Rev'!R17-'Semi Rev'!N17,""),"")</f>
        <v/>
      </c>
    </row>
    <row r="445">
      <c r="A445" s="19">
        <f>'Semi Rev'!$A18</f>
        <v/>
      </c>
      <c r="B445" s="19">
        <f>'Semi Rev'!$B18</f>
        <v/>
      </c>
      <c r="C445" s="30">
        <f>IFERROR(IF(AND(ISNUMBER('Semi Rev'!G18),ISNUMBER('Semi Rev'!C18)),'Semi Rev'!G18-'Semi Rev'!C18,""),"")</f>
        <v/>
      </c>
      <c r="D445" s="30">
        <f>IFERROR(IF(AND(ISNUMBER('Semi Rev'!H18),ISNUMBER('Semi Rev'!D18)),'Semi Rev'!H18-'Semi Rev'!D18,""),"")</f>
        <v/>
      </c>
      <c r="E445" s="30">
        <f>IFERROR(IF(AND(ISNUMBER('Semi Rev'!I18),ISNUMBER('Semi Rev'!E18)),'Semi Rev'!I18-'Semi Rev'!E18,""),"")</f>
        <v/>
      </c>
      <c r="F445" s="30">
        <f>IFERROR(IF(AND(ISNUMBER('Semi Rev'!J18),ISNUMBER('Semi Rev'!F18)),'Semi Rev'!J18-'Semi Rev'!F18,""),"")</f>
        <v/>
      </c>
      <c r="G445" s="30">
        <f>IFERROR(IF(AND(ISNUMBER('Semi Rev'!K18),ISNUMBER('Semi Rev'!G18)),'Semi Rev'!K18-'Semi Rev'!G18,""),"")</f>
        <v/>
      </c>
      <c r="H445" s="30">
        <f>IFERROR(IF(AND(ISNUMBER('Semi Rev'!L18),ISNUMBER('Semi Rev'!H18)),'Semi Rev'!L18-'Semi Rev'!H18,""),"")</f>
        <v/>
      </c>
      <c r="I445" s="30">
        <f>IFERROR(IF(AND(ISNUMBER('Semi Rev'!M18),ISNUMBER('Semi Rev'!I18)),'Semi Rev'!M18-'Semi Rev'!I18,""),"")</f>
        <v/>
      </c>
      <c r="J445" s="30">
        <f>IFERROR(IF(AND(ISNUMBER('Semi Rev'!N18),ISNUMBER('Semi Rev'!J18)),'Semi Rev'!N18-'Semi Rev'!J18,""),"")</f>
        <v/>
      </c>
      <c r="K445" s="30">
        <f>IFERROR(IF(AND(ISNUMBER('Semi Rev'!O18),ISNUMBER('Semi Rev'!K18)),'Semi Rev'!O18-'Semi Rev'!K18,""),"")</f>
        <v/>
      </c>
      <c r="L445" s="30">
        <f>IFERROR(IF(AND(ISNUMBER('Semi Rev'!P18),ISNUMBER('Semi Rev'!L18)),'Semi Rev'!P18-'Semi Rev'!L18,""),"")</f>
        <v/>
      </c>
      <c r="M445" s="31">
        <f>IFERROR(IF(AND(ISNUMBER('Semi Rev'!Q18),ISNUMBER('Semi Rev'!M18)),'Semi Rev'!Q18-'Semi Rev'!M18,""),"")</f>
        <v/>
      </c>
      <c r="N445" s="31">
        <f>IFERROR(IF(AND(ISNUMBER('Semi Rev'!R18),ISNUMBER('Semi Rev'!N18)),'Semi Rev'!R18-'Semi Rev'!N18,""),"")</f>
        <v/>
      </c>
    </row>
    <row r="446">
      <c r="A446" s="19">
        <f>'Semi Rev'!$A19</f>
        <v/>
      </c>
      <c r="B446" s="19">
        <f>'Semi Rev'!$B19</f>
        <v/>
      </c>
      <c r="C446" s="30">
        <f>IFERROR(IF(AND(ISNUMBER('Semi Rev'!G19),ISNUMBER('Semi Rev'!C19)),'Semi Rev'!G19-'Semi Rev'!C19,""),"")</f>
        <v/>
      </c>
      <c r="D446" s="30">
        <f>IFERROR(IF(AND(ISNUMBER('Semi Rev'!H19),ISNUMBER('Semi Rev'!D19)),'Semi Rev'!H19-'Semi Rev'!D19,""),"")</f>
        <v/>
      </c>
      <c r="E446" s="30">
        <f>IFERROR(IF(AND(ISNUMBER('Semi Rev'!I19),ISNUMBER('Semi Rev'!E19)),'Semi Rev'!I19-'Semi Rev'!E19,""),"")</f>
        <v/>
      </c>
      <c r="F446" s="30">
        <f>IFERROR(IF(AND(ISNUMBER('Semi Rev'!J19),ISNUMBER('Semi Rev'!F19)),'Semi Rev'!J19-'Semi Rev'!F19,""),"")</f>
        <v/>
      </c>
      <c r="G446" s="30">
        <f>IFERROR(IF(AND(ISNUMBER('Semi Rev'!K19),ISNUMBER('Semi Rev'!G19)),'Semi Rev'!K19-'Semi Rev'!G19,""),"")</f>
        <v/>
      </c>
      <c r="H446" s="30">
        <f>IFERROR(IF(AND(ISNUMBER('Semi Rev'!L19),ISNUMBER('Semi Rev'!H19)),'Semi Rev'!L19-'Semi Rev'!H19,""),"")</f>
        <v/>
      </c>
      <c r="I446" s="30">
        <f>IFERROR(IF(AND(ISNUMBER('Semi Rev'!M19),ISNUMBER('Semi Rev'!I19)),'Semi Rev'!M19-'Semi Rev'!I19,""),"")</f>
        <v/>
      </c>
      <c r="J446" s="30">
        <f>IFERROR(IF(AND(ISNUMBER('Semi Rev'!N19),ISNUMBER('Semi Rev'!J19)),'Semi Rev'!N19-'Semi Rev'!J19,""),"")</f>
        <v/>
      </c>
      <c r="K446" s="30">
        <f>IFERROR(IF(AND(ISNUMBER('Semi Rev'!O19),ISNUMBER('Semi Rev'!K19)),'Semi Rev'!O19-'Semi Rev'!K19,""),"")</f>
        <v/>
      </c>
      <c r="L446" s="30">
        <f>IFERROR(IF(AND(ISNUMBER('Semi Rev'!P19),ISNUMBER('Semi Rev'!L19)),'Semi Rev'!P19-'Semi Rev'!L19,""),"")</f>
        <v/>
      </c>
      <c r="M446" s="31">
        <f>IFERROR(IF(AND(ISNUMBER('Semi Rev'!Q19),ISNUMBER('Semi Rev'!M19)),'Semi Rev'!Q19-'Semi Rev'!M19,""),"")</f>
        <v/>
      </c>
      <c r="N446" s="31">
        <f>IFERROR(IF(AND(ISNUMBER('Semi Rev'!R19),ISNUMBER('Semi Rev'!N19)),'Semi Rev'!R19-'Semi Rev'!N19,""),"")</f>
        <v/>
      </c>
    </row>
    <row r="447">
      <c r="A447" s="19">
        <f>'Semi Rev'!$A20</f>
        <v/>
      </c>
      <c r="B447" s="19">
        <f>'Semi Rev'!$B20</f>
        <v/>
      </c>
      <c r="C447" s="30">
        <f>IFERROR(IF(AND(ISNUMBER('Semi Rev'!G20),ISNUMBER('Semi Rev'!C20)),'Semi Rev'!G20-'Semi Rev'!C20,""),"")</f>
        <v/>
      </c>
      <c r="D447" s="30">
        <f>IFERROR(IF(AND(ISNUMBER('Semi Rev'!H20),ISNUMBER('Semi Rev'!D20)),'Semi Rev'!H20-'Semi Rev'!D20,""),"")</f>
        <v/>
      </c>
      <c r="E447" s="30">
        <f>IFERROR(IF(AND(ISNUMBER('Semi Rev'!I20),ISNUMBER('Semi Rev'!E20)),'Semi Rev'!I20-'Semi Rev'!E20,""),"")</f>
        <v/>
      </c>
      <c r="F447" s="30">
        <f>IFERROR(IF(AND(ISNUMBER('Semi Rev'!J20),ISNUMBER('Semi Rev'!F20)),'Semi Rev'!J20-'Semi Rev'!F20,""),"")</f>
        <v/>
      </c>
      <c r="G447" s="30">
        <f>IFERROR(IF(AND(ISNUMBER('Semi Rev'!K20),ISNUMBER('Semi Rev'!G20)),'Semi Rev'!K20-'Semi Rev'!G20,""),"")</f>
        <v/>
      </c>
      <c r="H447" s="30">
        <f>IFERROR(IF(AND(ISNUMBER('Semi Rev'!L20),ISNUMBER('Semi Rev'!H20)),'Semi Rev'!L20-'Semi Rev'!H20,""),"")</f>
        <v/>
      </c>
      <c r="I447" s="30">
        <f>IFERROR(IF(AND(ISNUMBER('Semi Rev'!M20),ISNUMBER('Semi Rev'!I20)),'Semi Rev'!M20-'Semi Rev'!I20,""),"")</f>
        <v/>
      </c>
      <c r="J447" s="30">
        <f>IFERROR(IF(AND(ISNUMBER('Semi Rev'!N20),ISNUMBER('Semi Rev'!J20)),'Semi Rev'!N20-'Semi Rev'!J20,""),"")</f>
        <v/>
      </c>
      <c r="K447" s="30">
        <f>IFERROR(IF(AND(ISNUMBER('Semi Rev'!O20),ISNUMBER('Semi Rev'!K20)),'Semi Rev'!O20-'Semi Rev'!K20,""),"")</f>
        <v/>
      </c>
      <c r="L447" s="30">
        <f>IFERROR(IF(AND(ISNUMBER('Semi Rev'!P20),ISNUMBER('Semi Rev'!L20)),'Semi Rev'!P20-'Semi Rev'!L20,""),"")</f>
        <v/>
      </c>
      <c r="M447" s="31">
        <f>IFERROR(IF(AND(ISNUMBER('Semi Rev'!Q20),ISNUMBER('Semi Rev'!M20)),'Semi Rev'!Q20-'Semi Rev'!M20,""),"")</f>
        <v/>
      </c>
      <c r="N447" s="31">
        <f>IFERROR(IF(AND(ISNUMBER('Semi Rev'!R20),ISNUMBER('Semi Rev'!N20)),'Semi Rev'!R20-'Semi Rev'!N20,""),"")</f>
        <v/>
      </c>
    </row>
    <row r="448">
      <c r="A448" s="19">
        <f>'Semi Rev'!$A21</f>
        <v/>
      </c>
      <c r="B448" s="19">
        <f>'Semi Rev'!$B21</f>
        <v/>
      </c>
      <c r="C448" s="30">
        <f>IFERROR(IF(AND(ISNUMBER('Semi Rev'!G21),ISNUMBER('Semi Rev'!C21)),'Semi Rev'!G21-'Semi Rev'!C21,""),"")</f>
        <v/>
      </c>
      <c r="D448" s="30">
        <f>IFERROR(IF(AND(ISNUMBER('Semi Rev'!H21),ISNUMBER('Semi Rev'!D21)),'Semi Rev'!H21-'Semi Rev'!D21,""),"")</f>
        <v/>
      </c>
      <c r="E448" s="30">
        <f>IFERROR(IF(AND(ISNUMBER('Semi Rev'!I21),ISNUMBER('Semi Rev'!E21)),'Semi Rev'!I21-'Semi Rev'!E21,""),"")</f>
        <v/>
      </c>
      <c r="F448" s="30">
        <f>IFERROR(IF(AND(ISNUMBER('Semi Rev'!J21),ISNUMBER('Semi Rev'!F21)),'Semi Rev'!J21-'Semi Rev'!F21,""),"")</f>
        <v/>
      </c>
      <c r="G448" s="30">
        <f>IFERROR(IF(AND(ISNUMBER('Semi Rev'!K21),ISNUMBER('Semi Rev'!G21)),'Semi Rev'!K21-'Semi Rev'!G21,""),"")</f>
        <v/>
      </c>
      <c r="H448" s="30">
        <f>IFERROR(IF(AND(ISNUMBER('Semi Rev'!L21),ISNUMBER('Semi Rev'!H21)),'Semi Rev'!L21-'Semi Rev'!H21,""),"")</f>
        <v/>
      </c>
      <c r="I448" s="30">
        <f>IFERROR(IF(AND(ISNUMBER('Semi Rev'!M21),ISNUMBER('Semi Rev'!I21)),'Semi Rev'!M21-'Semi Rev'!I21,""),"")</f>
        <v/>
      </c>
      <c r="J448" s="30">
        <f>IFERROR(IF(AND(ISNUMBER('Semi Rev'!N21),ISNUMBER('Semi Rev'!J21)),'Semi Rev'!N21-'Semi Rev'!J21,""),"")</f>
        <v/>
      </c>
      <c r="K448" s="30">
        <f>IFERROR(IF(AND(ISNUMBER('Semi Rev'!O21),ISNUMBER('Semi Rev'!K21)),'Semi Rev'!O21-'Semi Rev'!K21,""),"")</f>
        <v/>
      </c>
      <c r="L448" s="30">
        <f>IFERROR(IF(AND(ISNUMBER('Semi Rev'!P21),ISNUMBER('Semi Rev'!L21)),'Semi Rev'!P21-'Semi Rev'!L21,""),"")</f>
        <v/>
      </c>
      <c r="M448" s="31">
        <f>IFERROR(IF(AND(ISNUMBER('Semi Rev'!Q21),ISNUMBER('Semi Rev'!M21)),'Semi Rev'!Q21-'Semi Rev'!M21,""),"")</f>
        <v/>
      </c>
      <c r="N448" s="31">
        <f>IFERROR(IF(AND(ISNUMBER('Semi Rev'!R21),ISNUMBER('Semi Rev'!N21)),'Semi Rev'!R21-'Semi Rev'!N21,""),"")</f>
        <v/>
      </c>
    </row>
    <row r="449">
      <c r="A449" s="19">
        <f>'Semi Rev'!$A22</f>
        <v/>
      </c>
      <c r="B449" s="19">
        <f>'Semi Rev'!$B22</f>
        <v/>
      </c>
      <c r="C449" s="30">
        <f>IFERROR(IF(AND(ISNUMBER('Semi Rev'!G22),ISNUMBER('Semi Rev'!C22)),'Semi Rev'!G22-'Semi Rev'!C22,""),"")</f>
        <v/>
      </c>
      <c r="D449" s="30">
        <f>IFERROR(IF(AND(ISNUMBER('Semi Rev'!H22),ISNUMBER('Semi Rev'!D22)),'Semi Rev'!H22-'Semi Rev'!D22,""),"")</f>
        <v/>
      </c>
      <c r="E449" s="30">
        <f>IFERROR(IF(AND(ISNUMBER('Semi Rev'!I22),ISNUMBER('Semi Rev'!E22)),'Semi Rev'!I22-'Semi Rev'!E22,""),"")</f>
        <v/>
      </c>
      <c r="F449" s="30">
        <f>IFERROR(IF(AND(ISNUMBER('Semi Rev'!J22),ISNUMBER('Semi Rev'!F22)),'Semi Rev'!J22-'Semi Rev'!F22,""),"")</f>
        <v/>
      </c>
      <c r="G449" s="30">
        <f>IFERROR(IF(AND(ISNUMBER('Semi Rev'!K22),ISNUMBER('Semi Rev'!G22)),'Semi Rev'!K22-'Semi Rev'!G22,""),"")</f>
        <v/>
      </c>
      <c r="H449" s="30">
        <f>IFERROR(IF(AND(ISNUMBER('Semi Rev'!L22),ISNUMBER('Semi Rev'!H22)),'Semi Rev'!L22-'Semi Rev'!H22,""),"")</f>
        <v/>
      </c>
      <c r="I449" s="30">
        <f>IFERROR(IF(AND(ISNUMBER('Semi Rev'!M22),ISNUMBER('Semi Rev'!I22)),'Semi Rev'!M22-'Semi Rev'!I22,""),"")</f>
        <v/>
      </c>
      <c r="J449" s="30">
        <f>IFERROR(IF(AND(ISNUMBER('Semi Rev'!N22),ISNUMBER('Semi Rev'!J22)),'Semi Rev'!N22-'Semi Rev'!J22,""),"")</f>
        <v/>
      </c>
      <c r="K449" s="30">
        <f>IFERROR(IF(AND(ISNUMBER('Semi Rev'!O22),ISNUMBER('Semi Rev'!K22)),'Semi Rev'!O22-'Semi Rev'!K22,""),"")</f>
        <v/>
      </c>
      <c r="L449" s="30">
        <f>IFERROR(IF(AND(ISNUMBER('Semi Rev'!P22),ISNUMBER('Semi Rev'!L22)),'Semi Rev'!P22-'Semi Rev'!L22,""),"")</f>
        <v/>
      </c>
      <c r="M449" s="31">
        <f>IFERROR(IF(AND(ISNUMBER('Semi Rev'!Q22),ISNUMBER('Semi Rev'!M22)),'Semi Rev'!Q22-'Semi Rev'!M22,""),"")</f>
        <v/>
      </c>
      <c r="N449" s="31">
        <f>IFERROR(IF(AND(ISNUMBER('Semi Rev'!R22),ISNUMBER('Semi Rev'!N22)),'Semi Rev'!R22-'Semi Rev'!N22,""),"")</f>
        <v/>
      </c>
    </row>
    <row r="450">
      <c r="A450" s="19">
        <f>'Semi Rev'!$A23</f>
        <v/>
      </c>
      <c r="B450" s="19">
        <f>'Semi Rev'!$B23</f>
        <v/>
      </c>
      <c r="C450" s="30">
        <f>IFERROR(IF(AND(ISNUMBER('Semi Rev'!G23),ISNUMBER('Semi Rev'!C23)),'Semi Rev'!G23-'Semi Rev'!C23,""),"")</f>
        <v/>
      </c>
      <c r="D450" s="30">
        <f>IFERROR(IF(AND(ISNUMBER('Semi Rev'!H23),ISNUMBER('Semi Rev'!D23)),'Semi Rev'!H23-'Semi Rev'!D23,""),"")</f>
        <v/>
      </c>
      <c r="E450" s="30">
        <f>IFERROR(IF(AND(ISNUMBER('Semi Rev'!I23),ISNUMBER('Semi Rev'!E23)),'Semi Rev'!I23-'Semi Rev'!E23,""),"")</f>
        <v/>
      </c>
      <c r="F450" s="30">
        <f>IFERROR(IF(AND(ISNUMBER('Semi Rev'!J23),ISNUMBER('Semi Rev'!F23)),'Semi Rev'!J23-'Semi Rev'!F23,""),"")</f>
        <v/>
      </c>
      <c r="G450" s="30">
        <f>IFERROR(IF(AND(ISNUMBER('Semi Rev'!K23),ISNUMBER('Semi Rev'!G23)),'Semi Rev'!K23-'Semi Rev'!G23,""),"")</f>
        <v/>
      </c>
      <c r="H450" s="30">
        <f>IFERROR(IF(AND(ISNUMBER('Semi Rev'!L23),ISNUMBER('Semi Rev'!H23)),'Semi Rev'!L23-'Semi Rev'!H23,""),"")</f>
        <v/>
      </c>
      <c r="I450" s="30">
        <f>IFERROR(IF(AND(ISNUMBER('Semi Rev'!M23),ISNUMBER('Semi Rev'!I23)),'Semi Rev'!M23-'Semi Rev'!I23,""),"")</f>
        <v/>
      </c>
      <c r="J450" s="30">
        <f>IFERROR(IF(AND(ISNUMBER('Semi Rev'!N23),ISNUMBER('Semi Rev'!J23)),'Semi Rev'!N23-'Semi Rev'!J23,""),"")</f>
        <v/>
      </c>
      <c r="K450" s="30">
        <f>IFERROR(IF(AND(ISNUMBER('Semi Rev'!O23),ISNUMBER('Semi Rev'!K23)),'Semi Rev'!O23-'Semi Rev'!K23,""),"")</f>
        <v/>
      </c>
      <c r="L450" s="30">
        <f>IFERROR(IF(AND(ISNUMBER('Semi Rev'!P23),ISNUMBER('Semi Rev'!L23)),'Semi Rev'!P23-'Semi Rev'!L23,""),"")</f>
        <v/>
      </c>
      <c r="M450" s="31">
        <f>IFERROR(IF(AND(ISNUMBER('Semi Rev'!Q23),ISNUMBER('Semi Rev'!M23)),'Semi Rev'!Q23-'Semi Rev'!M23,""),"")</f>
        <v/>
      </c>
      <c r="N450" s="31">
        <f>IFERROR(IF(AND(ISNUMBER('Semi Rev'!R23),ISNUMBER('Semi Rev'!N23)),'Semi Rev'!R23-'Semi Rev'!N23,""),"")</f>
        <v/>
      </c>
    </row>
    <row r="451">
      <c r="A451" s="19">
        <f>'Semi Rev'!$A24</f>
        <v/>
      </c>
      <c r="B451" s="19">
        <f>'Semi Rev'!$B24</f>
        <v/>
      </c>
      <c r="C451" s="30">
        <f>IFERROR(IF(AND(ISNUMBER('Semi Rev'!G24),ISNUMBER('Semi Rev'!C24)),'Semi Rev'!G24-'Semi Rev'!C24,""),"")</f>
        <v/>
      </c>
      <c r="D451" s="30">
        <f>IFERROR(IF(AND(ISNUMBER('Semi Rev'!H24),ISNUMBER('Semi Rev'!D24)),'Semi Rev'!H24-'Semi Rev'!D24,""),"")</f>
        <v/>
      </c>
      <c r="E451" s="30">
        <f>IFERROR(IF(AND(ISNUMBER('Semi Rev'!I24),ISNUMBER('Semi Rev'!E24)),'Semi Rev'!I24-'Semi Rev'!E24,""),"")</f>
        <v/>
      </c>
      <c r="F451" s="30">
        <f>IFERROR(IF(AND(ISNUMBER('Semi Rev'!J24),ISNUMBER('Semi Rev'!F24)),'Semi Rev'!J24-'Semi Rev'!F24,""),"")</f>
        <v/>
      </c>
      <c r="G451" s="30">
        <f>IFERROR(IF(AND(ISNUMBER('Semi Rev'!K24),ISNUMBER('Semi Rev'!G24)),'Semi Rev'!K24-'Semi Rev'!G24,""),"")</f>
        <v/>
      </c>
      <c r="H451" s="30">
        <f>IFERROR(IF(AND(ISNUMBER('Semi Rev'!L24),ISNUMBER('Semi Rev'!H24)),'Semi Rev'!L24-'Semi Rev'!H24,""),"")</f>
        <v/>
      </c>
      <c r="I451" s="30">
        <f>IFERROR(IF(AND(ISNUMBER('Semi Rev'!M24),ISNUMBER('Semi Rev'!I24)),'Semi Rev'!M24-'Semi Rev'!I24,""),"")</f>
        <v/>
      </c>
      <c r="J451" s="30">
        <f>IFERROR(IF(AND(ISNUMBER('Semi Rev'!N24),ISNUMBER('Semi Rev'!J24)),'Semi Rev'!N24-'Semi Rev'!J24,""),"")</f>
        <v/>
      </c>
      <c r="K451" s="30">
        <f>IFERROR(IF(AND(ISNUMBER('Semi Rev'!O24),ISNUMBER('Semi Rev'!K24)),'Semi Rev'!O24-'Semi Rev'!K24,""),"")</f>
        <v/>
      </c>
      <c r="L451" s="30">
        <f>IFERROR(IF(AND(ISNUMBER('Semi Rev'!P24),ISNUMBER('Semi Rev'!L24)),'Semi Rev'!P24-'Semi Rev'!L24,""),"")</f>
        <v/>
      </c>
      <c r="M451" s="31">
        <f>IFERROR(IF(AND(ISNUMBER('Semi Rev'!Q24),ISNUMBER('Semi Rev'!M24)),'Semi Rev'!Q24-'Semi Rev'!M24,""),"")</f>
        <v/>
      </c>
      <c r="N451" s="31">
        <f>IFERROR(IF(AND(ISNUMBER('Semi Rev'!R24),ISNUMBER('Semi Rev'!N24)),'Semi Rev'!R24-'Semi Rev'!N24,""),"")</f>
        <v/>
      </c>
    </row>
    <row r="452">
      <c r="A452" s="19">
        <f>'Semi Rev'!$A25</f>
        <v/>
      </c>
      <c r="B452" s="19">
        <f>'Semi Rev'!$B25</f>
        <v/>
      </c>
      <c r="C452" s="30">
        <f>IFERROR(IF(AND(ISNUMBER('Semi Rev'!G25),ISNUMBER('Semi Rev'!C25)),'Semi Rev'!G25-'Semi Rev'!C25,""),"")</f>
        <v/>
      </c>
      <c r="D452" s="30">
        <f>IFERROR(IF(AND(ISNUMBER('Semi Rev'!H25),ISNUMBER('Semi Rev'!D25)),'Semi Rev'!H25-'Semi Rev'!D25,""),"")</f>
        <v/>
      </c>
      <c r="E452" s="30">
        <f>IFERROR(IF(AND(ISNUMBER('Semi Rev'!I25),ISNUMBER('Semi Rev'!E25)),'Semi Rev'!I25-'Semi Rev'!E25,""),"")</f>
        <v/>
      </c>
      <c r="F452" s="30">
        <f>IFERROR(IF(AND(ISNUMBER('Semi Rev'!J25),ISNUMBER('Semi Rev'!F25)),'Semi Rev'!J25-'Semi Rev'!F25,""),"")</f>
        <v/>
      </c>
      <c r="G452" s="30">
        <f>IFERROR(IF(AND(ISNUMBER('Semi Rev'!K25),ISNUMBER('Semi Rev'!G25)),'Semi Rev'!K25-'Semi Rev'!G25,""),"")</f>
        <v/>
      </c>
      <c r="H452" s="30">
        <f>IFERROR(IF(AND(ISNUMBER('Semi Rev'!L25),ISNUMBER('Semi Rev'!H25)),'Semi Rev'!L25-'Semi Rev'!H25,""),"")</f>
        <v/>
      </c>
      <c r="I452" s="30">
        <f>IFERROR(IF(AND(ISNUMBER('Semi Rev'!M25),ISNUMBER('Semi Rev'!I25)),'Semi Rev'!M25-'Semi Rev'!I25,""),"")</f>
        <v/>
      </c>
      <c r="J452" s="30">
        <f>IFERROR(IF(AND(ISNUMBER('Semi Rev'!N25),ISNUMBER('Semi Rev'!J25)),'Semi Rev'!N25-'Semi Rev'!J25,""),"")</f>
        <v/>
      </c>
      <c r="K452" s="30">
        <f>IFERROR(IF(AND(ISNUMBER('Semi Rev'!O25),ISNUMBER('Semi Rev'!K25)),'Semi Rev'!O25-'Semi Rev'!K25,""),"")</f>
        <v/>
      </c>
      <c r="L452" s="30">
        <f>IFERROR(IF(AND(ISNUMBER('Semi Rev'!P25),ISNUMBER('Semi Rev'!L25)),'Semi Rev'!P25-'Semi Rev'!L25,""),"")</f>
        <v/>
      </c>
      <c r="M452" s="31">
        <f>IFERROR(IF(AND(ISNUMBER('Semi Rev'!Q25),ISNUMBER('Semi Rev'!M25)),'Semi Rev'!Q25-'Semi Rev'!M25,""),"")</f>
        <v/>
      </c>
      <c r="N452" s="31">
        <f>IFERROR(IF(AND(ISNUMBER('Semi Rev'!R25),ISNUMBER('Semi Rev'!N25)),'Semi Rev'!R25-'Semi Rev'!N25,""),"")</f>
        <v/>
      </c>
    </row>
    <row r="453">
      <c r="A453" s="19">
        <f>'Semi Rev'!$A26</f>
        <v/>
      </c>
      <c r="B453" s="19">
        <f>'Semi Rev'!$B26</f>
        <v/>
      </c>
      <c r="C453" s="30">
        <f>IFERROR(IF(AND(ISNUMBER('Semi Rev'!G26),ISNUMBER('Semi Rev'!C26)),'Semi Rev'!G26-'Semi Rev'!C26,""),"")</f>
        <v/>
      </c>
      <c r="D453" s="30">
        <f>IFERROR(IF(AND(ISNUMBER('Semi Rev'!H26),ISNUMBER('Semi Rev'!D26)),'Semi Rev'!H26-'Semi Rev'!D26,""),"")</f>
        <v/>
      </c>
      <c r="E453" s="30">
        <f>IFERROR(IF(AND(ISNUMBER('Semi Rev'!I26),ISNUMBER('Semi Rev'!E26)),'Semi Rev'!I26-'Semi Rev'!E26,""),"")</f>
        <v/>
      </c>
      <c r="F453" s="30">
        <f>IFERROR(IF(AND(ISNUMBER('Semi Rev'!J26),ISNUMBER('Semi Rev'!F26)),'Semi Rev'!J26-'Semi Rev'!F26,""),"")</f>
        <v/>
      </c>
      <c r="G453" s="30">
        <f>IFERROR(IF(AND(ISNUMBER('Semi Rev'!K26),ISNUMBER('Semi Rev'!G26)),'Semi Rev'!K26-'Semi Rev'!G26,""),"")</f>
        <v/>
      </c>
      <c r="H453" s="30">
        <f>IFERROR(IF(AND(ISNUMBER('Semi Rev'!L26),ISNUMBER('Semi Rev'!H26)),'Semi Rev'!L26-'Semi Rev'!H26,""),"")</f>
        <v/>
      </c>
      <c r="I453" s="30">
        <f>IFERROR(IF(AND(ISNUMBER('Semi Rev'!M26),ISNUMBER('Semi Rev'!I26)),'Semi Rev'!M26-'Semi Rev'!I26,""),"")</f>
        <v/>
      </c>
      <c r="J453" s="30">
        <f>IFERROR(IF(AND(ISNUMBER('Semi Rev'!N26),ISNUMBER('Semi Rev'!J26)),'Semi Rev'!N26-'Semi Rev'!J26,""),"")</f>
        <v/>
      </c>
      <c r="K453" s="30">
        <f>IFERROR(IF(AND(ISNUMBER('Semi Rev'!O26),ISNUMBER('Semi Rev'!K26)),'Semi Rev'!O26-'Semi Rev'!K26,""),"")</f>
        <v/>
      </c>
      <c r="L453" s="30">
        <f>IFERROR(IF(AND(ISNUMBER('Semi Rev'!P26),ISNUMBER('Semi Rev'!L26)),'Semi Rev'!P26-'Semi Rev'!L26,""),"")</f>
        <v/>
      </c>
      <c r="M453" s="31">
        <f>IFERROR(IF(AND(ISNUMBER('Semi Rev'!Q26),ISNUMBER('Semi Rev'!M26)),'Semi Rev'!Q26-'Semi Rev'!M26,""),"")</f>
        <v/>
      </c>
      <c r="N453" s="31">
        <f>IFERROR(IF(AND(ISNUMBER('Semi Rev'!R26),ISNUMBER('Semi Rev'!N26)),'Semi Rev'!R26-'Semi Rev'!N26,""),"")</f>
        <v/>
      </c>
    </row>
    <row r="454">
      <c r="A454" s="19">
        <f>'Semi Rev'!$A27</f>
        <v/>
      </c>
      <c r="B454" s="19">
        <f>'Semi Rev'!$B27</f>
        <v/>
      </c>
      <c r="C454" s="30">
        <f>IFERROR(IF(AND(ISNUMBER('Semi Rev'!G27),ISNUMBER('Semi Rev'!C27)),'Semi Rev'!G27-'Semi Rev'!C27,""),"")</f>
        <v/>
      </c>
      <c r="D454" s="30">
        <f>IFERROR(IF(AND(ISNUMBER('Semi Rev'!H27),ISNUMBER('Semi Rev'!D27)),'Semi Rev'!H27-'Semi Rev'!D27,""),"")</f>
        <v/>
      </c>
      <c r="E454" s="30">
        <f>IFERROR(IF(AND(ISNUMBER('Semi Rev'!I27),ISNUMBER('Semi Rev'!E27)),'Semi Rev'!I27-'Semi Rev'!E27,""),"")</f>
        <v/>
      </c>
      <c r="F454" s="30">
        <f>IFERROR(IF(AND(ISNUMBER('Semi Rev'!J27),ISNUMBER('Semi Rev'!F27)),'Semi Rev'!J27-'Semi Rev'!F27,""),"")</f>
        <v/>
      </c>
      <c r="G454" s="30">
        <f>IFERROR(IF(AND(ISNUMBER('Semi Rev'!K27),ISNUMBER('Semi Rev'!G27)),'Semi Rev'!K27-'Semi Rev'!G27,""),"")</f>
        <v/>
      </c>
      <c r="H454" s="30">
        <f>IFERROR(IF(AND(ISNUMBER('Semi Rev'!L27),ISNUMBER('Semi Rev'!H27)),'Semi Rev'!L27-'Semi Rev'!H27,""),"")</f>
        <v/>
      </c>
      <c r="I454" s="30">
        <f>IFERROR(IF(AND(ISNUMBER('Semi Rev'!M27),ISNUMBER('Semi Rev'!I27)),'Semi Rev'!M27-'Semi Rev'!I27,""),"")</f>
        <v/>
      </c>
      <c r="J454" s="30">
        <f>IFERROR(IF(AND(ISNUMBER('Semi Rev'!N27),ISNUMBER('Semi Rev'!J27)),'Semi Rev'!N27-'Semi Rev'!J27,""),"")</f>
        <v/>
      </c>
      <c r="K454" s="30">
        <f>IFERROR(IF(AND(ISNUMBER('Semi Rev'!O27),ISNUMBER('Semi Rev'!K27)),'Semi Rev'!O27-'Semi Rev'!K27,""),"")</f>
        <v/>
      </c>
      <c r="L454" s="30">
        <f>IFERROR(IF(AND(ISNUMBER('Semi Rev'!P27),ISNUMBER('Semi Rev'!L27)),'Semi Rev'!P27-'Semi Rev'!L27,""),"")</f>
        <v/>
      </c>
      <c r="M454" s="31">
        <f>IFERROR(IF(AND(ISNUMBER('Semi Rev'!Q27),ISNUMBER('Semi Rev'!M27)),'Semi Rev'!Q27-'Semi Rev'!M27,""),"")</f>
        <v/>
      </c>
      <c r="N454" s="31">
        <f>IFERROR(IF(AND(ISNUMBER('Semi Rev'!R27),ISNUMBER('Semi Rev'!N27)),'Semi Rev'!R27-'Semi Rev'!N27,""),"")</f>
        <v/>
      </c>
    </row>
    <row r="455">
      <c r="A455" s="19">
        <f>'Semi Rev'!$A28</f>
        <v/>
      </c>
      <c r="B455" s="19">
        <f>'Semi Rev'!$B28</f>
        <v/>
      </c>
      <c r="C455" s="30">
        <f>IFERROR(IF(AND(ISNUMBER('Semi Rev'!G28),ISNUMBER('Semi Rev'!C28)),'Semi Rev'!G28-'Semi Rev'!C28,""),"")</f>
        <v/>
      </c>
      <c r="D455" s="30">
        <f>IFERROR(IF(AND(ISNUMBER('Semi Rev'!H28),ISNUMBER('Semi Rev'!D28)),'Semi Rev'!H28-'Semi Rev'!D28,""),"")</f>
        <v/>
      </c>
      <c r="E455" s="30">
        <f>IFERROR(IF(AND(ISNUMBER('Semi Rev'!I28),ISNUMBER('Semi Rev'!E28)),'Semi Rev'!I28-'Semi Rev'!E28,""),"")</f>
        <v/>
      </c>
      <c r="F455" s="30">
        <f>IFERROR(IF(AND(ISNUMBER('Semi Rev'!J28),ISNUMBER('Semi Rev'!F28)),'Semi Rev'!J28-'Semi Rev'!F28,""),"")</f>
        <v/>
      </c>
      <c r="G455" s="30">
        <f>IFERROR(IF(AND(ISNUMBER('Semi Rev'!K28),ISNUMBER('Semi Rev'!G28)),'Semi Rev'!K28-'Semi Rev'!G28,""),"")</f>
        <v/>
      </c>
      <c r="H455" s="30">
        <f>IFERROR(IF(AND(ISNUMBER('Semi Rev'!L28),ISNUMBER('Semi Rev'!H28)),'Semi Rev'!L28-'Semi Rev'!H28,""),"")</f>
        <v/>
      </c>
      <c r="I455" s="30">
        <f>IFERROR(IF(AND(ISNUMBER('Semi Rev'!M28),ISNUMBER('Semi Rev'!I28)),'Semi Rev'!M28-'Semi Rev'!I28,""),"")</f>
        <v/>
      </c>
      <c r="J455" s="30">
        <f>IFERROR(IF(AND(ISNUMBER('Semi Rev'!N28),ISNUMBER('Semi Rev'!J28)),'Semi Rev'!N28-'Semi Rev'!J28,""),"")</f>
        <v/>
      </c>
      <c r="K455" s="30">
        <f>IFERROR(IF(AND(ISNUMBER('Semi Rev'!O28),ISNUMBER('Semi Rev'!K28)),'Semi Rev'!O28-'Semi Rev'!K28,""),"")</f>
        <v/>
      </c>
      <c r="L455" s="30">
        <f>IFERROR(IF(AND(ISNUMBER('Semi Rev'!P28),ISNUMBER('Semi Rev'!L28)),'Semi Rev'!P28-'Semi Rev'!L28,""),"")</f>
        <v/>
      </c>
      <c r="M455" s="31">
        <f>IFERROR(IF(AND(ISNUMBER('Semi Rev'!Q28),ISNUMBER('Semi Rev'!M28)),'Semi Rev'!Q28-'Semi Rev'!M28,""),"")</f>
        <v/>
      </c>
      <c r="N455" s="31">
        <f>IFERROR(IF(AND(ISNUMBER('Semi Rev'!R28),ISNUMBER('Semi Rev'!N28)),'Semi Rev'!R28-'Semi Rev'!N28,""),"")</f>
        <v/>
      </c>
    </row>
    <row r="456">
      <c r="A456" s="19">
        <f>'Semi Rev'!$A29</f>
        <v/>
      </c>
      <c r="B456" s="19">
        <f>'Semi Rev'!$B29</f>
        <v/>
      </c>
      <c r="C456" s="30">
        <f>IFERROR(IF(AND(ISNUMBER('Semi Rev'!G29),ISNUMBER('Semi Rev'!C29)),'Semi Rev'!G29-'Semi Rev'!C29,""),"")</f>
        <v/>
      </c>
      <c r="D456" s="30">
        <f>IFERROR(IF(AND(ISNUMBER('Semi Rev'!H29),ISNUMBER('Semi Rev'!D29)),'Semi Rev'!H29-'Semi Rev'!D29,""),"")</f>
        <v/>
      </c>
      <c r="E456" s="30">
        <f>IFERROR(IF(AND(ISNUMBER('Semi Rev'!I29),ISNUMBER('Semi Rev'!E29)),'Semi Rev'!I29-'Semi Rev'!E29,""),"")</f>
        <v/>
      </c>
      <c r="F456" s="30">
        <f>IFERROR(IF(AND(ISNUMBER('Semi Rev'!J29),ISNUMBER('Semi Rev'!F29)),'Semi Rev'!J29-'Semi Rev'!F29,""),"")</f>
        <v/>
      </c>
      <c r="G456" s="30">
        <f>IFERROR(IF(AND(ISNUMBER('Semi Rev'!K29),ISNUMBER('Semi Rev'!G29)),'Semi Rev'!K29-'Semi Rev'!G29,""),"")</f>
        <v/>
      </c>
      <c r="H456" s="30">
        <f>IFERROR(IF(AND(ISNUMBER('Semi Rev'!L29),ISNUMBER('Semi Rev'!H29)),'Semi Rev'!L29-'Semi Rev'!H29,""),"")</f>
        <v/>
      </c>
      <c r="I456" s="30">
        <f>IFERROR(IF(AND(ISNUMBER('Semi Rev'!M29),ISNUMBER('Semi Rev'!I29)),'Semi Rev'!M29-'Semi Rev'!I29,""),"")</f>
        <v/>
      </c>
      <c r="J456" s="30">
        <f>IFERROR(IF(AND(ISNUMBER('Semi Rev'!N29),ISNUMBER('Semi Rev'!J29)),'Semi Rev'!N29-'Semi Rev'!J29,""),"")</f>
        <v/>
      </c>
      <c r="K456" s="30">
        <f>IFERROR(IF(AND(ISNUMBER('Semi Rev'!O29),ISNUMBER('Semi Rev'!K29)),'Semi Rev'!O29-'Semi Rev'!K29,""),"")</f>
        <v/>
      </c>
      <c r="L456" s="30">
        <f>IFERROR(IF(AND(ISNUMBER('Semi Rev'!P29),ISNUMBER('Semi Rev'!L29)),'Semi Rev'!P29-'Semi Rev'!L29,""),"")</f>
        <v/>
      </c>
      <c r="M456" s="31">
        <f>IFERROR(IF(AND(ISNUMBER('Semi Rev'!Q29),ISNUMBER('Semi Rev'!M29)),'Semi Rev'!Q29-'Semi Rev'!M29,""),"")</f>
        <v/>
      </c>
      <c r="N456" s="31">
        <f>IFERROR(IF(AND(ISNUMBER('Semi Rev'!R29),ISNUMBER('Semi Rev'!N29)),'Semi Rev'!R29-'Semi Rev'!N29,""),"")</f>
        <v/>
      </c>
    </row>
    <row r="457">
      <c r="A457" s="19">
        <f>'Semi Rev'!$A30</f>
        <v/>
      </c>
      <c r="B457" s="19">
        <f>'Semi Rev'!$B30</f>
        <v/>
      </c>
      <c r="C457" s="30">
        <f>IFERROR(IF(AND(ISNUMBER('Semi Rev'!G30),ISNUMBER('Semi Rev'!C30)),'Semi Rev'!G30-'Semi Rev'!C30,""),"")</f>
        <v/>
      </c>
      <c r="D457" s="30">
        <f>IFERROR(IF(AND(ISNUMBER('Semi Rev'!H30),ISNUMBER('Semi Rev'!D30)),'Semi Rev'!H30-'Semi Rev'!D30,""),"")</f>
        <v/>
      </c>
      <c r="E457" s="30">
        <f>IFERROR(IF(AND(ISNUMBER('Semi Rev'!I30),ISNUMBER('Semi Rev'!E30)),'Semi Rev'!I30-'Semi Rev'!E30,""),"")</f>
        <v/>
      </c>
      <c r="F457" s="30">
        <f>IFERROR(IF(AND(ISNUMBER('Semi Rev'!J30),ISNUMBER('Semi Rev'!F30)),'Semi Rev'!J30-'Semi Rev'!F30,""),"")</f>
        <v/>
      </c>
      <c r="G457" s="30">
        <f>IFERROR(IF(AND(ISNUMBER('Semi Rev'!K30),ISNUMBER('Semi Rev'!G30)),'Semi Rev'!K30-'Semi Rev'!G30,""),"")</f>
        <v/>
      </c>
      <c r="H457" s="30">
        <f>IFERROR(IF(AND(ISNUMBER('Semi Rev'!L30),ISNUMBER('Semi Rev'!H30)),'Semi Rev'!L30-'Semi Rev'!H30,""),"")</f>
        <v/>
      </c>
      <c r="I457" s="30">
        <f>IFERROR(IF(AND(ISNUMBER('Semi Rev'!M30),ISNUMBER('Semi Rev'!I30)),'Semi Rev'!M30-'Semi Rev'!I30,""),"")</f>
        <v/>
      </c>
      <c r="J457" s="30">
        <f>IFERROR(IF(AND(ISNUMBER('Semi Rev'!N30),ISNUMBER('Semi Rev'!J30)),'Semi Rev'!N30-'Semi Rev'!J30,""),"")</f>
        <v/>
      </c>
      <c r="K457" s="30">
        <f>IFERROR(IF(AND(ISNUMBER('Semi Rev'!O30),ISNUMBER('Semi Rev'!K30)),'Semi Rev'!O30-'Semi Rev'!K30,""),"")</f>
        <v/>
      </c>
      <c r="L457" s="30">
        <f>IFERROR(IF(AND(ISNUMBER('Semi Rev'!P30),ISNUMBER('Semi Rev'!L30)),'Semi Rev'!P30-'Semi Rev'!L30,""),"")</f>
        <v/>
      </c>
      <c r="M457" s="31">
        <f>IFERROR(IF(AND(ISNUMBER('Semi Rev'!Q30),ISNUMBER('Semi Rev'!M30)),'Semi Rev'!Q30-'Semi Rev'!M30,""),"")</f>
        <v/>
      </c>
      <c r="N457" s="31">
        <f>IFERROR(IF(AND(ISNUMBER('Semi Rev'!R30),ISNUMBER('Semi Rev'!N30)),'Semi Rev'!R30-'Semi Rev'!N30,""),"")</f>
        <v/>
      </c>
    </row>
    <row r="458">
      <c r="A458" s="19">
        <f>'Semi Rev'!$A31</f>
        <v/>
      </c>
      <c r="B458" s="19">
        <f>'Semi Rev'!$B31</f>
        <v/>
      </c>
      <c r="C458" s="30">
        <f>IFERROR(IF(AND(ISNUMBER('Semi Rev'!G31),ISNUMBER('Semi Rev'!C31)),'Semi Rev'!G31-'Semi Rev'!C31,""),"")</f>
        <v/>
      </c>
      <c r="D458" s="30">
        <f>IFERROR(IF(AND(ISNUMBER('Semi Rev'!H31),ISNUMBER('Semi Rev'!D31)),'Semi Rev'!H31-'Semi Rev'!D31,""),"")</f>
        <v/>
      </c>
      <c r="E458" s="30">
        <f>IFERROR(IF(AND(ISNUMBER('Semi Rev'!I31),ISNUMBER('Semi Rev'!E31)),'Semi Rev'!I31-'Semi Rev'!E31,""),"")</f>
        <v/>
      </c>
      <c r="F458" s="30">
        <f>IFERROR(IF(AND(ISNUMBER('Semi Rev'!J31),ISNUMBER('Semi Rev'!F31)),'Semi Rev'!J31-'Semi Rev'!F31,""),"")</f>
        <v/>
      </c>
      <c r="G458" s="30">
        <f>IFERROR(IF(AND(ISNUMBER('Semi Rev'!K31),ISNUMBER('Semi Rev'!G31)),'Semi Rev'!K31-'Semi Rev'!G31,""),"")</f>
        <v/>
      </c>
      <c r="H458" s="30">
        <f>IFERROR(IF(AND(ISNUMBER('Semi Rev'!L31),ISNUMBER('Semi Rev'!H31)),'Semi Rev'!L31-'Semi Rev'!H31,""),"")</f>
        <v/>
      </c>
      <c r="I458" s="30">
        <f>IFERROR(IF(AND(ISNUMBER('Semi Rev'!M31),ISNUMBER('Semi Rev'!I31)),'Semi Rev'!M31-'Semi Rev'!I31,""),"")</f>
        <v/>
      </c>
      <c r="J458" s="30">
        <f>IFERROR(IF(AND(ISNUMBER('Semi Rev'!N31),ISNUMBER('Semi Rev'!J31)),'Semi Rev'!N31-'Semi Rev'!J31,""),"")</f>
        <v/>
      </c>
      <c r="K458" s="30">
        <f>IFERROR(IF(AND(ISNUMBER('Semi Rev'!O31),ISNUMBER('Semi Rev'!K31)),'Semi Rev'!O31-'Semi Rev'!K31,""),"")</f>
        <v/>
      </c>
      <c r="L458" s="30">
        <f>IFERROR(IF(AND(ISNUMBER('Semi Rev'!P31),ISNUMBER('Semi Rev'!L31)),'Semi Rev'!P31-'Semi Rev'!L31,""),"")</f>
        <v/>
      </c>
      <c r="M458" s="31">
        <f>IFERROR(IF(AND(ISNUMBER('Semi Rev'!Q31),ISNUMBER('Semi Rev'!M31)),'Semi Rev'!Q31-'Semi Rev'!M31,""),"")</f>
        <v/>
      </c>
      <c r="N458" s="31">
        <f>IFERROR(IF(AND(ISNUMBER('Semi Rev'!R31),ISNUMBER('Semi Rev'!N31)),'Semi Rev'!R31-'Semi Rev'!N31,""),"")</f>
        <v/>
      </c>
    </row>
    <row r="459">
      <c r="A459" s="19">
        <f>'Semi Rev'!$A32</f>
        <v/>
      </c>
      <c r="B459" s="19">
        <f>'Semi Rev'!$B32</f>
        <v/>
      </c>
      <c r="C459" s="30">
        <f>IFERROR(IF(AND(ISNUMBER('Semi Rev'!G32),ISNUMBER('Semi Rev'!C32)),'Semi Rev'!G32-'Semi Rev'!C32,""),"")</f>
        <v/>
      </c>
      <c r="D459" s="30">
        <f>IFERROR(IF(AND(ISNUMBER('Semi Rev'!H32),ISNUMBER('Semi Rev'!D32)),'Semi Rev'!H32-'Semi Rev'!D32,""),"")</f>
        <v/>
      </c>
      <c r="E459" s="30">
        <f>IFERROR(IF(AND(ISNUMBER('Semi Rev'!I32),ISNUMBER('Semi Rev'!E32)),'Semi Rev'!I32-'Semi Rev'!E32,""),"")</f>
        <v/>
      </c>
      <c r="F459" s="30">
        <f>IFERROR(IF(AND(ISNUMBER('Semi Rev'!J32),ISNUMBER('Semi Rev'!F32)),'Semi Rev'!J32-'Semi Rev'!F32,""),"")</f>
        <v/>
      </c>
      <c r="G459" s="30">
        <f>IFERROR(IF(AND(ISNUMBER('Semi Rev'!K32),ISNUMBER('Semi Rev'!G32)),'Semi Rev'!K32-'Semi Rev'!G32,""),"")</f>
        <v/>
      </c>
      <c r="H459" s="30">
        <f>IFERROR(IF(AND(ISNUMBER('Semi Rev'!L32),ISNUMBER('Semi Rev'!H32)),'Semi Rev'!L32-'Semi Rev'!H32,""),"")</f>
        <v/>
      </c>
      <c r="I459" s="30">
        <f>IFERROR(IF(AND(ISNUMBER('Semi Rev'!M32),ISNUMBER('Semi Rev'!I32)),'Semi Rev'!M32-'Semi Rev'!I32,""),"")</f>
        <v/>
      </c>
      <c r="J459" s="30">
        <f>IFERROR(IF(AND(ISNUMBER('Semi Rev'!N32),ISNUMBER('Semi Rev'!J32)),'Semi Rev'!N32-'Semi Rev'!J32,""),"")</f>
        <v/>
      </c>
      <c r="K459" s="30">
        <f>IFERROR(IF(AND(ISNUMBER('Semi Rev'!O32),ISNUMBER('Semi Rev'!K32)),'Semi Rev'!O32-'Semi Rev'!K32,""),"")</f>
        <v/>
      </c>
      <c r="L459" s="30">
        <f>IFERROR(IF(AND(ISNUMBER('Semi Rev'!P32),ISNUMBER('Semi Rev'!L32)),'Semi Rev'!P32-'Semi Rev'!L32,""),"")</f>
        <v/>
      </c>
      <c r="M459" s="31">
        <f>IFERROR(IF(AND(ISNUMBER('Semi Rev'!Q32),ISNUMBER('Semi Rev'!M32)),'Semi Rev'!Q32-'Semi Rev'!M32,""),"")</f>
        <v/>
      </c>
      <c r="N459" s="31">
        <f>IFERROR(IF(AND(ISNUMBER('Semi Rev'!R32),ISNUMBER('Semi Rev'!N32)),'Semi Rev'!R32-'Semi Rev'!N32,""),"")</f>
        <v/>
      </c>
    </row>
    <row r="460">
      <c r="A460" s="19">
        <f>'Semi Rev'!$A33</f>
        <v/>
      </c>
      <c r="B460" s="19">
        <f>'Semi Rev'!$B33</f>
        <v/>
      </c>
      <c r="C460" s="30">
        <f>IFERROR(IF(AND(ISNUMBER('Semi Rev'!G33),ISNUMBER('Semi Rev'!C33)),'Semi Rev'!G33-'Semi Rev'!C33,""),"")</f>
        <v/>
      </c>
      <c r="D460" s="30">
        <f>IFERROR(IF(AND(ISNUMBER('Semi Rev'!H33),ISNUMBER('Semi Rev'!D33)),'Semi Rev'!H33-'Semi Rev'!D33,""),"")</f>
        <v/>
      </c>
      <c r="E460" s="30">
        <f>IFERROR(IF(AND(ISNUMBER('Semi Rev'!I33),ISNUMBER('Semi Rev'!E33)),'Semi Rev'!I33-'Semi Rev'!E33,""),"")</f>
        <v/>
      </c>
      <c r="F460" s="30">
        <f>IFERROR(IF(AND(ISNUMBER('Semi Rev'!J33),ISNUMBER('Semi Rev'!F33)),'Semi Rev'!J33-'Semi Rev'!F33,""),"")</f>
        <v/>
      </c>
      <c r="G460" s="30">
        <f>IFERROR(IF(AND(ISNUMBER('Semi Rev'!K33),ISNUMBER('Semi Rev'!G33)),'Semi Rev'!K33-'Semi Rev'!G33,""),"")</f>
        <v/>
      </c>
      <c r="H460" s="30">
        <f>IFERROR(IF(AND(ISNUMBER('Semi Rev'!L33),ISNUMBER('Semi Rev'!H33)),'Semi Rev'!L33-'Semi Rev'!H33,""),"")</f>
        <v/>
      </c>
      <c r="I460" s="30">
        <f>IFERROR(IF(AND(ISNUMBER('Semi Rev'!M33),ISNUMBER('Semi Rev'!I33)),'Semi Rev'!M33-'Semi Rev'!I33,""),"")</f>
        <v/>
      </c>
      <c r="J460" s="30">
        <f>IFERROR(IF(AND(ISNUMBER('Semi Rev'!N33),ISNUMBER('Semi Rev'!J33)),'Semi Rev'!N33-'Semi Rev'!J33,""),"")</f>
        <v/>
      </c>
      <c r="K460" s="30">
        <f>IFERROR(IF(AND(ISNUMBER('Semi Rev'!O33),ISNUMBER('Semi Rev'!K33)),'Semi Rev'!O33-'Semi Rev'!K33,""),"")</f>
        <v/>
      </c>
      <c r="L460" s="30">
        <f>IFERROR(IF(AND(ISNUMBER('Semi Rev'!P33),ISNUMBER('Semi Rev'!L33)),'Semi Rev'!P33-'Semi Rev'!L33,""),"")</f>
        <v/>
      </c>
      <c r="M460" s="31">
        <f>IFERROR(IF(AND(ISNUMBER('Semi Rev'!Q33),ISNUMBER('Semi Rev'!M33)),'Semi Rev'!Q33-'Semi Rev'!M33,""),"")</f>
        <v/>
      </c>
      <c r="N460" s="31">
        <f>IFERROR(IF(AND(ISNUMBER('Semi Rev'!R33),ISNUMBER('Semi Rev'!N33)),'Semi Rev'!R33-'Semi Rev'!N33,""),"")</f>
        <v/>
      </c>
    </row>
    <row r="461">
      <c r="A461" s="19">
        <f>'Semi Rev'!$A34</f>
        <v/>
      </c>
      <c r="B461" s="19">
        <f>'Semi Rev'!$B34</f>
        <v/>
      </c>
      <c r="C461" s="30">
        <f>IFERROR(IF(AND(ISNUMBER('Semi Rev'!G34),ISNUMBER('Semi Rev'!C34)),'Semi Rev'!G34-'Semi Rev'!C34,""),"")</f>
        <v/>
      </c>
      <c r="D461" s="30">
        <f>IFERROR(IF(AND(ISNUMBER('Semi Rev'!H34),ISNUMBER('Semi Rev'!D34)),'Semi Rev'!H34-'Semi Rev'!D34,""),"")</f>
        <v/>
      </c>
      <c r="E461" s="30">
        <f>IFERROR(IF(AND(ISNUMBER('Semi Rev'!I34),ISNUMBER('Semi Rev'!E34)),'Semi Rev'!I34-'Semi Rev'!E34,""),"")</f>
        <v/>
      </c>
      <c r="F461" s="30">
        <f>IFERROR(IF(AND(ISNUMBER('Semi Rev'!J34),ISNUMBER('Semi Rev'!F34)),'Semi Rev'!J34-'Semi Rev'!F34,""),"")</f>
        <v/>
      </c>
      <c r="G461" s="30">
        <f>IFERROR(IF(AND(ISNUMBER('Semi Rev'!K34),ISNUMBER('Semi Rev'!G34)),'Semi Rev'!K34-'Semi Rev'!G34,""),"")</f>
        <v/>
      </c>
      <c r="H461" s="30">
        <f>IFERROR(IF(AND(ISNUMBER('Semi Rev'!L34),ISNUMBER('Semi Rev'!H34)),'Semi Rev'!L34-'Semi Rev'!H34,""),"")</f>
        <v/>
      </c>
      <c r="I461" s="30">
        <f>IFERROR(IF(AND(ISNUMBER('Semi Rev'!M34),ISNUMBER('Semi Rev'!I34)),'Semi Rev'!M34-'Semi Rev'!I34,""),"")</f>
        <v/>
      </c>
      <c r="J461" s="30">
        <f>IFERROR(IF(AND(ISNUMBER('Semi Rev'!N34),ISNUMBER('Semi Rev'!J34)),'Semi Rev'!N34-'Semi Rev'!J34,""),"")</f>
        <v/>
      </c>
      <c r="K461" s="30">
        <f>IFERROR(IF(AND(ISNUMBER('Semi Rev'!O34),ISNUMBER('Semi Rev'!K34)),'Semi Rev'!O34-'Semi Rev'!K34,""),"")</f>
        <v/>
      </c>
      <c r="L461" s="30">
        <f>IFERROR(IF(AND(ISNUMBER('Semi Rev'!P34),ISNUMBER('Semi Rev'!L34)),'Semi Rev'!P34-'Semi Rev'!L34,""),"")</f>
        <v/>
      </c>
      <c r="M461" s="31">
        <f>IFERROR(IF(AND(ISNUMBER('Semi Rev'!Q34),ISNUMBER('Semi Rev'!M34)),'Semi Rev'!Q34-'Semi Rev'!M34,""),"")</f>
        <v/>
      </c>
      <c r="N461" s="31">
        <f>IFERROR(IF(AND(ISNUMBER('Semi Rev'!R34),ISNUMBER('Semi Rev'!N34)),'Semi Rev'!R34-'Semi Rev'!N34,""),"")</f>
        <v/>
      </c>
    </row>
    <row r="462">
      <c r="A462" s="19">
        <f>'Semi Rev'!$A35</f>
        <v/>
      </c>
      <c r="B462" s="19">
        <f>'Semi Rev'!$B35</f>
        <v/>
      </c>
      <c r="C462" s="30">
        <f>IFERROR(IF(AND(ISNUMBER('Semi Rev'!G35),ISNUMBER('Semi Rev'!C35)),'Semi Rev'!G35-'Semi Rev'!C35,""),"")</f>
        <v/>
      </c>
      <c r="D462" s="30">
        <f>IFERROR(IF(AND(ISNUMBER('Semi Rev'!H35),ISNUMBER('Semi Rev'!D35)),'Semi Rev'!H35-'Semi Rev'!D35,""),"")</f>
        <v/>
      </c>
      <c r="E462" s="30">
        <f>IFERROR(IF(AND(ISNUMBER('Semi Rev'!I35),ISNUMBER('Semi Rev'!E35)),'Semi Rev'!I35-'Semi Rev'!E35,""),"")</f>
        <v/>
      </c>
      <c r="F462" s="30">
        <f>IFERROR(IF(AND(ISNUMBER('Semi Rev'!J35),ISNUMBER('Semi Rev'!F35)),'Semi Rev'!J35-'Semi Rev'!F35,""),"")</f>
        <v/>
      </c>
      <c r="G462" s="30">
        <f>IFERROR(IF(AND(ISNUMBER('Semi Rev'!K35),ISNUMBER('Semi Rev'!G35)),'Semi Rev'!K35-'Semi Rev'!G35,""),"")</f>
        <v/>
      </c>
      <c r="H462" s="30">
        <f>IFERROR(IF(AND(ISNUMBER('Semi Rev'!L35),ISNUMBER('Semi Rev'!H35)),'Semi Rev'!L35-'Semi Rev'!H35,""),"")</f>
        <v/>
      </c>
      <c r="I462" s="30">
        <f>IFERROR(IF(AND(ISNUMBER('Semi Rev'!M35),ISNUMBER('Semi Rev'!I35)),'Semi Rev'!M35-'Semi Rev'!I35,""),"")</f>
        <v/>
      </c>
      <c r="J462" s="30">
        <f>IFERROR(IF(AND(ISNUMBER('Semi Rev'!N35),ISNUMBER('Semi Rev'!J35)),'Semi Rev'!N35-'Semi Rev'!J35,""),"")</f>
        <v/>
      </c>
      <c r="K462" s="30">
        <f>IFERROR(IF(AND(ISNUMBER('Semi Rev'!O35),ISNUMBER('Semi Rev'!K35)),'Semi Rev'!O35-'Semi Rev'!K35,""),"")</f>
        <v/>
      </c>
      <c r="L462" s="30">
        <f>IFERROR(IF(AND(ISNUMBER('Semi Rev'!P35),ISNUMBER('Semi Rev'!L35)),'Semi Rev'!P35-'Semi Rev'!L35,""),"")</f>
        <v/>
      </c>
      <c r="M462" s="31">
        <f>IFERROR(IF(AND(ISNUMBER('Semi Rev'!Q35),ISNUMBER('Semi Rev'!M35)),'Semi Rev'!Q35-'Semi Rev'!M35,""),"")</f>
        <v/>
      </c>
      <c r="N462" s="31">
        <f>IFERROR(IF(AND(ISNUMBER('Semi Rev'!R35),ISNUMBER('Semi Rev'!N35)),'Semi Rev'!R35-'Semi Rev'!N35,""),"")</f>
        <v/>
      </c>
    </row>
    <row r="463">
      <c r="A463" s="19">
        <f>'Semi Rev'!$A36</f>
        <v/>
      </c>
      <c r="B463" s="19">
        <f>'Semi Rev'!$B36</f>
        <v/>
      </c>
      <c r="C463" s="30">
        <f>IFERROR(IF(AND(ISNUMBER('Semi Rev'!G36),ISNUMBER('Semi Rev'!C36)),'Semi Rev'!G36-'Semi Rev'!C36,""),"")</f>
        <v/>
      </c>
      <c r="D463" s="30">
        <f>IFERROR(IF(AND(ISNUMBER('Semi Rev'!H36),ISNUMBER('Semi Rev'!D36)),'Semi Rev'!H36-'Semi Rev'!D36,""),"")</f>
        <v/>
      </c>
      <c r="E463" s="30">
        <f>IFERROR(IF(AND(ISNUMBER('Semi Rev'!I36),ISNUMBER('Semi Rev'!E36)),'Semi Rev'!I36-'Semi Rev'!E36,""),"")</f>
        <v/>
      </c>
      <c r="F463" s="30">
        <f>IFERROR(IF(AND(ISNUMBER('Semi Rev'!J36),ISNUMBER('Semi Rev'!F36)),'Semi Rev'!J36-'Semi Rev'!F36,""),"")</f>
        <v/>
      </c>
      <c r="G463" s="30">
        <f>IFERROR(IF(AND(ISNUMBER('Semi Rev'!K36),ISNUMBER('Semi Rev'!G36)),'Semi Rev'!K36-'Semi Rev'!G36,""),"")</f>
        <v/>
      </c>
      <c r="H463" s="30">
        <f>IFERROR(IF(AND(ISNUMBER('Semi Rev'!L36),ISNUMBER('Semi Rev'!H36)),'Semi Rev'!L36-'Semi Rev'!H36,""),"")</f>
        <v/>
      </c>
      <c r="I463" s="30">
        <f>IFERROR(IF(AND(ISNUMBER('Semi Rev'!M36),ISNUMBER('Semi Rev'!I36)),'Semi Rev'!M36-'Semi Rev'!I36,""),"")</f>
        <v/>
      </c>
      <c r="J463" s="30">
        <f>IFERROR(IF(AND(ISNUMBER('Semi Rev'!N36),ISNUMBER('Semi Rev'!J36)),'Semi Rev'!N36-'Semi Rev'!J36,""),"")</f>
        <v/>
      </c>
      <c r="K463" s="30">
        <f>IFERROR(IF(AND(ISNUMBER('Semi Rev'!O36),ISNUMBER('Semi Rev'!K36)),'Semi Rev'!O36-'Semi Rev'!K36,""),"")</f>
        <v/>
      </c>
      <c r="L463" s="30">
        <f>IFERROR(IF(AND(ISNUMBER('Semi Rev'!P36),ISNUMBER('Semi Rev'!L36)),'Semi Rev'!P36-'Semi Rev'!L36,""),"")</f>
        <v/>
      </c>
      <c r="M463" s="31">
        <f>IFERROR(IF(AND(ISNUMBER('Semi Rev'!Q36),ISNUMBER('Semi Rev'!M36)),'Semi Rev'!Q36-'Semi Rev'!M36,""),"")</f>
        <v/>
      </c>
      <c r="N463" s="31">
        <f>IFERROR(IF(AND(ISNUMBER('Semi Rev'!R36),ISNUMBER('Semi Rev'!N36)),'Semi Rev'!R36-'Semi Rev'!N36,""),"")</f>
        <v/>
      </c>
    </row>
    <row r="464">
      <c r="A464" s="19">
        <f>'Semi Rev'!$A37</f>
        <v/>
      </c>
      <c r="B464" s="19">
        <f>'Semi Rev'!$B37</f>
        <v/>
      </c>
      <c r="C464" s="30">
        <f>IFERROR(IF(AND(ISNUMBER('Semi Rev'!G37),ISNUMBER('Semi Rev'!C37)),'Semi Rev'!G37-'Semi Rev'!C37,""),"")</f>
        <v/>
      </c>
      <c r="D464" s="30">
        <f>IFERROR(IF(AND(ISNUMBER('Semi Rev'!H37),ISNUMBER('Semi Rev'!D37)),'Semi Rev'!H37-'Semi Rev'!D37,""),"")</f>
        <v/>
      </c>
      <c r="E464" s="30">
        <f>IFERROR(IF(AND(ISNUMBER('Semi Rev'!I37),ISNUMBER('Semi Rev'!E37)),'Semi Rev'!I37-'Semi Rev'!E37,""),"")</f>
        <v/>
      </c>
      <c r="F464" s="30">
        <f>IFERROR(IF(AND(ISNUMBER('Semi Rev'!J37),ISNUMBER('Semi Rev'!F37)),'Semi Rev'!J37-'Semi Rev'!F37,""),"")</f>
        <v/>
      </c>
      <c r="G464" s="30">
        <f>IFERROR(IF(AND(ISNUMBER('Semi Rev'!K37),ISNUMBER('Semi Rev'!G37)),'Semi Rev'!K37-'Semi Rev'!G37,""),"")</f>
        <v/>
      </c>
      <c r="H464" s="30">
        <f>IFERROR(IF(AND(ISNUMBER('Semi Rev'!L37),ISNUMBER('Semi Rev'!H37)),'Semi Rev'!L37-'Semi Rev'!H37,""),"")</f>
        <v/>
      </c>
      <c r="I464" s="30">
        <f>IFERROR(IF(AND(ISNUMBER('Semi Rev'!M37),ISNUMBER('Semi Rev'!I37)),'Semi Rev'!M37-'Semi Rev'!I37,""),"")</f>
        <v/>
      </c>
      <c r="J464" s="30">
        <f>IFERROR(IF(AND(ISNUMBER('Semi Rev'!N37),ISNUMBER('Semi Rev'!J37)),'Semi Rev'!N37-'Semi Rev'!J37,""),"")</f>
        <v/>
      </c>
      <c r="K464" s="30">
        <f>IFERROR(IF(AND(ISNUMBER('Semi Rev'!O37),ISNUMBER('Semi Rev'!K37)),'Semi Rev'!O37-'Semi Rev'!K37,""),"")</f>
        <v/>
      </c>
      <c r="L464" s="30">
        <f>IFERROR(IF(AND(ISNUMBER('Semi Rev'!P37),ISNUMBER('Semi Rev'!L37)),'Semi Rev'!P37-'Semi Rev'!L37,""),"")</f>
        <v/>
      </c>
      <c r="M464" s="31">
        <f>IFERROR(IF(AND(ISNUMBER('Semi Rev'!Q37),ISNUMBER('Semi Rev'!M37)),'Semi Rev'!Q37-'Semi Rev'!M37,""),"")</f>
        <v/>
      </c>
      <c r="N464" s="31">
        <f>IFERROR(IF(AND(ISNUMBER('Semi Rev'!R37),ISNUMBER('Semi Rev'!N37)),'Semi Rev'!R37-'Semi Rev'!N37,""),"")</f>
        <v/>
      </c>
    </row>
    <row r="465">
      <c r="A465" s="19">
        <f>'Semi Rev'!$A38</f>
        <v/>
      </c>
      <c r="B465" s="19">
        <f>'Semi Rev'!$B38</f>
        <v/>
      </c>
      <c r="C465" s="30">
        <f>IFERROR(IF(AND(ISNUMBER('Semi Rev'!G38),ISNUMBER('Semi Rev'!C38)),'Semi Rev'!G38-'Semi Rev'!C38,""),"")</f>
        <v/>
      </c>
      <c r="D465" s="30">
        <f>IFERROR(IF(AND(ISNUMBER('Semi Rev'!H38),ISNUMBER('Semi Rev'!D38)),'Semi Rev'!H38-'Semi Rev'!D38,""),"")</f>
        <v/>
      </c>
      <c r="E465" s="30">
        <f>IFERROR(IF(AND(ISNUMBER('Semi Rev'!I38),ISNUMBER('Semi Rev'!E38)),'Semi Rev'!I38-'Semi Rev'!E38,""),"")</f>
        <v/>
      </c>
      <c r="F465" s="30">
        <f>IFERROR(IF(AND(ISNUMBER('Semi Rev'!J38),ISNUMBER('Semi Rev'!F38)),'Semi Rev'!J38-'Semi Rev'!F38,""),"")</f>
        <v/>
      </c>
      <c r="G465" s="30">
        <f>IFERROR(IF(AND(ISNUMBER('Semi Rev'!K38),ISNUMBER('Semi Rev'!G38)),'Semi Rev'!K38-'Semi Rev'!G38,""),"")</f>
        <v/>
      </c>
      <c r="H465" s="30">
        <f>IFERROR(IF(AND(ISNUMBER('Semi Rev'!L38),ISNUMBER('Semi Rev'!H38)),'Semi Rev'!L38-'Semi Rev'!H38,""),"")</f>
        <v/>
      </c>
      <c r="I465" s="30">
        <f>IFERROR(IF(AND(ISNUMBER('Semi Rev'!M38),ISNUMBER('Semi Rev'!I38)),'Semi Rev'!M38-'Semi Rev'!I38,""),"")</f>
        <v/>
      </c>
      <c r="J465" s="30">
        <f>IFERROR(IF(AND(ISNUMBER('Semi Rev'!N38),ISNUMBER('Semi Rev'!J38)),'Semi Rev'!N38-'Semi Rev'!J38,""),"")</f>
        <v/>
      </c>
      <c r="K465" s="30">
        <f>IFERROR(IF(AND(ISNUMBER('Semi Rev'!O38),ISNUMBER('Semi Rev'!K38)),'Semi Rev'!O38-'Semi Rev'!K38,""),"")</f>
        <v/>
      </c>
      <c r="L465" s="30">
        <f>IFERROR(IF(AND(ISNUMBER('Semi Rev'!P38),ISNUMBER('Semi Rev'!L38)),'Semi Rev'!P38-'Semi Rev'!L38,""),"")</f>
        <v/>
      </c>
      <c r="M465" s="31">
        <f>IFERROR(IF(AND(ISNUMBER('Semi Rev'!Q38),ISNUMBER('Semi Rev'!M38)),'Semi Rev'!Q38-'Semi Rev'!M38,""),"")</f>
        <v/>
      </c>
      <c r="N465" s="31">
        <f>IFERROR(IF(AND(ISNUMBER('Semi Rev'!R38),ISNUMBER('Semi Rev'!N38)),'Semi Rev'!R38-'Semi Rev'!N38,""),"")</f>
        <v/>
      </c>
    </row>
    <row r="466">
      <c r="A466" s="19">
        <f>'Semi Rev'!$A39</f>
        <v/>
      </c>
      <c r="B466" s="19">
        <f>'Semi Rev'!$B39</f>
        <v/>
      </c>
      <c r="C466" s="30">
        <f>IFERROR(IF(AND(ISNUMBER('Semi Rev'!G39),ISNUMBER('Semi Rev'!C39)),'Semi Rev'!G39-'Semi Rev'!C39,""),"")</f>
        <v/>
      </c>
      <c r="D466" s="30">
        <f>IFERROR(IF(AND(ISNUMBER('Semi Rev'!H39),ISNUMBER('Semi Rev'!D39)),'Semi Rev'!H39-'Semi Rev'!D39,""),"")</f>
        <v/>
      </c>
      <c r="E466" s="30">
        <f>IFERROR(IF(AND(ISNUMBER('Semi Rev'!I39),ISNUMBER('Semi Rev'!E39)),'Semi Rev'!I39-'Semi Rev'!E39,""),"")</f>
        <v/>
      </c>
      <c r="F466" s="30">
        <f>IFERROR(IF(AND(ISNUMBER('Semi Rev'!J39),ISNUMBER('Semi Rev'!F39)),'Semi Rev'!J39-'Semi Rev'!F39,""),"")</f>
        <v/>
      </c>
      <c r="G466" s="30">
        <f>IFERROR(IF(AND(ISNUMBER('Semi Rev'!K39),ISNUMBER('Semi Rev'!G39)),'Semi Rev'!K39-'Semi Rev'!G39,""),"")</f>
        <v/>
      </c>
      <c r="H466" s="30">
        <f>IFERROR(IF(AND(ISNUMBER('Semi Rev'!L39),ISNUMBER('Semi Rev'!H39)),'Semi Rev'!L39-'Semi Rev'!H39,""),"")</f>
        <v/>
      </c>
      <c r="I466" s="30">
        <f>IFERROR(IF(AND(ISNUMBER('Semi Rev'!M39),ISNUMBER('Semi Rev'!I39)),'Semi Rev'!M39-'Semi Rev'!I39,""),"")</f>
        <v/>
      </c>
      <c r="J466" s="30">
        <f>IFERROR(IF(AND(ISNUMBER('Semi Rev'!N39),ISNUMBER('Semi Rev'!J39)),'Semi Rev'!N39-'Semi Rev'!J39,""),"")</f>
        <v/>
      </c>
      <c r="K466" s="30">
        <f>IFERROR(IF(AND(ISNUMBER('Semi Rev'!O39),ISNUMBER('Semi Rev'!K39)),'Semi Rev'!O39-'Semi Rev'!K39,""),"")</f>
        <v/>
      </c>
      <c r="L466" s="30">
        <f>IFERROR(IF(AND(ISNUMBER('Semi Rev'!P39),ISNUMBER('Semi Rev'!L39)),'Semi Rev'!P39-'Semi Rev'!L39,""),"")</f>
        <v/>
      </c>
      <c r="M466" s="31">
        <f>IFERROR(IF(AND(ISNUMBER('Semi Rev'!Q39),ISNUMBER('Semi Rev'!M39)),'Semi Rev'!Q39-'Semi Rev'!M39,""),"")</f>
        <v/>
      </c>
      <c r="N466" s="31">
        <f>IFERROR(IF(AND(ISNUMBER('Semi Rev'!R39),ISNUMBER('Semi Rev'!N39)),'Semi Rev'!R39-'Semi Rev'!N39,""),"")</f>
        <v/>
      </c>
    </row>
    <row r="467">
      <c r="A467" s="19">
        <f>'Semi Rev'!$A40</f>
        <v/>
      </c>
      <c r="B467" s="19">
        <f>'Semi Rev'!$B40</f>
        <v/>
      </c>
      <c r="C467" s="30">
        <f>IFERROR(IF(AND(ISNUMBER('Semi Rev'!G40),ISNUMBER('Semi Rev'!C40)),'Semi Rev'!G40-'Semi Rev'!C40,""),"")</f>
        <v/>
      </c>
      <c r="D467" s="30">
        <f>IFERROR(IF(AND(ISNUMBER('Semi Rev'!H40),ISNUMBER('Semi Rev'!D40)),'Semi Rev'!H40-'Semi Rev'!D40,""),"")</f>
        <v/>
      </c>
      <c r="E467" s="30">
        <f>IFERROR(IF(AND(ISNUMBER('Semi Rev'!I40),ISNUMBER('Semi Rev'!E40)),'Semi Rev'!I40-'Semi Rev'!E40,""),"")</f>
        <v/>
      </c>
      <c r="F467" s="30">
        <f>IFERROR(IF(AND(ISNUMBER('Semi Rev'!J40),ISNUMBER('Semi Rev'!F40)),'Semi Rev'!J40-'Semi Rev'!F40,""),"")</f>
        <v/>
      </c>
      <c r="G467" s="30">
        <f>IFERROR(IF(AND(ISNUMBER('Semi Rev'!K40),ISNUMBER('Semi Rev'!G40)),'Semi Rev'!K40-'Semi Rev'!G40,""),"")</f>
        <v/>
      </c>
      <c r="H467" s="30">
        <f>IFERROR(IF(AND(ISNUMBER('Semi Rev'!L40),ISNUMBER('Semi Rev'!H40)),'Semi Rev'!L40-'Semi Rev'!H40,""),"")</f>
        <v/>
      </c>
      <c r="I467" s="30">
        <f>IFERROR(IF(AND(ISNUMBER('Semi Rev'!M40),ISNUMBER('Semi Rev'!I40)),'Semi Rev'!M40-'Semi Rev'!I40,""),"")</f>
        <v/>
      </c>
      <c r="J467" s="30">
        <f>IFERROR(IF(AND(ISNUMBER('Semi Rev'!N40),ISNUMBER('Semi Rev'!J40)),'Semi Rev'!N40-'Semi Rev'!J40,""),"")</f>
        <v/>
      </c>
      <c r="K467" s="30">
        <f>IFERROR(IF(AND(ISNUMBER('Semi Rev'!O40),ISNUMBER('Semi Rev'!K40)),'Semi Rev'!O40-'Semi Rev'!K40,""),"")</f>
        <v/>
      </c>
      <c r="L467" s="30">
        <f>IFERROR(IF(AND(ISNUMBER('Semi Rev'!P40),ISNUMBER('Semi Rev'!L40)),'Semi Rev'!P40-'Semi Rev'!L40,""),"")</f>
        <v/>
      </c>
      <c r="M467" s="31">
        <f>IFERROR(IF(AND(ISNUMBER('Semi Rev'!Q40),ISNUMBER('Semi Rev'!M40)),'Semi Rev'!Q40-'Semi Rev'!M40,""),"")</f>
        <v/>
      </c>
      <c r="N467" s="31">
        <f>IFERROR(IF(AND(ISNUMBER('Semi Rev'!R40),ISNUMBER('Semi Rev'!N40)),'Semi Rev'!R40-'Semi Rev'!N40,""),"")</f>
        <v/>
      </c>
    </row>
    <row r="468">
      <c r="A468" s="19">
        <f>'Semi Rev'!$A41</f>
        <v/>
      </c>
      <c r="B468" s="19">
        <f>'Semi Rev'!$B41</f>
        <v/>
      </c>
      <c r="C468" s="30">
        <f>IFERROR(IF(AND(ISNUMBER('Semi Rev'!G41),ISNUMBER('Semi Rev'!C41)),'Semi Rev'!G41-'Semi Rev'!C41,""),"")</f>
        <v/>
      </c>
      <c r="D468" s="30">
        <f>IFERROR(IF(AND(ISNUMBER('Semi Rev'!H41),ISNUMBER('Semi Rev'!D41)),'Semi Rev'!H41-'Semi Rev'!D41,""),"")</f>
        <v/>
      </c>
      <c r="E468" s="30">
        <f>IFERROR(IF(AND(ISNUMBER('Semi Rev'!I41),ISNUMBER('Semi Rev'!E41)),'Semi Rev'!I41-'Semi Rev'!E41,""),"")</f>
        <v/>
      </c>
      <c r="F468" s="30">
        <f>IFERROR(IF(AND(ISNUMBER('Semi Rev'!J41),ISNUMBER('Semi Rev'!F41)),'Semi Rev'!J41-'Semi Rev'!F41,""),"")</f>
        <v/>
      </c>
      <c r="G468" s="30">
        <f>IFERROR(IF(AND(ISNUMBER('Semi Rev'!K41),ISNUMBER('Semi Rev'!G41)),'Semi Rev'!K41-'Semi Rev'!G41,""),"")</f>
        <v/>
      </c>
      <c r="H468" s="30">
        <f>IFERROR(IF(AND(ISNUMBER('Semi Rev'!L41),ISNUMBER('Semi Rev'!H41)),'Semi Rev'!L41-'Semi Rev'!H41,""),"")</f>
        <v/>
      </c>
      <c r="I468" s="30">
        <f>IFERROR(IF(AND(ISNUMBER('Semi Rev'!M41),ISNUMBER('Semi Rev'!I41)),'Semi Rev'!M41-'Semi Rev'!I41,""),"")</f>
        <v/>
      </c>
      <c r="J468" s="30">
        <f>IFERROR(IF(AND(ISNUMBER('Semi Rev'!N41),ISNUMBER('Semi Rev'!J41)),'Semi Rev'!N41-'Semi Rev'!J41,""),"")</f>
        <v/>
      </c>
      <c r="K468" s="30">
        <f>IFERROR(IF(AND(ISNUMBER('Semi Rev'!O41),ISNUMBER('Semi Rev'!K41)),'Semi Rev'!O41-'Semi Rev'!K41,""),"")</f>
        <v/>
      </c>
      <c r="L468" s="30">
        <f>IFERROR(IF(AND(ISNUMBER('Semi Rev'!P41),ISNUMBER('Semi Rev'!L41)),'Semi Rev'!P41-'Semi Rev'!L41,""),"")</f>
        <v/>
      </c>
      <c r="M468" s="31">
        <f>IFERROR(IF(AND(ISNUMBER('Semi Rev'!Q41),ISNUMBER('Semi Rev'!M41)),'Semi Rev'!Q41-'Semi Rev'!M41,""),"")</f>
        <v/>
      </c>
      <c r="N468" s="31">
        <f>IFERROR(IF(AND(ISNUMBER('Semi Rev'!R41),ISNUMBER('Semi Rev'!N41)),'Semi Rev'!R41-'Semi Rev'!N41,""),"")</f>
        <v/>
      </c>
    </row>
    <row r="469">
      <c r="A469" s="19">
        <f>'Semi Rev'!$A42</f>
        <v/>
      </c>
      <c r="B469" s="19">
        <f>'Semi Rev'!$B42</f>
        <v/>
      </c>
      <c r="C469" s="30">
        <f>IFERROR(IF(AND(ISNUMBER('Semi Rev'!G42),ISNUMBER('Semi Rev'!C42)),'Semi Rev'!G42-'Semi Rev'!C42,""),"")</f>
        <v/>
      </c>
      <c r="D469" s="30">
        <f>IFERROR(IF(AND(ISNUMBER('Semi Rev'!H42),ISNUMBER('Semi Rev'!D42)),'Semi Rev'!H42-'Semi Rev'!D42,""),"")</f>
        <v/>
      </c>
      <c r="E469" s="30">
        <f>IFERROR(IF(AND(ISNUMBER('Semi Rev'!I42),ISNUMBER('Semi Rev'!E42)),'Semi Rev'!I42-'Semi Rev'!E42,""),"")</f>
        <v/>
      </c>
      <c r="F469" s="30">
        <f>IFERROR(IF(AND(ISNUMBER('Semi Rev'!J42),ISNUMBER('Semi Rev'!F42)),'Semi Rev'!J42-'Semi Rev'!F42,""),"")</f>
        <v/>
      </c>
      <c r="G469" s="30">
        <f>IFERROR(IF(AND(ISNUMBER('Semi Rev'!K42),ISNUMBER('Semi Rev'!G42)),'Semi Rev'!K42-'Semi Rev'!G42,""),"")</f>
        <v/>
      </c>
      <c r="H469" s="30">
        <f>IFERROR(IF(AND(ISNUMBER('Semi Rev'!L42),ISNUMBER('Semi Rev'!H42)),'Semi Rev'!L42-'Semi Rev'!H42,""),"")</f>
        <v/>
      </c>
      <c r="I469" s="30">
        <f>IFERROR(IF(AND(ISNUMBER('Semi Rev'!M42),ISNUMBER('Semi Rev'!I42)),'Semi Rev'!M42-'Semi Rev'!I42,""),"")</f>
        <v/>
      </c>
      <c r="J469" s="30">
        <f>IFERROR(IF(AND(ISNUMBER('Semi Rev'!N42),ISNUMBER('Semi Rev'!J42)),'Semi Rev'!N42-'Semi Rev'!J42,""),"")</f>
        <v/>
      </c>
      <c r="K469" s="30">
        <f>IFERROR(IF(AND(ISNUMBER('Semi Rev'!O42),ISNUMBER('Semi Rev'!K42)),'Semi Rev'!O42-'Semi Rev'!K42,""),"")</f>
        <v/>
      </c>
      <c r="L469" s="30">
        <f>IFERROR(IF(AND(ISNUMBER('Semi Rev'!P42),ISNUMBER('Semi Rev'!L42)),'Semi Rev'!P42-'Semi Rev'!L42,""),"")</f>
        <v/>
      </c>
      <c r="M469" s="31">
        <f>IFERROR(IF(AND(ISNUMBER('Semi Rev'!Q42),ISNUMBER('Semi Rev'!M42)),'Semi Rev'!Q42-'Semi Rev'!M42,""),"")</f>
        <v/>
      </c>
      <c r="N469" s="31">
        <f>IFERROR(IF(AND(ISNUMBER('Semi Rev'!R42),ISNUMBER('Semi Rev'!N42)),'Semi Rev'!R42-'Semi Rev'!N42,""),"")</f>
        <v/>
      </c>
    </row>
    <row r="470">
      <c r="A470" s="19">
        <f>'Semi Rev'!$A43</f>
        <v/>
      </c>
      <c r="B470" s="19">
        <f>'Semi Rev'!$B43</f>
        <v/>
      </c>
      <c r="C470" s="30">
        <f>IFERROR(IF(AND(ISNUMBER('Semi Rev'!G43),ISNUMBER('Semi Rev'!C43)),'Semi Rev'!G43-'Semi Rev'!C43,""),"")</f>
        <v/>
      </c>
      <c r="D470" s="30">
        <f>IFERROR(IF(AND(ISNUMBER('Semi Rev'!H43),ISNUMBER('Semi Rev'!D43)),'Semi Rev'!H43-'Semi Rev'!D43,""),"")</f>
        <v/>
      </c>
      <c r="E470" s="30">
        <f>IFERROR(IF(AND(ISNUMBER('Semi Rev'!I43),ISNUMBER('Semi Rev'!E43)),'Semi Rev'!I43-'Semi Rev'!E43,""),"")</f>
        <v/>
      </c>
      <c r="F470" s="30">
        <f>IFERROR(IF(AND(ISNUMBER('Semi Rev'!J43),ISNUMBER('Semi Rev'!F43)),'Semi Rev'!J43-'Semi Rev'!F43,""),"")</f>
        <v/>
      </c>
      <c r="G470" s="30">
        <f>IFERROR(IF(AND(ISNUMBER('Semi Rev'!K43),ISNUMBER('Semi Rev'!G43)),'Semi Rev'!K43-'Semi Rev'!G43,""),"")</f>
        <v/>
      </c>
      <c r="H470" s="30">
        <f>IFERROR(IF(AND(ISNUMBER('Semi Rev'!L43),ISNUMBER('Semi Rev'!H43)),'Semi Rev'!L43-'Semi Rev'!H43,""),"")</f>
        <v/>
      </c>
      <c r="I470" s="30">
        <f>IFERROR(IF(AND(ISNUMBER('Semi Rev'!M43),ISNUMBER('Semi Rev'!I43)),'Semi Rev'!M43-'Semi Rev'!I43,""),"")</f>
        <v/>
      </c>
      <c r="J470" s="30">
        <f>IFERROR(IF(AND(ISNUMBER('Semi Rev'!N43),ISNUMBER('Semi Rev'!J43)),'Semi Rev'!N43-'Semi Rev'!J43,""),"")</f>
        <v/>
      </c>
      <c r="K470" s="30">
        <f>IFERROR(IF(AND(ISNUMBER('Semi Rev'!O43),ISNUMBER('Semi Rev'!K43)),'Semi Rev'!O43-'Semi Rev'!K43,""),"")</f>
        <v/>
      </c>
      <c r="L470" s="30">
        <f>IFERROR(IF(AND(ISNUMBER('Semi Rev'!P43),ISNUMBER('Semi Rev'!L43)),'Semi Rev'!P43-'Semi Rev'!L43,""),"")</f>
        <v/>
      </c>
      <c r="M470" s="31">
        <f>IFERROR(IF(AND(ISNUMBER('Semi Rev'!Q43),ISNUMBER('Semi Rev'!M43)),'Semi Rev'!Q43-'Semi Rev'!M43,""),"")</f>
        <v/>
      </c>
      <c r="N470" s="31">
        <f>IFERROR(IF(AND(ISNUMBER('Semi Rev'!R43),ISNUMBER('Semi Rev'!N43)),'Semi Rev'!R43-'Semi Rev'!N43,""),"")</f>
        <v/>
      </c>
    </row>
    <row r="471">
      <c r="A471" s="19">
        <f>'Semi Rev'!$A44</f>
        <v/>
      </c>
      <c r="B471" s="19">
        <f>'Semi Rev'!$B44</f>
        <v/>
      </c>
      <c r="C471" s="30">
        <f>IFERROR(IF(AND(ISNUMBER('Semi Rev'!G44),ISNUMBER('Semi Rev'!C44)),'Semi Rev'!G44-'Semi Rev'!C44,""),"")</f>
        <v/>
      </c>
      <c r="D471" s="30">
        <f>IFERROR(IF(AND(ISNUMBER('Semi Rev'!H44),ISNUMBER('Semi Rev'!D44)),'Semi Rev'!H44-'Semi Rev'!D44,""),"")</f>
        <v/>
      </c>
      <c r="E471" s="30">
        <f>IFERROR(IF(AND(ISNUMBER('Semi Rev'!I44),ISNUMBER('Semi Rev'!E44)),'Semi Rev'!I44-'Semi Rev'!E44,""),"")</f>
        <v/>
      </c>
      <c r="F471" s="30">
        <f>IFERROR(IF(AND(ISNUMBER('Semi Rev'!J44),ISNUMBER('Semi Rev'!F44)),'Semi Rev'!J44-'Semi Rev'!F44,""),"")</f>
        <v/>
      </c>
      <c r="G471" s="30">
        <f>IFERROR(IF(AND(ISNUMBER('Semi Rev'!K44),ISNUMBER('Semi Rev'!G44)),'Semi Rev'!K44-'Semi Rev'!G44,""),"")</f>
        <v/>
      </c>
      <c r="H471" s="30">
        <f>IFERROR(IF(AND(ISNUMBER('Semi Rev'!L44),ISNUMBER('Semi Rev'!H44)),'Semi Rev'!L44-'Semi Rev'!H44,""),"")</f>
        <v/>
      </c>
      <c r="I471" s="30">
        <f>IFERROR(IF(AND(ISNUMBER('Semi Rev'!M44),ISNUMBER('Semi Rev'!I44)),'Semi Rev'!M44-'Semi Rev'!I44,""),"")</f>
        <v/>
      </c>
      <c r="J471" s="30">
        <f>IFERROR(IF(AND(ISNUMBER('Semi Rev'!N44),ISNUMBER('Semi Rev'!J44)),'Semi Rev'!N44-'Semi Rev'!J44,""),"")</f>
        <v/>
      </c>
      <c r="K471" s="30">
        <f>IFERROR(IF(AND(ISNUMBER('Semi Rev'!O44),ISNUMBER('Semi Rev'!K44)),'Semi Rev'!O44-'Semi Rev'!K44,""),"")</f>
        <v/>
      </c>
      <c r="L471" s="30">
        <f>IFERROR(IF(AND(ISNUMBER('Semi Rev'!P44),ISNUMBER('Semi Rev'!L44)),'Semi Rev'!P44-'Semi Rev'!L44,""),"")</f>
        <v/>
      </c>
      <c r="M471" s="31">
        <f>IFERROR(IF(AND(ISNUMBER('Semi Rev'!Q44),ISNUMBER('Semi Rev'!M44)),'Semi Rev'!Q44-'Semi Rev'!M44,""),"")</f>
        <v/>
      </c>
      <c r="N471" s="31">
        <f>IFERROR(IF(AND(ISNUMBER('Semi Rev'!R44),ISNUMBER('Semi Rev'!N44)),'Semi Rev'!R44-'Semi Rev'!N44,""),"")</f>
        <v/>
      </c>
    </row>
    <row r="472">
      <c r="A472" s="19">
        <f>'Semi Rev'!$A45</f>
        <v/>
      </c>
      <c r="B472" s="19">
        <f>'Semi Rev'!$B45</f>
        <v/>
      </c>
      <c r="C472" s="30">
        <f>IFERROR(IF(AND(ISNUMBER('Semi Rev'!G45),ISNUMBER('Semi Rev'!C45)),'Semi Rev'!G45-'Semi Rev'!C45,""),"")</f>
        <v/>
      </c>
      <c r="D472" s="30">
        <f>IFERROR(IF(AND(ISNUMBER('Semi Rev'!H45),ISNUMBER('Semi Rev'!D45)),'Semi Rev'!H45-'Semi Rev'!D45,""),"")</f>
        <v/>
      </c>
      <c r="E472" s="30">
        <f>IFERROR(IF(AND(ISNUMBER('Semi Rev'!I45),ISNUMBER('Semi Rev'!E45)),'Semi Rev'!I45-'Semi Rev'!E45,""),"")</f>
        <v/>
      </c>
      <c r="F472" s="30">
        <f>IFERROR(IF(AND(ISNUMBER('Semi Rev'!J45),ISNUMBER('Semi Rev'!F45)),'Semi Rev'!J45-'Semi Rev'!F45,""),"")</f>
        <v/>
      </c>
      <c r="G472" s="30">
        <f>IFERROR(IF(AND(ISNUMBER('Semi Rev'!K45),ISNUMBER('Semi Rev'!G45)),'Semi Rev'!K45-'Semi Rev'!G45,""),"")</f>
        <v/>
      </c>
      <c r="H472" s="30">
        <f>IFERROR(IF(AND(ISNUMBER('Semi Rev'!L45),ISNUMBER('Semi Rev'!H45)),'Semi Rev'!L45-'Semi Rev'!H45,""),"")</f>
        <v/>
      </c>
      <c r="I472" s="30">
        <f>IFERROR(IF(AND(ISNUMBER('Semi Rev'!M45),ISNUMBER('Semi Rev'!I45)),'Semi Rev'!M45-'Semi Rev'!I45,""),"")</f>
        <v/>
      </c>
      <c r="J472" s="30">
        <f>IFERROR(IF(AND(ISNUMBER('Semi Rev'!N45),ISNUMBER('Semi Rev'!J45)),'Semi Rev'!N45-'Semi Rev'!J45,""),"")</f>
        <v/>
      </c>
      <c r="K472" s="30">
        <f>IFERROR(IF(AND(ISNUMBER('Semi Rev'!O45),ISNUMBER('Semi Rev'!K45)),'Semi Rev'!O45-'Semi Rev'!K45,""),"")</f>
        <v/>
      </c>
      <c r="L472" s="30">
        <f>IFERROR(IF(AND(ISNUMBER('Semi Rev'!P45),ISNUMBER('Semi Rev'!L45)),'Semi Rev'!P45-'Semi Rev'!L45,""),"")</f>
        <v/>
      </c>
      <c r="M472" s="31">
        <f>IFERROR(IF(AND(ISNUMBER('Semi Rev'!Q45),ISNUMBER('Semi Rev'!M45)),'Semi Rev'!Q45-'Semi Rev'!M45,""),"")</f>
        <v/>
      </c>
      <c r="N472" s="31">
        <f>IFERROR(IF(AND(ISNUMBER('Semi Rev'!R45),ISNUMBER('Semi Rev'!N45)),'Semi Rev'!R45-'Semi Rev'!N45,""),"")</f>
        <v/>
      </c>
    </row>
    <row r="473">
      <c r="A473" s="19">
        <f>'Semi Rev'!$A46</f>
        <v/>
      </c>
      <c r="B473" s="19">
        <f>'Semi Rev'!$B46</f>
        <v/>
      </c>
      <c r="C473" s="30">
        <f>IFERROR(IF(AND(ISNUMBER('Semi Rev'!G46),ISNUMBER('Semi Rev'!C46)),'Semi Rev'!G46-'Semi Rev'!C46,""),"")</f>
        <v/>
      </c>
      <c r="D473" s="30">
        <f>IFERROR(IF(AND(ISNUMBER('Semi Rev'!H46),ISNUMBER('Semi Rev'!D46)),'Semi Rev'!H46-'Semi Rev'!D46,""),"")</f>
        <v/>
      </c>
      <c r="E473" s="30">
        <f>IFERROR(IF(AND(ISNUMBER('Semi Rev'!I46),ISNUMBER('Semi Rev'!E46)),'Semi Rev'!I46-'Semi Rev'!E46,""),"")</f>
        <v/>
      </c>
      <c r="F473" s="30">
        <f>IFERROR(IF(AND(ISNUMBER('Semi Rev'!J46),ISNUMBER('Semi Rev'!F46)),'Semi Rev'!J46-'Semi Rev'!F46,""),"")</f>
        <v/>
      </c>
      <c r="G473" s="30">
        <f>IFERROR(IF(AND(ISNUMBER('Semi Rev'!K46),ISNUMBER('Semi Rev'!G46)),'Semi Rev'!K46-'Semi Rev'!G46,""),"")</f>
        <v/>
      </c>
      <c r="H473" s="30">
        <f>IFERROR(IF(AND(ISNUMBER('Semi Rev'!L46),ISNUMBER('Semi Rev'!H46)),'Semi Rev'!L46-'Semi Rev'!H46,""),"")</f>
        <v/>
      </c>
      <c r="I473" s="30">
        <f>IFERROR(IF(AND(ISNUMBER('Semi Rev'!M46),ISNUMBER('Semi Rev'!I46)),'Semi Rev'!M46-'Semi Rev'!I46,""),"")</f>
        <v/>
      </c>
      <c r="J473" s="30">
        <f>IFERROR(IF(AND(ISNUMBER('Semi Rev'!N46),ISNUMBER('Semi Rev'!J46)),'Semi Rev'!N46-'Semi Rev'!J46,""),"")</f>
        <v/>
      </c>
      <c r="K473" s="30">
        <f>IFERROR(IF(AND(ISNUMBER('Semi Rev'!O46),ISNUMBER('Semi Rev'!K46)),'Semi Rev'!O46-'Semi Rev'!K46,""),"")</f>
        <v/>
      </c>
      <c r="L473" s="30">
        <f>IFERROR(IF(AND(ISNUMBER('Semi Rev'!P46),ISNUMBER('Semi Rev'!L46)),'Semi Rev'!P46-'Semi Rev'!L46,""),"")</f>
        <v/>
      </c>
      <c r="M473" s="31">
        <f>IFERROR(IF(AND(ISNUMBER('Semi Rev'!Q46),ISNUMBER('Semi Rev'!M46)),'Semi Rev'!Q46-'Semi Rev'!M46,""),"")</f>
        <v/>
      </c>
      <c r="N473" s="31">
        <f>IFERROR(IF(AND(ISNUMBER('Semi Rev'!R46),ISNUMBER('Semi Rev'!N46)),'Semi Rev'!R46-'Semi Rev'!N46,""),"")</f>
        <v/>
      </c>
    </row>
    <row r="474">
      <c r="A474" s="19">
        <f>'Semi Rev'!$A47</f>
        <v/>
      </c>
      <c r="B474" s="19">
        <f>'Semi Rev'!$B47</f>
        <v/>
      </c>
      <c r="C474" s="30">
        <f>IFERROR(IF(AND(ISNUMBER('Semi Rev'!G47),ISNUMBER('Semi Rev'!C47)),'Semi Rev'!G47-'Semi Rev'!C47,""),"")</f>
        <v/>
      </c>
      <c r="D474" s="30">
        <f>IFERROR(IF(AND(ISNUMBER('Semi Rev'!H47),ISNUMBER('Semi Rev'!D47)),'Semi Rev'!H47-'Semi Rev'!D47,""),"")</f>
        <v/>
      </c>
      <c r="E474" s="30">
        <f>IFERROR(IF(AND(ISNUMBER('Semi Rev'!I47),ISNUMBER('Semi Rev'!E47)),'Semi Rev'!I47-'Semi Rev'!E47,""),"")</f>
        <v/>
      </c>
      <c r="F474" s="30">
        <f>IFERROR(IF(AND(ISNUMBER('Semi Rev'!J47),ISNUMBER('Semi Rev'!F47)),'Semi Rev'!J47-'Semi Rev'!F47,""),"")</f>
        <v/>
      </c>
      <c r="G474" s="30">
        <f>IFERROR(IF(AND(ISNUMBER('Semi Rev'!K47),ISNUMBER('Semi Rev'!G47)),'Semi Rev'!K47-'Semi Rev'!G47,""),"")</f>
        <v/>
      </c>
      <c r="H474" s="30">
        <f>IFERROR(IF(AND(ISNUMBER('Semi Rev'!L47),ISNUMBER('Semi Rev'!H47)),'Semi Rev'!L47-'Semi Rev'!H47,""),"")</f>
        <v/>
      </c>
      <c r="I474" s="30">
        <f>IFERROR(IF(AND(ISNUMBER('Semi Rev'!M47),ISNUMBER('Semi Rev'!I47)),'Semi Rev'!M47-'Semi Rev'!I47,""),"")</f>
        <v/>
      </c>
      <c r="J474" s="30">
        <f>IFERROR(IF(AND(ISNUMBER('Semi Rev'!N47),ISNUMBER('Semi Rev'!J47)),'Semi Rev'!N47-'Semi Rev'!J47,""),"")</f>
        <v/>
      </c>
      <c r="K474" s="30">
        <f>IFERROR(IF(AND(ISNUMBER('Semi Rev'!O47),ISNUMBER('Semi Rev'!K47)),'Semi Rev'!O47-'Semi Rev'!K47,""),"")</f>
        <v/>
      </c>
      <c r="L474" s="30">
        <f>IFERROR(IF(AND(ISNUMBER('Semi Rev'!P47),ISNUMBER('Semi Rev'!L47)),'Semi Rev'!P47-'Semi Rev'!L47,""),"")</f>
        <v/>
      </c>
      <c r="M474" s="31">
        <f>IFERROR(IF(AND(ISNUMBER('Semi Rev'!Q47),ISNUMBER('Semi Rev'!M47)),'Semi Rev'!Q47-'Semi Rev'!M47,""),"")</f>
        <v/>
      </c>
      <c r="N474" s="31">
        <f>IFERROR(IF(AND(ISNUMBER('Semi Rev'!R47),ISNUMBER('Semi Rev'!N47)),'Semi Rev'!R47-'Semi Rev'!N47,""),"")</f>
        <v/>
      </c>
    </row>
    <row r="475">
      <c r="A475" s="19">
        <f>'Semi Rev'!$A48</f>
        <v/>
      </c>
      <c r="B475" s="19">
        <f>'Semi Rev'!$B48</f>
        <v/>
      </c>
      <c r="C475" s="30">
        <f>IFERROR(IF(AND(ISNUMBER('Semi Rev'!G48),ISNUMBER('Semi Rev'!C48)),'Semi Rev'!G48-'Semi Rev'!C48,""),"")</f>
        <v/>
      </c>
      <c r="D475" s="30">
        <f>IFERROR(IF(AND(ISNUMBER('Semi Rev'!H48),ISNUMBER('Semi Rev'!D48)),'Semi Rev'!H48-'Semi Rev'!D48,""),"")</f>
        <v/>
      </c>
      <c r="E475" s="30">
        <f>IFERROR(IF(AND(ISNUMBER('Semi Rev'!I48),ISNUMBER('Semi Rev'!E48)),'Semi Rev'!I48-'Semi Rev'!E48,""),"")</f>
        <v/>
      </c>
      <c r="F475" s="30">
        <f>IFERROR(IF(AND(ISNUMBER('Semi Rev'!J48),ISNUMBER('Semi Rev'!F48)),'Semi Rev'!J48-'Semi Rev'!F48,""),"")</f>
        <v/>
      </c>
      <c r="G475" s="30">
        <f>IFERROR(IF(AND(ISNUMBER('Semi Rev'!K48),ISNUMBER('Semi Rev'!G48)),'Semi Rev'!K48-'Semi Rev'!G48,""),"")</f>
        <v/>
      </c>
      <c r="H475" s="30">
        <f>IFERROR(IF(AND(ISNUMBER('Semi Rev'!L48),ISNUMBER('Semi Rev'!H48)),'Semi Rev'!L48-'Semi Rev'!H48,""),"")</f>
        <v/>
      </c>
      <c r="I475" s="30">
        <f>IFERROR(IF(AND(ISNUMBER('Semi Rev'!M48),ISNUMBER('Semi Rev'!I48)),'Semi Rev'!M48-'Semi Rev'!I48,""),"")</f>
        <v/>
      </c>
      <c r="J475" s="30">
        <f>IFERROR(IF(AND(ISNUMBER('Semi Rev'!N48),ISNUMBER('Semi Rev'!J48)),'Semi Rev'!N48-'Semi Rev'!J48,""),"")</f>
        <v/>
      </c>
      <c r="K475" s="30">
        <f>IFERROR(IF(AND(ISNUMBER('Semi Rev'!O48),ISNUMBER('Semi Rev'!K48)),'Semi Rev'!O48-'Semi Rev'!K48,""),"")</f>
        <v/>
      </c>
      <c r="L475" s="30">
        <f>IFERROR(IF(AND(ISNUMBER('Semi Rev'!P48),ISNUMBER('Semi Rev'!L48)),'Semi Rev'!P48-'Semi Rev'!L48,""),"")</f>
        <v/>
      </c>
      <c r="M475" s="31">
        <f>IFERROR(IF(AND(ISNUMBER('Semi Rev'!Q48),ISNUMBER('Semi Rev'!M48)),'Semi Rev'!Q48-'Semi Rev'!M48,""),"")</f>
        <v/>
      </c>
      <c r="N475" s="31">
        <f>IFERROR(IF(AND(ISNUMBER('Semi Rev'!R48),ISNUMBER('Semi Rev'!N48)),'Semi Rev'!R48-'Semi Rev'!N48,""),"")</f>
        <v/>
      </c>
    </row>
    <row r="476">
      <c r="A476" s="19">
        <f>'Semi Rev'!$A49</f>
        <v/>
      </c>
      <c r="B476" s="19">
        <f>'Semi Rev'!$B49</f>
        <v/>
      </c>
      <c r="C476" s="30">
        <f>IFERROR(IF(AND(ISNUMBER('Semi Rev'!G49),ISNUMBER('Semi Rev'!C49)),'Semi Rev'!G49-'Semi Rev'!C49,""),"")</f>
        <v/>
      </c>
      <c r="D476" s="30">
        <f>IFERROR(IF(AND(ISNUMBER('Semi Rev'!H49),ISNUMBER('Semi Rev'!D49)),'Semi Rev'!H49-'Semi Rev'!D49,""),"")</f>
        <v/>
      </c>
      <c r="E476" s="30">
        <f>IFERROR(IF(AND(ISNUMBER('Semi Rev'!I49),ISNUMBER('Semi Rev'!E49)),'Semi Rev'!I49-'Semi Rev'!E49,""),"")</f>
        <v/>
      </c>
      <c r="F476" s="30">
        <f>IFERROR(IF(AND(ISNUMBER('Semi Rev'!J49),ISNUMBER('Semi Rev'!F49)),'Semi Rev'!J49-'Semi Rev'!F49,""),"")</f>
        <v/>
      </c>
      <c r="G476" s="30">
        <f>IFERROR(IF(AND(ISNUMBER('Semi Rev'!K49),ISNUMBER('Semi Rev'!G49)),'Semi Rev'!K49-'Semi Rev'!G49,""),"")</f>
        <v/>
      </c>
      <c r="H476" s="30">
        <f>IFERROR(IF(AND(ISNUMBER('Semi Rev'!L49),ISNUMBER('Semi Rev'!H49)),'Semi Rev'!L49-'Semi Rev'!H49,""),"")</f>
        <v/>
      </c>
      <c r="I476" s="30">
        <f>IFERROR(IF(AND(ISNUMBER('Semi Rev'!M49),ISNUMBER('Semi Rev'!I49)),'Semi Rev'!M49-'Semi Rev'!I49,""),"")</f>
        <v/>
      </c>
      <c r="J476" s="30">
        <f>IFERROR(IF(AND(ISNUMBER('Semi Rev'!N49),ISNUMBER('Semi Rev'!J49)),'Semi Rev'!N49-'Semi Rev'!J49,""),"")</f>
        <v/>
      </c>
      <c r="K476" s="30">
        <f>IFERROR(IF(AND(ISNUMBER('Semi Rev'!O49),ISNUMBER('Semi Rev'!K49)),'Semi Rev'!O49-'Semi Rev'!K49,""),"")</f>
        <v/>
      </c>
      <c r="L476" s="30">
        <f>IFERROR(IF(AND(ISNUMBER('Semi Rev'!P49),ISNUMBER('Semi Rev'!L49)),'Semi Rev'!P49-'Semi Rev'!L49,""),"")</f>
        <v/>
      </c>
      <c r="M476" s="31">
        <f>IFERROR(IF(AND(ISNUMBER('Semi Rev'!Q49),ISNUMBER('Semi Rev'!M49)),'Semi Rev'!Q49-'Semi Rev'!M49,""),"")</f>
        <v/>
      </c>
      <c r="N476" s="31">
        <f>IFERROR(IF(AND(ISNUMBER('Semi Rev'!R49),ISNUMBER('Semi Rev'!N49)),'Semi Rev'!R49-'Semi Rev'!N49,""),"")</f>
        <v/>
      </c>
    </row>
    <row r="477">
      <c r="A477" s="19">
        <f>'Semi Rev'!$A50</f>
        <v/>
      </c>
      <c r="B477" s="19">
        <f>'Semi Rev'!$B50</f>
        <v/>
      </c>
      <c r="C477" s="30">
        <f>IFERROR(IF(AND(ISNUMBER('Semi Rev'!G50),ISNUMBER('Semi Rev'!C50)),'Semi Rev'!G50-'Semi Rev'!C50,""),"")</f>
        <v/>
      </c>
      <c r="D477" s="30">
        <f>IFERROR(IF(AND(ISNUMBER('Semi Rev'!H50),ISNUMBER('Semi Rev'!D50)),'Semi Rev'!H50-'Semi Rev'!D50,""),"")</f>
        <v/>
      </c>
      <c r="E477" s="30">
        <f>IFERROR(IF(AND(ISNUMBER('Semi Rev'!I50),ISNUMBER('Semi Rev'!E50)),'Semi Rev'!I50-'Semi Rev'!E50,""),"")</f>
        <v/>
      </c>
      <c r="F477" s="30">
        <f>IFERROR(IF(AND(ISNUMBER('Semi Rev'!J50),ISNUMBER('Semi Rev'!F50)),'Semi Rev'!J50-'Semi Rev'!F50,""),"")</f>
        <v/>
      </c>
      <c r="G477" s="30">
        <f>IFERROR(IF(AND(ISNUMBER('Semi Rev'!K50),ISNUMBER('Semi Rev'!G50)),'Semi Rev'!K50-'Semi Rev'!G50,""),"")</f>
        <v/>
      </c>
      <c r="H477" s="30">
        <f>IFERROR(IF(AND(ISNUMBER('Semi Rev'!L50),ISNUMBER('Semi Rev'!H50)),'Semi Rev'!L50-'Semi Rev'!H50,""),"")</f>
        <v/>
      </c>
      <c r="I477" s="30">
        <f>IFERROR(IF(AND(ISNUMBER('Semi Rev'!M50),ISNUMBER('Semi Rev'!I50)),'Semi Rev'!M50-'Semi Rev'!I50,""),"")</f>
        <v/>
      </c>
      <c r="J477" s="30">
        <f>IFERROR(IF(AND(ISNUMBER('Semi Rev'!N50),ISNUMBER('Semi Rev'!J50)),'Semi Rev'!N50-'Semi Rev'!J50,""),"")</f>
        <v/>
      </c>
      <c r="K477" s="30">
        <f>IFERROR(IF(AND(ISNUMBER('Semi Rev'!O50),ISNUMBER('Semi Rev'!K50)),'Semi Rev'!O50-'Semi Rev'!K50,""),"")</f>
        <v/>
      </c>
      <c r="L477" s="30">
        <f>IFERROR(IF(AND(ISNUMBER('Semi Rev'!P50),ISNUMBER('Semi Rev'!L50)),'Semi Rev'!P50-'Semi Rev'!L50,""),"")</f>
        <v/>
      </c>
      <c r="M477" s="31">
        <f>IFERROR(IF(AND(ISNUMBER('Semi Rev'!Q50),ISNUMBER('Semi Rev'!M50)),'Semi Rev'!Q50-'Semi Rev'!M50,""),"")</f>
        <v/>
      </c>
      <c r="N477" s="31">
        <f>IFERROR(IF(AND(ISNUMBER('Semi Rev'!R50),ISNUMBER('Semi Rev'!N50)),'Semi Rev'!R50-'Semi Rev'!N50,""),"")</f>
        <v/>
      </c>
    </row>
    <row r="478">
      <c r="A478" s="19">
        <f>'Semi Rev'!$A51</f>
        <v/>
      </c>
      <c r="B478" s="19">
        <f>'Semi Rev'!$B51</f>
        <v/>
      </c>
      <c r="C478" s="30">
        <f>IFERROR(IF(AND(ISNUMBER('Semi Rev'!G51),ISNUMBER('Semi Rev'!C51)),'Semi Rev'!G51-'Semi Rev'!C51,""),"")</f>
        <v/>
      </c>
      <c r="D478" s="30">
        <f>IFERROR(IF(AND(ISNUMBER('Semi Rev'!H51),ISNUMBER('Semi Rev'!D51)),'Semi Rev'!H51-'Semi Rev'!D51,""),"")</f>
        <v/>
      </c>
      <c r="E478" s="30">
        <f>IFERROR(IF(AND(ISNUMBER('Semi Rev'!I51),ISNUMBER('Semi Rev'!E51)),'Semi Rev'!I51-'Semi Rev'!E51,""),"")</f>
        <v/>
      </c>
      <c r="F478" s="30">
        <f>IFERROR(IF(AND(ISNUMBER('Semi Rev'!J51),ISNUMBER('Semi Rev'!F51)),'Semi Rev'!J51-'Semi Rev'!F51,""),"")</f>
        <v/>
      </c>
      <c r="G478" s="30">
        <f>IFERROR(IF(AND(ISNUMBER('Semi Rev'!K51),ISNUMBER('Semi Rev'!G51)),'Semi Rev'!K51-'Semi Rev'!G51,""),"")</f>
        <v/>
      </c>
      <c r="H478" s="30">
        <f>IFERROR(IF(AND(ISNUMBER('Semi Rev'!L51),ISNUMBER('Semi Rev'!H51)),'Semi Rev'!L51-'Semi Rev'!H51,""),"")</f>
        <v/>
      </c>
      <c r="I478" s="30">
        <f>IFERROR(IF(AND(ISNUMBER('Semi Rev'!M51),ISNUMBER('Semi Rev'!I51)),'Semi Rev'!M51-'Semi Rev'!I51,""),"")</f>
        <v/>
      </c>
      <c r="J478" s="30">
        <f>IFERROR(IF(AND(ISNUMBER('Semi Rev'!N51),ISNUMBER('Semi Rev'!J51)),'Semi Rev'!N51-'Semi Rev'!J51,""),"")</f>
        <v/>
      </c>
      <c r="K478" s="30">
        <f>IFERROR(IF(AND(ISNUMBER('Semi Rev'!O51),ISNUMBER('Semi Rev'!K51)),'Semi Rev'!O51-'Semi Rev'!K51,""),"")</f>
        <v/>
      </c>
      <c r="L478" s="30">
        <f>IFERROR(IF(AND(ISNUMBER('Semi Rev'!P51),ISNUMBER('Semi Rev'!L51)),'Semi Rev'!P51-'Semi Rev'!L51,""),"")</f>
        <v/>
      </c>
      <c r="M478" s="31">
        <f>IFERROR(IF(AND(ISNUMBER('Semi Rev'!Q51),ISNUMBER('Semi Rev'!M51)),'Semi Rev'!Q51-'Semi Rev'!M51,""),"")</f>
        <v/>
      </c>
      <c r="N478" s="31">
        <f>IFERROR(IF(AND(ISNUMBER('Semi Rev'!R51),ISNUMBER('Semi Rev'!N51)),'Semi Rev'!R51-'Semi Rev'!N51,""),"")</f>
        <v/>
      </c>
    </row>
    <row r="479">
      <c r="A479" s="19">
        <f>'Semi Rev'!$A52</f>
        <v/>
      </c>
      <c r="B479" s="19">
        <f>'Semi Rev'!$B52</f>
        <v/>
      </c>
      <c r="C479" s="30">
        <f>IFERROR(IF(AND(ISNUMBER('Semi Rev'!G52),ISNUMBER('Semi Rev'!C52)),'Semi Rev'!G52-'Semi Rev'!C52,""),"")</f>
        <v/>
      </c>
      <c r="D479" s="30">
        <f>IFERROR(IF(AND(ISNUMBER('Semi Rev'!H52),ISNUMBER('Semi Rev'!D52)),'Semi Rev'!H52-'Semi Rev'!D52,""),"")</f>
        <v/>
      </c>
      <c r="E479" s="30">
        <f>IFERROR(IF(AND(ISNUMBER('Semi Rev'!I52),ISNUMBER('Semi Rev'!E52)),'Semi Rev'!I52-'Semi Rev'!E52,""),"")</f>
        <v/>
      </c>
      <c r="F479" s="30">
        <f>IFERROR(IF(AND(ISNUMBER('Semi Rev'!J52),ISNUMBER('Semi Rev'!F52)),'Semi Rev'!J52-'Semi Rev'!F52,""),"")</f>
        <v/>
      </c>
      <c r="G479" s="30">
        <f>IFERROR(IF(AND(ISNUMBER('Semi Rev'!K52),ISNUMBER('Semi Rev'!G52)),'Semi Rev'!K52-'Semi Rev'!G52,""),"")</f>
        <v/>
      </c>
      <c r="H479" s="30">
        <f>IFERROR(IF(AND(ISNUMBER('Semi Rev'!L52),ISNUMBER('Semi Rev'!H52)),'Semi Rev'!L52-'Semi Rev'!H52,""),"")</f>
        <v/>
      </c>
      <c r="I479" s="30">
        <f>IFERROR(IF(AND(ISNUMBER('Semi Rev'!M52),ISNUMBER('Semi Rev'!I52)),'Semi Rev'!M52-'Semi Rev'!I52,""),"")</f>
        <v/>
      </c>
      <c r="J479" s="30">
        <f>IFERROR(IF(AND(ISNUMBER('Semi Rev'!N52),ISNUMBER('Semi Rev'!J52)),'Semi Rev'!N52-'Semi Rev'!J52,""),"")</f>
        <v/>
      </c>
      <c r="K479" s="30">
        <f>IFERROR(IF(AND(ISNUMBER('Semi Rev'!O52),ISNUMBER('Semi Rev'!K52)),'Semi Rev'!O52-'Semi Rev'!K52,""),"")</f>
        <v/>
      </c>
      <c r="L479" s="30">
        <f>IFERROR(IF(AND(ISNUMBER('Semi Rev'!P52),ISNUMBER('Semi Rev'!L52)),'Semi Rev'!P52-'Semi Rev'!L52,""),"")</f>
        <v/>
      </c>
      <c r="M479" s="31">
        <f>IFERROR(IF(AND(ISNUMBER('Semi Rev'!Q52),ISNUMBER('Semi Rev'!M52)),'Semi Rev'!Q52-'Semi Rev'!M52,""),"")</f>
        <v/>
      </c>
      <c r="N479" s="31">
        <f>IFERROR(IF(AND(ISNUMBER('Semi Rev'!R52),ISNUMBER('Semi Rev'!N52)),'Semi Rev'!R52-'Semi Rev'!N52,""),"")</f>
        <v/>
      </c>
    </row>
    <row r="480">
      <c r="A480" s="19">
        <f>'Semi Rev'!$A53</f>
        <v/>
      </c>
      <c r="B480" s="19">
        <f>'Semi Rev'!$B53</f>
        <v/>
      </c>
      <c r="C480" s="30">
        <f>IFERROR(IF(AND(ISNUMBER('Semi Rev'!G53),ISNUMBER('Semi Rev'!C53)),'Semi Rev'!G53-'Semi Rev'!C53,""),"")</f>
        <v/>
      </c>
      <c r="D480" s="30">
        <f>IFERROR(IF(AND(ISNUMBER('Semi Rev'!H53),ISNUMBER('Semi Rev'!D53)),'Semi Rev'!H53-'Semi Rev'!D53,""),"")</f>
        <v/>
      </c>
      <c r="E480" s="30">
        <f>IFERROR(IF(AND(ISNUMBER('Semi Rev'!I53),ISNUMBER('Semi Rev'!E53)),'Semi Rev'!I53-'Semi Rev'!E53,""),"")</f>
        <v/>
      </c>
      <c r="F480" s="30">
        <f>IFERROR(IF(AND(ISNUMBER('Semi Rev'!J53),ISNUMBER('Semi Rev'!F53)),'Semi Rev'!J53-'Semi Rev'!F53,""),"")</f>
        <v/>
      </c>
      <c r="G480" s="30">
        <f>IFERROR(IF(AND(ISNUMBER('Semi Rev'!K53),ISNUMBER('Semi Rev'!G53)),'Semi Rev'!K53-'Semi Rev'!G53,""),"")</f>
        <v/>
      </c>
      <c r="H480" s="30">
        <f>IFERROR(IF(AND(ISNUMBER('Semi Rev'!L53),ISNUMBER('Semi Rev'!H53)),'Semi Rev'!L53-'Semi Rev'!H53,""),"")</f>
        <v/>
      </c>
      <c r="I480" s="30">
        <f>IFERROR(IF(AND(ISNUMBER('Semi Rev'!M53),ISNUMBER('Semi Rev'!I53)),'Semi Rev'!M53-'Semi Rev'!I53,""),"")</f>
        <v/>
      </c>
      <c r="J480" s="30">
        <f>IFERROR(IF(AND(ISNUMBER('Semi Rev'!N53),ISNUMBER('Semi Rev'!J53)),'Semi Rev'!N53-'Semi Rev'!J53,""),"")</f>
        <v/>
      </c>
      <c r="K480" s="30">
        <f>IFERROR(IF(AND(ISNUMBER('Semi Rev'!O53),ISNUMBER('Semi Rev'!K53)),'Semi Rev'!O53-'Semi Rev'!K53,""),"")</f>
        <v/>
      </c>
      <c r="L480" s="30">
        <f>IFERROR(IF(AND(ISNUMBER('Semi Rev'!P53),ISNUMBER('Semi Rev'!L53)),'Semi Rev'!P53-'Semi Rev'!L53,""),"")</f>
        <v/>
      </c>
      <c r="M480" s="31">
        <f>IFERROR(IF(AND(ISNUMBER('Semi Rev'!Q53),ISNUMBER('Semi Rev'!M53)),'Semi Rev'!Q53-'Semi Rev'!M53,""),"")</f>
        <v/>
      </c>
      <c r="N480" s="31">
        <f>IFERROR(IF(AND(ISNUMBER('Semi Rev'!R53),ISNUMBER('Semi Rev'!N53)),'Semi Rev'!R53-'Semi Rev'!N53,""),"")</f>
        <v/>
      </c>
    </row>
    <row r="481">
      <c r="A481" s="19">
        <f>'Semi Rev'!$A54</f>
        <v/>
      </c>
      <c r="B481" s="19">
        <f>'Semi Rev'!$B54</f>
        <v/>
      </c>
      <c r="C481" s="30">
        <f>IFERROR(IF(AND(ISNUMBER('Semi Rev'!G54),ISNUMBER('Semi Rev'!C54)),'Semi Rev'!G54-'Semi Rev'!C54,""),"")</f>
        <v/>
      </c>
      <c r="D481" s="30">
        <f>IFERROR(IF(AND(ISNUMBER('Semi Rev'!H54),ISNUMBER('Semi Rev'!D54)),'Semi Rev'!H54-'Semi Rev'!D54,""),"")</f>
        <v/>
      </c>
      <c r="E481" s="30">
        <f>IFERROR(IF(AND(ISNUMBER('Semi Rev'!I54),ISNUMBER('Semi Rev'!E54)),'Semi Rev'!I54-'Semi Rev'!E54,""),"")</f>
        <v/>
      </c>
      <c r="F481" s="30">
        <f>IFERROR(IF(AND(ISNUMBER('Semi Rev'!J54),ISNUMBER('Semi Rev'!F54)),'Semi Rev'!J54-'Semi Rev'!F54,""),"")</f>
        <v/>
      </c>
      <c r="G481" s="30">
        <f>IFERROR(IF(AND(ISNUMBER('Semi Rev'!K54),ISNUMBER('Semi Rev'!G54)),'Semi Rev'!K54-'Semi Rev'!G54,""),"")</f>
        <v/>
      </c>
      <c r="H481" s="30">
        <f>IFERROR(IF(AND(ISNUMBER('Semi Rev'!L54),ISNUMBER('Semi Rev'!H54)),'Semi Rev'!L54-'Semi Rev'!H54,""),"")</f>
        <v/>
      </c>
      <c r="I481" s="30">
        <f>IFERROR(IF(AND(ISNUMBER('Semi Rev'!M54),ISNUMBER('Semi Rev'!I54)),'Semi Rev'!M54-'Semi Rev'!I54,""),"")</f>
        <v/>
      </c>
      <c r="J481" s="30">
        <f>IFERROR(IF(AND(ISNUMBER('Semi Rev'!N54),ISNUMBER('Semi Rev'!J54)),'Semi Rev'!N54-'Semi Rev'!J54,""),"")</f>
        <v/>
      </c>
      <c r="K481" s="30">
        <f>IFERROR(IF(AND(ISNUMBER('Semi Rev'!O54),ISNUMBER('Semi Rev'!K54)),'Semi Rev'!O54-'Semi Rev'!K54,""),"")</f>
        <v/>
      </c>
      <c r="L481" s="30">
        <f>IFERROR(IF(AND(ISNUMBER('Semi Rev'!P54),ISNUMBER('Semi Rev'!L54)),'Semi Rev'!P54-'Semi Rev'!L54,""),"")</f>
        <v/>
      </c>
      <c r="M481" s="31">
        <f>IFERROR(IF(AND(ISNUMBER('Semi Rev'!Q54),ISNUMBER('Semi Rev'!M54)),'Semi Rev'!Q54-'Semi Rev'!M54,""),"")</f>
        <v/>
      </c>
      <c r="N481" s="31">
        <f>IFERROR(IF(AND(ISNUMBER('Semi Rev'!R54),ISNUMBER('Semi Rev'!N54)),'Semi Rev'!R54-'Semi Rev'!N54,""),"")</f>
        <v/>
      </c>
    </row>
    <row r="482">
      <c r="A482" s="19">
        <f>'Semi Rev'!$A55</f>
        <v/>
      </c>
      <c r="B482" s="19">
        <f>'Semi Rev'!$B55</f>
        <v/>
      </c>
      <c r="C482" s="30">
        <f>IFERROR(IF(AND(ISNUMBER('Semi Rev'!G55),ISNUMBER('Semi Rev'!C55)),'Semi Rev'!G55-'Semi Rev'!C55,""),"")</f>
        <v/>
      </c>
      <c r="D482" s="30">
        <f>IFERROR(IF(AND(ISNUMBER('Semi Rev'!H55),ISNUMBER('Semi Rev'!D55)),'Semi Rev'!H55-'Semi Rev'!D55,""),"")</f>
        <v/>
      </c>
      <c r="E482" s="30">
        <f>IFERROR(IF(AND(ISNUMBER('Semi Rev'!I55),ISNUMBER('Semi Rev'!E55)),'Semi Rev'!I55-'Semi Rev'!E55,""),"")</f>
        <v/>
      </c>
      <c r="F482" s="30">
        <f>IFERROR(IF(AND(ISNUMBER('Semi Rev'!J55),ISNUMBER('Semi Rev'!F55)),'Semi Rev'!J55-'Semi Rev'!F55,""),"")</f>
        <v/>
      </c>
      <c r="G482" s="30">
        <f>IFERROR(IF(AND(ISNUMBER('Semi Rev'!K55),ISNUMBER('Semi Rev'!G55)),'Semi Rev'!K55-'Semi Rev'!G55,""),"")</f>
        <v/>
      </c>
      <c r="H482" s="30">
        <f>IFERROR(IF(AND(ISNUMBER('Semi Rev'!L55),ISNUMBER('Semi Rev'!H55)),'Semi Rev'!L55-'Semi Rev'!H55,""),"")</f>
        <v/>
      </c>
      <c r="I482" s="30">
        <f>IFERROR(IF(AND(ISNUMBER('Semi Rev'!M55),ISNUMBER('Semi Rev'!I55)),'Semi Rev'!M55-'Semi Rev'!I55,""),"")</f>
        <v/>
      </c>
      <c r="J482" s="30">
        <f>IFERROR(IF(AND(ISNUMBER('Semi Rev'!N55),ISNUMBER('Semi Rev'!J55)),'Semi Rev'!N55-'Semi Rev'!J55,""),"")</f>
        <v/>
      </c>
      <c r="K482" s="30">
        <f>IFERROR(IF(AND(ISNUMBER('Semi Rev'!O55),ISNUMBER('Semi Rev'!K55)),'Semi Rev'!O55-'Semi Rev'!K55,""),"")</f>
        <v/>
      </c>
      <c r="L482" s="30">
        <f>IFERROR(IF(AND(ISNUMBER('Semi Rev'!P55),ISNUMBER('Semi Rev'!L55)),'Semi Rev'!P55-'Semi Rev'!L55,""),"")</f>
        <v/>
      </c>
      <c r="M482" s="31">
        <f>IFERROR(IF(AND(ISNUMBER('Semi Rev'!Q55),ISNUMBER('Semi Rev'!M55)),'Semi Rev'!Q55-'Semi Rev'!M55,""),"")</f>
        <v/>
      </c>
      <c r="N482" s="31">
        <f>IFERROR(IF(AND(ISNUMBER('Semi Rev'!R55),ISNUMBER('Semi Rev'!N55)),'Semi Rev'!R55-'Semi Rev'!N55,""),"")</f>
        <v/>
      </c>
    </row>
    <row r="483">
      <c r="A483" s="19">
        <f>'Semi Rev'!$A56</f>
        <v/>
      </c>
      <c r="B483" s="19">
        <f>'Semi Rev'!$B56</f>
        <v/>
      </c>
      <c r="C483" s="30">
        <f>IFERROR(IF(AND(ISNUMBER('Semi Rev'!G56),ISNUMBER('Semi Rev'!C56)),'Semi Rev'!G56-'Semi Rev'!C56,""),"")</f>
        <v/>
      </c>
      <c r="D483" s="30">
        <f>IFERROR(IF(AND(ISNUMBER('Semi Rev'!H56),ISNUMBER('Semi Rev'!D56)),'Semi Rev'!H56-'Semi Rev'!D56,""),"")</f>
        <v/>
      </c>
      <c r="E483" s="30">
        <f>IFERROR(IF(AND(ISNUMBER('Semi Rev'!I56),ISNUMBER('Semi Rev'!E56)),'Semi Rev'!I56-'Semi Rev'!E56,""),"")</f>
        <v/>
      </c>
      <c r="F483" s="30">
        <f>IFERROR(IF(AND(ISNUMBER('Semi Rev'!J56),ISNUMBER('Semi Rev'!F56)),'Semi Rev'!J56-'Semi Rev'!F56,""),"")</f>
        <v/>
      </c>
      <c r="G483" s="30">
        <f>IFERROR(IF(AND(ISNUMBER('Semi Rev'!K56),ISNUMBER('Semi Rev'!G56)),'Semi Rev'!K56-'Semi Rev'!G56,""),"")</f>
        <v/>
      </c>
      <c r="H483" s="30">
        <f>IFERROR(IF(AND(ISNUMBER('Semi Rev'!L56),ISNUMBER('Semi Rev'!H56)),'Semi Rev'!L56-'Semi Rev'!H56,""),"")</f>
        <v/>
      </c>
      <c r="I483" s="30">
        <f>IFERROR(IF(AND(ISNUMBER('Semi Rev'!M56),ISNUMBER('Semi Rev'!I56)),'Semi Rev'!M56-'Semi Rev'!I56,""),"")</f>
        <v/>
      </c>
      <c r="J483" s="30">
        <f>IFERROR(IF(AND(ISNUMBER('Semi Rev'!N56),ISNUMBER('Semi Rev'!J56)),'Semi Rev'!N56-'Semi Rev'!J56,""),"")</f>
        <v/>
      </c>
      <c r="K483" s="30">
        <f>IFERROR(IF(AND(ISNUMBER('Semi Rev'!O56),ISNUMBER('Semi Rev'!K56)),'Semi Rev'!O56-'Semi Rev'!K56,""),"")</f>
        <v/>
      </c>
      <c r="L483" s="30">
        <f>IFERROR(IF(AND(ISNUMBER('Semi Rev'!P56),ISNUMBER('Semi Rev'!L56)),'Semi Rev'!P56-'Semi Rev'!L56,""),"")</f>
        <v/>
      </c>
      <c r="M483" s="31">
        <f>IFERROR(IF(AND(ISNUMBER('Semi Rev'!Q56),ISNUMBER('Semi Rev'!M56)),'Semi Rev'!Q56-'Semi Rev'!M56,""),"")</f>
        <v/>
      </c>
      <c r="N483" s="31">
        <f>IFERROR(IF(AND(ISNUMBER('Semi Rev'!R56),ISNUMBER('Semi Rev'!N56)),'Semi Rev'!R56-'Semi Rev'!N56,""),"")</f>
        <v/>
      </c>
    </row>
    <row r="484">
      <c r="A484" s="19">
        <f>'Semi Rev'!$A57</f>
        <v/>
      </c>
      <c r="B484" s="19">
        <f>'Semi Rev'!$B57</f>
        <v/>
      </c>
      <c r="C484" s="30">
        <f>IFERROR(IF(AND(ISNUMBER('Semi Rev'!G57),ISNUMBER('Semi Rev'!C57)),'Semi Rev'!G57-'Semi Rev'!C57,""),"")</f>
        <v/>
      </c>
      <c r="D484" s="30">
        <f>IFERROR(IF(AND(ISNUMBER('Semi Rev'!H57),ISNUMBER('Semi Rev'!D57)),'Semi Rev'!H57-'Semi Rev'!D57,""),"")</f>
        <v/>
      </c>
      <c r="E484" s="30">
        <f>IFERROR(IF(AND(ISNUMBER('Semi Rev'!I57),ISNUMBER('Semi Rev'!E57)),'Semi Rev'!I57-'Semi Rev'!E57,""),"")</f>
        <v/>
      </c>
      <c r="F484" s="30">
        <f>IFERROR(IF(AND(ISNUMBER('Semi Rev'!J57),ISNUMBER('Semi Rev'!F57)),'Semi Rev'!J57-'Semi Rev'!F57,""),"")</f>
        <v/>
      </c>
      <c r="G484" s="30">
        <f>IFERROR(IF(AND(ISNUMBER('Semi Rev'!K57),ISNUMBER('Semi Rev'!G57)),'Semi Rev'!K57-'Semi Rev'!G57,""),"")</f>
        <v/>
      </c>
      <c r="H484" s="30">
        <f>IFERROR(IF(AND(ISNUMBER('Semi Rev'!L57),ISNUMBER('Semi Rev'!H57)),'Semi Rev'!L57-'Semi Rev'!H57,""),"")</f>
        <v/>
      </c>
      <c r="I484" s="30">
        <f>IFERROR(IF(AND(ISNUMBER('Semi Rev'!M57),ISNUMBER('Semi Rev'!I57)),'Semi Rev'!M57-'Semi Rev'!I57,""),"")</f>
        <v/>
      </c>
      <c r="J484" s="30">
        <f>IFERROR(IF(AND(ISNUMBER('Semi Rev'!N57),ISNUMBER('Semi Rev'!J57)),'Semi Rev'!N57-'Semi Rev'!J57,""),"")</f>
        <v/>
      </c>
      <c r="K484" s="30">
        <f>IFERROR(IF(AND(ISNUMBER('Semi Rev'!O57),ISNUMBER('Semi Rev'!K57)),'Semi Rev'!O57-'Semi Rev'!K57,""),"")</f>
        <v/>
      </c>
      <c r="L484" s="30">
        <f>IFERROR(IF(AND(ISNUMBER('Semi Rev'!P57),ISNUMBER('Semi Rev'!L57)),'Semi Rev'!P57-'Semi Rev'!L57,""),"")</f>
        <v/>
      </c>
      <c r="M484" s="31">
        <f>IFERROR(IF(AND(ISNUMBER('Semi Rev'!Q57),ISNUMBER('Semi Rev'!M57)),'Semi Rev'!Q57-'Semi Rev'!M57,""),"")</f>
        <v/>
      </c>
      <c r="N484" s="31">
        <f>IFERROR(IF(AND(ISNUMBER('Semi Rev'!R57),ISNUMBER('Semi Rev'!N57)),'Semi Rev'!R57-'Semi Rev'!N57,""),"")</f>
        <v/>
      </c>
    </row>
    <row r="485">
      <c r="A485" s="19">
        <f>'Semi Rev'!$A58</f>
        <v/>
      </c>
      <c r="B485" s="19">
        <f>'Semi Rev'!$B58</f>
        <v/>
      </c>
      <c r="C485" s="30">
        <f>IFERROR(IF(AND(ISNUMBER('Semi Rev'!G58),ISNUMBER('Semi Rev'!C58)),'Semi Rev'!G58-'Semi Rev'!C58,""),"")</f>
        <v/>
      </c>
      <c r="D485" s="30">
        <f>IFERROR(IF(AND(ISNUMBER('Semi Rev'!H58),ISNUMBER('Semi Rev'!D58)),'Semi Rev'!H58-'Semi Rev'!D58,""),"")</f>
        <v/>
      </c>
      <c r="E485" s="30">
        <f>IFERROR(IF(AND(ISNUMBER('Semi Rev'!I58),ISNUMBER('Semi Rev'!E58)),'Semi Rev'!I58-'Semi Rev'!E58,""),"")</f>
        <v/>
      </c>
      <c r="F485" s="30">
        <f>IFERROR(IF(AND(ISNUMBER('Semi Rev'!J58),ISNUMBER('Semi Rev'!F58)),'Semi Rev'!J58-'Semi Rev'!F58,""),"")</f>
        <v/>
      </c>
      <c r="G485" s="30">
        <f>IFERROR(IF(AND(ISNUMBER('Semi Rev'!K58),ISNUMBER('Semi Rev'!G58)),'Semi Rev'!K58-'Semi Rev'!G58,""),"")</f>
        <v/>
      </c>
      <c r="H485" s="30">
        <f>IFERROR(IF(AND(ISNUMBER('Semi Rev'!L58),ISNUMBER('Semi Rev'!H58)),'Semi Rev'!L58-'Semi Rev'!H58,""),"")</f>
        <v/>
      </c>
      <c r="I485" s="30">
        <f>IFERROR(IF(AND(ISNUMBER('Semi Rev'!M58),ISNUMBER('Semi Rev'!I58)),'Semi Rev'!M58-'Semi Rev'!I58,""),"")</f>
        <v/>
      </c>
      <c r="J485" s="30">
        <f>IFERROR(IF(AND(ISNUMBER('Semi Rev'!N58),ISNUMBER('Semi Rev'!J58)),'Semi Rev'!N58-'Semi Rev'!J58,""),"")</f>
        <v/>
      </c>
      <c r="K485" s="30">
        <f>IFERROR(IF(AND(ISNUMBER('Semi Rev'!O58),ISNUMBER('Semi Rev'!K58)),'Semi Rev'!O58-'Semi Rev'!K58,""),"")</f>
        <v/>
      </c>
      <c r="L485" s="30">
        <f>IFERROR(IF(AND(ISNUMBER('Semi Rev'!P58),ISNUMBER('Semi Rev'!L58)),'Semi Rev'!P58-'Semi Rev'!L58,""),"")</f>
        <v/>
      </c>
      <c r="M485" s="31">
        <f>IFERROR(IF(AND(ISNUMBER('Semi Rev'!Q58),ISNUMBER('Semi Rev'!M58)),'Semi Rev'!Q58-'Semi Rev'!M58,""),"")</f>
        <v/>
      </c>
      <c r="N485" s="31">
        <f>IFERROR(IF(AND(ISNUMBER('Semi Rev'!R58),ISNUMBER('Semi Rev'!N58)),'Semi Rev'!R58-'Semi Rev'!N58,""),"")</f>
        <v/>
      </c>
    </row>
    <row r="486">
      <c r="A486" s="19">
        <f>'Semi Rev'!$A59</f>
        <v/>
      </c>
      <c r="B486" s="19">
        <f>'Semi Rev'!$B59</f>
        <v/>
      </c>
      <c r="C486" s="30">
        <f>IFERROR(IF(AND(ISNUMBER('Semi Rev'!G59),ISNUMBER('Semi Rev'!C59)),'Semi Rev'!G59-'Semi Rev'!C59,""),"")</f>
        <v/>
      </c>
      <c r="D486" s="30">
        <f>IFERROR(IF(AND(ISNUMBER('Semi Rev'!H59),ISNUMBER('Semi Rev'!D59)),'Semi Rev'!H59-'Semi Rev'!D59,""),"")</f>
        <v/>
      </c>
      <c r="E486" s="30">
        <f>IFERROR(IF(AND(ISNUMBER('Semi Rev'!I59),ISNUMBER('Semi Rev'!E59)),'Semi Rev'!I59-'Semi Rev'!E59,""),"")</f>
        <v/>
      </c>
      <c r="F486" s="30">
        <f>IFERROR(IF(AND(ISNUMBER('Semi Rev'!J59),ISNUMBER('Semi Rev'!F59)),'Semi Rev'!J59-'Semi Rev'!F59,""),"")</f>
        <v/>
      </c>
      <c r="G486" s="30">
        <f>IFERROR(IF(AND(ISNUMBER('Semi Rev'!K59),ISNUMBER('Semi Rev'!G59)),'Semi Rev'!K59-'Semi Rev'!G59,""),"")</f>
        <v/>
      </c>
      <c r="H486" s="30">
        <f>IFERROR(IF(AND(ISNUMBER('Semi Rev'!L59),ISNUMBER('Semi Rev'!H59)),'Semi Rev'!L59-'Semi Rev'!H59,""),"")</f>
        <v/>
      </c>
      <c r="I486" s="30">
        <f>IFERROR(IF(AND(ISNUMBER('Semi Rev'!M59),ISNUMBER('Semi Rev'!I59)),'Semi Rev'!M59-'Semi Rev'!I59,""),"")</f>
        <v/>
      </c>
      <c r="J486" s="30">
        <f>IFERROR(IF(AND(ISNUMBER('Semi Rev'!N59),ISNUMBER('Semi Rev'!J59)),'Semi Rev'!N59-'Semi Rev'!J59,""),"")</f>
        <v/>
      </c>
      <c r="K486" s="30">
        <f>IFERROR(IF(AND(ISNUMBER('Semi Rev'!O59),ISNUMBER('Semi Rev'!K59)),'Semi Rev'!O59-'Semi Rev'!K59,""),"")</f>
        <v/>
      </c>
      <c r="L486" s="30">
        <f>IFERROR(IF(AND(ISNUMBER('Semi Rev'!P59),ISNUMBER('Semi Rev'!L59)),'Semi Rev'!P59-'Semi Rev'!L59,""),"")</f>
        <v/>
      </c>
      <c r="M486" s="31">
        <f>IFERROR(IF(AND(ISNUMBER('Semi Rev'!Q59),ISNUMBER('Semi Rev'!M59)),'Semi Rev'!Q59-'Semi Rev'!M59,""),"")</f>
        <v/>
      </c>
      <c r="N486" s="31">
        <f>IFERROR(IF(AND(ISNUMBER('Semi Rev'!R59),ISNUMBER('Semi Rev'!N59)),'Semi Rev'!R59-'Semi Rev'!N59,""),"")</f>
        <v/>
      </c>
    </row>
    <row r="487">
      <c r="A487" s="19">
        <f>'Semi Rev'!$A60</f>
        <v/>
      </c>
      <c r="B487" s="19">
        <f>'Semi Rev'!$B60</f>
        <v/>
      </c>
      <c r="C487" s="30">
        <f>IFERROR(IF(AND(ISNUMBER('Semi Rev'!G60),ISNUMBER('Semi Rev'!C60)),'Semi Rev'!G60-'Semi Rev'!C60,""),"")</f>
        <v/>
      </c>
      <c r="D487" s="30">
        <f>IFERROR(IF(AND(ISNUMBER('Semi Rev'!H60),ISNUMBER('Semi Rev'!D60)),'Semi Rev'!H60-'Semi Rev'!D60,""),"")</f>
        <v/>
      </c>
      <c r="E487" s="30">
        <f>IFERROR(IF(AND(ISNUMBER('Semi Rev'!I60),ISNUMBER('Semi Rev'!E60)),'Semi Rev'!I60-'Semi Rev'!E60,""),"")</f>
        <v/>
      </c>
      <c r="F487" s="30">
        <f>IFERROR(IF(AND(ISNUMBER('Semi Rev'!J60),ISNUMBER('Semi Rev'!F60)),'Semi Rev'!J60-'Semi Rev'!F60,""),"")</f>
        <v/>
      </c>
      <c r="G487" s="30">
        <f>IFERROR(IF(AND(ISNUMBER('Semi Rev'!K60),ISNUMBER('Semi Rev'!G60)),'Semi Rev'!K60-'Semi Rev'!G60,""),"")</f>
        <v/>
      </c>
      <c r="H487" s="30">
        <f>IFERROR(IF(AND(ISNUMBER('Semi Rev'!L60),ISNUMBER('Semi Rev'!H60)),'Semi Rev'!L60-'Semi Rev'!H60,""),"")</f>
        <v/>
      </c>
      <c r="I487" s="30">
        <f>IFERROR(IF(AND(ISNUMBER('Semi Rev'!M60),ISNUMBER('Semi Rev'!I60)),'Semi Rev'!M60-'Semi Rev'!I60,""),"")</f>
        <v/>
      </c>
      <c r="J487" s="30">
        <f>IFERROR(IF(AND(ISNUMBER('Semi Rev'!N60),ISNUMBER('Semi Rev'!J60)),'Semi Rev'!N60-'Semi Rev'!J60,""),"")</f>
        <v/>
      </c>
      <c r="K487" s="30">
        <f>IFERROR(IF(AND(ISNUMBER('Semi Rev'!O60),ISNUMBER('Semi Rev'!K60)),'Semi Rev'!O60-'Semi Rev'!K60,""),"")</f>
        <v/>
      </c>
      <c r="L487" s="30">
        <f>IFERROR(IF(AND(ISNUMBER('Semi Rev'!P60),ISNUMBER('Semi Rev'!L60)),'Semi Rev'!P60-'Semi Rev'!L60,""),"")</f>
        <v/>
      </c>
      <c r="M487" s="31">
        <f>IFERROR(IF(AND(ISNUMBER('Semi Rev'!Q60),ISNUMBER('Semi Rev'!M60)),'Semi Rev'!Q60-'Semi Rev'!M60,""),"")</f>
        <v/>
      </c>
      <c r="N487" s="31">
        <f>IFERROR(IF(AND(ISNUMBER('Semi Rev'!R60),ISNUMBER('Semi Rev'!N60)),'Semi Rev'!R60-'Semi Rev'!N60,""),"")</f>
        <v/>
      </c>
    </row>
    <row r="488">
      <c r="A488" s="19">
        <f>'Semi Rev'!$A61</f>
        <v/>
      </c>
      <c r="B488" s="19">
        <f>'Semi Rev'!$B61</f>
        <v/>
      </c>
      <c r="C488" s="30">
        <f>IFERROR(IF(AND(ISNUMBER('Semi Rev'!G61),ISNUMBER('Semi Rev'!C61)),'Semi Rev'!G61-'Semi Rev'!C61,""),"")</f>
        <v/>
      </c>
      <c r="D488" s="30">
        <f>IFERROR(IF(AND(ISNUMBER('Semi Rev'!H61),ISNUMBER('Semi Rev'!D61)),'Semi Rev'!H61-'Semi Rev'!D61,""),"")</f>
        <v/>
      </c>
      <c r="E488" s="30">
        <f>IFERROR(IF(AND(ISNUMBER('Semi Rev'!I61),ISNUMBER('Semi Rev'!E61)),'Semi Rev'!I61-'Semi Rev'!E61,""),"")</f>
        <v/>
      </c>
      <c r="F488" s="30">
        <f>IFERROR(IF(AND(ISNUMBER('Semi Rev'!J61),ISNUMBER('Semi Rev'!F61)),'Semi Rev'!J61-'Semi Rev'!F61,""),"")</f>
        <v/>
      </c>
      <c r="G488" s="30">
        <f>IFERROR(IF(AND(ISNUMBER('Semi Rev'!K61),ISNUMBER('Semi Rev'!G61)),'Semi Rev'!K61-'Semi Rev'!G61,""),"")</f>
        <v/>
      </c>
      <c r="H488" s="30">
        <f>IFERROR(IF(AND(ISNUMBER('Semi Rev'!L61),ISNUMBER('Semi Rev'!H61)),'Semi Rev'!L61-'Semi Rev'!H61,""),"")</f>
        <v/>
      </c>
      <c r="I488" s="30">
        <f>IFERROR(IF(AND(ISNUMBER('Semi Rev'!M61),ISNUMBER('Semi Rev'!I61)),'Semi Rev'!M61-'Semi Rev'!I61,""),"")</f>
        <v/>
      </c>
      <c r="J488" s="30">
        <f>IFERROR(IF(AND(ISNUMBER('Semi Rev'!N61),ISNUMBER('Semi Rev'!J61)),'Semi Rev'!N61-'Semi Rev'!J61,""),"")</f>
        <v/>
      </c>
      <c r="K488" s="30">
        <f>IFERROR(IF(AND(ISNUMBER('Semi Rev'!O61),ISNUMBER('Semi Rev'!K61)),'Semi Rev'!O61-'Semi Rev'!K61,""),"")</f>
        <v/>
      </c>
      <c r="L488" s="30">
        <f>IFERROR(IF(AND(ISNUMBER('Semi Rev'!P61),ISNUMBER('Semi Rev'!L61)),'Semi Rev'!P61-'Semi Rev'!L61,""),"")</f>
        <v/>
      </c>
      <c r="M488" s="31">
        <f>IFERROR(IF(AND(ISNUMBER('Semi Rev'!Q61),ISNUMBER('Semi Rev'!M61)),'Semi Rev'!Q61-'Semi Rev'!M61,""),"")</f>
        <v/>
      </c>
      <c r="N488" s="31">
        <f>IFERROR(IF(AND(ISNUMBER('Semi Rev'!R61),ISNUMBER('Semi Rev'!N61)),'Semi Rev'!R61-'Semi Rev'!N61,""),"")</f>
        <v/>
      </c>
    </row>
    <row r="489">
      <c r="A489" s="19">
        <f>'Semi Rev'!$A62</f>
        <v/>
      </c>
      <c r="B489" s="19">
        <f>'Semi Rev'!$B62</f>
        <v/>
      </c>
      <c r="C489" s="30">
        <f>IFERROR(IF(AND(ISNUMBER('Semi Rev'!G62),ISNUMBER('Semi Rev'!C62)),'Semi Rev'!G62-'Semi Rev'!C62,""),"")</f>
        <v/>
      </c>
      <c r="D489" s="30">
        <f>IFERROR(IF(AND(ISNUMBER('Semi Rev'!H62),ISNUMBER('Semi Rev'!D62)),'Semi Rev'!H62-'Semi Rev'!D62,""),"")</f>
        <v/>
      </c>
      <c r="E489" s="30">
        <f>IFERROR(IF(AND(ISNUMBER('Semi Rev'!I62),ISNUMBER('Semi Rev'!E62)),'Semi Rev'!I62-'Semi Rev'!E62,""),"")</f>
        <v/>
      </c>
      <c r="F489" s="30">
        <f>IFERROR(IF(AND(ISNUMBER('Semi Rev'!J62),ISNUMBER('Semi Rev'!F62)),'Semi Rev'!J62-'Semi Rev'!F62,""),"")</f>
        <v/>
      </c>
      <c r="G489" s="30">
        <f>IFERROR(IF(AND(ISNUMBER('Semi Rev'!K62),ISNUMBER('Semi Rev'!G62)),'Semi Rev'!K62-'Semi Rev'!G62,""),"")</f>
        <v/>
      </c>
      <c r="H489" s="30">
        <f>IFERROR(IF(AND(ISNUMBER('Semi Rev'!L62),ISNUMBER('Semi Rev'!H62)),'Semi Rev'!L62-'Semi Rev'!H62,""),"")</f>
        <v/>
      </c>
      <c r="I489" s="30">
        <f>IFERROR(IF(AND(ISNUMBER('Semi Rev'!M62),ISNUMBER('Semi Rev'!I62)),'Semi Rev'!M62-'Semi Rev'!I62,""),"")</f>
        <v/>
      </c>
      <c r="J489" s="30">
        <f>IFERROR(IF(AND(ISNUMBER('Semi Rev'!N62),ISNUMBER('Semi Rev'!J62)),'Semi Rev'!N62-'Semi Rev'!J62,""),"")</f>
        <v/>
      </c>
      <c r="K489" s="30">
        <f>IFERROR(IF(AND(ISNUMBER('Semi Rev'!O62),ISNUMBER('Semi Rev'!K62)),'Semi Rev'!O62-'Semi Rev'!K62,""),"")</f>
        <v/>
      </c>
      <c r="L489" s="30">
        <f>IFERROR(IF(AND(ISNUMBER('Semi Rev'!P62),ISNUMBER('Semi Rev'!L62)),'Semi Rev'!P62-'Semi Rev'!L62,""),"")</f>
        <v/>
      </c>
      <c r="M489" s="31">
        <f>IFERROR(IF(AND(ISNUMBER('Semi Rev'!Q62),ISNUMBER('Semi Rev'!M62)),'Semi Rev'!Q62-'Semi Rev'!M62,""),"")</f>
        <v/>
      </c>
      <c r="N489" s="31">
        <f>IFERROR(IF(AND(ISNUMBER('Semi Rev'!R62),ISNUMBER('Semi Rev'!N62)),'Semi Rev'!R62-'Semi Rev'!N62,""),"")</f>
        <v/>
      </c>
    </row>
    <row r="490">
      <c r="A490" s="19">
        <f>'Semi Rev'!$A63</f>
        <v/>
      </c>
      <c r="B490" s="19">
        <f>'Semi Rev'!$B63</f>
        <v/>
      </c>
      <c r="C490" s="30">
        <f>IFERROR(IF(AND(ISNUMBER('Semi Rev'!G63),ISNUMBER('Semi Rev'!C63)),'Semi Rev'!G63-'Semi Rev'!C63,""),"")</f>
        <v/>
      </c>
      <c r="D490" s="30">
        <f>IFERROR(IF(AND(ISNUMBER('Semi Rev'!H63),ISNUMBER('Semi Rev'!D63)),'Semi Rev'!H63-'Semi Rev'!D63,""),"")</f>
        <v/>
      </c>
      <c r="E490" s="30">
        <f>IFERROR(IF(AND(ISNUMBER('Semi Rev'!I63),ISNUMBER('Semi Rev'!E63)),'Semi Rev'!I63-'Semi Rev'!E63,""),"")</f>
        <v/>
      </c>
      <c r="F490" s="30">
        <f>IFERROR(IF(AND(ISNUMBER('Semi Rev'!J63),ISNUMBER('Semi Rev'!F63)),'Semi Rev'!J63-'Semi Rev'!F63,""),"")</f>
        <v/>
      </c>
      <c r="G490" s="30">
        <f>IFERROR(IF(AND(ISNUMBER('Semi Rev'!K63),ISNUMBER('Semi Rev'!G63)),'Semi Rev'!K63-'Semi Rev'!G63,""),"")</f>
        <v/>
      </c>
      <c r="H490" s="30">
        <f>IFERROR(IF(AND(ISNUMBER('Semi Rev'!L63),ISNUMBER('Semi Rev'!H63)),'Semi Rev'!L63-'Semi Rev'!H63,""),"")</f>
        <v/>
      </c>
      <c r="I490" s="30">
        <f>IFERROR(IF(AND(ISNUMBER('Semi Rev'!M63),ISNUMBER('Semi Rev'!I63)),'Semi Rev'!M63-'Semi Rev'!I63,""),"")</f>
        <v/>
      </c>
      <c r="J490" s="30">
        <f>IFERROR(IF(AND(ISNUMBER('Semi Rev'!N63),ISNUMBER('Semi Rev'!J63)),'Semi Rev'!N63-'Semi Rev'!J63,""),"")</f>
        <v/>
      </c>
      <c r="K490" s="30">
        <f>IFERROR(IF(AND(ISNUMBER('Semi Rev'!O63),ISNUMBER('Semi Rev'!K63)),'Semi Rev'!O63-'Semi Rev'!K63,""),"")</f>
        <v/>
      </c>
      <c r="L490" s="30">
        <f>IFERROR(IF(AND(ISNUMBER('Semi Rev'!P63),ISNUMBER('Semi Rev'!L63)),'Semi Rev'!P63-'Semi Rev'!L63,""),"")</f>
        <v/>
      </c>
      <c r="M490" s="31">
        <f>IFERROR(IF(AND(ISNUMBER('Semi Rev'!Q63),ISNUMBER('Semi Rev'!M63)),'Semi Rev'!Q63-'Semi Rev'!M63,""),"")</f>
        <v/>
      </c>
      <c r="N490" s="31">
        <f>IFERROR(IF(AND(ISNUMBER('Semi Rev'!R63),ISNUMBER('Semi Rev'!N63)),'Semi Rev'!R63-'Semi Rev'!N63,""),"")</f>
        <v/>
      </c>
    </row>
    <row r="491">
      <c r="A491" s="19">
        <f>'Semi Rev'!$A64</f>
        <v/>
      </c>
      <c r="B491" s="19">
        <f>'Semi Rev'!$B64</f>
        <v/>
      </c>
      <c r="C491" s="30">
        <f>IFERROR(IF(AND(ISNUMBER('Semi Rev'!G64),ISNUMBER('Semi Rev'!C64)),'Semi Rev'!G64-'Semi Rev'!C64,""),"")</f>
        <v/>
      </c>
      <c r="D491" s="30">
        <f>IFERROR(IF(AND(ISNUMBER('Semi Rev'!H64),ISNUMBER('Semi Rev'!D64)),'Semi Rev'!H64-'Semi Rev'!D64,""),"")</f>
        <v/>
      </c>
      <c r="E491" s="30">
        <f>IFERROR(IF(AND(ISNUMBER('Semi Rev'!I64),ISNUMBER('Semi Rev'!E64)),'Semi Rev'!I64-'Semi Rev'!E64,""),"")</f>
        <v/>
      </c>
      <c r="F491" s="30">
        <f>IFERROR(IF(AND(ISNUMBER('Semi Rev'!J64),ISNUMBER('Semi Rev'!F64)),'Semi Rev'!J64-'Semi Rev'!F64,""),"")</f>
        <v/>
      </c>
      <c r="G491" s="30">
        <f>IFERROR(IF(AND(ISNUMBER('Semi Rev'!K64),ISNUMBER('Semi Rev'!G64)),'Semi Rev'!K64-'Semi Rev'!G64,""),"")</f>
        <v/>
      </c>
      <c r="H491" s="30">
        <f>IFERROR(IF(AND(ISNUMBER('Semi Rev'!L64),ISNUMBER('Semi Rev'!H64)),'Semi Rev'!L64-'Semi Rev'!H64,""),"")</f>
        <v/>
      </c>
      <c r="I491" s="30">
        <f>IFERROR(IF(AND(ISNUMBER('Semi Rev'!M64),ISNUMBER('Semi Rev'!I64)),'Semi Rev'!M64-'Semi Rev'!I64,""),"")</f>
        <v/>
      </c>
      <c r="J491" s="30">
        <f>IFERROR(IF(AND(ISNUMBER('Semi Rev'!N64),ISNUMBER('Semi Rev'!J64)),'Semi Rev'!N64-'Semi Rev'!J64,""),"")</f>
        <v/>
      </c>
      <c r="K491" s="30">
        <f>IFERROR(IF(AND(ISNUMBER('Semi Rev'!O64),ISNUMBER('Semi Rev'!K64)),'Semi Rev'!O64-'Semi Rev'!K64,""),"")</f>
        <v/>
      </c>
      <c r="L491" s="30">
        <f>IFERROR(IF(AND(ISNUMBER('Semi Rev'!P64),ISNUMBER('Semi Rev'!L64)),'Semi Rev'!P64-'Semi Rev'!L64,""),"")</f>
        <v/>
      </c>
      <c r="M491" s="31">
        <f>IFERROR(IF(AND(ISNUMBER('Semi Rev'!Q64),ISNUMBER('Semi Rev'!M64)),'Semi Rev'!Q64-'Semi Rev'!M64,""),"")</f>
        <v/>
      </c>
      <c r="N491" s="31">
        <f>IFERROR(IF(AND(ISNUMBER('Semi Rev'!R64),ISNUMBER('Semi Rev'!N64)),'Semi Rev'!R64-'Semi Rev'!N64,""),"")</f>
        <v/>
      </c>
    </row>
    <row r="492">
      <c r="A492" s="19">
        <f>'Semi Rev'!$A65</f>
        <v/>
      </c>
      <c r="B492" s="19">
        <f>'Semi Rev'!$B65</f>
        <v/>
      </c>
      <c r="C492" s="30">
        <f>IFERROR(IF(AND(ISNUMBER('Semi Rev'!G65),ISNUMBER('Semi Rev'!C65)),'Semi Rev'!G65-'Semi Rev'!C65,""),"")</f>
        <v/>
      </c>
      <c r="D492" s="30">
        <f>IFERROR(IF(AND(ISNUMBER('Semi Rev'!H65),ISNUMBER('Semi Rev'!D65)),'Semi Rev'!H65-'Semi Rev'!D65,""),"")</f>
        <v/>
      </c>
      <c r="E492" s="30">
        <f>IFERROR(IF(AND(ISNUMBER('Semi Rev'!I65),ISNUMBER('Semi Rev'!E65)),'Semi Rev'!I65-'Semi Rev'!E65,""),"")</f>
        <v/>
      </c>
      <c r="F492" s="30">
        <f>IFERROR(IF(AND(ISNUMBER('Semi Rev'!J65),ISNUMBER('Semi Rev'!F65)),'Semi Rev'!J65-'Semi Rev'!F65,""),"")</f>
        <v/>
      </c>
      <c r="G492" s="30">
        <f>IFERROR(IF(AND(ISNUMBER('Semi Rev'!K65),ISNUMBER('Semi Rev'!G65)),'Semi Rev'!K65-'Semi Rev'!G65,""),"")</f>
        <v/>
      </c>
      <c r="H492" s="30">
        <f>IFERROR(IF(AND(ISNUMBER('Semi Rev'!L65),ISNUMBER('Semi Rev'!H65)),'Semi Rev'!L65-'Semi Rev'!H65,""),"")</f>
        <v/>
      </c>
      <c r="I492" s="30">
        <f>IFERROR(IF(AND(ISNUMBER('Semi Rev'!M65),ISNUMBER('Semi Rev'!I65)),'Semi Rev'!M65-'Semi Rev'!I65,""),"")</f>
        <v/>
      </c>
      <c r="J492" s="30">
        <f>IFERROR(IF(AND(ISNUMBER('Semi Rev'!N65),ISNUMBER('Semi Rev'!J65)),'Semi Rev'!N65-'Semi Rev'!J65,""),"")</f>
        <v/>
      </c>
      <c r="K492" s="30">
        <f>IFERROR(IF(AND(ISNUMBER('Semi Rev'!O65),ISNUMBER('Semi Rev'!K65)),'Semi Rev'!O65-'Semi Rev'!K65,""),"")</f>
        <v/>
      </c>
      <c r="L492" s="30">
        <f>IFERROR(IF(AND(ISNUMBER('Semi Rev'!P65),ISNUMBER('Semi Rev'!L65)),'Semi Rev'!P65-'Semi Rev'!L65,""),"")</f>
        <v/>
      </c>
      <c r="M492" s="31">
        <f>IFERROR(IF(AND(ISNUMBER('Semi Rev'!Q65),ISNUMBER('Semi Rev'!M65)),'Semi Rev'!Q65-'Semi Rev'!M65,""),"")</f>
        <v/>
      </c>
      <c r="N492" s="31">
        <f>IFERROR(IF(AND(ISNUMBER('Semi Rev'!R65),ISNUMBER('Semi Rev'!N65)),'Semi Rev'!R65-'Semi Rev'!N65,""),"")</f>
        <v/>
      </c>
    </row>
    <row r="493">
      <c r="A493" s="19">
        <f>'Semi Rev'!$A66</f>
        <v/>
      </c>
      <c r="B493" s="19">
        <f>'Semi Rev'!$B66</f>
        <v/>
      </c>
      <c r="C493" s="30">
        <f>IFERROR(IF(AND(ISNUMBER('Semi Rev'!G66),ISNUMBER('Semi Rev'!C66)),'Semi Rev'!G66-'Semi Rev'!C66,""),"")</f>
        <v/>
      </c>
      <c r="D493" s="30">
        <f>IFERROR(IF(AND(ISNUMBER('Semi Rev'!H66),ISNUMBER('Semi Rev'!D66)),'Semi Rev'!H66-'Semi Rev'!D66,""),"")</f>
        <v/>
      </c>
      <c r="E493" s="30">
        <f>IFERROR(IF(AND(ISNUMBER('Semi Rev'!I66),ISNUMBER('Semi Rev'!E66)),'Semi Rev'!I66-'Semi Rev'!E66,""),"")</f>
        <v/>
      </c>
      <c r="F493" s="30">
        <f>IFERROR(IF(AND(ISNUMBER('Semi Rev'!J66),ISNUMBER('Semi Rev'!F66)),'Semi Rev'!J66-'Semi Rev'!F66,""),"")</f>
        <v/>
      </c>
      <c r="G493" s="30">
        <f>IFERROR(IF(AND(ISNUMBER('Semi Rev'!K66),ISNUMBER('Semi Rev'!G66)),'Semi Rev'!K66-'Semi Rev'!G66,""),"")</f>
        <v/>
      </c>
      <c r="H493" s="30">
        <f>IFERROR(IF(AND(ISNUMBER('Semi Rev'!L66),ISNUMBER('Semi Rev'!H66)),'Semi Rev'!L66-'Semi Rev'!H66,""),"")</f>
        <v/>
      </c>
      <c r="I493" s="30">
        <f>IFERROR(IF(AND(ISNUMBER('Semi Rev'!M66),ISNUMBER('Semi Rev'!I66)),'Semi Rev'!M66-'Semi Rev'!I66,""),"")</f>
        <v/>
      </c>
      <c r="J493" s="30">
        <f>IFERROR(IF(AND(ISNUMBER('Semi Rev'!N66),ISNUMBER('Semi Rev'!J66)),'Semi Rev'!N66-'Semi Rev'!J66,""),"")</f>
        <v/>
      </c>
      <c r="K493" s="30">
        <f>IFERROR(IF(AND(ISNUMBER('Semi Rev'!O66),ISNUMBER('Semi Rev'!K66)),'Semi Rev'!O66-'Semi Rev'!K66,""),"")</f>
        <v/>
      </c>
      <c r="L493" s="30">
        <f>IFERROR(IF(AND(ISNUMBER('Semi Rev'!P66),ISNUMBER('Semi Rev'!L66)),'Semi Rev'!P66-'Semi Rev'!L66,""),"")</f>
        <v/>
      </c>
      <c r="M493" s="31">
        <f>IFERROR(IF(AND(ISNUMBER('Semi Rev'!Q66),ISNUMBER('Semi Rev'!M66)),'Semi Rev'!Q66-'Semi Rev'!M66,""),"")</f>
        <v/>
      </c>
      <c r="N493" s="31">
        <f>IFERROR(IF(AND(ISNUMBER('Semi Rev'!R66),ISNUMBER('Semi Rev'!N66)),'Semi Rev'!R66-'Semi Rev'!N66,""),"")</f>
        <v/>
      </c>
    </row>
    <row r="494">
      <c r="A494" s="19">
        <f>'Semi Rev'!$A67</f>
        <v/>
      </c>
      <c r="B494" s="19">
        <f>'Semi Rev'!$B67</f>
        <v/>
      </c>
      <c r="C494" s="30">
        <f>IFERROR(IF(AND(ISNUMBER('Semi Rev'!G67),ISNUMBER('Semi Rev'!C67)),'Semi Rev'!G67-'Semi Rev'!C67,""),"")</f>
        <v/>
      </c>
      <c r="D494" s="30">
        <f>IFERROR(IF(AND(ISNUMBER('Semi Rev'!H67),ISNUMBER('Semi Rev'!D67)),'Semi Rev'!H67-'Semi Rev'!D67,""),"")</f>
        <v/>
      </c>
      <c r="E494" s="30">
        <f>IFERROR(IF(AND(ISNUMBER('Semi Rev'!I67),ISNUMBER('Semi Rev'!E67)),'Semi Rev'!I67-'Semi Rev'!E67,""),"")</f>
        <v/>
      </c>
      <c r="F494" s="30">
        <f>IFERROR(IF(AND(ISNUMBER('Semi Rev'!J67),ISNUMBER('Semi Rev'!F67)),'Semi Rev'!J67-'Semi Rev'!F67,""),"")</f>
        <v/>
      </c>
      <c r="G494" s="30">
        <f>IFERROR(IF(AND(ISNUMBER('Semi Rev'!K67),ISNUMBER('Semi Rev'!G67)),'Semi Rev'!K67-'Semi Rev'!G67,""),"")</f>
        <v/>
      </c>
      <c r="H494" s="30">
        <f>IFERROR(IF(AND(ISNUMBER('Semi Rev'!L67),ISNUMBER('Semi Rev'!H67)),'Semi Rev'!L67-'Semi Rev'!H67,""),"")</f>
        <v/>
      </c>
      <c r="I494" s="30">
        <f>IFERROR(IF(AND(ISNUMBER('Semi Rev'!M67),ISNUMBER('Semi Rev'!I67)),'Semi Rev'!M67-'Semi Rev'!I67,""),"")</f>
        <v/>
      </c>
      <c r="J494" s="30">
        <f>IFERROR(IF(AND(ISNUMBER('Semi Rev'!N67),ISNUMBER('Semi Rev'!J67)),'Semi Rev'!N67-'Semi Rev'!J67,""),"")</f>
        <v/>
      </c>
      <c r="K494" s="30">
        <f>IFERROR(IF(AND(ISNUMBER('Semi Rev'!O67),ISNUMBER('Semi Rev'!K67)),'Semi Rev'!O67-'Semi Rev'!K67,""),"")</f>
        <v/>
      </c>
      <c r="L494" s="30">
        <f>IFERROR(IF(AND(ISNUMBER('Semi Rev'!P67),ISNUMBER('Semi Rev'!L67)),'Semi Rev'!P67-'Semi Rev'!L67,""),"")</f>
        <v/>
      </c>
      <c r="M494" s="31">
        <f>IFERROR(IF(AND(ISNUMBER('Semi Rev'!Q67),ISNUMBER('Semi Rev'!M67)),'Semi Rev'!Q67-'Semi Rev'!M67,""),"")</f>
        <v/>
      </c>
      <c r="N494" s="31">
        <f>IFERROR(IF(AND(ISNUMBER('Semi Rev'!R67),ISNUMBER('Semi Rev'!N67)),'Semi Rev'!R67-'Semi Rev'!N67,""),"")</f>
        <v/>
      </c>
    </row>
    <row r="495">
      <c r="A495" s="19">
        <f>'Semi Rev'!$A68</f>
        <v/>
      </c>
      <c r="B495" s="19">
        <f>'Semi Rev'!$B68</f>
        <v/>
      </c>
      <c r="C495" s="30">
        <f>IFERROR(IF(AND(ISNUMBER('Semi Rev'!G68),ISNUMBER('Semi Rev'!C68)),'Semi Rev'!G68-'Semi Rev'!C68,""),"")</f>
        <v/>
      </c>
      <c r="D495" s="30">
        <f>IFERROR(IF(AND(ISNUMBER('Semi Rev'!H68),ISNUMBER('Semi Rev'!D68)),'Semi Rev'!H68-'Semi Rev'!D68,""),"")</f>
        <v/>
      </c>
      <c r="E495" s="30">
        <f>IFERROR(IF(AND(ISNUMBER('Semi Rev'!I68),ISNUMBER('Semi Rev'!E68)),'Semi Rev'!I68-'Semi Rev'!E68,""),"")</f>
        <v/>
      </c>
      <c r="F495" s="30">
        <f>IFERROR(IF(AND(ISNUMBER('Semi Rev'!J68),ISNUMBER('Semi Rev'!F68)),'Semi Rev'!J68-'Semi Rev'!F68,""),"")</f>
        <v/>
      </c>
      <c r="G495" s="30">
        <f>IFERROR(IF(AND(ISNUMBER('Semi Rev'!K68),ISNUMBER('Semi Rev'!G68)),'Semi Rev'!K68-'Semi Rev'!G68,""),"")</f>
        <v/>
      </c>
      <c r="H495" s="30">
        <f>IFERROR(IF(AND(ISNUMBER('Semi Rev'!L68),ISNUMBER('Semi Rev'!H68)),'Semi Rev'!L68-'Semi Rev'!H68,""),"")</f>
        <v/>
      </c>
      <c r="I495" s="30">
        <f>IFERROR(IF(AND(ISNUMBER('Semi Rev'!M68),ISNUMBER('Semi Rev'!I68)),'Semi Rev'!M68-'Semi Rev'!I68,""),"")</f>
        <v/>
      </c>
      <c r="J495" s="30">
        <f>IFERROR(IF(AND(ISNUMBER('Semi Rev'!N68),ISNUMBER('Semi Rev'!J68)),'Semi Rev'!N68-'Semi Rev'!J68,""),"")</f>
        <v/>
      </c>
      <c r="K495" s="30">
        <f>IFERROR(IF(AND(ISNUMBER('Semi Rev'!O68),ISNUMBER('Semi Rev'!K68)),'Semi Rev'!O68-'Semi Rev'!K68,""),"")</f>
        <v/>
      </c>
      <c r="L495" s="30">
        <f>IFERROR(IF(AND(ISNUMBER('Semi Rev'!P68),ISNUMBER('Semi Rev'!L68)),'Semi Rev'!P68-'Semi Rev'!L68,""),"")</f>
        <v/>
      </c>
      <c r="M495" s="31">
        <f>IFERROR(IF(AND(ISNUMBER('Semi Rev'!Q68),ISNUMBER('Semi Rev'!M68)),'Semi Rev'!Q68-'Semi Rev'!M68,""),"")</f>
        <v/>
      </c>
      <c r="N495" s="31">
        <f>IFERROR(IF(AND(ISNUMBER('Semi Rev'!R68),ISNUMBER('Semi Rev'!N68)),'Semi Rev'!R68-'Semi Rev'!N68,""),"")</f>
        <v/>
      </c>
    </row>
    <row r="496">
      <c r="A496" s="19">
        <f>'Semi Rev'!$A69</f>
        <v/>
      </c>
      <c r="B496" s="19">
        <f>'Semi Rev'!$B69</f>
        <v/>
      </c>
      <c r="C496" s="30">
        <f>IFERROR(IF(AND(ISNUMBER('Semi Rev'!G69),ISNUMBER('Semi Rev'!C69)),'Semi Rev'!G69-'Semi Rev'!C69,""),"")</f>
        <v/>
      </c>
      <c r="D496" s="30">
        <f>IFERROR(IF(AND(ISNUMBER('Semi Rev'!H69),ISNUMBER('Semi Rev'!D69)),'Semi Rev'!H69-'Semi Rev'!D69,""),"")</f>
        <v/>
      </c>
      <c r="E496" s="30">
        <f>IFERROR(IF(AND(ISNUMBER('Semi Rev'!I69),ISNUMBER('Semi Rev'!E69)),'Semi Rev'!I69-'Semi Rev'!E69,""),"")</f>
        <v/>
      </c>
      <c r="F496" s="30">
        <f>IFERROR(IF(AND(ISNUMBER('Semi Rev'!J69),ISNUMBER('Semi Rev'!F69)),'Semi Rev'!J69-'Semi Rev'!F69,""),"")</f>
        <v/>
      </c>
      <c r="G496" s="30">
        <f>IFERROR(IF(AND(ISNUMBER('Semi Rev'!K69),ISNUMBER('Semi Rev'!G69)),'Semi Rev'!K69-'Semi Rev'!G69,""),"")</f>
        <v/>
      </c>
      <c r="H496" s="30">
        <f>IFERROR(IF(AND(ISNUMBER('Semi Rev'!L69),ISNUMBER('Semi Rev'!H69)),'Semi Rev'!L69-'Semi Rev'!H69,""),"")</f>
        <v/>
      </c>
      <c r="I496" s="30">
        <f>IFERROR(IF(AND(ISNUMBER('Semi Rev'!M69),ISNUMBER('Semi Rev'!I69)),'Semi Rev'!M69-'Semi Rev'!I69,""),"")</f>
        <v/>
      </c>
      <c r="J496" s="30">
        <f>IFERROR(IF(AND(ISNUMBER('Semi Rev'!N69),ISNUMBER('Semi Rev'!J69)),'Semi Rev'!N69-'Semi Rev'!J69,""),"")</f>
        <v/>
      </c>
      <c r="K496" s="30">
        <f>IFERROR(IF(AND(ISNUMBER('Semi Rev'!O69),ISNUMBER('Semi Rev'!K69)),'Semi Rev'!O69-'Semi Rev'!K69,""),"")</f>
        <v/>
      </c>
      <c r="L496" s="30">
        <f>IFERROR(IF(AND(ISNUMBER('Semi Rev'!P69),ISNUMBER('Semi Rev'!L69)),'Semi Rev'!P69-'Semi Rev'!L69,""),"")</f>
        <v/>
      </c>
      <c r="M496" s="31">
        <f>IFERROR(IF(AND(ISNUMBER('Semi Rev'!Q69),ISNUMBER('Semi Rev'!M69)),'Semi Rev'!Q69-'Semi Rev'!M69,""),"")</f>
        <v/>
      </c>
      <c r="N496" s="31">
        <f>IFERROR(IF(AND(ISNUMBER('Semi Rev'!R69),ISNUMBER('Semi Rev'!N69)),'Semi Rev'!R69-'Semi Rev'!N69,""),"")</f>
        <v/>
      </c>
    </row>
    <row r="497">
      <c r="A497" s="19">
        <f>'Semi Rev'!$A70</f>
        <v/>
      </c>
      <c r="B497" s="19">
        <f>'Semi Rev'!$B70</f>
        <v/>
      </c>
      <c r="C497" s="30">
        <f>IFERROR(IF(AND(ISNUMBER('Semi Rev'!G70),ISNUMBER('Semi Rev'!C70)),'Semi Rev'!G70-'Semi Rev'!C70,""),"")</f>
        <v/>
      </c>
      <c r="D497" s="30">
        <f>IFERROR(IF(AND(ISNUMBER('Semi Rev'!H70),ISNUMBER('Semi Rev'!D70)),'Semi Rev'!H70-'Semi Rev'!D70,""),"")</f>
        <v/>
      </c>
      <c r="E497" s="30">
        <f>IFERROR(IF(AND(ISNUMBER('Semi Rev'!I70),ISNUMBER('Semi Rev'!E70)),'Semi Rev'!I70-'Semi Rev'!E70,""),"")</f>
        <v/>
      </c>
      <c r="F497" s="30">
        <f>IFERROR(IF(AND(ISNUMBER('Semi Rev'!J70),ISNUMBER('Semi Rev'!F70)),'Semi Rev'!J70-'Semi Rev'!F70,""),"")</f>
        <v/>
      </c>
      <c r="G497" s="30">
        <f>IFERROR(IF(AND(ISNUMBER('Semi Rev'!K70),ISNUMBER('Semi Rev'!G70)),'Semi Rev'!K70-'Semi Rev'!G70,""),"")</f>
        <v/>
      </c>
      <c r="H497" s="30">
        <f>IFERROR(IF(AND(ISNUMBER('Semi Rev'!L70),ISNUMBER('Semi Rev'!H70)),'Semi Rev'!L70-'Semi Rev'!H70,""),"")</f>
        <v/>
      </c>
      <c r="I497" s="30">
        <f>IFERROR(IF(AND(ISNUMBER('Semi Rev'!M70),ISNUMBER('Semi Rev'!I70)),'Semi Rev'!M70-'Semi Rev'!I70,""),"")</f>
        <v/>
      </c>
      <c r="J497" s="30">
        <f>IFERROR(IF(AND(ISNUMBER('Semi Rev'!N70),ISNUMBER('Semi Rev'!J70)),'Semi Rev'!N70-'Semi Rev'!J70,""),"")</f>
        <v/>
      </c>
      <c r="K497" s="30">
        <f>IFERROR(IF(AND(ISNUMBER('Semi Rev'!O70),ISNUMBER('Semi Rev'!K70)),'Semi Rev'!O70-'Semi Rev'!K70,""),"")</f>
        <v/>
      </c>
      <c r="L497" s="30">
        <f>IFERROR(IF(AND(ISNUMBER('Semi Rev'!P70),ISNUMBER('Semi Rev'!L70)),'Semi Rev'!P70-'Semi Rev'!L70,""),"")</f>
        <v/>
      </c>
      <c r="M497" s="31">
        <f>IFERROR(IF(AND(ISNUMBER('Semi Rev'!Q70),ISNUMBER('Semi Rev'!M70)),'Semi Rev'!Q70-'Semi Rev'!M70,""),"")</f>
        <v/>
      </c>
      <c r="N497" s="31">
        <f>IFERROR(IF(AND(ISNUMBER('Semi Rev'!R70),ISNUMBER('Semi Rev'!N70)),'Semi Rev'!R70-'Semi Rev'!N70,""),"")</f>
        <v/>
      </c>
    </row>
    <row r="498">
      <c r="A498" s="19">
        <f>'Semi Rev'!$A71</f>
        <v/>
      </c>
      <c r="B498" s="19">
        <f>'Semi Rev'!$B71</f>
        <v/>
      </c>
      <c r="C498" s="30">
        <f>IFERROR(IF(AND(ISNUMBER('Semi Rev'!G71),ISNUMBER('Semi Rev'!C71)),'Semi Rev'!G71-'Semi Rev'!C71,""),"")</f>
        <v/>
      </c>
      <c r="D498" s="30">
        <f>IFERROR(IF(AND(ISNUMBER('Semi Rev'!H71),ISNUMBER('Semi Rev'!D71)),'Semi Rev'!H71-'Semi Rev'!D71,""),"")</f>
        <v/>
      </c>
      <c r="E498" s="30">
        <f>IFERROR(IF(AND(ISNUMBER('Semi Rev'!I71),ISNUMBER('Semi Rev'!E71)),'Semi Rev'!I71-'Semi Rev'!E71,""),"")</f>
        <v/>
      </c>
      <c r="F498" s="30">
        <f>IFERROR(IF(AND(ISNUMBER('Semi Rev'!J71),ISNUMBER('Semi Rev'!F71)),'Semi Rev'!J71-'Semi Rev'!F71,""),"")</f>
        <v/>
      </c>
      <c r="G498" s="30">
        <f>IFERROR(IF(AND(ISNUMBER('Semi Rev'!K71),ISNUMBER('Semi Rev'!G71)),'Semi Rev'!K71-'Semi Rev'!G71,""),"")</f>
        <v/>
      </c>
      <c r="H498" s="30">
        <f>IFERROR(IF(AND(ISNUMBER('Semi Rev'!L71),ISNUMBER('Semi Rev'!H71)),'Semi Rev'!L71-'Semi Rev'!H71,""),"")</f>
        <v/>
      </c>
      <c r="I498" s="30">
        <f>IFERROR(IF(AND(ISNUMBER('Semi Rev'!M71),ISNUMBER('Semi Rev'!I71)),'Semi Rev'!M71-'Semi Rev'!I71,""),"")</f>
        <v/>
      </c>
      <c r="J498" s="30">
        <f>IFERROR(IF(AND(ISNUMBER('Semi Rev'!N71),ISNUMBER('Semi Rev'!J71)),'Semi Rev'!N71-'Semi Rev'!J71,""),"")</f>
        <v/>
      </c>
      <c r="K498" s="30">
        <f>IFERROR(IF(AND(ISNUMBER('Semi Rev'!O71),ISNUMBER('Semi Rev'!K71)),'Semi Rev'!O71-'Semi Rev'!K71,""),"")</f>
        <v/>
      </c>
      <c r="L498" s="30">
        <f>IFERROR(IF(AND(ISNUMBER('Semi Rev'!P71),ISNUMBER('Semi Rev'!L71)),'Semi Rev'!P71-'Semi Rev'!L71,""),"")</f>
        <v/>
      </c>
      <c r="M498" s="31">
        <f>IFERROR(IF(AND(ISNUMBER('Semi Rev'!Q71),ISNUMBER('Semi Rev'!M71)),'Semi Rev'!Q71-'Semi Rev'!M71,""),"")</f>
        <v/>
      </c>
      <c r="N498" s="31">
        <f>IFERROR(IF(AND(ISNUMBER('Semi Rev'!R71),ISNUMBER('Semi Rev'!N71)),'Semi Rev'!R71-'Semi Rev'!N71,""),"")</f>
        <v/>
      </c>
    </row>
    <row r="499">
      <c r="A499" s="19">
        <f>'Semi Rev'!$A72</f>
        <v/>
      </c>
      <c r="B499" s="19">
        <f>'Semi Rev'!$B72</f>
        <v/>
      </c>
      <c r="C499" s="30">
        <f>IFERROR(IF(AND(ISNUMBER('Semi Rev'!G72),ISNUMBER('Semi Rev'!C72)),'Semi Rev'!G72-'Semi Rev'!C72,""),"")</f>
        <v/>
      </c>
      <c r="D499" s="30">
        <f>IFERROR(IF(AND(ISNUMBER('Semi Rev'!H72),ISNUMBER('Semi Rev'!D72)),'Semi Rev'!H72-'Semi Rev'!D72,""),"")</f>
        <v/>
      </c>
      <c r="E499" s="30">
        <f>IFERROR(IF(AND(ISNUMBER('Semi Rev'!I72),ISNUMBER('Semi Rev'!E72)),'Semi Rev'!I72-'Semi Rev'!E72,""),"")</f>
        <v/>
      </c>
      <c r="F499" s="30">
        <f>IFERROR(IF(AND(ISNUMBER('Semi Rev'!J72),ISNUMBER('Semi Rev'!F72)),'Semi Rev'!J72-'Semi Rev'!F72,""),"")</f>
        <v/>
      </c>
      <c r="G499" s="30">
        <f>IFERROR(IF(AND(ISNUMBER('Semi Rev'!K72),ISNUMBER('Semi Rev'!G72)),'Semi Rev'!K72-'Semi Rev'!G72,""),"")</f>
        <v/>
      </c>
      <c r="H499" s="30">
        <f>IFERROR(IF(AND(ISNUMBER('Semi Rev'!L72),ISNUMBER('Semi Rev'!H72)),'Semi Rev'!L72-'Semi Rev'!H72,""),"")</f>
        <v/>
      </c>
      <c r="I499" s="30">
        <f>IFERROR(IF(AND(ISNUMBER('Semi Rev'!M72),ISNUMBER('Semi Rev'!I72)),'Semi Rev'!M72-'Semi Rev'!I72,""),"")</f>
        <v/>
      </c>
      <c r="J499" s="30">
        <f>IFERROR(IF(AND(ISNUMBER('Semi Rev'!N72),ISNUMBER('Semi Rev'!J72)),'Semi Rev'!N72-'Semi Rev'!J72,""),"")</f>
        <v/>
      </c>
      <c r="K499" s="30">
        <f>IFERROR(IF(AND(ISNUMBER('Semi Rev'!O72),ISNUMBER('Semi Rev'!K72)),'Semi Rev'!O72-'Semi Rev'!K72,""),"")</f>
        <v/>
      </c>
      <c r="L499" s="30">
        <f>IFERROR(IF(AND(ISNUMBER('Semi Rev'!P72),ISNUMBER('Semi Rev'!L72)),'Semi Rev'!P72-'Semi Rev'!L72,""),"")</f>
        <v/>
      </c>
      <c r="M499" s="31">
        <f>IFERROR(IF(AND(ISNUMBER('Semi Rev'!Q72),ISNUMBER('Semi Rev'!M72)),'Semi Rev'!Q72-'Semi Rev'!M72,""),"")</f>
        <v/>
      </c>
      <c r="N499" s="31">
        <f>IFERROR(IF(AND(ISNUMBER('Semi Rev'!R72),ISNUMBER('Semi Rev'!N72)),'Semi Rev'!R72-'Semi Rev'!N72,""),"")</f>
        <v/>
      </c>
    </row>
    <row r="500">
      <c r="A500" s="19">
        <f>'Semi Rev'!$A73</f>
        <v/>
      </c>
      <c r="B500" s="19">
        <f>'Semi Rev'!$B73</f>
        <v/>
      </c>
      <c r="C500" s="30">
        <f>IFERROR(IF(AND(ISNUMBER('Semi Rev'!G73),ISNUMBER('Semi Rev'!C73)),'Semi Rev'!G73-'Semi Rev'!C73,""),"")</f>
        <v/>
      </c>
      <c r="D500" s="30">
        <f>IFERROR(IF(AND(ISNUMBER('Semi Rev'!H73),ISNUMBER('Semi Rev'!D73)),'Semi Rev'!H73-'Semi Rev'!D73,""),"")</f>
        <v/>
      </c>
      <c r="E500" s="30">
        <f>IFERROR(IF(AND(ISNUMBER('Semi Rev'!I73),ISNUMBER('Semi Rev'!E73)),'Semi Rev'!I73-'Semi Rev'!E73,""),"")</f>
        <v/>
      </c>
      <c r="F500" s="30">
        <f>IFERROR(IF(AND(ISNUMBER('Semi Rev'!J73),ISNUMBER('Semi Rev'!F73)),'Semi Rev'!J73-'Semi Rev'!F73,""),"")</f>
        <v/>
      </c>
      <c r="G500" s="30">
        <f>IFERROR(IF(AND(ISNUMBER('Semi Rev'!K73),ISNUMBER('Semi Rev'!G73)),'Semi Rev'!K73-'Semi Rev'!G73,""),"")</f>
        <v/>
      </c>
      <c r="H500" s="30">
        <f>IFERROR(IF(AND(ISNUMBER('Semi Rev'!L73),ISNUMBER('Semi Rev'!H73)),'Semi Rev'!L73-'Semi Rev'!H73,""),"")</f>
        <v/>
      </c>
      <c r="I500" s="30">
        <f>IFERROR(IF(AND(ISNUMBER('Semi Rev'!M73),ISNUMBER('Semi Rev'!I73)),'Semi Rev'!M73-'Semi Rev'!I73,""),"")</f>
        <v/>
      </c>
      <c r="J500" s="30">
        <f>IFERROR(IF(AND(ISNUMBER('Semi Rev'!N73),ISNUMBER('Semi Rev'!J73)),'Semi Rev'!N73-'Semi Rev'!J73,""),"")</f>
        <v/>
      </c>
      <c r="K500" s="30">
        <f>IFERROR(IF(AND(ISNUMBER('Semi Rev'!O73),ISNUMBER('Semi Rev'!K73)),'Semi Rev'!O73-'Semi Rev'!K73,""),"")</f>
        <v/>
      </c>
      <c r="L500" s="30">
        <f>IFERROR(IF(AND(ISNUMBER('Semi Rev'!P73),ISNUMBER('Semi Rev'!L73)),'Semi Rev'!P73-'Semi Rev'!L73,""),"")</f>
        <v/>
      </c>
      <c r="M500" s="31">
        <f>IFERROR(IF(AND(ISNUMBER('Semi Rev'!Q73),ISNUMBER('Semi Rev'!M73)),'Semi Rev'!Q73-'Semi Rev'!M73,""),"")</f>
        <v/>
      </c>
      <c r="N500" s="31">
        <f>IFERROR(IF(AND(ISNUMBER('Semi Rev'!R73),ISNUMBER('Semi Rev'!N73)),'Semi Rev'!R73-'Semi Rev'!N73,""),"")</f>
        <v/>
      </c>
    </row>
    <row r="501">
      <c r="A501" s="19">
        <f>'Semi Rev'!$A74</f>
        <v/>
      </c>
      <c r="B501" s="19">
        <f>'Semi Rev'!$B74</f>
        <v/>
      </c>
      <c r="C501" s="30">
        <f>IFERROR(IF(AND(ISNUMBER('Semi Rev'!G74),ISNUMBER('Semi Rev'!C74)),'Semi Rev'!G74-'Semi Rev'!C74,""),"")</f>
        <v/>
      </c>
      <c r="D501" s="30">
        <f>IFERROR(IF(AND(ISNUMBER('Semi Rev'!H74),ISNUMBER('Semi Rev'!D74)),'Semi Rev'!H74-'Semi Rev'!D74,""),"")</f>
        <v/>
      </c>
      <c r="E501" s="30">
        <f>IFERROR(IF(AND(ISNUMBER('Semi Rev'!I74),ISNUMBER('Semi Rev'!E74)),'Semi Rev'!I74-'Semi Rev'!E74,""),"")</f>
        <v/>
      </c>
      <c r="F501" s="30">
        <f>IFERROR(IF(AND(ISNUMBER('Semi Rev'!J74),ISNUMBER('Semi Rev'!F74)),'Semi Rev'!J74-'Semi Rev'!F74,""),"")</f>
        <v/>
      </c>
      <c r="G501" s="30">
        <f>IFERROR(IF(AND(ISNUMBER('Semi Rev'!K74),ISNUMBER('Semi Rev'!G74)),'Semi Rev'!K74-'Semi Rev'!G74,""),"")</f>
        <v/>
      </c>
      <c r="H501" s="30">
        <f>IFERROR(IF(AND(ISNUMBER('Semi Rev'!L74),ISNUMBER('Semi Rev'!H74)),'Semi Rev'!L74-'Semi Rev'!H74,""),"")</f>
        <v/>
      </c>
      <c r="I501" s="30">
        <f>IFERROR(IF(AND(ISNUMBER('Semi Rev'!M74),ISNUMBER('Semi Rev'!I74)),'Semi Rev'!M74-'Semi Rev'!I74,""),"")</f>
        <v/>
      </c>
      <c r="J501" s="30">
        <f>IFERROR(IF(AND(ISNUMBER('Semi Rev'!N74),ISNUMBER('Semi Rev'!J74)),'Semi Rev'!N74-'Semi Rev'!J74,""),"")</f>
        <v/>
      </c>
      <c r="K501" s="30">
        <f>IFERROR(IF(AND(ISNUMBER('Semi Rev'!O74),ISNUMBER('Semi Rev'!K74)),'Semi Rev'!O74-'Semi Rev'!K74,""),"")</f>
        <v/>
      </c>
      <c r="L501" s="30">
        <f>IFERROR(IF(AND(ISNUMBER('Semi Rev'!P74),ISNUMBER('Semi Rev'!L74)),'Semi Rev'!P74-'Semi Rev'!L74,""),"")</f>
        <v/>
      </c>
      <c r="M501" s="31">
        <f>IFERROR(IF(AND(ISNUMBER('Semi Rev'!Q74),ISNUMBER('Semi Rev'!M74)),'Semi Rev'!Q74-'Semi Rev'!M74,""),"")</f>
        <v/>
      </c>
      <c r="N501" s="31">
        <f>IFERROR(IF(AND(ISNUMBER('Semi Rev'!R74),ISNUMBER('Semi Rev'!N74)),'Semi Rev'!R74-'Semi Rev'!N74,""),"")</f>
        <v/>
      </c>
    </row>
    <row r="502">
      <c r="A502" s="19">
        <f>'Semi Rev'!$A75</f>
        <v/>
      </c>
      <c r="B502" s="19">
        <f>'Semi Rev'!$B75</f>
        <v/>
      </c>
      <c r="C502" s="30">
        <f>IFERROR(IF(AND(ISNUMBER('Semi Rev'!G75),ISNUMBER('Semi Rev'!C75)),'Semi Rev'!G75-'Semi Rev'!C75,""),"")</f>
        <v/>
      </c>
      <c r="D502" s="30">
        <f>IFERROR(IF(AND(ISNUMBER('Semi Rev'!H75),ISNUMBER('Semi Rev'!D75)),'Semi Rev'!H75-'Semi Rev'!D75,""),"")</f>
        <v/>
      </c>
      <c r="E502" s="30">
        <f>IFERROR(IF(AND(ISNUMBER('Semi Rev'!I75),ISNUMBER('Semi Rev'!E75)),'Semi Rev'!I75-'Semi Rev'!E75,""),"")</f>
        <v/>
      </c>
      <c r="F502" s="30">
        <f>IFERROR(IF(AND(ISNUMBER('Semi Rev'!J75),ISNUMBER('Semi Rev'!F75)),'Semi Rev'!J75-'Semi Rev'!F75,""),"")</f>
        <v/>
      </c>
      <c r="G502" s="30">
        <f>IFERROR(IF(AND(ISNUMBER('Semi Rev'!K75),ISNUMBER('Semi Rev'!G75)),'Semi Rev'!K75-'Semi Rev'!G75,""),"")</f>
        <v/>
      </c>
      <c r="H502" s="30">
        <f>IFERROR(IF(AND(ISNUMBER('Semi Rev'!L75),ISNUMBER('Semi Rev'!H75)),'Semi Rev'!L75-'Semi Rev'!H75,""),"")</f>
        <v/>
      </c>
      <c r="I502" s="30">
        <f>IFERROR(IF(AND(ISNUMBER('Semi Rev'!M75),ISNUMBER('Semi Rev'!I75)),'Semi Rev'!M75-'Semi Rev'!I75,""),"")</f>
        <v/>
      </c>
      <c r="J502" s="30">
        <f>IFERROR(IF(AND(ISNUMBER('Semi Rev'!N75),ISNUMBER('Semi Rev'!J75)),'Semi Rev'!N75-'Semi Rev'!J75,""),"")</f>
        <v/>
      </c>
      <c r="K502" s="30">
        <f>IFERROR(IF(AND(ISNUMBER('Semi Rev'!O75),ISNUMBER('Semi Rev'!K75)),'Semi Rev'!O75-'Semi Rev'!K75,""),"")</f>
        <v/>
      </c>
      <c r="L502" s="30">
        <f>IFERROR(IF(AND(ISNUMBER('Semi Rev'!P75),ISNUMBER('Semi Rev'!L75)),'Semi Rev'!P75-'Semi Rev'!L75,""),"")</f>
        <v/>
      </c>
      <c r="M502" s="31">
        <f>IFERROR(IF(AND(ISNUMBER('Semi Rev'!Q75),ISNUMBER('Semi Rev'!M75)),'Semi Rev'!Q75-'Semi Rev'!M75,""),"")</f>
        <v/>
      </c>
      <c r="N502" s="31">
        <f>IFERROR(IF(AND(ISNUMBER('Semi Rev'!R75),ISNUMBER('Semi Rev'!N75)),'Semi Rev'!R75-'Semi Rev'!N75,""),"")</f>
        <v/>
      </c>
    </row>
    <row r="503">
      <c r="A503" s="19">
        <f>'Semi Rev'!$A76</f>
        <v/>
      </c>
      <c r="B503" s="19">
        <f>'Semi Rev'!$B76</f>
        <v/>
      </c>
      <c r="C503" s="30">
        <f>IFERROR(IF(AND(ISNUMBER('Semi Rev'!G76),ISNUMBER('Semi Rev'!C76)),'Semi Rev'!G76-'Semi Rev'!C76,""),"")</f>
        <v/>
      </c>
      <c r="D503" s="30">
        <f>IFERROR(IF(AND(ISNUMBER('Semi Rev'!H76),ISNUMBER('Semi Rev'!D76)),'Semi Rev'!H76-'Semi Rev'!D76,""),"")</f>
        <v/>
      </c>
      <c r="E503" s="30">
        <f>IFERROR(IF(AND(ISNUMBER('Semi Rev'!I76),ISNUMBER('Semi Rev'!E76)),'Semi Rev'!I76-'Semi Rev'!E76,""),"")</f>
        <v/>
      </c>
      <c r="F503" s="30">
        <f>IFERROR(IF(AND(ISNUMBER('Semi Rev'!J76),ISNUMBER('Semi Rev'!F76)),'Semi Rev'!J76-'Semi Rev'!F76,""),"")</f>
        <v/>
      </c>
      <c r="G503" s="30">
        <f>IFERROR(IF(AND(ISNUMBER('Semi Rev'!K76),ISNUMBER('Semi Rev'!G76)),'Semi Rev'!K76-'Semi Rev'!G76,""),"")</f>
        <v/>
      </c>
      <c r="H503" s="30">
        <f>IFERROR(IF(AND(ISNUMBER('Semi Rev'!L76),ISNUMBER('Semi Rev'!H76)),'Semi Rev'!L76-'Semi Rev'!H76,""),"")</f>
        <v/>
      </c>
      <c r="I503" s="30">
        <f>IFERROR(IF(AND(ISNUMBER('Semi Rev'!M76),ISNUMBER('Semi Rev'!I76)),'Semi Rev'!M76-'Semi Rev'!I76,""),"")</f>
        <v/>
      </c>
      <c r="J503" s="30">
        <f>IFERROR(IF(AND(ISNUMBER('Semi Rev'!N76),ISNUMBER('Semi Rev'!J76)),'Semi Rev'!N76-'Semi Rev'!J76,""),"")</f>
        <v/>
      </c>
      <c r="K503" s="30">
        <f>IFERROR(IF(AND(ISNUMBER('Semi Rev'!O76),ISNUMBER('Semi Rev'!K76)),'Semi Rev'!O76-'Semi Rev'!K76,""),"")</f>
        <v/>
      </c>
      <c r="L503" s="30">
        <f>IFERROR(IF(AND(ISNUMBER('Semi Rev'!P76),ISNUMBER('Semi Rev'!L76)),'Semi Rev'!P76-'Semi Rev'!L76,""),"")</f>
        <v/>
      </c>
      <c r="M503" s="31">
        <f>IFERROR(IF(AND(ISNUMBER('Semi Rev'!Q76),ISNUMBER('Semi Rev'!M76)),'Semi Rev'!Q76-'Semi Rev'!M76,""),"")</f>
        <v/>
      </c>
      <c r="N503" s="31">
        <f>IFERROR(IF(AND(ISNUMBER('Semi Rev'!R76),ISNUMBER('Semi Rev'!N76)),'Semi Rev'!R76-'Semi Rev'!N76,""),"")</f>
        <v/>
      </c>
    </row>
    <row r="504">
      <c r="A504" s="19">
        <f>'Semi Rev'!$A77</f>
        <v/>
      </c>
      <c r="B504" s="19">
        <f>'Semi Rev'!$B77</f>
        <v/>
      </c>
      <c r="C504" s="30">
        <f>IFERROR(IF(AND(ISNUMBER('Semi Rev'!G77),ISNUMBER('Semi Rev'!C77)),'Semi Rev'!G77-'Semi Rev'!C77,""),"")</f>
        <v/>
      </c>
      <c r="D504" s="30">
        <f>IFERROR(IF(AND(ISNUMBER('Semi Rev'!H77),ISNUMBER('Semi Rev'!D77)),'Semi Rev'!H77-'Semi Rev'!D77,""),"")</f>
        <v/>
      </c>
      <c r="E504" s="30">
        <f>IFERROR(IF(AND(ISNUMBER('Semi Rev'!I77),ISNUMBER('Semi Rev'!E77)),'Semi Rev'!I77-'Semi Rev'!E77,""),"")</f>
        <v/>
      </c>
      <c r="F504" s="30">
        <f>IFERROR(IF(AND(ISNUMBER('Semi Rev'!J77),ISNUMBER('Semi Rev'!F77)),'Semi Rev'!J77-'Semi Rev'!F77,""),"")</f>
        <v/>
      </c>
      <c r="G504" s="30">
        <f>IFERROR(IF(AND(ISNUMBER('Semi Rev'!K77),ISNUMBER('Semi Rev'!G77)),'Semi Rev'!K77-'Semi Rev'!G77,""),"")</f>
        <v/>
      </c>
      <c r="H504" s="30">
        <f>IFERROR(IF(AND(ISNUMBER('Semi Rev'!L77),ISNUMBER('Semi Rev'!H77)),'Semi Rev'!L77-'Semi Rev'!H77,""),"")</f>
        <v/>
      </c>
      <c r="I504" s="30">
        <f>IFERROR(IF(AND(ISNUMBER('Semi Rev'!M77),ISNUMBER('Semi Rev'!I77)),'Semi Rev'!M77-'Semi Rev'!I77,""),"")</f>
        <v/>
      </c>
      <c r="J504" s="30">
        <f>IFERROR(IF(AND(ISNUMBER('Semi Rev'!N77),ISNUMBER('Semi Rev'!J77)),'Semi Rev'!N77-'Semi Rev'!J77,""),"")</f>
        <v/>
      </c>
      <c r="K504" s="30">
        <f>IFERROR(IF(AND(ISNUMBER('Semi Rev'!O77),ISNUMBER('Semi Rev'!K77)),'Semi Rev'!O77-'Semi Rev'!K77,""),"")</f>
        <v/>
      </c>
      <c r="L504" s="30">
        <f>IFERROR(IF(AND(ISNUMBER('Semi Rev'!P77),ISNUMBER('Semi Rev'!L77)),'Semi Rev'!P77-'Semi Rev'!L77,""),"")</f>
        <v/>
      </c>
      <c r="M504" s="31">
        <f>IFERROR(IF(AND(ISNUMBER('Semi Rev'!Q77),ISNUMBER('Semi Rev'!M77)),'Semi Rev'!Q77-'Semi Rev'!M77,""),"")</f>
        <v/>
      </c>
      <c r="N504" s="31">
        <f>IFERROR(IF(AND(ISNUMBER('Semi Rev'!R77),ISNUMBER('Semi Rev'!N77)),'Semi Rev'!R77-'Semi Rev'!N77,""),"")</f>
        <v/>
      </c>
    </row>
    <row r="505">
      <c r="A505" s="19">
        <f>'Semi Rev'!$A78</f>
        <v/>
      </c>
      <c r="B505" s="19">
        <f>'Semi Rev'!$B78</f>
        <v/>
      </c>
      <c r="C505" s="30">
        <f>IFERROR(IF(AND(ISNUMBER('Semi Rev'!G78),ISNUMBER('Semi Rev'!C78)),'Semi Rev'!G78-'Semi Rev'!C78,""),"")</f>
        <v/>
      </c>
      <c r="D505" s="30">
        <f>IFERROR(IF(AND(ISNUMBER('Semi Rev'!H78),ISNUMBER('Semi Rev'!D78)),'Semi Rev'!H78-'Semi Rev'!D78,""),"")</f>
        <v/>
      </c>
      <c r="E505" s="30">
        <f>IFERROR(IF(AND(ISNUMBER('Semi Rev'!I78),ISNUMBER('Semi Rev'!E78)),'Semi Rev'!I78-'Semi Rev'!E78,""),"")</f>
        <v/>
      </c>
      <c r="F505" s="30">
        <f>IFERROR(IF(AND(ISNUMBER('Semi Rev'!J78),ISNUMBER('Semi Rev'!F78)),'Semi Rev'!J78-'Semi Rev'!F78,""),"")</f>
        <v/>
      </c>
      <c r="G505" s="30">
        <f>IFERROR(IF(AND(ISNUMBER('Semi Rev'!K78),ISNUMBER('Semi Rev'!G78)),'Semi Rev'!K78-'Semi Rev'!G78,""),"")</f>
        <v/>
      </c>
      <c r="H505" s="30">
        <f>IFERROR(IF(AND(ISNUMBER('Semi Rev'!L78),ISNUMBER('Semi Rev'!H78)),'Semi Rev'!L78-'Semi Rev'!H78,""),"")</f>
        <v/>
      </c>
      <c r="I505" s="30">
        <f>IFERROR(IF(AND(ISNUMBER('Semi Rev'!M78),ISNUMBER('Semi Rev'!I78)),'Semi Rev'!M78-'Semi Rev'!I78,""),"")</f>
        <v/>
      </c>
      <c r="J505" s="30">
        <f>IFERROR(IF(AND(ISNUMBER('Semi Rev'!N78),ISNUMBER('Semi Rev'!J78)),'Semi Rev'!N78-'Semi Rev'!J78,""),"")</f>
        <v/>
      </c>
      <c r="K505" s="30">
        <f>IFERROR(IF(AND(ISNUMBER('Semi Rev'!O78),ISNUMBER('Semi Rev'!K78)),'Semi Rev'!O78-'Semi Rev'!K78,""),"")</f>
        <v/>
      </c>
      <c r="L505" s="30">
        <f>IFERROR(IF(AND(ISNUMBER('Semi Rev'!P78),ISNUMBER('Semi Rev'!L78)),'Semi Rev'!P78-'Semi Rev'!L78,""),"")</f>
        <v/>
      </c>
      <c r="M505" s="31">
        <f>IFERROR(IF(AND(ISNUMBER('Semi Rev'!Q78),ISNUMBER('Semi Rev'!M78)),'Semi Rev'!Q78-'Semi Rev'!M78,""),"")</f>
        <v/>
      </c>
      <c r="N505" s="31">
        <f>IFERROR(IF(AND(ISNUMBER('Semi Rev'!R78),ISNUMBER('Semi Rev'!N78)),'Semi Rev'!R78-'Semi Rev'!N78,""),"")</f>
        <v/>
      </c>
    </row>
    <row r="506">
      <c r="A506" s="19">
        <f>'Semi Rev'!$A79</f>
        <v/>
      </c>
      <c r="B506" s="19">
        <f>'Semi Rev'!$B79</f>
        <v/>
      </c>
      <c r="C506" s="30">
        <f>IFERROR(IF(AND(ISNUMBER('Semi Rev'!G79),ISNUMBER('Semi Rev'!C79)),'Semi Rev'!G79-'Semi Rev'!C79,""),"")</f>
        <v/>
      </c>
      <c r="D506" s="30">
        <f>IFERROR(IF(AND(ISNUMBER('Semi Rev'!H79),ISNUMBER('Semi Rev'!D79)),'Semi Rev'!H79-'Semi Rev'!D79,""),"")</f>
        <v/>
      </c>
      <c r="E506" s="30">
        <f>IFERROR(IF(AND(ISNUMBER('Semi Rev'!I79),ISNUMBER('Semi Rev'!E79)),'Semi Rev'!I79-'Semi Rev'!E79,""),"")</f>
        <v/>
      </c>
      <c r="F506" s="30">
        <f>IFERROR(IF(AND(ISNUMBER('Semi Rev'!J79),ISNUMBER('Semi Rev'!F79)),'Semi Rev'!J79-'Semi Rev'!F79,""),"")</f>
        <v/>
      </c>
      <c r="G506" s="30">
        <f>IFERROR(IF(AND(ISNUMBER('Semi Rev'!K79),ISNUMBER('Semi Rev'!G79)),'Semi Rev'!K79-'Semi Rev'!G79,""),"")</f>
        <v/>
      </c>
      <c r="H506" s="30">
        <f>IFERROR(IF(AND(ISNUMBER('Semi Rev'!L79),ISNUMBER('Semi Rev'!H79)),'Semi Rev'!L79-'Semi Rev'!H79,""),"")</f>
        <v/>
      </c>
      <c r="I506" s="30">
        <f>IFERROR(IF(AND(ISNUMBER('Semi Rev'!M79),ISNUMBER('Semi Rev'!I79)),'Semi Rev'!M79-'Semi Rev'!I79,""),"")</f>
        <v/>
      </c>
      <c r="J506" s="30">
        <f>IFERROR(IF(AND(ISNUMBER('Semi Rev'!N79),ISNUMBER('Semi Rev'!J79)),'Semi Rev'!N79-'Semi Rev'!J79,""),"")</f>
        <v/>
      </c>
      <c r="K506" s="30">
        <f>IFERROR(IF(AND(ISNUMBER('Semi Rev'!O79),ISNUMBER('Semi Rev'!K79)),'Semi Rev'!O79-'Semi Rev'!K79,""),"")</f>
        <v/>
      </c>
      <c r="L506" s="30">
        <f>IFERROR(IF(AND(ISNUMBER('Semi Rev'!P79),ISNUMBER('Semi Rev'!L79)),'Semi Rev'!P79-'Semi Rev'!L79,""),"")</f>
        <v/>
      </c>
      <c r="M506" s="31">
        <f>IFERROR(IF(AND(ISNUMBER('Semi Rev'!Q79),ISNUMBER('Semi Rev'!M79)),'Semi Rev'!Q79-'Semi Rev'!M79,""),"")</f>
        <v/>
      </c>
      <c r="N506" s="31">
        <f>IFERROR(IF(AND(ISNUMBER('Semi Rev'!R79),ISNUMBER('Semi Rev'!N79)),'Semi Rev'!R79-'Semi Rev'!N79,""),"")</f>
        <v/>
      </c>
    </row>
    <row r="507">
      <c r="A507" s="19">
        <f>'Semi Rev'!$A80</f>
        <v/>
      </c>
      <c r="B507" s="19">
        <f>'Semi Rev'!$B80</f>
        <v/>
      </c>
      <c r="C507" s="30">
        <f>IFERROR(IF(AND(ISNUMBER('Semi Rev'!G80),ISNUMBER('Semi Rev'!C80)),'Semi Rev'!G80-'Semi Rev'!C80,""),"")</f>
        <v/>
      </c>
      <c r="D507" s="30">
        <f>IFERROR(IF(AND(ISNUMBER('Semi Rev'!H80),ISNUMBER('Semi Rev'!D80)),'Semi Rev'!H80-'Semi Rev'!D80,""),"")</f>
        <v/>
      </c>
      <c r="E507" s="30">
        <f>IFERROR(IF(AND(ISNUMBER('Semi Rev'!I80),ISNUMBER('Semi Rev'!E80)),'Semi Rev'!I80-'Semi Rev'!E80,""),"")</f>
        <v/>
      </c>
      <c r="F507" s="30">
        <f>IFERROR(IF(AND(ISNUMBER('Semi Rev'!J80),ISNUMBER('Semi Rev'!F80)),'Semi Rev'!J80-'Semi Rev'!F80,""),"")</f>
        <v/>
      </c>
      <c r="G507" s="30">
        <f>IFERROR(IF(AND(ISNUMBER('Semi Rev'!K80),ISNUMBER('Semi Rev'!G80)),'Semi Rev'!K80-'Semi Rev'!G80,""),"")</f>
        <v/>
      </c>
      <c r="H507" s="30">
        <f>IFERROR(IF(AND(ISNUMBER('Semi Rev'!L80),ISNUMBER('Semi Rev'!H80)),'Semi Rev'!L80-'Semi Rev'!H80,""),"")</f>
        <v/>
      </c>
      <c r="I507" s="30">
        <f>IFERROR(IF(AND(ISNUMBER('Semi Rev'!M80),ISNUMBER('Semi Rev'!I80)),'Semi Rev'!M80-'Semi Rev'!I80,""),"")</f>
        <v/>
      </c>
      <c r="J507" s="30">
        <f>IFERROR(IF(AND(ISNUMBER('Semi Rev'!N80),ISNUMBER('Semi Rev'!J80)),'Semi Rev'!N80-'Semi Rev'!J80,""),"")</f>
        <v/>
      </c>
      <c r="K507" s="30">
        <f>IFERROR(IF(AND(ISNUMBER('Semi Rev'!O80),ISNUMBER('Semi Rev'!K80)),'Semi Rev'!O80-'Semi Rev'!K80,""),"")</f>
        <v/>
      </c>
      <c r="L507" s="30">
        <f>IFERROR(IF(AND(ISNUMBER('Semi Rev'!P80),ISNUMBER('Semi Rev'!L80)),'Semi Rev'!P80-'Semi Rev'!L80,""),"")</f>
        <v/>
      </c>
      <c r="M507" s="31">
        <f>IFERROR(IF(AND(ISNUMBER('Semi Rev'!Q80),ISNUMBER('Semi Rev'!M80)),'Semi Rev'!Q80-'Semi Rev'!M80,""),"")</f>
        <v/>
      </c>
      <c r="N507" s="31">
        <f>IFERROR(IF(AND(ISNUMBER('Semi Rev'!R80),ISNUMBER('Semi Rev'!N80)),'Semi Rev'!R80-'Semi Rev'!N80,""),"")</f>
        <v/>
      </c>
    </row>
    <row r="508">
      <c r="A508" s="19">
        <f>'Semi Rev'!$A81</f>
        <v/>
      </c>
      <c r="B508" s="19">
        <f>'Semi Rev'!$B81</f>
        <v/>
      </c>
      <c r="C508" s="30">
        <f>IFERROR(IF(AND(ISNUMBER('Semi Rev'!G81),ISNUMBER('Semi Rev'!C81)),'Semi Rev'!G81-'Semi Rev'!C81,""),"")</f>
        <v/>
      </c>
      <c r="D508" s="30">
        <f>IFERROR(IF(AND(ISNUMBER('Semi Rev'!H81),ISNUMBER('Semi Rev'!D81)),'Semi Rev'!H81-'Semi Rev'!D81,""),"")</f>
        <v/>
      </c>
      <c r="E508" s="30">
        <f>IFERROR(IF(AND(ISNUMBER('Semi Rev'!I81),ISNUMBER('Semi Rev'!E81)),'Semi Rev'!I81-'Semi Rev'!E81,""),"")</f>
        <v/>
      </c>
      <c r="F508" s="30">
        <f>IFERROR(IF(AND(ISNUMBER('Semi Rev'!J81),ISNUMBER('Semi Rev'!F81)),'Semi Rev'!J81-'Semi Rev'!F81,""),"")</f>
        <v/>
      </c>
      <c r="G508" s="30">
        <f>IFERROR(IF(AND(ISNUMBER('Semi Rev'!K81),ISNUMBER('Semi Rev'!G81)),'Semi Rev'!K81-'Semi Rev'!G81,""),"")</f>
        <v/>
      </c>
      <c r="H508" s="30">
        <f>IFERROR(IF(AND(ISNUMBER('Semi Rev'!L81),ISNUMBER('Semi Rev'!H81)),'Semi Rev'!L81-'Semi Rev'!H81,""),"")</f>
        <v/>
      </c>
      <c r="I508" s="30">
        <f>IFERROR(IF(AND(ISNUMBER('Semi Rev'!M81),ISNUMBER('Semi Rev'!I81)),'Semi Rev'!M81-'Semi Rev'!I81,""),"")</f>
        <v/>
      </c>
      <c r="J508" s="30">
        <f>IFERROR(IF(AND(ISNUMBER('Semi Rev'!N81),ISNUMBER('Semi Rev'!J81)),'Semi Rev'!N81-'Semi Rev'!J81,""),"")</f>
        <v/>
      </c>
      <c r="K508" s="30">
        <f>IFERROR(IF(AND(ISNUMBER('Semi Rev'!O81),ISNUMBER('Semi Rev'!K81)),'Semi Rev'!O81-'Semi Rev'!K81,""),"")</f>
        <v/>
      </c>
      <c r="L508" s="30">
        <f>IFERROR(IF(AND(ISNUMBER('Semi Rev'!P81),ISNUMBER('Semi Rev'!L81)),'Semi Rev'!P81-'Semi Rev'!L81,""),"")</f>
        <v/>
      </c>
      <c r="M508" s="31">
        <f>IFERROR(IF(AND(ISNUMBER('Semi Rev'!Q81),ISNUMBER('Semi Rev'!M81)),'Semi Rev'!Q81-'Semi Rev'!M81,""),"")</f>
        <v/>
      </c>
      <c r="N508" s="31">
        <f>IFERROR(IF(AND(ISNUMBER('Semi Rev'!R81),ISNUMBER('Semi Rev'!N81)),'Semi Rev'!R81-'Semi Rev'!N81,""),"")</f>
        <v/>
      </c>
    </row>
    <row r="509">
      <c r="A509" s="19">
        <f>'Semi Rev'!$A82</f>
        <v/>
      </c>
      <c r="B509" s="19">
        <f>'Semi Rev'!$B82</f>
        <v/>
      </c>
      <c r="C509" s="30">
        <f>IFERROR(IF(AND(ISNUMBER('Semi Rev'!G82),ISNUMBER('Semi Rev'!C82)),'Semi Rev'!G82-'Semi Rev'!C82,""),"")</f>
        <v/>
      </c>
      <c r="D509" s="30">
        <f>IFERROR(IF(AND(ISNUMBER('Semi Rev'!H82),ISNUMBER('Semi Rev'!D82)),'Semi Rev'!H82-'Semi Rev'!D82,""),"")</f>
        <v/>
      </c>
      <c r="E509" s="30">
        <f>IFERROR(IF(AND(ISNUMBER('Semi Rev'!I82),ISNUMBER('Semi Rev'!E82)),'Semi Rev'!I82-'Semi Rev'!E82,""),"")</f>
        <v/>
      </c>
      <c r="F509" s="30">
        <f>IFERROR(IF(AND(ISNUMBER('Semi Rev'!J82),ISNUMBER('Semi Rev'!F82)),'Semi Rev'!J82-'Semi Rev'!F82,""),"")</f>
        <v/>
      </c>
      <c r="G509" s="30">
        <f>IFERROR(IF(AND(ISNUMBER('Semi Rev'!K82),ISNUMBER('Semi Rev'!G82)),'Semi Rev'!K82-'Semi Rev'!G82,""),"")</f>
        <v/>
      </c>
      <c r="H509" s="30">
        <f>IFERROR(IF(AND(ISNUMBER('Semi Rev'!L82),ISNUMBER('Semi Rev'!H82)),'Semi Rev'!L82-'Semi Rev'!H82,""),"")</f>
        <v/>
      </c>
      <c r="I509" s="30">
        <f>IFERROR(IF(AND(ISNUMBER('Semi Rev'!M82),ISNUMBER('Semi Rev'!I82)),'Semi Rev'!M82-'Semi Rev'!I82,""),"")</f>
        <v/>
      </c>
      <c r="J509" s="30">
        <f>IFERROR(IF(AND(ISNUMBER('Semi Rev'!N82),ISNUMBER('Semi Rev'!J82)),'Semi Rev'!N82-'Semi Rev'!J82,""),"")</f>
        <v/>
      </c>
      <c r="K509" s="30">
        <f>IFERROR(IF(AND(ISNUMBER('Semi Rev'!O82),ISNUMBER('Semi Rev'!K82)),'Semi Rev'!O82-'Semi Rev'!K82,""),"")</f>
        <v/>
      </c>
      <c r="L509" s="30">
        <f>IFERROR(IF(AND(ISNUMBER('Semi Rev'!P82),ISNUMBER('Semi Rev'!L82)),'Semi Rev'!P82-'Semi Rev'!L82,""),"")</f>
        <v/>
      </c>
      <c r="M509" s="31">
        <f>IFERROR(IF(AND(ISNUMBER('Semi Rev'!Q82),ISNUMBER('Semi Rev'!M82)),'Semi Rev'!Q82-'Semi Rev'!M82,""),"")</f>
        <v/>
      </c>
      <c r="N509" s="31">
        <f>IFERROR(IF(AND(ISNUMBER('Semi Rev'!R82),ISNUMBER('Semi Rev'!N82)),'Semi Rev'!R82-'Semi Rev'!N82,""),"")</f>
        <v/>
      </c>
    </row>
    <row r="510">
      <c r="A510" s="19">
        <f>'Semi Rev'!$A83</f>
        <v/>
      </c>
      <c r="B510" s="19">
        <f>'Semi Rev'!$B83</f>
        <v/>
      </c>
      <c r="C510" s="30">
        <f>IFERROR(IF(AND(ISNUMBER('Semi Rev'!G83),ISNUMBER('Semi Rev'!C83)),'Semi Rev'!G83-'Semi Rev'!C83,""),"")</f>
        <v/>
      </c>
      <c r="D510" s="30">
        <f>IFERROR(IF(AND(ISNUMBER('Semi Rev'!H83),ISNUMBER('Semi Rev'!D83)),'Semi Rev'!H83-'Semi Rev'!D83,""),"")</f>
        <v/>
      </c>
      <c r="E510" s="30">
        <f>IFERROR(IF(AND(ISNUMBER('Semi Rev'!I83),ISNUMBER('Semi Rev'!E83)),'Semi Rev'!I83-'Semi Rev'!E83,""),"")</f>
        <v/>
      </c>
      <c r="F510" s="30">
        <f>IFERROR(IF(AND(ISNUMBER('Semi Rev'!J83),ISNUMBER('Semi Rev'!F83)),'Semi Rev'!J83-'Semi Rev'!F83,""),"")</f>
        <v/>
      </c>
      <c r="G510" s="30">
        <f>IFERROR(IF(AND(ISNUMBER('Semi Rev'!K83),ISNUMBER('Semi Rev'!G83)),'Semi Rev'!K83-'Semi Rev'!G83,""),"")</f>
        <v/>
      </c>
      <c r="H510" s="30">
        <f>IFERROR(IF(AND(ISNUMBER('Semi Rev'!L83),ISNUMBER('Semi Rev'!H83)),'Semi Rev'!L83-'Semi Rev'!H83,""),"")</f>
        <v/>
      </c>
      <c r="I510" s="30">
        <f>IFERROR(IF(AND(ISNUMBER('Semi Rev'!M83),ISNUMBER('Semi Rev'!I83)),'Semi Rev'!M83-'Semi Rev'!I83,""),"")</f>
        <v/>
      </c>
      <c r="J510" s="30">
        <f>IFERROR(IF(AND(ISNUMBER('Semi Rev'!N83),ISNUMBER('Semi Rev'!J83)),'Semi Rev'!N83-'Semi Rev'!J83,""),"")</f>
        <v/>
      </c>
      <c r="K510" s="30">
        <f>IFERROR(IF(AND(ISNUMBER('Semi Rev'!O83),ISNUMBER('Semi Rev'!K83)),'Semi Rev'!O83-'Semi Rev'!K83,""),"")</f>
        <v/>
      </c>
      <c r="L510" s="30">
        <f>IFERROR(IF(AND(ISNUMBER('Semi Rev'!P83),ISNUMBER('Semi Rev'!L83)),'Semi Rev'!P83-'Semi Rev'!L83,""),"")</f>
        <v/>
      </c>
      <c r="M510" s="31">
        <f>IFERROR(IF(AND(ISNUMBER('Semi Rev'!Q83),ISNUMBER('Semi Rev'!M83)),'Semi Rev'!Q83-'Semi Rev'!M83,""),"")</f>
        <v/>
      </c>
      <c r="N510" s="31">
        <f>IFERROR(IF(AND(ISNUMBER('Semi Rev'!R83),ISNUMBER('Semi Rev'!N83)),'Semi Rev'!R83-'Semi Rev'!N83,""),"")</f>
        <v/>
      </c>
    </row>
    <row r="511">
      <c r="A511" s="19">
        <f>'Semi Rev'!$A84</f>
        <v/>
      </c>
      <c r="B511" s="19">
        <f>'Semi Rev'!$B84</f>
        <v/>
      </c>
      <c r="C511" s="30">
        <f>IFERROR(IF(AND(ISNUMBER('Semi Rev'!G84),ISNUMBER('Semi Rev'!C84)),'Semi Rev'!G84-'Semi Rev'!C84,""),"")</f>
        <v/>
      </c>
      <c r="D511" s="30">
        <f>IFERROR(IF(AND(ISNUMBER('Semi Rev'!H84),ISNUMBER('Semi Rev'!D84)),'Semi Rev'!H84-'Semi Rev'!D84,""),"")</f>
        <v/>
      </c>
      <c r="E511" s="30">
        <f>IFERROR(IF(AND(ISNUMBER('Semi Rev'!I84),ISNUMBER('Semi Rev'!E84)),'Semi Rev'!I84-'Semi Rev'!E84,""),"")</f>
        <v/>
      </c>
      <c r="F511" s="30">
        <f>IFERROR(IF(AND(ISNUMBER('Semi Rev'!J84),ISNUMBER('Semi Rev'!F84)),'Semi Rev'!J84-'Semi Rev'!F84,""),"")</f>
        <v/>
      </c>
      <c r="G511" s="30">
        <f>IFERROR(IF(AND(ISNUMBER('Semi Rev'!K84),ISNUMBER('Semi Rev'!G84)),'Semi Rev'!K84-'Semi Rev'!G84,""),"")</f>
        <v/>
      </c>
      <c r="H511" s="30">
        <f>IFERROR(IF(AND(ISNUMBER('Semi Rev'!L84),ISNUMBER('Semi Rev'!H84)),'Semi Rev'!L84-'Semi Rev'!H84,""),"")</f>
        <v/>
      </c>
      <c r="I511" s="30">
        <f>IFERROR(IF(AND(ISNUMBER('Semi Rev'!M84),ISNUMBER('Semi Rev'!I84)),'Semi Rev'!M84-'Semi Rev'!I84,""),"")</f>
        <v/>
      </c>
      <c r="J511" s="30">
        <f>IFERROR(IF(AND(ISNUMBER('Semi Rev'!N84),ISNUMBER('Semi Rev'!J84)),'Semi Rev'!N84-'Semi Rev'!J84,""),"")</f>
        <v/>
      </c>
      <c r="K511" s="30">
        <f>IFERROR(IF(AND(ISNUMBER('Semi Rev'!O84),ISNUMBER('Semi Rev'!K84)),'Semi Rev'!O84-'Semi Rev'!K84,""),"")</f>
        <v/>
      </c>
      <c r="L511" s="30">
        <f>IFERROR(IF(AND(ISNUMBER('Semi Rev'!P84),ISNUMBER('Semi Rev'!L84)),'Semi Rev'!P84-'Semi Rev'!L84,""),"")</f>
        <v/>
      </c>
      <c r="M511" s="31">
        <f>IFERROR(IF(AND(ISNUMBER('Semi Rev'!Q84),ISNUMBER('Semi Rev'!M84)),'Semi Rev'!Q84-'Semi Rev'!M84,""),"")</f>
        <v/>
      </c>
      <c r="N511" s="31">
        <f>IFERROR(IF(AND(ISNUMBER('Semi Rev'!R84),ISNUMBER('Semi Rev'!N84)),'Semi Rev'!R84-'Semi Rev'!N84,""),"")</f>
        <v/>
      </c>
    </row>
    <row r="512">
      <c r="A512" s="19">
        <f>'Semi Rev'!$A85</f>
        <v/>
      </c>
      <c r="B512" s="19">
        <f>'Semi Rev'!$B85</f>
        <v/>
      </c>
      <c r="C512" s="30">
        <f>IFERROR(IF(AND(ISNUMBER('Semi Rev'!G85),ISNUMBER('Semi Rev'!C85)),'Semi Rev'!G85-'Semi Rev'!C85,""),"")</f>
        <v/>
      </c>
      <c r="D512" s="30">
        <f>IFERROR(IF(AND(ISNUMBER('Semi Rev'!H85),ISNUMBER('Semi Rev'!D85)),'Semi Rev'!H85-'Semi Rev'!D85,""),"")</f>
        <v/>
      </c>
      <c r="E512" s="30">
        <f>IFERROR(IF(AND(ISNUMBER('Semi Rev'!I85),ISNUMBER('Semi Rev'!E85)),'Semi Rev'!I85-'Semi Rev'!E85,""),"")</f>
        <v/>
      </c>
      <c r="F512" s="30">
        <f>IFERROR(IF(AND(ISNUMBER('Semi Rev'!J85),ISNUMBER('Semi Rev'!F85)),'Semi Rev'!J85-'Semi Rev'!F85,""),"")</f>
        <v/>
      </c>
      <c r="G512" s="30">
        <f>IFERROR(IF(AND(ISNUMBER('Semi Rev'!K85),ISNUMBER('Semi Rev'!G85)),'Semi Rev'!K85-'Semi Rev'!G85,""),"")</f>
        <v/>
      </c>
      <c r="H512" s="30">
        <f>IFERROR(IF(AND(ISNUMBER('Semi Rev'!L85),ISNUMBER('Semi Rev'!H85)),'Semi Rev'!L85-'Semi Rev'!H85,""),"")</f>
        <v/>
      </c>
      <c r="I512" s="30">
        <f>IFERROR(IF(AND(ISNUMBER('Semi Rev'!M85),ISNUMBER('Semi Rev'!I85)),'Semi Rev'!M85-'Semi Rev'!I85,""),"")</f>
        <v/>
      </c>
      <c r="J512" s="30">
        <f>IFERROR(IF(AND(ISNUMBER('Semi Rev'!N85),ISNUMBER('Semi Rev'!J85)),'Semi Rev'!N85-'Semi Rev'!J85,""),"")</f>
        <v/>
      </c>
      <c r="K512" s="30">
        <f>IFERROR(IF(AND(ISNUMBER('Semi Rev'!O85),ISNUMBER('Semi Rev'!K85)),'Semi Rev'!O85-'Semi Rev'!K85,""),"")</f>
        <v/>
      </c>
      <c r="L512" s="30">
        <f>IFERROR(IF(AND(ISNUMBER('Semi Rev'!P85),ISNUMBER('Semi Rev'!L85)),'Semi Rev'!P85-'Semi Rev'!L85,""),"")</f>
        <v/>
      </c>
      <c r="M512" s="31">
        <f>IFERROR(IF(AND(ISNUMBER('Semi Rev'!Q85),ISNUMBER('Semi Rev'!M85)),'Semi Rev'!Q85-'Semi Rev'!M85,""),"")</f>
        <v/>
      </c>
      <c r="N512" s="31">
        <f>IFERROR(IF(AND(ISNUMBER('Semi Rev'!R85),ISNUMBER('Semi Rev'!N85)),'Semi Rev'!R85-'Semi Rev'!N85,""),"")</f>
        <v/>
      </c>
    </row>
    <row r="513">
      <c r="A513" s="19">
        <f>'Semi Rev'!$A86</f>
        <v/>
      </c>
      <c r="B513" s="19">
        <f>'Semi Rev'!$B86</f>
        <v/>
      </c>
      <c r="C513" s="30">
        <f>IFERROR(IF(AND(ISNUMBER('Semi Rev'!G86),ISNUMBER('Semi Rev'!C86)),'Semi Rev'!G86-'Semi Rev'!C86,""),"")</f>
        <v/>
      </c>
      <c r="D513" s="30">
        <f>IFERROR(IF(AND(ISNUMBER('Semi Rev'!H86),ISNUMBER('Semi Rev'!D86)),'Semi Rev'!H86-'Semi Rev'!D86,""),"")</f>
        <v/>
      </c>
      <c r="E513" s="30">
        <f>IFERROR(IF(AND(ISNUMBER('Semi Rev'!I86),ISNUMBER('Semi Rev'!E86)),'Semi Rev'!I86-'Semi Rev'!E86,""),"")</f>
        <v/>
      </c>
      <c r="F513" s="30">
        <f>IFERROR(IF(AND(ISNUMBER('Semi Rev'!J86),ISNUMBER('Semi Rev'!F86)),'Semi Rev'!J86-'Semi Rev'!F86,""),"")</f>
        <v/>
      </c>
      <c r="G513" s="30">
        <f>IFERROR(IF(AND(ISNUMBER('Semi Rev'!K86),ISNUMBER('Semi Rev'!G86)),'Semi Rev'!K86-'Semi Rev'!G86,""),"")</f>
        <v/>
      </c>
      <c r="H513" s="30">
        <f>IFERROR(IF(AND(ISNUMBER('Semi Rev'!L86),ISNUMBER('Semi Rev'!H86)),'Semi Rev'!L86-'Semi Rev'!H86,""),"")</f>
        <v/>
      </c>
      <c r="I513" s="30">
        <f>IFERROR(IF(AND(ISNUMBER('Semi Rev'!M86),ISNUMBER('Semi Rev'!I86)),'Semi Rev'!M86-'Semi Rev'!I86,""),"")</f>
        <v/>
      </c>
      <c r="J513" s="30">
        <f>IFERROR(IF(AND(ISNUMBER('Semi Rev'!N86),ISNUMBER('Semi Rev'!J86)),'Semi Rev'!N86-'Semi Rev'!J86,""),"")</f>
        <v/>
      </c>
      <c r="K513" s="30">
        <f>IFERROR(IF(AND(ISNUMBER('Semi Rev'!O86),ISNUMBER('Semi Rev'!K86)),'Semi Rev'!O86-'Semi Rev'!K86,""),"")</f>
        <v/>
      </c>
      <c r="L513" s="30">
        <f>IFERROR(IF(AND(ISNUMBER('Semi Rev'!P86),ISNUMBER('Semi Rev'!L86)),'Semi Rev'!P86-'Semi Rev'!L86,""),"")</f>
        <v/>
      </c>
      <c r="M513" s="31">
        <f>IFERROR(IF(AND(ISNUMBER('Semi Rev'!Q86),ISNUMBER('Semi Rev'!M86)),'Semi Rev'!Q86-'Semi Rev'!M86,""),"")</f>
        <v/>
      </c>
      <c r="N513" s="31">
        <f>IFERROR(IF(AND(ISNUMBER('Semi Rev'!R86),ISNUMBER('Semi Rev'!N86)),'Semi Rev'!R86-'Semi Rev'!N86,""),"")</f>
        <v/>
      </c>
    </row>
    <row r="514">
      <c r="A514" s="19">
        <f>'Semi Rev'!$A87</f>
        <v/>
      </c>
      <c r="B514" s="19">
        <f>'Semi Rev'!$B87</f>
        <v/>
      </c>
      <c r="C514" s="30">
        <f>IFERROR(IF(AND(ISNUMBER('Semi Rev'!G87),ISNUMBER('Semi Rev'!C87)),'Semi Rev'!G87-'Semi Rev'!C87,""),"")</f>
        <v/>
      </c>
      <c r="D514" s="30">
        <f>IFERROR(IF(AND(ISNUMBER('Semi Rev'!H87),ISNUMBER('Semi Rev'!D87)),'Semi Rev'!H87-'Semi Rev'!D87,""),"")</f>
        <v/>
      </c>
      <c r="E514" s="30">
        <f>IFERROR(IF(AND(ISNUMBER('Semi Rev'!I87),ISNUMBER('Semi Rev'!E87)),'Semi Rev'!I87-'Semi Rev'!E87,""),"")</f>
        <v/>
      </c>
      <c r="F514" s="30">
        <f>IFERROR(IF(AND(ISNUMBER('Semi Rev'!J87),ISNUMBER('Semi Rev'!F87)),'Semi Rev'!J87-'Semi Rev'!F87,""),"")</f>
        <v/>
      </c>
      <c r="G514" s="30">
        <f>IFERROR(IF(AND(ISNUMBER('Semi Rev'!K87),ISNUMBER('Semi Rev'!G87)),'Semi Rev'!K87-'Semi Rev'!G87,""),"")</f>
        <v/>
      </c>
      <c r="H514" s="30">
        <f>IFERROR(IF(AND(ISNUMBER('Semi Rev'!L87),ISNUMBER('Semi Rev'!H87)),'Semi Rev'!L87-'Semi Rev'!H87,""),"")</f>
        <v/>
      </c>
      <c r="I514" s="30">
        <f>IFERROR(IF(AND(ISNUMBER('Semi Rev'!M87),ISNUMBER('Semi Rev'!I87)),'Semi Rev'!M87-'Semi Rev'!I87,""),"")</f>
        <v/>
      </c>
      <c r="J514" s="30">
        <f>IFERROR(IF(AND(ISNUMBER('Semi Rev'!N87),ISNUMBER('Semi Rev'!J87)),'Semi Rev'!N87-'Semi Rev'!J87,""),"")</f>
        <v/>
      </c>
      <c r="K514" s="30">
        <f>IFERROR(IF(AND(ISNUMBER('Semi Rev'!O87),ISNUMBER('Semi Rev'!K87)),'Semi Rev'!O87-'Semi Rev'!K87,""),"")</f>
        <v/>
      </c>
      <c r="L514" s="30">
        <f>IFERROR(IF(AND(ISNUMBER('Semi Rev'!P87),ISNUMBER('Semi Rev'!L87)),'Semi Rev'!P87-'Semi Rev'!L87,""),"")</f>
        <v/>
      </c>
      <c r="M514" s="31">
        <f>IFERROR(IF(AND(ISNUMBER('Semi Rev'!Q87),ISNUMBER('Semi Rev'!M87)),'Semi Rev'!Q87-'Semi Rev'!M87,""),"")</f>
        <v/>
      </c>
      <c r="N514" s="31">
        <f>IFERROR(IF(AND(ISNUMBER('Semi Rev'!R87),ISNUMBER('Semi Rev'!N87)),'Semi Rev'!R87-'Semi Rev'!N87,""),"")</f>
        <v/>
      </c>
    </row>
    <row r="515">
      <c r="A515" s="19">
        <f>'Semi Rev'!$A88</f>
        <v/>
      </c>
      <c r="B515" s="19">
        <f>'Semi Rev'!$B88</f>
        <v/>
      </c>
      <c r="C515" s="30">
        <f>IFERROR(IF(AND(ISNUMBER('Semi Rev'!G88),ISNUMBER('Semi Rev'!C88)),'Semi Rev'!G88-'Semi Rev'!C88,""),"")</f>
        <v/>
      </c>
      <c r="D515" s="30">
        <f>IFERROR(IF(AND(ISNUMBER('Semi Rev'!H88),ISNUMBER('Semi Rev'!D88)),'Semi Rev'!H88-'Semi Rev'!D88,""),"")</f>
        <v/>
      </c>
      <c r="E515" s="30">
        <f>IFERROR(IF(AND(ISNUMBER('Semi Rev'!I88),ISNUMBER('Semi Rev'!E88)),'Semi Rev'!I88-'Semi Rev'!E88,""),"")</f>
        <v/>
      </c>
      <c r="F515" s="30">
        <f>IFERROR(IF(AND(ISNUMBER('Semi Rev'!J88),ISNUMBER('Semi Rev'!F88)),'Semi Rev'!J88-'Semi Rev'!F88,""),"")</f>
        <v/>
      </c>
      <c r="G515" s="30">
        <f>IFERROR(IF(AND(ISNUMBER('Semi Rev'!K88),ISNUMBER('Semi Rev'!G88)),'Semi Rev'!K88-'Semi Rev'!G88,""),"")</f>
        <v/>
      </c>
      <c r="H515" s="30">
        <f>IFERROR(IF(AND(ISNUMBER('Semi Rev'!L88),ISNUMBER('Semi Rev'!H88)),'Semi Rev'!L88-'Semi Rev'!H88,""),"")</f>
        <v/>
      </c>
      <c r="I515" s="30">
        <f>IFERROR(IF(AND(ISNUMBER('Semi Rev'!M88),ISNUMBER('Semi Rev'!I88)),'Semi Rev'!M88-'Semi Rev'!I88,""),"")</f>
        <v/>
      </c>
      <c r="J515" s="30">
        <f>IFERROR(IF(AND(ISNUMBER('Semi Rev'!N88),ISNUMBER('Semi Rev'!J88)),'Semi Rev'!N88-'Semi Rev'!J88,""),"")</f>
        <v/>
      </c>
      <c r="K515" s="30">
        <f>IFERROR(IF(AND(ISNUMBER('Semi Rev'!O88),ISNUMBER('Semi Rev'!K88)),'Semi Rev'!O88-'Semi Rev'!K88,""),"")</f>
        <v/>
      </c>
      <c r="L515" s="30">
        <f>IFERROR(IF(AND(ISNUMBER('Semi Rev'!P88),ISNUMBER('Semi Rev'!L88)),'Semi Rev'!P88-'Semi Rev'!L88,""),"")</f>
        <v/>
      </c>
      <c r="M515" s="31">
        <f>IFERROR(IF(AND(ISNUMBER('Semi Rev'!Q88),ISNUMBER('Semi Rev'!M88)),'Semi Rev'!Q88-'Semi Rev'!M88,""),"")</f>
        <v/>
      </c>
      <c r="N515" s="31">
        <f>IFERROR(IF(AND(ISNUMBER('Semi Rev'!R88),ISNUMBER('Semi Rev'!N88)),'Semi Rev'!R88-'Semi Rev'!N88,""),"")</f>
        <v/>
      </c>
    </row>
    <row r="516">
      <c r="A516" s="19">
        <f>'Semi Rev'!$A89</f>
        <v/>
      </c>
      <c r="B516" s="19">
        <f>'Semi Rev'!$B89</f>
        <v/>
      </c>
      <c r="C516" s="30">
        <f>IFERROR(IF(AND(ISNUMBER('Semi Rev'!G89),ISNUMBER('Semi Rev'!C89)),'Semi Rev'!G89-'Semi Rev'!C89,""),"")</f>
        <v/>
      </c>
      <c r="D516" s="30">
        <f>IFERROR(IF(AND(ISNUMBER('Semi Rev'!H89),ISNUMBER('Semi Rev'!D89)),'Semi Rev'!H89-'Semi Rev'!D89,""),"")</f>
        <v/>
      </c>
      <c r="E516" s="30">
        <f>IFERROR(IF(AND(ISNUMBER('Semi Rev'!I89),ISNUMBER('Semi Rev'!E89)),'Semi Rev'!I89-'Semi Rev'!E89,""),"")</f>
        <v/>
      </c>
      <c r="F516" s="30">
        <f>IFERROR(IF(AND(ISNUMBER('Semi Rev'!J89),ISNUMBER('Semi Rev'!F89)),'Semi Rev'!J89-'Semi Rev'!F89,""),"")</f>
        <v/>
      </c>
      <c r="G516" s="30">
        <f>IFERROR(IF(AND(ISNUMBER('Semi Rev'!K89),ISNUMBER('Semi Rev'!G89)),'Semi Rev'!K89-'Semi Rev'!G89,""),"")</f>
        <v/>
      </c>
      <c r="H516" s="30">
        <f>IFERROR(IF(AND(ISNUMBER('Semi Rev'!L89),ISNUMBER('Semi Rev'!H89)),'Semi Rev'!L89-'Semi Rev'!H89,""),"")</f>
        <v/>
      </c>
      <c r="I516" s="30">
        <f>IFERROR(IF(AND(ISNUMBER('Semi Rev'!M89),ISNUMBER('Semi Rev'!I89)),'Semi Rev'!M89-'Semi Rev'!I89,""),"")</f>
        <v/>
      </c>
      <c r="J516" s="30">
        <f>IFERROR(IF(AND(ISNUMBER('Semi Rev'!N89),ISNUMBER('Semi Rev'!J89)),'Semi Rev'!N89-'Semi Rev'!J89,""),"")</f>
        <v/>
      </c>
      <c r="K516" s="30">
        <f>IFERROR(IF(AND(ISNUMBER('Semi Rev'!O89),ISNUMBER('Semi Rev'!K89)),'Semi Rev'!O89-'Semi Rev'!K89,""),"")</f>
        <v/>
      </c>
      <c r="L516" s="30">
        <f>IFERROR(IF(AND(ISNUMBER('Semi Rev'!P89),ISNUMBER('Semi Rev'!L89)),'Semi Rev'!P89-'Semi Rev'!L89,""),"")</f>
        <v/>
      </c>
      <c r="M516" s="31">
        <f>IFERROR(IF(AND(ISNUMBER('Semi Rev'!Q89),ISNUMBER('Semi Rev'!M89)),'Semi Rev'!Q89-'Semi Rev'!M89,""),"")</f>
        <v/>
      </c>
      <c r="N516" s="31">
        <f>IFERROR(IF(AND(ISNUMBER('Semi Rev'!R89),ISNUMBER('Semi Rev'!N89)),'Semi Rev'!R89-'Semi Rev'!N89,""),"")</f>
        <v/>
      </c>
    </row>
    <row r="517">
      <c r="A517" s="19">
        <f>'Semi Rev'!$A90</f>
        <v/>
      </c>
      <c r="B517" s="19">
        <f>'Semi Rev'!$B90</f>
        <v/>
      </c>
      <c r="C517" s="30">
        <f>IFERROR(IF(AND(ISNUMBER('Semi Rev'!G90),ISNUMBER('Semi Rev'!C90)),'Semi Rev'!G90-'Semi Rev'!C90,""),"")</f>
        <v/>
      </c>
      <c r="D517" s="30">
        <f>IFERROR(IF(AND(ISNUMBER('Semi Rev'!H90),ISNUMBER('Semi Rev'!D90)),'Semi Rev'!H90-'Semi Rev'!D90,""),"")</f>
        <v/>
      </c>
      <c r="E517" s="30">
        <f>IFERROR(IF(AND(ISNUMBER('Semi Rev'!I90),ISNUMBER('Semi Rev'!E90)),'Semi Rev'!I90-'Semi Rev'!E90,""),"")</f>
        <v/>
      </c>
      <c r="F517" s="30">
        <f>IFERROR(IF(AND(ISNUMBER('Semi Rev'!J90),ISNUMBER('Semi Rev'!F90)),'Semi Rev'!J90-'Semi Rev'!F90,""),"")</f>
        <v/>
      </c>
      <c r="G517" s="30">
        <f>IFERROR(IF(AND(ISNUMBER('Semi Rev'!K90),ISNUMBER('Semi Rev'!G90)),'Semi Rev'!K90-'Semi Rev'!G90,""),"")</f>
        <v/>
      </c>
      <c r="H517" s="30">
        <f>IFERROR(IF(AND(ISNUMBER('Semi Rev'!L90),ISNUMBER('Semi Rev'!H90)),'Semi Rev'!L90-'Semi Rev'!H90,""),"")</f>
        <v/>
      </c>
      <c r="I517" s="30">
        <f>IFERROR(IF(AND(ISNUMBER('Semi Rev'!M90),ISNUMBER('Semi Rev'!I90)),'Semi Rev'!M90-'Semi Rev'!I90,""),"")</f>
        <v/>
      </c>
      <c r="J517" s="30">
        <f>IFERROR(IF(AND(ISNUMBER('Semi Rev'!N90),ISNUMBER('Semi Rev'!J90)),'Semi Rev'!N90-'Semi Rev'!J90,""),"")</f>
        <v/>
      </c>
      <c r="K517" s="30">
        <f>IFERROR(IF(AND(ISNUMBER('Semi Rev'!O90),ISNUMBER('Semi Rev'!K90)),'Semi Rev'!O90-'Semi Rev'!K90,""),"")</f>
        <v/>
      </c>
      <c r="L517" s="30">
        <f>IFERROR(IF(AND(ISNUMBER('Semi Rev'!P90),ISNUMBER('Semi Rev'!L90)),'Semi Rev'!P90-'Semi Rev'!L90,""),"")</f>
        <v/>
      </c>
      <c r="M517" s="31">
        <f>IFERROR(IF(AND(ISNUMBER('Semi Rev'!Q90),ISNUMBER('Semi Rev'!M90)),'Semi Rev'!Q90-'Semi Rev'!M90,""),"")</f>
        <v/>
      </c>
      <c r="N517" s="31">
        <f>IFERROR(IF(AND(ISNUMBER('Semi Rev'!R90),ISNUMBER('Semi Rev'!N90)),'Semi Rev'!R90-'Semi Rev'!N90,""),"")</f>
        <v/>
      </c>
    </row>
    <row r="518">
      <c r="A518" s="19">
        <f>'Semi Rev'!$A91</f>
        <v/>
      </c>
      <c r="B518" s="19">
        <f>'Semi Rev'!$B91</f>
        <v/>
      </c>
      <c r="C518" s="30">
        <f>IFERROR(IF(AND(ISNUMBER('Semi Rev'!G91),ISNUMBER('Semi Rev'!C91)),'Semi Rev'!G91-'Semi Rev'!C91,""),"")</f>
        <v/>
      </c>
      <c r="D518" s="30">
        <f>IFERROR(IF(AND(ISNUMBER('Semi Rev'!H91),ISNUMBER('Semi Rev'!D91)),'Semi Rev'!H91-'Semi Rev'!D91,""),"")</f>
        <v/>
      </c>
      <c r="E518" s="30">
        <f>IFERROR(IF(AND(ISNUMBER('Semi Rev'!I91),ISNUMBER('Semi Rev'!E91)),'Semi Rev'!I91-'Semi Rev'!E91,""),"")</f>
        <v/>
      </c>
      <c r="F518" s="30">
        <f>IFERROR(IF(AND(ISNUMBER('Semi Rev'!J91),ISNUMBER('Semi Rev'!F91)),'Semi Rev'!J91-'Semi Rev'!F91,""),"")</f>
        <v/>
      </c>
      <c r="G518" s="30">
        <f>IFERROR(IF(AND(ISNUMBER('Semi Rev'!K91),ISNUMBER('Semi Rev'!G91)),'Semi Rev'!K91-'Semi Rev'!G91,""),"")</f>
        <v/>
      </c>
      <c r="H518" s="30">
        <f>IFERROR(IF(AND(ISNUMBER('Semi Rev'!L91),ISNUMBER('Semi Rev'!H91)),'Semi Rev'!L91-'Semi Rev'!H91,""),"")</f>
        <v/>
      </c>
      <c r="I518" s="30">
        <f>IFERROR(IF(AND(ISNUMBER('Semi Rev'!M91),ISNUMBER('Semi Rev'!I91)),'Semi Rev'!M91-'Semi Rev'!I91,""),"")</f>
        <v/>
      </c>
      <c r="J518" s="30">
        <f>IFERROR(IF(AND(ISNUMBER('Semi Rev'!N91),ISNUMBER('Semi Rev'!J91)),'Semi Rev'!N91-'Semi Rev'!J91,""),"")</f>
        <v/>
      </c>
      <c r="K518" s="30">
        <f>IFERROR(IF(AND(ISNUMBER('Semi Rev'!O91),ISNUMBER('Semi Rev'!K91)),'Semi Rev'!O91-'Semi Rev'!K91,""),"")</f>
        <v/>
      </c>
      <c r="L518" s="30">
        <f>IFERROR(IF(AND(ISNUMBER('Semi Rev'!P91),ISNUMBER('Semi Rev'!L91)),'Semi Rev'!P91-'Semi Rev'!L91,""),"")</f>
        <v/>
      </c>
      <c r="M518" s="31">
        <f>IFERROR(IF(AND(ISNUMBER('Semi Rev'!Q91),ISNUMBER('Semi Rev'!M91)),'Semi Rev'!Q91-'Semi Rev'!M91,""),"")</f>
        <v/>
      </c>
      <c r="N518" s="31">
        <f>IFERROR(IF(AND(ISNUMBER('Semi Rev'!R91),ISNUMBER('Semi Rev'!N91)),'Semi Rev'!R91-'Semi Rev'!N91,""),"")</f>
        <v/>
      </c>
    </row>
    <row r="519">
      <c r="A519" s="19">
        <f>'Semi Rev'!$A92</f>
        <v/>
      </c>
      <c r="B519" s="19">
        <f>'Semi Rev'!$B92</f>
        <v/>
      </c>
      <c r="C519" s="30">
        <f>IFERROR(IF(AND(ISNUMBER('Semi Rev'!G92),ISNUMBER('Semi Rev'!C92)),'Semi Rev'!G92-'Semi Rev'!C92,""),"")</f>
        <v/>
      </c>
      <c r="D519" s="30">
        <f>IFERROR(IF(AND(ISNUMBER('Semi Rev'!H92),ISNUMBER('Semi Rev'!D92)),'Semi Rev'!H92-'Semi Rev'!D92,""),"")</f>
        <v/>
      </c>
      <c r="E519" s="30">
        <f>IFERROR(IF(AND(ISNUMBER('Semi Rev'!I92),ISNUMBER('Semi Rev'!E92)),'Semi Rev'!I92-'Semi Rev'!E92,""),"")</f>
        <v/>
      </c>
      <c r="F519" s="30">
        <f>IFERROR(IF(AND(ISNUMBER('Semi Rev'!J92),ISNUMBER('Semi Rev'!F92)),'Semi Rev'!J92-'Semi Rev'!F92,""),"")</f>
        <v/>
      </c>
      <c r="G519" s="30">
        <f>IFERROR(IF(AND(ISNUMBER('Semi Rev'!K92),ISNUMBER('Semi Rev'!G92)),'Semi Rev'!K92-'Semi Rev'!G92,""),"")</f>
        <v/>
      </c>
      <c r="H519" s="30">
        <f>IFERROR(IF(AND(ISNUMBER('Semi Rev'!L92),ISNUMBER('Semi Rev'!H92)),'Semi Rev'!L92-'Semi Rev'!H92,""),"")</f>
        <v/>
      </c>
      <c r="I519" s="30">
        <f>IFERROR(IF(AND(ISNUMBER('Semi Rev'!M92),ISNUMBER('Semi Rev'!I92)),'Semi Rev'!M92-'Semi Rev'!I92,""),"")</f>
        <v/>
      </c>
      <c r="J519" s="30">
        <f>IFERROR(IF(AND(ISNUMBER('Semi Rev'!N92),ISNUMBER('Semi Rev'!J92)),'Semi Rev'!N92-'Semi Rev'!J92,""),"")</f>
        <v/>
      </c>
      <c r="K519" s="30">
        <f>IFERROR(IF(AND(ISNUMBER('Semi Rev'!O92),ISNUMBER('Semi Rev'!K92)),'Semi Rev'!O92-'Semi Rev'!K92,""),"")</f>
        <v/>
      </c>
      <c r="L519" s="30">
        <f>IFERROR(IF(AND(ISNUMBER('Semi Rev'!P92),ISNUMBER('Semi Rev'!L92)),'Semi Rev'!P92-'Semi Rev'!L92,""),"")</f>
        <v/>
      </c>
      <c r="M519" s="31">
        <f>IFERROR(IF(AND(ISNUMBER('Semi Rev'!Q92),ISNUMBER('Semi Rev'!M92)),'Semi Rev'!Q92-'Semi Rev'!M92,""),"")</f>
        <v/>
      </c>
      <c r="N519" s="31">
        <f>IFERROR(IF(AND(ISNUMBER('Semi Rev'!R92),ISNUMBER('Semi Rev'!N92)),'Semi Rev'!R92-'Semi Rev'!N92,""),"")</f>
        <v/>
      </c>
    </row>
    <row r="520">
      <c r="A520" s="19">
        <f>'Semi Rev'!$A93</f>
        <v/>
      </c>
      <c r="B520" s="19">
        <f>'Semi Rev'!$B93</f>
        <v/>
      </c>
      <c r="C520" s="30">
        <f>IFERROR(IF(AND(ISNUMBER('Semi Rev'!G93),ISNUMBER('Semi Rev'!C93)),'Semi Rev'!G93-'Semi Rev'!C93,""),"")</f>
        <v/>
      </c>
      <c r="D520" s="30">
        <f>IFERROR(IF(AND(ISNUMBER('Semi Rev'!H93),ISNUMBER('Semi Rev'!D93)),'Semi Rev'!H93-'Semi Rev'!D93,""),"")</f>
        <v/>
      </c>
      <c r="E520" s="30">
        <f>IFERROR(IF(AND(ISNUMBER('Semi Rev'!I93),ISNUMBER('Semi Rev'!E93)),'Semi Rev'!I93-'Semi Rev'!E93,""),"")</f>
        <v/>
      </c>
      <c r="F520" s="30">
        <f>IFERROR(IF(AND(ISNUMBER('Semi Rev'!J93),ISNUMBER('Semi Rev'!F93)),'Semi Rev'!J93-'Semi Rev'!F93,""),"")</f>
        <v/>
      </c>
      <c r="G520" s="30">
        <f>IFERROR(IF(AND(ISNUMBER('Semi Rev'!K93),ISNUMBER('Semi Rev'!G93)),'Semi Rev'!K93-'Semi Rev'!G93,""),"")</f>
        <v/>
      </c>
      <c r="H520" s="30">
        <f>IFERROR(IF(AND(ISNUMBER('Semi Rev'!L93),ISNUMBER('Semi Rev'!H93)),'Semi Rev'!L93-'Semi Rev'!H93,""),"")</f>
        <v/>
      </c>
      <c r="I520" s="30">
        <f>IFERROR(IF(AND(ISNUMBER('Semi Rev'!M93),ISNUMBER('Semi Rev'!I93)),'Semi Rev'!M93-'Semi Rev'!I93,""),"")</f>
        <v/>
      </c>
      <c r="J520" s="30">
        <f>IFERROR(IF(AND(ISNUMBER('Semi Rev'!N93),ISNUMBER('Semi Rev'!J93)),'Semi Rev'!N93-'Semi Rev'!J93,""),"")</f>
        <v/>
      </c>
      <c r="K520" s="30">
        <f>IFERROR(IF(AND(ISNUMBER('Semi Rev'!O93),ISNUMBER('Semi Rev'!K93)),'Semi Rev'!O93-'Semi Rev'!K93,""),"")</f>
        <v/>
      </c>
      <c r="L520" s="30">
        <f>IFERROR(IF(AND(ISNUMBER('Semi Rev'!P93),ISNUMBER('Semi Rev'!L93)),'Semi Rev'!P93-'Semi Rev'!L93,""),"")</f>
        <v/>
      </c>
      <c r="M520" s="31">
        <f>IFERROR(IF(AND(ISNUMBER('Semi Rev'!Q93),ISNUMBER('Semi Rev'!M93)),'Semi Rev'!Q93-'Semi Rev'!M93,""),"")</f>
        <v/>
      </c>
      <c r="N520" s="31">
        <f>IFERROR(IF(AND(ISNUMBER('Semi Rev'!R93),ISNUMBER('Semi Rev'!N93)),'Semi Rev'!R93-'Semi Rev'!N93,""),"")</f>
        <v/>
      </c>
    </row>
    <row r="521">
      <c r="A521" s="19">
        <f>'Semi Rev'!$A94</f>
        <v/>
      </c>
      <c r="B521" s="19">
        <f>'Semi Rev'!$B94</f>
        <v/>
      </c>
      <c r="C521" s="30">
        <f>IFERROR(IF(AND(ISNUMBER('Semi Rev'!G94),ISNUMBER('Semi Rev'!C94)),'Semi Rev'!G94-'Semi Rev'!C94,""),"")</f>
        <v/>
      </c>
      <c r="D521" s="30">
        <f>IFERROR(IF(AND(ISNUMBER('Semi Rev'!H94),ISNUMBER('Semi Rev'!D94)),'Semi Rev'!H94-'Semi Rev'!D94,""),"")</f>
        <v/>
      </c>
      <c r="E521" s="30">
        <f>IFERROR(IF(AND(ISNUMBER('Semi Rev'!I94),ISNUMBER('Semi Rev'!E94)),'Semi Rev'!I94-'Semi Rev'!E94,""),"")</f>
        <v/>
      </c>
      <c r="F521" s="30">
        <f>IFERROR(IF(AND(ISNUMBER('Semi Rev'!J94),ISNUMBER('Semi Rev'!F94)),'Semi Rev'!J94-'Semi Rev'!F94,""),"")</f>
        <v/>
      </c>
      <c r="G521" s="30">
        <f>IFERROR(IF(AND(ISNUMBER('Semi Rev'!K94),ISNUMBER('Semi Rev'!G94)),'Semi Rev'!K94-'Semi Rev'!G94,""),"")</f>
        <v/>
      </c>
      <c r="H521" s="30">
        <f>IFERROR(IF(AND(ISNUMBER('Semi Rev'!L94),ISNUMBER('Semi Rev'!H94)),'Semi Rev'!L94-'Semi Rev'!H94,""),"")</f>
        <v/>
      </c>
      <c r="I521" s="30">
        <f>IFERROR(IF(AND(ISNUMBER('Semi Rev'!M94),ISNUMBER('Semi Rev'!I94)),'Semi Rev'!M94-'Semi Rev'!I94,""),"")</f>
        <v/>
      </c>
      <c r="J521" s="30">
        <f>IFERROR(IF(AND(ISNUMBER('Semi Rev'!N94),ISNUMBER('Semi Rev'!J94)),'Semi Rev'!N94-'Semi Rev'!J94,""),"")</f>
        <v/>
      </c>
      <c r="K521" s="30">
        <f>IFERROR(IF(AND(ISNUMBER('Semi Rev'!O94),ISNUMBER('Semi Rev'!K94)),'Semi Rev'!O94-'Semi Rev'!K94,""),"")</f>
        <v/>
      </c>
      <c r="L521" s="30">
        <f>IFERROR(IF(AND(ISNUMBER('Semi Rev'!P94),ISNUMBER('Semi Rev'!L94)),'Semi Rev'!P94-'Semi Rev'!L94,""),"")</f>
        <v/>
      </c>
      <c r="M521" s="31">
        <f>IFERROR(IF(AND(ISNUMBER('Semi Rev'!Q94),ISNUMBER('Semi Rev'!M94)),'Semi Rev'!Q94-'Semi Rev'!M94,""),"")</f>
        <v/>
      </c>
      <c r="N521" s="31">
        <f>IFERROR(IF(AND(ISNUMBER('Semi Rev'!R94),ISNUMBER('Semi Rev'!N94)),'Semi Rev'!R94-'Semi Rev'!N94,""),"")</f>
        <v/>
      </c>
    </row>
    <row r="522">
      <c r="A522" s="19">
        <f>'Semi Rev'!$A95</f>
        <v/>
      </c>
      <c r="B522" s="19">
        <f>'Semi Rev'!$B95</f>
        <v/>
      </c>
      <c r="C522" s="30">
        <f>IFERROR(IF(AND(ISNUMBER('Semi Rev'!G95),ISNUMBER('Semi Rev'!C95)),'Semi Rev'!G95-'Semi Rev'!C95,""),"")</f>
        <v/>
      </c>
      <c r="D522" s="30">
        <f>IFERROR(IF(AND(ISNUMBER('Semi Rev'!H95),ISNUMBER('Semi Rev'!D95)),'Semi Rev'!H95-'Semi Rev'!D95,""),"")</f>
        <v/>
      </c>
      <c r="E522" s="30">
        <f>IFERROR(IF(AND(ISNUMBER('Semi Rev'!I95),ISNUMBER('Semi Rev'!E95)),'Semi Rev'!I95-'Semi Rev'!E95,""),"")</f>
        <v/>
      </c>
      <c r="F522" s="30">
        <f>IFERROR(IF(AND(ISNUMBER('Semi Rev'!J95),ISNUMBER('Semi Rev'!F95)),'Semi Rev'!J95-'Semi Rev'!F95,""),"")</f>
        <v/>
      </c>
      <c r="G522" s="30">
        <f>IFERROR(IF(AND(ISNUMBER('Semi Rev'!K95),ISNUMBER('Semi Rev'!G95)),'Semi Rev'!K95-'Semi Rev'!G95,""),"")</f>
        <v/>
      </c>
      <c r="H522" s="30">
        <f>IFERROR(IF(AND(ISNUMBER('Semi Rev'!L95),ISNUMBER('Semi Rev'!H95)),'Semi Rev'!L95-'Semi Rev'!H95,""),"")</f>
        <v/>
      </c>
      <c r="I522" s="30">
        <f>IFERROR(IF(AND(ISNUMBER('Semi Rev'!M95),ISNUMBER('Semi Rev'!I95)),'Semi Rev'!M95-'Semi Rev'!I95,""),"")</f>
        <v/>
      </c>
      <c r="J522" s="30">
        <f>IFERROR(IF(AND(ISNUMBER('Semi Rev'!N95),ISNUMBER('Semi Rev'!J95)),'Semi Rev'!N95-'Semi Rev'!J95,""),"")</f>
        <v/>
      </c>
      <c r="K522" s="30">
        <f>IFERROR(IF(AND(ISNUMBER('Semi Rev'!O95),ISNUMBER('Semi Rev'!K95)),'Semi Rev'!O95-'Semi Rev'!K95,""),"")</f>
        <v/>
      </c>
      <c r="L522" s="30">
        <f>IFERROR(IF(AND(ISNUMBER('Semi Rev'!P95),ISNUMBER('Semi Rev'!L95)),'Semi Rev'!P95-'Semi Rev'!L95,""),"")</f>
        <v/>
      </c>
      <c r="M522" s="31">
        <f>IFERROR(IF(AND(ISNUMBER('Semi Rev'!Q95),ISNUMBER('Semi Rev'!M95)),'Semi Rev'!Q95-'Semi Rev'!M95,""),"")</f>
        <v/>
      </c>
      <c r="N522" s="31">
        <f>IFERROR(IF(AND(ISNUMBER('Semi Rev'!R95),ISNUMBER('Semi Rev'!N95)),'Semi Rev'!R95-'Semi Rev'!N95,""),"")</f>
        <v/>
      </c>
    </row>
    <row r="523">
      <c r="A523" s="19">
        <f>'Semi Rev'!$A96</f>
        <v/>
      </c>
      <c r="B523" s="19">
        <f>'Semi Rev'!$B96</f>
        <v/>
      </c>
      <c r="C523" s="30">
        <f>IFERROR(IF(AND(ISNUMBER('Semi Rev'!G96),ISNUMBER('Semi Rev'!C96)),'Semi Rev'!G96-'Semi Rev'!C96,""),"")</f>
        <v/>
      </c>
      <c r="D523" s="30">
        <f>IFERROR(IF(AND(ISNUMBER('Semi Rev'!H96),ISNUMBER('Semi Rev'!D96)),'Semi Rev'!H96-'Semi Rev'!D96,""),"")</f>
        <v/>
      </c>
      <c r="E523" s="30">
        <f>IFERROR(IF(AND(ISNUMBER('Semi Rev'!I96),ISNUMBER('Semi Rev'!E96)),'Semi Rev'!I96-'Semi Rev'!E96,""),"")</f>
        <v/>
      </c>
      <c r="F523" s="30">
        <f>IFERROR(IF(AND(ISNUMBER('Semi Rev'!J96),ISNUMBER('Semi Rev'!F96)),'Semi Rev'!J96-'Semi Rev'!F96,""),"")</f>
        <v/>
      </c>
      <c r="G523" s="30">
        <f>IFERROR(IF(AND(ISNUMBER('Semi Rev'!K96),ISNUMBER('Semi Rev'!G96)),'Semi Rev'!K96-'Semi Rev'!G96,""),"")</f>
        <v/>
      </c>
      <c r="H523" s="30">
        <f>IFERROR(IF(AND(ISNUMBER('Semi Rev'!L96),ISNUMBER('Semi Rev'!H96)),'Semi Rev'!L96-'Semi Rev'!H96,""),"")</f>
        <v/>
      </c>
      <c r="I523" s="30">
        <f>IFERROR(IF(AND(ISNUMBER('Semi Rev'!M96),ISNUMBER('Semi Rev'!I96)),'Semi Rev'!M96-'Semi Rev'!I96,""),"")</f>
        <v/>
      </c>
      <c r="J523" s="30">
        <f>IFERROR(IF(AND(ISNUMBER('Semi Rev'!N96),ISNUMBER('Semi Rev'!J96)),'Semi Rev'!N96-'Semi Rev'!J96,""),"")</f>
        <v/>
      </c>
      <c r="K523" s="30">
        <f>IFERROR(IF(AND(ISNUMBER('Semi Rev'!O96),ISNUMBER('Semi Rev'!K96)),'Semi Rev'!O96-'Semi Rev'!K96,""),"")</f>
        <v/>
      </c>
      <c r="L523" s="30">
        <f>IFERROR(IF(AND(ISNUMBER('Semi Rev'!P96),ISNUMBER('Semi Rev'!L96)),'Semi Rev'!P96-'Semi Rev'!L96,""),"")</f>
        <v/>
      </c>
      <c r="M523" s="31">
        <f>IFERROR(IF(AND(ISNUMBER('Semi Rev'!Q96),ISNUMBER('Semi Rev'!M96)),'Semi Rev'!Q96-'Semi Rev'!M96,""),"")</f>
        <v/>
      </c>
      <c r="N523" s="31">
        <f>IFERROR(IF(AND(ISNUMBER('Semi Rev'!R96),ISNUMBER('Semi Rev'!N96)),'Semi Rev'!R96-'Semi Rev'!N96,""),"")</f>
        <v/>
      </c>
    </row>
    <row r="524">
      <c r="A524" s="19">
        <f>'Semi Rev'!$A97</f>
        <v/>
      </c>
      <c r="B524" s="19">
        <f>'Semi Rev'!$B97</f>
        <v/>
      </c>
      <c r="C524" s="30">
        <f>IFERROR(IF(AND(ISNUMBER('Semi Rev'!G97),ISNUMBER('Semi Rev'!C97)),'Semi Rev'!G97-'Semi Rev'!C97,""),"")</f>
        <v/>
      </c>
      <c r="D524" s="30">
        <f>IFERROR(IF(AND(ISNUMBER('Semi Rev'!H97),ISNUMBER('Semi Rev'!D97)),'Semi Rev'!H97-'Semi Rev'!D97,""),"")</f>
        <v/>
      </c>
      <c r="E524" s="30">
        <f>IFERROR(IF(AND(ISNUMBER('Semi Rev'!I97),ISNUMBER('Semi Rev'!E97)),'Semi Rev'!I97-'Semi Rev'!E97,""),"")</f>
        <v/>
      </c>
      <c r="F524" s="30">
        <f>IFERROR(IF(AND(ISNUMBER('Semi Rev'!J97),ISNUMBER('Semi Rev'!F97)),'Semi Rev'!J97-'Semi Rev'!F97,""),"")</f>
        <v/>
      </c>
      <c r="G524" s="30">
        <f>IFERROR(IF(AND(ISNUMBER('Semi Rev'!K97),ISNUMBER('Semi Rev'!G97)),'Semi Rev'!K97-'Semi Rev'!G97,""),"")</f>
        <v/>
      </c>
      <c r="H524" s="30">
        <f>IFERROR(IF(AND(ISNUMBER('Semi Rev'!L97),ISNUMBER('Semi Rev'!H97)),'Semi Rev'!L97-'Semi Rev'!H97,""),"")</f>
        <v/>
      </c>
      <c r="I524" s="30">
        <f>IFERROR(IF(AND(ISNUMBER('Semi Rev'!M97),ISNUMBER('Semi Rev'!I97)),'Semi Rev'!M97-'Semi Rev'!I97,""),"")</f>
        <v/>
      </c>
      <c r="J524" s="30">
        <f>IFERROR(IF(AND(ISNUMBER('Semi Rev'!N97),ISNUMBER('Semi Rev'!J97)),'Semi Rev'!N97-'Semi Rev'!J97,""),"")</f>
        <v/>
      </c>
      <c r="K524" s="30">
        <f>IFERROR(IF(AND(ISNUMBER('Semi Rev'!O97),ISNUMBER('Semi Rev'!K97)),'Semi Rev'!O97-'Semi Rev'!K97,""),"")</f>
        <v/>
      </c>
      <c r="L524" s="30">
        <f>IFERROR(IF(AND(ISNUMBER('Semi Rev'!P97),ISNUMBER('Semi Rev'!L97)),'Semi Rev'!P97-'Semi Rev'!L97,""),"")</f>
        <v/>
      </c>
      <c r="M524" s="31">
        <f>IFERROR(IF(AND(ISNUMBER('Semi Rev'!Q97),ISNUMBER('Semi Rev'!M97)),'Semi Rev'!Q97-'Semi Rev'!M97,""),"")</f>
        <v/>
      </c>
      <c r="N524" s="31">
        <f>IFERROR(IF(AND(ISNUMBER('Semi Rev'!R97),ISNUMBER('Semi Rev'!N97)),'Semi Rev'!R97-'Semi Rev'!N97,""),"")</f>
        <v/>
      </c>
    </row>
    <row r="525">
      <c r="A525" s="19">
        <f>'Semi Rev'!$A98</f>
        <v/>
      </c>
      <c r="B525" s="19">
        <f>'Semi Rev'!$B98</f>
        <v/>
      </c>
      <c r="C525" s="30">
        <f>IFERROR(IF(AND(ISNUMBER('Semi Rev'!G98),ISNUMBER('Semi Rev'!C98)),'Semi Rev'!G98-'Semi Rev'!C98,""),"")</f>
        <v/>
      </c>
      <c r="D525" s="30">
        <f>IFERROR(IF(AND(ISNUMBER('Semi Rev'!H98),ISNUMBER('Semi Rev'!D98)),'Semi Rev'!H98-'Semi Rev'!D98,""),"")</f>
        <v/>
      </c>
      <c r="E525" s="30">
        <f>IFERROR(IF(AND(ISNUMBER('Semi Rev'!I98),ISNUMBER('Semi Rev'!E98)),'Semi Rev'!I98-'Semi Rev'!E98,""),"")</f>
        <v/>
      </c>
      <c r="F525" s="30">
        <f>IFERROR(IF(AND(ISNUMBER('Semi Rev'!J98),ISNUMBER('Semi Rev'!F98)),'Semi Rev'!J98-'Semi Rev'!F98,""),"")</f>
        <v/>
      </c>
      <c r="G525" s="30">
        <f>IFERROR(IF(AND(ISNUMBER('Semi Rev'!K98),ISNUMBER('Semi Rev'!G98)),'Semi Rev'!K98-'Semi Rev'!G98,""),"")</f>
        <v/>
      </c>
      <c r="H525" s="30">
        <f>IFERROR(IF(AND(ISNUMBER('Semi Rev'!L98),ISNUMBER('Semi Rev'!H98)),'Semi Rev'!L98-'Semi Rev'!H98,""),"")</f>
        <v/>
      </c>
      <c r="I525" s="30">
        <f>IFERROR(IF(AND(ISNUMBER('Semi Rev'!M98),ISNUMBER('Semi Rev'!I98)),'Semi Rev'!M98-'Semi Rev'!I98,""),"")</f>
        <v/>
      </c>
      <c r="J525" s="30">
        <f>IFERROR(IF(AND(ISNUMBER('Semi Rev'!N98),ISNUMBER('Semi Rev'!J98)),'Semi Rev'!N98-'Semi Rev'!J98,""),"")</f>
        <v/>
      </c>
      <c r="K525" s="30">
        <f>IFERROR(IF(AND(ISNUMBER('Semi Rev'!O98),ISNUMBER('Semi Rev'!K98)),'Semi Rev'!O98-'Semi Rev'!K98,""),"")</f>
        <v/>
      </c>
      <c r="L525" s="30">
        <f>IFERROR(IF(AND(ISNUMBER('Semi Rev'!P98),ISNUMBER('Semi Rev'!L98)),'Semi Rev'!P98-'Semi Rev'!L98,""),"")</f>
        <v/>
      </c>
      <c r="M525" s="31">
        <f>IFERROR(IF(AND(ISNUMBER('Semi Rev'!Q98),ISNUMBER('Semi Rev'!M98)),'Semi Rev'!Q98-'Semi Rev'!M98,""),"")</f>
        <v/>
      </c>
      <c r="N525" s="31">
        <f>IFERROR(IF(AND(ISNUMBER('Semi Rev'!R98),ISNUMBER('Semi Rev'!N98)),'Semi Rev'!R98-'Semi Rev'!N98,""),"")</f>
        <v/>
      </c>
    </row>
    <row r="526">
      <c r="A526" s="19">
        <f>'Semi Rev'!$A99</f>
        <v/>
      </c>
      <c r="B526" s="19">
        <f>'Semi Rev'!$B99</f>
        <v/>
      </c>
      <c r="C526" s="30">
        <f>IFERROR(IF(AND(ISNUMBER('Semi Rev'!G99),ISNUMBER('Semi Rev'!C99)),'Semi Rev'!G99-'Semi Rev'!C99,""),"")</f>
        <v/>
      </c>
      <c r="D526" s="30">
        <f>IFERROR(IF(AND(ISNUMBER('Semi Rev'!H99),ISNUMBER('Semi Rev'!D99)),'Semi Rev'!H99-'Semi Rev'!D99,""),"")</f>
        <v/>
      </c>
      <c r="E526" s="30">
        <f>IFERROR(IF(AND(ISNUMBER('Semi Rev'!I99),ISNUMBER('Semi Rev'!E99)),'Semi Rev'!I99-'Semi Rev'!E99,""),"")</f>
        <v/>
      </c>
      <c r="F526" s="30">
        <f>IFERROR(IF(AND(ISNUMBER('Semi Rev'!J99),ISNUMBER('Semi Rev'!F99)),'Semi Rev'!J99-'Semi Rev'!F99,""),"")</f>
        <v/>
      </c>
      <c r="G526" s="30">
        <f>IFERROR(IF(AND(ISNUMBER('Semi Rev'!K99),ISNUMBER('Semi Rev'!G99)),'Semi Rev'!K99-'Semi Rev'!G99,""),"")</f>
        <v/>
      </c>
      <c r="H526" s="30">
        <f>IFERROR(IF(AND(ISNUMBER('Semi Rev'!L99),ISNUMBER('Semi Rev'!H99)),'Semi Rev'!L99-'Semi Rev'!H99,""),"")</f>
        <v/>
      </c>
      <c r="I526" s="30">
        <f>IFERROR(IF(AND(ISNUMBER('Semi Rev'!M99),ISNUMBER('Semi Rev'!I99)),'Semi Rev'!M99-'Semi Rev'!I99,""),"")</f>
        <v/>
      </c>
      <c r="J526" s="30">
        <f>IFERROR(IF(AND(ISNUMBER('Semi Rev'!N99),ISNUMBER('Semi Rev'!J99)),'Semi Rev'!N99-'Semi Rev'!J99,""),"")</f>
        <v/>
      </c>
      <c r="K526" s="30">
        <f>IFERROR(IF(AND(ISNUMBER('Semi Rev'!O99),ISNUMBER('Semi Rev'!K99)),'Semi Rev'!O99-'Semi Rev'!K99,""),"")</f>
        <v/>
      </c>
      <c r="L526" s="30">
        <f>IFERROR(IF(AND(ISNUMBER('Semi Rev'!P99),ISNUMBER('Semi Rev'!L99)),'Semi Rev'!P99-'Semi Rev'!L99,""),"")</f>
        <v/>
      </c>
      <c r="M526" s="31">
        <f>IFERROR(IF(AND(ISNUMBER('Semi Rev'!Q99),ISNUMBER('Semi Rev'!M99)),'Semi Rev'!Q99-'Semi Rev'!M99,""),"")</f>
        <v/>
      </c>
      <c r="N526" s="31">
        <f>IFERROR(IF(AND(ISNUMBER('Semi Rev'!R99),ISNUMBER('Semi Rev'!N99)),'Semi Rev'!R99-'Semi Rev'!N99,""),"")</f>
        <v/>
      </c>
    </row>
    <row r="527">
      <c r="A527" s="19">
        <f>'Semi Rev'!$A100</f>
        <v/>
      </c>
      <c r="B527" s="19">
        <f>'Semi Rev'!$B100</f>
        <v/>
      </c>
      <c r="C527" s="30">
        <f>IFERROR(IF(AND(ISNUMBER('Semi Rev'!G100),ISNUMBER('Semi Rev'!C100)),'Semi Rev'!G100-'Semi Rev'!C100,""),"")</f>
        <v/>
      </c>
      <c r="D527" s="30">
        <f>IFERROR(IF(AND(ISNUMBER('Semi Rev'!H100),ISNUMBER('Semi Rev'!D100)),'Semi Rev'!H100-'Semi Rev'!D100,""),"")</f>
        <v/>
      </c>
      <c r="E527" s="30">
        <f>IFERROR(IF(AND(ISNUMBER('Semi Rev'!I100),ISNUMBER('Semi Rev'!E100)),'Semi Rev'!I100-'Semi Rev'!E100,""),"")</f>
        <v/>
      </c>
      <c r="F527" s="30">
        <f>IFERROR(IF(AND(ISNUMBER('Semi Rev'!J100),ISNUMBER('Semi Rev'!F100)),'Semi Rev'!J100-'Semi Rev'!F100,""),"")</f>
        <v/>
      </c>
      <c r="G527" s="30">
        <f>IFERROR(IF(AND(ISNUMBER('Semi Rev'!K100),ISNUMBER('Semi Rev'!G100)),'Semi Rev'!K100-'Semi Rev'!G100,""),"")</f>
        <v/>
      </c>
      <c r="H527" s="30">
        <f>IFERROR(IF(AND(ISNUMBER('Semi Rev'!L100),ISNUMBER('Semi Rev'!H100)),'Semi Rev'!L100-'Semi Rev'!H100,""),"")</f>
        <v/>
      </c>
      <c r="I527" s="30">
        <f>IFERROR(IF(AND(ISNUMBER('Semi Rev'!M100),ISNUMBER('Semi Rev'!I100)),'Semi Rev'!M100-'Semi Rev'!I100,""),"")</f>
        <v/>
      </c>
      <c r="J527" s="30">
        <f>IFERROR(IF(AND(ISNUMBER('Semi Rev'!N100),ISNUMBER('Semi Rev'!J100)),'Semi Rev'!N100-'Semi Rev'!J100,""),"")</f>
        <v/>
      </c>
      <c r="K527" s="30">
        <f>IFERROR(IF(AND(ISNUMBER('Semi Rev'!O100),ISNUMBER('Semi Rev'!K100)),'Semi Rev'!O100-'Semi Rev'!K100,""),"")</f>
        <v/>
      </c>
      <c r="L527" s="30">
        <f>IFERROR(IF(AND(ISNUMBER('Semi Rev'!P100),ISNUMBER('Semi Rev'!L100)),'Semi Rev'!P100-'Semi Rev'!L100,""),"")</f>
        <v/>
      </c>
      <c r="M527" s="31">
        <f>IFERROR(IF(AND(ISNUMBER('Semi Rev'!Q100),ISNUMBER('Semi Rev'!M100)),'Semi Rev'!Q100-'Semi Rev'!M100,""),"")</f>
        <v/>
      </c>
      <c r="N527" s="31">
        <f>IFERROR(IF(AND(ISNUMBER('Semi Rev'!R100),ISNUMBER('Semi Rev'!N100)),'Semi Rev'!R100-'Semi Rev'!N100,""),"")</f>
        <v/>
      </c>
    </row>
    <row r="528">
      <c r="A528" s="19">
        <f>'Semi Rev'!$A101</f>
        <v/>
      </c>
      <c r="B528" s="19">
        <f>'Semi Rev'!$B101</f>
        <v/>
      </c>
      <c r="C528" s="30">
        <f>IFERROR(IF(AND(ISNUMBER('Semi Rev'!G101),ISNUMBER('Semi Rev'!C101)),'Semi Rev'!G101-'Semi Rev'!C101,""),"")</f>
        <v/>
      </c>
      <c r="D528" s="30">
        <f>IFERROR(IF(AND(ISNUMBER('Semi Rev'!H101),ISNUMBER('Semi Rev'!D101)),'Semi Rev'!H101-'Semi Rev'!D101,""),"")</f>
        <v/>
      </c>
      <c r="E528" s="30">
        <f>IFERROR(IF(AND(ISNUMBER('Semi Rev'!I101),ISNUMBER('Semi Rev'!E101)),'Semi Rev'!I101-'Semi Rev'!E101,""),"")</f>
        <v/>
      </c>
      <c r="F528" s="30">
        <f>IFERROR(IF(AND(ISNUMBER('Semi Rev'!J101),ISNUMBER('Semi Rev'!F101)),'Semi Rev'!J101-'Semi Rev'!F101,""),"")</f>
        <v/>
      </c>
      <c r="G528" s="30">
        <f>IFERROR(IF(AND(ISNUMBER('Semi Rev'!K101),ISNUMBER('Semi Rev'!G101)),'Semi Rev'!K101-'Semi Rev'!G101,""),"")</f>
        <v/>
      </c>
      <c r="H528" s="30">
        <f>IFERROR(IF(AND(ISNUMBER('Semi Rev'!L101),ISNUMBER('Semi Rev'!H101)),'Semi Rev'!L101-'Semi Rev'!H101,""),"")</f>
        <v/>
      </c>
      <c r="I528" s="30">
        <f>IFERROR(IF(AND(ISNUMBER('Semi Rev'!M101),ISNUMBER('Semi Rev'!I101)),'Semi Rev'!M101-'Semi Rev'!I101,""),"")</f>
        <v/>
      </c>
      <c r="J528" s="30">
        <f>IFERROR(IF(AND(ISNUMBER('Semi Rev'!N101),ISNUMBER('Semi Rev'!J101)),'Semi Rev'!N101-'Semi Rev'!J101,""),"")</f>
        <v/>
      </c>
      <c r="K528" s="30">
        <f>IFERROR(IF(AND(ISNUMBER('Semi Rev'!O101),ISNUMBER('Semi Rev'!K101)),'Semi Rev'!O101-'Semi Rev'!K101,""),"")</f>
        <v/>
      </c>
      <c r="L528" s="30">
        <f>IFERROR(IF(AND(ISNUMBER('Semi Rev'!P101),ISNUMBER('Semi Rev'!L101)),'Semi Rev'!P101-'Semi Rev'!L101,""),"")</f>
        <v/>
      </c>
      <c r="M528" s="31">
        <f>IFERROR(IF(AND(ISNUMBER('Semi Rev'!Q101),ISNUMBER('Semi Rev'!M101)),'Semi Rev'!Q101-'Semi Rev'!M101,""),"")</f>
        <v/>
      </c>
      <c r="N528" s="31">
        <f>IFERROR(IF(AND(ISNUMBER('Semi Rev'!R101),ISNUMBER('Semi Rev'!N101)),'Semi Rev'!R101-'Semi Rev'!N101,""),"")</f>
        <v/>
      </c>
    </row>
    <row r="529">
      <c r="A529" s="19">
        <f>'Semi Rev'!$A102</f>
        <v/>
      </c>
      <c r="B529" s="19">
        <f>'Semi Rev'!$B102</f>
        <v/>
      </c>
      <c r="C529" s="30">
        <f>IFERROR(IF(AND(ISNUMBER('Semi Rev'!G102),ISNUMBER('Semi Rev'!C102)),'Semi Rev'!G102-'Semi Rev'!C102,""),"")</f>
        <v/>
      </c>
      <c r="D529" s="30">
        <f>IFERROR(IF(AND(ISNUMBER('Semi Rev'!H102),ISNUMBER('Semi Rev'!D102)),'Semi Rev'!H102-'Semi Rev'!D102,""),"")</f>
        <v/>
      </c>
      <c r="E529" s="30">
        <f>IFERROR(IF(AND(ISNUMBER('Semi Rev'!I102),ISNUMBER('Semi Rev'!E102)),'Semi Rev'!I102-'Semi Rev'!E102,""),"")</f>
        <v/>
      </c>
      <c r="F529" s="30">
        <f>IFERROR(IF(AND(ISNUMBER('Semi Rev'!J102),ISNUMBER('Semi Rev'!F102)),'Semi Rev'!J102-'Semi Rev'!F102,""),"")</f>
        <v/>
      </c>
      <c r="G529" s="30">
        <f>IFERROR(IF(AND(ISNUMBER('Semi Rev'!K102),ISNUMBER('Semi Rev'!G102)),'Semi Rev'!K102-'Semi Rev'!G102,""),"")</f>
        <v/>
      </c>
      <c r="H529" s="30">
        <f>IFERROR(IF(AND(ISNUMBER('Semi Rev'!L102),ISNUMBER('Semi Rev'!H102)),'Semi Rev'!L102-'Semi Rev'!H102,""),"")</f>
        <v/>
      </c>
      <c r="I529" s="30">
        <f>IFERROR(IF(AND(ISNUMBER('Semi Rev'!M102),ISNUMBER('Semi Rev'!I102)),'Semi Rev'!M102-'Semi Rev'!I102,""),"")</f>
        <v/>
      </c>
      <c r="J529" s="30">
        <f>IFERROR(IF(AND(ISNUMBER('Semi Rev'!N102),ISNUMBER('Semi Rev'!J102)),'Semi Rev'!N102-'Semi Rev'!J102,""),"")</f>
        <v/>
      </c>
      <c r="K529" s="30">
        <f>IFERROR(IF(AND(ISNUMBER('Semi Rev'!O102),ISNUMBER('Semi Rev'!K102)),'Semi Rev'!O102-'Semi Rev'!K102,""),"")</f>
        <v/>
      </c>
      <c r="L529" s="30">
        <f>IFERROR(IF(AND(ISNUMBER('Semi Rev'!P102),ISNUMBER('Semi Rev'!L102)),'Semi Rev'!P102-'Semi Rev'!L102,""),"")</f>
        <v/>
      </c>
      <c r="M529" s="31">
        <f>IFERROR(IF(AND(ISNUMBER('Semi Rev'!Q102),ISNUMBER('Semi Rev'!M102)),'Semi Rev'!Q102-'Semi Rev'!M102,""),"")</f>
        <v/>
      </c>
      <c r="N529" s="31">
        <f>IFERROR(IF(AND(ISNUMBER('Semi Rev'!R102),ISNUMBER('Semi Rev'!N102)),'Semi Rev'!R102-'Semi Rev'!N102,""),"")</f>
        <v/>
      </c>
    </row>
    <row r="530">
      <c r="A530" s="19">
        <f>'Semi Rev'!$A103</f>
        <v/>
      </c>
      <c r="B530" s="19">
        <f>'Semi Rev'!$B103</f>
        <v/>
      </c>
      <c r="C530" s="30">
        <f>IFERROR(IF(AND(ISNUMBER('Semi Rev'!G103),ISNUMBER('Semi Rev'!C103)),'Semi Rev'!G103-'Semi Rev'!C103,""),"")</f>
        <v/>
      </c>
      <c r="D530" s="30">
        <f>IFERROR(IF(AND(ISNUMBER('Semi Rev'!H103),ISNUMBER('Semi Rev'!D103)),'Semi Rev'!H103-'Semi Rev'!D103,""),"")</f>
        <v/>
      </c>
      <c r="E530" s="30">
        <f>IFERROR(IF(AND(ISNUMBER('Semi Rev'!I103),ISNUMBER('Semi Rev'!E103)),'Semi Rev'!I103-'Semi Rev'!E103,""),"")</f>
        <v/>
      </c>
      <c r="F530" s="30">
        <f>IFERROR(IF(AND(ISNUMBER('Semi Rev'!J103),ISNUMBER('Semi Rev'!F103)),'Semi Rev'!J103-'Semi Rev'!F103,""),"")</f>
        <v/>
      </c>
      <c r="G530" s="30">
        <f>IFERROR(IF(AND(ISNUMBER('Semi Rev'!K103),ISNUMBER('Semi Rev'!G103)),'Semi Rev'!K103-'Semi Rev'!G103,""),"")</f>
        <v/>
      </c>
      <c r="H530" s="30">
        <f>IFERROR(IF(AND(ISNUMBER('Semi Rev'!L103),ISNUMBER('Semi Rev'!H103)),'Semi Rev'!L103-'Semi Rev'!H103,""),"")</f>
        <v/>
      </c>
      <c r="I530" s="30">
        <f>IFERROR(IF(AND(ISNUMBER('Semi Rev'!M103),ISNUMBER('Semi Rev'!I103)),'Semi Rev'!M103-'Semi Rev'!I103,""),"")</f>
        <v/>
      </c>
      <c r="J530" s="30">
        <f>IFERROR(IF(AND(ISNUMBER('Semi Rev'!N103),ISNUMBER('Semi Rev'!J103)),'Semi Rev'!N103-'Semi Rev'!J103,""),"")</f>
        <v/>
      </c>
      <c r="K530" s="30">
        <f>IFERROR(IF(AND(ISNUMBER('Semi Rev'!O103),ISNUMBER('Semi Rev'!K103)),'Semi Rev'!O103-'Semi Rev'!K103,""),"")</f>
        <v/>
      </c>
      <c r="L530" s="30">
        <f>IFERROR(IF(AND(ISNUMBER('Semi Rev'!P103),ISNUMBER('Semi Rev'!L103)),'Semi Rev'!P103-'Semi Rev'!L103,""),"")</f>
        <v/>
      </c>
      <c r="M530" s="31">
        <f>IFERROR(IF(AND(ISNUMBER('Semi Rev'!Q103),ISNUMBER('Semi Rev'!M103)),'Semi Rev'!Q103-'Semi Rev'!M103,""),"")</f>
        <v/>
      </c>
      <c r="N530" s="31">
        <f>IFERROR(IF(AND(ISNUMBER('Semi Rev'!R103),ISNUMBER('Semi Rev'!N103)),'Semi Rev'!R103-'Semi Rev'!N103,""),"")</f>
        <v/>
      </c>
    </row>
    <row r="531">
      <c r="A531" s="19">
        <f>'Semi Rev'!$A104</f>
        <v/>
      </c>
      <c r="B531" s="19">
        <f>'Semi Rev'!$B104</f>
        <v/>
      </c>
      <c r="C531" s="30">
        <f>IFERROR(IF(AND(ISNUMBER('Semi Rev'!G104),ISNUMBER('Semi Rev'!C104)),'Semi Rev'!G104-'Semi Rev'!C104,""),"")</f>
        <v/>
      </c>
      <c r="D531" s="30">
        <f>IFERROR(IF(AND(ISNUMBER('Semi Rev'!H104),ISNUMBER('Semi Rev'!D104)),'Semi Rev'!H104-'Semi Rev'!D104,""),"")</f>
        <v/>
      </c>
      <c r="E531" s="30">
        <f>IFERROR(IF(AND(ISNUMBER('Semi Rev'!I104),ISNUMBER('Semi Rev'!E104)),'Semi Rev'!I104-'Semi Rev'!E104,""),"")</f>
        <v/>
      </c>
      <c r="F531" s="30">
        <f>IFERROR(IF(AND(ISNUMBER('Semi Rev'!J104),ISNUMBER('Semi Rev'!F104)),'Semi Rev'!J104-'Semi Rev'!F104,""),"")</f>
        <v/>
      </c>
      <c r="G531" s="30">
        <f>IFERROR(IF(AND(ISNUMBER('Semi Rev'!K104),ISNUMBER('Semi Rev'!G104)),'Semi Rev'!K104-'Semi Rev'!G104,""),"")</f>
        <v/>
      </c>
      <c r="H531" s="30">
        <f>IFERROR(IF(AND(ISNUMBER('Semi Rev'!L104),ISNUMBER('Semi Rev'!H104)),'Semi Rev'!L104-'Semi Rev'!H104,""),"")</f>
        <v/>
      </c>
      <c r="I531" s="30">
        <f>IFERROR(IF(AND(ISNUMBER('Semi Rev'!M104),ISNUMBER('Semi Rev'!I104)),'Semi Rev'!M104-'Semi Rev'!I104,""),"")</f>
        <v/>
      </c>
      <c r="J531" s="30">
        <f>IFERROR(IF(AND(ISNUMBER('Semi Rev'!N104),ISNUMBER('Semi Rev'!J104)),'Semi Rev'!N104-'Semi Rev'!J104,""),"")</f>
        <v/>
      </c>
      <c r="K531" s="30">
        <f>IFERROR(IF(AND(ISNUMBER('Semi Rev'!O104),ISNUMBER('Semi Rev'!K104)),'Semi Rev'!O104-'Semi Rev'!K104,""),"")</f>
        <v/>
      </c>
      <c r="L531" s="30">
        <f>IFERROR(IF(AND(ISNUMBER('Semi Rev'!P104),ISNUMBER('Semi Rev'!L104)),'Semi Rev'!P104-'Semi Rev'!L104,""),"")</f>
        <v/>
      </c>
      <c r="M531" s="31">
        <f>IFERROR(IF(AND(ISNUMBER('Semi Rev'!Q104),ISNUMBER('Semi Rev'!M104)),'Semi Rev'!Q104-'Semi Rev'!M104,""),"")</f>
        <v/>
      </c>
      <c r="N531" s="31">
        <f>IFERROR(IF(AND(ISNUMBER('Semi Rev'!R104),ISNUMBER('Semi Rev'!N104)),'Semi Rev'!R104-'Semi Rev'!N104,""),"")</f>
        <v/>
      </c>
    </row>
    <row r="532">
      <c r="A532" s="19">
        <f>'Semi Rev'!$A105</f>
        <v/>
      </c>
      <c r="B532" s="19">
        <f>'Semi Rev'!$B105</f>
        <v/>
      </c>
      <c r="C532" s="30">
        <f>IFERROR(IF(AND(ISNUMBER('Semi Rev'!G105),ISNUMBER('Semi Rev'!C105)),'Semi Rev'!G105-'Semi Rev'!C105,""),"")</f>
        <v/>
      </c>
      <c r="D532" s="30">
        <f>IFERROR(IF(AND(ISNUMBER('Semi Rev'!H105),ISNUMBER('Semi Rev'!D105)),'Semi Rev'!H105-'Semi Rev'!D105,""),"")</f>
        <v/>
      </c>
      <c r="E532" s="30">
        <f>IFERROR(IF(AND(ISNUMBER('Semi Rev'!I105),ISNUMBER('Semi Rev'!E105)),'Semi Rev'!I105-'Semi Rev'!E105,""),"")</f>
        <v/>
      </c>
      <c r="F532" s="30">
        <f>IFERROR(IF(AND(ISNUMBER('Semi Rev'!J105),ISNUMBER('Semi Rev'!F105)),'Semi Rev'!J105-'Semi Rev'!F105,""),"")</f>
        <v/>
      </c>
      <c r="G532" s="30">
        <f>IFERROR(IF(AND(ISNUMBER('Semi Rev'!K105),ISNUMBER('Semi Rev'!G105)),'Semi Rev'!K105-'Semi Rev'!G105,""),"")</f>
        <v/>
      </c>
      <c r="H532" s="30">
        <f>IFERROR(IF(AND(ISNUMBER('Semi Rev'!L105),ISNUMBER('Semi Rev'!H105)),'Semi Rev'!L105-'Semi Rev'!H105,""),"")</f>
        <v/>
      </c>
      <c r="I532" s="30">
        <f>IFERROR(IF(AND(ISNUMBER('Semi Rev'!M105),ISNUMBER('Semi Rev'!I105)),'Semi Rev'!M105-'Semi Rev'!I105,""),"")</f>
        <v/>
      </c>
      <c r="J532" s="30">
        <f>IFERROR(IF(AND(ISNUMBER('Semi Rev'!N105),ISNUMBER('Semi Rev'!J105)),'Semi Rev'!N105-'Semi Rev'!J105,""),"")</f>
        <v/>
      </c>
      <c r="K532" s="30">
        <f>IFERROR(IF(AND(ISNUMBER('Semi Rev'!O105),ISNUMBER('Semi Rev'!K105)),'Semi Rev'!O105-'Semi Rev'!K105,""),"")</f>
        <v/>
      </c>
      <c r="L532" s="30">
        <f>IFERROR(IF(AND(ISNUMBER('Semi Rev'!P105),ISNUMBER('Semi Rev'!L105)),'Semi Rev'!P105-'Semi Rev'!L105,""),"")</f>
        <v/>
      </c>
      <c r="M532" s="31">
        <f>IFERROR(IF(AND(ISNUMBER('Semi Rev'!Q105),ISNUMBER('Semi Rev'!M105)),'Semi Rev'!Q105-'Semi Rev'!M105,""),"")</f>
        <v/>
      </c>
      <c r="N532" s="31">
        <f>IFERROR(IF(AND(ISNUMBER('Semi Rev'!R105),ISNUMBER('Semi Rev'!N105)),'Semi Rev'!R105-'Semi Rev'!N105,""),"")</f>
        <v/>
      </c>
    </row>
    <row r="533">
      <c r="A533" s="19">
        <f>'Semi Rev'!$A106</f>
        <v/>
      </c>
      <c r="B533" s="19">
        <f>'Semi Rev'!$B106</f>
        <v/>
      </c>
      <c r="C533" s="30">
        <f>IFERROR(IF(AND(ISNUMBER('Semi Rev'!G106),ISNUMBER('Semi Rev'!C106)),'Semi Rev'!G106-'Semi Rev'!C106,""),"")</f>
        <v/>
      </c>
      <c r="D533" s="30">
        <f>IFERROR(IF(AND(ISNUMBER('Semi Rev'!H106),ISNUMBER('Semi Rev'!D106)),'Semi Rev'!H106-'Semi Rev'!D106,""),"")</f>
        <v/>
      </c>
      <c r="E533" s="30">
        <f>IFERROR(IF(AND(ISNUMBER('Semi Rev'!I106),ISNUMBER('Semi Rev'!E106)),'Semi Rev'!I106-'Semi Rev'!E106,""),"")</f>
        <v/>
      </c>
      <c r="F533" s="30">
        <f>IFERROR(IF(AND(ISNUMBER('Semi Rev'!J106),ISNUMBER('Semi Rev'!F106)),'Semi Rev'!J106-'Semi Rev'!F106,""),"")</f>
        <v/>
      </c>
      <c r="G533" s="30">
        <f>IFERROR(IF(AND(ISNUMBER('Semi Rev'!K106),ISNUMBER('Semi Rev'!G106)),'Semi Rev'!K106-'Semi Rev'!G106,""),"")</f>
        <v/>
      </c>
      <c r="H533" s="30">
        <f>IFERROR(IF(AND(ISNUMBER('Semi Rev'!L106),ISNUMBER('Semi Rev'!H106)),'Semi Rev'!L106-'Semi Rev'!H106,""),"")</f>
        <v/>
      </c>
      <c r="I533" s="30">
        <f>IFERROR(IF(AND(ISNUMBER('Semi Rev'!M106),ISNUMBER('Semi Rev'!I106)),'Semi Rev'!M106-'Semi Rev'!I106,""),"")</f>
        <v/>
      </c>
      <c r="J533" s="30">
        <f>IFERROR(IF(AND(ISNUMBER('Semi Rev'!N106),ISNUMBER('Semi Rev'!J106)),'Semi Rev'!N106-'Semi Rev'!J106,""),"")</f>
        <v/>
      </c>
      <c r="K533" s="30">
        <f>IFERROR(IF(AND(ISNUMBER('Semi Rev'!O106),ISNUMBER('Semi Rev'!K106)),'Semi Rev'!O106-'Semi Rev'!K106,""),"")</f>
        <v/>
      </c>
      <c r="L533" s="30">
        <f>IFERROR(IF(AND(ISNUMBER('Semi Rev'!P106),ISNUMBER('Semi Rev'!L106)),'Semi Rev'!P106-'Semi Rev'!L106,""),"")</f>
        <v/>
      </c>
      <c r="M533" s="31">
        <f>IFERROR(IF(AND(ISNUMBER('Semi Rev'!Q106),ISNUMBER('Semi Rev'!M106)),'Semi Rev'!Q106-'Semi Rev'!M106,""),"")</f>
        <v/>
      </c>
      <c r="N533" s="31">
        <f>IFERROR(IF(AND(ISNUMBER('Semi Rev'!R106),ISNUMBER('Semi Rev'!N106)),'Semi Rev'!R106-'Semi Rev'!N106,""),"")</f>
        <v/>
      </c>
    </row>
    <row r="534">
      <c r="A534" s="19">
        <f>'Semi Rev'!$A107</f>
        <v/>
      </c>
      <c r="B534" s="19">
        <f>'Semi Rev'!$B107</f>
        <v/>
      </c>
      <c r="C534" s="30">
        <f>IFERROR(IF(AND(ISNUMBER('Semi Rev'!G107),ISNUMBER('Semi Rev'!C107)),'Semi Rev'!G107-'Semi Rev'!C107,""),"")</f>
        <v/>
      </c>
      <c r="D534" s="30">
        <f>IFERROR(IF(AND(ISNUMBER('Semi Rev'!H107),ISNUMBER('Semi Rev'!D107)),'Semi Rev'!H107-'Semi Rev'!D107,""),"")</f>
        <v/>
      </c>
      <c r="E534" s="30">
        <f>IFERROR(IF(AND(ISNUMBER('Semi Rev'!I107),ISNUMBER('Semi Rev'!E107)),'Semi Rev'!I107-'Semi Rev'!E107,""),"")</f>
        <v/>
      </c>
      <c r="F534" s="30">
        <f>IFERROR(IF(AND(ISNUMBER('Semi Rev'!J107),ISNUMBER('Semi Rev'!F107)),'Semi Rev'!J107-'Semi Rev'!F107,""),"")</f>
        <v/>
      </c>
      <c r="G534" s="30">
        <f>IFERROR(IF(AND(ISNUMBER('Semi Rev'!K107),ISNUMBER('Semi Rev'!G107)),'Semi Rev'!K107-'Semi Rev'!G107,""),"")</f>
        <v/>
      </c>
      <c r="H534" s="30">
        <f>IFERROR(IF(AND(ISNUMBER('Semi Rev'!L107),ISNUMBER('Semi Rev'!H107)),'Semi Rev'!L107-'Semi Rev'!H107,""),"")</f>
        <v/>
      </c>
      <c r="I534" s="30">
        <f>IFERROR(IF(AND(ISNUMBER('Semi Rev'!M107),ISNUMBER('Semi Rev'!I107)),'Semi Rev'!M107-'Semi Rev'!I107,""),"")</f>
        <v/>
      </c>
      <c r="J534" s="30">
        <f>IFERROR(IF(AND(ISNUMBER('Semi Rev'!N107),ISNUMBER('Semi Rev'!J107)),'Semi Rev'!N107-'Semi Rev'!J107,""),"")</f>
        <v/>
      </c>
      <c r="K534" s="30">
        <f>IFERROR(IF(AND(ISNUMBER('Semi Rev'!O107),ISNUMBER('Semi Rev'!K107)),'Semi Rev'!O107-'Semi Rev'!K107,""),"")</f>
        <v/>
      </c>
      <c r="L534" s="30">
        <f>IFERROR(IF(AND(ISNUMBER('Semi Rev'!P107),ISNUMBER('Semi Rev'!L107)),'Semi Rev'!P107-'Semi Rev'!L107,""),"")</f>
        <v/>
      </c>
      <c r="M534" s="31">
        <f>IFERROR(IF(AND(ISNUMBER('Semi Rev'!Q107),ISNUMBER('Semi Rev'!M107)),'Semi Rev'!Q107-'Semi Rev'!M107,""),"")</f>
        <v/>
      </c>
      <c r="N534" s="31">
        <f>IFERROR(IF(AND(ISNUMBER('Semi Rev'!R107),ISNUMBER('Semi Rev'!N107)),'Semi Rev'!R107-'Semi Rev'!N107,""),"")</f>
        <v/>
      </c>
    </row>
    <row r="535">
      <c r="A535" s="19">
        <f>'Semi Rev'!$A108</f>
        <v/>
      </c>
      <c r="B535" s="19">
        <f>'Semi Rev'!$B108</f>
        <v/>
      </c>
      <c r="C535" s="30">
        <f>IFERROR(IF(AND(ISNUMBER('Semi Rev'!G108),ISNUMBER('Semi Rev'!C108)),'Semi Rev'!G108-'Semi Rev'!C108,""),"")</f>
        <v/>
      </c>
      <c r="D535" s="30">
        <f>IFERROR(IF(AND(ISNUMBER('Semi Rev'!H108),ISNUMBER('Semi Rev'!D108)),'Semi Rev'!H108-'Semi Rev'!D108,""),"")</f>
        <v/>
      </c>
      <c r="E535" s="30">
        <f>IFERROR(IF(AND(ISNUMBER('Semi Rev'!I108),ISNUMBER('Semi Rev'!E108)),'Semi Rev'!I108-'Semi Rev'!E108,""),"")</f>
        <v/>
      </c>
      <c r="F535" s="30">
        <f>IFERROR(IF(AND(ISNUMBER('Semi Rev'!J108),ISNUMBER('Semi Rev'!F108)),'Semi Rev'!J108-'Semi Rev'!F108,""),"")</f>
        <v/>
      </c>
      <c r="G535" s="30">
        <f>IFERROR(IF(AND(ISNUMBER('Semi Rev'!K108),ISNUMBER('Semi Rev'!G108)),'Semi Rev'!K108-'Semi Rev'!G108,""),"")</f>
        <v/>
      </c>
      <c r="H535" s="30">
        <f>IFERROR(IF(AND(ISNUMBER('Semi Rev'!L108),ISNUMBER('Semi Rev'!H108)),'Semi Rev'!L108-'Semi Rev'!H108,""),"")</f>
        <v/>
      </c>
      <c r="I535" s="30">
        <f>IFERROR(IF(AND(ISNUMBER('Semi Rev'!M108),ISNUMBER('Semi Rev'!I108)),'Semi Rev'!M108-'Semi Rev'!I108,""),"")</f>
        <v/>
      </c>
      <c r="J535" s="30">
        <f>IFERROR(IF(AND(ISNUMBER('Semi Rev'!N108),ISNUMBER('Semi Rev'!J108)),'Semi Rev'!N108-'Semi Rev'!J108,""),"")</f>
        <v/>
      </c>
      <c r="K535" s="30">
        <f>IFERROR(IF(AND(ISNUMBER('Semi Rev'!O108),ISNUMBER('Semi Rev'!K108)),'Semi Rev'!O108-'Semi Rev'!K108,""),"")</f>
        <v/>
      </c>
      <c r="L535" s="30">
        <f>IFERROR(IF(AND(ISNUMBER('Semi Rev'!P108),ISNUMBER('Semi Rev'!L108)),'Semi Rev'!P108-'Semi Rev'!L108,""),"")</f>
        <v/>
      </c>
      <c r="M535" s="31">
        <f>IFERROR(IF(AND(ISNUMBER('Semi Rev'!Q108),ISNUMBER('Semi Rev'!M108)),'Semi Rev'!Q108-'Semi Rev'!M108,""),"")</f>
        <v/>
      </c>
      <c r="N535" s="31">
        <f>IFERROR(IF(AND(ISNUMBER('Semi Rev'!R108),ISNUMBER('Semi Rev'!N108)),'Semi Rev'!R108-'Semi Rev'!N108,""),"")</f>
        <v/>
      </c>
    </row>
    <row r="536">
      <c r="A536" s="19">
        <f>'Semi Rev'!$A109</f>
        <v/>
      </c>
      <c r="B536" s="19">
        <f>'Semi Rev'!$B109</f>
        <v/>
      </c>
      <c r="C536" s="30">
        <f>IFERROR(IF(AND(ISNUMBER('Semi Rev'!G109),ISNUMBER('Semi Rev'!C109)),'Semi Rev'!G109-'Semi Rev'!C109,""),"")</f>
        <v/>
      </c>
      <c r="D536" s="30">
        <f>IFERROR(IF(AND(ISNUMBER('Semi Rev'!H109),ISNUMBER('Semi Rev'!D109)),'Semi Rev'!H109-'Semi Rev'!D109,""),"")</f>
        <v/>
      </c>
      <c r="E536" s="30">
        <f>IFERROR(IF(AND(ISNUMBER('Semi Rev'!I109),ISNUMBER('Semi Rev'!E109)),'Semi Rev'!I109-'Semi Rev'!E109,""),"")</f>
        <v/>
      </c>
      <c r="F536" s="30">
        <f>IFERROR(IF(AND(ISNUMBER('Semi Rev'!J109),ISNUMBER('Semi Rev'!F109)),'Semi Rev'!J109-'Semi Rev'!F109,""),"")</f>
        <v/>
      </c>
      <c r="G536" s="30">
        <f>IFERROR(IF(AND(ISNUMBER('Semi Rev'!K109),ISNUMBER('Semi Rev'!G109)),'Semi Rev'!K109-'Semi Rev'!G109,""),"")</f>
        <v/>
      </c>
      <c r="H536" s="30">
        <f>IFERROR(IF(AND(ISNUMBER('Semi Rev'!L109),ISNUMBER('Semi Rev'!H109)),'Semi Rev'!L109-'Semi Rev'!H109,""),"")</f>
        <v/>
      </c>
      <c r="I536" s="30">
        <f>IFERROR(IF(AND(ISNUMBER('Semi Rev'!M109),ISNUMBER('Semi Rev'!I109)),'Semi Rev'!M109-'Semi Rev'!I109,""),"")</f>
        <v/>
      </c>
      <c r="J536" s="30">
        <f>IFERROR(IF(AND(ISNUMBER('Semi Rev'!N109),ISNUMBER('Semi Rev'!J109)),'Semi Rev'!N109-'Semi Rev'!J109,""),"")</f>
        <v/>
      </c>
      <c r="K536" s="30">
        <f>IFERROR(IF(AND(ISNUMBER('Semi Rev'!O109),ISNUMBER('Semi Rev'!K109)),'Semi Rev'!O109-'Semi Rev'!K109,""),"")</f>
        <v/>
      </c>
      <c r="L536" s="30">
        <f>IFERROR(IF(AND(ISNUMBER('Semi Rev'!P109),ISNUMBER('Semi Rev'!L109)),'Semi Rev'!P109-'Semi Rev'!L109,""),"")</f>
        <v/>
      </c>
      <c r="M536" s="31">
        <f>IFERROR(IF(AND(ISNUMBER('Semi Rev'!Q109),ISNUMBER('Semi Rev'!M109)),'Semi Rev'!Q109-'Semi Rev'!M109,""),"")</f>
        <v/>
      </c>
      <c r="N536" s="31">
        <f>IFERROR(IF(AND(ISNUMBER('Semi Rev'!R109),ISNUMBER('Semi Rev'!N109)),'Semi Rev'!R109-'Semi Rev'!N109,""),"")</f>
        <v/>
      </c>
    </row>
    <row r="537">
      <c r="A537" s="19">
        <f>'Semi Rev'!$A110</f>
        <v/>
      </c>
      <c r="B537" s="19">
        <f>'Semi Rev'!$B110</f>
        <v/>
      </c>
      <c r="C537" s="30">
        <f>IFERROR(IF(AND(ISNUMBER('Semi Rev'!G110),ISNUMBER('Semi Rev'!C110)),'Semi Rev'!G110-'Semi Rev'!C110,""),"")</f>
        <v/>
      </c>
      <c r="D537" s="30">
        <f>IFERROR(IF(AND(ISNUMBER('Semi Rev'!H110),ISNUMBER('Semi Rev'!D110)),'Semi Rev'!H110-'Semi Rev'!D110,""),"")</f>
        <v/>
      </c>
      <c r="E537" s="30">
        <f>IFERROR(IF(AND(ISNUMBER('Semi Rev'!I110),ISNUMBER('Semi Rev'!E110)),'Semi Rev'!I110-'Semi Rev'!E110,""),"")</f>
        <v/>
      </c>
      <c r="F537" s="30">
        <f>IFERROR(IF(AND(ISNUMBER('Semi Rev'!J110),ISNUMBER('Semi Rev'!F110)),'Semi Rev'!J110-'Semi Rev'!F110,""),"")</f>
        <v/>
      </c>
      <c r="G537" s="30">
        <f>IFERROR(IF(AND(ISNUMBER('Semi Rev'!K110),ISNUMBER('Semi Rev'!G110)),'Semi Rev'!K110-'Semi Rev'!G110,""),"")</f>
        <v/>
      </c>
      <c r="H537" s="30">
        <f>IFERROR(IF(AND(ISNUMBER('Semi Rev'!L110),ISNUMBER('Semi Rev'!H110)),'Semi Rev'!L110-'Semi Rev'!H110,""),"")</f>
        <v/>
      </c>
      <c r="I537" s="30">
        <f>IFERROR(IF(AND(ISNUMBER('Semi Rev'!M110),ISNUMBER('Semi Rev'!I110)),'Semi Rev'!M110-'Semi Rev'!I110,""),"")</f>
        <v/>
      </c>
      <c r="J537" s="30">
        <f>IFERROR(IF(AND(ISNUMBER('Semi Rev'!N110),ISNUMBER('Semi Rev'!J110)),'Semi Rev'!N110-'Semi Rev'!J110,""),"")</f>
        <v/>
      </c>
      <c r="K537" s="30">
        <f>IFERROR(IF(AND(ISNUMBER('Semi Rev'!O110),ISNUMBER('Semi Rev'!K110)),'Semi Rev'!O110-'Semi Rev'!K110,""),"")</f>
        <v/>
      </c>
      <c r="L537" s="30">
        <f>IFERROR(IF(AND(ISNUMBER('Semi Rev'!P110),ISNUMBER('Semi Rev'!L110)),'Semi Rev'!P110-'Semi Rev'!L110,""),"")</f>
        <v/>
      </c>
      <c r="M537" s="31">
        <f>IFERROR(IF(AND(ISNUMBER('Semi Rev'!Q110),ISNUMBER('Semi Rev'!M110)),'Semi Rev'!Q110-'Semi Rev'!M110,""),"")</f>
        <v/>
      </c>
      <c r="N537" s="31">
        <f>IFERROR(IF(AND(ISNUMBER('Semi Rev'!R110),ISNUMBER('Semi Rev'!N110)),'Semi Rev'!R110-'Semi Rev'!N110,""),"")</f>
        <v/>
      </c>
    </row>
    <row r="538">
      <c r="A538" s="19">
        <f>'Semi Rev'!$A111</f>
        <v/>
      </c>
      <c r="B538" s="19">
        <f>'Semi Rev'!$B111</f>
        <v/>
      </c>
      <c r="C538" s="30">
        <f>IFERROR(IF(AND(ISNUMBER('Semi Rev'!G111),ISNUMBER('Semi Rev'!C111)),'Semi Rev'!G111-'Semi Rev'!C111,""),"")</f>
        <v/>
      </c>
      <c r="D538" s="30">
        <f>IFERROR(IF(AND(ISNUMBER('Semi Rev'!H111),ISNUMBER('Semi Rev'!D111)),'Semi Rev'!H111-'Semi Rev'!D111,""),"")</f>
        <v/>
      </c>
      <c r="E538" s="30">
        <f>IFERROR(IF(AND(ISNUMBER('Semi Rev'!I111),ISNUMBER('Semi Rev'!E111)),'Semi Rev'!I111-'Semi Rev'!E111,""),"")</f>
        <v/>
      </c>
      <c r="F538" s="30">
        <f>IFERROR(IF(AND(ISNUMBER('Semi Rev'!J111),ISNUMBER('Semi Rev'!F111)),'Semi Rev'!J111-'Semi Rev'!F111,""),"")</f>
        <v/>
      </c>
      <c r="G538" s="30">
        <f>IFERROR(IF(AND(ISNUMBER('Semi Rev'!K111),ISNUMBER('Semi Rev'!G111)),'Semi Rev'!K111-'Semi Rev'!G111,""),"")</f>
        <v/>
      </c>
      <c r="H538" s="30">
        <f>IFERROR(IF(AND(ISNUMBER('Semi Rev'!L111),ISNUMBER('Semi Rev'!H111)),'Semi Rev'!L111-'Semi Rev'!H111,""),"")</f>
        <v/>
      </c>
      <c r="I538" s="30">
        <f>IFERROR(IF(AND(ISNUMBER('Semi Rev'!M111),ISNUMBER('Semi Rev'!I111)),'Semi Rev'!M111-'Semi Rev'!I111,""),"")</f>
        <v/>
      </c>
      <c r="J538" s="30">
        <f>IFERROR(IF(AND(ISNUMBER('Semi Rev'!N111),ISNUMBER('Semi Rev'!J111)),'Semi Rev'!N111-'Semi Rev'!J111,""),"")</f>
        <v/>
      </c>
      <c r="K538" s="30">
        <f>IFERROR(IF(AND(ISNUMBER('Semi Rev'!O111),ISNUMBER('Semi Rev'!K111)),'Semi Rev'!O111-'Semi Rev'!K111,""),"")</f>
        <v/>
      </c>
      <c r="L538" s="30">
        <f>IFERROR(IF(AND(ISNUMBER('Semi Rev'!P111),ISNUMBER('Semi Rev'!L111)),'Semi Rev'!P111-'Semi Rev'!L111,""),"")</f>
        <v/>
      </c>
      <c r="M538" s="31">
        <f>IFERROR(IF(AND(ISNUMBER('Semi Rev'!Q111),ISNUMBER('Semi Rev'!M111)),'Semi Rev'!Q111-'Semi Rev'!M111,""),"")</f>
        <v/>
      </c>
      <c r="N538" s="31">
        <f>IFERROR(IF(AND(ISNUMBER('Semi Rev'!R111),ISNUMBER('Semi Rev'!N111)),'Semi Rev'!R111-'Semi Rev'!N111,""),"")</f>
        <v/>
      </c>
    </row>
    <row r="539">
      <c r="A539" s="19">
        <f>'Semi Rev'!$A112</f>
        <v/>
      </c>
      <c r="B539" s="19">
        <f>'Semi Rev'!$B112</f>
        <v/>
      </c>
      <c r="C539" s="30">
        <f>IFERROR(IF(AND(ISNUMBER('Semi Rev'!G112),ISNUMBER('Semi Rev'!C112)),'Semi Rev'!G112-'Semi Rev'!C112,""),"")</f>
        <v/>
      </c>
      <c r="D539" s="30">
        <f>IFERROR(IF(AND(ISNUMBER('Semi Rev'!H112),ISNUMBER('Semi Rev'!D112)),'Semi Rev'!H112-'Semi Rev'!D112,""),"")</f>
        <v/>
      </c>
      <c r="E539" s="30">
        <f>IFERROR(IF(AND(ISNUMBER('Semi Rev'!I112),ISNUMBER('Semi Rev'!E112)),'Semi Rev'!I112-'Semi Rev'!E112,""),"")</f>
        <v/>
      </c>
      <c r="F539" s="30">
        <f>IFERROR(IF(AND(ISNUMBER('Semi Rev'!J112),ISNUMBER('Semi Rev'!F112)),'Semi Rev'!J112-'Semi Rev'!F112,""),"")</f>
        <v/>
      </c>
      <c r="G539" s="30">
        <f>IFERROR(IF(AND(ISNUMBER('Semi Rev'!K112),ISNUMBER('Semi Rev'!G112)),'Semi Rev'!K112-'Semi Rev'!G112,""),"")</f>
        <v/>
      </c>
      <c r="H539" s="30">
        <f>IFERROR(IF(AND(ISNUMBER('Semi Rev'!L112),ISNUMBER('Semi Rev'!H112)),'Semi Rev'!L112-'Semi Rev'!H112,""),"")</f>
        <v/>
      </c>
      <c r="I539" s="30">
        <f>IFERROR(IF(AND(ISNUMBER('Semi Rev'!M112),ISNUMBER('Semi Rev'!I112)),'Semi Rev'!M112-'Semi Rev'!I112,""),"")</f>
        <v/>
      </c>
      <c r="J539" s="30">
        <f>IFERROR(IF(AND(ISNUMBER('Semi Rev'!N112),ISNUMBER('Semi Rev'!J112)),'Semi Rev'!N112-'Semi Rev'!J112,""),"")</f>
        <v/>
      </c>
      <c r="K539" s="30">
        <f>IFERROR(IF(AND(ISNUMBER('Semi Rev'!O112),ISNUMBER('Semi Rev'!K112)),'Semi Rev'!O112-'Semi Rev'!K112,""),"")</f>
        <v/>
      </c>
      <c r="L539" s="30">
        <f>IFERROR(IF(AND(ISNUMBER('Semi Rev'!P112),ISNUMBER('Semi Rev'!L112)),'Semi Rev'!P112-'Semi Rev'!L112,""),"")</f>
        <v/>
      </c>
      <c r="M539" s="31">
        <f>IFERROR(IF(AND(ISNUMBER('Semi Rev'!Q112),ISNUMBER('Semi Rev'!M112)),'Semi Rev'!Q112-'Semi Rev'!M112,""),"")</f>
        <v/>
      </c>
      <c r="N539" s="31">
        <f>IFERROR(IF(AND(ISNUMBER('Semi Rev'!R112),ISNUMBER('Semi Rev'!N112)),'Semi Rev'!R112-'Semi Rev'!N112,""),"")</f>
        <v/>
      </c>
    </row>
    <row r="540">
      <c r="A540" s="19">
        <f>'Semi Rev'!$A113</f>
        <v/>
      </c>
      <c r="B540" s="19">
        <f>'Semi Rev'!$B113</f>
        <v/>
      </c>
      <c r="C540" s="30">
        <f>IFERROR(IF(AND(ISNUMBER('Semi Rev'!G113),ISNUMBER('Semi Rev'!C113)),'Semi Rev'!G113-'Semi Rev'!C113,""),"")</f>
        <v/>
      </c>
      <c r="D540" s="30">
        <f>IFERROR(IF(AND(ISNUMBER('Semi Rev'!H113),ISNUMBER('Semi Rev'!D113)),'Semi Rev'!H113-'Semi Rev'!D113,""),"")</f>
        <v/>
      </c>
      <c r="E540" s="30">
        <f>IFERROR(IF(AND(ISNUMBER('Semi Rev'!I113),ISNUMBER('Semi Rev'!E113)),'Semi Rev'!I113-'Semi Rev'!E113,""),"")</f>
        <v/>
      </c>
      <c r="F540" s="30">
        <f>IFERROR(IF(AND(ISNUMBER('Semi Rev'!J113),ISNUMBER('Semi Rev'!F113)),'Semi Rev'!J113-'Semi Rev'!F113,""),"")</f>
        <v/>
      </c>
      <c r="G540" s="30">
        <f>IFERROR(IF(AND(ISNUMBER('Semi Rev'!K113),ISNUMBER('Semi Rev'!G113)),'Semi Rev'!K113-'Semi Rev'!G113,""),"")</f>
        <v/>
      </c>
      <c r="H540" s="30">
        <f>IFERROR(IF(AND(ISNUMBER('Semi Rev'!L113),ISNUMBER('Semi Rev'!H113)),'Semi Rev'!L113-'Semi Rev'!H113,""),"")</f>
        <v/>
      </c>
      <c r="I540" s="30">
        <f>IFERROR(IF(AND(ISNUMBER('Semi Rev'!M113),ISNUMBER('Semi Rev'!I113)),'Semi Rev'!M113-'Semi Rev'!I113,""),"")</f>
        <v/>
      </c>
      <c r="J540" s="30">
        <f>IFERROR(IF(AND(ISNUMBER('Semi Rev'!N113),ISNUMBER('Semi Rev'!J113)),'Semi Rev'!N113-'Semi Rev'!J113,""),"")</f>
        <v/>
      </c>
      <c r="K540" s="30">
        <f>IFERROR(IF(AND(ISNUMBER('Semi Rev'!O113),ISNUMBER('Semi Rev'!K113)),'Semi Rev'!O113-'Semi Rev'!K113,""),"")</f>
        <v/>
      </c>
      <c r="L540" s="30">
        <f>IFERROR(IF(AND(ISNUMBER('Semi Rev'!P113),ISNUMBER('Semi Rev'!L113)),'Semi Rev'!P113-'Semi Rev'!L113,""),"")</f>
        <v/>
      </c>
      <c r="M540" s="31">
        <f>IFERROR(IF(AND(ISNUMBER('Semi Rev'!Q113),ISNUMBER('Semi Rev'!M113)),'Semi Rev'!Q113-'Semi Rev'!M113,""),"")</f>
        <v/>
      </c>
      <c r="N540" s="31">
        <f>IFERROR(IF(AND(ISNUMBER('Semi Rev'!R113),ISNUMBER('Semi Rev'!N113)),'Semi Rev'!R113-'Semi Rev'!N113,""),"")</f>
        <v/>
      </c>
    </row>
    <row r="541">
      <c r="A541" s="19">
        <f>'Semi Rev'!$A114</f>
        <v/>
      </c>
      <c r="B541" s="19">
        <f>'Semi Rev'!$B114</f>
        <v/>
      </c>
      <c r="C541" s="30">
        <f>IFERROR(IF(AND(ISNUMBER('Semi Rev'!G114),ISNUMBER('Semi Rev'!C114)),'Semi Rev'!G114-'Semi Rev'!C114,""),"")</f>
        <v/>
      </c>
      <c r="D541" s="30">
        <f>IFERROR(IF(AND(ISNUMBER('Semi Rev'!H114),ISNUMBER('Semi Rev'!D114)),'Semi Rev'!H114-'Semi Rev'!D114,""),"")</f>
        <v/>
      </c>
      <c r="E541" s="30">
        <f>IFERROR(IF(AND(ISNUMBER('Semi Rev'!I114),ISNUMBER('Semi Rev'!E114)),'Semi Rev'!I114-'Semi Rev'!E114,""),"")</f>
        <v/>
      </c>
      <c r="F541" s="30">
        <f>IFERROR(IF(AND(ISNUMBER('Semi Rev'!J114),ISNUMBER('Semi Rev'!F114)),'Semi Rev'!J114-'Semi Rev'!F114,""),"")</f>
        <v/>
      </c>
      <c r="G541" s="30">
        <f>IFERROR(IF(AND(ISNUMBER('Semi Rev'!K114),ISNUMBER('Semi Rev'!G114)),'Semi Rev'!K114-'Semi Rev'!G114,""),"")</f>
        <v/>
      </c>
      <c r="H541" s="30">
        <f>IFERROR(IF(AND(ISNUMBER('Semi Rev'!L114),ISNUMBER('Semi Rev'!H114)),'Semi Rev'!L114-'Semi Rev'!H114,""),"")</f>
        <v/>
      </c>
      <c r="I541" s="30">
        <f>IFERROR(IF(AND(ISNUMBER('Semi Rev'!M114),ISNUMBER('Semi Rev'!I114)),'Semi Rev'!M114-'Semi Rev'!I114,""),"")</f>
        <v/>
      </c>
      <c r="J541" s="30">
        <f>IFERROR(IF(AND(ISNUMBER('Semi Rev'!N114),ISNUMBER('Semi Rev'!J114)),'Semi Rev'!N114-'Semi Rev'!J114,""),"")</f>
        <v/>
      </c>
      <c r="K541" s="30">
        <f>IFERROR(IF(AND(ISNUMBER('Semi Rev'!O114),ISNUMBER('Semi Rev'!K114)),'Semi Rev'!O114-'Semi Rev'!K114,""),"")</f>
        <v/>
      </c>
      <c r="L541" s="30">
        <f>IFERROR(IF(AND(ISNUMBER('Semi Rev'!P114),ISNUMBER('Semi Rev'!L114)),'Semi Rev'!P114-'Semi Rev'!L114,""),"")</f>
        <v/>
      </c>
      <c r="M541" s="31">
        <f>IFERROR(IF(AND(ISNUMBER('Semi Rev'!Q114),ISNUMBER('Semi Rev'!M114)),'Semi Rev'!Q114-'Semi Rev'!M114,""),"")</f>
        <v/>
      </c>
      <c r="N541" s="31">
        <f>IFERROR(IF(AND(ISNUMBER('Semi Rev'!R114),ISNUMBER('Semi Rev'!N114)),'Semi Rev'!R114-'Semi Rev'!N114,""),"")</f>
        <v/>
      </c>
    </row>
    <row r="542">
      <c r="A542" s="19">
        <f>'Semi Rev'!$A115</f>
        <v/>
      </c>
      <c r="B542" s="19">
        <f>'Semi Rev'!$B115</f>
        <v/>
      </c>
      <c r="C542" s="30">
        <f>IFERROR(IF(AND(ISNUMBER('Semi Rev'!G115),ISNUMBER('Semi Rev'!C115)),'Semi Rev'!G115-'Semi Rev'!C115,""),"")</f>
        <v/>
      </c>
      <c r="D542" s="30">
        <f>IFERROR(IF(AND(ISNUMBER('Semi Rev'!H115),ISNUMBER('Semi Rev'!D115)),'Semi Rev'!H115-'Semi Rev'!D115,""),"")</f>
        <v/>
      </c>
      <c r="E542" s="30">
        <f>IFERROR(IF(AND(ISNUMBER('Semi Rev'!I115),ISNUMBER('Semi Rev'!E115)),'Semi Rev'!I115-'Semi Rev'!E115,""),"")</f>
        <v/>
      </c>
      <c r="F542" s="30">
        <f>IFERROR(IF(AND(ISNUMBER('Semi Rev'!J115),ISNUMBER('Semi Rev'!F115)),'Semi Rev'!J115-'Semi Rev'!F115,""),"")</f>
        <v/>
      </c>
      <c r="G542" s="30">
        <f>IFERROR(IF(AND(ISNUMBER('Semi Rev'!K115),ISNUMBER('Semi Rev'!G115)),'Semi Rev'!K115-'Semi Rev'!G115,""),"")</f>
        <v/>
      </c>
      <c r="H542" s="30">
        <f>IFERROR(IF(AND(ISNUMBER('Semi Rev'!L115),ISNUMBER('Semi Rev'!H115)),'Semi Rev'!L115-'Semi Rev'!H115,""),"")</f>
        <v/>
      </c>
      <c r="I542" s="30">
        <f>IFERROR(IF(AND(ISNUMBER('Semi Rev'!M115),ISNUMBER('Semi Rev'!I115)),'Semi Rev'!M115-'Semi Rev'!I115,""),"")</f>
        <v/>
      </c>
      <c r="J542" s="30">
        <f>IFERROR(IF(AND(ISNUMBER('Semi Rev'!N115),ISNUMBER('Semi Rev'!J115)),'Semi Rev'!N115-'Semi Rev'!J115,""),"")</f>
        <v/>
      </c>
      <c r="K542" s="30">
        <f>IFERROR(IF(AND(ISNUMBER('Semi Rev'!O115),ISNUMBER('Semi Rev'!K115)),'Semi Rev'!O115-'Semi Rev'!K115,""),"")</f>
        <v/>
      </c>
      <c r="L542" s="30">
        <f>IFERROR(IF(AND(ISNUMBER('Semi Rev'!P115),ISNUMBER('Semi Rev'!L115)),'Semi Rev'!P115-'Semi Rev'!L115,""),"")</f>
        <v/>
      </c>
      <c r="M542" s="31">
        <f>IFERROR(IF(AND(ISNUMBER('Semi Rev'!Q115),ISNUMBER('Semi Rev'!M115)),'Semi Rev'!Q115-'Semi Rev'!M115,""),"")</f>
        <v/>
      </c>
      <c r="N542" s="31">
        <f>IFERROR(IF(AND(ISNUMBER('Semi Rev'!R115),ISNUMBER('Semi Rev'!N115)),'Semi Rev'!R115-'Semi Rev'!N115,""),"")</f>
        <v/>
      </c>
    </row>
    <row r="543">
      <c r="A543" s="19">
        <f>'Semi Rev'!$A116</f>
        <v/>
      </c>
      <c r="B543" s="19">
        <f>'Semi Rev'!$B116</f>
        <v/>
      </c>
      <c r="C543" s="30">
        <f>IFERROR(IF(AND(ISNUMBER('Semi Rev'!G116),ISNUMBER('Semi Rev'!C116)),'Semi Rev'!G116-'Semi Rev'!C116,""),"")</f>
        <v/>
      </c>
      <c r="D543" s="30">
        <f>IFERROR(IF(AND(ISNUMBER('Semi Rev'!H116),ISNUMBER('Semi Rev'!D116)),'Semi Rev'!H116-'Semi Rev'!D116,""),"")</f>
        <v/>
      </c>
      <c r="E543" s="30">
        <f>IFERROR(IF(AND(ISNUMBER('Semi Rev'!I116),ISNUMBER('Semi Rev'!E116)),'Semi Rev'!I116-'Semi Rev'!E116,""),"")</f>
        <v/>
      </c>
      <c r="F543" s="30">
        <f>IFERROR(IF(AND(ISNUMBER('Semi Rev'!J116),ISNUMBER('Semi Rev'!F116)),'Semi Rev'!J116-'Semi Rev'!F116,""),"")</f>
        <v/>
      </c>
      <c r="G543" s="30">
        <f>IFERROR(IF(AND(ISNUMBER('Semi Rev'!K116),ISNUMBER('Semi Rev'!G116)),'Semi Rev'!K116-'Semi Rev'!G116,""),"")</f>
        <v/>
      </c>
      <c r="H543" s="30">
        <f>IFERROR(IF(AND(ISNUMBER('Semi Rev'!L116),ISNUMBER('Semi Rev'!H116)),'Semi Rev'!L116-'Semi Rev'!H116,""),"")</f>
        <v/>
      </c>
      <c r="I543" s="30">
        <f>IFERROR(IF(AND(ISNUMBER('Semi Rev'!M116),ISNUMBER('Semi Rev'!I116)),'Semi Rev'!M116-'Semi Rev'!I116,""),"")</f>
        <v/>
      </c>
      <c r="J543" s="30">
        <f>IFERROR(IF(AND(ISNUMBER('Semi Rev'!N116),ISNUMBER('Semi Rev'!J116)),'Semi Rev'!N116-'Semi Rev'!J116,""),"")</f>
        <v/>
      </c>
      <c r="K543" s="30">
        <f>IFERROR(IF(AND(ISNUMBER('Semi Rev'!O116),ISNUMBER('Semi Rev'!K116)),'Semi Rev'!O116-'Semi Rev'!K116,""),"")</f>
        <v/>
      </c>
      <c r="L543" s="30">
        <f>IFERROR(IF(AND(ISNUMBER('Semi Rev'!P116),ISNUMBER('Semi Rev'!L116)),'Semi Rev'!P116-'Semi Rev'!L116,""),"")</f>
        <v/>
      </c>
      <c r="M543" s="31">
        <f>IFERROR(IF(AND(ISNUMBER('Semi Rev'!Q116),ISNUMBER('Semi Rev'!M116)),'Semi Rev'!Q116-'Semi Rev'!M116,""),"")</f>
        <v/>
      </c>
      <c r="N543" s="31">
        <f>IFERROR(IF(AND(ISNUMBER('Semi Rev'!R116),ISNUMBER('Semi Rev'!N116)),'Semi Rev'!R116-'Semi Rev'!N116,""),"")</f>
        <v/>
      </c>
    </row>
    <row r="544">
      <c r="A544" s="19">
        <f>'Semi Rev'!$A117</f>
        <v/>
      </c>
      <c r="B544" s="19">
        <f>'Semi Rev'!$B117</f>
        <v/>
      </c>
      <c r="C544" s="30">
        <f>IFERROR(IF(AND(ISNUMBER('Semi Rev'!G117),ISNUMBER('Semi Rev'!C117)),'Semi Rev'!G117-'Semi Rev'!C117,""),"")</f>
        <v/>
      </c>
      <c r="D544" s="30">
        <f>IFERROR(IF(AND(ISNUMBER('Semi Rev'!H117),ISNUMBER('Semi Rev'!D117)),'Semi Rev'!H117-'Semi Rev'!D117,""),"")</f>
        <v/>
      </c>
      <c r="E544" s="30">
        <f>IFERROR(IF(AND(ISNUMBER('Semi Rev'!I117),ISNUMBER('Semi Rev'!E117)),'Semi Rev'!I117-'Semi Rev'!E117,""),"")</f>
        <v/>
      </c>
      <c r="F544" s="30">
        <f>IFERROR(IF(AND(ISNUMBER('Semi Rev'!J117),ISNUMBER('Semi Rev'!F117)),'Semi Rev'!J117-'Semi Rev'!F117,""),"")</f>
        <v/>
      </c>
      <c r="G544" s="30">
        <f>IFERROR(IF(AND(ISNUMBER('Semi Rev'!K117),ISNUMBER('Semi Rev'!G117)),'Semi Rev'!K117-'Semi Rev'!G117,""),"")</f>
        <v/>
      </c>
      <c r="H544" s="30">
        <f>IFERROR(IF(AND(ISNUMBER('Semi Rev'!L117),ISNUMBER('Semi Rev'!H117)),'Semi Rev'!L117-'Semi Rev'!H117,""),"")</f>
        <v/>
      </c>
      <c r="I544" s="30">
        <f>IFERROR(IF(AND(ISNUMBER('Semi Rev'!M117),ISNUMBER('Semi Rev'!I117)),'Semi Rev'!M117-'Semi Rev'!I117,""),"")</f>
        <v/>
      </c>
      <c r="J544" s="30">
        <f>IFERROR(IF(AND(ISNUMBER('Semi Rev'!N117),ISNUMBER('Semi Rev'!J117)),'Semi Rev'!N117-'Semi Rev'!J117,""),"")</f>
        <v/>
      </c>
      <c r="K544" s="30">
        <f>IFERROR(IF(AND(ISNUMBER('Semi Rev'!O117),ISNUMBER('Semi Rev'!K117)),'Semi Rev'!O117-'Semi Rev'!K117,""),"")</f>
        <v/>
      </c>
      <c r="L544" s="30">
        <f>IFERROR(IF(AND(ISNUMBER('Semi Rev'!P117),ISNUMBER('Semi Rev'!L117)),'Semi Rev'!P117-'Semi Rev'!L117,""),"")</f>
        <v/>
      </c>
      <c r="M544" s="31">
        <f>IFERROR(IF(AND(ISNUMBER('Semi Rev'!Q117),ISNUMBER('Semi Rev'!M117)),'Semi Rev'!Q117-'Semi Rev'!M117,""),"")</f>
        <v/>
      </c>
      <c r="N544" s="31">
        <f>IFERROR(IF(AND(ISNUMBER('Semi Rev'!R117),ISNUMBER('Semi Rev'!N117)),'Semi Rev'!R117-'Semi Rev'!N117,""),"")</f>
        <v/>
      </c>
    </row>
    <row r="545">
      <c r="A545" s="19">
        <f>'Semi Rev'!$A118</f>
        <v/>
      </c>
      <c r="B545" s="19">
        <f>'Semi Rev'!$B118</f>
        <v/>
      </c>
      <c r="C545" s="30">
        <f>IFERROR(IF(AND(ISNUMBER('Semi Rev'!G118),ISNUMBER('Semi Rev'!C118)),'Semi Rev'!G118-'Semi Rev'!C118,""),"")</f>
        <v/>
      </c>
      <c r="D545" s="30">
        <f>IFERROR(IF(AND(ISNUMBER('Semi Rev'!H118),ISNUMBER('Semi Rev'!D118)),'Semi Rev'!H118-'Semi Rev'!D118,""),"")</f>
        <v/>
      </c>
      <c r="E545" s="30">
        <f>IFERROR(IF(AND(ISNUMBER('Semi Rev'!I118),ISNUMBER('Semi Rev'!E118)),'Semi Rev'!I118-'Semi Rev'!E118,""),"")</f>
        <v/>
      </c>
      <c r="F545" s="30">
        <f>IFERROR(IF(AND(ISNUMBER('Semi Rev'!J118),ISNUMBER('Semi Rev'!F118)),'Semi Rev'!J118-'Semi Rev'!F118,""),"")</f>
        <v/>
      </c>
      <c r="G545" s="30">
        <f>IFERROR(IF(AND(ISNUMBER('Semi Rev'!K118),ISNUMBER('Semi Rev'!G118)),'Semi Rev'!K118-'Semi Rev'!G118,""),"")</f>
        <v/>
      </c>
      <c r="H545" s="30">
        <f>IFERROR(IF(AND(ISNUMBER('Semi Rev'!L118),ISNUMBER('Semi Rev'!H118)),'Semi Rev'!L118-'Semi Rev'!H118,""),"")</f>
        <v/>
      </c>
      <c r="I545" s="30">
        <f>IFERROR(IF(AND(ISNUMBER('Semi Rev'!M118),ISNUMBER('Semi Rev'!I118)),'Semi Rev'!M118-'Semi Rev'!I118,""),"")</f>
        <v/>
      </c>
      <c r="J545" s="30">
        <f>IFERROR(IF(AND(ISNUMBER('Semi Rev'!N118),ISNUMBER('Semi Rev'!J118)),'Semi Rev'!N118-'Semi Rev'!J118,""),"")</f>
        <v/>
      </c>
      <c r="K545" s="30">
        <f>IFERROR(IF(AND(ISNUMBER('Semi Rev'!O118),ISNUMBER('Semi Rev'!K118)),'Semi Rev'!O118-'Semi Rev'!K118,""),"")</f>
        <v/>
      </c>
      <c r="L545" s="30">
        <f>IFERROR(IF(AND(ISNUMBER('Semi Rev'!P118),ISNUMBER('Semi Rev'!L118)),'Semi Rev'!P118-'Semi Rev'!L118,""),"")</f>
        <v/>
      </c>
      <c r="M545" s="31">
        <f>IFERROR(IF(AND(ISNUMBER('Semi Rev'!Q118),ISNUMBER('Semi Rev'!M118)),'Semi Rev'!Q118-'Semi Rev'!M118,""),"")</f>
        <v/>
      </c>
      <c r="N545" s="31">
        <f>IFERROR(IF(AND(ISNUMBER('Semi Rev'!R118),ISNUMBER('Semi Rev'!N118)),'Semi Rev'!R118-'Semi Rev'!N118,""),"")</f>
        <v/>
      </c>
    </row>
    <row r="546">
      <c r="A546" s="19">
        <f>'Semi Rev'!$A119</f>
        <v/>
      </c>
      <c r="B546" s="19">
        <f>'Semi Rev'!$B119</f>
        <v/>
      </c>
      <c r="C546" s="30">
        <f>IFERROR(IF(AND(ISNUMBER('Semi Rev'!G119),ISNUMBER('Semi Rev'!C119)),'Semi Rev'!G119-'Semi Rev'!C119,""),"")</f>
        <v/>
      </c>
      <c r="D546" s="30">
        <f>IFERROR(IF(AND(ISNUMBER('Semi Rev'!H119),ISNUMBER('Semi Rev'!D119)),'Semi Rev'!H119-'Semi Rev'!D119,""),"")</f>
        <v/>
      </c>
      <c r="E546" s="30">
        <f>IFERROR(IF(AND(ISNUMBER('Semi Rev'!I119),ISNUMBER('Semi Rev'!E119)),'Semi Rev'!I119-'Semi Rev'!E119,""),"")</f>
        <v/>
      </c>
      <c r="F546" s="30">
        <f>IFERROR(IF(AND(ISNUMBER('Semi Rev'!J119),ISNUMBER('Semi Rev'!F119)),'Semi Rev'!J119-'Semi Rev'!F119,""),"")</f>
        <v/>
      </c>
      <c r="G546" s="30">
        <f>IFERROR(IF(AND(ISNUMBER('Semi Rev'!K119),ISNUMBER('Semi Rev'!G119)),'Semi Rev'!K119-'Semi Rev'!G119,""),"")</f>
        <v/>
      </c>
      <c r="H546" s="30">
        <f>IFERROR(IF(AND(ISNUMBER('Semi Rev'!L119),ISNUMBER('Semi Rev'!H119)),'Semi Rev'!L119-'Semi Rev'!H119,""),"")</f>
        <v/>
      </c>
      <c r="I546" s="30">
        <f>IFERROR(IF(AND(ISNUMBER('Semi Rev'!M119),ISNUMBER('Semi Rev'!I119)),'Semi Rev'!M119-'Semi Rev'!I119,""),"")</f>
        <v/>
      </c>
      <c r="J546" s="30">
        <f>IFERROR(IF(AND(ISNUMBER('Semi Rev'!N119),ISNUMBER('Semi Rev'!J119)),'Semi Rev'!N119-'Semi Rev'!J119,""),"")</f>
        <v/>
      </c>
      <c r="K546" s="30">
        <f>IFERROR(IF(AND(ISNUMBER('Semi Rev'!O119),ISNUMBER('Semi Rev'!K119)),'Semi Rev'!O119-'Semi Rev'!K119,""),"")</f>
        <v/>
      </c>
      <c r="L546" s="30">
        <f>IFERROR(IF(AND(ISNUMBER('Semi Rev'!P119),ISNUMBER('Semi Rev'!L119)),'Semi Rev'!P119-'Semi Rev'!L119,""),"")</f>
        <v/>
      </c>
      <c r="M546" s="31">
        <f>IFERROR(IF(AND(ISNUMBER('Semi Rev'!Q119),ISNUMBER('Semi Rev'!M119)),'Semi Rev'!Q119-'Semi Rev'!M119,""),"")</f>
        <v/>
      </c>
      <c r="N546" s="31">
        <f>IFERROR(IF(AND(ISNUMBER('Semi Rev'!R119),ISNUMBER('Semi Rev'!N119)),'Semi Rev'!R119-'Semi Rev'!N119,""),"")</f>
        <v/>
      </c>
    </row>
    <row r="547">
      <c r="A547" s="19">
        <f>'Semi Rev'!$A120</f>
        <v/>
      </c>
      <c r="B547" s="19">
        <f>'Semi Rev'!$B120</f>
        <v/>
      </c>
      <c r="C547" s="30">
        <f>IFERROR(IF(AND(ISNUMBER('Semi Rev'!G120),ISNUMBER('Semi Rev'!C120)),'Semi Rev'!G120-'Semi Rev'!C120,""),"")</f>
        <v/>
      </c>
      <c r="D547" s="30">
        <f>IFERROR(IF(AND(ISNUMBER('Semi Rev'!H120),ISNUMBER('Semi Rev'!D120)),'Semi Rev'!H120-'Semi Rev'!D120,""),"")</f>
        <v/>
      </c>
      <c r="E547" s="30">
        <f>IFERROR(IF(AND(ISNUMBER('Semi Rev'!I120),ISNUMBER('Semi Rev'!E120)),'Semi Rev'!I120-'Semi Rev'!E120,""),"")</f>
        <v/>
      </c>
      <c r="F547" s="30">
        <f>IFERROR(IF(AND(ISNUMBER('Semi Rev'!J120),ISNUMBER('Semi Rev'!F120)),'Semi Rev'!J120-'Semi Rev'!F120,""),"")</f>
        <v/>
      </c>
      <c r="G547" s="30">
        <f>IFERROR(IF(AND(ISNUMBER('Semi Rev'!K120),ISNUMBER('Semi Rev'!G120)),'Semi Rev'!K120-'Semi Rev'!G120,""),"")</f>
        <v/>
      </c>
      <c r="H547" s="30">
        <f>IFERROR(IF(AND(ISNUMBER('Semi Rev'!L120),ISNUMBER('Semi Rev'!H120)),'Semi Rev'!L120-'Semi Rev'!H120,""),"")</f>
        <v/>
      </c>
      <c r="I547" s="30">
        <f>IFERROR(IF(AND(ISNUMBER('Semi Rev'!M120),ISNUMBER('Semi Rev'!I120)),'Semi Rev'!M120-'Semi Rev'!I120,""),"")</f>
        <v/>
      </c>
      <c r="J547" s="30">
        <f>IFERROR(IF(AND(ISNUMBER('Semi Rev'!N120),ISNUMBER('Semi Rev'!J120)),'Semi Rev'!N120-'Semi Rev'!J120,""),"")</f>
        <v/>
      </c>
      <c r="K547" s="30">
        <f>IFERROR(IF(AND(ISNUMBER('Semi Rev'!O120),ISNUMBER('Semi Rev'!K120)),'Semi Rev'!O120-'Semi Rev'!K120,""),"")</f>
        <v/>
      </c>
      <c r="L547" s="30">
        <f>IFERROR(IF(AND(ISNUMBER('Semi Rev'!P120),ISNUMBER('Semi Rev'!L120)),'Semi Rev'!P120-'Semi Rev'!L120,""),"")</f>
        <v/>
      </c>
      <c r="M547" s="31">
        <f>IFERROR(IF(AND(ISNUMBER('Semi Rev'!Q120),ISNUMBER('Semi Rev'!M120)),'Semi Rev'!Q120-'Semi Rev'!M120,""),"")</f>
        <v/>
      </c>
      <c r="N547" s="31">
        <f>IFERROR(IF(AND(ISNUMBER('Semi Rev'!R120),ISNUMBER('Semi Rev'!N120)),'Semi Rev'!R120-'Semi Rev'!N120,""),"")</f>
        <v/>
      </c>
    </row>
    <row r="548">
      <c r="A548" s="19">
        <f>'Semi Rev'!$A121</f>
        <v/>
      </c>
      <c r="B548" s="19">
        <f>'Semi Rev'!$B121</f>
        <v/>
      </c>
      <c r="C548" s="30">
        <f>IFERROR(IF(AND(ISNUMBER('Semi Rev'!G121),ISNUMBER('Semi Rev'!C121)),'Semi Rev'!G121-'Semi Rev'!C121,""),"")</f>
        <v/>
      </c>
      <c r="D548" s="30">
        <f>IFERROR(IF(AND(ISNUMBER('Semi Rev'!H121),ISNUMBER('Semi Rev'!D121)),'Semi Rev'!H121-'Semi Rev'!D121,""),"")</f>
        <v/>
      </c>
      <c r="E548" s="30">
        <f>IFERROR(IF(AND(ISNUMBER('Semi Rev'!I121),ISNUMBER('Semi Rev'!E121)),'Semi Rev'!I121-'Semi Rev'!E121,""),"")</f>
        <v/>
      </c>
      <c r="F548" s="30">
        <f>IFERROR(IF(AND(ISNUMBER('Semi Rev'!J121),ISNUMBER('Semi Rev'!F121)),'Semi Rev'!J121-'Semi Rev'!F121,""),"")</f>
        <v/>
      </c>
      <c r="G548" s="30">
        <f>IFERROR(IF(AND(ISNUMBER('Semi Rev'!K121),ISNUMBER('Semi Rev'!G121)),'Semi Rev'!K121-'Semi Rev'!G121,""),"")</f>
        <v/>
      </c>
      <c r="H548" s="30">
        <f>IFERROR(IF(AND(ISNUMBER('Semi Rev'!L121),ISNUMBER('Semi Rev'!H121)),'Semi Rev'!L121-'Semi Rev'!H121,""),"")</f>
        <v/>
      </c>
      <c r="I548" s="30">
        <f>IFERROR(IF(AND(ISNUMBER('Semi Rev'!M121),ISNUMBER('Semi Rev'!I121)),'Semi Rev'!M121-'Semi Rev'!I121,""),"")</f>
        <v/>
      </c>
      <c r="J548" s="30">
        <f>IFERROR(IF(AND(ISNUMBER('Semi Rev'!N121),ISNUMBER('Semi Rev'!J121)),'Semi Rev'!N121-'Semi Rev'!J121,""),"")</f>
        <v/>
      </c>
      <c r="K548" s="30">
        <f>IFERROR(IF(AND(ISNUMBER('Semi Rev'!O121),ISNUMBER('Semi Rev'!K121)),'Semi Rev'!O121-'Semi Rev'!K121,""),"")</f>
        <v/>
      </c>
      <c r="L548" s="30">
        <f>IFERROR(IF(AND(ISNUMBER('Semi Rev'!P121),ISNUMBER('Semi Rev'!L121)),'Semi Rev'!P121-'Semi Rev'!L121,""),"")</f>
        <v/>
      </c>
      <c r="M548" s="31">
        <f>IFERROR(IF(AND(ISNUMBER('Semi Rev'!Q121),ISNUMBER('Semi Rev'!M121)),'Semi Rev'!Q121-'Semi Rev'!M121,""),"")</f>
        <v/>
      </c>
      <c r="N548" s="31">
        <f>IFERROR(IF(AND(ISNUMBER('Semi Rev'!R121),ISNUMBER('Semi Rev'!N121)),'Semi Rev'!R121-'Semi Rev'!N121,""),"")</f>
        <v/>
      </c>
    </row>
    <row r="549">
      <c r="A549" s="19">
        <f>'Semi Rev'!$A122</f>
        <v/>
      </c>
      <c r="B549" s="19">
        <f>'Semi Rev'!$B122</f>
        <v/>
      </c>
      <c r="C549" s="30">
        <f>IFERROR(IF(AND(ISNUMBER('Semi Rev'!G122),ISNUMBER('Semi Rev'!C122)),'Semi Rev'!G122-'Semi Rev'!C122,""),"")</f>
        <v/>
      </c>
      <c r="D549" s="30">
        <f>IFERROR(IF(AND(ISNUMBER('Semi Rev'!H122),ISNUMBER('Semi Rev'!D122)),'Semi Rev'!H122-'Semi Rev'!D122,""),"")</f>
        <v/>
      </c>
      <c r="E549" s="30">
        <f>IFERROR(IF(AND(ISNUMBER('Semi Rev'!I122),ISNUMBER('Semi Rev'!E122)),'Semi Rev'!I122-'Semi Rev'!E122,""),"")</f>
        <v/>
      </c>
      <c r="F549" s="30">
        <f>IFERROR(IF(AND(ISNUMBER('Semi Rev'!J122),ISNUMBER('Semi Rev'!F122)),'Semi Rev'!J122-'Semi Rev'!F122,""),"")</f>
        <v/>
      </c>
      <c r="G549" s="30">
        <f>IFERROR(IF(AND(ISNUMBER('Semi Rev'!K122),ISNUMBER('Semi Rev'!G122)),'Semi Rev'!K122-'Semi Rev'!G122,""),"")</f>
        <v/>
      </c>
      <c r="H549" s="30">
        <f>IFERROR(IF(AND(ISNUMBER('Semi Rev'!L122),ISNUMBER('Semi Rev'!H122)),'Semi Rev'!L122-'Semi Rev'!H122,""),"")</f>
        <v/>
      </c>
      <c r="I549" s="30">
        <f>IFERROR(IF(AND(ISNUMBER('Semi Rev'!M122),ISNUMBER('Semi Rev'!I122)),'Semi Rev'!M122-'Semi Rev'!I122,""),"")</f>
        <v/>
      </c>
      <c r="J549" s="30">
        <f>IFERROR(IF(AND(ISNUMBER('Semi Rev'!N122),ISNUMBER('Semi Rev'!J122)),'Semi Rev'!N122-'Semi Rev'!J122,""),"")</f>
        <v/>
      </c>
      <c r="K549" s="30">
        <f>IFERROR(IF(AND(ISNUMBER('Semi Rev'!O122),ISNUMBER('Semi Rev'!K122)),'Semi Rev'!O122-'Semi Rev'!K122,""),"")</f>
        <v/>
      </c>
      <c r="L549" s="30">
        <f>IFERROR(IF(AND(ISNUMBER('Semi Rev'!P122),ISNUMBER('Semi Rev'!L122)),'Semi Rev'!P122-'Semi Rev'!L122,""),"")</f>
        <v/>
      </c>
      <c r="M549" s="31">
        <f>IFERROR(IF(AND(ISNUMBER('Semi Rev'!Q122),ISNUMBER('Semi Rev'!M122)),'Semi Rev'!Q122-'Semi Rev'!M122,""),"")</f>
        <v/>
      </c>
      <c r="N549" s="31">
        <f>IFERROR(IF(AND(ISNUMBER('Semi Rev'!R122),ISNUMBER('Semi Rev'!N122)),'Semi Rev'!R122-'Semi Rev'!N122,""),"")</f>
        <v/>
      </c>
    </row>
    <row r="550">
      <c r="A550" s="19">
        <f>'Semi Rev'!$A123</f>
        <v/>
      </c>
      <c r="B550" s="19">
        <f>'Semi Rev'!$B123</f>
        <v/>
      </c>
      <c r="C550" s="30">
        <f>IFERROR(IF(AND(ISNUMBER('Semi Rev'!G123),ISNUMBER('Semi Rev'!C123)),'Semi Rev'!G123-'Semi Rev'!C123,""),"")</f>
        <v/>
      </c>
      <c r="D550" s="30">
        <f>IFERROR(IF(AND(ISNUMBER('Semi Rev'!H123),ISNUMBER('Semi Rev'!D123)),'Semi Rev'!H123-'Semi Rev'!D123,""),"")</f>
        <v/>
      </c>
      <c r="E550" s="30">
        <f>IFERROR(IF(AND(ISNUMBER('Semi Rev'!I123),ISNUMBER('Semi Rev'!E123)),'Semi Rev'!I123-'Semi Rev'!E123,""),"")</f>
        <v/>
      </c>
      <c r="F550" s="30">
        <f>IFERROR(IF(AND(ISNUMBER('Semi Rev'!J123),ISNUMBER('Semi Rev'!F123)),'Semi Rev'!J123-'Semi Rev'!F123,""),"")</f>
        <v/>
      </c>
      <c r="G550" s="30">
        <f>IFERROR(IF(AND(ISNUMBER('Semi Rev'!K123),ISNUMBER('Semi Rev'!G123)),'Semi Rev'!K123-'Semi Rev'!G123,""),"")</f>
        <v/>
      </c>
      <c r="H550" s="30">
        <f>IFERROR(IF(AND(ISNUMBER('Semi Rev'!L123),ISNUMBER('Semi Rev'!H123)),'Semi Rev'!L123-'Semi Rev'!H123,""),"")</f>
        <v/>
      </c>
      <c r="I550" s="30">
        <f>IFERROR(IF(AND(ISNUMBER('Semi Rev'!M123),ISNUMBER('Semi Rev'!I123)),'Semi Rev'!M123-'Semi Rev'!I123,""),"")</f>
        <v/>
      </c>
      <c r="J550" s="30">
        <f>IFERROR(IF(AND(ISNUMBER('Semi Rev'!N123),ISNUMBER('Semi Rev'!J123)),'Semi Rev'!N123-'Semi Rev'!J123,""),"")</f>
        <v/>
      </c>
      <c r="K550" s="30">
        <f>IFERROR(IF(AND(ISNUMBER('Semi Rev'!O123),ISNUMBER('Semi Rev'!K123)),'Semi Rev'!O123-'Semi Rev'!K123,""),"")</f>
        <v/>
      </c>
      <c r="L550" s="30">
        <f>IFERROR(IF(AND(ISNUMBER('Semi Rev'!P123),ISNUMBER('Semi Rev'!L123)),'Semi Rev'!P123-'Semi Rev'!L123,""),"")</f>
        <v/>
      </c>
      <c r="M550" s="31">
        <f>IFERROR(IF(AND(ISNUMBER('Semi Rev'!Q123),ISNUMBER('Semi Rev'!M123)),'Semi Rev'!Q123-'Semi Rev'!M123,""),"")</f>
        <v/>
      </c>
      <c r="N550" s="31">
        <f>IFERROR(IF(AND(ISNUMBER('Semi Rev'!R123),ISNUMBER('Semi Rev'!N123)),'Semi Rev'!R123-'Semi Rev'!N123,""),"")</f>
        <v/>
      </c>
    </row>
    <row r="551">
      <c r="A551" s="19">
        <f>'Semi Rev'!$A124</f>
        <v/>
      </c>
      <c r="B551" s="19">
        <f>'Semi Rev'!$B124</f>
        <v/>
      </c>
      <c r="C551" s="30">
        <f>IFERROR(IF(AND(ISNUMBER('Semi Rev'!G124),ISNUMBER('Semi Rev'!C124)),'Semi Rev'!G124-'Semi Rev'!C124,""),"")</f>
        <v/>
      </c>
      <c r="D551" s="30">
        <f>IFERROR(IF(AND(ISNUMBER('Semi Rev'!H124),ISNUMBER('Semi Rev'!D124)),'Semi Rev'!H124-'Semi Rev'!D124,""),"")</f>
        <v/>
      </c>
      <c r="E551" s="30">
        <f>IFERROR(IF(AND(ISNUMBER('Semi Rev'!I124),ISNUMBER('Semi Rev'!E124)),'Semi Rev'!I124-'Semi Rev'!E124,""),"")</f>
        <v/>
      </c>
      <c r="F551" s="30">
        <f>IFERROR(IF(AND(ISNUMBER('Semi Rev'!J124),ISNUMBER('Semi Rev'!F124)),'Semi Rev'!J124-'Semi Rev'!F124,""),"")</f>
        <v/>
      </c>
      <c r="G551" s="30">
        <f>IFERROR(IF(AND(ISNUMBER('Semi Rev'!K124),ISNUMBER('Semi Rev'!G124)),'Semi Rev'!K124-'Semi Rev'!G124,""),"")</f>
        <v/>
      </c>
      <c r="H551" s="30">
        <f>IFERROR(IF(AND(ISNUMBER('Semi Rev'!L124),ISNUMBER('Semi Rev'!H124)),'Semi Rev'!L124-'Semi Rev'!H124,""),"")</f>
        <v/>
      </c>
      <c r="I551" s="30">
        <f>IFERROR(IF(AND(ISNUMBER('Semi Rev'!M124),ISNUMBER('Semi Rev'!I124)),'Semi Rev'!M124-'Semi Rev'!I124,""),"")</f>
        <v/>
      </c>
      <c r="J551" s="30">
        <f>IFERROR(IF(AND(ISNUMBER('Semi Rev'!N124),ISNUMBER('Semi Rev'!J124)),'Semi Rev'!N124-'Semi Rev'!J124,""),"")</f>
        <v/>
      </c>
      <c r="K551" s="30">
        <f>IFERROR(IF(AND(ISNUMBER('Semi Rev'!O124),ISNUMBER('Semi Rev'!K124)),'Semi Rev'!O124-'Semi Rev'!K124,""),"")</f>
        <v/>
      </c>
      <c r="L551" s="30">
        <f>IFERROR(IF(AND(ISNUMBER('Semi Rev'!P124),ISNUMBER('Semi Rev'!L124)),'Semi Rev'!P124-'Semi Rev'!L124,""),"")</f>
        <v/>
      </c>
      <c r="M551" s="31">
        <f>IFERROR(IF(AND(ISNUMBER('Semi Rev'!Q124),ISNUMBER('Semi Rev'!M124)),'Semi Rev'!Q124-'Semi Rev'!M124,""),"")</f>
        <v/>
      </c>
      <c r="N551" s="31">
        <f>IFERROR(IF(AND(ISNUMBER('Semi Rev'!R124),ISNUMBER('Semi Rev'!N124)),'Semi Rev'!R124-'Semi Rev'!N124,""),"")</f>
        <v/>
      </c>
    </row>
    <row r="552">
      <c r="A552" s="19">
        <f>'Semi Rev'!$A125</f>
        <v/>
      </c>
      <c r="B552" s="19">
        <f>'Semi Rev'!$B125</f>
        <v/>
      </c>
      <c r="C552" s="30">
        <f>IFERROR(IF(AND(ISNUMBER('Semi Rev'!G125),ISNUMBER('Semi Rev'!C125)),'Semi Rev'!G125-'Semi Rev'!C125,""),"")</f>
        <v/>
      </c>
      <c r="D552" s="30">
        <f>IFERROR(IF(AND(ISNUMBER('Semi Rev'!H125),ISNUMBER('Semi Rev'!D125)),'Semi Rev'!H125-'Semi Rev'!D125,""),"")</f>
        <v/>
      </c>
      <c r="E552" s="30">
        <f>IFERROR(IF(AND(ISNUMBER('Semi Rev'!I125),ISNUMBER('Semi Rev'!E125)),'Semi Rev'!I125-'Semi Rev'!E125,""),"")</f>
        <v/>
      </c>
      <c r="F552" s="30">
        <f>IFERROR(IF(AND(ISNUMBER('Semi Rev'!J125),ISNUMBER('Semi Rev'!F125)),'Semi Rev'!J125-'Semi Rev'!F125,""),"")</f>
        <v/>
      </c>
      <c r="G552" s="30">
        <f>IFERROR(IF(AND(ISNUMBER('Semi Rev'!K125),ISNUMBER('Semi Rev'!G125)),'Semi Rev'!K125-'Semi Rev'!G125,""),"")</f>
        <v/>
      </c>
      <c r="H552" s="30">
        <f>IFERROR(IF(AND(ISNUMBER('Semi Rev'!L125),ISNUMBER('Semi Rev'!H125)),'Semi Rev'!L125-'Semi Rev'!H125,""),"")</f>
        <v/>
      </c>
      <c r="I552" s="30">
        <f>IFERROR(IF(AND(ISNUMBER('Semi Rev'!M125),ISNUMBER('Semi Rev'!I125)),'Semi Rev'!M125-'Semi Rev'!I125,""),"")</f>
        <v/>
      </c>
      <c r="J552" s="30">
        <f>IFERROR(IF(AND(ISNUMBER('Semi Rev'!N125),ISNUMBER('Semi Rev'!J125)),'Semi Rev'!N125-'Semi Rev'!J125,""),"")</f>
        <v/>
      </c>
      <c r="K552" s="30">
        <f>IFERROR(IF(AND(ISNUMBER('Semi Rev'!O125),ISNUMBER('Semi Rev'!K125)),'Semi Rev'!O125-'Semi Rev'!K125,""),"")</f>
        <v/>
      </c>
      <c r="L552" s="30">
        <f>IFERROR(IF(AND(ISNUMBER('Semi Rev'!P125),ISNUMBER('Semi Rev'!L125)),'Semi Rev'!P125-'Semi Rev'!L125,""),"")</f>
        <v/>
      </c>
      <c r="M552" s="31">
        <f>IFERROR(IF(AND(ISNUMBER('Semi Rev'!Q125),ISNUMBER('Semi Rev'!M125)),'Semi Rev'!Q125-'Semi Rev'!M125,""),"")</f>
        <v/>
      </c>
      <c r="N552" s="31">
        <f>IFERROR(IF(AND(ISNUMBER('Semi Rev'!R125),ISNUMBER('Semi Rev'!N125)),'Semi Rev'!R125-'Semi Rev'!N125,""),"")</f>
        <v/>
      </c>
    </row>
    <row r="553">
      <c r="A553" s="19">
        <f>'Semi Rev'!$A126</f>
        <v/>
      </c>
      <c r="B553" s="19">
        <f>'Semi Rev'!$B126</f>
        <v/>
      </c>
      <c r="C553" s="30">
        <f>IFERROR(IF(AND(ISNUMBER('Semi Rev'!G126),ISNUMBER('Semi Rev'!C126)),'Semi Rev'!G126-'Semi Rev'!C126,""),"")</f>
        <v/>
      </c>
      <c r="D553" s="30">
        <f>IFERROR(IF(AND(ISNUMBER('Semi Rev'!H126),ISNUMBER('Semi Rev'!D126)),'Semi Rev'!H126-'Semi Rev'!D126,""),"")</f>
        <v/>
      </c>
      <c r="E553" s="30">
        <f>IFERROR(IF(AND(ISNUMBER('Semi Rev'!I126),ISNUMBER('Semi Rev'!E126)),'Semi Rev'!I126-'Semi Rev'!E126,""),"")</f>
        <v/>
      </c>
      <c r="F553" s="30">
        <f>IFERROR(IF(AND(ISNUMBER('Semi Rev'!J126),ISNUMBER('Semi Rev'!F126)),'Semi Rev'!J126-'Semi Rev'!F126,""),"")</f>
        <v/>
      </c>
      <c r="G553" s="30">
        <f>IFERROR(IF(AND(ISNUMBER('Semi Rev'!K126),ISNUMBER('Semi Rev'!G126)),'Semi Rev'!K126-'Semi Rev'!G126,""),"")</f>
        <v/>
      </c>
      <c r="H553" s="30">
        <f>IFERROR(IF(AND(ISNUMBER('Semi Rev'!L126),ISNUMBER('Semi Rev'!H126)),'Semi Rev'!L126-'Semi Rev'!H126,""),"")</f>
        <v/>
      </c>
      <c r="I553" s="30">
        <f>IFERROR(IF(AND(ISNUMBER('Semi Rev'!M126),ISNUMBER('Semi Rev'!I126)),'Semi Rev'!M126-'Semi Rev'!I126,""),"")</f>
        <v/>
      </c>
      <c r="J553" s="30">
        <f>IFERROR(IF(AND(ISNUMBER('Semi Rev'!N126),ISNUMBER('Semi Rev'!J126)),'Semi Rev'!N126-'Semi Rev'!J126,""),"")</f>
        <v/>
      </c>
      <c r="K553" s="30">
        <f>IFERROR(IF(AND(ISNUMBER('Semi Rev'!O126),ISNUMBER('Semi Rev'!K126)),'Semi Rev'!O126-'Semi Rev'!K126,""),"")</f>
        <v/>
      </c>
      <c r="L553" s="30">
        <f>IFERROR(IF(AND(ISNUMBER('Semi Rev'!P126),ISNUMBER('Semi Rev'!L126)),'Semi Rev'!P126-'Semi Rev'!L126,""),"")</f>
        <v/>
      </c>
      <c r="M553" s="31">
        <f>IFERROR(IF(AND(ISNUMBER('Semi Rev'!Q126),ISNUMBER('Semi Rev'!M126)),'Semi Rev'!Q126-'Semi Rev'!M126,""),"")</f>
        <v/>
      </c>
      <c r="N553" s="31">
        <f>IFERROR(IF(AND(ISNUMBER('Semi Rev'!R126),ISNUMBER('Semi Rev'!N126)),'Semi Rev'!R126-'Semi Rev'!N126,""),"")</f>
        <v/>
      </c>
    </row>
    <row r="554">
      <c r="A554" s="19">
        <f>'Semi Rev'!$A127</f>
        <v/>
      </c>
      <c r="B554" s="19">
        <f>'Semi Rev'!$B127</f>
        <v/>
      </c>
      <c r="C554" s="30">
        <f>IFERROR(IF(AND(ISNUMBER('Semi Rev'!G127),ISNUMBER('Semi Rev'!C127)),'Semi Rev'!G127-'Semi Rev'!C127,""),"")</f>
        <v/>
      </c>
      <c r="D554" s="30">
        <f>IFERROR(IF(AND(ISNUMBER('Semi Rev'!H127),ISNUMBER('Semi Rev'!D127)),'Semi Rev'!H127-'Semi Rev'!D127,""),"")</f>
        <v/>
      </c>
      <c r="E554" s="30">
        <f>IFERROR(IF(AND(ISNUMBER('Semi Rev'!I127),ISNUMBER('Semi Rev'!E127)),'Semi Rev'!I127-'Semi Rev'!E127,""),"")</f>
        <v/>
      </c>
      <c r="F554" s="30">
        <f>IFERROR(IF(AND(ISNUMBER('Semi Rev'!J127),ISNUMBER('Semi Rev'!F127)),'Semi Rev'!J127-'Semi Rev'!F127,""),"")</f>
        <v/>
      </c>
      <c r="G554" s="30">
        <f>IFERROR(IF(AND(ISNUMBER('Semi Rev'!K127),ISNUMBER('Semi Rev'!G127)),'Semi Rev'!K127-'Semi Rev'!G127,""),"")</f>
        <v/>
      </c>
      <c r="H554" s="30">
        <f>IFERROR(IF(AND(ISNUMBER('Semi Rev'!L127),ISNUMBER('Semi Rev'!H127)),'Semi Rev'!L127-'Semi Rev'!H127,""),"")</f>
        <v/>
      </c>
      <c r="I554" s="30">
        <f>IFERROR(IF(AND(ISNUMBER('Semi Rev'!M127),ISNUMBER('Semi Rev'!I127)),'Semi Rev'!M127-'Semi Rev'!I127,""),"")</f>
        <v/>
      </c>
      <c r="J554" s="30">
        <f>IFERROR(IF(AND(ISNUMBER('Semi Rev'!N127),ISNUMBER('Semi Rev'!J127)),'Semi Rev'!N127-'Semi Rev'!J127,""),"")</f>
        <v/>
      </c>
      <c r="K554" s="30">
        <f>IFERROR(IF(AND(ISNUMBER('Semi Rev'!O127),ISNUMBER('Semi Rev'!K127)),'Semi Rev'!O127-'Semi Rev'!K127,""),"")</f>
        <v/>
      </c>
      <c r="L554" s="30">
        <f>IFERROR(IF(AND(ISNUMBER('Semi Rev'!P127),ISNUMBER('Semi Rev'!L127)),'Semi Rev'!P127-'Semi Rev'!L127,""),"")</f>
        <v/>
      </c>
      <c r="M554" s="31">
        <f>IFERROR(IF(AND(ISNUMBER('Semi Rev'!Q127),ISNUMBER('Semi Rev'!M127)),'Semi Rev'!Q127-'Semi Rev'!M127,""),"")</f>
        <v/>
      </c>
      <c r="N554" s="31">
        <f>IFERROR(IF(AND(ISNUMBER('Semi Rev'!R127),ISNUMBER('Semi Rev'!N127)),'Semi Rev'!R127-'Semi Rev'!N127,""),"")</f>
        <v/>
      </c>
    </row>
    <row r="555">
      <c r="A555" s="19">
        <f>'Semi Rev'!$A128</f>
        <v/>
      </c>
      <c r="B555" s="19">
        <f>'Semi Rev'!$B128</f>
        <v/>
      </c>
      <c r="C555" s="30">
        <f>IFERROR(IF(AND(ISNUMBER('Semi Rev'!G128),ISNUMBER('Semi Rev'!C128)),'Semi Rev'!G128-'Semi Rev'!C128,""),"")</f>
        <v/>
      </c>
      <c r="D555" s="30">
        <f>IFERROR(IF(AND(ISNUMBER('Semi Rev'!H128),ISNUMBER('Semi Rev'!D128)),'Semi Rev'!H128-'Semi Rev'!D128,""),"")</f>
        <v/>
      </c>
      <c r="E555" s="30">
        <f>IFERROR(IF(AND(ISNUMBER('Semi Rev'!I128),ISNUMBER('Semi Rev'!E128)),'Semi Rev'!I128-'Semi Rev'!E128,""),"")</f>
        <v/>
      </c>
      <c r="F555" s="30">
        <f>IFERROR(IF(AND(ISNUMBER('Semi Rev'!J128),ISNUMBER('Semi Rev'!F128)),'Semi Rev'!J128-'Semi Rev'!F128,""),"")</f>
        <v/>
      </c>
      <c r="G555" s="30">
        <f>IFERROR(IF(AND(ISNUMBER('Semi Rev'!K128),ISNUMBER('Semi Rev'!G128)),'Semi Rev'!K128-'Semi Rev'!G128,""),"")</f>
        <v/>
      </c>
      <c r="H555" s="30">
        <f>IFERROR(IF(AND(ISNUMBER('Semi Rev'!L128),ISNUMBER('Semi Rev'!H128)),'Semi Rev'!L128-'Semi Rev'!H128,""),"")</f>
        <v/>
      </c>
      <c r="I555" s="30">
        <f>IFERROR(IF(AND(ISNUMBER('Semi Rev'!M128),ISNUMBER('Semi Rev'!I128)),'Semi Rev'!M128-'Semi Rev'!I128,""),"")</f>
        <v/>
      </c>
      <c r="J555" s="30">
        <f>IFERROR(IF(AND(ISNUMBER('Semi Rev'!N128),ISNUMBER('Semi Rev'!J128)),'Semi Rev'!N128-'Semi Rev'!J128,""),"")</f>
        <v/>
      </c>
      <c r="K555" s="30">
        <f>IFERROR(IF(AND(ISNUMBER('Semi Rev'!O128),ISNUMBER('Semi Rev'!K128)),'Semi Rev'!O128-'Semi Rev'!K128,""),"")</f>
        <v/>
      </c>
      <c r="L555" s="30">
        <f>IFERROR(IF(AND(ISNUMBER('Semi Rev'!P128),ISNUMBER('Semi Rev'!L128)),'Semi Rev'!P128-'Semi Rev'!L128,""),"")</f>
        <v/>
      </c>
      <c r="M555" s="31">
        <f>IFERROR(IF(AND(ISNUMBER('Semi Rev'!Q128),ISNUMBER('Semi Rev'!M128)),'Semi Rev'!Q128-'Semi Rev'!M128,""),"")</f>
        <v/>
      </c>
      <c r="N555" s="31">
        <f>IFERROR(IF(AND(ISNUMBER('Semi Rev'!R128),ISNUMBER('Semi Rev'!N128)),'Semi Rev'!R128-'Semi Rev'!N128,""),"")</f>
        <v/>
      </c>
    </row>
    <row r="556">
      <c r="A556" s="19">
        <f>'Semi Rev'!$A129</f>
        <v/>
      </c>
      <c r="B556" s="19">
        <f>'Semi Rev'!$B129</f>
        <v/>
      </c>
      <c r="C556" s="30">
        <f>IFERROR(IF(AND(ISNUMBER('Semi Rev'!G129),ISNUMBER('Semi Rev'!C129)),'Semi Rev'!G129-'Semi Rev'!C129,""),"")</f>
        <v/>
      </c>
      <c r="D556" s="30">
        <f>IFERROR(IF(AND(ISNUMBER('Semi Rev'!H129),ISNUMBER('Semi Rev'!D129)),'Semi Rev'!H129-'Semi Rev'!D129,""),"")</f>
        <v/>
      </c>
      <c r="E556" s="30">
        <f>IFERROR(IF(AND(ISNUMBER('Semi Rev'!I129),ISNUMBER('Semi Rev'!E129)),'Semi Rev'!I129-'Semi Rev'!E129,""),"")</f>
        <v/>
      </c>
      <c r="F556" s="30">
        <f>IFERROR(IF(AND(ISNUMBER('Semi Rev'!J129),ISNUMBER('Semi Rev'!F129)),'Semi Rev'!J129-'Semi Rev'!F129,""),"")</f>
        <v/>
      </c>
      <c r="G556" s="30">
        <f>IFERROR(IF(AND(ISNUMBER('Semi Rev'!K129),ISNUMBER('Semi Rev'!G129)),'Semi Rev'!K129-'Semi Rev'!G129,""),"")</f>
        <v/>
      </c>
      <c r="H556" s="30">
        <f>IFERROR(IF(AND(ISNUMBER('Semi Rev'!L129),ISNUMBER('Semi Rev'!H129)),'Semi Rev'!L129-'Semi Rev'!H129,""),"")</f>
        <v/>
      </c>
      <c r="I556" s="30">
        <f>IFERROR(IF(AND(ISNUMBER('Semi Rev'!M129),ISNUMBER('Semi Rev'!I129)),'Semi Rev'!M129-'Semi Rev'!I129,""),"")</f>
        <v/>
      </c>
      <c r="J556" s="30">
        <f>IFERROR(IF(AND(ISNUMBER('Semi Rev'!N129),ISNUMBER('Semi Rev'!J129)),'Semi Rev'!N129-'Semi Rev'!J129,""),"")</f>
        <v/>
      </c>
      <c r="K556" s="30">
        <f>IFERROR(IF(AND(ISNUMBER('Semi Rev'!O129),ISNUMBER('Semi Rev'!K129)),'Semi Rev'!O129-'Semi Rev'!K129,""),"")</f>
        <v/>
      </c>
      <c r="L556" s="30">
        <f>IFERROR(IF(AND(ISNUMBER('Semi Rev'!P129),ISNUMBER('Semi Rev'!L129)),'Semi Rev'!P129-'Semi Rev'!L129,""),"")</f>
        <v/>
      </c>
      <c r="M556" s="31">
        <f>IFERROR(IF(AND(ISNUMBER('Semi Rev'!Q129),ISNUMBER('Semi Rev'!M129)),'Semi Rev'!Q129-'Semi Rev'!M129,""),"")</f>
        <v/>
      </c>
      <c r="N556" s="31">
        <f>IFERROR(IF(AND(ISNUMBER('Semi Rev'!R129),ISNUMBER('Semi Rev'!N129)),'Semi Rev'!R129-'Semi Rev'!N129,""),"")</f>
        <v/>
      </c>
    </row>
    <row r="557">
      <c r="A557" s="19">
        <f>'Semi Rev'!$A130</f>
        <v/>
      </c>
      <c r="B557" s="19">
        <f>'Semi Rev'!$B130</f>
        <v/>
      </c>
      <c r="C557" s="30">
        <f>IFERROR(IF(AND(ISNUMBER('Semi Rev'!G130),ISNUMBER('Semi Rev'!C130)),'Semi Rev'!G130-'Semi Rev'!C130,""),"")</f>
        <v/>
      </c>
      <c r="D557" s="30">
        <f>IFERROR(IF(AND(ISNUMBER('Semi Rev'!H130),ISNUMBER('Semi Rev'!D130)),'Semi Rev'!H130-'Semi Rev'!D130,""),"")</f>
        <v/>
      </c>
      <c r="E557" s="30">
        <f>IFERROR(IF(AND(ISNUMBER('Semi Rev'!I130),ISNUMBER('Semi Rev'!E130)),'Semi Rev'!I130-'Semi Rev'!E130,""),"")</f>
        <v/>
      </c>
      <c r="F557" s="30">
        <f>IFERROR(IF(AND(ISNUMBER('Semi Rev'!J130),ISNUMBER('Semi Rev'!F130)),'Semi Rev'!J130-'Semi Rev'!F130,""),"")</f>
        <v/>
      </c>
      <c r="G557" s="30">
        <f>IFERROR(IF(AND(ISNUMBER('Semi Rev'!K130),ISNUMBER('Semi Rev'!G130)),'Semi Rev'!K130-'Semi Rev'!G130,""),"")</f>
        <v/>
      </c>
      <c r="H557" s="30">
        <f>IFERROR(IF(AND(ISNUMBER('Semi Rev'!L130),ISNUMBER('Semi Rev'!H130)),'Semi Rev'!L130-'Semi Rev'!H130,""),"")</f>
        <v/>
      </c>
      <c r="I557" s="30">
        <f>IFERROR(IF(AND(ISNUMBER('Semi Rev'!M130),ISNUMBER('Semi Rev'!I130)),'Semi Rev'!M130-'Semi Rev'!I130,""),"")</f>
        <v/>
      </c>
      <c r="J557" s="30">
        <f>IFERROR(IF(AND(ISNUMBER('Semi Rev'!N130),ISNUMBER('Semi Rev'!J130)),'Semi Rev'!N130-'Semi Rev'!J130,""),"")</f>
        <v/>
      </c>
      <c r="K557" s="30">
        <f>IFERROR(IF(AND(ISNUMBER('Semi Rev'!O130),ISNUMBER('Semi Rev'!K130)),'Semi Rev'!O130-'Semi Rev'!K130,""),"")</f>
        <v/>
      </c>
      <c r="L557" s="30">
        <f>IFERROR(IF(AND(ISNUMBER('Semi Rev'!P130),ISNUMBER('Semi Rev'!L130)),'Semi Rev'!P130-'Semi Rev'!L130,""),"")</f>
        <v/>
      </c>
      <c r="M557" s="31">
        <f>IFERROR(IF(AND(ISNUMBER('Semi Rev'!Q130),ISNUMBER('Semi Rev'!M130)),'Semi Rev'!Q130-'Semi Rev'!M130,""),"")</f>
        <v/>
      </c>
      <c r="N557" s="31">
        <f>IFERROR(IF(AND(ISNUMBER('Semi Rev'!R130),ISNUMBER('Semi Rev'!N130)),'Semi Rev'!R130-'Semi Rev'!N130,""),"")</f>
        <v/>
      </c>
    </row>
    <row r="558">
      <c r="A558" s="19">
        <f>'Semi Rev'!$A131</f>
        <v/>
      </c>
      <c r="B558" s="19">
        <f>'Semi Rev'!$B131</f>
        <v/>
      </c>
      <c r="C558" s="30">
        <f>IFERROR(IF(AND(ISNUMBER('Semi Rev'!G131),ISNUMBER('Semi Rev'!C131)),'Semi Rev'!G131-'Semi Rev'!C131,""),"")</f>
        <v/>
      </c>
      <c r="D558" s="30">
        <f>IFERROR(IF(AND(ISNUMBER('Semi Rev'!H131),ISNUMBER('Semi Rev'!D131)),'Semi Rev'!H131-'Semi Rev'!D131,""),"")</f>
        <v/>
      </c>
      <c r="E558" s="30">
        <f>IFERROR(IF(AND(ISNUMBER('Semi Rev'!I131),ISNUMBER('Semi Rev'!E131)),'Semi Rev'!I131-'Semi Rev'!E131,""),"")</f>
        <v/>
      </c>
      <c r="F558" s="30">
        <f>IFERROR(IF(AND(ISNUMBER('Semi Rev'!J131),ISNUMBER('Semi Rev'!F131)),'Semi Rev'!J131-'Semi Rev'!F131,""),"")</f>
        <v/>
      </c>
      <c r="G558" s="30">
        <f>IFERROR(IF(AND(ISNUMBER('Semi Rev'!K131),ISNUMBER('Semi Rev'!G131)),'Semi Rev'!K131-'Semi Rev'!G131,""),"")</f>
        <v/>
      </c>
      <c r="H558" s="30">
        <f>IFERROR(IF(AND(ISNUMBER('Semi Rev'!L131),ISNUMBER('Semi Rev'!H131)),'Semi Rev'!L131-'Semi Rev'!H131,""),"")</f>
        <v/>
      </c>
      <c r="I558" s="30">
        <f>IFERROR(IF(AND(ISNUMBER('Semi Rev'!M131),ISNUMBER('Semi Rev'!I131)),'Semi Rev'!M131-'Semi Rev'!I131,""),"")</f>
        <v/>
      </c>
      <c r="J558" s="30">
        <f>IFERROR(IF(AND(ISNUMBER('Semi Rev'!N131),ISNUMBER('Semi Rev'!J131)),'Semi Rev'!N131-'Semi Rev'!J131,""),"")</f>
        <v/>
      </c>
      <c r="K558" s="30">
        <f>IFERROR(IF(AND(ISNUMBER('Semi Rev'!O131),ISNUMBER('Semi Rev'!K131)),'Semi Rev'!O131-'Semi Rev'!K131,""),"")</f>
        <v/>
      </c>
      <c r="L558" s="30">
        <f>IFERROR(IF(AND(ISNUMBER('Semi Rev'!P131),ISNUMBER('Semi Rev'!L131)),'Semi Rev'!P131-'Semi Rev'!L131,""),"")</f>
        <v/>
      </c>
      <c r="M558" s="31">
        <f>IFERROR(IF(AND(ISNUMBER('Semi Rev'!Q131),ISNUMBER('Semi Rev'!M131)),'Semi Rev'!Q131-'Semi Rev'!M131,""),"")</f>
        <v/>
      </c>
      <c r="N558" s="31">
        <f>IFERROR(IF(AND(ISNUMBER('Semi Rev'!R131),ISNUMBER('Semi Rev'!N131)),'Semi Rev'!R131-'Semi Rev'!N131,""),"")</f>
        <v/>
      </c>
    </row>
    <row r="559">
      <c r="A559" s="19">
        <f>'Semi Rev'!$A132</f>
        <v/>
      </c>
      <c r="B559" s="19">
        <f>'Semi Rev'!$B132</f>
        <v/>
      </c>
      <c r="C559" s="30">
        <f>IFERROR(IF(AND(ISNUMBER('Semi Rev'!G132),ISNUMBER('Semi Rev'!C132)),'Semi Rev'!G132-'Semi Rev'!C132,""),"")</f>
        <v/>
      </c>
      <c r="D559" s="30">
        <f>IFERROR(IF(AND(ISNUMBER('Semi Rev'!H132),ISNUMBER('Semi Rev'!D132)),'Semi Rev'!H132-'Semi Rev'!D132,""),"")</f>
        <v/>
      </c>
      <c r="E559" s="30">
        <f>IFERROR(IF(AND(ISNUMBER('Semi Rev'!I132),ISNUMBER('Semi Rev'!E132)),'Semi Rev'!I132-'Semi Rev'!E132,""),"")</f>
        <v/>
      </c>
      <c r="F559" s="30">
        <f>IFERROR(IF(AND(ISNUMBER('Semi Rev'!J132),ISNUMBER('Semi Rev'!F132)),'Semi Rev'!J132-'Semi Rev'!F132,""),"")</f>
        <v/>
      </c>
      <c r="G559" s="30">
        <f>IFERROR(IF(AND(ISNUMBER('Semi Rev'!K132),ISNUMBER('Semi Rev'!G132)),'Semi Rev'!K132-'Semi Rev'!G132,""),"")</f>
        <v/>
      </c>
      <c r="H559" s="30">
        <f>IFERROR(IF(AND(ISNUMBER('Semi Rev'!L132),ISNUMBER('Semi Rev'!H132)),'Semi Rev'!L132-'Semi Rev'!H132,""),"")</f>
        <v/>
      </c>
      <c r="I559" s="30">
        <f>IFERROR(IF(AND(ISNUMBER('Semi Rev'!M132),ISNUMBER('Semi Rev'!I132)),'Semi Rev'!M132-'Semi Rev'!I132,""),"")</f>
        <v/>
      </c>
      <c r="J559" s="30">
        <f>IFERROR(IF(AND(ISNUMBER('Semi Rev'!N132),ISNUMBER('Semi Rev'!J132)),'Semi Rev'!N132-'Semi Rev'!J132,""),"")</f>
        <v/>
      </c>
      <c r="K559" s="30">
        <f>IFERROR(IF(AND(ISNUMBER('Semi Rev'!O132),ISNUMBER('Semi Rev'!K132)),'Semi Rev'!O132-'Semi Rev'!K132,""),"")</f>
        <v/>
      </c>
      <c r="L559" s="30">
        <f>IFERROR(IF(AND(ISNUMBER('Semi Rev'!P132),ISNUMBER('Semi Rev'!L132)),'Semi Rev'!P132-'Semi Rev'!L132,""),"")</f>
        <v/>
      </c>
      <c r="M559" s="31">
        <f>IFERROR(IF(AND(ISNUMBER('Semi Rev'!Q132),ISNUMBER('Semi Rev'!M132)),'Semi Rev'!Q132-'Semi Rev'!M132,""),"")</f>
        <v/>
      </c>
      <c r="N559" s="31">
        <f>IFERROR(IF(AND(ISNUMBER('Semi Rev'!R132),ISNUMBER('Semi Rev'!N132)),'Semi Rev'!R132-'Semi Rev'!N132,""),"")</f>
        <v/>
      </c>
    </row>
    <row r="560">
      <c r="A560" s="19">
        <f>'Semi Rev'!$A133</f>
        <v/>
      </c>
      <c r="B560" s="19">
        <f>'Semi Rev'!$B133</f>
        <v/>
      </c>
      <c r="C560" s="30">
        <f>IFERROR(IF(AND(ISNUMBER('Semi Rev'!G133),ISNUMBER('Semi Rev'!C133)),'Semi Rev'!G133-'Semi Rev'!C133,""),"")</f>
        <v/>
      </c>
      <c r="D560" s="30">
        <f>IFERROR(IF(AND(ISNUMBER('Semi Rev'!H133),ISNUMBER('Semi Rev'!D133)),'Semi Rev'!H133-'Semi Rev'!D133,""),"")</f>
        <v/>
      </c>
      <c r="E560" s="30">
        <f>IFERROR(IF(AND(ISNUMBER('Semi Rev'!I133),ISNUMBER('Semi Rev'!E133)),'Semi Rev'!I133-'Semi Rev'!E133,""),"")</f>
        <v/>
      </c>
      <c r="F560" s="30">
        <f>IFERROR(IF(AND(ISNUMBER('Semi Rev'!J133),ISNUMBER('Semi Rev'!F133)),'Semi Rev'!J133-'Semi Rev'!F133,""),"")</f>
        <v/>
      </c>
      <c r="G560" s="30">
        <f>IFERROR(IF(AND(ISNUMBER('Semi Rev'!K133),ISNUMBER('Semi Rev'!G133)),'Semi Rev'!K133-'Semi Rev'!G133,""),"")</f>
        <v/>
      </c>
      <c r="H560" s="30">
        <f>IFERROR(IF(AND(ISNUMBER('Semi Rev'!L133),ISNUMBER('Semi Rev'!H133)),'Semi Rev'!L133-'Semi Rev'!H133,""),"")</f>
        <v/>
      </c>
      <c r="I560" s="30">
        <f>IFERROR(IF(AND(ISNUMBER('Semi Rev'!M133),ISNUMBER('Semi Rev'!I133)),'Semi Rev'!M133-'Semi Rev'!I133,""),"")</f>
        <v/>
      </c>
      <c r="J560" s="30">
        <f>IFERROR(IF(AND(ISNUMBER('Semi Rev'!N133),ISNUMBER('Semi Rev'!J133)),'Semi Rev'!N133-'Semi Rev'!J133,""),"")</f>
        <v/>
      </c>
      <c r="K560" s="30">
        <f>IFERROR(IF(AND(ISNUMBER('Semi Rev'!O133),ISNUMBER('Semi Rev'!K133)),'Semi Rev'!O133-'Semi Rev'!K133,""),"")</f>
        <v/>
      </c>
      <c r="L560" s="30">
        <f>IFERROR(IF(AND(ISNUMBER('Semi Rev'!P133),ISNUMBER('Semi Rev'!L133)),'Semi Rev'!P133-'Semi Rev'!L133,""),"")</f>
        <v/>
      </c>
      <c r="M560" s="31">
        <f>IFERROR(IF(AND(ISNUMBER('Semi Rev'!Q133),ISNUMBER('Semi Rev'!M133)),'Semi Rev'!Q133-'Semi Rev'!M133,""),"")</f>
        <v/>
      </c>
      <c r="N560" s="31">
        <f>IFERROR(IF(AND(ISNUMBER('Semi Rev'!R133),ISNUMBER('Semi Rev'!N133)),'Semi Rev'!R133-'Semi Rev'!N133,""),"")</f>
        <v/>
      </c>
    </row>
    <row r="561">
      <c r="A561" s="19">
        <f>'Semi Rev'!$A134</f>
        <v/>
      </c>
      <c r="B561" s="19">
        <f>'Semi Rev'!$B134</f>
        <v/>
      </c>
      <c r="C561" s="30">
        <f>IFERROR(IF(AND(ISNUMBER('Semi Rev'!G134),ISNUMBER('Semi Rev'!C134)),'Semi Rev'!G134-'Semi Rev'!C134,""),"")</f>
        <v/>
      </c>
      <c r="D561" s="30">
        <f>IFERROR(IF(AND(ISNUMBER('Semi Rev'!H134),ISNUMBER('Semi Rev'!D134)),'Semi Rev'!H134-'Semi Rev'!D134,""),"")</f>
        <v/>
      </c>
      <c r="E561" s="30">
        <f>IFERROR(IF(AND(ISNUMBER('Semi Rev'!I134),ISNUMBER('Semi Rev'!E134)),'Semi Rev'!I134-'Semi Rev'!E134,""),"")</f>
        <v/>
      </c>
      <c r="F561" s="30">
        <f>IFERROR(IF(AND(ISNUMBER('Semi Rev'!J134),ISNUMBER('Semi Rev'!F134)),'Semi Rev'!J134-'Semi Rev'!F134,""),"")</f>
        <v/>
      </c>
      <c r="G561" s="30">
        <f>IFERROR(IF(AND(ISNUMBER('Semi Rev'!K134),ISNUMBER('Semi Rev'!G134)),'Semi Rev'!K134-'Semi Rev'!G134,""),"")</f>
        <v/>
      </c>
      <c r="H561" s="30">
        <f>IFERROR(IF(AND(ISNUMBER('Semi Rev'!L134),ISNUMBER('Semi Rev'!H134)),'Semi Rev'!L134-'Semi Rev'!H134,""),"")</f>
        <v/>
      </c>
      <c r="I561" s="30">
        <f>IFERROR(IF(AND(ISNUMBER('Semi Rev'!M134),ISNUMBER('Semi Rev'!I134)),'Semi Rev'!M134-'Semi Rev'!I134,""),"")</f>
        <v/>
      </c>
      <c r="J561" s="30">
        <f>IFERROR(IF(AND(ISNUMBER('Semi Rev'!N134),ISNUMBER('Semi Rev'!J134)),'Semi Rev'!N134-'Semi Rev'!J134,""),"")</f>
        <v/>
      </c>
      <c r="K561" s="30">
        <f>IFERROR(IF(AND(ISNUMBER('Semi Rev'!O134),ISNUMBER('Semi Rev'!K134)),'Semi Rev'!O134-'Semi Rev'!K134,""),"")</f>
        <v/>
      </c>
      <c r="L561" s="30">
        <f>IFERROR(IF(AND(ISNUMBER('Semi Rev'!P134),ISNUMBER('Semi Rev'!L134)),'Semi Rev'!P134-'Semi Rev'!L134,""),"")</f>
        <v/>
      </c>
      <c r="M561" s="31">
        <f>IFERROR(IF(AND(ISNUMBER('Semi Rev'!Q134),ISNUMBER('Semi Rev'!M134)),'Semi Rev'!Q134-'Semi Rev'!M134,""),"")</f>
        <v/>
      </c>
      <c r="N561" s="31">
        <f>IFERROR(IF(AND(ISNUMBER('Semi Rev'!R134),ISNUMBER('Semi Rev'!N134)),'Semi Rev'!R134-'Semi Rev'!N134,""),"")</f>
        <v/>
      </c>
    </row>
    <row r="562">
      <c r="A562" s="19">
        <f>'Semi Rev'!$A135</f>
        <v/>
      </c>
      <c r="B562" s="19">
        <f>'Semi Rev'!$B135</f>
        <v/>
      </c>
      <c r="C562" s="30">
        <f>IFERROR(IF(AND(ISNUMBER('Semi Rev'!G135),ISNUMBER('Semi Rev'!C135)),'Semi Rev'!G135-'Semi Rev'!C135,""),"")</f>
        <v/>
      </c>
      <c r="D562" s="30">
        <f>IFERROR(IF(AND(ISNUMBER('Semi Rev'!H135),ISNUMBER('Semi Rev'!D135)),'Semi Rev'!H135-'Semi Rev'!D135,""),"")</f>
        <v/>
      </c>
      <c r="E562" s="30">
        <f>IFERROR(IF(AND(ISNUMBER('Semi Rev'!I135),ISNUMBER('Semi Rev'!E135)),'Semi Rev'!I135-'Semi Rev'!E135,""),"")</f>
        <v/>
      </c>
      <c r="F562" s="30">
        <f>IFERROR(IF(AND(ISNUMBER('Semi Rev'!J135),ISNUMBER('Semi Rev'!F135)),'Semi Rev'!J135-'Semi Rev'!F135,""),"")</f>
        <v/>
      </c>
      <c r="G562" s="30">
        <f>IFERROR(IF(AND(ISNUMBER('Semi Rev'!K135),ISNUMBER('Semi Rev'!G135)),'Semi Rev'!K135-'Semi Rev'!G135,""),"")</f>
        <v/>
      </c>
      <c r="H562" s="30">
        <f>IFERROR(IF(AND(ISNUMBER('Semi Rev'!L135),ISNUMBER('Semi Rev'!H135)),'Semi Rev'!L135-'Semi Rev'!H135,""),"")</f>
        <v/>
      </c>
      <c r="I562" s="30">
        <f>IFERROR(IF(AND(ISNUMBER('Semi Rev'!M135),ISNUMBER('Semi Rev'!I135)),'Semi Rev'!M135-'Semi Rev'!I135,""),"")</f>
        <v/>
      </c>
      <c r="J562" s="30">
        <f>IFERROR(IF(AND(ISNUMBER('Semi Rev'!N135),ISNUMBER('Semi Rev'!J135)),'Semi Rev'!N135-'Semi Rev'!J135,""),"")</f>
        <v/>
      </c>
      <c r="K562" s="30">
        <f>IFERROR(IF(AND(ISNUMBER('Semi Rev'!O135),ISNUMBER('Semi Rev'!K135)),'Semi Rev'!O135-'Semi Rev'!K135,""),"")</f>
        <v/>
      </c>
      <c r="L562" s="30">
        <f>IFERROR(IF(AND(ISNUMBER('Semi Rev'!P135),ISNUMBER('Semi Rev'!L135)),'Semi Rev'!P135-'Semi Rev'!L135,""),"")</f>
        <v/>
      </c>
      <c r="M562" s="31">
        <f>IFERROR(IF(AND(ISNUMBER('Semi Rev'!Q135),ISNUMBER('Semi Rev'!M135)),'Semi Rev'!Q135-'Semi Rev'!M135,""),"")</f>
        <v/>
      </c>
      <c r="N562" s="31">
        <f>IFERROR(IF(AND(ISNUMBER('Semi Rev'!R135),ISNUMBER('Semi Rev'!N135)),'Semi Rev'!R135-'Semi Rev'!N135,""),"")</f>
        <v/>
      </c>
    </row>
    <row r="563">
      <c r="A563" s="19">
        <f>'Semi Rev'!$A136</f>
        <v/>
      </c>
      <c r="B563" s="19">
        <f>'Semi Rev'!$B136</f>
        <v/>
      </c>
      <c r="C563" s="30">
        <f>IFERROR(IF(AND(ISNUMBER('Semi Rev'!G136),ISNUMBER('Semi Rev'!C136)),'Semi Rev'!G136-'Semi Rev'!C136,""),"")</f>
        <v/>
      </c>
      <c r="D563" s="30">
        <f>IFERROR(IF(AND(ISNUMBER('Semi Rev'!H136),ISNUMBER('Semi Rev'!D136)),'Semi Rev'!H136-'Semi Rev'!D136,""),"")</f>
        <v/>
      </c>
      <c r="E563" s="30">
        <f>IFERROR(IF(AND(ISNUMBER('Semi Rev'!I136),ISNUMBER('Semi Rev'!E136)),'Semi Rev'!I136-'Semi Rev'!E136,""),"")</f>
        <v/>
      </c>
      <c r="F563" s="30">
        <f>IFERROR(IF(AND(ISNUMBER('Semi Rev'!J136),ISNUMBER('Semi Rev'!F136)),'Semi Rev'!J136-'Semi Rev'!F136,""),"")</f>
        <v/>
      </c>
      <c r="G563" s="30">
        <f>IFERROR(IF(AND(ISNUMBER('Semi Rev'!K136),ISNUMBER('Semi Rev'!G136)),'Semi Rev'!K136-'Semi Rev'!G136,""),"")</f>
        <v/>
      </c>
      <c r="H563" s="30">
        <f>IFERROR(IF(AND(ISNUMBER('Semi Rev'!L136),ISNUMBER('Semi Rev'!H136)),'Semi Rev'!L136-'Semi Rev'!H136,""),"")</f>
        <v/>
      </c>
      <c r="I563" s="30">
        <f>IFERROR(IF(AND(ISNUMBER('Semi Rev'!M136),ISNUMBER('Semi Rev'!I136)),'Semi Rev'!M136-'Semi Rev'!I136,""),"")</f>
        <v/>
      </c>
      <c r="J563" s="30">
        <f>IFERROR(IF(AND(ISNUMBER('Semi Rev'!N136),ISNUMBER('Semi Rev'!J136)),'Semi Rev'!N136-'Semi Rev'!J136,""),"")</f>
        <v/>
      </c>
      <c r="K563" s="30">
        <f>IFERROR(IF(AND(ISNUMBER('Semi Rev'!O136),ISNUMBER('Semi Rev'!K136)),'Semi Rev'!O136-'Semi Rev'!K136,""),"")</f>
        <v/>
      </c>
      <c r="L563" s="30">
        <f>IFERROR(IF(AND(ISNUMBER('Semi Rev'!P136),ISNUMBER('Semi Rev'!L136)),'Semi Rev'!P136-'Semi Rev'!L136,""),"")</f>
        <v/>
      </c>
      <c r="M563" s="31">
        <f>IFERROR(IF(AND(ISNUMBER('Semi Rev'!Q136),ISNUMBER('Semi Rev'!M136)),'Semi Rev'!Q136-'Semi Rev'!M136,""),"")</f>
        <v/>
      </c>
      <c r="N563" s="31">
        <f>IFERROR(IF(AND(ISNUMBER('Semi Rev'!R136),ISNUMBER('Semi Rev'!N136)),'Semi Rev'!R136-'Semi Rev'!N136,""),"")</f>
        <v/>
      </c>
    </row>
    <row r="564">
      <c r="A564" s="19">
        <f>'Semi Rev'!$A137</f>
        <v/>
      </c>
      <c r="B564" s="19">
        <f>'Semi Rev'!$B137</f>
        <v/>
      </c>
      <c r="C564" s="30">
        <f>IFERROR(IF(AND(ISNUMBER('Semi Rev'!G137),ISNUMBER('Semi Rev'!C137)),'Semi Rev'!G137-'Semi Rev'!C137,""),"")</f>
        <v/>
      </c>
      <c r="D564" s="30">
        <f>IFERROR(IF(AND(ISNUMBER('Semi Rev'!H137),ISNUMBER('Semi Rev'!D137)),'Semi Rev'!H137-'Semi Rev'!D137,""),"")</f>
        <v/>
      </c>
      <c r="E564" s="30">
        <f>IFERROR(IF(AND(ISNUMBER('Semi Rev'!I137),ISNUMBER('Semi Rev'!E137)),'Semi Rev'!I137-'Semi Rev'!E137,""),"")</f>
        <v/>
      </c>
      <c r="F564" s="30">
        <f>IFERROR(IF(AND(ISNUMBER('Semi Rev'!J137),ISNUMBER('Semi Rev'!F137)),'Semi Rev'!J137-'Semi Rev'!F137,""),"")</f>
        <v/>
      </c>
      <c r="G564" s="30">
        <f>IFERROR(IF(AND(ISNUMBER('Semi Rev'!K137),ISNUMBER('Semi Rev'!G137)),'Semi Rev'!K137-'Semi Rev'!G137,""),"")</f>
        <v/>
      </c>
      <c r="H564" s="30">
        <f>IFERROR(IF(AND(ISNUMBER('Semi Rev'!L137),ISNUMBER('Semi Rev'!H137)),'Semi Rev'!L137-'Semi Rev'!H137,""),"")</f>
        <v/>
      </c>
      <c r="I564" s="30">
        <f>IFERROR(IF(AND(ISNUMBER('Semi Rev'!M137),ISNUMBER('Semi Rev'!I137)),'Semi Rev'!M137-'Semi Rev'!I137,""),"")</f>
        <v/>
      </c>
      <c r="J564" s="30">
        <f>IFERROR(IF(AND(ISNUMBER('Semi Rev'!N137),ISNUMBER('Semi Rev'!J137)),'Semi Rev'!N137-'Semi Rev'!J137,""),"")</f>
        <v/>
      </c>
      <c r="K564" s="30">
        <f>IFERROR(IF(AND(ISNUMBER('Semi Rev'!O137),ISNUMBER('Semi Rev'!K137)),'Semi Rev'!O137-'Semi Rev'!K137,""),"")</f>
        <v/>
      </c>
      <c r="L564" s="30">
        <f>IFERROR(IF(AND(ISNUMBER('Semi Rev'!P137),ISNUMBER('Semi Rev'!L137)),'Semi Rev'!P137-'Semi Rev'!L137,""),"")</f>
        <v/>
      </c>
      <c r="M564" s="31">
        <f>IFERROR(IF(AND(ISNUMBER('Semi Rev'!Q137),ISNUMBER('Semi Rev'!M137)),'Semi Rev'!Q137-'Semi Rev'!M137,""),"")</f>
        <v/>
      </c>
      <c r="N564" s="31">
        <f>IFERROR(IF(AND(ISNUMBER('Semi Rev'!R137),ISNUMBER('Semi Rev'!N137)),'Semi Rev'!R137-'Semi Rev'!N137,""),"")</f>
        <v/>
      </c>
    </row>
    <row r="565">
      <c r="A565" s="19">
        <f>'Semi Rev'!$A138</f>
        <v/>
      </c>
      <c r="B565" s="19">
        <f>'Semi Rev'!$B138</f>
        <v/>
      </c>
      <c r="C565" s="30">
        <f>IFERROR(IF(AND(ISNUMBER('Semi Rev'!G138),ISNUMBER('Semi Rev'!C138)),'Semi Rev'!G138-'Semi Rev'!C138,""),"")</f>
        <v/>
      </c>
      <c r="D565" s="30">
        <f>IFERROR(IF(AND(ISNUMBER('Semi Rev'!H138),ISNUMBER('Semi Rev'!D138)),'Semi Rev'!H138-'Semi Rev'!D138,""),"")</f>
        <v/>
      </c>
      <c r="E565" s="30">
        <f>IFERROR(IF(AND(ISNUMBER('Semi Rev'!I138),ISNUMBER('Semi Rev'!E138)),'Semi Rev'!I138-'Semi Rev'!E138,""),"")</f>
        <v/>
      </c>
      <c r="F565" s="30">
        <f>IFERROR(IF(AND(ISNUMBER('Semi Rev'!J138),ISNUMBER('Semi Rev'!F138)),'Semi Rev'!J138-'Semi Rev'!F138,""),"")</f>
        <v/>
      </c>
      <c r="G565" s="30">
        <f>IFERROR(IF(AND(ISNUMBER('Semi Rev'!K138),ISNUMBER('Semi Rev'!G138)),'Semi Rev'!K138-'Semi Rev'!G138,""),"")</f>
        <v/>
      </c>
      <c r="H565" s="30">
        <f>IFERROR(IF(AND(ISNUMBER('Semi Rev'!L138),ISNUMBER('Semi Rev'!H138)),'Semi Rev'!L138-'Semi Rev'!H138,""),"")</f>
        <v/>
      </c>
      <c r="I565" s="30">
        <f>IFERROR(IF(AND(ISNUMBER('Semi Rev'!M138),ISNUMBER('Semi Rev'!I138)),'Semi Rev'!M138-'Semi Rev'!I138,""),"")</f>
        <v/>
      </c>
      <c r="J565" s="30">
        <f>IFERROR(IF(AND(ISNUMBER('Semi Rev'!N138),ISNUMBER('Semi Rev'!J138)),'Semi Rev'!N138-'Semi Rev'!J138,""),"")</f>
        <v/>
      </c>
      <c r="K565" s="30">
        <f>IFERROR(IF(AND(ISNUMBER('Semi Rev'!O138),ISNUMBER('Semi Rev'!K138)),'Semi Rev'!O138-'Semi Rev'!K138,""),"")</f>
        <v/>
      </c>
      <c r="L565" s="30">
        <f>IFERROR(IF(AND(ISNUMBER('Semi Rev'!P138),ISNUMBER('Semi Rev'!L138)),'Semi Rev'!P138-'Semi Rev'!L138,""),"")</f>
        <v/>
      </c>
      <c r="M565" s="31">
        <f>IFERROR(IF(AND(ISNUMBER('Semi Rev'!Q138),ISNUMBER('Semi Rev'!M138)),'Semi Rev'!Q138-'Semi Rev'!M138,""),"")</f>
        <v/>
      </c>
      <c r="N565" s="31">
        <f>IFERROR(IF(AND(ISNUMBER('Semi Rev'!R138),ISNUMBER('Semi Rev'!N138)),'Semi Rev'!R138-'Semi Rev'!N138,""),"")</f>
        <v/>
      </c>
    </row>
    <row r="566">
      <c r="A566" s="19">
        <f>'Semi Rev'!$A139</f>
        <v/>
      </c>
      <c r="B566" s="19">
        <f>'Semi Rev'!$B139</f>
        <v/>
      </c>
      <c r="C566" s="30">
        <f>IFERROR(IF(AND(ISNUMBER('Semi Rev'!G139),ISNUMBER('Semi Rev'!C139)),'Semi Rev'!G139-'Semi Rev'!C139,""),"")</f>
        <v/>
      </c>
      <c r="D566" s="30">
        <f>IFERROR(IF(AND(ISNUMBER('Semi Rev'!H139),ISNUMBER('Semi Rev'!D139)),'Semi Rev'!H139-'Semi Rev'!D139,""),"")</f>
        <v/>
      </c>
      <c r="E566" s="30">
        <f>IFERROR(IF(AND(ISNUMBER('Semi Rev'!I139),ISNUMBER('Semi Rev'!E139)),'Semi Rev'!I139-'Semi Rev'!E139,""),"")</f>
        <v/>
      </c>
      <c r="F566" s="30">
        <f>IFERROR(IF(AND(ISNUMBER('Semi Rev'!J139),ISNUMBER('Semi Rev'!F139)),'Semi Rev'!J139-'Semi Rev'!F139,""),"")</f>
        <v/>
      </c>
      <c r="G566" s="30">
        <f>IFERROR(IF(AND(ISNUMBER('Semi Rev'!K139),ISNUMBER('Semi Rev'!G139)),'Semi Rev'!K139-'Semi Rev'!G139,""),"")</f>
        <v/>
      </c>
      <c r="H566" s="30">
        <f>IFERROR(IF(AND(ISNUMBER('Semi Rev'!L139),ISNUMBER('Semi Rev'!H139)),'Semi Rev'!L139-'Semi Rev'!H139,""),"")</f>
        <v/>
      </c>
      <c r="I566" s="30">
        <f>IFERROR(IF(AND(ISNUMBER('Semi Rev'!M139),ISNUMBER('Semi Rev'!I139)),'Semi Rev'!M139-'Semi Rev'!I139,""),"")</f>
        <v/>
      </c>
      <c r="J566" s="30">
        <f>IFERROR(IF(AND(ISNUMBER('Semi Rev'!N139),ISNUMBER('Semi Rev'!J139)),'Semi Rev'!N139-'Semi Rev'!J139,""),"")</f>
        <v/>
      </c>
      <c r="K566" s="30">
        <f>IFERROR(IF(AND(ISNUMBER('Semi Rev'!O139),ISNUMBER('Semi Rev'!K139)),'Semi Rev'!O139-'Semi Rev'!K139,""),"")</f>
        <v/>
      </c>
      <c r="L566" s="30">
        <f>IFERROR(IF(AND(ISNUMBER('Semi Rev'!P139),ISNUMBER('Semi Rev'!L139)),'Semi Rev'!P139-'Semi Rev'!L139,""),"")</f>
        <v/>
      </c>
      <c r="M566" s="31">
        <f>IFERROR(IF(AND(ISNUMBER('Semi Rev'!Q139),ISNUMBER('Semi Rev'!M139)),'Semi Rev'!Q139-'Semi Rev'!M139,""),"")</f>
        <v/>
      </c>
      <c r="N566" s="31">
        <f>IFERROR(IF(AND(ISNUMBER('Semi Rev'!R139),ISNUMBER('Semi Rev'!N139)),'Semi Rev'!R139-'Semi Rev'!N139,""),"")</f>
        <v/>
      </c>
    </row>
    <row r="567">
      <c r="A567" s="19">
        <f>'Semi Rev'!$A140</f>
        <v/>
      </c>
      <c r="B567" s="19">
        <f>'Semi Rev'!$B140</f>
        <v/>
      </c>
      <c r="C567" s="30">
        <f>IFERROR(IF(AND(ISNUMBER('Semi Rev'!G140),ISNUMBER('Semi Rev'!C140)),'Semi Rev'!G140-'Semi Rev'!C140,""),"")</f>
        <v/>
      </c>
      <c r="D567" s="30">
        <f>IFERROR(IF(AND(ISNUMBER('Semi Rev'!H140),ISNUMBER('Semi Rev'!D140)),'Semi Rev'!H140-'Semi Rev'!D140,""),"")</f>
        <v/>
      </c>
      <c r="E567" s="30">
        <f>IFERROR(IF(AND(ISNUMBER('Semi Rev'!I140),ISNUMBER('Semi Rev'!E140)),'Semi Rev'!I140-'Semi Rev'!E140,""),"")</f>
        <v/>
      </c>
      <c r="F567" s="30">
        <f>IFERROR(IF(AND(ISNUMBER('Semi Rev'!J140),ISNUMBER('Semi Rev'!F140)),'Semi Rev'!J140-'Semi Rev'!F140,""),"")</f>
        <v/>
      </c>
      <c r="G567" s="30">
        <f>IFERROR(IF(AND(ISNUMBER('Semi Rev'!K140),ISNUMBER('Semi Rev'!G140)),'Semi Rev'!K140-'Semi Rev'!G140,""),"")</f>
        <v/>
      </c>
      <c r="H567" s="30">
        <f>IFERROR(IF(AND(ISNUMBER('Semi Rev'!L140),ISNUMBER('Semi Rev'!H140)),'Semi Rev'!L140-'Semi Rev'!H140,""),"")</f>
        <v/>
      </c>
      <c r="I567" s="30">
        <f>IFERROR(IF(AND(ISNUMBER('Semi Rev'!M140),ISNUMBER('Semi Rev'!I140)),'Semi Rev'!M140-'Semi Rev'!I140,""),"")</f>
        <v/>
      </c>
      <c r="J567" s="30">
        <f>IFERROR(IF(AND(ISNUMBER('Semi Rev'!N140),ISNUMBER('Semi Rev'!J140)),'Semi Rev'!N140-'Semi Rev'!J140,""),"")</f>
        <v/>
      </c>
      <c r="K567" s="30">
        <f>IFERROR(IF(AND(ISNUMBER('Semi Rev'!O140),ISNUMBER('Semi Rev'!K140)),'Semi Rev'!O140-'Semi Rev'!K140,""),"")</f>
        <v/>
      </c>
      <c r="L567" s="30">
        <f>IFERROR(IF(AND(ISNUMBER('Semi Rev'!P140),ISNUMBER('Semi Rev'!L140)),'Semi Rev'!P140-'Semi Rev'!L140,""),"")</f>
        <v/>
      </c>
      <c r="M567" s="31">
        <f>IFERROR(IF(AND(ISNUMBER('Semi Rev'!Q140),ISNUMBER('Semi Rev'!M140)),'Semi Rev'!Q140-'Semi Rev'!M140,""),"")</f>
        <v/>
      </c>
      <c r="N567" s="31">
        <f>IFERROR(IF(AND(ISNUMBER('Semi Rev'!R140),ISNUMBER('Semi Rev'!N140)),'Semi Rev'!R140-'Semi Rev'!N140,""),"")</f>
        <v/>
      </c>
    </row>
    <row r="568">
      <c r="A568" s="19">
        <f>'Semi Rev'!$A141</f>
        <v/>
      </c>
      <c r="B568" s="19">
        <f>'Semi Rev'!$B141</f>
        <v/>
      </c>
      <c r="C568" s="30">
        <f>IFERROR(IF(AND(ISNUMBER('Semi Rev'!G141),ISNUMBER('Semi Rev'!C141)),'Semi Rev'!G141-'Semi Rev'!C141,""),"")</f>
        <v/>
      </c>
      <c r="D568" s="30">
        <f>IFERROR(IF(AND(ISNUMBER('Semi Rev'!H141),ISNUMBER('Semi Rev'!D141)),'Semi Rev'!H141-'Semi Rev'!D141,""),"")</f>
        <v/>
      </c>
      <c r="E568" s="30">
        <f>IFERROR(IF(AND(ISNUMBER('Semi Rev'!I141),ISNUMBER('Semi Rev'!E141)),'Semi Rev'!I141-'Semi Rev'!E141,""),"")</f>
        <v/>
      </c>
      <c r="F568" s="30">
        <f>IFERROR(IF(AND(ISNUMBER('Semi Rev'!J141),ISNUMBER('Semi Rev'!F141)),'Semi Rev'!J141-'Semi Rev'!F141,""),"")</f>
        <v/>
      </c>
      <c r="G568" s="30">
        <f>IFERROR(IF(AND(ISNUMBER('Semi Rev'!K141),ISNUMBER('Semi Rev'!G141)),'Semi Rev'!K141-'Semi Rev'!G141,""),"")</f>
        <v/>
      </c>
      <c r="H568" s="30">
        <f>IFERROR(IF(AND(ISNUMBER('Semi Rev'!L141),ISNUMBER('Semi Rev'!H141)),'Semi Rev'!L141-'Semi Rev'!H141,""),"")</f>
        <v/>
      </c>
      <c r="I568" s="30">
        <f>IFERROR(IF(AND(ISNUMBER('Semi Rev'!M141),ISNUMBER('Semi Rev'!I141)),'Semi Rev'!M141-'Semi Rev'!I141,""),"")</f>
        <v/>
      </c>
      <c r="J568" s="30">
        <f>IFERROR(IF(AND(ISNUMBER('Semi Rev'!N141),ISNUMBER('Semi Rev'!J141)),'Semi Rev'!N141-'Semi Rev'!J141,""),"")</f>
        <v/>
      </c>
      <c r="K568" s="30">
        <f>IFERROR(IF(AND(ISNUMBER('Semi Rev'!O141),ISNUMBER('Semi Rev'!K141)),'Semi Rev'!O141-'Semi Rev'!K141,""),"")</f>
        <v/>
      </c>
      <c r="L568" s="30">
        <f>IFERROR(IF(AND(ISNUMBER('Semi Rev'!P141),ISNUMBER('Semi Rev'!L141)),'Semi Rev'!P141-'Semi Rev'!L141,""),"")</f>
        <v/>
      </c>
      <c r="M568" s="31">
        <f>IFERROR(IF(AND(ISNUMBER('Semi Rev'!Q141),ISNUMBER('Semi Rev'!M141)),'Semi Rev'!Q141-'Semi Rev'!M141,""),"")</f>
        <v/>
      </c>
      <c r="N568" s="31">
        <f>IFERROR(IF(AND(ISNUMBER('Semi Rev'!R141),ISNUMBER('Semi Rev'!N141)),'Semi Rev'!R141-'Semi Rev'!N141,""),"")</f>
        <v/>
      </c>
    </row>
    <row r="569">
      <c r="A569" s="19">
        <f>'Semi Rev'!$A142</f>
        <v/>
      </c>
      <c r="B569" s="19">
        <f>'Semi Rev'!$B142</f>
        <v/>
      </c>
      <c r="C569" s="30">
        <f>IFERROR(IF(AND(ISNUMBER('Semi Rev'!G142),ISNUMBER('Semi Rev'!C142)),'Semi Rev'!G142-'Semi Rev'!C142,""),"")</f>
        <v/>
      </c>
      <c r="D569" s="30">
        <f>IFERROR(IF(AND(ISNUMBER('Semi Rev'!H142),ISNUMBER('Semi Rev'!D142)),'Semi Rev'!H142-'Semi Rev'!D142,""),"")</f>
        <v/>
      </c>
      <c r="E569" s="30">
        <f>IFERROR(IF(AND(ISNUMBER('Semi Rev'!I142),ISNUMBER('Semi Rev'!E142)),'Semi Rev'!I142-'Semi Rev'!E142,""),"")</f>
        <v/>
      </c>
      <c r="F569" s="30">
        <f>IFERROR(IF(AND(ISNUMBER('Semi Rev'!J142),ISNUMBER('Semi Rev'!F142)),'Semi Rev'!J142-'Semi Rev'!F142,""),"")</f>
        <v/>
      </c>
      <c r="G569" s="30">
        <f>IFERROR(IF(AND(ISNUMBER('Semi Rev'!K142),ISNUMBER('Semi Rev'!G142)),'Semi Rev'!K142-'Semi Rev'!G142,""),"")</f>
        <v/>
      </c>
      <c r="H569" s="30">
        <f>IFERROR(IF(AND(ISNUMBER('Semi Rev'!L142),ISNUMBER('Semi Rev'!H142)),'Semi Rev'!L142-'Semi Rev'!H142,""),"")</f>
        <v/>
      </c>
      <c r="I569" s="30">
        <f>IFERROR(IF(AND(ISNUMBER('Semi Rev'!M142),ISNUMBER('Semi Rev'!I142)),'Semi Rev'!M142-'Semi Rev'!I142,""),"")</f>
        <v/>
      </c>
      <c r="J569" s="30">
        <f>IFERROR(IF(AND(ISNUMBER('Semi Rev'!N142),ISNUMBER('Semi Rev'!J142)),'Semi Rev'!N142-'Semi Rev'!J142,""),"")</f>
        <v/>
      </c>
      <c r="K569" s="30">
        <f>IFERROR(IF(AND(ISNUMBER('Semi Rev'!O142),ISNUMBER('Semi Rev'!K142)),'Semi Rev'!O142-'Semi Rev'!K142,""),"")</f>
        <v/>
      </c>
      <c r="L569" s="30">
        <f>IFERROR(IF(AND(ISNUMBER('Semi Rev'!P142),ISNUMBER('Semi Rev'!L142)),'Semi Rev'!P142-'Semi Rev'!L142,""),"")</f>
        <v/>
      </c>
      <c r="M569" s="31">
        <f>IFERROR(IF(AND(ISNUMBER('Semi Rev'!Q142),ISNUMBER('Semi Rev'!M142)),'Semi Rev'!Q142-'Semi Rev'!M142,""),"")</f>
        <v/>
      </c>
      <c r="N569" s="31">
        <f>IFERROR(IF(AND(ISNUMBER('Semi Rev'!R142),ISNUMBER('Semi Rev'!N142)),'Semi Rev'!R142-'Semi Rev'!N142,""),"")</f>
        <v/>
      </c>
    </row>
    <row r="570">
      <c r="A570" s="19">
        <f>'Semi Rev'!$A143</f>
        <v/>
      </c>
      <c r="B570" s="19">
        <f>'Semi Rev'!$B143</f>
        <v/>
      </c>
      <c r="C570" s="30">
        <f>IFERROR(IF(AND(ISNUMBER('Semi Rev'!G143),ISNUMBER('Semi Rev'!C143)),'Semi Rev'!G143-'Semi Rev'!C143,""),"")</f>
        <v/>
      </c>
      <c r="D570" s="30">
        <f>IFERROR(IF(AND(ISNUMBER('Semi Rev'!H143),ISNUMBER('Semi Rev'!D143)),'Semi Rev'!H143-'Semi Rev'!D143,""),"")</f>
        <v/>
      </c>
      <c r="E570" s="30">
        <f>IFERROR(IF(AND(ISNUMBER('Semi Rev'!I143),ISNUMBER('Semi Rev'!E143)),'Semi Rev'!I143-'Semi Rev'!E143,""),"")</f>
        <v/>
      </c>
      <c r="F570" s="30">
        <f>IFERROR(IF(AND(ISNUMBER('Semi Rev'!J143),ISNUMBER('Semi Rev'!F143)),'Semi Rev'!J143-'Semi Rev'!F143,""),"")</f>
        <v/>
      </c>
      <c r="G570" s="30">
        <f>IFERROR(IF(AND(ISNUMBER('Semi Rev'!K143),ISNUMBER('Semi Rev'!G143)),'Semi Rev'!K143-'Semi Rev'!G143,""),"")</f>
        <v/>
      </c>
      <c r="H570" s="30">
        <f>IFERROR(IF(AND(ISNUMBER('Semi Rev'!L143),ISNUMBER('Semi Rev'!H143)),'Semi Rev'!L143-'Semi Rev'!H143,""),"")</f>
        <v/>
      </c>
      <c r="I570" s="30">
        <f>IFERROR(IF(AND(ISNUMBER('Semi Rev'!M143),ISNUMBER('Semi Rev'!I143)),'Semi Rev'!M143-'Semi Rev'!I143,""),"")</f>
        <v/>
      </c>
      <c r="J570" s="30">
        <f>IFERROR(IF(AND(ISNUMBER('Semi Rev'!N143),ISNUMBER('Semi Rev'!J143)),'Semi Rev'!N143-'Semi Rev'!J143,""),"")</f>
        <v/>
      </c>
      <c r="K570" s="30">
        <f>IFERROR(IF(AND(ISNUMBER('Semi Rev'!O143),ISNUMBER('Semi Rev'!K143)),'Semi Rev'!O143-'Semi Rev'!K143,""),"")</f>
        <v/>
      </c>
      <c r="L570" s="30">
        <f>IFERROR(IF(AND(ISNUMBER('Semi Rev'!P143),ISNUMBER('Semi Rev'!L143)),'Semi Rev'!P143-'Semi Rev'!L143,""),"")</f>
        <v/>
      </c>
      <c r="M570" s="31">
        <f>IFERROR(IF(AND(ISNUMBER('Semi Rev'!Q143),ISNUMBER('Semi Rev'!M143)),'Semi Rev'!Q143-'Semi Rev'!M143,""),"")</f>
        <v/>
      </c>
      <c r="N570" s="31">
        <f>IFERROR(IF(AND(ISNUMBER('Semi Rev'!R143),ISNUMBER('Semi Rev'!N143)),'Semi Rev'!R143-'Semi Rev'!N143,""),"")</f>
        <v/>
      </c>
    </row>
    <row r="572">
      <c r="A572" s="49" t="inlineStr">
        <is>
          <t>Revenue $ added QoQ (USD mm)</t>
        </is>
      </c>
      <c r="B572" s="50" t="n"/>
      <c r="C572" s="50" t="n"/>
      <c r="D572" s="50" t="n"/>
      <c r="E572" s="50" t="n"/>
      <c r="F572" s="50" t="n"/>
      <c r="G572" s="50" t="n"/>
      <c r="H572" s="50" t="n"/>
      <c r="I572" s="50" t="n"/>
      <c r="J572" s="50" t="n"/>
      <c r="K572" s="50" t="n"/>
      <c r="L572" s="50" t="n"/>
      <c r="M572" s="50" t="n"/>
      <c r="N572" s="50" t="n"/>
    </row>
    <row r="573" ht="28" customHeight="1">
      <c r="A573" s="8" t="inlineStr">
        <is>
          <t>Ticker</t>
        </is>
      </c>
      <c r="B573" s="8" t="inlineStr">
        <is>
          <t>Latest Rpt Qtr</t>
        </is>
      </c>
      <c r="C573" s="8" t="inlineStr">
        <is>
          <t>FPO -9</t>
        </is>
      </c>
      <c r="D573" s="8" t="inlineStr">
        <is>
          <t>FPO -8</t>
        </is>
      </c>
      <c r="E573" s="8" t="inlineStr">
        <is>
          <t>FPO -7</t>
        </is>
      </c>
      <c r="F573" s="8" t="inlineStr">
        <is>
          <t>FPO -6</t>
        </is>
      </c>
      <c r="G573" s="8" t="inlineStr">
        <is>
          <t>FPO -5</t>
        </is>
      </c>
      <c r="H573" s="8" t="inlineStr">
        <is>
          <t>FPO -4</t>
        </is>
      </c>
      <c r="I573" s="8" t="inlineStr">
        <is>
          <t>FPO -3</t>
        </is>
      </c>
      <c r="J573" s="8" t="inlineStr">
        <is>
          <t>FPO -2</t>
        </is>
      </c>
      <c r="K573" s="8" t="inlineStr">
        <is>
          <t>FPO -1</t>
        </is>
      </c>
      <c r="L573" s="8" t="inlineStr">
        <is>
          <t>FPO 0 (latest rpt)</t>
        </is>
      </c>
      <c r="M573" s="8" t="inlineStr">
        <is>
          <t>FPO +1E</t>
        </is>
      </c>
      <c r="N573" s="8" t="inlineStr">
        <is>
          <t>FPO +2E</t>
        </is>
      </c>
    </row>
    <row r="574">
      <c r="A574" s="19">
        <f>'Semi Rev'!$A5</f>
        <v/>
      </c>
      <c r="B574" s="19">
        <f>'Semi Rev'!$B5</f>
        <v/>
      </c>
      <c r="C574" s="30">
        <f>IFERROR(IF(AND(ISNUMBER('Semi Rev'!G5),ISNUMBER('Semi Rev'!F5)),'Semi Rev'!G5-'Semi Rev'!F5,""),"")</f>
        <v/>
      </c>
      <c r="D574" s="30">
        <f>IFERROR(IF(AND(ISNUMBER('Semi Rev'!H5),ISNUMBER('Semi Rev'!G5)),'Semi Rev'!H5-'Semi Rev'!G5,""),"")</f>
        <v/>
      </c>
      <c r="E574" s="30">
        <f>IFERROR(IF(AND(ISNUMBER('Semi Rev'!I5),ISNUMBER('Semi Rev'!H5)),'Semi Rev'!I5-'Semi Rev'!H5,""),"")</f>
        <v/>
      </c>
      <c r="F574" s="30">
        <f>IFERROR(IF(AND(ISNUMBER('Semi Rev'!J5),ISNUMBER('Semi Rev'!I5)),'Semi Rev'!J5-'Semi Rev'!I5,""),"")</f>
        <v/>
      </c>
      <c r="G574" s="30">
        <f>IFERROR(IF(AND(ISNUMBER('Semi Rev'!K5),ISNUMBER('Semi Rev'!J5)),'Semi Rev'!K5-'Semi Rev'!J5,""),"")</f>
        <v/>
      </c>
      <c r="H574" s="30">
        <f>IFERROR(IF(AND(ISNUMBER('Semi Rev'!L5),ISNUMBER('Semi Rev'!K5)),'Semi Rev'!L5-'Semi Rev'!K5,""),"")</f>
        <v/>
      </c>
      <c r="I574" s="30">
        <f>IFERROR(IF(AND(ISNUMBER('Semi Rev'!M5),ISNUMBER('Semi Rev'!L5)),'Semi Rev'!M5-'Semi Rev'!L5,""),"")</f>
        <v/>
      </c>
      <c r="J574" s="30">
        <f>IFERROR(IF(AND(ISNUMBER('Semi Rev'!N5),ISNUMBER('Semi Rev'!M5)),'Semi Rev'!N5-'Semi Rev'!M5,""),"")</f>
        <v/>
      </c>
      <c r="K574" s="30">
        <f>IFERROR(IF(AND(ISNUMBER('Semi Rev'!O5),ISNUMBER('Semi Rev'!N5)),'Semi Rev'!O5-'Semi Rev'!N5,""),"")</f>
        <v/>
      </c>
      <c r="L574" s="30">
        <f>IFERROR(IF(AND(ISNUMBER('Semi Rev'!P5),ISNUMBER('Semi Rev'!O5)),'Semi Rev'!P5-'Semi Rev'!O5,""),"")</f>
        <v/>
      </c>
      <c r="M574" s="31">
        <f>IFERROR(IF(AND(ISNUMBER('Semi Rev'!Q5),ISNUMBER('Semi Rev'!P5)),'Semi Rev'!Q5-'Semi Rev'!P5,""),"")</f>
        <v/>
      </c>
      <c r="N574" s="31">
        <f>IFERROR(IF(AND(ISNUMBER('Semi Rev'!R5),ISNUMBER('Semi Rev'!Q5)),'Semi Rev'!R5-'Semi Rev'!Q5,""),"")</f>
        <v/>
      </c>
    </row>
    <row r="575">
      <c r="A575" s="19">
        <f>'Semi Rev'!$A6</f>
        <v/>
      </c>
      <c r="B575" s="19">
        <f>'Semi Rev'!$B6</f>
        <v/>
      </c>
      <c r="C575" s="30">
        <f>IFERROR(IF(AND(ISNUMBER('Semi Rev'!G6),ISNUMBER('Semi Rev'!F6)),'Semi Rev'!G6-'Semi Rev'!F6,""),"")</f>
        <v/>
      </c>
      <c r="D575" s="30">
        <f>IFERROR(IF(AND(ISNUMBER('Semi Rev'!H6),ISNUMBER('Semi Rev'!G6)),'Semi Rev'!H6-'Semi Rev'!G6,""),"")</f>
        <v/>
      </c>
      <c r="E575" s="30">
        <f>IFERROR(IF(AND(ISNUMBER('Semi Rev'!I6),ISNUMBER('Semi Rev'!H6)),'Semi Rev'!I6-'Semi Rev'!H6,""),"")</f>
        <v/>
      </c>
      <c r="F575" s="30">
        <f>IFERROR(IF(AND(ISNUMBER('Semi Rev'!J6),ISNUMBER('Semi Rev'!I6)),'Semi Rev'!J6-'Semi Rev'!I6,""),"")</f>
        <v/>
      </c>
      <c r="G575" s="30">
        <f>IFERROR(IF(AND(ISNUMBER('Semi Rev'!K6),ISNUMBER('Semi Rev'!J6)),'Semi Rev'!K6-'Semi Rev'!J6,""),"")</f>
        <v/>
      </c>
      <c r="H575" s="30">
        <f>IFERROR(IF(AND(ISNUMBER('Semi Rev'!L6),ISNUMBER('Semi Rev'!K6)),'Semi Rev'!L6-'Semi Rev'!K6,""),"")</f>
        <v/>
      </c>
      <c r="I575" s="30">
        <f>IFERROR(IF(AND(ISNUMBER('Semi Rev'!M6),ISNUMBER('Semi Rev'!L6)),'Semi Rev'!M6-'Semi Rev'!L6,""),"")</f>
        <v/>
      </c>
      <c r="J575" s="30">
        <f>IFERROR(IF(AND(ISNUMBER('Semi Rev'!N6),ISNUMBER('Semi Rev'!M6)),'Semi Rev'!N6-'Semi Rev'!M6,""),"")</f>
        <v/>
      </c>
      <c r="K575" s="30">
        <f>IFERROR(IF(AND(ISNUMBER('Semi Rev'!O6),ISNUMBER('Semi Rev'!N6)),'Semi Rev'!O6-'Semi Rev'!N6,""),"")</f>
        <v/>
      </c>
      <c r="L575" s="30">
        <f>IFERROR(IF(AND(ISNUMBER('Semi Rev'!P6),ISNUMBER('Semi Rev'!O6)),'Semi Rev'!P6-'Semi Rev'!O6,""),"")</f>
        <v/>
      </c>
      <c r="M575" s="31">
        <f>IFERROR(IF(AND(ISNUMBER('Semi Rev'!Q6),ISNUMBER('Semi Rev'!P6)),'Semi Rev'!Q6-'Semi Rev'!P6,""),"")</f>
        <v/>
      </c>
      <c r="N575" s="31">
        <f>IFERROR(IF(AND(ISNUMBER('Semi Rev'!R6),ISNUMBER('Semi Rev'!Q6)),'Semi Rev'!R6-'Semi Rev'!Q6,""),"")</f>
        <v/>
      </c>
    </row>
    <row r="576">
      <c r="A576" s="19">
        <f>'Semi Rev'!$A7</f>
        <v/>
      </c>
      <c r="B576" s="19">
        <f>'Semi Rev'!$B7</f>
        <v/>
      </c>
      <c r="C576" s="30">
        <f>IFERROR(IF(AND(ISNUMBER('Semi Rev'!G7),ISNUMBER('Semi Rev'!F7)),'Semi Rev'!G7-'Semi Rev'!F7,""),"")</f>
        <v/>
      </c>
      <c r="D576" s="30">
        <f>IFERROR(IF(AND(ISNUMBER('Semi Rev'!H7),ISNUMBER('Semi Rev'!G7)),'Semi Rev'!H7-'Semi Rev'!G7,""),"")</f>
        <v/>
      </c>
      <c r="E576" s="30">
        <f>IFERROR(IF(AND(ISNUMBER('Semi Rev'!I7),ISNUMBER('Semi Rev'!H7)),'Semi Rev'!I7-'Semi Rev'!H7,""),"")</f>
        <v/>
      </c>
      <c r="F576" s="30">
        <f>IFERROR(IF(AND(ISNUMBER('Semi Rev'!J7),ISNUMBER('Semi Rev'!I7)),'Semi Rev'!J7-'Semi Rev'!I7,""),"")</f>
        <v/>
      </c>
      <c r="G576" s="30">
        <f>IFERROR(IF(AND(ISNUMBER('Semi Rev'!K7),ISNUMBER('Semi Rev'!J7)),'Semi Rev'!K7-'Semi Rev'!J7,""),"")</f>
        <v/>
      </c>
      <c r="H576" s="30">
        <f>IFERROR(IF(AND(ISNUMBER('Semi Rev'!L7),ISNUMBER('Semi Rev'!K7)),'Semi Rev'!L7-'Semi Rev'!K7,""),"")</f>
        <v/>
      </c>
      <c r="I576" s="30">
        <f>IFERROR(IF(AND(ISNUMBER('Semi Rev'!M7),ISNUMBER('Semi Rev'!L7)),'Semi Rev'!M7-'Semi Rev'!L7,""),"")</f>
        <v/>
      </c>
      <c r="J576" s="30">
        <f>IFERROR(IF(AND(ISNUMBER('Semi Rev'!N7),ISNUMBER('Semi Rev'!M7)),'Semi Rev'!N7-'Semi Rev'!M7,""),"")</f>
        <v/>
      </c>
      <c r="K576" s="30">
        <f>IFERROR(IF(AND(ISNUMBER('Semi Rev'!O7),ISNUMBER('Semi Rev'!N7)),'Semi Rev'!O7-'Semi Rev'!N7,""),"")</f>
        <v/>
      </c>
      <c r="L576" s="30">
        <f>IFERROR(IF(AND(ISNUMBER('Semi Rev'!P7),ISNUMBER('Semi Rev'!O7)),'Semi Rev'!P7-'Semi Rev'!O7,""),"")</f>
        <v/>
      </c>
      <c r="M576" s="31">
        <f>IFERROR(IF(AND(ISNUMBER('Semi Rev'!Q7),ISNUMBER('Semi Rev'!P7)),'Semi Rev'!Q7-'Semi Rev'!P7,""),"")</f>
        <v/>
      </c>
      <c r="N576" s="31">
        <f>IFERROR(IF(AND(ISNUMBER('Semi Rev'!R7),ISNUMBER('Semi Rev'!Q7)),'Semi Rev'!R7-'Semi Rev'!Q7,""),"")</f>
        <v/>
      </c>
    </row>
    <row r="577">
      <c r="A577" s="19">
        <f>'Semi Rev'!$A8</f>
        <v/>
      </c>
      <c r="B577" s="19">
        <f>'Semi Rev'!$B8</f>
        <v/>
      </c>
      <c r="C577" s="30">
        <f>IFERROR(IF(AND(ISNUMBER('Semi Rev'!G8),ISNUMBER('Semi Rev'!F8)),'Semi Rev'!G8-'Semi Rev'!F8,""),"")</f>
        <v/>
      </c>
      <c r="D577" s="30">
        <f>IFERROR(IF(AND(ISNUMBER('Semi Rev'!H8),ISNUMBER('Semi Rev'!G8)),'Semi Rev'!H8-'Semi Rev'!G8,""),"")</f>
        <v/>
      </c>
      <c r="E577" s="30">
        <f>IFERROR(IF(AND(ISNUMBER('Semi Rev'!I8),ISNUMBER('Semi Rev'!H8)),'Semi Rev'!I8-'Semi Rev'!H8,""),"")</f>
        <v/>
      </c>
      <c r="F577" s="30">
        <f>IFERROR(IF(AND(ISNUMBER('Semi Rev'!J8),ISNUMBER('Semi Rev'!I8)),'Semi Rev'!J8-'Semi Rev'!I8,""),"")</f>
        <v/>
      </c>
      <c r="G577" s="30">
        <f>IFERROR(IF(AND(ISNUMBER('Semi Rev'!K8),ISNUMBER('Semi Rev'!J8)),'Semi Rev'!K8-'Semi Rev'!J8,""),"")</f>
        <v/>
      </c>
      <c r="H577" s="30">
        <f>IFERROR(IF(AND(ISNUMBER('Semi Rev'!L8),ISNUMBER('Semi Rev'!K8)),'Semi Rev'!L8-'Semi Rev'!K8,""),"")</f>
        <v/>
      </c>
      <c r="I577" s="30">
        <f>IFERROR(IF(AND(ISNUMBER('Semi Rev'!M8),ISNUMBER('Semi Rev'!L8)),'Semi Rev'!M8-'Semi Rev'!L8,""),"")</f>
        <v/>
      </c>
      <c r="J577" s="30">
        <f>IFERROR(IF(AND(ISNUMBER('Semi Rev'!N8),ISNUMBER('Semi Rev'!M8)),'Semi Rev'!N8-'Semi Rev'!M8,""),"")</f>
        <v/>
      </c>
      <c r="K577" s="30">
        <f>IFERROR(IF(AND(ISNUMBER('Semi Rev'!O8),ISNUMBER('Semi Rev'!N8)),'Semi Rev'!O8-'Semi Rev'!N8,""),"")</f>
        <v/>
      </c>
      <c r="L577" s="30">
        <f>IFERROR(IF(AND(ISNUMBER('Semi Rev'!P8),ISNUMBER('Semi Rev'!O8)),'Semi Rev'!P8-'Semi Rev'!O8,""),"")</f>
        <v/>
      </c>
      <c r="M577" s="31">
        <f>IFERROR(IF(AND(ISNUMBER('Semi Rev'!Q8),ISNUMBER('Semi Rev'!P8)),'Semi Rev'!Q8-'Semi Rev'!P8,""),"")</f>
        <v/>
      </c>
      <c r="N577" s="31">
        <f>IFERROR(IF(AND(ISNUMBER('Semi Rev'!R8),ISNUMBER('Semi Rev'!Q8)),'Semi Rev'!R8-'Semi Rev'!Q8,""),"")</f>
        <v/>
      </c>
    </row>
    <row r="578">
      <c r="A578" s="19">
        <f>'Semi Rev'!$A9</f>
        <v/>
      </c>
      <c r="B578" s="19">
        <f>'Semi Rev'!$B9</f>
        <v/>
      </c>
      <c r="C578" s="30">
        <f>IFERROR(IF(AND(ISNUMBER('Semi Rev'!G9),ISNUMBER('Semi Rev'!F9)),'Semi Rev'!G9-'Semi Rev'!F9,""),"")</f>
        <v/>
      </c>
      <c r="D578" s="30">
        <f>IFERROR(IF(AND(ISNUMBER('Semi Rev'!H9),ISNUMBER('Semi Rev'!G9)),'Semi Rev'!H9-'Semi Rev'!G9,""),"")</f>
        <v/>
      </c>
      <c r="E578" s="30">
        <f>IFERROR(IF(AND(ISNUMBER('Semi Rev'!I9),ISNUMBER('Semi Rev'!H9)),'Semi Rev'!I9-'Semi Rev'!H9,""),"")</f>
        <v/>
      </c>
      <c r="F578" s="30">
        <f>IFERROR(IF(AND(ISNUMBER('Semi Rev'!J9),ISNUMBER('Semi Rev'!I9)),'Semi Rev'!J9-'Semi Rev'!I9,""),"")</f>
        <v/>
      </c>
      <c r="G578" s="30">
        <f>IFERROR(IF(AND(ISNUMBER('Semi Rev'!K9),ISNUMBER('Semi Rev'!J9)),'Semi Rev'!K9-'Semi Rev'!J9,""),"")</f>
        <v/>
      </c>
      <c r="H578" s="30">
        <f>IFERROR(IF(AND(ISNUMBER('Semi Rev'!L9),ISNUMBER('Semi Rev'!K9)),'Semi Rev'!L9-'Semi Rev'!K9,""),"")</f>
        <v/>
      </c>
      <c r="I578" s="30">
        <f>IFERROR(IF(AND(ISNUMBER('Semi Rev'!M9),ISNUMBER('Semi Rev'!L9)),'Semi Rev'!M9-'Semi Rev'!L9,""),"")</f>
        <v/>
      </c>
      <c r="J578" s="30">
        <f>IFERROR(IF(AND(ISNUMBER('Semi Rev'!N9),ISNUMBER('Semi Rev'!M9)),'Semi Rev'!N9-'Semi Rev'!M9,""),"")</f>
        <v/>
      </c>
      <c r="K578" s="30">
        <f>IFERROR(IF(AND(ISNUMBER('Semi Rev'!O9),ISNUMBER('Semi Rev'!N9)),'Semi Rev'!O9-'Semi Rev'!N9,""),"")</f>
        <v/>
      </c>
      <c r="L578" s="30">
        <f>IFERROR(IF(AND(ISNUMBER('Semi Rev'!P9),ISNUMBER('Semi Rev'!O9)),'Semi Rev'!P9-'Semi Rev'!O9,""),"")</f>
        <v/>
      </c>
      <c r="M578" s="31">
        <f>IFERROR(IF(AND(ISNUMBER('Semi Rev'!Q9),ISNUMBER('Semi Rev'!P9)),'Semi Rev'!Q9-'Semi Rev'!P9,""),"")</f>
        <v/>
      </c>
      <c r="N578" s="31">
        <f>IFERROR(IF(AND(ISNUMBER('Semi Rev'!R9),ISNUMBER('Semi Rev'!Q9)),'Semi Rev'!R9-'Semi Rev'!Q9,""),"")</f>
        <v/>
      </c>
    </row>
    <row r="579">
      <c r="A579" s="19">
        <f>'Semi Rev'!$A10</f>
        <v/>
      </c>
      <c r="B579" s="19">
        <f>'Semi Rev'!$B10</f>
        <v/>
      </c>
      <c r="C579" s="30">
        <f>IFERROR(IF(AND(ISNUMBER('Semi Rev'!G10),ISNUMBER('Semi Rev'!F10)),'Semi Rev'!G10-'Semi Rev'!F10,""),"")</f>
        <v/>
      </c>
      <c r="D579" s="30">
        <f>IFERROR(IF(AND(ISNUMBER('Semi Rev'!H10),ISNUMBER('Semi Rev'!G10)),'Semi Rev'!H10-'Semi Rev'!G10,""),"")</f>
        <v/>
      </c>
      <c r="E579" s="30">
        <f>IFERROR(IF(AND(ISNUMBER('Semi Rev'!I10),ISNUMBER('Semi Rev'!H10)),'Semi Rev'!I10-'Semi Rev'!H10,""),"")</f>
        <v/>
      </c>
      <c r="F579" s="30">
        <f>IFERROR(IF(AND(ISNUMBER('Semi Rev'!J10),ISNUMBER('Semi Rev'!I10)),'Semi Rev'!J10-'Semi Rev'!I10,""),"")</f>
        <v/>
      </c>
      <c r="G579" s="30">
        <f>IFERROR(IF(AND(ISNUMBER('Semi Rev'!K10),ISNUMBER('Semi Rev'!J10)),'Semi Rev'!K10-'Semi Rev'!J10,""),"")</f>
        <v/>
      </c>
      <c r="H579" s="30">
        <f>IFERROR(IF(AND(ISNUMBER('Semi Rev'!L10),ISNUMBER('Semi Rev'!K10)),'Semi Rev'!L10-'Semi Rev'!K10,""),"")</f>
        <v/>
      </c>
      <c r="I579" s="30">
        <f>IFERROR(IF(AND(ISNUMBER('Semi Rev'!M10),ISNUMBER('Semi Rev'!L10)),'Semi Rev'!M10-'Semi Rev'!L10,""),"")</f>
        <v/>
      </c>
      <c r="J579" s="30">
        <f>IFERROR(IF(AND(ISNUMBER('Semi Rev'!N10),ISNUMBER('Semi Rev'!M10)),'Semi Rev'!N10-'Semi Rev'!M10,""),"")</f>
        <v/>
      </c>
      <c r="K579" s="30">
        <f>IFERROR(IF(AND(ISNUMBER('Semi Rev'!O10),ISNUMBER('Semi Rev'!N10)),'Semi Rev'!O10-'Semi Rev'!N10,""),"")</f>
        <v/>
      </c>
      <c r="L579" s="30">
        <f>IFERROR(IF(AND(ISNUMBER('Semi Rev'!P10),ISNUMBER('Semi Rev'!O10)),'Semi Rev'!P10-'Semi Rev'!O10,""),"")</f>
        <v/>
      </c>
      <c r="M579" s="31">
        <f>IFERROR(IF(AND(ISNUMBER('Semi Rev'!Q10),ISNUMBER('Semi Rev'!P10)),'Semi Rev'!Q10-'Semi Rev'!P10,""),"")</f>
        <v/>
      </c>
      <c r="N579" s="31">
        <f>IFERROR(IF(AND(ISNUMBER('Semi Rev'!R10),ISNUMBER('Semi Rev'!Q10)),'Semi Rev'!R10-'Semi Rev'!Q10,""),"")</f>
        <v/>
      </c>
    </row>
    <row r="580">
      <c r="A580" s="19">
        <f>'Semi Rev'!$A11</f>
        <v/>
      </c>
      <c r="B580" s="19">
        <f>'Semi Rev'!$B11</f>
        <v/>
      </c>
      <c r="C580" s="30">
        <f>IFERROR(IF(AND(ISNUMBER('Semi Rev'!G11),ISNUMBER('Semi Rev'!F11)),'Semi Rev'!G11-'Semi Rev'!F11,""),"")</f>
        <v/>
      </c>
      <c r="D580" s="30">
        <f>IFERROR(IF(AND(ISNUMBER('Semi Rev'!H11),ISNUMBER('Semi Rev'!G11)),'Semi Rev'!H11-'Semi Rev'!G11,""),"")</f>
        <v/>
      </c>
      <c r="E580" s="30">
        <f>IFERROR(IF(AND(ISNUMBER('Semi Rev'!I11),ISNUMBER('Semi Rev'!H11)),'Semi Rev'!I11-'Semi Rev'!H11,""),"")</f>
        <v/>
      </c>
      <c r="F580" s="30">
        <f>IFERROR(IF(AND(ISNUMBER('Semi Rev'!J11),ISNUMBER('Semi Rev'!I11)),'Semi Rev'!J11-'Semi Rev'!I11,""),"")</f>
        <v/>
      </c>
      <c r="G580" s="30">
        <f>IFERROR(IF(AND(ISNUMBER('Semi Rev'!K11),ISNUMBER('Semi Rev'!J11)),'Semi Rev'!K11-'Semi Rev'!J11,""),"")</f>
        <v/>
      </c>
      <c r="H580" s="30">
        <f>IFERROR(IF(AND(ISNUMBER('Semi Rev'!L11),ISNUMBER('Semi Rev'!K11)),'Semi Rev'!L11-'Semi Rev'!K11,""),"")</f>
        <v/>
      </c>
      <c r="I580" s="30">
        <f>IFERROR(IF(AND(ISNUMBER('Semi Rev'!M11),ISNUMBER('Semi Rev'!L11)),'Semi Rev'!M11-'Semi Rev'!L11,""),"")</f>
        <v/>
      </c>
      <c r="J580" s="30">
        <f>IFERROR(IF(AND(ISNUMBER('Semi Rev'!N11),ISNUMBER('Semi Rev'!M11)),'Semi Rev'!N11-'Semi Rev'!M11,""),"")</f>
        <v/>
      </c>
      <c r="K580" s="30">
        <f>IFERROR(IF(AND(ISNUMBER('Semi Rev'!O11),ISNUMBER('Semi Rev'!N11)),'Semi Rev'!O11-'Semi Rev'!N11,""),"")</f>
        <v/>
      </c>
      <c r="L580" s="30">
        <f>IFERROR(IF(AND(ISNUMBER('Semi Rev'!P11),ISNUMBER('Semi Rev'!O11)),'Semi Rev'!P11-'Semi Rev'!O11,""),"")</f>
        <v/>
      </c>
      <c r="M580" s="31">
        <f>IFERROR(IF(AND(ISNUMBER('Semi Rev'!Q11),ISNUMBER('Semi Rev'!P11)),'Semi Rev'!Q11-'Semi Rev'!P11,""),"")</f>
        <v/>
      </c>
      <c r="N580" s="31">
        <f>IFERROR(IF(AND(ISNUMBER('Semi Rev'!R11),ISNUMBER('Semi Rev'!Q11)),'Semi Rev'!R11-'Semi Rev'!Q11,""),"")</f>
        <v/>
      </c>
    </row>
    <row r="581">
      <c r="A581" s="19">
        <f>'Semi Rev'!$A12</f>
        <v/>
      </c>
      <c r="B581" s="19">
        <f>'Semi Rev'!$B12</f>
        <v/>
      </c>
      <c r="C581" s="30">
        <f>IFERROR(IF(AND(ISNUMBER('Semi Rev'!G12),ISNUMBER('Semi Rev'!F12)),'Semi Rev'!G12-'Semi Rev'!F12,""),"")</f>
        <v/>
      </c>
      <c r="D581" s="30">
        <f>IFERROR(IF(AND(ISNUMBER('Semi Rev'!H12),ISNUMBER('Semi Rev'!G12)),'Semi Rev'!H12-'Semi Rev'!G12,""),"")</f>
        <v/>
      </c>
      <c r="E581" s="30">
        <f>IFERROR(IF(AND(ISNUMBER('Semi Rev'!I12),ISNUMBER('Semi Rev'!H12)),'Semi Rev'!I12-'Semi Rev'!H12,""),"")</f>
        <v/>
      </c>
      <c r="F581" s="30">
        <f>IFERROR(IF(AND(ISNUMBER('Semi Rev'!J12),ISNUMBER('Semi Rev'!I12)),'Semi Rev'!J12-'Semi Rev'!I12,""),"")</f>
        <v/>
      </c>
      <c r="G581" s="30">
        <f>IFERROR(IF(AND(ISNUMBER('Semi Rev'!K12),ISNUMBER('Semi Rev'!J12)),'Semi Rev'!K12-'Semi Rev'!J12,""),"")</f>
        <v/>
      </c>
      <c r="H581" s="30">
        <f>IFERROR(IF(AND(ISNUMBER('Semi Rev'!L12),ISNUMBER('Semi Rev'!K12)),'Semi Rev'!L12-'Semi Rev'!K12,""),"")</f>
        <v/>
      </c>
      <c r="I581" s="30">
        <f>IFERROR(IF(AND(ISNUMBER('Semi Rev'!M12),ISNUMBER('Semi Rev'!L12)),'Semi Rev'!M12-'Semi Rev'!L12,""),"")</f>
        <v/>
      </c>
      <c r="J581" s="30">
        <f>IFERROR(IF(AND(ISNUMBER('Semi Rev'!N12),ISNUMBER('Semi Rev'!M12)),'Semi Rev'!N12-'Semi Rev'!M12,""),"")</f>
        <v/>
      </c>
      <c r="K581" s="30">
        <f>IFERROR(IF(AND(ISNUMBER('Semi Rev'!O12),ISNUMBER('Semi Rev'!N12)),'Semi Rev'!O12-'Semi Rev'!N12,""),"")</f>
        <v/>
      </c>
      <c r="L581" s="30">
        <f>IFERROR(IF(AND(ISNUMBER('Semi Rev'!P12),ISNUMBER('Semi Rev'!O12)),'Semi Rev'!P12-'Semi Rev'!O12,""),"")</f>
        <v/>
      </c>
      <c r="M581" s="31">
        <f>IFERROR(IF(AND(ISNUMBER('Semi Rev'!Q12),ISNUMBER('Semi Rev'!P12)),'Semi Rev'!Q12-'Semi Rev'!P12,""),"")</f>
        <v/>
      </c>
      <c r="N581" s="31">
        <f>IFERROR(IF(AND(ISNUMBER('Semi Rev'!R12),ISNUMBER('Semi Rev'!Q12)),'Semi Rev'!R12-'Semi Rev'!Q12,""),"")</f>
        <v/>
      </c>
    </row>
    <row r="582">
      <c r="A582" s="19">
        <f>'Semi Rev'!$A13</f>
        <v/>
      </c>
      <c r="B582" s="19">
        <f>'Semi Rev'!$B13</f>
        <v/>
      </c>
      <c r="C582" s="30">
        <f>IFERROR(IF(AND(ISNUMBER('Semi Rev'!G13),ISNUMBER('Semi Rev'!F13)),'Semi Rev'!G13-'Semi Rev'!F13,""),"")</f>
        <v/>
      </c>
      <c r="D582" s="30">
        <f>IFERROR(IF(AND(ISNUMBER('Semi Rev'!H13),ISNUMBER('Semi Rev'!G13)),'Semi Rev'!H13-'Semi Rev'!G13,""),"")</f>
        <v/>
      </c>
      <c r="E582" s="30">
        <f>IFERROR(IF(AND(ISNUMBER('Semi Rev'!I13),ISNUMBER('Semi Rev'!H13)),'Semi Rev'!I13-'Semi Rev'!H13,""),"")</f>
        <v/>
      </c>
      <c r="F582" s="30">
        <f>IFERROR(IF(AND(ISNUMBER('Semi Rev'!J13),ISNUMBER('Semi Rev'!I13)),'Semi Rev'!J13-'Semi Rev'!I13,""),"")</f>
        <v/>
      </c>
      <c r="G582" s="30">
        <f>IFERROR(IF(AND(ISNUMBER('Semi Rev'!K13),ISNUMBER('Semi Rev'!J13)),'Semi Rev'!K13-'Semi Rev'!J13,""),"")</f>
        <v/>
      </c>
      <c r="H582" s="30">
        <f>IFERROR(IF(AND(ISNUMBER('Semi Rev'!L13),ISNUMBER('Semi Rev'!K13)),'Semi Rev'!L13-'Semi Rev'!K13,""),"")</f>
        <v/>
      </c>
      <c r="I582" s="30">
        <f>IFERROR(IF(AND(ISNUMBER('Semi Rev'!M13),ISNUMBER('Semi Rev'!L13)),'Semi Rev'!M13-'Semi Rev'!L13,""),"")</f>
        <v/>
      </c>
      <c r="J582" s="30">
        <f>IFERROR(IF(AND(ISNUMBER('Semi Rev'!N13),ISNUMBER('Semi Rev'!M13)),'Semi Rev'!N13-'Semi Rev'!M13,""),"")</f>
        <v/>
      </c>
      <c r="K582" s="30">
        <f>IFERROR(IF(AND(ISNUMBER('Semi Rev'!O13),ISNUMBER('Semi Rev'!N13)),'Semi Rev'!O13-'Semi Rev'!N13,""),"")</f>
        <v/>
      </c>
      <c r="L582" s="30">
        <f>IFERROR(IF(AND(ISNUMBER('Semi Rev'!P13),ISNUMBER('Semi Rev'!O13)),'Semi Rev'!P13-'Semi Rev'!O13,""),"")</f>
        <v/>
      </c>
      <c r="M582" s="31">
        <f>IFERROR(IF(AND(ISNUMBER('Semi Rev'!Q13),ISNUMBER('Semi Rev'!P13)),'Semi Rev'!Q13-'Semi Rev'!P13,""),"")</f>
        <v/>
      </c>
      <c r="N582" s="31">
        <f>IFERROR(IF(AND(ISNUMBER('Semi Rev'!R13),ISNUMBER('Semi Rev'!Q13)),'Semi Rev'!R13-'Semi Rev'!Q13,""),"")</f>
        <v/>
      </c>
    </row>
    <row r="583">
      <c r="A583" s="19">
        <f>'Semi Rev'!$A14</f>
        <v/>
      </c>
      <c r="B583" s="19">
        <f>'Semi Rev'!$B14</f>
        <v/>
      </c>
      <c r="C583" s="30">
        <f>IFERROR(IF(AND(ISNUMBER('Semi Rev'!G14),ISNUMBER('Semi Rev'!F14)),'Semi Rev'!G14-'Semi Rev'!F14,""),"")</f>
        <v/>
      </c>
      <c r="D583" s="30">
        <f>IFERROR(IF(AND(ISNUMBER('Semi Rev'!H14),ISNUMBER('Semi Rev'!G14)),'Semi Rev'!H14-'Semi Rev'!G14,""),"")</f>
        <v/>
      </c>
      <c r="E583" s="30">
        <f>IFERROR(IF(AND(ISNUMBER('Semi Rev'!I14),ISNUMBER('Semi Rev'!H14)),'Semi Rev'!I14-'Semi Rev'!H14,""),"")</f>
        <v/>
      </c>
      <c r="F583" s="30">
        <f>IFERROR(IF(AND(ISNUMBER('Semi Rev'!J14),ISNUMBER('Semi Rev'!I14)),'Semi Rev'!J14-'Semi Rev'!I14,""),"")</f>
        <v/>
      </c>
      <c r="G583" s="30">
        <f>IFERROR(IF(AND(ISNUMBER('Semi Rev'!K14),ISNUMBER('Semi Rev'!J14)),'Semi Rev'!K14-'Semi Rev'!J14,""),"")</f>
        <v/>
      </c>
      <c r="H583" s="30">
        <f>IFERROR(IF(AND(ISNUMBER('Semi Rev'!L14),ISNUMBER('Semi Rev'!K14)),'Semi Rev'!L14-'Semi Rev'!K14,""),"")</f>
        <v/>
      </c>
      <c r="I583" s="30">
        <f>IFERROR(IF(AND(ISNUMBER('Semi Rev'!M14),ISNUMBER('Semi Rev'!L14)),'Semi Rev'!M14-'Semi Rev'!L14,""),"")</f>
        <v/>
      </c>
      <c r="J583" s="30">
        <f>IFERROR(IF(AND(ISNUMBER('Semi Rev'!N14),ISNUMBER('Semi Rev'!M14)),'Semi Rev'!N14-'Semi Rev'!M14,""),"")</f>
        <v/>
      </c>
      <c r="K583" s="30">
        <f>IFERROR(IF(AND(ISNUMBER('Semi Rev'!O14),ISNUMBER('Semi Rev'!N14)),'Semi Rev'!O14-'Semi Rev'!N14,""),"")</f>
        <v/>
      </c>
      <c r="L583" s="30">
        <f>IFERROR(IF(AND(ISNUMBER('Semi Rev'!P14),ISNUMBER('Semi Rev'!O14)),'Semi Rev'!P14-'Semi Rev'!O14,""),"")</f>
        <v/>
      </c>
      <c r="M583" s="31">
        <f>IFERROR(IF(AND(ISNUMBER('Semi Rev'!Q14),ISNUMBER('Semi Rev'!P14)),'Semi Rev'!Q14-'Semi Rev'!P14,""),"")</f>
        <v/>
      </c>
      <c r="N583" s="31">
        <f>IFERROR(IF(AND(ISNUMBER('Semi Rev'!R14),ISNUMBER('Semi Rev'!Q14)),'Semi Rev'!R14-'Semi Rev'!Q14,""),"")</f>
        <v/>
      </c>
    </row>
    <row r="584">
      <c r="A584" s="19">
        <f>'Semi Rev'!$A15</f>
        <v/>
      </c>
      <c r="B584" s="19">
        <f>'Semi Rev'!$B15</f>
        <v/>
      </c>
      <c r="C584" s="30">
        <f>IFERROR(IF(AND(ISNUMBER('Semi Rev'!G15),ISNUMBER('Semi Rev'!F15)),'Semi Rev'!G15-'Semi Rev'!F15,""),"")</f>
        <v/>
      </c>
      <c r="D584" s="30">
        <f>IFERROR(IF(AND(ISNUMBER('Semi Rev'!H15),ISNUMBER('Semi Rev'!G15)),'Semi Rev'!H15-'Semi Rev'!G15,""),"")</f>
        <v/>
      </c>
      <c r="E584" s="30">
        <f>IFERROR(IF(AND(ISNUMBER('Semi Rev'!I15),ISNUMBER('Semi Rev'!H15)),'Semi Rev'!I15-'Semi Rev'!H15,""),"")</f>
        <v/>
      </c>
      <c r="F584" s="30">
        <f>IFERROR(IF(AND(ISNUMBER('Semi Rev'!J15),ISNUMBER('Semi Rev'!I15)),'Semi Rev'!J15-'Semi Rev'!I15,""),"")</f>
        <v/>
      </c>
      <c r="G584" s="30">
        <f>IFERROR(IF(AND(ISNUMBER('Semi Rev'!K15),ISNUMBER('Semi Rev'!J15)),'Semi Rev'!K15-'Semi Rev'!J15,""),"")</f>
        <v/>
      </c>
      <c r="H584" s="30">
        <f>IFERROR(IF(AND(ISNUMBER('Semi Rev'!L15),ISNUMBER('Semi Rev'!K15)),'Semi Rev'!L15-'Semi Rev'!K15,""),"")</f>
        <v/>
      </c>
      <c r="I584" s="30">
        <f>IFERROR(IF(AND(ISNUMBER('Semi Rev'!M15),ISNUMBER('Semi Rev'!L15)),'Semi Rev'!M15-'Semi Rev'!L15,""),"")</f>
        <v/>
      </c>
      <c r="J584" s="30">
        <f>IFERROR(IF(AND(ISNUMBER('Semi Rev'!N15),ISNUMBER('Semi Rev'!M15)),'Semi Rev'!N15-'Semi Rev'!M15,""),"")</f>
        <v/>
      </c>
      <c r="K584" s="30">
        <f>IFERROR(IF(AND(ISNUMBER('Semi Rev'!O15),ISNUMBER('Semi Rev'!N15)),'Semi Rev'!O15-'Semi Rev'!N15,""),"")</f>
        <v/>
      </c>
      <c r="L584" s="30">
        <f>IFERROR(IF(AND(ISNUMBER('Semi Rev'!P15),ISNUMBER('Semi Rev'!O15)),'Semi Rev'!P15-'Semi Rev'!O15,""),"")</f>
        <v/>
      </c>
      <c r="M584" s="31">
        <f>IFERROR(IF(AND(ISNUMBER('Semi Rev'!Q15),ISNUMBER('Semi Rev'!P15)),'Semi Rev'!Q15-'Semi Rev'!P15,""),"")</f>
        <v/>
      </c>
      <c r="N584" s="31">
        <f>IFERROR(IF(AND(ISNUMBER('Semi Rev'!R15),ISNUMBER('Semi Rev'!Q15)),'Semi Rev'!R15-'Semi Rev'!Q15,""),"")</f>
        <v/>
      </c>
    </row>
    <row r="585">
      <c r="A585" s="19">
        <f>'Semi Rev'!$A16</f>
        <v/>
      </c>
      <c r="B585" s="19">
        <f>'Semi Rev'!$B16</f>
        <v/>
      </c>
      <c r="C585" s="30">
        <f>IFERROR(IF(AND(ISNUMBER('Semi Rev'!G16),ISNUMBER('Semi Rev'!F16)),'Semi Rev'!G16-'Semi Rev'!F16,""),"")</f>
        <v/>
      </c>
      <c r="D585" s="30">
        <f>IFERROR(IF(AND(ISNUMBER('Semi Rev'!H16),ISNUMBER('Semi Rev'!G16)),'Semi Rev'!H16-'Semi Rev'!G16,""),"")</f>
        <v/>
      </c>
      <c r="E585" s="30">
        <f>IFERROR(IF(AND(ISNUMBER('Semi Rev'!I16),ISNUMBER('Semi Rev'!H16)),'Semi Rev'!I16-'Semi Rev'!H16,""),"")</f>
        <v/>
      </c>
      <c r="F585" s="30">
        <f>IFERROR(IF(AND(ISNUMBER('Semi Rev'!J16),ISNUMBER('Semi Rev'!I16)),'Semi Rev'!J16-'Semi Rev'!I16,""),"")</f>
        <v/>
      </c>
      <c r="G585" s="30">
        <f>IFERROR(IF(AND(ISNUMBER('Semi Rev'!K16),ISNUMBER('Semi Rev'!J16)),'Semi Rev'!K16-'Semi Rev'!J16,""),"")</f>
        <v/>
      </c>
      <c r="H585" s="30">
        <f>IFERROR(IF(AND(ISNUMBER('Semi Rev'!L16),ISNUMBER('Semi Rev'!K16)),'Semi Rev'!L16-'Semi Rev'!K16,""),"")</f>
        <v/>
      </c>
      <c r="I585" s="30">
        <f>IFERROR(IF(AND(ISNUMBER('Semi Rev'!M16),ISNUMBER('Semi Rev'!L16)),'Semi Rev'!M16-'Semi Rev'!L16,""),"")</f>
        <v/>
      </c>
      <c r="J585" s="30">
        <f>IFERROR(IF(AND(ISNUMBER('Semi Rev'!N16),ISNUMBER('Semi Rev'!M16)),'Semi Rev'!N16-'Semi Rev'!M16,""),"")</f>
        <v/>
      </c>
      <c r="K585" s="30">
        <f>IFERROR(IF(AND(ISNUMBER('Semi Rev'!O16),ISNUMBER('Semi Rev'!N16)),'Semi Rev'!O16-'Semi Rev'!N16,""),"")</f>
        <v/>
      </c>
      <c r="L585" s="30">
        <f>IFERROR(IF(AND(ISNUMBER('Semi Rev'!P16),ISNUMBER('Semi Rev'!O16)),'Semi Rev'!P16-'Semi Rev'!O16,""),"")</f>
        <v/>
      </c>
      <c r="M585" s="31">
        <f>IFERROR(IF(AND(ISNUMBER('Semi Rev'!Q16),ISNUMBER('Semi Rev'!P16)),'Semi Rev'!Q16-'Semi Rev'!P16,""),"")</f>
        <v/>
      </c>
      <c r="N585" s="31">
        <f>IFERROR(IF(AND(ISNUMBER('Semi Rev'!R16),ISNUMBER('Semi Rev'!Q16)),'Semi Rev'!R16-'Semi Rev'!Q16,""),"")</f>
        <v/>
      </c>
    </row>
    <row r="586">
      <c r="A586" s="19">
        <f>'Semi Rev'!$A17</f>
        <v/>
      </c>
      <c r="B586" s="19">
        <f>'Semi Rev'!$B17</f>
        <v/>
      </c>
      <c r="C586" s="30">
        <f>IFERROR(IF(AND(ISNUMBER('Semi Rev'!G17),ISNUMBER('Semi Rev'!F17)),'Semi Rev'!G17-'Semi Rev'!F17,""),"")</f>
        <v/>
      </c>
      <c r="D586" s="30">
        <f>IFERROR(IF(AND(ISNUMBER('Semi Rev'!H17),ISNUMBER('Semi Rev'!G17)),'Semi Rev'!H17-'Semi Rev'!G17,""),"")</f>
        <v/>
      </c>
      <c r="E586" s="30">
        <f>IFERROR(IF(AND(ISNUMBER('Semi Rev'!I17),ISNUMBER('Semi Rev'!H17)),'Semi Rev'!I17-'Semi Rev'!H17,""),"")</f>
        <v/>
      </c>
      <c r="F586" s="30">
        <f>IFERROR(IF(AND(ISNUMBER('Semi Rev'!J17),ISNUMBER('Semi Rev'!I17)),'Semi Rev'!J17-'Semi Rev'!I17,""),"")</f>
        <v/>
      </c>
      <c r="G586" s="30">
        <f>IFERROR(IF(AND(ISNUMBER('Semi Rev'!K17),ISNUMBER('Semi Rev'!J17)),'Semi Rev'!K17-'Semi Rev'!J17,""),"")</f>
        <v/>
      </c>
      <c r="H586" s="30">
        <f>IFERROR(IF(AND(ISNUMBER('Semi Rev'!L17),ISNUMBER('Semi Rev'!K17)),'Semi Rev'!L17-'Semi Rev'!K17,""),"")</f>
        <v/>
      </c>
      <c r="I586" s="30">
        <f>IFERROR(IF(AND(ISNUMBER('Semi Rev'!M17),ISNUMBER('Semi Rev'!L17)),'Semi Rev'!M17-'Semi Rev'!L17,""),"")</f>
        <v/>
      </c>
      <c r="J586" s="30">
        <f>IFERROR(IF(AND(ISNUMBER('Semi Rev'!N17),ISNUMBER('Semi Rev'!M17)),'Semi Rev'!N17-'Semi Rev'!M17,""),"")</f>
        <v/>
      </c>
      <c r="K586" s="30">
        <f>IFERROR(IF(AND(ISNUMBER('Semi Rev'!O17),ISNUMBER('Semi Rev'!N17)),'Semi Rev'!O17-'Semi Rev'!N17,""),"")</f>
        <v/>
      </c>
      <c r="L586" s="30">
        <f>IFERROR(IF(AND(ISNUMBER('Semi Rev'!P17),ISNUMBER('Semi Rev'!O17)),'Semi Rev'!P17-'Semi Rev'!O17,""),"")</f>
        <v/>
      </c>
      <c r="M586" s="31">
        <f>IFERROR(IF(AND(ISNUMBER('Semi Rev'!Q17),ISNUMBER('Semi Rev'!P17)),'Semi Rev'!Q17-'Semi Rev'!P17,""),"")</f>
        <v/>
      </c>
      <c r="N586" s="31">
        <f>IFERROR(IF(AND(ISNUMBER('Semi Rev'!R17),ISNUMBER('Semi Rev'!Q17)),'Semi Rev'!R17-'Semi Rev'!Q17,""),"")</f>
        <v/>
      </c>
    </row>
    <row r="587">
      <c r="A587" s="19">
        <f>'Semi Rev'!$A18</f>
        <v/>
      </c>
      <c r="B587" s="19">
        <f>'Semi Rev'!$B18</f>
        <v/>
      </c>
      <c r="C587" s="30">
        <f>IFERROR(IF(AND(ISNUMBER('Semi Rev'!G18),ISNUMBER('Semi Rev'!F18)),'Semi Rev'!G18-'Semi Rev'!F18,""),"")</f>
        <v/>
      </c>
      <c r="D587" s="30">
        <f>IFERROR(IF(AND(ISNUMBER('Semi Rev'!H18),ISNUMBER('Semi Rev'!G18)),'Semi Rev'!H18-'Semi Rev'!G18,""),"")</f>
        <v/>
      </c>
      <c r="E587" s="30">
        <f>IFERROR(IF(AND(ISNUMBER('Semi Rev'!I18),ISNUMBER('Semi Rev'!H18)),'Semi Rev'!I18-'Semi Rev'!H18,""),"")</f>
        <v/>
      </c>
      <c r="F587" s="30">
        <f>IFERROR(IF(AND(ISNUMBER('Semi Rev'!J18),ISNUMBER('Semi Rev'!I18)),'Semi Rev'!J18-'Semi Rev'!I18,""),"")</f>
        <v/>
      </c>
      <c r="G587" s="30">
        <f>IFERROR(IF(AND(ISNUMBER('Semi Rev'!K18),ISNUMBER('Semi Rev'!J18)),'Semi Rev'!K18-'Semi Rev'!J18,""),"")</f>
        <v/>
      </c>
      <c r="H587" s="30">
        <f>IFERROR(IF(AND(ISNUMBER('Semi Rev'!L18),ISNUMBER('Semi Rev'!K18)),'Semi Rev'!L18-'Semi Rev'!K18,""),"")</f>
        <v/>
      </c>
      <c r="I587" s="30">
        <f>IFERROR(IF(AND(ISNUMBER('Semi Rev'!M18),ISNUMBER('Semi Rev'!L18)),'Semi Rev'!M18-'Semi Rev'!L18,""),"")</f>
        <v/>
      </c>
      <c r="J587" s="30">
        <f>IFERROR(IF(AND(ISNUMBER('Semi Rev'!N18),ISNUMBER('Semi Rev'!M18)),'Semi Rev'!N18-'Semi Rev'!M18,""),"")</f>
        <v/>
      </c>
      <c r="K587" s="30">
        <f>IFERROR(IF(AND(ISNUMBER('Semi Rev'!O18),ISNUMBER('Semi Rev'!N18)),'Semi Rev'!O18-'Semi Rev'!N18,""),"")</f>
        <v/>
      </c>
      <c r="L587" s="30">
        <f>IFERROR(IF(AND(ISNUMBER('Semi Rev'!P18),ISNUMBER('Semi Rev'!O18)),'Semi Rev'!P18-'Semi Rev'!O18,""),"")</f>
        <v/>
      </c>
      <c r="M587" s="31">
        <f>IFERROR(IF(AND(ISNUMBER('Semi Rev'!Q18),ISNUMBER('Semi Rev'!P18)),'Semi Rev'!Q18-'Semi Rev'!P18,""),"")</f>
        <v/>
      </c>
      <c r="N587" s="31">
        <f>IFERROR(IF(AND(ISNUMBER('Semi Rev'!R18),ISNUMBER('Semi Rev'!Q18)),'Semi Rev'!R18-'Semi Rev'!Q18,""),"")</f>
        <v/>
      </c>
    </row>
    <row r="588">
      <c r="A588" s="19">
        <f>'Semi Rev'!$A19</f>
        <v/>
      </c>
      <c r="B588" s="19">
        <f>'Semi Rev'!$B19</f>
        <v/>
      </c>
      <c r="C588" s="30">
        <f>IFERROR(IF(AND(ISNUMBER('Semi Rev'!G19),ISNUMBER('Semi Rev'!F19)),'Semi Rev'!G19-'Semi Rev'!F19,""),"")</f>
        <v/>
      </c>
      <c r="D588" s="30">
        <f>IFERROR(IF(AND(ISNUMBER('Semi Rev'!H19),ISNUMBER('Semi Rev'!G19)),'Semi Rev'!H19-'Semi Rev'!G19,""),"")</f>
        <v/>
      </c>
      <c r="E588" s="30">
        <f>IFERROR(IF(AND(ISNUMBER('Semi Rev'!I19),ISNUMBER('Semi Rev'!H19)),'Semi Rev'!I19-'Semi Rev'!H19,""),"")</f>
        <v/>
      </c>
      <c r="F588" s="30">
        <f>IFERROR(IF(AND(ISNUMBER('Semi Rev'!J19),ISNUMBER('Semi Rev'!I19)),'Semi Rev'!J19-'Semi Rev'!I19,""),"")</f>
        <v/>
      </c>
      <c r="G588" s="30">
        <f>IFERROR(IF(AND(ISNUMBER('Semi Rev'!K19),ISNUMBER('Semi Rev'!J19)),'Semi Rev'!K19-'Semi Rev'!J19,""),"")</f>
        <v/>
      </c>
      <c r="H588" s="30">
        <f>IFERROR(IF(AND(ISNUMBER('Semi Rev'!L19),ISNUMBER('Semi Rev'!K19)),'Semi Rev'!L19-'Semi Rev'!K19,""),"")</f>
        <v/>
      </c>
      <c r="I588" s="30">
        <f>IFERROR(IF(AND(ISNUMBER('Semi Rev'!M19),ISNUMBER('Semi Rev'!L19)),'Semi Rev'!M19-'Semi Rev'!L19,""),"")</f>
        <v/>
      </c>
      <c r="J588" s="30">
        <f>IFERROR(IF(AND(ISNUMBER('Semi Rev'!N19),ISNUMBER('Semi Rev'!M19)),'Semi Rev'!N19-'Semi Rev'!M19,""),"")</f>
        <v/>
      </c>
      <c r="K588" s="30">
        <f>IFERROR(IF(AND(ISNUMBER('Semi Rev'!O19),ISNUMBER('Semi Rev'!N19)),'Semi Rev'!O19-'Semi Rev'!N19,""),"")</f>
        <v/>
      </c>
      <c r="L588" s="30">
        <f>IFERROR(IF(AND(ISNUMBER('Semi Rev'!P19),ISNUMBER('Semi Rev'!O19)),'Semi Rev'!P19-'Semi Rev'!O19,""),"")</f>
        <v/>
      </c>
      <c r="M588" s="31">
        <f>IFERROR(IF(AND(ISNUMBER('Semi Rev'!Q19),ISNUMBER('Semi Rev'!P19)),'Semi Rev'!Q19-'Semi Rev'!P19,""),"")</f>
        <v/>
      </c>
      <c r="N588" s="31">
        <f>IFERROR(IF(AND(ISNUMBER('Semi Rev'!R19),ISNUMBER('Semi Rev'!Q19)),'Semi Rev'!R19-'Semi Rev'!Q19,""),"")</f>
        <v/>
      </c>
    </row>
    <row r="589">
      <c r="A589" s="19">
        <f>'Semi Rev'!$A20</f>
        <v/>
      </c>
      <c r="B589" s="19">
        <f>'Semi Rev'!$B20</f>
        <v/>
      </c>
      <c r="C589" s="30">
        <f>IFERROR(IF(AND(ISNUMBER('Semi Rev'!G20),ISNUMBER('Semi Rev'!F20)),'Semi Rev'!G20-'Semi Rev'!F20,""),"")</f>
        <v/>
      </c>
      <c r="D589" s="30">
        <f>IFERROR(IF(AND(ISNUMBER('Semi Rev'!H20),ISNUMBER('Semi Rev'!G20)),'Semi Rev'!H20-'Semi Rev'!G20,""),"")</f>
        <v/>
      </c>
      <c r="E589" s="30">
        <f>IFERROR(IF(AND(ISNUMBER('Semi Rev'!I20),ISNUMBER('Semi Rev'!H20)),'Semi Rev'!I20-'Semi Rev'!H20,""),"")</f>
        <v/>
      </c>
      <c r="F589" s="30">
        <f>IFERROR(IF(AND(ISNUMBER('Semi Rev'!J20),ISNUMBER('Semi Rev'!I20)),'Semi Rev'!J20-'Semi Rev'!I20,""),"")</f>
        <v/>
      </c>
      <c r="G589" s="30">
        <f>IFERROR(IF(AND(ISNUMBER('Semi Rev'!K20),ISNUMBER('Semi Rev'!J20)),'Semi Rev'!K20-'Semi Rev'!J20,""),"")</f>
        <v/>
      </c>
      <c r="H589" s="30">
        <f>IFERROR(IF(AND(ISNUMBER('Semi Rev'!L20),ISNUMBER('Semi Rev'!K20)),'Semi Rev'!L20-'Semi Rev'!K20,""),"")</f>
        <v/>
      </c>
      <c r="I589" s="30">
        <f>IFERROR(IF(AND(ISNUMBER('Semi Rev'!M20),ISNUMBER('Semi Rev'!L20)),'Semi Rev'!M20-'Semi Rev'!L20,""),"")</f>
        <v/>
      </c>
      <c r="J589" s="30">
        <f>IFERROR(IF(AND(ISNUMBER('Semi Rev'!N20),ISNUMBER('Semi Rev'!M20)),'Semi Rev'!N20-'Semi Rev'!M20,""),"")</f>
        <v/>
      </c>
      <c r="K589" s="30">
        <f>IFERROR(IF(AND(ISNUMBER('Semi Rev'!O20),ISNUMBER('Semi Rev'!N20)),'Semi Rev'!O20-'Semi Rev'!N20,""),"")</f>
        <v/>
      </c>
      <c r="L589" s="30">
        <f>IFERROR(IF(AND(ISNUMBER('Semi Rev'!P20),ISNUMBER('Semi Rev'!O20)),'Semi Rev'!P20-'Semi Rev'!O20,""),"")</f>
        <v/>
      </c>
      <c r="M589" s="31">
        <f>IFERROR(IF(AND(ISNUMBER('Semi Rev'!Q20),ISNUMBER('Semi Rev'!P20)),'Semi Rev'!Q20-'Semi Rev'!P20,""),"")</f>
        <v/>
      </c>
      <c r="N589" s="31">
        <f>IFERROR(IF(AND(ISNUMBER('Semi Rev'!R20),ISNUMBER('Semi Rev'!Q20)),'Semi Rev'!R20-'Semi Rev'!Q20,""),"")</f>
        <v/>
      </c>
    </row>
    <row r="590">
      <c r="A590" s="19">
        <f>'Semi Rev'!$A21</f>
        <v/>
      </c>
      <c r="B590" s="19">
        <f>'Semi Rev'!$B21</f>
        <v/>
      </c>
      <c r="C590" s="30">
        <f>IFERROR(IF(AND(ISNUMBER('Semi Rev'!G21),ISNUMBER('Semi Rev'!F21)),'Semi Rev'!G21-'Semi Rev'!F21,""),"")</f>
        <v/>
      </c>
      <c r="D590" s="30">
        <f>IFERROR(IF(AND(ISNUMBER('Semi Rev'!H21),ISNUMBER('Semi Rev'!G21)),'Semi Rev'!H21-'Semi Rev'!G21,""),"")</f>
        <v/>
      </c>
      <c r="E590" s="30">
        <f>IFERROR(IF(AND(ISNUMBER('Semi Rev'!I21),ISNUMBER('Semi Rev'!H21)),'Semi Rev'!I21-'Semi Rev'!H21,""),"")</f>
        <v/>
      </c>
      <c r="F590" s="30">
        <f>IFERROR(IF(AND(ISNUMBER('Semi Rev'!J21),ISNUMBER('Semi Rev'!I21)),'Semi Rev'!J21-'Semi Rev'!I21,""),"")</f>
        <v/>
      </c>
      <c r="G590" s="30">
        <f>IFERROR(IF(AND(ISNUMBER('Semi Rev'!K21),ISNUMBER('Semi Rev'!J21)),'Semi Rev'!K21-'Semi Rev'!J21,""),"")</f>
        <v/>
      </c>
      <c r="H590" s="30">
        <f>IFERROR(IF(AND(ISNUMBER('Semi Rev'!L21),ISNUMBER('Semi Rev'!K21)),'Semi Rev'!L21-'Semi Rev'!K21,""),"")</f>
        <v/>
      </c>
      <c r="I590" s="30">
        <f>IFERROR(IF(AND(ISNUMBER('Semi Rev'!M21),ISNUMBER('Semi Rev'!L21)),'Semi Rev'!M21-'Semi Rev'!L21,""),"")</f>
        <v/>
      </c>
      <c r="J590" s="30">
        <f>IFERROR(IF(AND(ISNUMBER('Semi Rev'!N21),ISNUMBER('Semi Rev'!M21)),'Semi Rev'!N21-'Semi Rev'!M21,""),"")</f>
        <v/>
      </c>
      <c r="K590" s="30">
        <f>IFERROR(IF(AND(ISNUMBER('Semi Rev'!O21),ISNUMBER('Semi Rev'!N21)),'Semi Rev'!O21-'Semi Rev'!N21,""),"")</f>
        <v/>
      </c>
      <c r="L590" s="30">
        <f>IFERROR(IF(AND(ISNUMBER('Semi Rev'!P21),ISNUMBER('Semi Rev'!O21)),'Semi Rev'!P21-'Semi Rev'!O21,""),"")</f>
        <v/>
      </c>
      <c r="M590" s="31">
        <f>IFERROR(IF(AND(ISNUMBER('Semi Rev'!Q21),ISNUMBER('Semi Rev'!P21)),'Semi Rev'!Q21-'Semi Rev'!P21,""),"")</f>
        <v/>
      </c>
      <c r="N590" s="31">
        <f>IFERROR(IF(AND(ISNUMBER('Semi Rev'!R21),ISNUMBER('Semi Rev'!Q21)),'Semi Rev'!R21-'Semi Rev'!Q21,""),"")</f>
        <v/>
      </c>
    </row>
    <row r="591">
      <c r="A591" s="19">
        <f>'Semi Rev'!$A22</f>
        <v/>
      </c>
      <c r="B591" s="19">
        <f>'Semi Rev'!$B22</f>
        <v/>
      </c>
      <c r="C591" s="30">
        <f>IFERROR(IF(AND(ISNUMBER('Semi Rev'!G22),ISNUMBER('Semi Rev'!F22)),'Semi Rev'!G22-'Semi Rev'!F22,""),"")</f>
        <v/>
      </c>
      <c r="D591" s="30">
        <f>IFERROR(IF(AND(ISNUMBER('Semi Rev'!H22),ISNUMBER('Semi Rev'!G22)),'Semi Rev'!H22-'Semi Rev'!G22,""),"")</f>
        <v/>
      </c>
      <c r="E591" s="30">
        <f>IFERROR(IF(AND(ISNUMBER('Semi Rev'!I22),ISNUMBER('Semi Rev'!H22)),'Semi Rev'!I22-'Semi Rev'!H22,""),"")</f>
        <v/>
      </c>
      <c r="F591" s="30">
        <f>IFERROR(IF(AND(ISNUMBER('Semi Rev'!J22),ISNUMBER('Semi Rev'!I22)),'Semi Rev'!J22-'Semi Rev'!I22,""),"")</f>
        <v/>
      </c>
      <c r="G591" s="30">
        <f>IFERROR(IF(AND(ISNUMBER('Semi Rev'!K22),ISNUMBER('Semi Rev'!J22)),'Semi Rev'!K22-'Semi Rev'!J22,""),"")</f>
        <v/>
      </c>
      <c r="H591" s="30">
        <f>IFERROR(IF(AND(ISNUMBER('Semi Rev'!L22),ISNUMBER('Semi Rev'!K22)),'Semi Rev'!L22-'Semi Rev'!K22,""),"")</f>
        <v/>
      </c>
      <c r="I591" s="30">
        <f>IFERROR(IF(AND(ISNUMBER('Semi Rev'!M22),ISNUMBER('Semi Rev'!L22)),'Semi Rev'!M22-'Semi Rev'!L22,""),"")</f>
        <v/>
      </c>
      <c r="J591" s="30">
        <f>IFERROR(IF(AND(ISNUMBER('Semi Rev'!N22),ISNUMBER('Semi Rev'!M22)),'Semi Rev'!N22-'Semi Rev'!M22,""),"")</f>
        <v/>
      </c>
      <c r="K591" s="30">
        <f>IFERROR(IF(AND(ISNUMBER('Semi Rev'!O22),ISNUMBER('Semi Rev'!N22)),'Semi Rev'!O22-'Semi Rev'!N22,""),"")</f>
        <v/>
      </c>
      <c r="L591" s="30">
        <f>IFERROR(IF(AND(ISNUMBER('Semi Rev'!P22),ISNUMBER('Semi Rev'!O22)),'Semi Rev'!P22-'Semi Rev'!O22,""),"")</f>
        <v/>
      </c>
      <c r="M591" s="31">
        <f>IFERROR(IF(AND(ISNUMBER('Semi Rev'!Q22),ISNUMBER('Semi Rev'!P22)),'Semi Rev'!Q22-'Semi Rev'!P22,""),"")</f>
        <v/>
      </c>
      <c r="N591" s="31">
        <f>IFERROR(IF(AND(ISNUMBER('Semi Rev'!R22),ISNUMBER('Semi Rev'!Q22)),'Semi Rev'!R22-'Semi Rev'!Q22,""),"")</f>
        <v/>
      </c>
    </row>
    <row r="592">
      <c r="A592" s="19">
        <f>'Semi Rev'!$A23</f>
        <v/>
      </c>
      <c r="B592" s="19">
        <f>'Semi Rev'!$B23</f>
        <v/>
      </c>
      <c r="C592" s="30">
        <f>IFERROR(IF(AND(ISNUMBER('Semi Rev'!G23),ISNUMBER('Semi Rev'!F23)),'Semi Rev'!G23-'Semi Rev'!F23,""),"")</f>
        <v/>
      </c>
      <c r="D592" s="30">
        <f>IFERROR(IF(AND(ISNUMBER('Semi Rev'!H23),ISNUMBER('Semi Rev'!G23)),'Semi Rev'!H23-'Semi Rev'!G23,""),"")</f>
        <v/>
      </c>
      <c r="E592" s="30">
        <f>IFERROR(IF(AND(ISNUMBER('Semi Rev'!I23),ISNUMBER('Semi Rev'!H23)),'Semi Rev'!I23-'Semi Rev'!H23,""),"")</f>
        <v/>
      </c>
      <c r="F592" s="30">
        <f>IFERROR(IF(AND(ISNUMBER('Semi Rev'!J23),ISNUMBER('Semi Rev'!I23)),'Semi Rev'!J23-'Semi Rev'!I23,""),"")</f>
        <v/>
      </c>
      <c r="G592" s="30">
        <f>IFERROR(IF(AND(ISNUMBER('Semi Rev'!K23),ISNUMBER('Semi Rev'!J23)),'Semi Rev'!K23-'Semi Rev'!J23,""),"")</f>
        <v/>
      </c>
      <c r="H592" s="30">
        <f>IFERROR(IF(AND(ISNUMBER('Semi Rev'!L23),ISNUMBER('Semi Rev'!K23)),'Semi Rev'!L23-'Semi Rev'!K23,""),"")</f>
        <v/>
      </c>
      <c r="I592" s="30">
        <f>IFERROR(IF(AND(ISNUMBER('Semi Rev'!M23),ISNUMBER('Semi Rev'!L23)),'Semi Rev'!M23-'Semi Rev'!L23,""),"")</f>
        <v/>
      </c>
      <c r="J592" s="30">
        <f>IFERROR(IF(AND(ISNUMBER('Semi Rev'!N23),ISNUMBER('Semi Rev'!M23)),'Semi Rev'!N23-'Semi Rev'!M23,""),"")</f>
        <v/>
      </c>
      <c r="K592" s="30">
        <f>IFERROR(IF(AND(ISNUMBER('Semi Rev'!O23),ISNUMBER('Semi Rev'!N23)),'Semi Rev'!O23-'Semi Rev'!N23,""),"")</f>
        <v/>
      </c>
      <c r="L592" s="30">
        <f>IFERROR(IF(AND(ISNUMBER('Semi Rev'!P23),ISNUMBER('Semi Rev'!O23)),'Semi Rev'!P23-'Semi Rev'!O23,""),"")</f>
        <v/>
      </c>
      <c r="M592" s="31">
        <f>IFERROR(IF(AND(ISNUMBER('Semi Rev'!Q23),ISNUMBER('Semi Rev'!P23)),'Semi Rev'!Q23-'Semi Rev'!P23,""),"")</f>
        <v/>
      </c>
      <c r="N592" s="31">
        <f>IFERROR(IF(AND(ISNUMBER('Semi Rev'!R23),ISNUMBER('Semi Rev'!Q23)),'Semi Rev'!R23-'Semi Rev'!Q23,""),"")</f>
        <v/>
      </c>
    </row>
    <row r="593">
      <c r="A593" s="19">
        <f>'Semi Rev'!$A24</f>
        <v/>
      </c>
      <c r="B593" s="19">
        <f>'Semi Rev'!$B24</f>
        <v/>
      </c>
      <c r="C593" s="30">
        <f>IFERROR(IF(AND(ISNUMBER('Semi Rev'!G24),ISNUMBER('Semi Rev'!F24)),'Semi Rev'!G24-'Semi Rev'!F24,""),"")</f>
        <v/>
      </c>
      <c r="D593" s="30">
        <f>IFERROR(IF(AND(ISNUMBER('Semi Rev'!H24),ISNUMBER('Semi Rev'!G24)),'Semi Rev'!H24-'Semi Rev'!G24,""),"")</f>
        <v/>
      </c>
      <c r="E593" s="30">
        <f>IFERROR(IF(AND(ISNUMBER('Semi Rev'!I24),ISNUMBER('Semi Rev'!H24)),'Semi Rev'!I24-'Semi Rev'!H24,""),"")</f>
        <v/>
      </c>
      <c r="F593" s="30">
        <f>IFERROR(IF(AND(ISNUMBER('Semi Rev'!J24),ISNUMBER('Semi Rev'!I24)),'Semi Rev'!J24-'Semi Rev'!I24,""),"")</f>
        <v/>
      </c>
      <c r="G593" s="30">
        <f>IFERROR(IF(AND(ISNUMBER('Semi Rev'!K24),ISNUMBER('Semi Rev'!J24)),'Semi Rev'!K24-'Semi Rev'!J24,""),"")</f>
        <v/>
      </c>
      <c r="H593" s="30">
        <f>IFERROR(IF(AND(ISNUMBER('Semi Rev'!L24),ISNUMBER('Semi Rev'!K24)),'Semi Rev'!L24-'Semi Rev'!K24,""),"")</f>
        <v/>
      </c>
      <c r="I593" s="30">
        <f>IFERROR(IF(AND(ISNUMBER('Semi Rev'!M24),ISNUMBER('Semi Rev'!L24)),'Semi Rev'!M24-'Semi Rev'!L24,""),"")</f>
        <v/>
      </c>
      <c r="J593" s="30">
        <f>IFERROR(IF(AND(ISNUMBER('Semi Rev'!N24),ISNUMBER('Semi Rev'!M24)),'Semi Rev'!N24-'Semi Rev'!M24,""),"")</f>
        <v/>
      </c>
      <c r="K593" s="30">
        <f>IFERROR(IF(AND(ISNUMBER('Semi Rev'!O24),ISNUMBER('Semi Rev'!N24)),'Semi Rev'!O24-'Semi Rev'!N24,""),"")</f>
        <v/>
      </c>
      <c r="L593" s="30">
        <f>IFERROR(IF(AND(ISNUMBER('Semi Rev'!P24),ISNUMBER('Semi Rev'!O24)),'Semi Rev'!P24-'Semi Rev'!O24,""),"")</f>
        <v/>
      </c>
      <c r="M593" s="31">
        <f>IFERROR(IF(AND(ISNUMBER('Semi Rev'!Q24),ISNUMBER('Semi Rev'!P24)),'Semi Rev'!Q24-'Semi Rev'!P24,""),"")</f>
        <v/>
      </c>
      <c r="N593" s="31">
        <f>IFERROR(IF(AND(ISNUMBER('Semi Rev'!R24),ISNUMBER('Semi Rev'!Q24)),'Semi Rev'!R24-'Semi Rev'!Q24,""),"")</f>
        <v/>
      </c>
    </row>
    <row r="594">
      <c r="A594" s="19">
        <f>'Semi Rev'!$A25</f>
        <v/>
      </c>
      <c r="B594" s="19">
        <f>'Semi Rev'!$B25</f>
        <v/>
      </c>
      <c r="C594" s="30">
        <f>IFERROR(IF(AND(ISNUMBER('Semi Rev'!G25),ISNUMBER('Semi Rev'!F25)),'Semi Rev'!G25-'Semi Rev'!F25,""),"")</f>
        <v/>
      </c>
      <c r="D594" s="30">
        <f>IFERROR(IF(AND(ISNUMBER('Semi Rev'!H25),ISNUMBER('Semi Rev'!G25)),'Semi Rev'!H25-'Semi Rev'!G25,""),"")</f>
        <v/>
      </c>
      <c r="E594" s="30">
        <f>IFERROR(IF(AND(ISNUMBER('Semi Rev'!I25),ISNUMBER('Semi Rev'!H25)),'Semi Rev'!I25-'Semi Rev'!H25,""),"")</f>
        <v/>
      </c>
      <c r="F594" s="30">
        <f>IFERROR(IF(AND(ISNUMBER('Semi Rev'!J25),ISNUMBER('Semi Rev'!I25)),'Semi Rev'!J25-'Semi Rev'!I25,""),"")</f>
        <v/>
      </c>
      <c r="G594" s="30">
        <f>IFERROR(IF(AND(ISNUMBER('Semi Rev'!K25),ISNUMBER('Semi Rev'!J25)),'Semi Rev'!K25-'Semi Rev'!J25,""),"")</f>
        <v/>
      </c>
      <c r="H594" s="30">
        <f>IFERROR(IF(AND(ISNUMBER('Semi Rev'!L25),ISNUMBER('Semi Rev'!K25)),'Semi Rev'!L25-'Semi Rev'!K25,""),"")</f>
        <v/>
      </c>
      <c r="I594" s="30">
        <f>IFERROR(IF(AND(ISNUMBER('Semi Rev'!M25),ISNUMBER('Semi Rev'!L25)),'Semi Rev'!M25-'Semi Rev'!L25,""),"")</f>
        <v/>
      </c>
      <c r="J594" s="30">
        <f>IFERROR(IF(AND(ISNUMBER('Semi Rev'!N25),ISNUMBER('Semi Rev'!M25)),'Semi Rev'!N25-'Semi Rev'!M25,""),"")</f>
        <v/>
      </c>
      <c r="K594" s="30">
        <f>IFERROR(IF(AND(ISNUMBER('Semi Rev'!O25),ISNUMBER('Semi Rev'!N25)),'Semi Rev'!O25-'Semi Rev'!N25,""),"")</f>
        <v/>
      </c>
      <c r="L594" s="30">
        <f>IFERROR(IF(AND(ISNUMBER('Semi Rev'!P25),ISNUMBER('Semi Rev'!O25)),'Semi Rev'!P25-'Semi Rev'!O25,""),"")</f>
        <v/>
      </c>
      <c r="M594" s="31">
        <f>IFERROR(IF(AND(ISNUMBER('Semi Rev'!Q25),ISNUMBER('Semi Rev'!P25)),'Semi Rev'!Q25-'Semi Rev'!P25,""),"")</f>
        <v/>
      </c>
      <c r="N594" s="31">
        <f>IFERROR(IF(AND(ISNUMBER('Semi Rev'!R25),ISNUMBER('Semi Rev'!Q25)),'Semi Rev'!R25-'Semi Rev'!Q25,""),"")</f>
        <v/>
      </c>
    </row>
    <row r="595">
      <c r="A595" s="19">
        <f>'Semi Rev'!$A26</f>
        <v/>
      </c>
      <c r="B595" s="19">
        <f>'Semi Rev'!$B26</f>
        <v/>
      </c>
      <c r="C595" s="30">
        <f>IFERROR(IF(AND(ISNUMBER('Semi Rev'!G26),ISNUMBER('Semi Rev'!F26)),'Semi Rev'!G26-'Semi Rev'!F26,""),"")</f>
        <v/>
      </c>
      <c r="D595" s="30">
        <f>IFERROR(IF(AND(ISNUMBER('Semi Rev'!H26),ISNUMBER('Semi Rev'!G26)),'Semi Rev'!H26-'Semi Rev'!G26,""),"")</f>
        <v/>
      </c>
      <c r="E595" s="30">
        <f>IFERROR(IF(AND(ISNUMBER('Semi Rev'!I26),ISNUMBER('Semi Rev'!H26)),'Semi Rev'!I26-'Semi Rev'!H26,""),"")</f>
        <v/>
      </c>
      <c r="F595" s="30">
        <f>IFERROR(IF(AND(ISNUMBER('Semi Rev'!J26),ISNUMBER('Semi Rev'!I26)),'Semi Rev'!J26-'Semi Rev'!I26,""),"")</f>
        <v/>
      </c>
      <c r="G595" s="30">
        <f>IFERROR(IF(AND(ISNUMBER('Semi Rev'!K26),ISNUMBER('Semi Rev'!J26)),'Semi Rev'!K26-'Semi Rev'!J26,""),"")</f>
        <v/>
      </c>
      <c r="H595" s="30">
        <f>IFERROR(IF(AND(ISNUMBER('Semi Rev'!L26),ISNUMBER('Semi Rev'!K26)),'Semi Rev'!L26-'Semi Rev'!K26,""),"")</f>
        <v/>
      </c>
      <c r="I595" s="30">
        <f>IFERROR(IF(AND(ISNUMBER('Semi Rev'!M26),ISNUMBER('Semi Rev'!L26)),'Semi Rev'!M26-'Semi Rev'!L26,""),"")</f>
        <v/>
      </c>
      <c r="J595" s="30">
        <f>IFERROR(IF(AND(ISNUMBER('Semi Rev'!N26),ISNUMBER('Semi Rev'!M26)),'Semi Rev'!N26-'Semi Rev'!M26,""),"")</f>
        <v/>
      </c>
      <c r="K595" s="30">
        <f>IFERROR(IF(AND(ISNUMBER('Semi Rev'!O26),ISNUMBER('Semi Rev'!N26)),'Semi Rev'!O26-'Semi Rev'!N26,""),"")</f>
        <v/>
      </c>
      <c r="L595" s="30">
        <f>IFERROR(IF(AND(ISNUMBER('Semi Rev'!P26),ISNUMBER('Semi Rev'!O26)),'Semi Rev'!P26-'Semi Rev'!O26,""),"")</f>
        <v/>
      </c>
      <c r="M595" s="31">
        <f>IFERROR(IF(AND(ISNUMBER('Semi Rev'!Q26),ISNUMBER('Semi Rev'!P26)),'Semi Rev'!Q26-'Semi Rev'!P26,""),"")</f>
        <v/>
      </c>
      <c r="N595" s="31">
        <f>IFERROR(IF(AND(ISNUMBER('Semi Rev'!R26),ISNUMBER('Semi Rev'!Q26)),'Semi Rev'!R26-'Semi Rev'!Q26,""),"")</f>
        <v/>
      </c>
    </row>
    <row r="596">
      <c r="A596" s="19">
        <f>'Semi Rev'!$A27</f>
        <v/>
      </c>
      <c r="B596" s="19">
        <f>'Semi Rev'!$B27</f>
        <v/>
      </c>
      <c r="C596" s="30">
        <f>IFERROR(IF(AND(ISNUMBER('Semi Rev'!G27),ISNUMBER('Semi Rev'!F27)),'Semi Rev'!G27-'Semi Rev'!F27,""),"")</f>
        <v/>
      </c>
      <c r="D596" s="30">
        <f>IFERROR(IF(AND(ISNUMBER('Semi Rev'!H27),ISNUMBER('Semi Rev'!G27)),'Semi Rev'!H27-'Semi Rev'!G27,""),"")</f>
        <v/>
      </c>
      <c r="E596" s="30">
        <f>IFERROR(IF(AND(ISNUMBER('Semi Rev'!I27),ISNUMBER('Semi Rev'!H27)),'Semi Rev'!I27-'Semi Rev'!H27,""),"")</f>
        <v/>
      </c>
      <c r="F596" s="30">
        <f>IFERROR(IF(AND(ISNUMBER('Semi Rev'!J27),ISNUMBER('Semi Rev'!I27)),'Semi Rev'!J27-'Semi Rev'!I27,""),"")</f>
        <v/>
      </c>
      <c r="G596" s="30">
        <f>IFERROR(IF(AND(ISNUMBER('Semi Rev'!K27),ISNUMBER('Semi Rev'!J27)),'Semi Rev'!K27-'Semi Rev'!J27,""),"")</f>
        <v/>
      </c>
      <c r="H596" s="30">
        <f>IFERROR(IF(AND(ISNUMBER('Semi Rev'!L27),ISNUMBER('Semi Rev'!K27)),'Semi Rev'!L27-'Semi Rev'!K27,""),"")</f>
        <v/>
      </c>
      <c r="I596" s="30">
        <f>IFERROR(IF(AND(ISNUMBER('Semi Rev'!M27),ISNUMBER('Semi Rev'!L27)),'Semi Rev'!M27-'Semi Rev'!L27,""),"")</f>
        <v/>
      </c>
      <c r="J596" s="30">
        <f>IFERROR(IF(AND(ISNUMBER('Semi Rev'!N27),ISNUMBER('Semi Rev'!M27)),'Semi Rev'!N27-'Semi Rev'!M27,""),"")</f>
        <v/>
      </c>
      <c r="K596" s="30">
        <f>IFERROR(IF(AND(ISNUMBER('Semi Rev'!O27),ISNUMBER('Semi Rev'!N27)),'Semi Rev'!O27-'Semi Rev'!N27,""),"")</f>
        <v/>
      </c>
      <c r="L596" s="30">
        <f>IFERROR(IF(AND(ISNUMBER('Semi Rev'!P27),ISNUMBER('Semi Rev'!O27)),'Semi Rev'!P27-'Semi Rev'!O27,""),"")</f>
        <v/>
      </c>
      <c r="M596" s="31">
        <f>IFERROR(IF(AND(ISNUMBER('Semi Rev'!Q27),ISNUMBER('Semi Rev'!P27)),'Semi Rev'!Q27-'Semi Rev'!P27,""),"")</f>
        <v/>
      </c>
      <c r="N596" s="31">
        <f>IFERROR(IF(AND(ISNUMBER('Semi Rev'!R27),ISNUMBER('Semi Rev'!Q27)),'Semi Rev'!R27-'Semi Rev'!Q27,""),"")</f>
        <v/>
      </c>
    </row>
    <row r="597">
      <c r="A597" s="19">
        <f>'Semi Rev'!$A28</f>
        <v/>
      </c>
      <c r="B597" s="19">
        <f>'Semi Rev'!$B28</f>
        <v/>
      </c>
      <c r="C597" s="30">
        <f>IFERROR(IF(AND(ISNUMBER('Semi Rev'!G28),ISNUMBER('Semi Rev'!F28)),'Semi Rev'!G28-'Semi Rev'!F28,""),"")</f>
        <v/>
      </c>
      <c r="D597" s="30">
        <f>IFERROR(IF(AND(ISNUMBER('Semi Rev'!H28),ISNUMBER('Semi Rev'!G28)),'Semi Rev'!H28-'Semi Rev'!G28,""),"")</f>
        <v/>
      </c>
      <c r="E597" s="30">
        <f>IFERROR(IF(AND(ISNUMBER('Semi Rev'!I28),ISNUMBER('Semi Rev'!H28)),'Semi Rev'!I28-'Semi Rev'!H28,""),"")</f>
        <v/>
      </c>
      <c r="F597" s="30">
        <f>IFERROR(IF(AND(ISNUMBER('Semi Rev'!J28),ISNUMBER('Semi Rev'!I28)),'Semi Rev'!J28-'Semi Rev'!I28,""),"")</f>
        <v/>
      </c>
      <c r="G597" s="30">
        <f>IFERROR(IF(AND(ISNUMBER('Semi Rev'!K28),ISNUMBER('Semi Rev'!J28)),'Semi Rev'!K28-'Semi Rev'!J28,""),"")</f>
        <v/>
      </c>
      <c r="H597" s="30">
        <f>IFERROR(IF(AND(ISNUMBER('Semi Rev'!L28),ISNUMBER('Semi Rev'!K28)),'Semi Rev'!L28-'Semi Rev'!K28,""),"")</f>
        <v/>
      </c>
      <c r="I597" s="30">
        <f>IFERROR(IF(AND(ISNUMBER('Semi Rev'!M28),ISNUMBER('Semi Rev'!L28)),'Semi Rev'!M28-'Semi Rev'!L28,""),"")</f>
        <v/>
      </c>
      <c r="J597" s="30">
        <f>IFERROR(IF(AND(ISNUMBER('Semi Rev'!N28),ISNUMBER('Semi Rev'!M28)),'Semi Rev'!N28-'Semi Rev'!M28,""),"")</f>
        <v/>
      </c>
      <c r="K597" s="30">
        <f>IFERROR(IF(AND(ISNUMBER('Semi Rev'!O28),ISNUMBER('Semi Rev'!N28)),'Semi Rev'!O28-'Semi Rev'!N28,""),"")</f>
        <v/>
      </c>
      <c r="L597" s="30">
        <f>IFERROR(IF(AND(ISNUMBER('Semi Rev'!P28),ISNUMBER('Semi Rev'!O28)),'Semi Rev'!P28-'Semi Rev'!O28,""),"")</f>
        <v/>
      </c>
      <c r="M597" s="31">
        <f>IFERROR(IF(AND(ISNUMBER('Semi Rev'!Q28),ISNUMBER('Semi Rev'!P28)),'Semi Rev'!Q28-'Semi Rev'!P28,""),"")</f>
        <v/>
      </c>
      <c r="N597" s="31">
        <f>IFERROR(IF(AND(ISNUMBER('Semi Rev'!R28),ISNUMBER('Semi Rev'!Q28)),'Semi Rev'!R28-'Semi Rev'!Q28,""),"")</f>
        <v/>
      </c>
    </row>
    <row r="598">
      <c r="A598" s="19">
        <f>'Semi Rev'!$A29</f>
        <v/>
      </c>
      <c r="B598" s="19">
        <f>'Semi Rev'!$B29</f>
        <v/>
      </c>
      <c r="C598" s="30">
        <f>IFERROR(IF(AND(ISNUMBER('Semi Rev'!G29),ISNUMBER('Semi Rev'!F29)),'Semi Rev'!G29-'Semi Rev'!F29,""),"")</f>
        <v/>
      </c>
      <c r="D598" s="30">
        <f>IFERROR(IF(AND(ISNUMBER('Semi Rev'!H29),ISNUMBER('Semi Rev'!G29)),'Semi Rev'!H29-'Semi Rev'!G29,""),"")</f>
        <v/>
      </c>
      <c r="E598" s="30">
        <f>IFERROR(IF(AND(ISNUMBER('Semi Rev'!I29),ISNUMBER('Semi Rev'!H29)),'Semi Rev'!I29-'Semi Rev'!H29,""),"")</f>
        <v/>
      </c>
      <c r="F598" s="30">
        <f>IFERROR(IF(AND(ISNUMBER('Semi Rev'!J29),ISNUMBER('Semi Rev'!I29)),'Semi Rev'!J29-'Semi Rev'!I29,""),"")</f>
        <v/>
      </c>
      <c r="G598" s="30">
        <f>IFERROR(IF(AND(ISNUMBER('Semi Rev'!K29),ISNUMBER('Semi Rev'!J29)),'Semi Rev'!K29-'Semi Rev'!J29,""),"")</f>
        <v/>
      </c>
      <c r="H598" s="30">
        <f>IFERROR(IF(AND(ISNUMBER('Semi Rev'!L29),ISNUMBER('Semi Rev'!K29)),'Semi Rev'!L29-'Semi Rev'!K29,""),"")</f>
        <v/>
      </c>
      <c r="I598" s="30">
        <f>IFERROR(IF(AND(ISNUMBER('Semi Rev'!M29),ISNUMBER('Semi Rev'!L29)),'Semi Rev'!M29-'Semi Rev'!L29,""),"")</f>
        <v/>
      </c>
      <c r="J598" s="30">
        <f>IFERROR(IF(AND(ISNUMBER('Semi Rev'!N29),ISNUMBER('Semi Rev'!M29)),'Semi Rev'!N29-'Semi Rev'!M29,""),"")</f>
        <v/>
      </c>
      <c r="K598" s="30">
        <f>IFERROR(IF(AND(ISNUMBER('Semi Rev'!O29),ISNUMBER('Semi Rev'!N29)),'Semi Rev'!O29-'Semi Rev'!N29,""),"")</f>
        <v/>
      </c>
      <c r="L598" s="30">
        <f>IFERROR(IF(AND(ISNUMBER('Semi Rev'!P29),ISNUMBER('Semi Rev'!O29)),'Semi Rev'!P29-'Semi Rev'!O29,""),"")</f>
        <v/>
      </c>
      <c r="M598" s="31">
        <f>IFERROR(IF(AND(ISNUMBER('Semi Rev'!Q29),ISNUMBER('Semi Rev'!P29)),'Semi Rev'!Q29-'Semi Rev'!P29,""),"")</f>
        <v/>
      </c>
      <c r="N598" s="31">
        <f>IFERROR(IF(AND(ISNUMBER('Semi Rev'!R29),ISNUMBER('Semi Rev'!Q29)),'Semi Rev'!R29-'Semi Rev'!Q29,""),"")</f>
        <v/>
      </c>
    </row>
    <row r="599">
      <c r="A599" s="19">
        <f>'Semi Rev'!$A30</f>
        <v/>
      </c>
      <c r="B599" s="19">
        <f>'Semi Rev'!$B30</f>
        <v/>
      </c>
      <c r="C599" s="30">
        <f>IFERROR(IF(AND(ISNUMBER('Semi Rev'!G30),ISNUMBER('Semi Rev'!F30)),'Semi Rev'!G30-'Semi Rev'!F30,""),"")</f>
        <v/>
      </c>
      <c r="D599" s="30">
        <f>IFERROR(IF(AND(ISNUMBER('Semi Rev'!H30),ISNUMBER('Semi Rev'!G30)),'Semi Rev'!H30-'Semi Rev'!G30,""),"")</f>
        <v/>
      </c>
      <c r="E599" s="30">
        <f>IFERROR(IF(AND(ISNUMBER('Semi Rev'!I30),ISNUMBER('Semi Rev'!H30)),'Semi Rev'!I30-'Semi Rev'!H30,""),"")</f>
        <v/>
      </c>
      <c r="F599" s="30">
        <f>IFERROR(IF(AND(ISNUMBER('Semi Rev'!J30),ISNUMBER('Semi Rev'!I30)),'Semi Rev'!J30-'Semi Rev'!I30,""),"")</f>
        <v/>
      </c>
      <c r="G599" s="30">
        <f>IFERROR(IF(AND(ISNUMBER('Semi Rev'!K30),ISNUMBER('Semi Rev'!J30)),'Semi Rev'!K30-'Semi Rev'!J30,""),"")</f>
        <v/>
      </c>
      <c r="H599" s="30">
        <f>IFERROR(IF(AND(ISNUMBER('Semi Rev'!L30),ISNUMBER('Semi Rev'!K30)),'Semi Rev'!L30-'Semi Rev'!K30,""),"")</f>
        <v/>
      </c>
      <c r="I599" s="30">
        <f>IFERROR(IF(AND(ISNUMBER('Semi Rev'!M30),ISNUMBER('Semi Rev'!L30)),'Semi Rev'!M30-'Semi Rev'!L30,""),"")</f>
        <v/>
      </c>
      <c r="J599" s="30">
        <f>IFERROR(IF(AND(ISNUMBER('Semi Rev'!N30),ISNUMBER('Semi Rev'!M30)),'Semi Rev'!N30-'Semi Rev'!M30,""),"")</f>
        <v/>
      </c>
      <c r="K599" s="30">
        <f>IFERROR(IF(AND(ISNUMBER('Semi Rev'!O30),ISNUMBER('Semi Rev'!N30)),'Semi Rev'!O30-'Semi Rev'!N30,""),"")</f>
        <v/>
      </c>
      <c r="L599" s="30">
        <f>IFERROR(IF(AND(ISNUMBER('Semi Rev'!P30),ISNUMBER('Semi Rev'!O30)),'Semi Rev'!P30-'Semi Rev'!O30,""),"")</f>
        <v/>
      </c>
      <c r="M599" s="31">
        <f>IFERROR(IF(AND(ISNUMBER('Semi Rev'!Q30),ISNUMBER('Semi Rev'!P30)),'Semi Rev'!Q30-'Semi Rev'!P30,""),"")</f>
        <v/>
      </c>
      <c r="N599" s="31">
        <f>IFERROR(IF(AND(ISNUMBER('Semi Rev'!R30),ISNUMBER('Semi Rev'!Q30)),'Semi Rev'!R30-'Semi Rev'!Q30,""),"")</f>
        <v/>
      </c>
    </row>
    <row r="600">
      <c r="A600" s="19">
        <f>'Semi Rev'!$A31</f>
        <v/>
      </c>
      <c r="B600" s="19">
        <f>'Semi Rev'!$B31</f>
        <v/>
      </c>
      <c r="C600" s="30">
        <f>IFERROR(IF(AND(ISNUMBER('Semi Rev'!G31),ISNUMBER('Semi Rev'!F31)),'Semi Rev'!G31-'Semi Rev'!F31,""),"")</f>
        <v/>
      </c>
      <c r="D600" s="30">
        <f>IFERROR(IF(AND(ISNUMBER('Semi Rev'!H31),ISNUMBER('Semi Rev'!G31)),'Semi Rev'!H31-'Semi Rev'!G31,""),"")</f>
        <v/>
      </c>
      <c r="E600" s="30">
        <f>IFERROR(IF(AND(ISNUMBER('Semi Rev'!I31),ISNUMBER('Semi Rev'!H31)),'Semi Rev'!I31-'Semi Rev'!H31,""),"")</f>
        <v/>
      </c>
      <c r="F600" s="30">
        <f>IFERROR(IF(AND(ISNUMBER('Semi Rev'!J31),ISNUMBER('Semi Rev'!I31)),'Semi Rev'!J31-'Semi Rev'!I31,""),"")</f>
        <v/>
      </c>
      <c r="G600" s="30">
        <f>IFERROR(IF(AND(ISNUMBER('Semi Rev'!K31),ISNUMBER('Semi Rev'!J31)),'Semi Rev'!K31-'Semi Rev'!J31,""),"")</f>
        <v/>
      </c>
      <c r="H600" s="30">
        <f>IFERROR(IF(AND(ISNUMBER('Semi Rev'!L31),ISNUMBER('Semi Rev'!K31)),'Semi Rev'!L31-'Semi Rev'!K31,""),"")</f>
        <v/>
      </c>
      <c r="I600" s="30">
        <f>IFERROR(IF(AND(ISNUMBER('Semi Rev'!M31),ISNUMBER('Semi Rev'!L31)),'Semi Rev'!M31-'Semi Rev'!L31,""),"")</f>
        <v/>
      </c>
      <c r="J600" s="30">
        <f>IFERROR(IF(AND(ISNUMBER('Semi Rev'!N31),ISNUMBER('Semi Rev'!M31)),'Semi Rev'!N31-'Semi Rev'!M31,""),"")</f>
        <v/>
      </c>
      <c r="K600" s="30">
        <f>IFERROR(IF(AND(ISNUMBER('Semi Rev'!O31),ISNUMBER('Semi Rev'!N31)),'Semi Rev'!O31-'Semi Rev'!N31,""),"")</f>
        <v/>
      </c>
      <c r="L600" s="30">
        <f>IFERROR(IF(AND(ISNUMBER('Semi Rev'!P31),ISNUMBER('Semi Rev'!O31)),'Semi Rev'!P31-'Semi Rev'!O31,""),"")</f>
        <v/>
      </c>
      <c r="M600" s="31">
        <f>IFERROR(IF(AND(ISNUMBER('Semi Rev'!Q31),ISNUMBER('Semi Rev'!P31)),'Semi Rev'!Q31-'Semi Rev'!P31,""),"")</f>
        <v/>
      </c>
      <c r="N600" s="31">
        <f>IFERROR(IF(AND(ISNUMBER('Semi Rev'!R31),ISNUMBER('Semi Rev'!Q31)),'Semi Rev'!R31-'Semi Rev'!Q31,""),"")</f>
        <v/>
      </c>
    </row>
    <row r="601">
      <c r="A601" s="19">
        <f>'Semi Rev'!$A32</f>
        <v/>
      </c>
      <c r="B601" s="19">
        <f>'Semi Rev'!$B32</f>
        <v/>
      </c>
      <c r="C601" s="30">
        <f>IFERROR(IF(AND(ISNUMBER('Semi Rev'!G32),ISNUMBER('Semi Rev'!F32)),'Semi Rev'!G32-'Semi Rev'!F32,""),"")</f>
        <v/>
      </c>
      <c r="D601" s="30">
        <f>IFERROR(IF(AND(ISNUMBER('Semi Rev'!H32),ISNUMBER('Semi Rev'!G32)),'Semi Rev'!H32-'Semi Rev'!G32,""),"")</f>
        <v/>
      </c>
      <c r="E601" s="30">
        <f>IFERROR(IF(AND(ISNUMBER('Semi Rev'!I32),ISNUMBER('Semi Rev'!H32)),'Semi Rev'!I32-'Semi Rev'!H32,""),"")</f>
        <v/>
      </c>
      <c r="F601" s="30">
        <f>IFERROR(IF(AND(ISNUMBER('Semi Rev'!J32),ISNUMBER('Semi Rev'!I32)),'Semi Rev'!J32-'Semi Rev'!I32,""),"")</f>
        <v/>
      </c>
      <c r="G601" s="30">
        <f>IFERROR(IF(AND(ISNUMBER('Semi Rev'!K32),ISNUMBER('Semi Rev'!J32)),'Semi Rev'!K32-'Semi Rev'!J32,""),"")</f>
        <v/>
      </c>
      <c r="H601" s="30">
        <f>IFERROR(IF(AND(ISNUMBER('Semi Rev'!L32),ISNUMBER('Semi Rev'!K32)),'Semi Rev'!L32-'Semi Rev'!K32,""),"")</f>
        <v/>
      </c>
      <c r="I601" s="30">
        <f>IFERROR(IF(AND(ISNUMBER('Semi Rev'!M32),ISNUMBER('Semi Rev'!L32)),'Semi Rev'!M32-'Semi Rev'!L32,""),"")</f>
        <v/>
      </c>
      <c r="J601" s="30">
        <f>IFERROR(IF(AND(ISNUMBER('Semi Rev'!N32),ISNUMBER('Semi Rev'!M32)),'Semi Rev'!N32-'Semi Rev'!M32,""),"")</f>
        <v/>
      </c>
      <c r="K601" s="30">
        <f>IFERROR(IF(AND(ISNUMBER('Semi Rev'!O32),ISNUMBER('Semi Rev'!N32)),'Semi Rev'!O32-'Semi Rev'!N32,""),"")</f>
        <v/>
      </c>
      <c r="L601" s="30">
        <f>IFERROR(IF(AND(ISNUMBER('Semi Rev'!P32),ISNUMBER('Semi Rev'!O32)),'Semi Rev'!P32-'Semi Rev'!O32,""),"")</f>
        <v/>
      </c>
      <c r="M601" s="31">
        <f>IFERROR(IF(AND(ISNUMBER('Semi Rev'!Q32),ISNUMBER('Semi Rev'!P32)),'Semi Rev'!Q32-'Semi Rev'!P32,""),"")</f>
        <v/>
      </c>
      <c r="N601" s="31">
        <f>IFERROR(IF(AND(ISNUMBER('Semi Rev'!R32),ISNUMBER('Semi Rev'!Q32)),'Semi Rev'!R32-'Semi Rev'!Q32,""),"")</f>
        <v/>
      </c>
    </row>
    <row r="602">
      <c r="A602" s="19">
        <f>'Semi Rev'!$A33</f>
        <v/>
      </c>
      <c r="B602" s="19">
        <f>'Semi Rev'!$B33</f>
        <v/>
      </c>
      <c r="C602" s="30">
        <f>IFERROR(IF(AND(ISNUMBER('Semi Rev'!G33),ISNUMBER('Semi Rev'!F33)),'Semi Rev'!G33-'Semi Rev'!F33,""),"")</f>
        <v/>
      </c>
      <c r="D602" s="30">
        <f>IFERROR(IF(AND(ISNUMBER('Semi Rev'!H33),ISNUMBER('Semi Rev'!G33)),'Semi Rev'!H33-'Semi Rev'!G33,""),"")</f>
        <v/>
      </c>
      <c r="E602" s="30">
        <f>IFERROR(IF(AND(ISNUMBER('Semi Rev'!I33),ISNUMBER('Semi Rev'!H33)),'Semi Rev'!I33-'Semi Rev'!H33,""),"")</f>
        <v/>
      </c>
      <c r="F602" s="30">
        <f>IFERROR(IF(AND(ISNUMBER('Semi Rev'!J33),ISNUMBER('Semi Rev'!I33)),'Semi Rev'!J33-'Semi Rev'!I33,""),"")</f>
        <v/>
      </c>
      <c r="G602" s="30">
        <f>IFERROR(IF(AND(ISNUMBER('Semi Rev'!K33),ISNUMBER('Semi Rev'!J33)),'Semi Rev'!K33-'Semi Rev'!J33,""),"")</f>
        <v/>
      </c>
      <c r="H602" s="30">
        <f>IFERROR(IF(AND(ISNUMBER('Semi Rev'!L33),ISNUMBER('Semi Rev'!K33)),'Semi Rev'!L33-'Semi Rev'!K33,""),"")</f>
        <v/>
      </c>
      <c r="I602" s="30">
        <f>IFERROR(IF(AND(ISNUMBER('Semi Rev'!M33),ISNUMBER('Semi Rev'!L33)),'Semi Rev'!M33-'Semi Rev'!L33,""),"")</f>
        <v/>
      </c>
      <c r="J602" s="30">
        <f>IFERROR(IF(AND(ISNUMBER('Semi Rev'!N33),ISNUMBER('Semi Rev'!M33)),'Semi Rev'!N33-'Semi Rev'!M33,""),"")</f>
        <v/>
      </c>
      <c r="K602" s="30">
        <f>IFERROR(IF(AND(ISNUMBER('Semi Rev'!O33),ISNUMBER('Semi Rev'!N33)),'Semi Rev'!O33-'Semi Rev'!N33,""),"")</f>
        <v/>
      </c>
      <c r="L602" s="30">
        <f>IFERROR(IF(AND(ISNUMBER('Semi Rev'!P33),ISNUMBER('Semi Rev'!O33)),'Semi Rev'!P33-'Semi Rev'!O33,""),"")</f>
        <v/>
      </c>
      <c r="M602" s="31">
        <f>IFERROR(IF(AND(ISNUMBER('Semi Rev'!Q33),ISNUMBER('Semi Rev'!P33)),'Semi Rev'!Q33-'Semi Rev'!P33,""),"")</f>
        <v/>
      </c>
      <c r="N602" s="31">
        <f>IFERROR(IF(AND(ISNUMBER('Semi Rev'!R33),ISNUMBER('Semi Rev'!Q33)),'Semi Rev'!R33-'Semi Rev'!Q33,""),"")</f>
        <v/>
      </c>
    </row>
    <row r="603">
      <c r="A603" s="19">
        <f>'Semi Rev'!$A34</f>
        <v/>
      </c>
      <c r="B603" s="19">
        <f>'Semi Rev'!$B34</f>
        <v/>
      </c>
      <c r="C603" s="30">
        <f>IFERROR(IF(AND(ISNUMBER('Semi Rev'!G34),ISNUMBER('Semi Rev'!F34)),'Semi Rev'!G34-'Semi Rev'!F34,""),"")</f>
        <v/>
      </c>
      <c r="D603" s="30">
        <f>IFERROR(IF(AND(ISNUMBER('Semi Rev'!H34),ISNUMBER('Semi Rev'!G34)),'Semi Rev'!H34-'Semi Rev'!G34,""),"")</f>
        <v/>
      </c>
      <c r="E603" s="30">
        <f>IFERROR(IF(AND(ISNUMBER('Semi Rev'!I34),ISNUMBER('Semi Rev'!H34)),'Semi Rev'!I34-'Semi Rev'!H34,""),"")</f>
        <v/>
      </c>
      <c r="F603" s="30">
        <f>IFERROR(IF(AND(ISNUMBER('Semi Rev'!J34),ISNUMBER('Semi Rev'!I34)),'Semi Rev'!J34-'Semi Rev'!I34,""),"")</f>
        <v/>
      </c>
      <c r="G603" s="30">
        <f>IFERROR(IF(AND(ISNUMBER('Semi Rev'!K34),ISNUMBER('Semi Rev'!J34)),'Semi Rev'!K34-'Semi Rev'!J34,""),"")</f>
        <v/>
      </c>
      <c r="H603" s="30">
        <f>IFERROR(IF(AND(ISNUMBER('Semi Rev'!L34),ISNUMBER('Semi Rev'!K34)),'Semi Rev'!L34-'Semi Rev'!K34,""),"")</f>
        <v/>
      </c>
      <c r="I603" s="30">
        <f>IFERROR(IF(AND(ISNUMBER('Semi Rev'!M34),ISNUMBER('Semi Rev'!L34)),'Semi Rev'!M34-'Semi Rev'!L34,""),"")</f>
        <v/>
      </c>
      <c r="J603" s="30">
        <f>IFERROR(IF(AND(ISNUMBER('Semi Rev'!N34),ISNUMBER('Semi Rev'!M34)),'Semi Rev'!N34-'Semi Rev'!M34,""),"")</f>
        <v/>
      </c>
      <c r="K603" s="30">
        <f>IFERROR(IF(AND(ISNUMBER('Semi Rev'!O34),ISNUMBER('Semi Rev'!N34)),'Semi Rev'!O34-'Semi Rev'!N34,""),"")</f>
        <v/>
      </c>
      <c r="L603" s="30">
        <f>IFERROR(IF(AND(ISNUMBER('Semi Rev'!P34),ISNUMBER('Semi Rev'!O34)),'Semi Rev'!P34-'Semi Rev'!O34,""),"")</f>
        <v/>
      </c>
      <c r="M603" s="31">
        <f>IFERROR(IF(AND(ISNUMBER('Semi Rev'!Q34),ISNUMBER('Semi Rev'!P34)),'Semi Rev'!Q34-'Semi Rev'!P34,""),"")</f>
        <v/>
      </c>
      <c r="N603" s="31">
        <f>IFERROR(IF(AND(ISNUMBER('Semi Rev'!R34),ISNUMBER('Semi Rev'!Q34)),'Semi Rev'!R34-'Semi Rev'!Q34,""),"")</f>
        <v/>
      </c>
    </row>
    <row r="604">
      <c r="A604" s="19">
        <f>'Semi Rev'!$A35</f>
        <v/>
      </c>
      <c r="B604" s="19">
        <f>'Semi Rev'!$B35</f>
        <v/>
      </c>
      <c r="C604" s="30">
        <f>IFERROR(IF(AND(ISNUMBER('Semi Rev'!G35),ISNUMBER('Semi Rev'!F35)),'Semi Rev'!G35-'Semi Rev'!F35,""),"")</f>
        <v/>
      </c>
      <c r="D604" s="30">
        <f>IFERROR(IF(AND(ISNUMBER('Semi Rev'!H35),ISNUMBER('Semi Rev'!G35)),'Semi Rev'!H35-'Semi Rev'!G35,""),"")</f>
        <v/>
      </c>
      <c r="E604" s="30">
        <f>IFERROR(IF(AND(ISNUMBER('Semi Rev'!I35),ISNUMBER('Semi Rev'!H35)),'Semi Rev'!I35-'Semi Rev'!H35,""),"")</f>
        <v/>
      </c>
      <c r="F604" s="30">
        <f>IFERROR(IF(AND(ISNUMBER('Semi Rev'!J35),ISNUMBER('Semi Rev'!I35)),'Semi Rev'!J35-'Semi Rev'!I35,""),"")</f>
        <v/>
      </c>
      <c r="G604" s="30">
        <f>IFERROR(IF(AND(ISNUMBER('Semi Rev'!K35),ISNUMBER('Semi Rev'!J35)),'Semi Rev'!K35-'Semi Rev'!J35,""),"")</f>
        <v/>
      </c>
      <c r="H604" s="30">
        <f>IFERROR(IF(AND(ISNUMBER('Semi Rev'!L35),ISNUMBER('Semi Rev'!K35)),'Semi Rev'!L35-'Semi Rev'!K35,""),"")</f>
        <v/>
      </c>
      <c r="I604" s="30">
        <f>IFERROR(IF(AND(ISNUMBER('Semi Rev'!M35),ISNUMBER('Semi Rev'!L35)),'Semi Rev'!M35-'Semi Rev'!L35,""),"")</f>
        <v/>
      </c>
      <c r="J604" s="30">
        <f>IFERROR(IF(AND(ISNUMBER('Semi Rev'!N35),ISNUMBER('Semi Rev'!M35)),'Semi Rev'!N35-'Semi Rev'!M35,""),"")</f>
        <v/>
      </c>
      <c r="K604" s="30">
        <f>IFERROR(IF(AND(ISNUMBER('Semi Rev'!O35),ISNUMBER('Semi Rev'!N35)),'Semi Rev'!O35-'Semi Rev'!N35,""),"")</f>
        <v/>
      </c>
      <c r="L604" s="30">
        <f>IFERROR(IF(AND(ISNUMBER('Semi Rev'!P35),ISNUMBER('Semi Rev'!O35)),'Semi Rev'!P35-'Semi Rev'!O35,""),"")</f>
        <v/>
      </c>
      <c r="M604" s="31">
        <f>IFERROR(IF(AND(ISNUMBER('Semi Rev'!Q35),ISNUMBER('Semi Rev'!P35)),'Semi Rev'!Q35-'Semi Rev'!P35,""),"")</f>
        <v/>
      </c>
      <c r="N604" s="31">
        <f>IFERROR(IF(AND(ISNUMBER('Semi Rev'!R35),ISNUMBER('Semi Rev'!Q35)),'Semi Rev'!R35-'Semi Rev'!Q35,""),"")</f>
        <v/>
      </c>
    </row>
    <row r="605">
      <c r="A605" s="19">
        <f>'Semi Rev'!$A36</f>
        <v/>
      </c>
      <c r="B605" s="19">
        <f>'Semi Rev'!$B36</f>
        <v/>
      </c>
      <c r="C605" s="30">
        <f>IFERROR(IF(AND(ISNUMBER('Semi Rev'!G36),ISNUMBER('Semi Rev'!F36)),'Semi Rev'!G36-'Semi Rev'!F36,""),"")</f>
        <v/>
      </c>
      <c r="D605" s="30">
        <f>IFERROR(IF(AND(ISNUMBER('Semi Rev'!H36),ISNUMBER('Semi Rev'!G36)),'Semi Rev'!H36-'Semi Rev'!G36,""),"")</f>
        <v/>
      </c>
      <c r="E605" s="30">
        <f>IFERROR(IF(AND(ISNUMBER('Semi Rev'!I36),ISNUMBER('Semi Rev'!H36)),'Semi Rev'!I36-'Semi Rev'!H36,""),"")</f>
        <v/>
      </c>
      <c r="F605" s="30">
        <f>IFERROR(IF(AND(ISNUMBER('Semi Rev'!J36),ISNUMBER('Semi Rev'!I36)),'Semi Rev'!J36-'Semi Rev'!I36,""),"")</f>
        <v/>
      </c>
      <c r="G605" s="30">
        <f>IFERROR(IF(AND(ISNUMBER('Semi Rev'!K36),ISNUMBER('Semi Rev'!J36)),'Semi Rev'!K36-'Semi Rev'!J36,""),"")</f>
        <v/>
      </c>
      <c r="H605" s="30">
        <f>IFERROR(IF(AND(ISNUMBER('Semi Rev'!L36),ISNUMBER('Semi Rev'!K36)),'Semi Rev'!L36-'Semi Rev'!K36,""),"")</f>
        <v/>
      </c>
      <c r="I605" s="30">
        <f>IFERROR(IF(AND(ISNUMBER('Semi Rev'!M36),ISNUMBER('Semi Rev'!L36)),'Semi Rev'!M36-'Semi Rev'!L36,""),"")</f>
        <v/>
      </c>
      <c r="J605" s="30">
        <f>IFERROR(IF(AND(ISNUMBER('Semi Rev'!N36),ISNUMBER('Semi Rev'!M36)),'Semi Rev'!N36-'Semi Rev'!M36,""),"")</f>
        <v/>
      </c>
      <c r="K605" s="30">
        <f>IFERROR(IF(AND(ISNUMBER('Semi Rev'!O36),ISNUMBER('Semi Rev'!N36)),'Semi Rev'!O36-'Semi Rev'!N36,""),"")</f>
        <v/>
      </c>
      <c r="L605" s="30">
        <f>IFERROR(IF(AND(ISNUMBER('Semi Rev'!P36),ISNUMBER('Semi Rev'!O36)),'Semi Rev'!P36-'Semi Rev'!O36,""),"")</f>
        <v/>
      </c>
      <c r="M605" s="31">
        <f>IFERROR(IF(AND(ISNUMBER('Semi Rev'!Q36),ISNUMBER('Semi Rev'!P36)),'Semi Rev'!Q36-'Semi Rev'!P36,""),"")</f>
        <v/>
      </c>
      <c r="N605" s="31">
        <f>IFERROR(IF(AND(ISNUMBER('Semi Rev'!R36),ISNUMBER('Semi Rev'!Q36)),'Semi Rev'!R36-'Semi Rev'!Q36,""),"")</f>
        <v/>
      </c>
    </row>
    <row r="606">
      <c r="A606" s="19">
        <f>'Semi Rev'!$A37</f>
        <v/>
      </c>
      <c r="B606" s="19">
        <f>'Semi Rev'!$B37</f>
        <v/>
      </c>
      <c r="C606" s="30">
        <f>IFERROR(IF(AND(ISNUMBER('Semi Rev'!G37),ISNUMBER('Semi Rev'!F37)),'Semi Rev'!G37-'Semi Rev'!F37,""),"")</f>
        <v/>
      </c>
      <c r="D606" s="30">
        <f>IFERROR(IF(AND(ISNUMBER('Semi Rev'!H37),ISNUMBER('Semi Rev'!G37)),'Semi Rev'!H37-'Semi Rev'!G37,""),"")</f>
        <v/>
      </c>
      <c r="E606" s="30">
        <f>IFERROR(IF(AND(ISNUMBER('Semi Rev'!I37),ISNUMBER('Semi Rev'!H37)),'Semi Rev'!I37-'Semi Rev'!H37,""),"")</f>
        <v/>
      </c>
      <c r="F606" s="30">
        <f>IFERROR(IF(AND(ISNUMBER('Semi Rev'!J37),ISNUMBER('Semi Rev'!I37)),'Semi Rev'!J37-'Semi Rev'!I37,""),"")</f>
        <v/>
      </c>
      <c r="G606" s="30">
        <f>IFERROR(IF(AND(ISNUMBER('Semi Rev'!K37),ISNUMBER('Semi Rev'!J37)),'Semi Rev'!K37-'Semi Rev'!J37,""),"")</f>
        <v/>
      </c>
      <c r="H606" s="30">
        <f>IFERROR(IF(AND(ISNUMBER('Semi Rev'!L37),ISNUMBER('Semi Rev'!K37)),'Semi Rev'!L37-'Semi Rev'!K37,""),"")</f>
        <v/>
      </c>
      <c r="I606" s="30">
        <f>IFERROR(IF(AND(ISNUMBER('Semi Rev'!M37),ISNUMBER('Semi Rev'!L37)),'Semi Rev'!M37-'Semi Rev'!L37,""),"")</f>
        <v/>
      </c>
      <c r="J606" s="30">
        <f>IFERROR(IF(AND(ISNUMBER('Semi Rev'!N37),ISNUMBER('Semi Rev'!M37)),'Semi Rev'!N37-'Semi Rev'!M37,""),"")</f>
        <v/>
      </c>
      <c r="K606" s="30">
        <f>IFERROR(IF(AND(ISNUMBER('Semi Rev'!O37),ISNUMBER('Semi Rev'!N37)),'Semi Rev'!O37-'Semi Rev'!N37,""),"")</f>
        <v/>
      </c>
      <c r="L606" s="30">
        <f>IFERROR(IF(AND(ISNUMBER('Semi Rev'!P37),ISNUMBER('Semi Rev'!O37)),'Semi Rev'!P37-'Semi Rev'!O37,""),"")</f>
        <v/>
      </c>
      <c r="M606" s="31">
        <f>IFERROR(IF(AND(ISNUMBER('Semi Rev'!Q37),ISNUMBER('Semi Rev'!P37)),'Semi Rev'!Q37-'Semi Rev'!P37,""),"")</f>
        <v/>
      </c>
      <c r="N606" s="31">
        <f>IFERROR(IF(AND(ISNUMBER('Semi Rev'!R37),ISNUMBER('Semi Rev'!Q37)),'Semi Rev'!R37-'Semi Rev'!Q37,""),"")</f>
        <v/>
      </c>
    </row>
    <row r="607">
      <c r="A607" s="19">
        <f>'Semi Rev'!$A38</f>
        <v/>
      </c>
      <c r="B607" s="19">
        <f>'Semi Rev'!$B38</f>
        <v/>
      </c>
      <c r="C607" s="30">
        <f>IFERROR(IF(AND(ISNUMBER('Semi Rev'!G38),ISNUMBER('Semi Rev'!F38)),'Semi Rev'!G38-'Semi Rev'!F38,""),"")</f>
        <v/>
      </c>
      <c r="D607" s="30">
        <f>IFERROR(IF(AND(ISNUMBER('Semi Rev'!H38),ISNUMBER('Semi Rev'!G38)),'Semi Rev'!H38-'Semi Rev'!G38,""),"")</f>
        <v/>
      </c>
      <c r="E607" s="30">
        <f>IFERROR(IF(AND(ISNUMBER('Semi Rev'!I38),ISNUMBER('Semi Rev'!H38)),'Semi Rev'!I38-'Semi Rev'!H38,""),"")</f>
        <v/>
      </c>
      <c r="F607" s="30">
        <f>IFERROR(IF(AND(ISNUMBER('Semi Rev'!J38),ISNUMBER('Semi Rev'!I38)),'Semi Rev'!J38-'Semi Rev'!I38,""),"")</f>
        <v/>
      </c>
      <c r="G607" s="30">
        <f>IFERROR(IF(AND(ISNUMBER('Semi Rev'!K38),ISNUMBER('Semi Rev'!J38)),'Semi Rev'!K38-'Semi Rev'!J38,""),"")</f>
        <v/>
      </c>
      <c r="H607" s="30">
        <f>IFERROR(IF(AND(ISNUMBER('Semi Rev'!L38),ISNUMBER('Semi Rev'!K38)),'Semi Rev'!L38-'Semi Rev'!K38,""),"")</f>
        <v/>
      </c>
      <c r="I607" s="30">
        <f>IFERROR(IF(AND(ISNUMBER('Semi Rev'!M38),ISNUMBER('Semi Rev'!L38)),'Semi Rev'!M38-'Semi Rev'!L38,""),"")</f>
        <v/>
      </c>
      <c r="J607" s="30">
        <f>IFERROR(IF(AND(ISNUMBER('Semi Rev'!N38),ISNUMBER('Semi Rev'!M38)),'Semi Rev'!N38-'Semi Rev'!M38,""),"")</f>
        <v/>
      </c>
      <c r="K607" s="30">
        <f>IFERROR(IF(AND(ISNUMBER('Semi Rev'!O38),ISNUMBER('Semi Rev'!N38)),'Semi Rev'!O38-'Semi Rev'!N38,""),"")</f>
        <v/>
      </c>
      <c r="L607" s="30">
        <f>IFERROR(IF(AND(ISNUMBER('Semi Rev'!P38),ISNUMBER('Semi Rev'!O38)),'Semi Rev'!P38-'Semi Rev'!O38,""),"")</f>
        <v/>
      </c>
      <c r="M607" s="31">
        <f>IFERROR(IF(AND(ISNUMBER('Semi Rev'!Q38),ISNUMBER('Semi Rev'!P38)),'Semi Rev'!Q38-'Semi Rev'!P38,""),"")</f>
        <v/>
      </c>
      <c r="N607" s="31">
        <f>IFERROR(IF(AND(ISNUMBER('Semi Rev'!R38),ISNUMBER('Semi Rev'!Q38)),'Semi Rev'!R38-'Semi Rev'!Q38,""),"")</f>
        <v/>
      </c>
    </row>
    <row r="608">
      <c r="A608" s="19">
        <f>'Semi Rev'!$A39</f>
        <v/>
      </c>
      <c r="B608" s="19">
        <f>'Semi Rev'!$B39</f>
        <v/>
      </c>
      <c r="C608" s="30">
        <f>IFERROR(IF(AND(ISNUMBER('Semi Rev'!G39),ISNUMBER('Semi Rev'!F39)),'Semi Rev'!G39-'Semi Rev'!F39,""),"")</f>
        <v/>
      </c>
      <c r="D608" s="30">
        <f>IFERROR(IF(AND(ISNUMBER('Semi Rev'!H39),ISNUMBER('Semi Rev'!G39)),'Semi Rev'!H39-'Semi Rev'!G39,""),"")</f>
        <v/>
      </c>
      <c r="E608" s="30">
        <f>IFERROR(IF(AND(ISNUMBER('Semi Rev'!I39),ISNUMBER('Semi Rev'!H39)),'Semi Rev'!I39-'Semi Rev'!H39,""),"")</f>
        <v/>
      </c>
      <c r="F608" s="30">
        <f>IFERROR(IF(AND(ISNUMBER('Semi Rev'!J39),ISNUMBER('Semi Rev'!I39)),'Semi Rev'!J39-'Semi Rev'!I39,""),"")</f>
        <v/>
      </c>
      <c r="G608" s="30">
        <f>IFERROR(IF(AND(ISNUMBER('Semi Rev'!K39),ISNUMBER('Semi Rev'!J39)),'Semi Rev'!K39-'Semi Rev'!J39,""),"")</f>
        <v/>
      </c>
      <c r="H608" s="30">
        <f>IFERROR(IF(AND(ISNUMBER('Semi Rev'!L39),ISNUMBER('Semi Rev'!K39)),'Semi Rev'!L39-'Semi Rev'!K39,""),"")</f>
        <v/>
      </c>
      <c r="I608" s="30">
        <f>IFERROR(IF(AND(ISNUMBER('Semi Rev'!M39),ISNUMBER('Semi Rev'!L39)),'Semi Rev'!M39-'Semi Rev'!L39,""),"")</f>
        <v/>
      </c>
      <c r="J608" s="30">
        <f>IFERROR(IF(AND(ISNUMBER('Semi Rev'!N39),ISNUMBER('Semi Rev'!M39)),'Semi Rev'!N39-'Semi Rev'!M39,""),"")</f>
        <v/>
      </c>
      <c r="K608" s="30">
        <f>IFERROR(IF(AND(ISNUMBER('Semi Rev'!O39),ISNUMBER('Semi Rev'!N39)),'Semi Rev'!O39-'Semi Rev'!N39,""),"")</f>
        <v/>
      </c>
      <c r="L608" s="30">
        <f>IFERROR(IF(AND(ISNUMBER('Semi Rev'!P39),ISNUMBER('Semi Rev'!O39)),'Semi Rev'!P39-'Semi Rev'!O39,""),"")</f>
        <v/>
      </c>
      <c r="M608" s="31">
        <f>IFERROR(IF(AND(ISNUMBER('Semi Rev'!Q39),ISNUMBER('Semi Rev'!P39)),'Semi Rev'!Q39-'Semi Rev'!P39,""),"")</f>
        <v/>
      </c>
      <c r="N608" s="31">
        <f>IFERROR(IF(AND(ISNUMBER('Semi Rev'!R39),ISNUMBER('Semi Rev'!Q39)),'Semi Rev'!R39-'Semi Rev'!Q39,""),"")</f>
        <v/>
      </c>
    </row>
    <row r="609">
      <c r="A609" s="19">
        <f>'Semi Rev'!$A40</f>
        <v/>
      </c>
      <c r="B609" s="19">
        <f>'Semi Rev'!$B40</f>
        <v/>
      </c>
      <c r="C609" s="30">
        <f>IFERROR(IF(AND(ISNUMBER('Semi Rev'!G40),ISNUMBER('Semi Rev'!F40)),'Semi Rev'!G40-'Semi Rev'!F40,""),"")</f>
        <v/>
      </c>
      <c r="D609" s="30">
        <f>IFERROR(IF(AND(ISNUMBER('Semi Rev'!H40),ISNUMBER('Semi Rev'!G40)),'Semi Rev'!H40-'Semi Rev'!G40,""),"")</f>
        <v/>
      </c>
      <c r="E609" s="30">
        <f>IFERROR(IF(AND(ISNUMBER('Semi Rev'!I40),ISNUMBER('Semi Rev'!H40)),'Semi Rev'!I40-'Semi Rev'!H40,""),"")</f>
        <v/>
      </c>
      <c r="F609" s="30">
        <f>IFERROR(IF(AND(ISNUMBER('Semi Rev'!J40),ISNUMBER('Semi Rev'!I40)),'Semi Rev'!J40-'Semi Rev'!I40,""),"")</f>
        <v/>
      </c>
      <c r="G609" s="30">
        <f>IFERROR(IF(AND(ISNUMBER('Semi Rev'!K40),ISNUMBER('Semi Rev'!J40)),'Semi Rev'!K40-'Semi Rev'!J40,""),"")</f>
        <v/>
      </c>
      <c r="H609" s="30">
        <f>IFERROR(IF(AND(ISNUMBER('Semi Rev'!L40),ISNUMBER('Semi Rev'!K40)),'Semi Rev'!L40-'Semi Rev'!K40,""),"")</f>
        <v/>
      </c>
      <c r="I609" s="30">
        <f>IFERROR(IF(AND(ISNUMBER('Semi Rev'!M40),ISNUMBER('Semi Rev'!L40)),'Semi Rev'!M40-'Semi Rev'!L40,""),"")</f>
        <v/>
      </c>
      <c r="J609" s="30">
        <f>IFERROR(IF(AND(ISNUMBER('Semi Rev'!N40),ISNUMBER('Semi Rev'!M40)),'Semi Rev'!N40-'Semi Rev'!M40,""),"")</f>
        <v/>
      </c>
      <c r="K609" s="30">
        <f>IFERROR(IF(AND(ISNUMBER('Semi Rev'!O40),ISNUMBER('Semi Rev'!N40)),'Semi Rev'!O40-'Semi Rev'!N40,""),"")</f>
        <v/>
      </c>
      <c r="L609" s="30">
        <f>IFERROR(IF(AND(ISNUMBER('Semi Rev'!P40),ISNUMBER('Semi Rev'!O40)),'Semi Rev'!P40-'Semi Rev'!O40,""),"")</f>
        <v/>
      </c>
      <c r="M609" s="31">
        <f>IFERROR(IF(AND(ISNUMBER('Semi Rev'!Q40),ISNUMBER('Semi Rev'!P40)),'Semi Rev'!Q40-'Semi Rev'!P40,""),"")</f>
        <v/>
      </c>
      <c r="N609" s="31">
        <f>IFERROR(IF(AND(ISNUMBER('Semi Rev'!R40),ISNUMBER('Semi Rev'!Q40)),'Semi Rev'!R40-'Semi Rev'!Q40,""),"")</f>
        <v/>
      </c>
    </row>
    <row r="610">
      <c r="A610" s="19">
        <f>'Semi Rev'!$A41</f>
        <v/>
      </c>
      <c r="B610" s="19">
        <f>'Semi Rev'!$B41</f>
        <v/>
      </c>
      <c r="C610" s="30">
        <f>IFERROR(IF(AND(ISNUMBER('Semi Rev'!G41),ISNUMBER('Semi Rev'!F41)),'Semi Rev'!G41-'Semi Rev'!F41,""),"")</f>
        <v/>
      </c>
      <c r="D610" s="30">
        <f>IFERROR(IF(AND(ISNUMBER('Semi Rev'!H41),ISNUMBER('Semi Rev'!G41)),'Semi Rev'!H41-'Semi Rev'!G41,""),"")</f>
        <v/>
      </c>
      <c r="E610" s="30">
        <f>IFERROR(IF(AND(ISNUMBER('Semi Rev'!I41),ISNUMBER('Semi Rev'!H41)),'Semi Rev'!I41-'Semi Rev'!H41,""),"")</f>
        <v/>
      </c>
      <c r="F610" s="30">
        <f>IFERROR(IF(AND(ISNUMBER('Semi Rev'!J41),ISNUMBER('Semi Rev'!I41)),'Semi Rev'!J41-'Semi Rev'!I41,""),"")</f>
        <v/>
      </c>
      <c r="G610" s="30">
        <f>IFERROR(IF(AND(ISNUMBER('Semi Rev'!K41),ISNUMBER('Semi Rev'!J41)),'Semi Rev'!K41-'Semi Rev'!J41,""),"")</f>
        <v/>
      </c>
      <c r="H610" s="30">
        <f>IFERROR(IF(AND(ISNUMBER('Semi Rev'!L41),ISNUMBER('Semi Rev'!K41)),'Semi Rev'!L41-'Semi Rev'!K41,""),"")</f>
        <v/>
      </c>
      <c r="I610" s="30">
        <f>IFERROR(IF(AND(ISNUMBER('Semi Rev'!M41),ISNUMBER('Semi Rev'!L41)),'Semi Rev'!M41-'Semi Rev'!L41,""),"")</f>
        <v/>
      </c>
      <c r="J610" s="30">
        <f>IFERROR(IF(AND(ISNUMBER('Semi Rev'!N41),ISNUMBER('Semi Rev'!M41)),'Semi Rev'!N41-'Semi Rev'!M41,""),"")</f>
        <v/>
      </c>
      <c r="K610" s="30">
        <f>IFERROR(IF(AND(ISNUMBER('Semi Rev'!O41),ISNUMBER('Semi Rev'!N41)),'Semi Rev'!O41-'Semi Rev'!N41,""),"")</f>
        <v/>
      </c>
      <c r="L610" s="30">
        <f>IFERROR(IF(AND(ISNUMBER('Semi Rev'!P41),ISNUMBER('Semi Rev'!O41)),'Semi Rev'!P41-'Semi Rev'!O41,""),"")</f>
        <v/>
      </c>
      <c r="M610" s="31">
        <f>IFERROR(IF(AND(ISNUMBER('Semi Rev'!Q41),ISNUMBER('Semi Rev'!P41)),'Semi Rev'!Q41-'Semi Rev'!P41,""),"")</f>
        <v/>
      </c>
      <c r="N610" s="31">
        <f>IFERROR(IF(AND(ISNUMBER('Semi Rev'!R41),ISNUMBER('Semi Rev'!Q41)),'Semi Rev'!R41-'Semi Rev'!Q41,""),"")</f>
        <v/>
      </c>
    </row>
    <row r="611">
      <c r="A611" s="19">
        <f>'Semi Rev'!$A42</f>
        <v/>
      </c>
      <c r="B611" s="19">
        <f>'Semi Rev'!$B42</f>
        <v/>
      </c>
      <c r="C611" s="30">
        <f>IFERROR(IF(AND(ISNUMBER('Semi Rev'!G42),ISNUMBER('Semi Rev'!F42)),'Semi Rev'!G42-'Semi Rev'!F42,""),"")</f>
        <v/>
      </c>
      <c r="D611" s="30">
        <f>IFERROR(IF(AND(ISNUMBER('Semi Rev'!H42),ISNUMBER('Semi Rev'!G42)),'Semi Rev'!H42-'Semi Rev'!G42,""),"")</f>
        <v/>
      </c>
      <c r="E611" s="30">
        <f>IFERROR(IF(AND(ISNUMBER('Semi Rev'!I42),ISNUMBER('Semi Rev'!H42)),'Semi Rev'!I42-'Semi Rev'!H42,""),"")</f>
        <v/>
      </c>
      <c r="F611" s="30">
        <f>IFERROR(IF(AND(ISNUMBER('Semi Rev'!J42),ISNUMBER('Semi Rev'!I42)),'Semi Rev'!J42-'Semi Rev'!I42,""),"")</f>
        <v/>
      </c>
      <c r="G611" s="30">
        <f>IFERROR(IF(AND(ISNUMBER('Semi Rev'!K42),ISNUMBER('Semi Rev'!J42)),'Semi Rev'!K42-'Semi Rev'!J42,""),"")</f>
        <v/>
      </c>
      <c r="H611" s="30">
        <f>IFERROR(IF(AND(ISNUMBER('Semi Rev'!L42),ISNUMBER('Semi Rev'!K42)),'Semi Rev'!L42-'Semi Rev'!K42,""),"")</f>
        <v/>
      </c>
      <c r="I611" s="30">
        <f>IFERROR(IF(AND(ISNUMBER('Semi Rev'!M42),ISNUMBER('Semi Rev'!L42)),'Semi Rev'!M42-'Semi Rev'!L42,""),"")</f>
        <v/>
      </c>
      <c r="J611" s="30">
        <f>IFERROR(IF(AND(ISNUMBER('Semi Rev'!N42),ISNUMBER('Semi Rev'!M42)),'Semi Rev'!N42-'Semi Rev'!M42,""),"")</f>
        <v/>
      </c>
      <c r="K611" s="30">
        <f>IFERROR(IF(AND(ISNUMBER('Semi Rev'!O42),ISNUMBER('Semi Rev'!N42)),'Semi Rev'!O42-'Semi Rev'!N42,""),"")</f>
        <v/>
      </c>
      <c r="L611" s="30">
        <f>IFERROR(IF(AND(ISNUMBER('Semi Rev'!P42),ISNUMBER('Semi Rev'!O42)),'Semi Rev'!P42-'Semi Rev'!O42,""),"")</f>
        <v/>
      </c>
      <c r="M611" s="31">
        <f>IFERROR(IF(AND(ISNUMBER('Semi Rev'!Q42),ISNUMBER('Semi Rev'!P42)),'Semi Rev'!Q42-'Semi Rev'!P42,""),"")</f>
        <v/>
      </c>
      <c r="N611" s="31">
        <f>IFERROR(IF(AND(ISNUMBER('Semi Rev'!R42),ISNUMBER('Semi Rev'!Q42)),'Semi Rev'!R42-'Semi Rev'!Q42,""),"")</f>
        <v/>
      </c>
    </row>
    <row r="612">
      <c r="A612" s="19">
        <f>'Semi Rev'!$A43</f>
        <v/>
      </c>
      <c r="B612" s="19">
        <f>'Semi Rev'!$B43</f>
        <v/>
      </c>
      <c r="C612" s="30">
        <f>IFERROR(IF(AND(ISNUMBER('Semi Rev'!G43),ISNUMBER('Semi Rev'!F43)),'Semi Rev'!G43-'Semi Rev'!F43,""),"")</f>
        <v/>
      </c>
      <c r="D612" s="30">
        <f>IFERROR(IF(AND(ISNUMBER('Semi Rev'!H43),ISNUMBER('Semi Rev'!G43)),'Semi Rev'!H43-'Semi Rev'!G43,""),"")</f>
        <v/>
      </c>
      <c r="E612" s="30">
        <f>IFERROR(IF(AND(ISNUMBER('Semi Rev'!I43),ISNUMBER('Semi Rev'!H43)),'Semi Rev'!I43-'Semi Rev'!H43,""),"")</f>
        <v/>
      </c>
      <c r="F612" s="30">
        <f>IFERROR(IF(AND(ISNUMBER('Semi Rev'!J43),ISNUMBER('Semi Rev'!I43)),'Semi Rev'!J43-'Semi Rev'!I43,""),"")</f>
        <v/>
      </c>
      <c r="G612" s="30">
        <f>IFERROR(IF(AND(ISNUMBER('Semi Rev'!K43),ISNUMBER('Semi Rev'!J43)),'Semi Rev'!K43-'Semi Rev'!J43,""),"")</f>
        <v/>
      </c>
      <c r="H612" s="30">
        <f>IFERROR(IF(AND(ISNUMBER('Semi Rev'!L43),ISNUMBER('Semi Rev'!K43)),'Semi Rev'!L43-'Semi Rev'!K43,""),"")</f>
        <v/>
      </c>
      <c r="I612" s="30">
        <f>IFERROR(IF(AND(ISNUMBER('Semi Rev'!M43),ISNUMBER('Semi Rev'!L43)),'Semi Rev'!M43-'Semi Rev'!L43,""),"")</f>
        <v/>
      </c>
      <c r="J612" s="30">
        <f>IFERROR(IF(AND(ISNUMBER('Semi Rev'!N43),ISNUMBER('Semi Rev'!M43)),'Semi Rev'!N43-'Semi Rev'!M43,""),"")</f>
        <v/>
      </c>
      <c r="K612" s="30">
        <f>IFERROR(IF(AND(ISNUMBER('Semi Rev'!O43),ISNUMBER('Semi Rev'!N43)),'Semi Rev'!O43-'Semi Rev'!N43,""),"")</f>
        <v/>
      </c>
      <c r="L612" s="30">
        <f>IFERROR(IF(AND(ISNUMBER('Semi Rev'!P43),ISNUMBER('Semi Rev'!O43)),'Semi Rev'!P43-'Semi Rev'!O43,""),"")</f>
        <v/>
      </c>
      <c r="M612" s="31">
        <f>IFERROR(IF(AND(ISNUMBER('Semi Rev'!Q43),ISNUMBER('Semi Rev'!P43)),'Semi Rev'!Q43-'Semi Rev'!P43,""),"")</f>
        <v/>
      </c>
      <c r="N612" s="31">
        <f>IFERROR(IF(AND(ISNUMBER('Semi Rev'!R43),ISNUMBER('Semi Rev'!Q43)),'Semi Rev'!R43-'Semi Rev'!Q43,""),"")</f>
        <v/>
      </c>
    </row>
    <row r="613">
      <c r="A613" s="19">
        <f>'Semi Rev'!$A44</f>
        <v/>
      </c>
      <c r="B613" s="19">
        <f>'Semi Rev'!$B44</f>
        <v/>
      </c>
      <c r="C613" s="30">
        <f>IFERROR(IF(AND(ISNUMBER('Semi Rev'!G44),ISNUMBER('Semi Rev'!F44)),'Semi Rev'!G44-'Semi Rev'!F44,""),"")</f>
        <v/>
      </c>
      <c r="D613" s="30">
        <f>IFERROR(IF(AND(ISNUMBER('Semi Rev'!H44),ISNUMBER('Semi Rev'!G44)),'Semi Rev'!H44-'Semi Rev'!G44,""),"")</f>
        <v/>
      </c>
      <c r="E613" s="30">
        <f>IFERROR(IF(AND(ISNUMBER('Semi Rev'!I44),ISNUMBER('Semi Rev'!H44)),'Semi Rev'!I44-'Semi Rev'!H44,""),"")</f>
        <v/>
      </c>
      <c r="F613" s="30">
        <f>IFERROR(IF(AND(ISNUMBER('Semi Rev'!J44),ISNUMBER('Semi Rev'!I44)),'Semi Rev'!J44-'Semi Rev'!I44,""),"")</f>
        <v/>
      </c>
      <c r="G613" s="30">
        <f>IFERROR(IF(AND(ISNUMBER('Semi Rev'!K44),ISNUMBER('Semi Rev'!J44)),'Semi Rev'!K44-'Semi Rev'!J44,""),"")</f>
        <v/>
      </c>
      <c r="H613" s="30">
        <f>IFERROR(IF(AND(ISNUMBER('Semi Rev'!L44),ISNUMBER('Semi Rev'!K44)),'Semi Rev'!L44-'Semi Rev'!K44,""),"")</f>
        <v/>
      </c>
      <c r="I613" s="30">
        <f>IFERROR(IF(AND(ISNUMBER('Semi Rev'!M44),ISNUMBER('Semi Rev'!L44)),'Semi Rev'!M44-'Semi Rev'!L44,""),"")</f>
        <v/>
      </c>
      <c r="J613" s="30">
        <f>IFERROR(IF(AND(ISNUMBER('Semi Rev'!N44),ISNUMBER('Semi Rev'!M44)),'Semi Rev'!N44-'Semi Rev'!M44,""),"")</f>
        <v/>
      </c>
      <c r="K613" s="30">
        <f>IFERROR(IF(AND(ISNUMBER('Semi Rev'!O44),ISNUMBER('Semi Rev'!N44)),'Semi Rev'!O44-'Semi Rev'!N44,""),"")</f>
        <v/>
      </c>
      <c r="L613" s="30">
        <f>IFERROR(IF(AND(ISNUMBER('Semi Rev'!P44),ISNUMBER('Semi Rev'!O44)),'Semi Rev'!P44-'Semi Rev'!O44,""),"")</f>
        <v/>
      </c>
      <c r="M613" s="31">
        <f>IFERROR(IF(AND(ISNUMBER('Semi Rev'!Q44),ISNUMBER('Semi Rev'!P44)),'Semi Rev'!Q44-'Semi Rev'!P44,""),"")</f>
        <v/>
      </c>
      <c r="N613" s="31">
        <f>IFERROR(IF(AND(ISNUMBER('Semi Rev'!R44),ISNUMBER('Semi Rev'!Q44)),'Semi Rev'!R44-'Semi Rev'!Q44,""),"")</f>
        <v/>
      </c>
    </row>
    <row r="614">
      <c r="A614" s="19">
        <f>'Semi Rev'!$A45</f>
        <v/>
      </c>
      <c r="B614" s="19">
        <f>'Semi Rev'!$B45</f>
        <v/>
      </c>
      <c r="C614" s="30">
        <f>IFERROR(IF(AND(ISNUMBER('Semi Rev'!G45),ISNUMBER('Semi Rev'!F45)),'Semi Rev'!G45-'Semi Rev'!F45,""),"")</f>
        <v/>
      </c>
      <c r="D614" s="30">
        <f>IFERROR(IF(AND(ISNUMBER('Semi Rev'!H45),ISNUMBER('Semi Rev'!G45)),'Semi Rev'!H45-'Semi Rev'!G45,""),"")</f>
        <v/>
      </c>
      <c r="E614" s="30">
        <f>IFERROR(IF(AND(ISNUMBER('Semi Rev'!I45),ISNUMBER('Semi Rev'!H45)),'Semi Rev'!I45-'Semi Rev'!H45,""),"")</f>
        <v/>
      </c>
      <c r="F614" s="30">
        <f>IFERROR(IF(AND(ISNUMBER('Semi Rev'!J45),ISNUMBER('Semi Rev'!I45)),'Semi Rev'!J45-'Semi Rev'!I45,""),"")</f>
        <v/>
      </c>
      <c r="G614" s="30">
        <f>IFERROR(IF(AND(ISNUMBER('Semi Rev'!K45),ISNUMBER('Semi Rev'!J45)),'Semi Rev'!K45-'Semi Rev'!J45,""),"")</f>
        <v/>
      </c>
      <c r="H614" s="30">
        <f>IFERROR(IF(AND(ISNUMBER('Semi Rev'!L45),ISNUMBER('Semi Rev'!K45)),'Semi Rev'!L45-'Semi Rev'!K45,""),"")</f>
        <v/>
      </c>
      <c r="I614" s="30">
        <f>IFERROR(IF(AND(ISNUMBER('Semi Rev'!M45),ISNUMBER('Semi Rev'!L45)),'Semi Rev'!M45-'Semi Rev'!L45,""),"")</f>
        <v/>
      </c>
      <c r="J614" s="30">
        <f>IFERROR(IF(AND(ISNUMBER('Semi Rev'!N45),ISNUMBER('Semi Rev'!M45)),'Semi Rev'!N45-'Semi Rev'!M45,""),"")</f>
        <v/>
      </c>
      <c r="K614" s="30">
        <f>IFERROR(IF(AND(ISNUMBER('Semi Rev'!O45),ISNUMBER('Semi Rev'!N45)),'Semi Rev'!O45-'Semi Rev'!N45,""),"")</f>
        <v/>
      </c>
      <c r="L614" s="30">
        <f>IFERROR(IF(AND(ISNUMBER('Semi Rev'!P45),ISNUMBER('Semi Rev'!O45)),'Semi Rev'!P45-'Semi Rev'!O45,""),"")</f>
        <v/>
      </c>
      <c r="M614" s="31">
        <f>IFERROR(IF(AND(ISNUMBER('Semi Rev'!Q45),ISNUMBER('Semi Rev'!P45)),'Semi Rev'!Q45-'Semi Rev'!P45,""),"")</f>
        <v/>
      </c>
      <c r="N614" s="31">
        <f>IFERROR(IF(AND(ISNUMBER('Semi Rev'!R45),ISNUMBER('Semi Rev'!Q45)),'Semi Rev'!R45-'Semi Rev'!Q45,""),"")</f>
        <v/>
      </c>
    </row>
    <row r="615">
      <c r="A615" s="19">
        <f>'Semi Rev'!$A46</f>
        <v/>
      </c>
      <c r="B615" s="19">
        <f>'Semi Rev'!$B46</f>
        <v/>
      </c>
      <c r="C615" s="30">
        <f>IFERROR(IF(AND(ISNUMBER('Semi Rev'!G46),ISNUMBER('Semi Rev'!F46)),'Semi Rev'!G46-'Semi Rev'!F46,""),"")</f>
        <v/>
      </c>
      <c r="D615" s="30">
        <f>IFERROR(IF(AND(ISNUMBER('Semi Rev'!H46),ISNUMBER('Semi Rev'!G46)),'Semi Rev'!H46-'Semi Rev'!G46,""),"")</f>
        <v/>
      </c>
      <c r="E615" s="30">
        <f>IFERROR(IF(AND(ISNUMBER('Semi Rev'!I46),ISNUMBER('Semi Rev'!H46)),'Semi Rev'!I46-'Semi Rev'!H46,""),"")</f>
        <v/>
      </c>
      <c r="F615" s="30">
        <f>IFERROR(IF(AND(ISNUMBER('Semi Rev'!J46),ISNUMBER('Semi Rev'!I46)),'Semi Rev'!J46-'Semi Rev'!I46,""),"")</f>
        <v/>
      </c>
      <c r="G615" s="30">
        <f>IFERROR(IF(AND(ISNUMBER('Semi Rev'!K46),ISNUMBER('Semi Rev'!J46)),'Semi Rev'!K46-'Semi Rev'!J46,""),"")</f>
        <v/>
      </c>
      <c r="H615" s="30">
        <f>IFERROR(IF(AND(ISNUMBER('Semi Rev'!L46),ISNUMBER('Semi Rev'!K46)),'Semi Rev'!L46-'Semi Rev'!K46,""),"")</f>
        <v/>
      </c>
      <c r="I615" s="30">
        <f>IFERROR(IF(AND(ISNUMBER('Semi Rev'!M46),ISNUMBER('Semi Rev'!L46)),'Semi Rev'!M46-'Semi Rev'!L46,""),"")</f>
        <v/>
      </c>
      <c r="J615" s="30">
        <f>IFERROR(IF(AND(ISNUMBER('Semi Rev'!N46),ISNUMBER('Semi Rev'!M46)),'Semi Rev'!N46-'Semi Rev'!M46,""),"")</f>
        <v/>
      </c>
      <c r="K615" s="30">
        <f>IFERROR(IF(AND(ISNUMBER('Semi Rev'!O46),ISNUMBER('Semi Rev'!N46)),'Semi Rev'!O46-'Semi Rev'!N46,""),"")</f>
        <v/>
      </c>
      <c r="L615" s="30">
        <f>IFERROR(IF(AND(ISNUMBER('Semi Rev'!P46),ISNUMBER('Semi Rev'!O46)),'Semi Rev'!P46-'Semi Rev'!O46,""),"")</f>
        <v/>
      </c>
      <c r="M615" s="31">
        <f>IFERROR(IF(AND(ISNUMBER('Semi Rev'!Q46),ISNUMBER('Semi Rev'!P46)),'Semi Rev'!Q46-'Semi Rev'!P46,""),"")</f>
        <v/>
      </c>
      <c r="N615" s="31">
        <f>IFERROR(IF(AND(ISNUMBER('Semi Rev'!R46),ISNUMBER('Semi Rev'!Q46)),'Semi Rev'!R46-'Semi Rev'!Q46,""),"")</f>
        <v/>
      </c>
    </row>
    <row r="616">
      <c r="A616" s="19">
        <f>'Semi Rev'!$A47</f>
        <v/>
      </c>
      <c r="B616" s="19">
        <f>'Semi Rev'!$B47</f>
        <v/>
      </c>
      <c r="C616" s="30">
        <f>IFERROR(IF(AND(ISNUMBER('Semi Rev'!G47),ISNUMBER('Semi Rev'!F47)),'Semi Rev'!G47-'Semi Rev'!F47,""),"")</f>
        <v/>
      </c>
      <c r="D616" s="30">
        <f>IFERROR(IF(AND(ISNUMBER('Semi Rev'!H47),ISNUMBER('Semi Rev'!G47)),'Semi Rev'!H47-'Semi Rev'!G47,""),"")</f>
        <v/>
      </c>
      <c r="E616" s="30">
        <f>IFERROR(IF(AND(ISNUMBER('Semi Rev'!I47),ISNUMBER('Semi Rev'!H47)),'Semi Rev'!I47-'Semi Rev'!H47,""),"")</f>
        <v/>
      </c>
      <c r="F616" s="30">
        <f>IFERROR(IF(AND(ISNUMBER('Semi Rev'!J47),ISNUMBER('Semi Rev'!I47)),'Semi Rev'!J47-'Semi Rev'!I47,""),"")</f>
        <v/>
      </c>
      <c r="G616" s="30">
        <f>IFERROR(IF(AND(ISNUMBER('Semi Rev'!K47),ISNUMBER('Semi Rev'!J47)),'Semi Rev'!K47-'Semi Rev'!J47,""),"")</f>
        <v/>
      </c>
      <c r="H616" s="30">
        <f>IFERROR(IF(AND(ISNUMBER('Semi Rev'!L47),ISNUMBER('Semi Rev'!K47)),'Semi Rev'!L47-'Semi Rev'!K47,""),"")</f>
        <v/>
      </c>
      <c r="I616" s="30">
        <f>IFERROR(IF(AND(ISNUMBER('Semi Rev'!M47),ISNUMBER('Semi Rev'!L47)),'Semi Rev'!M47-'Semi Rev'!L47,""),"")</f>
        <v/>
      </c>
      <c r="J616" s="30">
        <f>IFERROR(IF(AND(ISNUMBER('Semi Rev'!N47),ISNUMBER('Semi Rev'!M47)),'Semi Rev'!N47-'Semi Rev'!M47,""),"")</f>
        <v/>
      </c>
      <c r="K616" s="30">
        <f>IFERROR(IF(AND(ISNUMBER('Semi Rev'!O47),ISNUMBER('Semi Rev'!N47)),'Semi Rev'!O47-'Semi Rev'!N47,""),"")</f>
        <v/>
      </c>
      <c r="L616" s="30">
        <f>IFERROR(IF(AND(ISNUMBER('Semi Rev'!P47),ISNUMBER('Semi Rev'!O47)),'Semi Rev'!P47-'Semi Rev'!O47,""),"")</f>
        <v/>
      </c>
      <c r="M616" s="31">
        <f>IFERROR(IF(AND(ISNUMBER('Semi Rev'!Q47),ISNUMBER('Semi Rev'!P47)),'Semi Rev'!Q47-'Semi Rev'!P47,""),"")</f>
        <v/>
      </c>
      <c r="N616" s="31">
        <f>IFERROR(IF(AND(ISNUMBER('Semi Rev'!R47),ISNUMBER('Semi Rev'!Q47)),'Semi Rev'!R47-'Semi Rev'!Q47,""),"")</f>
        <v/>
      </c>
    </row>
    <row r="617">
      <c r="A617" s="19">
        <f>'Semi Rev'!$A48</f>
        <v/>
      </c>
      <c r="B617" s="19">
        <f>'Semi Rev'!$B48</f>
        <v/>
      </c>
      <c r="C617" s="30">
        <f>IFERROR(IF(AND(ISNUMBER('Semi Rev'!G48),ISNUMBER('Semi Rev'!F48)),'Semi Rev'!G48-'Semi Rev'!F48,""),"")</f>
        <v/>
      </c>
      <c r="D617" s="30">
        <f>IFERROR(IF(AND(ISNUMBER('Semi Rev'!H48),ISNUMBER('Semi Rev'!G48)),'Semi Rev'!H48-'Semi Rev'!G48,""),"")</f>
        <v/>
      </c>
      <c r="E617" s="30">
        <f>IFERROR(IF(AND(ISNUMBER('Semi Rev'!I48),ISNUMBER('Semi Rev'!H48)),'Semi Rev'!I48-'Semi Rev'!H48,""),"")</f>
        <v/>
      </c>
      <c r="F617" s="30">
        <f>IFERROR(IF(AND(ISNUMBER('Semi Rev'!J48),ISNUMBER('Semi Rev'!I48)),'Semi Rev'!J48-'Semi Rev'!I48,""),"")</f>
        <v/>
      </c>
      <c r="G617" s="30">
        <f>IFERROR(IF(AND(ISNUMBER('Semi Rev'!K48),ISNUMBER('Semi Rev'!J48)),'Semi Rev'!K48-'Semi Rev'!J48,""),"")</f>
        <v/>
      </c>
      <c r="H617" s="30">
        <f>IFERROR(IF(AND(ISNUMBER('Semi Rev'!L48),ISNUMBER('Semi Rev'!K48)),'Semi Rev'!L48-'Semi Rev'!K48,""),"")</f>
        <v/>
      </c>
      <c r="I617" s="30">
        <f>IFERROR(IF(AND(ISNUMBER('Semi Rev'!M48),ISNUMBER('Semi Rev'!L48)),'Semi Rev'!M48-'Semi Rev'!L48,""),"")</f>
        <v/>
      </c>
      <c r="J617" s="30">
        <f>IFERROR(IF(AND(ISNUMBER('Semi Rev'!N48),ISNUMBER('Semi Rev'!M48)),'Semi Rev'!N48-'Semi Rev'!M48,""),"")</f>
        <v/>
      </c>
      <c r="K617" s="30">
        <f>IFERROR(IF(AND(ISNUMBER('Semi Rev'!O48),ISNUMBER('Semi Rev'!N48)),'Semi Rev'!O48-'Semi Rev'!N48,""),"")</f>
        <v/>
      </c>
      <c r="L617" s="30">
        <f>IFERROR(IF(AND(ISNUMBER('Semi Rev'!P48),ISNUMBER('Semi Rev'!O48)),'Semi Rev'!P48-'Semi Rev'!O48,""),"")</f>
        <v/>
      </c>
      <c r="M617" s="31">
        <f>IFERROR(IF(AND(ISNUMBER('Semi Rev'!Q48),ISNUMBER('Semi Rev'!P48)),'Semi Rev'!Q48-'Semi Rev'!P48,""),"")</f>
        <v/>
      </c>
      <c r="N617" s="31">
        <f>IFERROR(IF(AND(ISNUMBER('Semi Rev'!R48),ISNUMBER('Semi Rev'!Q48)),'Semi Rev'!R48-'Semi Rev'!Q48,""),"")</f>
        <v/>
      </c>
    </row>
    <row r="618">
      <c r="A618" s="19">
        <f>'Semi Rev'!$A49</f>
        <v/>
      </c>
      <c r="B618" s="19">
        <f>'Semi Rev'!$B49</f>
        <v/>
      </c>
      <c r="C618" s="30">
        <f>IFERROR(IF(AND(ISNUMBER('Semi Rev'!G49),ISNUMBER('Semi Rev'!F49)),'Semi Rev'!G49-'Semi Rev'!F49,""),"")</f>
        <v/>
      </c>
      <c r="D618" s="30">
        <f>IFERROR(IF(AND(ISNUMBER('Semi Rev'!H49),ISNUMBER('Semi Rev'!G49)),'Semi Rev'!H49-'Semi Rev'!G49,""),"")</f>
        <v/>
      </c>
      <c r="E618" s="30">
        <f>IFERROR(IF(AND(ISNUMBER('Semi Rev'!I49),ISNUMBER('Semi Rev'!H49)),'Semi Rev'!I49-'Semi Rev'!H49,""),"")</f>
        <v/>
      </c>
      <c r="F618" s="30">
        <f>IFERROR(IF(AND(ISNUMBER('Semi Rev'!J49),ISNUMBER('Semi Rev'!I49)),'Semi Rev'!J49-'Semi Rev'!I49,""),"")</f>
        <v/>
      </c>
      <c r="G618" s="30">
        <f>IFERROR(IF(AND(ISNUMBER('Semi Rev'!K49),ISNUMBER('Semi Rev'!J49)),'Semi Rev'!K49-'Semi Rev'!J49,""),"")</f>
        <v/>
      </c>
      <c r="H618" s="30">
        <f>IFERROR(IF(AND(ISNUMBER('Semi Rev'!L49),ISNUMBER('Semi Rev'!K49)),'Semi Rev'!L49-'Semi Rev'!K49,""),"")</f>
        <v/>
      </c>
      <c r="I618" s="30">
        <f>IFERROR(IF(AND(ISNUMBER('Semi Rev'!M49),ISNUMBER('Semi Rev'!L49)),'Semi Rev'!M49-'Semi Rev'!L49,""),"")</f>
        <v/>
      </c>
      <c r="J618" s="30">
        <f>IFERROR(IF(AND(ISNUMBER('Semi Rev'!N49),ISNUMBER('Semi Rev'!M49)),'Semi Rev'!N49-'Semi Rev'!M49,""),"")</f>
        <v/>
      </c>
      <c r="K618" s="30">
        <f>IFERROR(IF(AND(ISNUMBER('Semi Rev'!O49),ISNUMBER('Semi Rev'!N49)),'Semi Rev'!O49-'Semi Rev'!N49,""),"")</f>
        <v/>
      </c>
      <c r="L618" s="30">
        <f>IFERROR(IF(AND(ISNUMBER('Semi Rev'!P49),ISNUMBER('Semi Rev'!O49)),'Semi Rev'!P49-'Semi Rev'!O49,""),"")</f>
        <v/>
      </c>
      <c r="M618" s="31">
        <f>IFERROR(IF(AND(ISNUMBER('Semi Rev'!Q49),ISNUMBER('Semi Rev'!P49)),'Semi Rev'!Q49-'Semi Rev'!P49,""),"")</f>
        <v/>
      </c>
      <c r="N618" s="31">
        <f>IFERROR(IF(AND(ISNUMBER('Semi Rev'!R49),ISNUMBER('Semi Rev'!Q49)),'Semi Rev'!R49-'Semi Rev'!Q49,""),"")</f>
        <v/>
      </c>
    </row>
    <row r="619">
      <c r="A619" s="19">
        <f>'Semi Rev'!$A50</f>
        <v/>
      </c>
      <c r="B619" s="19">
        <f>'Semi Rev'!$B50</f>
        <v/>
      </c>
      <c r="C619" s="30">
        <f>IFERROR(IF(AND(ISNUMBER('Semi Rev'!G50),ISNUMBER('Semi Rev'!F50)),'Semi Rev'!G50-'Semi Rev'!F50,""),"")</f>
        <v/>
      </c>
      <c r="D619" s="30">
        <f>IFERROR(IF(AND(ISNUMBER('Semi Rev'!H50),ISNUMBER('Semi Rev'!G50)),'Semi Rev'!H50-'Semi Rev'!G50,""),"")</f>
        <v/>
      </c>
      <c r="E619" s="30">
        <f>IFERROR(IF(AND(ISNUMBER('Semi Rev'!I50),ISNUMBER('Semi Rev'!H50)),'Semi Rev'!I50-'Semi Rev'!H50,""),"")</f>
        <v/>
      </c>
      <c r="F619" s="30">
        <f>IFERROR(IF(AND(ISNUMBER('Semi Rev'!J50),ISNUMBER('Semi Rev'!I50)),'Semi Rev'!J50-'Semi Rev'!I50,""),"")</f>
        <v/>
      </c>
      <c r="G619" s="30">
        <f>IFERROR(IF(AND(ISNUMBER('Semi Rev'!K50),ISNUMBER('Semi Rev'!J50)),'Semi Rev'!K50-'Semi Rev'!J50,""),"")</f>
        <v/>
      </c>
      <c r="H619" s="30">
        <f>IFERROR(IF(AND(ISNUMBER('Semi Rev'!L50),ISNUMBER('Semi Rev'!K50)),'Semi Rev'!L50-'Semi Rev'!K50,""),"")</f>
        <v/>
      </c>
      <c r="I619" s="30">
        <f>IFERROR(IF(AND(ISNUMBER('Semi Rev'!M50),ISNUMBER('Semi Rev'!L50)),'Semi Rev'!M50-'Semi Rev'!L50,""),"")</f>
        <v/>
      </c>
      <c r="J619" s="30">
        <f>IFERROR(IF(AND(ISNUMBER('Semi Rev'!N50),ISNUMBER('Semi Rev'!M50)),'Semi Rev'!N50-'Semi Rev'!M50,""),"")</f>
        <v/>
      </c>
      <c r="K619" s="30">
        <f>IFERROR(IF(AND(ISNUMBER('Semi Rev'!O50),ISNUMBER('Semi Rev'!N50)),'Semi Rev'!O50-'Semi Rev'!N50,""),"")</f>
        <v/>
      </c>
      <c r="L619" s="30">
        <f>IFERROR(IF(AND(ISNUMBER('Semi Rev'!P50),ISNUMBER('Semi Rev'!O50)),'Semi Rev'!P50-'Semi Rev'!O50,""),"")</f>
        <v/>
      </c>
      <c r="M619" s="31">
        <f>IFERROR(IF(AND(ISNUMBER('Semi Rev'!Q50),ISNUMBER('Semi Rev'!P50)),'Semi Rev'!Q50-'Semi Rev'!P50,""),"")</f>
        <v/>
      </c>
      <c r="N619" s="31">
        <f>IFERROR(IF(AND(ISNUMBER('Semi Rev'!R50),ISNUMBER('Semi Rev'!Q50)),'Semi Rev'!R50-'Semi Rev'!Q50,""),"")</f>
        <v/>
      </c>
    </row>
    <row r="620">
      <c r="A620" s="19">
        <f>'Semi Rev'!$A51</f>
        <v/>
      </c>
      <c r="B620" s="19">
        <f>'Semi Rev'!$B51</f>
        <v/>
      </c>
      <c r="C620" s="30">
        <f>IFERROR(IF(AND(ISNUMBER('Semi Rev'!G51),ISNUMBER('Semi Rev'!F51)),'Semi Rev'!G51-'Semi Rev'!F51,""),"")</f>
        <v/>
      </c>
      <c r="D620" s="30">
        <f>IFERROR(IF(AND(ISNUMBER('Semi Rev'!H51),ISNUMBER('Semi Rev'!G51)),'Semi Rev'!H51-'Semi Rev'!G51,""),"")</f>
        <v/>
      </c>
      <c r="E620" s="30">
        <f>IFERROR(IF(AND(ISNUMBER('Semi Rev'!I51),ISNUMBER('Semi Rev'!H51)),'Semi Rev'!I51-'Semi Rev'!H51,""),"")</f>
        <v/>
      </c>
      <c r="F620" s="30">
        <f>IFERROR(IF(AND(ISNUMBER('Semi Rev'!J51),ISNUMBER('Semi Rev'!I51)),'Semi Rev'!J51-'Semi Rev'!I51,""),"")</f>
        <v/>
      </c>
      <c r="G620" s="30">
        <f>IFERROR(IF(AND(ISNUMBER('Semi Rev'!K51),ISNUMBER('Semi Rev'!J51)),'Semi Rev'!K51-'Semi Rev'!J51,""),"")</f>
        <v/>
      </c>
      <c r="H620" s="30">
        <f>IFERROR(IF(AND(ISNUMBER('Semi Rev'!L51),ISNUMBER('Semi Rev'!K51)),'Semi Rev'!L51-'Semi Rev'!K51,""),"")</f>
        <v/>
      </c>
      <c r="I620" s="30">
        <f>IFERROR(IF(AND(ISNUMBER('Semi Rev'!M51),ISNUMBER('Semi Rev'!L51)),'Semi Rev'!M51-'Semi Rev'!L51,""),"")</f>
        <v/>
      </c>
      <c r="J620" s="30">
        <f>IFERROR(IF(AND(ISNUMBER('Semi Rev'!N51),ISNUMBER('Semi Rev'!M51)),'Semi Rev'!N51-'Semi Rev'!M51,""),"")</f>
        <v/>
      </c>
      <c r="K620" s="30">
        <f>IFERROR(IF(AND(ISNUMBER('Semi Rev'!O51),ISNUMBER('Semi Rev'!N51)),'Semi Rev'!O51-'Semi Rev'!N51,""),"")</f>
        <v/>
      </c>
      <c r="L620" s="30">
        <f>IFERROR(IF(AND(ISNUMBER('Semi Rev'!P51),ISNUMBER('Semi Rev'!O51)),'Semi Rev'!P51-'Semi Rev'!O51,""),"")</f>
        <v/>
      </c>
      <c r="M620" s="31">
        <f>IFERROR(IF(AND(ISNUMBER('Semi Rev'!Q51),ISNUMBER('Semi Rev'!P51)),'Semi Rev'!Q51-'Semi Rev'!P51,""),"")</f>
        <v/>
      </c>
      <c r="N620" s="31">
        <f>IFERROR(IF(AND(ISNUMBER('Semi Rev'!R51),ISNUMBER('Semi Rev'!Q51)),'Semi Rev'!R51-'Semi Rev'!Q51,""),"")</f>
        <v/>
      </c>
    </row>
    <row r="621">
      <c r="A621" s="19">
        <f>'Semi Rev'!$A52</f>
        <v/>
      </c>
      <c r="B621" s="19">
        <f>'Semi Rev'!$B52</f>
        <v/>
      </c>
      <c r="C621" s="30">
        <f>IFERROR(IF(AND(ISNUMBER('Semi Rev'!G52),ISNUMBER('Semi Rev'!F52)),'Semi Rev'!G52-'Semi Rev'!F52,""),"")</f>
        <v/>
      </c>
      <c r="D621" s="30">
        <f>IFERROR(IF(AND(ISNUMBER('Semi Rev'!H52),ISNUMBER('Semi Rev'!G52)),'Semi Rev'!H52-'Semi Rev'!G52,""),"")</f>
        <v/>
      </c>
      <c r="E621" s="30">
        <f>IFERROR(IF(AND(ISNUMBER('Semi Rev'!I52),ISNUMBER('Semi Rev'!H52)),'Semi Rev'!I52-'Semi Rev'!H52,""),"")</f>
        <v/>
      </c>
      <c r="F621" s="30">
        <f>IFERROR(IF(AND(ISNUMBER('Semi Rev'!J52),ISNUMBER('Semi Rev'!I52)),'Semi Rev'!J52-'Semi Rev'!I52,""),"")</f>
        <v/>
      </c>
      <c r="G621" s="30">
        <f>IFERROR(IF(AND(ISNUMBER('Semi Rev'!K52),ISNUMBER('Semi Rev'!J52)),'Semi Rev'!K52-'Semi Rev'!J52,""),"")</f>
        <v/>
      </c>
      <c r="H621" s="30">
        <f>IFERROR(IF(AND(ISNUMBER('Semi Rev'!L52),ISNUMBER('Semi Rev'!K52)),'Semi Rev'!L52-'Semi Rev'!K52,""),"")</f>
        <v/>
      </c>
      <c r="I621" s="30">
        <f>IFERROR(IF(AND(ISNUMBER('Semi Rev'!M52),ISNUMBER('Semi Rev'!L52)),'Semi Rev'!M52-'Semi Rev'!L52,""),"")</f>
        <v/>
      </c>
      <c r="J621" s="30">
        <f>IFERROR(IF(AND(ISNUMBER('Semi Rev'!N52),ISNUMBER('Semi Rev'!M52)),'Semi Rev'!N52-'Semi Rev'!M52,""),"")</f>
        <v/>
      </c>
      <c r="K621" s="30">
        <f>IFERROR(IF(AND(ISNUMBER('Semi Rev'!O52),ISNUMBER('Semi Rev'!N52)),'Semi Rev'!O52-'Semi Rev'!N52,""),"")</f>
        <v/>
      </c>
      <c r="L621" s="30">
        <f>IFERROR(IF(AND(ISNUMBER('Semi Rev'!P52),ISNUMBER('Semi Rev'!O52)),'Semi Rev'!P52-'Semi Rev'!O52,""),"")</f>
        <v/>
      </c>
      <c r="M621" s="31">
        <f>IFERROR(IF(AND(ISNUMBER('Semi Rev'!Q52),ISNUMBER('Semi Rev'!P52)),'Semi Rev'!Q52-'Semi Rev'!P52,""),"")</f>
        <v/>
      </c>
      <c r="N621" s="31">
        <f>IFERROR(IF(AND(ISNUMBER('Semi Rev'!R52),ISNUMBER('Semi Rev'!Q52)),'Semi Rev'!R52-'Semi Rev'!Q52,""),"")</f>
        <v/>
      </c>
    </row>
    <row r="622">
      <c r="A622" s="19">
        <f>'Semi Rev'!$A53</f>
        <v/>
      </c>
      <c r="B622" s="19">
        <f>'Semi Rev'!$B53</f>
        <v/>
      </c>
      <c r="C622" s="30">
        <f>IFERROR(IF(AND(ISNUMBER('Semi Rev'!G53),ISNUMBER('Semi Rev'!F53)),'Semi Rev'!G53-'Semi Rev'!F53,""),"")</f>
        <v/>
      </c>
      <c r="D622" s="30">
        <f>IFERROR(IF(AND(ISNUMBER('Semi Rev'!H53),ISNUMBER('Semi Rev'!G53)),'Semi Rev'!H53-'Semi Rev'!G53,""),"")</f>
        <v/>
      </c>
      <c r="E622" s="30">
        <f>IFERROR(IF(AND(ISNUMBER('Semi Rev'!I53),ISNUMBER('Semi Rev'!H53)),'Semi Rev'!I53-'Semi Rev'!H53,""),"")</f>
        <v/>
      </c>
      <c r="F622" s="30">
        <f>IFERROR(IF(AND(ISNUMBER('Semi Rev'!J53),ISNUMBER('Semi Rev'!I53)),'Semi Rev'!J53-'Semi Rev'!I53,""),"")</f>
        <v/>
      </c>
      <c r="G622" s="30">
        <f>IFERROR(IF(AND(ISNUMBER('Semi Rev'!K53),ISNUMBER('Semi Rev'!J53)),'Semi Rev'!K53-'Semi Rev'!J53,""),"")</f>
        <v/>
      </c>
      <c r="H622" s="30">
        <f>IFERROR(IF(AND(ISNUMBER('Semi Rev'!L53),ISNUMBER('Semi Rev'!K53)),'Semi Rev'!L53-'Semi Rev'!K53,""),"")</f>
        <v/>
      </c>
      <c r="I622" s="30">
        <f>IFERROR(IF(AND(ISNUMBER('Semi Rev'!M53),ISNUMBER('Semi Rev'!L53)),'Semi Rev'!M53-'Semi Rev'!L53,""),"")</f>
        <v/>
      </c>
      <c r="J622" s="30">
        <f>IFERROR(IF(AND(ISNUMBER('Semi Rev'!N53),ISNUMBER('Semi Rev'!M53)),'Semi Rev'!N53-'Semi Rev'!M53,""),"")</f>
        <v/>
      </c>
      <c r="K622" s="30">
        <f>IFERROR(IF(AND(ISNUMBER('Semi Rev'!O53),ISNUMBER('Semi Rev'!N53)),'Semi Rev'!O53-'Semi Rev'!N53,""),"")</f>
        <v/>
      </c>
      <c r="L622" s="30">
        <f>IFERROR(IF(AND(ISNUMBER('Semi Rev'!P53),ISNUMBER('Semi Rev'!O53)),'Semi Rev'!P53-'Semi Rev'!O53,""),"")</f>
        <v/>
      </c>
      <c r="M622" s="31">
        <f>IFERROR(IF(AND(ISNUMBER('Semi Rev'!Q53),ISNUMBER('Semi Rev'!P53)),'Semi Rev'!Q53-'Semi Rev'!P53,""),"")</f>
        <v/>
      </c>
      <c r="N622" s="31">
        <f>IFERROR(IF(AND(ISNUMBER('Semi Rev'!R53),ISNUMBER('Semi Rev'!Q53)),'Semi Rev'!R53-'Semi Rev'!Q53,""),"")</f>
        <v/>
      </c>
    </row>
    <row r="623">
      <c r="A623" s="19">
        <f>'Semi Rev'!$A54</f>
        <v/>
      </c>
      <c r="B623" s="19">
        <f>'Semi Rev'!$B54</f>
        <v/>
      </c>
      <c r="C623" s="30">
        <f>IFERROR(IF(AND(ISNUMBER('Semi Rev'!G54),ISNUMBER('Semi Rev'!F54)),'Semi Rev'!G54-'Semi Rev'!F54,""),"")</f>
        <v/>
      </c>
      <c r="D623" s="30">
        <f>IFERROR(IF(AND(ISNUMBER('Semi Rev'!H54),ISNUMBER('Semi Rev'!G54)),'Semi Rev'!H54-'Semi Rev'!G54,""),"")</f>
        <v/>
      </c>
      <c r="E623" s="30">
        <f>IFERROR(IF(AND(ISNUMBER('Semi Rev'!I54),ISNUMBER('Semi Rev'!H54)),'Semi Rev'!I54-'Semi Rev'!H54,""),"")</f>
        <v/>
      </c>
      <c r="F623" s="30">
        <f>IFERROR(IF(AND(ISNUMBER('Semi Rev'!J54),ISNUMBER('Semi Rev'!I54)),'Semi Rev'!J54-'Semi Rev'!I54,""),"")</f>
        <v/>
      </c>
      <c r="G623" s="30">
        <f>IFERROR(IF(AND(ISNUMBER('Semi Rev'!K54),ISNUMBER('Semi Rev'!J54)),'Semi Rev'!K54-'Semi Rev'!J54,""),"")</f>
        <v/>
      </c>
      <c r="H623" s="30">
        <f>IFERROR(IF(AND(ISNUMBER('Semi Rev'!L54),ISNUMBER('Semi Rev'!K54)),'Semi Rev'!L54-'Semi Rev'!K54,""),"")</f>
        <v/>
      </c>
      <c r="I623" s="30">
        <f>IFERROR(IF(AND(ISNUMBER('Semi Rev'!M54),ISNUMBER('Semi Rev'!L54)),'Semi Rev'!M54-'Semi Rev'!L54,""),"")</f>
        <v/>
      </c>
      <c r="J623" s="30">
        <f>IFERROR(IF(AND(ISNUMBER('Semi Rev'!N54),ISNUMBER('Semi Rev'!M54)),'Semi Rev'!N54-'Semi Rev'!M54,""),"")</f>
        <v/>
      </c>
      <c r="K623" s="30">
        <f>IFERROR(IF(AND(ISNUMBER('Semi Rev'!O54),ISNUMBER('Semi Rev'!N54)),'Semi Rev'!O54-'Semi Rev'!N54,""),"")</f>
        <v/>
      </c>
      <c r="L623" s="30">
        <f>IFERROR(IF(AND(ISNUMBER('Semi Rev'!P54),ISNUMBER('Semi Rev'!O54)),'Semi Rev'!P54-'Semi Rev'!O54,""),"")</f>
        <v/>
      </c>
      <c r="M623" s="31">
        <f>IFERROR(IF(AND(ISNUMBER('Semi Rev'!Q54),ISNUMBER('Semi Rev'!P54)),'Semi Rev'!Q54-'Semi Rev'!P54,""),"")</f>
        <v/>
      </c>
      <c r="N623" s="31">
        <f>IFERROR(IF(AND(ISNUMBER('Semi Rev'!R54),ISNUMBER('Semi Rev'!Q54)),'Semi Rev'!R54-'Semi Rev'!Q54,""),"")</f>
        <v/>
      </c>
    </row>
    <row r="624">
      <c r="A624" s="19">
        <f>'Semi Rev'!$A55</f>
        <v/>
      </c>
      <c r="B624" s="19">
        <f>'Semi Rev'!$B55</f>
        <v/>
      </c>
      <c r="C624" s="30">
        <f>IFERROR(IF(AND(ISNUMBER('Semi Rev'!G55),ISNUMBER('Semi Rev'!F55)),'Semi Rev'!G55-'Semi Rev'!F55,""),"")</f>
        <v/>
      </c>
      <c r="D624" s="30">
        <f>IFERROR(IF(AND(ISNUMBER('Semi Rev'!H55),ISNUMBER('Semi Rev'!G55)),'Semi Rev'!H55-'Semi Rev'!G55,""),"")</f>
        <v/>
      </c>
      <c r="E624" s="30">
        <f>IFERROR(IF(AND(ISNUMBER('Semi Rev'!I55),ISNUMBER('Semi Rev'!H55)),'Semi Rev'!I55-'Semi Rev'!H55,""),"")</f>
        <v/>
      </c>
      <c r="F624" s="30">
        <f>IFERROR(IF(AND(ISNUMBER('Semi Rev'!J55),ISNUMBER('Semi Rev'!I55)),'Semi Rev'!J55-'Semi Rev'!I55,""),"")</f>
        <v/>
      </c>
      <c r="G624" s="30">
        <f>IFERROR(IF(AND(ISNUMBER('Semi Rev'!K55),ISNUMBER('Semi Rev'!J55)),'Semi Rev'!K55-'Semi Rev'!J55,""),"")</f>
        <v/>
      </c>
      <c r="H624" s="30">
        <f>IFERROR(IF(AND(ISNUMBER('Semi Rev'!L55),ISNUMBER('Semi Rev'!K55)),'Semi Rev'!L55-'Semi Rev'!K55,""),"")</f>
        <v/>
      </c>
      <c r="I624" s="30">
        <f>IFERROR(IF(AND(ISNUMBER('Semi Rev'!M55),ISNUMBER('Semi Rev'!L55)),'Semi Rev'!M55-'Semi Rev'!L55,""),"")</f>
        <v/>
      </c>
      <c r="J624" s="30">
        <f>IFERROR(IF(AND(ISNUMBER('Semi Rev'!N55),ISNUMBER('Semi Rev'!M55)),'Semi Rev'!N55-'Semi Rev'!M55,""),"")</f>
        <v/>
      </c>
      <c r="K624" s="30">
        <f>IFERROR(IF(AND(ISNUMBER('Semi Rev'!O55),ISNUMBER('Semi Rev'!N55)),'Semi Rev'!O55-'Semi Rev'!N55,""),"")</f>
        <v/>
      </c>
      <c r="L624" s="30">
        <f>IFERROR(IF(AND(ISNUMBER('Semi Rev'!P55),ISNUMBER('Semi Rev'!O55)),'Semi Rev'!P55-'Semi Rev'!O55,""),"")</f>
        <v/>
      </c>
      <c r="M624" s="31">
        <f>IFERROR(IF(AND(ISNUMBER('Semi Rev'!Q55),ISNUMBER('Semi Rev'!P55)),'Semi Rev'!Q55-'Semi Rev'!P55,""),"")</f>
        <v/>
      </c>
      <c r="N624" s="31">
        <f>IFERROR(IF(AND(ISNUMBER('Semi Rev'!R55),ISNUMBER('Semi Rev'!Q55)),'Semi Rev'!R55-'Semi Rev'!Q55,""),"")</f>
        <v/>
      </c>
    </row>
    <row r="625">
      <c r="A625" s="19">
        <f>'Semi Rev'!$A56</f>
        <v/>
      </c>
      <c r="B625" s="19">
        <f>'Semi Rev'!$B56</f>
        <v/>
      </c>
      <c r="C625" s="30">
        <f>IFERROR(IF(AND(ISNUMBER('Semi Rev'!G56),ISNUMBER('Semi Rev'!F56)),'Semi Rev'!G56-'Semi Rev'!F56,""),"")</f>
        <v/>
      </c>
      <c r="D625" s="30">
        <f>IFERROR(IF(AND(ISNUMBER('Semi Rev'!H56),ISNUMBER('Semi Rev'!G56)),'Semi Rev'!H56-'Semi Rev'!G56,""),"")</f>
        <v/>
      </c>
      <c r="E625" s="30">
        <f>IFERROR(IF(AND(ISNUMBER('Semi Rev'!I56),ISNUMBER('Semi Rev'!H56)),'Semi Rev'!I56-'Semi Rev'!H56,""),"")</f>
        <v/>
      </c>
      <c r="F625" s="30">
        <f>IFERROR(IF(AND(ISNUMBER('Semi Rev'!J56),ISNUMBER('Semi Rev'!I56)),'Semi Rev'!J56-'Semi Rev'!I56,""),"")</f>
        <v/>
      </c>
      <c r="G625" s="30">
        <f>IFERROR(IF(AND(ISNUMBER('Semi Rev'!K56),ISNUMBER('Semi Rev'!J56)),'Semi Rev'!K56-'Semi Rev'!J56,""),"")</f>
        <v/>
      </c>
      <c r="H625" s="30">
        <f>IFERROR(IF(AND(ISNUMBER('Semi Rev'!L56),ISNUMBER('Semi Rev'!K56)),'Semi Rev'!L56-'Semi Rev'!K56,""),"")</f>
        <v/>
      </c>
      <c r="I625" s="30">
        <f>IFERROR(IF(AND(ISNUMBER('Semi Rev'!M56),ISNUMBER('Semi Rev'!L56)),'Semi Rev'!M56-'Semi Rev'!L56,""),"")</f>
        <v/>
      </c>
      <c r="J625" s="30">
        <f>IFERROR(IF(AND(ISNUMBER('Semi Rev'!N56),ISNUMBER('Semi Rev'!M56)),'Semi Rev'!N56-'Semi Rev'!M56,""),"")</f>
        <v/>
      </c>
      <c r="K625" s="30">
        <f>IFERROR(IF(AND(ISNUMBER('Semi Rev'!O56),ISNUMBER('Semi Rev'!N56)),'Semi Rev'!O56-'Semi Rev'!N56,""),"")</f>
        <v/>
      </c>
      <c r="L625" s="30">
        <f>IFERROR(IF(AND(ISNUMBER('Semi Rev'!P56),ISNUMBER('Semi Rev'!O56)),'Semi Rev'!P56-'Semi Rev'!O56,""),"")</f>
        <v/>
      </c>
      <c r="M625" s="31">
        <f>IFERROR(IF(AND(ISNUMBER('Semi Rev'!Q56),ISNUMBER('Semi Rev'!P56)),'Semi Rev'!Q56-'Semi Rev'!P56,""),"")</f>
        <v/>
      </c>
      <c r="N625" s="31">
        <f>IFERROR(IF(AND(ISNUMBER('Semi Rev'!R56),ISNUMBER('Semi Rev'!Q56)),'Semi Rev'!R56-'Semi Rev'!Q56,""),"")</f>
        <v/>
      </c>
    </row>
    <row r="626">
      <c r="A626" s="19">
        <f>'Semi Rev'!$A57</f>
        <v/>
      </c>
      <c r="B626" s="19">
        <f>'Semi Rev'!$B57</f>
        <v/>
      </c>
      <c r="C626" s="30">
        <f>IFERROR(IF(AND(ISNUMBER('Semi Rev'!G57),ISNUMBER('Semi Rev'!F57)),'Semi Rev'!G57-'Semi Rev'!F57,""),"")</f>
        <v/>
      </c>
      <c r="D626" s="30">
        <f>IFERROR(IF(AND(ISNUMBER('Semi Rev'!H57),ISNUMBER('Semi Rev'!G57)),'Semi Rev'!H57-'Semi Rev'!G57,""),"")</f>
        <v/>
      </c>
      <c r="E626" s="30">
        <f>IFERROR(IF(AND(ISNUMBER('Semi Rev'!I57),ISNUMBER('Semi Rev'!H57)),'Semi Rev'!I57-'Semi Rev'!H57,""),"")</f>
        <v/>
      </c>
      <c r="F626" s="30">
        <f>IFERROR(IF(AND(ISNUMBER('Semi Rev'!J57),ISNUMBER('Semi Rev'!I57)),'Semi Rev'!J57-'Semi Rev'!I57,""),"")</f>
        <v/>
      </c>
      <c r="G626" s="30">
        <f>IFERROR(IF(AND(ISNUMBER('Semi Rev'!K57),ISNUMBER('Semi Rev'!J57)),'Semi Rev'!K57-'Semi Rev'!J57,""),"")</f>
        <v/>
      </c>
      <c r="H626" s="30">
        <f>IFERROR(IF(AND(ISNUMBER('Semi Rev'!L57),ISNUMBER('Semi Rev'!K57)),'Semi Rev'!L57-'Semi Rev'!K57,""),"")</f>
        <v/>
      </c>
      <c r="I626" s="30">
        <f>IFERROR(IF(AND(ISNUMBER('Semi Rev'!M57),ISNUMBER('Semi Rev'!L57)),'Semi Rev'!M57-'Semi Rev'!L57,""),"")</f>
        <v/>
      </c>
      <c r="J626" s="30">
        <f>IFERROR(IF(AND(ISNUMBER('Semi Rev'!N57),ISNUMBER('Semi Rev'!M57)),'Semi Rev'!N57-'Semi Rev'!M57,""),"")</f>
        <v/>
      </c>
      <c r="K626" s="30">
        <f>IFERROR(IF(AND(ISNUMBER('Semi Rev'!O57),ISNUMBER('Semi Rev'!N57)),'Semi Rev'!O57-'Semi Rev'!N57,""),"")</f>
        <v/>
      </c>
      <c r="L626" s="30">
        <f>IFERROR(IF(AND(ISNUMBER('Semi Rev'!P57),ISNUMBER('Semi Rev'!O57)),'Semi Rev'!P57-'Semi Rev'!O57,""),"")</f>
        <v/>
      </c>
      <c r="M626" s="31">
        <f>IFERROR(IF(AND(ISNUMBER('Semi Rev'!Q57),ISNUMBER('Semi Rev'!P57)),'Semi Rev'!Q57-'Semi Rev'!P57,""),"")</f>
        <v/>
      </c>
      <c r="N626" s="31">
        <f>IFERROR(IF(AND(ISNUMBER('Semi Rev'!R57),ISNUMBER('Semi Rev'!Q57)),'Semi Rev'!R57-'Semi Rev'!Q57,""),"")</f>
        <v/>
      </c>
    </row>
    <row r="627">
      <c r="A627" s="19">
        <f>'Semi Rev'!$A58</f>
        <v/>
      </c>
      <c r="B627" s="19">
        <f>'Semi Rev'!$B58</f>
        <v/>
      </c>
      <c r="C627" s="30">
        <f>IFERROR(IF(AND(ISNUMBER('Semi Rev'!G58),ISNUMBER('Semi Rev'!F58)),'Semi Rev'!G58-'Semi Rev'!F58,""),"")</f>
        <v/>
      </c>
      <c r="D627" s="30">
        <f>IFERROR(IF(AND(ISNUMBER('Semi Rev'!H58),ISNUMBER('Semi Rev'!G58)),'Semi Rev'!H58-'Semi Rev'!G58,""),"")</f>
        <v/>
      </c>
      <c r="E627" s="30">
        <f>IFERROR(IF(AND(ISNUMBER('Semi Rev'!I58),ISNUMBER('Semi Rev'!H58)),'Semi Rev'!I58-'Semi Rev'!H58,""),"")</f>
        <v/>
      </c>
      <c r="F627" s="30">
        <f>IFERROR(IF(AND(ISNUMBER('Semi Rev'!J58),ISNUMBER('Semi Rev'!I58)),'Semi Rev'!J58-'Semi Rev'!I58,""),"")</f>
        <v/>
      </c>
      <c r="G627" s="30">
        <f>IFERROR(IF(AND(ISNUMBER('Semi Rev'!K58),ISNUMBER('Semi Rev'!J58)),'Semi Rev'!K58-'Semi Rev'!J58,""),"")</f>
        <v/>
      </c>
      <c r="H627" s="30">
        <f>IFERROR(IF(AND(ISNUMBER('Semi Rev'!L58),ISNUMBER('Semi Rev'!K58)),'Semi Rev'!L58-'Semi Rev'!K58,""),"")</f>
        <v/>
      </c>
      <c r="I627" s="30">
        <f>IFERROR(IF(AND(ISNUMBER('Semi Rev'!M58),ISNUMBER('Semi Rev'!L58)),'Semi Rev'!M58-'Semi Rev'!L58,""),"")</f>
        <v/>
      </c>
      <c r="J627" s="30">
        <f>IFERROR(IF(AND(ISNUMBER('Semi Rev'!N58),ISNUMBER('Semi Rev'!M58)),'Semi Rev'!N58-'Semi Rev'!M58,""),"")</f>
        <v/>
      </c>
      <c r="K627" s="30">
        <f>IFERROR(IF(AND(ISNUMBER('Semi Rev'!O58),ISNUMBER('Semi Rev'!N58)),'Semi Rev'!O58-'Semi Rev'!N58,""),"")</f>
        <v/>
      </c>
      <c r="L627" s="30">
        <f>IFERROR(IF(AND(ISNUMBER('Semi Rev'!P58),ISNUMBER('Semi Rev'!O58)),'Semi Rev'!P58-'Semi Rev'!O58,""),"")</f>
        <v/>
      </c>
      <c r="M627" s="31">
        <f>IFERROR(IF(AND(ISNUMBER('Semi Rev'!Q58),ISNUMBER('Semi Rev'!P58)),'Semi Rev'!Q58-'Semi Rev'!P58,""),"")</f>
        <v/>
      </c>
      <c r="N627" s="31">
        <f>IFERROR(IF(AND(ISNUMBER('Semi Rev'!R58),ISNUMBER('Semi Rev'!Q58)),'Semi Rev'!R58-'Semi Rev'!Q58,""),"")</f>
        <v/>
      </c>
    </row>
    <row r="628">
      <c r="A628" s="19">
        <f>'Semi Rev'!$A59</f>
        <v/>
      </c>
      <c r="B628" s="19">
        <f>'Semi Rev'!$B59</f>
        <v/>
      </c>
      <c r="C628" s="30">
        <f>IFERROR(IF(AND(ISNUMBER('Semi Rev'!G59),ISNUMBER('Semi Rev'!F59)),'Semi Rev'!G59-'Semi Rev'!F59,""),"")</f>
        <v/>
      </c>
      <c r="D628" s="30">
        <f>IFERROR(IF(AND(ISNUMBER('Semi Rev'!H59),ISNUMBER('Semi Rev'!G59)),'Semi Rev'!H59-'Semi Rev'!G59,""),"")</f>
        <v/>
      </c>
      <c r="E628" s="30">
        <f>IFERROR(IF(AND(ISNUMBER('Semi Rev'!I59),ISNUMBER('Semi Rev'!H59)),'Semi Rev'!I59-'Semi Rev'!H59,""),"")</f>
        <v/>
      </c>
      <c r="F628" s="30">
        <f>IFERROR(IF(AND(ISNUMBER('Semi Rev'!J59),ISNUMBER('Semi Rev'!I59)),'Semi Rev'!J59-'Semi Rev'!I59,""),"")</f>
        <v/>
      </c>
      <c r="G628" s="30">
        <f>IFERROR(IF(AND(ISNUMBER('Semi Rev'!K59),ISNUMBER('Semi Rev'!J59)),'Semi Rev'!K59-'Semi Rev'!J59,""),"")</f>
        <v/>
      </c>
      <c r="H628" s="30">
        <f>IFERROR(IF(AND(ISNUMBER('Semi Rev'!L59),ISNUMBER('Semi Rev'!K59)),'Semi Rev'!L59-'Semi Rev'!K59,""),"")</f>
        <v/>
      </c>
      <c r="I628" s="30">
        <f>IFERROR(IF(AND(ISNUMBER('Semi Rev'!M59),ISNUMBER('Semi Rev'!L59)),'Semi Rev'!M59-'Semi Rev'!L59,""),"")</f>
        <v/>
      </c>
      <c r="J628" s="30">
        <f>IFERROR(IF(AND(ISNUMBER('Semi Rev'!N59),ISNUMBER('Semi Rev'!M59)),'Semi Rev'!N59-'Semi Rev'!M59,""),"")</f>
        <v/>
      </c>
      <c r="K628" s="30">
        <f>IFERROR(IF(AND(ISNUMBER('Semi Rev'!O59),ISNUMBER('Semi Rev'!N59)),'Semi Rev'!O59-'Semi Rev'!N59,""),"")</f>
        <v/>
      </c>
      <c r="L628" s="30">
        <f>IFERROR(IF(AND(ISNUMBER('Semi Rev'!P59),ISNUMBER('Semi Rev'!O59)),'Semi Rev'!P59-'Semi Rev'!O59,""),"")</f>
        <v/>
      </c>
      <c r="M628" s="31">
        <f>IFERROR(IF(AND(ISNUMBER('Semi Rev'!Q59),ISNUMBER('Semi Rev'!P59)),'Semi Rev'!Q59-'Semi Rev'!P59,""),"")</f>
        <v/>
      </c>
      <c r="N628" s="31">
        <f>IFERROR(IF(AND(ISNUMBER('Semi Rev'!R59),ISNUMBER('Semi Rev'!Q59)),'Semi Rev'!R59-'Semi Rev'!Q59,""),"")</f>
        <v/>
      </c>
    </row>
    <row r="629">
      <c r="A629" s="19">
        <f>'Semi Rev'!$A60</f>
        <v/>
      </c>
      <c r="B629" s="19">
        <f>'Semi Rev'!$B60</f>
        <v/>
      </c>
      <c r="C629" s="30">
        <f>IFERROR(IF(AND(ISNUMBER('Semi Rev'!G60),ISNUMBER('Semi Rev'!F60)),'Semi Rev'!G60-'Semi Rev'!F60,""),"")</f>
        <v/>
      </c>
      <c r="D629" s="30">
        <f>IFERROR(IF(AND(ISNUMBER('Semi Rev'!H60),ISNUMBER('Semi Rev'!G60)),'Semi Rev'!H60-'Semi Rev'!G60,""),"")</f>
        <v/>
      </c>
      <c r="E629" s="30">
        <f>IFERROR(IF(AND(ISNUMBER('Semi Rev'!I60),ISNUMBER('Semi Rev'!H60)),'Semi Rev'!I60-'Semi Rev'!H60,""),"")</f>
        <v/>
      </c>
      <c r="F629" s="30">
        <f>IFERROR(IF(AND(ISNUMBER('Semi Rev'!J60),ISNUMBER('Semi Rev'!I60)),'Semi Rev'!J60-'Semi Rev'!I60,""),"")</f>
        <v/>
      </c>
      <c r="G629" s="30">
        <f>IFERROR(IF(AND(ISNUMBER('Semi Rev'!K60),ISNUMBER('Semi Rev'!J60)),'Semi Rev'!K60-'Semi Rev'!J60,""),"")</f>
        <v/>
      </c>
      <c r="H629" s="30">
        <f>IFERROR(IF(AND(ISNUMBER('Semi Rev'!L60),ISNUMBER('Semi Rev'!K60)),'Semi Rev'!L60-'Semi Rev'!K60,""),"")</f>
        <v/>
      </c>
      <c r="I629" s="30">
        <f>IFERROR(IF(AND(ISNUMBER('Semi Rev'!M60),ISNUMBER('Semi Rev'!L60)),'Semi Rev'!M60-'Semi Rev'!L60,""),"")</f>
        <v/>
      </c>
      <c r="J629" s="30">
        <f>IFERROR(IF(AND(ISNUMBER('Semi Rev'!N60),ISNUMBER('Semi Rev'!M60)),'Semi Rev'!N60-'Semi Rev'!M60,""),"")</f>
        <v/>
      </c>
      <c r="K629" s="30">
        <f>IFERROR(IF(AND(ISNUMBER('Semi Rev'!O60),ISNUMBER('Semi Rev'!N60)),'Semi Rev'!O60-'Semi Rev'!N60,""),"")</f>
        <v/>
      </c>
      <c r="L629" s="30">
        <f>IFERROR(IF(AND(ISNUMBER('Semi Rev'!P60),ISNUMBER('Semi Rev'!O60)),'Semi Rev'!P60-'Semi Rev'!O60,""),"")</f>
        <v/>
      </c>
      <c r="M629" s="31">
        <f>IFERROR(IF(AND(ISNUMBER('Semi Rev'!Q60),ISNUMBER('Semi Rev'!P60)),'Semi Rev'!Q60-'Semi Rev'!P60,""),"")</f>
        <v/>
      </c>
      <c r="N629" s="31">
        <f>IFERROR(IF(AND(ISNUMBER('Semi Rev'!R60),ISNUMBER('Semi Rev'!Q60)),'Semi Rev'!R60-'Semi Rev'!Q60,""),"")</f>
        <v/>
      </c>
    </row>
    <row r="630">
      <c r="A630" s="19">
        <f>'Semi Rev'!$A61</f>
        <v/>
      </c>
      <c r="B630" s="19">
        <f>'Semi Rev'!$B61</f>
        <v/>
      </c>
      <c r="C630" s="30">
        <f>IFERROR(IF(AND(ISNUMBER('Semi Rev'!G61),ISNUMBER('Semi Rev'!F61)),'Semi Rev'!G61-'Semi Rev'!F61,""),"")</f>
        <v/>
      </c>
      <c r="D630" s="30">
        <f>IFERROR(IF(AND(ISNUMBER('Semi Rev'!H61),ISNUMBER('Semi Rev'!G61)),'Semi Rev'!H61-'Semi Rev'!G61,""),"")</f>
        <v/>
      </c>
      <c r="E630" s="30">
        <f>IFERROR(IF(AND(ISNUMBER('Semi Rev'!I61),ISNUMBER('Semi Rev'!H61)),'Semi Rev'!I61-'Semi Rev'!H61,""),"")</f>
        <v/>
      </c>
      <c r="F630" s="30">
        <f>IFERROR(IF(AND(ISNUMBER('Semi Rev'!J61),ISNUMBER('Semi Rev'!I61)),'Semi Rev'!J61-'Semi Rev'!I61,""),"")</f>
        <v/>
      </c>
      <c r="G630" s="30">
        <f>IFERROR(IF(AND(ISNUMBER('Semi Rev'!K61),ISNUMBER('Semi Rev'!J61)),'Semi Rev'!K61-'Semi Rev'!J61,""),"")</f>
        <v/>
      </c>
      <c r="H630" s="30">
        <f>IFERROR(IF(AND(ISNUMBER('Semi Rev'!L61),ISNUMBER('Semi Rev'!K61)),'Semi Rev'!L61-'Semi Rev'!K61,""),"")</f>
        <v/>
      </c>
      <c r="I630" s="30">
        <f>IFERROR(IF(AND(ISNUMBER('Semi Rev'!M61),ISNUMBER('Semi Rev'!L61)),'Semi Rev'!M61-'Semi Rev'!L61,""),"")</f>
        <v/>
      </c>
      <c r="J630" s="30">
        <f>IFERROR(IF(AND(ISNUMBER('Semi Rev'!N61),ISNUMBER('Semi Rev'!M61)),'Semi Rev'!N61-'Semi Rev'!M61,""),"")</f>
        <v/>
      </c>
      <c r="K630" s="30">
        <f>IFERROR(IF(AND(ISNUMBER('Semi Rev'!O61),ISNUMBER('Semi Rev'!N61)),'Semi Rev'!O61-'Semi Rev'!N61,""),"")</f>
        <v/>
      </c>
      <c r="L630" s="30">
        <f>IFERROR(IF(AND(ISNUMBER('Semi Rev'!P61),ISNUMBER('Semi Rev'!O61)),'Semi Rev'!P61-'Semi Rev'!O61,""),"")</f>
        <v/>
      </c>
      <c r="M630" s="31">
        <f>IFERROR(IF(AND(ISNUMBER('Semi Rev'!Q61),ISNUMBER('Semi Rev'!P61)),'Semi Rev'!Q61-'Semi Rev'!P61,""),"")</f>
        <v/>
      </c>
      <c r="N630" s="31">
        <f>IFERROR(IF(AND(ISNUMBER('Semi Rev'!R61),ISNUMBER('Semi Rev'!Q61)),'Semi Rev'!R61-'Semi Rev'!Q61,""),"")</f>
        <v/>
      </c>
    </row>
    <row r="631">
      <c r="A631" s="19">
        <f>'Semi Rev'!$A62</f>
        <v/>
      </c>
      <c r="B631" s="19">
        <f>'Semi Rev'!$B62</f>
        <v/>
      </c>
      <c r="C631" s="30">
        <f>IFERROR(IF(AND(ISNUMBER('Semi Rev'!G62),ISNUMBER('Semi Rev'!F62)),'Semi Rev'!G62-'Semi Rev'!F62,""),"")</f>
        <v/>
      </c>
      <c r="D631" s="30">
        <f>IFERROR(IF(AND(ISNUMBER('Semi Rev'!H62),ISNUMBER('Semi Rev'!G62)),'Semi Rev'!H62-'Semi Rev'!G62,""),"")</f>
        <v/>
      </c>
      <c r="E631" s="30">
        <f>IFERROR(IF(AND(ISNUMBER('Semi Rev'!I62),ISNUMBER('Semi Rev'!H62)),'Semi Rev'!I62-'Semi Rev'!H62,""),"")</f>
        <v/>
      </c>
      <c r="F631" s="30">
        <f>IFERROR(IF(AND(ISNUMBER('Semi Rev'!J62),ISNUMBER('Semi Rev'!I62)),'Semi Rev'!J62-'Semi Rev'!I62,""),"")</f>
        <v/>
      </c>
      <c r="G631" s="30">
        <f>IFERROR(IF(AND(ISNUMBER('Semi Rev'!K62),ISNUMBER('Semi Rev'!J62)),'Semi Rev'!K62-'Semi Rev'!J62,""),"")</f>
        <v/>
      </c>
      <c r="H631" s="30">
        <f>IFERROR(IF(AND(ISNUMBER('Semi Rev'!L62),ISNUMBER('Semi Rev'!K62)),'Semi Rev'!L62-'Semi Rev'!K62,""),"")</f>
        <v/>
      </c>
      <c r="I631" s="30">
        <f>IFERROR(IF(AND(ISNUMBER('Semi Rev'!M62),ISNUMBER('Semi Rev'!L62)),'Semi Rev'!M62-'Semi Rev'!L62,""),"")</f>
        <v/>
      </c>
      <c r="J631" s="30">
        <f>IFERROR(IF(AND(ISNUMBER('Semi Rev'!N62),ISNUMBER('Semi Rev'!M62)),'Semi Rev'!N62-'Semi Rev'!M62,""),"")</f>
        <v/>
      </c>
      <c r="K631" s="30">
        <f>IFERROR(IF(AND(ISNUMBER('Semi Rev'!O62),ISNUMBER('Semi Rev'!N62)),'Semi Rev'!O62-'Semi Rev'!N62,""),"")</f>
        <v/>
      </c>
      <c r="L631" s="30">
        <f>IFERROR(IF(AND(ISNUMBER('Semi Rev'!P62),ISNUMBER('Semi Rev'!O62)),'Semi Rev'!P62-'Semi Rev'!O62,""),"")</f>
        <v/>
      </c>
      <c r="M631" s="31">
        <f>IFERROR(IF(AND(ISNUMBER('Semi Rev'!Q62),ISNUMBER('Semi Rev'!P62)),'Semi Rev'!Q62-'Semi Rev'!P62,""),"")</f>
        <v/>
      </c>
      <c r="N631" s="31">
        <f>IFERROR(IF(AND(ISNUMBER('Semi Rev'!R62),ISNUMBER('Semi Rev'!Q62)),'Semi Rev'!R62-'Semi Rev'!Q62,""),"")</f>
        <v/>
      </c>
    </row>
    <row r="632">
      <c r="A632" s="19">
        <f>'Semi Rev'!$A63</f>
        <v/>
      </c>
      <c r="B632" s="19">
        <f>'Semi Rev'!$B63</f>
        <v/>
      </c>
      <c r="C632" s="30">
        <f>IFERROR(IF(AND(ISNUMBER('Semi Rev'!G63),ISNUMBER('Semi Rev'!F63)),'Semi Rev'!G63-'Semi Rev'!F63,""),"")</f>
        <v/>
      </c>
      <c r="D632" s="30">
        <f>IFERROR(IF(AND(ISNUMBER('Semi Rev'!H63),ISNUMBER('Semi Rev'!G63)),'Semi Rev'!H63-'Semi Rev'!G63,""),"")</f>
        <v/>
      </c>
      <c r="E632" s="30">
        <f>IFERROR(IF(AND(ISNUMBER('Semi Rev'!I63),ISNUMBER('Semi Rev'!H63)),'Semi Rev'!I63-'Semi Rev'!H63,""),"")</f>
        <v/>
      </c>
      <c r="F632" s="30">
        <f>IFERROR(IF(AND(ISNUMBER('Semi Rev'!J63),ISNUMBER('Semi Rev'!I63)),'Semi Rev'!J63-'Semi Rev'!I63,""),"")</f>
        <v/>
      </c>
      <c r="G632" s="30">
        <f>IFERROR(IF(AND(ISNUMBER('Semi Rev'!K63),ISNUMBER('Semi Rev'!J63)),'Semi Rev'!K63-'Semi Rev'!J63,""),"")</f>
        <v/>
      </c>
      <c r="H632" s="30">
        <f>IFERROR(IF(AND(ISNUMBER('Semi Rev'!L63),ISNUMBER('Semi Rev'!K63)),'Semi Rev'!L63-'Semi Rev'!K63,""),"")</f>
        <v/>
      </c>
      <c r="I632" s="30">
        <f>IFERROR(IF(AND(ISNUMBER('Semi Rev'!M63),ISNUMBER('Semi Rev'!L63)),'Semi Rev'!M63-'Semi Rev'!L63,""),"")</f>
        <v/>
      </c>
      <c r="J632" s="30">
        <f>IFERROR(IF(AND(ISNUMBER('Semi Rev'!N63),ISNUMBER('Semi Rev'!M63)),'Semi Rev'!N63-'Semi Rev'!M63,""),"")</f>
        <v/>
      </c>
      <c r="K632" s="30">
        <f>IFERROR(IF(AND(ISNUMBER('Semi Rev'!O63),ISNUMBER('Semi Rev'!N63)),'Semi Rev'!O63-'Semi Rev'!N63,""),"")</f>
        <v/>
      </c>
      <c r="L632" s="30">
        <f>IFERROR(IF(AND(ISNUMBER('Semi Rev'!P63),ISNUMBER('Semi Rev'!O63)),'Semi Rev'!P63-'Semi Rev'!O63,""),"")</f>
        <v/>
      </c>
      <c r="M632" s="31">
        <f>IFERROR(IF(AND(ISNUMBER('Semi Rev'!Q63),ISNUMBER('Semi Rev'!P63)),'Semi Rev'!Q63-'Semi Rev'!P63,""),"")</f>
        <v/>
      </c>
      <c r="N632" s="31">
        <f>IFERROR(IF(AND(ISNUMBER('Semi Rev'!R63),ISNUMBER('Semi Rev'!Q63)),'Semi Rev'!R63-'Semi Rev'!Q63,""),"")</f>
        <v/>
      </c>
    </row>
    <row r="633">
      <c r="A633" s="19">
        <f>'Semi Rev'!$A64</f>
        <v/>
      </c>
      <c r="B633" s="19">
        <f>'Semi Rev'!$B64</f>
        <v/>
      </c>
      <c r="C633" s="30">
        <f>IFERROR(IF(AND(ISNUMBER('Semi Rev'!G64),ISNUMBER('Semi Rev'!F64)),'Semi Rev'!G64-'Semi Rev'!F64,""),"")</f>
        <v/>
      </c>
      <c r="D633" s="30">
        <f>IFERROR(IF(AND(ISNUMBER('Semi Rev'!H64),ISNUMBER('Semi Rev'!G64)),'Semi Rev'!H64-'Semi Rev'!G64,""),"")</f>
        <v/>
      </c>
      <c r="E633" s="30">
        <f>IFERROR(IF(AND(ISNUMBER('Semi Rev'!I64),ISNUMBER('Semi Rev'!H64)),'Semi Rev'!I64-'Semi Rev'!H64,""),"")</f>
        <v/>
      </c>
      <c r="F633" s="30">
        <f>IFERROR(IF(AND(ISNUMBER('Semi Rev'!J64),ISNUMBER('Semi Rev'!I64)),'Semi Rev'!J64-'Semi Rev'!I64,""),"")</f>
        <v/>
      </c>
      <c r="G633" s="30">
        <f>IFERROR(IF(AND(ISNUMBER('Semi Rev'!K64),ISNUMBER('Semi Rev'!J64)),'Semi Rev'!K64-'Semi Rev'!J64,""),"")</f>
        <v/>
      </c>
      <c r="H633" s="30">
        <f>IFERROR(IF(AND(ISNUMBER('Semi Rev'!L64),ISNUMBER('Semi Rev'!K64)),'Semi Rev'!L64-'Semi Rev'!K64,""),"")</f>
        <v/>
      </c>
      <c r="I633" s="30">
        <f>IFERROR(IF(AND(ISNUMBER('Semi Rev'!M64),ISNUMBER('Semi Rev'!L64)),'Semi Rev'!M64-'Semi Rev'!L64,""),"")</f>
        <v/>
      </c>
      <c r="J633" s="30">
        <f>IFERROR(IF(AND(ISNUMBER('Semi Rev'!N64),ISNUMBER('Semi Rev'!M64)),'Semi Rev'!N64-'Semi Rev'!M64,""),"")</f>
        <v/>
      </c>
      <c r="K633" s="30">
        <f>IFERROR(IF(AND(ISNUMBER('Semi Rev'!O64),ISNUMBER('Semi Rev'!N64)),'Semi Rev'!O64-'Semi Rev'!N64,""),"")</f>
        <v/>
      </c>
      <c r="L633" s="30">
        <f>IFERROR(IF(AND(ISNUMBER('Semi Rev'!P64),ISNUMBER('Semi Rev'!O64)),'Semi Rev'!P64-'Semi Rev'!O64,""),"")</f>
        <v/>
      </c>
      <c r="M633" s="31">
        <f>IFERROR(IF(AND(ISNUMBER('Semi Rev'!Q64),ISNUMBER('Semi Rev'!P64)),'Semi Rev'!Q64-'Semi Rev'!P64,""),"")</f>
        <v/>
      </c>
      <c r="N633" s="31">
        <f>IFERROR(IF(AND(ISNUMBER('Semi Rev'!R64),ISNUMBER('Semi Rev'!Q64)),'Semi Rev'!R64-'Semi Rev'!Q64,""),"")</f>
        <v/>
      </c>
    </row>
    <row r="634">
      <c r="A634" s="19">
        <f>'Semi Rev'!$A65</f>
        <v/>
      </c>
      <c r="B634" s="19">
        <f>'Semi Rev'!$B65</f>
        <v/>
      </c>
      <c r="C634" s="30">
        <f>IFERROR(IF(AND(ISNUMBER('Semi Rev'!G65),ISNUMBER('Semi Rev'!F65)),'Semi Rev'!G65-'Semi Rev'!F65,""),"")</f>
        <v/>
      </c>
      <c r="D634" s="30">
        <f>IFERROR(IF(AND(ISNUMBER('Semi Rev'!H65),ISNUMBER('Semi Rev'!G65)),'Semi Rev'!H65-'Semi Rev'!G65,""),"")</f>
        <v/>
      </c>
      <c r="E634" s="30">
        <f>IFERROR(IF(AND(ISNUMBER('Semi Rev'!I65),ISNUMBER('Semi Rev'!H65)),'Semi Rev'!I65-'Semi Rev'!H65,""),"")</f>
        <v/>
      </c>
      <c r="F634" s="30">
        <f>IFERROR(IF(AND(ISNUMBER('Semi Rev'!J65),ISNUMBER('Semi Rev'!I65)),'Semi Rev'!J65-'Semi Rev'!I65,""),"")</f>
        <v/>
      </c>
      <c r="G634" s="30">
        <f>IFERROR(IF(AND(ISNUMBER('Semi Rev'!K65),ISNUMBER('Semi Rev'!J65)),'Semi Rev'!K65-'Semi Rev'!J65,""),"")</f>
        <v/>
      </c>
      <c r="H634" s="30">
        <f>IFERROR(IF(AND(ISNUMBER('Semi Rev'!L65),ISNUMBER('Semi Rev'!K65)),'Semi Rev'!L65-'Semi Rev'!K65,""),"")</f>
        <v/>
      </c>
      <c r="I634" s="30">
        <f>IFERROR(IF(AND(ISNUMBER('Semi Rev'!M65),ISNUMBER('Semi Rev'!L65)),'Semi Rev'!M65-'Semi Rev'!L65,""),"")</f>
        <v/>
      </c>
      <c r="J634" s="30">
        <f>IFERROR(IF(AND(ISNUMBER('Semi Rev'!N65),ISNUMBER('Semi Rev'!M65)),'Semi Rev'!N65-'Semi Rev'!M65,""),"")</f>
        <v/>
      </c>
      <c r="K634" s="30">
        <f>IFERROR(IF(AND(ISNUMBER('Semi Rev'!O65),ISNUMBER('Semi Rev'!N65)),'Semi Rev'!O65-'Semi Rev'!N65,""),"")</f>
        <v/>
      </c>
      <c r="L634" s="30">
        <f>IFERROR(IF(AND(ISNUMBER('Semi Rev'!P65),ISNUMBER('Semi Rev'!O65)),'Semi Rev'!P65-'Semi Rev'!O65,""),"")</f>
        <v/>
      </c>
      <c r="M634" s="31">
        <f>IFERROR(IF(AND(ISNUMBER('Semi Rev'!Q65),ISNUMBER('Semi Rev'!P65)),'Semi Rev'!Q65-'Semi Rev'!P65,""),"")</f>
        <v/>
      </c>
      <c r="N634" s="31">
        <f>IFERROR(IF(AND(ISNUMBER('Semi Rev'!R65),ISNUMBER('Semi Rev'!Q65)),'Semi Rev'!R65-'Semi Rev'!Q65,""),"")</f>
        <v/>
      </c>
    </row>
    <row r="635">
      <c r="A635" s="19">
        <f>'Semi Rev'!$A66</f>
        <v/>
      </c>
      <c r="B635" s="19">
        <f>'Semi Rev'!$B66</f>
        <v/>
      </c>
      <c r="C635" s="30">
        <f>IFERROR(IF(AND(ISNUMBER('Semi Rev'!G66),ISNUMBER('Semi Rev'!F66)),'Semi Rev'!G66-'Semi Rev'!F66,""),"")</f>
        <v/>
      </c>
      <c r="D635" s="30">
        <f>IFERROR(IF(AND(ISNUMBER('Semi Rev'!H66),ISNUMBER('Semi Rev'!G66)),'Semi Rev'!H66-'Semi Rev'!G66,""),"")</f>
        <v/>
      </c>
      <c r="E635" s="30">
        <f>IFERROR(IF(AND(ISNUMBER('Semi Rev'!I66),ISNUMBER('Semi Rev'!H66)),'Semi Rev'!I66-'Semi Rev'!H66,""),"")</f>
        <v/>
      </c>
      <c r="F635" s="30">
        <f>IFERROR(IF(AND(ISNUMBER('Semi Rev'!J66),ISNUMBER('Semi Rev'!I66)),'Semi Rev'!J66-'Semi Rev'!I66,""),"")</f>
        <v/>
      </c>
      <c r="G635" s="30">
        <f>IFERROR(IF(AND(ISNUMBER('Semi Rev'!K66),ISNUMBER('Semi Rev'!J66)),'Semi Rev'!K66-'Semi Rev'!J66,""),"")</f>
        <v/>
      </c>
      <c r="H635" s="30">
        <f>IFERROR(IF(AND(ISNUMBER('Semi Rev'!L66),ISNUMBER('Semi Rev'!K66)),'Semi Rev'!L66-'Semi Rev'!K66,""),"")</f>
        <v/>
      </c>
      <c r="I635" s="30">
        <f>IFERROR(IF(AND(ISNUMBER('Semi Rev'!M66),ISNUMBER('Semi Rev'!L66)),'Semi Rev'!M66-'Semi Rev'!L66,""),"")</f>
        <v/>
      </c>
      <c r="J635" s="30">
        <f>IFERROR(IF(AND(ISNUMBER('Semi Rev'!N66),ISNUMBER('Semi Rev'!M66)),'Semi Rev'!N66-'Semi Rev'!M66,""),"")</f>
        <v/>
      </c>
      <c r="K635" s="30">
        <f>IFERROR(IF(AND(ISNUMBER('Semi Rev'!O66),ISNUMBER('Semi Rev'!N66)),'Semi Rev'!O66-'Semi Rev'!N66,""),"")</f>
        <v/>
      </c>
      <c r="L635" s="30">
        <f>IFERROR(IF(AND(ISNUMBER('Semi Rev'!P66),ISNUMBER('Semi Rev'!O66)),'Semi Rev'!P66-'Semi Rev'!O66,""),"")</f>
        <v/>
      </c>
      <c r="M635" s="31">
        <f>IFERROR(IF(AND(ISNUMBER('Semi Rev'!Q66),ISNUMBER('Semi Rev'!P66)),'Semi Rev'!Q66-'Semi Rev'!P66,""),"")</f>
        <v/>
      </c>
      <c r="N635" s="31">
        <f>IFERROR(IF(AND(ISNUMBER('Semi Rev'!R66),ISNUMBER('Semi Rev'!Q66)),'Semi Rev'!R66-'Semi Rev'!Q66,""),"")</f>
        <v/>
      </c>
    </row>
    <row r="636">
      <c r="A636" s="19">
        <f>'Semi Rev'!$A67</f>
        <v/>
      </c>
      <c r="B636" s="19">
        <f>'Semi Rev'!$B67</f>
        <v/>
      </c>
      <c r="C636" s="30">
        <f>IFERROR(IF(AND(ISNUMBER('Semi Rev'!G67),ISNUMBER('Semi Rev'!F67)),'Semi Rev'!G67-'Semi Rev'!F67,""),"")</f>
        <v/>
      </c>
      <c r="D636" s="30">
        <f>IFERROR(IF(AND(ISNUMBER('Semi Rev'!H67),ISNUMBER('Semi Rev'!G67)),'Semi Rev'!H67-'Semi Rev'!G67,""),"")</f>
        <v/>
      </c>
      <c r="E636" s="30">
        <f>IFERROR(IF(AND(ISNUMBER('Semi Rev'!I67),ISNUMBER('Semi Rev'!H67)),'Semi Rev'!I67-'Semi Rev'!H67,""),"")</f>
        <v/>
      </c>
      <c r="F636" s="30">
        <f>IFERROR(IF(AND(ISNUMBER('Semi Rev'!J67),ISNUMBER('Semi Rev'!I67)),'Semi Rev'!J67-'Semi Rev'!I67,""),"")</f>
        <v/>
      </c>
      <c r="G636" s="30">
        <f>IFERROR(IF(AND(ISNUMBER('Semi Rev'!K67),ISNUMBER('Semi Rev'!J67)),'Semi Rev'!K67-'Semi Rev'!J67,""),"")</f>
        <v/>
      </c>
      <c r="H636" s="30">
        <f>IFERROR(IF(AND(ISNUMBER('Semi Rev'!L67),ISNUMBER('Semi Rev'!K67)),'Semi Rev'!L67-'Semi Rev'!K67,""),"")</f>
        <v/>
      </c>
      <c r="I636" s="30">
        <f>IFERROR(IF(AND(ISNUMBER('Semi Rev'!M67),ISNUMBER('Semi Rev'!L67)),'Semi Rev'!M67-'Semi Rev'!L67,""),"")</f>
        <v/>
      </c>
      <c r="J636" s="30">
        <f>IFERROR(IF(AND(ISNUMBER('Semi Rev'!N67),ISNUMBER('Semi Rev'!M67)),'Semi Rev'!N67-'Semi Rev'!M67,""),"")</f>
        <v/>
      </c>
      <c r="K636" s="30">
        <f>IFERROR(IF(AND(ISNUMBER('Semi Rev'!O67),ISNUMBER('Semi Rev'!N67)),'Semi Rev'!O67-'Semi Rev'!N67,""),"")</f>
        <v/>
      </c>
      <c r="L636" s="30">
        <f>IFERROR(IF(AND(ISNUMBER('Semi Rev'!P67),ISNUMBER('Semi Rev'!O67)),'Semi Rev'!P67-'Semi Rev'!O67,""),"")</f>
        <v/>
      </c>
      <c r="M636" s="31">
        <f>IFERROR(IF(AND(ISNUMBER('Semi Rev'!Q67),ISNUMBER('Semi Rev'!P67)),'Semi Rev'!Q67-'Semi Rev'!P67,""),"")</f>
        <v/>
      </c>
      <c r="N636" s="31">
        <f>IFERROR(IF(AND(ISNUMBER('Semi Rev'!R67),ISNUMBER('Semi Rev'!Q67)),'Semi Rev'!R67-'Semi Rev'!Q67,""),"")</f>
        <v/>
      </c>
    </row>
    <row r="637">
      <c r="A637" s="19">
        <f>'Semi Rev'!$A68</f>
        <v/>
      </c>
      <c r="B637" s="19">
        <f>'Semi Rev'!$B68</f>
        <v/>
      </c>
      <c r="C637" s="30">
        <f>IFERROR(IF(AND(ISNUMBER('Semi Rev'!G68),ISNUMBER('Semi Rev'!F68)),'Semi Rev'!G68-'Semi Rev'!F68,""),"")</f>
        <v/>
      </c>
      <c r="D637" s="30">
        <f>IFERROR(IF(AND(ISNUMBER('Semi Rev'!H68),ISNUMBER('Semi Rev'!G68)),'Semi Rev'!H68-'Semi Rev'!G68,""),"")</f>
        <v/>
      </c>
      <c r="E637" s="30">
        <f>IFERROR(IF(AND(ISNUMBER('Semi Rev'!I68),ISNUMBER('Semi Rev'!H68)),'Semi Rev'!I68-'Semi Rev'!H68,""),"")</f>
        <v/>
      </c>
      <c r="F637" s="30">
        <f>IFERROR(IF(AND(ISNUMBER('Semi Rev'!J68),ISNUMBER('Semi Rev'!I68)),'Semi Rev'!J68-'Semi Rev'!I68,""),"")</f>
        <v/>
      </c>
      <c r="G637" s="30">
        <f>IFERROR(IF(AND(ISNUMBER('Semi Rev'!K68),ISNUMBER('Semi Rev'!J68)),'Semi Rev'!K68-'Semi Rev'!J68,""),"")</f>
        <v/>
      </c>
      <c r="H637" s="30">
        <f>IFERROR(IF(AND(ISNUMBER('Semi Rev'!L68),ISNUMBER('Semi Rev'!K68)),'Semi Rev'!L68-'Semi Rev'!K68,""),"")</f>
        <v/>
      </c>
      <c r="I637" s="30">
        <f>IFERROR(IF(AND(ISNUMBER('Semi Rev'!M68),ISNUMBER('Semi Rev'!L68)),'Semi Rev'!M68-'Semi Rev'!L68,""),"")</f>
        <v/>
      </c>
      <c r="J637" s="30">
        <f>IFERROR(IF(AND(ISNUMBER('Semi Rev'!N68),ISNUMBER('Semi Rev'!M68)),'Semi Rev'!N68-'Semi Rev'!M68,""),"")</f>
        <v/>
      </c>
      <c r="K637" s="30">
        <f>IFERROR(IF(AND(ISNUMBER('Semi Rev'!O68),ISNUMBER('Semi Rev'!N68)),'Semi Rev'!O68-'Semi Rev'!N68,""),"")</f>
        <v/>
      </c>
      <c r="L637" s="30">
        <f>IFERROR(IF(AND(ISNUMBER('Semi Rev'!P68),ISNUMBER('Semi Rev'!O68)),'Semi Rev'!P68-'Semi Rev'!O68,""),"")</f>
        <v/>
      </c>
      <c r="M637" s="31">
        <f>IFERROR(IF(AND(ISNUMBER('Semi Rev'!Q68),ISNUMBER('Semi Rev'!P68)),'Semi Rev'!Q68-'Semi Rev'!P68,""),"")</f>
        <v/>
      </c>
      <c r="N637" s="31">
        <f>IFERROR(IF(AND(ISNUMBER('Semi Rev'!R68),ISNUMBER('Semi Rev'!Q68)),'Semi Rev'!R68-'Semi Rev'!Q68,""),"")</f>
        <v/>
      </c>
    </row>
    <row r="638">
      <c r="A638" s="19">
        <f>'Semi Rev'!$A69</f>
        <v/>
      </c>
      <c r="B638" s="19">
        <f>'Semi Rev'!$B69</f>
        <v/>
      </c>
      <c r="C638" s="30">
        <f>IFERROR(IF(AND(ISNUMBER('Semi Rev'!G69),ISNUMBER('Semi Rev'!F69)),'Semi Rev'!G69-'Semi Rev'!F69,""),"")</f>
        <v/>
      </c>
      <c r="D638" s="30">
        <f>IFERROR(IF(AND(ISNUMBER('Semi Rev'!H69),ISNUMBER('Semi Rev'!G69)),'Semi Rev'!H69-'Semi Rev'!G69,""),"")</f>
        <v/>
      </c>
      <c r="E638" s="30">
        <f>IFERROR(IF(AND(ISNUMBER('Semi Rev'!I69),ISNUMBER('Semi Rev'!H69)),'Semi Rev'!I69-'Semi Rev'!H69,""),"")</f>
        <v/>
      </c>
      <c r="F638" s="30">
        <f>IFERROR(IF(AND(ISNUMBER('Semi Rev'!J69),ISNUMBER('Semi Rev'!I69)),'Semi Rev'!J69-'Semi Rev'!I69,""),"")</f>
        <v/>
      </c>
      <c r="G638" s="30">
        <f>IFERROR(IF(AND(ISNUMBER('Semi Rev'!K69),ISNUMBER('Semi Rev'!J69)),'Semi Rev'!K69-'Semi Rev'!J69,""),"")</f>
        <v/>
      </c>
      <c r="H638" s="30">
        <f>IFERROR(IF(AND(ISNUMBER('Semi Rev'!L69),ISNUMBER('Semi Rev'!K69)),'Semi Rev'!L69-'Semi Rev'!K69,""),"")</f>
        <v/>
      </c>
      <c r="I638" s="30">
        <f>IFERROR(IF(AND(ISNUMBER('Semi Rev'!M69),ISNUMBER('Semi Rev'!L69)),'Semi Rev'!M69-'Semi Rev'!L69,""),"")</f>
        <v/>
      </c>
      <c r="J638" s="30">
        <f>IFERROR(IF(AND(ISNUMBER('Semi Rev'!N69),ISNUMBER('Semi Rev'!M69)),'Semi Rev'!N69-'Semi Rev'!M69,""),"")</f>
        <v/>
      </c>
      <c r="K638" s="30">
        <f>IFERROR(IF(AND(ISNUMBER('Semi Rev'!O69),ISNUMBER('Semi Rev'!N69)),'Semi Rev'!O69-'Semi Rev'!N69,""),"")</f>
        <v/>
      </c>
      <c r="L638" s="30">
        <f>IFERROR(IF(AND(ISNUMBER('Semi Rev'!P69),ISNUMBER('Semi Rev'!O69)),'Semi Rev'!P69-'Semi Rev'!O69,""),"")</f>
        <v/>
      </c>
      <c r="M638" s="31">
        <f>IFERROR(IF(AND(ISNUMBER('Semi Rev'!Q69),ISNUMBER('Semi Rev'!P69)),'Semi Rev'!Q69-'Semi Rev'!P69,""),"")</f>
        <v/>
      </c>
      <c r="N638" s="31">
        <f>IFERROR(IF(AND(ISNUMBER('Semi Rev'!R69),ISNUMBER('Semi Rev'!Q69)),'Semi Rev'!R69-'Semi Rev'!Q69,""),"")</f>
        <v/>
      </c>
    </row>
    <row r="639">
      <c r="A639" s="19">
        <f>'Semi Rev'!$A70</f>
        <v/>
      </c>
      <c r="B639" s="19">
        <f>'Semi Rev'!$B70</f>
        <v/>
      </c>
      <c r="C639" s="30">
        <f>IFERROR(IF(AND(ISNUMBER('Semi Rev'!G70),ISNUMBER('Semi Rev'!F70)),'Semi Rev'!G70-'Semi Rev'!F70,""),"")</f>
        <v/>
      </c>
      <c r="D639" s="30">
        <f>IFERROR(IF(AND(ISNUMBER('Semi Rev'!H70),ISNUMBER('Semi Rev'!G70)),'Semi Rev'!H70-'Semi Rev'!G70,""),"")</f>
        <v/>
      </c>
      <c r="E639" s="30">
        <f>IFERROR(IF(AND(ISNUMBER('Semi Rev'!I70),ISNUMBER('Semi Rev'!H70)),'Semi Rev'!I70-'Semi Rev'!H70,""),"")</f>
        <v/>
      </c>
      <c r="F639" s="30">
        <f>IFERROR(IF(AND(ISNUMBER('Semi Rev'!J70),ISNUMBER('Semi Rev'!I70)),'Semi Rev'!J70-'Semi Rev'!I70,""),"")</f>
        <v/>
      </c>
      <c r="G639" s="30">
        <f>IFERROR(IF(AND(ISNUMBER('Semi Rev'!K70),ISNUMBER('Semi Rev'!J70)),'Semi Rev'!K70-'Semi Rev'!J70,""),"")</f>
        <v/>
      </c>
      <c r="H639" s="30">
        <f>IFERROR(IF(AND(ISNUMBER('Semi Rev'!L70),ISNUMBER('Semi Rev'!K70)),'Semi Rev'!L70-'Semi Rev'!K70,""),"")</f>
        <v/>
      </c>
      <c r="I639" s="30">
        <f>IFERROR(IF(AND(ISNUMBER('Semi Rev'!M70),ISNUMBER('Semi Rev'!L70)),'Semi Rev'!M70-'Semi Rev'!L70,""),"")</f>
        <v/>
      </c>
      <c r="J639" s="30">
        <f>IFERROR(IF(AND(ISNUMBER('Semi Rev'!N70),ISNUMBER('Semi Rev'!M70)),'Semi Rev'!N70-'Semi Rev'!M70,""),"")</f>
        <v/>
      </c>
      <c r="K639" s="30">
        <f>IFERROR(IF(AND(ISNUMBER('Semi Rev'!O70),ISNUMBER('Semi Rev'!N70)),'Semi Rev'!O70-'Semi Rev'!N70,""),"")</f>
        <v/>
      </c>
      <c r="L639" s="30">
        <f>IFERROR(IF(AND(ISNUMBER('Semi Rev'!P70),ISNUMBER('Semi Rev'!O70)),'Semi Rev'!P70-'Semi Rev'!O70,""),"")</f>
        <v/>
      </c>
      <c r="M639" s="31">
        <f>IFERROR(IF(AND(ISNUMBER('Semi Rev'!Q70),ISNUMBER('Semi Rev'!P70)),'Semi Rev'!Q70-'Semi Rev'!P70,""),"")</f>
        <v/>
      </c>
      <c r="N639" s="31">
        <f>IFERROR(IF(AND(ISNUMBER('Semi Rev'!R70),ISNUMBER('Semi Rev'!Q70)),'Semi Rev'!R70-'Semi Rev'!Q70,""),"")</f>
        <v/>
      </c>
    </row>
    <row r="640">
      <c r="A640" s="19">
        <f>'Semi Rev'!$A71</f>
        <v/>
      </c>
      <c r="B640" s="19">
        <f>'Semi Rev'!$B71</f>
        <v/>
      </c>
      <c r="C640" s="30">
        <f>IFERROR(IF(AND(ISNUMBER('Semi Rev'!G71),ISNUMBER('Semi Rev'!F71)),'Semi Rev'!G71-'Semi Rev'!F71,""),"")</f>
        <v/>
      </c>
      <c r="D640" s="30">
        <f>IFERROR(IF(AND(ISNUMBER('Semi Rev'!H71),ISNUMBER('Semi Rev'!G71)),'Semi Rev'!H71-'Semi Rev'!G71,""),"")</f>
        <v/>
      </c>
      <c r="E640" s="30">
        <f>IFERROR(IF(AND(ISNUMBER('Semi Rev'!I71),ISNUMBER('Semi Rev'!H71)),'Semi Rev'!I71-'Semi Rev'!H71,""),"")</f>
        <v/>
      </c>
      <c r="F640" s="30">
        <f>IFERROR(IF(AND(ISNUMBER('Semi Rev'!J71),ISNUMBER('Semi Rev'!I71)),'Semi Rev'!J71-'Semi Rev'!I71,""),"")</f>
        <v/>
      </c>
      <c r="G640" s="30">
        <f>IFERROR(IF(AND(ISNUMBER('Semi Rev'!K71),ISNUMBER('Semi Rev'!J71)),'Semi Rev'!K71-'Semi Rev'!J71,""),"")</f>
        <v/>
      </c>
      <c r="H640" s="30">
        <f>IFERROR(IF(AND(ISNUMBER('Semi Rev'!L71),ISNUMBER('Semi Rev'!K71)),'Semi Rev'!L71-'Semi Rev'!K71,""),"")</f>
        <v/>
      </c>
      <c r="I640" s="30">
        <f>IFERROR(IF(AND(ISNUMBER('Semi Rev'!M71),ISNUMBER('Semi Rev'!L71)),'Semi Rev'!M71-'Semi Rev'!L71,""),"")</f>
        <v/>
      </c>
      <c r="J640" s="30">
        <f>IFERROR(IF(AND(ISNUMBER('Semi Rev'!N71),ISNUMBER('Semi Rev'!M71)),'Semi Rev'!N71-'Semi Rev'!M71,""),"")</f>
        <v/>
      </c>
      <c r="K640" s="30">
        <f>IFERROR(IF(AND(ISNUMBER('Semi Rev'!O71),ISNUMBER('Semi Rev'!N71)),'Semi Rev'!O71-'Semi Rev'!N71,""),"")</f>
        <v/>
      </c>
      <c r="L640" s="30">
        <f>IFERROR(IF(AND(ISNUMBER('Semi Rev'!P71),ISNUMBER('Semi Rev'!O71)),'Semi Rev'!P71-'Semi Rev'!O71,""),"")</f>
        <v/>
      </c>
      <c r="M640" s="31">
        <f>IFERROR(IF(AND(ISNUMBER('Semi Rev'!Q71),ISNUMBER('Semi Rev'!P71)),'Semi Rev'!Q71-'Semi Rev'!P71,""),"")</f>
        <v/>
      </c>
      <c r="N640" s="31">
        <f>IFERROR(IF(AND(ISNUMBER('Semi Rev'!R71),ISNUMBER('Semi Rev'!Q71)),'Semi Rev'!R71-'Semi Rev'!Q71,""),"")</f>
        <v/>
      </c>
    </row>
    <row r="641">
      <c r="A641" s="19">
        <f>'Semi Rev'!$A72</f>
        <v/>
      </c>
      <c r="B641" s="19">
        <f>'Semi Rev'!$B72</f>
        <v/>
      </c>
      <c r="C641" s="30">
        <f>IFERROR(IF(AND(ISNUMBER('Semi Rev'!G72),ISNUMBER('Semi Rev'!F72)),'Semi Rev'!G72-'Semi Rev'!F72,""),"")</f>
        <v/>
      </c>
      <c r="D641" s="30">
        <f>IFERROR(IF(AND(ISNUMBER('Semi Rev'!H72),ISNUMBER('Semi Rev'!G72)),'Semi Rev'!H72-'Semi Rev'!G72,""),"")</f>
        <v/>
      </c>
      <c r="E641" s="30">
        <f>IFERROR(IF(AND(ISNUMBER('Semi Rev'!I72),ISNUMBER('Semi Rev'!H72)),'Semi Rev'!I72-'Semi Rev'!H72,""),"")</f>
        <v/>
      </c>
      <c r="F641" s="30">
        <f>IFERROR(IF(AND(ISNUMBER('Semi Rev'!J72),ISNUMBER('Semi Rev'!I72)),'Semi Rev'!J72-'Semi Rev'!I72,""),"")</f>
        <v/>
      </c>
      <c r="G641" s="30">
        <f>IFERROR(IF(AND(ISNUMBER('Semi Rev'!K72),ISNUMBER('Semi Rev'!J72)),'Semi Rev'!K72-'Semi Rev'!J72,""),"")</f>
        <v/>
      </c>
      <c r="H641" s="30">
        <f>IFERROR(IF(AND(ISNUMBER('Semi Rev'!L72),ISNUMBER('Semi Rev'!K72)),'Semi Rev'!L72-'Semi Rev'!K72,""),"")</f>
        <v/>
      </c>
      <c r="I641" s="30">
        <f>IFERROR(IF(AND(ISNUMBER('Semi Rev'!M72),ISNUMBER('Semi Rev'!L72)),'Semi Rev'!M72-'Semi Rev'!L72,""),"")</f>
        <v/>
      </c>
      <c r="J641" s="30">
        <f>IFERROR(IF(AND(ISNUMBER('Semi Rev'!N72),ISNUMBER('Semi Rev'!M72)),'Semi Rev'!N72-'Semi Rev'!M72,""),"")</f>
        <v/>
      </c>
      <c r="K641" s="30">
        <f>IFERROR(IF(AND(ISNUMBER('Semi Rev'!O72),ISNUMBER('Semi Rev'!N72)),'Semi Rev'!O72-'Semi Rev'!N72,""),"")</f>
        <v/>
      </c>
      <c r="L641" s="30">
        <f>IFERROR(IF(AND(ISNUMBER('Semi Rev'!P72),ISNUMBER('Semi Rev'!O72)),'Semi Rev'!P72-'Semi Rev'!O72,""),"")</f>
        <v/>
      </c>
      <c r="M641" s="31">
        <f>IFERROR(IF(AND(ISNUMBER('Semi Rev'!Q72),ISNUMBER('Semi Rev'!P72)),'Semi Rev'!Q72-'Semi Rev'!P72,""),"")</f>
        <v/>
      </c>
      <c r="N641" s="31">
        <f>IFERROR(IF(AND(ISNUMBER('Semi Rev'!R72),ISNUMBER('Semi Rev'!Q72)),'Semi Rev'!R72-'Semi Rev'!Q72,""),"")</f>
        <v/>
      </c>
    </row>
    <row r="642">
      <c r="A642" s="19">
        <f>'Semi Rev'!$A73</f>
        <v/>
      </c>
      <c r="B642" s="19">
        <f>'Semi Rev'!$B73</f>
        <v/>
      </c>
      <c r="C642" s="30">
        <f>IFERROR(IF(AND(ISNUMBER('Semi Rev'!G73),ISNUMBER('Semi Rev'!F73)),'Semi Rev'!G73-'Semi Rev'!F73,""),"")</f>
        <v/>
      </c>
      <c r="D642" s="30">
        <f>IFERROR(IF(AND(ISNUMBER('Semi Rev'!H73),ISNUMBER('Semi Rev'!G73)),'Semi Rev'!H73-'Semi Rev'!G73,""),"")</f>
        <v/>
      </c>
      <c r="E642" s="30">
        <f>IFERROR(IF(AND(ISNUMBER('Semi Rev'!I73),ISNUMBER('Semi Rev'!H73)),'Semi Rev'!I73-'Semi Rev'!H73,""),"")</f>
        <v/>
      </c>
      <c r="F642" s="30">
        <f>IFERROR(IF(AND(ISNUMBER('Semi Rev'!J73),ISNUMBER('Semi Rev'!I73)),'Semi Rev'!J73-'Semi Rev'!I73,""),"")</f>
        <v/>
      </c>
      <c r="G642" s="30">
        <f>IFERROR(IF(AND(ISNUMBER('Semi Rev'!K73),ISNUMBER('Semi Rev'!J73)),'Semi Rev'!K73-'Semi Rev'!J73,""),"")</f>
        <v/>
      </c>
      <c r="H642" s="30">
        <f>IFERROR(IF(AND(ISNUMBER('Semi Rev'!L73),ISNUMBER('Semi Rev'!K73)),'Semi Rev'!L73-'Semi Rev'!K73,""),"")</f>
        <v/>
      </c>
      <c r="I642" s="30">
        <f>IFERROR(IF(AND(ISNUMBER('Semi Rev'!M73),ISNUMBER('Semi Rev'!L73)),'Semi Rev'!M73-'Semi Rev'!L73,""),"")</f>
        <v/>
      </c>
      <c r="J642" s="30">
        <f>IFERROR(IF(AND(ISNUMBER('Semi Rev'!N73),ISNUMBER('Semi Rev'!M73)),'Semi Rev'!N73-'Semi Rev'!M73,""),"")</f>
        <v/>
      </c>
      <c r="K642" s="30">
        <f>IFERROR(IF(AND(ISNUMBER('Semi Rev'!O73),ISNUMBER('Semi Rev'!N73)),'Semi Rev'!O73-'Semi Rev'!N73,""),"")</f>
        <v/>
      </c>
      <c r="L642" s="30">
        <f>IFERROR(IF(AND(ISNUMBER('Semi Rev'!P73),ISNUMBER('Semi Rev'!O73)),'Semi Rev'!P73-'Semi Rev'!O73,""),"")</f>
        <v/>
      </c>
      <c r="M642" s="31">
        <f>IFERROR(IF(AND(ISNUMBER('Semi Rev'!Q73),ISNUMBER('Semi Rev'!P73)),'Semi Rev'!Q73-'Semi Rev'!P73,""),"")</f>
        <v/>
      </c>
      <c r="N642" s="31">
        <f>IFERROR(IF(AND(ISNUMBER('Semi Rev'!R73),ISNUMBER('Semi Rev'!Q73)),'Semi Rev'!R73-'Semi Rev'!Q73,""),"")</f>
        <v/>
      </c>
    </row>
    <row r="643">
      <c r="A643" s="19">
        <f>'Semi Rev'!$A74</f>
        <v/>
      </c>
      <c r="B643" s="19">
        <f>'Semi Rev'!$B74</f>
        <v/>
      </c>
      <c r="C643" s="30">
        <f>IFERROR(IF(AND(ISNUMBER('Semi Rev'!G74),ISNUMBER('Semi Rev'!F74)),'Semi Rev'!G74-'Semi Rev'!F74,""),"")</f>
        <v/>
      </c>
      <c r="D643" s="30">
        <f>IFERROR(IF(AND(ISNUMBER('Semi Rev'!H74),ISNUMBER('Semi Rev'!G74)),'Semi Rev'!H74-'Semi Rev'!G74,""),"")</f>
        <v/>
      </c>
      <c r="E643" s="30">
        <f>IFERROR(IF(AND(ISNUMBER('Semi Rev'!I74),ISNUMBER('Semi Rev'!H74)),'Semi Rev'!I74-'Semi Rev'!H74,""),"")</f>
        <v/>
      </c>
      <c r="F643" s="30">
        <f>IFERROR(IF(AND(ISNUMBER('Semi Rev'!J74),ISNUMBER('Semi Rev'!I74)),'Semi Rev'!J74-'Semi Rev'!I74,""),"")</f>
        <v/>
      </c>
      <c r="G643" s="30">
        <f>IFERROR(IF(AND(ISNUMBER('Semi Rev'!K74),ISNUMBER('Semi Rev'!J74)),'Semi Rev'!K74-'Semi Rev'!J74,""),"")</f>
        <v/>
      </c>
      <c r="H643" s="30">
        <f>IFERROR(IF(AND(ISNUMBER('Semi Rev'!L74),ISNUMBER('Semi Rev'!K74)),'Semi Rev'!L74-'Semi Rev'!K74,""),"")</f>
        <v/>
      </c>
      <c r="I643" s="30">
        <f>IFERROR(IF(AND(ISNUMBER('Semi Rev'!M74),ISNUMBER('Semi Rev'!L74)),'Semi Rev'!M74-'Semi Rev'!L74,""),"")</f>
        <v/>
      </c>
      <c r="J643" s="30">
        <f>IFERROR(IF(AND(ISNUMBER('Semi Rev'!N74),ISNUMBER('Semi Rev'!M74)),'Semi Rev'!N74-'Semi Rev'!M74,""),"")</f>
        <v/>
      </c>
      <c r="K643" s="30">
        <f>IFERROR(IF(AND(ISNUMBER('Semi Rev'!O74),ISNUMBER('Semi Rev'!N74)),'Semi Rev'!O74-'Semi Rev'!N74,""),"")</f>
        <v/>
      </c>
      <c r="L643" s="30">
        <f>IFERROR(IF(AND(ISNUMBER('Semi Rev'!P74),ISNUMBER('Semi Rev'!O74)),'Semi Rev'!P74-'Semi Rev'!O74,""),"")</f>
        <v/>
      </c>
      <c r="M643" s="31">
        <f>IFERROR(IF(AND(ISNUMBER('Semi Rev'!Q74),ISNUMBER('Semi Rev'!P74)),'Semi Rev'!Q74-'Semi Rev'!P74,""),"")</f>
        <v/>
      </c>
      <c r="N643" s="31">
        <f>IFERROR(IF(AND(ISNUMBER('Semi Rev'!R74),ISNUMBER('Semi Rev'!Q74)),'Semi Rev'!R74-'Semi Rev'!Q74,""),"")</f>
        <v/>
      </c>
    </row>
    <row r="644">
      <c r="A644" s="19">
        <f>'Semi Rev'!$A75</f>
        <v/>
      </c>
      <c r="B644" s="19">
        <f>'Semi Rev'!$B75</f>
        <v/>
      </c>
      <c r="C644" s="30">
        <f>IFERROR(IF(AND(ISNUMBER('Semi Rev'!G75),ISNUMBER('Semi Rev'!F75)),'Semi Rev'!G75-'Semi Rev'!F75,""),"")</f>
        <v/>
      </c>
      <c r="D644" s="30">
        <f>IFERROR(IF(AND(ISNUMBER('Semi Rev'!H75),ISNUMBER('Semi Rev'!G75)),'Semi Rev'!H75-'Semi Rev'!G75,""),"")</f>
        <v/>
      </c>
      <c r="E644" s="30">
        <f>IFERROR(IF(AND(ISNUMBER('Semi Rev'!I75),ISNUMBER('Semi Rev'!H75)),'Semi Rev'!I75-'Semi Rev'!H75,""),"")</f>
        <v/>
      </c>
      <c r="F644" s="30">
        <f>IFERROR(IF(AND(ISNUMBER('Semi Rev'!J75),ISNUMBER('Semi Rev'!I75)),'Semi Rev'!J75-'Semi Rev'!I75,""),"")</f>
        <v/>
      </c>
      <c r="G644" s="30">
        <f>IFERROR(IF(AND(ISNUMBER('Semi Rev'!K75),ISNUMBER('Semi Rev'!J75)),'Semi Rev'!K75-'Semi Rev'!J75,""),"")</f>
        <v/>
      </c>
      <c r="H644" s="30">
        <f>IFERROR(IF(AND(ISNUMBER('Semi Rev'!L75),ISNUMBER('Semi Rev'!K75)),'Semi Rev'!L75-'Semi Rev'!K75,""),"")</f>
        <v/>
      </c>
      <c r="I644" s="30">
        <f>IFERROR(IF(AND(ISNUMBER('Semi Rev'!M75),ISNUMBER('Semi Rev'!L75)),'Semi Rev'!M75-'Semi Rev'!L75,""),"")</f>
        <v/>
      </c>
      <c r="J644" s="30">
        <f>IFERROR(IF(AND(ISNUMBER('Semi Rev'!N75),ISNUMBER('Semi Rev'!M75)),'Semi Rev'!N75-'Semi Rev'!M75,""),"")</f>
        <v/>
      </c>
      <c r="K644" s="30">
        <f>IFERROR(IF(AND(ISNUMBER('Semi Rev'!O75),ISNUMBER('Semi Rev'!N75)),'Semi Rev'!O75-'Semi Rev'!N75,""),"")</f>
        <v/>
      </c>
      <c r="L644" s="30">
        <f>IFERROR(IF(AND(ISNUMBER('Semi Rev'!P75),ISNUMBER('Semi Rev'!O75)),'Semi Rev'!P75-'Semi Rev'!O75,""),"")</f>
        <v/>
      </c>
      <c r="M644" s="31">
        <f>IFERROR(IF(AND(ISNUMBER('Semi Rev'!Q75),ISNUMBER('Semi Rev'!P75)),'Semi Rev'!Q75-'Semi Rev'!P75,""),"")</f>
        <v/>
      </c>
      <c r="N644" s="31">
        <f>IFERROR(IF(AND(ISNUMBER('Semi Rev'!R75),ISNUMBER('Semi Rev'!Q75)),'Semi Rev'!R75-'Semi Rev'!Q75,""),"")</f>
        <v/>
      </c>
    </row>
    <row r="645">
      <c r="A645" s="19">
        <f>'Semi Rev'!$A76</f>
        <v/>
      </c>
      <c r="B645" s="19">
        <f>'Semi Rev'!$B76</f>
        <v/>
      </c>
      <c r="C645" s="30">
        <f>IFERROR(IF(AND(ISNUMBER('Semi Rev'!G76),ISNUMBER('Semi Rev'!F76)),'Semi Rev'!G76-'Semi Rev'!F76,""),"")</f>
        <v/>
      </c>
      <c r="D645" s="30">
        <f>IFERROR(IF(AND(ISNUMBER('Semi Rev'!H76),ISNUMBER('Semi Rev'!G76)),'Semi Rev'!H76-'Semi Rev'!G76,""),"")</f>
        <v/>
      </c>
      <c r="E645" s="30">
        <f>IFERROR(IF(AND(ISNUMBER('Semi Rev'!I76),ISNUMBER('Semi Rev'!H76)),'Semi Rev'!I76-'Semi Rev'!H76,""),"")</f>
        <v/>
      </c>
      <c r="F645" s="30">
        <f>IFERROR(IF(AND(ISNUMBER('Semi Rev'!J76),ISNUMBER('Semi Rev'!I76)),'Semi Rev'!J76-'Semi Rev'!I76,""),"")</f>
        <v/>
      </c>
      <c r="G645" s="30">
        <f>IFERROR(IF(AND(ISNUMBER('Semi Rev'!K76),ISNUMBER('Semi Rev'!J76)),'Semi Rev'!K76-'Semi Rev'!J76,""),"")</f>
        <v/>
      </c>
      <c r="H645" s="30">
        <f>IFERROR(IF(AND(ISNUMBER('Semi Rev'!L76),ISNUMBER('Semi Rev'!K76)),'Semi Rev'!L76-'Semi Rev'!K76,""),"")</f>
        <v/>
      </c>
      <c r="I645" s="30">
        <f>IFERROR(IF(AND(ISNUMBER('Semi Rev'!M76),ISNUMBER('Semi Rev'!L76)),'Semi Rev'!M76-'Semi Rev'!L76,""),"")</f>
        <v/>
      </c>
      <c r="J645" s="30">
        <f>IFERROR(IF(AND(ISNUMBER('Semi Rev'!N76),ISNUMBER('Semi Rev'!M76)),'Semi Rev'!N76-'Semi Rev'!M76,""),"")</f>
        <v/>
      </c>
      <c r="K645" s="30">
        <f>IFERROR(IF(AND(ISNUMBER('Semi Rev'!O76),ISNUMBER('Semi Rev'!N76)),'Semi Rev'!O76-'Semi Rev'!N76,""),"")</f>
        <v/>
      </c>
      <c r="L645" s="30">
        <f>IFERROR(IF(AND(ISNUMBER('Semi Rev'!P76),ISNUMBER('Semi Rev'!O76)),'Semi Rev'!P76-'Semi Rev'!O76,""),"")</f>
        <v/>
      </c>
      <c r="M645" s="31">
        <f>IFERROR(IF(AND(ISNUMBER('Semi Rev'!Q76),ISNUMBER('Semi Rev'!P76)),'Semi Rev'!Q76-'Semi Rev'!P76,""),"")</f>
        <v/>
      </c>
      <c r="N645" s="31">
        <f>IFERROR(IF(AND(ISNUMBER('Semi Rev'!R76),ISNUMBER('Semi Rev'!Q76)),'Semi Rev'!R76-'Semi Rev'!Q76,""),"")</f>
        <v/>
      </c>
    </row>
    <row r="646">
      <c r="A646" s="19">
        <f>'Semi Rev'!$A77</f>
        <v/>
      </c>
      <c r="B646" s="19">
        <f>'Semi Rev'!$B77</f>
        <v/>
      </c>
      <c r="C646" s="30">
        <f>IFERROR(IF(AND(ISNUMBER('Semi Rev'!G77),ISNUMBER('Semi Rev'!F77)),'Semi Rev'!G77-'Semi Rev'!F77,""),"")</f>
        <v/>
      </c>
      <c r="D646" s="30">
        <f>IFERROR(IF(AND(ISNUMBER('Semi Rev'!H77),ISNUMBER('Semi Rev'!G77)),'Semi Rev'!H77-'Semi Rev'!G77,""),"")</f>
        <v/>
      </c>
      <c r="E646" s="30">
        <f>IFERROR(IF(AND(ISNUMBER('Semi Rev'!I77),ISNUMBER('Semi Rev'!H77)),'Semi Rev'!I77-'Semi Rev'!H77,""),"")</f>
        <v/>
      </c>
      <c r="F646" s="30">
        <f>IFERROR(IF(AND(ISNUMBER('Semi Rev'!J77),ISNUMBER('Semi Rev'!I77)),'Semi Rev'!J77-'Semi Rev'!I77,""),"")</f>
        <v/>
      </c>
      <c r="G646" s="30">
        <f>IFERROR(IF(AND(ISNUMBER('Semi Rev'!K77),ISNUMBER('Semi Rev'!J77)),'Semi Rev'!K77-'Semi Rev'!J77,""),"")</f>
        <v/>
      </c>
      <c r="H646" s="30">
        <f>IFERROR(IF(AND(ISNUMBER('Semi Rev'!L77),ISNUMBER('Semi Rev'!K77)),'Semi Rev'!L77-'Semi Rev'!K77,""),"")</f>
        <v/>
      </c>
      <c r="I646" s="30">
        <f>IFERROR(IF(AND(ISNUMBER('Semi Rev'!M77),ISNUMBER('Semi Rev'!L77)),'Semi Rev'!M77-'Semi Rev'!L77,""),"")</f>
        <v/>
      </c>
      <c r="J646" s="30">
        <f>IFERROR(IF(AND(ISNUMBER('Semi Rev'!N77),ISNUMBER('Semi Rev'!M77)),'Semi Rev'!N77-'Semi Rev'!M77,""),"")</f>
        <v/>
      </c>
      <c r="K646" s="30">
        <f>IFERROR(IF(AND(ISNUMBER('Semi Rev'!O77),ISNUMBER('Semi Rev'!N77)),'Semi Rev'!O77-'Semi Rev'!N77,""),"")</f>
        <v/>
      </c>
      <c r="L646" s="30">
        <f>IFERROR(IF(AND(ISNUMBER('Semi Rev'!P77),ISNUMBER('Semi Rev'!O77)),'Semi Rev'!P77-'Semi Rev'!O77,""),"")</f>
        <v/>
      </c>
      <c r="M646" s="31">
        <f>IFERROR(IF(AND(ISNUMBER('Semi Rev'!Q77),ISNUMBER('Semi Rev'!P77)),'Semi Rev'!Q77-'Semi Rev'!P77,""),"")</f>
        <v/>
      </c>
      <c r="N646" s="31">
        <f>IFERROR(IF(AND(ISNUMBER('Semi Rev'!R77),ISNUMBER('Semi Rev'!Q77)),'Semi Rev'!R77-'Semi Rev'!Q77,""),"")</f>
        <v/>
      </c>
    </row>
    <row r="647">
      <c r="A647" s="19">
        <f>'Semi Rev'!$A78</f>
        <v/>
      </c>
      <c r="B647" s="19">
        <f>'Semi Rev'!$B78</f>
        <v/>
      </c>
      <c r="C647" s="30">
        <f>IFERROR(IF(AND(ISNUMBER('Semi Rev'!G78),ISNUMBER('Semi Rev'!F78)),'Semi Rev'!G78-'Semi Rev'!F78,""),"")</f>
        <v/>
      </c>
      <c r="D647" s="30">
        <f>IFERROR(IF(AND(ISNUMBER('Semi Rev'!H78),ISNUMBER('Semi Rev'!G78)),'Semi Rev'!H78-'Semi Rev'!G78,""),"")</f>
        <v/>
      </c>
      <c r="E647" s="30">
        <f>IFERROR(IF(AND(ISNUMBER('Semi Rev'!I78),ISNUMBER('Semi Rev'!H78)),'Semi Rev'!I78-'Semi Rev'!H78,""),"")</f>
        <v/>
      </c>
      <c r="F647" s="30">
        <f>IFERROR(IF(AND(ISNUMBER('Semi Rev'!J78),ISNUMBER('Semi Rev'!I78)),'Semi Rev'!J78-'Semi Rev'!I78,""),"")</f>
        <v/>
      </c>
      <c r="G647" s="30">
        <f>IFERROR(IF(AND(ISNUMBER('Semi Rev'!K78),ISNUMBER('Semi Rev'!J78)),'Semi Rev'!K78-'Semi Rev'!J78,""),"")</f>
        <v/>
      </c>
      <c r="H647" s="30">
        <f>IFERROR(IF(AND(ISNUMBER('Semi Rev'!L78),ISNUMBER('Semi Rev'!K78)),'Semi Rev'!L78-'Semi Rev'!K78,""),"")</f>
        <v/>
      </c>
      <c r="I647" s="30">
        <f>IFERROR(IF(AND(ISNUMBER('Semi Rev'!M78),ISNUMBER('Semi Rev'!L78)),'Semi Rev'!M78-'Semi Rev'!L78,""),"")</f>
        <v/>
      </c>
      <c r="J647" s="30">
        <f>IFERROR(IF(AND(ISNUMBER('Semi Rev'!N78),ISNUMBER('Semi Rev'!M78)),'Semi Rev'!N78-'Semi Rev'!M78,""),"")</f>
        <v/>
      </c>
      <c r="K647" s="30">
        <f>IFERROR(IF(AND(ISNUMBER('Semi Rev'!O78),ISNUMBER('Semi Rev'!N78)),'Semi Rev'!O78-'Semi Rev'!N78,""),"")</f>
        <v/>
      </c>
      <c r="L647" s="30">
        <f>IFERROR(IF(AND(ISNUMBER('Semi Rev'!P78),ISNUMBER('Semi Rev'!O78)),'Semi Rev'!P78-'Semi Rev'!O78,""),"")</f>
        <v/>
      </c>
      <c r="M647" s="31">
        <f>IFERROR(IF(AND(ISNUMBER('Semi Rev'!Q78),ISNUMBER('Semi Rev'!P78)),'Semi Rev'!Q78-'Semi Rev'!P78,""),"")</f>
        <v/>
      </c>
      <c r="N647" s="31">
        <f>IFERROR(IF(AND(ISNUMBER('Semi Rev'!R78),ISNUMBER('Semi Rev'!Q78)),'Semi Rev'!R78-'Semi Rev'!Q78,""),"")</f>
        <v/>
      </c>
    </row>
    <row r="648">
      <c r="A648" s="19">
        <f>'Semi Rev'!$A79</f>
        <v/>
      </c>
      <c r="B648" s="19">
        <f>'Semi Rev'!$B79</f>
        <v/>
      </c>
      <c r="C648" s="30">
        <f>IFERROR(IF(AND(ISNUMBER('Semi Rev'!G79),ISNUMBER('Semi Rev'!F79)),'Semi Rev'!G79-'Semi Rev'!F79,""),"")</f>
        <v/>
      </c>
      <c r="D648" s="30">
        <f>IFERROR(IF(AND(ISNUMBER('Semi Rev'!H79),ISNUMBER('Semi Rev'!G79)),'Semi Rev'!H79-'Semi Rev'!G79,""),"")</f>
        <v/>
      </c>
      <c r="E648" s="30">
        <f>IFERROR(IF(AND(ISNUMBER('Semi Rev'!I79),ISNUMBER('Semi Rev'!H79)),'Semi Rev'!I79-'Semi Rev'!H79,""),"")</f>
        <v/>
      </c>
      <c r="F648" s="30">
        <f>IFERROR(IF(AND(ISNUMBER('Semi Rev'!J79),ISNUMBER('Semi Rev'!I79)),'Semi Rev'!J79-'Semi Rev'!I79,""),"")</f>
        <v/>
      </c>
      <c r="G648" s="30">
        <f>IFERROR(IF(AND(ISNUMBER('Semi Rev'!K79),ISNUMBER('Semi Rev'!J79)),'Semi Rev'!K79-'Semi Rev'!J79,""),"")</f>
        <v/>
      </c>
      <c r="H648" s="30">
        <f>IFERROR(IF(AND(ISNUMBER('Semi Rev'!L79),ISNUMBER('Semi Rev'!K79)),'Semi Rev'!L79-'Semi Rev'!K79,""),"")</f>
        <v/>
      </c>
      <c r="I648" s="30">
        <f>IFERROR(IF(AND(ISNUMBER('Semi Rev'!M79),ISNUMBER('Semi Rev'!L79)),'Semi Rev'!M79-'Semi Rev'!L79,""),"")</f>
        <v/>
      </c>
      <c r="J648" s="30">
        <f>IFERROR(IF(AND(ISNUMBER('Semi Rev'!N79),ISNUMBER('Semi Rev'!M79)),'Semi Rev'!N79-'Semi Rev'!M79,""),"")</f>
        <v/>
      </c>
      <c r="K648" s="30">
        <f>IFERROR(IF(AND(ISNUMBER('Semi Rev'!O79),ISNUMBER('Semi Rev'!N79)),'Semi Rev'!O79-'Semi Rev'!N79,""),"")</f>
        <v/>
      </c>
      <c r="L648" s="30">
        <f>IFERROR(IF(AND(ISNUMBER('Semi Rev'!P79),ISNUMBER('Semi Rev'!O79)),'Semi Rev'!P79-'Semi Rev'!O79,""),"")</f>
        <v/>
      </c>
      <c r="M648" s="31">
        <f>IFERROR(IF(AND(ISNUMBER('Semi Rev'!Q79),ISNUMBER('Semi Rev'!P79)),'Semi Rev'!Q79-'Semi Rev'!P79,""),"")</f>
        <v/>
      </c>
      <c r="N648" s="31">
        <f>IFERROR(IF(AND(ISNUMBER('Semi Rev'!R79),ISNUMBER('Semi Rev'!Q79)),'Semi Rev'!R79-'Semi Rev'!Q79,""),"")</f>
        <v/>
      </c>
    </row>
    <row r="649">
      <c r="A649" s="19">
        <f>'Semi Rev'!$A80</f>
        <v/>
      </c>
      <c r="B649" s="19">
        <f>'Semi Rev'!$B80</f>
        <v/>
      </c>
      <c r="C649" s="30">
        <f>IFERROR(IF(AND(ISNUMBER('Semi Rev'!G80),ISNUMBER('Semi Rev'!F80)),'Semi Rev'!G80-'Semi Rev'!F80,""),"")</f>
        <v/>
      </c>
      <c r="D649" s="30">
        <f>IFERROR(IF(AND(ISNUMBER('Semi Rev'!H80),ISNUMBER('Semi Rev'!G80)),'Semi Rev'!H80-'Semi Rev'!G80,""),"")</f>
        <v/>
      </c>
      <c r="E649" s="30">
        <f>IFERROR(IF(AND(ISNUMBER('Semi Rev'!I80),ISNUMBER('Semi Rev'!H80)),'Semi Rev'!I80-'Semi Rev'!H80,""),"")</f>
        <v/>
      </c>
      <c r="F649" s="30">
        <f>IFERROR(IF(AND(ISNUMBER('Semi Rev'!J80),ISNUMBER('Semi Rev'!I80)),'Semi Rev'!J80-'Semi Rev'!I80,""),"")</f>
        <v/>
      </c>
      <c r="G649" s="30">
        <f>IFERROR(IF(AND(ISNUMBER('Semi Rev'!K80),ISNUMBER('Semi Rev'!J80)),'Semi Rev'!K80-'Semi Rev'!J80,""),"")</f>
        <v/>
      </c>
      <c r="H649" s="30">
        <f>IFERROR(IF(AND(ISNUMBER('Semi Rev'!L80),ISNUMBER('Semi Rev'!K80)),'Semi Rev'!L80-'Semi Rev'!K80,""),"")</f>
        <v/>
      </c>
      <c r="I649" s="30">
        <f>IFERROR(IF(AND(ISNUMBER('Semi Rev'!M80),ISNUMBER('Semi Rev'!L80)),'Semi Rev'!M80-'Semi Rev'!L80,""),"")</f>
        <v/>
      </c>
      <c r="J649" s="30">
        <f>IFERROR(IF(AND(ISNUMBER('Semi Rev'!N80),ISNUMBER('Semi Rev'!M80)),'Semi Rev'!N80-'Semi Rev'!M80,""),"")</f>
        <v/>
      </c>
      <c r="K649" s="30">
        <f>IFERROR(IF(AND(ISNUMBER('Semi Rev'!O80),ISNUMBER('Semi Rev'!N80)),'Semi Rev'!O80-'Semi Rev'!N80,""),"")</f>
        <v/>
      </c>
      <c r="L649" s="30">
        <f>IFERROR(IF(AND(ISNUMBER('Semi Rev'!P80),ISNUMBER('Semi Rev'!O80)),'Semi Rev'!P80-'Semi Rev'!O80,""),"")</f>
        <v/>
      </c>
      <c r="M649" s="31">
        <f>IFERROR(IF(AND(ISNUMBER('Semi Rev'!Q80),ISNUMBER('Semi Rev'!P80)),'Semi Rev'!Q80-'Semi Rev'!P80,""),"")</f>
        <v/>
      </c>
      <c r="N649" s="31">
        <f>IFERROR(IF(AND(ISNUMBER('Semi Rev'!R80),ISNUMBER('Semi Rev'!Q80)),'Semi Rev'!R80-'Semi Rev'!Q80,""),"")</f>
        <v/>
      </c>
    </row>
    <row r="650">
      <c r="A650" s="19">
        <f>'Semi Rev'!$A81</f>
        <v/>
      </c>
      <c r="B650" s="19">
        <f>'Semi Rev'!$B81</f>
        <v/>
      </c>
      <c r="C650" s="30">
        <f>IFERROR(IF(AND(ISNUMBER('Semi Rev'!G81),ISNUMBER('Semi Rev'!F81)),'Semi Rev'!G81-'Semi Rev'!F81,""),"")</f>
        <v/>
      </c>
      <c r="D650" s="30">
        <f>IFERROR(IF(AND(ISNUMBER('Semi Rev'!H81),ISNUMBER('Semi Rev'!G81)),'Semi Rev'!H81-'Semi Rev'!G81,""),"")</f>
        <v/>
      </c>
      <c r="E650" s="30">
        <f>IFERROR(IF(AND(ISNUMBER('Semi Rev'!I81),ISNUMBER('Semi Rev'!H81)),'Semi Rev'!I81-'Semi Rev'!H81,""),"")</f>
        <v/>
      </c>
      <c r="F650" s="30">
        <f>IFERROR(IF(AND(ISNUMBER('Semi Rev'!J81),ISNUMBER('Semi Rev'!I81)),'Semi Rev'!J81-'Semi Rev'!I81,""),"")</f>
        <v/>
      </c>
      <c r="G650" s="30">
        <f>IFERROR(IF(AND(ISNUMBER('Semi Rev'!K81),ISNUMBER('Semi Rev'!J81)),'Semi Rev'!K81-'Semi Rev'!J81,""),"")</f>
        <v/>
      </c>
      <c r="H650" s="30">
        <f>IFERROR(IF(AND(ISNUMBER('Semi Rev'!L81),ISNUMBER('Semi Rev'!K81)),'Semi Rev'!L81-'Semi Rev'!K81,""),"")</f>
        <v/>
      </c>
      <c r="I650" s="30">
        <f>IFERROR(IF(AND(ISNUMBER('Semi Rev'!M81),ISNUMBER('Semi Rev'!L81)),'Semi Rev'!M81-'Semi Rev'!L81,""),"")</f>
        <v/>
      </c>
      <c r="J650" s="30">
        <f>IFERROR(IF(AND(ISNUMBER('Semi Rev'!N81),ISNUMBER('Semi Rev'!M81)),'Semi Rev'!N81-'Semi Rev'!M81,""),"")</f>
        <v/>
      </c>
      <c r="K650" s="30">
        <f>IFERROR(IF(AND(ISNUMBER('Semi Rev'!O81),ISNUMBER('Semi Rev'!N81)),'Semi Rev'!O81-'Semi Rev'!N81,""),"")</f>
        <v/>
      </c>
      <c r="L650" s="30">
        <f>IFERROR(IF(AND(ISNUMBER('Semi Rev'!P81),ISNUMBER('Semi Rev'!O81)),'Semi Rev'!P81-'Semi Rev'!O81,""),"")</f>
        <v/>
      </c>
      <c r="M650" s="31">
        <f>IFERROR(IF(AND(ISNUMBER('Semi Rev'!Q81),ISNUMBER('Semi Rev'!P81)),'Semi Rev'!Q81-'Semi Rev'!P81,""),"")</f>
        <v/>
      </c>
      <c r="N650" s="31">
        <f>IFERROR(IF(AND(ISNUMBER('Semi Rev'!R81),ISNUMBER('Semi Rev'!Q81)),'Semi Rev'!R81-'Semi Rev'!Q81,""),"")</f>
        <v/>
      </c>
    </row>
    <row r="651">
      <c r="A651" s="19">
        <f>'Semi Rev'!$A82</f>
        <v/>
      </c>
      <c r="B651" s="19">
        <f>'Semi Rev'!$B82</f>
        <v/>
      </c>
      <c r="C651" s="30">
        <f>IFERROR(IF(AND(ISNUMBER('Semi Rev'!G82),ISNUMBER('Semi Rev'!F82)),'Semi Rev'!G82-'Semi Rev'!F82,""),"")</f>
        <v/>
      </c>
      <c r="D651" s="30">
        <f>IFERROR(IF(AND(ISNUMBER('Semi Rev'!H82),ISNUMBER('Semi Rev'!G82)),'Semi Rev'!H82-'Semi Rev'!G82,""),"")</f>
        <v/>
      </c>
      <c r="E651" s="30">
        <f>IFERROR(IF(AND(ISNUMBER('Semi Rev'!I82),ISNUMBER('Semi Rev'!H82)),'Semi Rev'!I82-'Semi Rev'!H82,""),"")</f>
        <v/>
      </c>
      <c r="F651" s="30">
        <f>IFERROR(IF(AND(ISNUMBER('Semi Rev'!J82),ISNUMBER('Semi Rev'!I82)),'Semi Rev'!J82-'Semi Rev'!I82,""),"")</f>
        <v/>
      </c>
      <c r="G651" s="30">
        <f>IFERROR(IF(AND(ISNUMBER('Semi Rev'!K82),ISNUMBER('Semi Rev'!J82)),'Semi Rev'!K82-'Semi Rev'!J82,""),"")</f>
        <v/>
      </c>
      <c r="H651" s="30">
        <f>IFERROR(IF(AND(ISNUMBER('Semi Rev'!L82),ISNUMBER('Semi Rev'!K82)),'Semi Rev'!L82-'Semi Rev'!K82,""),"")</f>
        <v/>
      </c>
      <c r="I651" s="30">
        <f>IFERROR(IF(AND(ISNUMBER('Semi Rev'!M82),ISNUMBER('Semi Rev'!L82)),'Semi Rev'!M82-'Semi Rev'!L82,""),"")</f>
        <v/>
      </c>
      <c r="J651" s="30">
        <f>IFERROR(IF(AND(ISNUMBER('Semi Rev'!N82),ISNUMBER('Semi Rev'!M82)),'Semi Rev'!N82-'Semi Rev'!M82,""),"")</f>
        <v/>
      </c>
      <c r="K651" s="30">
        <f>IFERROR(IF(AND(ISNUMBER('Semi Rev'!O82),ISNUMBER('Semi Rev'!N82)),'Semi Rev'!O82-'Semi Rev'!N82,""),"")</f>
        <v/>
      </c>
      <c r="L651" s="30">
        <f>IFERROR(IF(AND(ISNUMBER('Semi Rev'!P82),ISNUMBER('Semi Rev'!O82)),'Semi Rev'!P82-'Semi Rev'!O82,""),"")</f>
        <v/>
      </c>
      <c r="M651" s="31">
        <f>IFERROR(IF(AND(ISNUMBER('Semi Rev'!Q82),ISNUMBER('Semi Rev'!P82)),'Semi Rev'!Q82-'Semi Rev'!P82,""),"")</f>
        <v/>
      </c>
      <c r="N651" s="31">
        <f>IFERROR(IF(AND(ISNUMBER('Semi Rev'!R82),ISNUMBER('Semi Rev'!Q82)),'Semi Rev'!R82-'Semi Rev'!Q82,""),"")</f>
        <v/>
      </c>
    </row>
    <row r="652">
      <c r="A652" s="19">
        <f>'Semi Rev'!$A83</f>
        <v/>
      </c>
      <c r="B652" s="19">
        <f>'Semi Rev'!$B83</f>
        <v/>
      </c>
      <c r="C652" s="30">
        <f>IFERROR(IF(AND(ISNUMBER('Semi Rev'!G83),ISNUMBER('Semi Rev'!F83)),'Semi Rev'!G83-'Semi Rev'!F83,""),"")</f>
        <v/>
      </c>
      <c r="D652" s="30">
        <f>IFERROR(IF(AND(ISNUMBER('Semi Rev'!H83),ISNUMBER('Semi Rev'!G83)),'Semi Rev'!H83-'Semi Rev'!G83,""),"")</f>
        <v/>
      </c>
      <c r="E652" s="30">
        <f>IFERROR(IF(AND(ISNUMBER('Semi Rev'!I83),ISNUMBER('Semi Rev'!H83)),'Semi Rev'!I83-'Semi Rev'!H83,""),"")</f>
        <v/>
      </c>
      <c r="F652" s="30">
        <f>IFERROR(IF(AND(ISNUMBER('Semi Rev'!J83),ISNUMBER('Semi Rev'!I83)),'Semi Rev'!J83-'Semi Rev'!I83,""),"")</f>
        <v/>
      </c>
      <c r="G652" s="30">
        <f>IFERROR(IF(AND(ISNUMBER('Semi Rev'!K83),ISNUMBER('Semi Rev'!J83)),'Semi Rev'!K83-'Semi Rev'!J83,""),"")</f>
        <v/>
      </c>
      <c r="H652" s="30">
        <f>IFERROR(IF(AND(ISNUMBER('Semi Rev'!L83),ISNUMBER('Semi Rev'!K83)),'Semi Rev'!L83-'Semi Rev'!K83,""),"")</f>
        <v/>
      </c>
      <c r="I652" s="30">
        <f>IFERROR(IF(AND(ISNUMBER('Semi Rev'!M83),ISNUMBER('Semi Rev'!L83)),'Semi Rev'!M83-'Semi Rev'!L83,""),"")</f>
        <v/>
      </c>
      <c r="J652" s="30">
        <f>IFERROR(IF(AND(ISNUMBER('Semi Rev'!N83),ISNUMBER('Semi Rev'!M83)),'Semi Rev'!N83-'Semi Rev'!M83,""),"")</f>
        <v/>
      </c>
      <c r="K652" s="30">
        <f>IFERROR(IF(AND(ISNUMBER('Semi Rev'!O83),ISNUMBER('Semi Rev'!N83)),'Semi Rev'!O83-'Semi Rev'!N83,""),"")</f>
        <v/>
      </c>
      <c r="L652" s="30">
        <f>IFERROR(IF(AND(ISNUMBER('Semi Rev'!P83),ISNUMBER('Semi Rev'!O83)),'Semi Rev'!P83-'Semi Rev'!O83,""),"")</f>
        <v/>
      </c>
      <c r="M652" s="31">
        <f>IFERROR(IF(AND(ISNUMBER('Semi Rev'!Q83),ISNUMBER('Semi Rev'!P83)),'Semi Rev'!Q83-'Semi Rev'!P83,""),"")</f>
        <v/>
      </c>
      <c r="N652" s="31">
        <f>IFERROR(IF(AND(ISNUMBER('Semi Rev'!R83),ISNUMBER('Semi Rev'!Q83)),'Semi Rev'!R83-'Semi Rev'!Q83,""),"")</f>
        <v/>
      </c>
    </row>
    <row r="653">
      <c r="A653" s="19">
        <f>'Semi Rev'!$A84</f>
        <v/>
      </c>
      <c r="B653" s="19">
        <f>'Semi Rev'!$B84</f>
        <v/>
      </c>
      <c r="C653" s="30">
        <f>IFERROR(IF(AND(ISNUMBER('Semi Rev'!G84),ISNUMBER('Semi Rev'!F84)),'Semi Rev'!G84-'Semi Rev'!F84,""),"")</f>
        <v/>
      </c>
      <c r="D653" s="30">
        <f>IFERROR(IF(AND(ISNUMBER('Semi Rev'!H84),ISNUMBER('Semi Rev'!G84)),'Semi Rev'!H84-'Semi Rev'!G84,""),"")</f>
        <v/>
      </c>
      <c r="E653" s="30">
        <f>IFERROR(IF(AND(ISNUMBER('Semi Rev'!I84),ISNUMBER('Semi Rev'!H84)),'Semi Rev'!I84-'Semi Rev'!H84,""),"")</f>
        <v/>
      </c>
      <c r="F653" s="30">
        <f>IFERROR(IF(AND(ISNUMBER('Semi Rev'!J84),ISNUMBER('Semi Rev'!I84)),'Semi Rev'!J84-'Semi Rev'!I84,""),"")</f>
        <v/>
      </c>
      <c r="G653" s="30">
        <f>IFERROR(IF(AND(ISNUMBER('Semi Rev'!K84),ISNUMBER('Semi Rev'!J84)),'Semi Rev'!K84-'Semi Rev'!J84,""),"")</f>
        <v/>
      </c>
      <c r="H653" s="30">
        <f>IFERROR(IF(AND(ISNUMBER('Semi Rev'!L84),ISNUMBER('Semi Rev'!K84)),'Semi Rev'!L84-'Semi Rev'!K84,""),"")</f>
        <v/>
      </c>
      <c r="I653" s="30">
        <f>IFERROR(IF(AND(ISNUMBER('Semi Rev'!M84),ISNUMBER('Semi Rev'!L84)),'Semi Rev'!M84-'Semi Rev'!L84,""),"")</f>
        <v/>
      </c>
      <c r="J653" s="30">
        <f>IFERROR(IF(AND(ISNUMBER('Semi Rev'!N84),ISNUMBER('Semi Rev'!M84)),'Semi Rev'!N84-'Semi Rev'!M84,""),"")</f>
        <v/>
      </c>
      <c r="K653" s="30">
        <f>IFERROR(IF(AND(ISNUMBER('Semi Rev'!O84),ISNUMBER('Semi Rev'!N84)),'Semi Rev'!O84-'Semi Rev'!N84,""),"")</f>
        <v/>
      </c>
      <c r="L653" s="30">
        <f>IFERROR(IF(AND(ISNUMBER('Semi Rev'!P84),ISNUMBER('Semi Rev'!O84)),'Semi Rev'!P84-'Semi Rev'!O84,""),"")</f>
        <v/>
      </c>
      <c r="M653" s="31">
        <f>IFERROR(IF(AND(ISNUMBER('Semi Rev'!Q84),ISNUMBER('Semi Rev'!P84)),'Semi Rev'!Q84-'Semi Rev'!P84,""),"")</f>
        <v/>
      </c>
      <c r="N653" s="31">
        <f>IFERROR(IF(AND(ISNUMBER('Semi Rev'!R84),ISNUMBER('Semi Rev'!Q84)),'Semi Rev'!R84-'Semi Rev'!Q84,""),"")</f>
        <v/>
      </c>
    </row>
    <row r="654">
      <c r="A654" s="19">
        <f>'Semi Rev'!$A85</f>
        <v/>
      </c>
      <c r="B654" s="19">
        <f>'Semi Rev'!$B85</f>
        <v/>
      </c>
      <c r="C654" s="30">
        <f>IFERROR(IF(AND(ISNUMBER('Semi Rev'!G85),ISNUMBER('Semi Rev'!F85)),'Semi Rev'!G85-'Semi Rev'!F85,""),"")</f>
        <v/>
      </c>
      <c r="D654" s="30">
        <f>IFERROR(IF(AND(ISNUMBER('Semi Rev'!H85),ISNUMBER('Semi Rev'!G85)),'Semi Rev'!H85-'Semi Rev'!G85,""),"")</f>
        <v/>
      </c>
      <c r="E654" s="30">
        <f>IFERROR(IF(AND(ISNUMBER('Semi Rev'!I85),ISNUMBER('Semi Rev'!H85)),'Semi Rev'!I85-'Semi Rev'!H85,""),"")</f>
        <v/>
      </c>
      <c r="F654" s="30">
        <f>IFERROR(IF(AND(ISNUMBER('Semi Rev'!J85),ISNUMBER('Semi Rev'!I85)),'Semi Rev'!J85-'Semi Rev'!I85,""),"")</f>
        <v/>
      </c>
      <c r="G654" s="30">
        <f>IFERROR(IF(AND(ISNUMBER('Semi Rev'!K85),ISNUMBER('Semi Rev'!J85)),'Semi Rev'!K85-'Semi Rev'!J85,""),"")</f>
        <v/>
      </c>
      <c r="H654" s="30">
        <f>IFERROR(IF(AND(ISNUMBER('Semi Rev'!L85),ISNUMBER('Semi Rev'!K85)),'Semi Rev'!L85-'Semi Rev'!K85,""),"")</f>
        <v/>
      </c>
      <c r="I654" s="30">
        <f>IFERROR(IF(AND(ISNUMBER('Semi Rev'!M85),ISNUMBER('Semi Rev'!L85)),'Semi Rev'!M85-'Semi Rev'!L85,""),"")</f>
        <v/>
      </c>
      <c r="J654" s="30">
        <f>IFERROR(IF(AND(ISNUMBER('Semi Rev'!N85),ISNUMBER('Semi Rev'!M85)),'Semi Rev'!N85-'Semi Rev'!M85,""),"")</f>
        <v/>
      </c>
      <c r="K654" s="30">
        <f>IFERROR(IF(AND(ISNUMBER('Semi Rev'!O85),ISNUMBER('Semi Rev'!N85)),'Semi Rev'!O85-'Semi Rev'!N85,""),"")</f>
        <v/>
      </c>
      <c r="L654" s="30">
        <f>IFERROR(IF(AND(ISNUMBER('Semi Rev'!P85),ISNUMBER('Semi Rev'!O85)),'Semi Rev'!P85-'Semi Rev'!O85,""),"")</f>
        <v/>
      </c>
      <c r="M654" s="31">
        <f>IFERROR(IF(AND(ISNUMBER('Semi Rev'!Q85),ISNUMBER('Semi Rev'!P85)),'Semi Rev'!Q85-'Semi Rev'!P85,""),"")</f>
        <v/>
      </c>
      <c r="N654" s="31">
        <f>IFERROR(IF(AND(ISNUMBER('Semi Rev'!R85),ISNUMBER('Semi Rev'!Q85)),'Semi Rev'!R85-'Semi Rev'!Q85,""),"")</f>
        <v/>
      </c>
    </row>
    <row r="655">
      <c r="A655" s="19">
        <f>'Semi Rev'!$A86</f>
        <v/>
      </c>
      <c r="B655" s="19">
        <f>'Semi Rev'!$B86</f>
        <v/>
      </c>
      <c r="C655" s="30">
        <f>IFERROR(IF(AND(ISNUMBER('Semi Rev'!G86),ISNUMBER('Semi Rev'!F86)),'Semi Rev'!G86-'Semi Rev'!F86,""),"")</f>
        <v/>
      </c>
      <c r="D655" s="30">
        <f>IFERROR(IF(AND(ISNUMBER('Semi Rev'!H86),ISNUMBER('Semi Rev'!G86)),'Semi Rev'!H86-'Semi Rev'!G86,""),"")</f>
        <v/>
      </c>
      <c r="E655" s="30">
        <f>IFERROR(IF(AND(ISNUMBER('Semi Rev'!I86),ISNUMBER('Semi Rev'!H86)),'Semi Rev'!I86-'Semi Rev'!H86,""),"")</f>
        <v/>
      </c>
      <c r="F655" s="30">
        <f>IFERROR(IF(AND(ISNUMBER('Semi Rev'!J86),ISNUMBER('Semi Rev'!I86)),'Semi Rev'!J86-'Semi Rev'!I86,""),"")</f>
        <v/>
      </c>
      <c r="G655" s="30">
        <f>IFERROR(IF(AND(ISNUMBER('Semi Rev'!K86),ISNUMBER('Semi Rev'!J86)),'Semi Rev'!K86-'Semi Rev'!J86,""),"")</f>
        <v/>
      </c>
      <c r="H655" s="30">
        <f>IFERROR(IF(AND(ISNUMBER('Semi Rev'!L86),ISNUMBER('Semi Rev'!K86)),'Semi Rev'!L86-'Semi Rev'!K86,""),"")</f>
        <v/>
      </c>
      <c r="I655" s="30">
        <f>IFERROR(IF(AND(ISNUMBER('Semi Rev'!M86),ISNUMBER('Semi Rev'!L86)),'Semi Rev'!M86-'Semi Rev'!L86,""),"")</f>
        <v/>
      </c>
      <c r="J655" s="30">
        <f>IFERROR(IF(AND(ISNUMBER('Semi Rev'!N86),ISNUMBER('Semi Rev'!M86)),'Semi Rev'!N86-'Semi Rev'!M86,""),"")</f>
        <v/>
      </c>
      <c r="K655" s="30">
        <f>IFERROR(IF(AND(ISNUMBER('Semi Rev'!O86),ISNUMBER('Semi Rev'!N86)),'Semi Rev'!O86-'Semi Rev'!N86,""),"")</f>
        <v/>
      </c>
      <c r="L655" s="30">
        <f>IFERROR(IF(AND(ISNUMBER('Semi Rev'!P86),ISNUMBER('Semi Rev'!O86)),'Semi Rev'!P86-'Semi Rev'!O86,""),"")</f>
        <v/>
      </c>
      <c r="M655" s="31">
        <f>IFERROR(IF(AND(ISNUMBER('Semi Rev'!Q86),ISNUMBER('Semi Rev'!P86)),'Semi Rev'!Q86-'Semi Rev'!P86,""),"")</f>
        <v/>
      </c>
      <c r="N655" s="31">
        <f>IFERROR(IF(AND(ISNUMBER('Semi Rev'!R86),ISNUMBER('Semi Rev'!Q86)),'Semi Rev'!R86-'Semi Rev'!Q86,""),"")</f>
        <v/>
      </c>
    </row>
    <row r="656">
      <c r="A656" s="19">
        <f>'Semi Rev'!$A87</f>
        <v/>
      </c>
      <c r="B656" s="19">
        <f>'Semi Rev'!$B87</f>
        <v/>
      </c>
      <c r="C656" s="30">
        <f>IFERROR(IF(AND(ISNUMBER('Semi Rev'!G87),ISNUMBER('Semi Rev'!F87)),'Semi Rev'!G87-'Semi Rev'!F87,""),"")</f>
        <v/>
      </c>
      <c r="D656" s="30">
        <f>IFERROR(IF(AND(ISNUMBER('Semi Rev'!H87),ISNUMBER('Semi Rev'!G87)),'Semi Rev'!H87-'Semi Rev'!G87,""),"")</f>
        <v/>
      </c>
      <c r="E656" s="30">
        <f>IFERROR(IF(AND(ISNUMBER('Semi Rev'!I87),ISNUMBER('Semi Rev'!H87)),'Semi Rev'!I87-'Semi Rev'!H87,""),"")</f>
        <v/>
      </c>
      <c r="F656" s="30">
        <f>IFERROR(IF(AND(ISNUMBER('Semi Rev'!J87),ISNUMBER('Semi Rev'!I87)),'Semi Rev'!J87-'Semi Rev'!I87,""),"")</f>
        <v/>
      </c>
      <c r="G656" s="30">
        <f>IFERROR(IF(AND(ISNUMBER('Semi Rev'!K87),ISNUMBER('Semi Rev'!J87)),'Semi Rev'!K87-'Semi Rev'!J87,""),"")</f>
        <v/>
      </c>
      <c r="H656" s="30">
        <f>IFERROR(IF(AND(ISNUMBER('Semi Rev'!L87),ISNUMBER('Semi Rev'!K87)),'Semi Rev'!L87-'Semi Rev'!K87,""),"")</f>
        <v/>
      </c>
      <c r="I656" s="30">
        <f>IFERROR(IF(AND(ISNUMBER('Semi Rev'!M87),ISNUMBER('Semi Rev'!L87)),'Semi Rev'!M87-'Semi Rev'!L87,""),"")</f>
        <v/>
      </c>
      <c r="J656" s="30">
        <f>IFERROR(IF(AND(ISNUMBER('Semi Rev'!N87),ISNUMBER('Semi Rev'!M87)),'Semi Rev'!N87-'Semi Rev'!M87,""),"")</f>
        <v/>
      </c>
      <c r="K656" s="30">
        <f>IFERROR(IF(AND(ISNUMBER('Semi Rev'!O87),ISNUMBER('Semi Rev'!N87)),'Semi Rev'!O87-'Semi Rev'!N87,""),"")</f>
        <v/>
      </c>
      <c r="L656" s="30">
        <f>IFERROR(IF(AND(ISNUMBER('Semi Rev'!P87),ISNUMBER('Semi Rev'!O87)),'Semi Rev'!P87-'Semi Rev'!O87,""),"")</f>
        <v/>
      </c>
      <c r="M656" s="31">
        <f>IFERROR(IF(AND(ISNUMBER('Semi Rev'!Q87),ISNUMBER('Semi Rev'!P87)),'Semi Rev'!Q87-'Semi Rev'!P87,""),"")</f>
        <v/>
      </c>
      <c r="N656" s="31">
        <f>IFERROR(IF(AND(ISNUMBER('Semi Rev'!R87),ISNUMBER('Semi Rev'!Q87)),'Semi Rev'!R87-'Semi Rev'!Q87,""),"")</f>
        <v/>
      </c>
    </row>
    <row r="657">
      <c r="A657" s="19">
        <f>'Semi Rev'!$A88</f>
        <v/>
      </c>
      <c r="B657" s="19">
        <f>'Semi Rev'!$B88</f>
        <v/>
      </c>
      <c r="C657" s="30">
        <f>IFERROR(IF(AND(ISNUMBER('Semi Rev'!G88),ISNUMBER('Semi Rev'!F88)),'Semi Rev'!G88-'Semi Rev'!F88,""),"")</f>
        <v/>
      </c>
      <c r="D657" s="30">
        <f>IFERROR(IF(AND(ISNUMBER('Semi Rev'!H88),ISNUMBER('Semi Rev'!G88)),'Semi Rev'!H88-'Semi Rev'!G88,""),"")</f>
        <v/>
      </c>
      <c r="E657" s="30">
        <f>IFERROR(IF(AND(ISNUMBER('Semi Rev'!I88),ISNUMBER('Semi Rev'!H88)),'Semi Rev'!I88-'Semi Rev'!H88,""),"")</f>
        <v/>
      </c>
      <c r="F657" s="30">
        <f>IFERROR(IF(AND(ISNUMBER('Semi Rev'!J88),ISNUMBER('Semi Rev'!I88)),'Semi Rev'!J88-'Semi Rev'!I88,""),"")</f>
        <v/>
      </c>
      <c r="G657" s="30">
        <f>IFERROR(IF(AND(ISNUMBER('Semi Rev'!K88),ISNUMBER('Semi Rev'!J88)),'Semi Rev'!K88-'Semi Rev'!J88,""),"")</f>
        <v/>
      </c>
      <c r="H657" s="30">
        <f>IFERROR(IF(AND(ISNUMBER('Semi Rev'!L88),ISNUMBER('Semi Rev'!K88)),'Semi Rev'!L88-'Semi Rev'!K88,""),"")</f>
        <v/>
      </c>
      <c r="I657" s="30">
        <f>IFERROR(IF(AND(ISNUMBER('Semi Rev'!M88),ISNUMBER('Semi Rev'!L88)),'Semi Rev'!M88-'Semi Rev'!L88,""),"")</f>
        <v/>
      </c>
      <c r="J657" s="30">
        <f>IFERROR(IF(AND(ISNUMBER('Semi Rev'!N88),ISNUMBER('Semi Rev'!M88)),'Semi Rev'!N88-'Semi Rev'!M88,""),"")</f>
        <v/>
      </c>
      <c r="K657" s="30">
        <f>IFERROR(IF(AND(ISNUMBER('Semi Rev'!O88),ISNUMBER('Semi Rev'!N88)),'Semi Rev'!O88-'Semi Rev'!N88,""),"")</f>
        <v/>
      </c>
      <c r="L657" s="30">
        <f>IFERROR(IF(AND(ISNUMBER('Semi Rev'!P88),ISNUMBER('Semi Rev'!O88)),'Semi Rev'!P88-'Semi Rev'!O88,""),"")</f>
        <v/>
      </c>
      <c r="M657" s="31">
        <f>IFERROR(IF(AND(ISNUMBER('Semi Rev'!Q88),ISNUMBER('Semi Rev'!P88)),'Semi Rev'!Q88-'Semi Rev'!P88,""),"")</f>
        <v/>
      </c>
      <c r="N657" s="31">
        <f>IFERROR(IF(AND(ISNUMBER('Semi Rev'!R88),ISNUMBER('Semi Rev'!Q88)),'Semi Rev'!R88-'Semi Rev'!Q88,""),"")</f>
        <v/>
      </c>
    </row>
    <row r="658">
      <c r="A658" s="19">
        <f>'Semi Rev'!$A89</f>
        <v/>
      </c>
      <c r="B658" s="19">
        <f>'Semi Rev'!$B89</f>
        <v/>
      </c>
      <c r="C658" s="30">
        <f>IFERROR(IF(AND(ISNUMBER('Semi Rev'!G89),ISNUMBER('Semi Rev'!F89)),'Semi Rev'!G89-'Semi Rev'!F89,""),"")</f>
        <v/>
      </c>
      <c r="D658" s="30">
        <f>IFERROR(IF(AND(ISNUMBER('Semi Rev'!H89),ISNUMBER('Semi Rev'!G89)),'Semi Rev'!H89-'Semi Rev'!G89,""),"")</f>
        <v/>
      </c>
      <c r="E658" s="30">
        <f>IFERROR(IF(AND(ISNUMBER('Semi Rev'!I89),ISNUMBER('Semi Rev'!H89)),'Semi Rev'!I89-'Semi Rev'!H89,""),"")</f>
        <v/>
      </c>
      <c r="F658" s="30">
        <f>IFERROR(IF(AND(ISNUMBER('Semi Rev'!J89),ISNUMBER('Semi Rev'!I89)),'Semi Rev'!J89-'Semi Rev'!I89,""),"")</f>
        <v/>
      </c>
      <c r="G658" s="30">
        <f>IFERROR(IF(AND(ISNUMBER('Semi Rev'!K89),ISNUMBER('Semi Rev'!J89)),'Semi Rev'!K89-'Semi Rev'!J89,""),"")</f>
        <v/>
      </c>
      <c r="H658" s="30">
        <f>IFERROR(IF(AND(ISNUMBER('Semi Rev'!L89),ISNUMBER('Semi Rev'!K89)),'Semi Rev'!L89-'Semi Rev'!K89,""),"")</f>
        <v/>
      </c>
      <c r="I658" s="30">
        <f>IFERROR(IF(AND(ISNUMBER('Semi Rev'!M89),ISNUMBER('Semi Rev'!L89)),'Semi Rev'!M89-'Semi Rev'!L89,""),"")</f>
        <v/>
      </c>
      <c r="J658" s="30">
        <f>IFERROR(IF(AND(ISNUMBER('Semi Rev'!N89),ISNUMBER('Semi Rev'!M89)),'Semi Rev'!N89-'Semi Rev'!M89,""),"")</f>
        <v/>
      </c>
      <c r="K658" s="30">
        <f>IFERROR(IF(AND(ISNUMBER('Semi Rev'!O89),ISNUMBER('Semi Rev'!N89)),'Semi Rev'!O89-'Semi Rev'!N89,""),"")</f>
        <v/>
      </c>
      <c r="L658" s="30">
        <f>IFERROR(IF(AND(ISNUMBER('Semi Rev'!P89),ISNUMBER('Semi Rev'!O89)),'Semi Rev'!P89-'Semi Rev'!O89,""),"")</f>
        <v/>
      </c>
      <c r="M658" s="31">
        <f>IFERROR(IF(AND(ISNUMBER('Semi Rev'!Q89),ISNUMBER('Semi Rev'!P89)),'Semi Rev'!Q89-'Semi Rev'!P89,""),"")</f>
        <v/>
      </c>
      <c r="N658" s="31">
        <f>IFERROR(IF(AND(ISNUMBER('Semi Rev'!R89),ISNUMBER('Semi Rev'!Q89)),'Semi Rev'!R89-'Semi Rev'!Q89,""),"")</f>
        <v/>
      </c>
    </row>
    <row r="659">
      <c r="A659" s="19">
        <f>'Semi Rev'!$A90</f>
        <v/>
      </c>
      <c r="B659" s="19">
        <f>'Semi Rev'!$B90</f>
        <v/>
      </c>
      <c r="C659" s="30">
        <f>IFERROR(IF(AND(ISNUMBER('Semi Rev'!G90),ISNUMBER('Semi Rev'!F90)),'Semi Rev'!G90-'Semi Rev'!F90,""),"")</f>
        <v/>
      </c>
      <c r="D659" s="30">
        <f>IFERROR(IF(AND(ISNUMBER('Semi Rev'!H90),ISNUMBER('Semi Rev'!G90)),'Semi Rev'!H90-'Semi Rev'!G90,""),"")</f>
        <v/>
      </c>
      <c r="E659" s="30">
        <f>IFERROR(IF(AND(ISNUMBER('Semi Rev'!I90),ISNUMBER('Semi Rev'!H90)),'Semi Rev'!I90-'Semi Rev'!H90,""),"")</f>
        <v/>
      </c>
      <c r="F659" s="30">
        <f>IFERROR(IF(AND(ISNUMBER('Semi Rev'!J90),ISNUMBER('Semi Rev'!I90)),'Semi Rev'!J90-'Semi Rev'!I90,""),"")</f>
        <v/>
      </c>
      <c r="G659" s="30">
        <f>IFERROR(IF(AND(ISNUMBER('Semi Rev'!K90),ISNUMBER('Semi Rev'!J90)),'Semi Rev'!K90-'Semi Rev'!J90,""),"")</f>
        <v/>
      </c>
      <c r="H659" s="30">
        <f>IFERROR(IF(AND(ISNUMBER('Semi Rev'!L90),ISNUMBER('Semi Rev'!K90)),'Semi Rev'!L90-'Semi Rev'!K90,""),"")</f>
        <v/>
      </c>
      <c r="I659" s="30">
        <f>IFERROR(IF(AND(ISNUMBER('Semi Rev'!M90),ISNUMBER('Semi Rev'!L90)),'Semi Rev'!M90-'Semi Rev'!L90,""),"")</f>
        <v/>
      </c>
      <c r="J659" s="30">
        <f>IFERROR(IF(AND(ISNUMBER('Semi Rev'!N90),ISNUMBER('Semi Rev'!M90)),'Semi Rev'!N90-'Semi Rev'!M90,""),"")</f>
        <v/>
      </c>
      <c r="K659" s="30">
        <f>IFERROR(IF(AND(ISNUMBER('Semi Rev'!O90),ISNUMBER('Semi Rev'!N90)),'Semi Rev'!O90-'Semi Rev'!N90,""),"")</f>
        <v/>
      </c>
      <c r="L659" s="30">
        <f>IFERROR(IF(AND(ISNUMBER('Semi Rev'!P90),ISNUMBER('Semi Rev'!O90)),'Semi Rev'!P90-'Semi Rev'!O90,""),"")</f>
        <v/>
      </c>
      <c r="M659" s="31">
        <f>IFERROR(IF(AND(ISNUMBER('Semi Rev'!Q90),ISNUMBER('Semi Rev'!P90)),'Semi Rev'!Q90-'Semi Rev'!P90,""),"")</f>
        <v/>
      </c>
      <c r="N659" s="31">
        <f>IFERROR(IF(AND(ISNUMBER('Semi Rev'!R90),ISNUMBER('Semi Rev'!Q90)),'Semi Rev'!R90-'Semi Rev'!Q90,""),"")</f>
        <v/>
      </c>
    </row>
    <row r="660">
      <c r="A660" s="19">
        <f>'Semi Rev'!$A91</f>
        <v/>
      </c>
      <c r="B660" s="19">
        <f>'Semi Rev'!$B91</f>
        <v/>
      </c>
      <c r="C660" s="30">
        <f>IFERROR(IF(AND(ISNUMBER('Semi Rev'!G91),ISNUMBER('Semi Rev'!F91)),'Semi Rev'!G91-'Semi Rev'!F91,""),"")</f>
        <v/>
      </c>
      <c r="D660" s="30">
        <f>IFERROR(IF(AND(ISNUMBER('Semi Rev'!H91),ISNUMBER('Semi Rev'!G91)),'Semi Rev'!H91-'Semi Rev'!G91,""),"")</f>
        <v/>
      </c>
      <c r="E660" s="30">
        <f>IFERROR(IF(AND(ISNUMBER('Semi Rev'!I91),ISNUMBER('Semi Rev'!H91)),'Semi Rev'!I91-'Semi Rev'!H91,""),"")</f>
        <v/>
      </c>
      <c r="F660" s="30">
        <f>IFERROR(IF(AND(ISNUMBER('Semi Rev'!J91),ISNUMBER('Semi Rev'!I91)),'Semi Rev'!J91-'Semi Rev'!I91,""),"")</f>
        <v/>
      </c>
      <c r="G660" s="30">
        <f>IFERROR(IF(AND(ISNUMBER('Semi Rev'!K91),ISNUMBER('Semi Rev'!J91)),'Semi Rev'!K91-'Semi Rev'!J91,""),"")</f>
        <v/>
      </c>
      <c r="H660" s="30">
        <f>IFERROR(IF(AND(ISNUMBER('Semi Rev'!L91),ISNUMBER('Semi Rev'!K91)),'Semi Rev'!L91-'Semi Rev'!K91,""),"")</f>
        <v/>
      </c>
      <c r="I660" s="30">
        <f>IFERROR(IF(AND(ISNUMBER('Semi Rev'!M91),ISNUMBER('Semi Rev'!L91)),'Semi Rev'!M91-'Semi Rev'!L91,""),"")</f>
        <v/>
      </c>
      <c r="J660" s="30">
        <f>IFERROR(IF(AND(ISNUMBER('Semi Rev'!N91),ISNUMBER('Semi Rev'!M91)),'Semi Rev'!N91-'Semi Rev'!M91,""),"")</f>
        <v/>
      </c>
      <c r="K660" s="30">
        <f>IFERROR(IF(AND(ISNUMBER('Semi Rev'!O91),ISNUMBER('Semi Rev'!N91)),'Semi Rev'!O91-'Semi Rev'!N91,""),"")</f>
        <v/>
      </c>
      <c r="L660" s="30">
        <f>IFERROR(IF(AND(ISNUMBER('Semi Rev'!P91),ISNUMBER('Semi Rev'!O91)),'Semi Rev'!P91-'Semi Rev'!O91,""),"")</f>
        <v/>
      </c>
      <c r="M660" s="31">
        <f>IFERROR(IF(AND(ISNUMBER('Semi Rev'!Q91),ISNUMBER('Semi Rev'!P91)),'Semi Rev'!Q91-'Semi Rev'!P91,""),"")</f>
        <v/>
      </c>
      <c r="N660" s="31">
        <f>IFERROR(IF(AND(ISNUMBER('Semi Rev'!R91),ISNUMBER('Semi Rev'!Q91)),'Semi Rev'!R91-'Semi Rev'!Q91,""),"")</f>
        <v/>
      </c>
    </row>
    <row r="661">
      <c r="A661" s="19">
        <f>'Semi Rev'!$A92</f>
        <v/>
      </c>
      <c r="B661" s="19">
        <f>'Semi Rev'!$B92</f>
        <v/>
      </c>
      <c r="C661" s="30">
        <f>IFERROR(IF(AND(ISNUMBER('Semi Rev'!G92),ISNUMBER('Semi Rev'!F92)),'Semi Rev'!G92-'Semi Rev'!F92,""),"")</f>
        <v/>
      </c>
      <c r="D661" s="30">
        <f>IFERROR(IF(AND(ISNUMBER('Semi Rev'!H92),ISNUMBER('Semi Rev'!G92)),'Semi Rev'!H92-'Semi Rev'!G92,""),"")</f>
        <v/>
      </c>
      <c r="E661" s="30">
        <f>IFERROR(IF(AND(ISNUMBER('Semi Rev'!I92),ISNUMBER('Semi Rev'!H92)),'Semi Rev'!I92-'Semi Rev'!H92,""),"")</f>
        <v/>
      </c>
      <c r="F661" s="30">
        <f>IFERROR(IF(AND(ISNUMBER('Semi Rev'!J92),ISNUMBER('Semi Rev'!I92)),'Semi Rev'!J92-'Semi Rev'!I92,""),"")</f>
        <v/>
      </c>
      <c r="G661" s="30">
        <f>IFERROR(IF(AND(ISNUMBER('Semi Rev'!K92),ISNUMBER('Semi Rev'!J92)),'Semi Rev'!K92-'Semi Rev'!J92,""),"")</f>
        <v/>
      </c>
      <c r="H661" s="30">
        <f>IFERROR(IF(AND(ISNUMBER('Semi Rev'!L92),ISNUMBER('Semi Rev'!K92)),'Semi Rev'!L92-'Semi Rev'!K92,""),"")</f>
        <v/>
      </c>
      <c r="I661" s="30">
        <f>IFERROR(IF(AND(ISNUMBER('Semi Rev'!M92),ISNUMBER('Semi Rev'!L92)),'Semi Rev'!M92-'Semi Rev'!L92,""),"")</f>
        <v/>
      </c>
      <c r="J661" s="30">
        <f>IFERROR(IF(AND(ISNUMBER('Semi Rev'!N92),ISNUMBER('Semi Rev'!M92)),'Semi Rev'!N92-'Semi Rev'!M92,""),"")</f>
        <v/>
      </c>
      <c r="K661" s="30">
        <f>IFERROR(IF(AND(ISNUMBER('Semi Rev'!O92),ISNUMBER('Semi Rev'!N92)),'Semi Rev'!O92-'Semi Rev'!N92,""),"")</f>
        <v/>
      </c>
      <c r="L661" s="30">
        <f>IFERROR(IF(AND(ISNUMBER('Semi Rev'!P92),ISNUMBER('Semi Rev'!O92)),'Semi Rev'!P92-'Semi Rev'!O92,""),"")</f>
        <v/>
      </c>
      <c r="M661" s="31">
        <f>IFERROR(IF(AND(ISNUMBER('Semi Rev'!Q92),ISNUMBER('Semi Rev'!P92)),'Semi Rev'!Q92-'Semi Rev'!P92,""),"")</f>
        <v/>
      </c>
      <c r="N661" s="31">
        <f>IFERROR(IF(AND(ISNUMBER('Semi Rev'!R92),ISNUMBER('Semi Rev'!Q92)),'Semi Rev'!R92-'Semi Rev'!Q92,""),"")</f>
        <v/>
      </c>
    </row>
    <row r="662">
      <c r="A662" s="19">
        <f>'Semi Rev'!$A93</f>
        <v/>
      </c>
      <c r="B662" s="19">
        <f>'Semi Rev'!$B93</f>
        <v/>
      </c>
      <c r="C662" s="30">
        <f>IFERROR(IF(AND(ISNUMBER('Semi Rev'!G93),ISNUMBER('Semi Rev'!F93)),'Semi Rev'!G93-'Semi Rev'!F93,""),"")</f>
        <v/>
      </c>
      <c r="D662" s="30">
        <f>IFERROR(IF(AND(ISNUMBER('Semi Rev'!H93),ISNUMBER('Semi Rev'!G93)),'Semi Rev'!H93-'Semi Rev'!G93,""),"")</f>
        <v/>
      </c>
      <c r="E662" s="30">
        <f>IFERROR(IF(AND(ISNUMBER('Semi Rev'!I93),ISNUMBER('Semi Rev'!H93)),'Semi Rev'!I93-'Semi Rev'!H93,""),"")</f>
        <v/>
      </c>
      <c r="F662" s="30">
        <f>IFERROR(IF(AND(ISNUMBER('Semi Rev'!J93),ISNUMBER('Semi Rev'!I93)),'Semi Rev'!J93-'Semi Rev'!I93,""),"")</f>
        <v/>
      </c>
      <c r="G662" s="30">
        <f>IFERROR(IF(AND(ISNUMBER('Semi Rev'!K93),ISNUMBER('Semi Rev'!J93)),'Semi Rev'!K93-'Semi Rev'!J93,""),"")</f>
        <v/>
      </c>
      <c r="H662" s="30">
        <f>IFERROR(IF(AND(ISNUMBER('Semi Rev'!L93),ISNUMBER('Semi Rev'!K93)),'Semi Rev'!L93-'Semi Rev'!K93,""),"")</f>
        <v/>
      </c>
      <c r="I662" s="30">
        <f>IFERROR(IF(AND(ISNUMBER('Semi Rev'!M93),ISNUMBER('Semi Rev'!L93)),'Semi Rev'!M93-'Semi Rev'!L93,""),"")</f>
        <v/>
      </c>
      <c r="J662" s="30">
        <f>IFERROR(IF(AND(ISNUMBER('Semi Rev'!N93),ISNUMBER('Semi Rev'!M93)),'Semi Rev'!N93-'Semi Rev'!M93,""),"")</f>
        <v/>
      </c>
      <c r="K662" s="30">
        <f>IFERROR(IF(AND(ISNUMBER('Semi Rev'!O93),ISNUMBER('Semi Rev'!N93)),'Semi Rev'!O93-'Semi Rev'!N93,""),"")</f>
        <v/>
      </c>
      <c r="L662" s="30">
        <f>IFERROR(IF(AND(ISNUMBER('Semi Rev'!P93),ISNUMBER('Semi Rev'!O93)),'Semi Rev'!P93-'Semi Rev'!O93,""),"")</f>
        <v/>
      </c>
      <c r="M662" s="31">
        <f>IFERROR(IF(AND(ISNUMBER('Semi Rev'!Q93),ISNUMBER('Semi Rev'!P93)),'Semi Rev'!Q93-'Semi Rev'!P93,""),"")</f>
        <v/>
      </c>
      <c r="N662" s="31">
        <f>IFERROR(IF(AND(ISNUMBER('Semi Rev'!R93),ISNUMBER('Semi Rev'!Q93)),'Semi Rev'!R93-'Semi Rev'!Q93,""),"")</f>
        <v/>
      </c>
    </row>
    <row r="663">
      <c r="A663" s="19">
        <f>'Semi Rev'!$A94</f>
        <v/>
      </c>
      <c r="B663" s="19">
        <f>'Semi Rev'!$B94</f>
        <v/>
      </c>
      <c r="C663" s="30">
        <f>IFERROR(IF(AND(ISNUMBER('Semi Rev'!G94),ISNUMBER('Semi Rev'!F94)),'Semi Rev'!G94-'Semi Rev'!F94,""),"")</f>
        <v/>
      </c>
      <c r="D663" s="30">
        <f>IFERROR(IF(AND(ISNUMBER('Semi Rev'!H94),ISNUMBER('Semi Rev'!G94)),'Semi Rev'!H94-'Semi Rev'!G94,""),"")</f>
        <v/>
      </c>
      <c r="E663" s="30">
        <f>IFERROR(IF(AND(ISNUMBER('Semi Rev'!I94),ISNUMBER('Semi Rev'!H94)),'Semi Rev'!I94-'Semi Rev'!H94,""),"")</f>
        <v/>
      </c>
      <c r="F663" s="30">
        <f>IFERROR(IF(AND(ISNUMBER('Semi Rev'!J94),ISNUMBER('Semi Rev'!I94)),'Semi Rev'!J94-'Semi Rev'!I94,""),"")</f>
        <v/>
      </c>
      <c r="G663" s="30">
        <f>IFERROR(IF(AND(ISNUMBER('Semi Rev'!K94),ISNUMBER('Semi Rev'!J94)),'Semi Rev'!K94-'Semi Rev'!J94,""),"")</f>
        <v/>
      </c>
      <c r="H663" s="30">
        <f>IFERROR(IF(AND(ISNUMBER('Semi Rev'!L94),ISNUMBER('Semi Rev'!K94)),'Semi Rev'!L94-'Semi Rev'!K94,""),"")</f>
        <v/>
      </c>
      <c r="I663" s="30">
        <f>IFERROR(IF(AND(ISNUMBER('Semi Rev'!M94),ISNUMBER('Semi Rev'!L94)),'Semi Rev'!M94-'Semi Rev'!L94,""),"")</f>
        <v/>
      </c>
      <c r="J663" s="30">
        <f>IFERROR(IF(AND(ISNUMBER('Semi Rev'!N94),ISNUMBER('Semi Rev'!M94)),'Semi Rev'!N94-'Semi Rev'!M94,""),"")</f>
        <v/>
      </c>
      <c r="K663" s="30">
        <f>IFERROR(IF(AND(ISNUMBER('Semi Rev'!O94),ISNUMBER('Semi Rev'!N94)),'Semi Rev'!O94-'Semi Rev'!N94,""),"")</f>
        <v/>
      </c>
      <c r="L663" s="30">
        <f>IFERROR(IF(AND(ISNUMBER('Semi Rev'!P94),ISNUMBER('Semi Rev'!O94)),'Semi Rev'!P94-'Semi Rev'!O94,""),"")</f>
        <v/>
      </c>
      <c r="M663" s="31">
        <f>IFERROR(IF(AND(ISNUMBER('Semi Rev'!Q94),ISNUMBER('Semi Rev'!P94)),'Semi Rev'!Q94-'Semi Rev'!P94,""),"")</f>
        <v/>
      </c>
      <c r="N663" s="31">
        <f>IFERROR(IF(AND(ISNUMBER('Semi Rev'!R94),ISNUMBER('Semi Rev'!Q94)),'Semi Rev'!R94-'Semi Rev'!Q94,""),"")</f>
        <v/>
      </c>
    </row>
    <row r="664">
      <c r="A664" s="19">
        <f>'Semi Rev'!$A95</f>
        <v/>
      </c>
      <c r="B664" s="19">
        <f>'Semi Rev'!$B95</f>
        <v/>
      </c>
      <c r="C664" s="30">
        <f>IFERROR(IF(AND(ISNUMBER('Semi Rev'!G95),ISNUMBER('Semi Rev'!F95)),'Semi Rev'!G95-'Semi Rev'!F95,""),"")</f>
        <v/>
      </c>
      <c r="D664" s="30">
        <f>IFERROR(IF(AND(ISNUMBER('Semi Rev'!H95),ISNUMBER('Semi Rev'!G95)),'Semi Rev'!H95-'Semi Rev'!G95,""),"")</f>
        <v/>
      </c>
      <c r="E664" s="30">
        <f>IFERROR(IF(AND(ISNUMBER('Semi Rev'!I95),ISNUMBER('Semi Rev'!H95)),'Semi Rev'!I95-'Semi Rev'!H95,""),"")</f>
        <v/>
      </c>
      <c r="F664" s="30">
        <f>IFERROR(IF(AND(ISNUMBER('Semi Rev'!J95),ISNUMBER('Semi Rev'!I95)),'Semi Rev'!J95-'Semi Rev'!I95,""),"")</f>
        <v/>
      </c>
      <c r="G664" s="30">
        <f>IFERROR(IF(AND(ISNUMBER('Semi Rev'!K95),ISNUMBER('Semi Rev'!J95)),'Semi Rev'!K95-'Semi Rev'!J95,""),"")</f>
        <v/>
      </c>
      <c r="H664" s="30">
        <f>IFERROR(IF(AND(ISNUMBER('Semi Rev'!L95),ISNUMBER('Semi Rev'!K95)),'Semi Rev'!L95-'Semi Rev'!K95,""),"")</f>
        <v/>
      </c>
      <c r="I664" s="30">
        <f>IFERROR(IF(AND(ISNUMBER('Semi Rev'!M95),ISNUMBER('Semi Rev'!L95)),'Semi Rev'!M95-'Semi Rev'!L95,""),"")</f>
        <v/>
      </c>
      <c r="J664" s="30">
        <f>IFERROR(IF(AND(ISNUMBER('Semi Rev'!N95),ISNUMBER('Semi Rev'!M95)),'Semi Rev'!N95-'Semi Rev'!M95,""),"")</f>
        <v/>
      </c>
      <c r="K664" s="30">
        <f>IFERROR(IF(AND(ISNUMBER('Semi Rev'!O95),ISNUMBER('Semi Rev'!N95)),'Semi Rev'!O95-'Semi Rev'!N95,""),"")</f>
        <v/>
      </c>
      <c r="L664" s="30">
        <f>IFERROR(IF(AND(ISNUMBER('Semi Rev'!P95),ISNUMBER('Semi Rev'!O95)),'Semi Rev'!P95-'Semi Rev'!O95,""),"")</f>
        <v/>
      </c>
      <c r="M664" s="31">
        <f>IFERROR(IF(AND(ISNUMBER('Semi Rev'!Q95),ISNUMBER('Semi Rev'!P95)),'Semi Rev'!Q95-'Semi Rev'!P95,""),"")</f>
        <v/>
      </c>
      <c r="N664" s="31">
        <f>IFERROR(IF(AND(ISNUMBER('Semi Rev'!R95),ISNUMBER('Semi Rev'!Q95)),'Semi Rev'!R95-'Semi Rev'!Q95,""),"")</f>
        <v/>
      </c>
    </row>
    <row r="665">
      <c r="A665" s="19">
        <f>'Semi Rev'!$A96</f>
        <v/>
      </c>
      <c r="B665" s="19">
        <f>'Semi Rev'!$B96</f>
        <v/>
      </c>
      <c r="C665" s="30">
        <f>IFERROR(IF(AND(ISNUMBER('Semi Rev'!G96),ISNUMBER('Semi Rev'!F96)),'Semi Rev'!G96-'Semi Rev'!F96,""),"")</f>
        <v/>
      </c>
      <c r="D665" s="30">
        <f>IFERROR(IF(AND(ISNUMBER('Semi Rev'!H96),ISNUMBER('Semi Rev'!G96)),'Semi Rev'!H96-'Semi Rev'!G96,""),"")</f>
        <v/>
      </c>
      <c r="E665" s="30">
        <f>IFERROR(IF(AND(ISNUMBER('Semi Rev'!I96),ISNUMBER('Semi Rev'!H96)),'Semi Rev'!I96-'Semi Rev'!H96,""),"")</f>
        <v/>
      </c>
      <c r="F665" s="30">
        <f>IFERROR(IF(AND(ISNUMBER('Semi Rev'!J96),ISNUMBER('Semi Rev'!I96)),'Semi Rev'!J96-'Semi Rev'!I96,""),"")</f>
        <v/>
      </c>
      <c r="G665" s="30">
        <f>IFERROR(IF(AND(ISNUMBER('Semi Rev'!K96),ISNUMBER('Semi Rev'!J96)),'Semi Rev'!K96-'Semi Rev'!J96,""),"")</f>
        <v/>
      </c>
      <c r="H665" s="30">
        <f>IFERROR(IF(AND(ISNUMBER('Semi Rev'!L96),ISNUMBER('Semi Rev'!K96)),'Semi Rev'!L96-'Semi Rev'!K96,""),"")</f>
        <v/>
      </c>
      <c r="I665" s="30">
        <f>IFERROR(IF(AND(ISNUMBER('Semi Rev'!M96),ISNUMBER('Semi Rev'!L96)),'Semi Rev'!M96-'Semi Rev'!L96,""),"")</f>
        <v/>
      </c>
      <c r="J665" s="30">
        <f>IFERROR(IF(AND(ISNUMBER('Semi Rev'!N96),ISNUMBER('Semi Rev'!M96)),'Semi Rev'!N96-'Semi Rev'!M96,""),"")</f>
        <v/>
      </c>
      <c r="K665" s="30">
        <f>IFERROR(IF(AND(ISNUMBER('Semi Rev'!O96),ISNUMBER('Semi Rev'!N96)),'Semi Rev'!O96-'Semi Rev'!N96,""),"")</f>
        <v/>
      </c>
      <c r="L665" s="30">
        <f>IFERROR(IF(AND(ISNUMBER('Semi Rev'!P96),ISNUMBER('Semi Rev'!O96)),'Semi Rev'!P96-'Semi Rev'!O96,""),"")</f>
        <v/>
      </c>
      <c r="M665" s="31">
        <f>IFERROR(IF(AND(ISNUMBER('Semi Rev'!Q96),ISNUMBER('Semi Rev'!P96)),'Semi Rev'!Q96-'Semi Rev'!P96,""),"")</f>
        <v/>
      </c>
      <c r="N665" s="31">
        <f>IFERROR(IF(AND(ISNUMBER('Semi Rev'!R96),ISNUMBER('Semi Rev'!Q96)),'Semi Rev'!R96-'Semi Rev'!Q96,""),"")</f>
        <v/>
      </c>
    </row>
    <row r="666">
      <c r="A666" s="19">
        <f>'Semi Rev'!$A97</f>
        <v/>
      </c>
      <c r="B666" s="19">
        <f>'Semi Rev'!$B97</f>
        <v/>
      </c>
      <c r="C666" s="30">
        <f>IFERROR(IF(AND(ISNUMBER('Semi Rev'!G97),ISNUMBER('Semi Rev'!F97)),'Semi Rev'!G97-'Semi Rev'!F97,""),"")</f>
        <v/>
      </c>
      <c r="D666" s="30">
        <f>IFERROR(IF(AND(ISNUMBER('Semi Rev'!H97),ISNUMBER('Semi Rev'!G97)),'Semi Rev'!H97-'Semi Rev'!G97,""),"")</f>
        <v/>
      </c>
      <c r="E666" s="30">
        <f>IFERROR(IF(AND(ISNUMBER('Semi Rev'!I97),ISNUMBER('Semi Rev'!H97)),'Semi Rev'!I97-'Semi Rev'!H97,""),"")</f>
        <v/>
      </c>
      <c r="F666" s="30">
        <f>IFERROR(IF(AND(ISNUMBER('Semi Rev'!J97),ISNUMBER('Semi Rev'!I97)),'Semi Rev'!J97-'Semi Rev'!I97,""),"")</f>
        <v/>
      </c>
      <c r="G666" s="30">
        <f>IFERROR(IF(AND(ISNUMBER('Semi Rev'!K97),ISNUMBER('Semi Rev'!J97)),'Semi Rev'!K97-'Semi Rev'!J97,""),"")</f>
        <v/>
      </c>
      <c r="H666" s="30">
        <f>IFERROR(IF(AND(ISNUMBER('Semi Rev'!L97),ISNUMBER('Semi Rev'!K97)),'Semi Rev'!L97-'Semi Rev'!K97,""),"")</f>
        <v/>
      </c>
      <c r="I666" s="30">
        <f>IFERROR(IF(AND(ISNUMBER('Semi Rev'!M97),ISNUMBER('Semi Rev'!L97)),'Semi Rev'!M97-'Semi Rev'!L97,""),"")</f>
        <v/>
      </c>
      <c r="J666" s="30">
        <f>IFERROR(IF(AND(ISNUMBER('Semi Rev'!N97),ISNUMBER('Semi Rev'!M97)),'Semi Rev'!N97-'Semi Rev'!M97,""),"")</f>
        <v/>
      </c>
      <c r="K666" s="30">
        <f>IFERROR(IF(AND(ISNUMBER('Semi Rev'!O97),ISNUMBER('Semi Rev'!N97)),'Semi Rev'!O97-'Semi Rev'!N97,""),"")</f>
        <v/>
      </c>
      <c r="L666" s="30">
        <f>IFERROR(IF(AND(ISNUMBER('Semi Rev'!P97),ISNUMBER('Semi Rev'!O97)),'Semi Rev'!P97-'Semi Rev'!O97,""),"")</f>
        <v/>
      </c>
      <c r="M666" s="31">
        <f>IFERROR(IF(AND(ISNUMBER('Semi Rev'!Q97),ISNUMBER('Semi Rev'!P97)),'Semi Rev'!Q97-'Semi Rev'!P97,""),"")</f>
        <v/>
      </c>
      <c r="N666" s="31">
        <f>IFERROR(IF(AND(ISNUMBER('Semi Rev'!R97),ISNUMBER('Semi Rev'!Q97)),'Semi Rev'!R97-'Semi Rev'!Q97,""),"")</f>
        <v/>
      </c>
    </row>
    <row r="667">
      <c r="A667" s="19">
        <f>'Semi Rev'!$A98</f>
        <v/>
      </c>
      <c r="B667" s="19">
        <f>'Semi Rev'!$B98</f>
        <v/>
      </c>
      <c r="C667" s="30">
        <f>IFERROR(IF(AND(ISNUMBER('Semi Rev'!G98),ISNUMBER('Semi Rev'!F98)),'Semi Rev'!G98-'Semi Rev'!F98,""),"")</f>
        <v/>
      </c>
      <c r="D667" s="30">
        <f>IFERROR(IF(AND(ISNUMBER('Semi Rev'!H98),ISNUMBER('Semi Rev'!G98)),'Semi Rev'!H98-'Semi Rev'!G98,""),"")</f>
        <v/>
      </c>
      <c r="E667" s="30">
        <f>IFERROR(IF(AND(ISNUMBER('Semi Rev'!I98),ISNUMBER('Semi Rev'!H98)),'Semi Rev'!I98-'Semi Rev'!H98,""),"")</f>
        <v/>
      </c>
      <c r="F667" s="30">
        <f>IFERROR(IF(AND(ISNUMBER('Semi Rev'!J98),ISNUMBER('Semi Rev'!I98)),'Semi Rev'!J98-'Semi Rev'!I98,""),"")</f>
        <v/>
      </c>
      <c r="G667" s="30">
        <f>IFERROR(IF(AND(ISNUMBER('Semi Rev'!K98),ISNUMBER('Semi Rev'!J98)),'Semi Rev'!K98-'Semi Rev'!J98,""),"")</f>
        <v/>
      </c>
      <c r="H667" s="30">
        <f>IFERROR(IF(AND(ISNUMBER('Semi Rev'!L98),ISNUMBER('Semi Rev'!K98)),'Semi Rev'!L98-'Semi Rev'!K98,""),"")</f>
        <v/>
      </c>
      <c r="I667" s="30">
        <f>IFERROR(IF(AND(ISNUMBER('Semi Rev'!M98),ISNUMBER('Semi Rev'!L98)),'Semi Rev'!M98-'Semi Rev'!L98,""),"")</f>
        <v/>
      </c>
      <c r="J667" s="30">
        <f>IFERROR(IF(AND(ISNUMBER('Semi Rev'!N98),ISNUMBER('Semi Rev'!M98)),'Semi Rev'!N98-'Semi Rev'!M98,""),"")</f>
        <v/>
      </c>
      <c r="K667" s="30">
        <f>IFERROR(IF(AND(ISNUMBER('Semi Rev'!O98),ISNUMBER('Semi Rev'!N98)),'Semi Rev'!O98-'Semi Rev'!N98,""),"")</f>
        <v/>
      </c>
      <c r="L667" s="30">
        <f>IFERROR(IF(AND(ISNUMBER('Semi Rev'!P98),ISNUMBER('Semi Rev'!O98)),'Semi Rev'!P98-'Semi Rev'!O98,""),"")</f>
        <v/>
      </c>
      <c r="M667" s="31">
        <f>IFERROR(IF(AND(ISNUMBER('Semi Rev'!Q98),ISNUMBER('Semi Rev'!P98)),'Semi Rev'!Q98-'Semi Rev'!P98,""),"")</f>
        <v/>
      </c>
      <c r="N667" s="31">
        <f>IFERROR(IF(AND(ISNUMBER('Semi Rev'!R98),ISNUMBER('Semi Rev'!Q98)),'Semi Rev'!R98-'Semi Rev'!Q98,""),"")</f>
        <v/>
      </c>
    </row>
    <row r="668">
      <c r="A668" s="19">
        <f>'Semi Rev'!$A99</f>
        <v/>
      </c>
      <c r="B668" s="19">
        <f>'Semi Rev'!$B99</f>
        <v/>
      </c>
      <c r="C668" s="30">
        <f>IFERROR(IF(AND(ISNUMBER('Semi Rev'!G99),ISNUMBER('Semi Rev'!F99)),'Semi Rev'!G99-'Semi Rev'!F99,""),"")</f>
        <v/>
      </c>
      <c r="D668" s="30">
        <f>IFERROR(IF(AND(ISNUMBER('Semi Rev'!H99),ISNUMBER('Semi Rev'!G99)),'Semi Rev'!H99-'Semi Rev'!G99,""),"")</f>
        <v/>
      </c>
      <c r="E668" s="30">
        <f>IFERROR(IF(AND(ISNUMBER('Semi Rev'!I99),ISNUMBER('Semi Rev'!H99)),'Semi Rev'!I99-'Semi Rev'!H99,""),"")</f>
        <v/>
      </c>
      <c r="F668" s="30">
        <f>IFERROR(IF(AND(ISNUMBER('Semi Rev'!J99),ISNUMBER('Semi Rev'!I99)),'Semi Rev'!J99-'Semi Rev'!I99,""),"")</f>
        <v/>
      </c>
      <c r="G668" s="30">
        <f>IFERROR(IF(AND(ISNUMBER('Semi Rev'!K99),ISNUMBER('Semi Rev'!J99)),'Semi Rev'!K99-'Semi Rev'!J99,""),"")</f>
        <v/>
      </c>
      <c r="H668" s="30">
        <f>IFERROR(IF(AND(ISNUMBER('Semi Rev'!L99),ISNUMBER('Semi Rev'!K99)),'Semi Rev'!L99-'Semi Rev'!K99,""),"")</f>
        <v/>
      </c>
      <c r="I668" s="30">
        <f>IFERROR(IF(AND(ISNUMBER('Semi Rev'!M99),ISNUMBER('Semi Rev'!L99)),'Semi Rev'!M99-'Semi Rev'!L99,""),"")</f>
        <v/>
      </c>
      <c r="J668" s="30">
        <f>IFERROR(IF(AND(ISNUMBER('Semi Rev'!N99),ISNUMBER('Semi Rev'!M99)),'Semi Rev'!N99-'Semi Rev'!M99,""),"")</f>
        <v/>
      </c>
      <c r="K668" s="30">
        <f>IFERROR(IF(AND(ISNUMBER('Semi Rev'!O99),ISNUMBER('Semi Rev'!N99)),'Semi Rev'!O99-'Semi Rev'!N99,""),"")</f>
        <v/>
      </c>
      <c r="L668" s="30">
        <f>IFERROR(IF(AND(ISNUMBER('Semi Rev'!P99),ISNUMBER('Semi Rev'!O99)),'Semi Rev'!P99-'Semi Rev'!O99,""),"")</f>
        <v/>
      </c>
      <c r="M668" s="31">
        <f>IFERROR(IF(AND(ISNUMBER('Semi Rev'!Q99),ISNUMBER('Semi Rev'!P99)),'Semi Rev'!Q99-'Semi Rev'!P99,""),"")</f>
        <v/>
      </c>
      <c r="N668" s="31">
        <f>IFERROR(IF(AND(ISNUMBER('Semi Rev'!R99),ISNUMBER('Semi Rev'!Q99)),'Semi Rev'!R99-'Semi Rev'!Q99,""),"")</f>
        <v/>
      </c>
    </row>
    <row r="669">
      <c r="A669" s="19">
        <f>'Semi Rev'!$A100</f>
        <v/>
      </c>
      <c r="B669" s="19">
        <f>'Semi Rev'!$B100</f>
        <v/>
      </c>
      <c r="C669" s="30">
        <f>IFERROR(IF(AND(ISNUMBER('Semi Rev'!G100),ISNUMBER('Semi Rev'!F100)),'Semi Rev'!G100-'Semi Rev'!F100,""),"")</f>
        <v/>
      </c>
      <c r="D669" s="30">
        <f>IFERROR(IF(AND(ISNUMBER('Semi Rev'!H100),ISNUMBER('Semi Rev'!G100)),'Semi Rev'!H100-'Semi Rev'!G100,""),"")</f>
        <v/>
      </c>
      <c r="E669" s="30">
        <f>IFERROR(IF(AND(ISNUMBER('Semi Rev'!I100),ISNUMBER('Semi Rev'!H100)),'Semi Rev'!I100-'Semi Rev'!H100,""),"")</f>
        <v/>
      </c>
      <c r="F669" s="30">
        <f>IFERROR(IF(AND(ISNUMBER('Semi Rev'!J100),ISNUMBER('Semi Rev'!I100)),'Semi Rev'!J100-'Semi Rev'!I100,""),"")</f>
        <v/>
      </c>
      <c r="G669" s="30">
        <f>IFERROR(IF(AND(ISNUMBER('Semi Rev'!K100),ISNUMBER('Semi Rev'!J100)),'Semi Rev'!K100-'Semi Rev'!J100,""),"")</f>
        <v/>
      </c>
      <c r="H669" s="30">
        <f>IFERROR(IF(AND(ISNUMBER('Semi Rev'!L100),ISNUMBER('Semi Rev'!K100)),'Semi Rev'!L100-'Semi Rev'!K100,""),"")</f>
        <v/>
      </c>
      <c r="I669" s="30">
        <f>IFERROR(IF(AND(ISNUMBER('Semi Rev'!M100),ISNUMBER('Semi Rev'!L100)),'Semi Rev'!M100-'Semi Rev'!L100,""),"")</f>
        <v/>
      </c>
      <c r="J669" s="30">
        <f>IFERROR(IF(AND(ISNUMBER('Semi Rev'!N100),ISNUMBER('Semi Rev'!M100)),'Semi Rev'!N100-'Semi Rev'!M100,""),"")</f>
        <v/>
      </c>
      <c r="K669" s="30">
        <f>IFERROR(IF(AND(ISNUMBER('Semi Rev'!O100),ISNUMBER('Semi Rev'!N100)),'Semi Rev'!O100-'Semi Rev'!N100,""),"")</f>
        <v/>
      </c>
      <c r="L669" s="30">
        <f>IFERROR(IF(AND(ISNUMBER('Semi Rev'!P100),ISNUMBER('Semi Rev'!O100)),'Semi Rev'!P100-'Semi Rev'!O100,""),"")</f>
        <v/>
      </c>
      <c r="M669" s="31">
        <f>IFERROR(IF(AND(ISNUMBER('Semi Rev'!Q100),ISNUMBER('Semi Rev'!P100)),'Semi Rev'!Q100-'Semi Rev'!P100,""),"")</f>
        <v/>
      </c>
      <c r="N669" s="31">
        <f>IFERROR(IF(AND(ISNUMBER('Semi Rev'!R100),ISNUMBER('Semi Rev'!Q100)),'Semi Rev'!R100-'Semi Rev'!Q100,""),"")</f>
        <v/>
      </c>
    </row>
    <row r="670">
      <c r="A670" s="19">
        <f>'Semi Rev'!$A101</f>
        <v/>
      </c>
      <c r="B670" s="19">
        <f>'Semi Rev'!$B101</f>
        <v/>
      </c>
      <c r="C670" s="30">
        <f>IFERROR(IF(AND(ISNUMBER('Semi Rev'!G101),ISNUMBER('Semi Rev'!F101)),'Semi Rev'!G101-'Semi Rev'!F101,""),"")</f>
        <v/>
      </c>
      <c r="D670" s="30">
        <f>IFERROR(IF(AND(ISNUMBER('Semi Rev'!H101),ISNUMBER('Semi Rev'!G101)),'Semi Rev'!H101-'Semi Rev'!G101,""),"")</f>
        <v/>
      </c>
      <c r="E670" s="30">
        <f>IFERROR(IF(AND(ISNUMBER('Semi Rev'!I101),ISNUMBER('Semi Rev'!H101)),'Semi Rev'!I101-'Semi Rev'!H101,""),"")</f>
        <v/>
      </c>
      <c r="F670" s="30">
        <f>IFERROR(IF(AND(ISNUMBER('Semi Rev'!J101),ISNUMBER('Semi Rev'!I101)),'Semi Rev'!J101-'Semi Rev'!I101,""),"")</f>
        <v/>
      </c>
      <c r="G670" s="30">
        <f>IFERROR(IF(AND(ISNUMBER('Semi Rev'!K101),ISNUMBER('Semi Rev'!J101)),'Semi Rev'!K101-'Semi Rev'!J101,""),"")</f>
        <v/>
      </c>
      <c r="H670" s="30">
        <f>IFERROR(IF(AND(ISNUMBER('Semi Rev'!L101),ISNUMBER('Semi Rev'!K101)),'Semi Rev'!L101-'Semi Rev'!K101,""),"")</f>
        <v/>
      </c>
      <c r="I670" s="30">
        <f>IFERROR(IF(AND(ISNUMBER('Semi Rev'!M101),ISNUMBER('Semi Rev'!L101)),'Semi Rev'!M101-'Semi Rev'!L101,""),"")</f>
        <v/>
      </c>
      <c r="J670" s="30">
        <f>IFERROR(IF(AND(ISNUMBER('Semi Rev'!N101),ISNUMBER('Semi Rev'!M101)),'Semi Rev'!N101-'Semi Rev'!M101,""),"")</f>
        <v/>
      </c>
      <c r="K670" s="30">
        <f>IFERROR(IF(AND(ISNUMBER('Semi Rev'!O101),ISNUMBER('Semi Rev'!N101)),'Semi Rev'!O101-'Semi Rev'!N101,""),"")</f>
        <v/>
      </c>
      <c r="L670" s="30">
        <f>IFERROR(IF(AND(ISNUMBER('Semi Rev'!P101),ISNUMBER('Semi Rev'!O101)),'Semi Rev'!P101-'Semi Rev'!O101,""),"")</f>
        <v/>
      </c>
      <c r="M670" s="31">
        <f>IFERROR(IF(AND(ISNUMBER('Semi Rev'!Q101),ISNUMBER('Semi Rev'!P101)),'Semi Rev'!Q101-'Semi Rev'!P101,""),"")</f>
        <v/>
      </c>
      <c r="N670" s="31">
        <f>IFERROR(IF(AND(ISNUMBER('Semi Rev'!R101),ISNUMBER('Semi Rev'!Q101)),'Semi Rev'!R101-'Semi Rev'!Q101,""),"")</f>
        <v/>
      </c>
    </row>
    <row r="671">
      <c r="A671" s="19">
        <f>'Semi Rev'!$A102</f>
        <v/>
      </c>
      <c r="B671" s="19">
        <f>'Semi Rev'!$B102</f>
        <v/>
      </c>
      <c r="C671" s="30">
        <f>IFERROR(IF(AND(ISNUMBER('Semi Rev'!G102),ISNUMBER('Semi Rev'!F102)),'Semi Rev'!G102-'Semi Rev'!F102,""),"")</f>
        <v/>
      </c>
      <c r="D671" s="30">
        <f>IFERROR(IF(AND(ISNUMBER('Semi Rev'!H102),ISNUMBER('Semi Rev'!G102)),'Semi Rev'!H102-'Semi Rev'!G102,""),"")</f>
        <v/>
      </c>
      <c r="E671" s="30">
        <f>IFERROR(IF(AND(ISNUMBER('Semi Rev'!I102),ISNUMBER('Semi Rev'!H102)),'Semi Rev'!I102-'Semi Rev'!H102,""),"")</f>
        <v/>
      </c>
      <c r="F671" s="30">
        <f>IFERROR(IF(AND(ISNUMBER('Semi Rev'!J102),ISNUMBER('Semi Rev'!I102)),'Semi Rev'!J102-'Semi Rev'!I102,""),"")</f>
        <v/>
      </c>
      <c r="G671" s="30">
        <f>IFERROR(IF(AND(ISNUMBER('Semi Rev'!K102),ISNUMBER('Semi Rev'!J102)),'Semi Rev'!K102-'Semi Rev'!J102,""),"")</f>
        <v/>
      </c>
      <c r="H671" s="30">
        <f>IFERROR(IF(AND(ISNUMBER('Semi Rev'!L102),ISNUMBER('Semi Rev'!K102)),'Semi Rev'!L102-'Semi Rev'!K102,""),"")</f>
        <v/>
      </c>
      <c r="I671" s="30">
        <f>IFERROR(IF(AND(ISNUMBER('Semi Rev'!M102),ISNUMBER('Semi Rev'!L102)),'Semi Rev'!M102-'Semi Rev'!L102,""),"")</f>
        <v/>
      </c>
      <c r="J671" s="30">
        <f>IFERROR(IF(AND(ISNUMBER('Semi Rev'!N102),ISNUMBER('Semi Rev'!M102)),'Semi Rev'!N102-'Semi Rev'!M102,""),"")</f>
        <v/>
      </c>
      <c r="K671" s="30">
        <f>IFERROR(IF(AND(ISNUMBER('Semi Rev'!O102),ISNUMBER('Semi Rev'!N102)),'Semi Rev'!O102-'Semi Rev'!N102,""),"")</f>
        <v/>
      </c>
      <c r="L671" s="30">
        <f>IFERROR(IF(AND(ISNUMBER('Semi Rev'!P102),ISNUMBER('Semi Rev'!O102)),'Semi Rev'!P102-'Semi Rev'!O102,""),"")</f>
        <v/>
      </c>
      <c r="M671" s="31">
        <f>IFERROR(IF(AND(ISNUMBER('Semi Rev'!Q102),ISNUMBER('Semi Rev'!P102)),'Semi Rev'!Q102-'Semi Rev'!P102,""),"")</f>
        <v/>
      </c>
      <c r="N671" s="31">
        <f>IFERROR(IF(AND(ISNUMBER('Semi Rev'!R102),ISNUMBER('Semi Rev'!Q102)),'Semi Rev'!R102-'Semi Rev'!Q102,""),"")</f>
        <v/>
      </c>
    </row>
    <row r="672">
      <c r="A672" s="19">
        <f>'Semi Rev'!$A103</f>
        <v/>
      </c>
      <c r="B672" s="19">
        <f>'Semi Rev'!$B103</f>
        <v/>
      </c>
      <c r="C672" s="30">
        <f>IFERROR(IF(AND(ISNUMBER('Semi Rev'!G103),ISNUMBER('Semi Rev'!F103)),'Semi Rev'!G103-'Semi Rev'!F103,""),"")</f>
        <v/>
      </c>
      <c r="D672" s="30">
        <f>IFERROR(IF(AND(ISNUMBER('Semi Rev'!H103),ISNUMBER('Semi Rev'!G103)),'Semi Rev'!H103-'Semi Rev'!G103,""),"")</f>
        <v/>
      </c>
      <c r="E672" s="30">
        <f>IFERROR(IF(AND(ISNUMBER('Semi Rev'!I103),ISNUMBER('Semi Rev'!H103)),'Semi Rev'!I103-'Semi Rev'!H103,""),"")</f>
        <v/>
      </c>
      <c r="F672" s="30">
        <f>IFERROR(IF(AND(ISNUMBER('Semi Rev'!J103),ISNUMBER('Semi Rev'!I103)),'Semi Rev'!J103-'Semi Rev'!I103,""),"")</f>
        <v/>
      </c>
      <c r="G672" s="30">
        <f>IFERROR(IF(AND(ISNUMBER('Semi Rev'!K103),ISNUMBER('Semi Rev'!J103)),'Semi Rev'!K103-'Semi Rev'!J103,""),"")</f>
        <v/>
      </c>
      <c r="H672" s="30">
        <f>IFERROR(IF(AND(ISNUMBER('Semi Rev'!L103),ISNUMBER('Semi Rev'!K103)),'Semi Rev'!L103-'Semi Rev'!K103,""),"")</f>
        <v/>
      </c>
      <c r="I672" s="30">
        <f>IFERROR(IF(AND(ISNUMBER('Semi Rev'!M103),ISNUMBER('Semi Rev'!L103)),'Semi Rev'!M103-'Semi Rev'!L103,""),"")</f>
        <v/>
      </c>
      <c r="J672" s="30">
        <f>IFERROR(IF(AND(ISNUMBER('Semi Rev'!N103),ISNUMBER('Semi Rev'!M103)),'Semi Rev'!N103-'Semi Rev'!M103,""),"")</f>
        <v/>
      </c>
      <c r="K672" s="30">
        <f>IFERROR(IF(AND(ISNUMBER('Semi Rev'!O103),ISNUMBER('Semi Rev'!N103)),'Semi Rev'!O103-'Semi Rev'!N103,""),"")</f>
        <v/>
      </c>
      <c r="L672" s="30">
        <f>IFERROR(IF(AND(ISNUMBER('Semi Rev'!P103),ISNUMBER('Semi Rev'!O103)),'Semi Rev'!P103-'Semi Rev'!O103,""),"")</f>
        <v/>
      </c>
      <c r="M672" s="31">
        <f>IFERROR(IF(AND(ISNUMBER('Semi Rev'!Q103),ISNUMBER('Semi Rev'!P103)),'Semi Rev'!Q103-'Semi Rev'!P103,""),"")</f>
        <v/>
      </c>
      <c r="N672" s="31">
        <f>IFERROR(IF(AND(ISNUMBER('Semi Rev'!R103),ISNUMBER('Semi Rev'!Q103)),'Semi Rev'!R103-'Semi Rev'!Q103,""),"")</f>
        <v/>
      </c>
    </row>
    <row r="673">
      <c r="A673" s="19">
        <f>'Semi Rev'!$A104</f>
        <v/>
      </c>
      <c r="B673" s="19">
        <f>'Semi Rev'!$B104</f>
        <v/>
      </c>
      <c r="C673" s="30">
        <f>IFERROR(IF(AND(ISNUMBER('Semi Rev'!G104),ISNUMBER('Semi Rev'!F104)),'Semi Rev'!G104-'Semi Rev'!F104,""),"")</f>
        <v/>
      </c>
      <c r="D673" s="30">
        <f>IFERROR(IF(AND(ISNUMBER('Semi Rev'!H104),ISNUMBER('Semi Rev'!G104)),'Semi Rev'!H104-'Semi Rev'!G104,""),"")</f>
        <v/>
      </c>
      <c r="E673" s="30">
        <f>IFERROR(IF(AND(ISNUMBER('Semi Rev'!I104),ISNUMBER('Semi Rev'!H104)),'Semi Rev'!I104-'Semi Rev'!H104,""),"")</f>
        <v/>
      </c>
      <c r="F673" s="30">
        <f>IFERROR(IF(AND(ISNUMBER('Semi Rev'!J104),ISNUMBER('Semi Rev'!I104)),'Semi Rev'!J104-'Semi Rev'!I104,""),"")</f>
        <v/>
      </c>
      <c r="G673" s="30">
        <f>IFERROR(IF(AND(ISNUMBER('Semi Rev'!K104),ISNUMBER('Semi Rev'!J104)),'Semi Rev'!K104-'Semi Rev'!J104,""),"")</f>
        <v/>
      </c>
      <c r="H673" s="30">
        <f>IFERROR(IF(AND(ISNUMBER('Semi Rev'!L104),ISNUMBER('Semi Rev'!K104)),'Semi Rev'!L104-'Semi Rev'!K104,""),"")</f>
        <v/>
      </c>
      <c r="I673" s="30">
        <f>IFERROR(IF(AND(ISNUMBER('Semi Rev'!M104),ISNUMBER('Semi Rev'!L104)),'Semi Rev'!M104-'Semi Rev'!L104,""),"")</f>
        <v/>
      </c>
      <c r="J673" s="30">
        <f>IFERROR(IF(AND(ISNUMBER('Semi Rev'!N104),ISNUMBER('Semi Rev'!M104)),'Semi Rev'!N104-'Semi Rev'!M104,""),"")</f>
        <v/>
      </c>
      <c r="K673" s="30">
        <f>IFERROR(IF(AND(ISNUMBER('Semi Rev'!O104),ISNUMBER('Semi Rev'!N104)),'Semi Rev'!O104-'Semi Rev'!N104,""),"")</f>
        <v/>
      </c>
      <c r="L673" s="30">
        <f>IFERROR(IF(AND(ISNUMBER('Semi Rev'!P104),ISNUMBER('Semi Rev'!O104)),'Semi Rev'!P104-'Semi Rev'!O104,""),"")</f>
        <v/>
      </c>
      <c r="M673" s="31">
        <f>IFERROR(IF(AND(ISNUMBER('Semi Rev'!Q104),ISNUMBER('Semi Rev'!P104)),'Semi Rev'!Q104-'Semi Rev'!P104,""),"")</f>
        <v/>
      </c>
      <c r="N673" s="31">
        <f>IFERROR(IF(AND(ISNUMBER('Semi Rev'!R104),ISNUMBER('Semi Rev'!Q104)),'Semi Rev'!R104-'Semi Rev'!Q104,""),"")</f>
        <v/>
      </c>
    </row>
    <row r="674">
      <c r="A674" s="19">
        <f>'Semi Rev'!$A105</f>
        <v/>
      </c>
      <c r="B674" s="19">
        <f>'Semi Rev'!$B105</f>
        <v/>
      </c>
      <c r="C674" s="30">
        <f>IFERROR(IF(AND(ISNUMBER('Semi Rev'!G105),ISNUMBER('Semi Rev'!F105)),'Semi Rev'!G105-'Semi Rev'!F105,""),"")</f>
        <v/>
      </c>
      <c r="D674" s="30">
        <f>IFERROR(IF(AND(ISNUMBER('Semi Rev'!H105),ISNUMBER('Semi Rev'!G105)),'Semi Rev'!H105-'Semi Rev'!G105,""),"")</f>
        <v/>
      </c>
      <c r="E674" s="30">
        <f>IFERROR(IF(AND(ISNUMBER('Semi Rev'!I105),ISNUMBER('Semi Rev'!H105)),'Semi Rev'!I105-'Semi Rev'!H105,""),"")</f>
        <v/>
      </c>
      <c r="F674" s="30">
        <f>IFERROR(IF(AND(ISNUMBER('Semi Rev'!J105),ISNUMBER('Semi Rev'!I105)),'Semi Rev'!J105-'Semi Rev'!I105,""),"")</f>
        <v/>
      </c>
      <c r="G674" s="30">
        <f>IFERROR(IF(AND(ISNUMBER('Semi Rev'!K105),ISNUMBER('Semi Rev'!J105)),'Semi Rev'!K105-'Semi Rev'!J105,""),"")</f>
        <v/>
      </c>
      <c r="H674" s="30">
        <f>IFERROR(IF(AND(ISNUMBER('Semi Rev'!L105),ISNUMBER('Semi Rev'!K105)),'Semi Rev'!L105-'Semi Rev'!K105,""),"")</f>
        <v/>
      </c>
      <c r="I674" s="30">
        <f>IFERROR(IF(AND(ISNUMBER('Semi Rev'!M105),ISNUMBER('Semi Rev'!L105)),'Semi Rev'!M105-'Semi Rev'!L105,""),"")</f>
        <v/>
      </c>
      <c r="J674" s="30">
        <f>IFERROR(IF(AND(ISNUMBER('Semi Rev'!N105),ISNUMBER('Semi Rev'!M105)),'Semi Rev'!N105-'Semi Rev'!M105,""),"")</f>
        <v/>
      </c>
      <c r="K674" s="30">
        <f>IFERROR(IF(AND(ISNUMBER('Semi Rev'!O105),ISNUMBER('Semi Rev'!N105)),'Semi Rev'!O105-'Semi Rev'!N105,""),"")</f>
        <v/>
      </c>
      <c r="L674" s="30">
        <f>IFERROR(IF(AND(ISNUMBER('Semi Rev'!P105),ISNUMBER('Semi Rev'!O105)),'Semi Rev'!P105-'Semi Rev'!O105,""),"")</f>
        <v/>
      </c>
      <c r="M674" s="31">
        <f>IFERROR(IF(AND(ISNUMBER('Semi Rev'!Q105),ISNUMBER('Semi Rev'!P105)),'Semi Rev'!Q105-'Semi Rev'!P105,""),"")</f>
        <v/>
      </c>
      <c r="N674" s="31">
        <f>IFERROR(IF(AND(ISNUMBER('Semi Rev'!R105),ISNUMBER('Semi Rev'!Q105)),'Semi Rev'!R105-'Semi Rev'!Q105,""),"")</f>
        <v/>
      </c>
    </row>
    <row r="675">
      <c r="A675" s="19">
        <f>'Semi Rev'!$A106</f>
        <v/>
      </c>
      <c r="B675" s="19">
        <f>'Semi Rev'!$B106</f>
        <v/>
      </c>
      <c r="C675" s="30">
        <f>IFERROR(IF(AND(ISNUMBER('Semi Rev'!G106),ISNUMBER('Semi Rev'!F106)),'Semi Rev'!G106-'Semi Rev'!F106,""),"")</f>
        <v/>
      </c>
      <c r="D675" s="30">
        <f>IFERROR(IF(AND(ISNUMBER('Semi Rev'!H106),ISNUMBER('Semi Rev'!G106)),'Semi Rev'!H106-'Semi Rev'!G106,""),"")</f>
        <v/>
      </c>
      <c r="E675" s="30">
        <f>IFERROR(IF(AND(ISNUMBER('Semi Rev'!I106),ISNUMBER('Semi Rev'!H106)),'Semi Rev'!I106-'Semi Rev'!H106,""),"")</f>
        <v/>
      </c>
      <c r="F675" s="30">
        <f>IFERROR(IF(AND(ISNUMBER('Semi Rev'!J106),ISNUMBER('Semi Rev'!I106)),'Semi Rev'!J106-'Semi Rev'!I106,""),"")</f>
        <v/>
      </c>
      <c r="G675" s="30">
        <f>IFERROR(IF(AND(ISNUMBER('Semi Rev'!K106),ISNUMBER('Semi Rev'!J106)),'Semi Rev'!K106-'Semi Rev'!J106,""),"")</f>
        <v/>
      </c>
      <c r="H675" s="30">
        <f>IFERROR(IF(AND(ISNUMBER('Semi Rev'!L106),ISNUMBER('Semi Rev'!K106)),'Semi Rev'!L106-'Semi Rev'!K106,""),"")</f>
        <v/>
      </c>
      <c r="I675" s="30">
        <f>IFERROR(IF(AND(ISNUMBER('Semi Rev'!M106),ISNUMBER('Semi Rev'!L106)),'Semi Rev'!M106-'Semi Rev'!L106,""),"")</f>
        <v/>
      </c>
      <c r="J675" s="30">
        <f>IFERROR(IF(AND(ISNUMBER('Semi Rev'!N106),ISNUMBER('Semi Rev'!M106)),'Semi Rev'!N106-'Semi Rev'!M106,""),"")</f>
        <v/>
      </c>
      <c r="K675" s="30">
        <f>IFERROR(IF(AND(ISNUMBER('Semi Rev'!O106),ISNUMBER('Semi Rev'!N106)),'Semi Rev'!O106-'Semi Rev'!N106,""),"")</f>
        <v/>
      </c>
      <c r="L675" s="30">
        <f>IFERROR(IF(AND(ISNUMBER('Semi Rev'!P106),ISNUMBER('Semi Rev'!O106)),'Semi Rev'!P106-'Semi Rev'!O106,""),"")</f>
        <v/>
      </c>
      <c r="M675" s="31">
        <f>IFERROR(IF(AND(ISNUMBER('Semi Rev'!Q106),ISNUMBER('Semi Rev'!P106)),'Semi Rev'!Q106-'Semi Rev'!P106,""),"")</f>
        <v/>
      </c>
      <c r="N675" s="31">
        <f>IFERROR(IF(AND(ISNUMBER('Semi Rev'!R106),ISNUMBER('Semi Rev'!Q106)),'Semi Rev'!R106-'Semi Rev'!Q106,""),"")</f>
        <v/>
      </c>
    </row>
    <row r="676">
      <c r="A676" s="19">
        <f>'Semi Rev'!$A107</f>
        <v/>
      </c>
      <c r="B676" s="19">
        <f>'Semi Rev'!$B107</f>
        <v/>
      </c>
      <c r="C676" s="30">
        <f>IFERROR(IF(AND(ISNUMBER('Semi Rev'!G107),ISNUMBER('Semi Rev'!F107)),'Semi Rev'!G107-'Semi Rev'!F107,""),"")</f>
        <v/>
      </c>
      <c r="D676" s="30">
        <f>IFERROR(IF(AND(ISNUMBER('Semi Rev'!H107),ISNUMBER('Semi Rev'!G107)),'Semi Rev'!H107-'Semi Rev'!G107,""),"")</f>
        <v/>
      </c>
      <c r="E676" s="30">
        <f>IFERROR(IF(AND(ISNUMBER('Semi Rev'!I107),ISNUMBER('Semi Rev'!H107)),'Semi Rev'!I107-'Semi Rev'!H107,""),"")</f>
        <v/>
      </c>
      <c r="F676" s="30">
        <f>IFERROR(IF(AND(ISNUMBER('Semi Rev'!J107),ISNUMBER('Semi Rev'!I107)),'Semi Rev'!J107-'Semi Rev'!I107,""),"")</f>
        <v/>
      </c>
      <c r="G676" s="30">
        <f>IFERROR(IF(AND(ISNUMBER('Semi Rev'!K107),ISNUMBER('Semi Rev'!J107)),'Semi Rev'!K107-'Semi Rev'!J107,""),"")</f>
        <v/>
      </c>
      <c r="H676" s="30">
        <f>IFERROR(IF(AND(ISNUMBER('Semi Rev'!L107),ISNUMBER('Semi Rev'!K107)),'Semi Rev'!L107-'Semi Rev'!K107,""),"")</f>
        <v/>
      </c>
      <c r="I676" s="30">
        <f>IFERROR(IF(AND(ISNUMBER('Semi Rev'!M107),ISNUMBER('Semi Rev'!L107)),'Semi Rev'!M107-'Semi Rev'!L107,""),"")</f>
        <v/>
      </c>
      <c r="J676" s="30">
        <f>IFERROR(IF(AND(ISNUMBER('Semi Rev'!N107),ISNUMBER('Semi Rev'!M107)),'Semi Rev'!N107-'Semi Rev'!M107,""),"")</f>
        <v/>
      </c>
      <c r="K676" s="30">
        <f>IFERROR(IF(AND(ISNUMBER('Semi Rev'!O107),ISNUMBER('Semi Rev'!N107)),'Semi Rev'!O107-'Semi Rev'!N107,""),"")</f>
        <v/>
      </c>
      <c r="L676" s="30">
        <f>IFERROR(IF(AND(ISNUMBER('Semi Rev'!P107),ISNUMBER('Semi Rev'!O107)),'Semi Rev'!P107-'Semi Rev'!O107,""),"")</f>
        <v/>
      </c>
      <c r="M676" s="31">
        <f>IFERROR(IF(AND(ISNUMBER('Semi Rev'!Q107),ISNUMBER('Semi Rev'!P107)),'Semi Rev'!Q107-'Semi Rev'!P107,""),"")</f>
        <v/>
      </c>
      <c r="N676" s="31">
        <f>IFERROR(IF(AND(ISNUMBER('Semi Rev'!R107),ISNUMBER('Semi Rev'!Q107)),'Semi Rev'!R107-'Semi Rev'!Q107,""),"")</f>
        <v/>
      </c>
    </row>
    <row r="677">
      <c r="A677" s="19">
        <f>'Semi Rev'!$A108</f>
        <v/>
      </c>
      <c r="B677" s="19">
        <f>'Semi Rev'!$B108</f>
        <v/>
      </c>
      <c r="C677" s="30">
        <f>IFERROR(IF(AND(ISNUMBER('Semi Rev'!G108),ISNUMBER('Semi Rev'!F108)),'Semi Rev'!G108-'Semi Rev'!F108,""),"")</f>
        <v/>
      </c>
      <c r="D677" s="30">
        <f>IFERROR(IF(AND(ISNUMBER('Semi Rev'!H108),ISNUMBER('Semi Rev'!G108)),'Semi Rev'!H108-'Semi Rev'!G108,""),"")</f>
        <v/>
      </c>
      <c r="E677" s="30">
        <f>IFERROR(IF(AND(ISNUMBER('Semi Rev'!I108),ISNUMBER('Semi Rev'!H108)),'Semi Rev'!I108-'Semi Rev'!H108,""),"")</f>
        <v/>
      </c>
      <c r="F677" s="30">
        <f>IFERROR(IF(AND(ISNUMBER('Semi Rev'!J108),ISNUMBER('Semi Rev'!I108)),'Semi Rev'!J108-'Semi Rev'!I108,""),"")</f>
        <v/>
      </c>
      <c r="G677" s="30">
        <f>IFERROR(IF(AND(ISNUMBER('Semi Rev'!K108),ISNUMBER('Semi Rev'!J108)),'Semi Rev'!K108-'Semi Rev'!J108,""),"")</f>
        <v/>
      </c>
      <c r="H677" s="30">
        <f>IFERROR(IF(AND(ISNUMBER('Semi Rev'!L108),ISNUMBER('Semi Rev'!K108)),'Semi Rev'!L108-'Semi Rev'!K108,""),"")</f>
        <v/>
      </c>
      <c r="I677" s="30">
        <f>IFERROR(IF(AND(ISNUMBER('Semi Rev'!M108),ISNUMBER('Semi Rev'!L108)),'Semi Rev'!M108-'Semi Rev'!L108,""),"")</f>
        <v/>
      </c>
      <c r="J677" s="30">
        <f>IFERROR(IF(AND(ISNUMBER('Semi Rev'!N108),ISNUMBER('Semi Rev'!M108)),'Semi Rev'!N108-'Semi Rev'!M108,""),"")</f>
        <v/>
      </c>
      <c r="K677" s="30">
        <f>IFERROR(IF(AND(ISNUMBER('Semi Rev'!O108),ISNUMBER('Semi Rev'!N108)),'Semi Rev'!O108-'Semi Rev'!N108,""),"")</f>
        <v/>
      </c>
      <c r="L677" s="30">
        <f>IFERROR(IF(AND(ISNUMBER('Semi Rev'!P108),ISNUMBER('Semi Rev'!O108)),'Semi Rev'!P108-'Semi Rev'!O108,""),"")</f>
        <v/>
      </c>
      <c r="M677" s="31">
        <f>IFERROR(IF(AND(ISNUMBER('Semi Rev'!Q108),ISNUMBER('Semi Rev'!P108)),'Semi Rev'!Q108-'Semi Rev'!P108,""),"")</f>
        <v/>
      </c>
      <c r="N677" s="31">
        <f>IFERROR(IF(AND(ISNUMBER('Semi Rev'!R108),ISNUMBER('Semi Rev'!Q108)),'Semi Rev'!R108-'Semi Rev'!Q108,""),"")</f>
        <v/>
      </c>
    </row>
    <row r="678">
      <c r="A678" s="19">
        <f>'Semi Rev'!$A109</f>
        <v/>
      </c>
      <c r="B678" s="19">
        <f>'Semi Rev'!$B109</f>
        <v/>
      </c>
      <c r="C678" s="30">
        <f>IFERROR(IF(AND(ISNUMBER('Semi Rev'!G109),ISNUMBER('Semi Rev'!F109)),'Semi Rev'!G109-'Semi Rev'!F109,""),"")</f>
        <v/>
      </c>
      <c r="D678" s="30">
        <f>IFERROR(IF(AND(ISNUMBER('Semi Rev'!H109),ISNUMBER('Semi Rev'!G109)),'Semi Rev'!H109-'Semi Rev'!G109,""),"")</f>
        <v/>
      </c>
      <c r="E678" s="30">
        <f>IFERROR(IF(AND(ISNUMBER('Semi Rev'!I109),ISNUMBER('Semi Rev'!H109)),'Semi Rev'!I109-'Semi Rev'!H109,""),"")</f>
        <v/>
      </c>
      <c r="F678" s="30">
        <f>IFERROR(IF(AND(ISNUMBER('Semi Rev'!J109),ISNUMBER('Semi Rev'!I109)),'Semi Rev'!J109-'Semi Rev'!I109,""),"")</f>
        <v/>
      </c>
      <c r="G678" s="30">
        <f>IFERROR(IF(AND(ISNUMBER('Semi Rev'!K109),ISNUMBER('Semi Rev'!J109)),'Semi Rev'!K109-'Semi Rev'!J109,""),"")</f>
        <v/>
      </c>
      <c r="H678" s="30">
        <f>IFERROR(IF(AND(ISNUMBER('Semi Rev'!L109),ISNUMBER('Semi Rev'!K109)),'Semi Rev'!L109-'Semi Rev'!K109,""),"")</f>
        <v/>
      </c>
      <c r="I678" s="30">
        <f>IFERROR(IF(AND(ISNUMBER('Semi Rev'!M109),ISNUMBER('Semi Rev'!L109)),'Semi Rev'!M109-'Semi Rev'!L109,""),"")</f>
        <v/>
      </c>
      <c r="J678" s="30">
        <f>IFERROR(IF(AND(ISNUMBER('Semi Rev'!N109),ISNUMBER('Semi Rev'!M109)),'Semi Rev'!N109-'Semi Rev'!M109,""),"")</f>
        <v/>
      </c>
      <c r="K678" s="30">
        <f>IFERROR(IF(AND(ISNUMBER('Semi Rev'!O109),ISNUMBER('Semi Rev'!N109)),'Semi Rev'!O109-'Semi Rev'!N109,""),"")</f>
        <v/>
      </c>
      <c r="L678" s="30">
        <f>IFERROR(IF(AND(ISNUMBER('Semi Rev'!P109),ISNUMBER('Semi Rev'!O109)),'Semi Rev'!P109-'Semi Rev'!O109,""),"")</f>
        <v/>
      </c>
      <c r="M678" s="31">
        <f>IFERROR(IF(AND(ISNUMBER('Semi Rev'!Q109),ISNUMBER('Semi Rev'!P109)),'Semi Rev'!Q109-'Semi Rev'!P109,""),"")</f>
        <v/>
      </c>
      <c r="N678" s="31">
        <f>IFERROR(IF(AND(ISNUMBER('Semi Rev'!R109),ISNUMBER('Semi Rev'!Q109)),'Semi Rev'!R109-'Semi Rev'!Q109,""),"")</f>
        <v/>
      </c>
    </row>
    <row r="679">
      <c r="A679" s="19">
        <f>'Semi Rev'!$A110</f>
        <v/>
      </c>
      <c r="B679" s="19">
        <f>'Semi Rev'!$B110</f>
        <v/>
      </c>
      <c r="C679" s="30">
        <f>IFERROR(IF(AND(ISNUMBER('Semi Rev'!G110),ISNUMBER('Semi Rev'!F110)),'Semi Rev'!G110-'Semi Rev'!F110,""),"")</f>
        <v/>
      </c>
      <c r="D679" s="30">
        <f>IFERROR(IF(AND(ISNUMBER('Semi Rev'!H110),ISNUMBER('Semi Rev'!G110)),'Semi Rev'!H110-'Semi Rev'!G110,""),"")</f>
        <v/>
      </c>
      <c r="E679" s="30">
        <f>IFERROR(IF(AND(ISNUMBER('Semi Rev'!I110),ISNUMBER('Semi Rev'!H110)),'Semi Rev'!I110-'Semi Rev'!H110,""),"")</f>
        <v/>
      </c>
      <c r="F679" s="30">
        <f>IFERROR(IF(AND(ISNUMBER('Semi Rev'!J110),ISNUMBER('Semi Rev'!I110)),'Semi Rev'!J110-'Semi Rev'!I110,""),"")</f>
        <v/>
      </c>
      <c r="G679" s="30">
        <f>IFERROR(IF(AND(ISNUMBER('Semi Rev'!K110),ISNUMBER('Semi Rev'!J110)),'Semi Rev'!K110-'Semi Rev'!J110,""),"")</f>
        <v/>
      </c>
      <c r="H679" s="30">
        <f>IFERROR(IF(AND(ISNUMBER('Semi Rev'!L110),ISNUMBER('Semi Rev'!K110)),'Semi Rev'!L110-'Semi Rev'!K110,""),"")</f>
        <v/>
      </c>
      <c r="I679" s="30">
        <f>IFERROR(IF(AND(ISNUMBER('Semi Rev'!M110),ISNUMBER('Semi Rev'!L110)),'Semi Rev'!M110-'Semi Rev'!L110,""),"")</f>
        <v/>
      </c>
      <c r="J679" s="30">
        <f>IFERROR(IF(AND(ISNUMBER('Semi Rev'!N110),ISNUMBER('Semi Rev'!M110)),'Semi Rev'!N110-'Semi Rev'!M110,""),"")</f>
        <v/>
      </c>
      <c r="K679" s="30">
        <f>IFERROR(IF(AND(ISNUMBER('Semi Rev'!O110),ISNUMBER('Semi Rev'!N110)),'Semi Rev'!O110-'Semi Rev'!N110,""),"")</f>
        <v/>
      </c>
      <c r="L679" s="30">
        <f>IFERROR(IF(AND(ISNUMBER('Semi Rev'!P110),ISNUMBER('Semi Rev'!O110)),'Semi Rev'!P110-'Semi Rev'!O110,""),"")</f>
        <v/>
      </c>
      <c r="M679" s="31">
        <f>IFERROR(IF(AND(ISNUMBER('Semi Rev'!Q110),ISNUMBER('Semi Rev'!P110)),'Semi Rev'!Q110-'Semi Rev'!P110,""),"")</f>
        <v/>
      </c>
      <c r="N679" s="31">
        <f>IFERROR(IF(AND(ISNUMBER('Semi Rev'!R110),ISNUMBER('Semi Rev'!Q110)),'Semi Rev'!R110-'Semi Rev'!Q110,""),"")</f>
        <v/>
      </c>
    </row>
    <row r="680">
      <c r="A680" s="19">
        <f>'Semi Rev'!$A111</f>
        <v/>
      </c>
      <c r="B680" s="19">
        <f>'Semi Rev'!$B111</f>
        <v/>
      </c>
      <c r="C680" s="30">
        <f>IFERROR(IF(AND(ISNUMBER('Semi Rev'!G111),ISNUMBER('Semi Rev'!F111)),'Semi Rev'!G111-'Semi Rev'!F111,""),"")</f>
        <v/>
      </c>
      <c r="D680" s="30">
        <f>IFERROR(IF(AND(ISNUMBER('Semi Rev'!H111),ISNUMBER('Semi Rev'!G111)),'Semi Rev'!H111-'Semi Rev'!G111,""),"")</f>
        <v/>
      </c>
      <c r="E680" s="30">
        <f>IFERROR(IF(AND(ISNUMBER('Semi Rev'!I111),ISNUMBER('Semi Rev'!H111)),'Semi Rev'!I111-'Semi Rev'!H111,""),"")</f>
        <v/>
      </c>
      <c r="F680" s="30">
        <f>IFERROR(IF(AND(ISNUMBER('Semi Rev'!J111),ISNUMBER('Semi Rev'!I111)),'Semi Rev'!J111-'Semi Rev'!I111,""),"")</f>
        <v/>
      </c>
      <c r="G680" s="30">
        <f>IFERROR(IF(AND(ISNUMBER('Semi Rev'!K111),ISNUMBER('Semi Rev'!J111)),'Semi Rev'!K111-'Semi Rev'!J111,""),"")</f>
        <v/>
      </c>
      <c r="H680" s="30">
        <f>IFERROR(IF(AND(ISNUMBER('Semi Rev'!L111),ISNUMBER('Semi Rev'!K111)),'Semi Rev'!L111-'Semi Rev'!K111,""),"")</f>
        <v/>
      </c>
      <c r="I680" s="30">
        <f>IFERROR(IF(AND(ISNUMBER('Semi Rev'!M111),ISNUMBER('Semi Rev'!L111)),'Semi Rev'!M111-'Semi Rev'!L111,""),"")</f>
        <v/>
      </c>
      <c r="J680" s="30">
        <f>IFERROR(IF(AND(ISNUMBER('Semi Rev'!N111),ISNUMBER('Semi Rev'!M111)),'Semi Rev'!N111-'Semi Rev'!M111,""),"")</f>
        <v/>
      </c>
      <c r="K680" s="30">
        <f>IFERROR(IF(AND(ISNUMBER('Semi Rev'!O111),ISNUMBER('Semi Rev'!N111)),'Semi Rev'!O111-'Semi Rev'!N111,""),"")</f>
        <v/>
      </c>
      <c r="L680" s="30">
        <f>IFERROR(IF(AND(ISNUMBER('Semi Rev'!P111),ISNUMBER('Semi Rev'!O111)),'Semi Rev'!P111-'Semi Rev'!O111,""),"")</f>
        <v/>
      </c>
      <c r="M680" s="31">
        <f>IFERROR(IF(AND(ISNUMBER('Semi Rev'!Q111),ISNUMBER('Semi Rev'!P111)),'Semi Rev'!Q111-'Semi Rev'!P111,""),"")</f>
        <v/>
      </c>
      <c r="N680" s="31">
        <f>IFERROR(IF(AND(ISNUMBER('Semi Rev'!R111),ISNUMBER('Semi Rev'!Q111)),'Semi Rev'!R111-'Semi Rev'!Q111,""),"")</f>
        <v/>
      </c>
    </row>
    <row r="681">
      <c r="A681" s="19">
        <f>'Semi Rev'!$A112</f>
        <v/>
      </c>
      <c r="B681" s="19">
        <f>'Semi Rev'!$B112</f>
        <v/>
      </c>
      <c r="C681" s="30">
        <f>IFERROR(IF(AND(ISNUMBER('Semi Rev'!G112),ISNUMBER('Semi Rev'!F112)),'Semi Rev'!G112-'Semi Rev'!F112,""),"")</f>
        <v/>
      </c>
      <c r="D681" s="30">
        <f>IFERROR(IF(AND(ISNUMBER('Semi Rev'!H112),ISNUMBER('Semi Rev'!G112)),'Semi Rev'!H112-'Semi Rev'!G112,""),"")</f>
        <v/>
      </c>
      <c r="E681" s="30">
        <f>IFERROR(IF(AND(ISNUMBER('Semi Rev'!I112),ISNUMBER('Semi Rev'!H112)),'Semi Rev'!I112-'Semi Rev'!H112,""),"")</f>
        <v/>
      </c>
      <c r="F681" s="30">
        <f>IFERROR(IF(AND(ISNUMBER('Semi Rev'!J112),ISNUMBER('Semi Rev'!I112)),'Semi Rev'!J112-'Semi Rev'!I112,""),"")</f>
        <v/>
      </c>
      <c r="G681" s="30">
        <f>IFERROR(IF(AND(ISNUMBER('Semi Rev'!K112),ISNUMBER('Semi Rev'!J112)),'Semi Rev'!K112-'Semi Rev'!J112,""),"")</f>
        <v/>
      </c>
      <c r="H681" s="30">
        <f>IFERROR(IF(AND(ISNUMBER('Semi Rev'!L112),ISNUMBER('Semi Rev'!K112)),'Semi Rev'!L112-'Semi Rev'!K112,""),"")</f>
        <v/>
      </c>
      <c r="I681" s="30">
        <f>IFERROR(IF(AND(ISNUMBER('Semi Rev'!M112),ISNUMBER('Semi Rev'!L112)),'Semi Rev'!M112-'Semi Rev'!L112,""),"")</f>
        <v/>
      </c>
      <c r="J681" s="30">
        <f>IFERROR(IF(AND(ISNUMBER('Semi Rev'!N112),ISNUMBER('Semi Rev'!M112)),'Semi Rev'!N112-'Semi Rev'!M112,""),"")</f>
        <v/>
      </c>
      <c r="K681" s="30">
        <f>IFERROR(IF(AND(ISNUMBER('Semi Rev'!O112),ISNUMBER('Semi Rev'!N112)),'Semi Rev'!O112-'Semi Rev'!N112,""),"")</f>
        <v/>
      </c>
      <c r="L681" s="30">
        <f>IFERROR(IF(AND(ISNUMBER('Semi Rev'!P112),ISNUMBER('Semi Rev'!O112)),'Semi Rev'!P112-'Semi Rev'!O112,""),"")</f>
        <v/>
      </c>
      <c r="M681" s="31">
        <f>IFERROR(IF(AND(ISNUMBER('Semi Rev'!Q112),ISNUMBER('Semi Rev'!P112)),'Semi Rev'!Q112-'Semi Rev'!P112,""),"")</f>
        <v/>
      </c>
      <c r="N681" s="31">
        <f>IFERROR(IF(AND(ISNUMBER('Semi Rev'!R112),ISNUMBER('Semi Rev'!Q112)),'Semi Rev'!R112-'Semi Rev'!Q112,""),"")</f>
        <v/>
      </c>
    </row>
    <row r="682">
      <c r="A682" s="19">
        <f>'Semi Rev'!$A113</f>
        <v/>
      </c>
      <c r="B682" s="19">
        <f>'Semi Rev'!$B113</f>
        <v/>
      </c>
      <c r="C682" s="30">
        <f>IFERROR(IF(AND(ISNUMBER('Semi Rev'!G113),ISNUMBER('Semi Rev'!F113)),'Semi Rev'!G113-'Semi Rev'!F113,""),"")</f>
        <v/>
      </c>
      <c r="D682" s="30">
        <f>IFERROR(IF(AND(ISNUMBER('Semi Rev'!H113),ISNUMBER('Semi Rev'!G113)),'Semi Rev'!H113-'Semi Rev'!G113,""),"")</f>
        <v/>
      </c>
      <c r="E682" s="30">
        <f>IFERROR(IF(AND(ISNUMBER('Semi Rev'!I113),ISNUMBER('Semi Rev'!H113)),'Semi Rev'!I113-'Semi Rev'!H113,""),"")</f>
        <v/>
      </c>
      <c r="F682" s="30">
        <f>IFERROR(IF(AND(ISNUMBER('Semi Rev'!J113),ISNUMBER('Semi Rev'!I113)),'Semi Rev'!J113-'Semi Rev'!I113,""),"")</f>
        <v/>
      </c>
      <c r="G682" s="30">
        <f>IFERROR(IF(AND(ISNUMBER('Semi Rev'!K113),ISNUMBER('Semi Rev'!J113)),'Semi Rev'!K113-'Semi Rev'!J113,""),"")</f>
        <v/>
      </c>
      <c r="H682" s="30">
        <f>IFERROR(IF(AND(ISNUMBER('Semi Rev'!L113),ISNUMBER('Semi Rev'!K113)),'Semi Rev'!L113-'Semi Rev'!K113,""),"")</f>
        <v/>
      </c>
      <c r="I682" s="30">
        <f>IFERROR(IF(AND(ISNUMBER('Semi Rev'!M113),ISNUMBER('Semi Rev'!L113)),'Semi Rev'!M113-'Semi Rev'!L113,""),"")</f>
        <v/>
      </c>
      <c r="J682" s="30">
        <f>IFERROR(IF(AND(ISNUMBER('Semi Rev'!N113),ISNUMBER('Semi Rev'!M113)),'Semi Rev'!N113-'Semi Rev'!M113,""),"")</f>
        <v/>
      </c>
      <c r="K682" s="30">
        <f>IFERROR(IF(AND(ISNUMBER('Semi Rev'!O113),ISNUMBER('Semi Rev'!N113)),'Semi Rev'!O113-'Semi Rev'!N113,""),"")</f>
        <v/>
      </c>
      <c r="L682" s="30">
        <f>IFERROR(IF(AND(ISNUMBER('Semi Rev'!P113),ISNUMBER('Semi Rev'!O113)),'Semi Rev'!P113-'Semi Rev'!O113,""),"")</f>
        <v/>
      </c>
      <c r="M682" s="31">
        <f>IFERROR(IF(AND(ISNUMBER('Semi Rev'!Q113),ISNUMBER('Semi Rev'!P113)),'Semi Rev'!Q113-'Semi Rev'!P113,""),"")</f>
        <v/>
      </c>
      <c r="N682" s="31">
        <f>IFERROR(IF(AND(ISNUMBER('Semi Rev'!R113),ISNUMBER('Semi Rev'!Q113)),'Semi Rev'!R113-'Semi Rev'!Q113,""),"")</f>
        <v/>
      </c>
    </row>
    <row r="683">
      <c r="A683" s="19">
        <f>'Semi Rev'!$A114</f>
        <v/>
      </c>
      <c r="B683" s="19">
        <f>'Semi Rev'!$B114</f>
        <v/>
      </c>
      <c r="C683" s="30">
        <f>IFERROR(IF(AND(ISNUMBER('Semi Rev'!G114),ISNUMBER('Semi Rev'!F114)),'Semi Rev'!G114-'Semi Rev'!F114,""),"")</f>
        <v/>
      </c>
      <c r="D683" s="30">
        <f>IFERROR(IF(AND(ISNUMBER('Semi Rev'!H114),ISNUMBER('Semi Rev'!G114)),'Semi Rev'!H114-'Semi Rev'!G114,""),"")</f>
        <v/>
      </c>
      <c r="E683" s="30">
        <f>IFERROR(IF(AND(ISNUMBER('Semi Rev'!I114),ISNUMBER('Semi Rev'!H114)),'Semi Rev'!I114-'Semi Rev'!H114,""),"")</f>
        <v/>
      </c>
      <c r="F683" s="30">
        <f>IFERROR(IF(AND(ISNUMBER('Semi Rev'!J114),ISNUMBER('Semi Rev'!I114)),'Semi Rev'!J114-'Semi Rev'!I114,""),"")</f>
        <v/>
      </c>
      <c r="G683" s="30">
        <f>IFERROR(IF(AND(ISNUMBER('Semi Rev'!K114),ISNUMBER('Semi Rev'!J114)),'Semi Rev'!K114-'Semi Rev'!J114,""),"")</f>
        <v/>
      </c>
      <c r="H683" s="30">
        <f>IFERROR(IF(AND(ISNUMBER('Semi Rev'!L114),ISNUMBER('Semi Rev'!K114)),'Semi Rev'!L114-'Semi Rev'!K114,""),"")</f>
        <v/>
      </c>
      <c r="I683" s="30">
        <f>IFERROR(IF(AND(ISNUMBER('Semi Rev'!M114),ISNUMBER('Semi Rev'!L114)),'Semi Rev'!M114-'Semi Rev'!L114,""),"")</f>
        <v/>
      </c>
      <c r="J683" s="30">
        <f>IFERROR(IF(AND(ISNUMBER('Semi Rev'!N114),ISNUMBER('Semi Rev'!M114)),'Semi Rev'!N114-'Semi Rev'!M114,""),"")</f>
        <v/>
      </c>
      <c r="K683" s="30">
        <f>IFERROR(IF(AND(ISNUMBER('Semi Rev'!O114),ISNUMBER('Semi Rev'!N114)),'Semi Rev'!O114-'Semi Rev'!N114,""),"")</f>
        <v/>
      </c>
      <c r="L683" s="30">
        <f>IFERROR(IF(AND(ISNUMBER('Semi Rev'!P114),ISNUMBER('Semi Rev'!O114)),'Semi Rev'!P114-'Semi Rev'!O114,""),"")</f>
        <v/>
      </c>
      <c r="M683" s="31">
        <f>IFERROR(IF(AND(ISNUMBER('Semi Rev'!Q114),ISNUMBER('Semi Rev'!P114)),'Semi Rev'!Q114-'Semi Rev'!P114,""),"")</f>
        <v/>
      </c>
      <c r="N683" s="31">
        <f>IFERROR(IF(AND(ISNUMBER('Semi Rev'!R114),ISNUMBER('Semi Rev'!Q114)),'Semi Rev'!R114-'Semi Rev'!Q114,""),"")</f>
        <v/>
      </c>
    </row>
    <row r="684">
      <c r="A684" s="19">
        <f>'Semi Rev'!$A115</f>
        <v/>
      </c>
      <c r="B684" s="19">
        <f>'Semi Rev'!$B115</f>
        <v/>
      </c>
      <c r="C684" s="30">
        <f>IFERROR(IF(AND(ISNUMBER('Semi Rev'!G115),ISNUMBER('Semi Rev'!F115)),'Semi Rev'!G115-'Semi Rev'!F115,""),"")</f>
        <v/>
      </c>
      <c r="D684" s="30">
        <f>IFERROR(IF(AND(ISNUMBER('Semi Rev'!H115),ISNUMBER('Semi Rev'!G115)),'Semi Rev'!H115-'Semi Rev'!G115,""),"")</f>
        <v/>
      </c>
      <c r="E684" s="30">
        <f>IFERROR(IF(AND(ISNUMBER('Semi Rev'!I115),ISNUMBER('Semi Rev'!H115)),'Semi Rev'!I115-'Semi Rev'!H115,""),"")</f>
        <v/>
      </c>
      <c r="F684" s="30">
        <f>IFERROR(IF(AND(ISNUMBER('Semi Rev'!J115),ISNUMBER('Semi Rev'!I115)),'Semi Rev'!J115-'Semi Rev'!I115,""),"")</f>
        <v/>
      </c>
      <c r="G684" s="30">
        <f>IFERROR(IF(AND(ISNUMBER('Semi Rev'!K115),ISNUMBER('Semi Rev'!J115)),'Semi Rev'!K115-'Semi Rev'!J115,""),"")</f>
        <v/>
      </c>
      <c r="H684" s="30">
        <f>IFERROR(IF(AND(ISNUMBER('Semi Rev'!L115),ISNUMBER('Semi Rev'!K115)),'Semi Rev'!L115-'Semi Rev'!K115,""),"")</f>
        <v/>
      </c>
      <c r="I684" s="30">
        <f>IFERROR(IF(AND(ISNUMBER('Semi Rev'!M115),ISNUMBER('Semi Rev'!L115)),'Semi Rev'!M115-'Semi Rev'!L115,""),"")</f>
        <v/>
      </c>
      <c r="J684" s="30">
        <f>IFERROR(IF(AND(ISNUMBER('Semi Rev'!N115),ISNUMBER('Semi Rev'!M115)),'Semi Rev'!N115-'Semi Rev'!M115,""),"")</f>
        <v/>
      </c>
      <c r="K684" s="30">
        <f>IFERROR(IF(AND(ISNUMBER('Semi Rev'!O115),ISNUMBER('Semi Rev'!N115)),'Semi Rev'!O115-'Semi Rev'!N115,""),"")</f>
        <v/>
      </c>
      <c r="L684" s="30">
        <f>IFERROR(IF(AND(ISNUMBER('Semi Rev'!P115),ISNUMBER('Semi Rev'!O115)),'Semi Rev'!P115-'Semi Rev'!O115,""),"")</f>
        <v/>
      </c>
      <c r="M684" s="31">
        <f>IFERROR(IF(AND(ISNUMBER('Semi Rev'!Q115),ISNUMBER('Semi Rev'!P115)),'Semi Rev'!Q115-'Semi Rev'!P115,""),"")</f>
        <v/>
      </c>
      <c r="N684" s="31">
        <f>IFERROR(IF(AND(ISNUMBER('Semi Rev'!R115),ISNUMBER('Semi Rev'!Q115)),'Semi Rev'!R115-'Semi Rev'!Q115,""),"")</f>
        <v/>
      </c>
    </row>
    <row r="685">
      <c r="A685" s="19">
        <f>'Semi Rev'!$A116</f>
        <v/>
      </c>
      <c r="B685" s="19">
        <f>'Semi Rev'!$B116</f>
        <v/>
      </c>
      <c r="C685" s="30">
        <f>IFERROR(IF(AND(ISNUMBER('Semi Rev'!G116),ISNUMBER('Semi Rev'!F116)),'Semi Rev'!G116-'Semi Rev'!F116,""),"")</f>
        <v/>
      </c>
      <c r="D685" s="30">
        <f>IFERROR(IF(AND(ISNUMBER('Semi Rev'!H116),ISNUMBER('Semi Rev'!G116)),'Semi Rev'!H116-'Semi Rev'!G116,""),"")</f>
        <v/>
      </c>
      <c r="E685" s="30">
        <f>IFERROR(IF(AND(ISNUMBER('Semi Rev'!I116),ISNUMBER('Semi Rev'!H116)),'Semi Rev'!I116-'Semi Rev'!H116,""),"")</f>
        <v/>
      </c>
      <c r="F685" s="30">
        <f>IFERROR(IF(AND(ISNUMBER('Semi Rev'!J116),ISNUMBER('Semi Rev'!I116)),'Semi Rev'!J116-'Semi Rev'!I116,""),"")</f>
        <v/>
      </c>
      <c r="G685" s="30">
        <f>IFERROR(IF(AND(ISNUMBER('Semi Rev'!K116),ISNUMBER('Semi Rev'!J116)),'Semi Rev'!K116-'Semi Rev'!J116,""),"")</f>
        <v/>
      </c>
      <c r="H685" s="30">
        <f>IFERROR(IF(AND(ISNUMBER('Semi Rev'!L116),ISNUMBER('Semi Rev'!K116)),'Semi Rev'!L116-'Semi Rev'!K116,""),"")</f>
        <v/>
      </c>
      <c r="I685" s="30">
        <f>IFERROR(IF(AND(ISNUMBER('Semi Rev'!M116),ISNUMBER('Semi Rev'!L116)),'Semi Rev'!M116-'Semi Rev'!L116,""),"")</f>
        <v/>
      </c>
      <c r="J685" s="30">
        <f>IFERROR(IF(AND(ISNUMBER('Semi Rev'!N116),ISNUMBER('Semi Rev'!M116)),'Semi Rev'!N116-'Semi Rev'!M116,""),"")</f>
        <v/>
      </c>
      <c r="K685" s="30">
        <f>IFERROR(IF(AND(ISNUMBER('Semi Rev'!O116),ISNUMBER('Semi Rev'!N116)),'Semi Rev'!O116-'Semi Rev'!N116,""),"")</f>
        <v/>
      </c>
      <c r="L685" s="30">
        <f>IFERROR(IF(AND(ISNUMBER('Semi Rev'!P116),ISNUMBER('Semi Rev'!O116)),'Semi Rev'!P116-'Semi Rev'!O116,""),"")</f>
        <v/>
      </c>
      <c r="M685" s="31">
        <f>IFERROR(IF(AND(ISNUMBER('Semi Rev'!Q116),ISNUMBER('Semi Rev'!P116)),'Semi Rev'!Q116-'Semi Rev'!P116,""),"")</f>
        <v/>
      </c>
      <c r="N685" s="31">
        <f>IFERROR(IF(AND(ISNUMBER('Semi Rev'!R116),ISNUMBER('Semi Rev'!Q116)),'Semi Rev'!R116-'Semi Rev'!Q116,""),"")</f>
        <v/>
      </c>
    </row>
    <row r="686">
      <c r="A686" s="19">
        <f>'Semi Rev'!$A117</f>
        <v/>
      </c>
      <c r="B686" s="19">
        <f>'Semi Rev'!$B117</f>
        <v/>
      </c>
      <c r="C686" s="30">
        <f>IFERROR(IF(AND(ISNUMBER('Semi Rev'!G117),ISNUMBER('Semi Rev'!F117)),'Semi Rev'!G117-'Semi Rev'!F117,""),"")</f>
        <v/>
      </c>
      <c r="D686" s="30">
        <f>IFERROR(IF(AND(ISNUMBER('Semi Rev'!H117),ISNUMBER('Semi Rev'!G117)),'Semi Rev'!H117-'Semi Rev'!G117,""),"")</f>
        <v/>
      </c>
      <c r="E686" s="30">
        <f>IFERROR(IF(AND(ISNUMBER('Semi Rev'!I117),ISNUMBER('Semi Rev'!H117)),'Semi Rev'!I117-'Semi Rev'!H117,""),"")</f>
        <v/>
      </c>
      <c r="F686" s="30">
        <f>IFERROR(IF(AND(ISNUMBER('Semi Rev'!J117),ISNUMBER('Semi Rev'!I117)),'Semi Rev'!J117-'Semi Rev'!I117,""),"")</f>
        <v/>
      </c>
      <c r="G686" s="30">
        <f>IFERROR(IF(AND(ISNUMBER('Semi Rev'!K117),ISNUMBER('Semi Rev'!J117)),'Semi Rev'!K117-'Semi Rev'!J117,""),"")</f>
        <v/>
      </c>
      <c r="H686" s="30">
        <f>IFERROR(IF(AND(ISNUMBER('Semi Rev'!L117),ISNUMBER('Semi Rev'!K117)),'Semi Rev'!L117-'Semi Rev'!K117,""),"")</f>
        <v/>
      </c>
      <c r="I686" s="30">
        <f>IFERROR(IF(AND(ISNUMBER('Semi Rev'!M117),ISNUMBER('Semi Rev'!L117)),'Semi Rev'!M117-'Semi Rev'!L117,""),"")</f>
        <v/>
      </c>
      <c r="J686" s="30">
        <f>IFERROR(IF(AND(ISNUMBER('Semi Rev'!N117),ISNUMBER('Semi Rev'!M117)),'Semi Rev'!N117-'Semi Rev'!M117,""),"")</f>
        <v/>
      </c>
      <c r="K686" s="30">
        <f>IFERROR(IF(AND(ISNUMBER('Semi Rev'!O117),ISNUMBER('Semi Rev'!N117)),'Semi Rev'!O117-'Semi Rev'!N117,""),"")</f>
        <v/>
      </c>
      <c r="L686" s="30">
        <f>IFERROR(IF(AND(ISNUMBER('Semi Rev'!P117),ISNUMBER('Semi Rev'!O117)),'Semi Rev'!P117-'Semi Rev'!O117,""),"")</f>
        <v/>
      </c>
      <c r="M686" s="31">
        <f>IFERROR(IF(AND(ISNUMBER('Semi Rev'!Q117),ISNUMBER('Semi Rev'!P117)),'Semi Rev'!Q117-'Semi Rev'!P117,""),"")</f>
        <v/>
      </c>
      <c r="N686" s="31">
        <f>IFERROR(IF(AND(ISNUMBER('Semi Rev'!R117),ISNUMBER('Semi Rev'!Q117)),'Semi Rev'!R117-'Semi Rev'!Q117,""),"")</f>
        <v/>
      </c>
    </row>
    <row r="687">
      <c r="A687" s="19">
        <f>'Semi Rev'!$A118</f>
        <v/>
      </c>
      <c r="B687" s="19">
        <f>'Semi Rev'!$B118</f>
        <v/>
      </c>
      <c r="C687" s="30">
        <f>IFERROR(IF(AND(ISNUMBER('Semi Rev'!G118),ISNUMBER('Semi Rev'!F118)),'Semi Rev'!G118-'Semi Rev'!F118,""),"")</f>
        <v/>
      </c>
      <c r="D687" s="30">
        <f>IFERROR(IF(AND(ISNUMBER('Semi Rev'!H118),ISNUMBER('Semi Rev'!G118)),'Semi Rev'!H118-'Semi Rev'!G118,""),"")</f>
        <v/>
      </c>
      <c r="E687" s="30">
        <f>IFERROR(IF(AND(ISNUMBER('Semi Rev'!I118),ISNUMBER('Semi Rev'!H118)),'Semi Rev'!I118-'Semi Rev'!H118,""),"")</f>
        <v/>
      </c>
      <c r="F687" s="30">
        <f>IFERROR(IF(AND(ISNUMBER('Semi Rev'!J118),ISNUMBER('Semi Rev'!I118)),'Semi Rev'!J118-'Semi Rev'!I118,""),"")</f>
        <v/>
      </c>
      <c r="G687" s="30">
        <f>IFERROR(IF(AND(ISNUMBER('Semi Rev'!K118),ISNUMBER('Semi Rev'!J118)),'Semi Rev'!K118-'Semi Rev'!J118,""),"")</f>
        <v/>
      </c>
      <c r="H687" s="30">
        <f>IFERROR(IF(AND(ISNUMBER('Semi Rev'!L118),ISNUMBER('Semi Rev'!K118)),'Semi Rev'!L118-'Semi Rev'!K118,""),"")</f>
        <v/>
      </c>
      <c r="I687" s="30">
        <f>IFERROR(IF(AND(ISNUMBER('Semi Rev'!M118),ISNUMBER('Semi Rev'!L118)),'Semi Rev'!M118-'Semi Rev'!L118,""),"")</f>
        <v/>
      </c>
      <c r="J687" s="30">
        <f>IFERROR(IF(AND(ISNUMBER('Semi Rev'!N118),ISNUMBER('Semi Rev'!M118)),'Semi Rev'!N118-'Semi Rev'!M118,""),"")</f>
        <v/>
      </c>
      <c r="K687" s="30">
        <f>IFERROR(IF(AND(ISNUMBER('Semi Rev'!O118),ISNUMBER('Semi Rev'!N118)),'Semi Rev'!O118-'Semi Rev'!N118,""),"")</f>
        <v/>
      </c>
      <c r="L687" s="30">
        <f>IFERROR(IF(AND(ISNUMBER('Semi Rev'!P118),ISNUMBER('Semi Rev'!O118)),'Semi Rev'!P118-'Semi Rev'!O118,""),"")</f>
        <v/>
      </c>
      <c r="M687" s="31">
        <f>IFERROR(IF(AND(ISNUMBER('Semi Rev'!Q118),ISNUMBER('Semi Rev'!P118)),'Semi Rev'!Q118-'Semi Rev'!P118,""),"")</f>
        <v/>
      </c>
      <c r="N687" s="31">
        <f>IFERROR(IF(AND(ISNUMBER('Semi Rev'!R118),ISNUMBER('Semi Rev'!Q118)),'Semi Rev'!R118-'Semi Rev'!Q118,""),"")</f>
        <v/>
      </c>
    </row>
    <row r="688">
      <c r="A688" s="19">
        <f>'Semi Rev'!$A119</f>
        <v/>
      </c>
      <c r="B688" s="19">
        <f>'Semi Rev'!$B119</f>
        <v/>
      </c>
      <c r="C688" s="30">
        <f>IFERROR(IF(AND(ISNUMBER('Semi Rev'!G119),ISNUMBER('Semi Rev'!F119)),'Semi Rev'!G119-'Semi Rev'!F119,""),"")</f>
        <v/>
      </c>
      <c r="D688" s="30">
        <f>IFERROR(IF(AND(ISNUMBER('Semi Rev'!H119),ISNUMBER('Semi Rev'!G119)),'Semi Rev'!H119-'Semi Rev'!G119,""),"")</f>
        <v/>
      </c>
      <c r="E688" s="30">
        <f>IFERROR(IF(AND(ISNUMBER('Semi Rev'!I119),ISNUMBER('Semi Rev'!H119)),'Semi Rev'!I119-'Semi Rev'!H119,""),"")</f>
        <v/>
      </c>
      <c r="F688" s="30">
        <f>IFERROR(IF(AND(ISNUMBER('Semi Rev'!J119),ISNUMBER('Semi Rev'!I119)),'Semi Rev'!J119-'Semi Rev'!I119,""),"")</f>
        <v/>
      </c>
      <c r="G688" s="30">
        <f>IFERROR(IF(AND(ISNUMBER('Semi Rev'!K119),ISNUMBER('Semi Rev'!J119)),'Semi Rev'!K119-'Semi Rev'!J119,""),"")</f>
        <v/>
      </c>
      <c r="H688" s="30">
        <f>IFERROR(IF(AND(ISNUMBER('Semi Rev'!L119),ISNUMBER('Semi Rev'!K119)),'Semi Rev'!L119-'Semi Rev'!K119,""),"")</f>
        <v/>
      </c>
      <c r="I688" s="30">
        <f>IFERROR(IF(AND(ISNUMBER('Semi Rev'!M119),ISNUMBER('Semi Rev'!L119)),'Semi Rev'!M119-'Semi Rev'!L119,""),"")</f>
        <v/>
      </c>
      <c r="J688" s="30">
        <f>IFERROR(IF(AND(ISNUMBER('Semi Rev'!N119),ISNUMBER('Semi Rev'!M119)),'Semi Rev'!N119-'Semi Rev'!M119,""),"")</f>
        <v/>
      </c>
      <c r="K688" s="30">
        <f>IFERROR(IF(AND(ISNUMBER('Semi Rev'!O119),ISNUMBER('Semi Rev'!N119)),'Semi Rev'!O119-'Semi Rev'!N119,""),"")</f>
        <v/>
      </c>
      <c r="L688" s="30">
        <f>IFERROR(IF(AND(ISNUMBER('Semi Rev'!P119),ISNUMBER('Semi Rev'!O119)),'Semi Rev'!P119-'Semi Rev'!O119,""),"")</f>
        <v/>
      </c>
      <c r="M688" s="31">
        <f>IFERROR(IF(AND(ISNUMBER('Semi Rev'!Q119),ISNUMBER('Semi Rev'!P119)),'Semi Rev'!Q119-'Semi Rev'!P119,""),"")</f>
        <v/>
      </c>
      <c r="N688" s="31">
        <f>IFERROR(IF(AND(ISNUMBER('Semi Rev'!R119),ISNUMBER('Semi Rev'!Q119)),'Semi Rev'!R119-'Semi Rev'!Q119,""),"")</f>
        <v/>
      </c>
    </row>
    <row r="689">
      <c r="A689" s="19">
        <f>'Semi Rev'!$A120</f>
        <v/>
      </c>
      <c r="B689" s="19">
        <f>'Semi Rev'!$B120</f>
        <v/>
      </c>
      <c r="C689" s="30">
        <f>IFERROR(IF(AND(ISNUMBER('Semi Rev'!G120),ISNUMBER('Semi Rev'!F120)),'Semi Rev'!G120-'Semi Rev'!F120,""),"")</f>
        <v/>
      </c>
      <c r="D689" s="30">
        <f>IFERROR(IF(AND(ISNUMBER('Semi Rev'!H120),ISNUMBER('Semi Rev'!G120)),'Semi Rev'!H120-'Semi Rev'!G120,""),"")</f>
        <v/>
      </c>
      <c r="E689" s="30">
        <f>IFERROR(IF(AND(ISNUMBER('Semi Rev'!I120),ISNUMBER('Semi Rev'!H120)),'Semi Rev'!I120-'Semi Rev'!H120,""),"")</f>
        <v/>
      </c>
      <c r="F689" s="30">
        <f>IFERROR(IF(AND(ISNUMBER('Semi Rev'!J120),ISNUMBER('Semi Rev'!I120)),'Semi Rev'!J120-'Semi Rev'!I120,""),"")</f>
        <v/>
      </c>
      <c r="G689" s="30">
        <f>IFERROR(IF(AND(ISNUMBER('Semi Rev'!K120),ISNUMBER('Semi Rev'!J120)),'Semi Rev'!K120-'Semi Rev'!J120,""),"")</f>
        <v/>
      </c>
      <c r="H689" s="30">
        <f>IFERROR(IF(AND(ISNUMBER('Semi Rev'!L120),ISNUMBER('Semi Rev'!K120)),'Semi Rev'!L120-'Semi Rev'!K120,""),"")</f>
        <v/>
      </c>
      <c r="I689" s="30">
        <f>IFERROR(IF(AND(ISNUMBER('Semi Rev'!M120),ISNUMBER('Semi Rev'!L120)),'Semi Rev'!M120-'Semi Rev'!L120,""),"")</f>
        <v/>
      </c>
      <c r="J689" s="30">
        <f>IFERROR(IF(AND(ISNUMBER('Semi Rev'!N120),ISNUMBER('Semi Rev'!M120)),'Semi Rev'!N120-'Semi Rev'!M120,""),"")</f>
        <v/>
      </c>
      <c r="K689" s="30">
        <f>IFERROR(IF(AND(ISNUMBER('Semi Rev'!O120),ISNUMBER('Semi Rev'!N120)),'Semi Rev'!O120-'Semi Rev'!N120,""),"")</f>
        <v/>
      </c>
      <c r="L689" s="30">
        <f>IFERROR(IF(AND(ISNUMBER('Semi Rev'!P120),ISNUMBER('Semi Rev'!O120)),'Semi Rev'!P120-'Semi Rev'!O120,""),"")</f>
        <v/>
      </c>
      <c r="M689" s="31">
        <f>IFERROR(IF(AND(ISNUMBER('Semi Rev'!Q120),ISNUMBER('Semi Rev'!P120)),'Semi Rev'!Q120-'Semi Rev'!P120,""),"")</f>
        <v/>
      </c>
      <c r="N689" s="31">
        <f>IFERROR(IF(AND(ISNUMBER('Semi Rev'!R120),ISNUMBER('Semi Rev'!Q120)),'Semi Rev'!R120-'Semi Rev'!Q120,""),"")</f>
        <v/>
      </c>
    </row>
    <row r="690">
      <c r="A690" s="19">
        <f>'Semi Rev'!$A121</f>
        <v/>
      </c>
      <c r="B690" s="19">
        <f>'Semi Rev'!$B121</f>
        <v/>
      </c>
      <c r="C690" s="30">
        <f>IFERROR(IF(AND(ISNUMBER('Semi Rev'!G121),ISNUMBER('Semi Rev'!F121)),'Semi Rev'!G121-'Semi Rev'!F121,""),"")</f>
        <v/>
      </c>
      <c r="D690" s="30">
        <f>IFERROR(IF(AND(ISNUMBER('Semi Rev'!H121),ISNUMBER('Semi Rev'!G121)),'Semi Rev'!H121-'Semi Rev'!G121,""),"")</f>
        <v/>
      </c>
      <c r="E690" s="30">
        <f>IFERROR(IF(AND(ISNUMBER('Semi Rev'!I121),ISNUMBER('Semi Rev'!H121)),'Semi Rev'!I121-'Semi Rev'!H121,""),"")</f>
        <v/>
      </c>
      <c r="F690" s="30">
        <f>IFERROR(IF(AND(ISNUMBER('Semi Rev'!J121),ISNUMBER('Semi Rev'!I121)),'Semi Rev'!J121-'Semi Rev'!I121,""),"")</f>
        <v/>
      </c>
      <c r="G690" s="30">
        <f>IFERROR(IF(AND(ISNUMBER('Semi Rev'!K121),ISNUMBER('Semi Rev'!J121)),'Semi Rev'!K121-'Semi Rev'!J121,""),"")</f>
        <v/>
      </c>
      <c r="H690" s="30">
        <f>IFERROR(IF(AND(ISNUMBER('Semi Rev'!L121),ISNUMBER('Semi Rev'!K121)),'Semi Rev'!L121-'Semi Rev'!K121,""),"")</f>
        <v/>
      </c>
      <c r="I690" s="30">
        <f>IFERROR(IF(AND(ISNUMBER('Semi Rev'!M121),ISNUMBER('Semi Rev'!L121)),'Semi Rev'!M121-'Semi Rev'!L121,""),"")</f>
        <v/>
      </c>
      <c r="J690" s="30">
        <f>IFERROR(IF(AND(ISNUMBER('Semi Rev'!N121),ISNUMBER('Semi Rev'!M121)),'Semi Rev'!N121-'Semi Rev'!M121,""),"")</f>
        <v/>
      </c>
      <c r="K690" s="30">
        <f>IFERROR(IF(AND(ISNUMBER('Semi Rev'!O121),ISNUMBER('Semi Rev'!N121)),'Semi Rev'!O121-'Semi Rev'!N121,""),"")</f>
        <v/>
      </c>
      <c r="L690" s="30">
        <f>IFERROR(IF(AND(ISNUMBER('Semi Rev'!P121),ISNUMBER('Semi Rev'!O121)),'Semi Rev'!P121-'Semi Rev'!O121,""),"")</f>
        <v/>
      </c>
      <c r="M690" s="31">
        <f>IFERROR(IF(AND(ISNUMBER('Semi Rev'!Q121),ISNUMBER('Semi Rev'!P121)),'Semi Rev'!Q121-'Semi Rev'!P121,""),"")</f>
        <v/>
      </c>
      <c r="N690" s="31">
        <f>IFERROR(IF(AND(ISNUMBER('Semi Rev'!R121),ISNUMBER('Semi Rev'!Q121)),'Semi Rev'!R121-'Semi Rev'!Q121,""),"")</f>
        <v/>
      </c>
    </row>
    <row r="691">
      <c r="A691" s="19">
        <f>'Semi Rev'!$A122</f>
        <v/>
      </c>
      <c r="B691" s="19">
        <f>'Semi Rev'!$B122</f>
        <v/>
      </c>
      <c r="C691" s="30">
        <f>IFERROR(IF(AND(ISNUMBER('Semi Rev'!G122),ISNUMBER('Semi Rev'!F122)),'Semi Rev'!G122-'Semi Rev'!F122,""),"")</f>
        <v/>
      </c>
      <c r="D691" s="30">
        <f>IFERROR(IF(AND(ISNUMBER('Semi Rev'!H122),ISNUMBER('Semi Rev'!G122)),'Semi Rev'!H122-'Semi Rev'!G122,""),"")</f>
        <v/>
      </c>
      <c r="E691" s="30">
        <f>IFERROR(IF(AND(ISNUMBER('Semi Rev'!I122),ISNUMBER('Semi Rev'!H122)),'Semi Rev'!I122-'Semi Rev'!H122,""),"")</f>
        <v/>
      </c>
      <c r="F691" s="30">
        <f>IFERROR(IF(AND(ISNUMBER('Semi Rev'!J122),ISNUMBER('Semi Rev'!I122)),'Semi Rev'!J122-'Semi Rev'!I122,""),"")</f>
        <v/>
      </c>
      <c r="G691" s="30">
        <f>IFERROR(IF(AND(ISNUMBER('Semi Rev'!K122),ISNUMBER('Semi Rev'!J122)),'Semi Rev'!K122-'Semi Rev'!J122,""),"")</f>
        <v/>
      </c>
      <c r="H691" s="30">
        <f>IFERROR(IF(AND(ISNUMBER('Semi Rev'!L122),ISNUMBER('Semi Rev'!K122)),'Semi Rev'!L122-'Semi Rev'!K122,""),"")</f>
        <v/>
      </c>
      <c r="I691" s="30">
        <f>IFERROR(IF(AND(ISNUMBER('Semi Rev'!M122),ISNUMBER('Semi Rev'!L122)),'Semi Rev'!M122-'Semi Rev'!L122,""),"")</f>
        <v/>
      </c>
      <c r="J691" s="30">
        <f>IFERROR(IF(AND(ISNUMBER('Semi Rev'!N122),ISNUMBER('Semi Rev'!M122)),'Semi Rev'!N122-'Semi Rev'!M122,""),"")</f>
        <v/>
      </c>
      <c r="K691" s="30">
        <f>IFERROR(IF(AND(ISNUMBER('Semi Rev'!O122),ISNUMBER('Semi Rev'!N122)),'Semi Rev'!O122-'Semi Rev'!N122,""),"")</f>
        <v/>
      </c>
      <c r="L691" s="30">
        <f>IFERROR(IF(AND(ISNUMBER('Semi Rev'!P122),ISNUMBER('Semi Rev'!O122)),'Semi Rev'!P122-'Semi Rev'!O122,""),"")</f>
        <v/>
      </c>
      <c r="M691" s="31">
        <f>IFERROR(IF(AND(ISNUMBER('Semi Rev'!Q122),ISNUMBER('Semi Rev'!P122)),'Semi Rev'!Q122-'Semi Rev'!P122,""),"")</f>
        <v/>
      </c>
      <c r="N691" s="31">
        <f>IFERROR(IF(AND(ISNUMBER('Semi Rev'!R122),ISNUMBER('Semi Rev'!Q122)),'Semi Rev'!R122-'Semi Rev'!Q122,""),"")</f>
        <v/>
      </c>
    </row>
    <row r="692">
      <c r="A692" s="19">
        <f>'Semi Rev'!$A123</f>
        <v/>
      </c>
      <c r="B692" s="19">
        <f>'Semi Rev'!$B123</f>
        <v/>
      </c>
      <c r="C692" s="30">
        <f>IFERROR(IF(AND(ISNUMBER('Semi Rev'!G123),ISNUMBER('Semi Rev'!F123)),'Semi Rev'!G123-'Semi Rev'!F123,""),"")</f>
        <v/>
      </c>
      <c r="D692" s="30">
        <f>IFERROR(IF(AND(ISNUMBER('Semi Rev'!H123),ISNUMBER('Semi Rev'!G123)),'Semi Rev'!H123-'Semi Rev'!G123,""),"")</f>
        <v/>
      </c>
      <c r="E692" s="30">
        <f>IFERROR(IF(AND(ISNUMBER('Semi Rev'!I123),ISNUMBER('Semi Rev'!H123)),'Semi Rev'!I123-'Semi Rev'!H123,""),"")</f>
        <v/>
      </c>
      <c r="F692" s="30">
        <f>IFERROR(IF(AND(ISNUMBER('Semi Rev'!J123),ISNUMBER('Semi Rev'!I123)),'Semi Rev'!J123-'Semi Rev'!I123,""),"")</f>
        <v/>
      </c>
      <c r="G692" s="30">
        <f>IFERROR(IF(AND(ISNUMBER('Semi Rev'!K123),ISNUMBER('Semi Rev'!J123)),'Semi Rev'!K123-'Semi Rev'!J123,""),"")</f>
        <v/>
      </c>
      <c r="H692" s="30">
        <f>IFERROR(IF(AND(ISNUMBER('Semi Rev'!L123),ISNUMBER('Semi Rev'!K123)),'Semi Rev'!L123-'Semi Rev'!K123,""),"")</f>
        <v/>
      </c>
      <c r="I692" s="30">
        <f>IFERROR(IF(AND(ISNUMBER('Semi Rev'!M123),ISNUMBER('Semi Rev'!L123)),'Semi Rev'!M123-'Semi Rev'!L123,""),"")</f>
        <v/>
      </c>
      <c r="J692" s="30">
        <f>IFERROR(IF(AND(ISNUMBER('Semi Rev'!N123),ISNUMBER('Semi Rev'!M123)),'Semi Rev'!N123-'Semi Rev'!M123,""),"")</f>
        <v/>
      </c>
      <c r="K692" s="30">
        <f>IFERROR(IF(AND(ISNUMBER('Semi Rev'!O123),ISNUMBER('Semi Rev'!N123)),'Semi Rev'!O123-'Semi Rev'!N123,""),"")</f>
        <v/>
      </c>
      <c r="L692" s="30">
        <f>IFERROR(IF(AND(ISNUMBER('Semi Rev'!P123),ISNUMBER('Semi Rev'!O123)),'Semi Rev'!P123-'Semi Rev'!O123,""),"")</f>
        <v/>
      </c>
      <c r="M692" s="31">
        <f>IFERROR(IF(AND(ISNUMBER('Semi Rev'!Q123),ISNUMBER('Semi Rev'!P123)),'Semi Rev'!Q123-'Semi Rev'!P123,""),"")</f>
        <v/>
      </c>
      <c r="N692" s="31">
        <f>IFERROR(IF(AND(ISNUMBER('Semi Rev'!R123),ISNUMBER('Semi Rev'!Q123)),'Semi Rev'!R123-'Semi Rev'!Q123,""),"")</f>
        <v/>
      </c>
    </row>
    <row r="693">
      <c r="A693" s="19">
        <f>'Semi Rev'!$A124</f>
        <v/>
      </c>
      <c r="B693" s="19">
        <f>'Semi Rev'!$B124</f>
        <v/>
      </c>
      <c r="C693" s="30">
        <f>IFERROR(IF(AND(ISNUMBER('Semi Rev'!G124),ISNUMBER('Semi Rev'!F124)),'Semi Rev'!G124-'Semi Rev'!F124,""),"")</f>
        <v/>
      </c>
      <c r="D693" s="30">
        <f>IFERROR(IF(AND(ISNUMBER('Semi Rev'!H124),ISNUMBER('Semi Rev'!G124)),'Semi Rev'!H124-'Semi Rev'!G124,""),"")</f>
        <v/>
      </c>
      <c r="E693" s="30">
        <f>IFERROR(IF(AND(ISNUMBER('Semi Rev'!I124),ISNUMBER('Semi Rev'!H124)),'Semi Rev'!I124-'Semi Rev'!H124,""),"")</f>
        <v/>
      </c>
      <c r="F693" s="30">
        <f>IFERROR(IF(AND(ISNUMBER('Semi Rev'!J124),ISNUMBER('Semi Rev'!I124)),'Semi Rev'!J124-'Semi Rev'!I124,""),"")</f>
        <v/>
      </c>
      <c r="G693" s="30">
        <f>IFERROR(IF(AND(ISNUMBER('Semi Rev'!K124),ISNUMBER('Semi Rev'!J124)),'Semi Rev'!K124-'Semi Rev'!J124,""),"")</f>
        <v/>
      </c>
      <c r="H693" s="30">
        <f>IFERROR(IF(AND(ISNUMBER('Semi Rev'!L124),ISNUMBER('Semi Rev'!K124)),'Semi Rev'!L124-'Semi Rev'!K124,""),"")</f>
        <v/>
      </c>
      <c r="I693" s="30">
        <f>IFERROR(IF(AND(ISNUMBER('Semi Rev'!M124),ISNUMBER('Semi Rev'!L124)),'Semi Rev'!M124-'Semi Rev'!L124,""),"")</f>
        <v/>
      </c>
      <c r="J693" s="30">
        <f>IFERROR(IF(AND(ISNUMBER('Semi Rev'!N124),ISNUMBER('Semi Rev'!M124)),'Semi Rev'!N124-'Semi Rev'!M124,""),"")</f>
        <v/>
      </c>
      <c r="K693" s="30">
        <f>IFERROR(IF(AND(ISNUMBER('Semi Rev'!O124),ISNUMBER('Semi Rev'!N124)),'Semi Rev'!O124-'Semi Rev'!N124,""),"")</f>
        <v/>
      </c>
      <c r="L693" s="30">
        <f>IFERROR(IF(AND(ISNUMBER('Semi Rev'!P124),ISNUMBER('Semi Rev'!O124)),'Semi Rev'!P124-'Semi Rev'!O124,""),"")</f>
        <v/>
      </c>
      <c r="M693" s="31">
        <f>IFERROR(IF(AND(ISNUMBER('Semi Rev'!Q124),ISNUMBER('Semi Rev'!P124)),'Semi Rev'!Q124-'Semi Rev'!P124,""),"")</f>
        <v/>
      </c>
      <c r="N693" s="31">
        <f>IFERROR(IF(AND(ISNUMBER('Semi Rev'!R124),ISNUMBER('Semi Rev'!Q124)),'Semi Rev'!R124-'Semi Rev'!Q124,""),"")</f>
        <v/>
      </c>
    </row>
    <row r="694">
      <c r="A694" s="19">
        <f>'Semi Rev'!$A125</f>
        <v/>
      </c>
      <c r="B694" s="19">
        <f>'Semi Rev'!$B125</f>
        <v/>
      </c>
      <c r="C694" s="30">
        <f>IFERROR(IF(AND(ISNUMBER('Semi Rev'!G125),ISNUMBER('Semi Rev'!F125)),'Semi Rev'!G125-'Semi Rev'!F125,""),"")</f>
        <v/>
      </c>
      <c r="D694" s="30">
        <f>IFERROR(IF(AND(ISNUMBER('Semi Rev'!H125),ISNUMBER('Semi Rev'!G125)),'Semi Rev'!H125-'Semi Rev'!G125,""),"")</f>
        <v/>
      </c>
      <c r="E694" s="30">
        <f>IFERROR(IF(AND(ISNUMBER('Semi Rev'!I125),ISNUMBER('Semi Rev'!H125)),'Semi Rev'!I125-'Semi Rev'!H125,""),"")</f>
        <v/>
      </c>
      <c r="F694" s="30">
        <f>IFERROR(IF(AND(ISNUMBER('Semi Rev'!J125),ISNUMBER('Semi Rev'!I125)),'Semi Rev'!J125-'Semi Rev'!I125,""),"")</f>
        <v/>
      </c>
      <c r="G694" s="30">
        <f>IFERROR(IF(AND(ISNUMBER('Semi Rev'!K125),ISNUMBER('Semi Rev'!J125)),'Semi Rev'!K125-'Semi Rev'!J125,""),"")</f>
        <v/>
      </c>
      <c r="H694" s="30">
        <f>IFERROR(IF(AND(ISNUMBER('Semi Rev'!L125),ISNUMBER('Semi Rev'!K125)),'Semi Rev'!L125-'Semi Rev'!K125,""),"")</f>
        <v/>
      </c>
      <c r="I694" s="30">
        <f>IFERROR(IF(AND(ISNUMBER('Semi Rev'!M125),ISNUMBER('Semi Rev'!L125)),'Semi Rev'!M125-'Semi Rev'!L125,""),"")</f>
        <v/>
      </c>
      <c r="J694" s="30">
        <f>IFERROR(IF(AND(ISNUMBER('Semi Rev'!N125),ISNUMBER('Semi Rev'!M125)),'Semi Rev'!N125-'Semi Rev'!M125,""),"")</f>
        <v/>
      </c>
      <c r="K694" s="30">
        <f>IFERROR(IF(AND(ISNUMBER('Semi Rev'!O125),ISNUMBER('Semi Rev'!N125)),'Semi Rev'!O125-'Semi Rev'!N125,""),"")</f>
        <v/>
      </c>
      <c r="L694" s="30">
        <f>IFERROR(IF(AND(ISNUMBER('Semi Rev'!P125),ISNUMBER('Semi Rev'!O125)),'Semi Rev'!P125-'Semi Rev'!O125,""),"")</f>
        <v/>
      </c>
      <c r="M694" s="31">
        <f>IFERROR(IF(AND(ISNUMBER('Semi Rev'!Q125),ISNUMBER('Semi Rev'!P125)),'Semi Rev'!Q125-'Semi Rev'!P125,""),"")</f>
        <v/>
      </c>
      <c r="N694" s="31">
        <f>IFERROR(IF(AND(ISNUMBER('Semi Rev'!R125),ISNUMBER('Semi Rev'!Q125)),'Semi Rev'!R125-'Semi Rev'!Q125,""),"")</f>
        <v/>
      </c>
    </row>
    <row r="695">
      <c r="A695" s="19">
        <f>'Semi Rev'!$A126</f>
        <v/>
      </c>
      <c r="B695" s="19">
        <f>'Semi Rev'!$B126</f>
        <v/>
      </c>
      <c r="C695" s="30">
        <f>IFERROR(IF(AND(ISNUMBER('Semi Rev'!G126),ISNUMBER('Semi Rev'!F126)),'Semi Rev'!G126-'Semi Rev'!F126,""),"")</f>
        <v/>
      </c>
      <c r="D695" s="30">
        <f>IFERROR(IF(AND(ISNUMBER('Semi Rev'!H126),ISNUMBER('Semi Rev'!G126)),'Semi Rev'!H126-'Semi Rev'!G126,""),"")</f>
        <v/>
      </c>
      <c r="E695" s="30">
        <f>IFERROR(IF(AND(ISNUMBER('Semi Rev'!I126),ISNUMBER('Semi Rev'!H126)),'Semi Rev'!I126-'Semi Rev'!H126,""),"")</f>
        <v/>
      </c>
      <c r="F695" s="30">
        <f>IFERROR(IF(AND(ISNUMBER('Semi Rev'!J126),ISNUMBER('Semi Rev'!I126)),'Semi Rev'!J126-'Semi Rev'!I126,""),"")</f>
        <v/>
      </c>
      <c r="G695" s="30">
        <f>IFERROR(IF(AND(ISNUMBER('Semi Rev'!K126),ISNUMBER('Semi Rev'!J126)),'Semi Rev'!K126-'Semi Rev'!J126,""),"")</f>
        <v/>
      </c>
      <c r="H695" s="30">
        <f>IFERROR(IF(AND(ISNUMBER('Semi Rev'!L126),ISNUMBER('Semi Rev'!K126)),'Semi Rev'!L126-'Semi Rev'!K126,""),"")</f>
        <v/>
      </c>
      <c r="I695" s="30">
        <f>IFERROR(IF(AND(ISNUMBER('Semi Rev'!M126),ISNUMBER('Semi Rev'!L126)),'Semi Rev'!M126-'Semi Rev'!L126,""),"")</f>
        <v/>
      </c>
      <c r="J695" s="30">
        <f>IFERROR(IF(AND(ISNUMBER('Semi Rev'!N126),ISNUMBER('Semi Rev'!M126)),'Semi Rev'!N126-'Semi Rev'!M126,""),"")</f>
        <v/>
      </c>
      <c r="K695" s="30">
        <f>IFERROR(IF(AND(ISNUMBER('Semi Rev'!O126),ISNUMBER('Semi Rev'!N126)),'Semi Rev'!O126-'Semi Rev'!N126,""),"")</f>
        <v/>
      </c>
      <c r="L695" s="30">
        <f>IFERROR(IF(AND(ISNUMBER('Semi Rev'!P126),ISNUMBER('Semi Rev'!O126)),'Semi Rev'!P126-'Semi Rev'!O126,""),"")</f>
        <v/>
      </c>
      <c r="M695" s="31">
        <f>IFERROR(IF(AND(ISNUMBER('Semi Rev'!Q126),ISNUMBER('Semi Rev'!P126)),'Semi Rev'!Q126-'Semi Rev'!P126,""),"")</f>
        <v/>
      </c>
      <c r="N695" s="31">
        <f>IFERROR(IF(AND(ISNUMBER('Semi Rev'!R126),ISNUMBER('Semi Rev'!Q126)),'Semi Rev'!R126-'Semi Rev'!Q126,""),"")</f>
        <v/>
      </c>
    </row>
    <row r="696">
      <c r="A696" s="19">
        <f>'Semi Rev'!$A127</f>
        <v/>
      </c>
      <c r="B696" s="19">
        <f>'Semi Rev'!$B127</f>
        <v/>
      </c>
      <c r="C696" s="30">
        <f>IFERROR(IF(AND(ISNUMBER('Semi Rev'!G127),ISNUMBER('Semi Rev'!F127)),'Semi Rev'!G127-'Semi Rev'!F127,""),"")</f>
        <v/>
      </c>
      <c r="D696" s="30">
        <f>IFERROR(IF(AND(ISNUMBER('Semi Rev'!H127),ISNUMBER('Semi Rev'!G127)),'Semi Rev'!H127-'Semi Rev'!G127,""),"")</f>
        <v/>
      </c>
      <c r="E696" s="30">
        <f>IFERROR(IF(AND(ISNUMBER('Semi Rev'!I127),ISNUMBER('Semi Rev'!H127)),'Semi Rev'!I127-'Semi Rev'!H127,""),"")</f>
        <v/>
      </c>
      <c r="F696" s="30">
        <f>IFERROR(IF(AND(ISNUMBER('Semi Rev'!J127),ISNUMBER('Semi Rev'!I127)),'Semi Rev'!J127-'Semi Rev'!I127,""),"")</f>
        <v/>
      </c>
      <c r="G696" s="30">
        <f>IFERROR(IF(AND(ISNUMBER('Semi Rev'!K127),ISNUMBER('Semi Rev'!J127)),'Semi Rev'!K127-'Semi Rev'!J127,""),"")</f>
        <v/>
      </c>
      <c r="H696" s="30">
        <f>IFERROR(IF(AND(ISNUMBER('Semi Rev'!L127),ISNUMBER('Semi Rev'!K127)),'Semi Rev'!L127-'Semi Rev'!K127,""),"")</f>
        <v/>
      </c>
      <c r="I696" s="30">
        <f>IFERROR(IF(AND(ISNUMBER('Semi Rev'!M127),ISNUMBER('Semi Rev'!L127)),'Semi Rev'!M127-'Semi Rev'!L127,""),"")</f>
        <v/>
      </c>
      <c r="J696" s="30">
        <f>IFERROR(IF(AND(ISNUMBER('Semi Rev'!N127),ISNUMBER('Semi Rev'!M127)),'Semi Rev'!N127-'Semi Rev'!M127,""),"")</f>
        <v/>
      </c>
      <c r="K696" s="30">
        <f>IFERROR(IF(AND(ISNUMBER('Semi Rev'!O127),ISNUMBER('Semi Rev'!N127)),'Semi Rev'!O127-'Semi Rev'!N127,""),"")</f>
        <v/>
      </c>
      <c r="L696" s="30">
        <f>IFERROR(IF(AND(ISNUMBER('Semi Rev'!P127),ISNUMBER('Semi Rev'!O127)),'Semi Rev'!P127-'Semi Rev'!O127,""),"")</f>
        <v/>
      </c>
      <c r="M696" s="31">
        <f>IFERROR(IF(AND(ISNUMBER('Semi Rev'!Q127),ISNUMBER('Semi Rev'!P127)),'Semi Rev'!Q127-'Semi Rev'!P127,""),"")</f>
        <v/>
      </c>
      <c r="N696" s="31">
        <f>IFERROR(IF(AND(ISNUMBER('Semi Rev'!R127),ISNUMBER('Semi Rev'!Q127)),'Semi Rev'!R127-'Semi Rev'!Q127,""),"")</f>
        <v/>
      </c>
    </row>
    <row r="697">
      <c r="A697" s="19">
        <f>'Semi Rev'!$A128</f>
        <v/>
      </c>
      <c r="B697" s="19">
        <f>'Semi Rev'!$B128</f>
        <v/>
      </c>
      <c r="C697" s="30">
        <f>IFERROR(IF(AND(ISNUMBER('Semi Rev'!G128),ISNUMBER('Semi Rev'!F128)),'Semi Rev'!G128-'Semi Rev'!F128,""),"")</f>
        <v/>
      </c>
      <c r="D697" s="30">
        <f>IFERROR(IF(AND(ISNUMBER('Semi Rev'!H128),ISNUMBER('Semi Rev'!G128)),'Semi Rev'!H128-'Semi Rev'!G128,""),"")</f>
        <v/>
      </c>
      <c r="E697" s="30">
        <f>IFERROR(IF(AND(ISNUMBER('Semi Rev'!I128),ISNUMBER('Semi Rev'!H128)),'Semi Rev'!I128-'Semi Rev'!H128,""),"")</f>
        <v/>
      </c>
      <c r="F697" s="30">
        <f>IFERROR(IF(AND(ISNUMBER('Semi Rev'!J128),ISNUMBER('Semi Rev'!I128)),'Semi Rev'!J128-'Semi Rev'!I128,""),"")</f>
        <v/>
      </c>
      <c r="G697" s="30">
        <f>IFERROR(IF(AND(ISNUMBER('Semi Rev'!K128),ISNUMBER('Semi Rev'!J128)),'Semi Rev'!K128-'Semi Rev'!J128,""),"")</f>
        <v/>
      </c>
      <c r="H697" s="30">
        <f>IFERROR(IF(AND(ISNUMBER('Semi Rev'!L128),ISNUMBER('Semi Rev'!K128)),'Semi Rev'!L128-'Semi Rev'!K128,""),"")</f>
        <v/>
      </c>
      <c r="I697" s="30">
        <f>IFERROR(IF(AND(ISNUMBER('Semi Rev'!M128),ISNUMBER('Semi Rev'!L128)),'Semi Rev'!M128-'Semi Rev'!L128,""),"")</f>
        <v/>
      </c>
      <c r="J697" s="30">
        <f>IFERROR(IF(AND(ISNUMBER('Semi Rev'!N128),ISNUMBER('Semi Rev'!M128)),'Semi Rev'!N128-'Semi Rev'!M128,""),"")</f>
        <v/>
      </c>
      <c r="K697" s="30">
        <f>IFERROR(IF(AND(ISNUMBER('Semi Rev'!O128),ISNUMBER('Semi Rev'!N128)),'Semi Rev'!O128-'Semi Rev'!N128,""),"")</f>
        <v/>
      </c>
      <c r="L697" s="30">
        <f>IFERROR(IF(AND(ISNUMBER('Semi Rev'!P128),ISNUMBER('Semi Rev'!O128)),'Semi Rev'!P128-'Semi Rev'!O128,""),"")</f>
        <v/>
      </c>
      <c r="M697" s="31">
        <f>IFERROR(IF(AND(ISNUMBER('Semi Rev'!Q128),ISNUMBER('Semi Rev'!P128)),'Semi Rev'!Q128-'Semi Rev'!P128,""),"")</f>
        <v/>
      </c>
      <c r="N697" s="31">
        <f>IFERROR(IF(AND(ISNUMBER('Semi Rev'!R128),ISNUMBER('Semi Rev'!Q128)),'Semi Rev'!R128-'Semi Rev'!Q128,""),"")</f>
        <v/>
      </c>
    </row>
    <row r="698">
      <c r="A698" s="19">
        <f>'Semi Rev'!$A129</f>
        <v/>
      </c>
      <c r="B698" s="19">
        <f>'Semi Rev'!$B129</f>
        <v/>
      </c>
      <c r="C698" s="30">
        <f>IFERROR(IF(AND(ISNUMBER('Semi Rev'!G129),ISNUMBER('Semi Rev'!F129)),'Semi Rev'!G129-'Semi Rev'!F129,""),"")</f>
        <v/>
      </c>
      <c r="D698" s="30">
        <f>IFERROR(IF(AND(ISNUMBER('Semi Rev'!H129),ISNUMBER('Semi Rev'!G129)),'Semi Rev'!H129-'Semi Rev'!G129,""),"")</f>
        <v/>
      </c>
      <c r="E698" s="30">
        <f>IFERROR(IF(AND(ISNUMBER('Semi Rev'!I129),ISNUMBER('Semi Rev'!H129)),'Semi Rev'!I129-'Semi Rev'!H129,""),"")</f>
        <v/>
      </c>
      <c r="F698" s="30">
        <f>IFERROR(IF(AND(ISNUMBER('Semi Rev'!J129),ISNUMBER('Semi Rev'!I129)),'Semi Rev'!J129-'Semi Rev'!I129,""),"")</f>
        <v/>
      </c>
      <c r="G698" s="30">
        <f>IFERROR(IF(AND(ISNUMBER('Semi Rev'!K129),ISNUMBER('Semi Rev'!J129)),'Semi Rev'!K129-'Semi Rev'!J129,""),"")</f>
        <v/>
      </c>
      <c r="H698" s="30">
        <f>IFERROR(IF(AND(ISNUMBER('Semi Rev'!L129),ISNUMBER('Semi Rev'!K129)),'Semi Rev'!L129-'Semi Rev'!K129,""),"")</f>
        <v/>
      </c>
      <c r="I698" s="30">
        <f>IFERROR(IF(AND(ISNUMBER('Semi Rev'!M129),ISNUMBER('Semi Rev'!L129)),'Semi Rev'!M129-'Semi Rev'!L129,""),"")</f>
        <v/>
      </c>
      <c r="J698" s="30">
        <f>IFERROR(IF(AND(ISNUMBER('Semi Rev'!N129),ISNUMBER('Semi Rev'!M129)),'Semi Rev'!N129-'Semi Rev'!M129,""),"")</f>
        <v/>
      </c>
      <c r="K698" s="30">
        <f>IFERROR(IF(AND(ISNUMBER('Semi Rev'!O129),ISNUMBER('Semi Rev'!N129)),'Semi Rev'!O129-'Semi Rev'!N129,""),"")</f>
        <v/>
      </c>
      <c r="L698" s="30">
        <f>IFERROR(IF(AND(ISNUMBER('Semi Rev'!P129),ISNUMBER('Semi Rev'!O129)),'Semi Rev'!P129-'Semi Rev'!O129,""),"")</f>
        <v/>
      </c>
      <c r="M698" s="31">
        <f>IFERROR(IF(AND(ISNUMBER('Semi Rev'!Q129),ISNUMBER('Semi Rev'!P129)),'Semi Rev'!Q129-'Semi Rev'!P129,""),"")</f>
        <v/>
      </c>
      <c r="N698" s="31">
        <f>IFERROR(IF(AND(ISNUMBER('Semi Rev'!R129),ISNUMBER('Semi Rev'!Q129)),'Semi Rev'!R129-'Semi Rev'!Q129,""),"")</f>
        <v/>
      </c>
    </row>
    <row r="699">
      <c r="A699" s="19">
        <f>'Semi Rev'!$A130</f>
        <v/>
      </c>
      <c r="B699" s="19">
        <f>'Semi Rev'!$B130</f>
        <v/>
      </c>
      <c r="C699" s="30">
        <f>IFERROR(IF(AND(ISNUMBER('Semi Rev'!G130),ISNUMBER('Semi Rev'!F130)),'Semi Rev'!G130-'Semi Rev'!F130,""),"")</f>
        <v/>
      </c>
      <c r="D699" s="30">
        <f>IFERROR(IF(AND(ISNUMBER('Semi Rev'!H130),ISNUMBER('Semi Rev'!G130)),'Semi Rev'!H130-'Semi Rev'!G130,""),"")</f>
        <v/>
      </c>
      <c r="E699" s="30">
        <f>IFERROR(IF(AND(ISNUMBER('Semi Rev'!I130),ISNUMBER('Semi Rev'!H130)),'Semi Rev'!I130-'Semi Rev'!H130,""),"")</f>
        <v/>
      </c>
      <c r="F699" s="30">
        <f>IFERROR(IF(AND(ISNUMBER('Semi Rev'!J130),ISNUMBER('Semi Rev'!I130)),'Semi Rev'!J130-'Semi Rev'!I130,""),"")</f>
        <v/>
      </c>
      <c r="G699" s="30">
        <f>IFERROR(IF(AND(ISNUMBER('Semi Rev'!K130),ISNUMBER('Semi Rev'!J130)),'Semi Rev'!K130-'Semi Rev'!J130,""),"")</f>
        <v/>
      </c>
      <c r="H699" s="30">
        <f>IFERROR(IF(AND(ISNUMBER('Semi Rev'!L130),ISNUMBER('Semi Rev'!K130)),'Semi Rev'!L130-'Semi Rev'!K130,""),"")</f>
        <v/>
      </c>
      <c r="I699" s="30">
        <f>IFERROR(IF(AND(ISNUMBER('Semi Rev'!M130),ISNUMBER('Semi Rev'!L130)),'Semi Rev'!M130-'Semi Rev'!L130,""),"")</f>
        <v/>
      </c>
      <c r="J699" s="30">
        <f>IFERROR(IF(AND(ISNUMBER('Semi Rev'!N130),ISNUMBER('Semi Rev'!M130)),'Semi Rev'!N130-'Semi Rev'!M130,""),"")</f>
        <v/>
      </c>
      <c r="K699" s="30">
        <f>IFERROR(IF(AND(ISNUMBER('Semi Rev'!O130),ISNUMBER('Semi Rev'!N130)),'Semi Rev'!O130-'Semi Rev'!N130,""),"")</f>
        <v/>
      </c>
      <c r="L699" s="30">
        <f>IFERROR(IF(AND(ISNUMBER('Semi Rev'!P130),ISNUMBER('Semi Rev'!O130)),'Semi Rev'!P130-'Semi Rev'!O130,""),"")</f>
        <v/>
      </c>
      <c r="M699" s="31">
        <f>IFERROR(IF(AND(ISNUMBER('Semi Rev'!Q130),ISNUMBER('Semi Rev'!P130)),'Semi Rev'!Q130-'Semi Rev'!P130,""),"")</f>
        <v/>
      </c>
      <c r="N699" s="31">
        <f>IFERROR(IF(AND(ISNUMBER('Semi Rev'!R130),ISNUMBER('Semi Rev'!Q130)),'Semi Rev'!R130-'Semi Rev'!Q130,""),"")</f>
        <v/>
      </c>
    </row>
    <row r="700">
      <c r="A700" s="19">
        <f>'Semi Rev'!$A131</f>
        <v/>
      </c>
      <c r="B700" s="19">
        <f>'Semi Rev'!$B131</f>
        <v/>
      </c>
      <c r="C700" s="30">
        <f>IFERROR(IF(AND(ISNUMBER('Semi Rev'!G131),ISNUMBER('Semi Rev'!F131)),'Semi Rev'!G131-'Semi Rev'!F131,""),"")</f>
        <v/>
      </c>
      <c r="D700" s="30">
        <f>IFERROR(IF(AND(ISNUMBER('Semi Rev'!H131),ISNUMBER('Semi Rev'!G131)),'Semi Rev'!H131-'Semi Rev'!G131,""),"")</f>
        <v/>
      </c>
      <c r="E700" s="30">
        <f>IFERROR(IF(AND(ISNUMBER('Semi Rev'!I131),ISNUMBER('Semi Rev'!H131)),'Semi Rev'!I131-'Semi Rev'!H131,""),"")</f>
        <v/>
      </c>
      <c r="F700" s="30">
        <f>IFERROR(IF(AND(ISNUMBER('Semi Rev'!J131),ISNUMBER('Semi Rev'!I131)),'Semi Rev'!J131-'Semi Rev'!I131,""),"")</f>
        <v/>
      </c>
      <c r="G700" s="30">
        <f>IFERROR(IF(AND(ISNUMBER('Semi Rev'!K131),ISNUMBER('Semi Rev'!J131)),'Semi Rev'!K131-'Semi Rev'!J131,""),"")</f>
        <v/>
      </c>
      <c r="H700" s="30">
        <f>IFERROR(IF(AND(ISNUMBER('Semi Rev'!L131),ISNUMBER('Semi Rev'!K131)),'Semi Rev'!L131-'Semi Rev'!K131,""),"")</f>
        <v/>
      </c>
      <c r="I700" s="30">
        <f>IFERROR(IF(AND(ISNUMBER('Semi Rev'!M131),ISNUMBER('Semi Rev'!L131)),'Semi Rev'!M131-'Semi Rev'!L131,""),"")</f>
        <v/>
      </c>
      <c r="J700" s="30">
        <f>IFERROR(IF(AND(ISNUMBER('Semi Rev'!N131),ISNUMBER('Semi Rev'!M131)),'Semi Rev'!N131-'Semi Rev'!M131,""),"")</f>
        <v/>
      </c>
      <c r="K700" s="30">
        <f>IFERROR(IF(AND(ISNUMBER('Semi Rev'!O131),ISNUMBER('Semi Rev'!N131)),'Semi Rev'!O131-'Semi Rev'!N131,""),"")</f>
        <v/>
      </c>
      <c r="L700" s="30">
        <f>IFERROR(IF(AND(ISNUMBER('Semi Rev'!P131),ISNUMBER('Semi Rev'!O131)),'Semi Rev'!P131-'Semi Rev'!O131,""),"")</f>
        <v/>
      </c>
      <c r="M700" s="31">
        <f>IFERROR(IF(AND(ISNUMBER('Semi Rev'!Q131),ISNUMBER('Semi Rev'!P131)),'Semi Rev'!Q131-'Semi Rev'!P131,""),"")</f>
        <v/>
      </c>
      <c r="N700" s="31">
        <f>IFERROR(IF(AND(ISNUMBER('Semi Rev'!R131),ISNUMBER('Semi Rev'!Q131)),'Semi Rev'!R131-'Semi Rev'!Q131,""),"")</f>
        <v/>
      </c>
    </row>
    <row r="701">
      <c r="A701" s="19">
        <f>'Semi Rev'!$A132</f>
        <v/>
      </c>
      <c r="B701" s="19">
        <f>'Semi Rev'!$B132</f>
        <v/>
      </c>
      <c r="C701" s="30">
        <f>IFERROR(IF(AND(ISNUMBER('Semi Rev'!G132),ISNUMBER('Semi Rev'!F132)),'Semi Rev'!G132-'Semi Rev'!F132,""),"")</f>
        <v/>
      </c>
      <c r="D701" s="30">
        <f>IFERROR(IF(AND(ISNUMBER('Semi Rev'!H132),ISNUMBER('Semi Rev'!G132)),'Semi Rev'!H132-'Semi Rev'!G132,""),"")</f>
        <v/>
      </c>
      <c r="E701" s="30">
        <f>IFERROR(IF(AND(ISNUMBER('Semi Rev'!I132),ISNUMBER('Semi Rev'!H132)),'Semi Rev'!I132-'Semi Rev'!H132,""),"")</f>
        <v/>
      </c>
      <c r="F701" s="30">
        <f>IFERROR(IF(AND(ISNUMBER('Semi Rev'!J132),ISNUMBER('Semi Rev'!I132)),'Semi Rev'!J132-'Semi Rev'!I132,""),"")</f>
        <v/>
      </c>
      <c r="G701" s="30">
        <f>IFERROR(IF(AND(ISNUMBER('Semi Rev'!K132),ISNUMBER('Semi Rev'!J132)),'Semi Rev'!K132-'Semi Rev'!J132,""),"")</f>
        <v/>
      </c>
      <c r="H701" s="30">
        <f>IFERROR(IF(AND(ISNUMBER('Semi Rev'!L132),ISNUMBER('Semi Rev'!K132)),'Semi Rev'!L132-'Semi Rev'!K132,""),"")</f>
        <v/>
      </c>
      <c r="I701" s="30">
        <f>IFERROR(IF(AND(ISNUMBER('Semi Rev'!M132),ISNUMBER('Semi Rev'!L132)),'Semi Rev'!M132-'Semi Rev'!L132,""),"")</f>
        <v/>
      </c>
      <c r="J701" s="30">
        <f>IFERROR(IF(AND(ISNUMBER('Semi Rev'!N132),ISNUMBER('Semi Rev'!M132)),'Semi Rev'!N132-'Semi Rev'!M132,""),"")</f>
        <v/>
      </c>
      <c r="K701" s="30">
        <f>IFERROR(IF(AND(ISNUMBER('Semi Rev'!O132),ISNUMBER('Semi Rev'!N132)),'Semi Rev'!O132-'Semi Rev'!N132,""),"")</f>
        <v/>
      </c>
      <c r="L701" s="30">
        <f>IFERROR(IF(AND(ISNUMBER('Semi Rev'!P132),ISNUMBER('Semi Rev'!O132)),'Semi Rev'!P132-'Semi Rev'!O132,""),"")</f>
        <v/>
      </c>
      <c r="M701" s="31">
        <f>IFERROR(IF(AND(ISNUMBER('Semi Rev'!Q132),ISNUMBER('Semi Rev'!P132)),'Semi Rev'!Q132-'Semi Rev'!P132,""),"")</f>
        <v/>
      </c>
      <c r="N701" s="31">
        <f>IFERROR(IF(AND(ISNUMBER('Semi Rev'!R132),ISNUMBER('Semi Rev'!Q132)),'Semi Rev'!R132-'Semi Rev'!Q132,""),"")</f>
        <v/>
      </c>
    </row>
    <row r="702">
      <c r="A702" s="19">
        <f>'Semi Rev'!$A133</f>
        <v/>
      </c>
      <c r="B702" s="19">
        <f>'Semi Rev'!$B133</f>
        <v/>
      </c>
      <c r="C702" s="30">
        <f>IFERROR(IF(AND(ISNUMBER('Semi Rev'!G133),ISNUMBER('Semi Rev'!F133)),'Semi Rev'!G133-'Semi Rev'!F133,""),"")</f>
        <v/>
      </c>
      <c r="D702" s="30">
        <f>IFERROR(IF(AND(ISNUMBER('Semi Rev'!H133),ISNUMBER('Semi Rev'!G133)),'Semi Rev'!H133-'Semi Rev'!G133,""),"")</f>
        <v/>
      </c>
      <c r="E702" s="30">
        <f>IFERROR(IF(AND(ISNUMBER('Semi Rev'!I133),ISNUMBER('Semi Rev'!H133)),'Semi Rev'!I133-'Semi Rev'!H133,""),"")</f>
        <v/>
      </c>
      <c r="F702" s="30">
        <f>IFERROR(IF(AND(ISNUMBER('Semi Rev'!J133),ISNUMBER('Semi Rev'!I133)),'Semi Rev'!J133-'Semi Rev'!I133,""),"")</f>
        <v/>
      </c>
      <c r="G702" s="30">
        <f>IFERROR(IF(AND(ISNUMBER('Semi Rev'!K133),ISNUMBER('Semi Rev'!J133)),'Semi Rev'!K133-'Semi Rev'!J133,""),"")</f>
        <v/>
      </c>
      <c r="H702" s="30">
        <f>IFERROR(IF(AND(ISNUMBER('Semi Rev'!L133),ISNUMBER('Semi Rev'!K133)),'Semi Rev'!L133-'Semi Rev'!K133,""),"")</f>
        <v/>
      </c>
      <c r="I702" s="30">
        <f>IFERROR(IF(AND(ISNUMBER('Semi Rev'!M133),ISNUMBER('Semi Rev'!L133)),'Semi Rev'!M133-'Semi Rev'!L133,""),"")</f>
        <v/>
      </c>
      <c r="J702" s="30">
        <f>IFERROR(IF(AND(ISNUMBER('Semi Rev'!N133),ISNUMBER('Semi Rev'!M133)),'Semi Rev'!N133-'Semi Rev'!M133,""),"")</f>
        <v/>
      </c>
      <c r="K702" s="30">
        <f>IFERROR(IF(AND(ISNUMBER('Semi Rev'!O133),ISNUMBER('Semi Rev'!N133)),'Semi Rev'!O133-'Semi Rev'!N133,""),"")</f>
        <v/>
      </c>
      <c r="L702" s="30">
        <f>IFERROR(IF(AND(ISNUMBER('Semi Rev'!P133),ISNUMBER('Semi Rev'!O133)),'Semi Rev'!P133-'Semi Rev'!O133,""),"")</f>
        <v/>
      </c>
      <c r="M702" s="31">
        <f>IFERROR(IF(AND(ISNUMBER('Semi Rev'!Q133),ISNUMBER('Semi Rev'!P133)),'Semi Rev'!Q133-'Semi Rev'!P133,""),"")</f>
        <v/>
      </c>
      <c r="N702" s="31">
        <f>IFERROR(IF(AND(ISNUMBER('Semi Rev'!R133),ISNUMBER('Semi Rev'!Q133)),'Semi Rev'!R133-'Semi Rev'!Q133,""),"")</f>
        <v/>
      </c>
    </row>
    <row r="703">
      <c r="A703" s="19">
        <f>'Semi Rev'!$A134</f>
        <v/>
      </c>
      <c r="B703" s="19">
        <f>'Semi Rev'!$B134</f>
        <v/>
      </c>
      <c r="C703" s="30">
        <f>IFERROR(IF(AND(ISNUMBER('Semi Rev'!G134),ISNUMBER('Semi Rev'!F134)),'Semi Rev'!G134-'Semi Rev'!F134,""),"")</f>
        <v/>
      </c>
      <c r="D703" s="30">
        <f>IFERROR(IF(AND(ISNUMBER('Semi Rev'!H134),ISNUMBER('Semi Rev'!G134)),'Semi Rev'!H134-'Semi Rev'!G134,""),"")</f>
        <v/>
      </c>
      <c r="E703" s="30">
        <f>IFERROR(IF(AND(ISNUMBER('Semi Rev'!I134),ISNUMBER('Semi Rev'!H134)),'Semi Rev'!I134-'Semi Rev'!H134,""),"")</f>
        <v/>
      </c>
      <c r="F703" s="30">
        <f>IFERROR(IF(AND(ISNUMBER('Semi Rev'!J134),ISNUMBER('Semi Rev'!I134)),'Semi Rev'!J134-'Semi Rev'!I134,""),"")</f>
        <v/>
      </c>
      <c r="G703" s="30">
        <f>IFERROR(IF(AND(ISNUMBER('Semi Rev'!K134),ISNUMBER('Semi Rev'!J134)),'Semi Rev'!K134-'Semi Rev'!J134,""),"")</f>
        <v/>
      </c>
      <c r="H703" s="30">
        <f>IFERROR(IF(AND(ISNUMBER('Semi Rev'!L134),ISNUMBER('Semi Rev'!K134)),'Semi Rev'!L134-'Semi Rev'!K134,""),"")</f>
        <v/>
      </c>
      <c r="I703" s="30">
        <f>IFERROR(IF(AND(ISNUMBER('Semi Rev'!M134),ISNUMBER('Semi Rev'!L134)),'Semi Rev'!M134-'Semi Rev'!L134,""),"")</f>
        <v/>
      </c>
      <c r="J703" s="30">
        <f>IFERROR(IF(AND(ISNUMBER('Semi Rev'!N134),ISNUMBER('Semi Rev'!M134)),'Semi Rev'!N134-'Semi Rev'!M134,""),"")</f>
        <v/>
      </c>
      <c r="K703" s="30">
        <f>IFERROR(IF(AND(ISNUMBER('Semi Rev'!O134),ISNUMBER('Semi Rev'!N134)),'Semi Rev'!O134-'Semi Rev'!N134,""),"")</f>
        <v/>
      </c>
      <c r="L703" s="30">
        <f>IFERROR(IF(AND(ISNUMBER('Semi Rev'!P134),ISNUMBER('Semi Rev'!O134)),'Semi Rev'!P134-'Semi Rev'!O134,""),"")</f>
        <v/>
      </c>
      <c r="M703" s="31">
        <f>IFERROR(IF(AND(ISNUMBER('Semi Rev'!Q134),ISNUMBER('Semi Rev'!P134)),'Semi Rev'!Q134-'Semi Rev'!P134,""),"")</f>
        <v/>
      </c>
      <c r="N703" s="31">
        <f>IFERROR(IF(AND(ISNUMBER('Semi Rev'!R134),ISNUMBER('Semi Rev'!Q134)),'Semi Rev'!R134-'Semi Rev'!Q134,""),"")</f>
        <v/>
      </c>
    </row>
    <row r="704">
      <c r="A704" s="19">
        <f>'Semi Rev'!$A135</f>
        <v/>
      </c>
      <c r="B704" s="19">
        <f>'Semi Rev'!$B135</f>
        <v/>
      </c>
      <c r="C704" s="30">
        <f>IFERROR(IF(AND(ISNUMBER('Semi Rev'!G135),ISNUMBER('Semi Rev'!F135)),'Semi Rev'!G135-'Semi Rev'!F135,""),"")</f>
        <v/>
      </c>
      <c r="D704" s="30">
        <f>IFERROR(IF(AND(ISNUMBER('Semi Rev'!H135),ISNUMBER('Semi Rev'!G135)),'Semi Rev'!H135-'Semi Rev'!G135,""),"")</f>
        <v/>
      </c>
      <c r="E704" s="30">
        <f>IFERROR(IF(AND(ISNUMBER('Semi Rev'!I135),ISNUMBER('Semi Rev'!H135)),'Semi Rev'!I135-'Semi Rev'!H135,""),"")</f>
        <v/>
      </c>
      <c r="F704" s="30">
        <f>IFERROR(IF(AND(ISNUMBER('Semi Rev'!J135),ISNUMBER('Semi Rev'!I135)),'Semi Rev'!J135-'Semi Rev'!I135,""),"")</f>
        <v/>
      </c>
      <c r="G704" s="30">
        <f>IFERROR(IF(AND(ISNUMBER('Semi Rev'!K135),ISNUMBER('Semi Rev'!J135)),'Semi Rev'!K135-'Semi Rev'!J135,""),"")</f>
        <v/>
      </c>
      <c r="H704" s="30">
        <f>IFERROR(IF(AND(ISNUMBER('Semi Rev'!L135),ISNUMBER('Semi Rev'!K135)),'Semi Rev'!L135-'Semi Rev'!K135,""),"")</f>
        <v/>
      </c>
      <c r="I704" s="30">
        <f>IFERROR(IF(AND(ISNUMBER('Semi Rev'!M135),ISNUMBER('Semi Rev'!L135)),'Semi Rev'!M135-'Semi Rev'!L135,""),"")</f>
        <v/>
      </c>
      <c r="J704" s="30">
        <f>IFERROR(IF(AND(ISNUMBER('Semi Rev'!N135),ISNUMBER('Semi Rev'!M135)),'Semi Rev'!N135-'Semi Rev'!M135,""),"")</f>
        <v/>
      </c>
      <c r="K704" s="30">
        <f>IFERROR(IF(AND(ISNUMBER('Semi Rev'!O135),ISNUMBER('Semi Rev'!N135)),'Semi Rev'!O135-'Semi Rev'!N135,""),"")</f>
        <v/>
      </c>
      <c r="L704" s="30">
        <f>IFERROR(IF(AND(ISNUMBER('Semi Rev'!P135),ISNUMBER('Semi Rev'!O135)),'Semi Rev'!P135-'Semi Rev'!O135,""),"")</f>
        <v/>
      </c>
      <c r="M704" s="31">
        <f>IFERROR(IF(AND(ISNUMBER('Semi Rev'!Q135),ISNUMBER('Semi Rev'!P135)),'Semi Rev'!Q135-'Semi Rev'!P135,""),"")</f>
        <v/>
      </c>
      <c r="N704" s="31">
        <f>IFERROR(IF(AND(ISNUMBER('Semi Rev'!R135),ISNUMBER('Semi Rev'!Q135)),'Semi Rev'!R135-'Semi Rev'!Q135,""),"")</f>
        <v/>
      </c>
    </row>
    <row r="705">
      <c r="A705" s="19">
        <f>'Semi Rev'!$A136</f>
        <v/>
      </c>
      <c r="B705" s="19">
        <f>'Semi Rev'!$B136</f>
        <v/>
      </c>
      <c r="C705" s="30">
        <f>IFERROR(IF(AND(ISNUMBER('Semi Rev'!G136),ISNUMBER('Semi Rev'!F136)),'Semi Rev'!G136-'Semi Rev'!F136,""),"")</f>
        <v/>
      </c>
      <c r="D705" s="30">
        <f>IFERROR(IF(AND(ISNUMBER('Semi Rev'!H136),ISNUMBER('Semi Rev'!G136)),'Semi Rev'!H136-'Semi Rev'!G136,""),"")</f>
        <v/>
      </c>
      <c r="E705" s="30">
        <f>IFERROR(IF(AND(ISNUMBER('Semi Rev'!I136),ISNUMBER('Semi Rev'!H136)),'Semi Rev'!I136-'Semi Rev'!H136,""),"")</f>
        <v/>
      </c>
      <c r="F705" s="30">
        <f>IFERROR(IF(AND(ISNUMBER('Semi Rev'!J136),ISNUMBER('Semi Rev'!I136)),'Semi Rev'!J136-'Semi Rev'!I136,""),"")</f>
        <v/>
      </c>
      <c r="G705" s="30">
        <f>IFERROR(IF(AND(ISNUMBER('Semi Rev'!K136),ISNUMBER('Semi Rev'!J136)),'Semi Rev'!K136-'Semi Rev'!J136,""),"")</f>
        <v/>
      </c>
      <c r="H705" s="30">
        <f>IFERROR(IF(AND(ISNUMBER('Semi Rev'!L136),ISNUMBER('Semi Rev'!K136)),'Semi Rev'!L136-'Semi Rev'!K136,""),"")</f>
        <v/>
      </c>
      <c r="I705" s="30">
        <f>IFERROR(IF(AND(ISNUMBER('Semi Rev'!M136),ISNUMBER('Semi Rev'!L136)),'Semi Rev'!M136-'Semi Rev'!L136,""),"")</f>
        <v/>
      </c>
      <c r="J705" s="30">
        <f>IFERROR(IF(AND(ISNUMBER('Semi Rev'!N136),ISNUMBER('Semi Rev'!M136)),'Semi Rev'!N136-'Semi Rev'!M136,""),"")</f>
        <v/>
      </c>
      <c r="K705" s="30">
        <f>IFERROR(IF(AND(ISNUMBER('Semi Rev'!O136),ISNUMBER('Semi Rev'!N136)),'Semi Rev'!O136-'Semi Rev'!N136,""),"")</f>
        <v/>
      </c>
      <c r="L705" s="30">
        <f>IFERROR(IF(AND(ISNUMBER('Semi Rev'!P136),ISNUMBER('Semi Rev'!O136)),'Semi Rev'!P136-'Semi Rev'!O136,""),"")</f>
        <v/>
      </c>
      <c r="M705" s="31">
        <f>IFERROR(IF(AND(ISNUMBER('Semi Rev'!Q136),ISNUMBER('Semi Rev'!P136)),'Semi Rev'!Q136-'Semi Rev'!P136,""),"")</f>
        <v/>
      </c>
      <c r="N705" s="31">
        <f>IFERROR(IF(AND(ISNUMBER('Semi Rev'!R136),ISNUMBER('Semi Rev'!Q136)),'Semi Rev'!R136-'Semi Rev'!Q136,""),"")</f>
        <v/>
      </c>
    </row>
    <row r="706">
      <c r="A706" s="19">
        <f>'Semi Rev'!$A137</f>
        <v/>
      </c>
      <c r="B706" s="19">
        <f>'Semi Rev'!$B137</f>
        <v/>
      </c>
      <c r="C706" s="30">
        <f>IFERROR(IF(AND(ISNUMBER('Semi Rev'!G137),ISNUMBER('Semi Rev'!F137)),'Semi Rev'!G137-'Semi Rev'!F137,""),"")</f>
        <v/>
      </c>
      <c r="D706" s="30">
        <f>IFERROR(IF(AND(ISNUMBER('Semi Rev'!H137),ISNUMBER('Semi Rev'!G137)),'Semi Rev'!H137-'Semi Rev'!G137,""),"")</f>
        <v/>
      </c>
      <c r="E706" s="30">
        <f>IFERROR(IF(AND(ISNUMBER('Semi Rev'!I137),ISNUMBER('Semi Rev'!H137)),'Semi Rev'!I137-'Semi Rev'!H137,""),"")</f>
        <v/>
      </c>
      <c r="F706" s="30">
        <f>IFERROR(IF(AND(ISNUMBER('Semi Rev'!J137),ISNUMBER('Semi Rev'!I137)),'Semi Rev'!J137-'Semi Rev'!I137,""),"")</f>
        <v/>
      </c>
      <c r="G706" s="30">
        <f>IFERROR(IF(AND(ISNUMBER('Semi Rev'!K137),ISNUMBER('Semi Rev'!J137)),'Semi Rev'!K137-'Semi Rev'!J137,""),"")</f>
        <v/>
      </c>
      <c r="H706" s="30">
        <f>IFERROR(IF(AND(ISNUMBER('Semi Rev'!L137),ISNUMBER('Semi Rev'!K137)),'Semi Rev'!L137-'Semi Rev'!K137,""),"")</f>
        <v/>
      </c>
      <c r="I706" s="30">
        <f>IFERROR(IF(AND(ISNUMBER('Semi Rev'!M137),ISNUMBER('Semi Rev'!L137)),'Semi Rev'!M137-'Semi Rev'!L137,""),"")</f>
        <v/>
      </c>
      <c r="J706" s="30">
        <f>IFERROR(IF(AND(ISNUMBER('Semi Rev'!N137),ISNUMBER('Semi Rev'!M137)),'Semi Rev'!N137-'Semi Rev'!M137,""),"")</f>
        <v/>
      </c>
      <c r="K706" s="30">
        <f>IFERROR(IF(AND(ISNUMBER('Semi Rev'!O137),ISNUMBER('Semi Rev'!N137)),'Semi Rev'!O137-'Semi Rev'!N137,""),"")</f>
        <v/>
      </c>
      <c r="L706" s="30">
        <f>IFERROR(IF(AND(ISNUMBER('Semi Rev'!P137),ISNUMBER('Semi Rev'!O137)),'Semi Rev'!P137-'Semi Rev'!O137,""),"")</f>
        <v/>
      </c>
      <c r="M706" s="31">
        <f>IFERROR(IF(AND(ISNUMBER('Semi Rev'!Q137),ISNUMBER('Semi Rev'!P137)),'Semi Rev'!Q137-'Semi Rev'!P137,""),"")</f>
        <v/>
      </c>
      <c r="N706" s="31">
        <f>IFERROR(IF(AND(ISNUMBER('Semi Rev'!R137),ISNUMBER('Semi Rev'!Q137)),'Semi Rev'!R137-'Semi Rev'!Q137,""),"")</f>
        <v/>
      </c>
    </row>
    <row r="707">
      <c r="A707" s="19">
        <f>'Semi Rev'!$A138</f>
        <v/>
      </c>
      <c r="B707" s="19">
        <f>'Semi Rev'!$B138</f>
        <v/>
      </c>
      <c r="C707" s="30">
        <f>IFERROR(IF(AND(ISNUMBER('Semi Rev'!G138),ISNUMBER('Semi Rev'!F138)),'Semi Rev'!G138-'Semi Rev'!F138,""),"")</f>
        <v/>
      </c>
      <c r="D707" s="30">
        <f>IFERROR(IF(AND(ISNUMBER('Semi Rev'!H138),ISNUMBER('Semi Rev'!G138)),'Semi Rev'!H138-'Semi Rev'!G138,""),"")</f>
        <v/>
      </c>
      <c r="E707" s="30">
        <f>IFERROR(IF(AND(ISNUMBER('Semi Rev'!I138),ISNUMBER('Semi Rev'!H138)),'Semi Rev'!I138-'Semi Rev'!H138,""),"")</f>
        <v/>
      </c>
      <c r="F707" s="30">
        <f>IFERROR(IF(AND(ISNUMBER('Semi Rev'!J138),ISNUMBER('Semi Rev'!I138)),'Semi Rev'!J138-'Semi Rev'!I138,""),"")</f>
        <v/>
      </c>
      <c r="G707" s="30">
        <f>IFERROR(IF(AND(ISNUMBER('Semi Rev'!K138),ISNUMBER('Semi Rev'!J138)),'Semi Rev'!K138-'Semi Rev'!J138,""),"")</f>
        <v/>
      </c>
      <c r="H707" s="30">
        <f>IFERROR(IF(AND(ISNUMBER('Semi Rev'!L138),ISNUMBER('Semi Rev'!K138)),'Semi Rev'!L138-'Semi Rev'!K138,""),"")</f>
        <v/>
      </c>
      <c r="I707" s="30">
        <f>IFERROR(IF(AND(ISNUMBER('Semi Rev'!M138),ISNUMBER('Semi Rev'!L138)),'Semi Rev'!M138-'Semi Rev'!L138,""),"")</f>
        <v/>
      </c>
      <c r="J707" s="30">
        <f>IFERROR(IF(AND(ISNUMBER('Semi Rev'!N138),ISNUMBER('Semi Rev'!M138)),'Semi Rev'!N138-'Semi Rev'!M138,""),"")</f>
        <v/>
      </c>
      <c r="K707" s="30">
        <f>IFERROR(IF(AND(ISNUMBER('Semi Rev'!O138),ISNUMBER('Semi Rev'!N138)),'Semi Rev'!O138-'Semi Rev'!N138,""),"")</f>
        <v/>
      </c>
      <c r="L707" s="30">
        <f>IFERROR(IF(AND(ISNUMBER('Semi Rev'!P138),ISNUMBER('Semi Rev'!O138)),'Semi Rev'!P138-'Semi Rev'!O138,""),"")</f>
        <v/>
      </c>
      <c r="M707" s="31">
        <f>IFERROR(IF(AND(ISNUMBER('Semi Rev'!Q138),ISNUMBER('Semi Rev'!P138)),'Semi Rev'!Q138-'Semi Rev'!P138,""),"")</f>
        <v/>
      </c>
      <c r="N707" s="31">
        <f>IFERROR(IF(AND(ISNUMBER('Semi Rev'!R138),ISNUMBER('Semi Rev'!Q138)),'Semi Rev'!R138-'Semi Rev'!Q138,""),"")</f>
        <v/>
      </c>
    </row>
    <row r="708">
      <c r="A708" s="19">
        <f>'Semi Rev'!$A139</f>
        <v/>
      </c>
      <c r="B708" s="19">
        <f>'Semi Rev'!$B139</f>
        <v/>
      </c>
      <c r="C708" s="30">
        <f>IFERROR(IF(AND(ISNUMBER('Semi Rev'!G139),ISNUMBER('Semi Rev'!F139)),'Semi Rev'!G139-'Semi Rev'!F139,""),"")</f>
        <v/>
      </c>
      <c r="D708" s="30">
        <f>IFERROR(IF(AND(ISNUMBER('Semi Rev'!H139),ISNUMBER('Semi Rev'!G139)),'Semi Rev'!H139-'Semi Rev'!G139,""),"")</f>
        <v/>
      </c>
      <c r="E708" s="30">
        <f>IFERROR(IF(AND(ISNUMBER('Semi Rev'!I139),ISNUMBER('Semi Rev'!H139)),'Semi Rev'!I139-'Semi Rev'!H139,""),"")</f>
        <v/>
      </c>
      <c r="F708" s="30">
        <f>IFERROR(IF(AND(ISNUMBER('Semi Rev'!J139),ISNUMBER('Semi Rev'!I139)),'Semi Rev'!J139-'Semi Rev'!I139,""),"")</f>
        <v/>
      </c>
      <c r="G708" s="30">
        <f>IFERROR(IF(AND(ISNUMBER('Semi Rev'!K139),ISNUMBER('Semi Rev'!J139)),'Semi Rev'!K139-'Semi Rev'!J139,""),"")</f>
        <v/>
      </c>
      <c r="H708" s="30">
        <f>IFERROR(IF(AND(ISNUMBER('Semi Rev'!L139),ISNUMBER('Semi Rev'!K139)),'Semi Rev'!L139-'Semi Rev'!K139,""),"")</f>
        <v/>
      </c>
      <c r="I708" s="30">
        <f>IFERROR(IF(AND(ISNUMBER('Semi Rev'!M139),ISNUMBER('Semi Rev'!L139)),'Semi Rev'!M139-'Semi Rev'!L139,""),"")</f>
        <v/>
      </c>
      <c r="J708" s="30">
        <f>IFERROR(IF(AND(ISNUMBER('Semi Rev'!N139),ISNUMBER('Semi Rev'!M139)),'Semi Rev'!N139-'Semi Rev'!M139,""),"")</f>
        <v/>
      </c>
      <c r="K708" s="30">
        <f>IFERROR(IF(AND(ISNUMBER('Semi Rev'!O139),ISNUMBER('Semi Rev'!N139)),'Semi Rev'!O139-'Semi Rev'!N139,""),"")</f>
        <v/>
      </c>
      <c r="L708" s="30">
        <f>IFERROR(IF(AND(ISNUMBER('Semi Rev'!P139),ISNUMBER('Semi Rev'!O139)),'Semi Rev'!P139-'Semi Rev'!O139,""),"")</f>
        <v/>
      </c>
      <c r="M708" s="31">
        <f>IFERROR(IF(AND(ISNUMBER('Semi Rev'!Q139),ISNUMBER('Semi Rev'!P139)),'Semi Rev'!Q139-'Semi Rev'!P139,""),"")</f>
        <v/>
      </c>
      <c r="N708" s="31">
        <f>IFERROR(IF(AND(ISNUMBER('Semi Rev'!R139),ISNUMBER('Semi Rev'!Q139)),'Semi Rev'!R139-'Semi Rev'!Q139,""),"")</f>
        <v/>
      </c>
    </row>
    <row r="709">
      <c r="A709" s="19">
        <f>'Semi Rev'!$A140</f>
        <v/>
      </c>
      <c r="B709" s="19">
        <f>'Semi Rev'!$B140</f>
        <v/>
      </c>
      <c r="C709" s="30">
        <f>IFERROR(IF(AND(ISNUMBER('Semi Rev'!G140),ISNUMBER('Semi Rev'!F140)),'Semi Rev'!G140-'Semi Rev'!F140,""),"")</f>
        <v/>
      </c>
      <c r="D709" s="30">
        <f>IFERROR(IF(AND(ISNUMBER('Semi Rev'!H140),ISNUMBER('Semi Rev'!G140)),'Semi Rev'!H140-'Semi Rev'!G140,""),"")</f>
        <v/>
      </c>
      <c r="E709" s="30">
        <f>IFERROR(IF(AND(ISNUMBER('Semi Rev'!I140),ISNUMBER('Semi Rev'!H140)),'Semi Rev'!I140-'Semi Rev'!H140,""),"")</f>
        <v/>
      </c>
      <c r="F709" s="30">
        <f>IFERROR(IF(AND(ISNUMBER('Semi Rev'!J140),ISNUMBER('Semi Rev'!I140)),'Semi Rev'!J140-'Semi Rev'!I140,""),"")</f>
        <v/>
      </c>
      <c r="G709" s="30">
        <f>IFERROR(IF(AND(ISNUMBER('Semi Rev'!K140),ISNUMBER('Semi Rev'!J140)),'Semi Rev'!K140-'Semi Rev'!J140,""),"")</f>
        <v/>
      </c>
      <c r="H709" s="30">
        <f>IFERROR(IF(AND(ISNUMBER('Semi Rev'!L140),ISNUMBER('Semi Rev'!K140)),'Semi Rev'!L140-'Semi Rev'!K140,""),"")</f>
        <v/>
      </c>
      <c r="I709" s="30">
        <f>IFERROR(IF(AND(ISNUMBER('Semi Rev'!M140),ISNUMBER('Semi Rev'!L140)),'Semi Rev'!M140-'Semi Rev'!L140,""),"")</f>
        <v/>
      </c>
      <c r="J709" s="30">
        <f>IFERROR(IF(AND(ISNUMBER('Semi Rev'!N140),ISNUMBER('Semi Rev'!M140)),'Semi Rev'!N140-'Semi Rev'!M140,""),"")</f>
        <v/>
      </c>
      <c r="K709" s="30">
        <f>IFERROR(IF(AND(ISNUMBER('Semi Rev'!O140),ISNUMBER('Semi Rev'!N140)),'Semi Rev'!O140-'Semi Rev'!N140,""),"")</f>
        <v/>
      </c>
      <c r="L709" s="30">
        <f>IFERROR(IF(AND(ISNUMBER('Semi Rev'!P140),ISNUMBER('Semi Rev'!O140)),'Semi Rev'!P140-'Semi Rev'!O140,""),"")</f>
        <v/>
      </c>
      <c r="M709" s="31">
        <f>IFERROR(IF(AND(ISNUMBER('Semi Rev'!Q140),ISNUMBER('Semi Rev'!P140)),'Semi Rev'!Q140-'Semi Rev'!P140,""),"")</f>
        <v/>
      </c>
      <c r="N709" s="31">
        <f>IFERROR(IF(AND(ISNUMBER('Semi Rev'!R140),ISNUMBER('Semi Rev'!Q140)),'Semi Rev'!R140-'Semi Rev'!Q140,""),"")</f>
        <v/>
      </c>
    </row>
    <row r="710">
      <c r="A710" s="19">
        <f>'Semi Rev'!$A141</f>
        <v/>
      </c>
      <c r="B710" s="19">
        <f>'Semi Rev'!$B141</f>
        <v/>
      </c>
      <c r="C710" s="30">
        <f>IFERROR(IF(AND(ISNUMBER('Semi Rev'!G141),ISNUMBER('Semi Rev'!F141)),'Semi Rev'!G141-'Semi Rev'!F141,""),"")</f>
        <v/>
      </c>
      <c r="D710" s="30">
        <f>IFERROR(IF(AND(ISNUMBER('Semi Rev'!H141),ISNUMBER('Semi Rev'!G141)),'Semi Rev'!H141-'Semi Rev'!G141,""),"")</f>
        <v/>
      </c>
      <c r="E710" s="30">
        <f>IFERROR(IF(AND(ISNUMBER('Semi Rev'!I141),ISNUMBER('Semi Rev'!H141)),'Semi Rev'!I141-'Semi Rev'!H141,""),"")</f>
        <v/>
      </c>
      <c r="F710" s="30">
        <f>IFERROR(IF(AND(ISNUMBER('Semi Rev'!J141),ISNUMBER('Semi Rev'!I141)),'Semi Rev'!J141-'Semi Rev'!I141,""),"")</f>
        <v/>
      </c>
      <c r="G710" s="30">
        <f>IFERROR(IF(AND(ISNUMBER('Semi Rev'!K141),ISNUMBER('Semi Rev'!J141)),'Semi Rev'!K141-'Semi Rev'!J141,""),"")</f>
        <v/>
      </c>
      <c r="H710" s="30">
        <f>IFERROR(IF(AND(ISNUMBER('Semi Rev'!L141),ISNUMBER('Semi Rev'!K141)),'Semi Rev'!L141-'Semi Rev'!K141,""),"")</f>
        <v/>
      </c>
      <c r="I710" s="30">
        <f>IFERROR(IF(AND(ISNUMBER('Semi Rev'!M141),ISNUMBER('Semi Rev'!L141)),'Semi Rev'!M141-'Semi Rev'!L141,""),"")</f>
        <v/>
      </c>
      <c r="J710" s="30">
        <f>IFERROR(IF(AND(ISNUMBER('Semi Rev'!N141),ISNUMBER('Semi Rev'!M141)),'Semi Rev'!N141-'Semi Rev'!M141,""),"")</f>
        <v/>
      </c>
      <c r="K710" s="30">
        <f>IFERROR(IF(AND(ISNUMBER('Semi Rev'!O141),ISNUMBER('Semi Rev'!N141)),'Semi Rev'!O141-'Semi Rev'!N141,""),"")</f>
        <v/>
      </c>
      <c r="L710" s="30">
        <f>IFERROR(IF(AND(ISNUMBER('Semi Rev'!P141),ISNUMBER('Semi Rev'!O141)),'Semi Rev'!P141-'Semi Rev'!O141,""),"")</f>
        <v/>
      </c>
      <c r="M710" s="31">
        <f>IFERROR(IF(AND(ISNUMBER('Semi Rev'!Q141),ISNUMBER('Semi Rev'!P141)),'Semi Rev'!Q141-'Semi Rev'!P141,""),"")</f>
        <v/>
      </c>
      <c r="N710" s="31">
        <f>IFERROR(IF(AND(ISNUMBER('Semi Rev'!R141),ISNUMBER('Semi Rev'!Q141)),'Semi Rev'!R141-'Semi Rev'!Q141,""),"")</f>
        <v/>
      </c>
    </row>
    <row r="711">
      <c r="A711" s="19">
        <f>'Semi Rev'!$A142</f>
        <v/>
      </c>
      <c r="B711" s="19">
        <f>'Semi Rev'!$B142</f>
        <v/>
      </c>
      <c r="C711" s="30">
        <f>IFERROR(IF(AND(ISNUMBER('Semi Rev'!G142),ISNUMBER('Semi Rev'!F142)),'Semi Rev'!G142-'Semi Rev'!F142,""),"")</f>
        <v/>
      </c>
      <c r="D711" s="30">
        <f>IFERROR(IF(AND(ISNUMBER('Semi Rev'!H142),ISNUMBER('Semi Rev'!G142)),'Semi Rev'!H142-'Semi Rev'!G142,""),"")</f>
        <v/>
      </c>
      <c r="E711" s="30">
        <f>IFERROR(IF(AND(ISNUMBER('Semi Rev'!I142),ISNUMBER('Semi Rev'!H142)),'Semi Rev'!I142-'Semi Rev'!H142,""),"")</f>
        <v/>
      </c>
      <c r="F711" s="30">
        <f>IFERROR(IF(AND(ISNUMBER('Semi Rev'!J142),ISNUMBER('Semi Rev'!I142)),'Semi Rev'!J142-'Semi Rev'!I142,""),"")</f>
        <v/>
      </c>
      <c r="G711" s="30">
        <f>IFERROR(IF(AND(ISNUMBER('Semi Rev'!K142),ISNUMBER('Semi Rev'!J142)),'Semi Rev'!K142-'Semi Rev'!J142,""),"")</f>
        <v/>
      </c>
      <c r="H711" s="30">
        <f>IFERROR(IF(AND(ISNUMBER('Semi Rev'!L142),ISNUMBER('Semi Rev'!K142)),'Semi Rev'!L142-'Semi Rev'!K142,""),"")</f>
        <v/>
      </c>
      <c r="I711" s="30">
        <f>IFERROR(IF(AND(ISNUMBER('Semi Rev'!M142),ISNUMBER('Semi Rev'!L142)),'Semi Rev'!M142-'Semi Rev'!L142,""),"")</f>
        <v/>
      </c>
      <c r="J711" s="30">
        <f>IFERROR(IF(AND(ISNUMBER('Semi Rev'!N142),ISNUMBER('Semi Rev'!M142)),'Semi Rev'!N142-'Semi Rev'!M142,""),"")</f>
        <v/>
      </c>
      <c r="K711" s="30">
        <f>IFERROR(IF(AND(ISNUMBER('Semi Rev'!O142),ISNUMBER('Semi Rev'!N142)),'Semi Rev'!O142-'Semi Rev'!N142,""),"")</f>
        <v/>
      </c>
      <c r="L711" s="30">
        <f>IFERROR(IF(AND(ISNUMBER('Semi Rev'!P142),ISNUMBER('Semi Rev'!O142)),'Semi Rev'!P142-'Semi Rev'!O142,""),"")</f>
        <v/>
      </c>
      <c r="M711" s="31">
        <f>IFERROR(IF(AND(ISNUMBER('Semi Rev'!Q142),ISNUMBER('Semi Rev'!P142)),'Semi Rev'!Q142-'Semi Rev'!P142,""),"")</f>
        <v/>
      </c>
      <c r="N711" s="31">
        <f>IFERROR(IF(AND(ISNUMBER('Semi Rev'!R142),ISNUMBER('Semi Rev'!Q142)),'Semi Rev'!R142-'Semi Rev'!Q142,""),"")</f>
        <v/>
      </c>
    </row>
    <row r="712">
      <c r="A712" s="19">
        <f>'Semi Rev'!$A143</f>
        <v/>
      </c>
      <c r="B712" s="19">
        <f>'Semi Rev'!$B143</f>
        <v/>
      </c>
      <c r="C712" s="30">
        <f>IFERROR(IF(AND(ISNUMBER('Semi Rev'!G143),ISNUMBER('Semi Rev'!F143)),'Semi Rev'!G143-'Semi Rev'!F143,""),"")</f>
        <v/>
      </c>
      <c r="D712" s="30">
        <f>IFERROR(IF(AND(ISNUMBER('Semi Rev'!H143),ISNUMBER('Semi Rev'!G143)),'Semi Rev'!H143-'Semi Rev'!G143,""),"")</f>
        <v/>
      </c>
      <c r="E712" s="30">
        <f>IFERROR(IF(AND(ISNUMBER('Semi Rev'!I143),ISNUMBER('Semi Rev'!H143)),'Semi Rev'!I143-'Semi Rev'!H143,""),"")</f>
        <v/>
      </c>
      <c r="F712" s="30">
        <f>IFERROR(IF(AND(ISNUMBER('Semi Rev'!J143),ISNUMBER('Semi Rev'!I143)),'Semi Rev'!J143-'Semi Rev'!I143,""),"")</f>
        <v/>
      </c>
      <c r="G712" s="30">
        <f>IFERROR(IF(AND(ISNUMBER('Semi Rev'!K143),ISNUMBER('Semi Rev'!J143)),'Semi Rev'!K143-'Semi Rev'!J143,""),"")</f>
        <v/>
      </c>
      <c r="H712" s="30">
        <f>IFERROR(IF(AND(ISNUMBER('Semi Rev'!L143),ISNUMBER('Semi Rev'!K143)),'Semi Rev'!L143-'Semi Rev'!K143,""),"")</f>
        <v/>
      </c>
      <c r="I712" s="30">
        <f>IFERROR(IF(AND(ISNUMBER('Semi Rev'!M143),ISNUMBER('Semi Rev'!L143)),'Semi Rev'!M143-'Semi Rev'!L143,""),"")</f>
        <v/>
      </c>
      <c r="J712" s="30">
        <f>IFERROR(IF(AND(ISNUMBER('Semi Rev'!N143),ISNUMBER('Semi Rev'!M143)),'Semi Rev'!N143-'Semi Rev'!M143,""),"")</f>
        <v/>
      </c>
      <c r="K712" s="30">
        <f>IFERROR(IF(AND(ISNUMBER('Semi Rev'!O143),ISNUMBER('Semi Rev'!N143)),'Semi Rev'!O143-'Semi Rev'!N143,""),"")</f>
        <v/>
      </c>
      <c r="L712" s="30">
        <f>IFERROR(IF(AND(ISNUMBER('Semi Rev'!P143),ISNUMBER('Semi Rev'!O143)),'Semi Rev'!P143-'Semi Rev'!O143,""),"")</f>
        <v/>
      </c>
      <c r="M712" s="31">
        <f>IFERROR(IF(AND(ISNUMBER('Semi Rev'!Q143),ISNUMBER('Semi Rev'!P143)),'Semi Rev'!Q143-'Semi Rev'!P143,""),"")</f>
        <v/>
      </c>
      <c r="N712" s="31">
        <f>IFERROR(IF(AND(ISNUMBER('Semi Rev'!R143),ISNUMBER('Semi Rev'!Q143)),'Semi Rev'!R143-'Semi Rev'!Q143,""),"")</f>
        <v/>
      </c>
    </row>
    <row r="714">
      <c r="A714" s="49" t="inlineStr">
        <is>
          <t>Adj. operating margin %</t>
        </is>
      </c>
      <c r="B714" s="50" t="n"/>
      <c r="C714" s="50" t="n"/>
      <c r="D714" s="50" t="n"/>
      <c r="E714" s="50" t="n"/>
      <c r="F714" s="50" t="n"/>
      <c r="G714" s="50" t="n"/>
      <c r="H714" s="50" t="n"/>
      <c r="I714" s="50" t="n"/>
      <c r="J714" s="50" t="n"/>
      <c r="K714" s="50" t="n"/>
      <c r="L714" s="50" t="n"/>
      <c r="M714" s="50" t="n"/>
      <c r="N714" s="50" t="n"/>
    </row>
    <row r="715" ht="28" customHeight="1">
      <c r="A715" s="8" t="inlineStr">
        <is>
          <t>Ticker</t>
        </is>
      </c>
      <c r="B715" s="8" t="inlineStr">
        <is>
          <t>Latest Rpt Qtr</t>
        </is>
      </c>
      <c r="C715" s="8" t="inlineStr">
        <is>
          <t>FPO -9</t>
        </is>
      </c>
      <c r="D715" s="8" t="inlineStr">
        <is>
          <t>FPO -8</t>
        </is>
      </c>
      <c r="E715" s="8" t="inlineStr">
        <is>
          <t>FPO -7</t>
        </is>
      </c>
      <c r="F715" s="8" t="inlineStr">
        <is>
          <t>FPO -6</t>
        </is>
      </c>
      <c r="G715" s="8" t="inlineStr">
        <is>
          <t>FPO -5</t>
        </is>
      </c>
      <c r="H715" s="8" t="inlineStr">
        <is>
          <t>FPO -4</t>
        </is>
      </c>
      <c r="I715" s="8" t="inlineStr">
        <is>
          <t>FPO -3</t>
        </is>
      </c>
      <c r="J715" s="8" t="inlineStr">
        <is>
          <t>FPO -2</t>
        </is>
      </c>
      <c r="K715" s="8" t="inlineStr">
        <is>
          <t>FPO -1</t>
        </is>
      </c>
      <c r="L715" s="8" t="inlineStr">
        <is>
          <t>FPO 0 (latest rpt)</t>
        </is>
      </c>
      <c r="M715" s="8" t="inlineStr">
        <is>
          <t>FPO +1E</t>
        </is>
      </c>
      <c r="N715" s="8" t="inlineStr">
        <is>
          <t>FPO +2E</t>
        </is>
      </c>
    </row>
    <row r="716">
      <c r="A716" s="19">
        <f>'Semi Rev'!$A5</f>
        <v/>
      </c>
      <c r="B716" s="19">
        <f>'Semi Rev'!$B5</f>
        <v/>
      </c>
      <c r="C716" s="37">
        <f>IFERROR(IF(AND(ISNUMBER('Semi OpInc'!G5),ISNUMBER('Semi Rev'!G5),'Semi Rev'!G5&gt;0),'Semi OpInc'!G5/'Semi Rev'!G5,""),"")</f>
        <v/>
      </c>
      <c r="D716" s="37">
        <f>IFERROR(IF(AND(ISNUMBER('Semi OpInc'!H5),ISNUMBER('Semi Rev'!H5),'Semi Rev'!H5&gt;0),'Semi OpInc'!H5/'Semi Rev'!H5,""),"")</f>
        <v/>
      </c>
      <c r="E716" s="37">
        <f>IFERROR(IF(AND(ISNUMBER('Semi OpInc'!I5),ISNUMBER('Semi Rev'!I5),'Semi Rev'!I5&gt;0),'Semi OpInc'!I5/'Semi Rev'!I5,""),"")</f>
        <v/>
      </c>
      <c r="F716" s="37">
        <f>IFERROR(IF(AND(ISNUMBER('Semi OpInc'!J5),ISNUMBER('Semi Rev'!J5),'Semi Rev'!J5&gt;0),'Semi OpInc'!J5/'Semi Rev'!J5,""),"")</f>
        <v/>
      </c>
      <c r="G716" s="37">
        <f>IFERROR(IF(AND(ISNUMBER('Semi OpInc'!K5),ISNUMBER('Semi Rev'!K5),'Semi Rev'!K5&gt;0),'Semi OpInc'!K5/'Semi Rev'!K5,""),"")</f>
        <v/>
      </c>
      <c r="H716" s="37">
        <f>IFERROR(IF(AND(ISNUMBER('Semi OpInc'!L5),ISNUMBER('Semi Rev'!L5),'Semi Rev'!L5&gt;0),'Semi OpInc'!L5/'Semi Rev'!L5,""),"")</f>
        <v/>
      </c>
      <c r="I716" s="37">
        <f>IFERROR(IF(AND(ISNUMBER('Semi OpInc'!M5),ISNUMBER('Semi Rev'!M5),'Semi Rev'!M5&gt;0),'Semi OpInc'!M5/'Semi Rev'!M5,""),"")</f>
        <v/>
      </c>
      <c r="J716" s="37">
        <f>IFERROR(IF(AND(ISNUMBER('Semi OpInc'!N5),ISNUMBER('Semi Rev'!N5),'Semi Rev'!N5&gt;0),'Semi OpInc'!N5/'Semi Rev'!N5,""),"")</f>
        <v/>
      </c>
      <c r="K716" s="37">
        <f>IFERROR(IF(AND(ISNUMBER('Semi OpInc'!O5),ISNUMBER('Semi Rev'!O5),'Semi Rev'!O5&gt;0),'Semi OpInc'!O5/'Semi Rev'!O5,""),"")</f>
        <v/>
      </c>
      <c r="L716" s="37">
        <f>IFERROR(IF(AND(ISNUMBER('Semi OpInc'!P5),ISNUMBER('Semi Rev'!P5),'Semi Rev'!P5&gt;0),'Semi OpInc'!P5/'Semi Rev'!P5,""),"")</f>
        <v/>
      </c>
      <c r="M716" s="38">
        <f>IFERROR(IF(AND(ISNUMBER('Semi OpInc'!Q5),ISNUMBER('Semi Rev'!Q5),'Semi Rev'!Q5&gt;0),'Semi OpInc'!Q5/'Semi Rev'!Q5,""),"")</f>
        <v/>
      </c>
      <c r="N716" s="38">
        <f>IFERROR(IF(AND(ISNUMBER('Semi OpInc'!R5),ISNUMBER('Semi Rev'!R5),'Semi Rev'!R5&gt;0),'Semi OpInc'!R5/'Semi Rev'!R5,""),"")</f>
        <v/>
      </c>
    </row>
    <row r="717">
      <c r="A717" s="19">
        <f>'Semi Rev'!$A6</f>
        <v/>
      </c>
      <c r="B717" s="19">
        <f>'Semi Rev'!$B6</f>
        <v/>
      </c>
      <c r="C717" s="37">
        <f>IFERROR(IF(AND(ISNUMBER('Semi OpInc'!G6),ISNUMBER('Semi Rev'!G6),'Semi Rev'!G6&gt;0),'Semi OpInc'!G6/'Semi Rev'!G6,""),"")</f>
        <v/>
      </c>
      <c r="D717" s="37">
        <f>IFERROR(IF(AND(ISNUMBER('Semi OpInc'!H6),ISNUMBER('Semi Rev'!H6),'Semi Rev'!H6&gt;0),'Semi OpInc'!H6/'Semi Rev'!H6,""),"")</f>
        <v/>
      </c>
      <c r="E717" s="37">
        <f>IFERROR(IF(AND(ISNUMBER('Semi OpInc'!I6),ISNUMBER('Semi Rev'!I6),'Semi Rev'!I6&gt;0),'Semi OpInc'!I6/'Semi Rev'!I6,""),"")</f>
        <v/>
      </c>
      <c r="F717" s="37">
        <f>IFERROR(IF(AND(ISNUMBER('Semi OpInc'!J6),ISNUMBER('Semi Rev'!J6),'Semi Rev'!J6&gt;0),'Semi OpInc'!J6/'Semi Rev'!J6,""),"")</f>
        <v/>
      </c>
      <c r="G717" s="37">
        <f>IFERROR(IF(AND(ISNUMBER('Semi OpInc'!K6),ISNUMBER('Semi Rev'!K6),'Semi Rev'!K6&gt;0),'Semi OpInc'!K6/'Semi Rev'!K6,""),"")</f>
        <v/>
      </c>
      <c r="H717" s="37">
        <f>IFERROR(IF(AND(ISNUMBER('Semi OpInc'!L6),ISNUMBER('Semi Rev'!L6),'Semi Rev'!L6&gt;0),'Semi OpInc'!L6/'Semi Rev'!L6,""),"")</f>
        <v/>
      </c>
      <c r="I717" s="37">
        <f>IFERROR(IF(AND(ISNUMBER('Semi OpInc'!M6),ISNUMBER('Semi Rev'!M6),'Semi Rev'!M6&gt;0),'Semi OpInc'!M6/'Semi Rev'!M6,""),"")</f>
        <v/>
      </c>
      <c r="J717" s="37">
        <f>IFERROR(IF(AND(ISNUMBER('Semi OpInc'!N6),ISNUMBER('Semi Rev'!N6),'Semi Rev'!N6&gt;0),'Semi OpInc'!N6/'Semi Rev'!N6,""),"")</f>
        <v/>
      </c>
      <c r="K717" s="37">
        <f>IFERROR(IF(AND(ISNUMBER('Semi OpInc'!O6),ISNUMBER('Semi Rev'!O6),'Semi Rev'!O6&gt;0),'Semi OpInc'!O6/'Semi Rev'!O6,""),"")</f>
        <v/>
      </c>
      <c r="L717" s="37">
        <f>IFERROR(IF(AND(ISNUMBER('Semi OpInc'!P6),ISNUMBER('Semi Rev'!P6),'Semi Rev'!P6&gt;0),'Semi OpInc'!P6/'Semi Rev'!P6,""),"")</f>
        <v/>
      </c>
      <c r="M717" s="38">
        <f>IFERROR(IF(AND(ISNUMBER('Semi OpInc'!Q6),ISNUMBER('Semi Rev'!Q6),'Semi Rev'!Q6&gt;0),'Semi OpInc'!Q6/'Semi Rev'!Q6,""),"")</f>
        <v/>
      </c>
      <c r="N717" s="38">
        <f>IFERROR(IF(AND(ISNUMBER('Semi OpInc'!R6),ISNUMBER('Semi Rev'!R6),'Semi Rev'!R6&gt;0),'Semi OpInc'!R6/'Semi Rev'!R6,""),"")</f>
        <v/>
      </c>
    </row>
    <row r="718">
      <c r="A718" s="19">
        <f>'Semi Rev'!$A7</f>
        <v/>
      </c>
      <c r="B718" s="19">
        <f>'Semi Rev'!$B7</f>
        <v/>
      </c>
      <c r="C718" s="37">
        <f>IFERROR(IF(AND(ISNUMBER('Semi OpInc'!G7),ISNUMBER('Semi Rev'!G7),'Semi Rev'!G7&gt;0),'Semi OpInc'!G7/'Semi Rev'!G7,""),"")</f>
        <v/>
      </c>
      <c r="D718" s="37">
        <f>IFERROR(IF(AND(ISNUMBER('Semi OpInc'!H7),ISNUMBER('Semi Rev'!H7),'Semi Rev'!H7&gt;0),'Semi OpInc'!H7/'Semi Rev'!H7,""),"")</f>
        <v/>
      </c>
      <c r="E718" s="37">
        <f>IFERROR(IF(AND(ISNUMBER('Semi OpInc'!I7),ISNUMBER('Semi Rev'!I7),'Semi Rev'!I7&gt;0),'Semi OpInc'!I7/'Semi Rev'!I7,""),"")</f>
        <v/>
      </c>
      <c r="F718" s="37">
        <f>IFERROR(IF(AND(ISNUMBER('Semi OpInc'!J7),ISNUMBER('Semi Rev'!J7),'Semi Rev'!J7&gt;0),'Semi OpInc'!J7/'Semi Rev'!J7,""),"")</f>
        <v/>
      </c>
      <c r="G718" s="37">
        <f>IFERROR(IF(AND(ISNUMBER('Semi OpInc'!K7),ISNUMBER('Semi Rev'!K7),'Semi Rev'!K7&gt;0),'Semi OpInc'!K7/'Semi Rev'!K7,""),"")</f>
        <v/>
      </c>
      <c r="H718" s="37">
        <f>IFERROR(IF(AND(ISNUMBER('Semi OpInc'!L7),ISNUMBER('Semi Rev'!L7),'Semi Rev'!L7&gt;0),'Semi OpInc'!L7/'Semi Rev'!L7,""),"")</f>
        <v/>
      </c>
      <c r="I718" s="37">
        <f>IFERROR(IF(AND(ISNUMBER('Semi OpInc'!M7),ISNUMBER('Semi Rev'!M7),'Semi Rev'!M7&gt;0),'Semi OpInc'!M7/'Semi Rev'!M7,""),"")</f>
        <v/>
      </c>
      <c r="J718" s="37">
        <f>IFERROR(IF(AND(ISNUMBER('Semi OpInc'!N7),ISNUMBER('Semi Rev'!N7),'Semi Rev'!N7&gt;0),'Semi OpInc'!N7/'Semi Rev'!N7,""),"")</f>
        <v/>
      </c>
      <c r="K718" s="37">
        <f>IFERROR(IF(AND(ISNUMBER('Semi OpInc'!O7),ISNUMBER('Semi Rev'!O7),'Semi Rev'!O7&gt;0),'Semi OpInc'!O7/'Semi Rev'!O7,""),"")</f>
        <v/>
      </c>
      <c r="L718" s="37">
        <f>IFERROR(IF(AND(ISNUMBER('Semi OpInc'!P7),ISNUMBER('Semi Rev'!P7),'Semi Rev'!P7&gt;0),'Semi OpInc'!P7/'Semi Rev'!P7,""),"")</f>
        <v/>
      </c>
      <c r="M718" s="38">
        <f>IFERROR(IF(AND(ISNUMBER('Semi OpInc'!Q7),ISNUMBER('Semi Rev'!Q7),'Semi Rev'!Q7&gt;0),'Semi OpInc'!Q7/'Semi Rev'!Q7,""),"")</f>
        <v/>
      </c>
      <c r="N718" s="38">
        <f>IFERROR(IF(AND(ISNUMBER('Semi OpInc'!R7),ISNUMBER('Semi Rev'!R7),'Semi Rev'!R7&gt;0),'Semi OpInc'!R7/'Semi Rev'!R7,""),"")</f>
        <v/>
      </c>
    </row>
    <row r="719">
      <c r="A719" s="19">
        <f>'Semi Rev'!$A8</f>
        <v/>
      </c>
      <c r="B719" s="19">
        <f>'Semi Rev'!$B8</f>
        <v/>
      </c>
      <c r="C719" s="37">
        <f>IFERROR(IF(AND(ISNUMBER('Semi OpInc'!G8),ISNUMBER('Semi Rev'!G8),'Semi Rev'!G8&gt;0),'Semi OpInc'!G8/'Semi Rev'!G8,""),"")</f>
        <v/>
      </c>
      <c r="D719" s="37">
        <f>IFERROR(IF(AND(ISNUMBER('Semi OpInc'!H8),ISNUMBER('Semi Rev'!H8),'Semi Rev'!H8&gt;0),'Semi OpInc'!H8/'Semi Rev'!H8,""),"")</f>
        <v/>
      </c>
      <c r="E719" s="37">
        <f>IFERROR(IF(AND(ISNUMBER('Semi OpInc'!I8),ISNUMBER('Semi Rev'!I8),'Semi Rev'!I8&gt;0),'Semi OpInc'!I8/'Semi Rev'!I8,""),"")</f>
        <v/>
      </c>
      <c r="F719" s="37">
        <f>IFERROR(IF(AND(ISNUMBER('Semi OpInc'!J8),ISNUMBER('Semi Rev'!J8),'Semi Rev'!J8&gt;0),'Semi OpInc'!J8/'Semi Rev'!J8,""),"")</f>
        <v/>
      </c>
      <c r="G719" s="37">
        <f>IFERROR(IF(AND(ISNUMBER('Semi OpInc'!K8),ISNUMBER('Semi Rev'!K8),'Semi Rev'!K8&gt;0),'Semi OpInc'!K8/'Semi Rev'!K8,""),"")</f>
        <v/>
      </c>
      <c r="H719" s="37">
        <f>IFERROR(IF(AND(ISNUMBER('Semi OpInc'!L8),ISNUMBER('Semi Rev'!L8),'Semi Rev'!L8&gt;0),'Semi OpInc'!L8/'Semi Rev'!L8,""),"")</f>
        <v/>
      </c>
      <c r="I719" s="37">
        <f>IFERROR(IF(AND(ISNUMBER('Semi OpInc'!M8),ISNUMBER('Semi Rev'!M8),'Semi Rev'!M8&gt;0),'Semi OpInc'!M8/'Semi Rev'!M8,""),"")</f>
        <v/>
      </c>
      <c r="J719" s="37">
        <f>IFERROR(IF(AND(ISNUMBER('Semi OpInc'!N8),ISNUMBER('Semi Rev'!N8),'Semi Rev'!N8&gt;0),'Semi OpInc'!N8/'Semi Rev'!N8,""),"")</f>
        <v/>
      </c>
      <c r="K719" s="37">
        <f>IFERROR(IF(AND(ISNUMBER('Semi OpInc'!O8),ISNUMBER('Semi Rev'!O8),'Semi Rev'!O8&gt;0),'Semi OpInc'!O8/'Semi Rev'!O8,""),"")</f>
        <v/>
      </c>
      <c r="L719" s="37">
        <f>IFERROR(IF(AND(ISNUMBER('Semi OpInc'!P8),ISNUMBER('Semi Rev'!P8),'Semi Rev'!P8&gt;0),'Semi OpInc'!P8/'Semi Rev'!P8,""),"")</f>
        <v/>
      </c>
      <c r="M719" s="38">
        <f>IFERROR(IF(AND(ISNUMBER('Semi OpInc'!Q8),ISNUMBER('Semi Rev'!Q8),'Semi Rev'!Q8&gt;0),'Semi OpInc'!Q8/'Semi Rev'!Q8,""),"")</f>
        <v/>
      </c>
      <c r="N719" s="38">
        <f>IFERROR(IF(AND(ISNUMBER('Semi OpInc'!R8),ISNUMBER('Semi Rev'!R8),'Semi Rev'!R8&gt;0),'Semi OpInc'!R8/'Semi Rev'!R8,""),"")</f>
        <v/>
      </c>
    </row>
    <row r="720">
      <c r="A720" s="19">
        <f>'Semi Rev'!$A9</f>
        <v/>
      </c>
      <c r="B720" s="19">
        <f>'Semi Rev'!$B9</f>
        <v/>
      </c>
      <c r="C720" s="37">
        <f>IFERROR(IF(AND(ISNUMBER('Semi OpInc'!G9),ISNUMBER('Semi Rev'!G9),'Semi Rev'!G9&gt;0),'Semi OpInc'!G9/'Semi Rev'!G9,""),"")</f>
        <v/>
      </c>
      <c r="D720" s="37">
        <f>IFERROR(IF(AND(ISNUMBER('Semi OpInc'!H9),ISNUMBER('Semi Rev'!H9),'Semi Rev'!H9&gt;0),'Semi OpInc'!H9/'Semi Rev'!H9,""),"")</f>
        <v/>
      </c>
      <c r="E720" s="37">
        <f>IFERROR(IF(AND(ISNUMBER('Semi OpInc'!I9),ISNUMBER('Semi Rev'!I9),'Semi Rev'!I9&gt;0),'Semi OpInc'!I9/'Semi Rev'!I9,""),"")</f>
        <v/>
      </c>
      <c r="F720" s="37">
        <f>IFERROR(IF(AND(ISNUMBER('Semi OpInc'!J9),ISNUMBER('Semi Rev'!J9),'Semi Rev'!J9&gt;0),'Semi OpInc'!J9/'Semi Rev'!J9,""),"")</f>
        <v/>
      </c>
      <c r="G720" s="37">
        <f>IFERROR(IF(AND(ISNUMBER('Semi OpInc'!K9),ISNUMBER('Semi Rev'!K9),'Semi Rev'!K9&gt;0),'Semi OpInc'!K9/'Semi Rev'!K9,""),"")</f>
        <v/>
      </c>
      <c r="H720" s="37">
        <f>IFERROR(IF(AND(ISNUMBER('Semi OpInc'!L9),ISNUMBER('Semi Rev'!L9),'Semi Rev'!L9&gt;0),'Semi OpInc'!L9/'Semi Rev'!L9,""),"")</f>
        <v/>
      </c>
      <c r="I720" s="37">
        <f>IFERROR(IF(AND(ISNUMBER('Semi OpInc'!M9),ISNUMBER('Semi Rev'!M9),'Semi Rev'!M9&gt;0),'Semi OpInc'!M9/'Semi Rev'!M9,""),"")</f>
        <v/>
      </c>
      <c r="J720" s="37">
        <f>IFERROR(IF(AND(ISNUMBER('Semi OpInc'!N9),ISNUMBER('Semi Rev'!N9),'Semi Rev'!N9&gt;0),'Semi OpInc'!N9/'Semi Rev'!N9,""),"")</f>
        <v/>
      </c>
      <c r="K720" s="37">
        <f>IFERROR(IF(AND(ISNUMBER('Semi OpInc'!O9),ISNUMBER('Semi Rev'!O9),'Semi Rev'!O9&gt;0),'Semi OpInc'!O9/'Semi Rev'!O9,""),"")</f>
        <v/>
      </c>
      <c r="L720" s="37">
        <f>IFERROR(IF(AND(ISNUMBER('Semi OpInc'!P9),ISNUMBER('Semi Rev'!P9),'Semi Rev'!P9&gt;0),'Semi OpInc'!P9/'Semi Rev'!P9,""),"")</f>
        <v/>
      </c>
      <c r="M720" s="38">
        <f>IFERROR(IF(AND(ISNUMBER('Semi OpInc'!Q9),ISNUMBER('Semi Rev'!Q9),'Semi Rev'!Q9&gt;0),'Semi OpInc'!Q9/'Semi Rev'!Q9,""),"")</f>
        <v/>
      </c>
      <c r="N720" s="38">
        <f>IFERROR(IF(AND(ISNUMBER('Semi OpInc'!R9),ISNUMBER('Semi Rev'!R9),'Semi Rev'!R9&gt;0),'Semi OpInc'!R9/'Semi Rev'!R9,""),"")</f>
        <v/>
      </c>
    </row>
    <row r="721">
      <c r="A721" s="19">
        <f>'Semi Rev'!$A10</f>
        <v/>
      </c>
      <c r="B721" s="19">
        <f>'Semi Rev'!$B10</f>
        <v/>
      </c>
      <c r="C721" s="37">
        <f>IFERROR(IF(AND(ISNUMBER('Semi OpInc'!G10),ISNUMBER('Semi Rev'!G10),'Semi Rev'!G10&gt;0),'Semi OpInc'!G10/'Semi Rev'!G10,""),"")</f>
        <v/>
      </c>
      <c r="D721" s="37">
        <f>IFERROR(IF(AND(ISNUMBER('Semi OpInc'!H10),ISNUMBER('Semi Rev'!H10),'Semi Rev'!H10&gt;0),'Semi OpInc'!H10/'Semi Rev'!H10,""),"")</f>
        <v/>
      </c>
      <c r="E721" s="37">
        <f>IFERROR(IF(AND(ISNUMBER('Semi OpInc'!I10),ISNUMBER('Semi Rev'!I10),'Semi Rev'!I10&gt;0),'Semi OpInc'!I10/'Semi Rev'!I10,""),"")</f>
        <v/>
      </c>
      <c r="F721" s="37">
        <f>IFERROR(IF(AND(ISNUMBER('Semi OpInc'!J10),ISNUMBER('Semi Rev'!J10),'Semi Rev'!J10&gt;0),'Semi OpInc'!J10/'Semi Rev'!J10,""),"")</f>
        <v/>
      </c>
      <c r="G721" s="37">
        <f>IFERROR(IF(AND(ISNUMBER('Semi OpInc'!K10),ISNUMBER('Semi Rev'!K10),'Semi Rev'!K10&gt;0),'Semi OpInc'!K10/'Semi Rev'!K10,""),"")</f>
        <v/>
      </c>
      <c r="H721" s="37">
        <f>IFERROR(IF(AND(ISNUMBER('Semi OpInc'!L10),ISNUMBER('Semi Rev'!L10),'Semi Rev'!L10&gt;0),'Semi OpInc'!L10/'Semi Rev'!L10,""),"")</f>
        <v/>
      </c>
      <c r="I721" s="37">
        <f>IFERROR(IF(AND(ISNUMBER('Semi OpInc'!M10),ISNUMBER('Semi Rev'!M10),'Semi Rev'!M10&gt;0),'Semi OpInc'!M10/'Semi Rev'!M10,""),"")</f>
        <v/>
      </c>
      <c r="J721" s="37">
        <f>IFERROR(IF(AND(ISNUMBER('Semi OpInc'!N10),ISNUMBER('Semi Rev'!N10),'Semi Rev'!N10&gt;0),'Semi OpInc'!N10/'Semi Rev'!N10,""),"")</f>
        <v/>
      </c>
      <c r="K721" s="37">
        <f>IFERROR(IF(AND(ISNUMBER('Semi OpInc'!O10),ISNUMBER('Semi Rev'!O10),'Semi Rev'!O10&gt;0),'Semi OpInc'!O10/'Semi Rev'!O10,""),"")</f>
        <v/>
      </c>
      <c r="L721" s="37">
        <f>IFERROR(IF(AND(ISNUMBER('Semi OpInc'!P10),ISNUMBER('Semi Rev'!P10),'Semi Rev'!P10&gt;0),'Semi OpInc'!P10/'Semi Rev'!P10,""),"")</f>
        <v/>
      </c>
      <c r="M721" s="38">
        <f>IFERROR(IF(AND(ISNUMBER('Semi OpInc'!Q10),ISNUMBER('Semi Rev'!Q10),'Semi Rev'!Q10&gt;0),'Semi OpInc'!Q10/'Semi Rev'!Q10,""),"")</f>
        <v/>
      </c>
      <c r="N721" s="38">
        <f>IFERROR(IF(AND(ISNUMBER('Semi OpInc'!R10),ISNUMBER('Semi Rev'!R10),'Semi Rev'!R10&gt;0),'Semi OpInc'!R10/'Semi Rev'!R10,""),"")</f>
        <v/>
      </c>
    </row>
    <row r="722">
      <c r="A722" s="19">
        <f>'Semi Rev'!$A11</f>
        <v/>
      </c>
      <c r="B722" s="19">
        <f>'Semi Rev'!$B11</f>
        <v/>
      </c>
      <c r="C722" s="37">
        <f>IFERROR(IF(AND(ISNUMBER('Semi OpInc'!G11),ISNUMBER('Semi Rev'!G11),'Semi Rev'!G11&gt;0),'Semi OpInc'!G11/'Semi Rev'!G11,""),"")</f>
        <v/>
      </c>
      <c r="D722" s="37">
        <f>IFERROR(IF(AND(ISNUMBER('Semi OpInc'!H11),ISNUMBER('Semi Rev'!H11),'Semi Rev'!H11&gt;0),'Semi OpInc'!H11/'Semi Rev'!H11,""),"")</f>
        <v/>
      </c>
      <c r="E722" s="37">
        <f>IFERROR(IF(AND(ISNUMBER('Semi OpInc'!I11),ISNUMBER('Semi Rev'!I11),'Semi Rev'!I11&gt;0),'Semi OpInc'!I11/'Semi Rev'!I11,""),"")</f>
        <v/>
      </c>
      <c r="F722" s="37">
        <f>IFERROR(IF(AND(ISNUMBER('Semi OpInc'!J11),ISNUMBER('Semi Rev'!J11),'Semi Rev'!J11&gt;0),'Semi OpInc'!J11/'Semi Rev'!J11,""),"")</f>
        <v/>
      </c>
      <c r="G722" s="37">
        <f>IFERROR(IF(AND(ISNUMBER('Semi OpInc'!K11),ISNUMBER('Semi Rev'!K11),'Semi Rev'!K11&gt;0),'Semi OpInc'!K11/'Semi Rev'!K11,""),"")</f>
        <v/>
      </c>
      <c r="H722" s="37">
        <f>IFERROR(IF(AND(ISNUMBER('Semi OpInc'!L11),ISNUMBER('Semi Rev'!L11),'Semi Rev'!L11&gt;0),'Semi OpInc'!L11/'Semi Rev'!L11,""),"")</f>
        <v/>
      </c>
      <c r="I722" s="37">
        <f>IFERROR(IF(AND(ISNUMBER('Semi OpInc'!M11),ISNUMBER('Semi Rev'!M11),'Semi Rev'!M11&gt;0),'Semi OpInc'!M11/'Semi Rev'!M11,""),"")</f>
        <v/>
      </c>
      <c r="J722" s="37">
        <f>IFERROR(IF(AND(ISNUMBER('Semi OpInc'!N11),ISNUMBER('Semi Rev'!N11),'Semi Rev'!N11&gt;0),'Semi OpInc'!N11/'Semi Rev'!N11,""),"")</f>
        <v/>
      </c>
      <c r="K722" s="37">
        <f>IFERROR(IF(AND(ISNUMBER('Semi OpInc'!O11),ISNUMBER('Semi Rev'!O11),'Semi Rev'!O11&gt;0),'Semi OpInc'!O11/'Semi Rev'!O11,""),"")</f>
        <v/>
      </c>
      <c r="L722" s="37">
        <f>IFERROR(IF(AND(ISNUMBER('Semi OpInc'!P11),ISNUMBER('Semi Rev'!P11),'Semi Rev'!P11&gt;0),'Semi OpInc'!P11/'Semi Rev'!P11,""),"")</f>
        <v/>
      </c>
      <c r="M722" s="38">
        <f>IFERROR(IF(AND(ISNUMBER('Semi OpInc'!Q11),ISNUMBER('Semi Rev'!Q11),'Semi Rev'!Q11&gt;0),'Semi OpInc'!Q11/'Semi Rev'!Q11,""),"")</f>
        <v/>
      </c>
      <c r="N722" s="38">
        <f>IFERROR(IF(AND(ISNUMBER('Semi OpInc'!R11),ISNUMBER('Semi Rev'!R11),'Semi Rev'!R11&gt;0),'Semi OpInc'!R11/'Semi Rev'!R11,""),"")</f>
        <v/>
      </c>
    </row>
    <row r="723">
      <c r="A723" s="19">
        <f>'Semi Rev'!$A12</f>
        <v/>
      </c>
      <c r="B723" s="19">
        <f>'Semi Rev'!$B12</f>
        <v/>
      </c>
      <c r="C723" s="37">
        <f>IFERROR(IF(AND(ISNUMBER('Semi OpInc'!G12),ISNUMBER('Semi Rev'!G12),'Semi Rev'!G12&gt;0),'Semi OpInc'!G12/'Semi Rev'!G12,""),"")</f>
        <v/>
      </c>
      <c r="D723" s="37">
        <f>IFERROR(IF(AND(ISNUMBER('Semi OpInc'!H12),ISNUMBER('Semi Rev'!H12),'Semi Rev'!H12&gt;0),'Semi OpInc'!H12/'Semi Rev'!H12,""),"")</f>
        <v/>
      </c>
      <c r="E723" s="37">
        <f>IFERROR(IF(AND(ISNUMBER('Semi OpInc'!I12),ISNUMBER('Semi Rev'!I12),'Semi Rev'!I12&gt;0),'Semi OpInc'!I12/'Semi Rev'!I12,""),"")</f>
        <v/>
      </c>
      <c r="F723" s="37">
        <f>IFERROR(IF(AND(ISNUMBER('Semi OpInc'!J12),ISNUMBER('Semi Rev'!J12),'Semi Rev'!J12&gt;0),'Semi OpInc'!J12/'Semi Rev'!J12,""),"")</f>
        <v/>
      </c>
      <c r="G723" s="37">
        <f>IFERROR(IF(AND(ISNUMBER('Semi OpInc'!K12),ISNUMBER('Semi Rev'!K12),'Semi Rev'!K12&gt;0),'Semi OpInc'!K12/'Semi Rev'!K12,""),"")</f>
        <v/>
      </c>
      <c r="H723" s="37">
        <f>IFERROR(IF(AND(ISNUMBER('Semi OpInc'!L12),ISNUMBER('Semi Rev'!L12),'Semi Rev'!L12&gt;0),'Semi OpInc'!L12/'Semi Rev'!L12,""),"")</f>
        <v/>
      </c>
      <c r="I723" s="37">
        <f>IFERROR(IF(AND(ISNUMBER('Semi OpInc'!M12),ISNUMBER('Semi Rev'!M12),'Semi Rev'!M12&gt;0),'Semi OpInc'!M12/'Semi Rev'!M12,""),"")</f>
        <v/>
      </c>
      <c r="J723" s="37">
        <f>IFERROR(IF(AND(ISNUMBER('Semi OpInc'!N12),ISNUMBER('Semi Rev'!N12),'Semi Rev'!N12&gt;0),'Semi OpInc'!N12/'Semi Rev'!N12,""),"")</f>
        <v/>
      </c>
      <c r="K723" s="37">
        <f>IFERROR(IF(AND(ISNUMBER('Semi OpInc'!O12),ISNUMBER('Semi Rev'!O12),'Semi Rev'!O12&gt;0),'Semi OpInc'!O12/'Semi Rev'!O12,""),"")</f>
        <v/>
      </c>
      <c r="L723" s="37">
        <f>IFERROR(IF(AND(ISNUMBER('Semi OpInc'!P12),ISNUMBER('Semi Rev'!P12),'Semi Rev'!P12&gt;0),'Semi OpInc'!P12/'Semi Rev'!P12,""),"")</f>
        <v/>
      </c>
      <c r="M723" s="38">
        <f>IFERROR(IF(AND(ISNUMBER('Semi OpInc'!Q12),ISNUMBER('Semi Rev'!Q12),'Semi Rev'!Q12&gt;0),'Semi OpInc'!Q12/'Semi Rev'!Q12,""),"")</f>
        <v/>
      </c>
      <c r="N723" s="38">
        <f>IFERROR(IF(AND(ISNUMBER('Semi OpInc'!R12),ISNUMBER('Semi Rev'!R12),'Semi Rev'!R12&gt;0),'Semi OpInc'!R12/'Semi Rev'!R12,""),"")</f>
        <v/>
      </c>
    </row>
    <row r="724">
      <c r="A724" s="19">
        <f>'Semi Rev'!$A13</f>
        <v/>
      </c>
      <c r="B724" s="19">
        <f>'Semi Rev'!$B13</f>
        <v/>
      </c>
      <c r="C724" s="37">
        <f>IFERROR(IF(AND(ISNUMBER('Semi OpInc'!G13),ISNUMBER('Semi Rev'!G13),'Semi Rev'!G13&gt;0),'Semi OpInc'!G13/'Semi Rev'!G13,""),"")</f>
        <v/>
      </c>
      <c r="D724" s="37">
        <f>IFERROR(IF(AND(ISNUMBER('Semi OpInc'!H13),ISNUMBER('Semi Rev'!H13),'Semi Rev'!H13&gt;0),'Semi OpInc'!H13/'Semi Rev'!H13,""),"")</f>
        <v/>
      </c>
      <c r="E724" s="37">
        <f>IFERROR(IF(AND(ISNUMBER('Semi OpInc'!I13),ISNUMBER('Semi Rev'!I13),'Semi Rev'!I13&gt;0),'Semi OpInc'!I13/'Semi Rev'!I13,""),"")</f>
        <v/>
      </c>
      <c r="F724" s="37">
        <f>IFERROR(IF(AND(ISNUMBER('Semi OpInc'!J13),ISNUMBER('Semi Rev'!J13),'Semi Rev'!J13&gt;0),'Semi OpInc'!J13/'Semi Rev'!J13,""),"")</f>
        <v/>
      </c>
      <c r="G724" s="37">
        <f>IFERROR(IF(AND(ISNUMBER('Semi OpInc'!K13),ISNUMBER('Semi Rev'!K13),'Semi Rev'!K13&gt;0),'Semi OpInc'!K13/'Semi Rev'!K13,""),"")</f>
        <v/>
      </c>
      <c r="H724" s="37">
        <f>IFERROR(IF(AND(ISNUMBER('Semi OpInc'!L13),ISNUMBER('Semi Rev'!L13),'Semi Rev'!L13&gt;0),'Semi OpInc'!L13/'Semi Rev'!L13,""),"")</f>
        <v/>
      </c>
      <c r="I724" s="37">
        <f>IFERROR(IF(AND(ISNUMBER('Semi OpInc'!M13),ISNUMBER('Semi Rev'!M13),'Semi Rev'!M13&gt;0),'Semi OpInc'!M13/'Semi Rev'!M13,""),"")</f>
        <v/>
      </c>
      <c r="J724" s="37">
        <f>IFERROR(IF(AND(ISNUMBER('Semi OpInc'!N13),ISNUMBER('Semi Rev'!N13),'Semi Rev'!N13&gt;0),'Semi OpInc'!N13/'Semi Rev'!N13,""),"")</f>
        <v/>
      </c>
      <c r="K724" s="37">
        <f>IFERROR(IF(AND(ISNUMBER('Semi OpInc'!O13),ISNUMBER('Semi Rev'!O13),'Semi Rev'!O13&gt;0),'Semi OpInc'!O13/'Semi Rev'!O13,""),"")</f>
        <v/>
      </c>
      <c r="L724" s="37">
        <f>IFERROR(IF(AND(ISNUMBER('Semi OpInc'!P13),ISNUMBER('Semi Rev'!P13),'Semi Rev'!P13&gt;0),'Semi OpInc'!P13/'Semi Rev'!P13,""),"")</f>
        <v/>
      </c>
      <c r="M724" s="38">
        <f>IFERROR(IF(AND(ISNUMBER('Semi OpInc'!Q13),ISNUMBER('Semi Rev'!Q13),'Semi Rev'!Q13&gt;0),'Semi OpInc'!Q13/'Semi Rev'!Q13,""),"")</f>
        <v/>
      </c>
      <c r="N724" s="38">
        <f>IFERROR(IF(AND(ISNUMBER('Semi OpInc'!R13),ISNUMBER('Semi Rev'!R13),'Semi Rev'!R13&gt;0),'Semi OpInc'!R13/'Semi Rev'!R13,""),"")</f>
        <v/>
      </c>
    </row>
    <row r="725">
      <c r="A725" s="19">
        <f>'Semi Rev'!$A14</f>
        <v/>
      </c>
      <c r="B725" s="19">
        <f>'Semi Rev'!$B14</f>
        <v/>
      </c>
      <c r="C725" s="37">
        <f>IFERROR(IF(AND(ISNUMBER('Semi OpInc'!G14),ISNUMBER('Semi Rev'!G14),'Semi Rev'!G14&gt;0),'Semi OpInc'!G14/'Semi Rev'!G14,""),"")</f>
        <v/>
      </c>
      <c r="D725" s="37">
        <f>IFERROR(IF(AND(ISNUMBER('Semi OpInc'!H14),ISNUMBER('Semi Rev'!H14),'Semi Rev'!H14&gt;0),'Semi OpInc'!H14/'Semi Rev'!H14,""),"")</f>
        <v/>
      </c>
      <c r="E725" s="37">
        <f>IFERROR(IF(AND(ISNUMBER('Semi OpInc'!I14),ISNUMBER('Semi Rev'!I14),'Semi Rev'!I14&gt;0),'Semi OpInc'!I14/'Semi Rev'!I14,""),"")</f>
        <v/>
      </c>
      <c r="F725" s="37">
        <f>IFERROR(IF(AND(ISNUMBER('Semi OpInc'!J14),ISNUMBER('Semi Rev'!J14),'Semi Rev'!J14&gt;0),'Semi OpInc'!J14/'Semi Rev'!J14,""),"")</f>
        <v/>
      </c>
      <c r="G725" s="37">
        <f>IFERROR(IF(AND(ISNUMBER('Semi OpInc'!K14),ISNUMBER('Semi Rev'!K14),'Semi Rev'!K14&gt;0),'Semi OpInc'!K14/'Semi Rev'!K14,""),"")</f>
        <v/>
      </c>
      <c r="H725" s="37">
        <f>IFERROR(IF(AND(ISNUMBER('Semi OpInc'!L14),ISNUMBER('Semi Rev'!L14),'Semi Rev'!L14&gt;0),'Semi OpInc'!L14/'Semi Rev'!L14,""),"")</f>
        <v/>
      </c>
      <c r="I725" s="37">
        <f>IFERROR(IF(AND(ISNUMBER('Semi OpInc'!M14),ISNUMBER('Semi Rev'!M14),'Semi Rev'!M14&gt;0),'Semi OpInc'!M14/'Semi Rev'!M14,""),"")</f>
        <v/>
      </c>
      <c r="J725" s="37">
        <f>IFERROR(IF(AND(ISNUMBER('Semi OpInc'!N14),ISNUMBER('Semi Rev'!N14),'Semi Rev'!N14&gt;0),'Semi OpInc'!N14/'Semi Rev'!N14,""),"")</f>
        <v/>
      </c>
      <c r="K725" s="37">
        <f>IFERROR(IF(AND(ISNUMBER('Semi OpInc'!O14),ISNUMBER('Semi Rev'!O14),'Semi Rev'!O14&gt;0),'Semi OpInc'!O14/'Semi Rev'!O14,""),"")</f>
        <v/>
      </c>
      <c r="L725" s="37">
        <f>IFERROR(IF(AND(ISNUMBER('Semi OpInc'!P14),ISNUMBER('Semi Rev'!P14),'Semi Rev'!P14&gt;0),'Semi OpInc'!P14/'Semi Rev'!P14,""),"")</f>
        <v/>
      </c>
      <c r="M725" s="38">
        <f>IFERROR(IF(AND(ISNUMBER('Semi OpInc'!Q14),ISNUMBER('Semi Rev'!Q14),'Semi Rev'!Q14&gt;0),'Semi OpInc'!Q14/'Semi Rev'!Q14,""),"")</f>
        <v/>
      </c>
      <c r="N725" s="38">
        <f>IFERROR(IF(AND(ISNUMBER('Semi OpInc'!R14),ISNUMBER('Semi Rev'!R14),'Semi Rev'!R14&gt;0),'Semi OpInc'!R14/'Semi Rev'!R14,""),"")</f>
        <v/>
      </c>
    </row>
    <row r="726">
      <c r="A726" s="19">
        <f>'Semi Rev'!$A15</f>
        <v/>
      </c>
      <c r="B726" s="19">
        <f>'Semi Rev'!$B15</f>
        <v/>
      </c>
      <c r="C726" s="37">
        <f>IFERROR(IF(AND(ISNUMBER('Semi OpInc'!G15),ISNUMBER('Semi Rev'!G15),'Semi Rev'!G15&gt;0),'Semi OpInc'!G15/'Semi Rev'!G15,""),"")</f>
        <v/>
      </c>
      <c r="D726" s="37">
        <f>IFERROR(IF(AND(ISNUMBER('Semi OpInc'!H15),ISNUMBER('Semi Rev'!H15),'Semi Rev'!H15&gt;0),'Semi OpInc'!H15/'Semi Rev'!H15,""),"")</f>
        <v/>
      </c>
      <c r="E726" s="37">
        <f>IFERROR(IF(AND(ISNUMBER('Semi OpInc'!I15),ISNUMBER('Semi Rev'!I15),'Semi Rev'!I15&gt;0),'Semi OpInc'!I15/'Semi Rev'!I15,""),"")</f>
        <v/>
      </c>
      <c r="F726" s="37">
        <f>IFERROR(IF(AND(ISNUMBER('Semi OpInc'!J15),ISNUMBER('Semi Rev'!J15),'Semi Rev'!J15&gt;0),'Semi OpInc'!J15/'Semi Rev'!J15,""),"")</f>
        <v/>
      </c>
      <c r="G726" s="37">
        <f>IFERROR(IF(AND(ISNUMBER('Semi OpInc'!K15),ISNUMBER('Semi Rev'!K15),'Semi Rev'!K15&gt;0),'Semi OpInc'!K15/'Semi Rev'!K15,""),"")</f>
        <v/>
      </c>
      <c r="H726" s="37">
        <f>IFERROR(IF(AND(ISNUMBER('Semi OpInc'!L15),ISNUMBER('Semi Rev'!L15),'Semi Rev'!L15&gt;0),'Semi OpInc'!L15/'Semi Rev'!L15,""),"")</f>
        <v/>
      </c>
      <c r="I726" s="37">
        <f>IFERROR(IF(AND(ISNUMBER('Semi OpInc'!M15),ISNUMBER('Semi Rev'!M15),'Semi Rev'!M15&gt;0),'Semi OpInc'!M15/'Semi Rev'!M15,""),"")</f>
        <v/>
      </c>
      <c r="J726" s="37">
        <f>IFERROR(IF(AND(ISNUMBER('Semi OpInc'!N15),ISNUMBER('Semi Rev'!N15),'Semi Rev'!N15&gt;0),'Semi OpInc'!N15/'Semi Rev'!N15,""),"")</f>
        <v/>
      </c>
      <c r="K726" s="37">
        <f>IFERROR(IF(AND(ISNUMBER('Semi OpInc'!O15),ISNUMBER('Semi Rev'!O15),'Semi Rev'!O15&gt;0),'Semi OpInc'!O15/'Semi Rev'!O15,""),"")</f>
        <v/>
      </c>
      <c r="L726" s="37">
        <f>IFERROR(IF(AND(ISNUMBER('Semi OpInc'!P15),ISNUMBER('Semi Rev'!P15),'Semi Rev'!P15&gt;0),'Semi OpInc'!P15/'Semi Rev'!P15,""),"")</f>
        <v/>
      </c>
      <c r="M726" s="38">
        <f>IFERROR(IF(AND(ISNUMBER('Semi OpInc'!Q15),ISNUMBER('Semi Rev'!Q15),'Semi Rev'!Q15&gt;0),'Semi OpInc'!Q15/'Semi Rev'!Q15,""),"")</f>
        <v/>
      </c>
      <c r="N726" s="38">
        <f>IFERROR(IF(AND(ISNUMBER('Semi OpInc'!R15),ISNUMBER('Semi Rev'!R15),'Semi Rev'!R15&gt;0),'Semi OpInc'!R15/'Semi Rev'!R15,""),"")</f>
        <v/>
      </c>
    </row>
    <row r="727">
      <c r="A727" s="19">
        <f>'Semi Rev'!$A16</f>
        <v/>
      </c>
      <c r="B727" s="19">
        <f>'Semi Rev'!$B16</f>
        <v/>
      </c>
      <c r="C727" s="37">
        <f>IFERROR(IF(AND(ISNUMBER('Semi OpInc'!G16),ISNUMBER('Semi Rev'!G16),'Semi Rev'!G16&gt;0),'Semi OpInc'!G16/'Semi Rev'!G16,""),"")</f>
        <v/>
      </c>
      <c r="D727" s="37">
        <f>IFERROR(IF(AND(ISNUMBER('Semi OpInc'!H16),ISNUMBER('Semi Rev'!H16),'Semi Rev'!H16&gt;0),'Semi OpInc'!H16/'Semi Rev'!H16,""),"")</f>
        <v/>
      </c>
      <c r="E727" s="37">
        <f>IFERROR(IF(AND(ISNUMBER('Semi OpInc'!I16),ISNUMBER('Semi Rev'!I16),'Semi Rev'!I16&gt;0),'Semi OpInc'!I16/'Semi Rev'!I16,""),"")</f>
        <v/>
      </c>
      <c r="F727" s="37">
        <f>IFERROR(IF(AND(ISNUMBER('Semi OpInc'!J16),ISNUMBER('Semi Rev'!J16),'Semi Rev'!J16&gt;0),'Semi OpInc'!J16/'Semi Rev'!J16,""),"")</f>
        <v/>
      </c>
      <c r="G727" s="37">
        <f>IFERROR(IF(AND(ISNUMBER('Semi OpInc'!K16),ISNUMBER('Semi Rev'!K16),'Semi Rev'!K16&gt;0),'Semi OpInc'!K16/'Semi Rev'!K16,""),"")</f>
        <v/>
      </c>
      <c r="H727" s="37">
        <f>IFERROR(IF(AND(ISNUMBER('Semi OpInc'!L16),ISNUMBER('Semi Rev'!L16),'Semi Rev'!L16&gt;0),'Semi OpInc'!L16/'Semi Rev'!L16,""),"")</f>
        <v/>
      </c>
      <c r="I727" s="37">
        <f>IFERROR(IF(AND(ISNUMBER('Semi OpInc'!M16),ISNUMBER('Semi Rev'!M16),'Semi Rev'!M16&gt;0),'Semi OpInc'!M16/'Semi Rev'!M16,""),"")</f>
        <v/>
      </c>
      <c r="J727" s="37">
        <f>IFERROR(IF(AND(ISNUMBER('Semi OpInc'!N16),ISNUMBER('Semi Rev'!N16),'Semi Rev'!N16&gt;0),'Semi OpInc'!N16/'Semi Rev'!N16,""),"")</f>
        <v/>
      </c>
      <c r="K727" s="37">
        <f>IFERROR(IF(AND(ISNUMBER('Semi OpInc'!O16),ISNUMBER('Semi Rev'!O16),'Semi Rev'!O16&gt;0),'Semi OpInc'!O16/'Semi Rev'!O16,""),"")</f>
        <v/>
      </c>
      <c r="L727" s="37">
        <f>IFERROR(IF(AND(ISNUMBER('Semi OpInc'!P16),ISNUMBER('Semi Rev'!P16),'Semi Rev'!P16&gt;0),'Semi OpInc'!P16/'Semi Rev'!P16,""),"")</f>
        <v/>
      </c>
      <c r="M727" s="38">
        <f>IFERROR(IF(AND(ISNUMBER('Semi OpInc'!Q16),ISNUMBER('Semi Rev'!Q16),'Semi Rev'!Q16&gt;0),'Semi OpInc'!Q16/'Semi Rev'!Q16,""),"")</f>
        <v/>
      </c>
      <c r="N727" s="38">
        <f>IFERROR(IF(AND(ISNUMBER('Semi OpInc'!R16),ISNUMBER('Semi Rev'!R16),'Semi Rev'!R16&gt;0),'Semi OpInc'!R16/'Semi Rev'!R16,""),"")</f>
        <v/>
      </c>
    </row>
    <row r="728">
      <c r="A728" s="19">
        <f>'Semi Rev'!$A17</f>
        <v/>
      </c>
      <c r="B728" s="19">
        <f>'Semi Rev'!$B17</f>
        <v/>
      </c>
      <c r="C728" s="37">
        <f>IFERROR(IF(AND(ISNUMBER('Semi OpInc'!G17),ISNUMBER('Semi Rev'!G17),'Semi Rev'!G17&gt;0),'Semi OpInc'!G17/'Semi Rev'!G17,""),"")</f>
        <v/>
      </c>
      <c r="D728" s="37">
        <f>IFERROR(IF(AND(ISNUMBER('Semi OpInc'!H17),ISNUMBER('Semi Rev'!H17),'Semi Rev'!H17&gt;0),'Semi OpInc'!H17/'Semi Rev'!H17,""),"")</f>
        <v/>
      </c>
      <c r="E728" s="37">
        <f>IFERROR(IF(AND(ISNUMBER('Semi OpInc'!I17),ISNUMBER('Semi Rev'!I17),'Semi Rev'!I17&gt;0),'Semi OpInc'!I17/'Semi Rev'!I17,""),"")</f>
        <v/>
      </c>
      <c r="F728" s="37">
        <f>IFERROR(IF(AND(ISNUMBER('Semi OpInc'!J17),ISNUMBER('Semi Rev'!J17),'Semi Rev'!J17&gt;0),'Semi OpInc'!J17/'Semi Rev'!J17,""),"")</f>
        <v/>
      </c>
      <c r="G728" s="37">
        <f>IFERROR(IF(AND(ISNUMBER('Semi OpInc'!K17),ISNUMBER('Semi Rev'!K17),'Semi Rev'!K17&gt;0),'Semi OpInc'!K17/'Semi Rev'!K17,""),"")</f>
        <v/>
      </c>
      <c r="H728" s="37">
        <f>IFERROR(IF(AND(ISNUMBER('Semi OpInc'!L17),ISNUMBER('Semi Rev'!L17),'Semi Rev'!L17&gt;0),'Semi OpInc'!L17/'Semi Rev'!L17,""),"")</f>
        <v/>
      </c>
      <c r="I728" s="37">
        <f>IFERROR(IF(AND(ISNUMBER('Semi OpInc'!M17),ISNUMBER('Semi Rev'!M17),'Semi Rev'!M17&gt;0),'Semi OpInc'!M17/'Semi Rev'!M17,""),"")</f>
        <v/>
      </c>
      <c r="J728" s="37">
        <f>IFERROR(IF(AND(ISNUMBER('Semi OpInc'!N17),ISNUMBER('Semi Rev'!N17),'Semi Rev'!N17&gt;0),'Semi OpInc'!N17/'Semi Rev'!N17,""),"")</f>
        <v/>
      </c>
      <c r="K728" s="37">
        <f>IFERROR(IF(AND(ISNUMBER('Semi OpInc'!O17),ISNUMBER('Semi Rev'!O17),'Semi Rev'!O17&gt;0),'Semi OpInc'!O17/'Semi Rev'!O17,""),"")</f>
        <v/>
      </c>
      <c r="L728" s="37">
        <f>IFERROR(IF(AND(ISNUMBER('Semi OpInc'!P17),ISNUMBER('Semi Rev'!P17),'Semi Rev'!P17&gt;0),'Semi OpInc'!P17/'Semi Rev'!P17,""),"")</f>
        <v/>
      </c>
      <c r="M728" s="38">
        <f>IFERROR(IF(AND(ISNUMBER('Semi OpInc'!Q17),ISNUMBER('Semi Rev'!Q17),'Semi Rev'!Q17&gt;0),'Semi OpInc'!Q17/'Semi Rev'!Q17,""),"")</f>
        <v/>
      </c>
      <c r="N728" s="38">
        <f>IFERROR(IF(AND(ISNUMBER('Semi OpInc'!R17),ISNUMBER('Semi Rev'!R17),'Semi Rev'!R17&gt;0),'Semi OpInc'!R17/'Semi Rev'!R17,""),"")</f>
        <v/>
      </c>
    </row>
    <row r="729">
      <c r="A729" s="19">
        <f>'Semi Rev'!$A18</f>
        <v/>
      </c>
      <c r="B729" s="19">
        <f>'Semi Rev'!$B18</f>
        <v/>
      </c>
      <c r="C729" s="37">
        <f>IFERROR(IF(AND(ISNUMBER('Semi OpInc'!G18),ISNUMBER('Semi Rev'!G18),'Semi Rev'!G18&gt;0),'Semi OpInc'!G18/'Semi Rev'!G18,""),"")</f>
        <v/>
      </c>
      <c r="D729" s="37">
        <f>IFERROR(IF(AND(ISNUMBER('Semi OpInc'!H18),ISNUMBER('Semi Rev'!H18),'Semi Rev'!H18&gt;0),'Semi OpInc'!H18/'Semi Rev'!H18,""),"")</f>
        <v/>
      </c>
      <c r="E729" s="37">
        <f>IFERROR(IF(AND(ISNUMBER('Semi OpInc'!I18),ISNUMBER('Semi Rev'!I18),'Semi Rev'!I18&gt;0),'Semi OpInc'!I18/'Semi Rev'!I18,""),"")</f>
        <v/>
      </c>
      <c r="F729" s="37">
        <f>IFERROR(IF(AND(ISNUMBER('Semi OpInc'!J18),ISNUMBER('Semi Rev'!J18),'Semi Rev'!J18&gt;0),'Semi OpInc'!J18/'Semi Rev'!J18,""),"")</f>
        <v/>
      </c>
      <c r="G729" s="37">
        <f>IFERROR(IF(AND(ISNUMBER('Semi OpInc'!K18),ISNUMBER('Semi Rev'!K18),'Semi Rev'!K18&gt;0),'Semi OpInc'!K18/'Semi Rev'!K18,""),"")</f>
        <v/>
      </c>
      <c r="H729" s="37">
        <f>IFERROR(IF(AND(ISNUMBER('Semi OpInc'!L18),ISNUMBER('Semi Rev'!L18),'Semi Rev'!L18&gt;0),'Semi OpInc'!L18/'Semi Rev'!L18,""),"")</f>
        <v/>
      </c>
      <c r="I729" s="37">
        <f>IFERROR(IF(AND(ISNUMBER('Semi OpInc'!M18),ISNUMBER('Semi Rev'!M18),'Semi Rev'!M18&gt;0),'Semi OpInc'!M18/'Semi Rev'!M18,""),"")</f>
        <v/>
      </c>
      <c r="J729" s="37">
        <f>IFERROR(IF(AND(ISNUMBER('Semi OpInc'!N18),ISNUMBER('Semi Rev'!N18),'Semi Rev'!N18&gt;0),'Semi OpInc'!N18/'Semi Rev'!N18,""),"")</f>
        <v/>
      </c>
      <c r="K729" s="37">
        <f>IFERROR(IF(AND(ISNUMBER('Semi OpInc'!O18),ISNUMBER('Semi Rev'!O18),'Semi Rev'!O18&gt;0),'Semi OpInc'!O18/'Semi Rev'!O18,""),"")</f>
        <v/>
      </c>
      <c r="L729" s="37">
        <f>IFERROR(IF(AND(ISNUMBER('Semi OpInc'!P18),ISNUMBER('Semi Rev'!P18),'Semi Rev'!P18&gt;0),'Semi OpInc'!P18/'Semi Rev'!P18,""),"")</f>
        <v/>
      </c>
      <c r="M729" s="38">
        <f>IFERROR(IF(AND(ISNUMBER('Semi OpInc'!Q18),ISNUMBER('Semi Rev'!Q18),'Semi Rev'!Q18&gt;0),'Semi OpInc'!Q18/'Semi Rev'!Q18,""),"")</f>
        <v/>
      </c>
      <c r="N729" s="38">
        <f>IFERROR(IF(AND(ISNUMBER('Semi OpInc'!R18),ISNUMBER('Semi Rev'!R18),'Semi Rev'!R18&gt;0),'Semi OpInc'!R18/'Semi Rev'!R18,""),"")</f>
        <v/>
      </c>
    </row>
    <row r="730">
      <c r="A730" s="19">
        <f>'Semi Rev'!$A19</f>
        <v/>
      </c>
      <c r="B730" s="19">
        <f>'Semi Rev'!$B19</f>
        <v/>
      </c>
      <c r="C730" s="37">
        <f>IFERROR(IF(AND(ISNUMBER('Semi OpInc'!G19),ISNUMBER('Semi Rev'!G19),'Semi Rev'!G19&gt;0),'Semi OpInc'!G19/'Semi Rev'!G19,""),"")</f>
        <v/>
      </c>
      <c r="D730" s="37">
        <f>IFERROR(IF(AND(ISNUMBER('Semi OpInc'!H19),ISNUMBER('Semi Rev'!H19),'Semi Rev'!H19&gt;0),'Semi OpInc'!H19/'Semi Rev'!H19,""),"")</f>
        <v/>
      </c>
      <c r="E730" s="37">
        <f>IFERROR(IF(AND(ISNUMBER('Semi OpInc'!I19),ISNUMBER('Semi Rev'!I19),'Semi Rev'!I19&gt;0),'Semi OpInc'!I19/'Semi Rev'!I19,""),"")</f>
        <v/>
      </c>
      <c r="F730" s="37">
        <f>IFERROR(IF(AND(ISNUMBER('Semi OpInc'!J19),ISNUMBER('Semi Rev'!J19),'Semi Rev'!J19&gt;0),'Semi OpInc'!J19/'Semi Rev'!J19,""),"")</f>
        <v/>
      </c>
      <c r="G730" s="37">
        <f>IFERROR(IF(AND(ISNUMBER('Semi OpInc'!K19),ISNUMBER('Semi Rev'!K19),'Semi Rev'!K19&gt;0),'Semi OpInc'!K19/'Semi Rev'!K19,""),"")</f>
        <v/>
      </c>
      <c r="H730" s="37">
        <f>IFERROR(IF(AND(ISNUMBER('Semi OpInc'!L19),ISNUMBER('Semi Rev'!L19),'Semi Rev'!L19&gt;0),'Semi OpInc'!L19/'Semi Rev'!L19,""),"")</f>
        <v/>
      </c>
      <c r="I730" s="37">
        <f>IFERROR(IF(AND(ISNUMBER('Semi OpInc'!M19),ISNUMBER('Semi Rev'!M19),'Semi Rev'!M19&gt;0),'Semi OpInc'!M19/'Semi Rev'!M19,""),"")</f>
        <v/>
      </c>
      <c r="J730" s="37">
        <f>IFERROR(IF(AND(ISNUMBER('Semi OpInc'!N19),ISNUMBER('Semi Rev'!N19),'Semi Rev'!N19&gt;0),'Semi OpInc'!N19/'Semi Rev'!N19,""),"")</f>
        <v/>
      </c>
      <c r="K730" s="37">
        <f>IFERROR(IF(AND(ISNUMBER('Semi OpInc'!O19),ISNUMBER('Semi Rev'!O19),'Semi Rev'!O19&gt;0),'Semi OpInc'!O19/'Semi Rev'!O19,""),"")</f>
        <v/>
      </c>
      <c r="L730" s="37">
        <f>IFERROR(IF(AND(ISNUMBER('Semi OpInc'!P19),ISNUMBER('Semi Rev'!P19),'Semi Rev'!P19&gt;0),'Semi OpInc'!P19/'Semi Rev'!P19,""),"")</f>
        <v/>
      </c>
      <c r="M730" s="38">
        <f>IFERROR(IF(AND(ISNUMBER('Semi OpInc'!Q19),ISNUMBER('Semi Rev'!Q19),'Semi Rev'!Q19&gt;0),'Semi OpInc'!Q19/'Semi Rev'!Q19,""),"")</f>
        <v/>
      </c>
      <c r="N730" s="38">
        <f>IFERROR(IF(AND(ISNUMBER('Semi OpInc'!R19),ISNUMBER('Semi Rev'!R19),'Semi Rev'!R19&gt;0),'Semi OpInc'!R19/'Semi Rev'!R19,""),"")</f>
        <v/>
      </c>
    </row>
    <row r="731">
      <c r="A731" s="19">
        <f>'Semi Rev'!$A20</f>
        <v/>
      </c>
      <c r="B731" s="19">
        <f>'Semi Rev'!$B20</f>
        <v/>
      </c>
      <c r="C731" s="37">
        <f>IFERROR(IF(AND(ISNUMBER('Semi OpInc'!G20),ISNUMBER('Semi Rev'!G20),'Semi Rev'!G20&gt;0),'Semi OpInc'!G20/'Semi Rev'!G20,""),"")</f>
        <v/>
      </c>
      <c r="D731" s="37">
        <f>IFERROR(IF(AND(ISNUMBER('Semi OpInc'!H20),ISNUMBER('Semi Rev'!H20),'Semi Rev'!H20&gt;0),'Semi OpInc'!H20/'Semi Rev'!H20,""),"")</f>
        <v/>
      </c>
      <c r="E731" s="37">
        <f>IFERROR(IF(AND(ISNUMBER('Semi OpInc'!I20),ISNUMBER('Semi Rev'!I20),'Semi Rev'!I20&gt;0),'Semi OpInc'!I20/'Semi Rev'!I20,""),"")</f>
        <v/>
      </c>
      <c r="F731" s="37">
        <f>IFERROR(IF(AND(ISNUMBER('Semi OpInc'!J20),ISNUMBER('Semi Rev'!J20),'Semi Rev'!J20&gt;0),'Semi OpInc'!J20/'Semi Rev'!J20,""),"")</f>
        <v/>
      </c>
      <c r="G731" s="37">
        <f>IFERROR(IF(AND(ISNUMBER('Semi OpInc'!K20),ISNUMBER('Semi Rev'!K20),'Semi Rev'!K20&gt;0),'Semi OpInc'!K20/'Semi Rev'!K20,""),"")</f>
        <v/>
      </c>
      <c r="H731" s="37">
        <f>IFERROR(IF(AND(ISNUMBER('Semi OpInc'!L20),ISNUMBER('Semi Rev'!L20),'Semi Rev'!L20&gt;0),'Semi OpInc'!L20/'Semi Rev'!L20,""),"")</f>
        <v/>
      </c>
      <c r="I731" s="37">
        <f>IFERROR(IF(AND(ISNUMBER('Semi OpInc'!M20),ISNUMBER('Semi Rev'!M20),'Semi Rev'!M20&gt;0),'Semi OpInc'!M20/'Semi Rev'!M20,""),"")</f>
        <v/>
      </c>
      <c r="J731" s="37">
        <f>IFERROR(IF(AND(ISNUMBER('Semi OpInc'!N20),ISNUMBER('Semi Rev'!N20),'Semi Rev'!N20&gt;0),'Semi OpInc'!N20/'Semi Rev'!N20,""),"")</f>
        <v/>
      </c>
      <c r="K731" s="37">
        <f>IFERROR(IF(AND(ISNUMBER('Semi OpInc'!O20),ISNUMBER('Semi Rev'!O20),'Semi Rev'!O20&gt;0),'Semi OpInc'!O20/'Semi Rev'!O20,""),"")</f>
        <v/>
      </c>
      <c r="L731" s="37">
        <f>IFERROR(IF(AND(ISNUMBER('Semi OpInc'!P20),ISNUMBER('Semi Rev'!P20),'Semi Rev'!P20&gt;0),'Semi OpInc'!P20/'Semi Rev'!P20,""),"")</f>
        <v/>
      </c>
      <c r="M731" s="38">
        <f>IFERROR(IF(AND(ISNUMBER('Semi OpInc'!Q20),ISNUMBER('Semi Rev'!Q20),'Semi Rev'!Q20&gt;0),'Semi OpInc'!Q20/'Semi Rev'!Q20,""),"")</f>
        <v/>
      </c>
      <c r="N731" s="38">
        <f>IFERROR(IF(AND(ISNUMBER('Semi OpInc'!R20),ISNUMBER('Semi Rev'!R20),'Semi Rev'!R20&gt;0),'Semi OpInc'!R20/'Semi Rev'!R20,""),"")</f>
        <v/>
      </c>
    </row>
    <row r="732">
      <c r="A732" s="19">
        <f>'Semi Rev'!$A21</f>
        <v/>
      </c>
      <c r="B732" s="19">
        <f>'Semi Rev'!$B21</f>
        <v/>
      </c>
      <c r="C732" s="37">
        <f>IFERROR(IF(AND(ISNUMBER('Semi OpInc'!G21),ISNUMBER('Semi Rev'!G21),'Semi Rev'!G21&gt;0),'Semi OpInc'!G21/'Semi Rev'!G21,""),"")</f>
        <v/>
      </c>
      <c r="D732" s="37">
        <f>IFERROR(IF(AND(ISNUMBER('Semi OpInc'!H21),ISNUMBER('Semi Rev'!H21),'Semi Rev'!H21&gt;0),'Semi OpInc'!H21/'Semi Rev'!H21,""),"")</f>
        <v/>
      </c>
      <c r="E732" s="37">
        <f>IFERROR(IF(AND(ISNUMBER('Semi OpInc'!I21),ISNUMBER('Semi Rev'!I21),'Semi Rev'!I21&gt;0),'Semi OpInc'!I21/'Semi Rev'!I21,""),"")</f>
        <v/>
      </c>
      <c r="F732" s="37">
        <f>IFERROR(IF(AND(ISNUMBER('Semi OpInc'!J21),ISNUMBER('Semi Rev'!J21),'Semi Rev'!J21&gt;0),'Semi OpInc'!J21/'Semi Rev'!J21,""),"")</f>
        <v/>
      </c>
      <c r="G732" s="37">
        <f>IFERROR(IF(AND(ISNUMBER('Semi OpInc'!K21),ISNUMBER('Semi Rev'!K21),'Semi Rev'!K21&gt;0),'Semi OpInc'!K21/'Semi Rev'!K21,""),"")</f>
        <v/>
      </c>
      <c r="H732" s="37">
        <f>IFERROR(IF(AND(ISNUMBER('Semi OpInc'!L21),ISNUMBER('Semi Rev'!L21),'Semi Rev'!L21&gt;0),'Semi OpInc'!L21/'Semi Rev'!L21,""),"")</f>
        <v/>
      </c>
      <c r="I732" s="37">
        <f>IFERROR(IF(AND(ISNUMBER('Semi OpInc'!M21),ISNUMBER('Semi Rev'!M21),'Semi Rev'!M21&gt;0),'Semi OpInc'!M21/'Semi Rev'!M21,""),"")</f>
        <v/>
      </c>
      <c r="J732" s="37">
        <f>IFERROR(IF(AND(ISNUMBER('Semi OpInc'!N21),ISNUMBER('Semi Rev'!N21),'Semi Rev'!N21&gt;0),'Semi OpInc'!N21/'Semi Rev'!N21,""),"")</f>
        <v/>
      </c>
      <c r="K732" s="37">
        <f>IFERROR(IF(AND(ISNUMBER('Semi OpInc'!O21),ISNUMBER('Semi Rev'!O21),'Semi Rev'!O21&gt;0),'Semi OpInc'!O21/'Semi Rev'!O21,""),"")</f>
        <v/>
      </c>
      <c r="L732" s="37">
        <f>IFERROR(IF(AND(ISNUMBER('Semi OpInc'!P21),ISNUMBER('Semi Rev'!P21),'Semi Rev'!P21&gt;0),'Semi OpInc'!P21/'Semi Rev'!P21,""),"")</f>
        <v/>
      </c>
      <c r="M732" s="38">
        <f>IFERROR(IF(AND(ISNUMBER('Semi OpInc'!Q21),ISNUMBER('Semi Rev'!Q21),'Semi Rev'!Q21&gt;0),'Semi OpInc'!Q21/'Semi Rev'!Q21,""),"")</f>
        <v/>
      </c>
      <c r="N732" s="38">
        <f>IFERROR(IF(AND(ISNUMBER('Semi OpInc'!R21),ISNUMBER('Semi Rev'!R21),'Semi Rev'!R21&gt;0),'Semi OpInc'!R21/'Semi Rev'!R21,""),"")</f>
        <v/>
      </c>
    </row>
    <row r="733">
      <c r="A733" s="19">
        <f>'Semi Rev'!$A22</f>
        <v/>
      </c>
      <c r="B733" s="19">
        <f>'Semi Rev'!$B22</f>
        <v/>
      </c>
      <c r="C733" s="37">
        <f>IFERROR(IF(AND(ISNUMBER('Semi OpInc'!G22),ISNUMBER('Semi Rev'!G22),'Semi Rev'!G22&gt;0),'Semi OpInc'!G22/'Semi Rev'!G22,""),"")</f>
        <v/>
      </c>
      <c r="D733" s="37">
        <f>IFERROR(IF(AND(ISNUMBER('Semi OpInc'!H22),ISNUMBER('Semi Rev'!H22),'Semi Rev'!H22&gt;0),'Semi OpInc'!H22/'Semi Rev'!H22,""),"")</f>
        <v/>
      </c>
      <c r="E733" s="37">
        <f>IFERROR(IF(AND(ISNUMBER('Semi OpInc'!I22),ISNUMBER('Semi Rev'!I22),'Semi Rev'!I22&gt;0),'Semi OpInc'!I22/'Semi Rev'!I22,""),"")</f>
        <v/>
      </c>
      <c r="F733" s="37">
        <f>IFERROR(IF(AND(ISNUMBER('Semi OpInc'!J22),ISNUMBER('Semi Rev'!J22),'Semi Rev'!J22&gt;0),'Semi OpInc'!J22/'Semi Rev'!J22,""),"")</f>
        <v/>
      </c>
      <c r="G733" s="37">
        <f>IFERROR(IF(AND(ISNUMBER('Semi OpInc'!K22),ISNUMBER('Semi Rev'!K22),'Semi Rev'!K22&gt;0),'Semi OpInc'!K22/'Semi Rev'!K22,""),"")</f>
        <v/>
      </c>
      <c r="H733" s="37">
        <f>IFERROR(IF(AND(ISNUMBER('Semi OpInc'!L22),ISNUMBER('Semi Rev'!L22),'Semi Rev'!L22&gt;0),'Semi OpInc'!L22/'Semi Rev'!L22,""),"")</f>
        <v/>
      </c>
      <c r="I733" s="37">
        <f>IFERROR(IF(AND(ISNUMBER('Semi OpInc'!M22),ISNUMBER('Semi Rev'!M22),'Semi Rev'!M22&gt;0),'Semi OpInc'!M22/'Semi Rev'!M22,""),"")</f>
        <v/>
      </c>
      <c r="J733" s="37">
        <f>IFERROR(IF(AND(ISNUMBER('Semi OpInc'!N22),ISNUMBER('Semi Rev'!N22),'Semi Rev'!N22&gt;0),'Semi OpInc'!N22/'Semi Rev'!N22,""),"")</f>
        <v/>
      </c>
      <c r="K733" s="37">
        <f>IFERROR(IF(AND(ISNUMBER('Semi OpInc'!O22),ISNUMBER('Semi Rev'!O22),'Semi Rev'!O22&gt;0),'Semi OpInc'!O22/'Semi Rev'!O22,""),"")</f>
        <v/>
      </c>
      <c r="L733" s="37">
        <f>IFERROR(IF(AND(ISNUMBER('Semi OpInc'!P22),ISNUMBER('Semi Rev'!P22),'Semi Rev'!P22&gt;0),'Semi OpInc'!P22/'Semi Rev'!P22,""),"")</f>
        <v/>
      </c>
      <c r="M733" s="38">
        <f>IFERROR(IF(AND(ISNUMBER('Semi OpInc'!Q22),ISNUMBER('Semi Rev'!Q22),'Semi Rev'!Q22&gt;0),'Semi OpInc'!Q22/'Semi Rev'!Q22,""),"")</f>
        <v/>
      </c>
      <c r="N733" s="38">
        <f>IFERROR(IF(AND(ISNUMBER('Semi OpInc'!R22),ISNUMBER('Semi Rev'!R22),'Semi Rev'!R22&gt;0),'Semi OpInc'!R22/'Semi Rev'!R22,""),"")</f>
        <v/>
      </c>
    </row>
    <row r="734">
      <c r="A734" s="19">
        <f>'Semi Rev'!$A23</f>
        <v/>
      </c>
      <c r="B734" s="19">
        <f>'Semi Rev'!$B23</f>
        <v/>
      </c>
      <c r="C734" s="37">
        <f>IFERROR(IF(AND(ISNUMBER('Semi OpInc'!G23),ISNUMBER('Semi Rev'!G23),'Semi Rev'!G23&gt;0),'Semi OpInc'!G23/'Semi Rev'!G23,""),"")</f>
        <v/>
      </c>
      <c r="D734" s="37">
        <f>IFERROR(IF(AND(ISNUMBER('Semi OpInc'!H23),ISNUMBER('Semi Rev'!H23),'Semi Rev'!H23&gt;0),'Semi OpInc'!H23/'Semi Rev'!H23,""),"")</f>
        <v/>
      </c>
      <c r="E734" s="37">
        <f>IFERROR(IF(AND(ISNUMBER('Semi OpInc'!I23),ISNUMBER('Semi Rev'!I23),'Semi Rev'!I23&gt;0),'Semi OpInc'!I23/'Semi Rev'!I23,""),"")</f>
        <v/>
      </c>
      <c r="F734" s="37">
        <f>IFERROR(IF(AND(ISNUMBER('Semi OpInc'!J23),ISNUMBER('Semi Rev'!J23),'Semi Rev'!J23&gt;0),'Semi OpInc'!J23/'Semi Rev'!J23,""),"")</f>
        <v/>
      </c>
      <c r="G734" s="37">
        <f>IFERROR(IF(AND(ISNUMBER('Semi OpInc'!K23),ISNUMBER('Semi Rev'!K23),'Semi Rev'!K23&gt;0),'Semi OpInc'!K23/'Semi Rev'!K23,""),"")</f>
        <v/>
      </c>
      <c r="H734" s="37">
        <f>IFERROR(IF(AND(ISNUMBER('Semi OpInc'!L23),ISNUMBER('Semi Rev'!L23),'Semi Rev'!L23&gt;0),'Semi OpInc'!L23/'Semi Rev'!L23,""),"")</f>
        <v/>
      </c>
      <c r="I734" s="37">
        <f>IFERROR(IF(AND(ISNUMBER('Semi OpInc'!M23),ISNUMBER('Semi Rev'!M23),'Semi Rev'!M23&gt;0),'Semi OpInc'!M23/'Semi Rev'!M23,""),"")</f>
        <v/>
      </c>
      <c r="J734" s="37">
        <f>IFERROR(IF(AND(ISNUMBER('Semi OpInc'!N23),ISNUMBER('Semi Rev'!N23),'Semi Rev'!N23&gt;0),'Semi OpInc'!N23/'Semi Rev'!N23,""),"")</f>
        <v/>
      </c>
      <c r="K734" s="37">
        <f>IFERROR(IF(AND(ISNUMBER('Semi OpInc'!O23),ISNUMBER('Semi Rev'!O23),'Semi Rev'!O23&gt;0),'Semi OpInc'!O23/'Semi Rev'!O23,""),"")</f>
        <v/>
      </c>
      <c r="L734" s="37">
        <f>IFERROR(IF(AND(ISNUMBER('Semi OpInc'!P23),ISNUMBER('Semi Rev'!P23),'Semi Rev'!P23&gt;0),'Semi OpInc'!P23/'Semi Rev'!P23,""),"")</f>
        <v/>
      </c>
      <c r="M734" s="38">
        <f>IFERROR(IF(AND(ISNUMBER('Semi OpInc'!Q23),ISNUMBER('Semi Rev'!Q23),'Semi Rev'!Q23&gt;0),'Semi OpInc'!Q23/'Semi Rev'!Q23,""),"")</f>
        <v/>
      </c>
      <c r="N734" s="38">
        <f>IFERROR(IF(AND(ISNUMBER('Semi OpInc'!R23),ISNUMBER('Semi Rev'!R23),'Semi Rev'!R23&gt;0),'Semi OpInc'!R23/'Semi Rev'!R23,""),"")</f>
        <v/>
      </c>
    </row>
    <row r="735">
      <c r="A735" s="19">
        <f>'Semi Rev'!$A24</f>
        <v/>
      </c>
      <c r="B735" s="19">
        <f>'Semi Rev'!$B24</f>
        <v/>
      </c>
      <c r="C735" s="37">
        <f>IFERROR(IF(AND(ISNUMBER('Semi OpInc'!G24),ISNUMBER('Semi Rev'!G24),'Semi Rev'!G24&gt;0),'Semi OpInc'!G24/'Semi Rev'!G24,""),"")</f>
        <v/>
      </c>
      <c r="D735" s="37">
        <f>IFERROR(IF(AND(ISNUMBER('Semi OpInc'!H24),ISNUMBER('Semi Rev'!H24),'Semi Rev'!H24&gt;0),'Semi OpInc'!H24/'Semi Rev'!H24,""),"")</f>
        <v/>
      </c>
      <c r="E735" s="37">
        <f>IFERROR(IF(AND(ISNUMBER('Semi OpInc'!I24),ISNUMBER('Semi Rev'!I24),'Semi Rev'!I24&gt;0),'Semi OpInc'!I24/'Semi Rev'!I24,""),"")</f>
        <v/>
      </c>
      <c r="F735" s="37">
        <f>IFERROR(IF(AND(ISNUMBER('Semi OpInc'!J24),ISNUMBER('Semi Rev'!J24),'Semi Rev'!J24&gt;0),'Semi OpInc'!J24/'Semi Rev'!J24,""),"")</f>
        <v/>
      </c>
      <c r="G735" s="37">
        <f>IFERROR(IF(AND(ISNUMBER('Semi OpInc'!K24),ISNUMBER('Semi Rev'!K24),'Semi Rev'!K24&gt;0),'Semi OpInc'!K24/'Semi Rev'!K24,""),"")</f>
        <v/>
      </c>
      <c r="H735" s="37">
        <f>IFERROR(IF(AND(ISNUMBER('Semi OpInc'!L24),ISNUMBER('Semi Rev'!L24),'Semi Rev'!L24&gt;0),'Semi OpInc'!L24/'Semi Rev'!L24,""),"")</f>
        <v/>
      </c>
      <c r="I735" s="37">
        <f>IFERROR(IF(AND(ISNUMBER('Semi OpInc'!M24),ISNUMBER('Semi Rev'!M24),'Semi Rev'!M24&gt;0),'Semi OpInc'!M24/'Semi Rev'!M24,""),"")</f>
        <v/>
      </c>
      <c r="J735" s="37">
        <f>IFERROR(IF(AND(ISNUMBER('Semi OpInc'!N24),ISNUMBER('Semi Rev'!N24),'Semi Rev'!N24&gt;0),'Semi OpInc'!N24/'Semi Rev'!N24,""),"")</f>
        <v/>
      </c>
      <c r="K735" s="37">
        <f>IFERROR(IF(AND(ISNUMBER('Semi OpInc'!O24),ISNUMBER('Semi Rev'!O24),'Semi Rev'!O24&gt;0),'Semi OpInc'!O24/'Semi Rev'!O24,""),"")</f>
        <v/>
      </c>
      <c r="L735" s="37">
        <f>IFERROR(IF(AND(ISNUMBER('Semi OpInc'!P24),ISNUMBER('Semi Rev'!P24),'Semi Rev'!P24&gt;0),'Semi OpInc'!P24/'Semi Rev'!P24,""),"")</f>
        <v/>
      </c>
      <c r="M735" s="38">
        <f>IFERROR(IF(AND(ISNUMBER('Semi OpInc'!Q24),ISNUMBER('Semi Rev'!Q24),'Semi Rev'!Q24&gt;0),'Semi OpInc'!Q24/'Semi Rev'!Q24,""),"")</f>
        <v/>
      </c>
      <c r="N735" s="38">
        <f>IFERROR(IF(AND(ISNUMBER('Semi OpInc'!R24),ISNUMBER('Semi Rev'!R24),'Semi Rev'!R24&gt;0),'Semi OpInc'!R24/'Semi Rev'!R24,""),"")</f>
        <v/>
      </c>
    </row>
    <row r="736">
      <c r="A736" s="19">
        <f>'Semi Rev'!$A25</f>
        <v/>
      </c>
      <c r="B736" s="19">
        <f>'Semi Rev'!$B25</f>
        <v/>
      </c>
      <c r="C736" s="37">
        <f>IFERROR(IF(AND(ISNUMBER('Semi OpInc'!G25),ISNUMBER('Semi Rev'!G25),'Semi Rev'!G25&gt;0),'Semi OpInc'!G25/'Semi Rev'!G25,""),"")</f>
        <v/>
      </c>
      <c r="D736" s="37">
        <f>IFERROR(IF(AND(ISNUMBER('Semi OpInc'!H25),ISNUMBER('Semi Rev'!H25),'Semi Rev'!H25&gt;0),'Semi OpInc'!H25/'Semi Rev'!H25,""),"")</f>
        <v/>
      </c>
      <c r="E736" s="37">
        <f>IFERROR(IF(AND(ISNUMBER('Semi OpInc'!I25),ISNUMBER('Semi Rev'!I25),'Semi Rev'!I25&gt;0),'Semi OpInc'!I25/'Semi Rev'!I25,""),"")</f>
        <v/>
      </c>
      <c r="F736" s="37">
        <f>IFERROR(IF(AND(ISNUMBER('Semi OpInc'!J25),ISNUMBER('Semi Rev'!J25),'Semi Rev'!J25&gt;0),'Semi OpInc'!J25/'Semi Rev'!J25,""),"")</f>
        <v/>
      </c>
      <c r="G736" s="37">
        <f>IFERROR(IF(AND(ISNUMBER('Semi OpInc'!K25),ISNUMBER('Semi Rev'!K25),'Semi Rev'!K25&gt;0),'Semi OpInc'!K25/'Semi Rev'!K25,""),"")</f>
        <v/>
      </c>
      <c r="H736" s="37">
        <f>IFERROR(IF(AND(ISNUMBER('Semi OpInc'!L25),ISNUMBER('Semi Rev'!L25),'Semi Rev'!L25&gt;0),'Semi OpInc'!L25/'Semi Rev'!L25,""),"")</f>
        <v/>
      </c>
      <c r="I736" s="37">
        <f>IFERROR(IF(AND(ISNUMBER('Semi OpInc'!M25),ISNUMBER('Semi Rev'!M25),'Semi Rev'!M25&gt;0),'Semi OpInc'!M25/'Semi Rev'!M25,""),"")</f>
        <v/>
      </c>
      <c r="J736" s="37">
        <f>IFERROR(IF(AND(ISNUMBER('Semi OpInc'!N25),ISNUMBER('Semi Rev'!N25),'Semi Rev'!N25&gt;0),'Semi OpInc'!N25/'Semi Rev'!N25,""),"")</f>
        <v/>
      </c>
      <c r="K736" s="37">
        <f>IFERROR(IF(AND(ISNUMBER('Semi OpInc'!O25),ISNUMBER('Semi Rev'!O25),'Semi Rev'!O25&gt;0),'Semi OpInc'!O25/'Semi Rev'!O25,""),"")</f>
        <v/>
      </c>
      <c r="L736" s="37">
        <f>IFERROR(IF(AND(ISNUMBER('Semi OpInc'!P25),ISNUMBER('Semi Rev'!P25),'Semi Rev'!P25&gt;0),'Semi OpInc'!P25/'Semi Rev'!P25,""),"")</f>
        <v/>
      </c>
      <c r="M736" s="38">
        <f>IFERROR(IF(AND(ISNUMBER('Semi OpInc'!Q25),ISNUMBER('Semi Rev'!Q25),'Semi Rev'!Q25&gt;0),'Semi OpInc'!Q25/'Semi Rev'!Q25,""),"")</f>
        <v/>
      </c>
      <c r="N736" s="38">
        <f>IFERROR(IF(AND(ISNUMBER('Semi OpInc'!R25),ISNUMBER('Semi Rev'!R25),'Semi Rev'!R25&gt;0),'Semi OpInc'!R25/'Semi Rev'!R25,""),"")</f>
        <v/>
      </c>
    </row>
    <row r="737">
      <c r="A737" s="19">
        <f>'Semi Rev'!$A26</f>
        <v/>
      </c>
      <c r="B737" s="19">
        <f>'Semi Rev'!$B26</f>
        <v/>
      </c>
      <c r="C737" s="37">
        <f>IFERROR(IF(AND(ISNUMBER('Semi OpInc'!G26),ISNUMBER('Semi Rev'!G26),'Semi Rev'!G26&gt;0),'Semi OpInc'!G26/'Semi Rev'!G26,""),"")</f>
        <v/>
      </c>
      <c r="D737" s="37">
        <f>IFERROR(IF(AND(ISNUMBER('Semi OpInc'!H26),ISNUMBER('Semi Rev'!H26),'Semi Rev'!H26&gt;0),'Semi OpInc'!H26/'Semi Rev'!H26,""),"")</f>
        <v/>
      </c>
      <c r="E737" s="37">
        <f>IFERROR(IF(AND(ISNUMBER('Semi OpInc'!I26),ISNUMBER('Semi Rev'!I26),'Semi Rev'!I26&gt;0),'Semi OpInc'!I26/'Semi Rev'!I26,""),"")</f>
        <v/>
      </c>
      <c r="F737" s="37">
        <f>IFERROR(IF(AND(ISNUMBER('Semi OpInc'!J26),ISNUMBER('Semi Rev'!J26),'Semi Rev'!J26&gt;0),'Semi OpInc'!J26/'Semi Rev'!J26,""),"")</f>
        <v/>
      </c>
      <c r="G737" s="37">
        <f>IFERROR(IF(AND(ISNUMBER('Semi OpInc'!K26),ISNUMBER('Semi Rev'!K26),'Semi Rev'!K26&gt;0),'Semi OpInc'!K26/'Semi Rev'!K26,""),"")</f>
        <v/>
      </c>
      <c r="H737" s="37">
        <f>IFERROR(IF(AND(ISNUMBER('Semi OpInc'!L26),ISNUMBER('Semi Rev'!L26),'Semi Rev'!L26&gt;0),'Semi OpInc'!L26/'Semi Rev'!L26,""),"")</f>
        <v/>
      </c>
      <c r="I737" s="37">
        <f>IFERROR(IF(AND(ISNUMBER('Semi OpInc'!M26),ISNUMBER('Semi Rev'!M26),'Semi Rev'!M26&gt;0),'Semi OpInc'!M26/'Semi Rev'!M26,""),"")</f>
        <v/>
      </c>
      <c r="J737" s="37">
        <f>IFERROR(IF(AND(ISNUMBER('Semi OpInc'!N26),ISNUMBER('Semi Rev'!N26),'Semi Rev'!N26&gt;0),'Semi OpInc'!N26/'Semi Rev'!N26,""),"")</f>
        <v/>
      </c>
      <c r="K737" s="37">
        <f>IFERROR(IF(AND(ISNUMBER('Semi OpInc'!O26),ISNUMBER('Semi Rev'!O26),'Semi Rev'!O26&gt;0),'Semi OpInc'!O26/'Semi Rev'!O26,""),"")</f>
        <v/>
      </c>
      <c r="L737" s="37">
        <f>IFERROR(IF(AND(ISNUMBER('Semi OpInc'!P26),ISNUMBER('Semi Rev'!P26),'Semi Rev'!P26&gt;0),'Semi OpInc'!P26/'Semi Rev'!P26,""),"")</f>
        <v/>
      </c>
      <c r="M737" s="38">
        <f>IFERROR(IF(AND(ISNUMBER('Semi OpInc'!Q26),ISNUMBER('Semi Rev'!Q26),'Semi Rev'!Q26&gt;0),'Semi OpInc'!Q26/'Semi Rev'!Q26,""),"")</f>
        <v/>
      </c>
      <c r="N737" s="38">
        <f>IFERROR(IF(AND(ISNUMBER('Semi OpInc'!R26),ISNUMBER('Semi Rev'!R26),'Semi Rev'!R26&gt;0),'Semi OpInc'!R26/'Semi Rev'!R26,""),"")</f>
        <v/>
      </c>
    </row>
    <row r="738">
      <c r="A738" s="19">
        <f>'Semi Rev'!$A27</f>
        <v/>
      </c>
      <c r="B738" s="19">
        <f>'Semi Rev'!$B27</f>
        <v/>
      </c>
      <c r="C738" s="37">
        <f>IFERROR(IF(AND(ISNUMBER('Semi OpInc'!G27),ISNUMBER('Semi Rev'!G27),'Semi Rev'!G27&gt;0),'Semi OpInc'!G27/'Semi Rev'!G27,""),"")</f>
        <v/>
      </c>
      <c r="D738" s="37">
        <f>IFERROR(IF(AND(ISNUMBER('Semi OpInc'!H27),ISNUMBER('Semi Rev'!H27),'Semi Rev'!H27&gt;0),'Semi OpInc'!H27/'Semi Rev'!H27,""),"")</f>
        <v/>
      </c>
      <c r="E738" s="37">
        <f>IFERROR(IF(AND(ISNUMBER('Semi OpInc'!I27),ISNUMBER('Semi Rev'!I27),'Semi Rev'!I27&gt;0),'Semi OpInc'!I27/'Semi Rev'!I27,""),"")</f>
        <v/>
      </c>
      <c r="F738" s="37">
        <f>IFERROR(IF(AND(ISNUMBER('Semi OpInc'!J27),ISNUMBER('Semi Rev'!J27),'Semi Rev'!J27&gt;0),'Semi OpInc'!J27/'Semi Rev'!J27,""),"")</f>
        <v/>
      </c>
      <c r="G738" s="37">
        <f>IFERROR(IF(AND(ISNUMBER('Semi OpInc'!K27),ISNUMBER('Semi Rev'!K27),'Semi Rev'!K27&gt;0),'Semi OpInc'!K27/'Semi Rev'!K27,""),"")</f>
        <v/>
      </c>
      <c r="H738" s="37">
        <f>IFERROR(IF(AND(ISNUMBER('Semi OpInc'!L27),ISNUMBER('Semi Rev'!L27),'Semi Rev'!L27&gt;0),'Semi OpInc'!L27/'Semi Rev'!L27,""),"")</f>
        <v/>
      </c>
      <c r="I738" s="37">
        <f>IFERROR(IF(AND(ISNUMBER('Semi OpInc'!M27),ISNUMBER('Semi Rev'!M27),'Semi Rev'!M27&gt;0),'Semi OpInc'!M27/'Semi Rev'!M27,""),"")</f>
        <v/>
      </c>
      <c r="J738" s="37">
        <f>IFERROR(IF(AND(ISNUMBER('Semi OpInc'!N27),ISNUMBER('Semi Rev'!N27),'Semi Rev'!N27&gt;0),'Semi OpInc'!N27/'Semi Rev'!N27,""),"")</f>
        <v/>
      </c>
      <c r="K738" s="37">
        <f>IFERROR(IF(AND(ISNUMBER('Semi OpInc'!O27),ISNUMBER('Semi Rev'!O27),'Semi Rev'!O27&gt;0),'Semi OpInc'!O27/'Semi Rev'!O27,""),"")</f>
        <v/>
      </c>
      <c r="L738" s="37">
        <f>IFERROR(IF(AND(ISNUMBER('Semi OpInc'!P27),ISNUMBER('Semi Rev'!P27),'Semi Rev'!P27&gt;0),'Semi OpInc'!P27/'Semi Rev'!P27,""),"")</f>
        <v/>
      </c>
      <c r="M738" s="38">
        <f>IFERROR(IF(AND(ISNUMBER('Semi OpInc'!Q27),ISNUMBER('Semi Rev'!Q27),'Semi Rev'!Q27&gt;0),'Semi OpInc'!Q27/'Semi Rev'!Q27,""),"")</f>
        <v/>
      </c>
      <c r="N738" s="38">
        <f>IFERROR(IF(AND(ISNUMBER('Semi OpInc'!R27),ISNUMBER('Semi Rev'!R27),'Semi Rev'!R27&gt;0),'Semi OpInc'!R27/'Semi Rev'!R27,""),"")</f>
        <v/>
      </c>
    </row>
    <row r="739">
      <c r="A739" s="19">
        <f>'Semi Rev'!$A28</f>
        <v/>
      </c>
      <c r="B739" s="19">
        <f>'Semi Rev'!$B28</f>
        <v/>
      </c>
      <c r="C739" s="37">
        <f>IFERROR(IF(AND(ISNUMBER('Semi OpInc'!G28),ISNUMBER('Semi Rev'!G28),'Semi Rev'!G28&gt;0),'Semi OpInc'!G28/'Semi Rev'!G28,""),"")</f>
        <v/>
      </c>
      <c r="D739" s="37">
        <f>IFERROR(IF(AND(ISNUMBER('Semi OpInc'!H28),ISNUMBER('Semi Rev'!H28),'Semi Rev'!H28&gt;0),'Semi OpInc'!H28/'Semi Rev'!H28,""),"")</f>
        <v/>
      </c>
      <c r="E739" s="37">
        <f>IFERROR(IF(AND(ISNUMBER('Semi OpInc'!I28),ISNUMBER('Semi Rev'!I28),'Semi Rev'!I28&gt;0),'Semi OpInc'!I28/'Semi Rev'!I28,""),"")</f>
        <v/>
      </c>
      <c r="F739" s="37">
        <f>IFERROR(IF(AND(ISNUMBER('Semi OpInc'!J28),ISNUMBER('Semi Rev'!J28),'Semi Rev'!J28&gt;0),'Semi OpInc'!J28/'Semi Rev'!J28,""),"")</f>
        <v/>
      </c>
      <c r="G739" s="37">
        <f>IFERROR(IF(AND(ISNUMBER('Semi OpInc'!K28),ISNUMBER('Semi Rev'!K28),'Semi Rev'!K28&gt;0),'Semi OpInc'!K28/'Semi Rev'!K28,""),"")</f>
        <v/>
      </c>
      <c r="H739" s="37">
        <f>IFERROR(IF(AND(ISNUMBER('Semi OpInc'!L28),ISNUMBER('Semi Rev'!L28),'Semi Rev'!L28&gt;0),'Semi OpInc'!L28/'Semi Rev'!L28,""),"")</f>
        <v/>
      </c>
      <c r="I739" s="37">
        <f>IFERROR(IF(AND(ISNUMBER('Semi OpInc'!M28),ISNUMBER('Semi Rev'!M28),'Semi Rev'!M28&gt;0),'Semi OpInc'!M28/'Semi Rev'!M28,""),"")</f>
        <v/>
      </c>
      <c r="J739" s="37">
        <f>IFERROR(IF(AND(ISNUMBER('Semi OpInc'!N28),ISNUMBER('Semi Rev'!N28),'Semi Rev'!N28&gt;0),'Semi OpInc'!N28/'Semi Rev'!N28,""),"")</f>
        <v/>
      </c>
      <c r="K739" s="37">
        <f>IFERROR(IF(AND(ISNUMBER('Semi OpInc'!O28),ISNUMBER('Semi Rev'!O28),'Semi Rev'!O28&gt;0),'Semi OpInc'!O28/'Semi Rev'!O28,""),"")</f>
        <v/>
      </c>
      <c r="L739" s="37">
        <f>IFERROR(IF(AND(ISNUMBER('Semi OpInc'!P28),ISNUMBER('Semi Rev'!P28),'Semi Rev'!P28&gt;0),'Semi OpInc'!P28/'Semi Rev'!P28,""),"")</f>
        <v/>
      </c>
      <c r="M739" s="38">
        <f>IFERROR(IF(AND(ISNUMBER('Semi OpInc'!Q28),ISNUMBER('Semi Rev'!Q28),'Semi Rev'!Q28&gt;0),'Semi OpInc'!Q28/'Semi Rev'!Q28,""),"")</f>
        <v/>
      </c>
      <c r="N739" s="38">
        <f>IFERROR(IF(AND(ISNUMBER('Semi OpInc'!R28),ISNUMBER('Semi Rev'!R28),'Semi Rev'!R28&gt;0),'Semi OpInc'!R28/'Semi Rev'!R28,""),"")</f>
        <v/>
      </c>
    </row>
    <row r="740">
      <c r="A740" s="19">
        <f>'Semi Rev'!$A29</f>
        <v/>
      </c>
      <c r="B740" s="19">
        <f>'Semi Rev'!$B29</f>
        <v/>
      </c>
      <c r="C740" s="37">
        <f>IFERROR(IF(AND(ISNUMBER('Semi OpInc'!G29),ISNUMBER('Semi Rev'!G29),'Semi Rev'!G29&gt;0),'Semi OpInc'!G29/'Semi Rev'!G29,""),"")</f>
        <v/>
      </c>
      <c r="D740" s="37">
        <f>IFERROR(IF(AND(ISNUMBER('Semi OpInc'!H29),ISNUMBER('Semi Rev'!H29),'Semi Rev'!H29&gt;0),'Semi OpInc'!H29/'Semi Rev'!H29,""),"")</f>
        <v/>
      </c>
      <c r="E740" s="37">
        <f>IFERROR(IF(AND(ISNUMBER('Semi OpInc'!I29),ISNUMBER('Semi Rev'!I29),'Semi Rev'!I29&gt;0),'Semi OpInc'!I29/'Semi Rev'!I29,""),"")</f>
        <v/>
      </c>
      <c r="F740" s="37">
        <f>IFERROR(IF(AND(ISNUMBER('Semi OpInc'!J29),ISNUMBER('Semi Rev'!J29),'Semi Rev'!J29&gt;0),'Semi OpInc'!J29/'Semi Rev'!J29,""),"")</f>
        <v/>
      </c>
      <c r="G740" s="37">
        <f>IFERROR(IF(AND(ISNUMBER('Semi OpInc'!K29),ISNUMBER('Semi Rev'!K29),'Semi Rev'!K29&gt;0),'Semi OpInc'!K29/'Semi Rev'!K29,""),"")</f>
        <v/>
      </c>
      <c r="H740" s="37">
        <f>IFERROR(IF(AND(ISNUMBER('Semi OpInc'!L29),ISNUMBER('Semi Rev'!L29),'Semi Rev'!L29&gt;0),'Semi OpInc'!L29/'Semi Rev'!L29,""),"")</f>
        <v/>
      </c>
      <c r="I740" s="37">
        <f>IFERROR(IF(AND(ISNUMBER('Semi OpInc'!M29),ISNUMBER('Semi Rev'!M29),'Semi Rev'!M29&gt;0),'Semi OpInc'!M29/'Semi Rev'!M29,""),"")</f>
        <v/>
      </c>
      <c r="J740" s="37">
        <f>IFERROR(IF(AND(ISNUMBER('Semi OpInc'!N29),ISNUMBER('Semi Rev'!N29),'Semi Rev'!N29&gt;0),'Semi OpInc'!N29/'Semi Rev'!N29,""),"")</f>
        <v/>
      </c>
      <c r="K740" s="37">
        <f>IFERROR(IF(AND(ISNUMBER('Semi OpInc'!O29),ISNUMBER('Semi Rev'!O29),'Semi Rev'!O29&gt;0),'Semi OpInc'!O29/'Semi Rev'!O29,""),"")</f>
        <v/>
      </c>
      <c r="L740" s="37">
        <f>IFERROR(IF(AND(ISNUMBER('Semi OpInc'!P29),ISNUMBER('Semi Rev'!P29),'Semi Rev'!P29&gt;0),'Semi OpInc'!P29/'Semi Rev'!P29,""),"")</f>
        <v/>
      </c>
      <c r="M740" s="38">
        <f>IFERROR(IF(AND(ISNUMBER('Semi OpInc'!Q29),ISNUMBER('Semi Rev'!Q29),'Semi Rev'!Q29&gt;0),'Semi OpInc'!Q29/'Semi Rev'!Q29,""),"")</f>
        <v/>
      </c>
      <c r="N740" s="38">
        <f>IFERROR(IF(AND(ISNUMBER('Semi OpInc'!R29),ISNUMBER('Semi Rev'!R29),'Semi Rev'!R29&gt;0),'Semi OpInc'!R29/'Semi Rev'!R29,""),"")</f>
        <v/>
      </c>
    </row>
    <row r="741">
      <c r="A741" s="19">
        <f>'Semi Rev'!$A30</f>
        <v/>
      </c>
      <c r="B741" s="19">
        <f>'Semi Rev'!$B30</f>
        <v/>
      </c>
      <c r="C741" s="37">
        <f>IFERROR(IF(AND(ISNUMBER('Semi OpInc'!G30),ISNUMBER('Semi Rev'!G30),'Semi Rev'!G30&gt;0),'Semi OpInc'!G30/'Semi Rev'!G30,""),"")</f>
        <v/>
      </c>
      <c r="D741" s="37">
        <f>IFERROR(IF(AND(ISNUMBER('Semi OpInc'!H30),ISNUMBER('Semi Rev'!H30),'Semi Rev'!H30&gt;0),'Semi OpInc'!H30/'Semi Rev'!H30,""),"")</f>
        <v/>
      </c>
      <c r="E741" s="37">
        <f>IFERROR(IF(AND(ISNUMBER('Semi OpInc'!I30),ISNUMBER('Semi Rev'!I30),'Semi Rev'!I30&gt;0),'Semi OpInc'!I30/'Semi Rev'!I30,""),"")</f>
        <v/>
      </c>
      <c r="F741" s="37">
        <f>IFERROR(IF(AND(ISNUMBER('Semi OpInc'!J30),ISNUMBER('Semi Rev'!J30),'Semi Rev'!J30&gt;0),'Semi OpInc'!J30/'Semi Rev'!J30,""),"")</f>
        <v/>
      </c>
      <c r="G741" s="37">
        <f>IFERROR(IF(AND(ISNUMBER('Semi OpInc'!K30),ISNUMBER('Semi Rev'!K30),'Semi Rev'!K30&gt;0),'Semi OpInc'!K30/'Semi Rev'!K30,""),"")</f>
        <v/>
      </c>
      <c r="H741" s="37">
        <f>IFERROR(IF(AND(ISNUMBER('Semi OpInc'!L30),ISNUMBER('Semi Rev'!L30),'Semi Rev'!L30&gt;0),'Semi OpInc'!L30/'Semi Rev'!L30,""),"")</f>
        <v/>
      </c>
      <c r="I741" s="37">
        <f>IFERROR(IF(AND(ISNUMBER('Semi OpInc'!M30),ISNUMBER('Semi Rev'!M30),'Semi Rev'!M30&gt;0),'Semi OpInc'!M30/'Semi Rev'!M30,""),"")</f>
        <v/>
      </c>
      <c r="J741" s="37">
        <f>IFERROR(IF(AND(ISNUMBER('Semi OpInc'!N30),ISNUMBER('Semi Rev'!N30),'Semi Rev'!N30&gt;0),'Semi OpInc'!N30/'Semi Rev'!N30,""),"")</f>
        <v/>
      </c>
      <c r="K741" s="37">
        <f>IFERROR(IF(AND(ISNUMBER('Semi OpInc'!O30),ISNUMBER('Semi Rev'!O30),'Semi Rev'!O30&gt;0),'Semi OpInc'!O30/'Semi Rev'!O30,""),"")</f>
        <v/>
      </c>
      <c r="L741" s="37">
        <f>IFERROR(IF(AND(ISNUMBER('Semi OpInc'!P30),ISNUMBER('Semi Rev'!P30),'Semi Rev'!P30&gt;0),'Semi OpInc'!P30/'Semi Rev'!P30,""),"")</f>
        <v/>
      </c>
      <c r="M741" s="38">
        <f>IFERROR(IF(AND(ISNUMBER('Semi OpInc'!Q30),ISNUMBER('Semi Rev'!Q30),'Semi Rev'!Q30&gt;0),'Semi OpInc'!Q30/'Semi Rev'!Q30,""),"")</f>
        <v/>
      </c>
      <c r="N741" s="38">
        <f>IFERROR(IF(AND(ISNUMBER('Semi OpInc'!R30),ISNUMBER('Semi Rev'!R30),'Semi Rev'!R30&gt;0),'Semi OpInc'!R30/'Semi Rev'!R30,""),"")</f>
        <v/>
      </c>
    </row>
    <row r="742">
      <c r="A742" s="19">
        <f>'Semi Rev'!$A31</f>
        <v/>
      </c>
      <c r="B742" s="19">
        <f>'Semi Rev'!$B31</f>
        <v/>
      </c>
      <c r="C742" s="37">
        <f>IFERROR(IF(AND(ISNUMBER('Semi OpInc'!G31),ISNUMBER('Semi Rev'!G31),'Semi Rev'!G31&gt;0),'Semi OpInc'!G31/'Semi Rev'!G31,""),"")</f>
        <v/>
      </c>
      <c r="D742" s="37">
        <f>IFERROR(IF(AND(ISNUMBER('Semi OpInc'!H31),ISNUMBER('Semi Rev'!H31),'Semi Rev'!H31&gt;0),'Semi OpInc'!H31/'Semi Rev'!H31,""),"")</f>
        <v/>
      </c>
      <c r="E742" s="37">
        <f>IFERROR(IF(AND(ISNUMBER('Semi OpInc'!I31),ISNUMBER('Semi Rev'!I31),'Semi Rev'!I31&gt;0),'Semi OpInc'!I31/'Semi Rev'!I31,""),"")</f>
        <v/>
      </c>
      <c r="F742" s="37">
        <f>IFERROR(IF(AND(ISNUMBER('Semi OpInc'!J31),ISNUMBER('Semi Rev'!J31),'Semi Rev'!J31&gt;0),'Semi OpInc'!J31/'Semi Rev'!J31,""),"")</f>
        <v/>
      </c>
      <c r="G742" s="37">
        <f>IFERROR(IF(AND(ISNUMBER('Semi OpInc'!K31),ISNUMBER('Semi Rev'!K31),'Semi Rev'!K31&gt;0),'Semi OpInc'!K31/'Semi Rev'!K31,""),"")</f>
        <v/>
      </c>
      <c r="H742" s="37">
        <f>IFERROR(IF(AND(ISNUMBER('Semi OpInc'!L31),ISNUMBER('Semi Rev'!L31),'Semi Rev'!L31&gt;0),'Semi OpInc'!L31/'Semi Rev'!L31,""),"")</f>
        <v/>
      </c>
      <c r="I742" s="37">
        <f>IFERROR(IF(AND(ISNUMBER('Semi OpInc'!M31),ISNUMBER('Semi Rev'!M31),'Semi Rev'!M31&gt;0),'Semi OpInc'!M31/'Semi Rev'!M31,""),"")</f>
        <v/>
      </c>
      <c r="J742" s="37">
        <f>IFERROR(IF(AND(ISNUMBER('Semi OpInc'!N31),ISNUMBER('Semi Rev'!N31),'Semi Rev'!N31&gt;0),'Semi OpInc'!N31/'Semi Rev'!N31,""),"")</f>
        <v/>
      </c>
      <c r="K742" s="37">
        <f>IFERROR(IF(AND(ISNUMBER('Semi OpInc'!O31),ISNUMBER('Semi Rev'!O31),'Semi Rev'!O31&gt;0),'Semi OpInc'!O31/'Semi Rev'!O31,""),"")</f>
        <v/>
      </c>
      <c r="L742" s="37">
        <f>IFERROR(IF(AND(ISNUMBER('Semi OpInc'!P31),ISNUMBER('Semi Rev'!P31),'Semi Rev'!P31&gt;0),'Semi OpInc'!P31/'Semi Rev'!P31,""),"")</f>
        <v/>
      </c>
      <c r="M742" s="38">
        <f>IFERROR(IF(AND(ISNUMBER('Semi OpInc'!Q31),ISNUMBER('Semi Rev'!Q31),'Semi Rev'!Q31&gt;0),'Semi OpInc'!Q31/'Semi Rev'!Q31,""),"")</f>
        <v/>
      </c>
      <c r="N742" s="38">
        <f>IFERROR(IF(AND(ISNUMBER('Semi OpInc'!R31),ISNUMBER('Semi Rev'!R31),'Semi Rev'!R31&gt;0),'Semi OpInc'!R31/'Semi Rev'!R31,""),"")</f>
        <v/>
      </c>
    </row>
    <row r="743">
      <c r="A743" s="19">
        <f>'Semi Rev'!$A32</f>
        <v/>
      </c>
      <c r="B743" s="19">
        <f>'Semi Rev'!$B32</f>
        <v/>
      </c>
      <c r="C743" s="37">
        <f>IFERROR(IF(AND(ISNUMBER('Semi OpInc'!G32),ISNUMBER('Semi Rev'!G32),'Semi Rev'!G32&gt;0),'Semi OpInc'!G32/'Semi Rev'!G32,""),"")</f>
        <v/>
      </c>
      <c r="D743" s="37">
        <f>IFERROR(IF(AND(ISNUMBER('Semi OpInc'!H32),ISNUMBER('Semi Rev'!H32),'Semi Rev'!H32&gt;0),'Semi OpInc'!H32/'Semi Rev'!H32,""),"")</f>
        <v/>
      </c>
      <c r="E743" s="37">
        <f>IFERROR(IF(AND(ISNUMBER('Semi OpInc'!I32),ISNUMBER('Semi Rev'!I32),'Semi Rev'!I32&gt;0),'Semi OpInc'!I32/'Semi Rev'!I32,""),"")</f>
        <v/>
      </c>
      <c r="F743" s="37">
        <f>IFERROR(IF(AND(ISNUMBER('Semi OpInc'!J32),ISNUMBER('Semi Rev'!J32),'Semi Rev'!J32&gt;0),'Semi OpInc'!J32/'Semi Rev'!J32,""),"")</f>
        <v/>
      </c>
      <c r="G743" s="37">
        <f>IFERROR(IF(AND(ISNUMBER('Semi OpInc'!K32),ISNUMBER('Semi Rev'!K32),'Semi Rev'!K32&gt;0),'Semi OpInc'!K32/'Semi Rev'!K32,""),"")</f>
        <v/>
      </c>
      <c r="H743" s="37">
        <f>IFERROR(IF(AND(ISNUMBER('Semi OpInc'!L32),ISNUMBER('Semi Rev'!L32),'Semi Rev'!L32&gt;0),'Semi OpInc'!L32/'Semi Rev'!L32,""),"")</f>
        <v/>
      </c>
      <c r="I743" s="37">
        <f>IFERROR(IF(AND(ISNUMBER('Semi OpInc'!M32),ISNUMBER('Semi Rev'!M32),'Semi Rev'!M32&gt;0),'Semi OpInc'!M32/'Semi Rev'!M32,""),"")</f>
        <v/>
      </c>
      <c r="J743" s="37">
        <f>IFERROR(IF(AND(ISNUMBER('Semi OpInc'!N32),ISNUMBER('Semi Rev'!N32),'Semi Rev'!N32&gt;0),'Semi OpInc'!N32/'Semi Rev'!N32,""),"")</f>
        <v/>
      </c>
      <c r="K743" s="37">
        <f>IFERROR(IF(AND(ISNUMBER('Semi OpInc'!O32),ISNUMBER('Semi Rev'!O32),'Semi Rev'!O32&gt;0),'Semi OpInc'!O32/'Semi Rev'!O32,""),"")</f>
        <v/>
      </c>
      <c r="L743" s="37">
        <f>IFERROR(IF(AND(ISNUMBER('Semi OpInc'!P32),ISNUMBER('Semi Rev'!P32),'Semi Rev'!P32&gt;0),'Semi OpInc'!P32/'Semi Rev'!P32,""),"")</f>
        <v/>
      </c>
      <c r="M743" s="38">
        <f>IFERROR(IF(AND(ISNUMBER('Semi OpInc'!Q32),ISNUMBER('Semi Rev'!Q32),'Semi Rev'!Q32&gt;0),'Semi OpInc'!Q32/'Semi Rev'!Q32,""),"")</f>
        <v/>
      </c>
      <c r="N743" s="38">
        <f>IFERROR(IF(AND(ISNUMBER('Semi OpInc'!R32),ISNUMBER('Semi Rev'!R32),'Semi Rev'!R32&gt;0),'Semi OpInc'!R32/'Semi Rev'!R32,""),"")</f>
        <v/>
      </c>
    </row>
    <row r="744">
      <c r="A744" s="19">
        <f>'Semi Rev'!$A33</f>
        <v/>
      </c>
      <c r="B744" s="19">
        <f>'Semi Rev'!$B33</f>
        <v/>
      </c>
      <c r="C744" s="37">
        <f>IFERROR(IF(AND(ISNUMBER('Semi OpInc'!G33),ISNUMBER('Semi Rev'!G33),'Semi Rev'!G33&gt;0),'Semi OpInc'!G33/'Semi Rev'!G33,""),"")</f>
        <v/>
      </c>
      <c r="D744" s="37">
        <f>IFERROR(IF(AND(ISNUMBER('Semi OpInc'!H33),ISNUMBER('Semi Rev'!H33),'Semi Rev'!H33&gt;0),'Semi OpInc'!H33/'Semi Rev'!H33,""),"")</f>
        <v/>
      </c>
      <c r="E744" s="37">
        <f>IFERROR(IF(AND(ISNUMBER('Semi OpInc'!I33),ISNUMBER('Semi Rev'!I33),'Semi Rev'!I33&gt;0),'Semi OpInc'!I33/'Semi Rev'!I33,""),"")</f>
        <v/>
      </c>
      <c r="F744" s="37">
        <f>IFERROR(IF(AND(ISNUMBER('Semi OpInc'!J33),ISNUMBER('Semi Rev'!J33),'Semi Rev'!J33&gt;0),'Semi OpInc'!J33/'Semi Rev'!J33,""),"")</f>
        <v/>
      </c>
      <c r="G744" s="37">
        <f>IFERROR(IF(AND(ISNUMBER('Semi OpInc'!K33),ISNUMBER('Semi Rev'!K33),'Semi Rev'!K33&gt;0),'Semi OpInc'!K33/'Semi Rev'!K33,""),"")</f>
        <v/>
      </c>
      <c r="H744" s="37">
        <f>IFERROR(IF(AND(ISNUMBER('Semi OpInc'!L33),ISNUMBER('Semi Rev'!L33),'Semi Rev'!L33&gt;0),'Semi OpInc'!L33/'Semi Rev'!L33,""),"")</f>
        <v/>
      </c>
      <c r="I744" s="37">
        <f>IFERROR(IF(AND(ISNUMBER('Semi OpInc'!M33),ISNUMBER('Semi Rev'!M33),'Semi Rev'!M33&gt;0),'Semi OpInc'!M33/'Semi Rev'!M33,""),"")</f>
        <v/>
      </c>
      <c r="J744" s="37">
        <f>IFERROR(IF(AND(ISNUMBER('Semi OpInc'!N33),ISNUMBER('Semi Rev'!N33),'Semi Rev'!N33&gt;0),'Semi OpInc'!N33/'Semi Rev'!N33,""),"")</f>
        <v/>
      </c>
      <c r="K744" s="37">
        <f>IFERROR(IF(AND(ISNUMBER('Semi OpInc'!O33),ISNUMBER('Semi Rev'!O33),'Semi Rev'!O33&gt;0),'Semi OpInc'!O33/'Semi Rev'!O33,""),"")</f>
        <v/>
      </c>
      <c r="L744" s="37">
        <f>IFERROR(IF(AND(ISNUMBER('Semi OpInc'!P33),ISNUMBER('Semi Rev'!P33),'Semi Rev'!P33&gt;0),'Semi OpInc'!P33/'Semi Rev'!P33,""),"")</f>
        <v/>
      </c>
      <c r="M744" s="38">
        <f>IFERROR(IF(AND(ISNUMBER('Semi OpInc'!Q33),ISNUMBER('Semi Rev'!Q33),'Semi Rev'!Q33&gt;0),'Semi OpInc'!Q33/'Semi Rev'!Q33,""),"")</f>
        <v/>
      </c>
      <c r="N744" s="38">
        <f>IFERROR(IF(AND(ISNUMBER('Semi OpInc'!R33),ISNUMBER('Semi Rev'!R33),'Semi Rev'!R33&gt;0),'Semi OpInc'!R33/'Semi Rev'!R33,""),"")</f>
        <v/>
      </c>
    </row>
    <row r="745">
      <c r="A745" s="19">
        <f>'Semi Rev'!$A34</f>
        <v/>
      </c>
      <c r="B745" s="19">
        <f>'Semi Rev'!$B34</f>
        <v/>
      </c>
      <c r="C745" s="37">
        <f>IFERROR(IF(AND(ISNUMBER('Semi OpInc'!G34),ISNUMBER('Semi Rev'!G34),'Semi Rev'!G34&gt;0),'Semi OpInc'!G34/'Semi Rev'!G34,""),"")</f>
        <v/>
      </c>
      <c r="D745" s="37">
        <f>IFERROR(IF(AND(ISNUMBER('Semi OpInc'!H34),ISNUMBER('Semi Rev'!H34),'Semi Rev'!H34&gt;0),'Semi OpInc'!H34/'Semi Rev'!H34,""),"")</f>
        <v/>
      </c>
      <c r="E745" s="37">
        <f>IFERROR(IF(AND(ISNUMBER('Semi OpInc'!I34),ISNUMBER('Semi Rev'!I34),'Semi Rev'!I34&gt;0),'Semi OpInc'!I34/'Semi Rev'!I34,""),"")</f>
        <v/>
      </c>
      <c r="F745" s="37">
        <f>IFERROR(IF(AND(ISNUMBER('Semi OpInc'!J34),ISNUMBER('Semi Rev'!J34),'Semi Rev'!J34&gt;0),'Semi OpInc'!J34/'Semi Rev'!J34,""),"")</f>
        <v/>
      </c>
      <c r="G745" s="37">
        <f>IFERROR(IF(AND(ISNUMBER('Semi OpInc'!K34),ISNUMBER('Semi Rev'!K34),'Semi Rev'!K34&gt;0),'Semi OpInc'!K34/'Semi Rev'!K34,""),"")</f>
        <v/>
      </c>
      <c r="H745" s="37">
        <f>IFERROR(IF(AND(ISNUMBER('Semi OpInc'!L34),ISNUMBER('Semi Rev'!L34),'Semi Rev'!L34&gt;0),'Semi OpInc'!L34/'Semi Rev'!L34,""),"")</f>
        <v/>
      </c>
      <c r="I745" s="37">
        <f>IFERROR(IF(AND(ISNUMBER('Semi OpInc'!M34),ISNUMBER('Semi Rev'!M34),'Semi Rev'!M34&gt;0),'Semi OpInc'!M34/'Semi Rev'!M34,""),"")</f>
        <v/>
      </c>
      <c r="J745" s="37">
        <f>IFERROR(IF(AND(ISNUMBER('Semi OpInc'!N34),ISNUMBER('Semi Rev'!N34),'Semi Rev'!N34&gt;0),'Semi OpInc'!N34/'Semi Rev'!N34,""),"")</f>
        <v/>
      </c>
      <c r="K745" s="37">
        <f>IFERROR(IF(AND(ISNUMBER('Semi OpInc'!O34),ISNUMBER('Semi Rev'!O34),'Semi Rev'!O34&gt;0),'Semi OpInc'!O34/'Semi Rev'!O34,""),"")</f>
        <v/>
      </c>
      <c r="L745" s="37">
        <f>IFERROR(IF(AND(ISNUMBER('Semi OpInc'!P34),ISNUMBER('Semi Rev'!P34),'Semi Rev'!P34&gt;0),'Semi OpInc'!P34/'Semi Rev'!P34,""),"")</f>
        <v/>
      </c>
      <c r="M745" s="38">
        <f>IFERROR(IF(AND(ISNUMBER('Semi OpInc'!Q34),ISNUMBER('Semi Rev'!Q34),'Semi Rev'!Q34&gt;0),'Semi OpInc'!Q34/'Semi Rev'!Q34,""),"")</f>
        <v/>
      </c>
      <c r="N745" s="38">
        <f>IFERROR(IF(AND(ISNUMBER('Semi OpInc'!R34),ISNUMBER('Semi Rev'!R34),'Semi Rev'!R34&gt;0),'Semi OpInc'!R34/'Semi Rev'!R34,""),"")</f>
        <v/>
      </c>
    </row>
    <row r="746">
      <c r="A746" s="19">
        <f>'Semi Rev'!$A35</f>
        <v/>
      </c>
      <c r="B746" s="19">
        <f>'Semi Rev'!$B35</f>
        <v/>
      </c>
      <c r="C746" s="37">
        <f>IFERROR(IF(AND(ISNUMBER('Semi OpInc'!G35),ISNUMBER('Semi Rev'!G35),'Semi Rev'!G35&gt;0),'Semi OpInc'!G35/'Semi Rev'!G35,""),"")</f>
        <v/>
      </c>
      <c r="D746" s="37">
        <f>IFERROR(IF(AND(ISNUMBER('Semi OpInc'!H35),ISNUMBER('Semi Rev'!H35),'Semi Rev'!H35&gt;0),'Semi OpInc'!H35/'Semi Rev'!H35,""),"")</f>
        <v/>
      </c>
      <c r="E746" s="37">
        <f>IFERROR(IF(AND(ISNUMBER('Semi OpInc'!I35),ISNUMBER('Semi Rev'!I35),'Semi Rev'!I35&gt;0),'Semi OpInc'!I35/'Semi Rev'!I35,""),"")</f>
        <v/>
      </c>
      <c r="F746" s="37">
        <f>IFERROR(IF(AND(ISNUMBER('Semi OpInc'!J35),ISNUMBER('Semi Rev'!J35),'Semi Rev'!J35&gt;0),'Semi OpInc'!J35/'Semi Rev'!J35,""),"")</f>
        <v/>
      </c>
      <c r="G746" s="37">
        <f>IFERROR(IF(AND(ISNUMBER('Semi OpInc'!K35),ISNUMBER('Semi Rev'!K35),'Semi Rev'!K35&gt;0),'Semi OpInc'!K35/'Semi Rev'!K35,""),"")</f>
        <v/>
      </c>
      <c r="H746" s="37">
        <f>IFERROR(IF(AND(ISNUMBER('Semi OpInc'!L35),ISNUMBER('Semi Rev'!L35),'Semi Rev'!L35&gt;0),'Semi OpInc'!L35/'Semi Rev'!L35,""),"")</f>
        <v/>
      </c>
      <c r="I746" s="37">
        <f>IFERROR(IF(AND(ISNUMBER('Semi OpInc'!M35),ISNUMBER('Semi Rev'!M35),'Semi Rev'!M35&gt;0),'Semi OpInc'!M35/'Semi Rev'!M35,""),"")</f>
        <v/>
      </c>
      <c r="J746" s="37">
        <f>IFERROR(IF(AND(ISNUMBER('Semi OpInc'!N35),ISNUMBER('Semi Rev'!N35),'Semi Rev'!N35&gt;0),'Semi OpInc'!N35/'Semi Rev'!N35,""),"")</f>
        <v/>
      </c>
      <c r="K746" s="37">
        <f>IFERROR(IF(AND(ISNUMBER('Semi OpInc'!O35),ISNUMBER('Semi Rev'!O35),'Semi Rev'!O35&gt;0),'Semi OpInc'!O35/'Semi Rev'!O35,""),"")</f>
        <v/>
      </c>
      <c r="L746" s="37">
        <f>IFERROR(IF(AND(ISNUMBER('Semi OpInc'!P35),ISNUMBER('Semi Rev'!P35),'Semi Rev'!P35&gt;0),'Semi OpInc'!P35/'Semi Rev'!P35,""),"")</f>
        <v/>
      </c>
      <c r="M746" s="38">
        <f>IFERROR(IF(AND(ISNUMBER('Semi OpInc'!Q35),ISNUMBER('Semi Rev'!Q35),'Semi Rev'!Q35&gt;0),'Semi OpInc'!Q35/'Semi Rev'!Q35,""),"")</f>
        <v/>
      </c>
      <c r="N746" s="38">
        <f>IFERROR(IF(AND(ISNUMBER('Semi OpInc'!R35),ISNUMBER('Semi Rev'!R35),'Semi Rev'!R35&gt;0),'Semi OpInc'!R35/'Semi Rev'!R35,""),"")</f>
        <v/>
      </c>
    </row>
    <row r="747">
      <c r="A747" s="19">
        <f>'Semi Rev'!$A36</f>
        <v/>
      </c>
      <c r="B747" s="19">
        <f>'Semi Rev'!$B36</f>
        <v/>
      </c>
      <c r="C747" s="37">
        <f>IFERROR(IF(AND(ISNUMBER('Semi OpInc'!G36),ISNUMBER('Semi Rev'!G36),'Semi Rev'!G36&gt;0),'Semi OpInc'!G36/'Semi Rev'!G36,""),"")</f>
        <v/>
      </c>
      <c r="D747" s="37">
        <f>IFERROR(IF(AND(ISNUMBER('Semi OpInc'!H36),ISNUMBER('Semi Rev'!H36),'Semi Rev'!H36&gt;0),'Semi OpInc'!H36/'Semi Rev'!H36,""),"")</f>
        <v/>
      </c>
      <c r="E747" s="37">
        <f>IFERROR(IF(AND(ISNUMBER('Semi OpInc'!I36),ISNUMBER('Semi Rev'!I36),'Semi Rev'!I36&gt;0),'Semi OpInc'!I36/'Semi Rev'!I36,""),"")</f>
        <v/>
      </c>
      <c r="F747" s="37">
        <f>IFERROR(IF(AND(ISNUMBER('Semi OpInc'!J36),ISNUMBER('Semi Rev'!J36),'Semi Rev'!J36&gt;0),'Semi OpInc'!J36/'Semi Rev'!J36,""),"")</f>
        <v/>
      </c>
      <c r="G747" s="37">
        <f>IFERROR(IF(AND(ISNUMBER('Semi OpInc'!K36),ISNUMBER('Semi Rev'!K36),'Semi Rev'!K36&gt;0),'Semi OpInc'!K36/'Semi Rev'!K36,""),"")</f>
        <v/>
      </c>
      <c r="H747" s="37">
        <f>IFERROR(IF(AND(ISNUMBER('Semi OpInc'!L36),ISNUMBER('Semi Rev'!L36),'Semi Rev'!L36&gt;0),'Semi OpInc'!L36/'Semi Rev'!L36,""),"")</f>
        <v/>
      </c>
      <c r="I747" s="37">
        <f>IFERROR(IF(AND(ISNUMBER('Semi OpInc'!M36),ISNUMBER('Semi Rev'!M36),'Semi Rev'!M36&gt;0),'Semi OpInc'!M36/'Semi Rev'!M36,""),"")</f>
        <v/>
      </c>
      <c r="J747" s="37">
        <f>IFERROR(IF(AND(ISNUMBER('Semi OpInc'!N36),ISNUMBER('Semi Rev'!N36),'Semi Rev'!N36&gt;0),'Semi OpInc'!N36/'Semi Rev'!N36,""),"")</f>
        <v/>
      </c>
      <c r="K747" s="37">
        <f>IFERROR(IF(AND(ISNUMBER('Semi OpInc'!O36),ISNUMBER('Semi Rev'!O36),'Semi Rev'!O36&gt;0),'Semi OpInc'!O36/'Semi Rev'!O36,""),"")</f>
        <v/>
      </c>
      <c r="L747" s="37">
        <f>IFERROR(IF(AND(ISNUMBER('Semi OpInc'!P36),ISNUMBER('Semi Rev'!P36),'Semi Rev'!P36&gt;0),'Semi OpInc'!P36/'Semi Rev'!P36,""),"")</f>
        <v/>
      </c>
      <c r="M747" s="38">
        <f>IFERROR(IF(AND(ISNUMBER('Semi OpInc'!Q36),ISNUMBER('Semi Rev'!Q36),'Semi Rev'!Q36&gt;0),'Semi OpInc'!Q36/'Semi Rev'!Q36,""),"")</f>
        <v/>
      </c>
      <c r="N747" s="38">
        <f>IFERROR(IF(AND(ISNUMBER('Semi OpInc'!R36),ISNUMBER('Semi Rev'!R36),'Semi Rev'!R36&gt;0),'Semi OpInc'!R36/'Semi Rev'!R36,""),"")</f>
        <v/>
      </c>
    </row>
    <row r="748">
      <c r="A748" s="19">
        <f>'Semi Rev'!$A37</f>
        <v/>
      </c>
      <c r="B748" s="19">
        <f>'Semi Rev'!$B37</f>
        <v/>
      </c>
      <c r="C748" s="37">
        <f>IFERROR(IF(AND(ISNUMBER('Semi OpInc'!G37),ISNUMBER('Semi Rev'!G37),'Semi Rev'!G37&gt;0),'Semi OpInc'!G37/'Semi Rev'!G37,""),"")</f>
        <v/>
      </c>
      <c r="D748" s="37">
        <f>IFERROR(IF(AND(ISNUMBER('Semi OpInc'!H37),ISNUMBER('Semi Rev'!H37),'Semi Rev'!H37&gt;0),'Semi OpInc'!H37/'Semi Rev'!H37,""),"")</f>
        <v/>
      </c>
      <c r="E748" s="37">
        <f>IFERROR(IF(AND(ISNUMBER('Semi OpInc'!I37),ISNUMBER('Semi Rev'!I37),'Semi Rev'!I37&gt;0),'Semi OpInc'!I37/'Semi Rev'!I37,""),"")</f>
        <v/>
      </c>
      <c r="F748" s="37">
        <f>IFERROR(IF(AND(ISNUMBER('Semi OpInc'!J37),ISNUMBER('Semi Rev'!J37),'Semi Rev'!J37&gt;0),'Semi OpInc'!J37/'Semi Rev'!J37,""),"")</f>
        <v/>
      </c>
      <c r="G748" s="37">
        <f>IFERROR(IF(AND(ISNUMBER('Semi OpInc'!K37),ISNUMBER('Semi Rev'!K37),'Semi Rev'!K37&gt;0),'Semi OpInc'!K37/'Semi Rev'!K37,""),"")</f>
        <v/>
      </c>
      <c r="H748" s="37">
        <f>IFERROR(IF(AND(ISNUMBER('Semi OpInc'!L37),ISNUMBER('Semi Rev'!L37),'Semi Rev'!L37&gt;0),'Semi OpInc'!L37/'Semi Rev'!L37,""),"")</f>
        <v/>
      </c>
      <c r="I748" s="37">
        <f>IFERROR(IF(AND(ISNUMBER('Semi OpInc'!M37),ISNUMBER('Semi Rev'!M37),'Semi Rev'!M37&gt;0),'Semi OpInc'!M37/'Semi Rev'!M37,""),"")</f>
        <v/>
      </c>
      <c r="J748" s="37">
        <f>IFERROR(IF(AND(ISNUMBER('Semi OpInc'!N37),ISNUMBER('Semi Rev'!N37),'Semi Rev'!N37&gt;0),'Semi OpInc'!N37/'Semi Rev'!N37,""),"")</f>
        <v/>
      </c>
      <c r="K748" s="37">
        <f>IFERROR(IF(AND(ISNUMBER('Semi OpInc'!O37),ISNUMBER('Semi Rev'!O37),'Semi Rev'!O37&gt;0),'Semi OpInc'!O37/'Semi Rev'!O37,""),"")</f>
        <v/>
      </c>
      <c r="L748" s="37">
        <f>IFERROR(IF(AND(ISNUMBER('Semi OpInc'!P37),ISNUMBER('Semi Rev'!P37),'Semi Rev'!P37&gt;0),'Semi OpInc'!P37/'Semi Rev'!P37,""),"")</f>
        <v/>
      </c>
      <c r="M748" s="38">
        <f>IFERROR(IF(AND(ISNUMBER('Semi OpInc'!Q37),ISNUMBER('Semi Rev'!Q37),'Semi Rev'!Q37&gt;0),'Semi OpInc'!Q37/'Semi Rev'!Q37,""),"")</f>
        <v/>
      </c>
      <c r="N748" s="38">
        <f>IFERROR(IF(AND(ISNUMBER('Semi OpInc'!R37),ISNUMBER('Semi Rev'!R37),'Semi Rev'!R37&gt;0),'Semi OpInc'!R37/'Semi Rev'!R37,""),"")</f>
        <v/>
      </c>
    </row>
    <row r="749">
      <c r="A749" s="19">
        <f>'Semi Rev'!$A38</f>
        <v/>
      </c>
      <c r="B749" s="19">
        <f>'Semi Rev'!$B38</f>
        <v/>
      </c>
      <c r="C749" s="37">
        <f>IFERROR(IF(AND(ISNUMBER('Semi OpInc'!G38),ISNUMBER('Semi Rev'!G38),'Semi Rev'!G38&gt;0),'Semi OpInc'!G38/'Semi Rev'!G38,""),"")</f>
        <v/>
      </c>
      <c r="D749" s="37">
        <f>IFERROR(IF(AND(ISNUMBER('Semi OpInc'!H38),ISNUMBER('Semi Rev'!H38),'Semi Rev'!H38&gt;0),'Semi OpInc'!H38/'Semi Rev'!H38,""),"")</f>
        <v/>
      </c>
      <c r="E749" s="37">
        <f>IFERROR(IF(AND(ISNUMBER('Semi OpInc'!I38),ISNUMBER('Semi Rev'!I38),'Semi Rev'!I38&gt;0),'Semi OpInc'!I38/'Semi Rev'!I38,""),"")</f>
        <v/>
      </c>
      <c r="F749" s="37">
        <f>IFERROR(IF(AND(ISNUMBER('Semi OpInc'!J38),ISNUMBER('Semi Rev'!J38),'Semi Rev'!J38&gt;0),'Semi OpInc'!J38/'Semi Rev'!J38,""),"")</f>
        <v/>
      </c>
      <c r="G749" s="37">
        <f>IFERROR(IF(AND(ISNUMBER('Semi OpInc'!K38),ISNUMBER('Semi Rev'!K38),'Semi Rev'!K38&gt;0),'Semi OpInc'!K38/'Semi Rev'!K38,""),"")</f>
        <v/>
      </c>
      <c r="H749" s="37">
        <f>IFERROR(IF(AND(ISNUMBER('Semi OpInc'!L38),ISNUMBER('Semi Rev'!L38),'Semi Rev'!L38&gt;0),'Semi OpInc'!L38/'Semi Rev'!L38,""),"")</f>
        <v/>
      </c>
      <c r="I749" s="37">
        <f>IFERROR(IF(AND(ISNUMBER('Semi OpInc'!M38),ISNUMBER('Semi Rev'!M38),'Semi Rev'!M38&gt;0),'Semi OpInc'!M38/'Semi Rev'!M38,""),"")</f>
        <v/>
      </c>
      <c r="J749" s="37">
        <f>IFERROR(IF(AND(ISNUMBER('Semi OpInc'!N38),ISNUMBER('Semi Rev'!N38),'Semi Rev'!N38&gt;0),'Semi OpInc'!N38/'Semi Rev'!N38,""),"")</f>
        <v/>
      </c>
      <c r="K749" s="37">
        <f>IFERROR(IF(AND(ISNUMBER('Semi OpInc'!O38),ISNUMBER('Semi Rev'!O38),'Semi Rev'!O38&gt;0),'Semi OpInc'!O38/'Semi Rev'!O38,""),"")</f>
        <v/>
      </c>
      <c r="L749" s="37">
        <f>IFERROR(IF(AND(ISNUMBER('Semi OpInc'!P38),ISNUMBER('Semi Rev'!P38),'Semi Rev'!P38&gt;0),'Semi OpInc'!P38/'Semi Rev'!P38,""),"")</f>
        <v/>
      </c>
      <c r="M749" s="38">
        <f>IFERROR(IF(AND(ISNUMBER('Semi OpInc'!Q38),ISNUMBER('Semi Rev'!Q38),'Semi Rev'!Q38&gt;0),'Semi OpInc'!Q38/'Semi Rev'!Q38,""),"")</f>
        <v/>
      </c>
      <c r="N749" s="38">
        <f>IFERROR(IF(AND(ISNUMBER('Semi OpInc'!R38),ISNUMBER('Semi Rev'!R38),'Semi Rev'!R38&gt;0),'Semi OpInc'!R38/'Semi Rev'!R38,""),"")</f>
        <v/>
      </c>
    </row>
    <row r="750">
      <c r="A750" s="19">
        <f>'Semi Rev'!$A39</f>
        <v/>
      </c>
      <c r="B750" s="19">
        <f>'Semi Rev'!$B39</f>
        <v/>
      </c>
      <c r="C750" s="37">
        <f>IFERROR(IF(AND(ISNUMBER('Semi OpInc'!G39),ISNUMBER('Semi Rev'!G39),'Semi Rev'!G39&gt;0),'Semi OpInc'!G39/'Semi Rev'!G39,""),"")</f>
        <v/>
      </c>
      <c r="D750" s="37">
        <f>IFERROR(IF(AND(ISNUMBER('Semi OpInc'!H39),ISNUMBER('Semi Rev'!H39),'Semi Rev'!H39&gt;0),'Semi OpInc'!H39/'Semi Rev'!H39,""),"")</f>
        <v/>
      </c>
      <c r="E750" s="37">
        <f>IFERROR(IF(AND(ISNUMBER('Semi OpInc'!I39),ISNUMBER('Semi Rev'!I39),'Semi Rev'!I39&gt;0),'Semi OpInc'!I39/'Semi Rev'!I39,""),"")</f>
        <v/>
      </c>
      <c r="F750" s="37">
        <f>IFERROR(IF(AND(ISNUMBER('Semi OpInc'!J39),ISNUMBER('Semi Rev'!J39),'Semi Rev'!J39&gt;0),'Semi OpInc'!J39/'Semi Rev'!J39,""),"")</f>
        <v/>
      </c>
      <c r="G750" s="37">
        <f>IFERROR(IF(AND(ISNUMBER('Semi OpInc'!K39),ISNUMBER('Semi Rev'!K39),'Semi Rev'!K39&gt;0),'Semi OpInc'!K39/'Semi Rev'!K39,""),"")</f>
        <v/>
      </c>
      <c r="H750" s="37">
        <f>IFERROR(IF(AND(ISNUMBER('Semi OpInc'!L39),ISNUMBER('Semi Rev'!L39),'Semi Rev'!L39&gt;0),'Semi OpInc'!L39/'Semi Rev'!L39,""),"")</f>
        <v/>
      </c>
      <c r="I750" s="37">
        <f>IFERROR(IF(AND(ISNUMBER('Semi OpInc'!M39),ISNUMBER('Semi Rev'!M39),'Semi Rev'!M39&gt;0),'Semi OpInc'!M39/'Semi Rev'!M39,""),"")</f>
        <v/>
      </c>
      <c r="J750" s="37">
        <f>IFERROR(IF(AND(ISNUMBER('Semi OpInc'!N39),ISNUMBER('Semi Rev'!N39),'Semi Rev'!N39&gt;0),'Semi OpInc'!N39/'Semi Rev'!N39,""),"")</f>
        <v/>
      </c>
      <c r="K750" s="37">
        <f>IFERROR(IF(AND(ISNUMBER('Semi OpInc'!O39),ISNUMBER('Semi Rev'!O39),'Semi Rev'!O39&gt;0),'Semi OpInc'!O39/'Semi Rev'!O39,""),"")</f>
        <v/>
      </c>
      <c r="L750" s="37">
        <f>IFERROR(IF(AND(ISNUMBER('Semi OpInc'!P39),ISNUMBER('Semi Rev'!P39),'Semi Rev'!P39&gt;0),'Semi OpInc'!P39/'Semi Rev'!P39,""),"")</f>
        <v/>
      </c>
      <c r="M750" s="38">
        <f>IFERROR(IF(AND(ISNUMBER('Semi OpInc'!Q39),ISNUMBER('Semi Rev'!Q39),'Semi Rev'!Q39&gt;0),'Semi OpInc'!Q39/'Semi Rev'!Q39,""),"")</f>
        <v/>
      </c>
      <c r="N750" s="38">
        <f>IFERROR(IF(AND(ISNUMBER('Semi OpInc'!R39),ISNUMBER('Semi Rev'!R39),'Semi Rev'!R39&gt;0),'Semi OpInc'!R39/'Semi Rev'!R39,""),"")</f>
        <v/>
      </c>
    </row>
    <row r="751">
      <c r="A751" s="19">
        <f>'Semi Rev'!$A40</f>
        <v/>
      </c>
      <c r="B751" s="19">
        <f>'Semi Rev'!$B40</f>
        <v/>
      </c>
      <c r="C751" s="37">
        <f>IFERROR(IF(AND(ISNUMBER('Semi OpInc'!G40),ISNUMBER('Semi Rev'!G40),'Semi Rev'!G40&gt;0),'Semi OpInc'!G40/'Semi Rev'!G40,""),"")</f>
        <v/>
      </c>
      <c r="D751" s="37">
        <f>IFERROR(IF(AND(ISNUMBER('Semi OpInc'!H40),ISNUMBER('Semi Rev'!H40),'Semi Rev'!H40&gt;0),'Semi OpInc'!H40/'Semi Rev'!H40,""),"")</f>
        <v/>
      </c>
      <c r="E751" s="37">
        <f>IFERROR(IF(AND(ISNUMBER('Semi OpInc'!I40),ISNUMBER('Semi Rev'!I40),'Semi Rev'!I40&gt;0),'Semi OpInc'!I40/'Semi Rev'!I40,""),"")</f>
        <v/>
      </c>
      <c r="F751" s="37">
        <f>IFERROR(IF(AND(ISNUMBER('Semi OpInc'!J40),ISNUMBER('Semi Rev'!J40),'Semi Rev'!J40&gt;0),'Semi OpInc'!J40/'Semi Rev'!J40,""),"")</f>
        <v/>
      </c>
      <c r="G751" s="37">
        <f>IFERROR(IF(AND(ISNUMBER('Semi OpInc'!K40),ISNUMBER('Semi Rev'!K40),'Semi Rev'!K40&gt;0),'Semi OpInc'!K40/'Semi Rev'!K40,""),"")</f>
        <v/>
      </c>
      <c r="H751" s="37">
        <f>IFERROR(IF(AND(ISNUMBER('Semi OpInc'!L40),ISNUMBER('Semi Rev'!L40),'Semi Rev'!L40&gt;0),'Semi OpInc'!L40/'Semi Rev'!L40,""),"")</f>
        <v/>
      </c>
      <c r="I751" s="37">
        <f>IFERROR(IF(AND(ISNUMBER('Semi OpInc'!M40),ISNUMBER('Semi Rev'!M40),'Semi Rev'!M40&gt;0),'Semi OpInc'!M40/'Semi Rev'!M40,""),"")</f>
        <v/>
      </c>
      <c r="J751" s="37">
        <f>IFERROR(IF(AND(ISNUMBER('Semi OpInc'!N40),ISNUMBER('Semi Rev'!N40),'Semi Rev'!N40&gt;0),'Semi OpInc'!N40/'Semi Rev'!N40,""),"")</f>
        <v/>
      </c>
      <c r="K751" s="37">
        <f>IFERROR(IF(AND(ISNUMBER('Semi OpInc'!O40),ISNUMBER('Semi Rev'!O40),'Semi Rev'!O40&gt;0),'Semi OpInc'!O40/'Semi Rev'!O40,""),"")</f>
        <v/>
      </c>
      <c r="L751" s="37">
        <f>IFERROR(IF(AND(ISNUMBER('Semi OpInc'!P40),ISNUMBER('Semi Rev'!P40),'Semi Rev'!P40&gt;0),'Semi OpInc'!P40/'Semi Rev'!P40,""),"")</f>
        <v/>
      </c>
      <c r="M751" s="38">
        <f>IFERROR(IF(AND(ISNUMBER('Semi OpInc'!Q40),ISNUMBER('Semi Rev'!Q40),'Semi Rev'!Q40&gt;0),'Semi OpInc'!Q40/'Semi Rev'!Q40,""),"")</f>
        <v/>
      </c>
      <c r="N751" s="38">
        <f>IFERROR(IF(AND(ISNUMBER('Semi OpInc'!R40),ISNUMBER('Semi Rev'!R40),'Semi Rev'!R40&gt;0),'Semi OpInc'!R40/'Semi Rev'!R40,""),"")</f>
        <v/>
      </c>
    </row>
    <row r="752">
      <c r="A752" s="19">
        <f>'Semi Rev'!$A41</f>
        <v/>
      </c>
      <c r="B752" s="19">
        <f>'Semi Rev'!$B41</f>
        <v/>
      </c>
      <c r="C752" s="37">
        <f>IFERROR(IF(AND(ISNUMBER('Semi OpInc'!G41),ISNUMBER('Semi Rev'!G41),'Semi Rev'!G41&gt;0),'Semi OpInc'!G41/'Semi Rev'!G41,""),"")</f>
        <v/>
      </c>
      <c r="D752" s="37">
        <f>IFERROR(IF(AND(ISNUMBER('Semi OpInc'!H41),ISNUMBER('Semi Rev'!H41),'Semi Rev'!H41&gt;0),'Semi OpInc'!H41/'Semi Rev'!H41,""),"")</f>
        <v/>
      </c>
      <c r="E752" s="37">
        <f>IFERROR(IF(AND(ISNUMBER('Semi OpInc'!I41),ISNUMBER('Semi Rev'!I41),'Semi Rev'!I41&gt;0),'Semi OpInc'!I41/'Semi Rev'!I41,""),"")</f>
        <v/>
      </c>
      <c r="F752" s="37">
        <f>IFERROR(IF(AND(ISNUMBER('Semi OpInc'!J41),ISNUMBER('Semi Rev'!J41),'Semi Rev'!J41&gt;0),'Semi OpInc'!J41/'Semi Rev'!J41,""),"")</f>
        <v/>
      </c>
      <c r="G752" s="37">
        <f>IFERROR(IF(AND(ISNUMBER('Semi OpInc'!K41),ISNUMBER('Semi Rev'!K41),'Semi Rev'!K41&gt;0),'Semi OpInc'!K41/'Semi Rev'!K41,""),"")</f>
        <v/>
      </c>
      <c r="H752" s="37">
        <f>IFERROR(IF(AND(ISNUMBER('Semi OpInc'!L41),ISNUMBER('Semi Rev'!L41),'Semi Rev'!L41&gt;0),'Semi OpInc'!L41/'Semi Rev'!L41,""),"")</f>
        <v/>
      </c>
      <c r="I752" s="37">
        <f>IFERROR(IF(AND(ISNUMBER('Semi OpInc'!M41),ISNUMBER('Semi Rev'!M41),'Semi Rev'!M41&gt;0),'Semi OpInc'!M41/'Semi Rev'!M41,""),"")</f>
        <v/>
      </c>
      <c r="J752" s="37">
        <f>IFERROR(IF(AND(ISNUMBER('Semi OpInc'!N41),ISNUMBER('Semi Rev'!N41),'Semi Rev'!N41&gt;0),'Semi OpInc'!N41/'Semi Rev'!N41,""),"")</f>
        <v/>
      </c>
      <c r="K752" s="37">
        <f>IFERROR(IF(AND(ISNUMBER('Semi OpInc'!O41),ISNUMBER('Semi Rev'!O41),'Semi Rev'!O41&gt;0),'Semi OpInc'!O41/'Semi Rev'!O41,""),"")</f>
        <v/>
      </c>
      <c r="L752" s="37">
        <f>IFERROR(IF(AND(ISNUMBER('Semi OpInc'!P41),ISNUMBER('Semi Rev'!P41),'Semi Rev'!P41&gt;0),'Semi OpInc'!P41/'Semi Rev'!P41,""),"")</f>
        <v/>
      </c>
      <c r="M752" s="38">
        <f>IFERROR(IF(AND(ISNUMBER('Semi OpInc'!Q41),ISNUMBER('Semi Rev'!Q41),'Semi Rev'!Q41&gt;0),'Semi OpInc'!Q41/'Semi Rev'!Q41,""),"")</f>
        <v/>
      </c>
      <c r="N752" s="38">
        <f>IFERROR(IF(AND(ISNUMBER('Semi OpInc'!R41),ISNUMBER('Semi Rev'!R41),'Semi Rev'!R41&gt;0),'Semi OpInc'!R41/'Semi Rev'!R41,""),"")</f>
        <v/>
      </c>
    </row>
    <row r="753">
      <c r="A753" s="19">
        <f>'Semi Rev'!$A42</f>
        <v/>
      </c>
      <c r="B753" s="19">
        <f>'Semi Rev'!$B42</f>
        <v/>
      </c>
      <c r="C753" s="37">
        <f>IFERROR(IF(AND(ISNUMBER('Semi OpInc'!G42),ISNUMBER('Semi Rev'!G42),'Semi Rev'!G42&gt;0),'Semi OpInc'!G42/'Semi Rev'!G42,""),"")</f>
        <v/>
      </c>
      <c r="D753" s="37">
        <f>IFERROR(IF(AND(ISNUMBER('Semi OpInc'!H42),ISNUMBER('Semi Rev'!H42),'Semi Rev'!H42&gt;0),'Semi OpInc'!H42/'Semi Rev'!H42,""),"")</f>
        <v/>
      </c>
      <c r="E753" s="37">
        <f>IFERROR(IF(AND(ISNUMBER('Semi OpInc'!I42),ISNUMBER('Semi Rev'!I42),'Semi Rev'!I42&gt;0),'Semi OpInc'!I42/'Semi Rev'!I42,""),"")</f>
        <v/>
      </c>
      <c r="F753" s="37">
        <f>IFERROR(IF(AND(ISNUMBER('Semi OpInc'!J42),ISNUMBER('Semi Rev'!J42),'Semi Rev'!J42&gt;0),'Semi OpInc'!J42/'Semi Rev'!J42,""),"")</f>
        <v/>
      </c>
      <c r="G753" s="37">
        <f>IFERROR(IF(AND(ISNUMBER('Semi OpInc'!K42),ISNUMBER('Semi Rev'!K42),'Semi Rev'!K42&gt;0),'Semi OpInc'!K42/'Semi Rev'!K42,""),"")</f>
        <v/>
      </c>
      <c r="H753" s="37">
        <f>IFERROR(IF(AND(ISNUMBER('Semi OpInc'!L42),ISNUMBER('Semi Rev'!L42),'Semi Rev'!L42&gt;0),'Semi OpInc'!L42/'Semi Rev'!L42,""),"")</f>
        <v/>
      </c>
      <c r="I753" s="37">
        <f>IFERROR(IF(AND(ISNUMBER('Semi OpInc'!M42),ISNUMBER('Semi Rev'!M42),'Semi Rev'!M42&gt;0),'Semi OpInc'!M42/'Semi Rev'!M42,""),"")</f>
        <v/>
      </c>
      <c r="J753" s="37">
        <f>IFERROR(IF(AND(ISNUMBER('Semi OpInc'!N42),ISNUMBER('Semi Rev'!N42),'Semi Rev'!N42&gt;0),'Semi OpInc'!N42/'Semi Rev'!N42,""),"")</f>
        <v/>
      </c>
      <c r="K753" s="37">
        <f>IFERROR(IF(AND(ISNUMBER('Semi OpInc'!O42),ISNUMBER('Semi Rev'!O42),'Semi Rev'!O42&gt;0),'Semi OpInc'!O42/'Semi Rev'!O42,""),"")</f>
        <v/>
      </c>
      <c r="L753" s="37">
        <f>IFERROR(IF(AND(ISNUMBER('Semi OpInc'!P42),ISNUMBER('Semi Rev'!P42),'Semi Rev'!P42&gt;0),'Semi OpInc'!P42/'Semi Rev'!P42,""),"")</f>
        <v/>
      </c>
      <c r="M753" s="38">
        <f>IFERROR(IF(AND(ISNUMBER('Semi OpInc'!Q42),ISNUMBER('Semi Rev'!Q42),'Semi Rev'!Q42&gt;0),'Semi OpInc'!Q42/'Semi Rev'!Q42,""),"")</f>
        <v/>
      </c>
      <c r="N753" s="38">
        <f>IFERROR(IF(AND(ISNUMBER('Semi OpInc'!R42),ISNUMBER('Semi Rev'!R42),'Semi Rev'!R42&gt;0),'Semi OpInc'!R42/'Semi Rev'!R42,""),"")</f>
        <v/>
      </c>
    </row>
    <row r="754">
      <c r="A754" s="19">
        <f>'Semi Rev'!$A43</f>
        <v/>
      </c>
      <c r="B754" s="19">
        <f>'Semi Rev'!$B43</f>
        <v/>
      </c>
      <c r="C754" s="37">
        <f>IFERROR(IF(AND(ISNUMBER('Semi OpInc'!G43),ISNUMBER('Semi Rev'!G43),'Semi Rev'!G43&gt;0),'Semi OpInc'!G43/'Semi Rev'!G43,""),"")</f>
        <v/>
      </c>
      <c r="D754" s="37">
        <f>IFERROR(IF(AND(ISNUMBER('Semi OpInc'!H43),ISNUMBER('Semi Rev'!H43),'Semi Rev'!H43&gt;0),'Semi OpInc'!H43/'Semi Rev'!H43,""),"")</f>
        <v/>
      </c>
      <c r="E754" s="37">
        <f>IFERROR(IF(AND(ISNUMBER('Semi OpInc'!I43),ISNUMBER('Semi Rev'!I43),'Semi Rev'!I43&gt;0),'Semi OpInc'!I43/'Semi Rev'!I43,""),"")</f>
        <v/>
      </c>
      <c r="F754" s="37">
        <f>IFERROR(IF(AND(ISNUMBER('Semi OpInc'!J43),ISNUMBER('Semi Rev'!J43),'Semi Rev'!J43&gt;0),'Semi OpInc'!J43/'Semi Rev'!J43,""),"")</f>
        <v/>
      </c>
      <c r="G754" s="37">
        <f>IFERROR(IF(AND(ISNUMBER('Semi OpInc'!K43),ISNUMBER('Semi Rev'!K43),'Semi Rev'!K43&gt;0),'Semi OpInc'!K43/'Semi Rev'!K43,""),"")</f>
        <v/>
      </c>
      <c r="H754" s="37">
        <f>IFERROR(IF(AND(ISNUMBER('Semi OpInc'!L43),ISNUMBER('Semi Rev'!L43),'Semi Rev'!L43&gt;0),'Semi OpInc'!L43/'Semi Rev'!L43,""),"")</f>
        <v/>
      </c>
      <c r="I754" s="37">
        <f>IFERROR(IF(AND(ISNUMBER('Semi OpInc'!M43),ISNUMBER('Semi Rev'!M43),'Semi Rev'!M43&gt;0),'Semi OpInc'!M43/'Semi Rev'!M43,""),"")</f>
        <v/>
      </c>
      <c r="J754" s="37">
        <f>IFERROR(IF(AND(ISNUMBER('Semi OpInc'!N43),ISNUMBER('Semi Rev'!N43),'Semi Rev'!N43&gt;0),'Semi OpInc'!N43/'Semi Rev'!N43,""),"")</f>
        <v/>
      </c>
      <c r="K754" s="37">
        <f>IFERROR(IF(AND(ISNUMBER('Semi OpInc'!O43),ISNUMBER('Semi Rev'!O43),'Semi Rev'!O43&gt;0),'Semi OpInc'!O43/'Semi Rev'!O43,""),"")</f>
        <v/>
      </c>
      <c r="L754" s="37">
        <f>IFERROR(IF(AND(ISNUMBER('Semi OpInc'!P43),ISNUMBER('Semi Rev'!P43),'Semi Rev'!P43&gt;0),'Semi OpInc'!P43/'Semi Rev'!P43,""),"")</f>
        <v/>
      </c>
      <c r="M754" s="38">
        <f>IFERROR(IF(AND(ISNUMBER('Semi OpInc'!Q43),ISNUMBER('Semi Rev'!Q43),'Semi Rev'!Q43&gt;0),'Semi OpInc'!Q43/'Semi Rev'!Q43,""),"")</f>
        <v/>
      </c>
      <c r="N754" s="38">
        <f>IFERROR(IF(AND(ISNUMBER('Semi OpInc'!R43),ISNUMBER('Semi Rev'!R43),'Semi Rev'!R43&gt;0),'Semi OpInc'!R43/'Semi Rev'!R43,""),"")</f>
        <v/>
      </c>
    </row>
    <row r="755">
      <c r="A755" s="19">
        <f>'Semi Rev'!$A44</f>
        <v/>
      </c>
      <c r="B755" s="19">
        <f>'Semi Rev'!$B44</f>
        <v/>
      </c>
      <c r="C755" s="37">
        <f>IFERROR(IF(AND(ISNUMBER('Semi OpInc'!G44),ISNUMBER('Semi Rev'!G44),'Semi Rev'!G44&gt;0),'Semi OpInc'!G44/'Semi Rev'!G44,""),"")</f>
        <v/>
      </c>
      <c r="D755" s="37">
        <f>IFERROR(IF(AND(ISNUMBER('Semi OpInc'!H44),ISNUMBER('Semi Rev'!H44),'Semi Rev'!H44&gt;0),'Semi OpInc'!H44/'Semi Rev'!H44,""),"")</f>
        <v/>
      </c>
      <c r="E755" s="37">
        <f>IFERROR(IF(AND(ISNUMBER('Semi OpInc'!I44),ISNUMBER('Semi Rev'!I44),'Semi Rev'!I44&gt;0),'Semi OpInc'!I44/'Semi Rev'!I44,""),"")</f>
        <v/>
      </c>
      <c r="F755" s="37">
        <f>IFERROR(IF(AND(ISNUMBER('Semi OpInc'!J44),ISNUMBER('Semi Rev'!J44),'Semi Rev'!J44&gt;0),'Semi OpInc'!J44/'Semi Rev'!J44,""),"")</f>
        <v/>
      </c>
      <c r="G755" s="37">
        <f>IFERROR(IF(AND(ISNUMBER('Semi OpInc'!K44),ISNUMBER('Semi Rev'!K44),'Semi Rev'!K44&gt;0),'Semi OpInc'!K44/'Semi Rev'!K44,""),"")</f>
        <v/>
      </c>
      <c r="H755" s="37">
        <f>IFERROR(IF(AND(ISNUMBER('Semi OpInc'!L44),ISNUMBER('Semi Rev'!L44),'Semi Rev'!L44&gt;0),'Semi OpInc'!L44/'Semi Rev'!L44,""),"")</f>
        <v/>
      </c>
      <c r="I755" s="37">
        <f>IFERROR(IF(AND(ISNUMBER('Semi OpInc'!M44),ISNUMBER('Semi Rev'!M44),'Semi Rev'!M44&gt;0),'Semi OpInc'!M44/'Semi Rev'!M44,""),"")</f>
        <v/>
      </c>
      <c r="J755" s="37">
        <f>IFERROR(IF(AND(ISNUMBER('Semi OpInc'!N44),ISNUMBER('Semi Rev'!N44),'Semi Rev'!N44&gt;0),'Semi OpInc'!N44/'Semi Rev'!N44,""),"")</f>
        <v/>
      </c>
      <c r="K755" s="37">
        <f>IFERROR(IF(AND(ISNUMBER('Semi OpInc'!O44),ISNUMBER('Semi Rev'!O44),'Semi Rev'!O44&gt;0),'Semi OpInc'!O44/'Semi Rev'!O44,""),"")</f>
        <v/>
      </c>
      <c r="L755" s="37">
        <f>IFERROR(IF(AND(ISNUMBER('Semi OpInc'!P44),ISNUMBER('Semi Rev'!P44),'Semi Rev'!P44&gt;0),'Semi OpInc'!P44/'Semi Rev'!P44,""),"")</f>
        <v/>
      </c>
      <c r="M755" s="38">
        <f>IFERROR(IF(AND(ISNUMBER('Semi OpInc'!Q44),ISNUMBER('Semi Rev'!Q44),'Semi Rev'!Q44&gt;0),'Semi OpInc'!Q44/'Semi Rev'!Q44,""),"")</f>
        <v/>
      </c>
      <c r="N755" s="38">
        <f>IFERROR(IF(AND(ISNUMBER('Semi OpInc'!R44),ISNUMBER('Semi Rev'!R44),'Semi Rev'!R44&gt;0),'Semi OpInc'!R44/'Semi Rev'!R44,""),"")</f>
        <v/>
      </c>
    </row>
    <row r="756">
      <c r="A756" s="19">
        <f>'Semi Rev'!$A45</f>
        <v/>
      </c>
      <c r="B756" s="19">
        <f>'Semi Rev'!$B45</f>
        <v/>
      </c>
      <c r="C756" s="37">
        <f>IFERROR(IF(AND(ISNUMBER('Semi OpInc'!G45),ISNUMBER('Semi Rev'!G45),'Semi Rev'!G45&gt;0),'Semi OpInc'!G45/'Semi Rev'!G45,""),"")</f>
        <v/>
      </c>
      <c r="D756" s="37">
        <f>IFERROR(IF(AND(ISNUMBER('Semi OpInc'!H45),ISNUMBER('Semi Rev'!H45),'Semi Rev'!H45&gt;0),'Semi OpInc'!H45/'Semi Rev'!H45,""),"")</f>
        <v/>
      </c>
      <c r="E756" s="37">
        <f>IFERROR(IF(AND(ISNUMBER('Semi OpInc'!I45),ISNUMBER('Semi Rev'!I45),'Semi Rev'!I45&gt;0),'Semi OpInc'!I45/'Semi Rev'!I45,""),"")</f>
        <v/>
      </c>
      <c r="F756" s="37">
        <f>IFERROR(IF(AND(ISNUMBER('Semi OpInc'!J45),ISNUMBER('Semi Rev'!J45),'Semi Rev'!J45&gt;0),'Semi OpInc'!J45/'Semi Rev'!J45,""),"")</f>
        <v/>
      </c>
      <c r="G756" s="37">
        <f>IFERROR(IF(AND(ISNUMBER('Semi OpInc'!K45),ISNUMBER('Semi Rev'!K45),'Semi Rev'!K45&gt;0),'Semi OpInc'!K45/'Semi Rev'!K45,""),"")</f>
        <v/>
      </c>
      <c r="H756" s="37">
        <f>IFERROR(IF(AND(ISNUMBER('Semi OpInc'!L45),ISNUMBER('Semi Rev'!L45),'Semi Rev'!L45&gt;0),'Semi OpInc'!L45/'Semi Rev'!L45,""),"")</f>
        <v/>
      </c>
      <c r="I756" s="37">
        <f>IFERROR(IF(AND(ISNUMBER('Semi OpInc'!M45),ISNUMBER('Semi Rev'!M45),'Semi Rev'!M45&gt;0),'Semi OpInc'!M45/'Semi Rev'!M45,""),"")</f>
        <v/>
      </c>
      <c r="J756" s="37">
        <f>IFERROR(IF(AND(ISNUMBER('Semi OpInc'!N45),ISNUMBER('Semi Rev'!N45),'Semi Rev'!N45&gt;0),'Semi OpInc'!N45/'Semi Rev'!N45,""),"")</f>
        <v/>
      </c>
      <c r="K756" s="37">
        <f>IFERROR(IF(AND(ISNUMBER('Semi OpInc'!O45),ISNUMBER('Semi Rev'!O45),'Semi Rev'!O45&gt;0),'Semi OpInc'!O45/'Semi Rev'!O45,""),"")</f>
        <v/>
      </c>
      <c r="L756" s="37">
        <f>IFERROR(IF(AND(ISNUMBER('Semi OpInc'!P45),ISNUMBER('Semi Rev'!P45),'Semi Rev'!P45&gt;0),'Semi OpInc'!P45/'Semi Rev'!P45,""),"")</f>
        <v/>
      </c>
      <c r="M756" s="38">
        <f>IFERROR(IF(AND(ISNUMBER('Semi OpInc'!Q45),ISNUMBER('Semi Rev'!Q45),'Semi Rev'!Q45&gt;0),'Semi OpInc'!Q45/'Semi Rev'!Q45,""),"")</f>
        <v/>
      </c>
      <c r="N756" s="38">
        <f>IFERROR(IF(AND(ISNUMBER('Semi OpInc'!R45),ISNUMBER('Semi Rev'!R45),'Semi Rev'!R45&gt;0),'Semi OpInc'!R45/'Semi Rev'!R45,""),"")</f>
        <v/>
      </c>
    </row>
    <row r="757">
      <c r="A757" s="19">
        <f>'Semi Rev'!$A46</f>
        <v/>
      </c>
      <c r="B757" s="19">
        <f>'Semi Rev'!$B46</f>
        <v/>
      </c>
      <c r="C757" s="37">
        <f>IFERROR(IF(AND(ISNUMBER('Semi OpInc'!G46),ISNUMBER('Semi Rev'!G46),'Semi Rev'!G46&gt;0),'Semi OpInc'!G46/'Semi Rev'!G46,""),"")</f>
        <v/>
      </c>
      <c r="D757" s="37">
        <f>IFERROR(IF(AND(ISNUMBER('Semi OpInc'!H46),ISNUMBER('Semi Rev'!H46),'Semi Rev'!H46&gt;0),'Semi OpInc'!H46/'Semi Rev'!H46,""),"")</f>
        <v/>
      </c>
      <c r="E757" s="37">
        <f>IFERROR(IF(AND(ISNUMBER('Semi OpInc'!I46),ISNUMBER('Semi Rev'!I46),'Semi Rev'!I46&gt;0),'Semi OpInc'!I46/'Semi Rev'!I46,""),"")</f>
        <v/>
      </c>
      <c r="F757" s="37">
        <f>IFERROR(IF(AND(ISNUMBER('Semi OpInc'!J46),ISNUMBER('Semi Rev'!J46),'Semi Rev'!J46&gt;0),'Semi OpInc'!J46/'Semi Rev'!J46,""),"")</f>
        <v/>
      </c>
      <c r="G757" s="37">
        <f>IFERROR(IF(AND(ISNUMBER('Semi OpInc'!K46),ISNUMBER('Semi Rev'!K46),'Semi Rev'!K46&gt;0),'Semi OpInc'!K46/'Semi Rev'!K46,""),"")</f>
        <v/>
      </c>
      <c r="H757" s="37">
        <f>IFERROR(IF(AND(ISNUMBER('Semi OpInc'!L46),ISNUMBER('Semi Rev'!L46),'Semi Rev'!L46&gt;0),'Semi OpInc'!L46/'Semi Rev'!L46,""),"")</f>
        <v/>
      </c>
      <c r="I757" s="37">
        <f>IFERROR(IF(AND(ISNUMBER('Semi OpInc'!M46),ISNUMBER('Semi Rev'!M46),'Semi Rev'!M46&gt;0),'Semi OpInc'!M46/'Semi Rev'!M46,""),"")</f>
        <v/>
      </c>
      <c r="J757" s="37">
        <f>IFERROR(IF(AND(ISNUMBER('Semi OpInc'!N46),ISNUMBER('Semi Rev'!N46),'Semi Rev'!N46&gt;0),'Semi OpInc'!N46/'Semi Rev'!N46,""),"")</f>
        <v/>
      </c>
      <c r="K757" s="37">
        <f>IFERROR(IF(AND(ISNUMBER('Semi OpInc'!O46),ISNUMBER('Semi Rev'!O46),'Semi Rev'!O46&gt;0),'Semi OpInc'!O46/'Semi Rev'!O46,""),"")</f>
        <v/>
      </c>
      <c r="L757" s="37">
        <f>IFERROR(IF(AND(ISNUMBER('Semi OpInc'!P46),ISNUMBER('Semi Rev'!P46),'Semi Rev'!P46&gt;0),'Semi OpInc'!P46/'Semi Rev'!P46,""),"")</f>
        <v/>
      </c>
      <c r="M757" s="38">
        <f>IFERROR(IF(AND(ISNUMBER('Semi OpInc'!Q46),ISNUMBER('Semi Rev'!Q46),'Semi Rev'!Q46&gt;0),'Semi OpInc'!Q46/'Semi Rev'!Q46,""),"")</f>
        <v/>
      </c>
      <c r="N757" s="38">
        <f>IFERROR(IF(AND(ISNUMBER('Semi OpInc'!R46),ISNUMBER('Semi Rev'!R46),'Semi Rev'!R46&gt;0),'Semi OpInc'!R46/'Semi Rev'!R46,""),"")</f>
        <v/>
      </c>
    </row>
    <row r="758">
      <c r="A758" s="19">
        <f>'Semi Rev'!$A47</f>
        <v/>
      </c>
      <c r="B758" s="19">
        <f>'Semi Rev'!$B47</f>
        <v/>
      </c>
      <c r="C758" s="37">
        <f>IFERROR(IF(AND(ISNUMBER('Semi OpInc'!G47),ISNUMBER('Semi Rev'!G47),'Semi Rev'!G47&gt;0),'Semi OpInc'!G47/'Semi Rev'!G47,""),"")</f>
        <v/>
      </c>
      <c r="D758" s="37">
        <f>IFERROR(IF(AND(ISNUMBER('Semi OpInc'!H47),ISNUMBER('Semi Rev'!H47),'Semi Rev'!H47&gt;0),'Semi OpInc'!H47/'Semi Rev'!H47,""),"")</f>
        <v/>
      </c>
      <c r="E758" s="37">
        <f>IFERROR(IF(AND(ISNUMBER('Semi OpInc'!I47),ISNUMBER('Semi Rev'!I47),'Semi Rev'!I47&gt;0),'Semi OpInc'!I47/'Semi Rev'!I47,""),"")</f>
        <v/>
      </c>
      <c r="F758" s="37">
        <f>IFERROR(IF(AND(ISNUMBER('Semi OpInc'!J47),ISNUMBER('Semi Rev'!J47),'Semi Rev'!J47&gt;0),'Semi OpInc'!J47/'Semi Rev'!J47,""),"")</f>
        <v/>
      </c>
      <c r="G758" s="37">
        <f>IFERROR(IF(AND(ISNUMBER('Semi OpInc'!K47),ISNUMBER('Semi Rev'!K47),'Semi Rev'!K47&gt;0),'Semi OpInc'!K47/'Semi Rev'!K47,""),"")</f>
        <v/>
      </c>
      <c r="H758" s="37">
        <f>IFERROR(IF(AND(ISNUMBER('Semi OpInc'!L47),ISNUMBER('Semi Rev'!L47),'Semi Rev'!L47&gt;0),'Semi OpInc'!L47/'Semi Rev'!L47,""),"")</f>
        <v/>
      </c>
      <c r="I758" s="37">
        <f>IFERROR(IF(AND(ISNUMBER('Semi OpInc'!M47),ISNUMBER('Semi Rev'!M47),'Semi Rev'!M47&gt;0),'Semi OpInc'!M47/'Semi Rev'!M47,""),"")</f>
        <v/>
      </c>
      <c r="J758" s="37">
        <f>IFERROR(IF(AND(ISNUMBER('Semi OpInc'!N47),ISNUMBER('Semi Rev'!N47),'Semi Rev'!N47&gt;0),'Semi OpInc'!N47/'Semi Rev'!N47,""),"")</f>
        <v/>
      </c>
      <c r="K758" s="37">
        <f>IFERROR(IF(AND(ISNUMBER('Semi OpInc'!O47),ISNUMBER('Semi Rev'!O47),'Semi Rev'!O47&gt;0),'Semi OpInc'!O47/'Semi Rev'!O47,""),"")</f>
        <v/>
      </c>
      <c r="L758" s="37">
        <f>IFERROR(IF(AND(ISNUMBER('Semi OpInc'!P47),ISNUMBER('Semi Rev'!P47),'Semi Rev'!P47&gt;0),'Semi OpInc'!P47/'Semi Rev'!P47,""),"")</f>
        <v/>
      </c>
      <c r="M758" s="38">
        <f>IFERROR(IF(AND(ISNUMBER('Semi OpInc'!Q47),ISNUMBER('Semi Rev'!Q47),'Semi Rev'!Q47&gt;0),'Semi OpInc'!Q47/'Semi Rev'!Q47,""),"")</f>
        <v/>
      </c>
      <c r="N758" s="38">
        <f>IFERROR(IF(AND(ISNUMBER('Semi OpInc'!R47),ISNUMBER('Semi Rev'!R47),'Semi Rev'!R47&gt;0),'Semi OpInc'!R47/'Semi Rev'!R47,""),"")</f>
        <v/>
      </c>
    </row>
    <row r="759">
      <c r="A759" s="19">
        <f>'Semi Rev'!$A48</f>
        <v/>
      </c>
      <c r="B759" s="19">
        <f>'Semi Rev'!$B48</f>
        <v/>
      </c>
      <c r="C759" s="37">
        <f>IFERROR(IF(AND(ISNUMBER('Semi OpInc'!G48),ISNUMBER('Semi Rev'!G48),'Semi Rev'!G48&gt;0),'Semi OpInc'!G48/'Semi Rev'!G48,""),"")</f>
        <v/>
      </c>
      <c r="D759" s="37">
        <f>IFERROR(IF(AND(ISNUMBER('Semi OpInc'!H48),ISNUMBER('Semi Rev'!H48),'Semi Rev'!H48&gt;0),'Semi OpInc'!H48/'Semi Rev'!H48,""),"")</f>
        <v/>
      </c>
      <c r="E759" s="37">
        <f>IFERROR(IF(AND(ISNUMBER('Semi OpInc'!I48),ISNUMBER('Semi Rev'!I48),'Semi Rev'!I48&gt;0),'Semi OpInc'!I48/'Semi Rev'!I48,""),"")</f>
        <v/>
      </c>
      <c r="F759" s="37">
        <f>IFERROR(IF(AND(ISNUMBER('Semi OpInc'!J48),ISNUMBER('Semi Rev'!J48),'Semi Rev'!J48&gt;0),'Semi OpInc'!J48/'Semi Rev'!J48,""),"")</f>
        <v/>
      </c>
      <c r="G759" s="37">
        <f>IFERROR(IF(AND(ISNUMBER('Semi OpInc'!K48),ISNUMBER('Semi Rev'!K48),'Semi Rev'!K48&gt;0),'Semi OpInc'!K48/'Semi Rev'!K48,""),"")</f>
        <v/>
      </c>
      <c r="H759" s="37">
        <f>IFERROR(IF(AND(ISNUMBER('Semi OpInc'!L48),ISNUMBER('Semi Rev'!L48),'Semi Rev'!L48&gt;0),'Semi OpInc'!L48/'Semi Rev'!L48,""),"")</f>
        <v/>
      </c>
      <c r="I759" s="37">
        <f>IFERROR(IF(AND(ISNUMBER('Semi OpInc'!M48),ISNUMBER('Semi Rev'!M48),'Semi Rev'!M48&gt;0),'Semi OpInc'!M48/'Semi Rev'!M48,""),"")</f>
        <v/>
      </c>
      <c r="J759" s="37">
        <f>IFERROR(IF(AND(ISNUMBER('Semi OpInc'!N48),ISNUMBER('Semi Rev'!N48),'Semi Rev'!N48&gt;0),'Semi OpInc'!N48/'Semi Rev'!N48,""),"")</f>
        <v/>
      </c>
      <c r="K759" s="37">
        <f>IFERROR(IF(AND(ISNUMBER('Semi OpInc'!O48),ISNUMBER('Semi Rev'!O48),'Semi Rev'!O48&gt;0),'Semi OpInc'!O48/'Semi Rev'!O48,""),"")</f>
        <v/>
      </c>
      <c r="L759" s="37">
        <f>IFERROR(IF(AND(ISNUMBER('Semi OpInc'!P48),ISNUMBER('Semi Rev'!P48),'Semi Rev'!P48&gt;0),'Semi OpInc'!P48/'Semi Rev'!P48,""),"")</f>
        <v/>
      </c>
      <c r="M759" s="38">
        <f>IFERROR(IF(AND(ISNUMBER('Semi OpInc'!Q48),ISNUMBER('Semi Rev'!Q48),'Semi Rev'!Q48&gt;0),'Semi OpInc'!Q48/'Semi Rev'!Q48,""),"")</f>
        <v/>
      </c>
      <c r="N759" s="38">
        <f>IFERROR(IF(AND(ISNUMBER('Semi OpInc'!R48),ISNUMBER('Semi Rev'!R48),'Semi Rev'!R48&gt;0),'Semi OpInc'!R48/'Semi Rev'!R48,""),"")</f>
        <v/>
      </c>
    </row>
    <row r="760">
      <c r="A760" s="19">
        <f>'Semi Rev'!$A49</f>
        <v/>
      </c>
      <c r="B760" s="19">
        <f>'Semi Rev'!$B49</f>
        <v/>
      </c>
      <c r="C760" s="37">
        <f>IFERROR(IF(AND(ISNUMBER('Semi OpInc'!G49),ISNUMBER('Semi Rev'!G49),'Semi Rev'!G49&gt;0),'Semi OpInc'!G49/'Semi Rev'!G49,""),"")</f>
        <v/>
      </c>
      <c r="D760" s="37">
        <f>IFERROR(IF(AND(ISNUMBER('Semi OpInc'!H49),ISNUMBER('Semi Rev'!H49),'Semi Rev'!H49&gt;0),'Semi OpInc'!H49/'Semi Rev'!H49,""),"")</f>
        <v/>
      </c>
      <c r="E760" s="37">
        <f>IFERROR(IF(AND(ISNUMBER('Semi OpInc'!I49),ISNUMBER('Semi Rev'!I49),'Semi Rev'!I49&gt;0),'Semi OpInc'!I49/'Semi Rev'!I49,""),"")</f>
        <v/>
      </c>
      <c r="F760" s="37">
        <f>IFERROR(IF(AND(ISNUMBER('Semi OpInc'!J49),ISNUMBER('Semi Rev'!J49),'Semi Rev'!J49&gt;0),'Semi OpInc'!J49/'Semi Rev'!J49,""),"")</f>
        <v/>
      </c>
      <c r="G760" s="37">
        <f>IFERROR(IF(AND(ISNUMBER('Semi OpInc'!K49),ISNUMBER('Semi Rev'!K49),'Semi Rev'!K49&gt;0),'Semi OpInc'!K49/'Semi Rev'!K49,""),"")</f>
        <v/>
      </c>
      <c r="H760" s="37">
        <f>IFERROR(IF(AND(ISNUMBER('Semi OpInc'!L49),ISNUMBER('Semi Rev'!L49),'Semi Rev'!L49&gt;0),'Semi OpInc'!L49/'Semi Rev'!L49,""),"")</f>
        <v/>
      </c>
      <c r="I760" s="37">
        <f>IFERROR(IF(AND(ISNUMBER('Semi OpInc'!M49),ISNUMBER('Semi Rev'!M49),'Semi Rev'!M49&gt;0),'Semi OpInc'!M49/'Semi Rev'!M49,""),"")</f>
        <v/>
      </c>
      <c r="J760" s="37">
        <f>IFERROR(IF(AND(ISNUMBER('Semi OpInc'!N49),ISNUMBER('Semi Rev'!N49),'Semi Rev'!N49&gt;0),'Semi OpInc'!N49/'Semi Rev'!N49,""),"")</f>
        <v/>
      </c>
      <c r="K760" s="37">
        <f>IFERROR(IF(AND(ISNUMBER('Semi OpInc'!O49),ISNUMBER('Semi Rev'!O49),'Semi Rev'!O49&gt;0),'Semi OpInc'!O49/'Semi Rev'!O49,""),"")</f>
        <v/>
      </c>
      <c r="L760" s="37">
        <f>IFERROR(IF(AND(ISNUMBER('Semi OpInc'!P49),ISNUMBER('Semi Rev'!P49),'Semi Rev'!P49&gt;0),'Semi OpInc'!P49/'Semi Rev'!P49,""),"")</f>
        <v/>
      </c>
      <c r="M760" s="38">
        <f>IFERROR(IF(AND(ISNUMBER('Semi OpInc'!Q49),ISNUMBER('Semi Rev'!Q49),'Semi Rev'!Q49&gt;0),'Semi OpInc'!Q49/'Semi Rev'!Q49,""),"")</f>
        <v/>
      </c>
      <c r="N760" s="38">
        <f>IFERROR(IF(AND(ISNUMBER('Semi OpInc'!R49),ISNUMBER('Semi Rev'!R49),'Semi Rev'!R49&gt;0),'Semi OpInc'!R49/'Semi Rev'!R49,""),"")</f>
        <v/>
      </c>
    </row>
    <row r="761">
      <c r="A761" s="19">
        <f>'Semi Rev'!$A50</f>
        <v/>
      </c>
      <c r="B761" s="19">
        <f>'Semi Rev'!$B50</f>
        <v/>
      </c>
      <c r="C761" s="37">
        <f>IFERROR(IF(AND(ISNUMBER('Semi OpInc'!G50),ISNUMBER('Semi Rev'!G50),'Semi Rev'!G50&gt;0),'Semi OpInc'!G50/'Semi Rev'!G50,""),"")</f>
        <v/>
      </c>
      <c r="D761" s="37">
        <f>IFERROR(IF(AND(ISNUMBER('Semi OpInc'!H50),ISNUMBER('Semi Rev'!H50),'Semi Rev'!H50&gt;0),'Semi OpInc'!H50/'Semi Rev'!H50,""),"")</f>
        <v/>
      </c>
      <c r="E761" s="37">
        <f>IFERROR(IF(AND(ISNUMBER('Semi OpInc'!I50),ISNUMBER('Semi Rev'!I50),'Semi Rev'!I50&gt;0),'Semi OpInc'!I50/'Semi Rev'!I50,""),"")</f>
        <v/>
      </c>
      <c r="F761" s="37">
        <f>IFERROR(IF(AND(ISNUMBER('Semi OpInc'!J50),ISNUMBER('Semi Rev'!J50),'Semi Rev'!J50&gt;0),'Semi OpInc'!J50/'Semi Rev'!J50,""),"")</f>
        <v/>
      </c>
      <c r="G761" s="37">
        <f>IFERROR(IF(AND(ISNUMBER('Semi OpInc'!K50),ISNUMBER('Semi Rev'!K50),'Semi Rev'!K50&gt;0),'Semi OpInc'!K50/'Semi Rev'!K50,""),"")</f>
        <v/>
      </c>
      <c r="H761" s="37">
        <f>IFERROR(IF(AND(ISNUMBER('Semi OpInc'!L50),ISNUMBER('Semi Rev'!L50),'Semi Rev'!L50&gt;0),'Semi OpInc'!L50/'Semi Rev'!L50,""),"")</f>
        <v/>
      </c>
      <c r="I761" s="37">
        <f>IFERROR(IF(AND(ISNUMBER('Semi OpInc'!M50),ISNUMBER('Semi Rev'!M50),'Semi Rev'!M50&gt;0),'Semi OpInc'!M50/'Semi Rev'!M50,""),"")</f>
        <v/>
      </c>
      <c r="J761" s="37">
        <f>IFERROR(IF(AND(ISNUMBER('Semi OpInc'!N50),ISNUMBER('Semi Rev'!N50),'Semi Rev'!N50&gt;0),'Semi OpInc'!N50/'Semi Rev'!N50,""),"")</f>
        <v/>
      </c>
      <c r="K761" s="37">
        <f>IFERROR(IF(AND(ISNUMBER('Semi OpInc'!O50),ISNUMBER('Semi Rev'!O50),'Semi Rev'!O50&gt;0),'Semi OpInc'!O50/'Semi Rev'!O50,""),"")</f>
        <v/>
      </c>
      <c r="L761" s="37">
        <f>IFERROR(IF(AND(ISNUMBER('Semi OpInc'!P50),ISNUMBER('Semi Rev'!P50),'Semi Rev'!P50&gt;0),'Semi OpInc'!P50/'Semi Rev'!P50,""),"")</f>
        <v/>
      </c>
      <c r="M761" s="38">
        <f>IFERROR(IF(AND(ISNUMBER('Semi OpInc'!Q50),ISNUMBER('Semi Rev'!Q50),'Semi Rev'!Q50&gt;0),'Semi OpInc'!Q50/'Semi Rev'!Q50,""),"")</f>
        <v/>
      </c>
      <c r="N761" s="38">
        <f>IFERROR(IF(AND(ISNUMBER('Semi OpInc'!R50),ISNUMBER('Semi Rev'!R50),'Semi Rev'!R50&gt;0),'Semi OpInc'!R50/'Semi Rev'!R50,""),"")</f>
        <v/>
      </c>
    </row>
    <row r="762">
      <c r="A762" s="19">
        <f>'Semi Rev'!$A51</f>
        <v/>
      </c>
      <c r="B762" s="19">
        <f>'Semi Rev'!$B51</f>
        <v/>
      </c>
      <c r="C762" s="37">
        <f>IFERROR(IF(AND(ISNUMBER('Semi OpInc'!G51),ISNUMBER('Semi Rev'!G51),'Semi Rev'!G51&gt;0),'Semi OpInc'!G51/'Semi Rev'!G51,""),"")</f>
        <v/>
      </c>
      <c r="D762" s="37">
        <f>IFERROR(IF(AND(ISNUMBER('Semi OpInc'!H51),ISNUMBER('Semi Rev'!H51),'Semi Rev'!H51&gt;0),'Semi OpInc'!H51/'Semi Rev'!H51,""),"")</f>
        <v/>
      </c>
      <c r="E762" s="37">
        <f>IFERROR(IF(AND(ISNUMBER('Semi OpInc'!I51),ISNUMBER('Semi Rev'!I51),'Semi Rev'!I51&gt;0),'Semi OpInc'!I51/'Semi Rev'!I51,""),"")</f>
        <v/>
      </c>
      <c r="F762" s="37">
        <f>IFERROR(IF(AND(ISNUMBER('Semi OpInc'!J51),ISNUMBER('Semi Rev'!J51),'Semi Rev'!J51&gt;0),'Semi OpInc'!J51/'Semi Rev'!J51,""),"")</f>
        <v/>
      </c>
      <c r="G762" s="37">
        <f>IFERROR(IF(AND(ISNUMBER('Semi OpInc'!K51),ISNUMBER('Semi Rev'!K51),'Semi Rev'!K51&gt;0),'Semi OpInc'!K51/'Semi Rev'!K51,""),"")</f>
        <v/>
      </c>
      <c r="H762" s="37">
        <f>IFERROR(IF(AND(ISNUMBER('Semi OpInc'!L51),ISNUMBER('Semi Rev'!L51),'Semi Rev'!L51&gt;0),'Semi OpInc'!L51/'Semi Rev'!L51,""),"")</f>
        <v/>
      </c>
      <c r="I762" s="37">
        <f>IFERROR(IF(AND(ISNUMBER('Semi OpInc'!M51),ISNUMBER('Semi Rev'!M51),'Semi Rev'!M51&gt;0),'Semi OpInc'!M51/'Semi Rev'!M51,""),"")</f>
        <v/>
      </c>
      <c r="J762" s="37">
        <f>IFERROR(IF(AND(ISNUMBER('Semi OpInc'!N51),ISNUMBER('Semi Rev'!N51),'Semi Rev'!N51&gt;0),'Semi OpInc'!N51/'Semi Rev'!N51,""),"")</f>
        <v/>
      </c>
      <c r="K762" s="37">
        <f>IFERROR(IF(AND(ISNUMBER('Semi OpInc'!O51),ISNUMBER('Semi Rev'!O51),'Semi Rev'!O51&gt;0),'Semi OpInc'!O51/'Semi Rev'!O51,""),"")</f>
        <v/>
      </c>
      <c r="L762" s="37">
        <f>IFERROR(IF(AND(ISNUMBER('Semi OpInc'!P51),ISNUMBER('Semi Rev'!P51),'Semi Rev'!P51&gt;0),'Semi OpInc'!P51/'Semi Rev'!P51,""),"")</f>
        <v/>
      </c>
      <c r="M762" s="38">
        <f>IFERROR(IF(AND(ISNUMBER('Semi OpInc'!Q51),ISNUMBER('Semi Rev'!Q51),'Semi Rev'!Q51&gt;0),'Semi OpInc'!Q51/'Semi Rev'!Q51,""),"")</f>
        <v/>
      </c>
      <c r="N762" s="38">
        <f>IFERROR(IF(AND(ISNUMBER('Semi OpInc'!R51),ISNUMBER('Semi Rev'!R51),'Semi Rev'!R51&gt;0),'Semi OpInc'!R51/'Semi Rev'!R51,""),"")</f>
        <v/>
      </c>
    </row>
    <row r="763">
      <c r="A763" s="19">
        <f>'Semi Rev'!$A52</f>
        <v/>
      </c>
      <c r="B763" s="19">
        <f>'Semi Rev'!$B52</f>
        <v/>
      </c>
      <c r="C763" s="37">
        <f>IFERROR(IF(AND(ISNUMBER('Semi OpInc'!G52),ISNUMBER('Semi Rev'!G52),'Semi Rev'!G52&gt;0),'Semi OpInc'!G52/'Semi Rev'!G52,""),"")</f>
        <v/>
      </c>
      <c r="D763" s="37">
        <f>IFERROR(IF(AND(ISNUMBER('Semi OpInc'!H52),ISNUMBER('Semi Rev'!H52),'Semi Rev'!H52&gt;0),'Semi OpInc'!H52/'Semi Rev'!H52,""),"")</f>
        <v/>
      </c>
      <c r="E763" s="37">
        <f>IFERROR(IF(AND(ISNUMBER('Semi OpInc'!I52),ISNUMBER('Semi Rev'!I52),'Semi Rev'!I52&gt;0),'Semi OpInc'!I52/'Semi Rev'!I52,""),"")</f>
        <v/>
      </c>
      <c r="F763" s="37">
        <f>IFERROR(IF(AND(ISNUMBER('Semi OpInc'!J52),ISNUMBER('Semi Rev'!J52),'Semi Rev'!J52&gt;0),'Semi OpInc'!J52/'Semi Rev'!J52,""),"")</f>
        <v/>
      </c>
      <c r="G763" s="37">
        <f>IFERROR(IF(AND(ISNUMBER('Semi OpInc'!K52),ISNUMBER('Semi Rev'!K52),'Semi Rev'!K52&gt;0),'Semi OpInc'!K52/'Semi Rev'!K52,""),"")</f>
        <v/>
      </c>
      <c r="H763" s="37">
        <f>IFERROR(IF(AND(ISNUMBER('Semi OpInc'!L52),ISNUMBER('Semi Rev'!L52),'Semi Rev'!L52&gt;0),'Semi OpInc'!L52/'Semi Rev'!L52,""),"")</f>
        <v/>
      </c>
      <c r="I763" s="37">
        <f>IFERROR(IF(AND(ISNUMBER('Semi OpInc'!M52),ISNUMBER('Semi Rev'!M52),'Semi Rev'!M52&gt;0),'Semi OpInc'!M52/'Semi Rev'!M52,""),"")</f>
        <v/>
      </c>
      <c r="J763" s="37">
        <f>IFERROR(IF(AND(ISNUMBER('Semi OpInc'!N52),ISNUMBER('Semi Rev'!N52),'Semi Rev'!N52&gt;0),'Semi OpInc'!N52/'Semi Rev'!N52,""),"")</f>
        <v/>
      </c>
      <c r="K763" s="37">
        <f>IFERROR(IF(AND(ISNUMBER('Semi OpInc'!O52),ISNUMBER('Semi Rev'!O52),'Semi Rev'!O52&gt;0),'Semi OpInc'!O52/'Semi Rev'!O52,""),"")</f>
        <v/>
      </c>
      <c r="L763" s="37">
        <f>IFERROR(IF(AND(ISNUMBER('Semi OpInc'!P52),ISNUMBER('Semi Rev'!P52),'Semi Rev'!P52&gt;0),'Semi OpInc'!P52/'Semi Rev'!P52,""),"")</f>
        <v/>
      </c>
      <c r="M763" s="38">
        <f>IFERROR(IF(AND(ISNUMBER('Semi OpInc'!Q52),ISNUMBER('Semi Rev'!Q52),'Semi Rev'!Q52&gt;0),'Semi OpInc'!Q52/'Semi Rev'!Q52,""),"")</f>
        <v/>
      </c>
      <c r="N763" s="38">
        <f>IFERROR(IF(AND(ISNUMBER('Semi OpInc'!R52),ISNUMBER('Semi Rev'!R52),'Semi Rev'!R52&gt;0),'Semi OpInc'!R52/'Semi Rev'!R52,""),"")</f>
        <v/>
      </c>
    </row>
    <row r="764">
      <c r="A764" s="19">
        <f>'Semi Rev'!$A53</f>
        <v/>
      </c>
      <c r="B764" s="19">
        <f>'Semi Rev'!$B53</f>
        <v/>
      </c>
      <c r="C764" s="37">
        <f>IFERROR(IF(AND(ISNUMBER('Semi OpInc'!G53),ISNUMBER('Semi Rev'!G53),'Semi Rev'!G53&gt;0),'Semi OpInc'!G53/'Semi Rev'!G53,""),"")</f>
        <v/>
      </c>
      <c r="D764" s="37">
        <f>IFERROR(IF(AND(ISNUMBER('Semi OpInc'!H53),ISNUMBER('Semi Rev'!H53),'Semi Rev'!H53&gt;0),'Semi OpInc'!H53/'Semi Rev'!H53,""),"")</f>
        <v/>
      </c>
      <c r="E764" s="37">
        <f>IFERROR(IF(AND(ISNUMBER('Semi OpInc'!I53),ISNUMBER('Semi Rev'!I53),'Semi Rev'!I53&gt;0),'Semi OpInc'!I53/'Semi Rev'!I53,""),"")</f>
        <v/>
      </c>
      <c r="F764" s="37">
        <f>IFERROR(IF(AND(ISNUMBER('Semi OpInc'!J53),ISNUMBER('Semi Rev'!J53),'Semi Rev'!J53&gt;0),'Semi OpInc'!J53/'Semi Rev'!J53,""),"")</f>
        <v/>
      </c>
      <c r="G764" s="37">
        <f>IFERROR(IF(AND(ISNUMBER('Semi OpInc'!K53),ISNUMBER('Semi Rev'!K53),'Semi Rev'!K53&gt;0),'Semi OpInc'!K53/'Semi Rev'!K53,""),"")</f>
        <v/>
      </c>
      <c r="H764" s="37">
        <f>IFERROR(IF(AND(ISNUMBER('Semi OpInc'!L53),ISNUMBER('Semi Rev'!L53),'Semi Rev'!L53&gt;0),'Semi OpInc'!L53/'Semi Rev'!L53,""),"")</f>
        <v/>
      </c>
      <c r="I764" s="37">
        <f>IFERROR(IF(AND(ISNUMBER('Semi OpInc'!M53),ISNUMBER('Semi Rev'!M53),'Semi Rev'!M53&gt;0),'Semi OpInc'!M53/'Semi Rev'!M53,""),"")</f>
        <v/>
      </c>
      <c r="J764" s="37">
        <f>IFERROR(IF(AND(ISNUMBER('Semi OpInc'!N53),ISNUMBER('Semi Rev'!N53),'Semi Rev'!N53&gt;0),'Semi OpInc'!N53/'Semi Rev'!N53,""),"")</f>
        <v/>
      </c>
      <c r="K764" s="37">
        <f>IFERROR(IF(AND(ISNUMBER('Semi OpInc'!O53),ISNUMBER('Semi Rev'!O53),'Semi Rev'!O53&gt;0),'Semi OpInc'!O53/'Semi Rev'!O53,""),"")</f>
        <v/>
      </c>
      <c r="L764" s="37">
        <f>IFERROR(IF(AND(ISNUMBER('Semi OpInc'!P53),ISNUMBER('Semi Rev'!P53),'Semi Rev'!P53&gt;0),'Semi OpInc'!P53/'Semi Rev'!P53,""),"")</f>
        <v/>
      </c>
      <c r="M764" s="38">
        <f>IFERROR(IF(AND(ISNUMBER('Semi OpInc'!Q53),ISNUMBER('Semi Rev'!Q53),'Semi Rev'!Q53&gt;0),'Semi OpInc'!Q53/'Semi Rev'!Q53,""),"")</f>
        <v/>
      </c>
      <c r="N764" s="38">
        <f>IFERROR(IF(AND(ISNUMBER('Semi OpInc'!R53),ISNUMBER('Semi Rev'!R53),'Semi Rev'!R53&gt;0),'Semi OpInc'!R53/'Semi Rev'!R53,""),"")</f>
        <v/>
      </c>
    </row>
    <row r="765">
      <c r="A765" s="19">
        <f>'Semi Rev'!$A54</f>
        <v/>
      </c>
      <c r="B765" s="19">
        <f>'Semi Rev'!$B54</f>
        <v/>
      </c>
      <c r="C765" s="37">
        <f>IFERROR(IF(AND(ISNUMBER('Semi OpInc'!G54),ISNUMBER('Semi Rev'!G54),'Semi Rev'!G54&gt;0),'Semi OpInc'!G54/'Semi Rev'!G54,""),"")</f>
        <v/>
      </c>
      <c r="D765" s="37">
        <f>IFERROR(IF(AND(ISNUMBER('Semi OpInc'!H54),ISNUMBER('Semi Rev'!H54),'Semi Rev'!H54&gt;0),'Semi OpInc'!H54/'Semi Rev'!H54,""),"")</f>
        <v/>
      </c>
      <c r="E765" s="37">
        <f>IFERROR(IF(AND(ISNUMBER('Semi OpInc'!I54),ISNUMBER('Semi Rev'!I54),'Semi Rev'!I54&gt;0),'Semi OpInc'!I54/'Semi Rev'!I54,""),"")</f>
        <v/>
      </c>
      <c r="F765" s="37">
        <f>IFERROR(IF(AND(ISNUMBER('Semi OpInc'!J54),ISNUMBER('Semi Rev'!J54),'Semi Rev'!J54&gt;0),'Semi OpInc'!J54/'Semi Rev'!J54,""),"")</f>
        <v/>
      </c>
      <c r="G765" s="37">
        <f>IFERROR(IF(AND(ISNUMBER('Semi OpInc'!K54),ISNUMBER('Semi Rev'!K54),'Semi Rev'!K54&gt;0),'Semi OpInc'!K54/'Semi Rev'!K54,""),"")</f>
        <v/>
      </c>
      <c r="H765" s="37">
        <f>IFERROR(IF(AND(ISNUMBER('Semi OpInc'!L54),ISNUMBER('Semi Rev'!L54),'Semi Rev'!L54&gt;0),'Semi OpInc'!L54/'Semi Rev'!L54,""),"")</f>
        <v/>
      </c>
      <c r="I765" s="37">
        <f>IFERROR(IF(AND(ISNUMBER('Semi OpInc'!M54),ISNUMBER('Semi Rev'!M54),'Semi Rev'!M54&gt;0),'Semi OpInc'!M54/'Semi Rev'!M54,""),"")</f>
        <v/>
      </c>
      <c r="J765" s="37">
        <f>IFERROR(IF(AND(ISNUMBER('Semi OpInc'!N54),ISNUMBER('Semi Rev'!N54),'Semi Rev'!N54&gt;0),'Semi OpInc'!N54/'Semi Rev'!N54,""),"")</f>
        <v/>
      </c>
      <c r="K765" s="37">
        <f>IFERROR(IF(AND(ISNUMBER('Semi OpInc'!O54),ISNUMBER('Semi Rev'!O54),'Semi Rev'!O54&gt;0),'Semi OpInc'!O54/'Semi Rev'!O54,""),"")</f>
        <v/>
      </c>
      <c r="L765" s="37">
        <f>IFERROR(IF(AND(ISNUMBER('Semi OpInc'!P54),ISNUMBER('Semi Rev'!P54),'Semi Rev'!P54&gt;0),'Semi OpInc'!P54/'Semi Rev'!P54,""),"")</f>
        <v/>
      </c>
      <c r="M765" s="38">
        <f>IFERROR(IF(AND(ISNUMBER('Semi OpInc'!Q54),ISNUMBER('Semi Rev'!Q54),'Semi Rev'!Q54&gt;0),'Semi OpInc'!Q54/'Semi Rev'!Q54,""),"")</f>
        <v/>
      </c>
      <c r="N765" s="38">
        <f>IFERROR(IF(AND(ISNUMBER('Semi OpInc'!R54),ISNUMBER('Semi Rev'!R54),'Semi Rev'!R54&gt;0),'Semi OpInc'!R54/'Semi Rev'!R54,""),"")</f>
        <v/>
      </c>
    </row>
    <row r="766">
      <c r="A766" s="19">
        <f>'Semi Rev'!$A55</f>
        <v/>
      </c>
      <c r="B766" s="19">
        <f>'Semi Rev'!$B55</f>
        <v/>
      </c>
      <c r="C766" s="37">
        <f>IFERROR(IF(AND(ISNUMBER('Semi OpInc'!G55),ISNUMBER('Semi Rev'!G55),'Semi Rev'!G55&gt;0),'Semi OpInc'!G55/'Semi Rev'!G55,""),"")</f>
        <v/>
      </c>
      <c r="D766" s="37">
        <f>IFERROR(IF(AND(ISNUMBER('Semi OpInc'!H55),ISNUMBER('Semi Rev'!H55),'Semi Rev'!H55&gt;0),'Semi OpInc'!H55/'Semi Rev'!H55,""),"")</f>
        <v/>
      </c>
      <c r="E766" s="37">
        <f>IFERROR(IF(AND(ISNUMBER('Semi OpInc'!I55),ISNUMBER('Semi Rev'!I55),'Semi Rev'!I55&gt;0),'Semi OpInc'!I55/'Semi Rev'!I55,""),"")</f>
        <v/>
      </c>
      <c r="F766" s="37">
        <f>IFERROR(IF(AND(ISNUMBER('Semi OpInc'!J55),ISNUMBER('Semi Rev'!J55),'Semi Rev'!J55&gt;0),'Semi OpInc'!J55/'Semi Rev'!J55,""),"")</f>
        <v/>
      </c>
      <c r="G766" s="37">
        <f>IFERROR(IF(AND(ISNUMBER('Semi OpInc'!K55),ISNUMBER('Semi Rev'!K55),'Semi Rev'!K55&gt;0),'Semi OpInc'!K55/'Semi Rev'!K55,""),"")</f>
        <v/>
      </c>
      <c r="H766" s="37">
        <f>IFERROR(IF(AND(ISNUMBER('Semi OpInc'!L55),ISNUMBER('Semi Rev'!L55),'Semi Rev'!L55&gt;0),'Semi OpInc'!L55/'Semi Rev'!L55,""),"")</f>
        <v/>
      </c>
      <c r="I766" s="37">
        <f>IFERROR(IF(AND(ISNUMBER('Semi OpInc'!M55),ISNUMBER('Semi Rev'!M55),'Semi Rev'!M55&gt;0),'Semi OpInc'!M55/'Semi Rev'!M55,""),"")</f>
        <v/>
      </c>
      <c r="J766" s="37">
        <f>IFERROR(IF(AND(ISNUMBER('Semi OpInc'!N55),ISNUMBER('Semi Rev'!N55),'Semi Rev'!N55&gt;0),'Semi OpInc'!N55/'Semi Rev'!N55,""),"")</f>
        <v/>
      </c>
      <c r="K766" s="37">
        <f>IFERROR(IF(AND(ISNUMBER('Semi OpInc'!O55),ISNUMBER('Semi Rev'!O55),'Semi Rev'!O55&gt;0),'Semi OpInc'!O55/'Semi Rev'!O55,""),"")</f>
        <v/>
      </c>
      <c r="L766" s="37">
        <f>IFERROR(IF(AND(ISNUMBER('Semi OpInc'!P55),ISNUMBER('Semi Rev'!P55),'Semi Rev'!P55&gt;0),'Semi OpInc'!P55/'Semi Rev'!P55,""),"")</f>
        <v/>
      </c>
      <c r="M766" s="38">
        <f>IFERROR(IF(AND(ISNUMBER('Semi OpInc'!Q55),ISNUMBER('Semi Rev'!Q55),'Semi Rev'!Q55&gt;0),'Semi OpInc'!Q55/'Semi Rev'!Q55,""),"")</f>
        <v/>
      </c>
      <c r="N766" s="38">
        <f>IFERROR(IF(AND(ISNUMBER('Semi OpInc'!R55),ISNUMBER('Semi Rev'!R55),'Semi Rev'!R55&gt;0),'Semi OpInc'!R55/'Semi Rev'!R55,""),"")</f>
        <v/>
      </c>
    </row>
    <row r="767">
      <c r="A767" s="19">
        <f>'Semi Rev'!$A56</f>
        <v/>
      </c>
      <c r="B767" s="19">
        <f>'Semi Rev'!$B56</f>
        <v/>
      </c>
      <c r="C767" s="37">
        <f>IFERROR(IF(AND(ISNUMBER('Semi OpInc'!G56),ISNUMBER('Semi Rev'!G56),'Semi Rev'!G56&gt;0),'Semi OpInc'!G56/'Semi Rev'!G56,""),"")</f>
        <v/>
      </c>
      <c r="D767" s="37">
        <f>IFERROR(IF(AND(ISNUMBER('Semi OpInc'!H56),ISNUMBER('Semi Rev'!H56),'Semi Rev'!H56&gt;0),'Semi OpInc'!H56/'Semi Rev'!H56,""),"")</f>
        <v/>
      </c>
      <c r="E767" s="37">
        <f>IFERROR(IF(AND(ISNUMBER('Semi OpInc'!I56),ISNUMBER('Semi Rev'!I56),'Semi Rev'!I56&gt;0),'Semi OpInc'!I56/'Semi Rev'!I56,""),"")</f>
        <v/>
      </c>
      <c r="F767" s="37">
        <f>IFERROR(IF(AND(ISNUMBER('Semi OpInc'!J56),ISNUMBER('Semi Rev'!J56),'Semi Rev'!J56&gt;0),'Semi OpInc'!J56/'Semi Rev'!J56,""),"")</f>
        <v/>
      </c>
      <c r="G767" s="37">
        <f>IFERROR(IF(AND(ISNUMBER('Semi OpInc'!K56),ISNUMBER('Semi Rev'!K56),'Semi Rev'!K56&gt;0),'Semi OpInc'!K56/'Semi Rev'!K56,""),"")</f>
        <v/>
      </c>
      <c r="H767" s="37">
        <f>IFERROR(IF(AND(ISNUMBER('Semi OpInc'!L56),ISNUMBER('Semi Rev'!L56),'Semi Rev'!L56&gt;0),'Semi OpInc'!L56/'Semi Rev'!L56,""),"")</f>
        <v/>
      </c>
      <c r="I767" s="37">
        <f>IFERROR(IF(AND(ISNUMBER('Semi OpInc'!M56),ISNUMBER('Semi Rev'!M56),'Semi Rev'!M56&gt;0),'Semi OpInc'!M56/'Semi Rev'!M56,""),"")</f>
        <v/>
      </c>
      <c r="J767" s="37">
        <f>IFERROR(IF(AND(ISNUMBER('Semi OpInc'!N56),ISNUMBER('Semi Rev'!N56),'Semi Rev'!N56&gt;0),'Semi OpInc'!N56/'Semi Rev'!N56,""),"")</f>
        <v/>
      </c>
      <c r="K767" s="37">
        <f>IFERROR(IF(AND(ISNUMBER('Semi OpInc'!O56),ISNUMBER('Semi Rev'!O56),'Semi Rev'!O56&gt;0),'Semi OpInc'!O56/'Semi Rev'!O56,""),"")</f>
        <v/>
      </c>
      <c r="L767" s="37">
        <f>IFERROR(IF(AND(ISNUMBER('Semi OpInc'!P56),ISNUMBER('Semi Rev'!P56),'Semi Rev'!P56&gt;0),'Semi OpInc'!P56/'Semi Rev'!P56,""),"")</f>
        <v/>
      </c>
      <c r="M767" s="38">
        <f>IFERROR(IF(AND(ISNUMBER('Semi OpInc'!Q56),ISNUMBER('Semi Rev'!Q56),'Semi Rev'!Q56&gt;0),'Semi OpInc'!Q56/'Semi Rev'!Q56,""),"")</f>
        <v/>
      </c>
      <c r="N767" s="38">
        <f>IFERROR(IF(AND(ISNUMBER('Semi OpInc'!R56),ISNUMBER('Semi Rev'!R56),'Semi Rev'!R56&gt;0),'Semi OpInc'!R56/'Semi Rev'!R56,""),"")</f>
        <v/>
      </c>
    </row>
    <row r="768">
      <c r="A768" s="19">
        <f>'Semi Rev'!$A57</f>
        <v/>
      </c>
      <c r="B768" s="19">
        <f>'Semi Rev'!$B57</f>
        <v/>
      </c>
      <c r="C768" s="37">
        <f>IFERROR(IF(AND(ISNUMBER('Semi OpInc'!G57),ISNUMBER('Semi Rev'!G57),'Semi Rev'!G57&gt;0),'Semi OpInc'!G57/'Semi Rev'!G57,""),"")</f>
        <v/>
      </c>
      <c r="D768" s="37">
        <f>IFERROR(IF(AND(ISNUMBER('Semi OpInc'!H57),ISNUMBER('Semi Rev'!H57),'Semi Rev'!H57&gt;0),'Semi OpInc'!H57/'Semi Rev'!H57,""),"")</f>
        <v/>
      </c>
      <c r="E768" s="37">
        <f>IFERROR(IF(AND(ISNUMBER('Semi OpInc'!I57),ISNUMBER('Semi Rev'!I57),'Semi Rev'!I57&gt;0),'Semi OpInc'!I57/'Semi Rev'!I57,""),"")</f>
        <v/>
      </c>
      <c r="F768" s="37">
        <f>IFERROR(IF(AND(ISNUMBER('Semi OpInc'!J57),ISNUMBER('Semi Rev'!J57),'Semi Rev'!J57&gt;0),'Semi OpInc'!J57/'Semi Rev'!J57,""),"")</f>
        <v/>
      </c>
      <c r="G768" s="37">
        <f>IFERROR(IF(AND(ISNUMBER('Semi OpInc'!K57),ISNUMBER('Semi Rev'!K57),'Semi Rev'!K57&gt;0),'Semi OpInc'!K57/'Semi Rev'!K57,""),"")</f>
        <v/>
      </c>
      <c r="H768" s="37">
        <f>IFERROR(IF(AND(ISNUMBER('Semi OpInc'!L57),ISNUMBER('Semi Rev'!L57),'Semi Rev'!L57&gt;0),'Semi OpInc'!L57/'Semi Rev'!L57,""),"")</f>
        <v/>
      </c>
      <c r="I768" s="37">
        <f>IFERROR(IF(AND(ISNUMBER('Semi OpInc'!M57),ISNUMBER('Semi Rev'!M57),'Semi Rev'!M57&gt;0),'Semi OpInc'!M57/'Semi Rev'!M57,""),"")</f>
        <v/>
      </c>
      <c r="J768" s="37">
        <f>IFERROR(IF(AND(ISNUMBER('Semi OpInc'!N57),ISNUMBER('Semi Rev'!N57),'Semi Rev'!N57&gt;0),'Semi OpInc'!N57/'Semi Rev'!N57,""),"")</f>
        <v/>
      </c>
      <c r="K768" s="37">
        <f>IFERROR(IF(AND(ISNUMBER('Semi OpInc'!O57),ISNUMBER('Semi Rev'!O57),'Semi Rev'!O57&gt;0),'Semi OpInc'!O57/'Semi Rev'!O57,""),"")</f>
        <v/>
      </c>
      <c r="L768" s="37">
        <f>IFERROR(IF(AND(ISNUMBER('Semi OpInc'!P57),ISNUMBER('Semi Rev'!P57),'Semi Rev'!P57&gt;0),'Semi OpInc'!P57/'Semi Rev'!P57,""),"")</f>
        <v/>
      </c>
      <c r="M768" s="38">
        <f>IFERROR(IF(AND(ISNUMBER('Semi OpInc'!Q57),ISNUMBER('Semi Rev'!Q57),'Semi Rev'!Q57&gt;0),'Semi OpInc'!Q57/'Semi Rev'!Q57,""),"")</f>
        <v/>
      </c>
      <c r="N768" s="38">
        <f>IFERROR(IF(AND(ISNUMBER('Semi OpInc'!R57),ISNUMBER('Semi Rev'!R57),'Semi Rev'!R57&gt;0),'Semi OpInc'!R57/'Semi Rev'!R57,""),"")</f>
        <v/>
      </c>
    </row>
    <row r="769">
      <c r="A769" s="19">
        <f>'Semi Rev'!$A58</f>
        <v/>
      </c>
      <c r="B769" s="19">
        <f>'Semi Rev'!$B58</f>
        <v/>
      </c>
      <c r="C769" s="37">
        <f>IFERROR(IF(AND(ISNUMBER('Semi OpInc'!G58),ISNUMBER('Semi Rev'!G58),'Semi Rev'!G58&gt;0),'Semi OpInc'!G58/'Semi Rev'!G58,""),"")</f>
        <v/>
      </c>
      <c r="D769" s="37">
        <f>IFERROR(IF(AND(ISNUMBER('Semi OpInc'!H58),ISNUMBER('Semi Rev'!H58),'Semi Rev'!H58&gt;0),'Semi OpInc'!H58/'Semi Rev'!H58,""),"")</f>
        <v/>
      </c>
      <c r="E769" s="37">
        <f>IFERROR(IF(AND(ISNUMBER('Semi OpInc'!I58),ISNUMBER('Semi Rev'!I58),'Semi Rev'!I58&gt;0),'Semi OpInc'!I58/'Semi Rev'!I58,""),"")</f>
        <v/>
      </c>
      <c r="F769" s="37">
        <f>IFERROR(IF(AND(ISNUMBER('Semi OpInc'!J58),ISNUMBER('Semi Rev'!J58),'Semi Rev'!J58&gt;0),'Semi OpInc'!J58/'Semi Rev'!J58,""),"")</f>
        <v/>
      </c>
      <c r="G769" s="37">
        <f>IFERROR(IF(AND(ISNUMBER('Semi OpInc'!K58),ISNUMBER('Semi Rev'!K58),'Semi Rev'!K58&gt;0),'Semi OpInc'!K58/'Semi Rev'!K58,""),"")</f>
        <v/>
      </c>
      <c r="H769" s="37">
        <f>IFERROR(IF(AND(ISNUMBER('Semi OpInc'!L58),ISNUMBER('Semi Rev'!L58),'Semi Rev'!L58&gt;0),'Semi OpInc'!L58/'Semi Rev'!L58,""),"")</f>
        <v/>
      </c>
      <c r="I769" s="37">
        <f>IFERROR(IF(AND(ISNUMBER('Semi OpInc'!M58),ISNUMBER('Semi Rev'!M58),'Semi Rev'!M58&gt;0),'Semi OpInc'!M58/'Semi Rev'!M58,""),"")</f>
        <v/>
      </c>
      <c r="J769" s="37">
        <f>IFERROR(IF(AND(ISNUMBER('Semi OpInc'!N58),ISNUMBER('Semi Rev'!N58),'Semi Rev'!N58&gt;0),'Semi OpInc'!N58/'Semi Rev'!N58,""),"")</f>
        <v/>
      </c>
      <c r="K769" s="37">
        <f>IFERROR(IF(AND(ISNUMBER('Semi OpInc'!O58),ISNUMBER('Semi Rev'!O58),'Semi Rev'!O58&gt;0),'Semi OpInc'!O58/'Semi Rev'!O58,""),"")</f>
        <v/>
      </c>
      <c r="L769" s="37">
        <f>IFERROR(IF(AND(ISNUMBER('Semi OpInc'!P58),ISNUMBER('Semi Rev'!P58),'Semi Rev'!P58&gt;0),'Semi OpInc'!P58/'Semi Rev'!P58,""),"")</f>
        <v/>
      </c>
      <c r="M769" s="38">
        <f>IFERROR(IF(AND(ISNUMBER('Semi OpInc'!Q58),ISNUMBER('Semi Rev'!Q58),'Semi Rev'!Q58&gt;0),'Semi OpInc'!Q58/'Semi Rev'!Q58,""),"")</f>
        <v/>
      </c>
      <c r="N769" s="38">
        <f>IFERROR(IF(AND(ISNUMBER('Semi OpInc'!R58),ISNUMBER('Semi Rev'!R58),'Semi Rev'!R58&gt;0),'Semi OpInc'!R58/'Semi Rev'!R58,""),"")</f>
        <v/>
      </c>
    </row>
    <row r="770">
      <c r="A770" s="19">
        <f>'Semi Rev'!$A59</f>
        <v/>
      </c>
      <c r="B770" s="19">
        <f>'Semi Rev'!$B59</f>
        <v/>
      </c>
      <c r="C770" s="37">
        <f>IFERROR(IF(AND(ISNUMBER('Semi OpInc'!G59),ISNUMBER('Semi Rev'!G59),'Semi Rev'!G59&gt;0),'Semi OpInc'!G59/'Semi Rev'!G59,""),"")</f>
        <v/>
      </c>
      <c r="D770" s="37">
        <f>IFERROR(IF(AND(ISNUMBER('Semi OpInc'!H59),ISNUMBER('Semi Rev'!H59),'Semi Rev'!H59&gt;0),'Semi OpInc'!H59/'Semi Rev'!H59,""),"")</f>
        <v/>
      </c>
      <c r="E770" s="37">
        <f>IFERROR(IF(AND(ISNUMBER('Semi OpInc'!I59),ISNUMBER('Semi Rev'!I59),'Semi Rev'!I59&gt;0),'Semi OpInc'!I59/'Semi Rev'!I59,""),"")</f>
        <v/>
      </c>
      <c r="F770" s="37">
        <f>IFERROR(IF(AND(ISNUMBER('Semi OpInc'!J59),ISNUMBER('Semi Rev'!J59),'Semi Rev'!J59&gt;0),'Semi OpInc'!J59/'Semi Rev'!J59,""),"")</f>
        <v/>
      </c>
      <c r="G770" s="37">
        <f>IFERROR(IF(AND(ISNUMBER('Semi OpInc'!K59),ISNUMBER('Semi Rev'!K59),'Semi Rev'!K59&gt;0),'Semi OpInc'!K59/'Semi Rev'!K59,""),"")</f>
        <v/>
      </c>
      <c r="H770" s="37">
        <f>IFERROR(IF(AND(ISNUMBER('Semi OpInc'!L59),ISNUMBER('Semi Rev'!L59),'Semi Rev'!L59&gt;0),'Semi OpInc'!L59/'Semi Rev'!L59,""),"")</f>
        <v/>
      </c>
      <c r="I770" s="37">
        <f>IFERROR(IF(AND(ISNUMBER('Semi OpInc'!M59),ISNUMBER('Semi Rev'!M59),'Semi Rev'!M59&gt;0),'Semi OpInc'!M59/'Semi Rev'!M59,""),"")</f>
        <v/>
      </c>
      <c r="J770" s="37">
        <f>IFERROR(IF(AND(ISNUMBER('Semi OpInc'!N59),ISNUMBER('Semi Rev'!N59),'Semi Rev'!N59&gt;0),'Semi OpInc'!N59/'Semi Rev'!N59,""),"")</f>
        <v/>
      </c>
      <c r="K770" s="37">
        <f>IFERROR(IF(AND(ISNUMBER('Semi OpInc'!O59),ISNUMBER('Semi Rev'!O59),'Semi Rev'!O59&gt;0),'Semi OpInc'!O59/'Semi Rev'!O59,""),"")</f>
        <v/>
      </c>
      <c r="L770" s="37">
        <f>IFERROR(IF(AND(ISNUMBER('Semi OpInc'!P59),ISNUMBER('Semi Rev'!P59),'Semi Rev'!P59&gt;0),'Semi OpInc'!P59/'Semi Rev'!P59,""),"")</f>
        <v/>
      </c>
      <c r="M770" s="38">
        <f>IFERROR(IF(AND(ISNUMBER('Semi OpInc'!Q59),ISNUMBER('Semi Rev'!Q59),'Semi Rev'!Q59&gt;0),'Semi OpInc'!Q59/'Semi Rev'!Q59,""),"")</f>
        <v/>
      </c>
      <c r="N770" s="38">
        <f>IFERROR(IF(AND(ISNUMBER('Semi OpInc'!R59),ISNUMBER('Semi Rev'!R59),'Semi Rev'!R59&gt;0),'Semi OpInc'!R59/'Semi Rev'!R59,""),"")</f>
        <v/>
      </c>
    </row>
    <row r="771">
      <c r="A771" s="19">
        <f>'Semi Rev'!$A60</f>
        <v/>
      </c>
      <c r="B771" s="19">
        <f>'Semi Rev'!$B60</f>
        <v/>
      </c>
      <c r="C771" s="37">
        <f>IFERROR(IF(AND(ISNUMBER('Semi OpInc'!G60),ISNUMBER('Semi Rev'!G60),'Semi Rev'!G60&gt;0),'Semi OpInc'!G60/'Semi Rev'!G60,""),"")</f>
        <v/>
      </c>
      <c r="D771" s="37">
        <f>IFERROR(IF(AND(ISNUMBER('Semi OpInc'!H60),ISNUMBER('Semi Rev'!H60),'Semi Rev'!H60&gt;0),'Semi OpInc'!H60/'Semi Rev'!H60,""),"")</f>
        <v/>
      </c>
      <c r="E771" s="37">
        <f>IFERROR(IF(AND(ISNUMBER('Semi OpInc'!I60),ISNUMBER('Semi Rev'!I60),'Semi Rev'!I60&gt;0),'Semi OpInc'!I60/'Semi Rev'!I60,""),"")</f>
        <v/>
      </c>
      <c r="F771" s="37">
        <f>IFERROR(IF(AND(ISNUMBER('Semi OpInc'!J60),ISNUMBER('Semi Rev'!J60),'Semi Rev'!J60&gt;0),'Semi OpInc'!J60/'Semi Rev'!J60,""),"")</f>
        <v/>
      </c>
      <c r="G771" s="37">
        <f>IFERROR(IF(AND(ISNUMBER('Semi OpInc'!K60),ISNUMBER('Semi Rev'!K60),'Semi Rev'!K60&gt;0),'Semi OpInc'!K60/'Semi Rev'!K60,""),"")</f>
        <v/>
      </c>
      <c r="H771" s="37">
        <f>IFERROR(IF(AND(ISNUMBER('Semi OpInc'!L60),ISNUMBER('Semi Rev'!L60),'Semi Rev'!L60&gt;0),'Semi OpInc'!L60/'Semi Rev'!L60,""),"")</f>
        <v/>
      </c>
      <c r="I771" s="37">
        <f>IFERROR(IF(AND(ISNUMBER('Semi OpInc'!M60),ISNUMBER('Semi Rev'!M60),'Semi Rev'!M60&gt;0),'Semi OpInc'!M60/'Semi Rev'!M60,""),"")</f>
        <v/>
      </c>
      <c r="J771" s="37">
        <f>IFERROR(IF(AND(ISNUMBER('Semi OpInc'!N60),ISNUMBER('Semi Rev'!N60),'Semi Rev'!N60&gt;0),'Semi OpInc'!N60/'Semi Rev'!N60,""),"")</f>
        <v/>
      </c>
      <c r="K771" s="37">
        <f>IFERROR(IF(AND(ISNUMBER('Semi OpInc'!O60),ISNUMBER('Semi Rev'!O60),'Semi Rev'!O60&gt;0),'Semi OpInc'!O60/'Semi Rev'!O60,""),"")</f>
        <v/>
      </c>
      <c r="L771" s="37">
        <f>IFERROR(IF(AND(ISNUMBER('Semi OpInc'!P60),ISNUMBER('Semi Rev'!P60),'Semi Rev'!P60&gt;0),'Semi OpInc'!P60/'Semi Rev'!P60,""),"")</f>
        <v/>
      </c>
      <c r="M771" s="38">
        <f>IFERROR(IF(AND(ISNUMBER('Semi OpInc'!Q60),ISNUMBER('Semi Rev'!Q60),'Semi Rev'!Q60&gt;0),'Semi OpInc'!Q60/'Semi Rev'!Q60,""),"")</f>
        <v/>
      </c>
      <c r="N771" s="38">
        <f>IFERROR(IF(AND(ISNUMBER('Semi OpInc'!R60),ISNUMBER('Semi Rev'!R60),'Semi Rev'!R60&gt;0),'Semi OpInc'!R60/'Semi Rev'!R60,""),"")</f>
        <v/>
      </c>
    </row>
    <row r="772">
      <c r="A772" s="19">
        <f>'Semi Rev'!$A61</f>
        <v/>
      </c>
      <c r="B772" s="19">
        <f>'Semi Rev'!$B61</f>
        <v/>
      </c>
      <c r="C772" s="37">
        <f>IFERROR(IF(AND(ISNUMBER('Semi OpInc'!G61),ISNUMBER('Semi Rev'!G61),'Semi Rev'!G61&gt;0),'Semi OpInc'!G61/'Semi Rev'!G61,""),"")</f>
        <v/>
      </c>
      <c r="D772" s="37">
        <f>IFERROR(IF(AND(ISNUMBER('Semi OpInc'!H61),ISNUMBER('Semi Rev'!H61),'Semi Rev'!H61&gt;0),'Semi OpInc'!H61/'Semi Rev'!H61,""),"")</f>
        <v/>
      </c>
      <c r="E772" s="37">
        <f>IFERROR(IF(AND(ISNUMBER('Semi OpInc'!I61),ISNUMBER('Semi Rev'!I61),'Semi Rev'!I61&gt;0),'Semi OpInc'!I61/'Semi Rev'!I61,""),"")</f>
        <v/>
      </c>
      <c r="F772" s="37">
        <f>IFERROR(IF(AND(ISNUMBER('Semi OpInc'!J61),ISNUMBER('Semi Rev'!J61),'Semi Rev'!J61&gt;0),'Semi OpInc'!J61/'Semi Rev'!J61,""),"")</f>
        <v/>
      </c>
      <c r="G772" s="37">
        <f>IFERROR(IF(AND(ISNUMBER('Semi OpInc'!K61),ISNUMBER('Semi Rev'!K61),'Semi Rev'!K61&gt;0),'Semi OpInc'!K61/'Semi Rev'!K61,""),"")</f>
        <v/>
      </c>
      <c r="H772" s="37">
        <f>IFERROR(IF(AND(ISNUMBER('Semi OpInc'!L61),ISNUMBER('Semi Rev'!L61),'Semi Rev'!L61&gt;0),'Semi OpInc'!L61/'Semi Rev'!L61,""),"")</f>
        <v/>
      </c>
      <c r="I772" s="37">
        <f>IFERROR(IF(AND(ISNUMBER('Semi OpInc'!M61),ISNUMBER('Semi Rev'!M61),'Semi Rev'!M61&gt;0),'Semi OpInc'!M61/'Semi Rev'!M61,""),"")</f>
        <v/>
      </c>
      <c r="J772" s="37">
        <f>IFERROR(IF(AND(ISNUMBER('Semi OpInc'!N61),ISNUMBER('Semi Rev'!N61),'Semi Rev'!N61&gt;0),'Semi OpInc'!N61/'Semi Rev'!N61,""),"")</f>
        <v/>
      </c>
      <c r="K772" s="37">
        <f>IFERROR(IF(AND(ISNUMBER('Semi OpInc'!O61),ISNUMBER('Semi Rev'!O61),'Semi Rev'!O61&gt;0),'Semi OpInc'!O61/'Semi Rev'!O61,""),"")</f>
        <v/>
      </c>
      <c r="L772" s="37">
        <f>IFERROR(IF(AND(ISNUMBER('Semi OpInc'!P61),ISNUMBER('Semi Rev'!P61),'Semi Rev'!P61&gt;0),'Semi OpInc'!P61/'Semi Rev'!P61,""),"")</f>
        <v/>
      </c>
      <c r="M772" s="38">
        <f>IFERROR(IF(AND(ISNUMBER('Semi OpInc'!Q61),ISNUMBER('Semi Rev'!Q61),'Semi Rev'!Q61&gt;0),'Semi OpInc'!Q61/'Semi Rev'!Q61,""),"")</f>
        <v/>
      </c>
      <c r="N772" s="38">
        <f>IFERROR(IF(AND(ISNUMBER('Semi OpInc'!R61),ISNUMBER('Semi Rev'!R61),'Semi Rev'!R61&gt;0),'Semi OpInc'!R61/'Semi Rev'!R61,""),"")</f>
        <v/>
      </c>
    </row>
    <row r="773">
      <c r="A773" s="19">
        <f>'Semi Rev'!$A62</f>
        <v/>
      </c>
      <c r="B773" s="19">
        <f>'Semi Rev'!$B62</f>
        <v/>
      </c>
      <c r="C773" s="37">
        <f>IFERROR(IF(AND(ISNUMBER('Semi OpInc'!G62),ISNUMBER('Semi Rev'!G62),'Semi Rev'!G62&gt;0),'Semi OpInc'!G62/'Semi Rev'!G62,""),"")</f>
        <v/>
      </c>
      <c r="D773" s="37">
        <f>IFERROR(IF(AND(ISNUMBER('Semi OpInc'!H62),ISNUMBER('Semi Rev'!H62),'Semi Rev'!H62&gt;0),'Semi OpInc'!H62/'Semi Rev'!H62,""),"")</f>
        <v/>
      </c>
      <c r="E773" s="37">
        <f>IFERROR(IF(AND(ISNUMBER('Semi OpInc'!I62),ISNUMBER('Semi Rev'!I62),'Semi Rev'!I62&gt;0),'Semi OpInc'!I62/'Semi Rev'!I62,""),"")</f>
        <v/>
      </c>
      <c r="F773" s="37">
        <f>IFERROR(IF(AND(ISNUMBER('Semi OpInc'!J62),ISNUMBER('Semi Rev'!J62),'Semi Rev'!J62&gt;0),'Semi OpInc'!J62/'Semi Rev'!J62,""),"")</f>
        <v/>
      </c>
      <c r="G773" s="37">
        <f>IFERROR(IF(AND(ISNUMBER('Semi OpInc'!K62),ISNUMBER('Semi Rev'!K62),'Semi Rev'!K62&gt;0),'Semi OpInc'!K62/'Semi Rev'!K62,""),"")</f>
        <v/>
      </c>
      <c r="H773" s="37">
        <f>IFERROR(IF(AND(ISNUMBER('Semi OpInc'!L62),ISNUMBER('Semi Rev'!L62),'Semi Rev'!L62&gt;0),'Semi OpInc'!L62/'Semi Rev'!L62,""),"")</f>
        <v/>
      </c>
      <c r="I773" s="37">
        <f>IFERROR(IF(AND(ISNUMBER('Semi OpInc'!M62),ISNUMBER('Semi Rev'!M62),'Semi Rev'!M62&gt;0),'Semi OpInc'!M62/'Semi Rev'!M62,""),"")</f>
        <v/>
      </c>
      <c r="J773" s="37">
        <f>IFERROR(IF(AND(ISNUMBER('Semi OpInc'!N62),ISNUMBER('Semi Rev'!N62),'Semi Rev'!N62&gt;0),'Semi OpInc'!N62/'Semi Rev'!N62,""),"")</f>
        <v/>
      </c>
      <c r="K773" s="37">
        <f>IFERROR(IF(AND(ISNUMBER('Semi OpInc'!O62),ISNUMBER('Semi Rev'!O62),'Semi Rev'!O62&gt;0),'Semi OpInc'!O62/'Semi Rev'!O62,""),"")</f>
        <v/>
      </c>
      <c r="L773" s="37">
        <f>IFERROR(IF(AND(ISNUMBER('Semi OpInc'!P62),ISNUMBER('Semi Rev'!P62),'Semi Rev'!P62&gt;0),'Semi OpInc'!P62/'Semi Rev'!P62,""),"")</f>
        <v/>
      </c>
      <c r="M773" s="38">
        <f>IFERROR(IF(AND(ISNUMBER('Semi OpInc'!Q62),ISNUMBER('Semi Rev'!Q62),'Semi Rev'!Q62&gt;0),'Semi OpInc'!Q62/'Semi Rev'!Q62,""),"")</f>
        <v/>
      </c>
      <c r="N773" s="38">
        <f>IFERROR(IF(AND(ISNUMBER('Semi OpInc'!R62),ISNUMBER('Semi Rev'!R62),'Semi Rev'!R62&gt;0),'Semi OpInc'!R62/'Semi Rev'!R62,""),"")</f>
        <v/>
      </c>
    </row>
    <row r="774">
      <c r="A774" s="19">
        <f>'Semi Rev'!$A63</f>
        <v/>
      </c>
      <c r="B774" s="19">
        <f>'Semi Rev'!$B63</f>
        <v/>
      </c>
      <c r="C774" s="37">
        <f>IFERROR(IF(AND(ISNUMBER('Semi OpInc'!G63),ISNUMBER('Semi Rev'!G63),'Semi Rev'!G63&gt;0),'Semi OpInc'!G63/'Semi Rev'!G63,""),"")</f>
        <v/>
      </c>
      <c r="D774" s="37">
        <f>IFERROR(IF(AND(ISNUMBER('Semi OpInc'!H63),ISNUMBER('Semi Rev'!H63),'Semi Rev'!H63&gt;0),'Semi OpInc'!H63/'Semi Rev'!H63,""),"")</f>
        <v/>
      </c>
      <c r="E774" s="37">
        <f>IFERROR(IF(AND(ISNUMBER('Semi OpInc'!I63),ISNUMBER('Semi Rev'!I63),'Semi Rev'!I63&gt;0),'Semi OpInc'!I63/'Semi Rev'!I63,""),"")</f>
        <v/>
      </c>
      <c r="F774" s="37">
        <f>IFERROR(IF(AND(ISNUMBER('Semi OpInc'!J63),ISNUMBER('Semi Rev'!J63),'Semi Rev'!J63&gt;0),'Semi OpInc'!J63/'Semi Rev'!J63,""),"")</f>
        <v/>
      </c>
      <c r="G774" s="37">
        <f>IFERROR(IF(AND(ISNUMBER('Semi OpInc'!K63),ISNUMBER('Semi Rev'!K63),'Semi Rev'!K63&gt;0),'Semi OpInc'!K63/'Semi Rev'!K63,""),"")</f>
        <v/>
      </c>
      <c r="H774" s="37">
        <f>IFERROR(IF(AND(ISNUMBER('Semi OpInc'!L63),ISNUMBER('Semi Rev'!L63),'Semi Rev'!L63&gt;0),'Semi OpInc'!L63/'Semi Rev'!L63,""),"")</f>
        <v/>
      </c>
      <c r="I774" s="37">
        <f>IFERROR(IF(AND(ISNUMBER('Semi OpInc'!M63),ISNUMBER('Semi Rev'!M63),'Semi Rev'!M63&gt;0),'Semi OpInc'!M63/'Semi Rev'!M63,""),"")</f>
        <v/>
      </c>
      <c r="J774" s="37">
        <f>IFERROR(IF(AND(ISNUMBER('Semi OpInc'!N63),ISNUMBER('Semi Rev'!N63),'Semi Rev'!N63&gt;0),'Semi OpInc'!N63/'Semi Rev'!N63,""),"")</f>
        <v/>
      </c>
      <c r="K774" s="37">
        <f>IFERROR(IF(AND(ISNUMBER('Semi OpInc'!O63),ISNUMBER('Semi Rev'!O63),'Semi Rev'!O63&gt;0),'Semi OpInc'!O63/'Semi Rev'!O63,""),"")</f>
        <v/>
      </c>
      <c r="L774" s="37">
        <f>IFERROR(IF(AND(ISNUMBER('Semi OpInc'!P63),ISNUMBER('Semi Rev'!P63),'Semi Rev'!P63&gt;0),'Semi OpInc'!P63/'Semi Rev'!P63,""),"")</f>
        <v/>
      </c>
      <c r="M774" s="38">
        <f>IFERROR(IF(AND(ISNUMBER('Semi OpInc'!Q63),ISNUMBER('Semi Rev'!Q63),'Semi Rev'!Q63&gt;0),'Semi OpInc'!Q63/'Semi Rev'!Q63,""),"")</f>
        <v/>
      </c>
      <c r="N774" s="38">
        <f>IFERROR(IF(AND(ISNUMBER('Semi OpInc'!R63),ISNUMBER('Semi Rev'!R63),'Semi Rev'!R63&gt;0),'Semi OpInc'!R63/'Semi Rev'!R63,""),"")</f>
        <v/>
      </c>
    </row>
    <row r="775">
      <c r="A775" s="19">
        <f>'Semi Rev'!$A64</f>
        <v/>
      </c>
      <c r="B775" s="19">
        <f>'Semi Rev'!$B64</f>
        <v/>
      </c>
      <c r="C775" s="37">
        <f>IFERROR(IF(AND(ISNUMBER('Semi OpInc'!G64),ISNUMBER('Semi Rev'!G64),'Semi Rev'!G64&gt;0),'Semi OpInc'!G64/'Semi Rev'!G64,""),"")</f>
        <v/>
      </c>
      <c r="D775" s="37">
        <f>IFERROR(IF(AND(ISNUMBER('Semi OpInc'!H64),ISNUMBER('Semi Rev'!H64),'Semi Rev'!H64&gt;0),'Semi OpInc'!H64/'Semi Rev'!H64,""),"")</f>
        <v/>
      </c>
      <c r="E775" s="37">
        <f>IFERROR(IF(AND(ISNUMBER('Semi OpInc'!I64),ISNUMBER('Semi Rev'!I64),'Semi Rev'!I64&gt;0),'Semi OpInc'!I64/'Semi Rev'!I64,""),"")</f>
        <v/>
      </c>
      <c r="F775" s="37">
        <f>IFERROR(IF(AND(ISNUMBER('Semi OpInc'!J64),ISNUMBER('Semi Rev'!J64),'Semi Rev'!J64&gt;0),'Semi OpInc'!J64/'Semi Rev'!J64,""),"")</f>
        <v/>
      </c>
      <c r="G775" s="37">
        <f>IFERROR(IF(AND(ISNUMBER('Semi OpInc'!K64),ISNUMBER('Semi Rev'!K64),'Semi Rev'!K64&gt;0),'Semi OpInc'!K64/'Semi Rev'!K64,""),"")</f>
        <v/>
      </c>
      <c r="H775" s="37">
        <f>IFERROR(IF(AND(ISNUMBER('Semi OpInc'!L64),ISNUMBER('Semi Rev'!L64),'Semi Rev'!L64&gt;0),'Semi OpInc'!L64/'Semi Rev'!L64,""),"")</f>
        <v/>
      </c>
      <c r="I775" s="37">
        <f>IFERROR(IF(AND(ISNUMBER('Semi OpInc'!M64),ISNUMBER('Semi Rev'!M64),'Semi Rev'!M64&gt;0),'Semi OpInc'!M64/'Semi Rev'!M64,""),"")</f>
        <v/>
      </c>
      <c r="J775" s="37">
        <f>IFERROR(IF(AND(ISNUMBER('Semi OpInc'!N64),ISNUMBER('Semi Rev'!N64),'Semi Rev'!N64&gt;0),'Semi OpInc'!N64/'Semi Rev'!N64,""),"")</f>
        <v/>
      </c>
      <c r="K775" s="37">
        <f>IFERROR(IF(AND(ISNUMBER('Semi OpInc'!O64),ISNUMBER('Semi Rev'!O64),'Semi Rev'!O64&gt;0),'Semi OpInc'!O64/'Semi Rev'!O64,""),"")</f>
        <v/>
      </c>
      <c r="L775" s="37">
        <f>IFERROR(IF(AND(ISNUMBER('Semi OpInc'!P64),ISNUMBER('Semi Rev'!P64),'Semi Rev'!P64&gt;0),'Semi OpInc'!P64/'Semi Rev'!P64,""),"")</f>
        <v/>
      </c>
      <c r="M775" s="38">
        <f>IFERROR(IF(AND(ISNUMBER('Semi OpInc'!Q64),ISNUMBER('Semi Rev'!Q64),'Semi Rev'!Q64&gt;0),'Semi OpInc'!Q64/'Semi Rev'!Q64,""),"")</f>
        <v/>
      </c>
      <c r="N775" s="38">
        <f>IFERROR(IF(AND(ISNUMBER('Semi OpInc'!R64),ISNUMBER('Semi Rev'!R64),'Semi Rev'!R64&gt;0),'Semi OpInc'!R64/'Semi Rev'!R64,""),"")</f>
        <v/>
      </c>
    </row>
    <row r="776">
      <c r="A776" s="19">
        <f>'Semi Rev'!$A65</f>
        <v/>
      </c>
      <c r="B776" s="19">
        <f>'Semi Rev'!$B65</f>
        <v/>
      </c>
      <c r="C776" s="37">
        <f>IFERROR(IF(AND(ISNUMBER('Semi OpInc'!G65),ISNUMBER('Semi Rev'!G65),'Semi Rev'!G65&gt;0),'Semi OpInc'!G65/'Semi Rev'!G65,""),"")</f>
        <v/>
      </c>
      <c r="D776" s="37">
        <f>IFERROR(IF(AND(ISNUMBER('Semi OpInc'!H65),ISNUMBER('Semi Rev'!H65),'Semi Rev'!H65&gt;0),'Semi OpInc'!H65/'Semi Rev'!H65,""),"")</f>
        <v/>
      </c>
      <c r="E776" s="37">
        <f>IFERROR(IF(AND(ISNUMBER('Semi OpInc'!I65),ISNUMBER('Semi Rev'!I65),'Semi Rev'!I65&gt;0),'Semi OpInc'!I65/'Semi Rev'!I65,""),"")</f>
        <v/>
      </c>
      <c r="F776" s="37">
        <f>IFERROR(IF(AND(ISNUMBER('Semi OpInc'!J65),ISNUMBER('Semi Rev'!J65),'Semi Rev'!J65&gt;0),'Semi OpInc'!J65/'Semi Rev'!J65,""),"")</f>
        <v/>
      </c>
      <c r="G776" s="37">
        <f>IFERROR(IF(AND(ISNUMBER('Semi OpInc'!K65),ISNUMBER('Semi Rev'!K65),'Semi Rev'!K65&gt;0),'Semi OpInc'!K65/'Semi Rev'!K65,""),"")</f>
        <v/>
      </c>
      <c r="H776" s="37">
        <f>IFERROR(IF(AND(ISNUMBER('Semi OpInc'!L65),ISNUMBER('Semi Rev'!L65),'Semi Rev'!L65&gt;0),'Semi OpInc'!L65/'Semi Rev'!L65,""),"")</f>
        <v/>
      </c>
      <c r="I776" s="37">
        <f>IFERROR(IF(AND(ISNUMBER('Semi OpInc'!M65),ISNUMBER('Semi Rev'!M65),'Semi Rev'!M65&gt;0),'Semi OpInc'!M65/'Semi Rev'!M65,""),"")</f>
        <v/>
      </c>
      <c r="J776" s="37">
        <f>IFERROR(IF(AND(ISNUMBER('Semi OpInc'!N65),ISNUMBER('Semi Rev'!N65),'Semi Rev'!N65&gt;0),'Semi OpInc'!N65/'Semi Rev'!N65,""),"")</f>
        <v/>
      </c>
      <c r="K776" s="37">
        <f>IFERROR(IF(AND(ISNUMBER('Semi OpInc'!O65),ISNUMBER('Semi Rev'!O65),'Semi Rev'!O65&gt;0),'Semi OpInc'!O65/'Semi Rev'!O65,""),"")</f>
        <v/>
      </c>
      <c r="L776" s="37">
        <f>IFERROR(IF(AND(ISNUMBER('Semi OpInc'!P65),ISNUMBER('Semi Rev'!P65),'Semi Rev'!P65&gt;0),'Semi OpInc'!P65/'Semi Rev'!P65,""),"")</f>
        <v/>
      </c>
      <c r="M776" s="38">
        <f>IFERROR(IF(AND(ISNUMBER('Semi OpInc'!Q65),ISNUMBER('Semi Rev'!Q65),'Semi Rev'!Q65&gt;0),'Semi OpInc'!Q65/'Semi Rev'!Q65,""),"")</f>
        <v/>
      </c>
      <c r="N776" s="38">
        <f>IFERROR(IF(AND(ISNUMBER('Semi OpInc'!R65),ISNUMBER('Semi Rev'!R65),'Semi Rev'!R65&gt;0),'Semi OpInc'!R65/'Semi Rev'!R65,""),"")</f>
        <v/>
      </c>
    </row>
    <row r="777">
      <c r="A777" s="19">
        <f>'Semi Rev'!$A66</f>
        <v/>
      </c>
      <c r="B777" s="19">
        <f>'Semi Rev'!$B66</f>
        <v/>
      </c>
      <c r="C777" s="37">
        <f>IFERROR(IF(AND(ISNUMBER('Semi OpInc'!G66),ISNUMBER('Semi Rev'!G66),'Semi Rev'!G66&gt;0),'Semi OpInc'!G66/'Semi Rev'!G66,""),"")</f>
        <v/>
      </c>
      <c r="D777" s="37">
        <f>IFERROR(IF(AND(ISNUMBER('Semi OpInc'!H66),ISNUMBER('Semi Rev'!H66),'Semi Rev'!H66&gt;0),'Semi OpInc'!H66/'Semi Rev'!H66,""),"")</f>
        <v/>
      </c>
      <c r="E777" s="37">
        <f>IFERROR(IF(AND(ISNUMBER('Semi OpInc'!I66),ISNUMBER('Semi Rev'!I66),'Semi Rev'!I66&gt;0),'Semi OpInc'!I66/'Semi Rev'!I66,""),"")</f>
        <v/>
      </c>
      <c r="F777" s="37">
        <f>IFERROR(IF(AND(ISNUMBER('Semi OpInc'!J66),ISNUMBER('Semi Rev'!J66),'Semi Rev'!J66&gt;0),'Semi OpInc'!J66/'Semi Rev'!J66,""),"")</f>
        <v/>
      </c>
      <c r="G777" s="37">
        <f>IFERROR(IF(AND(ISNUMBER('Semi OpInc'!K66),ISNUMBER('Semi Rev'!K66),'Semi Rev'!K66&gt;0),'Semi OpInc'!K66/'Semi Rev'!K66,""),"")</f>
        <v/>
      </c>
      <c r="H777" s="37">
        <f>IFERROR(IF(AND(ISNUMBER('Semi OpInc'!L66),ISNUMBER('Semi Rev'!L66),'Semi Rev'!L66&gt;0),'Semi OpInc'!L66/'Semi Rev'!L66,""),"")</f>
        <v/>
      </c>
      <c r="I777" s="37">
        <f>IFERROR(IF(AND(ISNUMBER('Semi OpInc'!M66),ISNUMBER('Semi Rev'!M66),'Semi Rev'!M66&gt;0),'Semi OpInc'!M66/'Semi Rev'!M66,""),"")</f>
        <v/>
      </c>
      <c r="J777" s="37">
        <f>IFERROR(IF(AND(ISNUMBER('Semi OpInc'!N66),ISNUMBER('Semi Rev'!N66),'Semi Rev'!N66&gt;0),'Semi OpInc'!N66/'Semi Rev'!N66,""),"")</f>
        <v/>
      </c>
      <c r="K777" s="37">
        <f>IFERROR(IF(AND(ISNUMBER('Semi OpInc'!O66),ISNUMBER('Semi Rev'!O66),'Semi Rev'!O66&gt;0),'Semi OpInc'!O66/'Semi Rev'!O66,""),"")</f>
        <v/>
      </c>
      <c r="L777" s="37">
        <f>IFERROR(IF(AND(ISNUMBER('Semi OpInc'!P66),ISNUMBER('Semi Rev'!P66),'Semi Rev'!P66&gt;0),'Semi OpInc'!P66/'Semi Rev'!P66,""),"")</f>
        <v/>
      </c>
      <c r="M777" s="38">
        <f>IFERROR(IF(AND(ISNUMBER('Semi OpInc'!Q66),ISNUMBER('Semi Rev'!Q66),'Semi Rev'!Q66&gt;0),'Semi OpInc'!Q66/'Semi Rev'!Q66,""),"")</f>
        <v/>
      </c>
      <c r="N777" s="38">
        <f>IFERROR(IF(AND(ISNUMBER('Semi OpInc'!R66),ISNUMBER('Semi Rev'!R66),'Semi Rev'!R66&gt;0),'Semi OpInc'!R66/'Semi Rev'!R66,""),"")</f>
        <v/>
      </c>
    </row>
    <row r="778">
      <c r="A778" s="19">
        <f>'Semi Rev'!$A67</f>
        <v/>
      </c>
      <c r="B778" s="19">
        <f>'Semi Rev'!$B67</f>
        <v/>
      </c>
      <c r="C778" s="37">
        <f>IFERROR(IF(AND(ISNUMBER('Semi OpInc'!G67),ISNUMBER('Semi Rev'!G67),'Semi Rev'!G67&gt;0),'Semi OpInc'!G67/'Semi Rev'!G67,""),"")</f>
        <v/>
      </c>
      <c r="D778" s="37">
        <f>IFERROR(IF(AND(ISNUMBER('Semi OpInc'!H67),ISNUMBER('Semi Rev'!H67),'Semi Rev'!H67&gt;0),'Semi OpInc'!H67/'Semi Rev'!H67,""),"")</f>
        <v/>
      </c>
      <c r="E778" s="37">
        <f>IFERROR(IF(AND(ISNUMBER('Semi OpInc'!I67),ISNUMBER('Semi Rev'!I67),'Semi Rev'!I67&gt;0),'Semi OpInc'!I67/'Semi Rev'!I67,""),"")</f>
        <v/>
      </c>
      <c r="F778" s="37">
        <f>IFERROR(IF(AND(ISNUMBER('Semi OpInc'!J67),ISNUMBER('Semi Rev'!J67),'Semi Rev'!J67&gt;0),'Semi OpInc'!J67/'Semi Rev'!J67,""),"")</f>
        <v/>
      </c>
      <c r="G778" s="37">
        <f>IFERROR(IF(AND(ISNUMBER('Semi OpInc'!K67),ISNUMBER('Semi Rev'!K67),'Semi Rev'!K67&gt;0),'Semi OpInc'!K67/'Semi Rev'!K67,""),"")</f>
        <v/>
      </c>
      <c r="H778" s="37">
        <f>IFERROR(IF(AND(ISNUMBER('Semi OpInc'!L67),ISNUMBER('Semi Rev'!L67),'Semi Rev'!L67&gt;0),'Semi OpInc'!L67/'Semi Rev'!L67,""),"")</f>
        <v/>
      </c>
      <c r="I778" s="37">
        <f>IFERROR(IF(AND(ISNUMBER('Semi OpInc'!M67),ISNUMBER('Semi Rev'!M67),'Semi Rev'!M67&gt;0),'Semi OpInc'!M67/'Semi Rev'!M67,""),"")</f>
        <v/>
      </c>
      <c r="J778" s="37">
        <f>IFERROR(IF(AND(ISNUMBER('Semi OpInc'!N67),ISNUMBER('Semi Rev'!N67),'Semi Rev'!N67&gt;0),'Semi OpInc'!N67/'Semi Rev'!N67,""),"")</f>
        <v/>
      </c>
      <c r="K778" s="37">
        <f>IFERROR(IF(AND(ISNUMBER('Semi OpInc'!O67),ISNUMBER('Semi Rev'!O67),'Semi Rev'!O67&gt;0),'Semi OpInc'!O67/'Semi Rev'!O67,""),"")</f>
        <v/>
      </c>
      <c r="L778" s="37">
        <f>IFERROR(IF(AND(ISNUMBER('Semi OpInc'!P67),ISNUMBER('Semi Rev'!P67),'Semi Rev'!P67&gt;0),'Semi OpInc'!P67/'Semi Rev'!P67,""),"")</f>
        <v/>
      </c>
      <c r="M778" s="38">
        <f>IFERROR(IF(AND(ISNUMBER('Semi OpInc'!Q67),ISNUMBER('Semi Rev'!Q67),'Semi Rev'!Q67&gt;0),'Semi OpInc'!Q67/'Semi Rev'!Q67,""),"")</f>
        <v/>
      </c>
      <c r="N778" s="38">
        <f>IFERROR(IF(AND(ISNUMBER('Semi OpInc'!R67),ISNUMBER('Semi Rev'!R67),'Semi Rev'!R67&gt;0),'Semi OpInc'!R67/'Semi Rev'!R67,""),"")</f>
        <v/>
      </c>
    </row>
    <row r="779">
      <c r="A779" s="19">
        <f>'Semi Rev'!$A68</f>
        <v/>
      </c>
      <c r="B779" s="19">
        <f>'Semi Rev'!$B68</f>
        <v/>
      </c>
      <c r="C779" s="37">
        <f>IFERROR(IF(AND(ISNUMBER('Semi OpInc'!G68),ISNUMBER('Semi Rev'!G68),'Semi Rev'!G68&gt;0),'Semi OpInc'!G68/'Semi Rev'!G68,""),"")</f>
        <v/>
      </c>
      <c r="D779" s="37">
        <f>IFERROR(IF(AND(ISNUMBER('Semi OpInc'!H68),ISNUMBER('Semi Rev'!H68),'Semi Rev'!H68&gt;0),'Semi OpInc'!H68/'Semi Rev'!H68,""),"")</f>
        <v/>
      </c>
      <c r="E779" s="37">
        <f>IFERROR(IF(AND(ISNUMBER('Semi OpInc'!I68),ISNUMBER('Semi Rev'!I68),'Semi Rev'!I68&gt;0),'Semi OpInc'!I68/'Semi Rev'!I68,""),"")</f>
        <v/>
      </c>
      <c r="F779" s="37">
        <f>IFERROR(IF(AND(ISNUMBER('Semi OpInc'!J68),ISNUMBER('Semi Rev'!J68),'Semi Rev'!J68&gt;0),'Semi OpInc'!J68/'Semi Rev'!J68,""),"")</f>
        <v/>
      </c>
      <c r="G779" s="37">
        <f>IFERROR(IF(AND(ISNUMBER('Semi OpInc'!K68),ISNUMBER('Semi Rev'!K68),'Semi Rev'!K68&gt;0),'Semi OpInc'!K68/'Semi Rev'!K68,""),"")</f>
        <v/>
      </c>
      <c r="H779" s="37">
        <f>IFERROR(IF(AND(ISNUMBER('Semi OpInc'!L68),ISNUMBER('Semi Rev'!L68),'Semi Rev'!L68&gt;0),'Semi OpInc'!L68/'Semi Rev'!L68,""),"")</f>
        <v/>
      </c>
      <c r="I779" s="37">
        <f>IFERROR(IF(AND(ISNUMBER('Semi OpInc'!M68),ISNUMBER('Semi Rev'!M68),'Semi Rev'!M68&gt;0),'Semi OpInc'!M68/'Semi Rev'!M68,""),"")</f>
        <v/>
      </c>
      <c r="J779" s="37">
        <f>IFERROR(IF(AND(ISNUMBER('Semi OpInc'!N68),ISNUMBER('Semi Rev'!N68),'Semi Rev'!N68&gt;0),'Semi OpInc'!N68/'Semi Rev'!N68,""),"")</f>
        <v/>
      </c>
      <c r="K779" s="37">
        <f>IFERROR(IF(AND(ISNUMBER('Semi OpInc'!O68),ISNUMBER('Semi Rev'!O68),'Semi Rev'!O68&gt;0),'Semi OpInc'!O68/'Semi Rev'!O68,""),"")</f>
        <v/>
      </c>
      <c r="L779" s="37">
        <f>IFERROR(IF(AND(ISNUMBER('Semi OpInc'!P68),ISNUMBER('Semi Rev'!P68),'Semi Rev'!P68&gt;0),'Semi OpInc'!P68/'Semi Rev'!P68,""),"")</f>
        <v/>
      </c>
      <c r="M779" s="38">
        <f>IFERROR(IF(AND(ISNUMBER('Semi OpInc'!Q68),ISNUMBER('Semi Rev'!Q68),'Semi Rev'!Q68&gt;0),'Semi OpInc'!Q68/'Semi Rev'!Q68,""),"")</f>
        <v/>
      </c>
      <c r="N779" s="38">
        <f>IFERROR(IF(AND(ISNUMBER('Semi OpInc'!R68),ISNUMBER('Semi Rev'!R68),'Semi Rev'!R68&gt;0),'Semi OpInc'!R68/'Semi Rev'!R68,""),"")</f>
        <v/>
      </c>
    </row>
    <row r="780">
      <c r="A780" s="19">
        <f>'Semi Rev'!$A69</f>
        <v/>
      </c>
      <c r="B780" s="19">
        <f>'Semi Rev'!$B69</f>
        <v/>
      </c>
      <c r="C780" s="37">
        <f>IFERROR(IF(AND(ISNUMBER('Semi OpInc'!G69),ISNUMBER('Semi Rev'!G69),'Semi Rev'!G69&gt;0),'Semi OpInc'!G69/'Semi Rev'!G69,""),"")</f>
        <v/>
      </c>
      <c r="D780" s="37">
        <f>IFERROR(IF(AND(ISNUMBER('Semi OpInc'!H69),ISNUMBER('Semi Rev'!H69),'Semi Rev'!H69&gt;0),'Semi OpInc'!H69/'Semi Rev'!H69,""),"")</f>
        <v/>
      </c>
      <c r="E780" s="37">
        <f>IFERROR(IF(AND(ISNUMBER('Semi OpInc'!I69),ISNUMBER('Semi Rev'!I69),'Semi Rev'!I69&gt;0),'Semi OpInc'!I69/'Semi Rev'!I69,""),"")</f>
        <v/>
      </c>
      <c r="F780" s="37">
        <f>IFERROR(IF(AND(ISNUMBER('Semi OpInc'!J69),ISNUMBER('Semi Rev'!J69),'Semi Rev'!J69&gt;0),'Semi OpInc'!J69/'Semi Rev'!J69,""),"")</f>
        <v/>
      </c>
      <c r="G780" s="37">
        <f>IFERROR(IF(AND(ISNUMBER('Semi OpInc'!K69),ISNUMBER('Semi Rev'!K69),'Semi Rev'!K69&gt;0),'Semi OpInc'!K69/'Semi Rev'!K69,""),"")</f>
        <v/>
      </c>
      <c r="H780" s="37">
        <f>IFERROR(IF(AND(ISNUMBER('Semi OpInc'!L69),ISNUMBER('Semi Rev'!L69),'Semi Rev'!L69&gt;0),'Semi OpInc'!L69/'Semi Rev'!L69,""),"")</f>
        <v/>
      </c>
      <c r="I780" s="37">
        <f>IFERROR(IF(AND(ISNUMBER('Semi OpInc'!M69),ISNUMBER('Semi Rev'!M69),'Semi Rev'!M69&gt;0),'Semi OpInc'!M69/'Semi Rev'!M69,""),"")</f>
        <v/>
      </c>
      <c r="J780" s="37">
        <f>IFERROR(IF(AND(ISNUMBER('Semi OpInc'!N69),ISNUMBER('Semi Rev'!N69),'Semi Rev'!N69&gt;0),'Semi OpInc'!N69/'Semi Rev'!N69,""),"")</f>
        <v/>
      </c>
      <c r="K780" s="37">
        <f>IFERROR(IF(AND(ISNUMBER('Semi OpInc'!O69),ISNUMBER('Semi Rev'!O69),'Semi Rev'!O69&gt;0),'Semi OpInc'!O69/'Semi Rev'!O69,""),"")</f>
        <v/>
      </c>
      <c r="L780" s="37">
        <f>IFERROR(IF(AND(ISNUMBER('Semi OpInc'!P69),ISNUMBER('Semi Rev'!P69),'Semi Rev'!P69&gt;0),'Semi OpInc'!P69/'Semi Rev'!P69,""),"")</f>
        <v/>
      </c>
      <c r="M780" s="38">
        <f>IFERROR(IF(AND(ISNUMBER('Semi OpInc'!Q69),ISNUMBER('Semi Rev'!Q69),'Semi Rev'!Q69&gt;0),'Semi OpInc'!Q69/'Semi Rev'!Q69,""),"")</f>
        <v/>
      </c>
      <c r="N780" s="38">
        <f>IFERROR(IF(AND(ISNUMBER('Semi OpInc'!R69),ISNUMBER('Semi Rev'!R69),'Semi Rev'!R69&gt;0),'Semi OpInc'!R69/'Semi Rev'!R69,""),"")</f>
        <v/>
      </c>
    </row>
    <row r="781">
      <c r="A781" s="19">
        <f>'Semi Rev'!$A70</f>
        <v/>
      </c>
      <c r="B781" s="19">
        <f>'Semi Rev'!$B70</f>
        <v/>
      </c>
      <c r="C781" s="37">
        <f>IFERROR(IF(AND(ISNUMBER('Semi OpInc'!G70),ISNUMBER('Semi Rev'!G70),'Semi Rev'!G70&gt;0),'Semi OpInc'!G70/'Semi Rev'!G70,""),"")</f>
        <v/>
      </c>
      <c r="D781" s="37">
        <f>IFERROR(IF(AND(ISNUMBER('Semi OpInc'!H70),ISNUMBER('Semi Rev'!H70),'Semi Rev'!H70&gt;0),'Semi OpInc'!H70/'Semi Rev'!H70,""),"")</f>
        <v/>
      </c>
      <c r="E781" s="37">
        <f>IFERROR(IF(AND(ISNUMBER('Semi OpInc'!I70),ISNUMBER('Semi Rev'!I70),'Semi Rev'!I70&gt;0),'Semi OpInc'!I70/'Semi Rev'!I70,""),"")</f>
        <v/>
      </c>
      <c r="F781" s="37">
        <f>IFERROR(IF(AND(ISNUMBER('Semi OpInc'!J70),ISNUMBER('Semi Rev'!J70),'Semi Rev'!J70&gt;0),'Semi OpInc'!J70/'Semi Rev'!J70,""),"")</f>
        <v/>
      </c>
      <c r="G781" s="37">
        <f>IFERROR(IF(AND(ISNUMBER('Semi OpInc'!K70),ISNUMBER('Semi Rev'!K70),'Semi Rev'!K70&gt;0),'Semi OpInc'!K70/'Semi Rev'!K70,""),"")</f>
        <v/>
      </c>
      <c r="H781" s="37">
        <f>IFERROR(IF(AND(ISNUMBER('Semi OpInc'!L70),ISNUMBER('Semi Rev'!L70),'Semi Rev'!L70&gt;0),'Semi OpInc'!L70/'Semi Rev'!L70,""),"")</f>
        <v/>
      </c>
      <c r="I781" s="37">
        <f>IFERROR(IF(AND(ISNUMBER('Semi OpInc'!M70),ISNUMBER('Semi Rev'!M70),'Semi Rev'!M70&gt;0),'Semi OpInc'!M70/'Semi Rev'!M70,""),"")</f>
        <v/>
      </c>
      <c r="J781" s="37">
        <f>IFERROR(IF(AND(ISNUMBER('Semi OpInc'!N70),ISNUMBER('Semi Rev'!N70),'Semi Rev'!N70&gt;0),'Semi OpInc'!N70/'Semi Rev'!N70,""),"")</f>
        <v/>
      </c>
      <c r="K781" s="37">
        <f>IFERROR(IF(AND(ISNUMBER('Semi OpInc'!O70),ISNUMBER('Semi Rev'!O70),'Semi Rev'!O70&gt;0),'Semi OpInc'!O70/'Semi Rev'!O70,""),"")</f>
        <v/>
      </c>
      <c r="L781" s="37">
        <f>IFERROR(IF(AND(ISNUMBER('Semi OpInc'!P70),ISNUMBER('Semi Rev'!P70),'Semi Rev'!P70&gt;0),'Semi OpInc'!P70/'Semi Rev'!P70,""),"")</f>
        <v/>
      </c>
      <c r="M781" s="38">
        <f>IFERROR(IF(AND(ISNUMBER('Semi OpInc'!Q70),ISNUMBER('Semi Rev'!Q70),'Semi Rev'!Q70&gt;0),'Semi OpInc'!Q70/'Semi Rev'!Q70,""),"")</f>
        <v/>
      </c>
      <c r="N781" s="38">
        <f>IFERROR(IF(AND(ISNUMBER('Semi OpInc'!R70),ISNUMBER('Semi Rev'!R70),'Semi Rev'!R70&gt;0),'Semi OpInc'!R70/'Semi Rev'!R70,""),"")</f>
        <v/>
      </c>
    </row>
    <row r="782">
      <c r="A782" s="19">
        <f>'Semi Rev'!$A71</f>
        <v/>
      </c>
      <c r="B782" s="19">
        <f>'Semi Rev'!$B71</f>
        <v/>
      </c>
      <c r="C782" s="37">
        <f>IFERROR(IF(AND(ISNUMBER('Semi OpInc'!G71),ISNUMBER('Semi Rev'!G71),'Semi Rev'!G71&gt;0),'Semi OpInc'!G71/'Semi Rev'!G71,""),"")</f>
        <v/>
      </c>
      <c r="D782" s="37">
        <f>IFERROR(IF(AND(ISNUMBER('Semi OpInc'!H71),ISNUMBER('Semi Rev'!H71),'Semi Rev'!H71&gt;0),'Semi OpInc'!H71/'Semi Rev'!H71,""),"")</f>
        <v/>
      </c>
      <c r="E782" s="37">
        <f>IFERROR(IF(AND(ISNUMBER('Semi OpInc'!I71),ISNUMBER('Semi Rev'!I71),'Semi Rev'!I71&gt;0),'Semi OpInc'!I71/'Semi Rev'!I71,""),"")</f>
        <v/>
      </c>
      <c r="F782" s="37">
        <f>IFERROR(IF(AND(ISNUMBER('Semi OpInc'!J71),ISNUMBER('Semi Rev'!J71),'Semi Rev'!J71&gt;0),'Semi OpInc'!J71/'Semi Rev'!J71,""),"")</f>
        <v/>
      </c>
      <c r="G782" s="37">
        <f>IFERROR(IF(AND(ISNUMBER('Semi OpInc'!K71),ISNUMBER('Semi Rev'!K71),'Semi Rev'!K71&gt;0),'Semi OpInc'!K71/'Semi Rev'!K71,""),"")</f>
        <v/>
      </c>
      <c r="H782" s="37">
        <f>IFERROR(IF(AND(ISNUMBER('Semi OpInc'!L71),ISNUMBER('Semi Rev'!L71),'Semi Rev'!L71&gt;0),'Semi OpInc'!L71/'Semi Rev'!L71,""),"")</f>
        <v/>
      </c>
      <c r="I782" s="37">
        <f>IFERROR(IF(AND(ISNUMBER('Semi OpInc'!M71),ISNUMBER('Semi Rev'!M71),'Semi Rev'!M71&gt;0),'Semi OpInc'!M71/'Semi Rev'!M71,""),"")</f>
        <v/>
      </c>
      <c r="J782" s="37">
        <f>IFERROR(IF(AND(ISNUMBER('Semi OpInc'!N71),ISNUMBER('Semi Rev'!N71),'Semi Rev'!N71&gt;0),'Semi OpInc'!N71/'Semi Rev'!N71,""),"")</f>
        <v/>
      </c>
      <c r="K782" s="37">
        <f>IFERROR(IF(AND(ISNUMBER('Semi OpInc'!O71),ISNUMBER('Semi Rev'!O71),'Semi Rev'!O71&gt;0),'Semi OpInc'!O71/'Semi Rev'!O71,""),"")</f>
        <v/>
      </c>
      <c r="L782" s="37">
        <f>IFERROR(IF(AND(ISNUMBER('Semi OpInc'!P71),ISNUMBER('Semi Rev'!P71),'Semi Rev'!P71&gt;0),'Semi OpInc'!P71/'Semi Rev'!P71,""),"")</f>
        <v/>
      </c>
      <c r="M782" s="38">
        <f>IFERROR(IF(AND(ISNUMBER('Semi OpInc'!Q71),ISNUMBER('Semi Rev'!Q71),'Semi Rev'!Q71&gt;0),'Semi OpInc'!Q71/'Semi Rev'!Q71,""),"")</f>
        <v/>
      </c>
      <c r="N782" s="38">
        <f>IFERROR(IF(AND(ISNUMBER('Semi OpInc'!R71),ISNUMBER('Semi Rev'!R71),'Semi Rev'!R71&gt;0),'Semi OpInc'!R71/'Semi Rev'!R71,""),"")</f>
        <v/>
      </c>
    </row>
    <row r="783">
      <c r="A783" s="19">
        <f>'Semi Rev'!$A72</f>
        <v/>
      </c>
      <c r="B783" s="19">
        <f>'Semi Rev'!$B72</f>
        <v/>
      </c>
      <c r="C783" s="37">
        <f>IFERROR(IF(AND(ISNUMBER('Semi OpInc'!G72),ISNUMBER('Semi Rev'!G72),'Semi Rev'!G72&gt;0),'Semi OpInc'!G72/'Semi Rev'!G72,""),"")</f>
        <v/>
      </c>
      <c r="D783" s="37">
        <f>IFERROR(IF(AND(ISNUMBER('Semi OpInc'!H72),ISNUMBER('Semi Rev'!H72),'Semi Rev'!H72&gt;0),'Semi OpInc'!H72/'Semi Rev'!H72,""),"")</f>
        <v/>
      </c>
      <c r="E783" s="37">
        <f>IFERROR(IF(AND(ISNUMBER('Semi OpInc'!I72),ISNUMBER('Semi Rev'!I72),'Semi Rev'!I72&gt;0),'Semi OpInc'!I72/'Semi Rev'!I72,""),"")</f>
        <v/>
      </c>
      <c r="F783" s="37">
        <f>IFERROR(IF(AND(ISNUMBER('Semi OpInc'!J72),ISNUMBER('Semi Rev'!J72),'Semi Rev'!J72&gt;0),'Semi OpInc'!J72/'Semi Rev'!J72,""),"")</f>
        <v/>
      </c>
      <c r="G783" s="37">
        <f>IFERROR(IF(AND(ISNUMBER('Semi OpInc'!K72),ISNUMBER('Semi Rev'!K72),'Semi Rev'!K72&gt;0),'Semi OpInc'!K72/'Semi Rev'!K72,""),"")</f>
        <v/>
      </c>
      <c r="H783" s="37">
        <f>IFERROR(IF(AND(ISNUMBER('Semi OpInc'!L72),ISNUMBER('Semi Rev'!L72),'Semi Rev'!L72&gt;0),'Semi OpInc'!L72/'Semi Rev'!L72,""),"")</f>
        <v/>
      </c>
      <c r="I783" s="37">
        <f>IFERROR(IF(AND(ISNUMBER('Semi OpInc'!M72),ISNUMBER('Semi Rev'!M72),'Semi Rev'!M72&gt;0),'Semi OpInc'!M72/'Semi Rev'!M72,""),"")</f>
        <v/>
      </c>
      <c r="J783" s="37">
        <f>IFERROR(IF(AND(ISNUMBER('Semi OpInc'!N72),ISNUMBER('Semi Rev'!N72),'Semi Rev'!N72&gt;0),'Semi OpInc'!N72/'Semi Rev'!N72,""),"")</f>
        <v/>
      </c>
      <c r="K783" s="37">
        <f>IFERROR(IF(AND(ISNUMBER('Semi OpInc'!O72),ISNUMBER('Semi Rev'!O72),'Semi Rev'!O72&gt;0),'Semi OpInc'!O72/'Semi Rev'!O72,""),"")</f>
        <v/>
      </c>
      <c r="L783" s="37">
        <f>IFERROR(IF(AND(ISNUMBER('Semi OpInc'!P72),ISNUMBER('Semi Rev'!P72),'Semi Rev'!P72&gt;0),'Semi OpInc'!P72/'Semi Rev'!P72,""),"")</f>
        <v/>
      </c>
      <c r="M783" s="38">
        <f>IFERROR(IF(AND(ISNUMBER('Semi OpInc'!Q72),ISNUMBER('Semi Rev'!Q72),'Semi Rev'!Q72&gt;0),'Semi OpInc'!Q72/'Semi Rev'!Q72,""),"")</f>
        <v/>
      </c>
      <c r="N783" s="38">
        <f>IFERROR(IF(AND(ISNUMBER('Semi OpInc'!R72),ISNUMBER('Semi Rev'!R72),'Semi Rev'!R72&gt;0),'Semi OpInc'!R72/'Semi Rev'!R72,""),"")</f>
        <v/>
      </c>
    </row>
    <row r="784">
      <c r="A784" s="19">
        <f>'Semi Rev'!$A73</f>
        <v/>
      </c>
      <c r="B784" s="19">
        <f>'Semi Rev'!$B73</f>
        <v/>
      </c>
      <c r="C784" s="37">
        <f>IFERROR(IF(AND(ISNUMBER('Semi OpInc'!G73),ISNUMBER('Semi Rev'!G73),'Semi Rev'!G73&gt;0),'Semi OpInc'!G73/'Semi Rev'!G73,""),"")</f>
        <v/>
      </c>
      <c r="D784" s="37">
        <f>IFERROR(IF(AND(ISNUMBER('Semi OpInc'!H73),ISNUMBER('Semi Rev'!H73),'Semi Rev'!H73&gt;0),'Semi OpInc'!H73/'Semi Rev'!H73,""),"")</f>
        <v/>
      </c>
      <c r="E784" s="37">
        <f>IFERROR(IF(AND(ISNUMBER('Semi OpInc'!I73),ISNUMBER('Semi Rev'!I73),'Semi Rev'!I73&gt;0),'Semi OpInc'!I73/'Semi Rev'!I73,""),"")</f>
        <v/>
      </c>
      <c r="F784" s="37">
        <f>IFERROR(IF(AND(ISNUMBER('Semi OpInc'!J73),ISNUMBER('Semi Rev'!J73),'Semi Rev'!J73&gt;0),'Semi OpInc'!J73/'Semi Rev'!J73,""),"")</f>
        <v/>
      </c>
      <c r="G784" s="37">
        <f>IFERROR(IF(AND(ISNUMBER('Semi OpInc'!K73),ISNUMBER('Semi Rev'!K73),'Semi Rev'!K73&gt;0),'Semi OpInc'!K73/'Semi Rev'!K73,""),"")</f>
        <v/>
      </c>
      <c r="H784" s="37">
        <f>IFERROR(IF(AND(ISNUMBER('Semi OpInc'!L73),ISNUMBER('Semi Rev'!L73),'Semi Rev'!L73&gt;0),'Semi OpInc'!L73/'Semi Rev'!L73,""),"")</f>
        <v/>
      </c>
      <c r="I784" s="37">
        <f>IFERROR(IF(AND(ISNUMBER('Semi OpInc'!M73),ISNUMBER('Semi Rev'!M73),'Semi Rev'!M73&gt;0),'Semi OpInc'!M73/'Semi Rev'!M73,""),"")</f>
        <v/>
      </c>
      <c r="J784" s="37">
        <f>IFERROR(IF(AND(ISNUMBER('Semi OpInc'!N73),ISNUMBER('Semi Rev'!N73),'Semi Rev'!N73&gt;0),'Semi OpInc'!N73/'Semi Rev'!N73,""),"")</f>
        <v/>
      </c>
      <c r="K784" s="37">
        <f>IFERROR(IF(AND(ISNUMBER('Semi OpInc'!O73),ISNUMBER('Semi Rev'!O73),'Semi Rev'!O73&gt;0),'Semi OpInc'!O73/'Semi Rev'!O73,""),"")</f>
        <v/>
      </c>
      <c r="L784" s="37">
        <f>IFERROR(IF(AND(ISNUMBER('Semi OpInc'!P73),ISNUMBER('Semi Rev'!P73),'Semi Rev'!P73&gt;0),'Semi OpInc'!P73/'Semi Rev'!P73,""),"")</f>
        <v/>
      </c>
      <c r="M784" s="38">
        <f>IFERROR(IF(AND(ISNUMBER('Semi OpInc'!Q73),ISNUMBER('Semi Rev'!Q73),'Semi Rev'!Q73&gt;0),'Semi OpInc'!Q73/'Semi Rev'!Q73,""),"")</f>
        <v/>
      </c>
      <c r="N784" s="38">
        <f>IFERROR(IF(AND(ISNUMBER('Semi OpInc'!R73),ISNUMBER('Semi Rev'!R73),'Semi Rev'!R73&gt;0),'Semi OpInc'!R73/'Semi Rev'!R73,""),"")</f>
        <v/>
      </c>
    </row>
    <row r="785">
      <c r="A785" s="19">
        <f>'Semi Rev'!$A74</f>
        <v/>
      </c>
      <c r="B785" s="19">
        <f>'Semi Rev'!$B74</f>
        <v/>
      </c>
      <c r="C785" s="37">
        <f>IFERROR(IF(AND(ISNUMBER('Semi OpInc'!G74),ISNUMBER('Semi Rev'!G74),'Semi Rev'!G74&gt;0),'Semi OpInc'!G74/'Semi Rev'!G74,""),"")</f>
        <v/>
      </c>
      <c r="D785" s="37">
        <f>IFERROR(IF(AND(ISNUMBER('Semi OpInc'!H74),ISNUMBER('Semi Rev'!H74),'Semi Rev'!H74&gt;0),'Semi OpInc'!H74/'Semi Rev'!H74,""),"")</f>
        <v/>
      </c>
      <c r="E785" s="37">
        <f>IFERROR(IF(AND(ISNUMBER('Semi OpInc'!I74),ISNUMBER('Semi Rev'!I74),'Semi Rev'!I74&gt;0),'Semi OpInc'!I74/'Semi Rev'!I74,""),"")</f>
        <v/>
      </c>
      <c r="F785" s="37">
        <f>IFERROR(IF(AND(ISNUMBER('Semi OpInc'!J74),ISNUMBER('Semi Rev'!J74),'Semi Rev'!J74&gt;0),'Semi OpInc'!J74/'Semi Rev'!J74,""),"")</f>
        <v/>
      </c>
      <c r="G785" s="37">
        <f>IFERROR(IF(AND(ISNUMBER('Semi OpInc'!K74),ISNUMBER('Semi Rev'!K74),'Semi Rev'!K74&gt;0),'Semi OpInc'!K74/'Semi Rev'!K74,""),"")</f>
        <v/>
      </c>
      <c r="H785" s="37">
        <f>IFERROR(IF(AND(ISNUMBER('Semi OpInc'!L74),ISNUMBER('Semi Rev'!L74),'Semi Rev'!L74&gt;0),'Semi OpInc'!L74/'Semi Rev'!L74,""),"")</f>
        <v/>
      </c>
      <c r="I785" s="37">
        <f>IFERROR(IF(AND(ISNUMBER('Semi OpInc'!M74),ISNUMBER('Semi Rev'!M74),'Semi Rev'!M74&gt;0),'Semi OpInc'!M74/'Semi Rev'!M74,""),"")</f>
        <v/>
      </c>
      <c r="J785" s="37">
        <f>IFERROR(IF(AND(ISNUMBER('Semi OpInc'!N74),ISNUMBER('Semi Rev'!N74),'Semi Rev'!N74&gt;0),'Semi OpInc'!N74/'Semi Rev'!N74,""),"")</f>
        <v/>
      </c>
      <c r="K785" s="37">
        <f>IFERROR(IF(AND(ISNUMBER('Semi OpInc'!O74),ISNUMBER('Semi Rev'!O74),'Semi Rev'!O74&gt;0),'Semi OpInc'!O74/'Semi Rev'!O74,""),"")</f>
        <v/>
      </c>
      <c r="L785" s="37">
        <f>IFERROR(IF(AND(ISNUMBER('Semi OpInc'!P74),ISNUMBER('Semi Rev'!P74),'Semi Rev'!P74&gt;0),'Semi OpInc'!P74/'Semi Rev'!P74,""),"")</f>
        <v/>
      </c>
      <c r="M785" s="38">
        <f>IFERROR(IF(AND(ISNUMBER('Semi OpInc'!Q74),ISNUMBER('Semi Rev'!Q74),'Semi Rev'!Q74&gt;0),'Semi OpInc'!Q74/'Semi Rev'!Q74,""),"")</f>
        <v/>
      </c>
      <c r="N785" s="38">
        <f>IFERROR(IF(AND(ISNUMBER('Semi OpInc'!R74),ISNUMBER('Semi Rev'!R74),'Semi Rev'!R74&gt;0),'Semi OpInc'!R74/'Semi Rev'!R74,""),"")</f>
        <v/>
      </c>
    </row>
    <row r="786">
      <c r="A786" s="19">
        <f>'Semi Rev'!$A75</f>
        <v/>
      </c>
      <c r="B786" s="19">
        <f>'Semi Rev'!$B75</f>
        <v/>
      </c>
      <c r="C786" s="37">
        <f>IFERROR(IF(AND(ISNUMBER('Semi OpInc'!G75),ISNUMBER('Semi Rev'!G75),'Semi Rev'!G75&gt;0),'Semi OpInc'!G75/'Semi Rev'!G75,""),"")</f>
        <v/>
      </c>
      <c r="D786" s="37">
        <f>IFERROR(IF(AND(ISNUMBER('Semi OpInc'!H75),ISNUMBER('Semi Rev'!H75),'Semi Rev'!H75&gt;0),'Semi OpInc'!H75/'Semi Rev'!H75,""),"")</f>
        <v/>
      </c>
      <c r="E786" s="37">
        <f>IFERROR(IF(AND(ISNUMBER('Semi OpInc'!I75),ISNUMBER('Semi Rev'!I75),'Semi Rev'!I75&gt;0),'Semi OpInc'!I75/'Semi Rev'!I75,""),"")</f>
        <v/>
      </c>
      <c r="F786" s="37">
        <f>IFERROR(IF(AND(ISNUMBER('Semi OpInc'!J75),ISNUMBER('Semi Rev'!J75),'Semi Rev'!J75&gt;0),'Semi OpInc'!J75/'Semi Rev'!J75,""),"")</f>
        <v/>
      </c>
      <c r="G786" s="37">
        <f>IFERROR(IF(AND(ISNUMBER('Semi OpInc'!K75),ISNUMBER('Semi Rev'!K75),'Semi Rev'!K75&gt;0),'Semi OpInc'!K75/'Semi Rev'!K75,""),"")</f>
        <v/>
      </c>
      <c r="H786" s="37">
        <f>IFERROR(IF(AND(ISNUMBER('Semi OpInc'!L75),ISNUMBER('Semi Rev'!L75),'Semi Rev'!L75&gt;0),'Semi OpInc'!L75/'Semi Rev'!L75,""),"")</f>
        <v/>
      </c>
      <c r="I786" s="37">
        <f>IFERROR(IF(AND(ISNUMBER('Semi OpInc'!M75),ISNUMBER('Semi Rev'!M75),'Semi Rev'!M75&gt;0),'Semi OpInc'!M75/'Semi Rev'!M75,""),"")</f>
        <v/>
      </c>
      <c r="J786" s="37">
        <f>IFERROR(IF(AND(ISNUMBER('Semi OpInc'!N75),ISNUMBER('Semi Rev'!N75),'Semi Rev'!N75&gt;0),'Semi OpInc'!N75/'Semi Rev'!N75,""),"")</f>
        <v/>
      </c>
      <c r="K786" s="37">
        <f>IFERROR(IF(AND(ISNUMBER('Semi OpInc'!O75),ISNUMBER('Semi Rev'!O75),'Semi Rev'!O75&gt;0),'Semi OpInc'!O75/'Semi Rev'!O75,""),"")</f>
        <v/>
      </c>
      <c r="L786" s="37">
        <f>IFERROR(IF(AND(ISNUMBER('Semi OpInc'!P75),ISNUMBER('Semi Rev'!P75),'Semi Rev'!P75&gt;0),'Semi OpInc'!P75/'Semi Rev'!P75,""),"")</f>
        <v/>
      </c>
      <c r="M786" s="38">
        <f>IFERROR(IF(AND(ISNUMBER('Semi OpInc'!Q75),ISNUMBER('Semi Rev'!Q75),'Semi Rev'!Q75&gt;0),'Semi OpInc'!Q75/'Semi Rev'!Q75,""),"")</f>
        <v/>
      </c>
      <c r="N786" s="38">
        <f>IFERROR(IF(AND(ISNUMBER('Semi OpInc'!R75),ISNUMBER('Semi Rev'!R75),'Semi Rev'!R75&gt;0),'Semi OpInc'!R75/'Semi Rev'!R75,""),"")</f>
        <v/>
      </c>
    </row>
    <row r="787">
      <c r="A787" s="19">
        <f>'Semi Rev'!$A76</f>
        <v/>
      </c>
      <c r="B787" s="19">
        <f>'Semi Rev'!$B76</f>
        <v/>
      </c>
      <c r="C787" s="37">
        <f>IFERROR(IF(AND(ISNUMBER('Semi OpInc'!G76),ISNUMBER('Semi Rev'!G76),'Semi Rev'!G76&gt;0),'Semi OpInc'!G76/'Semi Rev'!G76,""),"")</f>
        <v/>
      </c>
      <c r="D787" s="37">
        <f>IFERROR(IF(AND(ISNUMBER('Semi OpInc'!H76),ISNUMBER('Semi Rev'!H76),'Semi Rev'!H76&gt;0),'Semi OpInc'!H76/'Semi Rev'!H76,""),"")</f>
        <v/>
      </c>
      <c r="E787" s="37">
        <f>IFERROR(IF(AND(ISNUMBER('Semi OpInc'!I76),ISNUMBER('Semi Rev'!I76),'Semi Rev'!I76&gt;0),'Semi OpInc'!I76/'Semi Rev'!I76,""),"")</f>
        <v/>
      </c>
      <c r="F787" s="37">
        <f>IFERROR(IF(AND(ISNUMBER('Semi OpInc'!J76),ISNUMBER('Semi Rev'!J76),'Semi Rev'!J76&gt;0),'Semi OpInc'!J76/'Semi Rev'!J76,""),"")</f>
        <v/>
      </c>
      <c r="G787" s="37">
        <f>IFERROR(IF(AND(ISNUMBER('Semi OpInc'!K76),ISNUMBER('Semi Rev'!K76),'Semi Rev'!K76&gt;0),'Semi OpInc'!K76/'Semi Rev'!K76,""),"")</f>
        <v/>
      </c>
      <c r="H787" s="37">
        <f>IFERROR(IF(AND(ISNUMBER('Semi OpInc'!L76),ISNUMBER('Semi Rev'!L76),'Semi Rev'!L76&gt;0),'Semi OpInc'!L76/'Semi Rev'!L76,""),"")</f>
        <v/>
      </c>
      <c r="I787" s="37">
        <f>IFERROR(IF(AND(ISNUMBER('Semi OpInc'!M76),ISNUMBER('Semi Rev'!M76),'Semi Rev'!M76&gt;0),'Semi OpInc'!M76/'Semi Rev'!M76,""),"")</f>
        <v/>
      </c>
      <c r="J787" s="37">
        <f>IFERROR(IF(AND(ISNUMBER('Semi OpInc'!N76),ISNUMBER('Semi Rev'!N76),'Semi Rev'!N76&gt;0),'Semi OpInc'!N76/'Semi Rev'!N76,""),"")</f>
        <v/>
      </c>
      <c r="K787" s="37">
        <f>IFERROR(IF(AND(ISNUMBER('Semi OpInc'!O76),ISNUMBER('Semi Rev'!O76),'Semi Rev'!O76&gt;0),'Semi OpInc'!O76/'Semi Rev'!O76,""),"")</f>
        <v/>
      </c>
      <c r="L787" s="37">
        <f>IFERROR(IF(AND(ISNUMBER('Semi OpInc'!P76),ISNUMBER('Semi Rev'!P76),'Semi Rev'!P76&gt;0),'Semi OpInc'!P76/'Semi Rev'!P76,""),"")</f>
        <v/>
      </c>
      <c r="M787" s="38">
        <f>IFERROR(IF(AND(ISNUMBER('Semi OpInc'!Q76),ISNUMBER('Semi Rev'!Q76),'Semi Rev'!Q76&gt;0),'Semi OpInc'!Q76/'Semi Rev'!Q76,""),"")</f>
        <v/>
      </c>
      <c r="N787" s="38">
        <f>IFERROR(IF(AND(ISNUMBER('Semi OpInc'!R76),ISNUMBER('Semi Rev'!R76),'Semi Rev'!R76&gt;0),'Semi OpInc'!R76/'Semi Rev'!R76,""),"")</f>
        <v/>
      </c>
    </row>
    <row r="788">
      <c r="A788" s="19">
        <f>'Semi Rev'!$A77</f>
        <v/>
      </c>
      <c r="B788" s="19">
        <f>'Semi Rev'!$B77</f>
        <v/>
      </c>
      <c r="C788" s="37">
        <f>IFERROR(IF(AND(ISNUMBER('Semi OpInc'!G77),ISNUMBER('Semi Rev'!G77),'Semi Rev'!G77&gt;0),'Semi OpInc'!G77/'Semi Rev'!G77,""),"")</f>
        <v/>
      </c>
      <c r="D788" s="37">
        <f>IFERROR(IF(AND(ISNUMBER('Semi OpInc'!H77),ISNUMBER('Semi Rev'!H77),'Semi Rev'!H77&gt;0),'Semi OpInc'!H77/'Semi Rev'!H77,""),"")</f>
        <v/>
      </c>
      <c r="E788" s="37">
        <f>IFERROR(IF(AND(ISNUMBER('Semi OpInc'!I77),ISNUMBER('Semi Rev'!I77),'Semi Rev'!I77&gt;0),'Semi OpInc'!I77/'Semi Rev'!I77,""),"")</f>
        <v/>
      </c>
      <c r="F788" s="37">
        <f>IFERROR(IF(AND(ISNUMBER('Semi OpInc'!J77),ISNUMBER('Semi Rev'!J77),'Semi Rev'!J77&gt;0),'Semi OpInc'!J77/'Semi Rev'!J77,""),"")</f>
        <v/>
      </c>
      <c r="G788" s="37">
        <f>IFERROR(IF(AND(ISNUMBER('Semi OpInc'!K77),ISNUMBER('Semi Rev'!K77),'Semi Rev'!K77&gt;0),'Semi OpInc'!K77/'Semi Rev'!K77,""),"")</f>
        <v/>
      </c>
      <c r="H788" s="37">
        <f>IFERROR(IF(AND(ISNUMBER('Semi OpInc'!L77),ISNUMBER('Semi Rev'!L77),'Semi Rev'!L77&gt;0),'Semi OpInc'!L77/'Semi Rev'!L77,""),"")</f>
        <v/>
      </c>
      <c r="I788" s="37">
        <f>IFERROR(IF(AND(ISNUMBER('Semi OpInc'!M77),ISNUMBER('Semi Rev'!M77),'Semi Rev'!M77&gt;0),'Semi OpInc'!M77/'Semi Rev'!M77,""),"")</f>
        <v/>
      </c>
      <c r="J788" s="37">
        <f>IFERROR(IF(AND(ISNUMBER('Semi OpInc'!N77),ISNUMBER('Semi Rev'!N77),'Semi Rev'!N77&gt;0),'Semi OpInc'!N77/'Semi Rev'!N77,""),"")</f>
        <v/>
      </c>
      <c r="K788" s="37">
        <f>IFERROR(IF(AND(ISNUMBER('Semi OpInc'!O77),ISNUMBER('Semi Rev'!O77),'Semi Rev'!O77&gt;0),'Semi OpInc'!O77/'Semi Rev'!O77,""),"")</f>
        <v/>
      </c>
      <c r="L788" s="37">
        <f>IFERROR(IF(AND(ISNUMBER('Semi OpInc'!P77),ISNUMBER('Semi Rev'!P77),'Semi Rev'!P77&gt;0),'Semi OpInc'!P77/'Semi Rev'!P77,""),"")</f>
        <v/>
      </c>
      <c r="M788" s="38">
        <f>IFERROR(IF(AND(ISNUMBER('Semi OpInc'!Q77),ISNUMBER('Semi Rev'!Q77),'Semi Rev'!Q77&gt;0),'Semi OpInc'!Q77/'Semi Rev'!Q77,""),"")</f>
        <v/>
      </c>
      <c r="N788" s="38">
        <f>IFERROR(IF(AND(ISNUMBER('Semi OpInc'!R77),ISNUMBER('Semi Rev'!R77),'Semi Rev'!R77&gt;0),'Semi OpInc'!R77/'Semi Rev'!R77,""),"")</f>
        <v/>
      </c>
    </row>
    <row r="789">
      <c r="A789" s="19">
        <f>'Semi Rev'!$A78</f>
        <v/>
      </c>
      <c r="B789" s="19">
        <f>'Semi Rev'!$B78</f>
        <v/>
      </c>
      <c r="C789" s="37">
        <f>IFERROR(IF(AND(ISNUMBER('Semi OpInc'!G78),ISNUMBER('Semi Rev'!G78),'Semi Rev'!G78&gt;0),'Semi OpInc'!G78/'Semi Rev'!G78,""),"")</f>
        <v/>
      </c>
      <c r="D789" s="37">
        <f>IFERROR(IF(AND(ISNUMBER('Semi OpInc'!H78),ISNUMBER('Semi Rev'!H78),'Semi Rev'!H78&gt;0),'Semi OpInc'!H78/'Semi Rev'!H78,""),"")</f>
        <v/>
      </c>
      <c r="E789" s="37">
        <f>IFERROR(IF(AND(ISNUMBER('Semi OpInc'!I78),ISNUMBER('Semi Rev'!I78),'Semi Rev'!I78&gt;0),'Semi OpInc'!I78/'Semi Rev'!I78,""),"")</f>
        <v/>
      </c>
      <c r="F789" s="37">
        <f>IFERROR(IF(AND(ISNUMBER('Semi OpInc'!J78),ISNUMBER('Semi Rev'!J78),'Semi Rev'!J78&gt;0),'Semi OpInc'!J78/'Semi Rev'!J78,""),"")</f>
        <v/>
      </c>
      <c r="G789" s="37">
        <f>IFERROR(IF(AND(ISNUMBER('Semi OpInc'!K78),ISNUMBER('Semi Rev'!K78),'Semi Rev'!K78&gt;0),'Semi OpInc'!K78/'Semi Rev'!K78,""),"")</f>
        <v/>
      </c>
      <c r="H789" s="37">
        <f>IFERROR(IF(AND(ISNUMBER('Semi OpInc'!L78),ISNUMBER('Semi Rev'!L78),'Semi Rev'!L78&gt;0),'Semi OpInc'!L78/'Semi Rev'!L78,""),"")</f>
        <v/>
      </c>
      <c r="I789" s="37">
        <f>IFERROR(IF(AND(ISNUMBER('Semi OpInc'!M78),ISNUMBER('Semi Rev'!M78),'Semi Rev'!M78&gt;0),'Semi OpInc'!M78/'Semi Rev'!M78,""),"")</f>
        <v/>
      </c>
      <c r="J789" s="37">
        <f>IFERROR(IF(AND(ISNUMBER('Semi OpInc'!N78),ISNUMBER('Semi Rev'!N78),'Semi Rev'!N78&gt;0),'Semi OpInc'!N78/'Semi Rev'!N78,""),"")</f>
        <v/>
      </c>
      <c r="K789" s="37">
        <f>IFERROR(IF(AND(ISNUMBER('Semi OpInc'!O78),ISNUMBER('Semi Rev'!O78),'Semi Rev'!O78&gt;0),'Semi OpInc'!O78/'Semi Rev'!O78,""),"")</f>
        <v/>
      </c>
      <c r="L789" s="37">
        <f>IFERROR(IF(AND(ISNUMBER('Semi OpInc'!P78),ISNUMBER('Semi Rev'!P78),'Semi Rev'!P78&gt;0),'Semi OpInc'!P78/'Semi Rev'!P78,""),"")</f>
        <v/>
      </c>
      <c r="M789" s="38">
        <f>IFERROR(IF(AND(ISNUMBER('Semi OpInc'!Q78),ISNUMBER('Semi Rev'!Q78),'Semi Rev'!Q78&gt;0),'Semi OpInc'!Q78/'Semi Rev'!Q78,""),"")</f>
        <v/>
      </c>
      <c r="N789" s="38">
        <f>IFERROR(IF(AND(ISNUMBER('Semi OpInc'!R78),ISNUMBER('Semi Rev'!R78),'Semi Rev'!R78&gt;0),'Semi OpInc'!R78/'Semi Rev'!R78,""),"")</f>
        <v/>
      </c>
    </row>
    <row r="790">
      <c r="A790" s="19">
        <f>'Semi Rev'!$A79</f>
        <v/>
      </c>
      <c r="B790" s="19">
        <f>'Semi Rev'!$B79</f>
        <v/>
      </c>
      <c r="C790" s="37">
        <f>IFERROR(IF(AND(ISNUMBER('Semi OpInc'!G79),ISNUMBER('Semi Rev'!G79),'Semi Rev'!G79&gt;0),'Semi OpInc'!G79/'Semi Rev'!G79,""),"")</f>
        <v/>
      </c>
      <c r="D790" s="37">
        <f>IFERROR(IF(AND(ISNUMBER('Semi OpInc'!H79),ISNUMBER('Semi Rev'!H79),'Semi Rev'!H79&gt;0),'Semi OpInc'!H79/'Semi Rev'!H79,""),"")</f>
        <v/>
      </c>
      <c r="E790" s="37">
        <f>IFERROR(IF(AND(ISNUMBER('Semi OpInc'!I79),ISNUMBER('Semi Rev'!I79),'Semi Rev'!I79&gt;0),'Semi OpInc'!I79/'Semi Rev'!I79,""),"")</f>
        <v/>
      </c>
      <c r="F790" s="37">
        <f>IFERROR(IF(AND(ISNUMBER('Semi OpInc'!J79),ISNUMBER('Semi Rev'!J79),'Semi Rev'!J79&gt;0),'Semi OpInc'!J79/'Semi Rev'!J79,""),"")</f>
        <v/>
      </c>
      <c r="G790" s="37">
        <f>IFERROR(IF(AND(ISNUMBER('Semi OpInc'!K79),ISNUMBER('Semi Rev'!K79),'Semi Rev'!K79&gt;0),'Semi OpInc'!K79/'Semi Rev'!K79,""),"")</f>
        <v/>
      </c>
      <c r="H790" s="37">
        <f>IFERROR(IF(AND(ISNUMBER('Semi OpInc'!L79),ISNUMBER('Semi Rev'!L79),'Semi Rev'!L79&gt;0),'Semi OpInc'!L79/'Semi Rev'!L79,""),"")</f>
        <v/>
      </c>
      <c r="I790" s="37">
        <f>IFERROR(IF(AND(ISNUMBER('Semi OpInc'!M79),ISNUMBER('Semi Rev'!M79),'Semi Rev'!M79&gt;0),'Semi OpInc'!M79/'Semi Rev'!M79,""),"")</f>
        <v/>
      </c>
      <c r="J790" s="37">
        <f>IFERROR(IF(AND(ISNUMBER('Semi OpInc'!N79),ISNUMBER('Semi Rev'!N79),'Semi Rev'!N79&gt;0),'Semi OpInc'!N79/'Semi Rev'!N79,""),"")</f>
        <v/>
      </c>
      <c r="K790" s="37">
        <f>IFERROR(IF(AND(ISNUMBER('Semi OpInc'!O79),ISNUMBER('Semi Rev'!O79),'Semi Rev'!O79&gt;0),'Semi OpInc'!O79/'Semi Rev'!O79,""),"")</f>
        <v/>
      </c>
      <c r="L790" s="37">
        <f>IFERROR(IF(AND(ISNUMBER('Semi OpInc'!P79),ISNUMBER('Semi Rev'!P79),'Semi Rev'!P79&gt;0),'Semi OpInc'!P79/'Semi Rev'!P79,""),"")</f>
        <v/>
      </c>
      <c r="M790" s="38">
        <f>IFERROR(IF(AND(ISNUMBER('Semi OpInc'!Q79),ISNUMBER('Semi Rev'!Q79),'Semi Rev'!Q79&gt;0),'Semi OpInc'!Q79/'Semi Rev'!Q79,""),"")</f>
        <v/>
      </c>
      <c r="N790" s="38">
        <f>IFERROR(IF(AND(ISNUMBER('Semi OpInc'!R79),ISNUMBER('Semi Rev'!R79),'Semi Rev'!R79&gt;0),'Semi OpInc'!R79/'Semi Rev'!R79,""),"")</f>
        <v/>
      </c>
    </row>
    <row r="791">
      <c r="A791" s="19">
        <f>'Semi Rev'!$A80</f>
        <v/>
      </c>
      <c r="B791" s="19">
        <f>'Semi Rev'!$B80</f>
        <v/>
      </c>
      <c r="C791" s="37">
        <f>IFERROR(IF(AND(ISNUMBER('Semi OpInc'!G80),ISNUMBER('Semi Rev'!G80),'Semi Rev'!G80&gt;0),'Semi OpInc'!G80/'Semi Rev'!G80,""),"")</f>
        <v/>
      </c>
      <c r="D791" s="37">
        <f>IFERROR(IF(AND(ISNUMBER('Semi OpInc'!H80),ISNUMBER('Semi Rev'!H80),'Semi Rev'!H80&gt;0),'Semi OpInc'!H80/'Semi Rev'!H80,""),"")</f>
        <v/>
      </c>
      <c r="E791" s="37">
        <f>IFERROR(IF(AND(ISNUMBER('Semi OpInc'!I80),ISNUMBER('Semi Rev'!I80),'Semi Rev'!I80&gt;0),'Semi OpInc'!I80/'Semi Rev'!I80,""),"")</f>
        <v/>
      </c>
      <c r="F791" s="37">
        <f>IFERROR(IF(AND(ISNUMBER('Semi OpInc'!J80),ISNUMBER('Semi Rev'!J80),'Semi Rev'!J80&gt;0),'Semi OpInc'!J80/'Semi Rev'!J80,""),"")</f>
        <v/>
      </c>
      <c r="G791" s="37">
        <f>IFERROR(IF(AND(ISNUMBER('Semi OpInc'!K80),ISNUMBER('Semi Rev'!K80),'Semi Rev'!K80&gt;0),'Semi OpInc'!K80/'Semi Rev'!K80,""),"")</f>
        <v/>
      </c>
      <c r="H791" s="37">
        <f>IFERROR(IF(AND(ISNUMBER('Semi OpInc'!L80),ISNUMBER('Semi Rev'!L80),'Semi Rev'!L80&gt;0),'Semi OpInc'!L80/'Semi Rev'!L80,""),"")</f>
        <v/>
      </c>
      <c r="I791" s="37">
        <f>IFERROR(IF(AND(ISNUMBER('Semi OpInc'!M80),ISNUMBER('Semi Rev'!M80),'Semi Rev'!M80&gt;0),'Semi OpInc'!M80/'Semi Rev'!M80,""),"")</f>
        <v/>
      </c>
      <c r="J791" s="37">
        <f>IFERROR(IF(AND(ISNUMBER('Semi OpInc'!N80),ISNUMBER('Semi Rev'!N80),'Semi Rev'!N80&gt;0),'Semi OpInc'!N80/'Semi Rev'!N80,""),"")</f>
        <v/>
      </c>
      <c r="K791" s="37">
        <f>IFERROR(IF(AND(ISNUMBER('Semi OpInc'!O80),ISNUMBER('Semi Rev'!O80),'Semi Rev'!O80&gt;0),'Semi OpInc'!O80/'Semi Rev'!O80,""),"")</f>
        <v/>
      </c>
      <c r="L791" s="37">
        <f>IFERROR(IF(AND(ISNUMBER('Semi OpInc'!P80),ISNUMBER('Semi Rev'!P80),'Semi Rev'!P80&gt;0),'Semi OpInc'!P80/'Semi Rev'!P80,""),"")</f>
        <v/>
      </c>
      <c r="M791" s="38">
        <f>IFERROR(IF(AND(ISNUMBER('Semi OpInc'!Q80),ISNUMBER('Semi Rev'!Q80),'Semi Rev'!Q80&gt;0),'Semi OpInc'!Q80/'Semi Rev'!Q80,""),"")</f>
        <v/>
      </c>
      <c r="N791" s="38">
        <f>IFERROR(IF(AND(ISNUMBER('Semi OpInc'!R80),ISNUMBER('Semi Rev'!R80),'Semi Rev'!R80&gt;0),'Semi OpInc'!R80/'Semi Rev'!R80,""),"")</f>
        <v/>
      </c>
    </row>
    <row r="792">
      <c r="A792" s="19">
        <f>'Semi Rev'!$A81</f>
        <v/>
      </c>
      <c r="B792" s="19">
        <f>'Semi Rev'!$B81</f>
        <v/>
      </c>
      <c r="C792" s="37">
        <f>IFERROR(IF(AND(ISNUMBER('Semi OpInc'!G81),ISNUMBER('Semi Rev'!G81),'Semi Rev'!G81&gt;0),'Semi OpInc'!G81/'Semi Rev'!G81,""),"")</f>
        <v/>
      </c>
      <c r="D792" s="37">
        <f>IFERROR(IF(AND(ISNUMBER('Semi OpInc'!H81),ISNUMBER('Semi Rev'!H81),'Semi Rev'!H81&gt;0),'Semi OpInc'!H81/'Semi Rev'!H81,""),"")</f>
        <v/>
      </c>
      <c r="E792" s="37">
        <f>IFERROR(IF(AND(ISNUMBER('Semi OpInc'!I81),ISNUMBER('Semi Rev'!I81),'Semi Rev'!I81&gt;0),'Semi OpInc'!I81/'Semi Rev'!I81,""),"")</f>
        <v/>
      </c>
      <c r="F792" s="37">
        <f>IFERROR(IF(AND(ISNUMBER('Semi OpInc'!J81),ISNUMBER('Semi Rev'!J81),'Semi Rev'!J81&gt;0),'Semi OpInc'!J81/'Semi Rev'!J81,""),"")</f>
        <v/>
      </c>
      <c r="G792" s="37">
        <f>IFERROR(IF(AND(ISNUMBER('Semi OpInc'!K81),ISNUMBER('Semi Rev'!K81),'Semi Rev'!K81&gt;0),'Semi OpInc'!K81/'Semi Rev'!K81,""),"")</f>
        <v/>
      </c>
      <c r="H792" s="37">
        <f>IFERROR(IF(AND(ISNUMBER('Semi OpInc'!L81),ISNUMBER('Semi Rev'!L81),'Semi Rev'!L81&gt;0),'Semi OpInc'!L81/'Semi Rev'!L81,""),"")</f>
        <v/>
      </c>
      <c r="I792" s="37">
        <f>IFERROR(IF(AND(ISNUMBER('Semi OpInc'!M81),ISNUMBER('Semi Rev'!M81),'Semi Rev'!M81&gt;0),'Semi OpInc'!M81/'Semi Rev'!M81,""),"")</f>
        <v/>
      </c>
      <c r="J792" s="37">
        <f>IFERROR(IF(AND(ISNUMBER('Semi OpInc'!N81),ISNUMBER('Semi Rev'!N81),'Semi Rev'!N81&gt;0),'Semi OpInc'!N81/'Semi Rev'!N81,""),"")</f>
        <v/>
      </c>
      <c r="K792" s="37">
        <f>IFERROR(IF(AND(ISNUMBER('Semi OpInc'!O81),ISNUMBER('Semi Rev'!O81),'Semi Rev'!O81&gt;0),'Semi OpInc'!O81/'Semi Rev'!O81,""),"")</f>
        <v/>
      </c>
      <c r="L792" s="37">
        <f>IFERROR(IF(AND(ISNUMBER('Semi OpInc'!P81),ISNUMBER('Semi Rev'!P81),'Semi Rev'!P81&gt;0),'Semi OpInc'!P81/'Semi Rev'!P81,""),"")</f>
        <v/>
      </c>
      <c r="M792" s="38">
        <f>IFERROR(IF(AND(ISNUMBER('Semi OpInc'!Q81),ISNUMBER('Semi Rev'!Q81),'Semi Rev'!Q81&gt;0),'Semi OpInc'!Q81/'Semi Rev'!Q81,""),"")</f>
        <v/>
      </c>
      <c r="N792" s="38">
        <f>IFERROR(IF(AND(ISNUMBER('Semi OpInc'!R81),ISNUMBER('Semi Rev'!R81),'Semi Rev'!R81&gt;0),'Semi OpInc'!R81/'Semi Rev'!R81,""),"")</f>
        <v/>
      </c>
    </row>
    <row r="793">
      <c r="A793" s="19">
        <f>'Semi Rev'!$A82</f>
        <v/>
      </c>
      <c r="B793" s="19">
        <f>'Semi Rev'!$B82</f>
        <v/>
      </c>
      <c r="C793" s="37">
        <f>IFERROR(IF(AND(ISNUMBER('Semi OpInc'!G82),ISNUMBER('Semi Rev'!G82),'Semi Rev'!G82&gt;0),'Semi OpInc'!G82/'Semi Rev'!G82,""),"")</f>
        <v/>
      </c>
      <c r="D793" s="37">
        <f>IFERROR(IF(AND(ISNUMBER('Semi OpInc'!H82),ISNUMBER('Semi Rev'!H82),'Semi Rev'!H82&gt;0),'Semi OpInc'!H82/'Semi Rev'!H82,""),"")</f>
        <v/>
      </c>
      <c r="E793" s="37">
        <f>IFERROR(IF(AND(ISNUMBER('Semi OpInc'!I82),ISNUMBER('Semi Rev'!I82),'Semi Rev'!I82&gt;0),'Semi OpInc'!I82/'Semi Rev'!I82,""),"")</f>
        <v/>
      </c>
      <c r="F793" s="37">
        <f>IFERROR(IF(AND(ISNUMBER('Semi OpInc'!J82),ISNUMBER('Semi Rev'!J82),'Semi Rev'!J82&gt;0),'Semi OpInc'!J82/'Semi Rev'!J82,""),"")</f>
        <v/>
      </c>
      <c r="G793" s="37">
        <f>IFERROR(IF(AND(ISNUMBER('Semi OpInc'!K82),ISNUMBER('Semi Rev'!K82),'Semi Rev'!K82&gt;0),'Semi OpInc'!K82/'Semi Rev'!K82,""),"")</f>
        <v/>
      </c>
      <c r="H793" s="37">
        <f>IFERROR(IF(AND(ISNUMBER('Semi OpInc'!L82),ISNUMBER('Semi Rev'!L82),'Semi Rev'!L82&gt;0),'Semi OpInc'!L82/'Semi Rev'!L82,""),"")</f>
        <v/>
      </c>
      <c r="I793" s="37">
        <f>IFERROR(IF(AND(ISNUMBER('Semi OpInc'!M82),ISNUMBER('Semi Rev'!M82),'Semi Rev'!M82&gt;0),'Semi OpInc'!M82/'Semi Rev'!M82,""),"")</f>
        <v/>
      </c>
      <c r="J793" s="37">
        <f>IFERROR(IF(AND(ISNUMBER('Semi OpInc'!N82),ISNUMBER('Semi Rev'!N82),'Semi Rev'!N82&gt;0),'Semi OpInc'!N82/'Semi Rev'!N82,""),"")</f>
        <v/>
      </c>
      <c r="K793" s="37">
        <f>IFERROR(IF(AND(ISNUMBER('Semi OpInc'!O82),ISNUMBER('Semi Rev'!O82),'Semi Rev'!O82&gt;0),'Semi OpInc'!O82/'Semi Rev'!O82,""),"")</f>
        <v/>
      </c>
      <c r="L793" s="37">
        <f>IFERROR(IF(AND(ISNUMBER('Semi OpInc'!P82),ISNUMBER('Semi Rev'!P82),'Semi Rev'!P82&gt;0),'Semi OpInc'!P82/'Semi Rev'!P82,""),"")</f>
        <v/>
      </c>
      <c r="M793" s="38">
        <f>IFERROR(IF(AND(ISNUMBER('Semi OpInc'!Q82),ISNUMBER('Semi Rev'!Q82),'Semi Rev'!Q82&gt;0),'Semi OpInc'!Q82/'Semi Rev'!Q82,""),"")</f>
        <v/>
      </c>
      <c r="N793" s="38">
        <f>IFERROR(IF(AND(ISNUMBER('Semi OpInc'!R82),ISNUMBER('Semi Rev'!R82),'Semi Rev'!R82&gt;0),'Semi OpInc'!R82/'Semi Rev'!R82,""),"")</f>
        <v/>
      </c>
    </row>
    <row r="794">
      <c r="A794" s="19">
        <f>'Semi Rev'!$A83</f>
        <v/>
      </c>
      <c r="B794" s="19">
        <f>'Semi Rev'!$B83</f>
        <v/>
      </c>
      <c r="C794" s="37">
        <f>IFERROR(IF(AND(ISNUMBER('Semi OpInc'!G83),ISNUMBER('Semi Rev'!G83),'Semi Rev'!G83&gt;0),'Semi OpInc'!G83/'Semi Rev'!G83,""),"")</f>
        <v/>
      </c>
      <c r="D794" s="37">
        <f>IFERROR(IF(AND(ISNUMBER('Semi OpInc'!H83),ISNUMBER('Semi Rev'!H83),'Semi Rev'!H83&gt;0),'Semi OpInc'!H83/'Semi Rev'!H83,""),"")</f>
        <v/>
      </c>
      <c r="E794" s="37">
        <f>IFERROR(IF(AND(ISNUMBER('Semi OpInc'!I83),ISNUMBER('Semi Rev'!I83),'Semi Rev'!I83&gt;0),'Semi OpInc'!I83/'Semi Rev'!I83,""),"")</f>
        <v/>
      </c>
      <c r="F794" s="37">
        <f>IFERROR(IF(AND(ISNUMBER('Semi OpInc'!J83),ISNUMBER('Semi Rev'!J83),'Semi Rev'!J83&gt;0),'Semi OpInc'!J83/'Semi Rev'!J83,""),"")</f>
        <v/>
      </c>
      <c r="G794" s="37">
        <f>IFERROR(IF(AND(ISNUMBER('Semi OpInc'!K83),ISNUMBER('Semi Rev'!K83),'Semi Rev'!K83&gt;0),'Semi OpInc'!K83/'Semi Rev'!K83,""),"")</f>
        <v/>
      </c>
      <c r="H794" s="37">
        <f>IFERROR(IF(AND(ISNUMBER('Semi OpInc'!L83),ISNUMBER('Semi Rev'!L83),'Semi Rev'!L83&gt;0),'Semi OpInc'!L83/'Semi Rev'!L83,""),"")</f>
        <v/>
      </c>
      <c r="I794" s="37">
        <f>IFERROR(IF(AND(ISNUMBER('Semi OpInc'!M83),ISNUMBER('Semi Rev'!M83),'Semi Rev'!M83&gt;0),'Semi OpInc'!M83/'Semi Rev'!M83,""),"")</f>
        <v/>
      </c>
      <c r="J794" s="37">
        <f>IFERROR(IF(AND(ISNUMBER('Semi OpInc'!N83),ISNUMBER('Semi Rev'!N83),'Semi Rev'!N83&gt;0),'Semi OpInc'!N83/'Semi Rev'!N83,""),"")</f>
        <v/>
      </c>
      <c r="K794" s="37">
        <f>IFERROR(IF(AND(ISNUMBER('Semi OpInc'!O83),ISNUMBER('Semi Rev'!O83),'Semi Rev'!O83&gt;0),'Semi OpInc'!O83/'Semi Rev'!O83,""),"")</f>
        <v/>
      </c>
      <c r="L794" s="37">
        <f>IFERROR(IF(AND(ISNUMBER('Semi OpInc'!P83),ISNUMBER('Semi Rev'!P83),'Semi Rev'!P83&gt;0),'Semi OpInc'!P83/'Semi Rev'!P83,""),"")</f>
        <v/>
      </c>
      <c r="M794" s="38">
        <f>IFERROR(IF(AND(ISNUMBER('Semi OpInc'!Q83),ISNUMBER('Semi Rev'!Q83),'Semi Rev'!Q83&gt;0),'Semi OpInc'!Q83/'Semi Rev'!Q83,""),"")</f>
        <v/>
      </c>
      <c r="N794" s="38">
        <f>IFERROR(IF(AND(ISNUMBER('Semi OpInc'!R83),ISNUMBER('Semi Rev'!R83),'Semi Rev'!R83&gt;0),'Semi OpInc'!R83/'Semi Rev'!R83,""),"")</f>
        <v/>
      </c>
    </row>
    <row r="795">
      <c r="A795" s="19">
        <f>'Semi Rev'!$A84</f>
        <v/>
      </c>
      <c r="B795" s="19">
        <f>'Semi Rev'!$B84</f>
        <v/>
      </c>
      <c r="C795" s="37">
        <f>IFERROR(IF(AND(ISNUMBER('Semi OpInc'!G84),ISNUMBER('Semi Rev'!G84),'Semi Rev'!G84&gt;0),'Semi OpInc'!G84/'Semi Rev'!G84,""),"")</f>
        <v/>
      </c>
      <c r="D795" s="37">
        <f>IFERROR(IF(AND(ISNUMBER('Semi OpInc'!H84),ISNUMBER('Semi Rev'!H84),'Semi Rev'!H84&gt;0),'Semi OpInc'!H84/'Semi Rev'!H84,""),"")</f>
        <v/>
      </c>
      <c r="E795" s="37">
        <f>IFERROR(IF(AND(ISNUMBER('Semi OpInc'!I84),ISNUMBER('Semi Rev'!I84),'Semi Rev'!I84&gt;0),'Semi OpInc'!I84/'Semi Rev'!I84,""),"")</f>
        <v/>
      </c>
      <c r="F795" s="37">
        <f>IFERROR(IF(AND(ISNUMBER('Semi OpInc'!J84),ISNUMBER('Semi Rev'!J84),'Semi Rev'!J84&gt;0),'Semi OpInc'!J84/'Semi Rev'!J84,""),"")</f>
        <v/>
      </c>
      <c r="G795" s="37">
        <f>IFERROR(IF(AND(ISNUMBER('Semi OpInc'!K84),ISNUMBER('Semi Rev'!K84),'Semi Rev'!K84&gt;0),'Semi OpInc'!K84/'Semi Rev'!K84,""),"")</f>
        <v/>
      </c>
      <c r="H795" s="37">
        <f>IFERROR(IF(AND(ISNUMBER('Semi OpInc'!L84),ISNUMBER('Semi Rev'!L84),'Semi Rev'!L84&gt;0),'Semi OpInc'!L84/'Semi Rev'!L84,""),"")</f>
        <v/>
      </c>
      <c r="I795" s="37">
        <f>IFERROR(IF(AND(ISNUMBER('Semi OpInc'!M84),ISNUMBER('Semi Rev'!M84),'Semi Rev'!M84&gt;0),'Semi OpInc'!M84/'Semi Rev'!M84,""),"")</f>
        <v/>
      </c>
      <c r="J795" s="37">
        <f>IFERROR(IF(AND(ISNUMBER('Semi OpInc'!N84),ISNUMBER('Semi Rev'!N84),'Semi Rev'!N84&gt;0),'Semi OpInc'!N84/'Semi Rev'!N84,""),"")</f>
        <v/>
      </c>
      <c r="K795" s="37">
        <f>IFERROR(IF(AND(ISNUMBER('Semi OpInc'!O84),ISNUMBER('Semi Rev'!O84),'Semi Rev'!O84&gt;0),'Semi OpInc'!O84/'Semi Rev'!O84,""),"")</f>
        <v/>
      </c>
      <c r="L795" s="37">
        <f>IFERROR(IF(AND(ISNUMBER('Semi OpInc'!P84),ISNUMBER('Semi Rev'!P84),'Semi Rev'!P84&gt;0),'Semi OpInc'!P84/'Semi Rev'!P84,""),"")</f>
        <v/>
      </c>
      <c r="M795" s="38">
        <f>IFERROR(IF(AND(ISNUMBER('Semi OpInc'!Q84),ISNUMBER('Semi Rev'!Q84),'Semi Rev'!Q84&gt;0),'Semi OpInc'!Q84/'Semi Rev'!Q84,""),"")</f>
        <v/>
      </c>
      <c r="N795" s="38">
        <f>IFERROR(IF(AND(ISNUMBER('Semi OpInc'!R84),ISNUMBER('Semi Rev'!R84),'Semi Rev'!R84&gt;0),'Semi OpInc'!R84/'Semi Rev'!R84,""),"")</f>
        <v/>
      </c>
    </row>
    <row r="796">
      <c r="A796" s="19">
        <f>'Semi Rev'!$A85</f>
        <v/>
      </c>
      <c r="B796" s="19">
        <f>'Semi Rev'!$B85</f>
        <v/>
      </c>
      <c r="C796" s="37">
        <f>IFERROR(IF(AND(ISNUMBER('Semi OpInc'!G85),ISNUMBER('Semi Rev'!G85),'Semi Rev'!G85&gt;0),'Semi OpInc'!G85/'Semi Rev'!G85,""),"")</f>
        <v/>
      </c>
      <c r="D796" s="37">
        <f>IFERROR(IF(AND(ISNUMBER('Semi OpInc'!H85),ISNUMBER('Semi Rev'!H85),'Semi Rev'!H85&gt;0),'Semi OpInc'!H85/'Semi Rev'!H85,""),"")</f>
        <v/>
      </c>
      <c r="E796" s="37">
        <f>IFERROR(IF(AND(ISNUMBER('Semi OpInc'!I85),ISNUMBER('Semi Rev'!I85),'Semi Rev'!I85&gt;0),'Semi OpInc'!I85/'Semi Rev'!I85,""),"")</f>
        <v/>
      </c>
      <c r="F796" s="37">
        <f>IFERROR(IF(AND(ISNUMBER('Semi OpInc'!J85),ISNUMBER('Semi Rev'!J85),'Semi Rev'!J85&gt;0),'Semi OpInc'!J85/'Semi Rev'!J85,""),"")</f>
        <v/>
      </c>
      <c r="G796" s="37">
        <f>IFERROR(IF(AND(ISNUMBER('Semi OpInc'!K85),ISNUMBER('Semi Rev'!K85),'Semi Rev'!K85&gt;0),'Semi OpInc'!K85/'Semi Rev'!K85,""),"")</f>
        <v/>
      </c>
      <c r="H796" s="37">
        <f>IFERROR(IF(AND(ISNUMBER('Semi OpInc'!L85),ISNUMBER('Semi Rev'!L85),'Semi Rev'!L85&gt;0),'Semi OpInc'!L85/'Semi Rev'!L85,""),"")</f>
        <v/>
      </c>
      <c r="I796" s="37">
        <f>IFERROR(IF(AND(ISNUMBER('Semi OpInc'!M85),ISNUMBER('Semi Rev'!M85),'Semi Rev'!M85&gt;0),'Semi OpInc'!M85/'Semi Rev'!M85,""),"")</f>
        <v/>
      </c>
      <c r="J796" s="37">
        <f>IFERROR(IF(AND(ISNUMBER('Semi OpInc'!N85),ISNUMBER('Semi Rev'!N85),'Semi Rev'!N85&gt;0),'Semi OpInc'!N85/'Semi Rev'!N85,""),"")</f>
        <v/>
      </c>
      <c r="K796" s="37">
        <f>IFERROR(IF(AND(ISNUMBER('Semi OpInc'!O85),ISNUMBER('Semi Rev'!O85),'Semi Rev'!O85&gt;0),'Semi OpInc'!O85/'Semi Rev'!O85,""),"")</f>
        <v/>
      </c>
      <c r="L796" s="37">
        <f>IFERROR(IF(AND(ISNUMBER('Semi OpInc'!P85),ISNUMBER('Semi Rev'!P85),'Semi Rev'!P85&gt;0),'Semi OpInc'!P85/'Semi Rev'!P85,""),"")</f>
        <v/>
      </c>
      <c r="M796" s="38">
        <f>IFERROR(IF(AND(ISNUMBER('Semi OpInc'!Q85),ISNUMBER('Semi Rev'!Q85),'Semi Rev'!Q85&gt;0),'Semi OpInc'!Q85/'Semi Rev'!Q85,""),"")</f>
        <v/>
      </c>
      <c r="N796" s="38">
        <f>IFERROR(IF(AND(ISNUMBER('Semi OpInc'!R85),ISNUMBER('Semi Rev'!R85),'Semi Rev'!R85&gt;0),'Semi OpInc'!R85/'Semi Rev'!R85,""),"")</f>
        <v/>
      </c>
    </row>
    <row r="797">
      <c r="A797" s="19">
        <f>'Semi Rev'!$A86</f>
        <v/>
      </c>
      <c r="B797" s="19">
        <f>'Semi Rev'!$B86</f>
        <v/>
      </c>
      <c r="C797" s="37">
        <f>IFERROR(IF(AND(ISNUMBER('Semi OpInc'!G86),ISNUMBER('Semi Rev'!G86),'Semi Rev'!G86&gt;0),'Semi OpInc'!G86/'Semi Rev'!G86,""),"")</f>
        <v/>
      </c>
      <c r="D797" s="37">
        <f>IFERROR(IF(AND(ISNUMBER('Semi OpInc'!H86),ISNUMBER('Semi Rev'!H86),'Semi Rev'!H86&gt;0),'Semi OpInc'!H86/'Semi Rev'!H86,""),"")</f>
        <v/>
      </c>
      <c r="E797" s="37">
        <f>IFERROR(IF(AND(ISNUMBER('Semi OpInc'!I86),ISNUMBER('Semi Rev'!I86),'Semi Rev'!I86&gt;0),'Semi OpInc'!I86/'Semi Rev'!I86,""),"")</f>
        <v/>
      </c>
      <c r="F797" s="37">
        <f>IFERROR(IF(AND(ISNUMBER('Semi OpInc'!J86),ISNUMBER('Semi Rev'!J86),'Semi Rev'!J86&gt;0),'Semi OpInc'!J86/'Semi Rev'!J86,""),"")</f>
        <v/>
      </c>
      <c r="G797" s="37">
        <f>IFERROR(IF(AND(ISNUMBER('Semi OpInc'!K86),ISNUMBER('Semi Rev'!K86),'Semi Rev'!K86&gt;0),'Semi OpInc'!K86/'Semi Rev'!K86,""),"")</f>
        <v/>
      </c>
      <c r="H797" s="37">
        <f>IFERROR(IF(AND(ISNUMBER('Semi OpInc'!L86),ISNUMBER('Semi Rev'!L86),'Semi Rev'!L86&gt;0),'Semi OpInc'!L86/'Semi Rev'!L86,""),"")</f>
        <v/>
      </c>
      <c r="I797" s="37">
        <f>IFERROR(IF(AND(ISNUMBER('Semi OpInc'!M86),ISNUMBER('Semi Rev'!M86),'Semi Rev'!M86&gt;0),'Semi OpInc'!M86/'Semi Rev'!M86,""),"")</f>
        <v/>
      </c>
      <c r="J797" s="37">
        <f>IFERROR(IF(AND(ISNUMBER('Semi OpInc'!N86),ISNUMBER('Semi Rev'!N86),'Semi Rev'!N86&gt;0),'Semi OpInc'!N86/'Semi Rev'!N86,""),"")</f>
        <v/>
      </c>
      <c r="K797" s="37">
        <f>IFERROR(IF(AND(ISNUMBER('Semi OpInc'!O86),ISNUMBER('Semi Rev'!O86),'Semi Rev'!O86&gt;0),'Semi OpInc'!O86/'Semi Rev'!O86,""),"")</f>
        <v/>
      </c>
      <c r="L797" s="37">
        <f>IFERROR(IF(AND(ISNUMBER('Semi OpInc'!P86),ISNUMBER('Semi Rev'!P86),'Semi Rev'!P86&gt;0),'Semi OpInc'!P86/'Semi Rev'!P86,""),"")</f>
        <v/>
      </c>
      <c r="M797" s="38">
        <f>IFERROR(IF(AND(ISNUMBER('Semi OpInc'!Q86),ISNUMBER('Semi Rev'!Q86),'Semi Rev'!Q86&gt;0),'Semi OpInc'!Q86/'Semi Rev'!Q86,""),"")</f>
        <v/>
      </c>
      <c r="N797" s="38">
        <f>IFERROR(IF(AND(ISNUMBER('Semi OpInc'!R86),ISNUMBER('Semi Rev'!R86),'Semi Rev'!R86&gt;0),'Semi OpInc'!R86/'Semi Rev'!R86,""),"")</f>
        <v/>
      </c>
    </row>
    <row r="798">
      <c r="A798" s="19">
        <f>'Semi Rev'!$A87</f>
        <v/>
      </c>
      <c r="B798" s="19">
        <f>'Semi Rev'!$B87</f>
        <v/>
      </c>
      <c r="C798" s="37">
        <f>IFERROR(IF(AND(ISNUMBER('Semi OpInc'!G87),ISNUMBER('Semi Rev'!G87),'Semi Rev'!G87&gt;0),'Semi OpInc'!G87/'Semi Rev'!G87,""),"")</f>
        <v/>
      </c>
      <c r="D798" s="37">
        <f>IFERROR(IF(AND(ISNUMBER('Semi OpInc'!H87),ISNUMBER('Semi Rev'!H87),'Semi Rev'!H87&gt;0),'Semi OpInc'!H87/'Semi Rev'!H87,""),"")</f>
        <v/>
      </c>
      <c r="E798" s="37">
        <f>IFERROR(IF(AND(ISNUMBER('Semi OpInc'!I87),ISNUMBER('Semi Rev'!I87),'Semi Rev'!I87&gt;0),'Semi OpInc'!I87/'Semi Rev'!I87,""),"")</f>
        <v/>
      </c>
      <c r="F798" s="37">
        <f>IFERROR(IF(AND(ISNUMBER('Semi OpInc'!J87),ISNUMBER('Semi Rev'!J87),'Semi Rev'!J87&gt;0),'Semi OpInc'!J87/'Semi Rev'!J87,""),"")</f>
        <v/>
      </c>
      <c r="G798" s="37">
        <f>IFERROR(IF(AND(ISNUMBER('Semi OpInc'!K87),ISNUMBER('Semi Rev'!K87),'Semi Rev'!K87&gt;0),'Semi OpInc'!K87/'Semi Rev'!K87,""),"")</f>
        <v/>
      </c>
      <c r="H798" s="37">
        <f>IFERROR(IF(AND(ISNUMBER('Semi OpInc'!L87),ISNUMBER('Semi Rev'!L87),'Semi Rev'!L87&gt;0),'Semi OpInc'!L87/'Semi Rev'!L87,""),"")</f>
        <v/>
      </c>
      <c r="I798" s="37">
        <f>IFERROR(IF(AND(ISNUMBER('Semi OpInc'!M87),ISNUMBER('Semi Rev'!M87),'Semi Rev'!M87&gt;0),'Semi OpInc'!M87/'Semi Rev'!M87,""),"")</f>
        <v/>
      </c>
      <c r="J798" s="37">
        <f>IFERROR(IF(AND(ISNUMBER('Semi OpInc'!N87),ISNUMBER('Semi Rev'!N87),'Semi Rev'!N87&gt;0),'Semi OpInc'!N87/'Semi Rev'!N87,""),"")</f>
        <v/>
      </c>
      <c r="K798" s="37">
        <f>IFERROR(IF(AND(ISNUMBER('Semi OpInc'!O87),ISNUMBER('Semi Rev'!O87),'Semi Rev'!O87&gt;0),'Semi OpInc'!O87/'Semi Rev'!O87,""),"")</f>
        <v/>
      </c>
      <c r="L798" s="37">
        <f>IFERROR(IF(AND(ISNUMBER('Semi OpInc'!P87),ISNUMBER('Semi Rev'!P87),'Semi Rev'!P87&gt;0),'Semi OpInc'!P87/'Semi Rev'!P87,""),"")</f>
        <v/>
      </c>
      <c r="M798" s="38">
        <f>IFERROR(IF(AND(ISNUMBER('Semi OpInc'!Q87),ISNUMBER('Semi Rev'!Q87),'Semi Rev'!Q87&gt;0),'Semi OpInc'!Q87/'Semi Rev'!Q87,""),"")</f>
        <v/>
      </c>
      <c r="N798" s="38">
        <f>IFERROR(IF(AND(ISNUMBER('Semi OpInc'!R87),ISNUMBER('Semi Rev'!R87),'Semi Rev'!R87&gt;0),'Semi OpInc'!R87/'Semi Rev'!R87,""),"")</f>
        <v/>
      </c>
    </row>
    <row r="799">
      <c r="A799" s="19">
        <f>'Semi Rev'!$A88</f>
        <v/>
      </c>
      <c r="B799" s="19">
        <f>'Semi Rev'!$B88</f>
        <v/>
      </c>
      <c r="C799" s="37">
        <f>IFERROR(IF(AND(ISNUMBER('Semi OpInc'!G88),ISNUMBER('Semi Rev'!G88),'Semi Rev'!G88&gt;0),'Semi OpInc'!G88/'Semi Rev'!G88,""),"")</f>
        <v/>
      </c>
      <c r="D799" s="37">
        <f>IFERROR(IF(AND(ISNUMBER('Semi OpInc'!H88),ISNUMBER('Semi Rev'!H88),'Semi Rev'!H88&gt;0),'Semi OpInc'!H88/'Semi Rev'!H88,""),"")</f>
        <v/>
      </c>
      <c r="E799" s="37">
        <f>IFERROR(IF(AND(ISNUMBER('Semi OpInc'!I88),ISNUMBER('Semi Rev'!I88),'Semi Rev'!I88&gt;0),'Semi OpInc'!I88/'Semi Rev'!I88,""),"")</f>
        <v/>
      </c>
      <c r="F799" s="37">
        <f>IFERROR(IF(AND(ISNUMBER('Semi OpInc'!J88),ISNUMBER('Semi Rev'!J88),'Semi Rev'!J88&gt;0),'Semi OpInc'!J88/'Semi Rev'!J88,""),"")</f>
        <v/>
      </c>
      <c r="G799" s="37">
        <f>IFERROR(IF(AND(ISNUMBER('Semi OpInc'!K88),ISNUMBER('Semi Rev'!K88),'Semi Rev'!K88&gt;0),'Semi OpInc'!K88/'Semi Rev'!K88,""),"")</f>
        <v/>
      </c>
      <c r="H799" s="37">
        <f>IFERROR(IF(AND(ISNUMBER('Semi OpInc'!L88),ISNUMBER('Semi Rev'!L88),'Semi Rev'!L88&gt;0),'Semi OpInc'!L88/'Semi Rev'!L88,""),"")</f>
        <v/>
      </c>
      <c r="I799" s="37">
        <f>IFERROR(IF(AND(ISNUMBER('Semi OpInc'!M88),ISNUMBER('Semi Rev'!M88),'Semi Rev'!M88&gt;0),'Semi OpInc'!M88/'Semi Rev'!M88,""),"")</f>
        <v/>
      </c>
      <c r="J799" s="37">
        <f>IFERROR(IF(AND(ISNUMBER('Semi OpInc'!N88),ISNUMBER('Semi Rev'!N88),'Semi Rev'!N88&gt;0),'Semi OpInc'!N88/'Semi Rev'!N88,""),"")</f>
        <v/>
      </c>
      <c r="K799" s="37">
        <f>IFERROR(IF(AND(ISNUMBER('Semi OpInc'!O88),ISNUMBER('Semi Rev'!O88),'Semi Rev'!O88&gt;0),'Semi OpInc'!O88/'Semi Rev'!O88,""),"")</f>
        <v/>
      </c>
      <c r="L799" s="37">
        <f>IFERROR(IF(AND(ISNUMBER('Semi OpInc'!P88),ISNUMBER('Semi Rev'!P88),'Semi Rev'!P88&gt;0),'Semi OpInc'!P88/'Semi Rev'!P88,""),"")</f>
        <v/>
      </c>
      <c r="M799" s="38">
        <f>IFERROR(IF(AND(ISNUMBER('Semi OpInc'!Q88),ISNUMBER('Semi Rev'!Q88),'Semi Rev'!Q88&gt;0),'Semi OpInc'!Q88/'Semi Rev'!Q88,""),"")</f>
        <v/>
      </c>
      <c r="N799" s="38">
        <f>IFERROR(IF(AND(ISNUMBER('Semi OpInc'!R88),ISNUMBER('Semi Rev'!R88),'Semi Rev'!R88&gt;0),'Semi OpInc'!R88/'Semi Rev'!R88,""),"")</f>
        <v/>
      </c>
    </row>
    <row r="800">
      <c r="A800" s="19">
        <f>'Semi Rev'!$A89</f>
        <v/>
      </c>
      <c r="B800" s="19">
        <f>'Semi Rev'!$B89</f>
        <v/>
      </c>
      <c r="C800" s="37">
        <f>IFERROR(IF(AND(ISNUMBER('Semi OpInc'!G89),ISNUMBER('Semi Rev'!G89),'Semi Rev'!G89&gt;0),'Semi OpInc'!G89/'Semi Rev'!G89,""),"")</f>
        <v/>
      </c>
      <c r="D800" s="37">
        <f>IFERROR(IF(AND(ISNUMBER('Semi OpInc'!H89),ISNUMBER('Semi Rev'!H89),'Semi Rev'!H89&gt;0),'Semi OpInc'!H89/'Semi Rev'!H89,""),"")</f>
        <v/>
      </c>
      <c r="E800" s="37">
        <f>IFERROR(IF(AND(ISNUMBER('Semi OpInc'!I89),ISNUMBER('Semi Rev'!I89),'Semi Rev'!I89&gt;0),'Semi OpInc'!I89/'Semi Rev'!I89,""),"")</f>
        <v/>
      </c>
      <c r="F800" s="37">
        <f>IFERROR(IF(AND(ISNUMBER('Semi OpInc'!J89),ISNUMBER('Semi Rev'!J89),'Semi Rev'!J89&gt;0),'Semi OpInc'!J89/'Semi Rev'!J89,""),"")</f>
        <v/>
      </c>
      <c r="G800" s="37">
        <f>IFERROR(IF(AND(ISNUMBER('Semi OpInc'!K89),ISNUMBER('Semi Rev'!K89),'Semi Rev'!K89&gt;0),'Semi OpInc'!K89/'Semi Rev'!K89,""),"")</f>
        <v/>
      </c>
      <c r="H800" s="37">
        <f>IFERROR(IF(AND(ISNUMBER('Semi OpInc'!L89),ISNUMBER('Semi Rev'!L89),'Semi Rev'!L89&gt;0),'Semi OpInc'!L89/'Semi Rev'!L89,""),"")</f>
        <v/>
      </c>
      <c r="I800" s="37">
        <f>IFERROR(IF(AND(ISNUMBER('Semi OpInc'!M89),ISNUMBER('Semi Rev'!M89),'Semi Rev'!M89&gt;0),'Semi OpInc'!M89/'Semi Rev'!M89,""),"")</f>
        <v/>
      </c>
      <c r="J800" s="37">
        <f>IFERROR(IF(AND(ISNUMBER('Semi OpInc'!N89),ISNUMBER('Semi Rev'!N89),'Semi Rev'!N89&gt;0),'Semi OpInc'!N89/'Semi Rev'!N89,""),"")</f>
        <v/>
      </c>
      <c r="K800" s="37">
        <f>IFERROR(IF(AND(ISNUMBER('Semi OpInc'!O89),ISNUMBER('Semi Rev'!O89),'Semi Rev'!O89&gt;0),'Semi OpInc'!O89/'Semi Rev'!O89,""),"")</f>
        <v/>
      </c>
      <c r="L800" s="37">
        <f>IFERROR(IF(AND(ISNUMBER('Semi OpInc'!P89),ISNUMBER('Semi Rev'!P89),'Semi Rev'!P89&gt;0),'Semi OpInc'!P89/'Semi Rev'!P89,""),"")</f>
        <v/>
      </c>
      <c r="M800" s="38">
        <f>IFERROR(IF(AND(ISNUMBER('Semi OpInc'!Q89),ISNUMBER('Semi Rev'!Q89),'Semi Rev'!Q89&gt;0),'Semi OpInc'!Q89/'Semi Rev'!Q89,""),"")</f>
        <v/>
      </c>
      <c r="N800" s="38">
        <f>IFERROR(IF(AND(ISNUMBER('Semi OpInc'!R89),ISNUMBER('Semi Rev'!R89),'Semi Rev'!R89&gt;0),'Semi OpInc'!R89/'Semi Rev'!R89,""),"")</f>
        <v/>
      </c>
    </row>
    <row r="801">
      <c r="A801" s="19">
        <f>'Semi Rev'!$A90</f>
        <v/>
      </c>
      <c r="B801" s="19">
        <f>'Semi Rev'!$B90</f>
        <v/>
      </c>
      <c r="C801" s="37">
        <f>IFERROR(IF(AND(ISNUMBER('Semi OpInc'!G90),ISNUMBER('Semi Rev'!G90),'Semi Rev'!G90&gt;0),'Semi OpInc'!G90/'Semi Rev'!G90,""),"")</f>
        <v/>
      </c>
      <c r="D801" s="37">
        <f>IFERROR(IF(AND(ISNUMBER('Semi OpInc'!H90),ISNUMBER('Semi Rev'!H90),'Semi Rev'!H90&gt;0),'Semi OpInc'!H90/'Semi Rev'!H90,""),"")</f>
        <v/>
      </c>
      <c r="E801" s="37">
        <f>IFERROR(IF(AND(ISNUMBER('Semi OpInc'!I90),ISNUMBER('Semi Rev'!I90),'Semi Rev'!I90&gt;0),'Semi OpInc'!I90/'Semi Rev'!I90,""),"")</f>
        <v/>
      </c>
      <c r="F801" s="37">
        <f>IFERROR(IF(AND(ISNUMBER('Semi OpInc'!J90),ISNUMBER('Semi Rev'!J90),'Semi Rev'!J90&gt;0),'Semi OpInc'!J90/'Semi Rev'!J90,""),"")</f>
        <v/>
      </c>
      <c r="G801" s="37">
        <f>IFERROR(IF(AND(ISNUMBER('Semi OpInc'!K90),ISNUMBER('Semi Rev'!K90),'Semi Rev'!K90&gt;0),'Semi OpInc'!K90/'Semi Rev'!K90,""),"")</f>
        <v/>
      </c>
      <c r="H801" s="37">
        <f>IFERROR(IF(AND(ISNUMBER('Semi OpInc'!L90),ISNUMBER('Semi Rev'!L90),'Semi Rev'!L90&gt;0),'Semi OpInc'!L90/'Semi Rev'!L90,""),"")</f>
        <v/>
      </c>
      <c r="I801" s="37">
        <f>IFERROR(IF(AND(ISNUMBER('Semi OpInc'!M90),ISNUMBER('Semi Rev'!M90),'Semi Rev'!M90&gt;0),'Semi OpInc'!M90/'Semi Rev'!M90,""),"")</f>
        <v/>
      </c>
      <c r="J801" s="37">
        <f>IFERROR(IF(AND(ISNUMBER('Semi OpInc'!N90),ISNUMBER('Semi Rev'!N90),'Semi Rev'!N90&gt;0),'Semi OpInc'!N90/'Semi Rev'!N90,""),"")</f>
        <v/>
      </c>
      <c r="K801" s="37">
        <f>IFERROR(IF(AND(ISNUMBER('Semi OpInc'!O90),ISNUMBER('Semi Rev'!O90),'Semi Rev'!O90&gt;0),'Semi OpInc'!O90/'Semi Rev'!O90,""),"")</f>
        <v/>
      </c>
      <c r="L801" s="37">
        <f>IFERROR(IF(AND(ISNUMBER('Semi OpInc'!P90),ISNUMBER('Semi Rev'!P90),'Semi Rev'!P90&gt;0),'Semi OpInc'!P90/'Semi Rev'!P90,""),"")</f>
        <v/>
      </c>
      <c r="M801" s="38">
        <f>IFERROR(IF(AND(ISNUMBER('Semi OpInc'!Q90),ISNUMBER('Semi Rev'!Q90),'Semi Rev'!Q90&gt;0),'Semi OpInc'!Q90/'Semi Rev'!Q90,""),"")</f>
        <v/>
      </c>
      <c r="N801" s="38">
        <f>IFERROR(IF(AND(ISNUMBER('Semi OpInc'!R90),ISNUMBER('Semi Rev'!R90),'Semi Rev'!R90&gt;0),'Semi OpInc'!R90/'Semi Rev'!R90,""),"")</f>
        <v/>
      </c>
    </row>
    <row r="802">
      <c r="A802" s="19">
        <f>'Semi Rev'!$A91</f>
        <v/>
      </c>
      <c r="B802" s="19">
        <f>'Semi Rev'!$B91</f>
        <v/>
      </c>
      <c r="C802" s="37">
        <f>IFERROR(IF(AND(ISNUMBER('Semi OpInc'!G91),ISNUMBER('Semi Rev'!G91),'Semi Rev'!G91&gt;0),'Semi OpInc'!G91/'Semi Rev'!G91,""),"")</f>
        <v/>
      </c>
      <c r="D802" s="37">
        <f>IFERROR(IF(AND(ISNUMBER('Semi OpInc'!H91),ISNUMBER('Semi Rev'!H91),'Semi Rev'!H91&gt;0),'Semi OpInc'!H91/'Semi Rev'!H91,""),"")</f>
        <v/>
      </c>
      <c r="E802" s="37">
        <f>IFERROR(IF(AND(ISNUMBER('Semi OpInc'!I91),ISNUMBER('Semi Rev'!I91),'Semi Rev'!I91&gt;0),'Semi OpInc'!I91/'Semi Rev'!I91,""),"")</f>
        <v/>
      </c>
      <c r="F802" s="37">
        <f>IFERROR(IF(AND(ISNUMBER('Semi OpInc'!J91),ISNUMBER('Semi Rev'!J91),'Semi Rev'!J91&gt;0),'Semi OpInc'!J91/'Semi Rev'!J91,""),"")</f>
        <v/>
      </c>
      <c r="G802" s="37">
        <f>IFERROR(IF(AND(ISNUMBER('Semi OpInc'!K91),ISNUMBER('Semi Rev'!K91),'Semi Rev'!K91&gt;0),'Semi OpInc'!K91/'Semi Rev'!K91,""),"")</f>
        <v/>
      </c>
      <c r="H802" s="37">
        <f>IFERROR(IF(AND(ISNUMBER('Semi OpInc'!L91),ISNUMBER('Semi Rev'!L91),'Semi Rev'!L91&gt;0),'Semi OpInc'!L91/'Semi Rev'!L91,""),"")</f>
        <v/>
      </c>
      <c r="I802" s="37">
        <f>IFERROR(IF(AND(ISNUMBER('Semi OpInc'!M91),ISNUMBER('Semi Rev'!M91),'Semi Rev'!M91&gt;0),'Semi OpInc'!M91/'Semi Rev'!M91,""),"")</f>
        <v/>
      </c>
      <c r="J802" s="37">
        <f>IFERROR(IF(AND(ISNUMBER('Semi OpInc'!N91),ISNUMBER('Semi Rev'!N91),'Semi Rev'!N91&gt;0),'Semi OpInc'!N91/'Semi Rev'!N91,""),"")</f>
        <v/>
      </c>
      <c r="K802" s="37">
        <f>IFERROR(IF(AND(ISNUMBER('Semi OpInc'!O91),ISNUMBER('Semi Rev'!O91),'Semi Rev'!O91&gt;0),'Semi OpInc'!O91/'Semi Rev'!O91,""),"")</f>
        <v/>
      </c>
      <c r="L802" s="37">
        <f>IFERROR(IF(AND(ISNUMBER('Semi OpInc'!P91),ISNUMBER('Semi Rev'!P91),'Semi Rev'!P91&gt;0),'Semi OpInc'!P91/'Semi Rev'!P91,""),"")</f>
        <v/>
      </c>
      <c r="M802" s="38">
        <f>IFERROR(IF(AND(ISNUMBER('Semi OpInc'!Q91),ISNUMBER('Semi Rev'!Q91),'Semi Rev'!Q91&gt;0),'Semi OpInc'!Q91/'Semi Rev'!Q91,""),"")</f>
        <v/>
      </c>
      <c r="N802" s="38">
        <f>IFERROR(IF(AND(ISNUMBER('Semi OpInc'!R91),ISNUMBER('Semi Rev'!R91),'Semi Rev'!R91&gt;0),'Semi OpInc'!R91/'Semi Rev'!R91,""),"")</f>
        <v/>
      </c>
    </row>
    <row r="803">
      <c r="A803" s="19">
        <f>'Semi Rev'!$A92</f>
        <v/>
      </c>
      <c r="B803" s="19">
        <f>'Semi Rev'!$B92</f>
        <v/>
      </c>
      <c r="C803" s="37">
        <f>IFERROR(IF(AND(ISNUMBER('Semi OpInc'!G92),ISNUMBER('Semi Rev'!G92),'Semi Rev'!G92&gt;0),'Semi OpInc'!G92/'Semi Rev'!G92,""),"")</f>
        <v/>
      </c>
      <c r="D803" s="37">
        <f>IFERROR(IF(AND(ISNUMBER('Semi OpInc'!H92),ISNUMBER('Semi Rev'!H92),'Semi Rev'!H92&gt;0),'Semi OpInc'!H92/'Semi Rev'!H92,""),"")</f>
        <v/>
      </c>
      <c r="E803" s="37">
        <f>IFERROR(IF(AND(ISNUMBER('Semi OpInc'!I92),ISNUMBER('Semi Rev'!I92),'Semi Rev'!I92&gt;0),'Semi OpInc'!I92/'Semi Rev'!I92,""),"")</f>
        <v/>
      </c>
      <c r="F803" s="37">
        <f>IFERROR(IF(AND(ISNUMBER('Semi OpInc'!J92),ISNUMBER('Semi Rev'!J92),'Semi Rev'!J92&gt;0),'Semi OpInc'!J92/'Semi Rev'!J92,""),"")</f>
        <v/>
      </c>
      <c r="G803" s="37">
        <f>IFERROR(IF(AND(ISNUMBER('Semi OpInc'!K92),ISNUMBER('Semi Rev'!K92),'Semi Rev'!K92&gt;0),'Semi OpInc'!K92/'Semi Rev'!K92,""),"")</f>
        <v/>
      </c>
      <c r="H803" s="37">
        <f>IFERROR(IF(AND(ISNUMBER('Semi OpInc'!L92),ISNUMBER('Semi Rev'!L92),'Semi Rev'!L92&gt;0),'Semi OpInc'!L92/'Semi Rev'!L92,""),"")</f>
        <v/>
      </c>
      <c r="I803" s="37">
        <f>IFERROR(IF(AND(ISNUMBER('Semi OpInc'!M92),ISNUMBER('Semi Rev'!M92),'Semi Rev'!M92&gt;0),'Semi OpInc'!M92/'Semi Rev'!M92,""),"")</f>
        <v/>
      </c>
      <c r="J803" s="37">
        <f>IFERROR(IF(AND(ISNUMBER('Semi OpInc'!N92),ISNUMBER('Semi Rev'!N92),'Semi Rev'!N92&gt;0),'Semi OpInc'!N92/'Semi Rev'!N92,""),"")</f>
        <v/>
      </c>
      <c r="K803" s="37">
        <f>IFERROR(IF(AND(ISNUMBER('Semi OpInc'!O92),ISNUMBER('Semi Rev'!O92),'Semi Rev'!O92&gt;0),'Semi OpInc'!O92/'Semi Rev'!O92,""),"")</f>
        <v/>
      </c>
      <c r="L803" s="37">
        <f>IFERROR(IF(AND(ISNUMBER('Semi OpInc'!P92),ISNUMBER('Semi Rev'!P92),'Semi Rev'!P92&gt;0),'Semi OpInc'!P92/'Semi Rev'!P92,""),"")</f>
        <v/>
      </c>
      <c r="M803" s="38">
        <f>IFERROR(IF(AND(ISNUMBER('Semi OpInc'!Q92),ISNUMBER('Semi Rev'!Q92),'Semi Rev'!Q92&gt;0),'Semi OpInc'!Q92/'Semi Rev'!Q92,""),"")</f>
        <v/>
      </c>
      <c r="N803" s="38">
        <f>IFERROR(IF(AND(ISNUMBER('Semi OpInc'!R92),ISNUMBER('Semi Rev'!R92),'Semi Rev'!R92&gt;0),'Semi OpInc'!R92/'Semi Rev'!R92,""),"")</f>
        <v/>
      </c>
    </row>
    <row r="804">
      <c r="A804" s="19">
        <f>'Semi Rev'!$A93</f>
        <v/>
      </c>
      <c r="B804" s="19">
        <f>'Semi Rev'!$B93</f>
        <v/>
      </c>
      <c r="C804" s="37">
        <f>IFERROR(IF(AND(ISNUMBER('Semi OpInc'!G93),ISNUMBER('Semi Rev'!G93),'Semi Rev'!G93&gt;0),'Semi OpInc'!G93/'Semi Rev'!G93,""),"")</f>
        <v/>
      </c>
      <c r="D804" s="37">
        <f>IFERROR(IF(AND(ISNUMBER('Semi OpInc'!H93),ISNUMBER('Semi Rev'!H93),'Semi Rev'!H93&gt;0),'Semi OpInc'!H93/'Semi Rev'!H93,""),"")</f>
        <v/>
      </c>
      <c r="E804" s="37">
        <f>IFERROR(IF(AND(ISNUMBER('Semi OpInc'!I93),ISNUMBER('Semi Rev'!I93),'Semi Rev'!I93&gt;0),'Semi OpInc'!I93/'Semi Rev'!I93,""),"")</f>
        <v/>
      </c>
      <c r="F804" s="37">
        <f>IFERROR(IF(AND(ISNUMBER('Semi OpInc'!J93),ISNUMBER('Semi Rev'!J93),'Semi Rev'!J93&gt;0),'Semi OpInc'!J93/'Semi Rev'!J93,""),"")</f>
        <v/>
      </c>
      <c r="G804" s="37">
        <f>IFERROR(IF(AND(ISNUMBER('Semi OpInc'!K93),ISNUMBER('Semi Rev'!K93),'Semi Rev'!K93&gt;0),'Semi OpInc'!K93/'Semi Rev'!K93,""),"")</f>
        <v/>
      </c>
      <c r="H804" s="37">
        <f>IFERROR(IF(AND(ISNUMBER('Semi OpInc'!L93),ISNUMBER('Semi Rev'!L93),'Semi Rev'!L93&gt;0),'Semi OpInc'!L93/'Semi Rev'!L93,""),"")</f>
        <v/>
      </c>
      <c r="I804" s="37">
        <f>IFERROR(IF(AND(ISNUMBER('Semi OpInc'!M93),ISNUMBER('Semi Rev'!M93),'Semi Rev'!M93&gt;0),'Semi OpInc'!M93/'Semi Rev'!M93,""),"")</f>
        <v/>
      </c>
      <c r="J804" s="37">
        <f>IFERROR(IF(AND(ISNUMBER('Semi OpInc'!N93),ISNUMBER('Semi Rev'!N93),'Semi Rev'!N93&gt;0),'Semi OpInc'!N93/'Semi Rev'!N93,""),"")</f>
        <v/>
      </c>
      <c r="K804" s="37">
        <f>IFERROR(IF(AND(ISNUMBER('Semi OpInc'!O93),ISNUMBER('Semi Rev'!O93),'Semi Rev'!O93&gt;0),'Semi OpInc'!O93/'Semi Rev'!O93,""),"")</f>
        <v/>
      </c>
      <c r="L804" s="37">
        <f>IFERROR(IF(AND(ISNUMBER('Semi OpInc'!P93),ISNUMBER('Semi Rev'!P93),'Semi Rev'!P93&gt;0),'Semi OpInc'!P93/'Semi Rev'!P93,""),"")</f>
        <v/>
      </c>
      <c r="M804" s="38">
        <f>IFERROR(IF(AND(ISNUMBER('Semi OpInc'!Q93),ISNUMBER('Semi Rev'!Q93),'Semi Rev'!Q93&gt;0),'Semi OpInc'!Q93/'Semi Rev'!Q93,""),"")</f>
        <v/>
      </c>
      <c r="N804" s="38">
        <f>IFERROR(IF(AND(ISNUMBER('Semi OpInc'!R93),ISNUMBER('Semi Rev'!R93),'Semi Rev'!R93&gt;0),'Semi OpInc'!R93/'Semi Rev'!R93,""),"")</f>
        <v/>
      </c>
    </row>
    <row r="805">
      <c r="A805" s="19">
        <f>'Semi Rev'!$A94</f>
        <v/>
      </c>
      <c r="B805" s="19">
        <f>'Semi Rev'!$B94</f>
        <v/>
      </c>
      <c r="C805" s="37">
        <f>IFERROR(IF(AND(ISNUMBER('Semi OpInc'!G94),ISNUMBER('Semi Rev'!G94),'Semi Rev'!G94&gt;0),'Semi OpInc'!G94/'Semi Rev'!G94,""),"")</f>
        <v/>
      </c>
      <c r="D805" s="37">
        <f>IFERROR(IF(AND(ISNUMBER('Semi OpInc'!H94),ISNUMBER('Semi Rev'!H94),'Semi Rev'!H94&gt;0),'Semi OpInc'!H94/'Semi Rev'!H94,""),"")</f>
        <v/>
      </c>
      <c r="E805" s="37">
        <f>IFERROR(IF(AND(ISNUMBER('Semi OpInc'!I94),ISNUMBER('Semi Rev'!I94),'Semi Rev'!I94&gt;0),'Semi OpInc'!I94/'Semi Rev'!I94,""),"")</f>
        <v/>
      </c>
      <c r="F805" s="37">
        <f>IFERROR(IF(AND(ISNUMBER('Semi OpInc'!J94),ISNUMBER('Semi Rev'!J94),'Semi Rev'!J94&gt;0),'Semi OpInc'!J94/'Semi Rev'!J94,""),"")</f>
        <v/>
      </c>
      <c r="G805" s="37">
        <f>IFERROR(IF(AND(ISNUMBER('Semi OpInc'!K94),ISNUMBER('Semi Rev'!K94),'Semi Rev'!K94&gt;0),'Semi OpInc'!K94/'Semi Rev'!K94,""),"")</f>
        <v/>
      </c>
      <c r="H805" s="37">
        <f>IFERROR(IF(AND(ISNUMBER('Semi OpInc'!L94),ISNUMBER('Semi Rev'!L94),'Semi Rev'!L94&gt;0),'Semi OpInc'!L94/'Semi Rev'!L94,""),"")</f>
        <v/>
      </c>
      <c r="I805" s="37">
        <f>IFERROR(IF(AND(ISNUMBER('Semi OpInc'!M94),ISNUMBER('Semi Rev'!M94),'Semi Rev'!M94&gt;0),'Semi OpInc'!M94/'Semi Rev'!M94,""),"")</f>
        <v/>
      </c>
      <c r="J805" s="37">
        <f>IFERROR(IF(AND(ISNUMBER('Semi OpInc'!N94),ISNUMBER('Semi Rev'!N94),'Semi Rev'!N94&gt;0),'Semi OpInc'!N94/'Semi Rev'!N94,""),"")</f>
        <v/>
      </c>
      <c r="K805" s="37">
        <f>IFERROR(IF(AND(ISNUMBER('Semi OpInc'!O94),ISNUMBER('Semi Rev'!O94),'Semi Rev'!O94&gt;0),'Semi OpInc'!O94/'Semi Rev'!O94,""),"")</f>
        <v/>
      </c>
      <c r="L805" s="37">
        <f>IFERROR(IF(AND(ISNUMBER('Semi OpInc'!P94),ISNUMBER('Semi Rev'!P94),'Semi Rev'!P94&gt;0),'Semi OpInc'!P94/'Semi Rev'!P94,""),"")</f>
        <v/>
      </c>
      <c r="M805" s="38">
        <f>IFERROR(IF(AND(ISNUMBER('Semi OpInc'!Q94),ISNUMBER('Semi Rev'!Q94),'Semi Rev'!Q94&gt;0),'Semi OpInc'!Q94/'Semi Rev'!Q94,""),"")</f>
        <v/>
      </c>
      <c r="N805" s="38">
        <f>IFERROR(IF(AND(ISNUMBER('Semi OpInc'!R94),ISNUMBER('Semi Rev'!R94),'Semi Rev'!R94&gt;0),'Semi OpInc'!R94/'Semi Rev'!R94,""),"")</f>
        <v/>
      </c>
    </row>
    <row r="806">
      <c r="A806" s="19">
        <f>'Semi Rev'!$A95</f>
        <v/>
      </c>
      <c r="B806" s="19">
        <f>'Semi Rev'!$B95</f>
        <v/>
      </c>
      <c r="C806" s="37">
        <f>IFERROR(IF(AND(ISNUMBER('Semi OpInc'!G95),ISNUMBER('Semi Rev'!G95),'Semi Rev'!G95&gt;0),'Semi OpInc'!G95/'Semi Rev'!G95,""),"")</f>
        <v/>
      </c>
      <c r="D806" s="37">
        <f>IFERROR(IF(AND(ISNUMBER('Semi OpInc'!H95),ISNUMBER('Semi Rev'!H95),'Semi Rev'!H95&gt;0),'Semi OpInc'!H95/'Semi Rev'!H95,""),"")</f>
        <v/>
      </c>
      <c r="E806" s="37">
        <f>IFERROR(IF(AND(ISNUMBER('Semi OpInc'!I95),ISNUMBER('Semi Rev'!I95),'Semi Rev'!I95&gt;0),'Semi OpInc'!I95/'Semi Rev'!I95,""),"")</f>
        <v/>
      </c>
      <c r="F806" s="37">
        <f>IFERROR(IF(AND(ISNUMBER('Semi OpInc'!J95),ISNUMBER('Semi Rev'!J95),'Semi Rev'!J95&gt;0),'Semi OpInc'!J95/'Semi Rev'!J95,""),"")</f>
        <v/>
      </c>
      <c r="G806" s="37">
        <f>IFERROR(IF(AND(ISNUMBER('Semi OpInc'!K95),ISNUMBER('Semi Rev'!K95),'Semi Rev'!K95&gt;0),'Semi OpInc'!K95/'Semi Rev'!K95,""),"")</f>
        <v/>
      </c>
      <c r="H806" s="37">
        <f>IFERROR(IF(AND(ISNUMBER('Semi OpInc'!L95),ISNUMBER('Semi Rev'!L95),'Semi Rev'!L95&gt;0),'Semi OpInc'!L95/'Semi Rev'!L95,""),"")</f>
        <v/>
      </c>
      <c r="I806" s="37">
        <f>IFERROR(IF(AND(ISNUMBER('Semi OpInc'!M95),ISNUMBER('Semi Rev'!M95),'Semi Rev'!M95&gt;0),'Semi OpInc'!M95/'Semi Rev'!M95,""),"")</f>
        <v/>
      </c>
      <c r="J806" s="37">
        <f>IFERROR(IF(AND(ISNUMBER('Semi OpInc'!N95),ISNUMBER('Semi Rev'!N95),'Semi Rev'!N95&gt;0),'Semi OpInc'!N95/'Semi Rev'!N95,""),"")</f>
        <v/>
      </c>
      <c r="K806" s="37">
        <f>IFERROR(IF(AND(ISNUMBER('Semi OpInc'!O95),ISNUMBER('Semi Rev'!O95),'Semi Rev'!O95&gt;0),'Semi OpInc'!O95/'Semi Rev'!O95,""),"")</f>
        <v/>
      </c>
      <c r="L806" s="37">
        <f>IFERROR(IF(AND(ISNUMBER('Semi OpInc'!P95),ISNUMBER('Semi Rev'!P95),'Semi Rev'!P95&gt;0),'Semi OpInc'!P95/'Semi Rev'!P95,""),"")</f>
        <v/>
      </c>
      <c r="M806" s="38">
        <f>IFERROR(IF(AND(ISNUMBER('Semi OpInc'!Q95),ISNUMBER('Semi Rev'!Q95),'Semi Rev'!Q95&gt;0),'Semi OpInc'!Q95/'Semi Rev'!Q95,""),"")</f>
        <v/>
      </c>
      <c r="N806" s="38">
        <f>IFERROR(IF(AND(ISNUMBER('Semi OpInc'!R95),ISNUMBER('Semi Rev'!R95),'Semi Rev'!R95&gt;0),'Semi OpInc'!R95/'Semi Rev'!R95,""),"")</f>
        <v/>
      </c>
    </row>
    <row r="807">
      <c r="A807" s="19">
        <f>'Semi Rev'!$A96</f>
        <v/>
      </c>
      <c r="B807" s="19">
        <f>'Semi Rev'!$B96</f>
        <v/>
      </c>
      <c r="C807" s="37">
        <f>IFERROR(IF(AND(ISNUMBER('Semi OpInc'!G96),ISNUMBER('Semi Rev'!G96),'Semi Rev'!G96&gt;0),'Semi OpInc'!G96/'Semi Rev'!G96,""),"")</f>
        <v/>
      </c>
      <c r="D807" s="37">
        <f>IFERROR(IF(AND(ISNUMBER('Semi OpInc'!H96),ISNUMBER('Semi Rev'!H96),'Semi Rev'!H96&gt;0),'Semi OpInc'!H96/'Semi Rev'!H96,""),"")</f>
        <v/>
      </c>
      <c r="E807" s="37">
        <f>IFERROR(IF(AND(ISNUMBER('Semi OpInc'!I96),ISNUMBER('Semi Rev'!I96),'Semi Rev'!I96&gt;0),'Semi OpInc'!I96/'Semi Rev'!I96,""),"")</f>
        <v/>
      </c>
      <c r="F807" s="37">
        <f>IFERROR(IF(AND(ISNUMBER('Semi OpInc'!J96),ISNUMBER('Semi Rev'!J96),'Semi Rev'!J96&gt;0),'Semi OpInc'!J96/'Semi Rev'!J96,""),"")</f>
        <v/>
      </c>
      <c r="G807" s="37">
        <f>IFERROR(IF(AND(ISNUMBER('Semi OpInc'!K96),ISNUMBER('Semi Rev'!K96),'Semi Rev'!K96&gt;0),'Semi OpInc'!K96/'Semi Rev'!K96,""),"")</f>
        <v/>
      </c>
      <c r="H807" s="37">
        <f>IFERROR(IF(AND(ISNUMBER('Semi OpInc'!L96),ISNUMBER('Semi Rev'!L96),'Semi Rev'!L96&gt;0),'Semi OpInc'!L96/'Semi Rev'!L96,""),"")</f>
        <v/>
      </c>
      <c r="I807" s="37">
        <f>IFERROR(IF(AND(ISNUMBER('Semi OpInc'!M96),ISNUMBER('Semi Rev'!M96),'Semi Rev'!M96&gt;0),'Semi OpInc'!M96/'Semi Rev'!M96,""),"")</f>
        <v/>
      </c>
      <c r="J807" s="37">
        <f>IFERROR(IF(AND(ISNUMBER('Semi OpInc'!N96),ISNUMBER('Semi Rev'!N96),'Semi Rev'!N96&gt;0),'Semi OpInc'!N96/'Semi Rev'!N96,""),"")</f>
        <v/>
      </c>
      <c r="K807" s="37">
        <f>IFERROR(IF(AND(ISNUMBER('Semi OpInc'!O96),ISNUMBER('Semi Rev'!O96),'Semi Rev'!O96&gt;0),'Semi OpInc'!O96/'Semi Rev'!O96,""),"")</f>
        <v/>
      </c>
      <c r="L807" s="37">
        <f>IFERROR(IF(AND(ISNUMBER('Semi OpInc'!P96),ISNUMBER('Semi Rev'!P96),'Semi Rev'!P96&gt;0),'Semi OpInc'!P96/'Semi Rev'!P96,""),"")</f>
        <v/>
      </c>
      <c r="M807" s="38">
        <f>IFERROR(IF(AND(ISNUMBER('Semi OpInc'!Q96),ISNUMBER('Semi Rev'!Q96),'Semi Rev'!Q96&gt;0),'Semi OpInc'!Q96/'Semi Rev'!Q96,""),"")</f>
        <v/>
      </c>
      <c r="N807" s="38">
        <f>IFERROR(IF(AND(ISNUMBER('Semi OpInc'!R96),ISNUMBER('Semi Rev'!R96),'Semi Rev'!R96&gt;0),'Semi OpInc'!R96/'Semi Rev'!R96,""),"")</f>
        <v/>
      </c>
    </row>
    <row r="808">
      <c r="A808" s="19">
        <f>'Semi Rev'!$A97</f>
        <v/>
      </c>
      <c r="B808" s="19">
        <f>'Semi Rev'!$B97</f>
        <v/>
      </c>
      <c r="C808" s="37">
        <f>IFERROR(IF(AND(ISNUMBER('Semi OpInc'!G97),ISNUMBER('Semi Rev'!G97),'Semi Rev'!G97&gt;0),'Semi OpInc'!G97/'Semi Rev'!G97,""),"")</f>
        <v/>
      </c>
      <c r="D808" s="37">
        <f>IFERROR(IF(AND(ISNUMBER('Semi OpInc'!H97),ISNUMBER('Semi Rev'!H97),'Semi Rev'!H97&gt;0),'Semi OpInc'!H97/'Semi Rev'!H97,""),"")</f>
        <v/>
      </c>
      <c r="E808" s="37">
        <f>IFERROR(IF(AND(ISNUMBER('Semi OpInc'!I97),ISNUMBER('Semi Rev'!I97),'Semi Rev'!I97&gt;0),'Semi OpInc'!I97/'Semi Rev'!I97,""),"")</f>
        <v/>
      </c>
      <c r="F808" s="37">
        <f>IFERROR(IF(AND(ISNUMBER('Semi OpInc'!J97),ISNUMBER('Semi Rev'!J97),'Semi Rev'!J97&gt;0),'Semi OpInc'!J97/'Semi Rev'!J97,""),"")</f>
        <v/>
      </c>
      <c r="G808" s="37">
        <f>IFERROR(IF(AND(ISNUMBER('Semi OpInc'!K97),ISNUMBER('Semi Rev'!K97),'Semi Rev'!K97&gt;0),'Semi OpInc'!K97/'Semi Rev'!K97,""),"")</f>
        <v/>
      </c>
      <c r="H808" s="37">
        <f>IFERROR(IF(AND(ISNUMBER('Semi OpInc'!L97),ISNUMBER('Semi Rev'!L97),'Semi Rev'!L97&gt;0),'Semi OpInc'!L97/'Semi Rev'!L97,""),"")</f>
        <v/>
      </c>
      <c r="I808" s="37">
        <f>IFERROR(IF(AND(ISNUMBER('Semi OpInc'!M97),ISNUMBER('Semi Rev'!M97),'Semi Rev'!M97&gt;0),'Semi OpInc'!M97/'Semi Rev'!M97,""),"")</f>
        <v/>
      </c>
      <c r="J808" s="37">
        <f>IFERROR(IF(AND(ISNUMBER('Semi OpInc'!N97),ISNUMBER('Semi Rev'!N97),'Semi Rev'!N97&gt;0),'Semi OpInc'!N97/'Semi Rev'!N97,""),"")</f>
        <v/>
      </c>
      <c r="K808" s="37">
        <f>IFERROR(IF(AND(ISNUMBER('Semi OpInc'!O97),ISNUMBER('Semi Rev'!O97),'Semi Rev'!O97&gt;0),'Semi OpInc'!O97/'Semi Rev'!O97,""),"")</f>
        <v/>
      </c>
      <c r="L808" s="37">
        <f>IFERROR(IF(AND(ISNUMBER('Semi OpInc'!P97),ISNUMBER('Semi Rev'!P97),'Semi Rev'!P97&gt;0),'Semi OpInc'!P97/'Semi Rev'!P97,""),"")</f>
        <v/>
      </c>
      <c r="M808" s="38">
        <f>IFERROR(IF(AND(ISNUMBER('Semi OpInc'!Q97),ISNUMBER('Semi Rev'!Q97),'Semi Rev'!Q97&gt;0),'Semi OpInc'!Q97/'Semi Rev'!Q97,""),"")</f>
        <v/>
      </c>
      <c r="N808" s="38">
        <f>IFERROR(IF(AND(ISNUMBER('Semi OpInc'!R97),ISNUMBER('Semi Rev'!R97),'Semi Rev'!R97&gt;0),'Semi OpInc'!R97/'Semi Rev'!R97,""),"")</f>
        <v/>
      </c>
    </row>
    <row r="809">
      <c r="A809" s="19">
        <f>'Semi Rev'!$A98</f>
        <v/>
      </c>
      <c r="B809" s="19">
        <f>'Semi Rev'!$B98</f>
        <v/>
      </c>
      <c r="C809" s="37">
        <f>IFERROR(IF(AND(ISNUMBER('Semi OpInc'!G98),ISNUMBER('Semi Rev'!G98),'Semi Rev'!G98&gt;0),'Semi OpInc'!G98/'Semi Rev'!G98,""),"")</f>
        <v/>
      </c>
      <c r="D809" s="37">
        <f>IFERROR(IF(AND(ISNUMBER('Semi OpInc'!H98),ISNUMBER('Semi Rev'!H98),'Semi Rev'!H98&gt;0),'Semi OpInc'!H98/'Semi Rev'!H98,""),"")</f>
        <v/>
      </c>
      <c r="E809" s="37">
        <f>IFERROR(IF(AND(ISNUMBER('Semi OpInc'!I98),ISNUMBER('Semi Rev'!I98),'Semi Rev'!I98&gt;0),'Semi OpInc'!I98/'Semi Rev'!I98,""),"")</f>
        <v/>
      </c>
      <c r="F809" s="37">
        <f>IFERROR(IF(AND(ISNUMBER('Semi OpInc'!J98),ISNUMBER('Semi Rev'!J98),'Semi Rev'!J98&gt;0),'Semi OpInc'!J98/'Semi Rev'!J98,""),"")</f>
        <v/>
      </c>
      <c r="G809" s="37">
        <f>IFERROR(IF(AND(ISNUMBER('Semi OpInc'!K98),ISNUMBER('Semi Rev'!K98),'Semi Rev'!K98&gt;0),'Semi OpInc'!K98/'Semi Rev'!K98,""),"")</f>
        <v/>
      </c>
      <c r="H809" s="37">
        <f>IFERROR(IF(AND(ISNUMBER('Semi OpInc'!L98),ISNUMBER('Semi Rev'!L98),'Semi Rev'!L98&gt;0),'Semi OpInc'!L98/'Semi Rev'!L98,""),"")</f>
        <v/>
      </c>
      <c r="I809" s="37">
        <f>IFERROR(IF(AND(ISNUMBER('Semi OpInc'!M98),ISNUMBER('Semi Rev'!M98),'Semi Rev'!M98&gt;0),'Semi OpInc'!M98/'Semi Rev'!M98,""),"")</f>
        <v/>
      </c>
      <c r="J809" s="37">
        <f>IFERROR(IF(AND(ISNUMBER('Semi OpInc'!N98),ISNUMBER('Semi Rev'!N98),'Semi Rev'!N98&gt;0),'Semi OpInc'!N98/'Semi Rev'!N98,""),"")</f>
        <v/>
      </c>
      <c r="K809" s="37">
        <f>IFERROR(IF(AND(ISNUMBER('Semi OpInc'!O98),ISNUMBER('Semi Rev'!O98),'Semi Rev'!O98&gt;0),'Semi OpInc'!O98/'Semi Rev'!O98,""),"")</f>
        <v/>
      </c>
      <c r="L809" s="37">
        <f>IFERROR(IF(AND(ISNUMBER('Semi OpInc'!P98),ISNUMBER('Semi Rev'!P98),'Semi Rev'!P98&gt;0),'Semi OpInc'!P98/'Semi Rev'!P98,""),"")</f>
        <v/>
      </c>
      <c r="M809" s="38">
        <f>IFERROR(IF(AND(ISNUMBER('Semi OpInc'!Q98),ISNUMBER('Semi Rev'!Q98),'Semi Rev'!Q98&gt;0),'Semi OpInc'!Q98/'Semi Rev'!Q98,""),"")</f>
        <v/>
      </c>
      <c r="N809" s="38">
        <f>IFERROR(IF(AND(ISNUMBER('Semi OpInc'!R98),ISNUMBER('Semi Rev'!R98),'Semi Rev'!R98&gt;0),'Semi OpInc'!R98/'Semi Rev'!R98,""),"")</f>
        <v/>
      </c>
    </row>
    <row r="810">
      <c r="A810" s="19">
        <f>'Semi Rev'!$A99</f>
        <v/>
      </c>
      <c r="B810" s="19">
        <f>'Semi Rev'!$B99</f>
        <v/>
      </c>
      <c r="C810" s="37">
        <f>IFERROR(IF(AND(ISNUMBER('Semi OpInc'!G99),ISNUMBER('Semi Rev'!G99),'Semi Rev'!G99&gt;0),'Semi OpInc'!G99/'Semi Rev'!G99,""),"")</f>
        <v/>
      </c>
      <c r="D810" s="37">
        <f>IFERROR(IF(AND(ISNUMBER('Semi OpInc'!H99),ISNUMBER('Semi Rev'!H99),'Semi Rev'!H99&gt;0),'Semi OpInc'!H99/'Semi Rev'!H99,""),"")</f>
        <v/>
      </c>
      <c r="E810" s="37">
        <f>IFERROR(IF(AND(ISNUMBER('Semi OpInc'!I99),ISNUMBER('Semi Rev'!I99),'Semi Rev'!I99&gt;0),'Semi OpInc'!I99/'Semi Rev'!I99,""),"")</f>
        <v/>
      </c>
      <c r="F810" s="37">
        <f>IFERROR(IF(AND(ISNUMBER('Semi OpInc'!J99),ISNUMBER('Semi Rev'!J99),'Semi Rev'!J99&gt;0),'Semi OpInc'!J99/'Semi Rev'!J99,""),"")</f>
        <v/>
      </c>
      <c r="G810" s="37">
        <f>IFERROR(IF(AND(ISNUMBER('Semi OpInc'!K99),ISNUMBER('Semi Rev'!K99),'Semi Rev'!K99&gt;0),'Semi OpInc'!K99/'Semi Rev'!K99,""),"")</f>
        <v/>
      </c>
      <c r="H810" s="37">
        <f>IFERROR(IF(AND(ISNUMBER('Semi OpInc'!L99),ISNUMBER('Semi Rev'!L99),'Semi Rev'!L99&gt;0),'Semi OpInc'!L99/'Semi Rev'!L99,""),"")</f>
        <v/>
      </c>
      <c r="I810" s="37">
        <f>IFERROR(IF(AND(ISNUMBER('Semi OpInc'!M99),ISNUMBER('Semi Rev'!M99),'Semi Rev'!M99&gt;0),'Semi OpInc'!M99/'Semi Rev'!M99,""),"")</f>
        <v/>
      </c>
      <c r="J810" s="37">
        <f>IFERROR(IF(AND(ISNUMBER('Semi OpInc'!N99),ISNUMBER('Semi Rev'!N99),'Semi Rev'!N99&gt;0),'Semi OpInc'!N99/'Semi Rev'!N99,""),"")</f>
        <v/>
      </c>
      <c r="K810" s="37">
        <f>IFERROR(IF(AND(ISNUMBER('Semi OpInc'!O99),ISNUMBER('Semi Rev'!O99),'Semi Rev'!O99&gt;0),'Semi OpInc'!O99/'Semi Rev'!O99,""),"")</f>
        <v/>
      </c>
      <c r="L810" s="37">
        <f>IFERROR(IF(AND(ISNUMBER('Semi OpInc'!P99),ISNUMBER('Semi Rev'!P99),'Semi Rev'!P99&gt;0),'Semi OpInc'!P99/'Semi Rev'!P99,""),"")</f>
        <v/>
      </c>
      <c r="M810" s="38">
        <f>IFERROR(IF(AND(ISNUMBER('Semi OpInc'!Q99),ISNUMBER('Semi Rev'!Q99),'Semi Rev'!Q99&gt;0),'Semi OpInc'!Q99/'Semi Rev'!Q99,""),"")</f>
        <v/>
      </c>
      <c r="N810" s="38">
        <f>IFERROR(IF(AND(ISNUMBER('Semi OpInc'!R99),ISNUMBER('Semi Rev'!R99),'Semi Rev'!R99&gt;0),'Semi OpInc'!R99/'Semi Rev'!R99,""),"")</f>
        <v/>
      </c>
    </row>
    <row r="811">
      <c r="A811" s="19">
        <f>'Semi Rev'!$A100</f>
        <v/>
      </c>
      <c r="B811" s="19">
        <f>'Semi Rev'!$B100</f>
        <v/>
      </c>
      <c r="C811" s="37">
        <f>IFERROR(IF(AND(ISNUMBER('Semi OpInc'!G100),ISNUMBER('Semi Rev'!G100),'Semi Rev'!G100&gt;0),'Semi OpInc'!G100/'Semi Rev'!G100,""),"")</f>
        <v/>
      </c>
      <c r="D811" s="37">
        <f>IFERROR(IF(AND(ISNUMBER('Semi OpInc'!H100),ISNUMBER('Semi Rev'!H100),'Semi Rev'!H100&gt;0),'Semi OpInc'!H100/'Semi Rev'!H100,""),"")</f>
        <v/>
      </c>
      <c r="E811" s="37">
        <f>IFERROR(IF(AND(ISNUMBER('Semi OpInc'!I100),ISNUMBER('Semi Rev'!I100),'Semi Rev'!I100&gt;0),'Semi OpInc'!I100/'Semi Rev'!I100,""),"")</f>
        <v/>
      </c>
      <c r="F811" s="37">
        <f>IFERROR(IF(AND(ISNUMBER('Semi OpInc'!J100),ISNUMBER('Semi Rev'!J100),'Semi Rev'!J100&gt;0),'Semi OpInc'!J100/'Semi Rev'!J100,""),"")</f>
        <v/>
      </c>
      <c r="G811" s="37">
        <f>IFERROR(IF(AND(ISNUMBER('Semi OpInc'!K100),ISNUMBER('Semi Rev'!K100),'Semi Rev'!K100&gt;0),'Semi OpInc'!K100/'Semi Rev'!K100,""),"")</f>
        <v/>
      </c>
      <c r="H811" s="37">
        <f>IFERROR(IF(AND(ISNUMBER('Semi OpInc'!L100),ISNUMBER('Semi Rev'!L100),'Semi Rev'!L100&gt;0),'Semi OpInc'!L100/'Semi Rev'!L100,""),"")</f>
        <v/>
      </c>
      <c r="I811" s="37">
        <f>IFERROR(IF(AND(ISNUMBER('Semi OpInc'!M100),ISNUMBER('Semi Rev'!M100),'Semi Rev'!M100&gt;0),'Semi OpInc'!M100/'Semi Rev'!M100,""),"")</f>
        <v/>
      </c>
      <c r="J811" s="37">
        <f>IFERROR(IF(AND(ISNUMBER('Semi OpInc'!N100),ISNUMBER('Semi Rev'!N100),'Semi Rev'!N100&gt;0),'Semi OpInc'!N100/'Semi Rev'!N100,""),"")</f>
        <v/>
      </c>
      <c r="K811" s="37">
        <f>IFERROR(IF(AND(ISNUMBER('Semi OpInc'!O100),ISNUMBER('Semi Rev'!O100),'Semi Rev'!O100&gt;0),'Semi OpInc'!O100/'Semi Rev'!O100,""),"")</f>
        <v/>
      </c>
      <c r="L811" s="37">
        <f>IFERROR(IF(AND(ISNUMBER('Semi OpInc'!P100),ISNUMBER('Semi Rev'!P100),'Semi Rev'!P100&gt;0),'Semi OpInc'!P100/'Semi Rev'!P100,""),"")</f>
        <v/>
      </c>
      <c r="M811" s="38">
        <f>IFERROR(IF(AND(ISNUMBER('Semi OpInc'!Q100),ISNUMBER('Semi Rev'!Q100),'Semi Rev'!Q100&gt;0),'Semi OpInc'!Q100/'Semi Rev'!Q100,""),"")</f>
        <v/>
      </c>
      <c r="N811" s="38">
        <f>IFERROR(IF(AND(ISNUMBER('Semi OpInc'!R100),ISNUMBER('Semi Rev'!R100),'Semi Rev'!R100&gt;0),'Semi OpInc'!R100/'Semi Rev'!R100,""),"")</f>
        <v/>
      </c>
    </row>
    <row r="812">
      <c r="A812" s="19">
        <f>'Semi Rev'!$A101</f>
        <v/>
      </c>
      <c r="B812" s="19">
        <f>'Semi Rev'!$B101</f>
        <v/>
      </c>
      <c r="C812" s="37">
        <f>IFERROR(IF(AND(ISNUMBER('Semi OpInc'!G101),ISNUMBER('Semi Rev'!G101),'Semi Rev'!G101&gt;0),'Semi OpInc'!G101/'Semi Rev'!G101,""),"")</f>
        <v/>
      </c>
      <c r="D812" s="37">
        <f>IFERROR(IF(AND(ISNUMBER('Semi OpInc'!H101),ISNUMBER('Semi Rev'!H101),'Semi Rev'!H101&gt;0),'Semi OpInc'!H101/'Semi Rev'!H101,""),"")</f>
        <v/>
      </c>
      <c r="E812" s="37">
        <f>IFERROR(IF(AND(ISNUMBER('Semi OpInc'!I101),ISNUMBER('Semi Rev'!I101),'Semi Rev'!I101&gt;0),'Semi OpInc'!I101/'Semi Rev'!I101,""),"")</f>
        <v/>
      </c>
      <c r="F812" s="37">
        <f>IFERROR(IF(AND(ISNUMBER('Semi OpInc'!J101),ISNUMBER('Semi Rev'!J101),'Semi Rev'!J101&gt;0),'Semi OpInc'!J101/'Semi Rev'!J101,""),"")</f>
        <v/>
      </c>
      <c r="G812" s="37">
        <f>IFERROR(IF(AND(ISNUMBER('Semi OpInc'!K101),ISNUMBER('Semi Rev'!K101),'Semi Rev'!K101&gt;0),'Semi OpInc'!K101/'Semi Rev'!K101,""),"")</f>
        <v/>
      </c>
      <c r="H812" s="37">
        <f>IFERROR(IF(AND(ISNUMBER('Semi OpInc'!L101),ISNUMBER('Semi Rev'!L101),'Semi Rev'!L101&gt;0),'Semi OpInc'!L101/'Semi Rev'!L101,""),"")</f>
        <v/>
      </c>
      <c r="I812" s="37">
        <f>IFERROR(IF(AND(ISNUMBER('Semi OpInc'!M101),ISNUMBER('Semi Rev'!M101),'Semi Rev'!M101&gt;0),'Semi OpInc'!M101/'Semi Rev'!M101,""),"")</f>
        <v/>
      </c>
      <c r="J812" s="37">
        <f>IFERROR(IF(AND(ISNUMBER('Semi OpInc'!N101),ISNUMBER('Semi Rev'!N101),'Semi Rev'!N101&gt;0),'Semi OpInc'!N101/'Semi Rev'!N101,""),"")</f>
        <v/>
      </c>
      <c r="K812" s="37">
        <f>IFERROR(IF(AND(ISNUMBER('Semi OpInc'!O101),ISNUMBER('Semi Rev'!O101),'Semi Rev'!O101&gt;0),'Semi OpInc'!O101/'Semi Rev'!O101,""),"")</f>
        <v/>
      </c>
      <c r="L812" s="37">
        <f>IFERROR(IF(AND(ISNUMBER('Semi OpInc'!P101),ISNUMBER('Semi Rev'!P101),'Semi Rev'!P101&gt;0),'Semi OpInc'!P101/'Semi Rev'!P101,""),"")</f>
        <v/>
      </c>
      <c r="M812" s="38">
        <f>IFERROR(IF(AND(ISNUMBER('Semi OpInc'!Q101),ISNUMBER('Semi Rev'!Q101),'Semi Rev'!Q101&gt;0),'Semi OpInc'!Q101/'Semi Rev'!Q101,""),"")</f>
        <v/>
      </c>
      <c r="N812" s="38">
        <f>IFERROR(IF(AND(ISNUMBER('Semi OpInc'!R101),ISNUMBER('Semi Rev'!R101),'Semi Rev'!R101&gt;0),'Semi OpInc'!R101/'Semi Rev'!R101,""),"")</f>
        <v/>
      </c>
    </row>
    <row r="813">
      <c r="A813" s="19">
        <f>'Semi Rev'!$A102</f>
        <v/>
      </c>
      <c r="B813" s="19">
        <f>'Semi Rev'!$B102</f>
        <v/>
      </c>
      <c r="C813" s="37">
        <f>IFERROR(IF(AND(ISNUMBER('Semi OpInc'!G102),ISNUMBER('Semi Rev'!G102),'Semi Rev'!G102&gt;0),'Semi OpInc'!G102/'Semi Rev'!G102,""),"")</f>
        <v/>
      </c>
      <c r="D813" s="37">
        <f>IFERROR(IF(AND(ISNUMBER('Semi OpInc'!H102),ISNUMBER('Semi Rev'!H102),'Semi Rev'!H102&gt;0),'Semi OpInc'!H102/'Semi Rev'!H102,""),"")</f>
        <v/>
      </c>
      <c r="E813" s="37">
        <f>IFERROR(IF(AND(ISNUMBER('Semi OpInc'!I102),ISNUMBER('Semi Rev'!I102),'Semi Rev'!I102&gt;0),'Semi OpInc'!I102/'Semi Rev'!I102,""),"")</f>
        <v/>
      </c>
      <c r="F813" s="37">
        <f>IFERROR(IF(AND(ISNUMBER('Semi OpInc'!J102),ISNUMBER('Semi Rev'!J102),'Semi Rev'!J102&gt;0),'Semi OpInc'!J102/'Semi Rev'!J102,""),"")</f>
        <v/>
      </c>
      <c r="G813" s="37">
        <f>IFERROR(IF(AND(ISNUMBER('Semi OpInc'!K102),ISNUMBER('Semi Rev'!K102),'Semi Rev'!K102&gt;0),'Semi OpInc'!K102/'Semi Rev'!K102,""),"")</f>
        <v/>
      </c>
      <c r="H813" s="37">
        <f>IFERROR(IF(AND(ISNUMBER('Semi OpInc'!L102),ISNUMBER('Semi Rev'!L102),'Semi Rev'!L102&gt;0),'Semi OpInc'!L102/'Semi Rev'!L102,""),"")</f>
        <v/>
      </c>
      <c r="I813" s="37">
        <f>IFERROR(IF(AND(ISNUMBER('Semi OpInc'!M102),ISNUMBER('Semi Rev'!M102),'Semi Rev'!M102&gt;0),'Semi OpInc'!M102/'Semi Rev'!M102,""),"")</f>
        <v/>
      </c>
      <c r="J813" s="37">
        <f>IFERROR(IF(AND(ISNUMBER('Semi OpInc'!N102),ISNUMBER('Semi Rev'!N102),'Semi Rev'!N102&gt;0),'Semi OpInc'!N102/'Semi Rev'!N102,""),"")</f>
        <v/>
      </c>
      <c r="K813" s="37">
        <f>IFERROR(IF(AND(ISNUMBER('Semi OpInc'!O102),ISNUMBER('Semi Rev'!O102),'Semi Rev'!O102&gt;0),'Semi OpInc'!O102/'Semi Rev'!O102,""),"")</f>
        <v/>
      </c>
      <c r="L813" s="37">
        <f>IFERROR(IF(AND(ISNUMBER('Semi OpInc'!P102),ISNUMBER('Semi Rev'!P102),'Semi Rev'!P102&gt;0),'Semi OpInc'!P102/'Semi Rev'!P102,""),"")</f>
        <v/>
      </c>
      <c r="M813" s="38">
        <f>IFERROR(IF(AND(ISNUMBER('Semi OpInc'!Q102),ISNUMBER('Semi Rev'!Q102),'Semi Rev'!Q102&gt;0),'Semi OpInc'!Q102/'Semi Rev'!Q102,""),"")</f>
        <v/>
      </c>
      <c r="N813" s="38">
        <f>IFERROR(IF(AND(ISNUMBER('Semi OpInc'!R102),ISNUMBER('Semi Rev'!R102),'Semi Rev'!R102&gt;0),'Semi OpInc'!R102/'Semi Rev'!R102,""),"")</f>
        <v/>
      </c>
    </row>
    <row r="814">
      <c r="A814" s="19">
        <f>'Semi Rev'!$A103</f>
        <v/>
      </c>
      <c r="B814" s="19">
        <f>'Semi Rev'!$B103</f>
        <v/>
      </c>
      <c r="C814" s="37">
        <f>IFERROR(IF(AND(ISNUMBER('Semi OpInc'!G103),ISNUMBER('Semi Rev'!G103),'Semi Rev'!G103&gt;0),'Semi OpInc'!G103/'Semi Rev'!G103,""),"")</f>
        <v/>
      </c>
      <c r="D814" s="37">
        <f>IFERROR(IF(AND(ISNUMBER('Semi OpInc'!H103),ISNUMBER('Semi Rev'!H103),'Semi Rev'!H103&gt;0),'Semi OpInc'!H103/'Semi Rev'!H103,""),"")</f>
        <v/>
      </c>
      <c r="E814" s="37">
        <f>IFERROR(IF(AND(ISNUMBER('Semi OpInc'!I103),ISNUMBER('Semi Rev'!I103),'Semi Rev'!I103&gt;0),'Semi OpInc'!I103/'Semi Rev'!I103,""),"")</f>
        <v/>
      </c>
      <c r="F814" s="37">
        <f>IFERROR(IF(AND(ISNUMBER('Semi OpInc'!J103),ISNUMBER('Semi Rev'!J103),'Semi Rev'!J103&gt;0),'Semi OpInc'!J103/'Semi Rev'!J103,""),"")</f>
        <v/>
      </c>
      <c r="G814" s="37">
        <f>IFERROR(IF(AND(ISNUMBER('Semi OpInc'!K103),ISNUMBER('Semi Rev'!K103),'Semi Rev'!K103&gt;0),'Semi OpInc'!K103/'Semi Rev'!K103,""),"")</f>
        <v/>
      </c>
      <c r="H814" s="37">
        <f>IFERROR(IF(AND(ISNUMBER('Semi OpInc'!L103),ISNUMBER('Semi Rev'!L103),'Semi Rev'!L103&gt;0),'Semi OpInc'!L103/'Semi Rev'!L103,""),"")</f>
        <v/>
      </c>
      <c r="I814" s="37">
        <f>IFERROR(IF(AND(ISNUMBER('Semi OpInc'!M103),ISNUMBER('Semi Rev'!M103),'Semi Rev'!M103&gt;0),'Semi OpInc'!M103/'Semi Rev'!M103,""),"")</f>
        <v/>
      </c>
      <c r="J814" s="37">
        <f>IFERROR(IF(AND(ISNUMBER('Semi OpInc'!N103),ISNUMBER('Semi Rev'!N103),'Semi Rev'!N103&gt;0),'Semi OpInc'!N103/'Semi Rev'!N103,""),"")</f>
        <v/>
      </c>
      <c r="K814" s="37">
        <f>IFERROR(IF(AND(ISNUMBER('Semi OpInc'!O103),ISNUMBER('Semi Rev'!O103),'Semi Rev'!O103&gt;0),'Semi OpInc'!O103/'Semi Rev'!O103,""),"")</f>
        <v/>
      </c>
      <c r="L814" s="37">
        <f>IFERROR(IF(AND(ISNUMBER('Semi OpInc'!P103),ISNUMBER('Semi Rev'!P103),'Semi Rev'!P103&gt;0),'Semi OpInc'!P103/'Semi Rev'!P103,""),"")</f>
        <v/>
      </c>
      <c r="M814" s="38">
        <f>IFERROR(IF(AND(ISNUMBER('Semi OpInc'!Q103),ISNUMBER('Semi Rev'!Q103),'Semi Rev'!Q103&gt;0),'Semi OpInc'!Q103/'Semi Rev'!Q103,""),"")</f>
        <v/>
      </c>
      <c r="N814" s="38">
        <f>IFERROR(IF(AND(ISNUMBER('Semi OpInc'!R103),ISNUMBER('Semi Rev'!R103),'Semi Rev'!R103&gt;0),'Semi OpInc'!R103/'Semi Rev'!R103,""),"")</f>
        <v/>
      </c>
    </row>
    <row r="815">
      <c r="A815" s="19">
        <f>'Semi Rev'!$A104</f>
        <v/>
      </c>
      <c r="B815" s="19">
        <f>'Semi Rev'!$B104</f>
        <v/>
      </c>
      <c r="C815" s="37">
        <f>IFERROR(IF(AND(ISNUMBER('Semi OpInc'!G104),ISNUMBER('Semi Rev'!G104),'Semi Rev'!G104&gt;0),'Semi OpInc'!G104/'Semi Rev'!G104,""),"")</f>
        <v/>
      </c>
      <c r="D815" s="37">
        <f>IFERROR(IF(AND(ISNUMBER('Semi OpInc'!H104),ISNUMBER('Semi Rev'!H104),'Semi Rev'!H104&gt;0),'Semi OpInc'!H104/'Semi Rev'!H104,""),"")</f>
        <v/>
      </c>
      <c r="E815" s="37">
        <f>IFERROR(IF(AND(ISNUMBER('Semi OpInc'!I104),ISNUMBER('Semi Rev'!I104),'Semi Rev'!I104&gt;0),'Semi OpInc'!I104/'Semi Rev'!I104,""),"")</f>
        <v/>
      </c>
      <c r="F815" s="37">
        <f>IFERROR(IF(AND(ISNUMBER('Semi OpInc'!J104),ISNUMBER('Semi Rev'!J104),'Semi Rev'!J104&gt;0),'Semi OpInc'!J104/'Semi Rev'!J104,""),"")</f>
        <v/>
      </c>
      <c r="G815" s="37">
        <f>IFERROR(IF(AND(ISNUMBER('Semi OpInc'!K104),ISNUMBER('Semi Rev'!K104),'Semi Rev'!K104&gt;0),'Semi OpInc'!K104/'Semi Rev'!K104,""),"")</f>
        <v/>
      </c>
      <c r="H815" s="37">
        <f>IFERROR(IF(AND(ISNUMBER('Semi OpInc'!L104),ISNUMBER('Semi Rev'!L104),'Semi Rev'!L104&gt;0),'Semi OpInc'!L104/'Semi Rev'!L104,""),"")</f>
        <v/>
      </c>
      <c r="I815" s="37">
        <f>IFERROR(IF(AND(ISNUMBER('Semi OpInc'!M104),ISNUMBER('Semi Rev'!M104),'Semi Rev'!M104&gt;0),'Semi OpInc'!M104/'Semi Rev'!M104,""),"")</f>
        <v/>
      </c>
      <c r="J815" s="37">
        <f>IFERROR(IF(AND(ISNUMBER('Semi OpInc'!N104),ISNUMBER('Semi Rev'!N104),'Semi Rev'!N104&gt;0),'Semi OpInc'!N104/'Semi Rev'!N104,""),"")</f>
        <v/>
      </c>
      <c r="K815" s="37">
        <f>IFERROR(IF(AND(ISNUMBER('Semi OpInc'!O104),ISNUMBER('Semi Rev'!O104),'Semi Rev'!O104&gt;0),'Semi OpInc'!O104/'Semi Rev'!O104,""),"")</f>
        <v/>
      </c>
      <c r="L815" s="37">
        <f>IFERROR(IF(AND(ISNUMBER('Semi OpInc'!P104),ISNUMBER('Semi Rev'!P104),'Semi Rev'!P104&gt;0),'Semi OpInc'!P104/'Semi Rev'!P104,""),"")</f>
        <v/>
      </c>
      <c r="M815" s="38">
        <f>IFERROR(IF(AND(ISNUMBER('Semi OpInc'!Q104),ISNUMBER('Semi Rev'!Q104),'Semi Rev'!Q104&gt;0),'Semi OpInc'!Q104/'Semi Rev'!Q104,""),"")</f>
        <v/>
      </c>
      <c r="N815" s="38">
        <f>IFERROR(IF(AND(ISNUMBER('Semi OpInc'!R104),ISNUMBER('Semi Rev'!R104),'Semi Rev'!R104&gt;0),'Semi OpInc'!R104/'Semi Rev'!R104,""),"")</f>
        <v/>
      </c>
    </row>
    <row r="816">
      <c r="A816" s="19">
        <f>'Semi Rev'!$A105</f>
        <v/>
      </c>
      <c r="B816" s="19">
        <f>'Semi Rev'!$B105</f>
        <v/>
      </c>
      <c r="C816" s="37">
        <f>IFERROR(IF(AND(ISNUMBER('Semi OpInc'!G105),ISNUMBER('Semi Rev'!G105),'Semi Rev'!G105&gt;0),'Semi OpInc'!G105/'Semi Rev'!G105,""),"")</f>
        <v/>
      </c>
      <c r="D816" s="37">
        <f>IFERROR(IF(AND(ISNUMBER('Semi OpInc'!H105),ISNUMBER('Semi Rev'!H105),'Semi Rev'!H105&gt;0),'Semi OpInc'!H105/'Semi Rev'!H105,""),"")</f>
        <v/>
      </c>
      <c r="E816" s="37">
        <f>IFERROR(IF(AND(ISNUMBER('Semi OpInc'!I105),ISNUMBER('Semi Rev'!I105),'Semi Rev'!I105&gt;0),'Semi OpInc'!I105/'Semi Rev'!I105,""),"")</f>
        <v/>
      </c>
      <c r="F816" s="37">
        <f>IFERROR(IF(AND(ISNUMBER('Semi OpInc'!J105),ISNUMBER('Semi Rev'!J105),'Semi Rev'!J105&gt;0),'Semi OpInc'!J105/'Semi Rev'!J105,""),"")</f>
        <v/>
      </c>
      <c r="G816" s="37">
        <f>IFERROR(IF(AND(ISNUMBER('Semi OpInc'!K105),ISNUMBER('Semi Rev'!K105),'Semi Rev'!K105&gt;0),'Semi OpInc'!K105/'Semi Rev'!K105,""),"")</f>
        <v/>
      </c>
      <c r="H816" s="37">
        <f>IFERROR(IF(AND(ISNUMBER('Semi OpInc'!L105),ISNUMBER('Semi Rev'!L105),'Semi Rev'!L105&gt;0),'Semi OpInc'!L105/'Semi Rev'!L105,""),"")</f>
        <v/>
      </c>
      <c r="I816" s="37">
        <f>IFERROR(IF(AND(ISNUMBER('Semi OpInc'!M105),ISNUMBER('Semi Rev'!M105),'Semi Rev'!M105&gt;0),'Semi OpInc'!M105/'Semi Rev'!M105,""),"")</f>
        <v/>
      </c>
      <c r="J816" s="37">
        <f>IFERROR(IF(AND(ISNUMBER('Semi OpInc'!N105),ISNUMBER('Semi Rev'!N105),'Semi Rev'!N105&gt;0),'Semi OpInc'!N105/'Semi Rev'!N105,""),"")</f>
        <v/>
      </c>
      <c r="K816" s="37">
        <f>IFERROR(IF(AND(ISNUMBER('Semi OpInc'!O105),ISNUMBER('Semi Rev'!O105),'Semi Rev'!O105&gt;0),'Semi OpInc'!O105/'Semi Rev'!O105,""),"")</f>
        <v/>
      </c>
      <c r="L816" s="37">
        <f>IFERROR(IF(AND(ISNUMBER('Semi OpInc'!P105),ISNUMBER('Semi Rev'!P105),'Semi Rev'!P105&gt;0),'Semi OpInc'!P105/'Semi Rev'!P105,""),"")</f>
        <v/>
      </c>
      <c r="M816" s="38">
        <f>IFERROR(IF(AND(ISNUMBER('Semi OpInc'!Q105),ISNUMBER('Semi Rev'!Q105),'Semi Rev'!Q105&gt;0),'Semi OpInc'!Q105/'Semi Rev'!Q105,""),"")</f>
        <v/>
      </c>
      <c r="N816" s="38">
        <f>IFERROR(IF(AND(ISNUMBER('Semi OpInc'!R105),ISNUMBER('Semi Rev'!R105),'Semi Rev'!R105&gt;0),'Semi OpInc'!R105/'Semi Rev'!R105,""),"")</f>
        <v/>
      </c>
    </row>
    <row r="817">
      <c r="A817" s="19">
        <f>'Semi Rev'!$A106</f>
        <v/>
      </c>
      <c r="B817" s="19">
        <f>'Semi Rev'!$B106</f>
        <v/>
      </c>
      <c r="C817" s="37">
        <f>IFERROR(IF(AND(ISNUMBER('Semi OpInc'!G106),ISNUMBER('Semi Rev'!G106),'Semi Rev'!G106&gt;0),'Semi OpInc'!G106/'Semi Rev'!G106,""),"")</f>
        <v/>
      </c>
      <c r="D817" s="37">
        <f>IFERROR(IF(AND(ISNUMBER('Semi OpInc'!H106),ISNUMBER('Semi Rev'!H106),'Semi Rev'!H106&gt;0),'Semi OpInc'!H106/'Semi Rev'!H106,""),"")</f>
        <v/>
      </c>
      <c r="E817" s="37">
        <f>IFERROR(IF(AND(ISNUMBER('Semi OpInc'!I106),ISNUMBER('Semi Rev'!I106),'Semi Rev'!I106&gt;0),'Semi OpInc'!I106/'Semi Rev'!I106,""),"")</f>
        <v/>
      </c>
      <c r="F817" s="37">
        <f>IFERROR(IF(AND(ISNUMBER('Semi OpInc'!J106),ISNUMBER('Semi Rev'!J106),'Semi Rev'!J106&gt;0),'Semi OpInc'!J106/'Semi Rev'!J106,""),"")</f>
        <v/>
      </c>
      <c r="G817" s="37">
        <f>IFERROR(IF(AND(ISNUMBER('Semi OpInc'!K106),ISNUMBER('Semi Rev'!K106),'Semi Rev'!K106&gt;0),'Semi OpInc'!K106/'Semi Rev'!K106,""),"")</f>
        <v/>
      </c>
      <c r="H817" s="37">
        <f>IFERROR(IF(AND(ISNUMBER('Semi OpInc'!L106),ISNUMBER('Semi Rev'!L106),'Semi Rev'!L106&gt;0),'Semi OpInc'!L106/'Semi Rev'!L106,""),"")</f>
        <v/>
      </c>
      <c r="I817" s="37">
        <f>IFERROR(IF(AND(ISNUMBER('Semi OpInc'!M106),ISNUMBER('Semi Rev'!M106),'Semi Rev'!M106&gt;0),'Semi OpInc'!M106/'Semi Rev'!M106,""),"")</f>
        <v/>
      </c>
      <c r="J817" s="37">
        <f>IFERROR(IF(AND(ISNUMBER('Semi OpInc'!N106),ISNUMBER('Semi Rev'!N106),'Semi Rev'!N106&gt;0),'Semi OpInc'!N106/'Semi Rev'!N106,""),"")</f>
        <v/>
      </c>
      <c r="K817" s="37">
        <f>IFERROR(IF(AND(ISNUMBER('Semi OpInc'!O106),ISNUMBER('Semi Rev'!O106),'Semi Rev'!O106&gt;0),'Semi OpInc'!O106/'Semi Rev'!O106,""),"")</f>
        <v/>
      </c>
      <c r="L817" s="37">
        <f>IFERROR(IF(AND(ISNUMBER('Semi OpInc'!P106),ISNUMBER('Semi Rev'!P106),'Semi Rev'!P106&gt;0),'Semi OpInc'!P106/'Semi Rev'!P106,""),"")</f>
        <v/>
      </c>
      <c r="M817" s="38">
        <f>IFERROR(IF(AND(ISNUMBER('Semi OpInc'!Q106),ISNUMBER('Semi Rev'!Q106),'Semi Rev'!Q106&gt;0),'Semi OpInc'!Q106/'Semi Rev'!Q106,""),"")</f>
        <v/>
      </c>
      <c r="N817" s="38">
        <f>IFERROR(IF(AND(ISNUMBER('Semi OpInc'!R106),ISNUMBER('Semi Rev'!R106),'Semi Rev'!R106&gt;0),'Semi OpInc'!R106/'Semi Rev'!R106,""),"")</f>
        <v/>
      </c>
    </row>
    <row r="818">
      <c r="A818" s="19">
        <f>'Semi Rev'!$A107</f>
        <v/>
      </c>
      <c r="B818" s="19">
        <f>'Semi Rev'!$B107</f>
        <v/>
      </c>
      <c r="C818" s="37">
        <f>IFERROR(IF(AND(ISNUMBER('Semi OpInc'!G107),ISNUMBER('Semi Rev'!G107),'Semi Rev'!G107&gt;0),'Semi OpInc'!G107/'Semi Rev'!G107,""),"")</f>
        <v/>
      </c>
      <c r="D818" s="37">
        <f>IFERROR(IF(AND(ISNUMBER('Semi OpInc'!H107),ISNUMBER('Semi Rev'!H107),'Semi Rev'!H107&gt;0),'Semi OpInc'!H107/'Semi Rev'!H107,""),"")</f>
        <v/>
      </c>
      <c r="E818" s="37">
        <f>IFERROR(IF(AND(ISNUMBER('Semi OpInc'!I107),ISNUMBER('Semi Rev'!I107),'Semi Rev'!I107&gt;0),'Semi OpInc'!I107/'Semi Rev'!I107,""),"")</f>
        <v/>
      </c>
      <c r="F818" s="37">
        <f>IFERROR(IF(AND(ISNUMBER('Semi OpInc'!J107),ISNUMBER('Semi Rev'!J107),'Semi Rev'!J107&gt;0),'Semi OpInc'!J107/'Semi Rev'!J107,""),"")</f>
        <v/>
      </c>
      <c r="G818" s="37">
        <f>IFERROR(IF(AND(ISNUMBER('Semi OpInc'!K107),ISNUMBER('Semi Rev'!K107),'Semi Rev'!K107&gt;0),'Semi OpInc'!K107/'Semi Rev'!K107,""),"")</f>
        <v/>
      </c>
      <c r="H818" s="37">
        <f>IFERROR(IF(AND(ISNUMBER('Semi OpInc'!L107),ISNUMBER('Semi Rev'!L107),'Semi Rev'!L107&gt;0),'Semi OpInc'!L107/'Semi Rev'!L107,""),"")</f>
        <v/>
      </c>
      <c r="I818" s="37">
        <f>IFERROR(IF(AND(ISNUMBER('Semi OpInc'!M107),ISNUMBER('Semi Rev'!M107),'Semi Rev'!M107&gt;0),'Semi OpInc'!M107/'Semi Rev'!M107,""),"")</f>
        <v/>
      </c>
      <c r="J818" s="37">
        <f>IFERROR(IF(AND(ISNUMBER('Semi OpInc'!N107),ISNUMBER('Semi Rev'!N107),'Semi Rev'!N107&gt;0),'Semi OpInc'!N107/'Semi Rev'!N107,""),"")</f>
        <v/>
      </c>
      <c r="K818" s="37">
        <f>IFERROR(IF(AND(ISNUMBER('Semi OpInc'!O107),ISNUMBER('Semi Rev'!O107),'Semi Rev'!O107&gt;0),'Semi OpInc'!O107/'Semi Rev'!O107,""),"")</f>
        <v/>
      </c>
      <c r="L818" s="37">
        <f>IFERROR(IF(AND(ISNUMBER('Semi OpInc'!P107),ISNUMBER('Semi Rev'!P107),'Semi Rev'!P107&gt;0),'Semi OpInc'!P107/'Semi Rev'!P107,""),"")</f>
        <v/>
      </c>
      <c r="M818" s="38">
        <f>IFERROR(IF(AND(ISNUMBER('Semi OpInc'!Q107),ISNUMBER('Semi Rev'!Q107),'Semi Rev'!Q107&gt;0),'Semi OpInc'!Q107/'Semi Rev'!Q107,""),"")</f>
        <v/>
      </c>
      <c r="N818" s="38">
        <f>IFERROR(IF(AND(ISNUMBER('Semi OpInc'!R107),ISNUMBER('Semi Rev'!R107),'Semi Rev'!R107&gt;0),'Semi OpInc'!R107/'Semi Rev'!R107,""),"")</f>
        <v/>
      </c>
    </row>
    <row r="819">
      <c r="A819" s="19">
        <f>'Semi Rev'!$A108</f>
        <v/>
      </c>
      <c r="B819" s="19">
        <f>'Semi Rev'!$B108</f>
        <v/>
      </c>
      <c r="C819" s="37">
        <f>IFERROR(IF(AND(ISNUMBER('Semi OpInc'!G108),ISNUMBER('Semi Rev'!G108),'Semi Rev'!G108&gt;0),'Semi OpInc'!G108/'Semi Rev'!G108,""),"")</f>
        <v/>
      </c>
      <c r="D819" s="37">
        <f>IFERROR(IF(AND(ISNUMBER('Semi OpInc'!H108),ISNUMBER('Semi Rev'!H108),'Semi Rev'!H108&gt;0),'Semi OpInc'!H108/'Semi Rev'!H108,""),"")</f>
        <v/>
      </c>
      <c r="E819" s="37">
        <f>IFERROR(IF(AND(ISNUMBER('Semi OpInc'!I108),ISNUMBER('Semi Rev'!I108),'Semi Rev'!I108&gt;0),'Semi OpInc'!I108/'Semi Rev'!I108,""),"")</f>
        <v/>
      </c>
      <c r="F819" s="37">
        <f>IFERROR(IF(AND(ISNUMBER('Semi OpInc'!J108),ISNUMBER('Semi Rev'!J108),'Semi Rev'!J108&gt;0),'Semi OpInc'!J108/'Semi Rev'!J108,""),"")</f>
        <v/>
      </c>
      <c r="G819" s="37">
        <f>IFERROR(IF(AND(ISNUMBER('Semi OpInc'!K108),ISNUMBER('Semi Rev'!K108),'Semi Rev'!K108&gt;0),'Semi OpInc'!K108/'Semi Rev'!K108,""),"")</f>
        <v/>
      </c>
      <c r="H819" s="37">
        <f>IFERROR(IF(AND(ISNUMBER('Semi OpInc'!L108),ISNUMBER('Semi Rev'!L108),'Semi Rev'!L108&gt;0),'Semi OpInc'!L108/'Semi Rev'!L108,""),"")</f>
        <v/>
      </c>
      <c r="I819" s="37">
        <f>IFERROR(IF(AND(ISNUMBER('Semi OpInc'!M108),ISNUMBER('Semi Rev'!M108),'Semi Rev'!M108&gt;0),'Semi OpInc'!M108/'Semi Rev'!M108,""),"")</f>
        <v/>
      </c>
      <c r="J819" s="37">
        <f>IFERROR(IF(AND(ISNUMBER('Semi OpInc'!N108),ISNUMBER('Semi Rev'!N108),'Semi Rev'!N108&gt;0),'Semi OpInc'!N108/'Semi Rev'!N108,""),"")</f>
        <v/>
      </c>
      <c r="K819" s="37">
        <f>IFERROR(IF(AND(ISNUMBER('Semi OpInc'!O108),ISNUMBER('Semi Rev'!O108),'Semi Rev'!O108&gt;0),'Semi OpInc'!O108/'Semi Rev'!O108,""),"")</f>
        <v/>
      </c>
      <c r="L819" s="37">
        <f>IFERROR(IF(AND(ISNUMBER('Semi OpInc'!P108),ISNUMBER('Semi Rev'!P108),'Semi Rev'!P108&gt;0),'Semi OpInc'!P108/'Semi Rev'!P108,""),"")</f>
        <v/>
      </c>
      <c r="M819" s="38">
        <f>IFERROR(IF(AND(ISNUMBER('Semi OpInc'!Q108),ISNUMBER('Semi Rev'!Q108),'Semi Rev'!Q108&gt;0),'Semi OpInc'!Q108/'Semi Rev'!Q108,""),"")</f>
        <v/>
      </c>
      <c r="N819" s="38">
        <f>IFERROR(IF(AND(ISNUMBER('Semi OpInc'!R108),ISNUMBER('Semi Rev'!R108),'Semi Rev'!R108&gt;0),'Semi OpInc'!R108/'Semi Rev'!R108,""),"")</f>
        <v/>
      </c>
    </row>
    <row r="820">
      <c r="A820" s="19">
        <f>'Semi Rev'!$A109</f>
        <v/>
      </c>
      <c r="B820" s="19">
        <f>'Semi Rev'!$B109</f>
        <v/>
      </c>
      <c r="C820" s="37">
        <f>IFERROR(IF(AND(ISNUMBER('Semi OpInc'!G109),ISNUMBER('Semi Rev'!G109),'Semi Rev'!G109&gt;0),'Semi OpInc'!G109/'Semi Rev'!G109,""),"")</f>
        <v/>
      </c>
      <c r="D820" s="37">
        <f>IFERROR(IF(AND(ISNUMBER('Semi OpInc'!H109),ISNUMBER('Semi Rev'!H109),'Semi Rev'!H109&gt;0),'Semi OpInc'!H109/'Semi Rev'!H109,""),"")</f>
        <v/>
      </c>
      <c r="E820" s="37">
        <f>IFERROR(IF(AND(ISNUMBER('Semi OpInc'!I109),ISNUMBER('Semi Rev'!I109),'Semi Rev'!I109&gt;0),'Semi OpInc'!I109/'Semi Rev'!I109,""),"")</f>
        <v/>
      </c>
      <c r="F820" s="37">
        <f>IFERROR(IF(AND(ISNUMBER('Semi OpInc'!J109),ISNUMBER('Semi Rev'!J109),'Semi Rev'!J109&gt;0),'Semi OpInc'!J109/'Semi Rev'!J109,""),"")</f>
        <v/>
      </c>
      <c r="G820" s="37">
        <f>IFERROR(IF(AND(ISNUMBER('Semi OpInc'!K109),ISNUMBER('Semi Rev'!K109),'Semi Rev'!K109&gt;0),'Semi OpInc'!K109/'Semi Rev'!K109,""),"")</f>
        <v/>
      </c>
      <c r="H820" s="37">
        <f>IFERROR(IF(AND(ISNUMBER('Semi OpInc'!L109),ISNUMBER('Semi Rev'!L109),'Semi Rev'!L109&gt;0),'Semi OpInc'!L109/'Semi Rev'!L109,""),"")</f>
        <v/>
      </c>
      <c r="I820" s="37">
        <f>IFERROR(IF(AND(ISNUMBER('Semi OpInc'!M109),ISNUMBER('Semi Rev'!M109),'Semi Rev'!M109&gt;0),'Semi OpInc'!M109/'Semi Rev'!M109,""),"")</f>
        <v/>
      </c>
      <c r="J820" s="37">
        <f>IFERROR(IF(AND(ISNUMBER('Semi OpInc'!N109),ISNUMBER('Semi Rev'!N109),'Semi Rev'!N109&gt;0),'Semi OpInc'!N109/'Semi Rev'!N109,""),"")</f>
        <v/>
      </c>
      <c r="K820" s="37">
        <f>IFERROR(IF(AND(ISNUMBER('Semi OpInc'!O109),ISNUMBER('Semi Rev'!O109),'Semi Rev'!O109&gt;0),'Semi OpInc'!O109/'Semi Rev'!O109,""),"")</f>
        <v/>
      </c>
      <c r="L820" s="37">
        <f>IFERROR(IF(AND(ISNUMBER('Semi OpInc'!P109),ISNUMBER('Semi Rev'!P109),'Semi Rev'!P109&gt;0),'Semi OpInc'!P109/'Semi Rev'!P109,""),"")</f>
        <v/>
      </c>
      <c r="M820" s="38">
        <f>IFERROR(IF(AND(ISNUMBER('Semi OpInc'!Q109),ISNUMBER('Semi Rev'!Q109),'Semi Rev'!Q109&gt;0),'Semi OpInc'!Q109/'Semi Rev'!Q109,""),"")</f>
        <v/>
      </c>
      <c r="N820" s="38">
        <f>IFERROR(IF(AND(ISNUMBER('Semi OpInc'!R109),ISNUMBER('Semi Rev'!R109),'Semi Rev'!R109&gt;0),'Semi OpInc'!R109/'Semi Rev'!R109,""),"")</f>
        <v/>
      </c>
    </row>
    <row r="821">
      <c r="A821" s="19">
        <f>'Semi Rev'!$A110</f>
        <v/>
      </c>
      <c r="B821" s="19">
        <f>'Semi Rev'!$B110</f>
        <v/>
      </c>
      <c r="C821" s="37">
        <f>IFERROR(IF(AND(ISNUMBER('Semi OpInc'!G110),ISNUMBER('Semi Rev'!G110),'Semi Rev'!G110&gt;0),'Semi OpInc'!G110/'Semi Rev'!G110,""),"")</f>
        <v/>
      </c>
      <c r="D821" s="37">
        <f>IFERROR(IF(AND(ISNUMBER('Semi OpInc'!H110),ISNUMBER('Semi Rev'!H110),'Semi Rev'!H110&gt;0),'Semi OpInc'!H110/'Semi Rev'!H110,""),"")</f>
        <v/>
      </c>
      <c r="E821" s="37">
        <f>IFERROR(IF(AND(ISNUMBER('Semi OpInc'!I110),ISNUMBER('Semi Rev'!I110),'Semi Rev'!I110&gt;0),'Semi OpInc'!I110/'Semi Rev'!I110,""),"")</f>
        <v/>
      </c>
      <c r="F821" s="37">
        <f>IFERROR(IF(AND(ISNUMBER('Semi OpInc'!J110),ISNUMBER('Semi Rev'!J110),'Semi Rev'!J110&gt;0),'Semi OpInc'!J110/'Semi Rev'!J110,""),"")</f>
        <v/>
      </c>
      <c r="G821" s="37">
        <f>IFERROR(IF(AND(ISNUMBER('Semi OpInc'!K110),ISNUMBER('Semi Rev'!K110),'Semi Rev'!K110&gt;0),'Semi OpInc'!K110/'Semi Rev'!K110,""),"")</f>
        <v/>
      </c>
      <c r="H821" s="37">
        <f>IFERROR(IF(AND(ISNUMBER('Semi OpInc'!L110),ISNUMBER('Semi Rev'!L110),'Semi Rev'!L110&gt;0),'Semi OpInc'!L110/'Semi Rev'!L110,""),"")</f>
        <v/>
      </c>
      <c r="I821" s="37">
        <f>IFERROR(IF(AND(ISNUMBER('Semi OpInc'!M110),ISNUMBER('Semi Rev'!M110),'Semi Rev'!M110&gt;0),'Semi OpInc'!M110/'Semi Rev'!M110,""),"")</f>
        <v/>
      </c>
      <c r="J821" s="37">
        <f>IFERROR(IF(AND(ISNUMBER('Semi OpInc'!N110),ISNUMBER('Semi Rev'!N110),'Semi Rev'!N110&gt;0),'Semi OpInc'!N110/'Semi Rev'!N110,""),"")</f>
        <v/>
      </c>
      <c r="K821" s="37">
        <f>IFERROR(IF(AND(ISNUMBER('Semi OpInc'!O110),ISNUMBER('Semi Rev'!O110),'Semi Rev'!O110&gt;0),'Semi OpInc'!O110/'Semi Rev'!O110,""),"")</f>
        <v/>
      </c>
      <c r="L821" s="37">
        <f>IFERROR(IF(AND(ISNUMBER('Semi OpInc'!P110),ISNUMBER('Semi Rev'!P110),'Semi Rev'!P110&gt;0),'Semi OpInc'!P110/'Semi Rev'!P110,""),"")</f>
        <v/>
      </c>
      <c r="M821" s="38">
        <f>IFERROR(IF(AND(ISNUMBER('Semi OpInc'!Q110),ISNUMBER('Semi Rev'!Q110),'Semi Rev'!Q110&gt;0),'Semi OpInc'!Q110/'Semi Rev'!Q110,""),"")</f>
        <v/>
      </c>
      <c r="N821" s="38">
        <f>IFERROR(IF(AND(ISNUMBER('Semi OpInc'!R110),ISNUMBER('Semi Rev'!R110),'Semi Rev'!R110&gt;0),'Semi OpInc'!R110/'Semi Rev'!R110,""),"")</f>
        <v/>
      </c>
    </row>
    <row r="822">
      <c r="A822" s="19">
        <f>'Semi Rev'!$A111</f>
        <v/>
      </c>
      <c r="B822" s="19">
        <f>'Semi Rev'!$B111</f>
        <v/>
      </c>
      <c r="C822" s="37">
        <f>IFERROR(IF(AND(ISNUMBER('Semi OpInc'!G111),ISNUMBER('Semi Rev'!G111),'Semi Rev'!G111&gt;0),'Semi OpInc'!G111/'Semi Rev'!G111,""),"")</f>
        <v/>
      </c>
      <c r="D822" s="37">
        <f>IFERROR(IF(AND(ISNUMBER('Semi OpInc'!H111),ISNUMBER('Semi Rev'!H111),'Semi Rev'!H111&gt;0),'Semi OpInc'!H111/'Semi Rev'!H111,""),"")</f>
        <v/>
      </c>
      <c r="E822" s="37">
        <f>IFERROR(IF(AND(ISNUMBER('Semi OpInc'!I111),ISNUMBER('Semi Rev'!I111),'Semi Rev'!I111&gt;0),'Semi OpInc'!I111/'Semi Rev'!I111,""),"")</f>
        <v/>
      </c>
      <c r="F822" s="37">
        <f>IFERROR(IF(AND(ISNUMBER('Semi OpInc'!J111),ISNUMBER('Semi Rev'!J111),'Semi Rev'!J111&gt;0),'Semi OpInc'!J111/'Semi Rev'!J111,""),"")</f>
        <v/>
      </c>
      <c r="G822" s="37">
        <f>IFERROR(IF(AND(ISNUMBER('Semi OpInc'!K111),ISNUMBER('Semi Rev'!K111),'Semi Rev'!K111&gt;0),'Semi OpInc'!K111/'Semi Rev'!K111,""),"")</f>
        <v/>
      </c>
      <c r="H822" s="37">
        <f>IFERROR(IF(AND(ISNUMBER('Semi OpInc'!L111),ISNUMBER('Semi Rev'!L111),'Semi Rev'!L111&gt;0),'Semi OpInc'!L111/'Semi Rev'!L111,""),"")</f>
        <v/>
      </c>
      <c r="I822" s="37">
        <f>IFERROR(IF(AND(ISNUMBER('Semi OpInc'!M111),ISNUMBER('Semi Rev'!M111),'Semi Rev'!M111&gt;0),'Semi OpInc'!M111/'Semi Rev'!M111,""),"")</f>
        <v/>
      </c>
      <c r="J822" s="37">
        <f>IFERROR(IF(AND(ISNUMBER('Semi OpInc'!N111),ISNUMBER('Semi Rev'!N111),'Semi Rev'!N111&gt;0),'Semi OpInc'!N111/'Semi Rev'!N111,""),"")</f>
        <v/>
      </c>
      <c r="K822" s="37">
        <f>IFERROR(IF(AND(ISNUMBER('Semi OpInc'!O111),ISNUMBER('Semi Rev'!O111),'Semi Rev'!O111&gt;0),'Semi OpInc'!O111/'Semi Rev'!O111,""),"")</f>
        <v/>
      </c>
      <c r="L822" s="37">
        <f>IFERROR(IF(AND(ISNUMBER('Semi OpInc'!P111),ISNUMBER('Semi Rev'!P111),'Semi Rev'!P111&gt;0),'Semi OpInc'!P111/'Semi Rev'!P111,""),"")</f>
        <v/>
      </c>
      <c r="M822" s="38">
        <f>IFERROR(IF(AND(ISNUMBER('Semi OpInc'!Q111),ISNUMBER('Semi Rev'!Q111),'Semi Rev'!Q111&gt;0),'Semi OpInc'!Q111/'Semi Rev'!Q111,""),"")</f>
        <v/>
      </c>
      <c r="N822" s="38">
        <f>IFERROR(IF(AND(ISNUMBER('Semi OpInc'!R111),ISNUMBER('Semi Rev'!R111),'Semi Rev'!R111&gt;0),'Semi OpInc'!R111/'Semi Rev'!R111,""),"")</f>
        <v/>
      </c>
    </row>
    <row r="823">
      <c r="A823" s="19">
        <f>'Semi Rev'!$A112</f>
        <v/>
      </c>
      <c r="B823" s="19">
        <f>'Semi Rev'!$B112</f>
        <v/>
      </c>
      <c r="C823" s="37">
        <f>IFERROR(IF(AND(ISNUMBER('Semi OpInc'!G112),ISNUMBER('Semi Rev'!G112),'Semi Rev'!G112&gt;0),'Semi OpInc'!G112/'Semi Rev'!G112,""),"")</f>
        <v/>
      </c>
      <c r="D823" s="37">
        <f>IFERROR(IF(AND(ISNUMBER('Semi OpInc'!H112),ISNUMBER('Semi Rev'!H112),'Semi Rev'!H112&gt;0),'Semi OpInc'!H112/'Semi Rev'!H112,""),"")</f>
        <v/>
      </c>
      <c r="E823" s="37">
        <f>IFERROR(IF(AND(ISNUMBER('Semi OpInc'!I112),ISNUMBER('Semi Rev'!I112),'Semi Rev'!I112&gt;0),'Semi OpInc'!I112/'Semi Rev'!I112,""),"")</f>
        <v/>
      </c>
      <c r="F823" s="37">
        <f>IFERROR(IF(AND(ISNUMBER('Semi OpInc'!J112),ISNUMBER('Semi Rev'!J112),'Semi Rev'!J112&gt;0),'Semi OpInc'!J112/'Semi Rev'!J112,""),"")</f>
        <v/>
      </c>
      <c r="G823" s="37">
        <f>IFERROR(IF(AND(ISNUMBER('Semi OpInc'!K112),ISNUMBER('Semi Rev'!K112),'Semi Rev'!K112&gt;0),'Semi OpInc'!K112/'Semi Rev'!K112,""),"")</f>
        <v/>
      </c>
      <c r="H823" s="37">
        <f>IFERROR(IF(AND(ISNUMBER('Semi OpInc'!L112),ISNUMBER('Semi Rev'!L112),'Semi Rev'!L112&gt;0),'Semi OpInc'!L112/'Semi Rev'!L112,""),"")</f>
        <v/>
      </c>
      <c r="I823" s="37">
        <f>IFERROR(IF(AND(ISNUMBER('Semi OpInc'!M112),ISNUMBER('Semi Rev'!M112),'Semi Rev'!M112&gt;0),'Semi OpInc'!M112/'Semi Rev'!M112,""),"")</f>
        <v/>
      </c>
      <c r="J823" s="37">
        <f>IFERROR(IF(AND(ISNUMBER('Semi OpInc'!N112),ISNUMBER('Semi Rev'!N112),'Semi Rev'!N112&gt;0),'Semi OpInc'!N112/'Semi Rev'!N112,""),"")</f>
        <v/>
      </c>
      <c r="K823" s="37">
        <f>IFERROR(IF(AND(ISNUMBER('Semi OpInc'!O112),ISNUMBER('Semi Rev'!O112),'Semi Rev'!O112&gt;0),'Semi OpInc'!O112/'Semi Rev'!O112,""),"")</f>
        <v/>
      </c>
      <c r="L823" s="37">
        <f>IFERROR(IF(AND(ISNUMBER('Semi OpInc'!P112),ISNUMBER('Semi Rev'!P112),'Semi Rev'!P112&gt;0),'Semi OpInc'!P112/'Semi Rev'!P112,""),"")</f>
        <v/>
      </c>
      <c r="M823" s="38">
        <f>IFERROR(IF(AND(ISNUMBER('Semi OpInc'!Q112),ISNUMBER('Semi Rev'!Q112),'Semi Rev'!Q112&gt;0),'Semi OpInc'!Q112/'Semi Rev'!Q112,""),"")</f>
        <v/>
      </c>
      <c r="N823" s="38">
        <f>IFERROR(IF(AND(ISNUMBER('Semi OpInc'!R112),ISNUMBER('Semi Rev'!R112),'Semi Rev'!R112&gt;0),'Semi OpInc'!R112/'Semi Rev'!R112,""),"")</f>
        <v/>
      </c>
    </row>
    <row r="824">
      <c r="A824" s="19">
        <f>'Semi Rev'!$A113</f>
        <v/>
      </c>
      <c r="B824" s="19">
        <f>'Semi Rev'!$B113</f>
        <v/>
      </c>
      <c r="C824" s="37">
        <f>IFERROR(IF(AND(ISNUMBER('Semi OpInc'!G113),ISNUMBER('Semi Rev'!G113),'Semi Rev'!G113&gt;0),'Semi OpInc'!G113/'Semi Rev'!G113,""),"")</f>
        <v/>
      </c>
      <c r="D824" s="37">
        <f>IFERROR(IF(AND(ISNUMBER('Semi OpInc'!H113),ISNUMBER('Semi Rev'!H113),'Semi Rev'!H113&gt;0),'Semi OpInc'!H113/'Semi Rev'!H113,""),"")</f>
        <v/>
      </c>
      <c r="E824" s="37">
        <f>IFERROR(IF(AND(ISNUMBER('Semi OpInc'!I113),ISNUMBER('Semi Rev'!I113),'Semi Rev'!I113&gt;0),'Semi OpInc'!I113/'Semi Rev'!I113,""),"")</f>
        <v/>
      </c>
      <c r="F824" s="37">
        <f>IFERROR(IF(AND(ISNUMBER('Semi OpInc'!J113),ISNUMBER('Semi Rev'!J113),'Semi Rev'!J113&gt;0),'Semi OpInc'!J113/'Semi Rev'!J113,""),"")</f>
        <v/>
      </c>
      <c r="G824" s="37">
        <f>IFERROR(IF(AND(ISNUMBER('Semi OpInc'!K113),ISNUMBER('Semi Rev'!K113),'Semi Rev'!K113&gt;0),'Semi OpInc'!K113/'Semi Rev'!K113,""),"")</f>
        <v/>
      </c>
      <c r="H824" s="37">
        <f>IFERROR(IF(AND(ISNUMBER('Semi OpInc'!L113),ISNUMBER('Semi Rev'!L113),'Semi Rev'!L113&gt;0),'Semi OpInc'!L113/'Semi Rev'!L113,""),"")</f>
        <v/>
      </c>
      <c r="I824" s="37">
        <f>IFERROR(IF(AND(ISNUMBER('Semi OpInc'!M113),ISNUMBER('Semi Rev'!M113),'Semi Rev'!M113&gt;0),'Semi OpInc'!M113/'Semi Rev'!M113,""),"")</f>
        <v/>
      </c>
      <c r="J824" s="37">
        <f>IFERROR(IF(AND(ISNUMBER('Semi OpInc'!N113),ISNUMBER('Semi Rev'!N113),'Semi Rev'!N113&gt;0),'Semi OpInc'!N113/'Semi Rev'!N113,""),"")</f>
        <v/>
      </c>
      <c r="K824" s="37">
        <f>IFERROR(IF(AND(ISNUMBER('Semi OpInc'!O113),ISNUMBER('Semi Rev'!O113),'Semi Rev'!O113&gt;0),'Semi OpInc'!O113/'Semi Rev'!O113,""),"")</f>
        <v/>
      </c>
      <c r="L824" s="37">
        <f>IFERROR(IF(AND(ISNUMBER('Semi OpInc'!P113),ISNUMBER('Semi Rev'!P113),'Semi Rev'!P113&gt;0),'Semi OpInc'!P113/'Semi Rev'!P113,""),"")</f>
        <v/>
      </c>
      <c r="M824" s="38">
        <f>IFERROR(IF(AND(ISNUMBER('Semi OpInc'!Q113),ISNUMBER('Semi Rev'!Q113),'Semi Rev'!Q113&gt;0),'Semi OpInc'!Q113/'Semi Rev'!Q113,""),"")</f>
        <v/>
      </c>
      <c r="N824" s="38">
        <f>IFERROR(IF(AND(ISNUMBER('Semi OpInc'!R113),ISNUMBER('Semi Rev'!R113),'Semi Rev'!R113&gt;0),'Semi OpInc'!R113/'Semi Rev'!R113,""),"")</f>
        <v/>
      </c>
    </row>
    <row r="825">
      <c r="A825" s="19">
        <f>'Semi Rev'!$A114</f>
        <v/>
      </c>
      <c r="B825" s="19">
        <f>'Semi Rev'!$B114</f>
        <v/>
      </c>
      <c r="C825" s="37">
        <f>IFERROR(IF(AND(ISNUMBER('Semi OpInc'!G114),ISNUMBER('Semi Rev'!G114),'Semi Rev'!G114&gt;0),'Semi OpInc'!G114/'Semi Rev'!G114,""),"")</f>
        <v/>
      </c>
      <c r="D825" s="37">
        <f>IFERROR(IF(AND(ISNUMBER('Semi OpInc'!H114),ISNUMBER('Semi Rev'!H114),'Semi Rev'!H114&gt;0),'Semi OpInc'!H114/'Semi Rev'!H114,""),"")</f>
        <v/>
      </c>
      <c r="E825" s="37">
        <f>IFERROR(IF(AND(ISNUMBER('Semi OpInc'!I114),ISNUMBER('Semi Rev'!I114),'Semi Rev'!I114&gt;0),'Semi OpInc'!I114/'Semi Rev'!I114,""),"")</f>
        <v/>
      </c>
      <c r="F825" s="37">
        <f>IFERROR(IF(AND(ISNUMBER('Semi OpInc'!J114),ISNUMBER('Semi Rev'!J114),'Semi Rev'!J114&gt;0),'Semi OpInc'!J114/'Semi Rev'!J114,""),"")</f>
        <v/>
      </c>
      <c r="G825" s="37">
        <f>IFERROR(IF(AND(ISNUMBER('Semi OpInc'!K114),ISNUMBER('Semi Rev'!K114),'Semi Rev'!K114&gt;0),'Semi OpInc'!K114/'Semi Rev'!K114,""),"")</f>
        <v/>
      </c>
      <c r="H825" s="37">
        <f>IFERROR(IF(AND(ISNUMBER('Semi OpInc'!L114),ISNUMBER('Semi Rev'!L114),'Semi Rev'!L114&gt;0),'Semi OpInc'!L114/'Semi Rev'!L114,""),"")</f>
        <v/>
      </c>
      <c r="I825" s="37">
        <f>IFERROR(IF(AND(ISNUMBER('Semi OpInc'!M114),ISNUMBER('Semi Rev'!M114),'Semi Rev'!M114&gt;0),'Semi OpInc'!M114/'Semi Rev'!M114,""),"")</f>
        <v/>
      </c>
      <c r="J825" s="37">
        <f>IFERROR(IF(AND(ISNUMBER('Semi OpInc'!N114),ISNUMBER('Semi Rev'!N114),'Semi Rev'!N114&gt;0),'Semi OpInc'!N114/'Semi Rev'!N114,""),"")</f>
        <v/>
      </c>
      <c r="K825" s="37">
        <f>IFERROR(IF(AND(ISNUMBER('Semi OpInc'!O114),ISNUMBER('Semi Rev'!O114),'Semi Rev'!O114&gt;0),'Semi OpInc'!O114/'Semi Rev'!O114,""),"")</f>
        <v/>
      </c>
      <c r="L825" s="37">
        <f>IFERROR(IF(AND(ISNUMBER('Semi OpInc'!P114),ISNUMBER('Semi Rev'!P114),'Semi Rev'!P114&gt;0),'Semi OpInc'!P114/'Semi Rev'!P114,""),"")</f>
        <v/>
      </c>
      <c r="M825" s="38">
        <f>IFERROR(IF(AND(ISNUMBER('Semi OpInc'!Q114),ISNUMBER('Semi Rev'!Q114),'Semi Rev'!Q114&gt;0),'Semi OpInc'!Q114/'Semi Rev'!Q114,""),"")</f>
        <v/>
      </c>
      <c r="N825" s="38">
        <f>IFERROR(IF(AND(ISNUMBER('Semi OpInc'!R114),ISNUMBER('Semi Rev'!R114),'Semi Rev'!R114&gt;0),'Semi OpInc'!R114/'Semi Rev'!R114,""),"")</f>
        <v/>
      </c>
    </row>
    <row r="826">
      <c r="A826" s="19">
        <f>'Semi Rev'!$A115</f>
        <v/>
      </c>
      <c r="B826" s="19">
        <f>'Semi Rev'!$B115</f>
        <v/>
      </c>
      <c r="C826" s="37">
        <f>IFERROR(IF(AND(ISNUMBER('Semi OpInc'!G115),ISNUMBER('Semi Rev'!G115),'Semi Rev'!G115&gt;0),'Semi OpInc'!G115/'Semi Rev'!G115,""),"")</f>
        <v/>
      </c>
      <c r="D826" s="37">
        <f>IFERROR(IF(AND(ISNUMBER('Semi OpInc'!H115),ISNUMBER('Semi Rev'!H115),'Semi Rev'!H115&gt;0),'Semi OpInc'!H115/'Semi Rev'!H115,""),"")</f>
        <v/>
      </c>
      <c r="E826" s="37">
        <f>IFERROR(IF(AND(ISNUMBER('Semi OpInc'!I115),ISNUMBER('Semi Rev'!I115),'Semi Rev'!I115&gt;0),'Semi OpInc'!I115/'Semi Rev'!I115,""),"")</f>
        <v/>
      </c>
      <c r="F826" s="37">
        <f>IFERROR(IF(AND(ISNUMBER('Semi OpInc'!J115),ISNUMBER('Semi Rev'!J115),'Semi Rev'!J115&gt;0),'Semi OpInc'!J115/'Semi Rev'!J115,""),"")</f>
        <v/>
      </c>
      <c r="G826" s="37">
        <f>IFERROR(IF(AND(ISNUMBER('Semi OpInc'!K115),ISNUMBER('Semi Rev'!K115),'Semi Rev'!K115&gt;0),'Semi OpInc'!K115/'Semi Rev'!K115,""),"")</f>
        <v/>
      </c>
      <c r="H826" s="37">
        <f>IFERROR(IF(AND(ISNUMBER('Semi OpInc'!L115),ISNUMBER('Semi Rev'!L115),'Semi Rev'!L115&gt;0),'Semi OpInc'!L115/'Semi Rev'!L115,""),"")</f>
        <v/>
      </c>
      <c r="I826" s="37">
        <f>IFERROR(IF(AND(ISNUMBER('Semi OpInc'!M115),ISNUMBER('Semi Rev'!M115),'Semi Rev'!M115&gt;0),'Semi OpInc'!M115/'Semi Rev'!M115,""),"")</f>
        <v/>
      </c>
      <c r="J826" s="37">
        <f>IFERROR(IF(AND(ISNUMBER('Semi OpInc'!N115),ISNUMBER('Semi Rev'!N115),'Semi Rev'!N115&gt;0),'Semi OpInc'!N115/'Semi Rev'!N115,""),"")</f>
        <v/>
      </c>
      <c r="K826" s="37">
        <f>IFERROR(IF(AND(ISNUMBER('Semi OpInc'!O115),ISNUMBER('Semi Rev'!O115),'Semi Rev'!O115&gt;0),'Semi OpInc'!O115/'Semi Rev'!O115,""),"")</f>
        <v/>
      </c>
      <c r="L826" s="37">
        <f>IFERROR(IF(AND(ISNUMBER('Semi OpInc'!P115),ISNUMBER('Semi Rev'!P115),'Semi Rev'!P115&gt;0),'Semi OpInc'!P115/'Semi Rev'!P115,""),"")</f>
        <v/>
      </c>
      <c r="M826" s="38">
        <f>IFERROR(IF(AND(ISNUMBER('Semi OpInc'!Q115),ISNUMBER('Semi Rev'!Q115),'Semi Rev'!Q115&gt;0),'Semi OpInc'!Q115/'Semi Rev'!Q115,""),"")</f>
        <v/>
      </c>
      <c r="N826" s="38">
        <f>IFERROR(IF(AND(ISNUMBER('Semi OpInc'!R115),ISNUMBER('Semi Rev'!R115),'Semi Rev'!R115&gt;0),'Semi OpInc'!R115/'Semi Rev'!R115,""),"")</f>
        <v/>
      </c>
    </row>
    <row r="827">
      <c r="A827" s="19">
        <f>'Semi Rev'!$A116</f>
        <v/>
      </c>
      <c r="B827" s="19">
        <f>'Semi Rev'!$B116</f>
        <v/>
      </c>
      <c r="C827" s="37">
        <f>IFERROR(IF(AND(ISNUMBER('Semi OpInc'!G116),ISNUMBER('Semi Rev'!G116),'Semi Rev'!G116&gt;0),'Semi OpInc'!G116/'Semi Rev'!G116,""),"")</f>
        <v/>
      </c>
      <c r="D827" s="37">
        <f>IFERROR(IF(AND(ISNUMBER('Semi OpInc'!H116),ISNUMBER('Semi Rev'!H116),'Semi Rev'!H116&gt;0),'Semi OpInc'!H116/'Semi Rev'!H116,""),"")</f>
        <v/>
      </c>
      <c r="E827" s="37">
        <f>IFERROR(IF(AND(ISNUMBER('Semi OpInc'!I116),ISNUMBER('Semi Rev'!I116),'Semi Rev'!I116&gt;0),'Semi OpInc'!I116/'Semi Rev'!I116,""),"")</f>
        <v/>
      </c>
      <c r="F827" s="37">
        <f>IFERROR(IF(AND(ISNUMBER('Semi OpInc'!J116),ISNUMBER('Semi Rev'!J116),'Semi Rev'!J116&gt;0),'Semi OpInc'!J116/'Semi Rev'!J116,""),"")</f>
        <v/>
      </c>
      <c r="G827" s="37">
        <f>IFERROR(IF(AND(ISNUMBER('Semi OpInc'!K116),ISNUMBER('Semi Rev'!K116),'Semi Rev'!K116&gt;0),'Semi OpInc'!K116/'Semi Rev'!K116,""),"")</f>
        <v/>
      </c>
      <c r="H827" s="37">
        <f>IFERROR(IF(AND(ISNUMBER('Semi OpInc'!L116),ISNUMBER('Semi Rev'!L116),'Semi Rev'!L116&gt;0),'Semi OpInc'!L116/'Semi Rev'!L116,""),"")</f>
        <v/>
      </c>
      <c r="I827" s="37">
        <f>IFERROR(IF(AND(ISNUMBER('Semi OpInc'!M116),ISNUMBER('Semi Rev'!M116),'Semi Rev'!M116&gt;0),'Semi OpInc'!M116/'Semi Rev'!M116,""),"")</f>
        <v/>
      </c>
      <c r="J827" s="37">
        <f>IFERROR(IF(AND(ISNUMBER('Semi OpInc'!N116),ISNUMBER('Semi Rev'!N116),'Semi Rev'!N116&gt;0),'Semi OpInc'!N116/'Semi Rev'!N116,""),"")</f>
        <v/>
      </c>
      <c r="K827" s="37">
        <f>IFERROR(IF(AND(ISNUMBER('Semi OpInc'!O116),ISNUMBER('Semi Rev'!O116),'Semi Rev'!O116&gt;0),'Semi OpInc'!O116/'Semi Rev'!O116,""),"")</f>
        <v/>
      </c>
      <c r="L827" s="37">
        <f>IFERROR(IF(AND(ISNUMBER('Semi OpInc'!P116),ISNUMBER('Semi Rev'!P116),'Semi Rev'!P116&gt;0),'Semi OpInc'!P116/'Semi Rev'!P116,""),"")</f>
        <v/>
      </c>
      <c r="M827" s="38">
        <f>IFERROR(IF(AND(ISNUMBER('Semi OpInc'!Q116),ISNUMBER('Semi Rev'!Q116),'Semi Rev'!Q116&gt;0),'Semi OpInc'!Q116/'Semi Rev'!Q116,""),"")</f>
        <v/>
      </c>
      <c r="N827" s="38">
        <f>IFERROR(IF(AND(ISNUMBER('Semi OpInc'!R116),ISNUMBER('Semi Rev'!R116),'Semi Rev'!R116&gt;0),'Semi OpInc'!R116/'Semi Rev'!R116,""),"")</f>
        <v/>
      </c>
    </row>
    <row r="828">
      <c r="A828" s="19">
        <f>'Semi Rev'!$A117</f>
        <v/>
      </c>
      <c r="B828" s="19">
        <f>'Semi Rev'!$B117</f>
        <v/>
      </c>
      <c r="C828" s="37">
        <f>IFERROR(IF(AND(ISNUMBER('Semi OpInc'!G117),ISNUMBER('Semi Rev'!G117),'Semi Rev'!G117&gt;0),'Semi OpInc'!G117/'Semi Rev'!G117,""),"")</f>
        <v/>
      </c>
      <c r="D828" s="37">
        <f>IFERROR(IF(AND(ISNUMBER('Semi OpInc'!H117),ISNUMBER('Semi Rev'!H117),'Semi Rev'!H117&gt;0),'Semi OpInc'!H117/'Semi Rev'!H117,""),"")</f>
        <v/>
      </c>
      <c r="E828" s="37">
        <f>IFERROR(IF(AND(ISNUMBER('Semi OpInc'!I117),ISNUMBER('Semi Rev'!I117),'Semi Rev'!I117&gt;0),'Semi OpInc'!I117/'Semi Rev'!I117,""),"")</f>
        <v/>
      </c>
      <c r="F828" s="37">
        <f>IFERROR(IF(AND(ISNUMBER('Semi OpInc'!J117),ISNUMBER('Semi Rev'!J117),'Semi Rev'!J117&gt;0),'Semi OpInc'!J117/'Semi Rev'!J117,""),"")</f>
        <v/>
      </c>
      <c r="G828" s="37">
        <f>IFERROR(IF(AND(ISNUMBER('Semi OpInc'!K117),ISNUMBER('Semi Rev'!K117),'Semi Rev'!K117&gt;0),'Semi OpInc'!K117/'Semi Rev'!K117,""),"")</f>
        <v/>
      </c>
      <c r="H828" s="37">
        <f>IFERROR(IF(AND(ISNUMBER('Semi OpInc'!L117),ISNUMBER('Semi Rev'!L117),'Semi Rev'!L117&gt;0),'Semi OpInc'!L117/'Semi Rev'!L117,""),"")</f>
        <v/>
      </c>
      <c r="I828" s="37">
        <f>IFERROR(IF(AND(ISNUMBER('Semi OpInc'!M117),ISNUMBER('Semi Rev'!M117),'Semi Rev'!M117&gt;0),'Semi OpInc'!M117/'Semi Rev'!M117,""),"")</f>
        <v/>
      </c>
      <c r="J828" s="37">
        <f>IFERROR(IF(AND(ISNUMBER('Semi OpInc'!N117),ISNUMBER('Semi Rev'!N117),'Semi Rev'!N117&gt;0),'Semi OpInc'!N117/'Semi Rev'!N117,""),"")</f>
        <v/>
      </c>
      <c r="K828" s="37">
        <f>IFERROR(IF(AND(ISNUMBER('Semi OpInc'!O117),ISNUMBER('Semi Rev'!O117),'Semi Rev'!O117&gt;0),'Semi OpInc'!O117/'Semi Rev'!O117,""),"")</f>
        <v/>
      </c>
      <c r="L828" s="37">
        <f>IFERROR(IF(AND(ISNUMBER('Semi OpInc'!P117),ISNUMBER('Semi Rev'!P117),'Semi Rev'!P117&gt;0),'Semi OpInc'!P117/'Semi Rev'!P117,""),"")</f>
        <v/>
      </c>
      <c r="M828" s="38">
        <f>IFERROR(IF(AND(ISNUMBER('Semi OpInc'!Q117),ISNUMBER('Semi Rev'!Q117),'Semi Rev'!Q117&gt;0),'Semi OpInc'!Q117/'Semi Rev'!Q117,""),"")</f>
        <v/>
      </c>
      <c r="N828" s="38">
        <f>IFERROR(IF(AND(ISNUMBER('Semi OpInc'!R117),ISNUMBER('Semi Rev'!R117),'Semi Rev'!R117&gt;0),'Semi OpInc'!R117/'Semi Rev'!R117,""),"")</f>
        <v/>
      </c>
    </row>
    <row r="829">
      <c r="A829" s="19">
        <f>'Semi Rev'!$A118</f>
        <v/>
      </c>
      <c r="B829" s="19">
        <f>'Semi Rev'!$B118</f>
        <v/>
      </c>
      <c r="C829" s="37">
        <f>IFERROR(IF(AND(ISNUMBER('Semi OpInc'!G118),ISNUMBER('Semi Rev'!G118),'Semi Rev'!G118&gt;0),'Semi OpInc'!G118/'Semi Rev'!G118,""),"")</f>
        <v/>
      </c>
      <c r="D829" s="37">
        <f>IFERROR(IF(AND(ISNUMBER('Semi OpInc'!H118),ISNUMBER('Semi Rev'!H118),'Semi Rev'!H118&gt;0),'Semi OpInc'!H118/'Semi Rev'!H118,""),"")</f>
        <v/>
      </c>
      <c r="E829" s="37">
        <f>IFERROR(IF(AND(ISNUMBER('Semi OpInc'!I118),ISNUMBER('Semi Rev'!I118),'Semi Rev'!I118&gt;0),'Semi OpInc'!I118/'Semi Rev'!I118,""),"")</f>
        <v/>
      </c>
      <c r="F829" s="37">
        <f>IFERROR(IF(AND(ISNUMBER('Semi OpInc'!J118),ISNUMBER('Semi Rev'!J118),'Semi Rev'!J118&gt;0),'Semi OpInc'!J118/'Semi Rev'!J118,""),"")</f>
        <v/>
      </c>
      <c r="G829" s="37">
        <f>IFERROR(IF(AND(ISNUMBER('Semi OpInc'!K118),ISNUMBER('Semi Rev'!K118),'Semi Rev'!K118&gt;0),'Semi OpInc'!K118/'Semi Rev'!K118,""),"")</f>
        <v/>
      </c>
      <c r="H829" s="37">
        <f>IFERROR(IF(AND(ISNUMBER('Semi OpInc'!L118),ISNUMBER('Semi Rev'!L118),'Semi Rev'!L118&gt;0),'Semi OpInc'!L118/'Semi Rev'!L118,""),"")</f>
        <v/>
      </c>
      <c r="I829" s="37">
        <f>IFERROR(IF(AND(ISNUMBER('Semi OpInc'!M118),ISNUMBER('Semi Rev'!M118),'Semi Rev'!M118&gt;0),'Semi OpInc'!M118/'Semi Rev'!M118,""),"")</f>
        <v/>
      </c>
      <c r="J829" s="37">
        <f>IFERROR(IF(AND(ISNUMBER('Semi OpInc'!N118),ISNUMBER('Semi Rev'!N118),'Semi Rev'!N118&gt;0),'Semi OpInc'!N118/'Semi Rev'!N118,""),"")</f>
        <v/>
      </c>
      <c r="K829" s="37">
        <f>IFERROR(IF(AND(ISNUMBER('Semi OpInc'!O118),ISNUMBER('Semi Rev'!O118),'Semi Rev'!O118&gt;0),'Semi OpInc'!O118/'Semi Rev'!O118,""),"")</f>
        <v/>
      </c>
      <c r="L829" s="37">
        <f>IFERROR(IF(AND(ISNUMBER('Semi OpInc'!P118),ISNUMBER('Semi Rev'!P118),'Semi Rev'!P118&gt;0),'Semi OpInc'!P118/'Semi Rev'!P118,""),"")</f>
        <v/>
      </c>
      <c r="M829" s="38">
        <f>IFERROR(IF(AND(ISNUMBER('Semi OpInc'!Q118),ISNUMBER('Semi Rev'!Q118),'Semi Rev'!Q118&gt;0),'Semi OpInc'!Q118/'Semi Rev'!Q118,""),"")</f>
        <v/>
      </c>
      <c r="N829" s="38">
        <f>IFERROR(IF(AND(ISNUMBER('Semi OpInc'!R118),ISNUMBER('Semi Rev'!R118),'Semi Rev'!R118&gt;0),'Semi OpInc'!R118/'Semi Rev'!R118,""),"")</f>
        <v/>
      </c>
    </row>
    <row r="830">
      <c r="A830" s="19">
        <f>'Semi Rev'!$A119</f>
        <v/>
      </c>
      <c r="B830" s="19">
        <f>'Semi Rev'!$B119</f>
        <v/>
      </c>
      <c r="C830" s="37">
        <f>IFERROR(IF(AND(ISNUMBER('Semi OpInc'!G119),ISNUMBER('Semi Rev'!G119),'Semi Rev'!G119&gt;0),'Semi OpInc'!G119/'Semi Rev'!G119,""),"")</f>
        <v/>
      </c>
      <c r="D830" s="37">
        <f>IFERROR(IF(AND(ISNUMBER('Semi OpInc'!H119),ISNUMBER('Semi Rev'!H119),'Semi Rev'!H119&gt;0),'Semi OpInc'!H119/'Semi Rev'!H119,""),"")</f>
        <v/>
      </c>
      <c r="E830" s="37">
        <f>IFERROR(IF(AND(ISNUMBER('Semi OpInc'!I119),ISNUMBER('Semi Rev'!I119),'Semi Rev'!I119&gt;0),'Semi OpInc'!I119/'Semi Rev'!I119,""),"")</f>
        <v/>
      </c>
      <c r="F830" s="37">
        <f>IFERROR(IF(AND(ISNUMBER('Semi OpInc'!J119),ISNUMBER('Semi Rev'!J119),'Semi Rev'!J119&gt;0),'Semi OpInc'!J119/'Semi Rev'!J119,""),"")</f>
        <v/>
      </c>
      <c r="G830" s="37">
        <f>IFERROR(IF(AND(ISNUMBER('Semi OpInc'!K119),ISNUMBER('Semi Rev'!K119),'Semi Rev'!K119&gt;0),'Semi OpInc'!K119/'Semi Rev'!K119,""),"")</f>
        <v/>
      </c>
      <c r="H830" s="37">
        <f>IFERROR(IF(AND(ISNUMBER('Semi OpInc'!L119),ISNUMBER('Semi Rev'!L119),'Semi Rev'!L119&gt;0),'Semi OpInc'!L119/'Semi Rev'!L119,""),"")</f>
        <v/>
      </c>
      <c r="I830" s="37">
        <f>IFERROR(IF(AND(ISNUMBER('Semi OpInc'!M119),ISNUMBER('Semi Rev'!M119),'Semi Rev'!M119&gt;0),'Semi OpInc'!M119/'Semi Rev'!M119,""),"")</f>
        <v/>
      </c>
      <c r="J830" s="37">
        <f>IFERROR(IF(AND(ISNUMBER('Semi OpInc'!N119),ISNUMBER('Semi Rev'!N119),'Semi Rev'!N119&gt;0),'Semi OpInc'!N119/'Semi Rev'!N119,""),"")</f>
        <v/>
      </c>
      <c r="K830" s="37">
        <f>IFERROR(IF(AND(ISNUMBER('Semi OpInc'!O119),ISNUMBER('Semi Rev'!O119),'Semi Rev'!O119&gt;0),'Semi OpInc'!O119/'Semi Rev'!O119,""),"")</f>
        <v/>
      </c>
      <c r="L830" s="37">
        <f>IFERROR(IF(AND(ISNUMBER('Semi OpInc'!P119),ISNUMBER('Semi Rev'!P119),'Semi Rev'!P119&gt;0),'Semi OpInc'!P119/'Semi Rev'!P119,""),"")</f>
        <v/>
      </c>
      <c r="M830" s="38">
        <f>IFERROR(IF(AND(ISNUMBER('Semi OpInc'!Q119),ISNUMBER('Semi Rev'!Q119),'Semi Rev'!Q119&gt;0),'Semi OpInc'!Q119/'Semi Rev'!Q119,""),"")</f>
        <v/>
      </c>
      <c r="N830" s="38">
        <f>IFERROR(IF(AND(ISNUMBER('Semi OpInc'!R119),ISNUMBER('Semi Rev'!R119),'Semi Rev'!R119&gt;0),'Semi OpInc'!R119/'Semi Rev'!R119,""),"")</f>
        <v/>
      </c>
    </row>
    <row r="831">
      <c r="A831" s="19">
        <f>'Semi Rev'!$A120</f>
        <v/>
      </c>
      <c r="B831" s="19">
        <f>'Semi Rev'!$B120</f>
        <v/>
      </c>
      <c r="C831" s="37">
        <f>IFERROR(IF(AND(ISNUMBER('Semi OpInc'!G120),ISNUMBER('Semi Rev'!G120),'Semi Rev'!G120&gt;0),'Semi OpInc'!G120/'Semi Rev'!G120,""),"")</f>
        <v/>
      </c>
      <c r="D831" s="37">
        <f>IFERROR(IF(AND(ISNUMBER('Semi OpInc'!H120),ISNUMBER('Semi Rev'!H120),'Semi Rev'!H120&gt;0),'Semi OpInc'!H120/'Semi Rev'!H120,""),"")</f>
        <v/>
      </c>
      <c r="E831" s="37">
        <f>IFERROR(IF(AND(ISNUMBER('Semi OpInc'!I120),ISNUMBER('Semi Rev'!I120),'Semi Rev'!I120&gt;0),'Semi OpInc'!I120/'Semi Rev'!I120,""),"")</f>
        <v/>
      </c>
      <c r="F831" s="37">
        <f>IFERROR(IF(AND(ISNUMBER('Semi OpInc'!J120),ISNUMBER('Semi Rev'!J120),'Semi Rev'!J120&gt;0),'Semi OpInc'!J120/'Semi Rev'!J120,""),"")</f>
        <v/>
      </c>
      <c r="G831" s="37">
        <f>IFERROR(IF(AND(ISNUMBER('Semi OpInc'!K120),ISNUMBER('Semi Rev'!K120),'Semi Rev'!K120&gt;0),'Semi OpInc'!K120/'Semi Rev'!K120,""),"")</f>
        <v/>
      </c>
      <c r="H831" s="37">
        <f>IFERROR(IF(AND(ISNUMBER('Semi OpInc'!L120),ISNUMBER('Semi Rev'!L120),'Semi Rev'!L120&gt;0),'Semi OpInc'!L120/'Semi Rev'!L120,""),"")</f>
        <v/>
      </c>
      <c r="I831" s="37">
        <f>IFERROR(IF(AND(ISNUMBER('Semi OpInc'!M120),ISNUMBER('Semi Rev'!M120),'Semi Rev'!M120&gt;0),'Semi OpInc'!M120/'Semi Rev'!M120,""),"")</f>
        <v/>
      </c>
      <c r="J831" s="37">
        <f>IFERROR(IF(AND(ISNUMBER('Semi OpInc'!N120),ISNUMBER('Semi Rev'!N120),'Semi Rev'!N120&gt;0),'Semi OpInc'!N120/'Semi Rev'!N120,""),"")</f>
        <v/>
      </c>
      <c r="K831" s="37">
        <f>IFERROR(IF(AND(ISNUMBER('Semi OpInc'!O120),ISNUMBER('Semi Rev'!O120),'Semi Rev'!O120&gt;0),'Semi OpInc'!O120/'Semi Rev'!O120,""),"")</f>
        <v/>
      </c>
      <c r="L831" s="37">
        <f>IFERROR(IF(AND(ISNUMBER('Semi OpInc'!P120),ISNUMBER('Semi Rev'!P120),'Semi Rev'!P120&gt;0),'Semi OpInc'!P120/'Semi Rev'!P120,""),"")</f>
        <v/>
      </c>
      <c r="M831" s="38">
        <f>IFERROR(IF(AND(ISNUMBER('Semi OpInc'!Q120),ISNUMBER('Semi Rev'!Q120),'Semi Rev'!Q120&gt;0),'Semi OpInc'!Q120/'Semi Rev'!Q120,""),"")</f>
        <v/>
      </c>
      <c r="N831" s="38">
        <f>IFERROR(IF(AND(ISNUMBER('Semi OpInc'!R120),ISNUMBER('Semi Rev'!R120),'Semi Rev'!R120&gt;0),'Semi OpInc'!R120/'Semi Rev'!R120,""),"")</f>
        <v/>
      </c>
    </row>
    <row r="832">
      <c r="A832" s="19">
        <f>'Semi Rev'!$A121</f>
        <v/>
      </c>
      <c r="B832" s="19">
        <f>'Semi Rev'!$B121</f>
        <v/>
      </c>
      <c r="C832" s="37">
        <f>IFERROR(IF(AND(ISNUMBER('Semi OpInc'!G121),ISNUMBER('Semi Rev'!G121),'Semi Rev'!G121&gt;0),'Semi OpInc'!G121/'Semi Rev'!G121,""),"")</f>
        <v/>
      </c>
      <c r="D832" s="37">
        <f>IFERROR(IF(AND(ISNUMBER('Semi OpInc'!H121),ISNUMBER('Semi Rev'!H121),'Semi Rev'!H121&gt;0),'Semi OpInc'!H121/'Semi Rev'!H121,""),"")</f>
        <v/>
      </c>
      <c r="E832" s="37">
        <f>IFERROR(IF(AND(ISNUMBER('Semi OpInc'!I121),ISNUMBER('Semi Rev'!I121),'Semi Rev'!I121&gt;0),'Semi OpInc'!I121/'Semi Rev'!I121,""),"")</f>
        <v/>
      </c>
      <c r="F832" s="37">
        <f>IFERROR(IF(AND(ISNUMBER('Semi OpInc'!J121),ISNUMBER('Semi Rev'!J121),'Semi Rev'!J121&gt;0),'Semi OpInc'!J121/'Semi Rev'!J121,""),"")</f>
        <v/>
      </c>
      <c r="G832" s="37">
        <f>IFERROR(IF(AND(ISNUMBER('Semi OpInc'!K121),ISNUMBER('Semi Rev'!K121),'Semi Rev'!K121&gt;0),'Semi OpInc'!K121/'Semi Rev'!K121,""),"")</f>
        <v/>
      </c>
      <c r="H832" s="37">
        <f>IFERROR(IF(AND(ISNUMBER('Semi OpInc'!L121),ISNUMBER('Semi Rev'!L121),'Semi Rev'!L121&gt;0),'Semi OpInc'!L121/'Semi Rev'!L121,""),"")</f>
        <v/>
      </c>
      <c r="I832" s="37">
        <f>IFERROR(IF(AND(ISNUMBER('Semi OpInc'!M121),ISNUMBER('Semi Rev'!M121),'Semi Rev'!M121&gt;0),'Semi OpInc'!M121/'Semi Rev'!M121,""),"")</f>
        <v/>
      </c>
      <c r="J832" s="37">
        <f>IFERROR(IF(AND(ISNUMBER('Semi OpInc'!N121),ISNUMBER('Semi Rev'!N121),'Semi Rev'!N121&gt;0),'Semi OpInc'!N121/'Semi Rev'!N121,""),"")</f>
        <v/>
      </c>
      <c r="K832" s="37">
        <f>IFERROR(IF(AND(ISNUMBER('Semi OpInc'!O121),ISNUMBER('Semi Rev'!O121),'Semi Rev'!O121&gt;0),'Semi OpInc'!O121/'Semi Rev'!O121,""),"")</f>
        <v/>
      </c>
      <c r="L832" s="37">
        <f>IFERROR(IF(AND(ISNUMBER('Semi OpInc'!P121),ISNUMBER('Semi Rev'!P121),'Semi Rev'!P121&gt;0),'Semi OpInc'!P121/'Semi Rev'!P121,""),"")</f>
        <v/>
      </c>
      <c r="M832" s="38">
        <f>IFERROR(IF(AND(ISNUMBER('Semi OpInc'!Q121),ISNUMBER('Semi Rev'!Q121),'Semi Rev'!Q121&gt;0),'Semi OpInc'!Q121/'Semi Rev'!Q121,""),"")</f>
        <v/>
      </c>
      <c r="N832" s="38">
        <f>IFERROR(IF(AND(ISNUMBER('Semi OpInc'!R121),ISNUMBER('Semi Rev'!R121),'Semi Rev'!R121&gt;0),'Semi OpInc'!R121/'Semi Rev'!R121,""),"")</f>
        <v/>
      </c>
    </row>
    <row r="833">
      <c r="A833" s="19">
        <f>'Semi Rev'!$A122</f>
        <v/>
      </c>
      <c r="B833" s="19">
        <f>'Semi Rev'!$B122</f>
        <v/>
      </c>
      <c r="C833" s="37">
        <f>IFERROR(IF(AND(ISNUMBER('Semi OpInc'!G122),ISNUMBER('Semi Rev'!G122),'Semi Rev'!G122&gt;0),'Semi OpInc'!G122/'Semi Rev'!G122,""),"")</f>
        <v/>
      </c>
      <c r="D833" s="37">
        <f>IFERROR(IF(AND(ISNUMBER('Semi OpInc'!H122),ISNUMBER('Semi Rev'!H122),'Semi Rev'!H122&gt;0),'Semi OpInc'!H122/'Semi Rev'!H122,""),"")</f>
        <v/>
      </c>
      <c r="E833" s="37">
        <f>IFERROR(IF(AND(ISNUMBER('Semi OpInc'!I122),ISNUMBER('Semi Rev'!I122),'Semi Rev'!I122&gt;0),'Semi OpInc'!I122/'Semi Rev'!I122,""),"")</f>
        <v/>
      </c>
      <c r="F833" s="37">
        <f>IFERROR(IF(AND(ISNUMBER('Semi OpInc'!J122),ISNUMBER('Semi Rev'!J122),'Semi Rev'!J122&gt;0),'Semi OpInc'!J122/'Semi Rev'!J122,""),"")</f>
        <v/>
      </c>
      <c r="G833" s="37">
        <f>IFERROR(IF(AND(ISNUMBER('Semi OpInc'!K122),ISNUMBER('Semi Rev'!K122),'Semi Rev'!K122&gt;0),'Semi OpInc'!K122/'Semi Rev'!K122,""),"")</f>
        <v/>
      </c>
      <c r="H833" s="37">
        <f>IFERROR(IF(AND(ISNUMBER('Semi OpInc'!L122),ISNUMBER('Semi Rev'!L122),'Semi Rev'!L122&gt;0),'Semi OpInc'!L122/'Semi Rev'!L122,""),"")</f>
        <v/>
      </c>
      <c r="I833" s="37">
        <f>IFERROR(IF(AND(ISNUMBER('Semi OpInc'!M122),ISNUMBER('Semi Rev'!M122),'Semi Rev'!M122&gt;0),'Semi OpInc'!M122/'Semi Rev'!M122,""),"")</f>
        <v/>
      </c>
      <c r="J833" s="37">
        <f>IFERROR(IF(AND(ISNUMBER('Semi OpInc'!N122),ISNUMBER('Semi Rev'!N122),'Semi Rev'!N122&gt;0),'Semi OpInc'!N122/'Semi Rev'!N122,""),"")</f>
        <v/>
      </c>
      <c r="K833" s="37">
        <f>IFERROR(IF(AND(ISNUMBER('Semi OpInc'!O122),ISNUMBER('Semi Rev'!O122),'Semi Rev'!O122&gt;0),'Semi OpInc'!O122/'Semi Rev'!O122,""),"")</f>
        <v/>
      </c>
      <c r="L833" s="37">
        <f>IFERROR(IF(AND(ISNUMBER('Semi OpInc'!P122),ISNUMBER('Semi Rev'!P122),'Semi Rev'!P122&gt;0),'Semi OpInc'!P122/'Semi Rev'!P122,""),"")</f>
        <v/>
      </c>
      <c r="M833" s="38">
        <f>IFERROR(IF(AND(ISNUMBER('Semi OpInc'!Q122),ISNUMBER('Semi Rev'!Q122),'Semi Rev'!Q122&gt;0),'Semi OpInc'!Q122/'Semi Rev'!Q122,""),"")</f>
        <v/>
      </c>
      <c r="N833" s="38">
        <f>IFERROR(IF(AND(ISNUMBER('Semi OpInc'!R122),ISNUMBER('Semi Rev'!R122),'Semi Rev'!R122&gt;0),'Semi OpInc'!R122/'Semi Rev'!R122,""),"")</f>
        <v/>
      </c>
    </row>
    <row r="834">
      <c r="A834" s="19">
        <f>'Semi Rev'!$A123</f>
        <v/>
      </c>
      <c r="B834" s="19">
        <f>'Semi Rev'!$B123</f>
        <v/>
      </c>
      <c r="C834" s="37">
        <f>IFERROR(IF(AND(ISNUMBER('Semi OpInc'!G123),ISNUMBER('Semi Rev'!G123),'Semi Rev'!G123&gt;0),'Semi OpInc'!G123/'Semi Rev'!G123,""),"")</f>
        <v/>
      </c>
      <c r="D834" s="37">
        <f>IFERROR(IF(AND(ISNUMBER('Semi OpInc'!H123),ISNUMBER('Semi Rev'!H123),'Semi Rev'!H123&gt;0),'Semi OpInc'!H123/'Semi Rev'!H123,""),"")</f>
        <v/>
      </c>
      <c r="E834" s="37">
        <f>IFERROR(IF(AND(ISNUMBER('Semi OpInc'!I123),ISNUMBER('Semi Rev'!I123),'Semi Rev'!I123&gt;0),'Semi OpInc'!I123/'Semi Rev'!I123,""),"")</f>
        <v/>
      </c>
      <c r="F834" s="37">
        <f>IFERROR(IF(AND(ISNUMBER('Semi OpInc'!J123),ISNUMBER('Semi Rev'!J123),'Semi Rev'!J123&gt;0),'Semi OpInc'!J123/'Semi Rev'!J123,""),"")</f>
        <v/>
      </c>
      <c r="G834" s="37">
        <f>IFERROR(IF(AND(ISNUMBER('Semi OpInc'!K123),ISNUMBER('Semi Rev'!K123),'Semi Rev'!K123&gt;0),'Semi OpInc'!K123/'Semi Rev'!K123,""),"")</f>
        <v/>
      </c>
      <c r="H834" s="37">
        <f>IFERROR(IF(AND(ISNUMBER('Semi OpInc'!L123),ISNUMBER('Semi Rev'!L123),'Semi Rev'!L123&gt;0),'Semi OpInc'!L123/'Semi Rev'!L123,""),"")</f>
        <v/>
      </c>
      <c r="I834" s="37">
        <f>IFERROR(IF(AND(ISNUMBER('Semi OpInc'!M123),ISNUMBER('Semi Rev'!M123),'Semi Rev'!M123&gt;0),'Semi OpInc'!M123/'Semi Rev'!M123,""),"")</f>
        <v/>
      </c>
      <c r="J834" s="37">
        <f>IFERROR(IF(AND(ISNUMBER('Semi OpInc'!N123),ISNUMBER('Semi Rev'!N123),'Semi Rev'!N123&gt;0),'Semi OpInc'!N123/'Semi Rev'!N123,""),"")</f>
        <v/>
      </c>
      <c r="K834" s="37">
        <f>IFERROR(IF(AND(ISNUMBER('Semi OpInc'!O123),ISNUMBER('Semi Rev'!O123),'Semi Rev'!O123&gt;0),'Semi OpInc'!O123/'Semi Rev'!O123,""),"")</f>
        <v/>
      </c>
      <c r="L834" s="37">
        <f>IFERROR(IF(AND(ISNUMBER('Semi OpInc'!P123),ISNUMBER('Semi Rev'!P123),'Semi Rev'!P123&gt;0),'Semi OpInc'!P123/'Semi Rev'!P123,""),"")</f>
        <v/>
      </c>
      <c r="M834" s="38">
        <f>IFERROR(IF(AND(ISNUMBER('Semi OpInc'!Q123),ISNUMBER('Semi Rev'!Q123),'Semi Rev'!Q123&gt;0),'Semi OpInc'!Q123/'Semi Rev'!Q123,""),"")</f>
        <v/>
      </c>
      <c r="N834" s="38">
        <f>IFERROR(IF(AND(ISNUMBER('Semi OpInc'!R123),ISNUMBER('Semi Rev'!R123),'Semi Rev'!R123&gt;0),'Semi OpInc'!R123/'Semi Rev'!R123,""),"")</f>
        <v/>
      </c>
    </row>
    <row r="835">
      <c r="A835" s="19">
        <f>'Semi Rev'!$A124</f>
        <v/>
      </c>
      <c r="B835" s="19">
        <f>'Semi Rev'!$B124</f>
        <v/>
      </c>
      <c r="C835" s="37">
        <f>IFERROR(IF(AND(ISNUMBER('Semi OpInc'!G124),ISNUMBER('Semi Rev'!G124),'Semi Rev'!G124&gt;0),'Semi OpInc'!G124/'Semi Rev'!G124,""),"")</f>
        <v/>
      </c>
      <c r="D835" s="37">
        <f>IFERROR(IF(AND(ISNUMBER('Semi OpInc'!H124),ISNUMBER('Semi Rev'!H124),'Semi Rev'!H124&gt;0),'Semi OpInc'!H124/'Semi Rev'!H124,""),"")</f>
        <v/>
      </c>
      <c r="E835" s="37">
        <f>IFERROR(IF(AND(ISNUMBER('Semi OpInc'!I124),ISNUMBER('Semi Rev'!I124),'Semi Rev'!I124&gt;0),'Semi OpInc'!I124/'Semi Rev'!I124,""),"")</f>
        <v/>
      </c>
      <c r="F835" s="37">
        <f>IFERROR(IF(AND(ISNUMBER('Semi OpInc'!J124),ISNUMBER('Semi Rev'!J124),'Semi Rev'!J124&gt;0),'Semi OpInc'!J124/'Semi Rev'!J124,""),"")</f>
        <v/>
      </c>
      <c r="G835" s="37">
        <f>IFERROR(IF(AND(ISNUMBER('Semi OpInc'!K124),ISNUMBER('Semi Rev'!K124),'Semi Rev'!K124&gt;0),'Semi OpInc'!K124/'Semi Rev'!K124,""),"")</f>
        <v/>
      </c>
      <c r="H835" s="37">
        <f>IFERROR(IF(AND(ISNUMBER('Semi OpInc'!L124),ISNUMBER('Semi Rev'!L124),'Semi Rev'!L124&gt;0),'Semi OpInc'!L124/'Semi Rev'!L124,""),"")</f>
        <v/>
      </c>
      <c r="I835" s="37">
        <f>IFERROR(IF(AND(ISNUMBER('Semi OpInc'!M124),ISNUMBER('Semi Rev'!M124),'Semi Rev'!M124&gt;0),'Semi OpInc'!M124/'Semi Rev'!M124,""),"")</f>
        <v/>
      </c>
      <c r="J835" s="37">
        <f>IFERROR(IF(AND(ISNUMBER('Semi OpInc'!N124),ISNUMBER('Semi Rev'!N124),'Semi Rev'!N124&gt;0),'Semi OpInc'!N124/'Semi Rev'!N124,""),"")</f>
        <v/>
      </c>
      <c r="K835" s="37">
        <f>IFERROR(IF(AND(ISNUMBER('Semi OpInc'!O124),ISNUMBER('Semi Rev'!O124),'Semi Rev'!O124&gt;0),'Semi OpInc'!O124/'Semi Rev'!O124,""),"")</f>
        <v/>
      </c>
      <c r="L835" s="37">
        <f>IFERROR(IF(AND(ISNUMBER('Semi OpInc'!P124),ISNUMBER('Semi Rev'!P124),'Semi Rev'!P124&gt;0),'Semi OpInc'!P124/'Semi Rev'!P124,""),"")</f>
        <v/>
      </c>
      <c r="M835" s="38">
        <f>IFERROR(IF(AND(ISNUMBER('Semi OpInc'!Q124),ISNUMBER('Semi Rev'!Q124),'Semi Rev'!Q124&gt;0),'Semi OpInc'!Q124/'Semi Rev'!Q124,""),"")</f>
        <v/>
      </c>
      <c r="N835" s="38">
        <f>IFERROR(IF(AND(ISNUMBER('Semi OpInc'!R124),ISNUMBER('Semi Rev'!R124),'Semi Rev'!R124&gt;0),'Semi OpInc'!R124/'Semi Rev'!R124,""),"")</f>
        <v/>
      </c>
    </row>
    <row r="836">
      <c r="A836" s="19">
        <f>'Semi Rev'!$A125</f>
        <v/>
      </c>
      <c r="B836" s="19">
        <f>'Semi Rev'!$B125</f>
        <v/>
      </c>
      <c r="C836" s="37">
        <f>IFERROR(IF(AND(ISNUMBER('Semi OpInc'!G125),ISNUMBER('Semi Rev'!G125),'Semi Rev'!G125&gt;0),'Semi OpInc'!G125/'Semi Rev'!G125,""),"")</f>
        <v/>
      </c>
      <c r="D836" s="37">
        <f>IFERROR(IF(AND(ISNUMBER('Semi OpInc'!H125),ISNUMBER('Semi Rev'!H125),'Semi Rev'!H125&gt;0),'Semi OpInc'!H125/'Semi Rev'!H125,""),"")</f>
        <v/>
      </c>
      <c r="E836" s="37">
        <f>IFERROR(IF(AND(ISNUMBER('Semi OpInc'!I125),ISNUMBER('Semi Rev'!I125),'Semi Rev'!I125&gt;0),'Semi OpInc'!I125/'Semi Rev'!I125,""),"")</f>
        <v/>
      </c>
      <c r="F836" s="37">
        <f>IFERROR(IF(AND(ISNUMBER('Semi OpInc'!J125),ISNUMBER('Semi Rev'!J125),'Semi Rev'!J125&gt;0),'Semi OpInc'!J125/'Semi Rev'!J125,""),"")</f>
        <v/>
      </c>
      <c r="G836" s="37">
        <f>IFERROR(IF(AND(ISNUMBER('Semi OpInc'!K125),ISNUMBER('Semi Rev'!K125),'Semi Rev'!K125&gt;0),'Semi OpInc'!K125/'Semi Rev'!K125,""),"")</f>
        <v/>
      </c>
      <c r="H836" s="37">
        <f>IFERROR(IF(AND(ISNUMBER('Semi OpInc'!L125),ISNUMBER('Semi Rev'!L125),'Semi Rev'!L125&gt;0),'Semi OpInc'!L125/'Semi Rev'!L125,""),"")</f>
        <v/>
      </c>
      <c r="I836" s="37">
        <f>IFERROR(IF(AND(ISNUMBER('Semi OpInc'!M125),ISNUMBER('Semi Rev'!M125),'Semi Rev'!M125&gt;0),'Semi OpInc'!M125/'Semi Rev'!M125,""),"")</f>
        <v/>
      </c>
      <c r="J836" s="37">
        <f>IFERROR(IF(AND(ISNUMBER('Semi OpInc'!N125),ISNUMBER('Semi Rev'!N125),'Semi Rev'!N125&gt;0),'Semi OpInc'!N125/'Semi Rev'!N125,""),"")</f>
        <v/>
      </c>
      <c r="K836" s="37">
        <f>IFERROR(IF(AND(ISNUMBER('Semi OpInc'!O125),ISNUMBER('Semi Rev'!O125),'Semi Rev'!O125&gt;0),'Semi OpInc'!O125/'Semi Rev'!O125,""),"")</f>
        <v/>
      </c>
      <c r="L836" s="37">
        <f>IFERROR(IF(AND(ISNUMBER('Semi OpInc'!P125),ISNUMBER('Semi Rev'!P125),'Semi Rev'!P125&gt;0),'Semi OpInc'!P125/'Semi Rev'!P125,""),"")</f>
        <v/>
      </c>
      <c r="M836" s="38">
        <f>IFERROR(IF(AND(ISNUMBER('Semi OpInc'!Q125),ISNUMBER('Semi Rev'!Q125),'Semi Rev'!Q125&gt;0),'Semi OpInc'!Q125/'Semi Rev'!Q125,""),"")</f>
        <v/>
      </c>
      <c r="N836" s="38">
        <f>IFERROR(IF(AND(ISNUMBER('Semi OpInc'!R125),ISNUMBER('Semi Rev'!R125),'Semi Rev'!R125&gt;0),'Semi OpInc'!R125/'Semi Rev'!R125,""),"")</f>
        <v/>
      </c>
    </row>
    <row r="837">
      <c r="A837" s="19">
        <f>'Semi Rev'!$A126</f>
        <v/>
      </c>
      <c r="B837" s="19">
        <f>'Semi Rev'!$B126</f>
        <v/>
      </c>
      <c r="C837" s="37">
        <f>IFERROR(IF(AND(ISNUMBER('Semi OpInc'!G126),ISNUMBER('Semi Rev'!G126),'Semi Rev'!G126&gt;0),'Semi OpInc'!G126/'Semi Rev'!G126,""),"")</f>
        <v/>
      </c>
      <c r="D837" s="37">
        <f>IFERROR(IF(AND(ISNUMBER('Semi OpInc'!H126),ISNUMBER('Semi Rev'!H126),'Semi Rev'!H126&gt;0),'Semi OpInc'!H126/'Semi Rev'!H126,""),"")</f>
        <v/>
      </c>
      <c r="E837" s="37">
        <f>IFERROR(IF(AND(ISNUMBER('Semi OpInc'!I126),ISNUMBER('Semi Rev'!I126),'Semi Rev'!I126&gt;0),'Semi OpInc'!I126/'Semi Rev'!I126,""),"")</f>
        <v/>
      </c>
      <c r="F837" s="37">
        <f>IFERROR(IF(AND(ISNUMBER('Semi OpInc'!J126),ISNUMBER('Semi Rev'!J126),'Semi Rev'!J126&gt;0),'Semi OpInc'!J126/'Semi Rev'!J126,""),"")</f>
        <v/>
      </c>
      <c r="G837" s="37">
        <f>IFERROR(IF(AND(ISNUMBER('Semi OpInc'!K126),ISNUMBER('Semi Rev'!K126),'Semi Rev'!K126&gt;0),'Semi OpInc'!K126/'Semi Rev'!K126,""),"")</f>
        <v/>
      </c>
      <c r="H837" s="37">
        <f>IFERROR(IF(AND(ISNUMBER('Semi OpInc'!L126),ISNUMBER('Semi Rev'!L126),'Semi Rev'!L126&gt;0),'Semi OpInc'!L126/'Semi Rev'!L126,""),"")</f>
        <v/>
      </c>
      <c r="I837" s="37">
        <f>IFERROR(IF(AND(ISNUMBER('Semi OpInc'!M126),ISNUMBER('Semi Rev'!M126),'Semi Rev'!M126&gt;0),'Semi OpInc'!M126/'Semi Rev'!M126,""),"")</f>
        <v/>
      </c>
      <c r="J837" s="37">
        <f>IFERROR(IF(AND(ISNUMBER('Semi OpInc'!N126),ISNUMBER('Semi Rev'!N126),'Semi Rev'!N126&gt;0),'Semi OpInc'!N126/'Semi Rev'!N126,""),"")</f>
        <v/>
      </c>
      <c r="K837" s="37">
        <f>IFERROR(IF(AND(ISNUMBER('Semi OpInc'!O126),ISNUMBER('Semi Rev'!O126),'Semi Rev'!O126&gt;0),'Semi OpInc'!O126/'Semi Rev'!O126,""),"")</f>
        <v/>
      </c>
      <c r="L837" s="37">
        <f>IFERROR(IF(AND(ISNUMBER('Semi OpInc'!P126),ISNUMBER('Semi Rev'!P126),'Semi Rev'!P126&gt;0),'Semi OpInc'!P126/'Semi Rev'!P126,""),"")</f>
        <v/>
      </c>
      <c r="M837" s="38">
        <f>IFERROR(IF(AND(ISNUMBER('Semi OpInc'!Q126),ISNUMBER('Semi Rev'!Q126),'Semi Rev'!Q126&gt;0),'Semi OpInc'!Q126/'Semi Rev'!Q126,""),"")</f>
        <v/>
      </c>
      <c r="N837" s="38">
        <f>IFERROR(IF(AND(ISNUMBER('Semi OpInc'!R126),ISNUMBER('Semi Rev'!R126),'Semi Rev'!R126&gt;0),'Semi OpInc'!R126/'Semi Rev'!R126,""),"")</f>
        <v/>
      </c>
    </row>
    <row r="838">
      <c r="A838" s="19">
        <f>'Semi Rev'!$A127</f>
        <v/>
      </c>
      <c r="B838" s="19">
        <f>'Semi Rev'!$B127</f>
        <v/>
      </c>
      <c r="C838" s="37">
        <f>IFERROR(IF(AND(ISNUMBER('Semi OpInc'!G127),ISNUMBER('Semi Rev'!G127),'Semi Rev'!G127&gt;0),'Semi OpInc'!G127/'Semi Rev'!G127,""),"")</f>
        <v/>
      </c>
      <c r="D838" s="37">
        <f>IFERROR(IF(AND(ISNUMBER('Semi OpInc'!H127),ISNUMBER('Semi Rev'!H127),'Semi Rev'!H127&gt;0),'Semi OpInc'!H127/'Semi Rev'!H127,""),"")</f>
        <v/>
      </c>
      <c r="E838" s="37">
        <f>IFERROR(IF(AND(ISNUMBER('Semi OpInc'!I127),ISNUMBER('Semi Rev'!I127),'Semi Rev'!I127&gt;0),'Semi OpInc'!I127/'Semi Rev'!I127,""),"")</f>
        <v/>
      </c>
      <c r="F838" s="37">
        <f>IFERROR(IF(AND(ISNUMBER('Semi OpInc'!J127),ISNUMBER('Semi Rev'!J127),'Semi Rev'!J127&gt;0),'Semi OpInc'!J127/'Semi Rev'!J127,""),"")</f>
        <v/>
      </c>
      <c r="G838" s="37">
        <f>IFERROR(IF(AND(ISNUMBER('Semi OpInc'!K127),ISNUMBER('Semi Rev'!K127),'Semi Rev'!K127&gt;0),'Semi OpInc'!K127/'Semi Rev'!K127,""),"")</f>
        <v/>
      </c>
      <c r="H838" s="37">
        <f>IFERROR(IF(AND(ISNUMBER('Semi OpInc'!L127),ISNUMBER('Semi Rev'!L127),'Semi Rev'!L127&gt;0),'Semi OpInc'!L127/'Semi Rev'!L127,""),"")</f>
        <v/>
      </c>
      <c r="I838" s="37">
        <f>IFERROR(IF(AND(ISNUMBER('Semi OpInc'!M127),ISNUMBER('Semi Rev'!M127),'Semi Rev'!M127&gt;0),'Semi OpInc'!M127/'Semi Rev'!M127,""),"")</f>
        <v/>
      </c>
      <c r="J838" s="37">
        <f>IFERROR(IF(AND(ISNUMBER('Semi OpInc'!N127),ISNUMBER('Semi Rev'!N127),'Semi Rev'!N127&gt;0),'Semi OpInc'!N127/'Semi Rev'!N127,""),"")</f>
        <v/>
      </c>
      <c r="K838" s="37">
        <f>IFERROR(IF(AND(ISNUMBER('Semi OpInc'!O127),ISNUMBER('Semi Rev'!O127),'Semi Rev'!O127&gt;0),'Semi OpInc'!O127/'Semi Rev'!O127,""),"")</f>
        <v/>
      </c>
      <c r="L838" s="37">
        <f>IFERROR(IF(AND(ISNUMBER('Semi OpInc'!P127),ISNUMBER('Semi Rev'!P127),'Semi Rev'!P127&gt;0),'Semi OpInc'!P127/'Semi Rev'!P127,""),"")</f>
        <v/>
      </c>
      <c r="M838" s="38">
        <f>IFERROR(IF(AND(ISNUMBER('Semi OpInc'!Q127),ISNUMBER('Semi Rev'!Q127),'Semi Rev'!Q127&gt;0),'Semi OpInc'!Q127/'Semi Rev'!Q127,""),"")</f>
        <v/>
      </c>
      <c r="N838" s="38">
        <f>IFERROR(IF(AND(ISNUMBER('Semi OpInc'!R127),ISNUMBER('Semi Rev'!R127),'Semi Rev'!R127&gt;0),'Semi OpInc'!R127/'Semi Rev'!R127,""),"")</f>
        <v/>
      </c>
    </row>
    <row r="839">
      <c r="A839" s="19">
        <f>'Semi Rev'!$A128</f>
        <v/>
      </c>
      <c r="B839" s="19">
        <f>'Semi Rev'!$B128</f>
        <v/>
      </c>
      <c r="C839" s="37">
        <f>IFERROR(IF(AND(ISNUMBER('Semi OpInc'!G128),ISNUMBER('Semi Rev'!G128),'Semi Rev'!G128&gt;0),'Semi OpInc'!G128/'Semi Rev'!G128,""),"")</f>
        <v/>
      </c>
      <c r="D839" s="37">
        <f>IFERROR(IF(AND(ISNUMBER('Semi OpInc'!H128),ISNUMBER('Semi Rev'!H128),'Semi Rev'!H128&gt;0),'Semi OpInc'!H128/'Semi Rev'!H128,""),"")</f>
        <v/>
      </c>
      <c r="E839" s="37">
        <f>IFERROR(IF(AND(ISNUMBER('Semi OpInc'!I128),ISNUMBER('Semi Rev'!I128),'Semi Rev'!I128&gt;0),'Semi OpInc'!I128/'Semi Rev'!I128,""),"")</f>
        <v/>
      </c>
      <c r="F839" s="37">
        <f>IFERROR(IF(AND(ISNUMBER('Semi OpInc'!J128),ISNUMBER('Semi Rev'!J128),'Semi Rev'!J128&gt;0),'Semi OpInc'!J128/'Semi Rev'!J128,""),"")</f>
        <v/>
      </c>
      <c r="G839" s="37">
        <f>IFERROR(IF(AND(ISNUMBER('Semi OpInc'!K128),ISNUMBER('Semi Rev'!K128),'Semi Rev'!K128&gt;0),'Semi OpInc'!K128/'Semi Rev'!K128,""),"")</f>
        <v/>
      </c>
      <c r="H839" s="37">
        <f>IFERROR(IF(AND(ISNUMBER('Semi OpInc'!L128),ISNUMBER('Semi Rev'!L128),'Semi Rev'!L128&gt;0),'Semi OpInc'!L128/'Semi Rev'!L128,""),"")</f>
        <v/>
      </c>
      <c r="I839" s="37">
        <f>IFERROR(IF(AND(ISNUMBER('Semi OpInc'!M128),ISNUMBER('Semi Rev'!M128),'Semi Rev'!M128&gt;0),'Semi OpInc'!M128/'Semi Rev'!M128,""),"")</f>
        <v/>
      </c>
      <c r="J839" s="37">
        <f>IFERROR(IF(AND(ISNUMBER('Semi OpInc'!N128),ISNUMBER('Semi Rev'!N128),'Semi Rev'!N128&gt;0),'Semi OpInc'!N128/'Semi Rev'!N128,""),"")</f>
        <v/>
      </c>
      <c r="K839" s="37">
        <f>IFERROR(IF(AND(ISNUMBER('Semi OpInc'!O128),ISNUMBER('Semi Rev'!O128),'Semi Rev'!O128&gt;0),'Semi OpInc'!O128/'Semi Rev'!O128,""),"")</f>
        <v/>
      </c>
      <c r="L839" s="37">
        <f>IFERROR(IF(AND(ISNUMBER('Semi OpInc'!P128),ISNUMBER('Semi Rev'!P128),'Semi Rev'!P128&gt;0),'Semi OpInc'!P128/'Semi Rev'!P128,""),"")</f>
        <v/>
      </c>
      <c r="M839" s="38">
        <f>IFERROR(IF(AND(ISNUMBER('Semi OpInc'!Q128),ISNUMBER('Semi Rev'!Q128),'Semi Rev'!Q128&gt;0),'Semi OpInc'!Q128/'Semi Rev'!Q128,""),"")</f>
        <v/>
      </c>
      <c r="N839" s="38">
        <f>IFERROR(IF(AND(ISNUMBER('Semi OpInc'!R128),ISNUMBER('Semi Rev'!R128),'Semi Rev'!R128&gt;0),'Semi OpInc'!R128/'Semi Rev'!R128,""),"")</f>
        <v/>
      </c>
    </row>
    <row r="840">
      <c r="A840" s="19">
        <f>'Semi Rev'!$A129</f>
        <v/>
      </c>
      <c r="B840" s="19">
        <f>'Semi Rev'!$B129</f>
        <v/>
      </c>
      <c r="C840" s="37">
        <f>IFERROR(IF(AND(ISNUMBER('Semi OpInc'!G129),ISNUMBER('Semi Rev'!G129),'Semi Rev'!G129&gt;0),'Semi OpInc'!G129/'Semi Rev'!G129,""),"")</f>
        <v/>
      </c>
      <c r="D840" s="37">
        <f>IFERROR(IF(AND(ISNUMBER('Semi OpInc'!H129),ISNUMBER('Semi Rev'!H129),'Semi Rev'!H129&gt;0),'Semi OpInc'!H129/'Semi Rev'!H129,""),"")</f>
        <v/>
      </c>
      <c r="E840" s="37">
        <f>IFERROR(IF(AND(ISNUMBER('Semi OpInc'!I129),ISNUMBER('Semi Rev'!I129),'Semi Rev'!I129&gt;0),'Semi OpInc'!I129/'Semi Rev'!I129,""),"")</f>
        <v/>
      </c>
      <c r="F840" s="37">
        <f>IFERROR(IF(AND(ISNUMBER('Semi OpInc'!J129),ISNUMBER('Semi Rev'!J129),'Semi Rev'!J129&gt;0),'Semi OpInc'!J129/'Semi Rev'!J129,""),"")</f>
        <v/>
      </c>
      <c r="G840" s="37">
        <f>IFERROR(IF(AND(ISNUMBER('Semi OpInc'!K129),ISNUMBER('Semi Rev'!K129),'Semi Rev'!K129&gt;0),'Semi OpInc'!K129/'Semi Rev'!K129,""),"")</f>
        <v/>
      </c>
      <c r="H840" s="37">
        <f>IFERROR(IF(AND(ISNUMBER('Semi OpInc'!L129),ISNUMBER('Semi Rev'!L129),'Semi Rev'!L129&gt;0),'Semi OpInc'!L129/'Semi Rev'!L129,""),"")</f>
        <v/>
      </c>
      <c r="I840" s="37">
        <f>IFERROR(IF(AND(ISNUMBER('Semi OpInc'!M129),ISNUMBER('Semi Rev'!M129),'Semi Rev'!M129&gt;0),'Semi OpInc'!M129/'Semi Rev'!M129,""),"")</f>
        <v/>
      </c>
      <c r="J840" s="37">
        <f>IFERROR(IF(AND(ISNUMBER('Semi OpInc'!N129),ISNUMBER('Semi Rev'!N129),'Semi Rev'!N129&gt;0),'Semi OpInc'!N129/'Semi Rev'!N129,""),"")</f>
        <v/>
      </c>
      <c r="K840" s="37">
        <f>IFERROR(IF(AND(ISNUMBER('Semi OpInc'!O129),ISNUMBER('Semi Rev'!O129),'Semi Rev'!O129&gt;0),'Semi OpInc'!O129/'Semi Rev'!O129,""),"")</f>
        <v/>
      </c>
      <c r="L840" s="37">
        <f>IFERROR(IF(AND(ISNUMBER('Semi OpInc'!P129),ISNUMBER('Semi Rev'!P129),'Semi Rev'!P129&gt;0),'Semi OpInc'!P129/'Semi Rev'!P129,""),"")</f>
        <v/>
      </c>
      <c r="M840" s="38">
        <f>IFERROR(IF(AND(ISNUMBER('Semi OpInc'!Q129),ISNUMBER('Semi Rev'!Q129),'Semi Rev'!Q129&gt;0),'Semi OpInc'!Q129/'Semi Rev'!Q129,""),"")</f>
        <v/>
      </c>
      <c r="N840" s="38">
        <f>IFERROR(IF(AND(ISNUMBER('Semi OpInc'!R129),ISNUMBER('Semi Rev'!R129),'Semi Rev'!R129&gt;0),'Semi OpInc'!R129/'Semi Rev'!R129,""),"")</f>
        <v/>
      </c>
    </row>
    <row r="841">
      <c r="A841" s="19">
        <f>'Semi Rev'!$A130</f>
        <v/>
      </c>
      <c r="B841" s="19">
        <f>'Semi Rev'!$B130</f>
        <v/>
      </c>
      <c r="C841" s="37">
        <f>IFERROR(IF(AND(ISNUMBER('Semi OpInc'!G130),ISNUMBER('Semi Rev'!G130),'Semi Rev'!G130&gt;0),'Semi OpInc'!G130/'Semi Rev'!G130,""),"")</f>
        <v/>
      </c>
      <c r="D841" s="37">
        <f>IFERROR(IF(AND(ISNUMBER('Semi OpInc'!H130),ISNUMBER('Semi Rev'!H130),'Semi Rev'!H130&gt;0),'Semi OpInc'!H130/'Semi Rev'!H130,""),"")</f>
        <v/>
      </c>
      <c r="E841" s="37">
        <f>IFERROR(IF(AND(ISNUMBER('Semi OpInc'!I130),ISNUMBER('Semi Rev'!I130),'Semi Rev'!I130&gt;0),'Semi OpInc'!I130/'Semi Rev'!I130,""),"")</f>
        <v/>
      </c>
      <c r="F841" s="37">
        <f>IFERROR(IF(AND(ISNUMBER('Semi OpInc'!J130),ISNUMBER('Semi Rev'!J130),'Semi Rev'!J130&gt;0),'Semi OpInc'!J130/'Semi Rev'!J130,""),"")</f>
        <v/>
      </c>
      <c r="G841" s="37">
        <f>IFERROR(IF(AND(ISNUMBER('Semi OpInc'!K130),ISNUMBER('Semi Rev'!K130),'Semi Rev'!K130&gt;0),'Semi OpInc'!K130/'Semi Rev'!K130,""),"")</f>
        <v/>
      </c>
      <c r="H841" s="37">
        <f>IFERROR(IF(AND(ISNUMBER('Semi OpInc'!L130),ISNUMBER('Semi Rev'!L130),'Semi Rev'!L130&gt;0),'Semi OpInc'!L130/'Semi Rev'!L130,""),"")</f>
        <v/>
      </c>
      <c r="I841" s="37">
        <f>IFERROR(IF(AND(ISNUMBER('Semi OpInc'!M130),ISNUMBER('Semi Rev'!M130),'Semi Rev'!M130&gt;0),'Semi OpInc'!M130/'Semi Rev'!M130,""),"")</f>
        <v/>
      </c>
      <c r="J841" s="37">
        <f>IFERROR(IF(AND(ISNUMBER('Semi OpInc'!N130),ISNUMBER('Semi Rev'!N130),'Semi Rev'!N130&gt;0),'Semi OpInc'!N130/'Semi Rev'!N130,""),"")</f>
        <v/>
      </c>
      <c r="K841" s="37">
        <f>IFERROR(IF(AND(ISNUMBER('Semi OpInc'!O130),ISNUMBER('Semi Rev'!O130),'Semi Rev'!O130&gt;0),'Semi OpInc'!O130/'Semi Rev'!O130,""),"")</f>
        <v/>
      </c>
      <c r="L841" s="37">
        <f>IFERROR(IF(AND(ISNUMBER('Semi OpInc'!P130),ISNUMBER('Semi Rev'!P130),'Semi Rev'!P130&gt;0),'Semi OpInc'!P130/'Semi Rev'!P130,""),"")</f>
        <v/>
      </c>
      <c r="M841" s="38">
        <f>IFERROR(IF(AND(ISNUMBER('Semi OpInc'!Q130),ISNUMBER('Semi Rev'!Q130),'Semi Rev'!Q130&gt;0),'Semi OpInc'!Q130/'Semi Rev'!Q130,""),"")</f>
        <v/>
      </c>
      <c r="N841" s="38">
        <f>IFERROR(IF(AND(ISNUMBER('Semi OpInc'!R130),ISNUMBER('Semi Rev'!R130),'Semi Rev'!R130&gt;0),'Semi OpInc'!R130/'Semi Rev'!R130,""),"")</f>
        <v/>
      </c>
    </row>
    <row r="842">
      <c r="A842" s="19">
        <f>'Semi Rev'!$A131</f>
        <v/>
      </c>
      <c r="B842" s="19">
        <f>'Semi Rev'!$B131</f>
        <v/>
      </c>
      <c r="C842" s="37">
        <f>IFERROR(IF(AND(ISNUMBER('Semi OpInc'!G131),ISNUMBER('Semi Rev'!G131),'Semi Rev'!G131&gt;0),'Semi OpInc'!G131/'Semi Rev'!G131,""),"")</f>
        <v/>
      </c>
      <c r="D842" s="37">
        <f>IFERROR(IF(AND(ISNUMBER('Semi OpInc'!H131),ISNUMBER('Semi Rev'!H131),'Semi Rev'!H131&gt;0),'Semi OpInc'!H131/'Semi Rev'!H131,""),"")</f>
        <v/>
      </c>
      <c r="E842" s="37">
        <f>IFERROR(IF(AND(ISNUMBER('Semi OpInc'!I131),ISNUMBER('Semi Rev'!I131),'Semi Rev'!I131&gt;0),'Semi OpInc'!I131/'Semi Rev'!I131,""),"")</f>
        <v/>
      </c>
      <c r="F842" s="37">
        <f>IFERROR(IF(AND(ISNUMBER('Semi OpInc'!J131),ISNUMBER('Semi Rev'!J131),'Semi Rev'!J131&gt;0),'Semi OpInc'!J131/'Semi Rev'!J131,""),"")</f>
        <v/>
      </c>
      <c r="G842" s="37">
        <f>IFERROR(IF(AND(ISNUMBER('Semi OpInc'!K131),ISNUMBER('Semi Rev'!K131),'Semi Rev'!K131&gt;0),'Semi OpInc'!K131/'Semi Rev'!K131,""),"")</f>
        <v/>
      </c>
      <c r="H842" s="37">
        <f>IFERROR(IF(AND(ISNUMBER('Semi OpInc'!L131),ISNUMBER('Semi Rev'!L131),'Semi Rev'!L131&gt;0),'Semi OpInc'!L131/'Semi Rev'!L131,""),"")</f>
        <v/>
      </c>
      <c r="I842" s="37">
        <f>IFERROR(IF(AND(ISNUMBER('Semi OpInc'!M131),ISNUMBER('Semi Rev'!M131),'Semi Rev'!M131&gt;0),'Semi OpInc'!M131/'Semi Rev'!M131,""),"")</f>
        <v/>
      </c>
      <c r="J842" s="37">
        <f>IFERROR(IF(AND(ISNUMBER('Semi OpInc'!N131),ISNUMBER('Semi Rev'!N131),'Semi Rev'!N131&gt;0),'Semi OpInc'!N131/'Semi Rev'!N131,""),"")</f>
        <v/>
      </c>
      <c r="K842" s="37">
        <f>IFERROR(IF(AND(ISNUMBER('Semi OpInc'!O131),ISNUMBER('Semi Rev'!O131),'Semi Rev'!O131&gt;0),'Semi OpInc'!O131/'Semi Rev'!O131,""),"")</f>
        <v/>
      </c>
      <c r="L842" s="37">
        <f>IFERROR(IF(AND(ISNUMBER('Semi OpInc'!P131),ISNUMBER('Semi Rev'!P131),'Semi Rev'!P131&gt;0),'Semi OpInc'!P131/'Semi Rev'!P131,""),"")</f>
        <v/>
      </c>
      <c r="M842" s="38">
        <f>IFERROR(IF(AND(ISNUMBER('Semi OpInc'!Q131),ISNUMBER('Semi Rev'!Q131),'Semi Rev'!Q131&gt;0),'Semi OpInc'!Q131/'Semi Rev'!Q131,""),"")</f>
        <v/>
      </c>
      <c r="N842" s="38">
        <f>IFERROR(IF(AND(ISNUMBER('Semi OpInc'!R131),ISNUMBER('Semi Rev'!R131),'Semi Rev'!R131&gt;0),'Semi OpInc'!R131/'Semi Rev'!R131,""),"")</f>
        <v/>
      </c>
    </row>
    <row r="843">
      <c r="A843" s="19">
        <f>'Semi Rev'!$A132</f>
        <v/>
      </c>
      <c r="B843" s="19">
        <f>'Semi Rev'!$B132</f>
        <v/>
      </c>
      <c r="C843" s="37">
        <f>IFERROR(IF(AND(ISNUMBER('Semi OpInc'!G132),ISNUMBER('Semi Rev'!G132),'Semi Rev'!G132&gt;0),'Semi OpInc'!G132/'Semi Rev'!G132,""),"")</f>
        <v/>
      </c>
      <c r="D843" s="37">
        <f>IFERROR(IF(AND(ISNUMBER('Semi OpInc'!H132),ISNUMBER('Semi Rev'!H132),'Semi Rev'!H132&gt;0),'Semi OpInc'!H132/'Semi Rev'!H132,""),"")</f>
        <v/>
      </c>
      <c r="E843" s="37">
        <f>IFERROR(IF(AND(ISNUMBER('Semi OpInc'!I132),ISNUMBER('Semi Rev'!I132),'Semi Rev'!I132&gt;0),'Semi OpInc'!I132/'Semi Rev'!I132,""),"")</f>
        <v/>
      </c>
      <c r="F843" s="37">
        <f>IFERROR(IF(AND(ISNUMBER('Semi OpInc'!J132),ISNUMBER('Semi Rev'!J132),'Semi Rev'!J132&gt;0),'Semi OpInc'!J132/'Semi Rev'!J132,""),"")</f>
        <v/>
      </c>
      <c r="G843" s="37">
        <f>IFERROR(IF(AND(ISNUMBER('Semi OpInc'!K132),ISNUMBER('Semi Rev'!K132),'Semi Rev'!K132&gt;0),'Semi OpInc'!K132/'Semi Rev'!K132,""),"")</f>
        <v/>
      </c>
      <c r="H843" s="37">
        <f>IFERROR(IF(AND(ISNUMBER('Semi OpInc'!L132),ISNUMBER('Semi Rev'!L132),'Semi Rev'!L132&gt;0),'Semi OpInc'!L132/'Semi Rev'!L132,""),"")</f>
        <v/>
      </c>
      <c r="I843" s="37">
        <f>IFERROR(IF(AND(ISNUMBER('Semi OpInc'!M132),ISNUMBER('Semi Rev'!M132),'Semi Rev'!M132&gt;0),'Semi OpInc'!M132/'Semi Rev'!M132,""),"")</f>
        <v/>
      </c>
      <c r="J843" s="37">
        <f>IFERROR(IF(AND(ISNUMBER('Semi OpInc'!N132),ISNUMBER('Semi Rev'!N132),'Semi Rev'!N132&gt;0),'Semi OpInc'!N132/'Semi Rev'!N132,""),"")</f>
        <v/>
      </c>
      <c r="K843" s="37">
        <f>IFERROR(IF(AND(ISNUMBER('Semi OpInc'!O132),ISNUMBER('Semi Rev'!O132),'Semi Rev'!O132&gt;0),'Semi OpInc'!O132/'Semi Rev'!O132,""),"")</f>
        <v/>
      </c>
      <c r="L843" s="37">
        <f>IFERROR(IF(AND(ISNUMBER('Semi OpInc'!P132),ISNUMBER('Semi Rev'!P132),'Semi Rev'!P132&gt;0),'Semi OpInc'!P132/'Semi Rev'!P132,""),"")</f>
        <v/>
      </c>
      <c r="M843" s="38">
        <f>IFERROR(IF(AND(ISNUMBER('Semi OpInc'!Q132),ISNUMBER('Semi Rev'!Q132),'Semi Rev'!Q132&gt;0),'Semi OpInc'!Q132/'Semi Rev'!Q132,""),"")</f>
        <v/>
      </c>
      <c r="N843" s="38">
        <f>IFERROR(IF(AND(ISNUMBER('Semi OpInc'!R132),ISNUMBER('Semi Rev'!R132),'Semi Rev'!R132&gt;0),'Semi OpInc'!R132/'Semi Rev'!R132,""),"")</f>
        <v/>
      </c>
    </row>
    <row r="844">
      <c r="A844" s="19">
        <f>'Semi Rev'!$A133</f>
        <v/>
      </c>
      <c r="B844" s="19">
        <f>'Semi Rev'!$B133</f>
        <v/>
      </c>
      <c r="C844" s="37">
        <f>IFERROR(IF(AND(ISNUMBER('Semi OpInc'!G133),ISNUMBER('Semi Rev'!G133),'Semi Rev'!G133&gt;0),'Semi OpInc'!G133/'Semi Rev'!G133,""),"")</f>
        <v/>
      </c>
      <c r="D844" s="37">
        <f>IFERROR(IF(AND(ISNUMBER('Semi OpInc'!H133),ISNUMBER('Semi Rev'!H133),'Semi Rev'!H133&gt;0),'Semi OpInc'!H133/'Semi Rev'!H133,""),"")</f>
        <v/>
      </c>
      <c r="E844" s="37">
        <f>IFERROR(IF(AND(ISNUMBER('Semi OpInc'!I133),ISNUMBER('Semi Rev'!I133),'Semi Rev'!I133&gt;0),'Semi OpInc'!I133/'Semi Rev'!I133,""),"")</f>
        <v/>
      </c>
      <c r="F844" s="37">
        <f>IFERROR(IF(AND(ISNUMBER('Semi OpInc'!J133),ISNUMBER('Semi Rev'!J133),'Semi Rev'!J133&gt;0),'Semi OpInc'!J133/'Semi Rev'!J133,""),"")</f>
        <v/>
      </c>
      <c r="G844" s="37">
        <f>IFERROR(IF(AND(ISNUMBER('Semi OpInc'!K133),ISNUMBER('Semi Rev'!K133),'Semi Rev'!K133&gt;0),'Semi OpInc'!K133/'Semi Rev'!K133,""),"")</f>
        <v/>
      </c>
      <c r="H844" s="37">
        <f>IFERROR(IF(AND(ISNUMBER('Semi OpInc'!L133),ISNUMBER('Semi Rev'!L133),'Semi Rev'!L133&gt;0),'Semi OpInc'!L133/'Semi Rev'!L133,""),"")</f>
        <v/>
      </c>
      <c r="I844" s="37">
        <f>IFERROR(IF(AND(ISNUMBER('Semi OpInc'!M133),ISNUMBER('Semi Rev'!M133),'Semi Rev'!M133&gt;0),'Semi OpInc'!M133/'Semi Rev'!M133,""),"")</f>
        <v/>
      </c>
      <c r="J844" s="37">
        <f>IFERROR(IF(AND(ISNUMBER('Semi OpInc'!N133),ISNUMBER('Semi Rev'!N133),'Semi Rev'!N133&gt;0),'Semi OpInc'!N133/'Semi Rev'!N133,""),"")</f>
        <v/>
      </c>
      <c r="K844" s="37">
        <f>IFERROR(IF(AND(ISNUMBER('Semi OpInc'!O133),ISNUMBER('Semi Rev'!O133),'Semi Rev'!O133&gt;0),'Semi OpInc'!O133/'Semi Rev'!O133,""),"")</f>
        <v/>
      </c>
      <c r="L844" s="37">
        <f>IFERROR(IF(AND(ISNUMBER('Semi OpInc'!P133),ISNUMBER('Semi Rev'!P133),'Semi Rev'!P133&gt;0),'Semi OpInc'!P133/'Semi Rev'!P133,""),"")</f>
        <v/>
      </c>
      <c r="M844" s="38">
        <f>IFERROR(IF(AND(ISNUMBER('Semi OpInc'!Q133),ISNUMBER('Semi Rev'!Q133),'Semi Rev'!Q133&gt;0),'Semi OpInc'!Q133/'Semi Rev'!Q133,""),"")</f>
        <v/>
      </c>
      <c r="N844" s="38">
        <f>IFERROR(IF(AND(ISNUMBER('Semi OpInc'!R133),ISNUMBER('Semi Rev'!R133),'Semi Rev'!R133&gt;0),'Semi OpInc'!R133/'Semi Rev'!R133,""),"")</f>
        <v/>
      </c>
    </row>
    <row r="845">
      <c r="A845" s="19">
        <f>'Semi Rev'!$A134</f>
        <v/>
      </c>
      <c r="B845" s="19">
        <f>'Semi Rev'!$B134</f>
        <v/>
      </c>
      <c r="C845" s="37">
        <f>IFERROR(IF(AND(ISNUMBER('Semi OpInc'!G134),ISNUMBER('Semi Rev'!G134),'Semi Rev'!G134&gt;0),'Semi OpInc'!G134/'Semi Rev'!G134,""),"")</f>
        <v/>
      </c>
      <c r="D845" s="37">
        <f>IFERROR(IF(AND(ISNUMBER('Semi OpInc'!H134),ISNUMBER('Semi Rev'!H134),'Semi Rev'!H134&gt;0),'Semi OpInc'!H134/'Semi Rev'!H134,""),"")</f>
        <v/>
      </c>
      <c r="E845" s="37">
        <f>IFERROR(IF(AND(ISNUMBER('Semi OpInc'!I134),ISNUMBER('Semi Rev'!I134),'Semi Rev'!I134&gt;0),'Semi OpInc'!I134/'Semi Rev'!I134,""),"")</f>
        <v/>
      </c>
      <c r="F845" s="37">
        <f>IFERROR(IF(AND(ISNUMBER('Semi OpInc'!J134),ISNUMBER('Semi Rev'!J134),'Semi Rev'!J134&gt;0),'Semi OpInc'!J134/'Semi Rev'!J134,""),"")</f>
        <v/>
      </c>
      <c r="G845" s="37">
        <f>IFERROR(IF(AND(ISNUMBER('Semi OpInc'!K134),ISNUMBER('Semi Rev'!K134),'Semi Rev'!K134&gt;0),'Semi OpInc'!K134/'Semi Rev'!K134,""),"")</f>
        <v/>
      </c>
      <c r="H845" s="37">
        <f>IFERROR(IF(AND(ISNUMBER('Semi OpInc'!L134),ISNUMBER('Semi Rev'!L134),'Semi Rev'!L134&gt;0),'Semi OpInc'!L134/'Semi Rev'!L134,""),"")</f>
        <v/>
      </c>
      <c r="I845" s="37">
        <f>IFERROR(IF(AND(ISNUMBER('Semi OpInc'!M134),ISNUMBER('Semi Rev'!M134),'Semi Rev'!M134&gt;0),'Semi OpInc'!M134/'Semi Rev'!M134,""),"")</f>
        <v/>
      </c>
      <c r="J845" s="37">
        <f>IFERROR(IF(AND(ISNUMBER('Semi OpInc'!N134),ISNUMBER('Semi Rev'!N134),'Semi Rev'!N134&gt;0),'Semi OpInc'!N134/'Semi Rev'!N134,""),"")</f>
        <v/>
      </c>
      <c r="K845" s="37">
        <f>IFERROR(IF(AND(ISNUMBER('Semi OpInc'!O134),ISNUMBER('Semi Rev'!O134),'Semi Rev'!O134&gt;0),'Semi OpInc'!O134/'Semi Rev'!O134,""),"")</f>
        <v/>
      </c>
      <c r="L845" s="37">
        <f>IFERROR(IF(AND(ISNUMBER('Semi OpInc'!P134),ISNUMBER('Semi Rev'!P134),'Semi Rev'!P134&gt;0),'Semi OpInc'!P134/'Semi Rev'!P134,""),"")</f>
        <v/>
      </c>
      <c r="M845" s="38">
        <f>IFERROR(IF(AND(ISNUMBER('Semi OpInc'!Q134),ISNUMBER('Semi Rev'!Q134),'Semi Rev'!Q134&gt;0),'Semi OpInc'!Q134/'Semi Rev'!Q134,""),"")</f>
        <v/>
      </c>
      <c r="N845" s="38">
        <f>IFERROR(IF(AND(ISNUMBER('Semi OpInc'!R134),ISNUMBER('Semi Rev'!R134),'Semi Rev'!R134&gt;0),'Semi OpInc'!R134/'Semi Rev'!R134,""),"")</f>
        <v/>
      </c>
    </row>
    <row r="846">
      <c r="A846" s="19">
        <f>'Semi Rev'!$A135</f>
        <v/>
      </c>
      <c r="B846" s="19">
        <f>'Semi Rev'!$B135</f>
        <v/>
      </c>
      <c r="C846" s="37">
        <f>IFERROR(IF(AND(ISNUMBER('Semi OpInc'!G135),ISNUMBER('Semi Rev'!G135),'Semi Rev'!G135&gt;0),'Semi OpInc'!G135/'Semi Rev'!G135,""),"")</f>
        <v/>
      </c>
      <c r="D846" s="37">
        <f>IFERROR(IF(AND(ISNUMBER('Semi OpInc'!H135),ISNUMBER('Semi Rev'!H135),'Semi Rev'!H135&gt;0),'Semi OpInc'!H135/'Semi Rev'!H135,""),"")</f>
        <v/>
      </c>
      <c r="E846" s="37">
        <f>IFERROR(IF(AND(ISNUMBER('Semi OpInc'!I135),ISNUMBER('Semi Rev'!I135),'Semi Rev'!I135&gt;0),'Semi OpInc'!I135/'Semi Rev'!I135,""),"")</f>
        <v/>
      </c>
      <c r="F846" s="37">
        <f>IFERROR(IF(AND(ISNUMBER('Semi OpInc'!J135),ISNUMBER('Semi Rev'!J135),'Semi Rev'!J135&gt;0),'Semi OpInc'!J135/'Semi Rev'!J135,""),"")</f>
        <v/>
      </c>
      <c r="G846" s="37">
        <f>IFERROR(IF(AND(ISNUMBER('Semi OpInc'!K135),ISNUMBER('Semi Rev'!K135),'Semi Rev'!K135&gt;0),'Semi OpInc'!K135/'Semi Rev'!K135,""),"")</f>
        <v/>
      </c>
      <c r="H846" s="37">
        <f>IFERROR(IF(AND(ISNUMBER('Semi OpInc'!L135),ISNUMBER('Semi Rev'!L135),'Semi Rev'!L135&gt;0),'Semi OpInc'!L135/'Semi Rev'!L135,""),"")</f>
        <v/>
      </c>
      <c r="I846" s="37">
        <f>IFERROR(IF(AND(ISNUMBER('Semi OpInc'!M135),ISNUMBER('Semi Rev'!M135),'Semi Rev'!M135&gt;0),'Semi OpInc'!M135/'Semi Rev'!M135,""),"")</f>
        <v/>
      </c>
      <c r="J846" s="37">
        <f>IFERROR(IF(AND(ISNUMBER('Semi OpInc'!N135),ISNUMBER('Semi Rev'!N135),'Semi Rev'!N135&gt;0),'Semi OpInc'!N135/'Semi Rev'!N135,""),"")</f>
        <v/>
      </c>
      <c r="K846" s="37">
        <f>IFERROR(IF(AND(ISNUMBER('Semi OpInc'!O135),ISNUMBER('Semi Rev'!O135),'Semi Rev'!O135&gt;0),'Semi OpInc'!O135/'Semi Rev'!O135,""),"")</f>
        <v/>
      </c>
      <c r="L846" s="37">
        <f>IFERROR(IF(AND(ISNUMBER('Semi OpInc'!P135),ISNUMBER('Semi Rev'!P135),'Semi Rev'!P135&gt;0),'Semi OpInc'!P135/'Semi Rev'!P135,""),"")</f>
        <v/>
      </c>
      <c r="M846" s="38">
        <f>IFERROR(IF(AND(ISNUMBER('Semi OpInc'!Q135),ISNUMBER('Semi Rev'!Q135),'Semi Rev'!Q135&gt;0),'Semi OpInc'!Q135/'Semi Rev'!Q135,""),"")</f>
        <v/>
      </c>
      <c r="N846" s="38">
        <f>IFERROR(IF(AND(ISNUMBER('Semi OpInc'!R135),ISNUMBER('Semi Rev'!R135),'Semi Rev'!R135&gt;0),'Semi OpInc'!R135/'Semi Rev'!R135,""),"")</f>
        <v/>
      </c>
    </row>
    <row r="847">
      <c r="A847" s="19">
        <f>'Semi Rev'!$A136</f>
        <v/>
      </c>
      <c r="B847" s="19">
        <f>'Semi Rev'!$B136</f>
        <v/>
      </c>
      <c r="C847" s="37">
        <f>IFERROR(IF(AND(ISNUMBER('Semi OpInc'!G136),ISNUMBER('Semi Rev'!G136),'Semi Rev'!G136&gt;0),'Semi OpInc'!G136/'Semi Rev'!G136,""),"")</f>
        <v/>
      </c>
      <c r="D847" s="37">
        <f>IFERROR(IF(AND(ISNUMBER('Semi OpInc'!H136),ISNUMBER('Semi Rev'!H136),'Semi Rev'!H136&gt;0),'Semi OpInc'!H136/'Semi Rev'!H136,""),"")</f>
        <v/>
      </c>
      <c r="E847" s="37">
        <f>IFERROR(IF(AND(ISNUMBER('Semi OpInc'!I136),ISNUMBER('Semi Rev'!I136),'Semi Rev'!I136&gt;0),'Semi OpInc'!I136/'Semi Rev'!I136,""),"")</f>
        <v/>
      </c>
      <c r="F847" s="37">
        <f>IFERROR(IF(AND(ISNUMBER('Semi OpInc'!J136),ISNUMBER('Semi Rev'!J136),'Semi Rev'!J136&gt;0),'Semi OpInc'!J136/'Semi Rev'!J136,""),"")</f>
        <v/>
      </c>
      <c r="G847" s="37">
        <f>IFERROR(IF(AND(ISNUMBER('Semi OpInc'!K136),ISNUMBER('Semi Rev'!K136),'Semi Rev'!K136&gt;0),'Semi OpInc'!K136/'Semi Rev'!K136,""),"")</f>
        <v/>
      </c>
      <c r="H847" s="37">
        <f>IFERROR(IF(AND(ISNUMBER('Semi OpInc'!L136),ISNUMBER('Semi Rev'!L136),'Semi Rev'!L136&gt;0),'Semi OpInc'!L136/'Semi Rev'!L136,""),"")</f>
        <v/>
      </c>
      <c r="I847" s="37">
        <f>IFERROR(IF(AND(ISNUMBER('Semi OpInc'!M136),ISNUMBER('Semi Rev'!M136),'Semi Rev'!M136&gt;0),'Semi OpInc'!M136/'Semi Rev'!M136,""),"")</f>
        <v/>
      </c>
      <c r="J847" s="37">
        <f>IFERROR(IF(AND(ISNUMBER('Semi OpInc'!N136),ISNUMBER('Semi Rev'!N136),'Semi Rev'!N136&gt;0),'Semi OpInc'!N136/'Semi Rev'!N136,""),"")</f>
        <v/>
      </c>
      <c r="K847" s="37">
        <f>IFERROR(IF(AND(ISNUMBER('Semi OpInc'!O136),ISNUMBER('Semi Rev'!O136),'Semi Rev'!O136&gt;0),'Semi OpInc'!O136/'Semi Rev'!O136,""),"")</f>
        <v/>
      </c>
      <c r="L847" s="37">
        <f>IFERROR(IF(AND(ISNUMBER('Semi OpInc'!P136),ISNUMBER('Semi Rev'!P136),'Semi Rev'!P136&gt;0),'Semi OpInc'!P136/'Semi Rev'!P136,""),"")</f>
        <v/>
      </c>
      <c r="M847" s="38">
        <f>IFERROR(IF(AND(ISNUMBER('Semi OpInc'!Q136),ISNUMBER('Semi Rev'!Q136),'Semi Rev'!Q136&gt;0),'Semi OpInc'!Q136/'Semi Rev'!Q136,""),"")</f>
        <v/>
      </c>
      <c r="N847" s="38">
        <f>IFERROR(IF(AND(ISNUMBER('Semi OpInc'!R136),ISNUMBER('Semi Rev'!R136),'Semi Rev'!R136&gt;0),'Semi OpInc'!R136/'Semi Rev'!R136,""),"")</f>
        <v/>
      </c>
    </row>
    <row r="848">
      <c r="A848" s="19">
        <f>'Semi Rev'!$A137</f>
        <v/>
      </c>
      <c r="B848" s="19">
        <f>'Semi Rev'!$B137</f>
        <v/>
      </c>
      <c r="C848" s="37">
        <f>IFERROR(IF(AND(ISNUMBER('Semi OpInc'!G137),ISNUMBER('Semi Rev'!G137),'Semi Rev'!G137&gt;0),'Semi OpInc'!G137/'Semi Rev'!G137,""),"")</f>
        <v/>
      </c>
      <c r="D848" s="37">
        <f>IFERROR(IF(AND(ISNUMBER('Semi OpInc'!H137),ISNUMBER('Semi Rev'!H137),'Semi Rev'!H137&gt;0),'Semi OpInc'!H137/'Semi Rev'!H137,""),"")</f>
        <v/>
      </c>
      <c r="E848" s="37">
        <f>IFERROR(IF(AND(ISNUMBER('Semi OpInc'!I137),ISNUMBER('Semi Rev'!I137),'Semi Rev'!I137&gt;0),'Semi OpInc'!I137/'Semi Rev'!I137,""),"")</f>
        <v/>
      </c>
      <c r="F848" s="37">
        <f>IFERROR(IF(AND(ISNUMBER('Semi OpInc'!J137),ISNUMBER('Semi Rev'!J137),'Semi Rev'!J137&gt;0),'Semi OpInc'!J137/'Semi Rev'!J137,""),"")</f>
        <v/>
      </c>
      <c r="G848" s="37">
        <f>IFERROR(IF(AND(ISNUMBER('Semi OpInc'!K137),ISNUMBER('Semi Rev'!K137),'Semi Rev'!K137&gt;0),'Semi OpInc'!K137/'Semi Rev'!K137,""),"")</f>
        <v/>
      </c>
      <c r="H848" s="37">
        <f>IFERROR(IF(AND(ISNUMBER('Semi OpInc'!L137),ISNUMBER('Semi Rev'!L137),'Semi Rev'!L137&gt;0),'Semi OpInc'!L137/'Semi Rev'!L137,""),"")</f>
        <v/>
      </c>
      <c r="I848" s="37">
        <f>IFERROR(IF(AND(ISNUMBER('Semi OpInc'!M137),ISNUMBER('Semi Rev'!M137),'Semi Rev'!M137&gt;0),'Semi OpInc'!M137/'Semi Rev'!M137,""),"")</f>
        <v/>
      </c>
      <c r="J848" s="37">
        <f>IFERROR(IF(AND(ISNUMBER('Semi OpInc'!N137),ISNUMBER('Semi Rev'!N137),'Semi Rev'!N137&gt;0),'Semi OpInc'!N137/'Semi Rev'!N137,""),"")</f>
        <v/>
      </c>
      <c r="K848" s="37">
        <f>IFERROR(IF(AND(ISNUMBER('Semi OpInc'!O137),ISNUMBER('Semi Rev'!O137),'Semi Rev'!O137&gt;0),'Semi OpInc'!O137/'Semi Rev'!O137,""),"")</f>
        <v/>
      </c>
      <c r="L848" s="37">
        <f>IFERROR(IF(AND(ISNUMBER('Semi OpInc'!P137),ISNUMBER('Semi Rev'!P137),'Semi Rev'!P137&gt;0),'Semi OpInc'!P137/'Semi Rev'!P137,""),"")</f>
        <v/>
      </c>
      <c r="M848" s="38">
        <f>IFERROR(IF(AND(ISNUMBER('Semi OpInc'!Q137),ISNUMBER('Semi Rev'!Q137),'Semi Rev'!Q137&gt;0),'Semi OpInc'!Q137/'Semi Rev'!Q137,""),"")</f>
        <v/>
      </c>
      <c r="N848" s="38">
        <f>IFERROR(IF(AND(ISNUMBER('Semi OpInc'!R137),ISNUMBER('Semi Rev'!R137),'Semi Rev'!R137&gt;0),'Semi OpInc'!R137/'Semi Rev'!R137,""),"")</f>
        <v/>
      </c>
    </row>
    <row r="849">
      <c r="A849" s="19">
        <f>'Semi Rev'!$A138</f>
        <v/>
      </c>
      <c r="B849" s="19">
        <f>'Semi Rev'!$B138</f>
        <v/>
      </c>
      <c r="C849" s="37">
        <f>IFERROR(IF(AND(ISNUMBER('Semi OpInc'!G138),ISNUMBER('Semi Rev'!G138),'Semi Rev'!G138&gt;0),'Semi OpInc'!G138/'Semi Rev'!G138,""),"")</f>
        <v/>
      </c>
      <c r="D849" s="37">
        <f>IFERROR(IF(AND(ISNUMBER('Semi OpInc'!H138),ISNUMBER('Semi Rev'!H138),'Semi Rev'!H138&gt;0),'Semi OpInc'!H138/'Semi Rev'!H138,""),"")</f>
        <v/>
      </c>
      <c r="E849" s="37">
        <f>IFERROR(IF(AND(ISNUMBER('Semi OpInc'!I138),ISNUMBER('Semi Rev'!I138),'Semi Rev'!I138&gt;0),'Semi OpInc'!I138/'Semi Rev'!I138,""),"")</f>
        <v/>
      </c>
      <c r="F849" s="37">
        <f>IFERROR(IF(AND(ISNUMBER('Semi OpInc'!J138),ISNUMBER('Semi Rev'!J138),'Semi Rev'!J138&gt;0),'Semi OpInc'!J138/'Semi Rev'!J138,""),"")</f>
        <v/>
      </c>
      <c r="G849" s="37">
        <f>IFERROR(IF(AND(ISNUMBER('Semi OpInc'!K138),ISNUMBER('Semi Rev'!K138),'Semi Rev'!K138&gt;0),'Semi OpInc'!K138/'Semi Rev'!K138,""),"")</f>
        <v/>
      </c>
      <c r="H849" s="37">
        <f>IFERROR(IF(AND(ISNUMBER('Semi OpInc'!L138),ISNUMBER('Semi Rev'!L138),'Semi Rev'!L138&gt;0),'Semi OpInc'!L138/'Semi Rev'!L138,""),"")</f>
        <v/>
      </c>
      <c r="I849" s="37">
        <f>IFERROR(IF(AND(ISNUMBER('Semi OpInc'!M138),ISNUMBER('Semi Rev'!M138),'Semi Rev'!M138&gt;0),'Semi OpInc'!M138/'Semi Rev'!M138,""),"")</f>
        <v/>
      </c>
      <c r="J849" s="37">
        <f>IFERROR(IF(AND(ISNUMBER('Semi OpInc'!N138),ISNUMBER('Semi Rev'!N138),'Semi Rev'!N138&gt;0),'Semi OpInc'!N138/'Semi Rev'!N138,""),"")</f>
        <v/>
      </c>
      <c r="K849" s="37">
        <f>IFERROR(IF(AND(ISNUMBER('Semi OpInc'!O138),ISNUMBER('Semi Rev'!O138),'Semi Rev'!O138&gt;0),'Semi OpInc'!O138/'Semi Rev'!O138,""),"")</f>
        <v/>
      </c>
      <c r="L849" s="37">
        <f>IFERROR(IF(AND(ISNUMBER('Semi OpInc'!P138),ISNUMBER('Semi Rev'!P138),'Semi Rev'!P138&gt;0),'Semi OpInc'!P138/'Semi Rev'!P138,""),"")</f>
        <v/>
      </c>
      <c r="M849" s="38">
        <f>IFERROR(IF(AND(ISNUMBER('Semi OpInc'!Q138),ISNUMBER('Semi Rev'!Q138),'Semi Rev'!Q138&gt;0),'Semi OpInc'!Q138/'Semi Rev'!Q138,""),"")</f>
        <v/>
      </c>
      <c r="N849" s="38">
        <f>IFERROR(IF(AND(ISNUMBER('Semi OpInc'!R138),ISNUMBER('Semi Rev'!R138),'Semi Rev'!R138&gt;0),'Semi OpInc'!R138/'Semi Rev'!R138,""),"")</f>
        <v/>
      </c>
    </row>
    <row r="850">
      <c r="A850" s="19">
        <f>'Semi Rev'!$A139</f>
        <v/>
      </c>
      <c r="B850" s="19">
        <f>'Semi Rev'!$B139</f>
        <v/>
      </c>
      <c r="C850" s="37">
        <f>IFERROR(IF(AND(ISNUMBER('Semi OpInc'!G139),ISNUMBER('Semi Rev'!G139),'Semi Rev'!G139&gt;0),'Semi OpInc'!G139/'Semi Rev'!G139,""),"")</f>
        <v/>
      </c>
      <c r="D850" s="37">
        <f>IFERROR(IF(AND(ISNUMBER('Semi OpInc'!H139),ISNUMBER('Semi Rev'!H139),'Semi Rev'!H139&gt;0),'Semi OpInc'!H139/'Semi Rev'!H139,""),"")</f>
        <v/>
      </c>
      <c r="E850" s="37">
        <f>IFERROR(IF(AND(ISNUMBER('Semi OpInc'!I139),ISNUMBER('Semi Rev'!I139),'Semi Rev'!I139&gt;0),'Semi OpInc'!I139/'Semi Rev'!I139,""),"")</f>
        <v/>
      </c>
      <c r="F850" s="37">
        <f>IFERROR(IF(AND(ISNUMBER('Semi OpInc'!J139),ISNUMBER('Semi Rev'!J139),'Semi Rev'!J139&gt;0),'Semi OpInc'!J139/'Semi Rev'!J139,""),"")</f>
        <v/>
      </c>
      <c r="G850" s="37">
        <f>IFERROR(IF(AND(ISNUMBER('Semi OpInc'!K139),ISNUMBER('Semi Rev'!K139),'Semi Rev'!K139&gt;0),'Semi OpInc'!K139/'Semi Rev'!K139,""),"")</f>
        <v/>
      </c>
      <c r="H850" s="37">
        <f>IFERROR(IF(AND(ISNUMBER('Semi OpInc'!L139),ISNUMBER('Semi Rev'!L139),'Semi Rev'!L139&gt;0),'Semi OpInc'!L139/'Semi Rev'!L139,""),"")</f>
        <v/>
      </c>
      <c r="I850" s="37">
        <f>IFERROR(IF(AND(ISNUMBER('Semi OpInc'!M139),ISNUMBER('Semi Rev'!M139),'Semi Rev'!M139&gt;0),'Semi OpInc'!M139/'Semi Rev'!M139,""),"")</f>
        <v/>
      </c>
      <c r="J850" s="37">
        <f>IFERROR(IF(AND(ISNUMBER('Semi OpInc'!N139),ISNUMBER('Semi Rev'!N139),'Semi Rev'!N139&gt;0),'Semi OpInc'!N139/'Semi Rev'!N139,""),"")</f>
        <v/>
      </c>
      <c r="K850" s="37">
        <f>IFERROR(IF(AND(ISNUMBER('Semi OpInc'!O139),ISNUMBER('Semi Rev'!O139),'Semi Rev'!O139&gt;0),'Semi OpInc'!O139/'Semi Rev'!O139,""),"")</f>
        <v/>
      </c>
      <c r="L850" s="37">
        <f>IFERROR(IF(AND(ISNUMBER('Semi OpInc'!P139),ISNUMBER('Semi Rev'!P139),'Semi Rev'!P139&gt;0),'Semi OpInc'!P139/'Semi Rev'!P139,""),"")</f>
        <v/>
      </c>
      <c r="M850" s="38">
        <f>IFERROR(IF(AND(ISNUMBER('Semi OpInc'!Q139),ISNUMBER('Semi Rev'!Q139),'Semi Rev'!Q139&gt;0),'Semi OpInc'!Q139/'Semi Rev'!Q139,""),"")</f>
        <v/>
      </c>
      <c r="N850" s="38">
        <f>IFERROR(IF(AND(ISNUMBER('Semi OpInc'!R139),ISNUMBER('Semi Rev'!R139),'Semi Rev'!R139&gt;0),'Semi OpInc'!R139/'Semi Rev'!R139,""),"")</f>
        <v/>
      </c>
    </row>
    <row r="851">
      <c r="A851" s="19">
        <f>'Semi Rev'!$A140</f>
        <v/>
      </c>
      <c r="B851" s="19">
        <f>'Semi Rev'!$B140</f>
        <v/>
      </c>
      <c r="C851" s="37">
        <f>IFERROR(IF(AND(ISNUMBER('Semi OpInc'!G140),ISNUMBER('Semi Rev'!G140),'Semi Rev'!G140&gt;0),'Semi OpInc'!G140/'Semi Rev'!G140,""),"")</f>
        <v/>
      </c>
      <c r="D851" s="37">
        <f>IFERROR(IF(AND(ISNUMBER('Semi OpInc'!H140),ISNUMBER('Semi Rev'!H140),'Semi Rev'!H140&gt;0),'Semi OpInc'!H140/'Semi Rev'!H140,""),"")</f>
        <v/>
      </c>
      <c r="E851" s="37">
        <f>IFERROR(IF(AND(ISNUMBER('Semi OpInc'!I140),ISNUMBER('Semi Rev'!I140),'Semi Rev'!I140&gt;0),'Semi OpInc'!I140/'Semi Rev'!I140,""),"")</f>
        <v/>
      </c>
      <c r="F851" s="37">
        <f>IFERROR(IF(AND(ISNUMBER('Semi OpInc'!J140),ISNUMBER('Semi Rev'!J140),'Semi Rev'!J140&gt;0),'Semi OpInc'!J140/'Semi Rev'!J140,""),"")</f>
        <v/>
      </c>
      <c r="G851" s="37">
        <f>IFERROR(IF(AND(ISNUMBER('Semi OpInc'!K140),ISNUMBER('Semi Rev'!K140),'Semi Rev'!K140&gt;0),'Semi OpInc'!K140/'Semi Rev'!K140,""),"")</f>
        <v/>
      </c>
      <c r="H851" s="37">
        <f>IFERROR(IF(AND(ISNUMBER('Semi OpInc'!L140),ISNUMBER('Semi Rev'!L140),'Semi Rev'!L140&gt;0),'Semi OpInc'!L140/'Semi Rev'!L140,""),"")</f>
        <v/>
      </c>
      <c r="I851" s="37">
        <f>IFERROR(IF(AND(ISNUMBER('Semi OpInc'!M140),ISNUMBER('Semi Rev'!M140),'Semi Rev'!M140&gt;0),'Semi OpInc'!M140/'Semi Rev'!M140,""),"")</f>
        <v/>
      </c>
      <c r="J851" s="37">
        <f>IFERROR(IF(AND(ISNUMBER('Semi OpInc'!N140),ISNUMBER('Semi Rev'!N140),'Semi Rev'!N140&gt;0),'Semi OpInc'!N140/'Semi Rev'!N140,""),"")</f>
        <v/>
      </c>
      <c r="K851" s="37">
        <f>IFERROR(IF(AND(ISNUMBER('Semi OpInc'!O140),ISNUMBER('Semi Rev'!O140),'Semi Rev'!O140&gt;0),'Semi OpInc'!O140/'Semi Rev'!O140,""),"")</f>
        <v/>
      </c>
      <c r="L851" s="37">
        <f>IFERROR(IF(AND(ISNUMBER('Semi OpInc'!P140),ISNUMBER('Semi Rev'!P140),'Semi Rev'!P140&gt;0),'Semi OpInc'!P140/'Semi Rev'!P140,""),"")</f>
        <v/>
      </c>
      <c r="M851" s="38">
        <f>IFERROR(IF(AND(ISNUMBER('Semi OpInc'!Q140),ISNUMBER('Semi Rev'!Q140),'Semi Rev'!Q140&gt;0),'Semi OpInc'!Q140/'Semi Rev'!Q140,""),"")</f>
        <v/>
      </c>
      <c r="N851" s="38">
        <f>IFERROR(IF(AND(ISNUMBER('Semi OpInc'!R140),ISNUMBER('Semi Rev'!R140),'Semi Rev'!R140&gt;0),'Semi OpInc'!R140/'Semi Rev'!R140,""),"")</f>
        <v/>
      </c>
    </row>
    <row r="852">
      <c r="A852" s="19">
        <f>'Semi Rev'!$A141</f>
        <v/>
      </c>
      <c r="B852" s="19">
        <f>'Semi Rev'!$B141</f>
        <v/>
      </c>
      <c r="C852" s="37">
        <f>IFERROR(IF(AND(ISNUMBER('Semi OpInc'!G141),ISNUMBER('Semi Rev'!G141),'Semi Rev'!G141&gt;0),'Semi OpInc'!G141/'Semi Rev'!G141,""),"")</f>
        <v/>
      </c>
      <c r="D852" s="37">
        <f>IFERROR(IF(AND(ISNUMBER('Semi OpInc'!H141),ISNUMBER('Semi Rev'!H141),'Semi Rev'!H141&gt;0),'Semi OpInc'!H141/'Semi Rev'!H141,""),"")</f>
        <v/>
      </c>
      <c r="E852" s="37">
        <f>IFERROR(IF(AND(ISNUMBER('Semi OpInc'!I141),ISNUMBER('Semi Rev'!I141),'Semi Rev'!I141&gt;0),'Semi OpInc'!I141/'Semi Rev'!I141,""),"")</f>
        <v/>
      </c>
      <c r="F852" s="37">
        <f>IFERROR(IF(AND(ISNUMBER('Semi OpInc'!J141),ISNUMBER('Semi Rev'!J141),'Semi Rev'!J141&gt;0),'Semi OpInc'!J141/'Semi Rev'!J141,""),"")</f>
        <v/>
      </c>
      <c r="G852" s="37">
        <f>IFERROR(IF(AND(ISNUMBER('Semi OpInc'!K141),ISNUMBER('Semi Rev'!K141),'Semi Rev'!K141&gt;0),'Semi OpInc'!K141/'Semi Rev'!K141,""),"")</f>
        <v/>
      </c>
      <c r="H852" s="37">
        <f>IFERROR(IF(AND(ISNUMBER('Semi OpInc'!L141),ISNUMBER('Semi Rev'!L141),'Semi Rev'!L141&gt;0),'Semi OpInc'!L141/'Semi Rev'!L141,""),"")</f>
        <v/>
      </c>
      <c r="I852" s="37">
        <f>IFERROR(IF(AND(ISNUMBER('Semi OpInc'!M141),ISNUMBER('Semi Rev'!M141),'Semi Rev'!M141&gt;0),'Semi OpInc'!M141/'Semi Rev'!M141,""),"")</f>
        <v/>
      </c>
      <c r="J852" s="37">
        <f>IFERROR(IF(AND(ISNUMBER('Semi OpInc'!N141),ISNUMBER('Semi Rev'!N141),'Semi Rev'!N141&gt;0),'Semi OpInc'!N141/'Semi Rev'!N141,""),"")</f>
        <v/>
      </c>
      <c r="K852" s="37">
        <f>IFERROR(IF(AND(ISNUMBER('Semi OpInc'!O141),ISNUMBER('Semi Rev'!O141),'Semi Rev'!O141&gt;0),'Semi OpInc'!O141/'Semi Rev'!O141,""),"")</f>
        <v/>
      </c>
      <c r="L852" s="37">
        <f>IFERROR(IF(AND(ISNUMBER('Semi OpInc'!P141),ISNUMBER('Semi Rev'!P141),'Semi Rev'!P141&gt;0),'Semi OpInc'!P141/'Semi Rev'!P141,""),"")</f>
        <v/>
      </c>
      <c r="M852" s="38">
        <f>IFERROR(IF(AND(ISNUMBER('Semi OpInc'!Q141),ISNUMBER('Semi Rev'!Q141),'Semi Rev'!Q141&gt;0),'Semi OpInc'!Q141/'Semi Rev'!Q141,""),"")</f>
        <v/>
      </c>
      <c r="N852" s="38">
        <f>IFERROR(IF(AND(ISNUMBER('Semi OpInc'!R141),ISNUMBER('Semi Rev'!R141),'Semi Rev'!R141&gt;0),'Semi OpInc'!R141/'Semi Rev'!R141,""),"")</f>
        <v/>
      </c>
    </row>
    <row r="853">
      <c r="A853" s="19">
        <f>'Semi Rev'!$A142</f>
        <v/>
      </c>
      <c r="B853" s="19">
        <f>'Semi Rev'!$B142</f>
        <v/>
      </c>
      <c r="C853" s="37">
        <f>IFERROR(IF(AND(ISNUMBER('Semi OpInc'!G142),ISNUMBER('Semi Rev'!G142),'Semi Rev'!G142&gt;0),'Semi OpInc'!G142/'Semi Rev'!G142,""),"")</f>
        <v/>
      </c>
      <c r="D853" s="37">
        <f>IFERROR(IF(AND(ISNUMBER('Semi OpInc'!H142),ISNUMBER('Semi Rev'!H142),'Semi Rev'!H142&gt;0),'Semi OpInc'!H142/'Semi Rev'!H142,""),"")</f>
        <v/>
      </c>
      <c r="E853" s="37">
        <f>IFERROR(IF(AND(ISNUMBER('Semi OpInc'!I142),ISNUMBER('Semi Rev'!I142),'Semi Rev'!I142&gt;0),'Semi OpInc'!I142/'Semi Rev'!I142,""),"")</f>
        <v/>
      </c>
      <c r="F853" s="37">
        <f>IFERROR(IF(AND(ISNUMBER('Semi OpInc'!J142),ISNUMBER('Semi Rev'!J142),'Semi Rev'!J142&gt;0),'Semi OpInc'!J142/'Semi Rev'!J142,""),"")</f>
        <v/>
      </c>
      <c r="G853" s="37">
        <f>IFERROR(IF(AND(ISNUMBER('Semi OpInc'!K142),ISNUMBER('Semi Rev'!K142),'Semi Rev'!K142&gt;0),'Semi OpInc'!K142/'Semi Rev'!K142,""),"")</f>
        <v/>
      </c>
      <c r="H853" s="37">
        <f>IFERROR(IF(AND(ISNUMBER('Semi OpInc'!L142),ISNUMBER('Semi Rev'!L142),'Semi Rev'!L142&gt;0),'Semi OpInc'!L142/'Semi Rev'!L142,""),"")</f>
        <v/>
      </c>
      <c r="I853" s="37">
        <f>IFERROR(IF(AND(ISNUMBER('Semi OpInc'!M142),ISNUMBER('Semi Rev'!M142),'Semi Rev'!M142&gt;0),'Semi OpInc'!M142/'Semi Rev'!M142,""),"")</f>
        <v/>
      </c>
      <c r="J853" s="37">
        <f>IFERROR(IF(AND(ISNUMBER('Semi OpInc'!N142),ISNUMBER('Semi Rev'!N142),'Semi Rev'!N142&gt;0),'Semi OpInc'!N142/'Semi Rev'!N142,""),"")</f>
        <v/>
      </c>
      <c r="K853" s="37">
        <f>IFERROR(IF(AND(ISNUMBER('Semi OpInc'!O142),ISNUMBER('Semi Rev'!O142),'Semi Rev'!O142&gt;0),'Semi OpInc'!O142/'Semi Rev'!O142,""),"")</f>
        <v/>
      </c>
      <c r="L853" s="37">
        <f>IFERROR(IF(AND(ISNUMBER('Semi OpInc'!P142),ISNUMBER('Semi Rev'!P142),'Semi Rev'!P142&gt;0),'Semi OpInc'!P142/'Semi Rev'!P142,""),"")</f>
        <v/>
      </c>
      <c r="M853" s="38">
        <f>IFERROR(IF(AND(ISNUMBER('Semi OpInc'!Q142),ISNUMBER('Semi Rev'!Q142),'Semi Rev'!Q142&gt;0),'Semi OpInc'!Q142/'Semi Rev'!Q142,""),"")</f>
        <v/>
      </c>
      <c r="N853" s="38">
        <f>IFERROR(IF(AND(ISNUMBER('Semi OpInc'!R142),ISNUMBER('Semi Rev'!R142),'Semi Rev'!R142&gt;0),'Semi OpInc'!R142/'Semi Rev'!R142,""),"")</f>
        <v/>
      </c>
    </row>
    <row r="854">
      <c r="A854" s="19">
        <f>'Semi Rev'!$A143</f>
        <v/>
      </c>
      <c r="B854" s="19">
        <f>'Semi Rev'!$B143</f>
        <v/>
      </c>
      <c r="C854" s="37">
        <f>IFERROR(IF(AND(ISNUMBER('Semi OpInc'!G143),ISNUMBER('Semi Rev'!G143),'Semi Rev'!G143&gt;0),'Semi OpInc'!G143/'Semi Rev'!G143,""),"")</f>
        <v/>
      </c>
      <c r="D854" s="37">
        <f>IFERROR(IF(AND(ISNUMBER('Semi OpInc'!H143),ISNUMBER('Semi Rev'!H143),'Semi Rev'!H143&gt;0),'Semi OpInc'!H143/'Semi Rev'!H143,""),"")</f>
        <v/>
      </c>
      <c r="E854" s="37">
        <f>IFERROR(IF(AND(ISNUMBER('Semi OpInc'!I143),ISNUMBER('Semi Rev'!I143),'Semi Rev'!I143&gt;0),'Semi OpInc'!I143/'Semi Rev'!I143,""),"")</f>
        <v/>
      </c>
      <c r="F854" s="37">
        <f>IFERROR(IF(AND(ISNUMBER('Semi OpInc'!J143),ISNUMBER('Semi Rev'!J143),'Semi Rev'!J143&gt;0),'Semi OpInc'!J143/'Semi Rev'!J143,""),"")</f>
        <v/>
      </c>
      <c r="G854" s="37">
        <f>IFERROR(IF(AND(ISNUMBER('Semi OpInc'!K143),ISNUMBER('Semi Rev'!K143),'Semi Rev'!K143&gt;0),'Semi OpInc'!K143/'Semi Rev'!K143,""),"")</f>
        <v/>
      </c>
      <c r="H854" s="37">
        <f>IFERROR(IF(AND(ISNUMBER('Semi OpInc'!L143),ISNUMBER('Semi Rev'!L143),'Semi Rev'!L143&gt;0),'Semi OpInc'!L143/'Semi Rev'!L143,""),"")</f>
        <v/>
      </c>
      <c r="I854" s="37">
        <f>IFERROR(IF(AND(ISNUMBER('Semi OpInc'!M143),ISNUMBER('Semi Rev'!M143),'Semi Rev'!M143&gt;0),'Semi OpInc'!M143/'Semi Rev'!M143,""),"")</f>
        <v/>
      </c>
      <c r="J854" s="37">
        <f>IFERROR(IF(AND(ISNUMBER('Semi OpInc'!N143),ISNUMBER('Semi Rev'!N143),'Semi Rev'!N143&gt;0),'Semi OpInc'!N143/'Semi Rev'!N143,""),"")</f>
        <v/>
      </c>
      <c r="K854" s="37">
        <f>IFERROR(IF(AND(ISNUMBER('Semi OpInc'!O143),ISNUMBER('Semi Rev'!O143),'Semi Rev'!O143&gt;0),'Semi OpInc'!O143/'Semi Rev'!O143,""),"")</f>
        <v/>
      </c>
      <c r="L854" s="37">
        <f>IFERROR(IF(AND(ISNUMBER('Semi OpInc'!P143),ISNUMBER('Semi Rev'!P143),'Semi Rev'!P143&gt;0),'Semi OpInc'!P143/'Semi Rev'!P143,""),"")</f>
        <v/>
      </c>
      <c r="M854" s="38">
        <f>IFERROR(IF(AND(ISNUMBER('Semi OpInc'!Q143),ISNUMBER('Semi Rev'!Q143),'Semi Rev'!Q143&gt;0),'Semi OpInc'!Q143/'Semi Rev'!Q143,""),"")</f>
        <v/>
      </c>
      <c r="N854" s="38">
        <f>IFERROR(IF(AND(ISNUMBER('Semi OpInc'!R143),ISNUMBER('Semi Rev'!R143),'Semi Rev'!R143&gt;0),'Semi OpInc'!R143/'Semi Rev'!R143,""),"")</f>
        <v/>
      </c>
    </row>
    <row r="856">
      <c r="A856" s="49" t="inlineStr">
        <is>
          <t>Op margin expansion YoY (bps)</t>
        </is>
      </c>
      <c r="B856" s="50" t="n"/>
      <c r="C856" s="50" t="n"/>
      <c r="D856" s="50" t="n"/>
      <c r="E856" s="50" t="n"/>
      <c r="F856" s="50" t="n"/>
      <c r="G856" s="50" t="n"/>
      <c r="H856" s="50" t="n"/>
      <c r="I856" s="50" t="n"/>
      <c r="J856" s="50" t="n"/>
      <c r="K856" s="50" t="n"/>
      <c r="L856" s="50" t="n"/>
      <c r="M856" s="50" t="n"/>
      <c r="N856" s="50" t="n"/>
    </row>
    <row r="857" ht="28" customHeight="1">
      <c r="A857" s="8" t="inlineStr">
        <is>
          <t>Ticker</t>
        </is>
      </c>
      <c r="B857" s="8" t="inlineStr">
        <is>
          <t>Latest Rpt Qtr</t>
        </is>
      </c>
      <c r="C857" s="8" t="inlineStr">
        <is>
          <t>FPO -9</t>
        </is>
      </c>
      <c r="D857" s="8" t="inlineStr">
        <is>
          <t>FPO -8</t>
        </is>
      </c>
      <c r="E857" s="8" t="inlineStr">
        <is>
          <t>FPO -7</t>
        </is>
      </c>
      <c r="F857" s="8" t="inlineStr">
        <is>
          <t>FPO -6</t>
        </is>
      </c>
      <c r="G857" s="8" t="inlineStr">
        <is>
          <t>FPO -5</t>
        </is>
      </c>
      <c r="H857" s="8" t="inlineStr">
        <is>
          <t>FPO -4</t>
        </is>
      </c>
      <c r="I857" s="8" t="inlineStr">
        <is>
          <t>FPO -3</t>
        </is>
      </c>
      <c r="J857" s="8" t="inlineStr">
        <is>
          <t>FPO -2</t>
        </is>
      </c>
      <c r="K857" s="8" t="inlineStr">
        <is>
          <t>FPO -1</t>
        </is>
      </c>
      <c r="L857" s="8" t="inlineStr">
        <is>
          <t>FPO 0 (latest rpt)</t>
        </is>
      </c>
      <c r="M857" s="8" t="inlineStr">
        <is>
          <t>FPO +1E</t>
        </is>
      </c>
      <c r="N857" s="8" t="inlineStr">
        <is>
          <t>FPO +2E</t>
        </is>
      </c>
    </row>
    <row r="858">
      <c r="A858" s="19">
        <f>'Semi Rev'!$A5</f>
        <v/>
      </c>
      <c r="B858" s="19">
        <f>'Semi Rev'!$B5</f>
        <v/>
      </c>
      <c r="C858" s="43">
        <f>IFERROR(IF(AND(ISNUMBER('Semi OpInc'!G5),ISNUMBER('Semi Rev'!G5),ISNUMBER('Semi OpInc'!C5),ISNUMBER('Semi Rev'!C5),'Semi Rev'!G5&gt;0,'Semi Rev'!C5&gt;0),('Semi OpInc'!G5/'Semi Rev'!G5-'Semi OpInc'!C5/'Semi Rev'!C5)*10000,""),"")</f>
        <v/>
      </c>
      <c r="D858" s="43">
        <f>IFERROR(IF(AND(ISNUMBER('Semi OpInc'!H5),ISNUMBER('Semi Rev'!H5),ISNUMBER('Semi OpInc'!D5),ISNUMBER('Semi Rev'!D5),'Semi Rev'!H5&gt;0,'Semi Rev'!D5&gt;0),('Semi OpInc'!H5/'Semi Rev'!H5-'Semi OpInc'!D5/'Semi Rev'!D5)*10000,""),"")</f>
        <v/>
      </c>
      <c r="E858" s="43">
        <f>IFERROR(IF(AND(ISNUMBER('Semi OpInc'!I5),ISNUMBER('Semi Rev'!I5),ISNUMBER('Semi OpInc'!E5),ISNUMBER('Semi Rev'!E5),'Semi Rev'!I5&gt;0,'Semi Rev'!E5&gt;0),('Semi OpInc'!I5/'Semi Rev'!I5-'Semi OpInc'!E5/'Semi Rev'!E5)*10000,""),"")</f>
        <v/>
      </c>
      <c r="F858" s="43">
        <f>IFERROR(IF(AND(ISNUMBER('Semi OpInc'!J5),ISNUMBER('Semi Rev'!J5),ISNUMBER('Semi OpInc'!F5),ISNUMBER('Semi Rev'!F5),'Semi Rev'!J5&gt;0,'Semi Rev'!F5&gt;0),('Semi OpInc'!J5/'Semi Rev'!J5-'Semi OpInc'!F5/'Semi Rev'!F5)*10000,""),"")</f>
        <v/>
      </c>
      <c r="G858" s="43">
        <f>IFERROR(IF(AND(ISNUMBER('Semi OpInc'!K5),ISNUMBER('Semi Rev'!K5),ISNUMBER('Semi OpInc'!G5),ISNUMBER('Semi Rev'!G5),'Semi Rev'!K5&gt;0,'Semi Rev'!G5&gt;0),('Semi OpInc'!K5/'Semi Rev'!K5-'Semi OpInc'!G5/'Semi Rev'!G5)*10000,""),"")</f>
        <v/>
      </c>
      <c r="H858" s="43">
        <f>IFERROR(IF(AND(ISNUMBER('Semi OpInc'!L5),ISNUMBER('Semi Rev'!L5),ISNUMBER('Semi OpInc'!H5),ISNUMBER('Semi Rev'!H5),'Semi Rev'!L5&gt;0,'Semi Rev'!H5&gt;0),('Semi OpInc'!L5/'Semi Rev'!L5-'Semi OpInc'!H5/'Semi Rev'!H5)*10000,""),"")</f>
        <v/>
      </c>
      <c r="I858" s="43">
        <f>IFERROR(IF(AND(ISNUMBER('Semi OpInc'!M5),ISNUMBER('Semi Rev'!M5),ISNUMBER('Semi OpInc'!I5),ISNUMBER('Semi Rev'!I5),'Semi Rev'!M5&gt;0,'Semi Rev'!I5&gt;0),('Semi OpInc'!M5/'Semi Rev'!M5-'Semi OpInc'!I5/'Semi Rev'!I5)*10000,""),"")</f>
        <v/>
      </c>
      <c r="J858" s="43">
        <f>IFERROR(IF(AND(ISNUMBER('Semi OpInc'!N5),ISNUMBER('Semi Rev'!N5),ISNUMBER('Semi OpInc'!J5),ISNUMBER('Semi Rev'!J5),'Semi Rev'!N5&gt;0,'Semi Rev'!J5&gt;0),('Semi OpInc'!N5/'Semi Rev'!N5-'Semi OpInc'!J5/'Semi Rev'!J5)*10000,""),"")</f>
        <v/>
      </c>
      <c r="K858" s="43">
        <f>IFERROR(IF(AND(ISNUMBER('Semi OpInc'!O5),ISNUMBER('Semi Rev'!O5),ISNUMBER('Semi OpInc'!K5),ISNUMBER('Semi Rev'!K5),'Semi Rev'!O5&gt;0,'Semi Rev'!K5&gt;0),('Semi OpInc'!O5/'Semi Rev'!O5-'Semi OpInc'!K5/'Semi Rev'!K5)*10000,""),"")</f>
        <v/>
      </c>
      <c r="L858" s="43">
        <f>IFERROR(IF(AND(ISNUMBER('Semi OpInc'!P5),ISNUMBER('Semi Rev'!P5),ISNUMBER('Semi OpInc'!L5),ISNUMBER('Semi Rev'!L5),'Semi Rev'!P5&gt;0,'Semi Rev'!L5&gt;0),('Semi OpInc'!P5/'Semi Rev'!P5-'Semi OpInc'!L5/'Semi Rev'!L5)*10000,""),"")</f>
        <v/>
      </c>
      <c r="M858" s="44">
        <f>IFERROR(IF(AND(ISNUMBER('Semi OpInc'!Q5),ISNUMBER('Semi Rev'!Q5),ISNUMBER('Semi OpInc'!M5),ISNUMBER('Semi Rev'!M5),'Semi Rev'!Q5&gt;0,'Semi Rev'!M5&gt;0),('Semi OpInc'!Q5/'Semi Rev'!Q5-'Semi OpInc'!M5/'Semi Rev'!M5)*10000,""),"")</f>
        <v/>
      </c>
      <c r="N858" s="44">
        <f>IFERROR(IF(AND(ISNUMBER('Semi OpInc'!R5),ISNUMBER('Semi Rev'!R5),ISNUMBER('Semi OpInc'!N5),ISNUMBER('Semi Rev'!N5),'Semi Rev'!R5&gt;0,'Semi Rev'!N5&gt;0),('Semi OpInc'!R5/'Semi Rev'!R5-'Semi OpInc'!N5/'Semi Rev'!N5)*10000,""),"")</f>
        <v/>
      </c>
    </row>
    <row r="859">
      <c r="A859" s="19">
        <f>'Semi Rev'!$A6</f>
        <v/>
      </c>
      <c r="B859" s="19">
        <f>'Semi Rev'!$B6</f>
        <v/>
      </c>
      <c r="C859" s="43">
        <f>IFERROR(IF(AND(ISNUMBER('Semi OpInc'!G6),ISNUMBER('Semi Rev'!G6),ISNUMBER('Semi OpInc'!C6),ISNUMBER('Semi Rev'!C6),'Semi Rev'!G6&gt;0,'Semi Rev'!C6&gt;0),('Semi OpInc'!G6/'Semi Rev'!G6-'Semi OpInc'!C6/'Semi Rev'!C6)*10000,""),"")</f>
        <v/>
      </c>
      <c r="D859" s="43">
        <f>IFERROR(IF(AND(ISNUMBER('Semi OpInc'!H6),ISNUMBER('Semi Rev'!H6),ISNUMBER('Semi OpInc'!D6),ISNUMBER('Semi Rev'!D6),'Semi Rev'!H6&gt;0,'Semi Rev'!D6&gt;0),('Semi OpInc'!H6/'Semi Rev'!H6-'Semi OpInc'!D6/'Semi Rev'!D6)*10000,""),"")</f>
        <v/>
      </c>
      <c r="E859" s="43">
        <f>IFERROR(IF(AND(ISNUMBER('Semi OpInc'!I6),ISNUMBER('Semi Rev'!I6),ISNUMBER('Semi OpInc'!E6),ISNUMBER('Semi Rev'!E6),'Semi Rev'!I6&gt;0,'Semi Rev'!E6&gt;0),('Semi OpInc'!I6/'Semi Rev'!I6-'Semi OpInc'!E6/'Semi Rev'!E6)*10000,""),"")</f>
        <v/>
      </c>
      <c r="F859" s="43">
        <f>IFERROR(IF(AND(ISNUMBER('Semi OpInc'!J6),ISNUMBER('Semi Rev'!J6),ISNUMBER('Semi OpInc'!F6),ISNUMBER('Semi Rev'!F6),'Semi Rev'!J6&gt;0,'Semi Rev'!F6&gt;0),('Semi OpInc'!J6/'Semi Rev'!J6-'Semi OpInc'!F6/'Semi Rev'!F6)*10000,""),"")</f>
        <v/>
      </c>
      <c r="G859" s="43">
        <f>IFERROR(IF(AND(ISNUMBER('Semi OpInc'!K6),ISNUMBER('Semi Rev'!K6),ISNUMBER('Semi OpInc'!G6),ISNUMBER('Semi Rev'!G6),'Semi Rev'!K6&gt;0,'Semi Rev'!G6&gt;0),('Semi OpInc'!K6/'Semi Rev'!K6-'Semi OpInc'!G6/'Semi Rev'!G6)*10000,""),"")</f>
        <v/>
      </c>
      <c r="H859" s="43">
        <f>IFERROR(IF(AND(ISNUMBER('Semi OpInc'!L6),ISNUMBER('Semi Rev'!L6),ISNUMBER('Semi OpInc'!H6),ISNUMBER('Semi Rev'!H6),'Semi Rev'!L6&gt;0,'Semi Rev'!H6&gt;0),('Semi OpInc'!L6/'Semi Rev'!L6-'Semi OpInc'!H6/'Semi Rev'!H6)*10000,""),"")</f>
        <v/>
      </c>
      <c r="I859" s="43">
        <f>IFERROR(IF(AND(ISNUMBER('Semi OpInc'!M6),ISNUMBER('Semi Rev'!M6),ISNUMBER('Semi OpInc'!I6),ISNUMBER('Semi Rev'!I6),'Semi Rev'!M6&gt;0,'Semi Rev'!I6&gt;0),('Semi OpInc'!M6/'Semi Rev'!M6-'Semi OpInc'!I6/'Semi Rev'!I6)*10000,""),"")</f>
        <v/>
      </c>
      <c r="J859" s="43">
        <f>IFERROR(IF(AND(ISNUMBER('Semi OpInc'!N6),ISNUMBER('Semi Rev'!N6),ISNUMBER('Semi OpInc'!J6),ISNUMBER('Semi Rev'!J6),'Semi Rev'!N6&gt;0,'Semi Rev'!J6&gt;0),('Semi OpInc'!N6/'Semi Rev'!N6-'Semi OpInc'!J6/'Semi Rev'!J6)*10000,""),"")</f>
        <v/>
      </c>
      <c r="K859" s="43">
        <f>IFERROR(IF(AND(ISNUMBER('Semi OpInc'!O6),ISNUMBER('Semi Rev'!O6),ISNUMBER('Semi OpInc'!K6),ISNUMBER('Semi Rev'!K6),'Semi Rev'!O6&gt;0,'Semi Rev'!K6&gt;0),('Semi OpInc'!O6/'Semi Rev'!O6-'Semi OpInc'!K6/'Semi Rev'!K6)*10000,""),"")</f>
        <v/>
      </c>
      <c r="L859" s="43">
        <f>IFERROR(IF(AND(ISNUMBER('Semi OpInc'!P6),ISNUMBER('Semi Rev'!P6),ISNUMBER('Semi OpInc'!L6),ISNUMBER('Semi Rev'!L6),'Semi Rev'!P6&gt;0,'Semi Rev'!L6&gt;0),('Semi OpInc'!P6/'Semi Rev'!P6-'Semi OpInc'!L6/'Semi Rev'!L6)*10000,""),"")</f>
        <v/>
      </c>
      <c r="M859" s="44">
        <f>IFERROR(IF(AND(ISNUMBER('Semi OpInc'!Q6),ISNUMBER('Semi Rev'!Q6),ISNUMBER('Semi OpInc'!M6),ISNUMBER('Semi Rev'!M6),'Semi Rev'!Q6&gt;0,'Semi Rev'!M6&gt;0),('Semi OpInc'!Q6/'Semi Rev'!Q6-'Semi OpInc'!M6/'Semi Rev'!M6)*10000,""),"")</f>
        <v/>
      </c>
      <c r="N859" s="44">
        <f>IFERROR(IF(AND(ISNUMBER('Semi OpInc'!R6),ISNUMBER('Semi Rev'!R6),ISNUMBER('Semi OpInc'!N6),ISNUMBER('Semi Rev'!N6),'Semi Rev'!R6&gt;0,'Semi Rev'!N6&gt;0),('Semi OpInc'!R6/'Semi Rev'!R6-'Semi OpInc'!N6/'Semi Rev'!N6)*10000,""),"")</f>
        <v/>
      </c>
    </row>
    <row r="860">
      <c r="A860" s="19">
        <f>'Semi Rev'!$A7</f>
        <v/>
      </c>
      <c r="B860" s="19">
        <f>'Semi Rev'!$B7</f>
        <v/>
      </c>
      <c r="C860" s="43">
        <f>IFERROR(IF(AND(ISNUMBER('Semi OpInc'!G7),ISNUMBER('Semi Rev'!G7),ISNUMBER('Semi OpInc'!C7),ISNUMBER('Semi Rev'!C7),'Semi Rev'!G7&gt;0,'Semi Rev'!C7&gt;0),('Semi OpInc'!G7/'Semi Rev'!G7-'Semi OpInc'!C7/'Semi Rev'!C7)*10000,""),"")</f>
        <v/>
      </c>
      <c r="D860" s="43">
        <f>IFERROR(IF(AND(ISNUMBER('Semi OpInc'!H7),ISNUMBER('Semi Rev'!H7),ISNUMBER('Semi OpInc'!D7),ISNUMBER('Semi Rev'!D7),'Semi Rev'!H7&gt;0,'Semi Rev'!D7&gt;0),('Semi OpInc'!H7/'Semi Rev'!H7-'Semi OpInc'!D7/'Semi Rev'!D7)*10000,""),"")</f>
        <v/>
      </c>
      <c r="E860" s="43">
        <f>IFERROR(IF(AND(ISNUMBER('Semi OpInc'!I7),ISNUMBER('Semi Rev'!I7),ISNUMBER('Semi OpInc'!E7),ISNUMBER('Semi Rev'!E7),'Semi Rev'!I7&gt;0,'Semi Rev'!E7&gt;0),('Semi OpInc'!I7/'Semi Rev'!I7-'Semi OpInc'!E7/'Semi Rev'!E7)*10000,""),"")</f>
        <v/>
      </c>
      <c r="F860" s="43">
        <f>IFERROR(IF(AND(ISNUMBER('Semi OpInc'!J7),ISNUMBER('Semi Rev'!J7),ISNUMBER('Semi OpInc'!F7),ISNUMBER('Semi Rev'!F7),'Semi Rev'!J7&gt;0,'Semi Rev'!F7&gt;0),('Semi OpInc'!J7/'Semi Rev'!J7-'Semi OpInc'!F7/'Semi Rev'!F7)*10000,""),"")</f>
        <v/>
      </c>
      <c r="G860" s="43">
        <f>IFERROR(IF(AND(ISNUMBER('Semi OpInc'!K7),ISNUMBER('Semi Rev'!K7),ISNUMBER('Semi OpInc'!G7),ISNUMBER('Semi Rev'!G7),'Semi Rev'!K7&gt;0,'Semi Rev'!G7&gt;0),('Semi OpInc'!K7/'Semi Rev'!K7-'Semi OpInc'!G7/'Semi Rev'!G7)*10000,""),"")</f>
        <v/>
      </c>
      <c r="H860" s="43">
        <f>IFERROR(IF(AND(ISNUMBER('Semi OpInc'!L7),ISNUMBER('Semi Rev'!L7),ISNUMBER('Semi OpInc'!H7),ISNUMBER('Semi Rev'!H7),'Semi Rev'!L7&gt;0,'Semi Rev'!H7&gt;0),('Semi OpInc'!L7/'Semi Rev'!L7-'Semi OpInc'!H7/'Semi Rev'!H7)*10000,""),"")</f>
        <v/>
      </c>
      <c r="I860" s="43">
        <f>IFERROR(IF(AND(ISNUMBER('Semi OpInc'!M7),ISNUMBER('Semi Rev'!M7),ISNUMBER('Semi OpInc'!I7),ISNUMBER('Semi Rev'!I7),'Semi Rev'!M7&gt;0,'Semi Rev'!I7&gt;0),('Semi OpInc'!M7/'Semi Rev'!M7-'Semi OpInc'!I7/'Semi Rev'!I7)*10000,""),"")</f>
        <v/>
      </c>
      <c r="J860" s="43">
        <f>IFERROR(IF(AND(ISNUMBER('Semi OpInc'!N7),ISNUMBER('Semi Rev'!N7),ISNUMBER('Semi OpInc'!J7),ISNUMBER('Semi Rev'!J7),'Semi Rev'!N7&gt;0,'Semi Rev'!J7&gt;0),('Semi OpInc'!N7/'Semi Rev'!N7-'Semi OpInc'!J7/'Semi Rev'!J7)*10000,""),"")</f>
        <v/>
      </c>
      <c r="K860" s="43">
        <f>IFERROR(IF(AND(ISNUMBER('Semi OpInc'!O7),ISNUMBER('Semi Rev'!O7),ISNUMBER('Semi OpInc'!K7),ISNUMBER('Semi Rev'!K7),'Semi Rev'!O7&gt;0,'Semi Rev'!K7&gt;0),('Semi OpInc'!O7/'Semi Rev'!O7-'Semi OpInc'!K7/'Semi Rev'!K7)*10000,""),"")</f>
        <v/>
      </c>
      <c r="L860" s="43">
        <f>IFERROR(IF(AND(ISNUMBER('Semi OpInc'!P7),ISNUMBER('Semi Rev'!P7),ISNUMBER('Semi OpInc'!L7),ISNUMBER('Semi Rev'!L7),'Semi Rev'!P7&gt;0,'Semi Rev'!L7&gt;0),('Semi OpInc'!P7/'Semi Rev'!P7-'Semi OpInc'!L7/'Semi Rev'!L7)*10000,""),"")</f>
        <v/>
      </c>
      <c r="M860" s="44">
        <f>IFERROR(IF(AND(ISNUMBER('Semi OpInc'!Q7),ISNUMBER('Semi Rev'!Q7),ISNUMBER('Semi OpInc'!M7),ISNUMBER('Semi Rev'!M7),'Semi Rev'!Q7&gt;0,'Semi Rev'!M7&gt;0),('Semi OpInc'!Q7/'Semi Rev'!Q7-'Semi OpInc'!M7/'Semi Rev'!M7)*10000,""),"")</f>
        <v/>
      </c>
      <c r="N860" s="44">
        <f>IFERROR(IF(AND(ISNUMBER('Semi OpInc'!R7),ISNUMBER('Semi Rev'!R7),ISNUMBER('Semi OpInc'!N7),ISNUMBER('Semi Rev'!N7),'Semi Rev'!R7&gt;0,'Semi Rev'!N7&gt;0),('Semi OpInc'!R7/'Semi Rev'!R7-'Semi OpInc'!N7/'Semi Rev'!N7)*10000,""),"")</f>
        <v/>
      </c>
    </row>
    <row r="861">
      <c r="A861" s="19">
        <f>'Semi Rev'!$A8</f>
        <v/>
      </c>
      <c r="B861" s="19">
        <f>'Semi Rev'!$B8</f>
        <v/>
      </c>
      <c r="C861" s="43">
        <f>IFERROR(IF(AND(ISNUMBER('Semi OpInc'!G8),ISNUMBER('Semi Rev'!G8),ISNUMBER('Semi OpInc'!C8),ISNUMBER('Semi Rev'!C8),'Semi Rev'!G8&gt;0,'Semi Rev'!C8&gt;0),('Semi OpInc'!G8/'Semi Rev'!G8-'Semi OpInc'!C8/'Semi Rev'!C8)*10000,""),"")</f>
        <v/>
      </c>
      <c r="D861" s="43">
        <f>IFERROR(IF(AND(ISNUMBER('Semi OpInc'!H8),ISNUMBER('Semi Rev'!H8),ISNUMBER('Semi OpInc'!D8),ISNUMBER('Semi Rev'!D8),'Semi Rev'!H8&gt;0,'Semi Rev'!D8&gt;0),('Semi OpInc'!H8/'Semi Rev'!H8-'Semi OpInc'!D8/'Semi Rev'!D8)*10000,""),"")</f>
        <v/>
      </c>
      <c r="E861" s="43">
        <f>IFERROR(IF(AND(ISNUMBER('Semi OpInc'!I8),ISNUMBER('Semi Rev'!I8),ISNUMBER('Semi OpInc'!E8),ISNUMBER('Semi Rev'!E8),'Semi Rev'!I8&gt;0,'Semi Rev'!E8&gt;0),('Semi OpInc'!I8/'Semi Rev'!I8-'Semi OpInc'!E8/'Semi Rev'!E8)*10000,""),"")</f>
        <v/>
      </c>
      <c r="F861" s="43">
        <f>IFERROR(IF(AND(ISNUMBER('Semi OpInc'!J8),ISNUMBER('Semi Rev'!J8),ISNUMBER('Semi OpInc'!F8),ISNUMBER('Semi Rev'!F8),'Semi Rev'!J8&gt;0,'Semi Rev'!F8&gt;0),('Semi OpInc'!J8/'Semi Rev'!J8-'Semi OpInc'!F8/'Semi Rev'!F8)*10000,""),"")</f>
        <v/>
      </c>
      <c r="G861" s="43">
        <f>IFERROR(IF(AND(ISNUMBER('Semi OpInc'!K8),ISNUMBER('Semi Rev'!K8),ISNUMBER('Semi OpInc'!G8),ISNUMBER('Semi Rev'!G8),'Semi Rev'!K8&gt;0,'Semi Rev'!G8&gt;0),('Semi OpInc'!K8/'Semi Rev'!K8-'Semi OpInc'!G8/'Semi Rev'!G8)*10000,""),"")</f>
        <v/>
      </c>
      <c r="H861" s="43">
        <f>IFERROR(IF(AND(ISNUMBER('Semi OpInc'!L8),ISNUMBER('Semi Rev'!L8),ISNUMBER('Semi OpInc'!H8),ISNUMBER('Semi Rev'!H8),'Semi Rev'!L8&gt;0,'Semi Rev'!H8&gt;0),('Semi OpInc'!L8/'Semi Rev'!L8-'Semi OpInc'!H8/'Semi Rev'!H8)*10000,""),"")</f>
        <v/>
      </c>
      <c r="I861" s="43">
        <f>IFERROR(IF(AND(ISNUMBER('Semi OpInc'!M8),ISNUMBER('Semi Rev'!M8),ISNUMBER('Semi OpInc'!I8),ISNUMBER('Semi Rev'!I8),'Semi Rev'!M8&gt;0,'Semi Rev'!I8&gt;0),('Semi OpInc'!M8/'Semi Rev'!M8-'Semi OpInc'!I8/'Semi Rev'!I8)*10000,""),"")</f>
        <v/>
      </c>
      <c r="J861" s="43">
        <f>IFERROR(IF(AND(ISNUMBER('Semi OpInc'!N8),ISNUMBER('Semi Rev'!N8),ISNUMBER('Semi OpInc'!J8),ISNUMBER('Semi Rev'!J8),'Semi Rev'!N8&gt;0,'Semi Rev'!J8&gt;0),('Semi OpInc'!N8/'Semi Rev'!N8-'Semi OpInc'!J8/'Semi Rev'!J8)*10000,""),"")</f>
        <v/>
      </c>
      <c r="K861" s="43">
        <f>IFERROR(IF(AND(ISNUMBER('Semi OpInc'!O8),ISNUMBER('Semi Rev'!O8),ISNUMBER('Semi OpInc'!K8),ISNUMBER('Semi Rev'!K8),'Semi Rev'!O8&gt;0,'Semi Rev'!K8&gt;0),('Semi OpInc'!O8/'Semi Rev'!O8-'Semi OpInc'!K8/'Semi Rev'!K8)*10000,""),"")</f>
        <v/>
      </c>
      <c r="L861" s="43">
        <f>IFERROR(IF(AND(ISNUMBER('Semi OpInc'!P8),ISNUMBER('Semi Rev'!P8),ISNUMBER('Semi OpInc'!L8),ISNUMBER('Semi Rev'!L8),'Semi Rev'!P8&gt;0,'Semi Rev'!L8&gt;0),('Semi OpInc'!P8/'Semi Rev'!P8-'Semi OpInc'!L8/'Semi Rev'!L8)*10000,""),"")</f>
        <v/>
      </c>
      <c r="M861" s="44">
        <f>IFERROR(IF(AND(ISNUMBER('Semi OpInc'!Q8),ISNUMBER('Semi Rev'!Q8),ISNUMBER('Semi OpInc'!M8),ISNUMBER('Semi Rev'!M8),'Semi Rev'!Q8&gt;0,'Semi Rev'!M8&gt;0),('Semi OpInc'!Q8/'Semi Rev'!Q8-'Semi OpInc'!M8/'Semi Rev'!M8)*10000,""),"")</f>
        <v/>
      </c>
      <c r="N861" s="44">
        <f>IFERROR(IF(AND(ISNUMBER('Semi OpInc'!R8),ISNUMBER('Semi Rev'!R8),ISNUMBER('Semi OpInc'!N8),ISNUMBER('Semi Rev'!N8),'Semi Rev'!R8&gt;0,'Semi Rev'!N8&gt;0),('Semi OpInc'!R8/'Semi Rev'!R8-'Semi OpInc'!N8/'Semi Rev'!N8)*10000,""),"")</f>
        <v/>
      </c>
    </row>
    <row r="862">
      <c r="A862" s="19">
        <f>'Semi Rev'!$A9</f>
        <v/>
      </c>
      <c r="B862" s="19">
        <f>'Semi Rev'!$B9</f>
        <v/>
      </c>
      <c r="C862" s="43">
        <f>IFERROR(IF(AND(ISNUMBER('Semi OpInc'!G9),ISNUMBER('Semi Rev'!G9),ISNUMBER('Semi OpInc'!C9),ISNUMBER('Semi Rev'!C9),'Semi Rev'!G9&gt;0,'Semi Rev'!C9&gt;0),('Semi OpInc'!G9/'Semi Rev'!G9-'Semi OpInc'!C9/'Semi Rev'!C9)*10000,""),"")</f>
        <v/>
      </c>
      <c r="D862" s="43">
        <f>IFERROR(IF(AND(ISNUMBER('Semi OpInc'!H9),ISNUMBER('Semi Rev'!H9),ISNUMBER('Semi OpInc'!D9),ISNUMBER('Semi Rev'!D9),'Semi Rev'!H9&gt;0,'Semi Rev'!D9&gt;0),('Semi OpInc'!H9/'Semi Rev'!H9-'Semi OpInc'!D9/'Semi Rev'!D9)*10000,""),"")</f>
        <v/>
      </c>
      <c r="E862" s="43">
        <f>IFERROR(IF(AND(ISNUMBER('Semi OpInc'!I9),ISNUMBER('Semi Rev'!I9),ISNUMBER('Semi OpInc'!E9),ISNUMBER('Semi Rev'!E9),'Semi Rev'!I9&gt;0,'Semi Rev'!E9&gt;0),('Semi OpInc'!I9/'Semi Rev'!I9-'Semi OpInc'!E9/'Semi Rev'!E9)*10000,""),"")</f>
        <v/>
      </c>
      <c r="F862" s="43">
        <f>IFERROR(IF(AND(ISNUMBER('Semi OpInc'!J9),ISNUMBER('Semi Rev'!J9),ISNUMBER('Semi OpInc'!F9),ISNUMBER('Semi Rev'!F9),'Semi Rev'!J9&gt;0,'Semi Rev'!F9&gt;0),('Semi OpInc'!J9/'Semi Rev'!J9-'Semi OpInc'!F9/'Semi Rev'!F9)*10000,""),"")</f>
        <v/>
      </c>
      <c r="G862" s="43">
        <f>IFERROR(IF(AND(ISNUMBER('Semi OpInc'!K9),ISNUMBER('Semi Rev'!K9),ISNUMBER('Semi OpInc'!G9),ISNUMBER('Semi Rev'!G9),'Semi Rev'!K9&gt;0,'Semi Rev'!G9&gt;0),('Semi OpInc'!K9/'Semi Rev'!K9-'Semi OpInc'!G9/'Semi Rev'!G9)*10000,""),"")</f>
        <v/>
      </c>
      <c r="H862" s="43">
        <f>IFERROR(IF(AND(ISNUMBER('Semi OpInc'!L9),ISNUMBER('Semi Rev'!L9),ISNUMBER('Semi OpInc'!H9),ISNUMBER('Semi Rev'!H9),'Semi Rev'!L9&gt;0,'Semi Rev'!H9&gt;0),('Semi OpInc'!L9/'Semi Rev'!L9-'Semi OpInc'!H9/'Semi Rev'!H9)*10000,""),"")</f>
        <v/>
      </c>
      <c r="I862" s="43">
        <f>IFERROR(IF(AND(ISNUMBER('Semi OpInc'!M9),ISNUMBER('Semi Rev'!M9),ISNUMBER('Semi OpInc'!I9),ISNUMBER('Semi Rev'!I9),'Semi Rev'!M9&gt;0,'Semi Rev'!I9&gt;0),('Semi OpInc'!M9/'Semi Rev'!M9-'Semi OpInc'!I9/'Semi Rev'!I9)*10000,""),"")</f>
        <v/>
      </c>
      <c r="J862" s="43">
        <f>IFERROR(IF(AND(ISNUMBER('Semi OpInc'!N9),ISNUMBER('Semi Rev'!N9),ISNUMBER('Semi OpInc'!J9),ISNUMBER('Semi Rev'!J9),'Semi Rev'!N9&gt;0,'Semi Rev'!J9&gt;0),('Semi OpInc'!N9/'Semi Rev'!N9-'Semi OpInc'!J9/'Semi Rev'!J9)*10000,""),"")</f>
        <v/>
      </c>
      <c r="K862" s="43">
        <f>IFERROR(IF(AND(ISNUMBER('Semi OpInc'!O9),ISNUMBER('Semi Rev'!O9),ISNUMBER('Semi OpInc'!K9),ISNUMBER('Semi Rev'!K9),'Semi Rev'!O9&gt;0,'Semi Rev'!K9&gt;0),('Semi OpInc'!O9/'Semi Rev'!O9-'Semi OpInc'!K9/'Semi Rev'!K9)*10000,""),"")</f>
        <v/>
      </c>
      <c r="L862" s="43">
        <f>IFERROR(IF(AND(ISNUMBER('Semi OpInc'!P9),ISNUMBER('Semi Rev'!P9),ISNUMBER('Semi OpInc'!L9),ISNUMBER('Semi Rev'!L9),'Semi Rev'!P9&gt;0,'Semi Rev'!L9&gt;0),('Semi OpInc'!P9/'Semi Rev'!P9-'Semi OpInc'!L9/'Semi Rev'!L9)*10000,""),"")</f>
        <v/>
      </c>
      <c r="M862" s="44">
        <f>IFERROR(IF(AND(ISNUMBER('Semi OpInc'!Q9),ISNUMBER('Semi Rev'!Q9),ISNUMBER('Semi OpInc'!M9),ISNUMBER('Semi Rev'!M9),'Semi Rev'!Q9&gt;0,'Semi Rev'!M9&gt;0),('Semi OpInc'!Q9/'Semi Rev'!Q9-'Semi OpInc'!M9/'Semi Rev'!M9)*10000,""),"")</f>
        <v/>
      </c>
      <c r="N862" s="44">
        <f>IFERROR(IF(AND(ISNUMBER('Semi OpInc'!R9),ISNUMBER('Semi Rev'!R9),ISNUMBER('Semi OpInc'!N9),ISNUMBER('Semi Rev'!N9),'Semi Rev'!R9&gt;0,'Semi Rev'!N9&gt;0),('Semi OpInc'!R9/'Semi Rev'!R9-'Semi OpInc'!N9/'Semi Rev'!N9)*10000,""),"")</f>
        <v/>
      </c>
    </row>
    <row r="863">
      <c r="A863" s="19">
        <f>'Semi Rev'!$A10</f>
        <v/>
      </c>
      <c r="B863" s="19">
        <f>'Semi Rev'!$B10</f>
        <v/>
      </c>
      <c r="C863" s="43">
        <f>IFERROR(IF(AND(ISNUMBER('Semi OpInc'!G10),ISNUMBER('Semi Rev'!G10),ISNUMBER('Semi OpInc'!C10),ISNUMBER('Semi Rev'!C10),'Semi Rev'!G10&gt;0,'Semi Rev'!C10&gt;0),('Semi OpInc'!G10/'Semi Rev'!G10-'Semi OpInc'!C10/'Semi Rev'!C10)*10000,""),"")</f>
        <v/>
      </c>
      <c r="D863" s="43">
        <f>IFERROR(IF(AND(ISNUMBER('Semi OpInc'!H10),ISNUMBER('Semi Rev'!H10),ISNUMBER('Semi OpInc'!D10),ISNUMBER('Semi Rev'!D10),'Semi Rev'!H10&gt;0,'Semi Rev'!D10&gt;0),('Semi OpInc'!H10/'Semi Rev'!H10-'Semi OpInc'!D10/'Semi Rev'!D10)*10000,""),"")</f>
        <v/>
      </c>
      <c r="E863" s="43">
        <f>IFERROR(IF(AND(ISNUMBER('Semi OpInc'!I10),ISNUMBER('Semi Rev'!I10),ISNUMBER('Semi OpInc'!E10),ISNUMBER('Semi Rev'!E10),'Semi Rev'!I10&gt;0,'Semi Rev'!E10&gt;0),('Semi OpInc'!I10/'Semi Rev'!I10-'Semi OpInc'!E10/'Semi Rev'!E10)*10000,""),"")</f>
        <v/>
      </c>
      <c r="F863" s="43">
        <f>IFERROR(IF(AND(ISNUMBER('Semi OpInc'!J10),ISNUMBER('Semi Rev'!J10),ISNUMBER('Semi OpInc'!F10),ISNUMBER('Semi Rev'!F10),'Semi Rev'!J10&gt;0,'Semi Rev'!F10&gt;0),('Semi OpInc'!J10/'Semi Rev'!J10-'Semi OpInc'!F10/'Semi Rev'!F10)*10000,""),"")</f>
        <v/>
      </c>
      <c r="G863" s="43">
        <f>IFERROR(IF(AND(ISNUMBER('Semi OpInc'!K10),ISNUMBER('Semi Rev'!K10),ISNUMBER('Semi OpInc'!G10),ISNUMBER('Semi Rev'!G10),'Semi Rev'!K10&gt;0,'Semi Rev'!G10&gt;0),('Semi OpInc'!K10/'Semi Rev'!K10-'Semi OpInc'!G10/'Semi Rev'!G10)*10000,""),"")</f>
        <v/>
      </c>
      <c r="H863" s="43">
        <f>IFERROR(IF(AND(ISNUMBER('Semi OpInc'!L10),ISNUMBER('Semi Rev'!L10),ISNUMBER('Semi OpInc'!H10),ISNUMBER('Semi Rev'!H10),'Semi Rev'!L10&gt;0,'Semi Rev'!H10&gt;0),('Semi OpInc'!L10/'Semi Rev'!L10-'Semi OpInc'!H10/'Semi Rev'!H10)*10000,""),"")</f>
        <v/>
      </c>
      <c r="I863" s="43">
        <f>IFERROR(IF(AND(ISNUMBER('Semi OpInc'!M10),ISNUMBER('Semi Rev'!M10),ISNUMBER('Semi OpInc'!I10),ISNUMBER('Semi Rev'!I10),'Semi Rev'!M10&gt;0,'Semi Rev'!I10&gt;0),('Semi OpInc'!M10/'Semi Rev'!M10-'Semi OpInc'!I10/'Semi Rev'!I10)*10000,""),"")</f>
        <v/>
      </c>
      <c r="J863" s="43">
        <f>IFERROR(IF(AND(ISNUMBER('Semi OpInc'!N10),ISNUMBER('Semi Rev'!N10),ISNUMBER('Semi OpInc'!J10),ISNUMBER('Semi Rev'!J10),'Semi Rev'!N10&gt;0,'Semi Rev'!J10&gt;0),('Semi OpInc'!N10/'Semi Rev'!N10-'Semi OpInc'!J10/'Semi Rev'!J10)*10000,""),"")</f>
        <v/>
      </c>
      <c r="K863" s="43">
        <f>IFERROR(IF(AND(ISNUMBER('Semi OpInc'!O10),ISNUMBER('Semi Rev'!O10),ISNUMBER('Semi OpInc'!K10),ISNUMBER('Semi Rev'!K10),'Semi Rev'!O10&gt;0,'Semi Rev'!K10&gt;0),('Semi OpInc'!O10/'Semi Rev'!O10-'Semi OpInc'!K10/'Semi Rev'!K10)*10000,""),"")</f>
        <v/>
      </c>
      <c r="L863" s="43">
        <f>IFERROR(IF(AND(ISNUMBER('Semi OpInc'!P10),ISNUMBER('Semi Rev'!P10),ISNUMBER('Semi OpInc'!L10),ISNUMBER('Semi Rev'!L10),'Semi Rev'!P10&gt;0,'Semi Rev'!L10&gt;0),('Semi OpInc'!P10/'Semi Rev'!P10-'Semi OpInc'!L10/'Semi Rev'!L10)*10000,""),"")</f>
        <v/>
      </c>
      <c r="M863" s="44">
        <f>IFERROR(IF(AND(ISNUMBER('Semi OpInc'!Q10),ISNUMBER('Semi Rev'!Q10),ISNUMBER('Semi OpInc'!M10),ISNUMBER('Semi Rev'!M10),'Semi Rev'!Q10&gt;0,'Semi Rev'!M10&gt;0),('Semi OpInc'!Q10/'Semi Rev'!Q10-'Semi OpInc'!M10/'Semi Rev'!M10)*10000,""),"")</f>
        <v/>
      </c>
      <c r="N863" s="44">
        <f>IFERROR(IF(AND(ISNUMBER('Semi OpInc'!R10),ISNUMBER('Semi Rev'!R10),ISNUMBER('Semi OpInc'!N10),ISNUMBER('Semi Rev'!N10),'Semi Rev'!R10&gt;0,'Semi Rev'!N10&gt;0),('Semi OpInc'!R10/'Semi Rev'!R10-'Semi OpInc'!N10/'Semi Rev'!N10)*10000,""),"")</f>
        <v/>
      </c>
    </row>
    <row r="864">
      <c r="A864" s="19">
        <f>'Semi Rev'!$A11</f>
        <v/>
      </c>
      <c r="B864" s="19">
        <f>'Semi Rev'!$B11</f>
        <v/>
      </c>
      <c r="C864" s="43">
        <f>IFERROR(IF(AND(ISNUMBER('Semi OpInc'!G11),ISNUMBER('Semi Rev'!G11),ISNUMBER('Semi OpInc'!C11),ISNUMBER('Semi Rev'!C11),'Semi Rev'!G11&gt;0,'Semi Rev'!C11&gt;0),('Semi OpInc'!G11/'Semi Rev'!G11-'Semi OpInc'!C11/'Semi Rev'!C11)*10000,""),"")</f>
        <v/>
      </c>
      <c r="D864" s="43">
        <f>IFERROR(IF(AND(ISNUMBER('Semi OpInc'!H11),ISNUMBER('Semi Rev'!H11),ISNUMBER('Semi OpInc'!D11),ISNUMBER('Semi Rev'!D11),'Semi Rev'!H11&gt;0,'Semi Rev'!D11&gt;0),('Semi OpInc'!H11/'Semi Rev'!H11-'Semi OpInc'!D11/'Semi Rev'!D11)*10000,""),"")</f>
        <v/>
      </c>
      <c r="E864" s="43">
        <f>IFERROR(IF(AND(ISNUMBER('Semi OpInc'!I11),ISNUMBER('Semi Rev'!I11),ISNUMBER('Semi OpInc'!E11),ISNUMBER('Semi Rev'!E11),'Semi Rev'!I11&gt;0,'Semi Rev'!E11&gt;0),('Semi OpInc'!I11/'Semi Rev'!I11-'Semi OpInc'!E11/'Semi Rev'!E11)*10000,""),"")</f>
        <v/>
      </c>
      <c r="F864" s="43">
        <f>IFERROR(IF(AND(ISNUMBER('Semi OpInc'!J11),ISNUMBER('Semi Rev'!J11),ISNUMBER('Semi OpInc'!F11),ISNUMBER('Semi Rev'!F11),'Semi Rev'!J11&gt;0,'Semi Rev'!F11&gt;0),('Semi OpInc'!J11/'Semi Rev'!J11-'Semi OpInc'!F11/'Semi Rev'!F11)*10000,""),"")</f>
        <v/>
      </c>
      <c r="G864" s="43">
        <f>IFERROR(IF(AND(ISNUMBER('Semi OpInc'!K11),ISNUMBER('Semi Rev'!K11),ISNUMBER('Semi OpInc'!G11),ISNUMBER('Semi Rev'!G11),'Semi Rev'!K11&gt;0,'Semi Rev'!G11&gt;0),('Semi OpInc'!K11/'Semi Rev'!K11-'Semi OpInc'!G11/'Semi Rev'!G11)*10000,""),"")</f>
        <v/>
      </c>
      <c r="H864" s="43">
        <f>IFERROR(IF(AND(ISNUMBER('Semi OpInc'!L11),ISNUMBER('Semi Rev'!L11),ISNUMBER('Semi OpInc'!H11),ISNUMBER('Semi Rev'!H11),'Semi Rev'!L11&gt;0,'Semi Rev'!H11&gt;0),('Semi OpInc'!L11/'Semi Rev'!L11-'Semi OpInc'!H11/'Semi Rev'!H11)*10000,""),"")</f>
        <v/>
      </c>
      <c r="I864" s="43">
        <f>IFERROR(IF(AND(ISNUMBER('Semi OpInc'!M11),ISNUMBER('Semi Rev'!M11),ISNUMBER('Semi OpInc'!I11),ISNUMBER('Semi Rev'!I11),'Semi Rev'!M11&gt;0,'Semi Rev'!I11&gt;0),('Semi OpInc'!M11/'Semi Rev'!M11-'Semi OpInc'!I11/'Semi Rev'!I11)*10000,""),"")</f>
        <v/>
      </c>
      <c r="J864" s="43">
        <f>IFERROR(IF(AND(ISNUMBER('Semi OpInc'!N11),ISNUMBER('Semi Rev'!N11),ISNUMBER('Semi OpInc'!J11),ISNUMBER('Semi Rev'!J11),'Semi Rev'!N11&gt;0,'Semi Rev'!J11&gt;0),('Semi OpInc'!N11/'Semi Rev'!N11-'Semi OpInc'!J11/'Semi Rev'!J11)*10000,""),"")</f>
        <v/>
      </c>
      <c r="K864" s="43">
        <f>IFERROR(IF(AND(ISNUMBER('Semi OpInc'!O11),ISNUMBER('Semi Rev'!O11),ISNUMBER('Semi OpInc'!K11),ISNUMBER('Semi Rev'!K11),'Semi Rev'!O11&gt;0,'Semi Rev'!K11&gt;0),('Semi OpInc'!O11/'Semi Rev'!O11-'Semi OpInc'!K11/'Semi Rev'!K11)*10000,""),"")</f>
        <v/>
      </c>
      <c r="L864" s="43">
        <f>IFERROR(IF(AND(ISNUMBER('Semi OpInc'!P11),ISNUMBER('Semi Rev'!P11),ISNUMBER('Semi OpInc'!L11),ISNUMBER('Semi Rev'!L11),'Semi Rev'!P11&gt;0,'Semi Rev'!L11&gt;0),('Semi OpInc'!P11/'Semi Rev'!P11-'Semi OpInc'!L11/'Semi Rev'!L11)*10000,""),"")</f>
        <v/>
      </c>
      <c r="M864" s="44">
        <f>IFERROR(IF(AND(ISNUMBER('Semi OpInc'!Q11),ISNUMBER('Semi Rev'!Q11),ISNUMBER('Semi OpInc'!M11),ISNUMBER('Semi Rev'!M11),'Semi Rev'!Q11&gt;0,'Semi Rev'!M11&gt;0),('Semi OpInc'!Q11/'Semi Rev'!Q11-'Semi OpInc'!M11/'Semi Rev'!M11)*10000,""),"")</f>
        <v/>
      </c>
      <c r="N864" s="44">
        <f>IFERROR(IF(AND(ISNUMBER('Semi OpInc'!R11),ISNUMBER('Semi Rev'!R11),ISNUMBER('Semi OpInc'!N11),ISNUMBER('Semi Rev'!N11),'Semi Rev'!R11&gt;0,'Semi Rev'!N11&gt;0),('Semi OpInc'!R11/'Semi Rev'!R11-'Semi OpInc'!N11/'Semi Rev'!N11)*10000,""),"")</f>
        <v/>
      </c>
    </row>
    <row r="865">
      <c r="A865" s="19">
        <f>'Semi Rev'!$A12</f>
        <v/>
      </c>
      <c r="B865" s="19">
        <f>'Semi Rev'!$B12</f>
        <v/>
      </c>
      <c r="C865" s="43">
        <f>IFERROR(IF(AND(ISNUMBER('Semi OpInc'!G12),ISNUMBER('Semi Rev'!G12),ISNUMBER('Semi OpInc'!C12),ISNUMBER('Semi Rev'!C12),'Semi Rev'!G12&gt;0,'Semi Rev'!C12&gt;0),('Semi OpInc'!G12/'Semi Rev'!G12-'Semi OpInc'!C12/'Semi Rev'!C12)*10000,""),"")</f>
        <v/>
      </c>
      <c r="D865" s="43">
        <f>IFERROR(IF(AND(ISNUMBER('Semi OpInc'!H12),ISNUMBER('Semi Rev'!H12),ISNUMBER('Semi OpInc'!D12),ISNUMBER('Semi Rev'!D12),'Semi Rev'!H12&gt;0,'Semi Rev'!D12&gt;0),('Semi OpInc'!H12/'Semi Rev'!H12-'Semi OpInc'!D12/'Semi Rev'!D12)*10000,""),"")</f>
        <v/>
      </c>
      <c r="E865" s="43">
        <f>IFERROR(IF(AND(ISNUMBER('Semi OpInc'!I12),ISNUMBER('Semi Rev'!I12),ISNUMBER('Semi OpInc'!E12),ISNUMBER('Semi Rev'!E12),'Semi Rev'!I12&gt;0,'Semi Rev'!E12&gt;0),('Semi OpInc'!I12/'Semi Rev'!I12-'Semi OpInc'!E12/'Semi Rev'!E12)*10000,""),"")</f>
        <v/>
      </c>
      <c r="F865" s="43">
        <f>IFERROR(IF(AND(ISNUMBER('Semi OpInc'!J12),ISNUMBER('Semi Rev'!J12),ISNUMBER('Semi OpInc'!F12),ISNUMBER('Semi Rev'!F12),'Semi Rev'!J12&gt;0,'Semi Rev'!F12&gt;0),('Semi OpInc'!J12/'Semi Rev'!J12-'Semi OpInc'!F12/'Semi Rev'!F12)*10000,""),"")</f>
        <v/>
      </c>
      <c r="G865" s="43">
        <f>IFERROR(IF(AND(ISNUMBER('Semi OpInc'!K12),ISNUMBER('Semi Rev'!K12),ISNUMBER('Semi OpInc'!G12),ISNUMBER('Semi Rev'!G12),'Semi Rev'!K12&gt;0,'Semi Rev'!G12&gt;0),('Semi OpInc'!K12/'Semi Rev'!K12-'Semi OpInc'!G12/'Semi Rev'!G12)*10000,""),"")</f>
        <v/>
      </c>
      <c r="H865" s="43">
        <f>IFERROR(IF(AND(ISNUMBER('Semi OpInc'!L12),ISNUMBER('Semi Rev'!L12),ISNUMBER('Semi OpInc'!H12),ISNUMBER('Semi Rev'!H12),'Semi Rev'!L12&gt;0,'Semi Rev'!H12&gt;0),('Semi OpInc'!L12/'Semi Rev'!L12-'Semi OpInc'!H12/'Semi Rev'!H12)*10000,""),"")</f>
        <v/>
      </c>
      <c r="I865" s="43">
        <f>IFERROR(IF(AND(ISNUMBER('Semi OpInc'!M12),ISNUMBER('Semi Rev'!M12),ISNUMBER('Semi OpInc'!I12),ISNUMBER('Semi Rev'!I12),'Semi Rev'!M12&gt;0,'Semi Rev'!I12&gt;0),('Semi OpInc'!M12/'Semi Rev'!M12-'Semi OpInc'!I12/'Semi Rev'!I12)*10000,""),"")</f>
        <v/>
      </c>
      <c r="J865" s="43">
        <f>IFERROR(IF(AND(ISNUMBER('Semi OpInc'!N12),ISNUMBER('Semi Rev'!N12),ISNUMBER('Semi OpInc'!J12),ISNUMBER('Semi Rev'!J12),'Semi Rev'!N12&gt;0,'Semi Rev'!J12&gt;0),('Semi OpInc'!N12/'Semi Rev'!N12-'Semi OpInc'!J12/'Semi Rev'!J12)*10000,""),"")</f>
        <v/>
      </c>
      <c r="K865" s="43">
        <f>IFERROR(IF(AND(ISNUMBER('Semi OpInc'!O12),ISNUMBER('Semi Rev'!O12),ISNUMBER('Semi OpInc'!K12),ISNUMBER('Semi Rev'!K12),'Semi Rev'!O12&gt;0,'Semi Rev'!K12&gt;0),('Semi OpInc'!O12/'Semi Rev'!O12-'Semi OpInc'!K12/'Semi Rev'!K12)*10000,""),"")</f>
        <v/>
      </c>
      <c r="L865" s="43">
        <f>IFERROR(IF(AND(ISNUMBER('Semi OpInc'!P12),ISNUMBER('Semi Rev'!P12),ISNUMBER('Semi OpInc'!L12),ISNUMBER('Semi Rev'!L12),'Semi Rev'!P12&gt;0,'Semi Rev'!L12&gt;0),('Semi OpInc'!P12/'Semi Rev'!P12-'Semi OpInc'!L12/'Semi Rev'!L12)*10000,""),"")</f>
        <v/>
      </c>
      <c r="M865" s="44">
        <f>IFERROR(IF(AND(ISNUMBER('Semi OpInc'!Q12),ISNUMBER('Semi Rev'!Q12),ISNUMBER('Semi OpInc'!M12),ISNUMBER('Semi Rev'!M12),'Semi Rev'!Q12&gt;0,'Semi Rev'!M12&gt;0),('Semi OpInc'!Q12/'Semi Rev'!Q12-'Semi OpInc'!M12/'Semi Rev'!M12)*10000,""),"")</f>
        <v/>
      </c>
      <c r="N865" s="44">
        <f>IFERROR(IF(AND(ISNUMBER('Semi OpInc'!R12),ISNUMBER('Semi Rev'!R12),ISNUMBER('Semi OpInc'!N12),ISNUMBER('Semi Rev'!N12),'Semi Rev'!R12&gt;0,'Semi Rev'!N12&gt;0),('Semi OpInc'!R12/'Semi Rev'!R12-'Semi OpInc'!N12/'Semi Rev'!N12)*10000,""),"")</f>
        <v/>
      </c>
    </row>
    <row r="866">
      <c r="A866" s="19">
        <f>'Semi Rev'!$A13</f>
        <v/>
      </c>
      <c r="B866" s="19">
        <f>'Semi Rev'!$B13</f>
        <v/>
      </c>
      <c r="C866" s="43">
        <f>IFERROR(IF(AND(ISNUMBER('Semi OpInc'!G13),ISNUMBER('Semi Rev'!G13),ISNUMBER('Semi OpInc'!C13),ISNUMBER('Semi Rev'!C13),'Semi Rev'!G13&gt;0,'Semi Rev'!C13&gt;0),('Semi OpInc'!G13/'Semi Rev'!G13-'Semi OpInc'!C13/'Semi Rev'!C13)*10000,""),"")</f>
        <v/>
      </c>
      <c r="D866" s="43">
        <f>IFERROR(IF(AND(ISNUMBER('Semi OpInc'!H13),ISNUMBER('Semi Rev'!H13),ISNUMBER('Semi OpInc'!D13),ISNUMBER('Semi Rev'!D13),'Semi Rev'!H13&gt;0,'Semi Rev'!D13&gt;0),('Semi OpInc'!H13/'Semi Rev'!H13-'Semi OpInc'!D13/'Semi Rev'!D13)*10000,""),"")</f>
        <v/>
      </c>
      <c r="E866" s="43">
        <f>IFERROR(IF(AND(ISNUMBER('Semi OpInc'!I13),ISNUMBER('Semi Rev'!I13),ISNUMBER('Semi OpInc'!E13),ISNUMBER('Semi Rev'!E13),'Semi Rev'!I13&gt;0,'Semi Rev'!E13&gt;0),('Semi OpInc'!I13/'Semi Rev'!I13-'Semi OpInc'!E13/'Semi Rev'!E13)*10000,""),"")</f>
        <v/>
      </c>
      <c r="F866" s="43">
        <f>IFERROR(IF(AND(ISNUMBER('Semi OpInc'!J13),ISNUMBER('Semi Rev'!J13),ISNUMBER('Semi OpInc'!F13),ISNUMBER('Semi Rev'!F13),'Semi Rev'!J13&gt;0,'Semi Rev'!F13&gt;0),('Semi OpInc'!J13/'Semi Rev'!J13-'Semi OpInc'!F13/'Semi Rev'!F13)*10000,""),"")</f>
        <v/>
      </c>
      <c r="G866" s="43">
        <f>IFERROR(IF(AND(ISNUMBER('Semi OpInc'!K13),ISNUMBER('Semi Rev'!K13),ISNUMBER('Semi OpInc'!G13),ISNUMBER('Semi Rev'!G13),'Semi Rev'!K13&gt;0,'Semi Rev'!G13&gt;0),('Semi OpInc'!K13/'Semi Rev'!K13-'Semi OpInc'!G13/'Semi Rev'!G13)*10000,""),"")</f>
        <v/>
      </c>
      <c r="H866" s="43">
        <f>IFERROR(IF(AND(ISNUMBER('Semi OpInc'!L13),ISNUMBER('Semi Rev'!L13),ISNUMBER('Semi OpInc'!H13),ISNUMBER('Semi Rev'!H13),'Semi Rev'!L13&gt;0,'Semi Rev'!H13&gt;0),('Semi OpInc'!L13/'Semi Rev'!L13-'Semi OpInc'!H13/'Semi Rev'!H13)*10000,""),"")</f>
        <v/>
      </c>
      <c r="I866" s="43">
        <f>IFERROR(IF(AND(ISNUMBER('Semi OpInc'!M13),ISNUMBER('Semi Rev'!M13),ISNUMBER('Semi OpInc'!I13),ISNUMBER('Semi Rev'!I13),'Semi Rev'!M13&gt;0,'Semi Rev'!I13&gt;0),('Semi OpInc'!M13/'Semi Rev'!M13-'Semi OpInc'!I13/'Semi Rev'!I13)*10000,""),"")</f>
        <v/>
      </c>
      <c r="J866" s="43">
        <f>IFERROR(IF(AND(ISNUMBER('Semi OpInc'!N13),ISNUMBER('Semi Rev'!N13),ISNUMBER('Semi OpInc'!J13),ISNUMBER('Semi Rev'!J13),'Semi Rev'!N13&gt;0,'Semi Rev'!J13&gt;0),('Semi OpInc'!N13/'Semi Rev'!N13-'Semi OpInc'!J13/'Semi Rev'!J13)*10000,""),"")</f>
        <v/>
      </c>
      <c r="K866" s="43">
        <f>IFERROR(IF(AND(ISNUMBER('Semi OpInc'!O13),ISNUMBER('Semi Rev'!O13),ISNUMBER('Semi OpInc'!K13),ISNUMBER('Semi Rev'!K13),'Semi Rev'!O13&gt;0,'Semi Rev'!K13&gt;0),('Semi OpInc'!O13/'Semi Rev'!O13-'Semi OpInc'!K13/'Semi Rev'!K13)*10000,""),"")</f>
        <v/>
      </c>
      <c r="L866" s="43">
        <f>IFERROR(IF(AND(ISNUMBER('Semi OpInc'!P13),ISNUMBER('Semi Rev'!P13),ISNUMBER('Semi OpInc'!L13),ISNUMBER('Semi Rev'!L13),'Semi Rev'!P13&gt;0,'Semi Rev'!L13&gt;0),('Semi OpInc'!P13/'Semi Rev'!P13-'Semi OpInc'!L13/'Semi Rev'!L13)*10000,""),"")</f>
        <v/>
      </c>
      <c r="M866" s="44">
        <f>IFERROR(IF(AND(ISNUMBER('Semi OpInc'!Q13),ISNUMBER('Semi Rev'!Q13),ISNUMBER('Semi OpInc'!M13),ISNUMBER('Semi Rev'!M13),'Semi Rev'!Q13&gt;0,'Semi Rev'!M13&gt;0),('Semi OpInc'!Q13/'Semi Rev'!Q13-'Semi OpInc'!M13/'Semi Rev'!M13)*10000,""),"")</f>
        <v/>
      </c>
      <c r="N866" s="44">
        <f>IFERROR(IF(AND(ISNUMBER('Semi OpInc'!R13),ISNUMBER('Semi Rev'!R13),ISNUMBER('Semi OpInc'!N13),ISNUMBER('Semi Rev'!N13),'Semi Rev'!R13&gt;0,'Semi Rev'!N13&gt;0),('Semi OpInc'!R13/'Semi Rev'!R13-'Semi OpInc'!N13/'Semi Rev'!N13)*10000,""),"")</f>
        <v/>
      </c>
    </row>
    <row r="867">
      <c r="A867" s="19">
        <f>'Semi Rev'!$A14</f>
        <v/>
      </c>
      <c r="B867" s="19">
        <f>'Semi Rev'!$B14</f>
        <v/>
      </c>
      <c r="C867" s="43">
        <f>IFERROR(IF(AND(ISNUMBER('Semi OpInc'!G14),ISNUMBER('Semi Rev'!G14),ISNUMBER('Semi OpInc'!C14),ISNUMBER('Semi Rev'!C14),'Semi Rev'!G14&gt;0,'Semi Rev'!C14&gt;0),('Semi OpInc'!G14/'Semi Rev'!G14-'Semi OpInc'!C14/'Semi Rev'!C14)*10000,""),"")</f>
        <v/>
      </c>
      <c r="D867" s="43">
        <f>IFERROR(IF(AND(ISNUMBER('Semi OpInc'!H14),ISNUMBER('Semi Rev'!H14),ISNUMBER('Semi OpInc'!D14),ISNUMBER('Semi Rev'!D14),'Semi Rev'!H14&gt;0,'Semi Rev'!D14&gt;0),('Semi OpInc'!H14/'Semi Rev'!H14-'Semi OpInc'!D14/'Semi Rev'!D14)*10000,""),"")</f>
        <v/>
      </c>
      <c r="E867" s="43">
        <f>IFERROR(IF(AND(ISNUMBER('Semi OpInc'!I14),ISNUMBER('Semi Rev'!I14),ISNUMBER('Semi OpInc'!E14),ISNUMBER('Semi Rev'!E14),'Semi Rev'!I14&gt;0,'Semi Rev'!E14&gt;0),('Semi OpInc'!I14/'Semi Rev'!I14-'Semi OpInc'!E14/'Semi Rev'!E14)*10000,""),"")</f>
        <v/>
      </c>
      <c r="F867" s="43">
        <f>IFERROR(IF(AND(ISNUMBER('Semi OpInc'!J14),ISNUMBER('Semi Rev'!J14),ISNUMBER('Semi OpInc'!F14),ISNUMBER('Semi Rev'!F14),'Semi Rev'!J14&gt;0,'Semi Rev'!F14&gt;0),('Semi OpInc'!J14/'Semi Rev'!J14-'Semi OpInc'!F14/'Semi Rev'!F14)*10000,""),"")</f>
        <v/>
      </c>
      <c r="G867" s="43">
        <f>IFERROR(IF(AND(ISNUMBER('Semi OpInc'!K14),ISNUMBER('Semi Rev'!K14),ISNUMBER('Semi OpInc'!G14),ISNUMBER('Semi Rev'!G14),'Semi Rev'!K14&gt;0,'Semi Rev'!G14&gt;0),('Semi OpInc'!K14/'Semi Rev'!K14-'Semi OpInc'!G14/'Semi Rev'!G14)*10000,""),"")</f>
        <v/>
      </c>
      <c r="H867" s="43">
        <f>IFERROR(IF(AND(ISNUMBER('Semi OpInc'!L14),ISNUMBER('Semi Rev'!L14),ISNUMBER('Semi OpInc'!H14),ISNUMBER('Semi Rev'!H14),'Semi Rev'!L14&gt;0,'Semi Rev'!H14&gt;0),('Semi OpInc'!L14/'Semi Rev'!L14-'Semi OpInc'!H14/'Semi Rev'!H14)*10000,""),"")</f>
        <v/>
      </c>
      <c r="I867" s="43">
        <f>IFERROR(IF(AND(ISNUMBER('Semi OpInc'!M14),ISNUMBER('Semi Rev'!M14),ISNUMBER('Semi OpInc'!I14),ISNUMBER('Semi Rev'!I14),'Semi Rev'!M14&gt;0,'Semi Rev'!I14&gt;0),('Semi OpInc'!M14/'Semi Rev'!M14-'Semi OpInc'!I14/'Semi Rev'!I14)*10000,""),"")</f>
        <v/>
      </c>
      <c r="J867" s="43">
        <f>IFERROR(IF(AND(ISNUMBER('Semi OpInc'!N14),ISNUMBER('Semi Rev'!N14),ISNUMBER('Semi OpInc'!J14),ISNUMBER('Semi Rev'!J14),'Semi Rev'!N14&gt;0,'Semi Rev'!J14&gt;0),('Semi OpInc'!N14/'Semi Rev'!N14-'Semi OpInc'!J14/'Semi Rev'!J14)*10000,""),"")</f>
        <v/>
      </c>
      <c r="K867" s="43">
        <f>IFERROR(IF(AND(ISNUMBER('Semi OpInc'!O14),ISNUMBER('Semi Rev'!O14),ISNUMBER('Semi OpInc'!K14),ISNUMBER('Semi Rev'!K14),'Semi Rev'!O14&gt;0,'Semi Rev'!K14&gt;0),('Semi OpInc'!O14/'Semi Rev'!O14-'Semi OpInc'!K14/'Semi Rev'!K14)*10000,""),"")</f>
        <v/>
      </c>
      <c r="L867" s="43">
        <f>IFERROR(IF(AND(ISNUMBER('Semi OpInc'!P14),ISNUMBER('Semi Rev'!P14),ISNUMBER('Semi OpInc'!L14),ISNUMBER('Semi Rev'!L14),'Semi Rev'!P14&gt;0,'Semi Rev'!L14&gt;0),('Semi OpInc'!P14/'Semi Rev'!P14-'Semi OpInc'!L14/'Semi Rev'!L14)*10000,""),"")</f>
        <v/>
      </c>
      <c r="M867" s="44">
        <f>IFERROR(IF(AND(ISNUMBER('Semi OpInc'!Q14),ISNUMBER('Semi Rev'!Q14),ISNUMBER('Semi OpInc'!M14),ISNUMBER('Semi Rev'!M14),'Semi Rev'!Q14&gt;0,'Semi Rev'!M14&gt;0),('Semi OpInc'!Q14/'Semi Rev'!Q14-'Semi OpInc'!M14/'Semi Rev'!M14)*10000,""),"")</f>
        <v/>
      </c>
      <c r="N867" s="44">
        <f>IFERROR(IF(AND(ISNUMBER('Semi OpInc'!R14),ISNUMBER('Semi Rev'!R14),ISNUMBER('Semi OpInc'!N14),ISNUMBER('Semi Rev'!N14),'Semi Rev'!R14&gt;0,'Semi Rev'!N14&gt;0),('Semi OpInc'!R14/'Semi Rev'!R14-'Semi OpInc'!N14/'Semi Rev'!N14)*10000,""),"")</f>
        <v/>
      </c>
    </row>
    <row r="868">
      <c r="A868" s="19">
        <f>'Semi Rev'!$A15</f>
        <v/>
      </c>
      <c r="B868" s="19">
        <f>'Semi Rev'!$B15</f>
        <v/>
      </c>
      <c r="C868" s="43">
        <f>IFERROR(IF(AND(ISNUMBER('Semi OpInc'!G15),ISNUMBER('Semi Rev'!G15),ISNUMBER('Semi OpInc'!C15),ISNUMBER('Semi Rev'!C15),'Semi Rev'!G15&gt;0,'Semi Rev'!C15&gt;0),('Semi OpInc'!G15/'Semi Rev'!G15-'Semi OpInc'!C15/'Semi Rev'!C15)*10000,""),"")</f>
        <v/>
      </c>
      <c r="D868" s="43">
        <f>IFERROR(IF(AND(ISNUMBER('Semi OpInc'!H15),ISNUMBER('Semi Rev'!H15),ISNUMBER('Semi OpInc'!D15),ISNUMBER('Semi Rev'!D15),'Semi Rev'!H15&gt;0,'Semi Rev'!D15&gt;0),('Semi OpInc'!H15/'Semi Rev'!H15-'Semi OpInc'!D15/'Semi Rev'!D15)*10000,""),"")</f>
        <v/>
      </c>
      <c r="E868" s="43">
        <f>IFERROR(IF(AND(ISNUMBER('Semi OpInc'!I15),ISNUMBER('Semi Rev'!I15),ISNUMBER('Semi OpInc'!E15),ISNUMBER('Semi Rev'!E15),'Semi Rev'!I15&gt;0,'Semi Rev'!E15&gt;0),('Semi OpInc'!I15/'Semi Rev'!I15-'Semi OpInc'!E15/'Semi Rev'!E15)*10000,""),"")</f>
        <v/>
      </c>
      <c r="F868" s="43">
        <f>IFERROR(IF(AND(ISNUMBER('Semi OpInc'!J15),ISNUMBER('Semi Rev'!J15),ISNUMBER('Semi OpInc'!F15),ISNUMBER('Semi Rev'!F15),'Semi Rev'!J15&gt;0,'Semi Rev'!F15&gt;0),('Semi OpInc'!J15/'Semi Rev'!J15-'Semi OpInc'!F15/'Semi Rev'!F15)*10000,""),"")</f>
        <v/>
      </c>
      <c r="G868" s="43">
        <f>IFERROR(IF(AND(ISNUMBER('Semi OpInc'!K15),ISNUMBER('Semi Rev'!K15),ISNUMBER('Semi OpInc'!G15),ISNUMBER('Semi Rev'!G15),'Semi Rev'!K15&gt;0,'Semi Rev'!G15&gt;0),('Semi OpInc'!K15/'Semi Rev'!K15-'Semi OpInc'!G15/'Semi Rev'!G15)*10000,""),"")</f>
        <v/>
      </c>
      <c r="H868" s="43">
        <f>IFERROR(IF(AND(ISNUMBER('Semi OpInc'!L15),ISNUMBER('Semi Rev'!L15),ISNUMBER('Semi OpInc'!H15),ISNUMBER('Semi Rev'!H15),'Semi Rev'!L15&gt;0,'Semi Rev'!H15&gt;0),('Semi OpInc'!L15/'Semi Rev'!L15-'Semi OpInc'!H15/'Semi Rev'!H15)*10000,""),"")</f>
        <v/>
      </c>
      <c r="I868" s="43">
        <f>IFERROR(IF(AND(ISNUMBER('Semi OpInc'!M15),ISNUMBER('Semi Rev'!M15),ISNUMBER('Semi OpInc'!I15),ISNUMBER('Semi Rev'!I15),'Semi Rev'!M15&gt;0,'Semi Rev'!I15&gt;0),('Semi OpInc'!M15/'Semi Rev'!M15-'Semi OpInc'!I15/'Semi Rev'!I15)*10000,""),"")</f>
        <v/>
      </c>
      <c r="J868" s="43">
        <f>IFERROR(IF(AND(ISNUMBER('Semi OpInc'!N15),ISNUMBER('Semi Rev'!N15),ISNUMBER('Semi OpInc'!J15),ISNUMBER('Semi Rev'!J15),'Semi Rev'!N15&gt;0,'Semi Rev'!J15&gt;0),('Semi OpInc'!N15/'Semi Rev'!N15-'Semi OpInc'!J15/'Semi Rev'!J15)*10000,""),"")</f>
        <v/>
      </c>
      <c r="K868" s="43">
        <f>IFERROR(IF(AND(ISNUMBER('Semi OpInc'!O15),ISNUMBER('Semi Rev'!O15),ISNUMBER('Semi OpInc'!K15),ISNUMBER('Semi Rev'!K15),'Semi Rev'!O15&gt;0,'Semi Rev'!K15&gt;0),('Semi OpInc'!O15/'Semi Rev'!O15-'Semi OpInc'!K15/'Semi Rev'!K15)*10000,""),"")</f>
        <v/>
      </c>
      <c r="L868" s="43">
        <f>IFERROR(IF(AND(ISNUMBER('Semi OpInc'!P15),ISNUMBER('Semi Rev'!P15),ISNUMBER('Semi OpInc'!L15),ISNUMBER('Semi Rev'!L15),'Semi Rev'!P15&gt;0,'Semi Rev'!L15&gt;0),('Semi OpInc'!P15/'Semi Rev'!P15-'Semi OpInc'!L15/'Semi Rev'!L15)*10000,""),"")</f>
        <v/>
      </c>
      <c r="M868" s="44">
        <f>IFERROR(IF(AND(ISNUMBER('Semi OpInc'!Q15),ISNUMBER('Semi Rev'!Q15),ISNUMBER('Semi OpInc'!M15),ISNUMBER('Semi Rev'!M15),'Semi Rev'!Q15&gt;0,'Semi Rev'!M15&gt;0),('Semi OpInc'!Q15/'Semi Rev'!Q15-'Semi OpInc'!M15/'Semi Rev'!M15)*10000,""),"")</f>
        <v/>
      </c>
      <c r="N868" s="44">
        <f>IFERROR(IF(AND(ISNUMBER('Semi OpInc'!R15),ISNUMBER('Semi Rev'!R15),ISNUMBER('Semi OpInc'!N15),ISNUMBER('Semi Rev'!N15),'Semi Rev'!R15&gt;0,'Semi Rev'!N15&gt;0),('Semi OpInc'!R15/'Semi Rev'!R15-'Semi OpInc'!N15/'Semi Rev'!N15)*10000,""),"")</f>
        <v/>
      </c>
    </row>
    <row r="869">
      <c r="A869" s="19">
        <f>'Semi Rev'!$A16</f>
        <v/>
      </c>
      <c r="B869" s="19">
        <f>'Semi Rev'!$B16</f>
        <v/>
      </c>
      <c r="C869" s="43">
        <f>IFERROR(IF(AND(ISNUMBER('Semi OpInc'!G16),ISNUMBER('Semi Rev'!G16),ISNUMBER('Semi OpInc'!C16),ISNUMBER('Semi Rev'!C16),'Semi Rev'!G16&gt;0,'Semi Rev'!C16&gt;0),('Semi OpInc'!G16/'Semi Rev'!G16-'Semi OpInc'!C16/'Semi Rev'!C16)*10000,""),"")</f>
        <v/>
      </c>
      <c r="D869" s="43">
        <f>IFERROR(IF(AND(ISNUMBER('Semi OpInc'!H16),ISNUMBER('Semi Rev'!H16),ISNUMBER('Semi OpInc'!D16),ISNUMBER('Semi Rev'!D16),'Semi Rev'!H16&gt;0,'Semi Rev'!D16&gt;0),('Semi OpInc'!H16/'Semi Rev'!H16-'Semi OpInc'!D16/'Semi Rev'!D16)*10000,""),"")</f>
        <v/>
      </c>
      <c r="E869" s="43">
        <f>IFERROR(IF(AND(ISNUMBER('Semi OpInc'!I16),ISNUMBER('Semi Rev'!I16),ISNUMBER('Semi OpInc'!E16),ISNUMBER('Semi Rev'!E16),'Semi Rev'!I16&gt;0,'Semi Rev'!E16&gt;0),('Semi OpInc'!I16/'Semi Rev'!I16-'Semi OpInc'!E16/'Semi Rev'!E16)*10000,""),"")</f>
        <v/>
      </c>
      <c r="F869" s="43">
        <f>IFERROR(IF(AND(ISNUMBER('Semi OpInc'!J16),ISNUMBER('Semi Rev'!J16),ISNUMBER('Semi OpInc'!F16),ISNUMBER('Semi Rev'!F16),'Semi Rev'!J16&gt;0,'Semi Rev'!F16&gt;0),('Semi OpInc'!J16/'Semi Rev'!J16-'Semi OpInc'!F16/'Semi Rev'!F16)*10000,""),"")</f>
        <v/>
      </c>
      <c r="G869" s="43">
        <f>IFERROR(IF(AND(ISNUMBER('Semi OpInc'!K16),ISNUMBER('Semi Rev'!K16),ISNUMBER('Semi OpInc'!G16),ISNUMBER('Semi Rev'!G16),'Semi Rev'!K16&gt;0,'Semi Rev'!G16&gt;0),('Semi OpInc'!K16/'Semi Rev'!K16-'Semi OpInc'!G16/'Semi Rev'!G16)*10000,""),"")</f>
        <v/>
      </c>
      <c r="H869" s="43">
        <f>IFERROR(IF(AND(ISNUMBER('Semi OpInc'!L16),ISNUMBER('Semi Rev'!L16),ISNUMBER('Semi OpInc'!H16),ISNUMBER('Semi Rev'!H16),'Semi Rev'!L16&gt;0,'Semi Rev'!H16&gt;0),('Semi OpInc'!L16/'Semi Rev'!L16-'Semi OpInc'!H16/'Semi Rev'!H16)*10000,""),"")</f>
        <v/>
      </c>
      <c r="I869" s="43">
        <f>IFERROR(IF(AND(ISNUMBER('Semi OpInc'!M16),ISNUMBER('Semi Rev'!M16),ISNUMBER('Semi OpInc'!I16),ISNUMBER('Semi Rev'!I16),'Semi Rev'!M16&gt;0,'Semi Rev'!I16&gt;0),('Semi OpInc'!M16/'Semi Rev'!M16-'Semi OpInc'!I16/'Semi Rev'!I16)*10000,""),"")</f>
        <v/>
      </c>
      <c r="J869" s="43">
        <f>IFERROR(IF(AND(ISNUMBER('Semi OpInc'!N16),ISNUMBER('Semi Rev'!N16),ISNUMBER('Semi OpInc'!J16),ISNUMBER('Semi Rev'!J16),'Semi Rev'!N16&gt;0,'Semi Rev'!J16&gt;0),('Semi OpInc'!N16/'Semi Rev'!N16-'Semi OpInc'!J16/'Semi Rev'!J16)*10000,""),"")</f>
        <v/>
      </c>
      <c r="K869" s="43">
        <f>IFERROR(IF(AND(ISNUMBER('Semi OpInc'!O16),ISNUMBER('Semi Rev'!O16),ISNUMBER('Semi OpInc'!K16),ISNUMBER('Semi Rev'!K16),'Semi Rev'!O16&gt;0,'Semi Rev'!K16&gt;0),('Semi OpInc'!O16/'Semi Rev'!O16-'Semi OpInc'!K16/'Semi Rev'!K16)*10000,""),"")</f>
        <v/>
      </c>
      <c r="L869" s="43">
        <f>IFERROR(IF(AND(ISNUMBER('Semi OpInc'!P16),ISNUMBER('Semi Rev'!P16),ISNUMBER('Semi OpInc'!L16),ISNUMBER('Semi Rev'!L16),'Semi Rev'!P16&gt;0,'Semi Rev'!L16&gt;0),('Semi OpInc'!P16/'Semi Rev'!P16-'Semi OpInc'!L16/'Semi Rev'!L16)*10000,""),"")</f>
        <v/>
      </c>
      <c r="M869" s="44">
        <f>IFERROR(IF(AND(ISNUMBER('Semi OpInc'!Q16),ISNUMBER('Semi Rev'!Q16),ISNUMBER('Semi OpInc'!M16),ISNUMBER('Semi Rev'!M16),'Semi Rev'!Q16&gt;0,'Semi Rev'!M16&gt;0),('Semi OpInc'!Q16/'Semi Rev'!Q16-'Semi OpInc'!M16/'Semi Rev'!M16)*10000,""),"")</f>
        <v/>
      </c>
      <c r="N869" s="44">
        <f>IFERROR(IF(AND(ISNUMBER('Semi OpInc'!R16),ISNUMBER('Semi Rev'!R16),ISNUMBER('Semi OpInc'!N16),ISNUMBER('Semi Rev'!N16),'Semi Rev'!R16&gt;0,'Semi Rev'!N16&gt;0),('Semi OpInc'!R16/'Semi Rev'!R16-'Semi OpInc'!N16/'Semi Rev'!N16)*10000,""),"")</f>
        <v/>
      </c>
    </row>
    <row r="870">
      <c r="A870" s="19">
        <f>'Semi Rev'!$A17</f>
        <v/>
      </c>
      <c r="B870" s="19">
        <f>'Semi Rev'!$B17</f>
        <v/>
      </c>
      <c r="C870" s="43">
        <f>IFERROR(IF(AND(ISNUMBER('Semi OpInc'!G17),ISNUMBER('Semi Rev'!G17),ISNUMBER('Semi OpInc'!C17),ISNUMBER('Semi Rev'!C17),'Semi Rev'!G17&gt;0,'Semi Rev'!C17&gt;0),('Semi OpInc'!G17/'Semi Rev'!G17-'Semi OpInc'!C17/'Semi Rev'!C17)*10000,""),"")</f>
        <v/>
      </c>
      <c r="D870" s="43">
        <f>IFERROR(IF(AND(ISNUMBER('Semi OpInc'!H17),ISNUMBER('Semi Rev'!H17),ISNUMBER('Semi OpInc'!D17),ISNUMBER('Semi Rev'!D17),'Semi Rev'!H17&gt;0,'Semi Rev'!D17&gt;0),('Semi OpInc'!H17/'Semi Rev'!H17-'Semi OpInc'!D17/'Semi Rev'!D17)*10000,""),"")</f>
        <v/>
      </c>
      <c r="E870" s="43">
        <f>IFERROR(IF(AND(ISNUMBER('Semi OpInc'!I17),ISNUMBER('Semi Rev'!I17),ISNUMBER('Semi OpInc'!E17),ISNUMBER('Semi Rev'!E17),'Semi Rev'!I17&gt;0,'Semi Rev'!E17&gt;0),('Semi OpInc'!I17/'Semi Rev'!I17-'Semi OpInc'!E17/'Semi Rev'!E17)*10000,""),"")</f>
        <v/>
      </c>
      <c r="F870" s="43">
        <f>IFERROR(IF(AND(ISNUMBER('Semi OpInc'!J17),ISNUMBER('Semi Rev'!J17),ISNUMBER('Semi OpInc'!F17),ISNUMBER('Semi Rev'!F17),'Semi Rev'!J17&gt;0,'Semi Rev'!F17&gt;0),('Semi OpInc'!J17/'Semi Rev'!J17-'Semi OpInc'!F17/'Semi Rev'!F17)*10000,""),"")</f>
        <v/>
      </c>
      <c r="G870" s="43">
        <f>IFERROR(IF(AND(ISNUMBER('Semi OpInc'!K17),ISNUMBER('Semi Rev'!K17),ISNUMBER('Semi OpInc'!G17),ISNUMBER('Semi Rev'!G17),'Semi Rev'!K17&gt;0,'Semi Rev'!G17&gt;0),('Semi OpInc'!K17/'Semi Rev'!K17-'Semi OpInc'!G17/'Semi Rev'!G17)*10000,""),"")</f>
        <v/>
      </c>
      <c r="H870" s="43">
        <f>IFERROR(IF(AND(ISNUMBER('Semi OpInc'!L17),ISNUMBER('Semi Rev'!L17),ISNUMBER('Semi OpInc'!H17),ISNUMBER('Semi Rev'!H17),'Semi Rev'!L17&gt;0,'Semi Rev'!H17&gt;0),('Semi OpInc'!L17/'Semi Rev'!L17-'Semi OpInc'!H17/'Semi Rev'!H17)*10000,""),"")</f>
        <v/>
      </c>
      <c r="I870" s="43">
        <f>IFERROR(IF(AND(ISNUMBER('Semi OpInc'!M17),ISNUMBER('Semi Rev'!M17),ISNUMBER('Semi OpInc'!I17),ISNUMBER('Semi Rev'!I17),'Semi Rev'!M17&gt;0,'Semi Rev'!I17&gt;0),('Semi OpInc'!M17/'Semi Rev'!M17-'Semi OpInc'!I17/'Semi Rev'!I17)*10000,""),"")</f>
        <v/>
      </c>
      <c r="J870" s="43">
        <f>IFERROR(IF(AND(ISNUMBER('Semi OpInc'!N17),ISNUMBER('Semi Rev'!N17),ISNUMBER('Semi OpInc'!J17),ISNUMBER('Semi Rev'!J17),'Semi Rev'!N17&gt;0,'Semi Rev'!J17&gt;0),('Semi OpInc'!N17/'Semi Rev'!N17-'Semi OpInc'!J17/'Semi Rev'!J17)*10000,""),"")</f>
        <v/>
      </c>
      <c r="K870" s="43">
        <f>IFERROR(IF(AND(ISNUMBER('Semi OpInc'!O17),ISNUMBER('Semi Rev'!O17),ISNUMBER('Semi OpInc'!K17),ISNUMBER('Semi Rev'!K17),'Semi Rev'!O17&gt;0,'Semi Rev'!K17&gt;0),('Semi OpInc'!O17/'Semi Rev'!O17-'Semi OpInc'!K17/'Semi Rev'!K17)*10000,""),"")</f>
        <v/>
      </c>
      <c r="L870" s="43">
        <f>IFERROR(IF(AND(ISNUMBER('Semi OpInc'!P17),ISNUMBER('Semi Rev'!P17),ISNUMBER('Semi OpInc'!L17),ISNUMBER('Semi Rev'!L17),'Semi Rev'!P17&gt;0,'Semi Rev'!L17&gt;0),('Semi OpInc'!P17/'Semi Rev'!P17-'Semi OpInc'!L17/'Semi Rev'!L17)*10000,""),"")</f>
        <v/>
      </c>
      <c r="M870" s="44">
        <f>IFERROR(IF(AND(ISNUMBER('Semi OpInc'!Q17),ISNUMBER('Semi Rev'!Q17),ISNUMBER('Semi OpInc'!M17),ISNUMBER('Semi Rev'!M17),'Semi Rev'!Q17&gt;0,'Semi Rev'!M17&gt;0),('Semi OpInc'!Q17/'Semi Rev'!Q17-'Semi OpInc'!M17/'Semi Rev'!M17)*10000,""),"")</f>
        <v/>
      </c>
      <c r="N870" s="44">
        <f>IFERROR(IF(AND(ISNUMBER('Semi OpInc'!R17),ISNUMBER('Semi Rev'!R17),ISNUMBER('Semi OpInc'!N17),ISNUMBER('Semi Rev'!N17),'Semi Rev'!R17&gt;0,'Semi Rev'!N17&gt;0),('Semi OpInc'!R17/'Semi Rev'!R17-'Semi OpInc'!N17/'Semi Rev'!N17)*10000,""),"")</f>
        <v/>
      </c>
    </row>
    <row r="871">
      <c r="A871" s="19">
        <f>'Semi Rev'!$A18</f>
        <v/>
      </c>
      <c r="B871" s="19">
        <f>'Semi Rev'!$B18</f>
        <v/>
      </c>
      <c r="C871" s="43">
        <f>IFERROR(IF(AND(ISNUMBER('Semi OpInc'!G18),ISNUMBER('Semi Rev'!G18),ISNUMBER('Semi OpInc'!C18),ISNUMBER('Semi Rev'!C18),'Semi Rev'!G18&gt;0,'Semi Rev'!C18&gt;0),('Semi OpInc'!G18/'Semi Rev'!G18-'Semi OpInc'!C18/'Semi Rev'!C18)*10000,""),"")</f>
        <v/>
      </c>
      <c r="D871" s="43">
        <f>IFERROR(IF(AND(ISNUMBER('Semi OpInc'!H18),ISNUMBER('Semi Rev'!H18),ISNUMBER('Semi OpInc'!D18),ISNUMBER('Semi Rev'!D18),'Semi Rev'!H18&gt;0,'Semi Rev'!D18&gt;0),('Semi OpInc'!H18/'Semi Rev'!H18-'Semi OpInc'!D18/'Semi Rev'!D18)*10000,""),"")</f>
        <v/>
      </c>
      <c r="E871" s="43">
        <f>IFERROR(IF(AND(ISNUMBER('Semi OpInc'!I18),ISNUMBER('Semi Rev'!I18),ISNUMBER('Semi OpInc'!E18),ISNUMBER('Semi Rev'!E18),'Semi Rev'!I18&gt;0,'Semi Rev'!E18&gt;0),('Semi OpInc'!I18/'Semi Rev'!I18-'Semi OpInc'!E18/'Semi Rev'!E18)*10000,""),"")</f>
        <v/>
      </c>
      <c r="F871" s="43">
        <f>IFERROR(IF(AND(ISNUMBER('Semi OpInc'!J18),ISNUMBER('Semi Rev'!J18),ISNUMBER('Semi OpInc'!F18),ISNUMBER('Semi Rev'!F18),'Semi Rev'!J18&gt;0,'Semi Rev'!F18&gt;0),('Semi OpInc'!J18/'Semi Rev'!J18-'Semi OpInc'!F18/'Semi Rev'!F18)*10000,""),"")</f>
        <v/>
      </c>
      <c r="G871" s="43">
        <f>IFERROR(IF(AND(ISNUMBER('Semi OpInc'!K18),ISNUMBER('Semi Rev'!K18),ISNUMBER('Semi OpInc'!G18),ISNUMBER('Semi Rev'!G18),'Semi Rev'!K18&gt;0,'Semi Rev'!G18&gt;0),('Semi OpInc'!K18/'Semi Rev'!K18-'Semi OpInc'!G18/'Semi Rev'!G18)*10000,""),"")</f>
        <v/>
      </c>
      <c r="H871" s="43">
        <f>IFERROR(IF(AND(ISNUMBER('Semi OpInc'!L18),ISNUMBER('Semi Rev'!L18),ISNUMBER('Semi OpInc'!H18),ISNUMBER('Semi Rev'!H18),'Semi Rev'!L18&gt;0,'Semi Rev'!H18&gt;0),('Semi OpInc'!L18/'Semi Rev'!L18-'Semi OpInc'!H18/'Semi Rev'!H18)*10000,""),"")</f>
        <v/>
      </c>
      <c r="I871" s="43">
        <f>IFERROR(IF(AND(ISNUMBER('Semi OpInc'!M18),ISNUMBER('Semi Rev'!M18),ISNUMBER('Semi OpInc'!I18),ISNUMBER('Semi Rev'!I18),'Semi Rev'!M18&gt;0,'Semi Rev'!I18&gt;0),('Semi OpInc'!M18/'Semi Rev'!M18-'Semi OpInc'!I18/'Semi Rev'!I18)*10000,""),"")</f>
        <v/>
      </c>
      <c r="J871" s="43">
        <f>IFERROR(IF(AND(ISNUMBER('Semi OpInc'!N18),ISNUMBER('Semi Rev'!N18),ISNUMBER('Semi OpInc'!J18),ISNUMBER('Semi Rev'!J18),'Semi Rev'!N18&gt;0,'Semi Rev'!J18&gt;0),('Semi OpInc'!N18/'Semi Rev'!N18-'Semi OpInc'!J18/'Semi Rev'!J18)*10000,""),"")</f>
        <v/>
      </c>
      <c r="K871" s="43">
        <f>IFERROR(IF(AND(ISNUMBER('Semi OpInc'!O18),ISNUMBER('Semi Rev'!O18),ISNUMBER('Semi OpInc'!K18),ISNUMBER('Semi Rev'!K18),'Semi Rev'!O18&gt;0,'Semi Rev'!K18&gt;0),('Semi OpInc'!O18/'Semi Rev'!O18-'Semi OpInc'!K18/'Semi Rev'!K18)*10000,""),"")</f>
        <v/>
      </c>
      <c r="L871" s="43">
        <f>IFERROR(IF(AND(ISNUMBER('Semi OpInc'!P18),ISNUMBER('Semi Rev'!P18),ISNUMBER('Semi OpInc'!L18),ISNUMBER('Semi Rev'!L18),'Semi Rev'!P18&gt;0,'Semi Rev'!L18&gt;0),('Semi OpInc'!P18/'Semi Rev'!P18-'Semi OpInc'!L18/'Semi Rev'!L18)*10000,""),"")</f>
        <v/>
      </c>
      <c r="M871" s="44">
        <f>IFERROR(IF(AND(ISNUMBER('Semi OpInc'!Q18),ISNUMBER('Semi Rev'!Q18),ISNUMBER('Semi OpInc'!M18),ISNUMBER('Semi Rev'!M18),'Semi Rev'!Q18&gt;0,'Semi Rev'!M18&gt;0),('Semi OpInc'!Q18/'Semi Rev'!Q18-'Semi OpInc'!M18/'Semi Rev'!M18)*10000,""),"")</f>
        <v/>
      </c>
      <c r="N871" s="44">
        <f>IFERROR(IF(AND(ISNUMBER('Semi OpInc'!R18),ISNUMBER('Semi Rev'!R18),ISNUMBER('Semi OpInc'!N18),ISNUMBER('Semi Rev'!N18),'Semi Rev'!R18&gt;0,'Semi Rev'!N18&gt;0),('Semi OpInc'!R18/'Semi Rev'!R18-'Semi OpInc'!N18/'Semi Rev'!N18)*10000,""),"")</f>
        <v/>
      </c>
    </row>
    <row r="872">
      <c r="A872" s="19">
        <f>'Semi Rev'!$A19</f>
        <v/>
      </c>
      <c r="B872" s="19">
        <f>'Semi Rev'!$B19</f>
        <v/>
      </c>
      <c r="C872" s="43">
        <f>IFERROR(IF(AND(ISNUMBER('Semi OpInc'!G19),ISNUMBER('Semi Rev'!G19),ISNUMBER('Semi OpInc'!C19),ISNUMBER('Semi Rev'!C19),'Semi Rev'!G19&gt;0,'Semi Rev'!C19&gt;0),('Semi OpInc'!G19/'Semi Rev'!G19-'Semi OpInc'!C19/'Semi Rev'!C19)*10000,""),"")</f>
        <v/>
      </c>
      <c r="D872" s="43">
        <f>IFERROR(IF(AND(ISNUMBER('Semi OpInc'!H19),ISNUMBER('Semi Rev'!H19),ISNUMBER('Semi OpInc'!D19),ISNUMBER('Semi Rev'!D19),'Semi Rev'!H19&gt;0,'Semi Rev'!D19&gt;0),('Semi OpInc'!H19/'Semi Rev'!H19-'Semi OpInc'!D19/'Semi Rev'!D19)*10000,""),"")</f>
        <v/>
      </c>
      <c r="E872" s="43">
        <f>IFERROR(IF(AND(ISNUMBER('Semi OpInc'!I19),ISNUMBER('Semi Rev'!I19),ISNUMBER('Semi OpInc'!E19),ISNUMBER('Semi Rev'!E19),'Semi Rev'!I19&gt;0,'Semi Rev'!E19&gt;0),('Semi OpInc'!I19/'Semi Rev'!I19-'Semi OpInc'!E19/'Semi Rev'!E19)*10000,""),"")</f>
        <v/>
      </c>
      <c r="F872" s="43">
        <f>IFERROR(IF(AND(ISNUMBER('Semi OpInc'!J19),ISNUMBER('Semi Rev'!J19),ISNUMBER('Semi OpInc'!F19),ISNUMBER('Semi Rev'!F19),'Semi Rev'!J19&gt;0,'Semi Rev'!F19&gt;0),('Semi OpInc'!J19/'Semi Rev'!J19-'Semi OpInc'!F19/'Semi Rev'!F19)*10000,""),"")</f>
        <v/>
      </c>
      <c r="G872" s="43">
        <f>IFERROR(IF(AND(ISNUMBER('Semi OpInc'!K19),ISNUMBER('Semi Rev'!K19),ISNUMBER('Semi OpInc'!G19),ISNUMBER('Semi Rev'!G19),'Semi Rev'!K19&gt;0,'Semi Rev'!G19&gt;0),('Semi OpInc'!K19/'Semi Rev'!K19-'Semi OpInc'!G19/'Semi Rev'!G19)*10000,""),"")</f>
        <v/>
      </c>
      <c r="H872" s="43">
        <f>IFERROR(IF(AND(ISNUMBER('Semi OpInc'!L19),ISNUMBER('Semi Rev'!L19),ISNUMBER('Semi OpInc'!H19),ISNUMBER('Semi Rev'!H19),'Semi Rev'!L19&gt;0,'Semi Rev'!H19&gt;0),('Semi OpInc'!L19/'Semi Rev'!L19-'Semi OpInc'!H19/'Semi Rev'!H19)*10000,""),"")</f>
        <v/>
      </c>
      <c r="I872" s="43">
        <f>IFERROR(IF(AND(ISNUMBER('Semi OpInc'!M19),ISNUMBER('Semi Rev'!M19),ISNUMBER('Semi OpInc'!I19),ISNUMBER('Semi Rev'!I19),'Semi Rev'!M19&gt;0,'Semi Rev'!I19&gt;0),('Semi OpInc'!M19/'Semi Rev'!M19-'Semi OpInc'!I19/'Semi Rev'!I19)*10000,""),"")</f>
        <v/>
      </c>
      <c r="J872" s="43">
        <f>IFERROR(IF(AND(ISNUMBER('Semi OpInc'!N19),ISNUMBER('Semi Rev'!N19),ISNUMBER('Semi OpInc'!J19),ISNUMBER('Semi Rev'!J19),'Semi Rev'!N19&gt;0,'Semi Rev'!J19&gt;0),('Semi OpInc'!N19/'Semi Rev'!N19-'Semi OpInc'!J19/'Semi Rev'!J19)*10000,""),"")</f>
        <v/>
      </c>
      <c r="K872" s="43">
        <f>IFERROR(IF(AND(ISNUMBER('Semi OpInc'!O19),ISNUMBER('Semi Rev'!O19),ISNUMBER('Semi OpInc'!K19),ISNUMBER('Semi Rev'!K19),'Semi Rev'!O19&gt;0,'Semi Rev'!K19&gt;0),('Semi OpInc'!O19/'Semi Rev'!O19-'Semi OpInc'!K19/'Semi Rev'!K19)*10000,""),"")</f>
        <v/>
      </c>
      <c r="L872" s="43">
        <f>IFERROR(IF(AND(ISNUMBER('Semi OpInc'!P19),ISNUMBER('Semi Rev'!P19),ISNUMBER('Semi OpInc'!L19),ISNUMBER('Semi Rev'!L19),'Semi Rev'!P19&gt;0,'Semi Rev'!L19&gt;0),('Semi OpInc'!P19/'Semi Rev'!P19-'Semi OpInc'!L19/'Semi Rev'!L19)*10000,""),"")</f>
        <v/>
      </c>
      <c r="M872" s="44">
        <f>IFERROR(IF(AND(ISNUMBER('Semi OpInc'!Q19),ISNUMBER('Semi Rev'!Q19),ISNUMBER('Semi OpInc'!M19),ISNUMBER('Semi Rev'!M19),'Semi Rev'!Q19&gt;0,'Semi Rev'!M19&gt;0),('Semi OpInc'!Q19/'Semi Rev'!Q19-'Semi OpInc'!M19/'Semi Rev'!M19)*10000,""),"")</f>
        <v/>
      </c>
      <c r="N872" s="44">
        <f>IFERROR(IF(AND(ISNUMBER('Semi OpInc'!R19),ISNUMBER('Semi Rev'!R19),ISNUMBER('Semi OpInc'!N19),ISNUMBER('Semi Rev'!N19),'Semi Rev'!R19&gt;0,'Semi Rev'!N19&gt;0),('Semi OpInc'!R19/'Semi Rev'!R19-'Semi OpInc'!N19/'Semi Rev'!N19)*10000,""),"")</f>
        <v/>
      </c>
    </row>
    <row r="873">
      <c r="A873" s="19">
        <f>'Semi Rev'!$A20</f>
        <v/>
      </c>
      <c r="B873" s="19">
        <f>'Semi Rev'!$B20</f>
        <v/>
      </c>
      <c r="C873" s="43">
        <f>IFERROR(IF(AND(ISNUMBER('Semi OpInc'!G20),ISNUMBER('Semi Rev'!G20),ISNUMBER('Semi OpInc'!C20),ISNUMBER('Semi Rev'!C20),'Semi Rev'!G20&gt;0,'Semi Rev'!C20&gt;0),('Semi OpInc'!G20/'Semi Rev'!G20-'Semi OpInc'!C20/'Semi Rev'!C20)*10000,""),"")</f>
        <v/>
      </c>
      <c r="D873" s="43">
        <f>IFERROR(IF(AND(ISNUMBER('Semi OpInc'!H20),ISNUMBER('Semi Rev'!H20),ISNUMBER('Semi OpInc'!D20),ISNUMBER('Semi Rev'!D20),'Semi Rev'!H20&gt;0,'Semi Rev'!D20&gt;0),('Semi OpInc'!H20/'Semi Rev'!H20-'Semi OpInc'!D20/'Semi Rev'!D20)*10000,""),"")</f>
        <v/>
      </c>
      <c r="E873" s="43">
        <f>IFERROR(IF(AND(ISNUMBER('Semi OpInc'!I20),ISNUMBER('Semi Rev'!I20),ISNUMBER('Semi OpInc'!E20),ISNUMBER('Semi Rev'!E20),'Semi Rev'!I20&gt;0,'Semi Rev'!E20&gt;0),('Semi OpInc'!I20/'Semi Rev'!I20-'Semi OpInc'!E20/'Semi Rev'!E20)*10000,""),"")</f>
        <v/>
      </c>
      <c r="F873" s="43">
        <f>IFERROR(IF(AND(ISNUMBER('Semi OpInc'!J20),ISNUMBER('Semi Rev'!J20),ISNUMBER('Semi OpInc'!F20),ISNUMBER('Semi Rev'!F20),'Semi Rev'!J20&gt;0,'Semi Rev'!F20&gt;0),('Semi OpInc'!J20/'Semi Rev'!J20-'Semi OpInc'!F20/'Semi Rev'!F20)*10000,""),"")</f>
        <v/>
      </c>
      <c r="G873" s="43">
        <f>IFERROR(IF(AND(ISNUMBER('Semi OpInc'!K20),ISNUMBER('Semi Rev'!K20),ISNUMBER('Semi OpInc'!G20),ISNUMBER('Semi Rev'!G20),'Semi Rev'!K20&gt;0,'Semi Rev'!G20&gt;0),('Semi OpInc'!K20/'Semi Rev'!K20-'Semi OpInc'!G20/'Semi Rev'!G20)*10000,""),"")</f>
        <v/>
      </c>
      <c r="H873" s="43">
        <f>IFERROR(IF(AND(ISNUMBER('Semi OpInc'!L20),ISNUMBER('Semi Rev'!L20),ISNUMBER('Semi OpInc'!H20),ISNUMBER('Semi Rev'!H20),'Semi Rev'!L20&gt;0,'Semi Rev'!H20&gt;0),('Semi OpInc'!L20/'Semi Rev'!L20-'Semi OpInc'!H20/'Semi Rev'!H20)*10000,""),"")</f>
        <v/>
      </c>
      <c r="I873" s="43">
        <f>IFERROR(IF(AND(ISNUMBER('Semi OpInc'!M20),ISNUMBER('Semi Rev'!M20),ISNUMBER('Semi OpInc'!I20),ISNUMBER('Semi Rev'!I20),'Semi Rev'!M20&gt;0,'Semi Rev'!I20&gt;0),('Semi OpInc'!M20/'Semi Rev'!M20-'Semi OpInc'!I20/'Semi Rev'!I20)*10000,""),"")</f>
        <v/>
      </c>
      <c r="J873" s="43">
        <f>IFERROR(IF(AND(ISNUMBER('Semi OpInc'!N20),ISNUMBER('Semi Rev'!N20),ISNUMBER('Semi OpInc'!J20),ISNUMBER('Semi Rev'!J20),'Semi Rev'!N20&gt;0,'Semi Rev'!J20&gt;0),('Semi OpInc'!N20/'Semi Rev'!N20-'Semi OpInc'!J20/'Semi Rev'!J20)*10000,""),"")</f>
        <v/>
      </c>
      <c r="K873" s="43">
        <f>IFERROR(IF(AND(ISNUMBER('Semi OpInc'!O20),ISNUMBER('Semi Rev'!O20),ISNUMBER('Semi OpInc'!K20),ISNUMBER('Semi Rev'!K20),'Semi Rev'!O20&gt;0,'Semi Rev'!K20&gt;0),('Semi OpInc'!O20/'Semi Rev'!O20-'Semi OpInc'!K20/'Semi Rev'!K20)*10000,""),"")</f>
        <v/>
      </c>
      <c r="L873" s="43">
        <f>IFERROR(IF(AND(ISNUMBER('Semi OpInc'!P20),ISNUMBER('Semi Rev'!P20),ISNUMBER('Semi OpInc'!L20),ISNUMBER('Semi Rev'!L20),'Semi Rev'!P20&gt;0,'Semi Rev'!L20&gt;0),('Semi OpInc'!P20/'Semi Rev'!P20-'Semi OpInc'!L20/'Semi Rev'!L20)*10000,""),"")</f>
        <v/>
      </c>
      <c r="M873" s="44">
        <f>IFERROR(IF(AND(ISNUMBER('Semi OpInc'!Q20),ISNUMBER('Semi Rev'!Q20),ISNUMBER('Semi OpInc'!M20),ISNUMBER('Semi Rev'!M20),'Semi Rev'!Q20&gt;0,'Semi Rev'!M20&gt;0),('Semi OpInc'!Q20/'Semi Rev'!Q20-'Semi OpInc'!M20/'Semi Rev'!M20)*10000,""),"")</f>
        <v/>
      </c>
      <c r="N873" s="44">
        <f>IFERROR(IF(AND(ISNUMBER('Semi OpInc'!R20),ISNUMBER('Semi Rev'!R20),ISNUMBER('Semi OpInc'!N20),ISNUMBER('Semi Rev'!N20),'Semi Rev'!R20&gt;0,'Semi Rev'!N20&gt;0),('Semi OpInc'!R20/'Semi Rev'!R20-'Semi OpInc'!N20/'Semi Rev'!N20)*10000,""),"")</f>
        <v/>
      </c>
    </row>
    <row r="874">
      <c r="A874" s="19">
        <f>'Semi Rev'!$A21</f>
        <v/>
      </c>
      <c r="B874" s="19">
        <f>'Semi Rev'!$B21</f>
        <v/>
      </c>
      <c r="C874" s="43">
        <f>IFERROR(IF(AND(ISNUMBER('Semi OpInc'!G21),ISNUMBER('Semi Rev'!G21),ISNUMBER('Semi OpInc'!C21),ISNUMBER('Semi Rev'!C21),'Semi Rev'!G21&gt;0,'Semi Rev'!C21&gt;0),('Semi OpInc'!G21/'Semi Rev'!G21-'Semi OpInc'!C21/'Semi Rev'!C21)*10000,""),"")</f>
        <v/>
      </c>
      <c r="D874" s="43">
        <f>IFERROR(IF(AND(ISNUMBER('Semi OpInc'!H21),ISNUMBER('Semi Rev'!H21),ISNUMBER('Semi OpInc'!D21),ISNUMBER('Semi Rev'!D21),'Semi Rev'!H21&gt;0,'Semi Rev'!D21&gt;0),('Semi OpInc'!H21/'Semi Rev'!H21-'Semi OpInc'!D21/'Semi Rev'!D21)*10000,""),"")</f>
        <v/>
      </c>
      <c r="E874" s="43">
        <f>IFERROR(IF(AND(ISNUMBER('Semi OpInc'!I21),ISNUMBER('Semi Rev'!I21),ISNUMBER('Semi OpInc'!E21),ISNUMBER('Semi Rev'!E21),'Semi Rev'!I21&gt;0,'Semi Rev'!E21&gt;0),('Semi OpInc'!I21/'Semi Rev'!I21-'Semi OpInc'!E21/'Semi Rev'!E21)*10000,""),"")</f>
        <v/>
      </c>
      <c r="F874" s="43">
        <f>IFERROR(IF(AND(ISNUMBER('Semi OpInc'!J21),ISNUMBER('Semi Rev'!J21),ISNUMBER('Semi OpInc'!F21),ISNUMBER('Semi Rev'!F21),'Semi Rev'!J21&gt;0,'Semi Rev'!F21&gt;0),('Semi OpInc'!J21/'Semi Rev'!J21-'Semi OpInc'!F21/'Semi Rev'!F21)*10000,""),"")</f>
        <v/>
      </c>
      <c r="G874" s="43">
        <f>IFERROR(IF(AND(ISNUMBER('Semi OpInc'!K21),ISNUMBER('Semi Rev'!K21),ISNUMBER('Semi OpInc'!G21),ISNUMBER('Semi Rev'!G21),'Semi Rev'!K21&gt;0,'Semi Rev'!G21&gt;0),('Semi OpInc'!K21/'Semi Rev'!K21-'Semi OpInc'!G21/'Semi Rev'!G21)*10000,""),"")</f>
        <v/>
      </c>
      <c r="H874" s="43">
        <f>IFERROR(IF(AND(ISNUMBER('Semi OpInc'!L21),ISNUMBER('Semi Rev'!L21),ISNUMBER('Semi OpInc'!H21),ISNUMBER('Semi Rev'!H21),'Semi Rev'!L21&gt;0,'Semi Rev'!H21&gt;0),('Semi OpInc'!L21/'Semi Rev'!L21-'Semi OpInc'!H21/'Semi Rev'!H21)*10000,""),"")</f>
        <v/>
      </c>
      <c r="I874" s="43">
        <f>IFERROR(IF(AND(ISNUMBER('Semi OpInc'!M21),ISNUMBER('Semi Rev'!M21),ISNUMBER('Semi OpInc'!I21),ISNUMBER('Semi Rev'!I21),'Semi Rev'!M21&gt;0,'Semi Rev'!I21&gt;0),('Semi OpInc'!M21/'Semi Rev'!M21-'Semi OpInc'!I21/'Semi Rev'!I21)*10000,""),"")</f>
        <v/>
      </c>
      <c r="J874" s="43">
        <f>IFERROR(IF(AND(ISNUMBER('Semi OpInc'!N21),ISNUMBER('Semi Rev'!N21),ISNUMBER('Semi OpInc'!J21),ISNUMBER('Semi Rev'!J21),'Semi Rev'!N21&gt;0,'Semi Rev'!J21&gt;0),('Semi OpInc'!N21/'Semi Rev'!N21-'Semi OpInc'!J21/'Semi Rev'!J21)*10000,""),"")</f>
        <v/>
      </c>
      <c r="K874" s="43">
        <f>IFERROR(IF(AND(ISNUMBER('Semi OpInc'!O21),ISNUMBER('Semi Rev'!O21),ISNUMBER('Semi OpInc'!K21),ISNUMBER('Semi Rev'!K21),'Semi Rev'!O21&gt;0,'Semi Rev'!K21&gt;0),('Semi OpInc'!O21/'Semi Rev'!O21-'Semi OpInc'!K21/'Semi Rev'!K21)*10000,""),"")</f>
        <v/>
      </c>
      <c r="L874" s="43">
        <f>IFERROR(IF(AND(ISNUMBER('Semi OpInc'!P21),ISNUMBER('Semi Rev'!P21),ISNUMBER('Semi OpInc'!L21),ISNUMBER('Semi Rev'!L21),'Semi Rev'!P21&gt;0,'Semi Rev'!L21&gt;0),('Semi OpInc'!P21/'Semi Rev'!P21-'Semi OpInc'!L21/'Semi Rev'!L21)*10000,""),"")</f>
        <v/>
      </c>
      <c r="M874" s="44">
        <f>IFERROR(IF(AND(ISNUMBER('Semi OpInc'!Q21),ISNUMBER('Semi Rev'!Q21),ISNUMBER('Semi OpInc'!M21),ISNUMBER('Semi Rev'!M21),'Semi Rev'!Q21&gt;0,'Semi Rev'!M21&gt;0),('Semi OpInc'!Q21/'Semi Rev'!Q21-'Semi OpInc'!M21/'Semi Rev'!M21)*10000,""),"")</f>
        <v/>
      </c>
      <c r="N874" s="44">
        <f>IFERROR(IF(AND(ISNUMBER('Semi OpInc'!R21),ISNUMBER('Semi Rev'!R21),ISNUMBER('Semi OpInc'!N21),ISNUMBER('Semi Rev'!N21),'Semi Rev'!R21&gt;0,'Semi Rev'!N21&gt;0),('Semi OpInc'!R21/'Semi Rev'!R21-'Semi OpInc'!N21/'Semi Rev'!N21)*10000,""),"")</f>
        <v/>
      </c>
    </row>
    <row r="875">
      <c r="A875" s="19">
        <f>'Semi Rev'!$A22</f>
        <v/>
      </c>
      <c r="B875" s="19">
        <f>'Semi Rev'!$B22</f>
        <v/>
      </c>
      <c r="C875" s="43">
        <f>IFERROR(IF(AND(ISNUMBER('Semi OpInc'!G22),ISNUMBER('Semi Rev'!G22),ISNUMBER('Semi OpInc'!C22),ISNUMBER('Semi Rev'!C22),'Semi Rev'!G22&gt;0,'Semi Rev'!C22&gt;0),('Semi OpInc'!G22/'Semi Rev'!G22-'Semi OpInc'!C22/'Semi Rev'!C22)*10000,""),"")</f>
        <v/>
      </c>
      <c r="D875" s="43">
        <f>IFERROR(IF(AND(ISNUMBER('Semi OpInc'!H22),ISNUMBER('Semi Rev'!H22),ISNUMBER('Semi OpInc'!D22),ISNUMBER('Semi Rev'!D22),'Semi Rev'!H22&gt;0,'Semi Rev'!D22&gt;0),('Semi OpInc'!H22/'Semi Rev'!H22-'Semi OpInc'!D22/'Semi Rev'!D22)*10000,""),"")</f>
        <v/>
      </c>
      <c r="E875" s="43">
        <f>IFERROR(IF(AND(ISNUMBER('Semi OpInc'!I22),ISNUMBER('Semi Rev'!I22),ISNUMBER('Semi OpInc'!E22),ISNUMBER('Semi Rev'!E22),'Semi Rev'!I22&gt;0,'Semi Rev'!E22&gt;0),('Semi OpInc'!I22/'Semi Rev'!I22-'Semi OpInc'!E22/'Semi Rev'!E22)*10000,""),"")</f>
        <v/>
      </c>
      <c r="F875" s="43">
        <f>IFERROR(IF(AND(ISNUMBER('Semi OpInc'!J22),ISNUMBER('Semi Rev'!J22),ISNUMBER('Semi OpInc'!F22),ISNUMBER('Semi Rev'!F22),'Semi Rev'!J22&gt;0,'Semi Rev'!F22&gt;0),('Semi OpInc'!J22/'Semi Rev'!J22-'Semi OpInc'!F22/'Semi Rev'!F22)*10000,""),"")</f>
        <v/>
      </c>
      <c r="G875" s="43">
        <f>IFERROR(IF(AND(ISNUMBER('Semi OpInc'!K22),ISNUMBER('Semi Rev'!K22),ISNUMBER('Semi OpInc'!G22),ISNUMBER('Semi Rev'!G22),'Semi Rev'!K22&gt;0,'Semi Rev'!G22&gt;0),('Semi OpInc'!K22/'Semi Rev'!K22-'Semi OpInc'!G22/'Semi Rev'!G22)*10000,""),"")</f>
        <v/>
      </c>
      <c r="H875" s="43">
        <f>IFERROR(IF(AND(ISNUMBER('Semi OpInc'!L22),ISNUMBER('Semi Rev'!L22),ISNUMBER('Semi OpInc'!H22),ISNUMBER('Semi Rev'!H22),'Semi Rev'!L22&gt;0,'Semi Rev'!H22&gt;0),('Semi OpInc'!L22/'Semi Rev'!L22-'Semi OpInc'!H22/'Semi Rev'!H22)*10000,""),"")</f>
        <v/>
      </c>
      <c r="I875" s="43">
        <f>IFERROR(IF(AND(ISNUMBER('Semi OpInc'!M22),ISNUMBER('Semi Rev'!M22),ISNUMBER('Semi OpInc'!I22),ISNUMBER('Semi Rev'!I22),'Semi Rev'!M22&gt;0,'Semi Rev'!I22&gt;0),('Semi OpInc'!M22/'Semi Rev'!M22-'Semi OpInc'!I22/'Semi Rev'!I22)*10000,""),"")</f>
        <v/>
      </c>
      <c r="J875" s="43">
        <f>IFERROR(IF(AND(ISNUMBER('Semi OpInc'!N22),ISNUMBER('Semi Rev'!N22),ISNUMBER('Semi OpInc'!J22),ISNUMBER('Semi Rev'!J22),'Semi Rev'!N22&gt;0,'Semi Rev'!J22&gt;0),('Semi OpInc'!N22/'Semi Rev'!N22-'Semi OpInc'!J22/'Semi Rev'!J22)*10000,""),"")</f>
        <v/>
      </c>
      <c r="K875" s="43">
        <f>IFERROR(IF(AND(ISNUMBER('Semi OpInc'!O22),ISNUMBER('Semi Rev'!O22),ISNUMBER('Semi OpInc'!K22),ISNUMBER('Semi Rev'!K22),'Semi Rev'!O22&gt;0,'Semi Rev'!K22&gt;0),('Semi OpInc'!O22/'Semi Rev'!O22-'Semi OpInc'!K22/'Semi Rev'!K22)*10000,""),"")</f>
        <v/>
      </c>
      <c r="L875" s="43">
        <f>IFERROR(IF(AND(ISNUMBER('Semi OpInc'!P22),ISNUMBER('Semi Rev'!P22),ISNUMBER('Semi OpInc'!L22),ISNUMBER('Semi Rev'!L22),'Semi Rev'!P22&gt;0,'Semi Rev'!L22&gt;0),('Semi OpInc'!P22/'Semi Rev'!P22-'Semi OpInc'!L22/'Semi Rev'!L22)*10000,""),"")</f>
        <v/>
      </c>
      <c r="M875" s="44">
        <f>IFERROR(IF(AND(ISNUMBER('Semi OpInc'!Q22),ISNUMBER('Semi Rev'!Q22),ISNUMBER('Semi OpInc'!M22),ISNUMBER('Semi Rev'!M22),'Semi Rev'!Q22&gt;0,'Semi Rev'!M22&gt;0),('Semi OpInc'!Q22/'Semi Rev'!Q22-'Semi OpInc'!M22/'Semi Rev'!M22)*10000,""),"")</f>
        <v/>
      </c>
      <c r="N875" s="44">
        <f>IFERROR(IF(AND(ISNUMBER('Semi OpInc'!R22),ISNUMBER('Semi Rev'!R22),ISNUMBER('Semi OpInc'!N22),ISNUMBER('Semi Rev'!N22),'Semi Rev'!R22&gt;0,'Semi Rev'!N22&gt;0),('Semi OpInc'!R22/'Semi Rev'!R22-'Semi OpInc'!N22/'Semi Rev'!N22)*10000,""),"")</f>
        <v/>
      </c>
    </row>
    <row r="876">
      <c r="A876" s="19">
        <f>'Semi Rev'!$A23</f>
        <v/>
      </c>
      <c r="B876" s="19">
        <f>'Semi Rev'!$B23</f>
        <v/>
      </c>
      <c r="C876" s="43">
        <f>IFERROR(IF(AND(ISNUMBER('Semi OpInc'!G23),ISNUMBER('Semi Rev'!G23),ISNUMBER('Semi OpInc'!C23),ISNUMBER('Semi Rev'!C23),'Semi Rev'!G23&gt;0,'Semi Rev'!C23&gt;0),('Semi OpInc'!G23/'Semi Rev'!G23-'Semi OpInc'!C23/'Semi Rev'!C23)*10000,""),"")</f>
        <v/>
      </c>
      <c r="D876" s="43">
        <f>IFERROR(IF(AND(ISNUMBER('Semi OpInc'!H23),ISNUMBER('Semi Rev'!H23),ISNUMBER('Semi OpInc'!D23),ISNUMBER('Semi Rev'!D23),'Semi Rev'!H23&gt;0,'Semi Rev'!D23&gt;0),('Semi OpInc'!H23/'Semi Rev'!H23-'Semi OpInc'!D23/'Semi Rev'!D23)*10000,""),"")</f>
        <v/>
      </c>
      <c r="E876" s="43">
        <f>IFERROR(IF(AND(ISNUMBER('Semi OpInc'!I23),ISNUMBER('Semi Rev'!I23),ISNUMBER('Semi OpInc'!E23),ISNUMBER('Semi Rev'!E23),'Semi Rev'!I23&gt;0,'Semi Rev'!E23&gt;0),('Semi OpInc'!I23/'Semi Rev'!I23-'Semi OpInc'!E23/'Semi Rev'!E23)*10000,""),"")</f>
        <v/>
      </c>
      <c r="F876" s="43">
        <f>IFERROR(IF(AND(ISNUMBER('Semi OpInc'!J23),ISNUMBER('Semi Rev'!J23),ISNUMBER('Semi OpInc'!F23),ISNUMBER('Semi Rev'!F23),'Semi Rev'!J23&gt;0,'Semi Rev'!F23&gt;0),('Semi OpInc'!J23/'Semi Rev'!J23-'Semi OpInc'!F23/'Semi Rev'!F23)*10000,""),"")</f>
        <v/>
      </c>
      <c r="G876" s="43">
        <f>IFERROR(IF(AND(ISNUMBER('Semi OpInc'!K23),ISNUMBER('Semi Rev'!K23),ISNUMBER('Semi OpInc'!G23),ISNUMBER('Semi Rev'!G23),'Semi Rev'!K23&gt;0,'Semi Rev'!G23&gt;0),('Semi OpInc'!K23/'Semi Rev'!K23-'Semi OpInc'!G23/'Semi Rev'!G23)*10000,""),"")</f>
        <v/>
      </c>
      <c r="H876" s="43">
        <f>IFERROR(IF(AND(ISNUMBER('Semi OpInc'!L23),ISNUMBER('Semi Rev'!L23),ISNUMBER('Semi OpInc'!H23),ISNUMBER('Semi Rev'!H23),'Semi Rev'!L23&gt;0,'Semi Rev'!H23&gt;0),('Semi OpInc'!L23/'Semi Rev'!L23-'Semi OpInc'!H23/'Semi Rev'!H23)*10000,""),"")</f>
        <v/>
      </c>
      <c r="I876" s="43">
        <f>IFERROR(IF(AND(ISNUMBER('Semi OpInc'!M23),ISNUMBER('Semi Rev'!M23),ISNUMBER('Semi OpInc'!I23),ISNUMBER('Semi Rev'!I23),'Semi Rev'!M23&gt;0,'Semi Rev'!I23&gt;0),('Semi OpInc'!M23/'Semi Rev'!M23-'Semi OpInc'!I23/'Semi Rev'!I23)*10000,""),"")</f>
        <v/>
      </c>
      <c r="J876" s="43">
        <f>IFERROR(IF(AND(ISNUMBER('Semi OpInc'!N23),ISNUMBER('Semi Rev'!N23),ISNUMBER('Semi OpInc'!J23),ISNUMBER('Semi Rev'!J23),'Semi Rev'!N23&gt;0,'Semi Rev'!J23&gt;0),('Semi OpInc'!N23/'Semi Rev'!N23-'Semi OpInc'!J23/'Semi Rev'!J23)*10000,""),"")</f>
        <v/>
      </c>
      <c r="K876" s="43">
        <f>IFERROR(IF(AND(ISNUMBER('Semi OpInc'!O23),ISNUMBER('Semi Rev'!O23),ISNUMBER('Semi OpInc'!K23),ISNUMBER('Semi Rev'!K23),'Semi Rev'!O23&gt;0,'Semi Rev'!K23&gt;0),('Semi OpInc'!O23/'Semi Rev'!O23-'Semi OpInc'!K23/'Semi Rev'!K23)*10000,""),"")</f>
        <v/>
      </c>
      <c r="L876" s="43">
        <f>IFERROR(IF(AND(ISNUMBER('Semi OpInc'!P23),ISNUMBER('Semi Rev'!P23),ISNUMBER('Semi OpInc'!L23),ISNUMBER('Semi Rev'!L23),'Semi Rev'!P23&gt;0,'Semi Rev'!L23&gt;0),('Semi OpInc'!P23/'Semi Rev'!P23-'Semi OpInc'!L23/'Semi Rev'!L23)*10000,""),"")</f>
        <v/>
      </c>
      <c r="M876" s="44">
        <f>IFERROR(IF(AND(ISNUMBER('Semi OpInc'!Q23),ISNUMBER('Semi Rev'!Q23),ISNUMBER('Semi OpInc'!M23),ISNUMBER('Semi Rev'!M23),'Semi Rev'!Q23&gt;0,'Semi Rev'!M23&gt;0),('Semi OpInc'!Q23/'Semi Rev'!Q23-'Semi OpInc'!M23/'Semi Rev'!M23)*10000,""),"")</f>
        <v/>
      </c>
      <c r="N876" s="44">
        <f>IFERROR(IF(AND(ISNUMBER('Semi OpInc'!R23),ISNUMBER('Semi Rev'!R23),ISNUMBER('Semi OpInc'!N23),ISNUMBER('Semi Rev'!N23),'Semi Rev'!R23&gt;0,'Semi Rev'!N23&gt;0),('Semi OpInc'!R23/'Semi Rev'!R23-'Semi OpInc'!N23/'Semi Rev'!N23)*10000,""),"")</f>
        <v/>
      </c>
    </row>
    <row r="877">
      <c r="A877" s="19">
        <f>'Semi Rev'!$A24</f>
        <v/>
      </c>
      <c r="B877" s="19">
        <f>'Semi Rev'!$B24</f>
        <v/>
      </c>
      <c r="C877" s="43">
        <f>IFERROR(IF(AND(ISNUMBER('Semi OpInc'!G24),ISNUMBER('Semi Rev'!G24),ISNUMBER('Semi OpInc'!C24),ISNUMBER('Semi Rev'!C24),'Semi Rev'!G24&gt;0,'Semi Rev'!C24&gt;0),('Semi OpInc'!G24/'Semi Rev'!G24-'Semi OpInc'!C24/'Semi Rev'!C24)*10000,""),"")</f>
        <v/>
      </c>
      <c r="D877" s="43">
        <f>IFERROR(IF(AND(ISNUMBER('Semi OpInc'!H24),ISNUMBER('Semi Rev'!H24),ISNUMBER('Semi OpInc'!D24),ISNUMBER('Semi Rev'!D24),'Semi Rev'!H24&gt;0,'Semi Rev'!D24&gt;0),('Semi OpInc'!H24/'Semi Rev'!H24-'Semi OpInc'!D24/'Semi Rev'!D24)*10000,""),"")</f>
        <v/>
      </c>
      <c r="E877" s="43">
        <f>IFERROR(IF(AND(ISNUMBER('Semi OpInc'!I24),ISNUMBER('Semi Rev'!I24),ISNUMBER('Semi OpInc'!E24),ISNUMBER('Semi Rev'!E24),'Semi Rev'!I24&gt;0,'Semi Rev'!E24&gt;0),('Semi OpInc'!I24/'Semi Rev'!I24-'Semi OpInc'!E24/'Semi Rev'!E24)*10000,""),"")</f>
        <v/>
      </c>
      <c r="F877" s="43">
        <f>IFERROR(IF(AND(ISNUMBER('Semi OpInc'!J24),ISNUMBER('Semi Rev'!J24),ISNUMBER('Semi OpInc'!F24),ISNUMBER('Semi Rev'!F24),'Semi Rev'!J24&gt;0,'Semi Rev'!F24&gt;0),('Semi OpInc'!J24/'Semi Rev'!J24-'Semi OpInc'!F24/'Semi Rev'!F24)*10000,""),"")</f>
        <v/>
      </c>
      <c r="G877" s="43">
        <f>IFERROR(IF(AND(ISNUMBER('Semi OpInc'!K24),ISNUMBER('Semi Rev'!K24),ISNUMBER('Semi OpInc'!G24),ISNUMBER('Semi Rev'!G24),'Semi Rev'!K24&gt;0,'Semi Rev'!G24&gt;0),('Semi OpInc'!K24/'Semi Rev'!K24-'Semi OpInc'!G24/'Semi Rev'!G24)*10000,""),"")</f>
        <v/>
      </c>
      <c r="H877" s="43">
        <f>IFERROR(IF(AND(ISNUMBER('Semi OpInc'!L24),ISNUMBER('Semi Rev'!L24),ISNUMBER('Semi OpInc'!H24),ISNUMBER('Semi Rev'!H24),'Semi Rev'!L24&gt;0,'Semi Rev'!H24&gt;0),('Semi OpInc'!L24/'Semi Rev'!L24-'Semi OpInc'!H24/'Semi Rev'!H24)*10000,""),"")</f>
        <v/>
      </c>
      <c r="I877" s="43">
        <f>IFERROR(IF(AND(ISNUMBER('Semi OpInc'!M24),ISNUMBER('Semi Rev'!M24),ISNUMBER('Semi OpInc'!I24),ISNUMBER('Semi Rev'!I24),'Semi Rev'!M24&gt;0,'Semi Rev'!I24&gt;0),('Semi OpInc'!M24/'Semi Rev'!M24-'Semi OpInc'!I24/'Semi Rev'!I24)*10000,""),"")</f>
        <v/>
      </c>
      <c r="J877" s="43">
        <f>IFERROR(IF(AND(ISNUMBER('Semi OpInc'!N24),ISNUMBER('Semi Rev'!N24),ISNUMBER('Semi OpInc'!J24),ISNUMBER('Semi Rev'!J24),'Semi Rev'!N24&gt;0,'Semi Rev'!J24&gt;0),('Semi OpInc'!N24/'Semi Rev'!N24-'Semi OpInc'!J24/'Semi Rev'!J24)*10000,""),"")</f>
        <v/>
      </c>
      <c r="K877" s="43">
        <f>IFERROR(IF(AND(ISNUMBER('Semi OpInc'!O24),ISNUMBER('Semi Rev'!O24),ISNUMBER('Semi OpInc'!K24),ISNUMBER('Semi Rev'!K24),'Semi Rev'!O24&gt;0,'Semi Rev'!K24&gt;0),('Semi OpInc'!O24/'Semi Rev'!O24-'Semi OpInc'!K24/'Semi Rev'!K24)*10000,""),"")</f>
        <v/>
      </c>
      <c r="L877" s="43">
        <f>IFERROR(IF(AND(ISNUMBER('Semi OpInc'!P24),ISNUMBER('Semi Rev'!P24),ISNUMBER('Semi OpInc'!L24),ISNUMBER('Semi Rev'!L24),'Semi Rev'!P24&gt;0,'Semi Rev'!L24&gt;0),('Semi OpInc'!P24/'Semi Rev'!P24-'Semi OpInc'!L24/'Semi Rev'!L24)*10000,""),"")</f>
        <v/>
      </c>
      <c r="M877" s="44">
        <f>IFERROR(IF(AND(ISNUMBER('Semi OpInc'!Q24),ISNUMBER('Semi Rev'!Q24),ISNUMBER('Semi OpInc'!M24),ISNUMBER('Semi Rev'!M24),'Semi Rev'!Q24&gt;0,'Semi Rev'!M24&gt;0),('Semi OpInc'!Q24/'Semi Rev'!Q24-'Semi OpInc'!M24/'Semi Rev'!M24)*10000,""),"")</f>
        <v/>
      </c>
      <c r="N877" s="44">
        <f>IFERROR(IF(AND(ISNUMBER('Semi OpInc'!R24),ISNUMBER('Semi Rev'!R24),ISNUMBER('Semi OpInc'!N24),ISNUMBER('Semi Rev'!N24),'Semi Rev'!R24&gt;0,'Semi Rev'!N24&gt;0),('Semi OpInc'!R24/'Semi Rev'!R24-'Semi OpInc'!N24/'Semi Rev'!N24)*10000,""),"")</f>
        <v/>
      </c>
    </row>
    <row r="878">
      <c r="A878" s="19">
        <f>'Semi Rev'!$A25</f>
        <v/>
      </c>
      <c r="B878" s="19">
        <f>'Semi Rev'!$B25</f>
        <v/>
      </c>
      <c r="C878" s="43">
        <f>IFERROR(IF(AND(ISNUMBER('Semi OpInc'!G25),ISNUMBER('Semi Rev'!G25),ISNUMBER('Semi OpInc'!C25),ISNUMBER('Semi Rev'!C25),'Semi Rev'!G25&gt;0,'Semi Rev'!C25&gt;0),('Semi OpInc'!G25/'Semi Rev'!G25-'Semi OpInc'!C25/'Semi Rev'!C25)*10000,""),"")</f>
        <v/>
      </c>
      <c r="D878" s="43">
        <f>IFERROR(IF(AND(ISNUMBER('Semi OpInc'!H25),ISNUMBER('Semi Rev'!H25),ISNUMBER('Semi OpInc'!D25),ISNUMBER('Semi Rev'!D25),'Semi Rev'!H25&gt;0,'Semi Rev'!D25&gt;0),('Semi OpInc'!H25/'Semi Rev'!H25-'Semi OpInc'!D25/'Semi Rev'!D25)*10000,""),"")</f>
        <v/>
      </c>
      <c r="E878" s="43">
        <f>IFERROR(IF(AND(ISNUMBER('Semi OpInc'!I25),ISNUMBER('Semi Rev'!I25),ISNUMBER('Semi OpInc'!E25),ISNUMBER('Semi Rev'!E25),'Semi Rev'!I25&gt;0,'Semi Rev'!E25&gt;0),('Semi OpInc'!I25/'Semi Rev'!I25-'Semi OpInc'!E25/'Semi Rev'!E25)*10000,""),"")</f>
        <v/>
      </c>
      <c r="F878" s="43">
        <f>IFERROR(IF(AND(ISNUMBER('Semi OpInc'!J25),ISNUMBER('Semi Rev'!J25),ISNUMBER('Semi OpInc'!F25),ISNUMBER('Semi Rev'!F25),'Semi Rev'!J25&gt;0,'Semi Rev'!F25&gt;0),('Semi OpInc'!J25/'Semi Rev'!J25-'Semi OpInc'!F25/'Semi Rev'!F25)*10000,""),"")</f>
        <v/>
      </c>
      <c r="G878" s="43">
        <f>IFERROR(IF(AND(ISNUMBER('Semi OpInc'!K25),ISNUMBER('Semi Rev'!K25),ISNUMBER('Semi OpInc'!G25),ISNUMBER('Semi Rev'!G25),'Semi Rev'!K25&gt;0,'Semi Rev'!G25&gt;0),('Semi OpInc'!K25/'Semi Rev'!K25-'Semi OpInc'!G25/'Semi Rev'!G25)*10000,""),"")</f>
        <v/>
      </c>
      <c r="H878" s="43">
        <f>IFERROR(IF(AND(ISNUMBER('Semi OpInc'!L25),ISNUMBER('Semi Rev'!L25),ISNUMBER('Semi OpInc'!H25),ISNUMBER('Semi Rev'!H25),'Semi Rev'!L25&gt;0,'Semi Rev'!H25&gt;0),('Semi OpInc'!L25/'Semi Rev'!L25-'Semi OpInc'!H25/'Semi Rev'!H25)*10000,""),"")</f>
        <v/>
      </c>
      <c r="I878" s="43">
        <f>IFERROR(IF(AND(ISNUMBER('Semi OpInc'!M25),ISNUMBER('Semi Rev'!M25),ISNUMBER('Semi OpInc'!I25),ISNUMBER('Semi Rev'!I25),'Semi Rev'!M25&gt;0,'Semi Rev'!I25&gt;0),('Semi OpInc'!M25/'Semi Rev'!M25-'Semi OpInc'!I25/'Semi Rev'!I25)*10000,""),"")</f>
        <v/>
      </c>
      <c r="J878" s="43">
        <f>IFERROR(IF(AND(ISNUMBER('Semi OpInc'!N25),ISNUMBER('Semi Rev'!N25),ISNUMBER('Semi OpInc'!J25),ISNUMBER('Semi Rev'!J25),'Semi Rev'!N25&gt;0,'Semi Rev'!J25&gt;0),('Semi OpInc'!N25/'Semi Rev'!N25-'Semi OpInc'!J25/'Semi Rev'!J25)*10000,""),"")</f>
        <v/>
      </c>
      <c r="K878" s="43">
        <f>IFERROR(IF(AND(ISNUMBER('Semi OpInc'!O25),ISNUMBER('Semi Rev'!O25),ISNUMBER('Semi OpInc'!K25),ISNUMBER('Semi Rev'!K25),'Semi Rev'!O25&gt;0,'Semi Rev'!K25&gt;0),('Semi OpInc'!O25/'Semi Rev'!O25-'Semi OpInc'!K25/'Semi Rev'!K25)*10000,""),"")</f>
        <v/>
      </c>
      <c r="L878" s="43">
        <f>IFERROR(IF(AND(ISNUMBER('Semi OpInc'!P25),ISNUMBER('Semi Rev'!P25),ISNUMBER('Semi OpInc'!L25),ISNUMBER('Semi Rev'!L25),'Semi Rev'!P25&gt;0,'Semi Rev'!L25&gt;0),('Semi OpInc'!P25/'Semi Rev'!P25-'Semi OpInc'!L25/'Semi Rev'!L25)*10000,""),"")</f>
        <v/>
      </c>
      <c r="M878" s="44">
        <f>IFERROR(IF(AND(ISNUMBER('Semi OpInc'!Q25),ISNUMBER('Semi Rev'!Q25),ISNUMBER('Semi OpInc'!M25),ISNUMBER('Semi Rev'!M25),'Semi Rev'!Q25&gt;0,'Semi Rev'!M25&gt;0),('Semi OpInc'!Q25/'Semi Rev'!Q25-'Semi OpInc'!M25/'Semi Rev'!M25)*10000,""),"")</f>
        <v/>
      </c>
      <c r="N878" s="44">
        <f>IFERROR(IF(AND(ISNUMBER('Semi OpInc'!R25),ISNUMBER('Semi Rev'!R25),ISNUMBER('Semi OpInc'!N25),ISNUMBER('Semi Rev'!N25),'Semi Rev'!R25&gt;0,'Semi Rev'!N25&gt;0),('Semi OpInc'!R25/'Semi Rev'!R25-'Semi OpInc'!N25/'Semi Rev'!N25)*10000,""),"")</f>
        <v/>
      </c>
    </row>
    <row r="879">
      <c r="A879" s="19">
        <f>'Semi Rev'!$A26</f>
        <v/>
      </c>
      <c r="B879" s="19">
        <f>'Semi Rev'!$B26</f>
        <v/>
      </c>
      <c r="C879" s="43">
        <f>IFERROR(IF(AND(ISNUMBER('Semi OpInc'!G26),ISNUMBER('Semi Rev'!G26),ISNUMBER('Semi OpInc'!C26),ISNUMBER('Semi Rev'!C26),'Semi Rev'!G26&gt;0,'Semi Rev'!C26&gt;0),('Semi OpInc'!G26/'Semi Rev'!G26-'Semi OpInc'!C26/'Semi Rev'!C26)*10000,""),"")</f>
        <v/>
      </c>
      <c r="D879" s="43">
        <f>IFERROR(IF(AND(ISNUMBER('Semi OpInc'!H26),ISNUMBER('Semi Rev'!H26),ISNUMBER('Semi OpInc'!D26),ISNUMBER('Semi Rev'!D26),'Semi Rev'!H26&gt;0,'Semi Rev'!D26&gt;0),('Semi OpInc'!H26/'Semi Rev'!H26-'Semi OpInc'!D26/'Semi Rev'!D26)*10000,""),"")</f>
        <v/>
      </c>
      <c r="E879" s="43">
        <f>IFERROR(IF(AND(ISNUMBER('Semi OpInc'!I26),ISNUMBER('Semi Rev'!I26),ISNUMBER('Semi OpInc'!E26),ISNUMBER('Semi Rev'!E26),'Semi Rev'!I26&gt;0,'Semi Rev'!E26&gt;0),('Semi OpInc'!I26/'Semi Rev'!I26-'Semi OpInc'!E26/'Semi Rev'!E26)*10000,""),"")</f>
        <v/>
      </c>
      <c r="F879" s="43">
        <f>IFERROR(IF(AND(ISNUMBER('Semi OpInc'!J26),ISNUMBER('Semi Rev'!J26),ISNUMBER('Semi OpInc'!F26),ISNUMBER('Semi Rev'!F26),'Semi Rev'!J26&gt;0,'Semi Rev'!F26&gt;0),('Semi OpInc'!J26/'Semi Rev'!J26-'Semi OpInc'!F26/'Semi Rev'!F26)*10000,""),"")</f>
        <v/>
      </c>
      <c r="G879" s="43">
        <f>IFERROR(IF(AND(ISNUMBER('Semi OpInc'!K26),ISNUMBER('Semi Rev'!K26),ISNUMBER('Semi OpInc'!G26),ISNUMBER('Semi Rev'!G26),'Semi Rev'!K26&gt;0,'Semi Rev'!G26&gt;0),('Semi OpInc'!K26/'Semi Rev'!K26-'Semi OpInc'!G26/'Semi Rev'!G26)*10000,""),"")</f>
        <v/>
      </c>
      <c r="H879" s="43">
        <f>IFERROR(IF(AND(ISNUMBER('Semi OpInc'!L26),ISNUMBER('Semi Rev'!L26),ISNUMBER('Semi OpInc'!H26),ISNUMBER('Semi Rev'!H26),'Semi Rev'!L26&gt;0,'Semi Rev'!H26&gt;0),('Semi OpInc'!L26/'Semi Rev'!L26-'Semi OpInc'!H26/'Semi Rev'!H26)*10000,""),"")</f>
        <v/>
      </c>
      <c r="I879" s="43">
        <f>IFERROR(IF(AND(ISNUMBER('Semi OpInc'!M26),ISNUMBER('Semi Rev'!M26),ISNUMBER('Semi OpInc'!I26),ISNUMBER('Semi Rev'!I26),'Semi Rev'!M26&gt;0,'Semi Rev'!I26&gt;0),('Semi OpInc'!M26/'Semi Rev'!M26-'Semi OpInc'!I26/'Semi Rev'!I26)*10000,""),"")</f>
        <v/>
      </c>
      <c r="J879" s="43">
        <f>IFERROR(IF(AND(ISNUMBER('Semi OpInc'!N26),ISNUMBER('Semi Rev'!N26),ISNUMBER('Semi OpInc'!J26),ISNUMBER('Semi Rev'!J26),'Semi Rev'!N26&gt;0,'Semi Rev'!J26&gt;0),('Semi OpInc'!N26/'Semi Rev'!N26-'Semi OpInc'!J26/'Semi Rev'!J26)*10000,""),"")</f>
        <v/>
      </c>
      <c r="K879" s="43">
        <f>IFERROR(IF(AND(ISNUMBER('Semi OpInc'!O26),ISNUMBER('Semi Rev'!O26),ISNUMBER('Semi OpInc'!K26),ISNUMBER('Semi Rev'!K26),'Semi Rev'!O26&gt;0,'Semi Rev'!K26&gt;0),('Semi OpInc'!O26/'Semi Rev'!O26-'Semi OpInc'!K26/'Semi Rev'!K26)*10000,""),"")</f>
        <v/>
      </c>
      <c r="L879" s="43">
        <f>IFERROR(IF(AND(ISNUMBER('Semi OpInc'!P26),ISNUMBER('Semi Rev'!P26),ISNUMBER('Semi OpInc'!L26),ISNUMBER('Semi Rev'!L26),'Semi Rev'!P26&gt;0,'Semi Rev'!L26&gt;0),('Semi OpInc'!P26/'Semi Rev'!P26-'Semi OpInc'!L26/'Semi Rev'!L26)*10000,""),"")</f>
        <v/>
      </c>
      <c r="M879" s="44">
        <f>IFERROR(IF(AND(ISNUMBER('Semi OpInc'!Q26),ISNUMBER('Semi Rev'!Q26),ISNUMBER('Semi OpInc'!M26),ISNUMBER('Semi Rev'!M26),'Semi Rev'!Q26&gt;0,'Semi Rev'!M26&gt;0),('Semi OpInc'!Q26/'Semi Rev'!Q26-'Semi OpInc'!M26/'Semi Rev'!M26)*10000,""),"")</f>
        <v/>
      </c>
      <c r="N879" s="44">
        <f>IFERROR(IF(AND(ISNUMBER('Semi OpInc'!R26),ISNUMBER('Semi Rev'!R26),ISNUMBER('Semi OpInc'!N26),ISNUMBER('Semi Rev'!N26),'Semi Rev'!R26&gt;0,'Semi Rev'!N26&gt;0),('Semi OpInc'!R26/'Semi Rev'!R26-'Semi OpInc'!N26/'Semi Rev'!N26)*10000,""),"")</f>
        <v/>
      </c>
    </row>
    <row r="880">
      <c r="A880" s="19">
        <f>'Semi Rev'!$A27</f>
        <v/>
      </c>
      <c r="B880" s="19">
        <f>'Semi Rev'!$B27</f>
        <v/>
      </c>
      <c r="C880" s="43">
        <f>IFERROR(IF(AND(ISNUMBER('Semi OpInc'!G27),ISNUMBER('Semi Rev'!G27),ISNUMBER('Semi OpInc'!C27),ISNUMBER('Semi Rev'!C27),'Semi Rev'!G27&gt;0,'Semi Rev'!C27&gt;0),('Semi OpInc'!G27/'Semi Rev'!G27-'Semi OpInc'!C27/'Semi Rev'!C27)*10000,""),"")</f>
        <v/>
      </c>
      <c r="D880" s="43">
        <f>IFERROR(IF(AND(ISNUMBER('Semi OpInc'!H27),ISNUMBER('Semi Rev'!H27),ISNUMBER('Semi OpInc'!D27),ISNUMBER('Semi Rev'!D27),'Semi Rev'!H27&gt;0,'Semi Rev'!D27&gt;0),('Semi OpInc'!H27/'Semi Rev'!H27-'Semi OpInc'!D27/'Semi Rev'!D27)*10000,""),"")</f>
        <v/>
      </c>
      <c r="E880" s="43">
        <f>IFERROR(IF(AND(ISNUMBER('Semi OpInc'!I27),ISNUMBER('Semi Rev'!I27),ISNUMBER('Semi OpInc'!E27),ISNUMBER('Semi Rev'!E27),'Semi Rev'!I27&gt;0,'Semi Rev'!E27&gt;0),('Semi OpInc'!I27/'Semi Rev'!I27-'Semi OpInc'!E27/'Semi Rev'!E27)*10000,""),"")</f>
        <v/>
      </c>
      <c r="F880" s="43">
        <f>IFERROR(IF(AND(ISNUMBER('Semi OpInc'!J27),ISNUMBER('Semi Rev'!J27),ISNUMBER('Semi OpInc'!F27),ISNUMBER('Semi Rev'!F27),'Semi Rev'!J27&gt;0,'Semi Rev'!F27&gt;0),('Semi OpInc'!J27/'Semi Rev'!J27-'Semi OpInc'!F27/'Semi Rev'!F27)*10000,""),"")</f>
        <v/>
      </c>
      <c r="G880" s="43">
        <f>IFERROR(IF(AND(ISNUMBER('Semi OpInc'!K27),ISNUMBER('Semi Rev'!K27),ISNUMBER('Semi OpInc'!G27),ISNUMBER('Semi Rev'!G27),'Semi Rev'!K27&gt;0,'Semi Rev'!G27&gt;0),('Semi OpInc'!K27/'Semi Rev'!K27-'Semi OpInc'!G27/'Semi Rev'!G27)*10000,""),"")</f>
        <v/>
      </c>
      <c r="H880" s="43">
        <f>IFERROR(IF(AND(ISNUMBER('Semi OpInc'!L27),ISNUMBER('Semi Rev'!L27),ISNUMBER('Semi OpInc'!H27),ISNUMBER('Semi Rev'!H27),'Semi Rev'!L27&gt;0,'Semi Rev'!H27&gt;0),('Semi OpInc'!L27/'Semi Rev'!L27-'Semi OpInc'!H27/'Semi Rev'!H27)*10000,""),"")</f>
        <v/>
      </c>
      <c r="I880" s="43">
        <f>IFERROR(IF(AND(ISNUMBER('Semi OpInc'!M27),ISNUMBER('Semi Rev'!M27),ISNUMBER('Semi OpInc'!I27),ISNUMBER('Semi Rev'!I27),'Semi Rev'!M27&gt;0,'Semi Rev'!I27&gt;0),('Semi OpInc'!M27/'Semi Rev'!M27-'Semi OpInc'!I27/'Semi Rev'!I27)*10000,""),"")</f>
        <v/>
      </c>
      <c r="J880" s="43">
        <f>IFERROR(IF(AND(ISNUMBER('Semi OpInc'!N27),ISNUMBER('Semi Rev'!N27),ISNUMBER('Semi OpInc'!J27),ISNUMBER('Semi Rev'!J27),'Semi Rev'!N27&gt;0,'Semi Rev'!J27&gt;0),('Semi OpInc'!N27/'Semi Rev'!N27-'Semi OpInc'!J27/'Semi Rev'!J27)*10000,""),"")</f>
        <v/>
      </c>
      <c r="K880" s="43">
        <f>IFERROR(IF(AND(ISNUMBER('Semi OpInc'!O27),ISNUMBER('Semi Rev'!O27),ISNUMBER('Semi OpInc'!K27),ISNUMBER('Semi Rev'!K27),'Semi Rev'!O27&gt;0,'Semi Rev'!K27&gt;0),('Semi OpInc'!O27/'Semi Rev'!O27-'Semi OpInc'!K27/'Semi Rev'!K27)*10000,""),"")</f>
        <v/>
      </c>
      <c r="L880" s="43">
        <f>IFERROR(IF(AND(ISNUMBER('Semi OpInc'!P27),ISNUMBER('Semi Rev'!P27),ISNUMBER('Semi OpInc'!L27),ISNUMBER('Semi Rev'!L27),'Semi Rev'!P27&gt;0,'Semi Rev'!L27&gt;0),('Semi OpInc'!P27/'Semi Rev'!P27-'Semi OpInc'!L27/'Semi Rev'!L27)*10000,""),"")</f>
        <v/>
      </c>
      <c r="M880" s="44">
        <f>IFERROR(IF(AND(ISNUMBER('Semi OpInc'!Q27),ISNUMBER('Semi Rev'!Q27),ISNUMBER('Semi OpInc'!M27),ISNUMBER('Semi Rev'!M27),'Semi Rev'!Q27&gt;0,'Semi Rev'!M27&gt;0),('Semi OpInc'!Q27/'Semi Rev'!Q27-'Semi OpInc'!M27/'Semi Rev'!M27)*10000,""),"")</f>
        <v/>
      </c>
      <c r="N880" s="44">
        <f>IFERROR(IF(AND(ISNUMBER('Semi OpInc'!R27),ISNUMBER('Semi Rev'!R27),ISNUMBER('Semi OpInc'!N27),ISNUMBER('Semi Rev'!N27),'Semi Rev'!R27&gt;0,'Semi Rev'!N27&gt;0),('Semi OpInc'!R27/'Semi Rev'!R27-'Semi OpInc'!N27/'Semi Rev'!N27)*10000,""),"")</f>
        <v/>
      </c>
    </row>
    <row r="881">
      <c r="A881" s="19">
        <f>'Semi Rev'!$A28</f>
        <v/>
      </c>
      <c r="B881" s="19">
        <f>'Semi Rev'!$B28</f>
        <v/>
      </c>
      <c r="C881" s="43">
        <f>IFERROR(IF(AND(ISNUMBER('Semi OpInc'!G28),ISNUMBER('Semi Rev'!G28),ISNUMBER('Semi OpInc'!C28),ISNUMBER('Semi Rev'!C28),'Semi Rev'!G28&gt;0,'Semi Rev'!C28&gt;0),('Semi OpInc'!G28/'Semi Rev'!G28-'Semi OpInc'!C28/'Semi Rev'!C28)*10000,""),"")</f>
        <v/>
      </c>
      <c r="D881" s="43">
        <f>IFERROR(IF(AND(ISNUMBER('Semi OpInc'!H28),ISNUMBER('Semi Rev'!H28),ISNUMBER('Semi OpInc'!D28),ISNUMBER('Semi Rev'!D28),'Semi Rev'!H28&gt;0,'Semi Rev'!D28&gt;0),('Semi OpInc'!H28/'Semi Rev'!H28-'Semi OpInc'!D28/'Semi Rev'!D28)*10000,""),"")</f>
        <v/>
      </c>
      <c r="E881" s="43">
        <f>IFERROR(IF(AND(ISNUMBER('Semi OpInc'!I28),ISNUMBER('Semi Rev'!I28),ISNUMBER('Semi OpInc'!E28),ISNUMBER('Semi Rev'!E28),'Semi Rev'!I28&gt;0,'Semi Rev'!E28&gt;0),('Semi OpInc'!I28/'Semi Rev'!I28-'Semi OpInc'!E28/'Semi Rev'!E28)*10000,""),"")</f>
        <v/>
      </c>
      <c r="F881" s="43">
        <f>IFERROR(IF(AND(ISNUMBER('Semi OpInc'!J28),ISNUMBER('Semi Rev'!J28),ISNUMBER('Semi OpInc'!F28),ISNUMBER('Semi Rev'!F28),'Semi Rev'!J28&gt;0,'Semi Rev'!F28&gt;0),('Semi OpInc'!J28/'Semi Rev'!J28-'Semi OpInc'!F28/'Semi Rev'!F28)*10000,""),"")</f>
        <v/>
      </c>
      <c r="G881" s="43">
        <f>IFERROR(IF(AND(ISNUMBER('Semi OpInc'!K28),ISNUMBER('Semi Rev'!K28),ISNUMBER('Semi OpInc'!G28),ISNUMBER('Semi Rev'!G28),'Semi Rev'!K28&gt;0,'Semi Rev'!G28&gt;0),('Semi OpInc'!K28/'Semi Rev'!K28-'Semi OpInc'!G28/'Semi Rev'!G28)*10000,""),"")</f>
        <v/>
      </c>
      <c r="H881" s="43">
        <f>IFERROR(IF(AND(ISNUMBER('Semi OpInc'!L28),ISNUMBER('Semi Rev'!L28),ISNUMBER('Semi OpInc'!H28),ISNUMBER('Semi Rev'!H28),'Semi Rev'!L28&gt;0,'Semi Rev'!H28&gt;0),('Semi OpInc'!L28/'Semi Rev'!L28-'Semi OpInc'!H28/'Semi Rev'!H28)*10000,""),"")</f>
        <v/>
      </c>
      <c r="I881" s="43">
        <f>IFERROR(IF(AND(ISNUMBER('Semi OpInc'!M28),ISNUMBER('Semi Rev'!M28),ISNUMBER('Semi OpInc'!I28),ISNUMBER('Semi Rev'!I28),'Semi Rev'!M28&gt;0,'Semi Rev'!I28&gt;0),('Semi OpInc'!M28/'Semi Rev'!M28-'Semi OpInc'!I28/'Semi Rev'!I28)*10000,""),"")</f>
        <v/>
      </c>
      <c r="J881" s="43">
        <f>IFERROR(IF(AND(ISNUMBER('Semi OpInc'!N28),ISNUMBER('Semi Rev'!N28),ISNUMBER('Semi OpInc'!J28),ISNUMBER('Semi Rev'!J28),'Semi Rev'!N28&gt;0,'Semi Rev'!J28&gt;0),('Semi OpInc'!N28/'Semi Rev'!N28-'Semi OpInc'!J28/'Semi Rev'!J28)*10000,""),"")</f>
        <v/>
      </c>
      <c r="K881" s="43">
        <f>IFERROR(IF(AND(ISNUMBER('Semi OpInc'!O28),ISNUMBER('Semi Rev'!O28),ISNUMBER('Semi OpInc'!K28),ISNUMBER('Semi Rev'!K28),'Semi Rev'!O28&gt;0,'Semi Rev'!K28&gt;0),('Semi OpInc'!O28/'Semi Rev'!O28-'Semi OpInc'!K28/'Semi Rev'!K28)*10000,""),"")</f>
        <v/>
      </c>
      <c r="L881" s="43">
        <f>IFERROR(IF(AND(ISNUMBER('Semi OpInc'!P28),ISNUMBER('Semi Rev'!P28),ISNUMBER('Semi OpInc'!L28),ISNUMBER('Semi Rev'!L28),'Semi Rev'!P28&gt;0,'Semi Rev'!L28&gt;0),('Semi OpInc'!P28/'Semi Rev'!P28-'Semi OpInc'!L28/'Semi Rev'!L28)*10000,""),"")</f>
        <v/>
      </c>
      <c r="M881" s="44">
        <f>IFERROR(IF(AND(ISNUMBER('Semi OpInc'!Q28),ISNUMBER('Semi Rev'!Q28),ISNUMBER('Semi OpInc'!M28),ISNUMBER('Semi Rev'!M28),'Semi Rev'!Q28&gt;0,'Semi Rev'!M28&gt;0),('Semi OpInc'!Q28/'Semi Rev'!Q28-'Semi OpInc'!M28/'Semi Rev'!M28)*10000,""),"")</f>
        <v/>
      </c>
      <c r="N881" s="44">
        <f>IFERROR(IF(AND(ISNUMBER('Semi OpInc'!R28),ISNUMBER('Semi Rev'!R28),ISNUMBER('Semi OpInc'!N28),ISNUMBER('Semi Rev'!N28),'Semi Rev'!R28&gt;0,'Semi Rev'!N28&gt;0),('Semi OpInc'!R28/'Semi Rev'!R28-'Semi OpInc'!N28/'Semi Rev'!N28)*10000,""),"")</f>
        <v/>
      </c>
    </row>
    <row r="882">
      <c r="A882" s="19">
        <f>'Semi Rev'!$A29</f>
        <v/>
      </c>
      <c r="B882" s="19">
        <f>'Semi Rev'!$B29</f>
        <v/>
      </c>
      <c r="C882" s="43">
        <f>IFERROR(IF(AND(ISNUMBER('Semi OpInc'!G29),ISNUMBER('Semi Rev'!G29),ISNUMBER('Semi OpInc'!C29),ISNUMBER('Semi Rev'!C29),'Semi Rev'!G29&gt;0,'Semi Rev'!C29&gt;0),('Semi OpInc'!G29/'Semi Rev'!G29-'Semi OpInc'!C29/'Semi Rev'!C29)*10000,""),"")</f>
        <v/>
      </c>
      <c r="D882" s="43">
        <f>IFERROR(IF(AND(ISNUMBER('Semi OpInc'!H29),ISNUMBER('Semi Rev'!H29),ISNUMBER('Semi OpInc'!D29),ISNUMBER('Semi Rev'!D29),'Semi Rev'!H29&gt;0,'Semi Rev'!D29&gt;0),('Semi OpInc'!H29/'Semi Rev'!H29-'Semi OpInc'!D29/'Semi Rev'!D29)*10000,""),"")</f>
        <v/>
      </c>
      <c r="E882" s="43">
        <f>IFERROR(IF(AND(ISNUMBER('Semi OpInc'!I29),ISNUMBER('Semi Rev'!I29),ISNUMBER('Semi OpInc'!E29),ISNUMBER('Semi Rev'!E29),'Semi Rev'!I29&gt;0,'Semi Rev'!E29&gt;0),('Semi OpInc'!I29/'Semi Rev'!I29-'Semi OpInc'!E29/'Semi Rev'!E29)*10000,""),"")</f>
        <v/>
      </c>
      <c r="F882" s="43">
        <f>IFERROR(IF(AND(ISNUMBER('Semi OpInc'!J29),ISNUMBER('Semi Rev'!J29),ISNUMBER('Semi OpInc'!F29),ISNUMBER('Semi Rev'!F29),'Semi Rev'!J29&gt;0,'Semi Rev'!F29&gt;0),('Semi OpInc'!J29/'Semi Rev'!J29-'Semi OpInc'!F29/'Semi Rev'!F29)*10000,""),"")</f>
        <v/>
      </c>
      <c r="G882" s="43">
        <f>IFERROR(IF(AND(ISNUMBER('Semi OpInc'!K29),ISNUMBER('Semi Rev'!K29),ISNUMBER('Semi OpInc'!G29),ISNUMBER('Semi Rev'!G29),'Semi Rev'!K29&gt;0,'Semi Rev'!G29&gt;0),('Semi OpInc'!K29/'Semi Rev'!K29-'Semi OpInc'!G29/'Semi Rev'!G29)*10000,""),"")</f>
        <v/>
      </c>
      <c r="H882" s="43">
        <f>IFERROR(IF(AND(ISNUMBER('Semi OpInc'!L29),ISNUMBER('Semi Rev'!L29),ISNUMBER('Semi OpInc'!H29),ISNUMBER('Semi Rev'!H29),'Semi Rev'!L29&gt;0,'Semi Rev'!H29&gt;0),('Semi OpInc'!L29/'Semi Rev'!L29-'Semi OpInc'!H29/'Semi Rev'!H29)*10000,""),"")</f>
        <v/>
      </c>
      <c r="I882" s="43">
        <f>IFERROR(IF(AND(ISNUMBER('Semi OpInc'!M29),ISNUMBER('Semi Rev'!M29),ISNUMBER('Semi OpInc'!I29),ISNUMBER('Semi Rev'!I29),'Semi Rev'!M29&gt;0,'Semi Rev'!I29&gt;0),('Semi OpInc'!M29/'Semi Rev'!M29-'Semi OpInc'!I29/'Semi Rev'!I29)*10000,""),"")</f>
        <v/>
      </c>
      <c r="J882" s="43">
        <f>IFERROR(IF(AND(ISNUMBER('Semi OpInc'!N29),ISNUMBER('Semi Rev'!N29),ISNUMBER('Semi OpInc'!J29),ISNUMBER('Semi Rev'!J29),'Semi Rev'!N29&gt;0,'Semi Rev'!J29&gt;0),('Semi OpInc'!N29/'Semi Rev'!N29-'Semi OpInc'!J29/'Semi Rev'!J29)*10000,""),"")</f>
        <v/>
      </c>
      <c r="K882" s="43">
        <f>IFERROR(IF(AND(ISNUMBER('Semi OpInc'!O29),ISNUMBER('Semi Rev'!O29),ISNUMBER('Semi OpInc'!K29),ISNUMBER('Semi Rev'!K29),'Semi Rev'!O29&gt;0,'Semi Rev'!K29&gt;0),('Semi OpInc'!O29/'Semi Rev'!O29-'Semi OpInc'!K29/'Semi Rev'!K29)*10000,""),"")</f>
        <v/>
      </c>
      <c r="L882" s="43">
        <f>IFERROR(IF(AND(ISNUMBER('Semi OpInc'!P29),ISNUMBER('Semi Rev'!P29),ISNUMBER('Semi OpInc'!L29),ISNUMBER('Semi Rev'!L29),'Semi Rev'!P29&gt;0,'Semi Rev'!L29&gt;0),('Semi OpInc'!P29/'Semi Rev'!P29-'Semi OpInc'!L29/'Semi Rev'!L29)*10000,""),"")</f>
        <v/>
      </c>
      <c r="M882" s="44">
        <f>IFERROR(IF(AND(ISNUMBER('Semi OpInc'!Q29),ISNUMBER('Semi Rev'!Q29),ISNUMBER('Semi OpInc'!M29),ISNUMBER('Semi Rev'!M29),'Semi Rev'!Q29&gt;0,'Semi Rev'!M29&gt;0),('Semi OpInc'!Q29/'Semi Rev'!Q29-'Semi OpInc'!M29/'Semi Rev'!M29)*10000,""),"")</f>
        <v/>
      </c>
      <c r="N882" s="44">
        <f>IFERROR(IF(AND(ISNUMBER('Semi OpInc'!R29),ISNUMBER('Semi Rev'!R29),ISNUMBER('Semi OpInc'!N29),ISNUMBER('Semi Rev'!N29),'Semi Rev'!R29&gt;0,'Semi Rev'!N29&gt;0),('Semi OpInc'!R29/'Semi Rev'!R29-'Semi OpInc'!N29/'Semi Rev'!N29)*10000,""),"")</f>
        <v/>
      </c>
    </row>
    <row r="883">
      <c r="A883" s="19">
        <f>'Semi Rev'!$A30</f>
        <v/>
      </c>
      <c r="B883" s="19">
        <f>'Semi Rev'!$B30</f>
        <v/>
      </c>
      <c r="C883" s="43">
        <f>IFERROR(IF(AND(ISNUMBER('Semi OpInc'!G30),ISNUMBER('Semi Rev'!G30),ISNUMBER('Semi OpInc'!C30),ISNUMBER('Semi Rev'!C30),'Semi Rev'!G30&gt;0,'Semi Rev'!C30&gt;0),('Semi OpInc'!G30/'Semi Rev'!G30-'Semi OpInc'!C30/'Semi Rev'!C30)*10000,""),"")</f>
        <v/>
      </c>
      <c r="D883" s="43">
        <f>IFERROR(IF(AND(ISNUMBER('Semi OpInc'!H30),ISNUMBER('Semi Rev'!H30),ISNUMBER('Semi OpInc'!D30),ISNUMBER('Semi Rev'!D30),'Semi Rev'!H30&gt;0,'Semi Rev'!D30&gt;0),('Semi OpInc'!H30/'Semi Rev'!H30-'Semi OpInc'!D30/'Semi Rev'!D30)*10000,""),"")</f>
        <v/>
      </c>
      <c r="E883" s="43">
        <f>IFERROR(IF(AND(ISNUMBER('Semi OpInc'!I30),ISNUMBER('Semi Rev'!I30),ISNUMBER('Semi OpInc'!E30),ISNUMBER('Semi Rev'!E30),'Semi Rev'!I30&gt;0,'Semi Rev'!E30&gt;0),('Semi OpInc'!I30/'Semi Rev'!I30-'Semi OpInc'!E30/'Semi Rev'!E30)*10000,""),"")</f>
        <v/>
      </c>
      <c r="F883" s="43">
        <f>IFERROR(IF(AND(ISNUMBER('Semi OpInc'!J30),ISNUMBER('Semi Rev'!J30),ISNUMBER('Semi OpInc'!F30),ISNUMBER('Semi Rev'!F30),'Semi Rev'!J30&gt;0,'Semi Rev'!F30&gt;0),('Semi OpInc'!J30/'Semi Rev'!J30-'Semi OpInc'!F30/'Semi Rev'!F30)*10000,""),"")</f>
        <v/>
      </c>
      <c r="G883" s="43">
        <f>IFERROR(IF(AND(ISNUMBER('Semi OpInc'!K30),ISNUMBER('Semi Rev'!K30),ISNUMBER('Semi OpInc'!G30),ISNUMBER('Semi Rev'!G30),'Semi Rev'!K30&gt;0,'Semi Rev'!G30&gt;0),('Semi OpInc'!K30/'Semi Rev'!K30-'Semi OpInc'!G30/'Semi Rev'!G30)*10000,""),"")</f>
        <v/>
      </c>
      <c r="H883" s="43">
        <f>IFERROR(IF(AND(ISNUMBER('Semi OpInc'!L30),ISNUMBER('Semi Rev'!L30),ISNUMBER('Semi OpInc'!H30),ISNUMBER('Semi Rev'!H30),'Semi Rev'!L30&gt;0,'Semi Rev'!H30&gt;0),('Semi OpInc'!L30/'Semi Rev'!L30-'Semi OpInc'!H30/'Semi Rev'!H30)*10000,""),"")</f>
        <v/>
      </c>
      <c r="I883" s="43">
        <f>IFERROR(IF(AND(ISNUMBER('Semi OpInc'!M30),ISNUMBER('Semi Rev'!M30),ISNUMBER('Semi OpInc'!I30),ISNUMBER('Semi Rev'!I30),'Semi Rev'!M30&gt;0,'Semi Rev'!I30&gt;0),('Semi OpInc'!M30/'Semi Rev'!M30-'Semi OpInc'!I30/'Semi Rev'!I30)*10000,""),"")</f>
        <v/>
      </c>
      <c r="J883" s="43">
        <f>IFERROR(IF(AND(ISNUMBER('Semi OpInc'!N30),ISNUMBER('Semi Rev'!N30),ISNUMBER('Semi OpInc'!J30),ISNUMBER('Semi Rev'!J30),'Semi Rev'!N30&gt;0,'Semi Rev'!J30&gt;0),('Semi OpInc'!N30/'Semi Rev'!N30-'Semi OpInc'!J30/'Semi Rev'!J30)*10000,""),"")</f>
        <v/>
      </c>
      <c r="K883" s="43">
        <f>IFERROR(IF(AND(ISNUMBER('Semi OpInc'!O30),ISNUMBER('Semi Rev'!O30),ISNUMBER('Semi OpInc'!K30),ISNUMBER('Semi Rev'!K30),'Semi Rev'!O30&gt;0,'Semi Rev'!K30&gt;0),('Semi OpInc'!O30/'Semi Rev'!O30-'Semi OpInc'!K30/'Semi Rev'!K30)*10000,""),"")</f>
        <v/>
      </c>
      <c r="L883" s="43">
        <f>IFERROR(IF(AND(ISNUMBER('Semi OpInc'!P30),ISNUMBER('Semi Rev'!P30),ISNUMBER('Semi OpInc'!L30),ISNUMBER('Semi Rev'!L30),'Semi Rev'!P30&gt;0,'Semi Rev'!L30&gt;0),('Semi OpInc'!P30/'Semi Rev'!P30-'Semi OpInc'!L30/'Semi Rev'!L30)*10000,""),"")</f>
        <v/>
      </c>
      <c r="M883" s="44">
        <f>IFERROR(IF(AND(ISNUMBER('Semi OpInc'!Q30),ISNUMBER('Semi Rev'!Q30),ISNUMBER('Semi OpInc'!M30),ISNUMBER('Semi Rev'!M30),'Semi Rev'!Q30&gt;0,'Semi Rev'!M30&gt;0),('Semi OpInc'!Q30/'Semi Rev'!Q30-'Semi OpInc'!M30/'Semi Rev'!M30)*10000,""),"")</f>
        <v/>
      </c>
      <c r="N883" s="44">
        <f>IFERROR(IF(AND(ISNUMBER('Semi OpInc'!R30),ISNUMBER('Semi Rev'!R30),ISNUMBER('Semi OpInc'!N30),ISNUMBER('Semi Rev'!N30),'Semi Rev'!R30&gt;0,'Semi Rev'!N30&gt;0),('Semi OpInc'!R30/'Semi Rev'!R30-'Semi OpInc'!N30/'Semi Rev'!N30)*10000,""),"")</f>
        <v/>
      </c>
    </row>
    <row r="884">
      <c r="A884" s="19">
        <f>'Semi Rev'!$A31</f>
        <v/>
      </c>
      <c r="B884" s="19">
        <f>'Semi Rev'!$B31</f>
        <v/>
      </c>
      <c r="C884" s="43">
        <f>IFERROR(IF(AND(ISNUMBER('Semi OpInc'!G31),ISNUMBER('Semi Rev'!G31),ISNUMBER('Semi OpInc'!C31),ISNUMBER('Semi Rev'!C31),'Semi Rev'!G31&gt;0,'Semi Rev'!C31&gt;0),('Semi OpInc'!G31/'Semi Rev'!G31-'Semi OpInc'!C31/'Semi Rev'!C31)*10000,""),"")</f>
        <v/>
      </c>
      <c r="D884" s="43">
        <f>IFERROR(IF(AND(ISNUMBER('Semi OpInc'!H31),ISNUMBER('Semi Rev'!H31),ISNUMBER('Semi OpInc'!D31),ISNUMBER('Semi Rev'!D31),'Semi Rev'!H31&gt;0,'Semi Rev'!D31&gt;0),('Semi OpInc'!H31/'Semi Rev'!H31-'Semi OpInc'!D31/'Semi Rev'!D31)*10000,""),"")</f>
        <v/>
      </c>
      <c r="E884" s="43">
        <f>IFERROR(IF(AND(ISNUMBER('Semi OpInc'!I31),ISNUMBER('Semi Rev'!I31),ISNUMBER('Semi OpInc'!E31),ISNUMBER('Semi Rev'!E31),'Semi Rev'!I31&gt;0,'Semi Rev'!E31&gt;0),('Semi OpInc'!I31/'Semi Rev'!I31-'Semi OpInc'!E31/'Semi Rev'!E31)*10000,""),"")</f>
        <v/>
      </c>
      <c r="F884" s="43">
        <f>IFERROR(IF(AND(ISNUMBER('Semi OpInc'!J31),ISNUMBER('Semi Rev'!J31),ISNUMBER('Semi OpInc'!F31),ISNUMBER('Semi Rev'!F31),'Semi Rev'!J31&gt;0,'Semi Rev'!F31&gt;0),('Semi OpInc'!J31/'Semi Rev'!J31-'Semi OpInc'!F31/'Semi Rev'!F31)*10000,""),"")</f>
        <v/>
      </c>
      <c r="G884" s="43">
        <f>IFERROR(IF(AND(ISNUMBER('Semi OpInc'!K31),ISNUMBER('Semi Rev'!K31),ISNUMBER('Semi OpInc'!G31),ISNUMBER('Semi Rev'!G31),'Semi Rev'!K31&gt;0,'Semi Rev'!G31&gt;0),('Semi OpInc'!K31/'Semi Rev'!K31-'Semi OpInc'!G31/'Semi Rev'!G31)*10000,""),"")</f>
        <v/>
      </c>
      <c r="H884" s="43">
        <f>IFERROR(IF(AND(ISNUMBER('Semi OpInc'!L31),ISNUMBER('Semi Rev'!L31),ISNUMBER('Semi OpInc'!H31),ISNUMBER('Semi Rev'!H31),'Semi Rev'!L31&gt;0,'Semi Rev'!H31&gt;0),('Semi OpInc'!L31/'Semi Rev'!L31-'Semi OpInc'!H31/'Semi Rev'!H31)*10000,""),"")</f>
        <v/>
      </c>
      <c r="I884" s="43">
        <f>IFERROR(IF(AND(ISNUMBER('Semi OpInc'!M31),ISNUMBER('Semi Rev'!M31),ISNUMBER('Semi OpInc'!I31),ISNUMBER('Semi Rev'!I31),'Semi Rev'!M31&gt;0,'Semi Rev'!I31&gt;0),('Semi OpInc'!M31/'Semi Rev'!M31-'Semi OpInc'!I31/'Semi Rev'!I31)*10000,""),"")</f>
        <v/>
      </c>
      <c r="J884" s="43">
        <f>IFERROR(IF(AND(ISNUMBER('Semi OpInc'!N31),ISNUMBER('Semi Rev'!N31),ISNUMBER('Semi OpInc'!J31),ISNUMBER('Semi Rev'!J31),'Semi Rev'!N31&gt;0,'Semi Rev'!J31&gt;0),('Semi OpInc'!N31/'Semi Rev'!N31-'Semi OpInc'!J31/'Semi Rev'!J31)*10000,""),"")</f>
        <v/>
      </c>
      <c r="K884" s="43">
        <f>IFERROR(IF(AND(ISNUMBER('Semi OpInc'!O31),ISNUMBER('Semi Rev'!O31),ISNUMBER('Semi OpInc'!K31),ISNUMBER('Semi Rev'!K31),'Semi Rev'!O31&gt;0,'Semi Rev'!K31&gt;0),('Semi OpInc'!O31/'Semi Rev'!O31-'Semi OpInc'!K31/'Semi Rev'!K31)*10000,""),"")</f>
        <v/>
      </c>
      <c r="L884" s="43">
        <f>IFERROR(IF(AND(ISNUMBER('Semi OpInc'!P31),ISNUMBER('Semi Rev'!P31),ISNUMBER('Semi OpInc'!L31),ISNUMBER('Semi Rev'!L31),'Semi Rev'!P31&gt;0,'Semi Rev'!L31&gt;0),('Semi OpInc'!P31/'Semi Rev'!P31-'Semi OpInc'!L31/'Semi Rev'!L31)*10000,""),"")</f>
        <v/>
      </c>
      <c r="M884" s="44">
        <f>IFERROR(IF(AND(ISNUMBER('Semi OpInc'!Q31),ISNUMBER('Semi Rev'!Q31),ISNUMBER('Semi OpInc'!M31),ISNUMBER('Semi Rev'!M31),'Semi Rev'!Q31&gt;0,'Semi Rev'!M31&gt;0),('Semi OpInc'!Q31/'Semi Rev'!Q31-'Semi OpInc'!M31/'Semi Rev'!M31)*10000,""),"")</f>
        <v/>
      </c>
      <c r="N884" s="44">
        <f>IFERROR(IF(AND(ISNUMBER('Semi OpInc'!R31),ISNUMBER('Semi Rev'!R31),ISNUMBER('Semi OpInc'!N31),ISNUMBER('Semi Rev'!N31),'Semi Rev'!R31&gt;0,'Semi Rev'!N31&gt;0),('Semi OpInc'!R31/'Semi Rev'!R31-'Semi OpInc'!N31/'Semi Rev'!N31)*10000,""),"")</f>
        <v/>
      </c>
    </row>
    <row r="885">
      <c r="A885" s="19">
        <f>'Semi Rev'!$A32</f>
        <v/>
      </c>
      <c r="B885" s="19">
        <f>'Semi Rev'!$B32</f>
        <v/>
      </c>
      <c r="C885" s="43">
        <f>IFERROR(IF(AND(ISNUMBER('Semi OpInc'!G32),ISNUMBER('Semi Rev'!G32),ISNUMBER('Semi OpInc'!C32),ISNUMBER('Semi Rev'!C32),'Semi Rev'!G32&gt;0,'Semi Rev'!C32&gt;0),('Semi OpInc'!G32/'Semi Rev'!G32-'Semi OpInc'!C32/'Semi Rev'!C32)*10000,""),"")</f>
        <v/>
      </c>
      <c r="D885" s="43">
        <f>IFERROR(IF(AND(ISNUMBER('Semi OpInc'!H32),ISNUMBER('Semi Rev'!H32),ISNUMBER('Semi OpInc'!D32),ISNUMBER('Semi Rev'!D32),'Semi Rev'!H32&gt;0,'Semi Rev'!D32&gt;0),('Semi OpInc'!H32/'Semi Rev'!H32-'Semi OpInc'!D32/'Semi Rev'!D32)*10000,""),"")</f>
        <v/>
      </c>
      <c r="E885" s="43">
        <f>IFERROR(IF(AND(ISNUMBER('Semi OpInc'!I32),ISNUMBER('Semi Rev'!I32),ISNUMBER('Semi OpInc'!E32),ISNUMBER('Semi Rev'!E32),'Semi Rev'!I32&gt;0,'Semi Rev'!E32&gt;0),('Semi OpInc'!I32/'Semi Rev'!I32-'Semi OpInc'!E32/'Semi Rev'!E32)*10000,""),"")</f>
        <v/>
      </c>
      <c r="F885" s="43">
        <f>IFERROR(IF(AND(ISNUMBER('Semi OpInc'!J32),ISNUMBER('Semi Rev'!J32),ISNUMBER('Semi OpInc'!F32),ISNUMBER('Semi Rev'!F32),'Semi Rev'!J32&gt;0,'Semi Rev'!F32&gt;0),('Semi OpInc'!J32/'Semi Rev'!J32-'Semi OpInc'!F32/'Semi Rev'!F32)*10000,""),"")</f>
        <v/>
      </c>
      <c r="G885" s="43">
        <f>IFERROR(IF(AND(ISNUMBER('Semi OpInc'!K32),ISNUMBER('Semi Rev'!K32),ISNUMBER('Semi OpInc'!G32),ISNUMBER('Semi Rev'!G32),'Semi Rev'!K32&gt;0,'Semi Rev'!G32&gt;0),('Semi OpInc'!K32/'Semi Rev'!K32-'Semi OpInc'!G32/'Semi Rev'!G32)*10000,""),"")</f>
        <v/>
      </c>
      <c r="H885" s="43">
        <f>IFERROR(IF(AND(ISNUMBER('Semi OpInc'!L32),ISNUMBER('Semi Rev'!L32),ISNUMBER('Semi OpInc'!H32),ISNUMBER('Semi Rev'!H32),'Semi Rev'!L32&gt;0,'Semi Rev'!H32&gt;0),('Semi OpInc'!L32/'Semi Rev'!L32-'Semi OpInc'!H32/'Semi Rev'!H32)*10000,""),"")</f>
        <v/>
      </c>
      <c r="I885" s="43">
        <f>IFERROR(IF(AND(ISNUMBER('Semi OpInc'!M32),ISNUMBER('Semi Rev'!M32),ISNUMBER('Semi OpInc'!I32),ISNUMBER('Semi Rev'!I32),'Semi Rev'!M32&gt;0,'Semi Rev'!I32&gt;0),('Semi OpInc'!M32/'Semi Rev'!M32-'Semi OpInc'!I32/'Semi Rev'!I32)*10000,""),"")</f>
        <v/>
      </c>
      <c r="J885" s="43">
        <f>IFERROR(IF(AND(ISNUMBER('Semi OpInc'!N32),ISNUMBER('Semi Rev'!N32),ISNUMBER('Semi OpInc'!J32),ISNUMBER('Semi Rev'!J32),'Semi Rev'!N32&gt;0,'Semi Rev'!J32&gt;0),('Semi OpInc'!N32/'Semi Rev'!N32-'Semi OpInc'!J32/'Semi Rev'!J32)*10000,""),"")</f>
        <v/>
      </c>
      <c r="K885" s="43">
        <f>IFERROR(IF(AND(ISNUMBER('Semi OpInc'!O32),ISNUMBER('Semi Rev'!O32),ISNUMBER('Semi OpInc'!K32),ISNUMBER('Semi Rev'!K32),'Semi Rev'!O32&gt;0,'Semi Rev'!K32&gt;0),('Semi OpInc'!O32/'Semi Rev'!O32-'Semi OpInc'!K32/'Semi Rev'!K32)*10000,""),"")</f>
        <v/>
      </c>
      <c r="L885" s="43">
        <f>IFERROR(IF(AND(ISNUMBER('Semi OpInc'!P32),ISNUMBER('Semi Rev'!P32),ISNUMBER('Semi OpInc'!L32),ISNUMBER('Semi Rev'!L32),'Semi Rev'!P32&gt;0,'Semi Rev'!L32&gt;0),('Semi OpInc'!P32/'Semi Rev'!P32-'Semi OpInc'!L32/'Semi Rev'!L32)*10000,""),"")</f>
        <v/>
      </c>
      <c r="M885" s="44">
        <f>IFERROR(IF(AND(ISNUMBER('Semi OpInc'!Q32),ISNUMBER('Semi Rev'!Q32),ISNUMBER('Semi OpInc'!M32),ISNUMBER('Semi Rev'!M32),'Semi Rev'!Q32&gt;0,'Semi Rev'!M32&gt;0),('Semi OpInc'!Q32/'Semi Rev'!Q32-'Semi OpInc'!M32/'Semi Rev'!M32)*10000,""),"")</f>
        <v/>
      </c>
      <c r="N885" s="44">
        <f>IFERROR(IF(AND(ISNUMBER('Semi OpInc'!R32),ISNUMBER('Semi Rev'!R32),ISNUMBER('Semi OpInc'!N32),ISNUMBER('Semi Rev'!N32),'Semi Rev'!R32&gt;0,'Semi Rev'!N32&gt;0),('Semi OpInc'!R32/'Semi Rev'!R32-'Semi OpInc'!N32/'Semi Rev'!N32)*10000,""),"")</f>
        <v/>
      </c>
    </row>
    <row r="886">
      <c r="A886" s="19">
        <f>'Semi Rev'!$A33</f>
        <v/>
      </c>
      <c r="B886" s="19">
        <f>'Semi Rev'!$B33</f>
        <v/>
      </c>
      <c r="C886" s="43">
        <f>IFERROR(IF(AND(ISNUMBER('Semi OpInc'!G33),ISNUMBER('Semi Rev'!G33),ISNUMBER('Semi OpInc'!C33),ISNUMBER('Semi Rev'!C33),'Semi Rev'!G33&gt;0,'Semi Rev'!C33&gt;0),('Semi OpInc'!G33/'Semi Rev'!G33-'Semi OpInc'!C33/'Semi Rev'!C33)*10000,""),"")</f>
        <v/>
      </c>
      <c r="D886" s="43">
        <f>IFERROR(IF(AND(ISNUMBER('Semi OpInc'!H33),ISNUMBER('Semi Rev'!H33),ISNUMBER('Semi OpInc'!D33),ISNUMBER('Semi Rev'!D33),'Semi Rev'!H33&gt;0,'Semi Rev'!D33&gt;0),('Semi OpInc'!H33/'Semi Rev'!H33-'Semi OpInc'!D33/'Semi Rev'!D33)*10000,""),"")</f>
        <v/>
      </c>
      <c r="E886" s="43">
        <f>IFERROR(IF(AND(ISNUMBER('Semi OpInc'!I33),ISNUMBER('Semi Rev'!I33),ISNUMBER('Semi OpInc'!E33),ISNUMBER('Semi Rev'!E33),'Semi Rev'!I33&gt;0,'Semi Rev'!E33&gt;0),('Semi OpInc'!I33/'Semi Rev'!I33-'Semi OpInc'!E33/'Semi Rev'!E33)*10000,""),"")</f>
        <v/>
      </c>
      <c r="F886" s="43">
        <f>IFERROR(IF(AND(ISNUMBER('Semi OpInc'!J33),ISNUMBER('Semi Rev'!J33),ISNUMBER('Semi OpInc'!F33),ISNUMBER('Semi Rev'!F33),'Semi Rev'!J33&gt;0,'Semi Rev'!F33&gt;0),('Semi OpInc'!J33/'Semi Rev'!J33-'Semi OpInc'!F33/'Semi Rev'!F33)*10000,""),"")</f>
        <v/>
      </c>
      <c r="G886" s="43">
        <f>IFERROR(IF(AND(ISNUMBER('Semi OpInc'!K33),ISNUMBER('Semi Rev'!K33),ISNUMBER('Semi OpInc'!G33),ISNUMBER('Semi Rev'!G33),'Semi Rev'!K33&gt;0,'Semi Rev'!G33&gt;0),('Semi OpInc'!K33/'Semi Rev'!K33-'Semi OpInc'!G33/'Semi Rev'!G33)*10000,""),"")</f>
        <v/>
      </c>
      <c r="H886" s="43">
        <f>IFERROR(IF(AND(ISNUMBER('Semi OpInc'!L33),ISNUMBER('Semi Rev'!L33),ISNUMBER('Semi OpInc'!H33),ISNUMBER('Semi Rev'!H33),'Semi Rev'!L33&gt;0,'Semi Rev'!H33&gt;0),('Semi OpInc'!L33/'Semi Rev'!L33-'Semi OpInc'!H33/'Semi Rev'!H33)*10000,""),"")</f>
        <v/>
      </c>
      <c r="I886" s="43">
        <f>IFERROR(IF(AND(ISNUMBER('Semi OpInc'!M33),ISNUMBER('Semi Rev'!M33),ISNUMBER('Semi OpInc'!I33),ISNUMBER('Semi Rev'!I33),'Semi Rev'!M33&gt;0,'Semi Rev'!I33&gt;0),('Semi OpInc'!M33/'Semi Rev'!M33-'Semi OpInc'!I33/'Semi Rev'!I33)*10000,""),"")</f>
        <v/>
      </c>
      <c r="J886" s="43">
        <f>IFERROR(IF(AND(ISNUMBER('Semi OpInc'!N33),ISNUMBER('Semi Rev'!N33),ISNUMBER('Semi OpInc'!J33),ISNUMBER('Semi Rev'!J33),'Semi Rev'!N33&gt;0,'Semi Rev'!J33&gt;0),('Semi OpInc'!N33/'Semi Rev'!N33-'Semi OpInc'!J33/'Semi Rev'!J33)*10000,""),"")</f>
        <v/>
      </c>
      <c r="K886" s="43">
        <f>IFERROR(IF(AND(ISNUMBER('Semi OpInc'!O33),ISNUMBER('Semi Rev'!O33),ISNUMBER('Semi OpInc'!K33),ISNUMBER('Semi Rev'!K33),'Semi Rev'!O33&gt;0,'Semi Rev'!K33&gt;0),('Semi OpInc'!O33/'Semi Rev'!O33-'Semi OpInc'!K33/'Semi Rev'!K33)*10000,""),"")</f>
        <v/>
      </c>
      <c r="L886" s="43">
        <f>IFERROR(IF(AND(ISNUMBER('Semi OpInc'!P33),ISNUMBER('Semi Rev'!P33),ISNUMBER('Semi OpInc'!L33),ISNUMBER('Semi Rev'!L33),'Semi Rev'!P33&gt;0,'Semi Rev'!L33&gt;0),('Semi OpInc'!P33/'Semi Rev'!P33-'Semi OpInc'!L33/'Semi Rev'!L33)*10000,""),"")</f>
        <v/>
      </c>
      <c r="M886" s="44">
        <f>IFERROR(IF(AND(ISNUMBER('Semi OpInc'!Q33),ISNUMBER('Semi Rev'!Q33),ISNUMBER('Semi OpInc'!M33),ISNUMBER('Semi Rev'!M33),'Semi Rev'!Q33&gt;0,'Semi Rev'!M33&gt;0),('Semi OpInc'!Q33/'Semi Rev'!Q33-'Semi OpInc'!M33/'Semi Rev'!M33)*10000,""),"")</f>
        <v/>
      </c>
      <c r="N886" s="44">
        <f>IFERROR(IF(AND(ISNUMBER('Semi OpInc'!R33),ISNUMBER('Semi Rev'!R33),ISNUMBER('Semi OpInc'!N33),ISNUMBER('Semi Rev'!N33),'Semi Rev'!R33&gt;0,'Semi Rev'!N33&gt;0),('Semi OpInc'!R33/'Semi Rev'!R33-'Semi OpInc'!N33/'Semi Rev'!N33)*10000,""),"")</f>
        <v/>
      </c>
    </row>
    <row r="887">
      <c r="A887" s="19">
        <f>'Semi Rev'!$A34</f>
        <v/>
      </c>
      <c r="B887" s="19">
        <f>'Semi Rev'!$B34</f>
        <v/>
      </c>
      <c r="C887" s="43">
        <f>IFERROR(IF(AND(ISNUMBER('Semi OpInc'!G34),ISNUMBER('Semi Rev'!G34),ISNUMBER('Semi OpInc'!C34),ISNUMBER('Semi Rev'!C34),'Semi Rev'!G34&gt;0,'Semi Rev'!C34&gt;0),('Semi OpInc'!G34/'Semi Rev'!G34-'Semi OpInc'!C34/'Semi Rev'!C34)*10000,""),"")</f>
        <v/>
      </c>
      <c r="D887" s="43">
        <f>IFERROR(IF(AND(ISNUMBER('Semi OpInc'!H34),ISNUMBER('Semi Rev'!H34),ISNUMBER('Semi OpInc'!D34),ISNUMBER('Semi Rev'!D34),'Semi Rev'!H34&gt;0,'Semi Rev'!D34&gt;0),('Semi OpInc'!H34/'Semi Rev'!H34-'Semi OpInc'!D34/'Semi Rev'!D34)*10000,""),"")</f>
        <v/>
      </c>
      <c r="E887" s="43">
        <f>IFERROR(IF(AND(ISNUMBER('Semi OpInc'!I34),ISNUMBER('Semi Rev'!I34),ISNUMBER('Semi OpInc'!E34),ISNUMBER('Semi Rev'!E34),'Semi Rev'!I34&gt;0,'Semi Rev'!E34&gt;0),('Semi OpInc'!I34/'Semi Rev'!I34-'Semi OpInc'!E34/'Semi Rev'!E34)*10000,""),"")</f>
        <v/>
      </c>
      <c r="F887" s="43">
        <f>IFERROR(IF(AND(ISNUMBER('Semi OpInc'!J34),ISNUMBER('Semi Rev'!J34),ISNUMBER('Semi OpInc'!F34),ISNUMBER('Semi Rev'!F34),'Semi Rev'!J34&gt;0,'Semi Rev'!F34&gt;0),('Semi OpInc'!J34/'Semi Rev'!J34-'Semi OpInc'!F34/'Semi Rev'!F34)*10000,""),"")</f>
        <v/>
      </c>
      <c r="G887" s="43">
        <f>IFERROR(IF(AND(ISNUMBER('Semi OpInc'!K34),ISNUMBER('Semi Rev'!K34),ISNUMBER('Semi OpInc'!G34),ISNUMBER('Semi Rev'!G34),'Semi Rev'!K34&gt;0,'Semi Rev'!G34&gt;0),('Semi OpInc'!K34/'Semi Rev'!K34-'Semi OpInc'!G34/'Semi Rev'!G34)*10000,""),"")</f>
        <v/>
      </c>
      <c r="H887" s="43">
        <f>IFERROR(IF(AND(ISNUMBER('Semi OpInc'!L34),ISNUMBER('Semi Rev'!L34),ISNUMBER('Semi OpInc'!H34),ISNUMBER('Semi Rev'!H34),'Semi Rev'!L34&gt;0,'Semi Rev'!H34&gt;0),('Semi OpInc'!L34/'Semi Rev'!L34-'Semi OpInc'!H34/'Semi Rev'!H34)*10000,""),"")</f>
        <v/>
      </c>
      <c r="I887" s="43">
        <f>IFERROR(IF(AND(ISNUMBER('Semi OpInc'!M34),ISNUMBER('Semi Rev'!M34),ISNUMBER('Semi OpInc'!I34),ISNUMBER('Semi Rev'!I34),'Semi Rev'!M34&gt;0,'Semi Rev'!I34&gt;0),('Semi OpInc'!M34/'Semi Rev'!M34-'Semi OpInc'!I34/'Semi Rev'!I34)*10000,""),"")</f>
        <v/>
      </c>
      <c r="J887" s="43">
        <f>IFERROR(IF(AND(ISNUMBER('Semi OpInc'!N34),ISNUMBER('Semi Rev'!N34),ISNUMBER('Semi OpInc'!J34),ISNUMBER('Semi Rev'!J34),'Semi Rev'!N34&gt;0,'Semi Rev'!J34&gt;0),('Semi OpInc'!N34/'Semi Rev'!N34-'Semi OpInc'!J34/'Semi Rev'!J34)*10000,""),"")</f>
        <v/>
      </c>
      <c r="K887" s="43">
        <f>IFERROR(IF(AND(ISNUMBER('Semi OpInc'!O34),ISNUMBER('Semi Rev'!O34),ISNUMBER('Semi OpInc'!K34),ISNUMBER('Semi Rev'!K34),'Semi Rev'!O34&gt;0,'Semi Rev'!K34&gt;0),('Semi OpInc'!O34/'Semi Rev'!O34-'Semi OpInc'!K34/'Semi Rev'!K34)*10000,""),"")</f>
        <v/>
      </c>
      <c r="L887" s="43">
        <f>IFERROR(IF(AND(ISNUMBER('Semi OpInc'!P34),ISNUMBER('Semi Rev'!P34),ISNUMBER('Semi OpInc'!L34),ISNUMBER('Semi Rev'!L34),'Semi Rev'!P34&gt;0,'Semi Rev'!L34&gt;0),('Semi OpInc'!P34/'Semi Rev'!P34-'Semi OpInc'!L34/'Semi Rev'!L34)*10000,""),"")</f>
        <v/>
      </c>
      <c r="M887" s="44">
        <f>IFERROR(IF(AND(ISNUMBER('Semi OpInc'!Q34),ISNUMBER('Semi Rev'!Q34),ISNUMBER('Semi OpInc'!M34),ISNUMBER('Semi Rev'!M34),'Semi Rev'!Q34&gt;0,'Semi Rev'!M34&gt;0),('Semi OpInc'!Q34/'Semi Rev'!Q34-'Semi OpInc'!M34/'Semi Rev'!M34)*10000,""),"")</f>
        <v/>
      </c>
      <c r="N887" s="44">
        <f>IFERROR(IF(AND(ISNUMBER('Semi OpInc'!R34),ISNUMBER('Semi Rev'!R34),ISNUMBER('Semi OpInc'!N34),ISNUMBER('Semi Rev'!N34),'Semi Rev'!R34&gt;0,'Semi Rev'!N34&gt;0),('Semi OpInc'!R34/'Semi Rev'!R34-'Semi OpInc'!N34/'Semi Rev'!N34)*10000,""),"")</f>
        <v/>
      </c>
    </row>
    <row r="888">
      <c r="A888" s="19">
        <f>'Semi Rev'!$A35</f>
        <v/>
      </c>
      <c r="B888" s="19">
        <f>'Semi Rev'!$B35</f>
        <v/>
      </c>
      <c r="C888" s="43">
        <f>IFERROR(IF(AND(ISNUMBER('Semi OpInc'!G35),ISNUMBER('Semi Rev'!G35),ISNUMBER('Semi OpInc'!C35),ISNUMBER('Semi Rev'!C35),'Semi Rev'!G35&gt;0,'Semi Rev'!C35&gt;0),('Semi OpInc'!G35/'Semi Rev'!G35-'Semi OpInc'!C35/'Semi Rev'!C35)*10000,""),"")</f>
        <v/>
      </c>
      <c r="D888" s="43">
        <f>IFERROR(IF(AND(ISNUMBER('Semi OpInc'!H35),ISNUMBER('Semi Rev'!H35),ISNUMBER('Semi OpInc'!D35),ISNUMBER('Semi Rev'!D35),'Semi Rev'!H35&gt;0,'Semi Rev'!D35&gt;0),('Semi OpInc'!H35/'Semi Rev'!H35-'Semi OpInc'!D35/'Semi Rev'!D35)*10000,""),"")</f>
        <v/>
      </c>
      <c r="E888" s="43">
        <f>IFERROR(IF(AND(ISNUMBER('Semi OpInc'!I35),ISNUMBER('Semi Rev'!I35),ISNUMBER('Semi OpInc'!E35),ISNUMBER('Semi Rev'!E35),'Semi Rev'!I35&gt;0,'Semi Rev'!E35&gt;0),('Semi OpInc'!I35/'Semi Rev'!I35-'Semi OpInc'!E35/'Semi Rev'!E35)*10000,""),"")</f>
        <v/>
      </c>
      <c r="F888" s="43">
        <f>IFERROR(IF(AND(ISNUMBER('Semi OpInc'!J35),ISNUMBER('Semi Rev'!J35),ISNUMBER('Semi OpInc'!F35),ISNUMBER('Semi Rev'!F35),'Semi Rev'!J35&gt;0,'Semi Rev'!F35&gt;0),('Semi OpInc'!J35/'Semi Rev'!J35-'Semi OpInc'!F35/'Semi Rev'!F35)*10000,""),"")</f>
        <v/>
      </c>
      <c r="G888" s="43">
        <f>IFERROR(IF(AND(ISNUMBER('Semi OpInc'!K35),ISNUMBER('Semi Rev'!K35),ISNUMBER('Semi OpInc'!G35),ISNUMBER('Semi Rev'!G35),'Semi Rev'!K35&gt;0,'Semi Rev'!G35&gt;0),('Semi OpInc'!K35/'Semi Rev'!K35-'Semi OpInc'!G35/'Semi Rev'!G35)*10000,""),"")</f>
        <v/>
      </c>
      <c r="H888" s="43">
        <f>IFERROR(IF(AND(ISNUMBER('Semi OpInc'!L35),ISNUMBER('Semi Rev'!L35),ISNUMBER('Semi OpInc'!H35),ISNUMBER('Semi Rev'!H35),'Semi Rev'!L35&gt;0,'Semi Rev'!H35&gt;0),('Semi OpInc'!L35/'Semi Rev'!L35-'Semi OpInc'!H35/'Semi Rev'!H35)*10000,""),"")</f>
        <v/>
      </c>
      <c r="I888" s="43">
        <f>IFERROR(IF(AND(ISNUMBER('Semi OpInc'!M35),ISNUMBER('Semi Rev'!M35),ISNUMBER('Semi OpInc'!I35),ISNUMBER('Semi Rev'!I35),'Semi Rev'!M35&gt;0,'Semi Rev'!I35&gt;0),('Semi OpInc'!M35/'Semi Rev'!M35-'Semi OpInc'!I35/'Semi Rev'!I35)*10000,""),"")</f>
        <v/>
      </c>
      <c r="J888" s="43">
        <f>IFERROR(IF(AND(ISNUMBER('Semi OpInc'!N35),ISNUMBER('Semi Rev'!N35),ISNUMBER('Semi OpInc'!J35),ISNUMBER('Semi Rev'!J35),'Semi Rev'!N35&gt;0,'Semi Rev'!J35&gt;0),('Semi OpInc'!N35/'Semi Rev'!N35-'Semi OpInc'!J35/'Semi Rev'!J35)*10000,""),"")</f>
        <v/>
      </c>
      <c r="K888" s="43">
        <f>IFERROR(IF(AND(ISNUMBER('Semi OpInc'!O35),ISNUMBER('Semi Rev'!O35),ISNUMBER('Semi OpInc'!K35),ISNUMBER('Semi Rev'!K35),'Semi Rev'!O35&gt;0,'Semi Rev'!K35&gt;0),('Semi OpInc'!O35/'Semi Rev'!O35-'Semi OpInc'!K35/'Semi Rev'!K35)*10000,""),"")</f>
        <v/>
      </c>
      <c r="L888" s="43">
        <f>IFERROR(IF(AND(ISNUMBER('Semi OpInc'!P35),ISNUMBER('Semi Rev'!P35),ISNUMBER('Semi OpInc'!L35),ISNUMBER('Semi Rev'!L35),'Semi Rev'!P35&gt;0,'Semi Rev'!L35&gt;0),('Semi OpInc'!P35/'Semi Rev'!P35-'Semi OpInc'!L35/'Semi Rev'!L35)*10000,""),"")</f>
        <v/>
      </c>
      <c r="M888" s="44">
        <f>IFERROR(IF(AND(ISNUMBER('Semi OpInc'!Q35),ISNUMBER('Semi Rev'!Q35),ISNUMBER('Semi OpInc'!M35),ISNUMBER('Semi Rev'!M35),'Semi Rev'!Q35&gt;0,'Semi Rev'!M35&gt;0),('Semi OpInc'!Q35/'Semi Rev'!Q35-'Semi OpInc'!M35/'Semi Rev'!M35)*10000,""),"")</f>
        <v/>
      </c>
      <c r="N888" s="44">
        <f>IFERROR(IF(AND(ISNUMBER('Semi OpInc'!R35),ISNUMBER('Semi Rev'!R35),ISNUMBER('Semi OpInc'!N35),ISNUMBER('Semi Rev'!N35),'Semi Rev'!R35&gt;0,'Semi Rev'!N35&gt;0),('Semi OpInc'!R35/'Semi Rev'!R35-'Semi OpInc'!N35/'Semi Rev'!N35)*10000,""),"")</f>
        <v/>
      </c>
    </row>
    <row r="889">
      <c r="A889" s="19">
        <f>'Semi Rev'!$A36</f>
        <v/>
      </c>
      <c r="B889" s="19">
        <f>'Semi Rev'!$B36</f>
        <v/>
      </c>
      <c r="C889" s="43">
        <f>IFERROR(IF(AND(ISNUMBER('Semi OpInc'!G36),ISNUMBER('Semi Rev'!G36),ISNUMBER('Semi OpInc'!C36),ISNUMBER('Semi Rev'!C36),'Semi Rev'!G36&gt;0,'Semi Rev'!C36&gt;0),('Semi OpInc'!G36/'Semi Rev'!G36-'Semi OpInc'!C36/'Semi Rev'!C36)*10000,""),"")</f>
        <v/>
      </c>
      <c r="D889" s="43">
        <f>IFERROR(IF(AND(ISNUMBER('Semi OpInc'!H36),ISNUMBER('Semi Rev'!H36),ISNUMBER('Semi OpInc'!D36),ISNUMBER('Semi Rev'!D36),'Semi Rev'!H36&gt;0,'Semi Rev'!D36&gt;0),('Semi OpInc'!H36/'Semi Rev'!H36-'Semi OpInc'!D36/'Semi Rev'!D36)*10000,""),"")</f>
        <v/>
      </c>
      <c r="E889" s="43">
        <f>IFERROR(IF(AND(ISNUMBER('Semi OpInc'!I36),ISNUMBER('Semi Rev'!I36),ISNUMBER('Semi OpInc'!E36),ISNUMBER('Semi Rev'!E36),'Semi Rev'!I36&gt;0,'Semi Rev'!E36&gt;0),('Semi OpInc'!I36/'Semi Rev'!I36-'Semi OpInc'!E36/'Semi Rev'!E36)*10000,""),"")</f>
        <v/>
      </c>
      <c r="F889" s="43">
        <f>IFERROR(IF(AND(ISNUMBER('Semi OpInc'!J36),ISNUMBER('Semi Rev'!J36),ISNUMBER('Semi OpInc'!F36),ISNUMBER('Semi Rev'!F36),'Semi Rev'!J36&gt;0,'Semi Rev'!F36&gt;0),('Semi OpInc'!J36/'Semi Rev'!J36-'Semi OpInc'!F36/'Semi Rev'!F36)*10000,""),"")</f>
        <v/>
      </c>
      <c r="G889" s="43">
        <f>IFERROR(IF(AND(ISNUMBER('Semi OpInc'!K36),ISNUMBER('Semi Rev'!K36),ISNUMBER('Semi OpInc'!G36),ISNUMBER('Semi Rev'!G36),'Semi Rev'!K36&gt;0,'Semi Rev'!G36&gt;0),('Semi OpInc'!K36/'Semi Rev'!K36-'Semi OpInc'!G36/'Semi Rev'!G36)*10000,""),"")</f>
        <v/>
      </c>
      <c r="H889" s="43">
        <f>IFERROR(IF(AND(ISNUMBER('Semi OpInc'!L36),ISNUMBER('Semi Rev'!L36),ISNUMBER('Semi OpInc'!H36),ISNUMBER('Semi Rev'!H36),'Semi Rev'!L36&gt;0,'Semi Rev'!H36&gt;0),('Semi OpInc'!L36/'Semi Rev'!L36-'Semi OpInc'!H36/'Semi Rev'!H36)*10000,""),"")</f>
        <v/>
      </c>
      <c r="I889" s="43">
        <f>IFERROR(IF(AND(ISNUMBER('Semi OpInc'!M36),ISNUMBER('Semi Rev'!M36),ISNUMBER('Semi OpInc'!I36),ISNUMBER('Semi Rev'!I36),'Semi Rev'!M36&gt;0,'Semi Rev'!I36&gt;0),('Semi OpInc'!M36/'Semi Rev'!M36-'Semi OpInc'!I36/'Semi Rev'!I36)*10000,""),"")</f>
        <v/>
      </c>
      <c r="J889" s="43">
        <f>IFERROR(IF(AND(ISNUMBER('Semi OpInc'!N36),ISNUMBER('Semi Rev'!N36),ISNUMBER('Semi OpInc'!J36),ISNUMBER('Semi Rev'!J36),'Semi Rev'!N36&gt;0,'Semi Rev'!J36&gt;0),('Semi OpInc'!N36/'Semi Rev'!N36-'Semi OpInc'!J36/'Semi Rev'!J36)*10000,""),"")</f>
        <v/>
      </c>
      <c r="K889" s="43">
        <f>IFERROR(IF(AND(ISNUMBER('Semi OpInc'!O36),ISNUMBER('Semi Rev'!O36),ISNUMBER('Semi OpInc'!K36),ISNUMBER('Semi Rev'!K36),'Semi Rev'!O36&gt;0,'Semi Rev'!K36&gt;0),('Semi OpInc'!O36/'Semi Rev'!O36-'Semi OpInc'!K36/'Semi Rev'!K36)*10000,""),"")</f>
        <v/>
      </c>
      <c r="L889" s="43">
        <f>IFERROR(IF(AND(ISNUMBER('Semi OpInc'!P36),ISNUMBER('Semi Rev'!P36),ISNUMBER('Semi OpInc'!L36),ISNUMBER('Semi Rev'!L36),'Semi Rev'!P36&gt;0,'Semi Rev'!L36&gt;0),('Semi OpInc'!P36/'Semi Rev'!P36-'Semi OpInc'!L36/'Semi Rev'!L36)*10000,""),"")</f>
        <v/>
      </c>
      <c r="M889" s="44">
        <f>IFERROR(IF(AND(ISNUMBER('Semi OpInc'!Q36),ISNUMBER('Semi Rev'!Q36),ISNUMBER('Semi OpInc'!M36),ISNUMBER('Semi Rev'!M36),'Semi Rev'!Q36&gt;0,'Semi Rev'!M36&gt;0),('Semi OpInc'!Q36/'Semi Rev'!Q36-'Semi OpInc'!M36/'Semi Rev'!M36)*10000,""),"")</f>
        <v/>
      </c>
      <c r="N889" s="44">
        <f>IFERROR(IF(AND(ISNUMBER('Semi OpInc'!R36),ISNUMBER('Semi Rev'!R36),ISNUMBER('Semi OpInc'!N36),ISNUMBER('Semi Rev'!N36),'Semi Rev'!R36&gt;0,'Semi Rev'!N36&gt;0),('Semi OpInc'!R36/'Semi Rev'!R36-'Semi OpInc'!N36/'Semi Rev'!N36)*10000,""),"")</f>
        <v/>
      </c>
    </row>
    <row r="890">
      <c r="A890" s="19">
        <f>'Semi Rev'!$A37</f>
        <v/>
      </c>
      <c r="B890" s="19">
        <f>'Semi Rev'!$B37</f>
        <v/>
      </c>
      <c r="C890" s="43">
        <f>IFERROR(IF(AND(ISNUMBER('Semi OpInc'!G37),ISNUMBER('Semi Rev'!G37),ISNUMBER('Semi OpInc'!C37),ISNUMBER('Semi Rev'!C37),'Semi Rev'!G37&gt;0,'Semi Rev'!C37&gt;0),('Semi OpInc'!G37/'Semi Rev'!G37-'Semi OpInc'!C37/'Semi Rev'!C37)*10000,""),"")</f>
        <v/>
      </c>
      <c r="D890" s="43">
        <f>IFERROR(IF(AND(ISNUMBER('Semi OpInc'!H37),ISNUMBER('Semi Rev'!H37),ISNUMBER('Semi OpInc'!D37),ISNUMBER('Semi Rev'!D37),'Semi Rev'!H37&gt;0,'Semi Rev'!D37&gt;0),('Semi OpInc'!H37/'Semi Rev'!H37-'Semi OpInc'!D37/'Semi Rev'!D37)*10000,""),"")</f>
        <v/>
      </c>
      <c r="E890" s="43">
        <f>IFERROR(IF(AND(ISNUMBER('Semi OpInc'!I37),ISNUMBER('Semi Rev'!I37),ISNUMBER('Semi OpInc'!E37),ISNUMBER('Semi Rev'!E37),'Semi Rev'!I37&gt;0,'Semi Rev'!E37&gt;0),('Semi OpInc'!I37/'Semi Rev'!I37-'Semi OpInc'!E37/'Semi Rev'!E37)*10000,""),"")</f>
        <v/>
      </c>
      <c r="F890" s="43">
        <f>IFERROR(IF(AND(ISNUMBER('Semi OpInc'!J37),ISNUMBER('Semi Rev'!J37),ISNUMBER('Semi OpInc'!F37),ISNUMBER('Semi Rev'!F37),'Semi Rev'!J37&gt;0,'Semi Rev'!F37&gt;0),('Semi OpInc'!J37/'Semi Rev'!J37-'Semi OpInc'!F37/'Semi Rev'!F37)*10000,""),"")</f>
        <v/>
      </c>
      <c r="G890" s="43">
        <f>IFERROR(IF(AND(ISNUMBER('Semi OpInc'!K37),ISNUMBER('Semi Rev'!K37),ISNUMBER('Semi OpInc'!G37),ISNUMBER('Semi Rev'!G37),'Semi Rev'!K37&gt;0,'Semi Rev'!G37&gt;0),('Semi OpInc'!K37/'Semi Rev'!K37-'Semi OpInc'!G37/'Semi Rev'!G37)*10000,""),"")</f>
        <v/>
      </c>
      <c r="H890" s="43">
        <f>IFERROR(IF(AND(ISNUMBER('Semi OpInc'!L37),ISNUMBER('Semi Rev'!L37),ISNUMBER('Semi OpInc'!H37),ISNUMBER('Semi Rev'!H37),'Semi Rev'!L37&gt;0,'Semi Rev'!H37&gt;0),('Semi OpInc'!L37/'Semi Rev'!L37-'Semi OpInc'!H37/'Semi Rev'!H37)*10000,""),"")</f>
        <v/>
      </c>
      <c r="I890" s="43">
        <f>IFERROR(IF(AND(ISNUMBER('Semi OpInc'!M37),ISNUMBER('Semi Rev'!M37),ISNUMBER('Semi OpInc'!I37),ISNUMBER('Semi Rev'!I37),'Semi Rev'!M37&gt;0,'Semi Rev'!I37&gt;0),('Semi OpInc'!M37/'Semi Rev'!M37-'Semi OpInc'!I37/'Semi Rev'!I37)*10000,""),"")</f>
        <v/>
      </c>
      <c r="J890" s="43">
        <f>IFERROR(IF(AND(ISNUMBER('Semi OpInc'!N37),ISNUMBER('Semi Rev'!N37),ISNUMBER('Semi OpInc'!J37),ISNUMBER('Semi Rev'!J37),'Semi Rev'!N37&gt;0,'Semi Rev'!J37&gt;0),('Semi OpInc'!N37/'Semi Rev'!N37-'Semi OpInc'!J37/'Semi Rev'!J37)*10000,""),"")</f>
        <v/>
      </c>
      <c r="K890" s="43">
        <f>IFERROR(IF(AND(ISNUMBER('Semi OpInc'!O37),ISNUMBER('Semi Rev'!O37),ISNUMBER('Semi OpInc'!K37),ISNUMBER('Semi Rev'!K37),'Semi Rev'!O37&gt;0,'Semi Rev'!K37&gt;0),('Semi OpInc'!O37/'Semi Rev'!O37-'Semi OpInc'!K37/'Semi Rev'!K37)*10000,""),"")</f>
        <v/>
      </c>
      <c r="L890" s="43">
        <f>IFERROR(IF(AND(ISNUMBER('Semi OpInc'!P37),ISNUMBER('Semi Rev'!P37),ISNUMBER('Semi OpInc'!L37),ISNUMBER('Semi Rev'!L37),'Semi Rev'!P37&gt;0,'Semi Rev'!L37&gt;0),('Semi OpInc'!P37/'Semi Rev'!P37-'Semi OpInc'!L37/'Semi Rev'!L37)*10000,""),"")</f>
        <v/>
      </c>
      <c r="M890" s="44">
        <f>IFERROR(IF(AND(ISNUMBER('Semi OpInc'!Q37),ISNUMBER('Semi Rev'!Q37),ISNUMBER('Semi OpInc'!M37),ISNUMBER('Semi Rev'!M37),'Semi Rev'!Q37&gt;0,'Semi Rev'!M37&gt;0),('Semi OpInc'!Q37/'Semi Rev'!Q37-'Semi OpInc'!M37/'Semi Rev'!M37)*10000,""),"")</f>
        <v/>
      </c>
      <c r="N890" s="44">
        <f>IFERROR(IF(AND(ISNUMBER('Semi OpInc'!R37),ISNUMBER('Semi Rev'!R37),ISNUMBER('Semi OpInc'!N37),ISNUMBER('Semi Rev'!N37),'Semi Rev'!R37&gt;0,'Semi Rev'!N37&gt;0),('Semi OpInc'!R37/'Semi Rev'!R37-'Semi OpInc'!N37/'Semi Rev'!N37)*10000,""),"")</f>
        <v/>
      </c>
    </row>
    <row r="891">
      <c r="A891" s="19">
        <f>'Semi Rev'!$A38</f>
        <v/>
      </c>
      <c r="B891" s="19">
        <f>'Semi Rev'!$B38</f>
        <v/>
      </c>
      <c r="C891" s="43">
        <f>IFERROR(IF(AND(ISNUMBER('Semi OpInc'!G38),ISNUMBER('Semi Rev'!G38),ISNUMBER('Semi OpInc'!C38),ISNUMBER('Semi Rev'!C38),'Semi Rev'!G38&gt;0,'Semi Rev'!C38&gt;0),('Semi OpInc'!G38/'Semi Rev'!G38-'Semi OpInc'!C38/'Semi Rev'!C38)*10000,""),"")</f>
        <v/>
      </c>
      <c r="D891" s="43">
        <f>IFERROR(IF(AND(ISNUMBER('Semi OpInc'!H38),ISNUMBER('Semi Rev'!H38),ISNUMBER('Semi OpInc'!D38),ISNUMBER('Semi Rev'!D38),'Semi Rev'!H38&gt;0,'Semi Rev'!D38&gt;0),('Semi OpInc'!H38/'Semi Rev'!H38-'Semi OpInc'!D38/'Semi Rev'!D38)*10000,""),"")</f>
        <v/>
      </c>
      <c r="E891" s="43">
        <f>IFERROR(IF(AND(ISNUMBER('Semi OpInc'!I38),ISNUMBER('Semi Rev'!I38),ISNUMBER('Semi OpInc'!E38),ISNUMBER('Semi Rev'!E38),'Semi Rev'!I38&gt;0,'Semi Rev'!E38&gt;0),('Semi OpInc'!I38/'Semi Rev'!I38-'Semi OpInc'!E38/'Semi Rev'!E38)*10000,""),"")</f>
        <v/>
      </c>
      <c r="F891" s="43">
        <f>IFERROR(IF(AND(ISNUMBER('Semi OpInc'!J38),ISNUMBER('Semi Rev'!J38),ISNUMBER('Semi OpInc'!F38),ISNUMBER('Semi Rev'!F38),'Semi Rev'!J38&gt;0,'Semi Rev'!F38&gt;0),('Semi OpInc'!J38/'Semi Rev'!J38-'Semi OpInc'!F38/'Semi Rev'!F38)*10000,""),"")</f>
        <v/>
      </c>
      <c r="G891" s="43">
        <f>IFERROR(IF(AND(ISNUMBER('Semi OpInc'!K38),ISNUMBER('Semi Rev'!K38),ISNUMBER('Semi OpInc'!G38),ISNUMBER('Semi Rev'!G38),'Semi Rev'!K38&gt;0,'Semi Rev'!G38&gt;0),('Semi OpInc'!K38/'Semi Rev'!K38-'Semi OpInc'!G38/'Semi Rev'!G38)*10000,""),"")</f>
        <v/>
      </c>
      <c r="H891" s="43">
        <f>IFERROR(IF(AND(ISNUMBER('Semi OpInc'!L38),ISNUMBER('Semi Rev'!L38),ISNUMBER('Semi OpInc'!H38),ISNUMBER('Semi Rev'!H38),'Semi Rev'!L38&gt;0,'Semi Rev'!H38&gt;0),('Semi OpInc'!L38/'Semi Rev'!L38-'Semi OpInc'!H38/'Semi Rev'!H38)*10000,""),"")</f>
        <v/>
      </c>
      <c r="I891" s="43">
        <f>IFERROR(IF(AND(ISNUMBER('Semi OpInc'!M38),ISNUMBER('Semi Rev'!M38),ISNUMBER('Semi OpInc'!I38),ISNUMBER('Semi Rev'!I38),'Semi Rev'!M38&gt;0,'Semi Rev'!I38&gt;0),('Semi OpInc'!M38/'Semi Rev'!M38-'Semi OpInc'!I38/'Semi Rev'!I38)*10000,""),"")</f>
        <v/>
      </c>
      <c r="J891" s="43">
        <f>IFERROR(IF(AND(ISNUMBER('Semi OpInc'!N38),ISNUMBER('Semi Rev'!N38),ISNUMBER('Semi OpInc'!J38),ISNUMBER('Semi Rev'!J38),'Semi Rev'!N38&gt;0,'Semi Rev'!J38&gt;0),('Semi OpInc'!N38/'Semi Rev'!N38-'Semi OpInc'!J38/'Semi Rev'!J38)*10000,""),"")</f>
        <v/>
      </c>
      <c r="K891" s="43">
        <f>IFERROR(IF(AND(ISNUMBER('Semi OpInc'!O38),ISNUMBER('Semi Rev'!O38),ISNUMBER('Semi OpInc'!K38),ISNUMBER('Semi Rev'!K38),'Semi Rev'!O38&gt;0,'Semi Rev'!K38&gt;0),('Semi OpInc'!O38/'Semi Rev'!O38-'Semi OpInc'!K38/'Semi Rev'!K38)*10000,""),"")</f>
        <v/>
      </c>
      <c r="L891" s="43">
        <f>IFERROR(IF(AND(ISNUMBER('Semi OpInc'!P38),ISNUMBER('Semi Rev'!P38),ISNUMBER('Semi OpInc'!L38),ISNUMBER('Semi Rev'!L38),'Semi Rev'!P38&gt;0,'Semi Rev'!L38&gt;0),('Semi OpInc'!P38/'Semi Rev'!P38-'Semi OpInc'!L38/'Semi Rev'!L38)*10000,""),"")</f>
        <v/>
      </c>
      <c r="M891" s="44">
        <f>IFERROR(IF(AND(ISNUMBER('Semi OpInc'!Q38),ISNUMBER('Semi Rev'!Q38),ISNUMBER('Semi OpInc'!M38),ISNUMBER('Semi Rev'!M38),'Semi Rev'!Q38&gt;0,'Semi Rev'!M38&gt;0),('Semi OpInc'!Q38/'Semi Rev'!Q38-'Semi OpInc'!M38/'Semi Rev'!M38)*10000,""),"")</f>
        <v/>
      </c>
      <c r="N891" s="44">
        <f>IFERROR(IF(AND(ISNUMBER('Semi OpInc'!R38),ISNUMBER('Semi Rev'!R38),ISNUMBER('Semi OpInc'!N38),ISNUMBER('Semi Rev'!N38),'Semi Rev'!R38&gt;0,'Semi Rev'!N38&gt;0),('Semi OpInc'!R38/'Semi Rev'!R38-'Semi OpInc'!N38/'Semi Rev'!N38)*10000,""),"")</f>
        <v/>
      </c>
    </row>
    <row r="892">
      <c r="A892" s="19">
        <f>'Semi Rev'!$A39</f>
        <v/>
      </c>
      <c r="B892" s="19">
        <f>'Semi Rev'!$B39</f>
        <v/>
      </c>
      <c r="C892" s="43">
        <f>IFERROR(IF(AND(ISNUMBER('Semi OpInc'!G39),ISNUMBER('Semi Rev'!G39),ISNUMBER('Semi OpInc'!C39),ISNUMBER('Semi Rev'!C39),'Semi Rev'!G39&gt;0,'Semi Rev'!C39&gt;0),('Semi OpInc'!G39/'Semi Rev'!G39-'Semi OpInc'!C39/'Semi Rev'!C39)*10000,""),"")</f>
        <v/>
      </c>
      <c r="D892" s="43">
        <f>IFERROR(IF(AND(ISNUMBER('Semi OpInc'!H39),ISNUMBER('Semi Rev'!H39),ISNUMBER('Semi OpInc'!D39),ISNUMBER('Semi Rev'!D39),'Semi Rev'!H39&gt;0,'Semi Rev'!D39&gt;0),('Semi OpInc'!H39/'Semi Rev'!H39-'Semi OpInc'!D39/'Semi Rev'!D39)*10000,""),"")</f>
        <v/>
      </c>
      <c r="E892" s="43">
        <f>IFERROR(IF(AND(ISNUMBER('Semi OpInc'!I39),ISNUMBER('Semi Rev'!I39),ISNUMBER('Semi OpInc'!E39),ISNUMBER('Semi Rev'!E39),'Semi Rev'!I39&gt;0,'Semi Rev'!E39&gt;0),('Semi OpInc'!I39/'Semi Rev'!I39-'Semi OpInc'!E39/'Semi Rev'!E39)*10000,""),"")</f>
        <v/>
      </c>
      <c r="F892" s="43">
        <f>IFERROR(IF(AND(ISNUMBER('Semi OpInc'!J39),ISNUMBER('Semi Rev'!J39),ISNUMBER('Semi OpInc'!F39),ISNUMBER('Semi Rev'!F39),'Semi Rev'!J39&gt;0,'Semi Rev'!F39&gt;0),('Semi OpInc'!J39/'Semi Rev'!J39-'Semi OpInc'!F39/'Semi Rev'!F39)*10000,""),"")</f>
        <v/>
      </c>
      <c r="G892" s="43">
        <f>IFERROR(IF(AND(ISNUMBER('Semi OpInc'!K39),ISNUMBER('Semi Rev'!K39),ISNUMBER('Semi OpInc'!G39),ISNUMBER('Semi Rev'!G39),'Semi Rev'!K39&gt;0,'Semi Rev'!G39&gt;0),('Semi OpInc'!K39/'Semi Rev'!K39-'Semi OpInc'!G39/'Semi Rev'!G39)*10000,""),"")</f>
        <v/>
      </c>
      <c r="H892" s="43">
        <f>IFERROR(IF(AND(ISNUMBER('Semi OpInc'!L39),ISNUMBER('Semi Rev'!L39),ISNUMBER('Semi OpInc'!H39),ISNUMBER('Semi Rev'!H39),'Semi Rev'!L39&gt;0,'Semi Rev'!H39&gt;0),('Semi OpInc'!L39/'Semi Rev'!L39-'Semi OpInc'!H39/'Semi Rev'!H39)*10000,""),"")</f>
        <v/>
      </c>
      <c r="I892" s="43">
        <f>IFERROR(IF(AND(ISNUMBER('Semi OpInc'!M39),ISNUMBER('Semi Rev'!M39),ISNUMBER('Semi OpInc'!I39),ISNUMBER('Semi Rev'!I39),'Semi Rev'!M39&gt;0,'Semi Rev'!I39&gt;0),('Semi OpInc'!M39/'Semi Rev'!M39-'Semi OpInc'!I39/'Semi Rev'!I39)*10000,""),"")</f>
        <v/>
      </c>
      <c r="J892" s="43">
        <f>IFERROR(IF(AND(ISNUMBER('Semi OpInc'!N39),ISNUMBER('Semi Rev'!N39),ISNUMBER('Semi OpInc'!J39),ISNUMBER('Semi Rev'!J39),'Semi Rev'!N39&gt;0,'Semi Rev'!J39&gt;0),('Semi OpInc'!N39/'Semi Rev'!N39-'Semi OpInc'!J39/'Semi Rev'!J39)*10000,""),"")</f>
        <v/>
      </c>
      <c r="K892" s="43">
        <f>IFERROR(IF(AND(ISNUMBER('Semi OpInc'!O39),ISNUMBER('Semi Rev'!O39),ISNUMBER('Semi OpInc'!K39),ISNUMBER('Semi Rev'!K39),'Semi Rev'!O39&gt;0,'Semi Rev'!K39&gt;0),('Semi OpInc'!O39/'Semi Rev'!O39-'Semi OpInc'!K39/'Semi Rev'!K39)*10000,""),"")</f>
        <v/>
      </c>
      <c r="L892" s="43">
        <f>IFERROR(IF(AND(ISNUMBER('Semi OpInc'!P39),ISNUMBER('Semi Rev'!P39),ISNUMBER('Semi OpInc'!L39),ISNUMBER('Semi Rev'!L39),'Semi Rev'!P39&gt;0,'Semi Rev'!L39&gt;0),('Semi OpInc'!P39/'Semi Rev'!P39-'Semi OpInc'!L39/'Semi Rev'!L39)*10000,""),"")</f>
        <v/>
      </c>
      <c r="M892" s="44">
        <f>IFERROR(IF(AND(ISNUMBER('Semi OpInc'!Q39),ISNUMBER('Semi Rev'!Q39),ISNUMBER('Semi OpInc'!M39),ISNUMBER('Semi Rev'!M39),'Semi Rev'!Q39&gt;0,'Semi Rev'!M39&gt;0),('Semi OpInc'!Q39/'Semi Rev'!Q39-'Semi OpInc'!M39/'Semi Rev'!M39)*10000,""),"")</f>
        <v/>
      </c>
      <c r="N892" s="44">
        <f>IFERROR(IF(AND(ISNUMBER('Semi OpInc'!R39),ISNUMBER('Semi Rev'!R39),ISNUMBER('Semi OpInc'!N39),ISNUMBER('Semi Rev'!N39),'Semi Rev'!R39&gt;0,'Semi Rev'!N39&gt;0),('Semi OpInc'!R39/'Semi Rev'!R39-'Semi OpInc'!N39/'Semi Rev'!N39)*10000,""),"")</f>
        <v/>
      </c>
    </row>
    <row r="893">
      <c r="A893" s="19">
        <f>'Semi Rev'!$A40</f>
        <v/>
      </c>
      <c r="B893" s="19">
        <f>'Semi Rev'!$B40</f>
        <v/>
      </c>
      <c r="C893" s="43">
        <f>IFERROR(IF(AND(ISNUMBER('Semi OpInc'!G40),ISNUMBER('Semi Rev'!G40),ISNUMBER('Semi OpInc'!C40),ISNUMBER('Semi Rev'!C40),'Semi Rev'!G40&gt;0,'Semi Rev'!C40&gt;0),('Semi OpInc'!G40/'Semi Rev'!G40-'Semi OpInc'!C40/'Semi Rev'!C40)*10000,""),"")</f>
        <v/>
      </c>
      <c r="D893" s="43">
        <f>IFERROR(IF(AND(ISNUMBER('Semi OpInc'!H40),ISNUMBER('Semi Rev'!H40),ISNUMBER('Semi OpInc'!D40),ISNUMBER('Semi Rev'!D40),'Semi Rev'!H40&gt;0,'Semi Rev'!D40&gt;0),('Semi OpInc'!H40/'Semi Rev'!H40-'Semi OpInc'!D40/'Semi Rev'!D40)*10000,""),"")</f>
        <v/>
      </c>
      <c r="E893" s="43">
        <f>IFERROR(IF(AND(ISNUMBER('Semi OpInc'!I40),ISNUMBER('Semi Rev'!I40),ISNUMBER('Semi OpInc'!E40),ISNUMBER('Semi Rev'!E40),'Semi Rev'!I40&gt;0,'Semi Rev'!E40&gt;0),('Semi OpInc'!I40/'Semi Rev'!I40-'Semi OpInc'!E40/'Semi Rev'!E40)*10000,""),"")</f>
        <v/>
      </c>
      <c r="F893" s="43">
        <f>IFERROR(IF(AND(ISNUMBER('Semi OpInc'!J40),ISNUMBER('Semi Rev'!J40),ISNUMBER('Semi OpInc'!F40),ISNUMBER('Semi Rev'!F40),'Semi Rev'!J40&gt;0,'Semi Rev'!F40&gt;0),('Semi OpInc'!J40/'Semi Rev'!J40-'Semi OpInc'!F40/'Semi Rev'!F40)*10000,""),"")</f>
        <v/>
      </c>
      <c r="G893" s="43">
        <f>IFERROR(IF(AND(ISNUMBER('Semi OpInc'!K40),ISNUMBER('Semi Rev'!K40),ISNUMBER('Semi OpInc'!G40),ISNUMBER('Semi Rev'!G40),'Semi Rev'!K40&gt;0,'Semi Rev'!G40&gt;0),('Semi OpInc'!K40/'Semi Rev'!K40-'Semi OpInc'!G40/'Semi Rev'!G40)*10000,""),"")</f>
        <v/>
      </c>
      <c r="H893" s="43">
        <f>IFERROR(IF(AND(ISNUMBER('Semi OpInc'!L40),ISNUMBER('Semi Rev'!L40),ISNUMBER('Semi OpInc'!H40),ISNUMBER('Semi Rev'!H40),'Semi Rev'!L40&gt;0,'Semi Rev'!H40&gt;0),('Semi OpInc'!L40/'Semi Rev'!L40-'Semi OpInc'!H40/'Semi Rev'!H40)*10000,""),"")</f>
        <v/>
      </c>
      <c r="I893" s="43">
        <f>IFERROR(IF(AND(ISNUMBER('Semi OpInc'!M40),ISNUMBER('Semi Rev'!M40),ISNUMBER('Semi OpInc'!I40),ISNUMBER('Semi Rev'!I40),'Semi Rev'!M40&gt;0,'Semi Rev'!I40&gt;0),('Semi OpInc'!M40/'Semi Rev'!M40-'Semi OpInc'!I40/'Semi Rev'!I40)*10000,""),"")</f>
        <v/>
      </c>
      <c r="J893" s="43">
        <f>IFERROR(IF(AND(ISNUMBER('Semi OpInc'!N40),ISNUMBER('Semi Rev'!N40),ISNUMBER('Semi OpInc'!J40),ISNUMBER('Semi Rev'!J40),'Semi Rev'!N40&gt;0,'Semi Rev'!J40&gt;0),('Semi OpInc'!N40/'Semi Rev'!N40-'Semi OpInc'!J40/'Semi Rev'!J40)*10000,""),"")</f>
        <v/>
      </c>
      <c r="K893" s="43">
        <f>IFERROR(IF(AND(ISNUMBER('Semi OpInc'!O40),ISNUMBER('Semi Rev'!O40),ISNUMBER('Semi OpInc'!K40),ISNUMBER('Semi Rev'!K40),'Semi Rev'!O40&gt;0,'Semi Rev'!K40&gt;0),('Semi OpInc'!O40/'Semi Rev'!O40-'Semi OpInc'!K40/'Semi Rev'!K40)*10000,""),"")</f>
        <v/>
      </c>
      <c r="L893" s="43">
        <f>IFERROR(IF(AND(ISNUMBER('Semi OpInc'!P40),ISNUMBER('Semi Rev'!P40),ISNUMBER('Semi OpInc'!L40),ISNUMBER('Semi Rev'!L40),'Semi Rev'!P40&gt;0,'Semi Rev'!L40&gt;0),('Semi OpInc'!P40/'Semi Rev'!P40-'Semi OpInc'!L40/'Semi Rev'!L40)*10000,""),"")</f>
        <v/>
      </c>
      <c r="M893" s="44">
        <f>IFERROR(IF(AND(ISNUMBER('Semi OpInc'!Q40),ISNUMBER('Semi Rev'!Q40),ISNUMBER('Semi OpInc'!M40),ISNUMBER('Semi Rev'!M40),'Semi Rev'!Q40&gt;0,'Semi Rev'!M40&gt;0),('Semi OpInc'!Q40/'Semi Rev'!Q40-'Semi OpInc'!M40/'Semi Rev'!M40)*10000,""),"")</f>
        <v/>
      </c>
      <c r="N893" s="44">
        <f>IFERROR(IF(AND(ISNUMBER('Semi OpInc'!R40),ISNUMBER('Semi Rev'!R40),ISNUMBER('Semi OpInc'!N40),ISNUMBER('Semi Rev'!N40),'Semi Rev'!R40&gt;0,'Semi Rev'!N40&gt;0),('Semi OpInc'!R40/'Semi Rev'!R40-'Semi OpInc'!N40/'Semi Rev'!N40)*10000,""),"")</f>
        <v/>
      </c>
    </row>
    <row r="894">
      <c r="A894" s="19">
        <f>'Semi Rev'!$A41</f>
        <v/>
      </c>
      <c r="B894" s="19">
        <f>'Semi Rev'!$B41</f>
        <v/>
      </c>
      <c r="C894" s="43">
        <f>IFERROR(IF(AND(ISNUMBER('Semi OpInc'!G41),ISNUMBER('Semi Rev'!G41),ISNUMBER('Semi OpInc'!C41),ISNUMBER('Semi Rev'!C41),'Semi Rev'!G41&gt;0,'Semi Rev'!C41&gt;0),('Semi OpInc'!G41/'Semi Rev'!G41-'Semi OpInc'!C41/'Semi Rev'!C41)*10000,""),"")</f>
        <v/>
      </c>
      <c r="D894" s="43">
        <f>IFERROR(IF(AND(ISNUMBER('Semi OpInc'!H41),ISNUMBER('Semi Rev'!H41),ISNUMBER('Semi OpInc'!D41),ISNUMBER('Semi Rev'!D41),'Semi Rev'!H41&gt;0,'Semi Rev'!D41&gt;0),('Semi OpInc'!H41/'Semi Rev'!H41-'Semi OpInc'!D41/'Semi Rev'!D41)*10000,""),"")</f>
        <v/>
      </c>
      <c r="E894" s="43">
        <f>IFERROR(IF(AND(ISNUMBER('Semi OpInc'!I41),ISNUMBER('Semi Rev'!I41),ISNUMBER('Semi OpInc'!E41),ISNUMBER('Semi Rev'!E41),'Semi Rev'!I41&gt;0,'Semi Rev'!E41&gt;0),('Semi OpInc'!I41/'Semi Rev'!I41-'Semi OpInc'!E41/'Semi Rev'!E41)*10000,""),"")</f>
        <v/>
      </c>
      <c r="F894" s="43">
        <f>IFERROR(IF(AND(ISNUMBER('Semi OpInc'!J41),ISNUMBER('Semi Rev'!J41),ISNUMBER('Semi OpInc'!F41),ISNUMBER('Semi Rev'!F41),'Semi Rev'!J41&gt;0,'Semi Rev'!F41&gt;0),('Semi OpInc'!J41/'Semi Rev'!J41-'Semi OpInc'!F41/'Semi Rev'!F41)*10000,""),"")</f>
        <v/>
      </c>
      <c r="G894" s="43">
        <f>IFERROR(IF(AND(ISNUMBER('Semi OpInc'!K41),ISNUMBER('Semi Rev'!K41),ISNUMBER('Semi OpInc'!G41),ISNUMBER('Semi Rev'!G41),'Semi Rev'!K41&gt;0,'Semi Rev'!G41&gt;0),('Semi OpInc'!K41/'Semi Rev'!K41-'Semi OpInc'!G41/'Semi Rev'!G41)*10000,""),"")</f>
        <v/>
      </c>
      <c r="H894" s="43">
        <f>IFERROR(IF(AND(ISNUMBER('Semi OpInc'!L41),ISNUMBER('Semi Rev'!L41),ISNUMBER('Semi OpInc'!H41),ISNUMBER('Semi Rev'!H41),'Semi Rev'!L41&gt;0,'Semi Rev'!H41&gt;0),('Semi OpInc'!L41/'Semi Rev'!L41-'Semi OpInc'!H41/'Semi Rev'!H41)*10000,""),"")</f>
        <v/>
      </c>
      <c r="I894" s="43">
        <f>IFERROR(IF(AND(ISNUMBER('Semi OpInc'!M41),ISNUMBER('Semi Rev'!M41),ISNUMBER('Semi OpInc'!I41),ISNUMBER('Semi Rev'!I41),'Semi Rev'!M41&gt;0,'Semi Rev'!I41&gt;0),('Semi OpInc'!M41/'Semi Rev'!M41-'Semi OpInc'!I41/'Semi Rev'!I41)*10000,""),"")</f>
        <v/>
      </c>
      <c r="J894" s="43">
        <f>IFERROR(IF(AND(ISNUMBER('Semi OpInc'!N41),ISNUMBER('Semi Rev'!N41),ISNUMBER('Semi OpInc'!J41),ISNUMBER('Semi Rev'!J41),'Semi Rev'!N41&gt;0,'Semi Rev'!J41&gt;0),('Semi OpInc'!N41/'Semi Rev'!N41-'Semi OpInc'!J41/'Semi Rev'!J41)*10000,""),"")</f>
        <v/>
      </c>
      <c r="K894" s="43">
        <f>IFERROR(IF(AND(ISNUMBER('Semi OpInc'!O41),ISNUMBER('Semi Rev'!O41),ISNUMBER('Semi OpInc'!K41),ISNUMBER('Semi Rev'!K41),'Semi Rev'!O41&gt;0,'Semi Rev'!K41&gt;0),('Semi OpInc'!O41/'Semi Rev'!O41-'Semi OpInc'!K41/'Semi Rev'!K41)*10000,""),"")</f>
        <v/>
      </c>
      <c r="L894" s="43">
        <f>IFERROR(IF(AND(ISNUMBER('Semi OpInc'!P41),ISNUMBER('Semi Rev'!P41),ISNUMBER('Semi OpInc'!L41),ISNUMBER('Semi Rev'!L41),'Semi Rev'!P41&gt;0,'Semi Rev'!L41&gt;0),('Semi OpInc'!P41/'Semi Rev'!P41-'Semi OpInc'!L41/'Semi Rev'!L41)*10000,""),"")</f>
        <v/>
      </c>
      <c r="M894" s="44">
        <f>IFERROR(IF(AND(ISNUMBER('Semi OpInc'!Q41),ISNUMBER('Semi Rev'!Q41),ISNUMBER('Semi OpInc'!M41),ISNUMBER('Semi Rev'!M41),'Semi Rev'!Q41&gt;0,'Semi Rev'!M41&gt;0),('Semi OpInc'!Q41/'Semi Rev'!Q41-'Semi OpInc'!M41/'Semi Rev'!M41)*10000,""),"")</f>
        <v/>
      </c>
      <c r="N894" s="44">
        <f>IFERROR(IF(AND(ISNUMBER('Semi OpInc'!R41),ISNUMBER('Semi Rev'!R41),ISNUMBER('Semi OpInc'!N41),ISNUMBER('Semi Rev'!N41),'Semi Rev'!R41&gt;0,'Semi Rev'!N41&gt;0),('Semi OpInc'!R41/'Semi Rev'!R41-'Semi OpInc'!N41/'Semi Rev'!N41)*10000,""),"")</f>
        <v/>
      </c>
    </row>
    <row r="895">
      <c r="A895" s="19">
        <f>'Semi Rev'!$A42</f>
        <v/>
      </c>
      <c r="B895" s="19">
        <f>'Semi Rev'!$B42</f>
        <v/>
      </c>
      <c r="C895" s="43">
        <f>IFERROR(IF(AND(ISNUMBER('Semi OpInc'!G42),ISNUMBER('Semi Rev'!G42),ISNUMBER('Semi OpInc'!C42),ISNUMBER('Semi Rev'!C42),'Semi Rev'!G42&gt;0,'Semi Rev'!C42&gt;0),('Semi OpInc'!G42/'Semi Rev'!G42-'Semi OpInc'!C42/'Semi Rev'!C42)*10000,""),"")</f>
        <v/>
      </c>
      <c r="D895" s="43">
        <f>IFERROR(IF(AND(ISNUMBER('Semi OpInc'!H42),ISNUMBER('Semi Rev'!H42),ISNUMBER('Semi OpInc'!D42),ISNUMBER('Semi Rev'!D42),'Semi Rev'!H42&gt;0,'Semi Rev'!D42&gt;0),('Semi OpInc'!H42/'Semi Rev'!H42-'Semi OpInc'!D42/'Semi Rev'!D42)*10000,""),"")</f>
        <v/>
      </c>
      <c r="E895" s="43">
        <f>IFERROR(IF(AND(ISNUMBER('Semi OpInc'!I42),ISNUMBER('Semi Rev'!I42),ISNUMBER('Semi OpInc'!E42),ISNUMBER('Semi Rev'!E42),'Semi Rev'!I42&gt;0,'Semi Rev'!E42&gt;0),('Semi OpInc'!I42/'Semi Rev'!I42-'Semi OpInc'!E42/'Semi Rev'!E42)*10000,""),"")</f>
        <v/>
      </c>
      <c r="F895" s="43">
        <f>IFERROR(IF(AND(ISNUMBER('Semi OpInc'!J42),ISNUMBER('Semi Rev'!J42),ISNUMBER('Semi OpInc'!F42),ISNUMBER('Semi Rev'!F42),'Semi Rev'!J42&gt;0,'Semi Rev'!F42&gt;0),('Semi OpInc'!J42/'Semi Rev'!J42-'Semi OpInc'!F42/'Semi Rev'!F42)*10000,""),"")</f>
        <v/>
      </c>
      <c r="G895" s="43">
        <f>IFERROR(IF(AND(ISNUMBER('Semi OpInc'!K42),ISNUMBER('Semi Rev'!K42),ISNUMBER('Semi OpInc'!G42),ISNUMBER('Semi Rev'!G42),'Semi Rev'!K42&gt;0,'Semi Rev'!G42&gt;0),('Semi OpInc'!K42/'Semi Rev'!K42-'Semi OpInc'!G42/'Semi Rev'!G42)*10000,""),"")</f>
        <v/>
      </c>
      <c r="H895" s="43">
        <f>IFERROR(IF(AND(ISNUMBER('Semi OpInc'!L42),ISNUMBER('Semi Rev'!L42),ISNUMBER('Semi OpInc'!H42),ISNUMBER('Semi Rev'!H42),'Semi Rev'!L42&gt;0,'Semi Rev'!H42&gt;0),('Semi OpInc'!L42/'Semi Rev'!L42-'Semi OpInc'!H42/'Semi Rev'!H42)*10000,""),"")</f>
        <v/>
      </c>
      <c r="I895" s="43">
        <f>IFERROR(IF(AND(ISNUMBER('Semi OpInc'!M42),ISNUMBER('Semi Rev'!M42),ISNUMBER('Semi OpInc'!I42),ISNUMBER('Semi Rev'!I42),'Semi Rev'!M42&gt;0,'Semi Rev'!I42&gt;0),('Semi OpInc'!M42/'Semi Rev'!M42-'Semi OpInc'!I42/'Semi Rev'!I42)*10000,""),"")</f>
        <v/>
      </c>
      <c r="J895" s="43">
        <f>IFERROR(IF(AND(ISNUMBER('Semi OpInc'!N42),ISNUMBER('Semi Rev'!N42),ISNUMBER('Semi OpInc'!J42),ISNUMBER('Semi Rev'!J42),'Semi Rev'!N42&gt;0,'Semi Rev'!J42&gt;0),('Semi OpInc'!N42/'Semi Rev'!N42-'Semi OpInc'!J42/'Semi Rev'!J42)*10000,""),"")</f>
        <v/>
      </c>
      <c r="K895" s="43">
        <f>IFERROR(IF(AND(ISNUMBER('Semi OpInc'!O42),ISNUMBER('Semi Rev'!O42),ISNUMBER('Semi OpInc'!K42),ISNUMBER('Semi Rev'!K42),'Semi Rev'!O42&gt;0,'Semi Rev'!K42&gt;0),('Semi OpInc'!O42/'Semi Rev'!O42-'Semi OpInc'!K42/'Semi Rev'!K42)*10000,""),"")</f>
        <v/>
      </c>
      <c r="L895" s="43">
        <f>IFERROR(IF(AND(ISNUMBER('Semi OpInc'!P42),ISNUMBER('Semi Rev'!P42),ISNUMBER('Semi OpInc'!L42),ISNUMBER('Semi Rev'!L42),'Semi Rev'!P42&gt;0,'Semi Rev'!L42&gt;0),('Semi OpInc'!P42/'Semi Rev'!P42-'Semi OpInc'!L42/'Semi Rev'!L42)*10000,""),"")</f>
        <v/>
      </c>
      <c r="M895" s="44">
        <f>IFERROR(IF(AND(ISNUMBER('Semi OpInc'!Q42),ISNUMBER('Semi Rev'!Q42),ISNUMBER('Semi OpInc'!M42),ISNUMBER('Semi Rev'!M42),'Semi Rev'!Q42&gt;0,'Semi Rev'!M42&gt;0),('Semi OpInc'!Q42/'Semi Rev'!Q42-'Semi OpInc'!M42/'Semi Rev'!M42)*10000,""),"")</f>
        <v/>
      </c>
      <c r="N895" s="44">
        <f>IFERROR(IF(AND(ISNUMBER('Semi OpInc'!R42),ISNUMBER('Semi Rev'!R42),ISNUMBER('Semi OpInc'!N42),ISNUMBER('Semi Rev'!N42),'Semi Rev'!R42&gt;0,'Semi Rev'!N42&gt;0),('Semi OpInc'!R42/'Semi Rev'!R42-'Semi OpInc'!N42/'Semi Rev'!N42)*10000,""),"")</f>
        <v/>
      </c>
    </row>
    <row r="896">
      <c r="A896" s="19">
        <f>'Semi Rev'!$A43</f>
        <v/>
      </c>
      <c r="B896" s="19">
        <f>'Semi Rev'!$B43</f>
        <v/>
      </c>
      <c r="C896" s="43">
        <f>IFERROR(IF(AND(ISNUMBER('Semi OpInc'!G43),ISNUMBER('Semi Rev'!G43),ISNUMBER('Semi OpInc'!C43),ISNUMBER('Semi Rev'!C43),'Semi Rev'!G43&gt;0,'Semi Rev'!C43&gt;0),('Semi OpInc'!G43/'Semi Rev'!G43-'Semi OpInc'!C43/'Semi Rev'!C43)*10000,""),"")</f>
        <v/>
      </c>
      <c r="D896" s="43">
        <f>IFERROR(IF(AND(ISNUMBER('Semi OpInc'!H43),ISNUMBER('Semi Rev'!H43),ISNUMBER('Semi OpInc'!D43),ISNUMBER('Semi Rev'!D43),'Semi Rev'!H43&gt;0,'Semi Rev'!D43&gt;0),('Semi OpInc'!H43/'Semi Rev'!H43-'Semi OpInc'!D43/'Semi Rev'!D43)*10000,""),"")</f>
        <v/>
      </c>
      <c r="E896" s="43">
        <f>IFERROR(IF(AND(ISNUMBER('Semi OpInc'!I43),ISNUMBER('Semi Rev'!I43),ISNUMBER('Semi OpInc'!E43),ISNUMBER('Semi Rev'!E43),'Semi Rev'!I43&gt;0,'Semi Rev'!E43&gt;0),('Semi OpInc'!I43/'Semi Rev'!I43-'Semi OpInc'!E43/'Semi Rev'!E43)*10000,""),"")</f>
        <v/>
      </c>
      <c r="F896" s="43">
        <f>IFERROR(IF(AND(ISNUMBER('Semi OpInc'!J43),ISNUMBER('Semi Rev'!J43),ISNUMBER('Semi OpInc'!F43),ISNUMBER('Semi Rev'!F43),'Semi Rev'!J43&gt;0,'Semi Rev'!F43&gt;0),('Semi OpInc'!J43/'Semi Rev'!J43-'Semi OpInc'!F43/'Semi Rev'!F43)*10000,""),"")</f>
        <v/>
      </c>
      <c r="G896" s="43">
        <f>IFERROR(IF(AND(ISNUMBER('Semi OpInc'!K43),ISNUMBER('Semi Rev'!K43),ISNUMBER('Semi OpInc'!G43),ISNUMBER('Semi Rev'!G43),'Semi Rev'!K43&gt;0,'Semi Rev'!G43&gt;0),('Semi OpInc'!K43/'Semi Rev'!K43-'Semi OpInc'!G43/'Semi Rev'!G43)*10000,""),"")</f>
        <v/>
      </c>
      <c r="H896" s="43">
        <f>IFERROR(IF(AND(ISNUMBER('Semi OpInc'!L43),ISNUMBER('Semi Rev'!L43),ISNUMBER('Semi OpInc'!H43),ISNUMBER('Semi Rev'!H43),'Semi Rev'!L43&gt;0,'Semi Rev'!H43&gt;0),('Semi OpInc'!L43/'Semi Rev'!L43-'Semi OpInc'!H43/'Semi Rev'!H43)*10000,""),"")</f>
        <v/>
      </c>
      <c r="I896" s="43">
        <f>IFERROR(IF(AND(ISNUMBER('Semi OpInc'!M43),ISNUMBER('Semi Rev'!M43),ISNUMBER('Semi OpInc'!I43),ISNUMBER('Semi Rev'!I43),'Semi Rev'!M43&gt;0,'Semi Rev'!I43&gt;0),('Semi OpInc'!M43/'Semi Rev'!M43-'Semi OpInc'!I43/'Semi Rev'!I43)*10000,""),"")</f>
        <v/>
      </c>
      <c r="J896" s="43">
        <f>IFERROR(IF(AND(ISNUMBER('Semi OpInc'!N43),ISNUMBER('Semi Rev'!N43),ISNUMBER('Semi OpInc'!J43),ISNUMBER('Semi Rev'!J43),'Semi Rev'!N43&gt;0,'Semi Rev'!J43&gt;0),('Semi OpInc'!N43/'Semi Rev'!N43-'Semi OpInc'!J43/'Semi Rev'!J43)*10000,""),"")</f>
        <v/>
      </c>
      <c r="K896" s="43">
        <f>IFERROR(IF(AND(ISNUMBER('Semi OpInc'!O43),ISNUMBER('Semi Rev'!O43),ISNUMBER('Semi OpInc'!K43),ISNUMBER('Semi Rev'!K43),'Semi Rev'!O43&gt;0,'Semi Rev'!K43&gt;0),('Semi OpInc'!O43/'Semi Rev'!O43-'Semi OpInc'!K43/'Semi Rev'!K43)*10000,""),"")</f>
        <v/>
      </c>
      <c r="L896" s="43">
        <f>IFERROR(IF(AND(ISNUMBER('Semi OpInc'!P43),ISNUMBER('Semi Rev'!P43),ISNUMBER('Semi OpInc'!L43),ISNUMBER('Semi Rev'!L43),'Semi Rev'!P43&gt;0,'Semi Rev'!L43&gt;0),('Semi OpInc'!P43/'Semi Rev'!P43-'Semi OpInc'!L43/'Semi Rev'!L43)*10000,""),"")</f>
        <v/>
      </c>
      <c r="M896" s="44">
        <f>IFERROR(IF(AND(ISNUMBER('Semi OpInc'!Q43),ISNUMBER('Semi Rev'!Q43),ISNUMBER('Semi OpInc'!M43),ISNUMBER('Semi Rev'!M43),'Semi Rev'!Q43&gt;0,'Semi Rev'!M43&gt;0),('Semi OpInc'!Q43/'Semi Rev'!Q43-'Semi OpInc'!M43/'Semi Rev'!M43)*10000,""),"")</f>
        <v/>
      </c>
      <c r="N896" s="44">
        <f>IFERROR(IF(AND(ISNUMBER('Semi OpInc'!R43),ISNUMBER('Semi Rev'!R43),ISNUMBER('Semi OpInc'!N43),ISNUMBER('Semi Rev'!N43),'Semi Rev'!R43&gt;0,'Semi Rev'!N43&gt;0),('Semi OpInc'!R43/'Semi Rev'!R43-'Semi OpInc'!N43/'Semi Rev'!N43)*10000,""),"")</f>
        <v/>
      </c>
    </row>
    <row r="897">
      <c r="A897" s="19">
        <f>'Semi Rev'!$A44</f>
        <v/>
      </c>
      <c r="B897" s="19">
        <f>'Semi Rev'!$B44</f>
        <v/>
      </c>
      <c r="C897" s="43">
        <f>IFERROR(IF(AND(ISNUMBER('Semi OpInc'!G44),ISNUMBER('Semi Rev'!G44),ISNUMBER('Semi OpInc'!C44),ISNUMBER('Semi Rev'!C44),'Semi Rev'!G44&gt;0,'Semi Rev'!C44&gt;0),('Semi OpInc'!G44/'Semi Rev'!G44-'Semi OpInc'!C44/'Semi Rev'!C44)*10000,""),"")</f>
        <v/>
      </c>
      <c r="D897" s="43">
        <f>IFERROR(IF(AND(ISNUMBER('Semi OpInc'!H44),ISNUMBER('Semi Rev'!H44),ISNUMBER('Semi OpInc'!D44),ISNUMBER('Semi Rev'!D44),'Semi Rev'!H44&gt;0,'Semi Rev'!D44&gt;0),('Semi OpInc'!H44/'Semi Rev'!H44-'Semi OpInc'!D44/'Semi Rev'!D44)*10000,""),"")</f>
        <v/>
      </c>
      <c r="E897" s="43">
        <f>IFERROR(IF(AND(ISNUMBER('Semi OpInc'!I44),ISNUMBER('Semi Rev'!I44),ISNUMBER('Semi OpInc'!E44),ISNUMBER('Semi Rev'!E44),'Semi Rev'!I44&gt;0,'Semi Rev'!E44&gt;0),('Semi OpInc'!I44/'Semi Rev'!I44-'Semi OpInc'!E44/'Semi Rev'!E44)*10000,""),"")</f>
        <v/>
      </c>
      <c r="F897" s="43">
        <f>IFERROR(IF(AND(ISNUMBER('Semi OpInc'!J44),ISNUMBER('Semi Rev'!J44),ISNUMBER('Semi OpInc'!F44),ISNUMBER('Semi Rev'!F44),'Semi Rev'!J44&gt;0,'Semi Rev'!F44&gt;0),('Semi OpInc'!J44/'Semi Rev'!J44-'Semi OpInc'!F44/'Semi Rev'!F44)*10000,""),"")</f>
        <v/>
      </c>
      <c r="G897" s="43">
        <f>IFERROR(IF(AND(ISNUMBER('Semi OpInc'!K44),ISNUMBER('Semi Rev'!K44),ISNUMBER('Semi OpInc'!G44),ISNUMBER('Semi Rev'!G44),'Semi Rev'!K44&gt;0,'Semi Rev'!G44&gt;0),('Semi OpInc'!K44/'Semi Rev'!K44-'Semi OpInc'!G44/'Semi Rev'!G44)*10000,""),"")</f>
        <v/>
      </c>
      <c r="H897" s="43">
        <f>IFERROR(IF(AND(ISNUMBER('Semi OpInc'!L44),ISNUMBER('Semi Rev'!L44),ISNUMBER('Semi OpInc'!H44),ISNUMBER('Semi Rev'!H44),'Semi Rev'!L44&gt;0,'Semi Rev'!H44&gt;0),('Semi OpInc'!L44/'Semi Rev'!L44-'Semi OpInc'!H44/'Semi Rev'!H44)*10000,""),"")</f>
        <v/>
      </c>
      <c r="I897" s="43">
        <f>IFERROR(IF(AND(ISNUMBER('Semi OpInc'!M44),ISNUMBER('Semi Rev'!M44),ISNUMBER('Semi OpInc'!I44),ISNUMBER('Semi Rev'!I44),'Semi Rev'!M44&gt;0,'Semi Rev'!I44&gt;0),('Semi OpInc'!M44/'Semi Rev'!M44-'Semi OpInc'!I44/'Semi Rev'!I44)*10000,""),"")</f>
        <v/>
      </c>
      <c r="J897" s="43">
        <f>IFERROR(IF(AND(ISNUMBER('Semi OpInc'!N44),ISNUMBER('Semi Rev'!N44),ISNUMBER('Semi OpInc'!J44),ISNUMBER('Semi Rev'!J44),'Semi Rev'!N44&gt;0,'Semi Rev'!J44&gt;0),('Semi OpInc'!N44/'Semi Rev'!N44-'Semi OpInc'!J44/'Semi Rev'!J44)*10000,""),"")</f>
        <v/>
      </c>
      <c r="K897" s="43">
        <f>IFERROR(IF(AND(ISNUMBER('Semi OpInc'!O44),ISNUMBER('Semi Rev'!O44),ISNUMBER('Semi OpInc'!K44),ISNUMBER('Semi Rev'!K44),'Semi Rev'!O44&gt;0,'Semi Rev'!K44&gt;0),('Semi OpInc'!O44/'Semi Rev'!O44-'Semi OpInc'!K44/'Semi Rev'!K44)*10000,""),"")</f>
        <v/>
      </c>
      <c r="L897" s="43">
        <f>IFERROR(IF(AND(ISNUMBER('Semi OpInc'!P44),ISNUMBER('Semi Rev'!P44),ISNUMBER('Semi OpInc'!L44),ISNUMBER('Semi Rev'!L44),'Semi Rev'!P44&gt;0,'Semi Rev'!L44&gt;0),('Semi OpInc'!P44/'Semi Rev'!P44-'Semi OpInc'!L44/'Semi Rev'!L44)*10000,""),"")</f>
        <v/>
      </c>
      <c r="M897" s="44">
        <f>IFERROR(IF(AND(ISNUMBER('Semi OpInc'!Q44),ISNUMBER('Semi Rev'!Q44),ISNUMBER('Semi OpInc'!M44),ISNUMBER('Semi Rev'!M44),'Semi Rev'!Q44&gt;0,'Semi Rev'!M44&gt;0),('Semi OpInc'!Q44/'Semi Rev'!Q44-'Semi OpInc'!M44/'Semi Rev'!M44)*10000,""),"")</f>
        <v/>
      </c>
      <c r="N897" s="44">
        <f>IFERROR(IF(AND(ISNUMBER('Semi OpInc'!R44),ISNUMBER('Semi Rev'!R44),ISNUMBER('Semi OpInc'!N44),ISNUMBER('Semi Rev'!N44),'Semi Rev'!R44&gt;0,'Semi Rev'!N44&gt;0),('Semi OpInc'!R44/'Semi Rev'!R44-'Semi OpInc'!N44/'Semi Rev'!N44)*10000,""),"")</f>
        <v/>
      </c>
    </row>
    <row r="898">
      <c r="A898" s="19">
        <f>'Semi Rev'!$A45</f>
        <v/>
      </c>
      <c r="B898" s="19">
        <f>'Semi Rev'!$B45</f>
        <v/>
      </c>
      <c r="C898" s="43">
        <f>IFERROR(IF(AND(ISNUMBER('Semi OpInc'!G45),ISNUMBER('Semi Rev'!G45),ISNUMBER('Semi OpInc'!C45),ISNUMBER('Semi Rev'!C45),'Semi Rev'!G45&gt;0,'Semi Rev'!C45&gt;0),('Semi OpInc'!G45/'Semi Rev'!G45-'Semi OpInc'!C45/'Semi Rev'!C45)*10000,""),"")</f>
        <v/>
      </c>
      <c r="D898" s="43">
        <f>IFERROR(IF(AND(ISNUMBER('Semi OpInc'!H45),ISNUMBER('Semi Rev'!H45),ISNUMBER('Semi OpInc'!D45),ISNUMBER('Semi Rev'!D45),'Semi Rev'!H45&gt;0,'Semi Rev'!D45&gt;0),('Semi OpInc'!H45/'Semi Rev'!H45-'Semi OpInc'!D45/'Semi Rev'!D45)*10000,""),"")</f>
        <v/>
      </c>
      <c r="E898" s="43">
        <f>IFERROR(IF(AND(ISNUMBER('Semi OpInc'!I45),ISNUMBER('Semi Rev'!I45),ISNUMBER('Semi OpInc'!E45),ISNUMBER('Semi Rev'!E45),'Semi Rev'!I45&gt;0,'Semi Rev'!E45&gt;0),('Semi OpInc'!I45/'Semi Rev'!I45-'Semi OpInc'!E45/'Semi Rev'!E45)*10000,""),"")</f>
        <v/>
      </c>
      <c r="F898" s="43">
        <f>IFERROR(IF(AND(ISNUMBER('Semi OpInc'!J45),ISNUMBER('Semi Rev'!J45),ISNUMBER('Semi OpInc'!F45),ISNUMBER('Semi Rev'!F45),'Semi Rev'!J45&gt;0,'Semi Rev'!F45&gt;0),('Semi OpInc'!J45/'Semi Rev'!J45-'Semi OpInc'!F45/'Semi Rev'!F45)*10000,""),"")</f>
        <v/>
      </c>
      <c r="G898" s="43">
        <f>IFERROR(IF(AND(ISNUMBER('Semi OpInc'!K45),ISNUMBER('Semi Rev'!K45),ISNUMBER('Semi OpInc'!G45),ISNUMBER('Semi Rev'!G45),'Semi Rev'!K45&gt;0,'Semi Rev'!G45&gt;0),('Semi OpInc'!K45/'Semi Rev'!K45-'Semi OpInc'!G45/'Semi Rev'!G45)*10000,""),"")</f>
        <v/>
      </c>
      <c r="H898" s="43">
        <f>IFERROR(IF(AND(ISNUMBER('Semi OpInc'!L45),ISNUMBER('Semi Rev'!L45),ISNUMBER('Semi OpInc'!H45),ISNUMBER('Semi Rev'!H45),'Semi Rev'!L45&gt;0,'Semi Rev'!H45&gt;0),('Semi OpInc'!L45/'Semi Rev'!L45-'Semi OpInc'!H45/'Semi Rev'!H45)*10000,""),"")</f>
        <v/>
      </c>
      <c r="I898" s="43">
        <f>IFERROR(IF(AND(ISNUMBER('Semi OpInc'!M45),ISNUMBER('Semi Rev'!M45),ISNUMBER('Semi OpInc'!I45),ISNUMBER('Semi Rev'!I45),'Semi Rev'!M45&gt;0,'Semi Rev'!I45&gt;0),('Semi OpInc'!M45/'Semi Rev'!M45-'Semi OpInc'!I45/'Semi Rev'!I45)*10000,""),"")</f>
        <v/>
      </c>
      <c r="J898" s="43">
        <f>IFERROR(IF(AND(ISNUMBER('Semi OpInc'!N45),ISNUMBER('Semi Rev'!N45),ISNUMBER('Semi OpInc'!J45),ISNUMBER('Semi Rev'!J45),'Semi Rev'!N45&gt;0,'Semi Rev'!J45&gt;0),('Semi OpInc'!N45/'Semi Rev'!N45-'Semi OpInc'!J45/'Semi Rev'!J45)*10000,""),"")</f>
        <v/>
      </c>
      <c r="K898" s="43">
        <f>IFERROR(IF(AND(ISNUMBER('Semi OpInc'!O45),ISNUMBER('Semi Rev'!O45),ISNUMBER('Semi OpInc'!K45),ISNUMBER('Semi Rev'!K45),'Semi Rev'!O45&gt;0,'Semi Rev'!K45&gt;0),('Semi OpInc'!O45/'Semi Rev'!O45-'Semi OpInc'!K45/'Semi Rev'!K45)*10000,""),"")</f>
        <v/>
      </c>
      <c r="L898" s="43">
        <f>IFERROR(IF(AND(ISNUMBER('Semi OpInc'!P45),ISNUMBER('Semi Rev'!P45),ISNUMBER('Semi OpInc'!L45),ISNUMBER('Semi Rev'!L45),'Semi Rev'!P45&gt;0,'Semi Rev'!L45&gt;0),('Semi OpInc'!P45/'Semi Rev'!P45-'Semi OpInc'!L45/'Semi Rev'!L45)*10000,""),"")</f>
        <v/>
      </c>
      <c r="M898" s="44">
        <f>IFERROR(IF(AND(ISNUMBER('Semi OpInc'!Q45),ISNUMBER('Semi Rev'!Q45),ISNUMBER('Semi OpInc'!M45),ISNUMBER('Semi Rev'!M45),'Semi Rev'!Q45&gt;0,'Semi Rev'!M45&gt;0),('Semi OpInc'!Q45/'Semi Rev'!Q45-'Semi OpInc'!M45/'Semi Rev'!M45)*10000,""),"")</f>
        <v/>
      </c>
      <c r="N898" s="44">
        <f>IFERROR(IF(AND(ISNUMBER('Semi OpInc'!R45),ISNUMBER('Semi Rev'!R45),ISNUMBER('Semi OpInc'!N45),ISNUMBER('Semi Rev'!N45),'Semi Rev'!R45&gt;0,'Semi Rev'!N45&gt;0),('Semi OpInc'!R45/'Semi Rev'!R45-'Semi OpInc'!N45/'Semi Rev'!N45)*10000,""),"")</f>
        <v/>
      </c>
    </row>
    <row r="899">
      <c r="A899" s="19">
        <f>'Semi Rev'!$A46</f>
        <v/>
      </c>
      <c r="B899" s="19">
        <f>'Semi Rev'!$B46</f>
        <v/>
      </c>
      <c r="C899" s="43">
        <f>IFERROR(IF(AND(ISNUMBER('Semi OpInc'!G46),ISNUMBER('Semi Rev'!G46),ISNUMBER('Semi OpInc'!C46),ISNUMBER('Semi Rev'!C46),'Semi Rev'!G46&gt;0,'Semi Rev'!C46&gt;0),('Semi OpInc'!G46/'Semi Rev'!G46-'Semi OpInc'!C46/'Semi Rev'!C46)*10000,""),"")</f>
        <v/>
      </c>
      <c r="D899" s="43">
        <f>IFERROR(IF(AND(ISNUMBER('Semi OpInc'!H46),ISNUMBER('Semi Rev'!H46),ISNUMBER('Semi OpInc'!D46),ISNUMBER('Semi Rev'!D46),'Semi Rev'!H46&gt;0,'Semi Rev'!D46&gt;0),('Semi OpInc'!H46/'Semi Rev'!H46-'Semi OpInc'!D46/'Semi Rev'!D46)*10000,""),"")</f>
        <v/>
      </c>
      <c r="E899" s="43">
        <f>IFERROR(IF(AND(ISNUMBER('Semi OpInc'!I46),ISNUMBER('Semi Rev'!I46),ISNUMBER('Semi OpInc'!E46),ISNUMBER('Semi Rev'!E46),'Semi Rev'!I46&gt;0,'Semi Rev'!E46&gt;0),('Semi OpInc'!I46/'Semi Rev'!I46-'Semi OpInc'!E46/'Semi Rev'!E46)*10000,""),"")</f>
        <v/>
      </c>
      <c r="F899" s="43">
        <f>IFERROR(IF(AND(ISNUMBER('Semi OpInc'!J46),ISNUMBER('Semi Rev'!J46),ISNUMBER('Semi OpInc'!F46),ISNUMBER('Semi Rev'!F46),'Semi Rev'!J46&gt;0,'Semi Rev'!F46&gt;0),('Semi OpInc'!J46/'Semi Rev'!J46-'Semi OpInc'!F46/'Semi Rev'!F46)*10000,""),"")</f>
        <v/>
      </c>
      <c r="G899" s="43">
        <f>IFERROR(IF(AND(ISNUMBER('Semi OpInc'!K46),ISNUMBER('Semi Rev'!K46),ISNUMBER('Semi OpInc'!G46),ISNUMBER('Semi Rev'!G46),'Semi Rev'!K46&gt;0,'Semi Rev'!G46&gt;0),('Semi OpInc'!K46/'Semi Rev'!K46-'Semi OpInc'!G46/'Semi Rev'!G46)*10000,""),"")</f>
        <v/>
      </c>
      <c r="H899" s="43">
        <f>IFERROR(IF(AND(ISNUMBER('Semi OpInc'!L46),ISNUMBER('Semi Rev'!L46),ISNUMBER('Semi OpInc'!H46),ISNUMBER('Semi Rev'!H46),'Semi Rev'!L46&gt;0,'Semi Rev'!H46&gt;0),('Semi OpInc'!L46/'Semi Rev'!L46-'Semi OpInc'!H46/'Semi Rev'!H46)*10000,""),"")</f>
        <v/>
      </c>
      <c r="I899" s="43">
        <f>IFERROR(IF(AND(ISNUMBER('Semi OpInc'!M46),ISNUMBER('Semi Rev'!M46),ISNUMBER('Semi OpInc'!I46),ISNUMBER('Semi Rev'!I46),'Semi Rev'!M46&gt;0,'Semi Rev'!I46&gt;0),('Semi OpInc'!M46/'Semi Rev'!M46-'Semi OpInc'!I46/'Semi Rev'!I46)*10000,""),"")</f>
        <v/>
      </c>
      <c r="J899" s="43">
        <f>IFERROR(IF(AND(ISNUMBER('Semi OpInc'!N46),ISNUMBER('Semi Rev'!N46),ISNUMBER('Semi OpInc'!J46),ISNUMBER('Semi Rev'!J46),'Semi Rev'!N46&gt;0,'Semi Rev'!J46&gt;0),('Semi OpInc'!N46/'Semi Rev'!N46-'Semi OpInc'!J46/'Semi Rev'!J46)*10000,""),"")</f>
        <v/>
      </c>
      <c r="K899" s="43">
        <f>IFERROR(IF(AND(ISNUMBER('Semi OpInc'!O46),ISNUMBER('Semi Rev'!O46),ISNUMBER('Semi OpInc'!K46),ISNUMBER('Semi Rev'!K46),'Semi Rev'!O46&gt;0,'Semi Rev'!K46&gt;0),('Semi OpInc'!O46/'Semi Rev'!O46-'Semi OpInc'!K46/'Semi Rev'!K46)*10000,""),"")</f>
        <v/>
      </c>
      <c r="L899" s="43">
        <f>IFERROR(IF(AND(ISNUMBER('Semi OpInc'!P46),ISNUMBER('Semi Rev'!P46),ISNUMBER('Semi OpInc'!L46),ISNUMBER('Semi Rev'!L46),'Semi Rev'!P46&gt;0,'Semi Rev'!L46&gt;0),('Semi OpInc'!P46/'Semi Rev'!P46-'Semi OpInc'!L46/'Semi Rev'!L46)*10000,""),"")</f>
        <v/>
      </c>
      <c r="M899" s="44">
        <f>IFERROR(IF(AND(ISNUMBER('Semi OpInc'!Q46),ISNUMBER('Semi Rev'!Q46),ISNUMBER('Semi OpInc'!M46),ISNUMBER('Semi Rev'!M46),'Semi Rev'!Q46&gt;0,'Semi Rev'!M46&gt;0),('Semi OpInc'!Q46/'Semi Rev'!Q46-'Semi OpInc'!M46/'Semi Rev'!M46)*10000,""),"")</f>
        <v/>
      </c>
      <c r="N899" s="44">
        <f>IFERROR(IF(AND(ISNUMBER('Semi OpInc'!R46),ISNUMBER('Semi Rev'!R46),ISNUMBER('Semi OpInc'!N46),ISNUMBER('Semi Rev'!N46),'Semi Rev'!R46&gt;0,'Semi Rev'!N46&gt;0),('Semi OpInc'!R46/'Semi Rev'!R46-'Semi OpInc'!N46/'Semi Rev'!N46)*10000,""),"")</f>
        <v/>
      </c>
    </row>
    <row r="900">
      <c r="A900" s="19">
        <f>'Semi Rev'!$A47</f>
        <v/>
      </c>
      <c r="B900" s="19">
        <f>'Semi Rev'!$B47</f>
        <v/>
      </c>
      <c r="C900" s="43">
        <f>IFERROR(IF(AND(ISNUMBER('Semi OpInc'!G47),ISNUMBER('Semi Rev'!G47),ISNUMBER('Semi OpInc'!C47),ISNUMBER('Semi Rev'!C47),'Semi Rev'!G47&gt;0,'Semi Rev'!C47&gt;0),('Semi OpInc'!G47/'Semi Rev'!G47-'Semi OpInc'!C47/'Semi Rev'!C47)*10000,""),"")</f>
        <v/>
      </c>
      <c r="D900" s="43">
        <f>IFERROR(IF(AND(ISNUMBER('Semi OpInc'!H47),ISNUMBER('Semi Rev'!H47),ISNUMBER('Semi OpInc'!D47),ISNUMBER('Semi Rev'!D47),'Semi Rev'!H47&gt;0,'Semi Rev'!D47&gt;0),('Semi OpInc'!H47/'Semi Rev'!H47-'Semi OpInc'!D47/'Semi Rev'!D47)*10000,""),"")</f>
        <v/>
      </c>
      <c r="E900" s="43">
        <f>IFERROR(IF(AND(ISNUMBER('Semi OpInc'!I47),ISNUMBER('Semi Rev'!I47),ISNUMBER('Semi OpInc'!E47),ISNUMBER('Semi Rev'!E47),'Semi Rev'!I47&gt;0,'Semi Rev'!E47&gt;0),('Semi OpInc'!I47/'Semi Rev'!I47-'Semi OpInc'!E47/'Semi Rev'!E47)*10000,""),"")</f>
        <v/>
      </c>
      <c r="F900" s="43">
        <f>IFERROR(IF(AND(ISNUMBER('Semi OpInc'!J47),ISNUMBER('Semi Rev'!J47),ISNUMBER('Semi OpInc'!F47),ISNUMBER('Semi Rev'!F47),'Semi Rev'!J47&gt;0,'Semi Rev'!F47&gt;0),('Semi OpInc'!J47/'Semi Rev'!J47-'Semi OpInc'!F47/'Semi Rev'!F47)*10000,""),"")</f>
        <v/>
      </c>
      <c r="G900" s="43">
        <f>IFERROR(IF(AND(ISNUMBER('Semi OpInc'!K47),ISNUMBER('Semi Rev'!K47),ISNUMBER('Semi OpInc'!G47),ISNUMBER('Semi Rev'!G47),'Semi Rev'!K47&gt;0,'Semi Rev'!G47&gt;0),('Semi OpInc'!K47/'Semi Rev'!K47-'Semi OpInc'!G47/'Semi Rev'!G47)*10000,""),"")</f>
        <v/>
      </c>
      <c r="H900" s="43">
        <f>IFERROR(IF(AND(ISNUMBER('Semi OpInc'!L47),ISNUMBER('Semi Rev'!L47),ISNUMBER('Semi OpInc'!H47),ISNUMBER('Semi Rev'!H47),'Semi Rev'!L47&gt;0,'Semi Rev'!H47&gt;0),('Semi OpInc'!L47/'Semi Rev'!L47-'Semi OpInc'!H47/'Semi Rev'!H47)*10000,""),"")</f>
        <v/>
      </c>
      <c r="I900" s="43">
        <f>IFERROR(IF(AND(ISNUMBER('Semi OpInc'!M47),ISNUMBER('Semi Rev'!M47),ISNUMBER('Semi OpInc'!I47),ISNUMBER('Semi Rev'!I47),'Semi Rev'!M47&gt;0,'Semi Rev'!I47&gt;0),('Semi OpInc'!M47/'Semi Rev'!M47-'Semi OpInc'!I47/'Semi Rev'!I47)*10000,""),"")</f>
        <v/>
      </c>
      <c r="J900" s="43">
        <f>IFERROR(IF(AND(ISNUMBER('Semi OpInc'!N47),ISNUMBER('Semi Rev'!N47),ISNUMBER('Semi OpInc'!J47),ISNUMBER('Semi Rev'!J47),'Semi Rev'!N47&gt;0,'Semi Rev'!J47&gt;0),('Semi OpInc'!N47/'Semi Rev'!N47-'Semi OpInc'!J47/'Semi Rev'!J47)*10000,""),"")</f>
        <v/>
      </c>
      <c r="K900" s="43">
        <f>IFERROR(IF(AND(ISNUMBER('Semi OpInc'!O47),ISNUMBER('Semi Rev'!O47),ISNUMBER('Semi OpInc'!K47),ISNUMBER('Semi Rev'!K47),'Semi Rev'!O47&gt;0,'Semi Rev'!K47&gt;0),('Semi OpInc'!O47/'Semi Rev'!O47-'Semi OpInc'!K47/'Semi Rev'!K47)*10000,""),"")</f>
        <v/>
      </c>
      <c r="L900" s="43">
        <f>IFERROR(IF(AND(ISNUMBER('Semi OpInc'!P47),ISNUMBER('Semi Rev'!P47),ISNUMBER('Semi OpInc'!L47),ISNUMBER('Semi Rev'!L47),'Semi Rev'!P47&gt;0,'Semi Rev'!L47&gt;0),('Semi OpInc'!P47/'Semi Rev'!P47-'Semi OpInc'!L47/'Semi Rev'!L47)*10000,""),"")</f>
        <v/>
      </c>
      <c r="M900" s="44">
        <f>IFERROR(IF(AND(ISNUMBER('Semi OpInc'!Q47),ISNUMBER('Semi Rev'!Q47),ISNUMBER('Semi OpInc'!M47),ISNUMBER('Semi Rev'!M47),'Semi Rev'!Q47&gt;0,'Semi Rev'!M47&gt;0),('Semi OpInc'!Q47/'Semi Rev'!Q47-'Semi OpInc'!M47/'Semi Rev'!M47)*10000,""),"")</f>
        <v/>
      </c>
      <c r="N900" s="44">
        <f>IFERROR(IF(AND(ISNUMBER('Semi OpInc'!R47),ISNUMBER('Semi Rev'!R47),ISNUMBER('Semi OpInc'!N47),ISNUMBER('Semi Rev'!N47),'Semi Rev'!R47&gt;0,'Semi Rev'!N47&gt;0),('Semi OpInc'!R47/'Semi Rev'!R47-'Semi OpInc'!N47/'Semi Rev'!N47)*10000,""),"")</f>
        <v/>
      </c>
    </row>
    <row r="901">
      <c r="A901" s="19">
        <f>'Semi Rev'!$A48</f>
        <v/>
      </c>
      <c r="B901" s="19">
        <f>'Semi Rev'!$B48</f>
        <v/>
      </c>
      <c r="C901" s="43">
        <f>IFERROR(IF(AND(ISNUMBER('Semi OpInc'!G48),ISNUMBER('Semi Rev'!G48),ISNUMBER('Semi OpInc'!C48),ISNUMBER('Semi Rev'!C48),'Semi Rev'!G48&gt;0,'Semi Rev'!C48&gt;0),('Semi OpInc'!G48/'Semi Rev'!G48-'Semi OpInc'!C48/'Semi Rev'!C48)*10000,""),"")</f>
        <v/>
      </c>
      <c r="D901" s="43">
        <f>IFERROR(IF(AND(ISNUMBER('Semi OpInc'!H48),ISNUMBER('Semi Rev'!H48),ISNUMBER('Semi OpInc'!D48),ISNUMBER('Semi Rev'!D48),'Semi Rev'!H48&gt;0,'Semi Rev'!D48&gt;0),('Semi OpInc'!H48/'Semi Rev'!H48-'Semi OpInc'!D48/'Semi Rev'!D48)*10000,""),"")</f>
        <v/>
      </c>
      <c r="E901" s="43">
        <f>IFERROR(IF(AND(ISNUMBER('Semi OpInc'!I48),ISNUMBER('Semi Rev'!I48),ISNUMBER('Semi OpInc'!E48),ISNUMBER('Semi Rev'!E48),'Semi Rev'!I48&gt;0,'Semi Rev'!E48&gt;0),('Semi OpInc'!I48/'Semi Rev'!I48-'Semi OpInc'!E48/'Semi Rev'!E48)*10000,""),"")</f>
        <v/>
      </c>
      <c r="F901" s="43">
        <f>IFERROR(IF(AND(ISNUMBER('Semi OpInc'!J48),ISNUMBER('Semi Rev'!J48),ISNUMBER('Semi OpInc'!F48),ISNUMBER('Semi Rev'!F48),'Semi Rev'!J48&gt;0,'Semi Rev'!F48&gt;0),('Semi OpInc'!J48/'Semi Rev'!J48-'Semi OpInc'!F48/'Semi Rev'!F48)*10000,""),"")</f>
        <v/>
      </c>
      <c r="G901" s="43">
        <f>IFERROR(IF(AND(ISNUMBER('Semi OpInc'!K48),ISNUMBER('Semi Rev'!K48),ISNUMBER('Semi OpInc'!G48),ISNUMBER('Semi Rev'!G48),'Semi Rev'!K48&gt;0,'Semi Rev'!G48&gt;0),('Semi OpInc'!K48/'Semi Rev'!K48-'Semi OpInc'!G48/'Semi Rev'!G48)*10000,""),"")</f>
        <v/>
      </c>
      <c r="H901" s="43">
        <f>IFERROR(IF(AND(ISNUMBER('Semi OpInc'!L48),ISNUMBER('Semi Rev'!L48),ISNUMBER('Semi OpInc'!H48),ISNUMBER('Semi Rev'!H48),'Semi Rev'!L48&gt;0,'Semi Rev'!H48&gt;0),('Semi OpInc'!L48/'Semi Rev'!L48-'Semi OpInc'!H48/'Semi Rev'!H48)*10000,""),"")</f>
        <v/>
      </c>
      <c r="I901" s="43">
        <f>IFERROR(IF(AND(ISNUMBER('Semi OpInc'!M48),ISNUMBER('Semi Rev'!M48),ISNUMBER('Semi OpInc'!I48),ISNUMBER('Semi Rev'!I48),'Semi Rev'!M48&gt;0,'Semi Rev'!I48&gt;0),('Semi OpInc'!M48/'Semi Rev'!M48-'Semi OpInc'!I48/'Semi Rev'!I48)*10000,""),"")</f>
        <v/>
      </c>
      <c r="J901" s="43">
        <f>IFERROR(IF(AND(ISNUMBER('Semi OpInc'!N48),ISNUMBER('Semi Rev'!N48),ISNUMBER('Semi OpInc'!J48),ISNUMBER('Semi Rev'!J48),'Semi Rev'!N48&gt;0,'Semi Rev'!J48&gt;0),('Semi OpInc'!N48/'Semi Rev'!N48-'Semi OpInc'!J48/'Semi Rev'!J48)*10000,""),"")</f>
        <v/>
      </c>
      <c r="K901" s="43">
        <f>IFERROR(IF(AND(ISNUMBER('Semi OpInc'!O48),ISNUMBER('Semi Rev'!O48),ISNUMBER('Semi OpInc'!K48),ISNUMBER('Semi Rev'!K48),'Semi Rev'!O48&gt;0,'Semi Rev'!K48&gt;0),('Semi OpInc'!O48/'Semi Rev'!O48-'Semi OpInc'!K48/'Semi Rev'!K48)*10000,""),"")</f>
        <v/>
      </c>
      <c r="L901" s="43">
        <f>IFERROR(IF(AND(ISNUMBER('Semi OpInc'!P48),ISNUMBER('Semi Rev'!P48),ISNUMBER('Semi OpInc'!L48),ISNUMBER('Semi Rev'!L48),'Semi Rev'!P48&gt;0,'Semi Rev'!L48&gt;0),('Semi OpInc'!P48/'Semi Rev'!P48-'Semi OpInc'!L48/'Semi Rev'!L48)*10000,""),"")</f>
        <v/>
      </c>
      <c r="M901" s="44">
        <f>IFERROR(IF(AND(ISNUMBER('Semi OpInc'!Q48),ISNUMBER('Semi Rev'!Q48),ISNUMBER('Semi OpInc'!M48),ISNUMBER('Semi Rev'!M48),'Semi Rev'!Q48&gt;0,'Semi Rev'!M48&gt;0),('Semi OpInc'!Q48/'Semi Rev'!Q48-'Semi OpInc'!M48/'Semi Rev'!M48)*10000,""),"")</f>
        <v/>
      </c>
      <c r="N901" s="44">
        <f>IFERROR(IF(AND(ISNUMBER('Semi OpInc'!R48),ISNUMBER('Semi Rev'!R48),ISNUMBER('Semi OpInc'!N48),ISNUMBER('Semi Rev'!N48),'Semi Rev'!R48&gt;0,'Semi Rev'!N48&gt;0),('Semi OpInc'!R48/'Semi Rev'!R48-'Semi OpInc'!N48/'Semi Rev'!N48)*10000,""),"")</f>
        <v/>
      </c>
    </row>
    <row r="902">
      <c r="A902" s="19">
        <f>'Semi Rev'!$A49</f>
        <v/>
      </c>
      <c r="B902" s="19">
        <f>'Semi Rev'!$B49</f>
        <v/>
      </c>
      <c r="C902" s="43">
        <f>IFERROR(IF(AND(ISNUMBER('Semi OpInc'!G49),ISNUMBER('Semi Rev'!G49),ISNUMBER('Semi OpInc'!C49),ISNUMBER('Semi Rev'!C49),'Semi Rev'!G49&gt;0,'Semi Rev'!C49&gt;0),('Semi OpInc'!G49/'Semi Rev'!G49-'Semi OpInc'!C49/'Semi Rev'!C49)*10000,""),"")</f>
        <v/>
      </c>
      <c r="D902" s="43">
        <f>IFERROR(IF(AND(ISNUMBER('Semi OpInc'!H49),ISNUMBER('Semi Rev'!H49),ISNUMBER('Semi OpInc'!D49),ISNUMBER('Semi Rev'!D49),'Semi Rev'!H49&gt;0,'Semi Rev'!D49&gt;0),('Semi OpInc'!H49/'Semi Rev'!H49-'Semi OpInc'!D49/'Semi Rev'!D49)*10000,""),"")</f>
        <v/>
      </c>
      <c r="E902" s="43">
        <f>IFERROR(IF(AND(ISNUMBER('Semi OpInc'!I49),ISNUMBER('Semi Rev'!I49),ISNUMBER('Semi OpInc'!E49),ISNUMBER('Semi Rev'!E49),'Semi Rev'!I49&gt;0,'Semi Rev'!E49&gt;0),('Semi OpInc'!I49/'Semi Rev'!I49-'Semi OpInc'!E49/'Semi Rev'!E49)*10000,""),"")</f>
        <v/>
      </c>
      <c r="F902" s="43">
        <f>IFERROR(IF(AND(ISNUMBER('Semi OpInc'!J49),ISNUMBER('Semi Rev'!J49),ISNUMBER('Semi OpInc'!F49),ISNUMBER('Semi Rev'!F49),'Semi Rev'!J49&gt;0,'Semi Rev'!F49&gt;0),('Semi OpInc'!J49/'Semi Rev'!J49-'Semi OpInc'!F49/'Semi Rev'!F49)*10000,""),"")</f>
        <v/>
      </c>
      <c r="G902" s="43">
        <f>IFERROR(IF(AND(ISNUMBER('Semi OpInc'!K49),ISNUMBER('Semi Rev'!K49),ISNUMBER('Semi OpInc'!G49),ISNUMBER('Semi Rev'!G49),'Semi Rev'!K49&gt;0,'Semi Rev'!G49&gt;0),('Semi OpInc'!K49/'Semi Rev'!K49-'Semi OpInc'!G49/'Semi Rev'!G49)*10000,""),"")</f>
        <v/>
      </c>
      <c r="H902" s="43">
        <f>IFERROR(IF(AND(ISNUMBER('Semi OpInc'!L49),ISNUMBER('Semi Rev'!L49),ISNUMBER('Semi OpInc'!H49),ISNUMBER('Semi Rev'!H49),'Semi Rev'!L49&gt;0,'Semi Rev'!H49&gt;0),('Semi OpInc'!L49/'Semi Rev'!L49-'Semi OpInc'!H49/'Semi Rev'!H49)*10000,""),"")</f>
        <v/>
      </c>
      <c r="I902" s="43">
        <f>IFERROR(IF(AND(ISNUMBER('Semi OpInc'!M49),ISNUMBER('Semi Rev'!M49),ISNUMBER('Semi OpInc'!I49),ISNUMBER('Semi Rev'!I49),'Semi Rev'!M49&gt;0,'Semi Rev'!I49&gt;0),('Semi OpInc'!M49/'Semi Rev'!M49-'Semi OpInc'!I49/'Semi Rev'!I49)*10000,""),"")</f>
        <v/>
      </c>
      <c r="J902" s="43">
        <f>IFERROR(IF(AND(ISNUMBER('Semi OpInc'!N49),ISNUMBER('Semi Rev'!N49),ISNUMBER('Semi OpInc'!J49),ISNUMBER('Semi Rev'!J49),'Semi Rev'!N49&gt;0,'Semi Rev'!J49&gt;0),('Semi OpInc'!N49/'Semi Rev'!N49-'Semi OpInc'!J49/'Semi Rev'!J49)*10000,""),"")</f>
        <v/>
      </c>
      <c r="K902" s="43">
        <f>IFERROR(IF(AND(ISNUMBER('Semi OpInc'!O49),ISNUMBER('Semi Rev'!O49),ISNUMBER('Semi OpInc'!K49),ISNUMBER('Semi Rev'!K49),'Semi Rev'!O49&gt;0,'Semi Rev'!K49&gt;0),('Semi OpInc'!O49/'Semi Rev'!O49-'Semi OpInc'!K49/'Semi Rev'!K49)*10000,""),"")</f>
        <v/>
      </c>
      <c r="L902" s="43">
        <f>IFERROR(IF(AND(ISNUMBER('Semi OpInc'!P49),ISNUMBER('Semi Rev'!P49),ISNUMBER('Semi OpInc'!L49),ISNUMBER('Semi Rev'!L49),'Semi Rev'!P49&gt;0,'Semi Rev'!L49&gt;0),('Semi OpInc'!P49/'Semi Rev'!P49-'Semi OpInc'!L49/'Semi Rev'!L49)*10000,""),"")</f>
        <v/>
      </c>
      <c r="M902" s="44">
        <f>IFERROR(IF(AND(ISNUMBER('Semi OpInc'!Q49),ISNUMBER('Semi Rev'!Q49),ISNUMBER('Semi OpInc'!M49),ISNUMBER('Semi Rev'!M49),'Semi Rev'!Q49&gt;0,'Semi Rev'!M49&gt;0),('Semi OpInc'!Q49/'Semi Rev'!Q49-'Semi OpInc'!M49/'Semi Rev'!M49)*10000,""),"")</f>
        <v/>
      </c>
      <c r="N902" s="44">
        <f>IFERROR(IF(AND(ISNUMBER('Semi OpInc'!R49),ISNUMBER('Semi Rev'!R49),ISNUMBER('Semi OpInc'!N49),ISNUMBER('Semi Rev'!N49),'Semi Rev'!R49&gt;0,'Semi Rev'!N49&gt;0),('Semi OpInc'!R49/'Semi Rev'!R49-'Semi OpInc'!N49/'Semi Rev'!N49)*10000,""),"")</f>
        <v/>
      </c>
    </row>
    <row r="903">
      <c r="A903" s="19">
        <f>'Semi Rev'!$A50</f>
        <v/>
      </c>
      <c r="B903" s="19">
        <f>'Semi Rev'!$B50</f>
        <v/>
      </c>
      <c r="C903" s="43">
        <f>IFERROR(IF(AND(ISNUMBER('Semi OpInc'!G50),ISNUMBER('Semi Rev'!G50),ISNUMBER('Semi OpInc'!C50),ISNUMBER('Semi Rev'!C50),'Semi Rev'!G50&gt;0,'Semi Rev'!C50&gt;0),('Semi OpInc'!G50/'Semi Rev'!G50-'Semi OpInc'!C50/'Semi Rev'!C50)*10000,""),"")</f>
        <v/>
      </c>
      <c r="D903" s="43">
        <f>IFERROR(IF(AND(ISNUMBER('Semi OpInc'!H50),ISNUMBER('Semi Rev'!H50),ISNUMBER('Semi OpInc'!D50),ISNUMBER('Semi Rev'!D50),'Semi Rev'!H50&gt;0,'Semi Rev'!D50&gt;0),('Semi OpInc'!H50/'Semi Rev'!H50-'Semi OpInc'!D50/'Semi Rev'!D50)*10000,""),"")</f>
        <v/>
      </c>
      <c r="E903" s="43">
        <f>IFERROR(IF(AND(ISNUMBER('Semi OpInc'!I50),ISNUMBER('Semi Rev'!I50),ISNUMBER('Semi OpInc'!E50),ISNUMBER('Semi Rev'!E50),'Semi Rev'!I50&gt;0,'Semi Rev'!E50&gt;0),('Semi OpInc'!I50/'Semi Rev'!I50-'Semi OpInc'!E50/'Semi Rev'!E50)*10000,""),"")</f>
        <v/>
      </c>
      <c r="F903" s="43">
        <f>IFERROR(IF(AND(ISNUMBER('Semi OpInc'!J50),ISNUMBER('Semi Rev'!J50),ISNUMBER('Semi OpInc'!F50),ISNUMBER('Semi Rev'!F50),'Semi Rev'!J50&gt;0,'Semi Rev'!F50&gt;0),('Semi OpInc'!J50/'Semi Rev'!J50-'Semi OpInc'!F50/'Semi Rev'!F50)*10000,""),"")</f>
        <v/>
      </c>
      <c r="G903" s="43">
        <f>IFERROR(IF(AND(ISNUMBER('Semi OpInc'!K50),ISNUMBER('Semi Rev'!K50),ISNUMBER('Semi OpInc'!G50),ISNUMBER('Semi Rev'!G50),'Semi Rev'!K50&gt;0,'Semi Rev'!G50&gt;0),('Semi OpInc'!K50/'Semi Rev'!K50-'Semi OpInc'!G50/'Semi Rev'!G50)*10000,""),"")</f>
        <v/>
      </c>
      <c r="H903" s="43">
        <f>IFERROR(IF(AND(ISNUMBER('Semi OpInc'!L50),ISNUMBER('Semi Rev'!L50),ISNUMBER('Semi OpInc'!H50),ISNUMBER('Semi Rev'!H50),'Semi Rev'!L50&gt;0,'Semi Rev'!H50&gt;0),('Semi OpInc'!L50/'Semi Rev'!L50-'Semi OpInc'!H50/'Semi Rev'!H50)*10000,""),"")</f>
        <v/>
      </c>
      <c r="I903" s="43">
        <f>IFERROR(IF(AND(ISNUMBER('Semi OpInc'!M50),ISNUMBER('Semi Rev'!M50),ISNUMBER('Semi OpInc'!I50),ISNUMBER('Semi Rev'!I50),'Semi Rev'!M50&gt;0,'Semi Rev'!I50&gt;0),('Semi OpInc'!M50/'Semi Rev'!M50-'Semi OpInc'!I50/'Semi Rev'!I50)*10000,""),"")</f>
        <v/>
      </c>
      <c r="J903" s="43">
        <f>IFERROR(IF(AND(ISNUMBER('Semi OpInc'!N50),ISNUMBER('Semi Rev'!N50),ISNUMBER('Semi OpInc'!J50),ISNUMBER('Semi Rev'!J50),'Semi Rev'!N50&gt;0,'Semi Rev'!J50&gt;0),('Semi OpInc'!N50/'Semi Rev'!N50-'Semi OpInc'!J50/'Semi Rev'!J50)*10000,""),"")</f>
        <v/>
      </c>
      <c r="K903" s="43">
        <f>IFERROR(IF(AND(ISNUMBER('Semi OpInc'!O50),ISNUMBER('Semi Rev'!O50),ISNUMBER('Semi OpInc'!K50),ISNUMBER('Semi Rev'!K50),'Semi Rev'!O50&gt;0,'Semi Rev'!K50&gt;0),('Semi OpInc'!O50/'Semi Rev'!O50-'Semi OpInc'!K50/'Semi Rev'!K50)*10000,""),"")</f>
        <v/>
      </c>
      <c r="L903" s="43">
        <f>IFERROR(IF(AND(ISNUMBER('Semi OpInc'!P50),ISNUMBER('Semi Rev'!P50),ISNUMBER('Semi OpInc'!L50),ISNUMBER('Semi Rev'!L50),'Semi Rev'!P50&gt;0,'Semi Rev'!L50&gt;0),('Semi OpInc'!P50/'Semi Rev'!P50-'Semi OpInc'!L50/'Semi Rev'!L50)*10000,""),"")</f>
        <v/>
      </c>
      <c r="M903" s="44">
        <f>IFERROR(IF(AND(ISNUMBER('Semi OpInc'!Q50),ISNUMBER('Semi Rev'!Q50),ISNUMBER('Semi OpInc'!M50),ISNUMBER('Semi Rev'!M50),'Semi Rev'!Q50&gt;0,'Semi Rev'!M50&gt;0),('Semi OpInc'!Q50/'Semi Rev'!Q50-'Semi OpInc'!M50/'Semi Rev'!M50)*10000,""),"")</f>
        <v/>
      </c>
      <c r="N903" s="44">
        <f>IFERROR(IF(AND(ISNUMBER('Semi OpInc'!R50),ISNUMBER('Semi Rev'!R50),ISNUMBER('Semi OpInc'!N50),ISNUMBER('Semi Rev'!N50),'Semi Rev'!R50&gt;0,'Semi Rev'!N50&gt;0),('Semi OpInc'!R50/'Semi Rev'!R50-'Semi OpInc'!N50/'Semi Rev'!N50)*10000,""),"")</f>
        <v/>
      </c>
    </row>
    <row r="904">
      <c r="A904" s="19">
        <f>'Semi Rev'!$A51</f>
        <v/>
      </c>
      <c r="B904" s="19">
        <f>'Semi Rev'!$B51</f>
        <v/>
      </c>
      <c r="C904" s="43">
        <f>IFERROR(IF(AND(ISNUMBER('Semi OpInc'!G51),ISNUMBER('Semi Rev'!G51),ISNUMBER('Semi OpInc'!C51),ISNUMBER('Semi Rev'!C51),'Semi Rev'!G51&gt;0,'Semi Rev'!C51&gt;0),('Semi OpInc'!G51/'Semi Rev'!G51-'Semi OpInc'!C51/'Semi Rev'!C51)*10000,""),"")</f>
        <v/>
      </c>
      <c r="D904" s="43">
        <f>IFERROR(IF(AND(ISNUMBER('Semi OpInc'!H51),ISNUMBER('Semi Rev'!H51),ISNUMBER('Semi OpInc'!D51),ISNUMBER('Semi Rev'!D51),'Semi Rev'!H51&gt;0,'Semi Rev'!D51&gt;0),('Semi OpInc'!H51/'Semi Rev'!H51-'Semi OpInc'!D51/'Semi Rev'!D51)*10000,""),"")</f>
        <v/>
      </c>
      <c r="E904" s="43">
        <f>IFERROR(IF(AND(ISNUMBER('Semi OpInc'!I51),ISNUMBER('Semi Rev'!I51),ISNUMBER('Semi OpInc'!E51),ISNUMBER('Semi Rev'!E51),'Semi Rev'!I51&gt;0,'Semi Rev'!E51&gt;0),('Semi OpInc'!I51/'Semi Rev'!I51-'Semi OpInc'!E51/'Semi Rev'!E51)*10000,""),"")</f>
        <v/>
      </c>
      <c r="F904" s="43">
        <f>IFERROR(IF(AND(ISNUMBER('Semi OpInc'!J51),ISNUMBER('Semi Rev'!J51),ISNUMBER('Semi OpInc'!F51),ISNUMBER('Semi Rev'!F51),'Semi Rev'!J51&gt;0,'Semi Rev'!F51&gt;0),('Semi OpInc'!J51/'Semi Rev'!J51-'Semi OpInc'!F51/'Semi Rev'!F51)*10000,""),"")</f>
        <v/>
      </c>
      <c r="G904" s="43">
        <f>IFERROR(IF(AND(ISNUMBER('Semi OpInc'!K51),ISNUMBER('Semi Rev'!K51),ISNUMBER('Semi OpInc'!G51),ISNUMBER('Semi Rev'!G51),'Semi Rev'!K51&gt;0,'Semi Rev'!G51&gt;0),('Semi OpInc'!K51/'Semi Rev'!K51-'Semi OpInc'!G51/'Semi Rev'!G51)*10000,""),"")</f>
        <v/>
      </c>
      <c r="H904" s="43">
        <f>IFERROR(IF(AND(ISNUMBER('Semi OpInc'!L51),ISNUMBER('Semi Rev'!L51),ISNUMBER('Semi OpInc'!H51),ISNUMBER('Semi Rev'!H51),'Semi Rev'!L51&gt;0,'Semi Rev'!H51&gt;0),('Semi OpInc'!L51/'Semi Rev'!L51-'Semi OpInc'!H51/'Semi Rev'!H51)*10000,""),"")</f>
        <v/>
      </c>
      <c r="I904" s="43">
        <f>IFERROR(IF(AND(ISNUMBER('Semi OpInc'!M51),ISNUMBER('Semi Rev'!M51),ISNUMBER('Semi OpInc'!I51),ISNUMBER('Semi Rev'!I51),'Semi Rev'!M51&gt;0,'Semi Rev'!I51&gt;0),('Semi OpInc'!M51/'Semi Rev'!M51-'Semi OpInc'!I51/'Semi Rev'!I51)*10000,""),"")</f>
        <v/>
      </c>
      <c r="J904" s="43">
        <f>IFERROR(IF(AND(ISNUMBER('Semi OpInc'!N51),ISNUMBER('Semi Rev'!N51),ISNUMBER('Semi OpInc'!J51),ISNUMBER('Semi Rev'!J51),'Semi Rev'!N51&gt;0,'Semi Rev'!J51&gt;0),('Semi OpInc'!N51/'Semi Rev'!N51-'Semi OpInc'!J51/'Semi Rev'!J51)*10000,""),"")</f>
        <v/>
      </c>
      <c r="K904" s="43">
        <f>IFERROR(IF(AND(ISNUMBER('Semi OpInc'!O51),ISNUMBER('Semi Rev'!O51),ISNUMBER('Semi OpInc'!K51),ISNUMBER('Semi Rev'!K51),'Semi Rev'!O51&gt;0,'Semi Rev'!K51&gt;0),('Semi OpInc'!O51/'Semi Rev'!O51-'Semi OpInc'!K51/'Semi Rev'!K51)*10000,""),"")</f>
        <v/>
      </c>
      <c r="L904" s="43">
        <f>IFERROR(IF(AND(ISNUMBER('Semi OpInc'!P51),ISNUMBER('Semi Rev'!P51),ISNUMBER('Semi OpInc'!L51),ISNUMBER('Semi Rev'!L51),'Semi Rev'!P51&gt;0,'Semi Rev'!L51&gt;0),('Semi OpInc'!P51/'Semi Rev'!P51-'Semi OpInc'!L51/'Semi Rev'!L51)*10000,""),"")</f>
        <v/>
      </c>
      <c r="M904" s="44">
        <f>IFERROR(IF(AND(ISNUMBER('Semi OpInc'!Q51),ISNUMBER('Semi Rev'!Q51),ISNUMBER('Semi OpInc'!M51),ISNUMBER('Semi Rev'!M51),'Semi Rev'!Q51&gt;0,'Semi Rev'!M51&gt;0),('Semi OpInc'!Q51/'Semi Rev'!Q51-'Semi OpInc'!M51/'Semi Rev'!M51)*10000,""),"")</f>
        <v/>
      </c>
      <c r="N904" s="44">
        <f>IFERROR(IF(AND(ISNUMBER('Semi OpInc'!R51),ISNUMBER('Semi Rev'!R51),ISNUMBER('Semi OpInc'!N51),ISNUMBER('Semi Rev'!N51),'Semi Rev'!R51&gt;0,'Semi Rev'!N51&gt;0),('Semi OpInc'!R51/'Semi Rev'!R51-'Semi OpInc'!N51/'Semi Rev'!N51)*10000,""),"")</f>
        <v/>
      </c>
    </row>
    <row r="905">
      <c r="A905" s="19">
        <f>'Semi Rev'!$A52</f>
        <v/>
      </c>
      <c r="B905" s="19">
        <f>'Semi Rev'!$B52</f>
        <v/>
      </c>
      <c r="C905" s="43">
        <f>IFERROR(IF(AND(ISNUMBER('Semi OpInc'!G52),ISNUMBER('Semi Rev'!G52),ISNUMBER('Semi OpInc'!C52),ISNUMBER('Semi Rev'!C52),'Semi Rev'!G52&gt;0,'Semi Rev'!C52&gt;0),('Semi OpInc'!G52/'Semi Rev'!G52-'Semi OpInc'!C52/'Semi Rev'!C52)*10000,""),"")</f>
        <v/>
      </c>
      <c r="D905" s="43">
        <f>IFERROR(IF(AND(ISNUMBER('Semi OpInc'!H52),ISNUMBER('Semi Rev'!H52),ISNUMBER('Semi OpInc'!D52),ISNUMBER('Semi Rev'!D52),'Semi Rev'!H52&gt;0,'Semi Rev'!D52&gt;0),('Semi OpInc'!H52/'Semi Rev'!H52-'Semi OpInc'!D52/'Semi Rev'!D52)*10000,""),"")</f>
        <v/>
      </c>
      <c r="E905" s="43">
        <f>IFERROR(IF(AND(ISNUMBER('Semi OpInc'!I52),ISNUMBER('Semi Rev'!I52),ISNUMBER('Semi OpInc'!E52),ISNUMBER('Semi Rev'!E52),'Semi Rev'!I52&gt;0,'Semi Rev'!E52&gt;0),('Semi OpInc'!I52/'Semi Rev'!I52-'Semi OpInc'!E52/'Semi Rev'!E52)*10000,""),"")</f>
        <v/>
      </c>
      <c r="F905" s="43">
        <f>IFERROR(IF(AND(ISNUMBER('Semi OpInc'!J52),ISNUMBER('Semi Rev'!J52),ISNUMBER('Semi OpInc'!F52),ISNUMBER('Semi Rev'!F52),'Semi Rev'!J52&gt;0,'Semi Rev'!F52&gt;0),('Semi OpInc'!J52/'Semi Rev'!J52-'Semi OpInc'!F52/'Semi Rev'!F52)*10000,""),"")</f>
        <v/>
      </c>
      <c r="G905" s="43">
        <f>IFERROR(IF(AND(ISNUMBER('Semi OpInc'!K52),ISNUMBER('Semi Rev'!K52),ISNUMBER('Semi OpInc'!G52),ISNUMBER('Semi Rev'!G52),'Semi Rev'!K52&gt;0,'Semi Rev'!G52&gt;0),('Semi OpInc'!K52/'Semi Rev'!K52-'Semi OpInc'!G52/'Semi Rev'!G52)*10000,""),"")</f>
        <v/>
      </c>
      <c r="H905" s="43">
        <f>IFERROR(IF(AND(ISNUMBER('Semi OpInc'!L52),ISNUMBER('Semi Rev'!L52),ISNUMBER('Semi OpInc'!H52),ISNUMBER('Semi Rev'!H52),'Semi Rev'!L52&gt;0,'Semi Rev'!H52&gt;0),('Semi OpInc'!L52/'Semi Rev'!L52-'Semi OpInc'!H52/'Semi Rev'!H52)*10000,""),"")</f>
        <v/>
      </c>
      <c r="I905" s="43">
        <f>IFERROR(IF(AND(ISNUMBER('Semi OpInc'!M52),ISNUMBER('Semi Rev'!M52),ISNUMBER('Semi OpInc'!I52),ISNUMBER('Semi Rev'!I52),'Semi Rev'!M52&gt;0,'Semi Rev'!I52&gt;0),('Semi OpInc'!M52/'Semi Rev'!M52-'Semi OpInc'!I52/'Semi Rev'!I52)*10000,""),"")</f>
        <v/>
      </c>
      <c r="J905" s="43">
        <f>IFERROR(IF(AND(ISNUMBER('Semi OpInc'!N52),ISNUMBER('Semi Rev'!N52),ISNUMBER('Semi OpInc'!J52),ISNUMBER('Semi Rev'!J52),'Semi Rev'!N52&gt;0,'Semi Rev'!J52&gt;0),('Semi OpInc'!N52/'Semi Rev'!N52-'Semi OpInc'!J52/'Semi Rev'!J52)*10000,""),"")</f>
        <v/>
      </c>
      <c r="K905" s="43">
        <f>IFERROR(IF(AND(ISNUMBER('Semi OpInc'!O52),ISNUMBER('Semi Rev'!O52),ISNUMBER('Semi OpInc'!K52),ISNUMBER('Semi Rev'!K52),'Semi Rev'!O52&gt;0,'Semi Rev'!K52&gt;0),('Semi OpInc'!O52/'Semi Rev'!O52-'Semi OpInc'!K52/'Semi Rev'!K52)*10000,""),"")</f>
        <v/>
      </c>
      <c r="L905" s="43">
        <f>IFERROR(IF(AND(ISNUMBER('Semi OpInc'!P52),ISNUMBER('Semi Rev'!P52),ISNUMBER('Semi OpInc'!L52),ISNUMBER('Semi Rev'!L52),'Semi Rev'!P52&gt;0,'Semi Rev'!L52&gt;0),('Semi OpInc'!P52/'Semi Rev'!P52-'Semi OpInc'!L52/'Semi Rev'!L52)*10000,""),"")</f>
        <v/>
      </c>
      <c r="M905" s="44">
        <f>IFERROR(IF(AND(ISNUMBER('Semi OpInc'!Q52),ISNUMBER('Semi Rev'!Q52),ISNUMBER('Semi OpInc'!M52),ISNUMBER('Semi Rev'!M52),'Semi Rev'!Q52&gt;0,'Semi Rev'!M52&gt;0),('Semi OpInc'!Q52/'Semi Rev'!Q52-'Semi OpInc'!M52/'Semi Rev'!M52)*10000,""),"")</f>
        <v/>
      </c>
      <c r="N905" s="44">
        <f>IFERROR(IF(AND(ISNUMBER('Semi OpInc'!R52),ISNUMBER('Semi Rev'!R52),ISNUMBER('Semi OpInc'!N52),ISNUMBER('Semi Rev'!N52),'Semi Rev'!R52&gt;0,'Semi Rev'!N52&gt;0),('Semi OpInc'!R52/'Semi Rev'!R52-'Semi OpInc'!N52/'Semi Rev'!N52)*10000,""),"")</f>
        <v/>
      </c>
    </row>
    <row r="906">
      <c r="A906" s="19">
        <f>'Semi Rev'!$A53</f>
        <v/>
      </c>
      <c r="B906" s="19">
        <f>'Semi Rev'!$B53</f>
        <v/>
      </c>
      <c r="C906" s="43">
        <f>IFERROR(IF(AND(ISNUMBER('Semi OpInc'!G53),ISNUMBER('Semi Rev'!G53),ISNUMBER('Semi OpInc'!C53),ISNUMBER('Semi Rev'!C53),'Semi Rev'!G53&gt;0,'Semi Rev'!C53&gt;0),('Semi OpInc'!G53/'Semi Rev'!G53-'Semi OpInc'!C53/'Semi Rev'!C53)*10000,""),"")</f>
        <v/>
      </c>
      <c r="D906" s="43">
        <f>IFERROR(IF(AND(ISNUMBER('Semi OpInc'!H53),ISNUMBER('Semi Rev'!H53),ISNUMBER('Semi OpInc'!D53),ISNUMBER('Semi Rev'!D53),'Semi Rev'!H53&gt;0,'Semi Rev'!D53&gt;0),('Semi OpInc'!H53/'Semi Rev'!H53-'Semi OpInc'!D53/'Semi Rev'!D53)*10000,""),"")</f>
        <v/>
      </c>
      <c r="E906" s="43">
        <f>IFERROR(IF(AND(ISNUMBER('Semi OpInc'!I53),ISNUMBER('Semi Rev'!I53),ISNUMBER('Semi OpInc'!E53),ISNUMBER('Semi Rev'!E53),'Semi Rev'!I53&gt;0,'Semi Rev'!E53&gt;0),('Semi OpInc'!I53/'Semi Rev'!I53-'Semi OpInc'!E53/'Semi Rev'!E53)*10000,""),"")</f>
        <v/>
      </c>
      <c r="F906" s="43">
        <f>IFERROR(IF(AND(ISNUMBER('Semi OpInc'!J53),ISNUMBER('Semi Rev'!J53),ISNUMBER('Semi OpInc'!F53),ISNUMBER('Semi Rev'!F53),'Semi Rev'!J53&gt;0,'Semi Rev'!F53&gt;0),('Semi OpInc'!J53/'Semi Rev'!J53-'Semi OpInc'!F53/'Semi Rev'!F53)*10000,""),"")</f>
        <v/>
      </c>
      <c r="G906" s="43">
        <f>IFERROR(IF(AND(ISNUMBER('Semi OpInc'!K53),ISNUMBER('Semi Rev'!K53),ISNUMBER('Semi OpInc'!G53),ISNUMBER('Semi Rev'!G53),'Semi Rev'!K53&gt;0,'Semi Rev'!G53&gt;0),('Semi OpInc'!K53/'Semi Rev'!K53-'Semi OpInc'!G53/'Semi Rev'!G53)*10000,""),"")</f>
        <v/>
      </c>
      <c r="H906" s="43">
        <f>IFERROR(IF(AND(ISNUMBER('Semi OpInc'!L53),ISNUMBER('Semi Rev'!L53),ISNUMBER('Semi OpInc'!H53),ISNUMBER('Semi Rev'!H53),'Semi Rev'!L53&gt;0,'Semi Rev'!H53&gt;0),('Semi OpInc'!L53/'Semi Rev'!L53-'Semi OpInc'!H53/'Semi Rev'!H53)*10000,""),"")</f>
        <v/>
      </c>
      <c r="I906" s="43">
        <f>IFERROR(IF(AND(ISNUMBER('Semi OpInc'!M53),ISNUMBER('Semi Rev'!M53),ISNUMBER('Semi OpInc'!I53),ISNUMBER('Semi Rev'!I53),'Semi Rev'!M53&gt;0,'Semi Rev'!I53&gt;0),('Semi OpInc'!M53/'Semi Rev'!M53-'Semi OpInc'!I53/'Semi Rev'!I53)*10000,""),"")</f>
        <v/>
      </c>
      <c r="J906" s="43">
        <f>IFERROR(IF(AND(ISNUMBER('Semi OpInc'!N53),ISNUMBER('Semi Rev'!N53),ISNUMBER('Semi OpInc'!J53),ISNUMBER('Semi Rev'!J53),'Semi Rev'!N53&gt;0,'Semi Rev'!J53&gt;0),('Semi OpInc'!N53/'Semi Rev'!N53-'Semi OpInc'!J53/'Semi Rev'!J53)*10000,""),"")</f>
        <v/>
      </c>
      <c r="K906" s="43">
        <f>IFERROR(IF(AND(ISNUMBER('Semi OpInc'!O53),ISNUMBER('Semi Rev'!O53),ISNUMBER('Semi OpInc'!K53),ISNUMBER('Semi Rev'!K53),'Semi Rev'!O53&gt;0,'Semi Rev'!K53&gt;0),('Semi OpInc'!O53/'Semi Rev'!O53-'Semi OpInc'!K53/'Semi Rev'!K53)*10000,""),"")</f>
        <v/>
      </c>
      <c r="L906" s="43">
        <f>IFERROR(IF(AND(ISNUMBER('Semi OpInc'!P53),ISNUMBER('Semi Rev'!P53),ISNUMBER('Semi OpInc'!L53),ISNUMBER('Semi Rev'!L53),'Semi Rev'!P53&gt;0,'Semi Rev'!L53&gt;0),('Semi OpInc'!P53/'Semi Rev'!P53-'Semi OpInc'!L53/'Semi Rev'!L53)*10000,""),"")</f>
        <v/>
      </c>
      <c r="M906" s="44">
        <f>IFERROR(IF(AND(ISNUMBER('Semi OpInc'!Q53),ISNUMBER('Semi Rev'!Q53),ISNUMBER('Semi OpInc'!M53),ISNUMBER('Semi Rev'!M53),'Semi Rev'!Q53&gt;0,'Semi Rev'!M53&gt;0),('Semi OpInc'!Q53/'Semi Rev'!Q53-'Semi OpInc'!M53/'Semi Rev'!M53)*10000,""),"")</f>
        <v/>
      </c>
      <c r="N906" s="44">
        <f>IFERROR(IF(AND(ISNUMBER('Semi OpInc'!R53),ISNUMBER('Semi Rev'!R53),ISNUMBER('Semi OpInc'!N53),ISNUMBER('Semi Rev'!N53),'Semi Rev'!R53&gt;0,'Semi Rev'!N53&gt;0),('Semi OpInc'!R53/'Semi Rev'!R53-'Semi OpInc'!N53/'Semi Rev'!N53)*10000,""),"")</f>
        <v/>
      </c>
    </row>
    <row r="907">
      <c r="A907" s="19">
        <f>'Semi Rev'!$A54</f>
        <v/>
      </c>
      <c r="B907" s="19">
        <f>'Semi Rev'!$B54</f>
        <v/>
      </c>
      <c r="C907" s="43">
        <f>IFERROR(IF(AND(ISNUMBER('Semi OpInc'!G54),ISNUMBER('Semi Rev'!G54),ISNUMBER('Semi OpInc'!C54),ISNUMBER('Semi Rev'!C54),'Semi Rev'!G54&gt;0,'Semi Rev'!C54&gt;0),('Semi OpInc'!G54/'Semi Rev'!G54-'Semi OpInc'!C54/'Semi Rev'!C54)*10000,""),"")</f>
        <v/>
      </c>
      <c r="D907" s="43">
        <f>IFERROR(IF(AND(ISNUMBER('Semi OpInc'!H54),ISNUMBER('Semi Rev'!H54),ISNUMBER('Semi OpInc'!D54),ISNUMBER('Semi Rev'!D54),'Semi Rev'!H54&gt;0,'Semi Rev'!D54&gt;0),('Semi OpInc'!H54/'Semi Rev'!H54-'Semi OpInc'!D54/'Semi Rev'!D54)*10000,""),"")</f>
        <v/>
      </c>
      <c r="E907" s="43">
        <f>IFERROR(IF(AND(ISNUMBER('Semi OpInc'!I54),ISNUMBER('Semi Rev'!I54),ISNUMBER('Semi OpInc'!E54),ISNUMBER('Semi Rev'!E54),'Semi Rev'!I54&gt;0,'Semi Rev'!E54&gt;0),('Semi OpInc'!I54/'Semi Rev'!I54-'Semi OpInc'!E54/'Semi Rev'!E54)*10000,""),"")</f>
        <v/>
      </c>
      <c r="F907" s="43">
        <f>IFERROR(IF(AND(ISNUMBER('Semi OpInc'!J54),ISNUMBER('Semi Rev'!J54),ISNUMBER('Semi OpInc'!F54),ISNUMBER('Semi Rev'!F54),'Semi Rev'!J54&gt;0,'Semi Rev'!F54&gt;0),('Semi OpInc'!J54/'Semi Rev'!J54-'Semi OpInc'!F54/'Semi Rev'!F54)*10000,""),"")</f>
        <v/>
      </c>
      <c r="G907" s="43">
        <f>IFERROR(IF(AND(ISNUMBER('Semi OpInc'!K54),ISNUMBER('Semi Rev'!K54),ISNUMBER('Semi OpInc'!G54),ISNUMBER('Semi Rev'!G54),'Semi Rev'!K54&gt;0,'Semi Rev'!G54&gt;0),('Semi OpInc'!K54/'Semi Rev'!K54-'Semi OpInc'!G54/'Semi Rev'!G54)*10000,""),"")</f>
        <v/>
      </c>
      <c r="H907" s="43">
        <f>IFERROR(IF(AND(ISNUMBER('Semi OpInc'!L54),ISNUMBER('Semi Rev'!L54),ISNUMBER('Semi OpInc'!H54),ISNUMBER('Semi Rev'!H54),'Semi Rev'!L54&gt;0,'Semi Rev'!H54&gt;0),('Semi OpInc'!L54/'Semi Rev'!L54-'Semi OpInc'!H54/'Semi Rev'!H54)*10000,""),"")</f>
        <v/>
      </c>
      <c r="I907" s="43">
        <f>IFERROR(IF(AND(ISNUMBER('Semi OpInc'!M54),ISNUMBER('Semi Rev'!M54),ISNUMBER('Semi OpInc'!I54),ISNUMBER('Semi Rev'!I54),'Semi Rev'!M54&gt;0,'Semi Rev'!I54&gt;0),('Semi OpInc'!M54/'Semi Rev'!M54-'Semi OpInc'!I54/'Semi Rev'!I54)*10000,""),"")</f>
        <v/>
      </c>
      <c r="J907" s="43">
        <f>IFERROR(IF(AND(ISNUMBER('Semi OpInc'!N54),ISNUMBER('Semi Rev'!N54),ISNUMBER('Semi OpInc'!J54),ISNUMBER('Semi Rev'!J54),'Semi Rev'!N54&gt;0,'Semi Rev'!J54&gt;0),('Semi OpInc'!N54/'Semi Rev'!N54-'Semi OpInc'!J54/'Semi Rev'!J54)*10000,""),"")</f>
        <v/>
      </c>
      <c r="K907" s="43">
        <f>IFERROR(IF(AND(ISNUMBER('Semi OpInc'!O54),ISNUMBER('Semi Rev'!O54),ISNUMBER('Semi OpInc'!K54),ISNUMBER('Semi Rev'!K54),'Semi Rev'!O54&gt;0,'Semi Rev'!K54&gt;0),('Semi OpInc'!O54/'Semi Rev'!O54-'Semi OpInc'!K54/'Semi Rev'!K54)*10000,""),"")</f>
        <v/>
      </c>
      <c r="L907" s="43">
        <f>IFERROR(IF(AND(ISNUMBER('Semi OpInc'!P54),ISNUMBER('Semi Rev'!P54),ISNUMBER('Semi OpInc'!L54),ISNUMBER('Semi Rev'!L54),'Semi Rev'!P54&gt;0,'Semi Rev'!L54&gt;0),('Semi OpInc'!P54/'Semi Rev'!P54-'Semi OpInc'!L54/'Semi Rev'!L54)*10000,""),"")</f>
        <v/>
      </c>
      <c r="M907" s="44">
        <f>IFERROR(IF(AND(ISNUMBER('Semi OpInc'!Q54),ISNUMBER('Semi Rev'!Q54),ISNUMBER('Semi OpInc'!M54),ISNUMBER('Semi Rev'!M54),'Semi Rev'!Q54&gt;0,'Semi Rev'!M54&gt;0),('Semi OpInc'!Q54/'Semi Rev'!Q54-'Semi OpInc'!M54/'Semi Rev'!M54)*10000,""),"")</f>
        <v/>
      </c>
      <c r="N907" s="44">
        <f>IFERROR(IF(AND(ISNUMBER('Semi OpInc'!R54),ISNUMBER('Semi Rev'!R54),ISNUMBER('Semi OpInc'!N54),ISNUMBER('Semi Rev'!N54),'Semi Rev'!R54&gt;0,'Semi Rev'!N54&gt;0),('Semi OpInc'!R54/'Semi Rev'!R54-'Semi OpInc'!N54/'Semi Rev'!N54)*10000,""),"")</f>
        <v/>
      </c>
    </row>
    <row r="908">
      <c r="A908" s="19">
        <f>'Semi Rev'!$A55</f>
        <v/>
      </c>
      <c r="B908" s="19">
        <f>'Semi Rev'!$B55</f>
        <v/>
      </c>
      <c r="C908" s="43">
        <f>IFERROR(IF(AND(ISNUMBER('Semi OpInc'!G55),ISNUMBER('Semi Rev'!G55),ISNUMBER('Semi OpInc'!C55),ISNUMBER('Semi Rev'!C55),'Semi Rev'!G55&gt;0,'Semi Rev'!C55&gt;0),('Semi OpInc'!G55/'Semi Rev'!G55-'Semi OpInc'!C55/'Semi Rev'!C55)*10000,""),"")</f>
        <v/>
      </c>
      <c r="D908" s="43">
        <f>IFERROR(IF(AND(ISNUMBER('Semi OpInc'!H55),ISNUMBER('Semi Rev'!H55),ISNUMBER('Semi OpInc'!D55),ISNUMBER('Semi Rev'!D55),'Semi Rev'!H55&gt;0,'Semi Rev'!D55&gt;0),('Semi OpInc'!H55/'Semi Rev'!H55-'Semi OpInc'!D55/'Semi Rev'!D55)*10000,""),"")</f>
        <v/>
      </c>
      <c r="E908" s="43">
        <f>IFERROR(IF(AND(ISNUMBER('Semi OpInc'!I55),ISNUMBER('Semi Rev'!I55),ISNUMBER('Semi OpInc'!E55),ISNUMBER('Semi Rev'!E55),'Semi Rev'!I55&gt;0,'Semi Rev'!E55&gt;0),('Semi OpInc'!I55/'Semi Rev'!I55-'Semi OpInc'!E55/'Semi Rev'!E55)*10000,""),"")</f>
        <v/>
      </c>
      <c r="F908" s="43">
        <f>IFERROR(IF(AND(ISNUMBER('Semi OpInc'!J55),ISNUMBER('Semi Rev'!J55),ISNUMBER('Semi OpInc'!F55),ISNUMBER('Semi Rev'!F55),'Semi Rev'!J55&gt;0,'Semi Rev'!F55&gt;0),('Semi OpInc'!J55/'Semi Rev'!J55-'Semi OpInc'!F55/'Semi Rev'!F55)*10000,""),"")</f>
        <v/>
      </c>
      <c r="G908" s="43">
        <f>IFERROR(IF(AND(ISNUMBER('Semi OpInc'!K55),ISNUMBER('Semi Rev'!K55),ISNUMBER('Semi OpInc'!G55),ISNUMBER('Semi Rev'!G55),'Semi Rev'!K55&gt;0,'Semi Rev'!G55&gt;0),('Semi OpInc'!K55/'Semi Rev'!K55-'Semi OpInc'!G55/'Semi Rev'!G55)*10000,""),"")</f>
        <v/>
      </c>
      <c r="H908" s="43">
        <f>IFERROR(IF(AND(ISNUMBER('Semi OpInc'!L55),ISNUMBER('Semi Rev'!L55),ISNUMBER('Semi OpInc'!H55),ISNUMBER('Semi Rev'!H55),'Semi Rev'!L55&gt;0,'Semi Rev'!H55&gt;0),('Semi OpInc'!L55/'Semi Rev'!L55-'Semi OpInc'!H55/'Semi Rev'!H55)*10000,""),"")</f>
        <v/>
      </c>
      <c r="I908" s="43">
        <f>IFERROR(IF(AND(ISNUMBER('Semi OpInc'!M55),ISNUMBER('Semi Rev'!M55),ISNUMBER('Semi OpInc'!I55),ISNUMBER('Semi Rev'!I55),'Semi Rev'!M55&gt;0,'Semi Rev'!I55&gt;0),('Semi OpInc'!M55/'Semi Rev'!M55-'Semi OpInc'!I55/'Semi Rev'!I55)*10000,""),"")</f>
        <v/>
      </c>
      <c r="J908" s="43">
        <f>IFERROR(IF(AND(ISNUMBER('Semi OpInc'!N55),ISNUMBER('Semi Rev'!N55),ISNUMBER('Semi OpInc'!J55),ISNUMBER('Semi Rev'!J55),'Semi Rev'!N55&gt;0,'Semi Rev'!J55&gt;0),('Semi OpInc'!N55/'Semi Rev'!N55-'Semi OpInc'!J55/'Semi Rev'!J55)*10000,""),"")</f>
        <v/>
      </c>
      <c r="K908" s="43">
        <f>IFERROR(IF(AND(ISNUMBER('Semi OpInc'!O55),ISNUMBER('Semi Rev'!O55),ISNUMBER('Semi OpInc'!K55),ISNUMBER('Semi Rev'!K55),'Semi Rev'!O55&gt;0,'Semi Rev'!K55&gt;0),('Semi OpInc'!O55/'Semi Rev'!O55-'Semi OpInc'!K55/'Semi Rev'!K55)*10000,""),"")</f>
        <v/>
      </c>
      <c r="L908" s="43">
        <f>IFERROR(IF(AND(ISNUMBER('Semi OpInc'!P55),ISNUMBER('Semi Rev'!P55),ISNUMBER('Semi OpInc'!L55),ISNUMBER('Semi Rev'!L55),'Semi Rev'!P55&gt;0,'Semi Rev'!L55&gt;0),('Semi OpInc'!P55/'Semi Rev'!P55-'Semi OpInc'!L55/'Semi Rev'!L55)*10000,""),"")</f>
        <v/>
      </c>
      <c r="M908" s="44">
        <f>IFERROR(IF(AND(ISNUMBER('Semi OpInc'!Q55),ISNUMBER('Semi Rev'!Q55),ISNUMBER('Semi OpInc'!M55),ISNUMBER('Semi Rev'!M55),'Semi Rev'!Q55&gt;0,'Semi Rev'!M55&gt;0),('Semi OpInc'!Q55/'Semi Rev'!Q55-'Semi OpInc'!M55/'Semi Rev'!M55)*10000,""),"")</f>
        <v/>
      </c>
      <c r="N908" s="44">
        <f>IFERROR(IF(AND(ISNUMBER('Semi OpInc'!R55),ISNUMBER('Semi Rev'!R55),ISNUMBER('Semi OpInc'!N55),ISNUMBER('Semi Rev'!N55),'Semi Rev'!R55&gt;0,'Semi Rev'!N55&gt;0),('Semi OpInc'!R55/'Semi Rev'!R55-'Semi OpInc'!N55/'Semi Rev'!N55)*10000,""),"")</f>
        <v/>
      </c>
    </row>
    <row r="909">
      <c r="A909" s="19">
        <f>'Semi Rev'!$A56</f>
        <v/>
      </c>
      <c r="B909" s="19">
        <f>'Semi Rev'!$B56</f>
        <v/>
      </c>
      <c r="C909" s="43">
        <f>IFERROR(IF(AND(ISNUMBER('Semi OpInc'!G56),ISNUMBER('Semi Rev'!G56),ISNUMBER('Semi OpInc'!C56),ISNUMBER('Semi Rev'!C56),'Semi Rev'!G56&gt;0,'Semi Rev'!C56&gt;0),('Semi OpInc'!G56/'Semi Rev'!G56-'Semi OpInc'!C56/'Semi Rev'!C56)*10000,""),"")</f>
        <v/>
      </c>
      <c r="D909" s="43">
        <f>IFERROR(IF(AND(ISNUMBER('Semi OpInc'!H56),ISNUMBER('Semi Rev'!H56),ISNUMBER('Semi OpInc'!D56),ISNUMBER('Semi Rev'!D56),'Semi Rev'!H56&gt;0,'Semi Rev'!D56&gt;0),('Semi OpInc'!H56/'Semi Rev'!H56-'Semi OpInc'!D56/'Semi Rev'!D56)*10000,""),"")</f>
        <v/>
      </c>
      <c r="E909" s="43">
        <f>IFERROR(IF(AND(ISNUMBER('Semi OpInc'!I56),ISNUMBER('Semi Rev'!I56),ISNUMBER('Semi OpInc'!E56),ISNUMBER('Semi Rev'!E56),'Semi Rev'!I56&gt;0,'Semi Rev'!E56&gt;0),('Semi OpInc'!I56/'Semi Rev'!I56-'Semi OpInc'!E56/'Semi Rev'!E56)*10000,""),"")</f>
        <v/>
      </c>
      <c r="F909" s="43">
        <f>IFERROR(IF(AND(ISNUMBER('Semi OpInc'!J56),ISNUMBER('Semi Rev'!J56),ISNUMBER('Semi OpInc'!F56),ISNUMBER('Semi Rev'!F56),'Semi Rev'!J56&gt;0,'Semi Rev'!F56&gt;0),('Semi OpInc'!J56/'Semi Rev'!J56-'Semi OpInc'!F56/'Semi Rev'!F56)*10000,""),"")</f>
        <v/>
      </c>
      <c r="G909" s="43">
        <f>IFERROR(IF(AND(ISNUMBER('Semi OpInc'!K56),ISNUMBER('Semi Rev'!K56),ISNUMBER('Semi OpInc'!G56),ISNUMBER('Semi Rev'!G56),'Semi Rev'!K56&gt;0,'Semi Rev'!G56&gt;0),('Semi OpInc'!K56/'Semi Rev'!K56-'Semi OpInc'!G56/'Semi Rev'!G56)*10000,""),"")</f>
        <v/>
      </c>
      <c r="H909" s="43">
        <f>IFERROR(IF(AND(ISNUMBER('Semi OpInc'!L56),ISNUMBER('Semi Rev'!L56),ISNUMBER('Semi OpInc'!H56),ISNUMBER('Semi Rev'!H56),'Semi Rev'!L56&gt;0,'Semi Rev'!H56&gt;0),('Semi OpInc'!L56/'Semi Rev'!L56-'Semi OpInc'!H56/'Semi Rev'!H56)*10000,""),"")</f>
        <v/>
      </c>
      <c r="I909" s="43">
        <f>IFERROR(IF(AND(ISNUMBER('Semi OpInc'!M56),ISNUMBER('Semi Rev'!M56),ISNUMBER('Semi OpInc'!I56),ISNUMBER('Semi Rev'!I56),'Semi Rev'!M56&gt;0,'Semi Rev'!I56&gt;0),('Semi OpInc'!M56/'Semi Rev'!M56-'Semi OpInc'!I56/'Semi Rev'!I56)*10000,""),"")</f>
        <v/>
      </c>
      <c r="J909" s="43">
        <f>IFERROR(IF(AND(ISNUMBER('Semi OpInc'!N56),ISNUMBER('Semi Rev'!N56),ISNUMBER('Semi OpInc'!J56),ISNUMBER('Semi Rev'!J56),'Semi Rev'!N56&gt;0,'Semi Rev'!J56&gt;0),('Semi OpInc'!N56/'Semi Rev'!N56-'Semi OpInc'!J56/'Semi Rev'!J56)*10000,""),"")</f>
        <v/>
      </c>
      <c r="K909" s="43">
        <f>IFERROR(IF(AND(ISNUMBER('Semi OpInc'!O56),ISNUMBER('Semi Rev'!O56),ISNUMBER('Semi OpInc'!K56),ISNUMBER('Semi Rev'!K56),'Semi Rev'!O56&gt;0,'Semi Rev'!K56&gt;0),('Semi OpInc'!O56/'Semi Rev'!O56-'Semi OpInc'!K56/'Semi Rev'!K56)*10000,""),"")</f>
        <v/>
      </c>
      <c r="L909" s="43">
        <f>IFERROR(IF(AND(ISNUMBER('Semi OpInc'!P56),ISNUMBER('Semi Rev'!P56),ISNUMBER('Semi OpInc'!L56),ISNUMBER('Semi Rev'!L56),'Semi Rev'!P56&gt;0,'Semi Rev'!L56&gt;0),('Semi OpInc'!P56/'Semi Rev'!P56-'Semi OpInc'!L56/'Semi Rev'!L56)*10000,""),"")</f>
        <v/>
      </c>
      <c r="M909" s="44">
        <f>IFERROR(IF(AND(ISNUMBER('Semi OpInc'!Q56),ISNUMBER('Semi Rev'!Q56),ISNUMBER('Semi OpInc'!M56),ISNUMBER('Semi Rev'!M56),'Semi Rev'!Q56&gt;0,'Semi Rev'!M56&gt;0),('Semi OpInc'!Q56/'Semi Rev'!Q56-'Semi OpInc'!M56/'Semi Rev'!M56)*10000,""),"")</f>
        <v/>
      </c>
      <c r="N909" s="44">
        <f>IFERROR(IF(AND(ISNUMBER('Semi OpInc'!R56),ISNUMBER('Semi Rev'!R56),ISNUMBER('Semi OpInc'!N56),ISNUMBER('Semi Rev'!N56),'Semi Rev'!R56&gt;0,'Semi Rev'!N56&gt;0),('Semi OpInc'!R56/'Semi Rev'!R56-'Semi OpInc'!N56/'Semi Rev'!N56)*10000,""),"")</f>
        <v/>
      </c>
    </row>
    <row r="910">
      <c r="A910" s="19">
        <f>'Semi Rev'!$A57</f>
        <v/>
      </c>
      <c r="B910" s="19">
        <f>'Semi Rev'!$B57</f>
        <v/>
      </c>
      <c r="C910" s="43">
        <f>IFERROR(IF(AND(ISNUMBER('Semi OpInc'!G57),ISNUMBER('Semi Rev'!G57),ISNUMBER('Semi OpInc'!C57),ISNUMBER('Semi Rev'!C57),'Semi Rev'!G57&gt;0,'Semi Rev'!C57&gt;0),('Semi OpInc'!G57/'Semi Rev'!G57-'Semi OpInc'!C57/'Semi Rev'!C57)*10000,""),"")</f>
        <v/>
      </c>
      <c r="D910" s="43">
        <f>IFERROR(IF(AND(ISNUMBER('Semi OpInc'!H57),ISNUMBER('Semi Rev'!H57),ISNUMBER('Semi OpInc'!D57),ISNUMBER('Semi Rev'!D57),'Semi Rev'!H57&gt;0,'Semi Rev'!D57&gt;0),('Semi OpInc'!H57/'Semi Rev'!H57-'Semi OpInc'!D57/'Semi Rev'!D57)*10000,""),"")</f>
        <v/>
      </c>
      <c r="E910" s="43">
        <f>IFERROR(IF(AND(ISNUMBER('Semi OpInc'!I57),ISNUMBER('Semi Rev'!I57),ISNUMBER('Semi OpInc'!E57),ISNUMBER('Semi Rev'!E57),'Semi Rev'!I57&gt;0,'Semi Rev'!E57&gt;0),('Semi OpInc'!I57/'Semi Rev'!I57-'Semi OpInc'!E57/'Semi Rev'!E57)*10000,""),"")</f>
        <v/>
      </c>
      <c r="F910" s="43">
        <f>IFERROR(IF(AND(ISNUMBER('Semi OpInc'!J57),ISNUMBER('Semi Rev'!J57),ISNUMBER('Semi OpInc'!F57),ISNUMBER('Semi Rev'!F57),'Semi Rev'!J57&gt;0,'Semi Rev'!F57&gt;0),('Semi OpInc'!J57/'Semi Rev'!J57-'Semi OpInc'!F57/'Semi Rev'!F57)*10000,""),"")</f>
        <v/>
      </c>
      <c r="G910" s="43">
        <f>IFERROR(IF(AND(ISNUMBER('Semi OpInc'!K57),ISNUMBER('Semi Rev'!K57),ISNUMBER('Semi OpInc'!G57),ISNUMBER('Semi Rev'!G57),'Semi Rev'!K57&gt;0,'Semi Rev'!G57&gt;0),('Semi OpInc'!K57/'Semi Rev'!K57-'Semi OpInc'!G57/'Semi Rev'!G57)*10000,""),"")</f>
        <v/>
      </c>
      <c r="H910" s="43">
        <f>IFERROR(IF(AND(ISNUMBER('Semi OpInc'!L57),ISNUMBER('Semi Rev'!L57),ISNUMBER('Semi OpInc'!H57),ISNUMBER('Semi Rev'!H57),'Semi Rev'!L57&gt;0,'Semi Rev'!H57&gt;0),('Semi OpInc'!L57/'Semi Rev'!L57-'Semi OpInc'!H57/'Semi Rev'!H57)*10000,""),"")</f>
        <v/>
      </c>
      <c r="I910" s="43">
        <f>IFERROR(IF(AND(ISNUMBER('Semi OpInc'!M57),ISNUMBER('Semi Rev'!M57),ISNUMBER('Semi OpInc'!I57),ISNUMBER('Semi Rev'!I57),'Semi Rev'!M57&gt;0,'Semi Rev'!I57&gt;0),('Semi OpInc'!M57/'Semi Rev'!M57-'Semi OpInc'!I57/'Semi Rev'!I57)*10000,""),"")</f>
        <v/>
      </c>
      <c r="J910" s="43">
        <f>IFERROR(IF(AND(ISNUMBER('Semi OpInc'!N57),ISNUMBER('Semi Rev'!N57),ISNUMBER('Semi OpInc'!J57),ISNUMBER('Semi Rev'!J57),'Semi Rev'!N57&gt;0,'Semi Rev'!J57&gt;0),('Semi OpInc'!N57/'Semi Rev'!N57-'Semi OpInc'!J57/'Semi Rev'!J57)*10000,""),"")</f>
        <v/>
      </c>
      <c r="K910" s="43">
        <f>IFERROR(IF(AND(ISNUMBER('Semi OpInc'!O57),ISNUMBER('Semi Rev'!O57),ISNUMBER('Semi OpInc'!K57),ISNUMBER('Semi Rev'!K57),'Semi Rev'!O57&gt;0,'Semi Rev'!K57&gt;0),('Semi OpInc'!O57/'Semi Rev'!O57-'Semi OpInc'!K57/'Semi Rev'!K57)*10000,""),"")</f>
        <v/>
      </c>
      <c r="L910" s="43">
        <f>IFERROR(IF(AND(ISNUMBER('Semi OpInc'!P57),ISNUMBER('Semi Rev'!P57),ISNUMBER('Semi OpInc'!L57),ISNUMBER('Semi Rev'!L57),'Semi Rev'!P57&gt;0,'Semi Rev'!L57&gt;0),('Semi OpInc'!P57/'Semi Rev'!P57-'Semi OpInc'!L57/'Semi Rev'!L57)*10000,""),"")</f>
        <v/>
      </c>
      <c r="M910" s="44">
        <f>IFERROR(IF(AND(ISNUMBER('Semi OpInc'!Q57),ISNUMBER('Semi Rev'!Q57),ISNUMBER('Semi OpInc'!M57),ISNUMBER('Semi Rev'!M57),'Semi Rev'!Q57&gt;0,'Semi Rev'!M57&gt;0),('Semi OpInc'!Q57/'Semi Rev'!Q57-'Semi OpInc'!M57/'Semi Rev'!M57)*10000,""),"")</f>
        <v/>
      </c>
      <c r="N910" s="44">
        <f>IFERROR(IF(AND(ISNUMBER('Semi OpInc'!R57),ISNUMBER('Semi Rev'!R57),ISNUMBER('Semi OpInc'!N57),ISNUMBER('Semi Rev'!N57),'Semi Rev'!R57&gt;0,'Semi Rev'!N57&gt;0),('Semi OpInc'!R57/'Semi Rev'!R57-'Semi OpInc'!N57/'Semi Rev'!N57)*10000,""),"")</f>
        <v/>
      </c>
    </row>
    <row r="911">
      <c r="A911" s="19">
        <f>'Semi Rev'!$A58</f>
        <v/>
      </c>
      <c r="B911" s="19">
        <f>'Semi Rev'!$B58</f>
        <v/>
      </c>
      <c r="C911" s="43">
        <f>IFERROR(IF(AND(ISNUMBER('Semi OpInc'!G58),ISNUMBER('Semi Rev'!G58),ISNUMBER('Semi OpInc'!C58),ISNUMBER('Semi Rev'!C58),'Semi Rev'!G58&gt;0,'Semi Rev'!C58&gt;0),('Semi OpInc'!G58/'Semi Rev'!G58-'Semi OpInc'!C58/'Semi Rev'!C58)*10000,""),"")</f>
        <v/>
      </c>
      <c r="D911" s="43">
        <f>IFERROR(IF(AND(ISNUMBER('Semi OpInc'!H58),ISNUMBER('Semi Rev'!H58),ISNUMBER('Semi OpInc'!D58),ISNUMBER('Semi Rev'!D58),'Semi Rev'!H58&gt;0,'Semi Rev'!D58&gt;0),('Semi OpInc'!H58/'Semi Rev'!H58-'Semi OpInc'!D58/'Semi Rev'!D58)*10000,""),"")</f>
        <v/>
      </c>
      <c r="E911" s="43">
        <f>IFERROR(IF(AND(ISNUMBER('Semi OpInc'!I58),ISNUMBER('Semi Rev'!I58),ISNUMBER('Semi OpInc'!E58),ISNUMBER('Semi Rev'!E58),'Semi Rev'!I58&gt;0,'Semi Rev'!E58&gt;0),('Semi OpInc'!I58/'Semi Rev'!I58-'Semi OpInc'!E58/'Semi Rev'!E58)*10000,""),"")</f>
        <v/>
      </c>
      <c r="F911" s="43">
        <f>IFERROR(IF(AND(ISNUMBER('Semi OpInc'!J58),ISNUMBER('Semi Rev'!J58),ISNUMBER('Semi OpInc'!F58),ISNUMBER('Semi Rev'!F58),'Semi Rev'!J58&gt;0,'Semi Rev'!F58&gt;0),('Semi OpInc'!J58/'Semi Rev'!J58-'Semi OpInc'!F58/'Semi Rev'!F58)*10000,""),"")</f>
        <v/>
      </c>
      <c r="G911" s="43">
        <f>IFERROR(IF(AND(ISNUMBER('Semi OpInc'!K58),ISNUMBER('Semi Rev'!K58),ISNUMBER('Semi OpInc'!G58),ISNUMBER('Semi Rev'!G58),'Semi Rev'!K58&gt;0,'Semi Rev'!G58&gt;0),('Semi OpInc'!K58/'Semi Rev'!K58-'Semi OpInc'!G58/'Semi Rev'!G58)*10000,""),"")</f>
        <v/>
      </c>
      <c r="H911" s="43">
        <f>IFERROR(IF(AND(ISNUMBER('Semi OpInc'!L58),ISNUMBER('Semi Rev'!L58),ISNUMBER('Semi OpInc'!H58),ISNUMBER('Semi Rev'!H58),'Semi Rev'!L58&gt;0,'Semi Rev'!H58&gt;0),('Semi OpInc'!L58/'Semi Rev'!L58-'Semi OpInc'!H58/'Semi Rev'!H58)*10000,""),"")</f>
        <v/>
      </c>
      <c r="I911" s="43">
        <f>IFERROR(IF(AND(ISNUMBER('Semi OpInc'!M58),ISNUMBER('Semi Rev'!M58),ISNUMBER('Semi OpInc'!I58),ISNUMBER('Semi Rev'!I58),'Semi Rev'!M58&gt;0,'Semi Rev'!I58&gt;0),('Semi OpInc'!M58/'Semi Rev'!M58-'Semi OpInc'!I58/'Semi Rev'!I58)*10000,""),"")</f>
        <v/>
      </c>
      <c r="J911" s="43">
        <f>IFERROR(IF(AND(ISNUMBER('Semi OpInc'!N58),ISNUMBER('Semi Rev'!N58),ISNUMBER('Semi OpInc'!J58),ISNUMBER('Semi Rev'!J58),'Semi Rev'!N58&gt;0,'Semi Rev'!J58&gt;0),('Semi OpInc'!N58/'Semi Rev'!N58-'Semi OpInc'!J58/'Semi Rev'!J58)*10000,""),"")</f>
        <v/>
      </c>
      <c r="K911" s="43">
        <f>IFERROR(IF(AND(ISNUMBER('Semi OpInc'!O58),ISNUMBER('Semi Rev'!O58),ISNUMBER('Semi OpInc'!K58),ISNUMBER('Semi Rev'!K58),'Semi Rev'!O58&gt;0,'Semi Rev'!K58&gt;0),('Semi OpInc'!O58/'Semi Rev'!O58-'Semi OpInc'!K58/'Semi Rev'!K58)*10000,""),"")</f>
        <v/>
      </c>
      <c r="L911" s="43">
        <f>IFERROR(IF(AND(ISNUMBER('Semi OpInc'!P58),ISNUMBER('Semi Rev'!P58),ISNUMBER('Semi OpInc'!L58),ISNUMBER('Semi Rev'!L58),'Semi Rev'!P58&gt;0,'Semi Rev'!L58&gt;0),('Semi OpInc'!P58/'Semi Rev'!P58-'Semi OpInc'!L58/'Semi Rev'!L58)*10000,""),"")</f>
        <v/>
      </c>
      <c r="M911" s="44">
        <f>IFERROR(IF(AND(ISNUMBER('Semi OpInc'!Q58),ISNUMBER('Semi Rev'!Q58),ISNUMBER('Semi OpInc'!M58),ISNUMBER('Semi Rev'!M58),'Semi Rev'!Q58&gt;0,'Semi Rev'!M58&gt;0),('Semi OpInc'!Q58/'Semi Rev'!Q58-'Semi OpInc'!M58/'Semi Rev'!M58)*10000,""),"")</f>
        <v/>
      </c>
      <c r="N911" s="44">
        <f>IFERROR(IF(AND(ISNUMBER('Semi OpInc'!R58),ISNUMBER('Semi Rev'!R58),ISNUMBER('Semi OpInc'!N58),ISNUMBER('Semi Rev'!N58),'Semi Rev'!R58&gt;0,'Semi Rev'!N58&gt;0),('Semi OpInc'!R58/'Semi Rev'!R58-'Semi OpInc'!N58/'Semi Rev'!N58)*10000,""),"")</f>
        <v/>
      </c>
    </row>
    <row r="912">
      <c r="A912" s="19">
        <f>'Semi Rev'!$A59</f>
        <v/>
      </c>
      <c r="B912" s="19">
        <f>'Semi Rev'!$B59</f>
        <v/>
      </c>
      <c r="C912" s="43">
        <f>IFERROR(IF(AND(ISNUMBER('Semi OpInc'!G59),ISNUMBER('Semi Rev'!G59),ISNUMBER('Semi OpInc'!C59),ISNUMBER('Semi Rev'!C59),'Semi Rev'!G59&gt;0,'Semi Rev'!C59&gt;0),('Semi OpInc'!G59/'Semi Rev'!G59-'Semi OpInc'!C59/'Semi Rev'!C59)*10000,""),"")</f>
        <v/>
      </c>
      <c r="D912" s="43">
        <f>IFERROR(IF(AND(ISNUMBER('Semi OpInc'!H59),ISNUMBER('Semi Rev'!H59),ISNUMBER('Semi OpInc'!D59),ISNUMBER('Semi Rev'!D59),'Semi Rev'!H59&gt;0,'Semi Rev'!D59&gt;0),('Semi OpInc'!H59/'Semi Rev'!H59-'Semi OpInc'!D59/'Semi Rev'!D59)*10000,""),"")</f>
        <v/>
      </c>
      <c r="E912" s="43">
        <f>IFERROR(IF(AND(ISNUMBER('Semi OpInc'!I59),ISNUMBER('Semi Rev'!I59),ISNUMBER('Semi OpInc'!E59),ISNUMBER('Semi Rev'!E59),'Semi Rev'!I59&gt;0,'Semi Rev'!E59&gt;0),('Semi OpInc'!I59/'Semi Rev'!I59-'Semi OpInc'!E59/'Semi Rev'!E59)*10000,""),"")</f>
        <v/>
      </c>
      <c r="F912" s="43">
        <f>IFERROR(IF(AND(ISNUMBER('Semi OpInc'!J59),ISNUMBER('Semi Rev'!J59),ISNUMBER('Semi OpInc'!F59),ISNUMBER('Semi Rev'!F59),'Semi Rev'!J59&gt;0,'Semi Rev'!F59&gt;0),('Semi OpInc'!J59/'Semi Rev'!J59-'Semi OpInc'!F59/'Semi Rev'!F59)*10000,""),"")</f>
        <v/>
      </c>
      <c r="G912" s="43">
        <f>IFERROR(IF(AND(ISNUMBER('Semi OpInc'!K59),ISNUMBER('Semi Rev'!K59),ISNUMBER('Semi OpInc'!G59),ISNUMBER('Semi Rev'!G59),'Semi Rev'!K59&gt;0,'Semi Rev'!G59&gt;0),('Semi OpInc'!K59/'Semi Rev'!K59-'Semi OpInc'!G59/'Semi Rev'!G59)*10000,""),"")</f>
        <v/>
      </c>
      <c r="H912" s="43">
        <f>IFERROR(IF(AND(ISNUMBER('Semi OpInc'!L59),ISNUMBER('Semi Rev'!L59),ISNUMBER('Semi OpInc'!H59),ISNUMBER('Semi Rev'!H59),'Semi Rev'!L59&gt;0,'Semi Rev'!H59&gt;0),('Semi OpInc'!L59/'Semi Rev'!L59-'Semi OpInc'!H59/'Semi Rev'!H59)*10000,""),"")</f>
        <v/>
      </c>
      <c r="I912" s="43">
        <f>IFERROR(IF(AND(ISNUMBER('Semi OpInc'!M59),ISNUMBER('Semi Rev'!M59),ISNUMBER('Semi OpInc'!I59),ISNUMBER('Semi Rev'!I59),'Semi Rev'!M59&gt;0,'Semi Rev'!I59&gt;0),('Semi OpInc'!M59/'Semi Rev'!M59-'Semi OpInc'!I59/'Semi Rev'!I59)*10000,""),"")</f>
        <v/>
      </c>
      <c r="J912" s="43">
        <f>IFERROR(IF(AND(ISNUMBER('Semi OpInc'!N59),ISNUMBER('Semi Rev'!N59),ISNUMBER('Semi OpInc'!J59),ISNUMBER('Semi Rev'!J59),'Semi Rev'!N59&gt;0,'Semi Rev'!J59&gt;0),('Semi OpInc'!N59/'Semi Rev'!N59-'Semi OpInc'!J59/'Semi Rev'!J59)*10000,""),"")</f>
        <v/>
      </c>
      <c r="K912" s="43">
        <f>IFERROR(IF(AND(ISNUMBER('Semi OpInc'!O59),ISNUMBER('Semi Rev'!O59),ISNUMBER('Semi OpInc'!K59),ISNUMBER('Semi Rev'!K59),'Semi Rev'!O59&gt;0,'Semi Rev'!K59&gt;0),('Semi OpInc'!O59/'Semi Rev'!O59-'Semi OpInc'!K59/'Semi Rev'!K59)*10000,""),"")</f>
        <v/>
      </c>
      <c r="L912" s="43">
        <f>IFERROR(IF(AND(ISNUMBER('Semi OpInc'!P59),ISNUMBER('Semi Rev'!P59),ISNUMBER('Semi OpInc'!L59),ISNUMBER('Semi Rev'!L59),'Semi Rev'!P59&gt;0,'Semi Rev'!L59&gt;0),('Semi OpInc'!P59/'Semi Rev'!P59-'Semi OpInc'!L59/'Semi Rev'!L59)*10000,""),"")</f>
        <v/>
      </c>
      <c r="M912" s="44">
        <f>IFERROR(IF(AND(ISNUMBER('Semi OpInc'!Q59),ISNUMBER('Semi Rev'!Q59),ISNUMBER('Semi OpInc'!M59),ISNUMBER('Semi Rev'!M59),'Semi Rev'!Q59&gt;0,'Semi Rev'!M59&gt;0),('Semi OpInc'!Q59/'Semi Rev'!Q59-'Semi OpInc'!M59/'Semi Rev'!M59)*10000,""),"")</f>
        <v/>
      </c>
      <c r="N912" s="44">
        <f>IFERROR(IF(AND(ISNUMBER('Semi OpInc'!R59),ISNUMBER('Semi Rev'!R59),ISNUMBER('Semi OpInc'!N59),ISNUMBER('Semi Rev'!N59),'Semi Rev'!R59&gt;0,'Semi Rev'!N59&gt;0),('Semi OpInc'!R59/'Semi Rev'!R59-'Semi OpInc'!N59/'Semi Rev'!N59)*10000,""),"")</f>
        <v/>
      </c>
    </row>
    <row r="913">
      <c r="A913" s="19">
        <f>'Semi Rev'!$A60</f>
        <v/>
      </c>
      <c r="B913" s="19">
        <f>'Semi Rev'!$B60</f>
        <v/>
      </c>
      <c r="C913" s="43">
        <f>IFERROR(IF(AND(ISNUMBER('Semi OpInc'!G60),ISNUMBER('Semi Rev'!G60),ISNUMBER('Semi OpInc'!C60),ISNUMBER('Semi Rev'!C60),'Semi Rev'!G60&gt;0,'Semi Rev'!C60&gt;0),('Semi OpInc'!G60/'Semi Rev'!G60-'Semi OpInc'!C60/'Semi Rev'!C60)*10000,""),"")</f>
        <v/>
      </c>
      <c r="D913" s="43">
        <f>IFERROR(IF(AND(ISNUMBER('Semi OpInc'!H60),ISNUMBER('Semi Rev'!H60),ISNUMBER('Semi OpInc'!D60),ISNUMBER('Semi Rev'!D60),'Semi Rev'!H60&gt;0,'Semi Rev'!D60&gt;0),('Semi OpInc'!H60/'Semi Rev'!H60-'Semi OpInc'!D60/'Semi Rev'!D60)*10000,""),"")</f>
        <v/>
      </c>
      <c r="E913" s="43">
        <f>IFERROR(IF(AND(ISNUMBER('Semi OpInc'!I60),ISNUMBER('Semi Rev'!I60),ISNUMBER('Semi OpInc'!E60),ISNUMBER('Semi Rev'!E60),'Semi Rev'!I60&gt;0,'Semi Rev'!E60&gt;0),('Semi OpInc'!I60/'Semi Rev'!I60-'Semi OpInc'!E60/'Semi Rev'!E60)*10000,""),"")</f>
        <v/>
      </c>
      <c r="F913" s="43">
        <f>IFERROR(IF(AND(ISNUMBER('Semi OpInc'!J60),ISNUMBER('Semi Rev'!J60),ISNUMBER('Semi OpInc'!F60),ISNUMBER('Semi Rev'!F60),'Semi Rev'!J60&gt;0,'Semi Rev'!F60&gt;0),('Semi OpInc'!J60/'Semi Rev'!J60-'Semi OpInc'!F60/'Semi Rev'!F60)*10000,""),"")</f>
        <v/>
      </c>
      <c r="G913" s="43">
        <f>IFERROR(IF(AND(ISNUMBER('Semi OpInc'!K60),ISNUMBER('Semi Rev'!K60),ISNUMBER('Semi OpInc'!G60),ISNUMBER('Semi Rev'!G60),'Semi Rev'!K60&gt;0,'Semi Rev'!G60&gt;0),('Semi OpInc'!K60/'Semi Rev'!K60-'Semi OpInc'!G60/'Semi Rev'!G60)*10000,""),"")</f>
        <v/>
      </c>
      <c r="H913" s="43">
        <f>IFERROR(IF(AND(ISNUMBER('Semi OpInc'!L60),ISNUMBER('Semi Rev'!L60),ISNUMBER('Semi OpInc'!H60),ISNUMBER('Semi Rev'!H60),'Semi Rev'!L60&gt;0,'Semi Rev'!H60&gt;0),('Semi OpInc'!L60/'Semi Rev'!L60-'Semi OpInc'!H60/'Semi Rev'!H60)*10000,""),"")</f>
        <v/>
      </c>
      <c r="I913" s="43">
        <f>IFERROR(IF(AND(ISNUMBER('Semi OpInc'!M60),ISNUMBER('Semi Rev'!M60),ISNUMBER('Semi OpInc'!I60),ISNUMBER('Semi Rev'!I60),'Semi Rev'!M60&gt;0,'Semi Rev'!I60&gt;0),('Semi OpInc'!M60/'Semi Rev'!M60-'Semi OpInc'!I60/'Semi Rev'!I60)*10000,""),"")</f>
        <v/>
      </c>
      <c r="J913" s="43">
        <f>IFERROR(IF(AND(ISNUMBER('Semi OpInc'!N60),ISNUMBER('Semi Rev'!N60),ISNUMBER('Semi OpInc'!J60),ISNUMBER('Semi Rev'!J60),'Semi Rev'!N60&gt;0,'Semi Rev'!J60&gt;0),('Semi OpInc'!N60/'Semi Rev'!N60-'Semi OpInc'!J60/'Semi Rev'!J60)*10000,""),"")</f>
        <v/>
      </c>
      <c r="K913" s="43">
        <f>IFERROR(IF(AND(ISNUMBER('Semi OpInc'!O60),ISNUMBER('Semi Rev'!O60),ISNUMBER('Semi OpInc'!K60),ISNUMBER('Semi Rev'!K60),'Semi Rev'!O60&gt;0,'Semi Rev'!K60&gt;0),('Semi OpInc'!O60/'Semi Rev'!O60-'Semi OpInc'!K60/'Semi Rev'!K60)*10000,""),"")</f>
        <v/>
      </c>
      <c r="L913" s="43">
        <f>IFERROR(IF(AND(ISNUMBER('Semi OpInc'!P60),ISNUMBER('Semi Rev'!P60),ISNUMBER('Semi OpInc'!L60),ISNUMBER('Semi Rev'!L60),'Semi Rev'!P60&gt;0,'Semi Rev'!L60&gt;0),('Semi OpInc'!P60/'Semi Rev'!P60-'Semi OpInc'!L60/'Semi Rev'!L60)*10000,""),"")</f>
        <v/>
      </c>
      <c r="M913" s="44">
        <f>IFERROR(IF(AND(ISNUMBER('Semi OpInc'!Q60),ISNUMBER('Semi Rev'!Q60),ISNUMBER('Semi OpInc'!M60),ISNUMBER('Semi Rev'!M60),'Semi Rev'!Q60&gt;0,'Semi Rev'!M60&gt;0),('Semi OpInc'!Q60/'Semi Rev'!Q60-'Semi OpInc'!M60/'Semi Rev'!M60)*10000,""),"")</f>
        <v/>
      </c>
      <c r="N913" s="44">
        <f>IFERROR(IF(AND(ISNUMBER('Semi OpInc'!R60),ISNUMBER('Semi Rev'!R60),ISNUMBER('Semi OpInc'!N60),ISNUMBER('Semi Rev'!N60),'Semi Rev'!R60&gt;0,'Semi Rev'!N60&gt;0),('Semi OpInc'!R60/'Semi Rev'!R60-'Semi OpInc'!N60/'Semi Rev'!N60)*10000,""),"")</f>
        <v/>
      </c>
    </row>
    <row r="914">
      <c r="A914" s="19">
        <f>'Semi Rev'!$A61</f>
        <v/>
      </c>
      <c r="B914" s="19">
        <f>'Semi Rev'!$B61</f>
        <v/>
      </c>
      <c r="C914" s="43">
        <f>IFERROR(IF(AND(ISNUMBER('Semi OpInc'!G61),ISNUMBER('Semi Rev'!G61),ISNUMBER('Semi OpInc'!C61),ISNUMBER('Semi Rev'!C61),'Semi Rev'!G61&gt;0,'Semi Rev'!C61&gt;0),('Semi OpInc'!G61/'Semi Rev'!G61-'Semi OpInc'!C61/'Semi Rev'!C61)*10000,""),"")</f>
        <v/>
      </c>
      <c r="D914" s="43">
        <f>IFERROR(IF(AND(ISNUMBER('Semi OpInc'!H61),ISNUMBER('Semi Rev'!H61),ISNUMBER('Semi OpInc'!D61),ISNUMBER('Semi Rev'!D61),'Semi Rev'!H61&gt;0,'Semi Rev'!D61&gt;0),('Semi OpInc'!H61/'Semi Rev'!H61-'Semi OpInc'!D61/'Semi Rev'!D61)*10000,""),"")</f>
        <v/>
      </c>
      <c r="E914" s="43">
        <f>IFERROR(IF(AND(ISNUMBER('Semi OpInc'!I61),ISNUMBER('Semi Rev'!I61),ISNUMBER('Semi OpInc'!E61),ISNUMBER('Semi Rev'!E61),'Semi Rev'!I61&gt;0,'Semi Rev'!E61&gt;0),('Semi OpInc'!I61/'Semi Rev'!I61-'Semi OpInc'!E61/'Semi Rev'!E61)*10000,""),"")</f>
        <v/>
      </c>
      <c r="F914" s="43">
        <f>IFERROR(IF(AND(ISNUMBER('Semi OpInc'!J61),ISNUMBER('Semi Rev'!J61),ISNUMBER('Semi OpInc'!F61),ISNUMBER('Semi Rev'!F61),'Semi Rev'!J61&gt;0,'Semi Rev'!F61&gt;0),('Semi OpInc'!J61/'Semi Rev'!J61-'Semi OpInc'!F61/'Semi Rev'!F61)*10000,""),"")</f>
        <v/>
      </c>
      <c r="G914" s="43">
        <f>IFERROR(IF(AND(ISNUMBER('Semi OpInc'!K61),ISNUMBER('Semi Rev'!K61),ISNUMBER('Semi OpInc'!G61),ISNUMBER('Semi Rev'!G61),'Semi Rev'!K61&gt;0,'Semi Rev'!G61&gt;0),('Semi OpInc'!K61/'Semi Rev'!K61-'Semi OpInc'!G61/'Semi Rev'!G61)*10000,""),"")</f>
        <v/>
      </c>
      <c r="H914" s="43">
        <f>IFERROR(IF(AND(ISNUMBER('Semi OpInc'!L61),ISNUMBER('Semi Rev'!L61),ISNUMBER('Semi OpInc'!H61),ISNUMBER('Semi Rev'!H61),'Semi Rev'!L61&gt;0,'Semi Rev'!H61&gt;0),('Semi OpInc'!L61/'Semi Rev'!L61-'Semi OpInc'!H61/'Semi Rev'!H61)*10000,""),"")</f>
        <v/>
      </c>
      <c r="I914" s="43">
        <f>IFERROR(IF(AND(ISNUMBER('Semi OpInc'!M61),ISNUMBER('Semi Rev'!M61),ISNUMBER('Semi OpInc'!I61),ISNUMBER('Semi Rev'!I61),'Semi Rev'!M61&gt;0,'Semi Rev'!I61&gt;0),('Semi OpInc'!M61/'Semi Rev'!M61-'Semi OpInc'!I61/'Semi Rev'!I61)*10000,""),"")</f>
        <v/>
      </c>
      <c r="J914" s="43">
        <f>IFERROR(IF(AND(ISNUMBER('Semi OpInc'!N61),ISNUMBER('Semi Rev'!N61),ISNUMBER('Semi OpInc'!J61),ISNUMBER('Semi Rev'!J61),'Semi Rev'!N61&gt;0,'Semi Rev'!J61&gt;0),('Semi OpInc'!N61/'Semi Rev'!N61-'Semi OpInc'!J61/'Semi Rev'!J61)*10000,""),"")</f>
        <v/>
      </c>
      <c r="K914" s="43">
        <f>IFERROR(IF(AND(ISNUMBER('Semi OpInc'!O61),ISNUMBER('Semi Rev'!O61),ISNUMBER('Semi OpInc'!K61),ISNUMBER('Semi Rev'!K61),'Semi Rev'!O61&gt;0,'Semi Rev'!K61&gt;0),('Semi OpInc'!O61/'Semi Rev'!O61-'Semi OpInc'!K61/'Semi Rev'!K61)*10000,""),"")</f>
        <v/>
      </c>
      <c r="L914" s="43">
        <f>IFERROR(IF(AND(ISNUMBER('Semi OpInc'!P61),ISNUMBER('Semi Rev'!P61),ISNUMBER('Semi OpInc'!L61),ISNUMBER('Semi Rev'!L61),'Semi Rev'!P61&gt;0,'Semi Rev'!L61&gt;0),('Semi OpInc'!P61/'Semi Rev'!P61-'Semi OpInc'!L61/'Semi Rev'!L61)*10000,""),"")</f>
        <v/>
      </c>
      <c r="M914" s="44">
        <f>IFERROR(IF(AND(ISNUMBER('Semi OpInc'!Q61),ISNUMBER('Semi Rev'!Q61),ISNUMBER('Semi OpInc'!M61),ISNUMBER('Semi Rev'!M61),'Semi Rev'!Q61&gt;0,'Semi Rev'!M61&gt;0),('Semi OpInc'!Q61/'Semi Rev'!Q61-'Semi OpInc'!M61/'Semi Rev'!M61)*10000,""),"")</f>
        <v/>
      </c>
      <c r="N914" s="44">
        <f>IFERROR(IF(AND(ISNUMBER('Semi OpInc'!R61),ISNUMBER('Semi Rev'!R61),ISNUMBER('Semi OpInc'!N61),ISNUMBER('Semi Rev'!N61),'Semi Rev'!R61&gt;0,'Semi Rev'!N61&gt;0),('Semi OpInc'!R61/'Semi Rev'!R61-'Semi OpInc'!N61/'Semi Rev'!N61)*10000,""),"")</f>
        <v/>
      </c>
    </row>
    <row r="915">
      <c r="A915" s="19">
        <f>'Semi Rev'!$A62</f>
        <v/>
      </c>
      <c r="B915" s="19">
        <f>'Semi Rev'!$B62</f>
        <v/>
      </c>
      <c r="C915" s="43">
        <f>IFERROR(IF(AND(ISNUMBER('Semi OpInc'!G62),ISNUMBER('Semi Rev'!G62),ISNUMBER('Semi OpInc'!C62),ISNUMBER('Semi Rev'!C62),'Semi Rev'!G62&gt;0,'Semi Rev'!C62&gt;0),('Semi OpInc'!G62/'Semi Rev'!G62-'Semi OpInc'!C62/'Semi Rev'!C62)*10000,""),"")</f>
        <v/>
      </c>
      <c r="D915" s="43">
        <f>IFERROR(IF(AND(ISNUMBER('Semi OpInc'!H62),ISNUMBER('Semi Rev'!H62),ISNUMBER('Semi OpInc'!D62),ISNUMBER('Semi Rev'!D62),'Semi Rev'!H62&gt;0,'Semi Rev'!D62&gt;0),('Semi OpInc'!H62/'Semi Rev'!H62-'Semi OpInc'!D62/'Semi Rev'!D62)*10000,""),"")</f>
        <v/>
      </c>
      <c r="E915" s="43">
        <f>IFERROR(IF(AND(ISNUMBER('Semi OpInc'!I62),ISNUMBER('Semi Rev'!I62),ISNUMBER('Semi OpInc'!E62),ISNUMBER('Semi Rev'!E62),'Semi Rev'!I62&gt;0,'Semi Rev'!E62&gt;0),('Semi OpInc'!I62/'Semi Rev'!I62-'Semi OpInc'!E62/'Semi Rev'!E62)*10000,""),"")</f>
        <v/>
      </c>
      <c r="F915" s="43">
        <f>IFERROR(IF(AND(ISNUMBER('Semi OpInc'!J62),ISNUMBER('Semi Rev'!J62),ISNUMBER('Semi OpInc'!F62),ISNUMBER('Semi Rev'!F62),'Semi Rev'!J62&gt;0,'Semi Rev'!F62&gt;0),('Semi OpInc'!J62/'Semi Rev'!J62-'Semi OpInc'!F62/'Semi Rev'!F62)*10000,""),"")</f>
        <v/>
      </c>
      <c r="G915" s="43">
        <f>IFERROR(IF(AND(ISNUMBER('Semi OpInc'!K62),ISNUMBER('Semi Rev'!K62),ISNUMBER('Semi OpInc'!G62),ISNUMBER('Semi Rev'!G62),'Semi Rev'!K62&gt;0,'Semi Rev'!G62&gt;0),('Semi OpInc'!K62/'Semi Rev'!K62-'Semi OpInc'!G62/'Semi Rev'!G62)*10000,""),"")</f>
        <v/>
      </c>
      <c r="H915" s="43">
        <f>IFERROR(IF(AND(ISNUMBER('Semi OpInc'!L62),ISNUMBER('Semi Rev'!L62),ISNUMBER('Semi OpInc'!H62),ISNUMBER('Semi Rev'!H62),'Semi Rev'!L62&gt;0,'Semi Rev'!H62&gt;0),('Semi OpInc'!L62/'Semi Rev'!L62-'Semi OpInc'!H62/'Semi Rev'!H62)*10000,""),"")</f>
        <v/>
      </c>
      <c r="I915" s="43">
        <f>IFERROR(IF(AND(ISNUMBER('Semi OpInc'!M62),ISNUMBER('Semi Rev'!M62),ISNUMBER('Semi OpInc'!I62),ISNUMBER('Semi Rev'!I62),'Semi Rev'!M62&gt;0,'Semi Rev'!I62&gt;0),('Semi OpInc'!M62/'Semi Rev'!M62-'Semi OpInc'!I62/'Semi Rev'!I62)*10000,""),"")</f>
        <v/>
      </c>
      <c r="J915" s="43">
        <f>IFERROR(IF(AND(ISNUMBER('Semi OpInc'!N62),ISNUMBER('Semi Rev'!N62),ISNUMBER('Semi OpInc'!J62),ISNUMBER('Semi Rev'!J62),'Semi Rev'!N62&gt;0,'Semi Rev'!J62&gt;0),('Semi OpInc'!N62/'Semi Rev'!N62-'Semi OpInc'!J62/'Semi Rev'!J62)*10000,""),"")</f>
        <v/>
      </c>
      <c r="K915" s="43">
        <f>IFERROR(IF(AND(ISNUMBER('Semi OpInc'!O62),ISNUMBER('Semi Rev'!O62),ISNUMBER('Semi OpInc'!K62),ISNUMBER('Semi Rev'!K62),'Semi Rev'!O62&gt;0,'Semi Rev'!K62&gt;0),('Semi OpInc'!O62/'Semi Rev'!O62-'Semi OpInc'!K62/'Semi Rev'!K62)*10000,""),"")</f>
        <v/>
      </c>
      <c r="L915" s="43">
        <f>IFERROR(IF(AND(ISNUMBER('Semi OpInc'!P62),ISNUMBER('Semi Rev'!P62),ISNUMBER('Semi OpInc'!L62),ISNUMBER('Semi Rev'!L62),'Semi Rev'!P62&gt;0,'Semi Rev'!L62&gt;0),('Semi OpInc'!P62/'Semi Rev'!P62-'Semi OpInc'!L62/'Semi Rev'!L62)*10000,""),"")</f>
        <v/>
      </c>
      <c r="M915" s="44">
        <f>IFERROR(IF(AND(ISNUMBER('Semi OpInc'!Q62),ISNUMBER('Semi Rev'!Q62),ISNUMBER('Semi OpInc'!M62),ISNUMBER('Semi Rev'!M62),'Semi Rev'!Q62&gt;0,'Semi Rev'!M62&gt;0),('Semi OpInc'!Q62/'Semi Rev'!Q62-'Semi OpInc'!M62/'Semi Rev'!M62)*10000,""),"")</f>
        <v/>
      </c>
      <c r="N915" s="44">
        <f>IFERROR(IF(AND(ISNUMBER('Semi OpInc'!R62),ISNUMBER('Semi Rev'!R62),ISNUMBER('Semi OpInc'!N62),ISNUMBER('Semi Rev'!N62),'Semi Rev'!R62&gt;0,'Semi Rev'!N62&gt;0),('Semi OpInc'!R62/'Semi Rev'!R62-'Semi OpInc'!N62/'Semi Rev'!N62)*10000,""),"")</f>
        <v/>
      </c>
    </row>
    <row r="916">
      <c r="A916" s="19">
        <f>'Semi Rev'!$A63</f>
        <v/>
      </c>
      <c r="B916" s="19">
        <f>'Semi Rev'!$B63</f>
        <v/>
      </c>
      <c r="C916" s="43">
        <f>IFERROR(IF(AND(ISNUMBER('Semi OpInc'!G63),ISNUMBER('Semi Rev'!G63),ISNUMBER('Semi OpInc'!C63),ISNUMBER('Semi Rev'!C63),'Semi Rev'!G63&gt;0,'Semi Rev'!C63&gt;0),('Semi OpInc'!G63/'Semi Rev'!G63-'Semi OpInc'!C63/'Semi Rev'!C63)*10000,""),"")</f>
        <v/>
      </c>
      <c r="D916" s="43">
        <f>IFERROR(IF(AND(ISNUMBER('Semi OpInc'!H63),ISNUMBER('Semi Rev'!H63),ISNUMBER('Semi OpInc'!D63),ISNUMBER('Semi Rev'!D63),'Semi Rev'!H63&gt;0,'Semi Rev'!D63&gt;0),('Semi OpInc'!H63/'Semi Rev'!H63-'Semi OpInc'!D63/'Semi Rev'!D63)*10000,""),"")</f>
        <v/>
      </c>
      <c r="E916" s="43">
        <f>IFERROR(IF(AND(ISNUMBER('Semi OpInc'!I63),ISNUMBER('Semi Rev'!I63),ISNUMBER('Semi OpInc'!E63),ISNUMBER('Semi Rev'!E63),'Semi Rev'!I63&gt;0,'Semi Rev'!E63&gt;0),('Semi OpInc'!I63/'Semi Rev'!I63-'Semi OpInc'!E63/'Semi Rev'!E63)*10000,""),"")</f>
        <v/>
      </c>
      <c r="F916" s="43">
        <f>IFERROR(IF(AND(ISNUMBER('Semi OpInc'!J63),ISNUMBER('Semi Rev'!J63),ISNUMBER('Semi OpInc'!F63),ISNUMBER('Semi Rev'!F63),'Semi Rev'!J63&gt;0,'Semi Rev'!F63&gt;0),('Semi OpInc'!J63/'Semi Rev'!J63-'Semi OpInc'!F63/'Semi Rev'!F63)*10000,""),"")</f>
        <v/>
      </c>
      <c r="G916" s="43">
        <f>IFERROR(IF(AND(ISNUMBER('Semi OpInc'!K63),ISNUMBER('Semi Rev'!K63),ISNUMBER('Semi OpInc'!G63),ISNUMBER('Semi Rev'!G63),'Semi Rev'!K63&gt;0,'Semi Rev'!G63&gt;0),('Semi OpInc'!K63/'Semi Rev'!K63-'Semi OpInc'!G63/'Semi Rev'!G63)*10000,""),"")</f>
        <v/>
      </c>
      <c r="H916" s="43">
        <f>IFERROR(IF(AND(ISNUMBER('Semi OpInc'!L63),ISNUMBER('Semi Rev'!L63),ISNUMBER('Semi OpInc'!H63),ISNUMBER('Semi Rev'!H63),'Semi Rev'!L63&gt;0,'Semi Rev'!H63&gt;0),('Semi OpInc'!L63/'Semi Rev'!L63-'Semi OpInc'!H63/'Semi Rev'!H63)*10000,""),"")</f>
        <v/>
      </c>
      <c r="I916" s="43">
        <f>IFERROR(IF(AND(ISNUMBER('Semi OpInc'!M63),ISNUMBER('Semi Rev'!M63),ISNUMBER('Semi OpInc'!I63),ISNUMBER('Semi Rev'!I63),'Semi Rev'!M63&gt;0,'Semi Rev'!I63&gt;0),('Semi OpInc'!M63/'Semi Rev'!M63-'Semi OpInc'!I63/'Semi Rev'!I63)*10000,""),"")</f>
        <v/>
      </c>
      <c r="J916" s="43">
        <f>IFERROR(IF(AND(ISNUMBER('Semi OpInc'!N63),ISNUMBER('Semi Rev'!N63),ISNUMBER('Semi OpInc'!J63),ISNUMBER('Semi Rev'!J63),'Semi Rev'!N63&gt;0,'Semi Rev'!J63&gt;0),('Semi OpInc'!N63/'Semi Rev'!N63-'Semi OpInc'!J63/'Semi Rev'!J63)*10000,""),"")</f>
        <v/>
      </c>
      <c r="K916" s="43">
        <f>IFERROR(IF(AND(ISNUMBER('Semi OpInc'!O63),ISNUMBER('Semi Rev'!O63),ISNUMBER('Semi OpInc'!K63),ISNUMBER('Semi Rev'!K63),'Semi Rev'!O63&gt;0,'Semi Rev'!K63&gt;0),('Semi OpInc'!O63/'Semi Rev'!O63-'Semi OpInc'!K63/'Semi Rev'!K63)*10000,""),"")</f>
        <v/>
      </c>
      <c r="L916" s="43">
        <f>IFERROR(IF(AND(ISNUMBER('Semi OpInc'!P63),ISNUMBER('Semi Rev'!P63),ISNUMBER('Semi OpInc'!L63),ISNUMBER('Semi Rev'!L63),'Semi Rev'!P63&gt;0,'Semi Rev'!L63&gt;0),('Semi OpInc'!P63/'Semi Rev'!P63-'Semi OpInc'!L63/'Semi Rev'!L63)*10000,""),"")</f>
        <v/>
      </c>
      <c r="M916" s="44">
        <f>IFERROR(IF(AND(ISNUMBER('Semi OpInc'!Q63),ISNUMBER('Semi Rev'!Q63),ISNUMBER('Semi OpInc'!M63),ISNUMBER('Semi Rev'!M63),'Semi Rev'!Q63&gt;0,'Semi Rev'!M63&gt;0),('Semi OpInc'!Q63/'Semi Rev'!Q63-'Semi OpInc'!M63/'Semi Rev'!M63)*10000,""),"")</f>
        <v/>
      </c>
      <c r="N916" s="44">
        <f>IFERROR(IF(AND(ISNUMBER('Semi OpInc'!R63),ISNUMBER('Semi Rev'!R63),ISNUMBER('Semi OpInc'!N63),ISNUMBER('Semi Rev'!N63),'Semi Rev'!R63&gt;0,'Semi Rev'!N63&gt;0),('Semi OpInc'!R63/'Semi Rev'!R63-'Semi OpInc'!N63/'Semi Rev'!N63)*10000,""),"")</f>
        <v/>
      </c>
    </row>
    <row r="917">
      <c r="A917" s="19">
        <f>'Semi Rev'!$A64</f>
        <v/>
      </c>
      <c r="B917" s="19">
        <f>'Semi Rev'!$B64</f>
        <v/>
      </c>
      <c r="C917" s="43">
        <f>IFERROR(IF(AND(ISNUMBER('Semi OpInc'!G64),ISNUMBER('Semi Rev'!G64),ISNUMBER('Semi OpInc'!C64),ISNUMBER('Semi Rev'!C64),'Semi Rev'!G64&gt;0,'Semi Rev'!C64&gt;0),('Semi OpInc'!G64/'Semi Rev'!G64-'Semi OpInc'!C64/'Semi Rev'!C64)*10000,""),"")</f>
        <v/>
      </c>
      <c r="D917" s="43">
        <f>IFERROR(IF(AND(ISNUMBER('Semi OpInc'!H64),ISNUMBER('Semi Rev'!H64),ISNUMBER('Semi OpInc'!D64),ISNUMBER('Semi Rev'!D64),'Semi Rev'!H64&gt;0,'Semi Rev'!D64&gt;0),('Semi OpInc'!H64/'Semi Rev'!H64-'Semi OpInc'!D64/'Semi Rev'!D64)*10000,""),"")</f>
        <v/>
      </c>
      <c r="E917" s="43">
        <f>IFERROR(IF(AND(ISNUMBER('Semi OpInc'!I64),ISNUMBER('Semi Rev'!I64),ISNUMBER('Semi OpInc'!E64),ISNUMBER('Semi Rev'!E64),'Semi Rev'!I64&gt;0,'Semi Rev'!E64&gt;0),('Semi OpInc'!I64/'Semi Rev'!I64-'Semi OpInc'!E64/'Semi Rev'!E64)*10000,""),"")</f>
        <v/>
      </c>
      <c r="F917" s="43">
        <f>IFERROR(IF(AND(ISNUMBER('Semi OpInc'!J64),ISNUMBER('Semi Rev'!J64),ISNUMBER('Semi OpInc'!F64),ISNUMBER('Semi Rev'!F64),'Semi Rev'!J64&gt;0,'Semi Rev'!F64&gt;0),('Semi OpInc'!J64/'Semi Rev'!J64-'Semi OpInc'!F64/'Semi Rev'!F64)*10000,""),"")</f>
        <v/>
      </c>
      <c r="G917" s="43">
        <f>IFERROR(IF(AND(ISNUMBER('Semi OpInc'!K64),ISNUMBER('Semi Rev'!K64),ISNUMBER('Semi OpInc'!G64),ISNUMBER('Semi Rev'!G64),'Semi Rev'!K64&gt;0,'Semi Rev'!G64&gt;0),('Semi OpInc'!K64/'Semi Rev'!K64-'Semi OpInc'!G64/'Semi Rev'!G64)*10000,""),"")</f>
        <v/>
      </c>
      <c r="H917" s="43">
        <f>IFERROR(IF(AND(ISNUMBER('Semi OpInc'!L64),ISNUMBER('Semi Rev'!L64),ISNUMBER('Semi OpInc'!H64),ISNUMBER('Semi Rev'!H64),'Semi Rev'!L64&gt;0,'Semi Rev'!H64&gt;0),('Semi OpInc'!L64/'Semi Rev'!L64-'Semi OpInc'!H64/'Semi Rev'!H64)*10000,""),"")</f>
        <v/>
      </c>
      <c r="I917" s="43">
        <f>IFERROR(IF(AND(ISNUMBER('Semi OpInc'!M64),ISNUMBER('Semi Rev'!M64),ISNUMBER('Semi OpInc'!I64),ISNUMBER('Semi Rev'!I64),'Semi Rev'!M64&gt;0,'Semi Rev'!I64&gt;0),('Semi OpInc'!M64/'Semi Rev'!M64-'Semi OpInc'!I64/'Semi Rev'!I64)*10000,""),"")</f>
        <v/>
      </c>
      <c r="J917" s="43">
        <f>IFERROR(IF(AND(ISNUMBER('Semi OpInc'!N64),ISNUMBER('Semi Rev'!N64),ISNUMBER('Semi OpInc'!J64),ISNUMBER('Semi Rev'!J64),'Semi Rev'!N64&gt;0,'Semi Rev'!J64&gt;0),('Semi OpInc'!N64/'Semi Rev'!N64-'Semi OpInc'!J64/'Semi Rev'!J64)*10000,""),"")</f>
        <v/>
      </c>
      <c r="K917" s="43">
        <f>IFERROR(IF(AND(ISNUMBER('Semi OpInc'!O64),ISNUMBER('Semi Rev'!O64),ISNUMBER('Semi OpInc'!K64),ISNUMBER('Semi Rev'!K64),'Semi Rev'!O64&gt;0,'Semi Rev'!K64&gt;0),('Semi OpInc'!O64/'Semi Rev'!O64-'Semi OpInc'!K64/'Semi Rev'!K64)*10000,""),"")</f>
        <v/>
      </c>
      <c r="L917" s="43">
        <f>IFERROR(IF(AND(ISNUMBER('Semi OpInc'!P64),ISNUMBER('Semi Rev'!P64),ISNUMBER('Semi OpInc'!L64),ISNUMBER('Semi Rev'!L64),'Semi Rev'!P64&gt;0,'Semi Rev'!L64&gt;0),('Semi OpInc'!P64/'Semi Rev'!P64-'Semi OpInc'!L64/'Semi Rev'!L64)*10000,""),"")</f>
        <v/>
      </c>
      <c r="M917" s="44">
        <f>IFERROR(IF(AND(ISNUMBER('Semi OpInc'!Q64),ISNUMBER('Semi Rev'!Q64),ISNUMBER('Semi OpInc'!M64),ISNUMBER('Semi Rev'!M64),'Semi Rev'!Q64&gt;0,'Semi Rev'!M64&gt;0),('Semi OpInc'!Q64/'Semi Rev'!Q64-'Semi OpInc'!M64/'Semi Rev'!M64)*10000,""),"")</f>
        <v/>
      </c>
      <c r="N917" s="44">
        <f>IFERROR(IF(AND(ISNUMBER('Semi OpInc'!R64),ISNUMBER('Semi Rev'!R64),ISNUMBER('Semi OpInc'!N64),ISNUMBER('Semi Rev'!N64),'Semi Rev'!R64&gt;0,'Semi Rev'!N64&gt;0),('Semi OpInc'!R64/'Semi Rev'!R64-'Semi OpInc'!N64/'Semi Rev'!N64)*10000,""),"")</f>
        <v/>
      </c>
    </row>
    <row r="918">
      <c r="A918" s="19">
        <f>'Semi Rev'!$A65</f>
        <v/>
      </c>
      <c r="B918" s="19">
        <f>'Semi Rev'!$B65</f>
        <v/>
      </c>
      <c r="C918" s="43">
        <f>IFERROR(IF(AND(ISNUMBER('Semi OpInc'!G65),ISNUMBER('Semi Rev'!G65),ISNUMBER('Semi OpInc'!C65),ISNUMBER('Semi Rev'!C65),'Semi Rev'!G65&gt;0,'Semi Rev'!C65&gt;0),('Semi OpInc'!G65/'Semi Rev'!G65-'Semi OpInc'!C65/'Semi Rev'!C65)*10000,""),"")</f>
        <v/>
      </c>
      <c r="D918" s="43">
        <f>IFERROR(IF(AND(ISNUMBER('Semi OpInc'!H65),ISNUMBER('Semi Rev'!H65),ISNUMBER('Semi OpInc'!D65),ISNUMBER('Semi Rev'!D65),'Semi Rev'!H65&gt;0,'Semi Rev'!D65&gt;0),('Semi OpInc'!H65/'Semi Rev'!H65-'Semi OpInc'!D65/'Semi Rev'!D65)*10000,""),"")</f>
        <v/>
      </c>
      <c r="E918" s="43">
        <f>IFERROR(IF(AND(ISNUMBER('Semi OpInc'!I65),ISNUMBER('Semi Rev'!I65),ISNUMBER('Semi OpInc'!E65),ISNUMBER('Semi Rev'!E65),'Semi Rev'!I65&gt;0,'Semi Rev'!E65&gt;0),('Semi OpInc'!I65/'Semi Rev'!I65-'Semi OpInc'!E65/'Semi Rev'!E65)*10000,""),"")</f>
        <v/>
      </c>
      <c r="F918" s="43">
        <f>IFERROR(IF(AND(ISNUMBER('Semi OpInc'!J65),ISNUMBER('Semi Rev'!J65),ISNUMBER('Semi OpInc'!F65),ISNUMBER('Semi Rev'!F65),'Semi Rev'!J65&gt;0,'Semi Rev'!F65&gt;0),('Semi OpInc'!J65/'Semi Rev'!J65-'Semi OpInc'!F65/'Semi Rev'!F65)*10000,""),"")</f>
        <v/>
      </c>
      <c r="G918" s="43">
        <f>IFERROR(IF(AND(ISNUMBER('Semi OpInc'!K65),ISNUMBER('Semi Rev'!K65),ISNUMBER('Semi OpInc'!G65),ISNUMBER('Semi Rev'!G65),'Semi Rev'!K65&gt;0,'Semi Rev'!G65&gt;0),('Semi OpInc'!K65/'Semi Rev'!K65-'Semi OpInc'!G65/'Semi Rev'!G65)*10000,""),"")</f>
        <v/>
      </c>
      <c r="H918" s="43">
        <f>IFERROR(IF(AND(ISNUMBER('Semi OpInc'!L65),ISNUMBER('Semi Rev'!L65),ISNUMBER('Semi OpInc'!H65),ISNUMBER('Semi Rev'!H65),'Semi Rev'!L65&gt;0,'Semi Rev'!H65&gt;0),('Semi OpInc'!L65/'Semi Rev'!L65-'Semi OpInc'!H65/'Semi Rev'!H65)*10000,""),"")</f>
        <v/>
      </c>
      <c r="I918" s="43">
        <f>IFERROR(IF(AND(ISNUMBER('Semi OpInc'!M65),ISNUMBER('Semi Rev'!M65),ISNUMBER('Semi OpInc'!I65),ISNUMBER('Semi Rev'!I65),'Semi Rev'!M65&gt;0,'Semi Rev'!I65&gt;0),('Semi OpInc'!M65/'Semi Rev'!M65-'Semi OpInc'!I65/'Semi Rev'!I65)*10000,""),"")</f>
        <v/>
      </c>
      <c r="J918" s="43">
        <f>IFERROR(IF(AND(ISNUMBER('Semi OpInc'!N65),ISNUMBER('Semi Rev'!N65),ISNUMBER('Semi OpInc'!J65),ISNUMBER('Semi Rev'!J65),'Semi Rev'!N65&gt;0,'Semi Rev'!J65&gt;0),('Semi OpInc'!N65/'Semi Rev'!N65-'Semi OpInc'!J65/'Semi Rev'!J65)*10000,""),"")</f>
        <v/>
      </c>
      <c r="K918" s="43">
        <f>IFERROR(IF(AND(ISNUMBER('Semi OpInc'!O65),ISNUMBER('Semi Rev'!O65),ISNUMBER('Semi OpInc'!K65),ISNUMBER('Semi Rev'!K65),'Semi Rev'!O65&gt;0,'Semi Rev'!K65&gt;0),('Semi OpInc'!O65/'Semi Rev'!O65-'Semi OpInc'!K65/'Semi Rev'!K65)*10000,""),"")</f>
        <v/>
      </c>
      <c r="L918" s="43">
        <f>IFERROR(IF(AND(ISNUMBER('Semi OpInc'!P65),ISNUMBER('Semi Rev'!P65),ISNUMBER('Semi OpInc'!L65),ISNUMBER('Semi Rev'!L65),'Semi Rev'!P65&gt;0,'Semi Rev'!L65&gt;0),('Semi OpInc'!P65/'Semi Rev'!P65-'Semi OpInc'!L65/'Semi Rev'!L65)*10000,""),"")</f>
        <v/>
      </c>
      <c r="M918" s="44">
        <f>IFERROR(IF(AND(ISNUMBER('Semi OpInc'!Q65),ISNUMBER('Semi Rev'!Q65),ISNUMBER('Semi OpInc'!M65),ISNUMBER('Semi Rev'!M65),'Semi Rev'!Q65&gt;0,'Semi Rev'!M65&gt;0),('Semi OpInc'!Q65/'Semi Rev'!Q65-'Semi OpInc'!M65/'Semi Rev'!M65)*10000,""),"")</f>
        <v/>
      </c>
      <c r="N918" s="44">
        <f>IFERROR(IF(AND(ISNUMBER('Semi OpInc'!R65),ISNUMBER('Semi Rev'!R65),ISNUMBER('Semi OpInc'!N65),ISNUMBER('Semi Rev'!N65),'Semi Rev'!R65&gt;0,'Semi Rev'!N65&gt;0),('Semi OpInc'!R65/'Semi Rev'!R65-'Semi OpInc'!N65/'Semi Rev'!N65)*10000,""),"")</f>
        <v/>
      </c>
    </row>
    <row r="919">
      <c r="A919" s="19">
        <f>'Semi Rev'!$A66</f>
        <v/>
      </c>
      <c r="B919" s="19">
        <f>'Semi Rev'!$B66</f>
        <v/>
      </c>
      <c r="C919" s="43">
        <f>IFERROR(IF(AND(ISNUMBER('Semi OpInc'!G66),ISNUMBER('Semi Rev'!G66),ISNUMBER('Semi OpInc'!C66),ISNUMBER('Semi Rev'!C66),'Semi Rev'!G66&gt;0,'Semi Rev'!C66&gt;0),('Semi OpInc'!G66/'Semi Rev'!G66-'Semi OpInc'!C66/'Semi Rev'!C66)*10000,""),"")</f>
        <v/>
      </c>
      <c r="D919" s="43">
        <f>IFERROR(IF(AND(ISNUMBER('Semi OpInc'!H66),ISNUMBER('Semi Rev'!H66),ISNUMBER('Semi OpInc'!D66),ISNUMBER('Semi Rev'!D66),'Semi Rev'!H66&gt;0,'Semi Rev'!D66&gt;0),('Semi OpInc'!H66/'Semi Rev'!H66-'Semi OpInc'!D66/'Semi Rev'!D66)*10000,""),"")</f>
        <v/>
      </c>
      <c r="E919" s="43">
        <f>IFERROR(IF(AND(ISNUMBER('Semi OpInc'!I66),ISNUMBER('Semi Rev'!I66),ISNUMBER('Semi OpInc'!E66),ISNUMBER('Semi Rev'!E66),'Semi Rev'!I66&gt;0,'Semi Rev'!E66&gt;0),('Semi OpInc'!I66/'Semi Rev'!I66-'Semi OpInc'!E66/'Semi Rev'!E66)*10000,""),"")</f>
        <v/>
      </c>
      <c r="F919" s="43">
        <f>IFERROR(IF(AND(ISNUMBER('Semi OpInc'!J66),ISNUMBER('Semi Rev'!J66),ISNUMBER('Semi OpInc'!F66),ISNUMBER('Semi Rev'!F66),'Semi Rev'!J66&gt;0,'Semi Rev'!F66&gt;0),('Semi OpInc'!J66/'Semi Rev'!J66-'Semi OpInc'!F66/'Semi Rev'!F66)*10000,""),"")</f>
        <v/>
      </c>
      <c r="G919" s="43">
        <f>IFERROR(IF(AND(ISNUMBER('Semi OpInc'!K66),ISNUMBER('Semi Rev'!K66),ISNUMBER('Semi OpInc'!G66),ISNUMBER('Semi Rev'!G66),'Semi Rev'!K66&gt;0,'Semi Rev'!G66&gt;0),('Semi OpInc'!K66/'Semi Rev'!K66-'Semi OpInc'!G66/'Semi Rev'!G66)*10000,""),"")</f>
        <v/>
      </c>
      <c r="H919" s="43">
        <f>IFERROR(IF(AND(ISNUMBER('Semi OpInc'!L66),ISNUMBER('Semi Rev'!L66),ISNUMBER('Semi OpInc'!H66),ISNUMBER('Semi Rev'!H66),'Semi Rev'!L66&gt;0,'Semi Rev'!H66&gt;0),('Semi OpInc'!L66/'Semi Rev'!L66-'Semi OpInc'!H66/'Semi Rev'!H66)*10000,""),"")</f>
        <v/>
      </c>
      <c r="I919" s="43">
        <f>IFERROR(IF(AND(ISNUMBER('Semi OpInc'!M66),ISNUMBER('Semi Rev'!M66),ISNUMBER('Semi OpInc'!I66),ISNUMBER('Semi Rev'!I66),'Semi Rev'!M66&gt;0,'Semi Rev'!I66&gt;0),('Semi OpInc'!M66/'Semi Rev'!M66-'Semi OpInc'!I66/'Semi Rev'!I66)*10000,""),"")</f>
        <v/>
      </c>
      <c r="J919" s="43">
        <f>IFERROR(IF(AND(ISNUMBER('Semi OpInc'!N66),ISNUMBER('Semi Rev'!N66),ISNUMBER('Semi OpInc'!J66),ISNUMBER('Semi Rev'!J66),'Semi Rev'!N66&gt;0,'Semi Rev'!J66&gt;0),('Semi OpInc'!N66/'Semi Rev'!N66-'Semi OpInc'!J66/'Semi Rev'!J66)*10000,""),"")</f>
        <v/>
      </c>
      <c r="K919" s="43">
        <f>IFERROR(IF(AND(ISNUMBER('Semi OpInc'!O66),ISNUMBER('Semi Rev'!O66),ISNUMBER('Semi OpInc'!K66),ISNUMBER('Semi Rev'!K66),'Semi Rev'!O66&gt;0,'Semi Rev'!K66&gt;0),('Semi OpInc'!O66/'Semi Rev'!O66-'Semi OpInc'!K66/'Semi Rev'!K66)*10000,""),"")</f>
        <v/>
      </c>
      <c r="L919" s="43">
        <f>IFERROR(IF(AND(ISNUMBER('Semi OpInc'!P66),ISNUMBER('Semi Rev'!P66),ISNUMBER('Semi OpInc'!L66),ISNUMBER('Semi Rev'!L66),'Semi Rev'!P66&gt;0,'Semi Rev'!L66&gt;0),('Semi OpInc'!P66/'Semi Rev'!P66-'Semi OpInc'!L66/'Semi Rev'!L66)*10000,""),"")</f>
        <v/>
      </c>
      <c r="M919" s="44">
        <f>IFERROR(IF(AND(ISNUMBER('Semi OpInc'!Q66),ISNUMBER('Semi Rev'!Q66),ISNUMBER('Semi OpInc'!M66),ISNUMBER('Semi Rev'!M66),'Semi Rev'!Q66&gt;0,'Semi Rev'!M66&gt;0),('Semi OpInc'!Q66/'Semi Rev'!Q66-'Semi OpInc'!M66/'Semi Rev'!M66)*10000,""),"")</f>
        <v/>
      </c>
      <c r="N919" s="44">
        <f>IFERROR(IF(AND(ISNUMBER('Semi OpInc'!R66),ISNUMBER('Semi Rev'!R66),ISNUMBER('Semi OpInc'!N66),ISNUMBER('Semi Rev'!N66),'Semi Rev'!R66&gt;0,'Semi Rev'!N66&gt;0),('Semi OpInc'!R66/'Semi Rev'!R66-'Semi OpInc'!N66/'Semi Rev'!N66)*10000,""),"")</f>
        <v/>
      </c>
    </row>
    <row r="920">
      <c r="A920" s="19">
        <f>'Semi Rev'!$A67</f>
        <v/>
      </c>
      <c r="B920" s="19">
        <f>'Semi Rev'!$B67</f>
        <v/>
      </c>
      <c r="C920" s="43">
        <f>IFERROR(IF(AND(ISNUMBER('Semi OpInc'!G67),ISNUMBER('Semi Rev'!G67),ISNUMBER('Semi OpInc'!C67),ISNUMBER('Semi Rev'!C67),'Semi Rev'!G67&gt;0,'Semi Rev'!C67&gt;0),('Semi OpInc'!G67/'Semi Rev'!G67-'Semi OpInc'!C67/'Semi Rev'!C67)*10000,""),"")</f>
        <v/>
      </c>
      <c r="D920" s="43">
        <f>IFERROR(IF(AND(ISNUMBER('Semi OpInc'!H67),ISNUMBER('Semi Rev'!H67),ISNUMBER('Semi OpInc'!D67),ISNUMBER('Semi Rev'!D67),'Semi Rev'!H67&gt;0,'Semi Rev'!D67&gt;0),('Semi OpInc'!H67/'Semi Rev'!H67-'Semi OpInc'!D67/'Semi Rev'!D67)*10000,""),"")</f>
        <v/>
      </c>
      <c r="E920" s="43">
        <f>IFERROR(IF(AND(ISNUMBER('Semi OpInc'!I67),ISNUMBER('Semi Rev'!I67),ISNUMBER('Semi OpInc'!E67),ISNUMBER('Semi Rev'!E67),'Semi Rev'!I67&gt;0,'Semi Rev'!E67&gt;0),('Semi OpInc'!I67/'Semi Rev'!I67-'Semi OpInc'!E67/'Semi Rev'!E67)*10000,""),"")</f>
        <v/>
      </c>
      <c r="F920" s="43">
        <f>IFERROR(IF(AND(ISNUMBER('Semi OpInc'!J67),ISNUMBER('Semi Rev'!J67),ISNUMBER('Semi OpInc'!F67),ISNUMBER('Semi Rev'!F67),'Semi Rev'!J67&gt;0,'Semi Rev'!F67&gt;0),('Semi OpInc'!J67/'Semi Rev'!J67-'Semi OpInc'!F67/'Semi Rev'!F67)*10000,""),"")</f>
        <v/>
      </c>
      <c r="G920" s="43">
        <f>IFERROR(IF(AND(ISNUMBER('Semi OpInc'!K67),ISNUMBER('Semi Rev'!K67),ISNUMBER('Semi OpInc'!G67),ISNUMBER('Semi Rev'!G67),'Semi Rev'!K67&gt;0,'Semi Rev'!G67&gt;0),('Semi OpInc'!K67/'Semi Rev'!K67-'Semi OpInc'!G67/'Semi Rev'!G67)*10000,""),"")</f>
        <v/>
      </c>
      <c r="H920" s="43">
        <f>IFERROR(IF(AND(ISNUMBER('Semi OpInc'!L67),ISNUMBER('Semi Rev'!L67),ISNUMBER('Semi OpInc'!H67),ISNUMBER('Semi Rev'!H67),'Semi Rev'!L67&gt;0,'Semi Rev'!H67&gt;0),('Semi OpInc'!L67/'Semi Rev'!L67-'Semi OpInc'!H67/'Semi Rev'!H67)*10000,""),"")</f>
        <v/>
      </c>
      <c r="I920" s="43">
        <f>IFERROR(IF(AND(ISNUMBER('Semi OpInc'!M67),ISNUMBER('Semi Rev'!M67),ISNUMBER('Semi OpInc'!I67),ISNUMBER('Semi Rev'!I67),'Semi Rev'!M67&gt;0,'Semi Rev'!I67&gt;0),('Semi OpInc'!M67/'Semi Rev'!M67-'Semi OpInc'!I67/'Semi Rev'!I67)*10000,""),"")</f>
        <v/>
      </c>
      <c r="J920" s="43">
        <f>IFERROR(IF(AND(ISNUMBER('Semi OpInc'!N67),ISNUMBER('Semi Rev'!N67),ISNUMBER('Semi OpInc'!J67),ISNUMBER('Semi Rev'!J67),'Semi Rev'!N67&gt;0,'Semi Rev'!J67&gt;0),('Semi OpInc'!N67/'Semi Rev'!N67-'Semi OpInc'!J67/'Semi Rev'!J67)*10000,""),"")</f>
        <v/>
      </c>
      <c r="K920" s="43">
        <f>IFERROR(IF(AND(ISNUMBER('Semi OpInc'!O67),ISNUMBER('Semi Rev'!O67),ISNUMBER('Semi OpInc'!K67),ISNUMBER('Semi Rev'!K67),'Semi Rev'!O67&gt;0,'Semi Rev'!K67&gt;0),('Semi OpInc'!O67/'Semi Rev'!O67-'Semi OpInc'!K67/'Semi Rev'!K67)*10000,""),"")</f>
        <v/>
      </c>
      <c r="L920" s="43">
        <f>IFERROR(IF(AND(ISNUMBER('Semi OpInc'!P67),ISNUMBER('Semi Rev'!P67),ISNUMBER('Semi OpInc'!L67),ISNUMBER('Semi Rev'!L67),'Semi Rev'!P67&gt;0,'Semi Rev'!L67&gt;0),('Semi OpInc'!P67/'Semi Rev'!P67-'Semi OpInc'!L67/'Semi Rev'!L67)*10000,""),"")</f>
        <v/>
      </c>
      <c r="M920" s="44">
        <f>IFERROR(IF(AND(ISNUMBER('Semi OpInc'!Q67),ISNUMBER('Semi Rev'!Q67),ISNUMBER('Semi OpInc'!M67),ISNUMBER('Semi Rev'!M67),'Semi Rev'!Q67&gt;0,'Semi Rev'!M67&gt;0),('Semi OpInc'!Q67/'Semi Rev'!Q67-'Semi OpInc'!M67/'Semi Rev'!M67)*10000,""),"")</f>
        <v/>
      </c>
      <c r="N920" s="44">
        <f>IFERROR(IF(AND(ISNUMBER('Semi OpInc'!R67),ISNUMBER('Semi Rev'!R67),ISNUMBER('Semi OpInc'!N67),ISNUMBER('Semi Rev'!N67),'Semi Rev'!R67&gt;0,'Semi Rev'!N67&gt;0),('Semi OpInc'!R67/'Semi Rev'!R67-'Semi OpInc'!N67/'Semi Rev'!N67)*10000,""),"")</f>
        <v/>
      </c>
    </row>
    <row r="921">
      <c r="A921" s="19">
        <f>'Semi Rev'!$A68</f>
        <v/>
      </c>
      <c r="B921" s="19">
        <f>'Semi Rev'!$B68</f>
        <v/>
      </c>
      <c r="C921" s="43">
        <f>IFERROR(IF(AND(ISNUMBER('Semi OpInc'!G68),ISNUMBER('Semi Rev'!G68),ISNUMBER('Semi OpInc'!C68),ISNUMBER('Semi Rev'!C68),'Semi Rev'!G68&gt;0,'Semi Rev'!C68&gt;0),('Semi OpInc'!G68/'Semi Rev'!G68-'Semi OpInc'!C68/'Semi Rev'!C68)*10000,""),"")</f>
        <v/>
      </c>
      <c r="D921" s="43">
        <f>IFERROR(IF(AND(ISNUMBER('Semi OpInc'!H68),ISNUMBER('Semi Rev'!H68),ISNUMBER('Semi OpInc'!D68),ISNUMBER('Semi Rev'!D68),'Semi Rev'!H68&gt;0,'Semi Rev'!D68&gt;0),('Semi OpInc'!H68/'Semi Rev'!H68-'Semi OpInc'!D68/'Semi Rev'!D68)*10000,""),"")</f>
        <v/>
      </c>
      <c r="E921" s="43">
        <f>IFERROR(IF(AND(ISNUMBER('Semi OpInc'!I68),ISNUMBER('Semi Rev'!I68),ISNUMBER('Semi OpInc'!E68),ISNUMBER('Semi Rev'!E68),'Semi Rev'!I68&gt;0,'Semi Rev'!E68&gt;0),('Semi OpInc'!I68/'Semi Rev'!I68-'Semi OpInc'!E68/'Semi Rev'!E68)*10000,""),"")</f>
        <v/>
      </c>
      <c r="F921" s="43">
        <f>IFERROR(IF(AND(ISNUMBER('Semi OpInc'!J68),ISNUMBER('Semi Rev'!J68),ISNUMBER('Semi OpInc'!F68),ISNUMBER('Semi Rev'!F68),'Semi Rev'!J68&gt;0,'Semi Rev'!F68&gt;0),('Semi OpInc'!J68/'Semi Rev'!J68-'Semi OpInc'!F68/'Semi Rev'!F68)*10000,""),"")</f>
        <v/>
      </c>
      <c r="G921" s="43">
        <f>IFERROR(IF(AND(ISNUMBER('Semi OpInc'!K68),ISNUMBER('Semi Rev'!K68),ISNUMBER('Semi OpInc'!G68),ISNUMBER('Semi Rev'!G68),'Semi Rev'!K68&gt;0,'Semi Rev'!G68&gt;0),('Semi OpInc'!K68/'Semi Rev'!K68-'Semi OpInc'!G68/'Semi Rev'!G68)*10000,""),"")</f>
        <v/>
      </c>
      <c r="H921" s="43">
        <f>IFERROR(IF(AND(ISNUMBER('Semi OpInc'!L68),ISNUMBER('Semi Rev'!L68),ISNUMBER('Semi OpInc'!H68),ISNUMBER('Semi Rev'!H68),'Semi Rev'!L68&gt;0,'Semi Rev'!H68&gt;0),('Semi OpInc'!L68/'Semi Rev'!L68-'Semi OpInc'!H68/'Semi Rev'!H68)*10000,""),"")</f>
        <v/>
      </c>
      <c r="I921" s="43">
        <f>IFERROR(IF(AND(ISNUMBER('Semi OpInc'!M68),ISNUMBER('Semi Rev'!M68),ISNUMBER('Semi OpInc'!I68),ISNUMBER('Semi Rev'!I68),'Semi Rev'!M68&gt;0,'Semi Rev'!I68&gt;0),('Semi OpInc'!M68/'Semi Rev'!M68-'Semi OpInc'!I68/'Semi Rev'!I68)*10000,""),"")</f>
        <v/>
      </c>
      <c r="J921" s="43">
        <f>IFERROR(IF(AND(ISNUMBER('Semi OpInc'!N68),ISNUMBER('Semi Rev'!N68),ISNUMBER('Semi OpInc'!J68),ISNUMBER('Semi Rev'!J68),'Semi Rev'!N68&gt;0,'Semi Rev'!J68&gt;0),('Semi OpInc'!N68/'Semi Rev'!N68-'Semi OpInc'!J68/'Semi Rev'!J68)*10000,""),"")</f>
        <v/>
      </c>
      <c r="K921" s="43">
        <f>IFERROR(IF(AND(ISNUMBER('Semi OpInc'!O68),ISNUMBER('Semi Rev'!O68),ISNUMBER('Semi OpInc'!K68),ISNUMBER('Semi Rev'!K68),'Semi Rev'!O68&gt;0,'Semi Rev'!K68&gt;0),('Semi OpInc'!O68/'Semi Rev'!O68-'Semi OpInc'!K68/'Semi Rev'!K68)*10000,""),"")</f>
        <v/>
      </c>
      <c r="L921" s="43">
        <f>IFERROR(IF(AND(ISNUMBER('Semi OpInc'!P68),ISNUMBER('Semi Rev'!P68),ISNUMBER('Semi OpInc'!L68),ISNUMBER('Semi Rev'!L68),'Semi Rev'!P68&gt;0,'Semi Rev'!L68&gt;0),('Semi OpInc'!P68/'Semi Rev'!P68-'Semi OpInc'!L68/'Semi Rev'!L68)*10000,""),"")</f>
        <v/>
      </c>
      <c r="M921" s="44">
        <f>IFERROR(IF(AND(ISNUMBER('Semi OpInc'!Q68),ISNUMBER('Semi Rev'!Q68),ISNUMBER('Semi OpInc'!M68),ISNUMBER('Semi Rev'!M68),'Semi Rev'!Q68&gt;0,'Semi Rev'!M68&gt;0),('Semi OpInc'!Q68/'Semi Rev'!Q68-'Semi OpInc'!M68/'Semi Rev'!M68)*10000,""),"")</f>
        <v/>
      </c>
      <c r="N921" s="44">
        <f>IFERROR(IF(AND(ISNUMBER('Semi OpInc'!R68),ISNUMBER('Semi Rev'!R68),ISNUMBER('Semi OpInc'!N68),ISNUMBER('Semi Rev'!N68),'Semi Rev'!R68&gt;0,'Semi Rev'!N68&gt;0),('Semi OpInc'!R68/'Semi Rev'!R68-'Semi OpInc'!N68/'Semi Rev'!N68)*10000,""),"")</f>
        <v/>
      </c>
    </row>
    <row r="922">
      <c r="A922" s="19">
        <f>'Semi Rev'!$A69</f>
        <v/>
      </c>
      <c r="B922" s="19">
        <f>'Semi Rev'!$B69</f>
        <v/>
      </c>
      <c r="C922" s="43">
        <f>IFERROR(IF(AND(ISNUMBER('Semi OpInc'!G69),ISNUMBER('Semi Rev'!G69),ISNUMBER('Semi OpInc'!C69),ISNUMBER('Semi Rev'!C69),'Semi Rev'!G69&gt;0,'Semi Rev'!C69&gt;0),('Semi OpInc'!G69/'Semi Rev'!G69-'Semi OpInc'!C69/'Semi Rev'!C69)*10000,""),"")</f>
        <v/>
      </c>
      <c r="D922" s="43">
        <f>IFERROR(IF(AND(ISNUMBER('Semi OpInc'!H69),ISNUMBER('Semi Rev'!H69),ISNUMBER('Semi OpInc'!D69),ISNUMBER('Semi Rev'!D69),'Semi Rev'!H69&gt;0,'Semi Rev'!D69&gt;0),('Semi OpInc'!H69/'Semi Rev'!H69-'Semi OpInc'!D69/'Semi Rev'!D69)*10000,""),"")</f>
        <v/>
      </c>
      <c r="E922" s="43">
        <f>IFERROR(IF(AND(ISNUMBER('Semi OpInc'!I69),ISNUMBER('Semi Rev'!I69),ISNUMBER('Semi OpInc'!E69),ISNUMBER('Semi Rev'!E69),'Semi Rev'!I69&gt;0,'Semi Rev'!E69&gt;0),('Semi OpInc'!I69/'Semi Rev'!I69-'Semi OpInc'!E69/'Semi Rev'!E69)*10000,""),"")</f>
        <v/>
      </c>
      <c r="F922" s="43">
        <f>IFERROR(IF(AND(ISNUMBER('Semi OpInc'!J69),ISNUMBER('Semi Rev'!J69),ISNUMBER('Semi OpInc'!F69),ISNUMBER('Semi Rev'!F69),'Semi Rev'!J69&gt;0,'Semi Rev'!F69&gt;0),('Semi OpInc'!J69/'Semi Rev'!J69-'Semi OpInc'!F69/'Semi Rev'!F69)*10000,""),"")</f>
        <v/>
      </c>
      <c r="G922" s="43">
        <f>IFERROR(IF(AND(ISNUMBER('Semi OpInc'!K69),ISNUMBER('Semi Rev'!K69),ISNUMBER('Semi OpInc'!G69),ISNUMBER('Semi Rev'!G69),'Semi Rev'!K69&gt;0,'Semi Rev'!G69&gt;0),('Semi OpInc'!K69/'Semi Rev'!K69-'Semi OpInc'!G69/'Semi Rev'!G69)*10000,""),"")</f>
        <v/>
      </c>
      <c r="H922" s="43">
        <f>IFERROR(IF(AND(ISNUMBER('Semi OpInc'!L69),ISNUMBER('Semi Rev'!L69),ISNUMBER('Semi OpInc'!H69),ISNUMBER('Semi Rev'!H69),'Semi Rev'!L69&gt;0,'Semi Rev'!H69&gt;0),('Semi OpInc'!L69/'Semi Rev'!L69-'Semi OpInc'!H69/'Semi Rev'!H69)*10000,""),"")</f>
        <v/>
      </c>
      <c r="I922" s="43">
        <f>IFERROR(IF(AND(ISNUMBER('Semi OpInc'!M69),ISNUMBER('Semi Rev'!M69),ISNUMBER('Semi OpInc'!I69),ISNUMBER('Semi Rev'!I69),'Semi Rev'!M69&gt;0,'Semi Rev'!I69&gt;0),('Semi OpInc'!M69/'Semi Rev'!M69-'Semi OpInc'!I69/'Semi Rev'!I69)*10000,""),"")</f>
        <v/>
      </c>
      <c r="J922" s="43">
        <f>IFERROR(IF(AND(ISNUMBER('Semi OpInc'!N69),ISNUMBER('Semi Rev'!N69),ISNUMBER('Semi OpInc'!J69),ISNUMBER('Semi Rev'!J69),'Semi Rev'!N69&gt;0,'Semi Rev'!J69&gt;0),('Semi OpInc'!N69/'Semi Rev'!N69-'Semi OpInc'!J69/'Semi Rev'!J69)*10000,""),"")</f>
        <v/>
      </c>
      <c r="K922" s="43">
        <f>IFERROR(IF(AND(ISNUMBER('Semi OpInc'!O69),ISNUMBER('Semi Rev'!O69),ISNUMBER('Semi OpInc'!K69),ISNUMBER('Semi Rev'!K69),'Semi Rev'!O69&gt;0,'Semi Rev'!K69&gt;0),('Semi OpInc'!O69/'Semi Rev'!O69-'Semi OpInc'!K69/'Semi Rev'!K69)*10000,""),"")</f>
        <v/>
      </c>
      <c r="L922" s="43">
        <f>IFERROR(IF(AND(ISNUMBER('Semi OpInc'!P69),ISNUMBER('Semi Rev'!P69),ISNUMBER('Semi OpInc'!L69),ISNUMBER('Semi Rev'!L69),'Semi Rev'!P69&gt;0,'Semi Rev'!L69&gt;0),('Semi OpInc'!P69/'Semi Rev'!P69-'Semi OpInc'!L69/'Semi Rev'!L69)*10000,""),"")</f>
        <v/>
      </c>
      <c r="M922" s="44">
        <f>IFERROR(IF(AND(ISNUMBER('Semi OpInc'!Q69),ISNUMBER('Semi Rev'!Q69),ISNUMBER('Semi OpInc'!M69),ISNUMBER('Semi Rev'!M69),'Semi Rev'!Q69&gt;0,'Semi Rev'!M69&gt;0),('Semi OpInc'!Q69/'Semi Rev'!Q69-'Semi OpInc'!M69/'Semi Rev'!M69)*10000,""),"")</f>
        <v/>
      </c>
      <c r="N922" s="44">
        <f>IFERROR(IF(AND(ISNUMBER('Semi OpInc'!R69),ISNUMBER('Semi Rev'!R69),ISNUMBER('Semi OpInc'!N69),ISNUMBER('Semi Rev'!N69),'Semi Rev'!R69&gt;0,'Semi Rev'!N69&gt;0),('Semi OpInc'!R69/'Semi Rev'!R69-'Semi OpInc'!N69/'Semi Rev'!N69)*10000,""),"")</f>
        <v/>
      </c>
    </row>
    <row r="923">
      <c r="A923" s="19">
        <f>'Semi Rev'!$A70</f>
        <v/>
      </c>
      <c r="B923" s="19">
        <f>'Semi Rev'!$B70</f>
        <v/>
      </c>
      <c r="C923" s="43">
        <f>IFERROR(IF(AND(ISNUMBER('Semi OpInc'!G70),ISNUMBER('Semi Rev'!G70),ISNUMBER('Semi OpInc'!C70),ISNUMBER('Semi Rev'!C70),'Semi Rev'!G70&gt;0,'Semi Rev'!C70&gt;0),('Semi OpInc'!G70/'Semi Rev'!G70-'Semi OpInc'!C70/'Semi Rev'!C70)*10000,""),"")</f>
        <v/>
      </c>
      <c r="D923" s="43">
        <f>IFERROR(IF(AND(ISNUMBER('Semi OpInc'!H70),ISNUMBER('Semi Rev'!H70),ISNUMBER('Semi OpInc'!D70),ISNUMBER('Semi Rev'!D70),'Semi Rev'!H70&gt;0,'Semi Rev'!D70&gt;0),('Semi OpInc'!H70/'Semi Rev'!H70-'Semi OpInc'!D70/'Semi Rev'!D70)*10000,""),"")</f>
        <v/>
      </c>
      <c r="E923" s="43">
        <f>IFERROR(IF(AND(ISNUMBER('Semi OpInc'!I70),ISNUMBER('Semi Rev'!I70),ISNUMBER('Semi OpInc'!E70),ISNUMBER('Semi Rev'!E70),'Semi Rev'!I70&gt;0,'Semi Rev'!E70&gt;0),('Semi OpInc'!I70/'Semi Rev'!I70-'Semi OpInc'!E70/'Semi Rev'!E70)*10000,""),"")</f>
        <v/>
      </c>
      <c r="F923" s="43">
        <f>IFERROR(IF(AND(ISNUMBER('Semi OpInc'!J70),ISNUMBER('Semi Rev'!J70),ISNUMBER('Semi OpInc'!F70),ISNUMBER('Semi Rev'!F70),'Semi Rev'!J70&gt;0,'Semi Rev'!F70&gt;0),('Semi OpInc'!J70/'Semi Rev'!J70-'Semi OpInc'!F70/'Semi Rev'!F70)*10000,""),"")</f>
        <v/>
      </c>
      <c r="G923" s="43">
        <f>IFERROR(IF(AND(ISNUMBER('Semi OpInc'!K70),ISNUMBER('Semi Rev'!K70),ISNUMBER('Semi OpInc'!G70),ISNUMBER('Semi Rev'!G70),'Semi Rev'!K70&gt;0,'Semi Rev'!G70&gt;0),('Semi OpInc'!K70/'Semi Rev'!K70-'Semi OpInc'!G70/'Semi Rev'!G70)*10000,""),"")</f>
        <v/>
      </c>
      <c r="H923" s="43">
        <f>IFERROR(IF(AND(ISNUMBER('Semi OpInc'!L70),ISNUMBER('Semi Rev'!L70),ISNUMBER('Semi OpInc'!H70),ISNUMBER('Semi Rev'!H70),'Semi Rev'!L70&gt;0,'Semi Rev'!H70&gt;0),('Semi OpInc'!L70/'Semi Rev'!L70-'Semi OpInc'!H70/'Semi Rev'!H70)*10000,""),"")</f>
        <v/>
      </c>
      <c r="I923" s="43">
        <f>IFERROR(IF(AND(ISNUMBER('Semi OpInc'!M70),ISNUMBER('Semi Rev'!M70),ISNUMBER('Semi OpInc'!I70),ISNUMBER('Semi Rev'!I70),'Semi Rev'!M70&gt;0,'Semi Rev'!I70&gt;0),('Semi OpInc'!M70/'Semi Rev'!M70-'Semi OpInc'!I70/'Semi Rev'!I70)*10000,""),"")</f>
        <v/>
      </c>
      <c r="J923" s="43">
        <f>IFERROR(IF(AND(ISNUMBER('Semi OpInc'!N70),ISNUMBER('Semi Rev'!N70),ISNUMBER('Semi OpInc'!J70),ISNUMBER('Semi Rev'!J70),'Semi Rev'!N70&gt;0,'Semi Rev'!J70&gt;0),('Semi OpInc'!N70/'Semi Rev'!N70-'Semi OpInc'!J70/'Semi Rev'!J70)*10000,""),"")</f>
        <v/>
      </c>
      <c r="K923" s="43">
        <f>IFERROR(IF(AND(ISNUMBER('Semi OpInc'!O70),ISNUMBER('Semi Rev'!O70),ISNUMBER('Semi OpInc'!K70),ISNUMBER('Semi Rev'!K70),'Semi Rev'!O70&gt;0,'Semi Rev'!K70&gt;0),('Semi OpInc'!O70/'Semi Rev'!O70-'Semi OpInc'!K70/'Semi Rev'!K70)*10000,""),"")</f>
        <v/>
      </c>
      <c r="L923" s="43">
        <f>IFERROR(IF(AND(ISNUMBER('Semi OpInc'!P70),ISNUMBER('Semi Rev'!P70),ISNUMBER('Semi OpInc'!L70),ISNUMBER('Semi Rev'!L70),'Semi Rev'!P70&gt;0,'Semi Rev'!L70&gt;0),('Semi OpInc'!P70/'Semi Rev'!P70-'Semi OpInc'!L70/'Semi Rev'!L70)*10000,""),"")</f>
        <v/>
      </c>
      <c r="M923" s="44">
        <f>IFERROR(IF(AND(ISNUMBER('Semi OpInc'!Q70),ISNUMBER('Semi Rev'!Q70),ISNUMBER('Semi OpInc'!M70),ISNUMBER('Semi Rev'!M70),'Semi Rev'!Q70&gt;0,'Semi Rev'!M70&gt;0),('Semi OpInc'!Q70/'Semi Rev'!Q70-'Semi OpInc'!M70/'Semi Rev'!M70)*10000,""),"")</f>
        <v/>
      </c>
      <c r="N923" s="44">
        <f>IFERROR(IF(AND(ISNUMBER('Semi OpInc'!R70),ISNUMBER('Semi Rev'!R70),ISNUMBER('Semi OpInc'!N70),ISNUMBER('Semi Rev'!N70),'Semi Rev'!R70&gt;0,'Semi Rev'!N70&gt;0),('Semi OpInc'!R70/'Semi Rev'!R70-'Semi OpInc'!N70/'Semi Rev'!N70)*10000,""),"")</f>
        <v/>
      </c>
    </row>
    <row r="924">
      <c r="A924" s="19">
        <f>'Semi Rev'!$A71</f>
        <v/>
      </c>
      <c r="B924" s="19">
        <f>'Semi Rev'!$B71</f>
        <v/>
      </c>
      <c r="C924" s="43">
        <f>IFERROR(IF(AND(ISNUMBER('Semi OpInc'!G71),ISNUMBER('Semi Rev'!G71),ISNUMBER('Semi OpInc'!C71),ISNUMBER('Semi Rev'!C71),'Semi Rev'!G71&gt;0,'Semi Rev'!C71&gt;0),('Semi OpInc'!G71/'Semi Rev'!G71-'Semi OpInc'!C71/'Semi Rev'!C71)*10000,""),"")</f>
        <v/>
      </c>
      <c r="D924" s="43">
        <f>IFERROR(IF(AND(ISNUMBER('Semi OpInc'!H71),ISNUMBER('Semi Rev'!H71),ISNUMBER('Semi OpInc'!D71),ISNUMBER('Semi Rev'!D71),'Semi Rev'!H71&gt;0,'Semi Rev'!D71&gt;0),('Semi OpInc'!H71/'Semi Rev'!H71-'Semi OpInc'!D71/'Semi Rev'!D71)*10000,""),"")</f>
        <v/>
      </c>
      <c r="E924" s="43">
        <f>IFERROR(IF(AND(ISNUMBER('Semi OpInc'!I71),ISNUMBER('Semi Rev'!I71),ISNUMBER('Semi OpInc'!E71),ISNUMBER('Semi Rev'!E71),'Semi Rev'!I71&gt;0,'Semi Rev'!E71&gt;0),('Semi OpInc'!I71/'Semi Rev'!I71-'Semi OpInc'!E71/'Semi Rev'!E71)*10000,""),"")</f>
        <v/>
      </c>
      <c r="F924" s="43">
        <f>IFERROR(IF(AND(ISNUMBER('Semi OpInc'!J71),ISNUMBER('Semi Rev'!J71),ISNUMBER('Semi OpInc'!F71),ISNUMBER('Semi Rev'!F71),'Semi Rev'!J71&gt;0,'Semi Rev'!F71&gt;0),('Semi OpInc'!J71/'Semi Rev'!J71-'Semi OpInc'!F71/'Semi Rev'!F71)*10000,""),"")</f>
        <v/>
      </c>
      <c r="G924" s="43">
        <f>IFERROR(IF(AND(ISNUMBER('Semi OpInc'!K71),ISNUMBER('Semi Rev'!K71),ISNUMBER('Semi OpInc'!G71),ISNUMBER('Semi Rev'!G71),'Semi Rev'!K71&gt;0,'Semi Rev'!G71&gt;0),('Semi OpInc'!K71/'Semi Rev'!K71-'Semi OpInc'!G71/'Semi Rev'!G71)*10000,""),"")</f>
        <v/>
      </c>
      <c r="H924" s="43">
        <f>IFERROR(IF(AND(ISNUMBER('Semi OpInc'!L71),ISNUMBER('Semi Rev'!L71),ISNUMBER('Semi OpInc'!H71),ISNUMBER('Semi Rev'!H71),'Semi Rev'!L71&gt;0,'Semi Rev'!H71&gt;0),('Semi OpInc'!L71/'Semi Rev'!L71-'Semi OpInc'!H71/'Semi Rev'!H71)*10000,""),"")</f>
        <v/>
      </c>
      <c r="I924" s="43">
        <f>IFERROR(IF(AND(ISNUMBER('Semi OpInc'!M71),ISNUMBER('Semi Rev'!M71),ISNUMBER('Semi OpInc'!I71),ISNUMBER('Semi Rev'!I71),'Semi Rev'!M71&gt;0,'Semi Rev'!I71&gt;0),('Semi OpInc'!M71/'Semi Rev'!M71-'Semi OpInc'!I71/'Semi Rev'!I71)*10000,""),"")</f>
        <v/>
      </c>
      <c r="J924" s="43">
        <f>IFERROR(IF(AND(ISNUMBER('Semi OpInc'!N71),ISNUMBER('Semi Rev'!N71),ISNUMBER('Semi OpInc'!J71),ISNUMBER('Semi Rev'!J71),'Semi Rev'!N71&gt;0,'Semi Rev'!J71&gt;0),('Semi OpInc'!N71/'Semi Rev'!N71-'Semi OpInc'!J71/'Semi Rev'!J71)*10000,""),"")</f>
        <v/>
      </c>
      <c r="K924" s="43">
        <f>IFERROR(IF(AND(ISNUMBER('Semi OpInc'!O71),ISNUMBER('Semi Rev'!O71),ISNUMBER('Semi OpInc'!K71),ISNUMBER('Semi Rev'!K71),'Semi Rev'!O71&gt;0,'Semi Rev'!K71&gt;0),('Semi OpInc'!O71/'Semi Rev'!O71-'Semi OpInc'!K71/'Semi Rev'!K71)*10000,""),"")</f>
        <v/>
      </c>
      <c r="L924" s="43">
        <f>IFERROR(IF(AND(ISNUMBER('Semi OpInc'!P71),ISNUMBER('Semi Rev'!P71),ISNUMBER('Semi OpInc'!L71),ISNUMBER('Semi Rev'!L71),'Semi Rev'!P71&gt;0,'Semi Rev'!L71&gt;0),('Semi OpInc'!P71/'Semi Rev'!P71-'Semi OpInc'!L71/'Semi Rev'!L71)*10000,""),"")</f>
        <v/>
      </c>
      <c r="M924" s="44">
        <f>IFERROR(IF(AND(ISNUMBER('Semi OpInc'!Q71),ISNUMBER('Semi Rev'!Q71),ISNUMBER('Semi OpInc'!M71),ISNUMBER('Semi Rev'!M71),'Semi Rev'!Q71&gt;0,'Semi Rev'!M71&gt;0),('Semi OpInc'!Q71/'Semi Rev'!Q71-'Semi OpInc'!M71/'Semi Rev'!M71)*10000,""),"")</f>
        <v/>
      </c>
      <c r="N924" s="44">
        <f>IFERROR(IF(AND(ISNUMBER('Semi OpInc'!R71),ISNUMBER('Semi Rev'!R71),ISNUMBER('Semi OpInc'!N71),ISNUMBER('Semi Rev'!N71),'Semi Rev'!R71&gt;0,'Semi Rev'!N71&gt;0),('Semi OpInc'!R71/'Semi Rev'!R71-'Semi OpInc'!N71/'Semi Rev'!N71)*10000,""),"")</f>
        <v/>
      </c>
    </row>
    <row r="925">
      <c r="A925" s="19">
        <f>'Semi Rev'!$A72</f>
        <v/>
      </c>
      <c r="B925" s="19">
        <f>'Semi Rev'!$B72</f>
        <v/>
      </c>
      <c r="C925" s="43">
        <f>IFERROR(IF(AND(ISNUMBER('Semi OpInc'!G72),ISNUMBER('Semi Rev'!G72),ISNUMBER('Semi OpInc'!C72),ISNUMBER('Semi Rev'!C72),'Semi Rev'!G72&gt;0,'Semi Rev'!C72&gt;0),('Semi OpInc'!G72/'Semi Rev'!G72-'Semi OpInc'!C72/'Semi Rev'!C72)*10000,""),"")</f>
        <v/>
      </c>
      <c r="D925" s="43">
        <f>IFERROR(IF(AND(ISNUMBER('Semi OpInc'!H72),ISNUMBER('Semi Rev'!H72),ISNUMBER('Semi OpInc'!D72),ISNUMBER('Semi Rev'!D72),'Semi Rev'!H72&gt;0,'Semi Rev'!D72&gt;0),('Semi OpInc'!H72/'Semi Rev'!H72-'Semi OpInc'!D72/'Semi Rev'!D72)*10000,""),"")</f>
        <v/>
      </c>
      <c r="E925" s="43">
        <f>IFERROR(IF(AND(ISNUMBER('Semi OpInc'!I72),ISNUMBER('Semi Rev'!I72),ISNUMBER('Semi OpInc'!E72),ISNUMBER('Semi Rev'!E72),'Semi Rev'!I72&gt;0,'Semi Rev'!E72&gt;0),('Semi OpInc'!I72/'Semi Rev'!I72-'Semi OpInc'!E72/'Semi Rev'!E72)*10000,""),"")</f>
        <v/>
      </c>
      <c r="F925" s="43">
        <f>IFERROR(IF(AND(ISNUMBER('Semi OpInc'!J72),ISNUMBER('Semi Rev'!J72),ISNUMBER('Semi OpInc'!F72),ISNUMBER('Semi Rev'!F72),'Semi Rev'!J72&gt;0,'Semi Rev'!F72&gt;0),('Semi OpInc'!J72/'Semi Rev'!J72-'Semi OpInc'!F72/'Semi Rev'!F72)*10000,""),"")</f>
        <v/>
      </c>
      <c r="G925" s="43">
        <f>IFERROR(IF(AND(ISNUMBER('Semi OpInc'!K72),ISNUMBER('Semi Rev'!K72),ISNUMBER('Semi OpInc'!G72),ISNUMBER('Semi Rev'!G72),'Semi Rev'!K72&gt;0,'Semi Rev'!G72&gt;0),('Semi OpInc'!K72/'Semi Rev'!K72-'Semi OpInc'!G72/'Semi Rev'!G72)*10000,""),"")</f>
        <v/>
      </c>
      <c r="H925" s="43">
        <f>IFERROR(IF(AND(ISNUMBER('Semi OpInc'!L72),ISNUMBER('Semi Rev'!L72),ISNUMBER('Semi OpInc'!H72),ISNUMBER('Semi Rev'!H72),'Semi Rev'!L72&gt;0,'Semi Rev'!H72&gt;0),('Semi OpInc'!L72/'Semi Rev'!L72-'Semi OpInc'!H72/'Semi Rev'!H72)*10000,""),"")</f>
        <v/>
      </c>
      <c r="I925" s="43">
        <f>IFERROR(IF(AND(ISNUMBER('Semi OpInc'!M72),ISNUMBER('Semi Rev'!M72),ISNUMBER('Semi OpInc'!I72),ISNUMBER('Semi Rev'!I72),'Semi Rev'!M72&gt;0,'Semi Rev'!I72&gt;0),('Semi OpInc'!M72/'Semi Rev'!M72-'Semi OpInc'!I72/'Semi Rev'!I72)*10000,""),"")</f>
        <v/>
      </c>
      <c r="J925" s="43">
        <f>IFERROR(IF(AND(ISNUMBER('Semi OpInc'!N72),ISNUMBER('Semi Rev'!N72),ISNUMBER('Semi OpInc'!J72),ISNUMBER('Semi Rev'!J72),'Semi Rev'!N72&gt;0,'Semi Rev'!J72&gt;0),('Semi OpInc'!N72/'Semi Rev'!N72-'Semi OpInc'!J72/'Semi Rev'!J72)*10000,""),"")</f>
        <v/>
      </c>
      <c r="K925" s="43">
        <f>IFERROR(IF(AND(ISNUMBER('Semi OpInc'!O72),ISNUMBER('Semi Rev'!O72),ISNUMBER('Semi OpInc'!K72),ISNUMBER('Semi Rev'!K72),'Semi Rev'!O72&gt;0,'Semi Rev'!K72&gt;0),('Semi OpInc'!O72/'Semi Rev'!O72-'Semi OpInc'!K72/'Semi Rev'!K72)*10000,""),"")</f>
        <v/>
      </c>
      <c r="L925" s="43">
        <f>IFERROR(IF(AND(ISNUMBER('Semi OpInc'!P72),ISNUMBER('Semi Rev'!P72),ISNUMBER('Semi OpInc'!L72),ISNUMBER('Semi Rev'!L72),'Semi Rev'!P72&gt;0,'Semi Rev'!L72&gt;0),('Semi OpInc'!P72/'Semi Rev'!P72-'Semi OpInc'!L72/'Semi Rev'!L72)*10000,""),"")</f>
        <v/>
      </c>
      <c r="M925" s="44">
        <f>IFERROR(IF(AND(ISNUMBER('Semi OpInc'!Q72),ISNUMBER('Semi Rev'!Q72),ISNUMBER('Semi OpInc'!M72),ISNUMBER('Semi Rev'!M72),'Semi Rev'!Q72&gt;0,'Semi Rev'!M72&gt;0),('Semi OpInc'!Q72/'Semi Rev'!Q72-'Semi OpInc'!M72/'Semi Rev'!M72)*10000,""),"")</f>
        <v/>
      </c>
      <c r="N925" s="44">
        <f>IFERROR(IF(AND(ISNUMBER('Semi OpInc'!R72),ISNUMBER('Semi Rev'!R72),ISNUMBER('Semi OpInc'!N72),ISNUMBER('Semi Rev'!N72),'Semi Rev'!R72&gt;0,'Semi Rev'!N72&gt;0),('Semi OpInc'!R72/'Semi Rev'!R72-'Semi OpInc'!N72/'Semi Rev'!N72)*10000,""),"")</f>
        <v/>
      </c>
    </row>
    <row r="926">
      <c r="A926" s="19">
        <f>'Semi Rev'!$A73</f>
        <v/>
      </c>
      <c r="B926" s="19">
        <f>'Semi Rev'!$B73</f>
        <v/>
      </c>
      <c r="C926" s="43">
        <f>IFERROR(IF(AND(ISNUMBER('Semi OpInc'!G73),ISNUMBER('Semi Rev'!G73),ISNUMBER('Semi OpInc'!C73),ISNUMBER('Semi Rev'!C73),'Semi Rev'!G73&gt;0,'Semi Rev'!C73&gt;0),('Semi OpInc'!G73/'Semi Rev'!G73-'Semi OpInc'!C73/'Semi Rev'!C73)*10000,""),"")</f>
        <v/>
      </c>
      <c r="D926" s="43">
        <f>IFERROR(IF(AND(ISNUMBER('Semi OpInc'!H73),ISNUMBER('Semi Rev'!H73),ISNUMBER('Semi OpInc'!D73),ISNUMBER('Semi Rev'!D73),'Semi Rev'!H73&gt;0,'Semi Rev'!D73&gt;0),('Semi OpInc'!H73/'Semi Rev'!H73-'Semi OpInc'!D73/'Semi Rev'!D73)*10000,""),"")</f>
        <v/>
      </c>
      <c r="E926" s="43">
        <f>IFERROR(IF(AND(ISNUMBER('Semi OpInc'!I73),ISNUMBER('Semi Rev'!I73),ISNUMBER('Semi OpInc'!E73),ISNUMBER('Semi Rev'!E73),'Semi Rev'!I73&gt;0,'Semi Rev'!E73&gt;0),('Semi OpInc'!I73/'Semi Rev'!I73-'Semi OpInc'!E73/'Semi Rev'!E73)*10000,""),"")</f>
        <v/>
      </c>
      <c r="F926" s="43">
        <f>IFERROR(IF(AND(ISNUMBER('Semi OpInc'!J73),ISNUMBER('Semi Rev'!J73),ISNUMBER('Semi OpInc'!F73),ISNUMBER('Semi Rev'!F73),'Semi Rev'!J73&gt;0,'Semi Rev'!F73&gt;0),('Semi OpInc'!J73/'Semi Rev'!J73-'Semi OpInc'!F73/'Semi Rev'!F73)*10000,""),"")</f>
        <v/>
      </c>
      <c r="G926" s="43">
        <f>IFERROR(IF(AND(ISNUMBER('Semi OpInc'!K73),ISNUMBER('Semi Rev'!K73),ISNUMBER('Semi OpInc'!G73),ISNUMBER('Semi Rev'!G73),'Semi Rev'!K73&gt;0,'Semi Rev'!G73&gt;0),('Semi OpInc'!K73/'Semi Rev'!K73-'Semi OpInc'!G73/'Semi Rev'!G73)*10000,""),"")</f>
        <v/>
      </c>
      <c r="H926" s="43">
        <f>IFERROR(IF(AND(ISNUMBER('Semi OpInc'!L73),ISNUMBER('Semi Rev'!L73),ISNUMBER('Semi OpInc'!H73),ISNUMBER('Semi Rev'!H73),'Semi Rev'!L73&gt;0,'Semi Rev'!H73&gt;0),('Semi OpInc'!L73/'Semi Rev'!L73-'Semi OpInc'!H73/'Semi Rev'!H73)*10000,""),"")</f>
        <v/>
      </c>
      <c r="I926" s="43">
        <f>IFERROR(IF(AND(ISNUMBER('Semi OpInc'!M73),ISNUMBER('Semi Rev'!M73),ISNUMBER('Semi OpInc'!I73),ISNUMBER('Semi Rev'!I73),'Semi Rev'!M73&gt;0,'Semi Rev'!I73&gt;0),('Semi OpInc'!M73/'Semi Rev'!M73-'Semi OpInc'!I73/'Semi Rev'!I73)*10000,""),"")</f>
        <v/>
      </c>
      <c r="J926" s="43">
        <f>IFERROR(IF(AND(ISNUMBER('Semi OpInc'!N73),ISNUMBER('Semi Rev'!N73),ISNUMBER('Semi OpInc'!J73),ISNUMBER('Semi Rev'!J73),'Semi Rev'!N73&gt;0,'Semi Rev'!J73&gt;0),('Semi OpInc'!N73/'Semi Rev'!N73-'Semi OpInc'!J73/'Semi Rev'!J73)*10000,""),"")</f>
        <v/>
      </c>
      <c r="K926" s="43">
        <f>IFERROR(IF(AND(ISNUMBER('Semi OpInc'!O73),ISNUMBER('Semi Rev'!O73),ISNUMBER('Semi OpInc'!K73),ISNUMBER('Semi Rev'!K73),'Semi Rev'!O73&gt;0,'Semi Rev'!K73&gt;0),('Semi OpInc'!O73/'Semi Rev'!O73-'Semi OpInc'!K73/'Semi Rev'!K73)*10000,""),"")</f>
        <v/>
      </c>
      <c r="L926" s="43">
        <f>IFERROR(IF(AND(ISNUMBER('Semi OpInc'!P73),ISNUMBER('Semi Rev'!P73),ISNUMBER('Semi OpInc'!L73),ISNUMBER('Semi Rev'!L73),'Semi Rev'!P73&gt;0,'Semi Rev'!L73&gt;0),('Semi OpInc'!P73/'Semi Rev'!P73-'Semi OpInc'!L73/'Semi Rev'!L73)*10000,""),"")</f>
        <v/>
      </c>
      <c r="M926" s="44">
        <f>IFERROR(IF(AND(ISNUMBER('Semi OpInc'!Q73),ISNUMBER('Semi Rev'!Q73),ISNUMBER('Semi OpInc'!M73),ISNUMBER('Semi Rev'!M73),'Semi Rev'!Q73&gt;0,'Semi Rev'!M73&gt;0),('Semi OpInc'!Q73/'Semi Rev'!Q73-'Semi OpInc'!M73/'Semi Rev'!M73)*10000,""),"")</f>
        <v/>
      </c>
      <c r="N926" s="44">
        <f>IFERROR(IF(AND(ISNUMBER('Semi OpInc'!R73),ISNUMBER('Semi Rev'!R73),ISNUMBER('Semi OpInc'!N73),ISNUMBER('Semi Rev'!N73),'Semi Rev'!R73&gt;0,'Semi Rev'!N73&gt;0),('Semi OpInc'!R73/'Semi Rev'!R73-'Semi OpInc'!N73/'Semi Rev'!N73)*10000,""),"")</f>
        <v/>
      </c>
    </row>
    <row r="927">
      <c r="A927" s="19">
        <f>'Semi Rev'!$A74</f>
        <v/>
      </c>
      <c r="B927" s="19">
        <f>'Semi Rev'!$B74</f>
        <v/>
      </c>
      <c r="C927" s="43">
        <f>IFERROR(IF(AND(ISNUMBER('Semi OpInc'!G74),ISNUMBER('Semi Rev'!G74),ISNUMBER('Semi OpInc'!C74),ISNUMBER('Semi Rev'!C74),'Semi Rev'!G74&gt;0,'Semi Rev'!C74&gt;0),('Semi OpInc'!G74/'Semi Rev'!G74-'Semi OpInc'!C74/'Semi Rev'!C74)*10000,""),"")</f>
        <v/>
      </c>
      <c r="D927" s="43">
        <f>IFERROR(IF(AND(ISNUMBER('Semi OpInc'!H74),ISNUMBER('Semi Rev'!H74),ISNUMBER('Semi OpInc'!D74),ISNUMBER('Semi Rev'!D74),'Semi Rev'!H74&gt;0,'Semi Rev'!D74&gt;0),('Semi OpInc'!H74/'Semi Rev'!H74-'Semi OpInc'!D74/'Semi Rev'!D74)*10000,""),"")</f>
        <v/>
      </c>
      <c r="E927" s="43">
        <f>IFERROR(IF(AND(ISNUMBER('Semi OpInc'!I74),ISNUMBER('Semi Rev'!I74),ISNUMBER('Semi OpInc'!E74),ISNUMBER('Semi Rev'!E74),'Semi Rev'!I74&gt;0,'Semi Rev'!E74&gt;0),('Semi OpInc'!I74/'Semi Rev'!I74-'Semi OpInc'!E74/'Semi Rev'!E74)*10000,""),"")</f>
        <v/>
      </c>
      <c r="F927" s="43">
        <f>IFERROR(IF(AND(ISNUMBER('Semi OpInc'!J74),ISNUMBER('Semi Rev'!J74),ISNUMBER('Semi OpInc'!F74),ISNUMBER('Semi Rev'!F74),'Semi Rev'!J74&gt;0,'Semi Rev'!F74&gt;0),('Semi OpInc'!J74/'Semi Rev'!J74-'Semi OpInc'!F74/'Semi Rev'!F74)*10000,""),"")</f>
        <v/>
      </c>
      <c r="G927" s="43">
        <f>IFERROR(IF(AND(ISNUMBER('Semi OpInc'!K74),ISNUMBER('Semi Rev'!K74),ISNUMBER('Semi OpInc'!G74),ISNUMBER('Semi Rev'!G74),'Semi Rev'!K74&gt;0,'Semi Rev'!G74&gt;0),('Semi OpInc'!K74/'Semi Rev'!K74-'Semi OpInc'!G74/'Semi Rev'!G74)*10000,""),"")</f>
        <v/>
      </c>
      <c r="H927" s="43">
        <f>IFERROR(IF(AND(ISNUMBER('Semi OpInc'!L74),ISNUMBER('Semi Rev'!L74),ISNUMBER('Semi OpInc'!H74),ISNUMBER('Semi Rev'!H74),'Semi Rev'!L74&gt;0,'Semi Rev'!H74&gt;0),('Semi OpInc'!L74/'Semi Rev'!L74-'Semi OpInc'!H74/'Semi Rev'!H74)*10000,""),"")</f>
        <v/>
      </c>
      <c r="I927" s="43">
        <f>IFERROR(IF(AND(ISNUMBER('Semi OpInc'!M74),ISNUMBER('Semi Rev'!M74),ISNUMBER('Semi OpInc'!I74),ISNUMBER('Semi Rev'!I74),'Semi Rev'!M74&gt;0,'Semi Rev'!I74&gt;0),('Semi OpInc'!M74/'Semi Rev'!M74-'Semi OpInc'!I74/'Semi Rev'!I74)*10000,""),"")</f>
        <v/>
      </c>
      <c r="J927" s="43">
        <f>IFERROR(IF(AND(ISNUMBER('Semi OpInc'!N74),ISNUMBER('Semi Rev'!N74),ISNUMBER('Semi OpInc'!J74),ISNUMBER('Semi Rev'!J74),'Semi Rev'!N74&gt;0,'Semi Rev'!J74&gt;0),('Semi OpInc'!N74/'Semi Rev'!N74-'Semi OpInc'!J74/'Semi Rev'!J74)*10000,""),"")</f>
        <v/>
      </c>
      <c r="K927" s="43">
        <f>IFERROR(IF(AND(ISNUMBER('Semi OpInc'!O74),ISNUMBER('Semi Rev'!O74),ISNUMBER('Semi OpInc'!K74),ISNUMBER('Semi Rev'!K74),'Semi Rev'!O74&gt;0,'Semi Rev'!K74&gt;0),('Semi OpInc'!O74/'Semi Rev'!O74-'Semi OpInc'!K74/'Semi Rev'!K74)*10000,""),"")</f>
        <v/>
      </c>
      <c r="L927" s="43">
        <f>IFERROR(IF(AND(ISNUMBER('Semi OpInc'!P74),ISNUMBER('Semi Rev'!P74),ISNUMBER('Semi OpInc'!L74),ISNUMBER('Semi Rev'!L74),'Semi Rev'!P74&gt;0,'Semi Rev'!L74&gt;0),('Semi OpInc'!P74/'Semi Rev'!P74-'Semi OpInc'!L74/'Semi Rev'!L74)*10000,""),"")</f>
        <v/>
      </c>
      <c r="M927" s="44">
        <f>IFERROR(IF(AND(ISNUMBER('Semi OpInc'!Q74),ISNUMBER('Semi Rev'!Q74),ISNUMBER('Semi OpInc'!M74),ISNUMBER('Semi Rev'!M74),'Semi Rev'!Q74&gt;0,'Semi Rev'!M74&gt;0),('Semi OpInc'!Q74/'Semi Rev'!Q74-'Semi OpInc'!M74/'Semi Rev'!M74)*10000,""),"")</f>
        <v/>
      </c>
      <c r="N927" s="44">
        <f>IFERROR(IF(AND(ISNUMBER('Semi OpInc'!R74),ISNUMBER('Semi Rev'!R74),ISNUMBER('Semi OpInc'!N74),ISNUMBER('Semi Rev'!N74),'Semi Rev'!R74&gt;0,'Semi Rev'!N74&gt;0),('Semi OpInc'!R74/'Semi Rev'!R74-'Semi OpInc'!N74/'Semi Rev'!N74)*10000,""),"")</f>
        <v/>
      </c>
    </row>
    <row r="928">
      <c r="A928" s="19">
        <f>'Semi Rev'!$A75</f>
        <v/>
      </c>
      <c r="B928" s="19">
        <f>'Semi Rev'!$B75</f>
        <v/>
      </c>
      <c r="C928" s="43">
        <f>IFERROR(IF(AND(ISNUMBER('Semi OpInc'!G75),ISNUMBER('Semi Rev'!G75),ISNUMBER('Semi OpInc'!C75),ISNUMBER('Semi Rev'!C75),'Semi Rev'!G75&gt;0,'Semi Rev'!C75&gt;0),('Semi OpInc'!G75/'Semi Rev'!G75-'Semi OpInc'!C75/'Semi Rev'!C75)*10000,""),"")</f>
        <v/>
      </c>
      <c r="D928" s="43">
        <f>IFERROR(IF(AND(ISNUMBER('Semi OpInc'!H75),ISNUMBER('Semi Rev'!H75),ISNUMBER('Semi OpInc'!D75),ISNUMBER('Semi Rev'!D75),'Semi Rev'!H75&gt;0,'Semi Rev'!D75&gt;0),('Semi OpInc'!H75/'Semi Rev'!H75-'Semi OpInc'!D75/'Semi Rev'!D75)*10000,""),"")</f>
        <v/>
      </c>
      <c r="E928" s="43">
        <f>IFERROR(IF(AND(ISNUMBER('Semi OpInc'!I75),ISNUMBER('Semi Rev'!I75),ISNUMBER('Semi OpInc'!E75),ISNUMBER('Semi Rev'!E75),'Semi Rev'!I75&gt;0,'Semi Rev'!E75&gt;0),('Semi OpInc'!I75/'Semi Rev'!I75-'Semi OpInc'!E75/'Semi Rev'!E75)*10000,""),"")</f>
        <v/>
      </c>
      <c r="F928" s="43">
        <f>IFERROR(IF(AND(ISNUMBER('Semi OpInc'!J75),ISNUMBER('Semi Rev'!J75),ISNUMBER('Semi OpInc'!F75),ISNUMBER('Semi Rev'!F75),'Semi Rev'!J75&gt;0,'Semi Rev'!F75&gt;0),('Semi OpInc'!J75/'Semi Rev'!J75-'Semi OpInc'!F75/'Semi Rev'!F75)*10000,""),"")</f>
        <v/>
      </c>
      <c r="G928" s="43">
        <f>IFERROR(IF(AND(ISNUMBER('Semi OpInc'!K75),ISNUMBER('Semi Rev'!K75),ISNUMBER('Semi OpInc'!G75),ISNUMBER('Semi Rev'!G75),'Semi Rev'!K75&gt;0,'Semi Rev'!G75&gt;0),('Semi OpInc'!K75/'Semi Rev'!K75-'Semi OpInc'!G75/'Semi Rev'!G75)*10000,""),"")</f>
        <v/>
      </c>
      <c r="H928" s="43">
        <f>IFERROR(IF(AND(ISNUMBER('Semi OpInc'!L75),ISNUMBER('Semi Rev'!L75),ISNUMBER('Semi OpInc'!H75),ISNUMBER('Semi Rev'!H75),'Semi Rev'!L75&gt;0,'Semi Rev'!H75&gt;0),('Semi OpInc'!L75/'Semi Rev'!L75-'Semi OpInc'!H75/'Semi Rev'!H75)*10000,""),"")</f>
        <v/>
      </c>
      <c r="I928" s="43">
        <f>IFERROR(IF(AND(ISNUMBER('Semi OpInc'!M75),ISNUMBER('Semi Rev'!M75),ISNUMBER('Semi OpInc'!I75),ISNUMBER('Semi Rev'!I75),'Semi Rev'!M75&gt;0,'Semi Rev'!I75&gt;0),('Semi OpInc'!M75/'Semi Rev'!M75-'Semi OpInc'!I75/'Semi Rev'!I75)*10000,""),"")</f>
        <v/>
      </c>
      <c r="J928" s="43">
        <f>IFERROR(IF(AND(ISNUMBER('Semi OpInc'!N75),ISNUMBER('Semi Rev'!N75),ISNUMBER('Semi OpInc'!J75),ISNUMBER('Semi Rev'!J75),'Semi Rev'!N75&gt;0,'Semi Rev'!J75&gt;0),('Semi OpInc'!N75/'Semi Rev'!N75-'Semi OpInc'!J75/'Semi Rev'!J75)*10000,""),"")</f>
        <v/>
      </c>
      <c r="K928" s="43">
        <f>IFERROR(IF(AND(ISNUMBER('Semi OpInc'!O75),ISNUMBER('Semi Rev'!O75),ISNUMBER('Semi OpInc'!K75),ISNUMBER('Semi Rev'!K75),'Semi Rev'!O75&gt;0,'Semi Rev'!K75&gt;0),('Semi OpInc'!O75/'Semi Rev'!O75-'Semi OpInc'!K75/'Semi Rev'!K75)*10000,""),"")</f>
        <v/>
      </c>
      <c r="L928" s="43">
        <f>IFERROR(IF(AND(ISNUMBER('Semi OpInc'!P75),ISNUMBER('Semi Rev'!P75),ISNUMBER('Semi OpInc'!L75),ISNUMBER('Semi Rev'!L75),'Semi Rev'!P75&gt;0,'Semi Rev'!L75&gt;0),('Semi OpInc'!P75/'Semi Rev'!P75-'Semi OpInc'!L75/'Semi Rev'!L75)*10000,""),"")</f>
        <v/>
      </c>
      <c r="M928" s="44">
        <f>IFERROR(IF(AND(ISNUMBER('Semi OpInc'!Q75),ISNUMBER('Semi Rev'!Q75),ISNUMBER('Semi OpInc'!M75),ISNUMBER('Semi Rev'!M75),'Semi Rev'!Q75&gt;0,'Semi Rev'!M75&gt;0),('Semi OpInc'!Q75/'Semi Rev'!Q75-'Semi OpInc'!M75/'Semi Rev'!M75)*10000,""),"")</f>
        <v/>
      </c>
      <c r="N928" s="44">
        <f>IFERROR(IF(AND(ISNUMBER('Semi OpInc'!R75),ISNUMBER('Semi Rev'!R75),ISNUMBER('Semi OpInc'!N75),ISNUMBER('Semi Rev'!N75),'Semi Rev'!R75&gt;0,'Semi Rev'!N75&gt;0),('Semi OpInc'!R75/'Semi Rev'!R75-'Semi OpInc'!N75/'Semi Rev'!N75)*10000,""),"")</f>
        <v/>
      </c>
    </row>
    <row r="929">
      <c r="A929" s="19">
        <f>'Semi Rev'!$A76</f>
        <v/>
      </c>
      <c r="B929" s="19">
        <f>'Semi Rev'!$B76</f>
        <v/>
      </c>
      <c r="C929" s="43">
        <f>IFERROR(IF(AND(ISNUMBER('Semi OpInc'!G76),ISNUMBER('Semi Rev'!G76),ISNUMBER('Semi OpInc'!C76),ISNUMBER('Semi Rev'!C76),'Semi Rev'!G76&gt;0,'Semi Rev'!C76&gt;0),('Semi OpInc'!G76/'Semi Rev'!G76-'Semi OpInc'!C76/'Semi Rev'!C76)*10000,""),"")</f>
        <v/>
      </c>
      <c r="D929" s="43">
        <f>IFERROR(IF(AND(ISNUMBER('Semi OpInc'!H76),ISNUMBER('Semi Rev'!H76),ISNUMBER('Semi OpInc'!D76),ISNUMBER('Semi Rev'!D76),'Semi Rev'!H76&gt;0,'Semi Rev'!D76&gt;0),('Semi OpInc'!H76/'Semi Rev'!H76-'Semi OpInc'!D76/'Semi Rev'!D76)*10000,""),"")</f>
        <v/>
      </c>
      <c r="E929" s="43">
        <f>IFERROR(IF(AND(ISNUMBER('Semi OpInc'!I76),ISNUMBER('Semi Rev'!I76),ISNUMBER('Semi OpInc'!E76),ISNUMBER('Semi Rev'!E76),'Semi Rev'!I76&gt;0,'Semi Rev'!E76&gt;0),('Semi OpInc'!I76/'Semi Rev'!I76-'Semi OpInc'!E76/'Semi Rev'!E76)*10000,""),"")</f>
        <v/>
      </c>
      <c r="F929" s="43">
        <f>IFERROR(IF(AND(ISNUMBER('Semi OpInc'!J76),ISNUMBER('Semi Rev'!J76),ISNUMBER('Semi OpInc'!F76),ISNUMBER('Semi Rev'!F76),'Semi Rev'!J76&gt;0,'Semi Rev'!F76&gt;0),('Semi OpInc'!J76/'Semi Rev'!J76-'Semi OpInc'!F76/'Semi Rev'!F76)*10000,""),"")</f>
        <v/>
      </c>
      <c r="G929" s="43">
        <f>IFERROR(IF(AND(ISNUMBER('Semi OpInc'!K76),ISNUMBER('Semi Rev'!K76),ISNUMBER('Semi OpInc'!G76),ISNUMBER('Semi Rev'!G76),'Semi Rev'!K76&gt;0,'Semi Rev'!G76&gt;0),('Semi OpInc'!K76/'Semi Rev'!K76-'Semi OpInc'!G76/'Semi Rev'!G76)*10000,""),"")</f>
        <v/>
      </c>
      <c r="H929" s="43">
        <f>IFERROR(IF(AND(ISNUMBER('Semi OpInc'!L76),ISNUMBER('Semi Rev'!L76),ISNUMBER('Semi OpInc'!H76),ISNUMBER('Semi Rev'!H76),'Semi Rev'!L76&gt;0,'Semi Rev'!H76&gt;0),('Semi OpInc'!L76/'Semi Rev'!L76-'Semi OpInc'!H76/'Semi Rev'!H76)*10000,""),"")</f>
        <v/>
      </c>
      <c r="I929" s="43">
        <f>IFERROR(IF(AND(ISNUMBER('Semi OpInc'!M76),ISNUMBER('Semi Rev'!M76),ISNUMBER('Semi OpInc'!I76),ISNUMBER('Semi Rev'!I76),'Semi Rev'!M76&gt;0,'Semi Rev'!I76&gt;0),('Semi OpInc'!M76/'Semi Rev'!M76-'Semi OpInc'!I76/'Semi Rev'!I76)*10000,""),"")</f>
        <v/>
      </c>
      <c r="J929" s="43">
        <f>IFERROR(IF(AND(ISNUMBER('Semi OpInc'!N76),ISNUMBER('Semi Rev'!N76),ISNUMBER('Semi OpInc'!J76),ISNUMBER('Semi Rev'!J76),'Semi Rev'!N76&gt;0,'Semi Rev'!J76&gt;0),('Semi OpInc'!N76/'Semi Rev'!N76-'Semi OpInc'!J76/'Semi Rev'!J76)*10000,""),"")</f>
        <v/>
      </c>
      <c r="K929" s="43">
        <f>IFERROR(IF(AND(ISNUMBER('Semi OpInc'!O76),ISNUMBER('Semi Rev'!O76),ISNUMBER('Semi OpInc'!K76),ISNUMBER('Semi Rev'!K76),'Semi Rev'!O76&gt;0,'Semi Rev'!K76&gt;0),('Semi OpInc'!O76/'Semi Rev'!O76-'Semi OpInc'!K76/'Semi Rev'!K76)*10000,""),"")</f>
        <v/>
      </c>
      <c r="L929" s="43">
        <f>IFERROR(IF(AND(ISNUMBER('Semi OpInc'!P76),ISNUMBER('Semi Rev'!P76),ISNUMBER('Semi OpInc'!L76),ISNUMBER('Semi Rev'!L76),'Semi Rev'!P76&gt;0,'Semi Rev'!L76&gt;0),('Semi OpInc'!P76/'Semi Rev'!P76-'Semi OpInc'!L76/'Semi Rev'!L76)*10000,""),"")</f>
        <v/>
      </c>
      <c r="M929" s="44">
        <f>IFERROR(IF(AND(ISNUMBER('Semi OpInc'!Q76),ISNUMBER('Semi Rev'!Q76),ISNUMBER('Semi OpInc'!M76),ISNUMBER('Semi Rev'!M76),'Semi Rev'!Q76&gt;0,'Semi Rev'!M76&gt;0),('Semi OpInc'!Q76/'Semi Rev'!Q76-'Semi OpInc'!M76/'Semi Rev'!M76)*10000,""),"")</f>
        <v/>
      </c>
      <c r="N929" s="44">
        <f>IFERROR(IF(AND(ISNUMBER('Semi OpInc'!R76),ISNUMBER('Semi Rev'!R76),ISNUMBER('Semi OpInc'!N76),ISNUMBER('Semi Rev'!N76),'Semi Rev'!R76&gt;0,'Semi Rev'!N76&gt;0),('Semi OpInc'!R76/'Semi Rev'!R76-'Semi OpInc'!N76/'Semi Rev'!N76)*10000,""),"")</f>
        <v/>
      </c>
    </row>
    <row r="930">
      <c r="A930" s="19">
        <f>'Semi Rev'!$A77</f>
        <v/>
      </c>
      <c r="B930" s="19">
        <f>'Semi Rev'!$B77</f>
        <v/>
      </c>
      <c r="C930" s="43">
        <f>IFERROR(IF(AND(ISNUMBER('Semi OpInc'!G77),ISNUMBER('Semi Rev'!G77),ISNUMBER('Semi OpInc'!C77),ISNUMBER('Semi Rev'!C77),'Semi Rev'!G77&gt;0,'Semi Rev'!C77&gt;0),('Semi OpInc'!G77/'Semi Rev'!G77-'Semi OpInc'!C77/'Semi Rev'!C77)*10000,""),"")</f>
        <v/>
      </c>
      <c r="D930" s="43">
        <f>IFERROR(IF(AND(ISNUMBER('Semi OpInc'!H77),ISNUMBER('Semi Rev'!H77),ISNUMBER('Semi OpInc'!D77),ISNUMBER('Semi Rev'!D77),'Semi Rev'!H77&gt;0,'Semi Rev'!D77&gt;0),('Semi OpInc'!H77/'Semi Rev'!H77-'Semi OpInc'!D77/'Semi Rev'!D77)*10000,""),"")</f>
        <v/>
      </c>
      <c r="E930" s="43">
        <f>IFERROR(IF(AND(ISNUMBER('Semi OpInc'!I77),ISNUMBER('Semi Rev'!I77),ISNUMBER('Semi OpInc'!E77),ISNUMBER('Semi Rev'!E77),'Semi Rev'!I77&gt;0,'Semi Rev'!E77&gt;0),('Semi OpInc'!I77/'Semi Rev'!I77-'Semi OpInc'!E77/'Semi Rev'!E77)*10000,""),"")</f>
        <v/>
      </c>
      <c r="F930" s="43">
        <f>IFERROR(IF(AND(ISNUMBER('Semi OpInc'!J77),ISNUMBER('Semi Rev'!J77),ISNUMBER('Semi OpInc'!F77),ISNUMBER('Semi Rev'!F77),'Semi Rev'!J77&gt;0,'Semi Rev'!F77&gt;0),('Semi OpInc'!J77/'Semi Rev'!J77-'Semi OpInc'!F77/'Semi Rev'!F77)*10000,""),"")</f>
        <v/>
      </c>
      <c r="G930" s="43">
        <f>IFERROR(IF(AND(ISNUMBER('Semi OpInc'!K77),ISNUMBER('Semi Rev'!K77),ISNUMBER('Semi OpInc'!G77),ISNUMBER('Semi Rev'!G77),'Semi Rev'!K77&gt;0,'Semi Rev'!G77&gt;0),('Semi OpInc'!K77/'Semi Rev'!K77-'Semi OpInc'!G77/'Semi Rev'!G77)*10000,""),"")</f>
        <v/>
      </c>
      <c r="H930" s="43">
        <f>IFERROR(IF(AND(ISNUMBER('Semi OpInc'!L77),ISNUMBER('Semi Rev'!L77),ISNUMBER('Semi OpInc'!H77),ISNUMBER('Semi Rev'!H77),'Semi Rev'!L77&gt;0,'Semi Rev'!H77&gt;0),('Semi OpInc'!L77/'Semi Rev'!L77-'Semi OpInc'!H77/'Semi Rev'!H77)*10000,""),"")</f>
        <v/>
      </c>
      <c r="I930" s="43">
        <f>IFERROR(IF(AND(ISNUMBER('Semi OpInc'!M77),ISNUMBER('Semi Rev'!M77),ISNUMBER('Semi OpInc'!I77),ISNUMBER('Semi Rev'!I77),'Semi Rev'!M77&gt;0,'Semi Rev'!I77&gt;0),('Semi OpInc'!M77/'Semi Rev'!M77-'Semi OpInc'!I77/'Semi Rev'!I77)*10000,""),"")</f>
        <v/>
      </c>
      <c r="J930" s="43">
        <f>IFERROR(IF(AND(ISNUMBER('Semi OpInc'!N77),ISNUMBER('Semi Rev'!N77),ISNUMBER('Semi OpInc'!J77),ISNUMBER('Semi Rev'!J77),'Semi Rev'!N77&gt;0,'Semi Rev'!J77&gt;0),('Semi OpInc'!N77/'Semi Rev'!N77-'Semi OpInc'!J77/'Semi Rev'!J77)*10000,""),"")</f>
        <v/>
      </c>
      <c r="K930" s="43">
        <f>IFERROR(IF(AND(ISNUMBER('Semi OpInc'!O77),ISNUMBER('Semi Rev'!O77),ISNUMBER('Semi OpInc'!K77),ISNUMBER('Semi Rev'!K77),'Semi Rev'!O77&gt;0,'Semi Rev'!K77&gt;0),('Semi OpInc'!O77/'Semi Rev'!O77-'Semi OpInc'!K77/'Semi Rev'!K77)*10000,""),"")</f>
        <v/>
      </c>
      <c r="L930" s="43">
        <f>IFERROR(IF(AND(ISNUMBER('Semi OpInc'!P77),ISNUMBER('Semi Rev'!P77),ISNUMBER('Semi OpInc'!L77),ISNUMBER('Semi Rev'!L77),'Semi Rev'!P77&gt;0,'Semi Rev'!L77&gt;0),('Semi OpInc'!P77/'Semi Rev'!P77-'Semi OpInc'!L77/'Semi Rev'!L77)*10000,""),"")</f>
        <v/>
      </c>
      <c r="M930" s="44">
        <f>IFERROR(IF(AND(ISNUMBER('Semi OpInc'!Q77),ISNUMBER('Semi Rev'!Q77),ISNUMBER('Semi OpInc'!M77),ISNUMBER('Semi Rev'!M77),'Semi Rev'!Q77&gt;0,'Semi Rev'!M77&gt;0),('Semi OpInc'!Q77/'Semi Rev'!Q77-'Semi OpInc'!M77/'Semi Rev'!M77)*10000,""),"")</f>
        <v/>
      </c>
      <c r="N930" s="44">
        <f>IFERROR(IF(AND(ISNUMBER('Semi OpInc'!R77),ISNUMBER('Semi Rev'!R77),ISNUMBER('Semi OpInc'!N77),ISNUMBER('Semi Rev'!N77),'Semi Rev'!R77&gt;0,'Semi Rev'!N77&gt;0),('Semi OpInc'!R77/'Semi Rev'!R77-'Semi OpInc'!N77/'Semi Rev'!N77)*10000,""),"")</f>
        <v/>
      </c>
    </row>
    <row r="931">
      <c r="A931" s="19">
        <f>'Semi Rev'!$A78</f>
        <v/>
      </c>
      <c r="B931" s="19">
        <f>'Semi Rev'!$B78</f>
        <v/>
      </c>
      <c r="C931" s="43">
        <f>IFERROR(IF(AND(ISNUMBER('Semi OpInc'!G78),ISNUMBER('Semi Rev'!G78),ISNUMBER('Semi OpInc'!C78),ISNUMBER('Semi Rev'!C78),'Semi Rev'!G78&gt;0,'Semi Rev'!C78&gt;0),('Semi OpInc'!G78/'Semi Rev'!G78-'Semi OpInc'!C78/'Semi Rev'!C78)*10000,""),"")</f>
        <v/>
      </c>
      <c r="D931" s="43">
        <f>IFERROR(IF(AND(ISNUMBER('Semi OpInc'!H78),ISNUMBER('Semi Rev'!H78),ISNUMBER('Semi OpInc'!D78),ISNUMBER('Semi Rev'!D78),'Semi Rev'!H78&gt;0,'Semi Rev'!D78&gt;0),('Semi OpInc'!H78/'Semi Rev'!H78-'Semi OpInc'!D78/'Semi Rev'!D78)*10000,""),"")</f>
        <v/>
      </c>
      <c r="E931" s="43">
        <f>IFERROR(IF(AND(ISNUMBER('Semi OpInc'!I78),ISNUMBER('Semi Rev'!I78),ISNUMBER('Semi OpInc'!E78),ISNUMBER('Semi Rev'!E78),'Semi Rev'!I78&gt;0,'Semi Rev'!E78&gt;0),('Semi OpInc'!I78/'Semi Rev'!I78-'Semi OpInc'!E78/'Semi Rev'!E78)*10000,""),"")</f>
        <v/>
      </c>
      <c r="F931" s="43">
        <f>IFERROR(IF(AND(ISNUMBER('Semi OpInc'!J78),ISNUMBER('Semi Rev'!J78),ISNUMBER('Semi OpInc'!F78),ISNUMBER('Semi Rev'!F78),'Semi Rev'!J78&gt;0,'Semi Rev'!F78&gt;0),('Semi OpInc'!J78/'Semi Rev'!J78-'Semi OpInc'!F78/'Semi Rev'!F78)*10000,""),"")</f>
        <v/>
      </c>
      <c r="G931" s="43">
        <f>IFERROR(IF(AND(ISNUMBER('Semi OpInc'!K78),ISNUMBER('Semi Rev'!K78),ISNUMBER('Semi OpInc'!G78),ISNUMBER('Semi Rev'!G78),'Semi Rev'!K78&gt;0,'Semi Rev'!G78&gt;0),('Semi OpInc'!K78/'Semi Rev'!K78-'Semi OpInc'!G78/'Semi Rev'!G78)*10000,""),"")</f>
        <v/>
      </c>
      <c r="H931" s="43">
        <f>IFERROR(IF(AND(ISNUMBER('Semi OpInc'!L78),ISNUMBER('Semi Rev'!L78),ISNUMBER('Semi OpInc'!H78),ISNUMBER('Semi Rev'!H78),'Semi Rev'!L78&gt;0,'Semi Rev'!H78&gt;0),('Semi OpInc'!L78/'Semi Rev'!L78-'Semi OpInc'!H78/'Semi Rev'!H78)*10000,""),"")</f>
        <v/>
      </c>
      <c r="I931" s="43">
        <f>IFERROR(IF(AND(ISNUMBER('Semi OpInc'!M78),ISNUMBER('Semi Rev'!M78),ISNUMBER('Semi OpInc'!I78),ISNUMBER('Semi Rev'!I78),'Semi Rev'!M78&gt;0,'Semi Rev'!I78&gt;0),('Semi OpInc'!M78/'Semi Rev'!M78-'Semi OpInc'!I78/'Semi Rev'!I78)*10000,""),"")</f>
        <v/>
      </c>
      <c r="J931" s="43">
        <f>IFERROR(IF(AND(ISNUMBER('Semi OpInc'!N78),ISNUMBER('Semi Rev'!N78),ISNUMBER('Semi OpInc'!J78),ISNUMBER('Semi Rev'!J78),'Semi Rev'!N78&gt;0,'Semi Rev'!J78&gt;0),('Semi OpInc'!N78/'Semi Rev'!N78-'Semi OpInc'!J78/'Semi Rev'!J78)*10000,""),"")</f>
        <v/>
      </c>
      <c r="K931" s="43">
        <f>IFERROR(IF(AND(ISNUMBER('Semi OpInc'!O78),ISNUMBER('Semi Rev'!O78),ISNUMBER('Semi OpInc'!K78),ISNUMBER('Semi Rev'!K78),'Semi Rev'!O78&gt;0,'Semi Rev'!K78&gt;0),('Semi OpInc'!O78/'Semi Rev'!O78-'Semi OpInc'!K78/'Semi Rev'!K78)*10000,""),"")</f>
        <v/>
      </c>
      <c r="L931" s="43">
        <f>IFERROR(IF(AND(ISNUMBER('Semi OpInc'!P78),ISNUMBER('Semi Rev'!P78),ISNUMBER('Semi OpInc'!L78),ISNUMBER('Semi Rev'!L78),'Semi Rev'!P78&gt;0,'Semi Rev'!L78&gt;0),('Semi OpInc'!P78/'Semi Rev'!P78-'Semi OpInc'!L78/'Semi Rev'!L78)*10000,""),"")</f>
        <v/>
      </c>
      <c r="M931" s="44">
        <f>IFERROR(IF(AND(ISNUMBER('Semi OpInc'!Q78),ISNUMBER('Semi Rev'!Q78),ISNUMBER('Semi OpInc'!M78),ISNUMBER('Semi Rev'!M78),'Semi Rev'!Q78&gt;0,'Semi Rev'!M78&gt;0),('Semi OpInc'!Q78/'Semi Rev'!Q78-'Semi OpInc'!M78/'Semi Rev'!M78)*10000,""),"")</f>
        <v/>
      </c>
      <c r="N931" s="44">
        <f>IFERROR(IF(AND(ISNUMBER('Semi OpInc'!R78),ISNUMBER('Semi Rev'!R78),ISNUMBER('Semi OpInc'!N78),ISNUMBER('Semi Rev'!N78),'Semi Rev'!R78&gt;0,'Semi Rev'!N78&gt;0),('Semi OpInc'!R78/'Semi Rev'!R78-'Semi OpInc'!N78/'Semi Rev'!N78)*10000,""),"")</f>
        <v/>
      </c>
    </row>
    <row r="932">
      <c r="A932" s="19">
        <f>'Semi Rev'!$A79</f>
        <v/>
      </c>
      <c r="B932" s="19">
        <f>'Semi Rev'!$B79</f>
        <v/>
      </c>
      <c r="C932" s="43">
        <f>IFERROR(IF(AND(ISNUMBER('Semi OpInc'!G79),ISNUMBER('Semi Rev'!G79),ISNUMBER('Semi OpInc'!C79),ISNUMBER('Semi Rev'!C79),'Semi Rev'!G79&gt;0,'Semi Rev'!C79&gt;0),('Semi OpInc'!G79/'Semi Rev'!G79-'Semi OpInc'!C79/'Semi Rev'!C79)*10000,""),"")</f>
        <v/>
      </c>
      <c r="D932" s="43">
        <f>IFERROR(IF(AND(ISNUMBER('Semi OpInc'!H79),ISNUMBER('Semi Rev'!H79),ISNUMBER('Semi OpInc'!D79),ISNUMBER('Semi Rev'!D79),'Semi Rev'!H79&gt;0,'Semi Rev'!D79&gt;0),('Semi OpInc'!H79/'Semi Rev'!H79-'Semi OpInc'!D79/'Semi Rev'!D79)*10000,""),"")</f>
        <v/>
      </c>
      <c r="E932" s="43">
        <f>IFERROR(IF(AND(ISNUMBER('Semi OpInc'!I79),ISNUMBER('Semi Rev'!I79),ISNUMBER('Semi OpInc'!E79),ISNUMBER('Semi Rev'!E79),'Semi Rev'!I79&gt;0,'Semi Rev'!E79&gt;0),('Semi OpInc'!I79/'Semi Rev'!I79-'Semi OpInc'!E79/'Semi Rev'!E79)*10000,""),"")</f>
        <v/>
      </c>
      <c r="F932" s="43">
        <f>IFERROR(IF(AND(ISNUMBER('Semi OpInc'!J79),ISNUMBER('Semi Rev'!J79),ISNUMBER('Semi OpInc'!F79),ISNUMBER('Semi Rev'!F79),'Semi Rev'!J79&gt;0,'Semi Rev'!F79&gt;0),('Semi OpInc'!J79/'Semi Rev'!J79-'Semi OpInc'!F79/'Semi Rev'!F79)*10000,""),"")</f>
        <v/>
      </c>
      <c r="G932" s="43">
        <f>IFERROR(IF(AND(ISNUMBER('Semi OpInc'!K79),ISNUMBER('Semi Rev'!K79),ISNUMBER('Semi OpInc'!G79),ISNUMBER('Semi Rev'!G79),'Semi Rev'!K79&gt;0,'Semi Rev'!G79&gt;0),('Semi OpInc'!K79/'Semi Rev'!K79-'Semi OpInc'!G79/'Semi Rev'!G79)*10000,""),"")</f>
        <v/>
      </c>
      <c r="H932" s="43">
        <f>IFERROR(IF(AND(ISNUMBER('Semi OpInc'!L79),ISNUMBER('Semi Rev'!L79),ISNUMBER('Semi OpInc'!H79),ISNUMBER('Semi Rev'!H79),'Semi Rev'!L79&gt;0,'Semi Rev'!H79&gt;0),('Semi OpInc'!L79/'Semi Rev'!L79-'Semi OpInc'!H79/'Semi Rev'!H79)*10000,""),"")</f>
        <v/>
      </c>
      <c r="I932" s="43">
        <f>IFERROR(IF(AND(ISNUMBER('Semi OpInc'!M79),ISNUMBER('Semi Rev'!M79),ISNUMBER('Semi OpInc'!I79),ISNUMBER('Semi Rev'!I79),'Semi Rev'!M79&gt;0,'Semi Rev'!I79&gt;0),('Semi OpInc'!M79/'Semi Rev'!M79-'Semi OpInc'!I79/'Semi Rev'!I79)*10000,""),"")</f>
        <v/>
      </c>
      <c r="J932" s="43">
        <f>IFERROR(IF(AND(ISNUMBER('Semi OpInc'!N79),ISNUMBER('Semi Rev'!N79),ISNUMBER('Semi OpInc'!J79),ISNUMBER('Semi Rev'!J79),'Semi Rev'!N79&gt;0,'Semi Rev'!J79&gt;0),('Semi OpInc'!N79/'Semi Rev'!N79-'Semi OpInc'!J79/'Semi Rev'!J79)*10000,""),"")</f>
        <v/>
      </c>
      <c r="K932" s="43">
        <f>IFERROR(IF(AND(ISNUMBER('Semi OpInc'!O79),ISNUMBER('Semi Rev'!O79),ISNUMBER('Semi OpInc'!K79),ISNUMBER('Semi Rev'!K79),'Semi Rev'!O79&gt;0,'Semi Rev'!K79&gt;0),('Semi OpInc'!O79/'Semi Rev'!O79-'Semi OpInc'!K79/'Semi Rev'!K79)*10000,""),"")</f>
        <v/>
      </c>
      <c r="L932" s="43">
        <f>IFERROR(IF(AND(ISNUMBER('Semi OpInc'!P79),ISNUMBER('Semi Rev'!P79),ISNUMBER('Semi OpInc'!L79),ISNUMBER('Semi Rev'!L79),'Semi Rev'!P79&gt;0,'Semi Rev'!L79&gt;0),('Semi OpInc'!P79/'Semi Rev'!P79-'Semi OpInc'!L79/'Semi Rev'!L79)*10000,""),"")</f>
        <v/>
      </c>
      <c r="M932" s="44">
        <f>IFERROR(IF(AND(ISNUMBER('Semi OpInc'!Q79),ISNUMBER('Semi Rev'!Q79),ISNUMBER('Semi OpInc'!M79),ISNUMBER('Semi Rev'!M79),'Semi Rev'!Q79&gt;0,'Semi Rev'!M79&gt;0),('Semi OpInc'!Q79/'Semi Rev'!Q79-'Semi OpInc'!M79/'Semi Rev'!M79)*10000,""),"")</f>
        <v/>
      </c>
      <c r="N932" s="44">
        <f>IFERROR(IF(AND(ISNUMBER('Semi OpInc'!R79),ISNUMBER('Semi Rev'!R79),ISNUMBER('Semi OpInc'!N79),ISNUMBER('Semi Rev'!N79),'Semi Rev'!R79&gt;0,'Semi Rev'!N79&gt;0),('Semi OpInc'!R79/'Semi Rev'!R79-'Semi OpInc'!N79/'Semi Rev'!N79)*10000,""),"")</f>
        <v/>
      </c>
    </row>
    <row r="933">
      <c r="A933" s="19">
        <f>'Semi Rev'!$A80</f>
        <v/>
      </c>
      <c r="B933" s="19">
        <f>'Semi Rev'!$B80</f>
        <v/>
      </c>
      <c r="C933" s="43">
        <f>IFERROR(IF(AND(ISNUMBER('Semi OpInc'!G80),ISNUMBER('Semi Rev'!G80),ISNUMBER('Semi OpInc'!C80),ISNUMBER('Semi Rev'!C80),'Semi Rev'!G80&gt;0,'Semi Rev'!C80&gt;0),('Semi OpInc'!G80/'Semi Rev'!G80-'Semi OpInc'!C80/'Semi Rev'!C80)*10000,""),"")</f>
        <v/>
      </c>
      <c r="D933" s="43">
        <f>IFERROR(IF(AND(ISNUMBER('Semi OpInc'!H80),ISNUMBER('Semi Rev'!H80),ISNUMBER('Semi OpInc'!D80),ISNUMBER('Semi Rev'!D80),'Semi Rev'!H80&gt;0,'Semi Rev'!D80&gt;0),('Semi OpInc'!H80/'Semi Rev'!H80-'Semi OpInc'!D80/'Semi Rev'!D80)*10000,""),"")</f>
        <v/>
      </c>
      <c r="E933" s="43">
        <f>IFERROR(IF(AND(ISNUMBER('Semi OpInc'!I80),ISNUMBER('Semi Rev'!I80),ISNUMBER('Semi OpInc'!E80),ISNUMBER('Semi Rev'!E80),'Semi Rev'!I80&gt;0,'Semi Rev'!E80&gt;0),('Semi OpInc'!I80/'Semi Rev'!I80-'Semi OpInc'!E80/'Semi Rev'!E80)*10000,""),"")</f>
        <v/>
      </c>
      <c r="F933" s="43">
        <f>IFERROR(IF(AND(ISNUMBER('Semi OpInc'!J80),ISNUMBER('Semi Rev'!J80),ISNUMBER('Semi OpInc'!F80),ISNUMBER('Semi Rev'!F80),'Semi Rev'!J80&gt;0,'Semi Rev'!F80&gt;0),('Semi OpInc'!J80/'Semi Rev'!J80-'Semi OpInc'!F80/'Semi Rev'!F80)*10000,""),"")</f>
        <v/>
      </c>
      <c r="G933" s="43">
        <f>IFERROR(IF(AND(ISNUMBER('Semi OpInc'!K80),ISNUMBER('Semi Rev'!K80),ISNUMBER('Semi OpInc'!G80),ISNUMBER('Semi Rev'!G80),'Semi Rev'!K80&gt;0,'Semi Rev'!G80&gt;0),('Semi OpInc'!K80/'Semi Rev'!K80-'Semi OpInc'!G80/'Semi Rev'!G80)*10000,""),"")</f>
        <v/>
      </c>
      <c r="H933" s="43">
        <f>IFERROR(IF(AND(ISNUMBER('Semi OpInc'!L80),ISNUMBER('Semi Rev'!L80),ISNUMBER('Semi OpInc'!H80),ISNUMBER('Semi Rev'!H80),'Semi Rev'!L80&gt;0,'Semi Rev'!H80&gt;0),('Semi OpInc'!L80/'Semi Rev'!L80-'Semi OpInc'!H80/'Semi Rev'!H80)*10000,""),"")</f>
        <v/>
      </c>
      <c r="I933" s="43">
        <f>IFERROR(IF(AND(ISNUMBER('Semi OpInc'!M80),ISNUMBER('Semi Rev'!M80),ISNUMBER('Semi OpInc'!I80),ISNUMBER('Semi Rev'!I80),'Semi Rev'!M80&gt;0,'Semi Rev'!I80&gt;0),('Semi OpInc'!M80/'Semi Rev'!M80-'Semi OpInc'!I80/'Semi Rev'!I80)*10000,""),"")</f>
        <v/>
      </c>
      <c r="J933" s="43">
        <f>IFERROR(IF(AND(ISNUMBER('Semi OpInc'!N80),ISNUMBER('Semi Rev'!N80),ISNUMBER('Semi OpInc'!J80),ISNUMBER('Semi Rev'!J80),'Semi Rev'!N80&gt;0,'Semi Rev'!J80&gt;0),('Semi OpInc'!N80/'Semi Rev'!N80-'Semi OpInc'!J80/'Semi Rev'!J80)*10000,""),"")</f>
        <v/>
      </c>
      <c r="K933" s="43">
        <f>IFERROR(IF(AND(ISNUMBER('Semi OpInc'!O80),ISNUMBER('Semi Rev'!O80),ISNUMBER('Semi OpInc'!K80),ISNUMBER('Semi Rev'!K80),'Semi Rev'!O80&gt;0,'Semi Rev'!K80&gt;0),('Semi OpInc'!O80/'Semi Rev'!O80-'Semi OpInc'!K80/'Semi Rev'!K80)*10000,""),"")</f>
        <v/>
      </c>
      <c r="L933" s="43">
        <f>IFERROR(IF(AND(ISNUMBER('Semi OpInc'!P80),ISNUMBER('Semi Rev'!P80),ISNUMBER('Semi OpInc'!L80),ISNUMBER('Semi Rev'!L80),'Semi Rev'!P80&gt;0,'Semi Rev'!L80&gt;0),('Semi OpInc'!P80/'Semi Rev'!P80-'Semi OpInc'!L80/'Semi Rev'!L80)*10000,""),"")</f>
        <v/>
      </c>
      <c r="M933" s="44">
        <f>IFERROR(IF(AND(ISNUMBER('Semi OpInc'!Q80),ISNUMBER('Semi Rev'!Q80),ISNUMBER('Semi OpInc'!M80),ISNUMBER('Semi Rev'!M80),'Semi Rev'!Q80&gt;0,'Semi Rev'!M80&gt;0),('Semi OpInc'!Q80/'Semi Rev'!Q80-'Semi OpInc'!M80/'Semi Rev'!M80)*10000,""),"")</f>
        <v/>
      </c>
      <c r="N933" s="44">
        <f>IFERROR(IF(AND(ISNUMBER('Semi OpInc'!R80),ISNUMBER('Semi Rev'!R80),ISNUMBER('Semi OpInc'!N80),ISNUMBER('Semi Rev'!N80),'Semi Rev'!R80&gt;0,'Semi Rev'!N80&gt;0),('Semi OpInc'!R80/'Semi Rev'!R80-'Semi OpInc'!N80/'Semi Rev'!N80)*10000,""),"")</f>
        <v/>
      </c>
    </row>
    <row r="934">
      <c r="A934" s="19">
        <f>'Semi Rev'!$A81</f>
        <v/>
      </c>
      <c r="B934" s="19">
        <f>'Semi Rev'!$B81</f>
        <v/>
      </c>
      <c r="C934" s="43">
        <f>IFERROR(IF(AND(ISNUMBER('Semi OpInc'!G81),ISNUMBER('Semi Rev'!G81),ISNUMBER('Semi OpInc'!C81),ISNUMBER('Semi Rev'!C81),'Semi Rev'!G81&gt;0,'Semi Rev'!C81&gt;0),('Semi OpInc'!G81/'Semi Rev'!G81-'Semi OpInc'!C81/'Semi Rev'!C81)*10000,""),"")</f>
        <v/>
      </c>
      <c r="D934" s="43">
        <f>IFERROR(IF(AND(ISNUMBER('Semi OpInc'!H81),ISNUMBER('Semi Rev'!H81),ISNUMBER('Semi OpInc'!D81),ISNUMBER('Semi Rev'!D81),'Semi Rev'!H81&gt;0,'Semi Rev'!D81&gt;0),('Semi OpInc'!H81/'Semi Rev'!H81-'Semi OpInc'!D81/'Semi Rev'!D81)*10000,""),"")</f>
        <v/>
      </c>
      <c r="E934" s="43">
        <f>IFERROR(IF(AND(ISNUMBER('Semi OpInc'!I81),ISNUMBER('Semi Rev'!I81),ISNUMBER('Semi OpInc'!E81),ISNUMBER('Semi Rev'!E81),'Semi Rev'!I81&gt;0,'Semi Rev'!E81&gt;0),('Semi OpInc'!I81/'Semi Rev'!I81-'Semi OpInc'!E81/'Semi Rev'!E81)*10000,""),"")</f>
        <v/>
      </c>
      <c r="F934" s="43">
        <f>IFERROR(IF(AND(ISNUMBER('Semi OpInc'!J81),ISNUMBER('Semi Rev'!J81),ISNUMBER('Semi OpInc'!F81),ISNUMBER('Semi Rev'!F81),'Semi Rev'!J81&gt;0,'Semi Rev'!F81&gt;0),('Semi OpInc'!J81/'Semi Rev'!J81-'Semi OpInc'!F81/'Semi Rev'!F81)*10000,""),"")</f>
        <v/>
      </c>
      <c r="G934" s="43">
        <f>IFERROR(IF(AND(ISNUMBER('Semi OpInc'!K81),ISNUMBER('Semi Rev'!K81),ISNUMBER('Semi OpInc'!G81),ISNUMBER('Semi Rev'!G81),'Semi Rev'!K81&gt;0,'Semi Rev'!G81&gt;0),('Semi OpInc'!K81/'Semi Rev'!K81-'Semi OpInc'!G81/'Semi Rev'!G81)*10000,""),"")</f>
        <v/>
      </c>
      <c r="H934" s="43">
        <f>IFERROR(IF(AND(ISNUMBER('Semi OpInc'!L81),ISNUMBER('Semi Rev'!L81),ISNUMBER('Semi OpInc'!H81),ISNUMBER('Semi Rev'!H81),'Semi Rev'!L81&gt;0,'Semi Rev'!H81&gt;0),('Semi OpInc'!L81/'Semi Rev'!L81-'Semi OpInc'!H81/'Semi Rev'!H81)*10000,""),"")</f>
        <v/>
      </c>
      <c r="I934" s="43">
        <f>IFERROR(IF(AND(ISNUMBER('Semi OpInc'!M81),ISNUMBER('Semi Rev'!M81),ISNUMBER('Semi OpInc'!I81),ISNUMBER('Semi Rev'!I81),'Semi Rev'!M81&gt;0,'Semi Rev'!I81&gt;0),('Semi OpInc'!M81/'Semi Rev'!M81-'Semi OpInc'!I81/'Semi Rev'!I81)*10000,""),"")</f>
        <v/>
      </c>
      <c r="J934" s="43">
        <f>IFERROR(IF(AND(ISNUMBER('Semi OpInc'!N81),ISNUMBER('Semi Rev'!N81),ISNUMBER('Semi OpInc'!J81),ISNUMBER('Semi Rev'!J81),'Semi Rev'!N81&gt;0,'Semi Rev'!J81&gt;0),('Semi OpInc'!N81/'Semi Rev'!N81-'Semi OpInc'!J81/'Semi Rev'!J81)*10000,""),"")</f>
        <v/>
      </c>
      <c r="K934" s="43">
        <f>IFERROR(IF(AND(ISNUMBER('Semi OpInc'!O81),ISNUMBER('Semi Rev'!O81),ISNUMBER('Semi OpInc'!K81),ISNUMBER('Semi Rev'!K81),'Semi Rev'!O81&gt;0,'Semi Rev'!K81&gt;0),('Semi OpInc'!O81/'Semi Rev'!O81-'Semi OpInc'!K81/'Semi Rev'!K81)*10000,""),"")</f>
        <v/>
      </c>
      <c r="L934" s="43">
        <f>IFERROR(IF(AND(ISNUMBER('Semi OpInc'!P81),ISNUMBER('Semi Rev'!P81),ISNUMBER('Semi OpInc'!L81),ISNUMBER('Semi Rev'!L81),'Semi Rev'!P81&gt;0,'Semi Rev'!L81&gt;0),('Semi OpInc'!P81/'Semi Rev'!P81-'Semi OpInc'!L81/'Semi Rev'!L81)*10000,""),"")</f>
        <v/>
      </c>
      <c r="M934" s="44">
        <f>IFERROR(IF(AND(ISNUMBER('Semi OpInc'!Q81),ISNUMBER('Semi Rev'!Q81),ISNUMBER('Semi OpInc'!M81),ISNUMBER('Semi Rev'!M81),'Semi Rev'!Q81&gt;0,'Semi Rev'!M81&gt;0),('Semi OpInc'!Q81/'Semi Rev'!Q81-'Semi OpInc'!M81/'Semi Rev'!M81)*10000,""),"")</f>
        <v/>
      </c>
      <c r="N934" s="44">
        <f>IFERROR(IF(AND(ISNUMBER('Semi OpInc'!R81),ISNUMBER('Semi Rev'!R81),ISNUMBER('Semi OpInc'!N81),ISNUMBER('Semi Rev'!N81),'Semi Rev'!R81&gt;0,'Semi Rev'!N81&gt;0),('Semi OpInc'!R81/'Semi Rev'!R81-'Semi OpInc'!N81/'Semi Rev'!N81)*10000,""),"")</f>
        <v/>
      </c>
    </row>
    <row r="935">
      <c r="A935" s="19">
        <f>'Semi Rev'!$A82</f>
        <v/>
      </c>
      <c r="B935" s="19">
        <f>'Semi Rev'!$B82</f>
        <v/>
      </c>
      <c r="C935" s="43">
        <f>IFERROR(IF(AND(ISNUMBER('Semi OpInc'!G82),ISNUMBER('Semi Rev'!G82),ISNUMBER('Semi OpInc'!C82),ISNUMBER('Semi Rev'!C82),'Semi Rev'!G82&gt;0,'Semi Rev'!C82&gt;0),('Semi OpInc'!G82/'Semi Rev'!G82-'Semi OpInc'!C82/'Semi Rev'!C82)*10000,""),"")</f>
        <v/>
      </c>
      <c r="D935" s="43">
        <f>IFERROR(IF(AND(ISNUMBER('Semi OpInc'!H82),ISNUMBER('Semi Rev'!H82),ISNUMBER('Semi OpInc'!D82),ISNUMBER('Semi Rev'!D82),'Semi Rev'!H82&gt;0,'Semi Rev'!D82&gt;0),('Semi OpInc'!H82/'Semi Rev'!H82-'Semi OpInc'!D82/'Semi Rev'!D82)*10000,""),"")</f>
        <v/>
      </c>
      <c r="E935" s="43">
        <f>IFERROR(IF(AND(ISNUMBER('Semi OpInc'!I82),ISNUMBER('Semi Rev'!I82),ISNUMBER('Semi OpInc'!E82),ISNUMBER('Semi Rev'!E82),'Semi Rev'!I82&gt;0,'Semi Rev'!E82&gt;0),('Semi OpInc'!I82/'Semi Rev'!I82-'Semi OpInc'!E82/'Semi Rev'!E82)*10000,""),"")</f>
        <v/>
      </c>
      <c r="F935" s="43">
        <f>IFERROR(IF(AND(ISNUMBER('Semi OpInc'!J82),ISNUMBER('Semi Rev'!J82),ISNUMBER('Semi OpInc'!F82),ISNUMBER('Semi Rev'!F82),'Semi Rev'!J82&gt;0,'Semi Rev'!F82&gt;0),('Semi OpInc'!J82/'Semi Rev'!J82-'Semi OpInc'!F82/'Semi Rev'!F82)*10000,""),"")</f>
        <v/>
      </c>
      <c r="G935" s="43">
        <f>IFERROR(IF(AND(ISNUMBER('Semi OpInc'!K82),ISNUMBER('Semi Rev'!K82),ISNUMBER('Semi OpInc'!G82),ISNUMBER('Semi Rev'!G82),'Semi Rev'!K82&gt;0,'Semi Rev'!G82&gt;0),('Semi OpInc'!K82/'Semi Rev'!K82-'Semi OpInc'!G82/'Semi Rev'!G82)*10000,""),"")</f>
        <v/>
      </c>
      <c r="H935" s="43">
        <f>IFERROR(IF(AND(ISNUMBER('Semi OpInc'!L82),ISNUMBER('Semi Rev'!L82),ISNUMBER('Semi OpInc'!H82),ISNUMBER('Semi Rev'!H82),'Semi Rev'!L82&gt;0,'Semi Rev'!H82&gt;0),('Semi OpInc'!L82/'Semi Rev'!L82-'Semi OpInc'!H82/'Semi Rev'!H82)*10000,""),"")</f>
        <v/>
      </c>
      <c r="I935" s="43">
        <f>IFERROR(IF(AND(ISNUMBER('Semi OpInc'!M82),ISNUMBER('Semi Rev'!M82),ISNUMBER('Semi OpInc'!I82),ISNUMBER('Semi Rev'!I82),'Semi Rev'!M82&gt;0,'Semi Rev'!I82&gt;0),('Semi OpInc'!M82/'Semi Rev'!M82-'Semi OpInc'!I82/'Semi Rev'!I82)*10000,""),"")</f>
        <v/>
      </c>
      <c r="J935" s="43">
        <f>IFERROR(IF(AND(ISNUMBER('Semi OpInc'!N82),ISNUMBER('Semi Rev'!N82),ISNUMBER('Semi OpInc'!J82),ISNUMBER('Semi Rev'!J82),'Semi Rev'!N82&gt;0,'Semi Rev'!J82&gt;0),('Semi OpInc'!N82/'Semi Rev'!N82-'Semi OpInc'!J82/'Semi Rev'!J82)*10000,""),"")</f>
        <v/>
      </c>
      <c r="K935" s="43">
        <f>IFERROR(IF(AND(ISNUMBER('Semi OpInc'!O82),ISNUMBER('Semi Rev'!O82),ISNUMBER('Semi OpInc'!K82),ISNUMBER('Semi Rev'!K82),'Semi Rev'!O82&gt;0,'Semi Rev'!K82&gt;0),('Semi OpInc'!O82/'Semi Rev'!O82-'Semi OpInc'!K82/'Semi Rev'!K82)*10000,""),"")</f>
        <v/>
      </c>
      <c r="L935" s="43">
        <f>IFERROR(IF(AND(ISNUMBER('Semi OpInc'!P82),ISNUMBER('Semi Rev'!P82),ISNUMBER('Semi OpInc'!L82),ISNUMBER('Semi Rev'!L82),'Semi Rev'!P82&gt;0,'Semi Rev'!L82&gt;0),('Semi OpInc'!P82/'Semi Rev'!P82-'Semi OpInc'!L82/'Semi Rev'!L82)*10000,""),"")</f>
        <v/>
      </c>
      <c r="M935" s="44">
        <f>IFERROR(IF(AND(ISNUMBER('Semi OpInc'!Q82),ISNUMBER('Semi Rev'!Q82),ISNUMBER('Semi OpInc'!M82),ISNUMBER('Semi Rev'!M82),'Semi Rev'!Q82&gt;0,'Semi Rev'!M82&gt;0),('Semi OpInc'!Q82/'Semi Rev'!Q82-'Semi OpInc'!M82/'Semi Rev'!M82)*10000,""),"")</f>
        <v/>
      </c>
      <c r="N935" s="44">
        <f>IFERROR(IF(AND(ISNUMBER('Semi OpInc'!R82),ISNUMBER('Semi Rev'!R82),ISNUMBER('Semi OpInc'!N82),ISNUMBER('Semi Rev'!N82),'Semi Rev'!R82&gt;0,'Semi Rev'!N82&gt;0),('Semi OpInc'!R82/'Semi Rev'!R82-'Semi OpInc'!N82/'Semi Rev'!N82)*10000,""),"")</f>
        <v/>
      </c>
    </row>
    <row r="936">
      <c r="A936" s="19">
        <f>'Semi Rev'!$A83</f>
        <v/>
      </c>
      <c r="B936" s="19">
        <f>'Semi Rev'!$B83</f>
        <v/>
      </c>
      <c r="C936" s="43">
        <f>IFERROR(IF(AND(ISNUMBER('Semi OpInc'!G83),ISNUMBER('Semi Rev'!G83),ISNUMBER('Semi OpInc'!C83),ISNUMBER('Semi Rev'!C83),'Semi Rev'!G83&gt;0,'Semi Rev'!C83&gt;0),('Semi OpInc'!G83/'Semi Rev'!G83-'Semi OpInc'!C83/'Semi Rev'!C83)*10000,""),"")</f>
        <v/>
      </c>
      <c r="D936" s="43">
        <f>IFERROR(IF(AND(ISNUMBER('Semi OpInc'!H83),ISNUMBER('Semi Rev'!H83),ISNUMBER('Semi OpInc'!D83),ISNUMBER('Semi Rev'!D83),'Semi Rev'!H83&gt;0,'Semi Rev'!D83&gt;0),('Semi OpInc'!H83/'Semi Rev'!H83-'Semi OpInc'!D83/'Semi Rev'!D83)*10000,""),"")</f>
        <v/>
      </c>
      <c r="E936" s="43">
        <f>IFERROR(IF(AND(ISNUMBER('Semi OpInc'!I83),ISNUMBER('Semi Rev'!I83),ISNUMBER('Semi OpInc'!E83),ISNUMBER('Semi Rev'!E83),'Semi Rev'!I83&gt;0,'Semi Rev'!E83&gt;0),('Semi OpInc'!I83/'Semi Rev'!I83-'Semi OpInc'!E83/'Semi Rev'!E83)*10000,""),"")</f>
        <v/>
      </c>
      <c r="F936" s="43">
        <f>IFERROR(IF(AND(ISNUMBER('Semi OpInc'!J83),ISNUMBER('Semi Rev'!J83),ISNUMBER('Semi OpInc'!F83),ISNUMBER('Semi Rev'!F83),'Semi Rev'!J83&gt;0,'Semi Rev'!F83&gt;0),('Semi OpInc'!J83/'Semi Rev'!J83-'Semi OpInc'!F83/'Semi Rev'!F83)*10000,""),"")</f>
        <v/>
      </c>
      <c r="G936" s="43">
        <f>IFERROR(IF(AND(ISNUMBER('Semi OpInc'!K83),ISNUMBER('Semi Rev'!K83),ISNUMBER('Semi OpInc'!G83),ISNUMBER('Semi Rev'!G83),'Semi Rev'!K83&gt;0,'Semi Rev'!G83&gt;0),('Semi OpInc'!K83/'Semi Rev'!K83-'Semi OpInc'!G83/'Semi Rev'!G83)*10000,""),"")</f>
        <v/>
      </c>
      <c r="H936" s="43">
        <f>IFERROR(IF(AND(ISNUMBER('Semi OpInc'!L83),ISNUMBER('Semi Rev'!L83),ISNUMBER('Semi OpInc'!H83),ISNUMBER('Semi Rev'!H83),'Semi Rev'!L83&gt;0,'Semi Rev'!H83&gt;0),('Semi OpInc'!L83/'Semi Rev'!L83-'Semi OpInc'!H83/'Semi Rev'!H83)*10000,""),"")</f>
        <v/>
      </c>
      <c r="I936" s="43">
        <f>IFERROR(IF(AND(ISNUMBER('Semi OpInc'!M83),ISNUMBER('Semi Rev'!M83),ISNUMBER('Semi OpInc'!I83),ISNUMBER('Semi Rev'!I83),'Semi Rev'!M83&gt;0,'Semi Rev'!I83&gt;0),('Semi OpInc'!M83/'Semi Rev'!M83-'Semi OpInc'!I83/'Semi Rev'!I83)*10000,""),"")</f>
        <v/>
      </c>
      <c r="J936" s="43">
        <f>IFERROR(IF(AND(ISNUMBER('Semi OpInc'!N83),ISNUMBER('Semi Rev'!N83),ISNUMBER('Semi OpInc'!J83),ISNUMBER('Semi Rev'!J83),'Semi Rev'!N83&gt;0,'Semi Rev'!J83&gt;0),('Semi OpInc'!N83/'Semi Rev'!N83-'Semi OpInc'!J83/'Semi Rev'!J83)*10000,""),"")</f>
        <v/>
      </c>
      <c r="K936" s="43">
        <f>IFERROR(IF(AND(ISNUMBER('Semi OpInc'!O83),ISNUMBER('Semi Rev'!O83),ISNUMBER('Semi OpInc'!K83),ISNUMBER('Semi Rev'!K83),'Semi Rev'!O83&gt;0,'Semi Rev'!K83&gt;0),('Semi OpInc'!O83/'Semi Rev'!O83-'Semi OpInc'!K83/'Semi Rev'!K83)*10000,""),"")</f>
        <v/>
      </c>
      <c r="L936" s="43">
        <f>IFERROR(IF(AND(ISNUMBER('Semi OpInc'!P83),ISNUMBER('Semi Rev'!P83),ISNUMBER('Semi OpInc'!L83),ISNUMBER('Semi Rev'!L83),'Semi Rev'!P83&gt;0,'Semi Rev'!L83&gt;0),('Semi OpInc'!P83/'Semi Rev'!P83-'Semi OpInc'!L83/'Semi Rev'!L83)*10000,""),"")</f>
        <v/>
      </c>
      <c r="M936" s="44">
        <f>IFERROR(IF(AND(ISNUMBER('Semi OpInc'!Q83),ISNUMBER('Semi Rev'!Q83),ISNUMBER('Semi OpInc'!M83),ISNUMBER('Semi Rev'!M83),'Semi Rev'!Q83&gt;0,'Semi Rev'!M83&gt;0),('Semi OpInc'!Q83/'Semi Rev'!Q83-'Semi OpInc'!M83/'Semi Rev'!M83)*10000,""),"")</f>
        <v/>
      </c>
      <c r="N936" s="44">
        <f>IFERROR(IF(AND(ISNUMBER('Semi OpInc'!R83),ISNUMBER('Semi Rev'!R83),ISNUMBER('Semi OpInc'!N83),ISNUMBER('Semi Rev'!N83),'Semi Rev'!R83&gt;0,'Semi Rev'!N83&gt;0),('Semi OpInc'!R83/'Semi Rev'!R83-'Semi OpInc'!N83/'Semi Rev'!N83)*10000,""),"")</f>
        <v/>
      </c>
    </row>
    <row r="937">
      <c r="A937" s="19">
        <f>'Semi Rev'!$A84</f>
        <v/>
      </c>
      <c r="B937" s="19">
        <f>'Semi Rev'!$B84</f>
        <v/>
      </c>
      <c r="C937" s="43">
        <f>IFERROR(IF(AND(ISNUMBER('Semi OpInc'!G84),ISNUMBER('Semi Rev'!G84),ISNUMBER('Semi OpInc'!C84),ISNUMBER('Semi Rev'!C84),'Semi Rev'!G84&gt;0,'Semi Rev'!C84&gt;0),('Semi OpInc'!G84/'Semi Rev'!G84-'Semi OpInc'!C84/'Semi Rev'!C84)*10000,""),"")</f>
        <v/>
      </c>
      <c r="D937" s="43">
        <f>IFERROR(IF(AND(ISNUMBER('Semi OpInc'!H84),ISNUMBER('Semi Rev'!H84),ISNUMBER('Semi OpInc'!D84),ISNUMBER('Semi Rev'!D84),'Semi Rev'!H84&gt;0,'Semi Rev'!D84&gt;0),('Semi OpInc'!H84/'Semi Rev'!H84-'Semi OpInc'!D84/'Semi Rev'!D84)*10000,""),"")</f>
        <v/>
      </c>
      <c r="E937" s="43">
        <f>IFERROR(IF(AND(ISNUMBER('Semi OpInc'!I84),ISNUMBER('Semi Rev'!I84),ISNUMBER('Semi OpInc'!E84),ISNUMBER('Semi Rev'!E84),'Semi Rev'!I84&gt;0,'Semi Rev'!E84&gt;0),('Semi OpInc'!I84/'Semi Rev'!I84-'Semi OpInc'!E84/'Semi Rev'!E84)*10000,""),"")</f>
        <v/>
      </c>
      <c r="F937" s="43">
        <f>IFERROR(IF(AND(ISNUMBER('Semi OpInc'!J84),ISNUMBER('Semi Rev'!J84),ISNUMBER('Semi OpInc'!F84),ISNUMBER('Semi Rev'!F84),'Semi Rev'!J84&gt;0,'Semi Rev'!F84&gt;0),('Semi OpInc'!J84/'Semi Rev'!J84-'Semi OpInc'!F84/'Semi Rev'!F84)*10000,""),"")</f>
        <v/>
      </c>
      <c r="G937" s="43">
        <f>IFERROR(IF(AND(ISNUMBER('Semi OpInc'!K84),ISNUMBER('Semi Rev'!K84),ISNUMBER('Semi OpInc'!G84),ISNUMBER('Semi Rev'!G84),'Semi Rev'!K84&gt;0,'Semi Rev'!G84&gt;0),('Semi OpInc'!K84/'Semi Rev'!K84-'Semi OpInc'!G84/'Semi Rev'!G84)*10000,""),"")</f>
        <v/>
      </c>
      <c r="H937" s="43">
        <f>IFERROR(IF(AND(ISNUMBER('Semi OpInc'!L84),ISNUMBER('Semi Rev'!L84),ISNUMBER('Semi OpInc'!H84),ISNUMBER('Semi Rev'!H84),'Semi Rev'!L84&gt;0,'Semi Rev'!H84&gt;0),('Semi OpInc'!L84/'Semi Rev'!L84-'Semi OpInc'!H84/'Semi Rev'!H84)*10000,""),"")</f>
        <v/>
      </c>
      <c r="I937" s="43">
        <f>IFERROR(IF(AND(ISNUMBER('Semi OpInc'!M84),ISNUMBER('Semi Rev'!M84),ISNUMBER('Semi OpInc'!I84),ISNUMBER('Semi Rev'!I84),'Semi Rev'!M84&gt;0,'Semi Rev'!I84&gt;0),('Semi OpInc'!M84/'Semi Rev'!M84-'Semi OpInc'!I84/'Semi Rev'!I84)*10000,""),"")</f>
        <v/>
      </c>
      <c r="J937" s="43">
        <f>IFERROR(IF(AND(ISNUMBER('Semi OpInc'!N84),ISNUMBER('Semi Rev'!N84),ISNUMBER('Semi OpInc'!J84),ISNUMBER('Semi Rev'!J84),'Semi Rev'!N84&gt;0,'Semi Rev'!J84&gt;0),('Semi OpInc'!N84/'Semi Rev'!N84-'Semi OpInc'!J84/'Semi Rev'!J84)*10000,""),"")</f>
        <v/>
      </c>
      <c r="K937" s="43">
        <f>IFERROR(IF(AND(ISNUMBER('Semi OpInc'!O84),ISNUMBER('Semi Rev'!O84),ISNUMBER('Semi OpInc'!K84),ISNUMBER('Semi Rev'!K84),'Semi Rev'!O84&gt;0,'Semi Rev'!K84&gt;0),('Semi OpInc'!O84/'Semi Rev'!O84-'Semi OpInc'!K84/'Semi Rev'!K84)*10000,""),"")</f>
        <v/>
      </c>
      <c r="L937" s="43">
        <f>IFERROR(IF(AND(ISNUMBER('Semi OpInc'!P84),ISNUMBER('Semi Rev'!P84),ISNUMBER('Semi OpInc'!L84),ISNUMBER('Semi Rev'!L84),'Semi Rev'!P84&gt;0,'Semi Rev'!L84&gt;0),('Semi OpInc'!P84/'Semi Rev'!P84-'Semi OpInc'!L84/'Semi Rev'!L84)*10000,""),"")</f>
        <v/>
      </c>
      <c r="M937" s="44">
        <f>IFERROR(IF(AND(ISNUMBER('Semi OpInc'!Q84),ISNUMBER('Semi Rev'!Q84),ISNUMBER('Semi OpInc'!M84),ISNUMBER('Semi Rev'!M84),'Semi Rev'!Q84&gt;0,'Semi Rev'!M84&gt;0),('Semi OpInc'!Q84/'Semi Rev'!Q84-'Semi OpInc'!M84/'Semi Rev'!M84)*10000,""),"")</f>
        <v/>
      </c>
      <c r="N937" s="44">
        <f>IFERROR(IF(AND(ISNUMBER('Semi OpInc'!R84),ISNUMBER('Semi Rev'!R84),ISNUMBER('Semi OpInc'!N84),ISNUMBER('Semi Rev'!N84),'Semi Rev'!R84&gt;0,'Semi Rev'!N84&gt;0),('Semi OpInc'!R84/'Semi Rev'!R84-'Semi OpInc'!N84/'Semi Rev'!N84)*10000,""),"")</f>
        <v/>
      </c>
    </row>
    <row r="938">
      <c r="A938" s="19">
        <f>'Semi Rev'!$A85</f>
        <v/>
      </c>
      <c r="B938" s="19">
        <f>'Semi Rev'!$B85</f>
        <v/>
      </c>
      <c r="C938" s="43">
        <f>IFERROR(IF(AND(ISNUMBER('Semi OpInc'!G85),ISNUMBER('Semi Rev'!G85),ISNUMBER('Semi OpInc'!C85),ISNUMBER('Semi Rev'!C85),'Semi Rev'!G85&gt;0,'Semi Rev'!C85&gt;0),('Semi OpInc'!G85/'Semi Rev'!G85-'Semi OpInc'!C85/'Semi Rev'!C85)*10000,""),"")</f>
        <v/>
      </c>
      <c r="D938" s="43">
        <f>IFERROR(IF(AND(ISNUMBER('Semi OpInc'!H85),ISNUMBER('Semi Rev'!H85),ISNUMBER('Semi OpInc'!D85),ISNUMBER('Semi Rev'!D85),'Semi Rev'!H85&gt;0,'Semi Rev'!D85&gt;0),('Semi OpInc'!H85/'Semi Rev'!H85-'Semi OpInc'!D85/'Semi Rev'!D85)*10000,""),"")</f>
        <v/>
      </c>
      <c r="E938" s="43">
        <f>IFERROR(IF(AND(ISNUMBER('Semi OpInc'!I85),ISNUMBER('Semi Rev'!I85),ISNUMBER('Semi OpInc'!E85),ISNUMBER('Semi Rev'!E85),'Semi Rev'!I85&gt;0,'Semi Rev'!E85&gt;0),('Semi OpInc'!I85/'Semi Rev'!I85-'Semi OpInc'!E85/'Semi Rev'!E85)*10000,""),"")</f>
        <v/>
      </c>
      <c r="F938" s="43">
        <f>IFERROR(IF(AND(ISNUMBER('Semi OpInc'!J85),ISNUMBER('Semi Rev'!J85),ISNUMBER('Semi OpInc'!F85),ISNUMBER('Semi Rev'!F85),'Semi Rev'!J85&gt;0,'Semi Rev'!F85&gt;0),('Semi OpInc'!J85/'Semi Rev'!J85-'Semi OpInc'!F85/'Semi Rev'!F85)*10000,""),"")</f>
        <v/>
      </c>
      <c r="G938" s="43">
        <f>IFERROR(IF(AND(ISNUMBER('Semi OpInc'!K85),ISNUMBER('Semi Rev'!K85),ISNUMBER('Semi OpInc'!G85),ISNUMBER('Semi Rev'!G85),'Semi Rev'!K85&gt;0,'Semi Rev'!G85&gt;0),('Semi OpInc'!K85/'Semi Rev'!K85-'Semi OpInc'!G85/'Semi Rev'!G85)*10000,""),"")</f>
        <v/>
      </c>
      <c r="H938" s="43">
        <f>IFERROR(IF(AND(ISNUMBER('Semi OpInc'!L85),ISNUMBER('Semi Rev'!L85),ISNUMBER('Semi OpInc'!H85),ISNUMBER('Semi Rev'!H85),'Semi Rev'!L85&gt;0,'Semi Rev'!H85&gt;0),('Semi OpInc'!L85/'Semi Rev'!L85-'Semi OpInc'!H85/'Semi Rev'!H85)*10000,""),"")</f>
        <v/>
      </c>
      <c r="I938" s="43">
        <f>IFERROR(IF(AND(ISNUMBER('Semi OpInc'!M85),ISNUMBER('Semi Rev'!M85),ISNUMBER('Semi OpInc'!I85),ISNUMBER('Semi Rev'!I85),'Semi Rev'!M85&gt;0,'Semi Rev'!I85&gt;0),('Semi OpInc'!M85/'Semi Rev'!M85-'Semi OpInc'!I85/'Semi Rev'!I85)*10000,""),"")</f>
        <v/>
      </c>
      <c r="J938" s="43">
        <f>IFERROR(IF(AND(ISNUMBER('Semi OpInc'!N85),ISNUMBER('Semi Rev'!N85),ISNUMBER('Semi OpInc'!J85),ISNUMBER('Semi Rev'!J85),'Semi Rev'!N85&gt;0,'Semi Rev'!J85&gt;0),('Semi OpInc'!N85/'Semi Rev'!N85-'Semi OpInc'!J85/'Semi Rev'!J85)*10000,""),"")</f>
        <v/>
      </c>
      <c r="K938" s="43">
        <f>IFERROR(IF(AND(ISNUMBER('Semi OpInc'!O85),ISNUMBER('Semi Rev'!O85),ISNUMBER('Semi OpInc'!K85),ISNUMBER('Semi Rev'!K85),'Semi Rev'!O85&gt;0,'Semi Rev'!K85&gt;0),('Semi OpInc'!O85/'Semi Rev'!O85-'Semi OpInc'!K85/'Semi Rev'!K85)*10000,""),"")</f>
        <v/>
      </c>
      <c r="L938" s="43">
        <f>IFERROR(IF(AND(ISNUMBER('Semi OpInc'!P85),ISNUMBER('Semi Rev'!P85),ISNUMBER('Semi OpInc'!L85),ISNUMBER('Semi Rev'!L85),'Semi Rev'!P85&gt;0,'Semi Rev'!L85&gt;0),('Semi OpInc'!P85/'Semi Rev'!P85-'Semi OpInc'!L85/'Semi Rev'!L85)*10000,""),"")</f>
        <v/>
      </c>
      <c r="M938" s="44">
        <f>IFERROR(IF(AND(ISNUMBER('Semi OpInc'!Q85),ISNUMBER('Semi Rev'!Q85),ISNUMBER('Semi OpInc'!M85),ISNUMBER('Semi Rev'!M85),'Semi Rev'!Q85&gt;0,'Semi Rev'!M85&gt;0),('Semi OpInc'!Q85/'Semi Rev'!Q85-'Semi OpInc'!M85/'Semi Rev'!M85)*10000,""),"")</f>
        <v/>
      </c>
      <c r="N938" s="44">
        <f>IFERROR(IF(AND(ISNUMBER('Semi OpInc'!R85),ISNUMBER('Semi Rev'!R85),ISNUMBER('Semi OpInc'!N85),ISNUMBER('Semi Rev'!N85),'Semi Rev'!R85&gt;0,'Semi Rev'!N85&gt;0),('Semi OpInc'!R85/'Semi Rev'!R85-'Semi OpInc'!N85/'Semi Rev'!N85)*10000,""),"")</f>
        <v/>
      </c>
    </row>
    <row r="939">
      <c r="A939" s="19">
        <f>'Semi Rev'!$A86</f>
        <v/>
      </c>
      <c r="B939" s="19">
        <f>'Semi Rev'!$B86</f>
        <v/>
      </c>
      <c r="C939" s="43">
        <f>IFERROR(IF(AND(ISNUMBER('Semi OpInc'!G86),ISNUMBER('Semi Rev'!G86),ISNUMBER('Semi OpInc'!C86),ISNUMBER('Semi Rev'!C86),'Semi Rev'!G86&gt;0,'Semi Rev'!C86&gt;0),('Semi OpInc'!G86/'Semi Rev'!G86-'Semi OpInc'!C86/'Semi Rev'!C86)*10000,""),"")</f>
        <v/>
      </c>
      <c r="D939" s="43">
        <f>IFERROR(IF(AND(ISNUMBER('Semi OpInc'!H86),ISNUMBER('Semi Rev'!H86),ISNUMBER('Semi OpInc'!D86),ISNUMBER('Semi Rev'!D86),'Semi Rev'!H86&gt;0,'Semi Rev'!D86&gt;0),('Semi OpInc'!H86/'Semi Rev'!H86-'Semi OpInc'!D86/'Semi Rev'!D86)*10000,""),"")</f>
        <v/>
      </c>
      <c r="E939" s="43">
        <f>IFERROR(IF(AND(ISNUMBER('Semi OpInc'!I86),ISNUMBER('Semi Rev'!I86),ISNUMBER('Semi OpInc'!E86),ISNUMBER('Semi Rev'!E86),'Semi Rev'!I86&gt;0,'Semi Rev'!E86&gt;0),('Semi OpInc'!I86/'Semi Rev'!I86-'Semi OpInc'!E86/'Semi Rev'!E86)*10000,""),"")</f>
        <v/>
      </c>
      <c r="F939" s="43">
        <f>IFERROR(IF(AND(ISNUMBER('Semi OpInc'!J86),ISNUMBER('Semi Rev'!J86),ISNUMBER('Semi OpInc'!F86),ISNUMBER('Semi Rev'!F86),'Semi Rev'!J86&gt;0,'Semi Rev'!F86&gt;0),('Semi OpInc'!J86/'Semi Rev'!J86-'Semi OpInc'!F86/'Semi Rev'!F86)*10000,""),"")</f>
        <v/>
      </c>
      <c r="G939" s="43">
        <f>IFERROR(IF(AND(ISNUMBER('Semi OpInc'!K86),ISNUMBER('Semi Rev'!K86),ISNUMBER('Semi OpInc'!G86),ISNUMBER('Semi Rev'!G86),'Semi Rev'!K86&gt;0,'Semi Rev'!G86&gt;0),('Semi OpInc'!K86/'Semi Rev'!K86-'Semi OpInc'!G86/'Semi Rev'!G86)*10000,""),"")</f>
        <v/>
      </c>
      <c r="H939" s="43">
        <f>IFERROR(IF(AND(ISNUMBER('Semi OpInc'!L86),ISNUMBER('Semi Rev'!L86),ISNUMBER('Semi OpInc'!H86),ISNUMBER('Semi Rev'!H86),'Semi Rev'!L86&gt;0,'Semi Rev'!H86&gt;0),('Semi OpInc'!L86/'Semi Rev'!L86-'Semi OpInc'!H86/'Semi Rev'!H86)*10000,""),"")</f>
        <v/>
      </c>
      <c r="I939" s="43">
        <f>IFERROR(IF(AND(ISNUMBER('Semi OpInc'!M86),ISNUMBER('Semi Rev'!M86),ISNUMBER('Semi OpInc'!I86),ISNUMBER('Semi Rev'!I86),'Semi Rev'!M86&gt;0,'Semi Rev'!I86&gt;0),('Semi OpInc'!M86/'Semi Rev'!M86-'Semi OpInc'!I86/'Semi Rev'!I86)*10000,""),"")</f>
        <v/>
      </c>
      <c r="J939" s="43">
        <f>IFERROR(IF(AND(ISNUMBER('Semi OpInc'!N86),ISNUMBER('Semi Rev'!N86),ISNUMBER('Semi OpInc'!J86),ISNUMBER('Semi Rev'!J86),'Semi Rev'!N86&gt;0,'Semi Rev'!J86&gt;0),('Semi OpInc'!N86/'Semi Rev'!N86-'Semi OpInc'!J86/'Semi Rev'!J86)*10000,""),"")</f>
        <v/>
      </c>
      <c r="K939" s="43">
        <f>IFERROR(IF(AND(ISNUMBER('Semi OpInc'!O86),ISNUMBER('Semi Rev'!O86),ISNUMBER('Semi OpInc'!K86),ISNUMBER('Semi Rev'!K86),'Semi Rev'!O86&gt;0,'Semi Rev'!K86&gt;0),('Semi OpInc'!O86/'Semi Rev'!O86-'Semi OpInc'!K86/'Semi Rev'!K86)*10000,""),"")</f>
        <v/>
      </c>
      <c r="L939" s="43">
        <f>IFERROR(IF(AND(ISNUMBER('Semi OpInc'!P86),ISNUMBER('Semi Rev'!P86),ISNUMBER('Semi OpInc'!L86),ISNUMBER('Semi Rev'!L86),'Semi Rev'!P86&gt;0,'Semi Rev'!L86&gt;0),('Semi OpInc'!P86/'Semi Rev'!P86-'Semi OpInc'!L86/'Semi Rev'!L86)*10000,""),"")</f>
        <v/>
      </c>
      <c r="M939" s="44">
        <f>IFERROR(IF(AND(ISNUMBER('Semi OpInc'!Q86),ISNUMBER('Semi Rev'!Q86),ISNUMBER('Semi OpInc'!M86),ISNUMBER('Semi Rev'!M86),'Semi Rev'!Q86&gt;0,'Semi Rev'!M86&gt;0),('Semi OpInc'!Q86/'Semi Rev'!Q86-'Semi OpInc'!M86/'Semi Rev'!M86)*10000,""),"")</f>
        <v/>
      </c>
      <c r="N939" s="44">
        <f>IFERROR(IF(AND(ISNUMBER('Semi OpInc'!R86),ISNUMBER('Semi Rev'!R86),ISNUMBER('Semi OpInc'!N86),ISNUMBER('Semi Rev'!N86),'Semi Rev'!R86&gt;0,'Semi Rev'!N86&gt;0),('Semi OpInc'!R86/'Semi Rev'!R86-'Semi OpInc'!N86/'Semi Rev'!N86)*10000,""),"")</f>
        <v/>
      </c>
    </row>
    <row r="940">
      <c r="A940" s="19">
        <f>'Semi Rev'!$A87</f>
        <v/>
      </c>
      <c r="B940" s="19">
        <f>'Semi Rev'!$B87</f>
        <v/>
      </c>
      <c r="C940" s="43">
        <f>IFERROR(IF(AND(ISNUMBER('Semi OpInc'!G87),ISNUMBER('Semi Rev'!G87),ISNUMBER('Semi OpInc'!C87),ISNUMBER('Semi Rev'!C87),'Semi Rev'!G87&gt;0,'Semi Rev'!C87&gt;0),('Semi OpInc'!G87/'Semi Rev'!G87-'Semi OpInc'!C87/'Semi Rev'!C87)*10000,""),"")</f>
        <v/>
      </c>
      <c r="D940" s="43">
        <f>IFERROR(IF(AND(ISNUMBER('Semi OpInc'!H87),ISNUMBER('Semi Rev'!H87),ISNUMBER('Semi OpInc'!D87),ISNUMBER('Semi Rev'!D87),'Semi Rev'!H87&gt;0,'Semi Rev'!D87&gt;0),('Semi OpInc'!H87/'Semi Rev'!H87-'Semi OpInc'!D87/'Semi Rev'!D87)*10000,""),"")</f>
        <v/>
      </c>
      <c r="E940" s="43">
        <f>IFERROR(IF(AND(ISNUMBER('Semi OpInc'!I87),ISNUMBER('Semi Rev'!I87),ISNUMBER('Semi OpInc'!E87),ISNUMBER('Semi Rev'!E87),'Semi Rev'!I87&gt;0,'Semi Rev'!E87&gt;0),('Semi OpInc'!I87/'Semi Rev'!I87-'Semi OpInc'!E87/'Semi Rev'!E87)*10000,""),"")</f>
        <v/>
      </c>
      <c r="F940" s="43">
        <f>IFERROR(IF(AND(ISNUMBER('Semi OpInc'!J87),ISNUMBER('Semi Rev'!J87),ISNUMBER('Semi OpInc'!F87),ISNUMBER('Semi Rev'!F87),'Semi Rev'!J87&gt;0,'Semi Rev'!F87&gt;0),('Semi OpInc'!J87/'Semi Rev'!J87-'Semi OpInc'!F87/'Semi Rev'!F87)*10000,""),"")</f>
        <v/>
      </c>
      <c r="G940" s="43">
        <f>IFERROR(IF(AND(ISNUMBER('Semi OpInc'!K87),ISNUMBER('Semi Rev'!K87),ISNUMBER('Semi OpInc'!G87),ISNUMBER('Semi Rev'!G87),'Semi Rev'!K87&gt;0,'Semi Rev'!G87&gt;0),('Semi OpInc'!K87/'Semi Rev'!K87-'Semi OpInc'!G87/'Semi Rev'!G87)*10000,""),"")</f>
        <v/>
      </c>
      <c r="H940" s="43">
        <f>IFERROR(IF(AND(ISNUMBER('Semi OpInc'!L87),ISNUMBER('Semi Rev'!L87),ISNUMBER('Semi OpInc'!H87),ISNUMBER('Semi Rev'!H87),'Semi Rev'!L87&gt;0,'Semi Rev'!H87&gt;0),('Semi OpInc'!L87/'Semi Rev'!L87-'Semi OpInc'!H87/'Semi Rev'!H87)*10000,""),"")</f>
        <v/>
      </c>
      <c r="I940" s="43">
        <f>IFERROR(IF(AND(ISNUMBER('Semi OpInc'!M87),ISNUMBER('Semi Rev'!M87),ISNUMBER('Semi OpInc'!I87),ISNUMBER('Semi Rev'!I87),'Semi Rev'!M87&gt;0,'Semi Rev'!I87&gt;0),('Semi OpInc'!M87/'Semi Rev'!M87-'Semi OpInc'!I87/'Semi Rev'!I87)*10000,""),"")</f>
        <v/>
      </c>
      <c r="J940" s="43">
        <f>IFERROR(IF(AND(ISNUMBER('Semi OpInc'!N87),ISNUMBER('Semi Rev'!N87),ISNUMBER('Semi OpInc'!J87),ISNUMBER('Semi Rev'!J87),'Semi Rev'!N87&gt;0,'Semi Rev'!J87&gt;0),('Semi OpInc'!N87/'Semi Rev'!N87-'Semi OpInc'!J87/'Semi Rev'!J87)*10000,""),"")</f>
        <v/>
      </c>
      <c r="K940" s="43">
        <f>IFERROR(IF(AND(ISNUMBER('Semi OpInc'!O87),ISNUMBER('Semi Rev'!O87),ISNUMBER('Semi OpInc'!K87),ISNUMBER('Semi Rev'!K87),'Semi Rev'!O87&gt;0,'Semi Rev'!K87&gt;0),('Semi OpInc'!O87/'Semi Rev'!O87-'Semi OpInc'!K87/'Semi Rev'!K87)*10000,""),"")</f>
        <v/>
      </c>
      <c r="L940" s="43">
        <f>IFERROR(IF(AND(ISNUMBER('Semi OpInc'!P87),ISNUMBER('Semi Rev'!P87),ISNUMBER('Semi OpInc'!L87),ISNUMBER('Semi Rev'!L87),'Semi Rev'!P87&gt;0,'Semi Rev'!L87&gt;0),('Semi OpInc'!P87/'Semi Rev'!P87-'Semi OpInc'!L87/'Semi Rev'!L87)*10000,""),"")</f>
        <v/>
      </c>
      <c r="M940" s="44">
        <f>IFERROR(IF(AND(ISNUMBER('Semi OpInc'!Q87),ISNUMBER('Semi Rev'!Q87),ISNUMBER('Semi OpInc'!M87),ISNUMBER('Semi Rev'!M87),'Semi Rev'!Q87&gt;0,'Semi Rev'!M87&gt;0),('Semi OpInc'!Q87/'Semi Rev'!Q87-'Semi OpInc'!M87/'Semi Rev'!M87)*10000,""),"")</f>
        <v/>
      </c>
      <c r="N940" s="44">
        <f>IFERROR(IF(AND(ISNUMBER('Semi OpInc'!R87),ISNUMBER('Semi Rev'!R87),ISNUMBER('Semi OpInc'!N87),ISNUMBER('Semi Rev'!N87),'Semi Rev'!R87&gt;0,'Semi Rev'!N87&gt;0),('Semi OpInc'!R87/'Semi Rev'!R87-'Semi OpInc'!N87/'Semi Rev'!N87)*10000,""),"")</f>
        <v/>
      </c>
    </row>
    <row r="941">
      <c r="A941" s="19">
        <f>'Semi Rev'!$A88</f>
        <v/>
      </c>
      <c r="B941" s="19">
        <f>'Semi Rev'!$B88</f>
        <v/>
      </c>
      <c r="C941" s="43">
        <f>IFERROR(IF(AND(ISNUMBER('Semi OpInc'!G88),ISNUMBER('Semi Rev'!G88),ISNUMBER('Semi OpInc'!C88),ISNUMBER('Semi Rev'!C88),'Semi Rev'!G88&gt;0,'Semi Rev'!C88&gt;0),('Semi OpInc'!G88/'Semi Rev'!G88-'Semi OpInc'!C88/'Semi Rev'!C88)*10000,""),"")</f>
        <v/>
      </c>
      <c r="D941" s="43">
        <f>IFERROR(IF(AND(ISNUMBER('Semi OpInc'!H88),ISNUMBER('Semi Rev'!H88),ISNUMBER('Semi OpInc'!D88),ISNUMBER('Semi Rev'!D88),'Semi Rev'!H88&gt;0,'Semi Rev'!D88&gt;0),('Semi OpInc'!H88/'Semi Rev'!H88-'Semi OpInc'!D88/'Semi Rev'!D88)*10000,""),"")</f>
        <v/>
      </c>
      <c r="E941" s="43">
        <f>IFERROR(IF(AND(ISNUMBER('Semi OpInc'!I88),ISNUMBER('Semi Rev'!I88),ISNUMBER('Semi OpInc'!E88),ISNUMBER('Semi Rev'!E88),'Semi Rev'!I88&gt;0,'Semi Rev'!E88&gt;0),('Semi OpInc'!I88/'Semi Rev'!I88-'Semi OpInc'!E88/'Semi Rev'!E88)*10000,""),"")</f>
        <v/>
      </c>
      <c r="F941" s="43">
        <f>IFERROR(IF(AND(ISNUMBER('Semi OpInc'!J88),ISNUMBER('Semi Rev'!J88),ISNUMBER('Semi OpInc'!F88),ISNUMBER('Semi Rev'!F88),'Semi Rev'!J88&gt;0,'Semi Rev'!F88&gt;0),('Semi OpInc'!J88/'Semi Rev'!J88-'Semi OpInc'!F88/'Semi Rev'!F88)*10000,""),"")</f>
        <v/>
      </c>
      <c r="G941" s="43">
        <f>IFERROR(IF(AND(ISNUMBER('Semi OpInc'!K88),ISNUMBER('Semi Rev'!K88),ISNUMBER('Semi OpInc'!G88),ISNUMBER('Semi Rev'!G88),'Semi Rev'!K88&gt;0,'Semi Rev'!G88&gt;0),('Semi OpInc'!K88/'Semi Rev'!K88-'Semi OpInc'!G88/'Semi Rev'!G88)*10000,""),"")</f>
        <v/>
      </c>
      <c r="H941" s="43">
        <f>IFERROR(IF(AND(ISNUMBER('Semi OpInc'!L88),ISNUMBER('Semi Rev'!L88),ISNUMBER('Semi OpInc'!H88),ISNUMBER('Semi Rev'!H88),'Semi Rev'!L88&gt;0,'Semi Rev'!H88&gt;0),('Semi OpInc'!L88/'Semi Rev'!L88-'Semi OpInc'!H88/'Semi Rev'!H88)*10000,""),"")</f>
        <v/>
      </c>
      <c r="I941" s="43">
        <f>IFERROR(IF(AND(ISNUMBER('Semi OpInc'!M88),ISNUMBER('Semi Rev'!M88),ISNUMBER('Semi OpInc'!I88),ISNUMBER('Semi Rev'!I88),'Semi Rev'!M88&gt;0,'Semi Rev'!I88&gt;0),('Semi OpInc'!M88/'Semi Rev'!M88-'Semi OpInc'!I88/'Semi Rev'!I88)*10000,""),"")</f>
        <v/>
      </c>
      <c r="J941" s="43">
        <f>IFERROR(IF(AND(ISNUMBER('Semi OpInc'!N88),ISNUMBER('Semi Rev'!N88),ISNUMBER('Semi OpInc'!J88),ISNUMBER('Semi Rev'!J88),'Semi Rev'!N88&gt;0,'Semi Rev'!J88&gt;0),('Semi OpInc'!N88/'Semi Rev'!N88-'Semi OpInc'!J88/'Semi Rev'!J88)*10000,""),"")</f>
        <v/>
      </c>
      <c r="K941" s="43">
        <f>IFERROR(IF(AND(ISNUMBER('Semi OpInc'!O88),ISNUMBER('Semi Rev'!O88),ISNUMBER('Semi OpInc'!K88),ISNUMBER('Semi Rev'!K88),'Semi Rev'!O88&gt;0,'Semi Rev'!K88&gt;0),('Semi OpInc'!O88/'Semi Rev'!O88-'Semi OpInc'!K88/'Semi Rev'!K88)*10000,""),"")</f>
        <v/>
      </c>
      <c r="L941" s="43">
        <f>IFERROR(IF(AND(ISNUMBER('Semi OpInc'!P88),ISNUMBER('Semi Rev'!P88),ISNUMBER('Semi OpInc'!L88),ISNUMBER('Semi Rev'!L88),'Semi Rev'!P88&gt;0,'Semi Rev'!L88&gt;0),('Semi OpInc'!P88/'Semi Rev'!P88-'Semi OpInc'!L88/'Semi Rev'!L88)*10000,""),"")</f>
        <v/>
      </c>
      <c r="M941" s="44">
        <f>IFERROR(IF(AND(ISNUMBER('Semi OpInc'!Q88),ISNUMBER('Semi Rev'!Q88),ISNUMBER('Semi OpInc'!M88),ISNUMBER('Semi Rev'!M88),'Semi Rev'!Q88&gt;0,'Semi Rev'!M88&gt;0),('Semi OpInc'!Q88/'Semi Rev'!Q88-'Semi OpInc'!M88/'Semi Rev'!M88)*10000,""),"")</f>
        <v/>
      </c>
      <c r="N941" s="44">
        <f>IFERROR(IF(AND(ISNUMBER('Semi OpInc'!R88),ISNUMBER('Semi Rev'!R88),ISNUMBER('Semi OpInc'!N88),ISNUMBER('Semi Rev'!N88),'Semi Rev'!R88&gt;0,'Semi Rev'!N88&gt;0),('Semi OpInc'!R88/'Semi Rev'!R88-'Semi OpInc'!N88/'Semi Rev'!N88)*10000,""),"")</f>
        <v/>
      </c>
    </row>
    <row r="942">
      <c r="A942" s="19">
        <f>'Semi Rev'!$A89</f>
        <v/>
      </c>
      <c r="B942" s="19">
        <f>'Semi Rev'!$B89</f>
        <v/>
      </c>
      <c r="C942" s="43">
        <f>IFERROR(IF(AND(ISNUMBER('Semi OpInc'!G89),ISNUMBER('Semi Rev'!G89),ISNUMBER('Semi OpInc'!C89),ISNUMBER('Semi Rev'!C89),'Semi Rev'!G89&gt;0,'Semi Rev'!C89&gt;0),('Semi OpInc'!G89/'Semi Rev'!G89-'Semi OpInc'!C89/'Semi Rev'!C89)*10000,""),"")</f>
        <v/>
      </c>
      <c r="D942" s="43">
        <f>IFERROR(IF(AND(ISNUMBER('Semi OpInc'!H89),ISNUMBER('Semi Rev'!H89),ISNUMBER('Semi OpInc'!D89),ISNUMBER('Semi Rev'!D89),'Semi Rev'!H89&gt;0,'Semi Rev'!D89&gt;0),('Semi OpInc'!H89/'Semi Rev'!H89-'Semi OpInc'!D89/'Semi Rev'!D89)*10000,""),"")</f>
        <v/>
      </c>
      <c r="E942" s="43">
        <f>IFERROR(IF(AND(ISNUMBER('Semi OpInc'!I89),ISNUMBER('Semi Rev'!I89),ISNUMBER('Semi OpInc'!E89),ISNUMBER('Semi Rev'!E89),'Semi Rev'!I89&gt;0,'Semi Rev'!E89&gt;0),('Semi OpInc'!I89/'Semi Rev'!I89-'Semi OpInc'!E89/'Semi Rev'!E89)*10000,""),"")</f>
        <v/>
      </c>
      <c r="F942" s="43">
        <f>IFERROR(IF(AND(ISNUMBER('Semi OpInc'!J89),ISNUMBER('Semi Rev'!J89),ISNUMBER('Semi OpInc'!F89),ISNUMBER('Semi Rev'!F89),'Semi Rev'!J89&gt;0,'Semi Rev'!F89&gt;0),('Semi OpInc'!J89/'Semi Rev'!J89-'Semi OpInc'!F89/'Semi Rev'!F89)*10000,""),"")</f>
        <v/>
      </c>
      <c r="G942" s="43">
        <f>IFERROR(IF(AND(ISNUMBER('Semi OpInc'!K89),ISNUMBER('Semi Rev'!K89),ISNUMBER('Semi OpInc'!G89),ISNUMBER('Semi Rev'!G89),'Semi Rev'!K89&gt;0,'Semi Rev'!G89&gt;0),('Semi OpInc'!K89/'Semi Rev'!K89-'Semi OpInc'!G89/'Semi Rev'!G89)*10000,""),"")</f>
        <v/>
      </c>
      <c r="H942" s="43">
        <f>IFERROR(IF(AND(ISNUMBER('Semi OpInc'!L89),ISNUMBER('Semi Rev'!L89),ISNUMBER('Semi OpInc'!H89),ISNUMBER('Semi Rev'!H89),'Semi Rev'!L89&gt;0,'Semi Rev'!H89&gt;0),('Semi OpInc'!L89/'Semi Rev'!L89-'Semi OpInc'!H89/'Semi Rev'!H89)*10000,""),"")</f>
        <v/>
      </c>
      <c r="I942" s="43">
        <f>IFERROR(IF(AND(ISNUMBER('Semi OpInc'!M89),ISNUMBER('Semi Rev'!M89),ISNUMBER('Semi OpInc'!I89),ISNUMBER('Semi Rev'!I89),'Semi Rev'!M89&gt;0,'Semi Rev'!I89&gt;0),('Semi OpInc'!M89/'Semi Rev'!M89-'Semi OpInc'!I89/'Semi Rev'!I89)*10000,""),"")</f>
        <v/>
      </c>
      <c r="J942" s="43">
        <f>IFERROR(IF(AND(ISNUMBER('Semi OpInc'!N89),ISNUMBER('Semi Rev'!N89),ISNUMBER('Semi OpInc'!J89),ISNUMBER('Semi Rev'!J89),'Semi Rev'!N89&gt;0,'Semi Rev'!J89&gt;0),('Semi OpInc'!N89/'Semi Rev'!N89-'Semi OpInc'!J89/'Semi Rev'!J89)*10000,""),"")</f>
        <v/>
      </c>
      <c r="K942" s="43">
        <f>IFERROR(IF(AND(ISNUMBER('Semi OpInc'!O89),ISNUMBER('Semi Rev'!O89),ISNUMBER('Semi OpInc'!K89),ISNUMBER('Semi Rev'!K89),'Semi Rev'!O89&gt;0,'Semi Rev'!K89&gt;0),('Semi OpInc'!O89/'Semi Rev'!O89-'Semi OpInc'!K89/'Semi Rev'!K89)*10000,""),"")</f>
        <v/>
      </c>
      <c r="L942" s="43">
        <f>IFERROR(IF(AND(ISNUMBER('Semi OpInc'!P89),ISNUMBER('Semi Rev'!P89),ISNUMBER('Semi OpInc'!L89),ISNUMBER('Semi Rev'!L89),'Semi Rev'!P89&gt;0,'Semi Rev'!L89&gt;0),('Semi OpInc'!P89/'Semi Rev'!P89-'Semi OpInc'!L89/'Semi Rev'!L89)*10000,""),"")</f>
        <v/>
      </c>
      <c r="M942" s="44">
        <f>IFERROR(IF(AND(ISNUMBER('Semi OpInc'!Q89),ISNUMBER('Semi Rev'!Q89),ISNUMBER('Semi OpInc'!M89),ISNUMBER('Semi Rev'!M89),'Semi Rev'!Q89&gt;0,'Semi Rev'!M89&gt;0),('Semi OpInc'!Q89/'Semi Rev'!Q89-'Semi OpInc'!M89/'Semi Rev'!M89)*10000,""),"")</f>
        <v/>
      </c>
      <c r="N942" s="44">
        <f>IFERROR(IF(AND(ISNUMBER('Semi OpInc'!R89),ISNUMBER('Semi Rev'!R89),ISNUMBER('Semi OpInc'!N89),ISNUMBER('Semi Rev'!N89),'Semi Rev'!R89&gt;0,'Semi Rev'!N89&gt;0),('Semi OpInc'!R89/'Semi Rev'!R89-'Semi OpInc'!N89/'Semi Rev'!N89)*10000,""),"")</f>
        <v/>
      </c>
    </row>
    <row r="943">
      <c r="A943" s="19">
        <f>'Semi Rev'!$A90</f>
        <v/>
      </c>
      <c r="B943" s="19">
        <f>'Semi Rev'!$B90</f>
        <v/>
      </c>
      <c r="C943" s="43">
        <f>IFERROR(IF(AND(ISNUMBER('Semi OpInc'!G90),ISNUMBER('Semi Rev'!G90),ISNUMBER('Semi OpInc'!C90),ISNUMBER('Semi Rev'!C90),'Semi Rev'!G90&gt;0,'Semi Rev'!C90&gt;0),('Semi OpInc'!G90/'Semi Rev'!G90-'Semi OpInc'!C90/'Semi Rev'!C90)*10000,""),"")</f>
        <v/>
      </c>
      <c r="D943" s="43">
        <f>IFERROR(IF(AND(ISNUMBER('Semi OpInc'!H90),ISNUMBER('Semi Rev'!H90),ISNUMBER('Semi OpInc'!D90),ISNUMBER('Semi Rev'!D90),'Semi Rev'!H90&gt;0,'Semi Rev'!D90&gt;0),('Semi OpInc'!H90/'Semi Rev'!H90-'Semi OpInc'!D90/'Semi Rev'!D90)*10000,""),"")</f>
        <v/>
      </c>
      <c r="E943" s="43">
        <f>IFERROR(IF(AND(ISNUMBER('Semi OpInc'!I90),ISNUMBER('Semi Rev'!I90),ISNUMBER('Semi OpInc'!E90),ISNUMBER('Semi Rev'!E90),'Semi Rev'!I90&gt;0,'Semi Rev'!E90&gt;0),('Semi OpInc'!I90/'Semi Rev'!I90-'Semi OpInc'!E90/'Semi Rev'!E90)*10000,""),"")</f>
        <v/>
      </c>
      <c r="F943" s="43">
        <f>IFERROR(IF(AND(ISNUMBER('Semi OpInc'!J90),ISNUMBER('Semi Rev'!J90),ISNUMBER('Semi OpInc'!F90),ISNUMBER('Semi Rev'!F90),'Semi Rev'!J90&gt;0,'Semi Rev'!F90&gt;0),('Semi OpInc'!J90/'Semi Rev'!J90-'Semi OpInc'!F90/'Semi Rev'!F90)*10000,""),"")</f>
        <v/>
      </c>
      <c r="G943" s="43">
        <f>IFERROR(IF(AND(ISNUMBER('Semi OpInc'!K90),ISNUMBER('Semi Rev'!K90),ISNUMBER('Semi OpInc'!G90),ISNUMBER('Semi Rev'!G90),'Semi Rev'!K90&gt;0,'Semi Rev'!G90&gt;0),('Semi OpInc'!K90/'Semi Rev'!K90-'Semi OpInc'!G90/'Semi Rev'!G90)*10000,""),"")</f>
        <v/>
      </c>
      <c r="H943" s="43">
        <f>IFERROR(IF(AND(ISNUMBER('Semi OpInc'!L90),ISNUMBER('Semi Rev'!L90),ISNUMBER('Semi OpInc'!H90),ISNUMBER('Semi Rev'!H90),'Semi Rev'!L90&gt;0,'Semi Rev'!H90&gt;0),('Semi OpInc'!L90/'Semi Rev'!L90-'Semi OpInc'!H90/'Semi Rev'!H90)*10000,""),"")</f>
        <v/>
      </c>
      <c r="I943" s="43">
        <f>IFERROR(IF(AND(ISNUMBER('Semi OpInc'!M90),ISNUMBER('Semi Rev'!M90),ISNUMBER('Semi OpInc'!I90),ISNUMBER('Semi Rev'!I90),'Semi Rev'!M90&gt;0,'Semi Rev'!I90&gt;0),('Semi OpInc'!M90/'Semi Rev'!M90-'Semi OpInc'!I90/'Semi Rev'!I90)*10000,""),"")</f>
        <v/>
      </c>
      <c r="J943" s="43">
        <f>IFERROR(IF(AND(ISNUMBER('Semi OpInc'!N90),ISNUMBER('Semi Rev'!N90),ISNUMBER('Semi OpInc'!J90),ISNUMBER('Semi Rev'!J90),'Semi Rev'!N90&gt;0,'Semi Rev'!J90&gt;0),('Semi OpInc'!N90/'Semi Rev'!N90-'Semi OpInc'!J90/'Semi Rev'!J90)*10000,""),"")</f>
        <v/>
      </c>
      <c r="K943" s="43">
        <f>IFERROR(IF(AND(ISNUMBER('Semi OpInc'!O90),ISNUMBER('Semi Rev'!O90),ISNUMBER('Semi OpInc'!K90),ISNUMBER('Semi Rev'!K90),'Semi Rev'!O90&gt;0,'Semi Rev'!K90&gt;0),('Semi OpInc'!O90/'Semi Rev'!O90-'Semi OpInc'!K90/'Semi Rev'!K90)*10000,""),"")</f>
        <v/>
      </c>
      <c r="L943" s="43">
        <f>IFERROR(IF(AND(ISNUMBER('Semi OpInc'!P90),ISNUMBER('Semi Rev'!P90),ISNUMBER('Semi OpInc'!L90),ISNUMBER('Semi Rev'!L90),'Semi Rev'!P90&gt;0,'Semi Rev'!L90&gt;0),('Semi OpInc'!P90/'Semi Rev'!P90-'Semi OpInc'!L90/'Semi Rev'!L90)*10000,""),"")</f>
        <v/>
      </c>
      <c r="M943" s="44">
        <f>IFERROR(IF(AND(ISNUMBER('Semi OpInc'!Q90),ISNUMBER('Semi Rev'!Q90),ISNUMBER('Semi OpInc'!M90),ISNUMBER('Semi Rev'!M90),'Semi Rev'!Q90&gt;0,'Semi Rev'!M90&gt;0),('Semi OpInc'!Q90/'Semi Rev'!Q90-'Semi OpInc'!M90/'Semi Rev'!M90)*10000,""),"")</f>
        <v/>
      </c>
      <c r="N943" s="44">
        <f>IFERROR(IF(AND(ISNUMBER('Semi OpInc'!R90),ISNUMBER('Semi Rev'!R90),ISNUMBER('Semi OpInc'!N90),ISNUMBER('Semi Rev'!N90),'Semi Rev'!R90&gt;0,'Semi Rev'!N90&gt;0),('Semi OpInc'!R90/'Semi Rev'!R90-'Semi OpInc'!N90/'Semi Rev'!N90)*10000,""),"")</f>
        <v/>
      </c>
    </row>
    <row r="944">
      <c r="A944" s="19">
        <f>'Semi Rev'!$A91</f>
        <v/>
      </c>
      <c r="B944" s="19">
        <f>'Semi Rev'!$B91</f>
        <v/>
      </c>
      <c r="C944" s="43">
        <f>IFERROR(IF(AND(ISNUMBER('Semi OpInc'!G91),ISNUMBER('Semi Rev'!G91),ISNUMBER('Semi OpInc'!C91),ISNUMBER('Semi Rev'!C91),'Semi Rev'!G91&gt;0,'Semi Rev'!C91&gt;0),('Semi OpInc'!G91/'Semi Rev'!G91-'Semi OpInc'!C91/'Semi Rev'!C91)*10000,""),"")</f>
        <v/>
      </c>
      <c r="D944" s="43">
        <f>IFERROR(IF(AND(ISNUMBER('Semi OpInc'!H91),ISNUMBER('Semi Rev'!H91),ISNUMBER('Semi OpInc'!D91),ISNUMBER('Semi Rev'!D91),'Semi Rev'!H91&gt;0,'Semi Rev'!D91&gt;0),('Semi OpInc'!H91/'Semi Rev'!H91-'Semi OpInc'!D91/'Semi Rev'!D91)*10000,""),"")</f>
        <v/>
      </c>
      <c r="E944" s="43">
        <f>IFERROR(IF(AND(ISNUMBER('Semi OpInc'!I91),ISNUMBER('Semi Rev'!I91),ISNUMBER('Semi OpInc'!E91),ISNUMBER('Semi Rev'!E91),'Semi Rev'!I91&gt;0,'Semi Rev'!E91&gt;0),('Semi OpInc'!I91/'Semi Rev'!I91-'Semi OpInc'!E91/'Semi Rev'!E91)*10000,""),"")</f>
        <v/>
      </c>
      <c r="F944" s="43">
        <f>IFERROR(IF(AND(ISNUMBER('Semi OpInc'!J91),ISNUMBER('Semi Rev'!J91),ISNUMBER('Semi OpInc'!F91),ISNUMBER('Semi Rev'!F91),'Semi Rev'!J91&gt;0,'Semi Rev'!F91&gt;0),('Semi OpInc'!J91/'Semi Rev'!J91-'Semi OpInc'!F91/'Semi Rev'!F91)*10000,""),"")</f>
        <v/>
      </c>
      <c r="G944" s="43">
        <f>IFERROR(IF(AND(ISNUMBER('Semi OpInc'!K91),ISNUMBER('Semi Rev'!K91),ISNUMBER('Semi OpInc'!G91),ISNUMBER('Semi Rev'!G91),'Semi Rev'!K91&gt;0,'Semi Rev'!G91&gt;0),('Semi OpInc'!K91/'Semi Rev'!K91-'Semi OpInc'!G91/'Semi Rev'!G91)*10000,""),"")</f>
        <v/>
      </c>
      <c r="H944" s="43">
        <f>IFERROR(IF(AND(ISNUMBER('Semi OpInc'!L91),ISNUMBER('Semi Rev'!L91),ISNUMBER('Semi OpInc'!H91),ISNUMBER('Semi Rev'!H91),'Semi Rev'!L91&gt;0,'Semi Rev'!H91&gt;0),('Semi OpInc'!L91/'Semi Rev'!L91-'Semi OpInc'!H91/'Semi Rev'!H91)*10000,""),"")</f>
        <v/>
      </c>
      <c r="I944" s="43">
        <f>IFERROR(IF(AND(ISNUMBER('Semi OpInc'!M91),ISNUMBER('Semi Rev'!M91),ISNUMBER('Semi OpInc'!I91),ISNUMBER('Semi Rev'!I91),'Semi Rev'!M91&gt;0,'Semi Rev'!I91&gt;0),('Semi OpInc'!M91/'Semi Rev'!M91-'Semi OpInc'!I91/'Semi Rev'!I91)*10000,""),"")</f>
        <v/>
      </c>
      <c r="J944" s="43">
        <f>IFERROR(IF(AND(ISNUMBER('Semi OpInc'!N91),ISNUMBER('Semi Rev'!N91),ISNUMBER('Semi OpInc'!J91),ISNUMBER('Semi Rev'!J91),'Semi Rev'!N91&gt;0,'Semi Rev'!J91&gt;0),('Semi OpInc'!N91/'Semi Rev'!N91-'Semi OpInc'!J91/'Semi Rev'!J91)*10000,""),"")</f>
        <v/>
      </c>
      <c r="K944" s="43">
        <f>IFERROR(IF(AND(ISNUMBER('Semi OpInc'!O91),ISNUMBER('Semi Rev'!O91),ISNUMBER('Semi OpInc'!K91),ISNUMBER('Semi Rev'!K91),'Semi Rev'!O91&gt;0,'Semi Rev'!K91&gt;0),('Semi OpInc'!O91/'Semi Rev'!O91-'Semi OpInc'!K91/'Semi Rev'!K91)*10000,""),"")</f>
        <v/>
      </c>
      <c r="L944" s="43">
        <f>IFERROR(IF(AND(ISNUMBER('Semi OpInc'!P91),ISNUMBER('Semi Rev'!P91),ISNUMBER('Semi OpInc'!L91),ISNUMBER('Semi Rev'!L91),'Semi Rev'!P91&gt;0,'Semi Rev'!L91&gt;0),('Semi OpInc'!P91/'Semi Rev'!P91-'Semi OpInc'!L91/'Semi Rev'!L91)*10000,""),"")</f>
        <v/>
      </c>
      <c r="M944" s="44">
        <f>IFERROR(IF(AND(ISNUMBER('Semi OpInc'!Q91),ISNUMBER('Semi Rev'!Q91),ISNUMBER('Semi OpInc'!M91),ISNUMBER('Semi Rev'!M91),'Semi Rev'!Q91&gt;0,'Semi Rev'!M91&gt;0),('Semi OpInc'!Q91/'Semi Rev'!Q91-'Semi OpInc'!M91/'Semi Rev'!M91)*10000,""),"")</f>
        <v/>
      </c>
      <c r="N944" s="44">
        <f>IFERROR(IF(AND(ISNUMBER('Semi OpInc'!R91),ISNUMBER('Semi Rev'!R91),ISNUMBER('Semi OpInc'!N91),ISNUMBER('Semi Rev'!N91),'Semi Rev'!R91&gt;0,'Semi Rev'!N91&gt;0),('Semi OpInc'!R91/'Semi Rev'!R91-'Semi OpInc'!N91/'Semi Rev'!N91)*10000,""),"")</f>
        <v/>
      </c>
    </row>
    <row r="945">
      <c r="A945" s="19">
        <f>'Semi Rev'!$A92</f>
        <v/>
      </c>
      <c r="B945" s="19">
        <f>'Semi Rev'!$B92</f>
        <v/>
      </c>
      <c r="C945" s="43">
        <f>IFERROR(IF(AND(ISNUMBER('Semi OpInc'!G92),ISNUMBER('Semi Rev'!G92),ISNUMBER('Semi OpInc'!C92),ISNUMBER('Semi Rev'!C92),'Semi Rev'!G92&gt;0,'Semi Rev'!C92&gt;0),('Semi OpInc'!G92/'Semi Rev'!G92-'Semi OpInc'!C92/'Semi Rev'!C92)*10000,""),"")</f>
        <v/>
      </c>
      <c r="D945" s="43">
        <f>IFERROR(IF(AND(ISNUMBER('Semi OpInc'!H92),ISNUMBER('Semi Rev'!H92),ISNUMBER('Semi OpInc'!D92),ISNUMBER('Semi Rev'!D92),'Semi Rev'!H92&gt;0,'Semi Rev'!D92&gt;0),('Semi OpInc'!H92/'Semi Rev'!H92-'Semi OpInc'!D92/'Semi Rev'!D92)*10000,""),"")</f>
        <v/>
      </c>
      <c r="E945" s="43">
        <f>IFERROR(IF(AND(ISNUMBER('Semi OpInc'!I92),ISNUMBER('Semi Rev'!I92),ISNUMBER('Semi OpInc'!E92),ISNUMBER('Semi Rev'!E92),'Semi Rev'!I92&gt;0,'Semi Rev'!E92&gt;0),('Semi OpInc'!I92/'Semi Rev'!I92-'Semi OpInc'!E92/'Semi Rev'!E92)*10000,""),"")</f>
        <v/>
      </c>
      <c r="F945" s="43">
        <f>IFERROR(IF(AND(ISNUMBER('Semi OpInc'!J92),ISNUMBER('Semi Rev'!J92),ISNUMBER('Semi OpInc'!F92),ISNUMBER('Semi Rev'!F92),'Semi Rev'!J92&gt;0,'Semi Rev'!F92&gt;0),('Semi OpInc'!J92/'Semi Rev'!J92-'Semi OpInc'!F92/'Semi Rev'!F92)*10000,""),"")</f>
        <v/>
      </c>
      <c r="G945" s="43">
        <f>IFERROR(IF(AND(ISNUMBER('Semi OpInc'!K92),ISNUMBER('Semi Rev'!K92),ISNUMBER('Semi OpInc'!G92),ISNUMBER('Semi Rev'!G92),'Semi Rev'!K92&gt;0,'Semi Rev'!G92&gt;0),('Semi OpInc'!K92/'Semi Rev'!K92-'Semi OpInc'!G92/'Semi Rev'!G92)*10000,""),"")</f>
        <v/>
      </c>
      <c r="H945" s="43">
        <f>IFERROR(IF(AND(ISNUMBER('Semi OpInc'!L92),ISNUMBER('Semi Rev'!L92),ISNUMBER('Semi OpInc'!H92),ISNUMBER('Semi Rev'!H92),'Semi Rev'!L92&gt;0,'Semi Rev'!H92&gt;0),('Semi OpInc'!L92/'Semi Rev'!L92-'Semi OpInc'!H92/'Semi Rev'!H92)*10000,""),"")</f>
        <v/>
      </c>
      <c r="I945" s="43">
        <f>IFERROR(IF(AND(ISNUMBER('Semi OpInc'!M92),ISNUMBER('Semi Rev'!M92),ISNUMBER('Semi OpInc'!I92),ISNUMBER('Semi Rev'!I92),'Semi Rev'!M92&gt;0,'Semi Rev'!I92&gt;0),('Semi OpInc'!M92/'Semi Rev'!M92-'Semi OpInc'!I92/'Semi Rev'!I92)*10000,""),"")</f>
        <v/>
      </c>
      <c r="J945" s="43">
        <f>IFERROR(IF(AND(ISNUMBER('Semi OpInc'!N92),ISNUMBER('Semi Rev'!N92),ISNUMBER('Semi OpInc'!J92),ISNUMBER('Semi Rev'!J92),'Semi Rev'!N92&gt;0,'Semi Rev'!J92&gt;0),('Semi OpInc'!N92/'Semi Rev'!N92-'Semi OpInc'!J92/'Semi Rev'!J92)*10000,""),"")</f>
        <v/>
      </c>
      <c r="K945" s="43">
        <f>IFERROR(IF(AND(ISNUMBER('Semi OpInc'!O92),ISNUMBER('Semi Rev'!O92),ISNUMBER('Semi OpInc'!K92),ISNUMBER('Semi Rev'!K92),'Semi Rev'!O92&gt;0,'Semi Rev'!K92&gt;0),('Semi OpInc'!O92/'Semi Rev'!O92-'Semi OpInc'!K92/'Semi Rev'!K92)*10000,""),"")</f>
        <v/>
      </c>
      <c r="L945" s="43">
        <f>IFERROR(IF(AND(ISNUMBER('Semi OpInc'!P92),ISNUMBER('Semi Rev'!P92),ISNUMBER('Semi OpInc'!L92),ISNUMBER('Semi Rev'!L92),'Semi Rev'!P92&gt;0,'Semi Rev'!L92&gt;0),('Semi OpInc'!P92/'Semi Rev'!P92-'Semi OpInc'!L92/'Semi Rev'!L92)*10000,""),"")</f>
        <v/>
      </c>
      <c r="M945" s="44">
        <f>IFERROR(IF(AND(ISNUMBER('Semi OpInc'!Q92),ISNUMBER('Semi Rev'!Q92),ISNUMBER('Semi OpInc'!M92),ISNUMBER('Semi Rev'!M92),'Semi Rev'!Q92&gt;0,'Semi Rev'!M92&gt;0),('Semi OpInc'!Q92/'Semi Rev'!Q92-'Semi OpInc'!M92/'Semi Rev'!M92)*10000,""),"")</f>
        <v/>
      </c>
      <c r="N945" s="44">
        <f>IFERROR(IF(AND(ISNUMBER('Semi OpInc'!R92),ISNUMBER('Semi Rev'!R92),ISNUMBER('Semi OpInc'!N92),ISNUMBER('Semi Rev'!N92),'Semi Rev'!R92&gt;0,'Semi Rev'!N92&gt;0),('Semi OpInc'!R92/'Semi Rev'!R92-'Semi OpInc'!N92/'Semi Rev'!N92)*10000,""),"")</f>
        <v/>
      </c>
    </row>
    <row r="946">
      <c r="A946" s="19">
        <f>'Semi Rev'!$A93</f>
        <v/>
      </c>
      <c r="B946" s="19">
        <f>'Semi Rev'!$B93</f>
        <v/>
      </c>
      <c r="C946" s="43">
        <f>IFERROR(IF(AND(ISNUMBER('Semi OpInc'!G93),ISNUMBER('Semi Rev'!G93),ISNUMBER('Semi OpInc'!C93),ISNUMBER('Semi Rev'!C93),'Semi Rev'!G93&gt;0,'Semi Rev'!C93&gt;0),('Semi OpInc'!G93/'Semi Rev'!G93-'Semi OpInc'!C93/'Semi Rev'!C93)*10000,""),"")</f>
        <v/>
      </c>
      <c r="D946" s="43">
        <f>IFERROR(IF(AND(ISNUMBER('Semi OpInc'!H93),ISNUMBER('Semi Rev'!H93),ISNUMBER('Semi OpInc'!D93),ISNUMBER('Semi Rev'!D93),'Semi Rev'!H93&gt;0,'Semi Rev'!D93&gt;0),('Semi OpInc'!H93/'Semi Rev'!H93-'Semi OpInc'!D93/'Semi Rev'!D93)*10000,""),"")</f>
        <v/>
      </c>
      <c r="E946" s="43">
        <f>IFERROR(IF(AND(ISNUMBER('Semi OpInc'!I93),ISNUMBER('Semi Rev'!I93),ISNUMBER('Semi OpInc'!E93),ISNUMBER('Semi Rev'!E93),'Semi Rev'!I93&gt;0,'Semi Rev'!E93&gt;0),('Semi OpInc'!I93/'Semi Rev'!I93-'Semi OpInc'!E93/'Semi Rev'!E93)*10000,""),"")</f>
        <v/>
      </c>
      <c r="F946" s="43">
        <f>IFERROR(IF(AND(ISNUMBER('Semi OpInc'!J93),ISNUMBER('Semi Rev'!J93),ISNUMBER('Semi OpInc'!F93),ISNUMBER('Semi Rev'!F93),'Semi Rev'!J93&gt;0,'Semi Rev'!F93&gt;0),('Semi OpInc'!J93/'Semi Rev'!J93-'Semi OpInc'!F93/'Semi Rev'!F93)*10000,""),"")</f>
        <v/>
      </c>
      <c r="G946" s="43">
        <f>IFERROR(IF(AND(ISNUMBER('Semi OpInc'!K93),ISNUMBER('Semi Rev'!K93),ISNUMBER('Semi OpInc'!G93),ISNUMBER('Semi Rev'!G93),'Semi Rev'!K93&gt;0,'Semi Rev'!G93&gt;0),('Semi OpInc'!K93/'Semi Rev'!K93-'Semi OpInc'!G93/'Semi Rev'!G93)*10000,""),"")</f>
        <v/>
      </c>
      <c r="H946" s="43">
        <f>IFERROR(IF(AND(ISNUMBER('Semi OpInc'!L93),ISNUMBER('Semi Rev'!L93),ISNUMBER('Semi OpInc'!H93),ISNUMBER('Semi Rev'!H93),'Semi Rev'!L93&gt;0,'Semi Rev'!H93&gt;0),('Semi OpInc'!L93/'Semi Rev'!L93-'Semi OpInc'!H93/'Semi Rev'!H93)*10000,""),"")</f>
        <v/>
      </c>
      <c r="I946" s="43">
        <f>IFERROR(IF(AND(ISNUMBER('Semi OpInc'!M93),ISNUMBER('Semi Rev'!M93),ISNUMBER('Semi OpInc'!I93),ISNUMBER('Semi Rev'!I93),'Semi Rev'!M93&gt;0,'Semi Rev'!I93&gt;0),('Semi OpInc'!M93/'Semi Rev'!M93-'Semi OpInc'!I93/'Semi Rev'!I93)*10000,""),"")</f>
        <v/>
      </c>
      <c r="J946" s="43">
        <f>IFERROR(IF(AND(ISNUMBER('Semi OpInc'!N93),ISNUMBER('Semi Rev'!N93),ISNUMBER('Semi OpInc'!J93),ISNUMBER('Semi Rev'!J93),'Semi Rev'!N93&gt;0,'Semi Rev'!J93&gt;0),('Semi OpInc'!N93/'Semi Rev'!N93-'Semi OpInc'!J93/'Semi Rev'!J93)*10000,""),"")</f>
        <v/>
      </c>
      <c r="K946" s="43">
        <f>IFERROR(IF(AND(ISNUMBER('Semi OpInc'!O93),ISNUMBER('Semi Rev'!O93),ISNUMBER('Semi OpInc'!K93),ISNUMBER('Semi Rev'!K93),'Semi Rev'!O93&gt;0,'Semi Rev'!K93&gt;0),('Semi OpInc'!O93/'Semi Rev'!O93-'Semi OpInc'!K93/'Semi Rev'!K93)*10000,""),"")</f>
        <v/>
      </c>
      <c r="L946" s="43">
        <f>IFERROR(IF(AND(ISNUMBER('Semi OpInc'!P93),ISNUMBER('Semi Rev'!P93),ISNUMBER('Semi OpInc'!L93),ISNUMBER('Semi Rev'!L93),'Semi Rev'!P93&gt;0,'Semi Rev'!L93&gt;0),('Semi OpInc'!P93/'Semi Rev'!P93-'Semi OpInc'!L93/'Semi Rev'!L93)*10000,""),"")</f>
        <v/>
      </c>
      <c r="M946" s="44">
        <f>IFERROR(IF(AND(ISNUMBER('Semi OpInc'!Q93),ISNUMBER('Semi Rev'!Q93),ISNUMBER('Semi OpInc'!M93),ISNUMBER('Semi Rev'!M93),'Semi Rev'!Q93&gt;0,'Semi Rev'!M93&gt;0),('Semi OpInc'!Q93/'Semi Rev'!Q93-'Semi OpInc'!M93/'Semi Rev'!M93)*10000,""),"")</f>
        <v/>
      </c>
      <c r="N946" s="44">
        <f>IFERROR(IF(AND(ISNUMBER('Semi OpInc'!R93),ISNUMBER('Semi Rev'!R93),ISNUMBER('Semi OpInc'!N93),ISNUMBER('Semi Rev'!N93),'Semi Rev'!R93&gt;0,'Semi Rev'!N93&gt;0),('Semi OpInc'!R93/'Semi Rev'!R93-'Semi OpInc'!N93/'Semi Rev'!N93)*10000,""),"")</f>
        <v/>
      </c>
    </row>
    <row r="947">
      <c r="A947" s="19">
        <f>'Semi Rev'!$A94</f>
        <v/>
      </c>
      <c r="B947" s="19">
        <f>'Semi Rev'!$B94</f>
        <v/>
      </c>
      <c r="C947" s="43">
        <f>IFERROR(IF(AND(ISNUMBER('Semi OpInc'!G94),ISNUMBER('Semi Rev'!G94),ISNUMBER('Semi OpInc'!C94),ISNUMBER('Semi Rev'!C94),'Semi Rev'!G94&gt;0,'Semi Rev'!C94&gt;0),('Semi OpInc'!G94/'Semi Rev'!G94-'Semi OpInc'!C94/'Semi Rev'!C94)*10000,""),"")</f>
        <v/>
      </c>
      <c r="D947" s="43">
        <f>IFERROR(IF(AND(ISNUMBER('Semi OpInc'!H94),ISNUMBER('Semi Rev'!H94),ISNUMBER('Semi OpInc'!D94),ISNUMBER('Semi Rev'!D94),'Semi Rev'!H94&gt;0,'Semi Rev'!D94&gt;0),('Semi OpInc'!H94/'Semi Rev'!H94-'Semi OpInc'!D94/'Semi Rev'!D94)*10000,""),"")</f>
        <v/>
      </c>
      <c r="E947" s="43">
        <f>IFERROR(IF(AND(ISNUMBER('Semi OpInc'!I94),ISNUMBER('Semi Rev'!I94),ISNUMBER('Semi OpInc'!E94),ISNUMBER('Semi Rev'!E94),'Semi Rev'!I94&gt;0,'Semi Rev'!E94&gt;0),('Semi OpInc'!I94/'Semi Rev'!I94-'Semi OpInc'!E94/'Semi Rev'!E94)*10000,""),"")</f>
        <v/>
      </c>
      <c r="F947" s="43">
        <f>IFERROR(IF(AND(ISNUMBER('Semi OpInc'!J94),ISNUMBER('Semi Rev'!J94),ISNUMBER('Semi OpInc'!F94),ISNUMBER('Semi Rev'!F94),'Semi Rev'!J94&gt;0,'Semi Rev'!F94&gt;0),('Semi OpInc'!J94/'Semi Rev'!J94-'Semi OpInc'!F94/'Semi Rev'!F94)*10000,""),"")</f>
        <v/>
      </c>
      <c r="G947" s="43">
        <f>IFERROR(IF(AND(ISNUMBER('Semi OpInc'!K94),ISNUMBER('Semi Rev'!K94),ISNUMBER('Semi OpInc'!G94),ISNUMBER('Semi Rev'!G94),'Semi Rev'!K94&gt;0,'Semi Rev'!G94&gt;0),('Semi OpInc'!K94/'Semi Rev'!K94-'Semi OpInc'!G94/'Semi Rev'!G94)*10000,""),"")</f>
        <v/>
      </c>
      <c r="H947" s="43">
        <f>IFERROR(IF(AND(ISNUMBER('Semi OpInc'!L94),ISNUMBER('Semi Rev'!L94),ISNUMBER('Semi OpInc'!H94),ISNUMBER('Semi Rev'!H94),'Semi Rev'!L94&gt;0,'Semi Rev'!H94&gt;0),('Semi OpInc'!L94/'Semi Rev'!L94-'Semi OpInc'!H94/'Semi Rev'!H94)*10000,""),"")</f>
        <v/>
      </c>
      <c r="I947" s="43">
        <f>IFERROR(IF(AND(ISNUMBER('Semi OpInc'!M94),ISNUMBER('Semi Rev'!M94),ISNUMBER('Semi OpInc'!I94),ISNUMBER('Semi Rev'!I94),'Semi Rev'!M94&gt;0,'Semi Rev'!I94&gt;0),('Semi OpInc'!M94/'Semi Rev'!M94-'Semi OpInc'!I94/'Semi Rev'!I94)*10000,""),"")</f>
        <v/>
      </c>
      <c r="J947" s="43">
        <f>IFERROR(IF(AND(ISNUMBER('Semi OpInc'!N94),ISNUMBER('Semi Rev'!N94),ISNUMBER('Semi OpInc'!J94),ISNUMBER('Semi Rev'!J94),'Semi Rev'!N94&gt;0,'Semi Rev'!J94&gt;0),('Semi OpInc'!N94/'Semi Rev'!N94-'Semi OpInc'!J94/'Semi Rev'!J94)*10000,""),"")</f>
        <v/>
      </c>
      <c r="K947" s="43">
        <f>IFERROR(IF(AND(ISNUMBER('Semi OpInc'!O94),ISNUMBER('Semi Rev'!O94),ISNUMBER('Semi OpInc'!K94),ISNUMBER('Semi Rev'!K94),'Semi Rev'!O94&gt;0,'Semi Rev'!K94&gt;0),('Semi OpInc'!O94/'Semi Rev'!O94-'Semi OpInc'!K94/'Semi Rev'!K94)*10000,""),"")</f>
        <v/>
      </c>
      <c r="L947" s="43">
        <f>IFERROR(IF(AND(ISNUMBER('Semi OpInc'!P94),ISNUMBER('Semi Rev'!P94),ISNUMBER('Semi OpInc'!L94),ISNUMBER('Semi Rev'!L94),'Semi Rev'!P94&gt;0,'Semi Rev'!L94&gt;0),('Semi OpInc'!P94/'Semi Rev'!P94-'Semi OpInc'!L94/'Semi Rev'!L94)*10000,""),"")</f>
        <v/>
      </c>
      <c r="M947" s="44">
        <f>IFERROR(IF(AND(ISNUMBER('Semi OpInc'!Q94),ISNUMBER('Semi Rev'!Q94),ISNUMBER('Semi OpInc'!M94),ISNUMBER('Semi Rev'!M94),'Semi Rev'!Q94&gt;0,'Semi Rev'!M94&gt;0),('Semi OpInc'!Q94/'Semi Rev'!Q94-'Semi OpInc'!M94/'Semi Rev'!M94)*10000,""),"")</f>
        <v/>
      </c>
      <c r="N947" s="44">
        <f>IFERROR(IF(AND(ISNUMBER('Semi OpInc'!R94),ISNUMBER('Semi Rev'!R94),ISNUMBER('Semi OpInc'!N94),ISNUMBER('Semi Rev'!N94),'Semi Rev'!R94&gt;0,'Semi Rev'!N94&gt;0),('Semi OpInc'!R94/'Semi Rev'!R94-'Semi OpInc'!N94/'Semi Rev'!N94)*10000,""),"")</f>
        <v/>
      </c>
    </row>
    <row r="948">
      <c r="A948" s="19">
        <f>'Semi Rev'!$A95</f>
        <v/>
      </c>
      <c r="B948" s="19">
        <f>'Semi Rev'!$B95</f>
        <v/>
      </c>
      <c r="C948" s="43">
        <f>IFERROR(IF(AND(ISNUMBER('Semi OpInc'!G95),ISNUMBER('Semi Rev'!G95),ISNUMBER('Semi OpInc'!C95),ISNUMBER('Semi Rev'!C95),'Semi Rev'!G95&gt;0,'Semi Rev'!C95&gt;0),('Semi OpInc'!G95/'Semi Rev'!G95-'Semi OpInc'!C95/'Semi Rev'!C95)*10000,""),"")</f>
        <v/>
      </c>
      <c r="D948" s="43">
        <f>IFERROR(IF(AND(ISNUMBER('Semi OpInc'!H95),ISNUMBER('Semi Rev'!H95),ISNUMBER('Semi OpInc'!D95),ISNUMBER('Semi Rev'!D95),'Semi Rev'!H95&gt;0,'Semi Rev'!D95&gt;0),('Semi OpInc'!H95/'Semi Rev'!H95-'Semi OpInc'!D95/'Semi Rev'!D95)*10000,""),"")</f>
        <v/>
      </c>
      <c r="E948" s="43">
        <f>IFERROR(IF(AND(ISNUMBER('Semi OpInc'!I95),ISNUMBER('Semi Rev'!I95),ISNUMBER('Semi OpInc'!E95),ISNUMBER('Semi Rev'!E95),'Semi Rev'!I95&gt;0,'Semi Rev'!E95&gt;0),('Semi OpInc'!I95/'Semi Rev'!I95-'Semi OpInc'!E95/'Semi Rev'!E95)*10000,""),"")</f>
        <v/>
      </c>
      <c r="F948" s="43">
        <f>IFERROR(IF(AND(ISNUMBER('Semi OpInc'!J95),ISNUMBER('Semi Rev'!J95),ISNUMBER('Semi OpInc'!F95),ISNUMBER('Semi Rev'!F95),'Semi Rev'!J95&gt;0,'Semi Rev'!F95&gt;0),('Semi OpInc'!J95/'Semi Rev'!J95-'Semi OpInc'!F95/'Semi Rev'!F95)*10000,""),"")</f>
        <v/>
      </c>
      <c r="G948" s="43">
        <f>IFERROR(IF(AND(ISNUMBER('Semi OpInc'!K95),ISNUMBER('Semi Rev'!K95),ISNUMBER('Semi OpInc'!G95),ISNUMBER('Semi Rev'!G95),'Semi Rev'!K95&gt;0,'Semi Rev'!G95&gt;0),('Semi OpInc'!K95/'Semi Rev'!K95-'Semi OpInc'!G95/'Semi Rev'!G95)*10000,""),"")</f>
        <v/>
      </c>
      <c r="H948" s="43">
        <f>IFERROR(IF(AND(ISNUMBER('Semi OpInc'!L95),ISNUMBER('Semi Rev'!L95),ISNUMBER('Semi OpInc'!H95),ISNUMBER('Semi Rev'!H95),'Semi Rev'!L95&gt;0,'Semi Rev'!H95&gt;0),('Semi OpInc'!L95/'Semi Rev'!L95-'Semi OpInc'!H95/'Semi Rev'!H95)*10000,""),"")</f>
        <v/>
      </c>
      <c r="I948" s="43">
        <f>IFERROR(IF(AND(ISNUMBER('Semi OpInc'!M95),ISNUMBER('Semi Rev'!M95),ISNUMBER('Semi OpInc'!I95),ISNUMBER('Semi Rev'!I95),'Semi Rev'!M95&gt;0,'Semi Rev'!I95&gt;0),('Semi OpInc'!M95/'Semi Rev'!M95-'Semi OpInc'!I95/'Semi Rev'!I95)*10000,""),"")</f>
        <v/>
      </c>
      <c r="J948" s="43">
        <f>IFERROR(IF(AND(ISNUMBER('Semi OpInc'!N95),ISNUMBER('Semi Rev'!N95),ISNUMBER('Semi OpInc'!J95),ISNUMBER('Semi Rev'!J95),'Semi Rev'!N95&gt;0,'Semi Rev'!J95&gt;0),('Semi OpInc'!N95/'Semi Rev'!N95-'Semi OpInc'!J95/'Semi Rev'!J95)*10000,""),"")</f>
        <v/>
      </c>
      <c r="K948" s="43">
        <f>IFERROR(IF(AND(ISNUMBER('Semi OpInc'!O95),ISNUMBER('Semi Rev'!O95),ISNUMBER('Semi OpInc'!K95),ISNUMBER('Semi Rev'!K95),'Semi Rev'!O95&gt;0,'Semi Rev'!K95&gt;0),('Semi OpInc'!O95/'Semi Rev'!O95-'Semi OpInc'!K95/'Semi Rev'!K95)*10000,""),"")</f>
        <v/>
      </c>
      <c r="L948" s="43">
        <f>IFERROR(IF(AND(ISNUMBER('Semi OpInc'!P95),ISNUMBER('Semi Rev'!P95),ISNUMBER('Semi OpInc'!L95),ISNUMBER('Semi Rev'!L95),'Semi Rev'!P95&gt;0,'Semi Rev'!L95&gt;0),('Semi OpInc'!P95/'Semi Rev'!P95-'Semi OpInc'!L95/'Semi Rev'!L95)*10000,""),"")</f>
        <v/>
      </c>
      <c r="M948" s="44">
        <f>IFERROR(IF(AND(ISNUMBER('Semi OpInc'!Q95),ISNUMBER('Semi Rev'!Q95),ISNUMBER('Semi OpInc'!M95),ISNUMBER('Semi Rev'!M95),'Semi Rev'!Q95&gt;0,'Semi Rev'!M95&gt;0),('Semi OpInc'!Q95/'Semi Rev'!Q95-'Semi OpInc'!M95/'Semi Rev'!M95)*10000,""),"")</f>
        <v/>
      </c>
      <c r="N948" s="44">
        <f>IFERROR(IF(AND(ISNUMBER('Semi OpInc'!R95),ISNUMBER('Semi Rev'!R95),ISNUMBER('Semi OpInc'!N95),ISNUMBER('Semi Rev'!N95),'Semi Rev'!R95&gt;0,'Semi Rev'!N95&gt;0),('Semi OpInc'!R95/'Semi Rev'!R95-'Semi OpInc'!N95/'Semi Rev'!N95)*10000,""),"")</f>
        <v/>
      </c>
    </row>
    <row r="949">
      <c r="A949" s="19">
        <f>'Semi Rev'!$A96</f>
        <v/>
      </c>
      <c r="B949" s="19">
        <f>'Semi Rev'!$B96</f>
        <v/>
      </c>
      <c r="C949" s="43">
        <f>IFERROR(IF(AND(ISNUMBER('Semi OpInc'!G96),ISNUMBER('Semi Rev'!G96),ISNUMBER('Semi OpInc'!C96),ISNUMBER('Semi Rev'!C96),'Semi Rev'!G96&gt;0,'Semi Rev'!C96&gt;0),('Semi OpInc'!G96/'Semi Rev'!G96-'Semi OpInc'!C96/'Semi Rev'!C96)*10000,""),"")</f>
        <v/>
      </c>
      <c r="D949" s="43">
        <f>IFERROR(IF(AND(ISNUMBER('Semi OpInc'!H96),ISNUMBER('Semi Rev'!H96),ISNUMBER('Semi OpInc'!D96),ISNUMBER('Semi Rev'!D96),'Semi Rev'!H96&gt;0,'Semi Rev'!D96&gt;0),('Semi OpInc'!H96/'Semi Rev'!H96-'Semi OpInc'!D96/'Semi Rev'!D96)*10000,""),"")</f>
        <v/>
      </c>
      <c r="E949" s="43">
        <f>IFERROR(IF(AND(ISNUMBER('Semi OpInc'!I96),ISNUMBER('Semi Rev'!I96),ISNUMBER('Semi OpInc'!E96),ISNUMBER('Semi Rev'!E96),'Semi Rev'!I96&gt;0,'Semi Rev'!E96&gt;0),('Semi OpInc'!I96/'Semi Rev'!I96-'Semi OpInc'!E96/'Semi Rev'!E96)*10000,""),"")</f>
        <v/>
      </c>
      <c r="F949" s="43">
        <f>IFERROR(IF(AND(ISNUMBER('Semi OpInc'!J96),ISNUMBER('Semi Rev'!J96),ISNUMBER('Semi OpInc'!F96),ISNUMBER('Semi Rev'!F96),'Semi Rev'!J96&gt;0,'Semi Rev'!F96&gt;0),('Semi OpInc'!J96/'Semi Rev'!J96-'Semi OpInc'!F96/'Semi Rev'!F96)*10000,""),"")</f>
        <v/>
      </c>
      <c r="G949" s="43">
        <f>IFERROR(IF(AND(ISNUMBER('Semi OpInc'!K96),ISNUMBER('Semi Rev'!K96),ISNUMBER('Semi OpInc'!G96),ISNUMBER('Semi Rev'!G96),'Semi Rev'!K96&gt;0,'Semi Rev'!G96&gt;0),('Semi OpInc'!K96/'Semi Rev'!K96-'Semi OpInc'!G96/'Semi Rev'!G96)*10000,""),"")</f>
        <v/>
      </c>
      <c r="H949" s="43">
        <f>IFERROR(IF(AND(ISNUMBER('Semi OpInc'!L96),ISNUMBER('Semi Rev'!L96),ISNUMBER('Semi OpInc'!H96),ISNUMBER('Semi Rev'!H96),'Semi Rev'!L96&gt;0,'Semi Rev'!H96&gt;0),('Semi OpInc'!L96/'Semi Rev'!L96-'Semi OpInc'!H96/'Semi Rev'!H96)*10000,""),"")</f>
        <v/>
      </c>
      <c r="I949" s="43">
        <f>IFERROR(IF(AND(ISNUMBER('Semi OpInc'!M96),ISNUMBER('Semi Rev'!M96),ISNUMBER('Semi OpInc'!I96),ISNUMBER('Semi Rev'!I96),'Semi Rev'!M96&gt;0,'Semi Rev'!I96&gt;0),('Semi OpInc'!M96/'Semi Rev'!M96-'Semi OpInc'!I96/'Semi Rev'!I96)*10000,""),"")</f>
        <v/>
      </c>
      <c r="J949" s="43">
        <f>IFERROR(IF(AND(ISNUMBER('Semi OpInc'!N96),ISNUMBER('Semi Rev'!N96),ISNUMBER('Semi OpInc'!J96),ISNUMBER('Semi Rev'!J96),'Semi Rev'!N96&gt;0,'Semi Rev'!J96&gt;0),('Semi OpInc'!N96/'Semi Rev'!N96-'Semi OpInc'!J96/'Semi Rev'!J96)*10000,""),"")</f>
        <v/>
      </c>
      <c r="K949" s="43">
        <f>IFERROR(IF(AND(ISNUMBER('Semi OpInc'!O96),ISNUMBER('Semi Rev'!O96),ISNUMBER('Semi OpInc'!K96),ISNUMBER('Semi Rev'!K96),'Semi Rev'!O96&gt;0,'Semi Rev'!K96&gt;0),('Semi OpInc'!O96/'Semi Rev'!O96-'Semi OpInc'!K96/'Semi Rev'!K96)*10000,""),"")</f>
        <v/>
      </c>
      <c r="L949" s="43">
        <f>IFERROR(IF(AND(ISNUMBER('Semi OpInc'!P96),ISNUMBER('Semi Rev'!P96),ISNUMBER('Semi OpInc'!L96),ISNUMBER('Semi Rev'!L96),'Semi Rev'!P96&gt;0,'Semi Rev'!L96&gt;0),('Semi OpInc'!P96/'Semi Rev'!P96-'Semi OpInc'!L96/'Semi Rev'!L96)*10000,""),"")</f>
        <v/>
      </c>
      <c r="M949" s="44">
        <f>IFERROR(IF(AND(ISNUMBER('Semi OpInc'!Q96),ISNUMBER('Semi Rev'!Q96),ISNUMBER('Semi OpInc'!M96),ISNUMBER('Semi Rev'!M96),'Semi Rev'!Q96&gt;0,'Semi Rev'!M96&gt;0),('Semi OpInc'!Q96/'Semi Rev'!Q96-'Semi OpInc'!M96/'Semi Rev'!M96)*10000,""),"")</f>
        <v/>
      </c>
      <c r="N949" s="44">
        <f>IFERROR(IF(AND(ISNUMBER('Semi OpInc'!R96),ISNUMBER('Semi Rev'!R96),ISNUMBER('Semi OpInc'!N96),ISNUMBER('Semi Rev'!N96),'Semi Rev'!R96&gt;0,'Semi Rev'!N96&gt;0),('Semi OpInc'!R96/'Semi Rev'!R96-'Semi OpInc'!N96/'Semi Rev'!N96)*10000,""),"")</f>
        <v/>
      </c>
    </row>
    <row r="950">
      <c r="A950" s="19">
        <f>'Semi Rev'!$A97</f>
        <v/>
      </c>
      <c r="B950" s="19">
        <f>'Semi Rev'!$B97</f>
        <v/>
      </c>
      <c r="C950" s="43">
        <f>IFERROR(IF(AND(ISNUMBER('Semi OpInc'!G97),ISNUMBER('Semi Rev'!G97),ISNUMBER('Semi OpInc'!C97),ISNUMBER('Semi Rev'!C97),'Semi Rev'!G97&gt;0,'Semi Rev'!C97&gt;0),('Semi OpInc'!G97/'Semi Rev'!G97-'Semi OpInc'!C97/'Semi Rev'!C97)*10000,""),"")</f>
        <v/>
      </c>
      <c r="D950" s="43">
        <f>IFERROR(IF(AND(ISNUMBER('Semi OpInc'!H97),ISNUMBER('Semi Rev'!H97),ISNUMBER('Semi OpInc'!D97),ISNUMBER('Semi Rev'!D97),'Semi Rev'!H97&gt;0,'Semi Rev'!D97&gt;0),('Semi OpInc'!H97/'Semi Rev'!H97-'Semi OpInc'!D97/'Semi Rev'!D97)*10000,""),"")</f>
        <v/>
      </c>
      <c r="E950" s="43">
        <f>IFERROR(IF(AND(ISNUMBER('Semi OpInc'!I97),ISNUMBER('Semi Rev'!I97),ISNUMBER('Semi OpInc'!E97),ISNUMBER('Semi Rev'!E97),'Semi Rev'!I97&gt;0,'Semi Rev'!E97&gt;0),('Semi OpInc'!I97/'Semi Rev'!I97-'Semi OpInc'!E97/'Semi Rev'!E97)*10000,""),"")</f>
        <v/>
      </c>
      <c r="F950" s="43">
        <f>IFERROR(IF(AND(ISNUMBER('Semi OpInc'!J97),ISNUMBER('Semi Rev'!J97),ISNUMBER('Semi OpInc'!F97),ISNUMBER('Semi Rev'!F97),'Semi Rev'!J97&gt;0,'Semi Rev'!F97&gt;0),('Semi OpInc'!J97/'Semi Rev'!J97-'Semi OpInc'!F97/'Semi Rev'!F97)*10000,""),"")</f>
        <v/>
      </c>
      <c r="G950" s="43">
        <f>IFERROR(IF(AND(ISNUMBER('Semi OpInc'!K97),ISNUMBER('Semi Rev'!K97),ISNUMBER('Semi OpInc'!G97),ISNUMBER('Semi Rev'!G97),'Semi Rev'!K97&gt;0,'Semi Rev'!G97&gt;0),('Semi OpInc'!K97/'Semi Rev'!K97-'Semi OpInc'!G97/'Semi Rev'!G97)*10000,""),"")</f>
        <v/>
      </c>
      <c r="H950" s="43">
        <f>IFERROR(IF(AND(ISNUMBER('Semi OpInc'!L97),ISNUMBER('Semi Rev'!L97),ISNUMBER('Semi OpInc'!H97),ISNUMBER('Semi Rev'!H97),'Semi Rev'!L97&gt;0,'Semi Rev'!H97&gt;0),('Semi OpInc'!L97/'Semi Rev'!L97-'Semi OpInc'!H97/'Semi Rev'!H97)*10000,""),"")</f>
        <v/>
      </c>
      <c r="I950" s="43">
        <f>IFERROR(IF(AND(ISNUMBER('Semi OpInc'!M97),ISNUMBER('Semi Rev'!M97),ISNUMBER('Semi OpInc'!I97),ISNUMBER('Semi Rev'!I97),'Semi Rev'!M97&gt;0,'Semi Rev'!I97&gt;0),('Semi OpInc'!M97/'Semi Rev'!M97-'Semi OpInc'!I97/'Semi Rev'!I97)*10000,""),"")</f>
        <v/>
      </c>
      <c r="J950" s="43">
        <f>IFERROR(IF(AND(ISNUMBER('Semi OpInc'!N97),ISNUMBER('Semi Rev'!N97),ISNUMBER('Semi OpInc'!J97),ISNUMBER('Semi Rev'!J97),'Semi Rev'!N97&gt;0,'Semi Rev'!J97&gt;0),('Semi OpInc'!N97/'Semi Rev'!N97-'Semi OpInc'!J97/'Semi Rev'!J97)*10000,""),"")</f>
        <v/>
      </c>
      <c r="K950" s="43">
        <f>IFERROR(IF(AND(ISNUMBER('Semi OpInc'!O97),ISNUMBER('Semi Rev'!O97),ISNUMBER('Semi OpInc'!K97),ISNUMBER('Semi Rev'!K97),'Semi Rev'!O97&gt;0,'Semi Rev'!K97&gt;0),('Semi OpInc'!O97/'Semi Rev'!O97-'Semi OpInc'!K97/'Semi Rev'!K97)*10000,""),"")</f>
        <v/>
      </c>
      <c r="L950" s="43">
        <f>IFERROR(IF(AND(ISNUMBER('Semi OpInc'!P97),ISNUMBER('Semi Rev'!P97),ISNUMBER('Semi OpInc'!L97),ISNUMBER('Semi Rev'!L97),'Semi Rev'!P97&gt;0,'Semi Rev'!L97&gt;0),('Semi OpInc'!P97/'Semi Rev'!P97-'Semi OpInc'!L97/'Semi Rev'!L97)*10000,""),"")</f>
        <v/>
      </c>
      <c r="M950" s="44">
        <f>IFERROR(IF(AND(ISNUMBER('Semi OpInc'!Q97),ISNUMBER('Semi Rev'!Q97),ISNUMBER('Semi OpInc'!M97),ISNUMBER('Semi Rev'!M97),'Semi Rev'!Q97&gt;0,'Semi Rev'!M97&gt;0),('Semi OpInc'!Q97/'Semi Rev'!Q97-'Semi OpInc'!M97/'Semi Rev'!M97)*10000,""),"")</f>
        <v/>
      </c>
      <c r="N950" s="44">
        <f>IFERROR(IF(AND(ISNUMBER('Semi OpInc'!R97),ISNUMBER('Semi Rev'!R97),ISNUMBER('Semi OpInc'!N97),ISNUMBER('Semi Rev'!N97),'Semi Rev'!R97&gt;0,'Semi Rev'!N97&gt;0),('Semi OpInc'!R97/'Semi Rev'!R97-'Semi OpInc'!N97/'Semi Rev'!N97)*10000,""),"")</f>
        <v/>
      </c>
    </row>
    <row r="951">
      <c r="A951" s="19">
        <f>'Semi Rev'!$A98</f>
        <v/>
      </c>
      <c r="B951" s="19">
        <f>'Semi Rev'!$B98</f>
        <v/>
      </c>
      <c r="C951" s="43">
        <f>IFERROR(IF(AND(ISNUMBER('Semi OpInc'!G98),ISNUMBER('Semi Rev'!G98),ISNUMBER('Semi OpInc'!C98),ISNUMBER('Semi Rev'!C98),'Semi Rev'!G98&gt;0,'Semi Rev'!C98&gt;0),('Semi OpInc'!G98/'Semi Rev'!G98-'Semi OpInc'!C98/'Semi Rev'!C98)*10000,""),"")</f>
        <v/>
      </c>
      <c r="D951" s="43">
        <f>IFERROR(IF(AND(ISNUMBER('Semi OpInc'!H98),ISNUMBER('Semi Rev'!H98),ISNUMBER('Semi OpInc'!D98),ISNUMBER('Semi Rev'!D98),'Semi Rev'!H98&gt;0,'Semi Rev'!D98&gt;0),('Semi OpInc'!H98/'Semi Rev'!H98-'Semi OpInc'!D98/'Semi Rev'!D98)*10000,""),"")</f>
        <v/>
      </c>
      <c r="E951" s="43">
        <f>IFERROR(IF(AND(ISNUMBER('Semi OpInc'!I98),ISNUMBER('Semi Rev'!I98),ISNUMBER('Semi OpInc'!E98),ISNUMBER('Semi Rev'!E98),'Semi Rev'!I98&gt;0,'Semi Rev'!E98&gt;0),('Semi OpInc'!I98/'Semi Rev'!I98-'Semi OpInc'!E98/'Semi Rev'!E98)*10000,""),"")</f>
        <v/>
      </c>
      <c r="F951" s="43">
        <f>IFERROR(IF(AND(ISNUMBER('Semi OpInc'!J98),ISNUMBER('Semi Rev'!J98),ISNUMBER('Semi OpInc'!F98),ISNUMBER('Semi Rev'!F98),'Semi Rev'!J98&gt;0,'Semi Rev'!F98&gt;0),('Semi OpInc'!J98/'Semi Rev'!J98-'Semi OpInc'!F98/'Semi Rev'!F98)*10000,""),"")</f>
        <v/>
      </c>
      <c r="G951" s="43">
        <f>IFERROR(IF(AND(ISNUMBER('Semi OpInc'!K98),ISNUMBER('Semi Rev'!K98),ISNUMBER('Semi OpInc'!G98),ISNUMBER('Semi Rev'!G98),'Semi Rev'!K98&gt;0,'Semi Rev'!G98&gt;0),('Semi OpInc'!K98/'Semi Rev'!K98-'Semi OpInc'!G98/'Semi Rev'!G98)*10000,""),"")</f>
        <v/>
      </c>
      <c r="H951" s="43">
        <f>IFERROR(IF(AND(ISNUMBER('Semi OpInc'!L98),ISNUMBER('Semi Rev'!L98),ISNUMBER('Semi OpInc'!H98),ISNUMBER('Semi Rev'!H98),'Semi Rev'!L98&gt;0,'Semi Rev'!H98&gt;0),('Semi OpInc'!L98/'Semi Rev'!L98-'Semi OpInc'!H98/'Semi Rev'!H98)*10000,""),"")</f>
        <v/>
      </c>
      <c r="I951" s="43">
        <f>IFERROR(IF(AND(ISNUMBER('Semi OpInc'!M98),ISNUMBER('Semi Rev'!M98),ISNUMBER('Semi OpInc'!I98),ISNUMBER('Semi Rev'!I98),'Semi Rev'!M98&gt;0,'Semi Rev'!I98&gt;0),('Semi OpInc'!M98/'Semi Rev'!M98-'Semi OpInc'!I98/'Semi Rev'!I98)*10000,""),"")</f>
        <v/>
      </c>
      <c r="J951" s="43">
        <f>IFERROR(IF(AND(ISNUMBER('Semi OpInc'!N98),ISNUMBER('Semi Rev'!N98),ISNUMBER('Semi OpInc'!J98),ISNUMBER('Semi Rev'!J98),'Semi Rev'!N98&gt;0,'Semi Rev'!J98&gt;0),('Semi OpInc'!N98/'Semi Rev'!N98-'Semi OpInc'!J98/'Semi Rev'!J98)*10000,""),"")</f>
        <v/>
      </c>
      <c r="K951" s="43">
        <f>IFERROR(IF(AND(ISNUMBER('Semi OpInc'!O98),ISNUMBER('Semi Rev'!O98),ISNUMBER('Semi OpInc'!K98),ISNUMBER('Semi Rev'!K98),'Semi Rev'!O98&gt;0,'Semi Rev'!K98&gt;0),('Semi OpInc'!O98/'Semi Rev'!O98-'Semi OpInc'!K98/'Semi Rev'!K98)*10000,""),"")</f>
        <v/>
      </c>
      <c r="L951" s="43">
        <f>IFERROR(IF(AND(ISNUMBER('Semi OpInc'!P98),ISNUMBER('Semi Rev'!P98),ISNUMBER('Semi OpInc'!L98),ISNUMBER('Semi Rev'!L98),'Semi Rev'!P98&gt;0,'Semi Rev'!L98&gt;0),('Semi OpInc'!P98/'Semi Rev'!P98-'Semi OpInc'!L98/'Semi Rev'!L98)*10000,""),"")</f>
        <v/>
      </c>
      <c r="M951" s="44">
        <f>IFERROR(IF(AND(ISNUMBER('Semi OpInc'!Q98),ISNUMBER('Semi Rev'!Q98),ISNUMBER('Semi OpInc'!M98),ISNUMBER('Semi Rev'!M98),'Semi Rev'!Q98&gt;0,'Semi Rev'!M98&gt;0),('Semi OpInc'!Q98/'Semi Rev'!Q98-'Semi OpInc'!M98/'Semi Rev'!M98)*10000,""),"")</f>
        <v/>
      </c>
      <c r="N951" s="44">
        <f>IFERROR(IF(AND(ISNUMBER('Semi OpInc'!R98),ISNUMBER('Semi Rev'!R98),ISNUMBER('Semi OpInc'!N98),ISNUMBER('Semi Rev'!N98),'Semi Rev'!R98&gt;0,'Semi Rev'!N98&gt;0),('Semi OpInc'!R98/'Semi Rev'!R98-'Semi OpInc'!N98/'Semi Rev'!N98)*10000,""),"")</f>
        <v/>
      </c>
    </row>
    <row r="952">
      <c r="A952" s="19">
        <f>'Semi Rev'!$A99</f>
        <v/>
      </c>
      <c r="B952" s="19">
        <f>'Semi Rev'!$B99</f>
        <v/>
      </c>
      <c r="C952" s="43">
        <f>IFERROR(IF(AND(ISNUMBER('Semi OpInc'!G99),ISNUMBER('Semi Rev'!G99),ISNUMBER('Semi OpInc'!C99),ISNUMBER('Semi Rev'!C99),'Semi Rev'!G99&gt;0,'Semi Rev'!C99&gt;0),('Semi OpInc'!G99/'Semi Rev'!G99-'Semi OpInc'!C99/'Semi Rev'!C99)*10000,""),"")</f>
        <v/>
      </c>
      <c r="D952" s="43">
        <f>IFERROR(IF(AND(ISNUMBER('Semi OpInc'!H99),ISNUMBER('Semi Rev'!H99),ISNUMBER('Semi OpInc'!D99),ISNUMBER('Semi Rev'!D99),'Semi Rev'!H99&gt;0,'Semi Rev'!D99&gt;0),('Semi OpInc'!H99/'Semi Rev'!H99-'Semi OpInc'!D99/'Semi Rev'!D99)*10000,""),"")</f>
        <v/>
      </c>
      <c r="E952" s="43">
        <f>IFERROR(IF(AND(ISNUMBER('Semi OpInc'!I99),ISNUMBER('Semi Rev'!I99),ISNUMBER('Semi OpInc'!E99),ISNUMBER('Semi Rev'!E99),'Semi Rev'!I99&gt;0,'Semi Rev'!E99&gt;0),('Semi OpInc'!I99/'Semi Rev'!I99-'Semi OpInc'!E99/'Semi Rev'!E99)*10000,""),"")</f>
        <v/>
      </c>
      <c r="F952" s="43">
        <f>IFERROR(IF(AND(ISNUMBER('Semi OpInc'!J99),ISNUMBER('Semi Rev'!J99),ISNUMBER('Semi OpInc'!F99),ISNUMBER('Semi Rev'!F99),'Semi Rev'!J99&gt;0,'Semi Rev'!F99&gt;0),('Semi OpInc'!J99/'Semi Rev'!J99-'Semi OpInc'!F99/'Semi Rev'!F99)*10000,""),"")</f>
        <v/>
      </c>
      <c r="G952" s="43">
        <f>IFERROR(IF(AND(ISNUMBER('Semi OpInc'!K99),ISNUMBER('Semi Rev'!K99),ISNUMBER('Semi OpInc'!G99),ISNUMBER('Semi Rev'!G99),'Semi Rev'!K99&gt;0,'Semi Rev'!G99&gt;0),('Semi OpInc'!K99/'Semi Rev'!K99-'Semi OpInc'!G99/'Semi Rev'!G99)*10000,""),"")</f>
        <v/>
      </c>
      <c r="H952" s="43">
        <f>IFERROR(IF(AND(ISNUMBER('Semi OpInc'!L99),ISNUMBER('Semi Rev'!L99),ISNUMBER('Semi OpInc'!H99),ISNUMBER('Semi Rev'!H99),'Semi Rev'!L99&gt;0,'Semi Rev'!H99&gt;0),('Semi OpInc'!L99/'Semi Rev'!L99-'Semi OpInc'!H99/'Semi Rev'!H99)*10000,""),"")</f>
        <v/>
      </c>
      <c r="I952" s="43">
        <f>IFERROR(IF(AND(ISNUMBER('Semi OpInc'!M99),ISNUMBER('Semi Rev'!M99),ISNUMBER('Semi OpInc'!I99),ISNUMBER('Semi Rev'!I99),'Semi Rev'!M99&gt;0,'Semi Rev'!I99&gt;0),('Semi OpInc'!M99/'Semi Rev'!M99-'Semi OpInc'!I99/'Semi Rev'!I99)*10000,""),"")</f>
        <v/>
      </c>
      <c r="J952" s="43">
        <f>IFERROR(IF(AND(ISNUMBER('Semi OpInc'!N99),ISNUMBER('Semi Rev'!N99),ISNUMBER('Semi OpInc'!J99),ISNUMBER('Semi Rev'!J99),'Semi Rev'!N99&gt;0,'Semi Rev'!J99&gt;0),('Semi OpInc'!N99/'Semi Rev'!N99-'Semi OpInc'!J99/'Semi Rev'!J99)*10000,""),"")</f>
        <v/>
      </c>
      <c r="K952" s="43">
        <f>IFERROR(IF(AND(ISNUMBER('Semi OpInc'!O99),ISNUMBER('Semi Rev'!O99),ISNUMBER('Semi OpInc'!K99),ISNUMBER('Semi Rev'!K99),'Semi Rev'!O99&gt;0,'Semi Rev'!K99&gt;0),('Semi OpInc'!O99/'Semi Rev'!O99-'Semi OpInc'!K99/'Semi Rev'!K99)*10000,""),"")</f>
        <v/>
      </c>
      <c r="L952" s="43">
        <f>IFERROR(IF(AND(ISNUMBER('Semi OpInc'!P99),ISNUMBER('Semi Rev'!P99),ISNUMBER('Semi OpInc'!L99),ISNUMBER('Semi Rev'!L99),'Semi Rev'!P99&gt;0,'Semi Rev'!L99&gt;0),('Semi OpInc'!P99/'Semi Rev'!P99-'Semi OpInc'!L99/'Semi Rev'!L99)*10000,""),"")</f>
        <v/>
      </c>
      <c r="M952" s="44">
        <f>IFERROR(IF(AND(ISNUMBER('Semi OpInc'!Q99),ISNUMBER('Semi Rev'!Q99),ISNUMBER('Semi OpInc'!M99),ISNUMBER('Semi Rev'!M99),'Semi Rev'!Q99&gt;0,'Semi Rev'!M99&gt;0),('Semi OpInc'!Q99/'Semi Rev'!Q99-'Semi OpInc'!M99/'Semi Rev'!M99)*10000,""),"")</f>
        <v/>
      </c>
      <c r="N952" s="44">
        <f>IFERROR(IF(AND(ISNUMBER('Semi OpInc'!R99),ISNUMBER('Semi Rev'!R99),ISNUMBER('Semi OpInc'!N99),ISNUMBER('Semi Rev'!N99),'Semi Rev'!R99&gt;0,'Semi Rev'!N99&gt;0),('Semi OpInc'!R99/'Semi Rev'!R99-'Semi OpInc'!N99/'Semi Rev'!N99)*10000,""),"")</f>
        <v/>
      </c>
    </row>
    <row r="953">
      <c r="A953" s="19">
        <f>'Semi Rev'!$A100</f>
        <v/>
      </c>
      <c r="B953" s="19">
        <f>'Semi Rev'!$B100</f>
        <v/>
      </c>
      <c r="C953" s="43">
        <f>IFERROR(IF(AND(ISNUMBER('Semi OpInc'!G100),ISNUMBER('Semi Rev'!G100),ISNUMBER('Semi OpInc'!C100),ISNUMBER('Semi Rev'!C100),'Semi Rev'!G100&gt;0,'Semi Rev'!C100&gt;0),('Semi OpInc'!G100/'Semi Rev'!G100-'Semi OpInc'!C100/'Semi Rev'!C100)*10000,""),"")</f>
        <v/>
      </c>
      <c r="D953" s="43">
        <f>IFERROR(IF(AND(ISNUMBER('Semi OpInc'!H100),ISNUMBER('Semi Rev'!H100),ISNUMBER('Semi OpInc'!D100),ISNUMBER('Semi Rev'!D100),'Semi Rev'!H100&gt;0,'Semi Rev'!D100&gt;0),('Semi OpInc'!H100/'Semi Rev'!H100-'Semi OpInc'!D100/'Semi Rev'!D100)*10000,""),"")</f>
        <v/>
      </c>
      <c r="E953" s="43">
        <f>IFERROR(IF(AND(ISNUMBER('Semi OpInc'!I100),ISNUMBER('Semi Rev'!I100),ISNUMBER('Semi OpInc'!E100),ISNUMBER('Semi Rev'!E100),'Semi Rev'!I100&gt;0,'Semi Rev'!E100&gt;0),('Semi OpInc'!I100/'Semi Rev'!I100-'Semi OpInc'!E100/'Semi Rev'!E100)*10000,""),"")</f>
        <v/>
      </c>
      <c r="F953" s="43">
        <f>IFERROR(IF(AND(ISNUMBER('Semi OpInc'!J100),ISNUMBER('Semi Rev'!J100),ISNUMBER('Semi OpInc'!F100),ISNUMBER('Semi Rev'!F100),'Semi Rev'!J100&gt;0,'Semi Rev'!F100&gt;0),('Semi OpInc'!J100/'Semi Rev'!J100-'Semi OpInc'!F100/'Semi Rev'!F100)*10000,""),"")</f>
        <v/>
      </c>
      <c r="G953" s="43">
        <f>IFERROR(IF(AND(ISNUMBER('Semi OpInc'!K100),ISNUMBER('Semi Rev'!K100),ISNUMBER('Semi OpInc'!G100),ISNUMBER('Semi Rev'!G100),'Semi Rev'!K100&gt;0,'Semi Rev'!G100&gt;0),('Semi OpInc'!K100/'Semi Rev'!K100-'Semi OpInc'!G100/'Semi Rev'!G100)*10000,""),"")</f>
        <v/>
      </c>
      <c r="H953" s="43">
        <f>IFERROR(IF(AND(ISNUMBER('Semi OpInc'!L100),ISNUMBER('Semi Rev'!L100),ISNUMBER('Semi OpInc'!H100),ISNUMBER('Semi Rev'!H100),'Semi Rev'!L100&gt;0,'Semi Rev'!H100&gt;0),('Semi OpInc'!L100/'Semi Rev'!L100-'Semi OpInc'!H100/'Semi Rev'!H100)*10000,""),"")</f>
        <v/>
      </c>
      <c r="I953" s="43">
        <f>IFERROR(IF(AND(ISNUMBER('Semi OpInc'!M100),ISNUMBER('Semi Rev'!M100),ISNUMBER('Semi OpInc'!I100),ISNUMBER('Semi Rev'!I100),'Semi Rev'!M100&gt;0,'Semi Rev'!I100&gt;0),('Semi OpInc'!M100/'Semi Rev'!M100-'Semi OpInc'!I100/'Semi Rev'!I100)*10000,""),"")</f>
        <v/>
      </c>
      <c r="J953" s="43">
        <f>IFERROR(IF(AND(ISNUMBER('Semi OpInc'!N100),ISNUMBER('Semi Rev'!N100),ISNUMBER('Semi OpInc'!J100),ISNUMBER('Semi Rev'!J100),'Semi Rev'!N100&gt;0,'Semi Rev'!J100&gt;0),('Semi OpInc'!N100/'Semi Rev'!N100-'Semi OpInc'!J100/'Semi Rev'!J100)*10000,""),"")</f>
        <v/>
      </c>
      <c r="K953" s="43">
        <f>IFERROR(IF(AND(ISNUMBER('Semi OpInc'!O100),ISNUMBER('Semi Rev'!O100),ISNUMBER('Semi OpInc'!K100),ISNUMBER('Semi Rev'!K100),'Semi Rev'!O100&gt;0,'Semi Rev'!K100&gt;0),('Semi OpInc'!O100/'Semi Rev'!O100-'Semi OpInc'!K100/'Semi Rev'!K100)*10000,""),"")</f>
        <v/>
      </c>
      <c r="L953" s="43">
        <f>IFERROR(IF(AND(ISNUMBER('Semi OpInc'!P100),ISNUMBER('Semi Rev'!P100),ISNUMBER('Semi OpInc'!L100),ISNUMBER('Semi Rev'!L100),'Semi Rev'!P100&gt;0,'Semi Rev'!L100&gt;0),('Semi OpInc'!P100/'Semi Rev'!P100-'Semi OpInc'!L100/'Semi Rev'!L100)*10000,""),"")</f>
        <v/>
      </c>
      <c r="M953" s="44">
        <f>IFERROR(IF(AND(ISNUMBER('Semi OpInc'!Q100),ISNUMBER('Semi Rev'!Q100),ISNUMBER('Semi OpInc'!M100),ISNUMBER('Semi Rev'!M100),'Semi Rev'!Q100&gt;0,'Semi Rev'!M100&gt;0),('Semi OpInc'!Q100/'Semi Rev'!Q100-'Semi OpInc'!M100/'Semi Rev'!M100)*10000,""),"")</f>
        <v/>
      </c>
      <c r="N953" s="44">
        <f>IFERROR(IF(AND(ISNUMBER('Semi OpInc'!R100),ISNUMBER('Semi Rev'!R100),ISNUMBER('Semi OpInc'!N100),ISNUMBER('Semi Rev'!N100),'Semi Rev'!R100&gt;0,'Semi Rev'!N100&gt;0),('Semi OpInc'!R100/'Semi Rev'!R100-'Semi OpInc'!N100/'Semi Rev'!N100)*10000,""),"")</f>
        <v/>
      </c>
    </row>
    <row r="954">
      <c r="A954" s="19">
        <f>'Semi Rev'!$A101</f>
        <v/>
      </c>
      <c r="B954" s="19">
        <f>'Semi Rev'!$B101</f>
        <v/>
      </c>
      <c r="C954" s="43">
        <f>IFERROR(IF(AND(ISNUMBER('Semi OpInc'!G101),ISNUMBER('Semi Rev'!G101),ISNUMBER('Semi OpInc'!C101),ISNUMBER('Semi Rev'!C101),'Semi Rev'!G101&gt;0,'Semi Rev'!C101&gt;0),('Semi OpInc'!G101/'Semi Rev'!G101-'Semi OpInc'!C101/'Semi Rev'!C101)*10000,""),"")</f>
        <v/>
      </c>
      <c r="D954" s="43">
        <f>IFERROR(IF(AND(ISNUMBER('Semi OpInc'!H101),ISNUMBER('Semi Rev'!H101),ISNUMBER('Semi OpInc'!D101),ISNUMBER('Semi Rev'!D101),'Semi Rev'!H101&gt;0,'Semi Rev'!D101&gt;0),('Semi OpInc'!H101/'Semi Rev'!H101-'Semi OpInc'!D101/'Semi Rev'!D101)*10000,""),"")</f>
        <v/>
      </c>
      <c r="E954" s="43">
        <f>IFERROR(IF(AND(ISNUMBER('Semi OpInc'!I101),ISNUMBER('Semi Rev'!I101),ISNUMBER('Semi OpInc'!E101),ISNUMBER('Semi Rev'!E101),'Semi Rev'!I101&gt;0,'Semi Rev'!E101&gt;0),('Semi OpInc'!I101/'Semi Rev'!I101-'Semi OpInc'!E101/'Semi Rev'!E101)*10000,""),"")</f>
        <v/>
      </c>
      <c r="F954" s="43">
        <f>IFERROR(IF(AND(ISNUMBER('Semi OpInc'!J101),ISNUMBER('Semi Rev'!J101),ISNUMBER('Semi OpInc'!F101),ISNUMBER('Semi Rev'!F101),'Semi Rev'!J101&gt;0,'Semi Rev'!F101&gt;0),('Semi OpInc'!J101/'Semi Rev'!J101-'Semi OpInc'!F101/'Semi Rev'!F101)*10000,""),"")</f>
        <v/>
      </c>
      <c r="G954" s="43">
        <f>IFERROR(IF(AND(ISNUMBER('Semi OpInc'!K101),ISNUMBER('Semi Rev'!K101),ISNUMBER('Semi OpInc'!G101),ISNUMBER('Semi Rev'!G101),'Semi Rev'!K101&gt;0,'Semi Rev'!G101&gt;0),('Semi OpInc'!K101/'Semi Rev'!K101-'Semi OpInc'!G101/'Semi Rev'!G101)*10000,""),"")</f>
        <v/>
      </c>
      <c r="H954" s="43">
        <f>IFERROR(IF(AND(ISNUMBER('Semi OpInc'!L101),ISNUMBER('Semi Rev'!L101),ISNUMBER('Semi OpInc'!H101),ISNUMBER('Semi Rev'!H101),'Semi Rev'!L101&gt;0,'Semi Rev'!H101&gt;0),('Semi OpInc'!L101/'Semi Rev'!L101-'Semi OpInc'!H101/'Semi Rev'!H101)*10000,""),"")</f>
        <v/>
      </c>
      <c r="I954" s="43">
        <f>IFERROR(IF(AND(ISNUMBER('Semi OpInc'!M101),ISNUMBER('Semi Rev'!M101),ISNUMBER('Semi OpInc'!I101),ISNUMBER('Semi Rev'!I101),'Semi Rev'!M101&gt;0,'Semi Rev'!I101&gt;0),('Semi OpInc'!M101/'Semi Rev'!M101-'Semi OpInc'!I101/'Semi Rev'!I101)*10000,""),"")</f>
        <v/>
      </c>
      <c r="J954" s="43">
        <f>IFERROR(IF(AND(ISNUMBER('Semi OpInc'!N101),ISNUMBER('Semi Rev'!N101),ISNUMBER('Semi OpInc'!J101),ISNUMBER('Semi Rev'!J101),'Semi Rev'!N101&gt;0,'Semi Rev'!J101&gt;0),('Semi OpInc'!N101/'Semi Rev'!N101-'Semi OpInc'!J101/'Semi Rev'!J101)*10000,""),"")</f>
        <v/>
      </c>
      <c r="K954" s="43">
        <f>IFERROR(IF(AND(ISNUMBER('Semi OpInc'!O101),ISNUMBER('Semi Rev'!O101),ISNUMBER('Semi OpInc'!K101),ISNUMBER('Semi Rev'!K101),'Semi Rev'!O101&gt;0,'Semi Rev'!K101&gt;0),('Semi OpInc'!O101/'Semi Rev'!O101-'Semi OpInc'!K101/'Semi Rev'!K101)*10000,""),"")</f>
        <v/>
      </c>
      <c r="L954" s="43">
        <f>IFERROR(IF(AND(ISNUMBER('Semi OpInc'!P101),ISNUMBER('Semi Rev'!P101),ISNUMBER('Semi OpInc'!L101),ISNUMBER('Semi Rev'!L101),'Semi Rev'!P101&gt;0,'Semi Rev'!L101&gt;0),('Semi OpInc'!P101/'Semi Rev'!P101-'Semi OpInc'!L101/'Semi Rev'!L101)*10000,""),"")</f>
        <v/>
      </c>
      <c r="M954" s="44">
        <f>IFERROR(IF(AND(ISNUMBER('Semi OpInc'!Q101),ISNUMBER('Semi Rev'!Q101),ISNUMBER('Semi OpInc'!M101),ISNUMBER('Semi Rev'!M101),'Semi Rev'!Q101&gt;0,'Semi Rev'!M101&gt;0),('Semi OpInc'!Q101/'Semi Rev'!Q101-'Semi OpInc'!M101/'Semi Rev'!M101)*10000,""),"")</f>
        <v/>
      </c>
      <c r="N954" s="44">
        <f>IFERROR(IF(AND(ISNUMBER('Semi OpInc'!R101),ISNUMBER('Semi Rev'!R101),ISNUMBER('Semi OpInc'!N101),ISNUMBER('Semi Rev'!N101),'Semi Rev'!R101&gt;0,'Semi Rev'!N101&gt;0),('Semi OpInc'!R101/'Semi Rev'!R101-'Semi OpInc'!N101/'Semi Rev'!N101)*10000,""),"")</f>
        <v/>
      </c>
    </row>
    <row r="955">
      <c r="A955" s="19">
        <f>'Semi Rev'!$A102</f>
        <v/>
      </c>
      <c r="B955" s="19">
        <f>'Semi Rev'!$B102</f>
        <v/>
      </c>
      <c r="C955" s="43">
        <f>IFERROR(IF(AND(ISNUMBER('Semi OpInc'!G102),ISNUMBER('Semi Rev'!G102),ISNUMBER('Semi OpInc'!C102),ISNUMBER('Semi Rev'!C102),'Semi Rev'!G102&gt;0,'Semi Rev'!C102&gt;0),('Semi OpInc'!G102/'Semi Rev'!G102-'Semi OpInc'!C102/'Semi Rev'!C102)*10000,""),"")</f>
        <v/>
      </c>
      <c r="D955" s="43">
        <f>IFERROR(IF(AND(ISNUMBER('Semi OpInc'!H102),ISNUMBER('Semi Rev'!H102),ISNUMBER('Semi OpInc'!D102),ISNUMBER('Semi Rev'!D102),'Semi Rev'!H102&gt;0,'Semi Rev'!D102&gt;0),('Semi OpInc'!H102/'Semi Rev'!H102-'Semi OpInc'!D102/'Semi Rev'!D102)*10000,""),"")</f>
        <v/>
      </c>
      <c r="E955" s="43">
        <f>IFERROR(IF(AND(ISNUMBER('Semi OpInc'!I102),ISNUMBER('Semi Rev'!I102),ISNUMBER('Semi OpInc'!E102),ISNUMBER('Semi Rev'!E102),'Semi Rev'!I102&gt;0,'Semi Rev'!E102&gt;0),('Semi OpInc'!I102/'Semi Rev'!I102-'Semi OpInc'!E102/'Semi Rev'!E102)*10000,""),"")</f>
        <v/>
      </c>
      <c r="F955" s="43">
        <f>IFERROR(IF(AND(ISNUMBER('Semi OpInc'!J102),ISNUMBER('Semi Rev'!J102),ISNUMBER('Semi OpInc'!F102),ISNUMBER('Semi Rev'!F102),'Semi Rev'!J102&gt;0,'Semi Rev'!F102&gt;0),('Semi OpInc'!J102/'Semi Rev'!J102-'Semi OpInc'!F102/'Semi Rev'!F102)*10000,""),"")</f>
        <v/>
      </c>
      <c r="G955" s="43">
        <f>IFERROR(IF(AND(ISNUMBER('Semi OpInc'!K102),ISNUMBER('Semi Rev'!K102),ISNUMBER('Semi OpInc'!G102),ISNUMBER('Semi Rev'!G102),'Semi Rev'!K102&gt;0,'Semi Rev'!G102&gt;0),('Semi OpInc'!K102/'Semi Rev'!K102-'Semi OpInc'!G102/'Semi Rev'!G102)*10000,""),"")</f>
        <v/>
      </c>
      <c r="H955" s="43">
        <f>IFERROR(IF(AND(ISNUMBER('Semi OpInc'!L102),ISNUMBER('Semi Rev'!L102),ISNUMBER('Semi OpInc'!H102),ISNUMBER('Semi Rev'!H102),'Semi Rev'!L102&gt;0,'Semi Rev'!H102&gt;0),('Semi OpInc'!L102/'Semi Rev'!L102-'Semi OpInc'!H102/'Semi Rev'!H102)*10000,""),"")</f>
        <v/>
      </c>
      <c r="I955" s="43">
        <f>IFERROR(IF(AND(ISNUMBER('Semi OpInc'!M102),ISNUMBER('Semi Rev'!M102),ISNUMBER('Semi OpInc'!I102),ISNUMBER('Semi Rev'!I102),'Semi Rev'!M102&gt;0,'Semi Rev'!I102&gt;0),('Semi OpInc'!M102/'Semi Rev'!M102-'Semi OpInc'!I102/'Semi Rev'!I102)*10000,""),"")</f>
        <v/>
      </c>
      <c r="J955" s="43">
        <f>IFERROR(IF(AND(ISNUMBER('Semi OpInc'!N102),ISNUMBER('Semi Rev'!N102),ISNUMBER('Semi OpInc'!J102),ISNUMBER('Semi Rev'!J102),'Semi Rev'!N102&gt;0,'Semi Rev'!J102&gt;0),('Semi OpInc'!N102/'Semi Rev'!N102-'Semi OpInc'!J102/'Semi Rev'!J102)*10000,""),"")</f>
        <v/>
      </c>
      <c r="K955" s="43">
        <f>IFERROR(IF(AND(ISNUMBER('Semi OpInc'!O102),ISNUMBER('Semi Rev'!O102),ISNUMBER('Semi OpInc'!K102),ISNUMBER('Semi Rev'!K102),'Semi Rev'!O102&gt;0,'Semi Rev'!K102&gt;0),('Semi OpInc'!O102/'Semi Rev'!O102-'Semi OpInc'!K102/'Semi Rev'!K102)*10000,""),"")</f>
        <v/>
      </c>
      <c r="L955" s="43">
        <f>IFERROR(IF(AND(ISNUMBER('Semi OpInc'!P102),ISNUMBER('Semi Rev'!P102),ISNUMBER('Semi OpInc'!L102),ISNUMBER('Semi Rev'!L102),'Semi Rev'!P102&gt;0,'Semi Rev'!L102&gt;0),('Semi OpInc'!P102/'Semi Rev'!P102-'Semi OpInc'!L102/'Semi Rev'!L102)*10000,""),"")</f>
        <v/>
      </c>
      <c r="M955" s="44">
        <f>IFERROR(IF(AND(ISNUMBER('Semi OpInc'!Q102),ISNUMBER('Semi Rev'!Q102),ISNUMBER('Semi OpInc'!M102),ISNUMBER('Semi Rev'!M102),'Semi Rev'!Q102&gt;0,'Semi Rev'!M102&gt;0),('Semi OpInc'!Q102/'Semi Rev'!Q102-'Semi OpInc'!M102/'Semi Rev'!M102)*10000,""),"")</f>
        <v/>
      </c>
      <c r="N955" s="44">
        <f>IFERROR(IF(AND(ISNUMBER('Semi OpInc'!R102),ISNUMBER('Semi Rev'!R102),ISNUMBER('Semi OpInc'!N102),ISNUMBER('Semi Rev'!N102),'Semi Rev'!R102&gt;0,'Semi Rev'!N102&gt;0),('Semi OpInc'!R102/'Semi Rev'!R102-'Semi OpInc'!N102/'Semi Rev'!N102)*10000,""),"")</f>
        <v/>
      </c>
    </row>
    <row r="956">
      <c r="A956" s="19">
        <f>'Semi Rev'!$A103</f>
        <v/>
      </c>
      <c r="B956" s="19">
        <f>'Semi Rev'!$B103</f>
        <v/>
      </c>
      <c r="C956" s="43">
        <f>IFERROR(IF(AND(ISNUMBER('Semi OpInc'!G103),ISNUMBER('Semi Rev'!G103),ISNUMBER('Semi OpInc'!C103),ISNUMBER('Semi Rev'!C103),'Semi Rev'!G103&gt;0,'Semi Rev'!C103&gt;0),('Semi OpInc'!G103/'Semi Rev'!G103-'Semi OpInc'!C103/'Semi Rev'!C103)*10000,""),"")</f>
        <v/>
      </c>
      <c r="D956" s="43">
        <f>IFERROR(IF(AND(ISNUMBER('Semi OpInc'!H103),ISNUMBER('Semi Rev'!H103),ISNUMBER('Semi OpInc'!D103),ISNUMBER('Semi Rev'!D103),'Semi Rev'!H103&gt;0,'Semi Rev'!D103&gt;0),('Semi OpInc'!H103/'Semi Rev'!H103-'Semi OpInc'!D103/'Semi Rev'!D103)*10000,""),"")</f>
        <v/>
      </c>
      <c r="E956" s="43">
        <f>IFERROR(IF(AND(ISNUMBER('Semi OpInc'!I103),ISNUMBER('Semi Rev'!I103),ISNUMBER('Semi OpInc'!E103),ISNUMBER('Semi Rev'!E103),'Semi Rev'!I103&gt;0,'Semi Rev'!E103&gt;0),('Semi OpInc'!I103/'Semi Rev'!I103-'Semi OpInc'!E103/'Semi Rev'!E103)*10000,""),"")</f>
        <v/>
      </c>
      <c r="F956" s="43">
        <f>IFERROR(IF(AND(ISNUMBER('Semi OpInc'!J103),ISNUMBER('Semi Rev'!J103),ISNUMBER('Semi OpInc'!F103),ISNUMBER('Semi Rev'!F103),'Semi Rev'!J103&gt;0,'Semi Rev'!F103&gt;0),('Semi OpInc'!J103/'Semi Rev'!J103-'Semi OpInc'!F103/'Semi Rev'!F103)*10000,""),"")</f>
        <v/>
      </c>
      <c r="G956" s="43">
        <f>IFERROR(IF(AND(ISNUMBER('Semi OpInc'!K103),ISNUMBER('Semi Rev'!K103),ISNUMBER('Semi OpInc'!G103),ISNUMBER('Semi Rev'!G103),'Semi Rev'!K103&gt;0,'Semi Rev'!G103&gt;0),('Semi OpInc'!K103/'Semi Rev'!K103-'Semi OpInc'!G103/'Semi Rev'!G103)*10000,""),"")</f>
        <v/>
      </c>
      <c r="H956" s="43">
        <f>IFERROR(IF(AND(ISNUMBER('Semi OpInc'!L103),ISNUMBER('Semi Rev'!L103),ISNUMBER('Semi OpInc'!H103),ISNUMBER('Semi Rev'!H103),'Semi Rev'!L103&gt;0,'Semi Rev'!H103&gt;0),('Semi OpInc'!L103/'Semi Rev'!L103-'Semi OpInc'!H103/'Semi Rev'!H103)*10000,""),"")</f>
        <v/>
      </c>
      <c r="I956" s="43">
        <f>IFERROR(IF(AND(ISNUMBER('Semi OpInc'!M103),ISNUMBER('Semi Rev'!M103),ISNUMBER('Semi OpInc'!I103),ISNUMBER('Semi Rev'!I103),'Semi Rev'!M103&gt;0,'Semi Rev'!I103&gt;0),('Semi OpInc'!M103/'Semi Rev'!M103-'Semi OpInc'!I103/'Semi Rev'!I103)*10000,""),"")</f>
        <v/>
      </c>
      <c r="J956" s="43">
        <f>IFERROR(IF(AND(ISNUMBER('Semi OpInc'!N103),ISNUMBER('Semi Rev'!N103),ISNUMBER('Semi OpInc'!J103),ISNUMBER('Semi Rev'!J103),'Semi Rev'!N103&gt;0,'Semi Rev'!J103&gt;0),('Semi OpInc'!N103/'Semi Rev'!N103-'Semi OpInc'!J103/'Semi Rev'!J103)*10000,""),"")</f>
        <v/>
      </c>
      <c r="K956" s="43">
        <f>IFERROR(IF(AND(ISNUMBER('Semi OpInc'!O103),ISNUMBER('Semi Rev'!O103),ISNUMBER('Semi OpInc'!K103),ISNUMBER('Semi Rev'!K103),'Semi Rev'!O103&gt;0,'Semi Rev'!K103&gt;0),('Semi OpInc'!O103/'Semi Rev'!O103-'Semi OpInc'!K103/'Semi Rev'!K103)*10000,""),"")</f>
        <v/>
      </c>
      <c r="L956" s="43">
        <f>IFERROR(IF(AND(ISNUMBER('Semi OpInc'!P103),ISNUMBER('Semi Rev'!P103),ISNUMBER('Semi OpInc'!L103),ISNUMBER('Semi Rev'!L103),'Semi Rev'!P103&gt;0,'Semi Rev'!L103&gt;0),('Semi OpInc'!P103/'Semi Rev'!P103-'Semi OpInc'!L103/'Semi Rev'!L103)*10000,""),"")</f>
        <v/>
      </c>
      <c r="M956" s="44">
        <f>IFERROR(IF(AND(ISNUMBER('Semi OpInc'!Q103),ISNUMBER('Semi Rev'!Q103),ISNUMBER('Semi OpInc'!M103),ISNUMBER('Semi Rev'!M103),'Semi Rev'!Q103&gt;0,'Semi Rev'!M103&gt;0),('Semi OpInc'!Q103/'Semi Rev'!Q103-'Semi OpInc'!M103/'Semi Rev'!M103)*10000,""),"")</f>
        <v/>
      </c>
      <c r="N956" s="44">
        <f>IFERROR(IF(AND(ISNUMBER('Semi OpInc'!R103),ISNUMBER('Semi Rev'!R103),ISNUMBER('Semi OpInc'!N103),ISNUMBER('Semi Rev'!N103),'Semi Rev'!R103&gt;0,'Semi Rev'!N103&gt;0),('Semi OpInc'!R103/'Semi Rev'!R103-'Semi OpInc'!N103/'Semi Rev'!N103)*10000,""),"")</f>
        <v/>
      </c>
    </row>
    <row r="957">
      <c r="A957" s="19">
        <f>'Semi Rev'!$A104</f>
        <v/>
      </c>
      <c r="B957" s="19">
        <f>'Semi Rev'!$B104</f>
        <v/>
      </c>
      <c r="C957" s="43">
        <f>IFERROR(IF(AND(ISNUMBER('Semi OpInc'!G104),ISNUMBER('Semi Rev'!G104),ISNUMBER('Semi OpInc'!C104),ISNUMBER('Semi Rev'!C104),'Semi Rev'!G104&gt;0,'Semi Rev'!C104&gt;0),('Semi OpInc'!G104/'Semi Rev'!G104-'Semi OpInc'!C104/'Semi Rev'!C104)*10000,""),"")</f>
        <v/>
      </c>
      <c r="D957" s="43">
        <f>IFERROR(IF(AND(ISNUMBER('Semi OpInc'!H104),ISNUMBER('Semi Rev'!H104),ISNUMBER('Semi OpInc'!D104),ISNUMBER('Semi Rev'!D104),'Semi Rev'!H104&gt;0,'Semi Rev'!D104&gt;0),('Semi OpInc'!H104/'Semi Rev'!H104-'Semi OpInc'!D104/'Semi Rev'!D104)*10000,""),"")</f>
        <v/>
      </c>
      <c r="E957" s="43">
        <f>IFERROR(IF(AND(ISNUMBER('Semi OpInc'!I104),ISNUMBER('Semi Rev'!I104),ISNUMBER('Semi OpInc'!E104),ISNUMBER('Semi Rev'!E104),'Semi Rev'!I104&gt;0,'Semi Rev'!E104&gt;0),('Semi OpInc'!I104/'Semi Rev'!I104-'Semi OpInc'!E104/'Semi Rev'!E104)*10000,""),"")</f>
        <v/>
      </c>
      <c r="F957" s="43">
        <f>IFERROR(IF(AND(ISNUMBER('Semi OpInc'!J104),ISNUMBER('Semi Rev'!J104),ISNUMBER('Semi OpInc'!F104),ISNUMBER('Semi Rev'!F104),'Semi Rev'!J104&gt;0,'Semi Rev'!F104&gt;0),('Semi OpInc'!J104/'Semi Rev'!J104-'Semi OpInc'!F104/'Semi Rev'!F104)*10000,""),"")</f>
        <v/>
      </c>
      <c r="G957" s="43">
        <f>IFERROR(IF(AND(ISNUMBER('Semi OpInc'!K104),ISNUMBER('Semi Rev'!K104),ISNUMBER('Semi OpInc'!G104),ISNUMBER('Semi Rev'!G104),'Semi Rev'!K104&gt;0,'Semi Rev'!G104&gt;0),('Semi OpInc'!K104/'Semi Rev'!K104-'Semi OpInc'!G104/'Semi Rev'!G104)*10000,""),"")</f>
        <v/>
      </c>
      <c r="H957" s="43">
        <f>IFERROR(IF(AND(ISNUMBER('Semi OpInc'!L104),ISNUMBER('Semi Rev'!L104),ISNUMBER('Semi OpInc'!H104),ISNUMBER('Semi Rev'!H104),'Semi Rev'!L104&gt;0,'Semi Rev'!H104&gt;0),('Semi OpInc'!L104/'Semi Rev'!L104-'Semi OpInc'!H104/'Semi Rev'!H104)*10000,""),"")</f>
        <v/>
      </c>
      <c r="I957" s="43">
        <f>IFERROR(IF(AND(ISNUMBER('Semi OpInc'!M104),ISNUMBER('Semi Rev'!M104),ISNUMBER('Semi OpInc'!I104),ISNUMBER('Semi Rev'!I104),'Semi Rev'!M104&gt;0,'Semi Rev'!I104&gt;0),('Semi OpInc'!M104/'Semi Rev'!M104-'Semi OpInc'!I104/'Semi Rev'!I104)*10000,""),"")</f>
        <v/>
      </c>
      <c r="J957" s="43">
        <f>IFERROR(IF(AND(ISNUMBER('Semi OpInc'!N104),ISNUMBER('Semi Rev'!N104),ISNUMBER('Semi OpInc'!J104),ISNUMBER('Semi Rev'!J104),'Semi Rev'!N104&gt;0,'Semi Rev'!J104&gt;0),('Semi OpInc'!N104/'Semi Rev'!N104-'Semi OpInc'!J104/'Semi Rev'!J104)*10000,""),"")</f>
        <v/>
      </c>
      <c r="K957" s="43">
        <f>IFERROR(IF(AND(ISNUMBER('Semi OpInc'!O104),ISNUMBER('Semi Rev'!O104),ISNUMBER('Semi OpInc'!K104),ISNUMBER('Semi Rev'!K104),'Semi Rev'!O104&gt;0,'Semi Rev'!K104&gt;0),('Semi OpInc'!O104/'Semi Rev'!O104-'Semi OpInc'!K104/'Semi Rev'!K104)*10000,""),"")</f>
        <v/>
      </c>
      <c r="L957" s="43">
        <f>IFERROR(IF(AND(ISNUMBER('Semi OpInc'!P104),ISNUMBER('Semi Rev'!P104),ISNUMBER('Semi OpInc'!L104),ISNUMBER('Semi Rev'!L104),'Semi Rev'!P104&gt;0,'Semi Rev'!L104&gt;0),('Semi OpInc'!P104/'Semi Rev'!P104-'Semi OpInc'!L104/'Semi Rev'!L104)*10000,""),"")</f>
        <v/>
      </c>
      <c r="M957" s="44">
        <f>IFERROR(IF(AND(ISNUMBER('Semi OpInc'!Q104),ISNUMBER('Semi Rev'!Q104),ISNUMBER('Semi OpInc'!M104),ISNUMBER('Semi Rev'!M104),'Semi Rev'!Q104&gt;0,'Semi Rev'!M104&gt;0),('Semi OpInc'!Q104/'Semi Rev'!Q104-'Semi OpInc'!M104/'Semi Rev'!M104)*10000,""),"")</f>
        <v/>
      </c>
      <c r="N957" s="44">
        <f>IFERROR(IF(AND(ISNUMBER('Semi OpInc'!R104),ISNUMBER('Semi Rev'!R104),ISNUMBER('Semi OpInc'!N104),ISNUMBER('Semi Rev'!N104),'Semi Rev'!R104&gt;0,'Semi Rev'!N104&gt;0),('Semi OpInc'!R104/'Semi Rev'!R104-'Semi OpInc'!N104/'Semi Rev'!N104)*10000,""),"")</f>
        <v/>
      </c>
    </row>
    <row r="958">
      <c r="A958" s="19">
        <f>'Semi Rev'!$A105</f>
        <v/>
      </c>
      <c r="B958" s="19">
        <f>'Semi Rev'!$B105</f>
        <v/>
      </c>
      <c r="C958" s="43">
        <f>IFERROR(IF(AND(ISNUMBER('Semi OpInc'!G105),ISNUMBER('Semi Rev'!G105),ISNUMBER('Semi OpInc'!C105),ISNUMBER('Semi Rev'!C105),'Semi Rev'!G105&gt;0,'Semi Rev'!C105&gt;0),('Semi OpInc'!G105/'Semi Rev'!G105-'Semi OpInc'!C105/'Semi Rev'!C105)*10000,""),"")</f>
        <v/>
      </c>
      <c r="D958" s="43">
        <f>IFERROR(IF(AND(ISNUMBER('Semi OpInc'!H105),ISNUMBER('Semi Rev'!H105),ISNUMBER('Semi OpInc'!D105),ISNUMBER('Semi Rev'!D105),'Semi Rev'!H105&gt;0,'Semi Rev'!D105&gt;0),('Semi OpInc'!H105/'Semi Rev'!H105-'Semi OpInc'!D105/'Semi Rev'!D105)*10000,""),"")</f>
        <v/>
      </c>
      <c r="E958" s="43">
        <f>IFERROR(IF(AND(ISNUMBER('Semi OpInc'!I105),ISNUMBER('Semi Rev'!I105),ISNUMBER('Semi OpInc'!E105),ISNUMBER('Semi Rev'!E105),'Semi Rev'!I105&gt;0,'Semi Rev'!E105&gt;0),('Semi OpInc'!I105/'Semi Rev'!I105-'Semi OpInc'!E105/'Semi Rev'!E105)*10000,""),"")</f>
        <v/>
      </c>
      <c r="F958" s="43">
        <f>IFERROR(IF(AND(ISNUMBER('Semi OpInc'!J105),ISNUMBER('Semi Rev'!J105),ISNUMBER('Semi OpInc'!F105),ISNUMBER('Semi Rev'!F105),'Semi Rev'!J105&gt;0,'Semi Rev'!F105&gt;0),('Semi OpInc'!J105/'Semi Rev'!J105-'Semi OpInc'!F105/'Semi Rev'!F105)*10000,""),"")</f>
        <v/>
      </c>
      <c r="G958" s="43">
        <f>IFERROR(IF(AND(ISNUMBER('Semi OpInc'!K105),ISNUMBER('Semi Rev'!K105),ISNUMBER('Semi OpInc'!G105),ISNUMBER('Semi Rev'!G105),'Semi Rev'!K105&gt;0,'Semi Rev'!G105&gt;0),('Semi OpInc'!K105/'Semi Rev'!K105-'Semi OpInc'!G105/'Semi Rev'!G105)*10000,""),"")</f>
        <v/>
      </c>
      <c r="H958" s="43">
        <f>IFERROR(IF(AND(ISNUMBER('Semi OpInc'!L105),ISNUMBER('Semi Rev'!L105),ISNUMBER('Semi OpInc'!H105),ISNUMBER('Semi Rev'!H105),'Semi Rev'!L105&gt;0,'Semi Rev'!H105&gt;0),('Semi OpInc'!L105/'Semi Rev'!L105-'Semi OpInc'!H105/'Semi Rev'!H105)*10000,""),"")</f>
        <v/>
      </c>
      <c r="I958" s="43">
        <f>IFERROR(IF(AND(ISNUMBER('Semi OpInc'!M105),ISNUMBER('Semi Rev'!M105),ISNUMBER('Semi OpInc'!I105),ISNUMBER('Semi Rev'!I105),'Semi Rev'!M105&gt;0,'Semi Rev'!I105&gt;0),('Semi OpInc'!M105/'Semi Rev'!M105-'Semi OpInc'!I105/'Semi Rev'!I105)*10000,""),"")</f>
        <v/>
      </c>
      <c r="J958" s="43">
        <f>IFERROR(IF(AND(ISNUMBER('Semi OpInc'!N105),ISNUMBER('Semi Rev'!N105),ISNUMBER('Semi OpInc'!J105),ISNUMBER('Semi Rev'!J105),'Semi Rev'!N105&gt;0,'Semi Rev'!J105&gt;0),('Semi OpInc'!N105/'Semi Rev'!N105-'Semi OpInc'!J105/'Semi Rev'!J105)*10000,""),"")</f>
        <v/>
      </c>
      <c r="K958" s="43">
        <f>IFERROR(IF(AND(ISNUMBER('Semi OpInc'!O105),ISNUMBER('Semi Rev'!O105),ISNUMBER('Semi OpInc'!K105),ISNUMBER('Semi Rev'!K105),'Semi Rev'!O105&gt;0,'Semi Rev'!K105&gt;0),('Semi OpInc'!O105/'Semi Rev'!O105-'Semi OpInc'!K105/'Semi Rev'!K105)*10000,""),"")</f>
        <v/>
      </c>
      <c r="L958" s="43">
        <f>IFERROR(IF(AND(ISNUMBER('Semi OpInc'!P105),ISNUMBER('Semi Rev'!P105),ISNUMBER('Semi OpInc'!L105),ISNUMBER('Semi Rev'!L105),'Semi Rev'!P105&gt;0,'Semi Rev'!L105&gt;0),('Semi OpInc'!P105/'Semi Rev'!P105-'Semi OpInc'!L105/'Semi Rev'!L105)*10000,""),"")</f>
        <v/>
      </c>
      <c r="M958" s="44">
        <f>IFERROR(IF(AND(ISNUMBER('Semi OpInc'!Q105),ISNUMBER('Semi Rev'!Q105),ISNUMBER('Semi OpInc'!M105),ISNUMBER('Semi Rev'!M105),'Semi Rev'!Q105&gt;0,'Semi Rev'!M105&gt;0),('Semi OpInc'!Q105/'Semi Rev'!Q105-'Semi OpInc'!M105/'Semi Rev'!M105)*10000,""),"")</f>
        <v/>
      </c>
      <c r="N958" s="44">
        <f>IFERROR(IF(AND(ISNUMBER('Semi OpInc'!R105),ISNUMBER('Semi Rev'!R105),ISNUMBER('Semi OpInc'!N105),ISNUMBER('Semi Rev'!N105),'Semi Rev'!R105&gt;0,'Semi Rev'!N105&gt;0),('Semi OpInc'!R105/'Semi Rev'!R105-'Semi OpInc'!N105/'Semi Rev'!N105)*10000,""),"")</f>
        <v/>
      </c>
    </row>
    <row r="959">
      <c r="A959" s="19">
        <f>'Semi Rev'!$A106</f>
        <v/>
      </c>
      <c r="B959" s="19">
        <f>'Semi Rev'!$B106</f>
        <v/>
      </c>
      <c r="C959" s="43">
        <f>IFERROR(IF(AND(ISNUMBER('Semi OpInc'!G106),ISNUMBER('Semi Rev'!G106),ISNUMBER('Semi OpInc'!C106),ISNUMBER('Semi Rev'!C106),'Semi Rev'!G106&gt;0,'Semi Rev'!C106&gt;0),('Semi OpInc'!G106/'Semi Rev'!G106-'Semi OpInc'!C106/'Semi Rev'!C106)*10000,""),"")</f>
        <v/>
      </c>
      <c r="D959" s="43">
        <f>IFERROR(IF(AND(ISNUMBER('Semi OpInc'!H106),ISNUMBER('Semi Rev'!H106),ISNUMBER('Semi OpInc'!D106),ISNUMBER('Semi Rev'!D106),'Semi Rev'!H106&gt;0,'Semi Rev'!D106&gt;0),('Semi OpInc'!H106/'Semi Rev'!H106-'Semi OpInc'!D106/'Semi Rev'!D106)*10000,""),"")</f>
        <v/>
      </c>
      <c r="E959" s="43">
        <f>IFERROR(IF(AND(ISNUMBER('Semi OpInc'!I106),ISNUMBER('Semi Rev'!I106),ISNUMBER('Semi OpInc'!E106),ISNUMBER('Semi Rev'!E106),'Semi Rev'!I106&gt;0,'Semi Rev'!E106&gt;0),('Semi OpInc'!I106/'Semi Rev'!I106-'Semi OpInc'!E106/'Semi Rev'!E106)*10000,""),"")</f>
        <v/>
      </c>
      <c r="F959" s="43">
        <f>IFERROR(IF(AND(ISNUMBER('Semi OpInc'!J106),ISNUMBER('Semi Rev'!J106),ISNUMBER('Semi OpInc'!F106),ISNUMBER('Semi Rev'!F106),'Semi Rev'!J106&gt;0,'Semi Rev'!F106&gt;0),('Semi OpInc'!J106/'Semi Rev'!J106-'Semi OpInc'!F106/'Semi Rev'!F106)*10000,""),"")</f>
        <v/>
      </c>
      <c r="G959" s="43">
        <f>IFERROR(IF(AND(ISNUMBER('Semi OpInc'!K106),ISNUMBER('Semi Rev'!K106),ISNUMBER('Semi OpInc'!G106),ISNUMBER('Semi Rev'!G106),'Semi Rev'!K106&gt;0,'Semi Rev'!G106&gt;0),('Semi OpInc'!K106/'Semi Rev'!K106-'Semi OpInc'!G106/'Semi Rev'!G106)*10000,""),"")</f>
        <v/>
      </c>
      <c r="H959" s="43">
        <f>IFERROR(IF(AND(ISNUMBER('Semi OpInc'!L106),ISNUMBER('Semi Rev'!L106),ISNUMBER('Semi OpInc'!H106),ISNUMBER('Semi Rev'!H106),'Semi Rev'!L106&gt;0,'Semi Rev'!H106&gt;0),('Semi OpInc'!L106/'Semi Rev'!L106-'Semi OpInc'!H106/'Semi Rev'!H106)*10000,""),"")</f>
        <v/>
      </c>
      <c r="I959" s="43">
        <f>IFERROR(IF(AND(ISNUMBER('Semi OpInc'!M106),ISNUMBER('Semi Rev'!M106),ISNUMBER('Semi OpInc'!I106),ISNUMBER('Semi Rev'!I106),'Semi Rev'!M106&gt;0,'Semi Rev'!I106&gt;0),('Semi OpInc'!M106/'Semi Rev'!M106-'Semi OpInc'!I106/'Semi Rev'!I106)*10000,""),"")</f>
        <v/>
      </c>
      <c r="J959" s="43">
        <f>IFERROR(IF(AND(ISNUMBER('Semi OpInc'!N106),ISNUMBER('Semi Rev'!N106),ISNUMBER('Semi OpInc'!J106),ISNUMBER('Semi Rev'!J106),'Semi Rev'!N106&gt;0,'Semi Rev'!J106&gt;0),('Semi OpInc'!N106/'Semi Rev'!N106-'Semi OpInc'!J106/'Semi Rev'!J106)*10000,""),"")</f>
        <v/>
      </c>
      <c r="K959" s="43">
        <f>IFERROR(IF(AND(ISNUMBER('Semi OpInc'!O106),ISNUMBER('Semi Rev'!O106),ISNUMBER('Semi OpInc'!K106),ISNUMBER('Semi Rev'!K106),'Semi Rev'!O106&gt;0,'Semi Rev'!K106&gt;0),('Semi OpInc'!O106/'Semi Rev'!O106-'Semi OpInc'!K106/'Semi Rev'!K106)*10000,""),"")</f>
        <v/>
      </c>
      <c r="L959" s="43">
        <f>IFERROR(IF(AND(ISNUMBER('Semi OpInc'!P106),ISNUMBER('Semi Rev'!P106),ISNUMBER('Semi OpInc'!L106),ISNUMBER('Semi Rev'!L106),'Semi Rev'!P106&gt;0,'Semi Rev'!L106&gt;0),('Semi OpInc'!P106/'Semi Rev'!P106-'Semi OpInc'!L106/'Semi Rev'!L106)*10000,""),"")</f>
        <v/>
      </c>
      <c r="M959" s="44">
        <f>IFERROR(IF(AND(ISNUMBER('Semi OpInc'!Q106),ISNUMBER('Semi Rev'!Q106),ISNUMBER('Semi OpInc'!M106),ISNUMBER('Semi Rev'!M106),'Semi Rev'!Q106&gt;0,'Semi Rev'!M106&gt;0),('Semi OpInc'!Q106/'Semi Rev'!Q106-'Semi OpInc'!M106/'Semi Rev'!M106)*10000,""),"")</f>
        <v/>
      </c>
      <c r="N959" s="44">
        <f>IFERROR(IF(AND(ISNUMBER('Semi OpInc'!R106),ISNUMBER('Semi Rev'!R106),ISNUMBER('Semi OpInc'!N106),ISNUMBER('Semi Rev'!N106),'Semi Rev'!R106&gt;0,'Semi Rev'!N106&gt;0),('Semi OpInc'!R106/'Semi Rev'!R106-'Semi OpInc'!N106/'Semi Rev'!N106)*10000,""),"")</f>
        <v/>
      </c>
    </row>
    <row r="960">
      <c r="A960" s="19">
        <f>'Semi Rev'!$A107</f>
        <v/>
      </c>
      <c r="B960" s="19">
        <f>'Semi Rev'!$B107</f>
        <v/>
      </c>
      <c r="C960" s="43">
        <f>IFERROR(IF(AND(ISNUMBER('Semi OpInc'!G107),ISNUMBER('Semi Rev'!G107),ISNUMBER('Semi OpInc'!C107),ISNUMBER('Semi Rev'!C107),'Semi Rev'!G107&gt;0,'Semi Rev'!C107&gt;0),('Semi OpInc'!G107/'Semi Rev'!G107-'Semi OpInc'!C107/'Semi Rev'!C107)*10000,""),"")</f>
        <v/>
      </c>
      <c r="D960" s="43">
        <f>IFERROR(IF(AND(ISNUMBER('Semi OpInc'!H107),ISNUMBER('Semi Rev'!H107),ISNUMBER('Semi OpInc'!D107),ISNUMBER('Semi Rev'!D107),'Semi Rev'!H107&gt;0,'Semi Rev'!D107&gt;0),('Semi OpInc'!H107/'Semi Rev'!H107-'Semi OpInc'!D107/'Semi Rev'!D107)*10000,""),"")</f>
        <v/>
      </c>
      <c r="E960" s="43">
        <f>IFERROR(IF(AND(ISNUMBER('Semi OpInc'!I107),ISNUMBER('Semi Rev'!I107),ISNUMBER('Semi OpInc'!E107),ISNUMBER('Semi Rev'!E107),'Semi Rev'!I107&gt;0,'Semi Rev'!E107&gt;0),('Semi OpInc'!I107/'Semi Rev'!I107-'Semi OpInc'!E107/'Semi Rev'!E107)*10000,""),"")</f>
        <v/>
      </c>
      <c r="F960" s="43">
        <f>IFERROR(IF(AND(ISNUMBER('Semi OpInc'!J107),ISNUMBER('Semi Rev'!J107),ISNUMBER('Semi OpInc'!F107),ISNUMBER('Semi Rev'!F107),'Semi Rev'!J107&gt;0,'Semi Rev'!F107&gt;0),('Semi OpInc'!J107/'Semi Rev'!J107-'Semi OpInc'!F107/'Semi Rev'!F107)*10000,""),"")</f>
        <v/>
      </c>
      <c r="G960" s="43">
        <f>IFERROR(IF(AND(ISNUMBER('Semi OpInc'!K107),ISNUMBER('Semi Rev'!K107),ISNUMBER('Semi OpInc'!G107),ISNUMBER('Semi Rev'!G107),'Semi Rev'!K107&gt;0,'Semi Rev'!G107&gt;0),('Semi OpInc'!K107/'Semi Rev'!K107-'Semi OpInc'!G107/'Semi Rev'!G107)*10000,""),"")</f>
        <v/>
      </c>
      <c r="H960" s="43">
        <f>IFERROR(IF(AND(ISNUMBER('Semi OpInc'!L107),ISNUMBER('Semi Rev'!L107),ISNUMBER('Semi OpInc'!H107),ISNUMBER('Semi Rev'!H107),'Semi Rev'!L107&gt;0,'Semi Rev'!H107&gt;0),('Semi OpInc'!L107/'Semi Rev'!L107-'Semi OpInc'!H107/'Semi Rev'!H107)*10000,""),"")</f>
        <v/>
      </c>
      <c r="I960" s="43">
        <f>IFERROR(IF(AND(ISNUMBER('Semi OpInc'!M107),ISNUMBER('Semi Rev'!M107),ISNUMBER('Semi OpInc'!I107),ISNUMBER('Semi Rev'!I107),'Semi Rev'!M107&gt;0,'Semi Rev'!I107&gt;0),('Semi OpInc'!M107/'Semi Rev'!M107-'Semi OpInc'!I107/'Semi Rev'!I107)*10000,""),"")</f>
        <v/>
      </c>
      <c r="J960" s="43">
        <f>IFERROR(IF(AND(ISNUMBER('Semi OpInc'!N107),ISNUMBER('Semi Rev'!N107),ISNUMBER('Semi OpInc'!J107),ISNUMBER('Semi Rev'!J107),'Semi Rev'!N107&gt;0,'Semi Rev'!J107&gt;0),('Semi OpInc'!N107/'Semi Rev'!N107-'Semi OpInc'!J107/'Semi Rev'!J107)*10000,""),"")</f>
        <v/>
      </c>
      <c r="K960" s="43">
        <f>IFERROR(IF(AND(ISNUMBER('Semi OpInc'!O107),ISNUMBER('Semi Rev'!O107),ISNUMBER('Semi OpInc'!K107),ISNUMBER('Semi Rev'!K107),'Semi Rev'!O107&gt;0,'Semi Rev'!K107&gt;0),('Semi OpInc'!O107/'Semi Rev'!O107-'Semi OpInc'!K107/'Semi Rev'!K107)*10000,""),"")</f>
        <v/>
      </c>
      <c r="L960" s="43">
        <f>IFERROR(IF(AND(ISNUMBER('Semi OpInc'!P107),ISNUMBER('Semi Rev'!P107),ISNUMBER('Semi OpInc'!L107),ISNUMBER('Semi Rev'!L107),'Semi Rev'!P107&gt;0,'Semi Rev'!L107&gt;0),('Semi OpInc'!P107/'Semi Rev'!P107-'Semi OpInc'!L107/'Semi Rev'!L107)*10000,""),"")</f>
        <v/>
      </c>
      <c r="M960" s="44">
        <f>IFERROR(IF(AND(ISNUMBER('Semi OpInc'!Q107),ISNUMBER('Semi Rev'!Q107),ISNUMBER('Semi OpInc'!M107),ISNUMBER('Semi Rev'!M107),'Semi Rev'!Q107&gt;0,'Semi Rev'!M107&gt;0),('Semi OpInc'!Q107/'Semi Rev'!Q107-'Semi OpInc'!M107/'Semi Rev'!M107)*10000,""),"")</f>
        <v/>
      </c>
      <c r="N960" s="44">
        <f>IFERROR(IF(AND(ISNUMBER('Semi OpInc'!R107),ISNUMBER('Semi Rev'!R107),ISNUMBER('Semi OpInc'!N107),ISNUMBER('Semi Rev'!N107),'Semi Rev'!R107&gt;0,'Semi Rev'!N107&gt;0),('Semi OpInc'!R107/'Semi Rev'!R107-'Semi OpInc'!N107/'Semi Rev'!N107)*10000,""),"")</f>
        <v/>
      </c>
    </row>
    <row r="961">
      <c r="A961" s="19">
        <f>'Semi Rev'!$A108</f>
        <v/>
      </c>
      <c r="B961" s="19">
        <f>'Semi Rev'!$B108</f>
        <v/>
      </c>
      <c r="C961" s="43">
        <f>IFERROR(IF(AND(ISNUMBER('Semi OpInc'!G108),ISNUMBER('Semi Rev'!G108),ISNUMBER('Semi OpInc'!C108),ISNUMBER('Semi Rev'!C108),'Semi Rev'!G108&gt;0,'Semi Rev'!C108&gt;0),('Semi OpInc'!G108/'Semi Rev'!G108-'Semi OpInc'!C108/'Semi Rev'!C108)*10000,""),"")</f>
        <v/>
      </c>
      <c r="D961" s="43">
        <f>IFERROR(IF(AND(ISNUMBER('Semi OpInc'!H108),ISNUMBER('Semi Rev'!H108),ISNUMBER('Semi OpInc'!D108),ISNUMBER('Semi Rev'!D108),'Semi Rev'!H108&gt;0,'Semi Rev'!D108&gt;0),('Semi OpInc'!H108/'Semi Rev'!H108-'Semi OpInc'!D108/'Semi Rev'!D108)*10000,""),"")</f>
        <v/>
      </c>
      <c r="E961" s="43">
        <f>IFERROR(IF(AND(ISNUMBER('Semi OpInc'!I108),ISNUMBER('Semi Rev'!I108),ISNUMBER('Semi OpInc'!E108),ISNUMBER('Semi Rev'!E108),'Semi Rev'!I108&gt;0,'Semi Rev'!E108&gt;0),('Semi OpInc'!I108/'Semi Rev'!I108-'Semi OpInc'!E108/'Semi Rev'!E108)*10000,""),"")</f>
        <v/>
      </c>
      <c r="F961" s="43">
        <f>IFERROR(IF(AND(ISNUMBER('Semi OpInc'!J108),ISNUMBER('Semi Rev'!J108),ISNUMBER('Semi OpInc'!F108),ISNUMBER('Semi Rev'!F108),'Semi Rev'!J108&gt;0,'Semi Rev'!F108&gt;0),('Semi OpInc'!J108/'Semi Rev'!J108-'Semi OpInc'!F108/'Semi Rev'!F108)*10000,""),"")</f>
        <v/>
      </c>
      <c r="G961" s="43">
        <f>IFERROR(IF(AND(ISNUMBER('Semi OpInc'!K108),ISNUMBER('Semi Rev'!K108),ISNUMBER('Semi OpInc'!G108),ISNUMBER('Semi Rev'!G108),'Semi Rev'!K108&gt;0,'Semi Rev'!G108&gt;0),('Semi OpInc'!K108/'Semi Rev'!K108-'Semi OpInc'!G108/'Semi Rev'!G108)*10000,""),"")</f>
        <v/>
      </c>
      <c r="H961" s="43">
        <f>IFERROR(IF(AND(ISNUMBER('Semi OpInc'!L108),ISNUMBER('Semi Rev'!L108),ISNUMBER('Semi OpInc'!H108),ISNUMBER('Semi Rev'!H108),'Semi Rev'!L108&gt;0,'Semi Rev'!H108&gt;0),('Semi OpInc'!L108/'Semi Rev'!L108-'Semi OpInc'!H108/'Semi Rev'!H108)*10000,""),"")</f>
        <v/>
      </c>
      <c r="I961" s="43">
        <f>IFERROR(IF(AND(ISNUMBER('Semi OpInc'!M108),ISNUMBER('Semi Rev'!M108),ISNUMBER('Semi OpInc'!I108),ISNUMBER('Semi Rev'!I108),'Semi Rev'!M108&gt;0,'Semi Rev'!I108&gt;0),('Semi OpInc'!M108/'Semi Rev'!M108-'Semi OpInc'!I108/'Semi Rev'!I108)*10000,""),"")</f>
        <v/>
      </c>
      <c r="J961" s="43">
        <f>IFERROR(IF(AND(ISNUMBER('Semi OpInc'!N108),ISNUMBER('Semi Rev'!N108),ISNUMBER('Semi OpInc'!J108),ISNUMBER('Semi Rev'!J108),'Semi Rev'!N108&gt;0,'Semi Rev'!J108&gt;0),('Semi OpInc'!N108/'Semi Rev'!N108-'Semi OpInc'!J108/'Semi Rev'!J108)*10000,""),"")</f>
        <v/>
      </c>
      <c r="K961" s="43">
        <f>IFERROR(IF(AND(ISNUMBER('Semi OpInc'!O108),ISNUMBER('Semi Rev'!O108),ISNUMBER('Semi OpInc'!K108),ISNUMBER('Semi Rev'!K108),'Semi Rev'!O108&gt;0,'Semi Rev'!K108&gt;0),('Semi OpInc'!O108/'Semi Rev'!O108-'Semi OpInc'!K108/'Semi Rev'!K108)*10000,""),"")</f>
        <v/>
      </c>
      <c r="L961" s="43">
        <f>IFERROR(IF(AND(ISNUMBER('Semi OpInc'!P108),ISNUMBER('Semi Rev'!P108),ISNUMBER('Semi OpInc'!L108),ISNUMBER('Semi Rev'!L108),'Semi Rev'!P108&gt;0,'Semi Rev'!L108&gt;0),('Semi OpInc'!P108/'Semi Rev'!P108-'Semi OpInc'!L108/'Semi Rev'!L108)*10000,""),"")</f>
        <v/>
      </c>
      <c r="M961" s="44">
        <f>IFERROR(IF(AND(ISNUMBER('Semi OpInc'!Q108),ISNUMBER('Semi Rev'!Q108),ISNUMBER('Semi OpInc'!M108),ISNUMBER('Semi Rev'!M108),'Semi Rev'!Q108&gt;0,'Semi Rev'!M108&gt;0),('Semi OpInc'!Q108/'Semi Rev'!Q108-'Semi OpInc'!M108/'Semi Rev'!M108)*10000,""),"")</f>
        <v/>
      </c>
      <c r="N961" s="44">
        <f>IFERROR(IF(AND(ISNUMBER('Semi OpInc'!R108),ISNUMBER('Semi Rev'!R108),ISNUMBER('Semi OpInc'!N108),ISNUMBER('Semi Rev'!N108),'Semi Rev'!R108&gt;0,'Semi Rev'!N108&gt;0),('Semi OpInc'!R108/'Semi Rev'!R108-'Semi OpInc'!N108/'Semi Rev'!N108)*10000,""),"")</f>
        <v/>
      </c>
    </row>
    <row r="962">
      <c r="A962" s="19">
        <f>'Semi Rev'!$A109</f>
        <v/>
      </c>
      <c r="B962" s="19">
        <f>'Semi Rev'!$B109</f>
        <v/>
      </c>
      <c r="C962" s="43">
        <f>IFERROR(IF(AND(ISNUMBER('Semi OpInc'!G109),ISNUMBER('Semi Rev'!G109),ISNUMBER('Semi OpInc'!C109),ISNUMBER('Semi Rev'!C109),'Semi Rev'!G109&gt;0,'Semi Rev'!C109&gt;0),('Semi OpInc'!G109/'Semi Rev'!G109-'Semi OpInc'!C109/'Semi Rev'!C109)*10000,""),"")</f>
        <v/>
      </c>
      <c r="D962" s="43">
        <f>IFERROR(IF(AND(ISNUMBER('Semi OpInc'!H109),ISNUMBER('Semi Rev'!H109),ISNUMBER('Semi OpInc'!D109),ISNUMBER('Semi Rev'!D109),'Semi Rev'!H109&gt;0,'Semi Rev'!D109&gt;0),('Semi OpInc'!H109/'Semi Rev'!H109-'Semi OpInc'!D109/'Semi Rev'!D109)*10000,""),"")</f>
        <v/>
      </c>
      <c r="E962" s="43">
        <f>IFERROR(IF(AND(ISNUMBER('Semi OpInc'!I109),ISNUMBER('Semi Rev'!I109),ISNUMBER('Semi OpInc'!E109),ISNUMBER('Semi Rev'!E109),'Semi Rev'!I109&gt;0,'Semi Rev'!E109&gt;0),('Semi OpInc'!I109/'Semi Rev'!I109-'Semi OpInc'!E109/'Semi Rev'!E109)*10000,""),"")</f>
        <v/>
      </c>
      <c r="F962" s="43">
        <f>IFERROR(IF(AND(ISNUMBER('Semi OpInc'!J109),ISNUMBER('Semi Rev'!J109),ISNUMBER('Semi OpInc'!F109),ISNUMBER('Semi Rev'!F109),'Semi Rev'!J109&gt;0,'Semi Rev'!F109&gt;0),('Semi OpInc'!J109/'Semi Rev'!J109-'Semi OpInc'!F109/'Semi Rev'!F109)*10000,""),"")</f>
        <v/>
      </c>
      <c r="G962" s="43">
        <f>IFERROR(IF(AND(ISNUMBER('Semi OpInc'!K109),ISNUMBER('Semi Rev'!K109),ISNUMBER('Semi OpInc'!G109),ISNUMBER('Semi Rev'!G109),'Semi Rev'!K109&gt;0,'Semi Rev'!G109&gt;0),('Semi OpInc'!K109/'Semi Rev'!K109-'Semi OpInc'!G109/'Semi Rev'!G109)*10000,""),"")</f>
        <v/>
      </c>
      <c r="H962" s="43">
        <f>IFERROR(IF(AND(ISNUMBER('Semi OpInc'!L109),ISNUMBER('Semi Rev'!L109),ISNUMBER('Semi OpInc'!H109),ISNUMBER('Semi Rev'!H109),'Semi Rev'!L109&gt;0,'Semi Rev'!H109&gt;0),('Semi OpInc'!L109/'Semi Rev'!L109-'Semi OpInc'!H109/'Semi Rev'!H109)*10000,""),"")</f>
        <v/>
      </c>
      <c r="I962" s="43">
        <f>IFERROR(IF(AND(ISNUMBER('Semi OpInc'!M109),ISNUMBER('Semi Rev'!M109),ISNUMBER('Semi OpInc'!I109),ISNUMBER('Semi Rev'!I109),'Semi Rev'!M109&gt;0,'Semi Rev'!I109&gt;0),('Semi OpInc'!M109/'Semi Rev'!M109-'Semi OpInc'!I109/'Semi Rev'!I109)*10000,""),"")</f>
        <v/>
      </c>
      <c r="J962" s="43">
        <f>IFERROR(IF(AND(ISNUMBER('Semi OpInc'!N109),ISNUMBER('Semi Rev'!N109),ISNUMBER('Semi OpInc'!J109),ISNUMBER('Semi Rev'!J109),'Semi Rev'!N109&gt;0,'Semi Rev'!J109&gt;0),('Semi OpInc'!N109/'Semi Rev'!N109-'Semi OpInc'!J109/'Semi Rev'!J109)*10000,""),"")</f>
        <v/>
      </c>
      <c r="K962" s="43">
        <f>IFERROR(IF(AND(ISNUMBER('Semi OpInc'!O109),ISNUMBER('Semi Rev'!O109),ISNUMBER('Semi OpInc'!K109),ISNUMBER('Semi Rev'!K109),'Semi Rev'!O109&gt;0,'Semi Rev'!K109&gt;0),('Semi OpInc'!O109/'Semi Rev'!O109-'Semi OpInc'!K109/'Semi Rev'!K109)*10000,""),"")</f>
        <v/>
      </c>
      <c r="L962" s="43">
        <f>IFERROR(IF(AND(ISNUMBER('Semi OpInc'!P109),ISNUMBER('Semi Rev'!P109),ISNUMBER('Semi OpInc'!L109),ISNUMBER('Semi Rev'!L109),'Semi Rev'!P109&gt;0,'Semi Rev'!L109&gt;0),('Semi OpInc'!P109/'Semi Rev'!P109-'Semi OpInc'!L109/'Semi Rev'!L109)*10000,""),"")</f>
        <v/>
      </c>
      <c r="M962" s="44">
        <f>IFERROR(IF(AND(ISNUMBER('Semi OpInc'!Q109),ISNUMBER('Semi Rev'!Q109),ISNUMBER('Semi OpInc'!M109),ISNUMBER('Semi Rev'!M109),'Semi Rev'!Q109&gt;0,'Semi Rev'!M109&gt;0),('Semi OpInc'!Q109/'Semi Rev'!Q109-'Semi OpInc'!M109/'Semi Rev'!M109)*10000,""),"")</f>
        <v/>
      </c>
      <c r="N962" s="44">
        <f>IFERROR(IF(AND(ISNUMBER('Semi OpInc'!R109),ISNUMBER('Semi Rev'!R109),ISNUMBER('Semi OpInc'!N109),ISNUMBER('Semi Rev'!N109),'Semi Rev'!R109&gt;0,'Semi Rev'!N109&gt;0),('Semi OpInc'!R109/'Semi Rev'!R109-'Semi OpInc'!N109/'Semi Rev'!N109)*10000,""),"")</f>
        <v/>
      </c>
    </row>
    <row r="963">
      <c r="A963" s="19">
        <f>'Semi Rev'!$A110</f>
        <v/>
      </c>
      <c r="B963" s="19">
        <f>'Semi Rev'!$B110</f>
        <v/>
      </c>
      <c r="C963" s="43">
        <f>IFERROR(IF(AND(ISNUMBER('Semi OpInc'!G110),ISNUMBER('Semi Rev'!G110),ISNUMBER('Semi OpInc'!C110),ISNUMBER('Semi Rev'!C110),'Semi Rev'!G110&gt;0,'Semi Rev'!C110&gt;0),('Semi OpInc'!G110/'Semi Rev'!G110-'Semi OpInc'!C110/'Semi Rev'!C110)*10000,""),"")</f>
        <v/>
      </c>
      <c r="D963" s="43">
        <f>IFERROR(IF(AND(ISNUMBER('Semi OpInc'!H110),ISNUMBER('Semi Rev'!H110),ISNUMBER('Semi OpInc'!D110),ISNUMBER('Semi Rev'!D110),'Semi Rev'!H110&gt;0,'Semi Rev'!D110&gt;0),('Semi OpInc'!H110/'Semi Rev'!H110-'Semi OpInc'!D110/'Semi Rev'!D110)*10000,""),"")</f>
        <v/>
      </c>
      <c r="E963" s="43">
        <f>IFERROR(IF(AND(ISNUMBER('Semi OpInc'!I110),ISNUMBER('Semi Rev'!I110),ISNUMBER('Semi OpInc'!E110),ISNUMBER('Semi Rev'!E110),'Semi Rev'!I110&gt;0,'Semi Rev'!E110&gt;0),('Semi OpInc'!I110/'Semi Rev'!I110-'Semi OpInc'!E110/'Semi Rev'!E110)*10000,""),"")</f>
        <v/>
      </c>
      <c r="F963" s="43">
        <f>IFERROR(IF(AND(ISNUMBER('Semi OpInc'!J110),ISNUMBER('Semi Rev'!J110),ISNUMBER('Semi OpInc'!F110),ISNUMBER('Semi Rev'!F110),'Semi Rev'!J110&gt;0,'Semi Rev'!F110&gt;0),('Semi OpInc'!J110/'Semi Rev'!J110-'Semi OpInc'!F110/'Semi Rev'!F110)*10000,""),"")</f>
        <v/>
      </c>
      <c r="G963" s="43">
        <f>IFERROR(IF(AND(ISNUMBER('Semi OpInc'!K110),ISNUMBER('Semi Rev'!K110),ISNUMBER('Semi OpInc'!G110),ISNUMBER('Semi Rev'!G110),'Semi Rev'!K110&gt;0,'Semi Rev'!G110&gt;0),('Semi OpInc'!K110/'Semi Rev'!K110-'Semi OpInc'!G110/'Semi Rev'!G110)*10000,""),"")</f>
        <v/>
      </c>
      <c r="H963" s="43">
        <f>IFERROR(IF(AND(ISNUMBER('Semi OpInc'!L110),ISNUMBER('Semi Rev'!L110),ISNUMBER('Semi OpInc'!H110),ISNUMBER('Semi Rev'!H110),'Semi Rev'!L110&gt;0,'Semi Rev'!H110&gt;0),('Semi OpInc'!L110/'Semi Rev'!L110-'Semi OpInc'!H110/'Semi Rev'!H110)*10000,""),"")</f>
        <v/>
      </c>
      <c r="I963" s="43">
        <f>IFERROR(IF(AND(ISNUMBER('Semi OpInc'!M110),ISNUMBER('Semi Rev'!M110),ISNUMBER('Semi OpInc'!I110),ISNUMBER('Semi Rev'!I110),'Semi Rev'!M110&gt;0,'Semi Rev'!I110&gt;0),('Semi OpInc'!M110/'Semi Rev'!M110-'Semi OpInc'!I110/'Semi Rev'!I110)*10000,""),"")</f>
        <v/>
      </c>
      <c r="J963" s="43">
        <f>IFERROR(IF(AND(ISNUMBER('Semi OpInc'!N110),ISNUMBER('Semi Rev'!N110),ISNUMBER('Semi OpInc'!J110),ISNUMBER('Semi Rev'!J110),'Semi Rev'!N110&gt;0,'Semi Rev'!J110&gt;0),('Semi OpInc'!N110/'Semi Rev'!N110-'Semi OpInc'!J110/'Semi Rev'!J110)*10000,""),"")</f>
        <v/>
      </c>
      <c r="K963" s="43">
        <f>IFERROR(IF(AND(ISNUMBER('Semi OpInc'!O110),ISNUMBER('Semi Rev'!O110),ISNUMBER('Semi OpInc'!K110),ISNUMBER('Semi Rev'!K110),'Semi Rev'!O110&gt;0,'Semi Rev'!K110&gt;0),('Semi OpInc'!O110/'Semi Rev'!O110-'Semi OpInc'!K110/'Semi Rev'!K110)*10000,""),"")</f>
        <v/>
      </c>
      <c r="L963" s="43">
        <f>IFERROR(IF(AND(ISNUMBER('Semi OpInc'!P110),ISNUMBER('Semi Rev'!P110),ISNUMBER('Semi OpInc'!L110),ISNUMBER('Semi Rev'!L110),'Semi Rev'!P110&gt;0,'Semi Rev'!L110&gt;0),('Semi OpInc'!P110/'Semi Rev'!P110-'Semi OpInc'!L110/'Semi Rev'!L110)*10000,""),"")</f>
        <v/>
      </c>
      <c r="M963" s="44">
        <f>IFERROR(IF(AND(ISNUMBER('Semi OpInc'!Q110),ISNUMBER('Semi Rev'!Q110),ISNUMBER('Semi OpInc'!M110),ISNUMBER('Semi Rev'!M110),'Semi Rev'!Q110&gt;0,'Semi Rev'!M110&gt;0),('Semi OpInc'!Q110/'Semi Rev'!Q110-'Semi OpInc'!M110/'Semi Rev'!M110)*10000,""),"")</f>
        <v/>
      </c>
      <c r="N963" s="44">
        <f>IFERROR(IF(AND(ISNUMBER('Semi OpInc'!R110),ISNUMBER('Semi Rev'!R110),ISNUMBER('Semi OpInc'!N110),ISNUMBER('Semi Rev'!N110),'Semi Rev'!R110&gt;0,'Semi Rev'!N110&gt;0),('Semi OpInc'!R110/'Semi Rev'!R110-'Semi OpInc'!N110/'Semi Rev'!N110)*10000,""),"")</f>
        <v/>
      </c>
    </row>
    <row r="964">
      <c r="A964" s="19">
        <f>'Semi Rev'!$A111</f>
        <v/>
      </c>
      <c r="B964" s="19">
        <f>'Semi Rev'!$B111</f>
        <v/>
      </c>
      <c r="C964" s="43">
        <f>IFERROR(IF(AND(ISNUMBER('Semi OpInc'!G111),ISNUMBER('Semi Rev'!G111),ISNUMBER('Semi OpInc'!C111),ISNUMBER('Semi Rev'!C111),'Semi Rev'!G111&gt;0,'Semi Rev'!C111&gt;0),('Semi OpInc'!G111/'Semi Rev'!G111-'Semi OpInc'!C111/'Semi Rev'!C111)*10000,""),"")</f>
        <v/>
      </c>
      <c r="D964" s="43">
        <f>IFERROR(IF(AND(ISNUMBER('Semi OpInc'!H111),ISNUMBER('Semi Rev'!H111),ISNUMBER('Semi OpInc'!D111),ISNUMBER('Semi Rev'!D111),'Semi Rev'!H111&gt;0,'Semi Rev'!D111&gt;0),('Semi OpInc'!H111/'Semi Rev'!H111-'Semi OpInc'!D111/'Semi Rev'!D111)*10000,""),"")</f>
        <v/>
      </c>
      <c r="E964" s="43">
        <f>IFERROR(IF(AND(ISNUMBER('Semi OpInc'!I111),ISNUMBER('Semi Rev'!I111),ISNUMBER('Semi OpInc'!E111),ISNUMBER('Semi Rev'!E111),'Semi Rev'!I111&gt;0,'Semi Rev'!E111&gt;0),('Semi OpInc'!I111/'Semi Rev'!I111-'Semi OpInc'!E111/'Semi Rev'!E111)*10000,""),"")</f>
        <v/>
      </c>
      <c r="F964" s="43">
        <f>IFERROR(IF(AND(ISNUMBER('Semi OpInc'!J111),ISNUMBER('Semi Rev'!J111),ISNUMBER('Semi OpInc'!F111),ISNUMBER('Semi Rev'!F111),'Semi Rev'!J111&gt;0,'Semi Rev'!F111&gt;0),('Semi OpInc'!J111/'Semi Rev'!J111-'Semi OpInc'!F111/'Semi Rev'!F111)*10000,""),"")</f>
        <v/>
      </c>
      <c r="G964" s="43">
        <f>IFERROR(IF(AND(ISNUMBER('Semi OpInc'!K111),ISNUMBER('Semi Rev'!K111),ISNUMBER('Semi OpInc'!G111),ISNUMBER('Semi Rev'!G111),'Semi Rev'!K111&gt;0,'Semi Rev'!G111&gt;0),('Semi OpInc'!K111/'Semi Rev'!K111-'Semi OpInc'!G111/'Semi Rev'!G111)*10000,""),"")</f>
        <v/>
      </c>
      <c r="H964" s="43">
        <f>IFERROR(IF(AND(ISNUMBER('Semi OpInc'!L111),ISNUMBER('Semi Rev'!L111),ISNUMBER('Semi OpInc'!H111),ISNUMBER('Semi Rev'!H111),'Semi Rev'!L111&gt;0,'Semi Rev'!H111&gt;0),('Semi OpInc'!L111/'Semi Rev'!L111-'Semi OpInc'!H111/'Semi Rev'!H111)*10000,""),"")</f>
        <v/>
      </c>
      <c r="I964" s="43">
        <f>IFERROR(IF(AND(ISNUMBER('Semi OpInc'!M111),ISNUMBER('Semi Rev'!M111),ISNUMBER('Semi OpInc'!I111),ISNUMBER('Semi Rev'!I111),'Semi Rev'!M111&gt;0,'Semi Rev'!I111&gt;0),('Semi OpInc'!M111/'Semi Rev'!M111-'Semi OpInc'!I111/'Semi Rev'!I111)*10000,""),"")</f>
        <v/>
      </c>
      <c r="J964" s="43">
        <f>IFERROR(IF(AND(ISNUMBER('Semi OpInc'!N111),ISNUMBER('Semi Rev'!N111),ISNUMBER('Semi OpInc'!J111),ISNUMBER('Semi Rev'!J111),'Semi Rev'!N111&gt;0,'Semi Rev'!J111&gt;0),('Semi OpInc'!N111/'Semi Rev'!N111-'Semi OpInc'!J111/'Semi Rev'!J111)*10000,""),"")</f>
        <v/>
      </c>
      <c r="K964" s="43">
        <f>IFERROR(IF(AND(ISNUMBER('Semi OpInc'!O111),ISNUMBER('Semi Rev'!O111),ISNUMBER('Semi OpInc'!K111),ISNUMBER('Semi Rev'!K111),'Semi Rev'!O111&gt;0,'Semi Rev'!K111&gt;0),('Semi OpInc'!O111/'Semi Rev'!O111-'Semi OpInc'!K111/'Semi Rev'!K111)*10000,""),"")</f>
        <v/>
      </c>
      <c r="L964" s="43">
        <f>IFERROR(IF(AND(ISNUMBER('Semi OpInc'!P111),ISNUMBER('Semi Rev'!P111),ISNUMBER('Semi OpInc'!L111),ISNUMBER('Semi Rev'!L111),'Semi Rev'!P111&gt;0,'Semi Rev'!L111&gt;0),('Semi OpInc'!P111/'Semi Rev'!P111-'Semi OpInc'!L111/'Semi Rev'!L111)*10000,""),"")</f>
        <v/>
      </c>
      <c r="M964" s="44">
        <f>IFERROR(IF(AND(ISNUMBER('Semi OpInc'!Q111),ISNUMBER('Semi Rev'!Q111),ISNUMBER('Semi OpInc'!M111),ISNUMBER('Semi Rev'!M111),'Semi Rev'!Q111&gt;0,'Semi Rev'!M111&gt;0),('Semi OpInc'!Q111/'Semi Rev'!Q111-'Semi OpInc'!M111/'Semi Rev'!M111)*10000,""),"")</f>
        <v/>
      </c>
      <c r="N964" s="44">
        <f>IFERROR(IF(AND(ISNUMBER('Semi OpInc'!R111),ISNUMBER('Semi Rev'!R111),ISNUMBER('Semi OpInc'!N111),ISNUMBER('Semi Rev'!N111),'Semi Rev'!R111&gt;0,'Semi Rev'!N111&gt;0),('Semi OpInc'!R111/'Semi Rev'!R111-'Semi OpInc'!N111/'Semi Rev'!N111)*10000,""),"")</f>
        <v/>
      </c>
    </row>
    <row r="965">
      <c r="A965" s="19">
        <f>'Semi Rev'!$A112</f>
        <v/>
      </c>
      <c r="B965" s="19">
        <f>'Semi Rev'!$B112</f>
        <v/>
      </c>
      <c r="C965" s="43">
        <f>IFERROR(IF(AND(ISNUMBER('Semi OpInc'!G112),ISNUMBER('Semi Rev'!G112),ISNUMBER('Semi OpInc'!C112),ISNUMBER('Semi Rev'!C112),'Semi Rev'!G112&gt;0,'Semi Rev'!C112&gt;0),('Semi OpInc'!G112/'Semi Rev'!G112-'Semi OpInc'!C112/'Semi Rev'!C112)*10000,""),"")</f>
        <v/>
      </c>
      <c r="D965" s="43">
        <f>IFERROR(IF(AND(ISNUMBER('Semi OpInc'!H112),ISNUMBER('Semi Rev'!H112),ISNUMBER('Semi OpInc'!D112),ISNUMBER('Semi Rev'!D112),'Semi Rev'!H112&gt;0,'Semi Rev'!D112&gt;0),('Semi OpInc'!H112/'Semi Rev'!H112-'Semi OpInc'!D112/'Semi Rev'!D112)*10000,""),"")</f>
        <v/>
      </c>
      <c r="E965" s="43">
        <f>IFERROR(IF(AND(ISNUMBER('Semi OpInc'!I112),ISNUMBER('Semi Rev'!I112),ISNUMBER('Semi OpInc'!E112),ISNUMBER('Semi Rev'!E112),'Semi Rev'!I112&gt;0,'Semi Rev'!E112&gt;0),('Semi OpInc'!I112/'Semi Rev'!I112-'Semi OpInc'!E112/'Semi Rev'!E112)*10000,""),"")</f>
        <v/>
      </c>
      <c r="F965" s="43">
        <f>IFERROR(IF(AND(ISNUMBER('Semi OpInc'!J112),ISNUMBER('Semi Rev'!J112),ISNUMBER('Semi OpInc'!F112),ISNUMBER('Semi Rev'!F112),'Semi Rev'!J112&gt;0,'Semi Rev'!F112&gt;0),('Semi OpInc'!J112/'Semi Rev'!J112-'Semi OpInc'!F112/'Semi Rev'!F112)*10000,""),"")</f>
        <v/>
      </c>
      <c r="G965" s="43">
        <f>IFERROR(IF(AND(ISNUMBER('Semi OpInc'!K112),ISNUMBER('Semi Rev'!K112),ISNUMBER('Semi OpInc'!G112),ISNUMBER('Semi Rev'!G112),'Semi Rev'!K112&gt;0,'Semi Rev'!G112&gt;0),('Semi OpInc'!K112/'Semi Rev'!K112-'Semi OpInc'!G112/'Semi Rev'!G112)*10000,""),"")</f>
        <v/>
      </c>
      <c r="H965" s="43">
        <f>IFERROR(IF(AND(ISNUMBER('Semi OpInc'!L112),ISNUMBER('Semi Rev'!L112),ISNUMBER('Semi OpInc'!H112),ISNUMBER('Semi Rev'!H112),'Semi Rev'!L112&gt;0,'Semi Rev'!H112&gt;0),('Semi OpInc'!L112/'Semi Rev'!L112-'Semi OpInc'!H112/'Semi Rev'!H112)*10000,""),"")</f>
        <v/>
      </c>
      <c r="I965" s="43">
        <f>IFERROR(IF(AND(ISNUMBER('Semi OpInc'!M112),ISNUMBER('Semi Rev'!M112),ISNUMBER('Semi OpInc'!I112),ISNUMBER('Semi Rev'!I112),'Semi Rev'!M112&gt;0,'Semi Rev'!I112&gt;0),('Semi OpInc'!M112/'Semi Rev'!M112-'Semi OpInc'!I112/'Semi Rev'!I112)*10000,""),"")</f>
        <v/>
      </c>
      <c r="J965" s="43">
        <f>IFERROR(IF(AND(ISNUMBER('Semi OpInc'!N112),ISNUMBER('Semi Rev'!N112),ISNUMBER('Semi OpInc'!J112),ISNUMBER('Semi Rev'!J112),'Semi Rev'!N112&gt;0,'Semi Rev'!J112&gt;0),('Semi OpInc'!N112/'Semi Rev'!N112-'Semi OpInc'!J112/'Semi Rev'!J112)*10000,""),"")</f>
        <v/>
      </c>
      <c r="K965" s="43">
        <f>IFERROR(IF(AND(ISNUMBER('Semi OpInc'!O112),ISNUMBER('Semi Rev'!O112),ISNUMBER('Semi OpInc'!K112),ISNUMBER('Semi Rev'!K112),'Semi Rev'!O112&gt;0,'Semi Rev'!K112&gt;0),('Semi OpInc'!O112/'Semi Rev'!O112-'Semi OpInc'!K112/'Semi Rev'!K112)*10000,""),"")</f>
        <v/>
      </c>
      <c r="L965" s="43">
        <f>IFERROR(IF(AND(ISNUMBER('Semi OpInc'!P112),ISNUMBER('Semi Rev'!P112),ISNUMBER('Semi OpInc'!L112),ISNUMBER('Semi Rev'!L112),'Semi Rev'!P112&gt;0,'Semi Rev'!L112&gt;0),('Semi OpInc'!P112/'Semi Rev'!P112-'Semi OpInc'!L112/'Semi Rev'!L112)*10000,""),"")</f>
        <v/>
      </c>
      <c r="M965" s="44">
        <f>IFERROR(IF(AND(ISNUMBER('Semi OpInc'!Q112),ISNUMBER('Semi Rev'!Q112),ISNUMBER('Semi OpInc'!M112),ISNUMBER('Semi Rev'!M112),'Semi Rev'!Q112&gt;0,'Semi Rev'!M112&gt;0),('Semi OpInc'!Q112/'Semi Rev'!Q112-'Semi OpInc'!M112/'Semi Rev'!M112)*10000,""),"")</f>
        <v/>
      </c>
      <c r="N965" s="44">
        <f>IFERROR(IF(AND(ISNUMBER('Semi OpInc'!R112),ISNUMBER('Semi Rev'!R112),ISNUMBER('Semi OpInc'!N112),ISNUMBER('Semi Rev'!N112),'Semi Rev'!R112&gt;0,'Semi Rev'!N112&gt;0),('Semi OpInc'!R112/'Semi Rev'!R112-'Semi OpInc'!N112/'Semi Rev'!N112)*10000,""),"")</f>
        <v/>
      </c>
    </row>
    <row r="966">
      <c r="A966" s="19">
        <f>'Semi Rev'!$A113</f>
        <v/>
      </c>
      <c r="B966" s="19">
        <f>'Semi Rev'!$B113</f>
        <v/>
      </c>
      <c r="C966" s="43">
        <f>IFERROR(IF(AND(ISNUMBER('Semi OpInc'!G113),ISNUMBER('Semi Rev'!G113),ISNUMBER('Semi OpInc'!C113),ISNUMBER('Semi Rev'!C113),'Semi Rev'!G113&gt;0,'Semi Rev'!C113&gt;0),('Semi OpInc'!G113/'Semi Rev'!G113-'Semi OpInc'!C113/'Semi Rev'!C113)*10000,""),"")</f>
        <v/>
      </c>
      <c r="D966" s="43">
        <f>IFERROR(IF(AND(ISNUMBER('Semi OpInc'!H113),ISNUMBER('Semi Rev'!H113),ISNUMBER('Semi OpInc'!D113),ISNUMBER('Semi Rev'!D113),'Semi Rev'!H113&gt;0,'Semi Rev'!D113&gt;0),('Semi OpInc'!H113/'Semi Rev'!H113-'Semi OpInc'!D113/'Semi Rev'!D113)*10000,""),"")</f>
        <v/>
      </c>
      <c r="E966" s="43">
        <f>IFERROR(IF(AND(ISNUMBER('Semi OpInc'!I113),ISNUMBER('Semi Rev'!I113),ISNUMBER('Semi OpInc'!E113),ISNUMBER('Semi Rev'!E113),'Semi Rev'!I113&gt;0,'Semi Rev'!E113&gt;0),('Semi OpInc'!I113/'Semi Rev'!I113-'Semi OpInc'!E113/'Semi Rev'!E113)*10000,""),"")</f>
        <v/>
      </c>
      <c r="F966" s="43">
        <f>IFERROR(IF(AND(ISNUMBER('Semi OpInc'!J113),ISNUMBER('Semi Rev'!J113),ISNUMBER('Semi OpInc'!F113),ISNUMBER('Semi Rev'!F113),'Semi Rev'!J113&gt;0,'Semi Rev'!F113&gt;0),('Semi OpInc'!J113/'Semi Rev'!J113-'Semi OpInc'!F113/'Semi Rev'!F113)*10000,""),"")</f>
        <v/>
      </c>
      <c r="G966" s="43">
        <f>IFERROR(IF(AND(ISNUMBER('Semi OpInc'!K113),ISNUMBER('Semi Rev'!K113),ISNUMBER('Semi OpInc'!G113),ISNUMBER('Semi Rev'!G113),'Semi Rev'!K113&gt;0,'Semi Rev'!G113&gt;0),('Semi OpInc'!K113/'Semi Rev'!K113-'Semi OpInc'!G113/'Semi Rev'!G113)*10000,""),"")</f>
        <v/>
      </c>
      <c r="H966" s="43">
        <f>IFERROR(IF(AND(ISNUMBER('Semi OpInc'!L113),ISNUMBER('Semi Rev'!L113),ISNUMBER('Semi OpInc'!H113),ISNUMBER('Semi Rev'!H113),'Semi Rev'!L113&gt;0,'Semi Rev'!H113&gt;0),('Semi OpInc'!L113/'Semi Rev'!L113-'Semi OpInc'!H113/'Semi Rev'!H113)*10000,""),"")</f>
        <v/>
      </c>
      <c r="I966" s="43">
        <f>IFERROR(IF(AND(ISNUMBER('Semi OpInc'!M113),ISNUMBER('Semi Rev'!M113),ISNUMBER('Semi OpInc'!I113),ISNUMBER('Semi Rev'!I113),'Semi Rev'!M113&gt;0,'Semi Rev'!I113&gt;0),('Semi OpInc'!M113/'Semi Rev'!M113-'Semi OpInc'!I113/'Semi Rev'!I113)*10000,""),"")</f>
        <v/>
      </c>
      <c r="J966" s="43">
        <f>IFERROR(IF(AND(ISNUMBER('Semi OpInc'!N113),ISNUMBER('Semi Rev'!N113),ISNUMBER('Semi OpInc'!J113),ISNUMBER('Semi Rev'!J113),'Semi Rev'!N113&gt;0,'Semi Rev'!J113&gt;0),('Semi OpInc'!N113/'Semi Rev'!N113-'Semi OpInc'!J113/'Semi Rev'!J113)*10000,""),"")</f>
        <v/>
      </c>
      <c r="K966" s="43">
        <f>IFERROR(IF(AND(ISNUMBER('Semi OpInc'!O113),ISNUMBER('Semi Rev'!O113),ISNUMBER('Semi OpInc'!K113),ISNUMBER('Semi Rev'!K113),'Semi Rev'!O113&gt;0,'Semi Rev'!K113&gt;0),('Semi OpInc'!O113/'Semi Rev'!O113-'Semi OpInc'!K113/'Semi Rev'!K113)*10000,""),"")</f>
        <v/>
      </c>
      <c r="L966" s="43">
        <f>IFERROR(IF(AND(ISNUMBER('Semi OpInc'!P113),ISNUMBER('Semi Rev'!P113),ISNUMBER('Semi OpInc'!L113),ISNUMBER('Semi Rev'!L113),'Semi Rev'!P113&gt;0,'Semi Rev'!L113&gt;0),('Semi OpInc'!P113/'Semi Rev'!P113-'Semi OpInc'!L113/'Semi Rev'!L113)*10000,""),"")</f>
        <v/>
      </c>
      <c r="M966" s="44">
        <f>IFERROR(IF(AND(ISNUMBER('Semi OpInc'!Q113),ISNUMBER('Semi Rev'!Q113),ISNUMBER('Semi OpInc'!M113),ISNUMBER('Semi Rev'!M113),'Semi Rev'!Q113&gt;0,'Semi Rev'!M113&gt;0),('Semi OpInc'!Q113/'Semi Rev'!Q113-'Semi OpInc'!M113/'Semi Rev'!M113)*10000,""),"")</f>
        <v/>
      </c>
      <c r="N966" s="44">
        <f>IFERROR(IF(AND(ISNUMBER('Semi OpInc'!R113),ISNUMBER('Semi Rev'!R113),ISNUMBER('Semi OpInc'!N113),ISNUMBER('Semi Rev'!N113),'Semi Rev'!R113&gt;0,'Semi Rev'!N113&gt;0),('Semi OpInc'!R113/'Semi Rev'!R113-'Semi OpInc'!N113/'Semi Rev'!N113)*10000,""),"")</f>
        <v/>
      </c>
    </row>
    <row r="967">
      <c r="A967" s="19">
        <f>'Semi Rev'!$A114</f>
        <v/>
      </c>
      <c r="B967" s="19">
        <f>'Semi Rev'!$B114</f>
        <v/>
      </c>
      <c r="C967" s="43">
        <f>IFERROR(IF(AND(ISNUMBER('Semi OpInc'!G114),ISNUMBER('Semi Rev'!G114),ISNUMBER('Semi OpInc'!C114),ISNUMBER('Semi Rev'!C114),'Semi Rev'!G114&gt;0,'Semi Rev'!C114&gt;0),('Semi OpInc'!G114/'Semi Rev'!G114-'Semi OpInc'!C114/'Semi Rev'!C114)*10000,""),"")</f>
        <v/>
      </c>
      <c r="D967" s="43">
        <f>IFERROR(IF(AND(ISNUMBER('Semi OpInc'!H114),ISNUMBER('Semi Rev'!H114),ISNUMBER('Semi OpInc'!D114),ISNUMBER('Semi Rev'!D114),'Semi Rev'!H114&gt;0,'Semi Rev'!D114&gt;0),('Semi OpInc'!H114/'Semi Rev'!H114-'Semi OpInc'!D114/'Semi Rev'!D114)*10000,""),"")</f>
        <v/>
      </c>
      <c r="E967" s="43">
        <f>IFERROR(IF(AND(ISNUMBER('Semi OpInc'!I114),ISNUMBER('Semi Rev'!I114),ISNUMBER('Semi OpInc'!E114),ISNUMBER('Semi Rev'!E114),'Semi Rev'!I114&gt;0,'Semi Rev'!E114&gt;0),('Semi OpInc'!I114/'Semi Rev'!I114-'Semi OpInc'!E114/'Semi Rev'!E114)*10000,""),"")</f>
        <v/>
      </c>
      <c r="F967" s="43">
        <f>IFERROR(IF(AND(ISNUMBER('Semi OpInc'!J114),ISNUMBER('Semi Rev'!J114),ISNUMBER('Semi OpInc'!F114),ISNUMBER('Semi Rev'!F114),'Semi Rev'!J114&gt;0,'Semi Rev'!F114&gt;0),('Semi OpInc'!J114/'Semi Rev'!J114-'Semi OpInc'!F114/'Semi Rev'!F114)*10000,""),"")</f>
        <v/>
      </c>
      <c r="G967" s="43">
        <f>IFERROR(IF(AND(ISNUMBER('Semi OpInc'!K114),ISNUMBER('Semi Rev'!K114),ISNUMBER('Semi OpInc'!G114),ISNUMBER('Semi Rev'!G114),'Semi Rev'!K114&gt;0,'Semi Rev'!G114&gt;0),('Semi OpInc'!K114/'Semi Rev'!K114-'Semi OpInc'!G114/'Semi Rev'!G114)*10000,""),"")</f>
        <v/>
      </c>
      <c r="H967" s="43">
        <f>IFERROR(IF(AND(ISNUMBER('Semi OpInc'!L114),ISNUMBER('Semi Rev'!L114),ISNUMBER('Semi OpInc'!H114),ISNUMBER('Semi Rev'!H114),'Semi Rev'!L114&gt;0,'Semi Rev'!H114&gt;0),('Semi OpInc'!L114/'Semi Rev'!L114-'Semi OpInc'!H114/'Semi Rev'!H114)*10000,""),"")</f>
        <v/>
      </c>
      <c r="I967" s="43">
        <f>IFERROR(IF(AND(ISNUMBER('Semi OpInc'!M114),ISNUMBER('Semi Rev'!M114),ISNUMBER('Semi OpInc'!I114),ISNUMBER('Semi Rev'!I114),'Semi Rev'!M114&gt;0,'Semi Rev'!I114&gt;0),('Semi OpInc'!M114/'Semi Rev'!M114-'Semi OpInc'!I114/'Semi Rev'!I114)*10000,""),"")</f>
        <v/>
      </c>
      <c r="J967" s="43">
        <f>IFERROR(IF(AND(ISNUMBER('Semi OpInc'!N114),ISNUMBER('Semi Rev'!N114),ISNUMBER('Semi OpInc'!J114),ISNUMBER('Semi Rev'!J114),'Semi Rev'!N114&gt;0,'Semi Rev'!J114&gt;0),('Semi OpInc'!N114/'Semi Rev'!N114-'Semi OpInc'!J114/'Semi Rev'!J114)*10000,""),"")</f>
        <v/>
      </c>
      <c r="K967" s="43">
        <f>IFERROR(IF(AND(ISNUMBER('Semi OpInc'!O114),ISNUMBER('Semi Rev'!O114),ISNUMBER('Semi OpInc'!K114),ISNUMBER('Semi Rev'!K114),'Semi Rev'!O114&gt;0,'Semi Rev'!K114&gt;0),('Semi OpInc'!O114/'Semi Rev'!O114-'Semi OpInc'!K114/'Semi Rev'!K114)*10000,""),"")</f>
        <v/>
      </c>
      <c r="L967" s="43">
        <f>IFERROR(IF(AND(ISNUMBER('Semi OpInc'!P114),ISNUMBER('Semi Rev'!P114),ISNUMBER('Semi OpInc'!L114),ISNUMBER('Semi Rev'!L114),'Semi Rev'!P114&gt;0,'Semi Rev'!L114&gt;0),('Semi OpInc'!P114/'Semi Rev'!P114-'Semi OpInc'!L114/'Semi Rev'!L114)*10000,""),"")</f>
        <v/>
      </c>
      <c r="M967" s="44">
        <f>IFERROR(IF(AND(ISNUMBER('Semi OpInc'!Q114),ISNUMBER('Semi Rev'!Q114),ISNUMBER('Semi OpInc'!M114),ISNUMBER('Semi Rev'!M114),'Semi Rev'!Q114&gt;0,'Semi Rev'!M114&gt;0),('Semi OpInc'!Q114/'Semi Rev'!Q114-'Semi OpInc'!M114/'Semi Rev'!M114)*10000,""),"")</f>
        <v/>
      </c>
      <c r="N967" s="44">
        <f>IFERROR(IF(AND(ISNUMBER('Semi OpInc'!R114),ISNUMBER('Semi Rev'!R114),ISNUMBER('Semi OpInc'!N114),ISNUMBER('Semi Rev'!N114),'Semi Rev'!R114&gt;0,'Semi Rev'!N114&gt;0),('Semi OpInc'!R114/'Semi Rev'!R114-'Semi OpInc'!N114/'Semi Rev'!N114)*10000,""),"")</f>
        <v/>
      </c>
    </row>
    <row r="968">
      <c r="A968" s="19">
        <f>'Semi Rev'!$A115</f>
        <v/>
      </c>
      <c r="B968" s="19">
        <f>'Semi Rev'!$B115</f>
        <v/>
      </c>
      <c r="C968" s="43">
        <f>IFERROR(IF(AND(ISNUMBER('Semi OpInc'!G115),ISNUMBER('Semi Rev'!G115),ISNUMBER('Semi OpInc'!C115),ISNUMBER('Semi Rev'!C115),'Semi Rev'!G115&gt;0,'Semi Rev'!C115&gt;0),('Semi OpInc'!G115/'Semi Rev'!G115-'Semi OpInc'!C115/'Semi Rev'!C115)*10000,""),"")</f>
        <v/>
      </c>
      <c r="D968" s="43">
        <f>IFERROR(IF(AND(ISNUMBER('Semi OpInc'!H115),ISNUMBER('Semi Rev'!H115),ISNUMBER('Semi OpInc'!D115),ISNUMBER('Semi Rev'!D115),'Semi Rev'!H115&gt;0,'Semi Rev'!D115&gt;0),('Semi OpInc'!H115/'Semi Rev'!H115-'Semi OpInc'!D115/'Semi Rev'!D115)*10000,""),"")</f>
        <v/>
      </c>
      <c r="E968" s="43">
        <f>IFERROR(IF(AND(ISNUMBER('Semi OpInc'!I115),ISNUMBER('Semi Rev'!I115),ISNUMBER('Semi OpInc'!E115),ISNUMBER('Semi Rev'!E115),'Semi Rev'!I115&gt;0,'Semi Rev'!E115&gt;0),('Semi OpInc'!I115/'Semi Rev'!I115-'Semi OpInc'!E115/'Semi Rev'!E115)*10000,""),"")</f>
        <v/>
      </c>
      <c r="F968" s="43">
        <f>IFERROR(IF(AND(ISNUMBER('Semi OpInc'!J115),ISNUMBER('Semi Rev'!J115),ISNUMBER('Semi OpInc'!F115),ISNUMBER('Semi Rev'!F115),'Semi Rev'!J115&gt;0,'Semi Rev'!F115&gt;0),('Semi OpInc'!J115/'Semi Rev'!J115-'Semi OpInc'!F115/'Semi Rev'!F115)*10000,""),"")</f>
        <v/>
      </c>
      <c r="G968" s="43">
        <f>IFERROR(IF(AND(ISNUMBER('Semi OpInc'!K115),ISNUMBER('Semi Rev'!K115),ISNUMBER('Semi OpInc'!G115),ISNUMBER('Semi Rev'!G115),'Semi Rev'!K115&gt;0,'Semi Rev'!G115&gt;0),('Semi OpInc'!K115/'Semi Rev'!K115-'Semi OpInc'!G115/'Semi Rev'!G115)*10000,""),"")</f>
        <v/>
      </c>
      <c r="H968" s="43">
        <f>IFERROR(IF(AND(ISNUMBER('Semi OpInc'!L115),ISNUMBER('Semi Rev'!L115),ISNUMBER('Semi OpInc'!H115),ISNUMBER('Semi Rev'!H115),'Semi Rev'!L115&gt;0,'Semi Rev'!H115&gt;0),('Semi OpInc'!L115/'Semi Rev'!L115-'Semi OpInc'!H115/'Semi Rev'!H115)*10000,""),"")</f>
        <v/>
      </c>
      <c r="I968" s="43">
        <f>IFERROR(IF(AND(ISNUMBER('Semi OpInc'!M115),ISNUMBER('Semi Rev'!M115),ISNUMBER('Semi OpInc'!I115),ISNUMBER('Semi Rev'!I115),'Semi Rev'!M115&gt;0,'Semi Rev'!I115&gt;0),('Semi OpInc'!M115/'Semi Rev'!M115-'Semi OpInc'!I115/'Semi Rev'!I115)*10000,""),"")</f>
        <v/>
      </c>
      <c r="J968" s="43">
        <f>IFERROR(IF(AND(ISNUMBER('Semi OpInc'!N115),ISNUMBER('Semi Rev'!N115),ISNUMBER('Semi OpInc'!J115),ISNUMBER('Semi Rev'!J115),'Semi Rev'!N115&gt;0,'Semi Rev'!J115&gt;0),('Semi OpInc'!N115/'Semi Rev'!N115-'Semi OpInc'!J115/'Semi Rev'!J115)*10000,""),"")</f>
        <v/>
      </c>
      <c r="K968" s="43">
        <f>IFERROR(IF(AND(ISNUMBER('Semi OpInc'!O115),ISNUMBER('Semi Rev'!O115),ISNUMBER('Semi OpInc'!K115),ISNUMBER('Semi Rev'!K115),'Semi Rev'!O115&gt;0,'Semi Rev'!K115&gt;0),('Semi OpInc'!O115/'Semi Rev'!O115-'Semi OpInc'!K115/'Semi Rev'!K115)*10000,""),"")</f>
        <v/>
      </c>
      <c r="L968" s="43">
        <f>IFERROR(IF(AND(ISNUMBER('Semi OpInc'!P115),ISNUMBER('Semi Rev'!P115),ISNUMBER('Semi OpInc'!L115),ISNUMBER('Semi Rev'!L115),'Semi Rev'!P115&gt;0,'Semi Rev'!L115&gt;0),('Semi OpInc'!P115/'Semi Rev'!P115-'Semi OpInc'!L115/'Semi Rev'!L115)*10000,""),"")</f>
        <v/>
      </c>
      <c r="M968" s="44">
        <f>IFERROR(IF(AND(ISNUMBER('Semi OpInc'!Q115),ISNUMBER('Semi Rev'!Q115),ISNUMBER('Semi OpInc'!M115),ISNUMBER('Semi Rev'!M115),'Semi Rev'!Q115&gt;0,'Semi Rev'!M115&gt;0),('Semi OpInc'!Q115/'Semi Rev'!Q115-'Semi OpInc'!M115/'Semi Rev'!M115)*10000,""),"")</f>
        <v/>
      </c>
      <c r="N968" s="44">
        <f>IFERROR(IF(AND(ISNUMBER('Semi OpInc'!R115),ISNUMBER('Semi Rev'!R115),ISNUMBER('Semi OpInc'!N115),ISNUMBER('Semi Rev'!N115),'Semi Rev'!R115&gt;0,'Semi Rev'!N115&gt;0),('Semi OpInc'!R115/'Semi Rev'!R115-'Semi OpInc'!N115/'Semi Rev'!N115)*10000,""),"")</f>
        <v/>
      </c>
    </row>
    <row r="969">
      <c r="A969" s="19">
        <f>'Semi Rev'!$A116</f>
        <v/>
      </c>
      <c r="B969" s="19">
        <f>'Semi Rev'!$B116</f>
        <v/>
      </c>
      <c r="C969" s="43">
        <f>IFERROR(IF(AND(ISNUMBER('Semi OpInc'!G116),ISNUMBER('Semi Rev'!G116),ISNUMBER('Semi OpInc'!C116),ISNUMBER('Semi Rev'!C116),'Semi Rev'!G116&gt;0,'Semi Rev'!C116&gt;0),('Semi OpInc'!G116/'Semi Rev'!G116-'Semi OpInc'!C116/'Semi Rev'!C116)*10000,""),"")</f>
        <v/>
      </c>
      <c r="D969" s="43">
        <f>IFERROR(IF(AND(ISNUMBER('Semi OpInc'!H116),ISNUMBER('Semi Rev'!H116),ISNUMBER('Semi OpInc'!D116),ISNUMBER('Semi Rev'!D116),'Semi Rev'!H116&gt;0,'Semi Rev'!D116&gt;0),('Semi OpInc'!H116/'Semi Rev'!H116-'Semi OpInc'!D116/'Semi Rev'!D116)*10000,""),"")</f>
        <v/>
      </c>
      <c r="E969" s="43">
        <f>IFERROR(IF(AND(ISNUMBER('Semi OpInc'!I116),ISNUMBER('Semi Rev'!I116),ISNUMBER('Semi OpInc'!E116),ISNUMBER('Semi Rev'!E116),'Semi Rev'!I116&gt;0,'Semi Rev'!E116&gt;0),('Semi OpInc'!I116/'Semi Rev'!I116-'Semi OpInc'!E116/'Semi Rev'!E116)*10000,""),"")</f>
        <v/>
      </c>
      <c r="F969" s="43">
        <f>IFERROR(IF(AND(ISNUMBER('Semi OpInc'!J116),ISNUMBER('Semi Rev'!J116),ISNUMBER('Semi OpInc'!F116),ISNUMBER('Semi Rev'!F116),'Semi Rev'!J116&gt;0,'Semi Rev'!F116&gt;0),('Semi OpInc'!J116/'Semi Rev'!J116-'Semi OpInc'!F116/'Semi Rev'!F116)*10000,""),"")</f>
        <v/>
      </c>
      <c r="G969" s="43">
        <f>IFERROR(IF(AND(ISNUMBER('Semi OpInc'!K116),ISNUMBER('Semi Rev'!K116),ISNUMBER('Semi OpInc'!G116),ISNUMBER('Semi Rev'!G116),'Semi Rev'!K116&gt;0,'Semi Rev'!G116&gt;0),('Semi OpInc'!K116/'Semi Rev'!K116-'Semi OpInc'!G116/'Semi Rev'!G116)*10000,""),"")</f>
        <v/>
      </c>
      <c r="H969" s="43">
        <f>IFERROR(IF(AND(ISNUMBER('Semi OpInc'!L116),ISNUMBER('Semi Rev'!L116),ISNUMBER('Semi OpInc'!H116),ISNUMBER('Semi Rev'!H116),'Semi Rev'!L116&gt;0,'Semi Rev'!H116&gt;0),('Semi OpInc'!L116/'Semi Rev'!L116-'Semi OpInc'!H116/'Semi Rev'!H116)*10000,""),"")</f>
        <v/>
      </c>
      <c r="I969" s="43">
        <f>IFERROR(IF(AND(ISNUMBER('Semi OpInc'!M116),ISNUMBER('Semi Rev'!M116),ISNUMBER('Semi OpInc'!I116),ISNUMBER('Semi Rev'!I116),'Semi Rev'!M116&gt;0,'Semi Rev'!I116&gt;0),('Semi OpInc'!M116/'Semi Rev'!M116-'Semi OpInc'!I116/'Semi Rev'!I116)*10000,""),"")</f>
        <v/>
      </c>
      <c r="J969" s="43">
        <f>IFERROR(IF(AND(ISNUMBER('Semi OpInc'!N116),ISNUMBER('Semi Rev'!N116),ISNUMBER('Semi OpInc'!J116),ISNUMBER('Semi Rev'!J116),'Semi Rev'!N116&gt;0,'Semi Rev'!J116&gt;0),('Semi OpInc'!N116/'Semi Rev'!N116-'Semi OpInc'!J116/'Semi Rev'!J116)*10000,""),"")</f>
        <v/>
      </c>
      <c r="K969" s="43">
        <f>IFERROR(IF(AND(ISNUMBER('Semi OpInc'!O116),ISNUMBER('Semi Rev'!O116),ISNUMBER('Semi OpInc'!K116),ISNUMBER('Semi Rev'!K116),'Semi Rev'!O116&gt;0,'Semi Rev'!K116&gt;0),('Semi OpInc'!O116/'Semi Rev'!O116-'Semi OpInc'!K116/'Semi Rev'!K116)*10000,""),"")</f>
        <v/>
      </c>
      <c r="L969" s="43">
        <f>IFERROR(IF(AND(ISNUMBER('Semi OpInc'!P116),ISNUMBER('Semi Rev'!P116),ISNUMBER('Semi OpInc'!L116),ISNUMBER('Semi Rev'!L116),'Semi Rev'!P116&gt;0,'Semi Rev'!L116&gt;0),('Semi OpInc'!P116/'Semi Rev'!P116-'Semi OpInc'!L116/'Semi Rev'!L116)*10000,""),"")</f>
        <v/>
      </c>
      <c r="M969" s="44">
        <f>IFERROR(IF(AND(ISNUMBER('Semi OpInc'!Q116),ISNUMBER('Semi Rev'!Q116),ISNUMBER('Semi OpInc'!M116),ISNUMBER('Semi Rev'!M116),'Semi Rev'!Q116&gt;0,'Semi Rev'!M116&gt;0),('Semi OpInc'!Q116/'Semi Rev'!Q116-'Semi OpInc'!M116/'Semi Rev'!M116)*10000,""),"")</f>
        <v/>
      </c>
      <c r="N969" s="44">
        <f>IFERROR(IF(AND(ISNUMBER('Semi OpInc'!R116),ISNUMBER('Semi Rev'!R116),ISNUMBER('Semi OpInc'!N116),ISNUMBER('Semi Rev'!N116),'Semi Rev'!R116&gt;0,'Semi Rev'!N116&gt;0),('Semi OpInc'!R116/'Semi Rev'!R116-'Semi OpInc'!N116/'Semi Rev'!N116)*10000,""),"")</f>
        <v/>
      </c>
    </row>
    <row r="970">
      <c r="A970" s="19">
        <f>'Semi Rev'!$A117</f>
        <v/>
      </c>
      <c r="B970" s="19">
        <f>'Semi Rev'!$B117</f>
        <v/>
      </c>
      <c r="C970" s="43">
        <f>IFERROR(IF(AND(ISNUMBER('Semi OpInc'!G117),ISNUMBER('Semi Rev'!G117),ISNUMBER('Semi OpInc'!C117),ISNUMBER('Semi Rev'!C117),'Semi Rev'!G117&gt;0,'Semi Rev'!C117&gt;0),('Semi OpInc'!G117/'Semi Rev'!G117-'Semi OpInc'!C117/'Semi Rev'!C117)*10000,""),"")</f>
        <v/>
      </c>
      <c r="D970" s="43">
        <f>IFERROR(IF(AND(ISNUMBER('Semi OpInc'!H117),ISNUMBER('Semi Rev'!H117),ISNUMBER('Semi OpInc'!D117),ISNUMBER('Semi Rev'!D117),'Semi Rev'!H117&gt;0,'Semi Rev'!D117&gt;0),('Semi OpInc'!H117/'Semi Rev'!H117-'Semi OpInc'!D117/'Semi Rev'!D117)*10000,""),"")</f>
        <v/>
      </c>
      <c r="E970" s="43">
        <f>IFERROR(IF(AND(ISNUMBER('Semi OpInc'!I117),ISNUMBER('Semi Rev'!I117),ISNUMBER('Semi OpInc'!E117),ISNUMBER('Semi Rev'!E117),'Semi Rev'!I117&gt;0,'Semi Rev'!E117&gt;0),('Semi OpInc'!I117/'Semi Rev'!I117-'Semi OpInc'!E117/'Semi Rev'!E117)*10000,""),"")</f>
        <v/>
      </c>
      <c r="F970" s="43">
        <f>IFERROR(IF(AND(ISNUMBER('Semi OpInc'!J117),ISNUMBER('Semi Rev'!J117),ISNUMBER('Semi OpInc'!F117),ISNUMBER('Semi Rev'!F117),'Semi Rev'!J117&gt;0,'Semi Rev'!F117&gt;0),('Semi OpInc'!J117/'Semi Rev'!J117-'Semi OpInc'!F117/'Semi Rev'!F117)*10000,""),"")</f>
        <v/>
      </c>
      <c r="G970" s="43">
        <f>IFERROR(IF(AND(ISNUMBER('Semi OpInc'!K117),ISNUMBER('Semi Rev'!K117),ISNUMBER('Semi OpInc'!G117),ISNUMBER('Semi Rev'!G117),'Semi Rev'!K117&gt;0,'Semi Rev'!G117&gt;0),('Semi OpInc'!K117/'Semi Rev'!K117-'Semi OpInc'!G117/'Semi Rev'!G117)*10000,""),"")</f>
        <v/>
      </c>
      <c r="H970" s="43">
        <f>IFERROR(IF(AND(ISNUMBER('Semi OpInc'!L117),ISNUMBER('Semi Rev'!L117),ISNUMBER('Semi OpInc'!H117),ISNUMBER('Semi Rev'!H117),'Semi Rev'!L117&gt;0,'Semi Rev'!H117&gt;0),('Semi OpInc'!L117/'Semi Rev'!L117-'Semi OpInc'!H117/'Semi Rev'!H117)*10000,""),"")</f>
        <v/>
      </c>
      <c r="I970" s="43">
        <f>IFERROR(IF(AND(ISNUMBER('Semi OpInc'!M117),ISNUMBER('Semi Rev'!M117),ISNUMBER('Semi OpInc'!I117),ISNUMBER('Semi Rev'!I117),'Semi Rev'!M117&gt;0,'Semi Rev'!I117&gt;0),('Semi OpInc'!M117/'Semi Rev'!M117-'Semi OpInc'!I117/'Semi Rev'!I117)*10000,""),"")</f>
        <v/>
      </c>
      <c r="J970" s="43">
        <f>IFERROR(IF(AND(ISNUMBER('Semi OpInc'!N117),ISNUMBER('Semi Rev'!N117),ISNUMBER('Semi OpInc'!J117),ISNUMBER('Semi Rev'!J117),'Semi Rev'!N117&gt;0,'Semi Rev'!J117&gt;0),('Semi OpInc'!N117/'Semi Rev'!N117-'Semi OpInc'!J117/'Semi Rev'!J117)*10000,""),"")</f>
        <v/>
      </c>
      <c r="K970" s="43">
        <f>IFERROR(IF(AND(ISNUMBER('Semi OpInc'!O117),ISNUMBER('Semi Rev'!O117),ISNUMBER('Semi OpInc'!K117),ISNUMBER('Semi Rev'!K117),'Semi Rev'!O117&gt;0,'Semi Rev'!K117&gt;0),('Semi OpInc'!O117/'Semi Rev'!O117-'Semi OpInc'!K117/'Semi Rev'!K117)*10000,""),"")</f>
        <v/>
      </c>
      <c r="L970" s="43">
        <f>IFERROR(IF(AND(ISNUMBER('Semi OpInc'!P117),ISNUMBER('Semi Rev'!P117),ISNUMBER('Semi OpInc'!L117),ISNUMBER('Semi Rev'!L117),'Semi Rev'!P117&gt;0,'Semi Rev'!L117&gt;0),('Semi OpInc'!P117/'Semi Rev'!P117-'Semi OpInc'!L117/'Semi Rev'!L117)*10000,""),"")</f>
        <v/>
      </c>
      <c r="M970" s="44">
        <f>IFERROR(IF(AND(ISNUMBER('Semi OpInc'!Q117),ISNUMBER('Semi Rev'!Q117),ISNUMBER('Semi OpInc'!M117),ISNUMBER('Semi Rev'!M117),'Semi Rev'!Q117&gt;0,'Semi Rev'!M117&gt;0),('Semi OpInc'!Q117/'Semi Rev'!Q117-'Semi OpInc'!M117/'Semi Rev'!M117)*10000,""),"")</f>
        <v/>
      </c>
      <c r="N970" s="44">
        <f>IFERROR(IF(AND(ISNUMBER('Semi OpInc'!R117),ISNUMBER('Semi Rev'!R117),ISNUMBER('Semi OpInc'!N117),ISNUMBER('Semi Rev'!N117),'Semi Rev'!R117&gt;0,'Semi Rev'!N117&gt;0),('Semi OpInc'!R117/'Semi Rev'!R117-'Semi OpInc'!N117/'Semi Rev'!N117)*10000,""),"")</f>
        <v/>
      </c>
    </row>
    <row r="971">
      <c r="A971" s="19">
        <f>'Semi Rev'!$A118</f>
        <v/>
      </c>
      <c r="B971" s="19">
        <f>'Semi Rev'!$B118</f>
        <v/>
      </c>
      <c r="C971" s="43">
        <f>IFERROR(IF(AND(ISNUMBER('Semi OpInc'!G118),ISNUMBER('Semi Rev'!G118),ISNUMBER('Semi OpInc'!C118),ISNUMBER('Semi Rev'!C118),'Semi Rev'!G118&gt;0,'Semi Rev'!C118&gt;0),('Semi OpInc'!G118/'Semi Rev'!G118-'Semi OpInc'!C118/'Semi Rev'!C118)*10000,""),"")</f>
        <v/>
      </c>
      <c r="D971" s="43">
        <f>IFERROR(IF(AND(ISNUMBER('Semi OpInc'!H118),ISNUMBER('Semi Rev'!H118),ISNUMBER('Semi OpInc'!D118),ISNUMBER('Semi Rev'!D118),'Semi Rev'!H118&gt;0,'Semi Rev'!D118&gt;0),('Semi OpInc'!H118/'Semi Rev'!H118-'Semi OpInc'!D118/'Semi Rev'!D118)*10000,""),"")</f>
        <v/>
      </c>
      <c r="E971" s="43">
        <f>IFERROR(IF(AND(ISNUMBER('Semi OpInc'!I118),ISNUMBER('Semi Rev'!I118),ISNUMBER('Semi OpInc'!E118),ISNUMBER('Semi Rev'!E118),'Semi Rev'!I118&gt;0,'Semi Rev'!E118&gt;0),('Semi OpInc'!I118/'Semi Rev'!I118-'Semi OpInc'!E118/'Semi Rev'!E118)*10000,""),"")</f>
        <v/>
      </c>
      <c r="F971" s="43">
        <f>IFERROR(IF(AND(ISNUMBER('Semi OpInc'!J118),ISNUMBER('Semi Rev'!J118),ISNUMBER('Semi OpInc'!F118),ISNUMBER('Semi Rev'!F118),'Semi Rev'!J118&gt;0,'Semi Rev'!F118&gt;0),('Semi OpInc'!J118/'Semi Rev'!J118-'Semi OpInc'!F118/'Semi Rev'!F118)*10000,""),"")</f>
        <v/>
      </c>
      <c r="G971" s="43">
        <f>IFERROR(IF(AND(ISNUMBER('Semi OpInc'!K118),ISNUMBER('Semi Rev'!K118),ISNUMBER('Semi OpInc'!G118),ISNUMBER('Semi Rev'!G118),'Semi Rev'!K118&gt;0,'Semi Rev'!G118&gt;0),('Semi OpInc'!K118/'Semi Rev'!K118-'Semi OpInc'!G118/'Semi Rev'!G118)*10000,""),"")</f>
        <v/>
      </c>
      <c r="H971" s="43">
        <f>IFERROR(IF(AND(ISNUMBER('Semi OpInc'!L118),ISNUMBER('Semi Rev'!L118),ISNUMBER('Semi OpInc'!H118),ISNUMBER('Semi Rev'!H118),'Semi Rev'!L118&gt;0,'Semi Rev'!H118&gt;0),('Semi OpInc'!L118/'Semi Rev'!L118-'Semi OpInc'!H118/'Semi Rev'!H118)*10000,""),"")</f>
        <v/>
      </c>
      <c r="I971" s="43">
        <f>IFERROR(IF(AND(ISNUMBER('Semi OpInc'!M118),ISNUMBER('Semi Rev'!M118),ISNUMBER('Semi OpInc'!I118),ISNUMBER('Semi Rev'!I118),'Semi Rev'!M118&gt;0,'Semi Rev'!I118&gt;0),('Semi OpInc'!M118/'Semi Rev'!M118-'Semi OpInc'!I118/'Semi Rev'!I118)*10000,""),"")</f>
        <v/>
      </c>
      <c r="J971" s="43">
        <f>IFERROR(IF(AND(ISNUMBER('Semi OpInc'!N118),ISNUMBER('Semi Rev'!N118),ISNUMBER('Semi OpInc'!J118),ISNUMBER('Semi Rev'!J118),'Semi Rev'!N118&gt;0,'Semi Rev'!J118&gt;0),('Semi OpInc'!N118/'Semi Rev'!N118-'Semi OpInc'!J118/'Semi Rev'!J118)*10000,""),"")</f>
        <v/>
      </c>
      <c r="K971" s="43">
        <f>IFERROR(IF(AND(ISNUMBER('Semi OpInc'!O118),ISNUMBER('Semi Rev'!O118),ISNUMBER('Semi OpInc'!K118),ISNUMBER('Semi Rev'!K118),'Semi Rev'!O118&gt;0,'Semi Rev'!K118&gt;0),('Semi OpInc'!O118/'Semi Rev'!O118-'Semi OpInc'!K118/'Semi Rev'!K118)*10000,""),"")</f>
        <v/>
      </c>
      <c r="L971" s="43">
        <f>IFERROR(IF(AND(ISNUMBER('Semi OpInc'!P118),ISNUMBER('Semi Rev'!P118),ISNUMBER('Semi OpInc'!L118),ISNUMBER('Semi Rev'!L118),'Semi Rev'!P118&gt;0,'Semi Rev'!L118&gt;0),('Semi OpInc'!P118/'Semi Rev'!P118-'Semi OpInc'!L118/'Semi Rev'!L118)*10000,""),"")</f>
        <v/>
      </c>
      <c r="M971" s="44">
        <f>IFERROR(IF(AND(ISNUMBER('Semi OpInc'!Q118),ISNUMBER('Semi Rev'!Q118),ISNUMBER('Semi OpInc'!M118),ISNUMBER('Semi Rev'!M118),'Semi Rev'!Q118&gt;0,'Semi Rev'!M118&gt;0),('Semi OpInc'!Q118/'Semi Rev'!Q118-'Semi OpInc'!M118/'Semi Rev'!M118)*10000,""),"")</f>
        <v/>
      </c>
      <c r="N971" s="44">
        <f>IFERROR(IF(AND(ISNUMBER('Semi OpInc'!R118),ISNUMBER('Semi Rev'!R118),ISNUMBER('Semi OpInc'!N118),ISNUMBER('Semi Rev'!N118),'Semi Rev'!R118&gt;0,'Semi Rev'!N118&gt;0),('Semi OpInc'!R118/'Semi Rev'!R118-'Semi OpInc'!N118/'Semi Rev'!N118)*10000,""),"")</f>
        <v/>
      </c>
    </row>
    <row r="972">
      <c r="A972" s="19">
        <f>'Semi Rev'!$A119</f>
        <v/>
      </c>
      <c r="B972" s="19">
        <f>'Semi Rev'!$B119</f>
        <v/>
      </c>
      <c r="C972" s="43">
        <f>IFERROR(IF(AND(ISNUMBER('Semi OpInc'!G119),ISNUMBER('Semi Rev'!G119),ISNUMBER('Semi OpInc'!C119),ISNUMBER('Semi Rev'!C119),'Semi Rev'!G119&gt;0,'Semi Rev'!C119&gt;0),('Semi OpInc'!G119/'Semi Rev'!G119-'Semi OpInc'!C119/'Semi Rev'!C119)*10000,""),"")</f>
        <v/>
      </c>
      <c r="D972" s="43">
        <f>IFERROR(IF(AND(ISNUMBER('Semi OpInc'!H119),ISNUMBER('Semi Rev'!H119),ISNUMBER('Semi OpInc'!D119),ISNUMBER('Semi Rev'!D119),'Semi Rev'!H119&gt;0,'Semi Rev'!D119&gt;0),('Semi OpInc'!H119/'Semi Rev'!H119-'Semi OpInc'!D119/'Semi Rev'!D119)*10000,""),"")</f>
        <v/>
      </c>
      <c r="E972" s="43">
        <f>IFERROR(IF(AND(ISNUMBER('Semi OpInc'!I119),ISNUMBER('Semi Rev'!I119),ISNUMBER('Semi OpInc'!E119),ISNUMBER('Semi Rev'!E119),'Semi Rev'!I119&gt;0,'Semi Rev'!E119&gt;0),('Semi OpInc'!I119/'Semi Rev'!I119-'Semi OpInc'!E119/'Semi Rev'!E119)*10000,""),"")</f>
        <v/>
      </c>
      <c r="F972" s="43">
        <f>IFERROR(IF(AND(ISNUMBER('Semi OpInc'!J119),ISNUMBER('Semi Rev'!J119),ISNUMBER('Semi OpInc'!F119),ISNUMBER('Semi Rev'!F119),'Semi Rev'!J119&gt;0,'Semi Rev'!F119&gt;0),('Semi OpInc'!J119/'Semi Rev'!J119-'Semi OpInc'!F119/'Semi Rev'!F119)*10000,""),"")</f>
        <v/>
      </c>
      <c r="G972" s="43">
        <f>IFERROR(IF(AND(ISNUMBER('Semi OpInc'!K119),ISNUMBER('Semi Rev'!K119),ISNUMBER('Semi OpInc'!G119),ISNUMBER('Semi Rev'!G119),'Semi Rev'!K119&gt;0,'Semi Rev'!G119&gt;0),('Semi OpInc'!K119/'Semi Rev'!K119-'Semi OpInc'!G119/'Semi Rev'!G119)*10000,""),"")</f>
        <v/>
      </c>
      <c r="H972" s="43">
        <f>IFERROR(IF(AND(ISNUMBER('Semi OpInc'!L119),ISNUMBER('Semi Rev'!L119),ISNUMBER('Semi OpInc'!H119),ISNUMBER('Semi Rev'!H119),'Semi Rev'!L119&gt;0,'Semi Rev'!H119&gt;0),('Semi OpInc'!L119/'Semi Rev'!L119-'Semi OpInc'!H119/'Semi Rev'!H119)*10000,""),"")</f>
        <v/>
      </c>
      <c r="I972" s="43">
        <f>IFERROR(IF(AND(ISNUMBER('Semi OpInc'!M119),ISNUMBER('Semi Rev'!M119),ISNUMBER('Semi OpInc'!I119),ISNUMBER('Semi Rev'!I119),'Semi Rev'!M119&gt;0,'Semi Rev'!I119&gt;0),('Semi OpInc'!M119/'Semi Rev'!M119-'Semi OpInc'!I119/'Semi Rev'!I119)*10000,""),"")</f>
        <v/>
      </c>
      <c r="J972" s="43">
        <f>IFERROR(IF(AND(ISNUMBER('Semi OpInc'!N119),ISNUMBER('Semi Rev'!N119),ISNUMBER('Semi OpInc'!J119),ISNUMBER('Semi Rev'!J119),'Semi Rev'!N119&gt;0,'Semi Rev'!J119&gt;0),('Semi OpInc'!N119/'Semi Rev'!N119-'Semi OpInc'!J119/'Semi Rev'!J119)*10000,""),"")</f>
        <v/>
      </c>
      <c r="K972" s="43">
        <f>IFERROR(IF(AND(ISNUMBER('Semi OpInc'!O119),ISNUMBER('Semi Rev'!O119),ISNUMBER('Semi OpInc'!K119),ISNUMBER('Semi Rev'!K119),'Semi Rev'!O119&gt;0,'Semi Rev'!K119&gt;0),('Semi OpInc'!O119/'Semi Rev'!O119-'Semi OpInc'!K119/'Semi Rev'!K119)*10000,""),"")</f>
        <v/>
      </c>
      <c r="L972" s="43">
        <f>IFERROR(IF(AND(ISNUMBER('Semi OpInc'!P119),ISNUMBER('Semi Rev'!P119),ISNUMBER('Semi OpInc'!L119),ISNUMBER('Semi Rev'!L119),'Semi Rev'!P119&gt;0,'Semi Rev'!L119&gt;0),('Semi OpInc'!P119/'Semi Rev'!P119-'Semi OpInc'!L119/'Semi Rev'!L119)*10000,""),"")</f>
        <v/>
      </c>
      <c r="M972" s="44">
        <f>IFERROR(IF(AND(ISNUMBER('Semi OpInc'!Q119),ISNUMBER('Semi Rev'!Q119),ISNUMBER('Semi OpInc'!M119),ISNUMBER('Semi Rev'!M119),'Semi Rev'!Q119&gt;0,'Semi Rev'!M119&gt;0),('Semi OpInc'!Q119/'Semi Rev'!Q119-'Semi OpInc'!M119/'Semi Rev'!M119)*10000,""),"")</f>
        <v/>
      </c>
      <c r="N972" s="44">
        <f>IFERROR(IF(AND(ISNUMBER('Semi OpInc'!R119),ISNUMBER('Semi Rev'!R119),ISNUMBER('Semi OpInc'!N119),ISNUMBER('Semi Rev'!N119),'Semi Rev'!R119&gt;0,'Semi Rev'!N119&gt;0),('Semi OpInc'!R119/'Semi Rev'!R119-'Semi OpInc'!N119/'Semi Rev'!N119)*10000,""),"")</f>
        <v/>
      </c>
    </row>
    <row r="973">
      <c r="A973" s="19">
        <f>'Semi Rev'!$A120</f>
        <v/>
      </c>
      <c r="B973" s="19">
        <f>'Semi Rev'!$B120</f>
        <v/>
      </c>
      <c r="C973" s="43">
        <f>IFERROR(IF(AND(ISNUMBER('Semi OpInc'!G120),ISNUMBER('Semi Rev'!G120),ISNUMBER('Semi OpInc'!C120),ISNUMBER('Semi Rev'!C120),'Semi Rev'!G120&gt;0,'Semi Rev'!C120&gt;0),('Semi OpInc'!G120/'Semi Rev'!G120-'Semi OpInc'!C120/'Semi Rev'!C120)*10000,""),"")</f>
        <v/>
      </c>
      <c r="D973" s="43">
        <f>IFERROR(IF(AND(ISNUMBER('Semi OpInc'!H120),ISNUMBER('Semi Rev'!H120),ISNUMBER('Semi OpInc'!D120),ISNUMBER('Semi Rev'!D120),'Semi Rev'!H120&gt;0,'Semi Rev'!D120&gt;0),('Semi OpInc'!H120/'Semi Rev'!H120-'Semi OpInc'!D120/'Semi Rev'!D120)*10000,""),"")</f>
        <v/>
      </c>
      <c r="E973" s="43">
        <f>IFERROR(IF(AND(ISNUMBER('Semi OpInc'!I120),ISNUMBER('Semi Rev'!I120),ISNUMBER('Semi OpInc'!E120),ISNUMBER('Semi Rev'!E120),'Semi Rev'!I120&gt;0,'Semi Rev'!E120&gt;0),('Semi OpInc'!I120/'Semi Rev'!I120-'Semi OpInc'!E120/'Semi Rev'!E120)*10000,""),"")</f>
        <v/>
      </c>
      <c r="F973" s="43">
        <f>IFERROR(IF(AND(ISNUMBER('Semi OpInc'!J120),ISNUMBER('Semi Rev'!J120),ISNUMBER('Semi OpInc'!F120),ISNUMBER('Semi Rev'!F120),'Semi Rev'!J120&gt;0,'Semi Rev'!F120&gt;0),('Semi OpInc'!J120/'Semi Rev'!J120-'Semi OpInc'!F120/'Semi Rev'!F120)*10000,""),"")</f>
        <v/>
      </c>
      <c r="G973" s="43">
        <f>IFERROR(IF(AND(ISNUMBER('Semi OpInc'!K120),ISNUMBER('Semi Rev'!K120),ISNUMBER('Semi OpInc'!G120),ISNUMBER('Semi Rev'!G120),'Semi Rev'!K120&gt;0,'Semi Rev'!G120&gt;0),('Semi OpInc'!K120/'Semi Rev'!K120-'Semi OpInc'!G120/'Semi Rev'!G120)*10000,""),"")</f>
        <v/>
      </c>
      <c r="H973" s="43">
        <f>IFERROR(IF(AND(ISNUMBER('Semi OpInc'!L120),ISNUMBER('Semi Rev'!L120),ISNUMBER('Semi OpInc'!H120),ISNUMBER('Semi Rev'!H120),'Semi Rev'!L120&gt;0,'Semi Rev'!H120&gt;0),('Semi OpInc'!L120/'Semi Rev'!L120-'Semi OpInc'!H120/'Semi Rev'!H120)*10000,""),"")</f>
        <v/>
      </c>
      <c r="I973" s="43">
        <f>IFERROR(IF(AND(ISNUMBER('Semi OpInc'!M120),ISNUMBER('Semi Rev'!M120),ISNUMBER('Semi OpInc'!I120),ISNUMBER('Semi Rev'!I120),'Semi Rev'!M120&gt;0,'Semi Rev'!I120&gt;0),('Semi OpInc'!M120/'Semi Rev'!M120-'Semi OpInc'!I120/'Semi Rev'!I120)*10000,""),"")</f>
        <v/>
      </c>
      <c r="J973" s="43">
        <f>IFERROR(IF(AND(ISNUMBER('Semi OpInc'!N120),ISNUMBER('Semi Rev'!N120),ISNUMBER('Semi OpInc'!J120),ISNUMBER('Semi Rev'!J120),'Semi Rev'!N120&gt;0,'Semi Rev'!J120&gt;0),('Semi OpInc'!N120/'Semi Rev'!N120-'Semi OpInc'!J120/'Semi Rev'!J120)*10000,""),"")</f>
        <v/>
      </c>
      <c r="K973" s="43">
        <f>IFERROR(IF(AND(ISNUMBER('Semi OpInc'!O120),ISNUMBER('Semi Rev'!O120),ISNUMBER('Semi OpInc'!K120),ISNUMBER('Semi Rev'!K120),'Semi Rev'!O120&gt;0,'Semi Rev'!K120&gt;0),('Semi OpInc'!O120/'Semi Rev'!O120-'Semi OpInc'!K120/'Semi Rev'!K120)*10000,""),"")</f>
        <v/>
      </c>
      <c r="L973" s="43">
        <f>IFERROR(IF(AND(ISNUMBER('Semi OpInc'!P120),ISNUMBER('Semi Rev'!P120),ISNUMBER('Semi OpInc'!L120),ISNUMBER('Semi Rev'!L120),'Semi Rev'!P120&gt;0,'Semi Rev'!L120&gt;0),('Semi OpInc'!P120/'Semi Rev'!P120-'Semi OpInc'!L120/'Semi Rev'!L120)*10000,""),"")</f>
        <v/>
      </c>
      <c r="M973" s="44">
        <f>IFERROR(IF(AND(ISNUMBER('Semi OpInc'!Q120),ISNUMBER('Semi Rev'!Q120),ISNUMBER('Semi OpInc'!M120),ISNUMBER('Semi Rev'!M120),'Semi Rev'!Q120&gt;0,'Semi Rev'!M120&gt;0),('Semi OpInc'!Q120/'Semi Rev'!Q120-'Semi OpInc'!M120/'Semi Rev'!M120)*10000,""),"")</f>
        <v/>
      </c>
      <c r="N973" s="44">
        <f>IFERROR(IF(AND(ISNUMBER('Semi OpInc'!R120),ISNUMBER('Semi Rev'!R120),ISNUMBER('Semi OpInc'!N120),ISNUMBER('Semi Rev'!N120),'Semi Rev'!R120&gt;0,'Semi Rev'!N120&gt;0),('Semi OpInc'!R120/'Semi Rev'!R120-'Semi OpInc'!N120/'Semi Rev'!N120)*10000,""),"")</f>
        <v/>
      </c>
    </row>
    <row r="974">
      <c r="A974" s="19">
        <f>'Semi Rev'!$A121</f>
        <v/>
      </c>
      <c r="B974" s="19">
        <f>'Semi Rev'!$B121</f>
        <v/>
      </c>
      <c r="C974" s="43">
        <f>IFERROR(IF(AND(ISNUMBER('Semi OpInc'!G121),ISNUMBER('Semi Rev'!G121),ISNUMBER('Semi OpInc'!C121),ISNUMBER('Semi Rev'!C121),'Semi Rev'!G121&gt;0,'Semi Rev'!C121&gt;0),('Semi OpInc'!G121/'Semi Rev'!G121-'Semi OpInc'!C121/'Semi Rev'!C121)*10000,""),"")</f>
        <v/>
      </c>
      <c r="D974" s="43">
        <f>IFERROR(IF(AND(ISNUMBER('Semi OpInc'!H121),ISNUMBER('Semi Rev'!H121),ISNUMBER('Semi OpInc'!D121),ISNUMBER('Semi Rev'!D121),'Semi Rev'!H121&gt;0,'Semi Rev'!D121&gt;0),('Semi OpInc'!H121/'Semi Rev'!H121-'Semi OpInc'!D121/'Semi Rev'!D121)*10000,""),"")</f>
        <v/>
      </c>
      <c r="E974" s="43">
        <f>IFERROR(IF(AND(ISNUMBER('Semi OpInc'!I121),ISNUMBER('Semi Rev'!I121),ISNUMBER('Semi OpInc'!E121),ISNUMBER('Semi Rev'!E121),'Semi Rev'!I121&gt;0,'Semi Rev'!E121&gt;0),('Semi OpInc'!I121/'Semi Rev'!I121-'Semi OpInc'!E121/'Semi Rev'!E121)*10000,""),"")</f>
        <v/>
      </c>
      <c r="F974" s="43">
        <f>IFERROR(IF(AND(ISNUMBER('Semi OpInc'!J121),ISNUMBER('Semi Rev'!J121),ISNUMBER('Semi OpInc'!F121),ISNUMBER('Semi Rev'!F121),'Semi Rev'!J121&gt;0,'Semi Rev'!F121&gt;0),('Semi OpInc'!J121/'Semi Rev'!J121-'Semi OpInc'!F121/'Semi Rev'!F121)*10000,""),"")</f>
        <v/>
      </c>
      <c r="G974" s="43">
        <f>IFERROR(IF(AND(ISNUMBER('Semi OpInc'!K121),ISNUMBER('Semi Rev'!K121),ISNUMBER('Semi OpInc'!G121),ISNUMBER('Semi Rev'!G121),'Semi Rev'!K121&gt;0,'Semi Rev'!G121&gt;0),('Semi OpInc'!K121/'Semi Rev'!K121-'Semi OpInc'!G121/'Semi Rev'!G121)*10000,""),"")</f>
        <v/>
      </c>
      <c r="H974" s="43">
        <f>IFERROR(IF(AND(ISNUMBER('Semi OpInc'!L121),ISNUMBER('Semi Rev'!L121),ISNUMBER('Semi OpInc'!H121),ISNUMBER('Semi Rev'!H121),'Semi Rev'!L121&gt;0,'Semi Rev'!H121&gt;0),('Semi OpInc'!L121/'Semi Rev'!L121-'Semi OpInc'!H121/'Semi Rev'!H121)*10000,""),"")</f>
        <v/>
      </c>
      <c r="I974" s="43">
        <f>IFERROR(IF(AND(ISNUMBER('Semi OpInc'!M121),ISNUMBER('Semi Rev'!M121),ISNUMBER('Semi OpInc'!I121),ISNUMBER('Semi Rev'!I121),'Semi Rev'!M121&gt;0,'Semi Rev'!I121&gt;0),('Semi OpInc'!M121/'Semi Rev'!M121-'Semi OpInc'!I121/'Semi Rev'!I121)*10000,""),"")</f>
        <v/>
      </c>
      <c r="J974" s="43">
        <f>IFERROR(IF(AND(ISNUMBER('Semi OpInc'!N121),ISNUMBER('Semi Rev'!N121),ISNUMBER('Semi OpInc'!J121),ISNUMBER('Semi Rev'!J121),'Semi Rev'!N121&gt;0,'Semi Rev'!J121&gt;0),('Semi OpInc'!N121/'Semi Rev'!N121-'Semi OpInc'!J121/'Semi Rev'!J121)*10000,""),"")</f>
        <v/>
      </c>
      <c r="K974" s="43">
        <f>IFERROR(IF(AND(ISNUMBER('Semi OpInc'!O121),ISNUMBER('Semi Rev'!O121),ISNUMBER('Semi OpInc'!K121),ISNUMBER('Semi Rev'!K121),'Semi Rev'!O121&gt;0,'Semi Rev'!K121&gt;0),('Semi OpInc'!O121/'Semi Rev'!O121-'Semi OpInc'!K121/'Semi Rev'!K121)*10000,""),"")</f>
        <v/>
      </c>
      <c r="L974" s="43">
        <f>IFERROR(IF(AND(ISNUMBER('Semi OpInc'!P121),ISNUMBER('Semi Rev'!P121),ISNUMBER('Semi OpInc'!L121),ISNUMBER('Semi Rev'!L121),'Semi Rev'!P121&gt;0,'Semi Rev'!L121&gt;0),('Semi OpInc'!P121/'Semi Rev'!P121-'Semi OpInc'!L121/'Semi Rev'!L121)*10000,""),"")</f>
        <v/>
      </c>
      <c r="M974" s="44">
        <f>IFERROR(IF(AND(ISNUMBER('Semi OpInc'!Q121),ISNUMBER('Semi Rev'!Q121),ISNUMBER('Semi OpInc'!M121),ISNUMBER('Semi Rev'!M121),'Semi Rev'!Q121&gt;0,'Semi Rev'!M121&gt;0),('Semi OpInc'!Q121/'Semi Rev'!Q121-'Semi OpInc'!M121/'Semi Rev'!M121)*10000,""),"")</f>
        <v/>
      </c>
      <c r="N974" s="44">
        <f>IFERROR(IF(AND(ISNUMBER('Semi OpInc'!R121),ISNUMBER('Semi Rev'!R121),ISNUMBER('Semi OpInc'!N121),ISNUMBER('Semi Rev'!N121),'Semi Rev'!R121&gt;0,'Semi Rev'!N121&gt;0),('Semi OpInc'!R121/'Semi Rev'!R121-'Semi OpInc'!N121/'Semi Rev'!N121)*10000,""),"")</f>
        <v/>
      </c>
    </row>
    <row r="975">
      <c r="A975" s="19">
        <f>'Semi Rev'!$A122</f>
        <v/>
      </c>
      <c r="B975" s="19">
        <f>'Semi Rev'!$B122</f>
        <v/>
      </c>
      <c r="C975" s="43">
        <f>IFERROR(IF(AND(ISNUMBER('Semi OpInc'!G122),ISNUMBER('Semi Rev'!G122),ISNUMBER('Semi OpInc'!C122),ISNUMBER('Semi Rev'!C122),'Semi Rev'!G122&gt;0,'Semi Rev'!C122&gt;0),('Semi OpInc'!G122/'Semi Rev'!G122-'Semi OpInc'!C122/'Semi Rev'!C122)*10000,""),"")</f>
        <v/>
      </c>
      <c r="D975" s="43">
        <f>IFERROR(IF(AND(ISNUMBER('Semi OpInc'!H122),ISNUMBER('Semi Rev'!H122),ISNUMBER('Semi OpInc'!D122),ISNUMBER('Semi Rev'!D122),'Semi Rev'!H122&gt;0,'Semi Rev'!D122&gt;0),('Semi OpInc'!H122/'Semi Rev'!H122-'Semi OpInc'!D122/'Semi Rev'!D122)*10000,""),"")</f>
        <v/>
      </c>
      <c r="E975" s="43">
        <f>IFERROR(IF(AND(ISNUMBER('Semi OpInc'!I122),ISNUMBER('Semi Rev'!I122),ISNUMBER('Semi OpInc'!E122),ISNUMBER('Semi Rev'!E122),'Semi Rev'!I122&gt;0,'Semi Rev'!E122&gt;0),('Semi OpInc'!I122/'Semi Rev'!I122-'Semi OpInc'!E122/'Semi Rev'!E122)*10000,""),"")</f>
        <v/>
      </c>
      <c r="F975" s="43">
        <f>IFERROR(IF(AND(ISNUMBER('Semi OpInc'!J122),ISNUMBER('Semi Rev'!J122),ISNUMBER('Semi OpInc'!F122),ISNUMBER('Semi Rev'!F122),'Semi Rev'!J122&gt;0,'Semi Rev'!F122&gt;0),('Semi OpInc'!J122/'Semi Rev'!J122-'Semi OpInc'!F122/'Semi Rev'!F122)*10000,""),"")</f>
        <v/>
      </c>
      <c r="G975" s="43">
        <f>IFERROR(IF(AND(ISNUMBER('Semi OpInc'!K122),ISNUMBER('Semi Rev'!K122),ISNUMBER('Semi OpInc'!G122),ISNUMBER('Semi Rev'!G122),'Semi Rev'!K122&gt;0,'Semi Rev'!G122&gt;0),('Semi OpInc'!K122/'Semi Rev'!K122-'Semi OpInc'!G122/'Semi Rev'!G122)*10000,""),"")</f>
        <v/>
      </c>
      <c r="H975" s="43">
        <f>IFERROR(IF(AND(ISNUMBER('Semi OpInc'!L122),ISNUMBER('Semi Rev'!L122),ISNUMBER('Semi OpInc'!H122),ISNUMBER('Semi Rev'!H122),'Semi Rev'!L122&gt;0,'Semi Rev'!H122&gt;0),('Semi OpInc'!L122/'Semi Rev'!L122-'Semi OpInc'!H122/'Semi Rev'!H122)*10000,""),"")</f>
        <v/>
      </c>
      <c r="I975" s="43">
        <f>IFERROR(IF(AND(ISNUMBER('Semi OpInc'!M122),ISNUMBER('Semi Rev'!M122),ISNUMBER('Semi OpInc'!I122),ISNUMBER('Semi Rev'!I122),'Semi Rev'!M122&gt;0,'Semi Rev'!I122&gt;0),('Semi OpInc'!M122/'Semi Rev'!M122-'Semi OpInc'!I122/'Semi Rev'!I122)*10000,""),"")</f>
        <v/>
      </c>
      <c r="J975" s="43">
        <f>IFERROR(IF(AND(ISNUMBER('Semi OpInc'!N122),ISNUMBER('Semi Rev'!N122),ISNUMBER('Semi OpInc'!J122),ISNUMBER('Semi Rev'!J122),'Semi Rev'!N122&gt;0,'Semi Rev'!J122&gt;0),('Semi OpInc'!N122/'Semi Rev'!N122-'Semi OpInc'!J122/'Semi Rev'!J122)*10000,""),"")</f>
        <v/>
      </c>
      <c r="K975" s="43">
        <f>IFERROR(IF(AND(ISNUMBER('Semi OpInc'!O122),ISNUMBER('Semi Rev'!O122),ISNUMBER('Semi OpInc'!K122),ISNUMBER('Semi Rev'!K122),'Semi Rev'!O122&gt;0,'Semi Rev'!K122&gt;0),('Semi OpInc'!O122/'Semi Rev'!O122-'Semi OpInc'!K122/'Semi Rev'!K122)*10000,""),"")</f>
        <v/>
      </c>
      <c r="L975" s="43">
        <f>IFERROR(IF(AND(ISNUMBER('Semi OpInc'!P122),ISNUMBER('Semi Rev'!P122),ISNUMBER('Semi OpInc'!L122),ISNUMBER('Semi Rev'!L122),'Semi Rev'!P122&gt;0,'Semi Rev'!L122&gt;0),('Semi OpInc'!P122/'Semi Rev'!P122-'Semi OpInc'!L122/'Semi Rev'!L122)*10000,""),"")</f>
        <v/>
      </c>
      <c r="M975" s="44">
        <f>IFERROR(IF(AND(ISNUMBER('Semi OpInc'!Q122),ISNUMBER('Semi Rev'!Q122),ISNUMBER('Semi OpInc'!M122),ISNUMBER('Semi Rev'!M122),'Semi Rev'!Q122&gt;0,'Semi Rev'!M122&gt;0),('Semi OpInc'!Q122/'Semi Rev'!Q122-'Semi OpInc'!M122/'Semi Rev'!M122)*10000,""),"")</f>
        <v/>
      </c>
      <c r="N975" s="44">
        <f>IFERROR(IF(AND(ISNUMBER('Semi OpInc'!R122),ISNUMBER('Semi Rev'!R122),ISNUMBER('Semi OpInc'!N122),ISNUMBER('Semi Rev'!N122),'Semi Rev'!R122&gt;0,'Semi Rev'!N122&gt;0),('Semi OpInc'!R122/'Semi Rev'!R122-'Semi OpInc'!N122/'Semi Rev'!N122)*10000,""),"")</f>
        <v/>
      </c>
    </row>
    <row r="976">
      <c r="A976" s="19">
        <f>'Semi Rev'!$A123</f>
        <v/>
      </c>
      <c r="B976" s="19">
        <f>'Semi Rev'!$B123</f>
        <v/>
      </c>
      <c r="C976" s="43">
        <f>IFERROR(IF(AND(ISNUMBER('Semi OpInc'!G123),ISNUMBER('Semi Rev'!G123),ISNUMBER('Semi OpInc'!C123),ISNUMBER('Semi Rev'!C123),'Semi Rev'!G123&gt;0,'Semi Rev'!C123&gt;0),('Semi OpInc'!G123/'Semi Rev'!G123-'Semi OpInc'!C123/'Semi Rev'!C123)*10000,""),"")</f>
        <v/>
      </c>
      <c r="D976" s="43">
        <f>IFERROR(IF(AND(ISNUMBER('Semi OpInc'!H123),ISNUMBER('Semi Rev'!H123),ISNUMBER('Semi OpInc'!D123),ISNUMBER('Semi Rev'!D123),'Semi Rev'!H123&gt;0,'Semi Rev'!D123&gt;0),('Semi OpInc'!H123/'Semi Rev'!H123-'Semi OpInc'!D123/'Semi Rev'!D123)*10000,""),"")</f>
        <v/>
      </c>
      <c r="E976" s="43">
        <f>IFERROR(IF(AND(ISNUMBER('Semi OpInc'!I123),ISNUMBER('Semi Rev'!I123),ISNUMBER('Semi OpInc'!E123),ISNUMBER('Semi Rev'!E123),'Semi Rev'!I123&gt;0,'Semi Rev'!E123&gt;0),('Semi OpInc'!I123/'Semi Rev'!I123-'Semi OpInc'!E123/'Semi Rev'!E123)*10000,""),"")</f>
        <v/>
      </c>
      <c r="F976" s="43">
        <f>IFERROR(IF(AND(ISNUMBER('Semi OpInc'!J123),ISNUMBER('Semi Rev'!J123),ISNUMBER('Semi OpInc'!F123),ISNUMBER('Semi Rev'!F123),'Semi Rev'!J123&gt;0,'Semi Rev'!F123&gt;0),('Semi OpInc'!J123/'Semi Rev'!J123-'Semi OpInc'!F123/'Semi Rev'!F123)*10000,""),"")</f>
        <v/>
      </c>
      <c r="G976" s="43">
        <f>IFERROR(IF(AND(ISNUMBER('Semi OpInc'!K123),ISNUMBER('Semi Rev'!K123),ISNUMBER('Semi OpInc'!G123),ISNUMBER('Semi Rev'!G123),'Semi Rev'!K123&gt;0,'Semi Rev'!G123&gt;0),('Semi OpInc'!K123/'Semi Rev'!K123-'Semi OpInc'!G123/'Semi Rev'!G123)*10000,""),"")</f>
        <v/>
      </c>
      <c r="H976" s="43">
        <f>IFERROR(IF(AND(ISNUMBER('Semi OpInc'!L123),ISNUMBER('Semi Rev'!L123),ISNUMBER('Semi OpInc'!H123),ISNUMBER('Semi Rev'!H123),'Semi Rev'!L123&gt;0,'Semi Rev'!H123&gt;0),('Semi OpInc'!L123/'Semi Rev'!L123-'Semi OpInc'!H123/'Semi Rev'!H123)*10000,""),"")</f>
        <v/>
      </c>
      <c r="I976" s="43">
        <f>IFERROR(IF(AND(ISNUMBER('Semi OpInc'!M123),ISNUMBER('Semi Rev'!M123),ISNUMBER('Semi OpInc'!I123),ISNUMBER('Semi Rev'!I123),'Semi Rev'!M123&gt;0,'Semi Rev'!I123&gt;0),('Semi OpInc'!M123/'Semi Rev'!M123-'Semi OpInc'!I123/'Semi Rev'!I123)*10000,""),"")</f>
        <v/>
      </c>
      <c r="J976" s="43">
        <f>IFERROR(IF(AND(ISNUMBER('Semi OpInc'!N123),ISNUMBER('Semi Rev'!N123),ISNUMBER('Semi OpInc'!J123),ISNUMBER('Semi Rev'!J123),'Semi Rev'!N123&gt;0,'Semi Rev'!J123&gt;0),('Semi OpInc'!N123/'Semi Rev'!N123-'Semi OpInc'!J123/'Semi Rev'!J123)*10000,""),"")</f>
        <v/>
      </c>
      <c r="K976" s="43">
        <f>IFERROR(IF(AND(ISNUMBER('Semi OpInc'!O123),ISNUMBER('Semi Rev'!O123),ISNUMBER('Semi OpInc'!K123),ISNUMBER('Semi Rev'!K123),'Semi Rev'!O123&gt;0,'Semi Rev'!K123&gt;0),('Semi OpInc'!O123/'Semi Rev'!O123-'Semi OpInc'!K123/'Semi Rev'!K123)*10000,""),"")</f>
        <v/>
      </c>
      <c r="L976" s="43">
        <f>IFERROR(IF(AND(ISNUMBER('Semi OpInc'!P123),ISNUMBER('Semi Rev'!P123),ISNUMBER('Semi OpInc'!L123),ISNUMBER('Semi Rev'!L123),'Semi Rev'!P123&gt;0,'Semi Rev'!L123&gt;0),('Semi OpInc'!P123/'Semi Rev'!P123-'Semi OpInc'!L123/'Semi Rev'!L123)*10000,""),"")</f>
        <v/>
      </c>
      <c r="M976" s="44">
        <f>IFERROR(IF(AND(ISNUMBER('Semi OpInc'!Q123),ISNUMBER('Semi Rev'!Q123),ISNUMBER('Semi OpInc'!M123),ISNUMBER('Semi Rev'!M123),'Semi Rev'!Q123&gt;0,'Semi Rev'!M123&gt;0),('Semi OpInc'!Q123/'Semi Rev'!Q123-'Semi OpInc'!M123/'Semi Rev'!M123)*10000,""),"")</f>
        <v/>
      </c>
      <c r="N976" s="44">
        <f>IFERROR(IF(AND(ISNUMBER('Semi OpInc'!R123),ISNUMBER('Semi Rev'!R123),ISNUMBER('Semi OpInc'!N123),ISNUMBER('Semi Rev'!N123),'Semi Rev'!R123&gt;0,'Semi Rev'!N123&gt;0),('Semi OpInc'!R123/'Semi Rev'!R123-'Semi OpInc'!N123/'Semi Rev'!N123)*10000,""),"")</f>
        <v/>
      </c>
    </row>
    <row r="977">
      <c r="A977" s="19">
        <f>'Semi Rev'!$A124</f>
        <v/>
      </c>
      <c r="B977" s="19">
        <f>'Semi Rev'!$B124</f>
        <v/>
      </c>
      <c r="C977" s="43">
        <f>IFERROR(IF(AND(ISNUMBER('Semi OpInc'!G124),ISNUMBER('Semi Rev'!G124),ISNUMBER('Semi OpInc'!C124),ISNUMBER('Semi Rev'!C124),'Semi Rev'!G124&gt;0,'Semi Rev'!C124&gt;0),('Semi OpInc'!G124/'Semi Rev'!G124-'Semi OpInc'!C124/'Semi Rev'!C124)*10000,""),"")</f>
        <v/>
      </c>
      <c r="D977" s="43">
        <f>IFERROR(IF(AND(ISNUMBER('Semi OpInc'!H124),ISNUMBER('Semi Rev'!H124),ISNUMBER('Semi OpInc'!D124),ISNUMBER('Semi Rev'!D124),'Semi Rev'!H124&gt;0,'Semi Rev'!D124&gt;0),('Semi OpInc'!H124/'Semi Rev'!H124-'Semi OpInc'!D124/'Semi Rev'!D124)*10000,""),"")</f>
        <v/>
      </c>
      <c r="E977" s="43">
        <f>IFERROR(IF(AND(ISNUMBER('Semi OpInc'!I124),ISNUMBER('Semi Rev'!I124),ISNUMBER('Semi OpInc'!E124),ISNUMBER('Semi Rev'!E124),'Semi Rev'!I124&gt;0,'Semi Rev'!E124&gt;0),('Semi OpInc'!I124/'Semi Rev'!I124-'Semi OpInc'!E124/'Semi Rev'!E124)*10000,""),"")</f>
        <v/>
      </c>
      <c r="F977" s="43">
        <f>IFERROR(IF(AND(ISNUMBER('Semi OpInc'!J124),ISNUMBER('Semi Rev'!J124),ISNUMBER('Semi OpInc'!F124),ISNUMBER('Semi Rev'!F124),'Semi Rev'!J124&gt;0,'Semi Rev'!F124&gt;0),('Semi OpInc'!J124/'Semi Rev'!J124-'Semi OpInc'!F124/'Semi Rev'!F124)*10000,""),"")</f>
        <v/>
      </c>
      <c r="G977" s="43">
        <f>IFERROR(IF(AND(ISNUMBER('Semi OpInc'!K124),ISNUMBER('Semi Rev'!K124),ISNUMBER('Semi OpInc'!G124),ISNUMBER('Semi Rev'!G124),'Semi Rev'!K124&gt;0,'Semi Rev'!G124&gt;0),('Semi OpInc'!K124/'Semi Rev'!K124-'Semi OpInc'!G124/'Semi Rev'!G124)*10000,""),"")</f>
        <v/>
      </c>
      <c r="H977" s="43">
        <f>IFERROR(IF(AND(ISNUMBER('Semi OpInc'!L124),ISNUMBER('Semi Rev'!L124),ISNUMBER('Semi OpInc'!H124),ISNUMBER('Semi Rev'!H124),'Semi Rev'!L124&gt;0,'Semi Rev'!H124&gt;0),('Semi OpInc'!L124/'Semi Rev'!L124-'Semi OpInc'!H124/'Semi Rev'!H124)*10000,""),"")</f>
        <v/>
      </c>
      <c r="I977" s="43">
        <f>IFERROR(IF(AND(ISNUMBER('Semi OpInc'!M124),ISNUMBER('Semi Rev'!M124),ISNUMBER('Semi OpInc'!I124),ISNUMBER('Semi Rev'!I124),'Semi Rev'!M124&gt;0,'Semi Rev'!I124&gt;0),('Semi OpInc'!M124/'Semi Rev'!M124-'Semi OpInc'!I124/'Semi Rev'!I124)*10000,""),"")</f>
        <v/>
      </c>
      <c r="J977" s="43">
        <f>IFERROR(IF(AND(ISNUMBER('Semi OpInc'!N124),ISNUMBER('Semi Rev'!N124),ISNUMBER('Semi OpInc'!J124),ISNUMBER('Semi Rev'!J124),'Semi Rev'!N124&gt;0,'Semi Rev'!J124&gt;0),('Semi OpInc'!N124/'Semi Rev'!N124-'Semi OpInc'!J124/'Semi Rev'!J124)*10000,""),"")</f>
        <v/>
      </c>
      <c r="K977" s="43">
        <f>IFERROR(IF(AND(ISNUMBER('Semi OpInc'!O124),ISNUMBER('Semi Rev'!O124),ISNUMBER('Semi OpInc'!K124),ISNUMBER('Semi Rev'!K124),'Semi Rev'!O124&gt;0,'Semi Rev'!K124&gt;0),('Semi OpInc'!O124/'Semi Rev'!O124-'Semi OpInc'!K124/'Semi Rev'!K124)*10000,""),"")</f>
        <v/>
      </c>
      <c r="L977" s="43">
        <f>IFERROR(IF(AND(ISNUMBER('Semi OpInc'!P124),ISNUMBER('Semi Rev'!P124),ISNUMBER('Semi OpInc'!L124),ISNUMBER('Semi Rev'!L124),'Semi Rev'!P124&gt;0,'Semi Rev'!L124&gt;0),('Semi OpInc'!P124/'Semi Rev'!P124-'Semi OpInc'!L124/'Semi Rev'!L124)*10000,""),"")</f>
        <v/>
      </c>
      <c r="M977" s="44">
        <f>IFERROR(IF(AND(ISNUMBER('Semi OpInc'!Q124),ISNUMBER('Semi Rev'!Q124),ISNUMBER('Semi OpInc'!M124),ISNUMBER('Semi Rev'!M124),'Semi Rev'!Q124&gt;0,'Semi Rev'!M124&gt;0),('Semi OpInc'!Q124/'Semi Rev'!Q124-'Semi OpInc'!M124/'Semi Rev'!M124)*10000,""),"")</f>
        <v/>
      </c>
      <c r="N977" s="44">
        <f>IFERROR(IF(AND(ISNUMBER('Semi OpInc'!R124),ISNUMBER('Semi Rev'!R124),ISNUMBER('Semi OpInc'!N124),ISNUMBER('Semi Rev'!N124),'Semi Rev'!R124&gt;0,'Semi Rev'!N124&gt;0),('Semi OpInc'!R124/'Semi Rev'!R124-'Semi OpInc'!N124/'Semi Rev'!N124)*10000,""),"")</f>
        <v/>
      </c>
    </row>
    <row r="978">
      <c r="A978" s="19">
        <f>'Semi Rev'!$A125</f>
        <v/>
      </c>
      <c r="B978" s="19">
        <f>'Semi Rev'!$B125</f>
        <v/>
      </c>
      <c r="C978" s="43">
        <f>IFERROR(IF(AND(ISNUMBER('Semi OpInc'!G125),ISNUMBER('Semi Rev'!G125),ISNUMBER('Semi OpInc'!C125),ISNUMBER('Semi Rev'!C125),'Semi Rev'!G125&gt;0,'Semi Rev'!C125&gt;0),('Semi OpInc'!G125/'Semi Rev'!G125-'Semi OpInc'!C125/'Semi Rev'!C125)*10000,""),"")</f>
        <v/>
      </c>
      <c r="D978" s="43">
        <f>IFERROR(IF(AND(ISNUMBER('Semi OpInc'!H125),ISNUMBER('Semi Rev'!H125),ISNUMBER('Semi OpInc'!D125),ISNUMBER('Semi Rev'!D125),'Semi Rev'!H125&gt;0,'Semi Rev'!D125&gt;0),('Semi OpInc'!H125/'Semi Rev'!H125-'Semi OpInc'!D125/'Semi Rev'!D125)*10000,""),"")</f>
        <v/>
      </c>
      <c r="E978" s="43">
        <f>IFERROR(IF(AND(ISNUMBER('Semi OpInc'!I125),ISNUMBER('Semi Rev'!I125),ISNUMBER('Semi OpInc'!E125),ISNUMBER('Semi Rev'!E125),'Semi Rev'!I125&gt;0,'Semi Rev'!E125&gt;0),('Semi OpInc'!I125/'Semi Rev'!I125-'Semi OpInc'!E125/'Semi Rev'!E125)*10000,""),"")</f>
        <v/>
      </c>
      <c r="F978" s="43">
        <f>IFERROR(IF(AND(ISNUMBER('Semi OpInc'!J125),ISNUMBER('Semi Rev'!J125),ISNUMBER('Semi OpInc'!F125),ISNUMBER('Semi Rev'!F125),'Semi Rev'!J125&gt;0,'Semi Rev'!F125&gt;0),('Semi OpInc'!J125/'Semi Rev'!J125-'Semi OpInc'!F125/'Semi Rev'!F125)*10000,""),"")</f>
        <v/>
      </c>
      <c r="G978" s="43">
        <f>IFERROR(IF(AND(ISNUMBER('Semi OpInc'!K125),ISNUMBER('Semi Rev'!K125),ISNUMBER('Semi OpInc'!G125),ISNUMBER('Semi Rev'!G125),'Semi Rev'!K125&gt;0,'Semi Rev'!G125&gt;0),('Semi OpInc'!K125/'Semi Rev'!K125-'Semi OpInc'!G125/'Semi Rev'!G125)*10000,""),"")</f>
        <v/>
      </c>
      <c r="H978" s="43">
        <f>IFERROR(IF(AND(ISNUMBER('Semi OpInc'!L125),ISNUMBER('Semi Rev'!L125),ISNUMBER('Semi OpInc'!H125),ISNUMBER('Semi Rev'!H125),'Semi Rev'!L125&gt;0,'Semi Rev'!H125&gt;0),('Semi OpInc'!L125/'Semi Rev'!L125-'Semi OpInc'!H125/'Semi Rev'!H125)*10000,""),"")</f>
        <v/>
      </c>
      <c r="I978" s="43">
        <f>IFERROR(IF(AND(ISNUMBER('Semi OpInc'!M125),ISNUMBER('Semi Rev'!M125),ISNUMBER('Semi OpInc'!I125),ISNUMBER('Semi Rev'!I125),'Semi Rev'!M125&gt;0,'Semi Rev'!I125&gt;0),('Semi OpInc'!M125/'Semi Rev'!M125-'Semi OpInc'!I125/'Semi Rev'!I125)*10000,""),"")</f>
        <v/>
      </c>
      <c r="J978" s="43">
        <f>IFERROR(IF(AND(ISNUMBER('Semi OpInc'!N125),ISNUMBER('Semi Rev'!N125),ISNUMBER('Semi OpInc'!J125),ISNUMBER('Semi Rev'!J125),'Semi Rev'!N125&gt;0,'Semi Rev'!J125&gt;0),('Semi OpInc'!N125/'Semi Rev'!N125-'Semi OpInc'!J125/'Semi Rev'!J125)*10000,""),"")</f>
        <v/>
      </c>
      <c r="K978" s="43">
        <f>IFERROR(IF(AND(ISNUMBER('Semi OpInc'!O125),ISNUMBER('Semi Rev'!O125),ISNUMBER('Semi OpInc'!K125),ISNUMBER('Semi Rev'!K125),'Semi Rev'!O125&gt;0,'Semi Rev'!K125&gt;0),('Semi OpInc'!O125/'Semi Rev'!O125-'Semi OpInc'!K125/'Semi Rev'!K125)*10000,""),"")</f>
        <v/>
      </c>
      <c r="L978" s="43">
        <f>IFERROR(IF(AND(ISNUMBER('Semi OpInc'!P125),ISNUMBER('Semi Rev'!P125),ISNUMBER('Semi OpInc'!L125),ISNUMBER('Semi Rev'!L125),'Semi Rev'!P125&gt;0,'Semi Rev'!L125&gt;0),('Semi OpInc'!P125/'Semi Rev'!P125-'Semi OpInc'!L125/'Semi Rev'!L125)*10000,""),"")</f>
        <v/>
      </c>
      <c r="M978" s="44">
        <f>IFERROR(IF(AND(ISNUMBER('Semi OpInc'!Q125),ISNUMBER('Semi Rev'!Q125),ISNUMBER('Semi OpInc'!M125),ISNUMBER('Semi Rev'!M125),'Semi Rev'!Q125&gt;0,'Semi Rev'!M125&gt;0),('Semi OpInc'!Q125/'Semi Rev'!Q125-'Semi OpInc'!M125/'Semi Rev'!M125)*10000,""),"")</f>
        <v/>
      </c>
      <c r="N978" s="44">
        <f>IFERROR(IF(AND(ISNUMBER('Semi OpInc'!R125),ISNUMBER('Semi Rev'!R125),ISNUMBER('Semi OpInc'!N125),ISNUMBER('Semi Rev'!N125),'Semi Rev'!R125&gt;0,'Semi Rev'!N125&gt;0),('Semi OpInc'!R125/'Semi Rev'!R125-'Semi OpInc'!N125/'Semi Rev'!N125)*10000,""),"")</f>
        <v/>
      </c>
    </row>
    <row r="979">
      <c r="A979" s="19">
        <f>'Semi Rev'!$A126</f>
        <v/>
      </c>
      <c r="B979" s="19">
        <f>'Semi Rev'!$B126</f>
        <v/>
      </c>
      <c r="C979" s="43">
        <f>IFERROR(IF(AND(ISNUMBER('Semi OpInc'!G126),ISNUMBER('Semi Rev'!G126),ISNUMBER('Semi OpInc'!C126),ISNUMBER('Semi Rev'!C126),'Semi Rev'!G126&gt;0,'Semi Rev'!C126&gt;0),('Semi OpInc'!G126/'Semi Rev'!G126-'Semi OpInc'!C126/'Semi Rev'!C126)*10000,""),"")</f>
        <v/>
      </c>
      <c r="D979" s="43">
        <f>IFERROR(IF(AND(ISNUMBER('Semi OpInc'!H126),ISNUMBER('Semi Rev'!H126),ISNUMBER('Semi OpInc'!D126),ISNUMBER('Semi Rev'!D126),'Semi Rev'!H126&gt;0,'Semi Rev'!D126&gt;0),('Semi OpInc'!H126/'Semi Rev'!H126-'Semi OpInc'!D126/'Semi Rev'!D126)*10000,""),"")</f>
        <v/>
      </c>
      <c r="E979" s="43">
        <f>IFERROR(IF(AND(ISNUMBER('Semi OpInc'!I126),ISNUMBER('Semi Rev'!I126),ISNUMBER('Semi OpInc'!E126),ISNUMBER('Semi Rev'!E126),'Semi Rev'!I126&gt;0,'Semi Rev'!E126&gt;0),('Semi OpInc'!I126/'Semi Rev'!I126-'Semi OpInc'!E126/'Semi Rev'!E126)*10000,""),"")</f>
        <v/>
      </c>
      <c r="F979" s="43">
        <f>IFERROR(IF(AND(ISNUMBER('Semi OpInc'!J126),ISNUMBER('Semi Rev'!J126),ISNUMBER('Semi OpInc'!F126),ISNUMBER('Semi Rev'!F126),'Semi Rev'!J126&gt;0,'Semi Rev'!F126&gt;0),('Semi OpInc'!J126/'Semi Rev'!J126-'Semi OpInc'!F126/'Semi Rev'!F126)*10000,""),"")</f>
        <v/>
      </c>
      <c r="G979" s="43">
        <f>IFERROR(IF(AND(ISNUMBER('Semi OpInc'!K126),ISNUMBER('Semi Rev'!K126),ISNUMBER('Semi OpInc'!G126),ISNUMBER('Semi Rev'!G126),'Semi Rev'!K126&gt;0,'Semi Rev'!G126&gt;0),('Semi OpInc'!K126/'Semi Rev'!K126-'Semi OpInc'!G126/'Semi Rev'!G126)*10000,""),"")</f>
        <v/>
      </c>
      <c r="H979" s="43">
        <f>IFERROR(IF(AND(ISNUMBER('Semi OpInc'!L126),ISNUMBER('Semi Rev'!L126),ISNUMBER('Semi OpInc'!H126),ISNUMBER('Semi Rev'!H126),'Semi Rev'!L126&gt;0,'Semi Rev'!H126&gt;0),('Semi OpInc'!L126/'Semi Rev'!L126-'Semi OpInc'!H126/'Semi Rev'!H126)*10000,""),"")</f>
        <v/>
      </c>
      <c r="I979" s="43">
        <f>IFERROR(IF(AND(ISNUMBER('Semi OpInc'!M126),ISNUMBER('Semi Rev'!M126),ISNUMBER('Semi OpInc'!I126),ISNUMBER('Semi Rev'!I126),'Semi Rev'!M126&gt;0,'Semi Rev'!I126&gt;0),('Semi OpInc'!M126/'Semi Rev'!M126-'Semi OpInc'!I126/'Semi Rev'!I126)*10000,""),"")</f>
        <v/>
      </c>
      <c r="J979" s="43">
        <f>IFERROR(IF(AND(ISNUMBER('Semi OpInc'!N126),ISNUMBER('Semi Rev'!N126),ISNUMBER('Semi OpInc'!J126),ISNUMBER('Semi Rev'!J126),'Semi Rev'!N126&gt;0,'Semi Rev'!J126&gt;0),('Semi OpInc'!N126/'Semi Rev'!N126-'Semi OpInc'!J126/'Semi Rev'!J126)*10000,""),"")</f>
        <v/>
      </c>
      <c r="K979" s="43">
        <f>IFERROR(IF(AND(ISNUMBER('Semi OpInc'!O126),ISNUMBER('Semi Rev'!O126),ISNUMBER('Semi OpInc'!K126),ISNUMBER('Semi Rev'!K126),'Semi Rev'!O126&gt;0,'Semi Rev'!K126&gt;0),('Semi OpInc'!O126/'Semi Rev'!O126-'Semi OpInc'!K126/'Semi Rev'!K126)*10000,""),"")</f>
        <v/>
      </c>
      <c r="L979" s="43">
        <f>IFERROR(IF(AND(ISNUMBER('Semi OpInc'!P126),ISNUMBER('Semi Rev'!P126),ISNUMBER('Semi OpInc'!L126),ISNUMBER('Semi Rev'!L126),'Semi Rev'!P126&gt;0,'Semi Rev'!L126&gt;0),('Semi OpInc'!P126/'Semi Rev'!P126-'Semi OpInc'!L126/'Semi Rev'!L126)*10000,""),"")</f>
        <v/>
      </c>
      <c r="M979" s="44">
        <f>IFERROR(IF(AND(ISNUMBER('Semi OpInc'!Q126),ISNUMBER('Semi Rev'!Q126),ISNUMBER('Semi OpInc'!M126),ISNUMBER('Semi Rev'!M126),'Semi Rev'!Q126&gt;0,'Semi Rev'!M126&gt;0),('Semi OpInc'!Q126/'Semi Rev'!Q126-'Semi OpInc'!M126/'Semi Rev'!M126)*10000,""),"")</f>
        <v/>
      </c>
      <c r="N979" s="44">
        <f>IFERROR(IF(AND(ISNUMBER('Semi OpInc'!R126),ISNUMBER('Semi Rev'!R126),ISNUMBER('Semi OpInc'!N126),ISNUMBER('Semi Rev'!N126),'Semi Rev'!R126&gt;0,'Semi Rev'!N126&gt;0),('Semi OpInc'!R126/'Semi Rev'!R126-'Semi OpInc'!N126/'Semi Rev'!N126)*10000,""),"")</f>
        <v/>
      </c>
    </row>
    <row r="980">
      <c r="A980" s="19">
        <f>'Semi Rev'!$A127</f>
        <v/>
      </c>
      <c r="B980" s="19">
        <f>'Semi Rev'!$B127</f>
        <v/>
      </c>
      <c r="C980" s="43">
        <f>IFERROR(IF(AND(ISNUMBER('Semi OpInc'!G127),ISNUMBER('Semi Rev'!G127),ISNUMBER('Semi OpInc'!C127),ISNUMBER('Semi Rev'!C127),'Semi Rev'!G127&gt;0,'Semi Rev'!C127&gt;0),('Semi OpInc'!G127/'Semi Rev'!G127-'Semi OpInc'!C127/'Semi Rev'!C127)*10000,""),"")</f>
        <v/>
      </c>
      <c r="D980" s="43">
        <f>IFERROR(IF(AND(ISNUMBER('Semi OpInc'!H127),ISNUMBER('Semi Rev'!H127),ISNUMBER('Semi OpInc'!D127),ISNUMBER('Semi Rev'!D127),'Semi Rev'!H127&gt;0,'Semi Rev'!D127&gt;0),('Semi OpInc'!H127/'Semi Rev'!H127-'Semi OpInc'!D127/'Semi Rev'!D127)*10000,""),"")</f>
        <v/>
      </c>
      <c r="E980" s="43">
        <f>IFERROR(IF(AND(ISNUMBER('Semi OpInc'!I127),ISNUMBER('Semi Rev'!I127),ISNUMBER('Semi OpInc'!E127),ISNUMBER('Semi Rev'!E127),'Semi Rev'!I127&gt;0,'Semi Rev'!E127&gt;0),('Semi OpInc'!I127/'Semi Rev'!I127-'Semi OpInc'!E127/'Semi Rev'!E127)*10000,""),"")</f>
        <v/>
      </c>
      <c r="F980" s="43">
        <f>IFERROR(IF(AND(ISNUMBER('Semi OpInc'!J127),ISNUMBER('Semi Rev'!J127),ISNUMBER('Semi OpInc'!F127),ISNUMBER('Semi Rev'!F127),'Semi Rev'!J127&gt;0,'Semi Rev'!F127&gt;0),('Semi OpInc'!J127/'Semi Rev'!J127-'Semi OpInc'!F127/'Semi Rev'!F127)*10000,""),"")</f>
        <v/>
      </c>
      <c r="G980" s="43">
        <f>IFERROR(IF(AND(ISNUMBER('Semi OpInc'!K127),ISNUMBER('Semi Rev'!K127),ISNUMBER('Semi OpInc'!G127),ISNUMBER('Semi Rev'!G127),'Semi Rev'!K127&gt;0,'Semi Rev'!G127&gt;0),('Semi OpInc'!K127/'Semi Rev'!K127-'Semi OpInc'!G127/'Semi Rev'!G127)*10000,""),"")</f>
        <v/>
      </c>
      <c r="H980" s="43">
        <f>IFERROR(IF(AND(ISNUMBER('Semi OpInc'!L127),ISNUMBER('Semi Rev'!L127),ISNUMBER('Semi OpInc'!H127),ISNUMBER('Semi Rev'!H127),'Semi Rev'!L127&gt;0,'Semi Rev'!H127&gt;0),('Semi OpInc'!L127/'Semi Rev'!L127-'Semi OpInc'!H127/'Semi Rev'!H127)*10000,""),"")</f>
        <v/>
      </c>
      <c r="I980" s="43">
        <f>IFERROR(IF(AND(ISNUMBER('Semi OpInc'!M127),ISNUMBER('Semi Rev'!M127),ISNUMBER('Semi OpInc'!I127),ISNUMBER('Semi Rev'!I127),'Semi Rev'!M127&gt;0,'Semi Rev'!I127&gt;0),('Semi OpInc'!M127/'Semi Rev'!M127-'Semi OpInc'!I127/'Semi Rev'!I127)*10000,""),"")</f>
        <v/>
      </c>
      <c r="J980" s="43">
        <f>IFERROR(IF(AND(ISNUMBER('Semi OpInc'!N127),ISNUMBER('Semi Rev'!N127),ISNUMBER('Semi OpInc'!J127),ISNUMBER('Semi Rev'!J127),'Semi Rev'!N127&gt;0,'Semi Rev'!J127&gt;0),('Semi OpInc'!N127/'Semi Rev'!N127-'Semi OpInc'!J127/'Semi Rev'!J127)*10000,""),"")</f>
        <v/>
      </c>
      <c r="K980" s="43">
        <f>IFERROR(IF(AND(ISNUMBER('Semi OpInc'!O127),ISNUMBER('Semi Rev'!O127),ISNUMBER('Semi OpInc'!K127),ISNUMBER('Semi Rev'!K127),'Semi Rev'!O127&gt;0,'Semi Rev'!K127&gt;0),('Semi OpInc'!O127/'Semi Rev'!O127-'Semi OpInc'!K127/'Semi Rev'!K127)*10000,""),"")</f>
        <v/>
      </c>
      <c r="L980" s="43">
        <f>IFERROR(IF(AND(ISNUMBER('Semi OpInc'!P127),ISNUMBER('Semi Rev'!P127),ISNUMBER('Semi OpInc'!L127),ISNUMBER('Semi Rev'!L127),'Semi Rev'!P127&gt;0,'Semi Rev'!L127&gt;0),('Semi OpInc'!P127/'Semi Rev'!P127-'Semi OpInc'!L127/'Semi Rev'!L127)*10000,""),"")</f>
        <v/>
      </c>
      <c r="M980" s="44">
        <f>IFERROR(IF(AND(ISNUMBER('Semi OpInc'!Q127),ISNUMBER('Semi Rev'!Q127),ISNUMBER('Semi OpInc'!M127),ISNUMBER('Semi Rev'!M127),'Semi Rev'!Q127&gt;0,'Semi Rev'!M127&gt;0),('Semi OpInc'!Q127/'Semi Rev'!Q127-'Semi OpInc'!M127/'Semi Rev'!M127)*10000,""),"")</f>
        <v/>
      </c>
      <c r="N980" s="44">
        <f>IFERROR(IF(AND(ISNUMBER('Semi OpInc'!R127),ISNUMBER('Semi Rev'!R127),ISNUMBER('Semi OpInc'!N127),ISNUMBER('Semi Rev'!N127),'Semi Rev'!R127&gt;0,'Semi Rev'!N127&gt;0),('Semi OpInc'!R127/'Semi Rev'!R127-'Semi OpInc'!N127/'Semi Rev'!N127)*10000,""),"")</f>
        <v/>
      </c>
    </row>
    <row r="981">
      <c r="A981" s="19">
        <f>'Semi Rev'!$A128</f>
        <v/>
      </c>
      <c r="B981" s="19">
        <f>'Semi Rev'!$B128</f>
        <v/>
      </c>
      <c r="C981" s="43">
        <f>IFERROR(IF(AND(ISNUMBER('Semi OpInc'!G128),ISNUMBER('Semi Rev'!G128),ISNUMBER('Semi OpInc'!C128),ISNUMBER('Semi Rev'!C128),'Semi Rev'!G128&gt;0,'Semi Rev'!C128&gt;0),('Semi OpInc'!G128/'Semi Rev'!G128-'Semi OpInc'!C128/'Semi Rev'!C128)*10000,""),"")</f>
        <v/>
      </c>
      <c r="D981" s="43">
        <f>IFERROR(IF(AND(ISNUMBER('Semi OpInc'!H128),ISNUMBER('Semi Rev'!H128),ISNUMBER('Semi OpInc'!D128),ISNUMBER('Semi Rev'!D128),'Semi Rev'!H128&gt;0,'Semi Rev'!D128&gt;0),('Semi OpInc'!H128/'Semi Rev'!H128-'Semi OpInc'!D128/'Semi Rev'!D128)*10000,""),"")</f>
        <v/>
      </c>
      <c r="E981" s="43">
        <f>IFERROR(IF(AND(ISNUMBER('Semi OpInc'!I128),ISNUMBER('Semi Rev'!I128),ISNUMBER('Semi OpInc'!E128),ISNUMBER('Semi Rev'!E128),'Semi Rev'!I128&gt;0,'Semi Rev'!E128&gt;0),('Semi OpInc'!I128/'Semi Rev'!I128-'Semi OpInc'!E128/'Semi Rev'!E128)*10000,""),"")</f>
        <v/>
      </c>
      <c r="F981" s="43">
        <f>IFERROR(IF(AND(ISNUMBER('Semi OpInc'!J128),ISNUMBER('Semi Rev'!J128),ISNUMBER('Semi OpInc'!F128),ISNUMBER('Semi Rev'!F128),'Semi Rev'!J128&gt;0,'Semi Rev'!F128&gt;0),('Semi OpInc'!J128/'Semi Rev'!J128-'Semi OpInc'!F128/'Semi Rev'!F128)*10000,""),"")</f>
        <v/>
      </c>
      <c r="G981" s="43">
        <f>IFERROR(IF(AND(ISNUMBER('Semi OpInc'!K128),ISNUMBER('Semi Rev'!K128),ISNUMBER('Semi OpInc'!G128),ISNUMBER('Semi Rev'!G128),'Semi Rev'!K128&gt;0,'Semi Rev'!G128&gt;0),('Semi OpInc'!K128/'Semi Rev'!K128-'Semi OpInc'!G128/'Semi Rev'!G128)*10000,""),"")</f>
        <v/>
      </c>
      <c r="H981" s="43">
        <f>IFERROR(IF(AND(ISNUMBER('Semi OpInc'!L128),ISNUMBER('Semi Rev'!L128),ISNUMBER('Semi OpInc'!H128),ISNUMBER('Semi Rev'!H128),'Semi Rev'!L128&gt;0,'Semi Rev'!H128&gt;0),('Semi OpInc'!L128/'Semi Rev'!L128-'Semi OpInc'!H128/'Semi Rev'!H128)*10000,""),"")</f>
        <v/>
      </c>
      <c r="I981" s="43">
        <f>IFERROR(IF(AND(ISNUMBER('Semi OpInc'!M128),ISNUMBER('Semi Rev'!M128),ISNUMBER('Semi OpInc'!I128),ISNUMBER('Semi Rev'!I128),'Semi Rev'!M128&gt;0,'Semi Rev'!I128&gt;0),('Semi OpInc'!M128/'Semi Rev'!M128-'Semi OpInc'!I128/'Semi Rev'!I128)*10000,""),"")</f>
        <v/>
      </c>
      <c r="J981" s="43">
        <f>IFERROR(IF(AND(ISNUMBER('Semi OpInc'!N128),ISNUMBER('Semi Rev'!N128),ISNUMBER('Semi OpInc'!J128),ISNUMBER('Semi Rev'!J128),'Semi Rev'!N128&gt;0,'Semi Rev'!J128&gt;0),('Semi OpInc'!N128/'Semi Rev'!N128-'Semi OpInc'!J128/'Semi Rev'!J128)*10000,""),"")</f>
        <v/>
      </c>
      <c r="K981" s="43">
        <f>IFERROR(IF(AND(ISNUMBER('Semi OpInc'!O128),ISNUMBER('Semi Rev'!O128),ISNUMBER('Semi OpInc'!K128),ISNUMBER('Semi Rev'!K128),'Semi Rev'!O128&gt;0,'Semi Rev'!K128&gt;0),('Semi OpInc'!O128/'Semi Rev'!O128-'Semi OpInc'!K128/'Semi Rev'!K128)*10000,""),"")</f>
        <v/>
      </c>
      <c r="L981" s="43">
        <f>IFERROR(IF(AND(ISNUMBER('Semi OpInc'!P128),ISNUMBER('Semi Rev'!P128),ISNUMBER('Semi OpInc'!L128),ISNUMBER('Semi Rev'!L128),'Semi Rev'!P128&gt;0,'Semi Rev'!L128&gt;0),('Semi OpInc'!P128/'Semi Rev'!P128-'Semi OpInc'!L128/'Semi Rev'!L128)*10000,""),"")</f>
        <v/>
      </c>
      <c r="M981" s="44">
        <f>IFERROR(IF(AND(ISNUMBER('Semi OpInc'!Q128),ISNUMBER('Semi Rev'!Q128),ISNUMBER('Semi OpInc'!M128),ISNUMBER('Semi Rev'!M128),'Semi Rev'!Q128&gt;0,'Semi Rev'!M128&gt;0),('Semi OpInc'!Q128/'Semi Rev'!Q128-'Semi OpInc'!M128/'Semi Rev'!M128)*10000,""),"")</f>
        <v/>
      </c>
      <c r="N981" s="44">
        <f>IFERROR(IF(AND(ISNUMBER('Semi OpInc'!R128),ISNUMBER('Semi Rev'!R128),ISNUMBER('Semi OpInc'!N128),ISNUMBER('Semi Rev'!N128),'Semi Rev'!R128&gt;0,'Semi Rev'!N128&gt;0),('Semi OpInc'!R128/'Semi Rev'!R128-'Semi OpInc'!N128/'Semi Rev'!N128)*10000,""),"")</f>
        <v/>
      </c>
    </row>
    <row r="982">
      <c r="A982" s="19">
        <f>'Semi Rev'!$A129</f>
        <v/>
      </c>
      <c r="B982" s="19">
        <f>'Semi Rev'!$B129</f>
        <v/>
      </c>
      <c r="C982" s="43">
        <f>IFERROR(IF(AND(ISNUMBER('Semi OpInc'!G129),ISNUMBER('Semi Rev'!G129),ISNUMBER('Semi OpInc'!C129),ISNUMBER('Semi Rev'!C129),'Semi Rev'!G129&gt;0,'Semi Rev'!C129&gt;0),('Semi OpInc'!G129/'Semi Rev'!G129-'Semi OpInc'!C129/'Semi Rev'!C129)*10000,""),"")</f>
        <v/>
      </c>
      <c r="D982" s="43">
        <f>IFERROR(IF(AND(ISNUMBER('Semi OpInc'!H129),ISNUMBER('Semi Rev'!H129),ISNUMBER('Semi OpInc'!D129),ISNUMBER('Semi Rev'!D129),'Semi Rev'!H129&gt;0,'Semi Rev'!D129&gt;0),('Semi OpInc'!H129/'Semi Rev'!H129-'Semi OpInc'!D129/'Semi Rev'!D129)*10000,""),"")</f>
        <v/>
      </c>
      <c r="E982" s="43">
        <f>IFERROR(IF(AND(ISNUMBER('Semi OpInc'!I129),ISNUMBER('Semi Rev'!I129),ISNUMBER('Semi OpInc'!E129),ISNUMBER('Semi Rev'!E129),'Semi Rev'!I129&gt;0,'Semi Rev'!E129&gt;0),('Semi OpInc'!I129/'Semi Rev'!I129-'Semi OpInc'!E129/'Semi Rev'!E129)*10000,""),"")</f>
        <v/>
      </c>
      <c r="F982" s="43">
        <f>IFERROR(IF(AND(ISNUMBER('Semi OpInc'!J129),ISNUMBER('Semi Rev'!J129),ISNUMBER('Semi OpInc'!F129),ISNUMBER('Semi Rev'!F129),'Semi Rev'!J129&gt;0,'Semi Rev'!F129&gt;0),('Semi OpInc'!J129/'Semi Rev'!J129-'Semi OpInc'!F129/'Semi Rev'!F129)*10000,""),"")</f>
        <v/>
      </c>
      <c r="G982" s="43">
        <f>IFERROR(IF(AND(ISNUMBER('Semi OpInc'!K129),ISNUMBER('Semi Rev'!K129),ISNUMBER('Semi OpInc'!G129),ISNUMBER('Semi Rev'!G129),'Semi Rev'!K129&gt;0,'Semi Rev'!G129&gt;0),('Semi OpInc'!K129/'Semi Rev'!K129-'Semi OpInc'!G129/'Semi Rev'!G129)*10000,""),"")</f>
        <v/>
      </c>
      <c r="H982" s="43">
        <f>IFERROR(IF(AND(ISNUMBER('Semi OpInc'!L129),ISNUMBER('Semi Rev'!L129),ISNUMBER('Semi OpInc'!H129),ISNUMBER('Semi Rev'!H129),'Semi Rev'!L129&gt;0,'Semi Rev'!H129&gt;0),('Semi OpInc'!L129/'Semi Rev'!L129-'Semi OpInc'!H129/'Semi Rev'!H129)*10000,""),"")</f>
        <v/>
      </c>
      <c r="I982" s="43">
        <f>IFERROR(IF(AND(ISNUMBER('Semi OpInc'!M129),ISNUMBER('Semi Rev'!M129),ISNUMBER('Semi OpInc'!I129),ISNUMBER('Semi Rev'!I129),'Semi Rev'!M129&gt;0,'Semi Rev'!I129&gt;0),('Semi OpInc'!M129/'Semi Rev'!M129-'Semi OpInc'!I129/'Semi Rev'!I129)*10000,""),"")</f>
        <v/>
      </c>
      <c r="J982" s="43">
        <f>IFERROR(IF(AND(ISNUMBER('Semi OpInc'!N129),ISNUMBER('Semi Rev'!N129),ISNUMBER('Semi OpInc'!J129),ISNUMBER('Semi Rev'!J129),'Semi Rev'!N129&gt;0,'Semi Rev'!J129&gt;0),('Semi OpInc'!N129/'Semi Rev'!N129-'Semi OpInc'!J129/'Semi Rev'!J129)*10000,""),"")</f>
        <v/>
      </c>
      <c r="K982" s="43">
        <f>IFERROR(IF(AND(ISNUMBER('Semi OpInc'!O129),ISNUMBER('Semi Rev'!O129),ISNUMBER('Semi OpInc'!K129),ISNUMBER('Semi Rev'!K129),'Semi Rev'!O129&gt;0,'Semi Rev'!K129&gt;0),('Semi OpInc'!O129/'Semi Rev'!O129-'Semi OpInc'!K129/'Semi Rev'!K129)*10000,""),"")</f>
        <v/>
      </c>
      <c r="L982" s="43">
        <f>IFERROR(IF(AND(ISNUMBER('Semi OpInc'!P129),ISNUMBER('Semi Rev'!P129),ISNUMBER('Semi OpInc'!L129),ISNUMBER('Semi Rev'!L129),'Semi Rev'!P129&gt;0,'Semi Rev'!L129&gt;0),('Semi OpInc'!P129/'Semi Rev'!P129-'Semi OpInc'!L129/'Semi Rev'!L129)*10000,""),"")</f>
        <v/>
      </c>
      <c r="M982" s="44">
        <f>IFERROR(IF(AND(ISNUMBER('Semi OpInc'!Q129),ISNUMBER('Semi Rev'!Q129),ISNUMBER('Semi OpInc'!M129),ISNUMBER('Semi Rev'!M129),'Semi Rev'!Q129&gt;0,'Semi Rev'!M129&gt;0),('Semi OpInc'!Q129/'Semi Rev'!Q129-'Semi OpInc'!M129/'Semi Rev'!M129)*10000,""),"")</f>
        <v/>
      </c>
      <c r="N982" s="44">
        <f>IFERROR(IF(AND(ISNUMBER('Semi OpInc'!R129),ISNUMBER('Semi Rev'!R129),ISNUMBER('Semi OpInc'!N129),ISNUMBER('Semi Rev'!N129),'Semi Rev'!R129&gt;0,'Semi Rev'!N129&gt;0),('Semi OpInc'!R129/'Semi Rev'!R129-'Semi OpInc'!N129/'Semi Rev'!N129)*10000,""),"")</f>
        <v/>
      </c>
    </row>
    <row r="983">
      <c r="A983" s="19">
        <f>'Semi Rev'!$A130</f>
        <v/>
      </c>
      <c r="B983" s="19">
        <f>'Semi Rev'!$B130</f>
        <v/>
      </c>
      <c r="C983" s="43">
        <f>IFERROR(IF(AND(ISNUMBER('Semi OpInc'!G130),ISNUMBER('Semi Rev'!G130),ISNUMBER('Semi OpInc'!C130),ISNUMBER('Semi Rev'!C130),'Semi Rev'!G130&gt;0,'Semi Rev'!C130&gt;0),('Semi OpInc'!G130/'Semi Rev'!G130-'Semi OpInc'!C130/'Semi Rev'!C130)*10000,""),"")</f>
        <v/>
      </c>
      <c r="D983" s="43">
        <f>IFERROR(IF(AND(ISNUMBER('Semi OpInc'!H130),ISNUMBER('Semi Rev'!H130),ISNUMBER('Semi OpInc'!D130),ISNUMBER('Semi Rev'!D130),'Semi Rev'!H130&gt;0,'Semi Rev'!D130&gt;0),('Semi OpInc'!H130/'Semi Rev'!H130-'Semi OpInc'!D130/'Semi Rev'!D130)*10000,""),"")</f>
        <v/>
      </c>
      <c r="E983" s="43">
        <f>IFERROR(IF(AND(ISNUMBER('Semi OpInc'!I130),ISNUMBER('Semi Rev'!I130),ISNUMBER('Semi OpInc'!E130),ISNUMBER('Semi Rev'!E130),'Semi Rev'!I130&gt;0,'Semi Rev'!E130&gt;0),('Semi OpInc'!I130/'Semi Rev'!I130-'Semi OpInc'!E130/'Semi Rev'!E130)*10000,""),"")</f>
        <v/>
      </c>
      <c r="F983" s="43">
        <f>IFERROR(IF(AND(ISNUMBER('Semi OpInc'!J130),ISNUMBER('Semi Rev'!J130),ISNUMBER('Semi OpInc'!F130),ISNUMBER('Semi Rev'!F130),'Semi Rev'!J130&gt;0,'Semi Rev'!F130&gt;0),('Semi OpInc'!J130/'Semi Rev'!J130-'Semi OpInc'!F130/'Semi Rev'!F130)*10000,""),"")</f>
        <v/>
      </c>
      <c r="G983" s="43">
        <f>IFERROR(IF(AND(ISNUMBER('Semi OpInc'!K130),ISNUMBER('Semi Rev'!K130),ISNUMBER('Semi OpInc'!G130),ISNUMBER('Semi Rev'!G130),'Semi Rev'!K130&gt;0,'Semi Rev'!G130&gt;0),('Semi OpInc'!K130/'Semi Rev'!K130-'Semi OpInc'!G130/'Semi Rev'!G130)*10000,""),"")</f>
        <v/>
      </c>
      <c r="H983" s="43">
        <f>IFERROR(IF(AND(ISNUMBER('Semi OpInc'!L130),ISNUMBER('Semi Rev'!L130),ISNUMBER('Semi OpInc'!H130),ISNUMBER('Semi Rev'!H130),'Semi Rev'!L130&gt;0,'Semi Rev'!H130&gt;0),('Semi OpInc'!L130/'Semi Rev'!L130-'Semi OpInc'!H130/'Semi Rev'!H130)*10000,""),"")</f>
        <v/>
      </c>
      <c r="I983" s="43">
        <f>IFERROR(IF(AND(ISNUMBER('Semi OpInc'!M130),ISNUMBER('Semi Rev'!M130),ISNUMBER('Semi OpInc'!I130),ISNUMBER('Semi Rev'!I130),'Semi Rev'!M130&gt;0,'Semi Rev'!I130&gt;0),('Semi OpInc'!M130/'Semi Rev'!M130-'Semi OpInc'!I130/'Semi Rev'!I130)*10000,""),"")</f>
        <v/>
      </c>
      <c r="J983" s="43">
        <f>IFERROR(IF(AND(ISNUMBER('Semi OpInc'!N130),ISNUMBER('Semi Rev'!N130),ISNUMBER('Semi OpInc'!J130),ISNUMBER('Semi Rev'!J130),'Semi Rev'!N130&gt;0,'Semi Rev'!J130&gt;0),('Semi OpInc'!N130/'Semi Rev'!N130-'Semi OpInc'!J130/'Semi Rev'!J130)*10000,""),"")</f>
        <v/>
      </c>
      <c r="K983" s="43">
        <f>IFERROR(IF(AND(ISNUMBER('Semi OpInc'!O130),ISNUMBER('Semi Rev'!O130),ISNUMBER('Semi OpInc'!K130),ISNUMBER('Semi Rev'!K130),'Semi Rev'!O130&gt;0,'Semi Rev'!K130&gt;0),('Semi OpInc'!O130/'Semi Rev'!O130-'Semi OpInc'!K130/'Semi Rev'!K130)*10000,""),"")</f>
        <v/>
      </c>
      <c r="L983" s="43">
        <f>IFERROR(IF(AND(ISNUMBER('Semi OpInc'!P130),ISNUMBER('Semi Rev'!P130),ISNUMBER('Semi OpInc'!L130),ISNUMBER('Semi Rev'!L130),'Semi Rev'!P130&gt;0,'Semi Rev'!L130&gt;0),('Semi OpInc'!P130/'Semi Rev'!P130-'Semi OpInc'!L130/'Semi Rev'!L130)*10000,""),"")</f>
        <v/>
      </c>
      <c r="M983" s="44">
        <f>IFERROR(IF(AND(ISNUMBER('Semi OpInc'!Q130),ISNUMBER('Semi Rev'!Q130),ISNUMBER('Semi OpInc'!M130),ISNUMBER('Semi Rev'!M130),'Semi Rev'!Q130&gt;0,'Semi Rev'!M130&gt;0),('Semi OpInc'!Q130/'Semi Rev'!Q130-'Semi OpInc'!M130/'Semi Rev'!M130)*10000,""),"")</f>
        <v/>
      </c>
      <c r="N983" s="44">
        <f>IFERROR(IF(AND(ISNUMBER('Semi OpInc'!R130),ISNUMBER('Semi Rev'!R130),ISNUMBER('Semi OpInc'!N130),ISNUMBER('Semi Rev'!N130),'Semi Rev'!R130&gt;0,'Semi Rev'!N130&gt;0),('Semi OpInc'!R130/'Semi Rev'!R130-'Semi OpInc'!N130/'Semi Rev'!N130)*10000,""),"")</f>
        <v/>
      </c>
    </row>
    <row r="984">
      <c r="A984" s="19">
        <f>'Semi Rev'!$A131</f>
        <v/>
      </c>
      <c r="B984" s="19">
        <f>'Semi Rev'!$B131</f>
        <v/>
      </c>
      <c r="C984" s="43">
        <f>IFERROR(IF(AND(ISNUMBER('Semi OpInc'!G131),ISNUMBER('Semi Rev'!G131),ISNUMBER('Semi OpInc'!C131),ISNUMBER('Semi Rev'!C131),'Semi Rev'!G131&gt;0,'Semi Rev'!C131&gt;0),('Semi OpInc'!G131/'Semi Rev'!G131-'Semi OpInc'!C131/'Semi Rev'!C131)*10000,""),"")</f>
        <v/>
      </c>
      <c r="D984" s="43">
        <f>IFERROR(IF(AND(ISNUMBER('Semi OpInc'!H131),ISNUMBER('Semi Rev'!H131),ISNUMBER('Semi OpInc'!D131),ISNUMBER('Semi Rev'!D131),'Semi Rev'!H131&gt;0,'Semi Rev'!D131&gt;0),('Semi OpInc'!H131/'Semi Rev'!H131-'Semi OpInc'!D131/'Semi Rev'!D131)*10000,""),"")</f>
        <v/>
      </c>
      <c r="E984" s="43">
        <f>IFERROR(IF(AND(ISNUMBER('Semi OpInc'!I131),ISNUMBER('Semi Rev'!I131),ISNUMBER('Semi OpInc'!E131),ISNUMBER('Semi Rev'!E131),'Semi Rev'!I131&gt;0,'Semi Rev'!E131&gt;0),('Semi OpInc'!I131/'Semi Rev'!I131-'Semi OpInc'!E131/'Semi Rev'!E131)*10000,""),"")</f>
        <v/>
      </c>
      <c r="F984" s="43">
        <f>IFERROR(IF(AND(ISNUMBER('Semi OpInc'!J131),ISNUMBER('Semi Rev'!J131),ISNUMBER('Semi OpInc'!F131),ISNUMBER('Semi Rev'!F131),'Semi Rev'!J131&gt;0,'Semi Rev'!F131&gt;0),('Semi OpInc'!J131/'Semi Rev'!J131-'Semi OpInc'!F131/'Semi Rev'!F131)*10000,""),"")</f>
        <v/>
      </c>
      <c r="G984" s="43">
        <f>IFERROR(IF(AND(ISNUMBER('Semi OpInc'!K131),ISNUMBER('Semi Rev'!K131),ISNUMBER('Semi OpInc'!G131),ISNUMBER('Semi Rev'!G131),'Semi Rev'!K131&gt;0,'Semi Rev'!G131&gt;0),('Semi OpInc'!K131/'Semi Rev'!K131-'Semi OpInc'!G131/'Semi Rev'!G131)*10000,""),"")</f>
        <v/>
      </c>
      <c r="H984" s="43">
        <f>IFERROR(IF(AND(ISNUMBER('Semi OpInc'!L131),ISNUMBER('Semi Rev'!L131),ISNUMBER('Semi OpInc'!H131),ISNUMBER('Semi Rev'!H131),'Semi Rev'!L131&gt;0,'Semi Rev'!H131&gt;0),('Semi OpInc'!L131/'Semi Rev'!L131-'Semi OpInc'!H131/'Semi Rev'!H131)*10000,""),"")</f>
        <v/>
      </c>
      <c r="I984" s="43">
        <f>IFERROR(IF(AND(ISNUMBER('Semi OpInc'!M131),ISNUMBER('Semi Rev'!M131),ISNUMBER('Semi OpInc'!I131),ISNUMBER('Semi Rev'!I131),'Semi Rev'!M131&gt;0,'Semi Rev'!I131&gt;0),('Semi OpInc'!M131/'Semi Rev'!M131-'Semi OpInc'!I131/'Semi Rev'!I131)*10000,""),"")</f>
        <v/>
      </c>
      <c r="J984" s="43">
        <f>IFERROR(IF(AND(ISNUMBER('Semi OpInc'!N131),ISNUMBER('Semi Rev'!N131),ISNUMBER('Semi OpInc'!J131),ISNUMBER('Semi Rev'!J131),'Semi Rev'!N131&gt;0,'Semi Rev'!J131&gt;0),('Semi OpInc'!N131/'Semi Rev'!N131-'Semi OpInc'!J131/'Semi Rev'!J131)*10000,""),"")</f>
        <v/>
      </c>
      <c r="K984" s="43">
        <f>IFERROR(IF(AND(ISNUMBER('Semi OpInc'!O131),ISNUMBER('Semi Rev'!O131),ISNUMBER('Semi OpInc'!K131),ISNUMBER('Semi Rev'!K131),'Semi Rev'!O131&gt;0,'Semi Rev'!K131&gt;0),('Semi OpInc'!O131/'Semi Rev'!O131-'Semi OpInc'!K131/'Semi Rev'!K131)*10000,""),"")</f>
        <v/>
      </c>
      <c r="L984" s="43">
        <f>IFERROR(IF(AND(ISNUMBER('Semi OpInc'!P131),ISNUMBER('Semi Rev'!P131),ISNUMBER('Semi OpInc'!L131),ISNUMBER('Semi Rev'!L131),'Semi Rev'!P131&gt;0,'Semi Rev'!L131&gt;0),('Semi OpInc'!P131/'Semi Rev'!P131-'Semi OpInc'!L131/'Semi Rev'!L131)*10000,""),"")</f>
        <v/>
      </c>
      <c r="M984" s="44">
        <f>IFERROR(IF(AND(ISNUMBER('Semi OpInc'!Q131),ISNUMBER('Semi Rev'!Q131),ISNUMBER('Semi OpInc'!M131),ISNUMBER('Semi Rev'!M131),'Semi Rev'!Q131&gt;0,'Semi Rev'!M131&gt;0),('Semi OpInc'!Q131/'Semi Rev'!Q131-'Semi OpInc'!M131/'Semi Rev'!M131)*10000,""),"")</f>
        <v/>
      </c>
      <c r="N984" s="44">
        <f>IFERROR(IF(AND(ISNUMBER('Semi OpInc'!R131),ISNUMBER('Semi Rev'!R131),ISNUMBER('Semi OpInc'!N131),ISNUMBER('Semi Rev'!N131),'Semi Rev'!R131&gt;0,'Semi Rev'!N131&gt;0),('Semi OpInc'!R131/'Semi Rev'!R131-'Semi OpInc'!N131/'Semi Rev'!N131)*10000,""),"")</f>
        <v/>
      </c>
    </row>
    <row r="985">
      <c r="A985" s="19">
        <f>'Semi Rev'!$A132</f>
        <v/>
      </c>
      <c r="B985" s="19">
        <f>'Semi Rev'!$B132</f>
        <v/>
      </c>
      <c r="C985" s="43">
        <f>IFERROR(IF(AND(ISNUMBER('Semi OpInc'!G132),ISNUMBER('Semi Rev'!G132),ISNUMBER('Semi OpInc'!C132),ISNUMBER('Semi Rev'!C132),'Semi Rev'!G132&gt;0,'Semi Rev'!C132&gt;0),('Semi OpInc'!G132/'Semi Rev'!G132-'Semi OpInc'!C132/'Semi Rev'!C132)*10000,""),"")</f>
        <v/>
      </c>
      <c r="D985" s="43">
        <f>IFERROR(IF(AND(ISNUMBER('Semi OpInc'!H132),ISNUMBER('Semi Rev'!H132),ISNUMBER('Semi OpInc'!D132),ISNUMBER('Semi Rev'!D132),'Semi Rev'!H132&gt;0,'Semi Rev'!D132&gt;0),('Semi OpInc'!H132/'Semi Rev'!H132-'Semi OpInc'!D132/'Semi Rev'!D132)*10000,""),"")</f>
        <v/>
      </c>
      <c r="E985" s="43">
        <f>IFERROR(IF(AND(ISNUMBER('Semi OpInc'!I132),ISNUMBER('Semi Rev'!I132),ISNUMBER('Semi OpInc'!E132),ISNUMBER('Semi Rev'!E132),'Semi Rev'!I132&gt;0,'Semi Rev'!E132&gt;0),('Semi OpInc'!I132/'Semi Rev'!I132-'Semi OpInc'!E132/'Semi Rev'!E132)*10000,""),"")</f>
        <v/>
      </c>
      <c r="F985" s="43">
        <f>IFERROR(IF(AND(ISNUMBER('Semi OpInc'!J132),ISNUMBER('Semi Rev'!J132),ISNUMBER('Semi OpInc'!F132),ISNUMBER('Semi Rev'!F132),'Semi Rev'!J132&gt;0,'Semi Rev'!F132&gt;0),('Semi OpInc'!J132/'Semi Rev'!J132-'Semi OpInc'!F132/'Semi Rev'!F132)*10000,""),"")</f>
        <v/>
      </c>
      <c r="G985" s="43">
        <f>IFERROR(IF(AND(ISNUMBER('Semi OpInc'!K132),ISNUMBER('Semi Rev'!K132),ISNUMBER('Semi OpInc'!G132),ISNUMBER('Semi Rev'!G132),'Semi Rev'!K132&gt;0,'Semi Rev'!G132&gt;0),('Semi OpInc'!K132/'Semi Rev'!K132-'Semi OpInc'!G132/'Semi Rev'!G132)*10000,""),"")</f>
        <v/>
      </c>
      <c r="H985" s="43">
        <f>IFERROR(IF(AND(ISNUMBER('Semi OpInc'!L132),ISNUMBER('Semi Rev'!L132),ISNUMBER('Semi OpInc'!H132),ISNUMBER('Semi Rev'!H132),'Semi Rev'!L132&gt;0,'Semi Rev'!H132&gt;0),('Semi OpInc'!L132/'Semi Rev'!L132-'Semi OpInc'!H132/'Semi Rev'!H132)*10000,""),"")</f>
        <v/>
      </c>
      <c r="I985" s="43">
        <f>IFERROR(IF(AND(ISNUMBER('Semi OpInc'!M132),ISNUMBER('Semi Rev'!M132),ISNUMBER('Semi OpInc'!I132),ISNUMBER('Semi Rev'!I132),'Semi Rev'!M132&gt;0,'Semi Rev'!I132&gt;0),('Semi OpInc'!M132/'Semi Rev'!M132-'Semi OpInc'!I132/'Semi Rev'!I132)*10000,""),"")</f>
        <v/>
      </c>
      <c r="J985" s="43">
        <f>IFERROR(IF(AND(ISNUMBER('Semi OpInc'!N132),ISNUMBER('Semi Rev'!N132),ISNUMBER('Semi OpInc'!J132),ISNUMBER('Semi Rev'!J132),'Semi Rev'!N132&gt;0,'Semi Rev'!J132&gt;0),('Semi OpInc'!N132/'Semi Rev'!N132-'Semi OpInc'!J132/'Semi Rev'!J132)*10000,""),"")</f>
        <v/>
      </c>
      <c r="K985" s="43">
        <f>IFERROR(IF(AND(ISNUMBER('Semi OpInc'!O132),ISNUMBER('Semi Rev'!O132),ISNUMBER('Semi OpInc'!K132),ISNUMBER('Semi Rev'!K132),'Semi Rev'!O132&gt;0,'Semi Rev'!K132&gt;0),('Semi OpInc'!O132/'Semi Rev'!O132-'Semi OpInc'!K132/'Semi Rev'!K132)*10000,""),"")</f>
        <v/>
      </c>
      <c r="L985" s="43">
        <f>IFERROR(IF(AND(ISNUMBER('Semi OpInc'!P132),ISNUMBER('Semi Rev'!P132),ISNUMBER('Semi OpInc'!L132),ISNUMBER('Semi Rev'!L132),'Semi Rev'!P132&gt;0,'Semi Rev'!L132&gt;0),('Semi OpInc'!P132/'Semi Rev'!P132-'Semi OpInc'!L132/'Semi Rev'!L132)*10000,""),"")</f>
        <v/>
      </c>
      <c r="M985" s="44">
        <f>IFERROR(IF(AND(ISNUMBER('Semi OpInc'!Q132),ISNUMBER('Semi Rev'!Q132),ISNUMBER('Semi OpInc'!M132),ISNUMBER('Semi Rev'!M132),'Semi Rev'!Q132&gt;0,'Semi Rev'!M132&gt;0),('Semi OpInc'!Q132/'Semi Rev'!Q132-'Semi OpInc'!M132/'Semi Rev'!M132)*10000,""),"")</f>
        <v/>
      </c>
      <c r="N985" s="44">
        <f>IFERROR(IF(AND(ISNUMBER('Semi OpInc'!R132),ISNUMBER('Semi Rev'!R132),ISNUMBER('Semi OpInc'!N132),ISNUMBER('Semi Rev'!N132),'Semi Rev'!R132&gt;0,'Semi Rev'!N132&gt;0),('Semi OpInc'!R132/'Semi Rev'!R132-'Semi OpInc'!N132/'Semi Rev'!N132)*10000,""),"")</f>
        <v/>
      </c>
    </row>
    <row r="986">
      <c r="A986" s="19">
        <f>'Semi Rev'!$A133</f>
        <v/>
      </c>
      <c r="B986" s="19">
        <f>'Semi Rev'!$B133</f>
        <v/>
      </c>
      <c r="C986" s="43">
        <f>IFERROR(IF(AND(ISNUMBER('Semi OpInc'!G133),ISNUMBER('Semi Rev'!G133),ISNUMBER('Semi OpInc'!C133),ISNUMBER('Semi Rev'!C133),'Semi Rev'!G133&gt;0,'Semi Rev'!C133&gt;0),('Semi OpInc'!G133/'Semi Rev'!G133-'Semi OpInc'!C133/'Semi Rev'!C133)*10000,""),"")</f>
        <v/>
      </c>
      <c r="D986" s="43">
        <f>IFERROR(IF(AND(ISNUMBER('Semi OpInc'!H133),ISNUMBER('Semi Rev'!H133),ISNUMBER('Semi OpInc'!D133),ISNUMBER('Semi Rev'!D133),'Semi Rev'!H133&gt;0,'Semi Rev'!D133&gt;0),('Semi OpInc'!H133/'Semi Rev'!H133-'Semi OpInc'!D133/'Semi Rev'!D133)*10000,""),"")</f>
        <v/>
      </c>
      <c r="E986" s="43">
        <f>IFERROR(IF(AND(ISNUMBER('Semi OpInc'!I133),ISNUMBER('Semi Rev'!I133),ISNUMBER('Semi OpInc'!E133),ISNUMBER('Semi Rev'!E133),'Semi Rev'!I133&gt;0,'Semi Rev'!E133&gt;0),('Semi OpInc'!I133/'Semi Rev'!I133-'Semi OpInc'!E133/'Semi Rev'!E133)*10000,""),"")</f>
        <v/>
      </c>
      <c r="F986" s="43">
        <f>IFERROR(IF(AND(ISNUMBER('Semi OpInc'!J133),ISNUMBER('Semi Rev'!J133),ISNUMBER('Semi OpInc'!F133),ISNUMBER('Semi Rev'!F133),'Semi Rev'!J133&gt;0,'Semi Rev'!F133&gt;0),('Semi OpInc'!J133/'Semi Rev'!J133-'Semi OpInc'!F133/'Semi Rev'!F133)*10000,""),"")</f>
        <v/>
      </c>
      <c r="G986" s="43">
        <f>IFERROR(IF(AND(ISNUMBER('Semi OpInc'!K133),ISNUMBER('Semi Rev'!K133),ISNUMBER('Semi OpInc'!G133),ISNUMBER('Semi Rev'!G133),'Semi Rev'!K133&gt;0,'Semi Rev'!G133&gt;0),('Semi OpInc'!K133/'Semi Rev'!K133-'Semi OpInc'!G133/'Semi Rev'!G133)*10000,""),"")</f>
        <v/>
      </c>
      <c r="H986" s="43">
        <f>IFERROR(IF(AND(ISNUMBER('Semi OpInc'!L133),ISNUMBER('Semi Rev'!L133),ISNUMBER('Semi OpInc'!H133),ISNUMBER('Semi Rev'!H133),'Semi Rev'!L133&gt;0,'Semi Rev'!H133&gt;0),('Semi OpInc'!L133/'Semi Rev'!L133-'Semi OpInc'!H133/'Semi Rev'!H133)*10000,""),"")</f>
        <v/>
      </c>
      <c r="I986" s="43">
        <f>IFERROR(IF(AND(ISNUMBER('Semi OpInc'!M133),ISNUMBER('Semi Rev'!M133),ISNUMBER('Semi OpInc'!I133),ISNUMBER('Semi Rev'!I133),'Semi Rev'!M133&gt;0,'Semi Rev'!I133&gt;0),('Semi OpInc'!M133/'Semi Rev'!M133-'Semi OpInc'!I133/'Semi Rev'!I133)*10000,""),"")</f>
        <v/>
      </c>
      <c r="J986" s="43">
        <f>IFERROR(IF(AND(ISNUMBER('Semi OpInc'!N133),ISNUMBER('Semi Rev'!N133),ISNUMBER('Semi OpInc'!J133),ISNUMBER('Semi Rev'!J133),'Semi Rev'!N133&gt;0,'Semi Rev'!J133&gt;0),('Semi OpInc'!N133/'Semi Rev'!N133-'Semi OpInc'!J133/'Semi Rev'!J133)*10000,""),"")</f>
        <v/>
      </c>
      <c r="K986" s="43">
        <f>IFERROR(IF(AND(ISNUMBER('Semi OpInc'!O133),ISNUMBER('Semi Rev'!O133),ISNUMBER('Semi OpInc'!K133),ISNUMBER('Semi Rev'!K133),'Semi Rev'!O133&gt;0,'Semi Rev'!K133&gt;0),('Semi OpInc'!O133/'Semi Rev'!O133-'Semi OpInc'!K133/'Semi Rev'!K133)*10000,""),"")</f>
        <v/>
      </c>
      <c r="L986" s="43">
        <f>IFERROR(IF(AND(ISNUMBER('Semi OpInc'!P133),ISNUMBER('Semi Rev'!P133),ISNUMBER('Semi OpInc'!L133),ISNUMBER('Semi Rev'!L133),'Semi Rev'!P133&gt;0,'Semi Rev'!L133&gt;0),('Semi OpInc'!P133/'Semi Rev'!P133-'Semi OpInc'!L133/'Semi Rev'!L133)*10000,""),"")</f>
        <v/>
      </c>
      <c r="M986" s="44">
        <f>IFERROR(IF(AND(ISNUMBER('Semi OpInc'!Q133),ISNUMBER('Semi Rev'!Q133),ISNUMBER('Semi OpInc'!M133),ISNUMBER('Semi Rev'!M133),'Semi Rev'!Q133&gt;0,'Semi Rev'!M133&gt;0),('Semi OpInc'!Q133/'Semi Rev'!Q133-'Semi OpInc'!M133/'Semi Rev'!M133)*10000,""),"")</f>
        <v/>
      </c>
      <c r="N986" s="44">
        <f>IFERROR(IF(AND(ISNUMBER('Semi OpInc'!R133),ISNUMBER('Semi Rev'!R133),ISNUMBER('Semi OpInc'!N133),ISNUMBER('Semi Rev'!N133),'Semi Rev'!R133&gt;0,'Semi Rev'!N133&gt;0),('Semi OpInc'!R133/'Semi Rev'!R133-'Semi OpInc'!N133/'Semi Rev'!N133)*10000,""),"")</f>
        <v/>
      </c>
    </row>
    <row r="987">
      <c r="A987" s="19">
        <f>'Semi Rev'!$A134</f>
        <v/>
      </c>
      <c r="B987" s="19">
        <f>'Semi Rev'!$B134</f>
        <v/>
      </c>
      <c r="C987" s="43">
        <f>IFERROR(IF(AND(ISNUMBER('Semi OpInc'!G134),ISNUMBER('Semi Rev'!G134),ISNUMBER('Semi OpInc'!C134),ISNUMBER('Semi Rev'!C134),'Semi Rev'!G134&gt;0,'Semi Rev'!C134&gt;0),('Semi OpInc'!G134/'Semi Rev'!G134-'Semi OpInc'!C134/'Semi Rev'!C134)*10000,""),"")</f>
        <v/>
      </c>
      <c r="D987" s="43">
        <f>IFERROR(IF(AND(ISNUMBER('Semi OpInc'!H134),ISNUMBER('Semi Rev'!H134),ISNUMBER('Semi OpInc'!D134),ISNUMBER('Semi Rev'!D134),'Semi Rev'!H134&gt;0,'Semi Rev'!D134&gt;0),('Semi OpInc'!H134/'Semi Rev'!H134-'Semi OpInc'!D134/'Semi Rev'!D134)*10000,""),"")</f>
        <v/>
      </c>
      <c r="E987" s="43">
        <f>IFERROR(IF(AND(ISNUMBER('Semi OpInc'!I134),ISNUMBER('Semi Rev'!I134),ISNUMBER('Semi OpInc'!E134),ISNUMBER('Semi Rev'!E134),'Semi Rev'!I134&gt;0,'Semi Rev'!E134&gt;0),('Semi OpInc'!I134/'Semi Rev'!I134-'Semi OpInc'!E134/'Semi Rev'!E134)*10000,""),"")</f>
        <v/>
      </c>
      <c r="F987" s="43">
        <f>IFERROR(IF(AND(ISNUMBER('Semi OpInc'!J134),ISNUMBER('Semi Rev'!J134),ISNUMBER('Semi OpInc'!F134),ISNUMBER('Semi Rev'!F134),'Semi Rev'!J134&gt;0,'Semi Rev'!F134&gt;0),('Semi OpInc'!J134/'Semi Rev'!J134-'Semi OpInc'!F134/'Semi Rev'!F134)*10000,""),"")</f>
        <v/>
      </c>
      <c r="G987" s="43">
        <f>IFERROR(IF(AND(ISNUMBER('Semi OpInc'!K134),ISNUMBER('Semi Rev'!K134),ISNUMBER('Semi OpInc'!G134),ISNUMBER('Semi Rev'!G134),'Semi Rev'!K134&gt;0,'Semi Rev'!G134&gt;0),('Semi OpInc'!K134/'Semi Rev'!K134-'Semi OpInc'!G134/'Semi Rev'!G134)*10000,""),"")</f>
        <v/>
      </c>
      <c r="H987" s="43">
        <f>IFERROR(IF(AND(ISNUMBER('Semi OpInc'!L134),ISNUMBER('Semi Rev'!L134),ISNUMBER('Semi OpInc'!H134),ISNUMBER('Semi Rev'!H134),'Semi Rev'!L134&gt;0,'Semi Rev'!H134&gt;0),('Semi OpInc'!L134/'Semi Rev'!L134-'Semi OpInc'!H134/'Semi Rev'!H134)*10000,""),"")</f>
        <v/>
      </c>
      <c r="I987" s="43">
        <f>IFERROR(IF(AND(ISNUMBER('Semi OpInc'!M134),ISNUMBER('Semi Rev'!M134),ISNUMBER('Semi OpInc'!I134),ISNUMBER('Semi Rev'!I134),'Semi Rev'!M134&gt;0,'Semi Rev'!I134&gt;0),('Semi OpInc'!M134/'Semi Rev'!M134-'Semi OpInc'!I134/'Semi Rev'!I134)*10000,""),"")</f>
        <v/>
      </c>
      <c r="J987" s="43">
        <f>IFERROR(IF(AND(ISNUMBER('Semi OpInc'!N134),ISNUMBER('Semi Rev'!N134),ISNUMBER('Semi OpInc'!J134),ISNUMBER('Semi Rev'!J134),'Semi Rev'!N134&gt;0,'Semi Rev'!J134&gt;0),('Semi OpInc'!N134/'Semi Rev'!N134-'Semi OpInc'!J134/'Semi Rev'!J134)*10000,""),"")</f>
        <v/>
      </c>
      <c r="K987" s="43">
        <f>IFERROR(IF(AND(ISNUMBER('Semi OpInc'!O134),ISNUMBER('Semi Rev'!O134),ISNUMBER('Semi OpInc'!K134),ISNUMBER('Semi Rev'!K134),'Semi Rev'!O134&gt;0,'Semi Rev'!K134&gt;0),('Semi OpInc'!O134/'Semi Rev'!O134-'Semi OpInc'!K134/'Semi Rev'!K134)*10000,""),"")</f>
        <v/>
      </c>
      <c r="L987" s="43">
        <f>IFERROR(IF(AND(ISNUMBER('Semi OpInc'!P134),ISNUMBER('Semi Rev'!P134),ISNUMBER('Semi OpInc'!L134),ISNUMBER('Semi Rev'!L134),'Semi Rev'!P134&gt;0,'Semi Rev'!L134&gt;0),('Semi OpInc'!P134/'Semi Rev'!P134-'Semi OpInc'!L134/'Semi Rev'!L134)*10000,""),"")</f>
        <v/>
      </c>
      <c r="M987" s="44">
        <f>IFERROR(IF(AND(ISNUMBER('Semi OpInc'!Q134),ISNUMBER('Semi Rev'!Q134),ISNUMBER('Semi OpInc'!M134),ISNUMBER('Semi Rev'!M134),'Semi Rev'!Q134&gt;0,'Semi Rev'!M134&gt;0),('Semi OpInc'!Q134/'Semi Rev'!Q134-'Semi OpInc'!M134/'Semi Rev'!M134)*10000,""),"")</f>
        <v/>
      </c>
      <c r="N987" s="44">
        <f>IFERROR(IF(AND(ISNUMBER('Semi OpInc'!R134),ISNUMBER('Semi Rev'!R134),ISNUMBER('Semi OpInc'!N134),ISNUMBER('Semi Rev'!N134),'Semi Rev'!R134&gt;0,'Semi Rev'!N134&gt;0),('Semi OpInc'!R134/'Semi Rev'!R134-'Semi OpInc'!N134/'Semi Rev'!N134)*10000,""),"")</f>
        <v/>
      </c>
    </row>
    <row r="988">
      <c r="A988" s="19">
        <f>'Semi Rev'!$A135</f>
        <v/>
      </c>
      <c r="B988" s="19">
        <f>'Semi Rev'!$B135</f>
        <v/>
      </c>
      <c r="C988" s="43">
        <f>IFERROR(IF(AND(ISNUMBER('Semi OpInc'!G135),ISNUMBER('Semi Rev'!G135),ISNUMBER('Semi OpInc'!C135),ISNUMBER('Semi Rev'!C135),'Semi Rev'!G135&gt;0,'Semi Rev'!C135&gt;0),('Semi OpInc'!G135/'Semi Rev'!G135-'Semi OpInc'!C135/'Semi Rev'!C135)*10000,""),"")</f>
        <v/>
      </c>
      <c r="D988" s="43">
        <f>IFERROR(IF(AND(ISNUMBER('Semi OpInc'!H135),ISNUMBER('Semi Rev'!H135),ISNUMBER('Semi OpInc'!D135),ISNUMBER('Semi Rev'!D135),'Semi Rev'!H135&gt;0,'Semi Rev'!D135&gt;0),('Semi OpInc'!H135/'Semi Rev'!H135-'Semi OpInc'!D135/'Semi Rev'!D135)*10000,""),"")</f>
        <v/>
      </c>
      <c r="E988" s="43">
        <f>IFERROR(IF(AND(ISNUMBER('Semi OpInc'!I135),ISNUMBER('Semi Rev'!I135),ISNUMBER('Semi OpInc'!E135),ISNUMBER('Semi Rev'!E135),'Semi Rev'!I135&gt;0,'Semi Rev'!E135&gt;0),('Semi OpInc'!I135/'Semi Rev'!I135-'Semi OpInc'!E135/'Semi Rev'!E135)*10000,""),"")</f>
        <v/>
      </c>
      <c r="F988" s="43">
        <f>IFERROR(IF(AND(ISNUMBER('Semi OpInc'!J135),ISNUMBER('Semi Rev'!J135),ISNUMBER('Semi OpInc'!F135),ISNUMBER('Semi Rev'!F135),'Semi Rev'!J135&gt;0,'Semi Rev'!F135&gt;0),('Semi OpInc'!J135/'Semi Rev'!J135-'Semi OpInc'!F135/'Semi Rev'!F135)*10000,""),"")</f>
        <v/>
      </c>
      <c r="G988" s="43">
        <f>IFERROR(IF(AND(ISNUMBER('Semi OpInc'!K135),ISNUMBER('Semi Rev'!K135),ISNUMBER('Semi OpInc'!G135),ISNUMBER('Semi Rev'!G135),'Semi Rev'!K135&gt;0,'Semi Rev'!G135&gt;0),('Semi OpInc'!K135/'Semi Rev'!K135-'Semi OpInc'!G135/'Semi Rev'!G135)*10000,""),"")</f>
        <v/>
      </c>
      <c r="H988" s="43">
        <f>IFERROR(IF(AND(ISNUMBER('Semi OpInc'!L135),ISNUMBER('Semi Rev'!L135),ISNUMBER('Semi OpInc'!H135),ISNUMBER('Semi Rev'!H135),'Semi Rev'!L135&gt;0,'Semi Rev'!H135&gt;0),('Semi OpInc'!L135/'Semi Rev'!L135-'Semi OpInc'!H135/'Semi Rev'!H135)*10000,""),"")</f>
        <v/>
      </c>
      <c r="I988" s="43">
        <f>IFERROR(IF(AND(ISNUMBER('Semi OpInc'!M135),ISNUMBER('Semi Rev'!M135),ISNUMBER('Semi OpInc'!I135),ISNUMBER('Semi Rev'!I135),'Semi Rev'!M135&gt;0,'Semi Rev'!I135&gt;0),('Semi OpInc'!M135/'Semi Rev'!M135-'Semi OpInc'!I135/'Semi Rev'!I135)*10000,""),"")</f>
        <v/>
      </c>
      <c r="J988" s="43">
        <f>IFERROR(IF(AND(ISNUMBER('Semi OpInc'!N135),ISNUMBER('Semi Rev'!N135),ISNUMBER('Semi OpInc'!J135),ISNUMBER('Semi Rev'!J135),'Semi Rev'!N135&gt;0,'Semi Rev'!J135&gt;0),('Semi OpInc'!N135/'Semi Rev'!N135-'Semi OpInc'!J135/'Semi Rev'!J135)*10000,""),"")</f>
        <v/>
      </c>
      <c r="K988" s="43">
        <f>IFERROR(IF(AND(ISNUMBER('Semi OpInc'!O135),ISNUMBER('Semi Rev'!O135),ISNUMBER('Semi OpInc'!K135),ISNUMBER('Semi Rev'!K135),'Semi Rev'!O135&gt;0,'Semi Rev'!K135&gt;0),('Semi OpInc'!O135/'Semi Rev'!O135-'Semi OpInc'!K135/'Semi Rev'!K135)*10000,""),"")</f>
        <v/>
      </c>
      <c r="L988" s="43">
        <f>IFERROR(IF(AND(ISNUMBER('Semi OpInc'!P135),ISNUMBER('Semi Rev'!P135),ISNUMBER('Semi OpInc'!L135),ISNUMBER('Semi Rev'!L135),'Semi Rev'!P135&gt;0,'Semi Rev'!L135&gt;0),('Semi OpInc'!P135/'Semi Rev'!P135-'Semi OpInc'!L135/'Semi Rev'!L135)*10000,""),"")</f>
        <v/>
      </c>
      <c r="M988" s="44">
        <f>IFERROR(IF(AND(ISNUMBER('Semi OpInc'!Q135),ISNUMBER('Semi Rev'!Q135),ISNUMBER('Semi OpInc'!M135),ISNUMBER('Semi Rev'!M135),'Semi Rev'!Q135&gt;0,'Semi Rev'!M135&gt;0),('Semi OpInc'!Q135/'Semi Rev'!Q135-'Semi OpInc'!M135/'Semi Rev'!M135)*10000,""),"")</f>
        <v/>
      </c>
      <c r="N988" s="44">
        <f>IFERROR(IF(AND(ISNUMBER('Semi OpInc'!R135),ISNUMBER('Semi Rev'!R135),ISNUMBER('Semi OpInc'!N135),ISNUMBER('Semi Rev'!N135),'Semi Rev'!R135&gt;0,'Semi Rev'!N135&gt;0),('Semi OpInc'!R135/'Semi Rev'!R135-'Semi OpInc'!N135/'Semi Rev'!N135)*10000,""),"")</f>
        <v/>
      </c>
    </row>
    <row r="989">
      <c r="A989" s="19">
        <f>'Semi Rev'!$A136</f>
        <v/>
      </c>
      <c r="B989" s="19">
        <f>'Semi Rev'!$B136</f>
        <v/>
      </c>
      <c r="C989" s="43">
        <f>IFERROR(IF(AND(ISNUMBER('Semi OpInc'!G136),ISNUMBER('Semi Rev'!G136),ISNUMBER('Semi OpInc'!C136),ISNUMBER('Semi Rev'!C136),'Semi Rev'!G136&gt;0,'Semi Rev'!C136&gt;0),('Semi OpInc'!G136/'Semi Rev'!G136-'Semi OpInc'!C136/'Semi Rev'!C136)*10000,""),"")</f>
        <v/>
      </c>
      <c r="D989" s="43">
        <f>IFERROR(IF(AND(ISNUMBER('Semi OpInc'!H136),ISNUMBER('Semi Rev'!H136),ISNUMBER('Semi OpInc'!D136),ISNUMBER('Semi Rev'!D136),'Semi Rev'!H136&gt;0,'Semi Rev'!D136&gt;0),('Semi OpInc'!H136/'Semi Rev'!H136-'Semi OpInc'!D136/'Semi Rev'!D136)*10000,""),"")</f>
        <v/>
      </c>
      <c r="E989" s="43">
        <f>IFERROR(IF(AND(ISNUMBER('Semi OpInc'!I136),ISNUMBER('Semi Rev'!I136),ISNUMBER('Semi OpInc'!E136),ISNUMBER('Semi Rev'!E136),'Semi Rev'!I136&gt;0,'Semi Rev'!E136&gt;0),('Semi OpInc'!I136/'Semi Rev'!I136-'Semi OpInc'!E136/'Semi Rev'!E136)*10000,""),"")</f>
        <v/>
      </c>
      <c r="F989" s="43">
        <f>IFERROR(IF(AND(ISNUMBER('Semi OpInc'!J136),ISNUMBER('Semi Rev'!J136),ISNUMBER('Semi OpInc'!F136),ISNUMBER('Semi Rev'!F136),'Semi Rev'!J136&gt;0,'Semi Rev'!F136&gt;0),('Semi OpInc'!J136/'Semi Rev'!J136-'Semi OpInc'!F136/'Semi Rev'!F136)*10000,""),"")</f>
        <v/>
      </c>
      <c r="G989" s="43">
        <f>IFERROR(IF(AND(ISNUMBER('Semi OpInc'!K136),ISNUMBER('Semi Rev'!K136),ISNUMBER('Semi OpInc'!G136),ISNUMBER('Semi Rev'!G136),'Semi Rev'!K136&gt;0,'Semi Rev'!G136&gt;0),('Semi OpInc'!K136/'Semi Rev'!K136-'Semi OpInc'!G136/'Semi Rev'!G136)*10000,""),"")</f>
        <v/>
      </c>
      <c r="H989" s="43">
        <f>IFERROR(IF(AND(ISNUMBER('Semi OpInc'!L136),ISNUMBER('Semi Rev'!L136),ISNUMBER('Semi OpInc'!H136),ISNUMBER('Semi Rev'!H136),'Semi Rev'!L136&gt;0,'Semi Rev'!H136&gt;0),('Semi OpInc'!L136/'Semi Rev'!L136-'Semi OpInc'!H136/'Semi Rev'!H136)*10000,""),"")</f>
        <v/>
      </c>
      <c r="I989" s="43">
        <f>IFERROR(IF(AND(ISNUMBER('Semi OpInc'!M136),ISNUMBER('Semi Rev'!M136),ISNUMBER('Semi OpInc'!I136),ISNUMBER('Semi Rev'!I136),'Semi Rev'!M136&gt;0,'Semi Rev'!I136&gt;0),('Semi OpInc'!M136/'Semi Rev'!M136-'Semi OpInc'!I136/'Semi Rev'!I136)*10000,""),"")</f>
        <v/>
      </c>
      <c r="J989" s="43">
        <f>IFERROR(IF(AND(ISNUMBER('Semi OpInc'!N136),ISNUMBER('Semi Rev'!N136),ISNUMBER('Semi OpInc'!J136),ISNUMBER('Semi Rev'!J136),'Semi Rev'!N136&gt;0,'Semi Rev'!J136&gt;0),('Semi OpInc'!N136/'Semi Rev'!N136-'Semi OpInc'!J136/'Semi Rev'!J136)*10000,""),"")</f>
        <v/>
      </c>
      <c r="K989" s="43">
        <f>IFERROR(IF(AND(ISNUMBER('Semi OpInc'!O136),ISNUMBER('Semi Rev'!O136),ISNUMBER('Semi OpInc'!K136),ISNUMBER('Semi Rev'!K136),'Semi Rev'!O136&gt;0,'Semi Rev'!K136&gt;0),('Semi OpInc'!O136/'Semi Rev'!O136-'Semi OpInc'!K136/'Semi Rev'!K136)*10000,""),"")</f>
        <v/>
      </c>
      <c r="L989" s="43">
        <f>IFERROR(IF(AND(ISNUMBER('Semi OpInc'!P136),ISNUMBER('Semi Rev'!P136),ISNUMBER('Semi OpInc'!L136),ISNUMBER('Semi Rev'!L136),'Semi Rev'!P136&gt;0,'Semi Rev'!L136&gt;0),('Semi OpInc'!P136/'Semi Rev'!P136-'Semi OpInc'!L136/'Semi Rev'!L136)*10000,""),"")</f>
        <v/>
      </c>
      <c r="M989" s="44">
        <f>IFERROR(IF(AND(ISNUMBER('Semi OpInc'!Q136),ISNUMBER('Semi Rev'!Q136),ISNUMBER('Semi OpInc'!M136),ISNUMBER('Semi Rev'!M136),'Semi Rev'!Q136&gt;0,'Semi Rev'!M136&gt;0),('Semi OpInc'!Q136/'Semi Rev'!Q136-'Semi OpInc'!M136/'Semi Rev'!M136)*10000,""),"")</f>
        <v/>
      </c>
      <c r="N989" s="44">
        <f>IFERROR(IF(AND(ISNUMBER('Semi OpInc'!R136),ISNUMBER('Semi Rev'!R136),ISNUMBER('Semi OpInc'!N136),ISNUMBER('Semi Rev'!N136),'Semi Rev'!R136&gt;0,'Semi Rev'!N136&gt;0),('Semi OpInc'!R136/'Semi Rev'!R136-'Semi OpInc'!N136/'Semi Rev'!N136)*10000,""),"")</f>
        <v/>
      </c>
    </row>
    <row r="990">
      <c r="A990" s="19">
        <f>'Semi Rev'!$A137</f>
        <v/>
      </c>
      <c r="B990" s="19">
        <f>'Semi Rev'!$B137</f>
        <v/>
      </c>
      <c r="C990" s="43">
        <f>IFERROR(IF(AND(ISNUMBER('Semi OpInc'!G137),ISNUMBER('Semi Rev'!G137),ISNUMBER('Semi OpInc'!C137),ISNUMBER('Semi Rev'!C137),'Semi Rev'!G137&gt;0,'Semi Rev'!C137&gt;0),('Semi OpInc'!G137/'Semi Rev'!G137-'Semi OpInc'!C137/'Semi Rev'!C137)*10000,""),"")</f>
        <v/>
      </c>
      <c r="D990" s="43">
        <f>IFERROR(IF(AND(ISNUMBER('Semi OpInc'!H137),ISNUMBER('Semi Rev'!H137),ISNUMBER('Semi OpInc'!D137),ISNUMBER('Semi Rev'!D137),'Semi Rev'!H137&gt;0,'Semi Rev'!D137&gt;0),('Semi OpInc'!H137/'Semi Rev'!H137-'Semi OpInc'!D137/'Semi Rev'!D137)*10000,""),"")</f>
        <v/>
      </c>
      <c r="E990" s="43">
        <f>IFERROR(IF(AND(ISNUMBER('Semi OpInc'!I137),ISNUMBER('Semi Rev'!I137),ISNUMBER('Semi OpInc'!E137),ISNUMBER('Semi Rev'!E137),'Semi Rev'!I137&gt;0,'Semi Rev'!E137&gt;0),('Semi OpInc'!I137/'Semi Rev'!I137-'Semi OpInc'!E137/'Semi Rev'!E137)*10000,""),"")</f>
        <v/>
      </c>
      <c r="F990" s="43">
        <f>IFERROR(IF(AND(ISNUMBER('Semi OpInc'!J137),ISNUMBER('Semi Rev'!J137),ISNUMBER('Semi OpInc'!F137),ISNUMBER('Semi Rev'!F137),'Semi Rev'!J137&gt;0,'Semi Rev'!F137&gt;0),('Semi OpInc'!J137/'Semi Rev'!J137-'Semi OpInc'!F137/'Semi Rev'!F137)*10000,""),"")</f>
        <v/>
      </c>
      <c r="G990" s="43">
        <f>IFERROR(IF(AND(ISNUMBER('Semi OpInc'!K137),ISNUMBER('Semi Rev'!K137),ISNUMBER('Semi OpInc'!G137),ISNUMBER('Semi Rev'!G137),'Semi Rev'!K137&gt;0,'Semi Rev'!G137&gt;0),('Semi OpInc'!K137/'Semi Rev'!K137-'Semi OpInc'!G137/'Semi Rev'!G137)*10000,""),"")</f>
        <v/>
      </c>
      <c r="H990" s="43">
        <f>IFERROR(IF(AND(ISNUMBER('Semi OpInc'!L137),ISNUMBER('Semi Rev'!L137),ISNUMBER('Semi OpInc'!H137),ISNUMBER('Semi Rev'!H137),'Semi Rev'!L137&gt;0,'Semi Rev'!H137&gt;0),('Semi OpInc'!L137/'Semi Rev'!L137-'Semi OpInc'!H137/'Semi Rev'!H137)*10000,""),"")</f>
        <v/>
      </c>
      <c r="I990" s="43">
        <f>IFERROR(IF(AND(ISNUMBER('Semi OpInc'!M137),ISNUMBER('Semi Rev'!M137),ISNUMBER('Semi OpInc'!I137),ISNUMBER('Semi Rev'!I137),'Semi Rev'!M137&gt;0,'Semi Rev'!I137&gt;0),('Semi OpInc'!M137/'Semi Rev'!M137-'Semi OpInc'!I137/'Semi Rev'!I137)*10000,""),"")</f>
        <v/>
      </c>
      <c r="J990" s="43">
        <f>IFERROR(IF(AND(ISNUMBER('Semi OpInc'!N137),ISNUMBER('Semi Rev'!N137),ISNUMBER('Semi OpInc'!J137),ISNUMBER('Semi Rev'!J137),'Semi Rev'!N137&gt;0,'Semi Rev'!J137&gt;0),('Semi OpInc'!N137/'Semi Rev'!N137-'Semi OpInc'!J137/'Semi Rev'!J137)*10000,""),"")</f>
        <v/>
      </c>
      <c r="K990" s="43">
        <f>IFERROR(IF(AND(ISNUMBER('Semi OpInc'!O137),ISNUMBER('Semi Rev'!O137),ISNUMBER('Semi OpInc'!K137),ISNUMBER('Semi Rev'!K137),'Semi Rev'!O137&gt;0,'Semi Rev'!K137&gt;0),('Semi OpInc'!O137/'Semi Rev'!O137-'Semi OpInc'!K137/'Semi Rev'!K137)*10000,""),"")</f>
        <v/>
      </c>
      <c r="L990" s="43">
        <f>IFERROR(IF(AND(ISNUMBER('Semi OpInc'!P137),ISNUMBER('Semi Rev'!P137),ISNUMBER('Semi OpInc'!L137),ISNUMBER('Semi Rev'!L137),'Semi Rev'!P137&gt;0,'Semi Rev'!L137&gt;0),('Semi OpInc'!P137/'Semi Rev'!P137-'Semi OpInc'!L137/'Semi Rev'!L137)*10000,""),"")</f>
        <v/>
      </c>
      <c r="M990" s="44">
        <f>IFERROR(IF(AND(ISNUMBER('Semi OpInc'!Q137),ISNUMBER('Semi Rev'!Q137),ISNUMBER('Semi OpInc'!M137),ISNUMBER('Semi Rev'!M137),'Semi Rev'!Q137&gt;0,'Semi Rev'!M137&gt;0),('Semi OpInc'!Q137/'Semi Rev'!Q137-'Semi OpInc'!M137/'Semi Rev'!M137)*10000,""),"")</f>
        <v/>
      </c>
      <c r="N990" s="44">
        <f>IFERROR(IF(AND(ISNUMBER('Semi OpInc'!R137),ISNUMBER('Semi Rev'!R137),ISNUMBER('Semi OpInc'!N137),ISNUMBER('Semi Rev'!N137),'Semi Rev'!R137&gt;0,'Semi Rev'!N137&gt;0),('Semi OpInc'!R137/'Semi Rev'!R137-'Semi OpInc'!N137/'Semi Rev'!N137)*10000,""),"")</f>
        <v/>
      </c>
    </row>
    <row r="991">
      <c r="A991" s="19">
        <f>'Semi Rev'!$A138</f>
        <v/>
      </c>
      <c r="B991" s="19">
        <f>'Semi Rev'!$B138</f>
        <v/>
      </c>
      <c r="C991" s="43">
        <f>IFERROR(IF(AND(ISNUMBER('Semi OpInc'!G138),ISNUMBER('Semi Rev'!G138),ISNUMBER('Semi OpInc'!C138),ISNUMBER('Semi Rev'!C138),'Semi Rev'!G138&gt;0,'Semi Rev'!C138&gt;0),('Semi OpInc'!G138/'Semi Rev'!G138-'Semi OpInc'!C138/'Semi Rev'!C138)*10000,""),"")</f>
        <v/>
      </c>
      <c r="D991" s="43">
        <f>IFERROR(IF(AND(ISNUMBER('Semi OpInc'!H138),ISNUMBER('Semi Rev'!H138),ISNUMBER('Semi OpInc'!D138),ISNUMBER('Semi Rev'!D138),'Semi Rev'!H138&gt;0,'Semi Rev'!D138&gt;0),('Semi OpInc'!H138/'Semi Rev'!H138-'Semi OpInc'!D138/'Semi Rev'!D138)*10000,""),"")</f>
        <v/>
      </c>
      <c r="E991" s="43">
        <f>IFERROR(IF(AND(ISNUMBER('Semi OpInc'!I138),ISNUMBER('Semi Rev'!I138),ISNUMBER('Semi OpInc'!E138),ISNUMBER('Semi Rev'!E138),'Semi Rev'!I138&gt;0,'Semi Rev'!E138&gt;0),('Semi OpInc'!I138/'Semi Rev'!I138-'Semi OpInc'!E138/'Semi Rev'!E138)*10000,""),"")</f>
        <v/>
      </c>
      <c r="F991" s="43">
        <f>IFERROR(IF(AND(ISNUMBER('Semi OpInc'!J138),ISNUMBER('Semi Rev'!J138),ISNUMBER('Semi OpInc'!F138),ISNUMBER('Semi Rev'!F138),'Semi Rev'!J138&gt;0,'Semi Rev'!F138&gt;0),('Semi OpInc'!J138/'Semi Rev'!J138-'Semi OpInc'!F138/'Semi Rev'!F138)*10000,""),"")</f>
        <v/>
      </c>
      <c r="G991" s="43">
        <f>IFERROR(IF(AND(ISNUMBER('Semi OpInc'!K138),ISNUMBER('Semi Rev'!K138),ISNUMBER('Semi OpInc'!G138),ISNUMBER('Semi Rev'!G138),'Semi Rev'!K138&gt;0,'Semi Rev'!G138&gt;0),('Semi OpInc'!K138/'Semi Rev'!K138-'Semi OpInc'!G138/'Semi Rev'!G138)*10000,""),"")</f>
        <v/>
      </c>
      <c r="H991" s="43">
        <f>IFERROR(IF(AND(ISNUMBER('Semi OpInc'!L138),ISNUMBER('Semi Rev'!L138),ISNUMBER('Semi OpInc'!H138),ISNUMBER('Semi Rev'!H138),'Semi Rev'!L138&gt;0,'Semi Rev'!H138&gt;0),('Semi OpInc'!L138/'Semi Rev'!L138-'Semi OpInc'!H138/'Semi Rev'!H138)*10000,""),"")</f>
        <v/>
      </c>
      <c r="I991" s="43">
        <f>IFERROR(IF(AND(ISNUMBER('Semi OpInc'!M138),ISNUMBER('Semi Rev'!M138),ISNUMBER('Semi OpInc'!I138),ISNUMBER('Semi Rev'!I138),'Semi Rev'!M138&gt;0,'Semi Rev'!I138&gt;0),('Semi OpInc'!M138/'Semi Rev'!M138-'Semi OpInc'!I138/'Semi Rev'!I138)*10000,""),"")</f>
        <v/>
      </c>
      <c r="J991" s="43">
        <f>IFERROR(IF(AND(ISNUMBER('Semi OpInc'!N138),ISNUMBER('Semi Rev'!N138),ISNUMBER('Semi OpInc'!J138),ISNUMBER('Semi Rev'!J138),'Semi Rev'!N138&gt;0,'Semi Rev'!J138&gt;0),('Semi OpInc'!N138/'Semi Rev'!N138-'Semi OpInc'!J138/'Semi Rev'!J138)*10000,""),"")</f>
        <v/>
      </c>
      <c r="K991" s="43">
        <f>IFERROR(IF(AND(ISNUMBER('Semi OpInc'!O138),ISNUMBER('Semi Rev'!O138),ISNUMBER('Semi OpInc'!K138),ISNUMBER('Semi Rev'!K138),'Semi Rev'!O138&gt;0,'Semi Rev'!K138&gt;0),('Semi OpInc'!O138/'Semi Rev'!O138-'Semi OpInc'!K138/'Semi Rev'!K138)*10000,""),"")</f>
        <v/>
      </c>
      <c r="L991" s="43">
        <f>IFERROR(IF(AND(ISNUMBER('Semi OpInc'!P138),ISNUMBER('Semi Rev'!P138),ISNUMBER('Semi OpInc'!L138),ISNUMBER('Semi Rev'!L138),'Semi Rev'!P138&gt;0,'Semi Rev'!L138&gt;0),('Semi OpInc'!P138/'Semi Rev'!P138-'Semi OpInc'!L138/'Semi Rev'!L138)*10000,""),"")</f>
        <v/>
      </c>
      <c r="M991" s="44">
        <f>IFERROR(IF(AND(ISNUMBER('Semi OpInc'!Q138),ISNUMBER('Semi Rev'!Q138),ISNUMBER('Semi OpInc'!M138),ISNUMBER('Semi Rev'!M138),'Semi Rev'!Q138&gt;0,'Semi Rev'!M138&gt;0),('Semi OpInc'!Q138/'Semi Rev'!Q138-'Semi OpInc'!M138/'Semi Rev'!M138)*10000,""),"")</f>
        <v/>
      </c>
      <c r="N991" s="44">
        <f>IFERROR(IF(AND(ISNUMBER('Semi OpInc'!R138),ISNUMBER('Semi Rev'!R138),ISNUMBER('Semi OpInc'!N138),ISNUMBER('Semi Rev'!N138),'Semi Rev'!R138&gt;0,'Semi Rev'!N138&gt;0),('Semi OpInc'!R138/'Semi Rev'!R138-'Semi OpInc'!N138/'Semi Rev'!N138)*10000,""),"")</f>
        <v/>
      </c>
    </row>
    <row r="992">
      <c r="A992" s="19">
        <f>'Semi Rev'!$A139</f>
        <v/>
      </c>
      <c r="B992" s="19">
        <f>'Semi Rev'!$B139</f>
        <v/>
      </c>
      <c r="C992" s="43">
        <f>IFERROR(IF(AND(ISNUMBER('Semi OpInc'!G139),ISNUMBER('Semi Rev'!G139),ISNUMBER('Semi OpInc'!C139),ISNUMBER('Semi Rev'!C139),'Semi Rev'!G139&gt;0,'Semi Rev'!C139&gt;0),('Semi OpInc'!G139/'Semi Rev'!G139-'Semi OpInc'!C139/'Semi Rev'!C139)*10000,""),"")</f>
        <v/>
      </c>
      <c r="D992" s="43">
        <f>IFERROR(IF(AND(ISNUMBER('Semi OpInc'!H139),ISNUMBER('Semi Rev'!H139),ISNUMBER('Semi OpInc'!D139),ISNUMBER('Semi Rev'!D139),'Semi Rev'!H139&gt;0,'Semi Rev'!D139&gt;0),('Semi OpInc'!H139/'Semi Rev'!H139-'Semi OpInc'!D139/'Semi Rev'!D139)*10000,""),"")</f>
        <v/>
      </c>
      <c r="E992" s="43">
        <f>IFERROR(IF(AND(ISNUMBER('Semi OpInc'!I139),ISNUMBER('Semi Rev'!I139),ISNUMBER('Semi OpInc'!E139),ISNUMBER('Semi Rev'!E139),'Semi Rev'!I139&gt;0,'Semi Rev'!E139&gt;0),('Semi OpInc'!I139/'Semi Rev'!I139-'Semi OpInc'!E139/'Semi Rev'!E139)*10000,""),"")</f>
        <v/>
      </c>
      <c r="F992" s="43">
        <f>IFERROR(IF(AND(ISNUMBER('Semi OpInc'!J139),ISNUMBER('Semi Rev'!J139),ISNUMBER('Semi OpInc'!F139),ISNUMBER('Semi Rev'!F139),'Semi Rev'!J139&gt;0,'Semi Rev'!F139&gt;0),('Semi OpInc'!J139/'Semi Rev'!J139-'Semi OpInc'!F139/'Semi Rev'!F139)*10000,""),"")</f>
        <v/>
      </c>
      <c r="G992" s="43">
        <f>IFERROR(IF(AND(ISNUMBER('Semi OpInc'!K139),ISNUMBER('Semi Rev'!K139),ISNUMBER('Semi OpInc'!G139),ISNUMBER('Semi Rev'!G139),'Semi Rev'!K139&gt;0,'Semi Rev'!G139&gt;0),('Semi OpInc'!K139/'Semi Rev'!K139-'Semi OpInc'!G139/'Semi Rev'!G139)*10000,""),"")</f>
        <v/>
      </c>
      <c r="H992" s="43">
        <f>IFERROR(IF(AND(ISNUMBER('Semi OpInc'!L139),ISNUMBER('Semi Rev'!L139),ISNUMBER('Semi OpInc'!H139),ISNUMBER('Semi Rev'!H139),'Semi Rev'!L139&gt;0,'Semi Rev'!H139&gt;0),('Semi OpInc'!L139/'Semi Rev'!L139-'Semi OpInc'!H139/'Semi Rev'!H139)*10000,""),"")</f>
        <v/>
      </c>
      <c r="I992" s="43">
        <f>IFERROR(IF(AND(ISNUMBER('Semi OpInc'!M139),ISNUMBER('Semi Rev'!M139),ISNUMBER('Semi OpInc'!I139),ISNUMBER('Semi Rev'!I139),'Semi Rev'!M139&gt;0,'Semi Rev'!I139&gt;0),('Semi OpInc'!M139/'Semi Rev'!M139-'Semi OpInc'!I139/'Semi Rev'!I139)*10000,""),"")</f>
        <v/>
      </c>
      <c r="J992" s="43">
        <f>IFERROR(IF(AND(ISNUMBER('Semi OpInc'!N139),ISNUMBER('Semi Rev'!N139),ISNUMBER('Semi OpInc'!J139),ISNUMBER('Semi Rev'!J139),'Semi Rev'!N139&gt;0,'Semi Rev'!J139&gt;0),('Semi OpInc'!N139/'Semi Rev'!N139-'Semi OpInc'!J139/'Semi Rev'!J139)*10000,""),"")</f>
        <v/>
      </c>
      <c r="K992" s="43">
        <f>IFERROR(IF(AND(ISNUMBER('Semi OpInc'!O139),ISNUMBER('Semi Rev'!O139),ISNUMBER('Semi OpInc'!K139),ISNUMBER('Semi Rev'!K139),'Semi Rev'!O139&gt;0,'Semi Rev'!K139&gt;0),('Semi OpInc'!O139/'Semi Rev'!O139-'Semi OpInc'!K139/'Semi Rev'!K139)*10000,""),"")</f>
        <v/>
      </c>
      <c r="L992" s="43">
        <f>IFERROR(IF(AND(ISNUMBER('Semi OpInc'!P139),ISNUMBER('Semi Rev'!P139),ISNUMBER('Semi OpInc'!L139),ISNUMBER('Semi Rev'!L139),'Semi Rev'!P139&gt;0,'Semi Rev'!L139&gt;0),('Semi OpInc'!P139/'Semi Rev'!P139-'Semi OpInc'!L139/'Semi Rev'!L139)*10000,""),"")</f>
        <v/>
      </c>
      <c r="M992" s="44">
        <f>IFERROR(IF(AND(ISNUMBER('Semi OpInc'!Q139),ISNUMBER('Semi Rev'!Q139),ISNUMBER('Semi OpInc'!M139),ISNUMBER('Semi Rev'!M139),'Semi Rev'!Q139&gt;0,'Semi Rev'!M139&gt;0),('Semi OpInc'!Q139/'Semi Rev'!Q139-'Semi OpInc'!M139/'Semi Rev'!M139)*10000,""),"")</f>
        <v/>
      </c>
      <c r="N992" s="44">
        <f>IFERROR(IF(AND(ISNUMBER('Semi OpInc'!R139),ISNUMBER('Semi Rev'!R139),ISNUMBER('Semi OpInc'!N139),ISNUMBER('Semi Rev'!N139),'Semi Rev'!R139&gt;0,'Semi Rev'!N139&gt;0),('Semi OpInc'!R139/'Semi Rev'!R139-'Semi OpInc'!N139/'Semi Rev'!N139)*10000,""),"")</f>
        <v/>
      </c>
    </row>
    <row r="993">
      <c r="A993" s="19">
        <f>'Semi Rev'!$A140</f>
        <v/>
      </c>
      <c r="B993" s="19">
        <f>'Semi Rev'!$B140</f>
        <v/>
      </c>
      <c r="C993" s="43">
        <f>IFERROR(IF(AND(ISNUMBER('Semi OpInc'!G140),ISNUMBER('Semi Rev'!G140),ISNUMBER('Semi OpInc'!C140),ISNUMBER('Semi Rev'!C140),'Semi Rev'!G140&gt;0,'Semi Rev'!C140&gt;0),('Semi OpInc'!G140/'Semi Rev'!G140-'Semi OpInc'!C140/'Semi Rev'!C140)*10000,""),"")</f>
        <v/>
      </c>
      <c r="D993" s="43">
        <f>IFERROR(IF(AND(ISNUMBER('Semi OpInc'!H140),ISNUMBER('Semi Rev'!H140),ISNUMBER('Semi OpInc'!D140),ISNUMBER('Semi Rev'!D140),'Semi Rev'!H140&gt;0,'Semi Rev'!D140&gt;0),('Semi OpInc'!H140/'Semi Rev'!H140-'Semi OpInc'!D140/'Semi Rev'!D140)*10000,""),"")</f>
        <v/>
      </c>
      <c r="E993" s="43">
        <f>IFERROR(IF(AND(ISNUMBER('Semi OpInc'!I140),ISNUMBER('Semi Rev'!I140),ISNUMBER('Semi OpInc'!E140),ISNUMBER('Semi Rev'!E140),'Semi Rev'!I140&gt;0,'Semi Rev'!E140&gt;0),('Semi OpInc'!I140/'Semi Rev'!I140-'Semi OpInc'!E140/'Semi Rev'!E140)*10000,""),"")</f>
        <v/>
      </c>
      <c r="F993" s="43">
        <f>IFERROR(IF(AND(ISNUMBER('Semi OpInc'!J140),ISNUMBER('Semi Rev'!J140),ISNUMBER('Semi OpInc'!F140),ISNUMBER('Semi Rev'!F140),'Semi Rev'!J140&gt;0,'Semi Rev'!F140&gt;0),('Semi OpInc'!J140/'Semi Rev'!J140-'Semi OpInc'!F140/'Semi Rev'!F140)*10000,""),"")</f>
        <v/>
      </c>
      <c r="G993" s="43">
        <f>IFERROR(IF(AND(ISNUMBER('Semi OpInc'!K140),ISNUMBER('Semi Rev'!K140),ISNUMBER('Semi OpInc'!G140),ISNUMBER('Semi Rev'!G140),'Semi Rev'!K140&gt;0,'Semi Rev'!G140&gt;0),('Semi OpInc'!K140/'Semi Rev'!K140-'Semi OpInc'!G140/'Semi Rev'!G140)*10000,""),"")</f>
        <v/>
      </c>
      <c r="H993" s="43">
        <f>IFERROR(IF(AND(ISNUMBER('Semi OpInc'!L140),ISNUMBER('Semi Rev'!L140),ISNUMBER('Semi OpInc'!H140),ISNUMBER('Semi Rev'!H140),'Semi Rev'!L140&gt;0,'Semi Rev'!H140&gt;0),('Semi OpInc'!L140/'Semi Rev'!L140-'Semi OpInc'!H140/'Semi Rev'!H140)*10000,""),"")</f>
        <v/>
      </c>
      <c r="I993" s="43">
        <f>IFERROR(IF(AND(ISNUMBER('Semi OpInc'!M140),ISNUMBER('Semi Rev'!M140),ISNUMBER('Semi OpInc'!I140),ISNUMBER('Semi Rev'!I140),'Semi Rev'!M140&gt;0,'Semi Rev'!I140&gt;0),('Semi OpInc'!M140/'Semi Rev'!M140-'Semi OpInc'!I140/'Semi Rev'!I140)*10000,""),"")</f>
        <v/>
      </c>
      <c r="J993" s="43">
        <f>IFERROR(IF(AND(ISNUMBER('Semi OpInc'!N140),ISNUMBER('Semi Rev'!N140),ISNUMBER('Semi OpInc'!J140),ISNUMBER('Semi Rev'!J140),'Semi Rev'!N140&gt;0,'Semi Rev'!J140&gt;0),('Semi OpInc'!N140/'Semi Rev'!N140-'Semi OpInc'!J140/'Semi Rev'!J140)*10000,""),"")</f>
        <v/>
      </c>
      <c r="K993" s="43">
        <f>IFERROR(IF(AND(ISNUMBER('Semi OpInc'!O140),ISNUMBER('Semi Rev'!O140),ISNUMBER('Semi OpInc'!K140),ISNUMBER('Semi Rev'!K140),'Semi Rev'!O140&gt;0,'Semi Rev'!K140&gt;0),('Semi OpInc'!O140/'Semi Rev'!O140-'Semi OpInc'!K140/'Semi Rev'!K140)*10000,""),"")</f>
        <v/>
      </c>
      <c r="L993" s="43">
        <f>IFERROR(IF(AND(ISNUMBER('Semi OpInc'!P140),ISNUMBER('Semi Rev'!P140),ISNUMBER('Semi OpInc'!L140),ISNUMBER('Semi Rev'!L140),'Semi Rev'!P140&gt;0,'Semi Rev'!L140&gt;0),('Semi OpInc'!P140/'Semi Rev'!P140-'Semi OpInc'!L140/'Semi Rev'!L140)*10000,""),"")</f>
        <v/>
      </c>
      <c r="M993" s="44">
        <f>IFERROR(IF(AND(ISNUMBER('Semi OpInc'!Q140),ISNUMBER('Semi Rev'!Q140),ISNUMBER('Semi OpInc'!M140),ISNUMBER('Semi Rev'!M140),'Semi Rev'!Q140&gt;0,'Semi Rev'!M140&gt;0),('Semi OpInc'!Q140/'Semi Rev'!Q140-'Semi OpInc'!M140/'Semi Rev'!M140)*10000,""),"")</f>
        <v/>
      </c>
      <c r="N993" s="44">
        <f>IFERROR(IF(AND(ISNUMBER('Semi OpInc'!R140),ISNUMBER('Semi Rev'!R140),ISNUMBER('Semi OpInc'!N140),ISNUMBER('Semi Rev'!N140),'Semi Rev'!R140&gt;0,'Semi Rev'!N140&gt;0),('Semi OpInc'!R140/'Semi Rev'!R140-'Semi OpInc'!N140/'Semi Rev'!N140)*10000,""),"")</f>
        <v/>
      </c>
    </row>
    <row r="994">
      <c r="A994" s="19">
        <f>'Semi Rev'!$A141</f>
        <v/>
      </c>
      <c r="B994" s="19">
        <f>'Semi Rev'!$B141</f>
        <v/>
      </c>
      <c r="C994" s="43">
        <f>IFERROR(IF(AND(ISNUMBER('Semi OpInc'!G141),ISNUMBER('Semi Rev'!G141),ISNUMBER('Semi OpInc'!C141),ISNUMBER('Semi Rev'!C141),'Semi Rev'!G141&gt;0,'Semi Rev'!C141&gt;0),('Semi OpInc'!G141/'Semi Rev'!G141-'Semi OpInc'!C141/'Semi Rev'!C141)*10000,""),"")</f>
        <v/>
      </c>
      <c r="D994" s="43">
        <f>IFERROR(IF(AND(ISNUMBER('Semi OpInc'!H141),ISNUMBER('Semi Rev'!H141),ISNUMBER('Semi OpInc'!D141),ISNUMBER('Semi Rev'!D141),'Semi Rev'!H141&gt;0,'Semi Rev'!D141&gt;0),('Semi OpInc'!H141/'Semi Rev'!H141-'Semi OpInc'!D141/'Semi Rev'!D141)*10000,""),"")</f>
        <v/>
      </c>
      <c r="E994" s="43">
        <f>IFERROR(IF(AND(ISNUMBER('Semi OpInc'!I141),ISNUMBER('Semi Rev'!I141),ISNUMBER('Semi OpInc'!E141),ISNUMBER('Semi Rev'!E141),'Semi Rev'!I141&gt;0,'Semi Rev'!E141&gt;0),('Semi OpInc'!I141/'Semi Rev'!I141-'Semi OpInc'!E141/'Semi Rev'!E141)*10000,""),"")</f>
        <v/>
      </c>
      <c r="F994" s="43">
        <f>IFERROR(IF(AND(ISNUMBER('Semi OpInc'!J141),ISNUMBER('Semi Rev'!J141),ISNUMBER('Semi OpInc'!F141),ISNUMBER('Semi Rev'!F141),'Semi Rev'!J141&gt;0,'Semi Rev'!F141&gt;0),('Semi OpInc'!J141/'Semi Rev'!J141-'Semi OpInc'!F141/'Semi Rev'!F141)*10000,""),"")</f>
        <v/>
      </c>
      <c r="G994" s="43">
        <f>IFERROR(IF(AND(ISNUMBER('Semi OpInc'!K141),ISNUMBER('Semi Rev'!K141),ISNUMBER('Semi OpInc'!G141),ISNUMBER('Semi Rev'!G141),'Semi Rev'!K141&gt;0,'Semi Rev'!G141&gt;0),('Semi OpInc'!K141/'Semi Rev'!K141-'Semi OpInc'!G141/'Semi Rev'!G141)*10000,""),"")</f>
        <v/>
      </c>
      <c r="H994" s="43">
        <f>IFERROR(IF(AND(ISNUMBER('Semi OpInc'!L141),ISNUMBER('Semi Rev'!L141),ISNUMBER('Semi OpInc'!H141),ISNUMBER('Semi Rev'!H141),'Semi Rev'!L141&gt;0,'Semi Rev'!H141&gt;0),('Semi OpInc'!L141/'Semi Rev'!L141-'Semi OpInc'!H141/'Semi Rev'!H141)*10000,""),"")</f>
        <v/>
      </c>
      <c r="I994" s="43">
        <f>IFERROR(IF(AND(ISNUMBER('Semi OpInc'!M141),ISNUMBER('Semi Rev'!M141),ISNUMBER('Semi OpInc'!I141),ISNUMBER('Semi Rev'!I141),'Semi Rev'!M141&gt;0,'Semi Rev'!I141&gt;0),('Semi OpInc'!M141/'Semi Rev'!M141-'Semi OpInc'!I141/'Semi Rev'!I141)*10000,""),"")</f>
        <v/>
      </c>
      <c r="J994" s="43">
        <f>IFERROR(IF(AND(ISNUMBER('Semi OpInc'!N141),ISNUMBER('Semi Rev'!N141),ISNUMBER('Semi OpInc'!J141),ISNUMBER('Semi Rev'!J141),'Semi Rev'!N141&gt;0,'Semi Rev'!J141&gt;0),('Semi OpInc'!N141/'Semi Rev'!N141-'Semi OpInc'!J141/'Semi Rev'!J141)*10000,""),"")</f>
        <v/>
      </c>
      <c r="K994" s="43">
        <f>IFERROR(IF(AND(ISNUMBER('Semi OpInc'!O141),ISNUMBER('Semi Rev'!O141),ISNUMBER('Semi OpInc'!K141),ISNUMBER('Semi Rev'!K141),'Semi Rev'!O141&gt;0,'Semi Rev'!K141&gt;0),('Semi OpInc'!O141/'Semi Rev'!O141-'Semi OpInc'!K141/'Semi Rev'!K141)*10000,""),"")</f>
        <v/>
      </c>
      <c r="L994" s="43">
        <f>IFERROR(IF(AND(ISNUMBER('Semi OpInc'!P141),ISNUMBER('Semi Rev'!P141),ISNUMBER('Semi OpInc'!L141),ISNUMBER('Semi Rev'!L141),'Semi Rev'!P141&gt;0,'Semi Rev'!L141&gt;0),('Semi OpInc'!P141/'Semi Rev'!P141-'Semi OpInc'!L141/'Semi Rev'!L141)*10000,""),"")</f>
        <v/>
      </c>
      <c r="M994" s="44">
        <f>IFERROR(IF(AND(ISNUMBER('Semi OpInc'!Q141),ISNUMBER('Semi Rev'!Q141),ISNUMBER('Semi OpInc'!M141),ISNUMBER('Semi Rev'!M141),'Semi Rev'!Q141&gt;0,'Semi Rev'!M141&gt;0),('Semi OpInc'!Q141/'Semi Rev'!Q141-'Semi OpInc'!M141/'Semi Rev'!M141)*10000,""),"")</f>
        <v/>
      </c>
      <c r="N994" s="44">
        <f>IFERROR(IF(AND(ISNUMBER('Semi OpInc'!R141),ISNUMBER('Semi Rev'!R141),ISNUMBER('Semi OpInc'!N141),ISNUMBER('Semi Rev'!N141),'Semi Rev'!R141&gt;0,'Semi Rev'!N141&gt;0),('Semi OpInc'!R141/'Semi Rev'!R141-'Semi OpInc'!N141/'Semi Rev'!N141)*10000,""),"")</f>
        <v/>
      </c>
    </row>
    <row r="995">
      <c r="A995" s="19">
        <f>'Semi Rev'!$A142</f>
        <v/>
      </c>
      <c r="B995" s="19">
        <f>'Semi Rev'!$B142</f>
        <v/>
      </c>
      <c r="C995" s="43">
        <f>IFERROR(IF(AND(ISNUMBER('Semi OpInc'!G142),ISNUMBER('Semi Rev'!G142),ISNUMBER('Semi OpInc'!C142),ISNUMBER('Semi Rev'!C142),'Semi Rev'!G142&gt;0,'Semi Rev'!C142&gt;0),('Semi OpInc'!G142/'Semi Rev'!G142-'Semi OpInc'!C142/'Semi Rev'!C142)*10000,""),"")</f>
        <v/>
      </c>
      <c r="D995" s="43">
        <f>IFERROR(IF(AND(ISNUMBER('Semi OpInc'!H142),ISNUMBER('Semi Rev'!H142),ISNUMBER('Semi OpInc'!D142),ISNUMBER('Semi Rev'!D142),'Semi Rev'!H142&gt;0,'Semi Rev'!D142&gt;0),('Semi OpInc'!H142/'Semi Rev'!H142-'Semi OpInc'!D142/'Semi Rev'!D142)*10000,""),"")</f>
        <v/>
      </c>
      <c r="E995" s="43">
        <f>IFERROR(IF(AND(ISNUMBER('Semi OpInc'!I142),ISNUMBER('Semi Rev'!I142),ISNUMBER('Semi OpInc'!E142),ISNUMBER('Semi Rev'!E142),'Semi Rev'!I142&gt;0,'Semi Rev'!E142&gt;0),('Semi OpInc'!I142/'Semi Rev'!I142-'Semi OpInc'!E142/'Semi Rev'!E142)*10000,""),"")</f>
        <v/>
      </c>
      <c r="F995" s="43">
        <f>IFERROR(IF(AND(ISNUMBER('Semi OpInc'!J142),ISNUMBER('Semi Rev'!J142),ISNUMBER('Semi OpInc'!F142),ISNUMBER('Semi Rev'!F142),'Semi Rev'!J142&gt;0,'Semi Rev'!F142&gt;0),('Semi OpInc'!J142/'Semi Rev'!J142-'Semi OpInc'!F142/'Semi Rev'!F142)*10000,""),"")</f>
        <v/>
      </c>
      <c r="G995" s="43">
        <f>IFERROR(IF(AND(ISNUMBER('Semi OpInc'!K142),ISNUMBER('Semi Rev'!K142),ISNUMBER('Semi OpInc'!G142),ISNUMBER('Semi Rev'!G142),'Semi Rev'!K142&gt;0,'Semi Rev'!G142&gt;0),('Semi OpInc'!K142/'Semi Rev'!K142-'Semi OpInc'!G142/'Semi Rev'!G142)*10000,""),"")</f>
        <v/>
      </c>
      <c r="H995" s="43">
        <f>IFERROR(IF(AND(ISNUMBER('Semi OpInc'!L142),ISNUMBER('Semi Rev'!L142),ISNUMBER('Semi OpInc'!H142),ISNUMBER('Semi Rev'!H142),'Semi Rev'!L142&gt;0,'Semi Rev'!H142&gt;0),('Semi OpInc'!L142/'Semi Rev'!L142-'Semi OpInc'!H142/'Semi Rev'!H142)*10000,""),"")</f>
        <v/>
      </c>
      <c r="I995" s="43">
        <f>IFERROR(IF(AND(ISNUMBER('Semi OpInc'!M142),ISNUMBER('Semi Rev'!M142),ISNUMBER('Semi OpInc'!I142),ISNUMBER('Semi Rev'!I142),'Semi Rev'!M142&gt;0,'Semi Rev'!I142&gt;0),('Semi OpInc'!M142/'Semi Rev'!M142-'Semi OpInc'!I142/'Semi Rev'!I142)*10000,""),"")</f>
        <v/>
      </c>
      <c r="J995" s="43">
        <f>IFERROR(IF(AND(ISNUMBER('Semi OpInc'!N142),ISNUMBER('Semi Rev'!N142),ISNUMBER('Semi OpInc'!J142),ISNUMBER('Semi Rev'!J142),'Semi Rev'!N142&gt;0,'Semi Rev'!J142&gt;0),('Semi OpInc'!N142/'Semi Rev'!N142-'Semi OpInc'!J142/'Semi Rev'!J142)*10000,""),"")</f>
        <v/>
      </c>
      <c r="K995" s="43">
        <f>IFERROR(IF(AND(ISNUMBER('Semi OpInc'!O142),ISNUMBER('Semi Rev'!O142),ISNUMBER('Semi OpInc'!K142),ISNUMBER('Semi Rev'!K142),'Semi Rev'!O142&gt;0,'Semi Rev'!K142&gt;0),('Semi OpInc'!O142/'Semi Rev'!O142-'Semi OpInc'!K142/'Semi Rev'!K142)*10000,""),"")</f>
        <v/>
      </c>
      <c r="L995" s="43">
        <f>IFERROR(IF(AND(ISNUMBER('Semi OpInc'!P142),ISNUMBER('Semi Rev'!P142),ISNUMBER('Semi OpInc'!L142),ISNUMBER('Semi Rev'!L142),'Semi Rev'!P142&gt;0,'Semi Rev'!L142&gt;0),('Semi OpInc'!P142/'Semi Rev'!P142-'Semi OpInc'!L142/'Semi Rev'!L142)*10000,""),"")</f>
        <v/>
      </c>
      <c r="M995" s="44">
        <f>IFERROR(IF(AND(ISNUMBER('Semi OpInc'!Q142),ISNUMBER('Semi Rev'!Q142),ISNUMBER('Semi OpInc'!M142),ISNUMBER('Semi Rev'!M142),'Semi Rev'!Q142&gt;0,'Semi Rev'!M142&gt;0),('Semi OpInc'!Q142/'Semi Rev'!Q142-'Semi OpInc'!M142/'Semi Rev'!M142)*10000,""),"")</f>
        <v/>
      </c>
      <c r="N995" s="44">
        <f>IFERROR(IF(AND(ISNUMBER('Semi OpInc'!R142),ISNUMBER('Semi Rev'!R142),ISNUMBER('Semi OpInc'!N142),ISNUMBER('Semi Rev'!N142),'Semi Rev'!R142&gt;0,'Semi Rev'!N142&gt;0),('Semi OpInc'!R142/'Semi Rev'!R142-'Semi OpInc'!N142/'Semi Rev'!N142)*10000,""),"")</f>
        <v/>
      </c>
    </row>
    <row r="996">
      <c r="A996" s="19">
        <f>'Semi Rev'!$A143</f>
        <v/>
      </c>
      <c r="B996" s="19">
        <f>'Semi Rev'!$B143</f>
        <v/>
      </c>
      <c r="C996" s="43">
        <f>IFERROR(IF(AND(ISNUMBER('Semi OpInc'!G143),ISNUMBER('Semi Rev'!G143),ISNUMBER('Semi OpInc'!C143),ISNUMBER('Semi Rev'!C143),'Semi Rev'!G143&gt;0,'Semi Rev'!C143&gt;0),('Semi OpInc'!G143/'Semi Rev'!G143-'Semi OpInc'!C143/'Semi Rev'!C143)*10000,""),"")</f>
        <v/>
      </c>
      <c r="D996" s="43">
        <f>IFERROR(IF(AND(ISNUMBER('Semi OpInc'!H143),ISNUMBER('Semi Rev'!H143),ISNUMBER('Semi OpInc'!D143),ISNUMBER('Semi Rev'!D143),'Semi Rev'!H143&gt;0,'Semi Rev'!D143&gt;0),('Semi OpInc'!H143/'Semi Rev'!H143-'Semi OpInc'!D143/'Semi Rev'!D143)*10000,""),"")</f>
        <v/>
      </c>
      <c r="E996" s="43">
        <f>IFERROR(IF(AND(ISNUMBER('Semi OpInc'!I143),ISNUMBER('Semi Rev'!I143),ISNUMBER('Semi OpInc'!E143),ISNUMBER('Semi Rev'!E143),'Semi Rev'!I143&gt;0,'Semi Rev'!E143&gt;0),('Semi OpInc'!I143/'Semi Rev'!I143-'Semi OpInc'!E143/'Semi Rev'!E143)*10000,""),"")</f>
        <v/>
      </c>
      <c r="F996" s="43">
        <f>IFERROR(IF(AND(ISNUMBER('Semi OpInc'!J143),ISNUMBER('Semi Rev'!J143),ISNUMBER('Semi OpInc'!F143),ISNUMBER('Semi Rev'!F143),'Semi Rev'!J143&gt;0,'Semi Rev'!F143&gt;0),('Semi OpInc'!J143/'Semi Rev'!J143-'Semi OpInc'!F143/'Semi Rev'!F143)*10000,""),"")</f>
        <v/>
      </c>
      <c r="G996" s="43">
        <f>IFERROR(IF(AND(ISNUMBER('Semi OpInc'!K143),ISNUMBER('Semi Rev'!K143),ISNUMBER('Semi OpInc'!G143),ISNUMBER('Semi Rev'!G143),'Semi Rev'!K143&gt;0,'Semi Rev'!G143&gt;0),('Semi OpInc'!K143/'Semi Rev'!K143-'Semi OpInc'!G143/'Semi Rev'!G143)*10000,""),"")</f>
        <v/>
      </c>
      <c r="H996" s="43">
        <f>IFERROR(IF(AND(ISNUMBER('Semi OpInc'!L143),ISNUMBER('Semi Rev'!L143),ISNUMBER('Semi OpInc'!H143),ISNUMBER('Semi Rev'!H143),'Semi Rev'!L143&gt;0,'Semi Rev'!H143&gt;0),('Semi OpInc'!L143/'Semi Rev'!L143-'Semi OpInc'!H143/'Semi Rev'!H143)*10000,""),"")</f>
        <v/>
      </c>
      <c r="I996" s="43">
        <f>IFERROR(IF(AND(ISNUMBER('Semi OpInc'!M143),ISNUMBER('Semi Rev'!M143),ISNUMBER('Semi OpInc'!I143),ISNUMBER('Semi Rev'!I143),'Semi Rev'!M143&gt;0,'Semi Rev'!I143&gt;0),('Semi OpInc'!M143/'Semi Rev'!M143-'Semi OpInc'!I143/'Semi Rev'!I143)*10000,""),"")</f>
        <v/>
      </c>
      <c r="J996" s="43">
        <f>IFERROR(IF(AND(ISNUMBER('Semi OpInc'!N143),ISNUMBER('Semi Rev'!N143),ISNUMBER('Semi OpInc'!J143),ISNUMBER('Semi Rev'!J143),'Semi Rev'!N143&gt;0,'Semi Rev'!J143&gt;0),('Semi OpInc'!N143/'Semi Rev'!N143-'Semi OpInc'!J143/'Semi Rev'!J143)*10000,""),"")</f>
        <v/>
      </c>
      <c r="K996" s="43">
        <f>IFERROR(IF(AND(ISNUMBER('Semi OpInc'!O143),ISNUMBER('Semi Rev'!O143),ISNUMBER('Semi OpInc'!K143),ISNUMBER('Semi Rev'!K143),'Semi Rev'!O143&gt;0,'Semi Rev'!K143&gt;0),('Semi OpInc'!O143/'Semi Rev'!O143-'Semi OpInc'!K143/'Semi Rev'!K143)*10000,""),"")</f>
        <v/>
      </c>
      <c r="L996" s="43">
        <f>IFERROR(IF(AND(ISNUMBER('Semi OpInc'!P143),ISNUMBER('Semi Rev'!P143),ISNUMBER('Semi OpInc'!L143),ISNUMBER('Semi Rev'!L143),'Semi Rev'!P143&gt;0,'Semi Rev'!L143&gt;0),('Semi OpInc'!P143/'Semi Rev'!P143-'Semi OpInc'!L143/'Semi Rev'!L143)*10000,""),"")</f>
        <v/>
      </c>
      <c r="M996" s="44">
        <f>IFERROR(IF(AND(ISNUMBER('Semi OpInc'!Q143),ISNUMBER('Semi Rev'!Q143),ISNUMBER('Semi OpInc'!M143),ISNUMBER('Semi Rev'!M143),'Semi Rev'!Q143&gt;0,'Semi Rev'!M143&gt;0),('Semi OpInc'!Q143/'Semi Rev'!Q143-'Semi OpInc'!M143/'Semi Rev'!M143)*10000,""),"")</f>
        <v/>
      </c>
      <c r="N996" s="44">
        <f>IFERROR(IF(AND(ISNUMBER('Semi OpInc'!R143),ISNUMBER('Semi Rev'!R143),ISNUMBER('Semi OpInc'!N143),ISNUMBER('Semi Rev'!N143),'Semi Rev'!R143&gt;0,'Semi Rev'!N143&gt;0),('Semi OpInc'!R143/'Semi Rev'!R143-'Semi OpInc'!N143/'Semi Rev'!N143)*10000,""),"")</f>
        <v/>
      </c>
    </row>
    <row r="998">
      <c r="A998" s="49" t="inlineStr">
        <is>
          <t>Adj. op income growth YoY %</t>
        </is>
      </c>
      <c r="B998" s="50" t="n"/>
      <c r="C998" s="50" t="n"/>
      <c r="D998" s="50" t="n"/>
      <c r="E998" s="50" t="n"/>
      <c r="F998" s="50" t="n"/>
      <c r="G998" s="50" t="n"/>
      <c r="H998" s="50" t="n"/>
      <c r="I998" s="50" t="n"/>
      <c r="J998" s="50" t="n"/>
      <c r="K998" s="50" t="n"/>
      <c r="L998" s="50" t="n"/>
      <c r="M998" s="50" t="n"/>
      <c r="N998" s="50" t="n"/>
    </row>
    <row r="999" ht="28" customHeight="1">
      <c r="A999" s="8" t="inlineStr">
        <is>
          <t>Ticker</t>
        </is>
      </c>
      <c r="B999" s="8" t="inlineStr">
        <is>
          <t>Latest Rpt Qtr</t>
        </is>
      </c>
      <c r="C999" s="8" t="inlineStr">
        <is>
          <t>FPO -9</t>
        </is>
      </c>
      <c r="D999" s="8" t="inlineStr">
        <is>
          <t>FPO -8</t>
        </is>
      </c>
      <c r="E999" s="8" t="inlineStr">
        <is>
          <t>FPO -7</t>
        </is>
      </c>
      <c r="F999" s="8" t="inlineStr">
        <is>
          <t>FPO -6</t>
        </is>
      </c>
      <c r="G999" s="8" t="inlineStr">
        <is>
          <t>FPO -5</t>
        </is>
      </c>
      <c r="H999" s="8" t="inlineStr">
        <is>
          <t>FPO -4</t>
        </is>
      </c>
      <c r="I999" s="8" t="inlineStr">
        <is>
          <t>FPO -3</t>
        </is>
      </c>
      <c r="J999" s="8" t="inlineStr">
        <is>
          <t>FPO -2</t>
        </is>
      </c>
      <c r="K999" s="8" t="inlineStr">
        <is>
          <t>FPO -1</t>
        </is>
      </c>
      <c r="L999" s="8" t="inlineStr">
        <is>
          <t>FPO 0 (latest rpt)</t>
        </is>
      </c>
      <c r="M999" s="8" t="inlineStr">
        <is>
          <t>FPO +1E</t>
        </is>
      </c>
      <c r="N999" s="8" t="inlineStr">
        <is>
          <t>FPO +2E</t>
        </is>
      </c>
    </row>
    <row r="1000">
      <c r="A1000" s="19">
        <f>'Semi Rev'!$A5</f>
        <v/>
      </c>
      <c r="B1000" s="19">
        <f>'Semi Rev'!$B5</f>
        <v/>
      </c>
      <c r="C1000" s="37">
        <f>IFERROR(IF(AND(ISNUMBER('Semi OpInc'!G5),ISNUMBER('Semi OpInc'!C5),'Semi OpInc'!C5&gt;0),'Semi OpInc'!G5/'Semi OpInc'!C5-1,""),"")</f>
        <v/>
      </c>
      <c r="D1000" s="37">
        <f>IFERROR(IF(AND(ISNUMBER('Semi OpInc'!H5),ISNUMBER('Semi OpInc'!D5),'Semi OpInc'!D5&gt;0),'Semi OpInc'!H5/'Semi OpInc'!D5-1,""),"")</f>
        <v/>
      </c>
      <c r="E1000" s="37">
        <f>IFERROR(IF(AND(ISNUMBER('Semi OpInc'!I5),ISNUMBER('Semi OpInc'!E5),'Semi OpInc'!E5&gt;0),'Semi OpInc'!I5/'Semi OpInc'!E5-1,""),"")</f>
        <v/>
      </c>
      <c r="F1000" s="37">
        <f>IFERROR(IF(AND(ISNUMBER('Semi OpInc'!J5),ISNUMBER('Semi OpInc'!F5),'Semi OpInc'!F5&gt;0),'Semi OpInc'!J5/'Semi OpInc'!F5-1,""),"")</f>
        <v/>
      </c>
      <c r="G1000" s="37">
        <f>IFERROR(IF(AND(ISNUMBER('Semi OpInc'!K5),ISNUMBER('Semi OpInc'!G5),'Semi OpInc'!G5&gt;0),'Semi OpInc'!K5/'Semi OpInc'!G5-1,""),"")</f>
        <v/>
      </c>
      <c r="H1000" s="37">
        <f>IFERROR(IF(AND(ISNUMBER('Semi OpInc'!L5),ISNUMBER('Semi OpInc'!H5),'Semi OpInc'!H5&gt;0),'Semi OpInc'!L5/'Semi OpInc'!H5-1,""),"")</f>
        <v/>
      </c>
      <c r="I1000" s="37">
        <f>IFERROR(IF(AND(ISNUMBER('Semi OpInc'!M5),ISNUMBER('Semi OpInc'!I5),'Semi OpInc'!I5&gt;0),'Semi OpInc'!M5/'Semi OpInc'!I5-1,""),"")</f>
        <v/>
      </c>
      <c r="J1000" s="37">
        <f>IFERROR(IF(AND(ISNUMBER('Semi OpInc'!N5),ISNUMBER('Semi OpInc'!J5),'Semi OpInc'!J5&gt;0),'Semi OpInc'!N5/'Semi OpInc'!J5-1,""),"")</f>
        <v/>
      </c>
      <c r="K1000" s="37">
        <f>IFERROR(IF(AND(ISNUMBER('Semi OpInc'!O5),ISNUMBER('Semi OpInc'!K5),'Semi OpInc'!K5&gt;0),'Semi OpInc'!O5/'Semi OpInc'!K5-1,""),"")</f>
        <v/>
      </c>
      <c r="L1000" s="37">
        <f>IFERROR(IF(AND(ISNUMBER('Semi OpInc'!P5),ISNUMBER('Semi OpInc'!L5),'Semi OpInc'!L5&gt;0),'Semi OpInc'!P5/'Semi OpInc'!L5-1,""),"")</f>
        <v/>
      </c>
      <c r="M1000" s="38">
        <f>IFERROR(IF(AND(ISNUMBER('Semi OpInc'!Q5),ISNUMBER('Semi OpInc'!M5),'Semi OpInc'!M5&gt;0),'Semi OpInc'!Q5/'Semi OpInc'!M5-1,""),"")</f>
        <v/>
      </c>
      <c r="N1000" s="38">
        <f>IFERROR(IF(AND(ISNUMBER('Semi OpInc'!R5),ISNUMBER('Semi OpInc'!N5),'Semi OpInc'!N5&gt;0),'Semi OpInc'!R5/'Semi OpInc'!N5-1,""),"")</f>
        <v/>
      </c>
    </row>
    <row r="1001">
      <c r="A1001" s="19">
        <f>'Semi Rev'!$A6</f>
        <v/>
      </c>
      <c r="B1001" s="19">
        <f>'Semi Rev'!$B6</f>
        <v/>
      </c>
      <c r="C1001" s="37">
        <f>IFERROR(IF(AND(ISNUMBER('Semi OpInc'!G6),ISNUMBER('Semi OpInc'!C6),'Semi OpInc'!C6&gt;0),'Semi OpInc'!G6/'Semi OpInc'!C6-1,""),"")</f>
        <v/>
      </c>
      <c r="D1001" s="37">
        <f>IFERROR(IF(AND(ISNUMBER('Semi OpInc'!H6),ISNUMBER('Semi OpInc'!D6),'Semi OpInc'!D6&gt;0),'Semi OpInc'!H6/'Semi OpInc'!D6-1,""),"")</f>
        <v/>
      </c>
      <c r="E1001" s="37">
        <f>IFERROR(IF(AND(ISNUMBER('Semi OpInc'!I6),ISNUMBER('Semi OpInc'!E6),'Semi OpInc'!E6&gt;0),'Semi OpInc'!I6/'Semi OpInc'!E6-1,""),"")</f>
        <v/>
      </c>
      <c r="F1001" s="37">
        <f>IFERROR(IF(AND(ISNUMBER('Semi OpInc'!J6),ISNUMBER('Semi OpInc'!F6),'Semi OpInc'!F6&gt;0),'Semi OpInc'!J6/'Semi OpInc'!F6-1,""),"")</f>
        <v/>
      </c>
      <c r="G1001" s="37">
        <f>IFERROR(IF(AND(ISNUMBER('Semi OpInc'!K6),ISNUMBER('Semi OpInc'!G6),'Semi OpInc'!G6&gt;0),'Semi OpInc'!K6/'Semi OpInc'!G6-1,""),"")</f>
        <v/>
      </c>
      <c r="H1001" s="37">
        <f>IFERROR(IF(AND(ISNUMBER('Semi OpInc'!L6),ISNUMBER('Semi OpInc'!H6),'Semi OpInc'!H6&gt;0),'Semi OpInc'!L6/'Semi OpInc'!H6-1,""),"")</f>
        <v/>
      </c>
      <c r="I1001" s="37">
        <f>IFERROR(IF(AND(ISNUMBER('Semi OpInc'!M6),ISNUMBER('Semi OpInc'!I6),'Semi OpInc'!I6&gt;0),'Semi OpInc'!M6/'Semi OpInc'!I6-1,""),"")</f>
        <v/>
      </c>
      <c r="J1001" s="37">
        <f>IFERROR(IF(AND(ISNUMBER('Semi OpInc'!N6),ISNUMBER('Semi OpInc'!J6),'Semi OpInc'!J6&gt;0),'Semi OpInc'!N6/'Semi OpInc'!J6-1,""),"")</f>
        <v/>
      </c>
      <c r="K1001" s="37">
        <f>IFERROR(IF(AND(ISNUMBER('Semi OpInc'!O6),ISNUMBER('Semi OpInc'!K6),'Semi OpInc'!K6&gt;0),'Semi OpInc'!O6/'Semi OpInc'!K6-1,""),"")</f>
        <v/>
      </c>
      <c r="L1001" s="37">
        <f>IFERROR(IF(AND(ISNUMBER('Semi OpInc'!P6),ISNUMBER('Semi OpInc'!L6),'Semi OpInc'!L6&gt;0),'Semi OpInc'!P6/'Semi OpInc'!L6-1,""),"")</f>
        <v/>
      </c>
      <c r="M1001" s="38">
        <f>IFERROR(IF(AND(ISNUMBER('Semi OpInc'!Q6),ISNUMBER('Semi OpInc'!M6),'Semi OpInc'!M6&gt;0),'Semi OpInc'!Q6/'Semi OpInc'!M6-1,""),"")</f>
        <v/>
      </c>
      <c r="N1001" s="38">
        <f>IFERROR(IF(AND(ISNUMBER('Semi OpInc'!R6),ISNUMBER('Semi OpInc'!N6),'Semi OpInc'!N6&gt;0),'Semi OpInc'!R6/'Semi OpInc'!N6-1,""),"")</f>
        <v/>
      </c>
    </row>
    <row r="1002">
      <c r="A1002" s="19">
        <f>'Semi Rev'!$A7</f>
        <v/>
      </c>
      <c r="B1002" s="19">
        <f>'Semi Rev'!$B7</f>
        <v/>
      </c>
      <c r="C1002" s="37">
        <f>IFERROR(IF(AND(ISNUMBER('Semi OpInc'!G7),ISNUMBER('Semi OpInc'!C7),'Semi OpInc'!C7&gt;0),'Semi OpInc'!G7/'Semi OpInc'!C7-1,""),"")</f>
        <v/>
      </c>
      <c r="D1002" s="37">
        <f>IFERROR(IF(AND(ISNUMBER('Semi OpInc'!H7),ISNUMBER('Semi OpInc'!D7),'Semi OpInc'!D7&gt;0),'Semi OpInc'!H7/'Semi OpInc'!D7-1,""),"")</f>
        <v/>
      </c>
      <c r="E1002" s="37">
        <f>IFERROR(IF(AND(ISNUMBER('Semi OpInc'!I7),ISNUMBER('Semi OpInc'!E7),'Semi OpInc'!E7&gt;0),'Semi OpInc'!I7/'Semi OpInc'!E7-1,""),"")</f>
        <v/>
      </c>
      <c r="F1002" s="37">
        <f>IFERROR(IF(AND(ISNUMBER('Semi OpInc'!J7),ISNUMBER('Semi OpInc'!F7),'Semi OpInc'!F7&gt;0),'Semi OpInc'!J7/'Semi OpInc'!F7-1,""),"")</f>
        <v/>
      </c>
      <c r="G1002" s="37">
        <f>IFERROR(IF(AND(ISNUMBER('Semi OpInc'!K7),ISNUMBER('Semi OpInc'!G7),'Semi OpInc'!G7&gt;0),'Semi OpInc'!K7/'Semi OpInc'!G7-1,""),"")</f>
        <v/>
      </c>
      <c r="H1002" s="37">
        <f>IFERROR(IF(AND(ISNUMBER('Semi OpInc'!L7),ISNUMBER('Semi OpInc'!H7),'Semi OpInc'!H7&gt;0),'Semi OpInc'!L7/'Semi OpInc'!H7-1,""),"")</f>
        <v/>
      </c>
      <c r="I1002" s="37">
        <f>IFERROR(IF(AND(ISNUMBER('Semi OpInc'!M7),ISNUMBER('Semi OpInc'!I7),'Semi OpInc'!I7&gt;0),'Semi OpInc'!M7/'Semi OpInc'!I7-1,""),"")</f>
        <v/>
      </c>
      <c r="J1002" s="37">
        <f>IFERROR(IF(AND(ISNUMBER('Semi OpInc'!N7),ISNUMBER('Semi OpInc'!J7),'Semi OpInc'!J7&gt;0),'Semi OpInc'!N7/'Semi OpInc'!J7-1,""),"")</f>
        <v/>
      </c>
      <c r="K1002" s="37">
        <f>IFERROR(IF(AND(ISNUMBER('Semi OpInc'!O7),ISNUMBER('Semi OpInc'!K7),'Semi OpInc'!K7&gt;0),'Semi OpInc'!O7/'Semi OpInc'!K7-1,""),"")</f>
        <v/>
      </c>
      <c r="L1002" s="37">
        <f>IFERROR(IF(AND(ISNUMBER('Semi OpInc'!P7),ISNUMBER('Semi OpInc'!L7),'Semi OpInc'!L7&gt;0),'Semi OpInc'!P7/'Semi OpInc'!L7-1,""),"")</f>
        <v/>
      </c>
      <c r="M1002" s="38">
        <f>IFERROR(IF(AND(ISNUMBER('Semi OpInc'!Q7),ISNUMBER('Semi OpInc'!M7),'Semi OpInc'!M7&gt;0),'Semi OpInc'!Q7/'Semi OpInc'!M7-1,""),"")</f>
        <v/>
      </c>
      <c r="N1002" s="38">
        <f>IFERROR(IF(AND(ISNUMBER('Semi OpInc'!R7),ISNUMBER('Semi OpInc'!N7),'Semi OpInc'!N7&gt;0),'Semi OpInc'!R7/'Semi OpInc'!N7-1,""),"")</f>
        <v/>
      </c>
    </row>
    <row r="1003">
      <c r="A1003" s="19">
        <f>'Semi Rev'!$A8</f>
        <v/>
      </c>
      <c r="B1003" s="19">
        <f>'Semi Rev'!$B8</f>
        <v/>
      </c>
      <c r="C1003" s="37">
        <f>IFERROR(IF(AND(ISNUMBER('Semi OpInc'!G8),ISNUMBER('Semi OpInc'!C8),'Semi OpInc'!C8&gt;0),'Semi OpInc'!G8/'Semi OpInc'!C8-1,""),"")</f>
        <v/>
      </c>
      <c r="D1003" s="37">
        <f>IFERROR(IF(AND(ISNUMBER('Semi OpInc'!H8),ISNUMBER('Semi OpInc'!D8),'Semi OpInc'!D8&gt;0),'Semi OpInc'!H8/'Semi OpInc'!D8-1,""),"")</f>
        <v/>
      </c>
      <c r="E1003" s="37">
        <f>IFERROR(IF(AND(ISNUMBER('Semi OpInc'!I8),ISNUMBER('Semi OpInc'!E8),'Semi OpInc'!E8&gt;0),'Semi OpInc'!I8/'Semi OpInc'!E8-1,""),"")</f>
        <v/>
      </c>
      <c r="F1003" s="37">
        <f>IFERROR(IF(AND(ISNUMBER('Semi OpInc'!J8),ISNUMBER('Semi OpInc'!F8),'Semi OpInc'!F8&gt;0),'Semi OpInc'!J8/'Semi OpInc'!F8-1,""),"")</f>
        <v/>
      </c>
      <c r="G1003" s="37">
        <f>IFERROR(IF(AND(ISNUMBER('Semi OpInc'!K8),ISNUMBER('Semi OpInc'!G8),'Semi OpInc'!G8&gt;0),'Semi OpInc'!K8/'Semi OpInc'!G8-1,""),"")</f>
        <v/>
      </c>
      <c r="H1003" s="37">
        <f>IFERROR(IF(AND(ISNUMBER('Semi OpInc'!L8),ISNUMBER('Semi OpInc'!H8),'Semi OpInc'!H8&gt;0),'Semi OpInc'!L8/'Semi OpInc'!H8-1,""),"")</f>
        <v/>
      </c>
      <c r="I1003" s="37">
        <f>IFERROR(IF(AND(ISNUMBER('Semi OpInc'!M8),ISNUMBER('Semi OpInc'!I8),'Semi OpInc'!I8&gt;0),'Semi OpInc'!M8/'Semi OpInc'!I8-1,""),"")</f>
        <v/>
      </c>
      <c r="J1003" s="37">
        <f>IFERROR(IF(AND(ISNUMBER('Semi OpInc'!N8),ISNUMBER('Semi OpInc'!J8),'Semi OpInc'!J8&gt;0),'Semi OpInc'!N8/'Semi OpInc'!J8-1,""),"")</f>
        <v/>
      </c>
      <c r="K1003" s="37">
        <f>IFERROR(IF(AND(ISNUMBER('Semi OpInc'!O8),ISNUMBER('Semi OpInc'!K8),'Semi OpInc'!K8&gt;0),'Semi OpInc'!O8/'Semi OpInc'!K8-1,""),"")</f>
        <v/>
      </c>
      <c r="L1003" s="37">
        <f>IFERROR(IF(AND(ISNUMBER('Semi OpInc'!P8),ISNUMBER('Semi OpInc'!L8),'Semi OpInc'!L8&gt;0),'Semi OpInc'!P8/'Semi OpInc'!L8-1,""),"")</f>
        <v/>
      </c>
      <c r="M1003" s="38">
        <f>IFERROR(IF(AND(ISNUMBER('Semi OpInc'!Q8),ISNUMBER('Semi OpInc'!M8),'Semi OpInc'!M8&gt;0),'Semi OpInc'!Q8/'Semi OpInc'!M8-1,""),"")</f>
        <v/>
      </c>
      <c r="N1003" s="38">
        <f>IFERROR(IF(AND(ISNUMBER('Semi OpInc'!R8),ISNUMBER('Semi OpInc'!N8),'Semi OpInc'!N8&gt;0),'Semi OpInc'!R8/'Semi OpInc'!N8-1,""),"")</f>
        <v/>
      </c>
    </row>
    <row r="1004">
      <c r="A1004" s="19">
        <f>'Semi Rev'!$A9</f>
        <v/>
      </c>
      <c r="B1004" s="19">
        <f>'Semi Rev'!$B9</f>
        <v/>
      </c>
      <c r="C1004" s="37">
        <f>IFERROR(IF(AND(ISNUMBER('Semi OpInc'!G9),ISNUMBER('Semi OpInc'!C9),'Semi OpInc'!C9&gt;0),'Semi OpInc'!G9/'Semi OpInc'!C9-1,""),"")</f>
        <v/>
      </c>
      <c r="D1004" s="37">
        <f>IFERROR(IF(AND(ISNUMBER('Semi OpInc'!H9),ISNUMBER('Semi OpInc'!D9),'Semi OpInc'!D9&gt;0),'Semi OpInc'!H9/'Semi OpInc'!D9-1,""),"")</f>
        <v/>
      </c>
      <c r="E1004" s="37">
        <f>IFERROR(IF(AND(ISNUMBER('Semi OpInc'!I9),ISNUMBER('Semi OpInc'!E9),'Semi OpInc'!E9&gt;0),'Semi OpInc'!I9/'Semi OpInc'!E9-1,""),"")</f>
        <v/>
      </c>
      <c r="F1004" s="37">
        <f>IFERROR(IF(AND(ISNUMBER('Semi OpInc'!J9),ISNUMBER('Semi OpInc'!F9),'Semi OpInc'!F9&gt;0),'Semi OpInc'!J9/'Semi OpInc'!F9-1,""),"")</f>
        <v/>
      </c>
      <c r="G1004" s="37">
        <f>IFERROR(IF(AND(ISNUMBER('Semi OpInc'!K9),ISNUMBER('Semi OpInc'!G9),'Semi OpInc'!G9&gt;0),'Semi OpInc'!K9/'Semi OpInc'!G9-1,""),"")</f>
        <v/>
      </c>
      <c r="H1004" s="37">
        <f>IFERROR(IF(AND(ISNUMBER('Semi OpInc'!L9),ISNUMBER('Semi OpInc'!H9),'Semi OpInc'!H9&gt;0),'Semi OpInc'!L9/'Semi OpInc'!H9-1,""),"")</f>
        <v/>
      </c>
      <c r="I1004" s="37">
        <f>IFERROR(IF(AND(ISNUMBER('Semi OpInc'!M9),ISNUMBER('Semi OpInc'!I9),'Semi OpInc'!I9&gt;0),'Semi OpInc'!M9/'Semi OpInc'!I9-1,""),"")</f>
        <v/>
      </c>
      <c r="J1004" s="37">
        <f>IFERROR(IF(AND(ISNUMBER('Semi OpInc'!N9),ISNUMBER('Semi OpInc'!J9),'Semi OpInc'!J9&gt;0),'Semi OpInc'!N9/'Semi OpInc'!J9-1,""),"")</f>
        <v/>
      </c>
      <c r="K1004" s="37">
        <f>IFERROR(IF(AND(ISNUMBER('Semi OpInc'!O9),ISNUMBER('Semi OpInc'!K9),'Semi OpInc'!K9&gt;0),'Semi OpInc'!O9/'Semi OpInc'!K9-1,""),"")</f>
        <v/>
      </c>
      <c r="L1004" s="37">
        <f>IFERROR(IF(AND(ISNUMBER('Semi OpInc'!P9),ISNUMBER('Semi OpInc'!L9),'Semi OpInc'!L9&gt;0),'Semi OpInc'!P9/'Semi OpInc'!L9-1,""),"")</f>
        <v/>
      </c>
      <c r="M1004" s="38">
        <f>IFERROR(IF(AND(ISNUMBER('Semi OpInc'!Q9),ISNUMBER('Semi OpInc'!M9),'Semi OpInc'!M9&gt;0),'Semi OpInc'!Q9/'Semi OpInc'!M9-1,""),"")</f>
        <v/>
      </c>
      <c r="N1004" s="38">
        <f>IFERROR(IF(AND(ISNUMBER('Semi OpInc'!R9),ISNUMBER('Semi OpInc'!N9),'Semi OpInc'!N9&gt;0),'Semi OpInc'!R9/'Semi OpInc'!N9-1,""),"")</f>
        <v/>
      </c>
    </row>
    <row r="1005">
      <c r="A1005" s="19">
        <f>'Semi Rev'!$A10</f>
        <v/>
      </c>
      <c r="B1005" s="19">
        <f>'Semi Rev'!$B10</f>
        <v/>
      </c>
      <c r="C1005" s="37">
        <f>IFERROR(IF(AND(ISNUMBER('Semi OpInc'!G10),ISNUMBER('Semi OpInc'!C10),'Semi OpInc'!C10&gt;0),'Semi OpInc'!G10/'Semi OpInc'!C10-1,""),"")</f>
        <v/>
      </c>
      <c r="D1005" s="37">
        <f>IFERROR(IF(AND(ISNUMBER('Semi OpInc'!H10),ISNUMBER('Semi OpInc'!D10),'Semi OpInc'!D10&gt;0),'Semi OpInc'!H10/'Semi OpInc'!D10-1,""),"")</f>
        <v/>
      </c>
      <c r="E1005" s="37">
        <f>IFERROR(IF(AND(ISNUMBER('Semi OpInc'!I10),ISNUMBER('Semi OpInc'!E10),'Semi OpInc'!E10&gt;0),'Semi OpInc'!I10/'Semi OpInc'!E10-1,""),"")</f>
        <v/>
      </c>
      <c r="F1005" s="37">
        <f>IFERROR(IF(AND(ISNUMBER('Semi OpInc'!J10),ISNUMBER('Semi OpInc'!F10),'Semi OpInc'!F10&gt;0),'Semi OpInc'!J10/'Semi OpInc'!F10-1,""),"")</f>
        <v/>
      </c>
      <c r="G1005" s="37">
        <f>IFERROR(IF(AND(ISNUMBER('Semi OpInc'!K10),ISNUMBER('Semi OpInc'!G10),'Semi OpInc'!G10&gt;0),'Semi OpInc'!K10/'Semi OpInc'!G10-1,""),"")</f>
        <v/>
      </c>
      <c r="H1005" s="37">
        <f>IFERROR(IF(AND(ISNUMBER('Semi OpInc'!L10),ISNUMBER('Semi OpInc'!H10),'Semi OpInc'!H10&gt;0),'Semi OpInc'!L10/'Semi OpInc'!H10-1,""),"")</f>
        <v/>
      </c>
      <c r="I1005" s="37">
        <f>IFERROR(IF(AND(ISNUMBER('Semi OpInc'!M10),ISNUMBER('Semi OpInc'!I10),'Semi OpInc'!I10&gt;0),'Semi OpInc'!M10/'Semi OpInc'!I10-1,""),"")</f>
        <v/>
      </c>
      <c r="J1005" s="37">
        <f>IFERROR(IF(AND(ISNUMBER('Semi OpInc'!N10),ISNUMBER('Semi OpInc'!J10),'Semi OpInc'!J10&gt;0),'Semi OpInc'!N10/'Semi OpInc'!J10-1,""),"")</f>
        <v/>
      </c>
      <c r="K1005" s="37">
        <f>IFERROR(IF(AND(ISNUMBER('Semi OpInc'!O10),ISNUMBER('Semi OpInc'!K10),'Semi OpInc'!K10&gt;0),'Semi OpInc'!O10/'Semi OpInc'!K10-1,""),"")</f>
        <v/>
      </c>
      <c r="L1005" s="37">
        <f>IFERROR(IF(AND(ISNUMBER('Semi OpInc'!P10),ISNUMBER('Semi OpInc'!L10),'Semi OpInc'!L10&gt;0),'Semi OpInc'!P10/'Semi OpInc'!L10-1,""),"")</f>
        <v/>
      </c>
      <c r="M1005" s="38">
        <f>IFERROR(IF(AND(ISNUMBER('Semi OpInc'!Q10),ISNUMBER('Semi OpInc'!M10),'Semi OpInc'!M10&gt;0),'Semi OpInc'!Q10/'Semi OpInc'!M10-1,""),"")</f>
        <v/>
      </c>
      <c r="N1005" s="38">
        <f>IFERROR(IF(AND(ISNUMBER('Semi OpInc'!R10),ISNUMBER('Semi OpInc'!N10),'Semi OpInc'!N10&gt;0),'Semi OpInc'!R10/'Semi OpInc'!N10-1,""),"")</f>
        <v/>
      </c>
    </row>
    <row r="1006">
      <c r="A1006" s="19">
        <f>'Semi Rev'!$A11</f>
        <v/>
      </c>
      <c r="B1006" s="19">
        <f>'Semi Rev'!$B11</f>
        <v/>
      </c>
      <c r="C1006" s="37">
        <f>IFERROR(IF(AND(ISNUMBER('Semi OpInc'!G11),ISNUMBER('Semi OpInc'!C11),'Semi OpInc'!C11&gt;0),'Semi OpInc'!G11/'Semi OpInc'!C11-1,""),"")</f>
        <v/>
      </c>
      <c r="D1006" s="37">
        <f>IFERROR(IF(AND(ISNUMBER('Semi OpInc'!H11),ISNUMBER('Semi OpInc'!D11),'Semi OpInc'!D11&gt;0),'Semi OpInc'!H11/'Semi OpInc'!D11-1,""),"")</f>
        <v/>
      </c>
      <c r="E1006" s="37">
        <f>IFERROR(IF(AND(ISNUMBER('Semi OpInc'!I11),ISNUMBER('Semi OpInc'!E11),'Semi OpInc'!E11&gt;0),'Semi OpInc'!I11/'Semi OpInc'!E11-1,""),"")</f>
        <v/>
      </c>
      <c r="F1006" s="37">
        <f>IFERROR(IF(AND(ISNUMBER('Semi OpInc'!J11),ISNUMBER('Semi OpInc'!F11),'Semi OpInc'!F11&gt;0),'Semi OpInc'!J11/'Semi OpInc'!F11-1,""),"")</f>
        <v/>
      </c>
      <c r="G1006" s="37">
        <f>IFERROR(IF(AND(ISNUMBER('Semi OpInc'!K11),ISNUMBER('Semi OpInc'!G11),'Semi OpInc'!G11&gt;0),'Semi OpInc'!K11/'Semi OpInc'!G11-1,""),"")</f>
        <v/>
      </c>
      <c r="H1006" s="37">
        <f>IFERROR(IF(AND(ISNUMBER('Semi OpInc'!L11),ISNUMBER('Semi OpInc'!H11),'Semi OpInc'!H11&gt;0),'Semi OpInc'!L11/'Semi OpInc'!H11-1,""),"")</f>
        <v/>
      </c>
      <c r="I1006" s="37">
        <f>IFERROR(IF(AND(ISNUMBER('Semi OpInc'!M11),ISNUMBER('Semi OpInc'!I11),'Semi OpInc'!I11&gt;0),'Semi OpInc'!M11/'Semi OpInc'!I11-1,""),"")</f>
        <v/>
      </c>
      <c r="J1006" s="37">
        <f>IFERROR(IF(AND(ISNUMBER('Semi OpInc'!N11),ISNUMBER('Semi OpInc'!J11),'Semi OpInc'!J11&gt;0),'Semi OpInc'!N11/'Semi OpInc'!J11-1,""),"")</f>
        <v/>
      </c>
      <c r="K1006" s="37">
        <f>IFERROR(IF(AND(ISNUMBER('Semi OpInc'!O11),ISNUMBER('Semi OpInc'!K11),'Semi OpInc'!K11&gt;0),'Semi OpInc'!O11/'Semi OpInc'!K11-1,""),"")</f>
        <v/>
      </c>
      <c r="L1006" s="37">
        <f>IFERROR(IF(AND(ISNUMBER('Semi OpInc'!P11),ISNUMBER('Semi OpInc'!L11),'Semi OpInc'!L11&gt;0),'Semi OpInc'!P11/'Semi OpInc'!L11-1,""),"")</f>
        <v/>
      </c>
      <c r="M1006" s="38">
        <f>IFERROR(IF(AND(ISNUMBER('Semi OpInc'!Q11),ISNUMBER('Semi OpInc'!M11),'Semi OpInc'!M11&gt;0),'Semi OpInc'!Q11/'Semi OpInc'!M11-1,""),"")</f>
        <v/>
      </c>
      <c r="N1006" s="38">
        <f>IFERROR(IF(AND(ISNUMBER('Semi OpInc'!R11),ISNUMBER('Semi OpInc'!N11),'Semi OpInc'!N11&gt;0),'Semi OpInc'!R11/'Semi OpInc'!N11-1,""),"")</f>
        <v/>
      </c>
    </row>
    <row r="1007">
      <c r="A1007" s="19">
        <f>'Semi Rev'!$A12</f>
        <v/>
      </c>
      <c r="B1007" s="19">
        <f>'Semi Rev'!$B12</f>
        <v/>
      </c>
      <c r="C1007" s="37">
        <f>IFERROR(IF(AND(ISNUMBER('Semi OpInc'!G12),ISNUMBER('Semi OpInc'!C12),'Semi OpInc'!C12&gt;0),'Semi OpInc'!G12/'Semi OpInc'!C12-1,""),"")</f>
        <v/>
      </c>
      <c r="D1007" s="37">
        <f>IFERROR(IF(AND(ISNUMBER('Semi OpInc'!H12),ISNUMBER('Semi OpInc'!D12),'Semi OpInc'!D12&gt;0),'Semi OpInc'!H12/'Semi OpInc'!D12-1,""),"")</f>
        <v/>
      </c>
      <c r="E1007" s="37">
        <f>IFERROR(IF(AND(ISNUMBER('Semi OpInc'!I12),ISNUMBER('Semi OpInc'!E12),'Semi OpInc'!E12&gt;0),'Semi OpInc'!I12/'Semi OpInc'!E12-1,""),"")</f>
        <v/>
      </c>
      <c r="F1007" s="37">
        <f>IFERROR(IF(AND(ISNUMBER('Semi OpInc'!J12),ISNUMBER('Semi OpInc'!F12),'Semi OpInc'!F12&gt;0),'Semi OpInc'!J12/'Semi OpInc'!F12-1,""),"")</f>
        <v/>
      </c>
      <c r="G1007" s="37">
        <f>IFERROR(IF(AND(ISNUMBER('Semi OpInc'!K12),ISNUMBER('Semi OpInc'!G12),'Semi OpInc'!G12&gt;0),'Semi OpInc'!K12/'Semi OpInc'!G12-1,""),"")</f>
        <v/>
      </c>
      <c r="H1007" s="37">
        <f>IFERROR(IF(AND(ISNUMBER('Semi OpInc'!L12),ISNUMBER('Semi OpInc'!H12),'Semi OpInc'!H12&gt;0),'Semi OpInc'!L12/'Semi OpInc'!H12-1,""),"")</f>
        <v/>
      </c>
      <c r="I1007" s="37">
        <f>IFERROR(IF(AND(ISNUMBER('Semi OpInc'!M12),ISNUMBER('Semi OpInc'!I12),'Semi OpInc'!I12&gt;0),'Semi OpInc'!M12/'Semi OpInc'!I12-1,""),"")</f>
        <v/>
      </c>
      <c r="J1007" s="37">
        <f>IFERROR(IF(AND(ISNUMBER('Semi OpInc'!N12),ISNUMBER('Semi OpInc'!J12),'Semi OpInc'!J12&gt;0),'Semi OpInc'!N12/'Semi OpInc'!J12-1,""),"")</f>
        <v/>
      </c>
      <c r="K1007" s="37">
        <f>IFERROR(IF(AND(ISNUMBER('Semi OpInc'!O12),ISNUMBER('Semi OpInc'!K12),'Semi OpInc'!K12&gt;0),'Semi OpInc'!O12/'Semi OpInc'!K12-1,""),"")</f>
        <v/>
      </c>
      <c r="L1007" s="37">
        <f>IFERROR(IF(AND(ISNUMBER('Semi OpInc'!P12),ISNUMBER('Semi OpInc'!L12),'Semi OpInc'!L12&gt;0),'Semi OpInc'!P12/'Semi OpInc'!L12-1,""),"")</f>
        <v/>
      </c>
      <c r="M1007" s="38">
        <f>IFERROR(IF(AND(ISNUMBER('Semi OpInc'!Q12),ISNUMBER('Semi OpInc'!M12),'Semi OpInc'!M12&gt;0),'Semi OpInc'!Q12/'Semi OpInc'!M12-1,""),"")</f>
        <v/>
      </c>
      <c r="N1007" s="38">
        <f>IFERROR(IF(AND(ISNUMBER('Semi OpInc'!R12),ISNUMBER('Semi OpInc'!N12),'Semi OpInc'!N12&gt;0),'Semi OpInc'!R12/'Semi OpInc'!N12-1,""),"")</f>
        <v/>
      </c>
    </row>
    <row r="1008">
      <c r="A1008" s="19">
        <f>'Semi Rev'!$A13</f>
        <v/>
      </c>
      <c r="B1008" s="19">
        <f>'Semi Rev'!$B13</f>
        <v/>
      </c>
      <c r="C1008" s="37">
        <f>IFERROR(IF(AND(ISNUMBER('Semi OpInc'!G13),ISNUMBER('Semi OpInc'!C13),'Semi OpInc'!C13&gt;0),'Semi OpInc'!G13/'Semi OpInc'!C13-1,""),"")</f>
        <v/>
      </c>
      <c r="D1008" s="37">
        <f>IFERROR(IF(AND(ISNUMBER('Semi OpInc'!H13),ISNUMBER('Semi OpInc'!D13),'Semi OpInc'!D13&gt;0),'Semi OpInc'!H13/'Semi OpInc'!D13-1,""),"")</f>
        <v/>
      </c>
      <c r="E1008" s="37">
        <f>IFERROR(IF(AND(ISNUMBER('Semi OpInc'!I13),ISNUMBER('Semi OpInc'!E13),'Semi OpInc'!E13&gt;0),'Semi OpInc'!I13/'Semi OpInc'!E13-1,""),"")</f>
        <v/>
      </c>
      <c r="F1008" s="37">
        <f>IFERROR(IF(AND(ISNUMBER('Semi OpInc'!J13),ISNUMBER('Semi OpInc'!F13),'Semi OpInc'!F13&gt;0),'Semi OpInc'!J13/'Semi OpInc'!F13-1,""),"")</f>
        <v/>
      </c>
      <c r="G1008" s="37">
        <f>IFERROR(IF(AND(ISNUMBER('Semi OpInc'!K13),ISNUMBER('Semi OpInc'!G13),'Semi OpInc'!G13&gt;0),'Semi OpInc'!K13/'Semi OpInc'!G13-1,""),"")</f>
        <v/>
      </c>
      <c r="H1008" s="37">
        <f>IFERROR(IF(AND(ISNUMBER('Semi OpInc'!L13),ISNUMBER('Semi OpInc'!H13),'Semi OpInc'!H13&gt;0),'Semi OpInc'!L13/'Semi OpInc'!H13-1,""),"")</f>
        <v/>
      </c>
      <c r="I1008" s="37">
        <f>IFERROR(IF(AND(ISNUMBER('Semi OpInc'!M13),ISNUMBER('Semi OpInc'!I13),'Semi OpInc'!I13&gt;0),'Semi OpInc'!M13/'Semi OpInc'!I13-1,""),"")</f>
        <v/>
      </c>
      <c r="J1008" s="37">
        <f>IFERROR(IF(AND(ISNUMBER('Semi OpInc'!N13),ISNUMBER('Semi OpInc'!J13),'Semi OpInc'!J13&gt;0),'Semi OpInc'!N13/'Semi OpInc'!J13-1,""),"")</f>
        <v/>
      </c>
      <c r="K1008" s="37">
        <f>IFERROR(IF(AND(ISNUMBER('Semi OpInc'!O13),ISNUMBER('Semi OpInc'!K13),'Semi OpInc'!K13&gt;0),'Semi OpInc'!O13/'Semi OpInc'!K13-1,""),"")</f>
        <v/>
      </c>
      <c r="L1008" s="37">
        <f>IFERROR(IF(AND(ISNUMBER('Semi OpInc'!P13),ISNUMBER('Semi OpInc'!L13),'Semi OpInc'!L13&gt;0),'Semi OpInc'!P13/'Semi OpInc'!L13-1,""),"")</f>
        <v/>
      </c>
      <c r="M1008" s="38">
        <f>IFERROR(IF(AND(ISNUMBER('Semi OpInc'!Q13),ISNUMBER('Semi OpInc'!M13),'Semi OpInc'!M13&gt;0),'Semi OpInc'!Q13/'Semi OpInc'!M13-1,""),"")</f>
        <v/>
      </c>
      <c r="N1008" s="38">
        <f>IFERROR(IF(AND(ISNUMBER('Semi OpInc'!R13),ISNUMBER('Semi OpInc'!N13),'Semi OpInc'!N13&gt;0),'Semi OpInc'!R13/'Semi OpInc'!N13-1,""),"")</f>
        <v/>
      </c>
    </row>
    <row r="1009">
      <c r="A1009" s="19">
        <f>'Semi Rev'!$A14</f>
        <v/>
      </c>
      <c r="B1009" s="19">
        <f>'Semi Rev'!$B14</f>
        <v/>
      </c>
      <c r="C1009" s="37">
        <f>IFERROR(IF(AND(ISNUMBER('Semi OpInc'!G14),ISNUMBER('Semi OpInc'!C14),'Semi OpInc'!C14&gt;0),'Semi OpInc'!G14/'Semi OpInc'!C14-1,""),"")</f>
        <v/>
      </c>
      <c r="D1009" s="37">
        <f>IFERROR(IF(AND(ISNUMBER('Semi OpInc'!H14),ISNUMBER('Semi OpInc'!D14),'Semi OpInc'!D14&gt;0),'Semi OpInc'!H14/'Semi OpInc'!D14-1,""),"")</f>
        <v/>
      </c>
      <c r="E1009" s="37">
        <f>IFERROR(IF(AND(ISNUMBER('Semi OpInc'!I14),ISNUMBER('Semi OpInc'!E14),'Semi OpInc'!E14&gt;0),'Semi OpInc'!I14/'Semi OpInc'!E14-1,""),"")</f>
        <v/>
      </c>
      <c r="F1009" s="37">
        <f>IFERROR(IF(AND(ISNUMBER('Semi OpInc'!J14),ISNUMBER('Semi OpInc'!F14),'Semi OpInc'!F14&gt;0),'Semi OpInc'!J14/'Semi OpInc'!F14-1,""),"")</f>
        <v/>
      </c>
      <c r="G1009" s="37">
        <f>IFERROR(IF(AND(ISNUMBER('Semi OpInc'!K14),ISNUMBER('Semi OpInc'!G14),'Semi OpInc'!G14&gt;0),'Semi OpInc'!K14/'Semi OpInc'!G14-1,""),"")</f>
        <v/>
      </c>
      <c r="H1009" s="37">
        <f>IFERROR(IF(AND(ISNUMBER('Semi OpInc'!L14),ISNUMBER('Semi OpInc'!H14),'Semi OpInc'!H14&gt;0),'Semi OpInc'!L14/'Semi OpInc'!H14-1,""),"")</f>
        <v/>
      </c>
      <c r="I1009" s="37">
        <f>IFERROR(IF(AND(ISNUMBER('Semi OpInc'!M14),ISNUMBER('Semi OpInc'!I14),'Semi OpInc'!I14&gt;0),'Semi OpInc'!M14/'Semi OpInc'!I14-1,""),"")</f>
        <v/>
      </c>
      <c r="J1009" s="37">
        <f>IFERROR(IF(AND(ISNUMBER('Semi OpInc'!N14),ISNUMBER('Semi OpInc'!J14),'Semi OpInc'!J14&gt;0),'Semi OpInc'!N14/'Semi OpInc'!J14-1,""),"")</f>
        <v/>
      </c>
      <c r="K1009" s="37">
        <f>IFERROR(IF(AND(ISNUMBER('Semi OpInc'!O14),ISNUMBER('Semi OpInc'!K14),'Semi OpInc'!K14&gt;0),'Semi OpInc'!O14/'Semi OpInc'!K14-1,""),"")</f>
        <v/>
      </c>
      <c r="L1009" s="37">
        <f>IFERROR(IF(AND(ISNUMBER('Semi OpInc'!P14),ISNUMBER('Semi OpInc'!L14),'Semi OpInc'!L14&gt;0),'Semi OpInc'!P14/'Semi OpInc'!L14-1,""),"")</f>
        <v/>
      </c>
      <c r="M1009" s="38">
        <f>IFERROR(IF(AND(ISNUMBER('Semi OpInc'!Q14),ISNUMBER('Semi OpInc'!M14),'Semi OpInc'!M14&gt;0),'Semi OpInc'!Q14/'Semi OpInc'!M14-1,""),"")</f>
        <v/>
      </c>
      <c r="N1009" s="38">
        <f>IFERROR(IF(AND(ISNUMBER('Semi OpInc'!R14),ISNUMBER('Semi OpInc'!N14),'Semi OpInc'!N14&gt;0),'Semi OpInc'!R14/'Semi OpInc'!N14-1,""),"")</f>
        <v/>
      </c>
    </row>
    <row r="1010">
      <c r="A1010" s="19">
        <f>'Semi Rev'!$A15</f>
        <v/>
      </c>
      <c r="B1010" s="19">
        <f>'Semi Rev'!$B15</f>
        <v/>
      </c>
      <c r="C1010" s="37">
        <f>IFERROR(IF(AND(ISNUMBER('Semi OpInc'!G15),ISNUMBER('Semi OpInc'!C15),'Semi OpInc'!C15&gt;0),'Semi OpInc'!G15/'Semi OpInc'!C15-1,""),"")</f>
        <v/>
      </c>
      <c r="D1010" s="37">
        <f>IFERROR(IF(AND(ISNUMBER('Semi OpInc'!H15),ISNUMBER('Semi OpInc'!D15),'Semi OpInc'!D15&gt;0),'Semi OpInc'!H15/'Semi OpInc'!D15-1,""),"")</f>
        <v/>
      </c>
      <c r="E1010" s="37">
        <f>IFERROR(IF(AND(ISNUMBER('Semi OpInc'!I15),ISNUMBER('Semi OpInc'!E15),'Semi OpInc'!E15&gt;0),'Semi OpInc'!I15/'Semi OpInc'!E15-1,""),"")</f>
        <v/>
      </c>
      <c r="F1010" s="37">
        <f>IFERROR(IF(AND(ISNUMBER('Semi OpInc'!J15),ISNUMBER('Semi OpInc'!F15),'Semi OpInc'!F15&gt;0),'Semi OpInc'!J15/'Semi OpInc'!F15-1,""),"")</f>
        <v/>
      </c>
      <c r="G1010" s="37">
        <f>IFERROR(IF(AND(ISNUMBER('Semi OpInc'!K15),ISNUMBER('Semi OpInc'!G15),'Semi OpInc'!G15&gt;0),'Semi OpInc'!K15/'Semi OpInc'!G15-1,""),"")</f>
        <v/>
      </c>
      <c r="H1010" s="37">
        <f>IFERROR(IF(AND(ISNUMBER('Semi OpInc'!L15),ISNUMBER('Semi OpInc'!H15),'Semi OpInc'!H15&gt;0),'Semi OpInc'!L15/'Semi OpInc'!H15-1,""),"")</f>
        <v/>
      </c>
      <c r="I1010" s="37">
        <f>IFERROR(IF(AND(ISNUMBER('Semi OpInc'!M15),ISNUMBER('Semi OpInc'!I15),'Semi OpInc'!I15&gt;0),'Semi OpInc'!M15/'Semi OpInc'!I15-1,""),"")</f>
        <v/>
      </c>
      <c r="J1010" s="37">
        <f>IFERROR(IF(AND(ISNUMBER('Semi OpInc'!N15),ISNUMBER('Semi OpInc'!J15),'Semi OpInc'!J15&gt;0),'Semi OpInc'!N15/'Semi OpInc'!J15-1,""),"")</f>
        <v/>
      </c>
      <c r="K1010" s="37">
        <f>IFERROR(IF(AND(ISNUMBER('Semi OpInc'!O15),ISNUMBER('Semi OpInc'!K15),'Semi OpInc'!K15&gt;0),'Semi OpInc'!O15/'Semi OpInc'!K15-1,""),"")</f>
        <v/>
      </c>
      <c r="L1010" s="37">
        <f>IFERROR(IF(AND(ISNUMBER('Semi OpInc'!P15),ISNUMBER('Semi OpInc'!L15),'Semi OpInc'!L15&gt;0),'Semi OpInc'!P15/'Semi OpInc'!L15-1,""),"")</f>
        <v/>
      </c>
      <c r="M1010" s="38">
        <f>IFERROR(IF(AND(ISNUMBER('Semi OpInc'!Q15),ISNUMBER('Semi OpInc'!M15),'Semi OpInc'!M15&gt;0),'Semi OpInc'!Q15/'Semi OpInc'!M15-1,""),"")</f>
        <v/>
      </c>
      <c r="N1010" s="38">
        <f>IFERROR(IF(AND(ISNUMBER('Semi OpInc'!R15),ISNUMBER('Semi OpInc'!N15),'Semi OpInc'!N15&gt;0),'Semi OpInc'!R15/'Semi OpInc'!N15-1,""),"")</f>
        <v/>
      </c>
    </row>
    <row r="1011">
      <c r="A1011" s="19">
        <f>'Semi Rev'!$A16</f>
        <v/>
      </c>
      <c r="B1011" s="19">
        <f>'Semi Rev'!$B16</f>
        <v/>
      </c>
      <c r="C1011" s="37">
        <f>IFERROR(IF(AND(ISNUMBER('Semi OpInc'!G16),ISNUMBER('Semi OpInc'!C16),'Semi OpInc'!C16&gt;0),'Semi OpInc'!G16/'Semi OpInc'!C16-1,""),"")</f>
        <v/>
      </c>
      <c r="D1011" s="37">
        <f>IFERROR(IF(AND(ISNUMBER('Semi OpInc'!H16),ISNUMBER('Semi OpInc'!D16),'Semi OpInc'!D16&gt;0),'Semi OpInc'!H16/'Semi OpInc'!D16-1,""),"")</f>
        <v/>
      </c>
      <c r="E1011" s="37">
        <f>IFERROR(IF(AND(ISNUMBER('Semi OpInc'!I16),ISNUMBER('Semi OpInc'!E16),'Semi OpInc'!E16&gt;0),'Semi OpInc'!I16/'Semi OpInc'!E16-1,""),"")</f>
        <v/>
      </c>
      <c r="F1011" s="37">
        <f>IFERROR(IF(AND(ISNUMBER('Semi OpInc'!J16),ISNUMBER('Semi OpInc'!F16),'Semi OpInc'!F16&gt;0),'Semi OpInc'!J16/'Semi OpInc'!F16-1,""),"")</f>
        <v/>
      </c>
      <c r="G1011" s="37">
        <f>IFERROR(IF(AND(ISNUMBER('Semi OpInc'!K16),ISNUMBER('Semi OpInc'!G16),'Semi OpInc'!G16&gt;0),'Semi OpInc'!K16/'Semi OpInc'!G16-1,""),"")</f>
        <v/>
      </c>
      <c r="H1011" s="37">
        <f>IFERROR(IF(AND(ISNUMBER('Semi OpInc'!L16),ISNUMBER('Semi OpInc'!H16),'Semi OpInc'!H16&gt;0),'Semi OpInc'!L16/'Semi OpInc'!H16-1,""),"")</f>
        <v/>
      </c>
      <c r="I1011" s="37">
        <f>IFERROR(IF(AND(ISNUMBER('Semi OpInc'!M16),ISNUMBER('Semi OpInc'!I16),'Semi OpInc'!I16&gt;0),'Semi OpInc'!M16/'Semi OpInc'!I16-1,""),"")</f>
        <v/>
      </c>
      <c r="J1011" s="37">
        <f>IFERROR(IF(AND(ISNUMBER('Semi OpInc'!N16),ISNUMBER('Semi OpInc'!J16),'Semi OpInc'!J16&gt;0),'Semi OpInc'!N16/'Semi OpInc'!J16-1,""),"")</f>
        <v/>
      </c>
      <c r="K1011" s="37">
        <f>IFERROR(IF(AND(ISNUMBER('Semi OpInc'!O16),ISNUMBER('Semi OpInc'!K16),'Semi OpInc'!K16&gt;0),'Semi OpInc'!O16/'Semi OpInc'!K16-1,""),"")</f>
        <v/>
      </c>
      <c r="L1011" s="37">
        <f>IFERROR(IF(AND(ISNUMBER('Semi OpInc'!P16),ISNUMBER('Semi OpInc'!L16),'Semi OpInc'!L16&gt;0),'Semi OpInc'!P16/'Semi OpInc'!L16-1,""),"")</f>
        <v/>
      </c>
      <c r="M1011" s="38">
        <f>IFERROR(IF(AND(ISNUMBER('Semi OpInc'!Q16),ISNUMBER('Semi OpInc'!M16),'Semi OpInc'!M16&gt;0),'Semi OpInc'!Q16/'Semi OpInc'!M16-1,""),"")</f>
        <v/>
      </c>
      <c r="N1011" s="38">
        <f>IFERROR(IF(AND(ISNUMBER('Semi OpInc'!R16),ISNUMBER('Semi OpInc'!N16),'Semi OpInc'!N16&gt;0),'Semi OpInc'!R16/'Semi OpInc'!N16-1,""),"")</f>
        <v/>
      </c>
    </row>
    <row r="1012">
      <c r="A1012" s="19">
        <f>'Semi Rev'!$A17</f>
        <v/>
      </c>
      <c r="B1012" s="19">
        <f>'Semi Rev'!$B17</f>
        <v/>
      </c>
      <c r="C1012" s="37">
        <f>IFERROR(IF(AND(ISNUMBER('Semi OpInc'!G17),ISNUMBER('Semi OpInc'!C17),'Semi OpInc'!C17&gt;0),'Semi OpInc'!G17/'Semi OpInc'!C17-1,""),"")</f>
        <v/>
      </c>
      <c r="D1012" s="37">
        <f>IFERROR(IF(AND(ISNUMBER('Semi OpInc'!H17),ISNUMBER('Semi OpInc'!D17),'Semi OpInc'!D17&gt;0),'Semi OpInc'!H17/'Semi OpInc'!D17-1,""),"")</f>
        <v/>
      </c>
      <c r="E1012" s="37">
        <f>IFERROR(IF(AND(ISNUMBER('Semi OpInc'!I17),ISNUMBER('Semi OpInc'!E17),'Semi OpInc'!E17&gt;0),'Semi OpInc'!I17/'Semi OpInc'!E17-1,""),"")</f>
        <v/>
      </c>
      <c r="F1012" s="37">
        <f>IFERROR(IF(AND(ISNUMBER('Semi OpInc'!J17),ISNUMBER('Semi OpInc'!F17),'Semi OpInc'!F17&gt;0),'Semi OpInc'!J17/'Semi OpInc'!F17-1,""),"")</f>
        <v/>
      </c>
      <c r="G1012" s="37">
        <f>IFERROR(IF(AND(ISNUMBER('Semi OpInc'!K17),ISNUMBER('Semi OpInc'!G17),'Semi OpInc'!G17&gt;0),'Semi OpInc'!K17/'Semi OpInc'!G17-1,""),"")</f>
        <v/>
      </c>
      <c r="H1012" s="37">
        <f>IFERROR(IF(AND(ISNUMBER('Semi OpInc'!L17),ISNUMBER('Semi OpInc'!H17),'Semi OpInc'!H17&gt;0),'Semi OpInc'!L17/'Semi OpInc'!H17-1,""),"")</f>
        <v/>
      </c>
      <c r="I1012" s="37">
        <f>IFERROR(IF(AND(ISNUMBER('Semi OpInc'!M17),ISNUMBER('Semi OpInc'!I17),'Semi OpInc'!I17&gt;0),'Semi OpInc'!M17/'Semi OpInc'!I17-1,""),"")</f>
        <v/>
      </c>
      <c r="J1012" s="37">
        <f>IFERROR(IF(AND(ISNUMBER('Semi OpInc'!N17),ISNUMBER('Semi OpInc'!J17),'Semi OpInc'!J17&gt;0),'Semi OpInc'!N17/'Semi OpInc'!J17-1,""),"")</f>
        <v/>
      </c>
      <c r="K1012" s="37">
        <f>IFERROR(IF(AND(ISNUMBER('Semi OpInc'!O17),ISNUMBER('Semi OpInc'!K17),'Semi OpInc'!K17&gt;0),'Semi OpInc'!O17/'Semi OpInc'!K17-1,""),"")</f>
        <v/>
      </c>
      <c r="L1012" s="37">
        <f>IFERROR(IF(AND(ISNUMBER('Semi OpInc'!P17),ISNUMBER('Semi OpInc'!L17),'Semi OpInc'!L17&gt;0),'Semi OpInc'!P17/'Semi OpInc'!L17-1,""),"")</f>
        <v/>
      </c>
      <c r="M1012" s="38">
        <f>IFERROR(IF(AND(ISNUMBER('Semi OpInc'!Q17),ISNUMBER('Semi OpInc'!M17),'Semi OpInc'!M17&gt;0),'Semi OpInc'!Q17/'Semi OpInc'!M17-1,""),"")</f>
        <v/>
      </c>
      <c r="N1012" s="38">
        <f>IFERROR(IF(AND(ISNUMBER('Semi OpInc'!R17),ISNUMBER('Semi OpInc'!N17),'Semi OpInc'!N17&gt;0),'Semi OpInc'!R17/'Semi OpInc'!N17-1,""),"")</f>
        <v/>
      </c>
    </row>
    <row r="1013">
      <c r="A1013" s="19">
        <f>'Semi Rev'!$A18</f>
        <v/>
      </c>
      <c r="B1013" s="19">
        <f>'Semi Rev'!$B18</f>
        <v/>
      </c>
      <c r="C1013" s="37">
        <f>IFERROR(IF(AND(ISNUMBER('Semi OpInc'!G18),ISNUMBER('Semi OpInc'!C18),'Semi OpInc'!C18&gt;0),'Semi OpInc'!G18/'Semi OpInc'!C18-1,""),"")</f>
        <v/>
      </c>
      <c r="D1013" s="37">
        <f>IFERROR(IF(AND(ISNUMBER('Semi OpInc'!H18),ISNUMBER('Semi OpInc'!D18),'Semi OpInc'!D18&gt;0),'Semi OpInc'!H18/'Semi OpInc'!D18-1,""),"")</f>
        <v/>
      </c>
      <c r="E1013" s="37">
        <f>IFERROR(IF(AND(ISNUMBER('Semi OpInc'!I18),ISNUMBER('Semi OpInc'!E18),'Semi OpInc'!E18&gt;0),'Semi OpInc'!I18/'Semi OpInc'!E18-1,""),"")</f>
        <v/>
      </c>
      <c r="F1013" s="37">
        <f>IFERROR(IF(AND(ISNUMBER('Semi OpInc'!J18),ISNUMBER('Semi OpInc'!F18),'Semi OpInc'!F18&gt;0),'Semi OpInc'!J18/'Semi OpInc'!F18-1,""),"")</f>
        <v/>
      </c>
      <c r="G1013" s="37">
        <f>IFERROR(IF(AND(ISNUMBER('Semi OpInc'!K18),ISNUMBER('Semi OpInc'!G18),'Semi OpInc'!G18&gt;0),'Semi OpInc'!K18/'Semi OpInc'!G18-1,""),"")</f>
        <v/>
      </c>
      <c r="H1013" s="37">
        <f>IFERROR(IF(AND(ISNUMBER('Semi OpInc'!L18),ISNUMBER('Semi OpInc'!H18),'Semi OpInc'!H18&gt;0),'Semi OpInc'!L18/'Semi OpInc'!H18-1,""),"")</f>
        <v/>
      </c>
      <c r="I1013" s="37">
        <f>IFERROR(IF(AND(ISNUMBER('Semi OpInc'!M18),ISNUMBER('Semi OpInc'!I18),'Semi OpInc'!I18&gt;0),'Semi OpInc'!M18/'Semi OpInc'!I18-1,""),"")</f>
        <v/>
      </c>
      <c r="J1013" s="37">
        <f>IFERROR(IF(AND(ISNUMBER('Semi OpInc'!N18),ISNUMBER('Semi OpInc'!J18),'Semi OpInc'!J18&gt;0),'Semi OpInc'!N18/'Semi OpInc'!J18-1,""),"")</f>
        <v/>
      </c>
      <c r="K1013" s="37">
        <f>IFERROR(IF(AND(ISNUMBER('Semi OpInc'!O18),ISNUMBER('Semi OpInc'!K18),'Semi OpInc'!K18&gt;0),'Semi OpInc'!O18/'Semi OpInc'!K18-1,""),"")</f>
        <v/>
      </c>
      <c r="L1013" s="37">
        <f>IFERROR(IF(AND(ISNUMBER('Semi OpInc'!P18),ISNUMBER('Semi OpInc'!L18),'Semi OpInc'!L18&gt;0),'Semi OpInc'!P18/'Semi OpInc'!L18-1,""),"")</f>
        <v/>
      </c>
      <c r="M1013" s="38">
        <f>IFERROR(IF(AND(ISNUMBER('Semi OpInc'!Q18),ISNUMBER('Semi OpInc'!M18),'Semi OpInc'!M18&gt;0),'Semi OpInc'!Q18/'Semi OpInc'!M18-1,""),"")</f>
        <v/>
      </c>
      <c r="N1013" s="38">
        <f>IFERROR(IF(AND(ISNUMBER('Semi OpInc'!R18),ISNUMBER('Semi OpInc'!N18),'Semi OpInc'!N18&gt;0),'Semi OpInc'!R18/'Semi OpInc'!N18-1,""),"")</f>
        <v/>
      </c>
    </row>
    <row r="1014">
      <c r="A1014" s="19">
        <f>'Semi Rev'!$A19</f>
        <v/>
      </c>
      <c r="B1014" s="19">
        <f>'Semi Rev'!$B19</f>
        <v/>
      </c>
      <c r="C1014" s="37">
        <f>IFERROR(IF(AND(ISNUMBER('Semi OpInc'!G19),ISNUMBER('Semi OpInc'!C19),'Semi OpInc'!C19&gt;0),'Semi OpInc'!G19/'Semi OpInc'!C19-1,""),"")</f>
        <v/>
      </c>
      <c r="D1014" s="37">
        <f>IFERROR(IF(AND(ISNUMBER('Semi OpInc'!H19),ISNUMBER('Semi OpInc'!D19),'Semi OpInc'!D19&gt;0),'Semi OpInc'!H19/'Semi OpInc'!D19-1,""),"")</f>
        <v/>
      </c>
      <c r="E1014" s="37">
        <f>IFERROR(IF(AND(ISNUMBER('Semi OpInc'!I19),ISNUMBER('Semi OpInc'!E19),'Semi OpInc'!E19&gt;0),'Semi OpInc'!I19/'Semi OpInc'!E19-1,""),"")</f>
        <v/>
      </c>
      <c r="F1014" s="37">
        <f>IFERROR(IF(AND(ISNUMBER('Semi OpInc'!J19),ISNUMBER('Semi OpInc'!F19),'Semi OpInc'!F19&gt;0),'Semi OpInc'!J19/'Semi OpInc'!F19-1,""),"")</f>
        <v/>
      </c>
      <c r="G1014" s="37">
        <f>IFERROR(IF(AND(ISNUMBER('Semi OpInc'!K19),ISNUMBER('Semi OpInc'!G19),'Semi OpInc'!G19&gt;0),'Semi OpInc'!K19/'Semi OpInc'!G19-1,""),"")</f>
        <v/>
      </c>
      <c r="H1014" s="37">
        <f>IFERROR(IF(AND(ISNUMBER('Semi OpInc'!L19),ISNUMBER('Semi OpInc'!H19),'Semi OpInc'!H19&gt;0),'Semi OpInc'!L19/'Semi OpInc'!H19-1,""),"")</f>
        <v/>
      </c>
      <c r="I1014" s="37">
        <f>IFERROR(IF(AND(ISNUMBER('Semi OpInc'!M19),ISNUMBER('Semi OpInc'!I19),'Semi OpInc'!I19&gt;0),'Semi OpInc'!M19/'Semi OpInc'!I19-1,""),"")</f>
        <v/>
      </c>
      <c r="J1014" s="37">
        <f>IFERROR(IF(AND(ISNUMBER('Semi OpInc'!N19),ISNUMBER('Semi OpInc'!J19),'Semi OpInc'!J19&gt;0),'Semi OpInc'!N19/'Semi OpInc'!J19-1,""),"")</f>
        <v/>
      </c>
      <c r="K1014" s="37">
        <f>IFERROR(IF(AND(ISNUMBER('Semi OpInc'!O19),ISNUMBER('Semi OpInc'!K19),'Semi OpInc'!K19&gt;0),'Semi OpInc'!O19/'Semi OpInc'!K19-1,""),"")</f>
        <v/>
      </c>
      <c r="L1014" s="37">
        <f>IFERROR(IF(AND(ISNUMBER('Semi OpInc'!P19),ISNUMBER('Semi OpInc'!L19),'Semi OpInc'!L19&gt;0),'Semi OpInc'!P19/'Semi OpInc'!L19-1,""),"")</f>
        <v/>
      </c>
      <c r="M1014" s="38">
        <f>IFERROR(IF(AND(ISNUMBER('Semi OpInc'!Q19),ISNUMBER('Semi OpInc'!M19),'Semi OpInc'!M19&gt;0),'Semi OpInc'!Q19/'Semi OpInc'!M19-1,""),"")</f>
        <v/>
      </c>
      <c r="N1014" s="38">
        <f>IFERROR(IF(AND(ISNUMBER('Semi OpInc'!R19),ISNUMBER('Semi OpInc'!N19),'Semi OpInc'!N19&gt;0),'Semi OpInc'!R19/'Semi OpInc'!N19-1,""),"")</f>
        <v/>
      </c>
    </row>
    <row r="1015">
      <c r="A1015" s="19">
        <f>'Semi Rev'!$A20</f>
        <v/>
      </c>
      <c r="B1015" s="19">
        <f>'Semi Rev'!$B20</f>
        <v/>
      </c>
      <c r="C1015" s="37">
        <f>IFERROR(IF(AND(ISNUMBER('Semi OpInc'!G20),ISNUMBER('Semi OpInc'!C20),'Semi OpInc'!C20&gt;0),'Semi OpInc'!G20/'Semi OpInc'!C20-1,""),"")</f>
        <v/>
      </c>
      <c r="D1015" s="37">
        <f>IFERROR(IF(AND(ISNUMBER('Semi OpInc'!H20),ISNUMBER('Semi OpInc'!D20),'Semi OpInc'!D20&gt;0),'Semi OpInc'!H20/'Semi OpInc'!D20-1,""),"")</f>
        <v/>
      </c>
      <c r="E1015" s="37">
        <f>IFERROR(IF(AND(ISNUMBER('Semi OpInc'!I20),ISNUMBER('Semi OpInc'!E20),'Semi OpInc'!E20&gt;0),'Semi OpInc'!I20/'Semi OpInc'!E20-1,""),"")</f>
        <v/>
      </c>
      <c r="F1015" s="37">
        <f>IFERROR(IF(AND(ISNUMBER('Semi OpInc'!J20),ISNUMBER('Semi OpInc'!F20),'Semi OpInc'!F20&gt;0),'Semi OpInc'!J20/'Semi OpInc'!F20-1,""),"")</f>
        <v/>
      </c>
      <c r="G1015" s="37">
        <f>IFERROR(IF(AND(ISNUMBER('Semi OpInc'!K20),ISNUMBER('Semi OpInc'!G20),'Semi OpInc'!G20&gt;0),'Semi OpInc'!K20/'Semi OpInc'!G20-1,""),"")</f>
        <v/>
      </c>
      <c r="H1015" s="37">
        <f>IFERROR(IF(AND(ISNUMBER('Semi OpInc'!L20),ISNUMBER('Semi OpInc'!H20),'Semi OpInc'!H20&gt;0),'Semi OpInc'!L20/'Semi OpInc'!H20-1,""),"")</f>
        <v/>
      </c>
      <c r="I1015" s="37">
        <f>IFERROR(IF(AND(ISNUMBER('Semi OpInc'!M20),ISNUMBER('Semi OpInc'!I20),'Semi OpInc'!I20&gt;0),'Semi OpInc'!M20/'Semi OpInc'!I20-1,""),"")</f>
        <v/>
      </c>
      <c r="J1015" s="37">
        <f>IFERROR(IF(AND(ISNUMBER('Semi OpInc'!N20),ISNUMBER('Semi OpInc'!J20),'Semi OpInc'!J20&gt;0),'Semi OpInc'!N20/'Semi OpInc'!J20-1,""),"")</f>
        <v/>
      </c>
      <c r="K1015" s="37">
        <f>IFERROR(IF(AND(ISNUMBER('Semi OpInc'!O20),ISNUMBER('Semi OpInc'!K20),'Semi OpInc'!K20&gt;0),'Semi OpInc'!O20/'Semi OpInc'!K20-1,""),"")</f>
        <v/>
      </c>
      <c r="L1015" s="37">
        <f>IFERROR(IF(AND(ISNUMBER('Semi OpInc'!P20),ISNUMBER('Semi OpInc'!L20),'Semi OpInc'!L20&gt;0),'Semi OpInc'!P20/'Semi OpInc'!L20-1,""),"")</f>
        <v/>
      </c>
      <c r="M1015" s="38">
        <f>IFERROR(IF(AND(ISNUMBER('Semi OpInc'!Q20),ISNUMBER('Semi OpInc'!M20),'Semi OpInc'!M20&gt;0),'Semi OpInc'!Q20/'Semi OpInc'!M20-1,""),"")</f>
        <v/>
      </c>
      <c r="N1015" s="38">
        <f>IFERROR(IF(AND(ISNUMBER('Semi OpInc'!R20),ISNUMBER('Semi OpInc'!N20),'Semi OpInc'!N20&gt;0),'Semi OpInc'!R20/'Semi OpInc'!N20-1,""),"")</f>
        <v/>
      </c>
    </row>
    <row r="1016">
      <c r="A1016" s="19">
        <f>'Semi Rev'!$A21</f>
        <v/>
      </c>
      <c r="B1016" s="19">
        <f>'Semi Rev'!$B21</f>
        <v/>
      </c>
      <c r="C1016" s="37">
        <f>IFERROR(IF(AND(ISNUMBER('Semi OpInc'!G21),ISNUMBER('Semi OpInc'!C21),'Semi OpInc'!C21&gt;0),'Semi OpInc'!G21/'Semi OpInc'!C21-1,""),"")</f>
        <v/>
      </c>
      <c r="D1016" s="37">
        <f>IFERROR(IF(AND(ISNUMBER('Semi OpInc'!H21),ISNUMBER('Semi OpInc'!D21),'Semi OpInc'!D21&gt;0),'Semi OpInc'!H21/'Semi OpInc'!D21-1,""),"")</f>
        <v/>
      </c>
      <c r="E1016" s="37">
        <f>IFERROR(IF(AND(ISNUMBER('Semi OpInc'!I21),ISNUMBER('Semi OpInc'!E21),'Semi OpInc'!E21&gt;0),'Semi OpInc'!I21/'Semi OpInc'!E21-1,""),"")</f>
        <v/>
      </c>
      <c r="F1016" s="37">
        <f>IFERROR(IF(AND(ISNUMBER('Semi OpInc'!J21),ISNUMBER('Semi OpInc'!F21),'Semi OpInc'!F21&gt;0),'Semi OpInc'!J21/'Semi OpInc'!F21-1,""),"")</f>
        <v/>
      </c>
      <c r="G1016" s="37">
        <f>IFERROR(IF(AND(ISNUMBER('Semi OpInc'!K21),ISNUMBER('Semi OpInc'!G21),'Semi OpInc'!G21&gt;0),'Semi OpInc'!K21/'Semi OpInc'!G21-1,""),"")</f>
        <v/>
      </c>
      <c r="H1016" s="37">
        <f>IFERROR(IF(AND(ISNUMBER('Semi OpInc'!L21),ISNUMBER('Semi OpInc'!H21),'Semi OpInc'!H21&gt;0),'Semi OpInc'!L21/'Semi OpInc'!H21-1,""),"")</f>
        <v/>
      </c>
      <c r="I1016" s="37">
        <f>IFERROR(IF(AND(ISNUMBER('Semi OpInc'!M21),ISNUMBER('Semi OpInc'!I21),'Semi OpInc'!I21&gt;0),'Semi OpInc'!M21/'Semi OpInc'!I21-1,""),"")</f>
        <v/>
      </c>
      <c r="J1016" s="37">
        <f>IFERROR(IF(AND(ISNUMBER('Semi OpInc'!N21),ISNUMBER('Semi OpInc'!J21),'Semi OpInc'!J21&gt;0),'Semi OpInc'!N21/'Semi OpInc'!J21-1,""),"")</f>
        <v/>
      </c>
      <c r="K1016" s="37">
        <f>IFERROR(IF(AND(ISNUMBER('Semi OpInc'!O21),ISNUMBER('Semi OpInc'!K21),'Semi OpInc'!K21&gt;0),'Semi OpInc'!O21/'Semi OpInc'!K21-1,""),"")</f>
        <v/>
      </c>
      <c r="L1016" s="37">
        <f>IFERROR(IF(AND(ISNUMBER('Semi OpInc'!P21),ISNUMBER('Semi OpInc'!L21),'Semi OpInc'!L21&gt;0),'Semi OpInc'!P21/'Semi OpInc'!L21-1,""),"")</f>
        <v/>
      </c>
      <c r="M1016" s="38">
        <f>IFERROR(IF(AND(ISNUMBER('Semi OpInc'!Q21),ISNUMBER('Semi OpInc'!M21),'Semi OpInc'!M21&gt;0),'Semi OpInc'!Q21/'Semi OpInc'!M21-1,""),"")</f>
        <v/>
      </c>
      <c r="N1016" s="38">
        <f>IFERROR(IF(AND(ISNUMBER('Semi OpInc'!R21),ISNUMBER('Semi OpInc'!N21),'Semi OpInc'!N21&gt;0),'Semi OpInc'!R21/'Semi OpInc'!N21-1,""),"")</f>
        <v/>
      </c>
    </row>
    <row r="1017">
      <c r="A1017" s="19">
        <f>'Semi Rev'!$A22</f>
        <v/>
      </c>
      <c r="B1017" s="19">
        <f>'Semi Rev'!$B22</f>
        <v/>
      </c>
      <c r="C1017" s="37">
        <f>IFERROR(IF(AND(ISNUMBER('Semi OpInc'!G22),ISNUMBER('Semi OpInc'!C22),'Semi OpInc'!C22&gt;0),'Semi OpInc'!G22/'Semi OpInc'!C22-1,""),"")</f>
        <v/>
      </c>
      <c r="D1017" s="37">
        <f>IFERROR(IF(AND(ISNUMBER('Semi OpInc'!H22),ISNUMBER('Semi OpInc'!D22),'Semi OpInc'!D22&gt;0),'Semi OpInc'!H22/'Semi OpInc'!D22-1,""),"")</f>
        <v/>
      </c>
      <c r="E1017" s="37">
        <f>IFERROR(IF(AND(ISNUMBER('Semi OpInc'!I22),ISNUMBER('Semi OpInc'!E22),'Semi OpInc'!E22&gt;0),'Semi OpInc'!I22/'Semi OpInc'!E22-1,""),"")</f>
        <v/>
      </c>
      <c r="F1017" s="37">
        <f>IFERROR(IF(AND(ISNUMBER('Semi OpInc'!J22),ISNUMBER('Semi OpInc'!F22),'Semi OpInc'!F22&gt;0),'Semi OpInc'!J22/'Semi OpInc'!F22-1,""),"")</f>
        <v/>
      </c>
      <c r="G1017" s="37">
        <f>IFERROR(IF(AND(ISNUMBER('Semi OpInc'!K22),ISNUMBER('Semi OpInc'!G22),'Semi OpInc'!G22&gt;0),'Semi OpInc'!K22/'Semi OpInc'!G22-1,""),"")</f>
        <v/>
      </c>
      <c r="H1017" s="37">
        <f>IFERROR(IF(AND(ISNUMBER('Semi OpInc'!L22),ISNUMBER('Semi OpInc'!H22),'Semi OpInc'!H22&gt;0),'Semi OpInc'!L22/'Semi OpInc'!H22-1,""),"")</f>
        <v/>
      </c>
      <c r="I1017" s="37">
        <f>IFERROR(IF(AND(ISNUMBER('Semi OpInc'!M22),ISNUMBER('Semi OpInc'!I22),'Semi OpInc'!I22&gt;0),'Semi OpInc'!M22/'Semi OpInc'!I22-1,""),"")</f>
        <v/>
      </c>
      <c r="J1017" s="37">
        <f>IFERROR(IF(AND(ISNUMBER('Semi OpInc'!N22),ISNUMBER('Semi OpInc'!J22),'Semi OpInc'!J22&gt;0),'Semi OpInc'!N22/'Semi OpInc'!J22-1,""),"")</f>
        <v/>
      </c>
      <c r="K1017" s="37">
        <f>IFERROR(IF(AND(ISNUMBER('Semi OpInc'!O22),ISNUMBER('Semi OpInc'!K22),'Semi OpInc'!K22&gt;0),'Semi OpInc'!O22/'Semi OpInc'!K22-1,""),"")</f>
        <v/>
      </c>
      <c r="L1017" s="37">
        <f>IFERROR(IF(AND(ISNUMBER('Semi OpInc'!P22),ISNUMBER('Semi OpInc'!L22),'Semi OpInc'!L22&gt;0),'Semi OpInc'!P22/'Semi OpInc'!L22-1,""),"")</f>
        <v/>
      </c>
      <c r="M1017" s="38">
        <f>IFERROR(IF(AND(ISNUMBER('Semi OpInc'!Q22),ISNUMBER('Semi OpInc'!M22),'Semi OpInc'!M22&gt;0),'Semi OpInc'!Q22/'Semi OpInc'!M22-1,""),"")</f>
        <v/>
      </c>
      <c r="N1017" s="38">
        <f>IFERROR(IF(AND(ISNUMBER('Semi OpInc'!R22),ISNUMBER('Semi OpInc'!N22),'Semi OpInc'!N22&gt;0),'Semi OpInc'!R22/'Semi OpInc'!N22-1,""),"")</f>
        <v/>
      </c>
    </row>
    <row r="1018">
      <c r="A1018" s="19">
        <f>'Semi Rev'!$A23</f>
        <v/>
      </c>
      <c r="B1018" s="19">
        <f>'Semi Rev'!$B23</f>
        <v/>
      </c>
      <c r="C1018" s="37">
        <f>IFERROR(IF(AND(ISNUMBER('Semi OpInc'!G23),ISNUMBER('Semi OpInc'!C23),'Semi OpInc'!C23&gt;0),'Semi OpInc'!G23/'Semi OpInc'!C23-1,""),"")</f>
        <v/>
      </c>
      <c r="D1018" s="37">
        <f>IFERROR(IF(AND(ISNUMBER('Semi OpInc'!H23),ISNUMBER('Semi OpInc'!D23),'Semi OpInc'!D23&gt;0),'Semi OpInc'!H23/'Semi OpInc'!D23-1,""),"")</f>
        <v/>
      </c>
      <c r="E1018" s="37">
        <f>IFERROR(IF(AND(ISNUMBER('Semi OpInc'!I23),ISNUMBER('Semi OpInc'!E23),'Semi OpInc'!E23&gt;0),'Semi OpInc'!I23/'Semi OpInc'!E23-1,""),"")</f>
        <v/>
      </c>
      <c r="F1018" s="37">
        <f>IFERROR(IF(AND(ISNUMBER('Semi OpInc'!J23),ISNUMBER('Semi OpInc'!F23),'Semi OpInc'!F23&gt;0),'Semi OpInc'!J23/'Semi OpInc'!F23-1,""),"")</f>
        <v/>
      </c>
      <c r="G1018" s="37">
        <f>IFERROR(IF(AND(ISNUMBER('Semi OpInc'!K23),ISNUMBER('Semi OpInc'!G23),'Semi OpInc'!G23&gt;0),'Semi OpInc'!K23/'Semi OpInc'!G23-1,""),"")</f>
        <v/>
      </c>
      <c r="H1018" s="37">
        <f>IFERROR(IF(AND(ISNUMBER('Semi OpInc'!L23),ISNUMBER('Semi OpInc'!H23),'Semi OpInc'!H23&gt;0),'Semi OpInc'!L23/'Semi OpInc'!H23-1,""),"")</f>
        <v/>
      </c>
      <c r="I1018" s="37">
        <f>IFERROR(IF(AND(ISNUMBER('Semi OpInc'!M23),ISNUMBER('Semi OpInc'!I23),'Semi OpInc'!I23&gt;0),'Semi OpInc'!M23/'Semi OpInc'!I23-1,""),"")</f>
        <v/>
      </c>
      <c r="J1018" s="37">
        <f>IFERROR(IF(AND(ISNUMBER('Semi OpInc'!N23),ISNUMBER('Semi OpInc'!J23),'Semi OpInc'!J23&gt;0),'Semi OpInc'!N23/'Semi OpInc'!J23-1,""),"")</f>
        <v/>
      </c>
      <c r="K1018" s="37">
        <f>IFERROR(IF(AND(ISNUMBER('Semi OpInc'!O23),ISNUMBER('Semi OpInc'!K23),'Semi OpInc'!K23&gt;0),'Semi OpInc'!O23/'Semi OpInc'!K23-1,""),"")</f>
        <v/>
      </c>
      <c r="L1018" s="37">
        <f>IFERROR(IF(AND(ISNUMBER('Semi OpInc'!P23),ISNUMBER('Semi OpInc'!L23),'Semi OpInc'!L23&gt;0),'Semi OpInc'!P23/'Semi OpInc'!L23-1,""),"")</f>
        <v/>
      </c>
      <c r="M1018" s="38">
        <f>IFERROR(IF(AND(ISNUMBER('Semi OpInc'!Q23),ISNUMBER('Semi OpInc'!M23),'Semi OpInc'!M23&gt;0),'Semi OpInc'!Q23/'Semi OpInc'!M23-1,""),"")</f>
        <v/>
      </c>
      <c r="N1018" s="38">
        <f>IFERROR(IF(AND(ISNUMBER('Semi OpInc'!R23),ISNUMBER('Semi OpInc'!N23),'Semi OpInc'!N23&gt;0),'Semi OpInc'!R23/'Semi OpInc'!N23-1,""),"")</f>
        <v/>
      </c>
    </row>
    <row r="1019">
      <c r="A1019" s="19">
        <f>'Semi Rev'!$A24</f>
        <v/>
      </c>
      <c r="B1019" s="19">
        <f>'Semi Rev'!$B24</f>
        <v/>
      </c>
      <c r="C1019" s="37">
        <f>IFERROR(IF(AND(ISNUMBER('Semi OpInc'!G24),ISNUMBER('Semi OpInc'!C24),'Semi OpInc'!C24&gt;0),'Semi OpInc'!G24/'Semi OpInc'!C24-1,""),"")</f>
        <v/>
      </c>
      <c r="D1019" s="37">
        <f>IFERROR(IF(AND(ISNUMBER('Semi OpInc'!H24),ISNUMBER('Semi OpInc'!D24),'Semi OpInc'!D24&gt;0),'Semi OpInc'!H24/'Semi OpInc'!D24-1,""),"")</f>
        <v/>
      </c>
      <c r="E1019" s="37">
        <f>IFERROR(IF(AND(ISNUMBER('Semi OpInc'!I24),ISNUMBER('Semi OpInc'!E24),'Semi OpInc'!E24&gt;0),'Semi OpInc'!I24/'Semi OpInc'!E24-1,""),"")</f>
        <v/>
      </c>
      <c r="F1019" s="37">
        <f>IFERROR(IF(AND(ISNUMBER('Semi OpInc'!J24),ISNUMBER('Semi OpInc'!F24),'Semi OpInc'!F24&gt;0),'Semi OpInc'!J24/'Semi OpInc'!F24-1,""),"")</f>
        <v/>
      </c>
      <c r="G1019" s="37">
        <f>IFERROR(IF(AND(ISNUMBER('Semi OpInc'!K24),ISNUMBER('Semi OpInc'!G24),'Semi OpInc'!G24&gt;0),'Semi OpInc'!K24/'Semi OpInc'!G24-1,""),"")</f>
        <v/>
      </c>
      <c r="H1019" s="37">
        <f>IFERROR(IF(AND(ISNUMBER('Semi OpInc'!L24),ISNUMBER('Semi OpInc'!H24),'Semi OpInc'!H24&gt;0),'Semi OpInc'!L24/'Semi OpInc'!H24-1,""),"")</f>
        <v/>
      </c>
      <c r="I1019" s="37">
        <f>IFERROR(IF(AND(ISNUMBER('Semi OpInc'!M24),ISNUMBER('Semi OpInc'!I24),'Semi OpInc'!I24&gt;0),'Semi OpInc'!M24/'Semi OpInc'!I24-1,""),"")</f>
        <v/>
      </c>
      <c r="J1019" s="37">
        <f>IFERROR(IF(AND(ISNUMBER('Semi OpInc'!N24),ISNUMBER('Semi OpInc'!J24),'Semi OpInc'!J24&gt;0),'Semi OpInc'!N24/'Semi OpInc'!J24-1,""),"")</f>
        <v/>
      </c>
      <c r="K1019" s="37">
        <f>IFERROR(IF(AND(ISNUMBER('Semi OpInc'!O24),ISNUMBER('Semi OpInc'!K24),'Semi OpInc'!K24&gt;0),'Semi OpInc'!O24/'Semi OpInc'!K24-1,""),"")</f>
        <v/>
      </c>
      <c r="L1019" s="37">
        <f>IFERROR(IF(AND(ISNUMBER('Semi OpInc'!P24),ISNUMBER('Semi OpInc'!L24),'Semi OpInc'!L24&gt;0),'Semi OpInc'!P24/'Semi OpInc'!L24-1,""),"")</f>
        <v/>
      </c>
      <c r="M1019" s="38">
        <f>IFERROR(IF(AND(ISNUMBER('Semi OpInc'!Q24),ISNUMBER('Semi OpInc'!M24),'Semi OpInc'!M24&gt;0),'Semi OpInc'!Q24/'Semi OpInc'!M24-1,""),"")</f>
        <v/>
      </c>
      <c r="N1019" s="38">
        <f>IFERROR(IF(AND(ISNUMBER('Semi OpInc'!R24),ISNUMBER('Semi OpInc'!N24),'Semi OpInc'!N24&gt;0),'Semi OpInc'!R24/'Semi OpInc'!N24-1,""),"")</f>
        <v/>
      </c>
    </row>
    <row r="1020">
      <c r="A1020" s="19">
        <f>'Semi Rev'!$A25</f>
        <v/>
      </c>
      <c r="B1020" s="19">
        <f>'Semi Rev'!$B25</f>
        <v/>
      </c>
      <c r="C1020" s="37">
        <f>IFERROR(IF(AND(ISNUMBER('Semi OpInc'!G25),ISNUMBER('Semi OpInc'!C25),'Semi OpInc'!C25&gt;0),'Semi OpInc'!G25/'Semi OpInc'!C25-1,""),"")</f>
        <v/>
      </c>
      <c r="D1020" s="37">
        <f>IFERROR(IF(AND(ISNUMBER('Semi OpInc'!H25),ISNUMBER('Semi OpInc'!D25),'Semi OpInc'!D25&gt;0),'Semi OpInc'!H25/'Semi OpInc'!D25-1,""),"")</f>
        <v/>
      </c>
      <c r="E1020" s="37">
        <f>IFERROR(IF(AND(ISNUMBER('Semi OpInc'!I25),ISNUMBER('Semi OpInc'!E25),'Semi OpInc'!E25&gt;0),'Semi OpInc'!I25/'Semi OpInc'!E25-1,""),"")</f>
        <v/>
      </c>
      <c r="F1020" s="37">
        <f>IFERROR(IF(AND(ISNUMBER('Semi OpInc'!J25),ISNUMBER('Semi OpInc'!F25),'Semi OpInc'!F25&gt;0),'Semi OpInc'!J25/'Semi OpInc'!F25-1,""),"")</f>
        <v/>
      </c>
      <c r="G1020" s="37">
        <f>IFERROR(IF(AND(ISNUMBER('Semi OpInc'!K25),ISNUMBER('Semi OpInc'!G25),'Semi OpInc'!G25&gt;0),'Semi OpInc'!K25/'Semi OpInc'!G25-1,""),"")</f>
        <v/>
      </c>
      <c r="H1020" s="37">
        <f>IFERROR(IF(AND(ISNUMBER('Semi OpInc'!L25),ISNUMBER('Semi OpInc'!H25),'Semi OpInc'!H25&gt;0),'Semi OpInc'!L25/'Semi OpInc'!H25-1,""),"")</f>
        <v/>
      </c>
      <c r="I1020" s="37">
        <f>IFERROR(IF(AND(ISNUMBER('Semi OpInc'!M25),ISNUMBER('Semi OpInc'!I25),'Semi OpInc'!I25&gt;0),'Semi OpInc'!M25/'Semi OpInc'!I25-1,""),"")</f>
        <v/>
      </c>
      <c r="J1020" s="37">
        <f>IFERROR(IF(AND(ISNUMBER('Semi OpInc'!N25),ISNUMBER('Semi OpInc'!J25),'Semi OpInc'!J25&gt;0),'Semi OpInc'!N25/'Semi OpInc'!J25-1,""),"")</f>
        <v/>
      </c>
      <c r="K1020" s="37">
        <f>IFERROR(IF(AND(ISNUMBER('Semi OpInc'!O25),ISNUMBER('Semi OpInc'!K25),'Semi OpInc'!K25&gt;0),'Semi OpInc'!O25/'Semi OpInc'!K25-1,""),"")</f>
        <v/>
      </c>
      <c r="L1020" s="37">
        <f>IFERROR(IF(AND(ISNUMBER('Semi OpInc'!P25),ISNUMBER('Semi OpInc'!L25),'Semi OpInc'!L25&gt;0),'Semi OpInc'!P25/'Semi OpInc'!L25-1,""),"")</f>
        <v/>
      </c>
      <c r="M1020" s="38">
        <f>IFERROR(IF(AND(ISNUMBER('Semi OpInc'!Q25),ISNUMBER('Semi OpInc'!M25),'Semi OpInc'!M25&gt;0),'Semi OpInc'!Q25/'Semi OpInc'!M25-1,""),"")</f>
        <v/>
      </c>
      <c r="N1020" s="38">
        <f>IFERROR(IF(AND(ISNUMBER('Semi OpInc'!R25),ISNUMBER('Semi OpInc'!N25),'Semi OpInc'!N25&gt;0),'Semi OpInc'!R25/'Semi OpInc'!N25-1,""),"")</f>
        <v/>
      </c>
    </row>
    <row r="1021">
      <c r="A1021" s="19">
        <f>'Semi Rev'!$A26</f>
        <v/>
      </c>
      <c r="B1021" s="19">
        <f>'Semi Rev'!$B26</f>
        <v/>
      </c>
      <c r="C1021" s="37">
        <f>IFERROR(IF(AND(ISNUMBER('Semi OpInc'!G26),ISNUMBER('Semi OpInc'!C26),'Semi OpInc'!C26&gt;0),'Semi OpInc'!G26/'Semi OpInc'!C26-1,""),"")</f>
        <v/>
      </c>
      <c r="D1021" s="37">
        <f>IFERROR(IF(AND(ISNUMBER('Semi OpInc'!H26),ISNUMBER('Semi OpInc'!D26),'Semi OpInc'!D26&gt;0),'Semi OpInc'!H26/'Semi OpInc'!D26-1,""),"")</f>
        <v/>
      </c>
      <c r="E1021" s="37">
        <f>IFERROR(IF(AND(ISNUMBER('Semi OpInc'!I26),ISNUMBER('Semi OpInc'!E26),'Semi OpInc'!E26&gt;0),'Semi OpInc'!I26/'Semi OpInc'!E26-1,""),"")</f>
        <v/>
      </c>
      <c r="F1021" s="37">
        <f>IFERROR(IF(AND(ISNUMBER('Semi OpInc'!J26),ISNUMBER('Semi OpInc'!F26),'Semi OpInc'!F26&gt;0),'Semi OpInc'!J26/'Semi OpInc'!F26-1,""),"")</f>
        <v/>
      </c>
      <c r="G1021" s="37">
        <f>IFERROR(IF(AND(ISNUMBER('Semi OpInc'!K26),ISNUMBER('Semi OpInc'!G26),'Semi OpInc'!G26&gt;0),'Semi OpInc'!K26/'Semi OpInc'!G26-1,""),"")</f>
        <v/>
      </c>
      <c r="H1021" s="37">
        <f>IFERROR(IF(AND(ISNUMBER('Semi OpInc'!L26),ISNUMBER('Semi OpInc'!H26),'Semi OpInc'!H26&gt;0),'Semi OpInc'!L26/'Semi OpInc'!H26-1,""),"")</f>
        <v/>
      </c>
      <c r="I1021" s="37">
        <f>IFERROR(IF(AND(ISNUMBER('Semi OpInc'!M26),ISNUMBER('Semi OpInc'!I26),'Semi OpInc'!I26&gt;0),'Semi OpInc'!M26/'Semi OpInc'!I26-1,""),"")</f>
        <v/>
      </c>
      <c r="J1021" s="37">
        <f>IFERROR(IF(AND(ISNUMBER('Semi OpInc'!N26),ISNUMBER('Semi OpInc'!J26),'Semi OpInc'!J26&gt;0),'Semi OpInc'!N26/'Semi OpInc'!J26-1,""),"")</f>
        <v/>
      </c>
      <c r="K1021" s="37">
        <f>IFERROR(IF(AND(ISNUMBER('Semi OpInc'!O26),ISNUMBER('Semi OpInc'!K26),'Semi OpInc'!K26&gt;0),'Semi OpInc'!O26/'Semi OpInc'!K26-1,""),"")</f>
        <v/>
      </c>
      <c r="L1021" s="37">
        <f>IFERROR(IF(AND(ISNUMBER('Semi OpInc'!P26),ISNUMBER('Semi OpInc'!L26),'Semi OpInc'!L26&gt;0),'Semi OpInc'!P26/'Semi OpInc'!L26-1,""),"")</f>
        <v/>
      </c>
      <c r="M1021" s="38">
        <f>IFERROR(IF(AND(ISNUMBER('Semi OpInc'!Q26),ISNUMBER('Semi OpInc'!M26),'Semi OpInc'!M26&gt;0),'Semi OpInc'!Q26/'Semi OpInc'!M26-1,""),"")</f>
        <v/>
      </c>
      <c r="N1021" s="38">
        <f>IFERROR(IF(AND(ISNUMBER('Semi OpInc'!R26),ISNUMBER('Semi OpInc'!N26),'Semi OpInc'!N26&gt;0),'Semi OpInc'!R26/'Semi OpInc'!N26-1,""),"")</f>
        <v/>
      </c>
    </row>
    <row r="1022">
      <c r="A1022" s="19">
        <f>'Semi Rev'!$A27</f>
        <v/>
      </c>
      <c r="B1022" s="19">
        <f>'Semi Rev'!$B27</f>
        <v/>
      </c>
      <c r="C1022" s="37">
        <f>IFERROR(IF(AND(ISNUMBER('Semi OpInc'!G27),ISNUMBER('Semi OpInc'!C27),'Semi OpInc'!C27&gt;0),'Semi OpInc'!G27/'Semi OpInc'!C27-1,""),"")</f>
        <v/>
      </c>
      <c r="D1022" s="37">
        <f>IFERROR(IF(AND(ISNUMBER('Semi OpInc'!H27),ISNUMBER('Semi OpInc'!D27),'Semi OpInc'!D27&gt;0),'Semi OpInc'!H27/'Semi OpInc'!D27-1,""),"")</f>
        <v/>
      </c>
      <c r="E1022" s="37">
        <f>IFERROR(IF(AND(ISNUMBER('Semi OpInc'!I27),ISNUMBER('Semi OpInc'!E27),'Semi OpInc'!E27&gt;0),'Semi OpInc'!I27/'Semi OpInc'!E27-1,""),"")</f>
        <v/>
      </c>
      <c r="F1022" s="37">
        <f>IFERROR(IF(AND(ISNUMBER('Semi OpInc'!J27),ISNUMBER('Semi OpInc'!F27),'Semi OpInc'!F27&gt;0),'Semi OpInc'!J27/'Semi OpInc'!F27-1,""),"")</f>
        <v/>
      </c>
      <c r="G1022" s="37">
        <f>IFERROR(IF(AND(ISNUMBER('Semi OpInc'!K27),ISNUMBER('Semi OpInc'!G27),'Semi OpInc'!G27&gt;0),'Semi OpInc'!K27/'Semi OpInc'!G27-1,""),"")</f>
        <v/>
      </c>
      <c r="H1022" s="37">
        <f>IFERROR(IF(AND(ISNUMBER('Semi OpInc'!L27),ISNUMBER('Semi OpInc'!H27),'Semi OpInc'!H27&gt;0),'Semi OpInc'!L27/'Semi OpInc'!H27-1,""),"")</f>
        <v/>
      </c>
      <c r="I1022" s="37">
        <f>IFERROR(IF(AND(ISNUMBER('Semi OpInc'!M27),ISNUMBER('Semi OpInc'!I27),'Semi OpInc'!I27&gt;0),'Semi OpInc'!M27/'Semi OpInc'!I27-1,""),"")</f>
        <v/>
      </c>
      <c r="J1022" s="37">
        <f>IFERROR(IF(AND(ISNUMBER('Semi OpInc'!N27),ISNUMBER('Semi OpInc'!J27),'Semi OpInc'!J27&gt;0),'Semi OpInc'!N27/'Semi OpInc'!J27-1,""),"")</f>
        <v/>
      </c>
      <c r="K1022" s="37">
        <f>IFERROR(IF(AND(ISNUMBER('Semi OpInc'!O27),ISNUMBER('Semi OpInc'!K27),'Semi OpInc'!K27&gt;0),'Semi OpInc'!O27/'Semi OpInc'!K27-1,""),"")</f>
        <v/>
      </c>
      <c r="L1022" s="37">
        <f>IFERROR(IF(AND(ISNUMBER('Semi OpInc'!P27),ISNUMBER('Semi OpInc'!L27),'Semi OpInc'!L27&gt;0),'Semi OpInc'!P27/'Semi OpInc'!L27-1,""),"")</f>
        <v/>
      </c>
      <c r="M1022" s="38">
        <f>IFERROR(IF(AND(ISNUMBER('Semi OpInc'!Q27),ISNUMBER('Semi OpInc'!M27),'Semi OpInc'!M27&gt;0),'Semi OpInc'!Q27/'Semi OpInc'!M27-1,""),"")</f>
        <v/>
      </c>
      <c r="N1022" s="38">
        <f>IFERROR(IF(AND(ISNUMBER('Semi OpInc'!R27),ISNUMBER('Semi OpInc'!N27),'Semi OpInc'!N27&gt;0),'Semi OpInc'!R27/'Semi OpInc'!N27-1,""),"")</f>
        <v/>
      </c>
    </row>
    <row r="1023">
      <c r="A1023" s="19">
        <f>'Semi Rev'!$A28</f>
        <v/>
      </c>
      <c r="B1023" s="19">
        <f>'Semi Rev'!$B28</f>
        <v/>
      </c>
      <c r="C1023" s="37">
        <f>IFERROR(IF(AND(ISNUMBER('Semi OpInc'!G28),ISNUMBER('Semi OpInc'!C28),'Semi OpInc'!C28&gt;0),'Semi OpInc'!G28/'Semi OpInc'!C28-1,""),"")</f>
        <v/>
      </c>
      <c r="D1023" s="37">
        <f>IFERROR(IF(AND(ISNUMBER('Semi OpInc'!H28),ISNUMBER('Semi OpInc'!D28),'Semi OpInc'!D28&gt;0),'Semi OpInc'!H28/'Semi OpInc'!D28-1,""),"")</f>
        <v/>
      </c>
      <c r="E1023" s="37">
        <f>IFERROR(IF(AND(ISNUMBER('Semi OpInc'!I28),ISNUMBER('Semi OpInc'!E28),'Semi OpInc'!E28&gt;0),'Semi OpInc'!I28/'Semi OpInc'!E28-1,""),"")</f>
        <v/>
      </c>
      <c r="F1023" s="37">
        <f>IFERROR(IF(AND(ISNUMBER('Semi OpInc'!J28),ISNUMBER('Semi OpInc'!F28),'Semi OpInc'!F28&gt;0),'Semi OpInc'!J28/'Semi OpInc'!F28-1,""),"")</f>
        <v/>
      </c>
      <c r="G1023" s="37">
        <f>IFERROR(IF(AND(ISNUMBER('Semi OpInc'!K28),ISNUMBER('Semi OpInc'!G28),'Semi OpInc'!G28&gt;0),'Semi OpInc'!K28/'Semi OpInc'!G28-1,""),"")</f>
        <v/>
      </c>
      <c r="H1023" s="37">
        <f>IFERROR(IF(AND(ISNUMBER('Semi OpInc'!L28),ISNUMBER('Semi OpInc'!H28),'Semi OpInc'!H28&gt;0),'Semi OpInc'!L28/'Semi OpInc'!H28-1,""),"")</f>
        <v/>
      </c>
      <c r="I1023" s="37">
        <f>IFERROR(IF(AND(ISNUMBER('Semi OpInc'!M28),ISNUMBER('Semi OpInc'!I28),'Semi OpInc'!I28&gt;0),'Semi OpInc'!M28/'Semi OpInc'!I28-1,""),"")</f>
        <v/>
      </c>
      <c r="J1023" s="37">
        <f>IFERROR(IF(AND(ISNUMBER('Semi OpInc'!N28),ISNUMBER('Semi OpInc'!J28),'Semi OpInc'!J28&gt;0),'Semi OpInc'!N28/'Semi OpInc'!J28-1,""),"")</f>
        <v/>
      </c>
      <c r="K1023" s="37">
        <f>IFERROR(IF(AND(ISNUMBER('Semi OpInc'!O28),ISNUMBER('Semi OpInc'!K28),'Semi OpInc'!K28&gt;0),'Semi OpInc'!O28/'Semi OpInc'!K28-1,""),"")</f>
        <v/>
      </c>
      <c r="L1023" s="37">
        <f>IFERROR(IF(AND(ISNUMBER('Semi OpInc'!P28),ISNUMBER('Semi OpInc'!L28),'Semi OpInc'!L28&gt;0),'Semi OpInc'!P28/'Semi OpInc'!L28-1,""),"")</f>
        <v/>
      </c>
      <c r="M1023" s="38">
        <f>IFERROR(IF(AND(ISNUMBER('Semi OpInc'!Q28),ISNUMBER('Semi OpInc'!M28),'Semi OpInc'!M28&gt;0),'Semi OpInc'!Q28/'Semi OpInc'!M28-1,""),"")</f>
        <v/>
      </c>
      <c r="N1023" s="38">
        <f>IFERROR(IF(AND(ISNUMBER('Semi OpInc'!R28),ISNUMBER('Semi OpInc'!N28),'Semi OpInc'!N28&gt;0),'Semi OpInc'!R28/'Semi OpInc'!N28-1,""),"")</f>
        <v/>
      </c>
    </row>
    <row r="1024">
      <c r="A1024" s="19">
        <f>'Semi Rev'!$A29</f>
        <v/>
      </c>
      <c r="B1024" s="19">
        <f>'Semi Rev'!$B29</f>
        <v/>
      </c>
      <c r="C1024" s="37">
        <f>IFERROR(IF(AND(ISNUMBER('Semi OpInc'!G29),ISNUMBER('Semi OpInc'!C29),'Semi OpInc'!C29&gt;0),'Semi OpInc'!G29/'Semi OpInc'!C29-1,""),"")</f>
        <v/>
      </c>
      <c r="D1024" s="37">
        <f>IFERROR(IF(AND(ISNUMBER('Semi OpInc'!H29),ISNUMBER('Semi OpInc'!D29),'Semi OpInc'!D29&gt;0),'Semi OpInc'!H29/'Semi OpInc'!D29-1,""),"")</f>
        <v/>
      </c>
      <c r="E1024" s="37">
        <f>IFERROR(IF(AND(ISNUMBER('Semi OpInc'!I29),ISNUMBER('Semi OpInc'!E29),'Semi OpInc'!E29&gt;0),'Semi OpInc'!I29/'Semi OpInc'!E29-1,""),"")</f>
        <v/>
      </c>
      <c r="F1024" s="37">
        <f>IFERROR(IF(AND(ISNUMBER('Semi OpInc'!J29),ISNUMBER('Semi OpInc'!F29),'Semi OpInc'!F29&gt;0),'Semi OpInc'!J29/'Semi OpInc'!F29-1,""),"")</f>
        <v/>
      </c>
      <c r="G1024" s="37">
        <f>IFERROR(IF(AND(ISNUMBER('Semi OpInc'!K29),ISNUMBER('Semi OpInc'!G29),'Semi OpInc'!G29&gt;0),'Semi OpInc'!K29/'Semi OpInc'!G29-1,""),"")</f>
        <v/>
      </c>
      <c r="H1024" s="37">
        <f>IFERROR(IF(AND(ISNUMBER('Semi OpInc'!L29),ISNUMBER('Semi OpInc'!H29),'Semi OpInc'!H29&gt;0),'Semi OpInc'!L29/'Semi OpInc'!H29-1,""),"")</f>
        <v/>
      </c>
      <c r="I1024" s="37">
        <f>IFERROR(IF(AND(ISNUMBER('Semi OpInc'!M29),ISNUMBER('Semi OpInc'!I29),'Semi OpInc'!I29&gt;0),'Semi OpInc'!M29/'Semi OpInc'!I29-1,""),"")</f>
        <v/>
      </c>
      <c r="J1024" s="37">
        <f>IFERROR(IF(AND(ISNUMBER('Semi OpInc'!N29),ISNUMBER('Semi OpInc'!J29),'Semi OpInc'!J29&gt;0),'Semi OpInc'!N29/'Semi OpInc'!J29-1,""),"")</f>
        <v/>
      </c>
      <c r="K1024" s="37">
        <f>IFERROR(IF(AND(ISNUMBER('Semi OpInc'!O29),ISNUMBER('Semi OpInc'!K29),'Semi OpInc'!K29&gt;0),'Semi OpInc'!O29/'Semi OpInc'!K29-1,""),"")</f>
        <v/>
      </c>
      <c r="L1024" s="37">
        <f>IFERROR(IF(AND(ISNUMBER('Semi OpInc'!P29),ISNUMBER('Semi OpInc'!L29),'Semi OpInc'!L29&gt;0),'Semi OpInc'!P29/'Semi OpInc'!L29-1,""),"")</f>
        <v/>
      </c>
      <c r="M1024" s="38">
        <f>IFERROR(IF(AND(ISNUMBER('Semi OpInc'!Q29),ISNUMBER('Semi OpInc'!M29),'Semi OpInc'!M29&gt;0),'Semi OpInc'!Q29/'Semi OpInc'!M29-1,""),"")</f>
        <v/>
      </c>
      <c r="N1024" s="38">
        <f>IFERROR(IF(AND(ISNUMBER('Semi OpInc'!R29),ISNUMBER('Semi OpInc'!N29),'Semi OpInc'!N29&gt;0),'Semi OpInc'!R29/'Semi OpInc'!N29-1,""),"")</f>
        <v/>
      </c>
    </row>
    <row r="1025">
      <c r="A1025" s="19">
        <f>'Semi Rev'!$A30</f>
        <v/>
      </c>
      <c r="B1025" s="19">
        <f>'Semi Rev'!$B30</f>
        <v/>
      </c>
      <c r="C1025" s="37">
        <f>IFERROR(IF(AND(ISNUMBER('Semi OpInc'!G30),ISNUMBER('Semi OpInc'!C30),'Semi OpInc'!C30&gt;0),'Semi OpInc'!G30/'Semi OpInc'!C30-1,""),"")</f>
        <v/>
      </c>
      <c r="D1025" s="37">
        <f>IFERROR(IF(AND(ISNUMBER('Semi OpInc'!H30),ISNUMBER('Semi OpInc'!D30),'Semi OpInc'!D30&gt;0),'Semi OpInc'!H30/'Semi OpInc'!D30-1,""),"")</f>
        <v/>
      </c>
      <c r="E1025" s="37">
        <f>IFERROR(IF(AND(ISNUMBER('Semi OpInc'!I30),ISNUMBER('Semi OpInc'!E30),'Semi OpInc'!E30&gt;0),'Semi OpInc'!I30/'Semi OpInc'!E30-1,""),"")</f>
        <v/>
      </c>
      <c r="F1025" s="37">
        <f>IFERROR(IF(AND(ISNUMBER('Semi OpInc'!J30),ISNUMBER('Semi OpInc'!F30),'Semi OpInc'!F30&gt;0),'Semi OpInc'!J30/'Semi OpInc'!F30-1,""),"")</f>
        <v/>
      </c>
      <c r="G1025" s="37">
        <f>IFERROR(IF(AND(ISNUMBER('Semi OpInc'!K30),ISNUMBER('Semi OpInc'!G30),'Semi OpInc'!G30&gt;0),'Semi OpInc'!K30/'Semi OpInc'!G30-1,""),"")</f>
        <v/>
      </c>
      <c r="H1025" s="37">
        <f>IFERROR(IF(AND(ISNUMBER('Semi OpInc'!L30),ISNUMBER('Semi OpInc'!H30),'Semi OpInc'!H30&gt;0),'Semi OpInc'!L30/'Semi OpInc'!H30-1,""),"")</f>
        <v/>
      </c>
      <c r="I1025" s="37">
        <f>IFERROR(IF(AND(ISNUMBER('Semi OpInc'!M30),ISNUMBER('Semi OpInc'!I30),'Semi OpInc'!I30&gt;0),'Semi OpInc'!M30/'Semi OpInc'!I30-1,""),"")</f>
        <v/>
      </c>
      <c r="J1025" s="37">
        <f>IFERROR(IF(AND(ISNUMBER('Semi OpInc'!N30),ISNUMBER('Semi OpInc'!J30),'Semi OpInc'!J30&gt;0),'Semi OpInc'!N30/'Semi OpInc'!J30-1,""),"")</f>
        <v/>
      </c>
      <c r="K1025" s="37">
        <f>IFERROR(IF(AND(ISNUMBER('Semi OpInc'!O30),ISNUMBER('Semi OpInc'!K30),'Semi OpInc'!K30&gt;0),'Semi OpInc'!O30/'Semi OpInc'!K30-1,""),"")</f>
        <v/>
      </c>
      <c r="L1025" s="37">
        <f>IFERROR(IF(AND(ISNUMBER('Semi OpInc'!P30),ISNUMBER('Semi OpInc'!L30),'Semi OpInc'!L30&gt;0),'Semi OpInc'!P30/'Semi OpInc'!L30-1,""),"")</f>
        <v/>
      </c>
      <c r="M1025" s="38">
        <f>IFERROR(IF(AND(ISNUMBER('Semi OpInc'!Q30),ISNUMBER('Semi OpInc'!M30),'Semi OpInc'!M30&gt;0),'Semi OpInc'!Q30/'Semi OpInc'!M30-1,""),"")</f>
        <v/>
      </c>
      <c r="N1025" s="38">
        <f>IFERROR(IF(AND(ISNUMBER('Semi OpInc'!R30),ISNUMBER('Semi OpInc'!N30),'Semi OpInc'!N30&gt;0),'Semi OpInc'!R30/'Semi OpInc'!N30-1,""),"")</f>
        <v/>
      </c>
    </row>
    <row r="1026">
      <c r="A1026" s="19">
        <f>'Semi Rev'!$A31</f>
        <v/>
      </c>
      <c r="B1026" s="19">
        <f>'Semi Rev'!$B31</f>
        <v/>
      </c>
      <c r="C1026" s="37">
        <f>IFERROR(IF(AND(ISNUMBER('Semi OpInc'!G31),ISNUMBER('Semi OpInc'!C31),'Semi OpInc'!C31&gt;0),'Semi OpInc'!G31/'Semi OpInc'!C31-1,""),"")</f>
        <v/>
      </c>
      <c r="D1026" s="37">
        <f>IFERROR(IF(AND(ISNUMBER('Semi OpInc'!H31),ISNUMBER('Semi OpInc'!D31),'Semi OpInc'!D31&gt;0),'Semi OpInc'!H31/'Semi OpInc'!D31-1,""),"")</f>
        <v/>
      </c>
      <c r="E1026" s="37">
        <f>IFERROR(IF(AND(ISNUMBER('Semi OpInc'!I31),ISNUMBER('Semi OpInc'!E31),'Semi OpInc'!E31&gt;0),'Semi OpInc'!I31/'Semi OpInc'!E31-1,""),"")</f>
        <v/>
      </c>
      <c r="F1026" s="37">
        <f>IFERROR(IF(AND(ISNUMBER('Semi OpInc'!J31),ISNUMBER('Semi OpInc'!F31),'Semi OpInc'!F31&gt;0),'Semi OpInc'!J31/'Semi OpInc'!F31-1,""),"")</f>
        <v/>
      </c>
      <c r="G1026" s="37">
        <f>IFERROR(IF(AND(ISNUMBER('Semi OpInc'!K31),ISNUMBER('Semi OpInc'!G31),'Semi OpInc'!G31&gt;0),'Semi OpInc'!K31/'Semi OpInc'!G31-1,""),"")</f>
        <v/>
      </c>
      <c r="H1026" s="37">
        <f>IFERROR(IF(AND(ISNUMBER('Semi OpInc'!L31),ISNUMBER('Semi OpInc'!H31),'Semi OpInc'!H31&gt;0),'Semi OpInc'!L31/'Semi OpInc'!H31-1,""),"")</f>
        <v/>
      </c>
      <c r="I1026" s="37">
        <f>IFERROR(IF(AND(ISNUMBER('Semi OpInc'!M31),ISNUMBER('Semi OpInc'!I31),'Semi OpInc'!I31&gt;0),'Semi OpInc'!M31/'Semi OpInc'!I31-1,""),"")</f>
        <v/>
      </c>
      <c r="J1026" s="37">
        <f>IFERROR(IF(AND(ISNUMBER('Semi OpInc'!N31),ISNUMBER('Semi OpInc'!J31),'Semi OpInc'!J31&gt;0),'Semi OpInc'!N31/'Semi OpInc'!J31-1,""),"")</f>
        <v/>
      </c>
      <c r="K1026" s="37">
        <f>IFERROR(IF(AND(ISNUMBER('Semi OpInc'!O31),ISNUMBER('Semi OpInc'!K31),'Semi OpInc'!K31&gt;0),'Semi OpInc'!O31/'Semi OpInc'!K31-1,""),"")</f>
        <v/>
      </c>
      <c r="L1026" s="37">
        <f>IFERROR(IF(AND(ISNUMBER('Semi OpInc'!P31),ISNUMBER('Semi OpInc'!L31),'Semi OpInc'!L31&gt;0),'Semi OpInc'!P31/'Semi OpInc'!L31-1,""),"")</f>
        <v/>
      </c>
      <c r="M1026" s="38">
        <f>IFERROR(IF(AND(ISNUMBER('Semi OpInc'!Q31),ISNUMBER('Semi OpInc'!M31),'Semi OpInc'!M31&gt;0),'Semi OpInc'!Q31/'Semi OpInc'!M31-1,""),"")</f>
        <v/>
      </c>
      <c r="N1026" s="38">
        <f>IFERROR(IF(AND(ISNUMBER('Semi OpInc'!R31),ISNUMBER('Semi OpInc'!N31),'Semi OpInc'!N31&gt;0),'Semi OpInc'!R31/'Semi OpInc'!N31-1,""),"")</f>
        <v/>
      </c>
    </row>
    <row r="1027">
      <c r="A1027" s="19">
        <f>'Semi Rev'!$A32</f>
        <v/>
      </c>
      <c r="B1027" s="19">
        <f>'Semi Rev'!$B32</f>
        <v/>
      </c>
      <c r="C1027" s="37">
        <f>IFERROR(IF(AND(ISNUMBER('Semi OpInc'!G32),ISNUMBER('Semi OpInc'!C32),'Semi OpInc'!C32&gt;0),'Semi OpInc'!G32/'Semi OpInc'!C32-1,""),"")</f>
        <v/>
      </c>
      <c r="D1027" s="37">
        <f>IFERROR(IF(AND(ISNUMBER('Semi OpInc'!H32),ISNUMBER('Semi OpInc'!D32),'Semi OpInc'!D32&gt;0),'Semi OpInc'!H32/'Semi OpInc'!D32-1,""),"")</f>
        <v/>
      </c>
      <c r="E1027" s="37">
        <f>IFERROR(IF(AND(ISNUMBER('Semi OpInc'!I32),ISNUMBER('Semi OpInc'!E32),'Semi OpInc'!E32&gt;0),'Semi OpInc'!I32/'Semi OpInc'!E32-1,""),"")</f>
        <v/>
      </c>
      <c r="F1027" s="37">
        <f>IFERROR(IF(AND(ISNUMBER('Semi OpInc'!J32),ISNUMBER('Semi OpInc'!F32),'Semi OpInc'!F32&gt;0),'Semi OpInc'!J32/'Semi OpInc'!F32-1,""),"")</f>
        <v/>
      </c>
      <c r="G1027" s="37">
        <f>IFERROR(IF(AND(ISNUMBER('Semi OpInc'!K32),ISNUMBER('Semi OpInc'!G32),'Semi OpInc'!G32&gt;0),'Semi OpInc'!K32/'Semi OpInc'!G32-1,""),"")</f>
        <v/>
      </c>
      <c r="H1027" s="37">
        <f>IFERROR(IF(AND(ISNUMBER('Semi OpInc'!L32),ISNUMBER('Semi OpInc'!H32),'Semi OpInc'!H32&gt;0),'Semi OpInc'!L32/'Semi OpInc'!H32-1,""),"")</f>
        <v/>
      </c>
      <c r="I1027" s="37">
        <f>IFERROR(IF(AND(ISNUMBER('Semi OpInc'!M32),ISNUMBER('Semi OpInc'!I32),'Semi OpInc'!I32&gt;0),'Semi OpInc'!M32/'Semi OpInc'!I32-1,""),"")</f>
        <v/>
      </c>
      <c r="J1027" s="37">
        <f>IFERROR(IF(AND(ISNUMBER('Semi OpInc'!N32),ISNUMBER('Semi OpInc'!J32),'Semi OpInc'!J32&gt;0),'Semi OpInc'!N32/'Semi OpInc'!J32-1,""),"")</f>
        <v/>
      </c>
      <c r="K1027" s="37">
        <f>IFERROR(IF(AND(ISNUMBER('Semi OpInc'!O32),ISNUMBER('Semi OpInc'!K32),'Semi OpInc'!K32&gt;0),'Semi OpInc'!O32/'Semi OpInc'!K32-1,""),"")</f>
        <v/>
      </c>
      <c r="L1027" s="37">
        <f>IFERROR(IF(AND(ISNUMBER('Semi OpInc'!P32),ISNUMBER('Semi OpInc'!L32),'Semi OpInc'!L32&gt;0),'Semi OpInc'!P32/'Semi OpInc'!L32-1,""),"")</f>
        <v/>
      </c>
      <c r="M1027" s="38">
        <f>IFERROR(IF(AND(ISNUMBER('Semi OpInc'!Q32),ISNUMBER('Semi OpInc'!M32),'Semi OpInc'!M32&gt;0),'Semi OpInc'!Q32/'Semi OpInc'!M32-1,""),"")</f>
        <v/>
      </c>
      <c r="N1027" s="38">
        <f>IFERROR(IF(AND(ISNUMBER('Semi OpInc'!R32),ISNUMBER('Semi OpInc'!N32),'Semi OpInc'!N32&gt;0),'Semi OpInc'!R32/'Semi OpInc'!N32-1,""),"")</f>
        <v/>
      </c>
    </row>
    <row r="1028">
      <c r="A1028" s="19">
        <f>'Semi Rev'!$A33</f>
        <v/>
      </c>
      <c r="B1028" s="19">
        <f>'Semi Rev'!$B33</f>
        <v/>
      </c>
      <c r="C1028" s="37">
        <f>IFERROR(IF(AND(ISNUMBER('Semi OpInc'!G33),ISNUMBER('Semi OpInc'!C33),'Semi OpInc'!C33&gt;0),'Semi OpInc'!G33/'Semi OpInc'!C33-1,""),"")</f>
        <v/>
      </c>
      <c r="D1028" s="37">
        <f>IFERROR(IF(AND(ISNUMBER('Semi OpInc'!H33),ISNUMBER('Semi OpInc'!D33),'Semi OpInc'!D33&gt;0),'Semi OpInc'!H33/'Semi OpInc'!D33-1,""),"")</f>
        <v/>
      </c>
      <c r="E1028" s="37">
        <f>IFERROR(IF(AND(ISNUMBER('Semi OpInc'!I33),ISNUMBER('Semi OpInc'!E33),'Semi OpInc'!E33&gt;0),'Semi OpInc'!I33/'Semi OpInc'!E33-1,""),"")</f>
        <v/>
      </c>
      <c r="F1028" s="37">
        <f>IFERROR(IF(AND(ISNUMBER('Semi OpInc'!J33),ISNUMBER('Semi OpInc'!F33),'Semi OpInc'!F33&gt;0),'Semi OpInc'!J33/'Semi OpInc'!F33-1,""),"")</f>
        <v/>
      </c>
      <c r="G1028" s="37">
        <f>IFERROR(IF(AND(ISNUMBER('Semi OpInc'!K33),ISNUMBER('Semi OpInc'!G33),'Semi OpInc'!G33&gt;0),'Semi OpInc'!K33/'Semi OpInc'!G33-1,""),"")</f>
        <v/>
      </c>
      <c r="H1028" s="37">
        <f>IFERROR(IF(AND(ISNUMBER('Semi OpInc'!L33),ISNUMBER('Semi OpInc'!H33),'Semi OpInc'!H33&gt;0),'Semi OpInc'!L33/'Semi OpInc'!H33-1,""),"")</f>
        <v/>
      </c>
      <c r="I1028" s="37">
        <f>IFERROR(IF(AND(ISNUMBER('Semi OpInc'!M33),ISNUMBER('Semi OpInc'!I33),'Semi OpInc'!I33&gt;0),'Semi OpInc'!M33/'Semi OpInc'!I33-1,""),"")</f>
        <v/>
      </c>
      <c r="J1028" s="37">
        <f>IFERROR(IF(AND(ISNUMBER('Semi OpInc'!N33),ISNUMBER('Semi OpInc'!J33),'Semi OpInc'!J33&gt;0),'Semi OpInc'!N33/'Semi OpInc'!J33-1,""),"")</f>
        <v/>
      </c>
      <c r="K1028" s="37">
        <f>IFERROR(IF(AND(ISNUMBER('Semi OpInc'!O33),ISNUMBER('Semi OpInc'!K33),'Semi OpInc'!K33&gt;0),'Semi OpInc'!O33/'Semi OpInc'!K33-1,""),"")</f>
        <v/>
      </c>
      <c r="L1028" s="37">
        <f>IFERROR(IF(AND(ISNUMBER('Semi OpInc'!P33),ISNUMBER('Semi OpInc'!L33),'Semi OpInc'!L33&gt;0),'Semi OpInc'!P33/'Semi OpInc'!L33-1,""),"")</f>
        <v/>
      </c>
      <c r="M1028" s="38">
        <f>IFERROR(IF(AND(ISNUMBER('Semi OpInc'!Q33),ISNUMBER('Semi OpInc'!M33),'Semi OpInc'!M33&gt;0),'Semi OpInc'!Q33/'Semi OpInc'!M33-1,""),"")</f>
        <v/>
      </c>
      <c r="N1028" s="38">
        <f>IFERROR(IF(AND(ISNUMBER('Semi OpInc'!R33),ISNUMBER('Semi OpInc'!N33),'Semi OpInc'!N33&gt;0),'Semi OpInc'!R33/'Semi OpInc'!N33-1,""),"")</f>
        <v/>
      </c>
    </row>
    <row r="1029">
      <c r="A1029" s="19">
        <f>'Semi Rev'!$A34</f>
        <v/>
      </c>
      <c r="B1029" s="19">
        <f>'Semi Rev'!$B34</f>
        <v/>
      </c>
      <c r="C1029" s="37">
        <f>IFERROR(IF(AND(ISNUMBER('Semi OpInc'!G34),ISNUMBER('Semi OpInc'!C34),'Semi OpInc'!C34&gt;0),'Semi OpInc'!G34/'Semi OpInc'!C34-1,""),"")</f>
        <v/>
      </c>
      <c r="D1029" s="37">
        <f>IFERROR(IF(AND(ISNUMBER('Semi OpInc'!H34),ISNUMBER('Semi OpInc'!D34),'Semi OpInc'!D34&gt;0),'Semi OpInc'!H34/'Semi OpInc'!D34-1,""),"")</f>
        <v/>
      </c>
      <c r="E1029" s="37">
        <f>IFERROR(IF(AND(ISNUMBER('Semi OpInc'!I34),ISNUMBER('Semi OpInc'!E34),'Semi OpInc'!E34&gt;0),'Semi OpInc'!I34/'Semi OpInc'!E34-1,""),"")</f>
        <v/>
      </c>
      <c r="F1029" s="37">
        <f>IFERROR(IF(AND(ISNUMBER('Semi OpInc'!J34),ISNUMBER('Semi OpInc'!F34),'Semi OpInc'!F34&gt;0),'Semi OpInc'!J34/'Semi OpInc'!F34-1,""),"")</f>
        <v/>
      </c>
      <c r="G1029" s="37">
        <f>IFERROR(IF(AND(ISNUMBER('Semi OpInc'!K34),ISNUMBER('Semi OpInc'!G34),'Semi OpInc'!G34&gt;0),'Semi OpInc'!K34/'Semi OpInc'!G34-1,""),"")</f>
        <v/>
      </c>
      <c r="H1029" s="37">
        <f>IFERROR(IF(AND(ISNUMBER('Semi OpInc'!L34),ISNUMBER('Semi OpInc'!H34),'Semi OpInc'!H34&gt;0),'Semi OpInc'!L34/'Semi OpInc'!H34-1,""),"")</f>
        <v/>
      </c>
      <c r="I1029" s="37">
        <f>IFERROR(IF(AND(ISNUMBER('Semi OpInc'!M34),ISNUMBER('Semi OpInc'!I34),'Semi OpInc'!I34&gt;0),'Semi OpInc'!M34/'Semi OpInc'!I34-1,""),"")</f>
        <v/>
      </c>
      <c r="J1029" s="37">
        <f>IFERROR(IF(AND(ISNUMBER('Semi OpInc'!N34),ISNUMBER('Semi OpInc'!J34),'Semi OpInc'!J34&gt;0),'Semi OpInc'!N34/'Semi OpInc'!J34-1,""),"")</f>
        <v/>
      </c>
      <c r="K1029" s="37">
        <f>IFERROR(IF(AND(ISNUMBER('Semi OpInc'!O34),ISNUMBER('Semi OpInc'!K34),'Semi OpInc'!K34&gt;0),'Semi OpInc'!O34/'Semi OpInc'!K34-1,""),"")</f>
        <v/>
      </c>
      <c r="L1029" s="37">
        <f>IFERROR(IF(AND(ISNUMBER('Semi OpInc'!P34),ISNUMBER('Semi OpInc'!L34),'Semi OpInc'!L34&gt;0),'Semi OpInc'!P34/'Semi OpInc'!L34-1,""),"")</f>
        <v/>
      </c>
      <c r="M1029" s="38">
        <f>IFERROR(IF(AND(ISNUMBER('Semi OpInc'!Q34),ISNUMBER('Semi OpInc'!M34),'Semi OpInc'!M34&gt;0),'Semi OpInc'!Q34/'Semi OpInc'!M34-1,""),"")</f>
        <v/>
      </c>
      <c r="N1029" s="38">
        <f>IFERROR(IF(AND(ISNUMBER('Semi OpInc'!R34),ISNUMBER('Semi OpInc'!N34),'Semi OpInc'!N34&gt;0),'Semi OpInc'!R34/'Semi OpInc'!N34-1,""),"")</f>
        <v/>
      </c>
    </row>
    <row r="1030">
      <c r="A1030" s="19">
        <f>'Semi Rev'!$A35</f>
        <v/>
      </c>
      <c r="B1030" s="19">
        <f>'Semi Rev'!$B35</f>
        <v/>
      </c>
      <c r="C1030" s="37">
        <f>IFERROR(IF(AND(ISNUMBER('Semi OpInc'!G35),ISNUMBER('Semi OpInc'!C35),'Semi OpInc'!C35&gt;0),'Semi OpInc'!G35/'Semi OpInc'!C35-1,""),"")</f>
        <v/>
      </c>
      <c r="D1030" s="37">
        <f>IFERROR(IF(AND(ISNUMBER('Semi OpInc'!H35),ISNUMBER('Semi OpInc'!D35),'Semi OpInc'!D35&gt;0),'Semi OpInc'!H35/'Semi OpInc'!D35-1,""),"")</f>
        <v/>
      </c>
      <c r="E1030" s="37">
        <f>IFERROR(IF(AND(ISNUMBER('Semi OpInc'!I35),ISNUMBER('Semi OpInc'!E35),'Semi OpInc'!E35&gt;0),'Semi OpInc'!I35/'Semi OpInc'!E35-1,""),"")</f>
        <v/>
      </c>
      <c r="F1030" s="37">
        <f>IFERROR(IF(AND(ISNUMBER('Semi OpInc'!J35),ISNUMBER('Semi OpInc'!F35),'Semi OpInc'!F35&gt;0),'Semi OpInc'!J35/'Semi OpInc'!F35-1,""),"")</f>
        <v/>
      </c>
      <c r="G1030" s="37">
        <f>IFERROR(IF(AND(ISNUMBER('Semi OpInc'!K35),ISNUMBER('Semi OpInc'!G35),'Semi OpInc'!G35&gt;0),'Semi OpInc'!K35/'Semi OpInc'!G35-1,""),"")</f>
        <v/>
      </c>
      <c r="H1030" s="37">
        <f>IFERROR(IF(AND(ISNUMBER('Semi OpInc'!L35),ISNUMBER('Semi OpInc'!H35),'Semi OpInc'!H35&gt;0),'Semi OpInc'!L35/'Semi OpInc'!H35-1,""),"")</f>
        <v/>
      </c>
      <c r="I1030" s="37">
        <f>IFERROR(IF(AND(ISNUMBER('Semi OpInc'!M35),ISNUMBER('Semi OpInc'!I35),'Semi OpInc'!I35&gt;0),'Semi OpInc'!M35/'Semi OpInc'!I35-1,""),"")</f>
        <v/>
      </c>
      <c r="J1030" s="37">
        <f>IFERROR(IF(AND(ISNUMBER('Semi OpInc'!N35),ISNUMBER('Semi OpInc'!J35),'Semi OpInc'!J35&gt;0),'Semi OpInc'!N35/'Semi OpInc'!J35-1,""),"")</f>
        <v/>
      </c>
      <c r="K1030" s="37">
        <f>IFERROR(IF(AND(ISNUMBER('Semi OpInc'!O35),ISNUMBER('Semi OpInc'!K35),'Semi OpInc'!K35&gt;0),'Semi OpInc'!O35/'Semi OpInc'!K35-1,""),"")</f>
        <v/>
      </c>
      <c r="L1030" s="37">
        <f>IFERROR(IF(AND(ISNUMBER('Semi OpInc'!P35),ISNUMBER('Semi OpInc'!L35),'Semi OpInc'!L35&gt;0),'Semi OpInc'!P35/'Semi OpInc'!L35-1,""),"")</f>
        <v/>
      </c>
      <c r="M1030" s="38">
        <f>IFERROR(IF(AND(ISNUMBER('Semi OpInc'!Q35),ISNUMBER('Semi OpInc'!M35),'Semi OpInc'!M35&gt;0),'Semi OpInc'!Q35/'Semi OpInc'!M35-1,""),"")</f>
        <v/>
      </c>
      <c r="N1030" s="38">
        <f>IFERROR(IF(AND(ISNUMBER('Semi OpInc'!R35),ISNUMBER('Semi OpInc'!N35),'Semi OpInc'!N35&gt;0),'Semi OpInc'!R35/'Semi OpInc'!N35-1,""),"")</f>
        <v/>
      </c>
    </row>
    <row r="1031">
      <c r="A1031" s="19">
        <f>'Semi Rev'!$A36</f>
        <v/>
      </c>
      <c r="B1031" s="19">
        <f>'Semi Rev'!$B36</f>
        <v/>
      </c>
      <c r="C1031" s="37">
        <f>IFERROR(IF(AND(ISNUMBER('Semi OpInc'!G36),ISNUMBER('Semi OpInc'!C36),'Semi OpInc'!C36&gt;0),'Semi OpInc'!G36/'Semi OpInc'!C36-1,""),"")</f>
        <v/>
      </c>
      <c r="D1031" s="37">
        <f>IFERROR(IF(AND(ISNUMBER('Semi OpInc'!H36),ISNUMBER('Semi OpInc'!D36),'Semi OpInc'!D36&gt;0),'Semi OpInc'!H36/'Semi OpInc'!D36-1,""),"")</f>
        <v/>
      </c>
      <c r="E1031" s="37">
        <f>IFERROR(IF(AND(ISNUMBER('Semi OpInc'!I36),ISNUMBER('Semi OpInc'!E36),'Semi OpInc'!E36&gt;0),'Semi OpInc'!I36/'Semi OpInc'!E36-1,""),"")</f>
        <v/>
      </c>
      <c r="F1031" s="37">
        <f>IFERROR(IF(AND(ISNUMBER('Semi OpInc'!J36),ISNUMBER('Semi OpInc'!F36),'Semi OpInc'!F36&gt;0),'Semi OpInc'!J36/'Semi OpInc'!F36-1,""),"")</f>
        <v/>
      </c>
      <c r="G1031" s="37">
        <f>IFERROR(IF(AND(ISNUMBER('Semi OpInc'!K36),ISNUMBER('Semi OpInc'!G36),'Semi OpInc'!G36&gt;0),'Semi OpInc'!K36/'Semi OpInc'!G36-1,""),"")</f>
        <v/>
      </c>
      <c r="H1031" s="37">
        <f>IFERROR(IF(AND(ISNUMBER('Semi OpInc'!L36),ISNUMBER('Semi OpInc'!H36),'Semi OpInc'!H36&gt;0),'Semi OpInc'!L36/'Semi OpInc'!H36-1,""),"")</f>
        <v/>
      </c>
      <c r="I1031" s="37">
        <f>IFERROR(IF(AND(ISNUMBER('Semi OpInc'!M36),ISNUMBER('Semi OpInc'!I36),'Semi OpInc'!I36&gt;0),'Semi OpInc'!M36/'Semi OpInc'!I36-1,""),"")</f>
        <v/>
      </c>
      <c r="J1031" s="37">
        <f>IFERROR(IF(AND(ISNUMBER('Semi OpInc'!N36),ISNUMBER('Semi OpInc'!J36),'Semi OpInc'!J36&gt;0),'Semi OpInc'!N36/'Semi OpInc'!J36-1,""),"")</f>
        <v/>
      </c>
      <c r="K1031" s="37">
        <f>IFERROR(IF(AND(ISNUMBER('Semi OpInc'!O36),ISNUMBER('Semi OpInc'!K36),'Semi OpInc'!K36&gt;0),'Semi OpInc'!O36/'Semi OpInc'!K36-1,""),"")</f>
        <v/>
      </c>
      <c r="L1031" s="37">
        <f>IFERROR(IF(AND(ISNUMBER('Semi OpInc'!P36),ISNUMBER('Semi OpInc'!L36),'Semi OpInc'!L36&gt;0),'Semi OpInc'!P36/'Semi OpInc'!L36-1,""),"")</f>
        <v/>
      </c>
      <c r="M1031" s="38">
        <f>IFERROR(IF(AND(ISNUMBER('Semi OpInc'!Q36),ISNUMBER('Semi OpInc'!M36),'Semi OpInc'!M36&gt;0),'Semi OpInc'!Q36/'Semi OpInc'!M36-1,""),"")</f>
        <v/>
      </c>
      <c r="N1031" s="38">
        <f>IFERROR(IF(AND(ISNUMBER('Semi OpInc'!R36),ISNUMBER('Semi OpInc'!N36),'Semi OpInc'!N36&gt;0),'Semi OpInc'!R36/'Semi OpInc'!N36-1,""),"")</f>
        <v/>
      </c>
    </row>
    <row r="1032">
      <c r="A1032" s="19">
        <f>'Semi Rev'!$A37</f>
        <v/>
      </c>
      <c r="B1032" s="19">
        <f>'Semi Rev'!$B37</f>
        <v/>
      </c>
      <c r="C1032" s="37">
        <f>IFERROR(IF(AND(ISNUMBER('Semi OpInc'!G37),ISNUMBER('Semi OpInc'!C37),'Semi OpInc'!C37&gt;0),'Semi OpInc'!G37/'Semi OpInc'!C37-1,""),"")</f>
        <v/>
      </c>
      <c r="D1032" s="37">
        <f>IFERROR(IF(AND(ISNUMBER('Semi OpInc'!H37),ISNUMBER('Semi OpInc'!D37),'Semi OpInc'!D37&gt;0),'Semi OpInc'!H37/'Semi OpInc'!D37-1,""),"")</f>
        <v/>
      </c>
      <c r="E1032" s="37">
        <f>IFERROR(IF(AND(ISNUMBER('Semi OpInc'!I37),ISNUMBER('Semi OpInc'!E37),'Semi OpInc'!E37&gt;0),'Semi OpInc'!I37/'Semi OpInc'!E37-1,""),"")</f>
        <v/>
      </c>
      <c r="F1032" s="37">
        <f>IFERROR(IF(AND(ISNUMBER('Semi OpInc'!J37),ISNUMBER('Semi OpInc'!F37),'Semi OpInc'!F37&gt;0),'Semi OpInc'!J37/'Semi OpInc'!F37-1,""),"")</f>
        <v/>
      </c>
      <c r="G1032" s="37">
        <f>IFERROR(IF(AND(ISNUMBER('Semi OpInc'!K37),ISNUMBER('Semi OpInc'!G37),'Semi OpInc'!G37&gt;0),'Semi OpInc'!K37/'Semi OpInc'!G37-1,""),"")</f>
        <v/>
      </c>
      <c r="H1032" s="37">
        <f>IFERROR(IF(AND(ISNUMBER('Semi OpInc'!L37),ISNUMBER('Semi OpInc'!H37),'Semi OpInc'!H37&gt;0),'Semi OpInc'!L37/'Semi OpInc'!H37-1,""),"")</f>
        <v/>
      </c>
      <c r="I1032" s="37">
        <f>IFERROR(IF(AND(ISNUMBER('Semi OpInc'!M37),ISNUMBER('Semi OpInc'!I37),'Semi OpInc'!I37&gt;0),'Semi OpInc'!M37/'Semi OpInc'!I37-1,""),"")</f>
        <v/>
      </c>
      <c r="J1032" s="37">
        <f>IFERROR(IF(AND(ISNUMBER('Semi OpInc'!N37),ISNUMBER('Semi OpInc'!J37),'Semi OpInc'!J37&gt;0),'Semi OpInc'!N37/'Semi OpInc'!J37-1,""),"")</f>
        <v/>
      </c>
      <c r="K1032" s="37">
        <f>IFERROR(IF(AND(ISNUMBER('Semi OpInc'!O37),ISNUMBER('Semi OpInc'!K37),'Semi OpInc'!K37&gt;0),'Semi OpInc'!O37/'Semi OpInc'!K37-1,""),"")</f>
        <v/>
      </c>
      <c r="L1032" s="37">
        <f>IFERROR(IF(AND(ISNUMBER('Semi OpInc'!P37),ISNUMBER('Semi OpInc'!L37),'Semi OpInc'!L37&gt;0),'Semi OpInc'!P37/'Semi OpInc'!L37-1,""),"")</f>
        <v/>
      </c>
      <c r="M1032" s="38">
        <f>IFERROR(IF(AND(ISNUMBER('Semi OpInc'!Q37),ISNUMBER('Semi OpInc'!M37),'Semi OpInc'!M37&gt;0),'Semi OpInc'!Q37/'Semi OpInc'!M37-1,""),"")</f>
        <v/>
      </c>
      <c r="N1032" s="38">
        <f>IFERROR(IF(AND(ISNUMBER('Semi OpInc'!R37),ISNUMBER('Semi OpInc'!N37),'Semi OpInc'!N37&gt;0),'Semi OpInc'!R37/'Semi OpInc'!N37-1,""),"")</f>
        <v/>
      </c>
    </row>
    <row r="1033">
      <c r="A1033" s="19">
        <f>'Semi Rev'!$A38</f>
        <v/>
      </c>
      <c r="B1033" s="19">
        <f>'Semi Rev'!$B38</f>
        <v/>
      </c>
      <c r="C1033" s="37">
        <f>IFERROR(IF(AND(ISNUMBER('Semi OpInc'!G38),ISNUMBER('Semi OpInc'!C38),'Semi OpInc'!C38&gt;0),'Semi OpInc'!G38/'Semi OpInc'!C38-1,""),"")</f>
        <v/>
      </c>
      <c r="D1033" s="37">
        <f>IFERROR(IF(AND(ISNUMBER('Semi OpInc'!H38),ISNUMBER('Semi OpInc'!D38),'Semi OpInc'!D38&gt;0),'Semi OpInc'!H38/'Semi OpInc'!D38-1,""),"")</f>
        <v/>
      </c>
      <c r="E1033" s="37">
        <f>IFERROR(IF(AND(ISNUMBER('Semi OpInc'!I38),ISNUMBER('Semi OpInc'!E38),'Semi OpInc'!E38&gt;0),'Semi OpInc'!I38/'Semi OpInc'!E38-1,""),"")</f>
        <v/>
      </c>
      <c r="F1033" s="37">
        <f>IFERROR(IF(AND(ISNUMBER('Semi OpInc'!J38),ISNUMBER('Semi OpInc'!F38),'Semi OpInc'!F38&gt;0),'Semi OpInc'!J38/'Semi OpInc'!F38-1,""),"")</f>
        <v/>
      </c>
      <c r="G1033" s="37">
        <f>IFERROR(IF(AND(ISNUMBER('Semi OpInc'!K38),ISNUMBER('Semi OpInc'!G38),'Semi OpInc'!G38&gt;0),'Semi OpInc'!K38/'Semi OpInc'!G38-1,""),"")</f>
        <v/>
      </c>
      <c r="H1033" s="37">
        <f>IFERROR(IF(AND(ISNUMBER('Semi OpInc'!L38),ISNUMBER('Semi OpInc'!H38),'Semi OpInc'!H38&gt;0),'Semi OpInc'!L38/'Semi OpInc'!H38-1,""),"")</f>
        <v/>
      </c>
      <c r="I1033" s="37">
        <f>IFERROR(IF(AND(ISNUMBER('Semi OpInc'!M38),ISNUMBER('Semi OpInc'!I38),'Semi OpInc'!I38&gt;0),'Semi OpInc'!M38/'Semi OpInc'!I38-1,""),"")</f>
        <v/>
      </c>
      <c r="J1033" s="37">
        <f>IFERROR(IF(AND(ISNUMBER('Semi OpInc'!N38),ISNUMBER('Semi OpInc'!J38),'Semi OpInc'!J38&gt;0),'Semi OpInc'!N38/'Semi OpInc'!J38-1,""),"")</f>
        <v/>
      </c>
      <c r="K1033" s="37">
        <f>IFERROR(IF(AND(ISNUMBER('Semi OpInc'!O38),ISNUMBER('Semi OpInc'!K38),'Semi OpInc'!K38&gt;0),'Semi OpInc'!O38/'Semi OpInc'!K38-1,""),"")</f>
        <v/>
      </c>
      <c r="L1033" s="37">
        <f>IFERROR(IF(AND(ISNUMBER('Semi OpInc'!P38),ISNUMBER('Semi OpInc'!L38),'Semi OpInc'!L38&gt;0),'Semi OpInc'!P38/'Semi OpInc'!L38-1,""),"")</f>
        <v/>
      </c>
      <c r="M1033" s="38">
        <f>IFERROR(IF(AND(ISNUMBER('Semi OpInc'!Q38),ISNUMBER('Semi OpInc'!M38),'Semi OpInc'!M38&gt;0),'Semi OpInc'!Q38/'Semi OpInc'!M38-1,""),"")</f>
        <v/>
      </c>
      <c r="N1033" s="38">
        <f>IFERROR(IF(AND(ISNUMBER('Semi OpInc'!R38),ISNUMBER('Semi OpInc'!N38),'Semi OpInc'!N38&gt;0),'Semi OpInc'!R38/'Semi OpInc'!N38-1,""),"")</f>
        <v/>
      </c>
    </row>
    <row r="1034">
      <c r="A1034" s="19">
        <f>'Semi Rev'!$A39</f>
        <v/>
      </c>
      <c r="B1034" s="19">
        <f>'Semi Rev'!$B39</f>
        <v/>
      </c>
      <c r="C1034" s="37">
        <f>IFERROR(IF(AND(ISNUMBER('Semi OpInc'!G39),ISNUMBER('Semi OpInc'!C39),'Semi OpInc'!C39&gt;0),'Semi OpInc'!G39/'Semi OpInc'!C39-1,""),"")</f>
        <v/>
      </c>
      <c r="D1034" s="37">
        <f>IFERROR(IF(AND(ISNUMBER('Semi OpInc'!H39),ISNUMBER('Semi OpInc'!D39),'Semi OpInc'!D39&gt;0),'Semi OpInc'!H39/'Semi OpInc'!D39-1,""),"")</f>
        <v/>
      </c>
      <c r="E1034" s="37">
        <f>IFERROR(IF(AND(ISNUMBER('Semi OpInc'!I39),ISNUMBER('Semi OpInc'!E39),'Semi OpInc'!E39&gt;0),'Semi OpInc'!I39/'Semi OpInc'!E39-1,""),"")</f>
        <v/>
      </c>
      <c r="F1034" s="37">
        <f>IFERROR(IF(AND(ISNUMBER('Semi OpInc'!J39),ISNUMBER('Semi OpInc'!F39),'Semi OpInc'!F39&gt;0),'Semi OpInc'!J39/'Semi OpInc'!F39-1,""),"")</f>
        <v/>
      </c>
      <c r="G1034" s="37">
        <f>IFERROR(IF(AND(ISNUMBER('Semi OpInc'!K39),ISNUMBER('Semi OpInc'!G39),'Semi OpInc'!G39&gt;0),'Semi OpInc'!K39/'Semi OpInc'!G39-1,""),"")</f>
        <v/>
      </c>
      <c r="H1034" s="37">
        <f>IFERROR(IF(AND(ISNUMBER('Semi OpInc'!L39),ISNUMBER('Semi OpInc'!H39),'Semi OpInc'!H39&gt;0),'Semi OpInc'!L39/'Semi OpInc'!H39-1,""),"")</f>
        <v/>
      </c>
      <c r="I1034" s="37">
        <f>IFERROR(IF(AND(ISNUMBER('Semi OpInc'!M39),ISNUMBER('Semi OpInc'!I39),'Semi OpInc'!I39&gt;0),'Semi OpInc'!M39/'Semi OpInc'!I39-1,""),"")</f>
        <v/>
      </c>
      <c r="J1034" s="37">
        <f>IFERROR(IF(AND(ISNUMBER('Semi OpInc'!N39),ISNUMBER('Semi OpInc'!J39),'Semi OpInc'!J39&gt;0),'Semi OpInc'!N39/'Semi OpInc'!J39-1,""),"")</f>
        <v/>
      </c>
      <c r="K1034" s="37">
        <f>IFERROR(IF(AND(ISNUMBER('Semi OpInc'!O39),ISNUMBER('Semi OpInc'!K39),'Semi OpInc'!K39&gt;0),'Semi OpInc'!O39/'Semi OpInc'!K39-1,""),"")</f>
        <v/>
      </c>
      <c r="L1034" s="37">
        <f>IFERROR(IF(AND(ISNUMBER('Semi OpInc'!P39),ISNUMBER('Semi OpInc'!L39),'Semi OpInc'!L39&gt;0),'Semi OpInc'!P39/'Semi OpInc'!L39-1,""),"")</f>
        <v/>
      </c>
      <c r="M1034" s="38">
        <f>IFERROR(IF(AND(ISNUMBER('Semi OpInc'!Q39),ISNUMBER('Semi OpInc'!M39),'Semi OpInc'!M39&gt;0),'Semi OpInc'!Q39/'Semi OpInc'!M39-1,""),"")</f>
        <v/>
      </c>
      <c r="N1034" s="38">
        <f>IFERROR(IF(AND(ISNUMBER('Semi OpInc'!R39),ISNUMBER('Semi OpInc'!N39),'Semi OpInc'!N39&gt;0),'Semi OpInc'!R39/'Semi OpInc'!N39-1,""),"")</f>
        <v/>
      </c>
    </row>
    <row r="1035">
      <c r="A1035" s="19">
        <f>'Semi Rev'!$A40</f>
        <v/>
      </c>
      <c r="B1035" s="19">
        <f>'Semi Rev'!$B40</f>
        <v/>
      </c>
      <c r="C1035" s="37">
        <f>IFERROR(IF(AND(ISNUMBER('Semi OpInc'!G40),ISNUMBER('Semi OpInc'!C40),'Semi OpInc'!C40&gt;0),'Semi OpInc'!G40/'Semi OpInc'!C40-1,""),"")</f>
        <v/>
      </c>
      <c r="D1035" s="37">
        <f>IFERROR(IF(AND(ISNUMBER('Semi OpInc'!H40),ISNUMBER('Semi OpInc'!D40),'Semi OpInc'!D40&gt;0),'Semi OpInc'!H40/'Semi OpInc'!D40-1,""),"")</f>
        <v/>
      </c>
      <c r="E1035" s="37">
        <f>IFERROR(IF(AND(ISNUMBER('Semi OpInc'!I40),ISNUMBER('Semi OpInc'!E40),'Semi OpInc'!E40&gt;0),'Semi OpInc'!I40/'Semi OpInc'!E40-1,""),"")</f>
        <v/>
      </c>
      <c r="F1035" s="37">
        <f>IFERROR(IF(AND(ISNUMBER('Semi OpInc'!J40),ISNUMBER('Semi OpInc'!F40),'Semi OpInc'!F40&gt;0),'Semi OpInc'!J40/'Semi OpInc'!F40-1,""),"")</f>
        <v/>
      </c>
      <c r="G1035" s="37">
        <f>IFERROR(IF(AND(ISNUMBER('Semi OpInc'!K40),ISNUMBER('Semi OpInc'!G40),'Semi OpInc'!G40&gt;0),'Semi OpInc'!K40/'Semi OpInc'!G40-1,""),"")</f>
        <v/>
      </c>
      <c r="H1035" s="37">
        <f>IFERROR(IF(AND(ISNUMBER('Semi OpInc'!L40),ISNUMBER('Semi OpInc'!H40),'Semi OpInc'!H40&gt;0),'Semi OpInc'!L40/'Semi OpInc'!H40-1,""),"")</f>
        <v/>
      </c>
      <c r="I1035" s="37">
        <f>IFERROR(IF(AND(ISNUMBER('Semi OpInc'!M40),ISNUMBER('Semi OpInc'!I40),'Semi OpInc'!I40&gt;0),'Semi OpInc'!M40/'Semi OpInc'!I40-1,""),"")</f>
        <v/>
      </c>
      <c r="J1035" s="37">
        <f>IFERROR(IF(AND(ISNUMBER('Semi OpInc'!N40),ISNUMBER('Semi OpInc'!J40),'Semi OpInc'!J40&gt;0),'Semi OpInc'!N40/'Semi OpInc'!J40-1,""),"")</f>
        <v/>
      </c>
      <c r="K1035" s="37">
        <f>IFERROR(IF(AND(ISNUMBER('Semi OpInc'!O40),ISNUMBER('Semi OpInc'!K40),'Semi OpInc'!K40&gt;0),'Semi OpInc'!O40/'Semi OpInc'!K40-1,""),"")</f>
        <v/>
      </c>
      <c r="L1035" s="37">
        <f>IFERROR(IF(AND(ISNUMBER('Semi OpInc'!P40),ISNUMBER('Semi OpInc'!L40),'Semi OpInc'!L40&gt;0),'Semi OpInc'!P40/'Semi OpInc'!L40-1,""),"")</f>
        <v/>
      </c>
      <c r="M1035" s="38">
        <f>IFERROR(IF(AND(ISNUMBER('Semi OpInc'!Q40),ISNUMBER('Semi OpInc'!M40),'Semi OpInc'!M40&gt;0),'Semi OpInc'!Q40/'Semi OpInc'!M40-1,""),"")</f>
        <v/>
      </c>
      <c r="N1035" s="38">
        <f>IFERROR(IF(AND(ISNUMBER('Semi OpInc'!R40),ISNUMBER('Semi OpInc'!N40),'Semi OpInc'!N40&gt;0),'Semi OpInc'!R40/'Semi OpInc'!N40-1,""),"")</f>
        <v/>
      </c>
    </row>
    <row r="1036">
      <c r="A1036" s="19">
        <f>'Semi Rev'!$A41</f>
        <v/>
      </c>
      <c r="B1036" s="19">
        <f>'Semi Rev'!$B41</f>
        <v/>
      </c>
      <c r="C1036" s="37">
        <f>IFERROR(IF(AND(ISNUMBER('Semi OpInc'!G41),ISNUMBER('Semi OpInc'!C41),'Semi OpInc'!C41&gt;0),'Semi OpInc'!G41/'Semi OpInc'!C41-1,""),"")</f>
        <v/>
      </c>
      <c r="D1036" s="37">
        <f>IFERROR(IF(AND(ISNUMBER('Semi OpInc'!H41),ISNUMBER('Semi OpInc'!D41),'Semi OpInc'!D41&gt;0),'Semi OpInc'!H41/'Semi OpInc'!D41-1,""),"")</f>
        <v/>
      </c>
      <c r="E1036" s="37">
        <f>IFERROR(IF(AND(ISNUMBER('Semi OpInc'!I41),ISNUMBER('Semi OpInc'!E41),'Semi OpInc'!E41&gt;0),'Semi OpInc'!I41/'Semi OpInc'!E41-1,""),"")</f>
        <v/>
      </c>
      <c r="F1036" s="37">
        <f>IFERROR(IF(AND(ISNUMBER('Semi OpInc'!J41),ISNUMBER('Semi OpInc'!F41),'Semi OpInc'!F41&gt;0),'Semi OpInc'!J41/'Semi OpInc'!F41-1,""),"")</f>
        <v/>
      </c>
      <c r="G1036" s="37">
        <f>IFERROR(IF(AND(ISNUMBER('Semi OpInc'!K41),ISNUMBER('Semi OpInc'!G41),'Semi OpInc'!G41&gt;0),'Semi OpInc'!K41/'Semi OpInc'!G41-1,""),"")</f>
        <v/>
      </c>
      <c r="H1036" s="37">
        <f>IFERROR(IF(AND(ISNUMBER('Semi OpInc'!L41),ISNUMBER('Semi OpInc'!H41),'Semi OpInc'!H41&gt;0),'Semi OpInc'!L41/'Semi OpInc'!H41-1,""),"")</f>
        <v/>
      </c>
      <c r="I1036" s="37">
        <f>IFERROR(IF(AND(ISNUMBER('Semi OpInc'!M41),ISNUMBER('Semi OpInc'!I41),'Semi OpInc'!I41&gt;0),'Semi OpInc'!M41/'Semi OpInc'!I41-1,""),"")</f>
        <v/>
      </c>
      <c r="J1036" s="37">
        <f>IFERROR(IF(AND(ISNUMBER('Semi OpInc'!N41),ISNUMBER('Semi OpInc'!J41),'Semi OpInc'!J41&gt;0),'Semi OpInc'!N41/'Semi OpInc'!J41-1,""),"")</f>
        <v/>
      </c>
      <c r="K1036" s="37">
        <f>IFERROR(IF(AND(ISNUMBER('Semi OpInc'!O41),ISNUMBER('Semi OpInc'!K41),'Semi OpInc'!K41&gt;0),'Semi OpInc'!O41/'Semi OpInc'!K41-1,""),"")</f>
        <v/>
      </c>
      <c r="L1036" s="37">
        <f>IFERROR(IF(AND(ISNUMBER('Semi OpInc'!P41),ISNUMBER('Semi OpInc'!L41),'Semi OpInc'!L41&gt;0),'Semi OpInc'!P41/'Semi OpInc'!L41-1,""),"")</f>
        <v/>
      </c>
      <c r="M1036" s="38">
        <f>IFERROR(IF(AND(ISNUMBER('Semi OpInc'!Q41),ISNUMBER('Semi OpInc'!M41),'Semi OpInc'!M41&gt;0),'Semi OpInc'!Q41/'Semi OpInc'!M41-1,""),"")</f>
        <v/>
      </c>
      <c r="N1036" s="38">
        <f>IFERROR(IF(AND(ISNUMBER('Semi OpInc'!R41),ISNUMBER('Semi OpInc'!N41),'Semi OpInc'!N41&gt;0),'Semi OpInc'!R41/'Semi OpInc'!N41-1,""),"")</f>
        <v/>
      </c>
    </row>
    <row r="1037">
      <c r="A1037" s="19">
        <f>'Semi Rev'!$A42</f>
        <v/>
      </c>
      <c r="B1037" s="19">
        <f>'Semi Rev'!$B42</f>
        <v/>
      </c>
      <c r="C1037" s="37">
        <f>IFERROR(IF(AND(ISNUMBER('Semi OpInc'!G42),ISNUMBER('Semi OpInc'!C42),'Semi OpInc'!C42&gt;0),'Semi OpInc'!G42/'Semi OpInc'!C42-1,""),"")</f>
        <v/>
      </c>
      <c r="D1037" s="37">
        <f>IFERROR(IF(AND(ISNUMBER('Semi OpInc'!H42),ISNUMBER('Semi OpInc'!D42),'Semi OpInc'!D42&gt;0),'Semi OpInc'!H42/'Semi OpInc'!D42-1,""),"")</f>
        <v/>
      </c>
      <c r="E1037" s="37">
        <f>IFERROR(IF(AND(ISNUMBER('Semi OpInc'!I42),ISNUMBER('Semi OpInc'!E42),'Semi OpInc'!E42&gt;0),'Semi OpInc'!I42/'Semi OpInc'!E42-1,""),"")</f>
        <v/>
      </c>
      <c r="F1037" s="37">
        <f>IFERROR(IF(AND(ISNUMBER('Semi OpInc'!J42),ISNUMBER('Semi OpInc'!F42),'Semi OpInc'!F42&gt;0),'Semi OpInc'!J42/'Semi OpInc'!F42-1,""),"")</f>
        <v/>
      </c>
      <c r="G1037" s="37">
        <f>IFERROR(IF(AND(ISNUMBER('Semi OpInc'!K42),ISNUMBER('Semi OpInc'!G42),'Semi OpInc'!G42&gt;0),'Semi OpInc'!K42/'Semi OpInc'!G42-1,""),"")</f>
        <v/>
      </c>
      <c r="H1037" s="37">
        <f>IFERROR(IF(AND(ISNUMBER('Semi OpInc'!L42),ISNUMBER('Semi OpInc'!H42),'Semi OpInc'!H42&gt;0),'Semi OpInc'!L42/'Semi OpInc'!H42-1,""),"")</f>
        <v/>
      </c>
      <c r="I1037" s="37">
        <f>IFERROR(IF(AND(ISNUMBER('Semi OpInc'!M42),ISNUMBER('Semi OpInc'!I42),'Semi OpInc'!I42&gt;0),'Semi OpInc'!M42/'Semi OpInc'!I42-1,""),"")</f>
        <v/>
      </c>
      <c r="J1037" s="37">
        <f>IFERROR(IF(AND(ISNUMBER('Semi OpInc'!N42),ISNUMBER('Semi OpInc'!J42),'Semi OpInc'!J42&gt;0),'Semi OpInc'!N42/'Semi OpInc'!J42-1,""),"")</f>
        <v/>
      </c>
      <c r="K1037" s="37">
        <f>IFERROR(IF(AND(ISNUMBER('Semi OpInc'!O42),ISNUMBER('Semi OpInc'!K42),'Semi OpInc'!K42&gt;0),'Semi OpInc'!O42/'Semi OpInc'!K42-1,""),"")</f>
        <v/>
      </c>
      <c r="L1037" s="37">
        <f>IFERROR(IF(AND(ISNUMBER('Semi OpInc'!P42),ISNUMBER('Semi OpInc'!L42),'Semi OpInc'!L42&gt;0),'Semi OpInc'!P42/'Semi OpInc'!L42-1,""),"")</f>
        <v/>
      </c>
      <c r="M1037" s="38">
        <f>IFERROR(IF(AND(ISNUMBER('Semi OpInc'!Q42),ISNUMBER('Semi OpInc'!M42),'Semi OpInc'!M42&gt;0),'Semi OpInc'!Q42/'Semi OpInc'!M42-1,""),"")</f>
        <v/>
      </c>
      <c r="N1037" s="38">
        <f>IFERROR(IF(AND(ISNUMBER('Semi OpInc'!R42),ISNUMBER('Semi OpInc'!N42),'Semi OpInc'!N42&gt;0),'Semi OpInc'!R42/'Semi OpInc'!N42-1,""),"")</f>
        <v/>
      </c>
    </row>
    <row r="1038">
      <c r="A1038" s="19">
        <f>'Semi Rev'!$A43</f>
        <v/>
      </c>
      <c r="B1038" s="19">
        <f>'Semi Rev'!$B43</f>
        <v/>
      </c>
      <c r="C1038" s="37">
        <f>IFERROR(IF(AND(ISNUMBER('Semi OpInc'!G43),ISNUMBER('Semi OpInc'!C43),'Semi OpInc'!C43&gt;0),'Semi OpInc'!G43/'Semi OpInc'!C43-1,""),"")</f>
        <v/>
      </c>
      <c r="D1038" s="37">
        <f>IFERROR(IF(AND(ISNUMBER('Semi OpInc'!H43),ISNUMBER('Semi OpInc'!D43),'Semi OpInc'!D43&gt;0),'Semi OpInc'!H43/'Semi OpInc'!D43-1,""),"")</f>
        <v/>
      </c>
      <c r="E1038" s="37">
        <f>IFERROR(IF(AND(ISNUMBER('Semi OpInc'!I43),ISNUMBER('Semi OpInc'!E43),'Semi OpInc'!E43&gt;0),'Semi OpInc'!I43/'Semi OpInc'!E43-1,""),"")</f>
        <v/>
      </c>
      <c r="F1038" s="37">
        <f>IFERROR(IF(AND(ISNUMBER('Semi OpInc'!J43),ISNUMBER('Semi OpInc'!F43),'Semi OpInc'!F43&gt;0),'Semi OpInc'!J43/'Semi OpInc'!F43-1,""),"")</f>
        <v/>
      </c>
      <c r="G1038" s="37">
        <f>IFERROR(IF(AND(ISNUMBER('Semi OpInc'!K43),ISNUMBER('Semi OpInc'!G43),'Semi OpInc'!G43&gt;0),'Semi OpInc'!K43/'Semi OpInc'!G43-1,""),"")</f>
        <v/>
      </c>
      <c r="H1038" s="37">
        <f>IFERROR(IF(AND(ISNUMBER('Semi OpInc'!L43),ISNUMBER('Semi OpInc'!H43),'Semi OpInc'!H43&gt;0),'Semi OpInc'!L43/'Semi OpInc'!H43-1,""),"")</f>
        <v/>
      </c>
      <c r="I1038" s="37">
        <f>IFERROR(IF(AND(ISNUMBER('Semi OpInc'!M43),ISNUMBER('Semi OpInc'!I43),'Semi OpInc'!I43&gt;0),'Semi OpInc'!M43/'Semi OpInc'!I43-1,""),"")</f>
        <v/>
      </c>
      <c r="J1038" s="37">
        <f>IFERROR(IF(AND(ISNUMBER('Semi OpInc'!N43),ISNUMBER('Semi OpInc'!J43),'Semi OpInc'!J43&gt;0),'Semi OpInc'!N43/'Semi OpInc'!J43-1,""),"")</f>
        <v/>
      </c>
      <c r="K1038" s="37">
        <f>IFERROR(IF(AND(ISNUMBER('Semi OpInc'!O43),ISNUMBER('Semi OpInc'!K43),'Semi OpInc'!K43&gt;0),'Semi OpInc'!O43/'Semi OpInc'!K43-1,""),"")</f>
        <v/>
      </c>
      <c r="L1038" s="37">
        <f>IFERROR(IF(AND(ISNUMBER('Semi OpInc'!P43),ISNUMBER('Semi OpInc'!L43),'Semi OpInc'!L43&gt;0),'Semi OpInc'!P43/'Semi OpInc'!L43-1,""),"")</f>
        <v/>
      </c>
      <c r="M1038" s="38">
        <f>IFERROR(IF(AND(ISNUMBER('Semi OpInc'!Q43),ISNUMBER('Semi OpInc'!M43),'Semi OpInc'!M43&gt;0),'Semi OpInc'!Q43/'Semi OpInc'!M43-1,""),"")</f>
        <v/>
      </c>
      <c r="N1038" s="38">
        <f>IFERROR(IF(AND(ISNUMBER('Semi OpInc'!R43),ISNUMBER('Semi OpInc'!N43),'Semi OpInc'!N43&gt;0),'Semi OpInc'!R43/'Semi OpInc'!N43-1,""),"")</f>
        <v/>
      </c>
    </row>
    <row r="1039">
      <c r="A1039" s="19">
        <f>'Semi Rev'!$A44</f>
        <v/>
      </c>
      <c r="B1039" s="19">
        <f>'Semi Rev'!$B44</f>
        <v/>
      </c>
      <c r="C1039" s="37">
        <f>IFERROR(IF(AND(ISNUMBER('Semi OpInc'!G44),ISNUMBER('Semi OpInc'!C44),'Semi OpInc'!C44&gt;0),'Semi OpInc'!G44/'Semi OpInc'!C44-1,""),"")</f>
        <v/>
      </c>
      <c r="D1039" s="37">
        <f>IFERROR(IF(AND(ISNUMBER('Semi OpInc'!H44),ISNUMBER('Semi OpInc'!D44),'Semi OpInc'!D44&gt;0),'Semi OpInc'!H44/'Semi OpInc'!D44-1,""),"")</f>
        <v/>
      </c>
      <c r="E1039" s="37">
        <f>IFERROR(IF(AND(ISNUMBER('Semi OpInc'!I44),ISNUMBER('Semi OpInc'!E44),'Semi OpInc'!E44&gt;0),'Semi OpInc'!I44/'Semi OpInc'!E44-1,""),"")</f>
        <v/>
      </c>
      <c r="F1039" s="37">
        <f>IFERROR(IF(AND(ISNUMBER('Semi OpInc'!J44),ISNUMBER('Semi OpInc'!F44),'Semi OpInc'!F44&gt;0),'Semi OpInc'!J44/'Semi OpInc'!F44-1,""),"")</f>
        <v/>
      </c>
      <c r="G1039" s="37">
        <f>IFERROR(IF(AND(ISNUMBER('Semi OpInc'!K44),ISNUMBER('Semi OpInc'!G44),'Semi OpInc'!G44&gt;0),'Semi OpInc'!K44/'Semi OpInc'!G44-1,""),"")</f>
        <v/>
      </c>
      <c r="H1039" s="37">
        <f>IFERROR(IF(AND(ISNUMBER('Semi OpInc'!L44),ISNUMBER('Semi OpInc'!H44),'Semi OpInc'!H44&gt;0),'Semi OpInc'!L44/'Semi OpInc'!H44-1,""),"")</f>
        <v/>
      </c>
      <c r="I1039" s="37">
        <f>IFERROR(IF(AND(ISNUMBER('Semi OpInc'!M44),ISNUMBER('Semi OpInc'!I44),'Semi OpInc'!I44&gt;0),'Semi OpInc'!M44/'Semi OpInc'!I44-1,""),"")</f>
        <v/>
      </c>
      <c r="J1039" s="37">
        <f>IFERROR(IF(AND(ISNUMBER('Semi OpInc'!N44),ISNUMBER('Semi OpInc'!J44),'Semi OpInc'!J44&gt;0),'Semi OpInc'!N44/'Semi OpInc'!J44-1,""),"")</f>
        <v/>
      </c>
      <c r="K1039" s="37">
        <f>IFERROR(IF(AND(ISNUMBER('Semi OpInc'!O44),ISNUMBER('Semi OpInc'!K44),'Semi OpInc'!K44&gt;0),'Semi OpInc'!O44/'Semi OpInc'!K44-1,""),"")</f>
        <v/>
      </c>
      <c r="L1039" s="37">
        <f>IFERROR(IF(AND(ISNUMBER('Semi OpInc'!P44),ISNUMBER('Semi OpInc'!L44),'Semi OpInc'!L44&gt;0),'Semi OpInc'!P44/'Semi OpInc'!L44-1,""),"")</f>
        <v/>
      </c>
      <c r="M1039" s="38">
        <f>IFERROR(IF(AND(ISNUMBER('Semi OpInc'!Q44),ISNUMBER('Semi OpInc'!M44),'Semi OpInc'!M44&gt;0),'Semi OpInc'!Q44/'Semi OpInc'!M44-1,""),"")</f>
        <v/>
      </c>
      <c r="N1039" s="38">
        <f>IFERROR(IF(AND(ISNUMBER('Semi OpInc'!R44),ISNUMBER('Semi OpInc'!N44),'Semi OpInc'!N44&gt;0),'Semi OpInc'!R44/'Semi OpInc'!N44-1,""),"")</f>
        <v/>
      </c>
    </row>
    <row r="1040">
      <c r="A1040" s="19">
        <f>'Semi Rev'!$A45</f>
        <v/>
      </c>
      <c r="B1040" s="19">
        <f>'Semi Rev'!$B45</f>
        <v/>
      </c>
      <c r="C1040" s="37">
        <f>IFERROR(IF(AND(ISNUMBER('Semi OpInc'!G45),ISNUMBER('Semi OpInc'!C45),'Semi OpInc'!C45&gt;0),'Semi OpInc'!G45/'Semi OpInc'!C45-1,""),"")</f>
        <v/>
      </c>
      <c r="D1040" s="37">
        <f>IFERROR(IF(AND(ISNUMBER('Semi OpInc'!H45),ISNUMBER('Semi OpInc'!D45),'Semi OpInc'!D45&gt;0),'Semi OpInc'!H45/'Semi OpInc'!D45-1,""),"")</f>
        <v/>
      </c>
      <c r="E1040" s="37">
        <f>IFERROR(IF(AND(ISNUMBER('Semi OpInc'!I45),ISNUMBER('Semi OpInc'!E45),'Semi OpInc'!E45&gt;0),'Semi OpInc'!I45/'Semi OpInc'!E45-1,""),"")</f>
        <v/>
      </c>
      <c r="F1040" s="37">
        <f>IFERROR(IF(AND(ISNUMBER('Semi OpInc'!J45),ISNUMBER('Semi OpInc'!F45),'Semi OpInc'!F45&gt;0),'Semi OpInc'!J45/'Semi OpInc'!F45-1,""),"")</f>
        <v/>
      </c>
      <c r="G1040" s="37">
        <f>IFERROR(IF(AND(ISNUMBER('Semi OpInc'!K45),ISNUMBER('Semi OpInc'!G45),'Semi OpInc'!G45&gt;0),'Semi OpInc'!K45/'Semi OpInc'!G45-1,""),"")</f>
        <v/>
      </c>
      <c r="H1040" s="37">
        <f>IFERROR(IF(AND(ISNUMBER('Semi OpInc'!L45),ISNUMBER('Semi OpInc'!H45),'Semi OpInc'!H45&gt;0),'Semi OpInc'!L45/'Semi OpInc'!H45-1,""),"")</f>
        <v/>
      </c>
      <c r="I1040" s="37">
        <f>IFERROR(IF(AND(ISNUMBER('Semi OpInc'!M45),ISNUMBER('Semi OpInc'!I45),'Semi OpInc'!I45&gt;0),'Semi OpInc'!M45/'Semi OpInc'!I45-1,""),"")</f>
        <v/>
      </c>
      <c r="J1040" s="37">
        <f>IFERROR(IF(AND(ISNUMBER('Semi OpInc'!N45),ISNUMBER('Semi OpInc'!J45),'Semi OpInc'!J45&gt;0),'Semi OpInc'!N45/'Semi OpInc'!J45-1,""),"")</f>
        <v/>
      </c>
      <c r="K1040" s="37">
        <f>IFERROR(IF(AND(ISNUMBER('Semi OpInc'!O45),ISNUMBER('Semi OpInc'!K45),'Semi OpInc'!K45&gt;0),'Semi OpInc'!O45/'Semi OpInc'!K45-1,""),"")</f>
        <v/>
      </c>
      <c r="L1040" s="37">
        <f>IFERROR(IF(AND(ISNUMBER('Semi OpInc'!P45),ISNUMBER('Semi OpInc'!L45),'Semi OpInc'!L45&gt;0),'Semi OpInc'!P45/'Semi OpInc'!L45-1,""),"")</f>
        <v/>
      </c>
      <c r="M1040" s="38">
        <f>IFERROR(IF(AND(ISNUMBER('Semi OpInc'!Q45),ISNUMBER('Semi OpInc'!M45),'Semi OpInc'!M45&gt;0),'Semi OpInc'!Q45/'Semi OpInc'!M45-1,""),"")</f>
        <v/>
      </c>
      <c r="N1040" s="38">
        <f>IFERROR(IF(AND(ISNUMBER('Semi OpInc'!R45),ISNUMBER('Semi OpInc'!N45),'Semi OpInc'!N45&gt;0),'Semi OpInc'!R45/'Semi OpInc'!N45-1,""),"")</f>
        <v/>
      </c>
    </row>
    <row r="1041">
      <c r="A1041" s="19">
        <f>'Semi Rev'!$A46</f>
        <v/>
      </c>
      <c r="B1041" s="19">
        <f>'Semi Rev'!$B46</f>
        <v/>
      </c>
      <c r="C1041" s="37">
        <f>IFERROR(IF(AND(ISNUMBER('Semi OpInc'!G46),ISNUMBER('Semi OpInc'!C46),'Semi OpInc'!C46&gt;0),'Semi OpInc'!G46/'Semi OpInc'!C46-1,""),"")</f>
        <v/>
      </c>
      <c r="D1041" s="37">
        <f>IFERROR(IF(AND(ISNUMBER('Semi OpInc'!H46),ISNUMBER('Semi OpInc'!D46),'Semi OpInc'!D46&gt;0),'Semi OpInc'!H46/'Semi OpInc'!D46-1,""),"")</f>
        <v/>
      </c>
      <c r="E1041" s="37">
        <f>IFERROR(IF(AND(ISNUMBER('Semi OpInc'!I46),ISNUMBER('Semi OpInc'!E46),'Semi OpInc'!E46&gt;0),'Semi OpInc'!I46/'Semi OpInc'!E46-1,""),"")</f>
        <v/>
      </c>
      <c r="F1041" s="37">
        <f>IFERROR(IF(AND(ISNUMBER('Semi OpInc'!J46),ISNUMBER('Semi OpInc'!F46),'Semi OpInc'!F46&gt;0),'Semi OpInc'!J46/'Semi OpInc'!F46-1,""),"")</f>
        <v/>
      </c>
      <c r="G1041" s="37">
        <f>IFERROR(IF(AND(ISNUMBER('Semi OpInc'!K46),ISNUMBER('Semi OpInc'!G46),'Semi OpInc'!G46&gt;0),'Semi OpInc'!K46/'Semi OpInc'!G46-1,""),"")</f>
        <v/>
      </c>
      <c r="H1041" s="37">
        <f>IFERROR(IF(AND(ISNUMBER('Semi OpInc'!L46),ISNUMBER('Semi OpInc'!H46),'Semi OpInc'!H46&gt;0),'Semi OpInc'!L46/'Semi OpInc'!H46-1,""),"")</f>
        <v/>
      </c>
      <c r="I1041" s="37">
        <f>IFERROR(IF(AND(ISNUMBER('Semi OpInc'!M46),ISNUMBER('Semi OpInc'!I46),'Semi OpInc'!I46&gt;0),'Semi OpInc'!M46/'Semi OpInc'!I46-1,""),"")</f>
        <v/>
      </c>
      <c r="J1041" s="37">
        <f>IFERROR(IF(AND(ISNUMBER('Semi OpInc'!N46),ISNUMBER('Semi OpInc'!J46),'Semi OpInc'!J46&gt;0),'Semi OpInc'!N46/'Semi OpInc'!J46-1,""),"")</f>
        <v/>
      </c>
      <c r="K1041" s="37">
        <f>IFERROR(IF(AND(ISNUMBER('Semi OpInc'!O46),ISNUMBER('Semi OpInc'!K46),'Semi OpInc'!K46&gt;0),'Semi OpInc'!O46/'Semi OpInc'!K46-1,""),"")</f>
        <v/>
      </c>
      <c r="L1041" s="37">
        <f>IFERROR(IF(AND(ISNUMBER('Semi OpInc'!P46),ISNUMBER('Semi OpInc'!L46),'Semi OpInc'!L46&gt;0),'Semi OpInc'!P46/'Semi OpInc'!L46-1,""),"")</f>
        <v/>
      </c>
      <c r="M1041" s="38">
        <f>IFERROR(IF(AND(ISNUMBER('Semi OpInc'!Q46),ISNUMBER('Semi OpInc'!M46),'Semi OpInc'!M46&gt;0),'Semi OpInc'!Q46/'Semi OpInc'!M46-1,""),"")</f>
        <v/>
      </c>
      <c r="N1041" s="38">
        <f>IFERROR(IF(AND(ISNUMBER('Semi OpInc'!R46),ISNUMBER('Semi OpInc'!N46),'Semi OpInc'!N46&gt;0),'Semi OpInc'!R46/'Semi OpInc'!N46-1,""),"")</f>
        <v/>
      </c>
    </row>
    <row r="1042">
      <c r="A1042" s="19">
        <f>'Semi Rev'!$A47</f>
        <v/>
      </c>
      <c r="B1042" s="19">
        <f>'Semi Rev'!$B47</f>
        <v/>
      </c>
      <c r="C1042" s="37">
        <f>IFERROR(IF(AND(ISNUMBER('Semi OpInc'!G47),ISNUMBER('Semi OpInc'!C47),'Semi OpInc'!C47&gt;0),'Semi OpInc'!G47/'Semi OpInc'!C47-1,""),"")</f>
        <v/>
      </c>
      <c r="D1042" s="37">
        <f>IFERROR(IF(AND(ISNUMBER('Semi OpInc'!H47),ISNUMBER('Semi OpInc'!D47),'Semi OpInc'!D47&gt;0),'Semi OpInc'!H47/'Semi OpInc'!D47-1,""),"")</f>
        <v/>
      </c>
      <c r="E1042" s="37">
        <f>IFERROR(IF(AND(ISNUMBER('Semi OpInc'!I47),ISNUMBER('Semi OpInc'!E47),'Semi OpInc'!E47&gt;0),'Semi OpInc'!I47/'Semi OpInc'!E47-1,""),"")</f>
        <v/>
      </c>
      <c r="F1042" s="37">
        <f>IFERROR(IF(AND(ISNUMBER('Semi OpInc'!J47),ISNUMBER('Semi OpInc'!F47),'Semi OpInc'!F47&gt;0),'Semi OpInc'!J47/'Semi OpInc'!F47-1,""),"")</f>
        <v/>
      </c>
      <c r="G1042" s="37">
        <f>IFERROR(IF(AND(ISNUMBER('Semi OpInc'!K47),ISNUMBER('Semi OpInc'!G47),'Semi OpInc'!G47&gt;0),'Semi OpInc'!K47/'Semi OpInc'!G47-1,""),"")</f>
        <v/>
      </c>
      <c r="H1042" s="37">
        <f>IFERROR(IF(AND(ISNUMBER('Semi OpInc'!L47),ISNUMBER('Semi OpInc'!H47),'Semi OpInc'!H47&gt;0),'Semi OpInc'!L47/'Semi OpInc'!H47-1,""),"")</f>
        <v/>
      </c>
      <c r="I1042" s="37">
        <f>IFERROR(IF(AND(ISNUMBER('Semi OpInc'!M47),ISNUMBER('Semi OpInc'!I47),'Semi OpInc'!I47&gt;0),'Semi OpInc'!M47/'Semi OpInc'!I47-1,""),"")</f>
        <v/>
      </c>
      <c r="J1042" s="37">
        <f>IFERROR(IF(AND(ISNUMBER('Semi OpInc'!N47),ISNUMBER('Semi OpInc'!J47),'Semi OpInc'!J47&gt;0),'Semi OpInc'!N47/'Semi OpInc'!J47-1,""),"")</f>
        <v/>
      </c>
      <c r="K1042" s="37">
        <f>IFERROR(IF(AND(ISNUMBER('Semi OpInc'!O47),ISNUMBER('Semi OpInc'!K47),'Semi OpInc'!K47&gt;0),'Semi OpInc'!O47/'Semi OpInc'!K47-1,""),"")</f>
        <v/>
      </c>
      <c r="L1042" s="37">
        <f>IFERROR(IF(AND(ISNUMBER('Semi OpInc'!P47),ISNUMBER('Semi OpInc'!L47),'Semi OpInc'!L47&gt;0),'Semi OpInc'!P47/'Semi OpInc'!L47-1,""),"")</f>
        <v/>
      </c>
      <c r="M1042" s="38">
        <f>IFERROR(IF(AND(ISNUMBER('Semi OpInc'!Q47),ISNUMBER('Semi OpInc'!M47),'Semi OpInc'!M47&gt;0),'Semi OpInc'!Q47/'Semi OpInc'!M47-1,""),"")</f>
        <v/>
      </c>
      <c r="N1042" s="38">
        <f>IFERROR(IF(AND(ISNUMBER('Semi OpInc'!R47),ISNUMBER('Semi OpInc'!N47),'Semi OpInc'!N47&gt;0),'Semi OpInc'!R47/'Semi OpInc'!N47-1,""),"")</f>
        <v/>
      </c>
    </row>
    <row r="1043">
      <c r="A1043" s="19">
        <f>'Semi Rev'!$A48</f>
        <v/>
      </c>
      <c r="B1043" s="19">
        <f>'Semi Rev'!$B48</f>
        <v/>
      </c>
      <c r="C1043" s="37">
        <f>IFERROR(IF(AND(ISNUMBER('Semi OpInc'!G48),ISNUMBER('Semi OpInc'!C48),'Semi OpInc'!C48&gt;0),'Semi OpInc'!G48/'Semi OpInc'!C48-1,""),"")</f>
        <v/>
      </c>
      <c r="D1043" s="37">
        <f>IFERROR(IF(AND(ISNUMBER('Semi OpInc'!H48),ISNUMBER('Semi OpInc'!D48),'Semi OpInc'!D48&gt;0),'Semi OpInc'!H48/'Semi OpInc'!D48-1,""),"")</f>
        <v/>
      </c>
      <c r="E1043" s="37">
        <f>IFERROR(IF(AND(ISNUMBER('Semi OpInc'!I48),ISNUMBER('Semi OpInc'!E48),'Semi OpInc'!E48&gt;0),'Semi OpInc'!I48/'Semi OpInc'!E48-1,""),"")</f>
        <v/>
      </c>
      <c r="F1043" s="37">
        <f>IFERROR(IF(AND(ISNUMBER('Semi OpInc'!J48),ISNUMBER('Semi OpInc'!F48),'Semi OpInc'!F48&gt;0),'Semi OpInc'!J48/'Semi OpInc'!F48-1,""),"")</f>
        <v/>
      </c>
      <c r="G1043" s="37">
        <f>IFERROR(IF(AND(ISNUMBER('Semi OpInc'!K48),ISNUMBER('Semi OpInc'!G48),'Semi OpInc'!G48&gt;0),'Semi OpInc'!K48/'Semi OpInc'!G48-1,""),"")</f>
        <v/>
      </c>
      <c r="H1043" s="37">
        <f>IFERROR(IF(AND(ISNUMBER('Semi OpInc'!L48),ISNUMBER('Semi OpInc'!H48),'Semi OpInc'!H48&gt;0),'Semi OpInc'!L48/'Semi OpInc'!H48-1,""),"")</f>
        <v/>
      </c>
      <c r="I1043" s="37">
        <f>IFERROR(IF(AND(ISNUMBER('Semi OpInc'!M48),ISNUMBER('Semi OpInc'!I48),'Semi OpInc'!I48&gt;0),'Semi OpInc'!M48/'Semi OpInc'!I48-1,""),"")</f>
        <v/>
      </c>
      <c r="J1043" s="37">
        <f>IFERROR(IF(AND(ISNUMBER('Semi OpInc'!N48),ISNUMBER('Semi OpInc'!J48),'Semi OpInc'!J48&gt;0),'Semi OpInc'!N48/'Semi OpInc'!J48-1,""),"")</f>
        <v/>
      </c>
      <c r="K1043" s="37">
        <f>IFERROR(IF(AND(ISNUMBER('Semi OpInc'!O48),ISNUMBER('Semi OpInc'!K48),'Semi OpInc'!K48&gt;0),'Semi OpInc'!O48/'Semi OpInc'!K48-1,""),"")</f>
        <v/>
      </c>
      <c r="L1043" s="37">
        <f>IFERROR(IF(AND(ISNUMBER('Semi OpInc'!P48),ISNUMBER('Semi OpInc'!L48),'Semi OpInc'!L48&gt;0),'Semi OpInc'!P48/'Semi OpInc'!L48-1,""),"")</f>
        <v/>
      </c>
      <c r="M1043" s="38">
        <f>IFERROR(IF(AND(ISNUMBER('Semi OpInc'!Q48),ISNUMBER('Semi OpInc'!M48),'Semi OpInc'!M48&gt;0),'Semi OpInc'!Q48/'Semi OpInc'!M48-1,""),"")</f>
        <v/>
      </c>
      <c r="N1043" s="38">
        <f>IFERROR(IF(AND(ISNUMBER('Semi OpInc'!R48),ISNUMBER('Semi OpInc'!N48),'Semi OpInc'!N48&gt;0),'Semi OpInc'!R48/'Semi OpInc'!N48-1,""),"")</f>
        <v/>
      </c>
    </row>
    <row r="1044">
      <c r="A1044" s="19">
        <f>'Semi Rev'!$A49</f>
        <v/>
      </c>
      <c r="B1044" s="19">
        <f>'Semi Rev'!$B49</f>
        <v/>
      </c>
      <c r="C1044" s="37">
        <f>IFERROR(IF(AND(ISNUMBER('Semi OpInc'!G49),ISNUMBER('Semi OpInc'!C49),'Semi OpInc'!C49&gt;0),'Semi OpInc'!G49/'Semi OpInc'!C49-1,""),"")</f>
        <v/>
      </c>
      <c r="D1044" s="37">
        <f>IFERROR(IF(AND(ISNUMBER('Semi OpInc'!H49),ISNUMBER('Semi OpInc'!D49),'Semi OpInc'!D49&gt;0),'Semi OpInc'!H49/'Semi OpInc'!D49-1,""),"")</f>
        <v/>
      </c>
      <c r="E1044" s="37">
        <f>IFERROR(IF(AND(ISNUMBER('Semi OpInc'!I49),ISNUMBER('Semi OpInc'!E49),'Semi OpInc'!E49&gt;0),'Semi OpInc'!I49/'Semi OpInc'!E49-1,""),"")</f>
        <v/>
      </c>
      <c r="F1044" s="37">
        <f>IFERROR(IF(AND(ISNUMBER('Semi OpInc'!J49),ISNUMBER('Semi OpInc'!F49),'Semi OpInc'!F49&gt;0),'Semi OpInc'!J49/'Semi OpInc'!F49-1,""),"")</f>
        <v/>
      </c>
      <c r="G1044" s="37">
        <f>IFERROR(IF(AND(ISNUMBER('Semi OpInc'!K49),ISNUMBER('Semi OpInc'!G49),'Semi OpInc'!G49&gt;0),'Semi OpInc'!K49/'Semi OpInc'!G49-1,""),"")</f>
        <v/>
      </c>
      <c r="H1044" s="37">
        <f>IFERROR(IF(AND(ISNUMBER('Semi OpInc'!L49),ISNUMBER('Semi OpInc'!H49),'Semi OpInc'!H49&gt;0),'Semi OpInc'!L49/'Semi OpInc'!H49-1,""),"")</f>
        <v/>
      </c>
      <c r="I1044" s="37">
        <f>IFERROR(IF(AND(ISNUMBER('Semi OpInc'!M49),ISNUMBER('Semi OpInc'!I49),'Semi OpInc'!I49&gt;0),'Semi OpInc'!M49/'Semi OpInc'!I49-1,""),"")</f>
        <v/>
      </c>
      <c r="J1044" s="37">
        <f>IFERROR(IF(AND(ISNUMBER('Semi OpInc'!N49),ISNUMBER('Semi OpInc'!J49),'Semi OpInc'!J49&gt;0),'Semi OpInc'!N49/'Semi OpInc'!J49-1,""),"")</f>
        <v/>
      </c>
      <c r="K1044" s="37">
        <f>IFERROR(IF(AND(ISNUMBER('Semi OpInc'!O49),ISNUMBER('Semi OpInc'!K49),'Semi OpInc'!K49&gt;0),'Semi OpInc'!O49/'Semi OpInc'!K49-1,""),"")</f>
        <v/>
      </c>
      <c r="L1044" s="37">
        <f>IFERROR(IF(AND(ISNUMBER('Semi OpInc'!P49),ISNUMBER('Semi OpInc'!L49),'Semi OpInc'!L49&gt;0),'Semi OpInc'!P49/'Semi OpInc'!L49-1,""),"")</f>
        <v/>
      </c>
      <c r="M1044" s="38">
        <f>IFERROR(IF(AND(ISNUMBER('Semi OpInc'!Q49),ISNUMBER('Semi OpInc'!M49),'Semi OpInc'!M49&gt;0),'Semi OpInc'!Q49/'Semi OpInc'!M49-1,""),"")</f>
        <v/>
      </c>
      <c r="N1044" s="38">
        <f>IFERROR(IF(AND(ISNUMBER('Semi OpInc'!R49),ISNUMBER('Semi OpInc'!N49),'Semi OpInc'!N49&gt;0),'Semi OpInc'!R49/'Semi OpInc'!N49-1,""),"")</f>
        <v/>
      </c>
    </row>
    <row r="1045">
      <c r="A1045" s="19">
        <f>'Semi Rev'!$A50</f>
        <v/>
      </c>
      <c r="B1045" s="19">
        <f>'Semi Rev'!$B50</f>
        <v/>
      </c>
      <c r="C1045" s="37">
        <f>IFERROR(IF(AND(ISNUMBER('Semi OpInc'!G50),ISNUMBER('Semi OpInc'!C50),'Semi OpInc'!C50&gt;0),'Semi OpInc'!G50/'Semi OpInc'!C50-1,""),"")</f>
        <v/>
      </c>
      <c r="D1045" s="37">
        <f>IFERROR(IF(AND(ISNUMBER('Semi OpInc'!H50),ISNUMBER('Semi OpInc'!D50),'Semi OpInc'!D50&gt;0),'Semi OpInc'!H50/'Semi OpInc'!D50-1,""),"")</f>
        <v/>
      </c>
      <c r="E1045" s="37">
        <f>IFERROR(IF(AND(ISNUMBER('Semi OpInc'!I50),ISNUMBER('Semi OpInc'!E50),'Semi OpInc'!E50&gt;0),'Semi OpInc'!I50/'Semi OpInc'!E50-1,""),"")</f>
        <v/>
      </c>
      <c r="F1045" s="37">
        <f>IFERROR(IF(AND(ISNUMBER('Semi OpInc'!J50),ISNUMBER('Semi OpInc'!F50),'Semi OpInc'!F50&gt;0),'Semi OpInc'!J50/'Semi OpInc'!F50-1,""),"")</f>
        <v/>
      </c>
      <c r="G1045" s="37">
        <f>IFERROR(IF(AND(ISNUMBER('Semi OpInc'!K50),ISNUMBER('Semi OpInc'!G50),'Semi OpInc'!G50&gt;0),'Semi OpInc'!K50/'Semi OpInc'!G50-1,""),"")</f>
        <v/>
      </c>
      <c r="H1045" s="37">
        <f>IFERROR(IF(AND(ISNUMBER('Semi OpInc'!L50),ISNUMBER('Semi OpInc'!H50),'Semi OpInc'!H50&gt;0),'Semi OpInc'!L50/'Semi OpInc'!H50-1,""),"")</f>
        <v/>
      </c>
      <c r="I1045" s="37">
        <f>IFERROR(IF(AND(ISNUMBER('Semi OpInc'!M50),ISNUMBER('Semi OpInc'!I50),'Semi OpInc'!I50&gt;0),'Semi OpInc'!M50/'Semi OpInc'!I50-1,""),"")</f>
        <v/>
      </c>
      <c r="J1045" s="37">
        <f>IFERROR(IF(AND(ISNUMBER('Semi OpInc'!N50),ISNUMBER('Semi OpInc'!J50),'Semi OpInc'!J50&gt;0),'Semi OpInc'!N50/'Semi OpInc'!J50-1,""),"")</f>
        <v/>
      </c>
      <c r="K1045" s="37">
        <f>IFERROR(IF(AND(ISNUMBER('Semi OpInc'!O50),ISNUMBER('Semi OpInc'!K50),'Semi OpInc'!K50&gt;0),'Semi OpInc'!O50/'Semi OpInc'!K50-1,""),"")</f>
        <v/>
      </c>
      <c r="L1045" s="37">
        <f>IFERROR(IF(AND(ISNUMBER('Semi OpInc'!P50),ISNUMBER('Semi OpInc'!L50),'Semi OpInc'!L50&gt;0),'Semi OpInc'!P50/'Semi OpInc'!L50-1,""),"")</f>
        <v/>
      </c>
      <c r="M1045" s="38">
        <f>IFERROR(IF(AND(ISNUMBER('Semi OpInc'!Q50),ISNUMBER('Semi OpInc'!M50),'Semi OpInc'!M50&gt;0),'Semi OpInc'!Q50/'Semi OpInc'!M50-1,""),"")</f>
        <v/>
      </c>
      <c r="N1045" s="38">
        <f>IFERROR(IF(AND(ISNUMBER('Semi OpInc'!R50),ISNUMBER('Semi OpInc'!N50),'Semi OpInc'!N50&gt;0),'Semi OpInc'!R50/'Semi OpInc'!N50-1,""),"")</f>
        <v/>
      </c>
    </row>
    <row r="1046">
      <c r="A1046" s="19">
        <f>'Semi Rev'!$A51</f>
        <v/>
      </c>
      <c r="B1046" s="19">
        <f>'Semi Rev'!$B51</f>
        <v/>
      </c>
      <c r="C1046" s="37">
        <f>IFERROR(IF(AND(ISNUMBER('Semi OpInc'!G51),ISNUMBER('Semi OpInc'!C51),'Semi OpInc'!C51&gt;0),'Semi OpInc'!G51/'Semi OpInc'!C51-1,""),"")</f>
        <v/>
      </c>
      <c r="D1046" s="37">
        <f>IFERROR(IF(AND(ISNUMBER('Semi OpInc'!H51),ISNUMBER('Semi OpInc'!D51),'Semi OpInc'!D51&gt;0),'Semi OpInc'!H51/'Semi OpInc'!D51-1,""),"")</f>
        <v/>
      </c>
      <c r="E1046" s="37">
        <f>IFERROR(IF(AND(ISNUMBER('Semi OpInc'!I51),ISNUMBER('Semi OpInc'!E51),'Semi OpInc'!E51&gt;0),'Semi OpInc'!I51/'Semi OpInc'!E51-1,""),"")</f>
        <v/>
      </c>
      <c r="F1046" s="37">
        <f>IFERROR(IF(AND(ISNUMBER('Semi OpInc'!J51),ISNUMBER('Semi OpInc'!F51),'Semi OpInc'!F51&gt;0),'Semi OpInc'!J51/'Semi OpInc'!F51-1,""),"")</f>
        <v/>
      </c>
      <c r="G1046" s="37">
        <f>IFERROR(IF(AND(ISNUMBER('Semi OpInc'!K51),ISNUMBER('Semi OpInc'!G51),'Semi OpInc'!G51&gt;0),'Semi OpInc'!K51/'Semi OpInc'!G51-1,""),"")</f>
        <v/>
      </c>
      <c r="H1046" s="37">
        <f>IFERROR(IF(AND(ISNUMBER('Semi OpInc'!L51),ISNUMBER('Semi OpInc'!H51),'Semi OpInc'!H51&gt;0),'Semi OpInc'!L51/'Semi OpInc'!H51-1,""),"")</f>
        <v/>
      </c>
      <c r="I1046" s="37">
        <f>IFERROR(IF(AND(ISNUMBER('Semi OpInc'!M51),ISNUMBER('Semi OpInc'!I51),'Semi OpInc'!I51&gt;0),'Semi OpInc'!M51/'Semi OpInc'!I51-1,""),"")</f>
        <v/>
      </c>
      <c r="J1046" s="37">
        <f>IFERROR(IF(AND(ISNUMBER('Semi OpInc'!N51),ISNUMBER('Semi OpInc'!J51),'Semi OpInc'!J51&gt;0),'Semi OpInc'!N51/'Semi OpInc'!J51-1,""),"")</f>
        <v/>
      </c>
      <c r="K1046" s="37">
        <f>IFERROR(IF(AND(ISNUMBER('Semi OpInc'!O51),ISNUMBER('Semi OpInc'!K51),'Semi OpInc'!K51&gt;0),'Semi OpInc'!O51/'Semi OpInc'!K51-1,""),"")</f>
        <v/>
      </c>
      <c r="L1046" s="37">
        <f>IFERROR(IF(AND(ISNUMBER('Semi OpInc'!P51),ISNUMBER('Semi OpInc'!L51),'Semi OpInc'!L51&gt;0),'Semi OpInc'!P51/'Semi OpInc'!L51-1,""),"")</f>
        <v/>
      </c>
      <c r="M1046" s="38">
        <f>IFERROR(IF(AND(ISNUMBER('Semi OpInc'!Q51),ISNUMBER('Semi OpInc'!M51),'Semi OpInc'!M51&gt;0),'Semi OpInc'!Q51/'Semi OpInc'!M51-1,""),"")</f>
        <v/>
      </c>
      <c r="N1046" s="38">
        <f>IFERROR(IF(AND(ISNUMBER('Semi OpInc'!R51),ISNUMBER('Semi OpInc'!N51),'Semi OpInc'!N51&gt;0),'Semi OpInc'!R51/'Semi OpInc'!N51-1,""),"")</f>
        <v/>
      </c>
    </row>
    <row r="1047">
      <c r="A1047" s="19">
        <f>'Semi Rev'!$A52</f>
        <v/>
      </c>
      <c r="B1047" s="19">
        <f>'Semi Rev'!$B52</f>
        <v/>
      </c>
      <c r="C1047" s="37">
        <f>IFERROR(IF(AND(ISNUMBER('Semi OpInc'!G52),ISNUMBER('Semi OpInc'!C52),'Semi OpInc'!C52&gt;0),'Semi OpInc'!G52/'Semi OpInc'!C52-1,""),"")</f>
        <v/>
      </c>
      <c r="D1047" s="37">
        <f>IFERROR(IF(AND(ISNUMBER('Semi OpInc'!H52),ISNUMBER('Semi OpInc'!D52),'Semi OpInc'!D52&gt;0),'Semi OpInc'!H52/'Semi OpInc'!D52-1,""),"")</f>
        <v/>
      </c>
      <c r="E1047" s="37">
        <f>IFERROR(IF(AND(ISNUMBER('Semi OpInc'!I52),ISNUMBER('Semi OpInc'!E52),'Semi OpInc'!E52&gt;0),'Semi OpInc'!I52/'Semi OpInc'!E52-1,""),"")</f>
        <v/>
      </c>
      <c r="F1047" s="37">
        <f>IFERROR(IF(AND(ISNUMBER('Semi OpInc'!J52),ISNUMBER('Semi OpInc'!F52),'Semi OpInc'!F52&gt;0),'Semi OpInc'!J52/'Semi OpInc'!F52-1,""),"")</f>
        <v/>
      </c>
      <c r="G1047" s="37">
        <f>IFERROR(IF(AND(ISNUMBER('Semi OpInc'!K52),ISNUMBER('Semi OpInc'!G52),'Semi OpInc'!G52&gt;0),'Semi OpInc'!K52/'Semi OpInc'!G52-1,""),"")</f>
        <v/>
      </c>
      <c r="H1047" s="37">
        <f>IFERROR(IF(AND(ISNUMBER('Semi OpInc'!L52),ISNUMBER('Semi OpInc'!H52),'Semi OpInc'!H52&gt;0),'Semi OpInc'!L52/'Semi OpInc'!H52-1,""),"")</f>
        <v/>
      </c>
      <c r="I1047" s="37">
        <f>IFERROR(IF(AND(ISNUMBER('Semi OpInc'!M52),ISNUMBER('Semi OpInc'!I52),'Semi OpInc'!I52&gt;0),'Semi OpInc'!M52/'Semi OpInc'!I52-1,""),"")</f>
        <v/>
      </c>
      <c r="J1047" s="37">
        <f>IFERROR(IF(AND(ISNUMBER('Semi OpInc'!N52),ISNUMBER('Semi OpInc'!J52),'Semi OpInc'!J52&gt;0),'Semi OpInc'!N52/'Semi OpInc'!J52-1,""),"")</f>
        <v/>
      </c>
      <c r="K1047" s="37">
        <f>IFERROR(IF(AND(ISNUMBER('Semi OpInc'!O52),ISNUMBER('Semi OpInc'!K52),'Semi OpInc'!K52&gt;0),'Semi OpInc'!O52/'Semi OpInc'!K52-1,""),"")</f>
        <v/>
      </c>
      <c r="L1047" s="37">
        <f>IFERROR(IF(AND(ISNUMBER('Semi OpInc'!P52),ISNUMBER('Semi OpInc'!L52),'Semi OpInc'!L52&gt;0),'Semi OpInc'!P52/'Semi OpInc'!L52-1,""),"")</f>
        <v/>
      </c>
      <c r="M1047" s="38">
        <f>IFERROR(IF(AND(ISNUMBER('Semi OpInc'!Q52),ISNUMBER('Semi OpInc'!M52),'Semi OpInc'!M52&gt;0),'Semi OpInc'!Q52/'Semi OpInc'!M52-1,""),"")</f>
        <v/>
      </c>
      <c r="N1047" s="38">
        <f>IFERROR(IF(AND(ISNUMBER('Semi OpInc'!R52),ISNUMBER('Semi OpInc'!N52),'Semi OpInc'!N52&gt;0),'Semi OpInc'!R52/'Semi OpInc'!N52-1,""),"")</f>
        <v/>
      </c>
    </row>
    <row r="1048">
      <c r="A1048" s="19">
        <f>'Semi Rev'!$A53</f>
        <v/>
      </c>
      <c r="B1048" s="19">
        <f>'Semi Rev'!$B53</f>
        <v/>
      </c>
      <c r="C1048" s="37">
        <f>IFERROR(IF(AND(ISNUMBER('Semi OpInc'!G53),ISNUMBER('Semi OpInc'!C53),'Semi OpInc'!C53&gt;0),'Semi OpInc'!G53/'Semi OpInc'!C53-1,""),"")</f>
        <v/>
      </c>
      <c r="D1048" s="37">
        <f>IFERROR(IF(AND(ISNUMBER('Semi OpInc'!H53),ISNUMBER('Semi OpInc'!D53),'Semi OpInc'!D53&gt;0),'Semi OpInc'!H53/'Semi OpInc'!D53-1,""),"")</f>
        <v/>
      </c>
      <c r="E1048" s="37">
        <f>IFERROR(IF(AND(ISNUMBER('Semi OpInc'!I53),ISNUMBER('Semi OpInc'!E53),'Semi OpInc'!E53&gt;0),'Semi OpInc'!I53/'Semi OpInc'!E53-1,""),"")</f>
        <v/>
      </c>
      <c r="F1048" s="37">
        <f>IFERROR(IF(AND(ISNUMBER('Semi OpInc'!J53),ISNUMBER('Semi OpInc'!F53),'Semi OpInc'!F53&gt;0),'Semi OpInc'!J53/'Semi OpInc'!F53-1,""),"")</f>
        <v/>
      </c>
      <c r="G1048" s="37">
        <f>IFERROR(IF(AND(ISNUMBER('Semi OpInc'!K53),ISNUMBER('Semi OpInc'!G53),'Semi OpInc'!G53&gt;0),'Semi OpInc'!K53/'Semi OpInc'!G53-1,""),"")</f>
        <v/>
      </c>
      <c r="H1048" s="37">
        <f>IFERROR(IF(AND(ISNUMBER('Semi OpInc'!L53),ISNUMBER('Semi OpInc'!H53),'Semi OpInc'!H53&gt;0),'Semi OpInc'!L53/'Semi OpInc'!H53-1,""),"")</f>
        <v/>
      </c>
      <c r="I1048" s="37">
        <f>IFERROR(IF(AND(ISNUMBER('Semi OpInc'!M53),ISNUMBER('Semi OpInc'!I53),'Semi OpInc'!I53&gt;0),'Semi OpInc'!M53/'Semi OpInc'!I53-1,""),"")</f>
        <v/>
      </c>
      <c r="J1048" s="37">
        <f>IFERROR(IF(AND(ISNUMBER('Semi OpInc'!N53),ISNUMBER('Semi OpInc'!J53),'Semi OpInc'!J53&gt;0),'Semi OpInc'!N53/'Semi OpInc'!J53-1,""),"")</f>
        <v/>
      </c>
      <c r="K1048" s="37">
        <f>IFERROR(IF(AND(ISNUMBER('Semi OpInc'!O53),ISNUMBER('Semi OpInc'!K53),'Semi OpInc'!K53&gt;0),'Semi OpInc'!O53/'Semi OpInc'!K53-1,""),"")</f>
        <v/>
      </c>
      <c r="L1048" s="37">
        <f>IFERROR(IF(AND(ISNUMBER('Semi OpInc'!P53),ISNUMBER('Semi OpInc'!L53),'Semi OpInc'!L53&gt;0),'Semi OpInc'!P53/'Semi OpInc'!L53-1,""),"")</f>
        <v/>
      </c>
      <c r="M1048" s="38">
        <f>IFERROR(IF(AND(ISNUMBER('Semi OpInc'!Q53),ISNUMBER('Semi OpInc'!M53),'Semi OpInc'!M53&gt;0),'Semi OpInc'!Q53/'Semi OpInc'!M53-1,""),"")</f>
        <v/>
      </c>
      <c r="N1048" s="38">
        <f>IFERROR(IF(AND(ISNUMBER('Semi OpInc'!R53),ISNUMBER('Semi OpInc'!N53),'Semi OpInc'!N53&gt;0),'Semi OpInc'!R53/'Semi OpInc'!N53-1,""),"")</f>
        <v/>
      </c>
    </row>
    <row r="1049">
      <c r="A1049" s="19">
        <f>'Semi Rev'!$A54</f>
        <v/>
      </c>
      <c r="B1049" s="19">
        <f>'Semi Rev'!$B54</f>
        <v/>
      </c>
      <c r="C1049" s="37">
        <f>IFERROR(IF(AND(ISNUMBER('Semi OpInc'!G54),ISNUMBER('Semi OpInc'!C54),'Semi OpInc'!C54&gt;0),'Semi OpInc'!G54/'Semi OpInc'!C54-1,""),"")</f>
        <v/>
      </c>
      <c r="D1049" s="37">
        <f>IFERROR(IF(AND(ISNUMBER('Semi OpInc'!H54),ISNUMBER('Semi OpInc'!D54),'Semi OpInc'!D54&gt;0),'Semi OpInc'!H54/'Semi OpInc'!D54-1,""),"")</f>
        <v/>
      </c>
      <c r="E1049" s="37">
        <f>IFERROR(IF(AND(ISNUMBER('Semi OpInc'!I54),ISNUMBER('Semi OpInc'!E54),'Semi OpInc'!E54&gt;0),'Semi OpInc'!I54/'Semi OpInc'!E54-1,""),"")</f>
        <v/>
      </c>
      <c r="F1049" s="37">
        <f>IFERROR(IF(AND(ISNUMBER('Semi OpInc'!J54),ISNUMBER('Semi OpInc'!F54),'Semi OpInc'!F54&gt;0),'Semi OpInc'!J54/'Semi OpInc'!F54-1,""),"")</f>
        <v/>
      </c>
      <c r="G1049" s="37">
        <f>IFERROR(IF(AND(ISNUMBER('Semi OpInc'!K54),ISNUMBER('Semi OpInc'!G54),'Semi OpInc'!G54&gt;0),'Semi OpInc'!K54/'Semi OpInc'!G54-1,""),"")</f>
        <v/>
      </c>
      <c r="H1049" s="37">
        <f>IFERROR(IF(AND(ISNUMBER('Semi OpInc'!L54),ISNUMBER('Semi OpInc'!H54),'Semi OpInc'!H54&gt;0),'Semi OpInc'!L54/'Semi OpInc'!H54-1,""),"")</f>
        <v/>
      </c>
      <c r="I1049" s="37">
        <f>IFERROR(IF(AND(ISNUMBER('Semi OpInc'!M54),ISNUMBER('Semi OpInc'!I54),'Semi OpInc'!I54&gt;0),'Semi OpInc'!M54/'Semi OpInc'!I54-1,""),"")</f>
        <v/>
      </c>
      <c r="J1049" s="37">
        <f>IFERROR(IF(AND(ISNUMBER('Semi OpInc'!N54),ISNUMBER('Semi OpInc'!J54),'Semi OpInc'!J54&gt;0),'Semi OpInc'!N54/'Semi OpInc'!J54-1,""),"")</f>
        <v/>
      </c>
      <c r="K1049" s="37">
        <f>IFERROR(IF(AND(ISNUMBER('Semi OpInc'!O54),ISNUMBER('Semi OpInc'!K54),'Semi OpInc'!K54&gt;0),'Semi OpInc'!O54/'Semi OpInc'!K54-1,""),"")</f>
        <v/>
      </c>
      <c r="L1049" s="37">
        <f>IFERROR(IF(AND(ISNUMBER('Semi OpInc'!P54),ISNUMBER('Semi OpInc'!L54),'Semi OpInc'!L54&gt;0),'Semi OpInc'!P54/'Semi OpInc'!L54-1,""),"")</f>
        <v/>
      </c>
      <c r="M1049" s="38">
        <f>IFERROR(IF(AND(ISNUMBER('Semi OpInc'!Q54),ISNUMBER('Semi OpInc'!M54),'Semi OpInc'!M54&gt;0),'Semi OpInc'!Q54/'Semi OpInc'!M54-1,""),"")</f>
        <v/>
      </c>
      <c r="N1049" s="38">
        <f>IFERROR(IF(AND(ISNUMBER('Semi OpInc'!R54),ISNUMBER('Semi OpInc'!N54),'Semi OpInc'!N54&gt;0),'Semi OpInc'!R54/'Semi OpInc'!N54-1,""),"")</f>
        <v/>
      </c>
    </row>
    <row r="1050">
      <c r="A1050" s="19">
        <f>'Semi Rev'!$A55</f>
        <v/>
      </c>
      <c r="B1050" s="19">
        <f>'Semi Rev'!$B55</f>
        <v/>
      </c>
      <c r="C1050" s="37">
        <f>IFERROR(IF(AND(ISNUMBER('Semi OpInc'!G55),ISNUMBER('Semi OpInc'!C55),'Semi OpInc'!C55&gt;0),'Semi OpInc'!G55/'Semi OpInc'!C55-1,""),"")</f>
        <v/>
      </c>
      <c r="D1050" s="37">
        <f>IFERROR(IF(AND(ISNUMBER('Semi OpInc'!H55),ISNUMBER('Semi OpInc'!D55),'Semi OpInc'!D55&gt;0),'Semi OpInc'!H55/'Semi OpInc'!D55-1,""),"")</f>
        <v/>
      </c>
      <c r="E1050" s="37">
        <f>IFERROR(IF(AND(ISNUMBER('Semi OpInc'!I55),ISNUMBER('Semi OpInc'!E55),'Semi OpInc'!E55&gt;0),'Semi OpInc'!I55/'Semi OpInc'!E55-1,""),"")</f>
        <v/>
      </c>
      <c r="F1050" s="37">
        <f>IFERROR(IF(AND(ISNUMBER('Semi OpInc'!J55),ISNUMBER('Semi OpInc'!F55),'Semi OpInc'!F55&gt;0),'Semi OpInc'!J55/'Semi OpInc'!F55-1,""),"")</f>
        <v/>
      </c>
      <c r="G1050" s="37">
        <f>IFERROR(IF(AND(ISNUMBER('Semi OpInc'!K55),ISNUMBER('Semi OpInc'!G55),'Semi OpInc'!G55&gt;0),'Semi OpInc'!K55/'Semi OpInc'!G55-1,""),"")</f>
        <v/>
      </c>
      <c r="H1050" s="37">
        <f>IFERROR(IF(AND(ISNUMBER('Semi OpInc'!L55),ISNUMBER('Semi OpInc'!H55),'Semi OpInc'!H55&gt;0),'Semi OpInc'!L55/'Semi OpInc'!H55-1,""),"")</f>
        <v/>
      </c>
      <c r="I1050" s="37">
        <f>IFERROR(IF(AND(ISNUMBER('Semi OpInc'!M55),ISNUMBER('Semi OpInc'!I55),'Semi OpInc'!I55&gt;0),'Semi OpInc'!M55/'Semi OpInc'!I55-1,""),"")</f>
        <v/>
      </c>
      <c r="J1050" s="37">
        <f>IFERROR(IF(AND(ISNUMBER('Semi OpInc'!N55),ISNUMBER('Semi OpInc'!J55),'Semi OpInc'!J55&gt;0),'Semi OpInc'!N55/'Semi OpInc'!J55-1,""),"")</f>
        <v/>
      </c>
      <c r="K1050" s="37">
        <f>IFERROR(IF(AND(ISNUMBER('Semi OpInc'!O55),ISNUMBER('Semi OpInc'!K55),'Semi OpInc'!K55&gt;0),'Semi OpInc'!O55/'Semi OpInc'!K55-1,""),"")</f>
        <v/>
      </c>
      <c r="L1050" s="37">
        <f>IFERROR(IF(AND(ISNUMBER('Semi OpInc'!P55),ISNUMBER('Semi OpInc'!L55),'Semi OpInc'!L55&gt;0),'Semi OpInc'!P55/'Semi OpInc'!L55-1,""),"")</f>
        <v/>
      </c>
      <c r="M1050" s="38">
        <f>IFERROR(IF(AND(ISNUMBER('Semi OpInc'!Q55),ISNUMBER('Semi OpInc'!M55),'Semi OpInc'!M55&gt;0),'Semi OpInc'!Q55/'Semi OpInc'!M55-1,""),"")</f>
        <v/>
      </c>
      <c r="N1050" s="38">
        <f>IFERROR(IF(AND(ISNUMBER('Semi OpInc'!R55),ISNUMBER('Semi OpInc'!N55),'Semi OpInc'!N55&gt;0),'Semi OpInc'!R55/'Semi OpInc'!N55-1,""),"")</f>
        <v/>
      </c>
    </row>
    <row r="1051">
      <c r="A1051" s="19">
        <f>'Semi Rev'!$A56</f>
        <v/>
      </c>
      <c r="B1051" s="19">
        <f>'Semi Rev'!$B56</f>
        <v/>
      </c>
      <c r="C1051" s="37">
        <f>IFERROR(IF(AND(ISNUMBER('Semi OpInc'!G56),ISNUMBER('Semi OpInc'!C56),'Semi OpInc'!C56&gt;0),'Semi OpInc'!G56/'Semi OpInc'!C56-1,""),"")</f>
        <v/>
      </c>
      <c r="D1051" s="37">
        <f>IFERROR(IF(AND(ISNUMBER('Semi OpInc'!H56),ISNUMBER('Semi OpInc'!D56),'Semi OpInc'!D56&gt;0),'Semi OpInc'!H56/'Semi OpInc'!D56-1,""),"")</f>
        <v/>
      </c>
      <c r="E1051" s="37">
        <f>IFERROR(IF(AND(ISNUMBER('Semi OpInc'!I56),ISNUMBER('Semi OpInc'!E56),'Semi OpInc'!E56&gt;0),'Semi OpInc'!I56/'Semi OpInc'!E56-1,""),"")</f>
        <v/>
      </c>
      <c r="F1051" s="37">
        <f>IFERROR(IF(AND(ISNUMBER('Semi OpInc'!J56),ISNUMBER('Semi OpInc'!F56),'Semi OpInc'!F56&gt;0),'Semi OpInc'!J56/'Semi OpInc'!F56-1,""),"")</f>
        <v/>
      </c>
      <c r="G1051" s="37">
        <f>IFERROR(IF(AND(ISNUMBER('Semi OpInc'!K56),ISNUMBER('Semi OpInc'!G56),'Semi OpInc'!G56&gt;0),'Semi OpInc'!K56/'Semi OpInc'!G56-1,""),"")</f>
        <v/>
      </c>
      <c r="H1051" s="37">
        <f>IFERROR(IF(AND(ISNUMBER('Semi OpInc'!L56),ISNUMBER('Semi OpInc'!H56),'Semi OpInc'!H56&gt;0),'Semi OpInc'!L56/'Semi OpInc'!H56-1,""),"")</f>
        <v/>
      </c>
      <c r="I1051" s="37">
        <f>IFERROR(IF(AND(ISNUMBER('Semi OpInc'!M56),ISNUMBER('Semi OpInc'!I56),'Semi OpInc'!I56&gt;0),'Semi OpInc'!M56/'Semi OpInc'!I56-1,""),"")</f>
        <v/>
      </c>
      <c r="J1051" s="37">
        <f>IFERROR(IF(AND(ISNUMBER('Semi OpInc'!N56),ISNUMBER('Semi OpInc'!J56),'Semi OpInc'!J56&gt;0),'Semi OpInc'!N56/'Semi OpInc'!J56-1,""),"")</f>
        <v/>
      </c>
      <c r="K1051" s="37">
        <f>IFERROR(IF(AND(ISNUMBER('Semi OpInc'!O56),ISNUMBER('Semi OpInc'!K56),'Semi OpInc'!K56&gt;0),'Semi OpInc'!O56/'Semi OpInc'!K56-1,""),"")</f>
        <v/>
      </c>
      <c r="L1051" s="37">
        <f>IFERROR(IF(AND(ISNUMBER('Semi OpInc'!P56),ISNUMBER('Semi OpInc'!L56),'Semi OpInc'!L56&gt;0),'Semi OpInc'!P56/'Semi OpInc'!L56-1,""),"")</f>
        <v/>
      </c>
      <c r="M1051" s="38">
        <f>IFERROR(IF(AND(ISNUMBER('Semi OpInc'!Q56),ISNUMBER('Semi OpInc'!M56),'Semi OpInc'!M56&gt;0),'Semi OpInc'!Q56/'Semi OpInc'!M56-1,""),"")</f>
        <v/>
      </c>
      <c r="N1051" s="38">
        <f>IFERROR(IF(AND(ISNUMBER('Semi OpInc'!R56),ISNUMBER('Semi OpInc'!N56),'Semi OpInc'!N56&gt;0),'Semi OpInc'!R56/'Semi OpInc'!N56-1,""),"")</f>
        <v/>
      </c>
    </row>
    <row r="1052">
      <c r="A1052" s="19">
        <f>'Semi Rev'!$A57</f>
        <v/>
      </c>
      <c r="B1052" s="19">
        <f>'Semi Rev'!$B57</f>
        <v/>
      </c>
      <c r="C1052" s="37">
        <f>IFERROR(IF(AND(ISNUMBER('Semi OpInc'!G57),ISNUMBER('Semi OpInc'!C57),'Semi OpInc'!C57&gt;0),'Semi OpInc'!G57/'Semi OpInc'!C57-1,""),"")</f>
        <v/>
      </c>
      <c r="D1052" s="37">
        <f>IFERROR(IF(AND(ISNUMBER('Semi OpInc'!H57),ISNUMBER('Semi OpInc'!D57),'Semi OpInc'!D57&gt;0),'Semi OpInc'!H57/'Semi OpInc'!D57-1,""),"")</f>
        <v/>
      </c>
      <c r="E1052" s="37">
        <f>IFERROR(IF(AND(ISNUMBER('Semi OpInc'!I57),ISNUMBER('Semi OpInc'!E57),'Semi OpInc'!E57&gt;0),'Semi OpInc'!I57/'Semi OpInc'!E57-1,""),"")</f>
        <v/>
      </c>
      <c r="F1052" s="37">
        <f>IFERROR(IF(AND(ISNUMBER('Semi OpInc'!J57),ISNUMBER('Semi OpInc'!F57),'Semi OpInc'!F57&gt;0),'Semi OpInc'!J57/'Semi OpInc'!F57-1,""),"")</f>
        <v/>
      </c>
      <c r="G1052" s="37">
        <f>IFERROR(IF(AND(ISNUMBER('Semi OpInc'!K57),ISNUMBER('Semi OpInc'!G57),'Semi OpInc'!G57&gt;0),'Semi OpInc'!K57/'Semi OpInc'!G57-1,""),"")</f>
        <v/>
      </c>
      <c r="H1052" s="37">
        <f>IFERROR(IF(AND(ISNUMBER('Semi OpInc'!L57),ISNUMBER('Semi OpInc'!H57),'Semi OpInc'!H57&gt;0),'Semi OpInc'!L57/'Semi OpInc'!H57-1,""),"")</f>
        <v/>
      </c>
      <c r="I1052" s="37">
        <f>IFERROR(IF(AND(ISNUMBER('Semi OpInc'!M57),ISNUMBER('Semi OpInc'!I57),'Semi OpInc'!I57&gt;0),'Semi OpInc'!M57/'Semi OpInc'!I57-1,""),"")</f>
        <v/>
      </c>
      <c r="J1052" s="37">
        <f>IFERROR(IF(AND(ISNUMBER('Semi OpInc'!N57),ISNUMBER('Semi OpInc'!J57),'Semi OpInc'!J57&gt;0),'Semi OpInc'!N57/'Semi OpInc'!J57-1,""),"")</f>
        <v/>
      </c>
      <c r="K1052" s="37">
        <f>IFERROR(IF(AND(ISNUMBER('Semi OpInc'!O57),ISNUMBER('Semi OpInc'!K57),'Semi OpInc'!K57&gt;0),'Semi OpInc'!O57/'Semi OpInc'!K57-1,""),"")</f>
        <v/>
      </c>
      <c r="L1052" s="37">
        <f>IFERROR(IF(AND(ISNUMBER('Semi OpInc'!P57),ISNUMBER('Semi OpInc'!L57),'Semi OpInc'!L57&gt;0),'Semi OpInc'!P57/'Semi OpInc'!L57-1,""),"")</f>
        <v/>
      </c>
      <c r="M1052" s="38">
        <f>IFERROR(IF(AND(ISNUMBER('Semi OpInc'!Q57),ISNUMBER('Semi OpInc'!M57),'Semi OpInc'!M57&gt;0),'Semi OpInc'!Q57/'Semi OpInc'!M57-1,""),"")</f>
        <v/>
      </c>
      <c r="N1052" s="38">
        <f>IFERROR(IF(AND(ISNUMBER('Semi OpInc'!R57),ISNUMBER('Semi OpInc'!N57),'Semi OpInc'!N57&gt;0),'Semi OpInc'!R57/'Semi OpInc'!N57-1,""),"")</f>
        <v/>
      </c>
    </row>
    <row r="1053">
      <c r="A1053" s="19">
        <f>'Semi Rev'!$A58</f>
        <v/>
      </c>
      <c r="B1053" s="19">
        <f>'Semi Rev'!$B58</f>
        <v/>
      </c>
      <c r="C1053" s="37">
        <f>IFERROR(IF(AND(ISNUMBER('Semi OpInc'!G58),ISNUMBER('Semi OpInc'!C58),'Semi OpInc'!C58&gt;0),'Semi OpInc'!G58/'Semi OpInc'!C58-1,""),"")</f>
        <v/>
      </c>
      <c r="D1053" s="37">
        <f>IFERROR(IF(AND(ISNUMBER('Semi OpInc'!H58),ISNUMBER('Semi OpInc'!D58),'Semi OpInc'!D58&gt;0),'Semi OpInc'!H58/'Semi OpInc'!D58-1,""),"")</f>
        <v/>
      </c>
      <c r="E1053" s="37">
        <f>IFERROR(IF(AND(ISNUMBER('Semi OpInc'!I58),ISNUMBER('Semi OpInc'!E58),'Semi OpInc'!E58&gt;0),'Semi OpInc'!I58/'Semi OpInc'!E58-1,""),"")</f>
        <v/>
      </c>
      <c r="F1053" s="37">
        <f>IFERROR(IF(AND(ISNUMBER('Semi OpInc'!J58),ISNUMBER('Semi OpInc'!F58),'Semi OpInc'!F58&gt;0),'Semi OpInc'!J58/'Semi OpInc'!F58-1,""),"")</f>
        <v/>
      </c>
      <c r="G1053" s="37">
        <f>IFERROR(IF(AND(ISNUMBER('Semi OpInc'!K58),ISNUMBER('Semi OpInc'!G58),'Semi OpInc'!G58&gt;0),'Semi OpInc'!K58/'Semi OpInc'!G58-1,""),"")</f>
        <v/>
      </c>
      <c r="H1053" s="37">
        <f>IFERROR(IF(AND(ISNUMBER('Semi OpInc'!L58),ISNUMBER('Semi OpInc'!H58),'Semi OpInc'!H58&gt;0),'Semi OpInc'!L58/'Semi OpInc'!H58-1,""),"")</f>
        <v/>
      </c>
      <c r="I1053" s="37">
        <f>IFERROR(IF(AND(ISNUMBER('Semi OpInc'!M58),ISNUMBER('Semi OpInc'!I58),'Semi OpInc'!I58&gt;0),'Semi OpInc'!M58/'Semi OpInc'!I58-1,""),"")</f>
        <v/>
      </c>
      <c r="J1053" s="37">
        <f>IFERROR(IF(AND(ISNUMBER('Semi OpInc'!N58),ISNUMBER('Semi OpInc'!J58),'Semi OpInc'!J58&gt;0),'Semi OpInc'!N58/'Semi OpInc'!J58-1,""),"")</f>
        <v/>
      </c>
      <c r="K1053" s="37">
        <f>IFERROR(IF(AND(ISNUMBER('Semi OpInc'!O58),ISNUMBER('Semi OpInc'!K58),'Semi OpInc'!K58&gt;0),'Semi OpInc'!O58/'Semi OpInc'!K58-1,""),"")</f>
        <v/>
      </c>
      <c r="L1053" s="37">
        <f>IFERROR(IF(AND(ISNUMBER('Semi OpInc'!P58),ISNUMBER('Semi OpInc'!L58),'Semi OpInc'!L58&gt;0),'Semi OpInc'!P58/'Semi OpInc'!L58-1,""),"")</f>
        <v/>
      </c>
      <c r="M1053" s="38">
        <f>IFERROR(IF(AND(ISNUMBER('Semi OpInc'!Q58),ISNUMBER('Semi OpInc'!M58),'Semi OpInc'!M58&gt;0),'Semi OpInc'!Q58/'Semi OpInc'!M58-1,""),"")</f>
        <v/>
      </c>
      <c r="N1053" s="38">
        <f>IFERROR(IF(AND(ISNUMBER('Semi OpInc'!R58),ISNUMBER('Semi OpInc'!N58),'Semi OpInc'!N58&gt;0),'Semi OpInc'!R58/'Semi OpInc'!N58-1,""),"")</f>
        <v/>
      </c>
    </row>
    <row r="1054">
      <c r="A1054" s="19">
        <f>'Semi Rev'!$A59</f>
        <v/>
      </c>
      <c r="B1054" s="19">
        <f>'Semi Rev'!$B59</f>
        <v/>
      </c>
      <c r="C1054" s="37">
        <f>IFERROR(IF(AND(ISNUMBER('Semi OpInc'!G59),ISNUMBER('Semi OpInc'!C59),'Semi OpInc'!C59&gt;0),'Semi OpInc'!G59/'Semi OpInc'!C59-1,""),"")</f>
        <v/>
      </c>
      <c r="D1054" s="37">
        <f>IFERROR(IF(AND(ISNUMBER('Semi OpInc'!H59),ISNUMBER('Semi OpInc'!D59),'Semi OpInc'!D59&gt;0),'Semi OpInc'!H59/'Semi OpInc'!D59-1,""),"")</f>
        <v/>
      </c>
      <c r="E1054" s="37">
        <f>IFERROR(IF(AND(ISNUMBER('Semi OpInc'!I59),ISNUMBER('Semi OpInc'!E59),'Semi OpInc'!E59&gt;0),'Semi OpInc'!I59/'Semi OpInc'!E59-1,""),"")</f>
        <v/>
      </c>
      <c r="F1054" s="37">
        <f>IFERROR(IF(AND(ISNUMBER('Semi OpInc'!J59),ISNUMBER('Semi OpInc'!F59),'Semi OpInc'!F59&gt;0),'Semi OpInc'!J59/'Semi OpInc'!F59-1,""),"")</f>
        <v/>
      </c>
      <c r="G1054" s="37">
        <f>IFERROR(IF(AND(ISNUMBER('Semi OpInc'!K59),ISNUMBER('Semi OpInc'!G59),'Semi OpInc'!G59&gt;0),'Semi OpInc'!K59/'Semi OpInc'!G59-1,""),"")</f>
        <v/>
      </c>
      <c r="H1054" s="37">
        <f>IFERROR(IF(AND(ISNUMBER('Semi OpInc'!L59),ISNUMBER('Semi OpInc'!H59),'Semi OpInc'!H59&gt;0),'Semi OpInc'!L59/'Semi OpInc'!H59-1,""),"")</f>
        <v/>
      </c>
      <c r="I1054" s="37">
        <f>IFERROR(IF(AND(ISNUMBER('Semi OpInc'!M59),ISNUMBER('Semi OpInc'!I59),'Semi OpInc'!I59&gt;0),'Semi OpInc'!M59/'Semi OpInc'!I59-1,""),"")</f>
        <v/>
      </c>
      <c r="J1054" s="37">
        <f>IFERROR(IF(AND(ISNUMBER('Semi OpInc'!N59),ISNUMBER('Semi OpInc'!J59),'Semi OpInc'!J59&gt;0),'Semi OpInc'!N59/'Semi OpInc'!J59-1,""),"")</f>
        <v/>
      </c>
      <c r="K1054" s="37">
        <f>IFERROR(IF(AND(ISNUMBER('Semi OpInc'!O59),ISNUMBER('Semi OpInc'!K59),'Semi OpInc'!K59&gt;0),'Semi OpInc'!O59/'Semi OpInc'!K59-1,""),"")</f>
        <v/>
      </c>
      <c r="L1054" s="37">
        <f>IFERROR(IF(AND(ISNUMBER('Semi OpInc'!P59),ISNUMBER('Semi OpInc'!L59),'Semi OpInc'!L59&gt;0),'Semi OpInc'!P59/'Semi OpInc'!L59-1,""),"")</f>
        <v/>
      </c>
      <c r="M1054" s="38">
        <f>IFERROR(IF(AND(ISNUMBER('Semi OpInc'!Q59),ISNUMBER('Semi OpInc'!M59),'Semi OpInc'!M59&gt;0),'Semi OpInc'!Q59/'Semi OpInc'!M59-1,""),"")</f>
        <v/>
      </c>
      <c r="N1054" s="38">
        <f>IFERROR(IF(AND(ISNUMBER('Semi OpInc'!R59),ISNUMBER('Semi OpInc'!N59),'Semi OpInc'!N59&gt;0),'Semi OpInc'!R59/'Semi OpInc'!N59-1,""),"")</f>
        <v/>
      </c>
    </row>
    <row r="1055">
      <c r="A1055" s="19">
        <f>'Semi Rev'!$A60</f>
        <v/>
      </c>
      <c r="B1055" s="19">
        <f>'Semi Rev'!$B60</f>
        <v/>
      </c>
      <c r="C1055" s="37">
        <f>IFERROR(IF(AND(ISNUMBER('Semi OpInc'!G60),ISNUMBER('Semi OpInc'!C60),'Semi OpInc'!C60&gt;0),'Semi OpInc'!G60/'Semi OpInc'!C60-1,""),"")</f>
        <v/>
      </c>
      <c r="D1055" s="37">
        <f>IFERROR(IF(AND(ISNUMBER('Semi OpInc'!H60),ISNUMBER('Semi OpInc'!D60),'Semi OpInc'!D60&gt;0),'Semi OpInc'!H60/'Semi OpInc'!D60-1,""),"")</f>
        <v/>
      </c>
      <c r="E1055" s="37">
        <f>IFERROR(IF(AND(ISNUMBER('Semi OpInc'!I60),ISNUMBER('Semi OpInc'!E60),'Semi OpInc'!E60&gt;0),'Semi OpInc'!I60/'Semi OpInc'!E60-1,""),"")</f>
        <v/>
      </c>
      <c r="F1055" s="37">
        <f>IFERROR(IF(AND(ISNUMBER('Semi OpInc'!J60),ISNUMBER('Semi OpInc'!F60),'Semi OpInc'!F60&gt;0),'Semi OpInc'!J60/'Semi OpInc'!F60-1,""),"")</f>
        <v/>
      </c>
      <c r="G1055" s="37">
        <f>IFERROR(IF(AND(ISNUMBER('Semi OpInc'!K60),ISNUMBER('Semi OpInc'!G60),'Semi OpInc'!G60&gt;0),'Semi OpInc'!K60/'Semi OpInc'!G60-1,""),"")</f>
        <v/>
      </c>
      <c r="H1055" s="37">
        <f>IFERROR(IF(AND(ISNUMBER('Semi OpInc'!L60),ISNUMBER('Semi OpInc'!H60),'Semi OpInc'!H60&gt;0),'Semi OpInc'!L60/'Semi OpInc'!H60-1,""),"")</f>
        <v/>
      </c>
      <c r="I1055" s="37">
        <f>IFERROR(IF(AND(ISNUMBER('Semi OpInc'!M60),ISNUMBER('Semi OpInc'!I60),'Semi OpInc'!I60&gt;0),'Semi OpInc'!M60/'Semi OpInc'!I60-1,""),"")</f>
        <v/>
      </c>
      <c r="J1055" s="37">
        <f>IFERROR(IF(AND(ISNUMBER('Semi OpInc'!N60),ISNUMBER('Semi OpInc'!J60),'Semi OpInc'!J60&gt;0),'Semi OpInc'!N60/'Semi OpInc'!J60-1,""),"")</f>
        <v/>
      </c>
      <c r="K1055" s="37">
        <f>IFERROR(IF(AND(ISNUMBER('Semi OpInc'!O60),ISNUMBER('Semi OpInc'!K60),'Semi OpInc'!K60&gt;0),'Semi OpInc'!O60/'Semi OpInc'!K60-1,""),"")</f>
        <v/>
      </c>
      <c r="L1055" s="37">
        <f>IFERROR(IF(AND(ISNUMBER('Semi OpInc'!P60),ISNUMBER('Semi OpInc'!L60),'Semi OpInc'!L60&gt;0),'Semi OpInc'!P60/'Semi OpInc'!L60-1,""),"")</f>
        <v/>
      </c>
      <c r="M1055" s="38">
        <f>IFERROR(IF(AND(ISNUMBER('Semi OpInc'!Q60),ISNUMBER('Semi OpInc'!M60),'Semi OpInc'!M60&gt;0),'Semi OpInc'!Q60/'Semi OpInc'!M60-1,""),"")</f>
        <v/>
      </c>
      <c r="N1055" s="38">
        <f>IFERROR(IF(AND(ISNUMBER('Semi OpInc'!R60),ISNUMBER('Semi OpInc'!N60),'Semi OpInc'!N60&gt;0),'Semi OpInc'!R60/'Semi OpInc'!N60-1,""),"")</f>
        <v/>
      </c>
    </row>
    <row r="1056">
      <c r="A1056" s="19">
        <f>'Semi Rev'!$A61</f>
        <v/>
      </c>
      <c r="B1056" s="19">
        <f>'Semi Rev'!$B61</f>
        <v/>
      </c>
      <c r="C1056" s="37">
        <f>IFERROR(IF(AND(ISNUMBER('Semi OpInc'!G61),ISNUMBER('Semi OpInc'!C61),'Semi OpInc'!C61&gt;0),'Semi OpInc'!G61/'Semi OpInc'!C61-1,""),"")</f>
        <v/>
      </c>
      <c r="D1056" s="37">
        <f>IFERROR(IF(AND(ISNUMBER('Semi OpInc'!H61),ISNUMBER('Semi OpInc'!D61),'Semi OpInc'!D61&gt;0),'Semi OpInc'!H61/'Semi OpInc'!D61-1,""),"")</f>
        <v/>
      </c>
      <c r="E1056" s="37">
        <f>IFERROR(IF(AND(ISNUMBER('Semi OpInc'!I61),ISNUMBER('Semi OpInc'!E61),'Semi OpInc'!E61&gt;0),'Semi OpInc'!I61/'Semi OpInc'!E61-1,""),"")</f>
        <v/>
      </c>
      <c r="F1056" s="37">
        <f>IFERROR(IF(AND(ISNUMBER('Semi OpInc'!J61),ISNUMBER('Semi OpInc'!F61),'Semi OpInc'!F61&gt;0),'Semi OpInc'!J61/'Semi OpInc'!F61-1,""),"")</f>
        <v/>
      </c>
      <c r="G1056" s="37">
        <f>IFERROR(IF(AND(ISNUMBER('Semi OpInc'!K61),ISNUMBER('Semi OpInc'!G61),'Semi OpInc'!G61&gt;0),'Semi OpInc'!K61/'Semi OpInc'!G61-1,""),"")</f>
        <v/>
      </c>
      <c r="H1056" s="37">
        <f>IFERROR(IF(AND(ISNUMBER('Semi OpInc'!L61),ISNUMBER('Semi OpInc'!H61),'Semi OpInc'!H61&gt;0),'Semi OpInc'!L61/'Semi OpInc'!H61-1,""),"")</f>
        <v/>
      </c>
      <c r="I1056" s="37">
        <f>IFERROR(IF(AND(ISNUMBER('Semi OpInc'!M61),ISNUMBER('Semi OpInc'!I61),'Semi OpInc'!I61&gt;0),'Semi OpInc'!M61/'Semi OpInc'!I61-1,""),"")</f>
        <v/>
      </c>
      <c r="J1056" s="37">
        <f>IFERROR(IF(AND(ISNUMBER('Semi OpInc'!N61),ISNUMBER('Semi OpInc'!J61),'Semi OpInc'!J61&gt;0),'Semi OpInc'!N61/'Semi OpInc'!J61-1,""),"")</f>
        <v/>
      </c>
      <c r="K1056" s="37">
        <f>IFERROR(IF(AND(ISNUMBER('Semi OpInc'!O61),ISNUMBER('Semi OpInc'!K61),'Semi OpInc'!K61&gt;0),'Semi OpInc'!O61/'Semi OpInc'!K61-1,""),"")</f>
        <v/>
      </c>
      <c r="L1056" s="37">
        <f>IFERROR(IF(AND(ISNUMBER('Semi OpInc'!P61),ISNUMBER('Semi OpInc'!L61),'Semi OpInc'!L61&gt;0),'Semi OpInc'!P61/'Semi OpInc'!L61-1,""),"")</f>
        <v/>
      </c>
      <c r="M1056" s="38">
        <f>IFERROR(IF(AND(ISNUMBER('Semi OpInc'!Q61),ISNUMBER('Semi OpInc'!M61),'Semi OpInc'!M61&gt;0),'Semi OpInc'!Q61/'Semi OpInc'!M61-1,""),"")</f>
        <v/>
      </c>
      <c r="N1056" s="38">
        <f>IFERROR(IF(AND(ISNUMBER('Semi OpInc'!R61),ISNUMBER('Semi OpInc'!N61),'Semi OpInc'!N61&gt;0),'Semi OpInc'!R61/'Semi OpInc'!N61-1,""),"")</f>
        <v/>
      </c>
    </row>
    <row r="1057">
      <c r="A1057" s="19">
        <f>'Semi Rev'!$A62</f>
        <v/>
      </c>
      <c r="B1057" s="19">
        <f>'Semi Rev'!$B62</f>
        <v/>
      </c>
      <c r="C1057" s="37">
        <f>IFERROR(IF(AND(ISNUMBER('Semi OpInc'!G62),ISNUMBER('Semi OpInc'!C62),'Semi OpInc'!C62&gt;0),'Semi OpInc'!G62/'Semi OpInc'!C62-1,""),"")</f>
        <v/>
      </c>
      <c r="D1057" s="37">
        <f>IFERROR(IF(AND(ISNUMBER('Semi OpInc'!H62),ISNUMBER('Semi OpInc'!D62),'Semi OpInc'!D62&gt;0),'Semi OpInc'!H62/'Semi OpInc'!D62-1,""),"")</f>
        <v/>
      </c>
      <c r="E1057" s="37">
        <f>IFERROR(IF(AND(ISNUMBER('Semi OpInc'!I62),ISNUMBER('Semi OpInc'!E62),'Semi OpInc'!E62&gt;0),'Semi OpInc'!I62/'Semi OpInc'!E62-1,""),"")</f>
        <v/>
      </c>
      <c r="F1057" s="37">
        <f>IFERROR(IF(AND(ISNUMBER('Semi OpInc'!J62),ISNUMBER('Semi OpInc'!F62),'Semi OpInc'!F62&gt;0),'Semi OpInc'!J62/'Semi OpInc'!F62-1,""),"")</f>
        <v/>
      </c>
      <c r="G1057" s="37">
        <f>IFERROR(IF(AND(ISNUMBER('Semi OpInc'!K62),ISNUMBER('Semi OpInc'!G62),'Semi OpInc'!G62&gt;0),'Semi OpInc'!K62/'Semi OpInc'!G62-1,""),"")</f>
        <v/>
      </c>
      <c r="H1057" s="37">
        <f>IFERROR(IF(AND(ISNUMBER('Semi OpInc'!L62),ISNUMBER('Semi OpInc'!H62),'Semi OpInc'!H62&gt;0),'Semi OpInc'!L62/'Semi OpInc'!H62-1,""),"")</f>
        <v/>
      </c>
      <c r="I1057" s="37">
        <f>IFERROR(IF(AND(ISNUMBER('Semi OpInc'!M62),ISNUMBER('Semi OpInc'!I62),'Semi OpInc'!I62&gt;0),'Semi OpInc'!M62/'Semi OpInc'!I62-1,""),"")</f>
        <v/>
      </c>
      <c r="J1057" s="37">
        <f>IFERROR(IF(AND(ISNUMBER('Semi OpInc'!N62),ISNUMBER('Semi OpInc'!J62),'Semi OpInc'!J62&gt;0),'Semi OpInc'!N62/'Semi OpInc'!J62-1,""),"")</f>
        <v/>
      </c>
      <c r="K1057" s="37">
        <f>IFERROR(IF(AND(ISNUMBER('Semi OpInc'!O62),ISNUMBER('Semi OpInc'!K62),'Semi OpInc'!K62&gt;0),'Semi OpInc'!O62/'Semi OpInc'!K62-1,""),"")</f>
        <v/>
      </c>
      <c r="L1057" s="37">
        <f>IFERROR(IF(AND(ISNUMBER('Semi OpInc'!P62),ISNUMBER('Semi OpInc'!L62),'Semi OpInc'!L62&gt;0),'Semi OpInc'!P62/'Semi OpInc'!L62-1,""),"")</f>
        <v/>
      </c>
      <c r="M1057" s="38">
        <f>IFERROR(IF(AND(ISNUMBER('Semi OpInc'!Q62),ISNUMBER('Semi OpInc'!M62),'Semi OpInc'!M62&gt;0),'Semi OpInc'!Q62/'Semi OpInc'!M62-1,""),"")</f>
        <v/>
      </c>
      <c r="N1057" s="38">
        <f>IFERROR(IF(AND(ISNUMBER('Semi OpInc'!R62),ISNUMBER('Semi OpInc'!N62),'Semi OpInc'!N62&gt;0),'Semi OpInc'!R62/'Semi OpInc'!N62-1,""),"")</f>
        <v/>
      </c>
    </row>
    <row r="1058">
      <c r="A1058" s="19">
        <f>'Semi Rev'!$A63</f>
        <v/>
      </c>
      <c r="B1058" s="19">
        <f>'Semi Rev'!$B63</f>
        <v/>
      </c>
      <c r="C1058" s="37">
        <f>IFERROR(IF(AND(ISNUMBER('Semi OpInc'!G63),ISNUMBER('Semi OpInc'!C63),'Semi OpInc'!C63&gt;0),'Semi OpInc'!G63/'Semi OpInc'!C63-1,""),"")</f>
        <v/>
      </c>
      <c r="D1058" s="37">
        <f>IFERROR(IF(AND(ISNUMBER('Semi OpInc'!H63),ISNUMBER('Semi OpInc'!D63),'Semi OpInc'!D63&gt;0),'Semi OpInc'!H63/'Semi OpInc'!D63-1,""),"")</f>
        <v/>
      </c>
      <c r="E1058" s="37">
        <f>IFERROR(IF(AND(ISNUMBER('Semi OpInc'!I63),ISNUMBER('Semi OpInc'!E63),'Semi OpInc'!E63&gt;0),'Semi OpInc'!I63/'Semi OpInc'!E63-1,""),"")</f>
        <v/>
      </c>
      <c r="F1058" s="37">
        <f>IFERROR(IF(AND(ISNUMBER('Semi OpInc'!J63),ISNUMBER('Semi OpInc'!F63),'Semi OpInc'!F63&gt;0),'Semi OpInc'!J63/'Semi OpInc'!F63-1,""),"")</f>
        <v/>
      </c>
      <c r="G1058" s="37">
        <f>IFERROR(IF(AND(ISNUMBER('Semi OpInc'!K63),ISNUMBER('Semi OpInc'!G63),'Semi OpInc'!G63&gt;0),'Semi OpInc'!K63/'Semi OpInc'!G63-1,""),"")</f>
        <v/>
      </c>
      <c r="H1058" s="37">
        <f>IFERROR(IF(AND(ISNUMBER('Semi OpInc'!L63),ISNUMBER('Semi OpInc'!H63),'Semi OpInc'!H63&gt;0),'Semi OpInc'!L63/'Semi OpInc'!H63-1,""),"")</f>
        <v/>
      </c>
      <c r="I1058" s="37">
        <f>IFERROR(IF(AND(ISNUMBER('Semi OpInc'!M63),ISNUMBER('Semi OpInc'!I63),'Semi OpInc'!I63&gt;0),'Semi OpInc'!M63/'Semi OpInc'!I63-1,""),"")</f>
        <v/>
      </c>
      <c r="J1058" s="37">
        <f>IFERROR(IF(AND(ISNUMBER('Semi OpInc'!N63),ISNUMBER('Semi OpInc'!J63),'Semi OpInc'!J63&gt;0),'Semi OpInc'!N63/'Semi OpInc'!J63-1,""),"")</f>
        <v/>
      </c>
      <c r="K1058" s="37">
        <f>IFERROR(IF(AND(ISNUMBER('Semi OpInc'!O63),ISNUMBER('Semi OpInc'!K63),'Semi OpInc'!K63&gt;0),'Semi OpInc'!O63/'Semi OpInc'!K63-1,""),"")</f>
        <v/>
      </c>
      <c r="L1058" s="37">
        <f>IFERROR(IF(AND(ISNUMBER('Semi OpInc'!P63),ISNUMBER('Semi OpInc'!L63),'Semi OpInc'!L63&gt;0),'Semi OpInc'!P63/'Semi OpInc'!L63-1,""),"")</f>
        <v/>
      </c>
      <c r="M1058" s="38">
        <f>IFERROR(IF(AND(ISNUMBER('Semi OpInc'!Q63),ISNUMBER('Semi OpInc'!M63),'Semi OpInc'!M63&gt;0),'Semi OpInc'!Q63/'Semi OpInc'!M63-1,""),"")</f>
        <v/>
      </c>
      <c r="N1058" s="38">
        <f>IFERROR(IF(AND(ISNUMBER('Semi OpInc'!R63),ISNUMBER('Semi OpInc'!N63),'Semi OpInc'!N63&gt;0),'Semi OpInc'!R63/'Semi OpInc'!N63-1,""),"")</f>
        <v/>
      </c>
    </row>
    <row r="1059">
      <c r="A1059" s="19">
        <f>'Semi Rev'!$A64</f>
        <v/>
      </c>
      <c r="B1059" s="19">
        <f>'Semi Rev'!$B64</f>
        <v/>
      </c>
      <c r="C1059" s="37">
        <f>IFERROR(IF(AND(ISNUMBER('Semi OpInc'!G64),ISNUMBER('Semi OpInc'!C64),'Semi OpInc'!C64&gt;0),'Semi OpInc'!G64/'Semi OpInc'!C64-1,""),"")</f>
        <v/>
      </c>
      <c r="D1059" s="37">
        <f>IFERROR(IF(AND(ISNUMBER('Semi OpInc'!H64),ISNUMBER('Semi OpInc'!D64),'Semi OpInc'!D64&gt;0),'Semi OpInc'!H64/'Semi OpInc'!D64-1,""),"")</f>
        <v/>
      </c>
      <c r="E1059" s="37">
        <f>IFERROR(IF(AND(ISNUMBER('Semi OpInc'!I64),ISNUMBER('Semi OpInc'!E64),'Semi OpInc'!E64&gt;0),'Semi OpInc'!I64/'Semi OpInc'!E64-1,""),"")</f>
        <v/>
      </c>
      <c r="F1059" s="37">
        <f>IFERROR(IF(AND(ISNUMBER('Semi OpInc'!J64),ISNUMBER('Semi OpInc'!F64),'Semi OpInc'!F64&gt;0),'Semi OpInc'!J64/'Semi OpInc'!F64-1,""),"")</f>
        <v/>
      </c>
      <c r="G1059" s="37">
        <f>IFERROR(IF(AND(ISNUMBER('Semi OpInc'!K64),ISNUMBER('Semi OpInc'!G64),'Semi OpInc'!G64&gt;0),'Semi OpInc'!K64/'Semi OpInc'!G64-1,""),"")</f>
        <v/>
      </c>
      <c r="H1059" s="37">
        <f>IFERROR(IF(AND(ISNUMBER('Semi OpInc'!L64),ISNUMBER('Semi OpInc'!H64),'Semi OpInc'!H64&gt;0),'Semi OpInc'!L64/'Semi OpInc'!H64-1,""),"")</f>
        <v/>
      </c>
      <c r="I1059" s="37">
        <f>IFERROR(IF(AND(ISNUMBER('Semi OpInc'!M64),ISNUMBER('Semi OpInc'!I64),'Semi OpInc'!I64&gt;0),'Semi OpInc'!M64/'Semi OpInc'!I64-1,""),"")</f>
        <v/>
      </c>
      <c r="J1059" s="37">
        <f>IFERROR(IF(AND(ISNUMBER('Semi OpInc'!N64),ISNUMBER('Semi OpInc'!J64),'Semi OpInc'!J64&gt;0),'Semi OpInc'!N64/'Semi OpInc'!J64-1,""),"")</f>
        <v/>
      </c>
      <c r="K1059" s="37">
        <f>IFERROR(IF(AND(ISNUMBER('Semi OpInc'!O64),ISNUMBER('Semi OpInc'!K64),'Semi OpInc'!K64&gt;0),'Semi OpInc'!O64/'Semi OpInc'!K64-1,""),"")</f>
        <v/>
      </c>
      <c r="L1059" s="37">
        <f>IFERROR(IF(AND(ISNUMBER('Semi OpInc'!P64),ISNUMBER('Semi OpInc'!L64),'Semi OpInc'!L64&gt;0),'Semi OpInc'!P64/'Semi OpInc'!L64-1,""),"")</f>
        <v/>
      </c>
      <c r="M1059" s="38">
        <f>IFERROR(IF(AND(ISNUMBER('Semi OpInc'!Q64),ISNUMBER('Semi OpInc'!M64),'Semi OpInc'!M64&gt;0),'Semi OpInc'!Q64/'Semi OpInc'!M64-1,""),"")</f>
        <v/>
      </c>
      <c r="N1059" s="38">
        <f>IFERROR(IF(AND(ISNUMBER('Semi OpInc'!R64),ISNUMBER('Semi OpInc'!N64),'Semi OpInc'!N64&gt;0),'Semi OpInc'!R64/'Semi OpInc'!N64-1,""),"")</f>
        <v/>
      </c>
    </row>
    <row r="1060">
      <c r="A1060" s="19">
        <f>'Semi Rev'!$A65</f>
        <v/>
      </c>
      <c r="B1060" s="19">
        <f>'Semi Rev'!$B65</f>
        <v/>
      </c>
      <c r="C1060" s="37">
        <f>IFERROR(IF(AND(ISNUMBER('Semi OpInc'!G65),ISNUMBER('Semi OpInc'!C65),'Semi OpInc'!C65&gt;0),'Semi OpInc'!G65/'Semi OpInc'!C65-1,""),"")</f>
        <v/>
      </c>
      <c r="D1060" s="37">
        <f>IFERROR(IF(AND(ISNUMBER('Semi OpInc'!H65),ISNUMBER('Semi OpInc'!D65),'Semi OpInc'!D65&gt;0),'Semi OpInc'!H65/'Semi OpInc'!D65-1,""),"")</f>
        <v/>
      </c>
      <c r="E1060" s="37">
        <f>IFERROR(IF(AND(ISNUMBER('Semi OpInc'!I65),ISNUMBER('Semi OpInc'!E65),'Semi OpInc'!E65&gt;0),'Semi OpInc'!I65/'Semi OpInc'!E65-1,""),"")</f>
        <v/>
      </c>
      <c r="F1060" s="37">
        <f>IFERROR(IF(AND(ISNUMBER('Semi OpInc'!J65),ISNUMBER('Semi OpInc'!F65),'Semi OpInc'!F65&gt;0),'Semi OpInc'!J65/'Semi OpInc'!F65-1,""),"")</f>
        <v/>
      </c>
      <c r="G1060" s="37">
        <f>IFERROR(IF(AND(ISNUMBER('Semi OpInc'!K65),ISNUMBER('Semi OpInc'!G65),'Semi OpInc'!G65&gt;0),'Semi OpInc'!K65/'Semi OpInc'!G65-1,""),"")</f>
        <v/>
      </c>
      <c r="H1060" s="37">
        <f>IFERROR(IF(AND(ISNUMBER('Semi OpInc'!L65),ISNUMBER('Semi OpInc'!H65),'Semi OpInc'!H65&gt;0),'Semi OpInc'!L65/'Semi OpInc'!H65-1,""),"")</f>
        <v/>
      </c>
      <c r="I1060" s="37">
        <f>IFERROR(IF(AND(ISNUMBER('Semi OpInc'!M65),ISNUMBER('Semi OpInc'!I65),'Semi OpInc'!I65&gt;0),'Semi OpInc'!M65/'Semi OpInc'!I65-1,""),"")</f>
        <v/>
      </c>
      <c r="J1060" s="37">
        <f>IFERROR(IF(AND(ISNUMBER('Semi OpInc'!N65),ISNUMBER('Semi OpInc'!J65),'Semi OpInc'!J65&gt;0),'Semi OpInc'!N65/'Semi OpInc'!J65-1,""),"")</f>
        <v/>
      </c>
      <c r="K1060" s="37">
        <f>IFERROR(IF(AND(ISNUMBER('Semi OpInc'!O65),ISNUMBER('Semi OpInc'!K65),'Semi OpInc'!K65&gt;0),'Semi OpInc'!O65/'Semi OpInc'!K65-1,""),"")</f>
        <v/>
      </c>
      <c r="L1060" s="37">
        <f>IFERROR(IF(AND(ISNUMBER('Semi OpInc'!P65),ISNUMBER('Semi OpInc'!L65),'Semi OpInc'!L65&gt;0),'Semi OpInc'!P65/'Semi OpInc'!L65-1,""),"")</f>
        <v/>
      </c>
      <c r="M1060" s="38">
        <f>IFERROR(IF(AND(ISNUMBER('Semi OpInc'!Q65),ISNUMBER('Semi OpInc'!M65),'Semi OpInc'!M65&gt;0),'Semi OpInc'!Q65/'Semi OpInc'!M65-1,""),"")</f>
        <v/>
      </c>
      <c r="N1060" s="38">
        <f>IFERROR(IF(AND(ISNUMBER('Semi OpInc'!R65),ISNUMBER('Semi OpInc'!N65),'Semi OpInc'!N65&gt;0),'Semi OpInc'!R65/'Semi OpInc'!N65-1,""),"")</f>
        <v/>
      </c>
    </row>
    <row r="1061">
      <c r="A1061" s="19">
        <f>'Semi Rev'!$A66</f>
        <v/>
      </c>
      <c r="B1061" s="19">
        <f>'Semi Rev'!$B66</f>
        <v/>
      </c>
      <c r="C1061" s="37">
        <f>IFERROR(IF(AND(ISNUMBER('Semi OpInc'!G66),ISNUMBER('Semi OpInc'!C66),'Semi OpInc'!C66&gt;0),'Semi OpInc'!G66/'Semi OpInc'!C66-1,""),"")</f>
        <v/>
      </c>
      <c r="D1061" s="37">
        <f>IFERROR(IF(AND(ISNUMBER('Semi OpInc'!H66),ISNUMBER('Semi OpInc'!D66),'Semi OpInc'!D66&gt;0),'Semi OpInc'!H66/'Semi OpInc'!D66-1,""),"")</f>
        <v/>
      </c>
      <c r="E1061" s="37">
        <f>IFERROR(IF(AND(ISNUMBER('Semi OpInc'!I66),ISNUMBER('Semi OpInc'!E66),'Semi OpInc'!E66&gt;0),'Semi OpInc'!I66/'Semi OpInc'!E66-1,""),"")</f>
        <v/>
      </c>
      <c r="F1061" s="37">
        <f>IFERROR(IF(AND(ISNUMBER('Semi OpInc'!J66),ISNUMBER('Semi OpInc'!F66),'Semi OpInc'!F66&gt;0),'Semi OpInc'!J66/'Semi OpInc'!F66-1,""),"")</f>
        <v/>
      </c>
      <c r="G1061" s="37">
        <f>IFERROR(IF(AND(ISNUMBER('Semi OpInc'!K66),ISNUMBER('Semi OpInc'!G66),'Semi OpInc'!G66&gt;0),'Semi OpInc'!K66/'Semi OpInc'!G66-1,""),"")</f>
        <v/>
      </c>
      <c r="H1061" s="37">
        <f>IFERROR(IF(AND(ISNUMBER('Semi OpInc'!L66),ISNUMBER('Semi OpInc'!H66),'Semi OpInc'!H66&gt;0),'Semi OpInc'!L66/'Semi OpInc'!H66-1,""),"")</f>
        <v/>
      </c>
      <c r="I1061" s="37">
        <f>IFERROR(IF(AND(ISNUMBER('Semi OpInc'!M66),ISNUMBER('Semi OpInc'!I66),'Semi OpInc'!I66&gt;0),'Semi OpInc'!M66/'Semi OpInc'!I66-1,""),"")</f>
        <v/>
      </c>
      <c r="J1061" s="37">
        <f>IFERROR(IF(AND(ISNUMBER('Semi OpInc'!N66),ISNUMBER('Semi OpInc'!J66),'Semi OpInc'!J66&gt;0),'Semi OpInc'!N66/'Semi OpInc'!J66-1,""),"")</f>
        <v/>
      </c>
      <c r="K1061" s="37">
        <f>IFERROR(IF(AND(ISNUMBER('Semi OpInc'!O66),ISNUMBER('Semi OpInc'!K66),'Semi OpInc'!K66&gt;0),'Semi OpInc'!O66/'Semi OpInc'!K66-1,""),"")</f>
        <v/>
      </c>
      <c r="L1061" s="37">
        <f>IFERROR(IF(AND(ISNUMBER('Semi OpInc'!P66),ISNUMBER('Semi OpInc'!L66),'Semi OpInc'!L66&gt;0),'Semi OpInc'!P66/'Semi OpInc'!L66-1,""),"")</f>
        <v/>
      </c>
      <c r="M1061" s="38">
        <f>IFERROR(IF(AND(ISNUMBER('Semi OpInc'!Q66),ISNUMBER('Semi OpInc'!M66),'Semi OpInc'!M66&gt;0),'Semi OpInc'!Q66/'Semi OpInc'!M66-1,""),"")</f>
        <v/>
      </c>
      <c r="N1061" s="38">
        <f>IFERROR(IF(AND(ISNUMBER('Semi OpInc'!R66),ISNUMBER('Semi OpInc'!N66),'Semi OpInc'!N66&gt;0),'Semi OpInc'!R66/'Semi OpInc'!N66-1,""),"")</f>
        <v/>
      </c>
    </row>
    <row r="1062">
      <c r="A1062" s="19">
        <f>'Semi Rev'!$A67</f>
        <v/>
      </c>
      <c r="B1062" s="19">
        <f>'Semi Rev'!$B67</f>
        <v/>
      </c>
      <c r="C1062" s="37">
        <f>IFERROR(IF(AND(ISNUMBER('Semi OpInc'!G67),ISNUMBER('Semi OpInc'!C67),'Semi OpInc'!C67&gt;0),'Semi OpInc'!G67/'Semi OpInc'!C67-1,""),"")</f>
        <v/>
      </c>
      <c r="D1062" s="37">
        <f>IFERROR(IF(AND(ISNUMBER('Semi OpInc'!H67),ISNUMBER('Semi OpInc'!D67),'Semi OpInc'!D67&gt;0),'Semi OpInc'!H67/'Semi OpInc'!D67-1,""),"")</f>
        <v/>
      </c>
      <c r="E1062" s="37">
        <f>IFERROR(IF(AND(ISNUMBER('Semi OpInc'!I67),ISNUMBER('Semi OpInc'!E67),'Semi OpInc'!E67&gt;0),'Semi OpInc'!I67/'Semi OpInc'!E67-1,""),"")</f>
        <v/>
      </c>
      <c r="F1062" s="37">
        <f>IFERROR(IF(AND(ISNUMBER('Semi OpInc'!J67),ISNUMBER('Semi OpInc'!F67),'Semi OpInc'!F67&gt;0),'Semi OpInc'!J67/'Semi OpInc'!F67-1,""),"")</f>
        <v/>
      </c>
      <c r="G1062" s="37">
        <f>IFERROR(IF(AND(ISNUMBER('Semi OpInc'!K67),ISNUMBER('Semi OpInc'!G67),'Semi OpInc'!G67&gt;0),'Semi OpInc'!K67/'Semi OpInc'!G67-1,""),"")</f>
        <v/>
      </c>
      <c r="H1062" s="37">
        <f>IFERROR(IF(AND(ISNUMBER('Semi OpInc'!L67),ISNUMBER('Semi OpInc'!H67),'Semi OpInc'!H67&gt;0),'Semi OpInc'!L67/'Semi OpInc'!H67-1,""),"")</f>
        <v/>
      </c>
      <c r="I1062" s="37">
        <f>IFERROR(IF(AND(ISNUMBER('Semi OpInc'!M67),ISNUMBER('Semi OpInc'!I67),'Semi OpInc'!I67&gt;0),'Semi OpInc'!M67/'Semi OpInc'!I67-1,""),"")</f>
        <v/>
      </c>
      <c r="J1062" s="37">
        <f>IFERROR(IF(AND(ISNUMBER('Semi OpInc'!N67),ISNUMBER('Semi OpInc'!J67),'Semi OpInc'!J67&gt;0),'Semi OpInc'!N67/'Semi OpInc'!J67-1,""),"")</f>
        <v/>
      </c>
      <c r="K1062" s="37">
        <f>IFERROR(IF(AND(ISNUMBER('Semi OpInc'!O67),ISNUMBER('Semi OpInc'!K67),'Semi OpInc'!K67&gt;0),'Semi OpInc'!O67/'Semi OpInc'!K67-1,""),"")</f>
        <v/>
      </c>
      <c r="L1062" s="37">
        <f>IFERROR(IF(AND(ISNUMBER('Semi OpInc'!P67),ISNUMBER('Semi OpInc'!L67),'Semi OpInc'!L67&gt;0),'Semi OpInc'!P67/'Semi OpInc'!L67-1,""),"")</f>
        <v/>
      </c>
      <c r="M1062" s="38">
        <f>IFERROR(IF(AND(ISNUMBER('Semi OpInc'!Q67),ISNUMBER('Semi OpInc'!M67),'Semi OpInc'!M67&gt;0),'Semi OpInc'!Q67/'Semi OpInc'!M67-1,""),"")</f>
        <v/>
      </c>
      <c r="N1062" s="38">
        <f>IFERROR(IF(AND(ISNUMBER('Semi OpInc'!R67),ISNUMBER('Semi OpInc'!N67),'Semi OpInc'!N67&gt;0),'Semi OpInc'!R67/'Semi OpInc'!N67-1,""),"")</f>
        <v/>
      </c>
    </row>
    <row r="1063">
      <c r="A1063" s="19">
        <f>'Semi Rev'!$A68</f>
        <v/>
      </c>
      <c r="B1063" s="19">
        <f>'Semi Rev'!$B68</f>
        <v/>
      </c>
      <c r="C1063" s="37">
        <f>IFERROR(IF(AND(ISNUMBER('Semi OpInc'!G68),ISNUMBER('Semi OpInc'!C68),'Semi OpInc'!C68&gt;0),'Semi OpInc'!G68/'Semi OpInc'!C68-1,""),"")</f>
        <v/>
      </c>
      <c r="D1063" s="37">
        <f>IFERROR(IF(AND(ISNUMBER('Semi OpInc'!H68),ISNUMBER('Semi OpInc'!D68),'Semi OpInc'!D68&gt;0),'Semi OpInc'!H68/'Semi OpInc'!D68-1,""),"")</f>
        <v/>
      </c>
      <c r="E1063" s="37">
        <f>IFERROR(IF(AND(ISNUMBER('Semi OpInc'!I68),ISNUMBER('Semi OpInc'!E68),'Semi OpInc'!E68&gt;0),'Semi OpInc'!I68/'Semi OpInc'!E68-1,""),"")</f>
        <v/>
      </c>
      <c r="F1063" s="37">
        <f>IFERROR(IF(AND(ISNUMBER('Semi OpInc'!J68),ISNUMBER('Semi OpInc'!F68),'Semi OpInc'!F68&gt;0),'Semi OpInc'!J68/'Semi OpInc'!F68-1,""),"")</f>
        <v/>
      </c>
      <c r="G1063" s="37">
        <f>IFERROR(IF(AND(ISNUMBER('Semi OpInc'!K68),ISNUMBER('Semi OpInc'!G68),'Semi OpInc'!G68&gt;0),'Semi OpInc'!K68/'Semi OpInc'!G68-1,""),"")</f>
        <v/>
      </c>
      <c r="H1063" s="37">
        <f>IFERROR(IF(AND(ISNUMBER('Semi OpInc'!L68),ISNUMBER('Semi OpInc'!H68),'Semi OpInc'!H68&gt;0),'Semi OpInc'!L68/'Semi OpInc'!H68-1,""),"")</f>
        <v/>
      </c>
      <c r="I1063" s="37">
        <f>IFERROR(IF(AND(ISNUMBER('Semi OpInc'!M68),ISNUMBER('Semi OpInc'!I68),'Semi OpInc'!I68&gt;0),'Semi OpInc'!M68/'Semi OpInc'!I68-1,""),"")</f>
        <v/>
      </c>
      <c r="J1063" s="37">
        <f>IFERROR(IF(AND(ISNUMBER('Semi OpInc'!N68),ISNUMBER('Semi OpInc'!J68),'Semi OpInc'!J68&gt;0),'Semi OpInc'!N68/'Semi OpInc'!J68-1,""),"")</f>
        <v/>
      </c>
      <c r="K1063" s="37">
        <f>IFERROR(IF(AND(ISNUMBER('Semi OpInc'!O68),ISNUMBER('Semi OpInc'!K68),'Semi OpInc'!K68&gt;0),'Semi OpInc'!O68/'Semi OpInc'!K68-1,""),"")</f>
        <v/>
      </c>
      <c r="L1063" s="37">
        <f>IFERROR(IF(AND(ISNUMBER('Semi OpInc'!P68),ISNUMBER('Semi OpInc'!L68),'Semi OpInc'!L68&gt;0),'Semi OpInc'!P68/'Semi OpInc'!L68-1,""),"")</f>
        <v/>
      </c>
      <c r="M1063" s="38">
        <f>IFERROR(IF(AND(ISNUMBER('Semi OpInc'!Q68),ISNUMBER('Semi OpInc'!M68),'Semi OpInc'!M68&gt;0),'Semi OpInc'!Q68/'Semi OpInc'!M68-1,""),"")</f>
        <v/>
      </c>
      <c r="N1063" s="38">
        <f>IFERROR(IF(AND(ISNUMBER('Semi OpInc'!R68),ISNUMBER('Semi OpInc'!N68),'Semi OpInc'!N68&gt;0),'Semi OpInc'!R68/'Semi OpInc'!N68-1,""),"")</f>
        <v/>
      </c>
    </row>
    <row r="1064">
      <c r="A1064" s="19">
        <f>'Semi Rev'!$A69</f>
        <v/>
      </c>
      <c r="B1064" s="19">
        <f>'Semi Rev'!$B69</f>
        <v/>
      </c>
      <c r="C1064" s="37">
        <f>IFERROR(IF(AND(ISNUMBER('Semi OpInc'!G69),ISNUMBER('Semi OpInc'!C69),'Semi OpInc'!C69&gt;0),'Semi OpInc'!G69/'Semi OpInc'!C69-1,""),"")</f>
        <v/>
      </c>
      <c r="D1064" s="37">
        <f>IFERROR(IF(AND(ISNUMBER('Semi OpInc'!H69),ISNUMBER('Semi OpInc'!D69),'Semi OpInc'!D69&gt;0),'Semi OpInc'!H69/'Semi OpInc'!D69-1,""),"")</f>
        <v/>
      </c>
      <c r="E1064" s="37">
        <f>IFERROR(IF(AND(ISNUMBER('Semi OpInc'!I69),ISNUMBER('Semi OpInc'!E69),'Semi OpInc'!E69&gt;0),'Semi OpInc'!I69/'Semi OpInc'!E69-1,""),"")</f>
        <v/>
      </c>
      <c r="F1064" s="37">
        <f>IFERROR(IF(AND(ISNUMBER('Semi OpInc'!J69),ISNUMBER('Semi OpInc'!F69),'Semi OpInc'!F69&gt;0),'Semi OpInc'!J69/'Semi OpInc'!F69-1,""),"")</f>
        <v/>
      </c>
      <c r="G1064" s="37">
        <f>IFERROR(IF(AND(ISNUMBER('Semi OpInc'!K69),ISNUMBER('Semi OpInc'!G69),'Semi OpInc'!G69&gt;0),'Semi OpInc'!K69/'Semi OpInc'!G69-1,""),"")</f>
        <v/>
      </c>
      <c r="H1064" s="37">
        <f>IFERROR(IF(AND(ISNUMBER('Semi OpInc'!L69),ISNUMBER('Semi OpInc'!H69),'Semi OpInc'!H69&gt;0),'Semi OpInc'!L69/'Semi OpInc'!H69-1,""),"")</f>
        <v/>
      </c>
      <c r="I1064" s="37">
        <f>IFERROR(IF(AND(ISNUMBER('Semi OpInc'!M69),ISNUMBER('Semi OpInc'!I69),'Semi OpInc'!I69&gt;0),'Semi OpInc'!M69/'Semi OpInc'!I69-1,""),"")</f>
        <v/>
      </c>
      <c r="J1064" s="37">
        <f>IFERROR(IF(AND(ISNUMBER('Semi OpInc'!N69),ISNUMBER('Semi OpInc'!J69),'Semi OpInc'!J69&gt;0),'Semi OpInc'!N69/'Semi OpInc'!J69-1,""),"")</f>
        <v/>
      </c>
      <c r="K1064" s="37">
        <f>IFERROR(IF(AND(ISNUMBER('Semi OpInc'!O69),ISNUMBER('Semi OpInc'!K69),'Semi OpInc'!K69&gt;0),'Semi OpInc'!O69/'Semi OpInc'!K69-1,""),"")</f>
        <v/>
      </c>
      <c r="L1064" s="37">
        <f>IFERROR(IF(AND(ISNUMBER('Semi OpInc'!P69),ISNUMBER('Semi OpInc'!L69),'Semi OpInc'!L69&gt;0),'Semi OpInc'!P69/'Semi OpInc'!L69-1,""),"")</f>
        <v/>
      </c>
      <c r="M1064" s="38">
        <f>IFERROR(IF(AND(ISNUMBER('Semi OpInc'!Q69),ISNUMBER('Semi OpInc'!M69),'Semi OpInc'!M69&gt;0),'Semi OpInc'!Q69/'Semi OpInc'!M69-1,""),"")</f>
        <v/>
      </c>
      <c r="N1064" s="38">
        <f>IFERROR(IF(AND(ISNUMBER('Semi OpInc'!R69),ISNUMBER('Semi OpInc'!N69),'Semi OpInc'!N69&gt;0),'Semi OpInc'!R69/'Semi OpInc'!N69-1,""),"")</f>
        <v/>
      </c>
    </row>
    <row r="1065">
      <c r="A1065" s="19">
        <f>'Semi Rev'!$A70</f>
        <v/>
      </c>
      <c r="B1065" s="19">
        <f>'Semi Rev'!$B70</f>
        <v/>
      </c>
      <c r="C1065" s="37">
        <f>IFERROR(IF(AND(ISNUMBER('Semi OpInc'!G70),ISNUMBER('Semi OpInc'!C70),'Semi OpInc'!C70&gt;0),'Semi OpInc'!G70/'Semi OpInc'!C70-1,""),"")</f>
        <v/>
      </c>
      <c r="D1065" s="37">
        <f>IFERROR(IF(AND(ISNUMBER('Semi OpInc'!H70),ISNUMBER('Semi OpInc'!D70),'Semi OpInc'!D70&gt;0),'Semi OpInc'!H70/'Semi OpInc'!D70-1,""),"")</f>
        <v/>
      </c>
      <c r="E1065" s="37">
        <f>IFERROR(IF(AND(ISNUMBER('Semi OpInc'!I70),ISNUMBER('Semi OpInc'!E70),'Semi OpInc'!E70&gt;0),'Semi OpInc'!I70/'Semi OpInc'!E70-1,""),"")</f>
        <v/>
      </c>
      <c r="F1065" s="37">
        <f>IFERROR(IF(AND(ISNUMBER('Semi OpInc'!J70),ISNUMBER('Semi OpInc'!F70),'Semi OpInc'!F70&gt;0),'Semi OpInc'!J70/'Semi OpInc'!F70-1,""),"")</f>
        <v/>
      </c>
      <c r="G1065" s="37">
        <f>IFERROR(IF(AND(ISNUMBER('Semi OpInc'!K70),ISNUMBER('Semi OpInc'!G70),'Semi OpInc'!G70&gt;0),'Semi OpInc'!K70/'Semi OpInc'!G70-1,""),"")</f>
        <v/>
      </c>
      <c r="H1065" s="37">
        <f>IFERROR(IF(AND(ISNUMBER('Semi OpInc'!L70),ISNUMBER('Semi OpInc'!H70),'Semi OpInc'!H70&gt;0),'Semi OpInc'!L70/'Semi OpInc'!H70-1,""),"")</f>
        <v/>
      </c>
      <c r="I1065" s="37">
        <f>IFERROR(IF(AND(ISNUMBER('Semi OpInc'!M70),ISNUMBER('Semi OpInc'!I70),'Semi OpInc'!I70&gt;0),'Semi OpInc'!M70/'Semi OpInc'!I70-1,""),"")</f>
        <v/>
      </c>
      <c r="J1065" s="37">
        <f>IFERROR(IF(AND(ISNUMBER('Semi OpInc'!N70),ISNUMBER('Semi OpInc'!J70),'Semi OpInc'!J70&gt;0),'Semi OpInc'!N70/'Semi OpInc'!J70-1,""),"")</f>
        <v/>
      </c>
      <c r="K1065" s="37">
        <f>IFERROR(IF(AND(ISNUMBER('Semi OpInc'!O70),ISNUMBER('Semi OpInc'!K70),'Semi OpInc'!K70&gt;0),'Semi OpInc'!O70/'Semi OpInc'!K70-1,""),"")</f>
        <v/>
      </c>
      <c r="L1065" s="37">
        <f>IFERROR(IF(AND(ISNUMBER('Semi OpInc'!P70),ISNUMBER('Semi OpInc'!L70),'Semi OpInc'!L70&gt;0),'Semi OpInc'!P70/'Semi OpInc'!L70-1,""),"")</f>
        <v/>
      </c>
      <c r="M1065" s="38">
        <f>IFERROR(IF(AND(ISNUMBER('Semi OpInc'!Q70),ISNUMBER('Semi OpInc'!M70),'Semi OpInc'!M70&gt;0),'Semi OpInc'!Q70/'Semi OpInc'!M70-1,""),"")</f>
        <v/>
      </c>
      <c r="N1065" s="38">
        <f>IFERROR(IF(AND(ISNUMBER('Semi OpInc'!R70),ISNUMBER('Semi OpInc'!N70),'Semi OpInc'!N70&gt;0),'Semi OpInc'!R70/'Semi OpInc'!N70-1,""),"")</f>
        <v/>
      </c>
    </row>
    <row r="1066">
      <c r="A1066" s="19">
        <f>'Semi Rev'!$A71</f>
        <v/>
      </c>
      <c r="B1066" s="19">
        <f>'Semi Rev'!$B71</f>
        <v/>
      </c>
      <c r="C1066" s="37">
        <f>IFERROR(IF(AND(ISNUMBER('Semi OpInc'!G71),ISNUMBER('Semi OpInc'!C71),'Semi OpInc'!C71&gt;0),'Semi OpInc'!G71/'Semi OpInc'!C71-1,""),"")</f>
        <v/>
      </c>
      <c r="D1066" s="37">
        <f>IFERROR(IF(AND(ISNUMBER('Semi OpInc'!H71),ISNUMBER('Semi OpInc'!D71),'Semi OpInc'!D71&gt;0),'Semi OpInc'!H71/'Semi OpInc'!D71-1,""),"")</f>
        <v/>
      </c>
      <c r="E1066" s="37">
        <f>IFERROR(IF(AND(ISNUMBER('Semi OpInc'!I71),ISNUMBER('Semi OpInc'!E71),'Semi OpInc'!E71&gt;0),'Semi OpInc'!I71/'Semi OpInc'!E71-1,""),"")</f>
        <v/>
      </c>
      <c r="F1066" s="37">
        <f>IFERROR(IF(AND(ISNUMBER('Semi OpInc'!J71),ISNUMBER('Semi OpInc'!F71),'Semi OpInc'!F71&gt;0),'Semi OpInc'!J71/'Semi OpInc'!F71-1,""),"")</f>
        <v/>
      </c>
      <c r="G1066" s="37">
        <f>IFERROR(IF(AND(ISNUMBER('Semi OpInc'!K71),ISNUMBER('Semi OpInc'!G71),'Semi OpInc'!G71&gt;0),'Semi OpInc'!K71/'Semi OpInc'!G71-1,""),"")</f>
        <v/>
      </c>
      <c r="H1066" s="37">
        <f>IFERROR(IF(AND(ISNUMBER('Semi OpInc'!L71),ISNUMBER('Semi OpInc'!H71),'Semi OpInc'!H71&gt;0),'Semi OpInc'!L71/'Semi OpInc'!H71-1,""),"")</f>
        <v/>
      </c>
      <c r="I1066" s="37">
        <f>IFERROR(IF(AND(ISNUMBER('Semi OpInc'!M71),ISNUMBER('Semi OpInc'!I71),'Semi OpInc'!I71&gt;0),'Semi OpInc'!M71/'Semi OpInc'!I71-1,""),"")</f>
        <v/>
      </c>
      <c r="J1066" s="37">
        <f>IFERROR(IF(AND(ISNUMBER('Semi OpInc'!N71),ISNUMBER('Semi OpInc'!J71),'Semi OpInc'!J71&gt;0),'Semi OpInc'!N71/'Semi OpInc'!J71-1,""),"")</f>
        <v/>
      </c>
      <c r="K1066" s="37">
        <f>IFERROR(IF(AND(ISNUMBER('Semi OpInc'!O71),ISNUMBER('Semi OpInc'!K71),'Semi OpInc'!K71&gt;0),'Semi OpInc'!O71/'Semi OpInc'!K71-1,""),"")</f>
        <v/>
      </c>
      <c r="L1066" s="37">
        <f>IFERROR(IF(AND(ISNUMBER('Semi OpInc'!P71),ISNUMBER('Semi OpInc'!L71),'Semi OpInc'!L71&gt;0),'Semi OpInc'!P71/'Semi OpInc'!L71-1,""),"")</f>
        <v/>
      </c>
      <c r="M1066" s="38">
        <f>IFERROR(IF(AND(ISNUMBER('Semi OpInc'!Q71),ISNUMBER('Semi OpInc'!M71),'Semi OpInc'!M71&gt;0),'Semi OpInc'!Q71/'Semi OpInc'!M71-1,""),"")</f>
        <v/>
      </c>
      <c r="N1066" s="38">
        <f>IFERROR(IF(AND(ISNUMBER('Semi OpInc'!R71),ISNUMBER('Semi OpInc'!N71),'Semi OpInc'!N71&gt;0),'Semi OpInc'!R71/'Semi OpInc'!N71-1,""),"")</f>
        <v/>
      </c>
    </row>
    <row r="1067">
      <c r="A1067" s="19">
        <f>'Semi Rev'!$A72</f>
        <v/>
      </c>
      <c r="B1067" s="19">
        <f>'Semi Rev'!$B72</f>
        <v/>
      </c>
      <c r="C1067" s="37">
        <f>IFERROR(IF(AND(ISNUMBER('Semi OpInc'!G72),ISNUMBER('Semi OpInc'!C72),'Semi OpInc'!C72&gt;0),'Semi OpInc'!G72/'Semi OpInc'!C72-1,""),"")</f>
        <v/>
      </c>
      <c r="D1067" s="37">
        <f>IFERROR(IF(AND(ISNUMBER('Semi OpInc'!H72),ISNUMBER('Semi OpInc'!D72),'Semi OpInc'!D72&gt;0),'Semi OpInc'!H72/'Semi OpInc'!D72-1,""),"")</f>
        <v/>
      </c>
      <c r="E1067" s="37">
        <f>IFERROR(IF(AND(ISNUMBER('Semi OpInc'!I72),ISNUMBER('Semi OpInc'!E72),'Semi OpInc'!E72&gt;0),'Semi OpInc'!I72/'Semi OpInc'!E72-1,""),"")</f>
        <v/>
      </c>
      <c r="F1067" s="37">
        <f>IFERROR(IF(AND(ISNUMBER('Semi OpInc'!J72),ISNUMBER('Semi OpInc'!F72),'Semi OpInc'!F72&gt;0),'Semi OpInc'!J72/'Semi OpInc'!F72-1,""),"")</f>
        <v/>
      </c>
      <c r="G1067" s="37">
        <f>IFERROR(IF(AND(ISNUMBER('Semi OpInc'!K72),ISNUMBER('Semi OpInc'!G72),'Semi OpInc'!G72&gt;0),'Semi OpInc'!K72/'Semi OpInc'!G72-1,""),"")</f>
        <v/>
      </c>
      <c r="H1067" s="37">
        <f>IFERROR(IF(AND(ISNUMBER('Semi OpInc'!L72),ISNUMBER('Semi OpInc'!H72),'Semi OpInc'!H72&gt;0),'Semi OpInc'!L72/'Semi OpInc'!H72-1,""),"")</f>
        <v/>
      </c>
      <c r="I1067" s="37">
        <f>IFERROR(IF(AND(ISNUMBER('Semi OpInc'!M72),ISNUMBER('Semi OpInc'!I72),'Semi OpInc'!I72&gt;0),'Semi OpInc'!M72/'Semi OpInc'!I72-1,""),"")</f>
        <v/>
      </c>
      <c r="J1067" s="37">
        <f>IFERROR(IF(AND(ISNUMBER('Semi OpInc'!N72),ISNUMBER('Semi OpInc'!J72),'Semi OpInc'!J72&gt;0),'Semi OpInc'!N72/'Semi OpInc'!J72-1,""),"")</f>
        <v/>
      </c>
      <c r="K1067" s="37">
        <f>IFERROR(IF(AND(ISNUMBER('Semi OpInc'!O72),ISNUMBER('Semi OpInc'!K72),'Semi OpInc'!K72&gt;0),'Semi OpInc'!O72/'Semi OpInc'!K72-1,""),"")</f>
        <v/>
      </c>
      <c r="L1067" s="37">
        <f>IFERROR(IF(AND(ISNUMBER('Semi OpInc'!P72),ISNUMBER('Semi OpInc'!L72),'Semi OpInc'!L72&gt;0),'Semi OpInc'!P72/'Semi OpInc'!L72-1,""),"")</f>
        <v/>
      </c>
      <c r="M1067" s="38">
        <f>IFERROR(IF(AND(ISNUMBER('Semi OpInc'!Q72),ISNUMBER('Semi OpInc'!M72),'Semi OpInc'!M72&gt;0),'Semi OpInc'!Q72/'Semi OpInc'!M72-1,""),"")</f>
        <v/>
      </c>
      <c r="N1067" s="38">
        <f>IFERROR(IF(AND(ISNUMBER('Semi OpInc'!R72),ISNUMBER('Semi OpInc'!N72),'Semi OpInc'!N72&gt;0),'Semi OpInc'!R72/'Semi OpInc'!N72-1,""),"")</f>
        <v/>
      </c>
    </row>
    <row r="1068">
      <c r="A1068" s="19">
        <f>'Semi Rev'!$A73</f>
        <v/>
      </c>
      <c r="B1068" s="19">
        <f>'Semi Rev'!$B73</f>
        <v/>
      </c>
      <c r="C1068" s="37">
        <f>IFERROR(IF(AND(ISNUMBER('Semi OpInc'!G73),ISNUMBER('Semi OpInc'!C73),'Semi OpInc'!C73&gt;0),'Semi OpInc'!G73/'Semi OpInc'!C73-1,""),"")</f>
        <v/>
      </c>
      <c r="D1068" s="37">
        <f>IFERROR(IF(AND(ISNUMBER('Semi OpInc'!H73),ISNUMBER('Semi OpInc'!D73),'Semi OpInc'!D73&gt;0),'Semi OpInc'!H73/'Semi OpInc'!D73-1,""),"")</f>
        <v/>
      </c>
      <c r="E1068" s="37">
        <f>IFERROR(IF(AND(ISNUMBER('Semi OpInc'!I73),ISNUMBER('Semi OpInc'!E73),'Semi OpInc'!E73&gt;0),'Semi OpInc'!I73/'Semi OpInc'!E73-1,""),"")</f>
        <v/>
      </c>
      <c r="F1068" s="37">
        <f>IFERROR(IF(AND(ISNUMBER('Semi OpInc'!J73),ISNUMBER('Semi OpInc'!F73),'Semi OpInc'!F73&gt;0),'Semi OpInc'!J73/'Semi OpInc'!F73-1,""),"")</f>
        <v/>
      </c>
      <c r="G1068" s="37">
        <f>IFERROR(IF(AND(ISNUMBER('Semi OpInc'!K73),ISNUMBER('Semi OpInc'!G73),'Semi OpInc'!G73&gt;0),'Semi OpInc'!K73/'Semi OpInc'!G73-1,""),"")</f>
        <v/>
      </c>
      <c r="H1068" s="37">
        <f>IFERROR(IF(AND(ISNUMBER('Semi OpInc'!L73),ISNUMBER('Semi OpInc'!H73),'Semi OpInc'!H73&gt;0),'Semi OpInc'!L73/'Semi OpInc'!H73-1,""),"")</f>
        <v/>
      </c>
      <c r="I1068" s="37">
        <f>IFERROR(IF(AND(ISNUMBER('Semi OpInc'!M73),ISNUMBER('Semi OpInc'!I73),'Semi OpInc'!I73&gt;0),'Semi OpInc'!M73/'Semi OpInc'!I73-1,""),"")</f>
        <v/>
      </c>
      <c r="J1068" s="37">
        <f>IFERROR(IF(AND(ISNUMBER('Semi OpInc'!N73),ISNUMBER('Semi OpInc'!J73),'Semi OpInc'!J73&gt;0),'Semi OpInc'!N73/'Semi OpInc'!J73-1,""),"")</f>
        <v/>
      </c>
      <c r="K1068" s="37">
        <f>IFERROR(IF(AND(ISNUMBER('Semi OpInc'!O73),ISNUMBER('Semi OpInc'!K73),'Semi OpInc'!K73&gt;0),'Semi OpInc'!O73/'Semi OpInc'!K73-1,""),"")</f>
        <v/>
      </c>
      <c r="L1068" s="37">
        <f>IFERROR(IF(AND(ISNUMBER('Semi OpInc'!P73),ISNUMBER('Semi OpInc'!L73),'Semi OpInc'!L73&gt;0),'Semi OpInc'!P73/'Semi OpInc'!L73-1,""),"")</f>
        <v/>
      </c>
      <c r="M1068" s="38">
        <f>IFERROR(IF(AND(ISNUMBER('Semi OpInc'!Q73),ISNUMBER('Semi OpInc'!M73),'Semi OpInc'!M73&gt;0),'Semi OpInc'!Q73/'Semi OpInc'!M73-1,""),"")</f>
        <v/>
      </c>
      <c r="N1068" s="38">
        <f>IFERROR(IF(AND(ISNUMBER('Semi OpInc'!R73),ISNUMBER('Semi OpInc'!N73),'Semi OpInc'!N73&gt;0),'Semi OpInc'!R73/'Semi OpInc'!N73-1,""),"")</f>
        <v/>
      </c>
    </row>
    <row r="1069">
      <c r="A1069" s="19">
        <f>'Semi Rev'!$A74</f>
        <v/>
      </c>
      <c r="B1069" s="19">
        <f>'Semi Rev'!$B74</f>
        <v/>
      </c>
      <c r="C1069" s="37">
        <f>IFERROR(IF(AND(ISNUMBER('Semi OpInc'!G74),ISNUMBER('Semi OpInc'!C74),'Semi OpInc'!C74&gt;0),'Semi OpInc'!G74/'Semi OpInc'!C74-1,""),"")</f>
        <v/>
      </c>
      <c r="D1069" s="37">
        <f>IFERROR(IF(AND(ISNUMBER('Semi OpInc'!H74),ISNUMBER('Semi OpInc'!D74),'Semi OpInc'!D74&gt;0),'Semi OpInc'!H74/'Semi OpInc'!D74-1,""),"")</f>
        <v/>
      </c>
      <c r="E1069" s="37">
        <f>IFERROR(IF(AND(ISNUMBER('Semi OpInc'!I74),ISNUMBER('Semi OpInc'!E74),'Semi OpInc'!E74&gt;0),'Semi OpInc'!I74/'Semi OpInc'!E74-1,""),"")</f>
        <v/>
      </c>
      <c r="F1069" s="37">
        <f>IFERROR(IF(AND(ISNUMBER('Semi OpInc'!J74),ISNUMBER('Semi OpInc'!F74),'Semi OpInc'!F74&gt;0),'Semi OpInc'!J74/'Semi OpInc'!F74-1,""),"")</f>
        <v/>
      </c>
      <c r="G1069" s="37">
        <f>IFERROR(IF(AND(ISNUMBER('Semi OpInc'!K74),ISNUMBER('Semi OpInc'!G74),'Semi OpInc'!G74&gt;0),'Semi OpInc'!K74/'Semi OpInc'!G74-1,""),"")</f>
        <v/>
      </c>
      <c r="H1069" s="37">
        <f>IFERROR(IF(AND(ISNUMBER('Semi OpInc'!L74),ISNUMBER('Semi OpInc'!H74),'Semi OpInc'!H74&gt;0),'Semi OpInc'!L74/'Semi OpInc'!H74-1,""),"")</f>
        <v/>
      </c>
      <c r="I1069" s="37">
        <f>IFERROR(IF(AND(ISNUMBER('Semi OpInc'!M74),ISNUMBER('Semi OpInc'!I74),'Semi OpInc'!I74&gt;0),'Semi OpInc'!M74/'Semi OpInc'!I74-1,""),"")</f>
        <v/>
      </c>
      <c r="J1069" s="37">
        <f>IFERROR(IF(AND(ISNUMBER('Semi OpInc'!N74),ISNUMBER('Semi OpInc'!J74),'Semi OpInc'!J74&gt;0),'Semi OpInc'!N74/'Semi OpInc'!J74-1,""),"")</f>
        <v/>
      </c>
      <c r="K1069" s="37">
        <f>IFERROR(IF(AND(ISNUMBER('Semi OpInc'!O74),ISNUMBER('Semi OpInc'!K74),'Semi OpInc'!K74&gt;0),'Semi OpInc'!O74/'Semi OpInc'!K74-1,""),"")</f>
        <v/>
      </c>
      <c r="L1069" s="37">
        <f>IFERROR(IF(AND(ISNUMBER('Semi OpInc'!P74),ISNUMBER('Semi OpInc'!L74),'Semi OpInc'!L74&gt;0),'Semi OpInc'!P74/'Semi OpInc'!L74-1,""),"")</f>
        <v/>
      </c>
      <c r="M1069" s="38">
        <f>IFERROR(IF(AND(ISNUMBER('Semi OpInc'!Q74),ISNUMBER('Semi OpInc'!M74),'Semi OpInc'!M74&gt;0),'Semi OpInc'!Q74/'Semi OpInc'!M74-1,""),"")</f>
        <v/>
      </c>
      <c r="N1069" s="38">
        <f>IFERROR(IF(AND(ISNUMBER('Semi OpInc'!R74),ISNUMBER('Semi OpInc'!N74),'Semi OpInc'!N74&gt;0),'Semi OpInc'!R74/'Semi OpInc'!N74-1,""),"")</f>
        <v/>
      </c>
    </row>
    <row r="1070">
      <c r="A1070" s="19">
        <f>'Semi Rev'!$A75</f>
        <v/>
      </c>
      <c r="B1070" s="19">
        <f>'Semi Rev'!$B75</f>
        <v/>
      </c>
      <c r="C1070" s="37">
        <f>IFERROR(IF(AND(ISNUMBER('Semi OpInc'!G75),ISNUMBER('Semi OpInc'!C75),'Semi OpInc'!C75&gt;0),'Semi OpInc'!G75/'Semi OpInc'!C75-1,""),"")</f>
        <v/>
      </c>
      <c r="D1070" s="37">
        <f>IFERROR(IF(AND(ISNUMBER('Semi OpInc'!H75),ISNUMBER('Semi OpInc'!D75),'Semi OpInc'!D75&gt;0),'Semi OpInc'!H75/'Semi OpInc'!D75-1,""),"")</f>
        <v/>
      </c>
      <c r="E1070" s="37">
        <f>IFERROR(IF(AND(ISNUMBER('Semi OpInc'!I75),ISNUMBER('Semi OpInc'!E75),'Semi OpInc'!E75&gt;0),'Semi OpInc'!I75/'Semi OpInc'!E75-1,""),"")</f>
        <v/>
      </c>
      <c r="F1070" s="37">
        <f>IFERROR(IF(AND(ISNUMBER('Semi OpInc'!J75),ISNUMBER('Semi OpInc'!F75),'Semi OpInc'!F75&gt;0),'Semi OpInc'!J75/'Semi OpInc'!F75-1,""),"")</f>
        <v/>
      </c>
      <c r="G1070" s="37">
        <f>IFERROR(IF(AND(ISNUMBER('Semi OpInc'!K75),ISNUMBER('Semi OpInc'!G75),'Semi OpInc'!G75&gt;0),'Semi OpInc'!K75/'Semi OpInc'!G75-1,""),"")</f>
        <v/>
      </c>
      <c r="H1070" s="37">
        <f>IFERROR(IF(AND(ISNUMBER('Semi OpInc'!L75),ISNUMBER('Semi OpInc'!H75),'Semi OpInc'!H75&gt;0),'Semi OpInc'!L75/'Semi OpInc'!H75-1,""),"")</f>
        <v/>
      </c>
      <c r="I1070" s="37">
        <f>IFERROR(IF(AND(ISNUMBER('Semi OpInc'!M75),ISNUMBER('Semi OpInc'!I75),'Semi OpInc'!I75&gt;0),'Semi OpInc'!M75/'Semi OpInc'!I75-1,""),"")</f>
        <v/>
      </c>
      <c r="J1070" s="37">
        <f>IFERROR(IF(AND(ISNUMBER('Semi OpInc'!N75),ISNUMBER('Semi OpInc'!J75),'Semi OpInc'!J75&gt;0),'Semi OpInc'!N75/'Semi OpInc'!J75-1,""),"")</f>
        <v/>
      </c>
      <c r="K1070" s="37">
        <f>IFERROR(IF(AND(ISNUMBER('Semi OpInc'!O75),ISNUMBER('Semi OpInc'!K75),'Semi OpInc'!K75&gt;0),'Semi OpInc'!O75/'Semi OpInc'!K75-1,""),"")</f>
        <v/>
      </c>
      <c r="L1070" s="37">
        <f>IFERROR(IF(AND(ISNUMBER('Semi OpInc'!P75),ISNUMBER('Semi OpInc'!L75),'Semi OpInc'!L75&gt;0),'Semi OpInc'!P75/'Semi OpInc'!L75-1,""),"")</f>
        <v/>
      </c>
      <c r="M1070" s="38">
        <f>IFERROR(IF(AND(ISNUMBER('Semi OpInc'!Q75),ISNUMBER('Semi OpInc'!M75),'Semi OpInc'!M75&gt;0),'Semi OpInc'!Q75/'Semi OpInc'!M75-1,""),"")</f>
        <v/>
      </c>
      <c r="N1070" s="38">
        <f>IFERROR(IF(AND(ISNUMBER('Semi OpInc'!R75),ISNUMBER('Semi OpInc'!N75),'Semi OpInc'!N75&gt;0),'Semi OpInc'!R75/'Semi OpInc'!N75-1,""),"")</f>
        <v/>
      </c>
    </row>
    <row r="1071">
      <c r="A1071" s="19">
        <f>'Semi Rev'!$A76</f>
        <v/>
      </c>
      <c r="B1071" s="19">
        <f>'Semi Rev'!$B76</f>
        <v/>
      </c>
      <c r="C1071" s="37">
        <f>IFERROR(IF(AND(ISNUMBER('Semi OpInc'!G76),ISNUMBER('Semi OpInc'!C76),'Semi OpInc'!C76&gt;0),'Semi OpInc'!G76/'Semi OpInc'!C76-1,""),"")</f>
        <v/>
      </c>
      <c r="D1071" s="37">
        <f>IFERROR(IF(AND(ISNUMBER('Semi OpInc'!H76),ISNUMBER('Semi OpInc'!D76),'Semi OpInc'!D76&gt;0),'Semi OpInc'!H76/'Semi OpInc'!D76-1,""),"")</f>
        <v/>
      </c>
      <c r="E1071" s="37">
        <f>IFERROR(IF(AND(ISNUMBER('Semi OpInc'!I76),ISNUMBER('Semi OpInc'!E76),'Semi OpInc'!E76&gt;0),'Semi OpInc'!I76/'Semi OpInc'!E76-1,""),"")</f>
        <v/>
      </c>
      <c r="F1071" s="37">
        <f>IFERROR(IF(AND(ISNUMBER('Semi OpInc'!J76),ISNUMBER('Semi OpInc'!F76),'Semi OpInc'!F76&gt;0),'Semi OpInc'!J76/'Semi OpInc'!F76-1,""),"")</f>
        <v/>
      </c>
      <c r="G1071" s="37">
        <f>IFERROR(IF(AND(ISNUMBER('Semi OpInc'!K76),ISNUMBER('Semi OpInc'!G76),'Semi OpInc'!G76&gt;0),'Semi OpInc'!K76/'Semi OpInc'!G76-1,""),"")</f>
        <v/>
      </c>
      <c r="H1071" s="37">
        <f>IFERROR(IF(AND(ISNUMBER('Semi OpInc'!L76),ISNUMBER('Semi OpInc'!H76),'Semi OpInc'!H76&gt;0),'Semi OpInc'!L76/'Semi OpInc'!H76-1,""),"")</f>
        <v/>
      </c>
      <c r="I1071" s="37">
        <f>IFERROR(IF(AND(ISNUMBER('Semi OpInc'!M76),ISNUMBER('Semi OpInc'!I76),'Semi OpInc'!I76&gt;0),'Semi OpInc'!M76/'Semi OpInc'!I76-1,""),"")</f>
        <v/>
      </c>
      <c r="J1071" s="37">
        <f>IFERROR(IF(AND(ISNUMBER('Semi OpInc'!N76),ISNUMBER('Semi OpInc'!J76),'Semi OpInc'!J76&gt;0),'Semi OpInc'!N76/'Semi OpInc'!J76-1,""),"")</f>
        <v/>
      </c>
      <c r="K1071" s="37">
        <f>IFERROR(IF(AND(ISNUMBER('Semi OpInc'!O76),ISNUMBER('Semi OpInc'!K76),'Semi OpInc'!K76&gt;0),'Semi OpInc'!O76/'Semi OpInc'!K76-1,""),"")</f>
        <v/>
      </c>
      <c r="L1071" s="37">
        <f>IFERROR(IF(AND(ISNUMBER('Semi OpInc'!P76),ISNUMBER('Semi OpInc'!L76),'Semi OpInc'!L76&gt;0),'Semi OpInc'!P76/'Semi OpInc'!L76-1,""),"")</f>
        <v/>
      </c>
      <c r="M1071" s="38">
        <f>IFERROR(IF(AND(ISNUMBER('Semi OpInc'!Q76),ISNUMBER('Semi OpInc'!M76),'Semi OpInc'!M76&gt;0),'Semi OpInc'!Q76/'Semi OpInc'!M76-1,""),"")</f>
        <v/>
      </c>
      <c r="N1071" s="38">
        <f>IFERROR(IF(AND(ISNUMBER('Semi OpInc'!R76),ISNUMBER('Semi OpInc'!N76),'Semi OpInc'!N76&gt;0),'Semi OpInc'!R76/'Semi OpInc'!N76-1,""),"")</f>
        <v/>
      </c>
    </row>
    <row r="1072">
      <c r="A1072" s="19">
        <f>'Semi Rev'!$A77</f>
        <v/>
      </c>
      <c r="B1072" s="19">
        <f>'Semi Rev'!$B77</f>
        <v/>
      </c>
      <c r="C1072" s="37">
        <f>IFERROR(IF(AND(ISNUMBER('Semi OpInc'!G77),ISNUMBER('Semi OpInc'!C77),'Semi OpInc'!C77&gt;0),'Semi OpInc'!G77/'Semi OpInc'!C77-1,""),"")</f>
        <v/>
      </c>
      <c r="D1072" s="37">
        <f>IFERROR(IF(AND(ISNUMBER('Semi OpInc'!H77),ISNUMBER('Semi OpInc'!D77),'Semi OpInc'!D77&gt;0),'Semi OpInc'!H77/'Semi OpInc'!D77-1,""),"")</f>
        <v/>
      </c>
      <c r="E1072" s="37">
        <f>IFERROR(IF(AND(ISNUMBER('Semi OpInc'!I77),ISNUMBER('Semi OpInc'!E77),'Semi OpInc'!E77&gt;0),'Semi OpInc'!I77/'Semi OpInc'!E77-1,""),"")</f>
        <v/>
      </c>
      <c r="F1072" s="37">
        <f>IFERROR(IF(AND(ISNUMBER('Semi OpInc'!J77),ISNUMBER('Semi OpInc'!F77),'Semi OpInc'!F77&gt;0),'Semi OpInc'!J77/'Semi OpInc'!F77-1,""),"")</f>
        <v/>
      </c>
      <c r="G1072" s="37">
        <f>IFERROR(IF(AND(ISNUMBER('Semi OpInc'!K77),ISNUMBER('Semi OpInc'!G77),'Semi OpInc'!G77&gt;0),'Semi OpInc'!K77/'Semi OpInc'!G77-1,""),"")</f>
        <v/>
      </c>
      <c r="H1072" s="37">
        <f>IFERROR(IF(AND(ISNUMBER('Semi OpInc'!L77),ISNUMBER('Semi OpInc'!H77),'Semi OpInc'!H77&gt;0),'Semi OpInc'!L77/'Semi OpInc'!H77-1,""),"")</f>
        <v/>
      </c>
      <c r="I1072" s="37">
        <f>IFERROR(IF(AND(ISNUMBER('Semi OpInc'!M77),ISNUMBER('Semi OpInc'!I77),'Semi OpInc'!I77&gt;0),'Semi OpInc'!M77/'Semi OpInc'!I77-1,""),"")</f>
        <v/>
      </c>
      <c r="J1072" s="37">
        <f>IFERROR(IF(AND(ISNUMBER('Semi OpInc'!N77),ISNUMBER('Semi OpInc'!J77),'Semi OpInc'!J77&gt;0),'Semi OpInc'!N77/'Semi OpInc'!J77-1,""),"")</f>
        <v/>
      </c>
      <c r="K1072" s="37">
        <f>IFERROR(IF(AND(ISNUMBER('Semi OpInc'!O77),ISNUMBER('Semi OpInc'!K77),'Semi OpInc'!K77&gt;0),'Semi OpInc'!O77/'Semi OpInc'!K77-1,""),"")</f>
        <v/>
      </c>
      <c r="L1072" s="37">
        <f>IFERROR(IF(AND(ISNUMBER('Semi OpInc'!P77),ISNUMBER('Semi OpInc'!L77),'Semi OpInc'!L77&gt;0),'Semi OpInc'!P77/'Semi OpInc'!L77-1,""),"")</f>
        <v/>
      </c>
      <c r="M1072" s="38">
        <f>IFERROR(IF(AND(ISNUMBER('Semi OpInc'!Q77),ISNUMBER('Semi OpInc'!M77),'Semi OpInc'!M77&gt;0),'Semi OpInc'!Q77/'Semi OpInc'!M77-1,""),"")</f>
        <v/>
      </c>
      <c r="N1072" s="38">
        <f>IFERROR(IF(AND(ISNUMBER('Semi OpInc'!R77),ISNUMBER('Semi OpInc'!N77),'Semi OpInc'!N77&gt;0),'Semi OpInc'!R77/'Semi OpInc'!N77-1,""),"")</f>
        <v/>
      </c>
    </row>
    <row r="1073">
      <c r="A1073" s="19">
        <f>'Semi Rev'!$A78</f>
        <v/>
      </c>
      <c r="B1073" s="19">
        <f>'Semi Rev'!$B78</f>
        <v/>
      </c>
      <c r="C1073" s="37">
        <f>IFERROR(IF(AND(ISNUMBER('Semi OpInc'!G78),ISNUMBER('Semi OpInc'!C78),'Semi OpInc'!C78&gt;0),'Semi OpInc'!G78/'Semi OpInc'!C78-1,""),"")</f>
        <v/>
      </c>
      <c r="D1073" s="37">
        <f>IFERROR(IF(AND(ISNUMBER('Semi OpInc'!H78),ISNUMBER('Semi OpInc'!D78),'Semi OpInc'!D78&gt;0),'Semi OpInc'!H78/'Semi OpInc'!D78-1,""),"")</f>
        <v/>
      </c>
      <c r="E1073" s="37">
        <f>IFERROR(IF(AND(ISNUMBER('Semi OpInc'!I78),ISNUMBER('Semi OpInc'!E78),'Semi OpInc'!E78&gt;0),'Semi OpInc'!I78/'Semi OpInc'!E78-1,""),"")</f>
        <v/>
      </c>
      <c r="F1073" s="37">
        <f>IFERROR(IF(AND(ISNUMBER('Semi OpInc'!J78),ISNUMBER('Semi OpInc'!F78),'Semi OpInc'!F78&gt;0),'Semi OpInc'!J78/'Semi OpInc'!F78-1,""),"")</f>
        <v/>
      </c>
      <c r="G1073" s="37">
        <f>IFERROR(IF(AND(ISNUMBER('Semi OpInc'!K78),ISNUMBER('Semi OpInc'!G78),'Semi OpInc'!G78&gt;0),'Semi OpInc'!K78/'Semi OpInc'!G78-1,""),"")</f>
        <v/>
      </c>
      <c r="H1073" s="37">
        <f>IFERROR(IF(AND(ISNUMBER('Semi OpInc'!L78),ISNUMBER('Semi OpInc'!H78),'Semi OpInc'!H78&gt;0),'Semi OpInc'!L78/'Semi OpInc'!H78-1,""),"")</f>
        <v/>
      </c>
      <c r="I1073" s="37">
        <f>IFERROR(IF(AND(ISNUMBER('Semi OpInc'!M78),ISNUMBER('Semi OpInc'!I78),'Semi OpInc'!I78&gt;0),'Semi OpInc'!M78/'Semi OpInc'!I78-1,""),"")</f>
        <v/>
      </c>
      <c r="J1073" s="37">
        <f>IFERROR(IF(AND(ISNUMBER('Semi OpInc'!N78),ISNUMBER('Semi OpInc'!J78),'Semi OpInc'!J78&gt;0),'Semi OpInc'!N78/'Semi OpInc'!J78-1,""),"")</f>
        <v/>
      </c>
      <c r="K1073" s="37">
        <f>IFERROR(IF(AND(ISNUMBER('Semi OpInc'!O78),ISNUMBER('Semi OpInc'!K78),'Semi OpInc'!K78&gt;0),'Semi OpInc'!O78/'Semi OpInc'!K78-1,""),"")</f>
        <v/>
      </c>
      <c r="L1073" s="37">
        <f>IFERROR(IF(AND(ISNUMBER('Semi OpInc'!P78),ISNUMBER('Semi OpInc'!L78),'Semi OpInc'!L78&gt;0),'Semi OpInc'!P78/'Semi OpInc'!L78-1,""),"")</f>
        <v/>
      </c>
      <c r="M1073" s="38">
        <f>IFERROR(IF(AND(ISNUMBER('Semi OpInc'!Q78),ISNUMBER('Semi OpInc'!M78),'Semi OpInc'!M78&gt;0),'Semi OpInc'!Q78/'Semi OpInc'!M78-1,""),"")</f>
        <v/>
      </c>
      <c r="N1073" s="38">
        <f>IFERROR(IF(AND(ISNUMBER('Semi OpInc'!R78),ISNUMBER('Semi OpInc'!N78),'Semi OpInc'!N78&gt;0),'Semi OpInc'!R78/'Semi OpInc'!N78-1,""),"")</f>
        <v/>
      </c>
    </row>
    <row r="1074">
      <c r="A1074" s="19">
        <f>'Semi Rev'!$A79</f>
        <v/>
      </c>
      <c r="B1074" s="19">
        <f>'Semi Rev'!$B79</f>
        <v/>
      </c>
      <c r="C1074" s="37">
        <f>IFERROR(IF(AND(ISNUMBER('Semi OpInc'!G79),ISNUMBER('Semi OpInc'!C79),'Semi OpInc'!C79&gt;0),'Semi OpInc'!G79/'Semi OpInc'!C79-1,""),"")</f>
        <v/>
      </c>
      <c r="D1074" s="37">
        <f>IFERROR(IF(AND(ISNUMBER('Semi OpInc'!H79),ISNUMBER('Semi OpInc'!D79),'Semi OpInc'!D79&gt;0),'Semi OpInc'!H79/'Semi OpInc'!D79-1,""),"")</f>
        <v/>
      </c>
      <c r="E1074" s="37">
        <f>IFERROR(IF(AND(ISNUMBER('Semi OpInc'!I79),ISNUMBER('Semi OpInc'!E79),'Semi OpInc'!E79&gt;0),'Semi OpInc'!I79/'Semi OpInc'!E79-1,""),"")</f>
        <v/>
      </c>
      <c r="F1074" s="37">
        <f>IFERROR(IF(AND(ISNUMBER('Semi OpInc'!J79),ISNUMBER('Semi OpInc'!F79),'Semi OpInc'!F79&gt;0),'Semi OpInc'!J79/'Semi OpInc'!F79-1,""),"")</f>
        <v/>
      </c>
      <c r="G1074" s="37">
        <f>IFERROR(IF(AND(ISNUMBER('Semi OpInc'!K79),ISNUMBER('Semi OpInc'!G79),'Semi OpInc'!G79&gt;0),'Semi OpInc'!K79/'Semi OpInc'!G79-1,""),"")</f>
        <v/>
      </c>
      <c r="H1074" s="37">
        <f>IFERROR(IF(AND(ISNUMBER('Semi OpInc'!L79),ISNUMBER('Semi OpInc'!H79),'Semi OpInc'!H79&gt;0),'Semi OpInc'!L79/'Semi OpInc'!H79-1,""),"")</f>
        <v/>
      </c>
      <c r="I1074" s="37">
        <f>IFERROR(IF(AND(ISNUMBER('Semi OpInc'!M79),ISNUMBER('Semi OpInc'!I79),'Semi OpInc'!I79&gt;0),'Semi OpInc'!M79/'Semi OpInc'!I79-1,""),"")</f>
        <v/>
      </c>
      <c r="J1074" s="37">
        <f>IFERROR(IF(AND(ISNUMBER('Semi OpInc'!N79),ISNUMBER('Semi OpInc'!J79),'Semi OpInc'!J79&gt;0),'Semi OpInc'!N79/'Semi OpInc'!J79-1,""),"")</f>
        <v/>
      </c>
      <c r="K1074" s="37">
        <f>IFERROR(IF(AND(ISNUMBER('Semi OpInc'!O79),ISNUMBER('Semi OpInc'!K79),'Semi OpInc'!K79&gt;0),'Semi OpInc'!O79/'Semi OpInc'!K79-1,""),"")</f>
        <v/>
      </c>
      <c r="L1074" s="37">
        <f>IFERROR(IF(AND(ISNUMBER('Semi OpInc'!P79),ISNUMBER('Semi OpInc'!L79),'Semi OpInc'!L79&gt;0),'Semi OpInc'!P79/'Semi OpInc'!L79-1,""),"")</f>
        <v/>
      </c>
      <c r="M1074" s="38">
        <f>IFERROR(IF(AND(ISNUMBER('Semi OpInc'!Q79),ISNUMBER('Semi OpInc'!M79),'Semi OpInc'!M79&gt;0),'Semi OpInc'!Q79/'Semi OpInc'!M79-1,""),"")</f>
        <v/>
      </c>
      <c r="N1074" s="38">
        <f>IFERROR(IF(AND(ISNUMBER('Semi OpInc'!R79),ISNUMBER('Semi OpInc'!N79),'Semi OpInc'!N79&gt;0),'Semi OpInc'!R79/'Semi OpInc'!N79-1,""),"")</f>
        <v/>
      </c>
    </row>
    <row r="1075">
      <c r="A1075" s="19">
        <f>'Semi Rev'!$A80</f>
        <v/>
      </c>
      <c r="B1075" s="19">
        <f>'Semi Rev'!$B80</f>
        <v/>
      </c>
      <c r="C1075" s="37">
        <f>IFERROR(IF(AND(ISNUMBER('Semi OpInc'!G80),ISNUMBER('Semi OpInc'!C80),'Semi OpInc'!C80&gt;0),'Semi OpInc'!G80/'Semi OpInc'!C80-1,""),"")</f>
        <v/>
      </c>
      <c r="D1075" s="37">
        <f>IFERROR(IF(AND(ISNUMBER('Semi OpInc'!H80),ISNUMBER('Semi OpInc'!D80),'Semi OpInc'!D80&gt;0),'Semi OpInc'!H80/'Semi OpInc'!D80-1,""),"")</f>
        <v/>
      </c>
      <c r="E1075" s="37">
        <f>IFERROR(IF(AND(ISNUMBER('Semi OpInc'!I80),ISNUMBER('Semi OpInc'!E80),'Semi OpInc'!E80&gt;0),'Semi OpInc'!I80/'Semi OpInc'!E80-1,""),"")</f>
        <v/>
      </c>
      <c r="F1075" s="37">
        <f>IFERROR(IF(AND(ISNUMBER('Semi OpInc'!J80),ISNUMBER('Semi OpInc'!F80),'Semi OpInc'!F80&gt;0),'Semi OpInc'!J80/'Semi OpInc'!F80-1,""),"")</f>
        <v/>
      </c>
      <c r="G1075" s="37">
        <f>IFERROR(IF(AND(ISNUMBER('Semi OpInc'!K80),ISNUMBER('Semi OpInc'!G80),'Semi OpInc'!G80&gt;0),'Semi OpInc'!K80/'Semi OpInc'!G80-1,""),"")</f>
        <v/>
      </c>
      <c r="H1075" s="37">
        <f>IFERROR(IF(AND(ISNUMBER('Semi OpInc'!L80),ISNUMBER('Semi OpInc'!H80),'Semi OpInc'!H80&gt;0),'Semi OpInc'!L80/'Semi OpInc'!H80-1,""),"")</f>
        <v/>
      </c>
      <c r="I1075" s="37">
        <f>IFERROR(IF(AND(ISNUMBER('Semi OpInc'!M80),ISNUMBER('Semi OpInc'!I80),'Semi OpInc'!I80&gt;0),'Semi OpInc'!M80/'Semi OpInc'!I80-1,""),"")</f>
        <v/>
      </c>
      <c r="J1075" s="37">
        <f>IFERROR(IF(AND(ISNUMBER('Semi OpInc'!N80),ISNUMBER('Semi OpInc'!J80),'Semi OpInc'!J80&gt;0),'Semi OpInc'!N80/'Semi OpInc'!J80-1,""),"")</f>
        <v/>
      </c>
      <c r="K1075" s="37">
        <f>IFERROR(IF(AND(ISNUMBER('Semi OpInc'!O80),ISNUMBER('Semi OpInc'!K80),'Semi OpInc'!K80&gt;0),'Semi OpInc'!O80/'Semi OpInc'!K80-1,""),"")</f>
        <v/>
      </c>
      <c r="L1075" s="37">
        <f>IFERROR(IF(AND(ISNUMBER('Semi OpInc'!P80),ISNUMBER('Semi OpInc'!L80),'Semi OpInc'!L80&gt;0),'Semi OpInc'!P80/'Semi OpInc'!L80-1,""),"")</f>
        <v/>
      </c>
      <c r="M1075" s="38">
        <f>IFERROR(IF(AND(ISNUMBER('Semi OpInc'!Q80),ISNUMBER('Semi OpInc'!M80),'Semi OpInc'!M80&gt;0),'Semi OpInc'!Q80/'Semi OpInc'!M80-1,""),"")</f>
        <v/>
      </c>
      <c r="N1075" s="38">
        <f>IFERROR(IF(AND(ISNUMBER('Semi OpInc'!R80),ISNUMBER('Semi OpInc'!N80),'Semi OpInc'!N80&gt;0),'Semi OpInc'!R80/'Semi OpInc'!N80-1,""),"")</f>
        <v/>
      </c>
    </row>
    <row r="1076">
      <c r="A1076" s="19">
        <f>'Semi Rev'!$A81</f>
        <v/>
      </c>
      <c r="B1076" s="19">
        <f>'Semi Rev'!$B81</f>
        <v/>
      </c>
      <c r="C1076" s="37">
        <f>IFERROR(IF(AND(ISNUMBER('Semi OpInc'!G81),ISNUMBER('Semi OpInc'!C81),'Semi OpInc'!C81&gt;0),'Semi OpInc'!G81/'Semi OpInc'!C81-1,""),"")</f>
        <v/>
      </c>
      <c r="D1076" s="37">
        <f>IFERROR(IF(AND(ISNUMBER('Semi OpInc'!H81),ISNUMBER('Semi OpInc'!D81),'Semi OpInc'!D81&gt;0),'Semi OpInc'!H81/'Semi OpInc'!D81-1,""),"")</f>
        <v/>
      </c>
      <c r="E1076" s="37">
        <f>IFERROR(IF(AND(ISNUMBER('Semi OpInc'!I81),ISNUMBER('Semi OpInc'!E81),'Semi OpInc'!E81&gt;0),'Semi OpInc'!I81/'Semi OpInc'!E81-1,""),"")</f>
        <v/>
      </c>
      <c r="F1076" s="37">
        <f>IFERROR(IF(AND(ISNUMBER('Semi OpInc'!J81),ISNUMBER('Semi OpInc'!F81),'Semi OpInc'!F81&gt;0),'Semi OpInc'!J81/'Semi OpInc'!F81-1,""),"")</f>
        <v/>
      </c>
      <c r="G1076" s="37">
        <f>IFERROR(IF(AND(ISNUMBER('Semi OpInc'!K81),ISNUMBER('Semi OpInc'!G81),'Semi OpInc'!G81&gt;0),'Semi OpInc'!K81/'Semi OpInc'!G81-1,""),"")</f>
        <v/>
      </c>
      <c r="H1076" s="37">
        <f>IFERROR(IF(AND(ISNUMBER('Semi OpInc'!L81),ISNUMBER('Semi OpInc'!H81),'Semi OpInc'!H81&gt;0),'Semi OpInc'!L81/'Semi OpInc'!H81-1,""),"")</f>
        <v/>
      </c>
      <c r="I1076" s="37">
        <f>IFERROR(IF(AND(ISNUMBER('Semi OpInc'!M81),ISNUMBER('Semi OpInc'!I81),'Semi OpInc'!I81&gt;0),'Semi OpInc'!M81/'Semi OpInc'!I81-1,""),"")</f>
        <v/>
      </c>
      <c r="J1076" s="37">
        <f>IFERROR(IF(AND(ISNUMBER('Semi OpInc'!N81),ISNUMBER('Semi OpInc'!J81),'Semi OpInc'!J81&gt;0),'Semi OpInc'!N81/'Semi OpInc'!J81-1,""),"")</f>
        <v/>
      </c>
      <c r="K1076" s="37">
        <f>IFERROR(IF(AND(ISNUMBER('Semi OpInc'!O81),ISNUMBER('Semi OpInc'!K81),'Semi OpInc'!K81&gt;0),'Semi OpInc'!O81/'Semi OpInc'!K81-1,""),"")</f>
        <v/>
      </c>
      <c r="L1076" s="37">
        <f>IFERROR(IF(AND(ISNUMBER('Semi OpInc'!P81),ISNUMBER('Semi OpInc'!L81),'Semi OpInc'!L81&gt;0),'Semi OpInc'!P81/'Semi OpInc'!L81-1,""),"")</f>
        <v/>
      </c>
      <c r="M1076" s="38">
        <f>IFERROR(IF(AND(ISNUMBER('Semi OpInc'!Q81),ISNUMBER('Semi OpInc'!M81),'Semi OpInc'!M81&gt;0),'Semi OpInc'!Q81/'Semi OpInc'!M81-1,""),"")</f>
        <v/>
      </c>
      <c r="N1076" s="38">
        <f>IFERROR(IF(AND(ISNUMBER('Semi OpInc'!R81),ISNUMBER('Semi OpInc'!N81),'Semi OpInc'!N81&gt;0),'Semi OpInc'!R81/'Semi OpInc'!N81-1,""),"")</f>
        <v/>
      </c>
    </row>
    <row r="1077">
      <c r="A1077" s="19">
        <f>'Semi Rev'!$A82</f>
        <v/>
      </c>
      <c r="B1077" s="19">
        <f>'Semi Rev'!$B82</f>
        <v/>
      </c>
      <c r="C1077" s="37">
        <f>IFERROR(IF(AND(ISNUMBER('Semi OpInc'!G82),ISNUMBER('Semi OpInc'!C82),'Semi OpInc'!C82&gt;0),'Semi OpInc'!G82/'Semi OpInc'!C82-1,""),"")</f>
        <v/>
      </c>
      <c r="D1077" s="37">
        <f>IFERROR(IF(AND(ISNUMBER('Semi OpInc'!H82),ISNUMBER('Semi OpInc'!D82),'Semi OpInc'!D82&gt;0),'Semi OpInc'!H82/'Semi OpInc'!D82-1,""),"")</f>
        <v/>
      </c>
      <c r="E1077" s="37">
        <f>IFERROR(IF(AND(ISNUMBER('Semi OpInc'!I82),ISNUMBER('Semi OpInc'!E82),'Semi OpInc'!E82&gt;0),'Semi OpInc'!I82/'Semi OpInc'!E82-1,""),"")</f>
        <v/>
      </c>
      <c r="F1077" s="37">
        <f>IFERROR(IF(AND(ISNUMBER('Semi OpInc'!J82),ISNUMBER('Semi OpInc'!F82),'Semi OpInc'!F82&gt;0),'Semi OpInc'!J82/'Semi OpInc'!F82-1,""),"")</f>
        <v/>
      </c>
      <c r="G1077" s="37">
        <f>IFERROR(IF(AND(ISNUMBER('Semi OpInc'!K82),ISNUMBER('Semi OpInc'!G82),'Semi OpInc'!G82&gt;0),'Semi OpInc'!K82/'Semi OpInc'!G82-1,""),"")</f>
        <v/>
      </c>
      <c r="H1077" s="37">
        <f>IFERROR(IF(AND(ISNUMBER('Semi OpInc'!L82),ISNUMBER('Semi OpInc'!H82),'Semi OpInc'!H82&gt;0),'Semi OpInc'!L82/'Semi OpInc'!H82-1,""),"")</f>
        <v/>
      </c>
      <c r="I1077" s="37">
        <f>IFERROR(IF(AND(ISNUMBER('Semi OpInc'!M82),ISNUMBER('Semi OpInc'!I82),'Semi OpInc'!I82&gt;0),'Semi OpInc'!M82/'Semi OpInc'!I82-1,""),"")</f>
        <v/>
      </c>
      <c r="J1077" s="37">
        <f>IFERROR(IF(AND(ISNUMBER('Semi OpInc'!N82),ISNUMBER('Semi OpInc'!J82),'Semi OpInc'!J82&gt;0),'Semi OpInc'!N82/'Semi OpInc'!J82-1,""),"")</f>
        <v/>
      </c>
      <c r="K1077" s="37">
        <f>IFERROR(IF(AND(ISNUMBER('Semi OpInc'!O82),ISNUMBER('Semi OpInc'!K82),'Semi OpInc'!K82&gt;0),'Semi OpInc'!O82/'Semi OpInc'!K82-1,""),"")</f>
        <v/>
      </c>
      <c r="L1077" s="37">
        <f>IFERROR(IF(AND(ISNUMBER('Semi OpInc'!P82),ISNUMBER('Semi OpInc'!L82),'Semi OpInc'!L82&gt;0),'Semi OpInc'!P82/'Semi OpInc'!L82-1,""),"")</f>
        <v/>
      </c>
      <c r="M1077" s="38">
        <f>IFERROR(IF(AND(ISNUMBER('Semi OpInc'!Q82),ISNUMBER('Semi OpInc'!M82),'Semi OpInc'!M82&gt;0),'Semi OpInc'!Q82/'Semi OpInc'!M82-1,""),"")</f>
        <v/>
      </c>
      <c r="N1077" s="38">
        <f>IFERROR(IF(AND(ISNUMBER('Semi OpInc'!R82),ISNUMBER('Semi OpInc'!N82),'Semi OpInc'!N82&gt;0),'Semi OpInc'!R82/'Semi OpInc'!N82-1,""),"")</f>
        <v/>
      </c>
    </row>
    <row r="1078">
      <c r="A1078" s="19">
        <f>'Semi Rev'!$A83</f>
        <v/>
      </c>
      <c r="B1078" s="19">
        <f>'Semi Rev'!$B83</f>
        <v/>
      </c>
      <c r="C1078" s="37">
        <f>IFERROR(IF(AND(ISNUMBER('Semi OpInc'!G83),ISNUMBER('Semi OpInc'!C83),'Semi OpInc'!C83&gt;0),'Semi OpInc'!G83/'Semi OpInc'!C83-1,""),"")</f>
        <v/>
      </c>
      <c r="D1078" s="37">
        <f>IFERROR(IF(AND(ISNUMBER('Semi OpInc'!H83),ISNUMBER('Semi OpInc'!D83),'Semi OpInc'!D83&gt;0),'Semi OpInc'!H83/'Semi OpInc'!D83-1,""),"")</f>
        <v/>
      </c>
      <c r="E1078" s="37">
        <f>IFERROR(IF(AND(ISNUMBER('Semi OpInc'!I83),ISNUMBER('Semi OpInc'!E83),'Semi OpInc'!E83&gt;0),'Semi OpInc'!I83/'Semi OpInc'!E83-1,""),"")</f>
        <v/>
      </c>
      <c r="F1078" s="37">
        <f>IFERROR(IF(AND(ISNUMBER('Semi OpInc'!J83),ISNUMBER('Semi OpInc'!F83),'Semi OpInc'!F83&gt;0),'Semi OpInc'!J83/'Semi OpInc'!F83-1,""),"")</f>
        <v/>
      </c>
      <c r="G1078" s="37">
        <f>IFERROR(IF(AND(ISNUMBER('Semi OpInc'!K83),ISNUMBER('Semi OpInc'!G83),'Semi OpInc'!G83&gt;0),'Semi OpInc'!K83/'Semi OpInc'!G83-1,""),"")</f>
        <v/>
      </c>
      <c r="H1078" s="37">
        <f>IFERROR(IF(AND(ISNUMBER('Semi OpInc'!L83),ISNUMBER('Semi OpInc'!H83),'Semi OpInc'!H83&gt;0),'Semi OpInc'!L83/'Semi OpInc'!H83-1,""),"")</f>
        <v/>
      </c>
      <c r="I1078" s="37">
        <f>IFERROR(IF(AND(ISNUMBER('Semi OpInc'!M83),ISNUMBER('Semi OpInc'!I83),'Semi OpInc'!I83&gt;0),'Semi OpInc'!M83/'Semi OpInc'!I83-1,""),"")</f>
        <v/>
      </c>
      <c r="J1078" s="37">
        <f>IFERROR(IF(AND(ISNUMBER('Semi OpInc'!N83),ISNUMBER('Semi OpInc'!J83),'Semi OpInc'!J83&gt;0),'Semi OpInc'!N83/'Semi OpInc'!J83-1,""),"")</f>
        <v/>
      </c>
      <c r="K1078" s="37">
        <f>IFERROR(IF(AND(ISNUMBER('Semi OpInc'!O83),ISNUMBER('Semi OpInc'!K83),'Semi OpInc'!K83&gt;0),'Semi OpInc'!O83/'Semi OpInc'!K83-1,""),"")</f>
        <v/>
      </c>
      <c r="L1078" s="37">
        <f>IFERROR(IF(AND(ISNUMBER('Semi OpInc'!P83),ISNUMBER('Semi OpInc'!L83),'Semi OpInc'!L83&gt;0),'Semi OpInc'!P83/'Semi OpInc'!L83-1,""),"")</f>
        <v/>
      </c>
      <c r="M1078" s="38">
        <f>IFERROR(IF(AND(ISNUMBER('Semi OpInc'!Q83),ISNUMBER('Semi OpInc'!M83),'Semi OpInc'!M83&gt;0),'Semi OpInc'!Q83/'Semi OpInc'!M83-1,""),"")</f>
        <v/>
      </c>
      <c r="N1078" s="38">
        <f>IFERROR(IF(AND(ISNUMBER('Semi OpInc'!R83),ISNUMBER('Semi OpInc'!N83),'Semi OpInc'!N83&gt;0),'Semi OpInc'!R83/'Semi OpInc'!N83-1,""),"")</f>
        <v/>
      </c>
    </row>
    <row r="1079">
      <c r="A1079" s="19">
        <f>'Semi Rev'!$A84</f>
        <v/>
      </c>
      <c r="B1079" s="19">
        <f>'Semi Rev'!$B84</f>
        <v/>
      </c>
      <c r="C1079" s="37">
        <f>IFERROR(IF(AND(ISNUMBER('Semi OpInc'!G84),ISNUMBER('Semi OpInc'!C84),'Semi OpInc'!C84&gt;0),'Semi OpInc'!G84/'Semi OpInc'!C84-1,""),"")</f>
        <v/>
      </c>
      <c r="D1079" s="37">
        <f>IFERROR(IF(AND(ISNUMBER('Semi OpInc'!H84),ISNUMBER('Semi OpInc'!D84),'Semi OpInc'!D84&gt;0),'Semi OpInc'!H84/'Semi OpInc'!D84-1,""),"")</f>
        <v/>
      </c>
      <c r="E1079" s="37">
        <f>IFERROR(IF(AND(ISNUMBER('Semi OpInc'!I84),ISNUMBER('Semi OpInc'!E84),'Semi OpInc'!E84&gt;0),'Semi OpInc'!I84/'Semi OpInc'!E84-1,""),"")</f>
        <v/>
      </c>
      <c r="F1079" s="37">
        <f>IFERROR(IF(AND(ISNUMBER('Semi OpInc'!J84),ISNUMBER('Semi OpInc'!F84),'Semi OpInc'!F84&gt;0),'Semi OpInc'!J84/'Semi OpInc'!F84-1,""),"")</f>
        <v/>
      </c>
      <c r="G1079" s="37">
        <f>IFERROR(IF(AND(ISNUMBER('Semi OpInc'!K84),ISNUMBER('Semi OpInc'!G84),'Semi OpInc'!G84&gt;0),'Semi OpInc'!K84/'Semi OpInc'!G84-1,""),"")</f>
        <v/>
      </c>
      <c r="H1079" s="37">
        <f>IFERROR(IF(AND(ISNUMBER('Semi OpInc'!L84),ISNUMBER('Semi OpInc'!H84),'Semi OpInc'!H84&gt;0),'Semi OpInc'!L84/'Semi OpInc'!H84-1,""),"")</f>
        <v/>
      </c>
      <c r="I1079" s="37">
        <f>IFERROR(IF(AND(ISNUMBER('Semi OpInc'!M84),ISNUMBER('Semi OpInc'!I84),'Semi OpInc'!I84&gt;0),'Semi OpInc'!M84/'Semi OpInc'!I84-1,""),"")</f>
        <v/>
      </c>
      <c r="J1079" s="37">
        <f>IFERROR(IF(AND(ISNUMBER('Semi OpInc'!N84),ISNUMBER('Semi OpInc'!J84),'Semi OpInc'!J84&gt;0),'Semi OpInc'!N84/'Semi OpInc'!J84-1,""),"")</f>
        <v/>
      </c>
      <c r="K1079" s="37">
        <f>IFERROR(IF(AND(ISNUMBER('Semi OpInc'!O84),ISNUMBER('Semi OpInc'!K84),'Semi OpInc'!K84&gt;0),'Semi OpInc'!O84/'Semi OpInc'!K84-1,""),"")</f>
        <v/>
      </c>
      <c r="L1079" s="37">
        <f>IFERROR(IF(AND(ISNUMBER('Semi OpInc'!P84),ISNUMBER('Semi OpInc'!L84),'Semi OpInc'!L84&gt;0),'Semi OpInc'!P84/'Semi OpInc'!L84-1,""),"")</f>
        <v/>
      </c>
      <c r="M1079" s="38">
        <f>IFERROR(IF(AND(ISNUMBER('Semi OpInc'!Q84),ISNUMBER('Semi OpInc'!M84),'Semi OpInc'!M84&gt;0),'Semi OpInc'!Q84/'Semi OpInc'!M84-1,""),"")</f>
        <v/>
      </c>
      <c r="N1079" s="38">
        <f>IFERROR(IF(AND(ISNUMBER('Semi OpInc'!R84),ISNUMBER('Semi OpInc'!N84),'Semi OpInc'!N84&gt;0),'Semi OpInc'!R84/'Semi OpInc'!N84-1,""),"")</f>
        <v/>
      </c>
    </row>
    <row r="1080">
      <c r="A1080" s="19">
        <f>'Semi Rev'!$A85</f>
        <v/>
      </c>
      <c r="B1080" s="19">
        <f>'Semi Rev'!$B85</f>
        <v/>
      </c>
      <c r="C1080" s="37">
        <f>IFERROR(IF(AND(ISNUMBER('Semi OpInc'!G85),ISNUMBER('Semi OpInc'!C85),'Semi OpInc'!C85&gt;0),'Semi OpInc'!G85/'Semi OpInc'!C85-1,""),"")</f>
        <v/>
      </c>
      <c r="D1080" s="37">
        <f>IFERROR(IF(AND(ISNUMBER('Semi OpInc'!H85),ISNUMBER('Semi OpInc'!D85),'Semi OpInc'!D85&gt;0),'Semi OpInc'!H85/'Semi OpInc'!D85-1,""),"")</f>
        <v/>
      </c>
      <c r="E1080" s="37">
        <f>IFERROR(IF(AND(ISNUMBER('Semi OpInc'!I85),ISNUMBER('Semi OpInc'!E85),'Semi OpInc'!E85&gt;0),'Semi OpInc'!I85/'Semi OpInc'!E85-1,""),"")</f>
        <v/>
      </c>
      <c r="F1080" s="37">
        <f>IFERROR(IF(AND(ISNUMBER('Semi OpInc'!J85),ISNUMBER('Semi OpInc'!F85),'Semi OpInc'!F85&gt;0),'Semi OpInc'!J85/'Semi OpInc'!F85-1,""),"")</f>
        <v/>
      </c>
      <c r="G1080" s="37">
        <f>IFERROR(IF(AND(ISNUMBER('Semi OpInc'!K85),ISNUMBER('Semi OpInc'!G85),'Semi OpInc'!G85&gt;0),'Semi OpInc'!K85/'Semi OpInc'!G85-1,""),"")</f>
        <v/>
      </c>
      <c r="H1080" s="37">
        <f>IFERROR(IF(AND(ISNUMBER('Semi OpInc'!L85),ISNUMBER('Semi OpInc'!H85),'Semi OpInc'!H85&gt;0),'Semi OpInc'!L85/'Semi OpInc'!H85-1,""),"")</f>
        <v/>
      </c>
      <c r="I1080" s="37">
        <f>IFERROR(IF(AND(ISNUMBER('Semi OpInc'!M85),ISNUMBER('Semi OpInc'!I85),'Semi OpInc'!I85&gt;0),'Semi OpInc'!M85/'Semi OpInc'!I85-1,""),"")</f>
        <v/>
      </c>
      <c r="J1080" s="37">
        <f>IFERROR(IF(AND(ISNUMBER('Semi OpInc'!N85),ISNUMBER('Semi OpInc'!J85),'Semi OpInc'!J85&gt;0),'Semi OpInc'!N85/'Semi OpInc'!J85-1,""),"")</f>
        <v/>
      </c>
      <c r="K1080" s="37">
        <f>IFERROR(IF(AND(ISNUMBER('Semi OpInc'!O85),ISNUMBER('Semi OpInc'!K85),'Semi OpInc'!K85&gt;0),'Semi OpInc'!O85/'Semi OpInc'!K85-1,""),"")</f>
        <v/>
      </c>
      <c r="L1080" s="37">
        <f>IFERROR(IF(AND(ISNUMBER('Semi OpInc'!P85),ISNUMBER('Semi OpInc'!L85),'Semi OpInc'!L85&gt;0),'Semi OpInc'!P85/'Semi OpInc'!L85-1,""),"")</f>
        <v/>
      </c>
      <c r="M1080" s="38">
        <f>IFERROR(IF(AND(ISNUMBER('Semi OpInc'!Q85),ISNUMBER('Semi OpInc'!M85),'Semi OpInc'!M85&gt;0),'Semi OpInc'!Q85/'Semi OpInc'!M85-1,""),"")</f>
        <v/>
      </c>
      <c r="N1080" s="38">
        <f>IFERROR(IF(AND(ISNUMBER('Semi OpInc'!R85),ISNUMBER('Semi OpInc'!N85),'Semi OpInc'!N85&gt;0),'Semi OpInc'!R85/'Semi OpInc'!N85-1,""),"")</f>
        <v/>
      </c>
    </row>
    <row r="1081">
      <c r="A1081" s="19">
        <f>'Semi Rev'!$A86</f>
        <v/>
      </c>
      <c r="B1081" s="19">
        <f>'Semi Rev'!$B86</f>
        <v/>
      </c>
      <c r="C1081" s="37">
        <f>IFERROR(IF(AND(ISNUMBER('Semi OpInc'!G86),ISNUMBER('Semi OpInc'!C86),'Semi OpInc'!C86&gt;0),'Semi OpInc'!G86/'Semi OpInc'!C86-1,""),"")</f>
        <v/>
      </c>
      <c r="D1081" s="37">
        <f>IFERROR(IF(AND(ISNUMBER('Semi OpInc'!H86),ISNUMBER('Semi OpInc'!D86),'Semi OpInc'!D86&gt;0),'Semi OpInc'!H86/'Semi OpInc'!D86-1,""),"")</f>
        <v/>
      </c>
      <c r="E1081" s="37">
        <f>IFERROR(IF(AND(ISNUMBER('Semi OpInc'!I86),ISNUMBER('Semi OpInc'!E86),'Semi OpInc'!E86&gt;0),'Semi OpInc'!I86/'Semi OpInc'!E86-1,""),"")</f>
        <v/>
      </c>
      <c r="F1081" s="37">
        <f>IFERROR(IF(AND(ISNUMBER('Semi OpInc'!J86),ISNUMBER('Semi OpInc'!F86),'Semi OpInc'!F86&gt;0),'Semi OpInc'!J86/'Semi OpInc'!F86-1,""),"")</f>
        <v/>
      </c>
      <c r="G1081" s="37">
        <f>IFERROR(IF(AND(ISNUMBER('Semi OpInc'!K86),ISNUMBER('Semi OpInc'!G86),'Semi OpInc'!G86&gt;0),'Semi OpInc'!K86/'Semi OpInc'!G86-1,""),"")</f>
        <v/>
      </c>
      <c r="H1081" s="37">
        <f>IFERROR(IF(AND(ISNUMBER('Semi OpInc'!L86),ISNUMBER('Semi OpInc'!H86),'Semi OpInc'!H86&gt;0),'Semi OpInc'!L86/'Semi OpInc'!H86-1,""),"")</f>
        <v/>
      </c>
      <c r="I1081" s="37">
        <f>IFERROR(IF(AND(ISNUMBER('Semi OpInc'!M86),ISNUMBER('Semi OpInc'!I86),'Semi OpInc'!I86&gt;0),'Semi OpInc'!M86/'Semi OpInc'!I86-1,""),"")</f>
        <v/>
      </c>
      <c r="J1081" s="37">
        <f>IFERROR(IF(AND(ISNUMBER('Semi OpInc'!N86),ISNUMBER('Semi OpInc'!J86),'Semi OpInc'!J86&gt;0),'Semi OpInc'!N86/'Semi OpInc'!J86-1,""),"")</f>
        <v/>
      </c>
      <c r="K1081" s="37">
        <f>IFERROR(IF(AND(ISNUMBER('Semi OpInc'!O86),ISNUMBER('Semi OpInc'!K86),'Semi OpInc'!K86&gt;0),'Semi OpInc'!O86/'Semi OpInc'!K86-1,""),"")</f>
        <v/>
      </c>
      <c r="L1081" s="37">
        <f>IFERROR(IF(AND(ISNUMBER('Semi OpInc'!P86),ISNUMBER('Semi OpInc'!L86),'Semi OpInc'!L86&gt;0),'Semi OpInc'!P86/'Semi OpInc'!L86-1,""),"")</f>
        <v/>
      </c>
      <c r="M1081" s="38">
        <f>IFERROR(IF(AND(ISNUMBER('Semi OpInc'!Q86),ISNUMBER('Semi OpInc'!M86),'Semi OpInc'!M86&gt;0),'Semi OpInc'!Q86/'Semi OpInc'!M86-1,""),"")</f>
        <v/>
      </c>
      <c r="N1081" s="38">
        <f>IFERROR(IF(AND(ISNUMBER('Semi OpInc'!R86),ISNUMBER('Semi OpInc'!N86),'Semi OpInc'!N86&gt;0),'Semi OpInc'!R86/'Semi OpInc'!N86-1,""),"")</f>
        <v/>
      </c>
    </row>
    <row r="1082">
      <c r="A1082" s="19">
        <f>'Semi Rev'!$A87</f>
        <v/>
      </c>
      <c r="B1082" s="19">
        <f>'Semi Rev'!$B87</f>
        <v/>
      </c>
      <c r="C1082" s="37">
        <f>IFERROR(IF(AND(ISNUMBER('Semi OpInc'!G87),ISNUMBER('Semi OpInc'!C87),'Semi OpInc'!C87&gt;0),'Semi OpInc'!G87/'Semi OpInc'!C87-1,""),"")</f>
        <v/>
      </c>
      <c r="D1082" s="37">
        <f>IFERROR(IF(AND(ISNUMBER('Semi OpInc'!H87),ISNUMBER('Semi OpInc'!D87),'Semi OpInc'!D87&gt;0),'Semi OpInc'!H87/'Semi OpInc'!D87-1,""),"")</f>
        <v/>
      </c>
      <c r="E1082" s="37">
        <f>IFERROR(IF(AND(ISNUMBER('Semi OpInc'!I87),ISNUMBER('Semi OpInc'!E87),'Semi OpInc'!E87&gt;0),'Semi OpInc'!I87/'Semi OpInc'!E87-1,""),"")</f>
        <v/>
      </c>
      <c r="F1082" s="37">
        <f>IFERROR(IF(AND(ISNUMBER('Semi OpInc'!J87),ISNUMBER('Semi OpInc'!F87),'Semi OpInc'!F87&gt;0),'Semi OpInc'!J87/'Semi OpInc'!F87-1,""),"")</f>
        <v/>
      </c>
      <c r="G1082" s="37">
        <f>IFERROR(IF(AND(ISNUMBER('Semi OpInc'!K87),ISNUMBER('Semi OpInc'!G87),'Semi OpInc'!G87&gt;0),'Semi OpInc'!K87/'Semi OpInc'!G87-1,""),"")</f>
        <v/>
      </c>
      <c r="H1082" s="37">
        <f>IFERROR(IF(AND(ISNUMBER('Semi OpInc'!L87),ISNUMBER('Semi OpInc'!H87),'Semi OpInc'!H87&gt;0),'Semi OpInc'!L87/'Semi OpInc'!H87-1,""),"")</f>
        <v/>
      </c>
      <c r="I1082" s="37">
        <f>IFERROR(IF(AND(ISNUMBER('Semi OpInc'!M87),ISNUMBER('Semi OpInc'!I87),'Semi OpInc'!I87&gt;0),'Semi OpInc'!M87/'Semi OpInc'!I87-1,""),"")</f>
        <v/>
      </c>
      <c r="J1082" s="37">
        <f>IFERROR(IF(AND(ISNUMBER('Semi OpInc'!N87),ISNUMBER('Semi OpInc'!J87),'Semi OpInc'!J87&gt;0),'Semi OpInc'!N87/'Semi OpInc'!J87-1,""),"")</f>
        <v/>
      </c>
      <c r="K1082" s="37">
        <f>IFERROR(IF(AND(ISNUMBER('Semi OpInc'!O87),ISNUMBER('Semi OpInc'!K87),'Semi OpInc'!K87&gt;0),'Semi OpInc'!O87/'Semi OpInc'!K87-1,""),"")</f>
        <v/>
      </c>
      <c r="L1082" s="37">
        <f>IFERROR(IF(AND(ISNUMBER('Semi OpInc'!P87),ISNUMBER('Semi OpInc'!L87),'Semi OpInc'!L87&gt;0),'Semi OpInc'!P87/'Semi OpInc'!L87-1,""),"")</f>
        <v/>
      </c>
      <c r="M1082" s="38">
        <f>IFERROR(IF(AND(ISNUMBER('Semi OpInc'!Q87),ISNUMBER('Semi OpInc'!M87),'Semi OpInc'!M87&gt;0),'Semi OpInc'!Q87/'Semi OpInc'!M87-1,""),"")</f>
        <v/>
      </c>
      <c r="N1082" s="38">
        <f>IFERROR(IF(AND(ISNUMBER('Semi OpInc'!R87),ISNUMBER('Semi OpInc'!N87),'Semi OpInc'!N87&gt;0),'Semi OpInc'!R87/'Semi OpInc'!N87-1,""),"")</f>
        <v/>
      </c>
    </row>
    <row r="1083">
      <c r="A1083" s="19">
        <f>'Semi Rev'!$A88</f>
        <v/>
      </c>
      <c r="B1083" s="19">
        <f>'Semi Rev'!$B88</f>
        <v/>
      </c>
      <c r="C1083" s="37">
        <f>IFERROR(IF(AND(ISNUMBER('Semi OpInc'!G88),ISNUMBER('Semi OpInc'!C88),'Semi OpInc'!C88&gt;0),'Semi OpInc'!G88/'Semi OpInc'!C88-1,""),"")</f>
        <v/>
      </c>
      <c r="D1083" s="37">
        <f>IFERROR(IF(AND(ISNUMBER('Semi OpInc'!H88),ISNUMBER('Semi OpInc'!D88),'Semi OpInc'!D88&gt;0),'Semi OpInc'!H88/'Semi OpInc'!D88-1,""),"")</f>
        <v/>
      </c>
      <c r="E1083" s="37">
        <f>IFERROR(IF(AND(ISNUMBER('Semi OpInc'!I88),ISNUMBER('Semi OpInc'!E88),'Semi OpInc'!E88&gt;0),'Semi OpInc'!I88/'Semi OpInc'!E88-1,""),"")</f>
        <v/>
      </c>
      <c r="F1083" s="37">
        <f>IFERROR(IF(AND(ISNUMBER('Semi OpInc'!J88),ISNUMBER('Semi OpInc'!F88),'Semi OpInc'!F88&gt;0),'Semi OpInc'!J88/'Semi OpInc'!F88-1,""),"")</f>
        <v/>
      </c>
      <c r="G1083" s="37">
        <f>IFERROR(IF(AND(ISNUMBER('Semi OpInc'!K88),ISNUMBER('Semi OpInc'!G88),'Semi OpInc'!G88&gt;0),'Semi OpInc'!K88/'Semi OpInc'!G88-1,""),"")</f>
        <v/>
      </c>
      <c r="H1083" s="37">
        <f>IFERROR(IF(AND(ISNUMBER('Semi OpInc'!L88),ISNUMBER('Semi OpInc'!H88),'Semi OpInc'!H88&gt;0),'Semi OpInc'!L88/'Semi OpInc'!H88-1,""),"")</f>
        <v/>
      </c>
      <c r="I1083" s="37">
        <f>IFERROR(IF(AND(ISNUMBER('Semi OpInc'!M88),ISNUMBER('Semi OpInc'!I88),'Semi OpInc'!I88&gt;0),'Semi OpInc'!M88/'Semi OpInc'!I88-1,""),"")</f>
        <v/>
      </c>
      <c r="J1083" s="37">
        <f>IFERROR(IF(AND(ISNUMBER('Semi OpInc'!N88),ISNUMBER('Semi OpInc'!J88),'Semi OpInc'!J88&gt;0),'Semi OpInc'!N88/'Semi OpInc'!J88-1,""),"")</f>
        <v/>
      </c>
      <c r="K1083" s="37">
        <f>IFERROR(IF(AND(ISNUMBER('Semi OpInc'!O88),ISNUMBER('Semi OpInc'!K88),'Semi OpInc'!K88&gt;0),'Semi OpInc'!O88/'Semi OpInc'!K88-1,""),"")</f>
        <v/>
      </c>
      <c r="L1083" s="37">
        <f>IFERROR(IF(AND(ISNUMBER('Semi OpInc'!P88),ISNUMBER('Semi OpInc'!L88),'Semi OpInc'!L88&gt;0),'Semi OpInc'!P88/'Semi OpInc'!L88-1,""),"")</f>
        <v/>
      </c>
      <c r="M1083" s="38">
        <f>IFERROR(IF(AND(ISNUMBER('Semi OpInc'!Q88),ISNUMBER('Semi OpInc'!M88),'Semi OpInc'!M88&gt;0),'Semi OpInc'!Q88/'Semi OpInc'!M88-1,""),"")</f>
        <v/>
      </c>
      <c r="N1083" s="38">
        <f>IFERROR(IF(AND(ISNUMBER('Semi OpInc'!R88),ISNUMBER('Semi OpInc'!N88),'Semi OpInc'!N88&gt;0),'Semi OpInc'!R88/'Semi OpInc'!N88-1,""),"")</f>
        <v/>
      </c>
    </row>
    <row r="1084">
      <c r="A1084" s="19">
        <f>'Semi Rev'!$A89</f>
        <v/>
      </c>
      <c r="B1084" s="19">
        <f>'Semi Rev'!$B89</f>
        <v/>
      </c>
      <c r="C1084" s="37">
        <f>IFERROR(IF(AND(ISNUMBER('Semi OpInc'!G89),ISNUMBER('Semi OpInc'!C89),'Semi OpInc'!C89&gt;0),'Semi OpInc'!G89/'Semi OpInc'!C89-1,""),"")</f>
        <v/>
      </c>
      <c r="D1084" s="37">
        <f>IFERROR(IF(AND(ISNUMBER('Semi OpInc'!H89),ISNUMBER('Semi OpInc'!D89),'Semi OpInc'!D89&gt;0),'Semi OpInc'!H89/'Semi OpInc'!D89-1,""),"")</f>
        <v/>
      </c>
      <c r="E1084" s="37">
        <f>IFERROR(IF(AND(ISNUMBER('Semi OpInc'!I89),ISNUMBER('Semi OpInc'!E89),'Semi OpInc'!E89&gt;0),'Semi OpInc'!I89/'Semi OpInc'!E89-1,""),"")</f>
        <v/>
      </c>
      <c r="F1084" s="37">
        <f>IFERROR(IF(AND(ISNUMBER('Semi OpInc'!J89),ISNUMBER('Semi OpInc'!F89),'Semi OpInc'!F89&gt;0),'Semi OpInc'!J89/'Semi OpInc'!F89-1,""),"")</f>
        <v/>
      </c>
      <c r="G1084" s="37">
        <f>IFERROR(IF(AND(ISNUMBER('Semi OpInc'!K89),ISNUMBER('Semi OpInc'!G89),'Semi OpInc'!G89&gt;0),'Semi OpInc'!K89/'Semi OpInc'!G89-1,""),"")</f>
        <v/>
      </c>
      <c r="H1084" s="37">
        <f>IFERROR(IF(AND(ISNUMBER('Semi OpInc'!L89),ISNUMBER('Semi OpInc'!H89),'Semi OpInc'!H89&gt;0),'Semi OpInc'!L89/'Semi OpInc'!H89-1,""),"")</f>
        <v/>
      </c>
      <c r="I1084" s="37">
        <f>IFERROR(IF(AND(ISNUMBER('Semi OpInc'!M89),ISNUMBER('Semi OpInc'!I89),'Semi OpInc'!I89&gt;0),'Semi OpInc'!M89/'Semi OpInc'!I89-1,""),"")</f>
        <v/>
      </c>
      <c r="J1084" s="37">
        <f>IFERROR(IF(AND(ISNUMBER('Semi OpInc'!N89),ISNUMBER('Semi OpInc'!J89),'Semi OpInc'!J89&gt;0),'Semi OpInc'!N89/'Semi OpInc'!J89-1,""),"")</f>
        <v/>
      </c>
      <c r="K1084" s="37">
        <f>IFERROR(IF(AND(ISNUMBER('Semi OpInc'!O89),ISNUMBER('Semi OpInc'!K89),'Semi OpInc'!K89&gt;0),'Semi OpInc'!O89/'Semi OpInc'!K89-1,""),"")</f>
        <v/>
      </c>
      <c r="L1084" s="37">
        <f>IFERROR(IF(AND(ISNUMBER('Semi OpInc'!P89),ISNUMBER('Semi OpInc'!L89),'Semi OpInc'!L89&gt;0),'Semi OpInc'!P89/'Semi OpInc'!L89-1,""),"")</f>
        <v/>
      </c>
      <c r="M1084" s="38">
        <f>IFERROR(IF(AND(ISNUMBER('Semi OpInc'!Q89),ISNUMBER('Semi OpInc'!M89),'Semi OpInc'!M89&gt;0),'Semi OpInc'!Q89/'Semi OpInc'!M89-1,""),"")</f>
        <v/>
      </c>
      <c r="N1084" s="38">
        <f>IFERROR(IF(AND(ISNUMBER('Semi OpInc'!R89),ISNUMBER('Semi OpInc'!N89),'Semi OpInc'!N89&gt;0),'Semi OpInc'!R89/'Semi OpInc'!N89-1,""),"")</f>
        <v/>
      </c>
    </row>
    <row r="1085">
      <c r="A1085" s="19">
        <f>'Semi Rev'!$A90</f>
        <v/>
      </c>
      <c r="B1085" s="19">
        <f>'Semi Rev'!$B90</f>
        <v/>
      </c>
      <c r="C1085" s="37">
        <f>IFERROR(IF(AND(ISNUMBER('Semi OpInc'!G90),ISNUMBER('Semi OpInc'!C90),'Semi OpInc'!C90&gt;0),'Semi OpInc'!G90/'Semi OpInc'!C90-1,""),"")</f>
        <v/>
      </c>
      <c r="D1085" s="37">
        <f>IFERROR(IF(AND(ISNUMBER('Semi OpInc'!H90),ISNUMBER('Semi OpInc'!D90),'Semi OpInc'!D90&gt;0),'Semi OpInc'!H90/'Semi OpInc'!D90-1,""),"")</f>
        <v/>
      </c>
      <c r="E1085" s="37">
        <f>IFERROR(IF(AND(ISNUMBER('Semi OpInc'!I90),ISNUMBER('Semi OpInc'!E90),'Semi OpInc'!E90&gt;0),'Semi OpInc'!I90/'Semi OpInc'!E90-1,""),"")</f>
        <v/>
      </c>
      <c r="F1085" s="37">
        <f>IFERROR(IF(AND(ISNUMBER('Semi OpInc'!J90),ISNUMBER('Semi OpInc'!F90),'Semi OpInc'!F90&gt;0),'Semi OpInc'!J90/'Semi OpInc'!F90-1,""),"")</f>
        <v/>
      </c>
      <c r="G1085" s="37">
        <f>IFERROR(IF(AND(ISNUMBER('Semi OpInc'!K90),ISNUMBER('Semi OpInc'!G90),'Semi OpInc'!G90&gt;0),'Semi OpInc'!K90/'Semi OpInc'!G90-1,""),"")</f>
        <v/>
      </c>
      <c r="H1085" s="37">
        <f>IFERROR(IF(AND(ISNUMBER('Semi OpInc'!L90),ISNUMBER('Semi OpInc'!H90),'Semi OpInc'!H90&gt;0),'Semi OpInc'!L90/'Semi OpInc'!H90-1,""),"")</f>
        <v/>
      </c>
      <c r="I1085" s="37">
        <f>IFERROR(IF(AND(ISNUMBER('Semi OpInc'!M90),ISNUMBER('Semi OpInc'!I90),'Semi OpInc'!I90&gt;0),'Semi OpInc'!M90/'Semi OpInc'!I90-1,""),"")</f>
        <v/>
      </c>
      <c r="J1085" s="37">
        <f>IFERROR(IF(AND(ISNUMBER('Semi OpInc'!N90),ISNUMBER('Semi OpInc'!J90),'Semi OpInc'!J90&gt;0),'Semi OpInc'!N90/'Semi OpInc'!J90-1,""),"")</f>
        <v/>
      </c>
      <c r="K1085" s="37">
        <f>IFERROR(IF(AND(ISNUMBER('Semi OpInc'!O90),ISNUMBER('Semi OpInc'!K90),'Semi OpInc'!K90&gt;0),'Semi OpInc'!O90/'Semi OpInc'!K90-1,""),"")</f>
        <v/>
      </c>
      <c r="L1085" s="37">
        <f>IFERROR(IF(AND(ISNUMBER('Semi OpInc'!P90),ISNUMBER('Semi OpInc'!L90),'Semi OpInc'!L90&gt;0),'Semi OpInc'!P90/'Semi OpInc'!L90-1,""),"")</f>
        <v/>
      </c>
      <c r="M1085" s="38">
        <f>IFERROR(IF(AND(ISNUMBER('Semi OpInc'!Q90),ISNUMBER('Semi OpInc'!M90),'Semi OpInc'!M90&gt;0),'Semi OpInc'!Q90/'Semi OpInc'!M90-1,""),"")</f>
        <v/>
      </c>
      <c r="N1085" s="38">
        <f>IFERROR(IF(AND(ISNUMBER('Semi OpInc'!R90),ISNUMBER('Semi OpInc'!N90),'Semi OpInc'!N90&gt;0),'Semi OpInc'!R90/'Semi OpInc'!N90-1,""),"")</f>
        <v/>
      </c>
    </row>
    <row r="1086">
      <c r="A1086" s="19">
        <f>'Semi Rev'!$A91</f>
        <v/>
      </c>
      <c r="B1086" s="19">
        <f>'Semi Rev'!$B91</f>
        <v/>
      </c>
      <c r="C1086" s="37">
        <f>IFERROR(IF(AND(ISNUMBER('Semi OpInc'!G91),ISNUMBER('Semi OpInc'!C91),'Semi OpInc'!C91&gt;0),'Semi OpInc'!G91/'Semi OpInc'!C91-1,""),"")</f>
        <v/>
      </c>
      <c r="D1086" s="37">
        <f>IFERROR(IF(AND(ISNUMBER('Semi OpInc'!H91),ISNUMBER('Semi OpInc'!D91),'Semi OpInc'!D91&gt;0),'Semi OpInc'!H91/'Semi OpInc'!D91-1,""),"")</f>
        <v/>
      </c>
      <c r="E1086" s="37">
        <f>IFERROR(IF(AND(ISNUMBER('Semi OpInc'!I91),ISNUMBER('Semi OpInc'!E91),'Semi OpInc'!E91&gt;0),'Semi OpInc'!I91/'Semi OpInc'!E91-1,""),"")</f>
        <v/>
      </c>
      <c r="F1086" s="37">
        <f>IFERROR(IF(AND(ISNUMBER('Semi OpInc'!J91),ISNUMBER('Semi OpInc'!F91),'Semi OpInc'!F91&gt;0),'Semi OpInc'!J91/'Semi OpInc'!F91-1,""),"")</f>
        <v/>
      </c>
      <c r="G1086" s="37">
        <f>IFERROR(IF(AND(ISNUMBER('Semi OpInc'!K91),ISNUMBER('Semi OpInc'!G91),'Semi OpInc'!G91&gt;0),'Semi OpInc'!K91/'Semi OpInc'!G91-1,""),"")</f>
        <v/>
      </c>
      <c r="H1086" s="37">
        <f>IFERROR(IF(AND(ISNUMBER('Semi OpInc'!L91),ISNUMBER('Semi OpInc'!H91),'Semi OpInc'!H91&gt;0),'Semi OpInc'!L91/'Semi OpInc'!H91-1,""),"")</f>
        <v/>
      </c>
      <c r="I1086" s="37">
        <f>IFERROR(IF(AND(ISNUMBER('Semi OpInc'!M91),ISNUMBER('Semi OpInc'!I91),'Semi OpInc'!I91&gt;0),'Semi OpInc'!M91/'Semi OpInc'!I91-1,""),"")</f>
        <v/>
      </c>
      <c r="J1086" s="37">
        <f>IFERROR(IF(AND(ISNUMBER('Semi OpInc'!N91),ISNUMBER('Semi OpInc'!J91),'Semi OpInc'!J91&gt;0),'Semi OpInc'!N91/'Semi OpInc'!J91-1,""),"")</f>
        <v/>
      </c>
      <c r="K1086" s="37">
        <f>IFERROR(IF(AND(ISNUMBER('Semi OpInc'!O91),ISNUMBER('Semi OpInc'!K91),'Semi OpInc'!K91&gt;0),'Semi OpInc'!O91/'Semi OpInc'!K91-1,""),"")</f>
        <v/>
      </c>
      <c r="L1086" s="37">
        <f>IFERROR(IF(AND(ISNUMBER('Semi OpInc'!P91),ISNUMBER('Semi OpInc'!L91),'Semi OpInc'!L91&gt;0),'Semi OpInc'!P91/'Semi OpInc'!L91-1,""),"")</f>
        <v/>
      </c>
      <c r="M1086" s="38">
        <f>IFERROR(IF(AND(ISNUMBER('Semi OpInc'!Q91),ISNUMBER('Semi OpInc'!M91),'Semi OpInc'!M91&gt;0),'Semi OpInc'!Q91/'Semi OpInc'!M91-1,""),"")</f>
        <v/>
      </c>
      <c r="N1086" s="38">
        <f>IFERROR(IF(AND(ISNUMBER('Semi OpInc'!R91),ISNUMBER('Semi OpInc'!N91),'Semi OpInc'!N91&gt;0),'Semi OpInc'!R91/'Semi OpInc'!N91-1,""),"")</f>
        <v/>
      </c>
    </row>
    <row r="1087">
      <c r="A1087" s="19">
        <f>'Semi Rev'!$A92</f>
        <v/>
      </c>
      <c r="B1087" s="19">
        <f>'Semi Rev'!$B92</f>
        <v/>
      </c>
      <c r="C1087" s="37">
        <f>IFERROR(IF(AND(ISNUMBER('Semi OpInc'!G92),ISNUMBER('Semi OpInc'!C92),'Semi OpInc'!C92&gt;0),'Semi OpInc'!G92/'Semi OpInc'!C92-1,""),"")</f>
        <v/>
      </c>
      <c r="D1087" s="37">
        <f>IFERROR(IF(AND(ISNUMBER('Semi OpInc'!H92),ISNUMBER('Semi OpInc'!D92),'Semi OpInc'!D92&gt;0),'Semi OpInc'!H92/'Semi OpInc'!D92-1,""),"")</f>
        <v/>
      </c>
      <c r="E1087" s="37">
        <f>IFERROR(IF(AND(ISNUMBER('Semi OpInc'!I92),ISNUMBER('Semi OpInc'!E92),'Semi OpInc'!E92&gt;0),'Semi OpInc'!I92/'Semi OpInc'!E92-1,""),"")</f>
        <v/>
      </c>
      <c r="F1087" s="37">
        <f>IFERROR(IF(AND(ISNUMBER('Semi OpInc'!J92),ISNUMBER('Semi OpInc'!F92),'Semi OpInc'!F92&gt;0),'Semi OpInc'!J92/'Semi OpInc'!F92-1,""),"")</f>
        <v/>
      </c>
      <c r="G1087" s="37">
        <f>IFERROR(IF(AND(ISNUMBER('Semi OpInc'!K92),ISNUMBER('Semi OpInc'!G92),'Semi OpInc'!G92&gt;0),'Semi OpInc'!K92/'Semi OpInc'!G92-1,""),"")</f>
        <v/>
      </c>
      <c r="H1087" s="37">
        <f>IFERROR(IF(AND(ISNUMBER('Semi OpInc'!L92),ISNUMBER('Semi OpInc'!H92),'Semi OpInc'!H92&gt;0),'Semi OpInc'!L92/'Semi OpInc'!H92-1,""),"")</f>
        <v/>
      </c>
      <c r="I1087" s="37">
        <f>IFERROR(IF(AND(ISNUMBER('Semi OpInc'!M92),ISNUMBER('Semi OpInc'!I92),'Semi OpInc'!I92&gt;0),'Semi OpInc'!M92/'Semi OpInc'!I92-1,""),"")</f>
        <v/>
      </c>
      <c r="J1087" s="37">
        <f>IFERROR(IF(AND(ISNUMBER('Semi OpInc'!N92),ISNUMBER('Semi OpInc'!J92),'Semi OpInc'!J92&gt;0),'Semi OpInc'!N92/'Semi OpInc'!J92-1,""),"")</f>
        <v/>
      </c>
      <c r="K1087" s="37">
        <f>IFERROR(IF(AND(ISNUMBER('Semi OpInc'!O92),ISNUMBER('Semi OpInc'!K92),'Semi OpInc'!K92&gt;0),'Semi OpInc'!O92/'Semi OpInc'!K92-1,""),"")</f>
        <v/>
      </c>
      <c r="L1087" s="37">
        <f>IFERROR(IF(AND(ISNUMBER('Semi OpInc'!P92),ISNUMBER('Semi OpInc'!L92),'Semi OpInc'!L92&gt;0),'Semi OpInc'!P92/'Semi OpInc'!L92-1,""),"")</f>
        <v/>
      </c>
      <c r="M1087" s="38">
        <f>IFERROR(IF(AND(ISNUMBER('Semi OpInc'!Q92),ISNUMBER('Semi OpInc'!M92),'Semi OpInc'!M92&gt;0),'Semi OpInc'!Q92/'Semi OpInc'!M92-1,""),"")</f>
        <v/>
      </c>
      <c r="N1087" s="38">
        <f>IFERROR(IF(AND(ISNUMBER('Semi OpInc'!R92),ISNUMBER('Semi OpInc'!N92),'Semi OpInc'!N92&gt;0),'Semi OpInc'!R92/'Semi OpInc'!N92-1,""),"")</f>
        <v/>
      </c>
    </row>
    <row r="1088">
      <c r="A1088" s="19">
        <f>'Semi Rev'!$A93</f>
        <v/>
      </c>
      <c r="B1088" s="19">
        <f>'Semi Rev'!$B93</f>
        <v/>
      </c>
      <c r="C1088" s="37">
        <f>IFERROR(IF(AND(ISNUMBER('Semi OpInc'!G93),ISNUMBER('Semi OpInc'!C93),'Semi OpInc'!C93&gt;0),'Semi OpInc'!G93/'Semi OpInc'!C93-1,""),"")</f>
        <v/>
      </c>
      <c r="D1088" s="37">
        <f>IFERROR(IF(AND(ISNUMBER('Semi OpInc'!H93),ISNUMBER('Semi OpInc'!D93),'Semi OpInc'!D93&gt;0),'Semi OpInc'!H93/'Semi OpInc'!D93-1,""),"")</f>
        <v/>
      </c>
      <c r="E1088" s="37">
        <f>IFERROR(IF(AND(ISNUMBER('Semi OpInc'!I93),ISNUMBER('Semi OpInc'!E93),'Semi OpInc'!E93&gt;0),'Semi OpInc'!I93/'Semi OpInc'!E93-1,""),"")</f>
        <v/>
      </c>
      <c r="F1088" s="37">
        <f>IFERROR(IF(AND(ISNUMBER('Semi OpInc'!J93),ISNUMBER('Semi OpInc'!F93),'Semi OpInc'!F93&gt;0),'Semi OpInc'!J93/'Semi OpInc'!F93-1,""),"")</f>
        <v/>
      </c>
      <c r="G1088" s="37">
        <f>IFERROR(IF(AND(ISNUMBER('Semi OpInc'!K93),ISNUMBER('Semi OpInc'!G93),'Semi OpInc'!G93&gt;0),'Semi OpInc'!K93/'Semi OpInc'!G93-1,""),"")</f>
        <v/>
      </c>
      <c r="H1088" s="37">
        <f>IFERROR(IF(AND(ISNUMBER('Semi OpInc'!L93),ISNUMBER('Semi OpInc'!H93),'Semi OpInc'!H93&gt;0),'Semi OpInc'!L93/'Semi OpInc'!H93-1,""),"")</f>
        <v/>
      </c>
      <c r="I1088" s="37">
        <f>IFERROR(IF(AND(ISNUMBER('Semi OpInc'!M93),ISNUMBER('Semi OpInc'!I93),'Semi OpInc'!I93&gt;0),'Semi OpInc'!M93/'Semi OpInc'!I93-1,""),"")</f>
        <v/>
      </c>
      <c r="J1088" s="37">
        <f>IFERROR(IF(AND(ISNUMBER('Semi OpInc'!N93),ISNUMBER('Semi OpInc'!J93),'Semi OpInc'!J93&gt;0),'Semi OpInc'!N93/'Semi OpInc'!J93-1,""),"")</f>
        <v/>
      </c>
      <c r="K1088" s="37">
        <f>IFERROR(IF(AND(ISNUMBER('Semi OpInc'!O93),ISNUMBER('Semi OpInc'!K93),'Semi OpInc'!K93&gt;0),'Semi OpInc'!O93/'Semi OpInc'!K93-1,""),"")</f>
        <v/>
      </c>
      <c r="L1088" s="37">
        <f>IFERROR(IF(AND(ISNUMBER('Semi OpInc'!P93),ISNUMBER('Semi OpInc'!L93),'Semi OpInc'!L93&gt;0),'Semi OpInc'!P93/'Semi OpInc'!L93-1,""),"")</f>
        <v/>
      </c>
      <c r="M1088" s="38">
        <f>IFERROR(IF(AND(ISNUMBER('Semi OpInc'!Q93),ISNUMBER('Semi OpInc'!M93),'Semi OpInc'!M93&gt;0),'Semi OpInc'!Q93/'Semi OpInc'!M93-1,""),"")</f>
        <v/>
      </c>
      <c r="N1088" s="38">
        <f>IFERROR(IF(AND(ISNUMBER('Semi OpInc'!R93),ISNUMBER('Semi OpInc'!N93),'Semi OpInc'!N93&gt;0),'Semi OpInc'!R93/'Semi OpInc'!N93-1,""),"")</f>
        <v/>
      </c>
    </row>
    <row r="1089">
      <c r="A1089" s="19">
        <f>'Semi Rev'!$A94</f>
        <v/>
      </c>
      <c r="B1089" s="19">
        <f>'Semi Rev'!$B94</f>
        <v/>
      </c>
      <c r="C1089" s="37">
        <f>IFERROR(IF(AND(ISNUMBER('Semi OpInc'!G94),ISNUMBER('Semi OpInc'!C94),'Semi OpInc'!C94&gt;0),'Semi OpInc'!G94/'Semi OpInc'!C94-1,""),"")</f>
        <v/>
      </c>
      <c r="D1089" s="37">
        <f>IFERROR(IF(AND(ISNUMBER('Semi OpInc'!H94),ISNUMBER('Semi OpInc'!D94),'Semi OpInc'!D94&gt;0),'Semi OpInc'!H94/'Semi OpInc'!D94-1,""),"")</f>
        <v/>
      </c>
      <c r="E1089" s="37">
        <f>IFERROR(IF(AND(ISNUMBER('Semi OpInc'!I94),ISNUMBER('Semi OpInc'!E94),'Semi OpInc'!E94&gt;0),'Semi OpInc'!I94/'Semi OpInc'!E94-1,""),"")</f>
        <v/>
      </c>
      <c r="F1089" s="37">
        <f>IFERROR(IF(AND(ISNUMBER('Semi OpInc'!J94),ISNUMBER('Semi OpInc'!F94),'Semi OpInc'!F94&gt;0),'Semi OpInc'!J94/'Semi OpInc'!F94-1,""),"")</f>
        <v/>
      </c>
      <c r="G1089" s="37">
        <f>IFERROR(IF(AND(ISNUMBER('Semi OpInc'!K94),ISNUMBER('Semi OpInc'!G94),'Semi OpInc'!G94&gt;0),'Semi OpInc'!K94/'Semi OpInc'!G94-1,""),"")</f>
        <v/>
      </c>
      <c r="H1089" s="37">
        <f>IFERROR(IF(AND(ISNUMBER('Semi OpInc'!L94),ISNUMBER('Semi OpInc'!H94),'Semi OpInc'!H94&gt;0),'Semi OpInc'!L94/'Semi OpInc'!H94-1,""),"")</f>
        <v/>
      </c>
      <c r="I1089" s="37">
        <f>IFERROR(IF(AND(ISNUMBER('Semi OpInc'!M94),ISNUMBER('Semi OpInc'!I94),'Semi OpInc'!I94&gt;0),'Semi OpInc'!M94/'Semi OpInc'!I94-1,""),"")</f>
        <v/>
      </c>
      <c r="J1089" s="37">
        <f>IFERROR(IF(AND(ISNUMBER('Semi OpInc'!N94),ISNUMBER('Semi OpInc'!J94),'Semi OpInc'!J94&gt;0),'Semi OpInc'!N94/'Semi OpInc'!J94-1,""),"")</f>
        <v/>
      </c>
      <c r="K1089" s="37">
        <f>IFERROR(IF(AND(ISNUMBER('Semi OpInc'!O94),ISNUMBER('Semi OpInc'!K94),'Semi OpInc'!K94&gt;0),'Semi OpInc'!O94/'Semi OpInc'!K94-1,""),"")</f>
        <v/>
      </c>
      <c r="L1089" s="37">
        <f>IFERROR(IF(AND(ISNUMBER('Semi OpInc'!P94),ISNUMBER('Semi OpInc'!L94),'Semi OpInc'!L94&gt;0),'Semi OpInc'!P94/'Semi OpInc'!L94-1,""),"")</f>
        <v/>
      </c>
      <c r="M1089" s="38">
        <f>IFERROR(IF(AND(ISNUMBER('Semi OpInc'!Q94),ISNUMBER('Semi OpInc'!M94),'Semi OpInc'!M94&gt;0),'Semi OpInc'!Q94/'Semi OpInc'!M94-1,""),"")</f>
        <v/>
      </c>
      <c r="N1089" s="38">
        <f>IFERROR(IF(AND(ISNUMBER('Semi OpInc'!R94),ISNUMBER('Semi OpInc'!N94),'Semi OpInc'!N94&gt;0),'Semi OpInc'!R94/'Semi OpInc'!N94-1,""),"")</f>
        <v/>
      </c>
    </row>
    <row r="1090">
      <c r="A1090" s="19">
        <f>'Semi Rev'!$A95</f>
        <v/>
      </c>
      <c r="B1090" s="19">
        <f>'Semi Rev'!$B95</f>
        <v/>
      </c>
      <c r="C1090" s="37">
        <f>IFERROR(IF(AND(ISNUMBER('Semi OpInc'!G95),ISNUMBER('Semi OpInc'!C95),'Semi OpInc'!C95&gt;0),'Semi OpInc'!G95/'Semi OpInc'!C95-1,""),"")</f>
        <v/>
      </c>
      <c r="D1090" s="37">
        <f>IFERROR(IF(AND(ISNUMBER('Semi OpInc'!H95),ISNUMBER('Semi OpInc'!D95),'Semi OpInc'!D95&gt;0),'Semi OpInc'!H95/'Semi OpInc'!D95-1,""),"")</f>
        <v/>
      </c>
      <c r="E1090" s="37">
        <f>IFERROR(IF(AND(ISNUMBER('Semi OpInc'!I95),ISNUMBER('Semi OpInc'!E95),'Semi OpInc'!E95&gt;0),'Semi OpInc'!I95/'Semi OpInc'!E95-1,""),"")</f>
        <v/>
      </c>
      <c r="F1090" s="37">
        <f>IFERROR(IF(AND(ISNUMBER('Semi OpInc'!J95),ISNUMBER('Semi OpInc'!F95),'Semi OpInc'!F95&gt;0),'Semi OpInc'!J95/'Semi OpInc'!F95-1,""),"")</f>
        <v/>
      </c>
      <c r="G1090" s="37">
        <f>IFERROR(IF(AND(ISNUMBER('Semi OpInc'!K95),ISNUMBER('Semi OpInc'!G95),'Semi OpInc'!G95&gt;0),'Semi OpInc'!K95/'Semi OpInc'!G95-1,""),"")</f>
        <v/>
      </c>
      <c r="H1090" s="37">
        <f>IFERROR(IF(AND(ISNUMBER('Semi OpInc'!L95),ISNUMBER('Semi OpInc'!H95),'Semi OpInc'!H95&gt;0),'Semi OpInc'!L95/'Semi OpInc'!H95-1,""),"")</f>
        <v/>
      </c>
      <c r="I1090" s="37">
        <f>IFERROR(IF(AND(ISNUMBER('Semi OpInc'!M95),ISNUMBER('Semi OpInc'!I95),'Semi OpInc'!I95&gt;0),'Semi OpInc'!M95/'Semi OpInc'!I95-1,""),"")</f>
        <v/>
      </c>
      <c r="J1090" s="37">
        <f>IFERROR(IF(AND(ISNUMBER('Semi OpInc'!N95),ISNUMBER('Semi OpInc'!J95),'Semi OpInc'!J95&gt;0),'Semi OpInc'!N95/'Semi OpInc'!J95-1,""),"")</f>
        <v/>
      </c>
      <c r="K1090" s="37">
        <f>IFERROR(IF(AND(ISNUMBER('Semi OpInc'!O95),ISNUMBER('Semi OpInc'!K95),'Semi OpInc'!K95&gt;0),'Semi OpInc'!O95/'Semi OpInc'!K95-1,""),"")</f>
        <v/>
      </c>
      <c r="L1090" s="37">
        <f>IFERROR(IF(AND(ISNUMBER('Semi OpInc'!P95),ISNUMBER('Semi OpInc'!L95),'Semi OpInc'!L95&gt;0),'Semi OpInc'!P95/'Semi OpInc'!L95-1,""),"")</f>
        <v/>
      </c>
      <c r="M1090" s="38">
        <f>IFERROR(IF(AND(ISNUMBER('Semi OpInc'!Q95),ISNUMBER('Semi OpInc'!M95),'Semi OpInc'!M95&gt;0),'Semi OpInc'!Q95/'Semi OpInc'!M95-1,""),"")</f>
        <v/>
      </c>
      <c r="N1090" s="38">
        <f>IFERROR(IF(AND(ISNUMBER('Semi OpInc'!R95),ISNUMBER('Semi OpInc'!N95),'Semi OpInc'!N95&gt;0),'Semi OpInc'!R95/'Semi OpInc'!N95-1,""),"")</f>
        <v/>
      </c>
    </row>
    <row r="1091">
      <c r="A1091" s="19">
        <f>'Semi Rev'!$A96</f>
        <v/>
      </c>
      <c r="B1091" s="19">
        <f>'Semi Rev'!$B96</f>
        <v/>
      </c>
      <c r="C1091" s="37">
        <f>IFERROR(IF(AND(ISNUMBER('Semi OpInc'!G96),ISNUMBER('Semi OpInc'!C96),'Semi OpInc'!C96&gt;0),'Semi OpInc'!G96/'Semi OpInc'!C96-1,""),"")</f>
        <v/>
      </c>
      <c r="D1091" s="37">
        <f>IFERROR(IF(AND(ISNUMBER('Semi OpInc'!H96),ISNUMBER('Semi OpInc'!D96),'Semi OpInc'!D96&gt;0),'Semi OpInc'!H96/'Semi OpInc'!D96-1,""),"")</f>
        <v/>
      </c>
      <c r="E1091" s="37">
        <f>IFERROR(IF(AND(ISNUMBER('Semi OpInc'!I96),ISNUMBER('Semi OpInc'!E96),'Semi OpInc'!E96&gt;0),'Semi OpInc'!I96/'Semi OpInc'!E96-1,""),"")</f>
        <v/>
      </c>
      <c r="F1091" s="37">
        <f>IFERROR(IF(AND(ISNUMBER('Semi OpInc'!J96),ISNUMBER('Semi OpInc'!F96),'Semi OpInc'!F96&gt;0),'Semi OpInc'!J96/'Semi OpInc'!F96-1,""),"")</f>
        <v/>
      </c>
      <c r="G1091" s="37">
        <f>IFERROR(IF(AND(ISNUMBER('Semi OpInc'!K96),ISNUMBER('Semi OpInc'!G96),'Semi OpInc'!G96&gt;0),'Semi OpInc'!K96/'Semi OpInc'!G96-1,""),"")</f>
        <v/>
      </c>
      <c r="H1091" s="37">
        <f>IFERROR(IF(AND(ISNUMBER('Semi OpInc'!L96),ISNUMBER('Semi OpInc'!H96),'Semi OpInc'!H96&gt;0),'Semi OpInc'!L96/'Semi OpInc'!H96-1,""),"")</f>
        <v/>
      </c>
      <c r="I1091" s="37">
        <f>IFERROR(IF(AND(ISNUMBER('Semi OpInc'!M96),ISNUMBER('Semi OpInc'!I96),'Semi OpInc'!I96&gt;0),'Semi OpInc'!M96/'Semi OpInc'!I96-1,""),"")</f>
        <v/>
      </c>
      <c r="J1091" s="37">
        <f>IFERROR(IF(AND(ISNUMBER('Semi OpInc'!N96),ISNUMBER('Semi OpInc'!J96),'Semi OpInc'!J96&gt;0),'Semi OpInc'!N96/'Semi OpInc'!J96-1,""),"")</f>
        <v/>
      </c>
      <c r="K1091" s="37">
        <f>IFERROR(IF(AND(ISNUMBER('Semi OpInc'!O96),ISNUMBER('Semi OpInc'!K96),'Semi OpInc'!K96&gt;0),'Semi OpInc'!O96/'Semi OpInc'!K96-1,""),"")</f>
        <v/>
      </c>
      <c r="L1091" s="37">
        <f>IFERROR(IF(AND(ISNUMBER('Semi OpInc'!P96),ISNUMBER('Semi OpInc'!L96),'Semi OpInc'!L96&gt;0),'Semi OpInc'!P96/'Semi OpInc'!L96-1,""),"")</f>
        <v/>
      </c>
      <c r="M1091" s="38">
        <f>IFERROR(IF(AND(ISNUMBER('Semi OpInc'!Q96),ISNUMBER('Semi OpInc'!M96),'Semi OpInc'!M96&gt;0),'Semi OpInc'!Q96/'Semi OpInc'!M96-1,""),"")</f>
        <v/>
      </c>
      <c r="N1091" s="38">
        <f>IFERROR(IF(AND(ISNUMBER('Semi OpInc'!R96),ISNUMBER('Semi OpInc'!N96),'Semi OpInc'!N96&gt;0),'Semi OpInc'!R96/'Semi OpInc'!N96-1,""),"")</f>
        <v/>
      </c>
    </row>
    <row r="1092">
      <c r="A1092" s="19">
        <f>'Semi Rev'!$A97</f>
        <v/>
      </c>
      <c r="B1092" s="19">
        <f>'Semi Rev'!$B97</f>
        <v/>
      </c>
      <c r="C1092" s="37">
        <f>IFERROR(IF(AND(ISNUMBER('Semi OpInc'!G97),ISNUMBER('Semi OpInc'!C97),'Semi OpInc'!C97&gt;0),'Semi OpInc'!G97/'Semi OpInc'!C97-1,""),"")</f>
        <v/>
      </c>
      <c r="D1092" s="37">
        <f>IFERROR(IF(AND(ISNUMBER('Semi OpInc'!H97),ISNUMBER('Semi OpInc'!D97),'Semi OpInc'!D97&gt;0),'Semi OpInc'!H97/'Semi OpInc'!D97-1,""),"")</f>
        <v/>
      </c>
      <c r="E1092" s="37">
        <f>IFERROR(IF(AND(ISNUMBER('Semi OpInc'!I97),ISNUMBER('Semi OpInc'!E97),'Semi OpInc'!E97&gt;0),'Semi OpInc'!I97/'Semi OpInc'!E97-1,""),"")</f>
        <v/>
      </c>
      <c r="F1092" s="37">
        <f>IFERROR(IF(AND(ISNUMBER('Semi OpInc'!J97),ISNUMBER('Semi OpInc'!F97),'Semi OpInc'!F97&gt;0),'Semi OpInc'!J97/'Semi OpInc'!F97-1,""),"")</f>
        <v/>
      </c>
      <c r="G1092" s="37">
        <f>IFERROR(IF(AND(ISNUMBER('Semi OpInc'!K97),ISNUMBER('Semi OpInc'!G97),'Semi OpInc'!G97&gt;0),'Semi OpInc'!K97/'Semi OpInc'!G97-1,""),"")</f>
        <v/>
      </c>
      <c r="H1092" s="37">
        <f>IFERROR(IF(AND(ISNUMBER('Semi OpInc'!L97),ISNUMBER('Semi OpInc'!H97),'Semi OpInc'!H97&gt;0),'Semi OpInc'!L97/'Semi OpInc'!H97-1,""),"")</f>
        <v/>
      </c>
      <c r="I1092" s="37">
        <f>IFERROR(IF(AND(ISNUMBER('Semi OpInc'!M97),ISNUMBER('Semi OpInc'!I97),'Semi OpInc'!I97&gt;0),'Semi OpInc'!M97/'Semi OpInc'!I97-1,""),"")</f>
        <v/>
      </c>
      <c r="J1092" s="37">
        <f>IFERROR(IF(AND(ISNUMBER('Semi OpInc'!N97),ISNUMBER('Semi OpInc'!J97),'Semi OpInc'!J97&gt;0),'Semi OpInc'!N97/'Semi OpInc'!J97-1,""),"")</f>
        <v/>
      </c>
      <c r="K1092" s="37">
        <f>IFERROR(IF(AND(ISNUMBER('Semi OpInc'!O97),ISNUMBER('Semi OpInc'!K97),'Semi OpInc'!K97&gt;0),'Semi OpInc'!O97/'Semi OpInc'!K97-1,""),"")</f>
        <v/>
      </c>
      <c r="L1092" s="37">
        <f>IFERROR(IF(AND(ISNUMBER('Semi OpInc'!P97),ISNUMBER('Semi OpInc'!L97),'Semi OpInc'!L97&gt;0),'Semi OpInc'!P97/'Semi OpInc'!L97-1,""),"")</f>
        <v/>
      </c>
      <c r="M1092" s="38">
        <f>IFERROR(IF(AND(ISNUMBER('Semi OpInc'!Q97),ISNUMBER('Semi OpInc'!M97),'Semi OpInc'!M97&gt;0),'Semi OpInc'!Q97/'Semi OpInc'!M97-1,""),"")</f>
        <v/>
      </c>
      <c r="N1092" s="38">
        <f>IFERROR(IF(AND(ISNUMBER('Semi OpInc'!R97),ISNUMBER('Semi OpInc'!N97),'Semi OpInc'!N97&gt;0),'Semi OpInc'!R97/'Semi OpInc'!N97-1,""),"")</f>
        <v/>
      </c>
    </row>
    <row r="1093">
      <c r="A1093" s="19">
        <f>'Semi Rev'!$A98</f>
        <v/>
      </c>
      <c r="B1093" s="19">
        <f>'Semi Rev'!$B98</f>
        <v/>
      </c>
      <c r="C1093" s="37">
        <f>IFERROR(IF(AND(ISNUMBER('Semi OpInc'!G98),ISNUMBER('Semi OpInc'!C98),'Semi OpInc'!C98&gt;0),'Semi OpInc'!G98/'Semi OpInc'!C98-1,""),"")</f>
        <v/>
      </c>
      <c r="D1093" s="37">
        <f>IFERROR(IF(AND(ISNUMBER('Semi OpInc'!H98),ISNUMBER('Semi OpInc'!D98),'Semi OpInc'!D98&gt;0),'Semi OpInc'!H98/'Semi OpInc'!D98-1,""),"")</f>
        <v/>
      </c>
      <c r="E1093" s="37">
        <f>IFERROR(IF(AND(ISNUMBER('Semi OpInc'!I98),ISNUMBER('Semi OpInc'!E98),'Semi OpInc'!E98&gt;0),'Semi OpInc'!I98/'Semi OpInc'!E98-1,""),"")</f>
        <v/>
      </c>
      <c r="F1093" s="37">
        <f>IFERROR(IF(AND(ISNUMBER('Semi OpInc'!J98),ISNUMBER('Semi OpInc'!F98),'Semi OpInc'!F98&gt;0),'Semi OpInc'!J98/'Semi OpInc'!F98-1,""),"")</f>
        <v/>
      </c>
      <c r="G1093" s="37">
        <f>IFERROR(IF(AND(ISNUMBER('Semi OpInc'!K98),ISNUMBER('Semi OpInc'!G98),'Semi OpInc'!G98&gt;0),'Semi OpInc'!K98/'Semi OpInc'!G98-1,""),"")</f>
        <v/>
      </c>
      <c r="H1093" s="37">
        <f>IFERROR(IF(AND(ISNUMBER('Semi OpInc'!L98),ISNUMBER('Semi OpInc'!H98),'Semi OpInc'!H98&gt;0),'Semi OpInc'!L98/'Semi OpInc'!H98-1,""),"")</f>
        <v/>
      </c>
      <c r="I1093" s="37">
        <f>IFERROR(IF(AND(ISNUMBER('Semi OpInc'!M98),ISNUMBER('Semi OpInc'!I98),'Semi OpInc'!I98&gt;0),'Semi OpInc'!M98/'Semi OpInc'!I98-1,""),"")</f>
        <v/>
      </c>
      <c r="J1093" s="37">
        <f>IFERROR(IF(AND(ISNUMBER('Semi OpInc'!N98),ISNUMBER('Semi OpInc'!J98),'Semi OpInc'!J98&gt;0),'Semi OpInc'!N98/'Semi OpInc'!J98-1,""),"")</f>
        <v/>
      </c>
      <c r="K1093" s="37">
        <f>IFERROR(IF(AND(ISNUMBER('Semi OpInc'!O98),ISNUMBER('Semi OpInc'!K98),'Semi OpInc'!K98&gt;0),'Semi OpInc'!O98/'Semi OpInc'!K98-1,""),"")</f>
        <v/>
      </c>
      <c r="L1093" s="37">
        <f>IFERROR(IF(AND(ISNUMBER('Semi OpInc'!P98),ISNUMBER('Semi OpInc'!L98),'Semi OpInc'!L98&gt;0),'Semi OpInc'!P98/'Semi OpInc'!L98-1,""),"")</f>
        <v/>
      </c>
      <c r="M1093" s="38">
        <f>IFERROR(IF(AND(ISNUMBER('Semi OpInc'!Q98),ISNUMBER('Semi OpInc'!M98),'Semi OpInc'!M98&gt;0),'Semi OpInc'!Q98/'Semi OpInc'!M98-1,""),"")</f>
        <v/>
      </c>
      <c r="N1093" s="38">
        <f>IFERROR(IF(AND(ISNUMBER('Semi OpInc'!R98),ISNUMBER('Semi OpInc'!N98),'Semi OpInc'!N98&gt;0),'Semi OpInc'!R98/'Semi OpInc'!N98-1,""),"")</f>
        <v/>
      </c>
    </row>
    <row r="1094">
      <c r="A1094" s="19">
        <f>'Semi Rev'!$A99</f>
        <v/>
      </c>
      <c r="B1094" s="19">
        <f>'Semi Rev'!$B99</f>
        <v/>
      </c>
      <c r="C1094" s="37">
        <f>IFERROR(IF(AND(ISNUMBER('Semi OpInc'!G99),ISNUMBER('Semi OpInc'!C99),'Semi OpInc'!C99&gt;0),'Semi OpInc'!G99/'Semi OpInc'!C99-1,""),"")</f>
        <v/>
      </c>
      <c r="D1094" s="37">
        <f>IFERROR(IF(AND(ISNUMBER('Semi OpInc'!H99),ISNUMBER('Semi OpInc'!D99),'Semi OpInc'!D99&gt;0),'Semi OpInc'!H99/'Semi OpInc'!D99-1,""),"")</f>
        <v/>
      </c>
      <c r="E1094" s="37">
        <f>IFERROR(IF(AND(ISNUMBER('Semi OpInc'!I99),ISNUMBER('Semi OpInc'!E99),'Semi OpInc'!E99&gt;0),'Semi OpInc'!I99/'Semi OpInc'!E99-1,""),"")</f>
        <v/>
      </c>
      <c r="F1094" s="37">
        <f>IFERROR(IF(AND(ISNUMBER('Semi OpInc'!J99),ISNUMBER('Semi OpInc'!F99),'Semi OpInc'!F99&gt;0),'Semi OpInc'!J99/'Semi OpInc'!F99-1,""),"")</f>
        <v/>
      </c>
      <c r="G1094" s="37">
        <f>IFERROR(IF(AND(ISNUMBER('Semi OpInc'!K99),ISNUMBER('Semi OpInc'!G99),'Semi OpInc'!G99&gt;0),'Semi OpInc'!K99/'Semi OpInc'!G99-1,""),"")</f>
        <v/>
      </c>
      <c r="H1094" s="37">
        <f>IFERROR(IF(AND(ISNUMBER('Semi OpInc'!L99),ISNUMBER('Semi OpInc'!H99),'Semi OpInc'!H99&gt;0),'Semi OpInc'!L99/'Semi OpInc'!H99-1,""),"")</f>
        <v/>
      </c>
      <c r="I1094" s="37">
        <f>IFERROR(IF(AND(ISNUMBER('Semi OpInc'!M99),ISNUMBER('Semi OpInc'!I99),'Semi OpInc'!I99&gt;0),'Semi OpInc'!M99/'Semi OpInc'!I99-1,""),"")</f>
        <v/>
      </c>
      <c r="J1094" s="37">
        <f>IFERROR(IF(AND(ISNUMBER('Semi OpInc'!N99),ISNUMBER('Semi OpInc'!J99),'Semi OpInc'!J99&gt;0),'Semi OpInc'!N99/'Semi OpInc'!J99-1,""),"")</f>
        <v/>
      </c>
      <c r="K1094" s="37">
        <f>IFERROR(IF(AND(ISNUMBER('Semi OpInc'!O99),ISNUMBER('Semi OpInc'!K99),'Semi OpInc'!K99&gt;0),'Semi OpInc'!O99/'Semi OpInc'!K99-1,""),"")</f>
        <v/>
      </c>
      <c r="L1094" s="37">
        <f>IFERROR(IF(AND(ISNUMBER('Semi OpInc'!P99),ISNUMBER('Semi OpInc'!L99),'Semi OpInc'!L99&gt;0),'Semi OpInc'!P99/'Semi OpInc'!L99-1,""),"")</f>
        <v/>
      </c>
      <c r="M1094" s="38">
        <f>IFERROR(IF(AND(ISNUMBER('Semi OpInc'!Q99),ISNUMBER('Semi OpInc'!M99),'Semi OpInc'!M99&gt;0),'Semi OpInc'!Q99/'Semi OpInc'!M99-1,""),"")</f>
        <v/>
      </c>
      <c r="N1094" s="38">
        <f>IFERROR(IF(AND(ISNUMBER('Semi OpInc'!R99),ISNUMBER('Semi OpInc'!N99),'Semi OpInc'!N99&gt;0),'Semi OpInc'!R99/'Semi OpInc'!N99-1,""),"")</f>
        <v/>
      </c>
    </row>
    <row r="1095">
      <c r="A1095" s="19">
        <f>'Semi Rev'!$A100</f>
        <v/>
      </c>
      <c r="B1095" s="19">
        <f>'Semi Rev'!$B100</f>
        <v/>
      </c>
      <c r="C1095" s="37">
        <f>IFERROR(IF(AND(ISNUMBER('Semi OpInc'!G100),ISNUMBER('Semi OpInc'!C100),'Semi OpInc'!C100&gt;0),'Semi OpInc'!G100/'Semi OpInc'!C100-1,""),"")</f>
        <v/>
      </c>
      <c r="D1095" s="37">
        <f>IFERROR(IF(AND(ISNUMBER('Semi OpInc'!H100),ISNUMBER('Semi OpInc'!D100),'Semi OpInc'!D100&gt;0),'Semi OpInc'!H100/'Semi OpInc'!D100-1,""),"")</f>
        <v/>
      </c>
      <c r="E1095" s="37">
        <f>IFERROR(IF(AND(ISNUMBER('Semi OpInc'!I100),ISNUMBER('Semi OpInc'!E100),'Semi OpInc'!E100&gt;0),'Semi OpInc'!I100/'Semi OpInc'!E100-1,""),"")</f>
        <v/>
      </c>
      <c r="F1095" s="37">
        <f>IFERROR(IF(AND(ISNUMBER('Semi OpInc'!J100),ISNUMBER('Semi OpInc'!F100),'Semi OpInc'!F100&gt;0),'Semi OpInc'!J100/'Semi OpInc'!F100-1,""),"")</f>
        <v/>
      </c>
      <c r="G1095" s="37">
        <f>IFERROR(IF(AND(ISNUMBER('Semi OpInc'!K100),ISNUMBER('Semi OpInc'!G100),'Semi OpInc'!G100&gt;0),'Semi OpInc'!K100/'Semi OpInc'!G100-1,""),"")</f>
        <v/>
      </c>
      <c r="H1095" s="37">
        <f>IFERROR(IF(AND(ISNUMBER('Semi OpInc'!L100),ISNUMBER('Semi OpInc'!H100),'Semi OpInc'!H100&gt;0),'Semi OpInc'!L100/'Semi OpInc'!H100-1,""),"")</f>
        <v/>
      </c>
      <c r="I1095" s="37">
        <f>IFERROR(IF(AND(ISNUMBER('Semi OpInc'!M100),ISNUMBER('Semi OpInc'!I100),'Semi OpInc'!I100&gt;0),'Semi OpInc'!M100/'Semi OpInc'!I100-1,""),"")</f>
        <v/>
      </c>
      <c r="J1095" s="37">
        <f>IFERROR(IF(AND(ISNUMBER('Semi OpInc'!N100),ISNUMBER('Semi OpInc'!J100),'Semi OpInc'!J100&gt;0),'Semi OpInc'!N100/'Semi OpInc'!J100-1,""),"")</f>
        <v/>
      </c>
      <c r="K1095" s="37">
        <f>IFERROR(IF(AND(ISNUMBER('Semi OpInc'!O100),ISNUMBER('Semi OpInc'!K100),'Semi OpInc'!K100&gt;0),'Semi OpInc'!O100/'Semi OpInc'!K100-1,""),"")</f>
        <v/>
      </c>
      <c r="L1095" s="37">
        <f>IFERROR(IF(AND(ISNUMBER('Semi OpInc'!P100),ISNUMBER('Semi OpInc'!L100),'Semi OpInc'!L100&gt;0),'Semi OpInc'!P100/'Semi OpInc'!L100-1,""),"")</f>
        <v/>
      </c>
      <c r="M1095" s="38">
        <f>IFERROR(IF(AND(ISNUMBER('Semi OpInc'!Q100),ISNUMBER('Semi OpInc'!M100),'Semi OpInc'!M100&gt;0),'Semi OpInc'!Q100/'Semi OpInc'!M100-1,""),"")</f>
        <v/>
      </c>
      <c r="N1095" s="38">
        <f>IFERROR(IF(AND(ISNUMBER('Semi OpInc'!R100),ISNUMBER('Semi OpInc'!N100),'Semi OpInc'!N100&gt;0),'Semi OpInc'!R100/'Semi OpInc'!N100-1,""),"")</f>
        <v/>
      </c>
    </row>
    <row r="1096">
      <c r="A1096" s="19">
        <f>'Semi Rev'!$A101</f>
        <v/>
      </c>
      <c r="B1096" s="19">
        <f>'Semi Rev'!$B101</f>
        <v/>
      </c>
      <c r="C1096" s="37">
        <f>IFERROR(IF(AND(ISNUMBER('Semi OpInc'!G101),ISNUMBER('Semi OpInc'!C101),'Semi OpInc'!C101&gt;0),'Semi OpInc'!G101/'Semi OpInc'!C101-1,""),"")</f>
        <v/>
      </c>
      <c r="D1096" s="37">
        <f>IFERROR(IF(AND(ISNUMBER('Semi OpInc'!H101),ISNUMBER('Semi OpInc'!D101),'Semi OpInc'!D101&gt;0),'Semi OpInc'!H101/'Semi OpInc'!D101-1,""),"")</f>
        <v/>
      </c>
      <c r="E1096" s="37">
        <f>IFERROR(IF(AND(ISNUMBER('Semi OpInc'!I101),ISNUMBER('Semi OpInc'!E101),'Semi OpInc'!E101&gt;0),'Semi OpInc'!I101/'Semi OpInc'!E101-1,""),"")</f>
        <v/>
      </c>
      <c r="F1096" s="37">
        <f>IFERROR(IF(AND(ISNUMBER('Semi OpInc'!J101),ISNUMBER('Semi OpInc'!F101),'Semi OpInc'!F101&gt;0),'Semi OpInc'!J101/'Semi OpInc'!F101-1,""),"")</f>
        <v/>
      </c>
      <c r="G1096" s="37">
        <f>IFERROR(IF(AND(ISNUMBER('Semi OpInc'!K101),ISNUMBER('Semi OpInc'!G101),'Semi OpInc'!G101&gt;0),'Semi OpInc'!K101/'Semi OpInc'!G101-1,""),"")</f>
        <v/>
      </c>
      <c r="H1096" s="37">
        <f>IFERROR(IF(AND(ISNUMBER('Semi OpInc'!L101),ISNUMBER('Semi OpInc'!H101),'Semi OpInc'!H101&gt;0),'Semi OpInc'!L101/'Semi OpInc'!H101-1,""),"")</f>
        <v/>
      </c>
      <c r="I1096" s="37">
        <f>IFERROR(IF(AND(ISNUMBER('Semi OpInc'!M101),ISNUMBER('Semi OpInc'!I101),'Semi OpInc'!I101&gt;0),'Semi OpInc'!M101/'Semi OpInc'!I101-1,""),"")</f>
        <v/>
      </c>
      <c r="J1096" s="37">
        <f>IFERROR(IF(AND(ISNUMBER('Semi OpInc'!N101),ISNUMBER('Semi OpInc'!J101),'Semi OpInc'!J101&gt;0),'Semi OpInc'!N101/'Semi OpInc'!J101-1,""),"")</f>
        <v/>
      </c>
      <c r="K1096" s="37">
        <f>IFERROR(IF(AND(ISNUMBER('Semi OpInc'!O101),ISNUMBER('Semi OpInc'!K101),'Semi OpInc'!K101&gt;0),'Semi OpInc'!O101/'Semi OpInc'!K101-1,""),"")</f>
        <v/>
      </c>
      <c r="L1096" s="37">
        <f>IFERROR(IF(AND(ISNUMBER('Semi OpInc'!P101),ISNUMBER('Semi OpInc'!L101),'Semi OpInc'!L101&gt;0),'Semi OpInc'!P101/'Semi OpInc'!L101-1,""),"")</f>
        <v/>
      </c>
      <c r="M1096" s="38">
        <f>IFERROR(IF(AND(ISNUMBER('Semi OpInc'!Q101),ISNUMBER('Semi OpInc'!M101),'Semi OpInc'!M101&gt;0),'Semi OpInc'!Q101/'Semi OpInc'!M101-1,""),"")</f>
        <v/>
      </c>
      <c r="N1096" s="38">
        <f>IFERROR(IF(AND(ISNUMBER('Semi OpInc'!R101),ISNUMBER('Semi OpInc'!N101),'Semi OpInc'!N101&gt;0),'Semi OpInc'!R101/'Semi OpInc'!N101-1,""),"")</f>
        <v/>
      </c>
    </row>
    <row r="1097">
      <c r="A1097" s="19">
        <f>'Semi Rev'!$A102</f>
        <v/>
      </c>
      <c r="B1097" s="19">
        <f>'Semi Rev'!$B102</f>
        <v/>
      </c>
      <c r="C1097" s="37">
        <f>IFERROR(IF(AND(ISNUMBER('Semi OpInc'!G102),ISNUMBER('Semi OpInc'!C102),'Semi OpInc'!C102&gt;0),'Semi OpInc'!G102/'Semi OpInc'!C102-1,""),"")</f>
        <v/>
      </c>
      <c r="D1097" s="37">
        <f>IFERROR(IF(AND(ISNUMBER('Semi OpInc'!H102),ISNUMBER('Semi OpInc'!D102),'Semi OpInc'!D102&gt;0),'Semi OpInc'!H102/'Semi OpInc'!D102-1,""),"")</f>
        <v/>
      </c>
      <c r="E1097" s="37">
        <f>IFERROR(IF(AND(ISNUMBER('Semi OpInc'!I102),ISNUMBER('Semi OpInc'!E102),'Semi OpInc'!E102&gt;0),'Semi OpInc'!I102/'Semi OpInc'!E102-1,""),"")</f>
        <v/>
      </c>
      <c r="F1097" s="37">
        <f>IFERROR(IF(AND(ISNUMBER('Semi OpInc'!J102),ISNUMBER('Semi OpInc'!F102),'Semi OpInc'!F102&gt;0),'Semi OpInc'!J102/'Semi OpInc'!F102-1,""),"")</f>
        <v/>
      </c>
      <c r="G1097" s="37">
        <f>IFERROR(IF(AND(ISNUMBER('Semi OpInc'!K102),ISNUMBER('Semi OpInc'!G102),'Semi OpInc'!G102&gt;0),'Semi OpInc'!K102/'Semi OpInc'!G102-1,""),"")</f>
        <v/>
      </c>
      <c r="H1097" s="37">
        <f>IFERROR(IF(AND(ISNUMBER('Semi OpInc'!L102),ISNUMBER('Semi OpInc'!H102),'Semi OpInc'!H102&gt;0),'Semi OpInc'!L102/'Semi OpInc'!H102-1,""),"")</f>
        <v/>
      </c>
      <c r="I1097" s="37">
        <f>IFERROR(IF(AND(ISNUMBER('Semi OpInc'!M102),ISNUMBER('Semi OpInc'!I102),'Semi OpInc'!I102&gt;0),'Semi OpInc'!M102/'Semi OpInc'!I102-1,""),"")</f>
        <v/>
      </c>
      <c r="J1097" s="37">
        <f>IFERROR(IF(AND(ISNUMBER('Semi OpInc'!N102),ISNUMBER('Semi OpInc'!J102),'Semi OpInc'!J102&gt;0),'Semi OpInc'!N102/'Semi OpInc'!J102-1,""),"")</f>
        <v/>
      </c>
      <c r="K1097" s="37">
        <f>IFERROR(IF(AND(ISNUMBER('Semi OpInc'!O102),ISNUMBER('Semi OpInc'!K102),'Semi OpInc'!K102&gt;0),'Semi OpInc'!O102/'Semi OpInc'!K102-1,""),"")</f>
        <v/>
      </c>
      <c r="L1097" s="37">
        <f>IFERROR(IF(AND(ISNUMBER('Semi OpInc'!P102),ISNUMBER('Semi OpInc'!L102),'Semi OpInc'!L102&gt;0),'Semi OpInc'!P102/'Semi OpInc'!L102-1,""),"")</f>
        <v/>
      </c>
      <c r="M1097" s="38">
        <f>IFERROR(IF(AND(ISNUMBER('Semi OpInc'!Q102),ISNUMBER('Semi OpInc'!M102),'Semi OpInc'!M102&gt;0),'Semi OpInc'!Q102/'Semi OpInc'!M102-1,""),"")</f>
        <v/>
      </c>
      <c r="N1097" s="38">
        <f>IFERROR(IF(AND(ISNUMBER('Semi OpInc'!R102),ISNUMBER('Semi OpInc'!N102),'Semi OpInc'!N102&gt;0),'Semi OpInc'!R102/'Semi OpInc'!N102-1,""),"")</f>
        <v/>
      </c>
    </row>
    <row r="1098">
      <c r="A1098" s="19">
        <f>'Semi Rev'!$A103</f>
        <v/>
      </c>
      <c r="B1098" s="19">
        <f>'Semi Rev'!$B103</f>
        <v/>
      </c>
      <c r="C1098" s="37">
        <f>IFERROR(IF(AND(ISNUMBER('Semi OpInc'!G103),ISNUMBER('Semi OpInc'!C103),'Semi OpInc'!C103&gt;0),'Semi OpInc'!G103/'Semi OpInc'!C103-1,""),"")</f>
        <v/>
      </c>
      <c r="D1098" s="37">
        <f>IFERROR(IF(AND(ISNUMBER('Semi OpInc'!H103),ISNUMBER('Semi OpInc'!D103),'Semi OpInc'!D103&gt;0),'Semi OpInc'!H103/'Semi OpInc'!D103-1,""),"")</f>
        <v/>
      </c>
      <c r="E1098" s="37">
        <f>IFERROR(IF(AND(ISNUMBER('Semi OpInc'!I103),ISNUMBER('Semi OpInc'!E103),'Semi OpInc'!E103&gt;0),'Semi OpInc'!I103/'Semi OpInc'!E103-1,""),"")</f>
        <v/>
      </c>
      <c r="F1098" s="37">
        <f>IFERROR(IF(AND(ISNUMBER('Semi OpInc'!J103),ISNUMBER('Semi OpInc'!F103),'Semi OpInc'!F103&gt;0),'Semi OpInc'!J103/'Semi OpInc'!F103-1,""),"")</f>
        <v/>
      </c>
      <c r="G1098" s="37">
        <f>IFERROR(IF(AND(ISNUMBER('Semi OpInc'!K103),ISNUMBER('Semi OpInc'!G103),'Semi OpInc'!G103&gt;0),'Semi OpInc'!K103/'Semi OpInc'!G103-1,""),"")</f>
        <v/>
      </c>
      <c r="H1098" s="37">
        <f>IFERROR(IF(AND(ISNUMBER('Semi OpInc'!L103),ISNUMBER('Semi OpInc'!H103),'Semi OpInc'!H103&gt;0),'Semi OpInc'!L103/'Semi OpInc'!H103-1,""),"")</f>
        <v/>
      </c>
      <c r="I1098" s="37">
        <f>IFERROR(IF(AND(ISNUMBER('Semi OpInc'!M103),ISNUMBER('Semi OpInc'!I103),'Semi OpInc'!I103&gt;0),'Semi OpInc'!M103/'Semi OpInc'!I103-1,""),"")</f>
        <v/>
      </c>
      <c r="J1098" s="37">
        <f>IFERROR(IF(AND(ISNUMBER('Semi OpInc'!N103),ISNUMBER('Semi OpInc'!J103),'Semi OpInc'!J103&gt;0),'Semi OpInc'!N103/'Semi OpInc'!J103-1,""),"")</f>
        <v/>
      </c>
      <c r="K1098" s="37">
        <f>IFERROR(IF(AND(ISNUMBER('Semi OpInc'!O103),ISNUMBER('Semi OpInc'!K103),'Semi OpInc'!K103&gt;0),'Semi OpInc'!O103/'Semi OpInc'!K103-1,""),"")</f>
        <v/>
      </c>
      <c r="L1098" s="37">
        <f>IFERROR(IF(AND(ISNUMBER('Semi OpInc'!P103),ISNUMBER('Semi OpInc'!L103),'Semi OpInc'!L103&gt;0),'Semi OpInc'!P103/'Semi OpInc'!L103-1,""),"")</f>
        <v/>
      </c>
      <c r="M1098" s="38">
        <f>IFERROR(IF(AND(ISNUMBER('Semi OpInc'!Q103),ISNUMBER('Semi OpInc'!M103),'Semi OpInc'!M103&gt;0),'Semi OpInc'!Q103/'Semi OpInc'!M103-1,""),"")</f>
        <v/>
      </c>
      <c r="N1098" s="38">
        <f>IFERROR(IF(AND(ISNUMBER('Semi OpInc'!R103),ISNUMBER('Semi OpInc'!N103),'Semi OpInc'!N103&gt;0),'Semi OpInc'!R103/'Semi OpInc'!N103-1,""),"")</f>
        <v/>
      </c>
    </row>
    <row r="1099">
      <c r="A1099" s="19">
        <f>'Semi Rev'!$A104</f>
        <v/>
      </c>
      <c r="B1099" s="19">
        <f>'Semi Rev'!$B104</f>
        <v/>
      </c>
      <c r="C1099" s="37">
        <f>IFERROR(IF(AND(ISNUMBER('Semi OpInc'!G104),ISNUMBER('Semi OpInc'!C104),'Semi OpInc'!C104&gt;0),'Semi OpInc'!G104/'Semi OpInc'!C104-1,""),"")</f>
        <v/>
      </c>
      <c r="D1099" s="37">
        <f>IFERROR(IF(AND(ISNUMBER('Semi OpInc'!H104),ISNUMBER('Semi OpInc'!D104),'Semi OpInc'!D104&gt;0),'Semi OpInc'!H104/'Semi OpInc'!D104-1,""),"")</f>
        <v/>
      </c>
      <c r="E1099" s="37">
        <f>IFERROR(IF(AND(ISNUMBER('Semi OpInc'!I104),ISNUMBER('Semi OpInc'!E104),'Semi OpInc'!E104&gt;0),'Semi OpInc'!I104/'Semi OpInc'!E104-1,""),"")</f>
        <v/>
      </c>
      <c r="F1099" s="37">
        <f>IFERROR(IF(AND(ISNUMBER('Semi OpInc'!J104),ISNUMBER('Semi OpInc'!F104),'Semi OpInc'!F104&gt;0),'Semi OpInc'!J104/'Semi OpInc'!F104-1,""),"")</f>
        <v/>
      </c>
      <c r="G1099" s="37">
        <f>IFERROR(IF(AND(ISNUMBER('Semi OpInc'!K104),ISNUMBER('Semi OpInc'!G104),'Semi OpInc'!G104&gt;0),'Semi OpInc'!K104/'Semi OpInc'!G104-1,""),"")</f>
        <v/>
      </c>
      <c r="H1099" s="37">
        <f>IFERROR(IF(AND(ISNUMBER('Semi OpInc'!L104),ISNUMBER('Semi OpInc'!H104),'Semi OpInc'!H104&gt;0),'Semi OpInc'!L104/'Semi OpInc'!H104-1,""),"")</f>
        <v/>
      </c>
      <c r="I1099" s="37">
        <f>IFERROR(IF(AND(ISNUMBER('Semi OpInc'!M104),ISNUMBER('Semi OpInc'!I104),'Semi OpInc'!I104&gt;0),'Semi OpInc'!M104/'Semi OpInc'!I104-1,""),"")</f>
        <v/>
      </c>
      <c r="J1099" s="37">
        <f>IFERROR(IF(AND(ISNUMBER('Semi OpInc'!N104),ISNUMBER('Semi OpInc'!J104),'Semi OpInc'!J104&gt;0),'Semi OpInc'!N104/'Semi OpInc'!J104-1,""),"")</f>
        <v/>
      </c>
      <c r="K1099" s="37">
        <f>IFERROR(IF(AND(ISNUMBER('Semi OpInc'!O104),ISNUMBER('Semi OpInc'!K104),'Semi OpInc'!K104&gt;0),'Semi OpInc'!O104/'Semi OpInc'!K104-1,""),"")</f>
        <v/>
      </c>
      <c r="L1099" s="37">
        <f>IFERROR(IF(AND(ISNUMBER('Semi OpInc'!P104),ISNUMBER('Semi OpInc'!L104),'Semi OpInc'!L104&gt;0),'Semi OpInc'!P104/'Semi OpInc'!L104-1,""),"")</f>
        <v/>
      </c>
      <c r="M1099" s="38">
        <f>IFERROR(IF(AND(ISNUMBER('Semi OpInc'!Q104),ISNUMBER('Semi OpInc'!M104),'Semi OpInc'!M104&gt;0),'Semi OpInc'!Q104/'Semi OpInc'!M104-1,""),"")</f>
        <v/>
      </c>
      <c r="N1099" s="38">
        <f>IFERROR(IF(AND(ISNUMBER('Semi OpInc'!R104),ISNUMBER('Semi OpInc'!N104),'Semi OpInc'!N104&gt;0),'Semi OpInc'!R104/'Semi OpInc'!N104-1,""),"")</f>
        <v/>
      </c>
    </row>
    <row r="1100">
      <c r="A1100" s="19">
        <f>'Semi Rev'!$A105</f>
        <v/>
      </c>
      <c r="B1100" s="19">
        <f>'Semi Rev'!$B105</f>
        <v/>
      </c>
      <c r="C1100" s="37">
        <f>IFERROR(IF(AND(ISNUMBER('Semi OpInc'!G105),ISNUMBER('Semi OpInc'!C105),'Semi OpInc'!C105&gt;0),'Semi OpInc'!G105/'Semi OpInc'!C105-1,""),"")</f>
        <v/>
      </c>
      <c r="D1100" s="37">
        <f>IFERROR(IF(AND(ISNUMBER('Semi OpInc'!H105),ISNUMBER('Semi OpInc'!D105),'Semi OpInc'!D105&gt;0),'Semi OpInc'!H105/'Semi OpInc'!D105-1,""),"")</f>
        <v/>
      </c>
      <c r="E1100" s="37">
        <f>IFERROR(IF(AND(ISNUMBER('Semi OpInc'!I105),ISNUMBER('Semi OpInc'!E105),'Semi OpInc'!E105&gt;0),'Semi OpInc'!I105/'Semi OpInc'!E105-1,""),"")</f>
        <v/>
      </c>
      <c r="F1100" s="37">
        <f>IFERROR(IF(AND(ISNUMBER('Semi OpInc'!J105),ISNUMBER('Semi OpInc'!F105),'Semi OpInc'!F105&gt;0),'Semi OpInc'!J105/'Semi OpInc'!F105-1,""),"")</f>
        <v/>
      </c>
      <c r="G1100" s="37">
        <f>IFERROR(IF(AND(ISNUMBER('Semi OpInc'!K105),ISNUMBER('Semi OpInc'!G105),'Semi OpInc'!G105&gt;0),'Semi OpInc'!K105/'Semi OpInc'!G105-1,""),"")</f>
        <v/>
      </c>
      <c r="H1100" s="37">
        <f>IFERROR(IF(AND(ISNUMBER('Semi OpInc'!L105),ISNUMBER('Semi OpInc'!H105),'Semi OpInc'!H105&gt;0),'Semi OpInc'!L105/'Semi OpInc'!H105-1,""),"")</f>
        <v/>
      </c>
      <c r="I1100" s="37">
        <f>IFERROR(IF(AND(ISNUMBER('Semi OpInc'!M105),ISNUMBER('Semi OpInc'!I105),'Semi OpInc'!I105&gt;0),'Semi OpInc'!M105/'Semi OpInc'!I105-1,""),"")</f>
        <v/>
      </c>
      <c r="J1100" s="37">
        <f>IFERROR(IF(AND(ISNUMBER('Semi OpInc'!N105),ISNUMBER('Semi OpInc'!J105),'Semi OpInc'!J105&gt;0),'Semi OpInc'!N105/'Semi OpInc'!J105-1,""),"")</f>
        <v/>
      </c>
      <c r="K1100" s="37">
        <f>IFERROR(IF(AND(ISNUMBER('Semi OpInc'!O105),ISNUMBER('Semi OpInc'!K105),'Semi OpInc'!K105&gt;0),'Semi OpInc'!O105/'Semi OpInc'!K105-1,""),"")</f>
        <v/>
      </c>
      <c r="L1100" s="37">
        <f>IFERROR(IF(AND(ISNUMBER('Semi OpInc'!P105),ISNUMBER('Semi OpInc'!L105),'Semi OpInc'!L105&gt;0),'Semi OpInc'!P105/'Semi OpInc'!L105-1,""),"")</f>
        <v/>
      </c>
      <c r="M1100" s="38">
        <f>IFERROR(IF(AND(ISNUMBER('Semi OpInc'!Q105),ISNUMBER('Semi OpInc'!M105),'Semi OpInc'!M105&gt;0),'Semi OpInc'!Q105/'Semi OpInc'!M105-1,""),"")</f>
        <v/>
      </c>
      <c r="N1100" s="38">
        <f>IFERROR(IF(AND(ISNUMBER('Semi OpInc'!R105),ISNUMBER('Semi OpInc'!N105),'Semi OpInc'!N105&gt;0),'Semi OpInc'!R105/'Semi OpInc'!N105-1,""),"")</f>
        <v/>
      </c>
    </row>
    <row r="1101">
      <c r="A1101" s="19">
        <f>'Semi Rev'!$A106</f>
        <v/>
      </c>
      <c r="B1101" s="19">
        <f>'Semi Rev'!$B106</f>
        <v/>
      </c>
      <c r="C1101" s="37">
        <f>IFERROR(IF(AND(ISNUMBER('Semi OpInc'!G106),ISNUMBER('Semi OpInc'!C106),'Semi OpInc'!C106&gt;0),'Semi OpInc'!G106/'Semi OpInc'!C106-1,""),"")</f>
        <v/>
      </c>
      <c r="D1101" s="37">
        <f>IFERROR(IF(AND(ISNUMBER('Semi OpInc'!H106),ISNUMBER('Semi OpInc'!D106),'Semi OpInc'!D106&gt;0),'Semi OpInc'!H106/'Semi OpInc'!D106-1,""),"")</f>
        <v/>
      </c>
      <c r="E1101" s="37">
        <f>IFERROR(IF(AND(ISNUMBER('Semi OpInc'!I106),ISNUMBER('Semi OpInc'!E106),'Semi OpInc'!E106&gt;0),'Semi OpInc'!I106/'Semi OpInc'!E106-1,""),"")</f>
        <v/>
      </c>
      <c r="F1101" s="37">
        <f>IFERROR(IF(AND(ISNUMBER('Semi OpInc'!J106),ISNUMBER('Semi OpInc'!F106),'Semi OpInc'!F106&gt;0),'Semi OpInc'!J106/'Semi OpInc'!F106-1,""),"")</f>
        <v/>
      </c>
      <c r="G1101" s="37">
        <f>IFERROR(IF(AND(ISNUMBER('Semi OpInc'!K106),ISNUMBER('Semi OpInc'!G106),'Semi OpInc'!G106&gt;0),'Semi OpInc'!K106/'Semi OpInc'!G106-1,""),"")</f>
        <v/>
      </c>
      <c r="H1101" s="37">
        <f>IFERROR(IF(AND(ISNUMBER('Semi OpInc'!L106),ISNUMBER('Semi OpInc'!H106),'Semi OpInc'!H106&gt;0),'Semi OpInc'!L106/'Semi OpInc'!H106-1,""),"")</f>
        <v/>
      </c>
      <c r="I1101" s="37">
        <f>IFERROR(IF(AND(ISNUMBER('Semi OpInc'!M106),ISNUMBER('Semi OpInc'!I106),'Semi OpInc'!I106&gt;0),'Semi OpInc'!M106/'Semi OpInc'!I106-1,""),"")</f>
        <v/>
      </c>
      <c r="J1101" s="37">
        <f>IFERROR(IF(AND(ISNUMBER('Semi OpInc'!N106),ISNUMBER('Semi OpInc'!J106),'Semi OpInc'!J106&gt;0),'Semi OpInc'!N106/'Semi OpInc'!J106-1,""),"")</f>
        <v/>
      </c>
      <c r="K1101" s="37">
        <f>IFERROR(IF(AND(ISNUMBER('Semi OpInc'!O106),ISNUMBER('Semi OpInc'!K106),'Semi OpInc'!K106&gt;0),'Semi OpInc'!O106/'Semi OpInc'!K106-1,""),"")</f>
        <v/>
      </c>
      <c r="L1101" s="37">
        <f>IFERROR(IF(AND(ISNUMBER('Semi OpInc'!P106),ISNUMBER('Semi OpInc'!L106),'Semi OpInc'!L106&gt;0),'Semi OpInc'!P106/'Semi OpInc'!L106-1,""),"")</f>
        <v/>
      </c>
      <c r="M1101" s="38">
        <f>IFERROR(IF(AND(ISNUMBER('Semi OpInc'!Q106),ISNUMBER('Semi OpInc'!M106),'Semi OpInc'!M106&gt;0),'Semi OpInc'!Q106/'Semi OpInc'!M106-1,""),"")</f>
        <v/>
      </c>
      <c r="N1101" s="38">
        <f>IFERROR(IF(AND(ISNUMBER('Semi OpInc'!R106),ISNUMBER('Semi OpInc'!N106),'Semi OpInc'!N106&gt;0),'Semi OpInc'!R106/'Semi OpInc'!N106-1,""),"")</f>
        <v/>
      </c>
    </row>
    <row r="1102">
      <c r="A1102" s="19">
        <f>'Semi Rev'!$A107</f>
        <v/>
      </c>
      <c r="B1102" s="19">
        <f>'Semi Rev'!$B107</f>
        <v/>
      </c>
      <c r="C1102" s="37">
        <f>IFERROR(IF(AND(ISNUMBER('Semi OpInc'!G107),ISNUMBER('Semi OpInc'!C107),'Semi OpInc'!C107&gt;0),'Semi OpInc'!G107/'Semi OpInc'!C107-1,""),"")</f>
        <v/>
      </c>
      <c r="D1102" s="37">
        <f>IFERROR(IF(AND(ISNUMBER('Semi OpInc'!H107),ISNUMBER('Semi OpInc'!D107),'Semi OpInc'!D107&gt;0),'Semi OpInc'!H107/'Semi OpInc'!D107-1,""),"")</f>
        <v/>
      </c>
      <c r="E1102" s="37">
        <f>IFERROR(IF(AND(ISNUMBER('Semi OpInc'!I107),ISNUMBER('Semi OpInc'!E107),'Semi OpInc'!E107&gt;0),'Semi OpInc'!I107/'Semi OpInc'!E107-1,""),"")</f>
        <v/>
      </c>
      <c r="F1102" s="37">
        <f>IFERROR(IF(AND(ISNUMBER('Semi OpInc'!J107),ISNUMBER('Semi OpInc'!F107),'Semi OpInc'!F107&gt;0),'Semi OpInc'!J107/'Semi OpInc'!F107-1,""),"")</f>
        <v/>
      </c>
      <c r="G1102" s="37">
        <f>IFERROR(IF(AND(ISNUMBER('Semi OpInc'!K107),ISNUMBER('Semi OpInc'!G107),'Semi OpInc'!G107&gt;0),'Semi OpInc'!K107/'Semi OpInc'!G107-1,""),"")</f>
        <v/>
      </c>
      <c r="H1102" s="37">
        <f>IFERROR(IF(AND(ISNUMBER('Semi OpInc'!L107),ISNUMBER('Semi OpInc'!H107),'Semi OpInc'!H107&gt;0),'Semi OpInc'!L107/'Semi OpInc'!H107-1,""),"")</f>
        <v/>
      </c>
      <c r="I1102" s="37">
        <f>IFERROR(IF(AND(ISNUMBER('Semi OpInc'!M107),ISNUMBER('Semi OpInc'!I107),'Semi OpInc'!I107&gt;0),'Semi OpInc'!M107/'Semi OpInc'!I107-1,""),"")</f>
        <v/>
      </c>
      <c r="J1102" s="37">
        <f>IFERROR(IF(AND(ISNUMBER('Semi OpInc'!N107),ISNUMBER('Semi OpInc'!J107),'Semi OpInc'!J107&gt;0),'Semi OpInc'!N107/'Semi OpInc'!J107-1,""),"")</f>
        <v/>
      </c>
      <c r="K1102" s="37">
        <f>IFERROR(IF(AND(ISNUMBER('Semi OpInc'!O107),ISNUMBER('Semi OpInc'!K107),'Semi OpInc'!K107&gt;0),'Semi OpInc'!O107/'Semi OpInc'!K107-1,""),"")</f>
        <v/>
      </c>
      <c r="L1102" s="37">
        <f>IFERROR(IF(AND(ISNUMBER('Semi OpInc'!P107),ISNUMBER('Semi OpInc'!L107),'Semi OpInc'!L107&gt;0),'Semi OpInc'!P107/'Semi OpInc'!L107-1,""),"")</f>
        <v/>
      </c>
      <c r="M1102" s="38">
        <f>IFERROR(IF(AND(ISNUMBER('Semi OpInc'!Q107),ISNUMBER('Semi OpInc'!M107),'Semi OpInc'!M107&gt;0),'Semi OpInc'!Q107/'Semi OpInc'!M107-1,""),"")</f>
        <v/>
      </c>
      <c r="N1102" s="38">
        <f>IFERROR(IF(AND(ISNUMBER('Semi OpInc'!R107),ISNUMBER('Semi OpInc'!N107),'Semi OpInc'!N107&gt;0),'Semi OpInc'!R107/'Semi OpInc'!N107-1,""),"")</f>
        <v/>
      </c>
    </row>
    <row r="1103">
      <c r="A1103" s="19">
        <f>'Semi Rev'!$A108</f>
        <v/>
      </c>
      <c r="B1103" s="19">
        <f>'Semi Rev'!$B108</f>
        <v/>
      </c>
      <c r="C1103" s="37">
        <f>IFERROR(IF(AND(ISNUMBER('Semi OpInc'!G108),ISNUMBER('Semi OpInc'!C108),'Semi OpInc'!C108&gt;0),'Semi OpInc'!G108/'Semi OpInc'!C108-1,""),"")</f>
        <v/>
      </c>
      <c r="D1103" s="37">
        <f>IFERROR(IF(AND(ISNUMBER('Semi OpInc'!H108),ISNUMBER('Semi OpInc'!D108),'Semi OpInc'!D108&gt;0),'Semi OpInc'!H108/'Semi OpInc'!D108-1,""),"")</f>
        <v/>
      </c>
      <c r="E1103" s="37">
        <f>IFERROR(IF(AND(ISNUMBER('Semi OpInc'!I108),ISNUMBER('Semi OpInc'!E108),'Semi OpInc'!E108&gt;0),'Semi OpInc'!I108/'Semi OpInc'!E108-1,""),"")</f>
        <v/>
      </c>
      <c r="F1103" s="37">
        <f>IFERROR(IF(AND(ISNUMBER('Semi OpInc'!J108),ISNUMBER('Semi OpInc'!F108),'Semi OpInc'!F108&gt;0),'Semi OpInc'!J108/'Semi OpInc'!F108-1,""),"")</f>
        <v/>
      </c>
      <c r="G1103" s="37">
        <f>IFERROR(IF(AND(ISNUMBER('Semi OpInc'!K108),ISNUMBER('Semi OpInc'!G108),'Semi OpInc'!G108&gt;0),'Semi OpInc'!K108/'Semi OpInc'!G108-1,""),"")</f>
        <v/>
      </c>
      <c r="H1103" s="37">
        <f>IFERROR(IF(AND(ISNUMBER('Semi OpInc'!L108),ISNUMBER('Semi OpInc'!H108),'Semi OpInc'!H108&gt;0),'Semi OpInc'!L108/'Semi OpInc'!H108-1,""),"")</f>
        <v/>
      </c>
      <c r="I1103" s="37">
        <f>IFERROR(IF(AND(ISNUMBER('Semi OpInc'!M108),ISNUMBER('Semi OpInc'!I108),'Semi OpInc'!I108&gt;0),'Semi OpInc'!M108/'Semi OpInc'!I108-1,""),"")</f>
        <v/>
      </c>
      <c r="J1103" s="37">
        <f>IFERROR(IF(AND(ISNUMBER('Semi OpInc'!N108),ISNUMBER('Semi OpInc'!J108),'Semi OpInc'!J108&gt;0),'Semi OpInc'!N108/'Semi OpInc'!J108-1,""),"")</f>
        <v/>
      </c>
      <c r="K1103" s="37">
        <f>IFERROR(IF(AND(ISNUMBER('Semi OpInc'!O108),ISNUMBER('Semi OpInc'!K108),'Semi OpInc'!K108&gt;0),'Semi OpInc'!O108/'Semi OpInc'!K108-1,""),"")</f>
        <v/>
      </c>
      <c r="L1103" s="37">
        <f>IFERROR(IF(AND(ISNUMBER('Semi OpInc'!P108),ISNUMBER('Semi OpInc'!L108),'Semi OpInc'!L108&gt;0),'Semi OpInc'!P108/'Semi OpInc'!L108-1,""),"")</f>
        <v/>
      </c>
      <c r="M1103" s="38">
        <f>IFERROR(IF(AND(ISNUMBER('Semi OpInc'!Q108),ISNUMBER('Semi OpInc'!M108),'Semi OpInc'!M108&gt;0),'Semi OpInc'!Q108/'Semi OpInc'!M108-1,""),"")</f>
        <v/>
      </c>
      <c r="N1103" s="38">
        <f>IFERROR(IF(AND(ISNUMBER('Semi OpInc'!R108),ISNUMBER('Semi OpInc'!N108),'Semi OpInc'!N108&gt;0),'Semi OpInc'!R108/'Semi OpInc'!N108-1,""),"")</f>
        <v/>
      </c>
    </row>
    <row r="1104">
      <c r="A1104" s="19">
        <f>'Semi Rev'!$A109</f>
        <v/>
      </c>
      <c r="B1104" s="19">
        <f>'Semi Rev'!$B109</f>
        <v/>
      </c>
      <c r="C1104" s="37">
        <f>IFERROR(IF(AND(ISNUMBER('Semi OpInc'!G109),ISNUMBER('Semi OpInc'!C109),'Semi OpInc'!C109&gt;0),'Semi OpInc'!G109/'Semi OpInc'!C109-1,""),"")</f>
        <v/>
      </c>
      <c r="D1104" s="37">
        <f>IFERROR(IF(AND(ISNUMBER('Semi OpInc'!H109),ISNUMBER('Semi OpInc'!D109),'Semi OpInc'!D109&gt;0),'Semi OpInc'!H109/'Semi OpInc'!D109-1,""),"")</f>
        <v/>
      </c>
      <c r="E1104" s="37">
        <f>IFERROR(IF(AND(ISNUMBER('Semi OpInc'!I109),ISNUMBER('Semi OpInc'!E109),'Semi OpInc'!E109&gt;0),'Semi OpInc'!I109/'Semi OpInc'!E109-1,""),"")</f>
        <v/>
      </c>
      <c r="F1104" s="37">
        <f>IFERROR(IF(AND(ISNUMBER('Semi OpInc'!J109),ISNUMBER('Semi OpInc'!F109),'Semi OpInc'!F109&gt;0),'Semi OpInc'!J109/'Semi OpInc'!F109-1,""),"")</f>
        <v/>
      </c>
      <c r="G1104" s="37">
        <f>IFERROR(IF(AND(ISNUMBER('Semi OpInc'!K109),ISNUMBER('Semi OpInc'!G109),'Semi OpInc'!G109&gt;0),'Semi OpInc'!K109/'Semi OpInc'!G109-1,""),"")</f>
        <v/>
      </c>
      <c r="H1104" s="37">
        <f>IFERROR(IF(AND(ISNUMBER('Semi OpInc'!L109),ISNUMBER('Semi OpInc'!H109),'Semi OpInc'!H109&gt;0),'Semi OpInc'!L109/'Semi OpInc'!H109-1,""),"")</f>
        <v/>
      </c>
      <c r="I1104" s="37">
        <f>IFERROR(IF(AND(ISNUMBER('Semi OpInc'!M109),ISNUMBER('Semi OpInc'!I109),'Semi OpInc'!I109&gt;0),'Semi OpInc'!M109/'Semi OpInc'!I109-1,""),"")</f>
        <v/>
      </c>
      <c r="J1104" s="37">
        <f>IFERROR(IF(AND(ISNUMBER('Semi OpInc'!N109),ISNUMBER('Semi OpInc'!J109),'Semi OpInc'!J109&gt;0),'Semi OpInc'!N109/'Semi OpInc'!J109-1,""),"")</f>
        <v/>
      </c>
      <c r="K1104" s="37">
        <f>IFERROR(IF(AND(ISNUMBER('Semi OpInc'!O109),ISNUMBER('Semi OpInc'!K109),'Semi OpInc'!K109&gt;0),'Semi OpInc'!O109/'Semi OpInc'!K109-1,""),"")</f>
        <v/>
      </c>
      <c r="L1104" s="37">
        <f>IFERROR(IF(AND(ISNUMBER('Semi OpInc'!P109),ISNUMBER('Semi OpInc'!L109),'Semi OpInc'!L109&gt;0),'Semi OpInc'!P109/'Semi OpInc'!L109-1,""),"")</f>
        <v/>
      </c>
      <c r="M1104" s="38">
        <f>IFERROR(IF(AND(ISNUMBER('Semi OpInc'!Q109),ISNUMBER('Semi OpInc'!M109),'Semi OpInc'!M109&gt;0),'Semi OpInc'!Q109/'Semi OpInc'!M109-1,""),"")</f>
        <v/>
      </c>
      <c r="N1104" s="38">
        <f>IFERROR(IF(AND(ISNUMBER('Semi OpInc'!R109),ISNUMBER('Semi OpInc'!N109),'Semi OpInc'!N109&gt;0),'Semi OpInc'!R109/'Semi OpInc'!N109-1,""),"")</f>
        <v/>
      </c>
    </row>
    <row r="1105">
      <c r="A1105" s="19">
        <f>'Semi Rev'!$A110</f>
        <v/>
      </c>
      <c r="B1105" s="19">
        <f>'Semi Rev'!$B110</f>
        <v/>
      </c>
      <c r="C1105" s="37">
        <f>IFERROR(IF(AND(ISNUMBER('Semi OpInc'!G110),ISNUMBER('Semi OpInc'!C110),'Semi OpInc'!C110&gt;0),'Semi OpInc'!G110/'Semi OpInc'!C110-1,""),"")</f>
        <v/>
      </c>
      <c r="D1105" s="37">
        <f>IFERROR(IF(AND(ISNUMBER('Semi OpInc'!H110),ISNUMBER('Semi OpInc'!D110),'Semi OpInc'!D110&gt;0),'Semi OpInc'!H110/'Semi OpInc'!D110-1,""),"")</f>
        <v/>
      </c>
      <c r="E1105" s="37">
        <f>IFERROR(IF(AND(ISNUMBER('Semi OpInc'!I110),ISNUMBER('Semi OpInc'!E110),'Semi OpInc'!E110&gt;0),'Semi OpInc'!I110/'Semi OpInc'!E110-1,""),"")</f>
        <v/>
      </c>
      <c r="F1105" s="37">
        <f>IFERROR(IF(AND(ISNUMBER('Semi OpInc'!J110),ISNUMBER('Semi OpInc'!F110),'Semi OpInc'!F110&gt;0),'Semi OpInc'!J110/'Semi OpInc'!F110-1,""),"")</f>
        <v/>
      </c>
      <c r="G1105" s="37">
        <f>IFERROR(IF(AND(ISNUMBER('Semi OpInc'!K110),ISNUMBER('Semi OpInc'!G110),'Semi OpInc'!G110&gt;0),'Semi OpInc'!K110/'Semi OpInc'!G110-1,""),"")</f>
        <v/>
      </c>
      <c r="H1105" s="37">
        <f>IFERROR(IF(AND(ISNUMBER('Semi OpInc'!L110),ISNUMBER('Semi OpInc'!H110),'Semi OpInc'!H110&gt;0),'Semi OpInc'!L110/'Semi OpInc'!H110-1,""),"")</f>
        <v/>
      </c>
      <c r="I1105" s="37">
        <f>IFERROR(IF(AND(ISNUMBER('Semi OpInc'!M110),ISNUMBER('Semi OpInc'!I110),'Semi OpInc'!I110&gt;0),'Semi OpInc'!M110/'Semi OpInc'!I110-1,""),"")</f>
        <v/>
      </c>
      <c r="J1105" s="37">
        <f>IFERROR(IF(AND(ISNUMBER('Semi OpInc'!N110),ISNUMBER('Semi OpInc'!J110),'Semi OpInc'!J110&gt;0),'Semi OpInc'!N110/'Semi OpInc'!J110-1,""),"")</f>
        <v/>
      </c>
      <c r="K1105" s="37">
        <f>IFERROR(IF(AND(ISNUMBER('Semi OpInc'!O110),ISNUMBER('Semi OpInc'!K110),'Semi OpInc'!K110&gt;0),'Semi OpInc'!O110/'Semi OpInc'!K110-1,""),"")</f>
        <v/>
      </c>
      <c r="L1105" s="37">
        <f>IFERROR(IF(AND(ISNUMBER('Semi OpInc'!P110),ISNUMBER('Semi OpInc'!L110),'Semi OpInc'!L110&gt;0),'Semi OpInc'!P110/'Semi OpInc'!L110-1,""),"")</f>
        <v/>
      </c>
      <c r="M1105" s="38">
        <f>IFERROR(IF(AND(ISNUMBER('Semi OpInc'!Q110),ISNUMBER('Semi OpInc'!M110),'Semi OpInc'!M110&gt;0),'Semi OpInc'!Q110/'Semi OpInc'!M110-1,""),"")</f>
        <v/>
      </c>
      <c r="N1105" s="38">
        <f>IFERROR(IF(AND(ISNUMBER('Semi OpInc'!R110),ISNUMBER('Semi OpInc'!N110),'Semi OpInc'!N110&gt;0),'Semi OpInc'!R110/'Semi OpInc'!N110-1,""),"")</f>
        <v/>
      </c>
    </row>
    <row r="1106">
      <c r="A1106" s="19">
        <f>'Semi Rev'!$A111</f>
        <v/>
      </c>
      <c r="B1106" s="19">
        <f>'Semi Rev'!$B111</f>
        <v/>
      </c>
      <c r="C1106" s="37">
        <f>IFERROR(IF(AND(ISNUMBER('Semi OpInc'!G111),ISNUMBER('Semi OpInc'!C111),'Semi OpInc'!C111&gt;0),'Semi OpInc'!G111/'Semi OpInc'!C111-1,""),"")</f>
        <v/>
      </c>
      <c r="D1106" s="37">
        <f>IFERROR(IF(AND(ISNUMBER('Semi OpInc'!H111),ISNUMBER('Semi OpInc'!D111),'Semi OpInc'!D111&gt;0),'Semi OpInc'!H111/'Semi OpInc'!D111-1,""),"")</f>
        <v/>
      </c>
      <c r="E1106" s="37">
        <f>IFERROR(IF(AND(ISNUMBER('Semi OpInc'!I111),ISNUMBER('Semi OpInc'!E111),'Semi OpInc'!E111&gt;0),'Semi OpInc'!I111/'Semi OpInc'!E111-1,""),"")</f>
        <v/>
      </c>
      <c r="F1106" s="37">
        <f>IFERROR(IF(AND(ISNUMBER('Semi OpInc'!J111),ISNUMBER('Semi OpInc'!F111),'Semi OpInc'!F111&gt;0),'Semi OpInc'!J111/'Semi OpInc'!F111-1,""),"")</f>
        <v/>
      </c>
      <c r="G1106" s="37">
        <f>IFERROR(IF(AND(ISNUMBER('Semi OpInc'!K111),ISNUMBER('Semi OpInc'!G111),'Semi OpInc'!G111&gt;0),'Semi OpInc'!K111/'Semi OpInc'!G111-1,""),"")</f>
        <v/>
      </c>
      <c r="H1106" s="37">
        <f>IFERROR(IF(AND(ISNUMBER('Semi OpInc'!L111),ISNUMBER('Semi OpInc'!H111),'Semi OpInc'!H111&gt;0),'Semi OpInc'!L111/'Semi OpInc'!H111-1,""),"")</f>
        <v/>
      </c>
      <c r="I1106" s="37">
        <f>IFERROR(IF(AND(ISNUMBER('Semi OpInc'!M111),ISNUMBER('Semi OpInc'!I111),'Semi OpInc'!I111&gt;0),'Semi OpInc'!M111/'Semi OpInc'!I111-1,""),"")</f>
        <v/>
      </c>
      <c r="J1106" s="37">
        <f>IFERROR(IF(AND(ISNUMBER('Semi OpInc'!N111),ISNUMBER('Semi OpInc'!J111),'Semi OpInc'!J111&gt;0),'Semi OpInc'!N111/'Semi OpInc'!J111-1,""),"")</f>
        <v/>
      </c>
      <c r="K1106" s="37">
        <f>IFERROR(IF(AND(ISNUMBER('Semi OpInc'!O111),ISNUMBER('Semi OpInc'!K111),'Semi OpInc'!K111&gt;0),'Semi OpInc'!O111/'Semi OpInc'!K111-1,""),"")</f>
        <v/>
      </c>
      <c r="L1106" s="37">
        <f>IFERROR(IF(AND(ISNUMBER('Semi OpInc'!P111),ISNUMBER('Semi OpInc'!L111),'Semi OpInc'!L111&gt;0),'Semi OpInc'!P111/'Semi OpInc'!L111-1,""),"")</f>
        <v/>
      </c>
      <c r="M1106" s="38">
        <f>IFERROR(IF(AND(ISNUMBER('Semi OpInc'!Q111),ISNUMBER('Semi OpInc'!M111),'Semi OpInc'!M111&gt;0),'Semi OpInc'!Q111/'Semi OpInc'!M111-1,""),"")</f>
        <v/>
      </c>
      <c r="N1106" s="38">
        <f>IFERROR(IF(AND(ISNUMBER('Semi OpInc'!R111),ISNUMBER('Semi OpInc'!N111),'Semi OpInc'!N111&gt;0),'Semi OpInc'!R111/'Semi OpInc'!N111-1,""),"")</f>
        <v/>
      </c>
    </row>
    <row r="1107">
      <c r="A1107" s="19">
        <f>'Semi Rev'!$A112</f>
        <v/>
      </c>
      <c r="B1107" s="19">
        <f>'Semi Rev'!$B112</f>
        <v/>
      </c>
      <c r="C1107" s="37">
        <f>IFERROR(IF(AND(ISNUMBER('Semi OpInc'!G112),ISNUMBER('Semi OpInc'!C112),'Semi OpInc'!C112&gt;0),'Semi OpInc'!G112/'Semi OpInc'!C112-1,""),"")</f>
        <v/>
      </c>
      <c r="D1107" s="37">
        <f>IFERROR(IF(AND(ISNUMBER('Semi OpInc'!H112),ISNUMBER('Semi OpInc'!D112),'Semi OpInc'!D112&gt;0),'Semi OpInc'!H112/'Semi OpInc'!D112-1,""),"")</f>
        <v/>
      </c>
      <c r="E1107" s="37">
        <f>IFERROR(IF(AND(ISNUMBER('Semi OpInc'!I112),ISNUMBER('Semi OpInc'!E112),'Semi OpInc'!E112&gt;0),'Semi OpInc'!I112/'Semi OpInc'!E112-1,""),"")</f>
        <v/>
      </c>
      <c r="F1107" s="37">
        <f>IFERROR(IF(AND(ISNUMBER('Semi OpInc'!J112),ISNUMBER('Semi OpInc'!F112),'Semi OpInc'!F112&gt;0),'Semi OpInc'!J112/'Semi OpInc'!F112-1,""),"")</f>
        <v/>
      </c>
      <c r="G1107" s="37">
        <f>IFERROR(IF(AND(ISNUMBER('Semi OpInc'!K112),ISNUMBER('Semi OpInc'!G112),'Semi OpInc'!G112&gt;0),'Semi OpInc'!K112/'Semi OpInc'!G112-1,""),"")</f>
        <v/>
      </c>
      <c r="H1107" s="37">
        <f>IFERROR(IF(AND(ISNUMBER('Semi OpInc'!L112),ISNUMBER('Semi OpInc'!H112),'Semi OpInc'!H112&gt;0),'Semi OpInc'!L112/'Semi OpInc'!H112-1,""),"")</f>
        <v/>
      </c>
      <c r="I1107" s="37">
        <f>IFERROR(IF(AND(ISNUMBER('Semi OpInc'!M112),ISNUMBER('Semi OpInc'!I112),'Semi OpInc'!I112&gt;0),'Semi OpInc'!M112/'Semi OpInc'!I112-1,""),"")</f>
        <v/>
      </c>
      <c r="J1107" s="37">
        <f>IFERROR(IF(AND(ISNUMBER('Semi OpInc'!N112),ISNUMBER('Semi OpInc'!J112),'Semi OpInc'!J112&gt;0),'Semi OpInc'!N112/'Semi OpInc'!J112-1,""),"")</f>
        <v/>
      </c>
      <c r="K1107" s="37">
        <f>IFERROR(IF(AND(ISNUMBER('Semi OpInc'!O112),ISNUMBER('Semi OpInc'!K112),'Semi OpInc'!K112&gt;0),'Semi OpInc'!O112/'Semi OpInc'!K112-1,""),"")</f>
        <v/>
      </c>
      <c r="L1107" s="37">
        <f>IFERROR(IF(AND(ISNUMBER('Semi OpInc'!P112),ISNUMBER('Semi OpInc'!L112),'Semi OpInc'!L112&gt;0),'Semi OpInc'!P112/'Semi OpInc'!L112-1,""),"")</f>
        <v/>
      </c>
      <c r="M1107" s="38">
        <f>IFERROR(IF(AND(ISNUMBER('Semi OpInc'!Q112),ISNUMBER('Semi OpInc'!M112),'Semi OpInc'!M112&gt;0),'Semi OpInc'!Q112/'Semi OpInc'!M112-1,""),"")</f>
        <v/>
      </c>
      <c r="N1107" s="38">
        <f>IFERROR(IF(AND(ISNUMBER('Semi OpInc'!R112),ISNUMBER('Semi OpInc'!N112),'Semi OpInc'!N112&gt;0),'Semi OpInc'!R112/'Semi OpInc'!N112-1,""),"")</f>
        <v/>
      </c>
    </row>
    <row r="1108">
      <c r="A1108" s="19">
        <f>'Semi Rev'!$A113</f>
        <v/>
      </c>
      <c r="B1108" s="19">
        <f>'Semi Rev'!$B113</f>
        <v/>
      </c>
      <c r="C1108" s="37">
        <f>IFERROR(IF(AND(ISNUMBER('Semi OpInc'!G113),ISNUMBER('Semi OpInc'!C113),'Semi OpInc'!C113&gt;0),'Semi OpInc'!G113/'Semi OpInc'!C113-1,""),"")</f>
        <v/>
      </c>
      <c r="D1108" s="37">
        <f>IFERROR(IF(AND(ISNUMBER('Semi OpInc'!H113),ISNUMBER('Semi OpInc'!D113),'Semi OpInc'!D113&gt;0),'Semi OpInc'!H113/'Semi OpInc'!D113-1,""),"")</f>
        <v/>
      </c>
      <c r="E1108" s="37">
        <f>IFERROR(IF(AND(ISNUMBER('Semi OpInc'!I113),ISNUMBER('Semi OpInc'!E113),'Semi OpInc'!E113&gt;0),'Semi OpInc'!I113/'Semi OpInc'!E113-1,""),"")</f>
        <v/>
      </c>
      <c r="F1108" s="37">
        <f>IFERROR(IF(AND(ISNUMBER('Semi OpInc'!J113),ISNUMBER('Semi OpInc'!F113),'Semi OpInc'!F113&gt;0),'Semi OpInc'!J113/'Semi OpInc'!F113-1,""),"")</f>
        <v/>
      </c>
      <c r="G1108" s="37">
        <f>IFERROR(IF(AND(ISNUMBER('Semi OpInc'!K113),ISNUMBER('Semi OpInc'!G113),'Semi OpInc'!G113&gt;0),'Semi OpInc'!K113/'Semi OpInc'!G113-1,""),"")</f>
        <v/>
      </c>
      <c r="H1108" s="37">
        <f>IFERROR(IF(AND(ISNUMBER('Semi OpInc'!L113),ISNUMBER('Semi OpInc'!H113),'Semi OpInc'!H113&gt;0),'Semi OpInc'!L113/'Semi OpInc'!H113-1,""),"")</f>
        <v/>
      </c>
      <c r="I1108" s="37">
        <f>IFERROR(IF(AND(ISNUMBER('Semi OpInc'!M113),ISNUMBER('Semi OpInc'!I113),'Semi OpInc'!I113&gt;0),'Semi OpInc'!M113/'Semi OpInc'!I113-1,""),"")</f>
        <v/>
      </c>
      <c r="J1108" s="37">
        <f>IFERROR(IF(AND(ISNUMBER('Semi OpInc'!N113),ISNUMBER('Semi OpInc'!J113),'Semi OpInc'!J113&gt;0),'Semi OpInc'!N113/'Semi OpInc'!J113-1,""),"")</f>
        <v/>
      </c>
      <c r="K1108" s="37">
        <f>IFERROR(IF(AND(ISNUMBER('Semi OpInc'!O113),ISNUMBER('Semi OpInc'!K113),'Semi OpInc'!K113&gt;0),'Semi OpInc'!O113/'Semi OpInc'!K113-1,""),"")</f>
        <v/>
      </c>
      <c r="L1108" s="37">
        <f>IFERROR(IF(AND(ISNUMBER('Semi OpInc'!P113),ISNUMBER('Semi OpInc'!L113),'Semi OpInc'!L113&gt;0),'Semi OpInc'!P113/'Semi OpInc'!L113-1,""),"")</f>
        <v/>
      </c>
      <c r="M1108" s="38">
        <f>IFERROR(IF(AND(ISNUMBER('Semi OpInc'!Q113),ISNUMBER('Semi OpInc'!M113),'Semi OpInc'!M113&gt;0),'Semi OpInc'!Q113/'Semi OpInc'!M113-1,""),"")</f>
        <v/>
      </c>
      <c r="N1108" s="38">
        <f>IFERROR(IF(AND(ISNUMBER('Semi OpInc'!R113),ISNUMBER('Semi OpInc'!N113),'Semi OpInc'!N113&gt;0),'Semi OpInc'!R113/'Semi OpInc'!N113-1,""),"")</f>
        <v/>
      </c>
    </row>
    <row r="1109">
      <c r="A1109" s="19">
        <f>'Semi Rev'!$A114</f>
        <v/>
      </c>
      <c r="B1109" s="19">
        <f>'Semi Rev'!$B114</f>
        <v/>
      </c>
      <c r="C1109" s="37">
        <f>IFERROR(IF(AND(ISNUMBER('Semi OpInc'!G114),ISNUMBER('Semi OpInc'!C114),'Semi OpInc'!C114&gt;0),'Semi OpInc'!G114/'Semi OpInc'!C114-1,""),"")</f>
        <v/>
      </c>
      <c r="D1109" s="37">
        <f>IFERROR(IF(AND(ISNUMBER('Semi OpInc'!H114),ISNUMBER('Semi OpInc'!D114),'Semi OpInc'!D114&gt;0),'Semi OpInc'!H114/'Semi OpInc'!D114-1,""),"")</f>
        <v/>
      </c>
      <c r="E1109" s="37">
        <f>IFERROR(IF(AND(ISNUMBER('Semi OpInc'!I114),ISNUMBER('Semi OpInc'!E114),'Semi OpInc'!E114&gt;0),'Semi OpInc'!I114/'Semi OpInc'!E114-1,""),"")</f>
        <v/>
      </c>
      <c r="F1109" s="37">
        <f>IFERROR(IF(AND(ISNUMBER('Semi OpInc'!J114),ISNUMBER('Semi OpInc'!F114),'Semi OpInc'!F114&gt;0),'Semi OpInc'!J114/'Semi OpInc'!F114-1,""),"")</f>
        <v/>
      </c>
      <c r="G1109" s="37">
        <f>IFERROR(IF(AND(ISNUMBER('Semi OpInc'!K114),ISNUMBER('Semi OpInc'!G114),'Semi OpInc'!G114&gt;0),'Semi OpInc'!K114/'Semi OpInc'!G114-1,""),"")</f>
        <v/>
      </c>
      <c r="H1109" s="37">
        <f>IFERROR(IF(AND(ISNUMBER('Semi OpInc'!L114),ISNUMBER('Semi OpInc'!H114),'Semi OpInc'!H114&gt;0),'Semi OpInc'!L114/'Semi OpInc'!H114-1,""),"")</f>
        <v/>
      </c>
      <c r="I1109" s="37">
        <f>IFERROR(IF(AND(ISNUMBER('Semi OpInc'!M114),ISNUMBER('Semi OpInc'!I114),'Semi OpInc'!I114&gt;0),'Semi OpInc'!M114/'Semi OpInc'!I114-1,""),"")</f>
        <v/>
      </c>
      <c r="J1109" s="37">
        <f>IFERROR(IF(AND(ISNUMBER('Semi OpInc'!N114),ISNUMBER('Semi OpInc'!J114),'Semi OpInc'!J114&gt;0),'Semi OpInc'!N114/'Semi OpInc'!J114-1,""),"")</f>
        <v/>
      </c>
      <c r="K1109" s="37">
        <f>IFERROR(IF(AND(ISNUMBER('Semi OpInc'!O114),ISNUMBER('Semi OpInc'!K114),'Semi OpInc'!K114&gt;0),'Semi OpInc'!O114/'Semi OpInc'!K114-1,""),"")</f>
        <v/>
      </c>
      <c r="L1109" s="37">
        <f>IFERROR(IF(AND(ISNUMBER('Semi OpInc'!P114),ISNUMBER('Semi OpInc'!L114),'Semi OpInc'!L114&gt;0),'Semi OpInc'!P114/'Semi OpInc'!L114-1,""),"")</f>
        <v/>
      </c>
      <c r="M1109" s="38">
        <f>IFERROR(IF(AND(ISNUMBER('Semi OpInc'!Q114),ISNUMBER('Semi OpInc'!M114),'Semi OpInc'!M114&gt;0),'Semi OpInc'!Q114/'Semi OpInc'!M114-1,""),"")</f>
        <v/>
      </c>
      <c r="N1109" s="38">
        <f>IFERROR(IF(AND(ISNUMBER('Semi OpInc'!R114),ISNUMBER('Semi OpInc'!N114),'Semi OpInc'!N114&gt;0),'Semi OpInc'!R114/'Semi OpInc'!N114-1,""),"")</f>
        <v/>
      </c>
    </row>
    <row r="1110">
      <c r="A1110" s="19">
        <f>'Semi Rev'!$A115</f>
        <v/>
      </c>
      <c r="B1110" s="19">
        <f>'Semi Rev'!$B115</f>
        <v/>
      </c>
      <c r="C1110" s="37">
        <f>IFERROR(IF(AND(ISNUMBER('Semi OpInc'!G115),ISNUMBER('Semi OpInc'!C115),'Semi OpInc'!C115&gt;0),'Semi OpInc'!G115/'Semi OpInc'!C115-1,""),"")</f>
        <v/>
      </c>
      <c r="D1110" s="37">
        <f>IFERROR(IF(AND(ISNUMBER('Semi OpInc'!H115),ISNUMBER('Semi OpInc'!D115),'Semi OpInc'!D115&gt;0),'Semi OpInc'!H115/'Semi OpInc'!D115-1,""),"")</f>
        <v/>
      </c>
      <c r="E1110" s="37">
        <f>IFERROR(IF(AND(ISNUMBER('Semi OpInc'!I115),ISNUMBER('Semi OpInc'!E115),'Semi OpInc'!E115&gt;0),'Semi OpInc'!I115/'Semi OpInc'!E115-1,""),"")</f>
        <v/>
      </c>
      <c r="F1110" s="37">
        <f>IFERROR(IF(AND(ISNUMBER('Semi OpInc'!J115),ISNUMBER('Semi OpInc'!F115),'Semi OpInc'!F115&gt;0),'Semi OpInc'!J115/'Semi OpInc'!F115-1,""),"")</f>
        <v/>
      </c>
      <c r="G1110" s="37">
        <f>IFERROR(IF(AND(ISNUMBER('Semi OpInc'!K115),ISNUMBER('Semi OpInc'!G115),'Semi OpInc'!G115&gt;0),'Semi OpInc'!K115/'Semi OpInc'!G115-1,""),"")</f>
        <v/>
      </c>
      <c r="H1110" s="37">
        <f>IFERROR(IF(AND(ISNUMBER('Semi OpInc'!L115),ISNUMBER('Semi OpInc'!H115),'Semi OpInc'!H115&gt;0),'Semi OpInc'!L115/'Semi OpInc'!H115-1,""),"")</f>
        <v/>
      </c>
      <c r="I1110" s="37">
        <f>IFERROR(IF(AND(ISNUMBER('Semi OpInc'!M115),ISNUMBER('Semi OpInc'!I115),'Semi OpInc'!I115&gt;0),'Semi OpInc'!M115/'Semi OpInc'!I115-1,""),"")</f>
        <v/>
      </c>
      <c r="J1110" s="37">
        <f>IFERROR(IF(AND(ISNUMBER('Semi OpInc'!N115),ISNUMBER('Semi OpInc'!J115),'Semi OpInc'!J115&gt;0),'Semi OpInc'!N115/'Semi OpInc'!J115-1,""),"")</f>
        <v/>
      </c>
      <c r="K1110" s="37">
        <f>IFERROR(IF(AND(ISNUMBER('Semi OpInc'!O115),ISNUMBER('Semi OpInc'!K115),'Semi OpInc'!K115&gt;0),'Semi OpInc'!O115/'Semi OpInc'!K115-1,""),"")</f>
        <v/>
      </c>
      <c r="L1110" s="37">
        <f>IFERROR(IF(AND(ISNUMBER('Semi OpInc'!P115),ISNUMBER('Semi OpInc'!L115),'Semi OpInc'!L115&gt;0),'Semi OpInc'!P115/'Semi OpInc'!L115-1,""),"")</f>
        <v/>
      </c>
      <c r="M1110" s="38">
        <f>IFERROR(IF(AND(ISNUMBER('Semi OpInc'!Q115),ISNUMBER('Semi OpInc'!M115),'Semi OpInc'!M115&gt;0),'Semi OpInc'!Q115/'Semi OpInc'!M115-1,""),"")</f>
        <v/>
      </c>
      <c r="N1110" s="38">
        <f>IFERROR(IF(AND(ISNUMBER('Semi OpInc'!R115),ISNUMBER('Semi OpInc'!N115),'Semi OpInc'!N115&gt;0),'Semi OpInc'!R115/'Semi OpInc'!N115-1,""),"")</f>
        <v/>
      </c>
    </row>
    <row r="1111">
      <c r="A1111" s="19">
        <f>'Semi Rev'!$A116</f>
        <v/>
      </c>
      <c r="B1111" s="19">
        <f>'Semi Rev'!$B116</f>
        <v/>
      </c>
      <c r="C1111" s="37">
        <f>IFERROR(IF(AND(ISNUMBER('Semi OpInc'!G116),ISNUMBER('Semi OpInc'!C116),'Semi OpInc'!C116&gt;0),'Semi OpInc'!G116/'Semi OpInc'!C116-1,""),"")</f>
        <v/>
      </c>
      <c r="D1111" s="37">
        <f>IFERROR(IF(AND(ISNUMBER('Semi OpInc'!H116),ISNUMBER('Semi OpInc'!D116),'Semi OpInc'!D116&gt;0),'Semi OpInc'!H116/'Semi OpInc'!D116-1,""),"")</f>
        <v/>
      </c>
      <c r="E1111" s="37">
        <f>IFERROR(IF(AND(ISNUMBER('Semi OpInc'!I116),ISNUMBER('Semi OpInc'!E116),'Semi OpInc'!E116&gt;0),'Semi OpInc'!I116/'Semi OpInc'!E116-1,""),"")</f>
        <v/>
      </c>
      <c r="F1111" s="37">
        <f>IFERROR(IF(AND(ISNUMBER('Semi OpInc'!J116),ISNUMBER('Semi OpInc'!F116),'Semi OpInc'!F116&gt;0),'Semi OpInc'!J116/'Semi OpInc'!F116-1,""),"")</f>
        <v/>
      </c>
      <c r="G1111" s="37">
        <f>IFERROR(IF(AND(ISNUMBER('Semi OpInc'!K116),ISNUMBER('Semi OpInc'!G116),'Semi OpInc'!G116&gt;0),'Semi OpInc'!K116/'Semi OpInc'!G116-1,""),"")</f>
        <v/>
      </c>
      <c r="H1111" s="37">
        <f>IFERROR(IF(AND(ISNUMBER('Semi OpInc'!L116),ISNUMBER('Semi OpInc'!H116),'Semi OpInc'!H116&gt;0),'Semi OpInc'!L116/'Semi OpInc'!H116-1,""),"")</f>
        <v/>
      </c>
      <c r="I1111" s="37">
        <f>IFERROR(IF(AND(ISNUMBER('Semi OpInc'!M116),ISNUMBER('Semi OpInc'!I116),'Semi OpInc'!I116&gt;0),'Semi OpInc'!M116/'Semi OpInc'!I116-1,""),"")</f>
        <v/>
      </c>
      <c r="J1111" s="37">
        <f>IFERROR(IF(AND(ISNUMBER('Semi OpInc'!N116),ISNUMBER('Semi OpInc'!J116),'Semi OpInc'!J116&gt;0),'Semi OpInc'!N116/'Semi OpInc'!J116-1,""),"")</f>
        <v/>
      </c>
      <c r="K1111" s="37">
        <f>IFERROR(IF(AND(ISNUMBER('Semi OpInc'!O116),ISNUMBER('Semi OpInc'!K116),'Semi OpInc'!K116&gt;0),'Semi OpInc'!O116/'Semi OpInc'!K116-1,""),"")</f>
        <v/>
      </c>
      <c r="L1111" s="37">
        <f>IFERROR(IF(AND(ISNUMBER('Semi OpInc'!P116),ISNUMBER('Semi OpInc'!L116),'Semi OpInc'!L116&gt;0),'Semi OpInc'!P116/'Semi OpInc'!L116-1,""),"")</f>
        <v/>
      </c>
      <c r="M1111" s="38">
        <f>IFERROR(IF(AND(ISNUMBER('Semi OpInc'!Q116),ISNUMBER('Semi OpInc'!M116),'Semi OpInc'!M116&gt;0),'Semi OpInc'!Q116/'Semi OpInc'!M116-1,""),"")</f>
        <v/>
      </c>
      <c r="N1111" s="38">
        <f>IFERROR(IF(AND(ISNUMBER('Semi OpInc'!R116),ISNUMBER('Semi OpInc'!N116),'Semi OpInc'!N116&gt;0),'Semi OpInc'!R116/'Semi OpInc'!N116-1,""),"")</f>
        <v/>
      </c>
    </row>
    <row r="1112">
      <c r="A1112" s="19">
        <f>'Semi Rev'!$A117</f>
        <v/>
      </c>
      <c r="B1112" s="19">
        <f>'Semi Rev'!$B117</f>
        <v/>
      </c>
      <c r="C1112" s="37">
        <f>IFERROR(IF(AND(ISNUMBER('Semi OpInc'!G117),ISNUMBER('Semi OpInc'!C117),'Semi OpInc'!C117&gt;0),'Semi OpInc'!G117/'Semi OpInc'!C117-1,""),"")</f>
        <v/>
      </c>
      <c r="D1112" s="37">
        <f>IFERROR(IF(AND(ISNUMBER('Semi OpInc'!H117),ISNUMBER('Semi OpInc'!D117),'Semi OpInc'!D117&gt;0),'Semi OpInc'!H117/'Semi OpInc'!D117-1,""),"")</f>
        <v/>
      </c>
      <c r="E1112" s="37">
        <f>IFERROR(IF(AND(ISNUMBER('Semi OpInc'!I117),ISNUMBER('Semi OpInc'!E117),'Semi OpInc'!E117&gt;0),'Semi OpInc'!I117/'Semi OpInc'!E117-1,""),"")</f>
        <v/>
      </c>
      <c r="F1112" s="37">
        <f>IFERROR(IF(AND(ISNUMBER('Semi OpInc'!J117),ISNUMBER('Semi OpInc'!F117),'Semi OpInc'!F117&gt;0),'Semi OpInc'!J117/'Semi OpInc'!F117-1,""),"")</f>
        <v/>
      </c>
      <c r="G1112" s="37">
        <f>IFERROR(IF(AND(ISNUMBER('Semi OpInc'!K117),ISNUMBER('Semi OpInc'!G117),'Semi OpInc'!G117&gt;0),'Semi OpInc'!K117/'Semi OpInc'!G117-1,""),"")</f>
        <v/>
      </c>
      <c r="H1112" s="37">
        <f>IFERROR(IF(AND(ISNUMBER('Semi OpInc'!L117),ISNUMBER('Semi OpInc'!H117),'Semi OpInc'!H117&gt;0),'Semi OpInc'!L117/'Semi OpInc'!H117-1,""),"")</f>
        <v/>
      </c>
      <c r="I1112" s="37">
        <f>IFERROR(IF(AND(ISNUMBER('Semi OpInc'!M117),ISNUMBER('Semi OpInc'!I117),'Semi OpInc'!I117&gt;0),'Semi OpInc'!M117/'Semi OpInc'!I117-1,""),"")</f>
        <v/>
      </c>
      <c r="J1112" s="37">
        <f>IFERROR(IF(AND(ISNUMBER('Semi OpInc'!N117),ISNUMBER('Semi OpInc'!J117),'Semi OpInc'!J117&gt;0),'Semi OpInc'!N117/'Semi OpInc'!J117-1,""),"")</f>
        <v/>
      </c>
      <c r="K1112" s="37">
        <f>IFERROR(IF(AND(ISNUMBER('Semi OpInc'!O117),ISNUMBER('Semi OpInc'!K117),'Semi OpInc'!K117&gt;0),'Semi OpInc'!O117/'Semi OpInc'!K117-1,""),"")</f>
        <v/>
      </c>
      <c r="L1112" s="37">
        <f>IFERROR(IF(AND(ISNUMBER('Semi OpInc'!P117),ISNUMBER('Semi OpInc'!L117),'Semi OpInc'!L117&gt;0),'Semi OpInc'!P117/'Semi OpInc'!L117-1,""),"")</f>
        <v/>
      </c>
      <c r="M1112" s="38">
        <f>IFERROR(IF(AND(ISNUMBER('Semi OpInc'!Q117),ISNUMBER('Semi OpInc'!M117),'Semi OpInc'!M117&gt;0),'Semi OpInc'!Q117/'Semi OpInc'!M117-1,""),"")</f>
        <v/>
      </c>
      <c r="N1112" s="38">
        <f>IFERROR(IF(AND(ISNUMBER('Semi OpInc'!R117),ISNUMBER('Semi OpInc'!N117),'Semi OpInc'!N117&gt;0),'Semi OpInc'!R117/'Semi OpInc'!N117-1,""),"")</f>
        <v/>
      </c>
    </row>
    <row r="1113">
      <c r="A1113" s="19">
        <f>'Semi Rev'!$A118</f>
        <v/>
      </c>
      <c r="B1113" s="19">
        <f>'Semi Rev'!$B118</f>
        <v/>
      </c>
      <c r="C1113" s="37">
        <f>IFERROR(IF(AND(ISNUMBER('Semi OpInc'!G118),ISNUMBER('Semi OpInc'!C118),'Semi OpInc'!C118&gt;0),'Semi OpInc'!G118/'Semi OpInc'!C118-1,""),"")</f>
        <v/>
      </c>
      <c r="D1113" s="37">
        <f>IFERROR(IF(AND(ISNUMBER('Semi OpInc'!H118),ISNUMBER('Semi OpInc'!D118),'Semi OpInc'!D118&gt;0),'Semi OpInc'!H118/'Semi OpInc'!D118-1,""),"")</f>
        <v/>
      </c>
      <c r="E1113" s="37">
        <f>IFERROR(IF(AND(ISNUMBER('Semi OpInc'!I118),ISNUMBER('Semi OpInc'!E118),'Semi OpInc'!E118&gt;0),'Semi OpInc'!I118/'Semi OpInc'!E118-1,""),"")</f>
        <v/>
      </c>
      <c r="F1113" s="37">
        <f>IFERROR(IF(AND(ISNUMBER('Semi OpInc'!J118),ISNUMBER('Semi OpInc'!F118),'Semi OpInc'!F118&gt;0),'Semi OpInc'!J118/'Semi OpInc'!F118-1,""),"")</f>
        <v/>
      </c>
      <c r="G1113" s="37">
        <f>IFERROR(IF(AND(ISNUMBER('Semi OpInc'!K118),ISNUMBER('Semi OpInc'!G118),'Semi OpInc'!G118&gt;0),'Semi OpInc'!K118/'Semi OpInc'!G118-1,""),"")</f>
        <v/>
      </c>
      <c r="H1113" s="37">
        <f>IFERROR(IF(AND(ISNUMBER('Semi OpInc'!L118),ISNUMBER('Semi OpInc'!H118),'Semi OpInc'!H118&gt;0),'Semi OpInc'!L118/'Semi OpInc'!H118-1,""),"")</f>
        <v/>
      </c>
      <c r="I1113" s="37">
        <f>IFERROR(IF(AND(ISNUMBER('Semi OpInc'!M118),ISNUMBER('Semi OpInc'!I118),'Semi OpInc'!I118&gt;0),'Semi OpInc'!M118/'Semi OpInc'!I118-1,""),"")</f>
        <v/>
      </c>
      <c r="J1113" s="37">
        <f>IFERROR(IF(AND(ISNUMBER('Semi OpInc'!N118),ISNUMBER('Semi OpInc'!J118),'Semi OpInc'!J118&gt;0),'Semi OpInc'!N118/'Semi OpInc'!J118-1,""),"")</f>
        <v/>
      </c>
      <c r="K1113" s="37">
        <f>IFERROR(IF(AND(ISNUMBER('Semi OpInc'!O118),ISNUMBER('Semi OpInc'!K118),'Semi OpInc'!K118&gt;0),'Semi OpInc'!O118/'Semi OpInc'!K118-1,""),"")</f>
        <v/>
      </c>
      <c r="L1113" s="37">
        <f>IFERROR(IF(AND(ISNUMBER('Semi OpInc'!P118),ISNUMBER('Semi OpInc'!L118),'Semi OpInc'!L118&gt;0),'Semi OpInc'!P118/'Semi OpInc'!L118-1,""),"")</f>
        <v/>
      </c>
      <c r="M1113" s="38">
        <f>IFERROR(IF(AND(ISNUMBER('Semi OpInc'!Q118),ISNUMBER('Semi OpInc'!M118),'Semi OpInc'!M118&gt;0),'Semi OpInc'!Q118/'Semi OpInc'!M118-1,""),"")</f>
        <v/>
      </c>
      <c r="N1113" s="38">
        <f>IFERROR(IF(AND(ISNUMBER('Semi OpInc'!R118),ISNUMBER('Semi OpInc'!N118),'Semi OpInc'!N118&gt;0),'Semi OpInc'!R118/'Semi OpInc'!N118-1,""),"")</f>
        <v/>
      </c>
    </row>
    <row r="1114">
      <c r="A1114" s="19">
        <f>'Semi Rev'!$A119</f>
        <v/>
      </c>
      <c r="B1114" s="19">
        <f>'Semi Rev'!$B119</f>
        <v/>
      </c>
      <c r="C1114" s="37">
        <f>IFERROR(IF(AND(ISNUMBER('Semi OpInc'!G119),ISNUMBER('Semi OpInc'!C119),'Semi OpInc'!C119&gt;0),'Semi OpInc'!G119/'Semi OpInc'!C119-1,""),"")</f>
        <v/>
      </c>
      <c r="D1114" s="37">
        <f>IFERROR(IF(AND(ISNUMBER('Semi OpInc'!H119),ISNUMBER('Semi OpInc'!D119),'Semi OpInc'!D119&gt;0),'Semi OpInc'!H119/'Semi OpInc'!D119-1,""),"")</f>
        <v/>
      </c>
      <c r="E1114" s="37">
        <f>IFERROR(IF(AND(ISNUMBER('Semi OpInc'!I119),ISNUMBER('Semi OpInc'!E119),'Semi OpInc'!E119&gt;0),'Semi OpInc'!I119/'Semi OpInc'!E119-1,""),"")</f>
        <v/>
      </c>
      <c r="F1114" s="37">
        <f>IFERROR(IF(AND(ISNUMBER('Semi OpInc'!J119),ISNUMBER('Semi OpInc'!F119),'Semi OpInc'!F119&gt;0),'Semi OpInc'!J119/'Semi OpInc'!F119-1,""),"")</f>
        <v/>
      </c>
      <c r="G1114" s="37">
        <f>IFERROR(IF(AND(ISNUMBER('Semi OpInc'!K119),ISNUMBER('Semi OpInc'!G119),'Semi OpInc'!G119&gt;0),'Semi OpInc'!K119/'Semi OpInc'!G119-1,""),"")</f>
        <v/>
      </c>
      <c r="H1114" s="37">
        <f>IFERROR(IF(AND(ISNUMBER('Semi OpInc'!L119),ISNUMBER('Semi OpInc'!H119),'Semi OpInc'!H119&gt;0),'Semi OpInc'!L119/'Semi OpInc'!H119-1,""),"")</f>
        <v/>
      </c>
      <c r="I1114" s="37">
        <f>IFERROR(IF(AND(ISNUMBER('Semi OpInc'!M119),ISNUMBER('Semi OpInc'!I119),'Semi OpInc'!I119&gt;0),'Semi OpInc'!M119/'Semi OpInc'!I119-1,""),"")</f>
        <v/>
      </c>
      <c r="J1114" s="37">
        <f>IFERROR(IF(AND(ISNUMBER('Semi OpInc'!N119),ISNUMBER('Semi OpInc'!J119),'Semi OpInc'!J119&gt;0),'Semi OpInc'!N119/'Semi OpInc'!J119-1,""),"")</f>
        <v/>
      </c>
      <c r="K1114" s="37">
        <f>IFERROR(IF(AND(ISNUMBER('Semi OpInc'!O119),ISNUMBER('Semi OpInc'!K119),'Semi OpInc'!K119&gt;0),'Semi OpInc'!O119/'Semi OpInc'!K119-1,""),"")</f>
        <v/>
      </c>
      <c r="L1114" s="37">
        <f>IFERROR(IF(AND(ISNUMBER('Semi OpInc'!P119),ISNUMBER('Semi OpInc'!L119),'Semi OpInc'!L119&gt;0),'Semi OpInc'!P119/'Semi OpInc'!L119-1,""),"")</f>
        <v/>
      </c>
      <c r="M1114" s="38">
        <f>IFERROR(IF(AND(ISNUMBER('Semi OpInc'!Q119),ISNUMBER('Semi OpInc'!M119),'Semi OpInc'!M119&gt;0),'Semi OpInc'!Q119/'Semi OpInc'!M119-1,""),"")</f>
        <v/>
      </c>
      <c r="N1114" s="38">
        <f>IFERROR(IF(AND(ISNUMBER('Semi OpInc'!R119),ISNUMBER('Semi OpInc'!N119),'Semi OpInc'!N119&gt;0),'Semi OpInc'!R119/'Semi OpInc'!N119-1,""),"")</f>
        <v/>
      </c>
    </row>
    <row r="1115">
      <c r="A1115" s="19">
        <f>'Semi Rev'!$A120</f>
        <v/>
      </c>
      <c r="B1115" s="19">
        <f>'Semi Rev'!$B120</f>
        <v/>
      </c>
      <c r="C1115" s="37">
        <f>IFERROR(IF(AND(ISNUMBER('Semi OpInc'!G120),ISNUMBER('Semi OpInc'!C120),'Semi OpInc'!C120&gt;0),'Semi OpInc'!G120/'Semi OpInc'!C120-1,""),"")</f>
        <v/>
      </c>
      <c r="D1115" s="37">
        <f>IFERROR(IF(AND(ISNUMBER('Semi OpInc'!H120),ISNUMBER('Semi OpInc'!D120),'Semi OpInc'!D120&gt;0),'Semi OpInc'!H120/'Semi OpInc'!D120-1,""),"")</f>
        <v/>
      </c>
      <c r="E1115" s="37">
        <f>IFERROR(IF(AND(ISNUMBER('Semi OpInc'!I120),ISNUMBER('Semi OpInc'!E120),'Semi OpInc'!E120&gt;0),'Semi OpInc'!I120/'Semi OpInc'!E120-1,""),"")</f>
        <v/>
      </c>
      <c r="F1115" s="37">
        <f>IFERROR(IF(AND(ISNUMBER('Semi OpInc'!J120),ISNUMBER('Semi OpInc'!F120),'Semi OpInc'!F120&gt;0),'Semi OpInc'!J120/'Semi OpInc'!F120-1,""),"")</f>
        <v/>
      </c>
      <c r="G1115" s="37">
        <f>IFERROR(IF(AND(ISNUMBER('Semi OpInc'!K120),ISNUMBER('Semi OpInc'!G120),'Semi OpInc'!G120&gt;0),'Semi OpInc'!K120/'Semi OpInc'!G120-1,""),"")</f>
        <v/>
      </c>
      <c r="H1115" s="37">
        <f>IFERROR(IF(AND(ISNUMBER('Semi OpInc'!L120),ISNUMBER('Semi OpInc'!H120),'Semi OpInc'!H120&gt;0),'Semi OpInc'!L120/'Semi OpInc'!H120-1,""),"")</f>
        <v/>
      </c>
      <c r="I1115" s="37">
        <f>IFERROR(IF(AND(ISNUMBER('Semi OpInc'!M120),ISNUMBER('Semi OpInc'!I120),'Semi OpInc'!I120&gt;0),'Semi OpInc'!M120/'Semi OpInc'!I120-1,""),"")</f>
        <v/>
      </c>
      <c r="J1115" s="37">
        <f>IFERROR(IF(AND(ISNUMBER('Semi OpInc'!N120),ISNUMBER('Semi OpInc'!J120),'Semi OpInc'!J120&gt;0),'Semi OpInc'!N120/'Semi OpInc'!J120-1,""),"")</f>
        <v/>
      </c>
      <c r="K1115" s="37">
        <f>IFERROR(IF(AND(ISNUMBER('Semi OpInc'!O120),ISNUMBER('Semi OpInc'!K120),'Semi OpInc'!K120&gt;0),'Semi OpInc'!O120/'Semi OpInc'!K120-1,""),"")</f>
        <v/>
      </c>
      <c r="L1115" s="37">
        <f>IFERROR(IF(AND(ISNUMBER('Semi OpInc'!P120),ISNUMBER('Semi OpInc'!L120),'Semi OpInc'!L120&gt;0),'Semi OpInc'!P120/'Semi OpInc'!L120-1,""),"")</f>
        <v/>
      </c>
      <c r="M1115" s="38">
        <f>IFERROR(IF(AND(ISNUMBER('Semi OpInc'!Q120),ISNUMBER('Semi OpInc'!M120),'Semi OpInc'!M120&gt;0),'Semi OpInc'!Q120/'Semi OpInc'!M120-1,""),"")</f>
        <v/>
      </c>
      <c r="N1115" s="38">
        <f>IFERROR(IF(AND(ISNUMBER('Semi OpInc'!R120),ISNUMBER('Semi OpInc'!N120),'Semi OpInc'!N120&gt;0),'Semi OpInc'!R120/'Semi OpInc'!N120-1,""),"")</f>
        <v/>
      </c>
    </row>
    <row r="1116">
      <c r="A1116" s="19">
        <f>'Semi Rev'!$A121</f>
        <v/>
      </c>
      <c r="B1116" s="19">
        <f>'Semi Rev'!$B121</f>
        <v/>
      </c>
      <c r="C1116" s="37">
        <f>IFERROR(IF(AND(ISNUMBER('Semi OpInc'!G121),ISNUMBER('Semi OpInc'!C121),'Semi OpInc'!C121&gt;0),'Semi OpInc'!G121/'Semi OpInc'!C121-1,""),"")</f>
        <v/>
      </c>
      <c r="D1116" s="37">
        <f>IFERROR(IF(AND(ISNUMBER('Semi OpInc'!H121),ISNUMBER('Semi OpInc'!D121),'Semi OpInc'!D121&gt;0),'Semi OpInc'!H121/'Semi OpInc'!D121-1,""),"")</f>
        <v/>
      </c>
      <c r="E1116" s="37">
        <f>IFERROR(IF(AND(ISNUMBER('Semi OpInc'!I121),ISNUMBER('Semi OpInc'!E121),'Semi OpInc'!E121&gt;0),'Semi OpInc'!I121/'Semi OpInc'!E121-1,""),"")</f>
        <v/>
      </c>
      <c r="F1116" s="37">
        <f>IFERROR(IF(AND(ISNUMBER('Semi OpInc'!J121),ISNUMBER('Semi OpInc'!F121),'Semi OpInc'!F121&gt;0),'Semi OpInc'!J121/'Semi OpInc'!F121-1,""),"")</f>
        <v/>
      </c>
      <c r="G1116" s="37">
        <f>IFERROR(IF(AND(ISNUMBER('Semi OpInc'!K121),ISNUMBER('Semi OpInc'!G121),'Semi OpInc'!G121&gt;0),'Semi OpInc'!K121/'Semi OpInc'!G121-1,""),"")</f>
        <v/>
      </c>
      <c r="H1116" s="37">
        <f>IFERROR(IF(AND(ISNUMBER('Semi OpInc'!L121),ISNUMBER('Semi OpInc'!H121),'Semi OpInc'!H121&gt;0),'Semi OpInc'!L121/'Semi OpInc'!H121-1,""),"")</f>
        <v/>
      </c>
      <c r="I1116" s="37">
        <f>IFERROR(IF(AND(ISNUMBER('Semi OpInc'!M121),ISNUMBER('Semi OpInc'!I121),'Semi OpInc'!I121&gt;0),'Semi OpInc'!M121/'Semi OpInc'!I121-1,""),"")</f>
        <v/>
      </c>
      <c r="J1116" s="37">
        <f>IFERROR(IF(AND(ISNUMBER('Semi OpInc'!N121),ISNUMBER('Semi OpInc'!J121),'Semi OpInc'!J121&gt;0),'Semi OpInc'!N121/'Semi OpInc'!J121-1,""),"")</f>
        <v/>
      </c>
      <c r="K1116" s="37">
        <f>IFERROR(IF(AND(ISNUMBER('Semi OpInc'!O121),ISNUMBER('Semi OpInc'!K121),'Semi OpInc'!K121&gt;0),'Semi OpInc'!O121/'Semi OpInc'!K121-1,""),"")</f>
        <v/>
      </c>
      <c r="L1116" s="37">
        <f>IFERROR(IF(AND(ISNUMBER('Semi OpInc'!P121),ISNUMBER('Semi OpInc'!L121),'Semi OpInc'!L121&gt;0),'Semi OpInc'!P121/'Semi OpInc'!L121-1,""),"")</f>
        <v/>
      </c>
      <c r="M1116" s="38">
        <f>IFERROR(IF(AND(ISNUMBER('Semi OpInc'!Q121),ISNUMBER('Semi OpInc'!M121),'Semi OpInc'!M121&gt;0),'Semi OpInc'!Q121/'Semi OpInc'!M121-1,""),"")</f>
        <v/>
      </c>
      <c r="N1116" s="38">
        <f>IFERROR(IF(AND(ISNUMBER('Semi OpInc'!R121),ISNUMBER('Semi OpInc'!N121),'Semi OpInc'!N121&gt;0),'Semi OpInc'!R121/'Semi OpInc'!N121-1,""),"")</f>
        <v/>
      </c>
    </row>
    <row r="1117">
      <c r="A1117" s="19">
        <f>'Semi Rev'!$A122</f>
        <v/>
      </c>
      <c r="B1117" s="19">
        <f>'Semi Rev'!$B122</f>
        <v/>
      </c>
      <c r="C1117" s="37">
        <f>IFERROR(IF(AND(ISNUMBER('Semi OpInc'!G122),ISNUMBER('Semi OpInc'!C122),'Semi OpInc'!C122&gt;0),'Semi OpInc'!G122/'Semi OpInc'!C122-1,""),"")</f>
        <v/>
      </c>
      <c r="D1117" s="37">
        <f>IFERROR(IF(AND(ISNUMBER('Semi OpInc'!H122),ISNUMBER('Semi OpInc'!D122),'Semi OpInc'!D122&gt;0),'Semi OpInc'!H122/'Semi OpInc'!D122-1,""),"")</f>
        <v/>
      </c>
      <c r="E1117" s="37">
        <f>IFERROR(IF(AND(ISNUMBER('Semi OpInc'!I122),ISNUMBER('Semi OpInc'!E122),'Semi OpInc'!E122&gt;0),'Semi OpInc'!I122/'Semi OpInc'!E122-1,""),"")</f>
        <v/>
      </c>
      <c r="F1117" s="37">
        <f>IFERROR(IF(AND(ISNUMBER('Semi OpInc'!J122),ISNUMBER('Semi OpInc'!F122),'Semi OpInc'!F122&gt;0),'Semi OpInc'!J122/'Semi OpInc'!F122-1,""),"")</f>
        <v/>
      </c>
      <c r="G1117" s="37">
        <f>IFERROR(IF(AND(ISNUMBER('Semi OpInc'!K122),ISNUMBER('Semi OpInc'!G122),'Semi OpInc'!G122&gt;0),'Semi OpInc'!K122/'Semi OpInc'!G122-1,""),"")</f>
        <v/>
      </c>
      <c r="H1117" s="37">
        <f>IFERROR(IF(AND(ISNUMBER('Semi OpInc'!L122),ISNUMBER('Semi OpInc'!H122),'Semi OpInc'!H122&gt;0),'Semi OpInc'!L122/'Semi OpInc'!H122-1,""),"")</f>
        <v/>
      </c>
      <c r="I1117" s="37">
        <f>IFERROR(IF(AND(ISNUMBER('Semi OpInc'!M122),ISNUMBER('Semi OpInc'!I122),'Semi OpInc'!I122&gt;0),'Semi OpInc'!M122/'Semi OpInc'!I122-1,""),"")</f>
        <v/>
      </c>
      <c r="J1117" s="37">
        <f>IFERROR(IF(AND(ISNUMBER('Semi OpInc'!N122),ISNUMBER('Semi OpInc'!J122),'Semi OpInc'!J122&gt;0),'Semi OpInc'!N122/'Semi OpInc'!J122-1,""),"")</f>
        <v/>
      </c>
      <c r="K1117" s="37">
        <f>IFERROR(IF(AND(ISNUMBER('Semi OpInc'!O122),ISNUMBER('Semi OpInc'!K122),'Semi OpInc'!K122&gt;0),'Semi OpInc'!O122/'Semi OpInc'!K122-1,""),"")</f>
        <v/>
      </c>
      <c r="L1117" s="37">
        <f>IFERROR(IF(AND(ISNUMBER('Semi OpInc'!P122),ISNUMBER('Semi OpInc'!L122),'Semi OpInc'!L122&gt;0),'Semi OpInc'!P122/'Semi OpInc'!L122-1,""),"")</f>
        <v/>
      </c>
      <c r="M1117" s="38">
        <f>IFERROR(IF(AND(ISNUMBER('Semi OpInc'!Q122),ISNUMBER('Semi OpInc'!M122),'Semi OpInc'!M122&gt;0),'Semi OpInc'!Q122/'Semi OpInc'!M122-1,""),"")</f>
        <v/>
      </c>
      <c r="N1117" s="38">
        <f>IFERROR(IF(AND(ISNUMBER('Semi OpInc'!R122),ISNUMBER('Semi OpInc'!N122),'Semi OpInc'!N122&gt;0),'Semi OpInc'!R122/'Semi OpInc'!N122-1,""),"")</f>
        <v/>
      </c>
    </row>
    <row r="1118">
      <c r="A1118" s="19">
        <f>'Semi Rev'!$A123</f>
        <v/>
      </c>
      <c r="B1118" s="19">
        <f>'Semi Rev'!$B123</f>
        <v/>
      </c>
      <c r="C1118" s="37">
        <f>IFERROR(IF(AND(ISNUMBER('Semi OpInc'!G123),ISNUMBER('Semi OpInc'!C123),'Semi OpInc'!C123&gt;0),'Semi OpInc'!G123/'Semi OpInc'!C123-1,""),"")</f>
        <v/>
      </c>
      <c r="D1118" s="37">
        <f>IFERROR(IF(AND(ISNUMBER('Semi OpInc'!H123),ISNUMBER('Semi OpInc'!D123),'Semi OpInc'!D123&gt;0),'Semi OpInc'!H123/'Semi OpInc'!D123-1,""),"")</f>
        <v/>
      </c>
      <c r="E1118" s="37">
        <f>IFERROR(IF(AND(ISNUMBER('Semi OpInc'!I123),ISNUMBER('Semi OpInc'!E123),'Semi OpInc'!E123&gt;0),'Semi OpInc'!I123/'Semi OpInc'!E123-1,""),"")</f>
        <v/>
      </c>
      <c r="F1118" s="37">
        <f>IFERROR(IF(AND(ISNUMBER('Semi OpInc'!J123),ISNUMBER('Semi OpInc'!F123),'Semi OpInc'!F123&gt;0),'Semi OpInc'!J123/'Semi OpInc'!F123-1,""),"")</f>
        <v/>
      </c>
      <c r="G1118" s="37">
        <f>IFERROR(IF(AND(ISNUMBER('Semi OpInc'!K123),ISNUMBER('Semi OpInc'!G123),'Semi OpInc'!G123&gt;0),'Semi OpInc'!K123/'Semi OpInc'!G123-1,""),"")</f>
        <v/>
      </c>
      <c r="H1118" s="37">
        <f>IFERROR(IF(AND(ISNUMBER('Semi OpInc'!L123),ISNUMBER('Semi OpInc'!H123),'Semi OpInc'!H123&gt;0),'Semi OpInc'!L123/'Semi OpInc'!H123-1,""),"")</f>
        <v/>
      </c>
      <c r="I1118" s="37">
        <f>IFERROR(IF(AND(ISNUMBER('Semi OpInc'!M123),ISNUMBER('Semi OpInc'!I123),'Semi OpInc'!I123&gt;0),'Semi OpInc'!M123/'Semi OpInc'!I123-1,""),"")</f>
        <v/>
      </c>
      <c r="J1118" s="37">
        <f>IFERROR(IF(AND(ISNUMBER('Semi OpInc'!N123),ISNUMBER('Semi OpInc'!J123),'Semi OpInc'!J123&gt;0),'Semi OpInc'!N123/'Semi OpInc'!J123-1,""),"")</f>
        <v/>
      </c>
      <c r="K1118" s="37">
        <f>IFERROR(IF(AND(ISNUMBER('Semi OpInc'!O123),ISNUMBER('Semi OpInc'!K123),'Semi OpInc'!K123&gt;0),'Semi OpInc'!O123/'Semi OpInc'!K123-1,""),"")</f>
        <v/>
      </c>
      <c r="L1118" s="37">
        <f>IFERROR(IF(AND(ISNUMBER('Semi OpInc'!P123),ISNUMBER('Semi OpInc'!L123),'Semi OpInc'!L123&gt;0),'Semi OpInc'!P123/'Semi OpInc'!L123-1,""),"")</f>
        <v/>
      </c>
      <c r="M1118" s="38">
        <f>IFERROR(IF(AND(ISNUMBER('Semi OpInc'!Q123),ISNUMBER('Semi OpInc'!M123),'Semi OpInc'!M123&gt;0),'Semi OpInc'!Q123/'Semi OpInc'!M123-1,""),"")</f>
        <v/>
      </c>
      <c r="N1118" s="38">
        <f>IFERROR(IF(AND(ISNUMBER('Semi OpInc'!R123),ISNUMBER('Semi OpInc'!N123),'Semi OpInc'!N123&gt;0),'Semi OpInc'!R123/'Semi OpInc'!N123-1,""),"")</f>
        <v/>
      </c>
    </row>
    <row r="1119">
      <c r="A1119" s="19">
        <f>'Semi Rev'!$A124</f>
        <v/>
      </c>
      <c r="B1119" s="19">
        <f>'Semi Rev'!$B124</f>
        <v/>
      </c>
      <c r="C1119" s="37">
        <f>IFERROR(IF(AND(ISNUMBER('Semi OpInc'!G124),ISNUMBER('Semi OpInc'!C124),'Semi OpInc'!C124&gt;0),'Semi OpInc'!G124/'Semi OpInc'!C124-1,""),"")</f>
        <v/>
      </c>
      <c r="D1119" s="37">
        <f>IFERROR(IF(AND(ISNUMBER('Semi OpInc'!H124),ISNUMBER('Semi OpInc'!D124),'Semi OpInc'!D124&gt;0),'Semi OpInc'!H124/'Semi OpInc'!D124-1,""),"")</f>
        <v/>
      </c>
      <c r="E1119" s="37">
        <f>IFERROR(IF(AND(ISNUMBER('Semi OpInc'!I124),ISNUMBER('Semi OpInc'!E124),'Semi OpInc'!E124&gt;0),'Semi OpInc'!I124/'Semi OpInc'!E124-1,""),"")</f>
        <v/>
      </c>
      <c r="F1119" s="37">
        <f>IFERROR(IF(AND(ISNUMBER('Semi OpInc'!J124),ISNUMBER('Semi OpInc'!F124),'Semi OpInc'!F124&gt;0),'Semi OpInc'!J124/'Semi OpInc'!F124-1,""),"")</f>
        <v/>
      </c>
      <c r="G1119" s="37">
        <f>IFERROR(IF(AND(ISNUMBER('Semi OpInc'!K124),ISNUMBER('Semi OpInc'!G124),'Semi OpInc'!G124&gt;0),'Semi OpInc'!K124/'Semi OpInc'!G124-1,""),"")</f>
        <v/>
      </c>
      <c r="H1119" s="37">
        <f>IFERROR(IF(AND(ISNUMBER('Semi OpInc'!L124),ISNUMBER('Semi OpInc'!H124),'Semi OpInc'!H124&gt;0),'Semi OpInc'!L124/'Semi OpInc'!H124-1,""),"")</f>
        <v/>
      </c>
      <c r="I1119" s="37">
        <f>IFERROR(IF(AND(ISNUMBER('Semi OpInc'!M124),ISNUMBER('Semi OpInc'!I124),'Semi OpInc'!I124&gt;0),'Semi OpInc'!M124/'Semi OpInc'!I124-1,""),"")</f>
        <v/>
      </c>
      <c r="J1119" s="37">
        <f>IFERROR(IF(AND(ISNUMBER('Semi OpInc'!N124),ISNUMBER('Semi OpInc'!J124),'Semi OpInc'!J124&gt;0),'Semi OpInc'!N124/'Semi OpInc'!J124-1,""),"")</f>
        <v/>
      </c>
      <c r="K1119" s="37">
        <f>IFERROR(IF(AND(ISNUMBER('Semi OpInc'!O124),ISNUMBER('Semi OpInc'!K124),'Semi OpInc'!K124&gt;0),'Semi OpInc'!O124/'Semi OpInc'!K124-1,""),"")</f>
        <v/>
      </c>
      <c r="L1119" s="37">
        <f>IFERROR(IF(AND(ISNUMBER('Semi OpInc'!P124),ISNUMBER('Semi OpInc'!L124),'Semi OpInc'!L124&gt;0),'Semi OpInc'!P124/'Semi OpInc'!L124-1,""),"")</f>
        <v/>
      </c>
      <c r="M1119" s="38">
        <f>IFERROR(IF(AND(ISNUMBER('Semi OpInc'!Q124),ISNUMBER('Semi OpInc'!M124),'Semi OpInc'!M124&gt;0),'Semi OpInc'!Q124/'Semi OpInc'!M124-1,""),"")</f>
        <v/>
      </c>
      <c r="N1119" s="38">
        <f>IFERROR(IF(AND(ISNUMBER('Semi OpInc'!R124),ISNUMBER('Semi OpInc'!N124),'Semi OpInc'!N124&gt;0),'Semi OpInc'!R124/'Semi OpInc'!N124-1,""),"")</f>
        <v/>
      </c>
    </row>
    <row r="1120">
      <c r="A1120" s="19">
        <f>'Semi Rev'!$A125</f>
        <v/>
      </c>
      <c r="B1120" s="19">
        <f>'Semi Rev'!$B125</f>
        <v/>
      </c>
      <c r="C1120" s="37">
        <f>IFERROR(IF(AND(ISNUMBER('Semi OpInc'!G125),ISNUMBER('Semi OpInc'!C125),'Semi OpInc'!C125&gt;0),'Semi OpInc'!G125/'Semi OpInc'!C125-1,""),"")</f>
        <v/>
      </c>
      <c r="D1120" s="37">
        <f>IFERROR(IF(AND(ISNUMBER('Semi OpInc'!H125),ISNUMBER('Semi OpInc'!D125),'Semi OpInc'!D125&gt;0),'Semi OpInc'!H125/'Semi OpInc'!D125-1,""),"")</f>
        <v/>
      </c>
      <c r="E1120" s="37">
        <f>IFERROR(IF(AND(ISNUMBER('Semi OpInc'!I125),ISNUMBER('Semi OpInc'!E125),'Semi OpInc'!E125&gt;0),'Semi OpInc'!I125/'Semi OpInc'!E125-1,""),"")</f>
        <v/>
      </c>
      <c r="F1120" s="37">
        <f>IFERROR(IF(AND(ISNUMBER('Semi OpInc'!J125),ISNUMBER('Semi OpInc'!F125),'Semi OpInc'!F125&gt;0),'Semi OpInc'!J125/'Semi OpInc'!F125-1,""),"")</f>
        <v/>
      </c>
      <c r="G1120" s="37">
        <f>IFERROR(IF(AND(ISNUMBER('Semi OpInc'!K125),ISNUMBER('Semi OpInc'!G125),'Semi OpInc'!G125&gt;0),'Semi OpInc'!K125/'Semi OpInc'!G125-1,""),"")</f>
        <v/>
      </c>
      <c r="H1120" s="37">
        <f>IFERROR(IF(AND(ISNUMBER('Semi OpInc'!L125),ISNUMBER('Semi OpInc'!H125),'Semi OpInc'!H125&gt;0),'Semi OpInc'!L125/'Semi OpInc'!H125-1,""),"")</f>
        <v/>
      </c>
      <c r="I1120" s="37">
        <f>IFERROR(IF(AND(ISNUMBER('Semi OpInc'!M125),ISNUMBER('Semi OpInc'!I125),'Semi OpInc'!I125&gt;0),'Semi OpInc'!M125/'Semi OpInc'!I125-1,""),"")</f>
        <v/>
      </c>
      <c r="J1120" s="37">
        <f>IFERROR(IF(AND(ISNUMBER('Semi OpInc'!N125),ISNUMBER('Semi OpInc'!J125),'Semi OpInc'!J125&gt;0),'Semi OpInc'!N125/'Semi OpInc'!J125-1,""),"")</f>
        <v/>
      </c>
      <c r="K1120" s="37">
        <f>IFERROR(IF(AND(ISNUMBER('Semi OpInc'!O125),ISNUMBER('Semi OpInc'!K125),'Semi OpInc'!K125&gt;0),'Semi OpInc'!O125/'Semi OpInc'!K125-1,""),"")</f>
        <v/>
      </c>
      <c r="L1120" s="37">
        <f>IFERROR(IF(AND(ISNUMBER('Semi OpInc'!P125),ISNUMBER('Semi OpInc'!L125),'Semi OpInc'!L125&gt;0),'Semi OpInc'!P125/'Semi OpInc'!L125-1,""),"")</f>
        <v/>
      </c>
      <c r="M1120" s="38">
        <f>IFERROR(IF(AND(ISNUMBER('Semi OpInc'!Q125),ISNUMBER('Semi OpInc'!M125),'Semi OpInc'!M125&gt;0),'Semi OpInc'!Q125/'Semi OpInc'!M125-1,""),"")</f>
        <v/>
      </c>
      <c r="N1120" s="38">
        <f>IFERROR(IF(AND(ISNUMBER('Semi OpInc'!R125),ISNUMBER('Semi OpInc'!N125),'Semi OpInc'!N125&gt;0),'Semi OpInc'!R125/'Semi OpInc'!N125-1,""),"")</f>
        <v/>
      </c>
    </row>
    <row r="1121">
      <c r="A1121" s="19">
        <f>'Semi Rev'!$A126</f>
        <v/>
      </c>
      <c r="B1121" s="19">
        <f>'Semi Rev'!$B126</f>
        <v/>
      </c>
      <c r="C1121" s="37">
        <f>IFERROR(IF(AND(ISNUMBER('Semi OpInc'!G126),ISNUMBER('Semi OpInc'!C126),'Semi OpInc'!C126&gt;0),'Semi OpInc'!G126/'Semi OpInc'!C126-1,""),"")</f>
        <v/>
      </c>
      <c r="D1121" s="37">
        <f>IFERROR(IF(AND(ISNUMBER('Semi OpInc'!H126),ISNUMBER('Semi OpInc'!D126),'Semi OpInc'!D126&gt;0),'Semi OpInc'!H126/'Semi OpInc'!D126-1,""),"")</f>
        <v/>
      </c>
      <c r="E1121" s="37">
        <f>IFERROR(IF(AND(ISNUMBER('Semi OpInc'!I126),ISNUMBER('Semi OpInc'!E126),'Semi OpInc'!E126&gt;0),'Semi OpInc'!I126/'Semi OpInc'!E126-1,""),"")</f>
        <v/>
      </c>
      <c r="F1121" s="37">
        <f>IFERROR(IF(AND(ISNUMBER('Semi OpInc'!J126),ISNUMBER('Semi OpInc'!F126),'Semi OpInc'!F126&gt;0),'Semi OpInc'!J126/'Semi OpInc'!F126-1,""),"")</f>
        <v/>
      </c>
      <c r="G1121" s="37">
        <f>IFERROR(IF(AND(ISNUMBER('Semi OpInc'!K126),ISNUMBER('Semi OpInc'!G126),'Semi OpInc'!G126&gt;0),'Semi OpInc'!K126/'Semi OpInc'!G126-1,""),"")</f>
        <v/>
      </c>
      <c r="H1121" s="37">
        <f>IFERROR(IF(AND(ISNUMBER('Semi OpInc'!L126),ISNUMBER('Semi OpInc'!H126),'Semi OpInc'!H126&gt;0),'Semi OpInc'!L126/'Semi OpInc'!H126-1,""),"")</f>
        <v/>
      </c>
      <c r="I1121" s="37">
        <f>IFERROR(IF(AND(ISNUMBER('Semi OpInc'!M126),ISNUMBER('Semi OpInc'!I126),'Semi OpInc'!I126&gt;0),'Semi OpInc'!M126/'Semi OpInc'!I126-1,""),"")</f>
        <v/>
      </c>
      <c r="J1121" s="37">
        <f>IFERROR(IF(AND(ISNUMBER('Semi OpInc'!N126),ISNUMBER('Semi OpInc'!J126),'Semi OpInc'!J126&gt;0),'Semi OpInc'!N126/'Semi OpInc'!J126-1,""),"")</f>
        <v/>
      </c>
      <c r="K1121" s="37">
        <f>IFERROR(IF(AND(ISNUMBER('Semi OpInc'!O126),ISNUMBER('Semi OpInc'!K126),'Semi OpInc'!K126&gt;0),'Semi OpInc'!O126/'Semi OpInc'!K126-1,""),"")</f>
        <v/>
      </c>
      <c r="L1121" s="37">
        <f>IFERROR(IF(AND(ISNUMBER('Semi OpInc'!P126),ISNUMBER('Semi OpInc'!L126),'Semi OpInc'!L126&gt;0),'Semi OpInc'!P126/'Semi OpInc'!L126-1,""),"")</f>
        <v/>
      </c>
      <c r="M1121" s="38">
        <f>IFERROR(IF(AND(ISNUMBER('Semi OpInc'!Q126),ISNUMBER('Semi OpInc'!M126),'Semi OpInc'!M126&gt;0),'Semi OpInc'!Q126/'Semi OpInc'!M126-1,""),"")</f>
        <v/>
      </c>
      <c r="N1121" s="38">
        <f>IFERROR(IF(AND(ISNUMBER('Semi OpInc'!R126),ISNUMBER('Semi OpInc'!N126),'Semi OpInc'!N126&gt;0),'Semi OpInc'!R126/'Semi OpInc'!N126-1,""),"")</f>
        <v/>
      </c>
    </row>
    <row r="1122">
      <c r="A1122" s="19">
        <f>'Semi Rev'!$A127</f>
        <v/>
      </c>
      <c r="B1122" s="19">
        <f>'Semi Rev'!$B127</f>
        <v/>
      </c>
      <c r="C1122" s="37">
        <f>IFERROR(IF(AND(ISNUMBER('Semi OpInc'!G127),ISNUMBER('Semi OpInc'!C127),'Semi OpInc'!C127&gt;0),'Semi OpInc'!G127/'Semi OpInc'!C127-1,""),"")</f>
        <v/>
      </c>
      <c r="D1122" s="37">
        <f>IFERROR(IF(AND(ISNUMBER('Semi OpInc'!H127),ISNUMBER('Semi OpInc'!D127),'Semi OpInc'!D127&gt;0),'Semi OpInc'!H127/'Semi OpInc'!D127-1,""),"")</f>
        <v/>
      </c>
      <c r="E1122" s="37">
        <f>IFERROR(IF(AND(ISNUMBER('Semi OpInc'!I127),ISNUMBER('Semi OpInc'!E127),'Semi OpInc'!E127&gt;0),'Semi OpInc'!I127/'Semi OpInc'!E127-1,""),"")</f>
        <v/>
      </c>
      <c r="F1122" s="37">
        <f>IFERROR(IF(AND(ISNUMBER('Semi OpInc'!J127),ISNUMBER('Semi OpInc'!F127),'Semi OpInc'!F127&gt;0),'Semi OpInc'!J127/'Semi OpInc'!F127-1,""),"")</f>
        <v/>
      </c>
      <c r="G1122" s="37">
        <f>IFERROR(IF(AND(ISNUMBER('Semi OpInc'!K127),ISNUMBER('Semi OpInc'!G127),'Semi OpInc'!G127&gt;0),'Semi OpInc'!K127/'Semi OpInc'!G127-1,""),"")</f>
        <v/>
      </c>
      <c r="H1122" s="37">
        <f>IFERROR(IF(AND(ISNUMBER('Semi OpInc'!L127),ISNUMBER('Semi OpInc'!H127),'Semi OpInc'!H127&gt;0),'Semi OpInc'!L127/'Semi OpInc'!H127-1,""),"")</f>
        <v/>
      </c>
      <c r="I1122" s="37">
        <f>IFERROR(IF(AND(ISNUMBER('Semi OpInc'!M127),ISNUMBER('Semi OpInc'!I127),'Semi OpInc'!I127&gt;0),'Semi OpInc'!M127/'Semi OpInc'!I127-1,""),"")</f>
        <v/>
      </c>
      <c r="J1122" s="37">
        <f>IFERROR(IF(AND(ISNUMBER('Semi OpInc'!N127),ISNUMBER('Semi OpInc'!J127),'Semi OpInc'!J127&gt;0),'Semi OpInc'!N127/'Semi OpInc'!J127-1,""),"")</f>
        <v/>
      </c>
      <c r="K1122" s="37">
        <f>IFERROR(IF(AND(ISNUMBER('Semi OpInc'!O127),ISNUMBER('Semi OpInc'!K127),'Semi OpInc'!K127&gt;0),'Semi OpInc'!O127/'Semi OpInc'!K127-1,""),"")</f>
        <v/>
      </c>
      <c r="L1122" s="37">
        <f>IFERROR(IF(AND(ISNUMBER('Semi OpInc'!P127),ISNUMBER('Semi OpInc'!L127),'Semi OpInc'!L127&gt;0),'Semi OpInc'!P127/'Semi OpInc'!L127-1,""),"")</f>
        <v/>
      </c>
      <c r="M1122" s="38">
        <f>IFERROR(IF(AND(ISNUMBER('Semi OpInc'!Q127),ISNUMBER('Semi OpInc'!M127),'Semi OpInc'!M127&gt;0),'Semi OpInc'!Q127/'Semi OpInc'!M127-1,""),"")</f>
        <v/>
      </c>
      <c r="N1122" s="38">
        <f>IFERROR(IF(AND(ISNUMBER('Semi OpInc'!R127),ISNUMBER('Semi OpInc'!N127),'Semi OpInc'!N127&gt;0),'Semi OpInc'!R127/'Semi OpInc'!N127-1,""),"")</f>
        <v/>
      </c>
    </row>
    <row r="1123">
      <c r="A1123" s="19">
        <f>'Semi Rev'!$A128</f>
        <v/>
      </c>
      <c r="B1123" s="19">
        <f>'Semi Rev'!$B128</f>
        <v/>
      </c>
      <c r="C1123" s="37">
        <f>IFERROR(IF(AND(ISNUMBER('Semi OpInc'!G128),ISNUMBER('Semi OpInc'!C128),'Semi OpInc'!C128&gt;0),'Semi OpInc'!G128/'Semi OpInc'!C128-1,""),"")</f>
        <v/>
      </c>
      <c r="D1123" s="37">
        <f>IFERROR(IF(AND(ISNUMBER('Semi OpInc'!H128),ISNUMBER('Semi OpInc'!D128),'Semi OpInc'!D128&gt;0),'Semi OpInc'!H128/'Semi OpInc'!D128-1,""),"")</f>
        <v/>
      </c>
      <c r="E1123" s="37">
        <f>IFERROR(IF(AND(ISNUMBER('Semi OpInc'!I128),ISNUMBER('Semi OpInc'!E128),'Semi OpInc'!E128&gt;0),'Semi OpInc'!I128/'Semi OpInc'!E128-1,""),"")</f>
        <v/>
      </c>
      <c r="F1123" s="37">
        <f>IFERROR(IF(AND(ISNUMBER('Semi OpInc'!J128),ISNUMBER('Semi OpInc'!F128),'Semi OpInc'!F128&gt;0),'Semi OpInc'!J128/'Semi OpInc'!F128-1,""),"")</f>
        <v/>
      </c>
      <c r="G1123" s="37">
        <f>IFERROR(IF(AND(ISNUMBER('Semi OpInc'!K128),ISNUMBER('Semi OpInc'!G128),'Semi OpInc'!G128&gt;0),'Semi OpInc'!K128/'Semi OpInc'!G128-1,""),"")</f>
        <v/>
      </c>
      <c r="H1123" s="37">
        <f>IFERROR(IF(AND(ISNUMBER('Semi OpInc'!L128),ISNUMBER('Semi OpInc'!H128),'Semi OpInc'!H128&gt;0),'Semi OpInc'!L128/'Semi OpInc'!H128-1,""),"")</f>
        <v/>
      </c>
      <c r="I1123" s="37">
        <f>IFERROR(IF(AND(ISNUMBER('Semi OpInc'!M128),ISNUMBER('Semi OpInc'!I128),'Semi OpInc'!I128&gt;0),'Semi OpInc'!M128/'Semi OpInc'!I128-1,""),"")</f>
        <v/>
      </c>
      <c r="J1123" s="37">
        <f>IFERROR(IF(AND(ISNUMBER('Semi OpInc'!N128),ISNUMBER('Semi OpInc'!J128),'Semi OpInc'!J128&gt;0),'Semi OpInc'!N128/'Semi OpInc'!J128-1,""),"")</f>
        <v/>
      </c>
      <c r="K1123" s="37">
        <f>IFERROR(IF(AND(ISNUMBER('Semi OpInc'!O128),ISNUMBER('Semi OpInc'!K128),'Semi OpInc'!K128&gt;0),'Semi OpInc'!O128/'Semi OpInc'!K128-1,""),"")</f>
        <v/>
      </c>
      <c r="L1123" s="37">
        <f>IFERROR(IF(AND(ISNUMBER('Semi OpInc'!P128),ISNUMBER('Semi OpInc'!L128),'Semi OpInc'!L128&gt;0),'Semi OpInc'!P128/'Semi OpInc'!L128-1,""),"")</f>
        <v/>
      </c>
      <c r="M1123" s="38">
        <f>IFERROR(IF(AND(ISNUMBER('Semi OpInc'!Q128),ISNUMBER('Semi OpInc'!M128),'Semi OpInc'!M128&gt;0),'Semi OpInc'!Q128/'Semi OpInc'!M128-1,""),"")</f>
        <v/>
      </c>
      <c r="N1123" s="38">
        <f>IFERROR(IF(AND(ISNUMBER('Semi OpInc'!R128),ISNUMBER('Semi OpInc'!N128),'Semi OpInc'!N128&gt;0),'Semi OpInc'!R128/'Semi OpInc'!N128-1,""),"")</f>
        <v/>
      </c>
    </row>
    <row r="1124">
      <c r="A1124" s="19">
        <f>'Semi Rev'!$A129</f>
        <v/>
      </c>
      <c r="B1124" s="19">
        <f>'Semi Rev'!$B129</f>
        <v/>
      </c>
      <c r="C1124" s="37">
        <f>IFERROR(IF(AND(ISNUMBER('Semi OpInc'!G129),ISNUMBER('Semi OpInc'!C129),'Semi OpInc'!C129&gt;0),'Semi OpInc'!G129/'Semi OpInc'!C129-1,""),"")</f>
        <v/>
      </c>
      <c r="D1124" s="37">
        <f>IFERROR(IF(AND(ISNUMBER('Semi OpInc'!H129),ISNUMBER('Semi OpInc'!D129),'Semi OpInc'!D129&gt;0),'Semi OpInc'!H129/'Semi OpInc'!D129-1,""),"")</f>
        <v/>
      </c>
      <c r="E1124" s="37">
        <f>IFERROR(IF(AND(ISNUMBER('Semi OpInc'!I129),ISNUMBER('Semi OpInc'!E129),'Semi OpInc'!E129&gt;0),'Semi OpInc'!I129/'Semi OpInc'!E129-1,""),"")</f>
        <v/>
      </c>
      <c r="F1124" s="37">
        <f>IFERROR(IF(AND(ISNUMBER('Semi OpInc'!J129),ISNUMBER('Semi OpInc'!F129),'Semi OpInc'!F129&gt;0),'Semi OpInc'!J129/'Semi OpInc'!F129-1,""),"")</f>
        <v/>
      </c>
      <c r="G1124" s="37">
        <f>IFERROR(IF(AND(ISNUMBER('Semi OpInc'!K129),ISNUMBER('Semi OpInc'!G129),'Semi OpInc'!G129&gt;0),'Semi OpInc'!K129/'Semi OpInc'!G129-1,""),"")</f>
        <v/>
      </c>
      <c r="H1124" s="37">
        <f>IFERROR(IF(AND(ISNUMBER('Semi OpInc'!L129),ISNUMBER('Semi OpInc'!H129),'Semi OpInc'!H129&gt;0),'Semi OpInc'!L129/'Semi OpInc'!H129-1,""),"")</f>
        <v/>
      </c>
      <c r="I1124" s="37">
        <f>IFERROR(IF(AND(ISNUMBER('Semi OpInc'!M129),ISNUMBER('Semi OpInc'!I129),'Semi OpInc'!I129&gt;0),'Semi OpInc'!M129/'Semi OpInc'!I129-1,""),"")</f>
        <v/>
      </c>
      <c r="J1124" s="37">
        <f>IFERROR(IF(AND(ISNUMBER('Semi OpInc'!N129),ISNUMBER('Semi OpInc'!J129),'Semi OpInc'!J129&gt;0),'Semi OpInc'!N129/'Semi OpInc'!J129-1,""),"")</f>
        <v/>
      </c>
      <c r="K1124" s="37">
        <f>IFERROR(IF(AND(ISNUMBER('Semi OpInc'!O129),ISNUMBER('Semi OpInc'!K129),'Semi OpInc'!K129&gt;0),'Semi OpInc'!O129/'Semi OpInc'!K129-1,""),"")</f>
        <v/>
      </c>
      <c r="L1124" s="37">
        <f>IFERROR(IF(AND(ISNUMBER('Semi OpInc'!P129),ISNUMBER('Semi OpInc'!L129),'Semi OpInc'!L129&gt;0),'Semi OpInc'!P129/'Semi OpInc'!L129-1,""),"")</f>
        <v/>
      </c>
      <c r="M1124" s="38">
        <f>IFERROR(IF(AND(ISNUMBER('Semi OpInc'!Q129),ISNUMBER('Semi OpInc'!M129),'Semi OpInc'!M129&gt;0),'Semi OpInc'!Q129/'Semi OpInc'!M129-1,""),"")</f>
        <v/>
      </c>
      <c r="N1124" s="38">
        <f>IFERROR(IF(AND(ISNUMBER('Semi OpInc'!R129),ISNUMBER('Semi OpInc'!N129),'Semi OpInc'!N129&gt;0),'Semi OpInc'!R129/'Semi OpInc'!N129-1,""),"")</f>
        <v/>
      </c>
    </row>
    <row r="1125">
      <c r="A1125" s="19">
        <f>'Semi Rev'!$A130</f>
        <v/>
      </c>
      <c r="B1125" s="19">
        <f>'Semi Rev'!$B130</f>
        <v/>
      </c>
      <c r="C1125" s="37">
        <f>IFERROR(IF(AND(ISNUMBER('Semi OpInc'!G130),ISNUMBER('Semi OpInc'!C130),'Semi OpInc'!C130&gt;0),'Semi OpInc'!G130/'Semi OpInc'!C130-1,""),"")</f>
        <v/>
      </c>
      <c r="D1125" s="37">
        <f>IFERROR(IF(AND(ISNUMBER('Semi OpInc'!H130),ISNUMBER('Semi OpInc'!D130),'Semi OpInc'!D130&gt;0),'Semi OpInc'!H130/'Semi OpInc'!D130-1,""),"")</f>
        <v/>
      </c>
      <c r="E1125" s="37">
        <f>IFERROR(IF(AND(ISNUMBER('Semi OpInc'!I130),ISNUMBER('Semi OpInc'!E130),'Semi OpInc'!E130&gt;0),'Semi OpInc'!I130/'Semi OpInc'!E130-1,""),"")</f>
        <v/>
      </c>
      <c r="F1125" s="37">
        <f>IFERROR(IF(AND(ISNUMBER('Semi OpInc'!J130),ISNUMBER('Semi OpInc'!F130),'Semi OpInc'!F130&gt;0),'Semi OpInc'!J130/'Semi OpInc'!F130-1,""),"")</f>
        <v/>
      </c>
      <c r="G1125" s="37">
        <f>IFERROR(IF(AND(ISNUMBER('Semi OpInc'!K130),ISNUMBER('Semi OpInc'!G130),'Semi OpInc'!G130&gt;0),'Semi OpInc'!K130/'Semi OpInc'!G130-1,""),"")</f>
        <v/>
      </c>
      <c r="H1125" s="37">
        <f>IFERROR(IF(AND(ISNUMBER('Semi OpInc'!L130),ISNUMBER('Semi OpInc'!H130),'Semi OpInc'!H130&gt;0),'Semi OpInc'!L130/'Semi OpInc'!H130-1,""),"")</f>
        <v/>
      </c>
      <c r="I1125" s="37">
        <f>IFERROR(IF(AND(ISNUMBER('Semi OpInc'!M130),ISNUMBER('Semi OpInc'!I130),'Semi OpInc'!I130&gt;0),'Semi OpInc'!M130/'Semi OpInc'!I130-1,""),"")</f>
        <v/>
      </c>
      <c r="J1125" s="37">
        <f>IFERROR(IF(AND(ISNUMBER('Semi OpInc'!N130),ISNUMBER('Semi OpInc'!J130),'Semi OpInc'!J130&gt;0),'Semi OpInc'!N130/'Semi OpInc'!J130-1,""),"")</f>
        <v/>
      </c>
      <c r="K1125" s="37">
        <f>IFERROR(IF(AND(ISNUMBER('Semi OpInc'!O130),ISNUMBER('Semi OpInc'!K130),'Semi OpInc'!K130&gt;0),'Semi OpInc'!O130/'Semi OpInc'!K130-1,""),"")</f>
        <v/>
      </c>
      <c r="L1125" s="37">
        <f>IFERROR(IF(AND(ISNUMBER('Semi OpInc'!P130),ISNUMBER('Semi OpInc'!L130),'Semi OpInc'!L130&gt;0),'Semi OpInc'!P130/'Semi OpInc'!L130-1,""),"")</f>
        <v/>
      </c>
      <c r="M1125" s="38">
        <f>IFERROR(IF(AND(ISNUMBER('Semi OpInc'!Q130),ISNUMBER('Semi OpInc'!M130),'Semi OpInc'!M130&gt;0),'Semi OpInc'!Q130/'Semi OpInc'!M130-1,""),"")</f>
        <v/>
      </c>
      <c r="N1125" s="38">
        <f>IFERROR(IF(AND(ISNUMBER('Semi OpInc'!R130),ISNUMBER('Semi OpInc'!N130),'Semi OpInc'!N130&gt;0),'Semi OpInc'!R130/'Semi OpInc'!N130-1,""),"")</f>
        <v/>
      </c>
    </row>
    <row r="1126">
      <c r="A1126" s="19">
        <f>'Semi Rev'!$A131</f>
        <v/>
      </c>
      <c r="B1126" s="19">
        <f>'Semi Rev'!$B131</f>
        <v/>
      </c>
      <c r="C1126" s="37">
        <f>IFERROR(IF(AND(ISNUMBER('Semi OpInc'!G131),ISNUMBER('Semi OpInc'!C131),'Semi OpInc'!C131&gt;0),'Semi OpInc'!G131/'Semi OpInc'!C131-1,""),"")</f>
        <v/>
      </c>
      <c r="D1126" s="37">
        <f>IFERROR(IF(AND(ISNUMBER('Semi OpInc'!H131),ISNUMBER('Semi OpInc'!D131),'Semi OpInc'!D131&gt;0),'Semi OpInc'!H131/'Semi OpInc'!D131-1,""),"")</f>
        <v/>
      </c>
      <c r="E1126" s="37">
        <f>IFERROR(IF(AND(ISNUMBER('Semi OpInc'!I131),ISNUMBER('Semi OpInc'!E131),'Semi OpInc'!E131&gt;0),'Semi OpInc'!I131/'Semi OpInc'!E131-1,""),"")</f>
        <v/>
      </c>
      <c r="F1126" s="37">
        <f>IFERROR(IF(AND(ISNUMBER('Semi OpInc'!J131),ISNUMBER('Semi OpInc'!F131),'Semi OpInc'!F131&gt;0),'Semi OpInc'!J131/'Semi OpInc'!F131-1,""),"")</f>
        <v/>
      </c>
      <c r="G1126" s="37">
        <f>IFERROR(IF(AND(ISNUMBER('Semi OpInc'!K131),ISNUMBER('Semi OpInc'!G131),'Semi OpInc'!G131&gt;0),'Semi OpInc'!K131/'Semi OpInc'!G131-1,""),"")</f>
        <v/>
      </c>
      <c r="H1126" s="37">
        <f>IFERROR(IF(AND(ISNUMBER('Semi OpInc'!L131),ISNUMBER('Semi OpInc'!H131),'Semi OpInc'!H131&gt;0),'Semi OpInc'!L131/'Semi OpInc'!H131-1,""),"")</f>
        <v/>
      </c>
      <c r="I1126" s="37">
        <f>IFERROR(IF(AND(ISNUMBER('Semi OpInc'!M131),ISNUMBER('Semi OpInc'!I131),'Semi OpInc'!I131&gt;0),'Semi OpInc'!M131/'Semi OpInc'!I131-1,""),"")</f>
        <v/>
      </c>
      <c r="J1126" s="37">
        <f>IFERROR(IF(AND(ISNUMBER('Semi OpInc'!N131),ISNUMBER('Semi OpInc'!J131),'Semi OpInc'!J131&gt;0),'Semi OpInc'!N131/'Semi OpInc'!J131-1,""),"")</f>
        <v/>
      </c>
      <c r="K1126" s="37">
        <f>IFERROR(IF(AND(ISNUMBER('Semi OpInc'!O131),ISNUMBER('Semi OpInc'!K131),'Semi OpInc'!K131&gt;0),'Semi OpInc'!O131/'Semi OpInc'!K131-1,""),"")</f>
        <v/>
      </c>
      <c r="L1126" s="37">
        <f>IFERROR(IF(AND(ISNUMBER('Semi OpInc'!P131),ISNUMBER('Semi OpInc'!L131),'Semi OpInc'!L131&gt;0),'Semi OpInc'!P131/'Semi OpInc'!L131-1,""),"")</f>
        <v/>
      </c>
      <c r="M1126" s="38">
        <f>IFERROR(IF(AND(ISNUMBER('Semi OpInc'!Q131),ISNUMBER('Semi OpInc'!M131),'Semi OpInc'!M131&gt;0),'Semi OpInc'!Q131/'Semi OpInc'!M131-1,""),"")</f>
        <v/>
      </c>
      <c r="N1126" s="38">
        <f>IFERROR(IF(AND(ISNUMBER('Semi OpInc'!R131),ISNUMBER('Semi OpInc'!N131),'Semi OpInc'!N131&gt;0),'Semi OpInc'!R131/'Semi OpInc'!N131-1,""),"")</f>
        <v/>
      </c>
    </row>
    <row r="1127">
      <c r="A1127" s="19">
        <f>'Semi Rev'!$A132</f>
        <v/>
      </c>
      <c r="B1127" s="19">
        <f>'Semi Rev'!$B132</f>
        <v/>
      </c>
      <c r="C1127" s="37">
        <f>IFERROR(IF(AND(ISNUMBER('Semi OpInc'!G132),ISNUMBER('Semi OpInc'!C132),'Semi OpInc'!C132&gt;0),'Semi OpInc'!G132/'Semi OpInc'!C132-1,""),"")</f>
        <v/>
      </c>
      <c r="D1127" s="37">
        <f>IFERROR(IF(AND(ISNUMBER('Semi OpInc'!H132),ISNUMBER('Semi OpInc'!D132),'Semi OpInc'!D132&gt;0),'Semi OpInc'!H132/'Semi OpInc'!D132-1,""),"")</f>
        <v/>
      </c>
      <c r="E1127" s="37">
        <f>IFERROR(IF(AND(ISNUMBER('Semi OpInc'!I132),ISNUMBER('Semi OpInc'!E132),'Semi OpInc'!E132&gt;0),'Semi OpInc'!I132/'Semi OpInc'!E132-1,""),"")</f>
        <v/>
      </c>
      <c r="F1127" s="37">
        <f>IFERROR(IF(AND(ISNUMBER('Semi OpInc'!J132),ISNUMBER('Semi OpInc'!F132),'Semi OpInc'!F132&gt;0),'Semi OpInc'!J132/'Semi OpInc'!F132-1,""),"")</f>
        <v/>
      </c>
      <c r="G1127" s="37">
        <f>IFERROR(IF(AND(ISNUMBER('Semi OpInc'!K132),ISNUMBER('Semi OpInc'!G132),'Semi OpInc'!G132&gt;0),'Semi OpInc'!K132/'Semi OpInc'!G132-1,""),"")</f>
        <v/>
      </c>
      <c r="H1127" s="37">
        <f>IFERROR(IF(AND(ISNUMBER('Semi OpInc'!L132),ISNUMBER('Semi OpInc'!H132),'Semi OpInc'!H132&gt;0),'Semi OpInc'!L132/'Semi OpInc'!H132-1,""),"")</f>
        <v/>
      </c>
      <c r="I1127" s="37">
        <f>IFERROR(IF(AND(ISNUMBER('Semi OpInc'!M132),ISNUMBER('Semi OpInc'!I132),'Semi OpInc'!I132&gt;0),'Semi OpInc'!M132/'Semi OpInc'!I132-1,""),"")</f>
        <v/>
      </c>
      <c r="J1127" s="37">
        <f>IFERROR(IF(AND(ISNUMBER('Semi OpInc'!N132),ISNUMBER('Semi OpInc'!J132),'Semi OpInc'!J132&gt;0),'Semi OpInc'!N132/'Semi OpInc'!J132-1,""),"")</f>
        <v/>
      </c>
      <c r="K1127" s="37">
        <f>IFERROR(IF(AND(ISNUMBER('Semi OpInc'!O132),ISNUMBER('Semi OpInc'!K132),'Semi OpInc'!K132&gt;0),'Semi OpInc'!O132/'Semi OpInc'!K132-1,""),"")</f>
        <v/>
      </c>
      <c r="L1127" s="37">
        <f>IFERROR(IF(AND(ISNUMBER('Semi OpInc'!P132),ISNUMBER('Semi OpInc'!L132),'Semi OpInc'!L132&gt;0),'Semi OpInc'!P132/'Semi OpInc'!L132-1,""),"")</f>
        <v/>
      </c>
      <c r="M1127" s="38">
        <f>IFERROR(IF(AND(ISNUMBER('Semi OpInc'!Q132),ISNUMBER('Semi OpInc'!M132),'Semi OpInc'!M132&gt;0),'Semi OpInc'!Q132/'Semi OpInc'!M132-1,""),"")</f>
        <v/>
      </c>
      <c r="N1127" s="38">
        <f>IFERROR(IF(AND(ISNUMBER('Semi OpInc'!R132),ISNUMBER('Semi OpInc'!N132),'Semi OpInc'!N132&gt;0),'Semi OpInc'!R132/'Semi OpInc'!N132-1,""),"")</f>
        <v/>
      </c>
    </row>
    <row r="1128">
      <c r="A1128" s="19">
        <f>'Semi Rev'!$A133</f>
        <v/>
      </c>
      <c r="B1128" s="19">
        <f>'Semi Rev'!$B133</f>
        <v/>
      </c>
      <c r="C1128" s="37">
        <f>IFERROR(IF(AND(ISNUMBER('Semi OpInc'!G133),ISNUMBER('Semi OpInc'!C133),'Semi OpInc'!C133&gt;0),'Semi OpInc'!G133/'Semi OpInc'!C133-1,""),"")</f>
        <v/>
      </c>
      <c r="D1128" s="37">
        <f>IFERROR(IF(AND(ISNUMBER('Semi OpInc'!H133),ISNUMBER('Semi OpInc'!D133),'Semi OpInc'!D133&gt;0),'Semi OpInc'!H133/'Semi OpInc'!D133-1,""),"")</f>
        <v/>
      </c>
      <c r="E1128" s="37">
        <f>IFERROR(IF(AND(ISNUMBER('Semi OpInc'!I133),ISNUMBER('Semi OpInc'!E133),'Semi OpInc'!E133&gt;0),'Semi OpInc'!I133/'Semi OpInc'!E133-1,""),"")</f>
        <v/>
      </c>
      <c r="F1128" s="37">
        <f>IFERROR(IF(AND(ISNUMBER('Semi OpInc'!J133),ISNUMBER('Semi OpInc'!F133),'Semi OpInc'!F133&gt;0),'Semi OpInc'!J133/'Semi OpInc'!F133-1,""),"")</f>
        <v/>
      </c>
      <c r="G1128" s="37">
        <f>IFERROR(IF(AND(ISNUMBER('Semi OpInc'!K133),ISNUMBER('Semi OpInc'!G133),'Semi OpInc'!G133&gt;0),'Semi OpInc'!K133/'Semi OpInc'!G133-1,""),"")</f>
        <v/>
      </c>
      <c r="H1128" s="37">
        <f>IFERROR(IF(AND(ISNUMBER('Semi OpInc'!L133),ISNUMBER('Semi OpInc'!H133),'Semi OpInc'!H133&gt;0),'Semi OpInc'!L133/'Semi OpInc'!H133-1,""),"")</f>
        <v/>
      </c>
      <c r="I1128" s="37">
        <f>IFERROR(IF(AND(ISNUMBER('Semi OpInc'!M133),ISNUMBER('Semi OpInc'!I133),'Semi OpInc'!I133&gt;0),'Semi OpInc'!M133/'Semi OpInc'!I133-1,""),"")</f>
        <v/>
      </c>
      <c r="J1128" s="37">
        <f>IFERROR(IF(AND(ISNUMBER('Semi OpInc'!N133),ISNUMBER('Semi OpInc'!J133),'Semi OpInc'!J133&gt;0),'Semi OpInc'!N133/'Semi OpInc'!J133-1,""),"")</f>
        <v/>
      </c>
      <c r="K1128" s="37">
        <f>IFERROR(IF(AND(ISNUMBER('Semi OpInc'!O133),ISNUMBER('Semi OpInc'!K133),'Semi OpInc'!K133&gt;0),'Semi OpInc'!O133/'Semi OpInc'!K133-1,""),"")</f>
        <v/>
      </c>
      <c r="L1128" s="37">
        <f>IFERROR(IF(AND(ISNUMBER('Semi OpInc'!P133),ISNUMBER('Semi OpInc'!L133),'Semi OpInc'!L133&gt;0),'Semi OpInc'!P133/'Semi OpInc'!L133-1,""),"")</f>
        <v/>
      </c>
      <c r="M1128" s="38">
        <f>IFERROR(IF(AND(ISNUMBER('Semi OpInc'!Q133),ISNUMBER('Semi OpInc'!M133),'Semi OpInc'!M133&gt;0),'Semi OpInc'!Q133/'Semi OpInc'!M133-1,""),"")</f>
        <v/>
      </c>
      <c r="N1128" s="38">
        <f>IFERROR(IF(AND(ISNUMBER('Semi OpInc'!R133),ISNUMBER('Semi OpInc'!N133),'Semi OpInc'!N133&gt;0),'Semi OpInc'!R133/'Semi OpInc'!N133-1,""),"")</f>
        <v/>
      </c>
    </row>
    <row r="1129">
      <c r="A1129" s="19">
        <f>'Semi Rev'!$A134</f>
        <v/>
      </c>
      <c r="B1129" s="19">
        <f>'Semi Rev'!$B134</f>
        <v/>
      </c>
      <c r="C1129" s="37">
        <f>IFERROR(IF(AND(ISNUMBER('Semi OpInc'!G134),ISNUMBER('Semi OpInc'!C134),'Semi OpInc'!C134&gt;0),'Semi OpInc'!G134/'Semi OpInc'!C134-1,""),"")</f>
        <v/>
      </c>
      <c r="D1129" s="37">
        <f>IFERROR(IF(AND(ISNUMBER('Semi OpInc'!H134),ISNUMBER('Semi OpInc'!D134),'Semi OpInc'!D134&gt;0),'Semi OpInc'!H134/'Semi OpInc'!D134-1,""),"")</f>
        <v/>
      </c>
      <c r="E1129" s="37">
        <f>IFERROR(IF(AND(ISNUMBER('Semi OpInc'!I134),ISNUMBER('Semi OpInc'!E134),'Semi OpInc'!E134&gt;0),'Semi OpInc'!I134/'Semi OpInc'!E134-1,""),"")</f>
        <v/>
      </c>
      <c r="F1129" s="37">
        <f>IFERROR(IF(AND(ISNUMBER('Semi OpInc'!J134),ISNUMBER('Semi OpInc'!F134),'Semi OpInc'!F134&gt;0),'Semi OpInc'!J134/'Semi OpInc'!F134-1,""),"")</f>
        <v/>
      </c>
      <c r="G1129" s="37">
        <f>IFERROR(IF(AND(ISNUMBER('Semi OpInc'!K134),ISNUMBER('Semi OpInc'!G134),'Semi OpInc'!G134&gt;0),'Semi OpInc'!K134/'Semi OpInc'!G134-1,""),"")</f>
        <v/>
      </c>
      <c r="H1129" s="37">
        <f>IFERROR(IF(AND(ISNUMBER('Semi OpInc'!L134),ISNUMBER('Semi OpInc'!H134),'Semi OpInc'!H134&gt;0),'Semi OpInc'!L134/'Semi OpInc'!H134-1,""),"")</f>
        <v/>
      </c>
      <c r="I1129" s="37">
        <f>IFERROR(IF(AND(ISNUMBER('Semi OpInc'!M134),ISNUMBER('Semi OpInc'!I134),'Semi OpInc'!I134&gt;0),'Semi OpInc'!M134/'Semi OpInc'!I134-1,""),"")</f>
        <v/>
      </c>
      <c r="J1129" s="37">
        <f>IFERROR(IF(AND(ISNUMBER('Semi OpInc'!N134),ISNUMBER('Semi OpInc'!J134),'Semi OpInc'!J134&gt;0),'Semi OpInc'!N134/'Semi OpInc'!J134-1,""),"")</f>
        <v/>
      </c>
      <c r="K1129" s="37">
        <f>IFERROR(IF(AND(ISNUMBER('Semi OpInc'!O134),ISNUMBER('Semi OpInc'!K134),'Semi OpInc'!K134&gt;0),'Semi OpInc'!O134/'Semi OpInc'!K134-1,""),"")</f>
        <v/>
      </c>
      <c r="L1129" s="37">
        <f>IFERROR(IF(AND(ISNUMBER('Semi OpInc'!P134),ISNUMBER('Semi OpInc'!L134),'Semi OpInc'!L134&gt;0),'Semi OpInc'!P134/'Semi OpInc'!L134-1,""),"")</f>
        <v/>
      </c>
      <c r="M1129" s="38">
        <f>IFERROR(IF(AND(ISNUMBER('Semi OpInc'!Q134),ISNUMBER('Semi OpInc'!M134),'Semi OpInc'!M134&gt;0),'Semi OpInc'!Q134/'Semi OpInc'!M134-1,""),"")</f>
        <v/>
      </c>
      <c r="N1129" s="38">
        <f>IFERROR(IF(AND(ISNUMBER('Semi OpInc'!R134),ISNUMBER('Semi OpInc'!N134),'Semi OpInc'!N134&gt;0),'Semi OpInc'!R134/'Semi OpInc'!N134-1,""),"")</f>
        <v/>
      </c>
    </row>
    <row r="1130">
      <c r="A1130" s="19">
        <f>'Semi Rev'!$A135</f>
        <v/>
      </c>
      <c r="B1130" s="19">
        <f>'Semi Rev'!$B135</f>
        <v/>
      </c>
      <c r="C1130" s="37">
        <f>IFERROR(IF(AND(ISNUMBER('Semi OpInc'!G135),ISNUMBER('Semi OpInc'!C135),'Semi OpInc'!C135&gt;0),'Semi OpInc'!G135/'Semi OpInc'!C135-1,""),"")</f>
        <v/>
      </c>
      <c r="D1130" s="37">
        <f>IFERROR(IF(AND(ISNUMBER('Semi OpInc'!H135),ISNUMBER('Semi OpInc'!D135),'Semi OpInc'!D135&gt;0),'Semi OpInc'!H135/'Semi OpInc'!D135-1,""),"")</f>
        <v/>
      </c>
      <c r="E1130" s="37">
        <f>IFERROR(IF(AND(ISNUMBER('Semi OpInc'!I135),ISNUMBER('Semi OpInc'!E135),'Semi OpInc'!E135&gt;0),'Semi OpInc'!I135/'Semi OpInc'!E135-1,""),"")</f>
        <v/>
      </c>
      <c r="F1130" s="37">
        <f>IFERROR(IF(AND(ISNUMBER('Semi OpInc'!J135),ISNUMBER('Semi OpInc'!F135),'Semi OpInc'!F135&gt;0),'Semi OpInc'!J135/'Semi OpInc'!F135-1,""),"")</f>
        <v/>
      </c>
      <c r="G1130" s="37">
        <f>IFERROR(IF(AND(ISNUMBER('Semi OpInc'!K135),ISNUMBER('Semi OpInc'!G135),'Semi OpInc'!G135&gt;0),'Semi OpInc'!K135/'Semi OpInc'!G135-1,""),"")</f>
        <v/>
      </c>
      <c r="H1130" s="37">
        <f>IFERROR(IF(AND(ISNUMBER('Semi OpInc'!L135),ISNUMBER('Semi OpInc'!H135),'Semi OpInc'!H135&gt;0),'Semi OpInc'!L135/'Semi OpInc'!H135-1,""),"")</f>
        <v/>
      </c>
      <c r="I1130" s="37">
        <f>IFERROR(IF(AND(ISNUMBER('Semi OpInc'!M135),ISNUMBER('Semi OpInc'!I135),'Semi OpInc'!I135&gt;0),'Semi OpInc'!M135/'Semi OpInc'!I135-1,""),"")</f>
        <v/>
      </c>
      <c r="J1130" s="37">
        <f>IFERROR(IF(AND(ISNUMBER('Semi OpInc'!N135),ISNUMBER('Semi OpInc'!J135),'Semi OpInc'!J135&gt;0),'Semi OpInc'!N135/'Semi OpInc'!J135-1,""),"")</f>
        <v/>
      </c>
      <c r="K1130" s="37">
        <f>IFERROR(IF(AND(ISNUMBER('Semi OpInc'!O135),ISNUMBER('Semi OpInc'!K135),'Semi OpInc'!K135&gt;0),'Semi OpInc'!O135/'Semi OpInc'!K135-1,""),"")</f>
        <v/>
      </c>
      <c r="L1130" s="37">
        <f>IFERROR(IF(AND(ISNUMBER('Semi OpInc'!P135),ISNUMBER('Semi OpInc'!L135),'Semi OpInc'!L135&gt;0),'Semi OpInc'!P135/'Semi OpInc'!L135-1,""),"")</f>
        <v/>
      </c>
      <c r="M1130" s="38">
        <f>IFERROR(IF(AND(ISNUMBER('Semi OpInc'!Q135),ISNUMBER('Semi OpInc'!M135),'Semi OpInc'!M135&gt;0),'Semi OpInc'!Q135/'Semi OpInc'!M135-1,""),"")</f>
        <v/>
      </c>
      <c r="N1130" s="38">
        <f>IFERROR(IF(AND(ISNUMBER('Semi OpInc'!R135),ISNUMBER('Semi OpInc'!N135),'Semi OpInc'!N135&gt;0),'Semi OpInc'!R135/'Semi OpInc'!N135-1,""),"")</f>
        <v/>
      </c>
    </row>
    <row r="1131">
      <c r="A1131" s="19">
        <f>'Semi Rev'!$A136</f>
        <v/>
      </c>
      <c r="B1131" s="19">
        <f>'Semi Rev'!$B136</f>
        <v/>
      </c>
      <c r="C1131" s="37">
        <f>IFERROR(IF(AND(ISNUMBER('Semi OpInc'!G136),ISNUMBER('Semi OpInc'!C136),'Semi OpInc'!C136&gt;0),'Semi OpInc'!G136/'Semi OpInc'!C136-1,""),"")</f>
        <v/>
      </c>
      <c r="D1131" s="37">
        <f>IFERROR(IF(AND(ISNUMBER('Semi OpInc'!H136),ISNUMBER('Semi OpInc'!D136),'Semi OpInc'!D136&gt;0),'Semi OpInc'!H136/'Semi OpInc'!D136-1,""),"")</f>
        <v/>
      </c>
      <c r="E1131" s="37">
        <f>IFERROR(IF(AND(ISNUMBER('Semi OpInc'!I136),ISNUMBER('Semi OpInc'!E136),'Semi OpInc'!E136&gt;0),'Semi OpInc'!I136/'Semi OpInc'!E136-1,""),"")</f>
        <v/>
      </c>
      <c r="F1131" s="37">
        <f>IFERROR(IF(AND(ISNUMBER('Semi OpInc'!J136),ISNUMBER('Semi OpInc'!F136),'Semi OpInc'!F136&gt;0),'Semi OpInc'!J136/'Semi OpInc'!F136-1,""),"")</f>
        <v/>
      </c>
      <c r="G1131" s="37">
        <f>IFERROR(IF(AND(ISNUMBER('Semi OpInc'!K136),ISNUMBER('Semi OpInc'!G136),'Semi OpInc'!G136&gt;0),'Semi OpInc'!K136/'Semi OpInc'!G136-1,""),"")</f>
        <v/>
      </c>
      <c r="H1131" s="37">
        <f>IFERROR(IF(AND(ISNUMBER('Semi OpInc'!L136),ISNUMBER('Semi OpInc'!H136),'Semi OpInc'!H136&gt;0),'Semi OpInc'!L136/'Semi OpInc'!H136-1,""),"")</f>
        <v/>
      </c>
      <c r="I1131" s="37">
        <f>IFERROR(IF(AND(ISNUMBER('Semi OpInc'!M136),ISNUMBER('Semi OpInc'!I136),'Semi OpInc'!I136&gt;0),'Semi OpInc'!M136/'Semi OpInc'!I136-1,""),"")</f>
        <v/>
      </c>
      <c r="J1131" s="37">
        <f>IFERROR(IF(AND(ISNUMBER('Semi OpInc'!N136),ISNUMBER('Semi OpInc'!J136),'Semi OpInc'!J136&gt;0),'Semi OpInc'!N136/'Semi OpInc'!J136-1,""),"")</f>
        <v/>
      </c>
      <c r="K1131" s="37">
        <f>IFERROR(IF(AND(ISNUMBER('Semi OpInc'!O136),ISNUMBER('Semi OpInc'!K136),'Semi OpInc'!K136&gt;0),'Semi OpInc'!O136/'Semi OpInc'!K136-1,""),"")</f>
        <v/>
      </c>
      <c r="L1131" s="37">
        <f>IFERROR(IF(AND(ISNUMBER('Semi OpInc'!P136),ISNUMBER('Semi OpInc'!L136),'Semi OpInc'!L136&gt;0),'Semi OpInc'!P136/'Semi OpInc'!L136-1,""),"")</f>
        <v/>
      </c>
      <c r="M1131" s="38">
        <f>IFERROR(IF(AND(ISNUMBER('Semi OpInc'!Q136),ISNUMBER('Semi OpInc'!M136),'Semi OpInc'!M136&gt;0),'Semi OpInc'!Q136/'Semi OpInc'!M136-1,""),"")</f>
        <v/>
      </c>
      <c r="N1131" s="38">
        <f>IFERROR(IF(AND(ISNUMBER('Semi OpInc'!R136),ISNUMBER('Semi OpInc'!N136),'Semi OpInc'!N136&gt;0),'Semi OpInc'!R136/'Semi OpInc'!N136-1,""),"")</f>
        <v/>
      </c>
    </row>
    <row r="1132">
      <c r="A1132" s="19">
        <f>'Semi Rev'!$A137</f>
        <v/>
      </c>
      <c r="B1132" s="19">
        <f>'Semi Rev'!$B137</f>
        <v/>
      </c>
      <c r="C1132" s="37">
        <f>IFERROR(IF(AND(ISNUMBER('Semi OpInc'!G137),ISNUMBER('Semi OpInc'!C137),'Semi OpInc'!C137&gt;0),'Semi OpInc'!G137/'Semi OpInc'!C137-1,""),"")</f>
        <v/>
      </c>
      <c r="D1132" s="37">
        <f>IFERROR(IF(AND(ISNUMBER('Semi OpInc'!H137),ISNUMBER('Semi OpInc'!D137),'Semi OpInc'!D137&gt;0),'Semi OpInc'!H137/'Semi OpInc'!D137-1,""),"")</f>
        <v/>
      </c>
      <c r="E1132" s="37">
        <f>IFERROR(IF(AND(ISNUMBER('Semi OpInc'!I137),ISNUMBER('Semi OpInc'!E137),'Semi OpInc'!E137&gt;0),'Semi OpInc'!I137/'Semi OpInc'!E137-1,""),"")</f>
        <v/>
      </c>
      <c r="F1132" s="37">
        <f>IFERROR(IF(AND(ISNUMBER('Semi OpInc'!J137),ISNUMBER('Semi OpInc'!F137),'Semi OpInc'!F137&gt;0),'Semi OpInc'!J137/'Semi OpInc'!F137-1,""),"")</f>
        <v/>
      </c>
      <c r="G1132" s="37">
        <f>IFERROR(IF(AND(ISNUMBER('Semi OpInc'!K137),ISNUMBER('Semi OpInc'!G137),'Semi OpInc'!G137&gt;0),'Semi OpInc'!K137/'Semi OpInc'!G137-1,""),"")</f>
        <v/>
      </c>
      <c r="H1132" s="37">
        <f>IFERROR(IF(AND(ISNUMBER('Semi OpInc'!L137),ISNUMBER('Semi OpInc'!H137),'Semi OpInc'!H137&gt;0),'Semi OpInc'!L137/'Semi OpInc'!H137-1,""),"")</f>
        <v/>
      </c>
      <c r="I1132" s="37">
        <f>IFERROR(IF(AND(ISNUMBER('Semi OpInc'!M137),ISNUMBER('Semi OpInc'!I137),'Semi OpInc'!I137&gt;0),'Semi OpInc'!M137/'Semi OpInc'!I137-1,""),"")</f>
        <v/>
      </c>
      <c r="J1132" s="37">
        <f>IFERROR(IF(AND(ISNUMBER('Semi OpInc'!N137),ISNUMBER('Semi OpInc'!J137),'Semi OpInc'!J137&gt;0),'Semi OpInc'!N137/'Semi OpInc'!J137-1,""),"")</f>
        <v/>
      </c>
      <c r="K1132" s="37">
        <f>IFERROR(IF(AND(ISNUMBER('Semi OpInc'!O137),ISNUMBER('Semi OpInc'!K137),'Semi OpInc'!K137&gt;0),'Semi OpInc'!O137/'Semi OpInc'!K137-1,""),"")</f>
        <v/>
      </c>
      <c r="L1132" s="37">
        <f>IFERROR(IF(AND(ISNUMBER('Semi OpInc'!P137),ISNUMBER('Semi OpInc'!L137),'Semi OpInc'!L137&gt;0),'Semi OpInc'!P137/'Semi OpInc'!L137-1,""),"")</f>
        <v/>
      </c>
      <c r="M1132" s="38">
        <f>IFERROR(IF(AND(ISNUMBER('Semi OpInc'!Q137),ISNUMBER('Semi OpInc'!M137),'Semi OpInc'!M137&gt;0),'Semi OpInc'!Q137/'Semi OpInc'!M137-1,""),"")</f>
        <v/>
      </c>
      <c r="N1132" s="38">
        <f>IFERROR(IF(AND(ISNUMBER('Semi OpInc'!R137),ISNUMBER('Semi OpInc'!N137),'Semi OpInc'!N137&gt;0),'Semi OpInc'!R137/'Semi OpInc'!N137-1,""),"")</f>
        <v/>
      </c>
    </row>
    <row r="1133">
      <c r="A1133" s="19">
        <f>'Semi Rev'!$A138</f>
        <v/>
      </c>
      <c r="B1133" s="19">
        <f>'Semi Rev'!$B138</f>
        <v/>
      </c>
      <c r="C1133" s="37">
        <f>IFERROR(IF(AND(ISNUMBER('Semi OpInc'!G138),ISNUMBER('Semi OpInc'!C138),'Semi OpInc'!C138&gt;0),'Semi OpInc'!G138/'Semi OpInc'!C138-1,""),"")</f>
        <v/>
      </c>
      <c r="D1133" s="37">
        <f>IFERROR(IF(AND(ISNUMBER('Semi OpInc'!H138),ISNUMBER('Semi OpInc'!D138),'Semi OpInc'!D138&gt;0),'Semi OpInc'!H138/'Semi OpInc'!D138-1,""),"")</f>
        <v/>
      </c>
      <c r="E1133" s="37">
        <f>IFERROR(IF(AND(ISNUMBER('Semi OpInc'!I138),ISNUMBER('Semi OpInc'!E138),'Semi OpInc'!E138&gt;0),'Semi OpInc'!I138/'Semi OpInc'!E138-1,""),"")</f>
        <v/>
      </c>
      <c r="F1133" s="37">
        <f>IFERROR(IF(AND(ISNUMBER('Semi OpInc'!J138),ISNUMBER('Semi OpInc'!F138),'Semi OpInc'!F138&gt;0),'Semi OpInc'!J138/'Semi OpInc'!F138-1,""),"")</f>
        <v/>
      </c>
      <c r="G1133" s="37">
        <f>IFERROR(IF(AND(ISNUMBER('Semi OpInc'!K138),ISNUMBER('Semi OpInc'!G138),'Semi OpInc'!G138&gt;0),'Semi OpInc'!K138/'Semi OpInc'!G138-1,""),"")</f>
        <v/>
      </c>
      <c r="H1133" s="37">
        <f>IFERROR(IF(AND(ISNUMBER('Semi OpInc'!L138),ISNUMBER('Semi OpInc'!H138),'Semi OpInc'!H138&gt;0),'Semi OpInc'!L138/'Semi OpInc'!H138-1,""),"")</f>
        <v/>
      </c>
      <c r="I1133" s="37">
        <f>IFERROR(IF(AND(ISNUMBER('Semi OpInc'!M138),ISNUMBER('Semi OpInc'!I138),'Semi OpInc'!I138&gt;0),'Semi OpInc'!M138/'Semi OpInc'!I138-1,""),"")</f>
        <v/>
      </c>
      <c r="J1133" s="37">
        <f>IFERROR(IF(AND(ISNUMBER('Semi OpInc'!N138),ISNUMBER('Semi OpInc'!J138),'Semi OpInc'!J138&gt;0),'Semi OpInc'!N138/'Semi OpInc'!J138-1,""),"")</f>
        <v/>
      </c>
      <c r="K1133" s="37">
        <f>IFERROR(IF(AND(ISNUMBER('Semi OpInc'!O138),ISNUMBER('Semi OpInc'!K138),'Semi OpInc'!K138&gt;0),'Semi OpInc'!O138/'Semi OpInc'!K138-1,""),"")</f>
        <v/>
      </c>
      <c r="L1133" s="37">
        <f>IFERROR(IF(AND(ISNUMBER('Semi OpInc'!P138),ISNUMBER('Semi OpInc'!L138),'Semi OpInc'!L138&gt;0),'Semi OpInc'!P138/'Semi OpInc'!L138-1,""),"")</f>
        <v/>
      </c>
      <c r="M1133" s="38">
        <f>IFERROR(IF(AND(ISNUMBER('Semi OpInc'!Q138),ISNUMBER('Semi OpInc'!M138),'Semi OpInc'!M138&gt;0),'Semi OpInc'!Q138/'Semi OpInc'!M138-1,""),"")</f>
        <v/>
      </c>
      <c r="N1133" s="38">
        <f>IFERROR(IF(AND(ISNUMBER('Semi OpInc'!R138),ISNUMBER('Semi OpInc'!N138),'Semi OpInc'!N138&gt;0),'Semi OpInc'!R138/'Semi OpInc'!N138-1,""),"")</f>
        <v/>
      </c>
    </row>
    <row r="1134">
      <c r="A1134" s="19">
        <f>'Semi Rev'!$A139</f>
        <v/>
      </c>
      <c r="B1134" s="19">
        <f>'Semi Rev'!$B139</f>
        <v/>
      </c>
      <c r="C1134" s="37">
        <f>IFERROR(IF(AND(ISNUMBER('Semi OpInc'!G139),ISNUMBER('Semi OpInc'!C139),'Semi OpInc'!C139&gt;0),'Semi OpInc'!G139/'Semi OpInc'!C139-1,""),"")</f>
        <v/>
      </c>
      <c r="D1134" s="37">
        <f>IFERROR(IF(AND(ISNUMBER('Semi OpInc'!H139),ISNUMBER('Semi OpInc'!D139),'Semi OpInc'!D139&gt;0),'Semi OpInc'!H139/'Semi OpInc'!D139-1,""),"")</f>
        <v/>
      </c>
      <c r="E1134" s="37">
        <f>IFERROR(IF(AND(ISNUMBER('Semi OpInc'!I139),ISNUMBER('Semi OpInc'!E139),'Semi OpInc'!E139&gt;0),'Semi OpInc'!I139/'Semi OpInc'!E139-1,""),"")</f>
        <v/>
      </c>
      <c r="F1134" s="37">
        <f>IFERROR(IF(AND(ISNUMBER('Semi OpInc'!J139),ISNUMBER('Semi OpInc'!F139),'Semi OpInc'!F139&gt;0),'Semi OpInc'!J139/'Semi OpInc'!F139-1,""),"")</f>
        <v/>
      </c>
      <c r="G1134" s="37">
        <f>IFERROR(IF(AND(ISNUMBER('Semi OpInc'!K139),ISNUMBER('Semi OpInc'!G139),'Semi OpInc'!G139&gt;0),'Semi OpInc'!K139/'Semi OpInc'!G139-1,""),"")</f>
        <v/>
      </c>
      <c r="H1134" s="37">
        <f>IFERROR(IF(AND(ISNUMBER('Semi OpInc'!L139),ISNUMBER('Semi OpInc'!H139),'Semi OpInc'!H139&gt;0),'Semi OpInc'!L139/'Semi OpInc'!H139-1,""),"")</f>
        <v/>
      </c>
      <c r="I1134" s="37">
        <f>IFERROR(IF(AND(ISNUMBER('Semi OpInc'!M139),ISNUMBER('Semi OpInc'!I139),'Semi OpInc'!I139&gt;0),'Semi OpInc'!M139/'Semi OpInc'!I139-1,""),"")</f>
        <v/>
      </c>
      <c r="J1134" s="37">
        <f>IFERROR(IF(AND(ISNUMBER('Semi OpInc'!N139),ISNUMBER('Semi OpInc'!J139),'Semi OpInc'!J139&gt;0),'Semi OpInc'!N139/'Semi OpInc'!J139-1,""),"")</f>
        <v/>
      </c>
      <c r="K1134" s="37">
        <f>IFERROR(IF(AND(ISNUMBER('Semi OpInc'!O139),ISNUMBER('Semi OpInc'!K139),'Semi OpInc'!K139&gt;0),'Semi OpInc'!O139/'Semi OpInc'!K139-1,""),"")</f>
        <v/>
      </c>
      <c r="L1134" s="37">
        <f>IFERROR(IF(AND(ISNUMBER('Semi OpInc'!P139),ISNUMBER('Semi OpInc'!L139),'Semi OpInc'!L139&gt;0),'Semi OpInc'!P139/'Semi OpInc'!L139-1,""),"")</f>
        <v/>
      </c>
      <c r="M1134" s="38">
        <f>IFERROR(IF(AND(ISNUMBER('Semi OpInc'!Q139),ISNUMBER('Semi OpInc'!M139),'Semi OpInc'!M139&gt;0),'Semi OpInc'!Q139/'Semi OpInc'!M139-1,""),"")</f>
        <v/>
      </c>
      <c r="N1134" s="38">
        <f>IFERROR(IF(AND(ISNUMBER('Semi OpInc'!R139),ISNUMBER('Semi OpInc'!N139),'Semi OpInc'!N139&gt;0),'Semi OpInc'!R139/'Semi OpInc'!N139-1,""),"")</f>
        <v/>
      </c>
    </row>
    <row r="1135">
      <c r="A1135" s="19">
        <f>'Semi Rev'!$A140</f>
        <v/>
      </c>
      <c r="B1135" s="19">
        <f>'Semi Rev'!$B140</f>
        <v/>
      </c>
      <c r="C1135" s="37">
        <f>IFERROR(IF(AND(ISNUMBER('Semi OpInc'!G140),ISNUMBER('Semi OpInc'!C140),'Semi OpInc'!C140&gt;0),'Semi OpInc'!G140/'Semi OpInc'!C140-1,""),"")</f>
        <v/>
      </c>
      <c r="D1135" s="37">
        <f>IFERROR(IF(AND(ISNUMBER('Semi OpInc'!H140),ISNUMBER('Semi OpInc'!D140),'Semi OpInc'!D140&gt;0),'Semi OpInc'!H140/'Semi OpInc'!D140-1,""),"")</f>
        <v/>
      </c>
      <c r="E1135" s="37">
        <f>IFERROR(IF(AND(ISNUMBER('Semi OpInc'!I140),ISNUMBER('Semi OpInc'!E140),'Semi OpInc'!E140&gt;0),'Semi OpInc'!I140/'Semi OpInc'!E140-1,""),"")</f>
        <v/>
      </c>
      <c r="F1135" s="37">
        <f>IFERROR(IF(AND(ISNUMBER('Semi OpInc'!J140),ISNUMBER('Semi OpInc'!F140),'Semi OpInc'!F140&gt;0),'Semi OpInc'!J140/'Semi OpInc'!F140-1,""),"")</f>
        <v/>
      </c>
      <c r="G1135" s="37">
        <f>IFERROR(IF(AND(ISNUMBER('Semi OpInc'!K140),ISNUMBER('Semi OpInc'!G140),'Semi OpInc'!G140&gt;0),'Semi OpInc'!K140/'Semi OpInc'!G140-1,""),"")</f>
        <v/>
      </c>
      <c r="H1135" s="37">
        <f>IFERROR(IF(AND(ISNUMBER('Semi OpInc'!L140),ISNUMBER('Semi OpInc'!H140),'Semi OpInc'!H140&gt;0),'Semi OpInc'!L140/'Semi OpInc'!H140-1,""),"")</f>
        <v/>
      </c>
      <c r="I1135" s="37">
        <f>IFERROR(IF(AND(ISNUMBER('Semi OpInc'!M140),ISNUMBER('Semi OpInc'!I140),'Semi OpInc'!I140&gt;0),'Semi OpInc'!M140/'Semi OpInc'!I140-1,""),"")</f>
        <v/>
      </c>
      <c r="J1135" s="37">
        <f>IFERROR(IF(AND(ISNUMBER('Semi OpInc'!N140),ISNUMBER('Semi OpInc'!J140),'Semi OpInc'!J140&gt;0),'Semi OpInc'!N140/'Semi OpInc'!J140-1,""),"")</f>
        <v/>
      </c>
      <c r="K1135" s="37">
        <f>IFERROR(IF(AND(ISNUMBER('Semi OpInc'!O140),ISNUMBER('Semi OpInc'!K140),'Semi OpInc'!K140&gt;0),'Semi OpInc'!O140/'Semi OpInc'!K140-1,""),"")</f>
        <v/>
      </c>
      <c r="L1135" s="37">
        <f>IFERROR(IF(AND(ISNUMBER('Semi OpInc'!P140),ISNUMBER('Semi OpInc'!L140),'Semi OpInc'!L140&gt;0),'Semi OpInc'!P140/'Semi OpInc'!L140-1,""),"")</f>
        <v/>
      </c>
      <c r="M1135" s="38">
        <f>IFERROR(IF(AND(ISNUMBER('Semi OpInc'!Q140),ISNUMBER('Semi OpInc'!M140),'Semi OpInc'!M140&gt;0),'Semi OpInc'!Q140/'Semi OpInc'!M140-1,""),"")</f>
        <v/>
      </c>
      <c r="N1135" s="38">
        <f>IFERROR(IF(AND(ISNUMBER('Semi OpInc'!R140),ISNUMBER('Semi OpInc'!N140),'Semi OpInc'!N140&gt;0),'Semi OpInc'!R140/'Semi OpInc'!N140-1,""),"")</f>
        <v/>
      </c>
    </row>
    <row r="1136">
      <c r="A1136" s="19">
        <f>'Semi Rev'!$A141</f>
        <v/>
      </c>
      <c r="B1136" s="19">
        <f>'Semi Rev'!$B141</f>
        <v/>
      </c>
      <c r="C1136" s="37">
        <f>IFERROR(IF(AND(ISNUMBER('Semi OpInc'!G141),ISNUMBER('Semi OpInc'!C141),'Semi OpInc'!C141&gt;0),'Semi OpInc'!G141/'Semi OpInc'!C141-1,""),"")</f>
        <v/>
      </c>
      <c r="D1136" s="37">
        <f>IFERROR(IF(AND(ISNUMBER('Semi OpInc'!H141),ISNUMBER('Semi OpInc'!D141),'Semi OpInc'!D141&gt;0),'Semi OpInc'!H141/'Semi OpInc'!D141-1,""),"")</f>
        <v/>
      </c>
      <c r="E1136" s="37">
        <f>IFERROR(IF(AND(ISNUMBER('Semi OpInc'!I141),ISNUMBER('Semi OpInc'!E141),'Semi OpInc'!E141&gt;0),'Semi OpInc'!I141/'Semi OpInc'!E141-1,""),"")</f>
        <v/>
      </c>
      <c r="F1136" s="37">
        <f>IFERROR(IF(AND(ISNUMBER('Semi OpInc'!J141),ISNUMBER('Semi OpInc'!F141),'Semi OpInc'!F141&gt;0),'Semi OpInc'!J141/'Semi OpInc'!F141-1,""),"")</f>
        <v/>
      </c>
      <c r="G1136" s="37">
        <f>IFERROR(IF(AND(ISNUMBER('Semi OpInc'!K141),ISNUMBER('Semi OpInc'!G141),'Semi OpInc'!G141&gt;0),'Semi OpInc'!K141/'Semi OpInc'!G141-1,""),"")</f>
        <v/>
      </c>
      <c r="H1136" s="37">
        <f>IFERROR(IF(AND(ISNUMBER('Semi OpInc'!L141),ISNUMBER('Semi OpInc'!H141),'Semi OpInc'!H141&gt;0),'Semi OpInc'!L141/'Semi OpInc'!H141-1,""),"")</f>
        <v/>
      </c>
      <c r="I1136" s="37">
        <f>IFERROR(IF(AND(ISNUMBER('Semi OpInc'!M141),ISNUMBER('Semi OpInc'!I141),'Semi OpInc'!I141&gt;0),'Semi OpInc'!M141/'Semi OpInc'!I141-1,""),"")</f>
        <v/>
      </c>
      <c r="J1136" s="37">
        <f>IFERROR(IF(AND(ISNUMBER('Semi OpInc'!N141),ISNUMBER('Semi OpInc'!J141),'Semi OpInc'!J141&gt;0),'Semi OpInc'!N141/'Semi OpInc'!J141-1,""),"")</f>
        <v/>
      </c>
      <c r="K1136" s="37">
        <f>IFERROR(IF(AND(ISNUMBER('Semi OpInc'!O141),ISNUMBER('Semi OpInc'!K141),'Semi OpInc'!K141&gt;0),'Semi OpInc'!O141/'Semi OpInc'!K141-1,""),"")</f>
        <v/>
      </c>
      <c r="L1136" s="37">
        <f>IFERROR(IF(AND(ISNUMBER('Semi OpInc'!P141),ISNUMBER('Semi OpInc'!L141),'Semi OpInc'!L141&gt;0),'Semi OpInc'!P141/'Semi OpInc'!L141-1,""),"")</f>
        <v/>
      </c>
      <c r="M1136" s="38">
        <f>IFERROR(IF(AND(ISNUMBER('Semi OpInc'!Q141),ISNUMBER('Semi OpInc'!M141),'Semi OpInc'!M141&gt;0),'Semi OpInc'!Q141/'Semi OpInc'!M141-1,""),"")</f>
        <v/>
      </c>
      <c r="N1136" s="38">
        <f>IFERROR(IF(AND(ISNUMBER('Semi OpInc'!R141),ISNUMBER('Semi OpInc'!N141),'Semi OpInc'!N141&gt;0),'Semi OpInc'!R141/'Semi OpInc'!N141-1,""),"")</f>
        <v/>
      </c>
    </row>
    <row r="1137">
      <c r="A1137" s="19">
        <f>'Semi Rev'!$A142</f>
        <v/>
      </c>
      <c r="B1137" s="19">
        <f>'Semi Rev'!$B142</f>
        <v/>
      </c>
      <c r="C1137" s="37">
        <f>IFERROR(IF(AND(ISNUMBER('Semi OpInc'!G142),ISNUMBER('Semi OpInc'!C142),'Semi OpInc'!C142&gt;0),'Semi OpInc'!G142/'Semi OpInc'!C142-1,""),"")</f>
        <v/>
      </c>
      <c r="D1137" s="37">
        <f>IFERROR(IF(AND(ISNUMBER('Semi OpInc'!H142),ISNUMBER('Semi OpInc'!D142),'Semi OpInc'!D142&gt;0),'Semi OpInc'!H142/'Semi OpInc'!D142-1,""),"")</f>
        <v/>
      </c>
      <c r="E1137" s="37">
        <f>IFERROR(IF(AND(ISNUMBER('Semi OpInc'!I142),ISNUMBER('Semi OpInc'!E142),'Semi OpInc'!E142&gt;0),'Semi OpInc'!I142/'Semi OpInc'!E142-1,""),"")</f>
        <v/>
      </c>
      <c r="F1137" s="37">
        <f>IFERROR(IF(AND(ISNUMBER('Semi OpInc'!J142),ISNUMBER('Semi OpInc'!F142),'Semi OpInc'!F142&gt;0),'Semi OpInc'!J142/'Semi OpInc'!F142-1,""),"")</f>
        <v/>
      </c>
      <c r="G1137" s="37">
        <f>IFERROR(IF(AND(ISNUMBER('Semi OpInc'!K142),ISNUMBER('Semi OpInc'!G142),'Semi OpInc'!G142&gt;0),'Semi OpInc'!K142/'Semi OpInc'!G142-1,""),"")</f>
        <v/>
      </c>
      <c r="H1137" s="37">
        <f>IFERROR(IF(AND(ISNUMBER('Semi OpInc'!L142),ISNUMBER('Semi OpInc'!H142),'Semi OpInc'!H142&gt;0),'Semi OpInc'!L142/'Semi OpInc'!H142-1,""),"")</f>
        <v/>
      </c>
      <c r="I1137" s="37">
        <f>IFERROR(IF(AND(ISNUMBER('Semi OpInc'!M142),ISNUMBER('Semi OpInc'!I142),'Semi OpInc'!I142&gt;0),'Semi OpInc'!M142/'Semi OpInc'!I142-1,""),"")</f>
        <v/>
      </c>
      <c r="J1137" s="37">
        <f>IFERROR(IF(AND(ISNUMBER('Semi OpInc'!N142),ISNUMBER('Semi OpInc'!J142),'Semi OpInc'!J142&gt;0),'Semi OpInc'!N142/'Semi OpInc'!J142-1,""),"")</f>
        <v/>
      </c>
      <c r="K1137" s="37">
        <f>IFERROR(IF(AND(ISNUMBER('Semi OpInc'!O142),ISNUMBER('Semi OpInc'!K142),'Semi OpInc'!K142&gt;0),'Semi OpInc'!O142/'Semi OpInc'!K142-1,""),"")</f>
        <v/>
      </c>
      <c r="L1137" s="37">
        <f>IFERROR(IF(AND(ISNUMBER('Semi OpInc'!P142),ISNUMBER('Semi OpInc'!L142),'Semi OpInc'!L142&gt;0),'Semi OpInc'!P142/'Semi OpInc'!L142-1,""),"")</f>
        <v/>
      </c>
      <c r="M1137" s="38">
        <f>IFERROR(IF(AND(ISNUMBER('Semi OpInc'!Q142),ISNUMBER('Semi OpInc'!M142),'Semi OpInc'!M142&gt;0),'Semi OpInc'!Q142/'Semi OpInc'!M142-1,""),"")</f>
        <v/>
      </c>
      <c r="N1137" s="38">
        <f>IFERROR(IF(AND(ISNUMBER('Semi OpInc'!R142),ISNUMBER('Semi OpInc'!N142),'Semi OpInc'!N142&gt;0),'Semi OpInc'!R142/'Semi OpInc'!N142-1,""),"")</f>
        <v/>
      </c>
    </row>
    <row r="1138">
      <c r="A1138" s="19">
        <f>'Semi Rev'!$A143</f>
        <v/>
      </c>
      <c r="B1138" s="19">
        <f>'Semi Rev'!$B143</f>
        <v/>
      </c>
      <c r="C1138" s="37">
        <f>IFERROR(IF(AND(ISNUMBER('Semi OpInc'!G143),ISNUMBER('Semi OpInc'!C143),'Semi OpInc'!C143&gt;0),'Semi OpInc'!G143/'Semi OpInc'!C143-1,""),"")</f>
        <v/>
      </c>
      <c r="D1138" s="37">
        <f>IFERROR(IF(AND(ISNUMBER('Semi OpInc'!H143),ISNUMBER('Semi OpInc'!D143),'Semi OpInc'!D143&gt;0),'Semi OpInc'!H143/'Semi OpInc'!D143-1,""),"")</f>
        <v/>
      </c>
      <c r="E1138" s="37">
        <f>IFERROR(IF(AND(ISNUMBER('Semi OpInc'!I143),ISNUMBER('Semi OpInc'!E143),'Semi OpInc'!E143&gt;0),'Semi OpInc'!I143/'Semi OpInc'!E143-1,""),"")</f>
        <v/>
      </c>
      <c r="F1138" s="37">
        <f>IFERROR(IF(AND(ISNUMBER('Semi OpInc'!J143),ISNUMBER('Semi OpInc'!F143),'Semi OpInc'!F143&gt;0),'Semi OpInc'!J143/'Semi OpInc'!F143-1,""),"")</f>
        <v/>
      </c>
      <c r="G1138" s="37">
        <f>IFERROR(IF(AND(ISNUMBER('Semi OpInc'!K143),ISNUMBER('Semi OpInc'!G143),'Semi OpInc'!G143&gt;0),'Semi OpInc'!K143/'Semi OpInc'!G143-1,""),"")</f>
        <v/>
      </c>
      <c r="H1138" s="37">
        <f>IFERROR(IF(AND(ISNUMBER('Semi OpInc'!L143),ISNUMBER('Semi OpInc'!H143),'Semi OpInc'!H143&gt;0),'Semi OpInc'!L143/'Semi OpInc'!H143-1,""),"")</f>
        <v/>
      </c>
      <c r="I1138" s="37">
        <f>IFERROR(IF(AND(ISNUMBER('Semi OpInc'!M143),ISNUMBER('Semi OpInc'!I143),'Semi OpInc'!I143&gt;0),'Semi OpInc'!M143/'Semi OpInc'!I143-1,""),"")</f>
        <v/>
      </c>
      <c r="J1138" s="37">
        <f>IFERROR(IF(AND(ISNUMBER('Semi OpInc'!N143),ISNUMBER('Semi OpInc'!J143),'Semi OpInc'!J143&gt;0),'Semi OpInc'!N143/'Semi OpInc'!J143-1,""),"")</f>
        <v/>
      </c>
      <c r="K1138" s="37">
        <f>IFERROR(IF(AND(ISNUMBER('Semi OpInc'!O143),ISNUMBER('Semi OpInc'!K143),'Semi OpInc'!K143&gt;0),'Semi OpInc'!O143/'Semi OpInc'!K143-1,""),"")</f>
        <v/>
      </c>
      <c r="L1138" s="37">
        <f>IFERROR(IF(AND(ISNUMBER('Semi OpInc'!P143),ISNUMBER('Semi OpInc'!L143),'Semi OpInc'!L143&gt;0),'Semi OpInc'!P143/'Semi OpInc'!L143-1,""),"")</f>
        <v/>
      </c>
      <c r="M1138" s="38">
        <f>IFERROR(IF(AND(ISNUMBER('Semi OpInc'!Q143),ISNUMBER('Semi OpInc'!M143),'Semi OpInc'!M143&gt;0),'Semi OpInc'!Q143/'Semi OpInc'!M143-1,""),"")</f>
        <v/>
      </c>
      <c r="N1138" s="38">
        <f>IFERROR(IF(AND(ISNUMBER('Semi OpInc'!R143),ISNUMBER('Semi OpInc'!N143),'Semi OpInc'!N143&gt;0),'Semi OpInc'!R143/'Semi OpInc'!N143-1,""),"")</f>
        <v/>
      </c>
    </row>
    <row r="1140">
      <c r="A1140" s="49" t="inlineStr">
        <is>
          <t>Incremental op margin YoY % (operating leverage)</t>
        </is>
      </c>
      <c r="B1140" s="50" t="n"/>
      <c r="C1140" s="50" t="n"/>
      <c r="D1140" s="50" t="n"/>
      <c r="E1140" s="50" t="n"/>
      <c r="F1140" s="50" t="n"/>
      <c r="G1140" s="50" t="n"/>
      <c r="H1140" s="50" t="n"/>
      <c r="I1140" s="50" t="n"/>
      <c r="J1140" s="50" t="n"/>
      <c r="K1140" s="50" t="n"/>
      <c r="L1140" s="50" t="n"/>
      <c r="M1140" s="50" t="n"/>
      <c r="N1140" s="50" t="n"/>
    </row>
    <row r="1141" ht="28" customHeight="1">
      <c r="A1141" s="8" t="inlineStr">
        <is>
          <t>Ticker</t>
        </is>
      </c>
      <c r="B1141" s="8" t="inlineStr">
        <is>
          <t>Latest Rpt Qtr</t>
        </is>
      </c>
      <c r="C1141" s="8" t="inlineStr">
        <is>
          <t>FPO -9</t>
        </is>
      </c>
      <c r="D1141" s="8" t="inlineStr">
        <is>
          <t>FPO -8</t>
        </is>
      </c>
      <c r="E1141" s="8" t="inlineStr">
        <is>
          <t>FPO -7</t>
        </is>
      </c>
      <c r="F1141" s="8" t="inlineStr">
        <is>
          <t>FPO -6</t>
        </is>
      </c>
      <c r="G1141" s="8" t="inlineStr">
        <is>
          <t>FPO -5</t>
        </is>
      </c>
      <c r="H1141" s="8" t="inlineStr">
        <is>
          <t>FPO -4</t>
        </is>
      </c>
      <c r="I1141" s="8" t="inlineStr">
        <is>
          <t>FPO -3</t>
        </is>
      </c>
      <c r="J1141" s="8" t="inlineStr">
        <is>
          <t>FPO -2</t>
        </is>
      </c>
      <c r="K1141" s="8" t="inlineStr">
        <is>
          <t>FPO -1</t>
        </is>
      </c>
      <c r="L1141" s="8" t="inlineStr">
        <is>
          <t>FPO 0 (latest rpt)</t>
        </is>
      </c>
      <c r="M1141" s="8" t="inlineStr">
        <is>
          <t>FPO +1E</t>
        </is>
      </c>
      <c r="N1141" s="8" t="inlineStr">
        <is>
          <t>FPO +2E</t>
        </is>
      </c>
    </row>
    <row r="1142">
      <c r="A1142" s="19">
        <f>'Semi Rev'!$A5</f>
        <v/>
      </c>
      <c r="B1142" s="19">
        <f>'Semi Rev'!$B5</f>
        <v/>
      </c>
      <c r="C1142" s="37">
        <f>IFERROR(IF(AND(ISNUMBER('Semi OpInc'!G5),ISNUMBER('Semi OpInc'!C5),ISNUMBER('Semi Rev'!G5),ISNUMBER('Semi Rev'!C5),ABS('Semi Rev'!G5-'Semi Rev'!C5)&gt;=1),('Semi OpInc'!G5-'Semi OpInc'!C5)/('Semi Rev'!G5-'Semi Rev'!C5),""),"")</f>
        <v/>
      </c>
      <c r="D1142" s="37">
        <f>IFERROR(IF(AND(ISNUMBER('Semi OpInc'!H5),ISNUMBER('Semi OpInc'!D5),ISNUMBER('Semi Rev'!H5),ISNUMBER('Semi Rev'!D5),ABS('Semi Rev'!H5-'Semi Rev'!D5)&gt;=1),('Semi OpInc'!H5-'Semi OpInc'!D5)/('Semi Rev'!H5-'Semi Rev'!D5),""),"")</f>
        <v/>
      </c>
      <c r="E1142" s="37">
        <f>IFERROR(IF(AND(ISNUMBER('Semi OpInc'!I5),ISNUMBER('Semi OpInc'!E5),ISNUMBER('Semi Rev'!I5),ISNUMBER('Semi Rev'!E5),ABS('Semi Rev'!I5-'Semi Rev'!E5)&gt;=1),('Semi OpInc'!I5-'Semi OpInc'!E5)/('Semi Rev'!I5-'Semi Rev'!E5),""),"")</f>
        <v/>
      </c>
      <c r="F1142" s="37">
        <f>IFERROR(IF(AND(ISNUMBER('Semi OpInc'!J5),ISNUMBER('Semi OpInc'!F5),ISNUMBER('Semi Rev'!J5),ISNUMBER('Semi Rev'!F5),ABS('Semi Rev'!J5-'Semi Rev'!F5)&gt;=1),('Semi OpInc'!J5-'Semi OpInc'!F5)/('Semi Rev'!J5-'Semi Rev'!F5),""),"")</f>
        <v/>
      </c>
      <c r="G1142" s="37">
        <f>IFERROR(IF(AND(ISNUMBER('Semi OpInc'!K5),ISNUMBER('Semi OpInc'!G5),ISNUMBER('Semi Rev'!K5),ISNUMBER('Semi Rev'!G5),ABS('Semi Rev'!K5-'Semi Rev'!G5)&gt;=1),('Semi OpInc'!K5-'Semi OpInc'!G5)/('Semi Rev'!K5-'Semi Rev'!G5),""),"")</f>
        <v/>
      </c>
      <c r="H1142" s="37">
        <f>IFERROR(IF(AND(ISNUMBER('Semi OpInc'!L5),ISNUMBER('Semi OpInc'!H5),ISNUMBER('Semi Rev'!L5),ISNUMBER('Semi Rev'!H5),ABS('Semi Rev'!L5-'Semi Rev'!H5)&gt;=1),('Semi OpInc'!L5-'Semi OpInc'!H5)/('Semi Rev'!L5-'Semi Rev'!H5),""),"")</f>
        <v/>
      </c>
      <c r="I1142" s="37">
        <f>IFERROR(IF(AND(ISNUMBER('Semi OpInc'!M5),ISNUMBER('Semi OpInc'!I5),ISNUMBER('Semi Rev'!M5),ISNUMBER('Semi Rev'!I5),ABS('Semi Rev'!M5-'Semi Rev'!I5)&gt;=1),('Semi OpInc'!M5-'Semi OpInc'!I5)/('Semi Rev'!M5-'Semi Rev'!I5),""),"")</f>
        <v/>
      </c>
      <c r="J1142" s="37">
        <f>IFERROR(IF(AND(ISNUMBER('Semi OpInc'!N5),ISNUMBER('Semi OpInc'!J5),ISNUMBER('Semi Rev'!N5),ISNUMBER('Semi Rev'!J5),ABS('Semi Rev'!N5-'Semi Rev'!J5)&gt;=1),('Semi OpInc'!N5-'Semi OpInc'!J5)/('Semi Rev'!N5-'Semi Rev'!J5),""),"")</f>
        <v/>
      </c>
      <c r="K1142" s="37">
        <f>IFERROR(IF(AND(ISNUMBER('Semi OpInc'!O5),ISNUMBER('Semi OpInc'!K5),ISNUMBER('Semi Rev'!O5),ISNUMBER('Semi Rev'!K5),ABS('Semi Rev'!O5-'Semi Rev'!K5)&gt;=1),('Semi OpInc'!O5-'Semi OpInc'!K5)/('Semi Rev'!O5-'Semi Rev'!K5),""),"")</f>
        <v/>
      </c>
      <c r="L1142" s="37">
        <f>IFERROR(IF(AND(ISNUMBER('Semi OpInc'!P5),ISNUMBER('Semi OpInc'!L5),ISNUMBER('Semi Rev'!P5),ISNUMBER('Semi Rev'!L5),ABS('Semi Rev'!P5-'Semi Rev'!L5)&gt;=1),('Semi OpInc'!P5-'Semi OpInc'!L5)/('Semi Rev'!P5-'Semi Rev'!L5),""),"")</f>
        <v/>
      </c>
      <c r="M1142" s="38">
        <f>IFERROR(IF(AND(ISNUMBER('Semi OpInc'!Q5),ISNUMBER('Semi OpInc'!M5),ISNUMBER('Semi Rev'!Q5),ISNUMBER('Semi Rev'!M5),ABS('Semi Rev'!Q5-'Semi Rev'!M5)&gt;=1),('Semi OpInc'!Q5-'Semi OpInc'!M5)/('Semi Rev'!Q5-'Semi Rev'!M5),""),"")</f>
        <v/>
      </c>
      <c r="N1142" s="38">
        <f>IFERROR(IF(AND(ISNUMBER('Semi OpInc'!R5),ISNUMBER('Semi OpInc'!N5),ISNUMBER('Semi Rev'!R5),ISNUMBER('Semi Rev'!N5),ABS('Semi Rev'!R5-'Semi Rev'!N5)&gt;=1),('Semi OpInc'!R5-'Semi OpInc'!N5)/('Semi Rev'!R5-'Semi Rev'!N5),""),"")</f>
        <v/>
      </c>
    </row>
    <row r="1143">
      <c r="A1143" s="19">
        <f>'Semi Rev'!$A6</f>
        <v/>
      </c>
      <c r="B1143" s="19">
        <f>'Semi Rev'!$B6</f>
        <v/>
      </c>
      <c r="C1143" s="37">
        <f>IFERROR(IF(AND(ISNUMBER('Semi OpInc'!G6),ISNUMBER('Semi OpInc'!C6),ISNUMBER('Semi Rev'!G6),ISNUMBER('Semi Rev'!C6),ABS('Semi Rev'!G6-'Semi Rev'!C6)&gt;=1),('Semi OpInc'!G6-'Semi OpInc'!C6)/('Semi Rev'!G6-'Semi Rev'!C6),""),"")</f>
        <v/>
      </c>
      <c r="D1143" s="37">
        <f>IFERROR(IF(AND(ISNUMBER('Semi OpInc'!H6),ISNUMBER('Semi OpInc'!D6),ISNUMBER('Semi Rev'!H6),ISNUMBER('Semi Rev'!D6),ABS('Semi Rev'!H6-'Semi Rev'!D6)&gt;=1),('Semi OpInc'!H6-'Semi OpInc'!D6)/('Semi Rev'!H6-'Semi Rev'!D6),""),"")</f>
        <v/>
      </c>
      <c r="E1143" s="37">
        <f>IFERROR(IF(AND(ISNUMBER('Semi OpInc'!I6),ISNUMBER('Semi OpInc'!E6),ISNUMBER('Semi Rev'!I6),ISNUMBER('Semi Rev'!E6),ABS('Semi Rev'!I6-'Semi Rev'!E6)&gt;=1),('Semi OpInc'!I6-'Semi OpInc'!E6)/('Semi Rev'!I6-'Semi Rev'!E6),""),"")</f>
        <v/>
      </c>
      <c r="F1143" s="37">
        <f>IFERROR(IF(AND(ISNUMBER('Semi OpInc'!J6),ISNUMBER('Semi OpInc'!F6),ISNUMBER('Semi Rev'!J6),ISNUMBER('Semi Rev'!F6),ABS('Semi Rev'!J6-'Semi Rev'!F6)&gt;=1),('Semi OpInc'!J6-'Semi OpInc'!F6)/('Semi Rev'!J6-'Semi Rev'!F6),""),"")</f>
        <v/>
      </c>
      <c r="G1143" s="37">
        <f>IFERROR(IF(AND(ISNUMBER('Semi OpInc'!K6),ISNUMBER('Semi OpInc'!G6),ISNUMBER('Semi Rev'!K6),ISNUMBER('Semi Rev'!G6),ABS('Semi Rev'!K6-'Semi Rev'!G6)&gt;=1),('Semi OpInc'!K6-'Semi OpInc'!G6)/('Semi Rev'!K6-'Semi Rev'!G6),""),"")</f>
        <v/>
      </c>
      <c r="H1143" s="37">
        <f>IFERROR(IF(AND(ISNUMBER('Semi OpInc'!L6),ISNUMBER('Semi OpInc'!H6),ISNUMBER('Semi Rev'!L6),ISNUMBER('Semi Rev'!H6),ABS('Semi Rev'!L6-'Semi Rev'!H6)&gt;=1),('Semi OpInc'!L6-'Semi OpInc'!H6)/('Semi Rev'!L6-'Semi Rev'!H6),""),"")</f>
        <v/>
      </c>
      <c r="I1143" s="37">
        <f>IFERROR(IF(AND(ISNUMBER('Semi OpInc'!M6),ISNUMBER('Semi OpInc'!I6),ISNUMBER('Semi Rev'!M6),ISNUMBER('Semi Rev'!I6),ABS('Semi Rev'!M6-'Semi Rev'!I6)&gt;=1),('Semi OpInc'!M6-'Semi OpInc'!I6)/('Semi Rev'!M6-'Semi Rev'!I6),""),"")</f>
        <v/>
      </c>
      <c r="J1143" s="37">
        <f>IFERROR(IF(AND(ISNUMBER('Semi OpInc'!N6),ISNUMBER('Semi OpInc'!J6),ISNUMBER('Semi Rev'!N6),ISNUMBER('Semi Rev'!J6),ABS('Semi Rev'!N6-'Semi Rev'!J6)&gt;=1),('Semi OpInc'!N6-'Semi OpInc'!J6)/('Semi Rev'!N6-'Semi Rev'!J6),""),"")</f>
        <v/>
      </c>
      <c r="K1143" s="37">
        <f>IFERROR(IF(AND(ISNUMBER('Semi OpInc'!O6),ISNUMBER('Semi OpInc'!K6),ISNUMBER('Semi Rev'!O6),ISNUMBER('Semi Rev'!K6),ABS('Semi Rev'!O6-'Semi Rev'!K6)&gt;=1),('Semi OpInc'!O6-'Semi OpInc'!K6)/('Semi Rev'!O6-'Semi Rev'!K6),""),"")</f>
        <v/>
      </c>
      <c r="L1143" s="37">
        <f>IFERROR(IF(AND(ISNUMBER('Semi OpInc'!P6),ISNUMBER('Semi OpInc'!L6),ISNUMBER('Semi Rev'!P6),ISNUMBER('Semi Rev'!L6),ABS('Semi Rev'!P6-'Semi Rev'!L6)&gt;=1),('Semi OpInc'!P6-'Semi OpInc'!L6)/('Semi Rev'!P6-'Semi Rev'!L6),""),"")</f>
        <v/>
      </c>
      <c r="M1143" s="38">
        <f>IFERROR(IF(AND(ISNUMBER('Semi OpInc'!Q6),ISNUMBER('Semi OpInc'!M6),ISNUMBER('Semi Rev'!Q6),ISNUMBER('Semi Rev'!M6),ABS('Semi Rev'!Q6-'Semi Rev'!M6)&gt;=1),('Semi OpInc'!Q6-'Semi OpInc'!M6)/('Semi Rev'!Q6-'Semi Rev'!M6),""),"")</f>
        <v/>
      </c>
      <c r="N1143" s="38">
        <f>IFERROR(IF(AND(ISNUMBER('Semi OpInc'!R6),ISNUMBER('Semi OpInc'!N6),ISNUMBER('Semi Rev'!R6),ISNUMBER('Semi Rev'!N6),ABS('Semi Rev'!R6-'Semi Rev'!N6)&gt;=1),('Semi OpInc'!R6-'Semi OpInc'!N6)/('Semi Rev'!R6-'Semi Rev'!N6),""),"")</f>
        <v/>
      </c>
    </row>
    <row r="1144">
      <c r="A1144" s="19">
        <f>'Semi Rev'!$A7</f>
        <v/>
      </c>
      <c r="B1144" s="19">
        <f>'Semi Rev'!$B7</f>
        <v/>
      </c>
      <c r="C1144" s="37">
        <f>IFERROR(IF(AND(ISNUMBER('Semi OpInc'!G7),ISNUMBER('Semi OpInc'!C7),ISNUMBER('Semi Rev'!G7),ISNUMBER('Semi Rev'!C7),ABS('Semi Rev'!G7-'Semi Rev'!C7)&gt;=1),('Semi OpInc'!G7-'Semi OpInc'!C7)/('Semi Rev'!G7-'Semi Rev'!C7),""),"")</f>
        <v/>
      </c>
      <c r="D1144" s="37">
        <f>IFERROR(IF(AND(ISNUMBER('Semi OpInc'!H7),ISNUMBER('Semi OpInc'!D7),ISNUMBER('Semi Rev'!H7),ISNUMBER('Semi Rev'!D7),ABS('Semi Rev'!H7-'Semi Rev'!D7)&gt;=1),('Semi OpInc'!H7-'Semi OpInc'!D7)/('Semi Rev'!H7-'Semi Rev'!D7),""),"")</f>
        <v/>
      </c>
      <c r="E1144" s="37">
        <f>IFERROR(IF(AND(ISNUMBER('Semi OpInc'!I7),ISNUMBER('Semi OpInc'!E7),ISNUMBER('Semi Rev'!I7),ISNUMBER('Semi Rev'!E7),ABS('Semi Rev'!I7-'Semi Rev'!E7)&gt;=1),('Semi OpInc'!I7-'Semi OpInc'!E7)/('Semi Rev'!I7-'Semi Rev'!E7),""),"")</f>
        <v/>
      </c>
      <c r="F1144" s="37">
        <f>IFERROR(IF(AND(ISNUMBER('Semi OpInc'!J7),ISNUMBER('Semi OpInc'!F7),ISNUMBER('Semi Rev'!J7),ISNUMBER('Semi Rev'!F7),ABS('Semi Rev'!J7-'Semi Rev'!F7)&gt;=1),('Semi OpInc'!J7-'Semi OpInc'!F7)/('Semi Rev'!J7-'Semi Rev'!F7),""),"")</f>
        <v/>
      </c>
      <c r="G1144" s="37">
        <f>IFERROR(IF(AND(ISNUMBER('Semi OpInc'!K7),ISNUMBER('Semi OpInc'!G7),ISNUMBER('Semi Rev'!K7),ISNUMBER('Semi Rev'!G7),ABS('Semi Rev'!K7-'Semi Rev'!G7)&gt;=1),('Semi OpInc'!K7-'Semi OpInc'!G7)/('Semi Rev'!K7-'Semi Rev'!G7),""),"")</f>
        <v/>
      </c>
      <c r="H1144" s="37">
        <f>IFERROR(IF(AND(ISNUMBER('Semi OpInc'!L7),ISNUMBER('Semi OpInc'!H7),ISNUMBER('Semi Rev'!L7),ISNUMBER('Semi Rev'!H7),ABS('Semi Rev'!L7-'Semi Rev'!H7)&gt;=1),('Semi OpInc'!L7-'Semi OpInc'!H7)/('Semi Rev'!L7-'Semi Rev'!H7),""),"")</f>
        <v/>
      </c>
      <c r="I1144" s="37">
        <f>IFERROR(IF(AND(ISNUMBER('Semi OpInc'!M7),ISNUMBER('Semi OpInc'!I7),ISNUMBER('Semi Rev'!M7),ISNUMBER('Semi Rev'!I7),ABS('Semi Rev'!M7-'Semi Rev'!I7)&gt;=1),('Semi OpInc'!M7-'Semi OpInc'!I7)/('Semi Rev'!M7-'Semi Rev'!I7),""),"")</f>
        <v/>
      </c>
      <c r="J1144" s="37">
        <f>IFERROR(IF(AND(ISNUMBER('Semi OpInc'!N7),ISNUMBER('Semi OpInc'!J7),ISNUMBER('Semi Rev'!N7),ISNUMBER('Semi Rev'!J7),ABS('Semi Rev'!N7-'Semi Rev'!J7)&gt;=1),('Semi OpInc'!N7-'Semi OpInc'!J7)/('Semi Rev'!N7-'Semi Rev'!J7),""),"")</f>
        <v/>
      </c>
      <c r="K1144" s="37">
        <f>IFERROR(IF(AND(ISNUMBER('Semi OpInc'!O7),ISNUMBER('Semi OpInc'!K7),ISNUMBER('Semi Rev'!O7),ISNUMBER('Semi Rev'!K7),ABS('Semi Rev'!O7-'Semi Rev'!K7)&gt;=1),('Semi OpInc'!O7-'Semi OpInc'!K7)/('Semi Rev'!O7-'Semi Rev'!K7),""),"")</f>
        <v/>
      </c>
      <c r="L1144" s="37">
        <f>IFERROR(IF(AND(ISNUMBER('Semi OpInc'!P7),ISNUMBER('Semi OpInc'!L7),ISNUMBER('Semi Rev'!P7),ISNUMBER('Semi Rev'!L7),ABS('Semi Rev'!P7-'Semi Rev'!L7)&gt;=1),('Semi OpInc'!P7-'Semi OpInc'!L7)/('Semi Rev'!P7-'Semi Rev'!L7),""),"")</f>
        <v/>
      </c>
      <c r="M1144" s="38">
        <f>IFERROR(IF(AND(ISNUMBER('Semi OpInc'!Q7),ISNUMBER('Semi OpInc'!M7),ISNUMBER('Semi Rev'!Q7),ISNUMBER('Semi Rev'!M7),ABS('Semi Rev'!Q7-'Semi Rev'!M7)&gt;=1),('Semi OpInc'!Q7-'Semi OpInc'!M7)/('Semi Rev'!Q7-'Semi Rev'!M7),""),"")</f>
        <v/>
      </c>
      <c r="N1144" s="38">
        <f>IFERROR(IF(AND(ISNUMBER('Semi OpInc'!R7),ISNUMBER('Semi OpInc'!N7),ISNUMBER('Semi Rev'!R7),ISNUMBER('Semi Rev'!N7),ABS('Semi Rev'!R7-'Semi Rev'!N7)&gt;=1),('Semi OpInc'!R7-'Semi OpInc'!N7)/('Semi Rev'!R7-'Semi Rev'!N7),""),"")</f>
        <v/>
      </c>
    </row>
    <row r="1145">
      <c r="A1145" s="19">
        <f>'Semi Rev'!$A8</f>
        <v/>
      </c>
      <c r="B1145" s="19">
        <f>'Semi Rev'!$B8</f>
        <v/>
      </c>
      <c r="C1145" s="37">
        <f>IFERROR(IF(AND(ISNUMBER('Semi OpInc'!G8),ISNUMBER('Semi OpInc'!C8),ISNUMBER('Semi Rev'!G8),ISNUMBER('Semi Rev'!C8),ABS('Semi Rev'!G8-'Semi Rev'!C8)&gt;=1),('Semi OpInc'!G8-'Semi OpInc'!C8)/('Semi Rev'!G8-'Semi Rev'!C8),""),"")</f>
        <v/>
      </c>
      <c r="D1145" s="37">
        <f>IFERROR(IF(AND(ISNUMBER('Semi OpInc'!H8),ISNUMBER('Semi OpInc'!D8),ISNUMBER('Semi Rev'!H8),ISNUMBER('Semi Rev'!D8),ABS('Semi Rev'!H8-'Semi Rev'!D8)&gt;=1),('Semi OpInc'!H8-'Semi OpInc'!D8)/('Semi Rev'!H8-'Semi Rev'!D8),""),"")</f>
        <v/>
      </c>
      <c r="E1145" s="37">
        <f>IFERROR(IF(AND(ISNUMBER('Semi OpInc'!I8),ISNUMBER('Semi OpInc'!E8),ISNUMBER('Semi Rev'!I8),ISNUMBER('Semi Rev'!E8),ABS('Semi Rev'!I8-'Semi Rev'!E8)&gt;=1),('Semi OpInc'!I8-'Semi OpInc'!E8)/('Semi Rev'!I8-'Semi Rev'!E8),""),"")</f>
        <v/>
      </c>
      <c r="F1145" s="37">
        <f>IFERROR(IF(AND(ISNUMBER('Semi OpInc'!J8),ISNUMBER('Semi OpInc'!F8),ISNUMBER('Semi Rev'!J8),ISNUMBER('Semi Rev'!F8),ABS('Semi Rev'!J8-'Semi Rev'!F8)&gt;=1),('Semi OpInc'!J8-'Semi OpInc'!F8)/('Semi Rev'!J8-'Semi Rev'!F8),""),"")</f>
        <v/>
      </c>
      <c r="G1145" s="37">
        <f>IFERROR(IF(AND(ISNUMBER('Semi OpInc'!K8),ISNUMBER('Semi OpInc'!G8),ISNUMBER('Semi Rev'!K8),ISNUMBER('Semi Rev'!G8),ABS('Semi Rev'!K8-'Semi Rev'!G8)&gt;=1),('Semi OpInc'!K8-'Semi OpInc'!G8)/('Semi Rev'!K8-'Semi Rev'!G8),""),"")</f>
        <v/>
      </c>
      <c r="H1145" s="37">
        <f>IFERROR(IF(AND(ISNUMBER('Semi OpInc'!L8),ISNUMBER('Semi OpInc'!H8),ISNUMBER('Semi Rev'!L8),ISNUMBER('Semi Rev'!H8),ABS('Semi Rev'!L8-'Semi Rev'!H8)&gt;=1),('Semi OpInc'!L8-'Semi OpInc'!H8)/('Semi Rev'!L8-'Semi Rev'!H8),""),"")</f>
        <v/>
      </c>
      <c r="I1145" s="37">
        <f>IFERROR(IF(AND(ISNUMBER('Semi OpInc'!M8),ISNUMBER('Semi OpInc'!I8),ISNUMBER('Semi Rev'!M8),ISNUMBER('Semi Rev'!I8),ABS('Semi Rev'!M8-'Semi Rev'!I8)&gt;=1),('Semi OpInc'!M8-'Semi OpInc'!I8)/('Semi Rev'!M8-'Semi Rev'!I8),""),"")</f>
        <v/>
      </c>
      <c r="J1145" s="37">
        <f>IFERROR(IF(AND(ISNUMBER('Semi OpInc'!N8),ISNUMBER('Semi OpInc'!J8),ISNUMBER('Semi Rev'!N8),ISNUMBER('Semi Rev'!J8),ABS('Semi Rev'!N8-'Semi Rev'!J8)&gt;=1),('Semi OpInc'!N8-'Semi OpInc'!J8)/('Semi Rev'!N8-'Semi Rev'!J8),""),"")</f>
        <v/>
      </c>
      <c r="K1145" s="37">
        <f>IFERROR(IF(AND(ISNUMBER('Semi OpInc'!O8),ISNUMBER('Semi OpInc'!K8),ISNUMBER('Semi Rev'!O8),ISNUMBER('Semi Rev'!K8),ABS('Semi Rev'!O8-'Semi Rev'!K8)&gt;=1),('Semi OpInc'!O8-'Semi OpInc'!K8)/('Semi Rev'!O8-'Semi Rev'!K8),""),"")</f>
        <v/>
      </c>
      <c r="L1145" s="37">
        <f>IFERROR(IF(AND(ISNUMBER('Semi OpInc'!P8),ISNUMBER('Semi OpInc'!L8),ISNUMBER('Semi Rev'!P8),ISNUMBER('Semi Rev'!L8),ABS('Semi Rev'!P8-'Semi Rev'!L8)&gt;=1),('Semi OpInc'!P8-'Semi OpInc'!L8)/('Semi Rev'!P8-'Semi Rev'!L8),""),"")</f>
        <v/>
      </c>
      <c r="M1145" s="38">
        <f>IFERROR(IF(AND(ISNUMBER('Semi OpInc'!Q8),ISNUMBER('Semi OpInc'!M8),ISNUMBER('Semi Rev'!Q8),ISNUMBER('Semi Rev'!M8),ABS('Semi Rev'!Q8-'Semi Rev'!M8)&gt;=1),('Semi OpInc'!Q8-'Semi OpInc'!M8)/('Semi Rev'!Q8-'Semi Rev'!M8),""),"")</f>
        <v/>
      </c>
      <c r="N1145" s="38">
        <f>IFERROR(IF(AND(ISNUMBER('Semi OpInc'!R8),ISNUMBER('Semi OpInc'!N8),ISNUMBER('Semi Rev'!R8),ISNUMBER('Semi Rev'!N8),ABS('Semi Rev'!R8-'Semi Rev'!N8)&gt;=1),('Semi OpInc'!R8-'Semi OpInc'!N8)/('Semi Rev'!R8-'Semi Rev'!N8),""),"")</f>
        <v/>
      </c>
    </row>
    <row r="1146">
      <c r="A1146" s="19">
        <f>'Semi Rev'!$A9</f>
        <v/>
      </c>
      <c r="B1146" s="19">
        <f>'Semi Rev'!$B9</f>
        <v/>
      </c>
      <c r="C1146" s="37">
        <f>IFERROR(IF(AND(ISNUMBER('Semi OpInc'!G9),ISNUMBER('Semi OpInc'!C9),ISNUMBER('Semi Rev'!G9),ISNUMBER('Semi Rev'!C9),ABS('Semi Rev'!G9-'Semi Rev'!C9)&gt;=1),('Semi OpInc'!G9-'Semi OpInc'!C9)/('Semi Rev'!G9-'Semi Rev'!C9),""),"")</f>
        <v/>
      </c>
      <c r="D1146" s="37">
        <f>IFERROR(IF(AND(ISNUMBER('Semi OpInc'!H9),ISNUMBER('Semi OpInc'!D9),ISNUMBER('Semi Rev'!H9),ISNUMBER('Semi Rev'!D9),ABS('Semi Rev'!H9-'Semi Rev'!D9)&gt;=1),('Semi OpInc'!H9-'Semi OpInc'!D9)/('Semi Rev'!H9-'Semi Rev'!D9),""),"")</f>
        <v/>
      </c>
      <c r="E1146" s="37">
        <f>IFERROR(IF(AND(ISNUMBER('Semi OpInc'!I9),ISNUMBER('Semi OpInc'!E9),ISNUMBER('Semi Rev'!I9),ISNUMBER('Semi Rev'!E9),ABS('Semi Rev'!I9-'Semi Rev'!E9)&gt;=1),('Semi OpInc'!I9-'Semi OpInc'!E9)/('Semi Rev'!I9-'Semi Rev'!E9),""),"")</f>
        <v/>
      </c>
      <c r="F1146" s="37">
        <f>IFERROR(IF(AND(ISNUMBER('Semi OpInc'!J9),ISNUMBER('Semi OpInc'!F9),ISNUMBER('Semi Rev'!J9),ISNUMBER('Semi Rev'!F9),ABS('Semi Rev'!J9-'Semi Rev'!F9)&gt;=1),('Semi OpInc'!J9-'Semi OpInc'!F9)/('Semi Rev'!J9-'Semi Rev'!F9),""),"")</f>
        <v/>
      </c>
      <c r="G1146" s="37">
        <f>IFERROR(IF(AND(ISNUMBER('Semi OpInc'!K9),ISNUMBER('Semi OpInc'!G9),ISNUMBER('Semi Rev'!K9),ISNUMBER('Semi Rev'!G9),ABS('Semi Rev'!K9-'Semi Rev'!G9)&gt;=1),('Semi OpInc'!K9-'Semi OpInc'!G9)/('Semi Rev'!K9-'Semi Rev'!G9),""),"")</f>
        <v/>
      </c>
      <c r="H1146" s="37">
        <f>IFERROR(IF(AND(ISNUMBER('Semi OpInc'!L9),ISNUMBER('Semi OpInc'!H9),ISNUMBER('Semi Rev'!L9),ISNUMBER('Semi Rev'!H9),ABS('Semi Rev'!L9-'Semi Rev'!H9)&gt;=1),('Semi OpInc'!L9-'Semi OpInc'!H9)/('Semi Rev'!L9-'Semi Rev'!H9),""),"")</f>
        <v/>
      </c>
      <c r="I1146" s="37">
        <f>IFERROR(IF(AND(ISNUMBER('Semi OpInc'!M9),ISNUMBER('Semi OpInc'!I9),ISNUMBER('Semi Rev'!M9),ISNUMBER('Semi Rev'!I9),ABS('Semi Rev'!M9-'Semi Rev'!I9)&gt;=1),('Semi OpInc'!M9-'Semi OpInc'!I9)/('Semi Rev'!M9-'Semi Rev'!I9),""),"")</f>
        <v/>
      </c>
      <c r="J1146" s="37">
        <f>IFERROR(IF(AND(ISNUMBER('Semi OpInc'!N9),ISNUMBER('Semi OpInc'!J9),ISNUMBER('Semi Rev'!N9),ISNUMBER('Semi Rev'!J9),ABS('Semi Rev'!N9-'Semi Rev'!J9)&gt;=1),('Semi OpInc'!N9-'Semi OpInc'!J9)/('Semi Rev'!N9-'Semi Rev'!J9),""),"")</f>
        <v/>
      </c>
      <c r="K1146" s="37">
        <f>IFERROR(IF(AND(ISNUMBER('Semi OpInc'!O9),ISNUMBER('Semi OpInc'!K9),ISNUMBER('Semi Rev'!O9),ISNUMBER('Semi Rev'!K9),ABS('Semi Rev'!O9-'Semi Rev'!K9)&gt;=1),('Semi OpInc'!O9-'Semi OpInc'!K9)/('Semi Rev'!O9-'Semi Rev'!K9),""),"")</f>
        <v/>
      </c>
      <c r="L1146" s="37">
        <f>IFERROR(IF(AND(ISNUMBER('Semi OpInc'!P9),ISNUMBER('Semi OpInc'!L9),ISNUMBER('Semi Rev'!P9),ISNUMBER('Semi Rev'!L9),ABS('Semi Rev'!P9-'Semi Rev'!L9)&gt;=1),('Semi OpInc'!P9-'Semi OpInc'!L9)/('Semi Rev'!P9-'Semi Rev'!L9),""),"")</f>
        <v/>
      </c>
      <c r="M1146" s="38">
        <f>IFERROR(IF(AND(ISNUMBER('Semi OpInc'!Q9),ISNUMBER('Semi OpInc'!M9),ISNUMBER('Semi Rev'!Q9),ISNUMBER('Semi Rev'!M9),ABS('Semi Rev'!Q9-'Semi Rev'!M9)&gt;=1),('Semi OpInc'!Q9-'Semi OpInc'!M9)/('Semi Rev'!Q9-'Semi Rev'!M9),""),"")</f>
        <v/>
      </c>
      <c r="N1146" s="38">
        <f>IFERROR(IF(AND(ISNUMBER('Semi OpInc'!R9),ISNUMBER('Semi OpInc'!N9),ISNUMBER('Semi Rev'!R9),ISNUMBER('Semi Rev'!N9),ABS('Semi Rev'!R9-'Semi Rev'!N9)&gt;=1),('Semi OpInc'!R9-'Semi OpInc'!N9)/('Semi Rev'!R9-'Semi Rev'!N9),""),"")</f>
        <v/>
      </c>
    </row>
    <row r="1147">
      <c r="A1147" s="19">
        <f>'Semi Rev'!$A10</f>
        <v/>
      </c>
      <c r="B1147" s="19">
        <f>'Semi Rev'!$B10</f>
        <v/>
      </c>
      <c r="C1147" s="37">
        <f>IFERROR(IF(AND(ISNUMBER('Semi OpInc'!G10),ISNUMBER('Semi OpInc'!C10),ISNUMBER('Semi Rev'!G10),ISNUMBER('Semi Rev'!C10),ABS('Semi Rev'!G10-'Semi Rev'!C10)&gt;=1),('Semi OpInc'!G10-'Semi OpInc'!C10)/('Semi Rev'!G10-'Semi Rev'!C10),""),"")</f>
        <v/>
      </c>
      <c r="D1147" s="37">
        <f>IFERROR(IF(AND(ISNUMBER('Semi OpInc'!H10),ISNUMBER('Semi OpInc'!D10),ISNUMBER('Semi Rev'!H10),ISNUMBER('Semi Rev'!D10),ABS('Semi Rev'!H10-'Semi Rev'!D10)&gt;=1),('Semi OpInc'!H10-'Semi OpInc'!D10)/('Semi Rev'!H10-'Semi Rev'!D10),""),"")</f>
        <v/>
      </c>
      <c r="E1147" s="37">
        <f>IFERROR(IF(AND(ISNUMBER('Semi OpInc'!I10),ISNUMBER('Semi OpInc'!E10),ISNUMBER('Semi Rev'!I10),ISNUMBER('Semi Rev'!E10),ABS('Semi Rev'!I10-'Semi Rev'!E10)&gt;=1),('Semi OpInc'!I10-'Semi OpInc'!E10)/('Semi Rev'!I10-'Semi Rev'!E10),""),"")</f>
        <v/>
      </c>
      <c r="F1147" s="37">
        <f>IFERROR(IF(AND(ISNUMBER('Semi OpInc'!J10),ISNUMBER('Semi OpInc'!F10),ISNUMBER('Semi Rev'!J10),ISNUMBER('Semi Rev'!F10),ABS('Semi Rev'!J10-'Semi Rev'!F10)&gt;=1),('Semi OpInc'!J10-'Semi OpInc'!F10)/('Semi Rev'!J10-'Semi Rev'!F10),""),"")</f>
        <v/>
      </c>
      <c r="G1147" s="37">
        <f>IFERROR(IF(AND(ISNUMBER('Semi OpInc'!K10),ISNUMBER('Semi OpInc'!G10),ISNUMBER('Semi Rev'!K10),ISNUMBER('Semi Rev'!G10),ABS('Semi Rev'!K10-'Semi Rev'!G10)&gt;=1),('Semi OpInc'!K10-'Semi OpInc'!G10)/('Semi Rev'!K10-'Semi Rev'!G10),""),"")</f>
        <v/>
      </c>
      <c r="H1147" s="37">
        <f>IFERROR(IF(AND(ISNUMBER('Semi OpInc'!L10),ISNUMBER('Semi OpInc'!H10),ISNUMBER('Semi Rev'!L10),ISNUMBER('Semi Rev'!H10),ABS('Semi Rev'!L10-'Semi Rev'!H10)&gt;=1),('Semi OpInc'!L10-'Semi OpInc'!H10)/('Semi Rev'!L10-'Semi Rev'!H10),""),"")</f>
        <v/>
      </c>
      <c r="I1147" s="37">
        <f>IFERROR(IF(AND(ISNUMBER('Semi OpInc'!M10),ISNUMBER('Semi OpInc'!I10),ISNUMBER('Semi Rev'!M10),ISNUMBER('Semi Rev'!I10),ABS('Semi Rev'!M10-'Semi Rev'!I10)&gt;=1),('Semi OpInc'!M10-'Semi OpInc'!I10)/('Semi Rev'!M10-'Semi Rev'!I10),""),"")</f>
        <v/>
      </c>
      <c r="J1147" s="37">
        <f>IFERROR(IF(AND(ISNUMBER('Semi OpInc'!N10),ISNUMBER('Semi OpInc'!J10),ISNUMBER('Semi Rev'!N10),ISNUMBER('Semi Rev'!J10),ABS('Semi Rev'!N10-'Semi Rev'!J10)&gt;=1),('Semi OpInc'!N10-'Semi OpInc'!J10)/('Semi Rev'!N10-'Semi Rev'!J10),""),"")</f>
        <v/>
      </c>
      <c r="K1147" s="37">
        <f>IFERROR(IF(AND(ISNUMBER('Semi OpInc'!O10),ISNUMBER('Semi OpInc'!K10),ISNUMBER('Semi Rev'!O10),ISNUMBER('Semi Rev'!K10),ABS('Semi Rev'!O10-'Semi Rev'!K10)&gt;=1),('Semi OpInc'!O10-'Semi OpInc'!K10)/('Semi Rev'!O10-'Semi Rev'!K10),""),"")</f>
        <v/>
      </c>
      <c r="L1147" s="37">
        <f>IFERROR(IF(AND(ISNUMBER('Semi OpInc'!P10),ISNUMBER('Semi OpInc'!L10),ISNUMBER('Semi Rev'!P10),ISNUMBER('Semi Rev'!L10),ABS('Semi Rev'!P10-'Semi Rev'!L10)&gt;=1),('Semi OpInc'!P10-'Semi OpInc'!L10)/('Semi Rev'!P10-'Semi Rev'!L10),""),"")</f>
        <v/>
      </c>
      <c r="M1147" s="38">
        <f>IFERROR(IF(AND(ISNUMBER('Semi OpInc'!Q10),ISNUMBER('Semi OpInc'!M10),ISNUMBER('Semi Rev'!Q10),ISNUMBER('Semi Rev'!M10),ABS('Semi Rev'!Q10-'Semi Rev'!M10)&gt;=1),('Semi OpInc'!Q10-'Semi OpInc'!M10)/('Semi Rev'!Q10-'Semi Rev'!M10),""),"")</f>
        <v/>
      </c>
      <c r="N1147" s="38">
        <f>IFERROR(IF(AND(ISNUMBER('Semi OpInc'!R10),ISNUMBER('Semi OpInc'!N10),ISNUMBER('Semi Rev'!R10),ISNUMBER('Semi Rev'!N10),ABS('Semi Rev'!R10-'Semi Rev'!N10)&gt;=1),('Semi OpInc'!R10-'Semi OpInc'!N10)/('Semi Rev'!R10-'Semi Rev'!N10),""),"")</f>
        <v/>
      </c>
    </row>
    <row r="1148">
      <c r="A1148" s="19">
        <f>'Semi Rev'!$A11</f>
        <v/>
      </c>
      <c r="B1148" s="19">
        <f>'Semi Rev'!$B11</f>
        <v/>
      </c>
      <c r="C1148" s="37">
        <f>IFERROR(IF(AND(ISNUMBER('Semi OpInc'!G11),ISNUMBER('Semi OpInc'!C11),ISNUMBER('Semi Rev'!G11),ISNUMBER('Semi Rev'!C11),ABS('Semi Rev'!G11-'Semi Rev'!C11)&gt;=1),('Semi OpInc'!G11-'Semi OpInc'!C11)/('Semi Rev'!G11-'Semi Rev'!C11),""),"")</f>
        <v/>
      </c>
      <c r="D1148" s="37">
        <f>IFERROR(IF(AND(ISNUMBER('Semi OpInc'!H11),ISNUMBER('Semi OpInc'!D11),ISNUMBER('Semi Rev'!H11),ISNUMBER('Semi Rev'!D11),ABS('Semi Rev'!H11-'Semi Rev'!D11)&gt;=1),('Semi OpInc'!H11-'Semi OpInc'!D11)/('Semi Rev'!H11-'Semi Rev'!D11),""),"")</f>
        <v/>
      </c>
      <c r="E1148" s="37">
        <f>IFERROR(IF(AND(ISNUMBER('Semi OpInc'!I11),ISNUMBER('Semi OpInc'!E11),ISNUMBER('Semi Rev'!I11),ISNUMBER('Semi Rev'!E11),ABS('Semi Rev'!I11-'Semi Rev'!E11)&gt;=1),('Semi OpInc'!I11-'Semi OpInc'!E11)/('Semi Rev'!I11-'Semi Rev'!E11),""),"")</f>
        <v/>
      </c>
      <c r="F1148" s="37">
        <f>IFERROR(IF(AND(ISNUMBER('Semi OpInc'!J11),ISNUMBER('Semi OpInc'!F11),ISNUMBER('Semi Rev'!J11),ISNUMBER('Semi Rev'!F11),ABS('Semi Rev'!J11-'Semi Rev'!F11)&gt;=1),('Semi OpInc'!J11-'Semi OpInc'!F11)/('Semi Rev'!J11-'Semi Rev'!F11),""),"")</f>
        <v/>
      </c>
      <c r="G1148" s="37">
        <f>IFERROR(IF(AND(ISNUMBER('Semi OpInc'!K11),ISNUMBER('Semi OpInc'!G11),ISNUMBER('Semi Rev'!K11),ISNUMBER('Semi Rev'!G11),ABS('Semi Rev'!K11-'Semi Rev'!G11)&gt;=1),('Semi OpInc'!K11-'Semi OpInc'!G11)/('Semi Rev'!K11-'Semi Rev'!G11),""),"")</f>
        <v/>
      </c>
      <c r="H1148" s="37">
        <f>IFERROR(IF(AND(ISNUMBER('Semi OpInc'!L11),ISNUMBER('Semi OpInc'!H11),ISNUMBER('Semi Rev'!L11),ISNUMBER('Semi Rev'!H11),ABS('Semi Rev'!L11-'Semi Rev'!H11)&gt;=1),('Semi OpInc'!L11-'Semi OpInc'!H11)/('Semi Rev'!L11-'Semi Rev'!H11),""),"")</f>
        <v/>
      </c>
      <c r="I1148" s="37">
        <f>IFERROR(IF(AND(ISNUMBER('Semi OpInc'!M11),ISNUMBER('Semi OpInc'!I11),ISNUMBER('Semi Rev'!M11),ISNUMBER('Semi Rev'!I11),ABS('Semi Rev'!M11-'Semi Rev'!I11)&gt;=1),('Semi OpInc'!M11-'Semi OpInc'!I11)/('Semi Rev'!M11-'Semi Rev'!I11),""),"")</f>
        <v/>
      </c>
      <c r="J1148" s="37">
        <f>IFERROR(IF(AND(ISNUMBER('Semi OpInc'!N11),ISNUMBER('Semi OpInc'!J11),ISNUMBER('Semi Rev'!N11),ISNUMBER('Semi Rev'!J11),ABS('Semi Rev'!N11-'Semi Rev'!J11)&gt;=1),('Semi OpInc'!N11-'Semi OpInc'!J11)/('Semi Rev'!N11-'Semi Rev'!J11),""),"")</f>
        <v/>
      </c>
      <c r="K1148" s="37">
        <f>IFERROR(IF(AND(ISNUMBER('Semi OpInc'!O11),ISNUMBER('Semi OpInc'!K11),ISNUMBER('Semi Rev'!O11),ISNUMBER('Semi Rev'!K11),ABS('Semi Rev'!O11-'Semi Rev'!K11)&gt;=1),('Semi OpInc'!O11-'Semi OpInc'!K11)/('Semi Rev'!O11-'Semi Rev'!K11),""),"")</f>
        <v/>
      </c>
      <c r="L1148" s="37">
        <f>IFERROR(IF(AND(ISNUMBER('Semi OpInc'!P11),ISNUMBER('Semi OpInc'!L11),ISNUMBER('Semi Rev'!P11),ISNUMBER('Semi Rev'!L11),ABS('Semi Rev'!P11-'Semi Rev'!L11)&gt;=1),('Semi OpInc'!P11-'Semi OpInc'!L11)/('Semi Rev'!P11-'Semi Rev'!L11),""),"")</f>
        <v/>
      </c>
      <c r="M1148" s="38">
        <f>IFERROR(IF(AND(ISNUMBER('Semi OpInc'!Q11),ISNUMBER('Semi OpInc'!M11),ISNUMBER('Semi Rev'!Q11),ISNUMBER('Semi Rev'!M11),ABS('Semi Rev'!Q11-'Semi Rev'!M11)&gt;=1),('Semi OpInc'!Q11-'Semi OpInc'!M11)/('Semi Rev'!Q11-'Semi Rev'!M11),""),"")</f>
        <v/>
      </c>
      <c r="N1148" s="38">
        <f>IFERROR(IF(AND(ISNUMBER('Semi OpInc'!R11),ISNUMBER('Semi OpInc'!N11),ISNUMBER('Semi Rev'!R11),ISNUMBER('Semi Rev'!N11),ABS('Semi Rev'!R11-'Semi Rev'!N11)&gt;=1),('Semi OpInc'!R11-'Semi OpInc'!N11)/('Semi Rev'!R11-'Semi Rev'!N11),""),"")</f>
        <v/>
      </c>
    </row>
    <row r="1149">
      <c r="A1149" s="19">
        <f>'Semi Rev'!$A12</f>
        <v/>
      </c>
      <c r="B1149" s="19">
        <f>'Semi Rev'!$B12</f>
        <v/>
      </c>
      <c r="C1149" s="37">
        <f>IFERROR(IF(AND(ISNUMBER('Semi OpInc'!G12),ISNUMBER('Semi OpInc'!C12),ISNUMBER('Semi Rev'!G12),ISNUMBER('Semi Rev'!C12),ABS('Semi Rev'!G12-'Semi Rev'!C12)&gt;=1),('Semi OpInc'!G12-'Semi OpInc'!C12)/('Semi Rev'!G12-'Semi Rev'!C12),""),"")</f>
        <v/>
      </c>
      <c r="D1149" s="37">
        <f>IFERROR(IF(AND(ISNUMBER('Semi OpInc'!H12),ISNUMBER('Semi OpInc'!D12),ISNUMBER('Semi Rev'!H12),ISNUMBER('Semi Rev'!D12),ABS('Semi Rev'!H12-'Semi Rev'!D12)&gt;=1),('Semi OpInc'!H12-'Semi OpInc'!D12)/('Semi Rev'!H12-'Semi Rev'!D12),""),"")</f>
        <v/>
      </c>
      <c r="E1149" s="37">
        <f>IFERROR(IF(AND(ISNUMBER('Semi OpInc'!I12),ISNUMBER('Semi OpInc'!E12),ISNUMBER('Semi Rev'!I12),ISNUMBER('Semi Rev'!E12),ABS('Semi Rev'!I12-'Semi Rev'!E12)&gt;=1),('Semi OpInc'!I12-'Semi OpInc'!E12)/('Semi Rev'!I12-'Semi Rev'!E12),""),"")</f>
        <v/>
      </c>
      <c r="F1149" s="37">
        <f>IFERROR(IF(AND(ISNUMBER('Semi OpInc'!J12),ISNUMBER('Semi OpInc'!F12),ISNUMBER('Semi Rev'!J12),ISNUMBER('Semi Rev'!F12),ABS('Semi Rev'!J12-'Semi Rev'!F12)&gt;=1),('Semi OpInc'!J12-'Semi OpInc'!F12)/('Semi Rev'!J12-'Semi Rev'!F12),""),"")</f>
        <v/>
      </c>
      <c r="G1149" s="37">
        <f>IFERROR(IF(AND(ISNUMBER('Semi OpInc'!K12),ISNUMBER('Semi OpInc'!G12),ISNUMBER('Semi Rev'!K12),ISNUMBER('Semi Rev'!G12),ABS('Semi Rev'!K12-'Semi Rev'!G12)&gt;=1),('Semi OpInc'!K12-'Semi OpInc'!G12)/('Semi Rev'!K12-'Semi Rev'!G12),""),"")</f>
        <v/>
      </c>
      <c r="H1149" s="37">
        <f>IFERROR(IF(AND(ISNUMBER('Semi OpInc'!L12),ISNUMBER('Semi OpInc'!H12),ISNUMBER('Semi Rev'!L12),ISNUMBER('Semi Rev'!H12),ABS('Semi Rev'!L12-'Semi Rev'!H12)&gt;=1),('Semi OpInc'!L12-'Semi OpInc'!H12)/('Semi Rev'!L12-'Semi Rev'!H12),""),"")</f>
        <v/>
      </c>
      <c r="I1149" s="37">
        <f>IFERROR(IF(AND(ISNUMBER('Semi OpInc'!M12),ISNUMBER('Semi OpInc'!I12),ISNUMBER('Semi Rev'!M12),ISNUMBER('Semi Rev'!I12),ABS('Semi Rev'!M12-'Semi Rev'!I12)&gt;=1),('Semi OpInc'!M12-'Semi OpInc'!I12)/('Semi Rev'!M12-'Semi Rev'!I12),""),"")</f>
        <v/>
      </c>
      <c r="J1149" s="37">
        <f>IFERROR(IF(AND(ISNUMBER('Semi OpInc'!N12),ISNUMBER('Semi OpInc'!J12),ISNUMBER('Semi Rev'!N12),ISNUMBER('Semi Rev'!J12),ABS('Semi Rev'!N12-'Semi Rev'!J12)&gt;=1),('Semi OpInc'!N12-'Semi OpInc'!J12)/('Semi Rev'!N12-'Semi Rev'!J12),""),"")</f>
        <v/>
      </c>
      <c r="K1149" s="37">
        <f>IFERROR(IF(AND(ISNUMBER('Semi OpInc'!O12),ISNUMBER('Semi OpInc'!K12),ISNUMBER('Semi Rev'!O12),ISNUMBER('Semi Rev'!K12),ABS('Semi Rev'!O12-'Semi Rev'!K12)&gt;=1),('Semi OpInc'!O12-'Semi OpInc'!K12)/('Semi Rev'!O12-'Semi Rev'!K12),""),"")</f>
        <v/>
      </c>
      <c r="L1149" s="37">
        <f>IFERROR(IF(AND(ISNUMBER('Semi OpInc'!P12),ISNUMBER('Semi OpInc'!L12),ISNUMBER('Semi Rev'!P12),ISNUMBER('Semi Rev'!L12),ABS('Semi Rev'!P12-'Semi Rev'!L12)&gt;=1),('Semi OpInc'!P12-'Semi OpInc'!L12)/('Semi Rev'!P12-'Semi Rev'!L12),""),"")</f>
        <v/>
      </c>
      <c r="M1149" s="38">
        <f>IFERROR(IF(AND(ISNUMBER('Semi OpInc'!Q12),ISNUMBER('Semi OpInc'!M12),ISNUMBER('Semi Rev'!Q12),ISNUMBER('Semi Rev'!M12),ABS('Semi Rev'!Q12-'Semi Rev'!M12)&gt;=1),('Semi OpInc'!Q12-'Semi OpInc'!M12)/('Semi Rev'!Q12-'Semi Rev'!M12),""),"")</f>
        <v/>
      </c>
      <c r="N1149" s="38">
        <f>IFERROR(IF(AND(ISNUMBER('Semi OpInc'!R12),ISNUMBER('Semi OpInc'!N12),ISNUMBER('Semi Rev'!R12),ISNUMBER('Semi Rev'!N12),ABS('Semi Rev'!R12-'Semi Rev'!N12)&gt;=1),('Semi OpInc'!R12-'Semi OpInc'!N12)/('Semi Rev'!R12-'Semi Rev'!N12),""),"")</f>
        <v/>
      </c>
    </row>
    <row r="1150">
      <c r="A1150" s="19">
        <f>'Semi Rev'!$A13</f>
        <v/>
      </c>
      <c r="B1150" s="19">
        <f>'Semi Rev'!$B13</f>
        <v/>
      </c>
      <c r="C1150" s="37">
        <f>IFERROR(IF(AND(ISNUMBER('Semi OpInc'!G13),ISNUMBER('Semi OpInc'!C13),ISNUMBER('Semi Rev'!G13),ISNUMBER('Semi Rev'!C13),ABS('Semi Rev'!G13-'Semi Rev'!C13)&gt;=1),('Semi OpInc'!G13-'Semi OpInc'!C13)/('Semi Rev'!G13-'Semi Rev'!C13),""),"")</f>
        <v/>
      </c>
      <c r="D1150" s="37">
        <f>IFERROR(IF(AND(ISNUMBER('Semi OpInc'!H13),ISNUMBER('Semi OpInc'!D13),ISNUMBER('Semi Rev'!H13),ISNUMBER('Semi Rev'!D13),ABS('Semi Rev'!H13-'Semi Rev'!D13)&gt;=1),('Semi OpInc'!H13-'Semi OpInc'!D13)/('Semi Rev'!H13-'Semi Rev'!D13),""),"")</f>
        <v/>
      </c>
      <c r="E1150" s="37">
        <f>IFERROR(IF(AND(ISNUMBER('Semi OpInc'!I13),ISNUMBER('Semi OpInc'!E13),ISNUMBER('Semi Rev'!I13),ISNUMBER('Semi Rev'!E13),ABS('Semi Rev'!I13-'Semi Rev'!E13)&gt;=1),('Semi OpInc'!I13-'Semi OpInc'!E13)/('Semi Rev'!I13-'Semi Rev'!E13),""),"")</f>
        <v/>
      </c>
      <c r="F1150" s="37">
        <f>IFERROR(IF(AND(ISNUMBER('Semi OpInc'!J13),ISNUMBER('Semi OpInc'!F13),ISNUMBER('Semi Rev'!J13),ISNUMBER('Semi Rev'!F13),ABS('Semi Rev'!J13-'Semi Rev'!F13)&gt;=1),('Semi OpInc'!J13-'Semi OpInc'!F13)/('Semi Rev'!J13-'Semi Rev'!F13),""),"")</f>
        <v/>
      </c>
      <c r="G1150" s="37">
        <f>IFERROR(IF(AND(ISNUMBER('Semi OpInc'!K13),ISNUMBER('Semi OpInc'!G13),ISNUMBER('Semi Rev'!K13),ISNUMBER('Semi Rev'!G13),ABS('Semi Rev'!K13-'Semi Rev'!G13)&gt;=1),('Semi OpInc'!K13-'Semi OpInc'!G13)/('Semi Rev'!K13-'Semi Rev'!G13),""),"")</f>
        <v/>
      </c>
      <c r="H1150" s="37">
        <f>IFERROR(IF(AND(ISNUMBER('Semi OpInc'!L13),ISNUMBER('Semi OpInc'!H13),ISNUMBER('Semi Rev'!L13),ISNUMBER('Semi Rev'!H13),ABS('Semi Rev'!L13-'Semi Rev'!H13)&gt;=1),('Semi OpInc'!L13-'Semi OpInc'!H13)/('Semi Rev'!L13-'Semi Rev'!H13),""),"")</f>
        <v/>
      </c>
      <c r="I1150" s="37">
        <f>IFERROR(IF(AND(ISNUMBER('Semi OpInc'!M13),ISNUMBER('Semi OpInc'!I13),ISNUMBER('Semi Rev'!M13),ISNUMBER('Semi Rev'!I13),ABS('Semi Rev'!M13-'Semi Rev'!I13)&gt;=1),('Semi OpInc'!M13-'Semi OpInc'!I13)/('Semi Rev'!M13-'Semi Rev'!I13),""),"")</f>
        <v/>
      </c>
      <c r="J1150" s="37">
        <f>IFERROR(IF(AND(ISNUMBER('Semi OpInc'!N13),ISNUMBER('Semi OpInc'!J13),ISNUMBER('Semi Rev'!N13),ISNUMBER('Semi Rev'!J13),ABS('Semi Rev'!N13-'Semi Rev'!J13)&gt;=1),('Semi OpInc'!N13-'Semi OpInc'!J13)/('Semi Rev'!N13-'Semi Rev'!J13),""),"")</f>
        <v/>
      </c>
      <c r="K1150" s="37">
        <f>IFERROR(IF(AND(ISNUMBER('Semi OpInc'!O13),ISNUMBER('Semi OpInc'!K13),ISNUMBER('Semi Rev'!O13),ISNUMBER('Semi Rev'!K13),ABS('Semi Rev'!O13-'Semi Rev'!K13)&gt;=1),('Semi OpInc'!O13-'Semi OpInc'!K13)/('Semi Rev'!O13-'Semi Rev'!K13),""),"")</f>
        <v/>
      </c>
      <c r="L1150" s="37">
        <f>IFERROR(IF(AND(ISNUMBER('Semi OpInc'!P13),ISNUMBER('Semi OpInc'!L13),ISNUMBER('Semi Rev'!P13),ISNUMBER('Semi Rev'!L13),ABS('Semi Rev'!P13-'Semi Rev'!L13)&gt;=1),('Semi OpInc'!P13-'Semi OpInc'!L13)/('Semi Rev'!P13-'Semi Rev'!L13),""),"")</f>
        <v/>
      </c>
      <c r="M1150" s="38">
        <f>IFERROR(IF(AND(ISNUMBER('Semi OpInc'!Q13),ISNUMBER('Semi OpInc'!M13),ISNUMBER('Semi Rev'!Q13),ISNUMBER('Semi Rev'!M13),ABS('Semi Rev'!Q13-'Semi Rev'!M13)&gt;=1),('Semi OpInc'!Q13-'Semi OpInc'!M13)/('Semi Rev'!Q13-'Semi Rev'!M13),""),"")</f>
        <v/>
      </c>
      <c r="N1150" s="38">
        <f>IFERROR(IF(AND(ISNUMBER('Semi OpInc'!R13),ISNUMBER('Semi OpInc'!N13),ISNUMBER('Semi Rev'!R13),ISNUMBER('Semi Rev'!N13),ABS('Semi Rev'!R13-'Semi Rev'!N13)&gt;=1),('Semi OpInc'!R13-'Semi OpInc'!N13)/('Semi Rev'!R13-'Semi Rev'!N13),""),"")</f>
        <v/>
      </c>
    </row>
    <row r="1151">
      <c r="A1151" s="19">
        <f>'Semi Rev'!$A14</f>
        <v/>
      </c>
      <c r="B1151" s="19">
        <f>'Semi Rev'!$B14</f>
        <v/>
      </c>
      <c r="C1151" s="37">
        <f>IFERROR(IF(AND(ISNUMBER('Semi OpInc'!G14),ISNUMBER('Semi OpInc'!C14),ISNUMBER('Semi Rev'!G14),ISNUMBER('Semi Rev'!C14),ABS('Semi Rev'!G14-'Semi Rev'!C14)&gt;=1),('Semi OpInc'!G14-'Semi OpInc'!C14)/('Semi Rev'!G14-'Semi Rev'!C14),""),"")</f>
        <v/>
      </c>
      <c r="D1151" s="37">
        <f>IFERROR(IF(AND(ISNUMBER('Semi OpInc'!H14),ISNUMBER('Semi OpInc'!D14),ISNUMBER('Semi Rev'!H14),ISNUMBER('Semi Rev'!D14),ABS('Semi Rev'!H14-'Semi Rev'!D14)&gt;=1),('Semi OpInc'!H14-'Semi OpInc'!D14)/('Semi Rev'!H14-'Semi Rev'!D14),""),"")</f>
        <v/>
      </c>
      <c r="E1151" s="37">
        <f>IFERROR(IF(AND(ISNUMBER('Semi OpInc'!I14),ISNUMBER('Semi OpInc'!E14),ISNUMBER('Semi Rev'!I14),ISNUMBER('Semi Rev'!E14),ABS('Semi Rev'!I14-'Semi Rev'!E14)&gt;=1),('Semi OpInc'!I14-'Semi OpInc'!E14)/('Semi Rev'!I14-'Semi Rev'!E14),""),"")</f>
        <v/>
      </c>
      <c r="F1151" s="37">
        <f>IFERROR(IF(AND(ISNUMBER('Semi OpInc'!J14),ISNUMBER('Semi OpInc'!F14),ISNUMBER('Semi Rev'!J14),ISNUMBER('Semi Rev'!F14),ABS('Semi Rev'!J14-'Semi Rev'!F14)&gt;=1),('Semi OpInc'!J14-'Semi OpInc'!F14)/('Semi Rev'!J14-'Semi Rev'!F14),""),"")</f>
        <v/>
      </c>
      <c r="G1151" s="37">
        <f>IFERROR(IF(AND(ISNUMBER('Semi OpInc'!K14),ISNUMBER('Semi OpInc'!G14),ISNUMBER('Semi Rev'!K14),ISNUMBER('Semi Rev'!G14),ABS('Semi Rev'!K14-'Semi Rev'!G14)&gt;=1),('Semi OpInc'!K14-'Semi OpInc'!G14)/('Semi Rev'!K14-'Semi Rev'!G14),""),"")</f>
        <v/>
      </c>
      <c r="H1151" s="37">
        <f>IFERROR(IF(AND(ISNUMBER('Semi OpInc'!L14),ISNUMBER('Semi OpInc'!H14),ISNUMBER('Semi Rev'!L14),ISNUMBER('Semi Rev'!H14),ABS('Semi Rev'!L14-'Semi Rev'!H14)&gt;=1),('Semi OpInc'!L14-'Semi OpInc'!H14)/('Semi Rev'!L14-'Semi Rev'!H14),""),"")</f>
        <v/>
      </c>
      <c r="I1151" s="37">
        <f>IFERROR(IF(AND(ISNUMBER('Semi OpInc'!M14),ISNUMBER('Semi OpInc'!I14),ISNUMBER('Semi Rev'!M14),ISNUMBER('Semi Rev'!I14),ABS('Semi Rev'!M14-'Semi Rev'!I14)&gt;=1),('Semi OpInc'!M14-'Semi OpInc'!I14)/('Semi Rev'!M14-'Semi Rev'!I14),""),"")</f>
        <v/>
      </c>
      <c r="J1151" s="37">
        <f>IFERROR(IF(AND(ISNUMBER('Semi OpInc'!N14),ISNUMBER('Semi OpInc'!J14),ISNUMBER('Semi Rev'!N14),ISNUMBER('Semi Rev'!J14),ABS('Semi Rev'!N14-'Semi Rev'!J14)&gt;=1),('Semi OpInc'!N14-'Semi OpInc'!J14)/('Semi Rev'!N14-'Semi Rev'!J14),""),"")</f>
        <v/>
      </c>
      <c r="K1151" s="37">
        <f>IFERROR(IF(AND(ISNUMBER('Semi OpInc'!O14),ISNUMBER('Semi OpInc'!K14),ISNUMBER('Semi Rev'!O14),ISNUMBER('Semi Rev'!K14),ABS('Semi Rev'!O14-'Semi Rev'!K14)&gt;=1),('Semi OpInc'!O14-'Semi OpInc'!K14)/('Semi Rev'!O14-'Semi Rev'!K14),""),"")</f>
        <v/>
      </c>
      <c r="L1151" s="37">
        <f>IFERROR(IF(AND(ISNUMBER('Semi OpInc'!P14),ISNUMBER('Semi OpInc'!L14),ISNUMBER('Semi Rev'!P14),ISNUMBER('Semi Rev'!L14),ABS('Semi Rev'!P14-'Semi Rev'!L14)&gt;=1),('Semi OpInc'!P14-'Semi OpInc'!L14)/('Semi Rev'!P14-'Semi Rev'!L14),""),"")</f>
        <v/>
      </c>
      <c r="M1151" s="38">
        <f>IFERROR(IF(AND(ISNUMBER('Semi OpInc'!Q14),ISNUMBER('Semi OpInc'!M14),ISNUMBER('Semi Rev'!Q14),ISNUMBER('Semi Rev'!M14),ABS('Semi Rev'!Q14-'Semi Rev'!M14)&gt;=1),('Semi OpInc'!Q14-'Semi OpInc'!M14)/('Semi Rev'!Q14-'Semi Rev'!M14),""),"")</f>
        <v/>
      </c>
      <c r="N1151" s="38">
        <f>IFERROR(IF(AND(ISNUMBER('Semi OpInc'!R14),ISNUMBER('Semi OpInc'!N14),ISNUMBER('Semi Rev'!R14),ISNUMBER('Semi Rev'!N14),ABS('Semi Rev'!R14-'Semi Rev'!N14)&gt;=1),('Semi OpInc'!R14-'Semi OpInc'!N14)/('Semi Rev'!R14-'Semi Rev'!N14),""),"")</f>
        <v/>
      </c>
    </row>
    <row r="1152">
      <c r="A1152" s="19">
        <f>'Semi Rev'!$A15</f>
        <v/>
      </c>
      <c r="B1152" s="19">
        <f>'Semi Rev'!$B15</f>
        <v/>
      </c>
      <c r="C1152" s="37">
        <f>IFERROR(IF(AND(ISNUMBER('Semi OpInc'!G15),ISNUMBER('Semi OpInc'!C15),ISNUMBER('Semi Rev'!G15),ISNUMBER('Semi Rev'!C15),ABS('Semi Rev'!G15-'Semi Rev'!C15)&gt;=1),('Semi OpInc'!G15-'Semi OpInc'!C15)/('Semi Rev'!G15-'Semi Rev'!C15),""),"")</f>
        <v/>
      </c>
      <c r="D1152" s="37">
        <f>IFERROR(IF(AND(ISNUMBER('Semi OpInc'!H15),ISNUMBER('Semi OpInc'!D15),ISNUMBER('Semi Rev'!H15),ISNUMBER('Semi Rev'!D15),ABS('Semi Rev'!H15-'Semi Rev'!D15)&gt;=1),('Semi OpInc'!H15-'Semi OpInc'!D15)/('Semi Rev'!H15-'Semi Rev'!D15),""),"")</f>
        <v/>
      </c>
      <c r="E1152" s="37">
        <f>IFERROR(IF(AND(ISNUMBER('Semi OpInc'!I15),ISNUMBER('Semi OpInc'!E15),ISNUMBER('Semi Rev'!I15),ISNUMBER('Semi Rev'!E15),ABS('Semi Rev'!I15-'Semi Rev'!E15)&gt;=1),('Semi OpInc'!I15-'Semi OpInc'!E15)/('Semi Rev'!I15-'Semi Rev'!E15),""),"")</f>
        <v/>
      </c>
      <c r="F1152" s="37">
        <f>IFERROR(IF(AND(ISNUMBER('Semi OpInc'!J15),ISNUMBER('Semi OpInc'!F15),ISNUMBER('Semi Rev'!J15),ISNUMBER('Semi Rev'!F15),ABS('Semi Rev'!J15-'Semi Rev'!F15)&gt;=1),('Semi OpInc'!J15-'Semi OpInc'!F15)/('Semi Rev'!J15-'Semi Rev'!F15),""),"")</f>
        <v/>
      </c>
      <c r="G1152" s="37">
        <f>IFERROR(IF(AND(ISNUMBER('Semi OpInc'!K15),ISNUMBER('Semi OpInc'!G15),ISNUMBER('Semi Rev'!K15),ISNUMBER('Semi Rev'!G15),ABS('Semi Rev'!K15-'Semi Rev'!G15)&gt;=1),('Semi OpInc'!K15-'Semi OpInc'!G15)/('Semi Rev'!K15-'Semi Rev'!G15),""),"")</f>
        <v/>
      </c>
      <c r="H1152" s="37">
        <f>IFERROR(IF(AND(ISNUMBER('Semi OpInc'!L15),ISNUMBER('Semi OpInc'!H15),ISNUMBER('Semi Rev'!L15),ISNUMBER('Semi Rev'!H15),ABS('Semi Rev'!L15-'Semi Rev'!H15)&gt;=1),('Semi OpInc'!L15-'Semi OpInc'!H15)/('Semi Rev'!L15-'Semi Rev'!H15),""),"")</f>
        <v/>
      </c>
      <c r="I1152" s="37">
        <f>IFERROR(IF(AND(ISNUMBER('Semi OpInc'!M15),ISNUMBER('Semi OpInc'!I15),ISNUMBER('Semi Rev'!M15),ISNUMBER('Semi Rev'!I15),ABS('Semi Rev'!M15-'Semi Rev'!I15)&gt;=1),('Semi OpInc'!M15-'Semi OpInc'!I15)/('Semi Rev'!M15-'Semi Rev'!I15),""),"")</f>
        <v/>
      </c>
      <c r="J1152" s="37">
        <f>IFERROR(IF(AND(ISNUMBER('Semi OpInc'!N15),ISNUMBER('Semi OpInc'!J15),ISNUMBER('Semi Rev'!N15),ISNUMBER('Semi Rev'!J15),ABS('Semi Rev'!N15-'Semi Rev'!J15)&gt;=1),('Semi OpInc'!N15-'Semi OpInc'!J15)/('Semi Rev'!N15-'Semi Rev'!J15),""),"")</f>
        <v/>
      </c>
      <c r="K1152" s="37">
        <f>IFERROR(IF(AND(ISNUMBER('Semi OpInc'!O15),ISNUMBER('Semi OpInc'!K15),ISNUMBER('Semi Rev'!O15),ISNUMBER('Semi Rev'!K15),ABS('Semi Rev'!O15-'Semi Rev'!K15)&gt;=1),('Semi OpInc'!O15-'Semi OpInc'!K15)/('Semi Rev'!O15-'Semi Rev'!K15),""),"")</f>
        <v/>
      </c>
      <c r="L1152" s="37">
        <f>IFERROR(IF(AND(ISNUMBER('Semi OpInc'!P15),ISNUMBER('Semi OpInc'!L15),ISNUMBER('Semi Rev'!P15),ISNUMBER('Semi Rev'!L15),ABS('Semi Rev'!P15-'Semi Rev'!L15)&gt;=1),('Semi OpInc'!P15-'Semi OpInc'!L15)/('Semi Rev'!P15-'Semi Rev'!L15),""),"")</f>
        <v/>
      </c>
      <c r="M1152" s="38">
        <f>IFERROR(IF(AND(ISNUMBER('Semi OpInc'!Q15),ISNUMBER('Semi OpInc'!M15),ISNUMBER('Semi Rev'!Q15),ISNUMBER('Semi Rev'!M15),ABS('Semi Rev'!Q15-'Semi Rev'!M15)&gt;=1),('Semi OpInc'!Q15-'Semi OpInc'!M15)/('Semi Rev'!Q15-'Semi Rev'!M15),""),"")</f>
        <v/>
      </c>
      <c r="N1152" s="38">
        <f>IFERROR(IF(AND(ISNUMBER('Semi OpInc'!R15),ISNUMBER('Semi OpInc'!N15),ISNUMBER('Semi Rev'!R15),ISNUMBER('Semi Rev'!N15),ABS('Semi Rev'!R15-'Semi Rev'!N15)&gt;=1),('Semi OpInc'!R15-'Semi OpInc'!N15)/('Semi Rev'!R15-'Semi Rev'!N15),""),"")</f>
        <v/>
      </c>
    </row>
    <row r="1153">
      <c r="A1153" s="19">
        <f>'Semi Rev'!$A16</f>
        <v/>
      </c>
      <c r="B1153" s="19">
        <f>'Semi Rev'!$B16</f>
        <v/>
      </c>
      <c r="C1153" s="37">
        <f>IFERROR(IF(AND(ISNUMBER('Semi OpInc'!G16),ISNUMBER('Semi OpInc'!C16),ISNUMBER('Semi Rev'!G16),ISNUMBER('Semi Rev'!C16),ABS('Semi Rev'!G16-'Semi Rev'!C16)&gt;=1),('Semi OpInc'!G16-'Semi OpInc'!C16)/('Semi Rev'!G16-'Semi Rev'!C16),""),"")</f>
        <v/>
      </c>
      <c r="D1153" s="37">
        <f>IFERROR(IF(AND(ISNUMBER('Semi OpInc'!H16),ISNUMBER('Semi OpInc'!D16),ISNUMBER('Semi Rev'!H16),ISNUMBER('Semi Rev'!D16),ABS('Semi Rev'!H16-'Semi Rev'!D16)&gt;=1),('Semi OpInc'!H16-'Semi OpInc'!D16)/('Semi Rev'!H16-'Semi Rev'!D16),""),"")</f>
        <v/>
      </c>
      <c r="E1153" s="37">
        <f>IFERROR(IF(AND(ISNUMBER('Semi OpInc'!I16),ISNUMBER('Semi OpInc'!E16),ISNUMBER('Semi Rev'!I16),ISNUMBER('Semi Rev'!E16),ABS('Semi Rev'!I16-'Semi Rev'!E16)&gt;=1),('Semi OpInc'!I16-'Semi OpInc'!E16)/('Semi Rev'!I16-'Semi Rev'!E16),""),"")</f>
        <v/>
      </c>
      <c r="F1153" s="37">
        <f>IFERROR(IF(AND(ISNUMBER('Semi OpInc'!J16),ISNUMBER('Semi OpInc'!F16),ISNUMBER('Semi Rev'!J16),ISNUMBER('Semi Rev'!F16),ABS('Semi Rev'!J16-'Semi Rev'!F16)&gt;=1),('Semi OpInc'!J16-'Semi OpInc'!F16)/('Semi Rev'!J16-'Semi Rev'!F16),""),"")</f>
        <v/>
      </c>
      <c r="G1153" s="37">
        <f>IFERROR(IF(AND(ISNUMBER('Semi OpInc'!K16),ISNUMBER('Semi OpInc'!G16),ISNUMBER('Semi Rev'!K16),ISNUMBER('Semi Rev'!G16),ABS('Semi Rev'!K16-'Semi Rev'!G16)&gt;=1),('Semi OpInc'!K16-'Semi OpInc'!G16)/('Semi Rev'!K16-'Semi Rev'!G16),""),"")</f>
        <v/>
      </c>
      <c r="H1153" s="37">
        <f>IFERROR(IF(AND(ISNUMBER('Semi OpInc'!L16),ISNUMBER('Semi OpInc'!H16),ISNUMBER('Semi Rev'!L16),ISNUMBER('Semi Rev'!H16),ABS('Semi Rev'!L16-'Semi Rev'!H16)&gt;=1),('Semi OpInc'!L16-'Semi OpInc'!H16)/('Semi Rev'!L16-'Semi Rev'!H16),""),"")</f>
        <v/>
      </c>
      <c r="I1153" s="37">
        <f>IFERROR(IF(AND(ISNUMBER('Semi OpInc'!M16),ISNUMBER('Semi OpInc'!I16),ISNUMBER('Semi Rev'!M16),ISNUMBER('Semi Rev'!I16),ABS('Semi Rev'!M16-'Semi Rev'!I16)&gt;=1),('Semi OpInc'!M16-'Semi OpInc'!I16)/('Semi Rev'!M16-'Semi Rev'!I16),""),"")</f>
        <v/>
      </c>
      <c r="J1153" s="37">
        <f>IFERROR(IF(AND(ISNUMBER('Semi OpInc'!N16),ISNUMBER('Semi OpInc'!J16),ISNUMBER('Semi Rev'!N16),ISNUMBER('Semi Rev'!J16),ABS('Semi Rev'!N16-'Semi Rev'!J16)&gt;=1),('Semi OpInc'!N16-'Semi OpInc'!J16)/('Semi Rev'!N16-'Semi Rev'!J16),""),"")</f>
        <v/>
      </c>
      <c r="K1153" s="37">
        <f>IFERROR(IF(AND(ISNUMBER('Semi OpInc'!O16),ISNUMBER('Semi OpInc'!K16),ISNUMBER('Semi Rev'!O16),ISNUMBER('Semi Rev'!K16),ABS('Semi Rev'!O16-'Semi Rev'!K16)&gt;=1),('Semi OpInc'!O16-'Semi OpInc'!K16)/('Semi Rev'!O16-'Semi Rev'!K16),""),"")</f>
        <v/>
      </c>
      <c r="L1153" s="37">
        <f>IFERROR(IF(AND(ISNUMBER('Semi OpInc'!P16),ISNUMBER('Semi OpInc'!L16),ISNUMBER('Semi Rev'!P16),ISNUMBER('Semi Rev'!L16),ABS('Semi Rev'!P16-'Semi Rev'!L16)&gt;=1),('Semi OpInc'!P16-'Semi OpInc'!L16)/('Semi Rev'!P16-'Semi Rev'!L16),""),"")</f>
        <v/>
      </c>
      <c r="M1153" s="38">
        <f>IFERROR(IF(AND(ISNUMBER('Semi OpInc'!Q16),ISNUMBER('Semi OpInc'!M16),ISNUMBER('Semi Rev'!Q16),ISNUMBER('Semi Rev'!M16),ABS('Semi Rev'!Q16-'Semi Rev'!M16)&gt;=1),('Semi OpInc'!Q16-'Semi OpInc'!M16)/('Semi Rev'!Q16-'Semi Rev'!M16),""),"")</f>
        <v/>
      </c>
      <c r="N1153" s="38">
        <f>IFERROR(IF(AND(ISNUMBER('Semi OpInc'!R16),ISNUMBER('Semi OpInc'!N16),ISNUMBER('Semi Rev'!R16),ISNUMBER('Semi Rev'!N16),ABS('Semi Rev'!R16-'Semi Rev'!N16)&gt;=1),('Semi OpInc'!R16-'Semi OpInc'!N16)/('Semi Rev'!R16-'Semi Rev'!N16),""),"")</f>
        <v/>
      </c>
    </row>
    <row r="1154">
      <c r="A1154" s="19">
        <f>'Semi Rev'!$A17</f>
        <v/>
      </c>
      <c r="B1154" s="19">
        <f>'Semi Rev'!$B17</f>
        <v/>
      </c>
      <c r="C1154" s="37">
        <f>IFERROR(IF(AND(ISNUMBER('Semi OpInc'!G17),ISNUMBER('Semi OpInc'!C17),ISNUMBER('Semi Rev'!G17),ISNUMBER('Semi Rev'!C17),ABS('Semi Rev'!G17-'Semi Rev'!C17)&gt;=1),('Semi OpInc'!G17-'Semi OpInc'!C17)/('Semi Rev'!G17-'Semi Rev'!C17),""),"")</f>
        <v/>
      </c>
      <c r="D1154" s="37">
        <f>IFERROR(IF(AND(ISNUMBER('Semi OpInc'!H17),ISNUMBER('Semi OpInc'!D17),ISNUMBER('Semi Rev'!H17),ISNUMBER('Semi Rev'!D17),ABS('Semi Rev'!H17-'Semi Rev'!D17)&gt;=1),('Semi OpInc'!H17-'Semi OpInc'!D17)/('Semi Rev'!H17-'Semi Rev'!D17),""),"")</f>
        <v/>
      </c>
      <c r="E1154" s="37">
        <f>IFERROR(IF(AND(ISNUMBER('Semi OpInc'!I17),ISNUMBER('Semi OpInc'!E17),ISNUMBER('Semi Rev'!I17),ISNUMBER('Semi Rev'!E17),ABS('Semi Rev'!I17-'Semi Rev'!E17)&gt;=1),('Semi OpInc'!I17-'Semi OpInc'!E17)/('Semi Rev'!I17-'Semi Rev'!E17),""),"")</f>
        <v/>
      </c>
      <c r="F1154" s="37">
        <f>IFERROR(IF(AND(ISNUMBER('Semi OpInc'!J17),ISNUMBER('Semi OpInc'!F17),ISNUMBER('Semi Rev'!J17),ISNUMBER('Semi Rev'!F17),ABS('Semi Rev'!J17-'Semi Rev'!F17)&gt;=1),('Semi OpInc'!J17-'Semi OpInc'!F17)/('Semi Rev'!J17-'Semi Rev'!F17),""),"")</f>
        <v/>
      </c>
      <c r="G1154" s="37">
        <f>IFERROR(IF(AND(ISNUMBER('Semi OpInc'!K17),ISNUMBER('Semi OpInc'!G17),ISNUMBER('Semi Rev'!K17),ISNUMBER('Semi Rev'!G17),ABS('Semi Rev'!K17-'Semi Rev'!G17)&gt;=1),('Semi OpInc'!K17-'Semi OpInc'!G17)/('Semi Rev'!K17-'Semi Rev'!G17),""),"")</f>
        <v/>
      </c>
      <c r="H1154" s="37">
        <f>IFERROR(IF(AND(ISNUMBER('Semi OpInc'!L17),ISNUMBER('Semi OpInc'!H17),ISNUMBER('Semi Rev'!L17),ISNUMBER('Semi Rev'!H17),ABS('Semi Rev'!L17-'Semi Rev'!H17)&gt;=1),('Semi OpInc'!L17-'Semi OpInc'!H17)/('Semi Rev'!L17-'Semi Rev'!H17),""),"")</f>
        <v/>
      </c>
      <c r="I1154" s="37">
        <f>IFERROR(IF(AND(ISNUMBER('Semi OpInc'!M17),ISNUMBER('Semi OpInc'!I17),ISNUMBER('Semi Rev'!M17),ISNUMBER('Semi Rev'!I17),ABS('Semi Rev'!M17-'Semi Rev'!I17)&gt;=1),('Semi OpInc'!M17-'Semi OpInc'!I17)/('Semi Rev'!M17-'Semi Rev'!I17),""),"")</f>
        <v/>
      </c>
      <c r="J1154" s="37">
        <f>IFERROR(IF(AND(ISNUMBER('Semi OpInc'!N17),ISNUMBER('Semi OpInc'!J17),ISNUMBER('Semi Rev'!N17),ISNUMBER('Semi Rev'!J17),ABS('Semi Rev'!N17-'Semi Rev'!J17)&gt;=1),('Semi OpInc'!N17-'Semi OpInc'!J17)/('Semi Rev'!N17-'Semi Rev'!J17),""),"")</f>
        <v/>
      </c>
      <c r="K1154" s="37">
        <f>IFERROR(IF(AND(ISNUMBER('Semi OpInc'!O17),ISNUMBER('Semi OpInc'!K17),ISNUMBER('Semi Rev'!O17),ISNUMBER('Semi Rev'!K17),ABS('Semi Rev'!O17-'Semi Rev'!K17)&gt;=1),('Semi OpInc'!O17-'Semi OpInc'!K17)/('Semi Rev'!O17-'Semi Rev'!K17),""),"")</f>
        <v/>
      </c>
      <c r="L1154" s="37">
        <f>IFERROR(IF(AND(ISNUMBER('Semi OpInc'!P17),ISNUMBER('Semi OpInc'!L17),ISNUMBER('Semi Rev'!P17),ISNUMBER('Semi Rev'!L17),ABS('Semi Rev'!P17-'Semi Rev'!L17)&gt;=1),('Semi OpInc'!P17-'Semi OpInc'!L17)/('Semi Rev'!P17-'Semi Rev'!L17),""),"")</f>
        <v/>
      </c>
      <c r="M1154" s="38">
        <f>IFERROR(IF(AND(ISNUMBER('Semi OpInc'!Q17),ISNUMBER('Semi OpInc'!M17),ISNUMBER('Semi Rev'!Q17),ISNUMBER('Semi Rev'!M17),ABS('Semi Rev'!Q17-'Semi Rev'!M17)&gt;=1),('Semi OpInc'!Q17-'Semi OpInc'!M17)/('Semi Rev'!Q17-'Semi Rev'!M17),""),"")</f>
        <v/>
      </c>
      <c r="N1154" s="38">
        <f>IFERROR(IF(AND(ISNUMBER('Semi OpInc'!R17),ISNUMBER('Semi OpInc'!N17),ISNUMBER('Semi Rev'!R17),ISNUMBER('Semi Rev'!N17),ABS('Semi Rev'!R17-'Semi Rev'!N17)&gt;=1),('Semi OpInc'!R17-'Semi OpInc'!N17)/('Semi Rev'!R17-'Semi Rev'!N17),""),"")</f>
        <v/>
      </c>
    </row>
    <row r="1155">
      <c r="A1155" s="19">
        <f>'Semi Rev'!$A18</f>
        <v/>
      </c>
      <c r="B1155" s="19">
        <f>'Semi Rev'!$B18</f>
        <v/>
      </c>
      <c r="C1155" s="37">
        <f>IFERROR(IF(AND(ISNUMBER('Semi OpInc'!G18),ISNUMBER('Semi OpInc'!C18),ISNUMBER('Semi Rev'!G18),ISNUMBER('Semi Rev'!C18),ABS('Semi Rev'!G18-'Semi Rev'!C18)&gt;=1),('Semi OpInc'!G18-'Semi OpInc'!C18)/('Semi Rev'!G18-'Semi Rev'!C18),""),"")</f>
        <v/>
      </c>
      <c r="D1155" s="37">
        <f>IFERROR(IF(AND(ISNUMBER('Semi OpInc'!H18),ISNUMBER('Semi OpInc'!D18),ISNUMBER('Semi Rev'!H18),ISNUMBER('Semi Rev'!D18),ABS('Semi Rev'!H18-'Semi Rev'!D18)&gt;=1),('Semi OpInc'!H18-'Semi OpInc'!D18)/('Semi Rev'!H18-'Semi Rev'!D18),""),"")</f>
        <v/>
      </c>
      <c r="E1155" s="37">
        <f>IFERROR(IF(AND(ISNUMBER('Semi OpInc'!I18),ISNUMBER('Semi OpInc'!E18),ISNUMBER('Semi Rev'!I18),ISNUMBER('Semi Rev'!E18),ABS('Semi Rev'!I18-'Semi Rev'!E18)&gt;=1),('Semi OpInc'!I18-'Semi OpInc'!E18)/('Semi Rev'!I18-'Semi Rev'!E18),""),"")</f>
        <v/>
      </c>
      <c r="F1155" s="37">
        <f>IFERROR(IF(AND(ISNUMBER('Semi OpInc'!J18),ISNUMBER('Semi OpInc'!F18),ISNUMBER('Semi Rev'!J18),ISNUMBER('Semi Rev'!F18),ABS('Semi Rev'!J18-'Semi Rev'!F18)&gt;=1),('Semi OpInc'!J18-'Semi OpInc'!F18)/('Semi Rev'!J18-'Semi Rev'!F18),""),"")</f>
        <v/>
      </c>
      <c r="G1155" s="37">
        <f>IFERROR(IF(AND(ISNUMBER('Semi OpInc'!K18),ISNUMBER('Semi OpInc'!G18),ISNUMBER('Semi Rev'!K18),ISNUMBER('Semi Rev'!G18),ABS('Semi Rev'!K18-'Semi Rev'!G18)&gt;=1),('Semi OpInc'!K18-'Semi OpInc'!G18)/('Semi Rev'!K18-'Semi Rev'!G18),""),"")</f>
        <v/>
      </c>
      <c r="H1155" s="37">
        <f>IFERROR(IF(AND(ISNUMBER('Semi OpInc'!L18),ISNUMBER('Semi OpInc'!H18),ISNUMBER('Semi Rev'!L18),ISNUMBER('Semi Rev'!H18),ABS('Semi Rev'!L18-'Semi Rev'!H18)&gt;=1),('Semi OpInc'!L18-'Semi OpInc'!H18)/('Semi Rev'!L18-'Semi Rev'!H18),""),"")</f>
        <v/>
      </c>
      <c r="I1155" s="37">
        <f>IFERROR(IF(AND(ISNUMBER('Semi OpInc'!M18),ISNUMBER('Semi OpInc'!I18),ISNUMBER('Semi Rev'!M18),ISNUMBER('Semi Rev'!I18),ABS('Semi Rev'!M18-'Semi Rev'!I18)&gt;=1),('Semi OpInc'!M18-'Semi OpInc'!I18)/('Semi Rev'!M18-'Semi Rev'!I18),""),"")</f>
        <v/>
      </c>
      <c r="J1155" s="37">
        <f>IFERROR(IF(AND(ISNUMBER('Semi OpInc'!N18),ISNUMBER('Semi OpInc'!J18),ISNUMBER('Semi Rev'!N18),ISNUMBER('Semi Rev'!J18),ABS('Semi Rev'!N18-'Semi Rev'!J18)&gt;=1),('Semi OpInc'!N18-'Semi OpInc'!J18)/('Semi Rev'!N18-'Semi Rev'!J18),""),"")</f>
        <v/>
      </c>
      <c r="K1155" s="37">
        <f>IFERROR(IF(AND(ISNUMBER('Semi OpInc'!O18),ISNUMBER('Semi OpInc'!K18),ISNUMBER('Semi Rev'!O18),ISNUMBER('Semi Rev'!K18),ABS('Semi Rev'!O18-'Semi Rev'!K18)&gt;=1),('Semi OpInc'!O18-'Semi OpInc'!K18)/('Semi Rev'!O18-'Semi Rev'!K18),""),"")</f>
        <v/>
      </c>
      <c r="L1155" s="37">
        <f>IFERROR(IF(AND(ISNUMBER('Semi OpInc'!P18),ISNUMBER('Semi OpInc'!L18),ISNUMBER('Semi Rev'!P18),ISNUMBER('Semi Rev'!L18),ABS('Semi Rev'!P18-'Semi Rev'!L18)&gt;=1),('Semi OpInc'!P18-'Semi OpInc'!L18)/('Semi Rev'!P18-'Semi Rev'!L18),""),"")</f>
        <v/>
      </c>
      <c r="M1155" s="38">
        <f>IFERROR(IF(AND(ISNUMBER('Semi OpInc'!Q18),ISNUMBER('Semi OpInc'!M18),ISNUMBER('Semi Rev'!Q18),ISNUMBER('Semi Rev'!M18),ABS('Semi Rev'!Q18-'Semi Rev'!M18)&gt;=1),('Semi OpInc'!Q18-'Semi OpInc'!M18)/('Semi Rev'!Q18-'Semi Rev'!M18),""),"")</f>
        <v/>
      </c>
      <c r="N1155" s="38">
        <f>IFERROR(IF(AND(ISNUMBER('Semi OpInc'!R18),ISNUMBER('Semi OpInc'!N18),ISNUMBER('Semi Rev'!R18),ISNUMBER('Semi Rev'!N18),ABS('Semi Rev'!R18-'Semi Rev'!N18)&gt;=1),('Semi OpInc'!R18-'Semi OpInc'!N18)/('Semi Rev'!R18-'Semi Rev'!N18),""),"")</f>
        <v/>
      </c>
    </row>
    <row r="1156">
      <c r="A1156" s="19">
        <f>'Semi Rev'!$A19</f>
        <v/>
      </c>
      <c r="B1156" s="19">
        <f>'Semi Rev'!$B19</f>
        <v/>
      </c>
      <c r="C1156" s="37">
        <f>IFERROR(IF(AND(ISNUMBER('Semi OpInc'!G19),ISNUMBER('Semi OpInc'!C19),ISNUMBER('Semi Rev'!G19),ISNUMBER('Semi Rev'!C19),ABS('Semi Rev'!G19-'Semi Rev'!C19)&gt;=1),('Semi OpInc'!G19-'Semi OpInc'!C19)/('Semi Rev'!G19-'Semi Rev'!C19),""),"")</f>
        <v/>
      </c>
      <c r="D1156" s="37">
        <f>IFERROR(IF(AND(ISNUMBER('Semi OpInc'!H19),ISNUMBER('Semi OpInc'!D19),ISNUMBER('Semi Rev'!H19),ISNUMBER('Semi Rev'!D19),ABS('Semi Rev'!H19-'Semi Rev'!D19)&gt;=1),('Semi OpInc'!H19-'Semi OpInc'!D19)/('Semi Rev'!H19-'Semi Rev'!D19),""),"")</f>
        <v/>
      </c>
      <c r="E1156" s="37">
        <f>IFERROR(IF(AND(ISNUMBER('Semi OpInc'!I19),ISNUMBER('Semi OpInc'!E19),ISNUMBER('Semi Rev'!I19),ISNUMBER('Semi Rev'!E19),ABS('Semi Rev'!I19-'Semi Rev'!E19)&gt;=1),('Semi OpInc'!I19-'Semi OpInc'!E19)/('Semi Rev'!I19-'Semi Rev'!E19),""),"")</f>
        <v/>
      </c>
      <c r="F1156" s="37">
        <f>IFERROR(IF(AND(ISNUMBER('Semi OpInc'!J19),ISNUMBER('Semi OpInc'!F19),ISNUMBER('Semi Rev'!J19),ISNUMBER('Semi Rev'!F19),ABS('Semi Rev'!J19-'Semi Rev'!F19)&gt;=1),('Semi OpInc'!J19-'Semi OpInc'!F19)/('Semi Rev'!J19-'Semi Rev'!F19),""),"")</f>
        <v/>
      </c>
      <c r="G1156" s="37">
        <f>IFERROR(IF(AND(ISNUMBER('Semi OpInc'!K19),ISNUMBER('Semi OpInc'!G19),ISNUMBER('Semi Rev'!K19),ISNUMBER('Semi Rev'!G19),ABS('Semi Rev'!K19-'Semi Rev'!G19)&gt;=1),('Semi OpInc'!K19-'Semi OpInc'!G19)/('Semi Rev'!K19-'Semi Rev'!G19),""),"")</f>
        <v/>
      </c>
      <c r="H1156" s="37">
        <f>IFERROR(IF(AND(ISNUMBER('Semi OpInc'!L19),ISNUMBER('Semi OpInc'!H19),ISNUMBER('Semi Rev'!L19),ISNUMBER('Semi Rev'!H19),ABS('Semi Rev'!L19-'Semi Rev'!H19)&gt;=1),('Semi OpInc'!L19-'Semi OpInc'!H19)/('Semi Rev'!L19-'Semi Rev'!H19),""),"")</f>
        <v/>
      </c>
      <c r="I1156" s="37">
        <f>IFERROR(IF(AND(ISNUMBER('Semi OpInc'!M19),ISNUMBER('Semi OpInc'!I19),ISNUMBER('Semi Rev'!M19),ISNUMBER('Semi Rev'!I19),ABS('Semi Rev'!M19-'Semi Rev'!I19)&gt;=1),('Semi OpInc'!M19-'Semi OpInc'!I19)/('Semi Rev'!M19-'Semi Rev'!I19),""),"")</f>
        <v/>
      </c>
      <c r="J1156" s="37">
        <f>IFERROR(IF(AND(ISNUMBER('Semi OpInc'!N19),ISNUMBER('Semi OpInc'!J19),ISNUMBER('Semi Rev'!N19),ISNUMBER('Semi Rev'!J19),ABS('Semi Rev'!N19-'Semi Rev'!J19)&gt;=1),('Semi OpInc'!N19-'Semi OpInc'!J19)/('Semi Rev'!N19-'Semi Rev'!J19),""),"")</f>
        <v/>
      </c>
      <c r="K1156" s="37">
        <f>IFERROR(IF(AND(ISNUMBER('Semi OpInc'!O19),ISNUMBER('Semi OpInc'!K19),ISNUMBER('Semi Rev'!O19),ISNUMBER('Semi Rev'!K19),ABS('Semi Rev'!O19-'Semi Rev'!K19)&gt;=1),('Semi OpInc'!O19-'Semi OpInc'!K19)/('Semi Rev'!O19-'Semi Rev'!K19),""),"")</f>
        <v/>
      </c>
      <c r="L1156" s="37">
        <f>IFERROR(IF(AND(ISNUMBER('Semi OpInc'!P19),ISNUMBER('Semi OpInc'!L19),ISNUMBER('Semi Rev'!P19),ISNUMBER('Semi Rev'!L19),ABS('Semi Rev'!P19-'Semi Rev'!L19)&gt;=1),('Semi OpInc'!P19-'Semi OpInc'!L19)/('Semi Rev'!P19-'Semi Rev'!L19),""),"")</f>
        <v/>
      </c>
      <c r="M1156" s="38">
        <f>IFERROR(IF(AND(ISNUMBER('Semi OpInc'!Q19),ISNUMBER('Semi OpInc'!M19),ISNUMBER('Semi Rev'!Q19),ISNUMBER('Semi Rev'!M19),ABS('Semi Rev'!Q19-'Semi Rev'!M19)&gt;=1),('Semi OpInc'!Q19-'Semi OpInc'!M19)/('Semi Rev'!Q19-'Semi Rev'!M19),""),"")</f>
        <v/>
      </c>
      <c r="N1156" s="38">
        <f>IFERROR(IF(AND(ISNUMBER('Semi OpInc'!R19),ISNUMBER('Semi OpInc'!N19),ISNUMBER('Semi Rev'!R19),ISNUMBER('Semi Rev'!N19),ABS('Semi Rev'!R19-'Semi Rev'!N19)&gt;=1),('Semi OpInc'!R19-'Semi OpInc'!N19)/('Semi Rev'!R19-'Semi Rev'!N19),""),"")</f>
        <v/>
      </c>
    </row>
    <row r="1157">
      <c r="A1157" s="19">
        <f>'Semi Rev'!$A20</f>
        <v/>
      </c>
      <c r="B1157" s="19">
        <f>'Semi Rev'!$B20</f>
        <v/>
      </c>
      <c r="C1157" s="37">
        <f>IFERROR(IF(AND(ISNUMBER('Semi OpInc'!G20),ISNUMBER('Semi OpInc'!C20),ISNUMBER('Semi Rev'!G20),ISNUMBER('Semi Rev'!C20),ABS('Semi Rev'!G20-'Semi Rev'!C20)&gt;=1),('Semi OpInc'!G20-'Semi OpInc'!C20)/('Semi Rev'!G20-'Semi Rev'!C20),""),"")</f>
        <v/>
      </c>
      <c r="D1157" s="37">
        <f>IFERROR(IF(AND(ISNUMBER('Semi OpInc'!H20),ISNUMBER('Semi OpInc'!D20),ISNUMBER('Semi Rev'!H20),ISNUMBER('Semi Rev'!D20),ABS('Semi Rev'!H20-'Semi Rev'!D20)&gt;=1),('Semi OpInc'!H20-'Semi OpInc'!D20)/('Semi Rev'!H20-'Semi Rev'!D20),""),"")</f>
        <v/>
      </c>
      <c r="E1157" s="37">
        <f>IFERROR(IF(AND(ISNUMBER('Semi OpInc'!I20),ISNUMBER('Semi OpInc'!E20),ISNUMBER('Semi Rev'!I20),ISNUMBER('Semi Rev'!E20),ABS('Semi Rev'!I20-'Semi Rev'!E20)&gt;=1),('Semi OpInc'!I20-'Semi OpInc'!E20)/('Semi Rev'!I20-'Semi Rev'!E20),""),"")</f>
        <v/>
      </c>
      <c r="F1157" s="37">
        <f>IFERROR(IF(AND(ISNUMBER('Semi OpInc'!J20),ISNUMBER('Semi OpInc'!F20),ISNUMBER('Semi Rev'!J20),ISNUMBER('Semi Rev'!F20),ABS('Semi Rev'!J20-'Semi Rev'!F20)&gt;=1),('Semi OpInc'!J20-'Semi OpInc'!F20)/('Semi Rev'!J20-'Semi Rev'!F20),""),"")</f>
        <v/>
      </c>
      <c r="G1157" s="37">
        <f>IFERROR(IF(AND(ISNUMBER('Semi OpInc'!K20),ISNUMBER('Semi OpInc'!G20),ISNUMBER('Semi Rev'!K20),ISNUMBER('Semi Rev'!G20),ABS('Semi Rev'!K20-'Semi Rev'!G20)&gt;=1),('Semi OpInc'!K20-'Semi OpInc'!G20)/('Semi Rev'!K20-'Semi Rev'!G20),""),"")</f>
        <v/>
      </c>
      <c r="H1157" s="37">
        <f>IFERROR(IF(AND(ISNUMBER('Semi OpInc'!L20),ISNUMBER('Semi OpInc'!H20),ISNUMBER('Semi Rev'!L20),ISNUMBER('Semi Rev'!H20),ABS('Semi Rev'!L20-'Semi Rev'!H20)&gt;=1),('Semi OpInc'!L20-'Semi OpInc'!H20)/('Semi Rev'!L20-'Semi Rev'!H20),""),"")</f>
        <v/>
      </c>
      <c r="I1157" s="37">
        <f>IFERROR(IF(AND(ISNUMBER('Semi OpInc'!M20),ISNUMBER('Semi OpInc'!I20),ISNUMBER('Semi Rev'!M20),ISNUMBER('Semi Rev'!I20),ABS('Semi Rev'!M20-'Semi Rev'!I20)&gt;=1),('Semi OpInc'!M20-'Semi OpInc'!I20)/('Semi Rev'!M20-'Semi Rev'!I20),""),"")</f>
        <v/>
      </c>
      <c r="J1157" s="37">
        <f>IFERROR(IF(AND(ISNUMBER('Semi OpInc'!N20),ISNUMBER('Semi OpInc'!J20),ISNUMBER('Semi Rev'!N20),ISNUMBER('Semi Rev'!J20),ABS('Semi Rev'!N20-'Semi Rev'!J20)&gt;=1),('Semi OpInc'!N20-'Semi OpInc'!J20)/('Semi Rev'!N20-'Semi Rev'!J20),""),"")</f>
        <v/>
      </c>
      <c r="K1157" s="37">
        <f>IFERROR(IF(AND(ISNUMBER('Semi OpInc'!O20),ISNUMBER('Semi OpInc'!K20),ISNUMBER('Semi Rev'!O20),ISNUMBER('Semi Rev'!K20),ABS('Semi Rev'!O20-'Semi Rev'!K20)&gt;=1),('Semi OpInc'!O20-'Semi OpInc'!K20)/('Semi Rev'!O20-'Semi Rev'!K20),""),"")</f>
        <v/>
      </c>
      <c r="L1157" s="37">
        <f>IFERROR(IF(AND(ISNUMBER('Semi OpInc'!P20),ISNUMBER('Semi OpInc'!L20),ISNUMBER('Semi Rev'!P20),ISNUMBER('Semi Rev'!L20),ABS('Semi Rev'!P20-'Semi Rev'!L20)&gt;=1),('Semi OpInc'!P20-'Semi OpInc'!L20)/('Semi Rev'!P20-'Semi Rev'!L20),""),"")</f>
        <v/>
      </c>
      <c r="M1157" s="38">
        <f>IFERROR(IF(AND(ISNUMBER('Semi OpInc'!Q20),ISNUMBER('Semi OpInc'!M20),ISNUMBER('Semi Rev'!Q20),ISNUMBER('Semi Rev'!M20),ABS('Semi Rev'!Q20-'Semi Rev'!M20)&gt;=1),('Semi OpInc'!Q20-'Semi OpInc'!M20)/('Semi Rev'!Q20-'Semi Rev'!M20),""),"")</f>
        <v/>
      </c>
      <c r="N1157" s="38">
        <f>IFERROR(IF(AND(ISNUMBER('Semi OpInc'!R20),ISNUMBER('Semi OpInc'!N20),ISNUMBER('Semi Rev'!R20),ISNUMBER('Semi Rev'!N20),ABS('Semi Rev'!R20-'Semi Rev'!N20)&gt;=1),('Semi OpInc'!R20-'Semi OpInc'!N20)/('Semi Rev'!R20-'Semi Rev'!N20),""),"")</f>
        <v/>
      </c>
    </row>
    <row r="1158">
      <c r="A1158" s="19">
        <f>'Semi Rev'!$A21</f>
        <v/>
      </c>
      <c r="B1158" s="19">
        <f>'Semi Rev'!$B21</f>
        <v/>
      </c>
      <c r="C1158" s="37">
        <f>IFERROR(IF(AND(ISNUMBER('Semi OpInc'!G21),ISNUMBER('Semi OpInc'!C21),ISNUMBER('Semi Rev'!G21),ISNUMBER('Semi Rev'!C21),ABS('Semi Rev'!G21-'Semi Rev'!C21)&gt;=1),('Semi OpInc'!G21-'Semi OpInc'!C21)/('Semi Rev'!G21-'Semi Rev'!C21),""),"")</f>
        <v/>
      </c>
      <c r="D1158" s="37">
        <f>IFERROR(IF(AND(ISNUMBER('Semi OpInc'!H21),ISNUMBER('Semi OpInc'!D21),ISNUMBER('Semi Rev'!H21),ISNUMBER('Semi Rev'!D21),ABS('Semi Rev'!H21-'Semi Rev'!D21)&gt;=1),('Semi OpInc'!H21-'Semi OpInc'!D21)/('Semi Rev'!H21-'Semi Rev'!D21),""),"")</f>
        <v/>
      </c>
      <c r="E1158" s="37">
        <f>IFERROR(IF(AND(ISNUMBER('Semi OpInc'!I21),ISNUMBER('Semi OpInc'!E21),ISNUMBER('Semi Rev'!I21),ISNUMBER('Semi Rev'!E21),ABS('Semi Rev'!I21-'Semi Rev'!E21)&gt;=1),('Semi OpInc'!I21-'Semi OpInc'!E21)/('Semi Rev'!I21-'Semi Rev'!E21),""),"")</f>
        <v/>
      </c>
      <c r="F1158" s="37">
        <f>IFERROR(IF(AND(ISNUMBER('Semi OpInc'!J21),ISNUMBER('Semi OpInc'!F21),ISNUMBER('Semi Rev'!J21),ISNUMBER('Semi Rev'!F21),ABS('Semi Rev'!J21-'Semi Rev'!F21)&gt;=1),('Semi OpInc'!J21-'Semi OpInc'!F21)/('Semi Rev'!J21-'Semi Rev'!F21),""),"")</f>
        <v/>
      </c>
      <c r="G1158" s="37">
        <f>IFERROR(IF(AND(ISNUMBER('Semi OpInc'!K21),ISNUMBER('Semi OpInc'!G21),ISNUMBER('Semi Rev'!K21),ISNUMBER('Semi Rev'!G21),ABS('Semi Rev'!K21-'Semi Rev'!G21)&gt;=1),('Semi OpInc'!K21-'Semi OpInc'!G21)/('Semi Rev'!K21-'Semi Rev'!G21),""),"")</f>
        <v/>
      </c>
      <c r="H1158" s="37">
        <f>IFERROR(IF(AND(ISNUMBER('Semi OpInc'!L21),ISNUMBER('Semi OpInc'!H21),ISNUMBER('Semi Rev'!L21),ISNUMBER('Semi Rev'!H21),ABS('Semi Rev'!L21-'Semi Rev'!H21)&gt;=1),('Semi OpInc'!L21-'Semi OpInc'!H21)/('Semi Rev'!L21-'Semi Rev'!H21),""),"")</f>
        <v/>
      </c>
      <c r="I1158" s="37">
        <f>IFERROR(IF(AND(ISNUMBER('Semi OpInc'!M21),ISNUMBER('Semi OpInc'!I21),ISNUMBER('Semi Rev'!M21),ISNUMBER('Semi Rev'!I21),ABS('Semi Rev'!M21-'Semi Rev'!I21)&gt;=1),('Semi OpInc'!M21-'Semi OpInc'!I21)/('Semi Rev'!M21-'Semi Rev'!I21),""),"")</f>
        <v/>
      </c>
      <c r="J1158" s="37">
        <f>IFERROR(IF(AND(ISNUMBER('Semi OpInc'!N21),ISNUMBER('Semi OpInc'!J21),ISNUMBER('Semi Rev'!N21),ISNUMBER('Semi Rev'!J21),ABS('Semi Rev'!N21-'Semi Rev'!J21)&gt;=1),('Semi OpInc'!N21-'Semi OpInc'!J21)/('Semi Rev'!N21-'Semi Rev'!J21),""),"")</f>
        <v/>
      </c>
      <c r="K1158" s="37">
        <f>IFERROR(IF(AND(ISNUMBER('Semi OpInc'!O21),ISNUMBER('Semi OpInc'!K21),ISNUMBER('Semi Rev'!O21),ISNUMBER('Semi Rev'!K21),ABS('Semi Rev'!O21-'Semi Rev'!K21)&gt;=1),('Semi OpInc'!O21-'Semi OpInc'!K21)/('Semi Rev'!O21-'Semi Rev'!K21),""),"")</f>
        <v/>
      </c>
      <c r="L1158" s="37">
        <f>IFERROR(IF(AND(ISNUMBER('Semi OpInc'!P21),ISNUMBER('Semi OpInc'!L21),ISNUMBER('Semi Rev'!P21),ISNUMBER('Semi Rev'!L21),ABS('Semi Rev'!P21-'Semi Rev'!L21)&gt;=1),('Semi OpInc'!P21-'Semi OpInc'!L21)/('Semi Rev'!P21-'Semi Rev'!L21),""),"")</f>
        <v/>
      </c>
      <c r="M1158" s="38">
        <f>IFERROR(IF(AND(ISNUMBER('Semi OpInc'!Q21),ISNUMBER('Semi OpInc'!M21),ISNUMBER('Semi Rev'!Q21),ISNUMBER('Semi Rev'!M21),ABS('Semi Rev'!Q21-'Semi Rev'!M21)&gt;=1),('Semi OpInc'!Q21-'Semi OpInc'!M21)/('Semi Rev'!Q21-'Semi Rev'!M21),""),"")</f>
        <v/>
      </c>
      <c r="N1158" s="38">
        <f>IFERROR(IF(AND(ISNUMBER('Semi OpInc'!R21),ISNUMBER('Semi OpInc'!N21),ISNUMBER('Semi Rev'!R21),ISNUMBER('Semi Rev'!N21),ABS('Semi Rev'!R21-'Semi Rev'!N21)&gt;=1),('Semi OpInc'!R21-'Semi OpInc'!N21)/('Semi Rev'!R21-'Semi Rev'!N21),""),"")</f>
        <v/>
      </c>
    </row>
    <row r="1159">
      <c r="A1159" s="19">
        <f>'Semi Rev'!$A22</f>
        <v/>
      </c>
      <c r="B1159" s="19">
        <f>'Semi Rev'!$B22</f>
        <v/>
      </c>
      <c r="C1159" s="37">
        <f>IFERROR(IF(AND(ISNUMBER('Semi OpInc'!G22),ISNUMBER('Semi OpInc'!C22),ISNUMBER('Semi Rev'!G22),ISNUMBER('Semi Rev'!C22),ABS('Semi Rev'!G22-'Semi Rev'!C22)&gt;=1),('Semi OpInc'!G22-'Semi OpInc'!C22)/('Semi Rev'!G22-'Semi Rev'!C22),""),"")</f>
        <v/>
      </c>
      <c r="D1159" s="37">
        <f>IFERROR(IF(AND(ISNUMBER('Semi OpInc'!H22),ISNUMBER('Semi OpInc'!D22),ISNUMBER('Semi Rev'!H22),ISNUMBER('Semi Rev'!D22),ABS('Semi Rev'!H22-'Semi Rev'!D22)&gt;=1),('Semi OpInc'!H22-'Semi OpInc'!D22)/('Semi Rev'!H22-'Semi Rev'!D22),""),"")</f>
        <v/>
      </c>
      <c r="E1159" s="37">
        <f>IFERROR(IF(AND(ISNUMBER('Semi OpInc'!I22),ISNUMBER('Semi OpInc'!E22),ISNUMBER('Semi Rev'!I22),ISNUMBER('Semi Rev'!E22),ABS('Semi Rev'!I22-'Semi Rev'!E22)&gt;=1),('Semi OpInc'!I22-'Semi OpInc'!E22)/('Semi Rev'!I22-'Semi Rev'!E22),""),"")</f>
        <v/>
      </c>
      <c r="F1159" s="37">
        <f>IFERROR(IF(AND(ISNUMBER('Semi OpInc'!J22),ISNUMBER('Semi OpInc'!F22),ISNUMBER('Semi Rev'!J22),ISNUMBER('Semi Rev'!F22),ABS('Semi Rev'!J22-'Semi Rev'!F22)&gt;=1),('Semi OpInc'!J22-'Semi OpInc'!F22)/('Semi Rev'!J22-'Semi Rev'!F22),""),"")</f>
        <v/>
      </c>
      <c r="G1159" s="37">
        <f>IFERROR(IF(AND(ISNUMBER('Semi OpInc'!K22),ISNUMBER('Semi OpInc'!G22),ISNUMBER('Semi Rev'!K22),ISNUMBER('Semi Rev'!G22),ABS('Semi Rev'!K22-'Semi Rev'!G22)&gt;=1),('Semi OpInc'!K22-'Semi OpInc'!G22)/('Semi Rev'!K22-'Semi Rev'!G22),""),"")</f>
        <v/>
      </c>
      <c r="H1159" s="37">
        <f>IFERROR(IF(AND(ISNUMBER('Semi OpInc'!L22),ISNUMBER('Semi OpInc'!H22),ISNUMBER('Semi Rev'!L22),ISNUMBER('Semi Rev'!H22),ABS('Semi Rev'!L22-'Semi Rev'!H22)&gt;=1),('Semi OpInc'!L22-'Semi OpInc'!H22)/('Semi Rev'!L22-'Semi Rev'!H22),""),"")</f>
        <v/>
      </c>
      <c r="I1159" s="37">
        <f>IFERROR(IF(AND(ISNUMBER('Semi OpInc'!M22),ISNUMBER('Semi OpInc'!I22),ISNUMBER('Semi Rev'!M22),ISNUMBER('Semi Rev'!I22),ABS('Semi Rev'!M22-'Semi Rev'!I22)&gt;=1),('Semi OpInc'!M22-'Semi OpInc'!I22)/('Semi Rev'!M22-'Semi Rev'!I22),""),"")</f>
        <v/>
      </c>
      <c r="J1159" s="37">
        <f>IFERROR(IF(AND(ISNUMBER('Semi OpInc'!N22),ISNUMBER('Semi OpInc'!J22),ISNUMBER('Semi Rev'!N22),ISNUMBER('Semi Rev'!J22),ABS('Semi Rev'!N22-'Semi Rev'!J22)&gt;=1),('Semi OpInc'!N22-'Semi OpInc'!J22)/('Semi Rev'!N22-'Semi Rev'!J22),""),"")</f>
        <v/>
      </c>
      <c r="K1159" s="37">
        <f>IFERROR(IF(AND(ISNUMBER('Semi OpInc'!O22),ISNUMBER('Semi OpInc'!K22),ISNUMBER('Semi Rev'!O22),ISNUMBER('Semi Rev'!K22),ABS('Semi Rev'!O22-'Semi Rev'!K22)&gt;=1),('Semi OpInc'!O22-'Semi OpInc'!K22)/('Semi Rev'!O22-'Semi Rev'!K22),""),"")</f>
        <v/>
      </c>
      <c r="L1159" s="37">
        <f>IFERROR(IF(AND(ISNUMBER('Semi OpInc'!P22),ISNUMBER('Semi OpInc'!L22),ISNUMBER('Semi Rev'!P22),ISNUMBER('Semi Rev'!L22),ABS('Semi Rev'!P22-'Semi Rev'!L22)&gt;=1),('Semi OpInc'!P22-'Semi OpInc'!L22)/('Semi Rev'!P22-'Semi Rev'!L22),""),"")</f>
        <v/>
      </c>
      <c r="M1159" s="38">
        <f>IFERROR(IF(AND(ISNUMBER('Semi OpInc'!Q22),ISNUMBER('Semi OpInc'!M22),ISNUMBER('Semi Rev'!Q22),ISNUMBER('Semi Rev'!M22),ABS('Semi Rev'!Q22-'Semi Rev'!M22)&gt;=1),('Semi OpInc'!Q22-'Semi OpInc'!M22)/('Semi Rev'!Q22-'Semi Rev'!M22),""),"")</f>
        <v/>
      </c>
      <c r="N1159" s="38">
        <f>IFERROR(IF(AND(ISNUMBER('Semi OpInc'!R22),ISNUMBER('Semi OpInc'!N22),ISNUMBER('Semi Rev'!R22),ISNUMBER('Semi Rev'!N22),ABS('Semi Rev'!R22-'Semi Rev'!N22)&gt;=1),('Semi OpInc'!R22-'Semi OpInc'!N22)/('Semi Rev'!R22-'Semi Rev'!N22),""),"")</f>
        <v/>
      </c>
    </row>
    <row r="1160">
      <c r="A1160" s="19">
        <f>'Semi Rev'!$A23</f>
        <v/>
      </c>
      <c r="B1160" s="19">
        <f>'Semi Rev'!$B23</f>
        <v/>
      </c>
      <c r="C1160" s="37">
        <f>IFERROR(IF(AND(ISNUMBER('Semi OpInc'!G23),ISNUMBER('Semi OpInc'!C23),ISNUMBER('Semi Rev'!G23),ISNUMBER('Semi Rev'!C23),ABS('Semi Rev'!G23-'Semi Rev'!C23)&gt;=1),('Semi OpInc'!G23-'Semi OpInc'!C23)/('Semi Rev'!G23-'Semi Rev'!C23),""),"")</f>
        <v/>
      </c>
      <c r="D1160" s="37">
        <f>IFERROR(IF(AND(ISNUMBER('Semi OpInc'!H23),ISNUMBER('Semi OpInc'!D23),ISNUMBER('Semi Rev'!H23),ISNUMBER('Semi Rev'!D23),ABS('Semi Rev'!H23-'Semi Rev'!D23)&gt;=1),('Semi OpInc'!H23-'Semi OpInc'!D23)/('Semi Rev'!H23-'Semi Rev'!D23),""),"")</f>
        <v/>
      </c>
      <c r="E1160" s="37">
        <f>IFERROR(IF(AND(ISNUMBER('Semi OpInc'!I23),ISNUMBER('Semi OpInc'!E23),ISNUMBER('Semi Rev'!I23),ISNUMBER('Semi Rev'!E23),ABS('Semi Rev'!I23-'Semi Rev'!E23)&gt;=1),('Semi OpInc'!I23-'Semi OpInc'!E23)/('Semi Rev'!I23-'Semi Rev'!E23),""),"")</f>
        <v/>
      </c>
      <c r="F1160" s="37">
        <f>IFERROR(IF(AND(ISNUMBER('Semi OpInc'!J23),ISNUMBER('Semi OpInc'!F23),ISNUMBER('Semi Rev'!J23),ISNUMBER('Semi Rev'!F23),ABS('Semi Rev'!J23-'Semi Rev'!F23)&gt;=1),('Semi OpInc'!J23-'Semi OpInc'!F23)/('Semi Rev'!J23-'Semi Rev'!F23),""),"")</f>
        <v/>
      </c>
      <c r="G1160" s="37">
        <f>IFERROR(IF(AND(ISNUMBER('Semi OpInc'!K23),ISNUMBER('Semi OpInc'!G23),ISNUMBER('Semi Rev'!K23),ISNUMBER('Semi Rev'!G23),ABS('Semi Rev'!K23-'Semi Rev'!G23)&gt;=1),('Semi OpInc'!K23-'Semi OpInc'!G23)/('Semi Rev'!K23-'Semi Rev'!G23),""),"")</f>
        <v/>
      </c>
      <c r="H1160" s="37">
        <f>IFERROR(IF(AND(ISNUMBER('Semi OpInc'!L23),ISNUMBER('Semi OpInc'!H23),ISNUMBER('Semi Rev'!L23),ISNUMBER('Semi Rev'!H23),ABS('Semi Rev'!L23-'Semi Rev'!H23)&gt;=1),('Semi OpInc'!L23-'Semi OpInc'!H23)/('Semi Rev'!L23-'Semi Rev'!H23),""),"")</f>
        <v/>
      </c>
      <c r="I1160" s="37">
        <f>IFERROR(IF(AND(ISNUMBER('Semi OpInc'!M23),ISNUMBER('Semi OpInc'!I23),ISNUMBER('Semi Rev'!M23),ISNUMBER('Semi Rev'!I23),ABS('Semi Rev'!M23-'Semi Rev'!I23)&gt;=1),('Semi OpInc'!M23-'Semi OpInc'!I23)/('Semi Rev'!M23-'Semi Rev'!I23),""),"")</f>
        <v/>
      </c>
      <c r="J1160" s="37">
        <f>IFERROR(IF(AND(ISNUMBER('Semi OpInc'!N23),ISNUMBER('Semi OpInc'!J23),ISNUMBER('Semi Rev'!N23),ISNUMBER('Semi Rev'!J23),ABS('Semi Rev'!N23-'Semi Rev'!J23)&gt;=1),('Semi OpInc'!N23-'Semi OpInc'!J23)/('Semi Rev'!N23-'Semi Rev'!J23),""),"")</f>
        <v/>
      </c>
      <c r="K1160" s="37">
        <f>IFERROR(IF(AND(ISNUMBER('Semi OpInc'!O23),ISNUMBER('Semi OpInc'!K23),ISNUMBER('Semi Rev'!O23),ISNUMBER('Semi Rev'!K23),ABS('Semi Rev'!O23-'Semi Rev'!K23)&gt;=1),('Semi OpInc'!O23-'Semi OpInc'!K23)/('Semi Rev'!O23-'Semi Rev'!K23),""),"")</f>
        <v/>
      </c>
      <c r="L1160" s="37">
        <f>IFERROR(IF(AND(ISNUMBER('Semi OpInc'!P23),ISNUMBER('Semi OpInc'!L23),ISNUMBER('Semi Rev'!P23),ISNUMBER('Semi Rev'!L23),ABS('Semi Rev'!P23-'Semi Rev'!L23)&gt;=1),('Semi OpInc'!P23-'Semi OpInc'!L23)/('Semi Rev'!P23-'Semi Rev'!L23),""),"")</f>
        <v/>
      </c>
      <c r="M1160" s="38">
        <f>IFERROR(IF(AND(ISNUMBER('Semi OpInc'!Q23),ISNUMBER('Semi OpInc'!M23),ISNUMBER('Semi Rev'!Q23),ISNUMBER('Semi Rev'!M23),ABS('Semi Rev'!Q23-'Semi Rev'!M23)&gt;=1),('Semi OpInc'!Q23-'Semi OpInc'!M23)/('Semi Rev'!Q23-'Semi Rev'!M23),""),"")</f>
        <v/>
      </c>
      <c r="N1160" s="38">
        <f>IFERROR(IF(AND(ISNUMBER('Semi OpInc'!R23),ISNUMBER('Semi OpInc'!N23),ISNUMBER('Semi Rev'!R23),ISNUMBER('Semi Rev'!N23),ABS('Semi Rev'!R23-'Semi Rev'!N23)&gt;=1),('Semi OpInc'!R23-'Semi OpInc'!N23)/('Semi Rev'!R23-'Semi Rev'!N23),""),"")</f>
        <v/>
      </c>
    </row>
    <row r="1161">
      <c r="A1161" s="19">
        <f>'Semi Rev'!$A24</f>
        <v/>
      </c>
      <c r="B1161" s="19">
        <f>'Semi Rev'!$B24</f>
        <v/>
      </c>
      <c r="C1161" s="37">
        <f>IFERROR(IF(AND(ISNUMBER('Semi OpInc'!G24),ISNUMBER('Semi OpInc'!C24),ISNUMBER('Semi Rev'!G24),ISNUMBER('Semi Rev'!C24),ABS('Semi Rev'!G24-'Semi Rev'!C24)&gt;=1),('Semi OpInc'!G24-'Semi OpInc'!C24)/('Semi Rev'!G24-'Semi Rev'!C24),""),"")</f>
        <v/>
      </c>
      <c r="D1161" s="37">
        <f>IFERROR(IF(AND(ISNUMBER('Semi OpInc'!H24),ISNUMBER('Semi OpInc'!D24),ISNUMBER('Semi Rev'!H24),ISNUMBER('Semi Rev'!D24),ABS('Semi Rev'!H24-'Semi Rev'!D24)&gt;=1),('Semi OpInc'!H24-'Semi OpInc'!D24)/('Semi Rev'!H24-'Semi Rev'!D24),""),"")</f>
        <v/>
      </c>
      <c r="E1161" s="37">
        <f>IFERROR(IF(AND(ISNUMBER('Semi OpInc'!I24),ISNUMBER('Semi OpInc'!E24),ISNUMBER('Semi Rev'!I24),ISNUMBER('Semi Rev'!E24),ABS('Semi Rev'!I24-'Semi Rev'!E24)&gt;=1),('Semi OpInc'!I24-'Semi OpInc'!E24)/('Semi Rev'!I24-'Semi Rev'!E24),""),"")</f>
        <v/>
      </c>
      <c r="F1161" s="37">
        <f>IFERROR(IF(AND(ISNUMBER('Semi OpInc'!J24),ISNUMBER('Semi OpInc'!F24),ISNUMBER('Semi Rev'!J24),ISNUMBER('Semi Rev'!F24),ABS('Semi Rev'!J24-'Semi Rev'!F24)&gt;=1),('Semi OpInc'!J24-'Semi OpInc'!F24)/('Semi Rev'!J24-'Semi Rev'!F24),""),"")</f>
        <v/>
      </c>
      <c r="G1161" s="37">
        <f>IFERROR(IF(AND(ISNUMBER('Semi OpInc'!K24),ISNUMBER('Semi OpInc'!G24),ISNUMBER('Semi Rev'!K24),ISNUMBER('Semi Rev'!G24),ABS('Semi Rev'!K24-'Semi Rev'!G24)&gt;=1),('Semi OpInc'!K24-'Semi OpInc'!G24)/('Semi Rev'!K24-'Semi Rev'!G24),""),"")</f>
        <v/>
      </c>
      <c r="H1161" s="37">
        <f>IFERROR(IF(AND(ISNUMBER('Semi OpInc'!L24),ISNUMBER('Semi OpInc'!H24),ISNUMBER('Semi Rev'!L24),ISNUMBER('Semi Rev'!H24),ABS('Semi Rev'!L24-'Semi Rev'!H24)&gt;=1),('Semi OpInc'!L24-'Semi OpInc'!H24)/('Semi Rev'!L24-'Semi Rev'!H24),""),"")</f>
        <v/>
      </c>
      <c r="I1161" s="37">
        <f>IFERROR(IF(AND(ISNUMBER('Semi OpInc'!M24),ISNUMBER('Semi OpInc'!I24),ISNUMBER('Semi Rev'!M24),ISNUMBER('Semi Rev'!I24),ABS('Semi Rev'!M24-'Semi Rev'!I24)&gt;=1),('Semi OpInc'!M24-'Semi OpInc'!I24)/('Semi Rev'!M24-'Semi Rev'!I24),""),"")</f>
        <v/>
      </c>
      <c r="J1161" s="37">
        <f>IFERROR(IF(AND(ISNUMBER('Semi OpInc'!N24),ISNUMBER('Semi OpInc'!J24),ISNUMBER('Semi Rev'!N24),ISNUMBER('Semi Rev'!J24),ABS('Semi Rev'!N24-'Semi Rev'!J24)&gt;=1),('Semi OpInc'!N24-'Semi OpInc'!J24)/('Semi Rev'!N24-'Semi Rev'!J24),""),"")</f>
        <v/>
      </c>
      <c r="K1161" s="37">
        <f>IFERROR(IF(AND(ISNUMBER('Semi OpInc'!O24),ISNUMBER('Semi OpInc'!K24),ISNUMBER('Semi Rev'!O24),ISNUMBER('Semi Rev'!K24),ABS('Semi Rev'!O24-'Semi Rev'!K24)&gt;=1),('Semi OpInc'!O24-'Semi OpInc'!K24)/('Semi Rev'!O24-'Semi Rev'!K24),""),"")</f>
        <v/>
      </c>
      <c r="L1161" s="37">
        <f>IFERROR(IF(AND(ISNUMBER('Semi OpInc'!P24),ISNUMBER('Semi OpInc'!L24),ISNUMBER('Semi Rev'!P24),ISNUMBER('Semi Rev'!L24),ABS('Semi Rev'!P24-'Semi Rev'!L24)&gt;=1),('Semi OpInc'!P24-'Semi OpInc'!L24)/('Semi Rev'!P24-'Semi Rev'!L24),""),"")</f>
        <v/>
      </c>
      <c r="M1161" s="38">
        <f>IFERROR(IF(AND(ISNUMBER('Semi OpInc'!Q24),ISNUMBER('Semi OpInc'!M24),ISNUMBER('Semi Rev'!Q24),ISNUMBER('Semi Rev'!M24),ABS('Semi Rev'!Q24-'Semi Rev'!M24)&gt;=1),('Semi OpInc'!Q24-'Semi OpInc'!M24)/('Semi Rev'!Q24-'Semi Rev'!M24),""),"")</f>
        <v/>
      </c>
      <c r="N1161" s="38">
        <f>IFERROR(IF(AND(ISNUMBER('Semi OpInc'!R24),ISNUMBER('Semi OpInc'!N24),ISNUMBER('Semi Rev'!R24),ISNUMBER('Semi Rev'!N24),ABS('Semi Rev'!R24-'Semi Rev'!N24)&gt;=1),('Semi OpInc'!R24-'Semi OpInc'!N24)/('Semi Rev'!R24-'Semi Rev'!N24),""),"")</f>
        <v/>
      </c>
    </row>
    <row r="1162">
      <c r="A1162" s="19">
        <f>'Semi Rev'!$A25</f>
        <v/>
      </c>
      <c r="B1162" s="19">
        <f>'Semi Rev'!$B25</f>
        <v/>
      </c>
      <c r="C1162" s="37">
        <f>IFERROR(IF(AND(ISNUMBER('Semi OpInc'!G25),ISNUMBER('Semi OpInc'!C25),ISNUMBER('Semi Rev'!G25),ISNUMBER('Semi Rev'!C25),ABS('Semi Rev'!G25-'Semi Rev'!C25)&gt;=1),('Semi OpInc'!G25-'Semi OpInc'!C25)/('Semi Rev'!G25-'Semi Rev'!C25),""),"")</f>
        <v/>
      </c>
      <c r="D1162" s="37">
        <f>IFERROR(IF(AND(ISNUMBER('Semi OpInc'!H25),ISNUMBER('Semi OpInc'!D25),ISNUMBER('Semi Rev'!H25),ISNUMBER('Semi Rev'!D25),ABS('Semi Rev'!H25-'Semi Rev'!D25)&gt;=1),('Semi OpInc'!H25-'Semi OpInc'!D25)/('Semi Rev'!H25-'Semi Rev'!D25),""),"")</f>
        <v/>
      </c>
      <c r="E1162" s="37">
        <f>IFERROR(IF(AND(ISNUMBER('Semi OpInc'!I25),ISNUMBER('Semi OpInc'!E25),ISNUMBER('Semi Rev'!I25),ISNUMBER('Semi Rev'!E25),ABS('Semi Rev'!I25-'Semi Rev'!E25)&gt;=1),('Semi OpInc'!I25-'Semi OpInc'!E25)/('Semi Rev'!I25-'Semi Rev'!E25),""),"")</f>
        <v/>
      </c>
      <c r="F1162" s="37">
        <f>IFERROR(IF(AND(ISNUMBER('Semi OpInc'!J25),ISNUMBER('Semi OpInc'!F25),ISNUMBER('Semi Rev'!J25),ISNUMBER('Semi Rev'!F25),ABS('Semi Rev'!J25-'Semi Rev'!F25)&gt;=1),('Semi OpInc'!J25-'Semi OpInc'!F25)/('Semi Rev'!J25-'Semi Rev'!F25),""),"")</f>
        <v/>
      </c>
      <c r="G1162" s="37">
        <f>IFERROR(IF(AND(ISNUMBER('Semi OpInc'!K25),ISNUMBER('Semi OpInc'!G25),ISNUMBER('Semi Rev'!K25),ISNUMBER('Semi Rev'!G25),ABS('Semi Rev'!K25-'Semi Rev'!G25)&gt;=1),('Semi OpInc'!K25-'Semi OpInc'!G25)/('Semi Rev'!K25-'Semi Rev'!G25),""),"")</f>
        <v/>
      </c>
      <c r="H1162" s="37">
        <f>IFERROR(IF(AND(ISNUMBER('Semi OpInc'!L25),ISNUMBER('Semi OpInc'!H25),ISNUMBER('Semi Rev'!L25),ISNUMBER('Semi Rev'!H25),ABS('Semi Rev'!L25-'Semi Rev'!H25)&gt;=1),('Semi OpInc'!L25-'Semi OpInc'!H25)/('Semi Rev'!L25-'Semi Rev'!H25),""),"")</f>
        <v/>
      </c>
      <c r="I1162" s="37">
        <f>IFERROR(IF(AND(ISNUMBER('Semi OpInc'!M25),ISNUMBER('Semi OpInc'!I25),ISNUMBER('Semi Rev'!M25),ISNUMBER('Semi Rev'!I25),ABS('Semi Rev'!M25-'Semi Rev'!I25)&gt;=1),('Semi OpInc'!M25-'Semi OpInc'!I25)/('Semi Rev'!M25-'Semi Rev'!I25),""),"")</f>
        <v/>
      </c>
      <c r="J1162" s="37">
        <f>IFERROR(IF(AND(ISNUMBER('Semi OpInc'!N25),ISNUMBER('Semi OpInc'!J25),ISNUMBER('Semi Rev'!N25),ISNUMBER('Semi Rev'!J25),ABS('Semi Rev'!N25-'Semi Rev'!J25)&gt;=1),('Semi OpInc'!N25-'Semi OpInc'!J25)/('Semi Rev'!N25-'Semi Rev'!J25),""),"")</f>
        <v/>
      </c>
      <c r="K1162" s="37">
        <f>IFERROR(IF(AND(ISNUMBER('Semi OpInc'!O25),ISNUMBER('Semi OpInc'!K25),ISNUMBER('Semi Rev'!O25),ISNUMBER('Semi Rev'!K25),ABS('Semi Rev'!O25-'Semi Rev'!K25)&gt;=1),('Semi OpInc'!O25-'Semi OpInc'!K25)/('Semi Rev'!O25-'Semi Rev'!K25),""),"")</f>
        <v/>
      </c>
      <c r="L1162" s="37">
        <f>IFERROR(IF(AND(ISNUMBER('Semi OpInc'!P25),ISNUMBER('Semi OpInc'!L25),ISNUMBER('Semi Rev'!P25),ISNUMBER('Semi Rev'!L25),ABS('Semi Rev'!P25-'Semi Rev'!L25)&gt;=1),('Semi OpInc'!P25-'Semi OpInc'!L25)/('Semi Rev'!P25-'Semi Rev'!L25),""),"")</f>
        <v/>
      </c>
      <c r="M1162" s="38">
        <f>IFERROR(IF(AND(ISNUMBER('Semi OpInc'!Q25),ISNUMBER('Semi OpInc'!M25),ISNUMBER('Semi Rev'!Q25),ISNUMBER('Semi Rev'!M25),ABS('Semi Rev'!Q25-'Semi Rev'!M25)&gt;=1),('Semi OpInc'!Q25-'Semi OpInc'!M25)/('Semi Rev'!Q25-'Semi Rev'!M25),""),"")</f>
        <v/>
      </c>
      <c r="N1162" s="38">
        <f>IFERROR(IF(AND(ISNUMBER('Semi OpInc'!R25),ISNUMBER('Semi OpInc'!N25),ISNUMBER('Semi Rev'!R25),ISNUMBER('Semi Rev'!N25),ABS('Semi Rev'!R25-'Semi Rev'!N25)&gt;=1),('Semi OpInc'!R25-'Semi OpInc'!N25)/('Semi Rev'!R25-'Semi Rev'!N25),""),"")</f>
        <v/>
      </c>
    </row>
    <row r="1163">
      <c r="A1163" s="19">
        <f>'Semi Rev'!$A26</f>
        <v/>
      </c>
      <c r="B1163" s="19">
        <f>'Semi Rev'!$B26</f>
        <v/>
      </c>
      <c r="C1163" s="37">
        <f>IFERROR(IF(AND(ISNUMBER('Semi OpInc'!G26),ISNUMBER('Semi OpInc'!C26),ISNUMBER('Semi Rev'!G26),ISNUMBER('Semi Rev'!C26),ABS('Semi Rev'!G26-'Semi Rev'!C26)&gt;=1),('Semi OpInc'!G26-'Semi OpInc'!C26)/('Semi Rev'!G26-'Semi Rev'!C26),""),"")</f>
        <v/>
      </c>
      <c r="D1163" s="37">
        <f>IFERROR(IF(AND(ISNUMBER('Semi OpInc'!H26),ISNUMBER('Semi OpInc'!D26),ISNUMBER('Semi Rev'!H26),ISNUMBER('Semi Rev'!D26),ABS('Semi Rev'!H26-'Semi Rev'!D26)&gt;=1),('Semi OpInc'!H26-'Semi OpInc'!D26)/('Semi Rev'!H26-'Semi Rev'!D26),""),"")</f>
        <v/>
      </c>
      <c r="E1163" s="37">
        <f>IFERROR(IF(AND(ISNUMBER('Semi OpInc'!I26),ISNUMBER('Semi OpInc'!E26),ISNUMBER('Semi Rev'!I26),ISNUMBER('Semi Rev'!E26),ABS('Semi Rev'!I26-'Semi Rev'!E26)&gt;=1),('Semi OpInc'!I26-'Semi OpInc'!E26)/('Semi Rev'!I26-'Semi Rev'!E26),""),"")</f>
        <v/>
      </c>
      <c r="F1163" s="37">
        <f>IFERROR(IF(AND(ISNUMBER('Semi OpInc'!J26),ISNUMBER('Semi OpInc'!F26),ISNUMBER('Semi Rev'!J26),ISNUMBER('Semi Rev'!F26),ABS('Semi Rev'!J26-'Semi Rev'!F26)&gt;=1),('Semi OpInc'!J26-'Semi OpInc'!F26)/('Semi Rev'!J26-'Semi Rev'!F26),""),"")</f>
        <v/>
      </c>
      <c r="G1163" s="37">
        <f>IFERROR(IF(AND(ISNUMBER('Semi OpInc'!K26),ISNUMBER('Semi OpInc'!G26),ISNUMBER('Semi Rev'!K26),ISNUMBER('Semi Rev'!G26),ABS('Semi Rev'!K26-'Semi Rev'!G26)&gt;=1),('Semi OpInc'!K26-'Semi OpInc'!G26)/('Semi Rev'!K26-'Semi Rev'!G26),""),"")</f>
        <v/>
      </c>
      <c r="H1163" s="37">
        <f>IFERROR(IF(AND(ISNUMBER('Semi OpInc'!L26),ISNUMBER('Semi OpInc'!H26),ISNUMBER('Semi Rev'!L26),ISNUMBER('Semi Rev'!H26),ABS('Semi Rev'!L26-'Semi Rev'!H26)&gt;=1),('Semi OpInc'!L26-'Semi OpInc'!H26)/('Semi Rev'!L26-'Semi Rev'!H26),""),"")</f>
        <v/>
      </c>
      <c r="I1163" s="37">
        <f>IFERROR(IF(AND(ISNUMBER('Semi OpInc'!M26),ISNUMBER('Semi OpInc'!I26),ISNUMBER('Semi Rev'!M26),ISNUMBER('Semi Rev'!I26),ABS('Semi Rev'!M26-'Semi Rev'!I26)&gt;=1),('Semi OpInc'!M26-'Semi OpInc'!I26)/('Semi Rev'!M26-'Semi Rev'!I26),""),"")</f>
        <v/>
      </c>
      <c r="J1163" s="37">
        <f>IFERROR(IF(AND(ISNUMBER('Semi OpInc'!N26),ISNUMBER('Semi OpInc'!J26),ISNUMBER('Semi Rev'!N26),ISNUMBER('Semi Rev'!J26),ABS('Semi Rev'!N26-'Semi Rev'!J26)&gt;=1),('Semi OpInc'!N26-'Semi OpInc'!J26)/('Semi Rev'!N26-'Semi Rev'!J26),""),"")</f>
        <v/>
      </c>
      <c r="K1163" s="37">
        <f>IFERROR(IF(AND(ISNUMBER('Semi OpInc'!O26),ISNUMBER('Semi OpInc'!K26),ISNUMBER('Semi Rev'!O26),ISNUMBER('Semi Rev'!K26),ABS('Semi Rev'!O26-'Semi Rev'!K26)&gt;=1),('Semi OpInc'!O26-'Semi OpInc'!K26)/('Semi Rev'!O26-'Semi Rev'!K26),""),"")</f>
        <v/>
      </c>
      <c r="L1163" s="37">
        <f>IFERROR(IF(AND(ISNUMBER('Semi OpInc'!P26),ISNUMBER('Semi OpInc'!L26),ISNUMBER('Semi Rev'!P26),ISNUMBER('Semi Rev'!L26),ABS('Semi Rev'!P26-'Semi Rev'!L26)&gt;=1),('Semi OpInc'!P26-'Semi OpInc'!L26)/('Semi Rev'!P26-'Semi Rev'!L26),""),"")</f>
        <v/>
      </c>
      <c r="M1163" s="38">
        <f>IFERROR(IF(AND(ISNUMBER('Semi OpInc'!Q26),ISNUMBER('Semi OpInc'!M26),ISNUMBER('Semi Rev'!Q26),ISNUMBER('Semi Rev'!M26),ABS('Semi Rev'!Q26-'Semi Rev'!M26)&gt;=1),('Semi OpInc'!Q26-'Semi OpInc'!M26)/('Semi Rev'!Q26-'Semi Rev'!M26),""),"")</f>
        <v/>
      </c>
      <c r="N1163" s="38">
        <f>IFERROR(IF(AND(ISNUMBER('Semi OpInc'!R26),ISNUMBER('Semi OpInc'!N26),ISNUMBER('Semi Rev'!R26),ISNUMBER('Semi Rev'!N26),ABS('Semi Rev'!R26-'Semi Rev'!N26)&gt;=1),('Semi OpInc'!R26-'Semi OpInc'!N26)/('Semi Rev'!R26-'Semi Rev'!N26),""),"")</f>
        <v/>
      </c>
    </row>
    <row r="1164">
      <c r="A1164" s="19">
        <f>'Semi Rev'!$A27</f>
        <v/>
      </c>
      <c r="B1164" s="19">
        <f>'Semi Rev'!$B27</f>
        <v/>
      </c>
      <c r="C1164" s="37">
        <f>IFERROR(IF(AND(ISNUMBER('Semi OpInc'!G27),ISNUMBER('Semi OpInc'!C27),ISNUMBER('Semi Rev'!G27),ISNUMBER('Semi Rev'!C27),ABS('Semi Rev'!G27-'Semi Rev'!C27)&gt;=1),('Semi OpInc'!G27-'Semi OpInc'!C27)/('Semi Rev'!G27-'Semi Rev'!C27),""),"")</f>
        <v/>
      </c>
      <c r="D1164" s="37">
        <f>IFERROR(IF(AND(ISNUMBER('Semi OpInc'!H27),ISNUMBER('Semi OpInc'!D27),ISNUMBER('Semi Rev'!H27),ISNUMBER('Semi Rev'!D27),ABS('Semi Rev'!H27-'Semi Rev'!D27)&gt;=1),('Semi OpInc'!H27-'Semi OpInc'!D27)/('Semi Rev'!H27-'Semi Rev'!D27),""),"")</f>
        <v/>
      </c>
      <c r="E1164" s="37">
        <f>IFERROR(IF(AND(ISNUMBER('Semi OpInc'!I27),ISNUMBER('Semi OpInc'!E27),ISNUMBER('Semi Rev'!I27),ISNUMBER('Semi Rev'!E27),ABS('Semi Rev'!I27-'Semi Rev'!E27)&gt;=1),('Semi OpInc'!I27-'Semi OpInc'!E27)/('Semi Rev'!I27-'Semi Rev'!E27),""),"")</f>
        <v/>
      </c>
      <c r="F1164" s="37">
        <f>IFERROR(IF(AND(ISNUMBER('Semi OpInc'!J27),ISNUMBER('Semi OpInc'!F27),ISNUMBER('Semi Rev'!J27),ISNUMBER('Semi Rev'!F27),ABS('Semi Rev'!J27-'Semi Rev'!F27)&gt;=1),('Semi OpInc'!J27-'Semi OpInc'!F27)/('Semi Rev'!J27-'Semi Rev'!F27),""),"")</f>
        <v/>
      </c>
      <c r="G1164" s="37">
        <f>IFERROR(IF(AND(ISNUMBER('Semi OpInc'!K27),ISNUMBER('Semi OpInc'!G27),ISNUMBER('Semi Rev'!K27),ISNUMBER('Semi Rev'!G27),ABS('Semi Rev'!K27-'Semi Rev'!G27)&gt;=1),('Semi OpInc'!K27-'Semi OpInc'!G27)/('Semi Rev'!K27-'Semi Rev'!G27),""),"")</f>
        <v/>
      </c>
      <c r="H1164" s="37">
        <f>IFERROR(IF(AND(ISNUMBER('Semi OpInc'!L27),ISNUMBER('Semi OpInc'!H27),ISNUMBER('Semi Rev'!L27),ISNUMBER('Semi Rev'!H27),ABS('Semi Rev'!L27-'Semi Rev'!H27)&gt;=1),('Semi OpInc'!L27-'Semi OpInc'!H27)/('Semi Rev'!L27-'Semi Rev'!H27),""),"")</f>
        <v/>
      </c>
      <c r="I1164" s="37">
        <f>IFERROR(IF(AND(ISNUMBER('Semi OpInc'!M27),ISNUMBER('Semi OpInc'!I27),ISNUMBER('Semi Rev'!M27),ISNUMBER('Semi Rev'!I27),ABS('Semi Rev'!M27-'Semi Rev'!I27)&gt;=1),('Semi OpInc'!M27-'Semi OpInc'!I27)/('Semi Rev'!M27-'Semi Rev'!I27),""),"")</f>
        <v/>
      </c>
      <c r="J1164" s="37">
        <f>IFERROR(IF(AND(ISNUMBER('Semi OpInc'!N27),ISNUMBER('Semi OpInc'!J27),ISNUMBER('Semi Rev'!N27),ISNUMBER('Semi Rev'!J27),ABS('Semi Rev'!N27-'Semi Rev'!J27)&gt;=1),('Semi OpInc'!N27-'Semi OpInc'!J27)/('Semi Rev'!N27-'Semi Rev'!J27),""),"")</f>
        <v/>
      </c>
      <c r="K1164" s="37">
        <f>IFERROR(IF(AND(ISNUMBER('Semi OpInc'!O27),ISNUMBER('Semi OpInc'!K27),ISNUMBER('Semi Rev'!O27),ISNUMBER('Semi Rev'!K27),ABS('Semi Rev'!O27-'Semi Rev'!K27)&gt;=1),('Semi OpInc'!O27-'Semi OpInc'!K27)/('Semi Rev'!O27-'Semi Rev'!K27),""),"")</f>
        <v/>
      </c>
      <c r="L1164" s="37">
        <f>IFERROR(IF(AND(ISNUMBER('Semi OpInc'!P27),ISNUMBER('Semi OpInc'!L27),ISNUMBER('Semi Rev'!P27),ISNUMBER('Semi Rev'!L27),ABS('Semi Rev'!P27-'Semi Rev'!L27)&gt;=1),('Semi OpInc'!P27-'Semi OpInc'!L27)/('Semi Rev'!P27-'Semi Rev'!L27),""),"")</f>
        <v/>
      </c>
      <c r="M1164" s="38">
        <f>IFERROR(IF(AND(ISNUMBER('Semi OpInc'!Q27),ISNUMBER('Semi OpInc'!M27),ISNUMBER('Semi Rev'!Q27),ISNUMBER('Semi Rev'!M27),ABS('Semi Rev'!Q27-'Semi Rev'!M27)&gt;=1),('Semi OpInc'!Q27-'Semi OpInc'!M27)/('Semi Rev'!Q27-'Semi Rev'!M27),""),"")</f>
        <v/>
      </c>
      <c r="N1164" s="38">
        <f>IFERROR(IF(AND(ISNUMBER('Semi OpInc'!R27),ISNUMBER('Semi OpInc'!N27),ISNUMBER('Semi Rev'!R27),ISNUMBER('Semi Rev'!N27),ABS('Semi Rev'!R27-'Semi Rev'!N27)&gt;=1),('Semi OpInc'!R27-'Semi OpInc'!N27)/('Semi Rev'!R27-'Semi Rev'!N27),""),"")</f>
        <v/>
      </c>
    </row>
    <row r="1165">
      <c r="A1165" s="19">
        <f>'Semi Rev'!$A28</f>
        <v/>
      </c>
      <c r="B1165" s="19">
        <f>'Semi Rev'!$B28</f>
        <v/>
      </c>
      <c r="C1165" s="37">
        <f>IFERROR(IF(AND(ISNUMBER('Semi OpInc'!G28),ISNUMBER('Semi OpInc'!C28),ISNUMBER('Semi Rev'!G28),ISNUMBER('Semi Rev'!C28),ABS('Semi Rev'!G28-'Semi Rev'!C28)&gt;=1),('Semi OpInc'!G28-'Semi OpInc'!C28)/('Semi Rev'!G28-'Semi Rev'!C28),""),"")</f>
        <v/>
      </c>
      <c r="D1165" s="37">
        <f>IFERROR(IF(AND(ISNUMBER('Semi OpInc'!H28),ISNUMBER('Semi OpInc'!D28),ISNUMBER('Semi Rev'!H28),ISNUMBER('Semi Rev'!D28),ABS('Semi Rev'!H28-'Semi Rev'!D28)&gt;=1),('Semi OpInc'!H28-'Semi OpInc'!D28)/('Semi Rev'!H28-'Semi Rev'!D28),""),"")</f>
        <v/>
      </c>
      <c r="E1165" s="37">
        <f>IFERROR(IF(AND(ISNUMBER('Semi OpInc'!I28),ISNUMBER('Semi OpInc'!E28),ISNUMBER('Semi Rev'!I28),ISNUMBER('Semi Rev'!E28),ABS('Semi Rev'!I28-'Semi Rev'!E28)&gt;=1),('Semi OpInc'!I28-'Semi OpInc'!E28)/('Semi Rev'!I28-'Semi Rev'!E28),""),"")</f>
        <v/>
      </c>
      <c r="F1165" s="37">
        <f>IFERROR(IF(AND(ISNUMBER('Semi OpInc'!J28),ISNUMBER('Semi OpInc'!F28),ISNUMBER('Semi Rev'!J28),ISNUMBER('Semi Rev'!F28),ABS('Semi Rev'!J28-'Semi Rev'!F28)&gt;=1),('Semi OpInc'!J28-'Semi OpInc'!F28)/('Semi Rev'!J28-'Semi Rev'!F28),""),"")</f>
        <v/>
      </c>
      <c r="G1165" s="37">
        <f>IFERROR(IF(AND(ISNUMBER('Semi OpInc'!K28),ISNUMBER('Semi OpInc'!G28),ISNUMBER('Semi Rev'!K28),ISNUMBER('Semi Rev'!G28),ABS('Semi Rev'!K28-'Semi Rev'!G28)&gt;=1),('Semi OpInc'!K28-'Semi OpInc'!G28)/('Semi Rev'!K28-'Semi Rev'!G28),""),"")</f>
        <v/>
      </c>
      <c r="H1165" s="37">
        <f>IFERROR(IF(AND(ISNUMBER('Semi OpInc'!L28),ISNUMBER('Semi OpInc'!H28),ISNUMBER('Semi Rev'!L28),ISNUMBER('Semi Rev'!H28),ABS('Semi Rev'!L28-'Semi Rev'!H28)&gt;=1),('Semi OpInc'!L28-'Semi OpInc'!H28)/('Semi Rev'!L28-'Semi Rev'!H28),""),"")</f>
        <v/>
      </c>
      <c r="I1165" s="37">
        <f>IFERROR(IF(AND(ISNUMBER('Semi OpInc'!M28),ISNUMBER('Semi OpInc'!I28),ISNUMBER('Semi Rev'!M28),ISNUMBER('Semi Rev'!I28),ABS('Semi Rev'!M28-'Semi Rev'!I28)&gt;=1),('Semi OpInc'!M28-'Semi OpInc'!I28)/('Semi Rev'!M28-'Semi Rev'!I28),""),"")</f>
        <v/>
      </c>
      <c r="J1165" s="37">
        <f>IFERROR(IF(AND(ISNUMBER('Semi OpInc'!N28),ISNUMBER('Semi OpInc'!J28),ISNUMBER('Semi Rev'!N28),ISNUMBER('Semi Rev'!J28),ABS('Semi Rev'!N28-'Semi Rev'!J28)&gt;=1),('Semi OpInc'!N28-'Semi OpInc'!J28)/('Semi Rev'!N28-'Semi Rev'!J28),""),"")</f>
        <v/>
      </c>
      <c r="K1165" s="37">
        <f>IFERROR(IF(AND(ISNUMBER('Semi OpInc'!O28),ISNUMBER('Semi OpInc'!K28),ISNUMBER('Semi Rev'!O28),ISNUMBER('Semi Rev'!K28),ABS('Semi Rev'!O28-'Semi Rev'!K28)&gt;=1),('Semi OpInc'!O28-'Semi OpInc'!K28)/('Semi Rev'!O28-'Semi Rev'!K28),""),"")</f>
        <v/>
      </c>
      <c r="L1165" s="37">
        <f>IFERROR(IF(AND(ISNUMBER('Semi OpInc'!P28),ISNUMBER('Semi OpInc'!L28),ISNUMBER('Semi Rev'!P28),ISNUMBER('Semi Rev'!L28),ABS('Semi Rev'!P28-'Semi Rev'!L28)&gt;=1),('Semi OpInc'!P28-'Semi OpInc'!L28)/('Semi Rev'!P28-'Semi Rev'!L28),""),"")</f>
        <v/>
      </c>
      <c r="M1165" s="38">
        <f>IFERROR(IF(AND(ISNUMBER('Semi OpInc'!Q28),ISNUMBER('Semi OpInc'!M28),ISNUMBER('Semi Rev'!Q28),ISNUMBER('Semi Rev'!M28),ABS('Semi Rev'!Q28-'Semi Rev'!M28)&gt;=1),('Semi OpInc'!Q28-'Semi OpInc'!M28)/('Semi Rev'!Q28-'Semi Rev'!M28),""),"")</f>
        <v/>
      </c>
      <c r="N1165" s="38">
        <f>IFERROR(IF(AND(ISNUMBER('Semi OpInc'!R28),ISNUMBER('Semi OpInc'!N28),ISNUMBER('Semi Rev'!R28),ISNUMBER('Semi Rev'!N28),ABS('Semi Rev'!R28-'Semi Rev'!N28)&gt;=1),('Semi OpInc'!R28-'Semi OpInc'!N28)/('Semi Rev'!R28-'Semi Rev'!N28),""),"")</f>
        <v/>
      </c>
    </row>
    <row r="1166">
      <c r="A1166" s="19">
        <f>'Semi Rev'!$A29</f>
        <v/>
      </c>
      <c r="B1166" s="19">
        <f>'Semi Rev'!$B29</f>
        <v/>
      </c>
      <c r="C1166" s="37">
        <f>IFERROR(IF(AND(ISNUMBER('Semi OpInc'!G29),ISNUMBER('Semi OpInc'!C29),ISNUMBER('Semi Rev'!G29),ISNUMBER('Semi Rev'!C29),ABS('Semi Rev'!G29-'Semi Rev'!C29)&gt;=1),('Semi OpInc'!G29-'Semi OpInc'!C29)/('Semi Rev'!G29-'Semi Rev'!C29),""),"")</f>
        <v/>
      </c>
      <c r="D1166" s="37">
        <f>IFERROR(IF(AND(ISNUMBER('Semi OpInc'!H29),ISNUMBER('Semi OpInc'!D29),ISNUMBER('Semi Rev'!H29),ISNUMBER('Semi Rev'!D29),ABS('Semi Rev'!H29-'Semi Rev'!D29)&gt;=1),('Semi OpInc'!H29-'Semi OpInc'!D29)/('Semi Rev'!H29-'Semi Rev'!D29),""),"")</f>
        <v/>
      </c>
      <c r="E1166" s="37">
        <f>IFERROR(IF(AND(ISNUMBER('Semi OpInc'!I29),ISNUMBER('Semi OpInc'!E29),ISNUMBER('Semi Rev'!I29),ISNUMBER('Semi Rev'!E29),ABS('Semi Rev'!I29-'Semi Rev'!E29)&gt;=1),('Semi OpInc'!I29-'Semi OpInc'!E29)/('Semi Rev'!I29-'Semi Rev'!E29),""),"")</f>
        <v/>
      </c>
      <c r="F1166" s="37">
        <f>IFERROR(IF(AND(ISNUMBER('Semi OpInc'!J29),ISNUMBER('Semi OpInc'!F29),ISNUMBER('Semi Rev'!J29),ISNUMBER('Semi Rev'!F29),ABS('Semi Rev'!J29-'Semi Rev'!F29)&gt;=1),('Semi OpInc'!J29-'Semi OpInc'!F29)/('Semi Rev'!J29-'Semi Rev'!F29),""),"")</f>
        <v/>
      </c>
      <c r="G1166" s="37">
        <f>IFERROR(IF(AND(ISNUMBER('Semi OpInc'!K29),ISNUMBER('Semi OpInc'!G29),ISNUMBER('Semi Rev'!K29),ISNUMBER('Semi Rev'!G29),ABS('Semi Rev'!K29-'Semi Rev'!G29)&gt;=1),('Semi OpInc'!K29-'Semi OpInc'!G29)/('Semi Rev'!K29-'Semi Rev'!G29),""),"")</f>
        <v/>
      </c>
      <c r="H1166" s="37">
        <f>IFERROR(IF(AND(ISNUMBER('Semi OpInc'!L29),ISNUMBER('Semi OpInc'!H29),ISNUMBER('Semi Rev'!L29),ISNUMBER('Semi Rev'!H29),ABS('Semi Rev'!L29-'Semi Rev'!H29)&gt;=1),('Semi OpInc'!L29-'Semi OpInc'!H29)/('Semi Rev'!L29-'Semi Rev'!H29),""),"")</f>
        <v/>
      </c>
      <c r="I1166" s="37">
        <f>IFERROR(IF(AND(ISNUMBER('Semi OpInc'!M29),ISNUMBER('Semi OpInc'!I29),ISNUMBER('Semi Rev'!M29),ISNUMBER('Semi Rev'!I29),ABS('Semi Rev'!M29-'Semi Rev'!I29)&gt;=1),('Semi OpInc'!M29-'Semi OpInc'!I29)/('Semi Rev'!M29-'Semi Rev'!I29),""),"")</f>
        <v/>
      </c>
      <c r="J1166" s="37">
        <f>IFERROR(IF(AND(ISNUMBER('Semi OpInc'!N29),ISNUMBER('Semi OpInc'!J29),ISNUMBER('Semi Rev'!N29),ISNUMBER('Semi Rev'!J29),ABS('Semi Rev'!N29-'Semi Rev'!J29)&gt;=1),('Semi OpInc'!N29-'Semi OpInc'!J29)/('Semi Rev'!N29-'Semi Rev'!J29),""),"")</f>
        <v/>
      </c>
      <c r="K1166" s="37">
        <f>IFERROR(IF(AND(ISNUMBER('Semi OpInc'!O29),ISNUMBER('Semi OpInc'!K29),ISNUMBER('Semi Rev'!O29),ISNUMBER('Semi Rev'!K29),ABS('Semi Rev'!O29-'Semi Rev'!K29)&gt;=1),('Semi OpInc'!O29-'Semi OpInc'!K29)/('Semi Rev'!O29-'Semi Rev'!K29),""),"")</f>
        <v/>
      </c>
      <c r="L1166" s="37">
        <f>IFERROR(IF(AND(ISNUMBER('Semi OpInc'!P29),ISNUMBER('Semi OpInc'!L29),ISNUMBER('Semi Rev'!P29),ISNUMBER('Semi Rev'!L29),ABS('Semi Rev'!P29-'Semi Rev'!L29)&gt;=1),('Semi OpInc'!P29-'Semi OpInc'!L29)/('Semi Rev'!P29-'Semi Rev'!L29),""),"")</f>
        <v/>
      </c>
      <c r="M1166" s="38">
        <f>IFERROR(IF(AND(ISNUMBER('Semi OpInc'!Q29),ISNUMBER('Semi OpInc'!M29),ISNUMBER('Semi Rev'!Q29),ISNUMBER('Semi Rev'!M29),ABS('Semi Rev'!Q29-'Semi Rev'!M29)&gt;=1),('Semi OpInc'!Q29-'Semi OpInc'!M29)/('Semi Rev'!Q29-'Semi Rev'!M29),""),"")</f>
        <v/>
      </c>
      <c r="N1166" s="38">
        <f>IFERROR(IF(AND(ISNUMBER('Semi OpInc'!R29),ISNUMBER('Semi OpInc'!N29),ISNUMBER('Semi Rev'!R29),ISNUMBER('Semi Rev'!N29),ABS('Semi Rev'!R29-'Semi Rev'!N29)&gt;=1),('Semi OpInc'!R29-'Semi OpInc'!N29)/('Semi Rev'!R29-'Semi Rev'!N29),""),"")</f>
        <v/>
      </c>
    </row>
    <row r="1167">
      <c r="A1167" s="19">
        <f>'Semi Rev'!$A30</f>
        <v/>
      </c>
      <c r="B1167" s="19">
        <f>'Semi Rev'!$B30</f>
        <v/>
      </c>
      <c r="C1167" s="37">
        <f>IFERROR(IF(AND(ISNUMBER('Semi OpInc'!G30),ISNUMBER('Semi OpInc'!C30),ISNUMBER('Semi Rev'!G30),ISNUMBER('Semi Rev'!C30),ABS('Semi Rev'!G30-'Semi Rev'!C30)&gt;=1),('Semi OpInc'!G30-'Semi OpInc'!C30)/('Semi Rev'!G30-'Semi Rev'!C30),""),"")</f>
        <v/>
      </c>
      <c r="D1167" s="37">
        <f>IFERROR(IF(AND(ISNUMBER('Semi OpInc'!H30),ISNUMBER('Semi OpInc'!D30),ISNUMBER('Semi Rev'!H30),ISNUMBER('Semi Rev'!D30),ABS('Semi Rev'!H30-'Semi Rev'!D30)&gt;=1),('Semi OpInc'!H30-'Semi OpInc'!D30)/('Semi Rev'!H30-'Semi Rev'!D30),""),"")</f>
        <v/>
      </c>
      <c r="E1167" s="37">
        <f>IFERROR(IF(AND(ISNUMBER('Semi OpInc'!I30),ISNUMBER('Semi OpInc'!E30),ISNUMBER('Semi Rev'!I30),ISNUMBER('Semi Rev'!E30),ABS('Semi Rev'!I30-'Semi Rev'!E30)&gt;=1),('Semi OpInc'!I30-'Semi OpInc'!E30)/('Semi Rev'!I30-'Semi Rev'!E30),""),"")</f>
        <v/>
      </c>
      <c r="F1167" s="37">
        <f>IFERROR(IF(AND(ISNUMBER('Semi OpInc'!J30),ISNUMBER('Semi OpInc'!F30),ISNUMBER('Semi Rev'!J30),ISNUMBER('Semi Rev'!F30),ABS('Semi Rev'!J30-'Semi Rev'!F30)&gt;=1),('Semi OpInc'!J30-'Semi OpInc'!F30)/('Semi Rev'!J30-'Semi Rev'!F30),""),"")</f>
        <v/>
      </c>
      <c r="G1167" s="37">
        <f>IFERROR(IF(AND(ISNUMBER('Semi OpInc'!K30),ISNUMBER('Semi OpInc'!G30),ISNUMBER('Semi Rev'!K30),ISNUMBER('Semi Rev'!G30),ABS('Semi Rev'!K30-'Semi Rev'!G30)&gt;=1),('Semi OpInc'!K30-'Semi OpInc'!G30)/('Semi Rev'!K30-'Semi Rev'!G30),""),"")</f>
        <v/>
      </c>
      <c r="H1167" s="37">
        <f>IFERROR(IF(AND(ISNUMBER('Semi OpInc'!L30),ISNUMBER('Semi OpInc'!H30),ISNUMBER('Semi Rev'!L30),ISNUMBER('Semi Rev'!H30),ABS('Semi Rev'!L30-'Semi Rev'!H30)&gt;=1),('Semi OpInc'!L30-'Semi OpInc'!H30)/('Semi Rev'!L30-'Semi Rev'!H30),""),"")</f>
        <v/>
      </c>
      <c r="I1167" s="37">
        <f>IFERROR(IF(AND(ISNUMBER('Semi OpInc'!M30),ISNUMBER('Semi OpInc'!I30),ISNUMBER('Semi Rev'!M30),ISNUMBER('Semi Rev'!I30),ABS('Semi Rev'!M30-'Semi Rev'!I30)&gt;=1),('Semi OpInc'!M30-'Semi OpInc'!I30)/('Semi Rev'!M30-'Semi Rev'!I30),""),"")</f>
        <v/>
      </c>
      <c r="J1167" s="37">
        <f>IFERROR(IF(AND(ISNUMBER('Semi OpInc'!N30),ISNUMBER('Semi OpInc'!J30),ISNUMBER('Semi Rev'!N30),ISNUMBER('Semi Rev'!J30),ABS('Semi Rev'!N30-'Semi Rev'!J30)&gt;=1),('Semi OpInc'!N30-'Semi OpInc'!J30)/('Semi Rev'!N30-'Semi Rev'!J30),""),"")</f>
        <v/>
      </c>
      <c r="K1167" s="37">
        <f>IFERROR(IF(AND(ISNUMBER('Semi OpInc'!O30),ISNUMBER('Semi OpInc'!K30),ISNUMBER('Semi Rev'!O30),ISNUMBER('Semi Rev'!K30),ABS('Semi Rev'!O30-'Semi Rev'!K30)&gt;=1),('Semi OpInc'!O30-'Semi OpInc'!K30)/('Semi Rev'!O30-'Semi Rev'!K30),""),"")</f>
        <v/>
      </c>
      <c r="L1167" s="37">
        <f>IFERROR(IF(AND(ISNUMBER('Semi OpInc'!P30),ISNUMBER('Semi OpInc'!L30),ISNUMBER('Semi Rev'!P30),ISNUMBER('Semi Rev'!L30),ABS('Semi Rev'!P30-'Semi Rev'!L30)&gt;=1),('Semi OpInc'!P30-'Semi OpInc'!L30)/('Semi Rev'!P30-'Semi Rev'!L30),""),"")</f>
        <v/>
      </c>
      <c r="M1167" s="38">
        <f>IFERROR(IF(AND(ISNUMBER('Semi OpInc'!Q30),ISNUMBER('Semi OpInc'!M30),ISNUMBER('Semi Rev'!Q30),ISNUMBER('Semi Rev'!M30),ABS('Semi Rev'!Q30-'Semi Rev'!M30)&gt;=1),('Semi OpInc'!Q30-'Semi OpInc'!M30)/('Semi Rev'!Q30-'Semi Rev'!M30),""),"")</f>
        <v/>
      </c>
      <c r="N1167" s="38">
        <f>IFERROR(IF(AND(ISNUMBER('Semi OpInc'!R30),ISNUMBER('Semi OpInc'!N30),ISNUMBER('Semi Rev'!R30),ISNUMBER('Semi Rev'!N30),ABS('Semi Rev'!R30-'Semi Rev'!N30)&gt;=1),('Semi OpInc'!R30-'Semi OpInc'!N30)/('Semi Rev'!R30-'Semi Rev'!N30),""),"")</f>
        <v/>
      </c>
    </row>
    <row r="1168">
      <c r="A1168" s="19">
        <f>'Semi Rev'!$A31</f>
        <v/>
      </c>
      <c r="B1168" s="19">
        <f>'Semi Rev'!$B31</f>
        <v/>
      </c>
      <c r="C1168" s="37">
        <f>IFERROR(IF(AND(ISNUMBER('Semi OpInc'!G31),ISNUMBER('Semi OpInc'!C31),ISNUMBER('Semi Rev'!G31),ISNUMBER('Semi Rev'!C31),ABS('Semi Rev'!G31-'Semi Rev'!C31)&gt;=1),('Semi OpInc'!G31-'Semi OpInc'!C31)/('Semi Rev'!G31-'Semi Rev'!C31),""),"")</f>
        <v/>
      </c>
      <c r="D1168" s="37">
        <f>IFERROR(IF(AND(ISNUMBER('Semi OpInc'!H31),ISNUMBER('Semi OpInc'!D31),ISNUMBER('Semi Rev'!H31),ISNUMBER('Semi Rev'!D31),ABS('Semi Rev'!H31-'Semi Rev'!D31)&gt;=1),('Semi OpInc'!H31-'Semi OpInc'!D31)/('Semi Rev'!H31-'Semi Rev'!D31),""),"")</f>
        <v/>
      </c>
      <c r="E1168" s="37">
        <f>IFERROR(IF(AND(ISNUMBER('Semi OpInc'!I31),ISNUMBER('Semi OpInc'!E31),ISNUMBER('Semi Rev'!I31),ISNUMBER('Semi Rev'!E31),ABS('Semi Rev'!I31-'Semi Rev'!E31)&gt;=1),('Semi OpInc'!I31-'Semi OpInc'!E31)/('Semi Rev'!I31-'Semi Rev'!E31),""),"")</f>
        <v/>
      </c>
      <c r="F1168" s="37">
        <f>IFERROR(IF(AND(ISNUMBER('Semi OpInc'!J31),ISNUMBER('Semi OpInc'!F31),ISNUMBER('Semi Rev'!J31),ISNUMBER('Semi Rev'!F31),ABS('Semi Rev'!J31-'Semi Rev'!F31)&gt;=1),('Semi OpInc'!J31-'Semi OpInc'!F31)/('Semi Rev'!J31-'Semi Rev'!F31),""),"")</f>
        <v/>
      </c>
      <c r="G1168" s="37">
        <f>IFERROR(IF(AND(ISNUMBER('Semi OpInc'!K31),ISNUMBER('Semi OpInc'!G31),ISNUMBER('Semi Rev'!K31),ISNUMBER('Semi Rev'!G31),ABS('Semi Rev'!K31-'Semi Rev'!G31)&gt;=1),('Semi OpInc'!K31-'Semi OpInc'!G31)/('Semi Rev'!K31-'Semi Rev'!G31),""),"")</f>
        <v/>
      </c>
      <c r="H1168" s="37">
        <f>IFERROR(IF(AND(ISNUMBER('Semi OpInc'!L31),ISNUMBER('Semi OpInc'!H31),ISNUMBER('Semi Rev'!L31),ISNUMBER('Semi Rev'!H31),ABS('Semi Rev'!L31-'Semi Rev'!H31)&gt;=1),('Semi OpInc'!L31-'Semi OpInc'!H31)/('Semi Rev'!L31-'Semi Rev'!H31),""),"")</f>
        <v/>
      </c>
      <c r="I1168" s="37">
        <f>IFERROR(IF(AND(ISNUMBER('Semi OpInc'!M31),ISNUMBER('Semi OpInc'!I31),ISNUMBER('Semi Rev'!M31),ISNUMBER('Semi Rev'!I31),ABS('Semi Rev'!M31-'Semi Rev'!I31)&gt;=1),('Semi OpInc'!M31-'Semi OpInc'!I31)/('Semi Rev'!M31-'Semi Rev'!I31),""),"")</f>
        <v/>
      </c>
      <c r="J1168" s="37">
        <f>IFERROR(IF(AND(ISNUMBER('Semi OpInc'!N31),ISNUMBER('Semi OpInc'!J31),ISNUMBER('Semi Rev'!N31),ISNUMBER('Semi Rev'!J31),ABS('Semi Rev'!N31-'Semi Rev'!J31)&gt;=1),('Semi OpInc'!N31-'Semi OpInc'!J31)/('Semi Rev'!N31-'Semi Rev'!J31),""),"")</f>
        <v/>
      </c>
      <c r="K1168" s="37">
        <f>IFERROR(IF(AND(ISNUMBER('Semi OpInc'!O31),ISNUMBER('Semi OpInc'!K31),ISNUMBER('Semi Rev'!O31),ISNUMBER('Semi Rev'!K31),ABS('Semi Rev'!O31-'Semi Rev'!K31)&gt;=1),('Semi OpInc'!O31-'Semi OpInc'!K31)/('Semi Rev'!O31-'Semi Rev'!K31),""),"")</f>
        <v/>
      </c>
      <c r="L1168" s="37">
        <f>IFERROR(IF(AND(ISNUMBER('Semi OpInc'!P31),ISNUMBER('Semi OpInc'!L31),ISNUMBER('Semi Rev'!P31),ISNUMBER('Semi Rev'!L31),ABS('Semi Rev'!P31-'Semi Rev'!L31)&gt;=1),('Semi OpInc'!P31-'Semi OpInc'!L31)/('Semi Rev'!P31-'Semi Rev'!L31),""),"")</f>
        <v/>
      </c>
      <c r="M1168" s="38">
        <f>IFERROR(IF(AND(ISNUMBER('Semi OpInc'!Q31),ISNUMBER('Semi OpInc'!M31),ISNUMBER('Semi Rev'!Q31),ISNUMBER('Semi Rev'!M31),ABS('Semi Rev'!Q31-'Semi Rev'!M31)&gt;=1),('Semi OpInc'!Q31-'Semi OpInc'!M31)/('Semi Rev'!Q31-'Semi Rev'!M31),""),"")</f>
        <v/>
      </c>
      <c r="N1168" s="38">
        <f>IFERROR(IF(AND(ISNUMBER('Semi OpInc'!R31),ISNUMBER('Semi OpInc'!N31),ISNUMBER('Semi Rev'!R31),ISNUMBER('Semi Rev'!N31),ABS('Semi Rev'!R31-'Semi Rev'!N31)&gt;=1),('Semi OpInc'!R31-'Semi OpInc'!N31)/('Semi Rev'!R31-'Semi Rev'!N31),""),"")</f>
        <v/>
      </c>
    </row>
    <row r="1169">
      <c r="A1169" s="19">
        <f>'Semi Rev'!$A32</f>
        <v/>
      </c>
      <c r="B1169" s="19">
        <f>'Semi Rev'!$B32</f>
        <v/>
      </c>
      <c r="C1169" s="37">
        <f>IFERROR(IF(AND(ISNUMBER('Semi OpInc'!G32),ISNUMBER('Semi OpInc'!C32),ISNUMBER('Semi Rev'!G32),ISNUMBER('Semi Rev'!C32),ABS('Semi Rev'!G32-'Semi Rev'!C32)&gt;=1),('Semi OpInc'!G32-'Semi OpInc'!C32)/('Semi Rev'!G32-'Semi Rev'!C32),""),"")</f>
        <v/>
      </c>
      <c r="D1169" s="37">
        <f>IFERROR(IF(AND(ISNUMBER('Semi OpInc'!H32),ISNUMBER('Semi OpInc'!D32),ISNUMBER('Semi Rev'!H32),ISNUMBER('Semi Rev'!D32),ABS('Semi Rev'!H32-'Semi Rev'!D32)&gt;=1),('Semi OpInc'!H32-'Semi OpInc'!D32)/('Semi Rev'!H32-'Semi Rev'!D32),""),"")</f>
        <v/>
      </c>
      <c r="E1169" s="37">
        <f>IFERROR(IF(AND(ISNUMBER('Semi OpInc'!I32),ISNUMBER('Semi OpInc'!E32),ISNUMBER('Semi Rev'!I32),ISNUMBER('Semi Rev'!E32),ABS('Semi Rev'!I32-'Semi Rev'!E32)&gt;=1),('Semi OpInc'!I32-'Semi OpInc'!E32)/('Semi Rev'!I32-'Semi Rev'!E32),""),"")</f>
        <v/>
      </c>
      <c r="F1169" s="37">
        <f>IFERROR(IF(AND(ISNUMBER('Semi OpInc'!J32),ISNUMBER('Semi OpInc'!F32),ISNUMBER('Semi Rev'!J32),ISNUMBER('Semi Rev'!F32),ABS('Semi Rev'!J32-'Semi Rev'!F32)&gt;=1),('Semi OpInc'!J32-'Semi OpInc'!F32)/('Semi Rev'!J32-'Semi Rev'!F32),""),"")</f>
        <v/>
      </c>
      <c r="G1169" s="37">
        <f>IFERROR(IF(AND(ISNUMBER('Semi OpInc'!K32),ISNUMBER('Semi OpInc'!G32),ISNUMBER('Semi Rev'!K32),ISNUMBER('Semi Rev'!G32),ABS('Semi Rev'!K32-'Semi Rev'!G32)&gt;=1),('Semi OpInc'!K32-'Semi OpInc'!G32)/('Semi Rev'!K32-'Semi Rev'!G32),""),"")</f>
        <v/>
      </c>
      <c r="H1169" s="37">
        <f>IFERROR(IF(AND(ISNUMBER('Semi OpInc'!L32),ISNUMBER('Semi OpInc'!H32),ISNUMBER('Semi Rev'!L32),ISNUMBER('Semi Rev'!H32),ABS('Semi Rev'!L32-'Semi Rev'!H32)&gt;=1),('Semi OpInc'!L32-'Semi OpInc'!H32)/('Semi Rev'!L32-'Semi Rev'!H32),""),"")</f>
        <v/>
      </c>
      <c r="I1169" s="37">
        <f>IFERROR(IF(AND(ISNUMBER('Semi OpInc'!M32),ISNUMBER('Semi OpInc'!I32),ISNUMBER('Semi Rev'!M32),ISNUMBER('Semi Rev'!I32),ABS('Semi Rev'!M32-'Semi Rev'!I32)&gt;=1),('Semi OpInc'!M32-'Semi OpInc'!I32)/('Semi Rev'!M32-'Semi Rev'!I32),""),"")</f>
        <v/>
      </c>
      <c r="J1169" s="37">
        <f>IFERROR(IF(AND(ISNUMBER('Semi OpInc'!N32),ISNUMBER('Semi OpInc'!J32),ISNUMBER('Semi Rev'!N32),ISNUMBER('Semi Rev'!J32),ABS('Semi Rev'!N32-'Semi Rev'!J32)&gt;=1),('Semi OpInc'!N32-'Semi OpInc'!J32)/('Semi Rev'!N32-'Semi Rev'!J32),""),"")</f>
        <v/>
      </c>
      <c r="K1169" s="37">
        <f>IFERROR(IF(AND(ISNUMBER('Semi OpInc'!O32),ISNUMBER('Semi OpInc'!K32),ISNUMBER('Semi Rev'!O32),ISNUMBER('Semi Rev'!K32),ABS('Semi Rev'!O32-'Semi Rev'!K32)&gt;=1),('Semi OpInc'!O32-'Semi OpInc'!K32)/('Semi Rev'!O32-'Semi Rev'!K32),""),"")</f>
        <v/>
      </c>
      <c r="L1169" s="37">
        <f>IFERROR(IF(AND(ISNUMBER('Semi OpInc'!P32),ISNUMBER('Semi OpInc'!L32),ISNUMBER('Semi Rev'!P32),ISNUMBER('Semi Rev'!L32),ABS('Semi Rev'!P32-'Semi Rev'!L32)&gt;=1),('Semi OpInc'!P32-'Semi OpInc'!L32)/('Semi Rev'!P32-'Semi Rev'!L32),""),"")</f>
        <v/>
      </c>
      <c r="M1169" s="38">
        <f>IFERROR(IF(AND(ISNUMBER('Semi OpInc'!Q32),ISNUMBER('Semi OpInc'!M32),ISNUMBER('Semi Rev'!Q32),ISNUMBER('Semi Rev'!M32),ABS('Semi Rev'!Q32-'Semi Rev'!M32)&gt;=1),('Semi OpInc'!Q32-'Semi OpInc'!M32)/('Semi Rev'!Q32-'Semi Rev'!M32),""),"")</f>
        <v/>
      </c>
      <c r="N1169" s="38">
        <f>IFERROR(IF(AND(ISNUMBER('Semi OpInc'!R32),ISNUMBER('Semi OpInc'!N32),ISNUMBER('Semi Rev'!R32),ISNUMBER('Semi Rev'!N32),ABS('Semi Rev'!R32-'Semi Rev'!N32)&gt;=1),('Semi OpInc'!R32-'Semi OpInc'!N32)/('Semi Rev'!R32-'Semi Rev'!N32),""),"")</f>
        <v/>
      </c>
    </row>
    <row r="1170">
      <c r="A1170" s="19">
        <f>'Semi Rev'!$A33</f>
        <v/>
      </c>
      <c r="B1170" s="19">
        <f>'Semi Rev'!$B33</f>
        <v/>
      </c>
      <c r="C1170" s="37">
        <f>IFERROR(IF(AND(ISNUMBER('Semi OpInc'!G33),ISNUMBER('Semi OpInc'!C33),ISNUMBER('Semi Rev'!G33),ISNUMBER('Semi Rev'!C33),ABS('Semi Rev'!G33-'Semi Rev'!C33)&gt;=1),('Semi OpInc'!G33-'Semi OpInc'!C33)/('Semi Rev'!G33-'Semi Rev'!C33),""),"")</f>
        <v/>
      </c>
      <c r="D1170" s="37">
        <f>IFERROR(IF(AND(ISNUMBER('Semi OpInc'!H33),ISNUMBER('Semi OpInc'!D33),ISNUMBER('Semi Rev'!H33),ISNUMBER('Semi Rev'!D33),ABS('Semi Rev'!H33-'Semi Rev'!D33)&gt;=1),('Semi OpInc'!H33-'Semi OpInc'!D33)/('Semi Rev'!H33-'Semi Rev'!D33),""),"")</f>
        <v/>
      </c>
      <c r="E1170" s="37">
        <f>IFERROR(IF(AND(ISNUMBER('Semi OpInc'!I33),ISNUMBER('Semi OpInc'!E33),ISNUMBER('Semi Rev'!I33),ISNUMBER('Semi Rev'!E33),ABS('Semi Rev'!I33-'Semi Rev'!E33)&gt;=1),('Semi OpInc'!I33-'Semi OpInc'!E33)/('Semi Rev'!I33-'Semi Rev'!E33),""),"")</f>
        <v/>
      </c>
      <c r="F1170" s="37">
        <f>IFERROR(IF(AND(ISNUMBER('Semi OpInc'!J33),ISNUMBER('Semi OpInc'!F33),ISNUMBER('Semi Rev'!J33),ISNUMBER('Semi Rev'!F33),ABS('Semi Rev'!J33-'Semi Rev'!F33)&gt;=1),('Semi OpInc'!J33-'Semi OpInc'!F33)/('Semi Rev'!J33-'Semi Rev'!F33),""),"")</f>
        <v/>
      </c>
      <c r="G1170" s="37">
        <f>IFERROR(IF(AND(ISNUMBER('Semi OpInc'!K33),ISNUMBER('Semi OpInc'!G33),ISNUMBER('Semi Rev'!K33),ISNUMBER('Semi Rev'!G33),ABS('Semi Rev'!K33-'Semi Rev'!G33)&gt;=1),('Semi OpInc'!K33-'Semi OpInc'!G33)/('Semi Rev'!K33-'Semi Rev'!G33),""),"")</f>
        <v/>
      </c>
      <c r="H1170" s="37">
        <f>IFERROR(IF(AND(ISNUMBER('Semi OpInc'!L33),ISNUMBER('Semi OpInc'!H33),ISNUMBER('Semi Rev'!L33),ISNUMBER('Semi Rev'!H33),ABS('Semi Rev'!L33-'Semi Rev'!H33)&gt;=1),('Semi OpInc'!L33-'Semi OpInc'!H33)/('Semi Rev'!L33-'Semi Rev'!H33),""),"")</f>
        <v/>
      </c>
      <c r="I1170" s="37">
        <f>IFERROR(IF(AND(ISNUMBER('Semi OpInc'!M33),ISNUMBER('Semi OpInc'!I33),ISNUMBER('Semi Rev'!M33),ISNUMBER('Semi Rev'!I33),ABS('Semi Rev'!M33-'Semi Rev'!I33)&gt;=1),('Semi OpInc'!M33-'Semi OpInc'!I33)/('Semi Rev'!M33-'Semi Rev'!I33),""),"")</f>
        <v/>
      </c>
      <c r="J1170" s="37">
        <f>IFERROR(IF(AND(ISNUMBER('Semi OpInc'!N33),ISNUMBER('Semi OpInc'!J33),ISNUMBER('Semi Rev'!N33),ISNUMBER('Semi Rev'!J33),ABS('Semi Rev'!N33-'Semi Rev'!J33)&gt;=1),('Semi OpInc'!N33-'Semi OpInc'!J33)/('Semi Rev'!N33-'Semi Rev'!J33),""),"")</f>
        <v/>
      </c>
      <c r="K1170" s="37">
        <f>IFERROR(IF(AND(ISNUMBER('Semi OpInc'!O33),ISNUMBER('Semi OpInc'!K33),ISNUMBER('Semi Rev'!O33),ISNUMBER('Semi Rev'!K33),ABS('Semi Rev'!O33-'Semi Rev'!K33)&gt;=1),('Semi OpInc'!O33-'Semi OpInc'!K33)/('Semi Rev'!O33-'Semi Rev'!K33),""),"")</f>
        <v/>
      </c>
      <c r="L1170" s="37">
        <f>IFERROR(IF(AND(ISNUMBER('Semi OpInc'!P33),ISNUMBER('Semi OpInc'!L33),ISNUMBER('Semi Rev'!P33),ISNUMBER('Semi Rev'!L33),ABS('Semi Rev'!P33-'Semi Rev'!L33)&gt;=1),('Semi OpInc'!P33-'Semi OpInc'!L33)/('Semi Rev'!P33-'Semi Rev'!L33),""),"")</f>
        <v/>
      </c>
      <c r="M1170" s="38">
        <f>IFERROR(IF(AND(ISNUMBER('Semi OpInc'!Q33),ISNUMBER('Semi OpInc'!M33),ISNUMBER('Semi Rev'!Q33),ISNUMBER('Semi Rev'!M33),ABS('Semi Rev'!Q33-'Semi Rev'!M33)&gt;=1),('Semi OpInc'!Q33-'Semi OpInc'!M33)/('Semi Rev'!Q33-'Semi Rev'!M33),""),"")</f>
        <v/>
      </c>
      <c r="N1170" s="38">
        <f>IFERROR(IF(AND(ISNUMBER('Semi OpInc'!R33),ISNUMBER('Semi OpInc'!N33),ISNUMBER('Semi Rev'!R33),ISNUMBER('Semi Rev'!N33),ABS('Semi Rev'!R33-'Semi Rev'!N33)&gt;=1),('Semi OpInc'!R33-'Semi OpInc'!N33)/('Semi Rev'!R33-'Semi Rev'!N33),""),"")</f>
        <v/>
      </c>
    </row>
    <row r="1171">
      <c r="A1171" s="19">
        <f>'Semi Rev'!$A34</f>
        <v/>
      </c>
      <c r="B1171" s="19">
        <f>'Semi Rev'!$B34</f>
        <v/>
      </c>
      <c r="C1171" s="37">
        <f>IFERROR(IF(AND(ISNUMBER('Semi OpInc'!G34),ISNUMBER('Semi OpInc'!C34),ISNUMBER('Semi Rev'!G34),ISNUMBER('Semi Rev'!C34),ABS('Semi Rev'!G34-'Semi Rev'!C34)&gt;=1),('Semi OpInc'!G34-'Semi OpInc'!C34)/('Semi Rev'!G34-'Semi Rev'!C34),""),"")</f>
        <v/>
      </c>
      <c r="D1171" s="37">
        <f>IFERROR(IF(AND(ISNUMBER('Semi OpInc'!H34),ISNUMBER('Semi OpInc'!D34),ISNUMBER('Semi Rev'!H34),ISNUMBER('Semi Rev'!D34),ABS('Semi Rev'!H34-'Semi Rev'!D34)&gt;=1),('Semi OpInc'!H34-'Semi OpInc'!D34)/('Semi Rev'!H34-'Semi Rev'!D34),""),"")</f>
        <v/>
      </c>
      <c r="E1171" s="37">
        <f>IFERROR(IF(AND(ISNUMBER('Semi OpInc'!I34),ISNUMBER('Semi OpInc'!E34),ISNUMBER('Semi Rev'!I34),ISNUMBER('Semi Rev'!E34),ABS('Semi Rev'!I34-'Semi Rev'!E34)&gt;=1),('Semi OpInc'!I34-'Semi OpInc'!E34)/('Semi Rev'!I34-'Semi Rev'!E34),""),"")</f>
        <v/>
      </c>
      <c r="F1171" s="37">
        <f>IFERROR(IF(AND(ISNUMBER('Semi OpInc'!J34),ISNUMBER('Semi OpInc'!F34),ISNUMBER('Semi Rev'!J34),ISNUMBER('Semi Rev'!F34),ABS('Semi Rev'!J34-'Semi Rev'!F34)&gt;=1),('Semi OpInc'!J34-'Semi OpInc'!F34)/('Semi Rev'!J34-'Semi Rev'!F34),""),"")</f>
        <v/>
      </c>
      <c r="G1171" s="37">
        <f>IFERROR(IF(AND(ISNUMBER('Semi OpInc'!K34),ISNUMBER('Semi OpInc'!G34),ISNUMBER('Semi Rev'!K34),ISNUMBER('Semi Rev'!G34),ABS('Semi Rev'!K34-'Semi Rev'!G34)&gt;=1),('Semi OpInc'!K34-'Semi OpInc'!G34)/('Semi Rev'!K34-'Semi Rev'!G34),""),"")</f>
        <v/>
      </c>
      <c r="H1171" s="37">
        <f>IFERROR(IF(AND(ISNUMBER('Semi OpInc'!L34),ISNUMBER('Semi OpInc'!H34),ISNUMBER('Semi Rev'!L34),ISNUMBER('Semi Rev'!H34),ABS('Semi Rev'!L34-'Semi Rev'!H34)&gt;=1),('Semi OpInc'!L34-'Semi OpInc'!H34)/('Semi Rev'!L34-'Semi Rev'!H34),""),"")</f>
        <v/>
      </c>
      <c r="I1171" s="37">
        <f>IFERROR(IF(AND(ISNUMBER('Semi OpInc'!M34),ISNUMBER('Semi OpInc'!I34),ISNUMBER('Semi Rev'!M34),ISNUMBER('Semi Rev'!I34),ABS('Semi Rev'!M34-'Semi Rev'!I34)&gt;=1),('Semi OpInc'!M34-'Semi OpInc'!I34)/('Semi Rev'!M34-'Semi Rev'!I34),""),"")</f>
        <v/>
      </c>
      <c r="J1171" s="37">
        <f>IFERROR(IF(AND(ISNUMBER('Semi OpInc'!N34),ISNUMBER('Semi OpInc'!J34),ISNUMBER('Semi Rev'!N34),ISNUMBER('Semi Rev'!J34),ABS('Semi Rev'!N34-'Semi Rev'!J34)&gt;=1),('Semi OpInc'!N34-'Semi OpInc'!J34)/('Semi Rev'!N34-'Semi Rev'!J34),""),"")</f>
        <v/>
      </c>
      <c r="K1171" s="37">
        <f>IFERROR(IF(AND(ISNUMBER('Semi OpInc'!O34),ISNUMBER('Semi OpInc'!K34),ISNUMBER('Semi Rev'!O34),ISNUMBER('Semi Rev'!K34),ABS('Semi Rev'!O34-'Semi Rev'!K34)&gt;=1),('Semi OpInc'!O34-'Semi OpInc'!K34)/('Semi Rev'!O34-'Semi Rev'!K34),""),"")</f>
        <v/>
      </c>
      <c r="L1171" s="37">
        <f>IFERROR(IF(AND(ISNUMBER('Semi OpInc'!P34),ISNUMBER('Semi OpInc'!L34),ISNUMBER('Semi Rev'!P34),ISNUMBER('Semi Rev'!L34),ABS('Semi Rev'!P34-'Semi Rev'!L34)&gt;=1),('Semi OpInc'!P34-'Semi OpInc'!L34)/('Semi Rev'!P34-'Semi Rev'!L34),""),"")</f>
        <v/>
      </c>
      <c r="M1171" s="38">
        <f>IFERROR(IF(AND(ISNUMBER('Semi OpInc'!Q34),ISNUMBER('Semi OpInc'!M34),ISNUMBER('Semi Rev'!Q34),ISNUMBER('Semi Rev'!M34),ABS('Semi Rev'!Q34-'Semi Rev'!M34)&gt;=1),('Semi OpInc'!Q34-'Semi OpInc'!M34)/('Semi Rev'!Q34-'Semi Rev'!M34),""),"")</f>
        <v/>
      </c>
      <c r="N1171" s="38">
        <f>IFERROR(IF(AND(ISNUMBER('Semi OpInc'!R34),ISNUMBER('Semi OpInc'!N34),ISNUMBER('Semi Rev'!R34),ISNUMBER('Semi Rev'!N34),ABS('Semi Rev'!R34-'Semi Rev'!N34)&gt;=1),('Semi OpInc'!R34-'Semi OpInc'!N34)/('Semi Rev'!R34-'Semi Rev'!N34),""),"")</f>
        <v/>
      </c>
    </row>
    <row r="1172">
      <c r="A1172" s="19">
        <f>'Semi Rev'!$A35</f>
        <v/>
      </c>
      <c r="B1172" s="19">
        <f>'Semi Rev'!$B35</f>
        <v/>
      </c>
      <c r="C1172" s="37">
        <f>IFERROR(IF(AND(ISNUMBER('Semi OpInc'!G35),ISNUMBER('Semi OpInc'!C35),ISNUMBER('Semi Rev'!G35),ISNUMBER('Semi Rev'!C35),ABS('Semi Rev'!G35-'Semi Rev'!C35)&gt;=1),('Semi OpInc'!G35-'Semi OpInc'!C35)/('Semi Rev'!G35-'Semi Rev'!C35),""),"")</f>
        <v/>
      </c>
      <c r="D1172" s="37">
        <f>IFERROR(IF(AND(ISNUMBER('Semi OpInc'!H35),ISNUMBER('Semi OpInc'!D35),ISNUMBER('Semi Rev'!H35),ISNUMBER('Semi Rev'!D35),ABS('Semi Rev'!H35-'Semi Rev'!D35)&gt;=1),('Semi OpInc'!H35-'Semi OpInc'!D35)/('Semi Rev'!H35-'Semi Rev'!D35),""),"")</f>
        <v/>
      </c>
      <c r="E1172" s="37">
        <f>IFERROR(IF(AND(ISNUMBER('Semi OpInc'!I35),ISNUMBER('Semi OpInc'!E35),ISNUMBER('Semi Rev'!I35),ISNUMBER('Semi Rev'!E35),ABS('Semi Rev'!I35-'Semi Rev'!E35)&gt;=1),('Semi OpInc'!I35-'Semi OpInc'!E35)/('Semi Rev'!I35-'Semi Rev'!E35),""),"")</f>
        <v/>
      </c>
      <c r="F1172" s="37">
        <f>IFERROR(IF(AND(ISNUMBER('Semi OpInc'!J35),ISNUMBER('Semi OpInc'!F35),ISNUMBER('Semi Rev'!J35),ISNUMBER('Semi Rev'!F35),ABS('Semi Rev'!J35-'Semi Rev'!F35)&gt;=1),('Semi OpInc'!J35-'Semi OpInc'!F35)/('Semi Rev'!J35-'Semi Rev'!F35),""),"")</f>
        <v/>
      </c>
      <c r="G1172" s="37">
        <f>IFERROR(IF(AND(ISNUMBER('Semi OpInc'!K35),ISNUMBER('Semi OpInc'!G35),ISNUMBER('Semi Rev'!K35),ISNUMBER('Semi Rev'!G35),ABS('Semi Rev'!K35-'Semi Rev'!G35)&gt;=1),('Semi OpInc'!K35-'Semi OpInc'!G35)/('Semi Rev'!K35-'Semi Rev'!G35),""),"")</f>
        <v/>
      </c>
      <c r="H1172" s="37">
        <f>IFERROR(IF(AND(ISNUMBER('Semi OpInc'!L35),ISNUMBER('Semi OpInc'!H35),ISNUMBER('Semi Rev'!L35),ISNUMBER('Semi Rev'!H35),ABS('Semi Rev'!L35-'Semi Rev'!H35)&gt;=1),('Semi OpInc'!L35-'Semi OpInc'!H35)/('Semi Rev'!L35-'Semi Rev'!H35),""),"")</f>
        <v/>
      </c>
      <c r="I1172" s="37">
        <f>IFERROR(IF(AND(ISNUMBER('Semi OpInc'!M35),ISNUMBER('Semi OpInc'!I35),ISNUMBER('Semi Rev'!M35),ISNUMBER('Semi Rev'!I35),ABS('Semi Rev'!M35-'Semi Rev'!I35)&gt;=1),('Semi OpInc'!M35-'Semi OpInc'!I35)/('Semi Rev'!M35-'Semi Rev'!I35),""),"")</f>
        <v/>
      </c>
      <c r="J1172" s="37">
        <f>IFERROR(IF(AND(ISNUMBER('Semi OpInc'!N35),ISNUMBER('Semi OpInc'!J35),ISNUMBER('Semi Rev'!N35),ISNUMBER('Semi Rev'!J35),ABS('Semi Rev'!N35-'Semi Rev'!J35)&gt;=1),('Semi OpInc'!N35-'Semi OpInc'!J35)/('Semi Rev'!N35-'Semi Rev'!J35),""),"")</f>
        <v/>
      </c>
      <c r="K1172" s="37">
        <f>IFERROR(IF(AND(ISNUMBER('Semi OpInc'!O35),ISNUMBER('Semi OpInc'!K35),ISNUMBER('Semi Rev'!O35),ISNUMBER('Semi Rev'!K35),ABS('Semi Rev'!O35-'Semi Rev'!K35)&gt;=1),('Semi OpInc'!O35-'Semi OpInc'!K35)/('Semi Rev'!O35-'Semi Rev'!K35),""),"")</f>
        <v/>
      </c>
      <c r="L1172" s="37">
        <f>IFERROR(IF(AND(ISNUMBER('Semi OpInc'!P35),ISNUMBER('Semi OpInc'!L35),ISNUMBER('Semi Rev'!P35),ISNUMBER('Semi Rev'!L35),ABS('Semi Rev'!P35-'Semi Rev'!L35)&gt;=1),('Semi OpInc'!P35-'Semi OpInc'!L35)/('Semi Rev'!P35-'Semi Rev'!L35),""),"")</f>
        <v/>
      </c>
      <c r="M1172" s="38">
        <f>IFERROR(IF(AND(ISNUMBER('Semi OpInc'!Q35),ISNUMBER('Semi OpInc'!M35),ISNUMBER('Semi Rev'!Q35),ISNUMBER('Semi Rev'!M35),ABS('Semi Rev'!Q35-'Semi Rev'!M35)&gt;=1),('Semi OpInc'!Q35-'Semi OpInc'!M35)/('Semi Rev'!Q35-'Semi Rev'!M35),""),"")</f>
        <v/>
      </c>
      <c r="N1172" s="38">
        <f>IFERROR(IF(AND(ISNUMBER('Semi OpInc'!R35),ISNUMBER('Semi OpInc'!N35),ISNUMBER('Semi Rev'!R35),ISNUMBER('Semi Rev'!N35),ABS('Semi Rev'!R35-'Semi Rev'!N35)&gt;=1),('Semi OpInc'!R35-'Semi OpInc'!N35)/('Semi Rev'!R35-'Semi Rev'!N35),""),"")</f>
        <v/>
      </c>
    </row>
    <row r="1173">
      <c r="A1173" s="19">
        <f>'Semi Rev'!$A36</f>
        <v/>
      </c>
      <c r="B1173" s="19">
        <f>'Semi Rev'!$B36</f>
        <v/>
      </c>
      <c r="C1173" s="37">
        <f>IFERROR(IF(AND(ISNUMBER('Semi OpInc'!G36),ISNUMBER('Semi OpInc'!C36),ISNUMBER('Semi Rev'!G36),ISNUMBER('Semi Rev'!C36),ABS('Semi Rev'!G36-'Semi Rev'!C36)&gt;=1),('Semi OpInc'!G36-'Semi OpInc'!C36)/('Semi Rev'!G36-'Semi Rev'!C36),""),"")</f>
        <v/>
      </c>
      <c r="D1173" s="37">
        <f>IFERROR(IF(AND(ISNUMBER('Semi OpInc'!H36),ISNUMBER('Semi OpInc'!D36),ISNUMBER('Semi Rev'!H36),ISNUMBER('Semi Rev'!D36),ABS('Semi Rev'!H36-'Semi Rev'!D36)&gt;=1),('Semi OpInc'!H36-'Semi OpInc'!D36)/('Semi Rev'!H36-'Semi Rev'!D36),""),"")</f>
        <v/>
      </c>
      <c r="E1173" s="37">
        <f>IFERROR(IF(AND(ISNUMBER('Semi OpInc'!I36),ISNUMBER('Semi OpInc'!E36),ISNUMBER('Semi Rev'!I36),ISNUMBER('Semi Rev'!E36),ABS('Semi Rev'!I36-'Semi Rev'!E36)&gt;=1),('Semi OpInc'!I36-'Semi OpInc'!E36)/('Semi Rev'!I36-'Semi Rev'!E36),""),"")</f>
        <v/>
      </c>
      <c r="F1173" s="37">
        <f>IFERROR(IF(AND(ISNUMBER('Semi OpInc'!J36),ISNUMBER('Semi OpInc'!F36),ISNUMBER('Semi Rev'!J36),ISNUMBER('Semi Rev'!F36),ABS('Semi Rev'!J36-'Semi Rev'!F36)&gt;=1),('Semi OpInc'!J36-'Semi OpInc'!F36)/('Semi Rev'!J36-'Semi Rev'!F36),""),"")</f>
        <v/>
      </c>
      <c r="G1173" s="37">
        <f>IFERROR(IF(AND(ISNUMBER('Semi OpInc'!K36),ISNUMBER('Semi OpInc'!G36),ISNUMBER('Semi Rev'!K36),ISNUMBER('Semi Rev'!G36),ABS('Semi Rev'!K36-'Semi Rev'!G36)&gt;=1),('Semi OpInc'!K36-'Semi OpInc'!G36)/('Semi Rev'!K36-'Semi Rev'!G36),""),"")</f>
        <v/>
      </c>
      <c r="H1173" s="37">
        <f>IFERROR(IF(AND(ISNUMBER('Semi OpInc'!L36),ISNUMBER('Semi OpInc'!H36),ISNUMBER('Semi Rev'!L36),ISNUMBER('Semi Rev'!H36),ABS('Semi Rev'!L36-'Semi Rev'!H36)&gt;=1),('Semi OpInc'!L36-'Semi OpInc'!H36)/('Semi Rev'!L36-'Semi Rev'!H36),""),"")</f>
        <v/>
      </c>
      <c r="I1173" s="37">
        <f>IFERROR(IF(AND(ISNUMBER('Semi OpInc'!M36),ISNUMBER('Semi OpInc'!I36),ISNUMBER('Semi Rev'!M36),ISNUMBER('Semi Rev'!I36),ABS('Semi Rev'!M36-'Semi Rev'!I36)&gt;=1),('Semi OpInc'!M36-'Semi OpInc'!I36)/('Semi Rev'!M36-'Semi Rev'!I36),""),"")</f>
        <v/>
      </c>
      <c r="J1173" s="37">
        <f>IFERROR(IF(AND(ISNUMBER('Semi OpInc'!N36),ISNUMBER('Semi OpInc'!J36),ISNUMBER('Semi Rev'!N36),ISNUMBER('Semi Rev'!J36),ABS('Semi Rev'!N36-'Semi Rev'!J36)&gt;=1),('Semi OpInc'!N36-'Semi OpInc'!J36)/('Semi Rev'!N36-'Semi Rev'!J36),""),"")</f>
        <v/>
      </c>
      <c r="K1173" s="37">
        <f>IFERROR(IF(AND(ISNUMBER('Semi OpInc'!O36),ISNUMBER('Semi OpInc'!K36),ISNUMBER('Semi Rev'!O36),ISNUMBER('Semi Rev'!K36),ABS('Semi Rev'!O36-'Semi Rev'!K36)&gt;=1),('Semi OpInc'!O36-'Semi OpInc'!K36)/('Semi Rev'!O36-'Semi Rev'!K36),""),"")</f>
        <v/>
      </c>
      <c r="L1173" s="37">
        <f>IFERROR(IF(AND(ISNUMBER('Semi OpInc'!P36),ISNUMBER('Semi OpInc'!L36),ISNUMBER('Semi Rev'!P36),ISNUMBER('Semi Rev'!L36),ABS('Semi Rev'!P36-'Semi Rev'!L36)&gt;=1),('Semi OpInc'!P36-'Semi OpInc'!L36)/('Semi Rev'!P36-'Semi Rev'!L36),""),"")</f>
        <v/>
      </c>
      <c r="M1173" s="38">
        <f>IFERROR(IF(AND(ISNUMBER('Semi OpInc'!Q36),ISNUMBER('Semi OpInc'!M36),ISNUMBER('Semi Rev'!Q36),ISNUMBER('Semi Rev'!M36),ABS('Semi Rev'!Q36-'Semi Rev'!M36)&gt;=1),('Semi OpInc'!Q36-'Semi OpInc'!M36)/('Semi Rev'!Q36-'Semi Rev'!M36),""),"")</f>
        <v/>
      </c>
      <c r="N1173" s="38">
        <f>IFERROR(IF(AND(ISNUMBER('Semi OpInc'!R36),ISNUMBER('Semi OpInc'!N36),ISNUMBER('Semi Rev'!R36),ISNUMBER('Semi Rev'!N36),ABS('Semi Rev'!R36-'Semi Rev'!N36)&gt;=1),('Semi OpInc'!R36-'Semi OpInc'!N36)/('Semi Rev'!R36-'Semi Rev'!N36),""),"")</f>
        <v/>
      </c>
    </row>
    <row r="1174">
      <c r="A1174" s="19">
        <f>'Semi Rev'!$A37</f>
        <v/>
      </c>
      <c r="B1174" s="19">
        <f>'Semi Rev'!$B37</f>
        <v/>
      </c>
      <c r="C1174" s="37">
        <f>IFERROR(IF(AND(ISNUMBER('Semi OpInc'!G37),ISNUMBER('Semi OpInc'!C37),ISNUMBER('Semi Rev'!G37),ISNUMBER('Semi Rev'!C37),ABS('Semi Rev'!G37-'Semi Rev'!C37)&gt;=1),('Semi OpInc'!G37-'Semi OpInc'!C37)/('Semi Rev'!G37-'Semi Rev'!C37),""),"")</f>
        <v/>
      </c>
      <c r="D1174" s="37">
        <f>IFERROR(IF(AND(ISNUMBER('Semi OpInc'!H37),ISNUMBER('Semi OpInc'!D37),ISNUMBER('Semi Rev'!H37),ISNUMBER('Semi Rev'!D37),ABS('Semi Rev'!H37-'Semi Rev'!D37)&gt;=1),('Semi OpInc'!H37-'Semi OpInc'!D37)/('Semi Rev'!H37-'Semi Rev'!D37),""),"")</f>
        <v/>
      </c>
      <c r="E1174" s="37">
        <f>IFERROR(IF(AND(ISNUMBER('Semi OpInc'!I37),ISNUMBER('Semi OpInc'!E37),ISNUMBER('Semi Rev'!I37),ISNUMBER('Semi Rev'!E37),ABS('Semi Rev'!I37-'Semi Rev'!E37)&gt;=1),('Semi OpInc'!I37-'Semi OpInc'!E37)/('Semi Rev'!I37-'Semi Rev'!E37),""),"")</f>
        <v/>
      </c>
      <c r="F1174" s="37">
        <f>IFERROR(IF(AND(ISNUMBER('Semi OpInc'!J37),ISNUMBER('Semi OpInc'!F37),ISNUMBER('Semi Rev'!J37),ISNUMBER('Semi Rev'!F37),ABS('Semi Rev'!J37-'Semi Rev'!F37)&gt;=1),('Semi OpInc'!J37-'Semi OpInc'!F37)/('Semi Rev'!J37-'Semi Rev'!F37),""),"")</f>
        <v/>
      </c>
      <c r="G1174" s="37">
        <f>IFERROR(IF(AND(ISNUMBER('Semi OpInc'!K37),ISNUMBER('Semi OpInc'!G37),ISNUMBER('Semi Rev'!K37),ISNUMBER('Semi Rev'!G37),ABS('Semi Rev'!K37-'Semi Rev'!G37)&gt;=1),('Semi OpInc'!K37-'Semi OpInc'!G37)/('Semi Rev'!K37-'Semi Rev'!G37),""),"")</f>
        <v/>
      </c>
      <c r="H1174" s="37">
        <f>IFERROR(IF(AND(ISNUMBER('Semi OpInc'!L37),ISNUMBER('Semi OpInc'!H37),ISNUMBER('Semi Rev'!L37),ISNUMBER('Semi Rev'!H37),ABS('Semi Rev'!L37-'Semi Rev'!H37)&gt;=1),('Semi OpInc'!L37-'Semi OpInc'!H37)/('Semi Rev'!L37-'Semi Rev'!H37),""),"")</f>
        <v/>
      </c>
      <c r="I1174" s="37">
        <f>IFERROR(IF(AND(ISNUMBER('Semi OpInc'!M37),ISNUMBER('Semi OpInc'!I37),ISNUMBER('Semi Rev'!M37),ISNUMBER('Semi Rev'!I37),ABS('Semi Rev'!M37-'Semi Rev'!I37)&gt;=1),('Semi OpInc'!M37-'Semi OpInc'!I37)/('Semi Rev'!M37-'Semi Rev'!I37),""),"")</f>
        <v/>
      </c>
      <c r="J1174" s="37">
        <f>IFERROR(IF(AND(ISNUMBER('Semi OpInc'!N37),ISNUMBER('Semi OpInc'!J37),ISNUMBER('Semi Rev'!N37),ISNUMBER('Semi Rev'!J37),ABS('Semi Rev'!N37-'Semi Rev'!J37)&gt;=1),('Semi OpInc'!N37-'Semi OpInc'!J37)/('Semi Rev'!N37-'Semi Rev'!J37),""),"")</f>
        <v/>
      </c>
      <c r="K1174" s="37">
        <f>IFERROR(IF(AND(ISNUMBER('Semi OpInc'!O37),ISNUMBER('Semi OpInc'!K37),ISNUMBER('Semi Rev'!O37),ISNUMBER('Semi Rev'!K37),ABS('Semi Rev'!O37-'Semi Rev'!K37)&gt;=1),('Semi OpInc'!O37-'Semi OpInc'!K37)/('Semi Rev'!O37-'Semi Rev'!K37),""),"")</f>
        <v/>
      </c>
      <c r="L1174" s="37">
        <f>IFERROR(IF(AND(ISNUMBER('Semi OpInc'!P37),ISNUMBER('Semi OpInc'!L37),ISNUMBER('Semi Rev'!P37),ISNUMBER('Semi Rev'!L37),ABS('Semi Rev'!P37-'Semi Rev'!L37)&gt;=1),('Semi OpInc'!P37-'Semi OpInc'!L37)/('Semi Rev'!P37-'Semi Rev'!L37),""),"")</f>
        <v/>
      </c>
      <c r="M1174" s="38">
        <f>IFERROR(IF(AND(ISNUMBER('Semi OpInc'!Q37),ISNUMBER('Semi OpInc'!M37),ISNUMBER('Semi Rev'!Q37),ISNUMBER('Semi Rev'!M37),ABS('Semi Rev'!Q37-'Semi Rev'!M37)&gt;=1),('Semi OpInc'!Q37-'Semi OpInc'!M37)/('Semi Rev'!Q37-'Semi Rev'!M37),""),"")</f>
        <v/>
      </c>
      <c r="N1174" s="38">
        <f>IFERROR(IF(AND(ISNUMBER('Semi OpInc'!R37),ISNUMBER('Semi OpInc'!N37),ISNUMBER('Semi Rev'!R37),ISNUMBER('Semi Rev'!N37),ABS('Semi Rev'!R37-'Semi Rev'!N37)&gt;=1),('Semi OpInc'!R37-'Semi OpInc'!N37)/('Semi Rev'!R37-'Semi Rev'!N37),""),"")</f>
        <v/>
      </c>
    </row>
    <row r="1175">
      <c r="A1175" s="19">
        <f>'Semi Rev'!$A38</f>
        <v/>
      </c>
      <c r="B1175" s="19">
        <f>'Semi Rev'!$B38</f>
        <v/>
      </c>
      <c r="C1175" s="37">
        <f>IFERROR(IF(AND(ISNUMBER('Semi OpInc'!G38),ISNUMBER('Semi OpInc'!C38),ISNUMBER('Semi Rev'!G38),ISNUMBER('Semi Rev'!C38),ABS('Semi Rev'!G38-'Semi Rev'!C38)&gt;=1),('Semi OpInc'!G38-'Semi OpInc'!C38)/('Semi Rev'!G38-'Semi Rev'!C38),""),"")</f>
        <v/>
      </c>
      <c r="D1175" s="37">
        <f>IFERROR(IF(AND(ISNUMBER('Semi OpInc'!H38),ISNUMBER('Semi OpInc'!D38),ISNUMBER('Semi Rev'!H38),ISNUMBER('Semi Rev'!D38),ABS('Semi Rev'!H38-'Semi Rev'!D38)&gt;=1),('Semi OpInc'!H38-'Semi OpInc'!D38)/('Semi Rev'!H38-'Semi Rev'!D38),""),"")</f>
        <v/>
      </c>
      <c r="E1175" s="37">
        <f>IFERROR(IF(AND(ISNUMBER('Semi OpInc'!I38),ISNUMBER('Semi OpInc'!E38),ISNUMBER('Semi Rev'!I38),ISNUMBER('Semi Rev'!E38),ABS('Semi Rev'!I38-'Semi Rev'!E38)&gt;=1),('Semi OpInc'!I38-'Semi OpInc'!E38)/('Semi Rev'!I38-'Semi Rev'!E38),""),"")</f>
        <v/>
      </c>
      <c r="F1175" s="37">
        <f>IFERROR(IF(AND(ISNUMBER('Semi OpInc'!J38),ISNUMBER('Semi OpInc'!F38),ISNUMBER('Semi Rev'!J38),ISNUMBER('Semi Rev'!F38),ABS('Semi Rev'!J38-'Semi Rev'!F38)&gt;=1),('Semi OpInc'!J38-'Semi OpInc'!F38)/('Semi Rev'!J38-'Semi Rev'!F38),""),"")</f>
        <v/>
      </c>
      <c r="G1175" s="37">
        <f>IFERROR(IF(AND(ISNUMBER('Semi OpInc'!K38),ISNUMBER('Semi OpInc'!G38),ISNUMBER('Semi Rev'!K38),ISNUMBER('Semi Rev'!G38),ABS('Semi Rev'!K38-'Semi Rev'!G38)&gt;=1),('Semi OpInc'!K38-'Semi OpInc'!G38)/('Semi Rev'!K38-'Semi Rev'!G38),""),"")</f>
        <v/>
      </c>
      <c r="H1175" s="37">
        <f>IFERROR(IF(AND(ISNUMBER('Semi OpInc'!L38),ISNUMBER('Semi OpInc'!H38),ISNUMBER('Semi Rev'!L38),ISNUMBER('Semi Rev'!H38),ABS('Semi Rev'!L38-'Semi Rev'!H38)&gt;=1),('Semi OpInc'!L38-'Semi OpInc'!H38)/('Semi Rev'!L38-'Semi Rev'!H38),""),"")</f>
        <v/>
      </c>
      <c r="I1175" s="37">
        <f>IFERROR(IF(AND(ISNUMBER('Semi OpInc'!M38),ISNUMBER('Semi OpInc'!I38),ISNUMBER('Semi Rev'!M38),ISNUMBER('Semi Rev'!I38),ABS('Semi Rev'!M38-'Semi Rev'!I38)&gt;=1),('Semi OpInc'!M38-'Semi OpInc'!I38)/('Semi Rev'!M38-'Semi Rev'!I38),""),"")</f>
        <v/>
      </c>
      <c r="J1175" s="37">
        <f>IFERROR(IF(AND(ISNUMBER('Semi OpInc'!N38),ISNUMBER('Semi OpInc'!J38),ISNUMBER('Semi Rev'!N38),ISNUMBER('Semi Rev'!J38),ABS('Semi Rev'!N38-'Semi Rev'!J38)&gt;=1),('Semi OpInc'!N38-'Semi OpInc'!J38)/('Semi Rev'!N38-'Semi Rev'!J38),""),"")</f>
        <v/>
      </c>
      <c r="K1175" s="37">
        <f>IFERROR(IF(AND(ISNUMBER('Semi OpInc'!O38),ISNUMBER('Semi OpInc'!K38),ISNUMBER('Semi Rev'!O38),ISNUMBER('Semi Rev'!K38),ABS('Semi Rev'!O38-'Semi Rev'!K38)&gt;=1),('Semi OpInc'!O38-'Semi OpInc'!K38)/('Semi Rev'!O38-'Semi Rev'!K38),""),"")</f>
        <v/>
      </c>
      <c r="L1175" s="37">
        <f>IFERROR(IF(AND(ISNUMBER('Semi OpInc'!P38),ISNUMBER('Semi OpInc'!L38),ISNUMBER('Semi Rev'!P38),ISNUMBER('Semi Rev'!L38),ABS('Semi Rev'!P38-'Semi Rev'!L38)&gt;=1),('Semi OpInc'!P38-'Semi OpInc'!L38)/('Semi Rev'!P38-'Semi Rev'!L38),""),"")</f>
        <v/>
      </c>
      <c r="M1175" s="38">
        <f>IFERROR(IF(AND(ISNUMBER('Semi OpInc'!Q38),ISNUMBER('Semi OpInc'!M38),ISNUMBER('Semi Rev'!Q38),ISNUMBER('Semi Rev'!M38),ABS('Semi Rev'!Q38-'Semi Rev'!M38)&gt;=1),('Semi OpInc'!Q38-'Semi OpInc'!M38)/('Semi Rev'!Q38-'Semi Rev'!M38),""),"")</f>
        <v/>
      </c>
      <c r="N1175" s="38">
        <f>IFERROR(IF(AND(ISNUMBER('Semi OpInc'!R38),ISNUMBER('Semi OpInc'!N38),ISNUMBER('Semi Rev'!R38),ISNUMBER('Semi Rev'!N38),ABS('Semi Rev'!R38-'Semi Rev'!N38)&gt;=1),('Semi OpInc'!R38-'Semi OpInc'!N38)/('Semi Rev'!R38-'Semi Rev'!N38),""),"")</f>
        <v/>
      </c>
    </row>
    <row r="1176">
      <c r="A1176" s="19">
        <f>'Semi Rev'!$A39</f>
        <v/>
      </c>
      <c r="B1176" s="19">
        <f>'Semi Rev'!$B39</f>
        <v/>
      </c>
      <c r="C1176" s="37">
        <f>IFERROR(IF(AND(ISNUMBER('Semi OpInc'!G39),ISNUMBER('Semi OpInc'!C39),ISNUMBER('Semi Rev'!G39),ISNUMBER('Semi Rev'!C39),ABS('Semi Rev'!G39-'Semi Rev'!C39)&gt;=1),('Semi OpInc'!G39-'Semi OpInc'!C39)/('Semi Rev'!G39-'Semi Rev'!C39),""),"")</f>
        <v/>
      </c>
      <c r="D1176" s="37">
        <f>IFERROR(IF(AND(ISNUMBER('Semi OpInc'!H39),ISNUMBER('Semi OpInc'!D39),ISNUMBER('Semi Rev'!H39),ISNUMBER('Semi Rev'!D39),ABS('Semi Rev'!H39-'Semi Rev'!D39)&gt;=1),('Semi OpInc'!H39-'Semi OpInc'!D39)/('Semi Rev'!H39-'Semi Rev'!D39),""),"")</f>
        <v/>
      </c>
      <c r="E1176" s="37">
        <f>IFERROR(IF(AND(ISNUMBER('Semi OpInc'!I39),ISNUMBER('Semi OpInc'!E39),ISNUMBER('Semi Rev'!I39),ISNUMBER('Semi Rev'!E39),ABS('Semi Rev'!I39-'Semi Rev'!E39)&gt;=1),('Semi OpInc'!I39-'Semi OpInc'!E39)/('Semi Rev'!I39-'Semi Rev'!E39),""),"")</f>
        <v/>
      </c>
      <c r="F1176" s="37">
        <f>IFERROR(IF(AND(ISNUMBER('Semi OpInc'!J39),ISNUMBER('Semi OpInc'!F39),ISNUMBER('Semi Rev'!J39),ISNUMBER('Semi Rev'!F39),ABS('Semi Rev'!J39-'Semi Rev'!F39)&gt;=1),('Semi OpInc'!J39-'Semi OpInc'!F39)/('Semi Rev'!J39-'Semi Rev'!F39),""),"")</f>
        <v/>
      </c>
      <c r="G1176" s="37">
        <f>IFERROR(IF(AND(ISNUMBER('Semi OpInc'!K39),ISNUMBER('Semi OpInc'!G39),ISNUMBER('Semi Rev'!K39),ISNUMBER('Semi Rev'!G39),ABS('Semi Rev'!K39-'Semi Rev'!G39)&gt;=1),('Semi OpInc'!K39-'Semi OpInc'!G39)/('Semi Rev'!K39-'Semi Rev'!G39),""),"")</f>
        <v/>
      </c>
      <c r="H1176" s="37">
        <f>IFERROR(IF(AND(ISNUMBER('Semi OpInc'!L39),ISNUMBER('Semi OpInc'!H39),ISNUMBER('Semi Rev'!L39),ISNUMBER('Semi Rev'!H39),ABS('Semi Rev'!L39-'Semi Rev'!H39)&gt;=1),('Semi OpInc'!L39-'Semi OpInc'!H39)/('Semi Rev'!L39-'Semi Rev'!H39),""),"")</f>
        <v/>
      </c>
      <c r="I1176" s="37">
        <f>IFERROR(IF(AND(ISNUMBER('Semi OpInc'!M39),ISNUMBER('Semi OpInc'!I39),ISNUMBER('Semi Rev'!M39),ISNUMBER('Semi Rev'!I39),ABS('Semi Rev'!M39-'Semi Rev'!I39)&gt;=1),('Semi OpInc'!M39-'Semi OpInc'!I39)/('Semi Rev'!M39-'Semi Rev'!I39),""),"")</f>
        <v/>
      </c>
      <c r="J1176" s="37">
        <f>IFERROR(IF(AND(ISNUMBER('Semi OpInc'!N39),ISNUMBER('Semi OpInc'!J39),ISNUMBER('Semi Rev'!N39),ISNUMBER('Semi Rev'!J39),ABS('Semi Rev'!N39-'Semi Rev'!J39)&gt;=1),('Semi OpInc'!N39-'Semi OpInc'!J39)/('Semi Rev'!N39-'Semi Rev'!J39),""),"")</f>
        <v/>
      </c>
      <c r="K1176" s="37">
        <f>IFERROR(IF(AND(ISNUMBER('Semi OpInc'!O39),ISNUMBER('Semi OpInc'!K39),ISNUMBER('Semi Rev'!O39),ISNUMBER('Semi Rev'!K39),ABS('Semi Rev'!O39-'Semi Rev'!K39)&gt;=1),('Semi OpInc'!O39-'Semi OpInc'!K39)/('Semi Rev'!O39-'Semi Rev'!K39),""),"")</f>
        <v/>
      </c>
      <c r="L1176" s="37">
        <f>IFERROR(IF(AND(ISNUMBER('Semi OpInc'!P39),ISNUMBER('Semi OpInc'!L39),ISNUMBER('Semi Rev'!P39),ISNUMBER('Semi Rev'!L39),ABS('Semi Rev'!P39-'Semi Rev'!L39)&gt;=1),('Semi OpInc'!P39-'Semi OpInc'!L39)/('Semi Rev'!P39-'Semi Rev'!L39),""),"")</f>
        <v/>
      </c>
      <c r="M1176" s="38">
        <f>IFERROR(IF(AND(ISNUMBER('Semi OpInc'!Q39),ISNUMBER('Semi OpInc'!M39),ISNUMBER('Semi Rev'!Q39),ISNUMBER('Semi Rev'!M39),ABS('Semi Rev'!Q39-'Semi Rev'!M39)&gt;=1),('Semi OpInc'!Q39-'Semi OpInc'!M39)/('Semi Rev'!Q39-'Semi Rev'!M39),""),"")</f>
        <v/>
      </c>
      <c r="N1176" s="38">
        <f>IFERROR(IF(AND(ISNUMBER('Semi OpInc'!R39),ISNUMBER('Semi OpInc'!N39),ISNUMBER('Semi Rev'!R39),ISNUMBER('Semi Rev'!N39),ABS('Semi Rev'!R39-'Semi Rev'!N39)&gt;=1),('Semi OpInc'!R39-'Semi OpInc'!N39)/('Semi Rev'!R39-'Semi Rev'!N39),""),"")</f>
        <v/>
      </c>
    </row>
    <row r="1177">
      <c r="A1177" s="19">
        <f>'Semi Rev'!$A40</f>
        <v/>
      </c>
      <c r="B1177" s="19">
        <f>'Semi Rev'!$B40</f>
        <v/>
      </c>
      <c r="C1177" s="37">
        <f>IFERROR(IF(AND(ISNUMBER('Semi OpInc'!G40),ISNUMBER('Semi OpInc'!C40),ISNUMBER('Semi Rev'!G40),ISNUMBER('Semi Rev'!C40),ABS('Semi Rev'!G40-'Semi Rev'!C40)&gt;=1),('Semi OpInc'!G40-'Semi OpInc'!C40)/('Semi Rev'!G40-'Semi Rev'!C40),""),"")</f>
        <v/>
      </c>
      <c r="D1177" s="37">
        <f>IFERROR(IF(AND(ISNUMBER('Semi OpInc'!H40),ISNUMBER('Semi OpInc'!D40),ISNUMBER('Semi Rev'!H40),ISNUMBER('Semi Rev'!D40),ABS('Semi Rev'!H40-'Semi Rev'!D40)&gt;=1),('Semi OpInc'!H40-'Semi OpInc'!D40)/('Semi Rev'!H40-'Semi Rev'!D40),""),"")</f>
        <v/>
      </c>
      <c r="E1177" s="37">
        <f>IFERROR(IF(AND(ISNUMBER('Semi OpInc'!I40),ISNUMBER('Semi OpInc'!E40),ISNUMBER('Semi Rev'!I40),ISNUMBER('Semi Rev'!E40),ABS('Semi Rev'!I40-'Semi Rev'!E40)&gt;=1),('Semi OpInc'!I40-'Semi OpInc'!E40)/('Semi Rev'!I40-'Semi Rev'!E40),""),"")</f>
        <v/>
      </c>
      <c r="F1177" s="37">
        <f>IFERROR(IF(AND(ISNUMBER('Semi OpInc'!J40),ISNUMBER('Semi OpInc'!F40),ISNUMBER('Semi Rev'!J40),ISNUMBER('Semi Rev'!F40),ABS('Semi Rev'!J40-'Semi Rev'!F40)&gt;=1),('Semi OpInc'!J40-'Semi OpInc'!F40)/('Semi Rev'!J40-'Semi Rev'!F40),""),"")</f>
        <v/>
      </c>
      <c r="G1177" s="37">
        <f>IFERROR(IF(AND(ISNUMBER('Semi OpInc'!K40),ISNUMBER('Semi OpInc'!G40),ISNUMBER('Semi Rev'!K40),ISNUMBER('Semi Rev'!G40),ABS('Semi Rev'!K40-'Semi Rev'!G40)&gt;=1),('Semi OpInc'!K40-'Semi OpInc'!G40)/('Semi Rev'!K40-'Semi Rev'!G40),""),"")</f>
        <v/>
      </c>
      <c r="H1177" s="37">
        <f>IFERROR(IF(AND(ISNUMBER('Semi OpInc'!L40),ISNUMBER('Semi OpInc'!H40),ISNUMBER('Semi Rev'!L40),ISNUMBER('Semi Rev'!H40),ABS('Semi Rev'!L40-'Semi Rev'!H40)&gt;=1),('Semi OpInc'!L40-'Semi OpInc'!H40)/('Semi Rev'!L40-'Semi Rev'!H40),""),"")</f>
        <v/>
      </c>
      <c r="I1177" s="37">
        <f>IFERROR(IF(AND(ISNUMBER('Semi OpInc'!M40),ISNUMBER('Semi OpInc'!I40),ISNUMBER('Semi Rev'!M40),ISNUMBER('Semi Rev'!I40),ABS('Semi Rev'!M40-'Semi Rev'!I40)&gt;=1),('Semi OpInc'!M40-'Semi OpInc'!I40)/('Semi Rev'!M40-'Semi Rev'!I40),""),"")</f>
        <v/>
      </c>
      <c r="J1177" s="37">
        <f>IFERROR(IF(AND(ISNUMBER('Semi OpInc'!N40),ISNUMBER('Semi OpInc'!J40),ISNUMBER('Semi Rev'!N40),ISNUMBER('Semi Rev'!J40),ABS('Semi Rev'!N40-'Semi Rev'!J40)&gt;=1),('Semi OpInc'!N40-'Semi OpInc'!J40)/('Semi Rev'!N40-'Semi Rev'!J40),""),"")</f>
        <v/>
      </c>
      <c r="K1177" s="37">
        <f>IFERROR(IF(AND(ISNUMBER('Semi OpInc'!O40),ISNUMBER('Semi OpInc'!K40),ISNUMBER('Semi Rev'!O40),ISNUMBER('Semi Rev'!K40),ABS('Semi Rev'!O40-'Semi Rev'!K40)&gt;=1),('Semi OpInc'!O40-'Semi OpInc'!K40)/('Semi Rev'!O40-'Semi Rev'!K40),""),"")</f>
        <v/>
      </c>
      <c r="L1177" s="37">
        <f>IFERROR(IF(AND(ISNUMBER('Semi OpInc'!P40),ISNUMBER('Semi OpInc'!L40),ISNUMBER('Semi Rev'!P40),ISNUMBER('Semi Rev'!L40),ABS('Semi Rev'!P40-'Semi Rev'!L40)&gt;=1),('Semi OpInc'!P40-'Semi OpInc'!L40)/('Semi Rev'!P40-'Semi Rev'!L40),""),"")</f>
        <v/>
      </c>
      <c r="M1177" s="38">
        <f>IFERROR(IF(AND(ISNUMBER('Semi OpInc'!Q40),ISNUMBER('Semi OpInc'!M40),ISNUMBER('Semi Rev'!Q40),ISNUMBER('Semi Rev'!M40),ABS('Semi Rev'!Q40-'Semi Rev'!M40)&gt;=1),('Semi OpInc'!Q40-'Semi OpInc'!M40)/('Semi Rev'!Q40-'Semi Rev'!M40),""),"")</f>
        <v/>
      </c>
      <c r="N1177" s="38">
        <f>IFERROR(IF(AND(ISNUMBER('Semi OpInc'!R40),ISNUMBER('Semi OpInc'!N40),ISNUMBER('Semi Rev'!R40),ISNUMBER('Semi Rev'!N40),ABS('Semi Rev'!R40-'Semi Rev'!N40)&gt;=1),('Semi OpInc'!R40-'Semi OpInc'!N40)/('Semi Rev'!R40-'Semi Rev'!N40),""),"")</f>
        <v/>
      </c>
    </row>
    <row r="1178">
      <c r="A1178" s="19">
        <f>'Semi Rev'!$A41</f>
        <v/>
      </c>
      <c r="B1178" s="19">
        <f>'Semi Rev'!$B41</f>
        <v/>
      </c>
      <c r="C1178" s="37">
        <f>IFERROR(IF(AND(ISNUMBER('Semi OpInc'!G41),ISNUMBER('Semi OpInc'!C41),ISNUMBER('Semi Rev'!G41),ISNUMBER('Semi Rev'!C41),ABS('Semi Rev'!G41-'Semi Rev'!C41)&gt;=1),('Semi OpInc'!G41-'Semi OpInc'!C41)/('Semi Rev'!G41-'Semi Rev'!C41),""),"")</f>
        <v/>
      </c>
      <c r="D1178" s="37">
        <f>IFERROR(IF(AND(ISNUMBER('Semi OpInc'!H41),ISNUMBER('Semi OpInc'!D41),ISNUMBER('Semi Rev'!H41),ISNUMBER('Semi Rev'!D41),ABS('Semi Rev'!H41-'Semi Rev'!D41)&gt;=1),('Semi OpInc'!H41-'Semi OpInc'!D41)/('Semi Rev'!H41-'Semi Rev'!D41),""),"")</f>
        <v/>
      </c>
      <c r="E1178" s="37">
        <f>IFERROR(IF(AND(ISNUMBER('Semi OpInc'!I41),ISNUMBER('Semi OpInc'!E41),ISNUMBER('Semi Rev'!I41),ISNUMBER('Semi Rev'!E41),ABS('Semi Rev'!I41-'Semi Rev'!E41)&gt;=1),('Semi OpInc'!I41-'Semi OpInc'!E41)/('Semi Rev'!I41-'Semi Rev'!E41),""),"")</f>
        <v/>
      </c>
      <c r="F1178" s="37">
        <f>IFERROR(IF(AND(ISNUMBER('Semi OpInc'!J41),ISNUMBER('Semi OpInc'!F41),ISNUMBER('Semi Rev'!J41),ISNUMBER('Semi Rev'!F41),ABS('Semi Rev'!J41-'Semi Rev'!F41)&gt;=1),('Semi OpInc'!J41-'Semi OpInc'!F41)/('Semi Rev'!J41-'Semi Rev'!F41),""),"")</f>
        <v/>
      </c>
      <c r="G1178" s="37">
        <f>IFERROR(IF(AND(ISNUMBER('Semi OpInc'!K41),ISNUMBER('Semi OpInc'!G41),ISNUMBER('Semi Rev'!K41),ISNUMBER('Semi Rev'!G41),ABS('Semi Rev'!K41-'Semi Rev'!G41)&gt;=1),('Semi OpInc'!K41-'Semi OpInc'!G41)/('Semi Rev'!K41-'Semi Rev'!G41),""),"")</f>
        <v/>
      </c>
      <c r="H1178" s="37">
        <f>IFERROR(IF(AND(ISNUMBER('Semi OpInc'!L41),ISNUMBER('Semi OpInc'!H41),ISNUMBER('Semi Rev'!L41),ISNUMBER('Semi Rev'!H41),ABS('Semi Rev'!L41-'Semi Rev'!H41)&gt;=1),('Semi OpInc'!L41-'Semi OpInc'!H41)/('Semi Rev'!L41-'Semi Rev'!H41),""),"")</f>
        <v/>
      </c>
      <c r="I1178" s="37">
        <f>IFERROR(IF(AND(ISNUMBER('Semi OpInc'!M41),ISNUMBER('Semi OpInc'!I41),ISNUMBER('Semi Rev'!M41),ISNUMBER('Semi Rev'!I41),ABS('Semi Rev'!M41-'Semi Rev'!I41)&gt;=1),('Semi OpInc'!M41-'Semi OpInc'!I41)/('Semi Rev'!M41-'Semi Rev'!I41),""),"")</f>
        <v/>
      </c>
      <c r="J1178" s="37">
        <f>IFERROR(IF(AND(ISNUMBER('Semi OpInc'!N41),ISNUMBER('Semi OpInc'!J41),ISNUMBER('Semi Rev'!N41),ISNUMBER('Semi Rev'!J41),ABS('Semi Rev'!N41-'Semi Rev'!J41)&gt;=1),('Semi OpInc'!N41-'Semi OpInc'!J41)/('Semi Rev'!N41-'Semi Rev'!J41),""),"")</f>
        <v/>
      </c>
      <c r="K1178" s="37">
        <f>IFERROR(IF(AND(ISNUMBER('Semi OpInc'!O41),ISNUMBER('Semi OpInc'!K41),ISNUMBER('Semi Rev'!O41),ISNUMBER('Semi Rev'!K41),ABS('Semi Rev'!O41-'Semi Rev'!K41)&gt;=1),('Semi OpInc'!O41-'Semi OpInc'!K41)/('Semi Rev'!O41-'Semi Rev'!K41),""),"")</f>
        <v/>
      </c>
      <c r="L1178" s="37">
        <f>IFERROR(IF(AND(ISNUMBER('Semi OpInc'!P41),ISNUMBER('Semi OpInc'!L41),ISNUMBER('Semi Rev'!P41),ISNUMBER('Semi Rev'!L41),ABS('Semi Rev'!P41-'Semi Rev'!L41)&gt;=1),('Semi OpInc'!P41-'Semi OpInc'!L41)/('Semi Rev'!P41-'Semi Rev'!L41),""),"")</f>
        <v/>
      </c>
      <c r="M1178" s="38">
        <f>IFERROR(IF(AND(ISNUMBER('Semi OpInc'!Q41),ISNUMBER('Semi OpInc'!M41),ISNUMBER('Semi Rev'!Q41),ISNUMBER('Semi Rev'!M41),ABS('Semi Rev'!Q41-'Semi Rev'!M41)&gt;=1),('Semi OpInc'!Q41-'Semi OpInc'!M41)/('Semi Rev'!Q41-'Semi Rev'!M41),""),"")</f>
        <v/>
      </c>
      <c r="N1178" s="38">
        <f>IFERROR(IF(AND(ISNUMBER('Semi OpInc'!R41),ISNUMBER('Semi OpInc'!N41),ISNUMBER('Semi Rev'!R41),ISNUMBER('Semi Rev'!N41),ABS('Semi Rev'!R41-'Semi Rev'!N41)&gt;=1),('Semi OpInc'!R41-'Semi OpInc'!N41)/('Semi Rev'!R41-'Semi Rev'!N41),""),"")</f>
        <v/>
      </c>
    </row>
    <row r="1179">
      <c r="A1179" s="19">
        <f>'Semi Rev'!$A42</f>
        <v/>
      </c>
      <c r="B1179" s="19">
        <f>'Semi Rev'!$B42</f>
        <v/>
      </c>
      <c r="C1179" s="37">
        <f>IFERROR(IF(AND(ISNUMBER('Semi OpInc'!G42),ISNUMBER('Semi OpInc'!C42),ISNUMBER('Semi Rev'!G42),ISNUMBER('Semi Rev'!C42),ABS('Semi Rev'!G42-'Semi Rev'!C42)&gt;=1),('Semi OpInc'!G42-'Semi OpInc'!C42)/('Semi Rev'!G42-'Semi Rev'!C42),""),"")</f>
        <v/>
      </c>
      <c r="D1179" s="37">
        <f>IFERROR(IF(AND(ISNUMBER('Semi OpInc'!H42),ISNUMBER('Semi OpInc'!D42),ISNUMBER('Semi Rev'!H42),ISNUMBER('Semi Rev'!D42),ABS('Semi Rev'!H42-'Semi Rev'!D42)&gt;=1),('Semi OpInc'!H42-'Semi OpInc'!D42)/('Semi Rev'!H42-'Semi Rev'!D42),""),"")</f>
        <v/>
      </c>
      <c r="E1179" s="37">
        <f>IFERROR(IF(AND(ISNUMBER('Semi OpInc'!I42),ISNUMBER('Semi OpInc'!E42),ISNUMBER('Semi Rev'!I42),ISNUMBER('Semi Rev'!E42),ABS('Semi Rev'!I42-'Semi Rev'!E42)&gt;=1),('Semi OpInc'!I42-'Semi OpInc'!E42)/('Semi Rev'!I42-'Semi Rev'!E42),""),"")</f>
        <v/>
      </c>
      <c r="F1179" s="37">
        <f>IFERROR(IF(AND(ISNUMBER('Semi OpInc'!J42),ISNUMBER('Semi OpInc'!F42),ISNUMBER('Semi Rev'!J42),ISNUMBER('Semi Rev'!F42),ABS('Semi Rev'!J42-'Semi Rev'!F42)&gt;=1),('Semi OpInc'!J42-'Semi OpInc'!F42)/('Semi Rev'!J42-'Semi Rev'!F42),""),"")</f>
        <v/>
      </c>
      <c r="G1179" s="37">
        <f>IFERROR(IF(AND(ISNUMBER('Semi OpInc'!K42),ISNUMBER('Semi OpInc'!G42),ISNUMBER('Semi Rev'!K42),ISNUMBER('Semi Rev'!G42),ABS('Semi Rev'!K42-'Semi Rev'!G42)&gt;=1),('Semi OpInc'!K42-'Semi OpInc'!G42)/('Semi Rev'!K42-'Semi Rev'!G42),""),"")</f>
        <v/>
      </c>
      <c r="H1179" s="37">
        <f>IFERROR(IF(AND(ISNUMBER('Semi OpInc'!L42),ISNUMBER('Semi OpInc'!H42),ISNUMBER('Semi Rev'!L42),ISNUMBER('Semi Rev'!H42),ABS('Semi Rev'!L42-'Semi Rev'!H42)&gt;=1),('Semi OpInc'!L42-'Semi OpInc'!H42)/('Semi Rev'!L42-'Semi Rev'!H42),""),"")</f>
        <v/>
      </c>
      <c r="I1179" s="37">
        <f>IFERROR(IF(AND(ISNUMBER('Semi OpInc'!M42),ISNUMBER('Semi OpInc'!I42),ISNUMBER('Semi Rev'!M42),ISNUMBER('Semi Rev'!I42),ABS('Semi Rev'!M42-'Semi Rev'!I42)&gt;=1),('Semi OpInc'!M42-'Semi OpInc'!I42)/('Semi Rev'!M42-'Semi Rev'!I42),""),"")</f>
        <v/>
      </c>
      <c r="J1179" s="37">
        <f>IFERROR(IF(AND(ISNUMBER('Semi OpInc'!N42),ISNUMBER('Semi OpInc'!J42),ISNUMBER('Semi Rev'!N42),ISNUMBER('Semi Rev'!J42),ABS('Semi Rev'!N42-'Semi Rev'!J42)&gt;=1),('Semi OpInc'!N42-'Semi OpInc'!J42)/('Semi Rev'!N42-'Semi Rev'!J42),""),"")</f>
        <v/>
      </c>
      <c r="K1179" s="37">
        <f>IFERROR(IF(AND(ISNUMBER('Semi OpInc'!O42),ISNUMBER('Semi OpInc'!K42),ISNUMBER('Semi Rev'!O42),ISNUMBER('Semi Rev'!K42),ABS('Semi Rev'!O42-'Semi Rev'!K42)&gt;=1),('Semi OpInc'!O42-'Semi OpInc'!K42)/('Semi Rev'!O42-'Semi Rev'!K42),""),"")</f>
        <v/>
      </c>
      <c r="L1179" s="37">
        <f>IFERROR(IF(AND(ISNUMBER('Semi OpInc'!P42),ISNUMBER('Semi OpInc'!L42),ISNUMBER('Semi Rev'!P42),ISNUMBER('Semi Rev'!L42),ABS('Semi Rev'!P42-'Semi Rev'!L42)&gt;=1),('Semi OpInc'!P42-'Semi OpInc'!L42)/('Semi Rev'!P42-'Semi Rev'!L42),""),"")</f>
        <v/>
      </c>
      <c r="M1179" s="38">
        <f>IFERROR(IF(AND(ISNUMBER('Semi OpInc'!Q42),ISNUMBER('Semi OpInc'!M42),ISNUMBER('Semi Rev'!Q42),ISNUMBER('Semi Rev'!M42),ABS('Semi Rev'!Q42-'Semi Rev'!M42)&gt;=1),('Semi OpInc'!Q42-'Semi OpInc'!M42)/('Semi Rev'!Q42-'Semi Rev'!M42),""),"")</f>
        <v/>
      </c>
      <c r="N1179" s="38">
        <f>IFERROR(IF(AND(ISNUMBER('Semi OpInc'!R42),ISNUMBER('Semi OpInc'!N42),ISNUMBER('Semi Rev'!R42),ISNUMBER('Semi Rev'!N42),ABS('Semi Rev'!R42-'Semi Rev'!N42)&gt;=1),('Semi OpInc'!R42-'Semi OpInc'!N42)/('Semi Rev'!R42-'Semi Rev'!N42),""),"")</f>
        <v/>
      </c>
    </row>
    <row r="1180">
      <c r="A1180" s="19">
        <f>'Semi Rev'!$A43</f>
        <v/>
      </c>
      <c r="B1180" s="19">
        <f>'Semi Rev'!$B43</f>
        <v/>
      </c>
      <c r="C1180" s="37">
        <f>IFERROR(IF(AND(ISNUMBER('Semi OpInc'!G43),ISNUMBER('Semi OpInc'!C43),ISNUMBER('Semi Rev'!G43),ISNUMBER('Semi Rev'!C43),ABS('Semi Rev'!G43-'Semi Rev'!C43)&gt;=1),('Semi OpInc'!G43-'Semi OpInc'!C43)/('Semi Rev'!G43-'Semi Rev'!C43),""),"")</f>
        <v/>
      </c>
      <c r="D1180" s="37">
        <f>IFERROR(IF(AND(ISNUMBER('Semi OpInc'!H43),ISNUMBER('Semi OpInc'!D43),ISNUMBER('Semi Rev'!H43),ISNUMBER('Semi Rev'!D43),ABS('Semi Rev'!H43-'Semi Rev'!D43)&gt;=1),('Semi OpInc'!H43-'Semi OpInc'!D43)/('Semi Rev'!H43-'Semi Rev'!D43),""),"")</f>
        <v/>
      </c>
      <c r="E1180" s="37">
        <f>IFERROR(IF(AND(ISNUMBER('Semi OpInc'!I43),ISNUMBER('Semi OpInc'!E43),ISNUMBER('Semi Rev'!I43),ISNUMBER('Semi Rev'!E43),ABS('Semi Rev'!I43-'Semi Rev'!E43)&gt;=1),('Semi OpInc'!I43-'Semi OpInc'!E43)/('Semi Rev'!I43-'Semi Rev'!E43),""),"")</f>
        <v/>
      </c>
      <c r="F1180" s="37">
        <f>IFERROR(IF(AND(ISNUMBER('Semi OpInc'!J43),ISNUMBER('Semi OpInc'!F43),ISNUMBER('Semi Rev'!J43),ISNUMBER('Semi Rev'!F43),ABS('Semi Rev'!J43-'Semi Rev'!F43)&gt;=1),('Semi OpInc'!J43-'Semi OpInc'!F43)/('Semi Rev'!J43-'Semi Rev'!F43),""),"")</f>
        <v/>
      </c>
      <c r="G1180" s="37">
        <f>IFERROR(IF(AND(ISNUMBER('Semi OpInc'!K43),ISNUMBER('Semi OpInc'!G43),ISNUMBER('Semi Rev'!K43),ISNUMBER('Semi Rev'!G43),ABS('Semi Rev'!K43-'Semi Rev'!G43)&gt;=1),('Semi OpInc'!K43-'Semi OpInc'!G43)/('Semi Rev'!K43-'Semi Rev'!G43),""),"")</f>
        <v/>
      </c>
      <c r="H1180" s="37">
        <f>IFERROR(IF(AND(ISNUMBER('Semi OpInc'!L43),ISNUMBER('Semi OpInc'!H43),ISNUMBER('Semi Rev'!L43),ISNUMBER('Semi Rev'!H43),ABS('Semi Rev'!L43-'Semi Rev'!H43)&gt;=1),('Semi OpInc'!L43-'Semi OpInc'!H43)/('Semi Rev'!L43-'Semi Rev'!H43),""),"")</f>
        <v/>
      </c>
      <c r="I1180" s="37">
        <f>IFERROR(IF(AND(ISNUMBER('Semi OpInc'!M43),ISNUMBER('Semi OpInc'!I43),ISNUMBER('Semi Rev'!M43),ISNUMBER('Semi Rev'!I43),ABS('Semi Rev'!M43-'Semi Rev'!I43)&gt;=1),('Semi OpInc'!M43-'Semi OpInc'!I43)/('Semi Rev'!M43-'Semi Rev'!I43),""),"")</f>
        <v/>
      </c>
      <c r="J1180" s="37">
        <f>IFERROR(IF(AND(ISNUMBER('Semi OpInc'!N43),ISNUMBER('Semi OpInc'!J43),ISNUMBER('Semi Rev'!N43),ISNUMBER('Semi Rev'!J43),ABS('Semi Rev'!N43-'Semi Rev'!J43)&gt;=1),('Semi OpInc'!N43-'Semi OpInc'!J43)/('Semi Rev'!N43-'Semi Rev'!J43),""),"")</f>
        <v/>
      </c>
      <c r="K1180" s="37">
        <f>IFERROR(IF(AND(ISNUMBER('Semi OpInc'!O43),ISNUMBER('Semi OpInc'!K43),ISNUMBER('Semi Rev'!O43),ISNUMBER('Semi Rev'!K43),ABS('Semi Rev'!O43-'Semi Rev'!K43)&gt;=1),('Semi OpInc'!O43-'Semi OpInc'!K43)/('Semi Rev'!O43-'Semi Rev'!K43),""),"")</f>
        <v/>
      </c>
      <c r="L1180" s="37">
        <f>IFERROR(IF(AND(ISNUMBER('Semi OpInc'!P43),ISNUMBER('Semi OpInc'!L43),ISNUMBER('Semi Rev'!P43),ISNUMBER('Semi Rev'!L43),ABS('Semi Rev'!P43-'Semi Rev'!L43)&gt;=1),('Semi OpInc'!P43-'Semi OpInc'!L43)/('Semi Rev'!P43-'Semi Rev'!L43),""),"")</f>
        <v/>
      </c>
      <c r="M1180" s="38">
        <f>IFERROR(IF(AND(ISNUMBER('Semi OpInc'!Q43),ISNUMBER('Semi OpInc'!M43),ISNUMBER('Semi Rev'!Q43),ISNUMBER('Semi Rev'!M43),ABS('Semi Rev'!Q43-'Semi Rev'!M43)&gt;=1),('Semi OpInc'!Q43-'Semi OpInc'!M43)/('Semi Rev'!Q43-'Semi Rev'!M43),""),"")</f>
        <v/>
      </c>
      <c r="N1180" s="38">
        <f>IFERROR(IF(AND(ISNUMBER('Semi OpInc'!R43),ISNUMBER('Semi OpInc'!N43),ISNUMBER('Semi Rev'!R43),ISNUMBER('Semi Rev'!N43),ABS('Semi Rev'!R43-'Semi Rev'!N43)&gt;=1),('Semi OpInc'!R43-'Semi OpInc'!N43)/('Semi Rev'!R43-'Semi Rev'!N43),""),"")</f>
        <v/>
      </c>
    </row>
    <row r="1181">
      <c r="A1181" s="19">
        <f>'Semi Rev'!$A44</f>
        <v/>
      </c>
      <c r="B1181" s="19">
        <f>'Semi Rev'!$B44</f>
        <v/>
      </c>
      <c r="C1181" s="37">
        <f>IFERROR(IF(AND(ISNUMBER('Semi OpInc'!G44),ISNUMBER('Semi OpInc'!C44),ISNUMBER('Semi Rev'!G44),ISNUMBER('Semi Rev'!C44),ABS('Semi Rev'!G44-'Semi Rev'!C44)&gt;=1),('Semi OpInc'!G44-'Semi OpInc'!C44)/('Semi Rev'!G44-'Semi Rev'!C44),""),"")</f>
        <v/>
      </c>
      <c r="D1181" s="37">
        <f>IFERROR(IF(AND(ISNUMBER('Semi OpInc'!H44),ISNUMBER('Semi OpInc'!D44),ISNUMBER('Semi Rev'!H44),ISNUMBER('Semi Rev'!D44),ABS('Semi Rev'!H44-'Semi Rev'!D44)&gt;=1),('Semi OpInc'!H44-'Semi OpInc'!D44)/('Semi Rev'!H44-'Semi Rev'!D44),""),"")</f>
        <v/>
      </c>
      <c r="E1181" s="37">
        <f>IFERROR(IF(AND(ISNUMBER('Semi OpInc'!I44),ISNUMBER('Semi OpInc'!E44),ISNUMBER('Semi Rev'!I44),ISNUMBER('Semi Rev'!E44),ABS('Semi Rev'!I44-'Semi Rev'!E44)&gt;=1),('Semi OpInc'!I44-'Semi OpInc'!E44)/('Semi Rev'!I44-'Semi Rev'!E44),""),"")</f>
        <v/>
      </c>
      <c r="F1181" s="37">
        <f>IFERROR(IF(AND(ISNUMBER('Semi OpInc'!J44),ISNUMBER('Semi OpInc'!F44),ISNUMBER('Semi Rev'!J44),ISNUMBER('Semi Rev'!F44),ABS('Semi Rev'!J44-'Semi Rev'!F44)&gt;=1),('Semi OpInc'!J44-'Semi OpInc'!F44)/('Semi Rev'!J44-'Semi Rev'!F44),""),"")</f>
        <v/>
      </c>
      <c r="G1181" s="37">
        <f>IFERROR(IF(AND(ISNUMBER('Semi OpInc'!K44),ISNUMBER('Semi OpInc'!G44),ISNUMBER('Semi Rev'!K44),ISNUMBER('Semi Rev'!G44),ABS('Semi Rev'!K44-'Semi Rev'!G44)&gt;=1),('Semi OpInc'!K44-'Semi OpInc'!G44)/('Semi Rev'!K44-'Semi Rev'!G44),""),"")</f>
        <v/>
      </c>
      <c r="H1181" s="37">
        <f>IFERROR(IF(AND(ISNUMBER('Semi OpInc'!L44),ISNUMBER('Semi OpInc'!H44),ISNUMBER('Semi Rev'!L44),ISNUMBER('Semi Rev'!H44),ABS('Semi Rev'!L44-'Semi Rev'!H44)&gt;=1),('Semi OpInc'!L44-'Semi OpInc'!H44)/('Semi Rev'!L44-'Semi Rev'!H44),""),"")</f>
        <v/>
      </c>
      <c r="I1181" s="37">
        <f>IFERROR(IF(AND(ISNUMBER('Semi OpInc'!M44),ISNUMBER('Semi OpInc'!I44),ISNUMBER('Semi Rev'!M44),ISNUMBER('Semi Rev'!I44),ABS('Semi Rev'!M44-'Semi Rev'!I44)&gt;=1),('Semi OpInc'!M44-'Semi OpInc'!I44)/('Semi Rev'!M44-'Semi Rev'!I44),""),"")</f>
        <v/>
      </c>
      <c r="J1181" s="37">
        <f>IFERROR(IF(AND(ISNUMBER('Semi OpInc'!N44),ISNUMBER('Semi OpInc'!J44),ISNUMBER('Semi Rev'!N44),ISNUMBER('Semi Rev'!J44),ABS('Semi Rev'!N44-'Semi Rev'!J44)&gt;=1),('Semi OpInc'!N44-'Semi OpInc'!J44)/('Semi Rev'!N44-'Semi Rev'!J44),""),"")</f>
        <v/>
      </c>
      <c r="K1181" s="37">
        <f>IFERROR(IF(AND(ISNUMBER('Semi OpInc'!O44),ISNUMBER('Semi OpInc'!K44),ISNUMBER('Semi Rev'!O44),ISNUMBER('Semi Rev'!K44),ABS('Semi Rev'!O44-'Semi Rev'!K44)&gt;=1),('Semi OpInc'!O44-'Semi OpInc'!K44)/('Semi Rev'!O44-'Semi Rev'!K44),""),"")</f>
        <v/>
      </c>
      <c r="L1181" s="37">
        <f>IFERROR(IF(AND(ISNUMBER('Semi OpInc'!P44),ISNUMBER('Semi OpInc'!L44),ISNUMBER('Semi Rev'!P44),ISNUMBER('Semi Rev'!L44),ABS('Semi Rev'!P44-'Semi Rev'!L44)&gt;=1),('Semi OpInc'!P44-'Semi OpInc'!L44)/('Semi Rev'!P44-'Semi Rev'!L44),""),"")</f>
        <v/>
      </c>
      <c r="M1181" s="38">
        <f>IFERROR(IF(AND(ISNUMBER('Semi OpInc'!Q44),ISNUMBER('Semi OpInc'!M44),ISNUMBER('Semi Rev'!Q44),ISNUMBER('Semi Rev'!M44),ABS('Semi Rev'!Q44-'Semi Rev'!M44)&gt;=1),('Semi OpInc'!Q44-'Semi OpInc'!M44)/('Semi Rev'!Q44-'Semi Rev'!M44),""),"")</f>
        <v/>
      </c>
      <c r="N1181" s="38">
        <f>IFERROR(IF(AND(ISNUMBER('Semi OpInc'!R44),ISNUMBER('Semi OpInc'!N44),ISNUMBER('Semi Rev'!R44),ISNUMBER('Semi Rev'!N44),ABS('Semi Rev'!R44-'Semi Rev'!N44)&gt;=1),('Semi OpInc'!R44-'Semi OpInc'!N44)/('Semi Rev'!R44-'Semi Rev'!N44),""),"")</f>
        <v/>
      </c>
    </row>
    <row r="1182">
      <c r="A1182" s="19">
        <f>'Semi Rev'!$A45</f>
        <v/>
      </c>
      <c r="B1182" s="19">
        <f>'Semi Rev'!$B45</f>
        <v/>
      </c>
      <c r="C1182" s="37">
        <f>IFERROR(IF(AND(ISNUMBER('Semi OpInc'!G45),ISNUMBER('Semi OpInc'!C45),ISNUMBER('Semi Rev'!G45),ISNUMBER('Semi Rev'!C45),ABS('Semi Rev'!G45-'Semi Rev'!C45)&gt;=1),('Semi OpInc'!G45-'Semi OpInc'!C45)/('Semi Rev'!G45-'Semi Rev'!C45),""),"")</f>
        <v/>
      </c>
      <c r="D1182" s="37">
        <f>IFERROR(IF(AND(ISNUMBER('Semi OpInc'!H45),ISNUMBER('Semi OpInc'!D45),ISNUMBER('Semi Rev'!H45),ISNUMBER('Semi Rev'!D45),ABS('Semi Rev'!H45-'Semi Rev'!D45)&gt;=1),('Semi OpInc'!H45-'Semi OpInc'!D45)/('Semi Rev'!H45-'Semi Rev'!D45),""),"")</f>
        <v/>
      </c>
      <c r="E1182" s="37">
        <f>IFERROR(IF(AND(ISNUMBER('Semi OpInc'!I45),ISNUMBER('Semi OpInc'!E45),ISNUMBER('Semi Rev'!I45),ISNUMBER('Semi Rev'!E45),ABS('Semi Rev'!I45-'Semi Rev'!E45)&gt;=1),('Semi OpInc'!I45-'Semi OpInc'!E45)/('Semi Rev'!I45-'Semi Rev'!E45),""),"")</f>
        <v/>
      </c>
      <c r="F1182" s="37">
        <f>IFERROR(IF(AND(ISNUMBER('Semi OpInc'!J45),ISNUMBER('Semi OpInc'!F45),ISNUMBER('Semi Rev'!J45),ISNUMBER('Semi Rev'!F45),ABS('Semi Rev'!J45-'Semi Rev'!F45)&gt;=1),('Semi OpInc'!J45-'Semi OpInc'!F45)/('Semi Rev'!J45-'Semi Rev'!F45),""),"")</f>
        <v/>
      </c>
      <c r="G1182" s="37">
        <f>IFERROR(IF(AND(ISNUMBER('Semi OpInc'!K45),ISNUMBER('Semi OpInc'!G45),ISNUMBER('Semi Rev'!K45),ISNUMBER('Semi Rev'!G45),ABS('Semi Rev'!K45-'Semi Rev'!G45)&gt;=1),('Semi OpInc'!K45-'Semi OpInc'!G45)/('Semi Rev'!K45-'Semi Rev'!G45),""),"")</f>
        <v/>
      </c>
      <c r="H1182" s="37">
        <f>IFERROR(IF(AND(ISNUMBER('Semi OpInc'!L45),ISNUMBER('Semi OpInc'!H45),ISNUMBER('Semi Rev'!L45),ISNUMBER('Semi Rev'!H45),ABS('Semi Rev'!L45-'Semi Rev'!H45)&gt;=1),('Semi OpInc'!L45-'Semi OpInc'!H45)/('Semi Rev'!L45-'Semi Rev'!H45),""),"")</f>
        <v/>
      </c>
      <c r="I1182" s="37">
        <f>IFERROR(IF(AND(ISNUMBER('Semi OpInc'!M45),ISNUMBER('Semi OpInc'!I45),ISNUMBER('Semi Rev'!M45),ISNUMBER('Semi Rev'!I45),ABS('Semi Rev'!M45-'Semi Rev'!I45)&gt;=1),('Semi OpInc'!M45-'Semi OpInc'!I45)/('Semi Rev'!M45-'Semi Rev'!I45),""),"")</f>
        <v/>
      </c>
      <c r="J1182" s="37">
        <f>IFERROR(IF(AND(ISNUMBER('Semi OpInc'!N45),ISNUMBER('Semi OpInc'!J45),ISNUMBER('Semi Rev'!N45),ISNUMBER('Semi Rev'!J45),ABS('Semi Rev'!N45-'Semi Rev'!J45)&gt;=1),('Semi OpInc'!N45-'Semi OpInc'!J45)/('Semi Rev'!N45-'Semi Rev'!J45),""),"")</f>
        <v/>
      </c>
      <c r="K1182" s="37">
        <f>IFERROR(IF(AND(ISNUMBER('Semi OpInc'!O45),ISNUMBER('Semi OpInc'!K45),ISNUMBER('Semi Rev'!O45),ISNUMBER('Semi Rev'!K45),ABS('Semi Rev'!O45-'Semi Rev'!K45)&gt;=1),('Semi OpInc'!O45-'Semi OpInc'!K45)/('Semi Rev'!O45-'Semi Rev'!K45),""),"")</f>
        <v/>
      </c>
      <c r="L1182" s="37">
        <f>IFERROR(IF(AND(ISNUMBER('Semi OpInc'!P45),ISNUMBER('Semi OpInc'!L45),ISNUMBER('Semi Rev'!P45),ISNUMBER('Semi Rev'!L45),ABS('Semi Rev'!P45-'Semi Rev'!L45)&gt;=1),('Semi OpInc'!P45-'Semi OpInc'!L45)/('Semi Rev'!P45-'Semi Rev'!L45),""),"")</f>
        <v/>
      </c>
      <c r="M1182" s="38">
        <f>IFERROR(IF(AND(ISNUMBER('Semi OpInc'!Q45),ISNUMBER('Semi OpInc'!M45),ISNUMBER('Semi Rev'!Q45),ISNUMBER('Semi Rev'!M45),ABS('Semi Rev'!Q45-'Semi Rev'!M45)&gt;=1),('Semi OpInc'!Q45-'Semi OpInc'!M45)/('Semi Rev'!Q45-'Semi Rev'!M45),""),"")</f>
        <v/>
      </c>
      <c r="N1182" s="38">
        <f>IFERROR(IF(AND(ISNUMBER('Semi OpInc'!R45),ISNUMBER('Semi OpInc'!N45),ISNUMBER('Semi Rev'!R45),ISNUMBER('Semi Rev'!N45),ABS('Semi Rev'!R45-'Semi Rev'!N45)&gt;=1),('Semi OpInc'!R45-'Semi OpInc'!N45)/('Semi Rev'!R45-'Semi Rev'!N45),""),"")</f>
        <v/>
      </c>
    </row>
    <row r="1183">
      <c r="A1183" s="19">
        <f>'Semi Rev'!$A46</f>
        <v/>
      </c>
      <c r="B1183" s="19">
        <f>'Semi Rev'!$B46</f>
        <v/>
      </c>
      <c r="C1183" s="37">
        <f>IFERROR(IF(AND(ISNUMBER('Semi OpInc'!G46),ISNUMBER('Semi OpInc'!C46),ISNUMBER('Semi Rev'!G46),ISNUMBER('Semi Rev'!C46),ABS('Semi Rev'!G46-'Semi Rev'!C46)&gt;=1),('Semi OpInc'!G46-'Semi OpInc'!C46)/('Semi Rev'!G46-'Semi Rev'!C46),""),"")</f>
        <v/>
      </c>
      <c r="D1183" s="37">
        <f>IFERROR(IF(AND(ISNUMBER('Semi OpInc'!H46),ISNUMBER('Semi OpInc'!D46),ISNUMBER('Semi Rev'!H46),ISNUMBER('Semi Rev'!D46),ABS('Semi Rev'!H46-'Semi Rev'!D46)&gt;=1),('Semi OpInc'!H46-'Semi OpInc'!D46)/('Semi Rev'!H46-'Semi Rev'!D46),""),"")</f>
        <v/>
      </c>
      <c r="E1183" s="37">
        <f>IFERROR(IF(AND(ISNUMBER('Semi OpInc'!I46),ISNUMBER('Semi OpInc'!E46),ISNUMBER('Semi Rev'!I46),ISNUMBER('Semi Rev'!E46),ABS('Semi Rev'!I46-'Semi Rev'!E46)&gt;=1),('Semi OpInc'!I46-'Semi OpInc'!E46)/('Semi Rev'!I46-'Semi Rev'!E46),""),"")</f>
        <v/>
      </c>
      <c r="F1183" s="37">
        <f>IFERROR(IF(AND(ISNUMBER('Semi OpInc'!J46),ISNUMBER('Semi OpInc'!F46),ISNUMBER('Semi Rev'!J46),ISNUMBER('Semi Rev'!F46),ABS('Semi Rev'!J46-'Semi Rev'!F46)&gt;=1),('Semi OpInc'!J46-'Semi OpInc'!F46)/('Semi Rev'!J46-'Semi Rev'!F46),""),"")</f>
        <v/>
      </c>
      <c r="G1183" s="37">
        <f>IFERROR(IF(AND(ISNUMBER('Semi OpInc'!K46),ISNUMBER('Semi OpInc'!G46),ISNUMBER('Semi Rev'!K46),ISNUMBER('Semi Rev'!G46),ABS('Semi Rev'!K46-'Semi Rev'!G46)&gt;=1),('Semi OpInc'!K46-'Semi OpInc'!G46)/('Semi Rev'!K46-'Semi Rev'!G46),""),"")</f>
        <v/>
      </c>
      <c r="H1183" s="37">
        <f>IFERROR(IF(AND(ISNUMBER('Semi OpInc'!L46),ISNUMBER('Semi OpInc'!H46),ISNUMBER('Semi Rev'!L46),ISNUMBER('Semi Rev'!H46),ABS('Semi Rev'!L46-'Semi Rev'!H46)&gt;=1),('Semi OpInc'!L46-'Semi OpInc'!H46)/('Semi Rev'!L46-'Semi Rev'!H46),""),"")</f>
        <v/>
      </c>
      <c r="I1183" s="37">
        <f>IFERROR(IF(AND(ISNUMBER('Semi OpInc'!M46),ISNUMBER('Semi OpInc'!I46),ISNUMBER('Semi Rev'!M46),ISNUMBER('Semi Rev'!I46),ABS('Semi Rev'!M46-'Semi Rev'!I46)&gt;=1),('Semi OpInc'!M46-'Semi OpInc'!I46)/('Semi Rev'!M46-'Semi Rev'!I46),""),"")</f>
        <v/>
      </c>
      <c r="J1183" s="37">
        <f>IFERROR(IF(AND(ISNUMBER('Semi OpInc'!N46),ISNUMBER('Semi OpInc'!J46),ISNUMBER('Semi Rev'!N46),ISNUMBER('Semi Rev'!J46),ABS('Semi Rev'!N46-'Semi Rev'!J46)&gt;=1),('Semi OpInc'!N46-'Semi OpInc'!J46)/('Semi Rev'!N46-'Semi Rev'!J46),""),"")</f>
        <v/>
      </c>
      <c r="K1183" s="37">
        <f>IFERROR(IF(AND(ISNUMBER('Semi OpInc'!O46),ISNUMBER('Semi OpInc'!K46),ISNUMBER('Semi Rev'!O46),ISNUMBER('Semi Rev'!K46),ABS('Semi Rev'!O46-'Semi Rev'!K46)&gt;=1),('Semi OpInc'!O46-'Semi OpInc'!K46)/('Semi Rev'!O46-'Semi Rev'!K46),""),"")</f>
        <v/>
      </c>
      <c r="L1183" s="37">
        <f>IFERROR(IF(AND(ISNUMBER('Semi OpInc'!P46),ISNUMBER('Semi OpInc'!L46),ISNUMBER('Semi Rev'!P46),ISNUMBER('Semi Rev'!L46),ABS('Semi Rev'!P46-'Semi Rev'!L46)&gt;=1),('Semi OpInc'!P46-'Semi OpInc'!L46)/('Semi Rev'!P46-'Semi Rev'!L46),""),"")</f>
        <v/>
      </c>
      <c r="M1183" s="38">
        <f>IFERROR(IF(AND(ISNUMBER('Semi OpInc'!Q46),ISNUMBER('Semi OpInc'!M46),ISNUMBER('Semi Rev'!Q46),ISNUMBER('Semi Rev'!M46),ABS('Semi Rev'!Q46-'Semi Rev'!M46)&gt;=1),('Semi OpInc'!Q46-'Semi OpInc'!M46)/('Semi Rev'!Q46-'Semi Rev'!M46),""),"")</f>
        <v/>
      </c>
      <c r="N1183" s="38">
        <f>IFERROR(IF(AND(ISNUMBER('Semi OpInc'!R46),ISNUMBER('Semi OpInc'!N46),ISNUMBER('Semi Rev'!R46),ISNUMBER('Semi Rev'!N46),ABS('Semi Rev'!R46-'Semi Rev'!N46)&gt;=1),('Semi OpInc'!R46-'Semi OpInc'!N46)/('Semi Rev'!R46-'Semi Rev'!N46),""),"")</f>
        <v/>
      </c>
    </row>
    <row r="1184">
      <c r="A1184" s="19">
        <f>'Semi Rev'!$A47</f>
        <v/>
      </c>
      <c r="B1184" s="19">
        <f>'Semi Rev'!$B47</f>
        <v/>
      </c>
      <c r="C1184" s="37">
        <f>IFERROR(IF(AND(ISNUMBER('Semi OpInc'!G47),ISNUMBER('Semi OpInc'!C47),ISNUMBER('Semi Rev'!G47),ISNUMBER('Semi Rev'!C47),ABS('Semi Rev'!G47-'Semi Rev'!C47)&gt;=1),('Semi OpInc'!G47-'Semi OpInc'!C47)/('Semi Rev'!G47-'Semi Rev'!C47),""),"")</f>
        <v/>
      </c>
      <c r="D1184" s="37">
        <f>IFERROR(IF(AND(ISNUMBER('Semi OpInc'!H47),ISNUMBER('Semi OpInc'!D47),ISNUMBER('Semi Rev'!H47),ISNUMBER('Semi Rev'!D47),ABS('Semi Rev'!H47-'Semi Rev'!D47)&gt;=1),('Semi OpInc'!H47-'Semi OpInc'!D47)/('Semi Rev'!H47-'Semi Rev'!D47),""),"")</f>
        <v/>
      </c>
      <c r="E1184" s="37">
        <f>IFERROR(IF(AND(ISNUMBER('Semi OpInc'!I47),ISNUMBER('Semi OpInc'!E47),ISNUMBER('Semi Rev'!I47),ISNUMBER('Semi Rev'!E47),ABS('Semi Rev'!I47-'Semi Rev'!E47)&gt;=1),('Semi OpInc'!I47-'Semi OpInc'!E47)/('Semi Rev'!I47-'Semi Rev'!E47),""),"")</f>
        <v/>
      </c>
      <c r="F1184" s="37">
        <f>IFERROR(IF(AND(ISNUMBER('Semi OpInc'!J47),ISNUMBER('Semi OpInc'!F47),ISNUMBER('Semi Rev'!J47),ISNUMBER('Semi Rev'!F47),ABS('Semi Rev'!J47-'Semi Rev'!F47)&gt;=1),('Semi OpInc'!J47-'Semi OpInc'!F47)/('Semi Rev'!J47-'Semi Rev'!F47),""),"")</f>
        <v/>
      </c>
      <c r="G1184" s="37">
        <f>IFERROR(IF(AND(ISNUMBER('Semi OpInc'!K47),ISNUMBER('Semi OpInc'!G47),ISNUMBER('Semi Rev'!K47),ISNUMBER('Semi Rev'!G47),ABS('Semi Rev'!K47-'Semi Rev'!G47)&gt;=1),('Semi OpInc'!K47-'Semi OpInc'!G47)/('Semi Rev'!K47-'Semi Rev'!G47),""),"")</f>
        <v/>
      </c>
      <c r="H1184" s="37">
        <f>IFERROR(IF(AND(ISNUMBER('Semi OpInc'!L47),ISNUMBER('Semi OpInc'!H47),ISNUMBER('Semi Rev'!L47),ISNUMBER('Semi Rev'!H47),ABS('Semi Rev'!L47-'Semi Rev'!H47)&gt;=1),('Semi OpInc'!L47-'Semi OpInc'!H47)/('Semi Rev'!L47-'Semi Rev'!H47),""),"")</f>
        <v/>
      </c>
      <c r="I1184" s="37">
        <f>IFERROR(IF(AND(ISNUMBER('Semi OpInc'!M47),ISNUMBER('Semi OpInc'!I47),ISNUMBER('Semi Rev'!M47),ISNUMBER('Semi Rev'!I47),ABS('Semi Rev'!M47-'Semi Rev'!I47)&gt;=1),('Semi OpInc'!M47-'Semi OpInc'!I47)/('Semi Rev'!M47-'Semi Rev'!I47),""),"")</f>
        <v/>
      </c>
      <c r="J1184" s="37">
        <f>IFERROR(IF(AND(ISNUMBER('Semi OpInc'!N47),ISNUMBER('Semi OpInc'!J47),ISNUMBER('Semi Rev'!N47),ISNUMBER('Semi Rev'!J47),ABS('Semi Rev'!N47-'Semi Rev'!J47)&gt;=1),('Semi OpInc'!N47-'Semi OpInc'!J47)/('Semi Rev'!N47-'Semi Rev'!J47),""),"")</f>
        <v/>
      </c>
      <c r="K1184" s="37">
        <f>IFERROR(IF(AND(ISNUMBER('Semi OpInc'!O47),ISNUMBER('Semi OpInc'!K47),ISNUMBER('Semi Rev'!O47),ISNUMBER('Semi Rev'!K47),ABS('Semi Rev'!O47-'Semi Rev'!K47)&gt;=1),('Semi OpInc'!O47-'Semi OpInc'!K47)/('Semi Rev'!O47-'Semi Rev'!K47),""),"")</f>
        <v/>
      </c>
      <c r="L1184" s="37">
        <f>IFERROR(IF(AND(ISNUMBER('Semi OpInc'!P47),ISNUMBER('Semi OpInc'!L47),ISNUMBER('Semi Rev'!P47),ISNUMBER('Semi Rev'!L47),ABS('Semi Rev'!P47-'Semi Rev'!L47)&gt;=1),('Semi OpInc'!P47-'Semi OpInc'!L47)/('Semi Rev'!P47-'Semi Rev'!L47),""),"")</f>
        <v/>
      </c>
      <c r="M1184" s="38">
        <f>IFERROR(IF(AND(ISNUMBER('Semi OpInc'!Q47),ISNUMBER('Semi OpInc'!M47),ISNUMBER('Semi Rev'!Q47),ISNUMBER('Semi Rev'!M47),ABS('Semi Rev'!Q47-'Semi Rev'!M47)&gt;=1),('Semi OpInc'!Q47-'Semi OpInc'!M47)/('Semi Rev'!Q47-'Semi Rev'!M47),""),"")</f>
        <v/>
      </c>
      <c r="N1184" s="38">
        <f>IFERROR(IF(AND(ISNUMBER('Semi OpInc'!R47),ISNUMBER('Semi OpInc'!N47),ISNUMBER('Semi Rev'!R47),ISNUMBER('Semi Rev'!N47),ABS('Semi Rev'!R47-'Semi Rev'!N47)&gt;=1),('Semi OpInc'!R47-'Semi OpInc'!N47)/('Semi Rev'!R47-'Semi Rev'!N47),""),"")</f>
        <v/>
      </c>
    </row>
    <row r="1185">
      <c r="A1185" s="19">
        <f>'Semi Rev'!$A48</f>
        <v/>
      </c>
      <c r="B1185" s="19">
        <f>'Semi Rev'!$B48</f>
        <v/>
      </c>
      <c r="C1185" s="37">
        <f>IFERROR(IF(AND(ISNUMBER('Semi OpInc'!G48),ISNUMBER('Semi OpInc'!C48),ISNUMBER('Semi Rev'!G48),ISNUMBER('Semi Rev'!C48),ABS('Semi Rev'!G48-'Semi Rev'!C48)&gt;=1),('Semi OpInc'!G48-'Semi OpInc'!C48)/('Semi Rev'!G48-'Semi Rev'!C48),""),"")</f>
        <v/>
      </c>
      <c r="D1185" s="37">
        <f>IFERROR(IF(AND(ISNUMBER('Semi OpInc'!H48),ISNUMBER('Semi OpInc'!D48),ISNUMBER('Semi Rev'!H48),ISNUMBER('Semi Rev'!D48),ABS('Semi Rev'!H48-'Semi Rev'!D48)&gt;=1),('Semi OpInc'!H48-'Semi OpInc'!D48)/('Semi Rev'!H48-'Semi Rev'!D48),""),"")</f>
        <v/>
      </c>
      <c r="E1185" s="37">
        <f>IFERROR(IF(AND(ISNUMBER('Semi OpInc'!I48),ISNUMBER('Semi OpInc'!E48),ISNUMBER('Semi Rev'!I48),ISNUMBER('Semi Rev'!E48),ABS('Semi Rev'!I48-'Semi Rev'!E48)&gt;=1),('Semi OpInc'!I48-'Semi OpInc'!E48)/('Semi Rev'!I48-'Semi Rev'!E48),""),"")</f>
        <v/>
      </c>
      <c r="F1185" s="37">
        <f>IFERROR(IF(AND(ISNUMBER('Semi OpInc'!J48),ISNUMBER('Semi OpInc'!F48),ISNUMBER('Semi Rev'!J48),ISNUMBER('Semi Rev'!F48),ABS('Semi Rev'!J48-'Semi Rev'!F48)&gt;=1),('Semi OpInc'!J48-'Semi OpInc'!F48)/('Semi Rev'!J48-'Semi Rev'!F48),""),"")</f>
        <v/>
      </c>
      <c r="G1185" s="37">
        <f>IFERROR(IF(AND(ISNUMBER('Semi OpInc'!K48),ISNUMBER('Semi OpInc'!G48),ISNUMBER('Semi Rev'!K48),ISNUMBER('Semi Rev'!G48),ABS('Semi Rev'!K48-'Semi Rev'!G48)&gt;=1),('Semi OpInc'!K48-'Semi OpInc'!G48)/('Semi Rev'!K48-'Semi Rev'!G48),""),"")</f>
        <v/>
      </c>
      <c r="H1185" s="37">
        <f>IFERROR(IF(AND(ISNUMBER('Semi OpInc'!L48),ISNUMBER('Semi OpInc'!H48),ISNUMBER('Semi Rev'!L48),ISNUMBER('Semi Rev'!H48),ABS('Semi Rev'!L48-'Semi Rev'!H48)&gt;=1),('Semi OpInc'!L48-'Semi OpInc'!H48)/('Semi Rev'!L48-'Semi Rev'!H48),""),"")</f>
        <v/>
      </c>
      <c r="I1185" s="37">
        <f>IFERROR(IF(AND(ISNUMBER('Semi OpInc'!M48),ISNUMBER('Semi OpInc'!I48),ISNUMBER('Semi Rev'!M48),ISNUMBER('Semi Rev'!I48),ABS('Semi Rev'!M48-'Semi Rev'!I48)&gt;=1),('Semi OpInc'!M48-'Semi OpInc'!I48)/('Semi Rev'!M48-'Semi Rev'!I48),""),"")</f>
        <v/>
      </c>
      <c r="J1185" s="37">
        <f>IFERROR(IF(AND(ISNUMBER('Semi OpInc'!N48),ISNUMBER('Semi OpInc'!J48),ISNUMBER('Semi Rev'!N48),ISNUMBER('Semi Rev'!J48),ABS('Semi Rev'!N48-'Semi Rev'!J48)&gt;=1),('Semi OpInc'!N48-'Semi OpInc'!J48)/('Semi Rev'!N48-'Semi Rev'!J48),""),"")</f>
        <v/>
      </c>
      <c r="K1185" s="37">
        <f>IFERROR(IF(AND(ISNUMBER('Semi OpInc'!O48),ISNUMBER('Semi OpInc'!K48),ISNUMBER('Semi Rev'!O48),ISNUMBER('Semi Rev'!K48),ABS('Semi Rev'!O48-'Semi Rev'!K48)&gt;=1),('Semi OpInc'!O48-'Semi OpInc'!K48)/('Semi Rev'!O48-'Semi Rev'!K48),""),"")</f>
        <v/>
      </c>
      <c r="L1185" s="37">
        <f>IFERROR(IF(AND(ISNUMBER('Semi OpInc'!P48),ISNUMBER('Semi OpInc'!L48),ISNUMBER('Semi Rev'!P48),ISNUMBER('Semi Rev'!L48),ABS('Semi Rev'!P48-'Semi Rev'!L48)&gt;=1),('Semi OpInc'!P48-'Semi OpInc'!L48)/('Semi Rev'!P48-'Semi Rev'!L48),""),"")</f>
        <v/>
      </c>
      <c r="M1185" s="38">
        <f>IFERROR(IF(AND(ISNUMBER('Semi OpInc'!Q48),ISNUMBER('Semi OpInc'!M48),ISNUMBER('Semi Rev'!Q48),ISNUMBER('Semi Rev'!M48),ABS('Semi Rev'!Q48-'Semi Rev'!M48)&gt;=1),('Semi OpInc'!Q48-'Semi OpInc'!M48)/('Semi Rev'!Q48-'Semi Rev'!M48),""),"")</f>
        <v/>
      </c>
      <c r="N1185" s="38">
        <f>IFERROR(IF(AND(ISNUMBER('Semi OpInc'!R48),ISNUMBER('Semi OpInc'!N48),ISNUMBER('Semi Rev'!R48),ISNUMBER('Semi Rev'!N48),ABS('Semi Rev'!R48-'Semi Rev'!N48)&gt;=1),('Semi OpInc'!R48-'Semi OpInc'!N48)/('Semi Rev'!R48-'Semi Rev'!N48),""),"")</f>
        <v/>
      </c>
    </row>
    <row r="1186">
      <c r="A1186" s="19">
        <f>'Semi Rev'!$A49</f>
        <v/>
      </c>
      <c r="B1186" s="19">
        <f>'Semi Rev'!$B49</f>
        <v/>
      </c>
      <c r="C1186" s="37">
        <f>IFERROR(IF(AND(ISNUMBER('Semi OpInc'!G49),ISNUMBER('Semi OpInc'!C49),ISNUMBER('Semi Rev'!G49),ISNUMBER('Semi Rev'!C49),ABS('Semi Rev'!G49-'Semi Rev'!C49)&gt;=1),('Semi OpInc'!G49-'Semi OpInc'!C49)/('Semi Rev'!G49-'Semi Rev'!C49),""),"")</f>
        <v/>
      </c>
      <c r="D1186" s="37">
        <f>IFERROR(IF(AND(ISNUMBER('Semi OpInc'!H49),ISNUMBER('Semi OpInc'!D49),ISNUMBER('Semi Rev'!H49),ISNUMBER('Semi Rev'!D49),ABS('Semi Rev'!H49-'Semi Rev'!D49)&gt;=1),('Semi OpInc'!H49-'Semi OpInc'!D49)/('Semi Rev'!H49-'Semi Rev'!D49),""),"")</f>
        <v/>
      </c>
      <c r="E1186" s="37">
        <f>IFERROR(IF(AND(ISNUMBER('Semi OpInc'!I49),ISNUMBER('Semi OpInc'!E49),ISNUMBER('Semi Rev'!I49),ISNUMBER('Semi Rev'!E49),ABS('Semi Rev'!I49-'Semi Rev'!E49)&gt;=1),('Semi OpInc'!I49-'Semi OpInc'!E49)/('Semi Rev'!I49-'Semi Rev'!E49),""),"")</f>
        <v/>
      </c>
      <c r="F1186" s="37">
        <f>IFERROR(IF(AND(ISNUMBER('Semi OpInc'!J49),ISNUMBER('Semi OpInc'!F49),ISNUMBER('Semi Rev'!J49),ISNUMBER('Semi Rev'!F49),ABS('Semi Rev'!J49-'Semi Rev'!F49)&gt;=1),('Semi OpInc'!J49-'Semi OpInc'!F49)/('Semi Rev'!J49-'Semi Rev'!F49),""),"")</f>
        <v/>
      </c>
      <c r="G1186" s="37">
        <f>IFERROR(IF(AND(ISNUMBER('Semi OpInc'!K49),ISNUMBER('Semi OpInc'!G49),ISNUMBER('Semi Rev'!K49),ISNUMBER('Semi Rev'!G49),ABS('Semi Rev'!K49-'Semi Rev'!G49)&gt;=1),('Semi OpInc'!K49-'Semi OpInc'!G49)/('Semi Rev'!K49-'Semi Rev'!G49),""),"")</f>
        <v/>
      </c>
      <c r="H1186" s="37">
        <f>IFERROR(IF(AND(ISNUMBER('Semi OpInc'!L49),ISNUMBER('Semi OpInc'!H49),ISNUMBER('Semi Rev'!L49),ISNUMBER('Semi Rev'!H49),ABS('Semi Rev'!L49-'Semi Rev'!H49)&gt;=1),('Semi OpInc'!L49-'Semi OpInc'!H49)/('Semi Rev'!L49-'Semi Rev'!H49),""),"")</f>
        <v/>
      </c>
      <c r="I1186" s="37">
        <f>IFERROR(IF(AND(ISNUMBER('Semi OpInc'!M49),ISNUMBER('Semi OpInc'!I49),ISNUMBER('Semi Rev'!M49),ISNUMBER('Semi Rev'!I49),ABS('Semi Rev'!M49-'Semi Rev'!I49)&gt;=1),('Semi OpInc'!M49-'Semi OpInc'!I49)/('Semi Rev'!M49-'Semi Rev'!I49),""),"")</f>
        <v/>
      </c>
      <c r="J1186" s="37">
        <f>IFERROR(IF(AND(ISNUMBER('Semi OpInc'!N49),ISNUMBER('Semi OpInc'!J49),ISNUMBER('Semi Rev'!N49),ISNUMBER('Semi Rev'!J49),ABS('Semi Rev'!N49-'Semi Rev'!J49)&gt;=1),('Semi OpInc'!N49-'Semi OpInc'!J49)/('Semi Rev'!N49-'Semi Rev'!J49),""),"")</f>
        <v/>
      </c>
      <c r="K1186" s="37">
        <f>IFERROR(IF(AND(ISNUMBER('Semi OpInc'!O49),ISNUMBER('Semi OpInc'!K49),ISNUMBER('Semi Rev'!O49),ISNUMBER('Semi Rev'!K49),ABS('Semi Rev'!O49-'Semi Rev'!K49)&gt;=1),('Semi OpInc'!O49-'Semi OpInc'!K49)/('Semi Rev'!O49-'Semi Rev'!K49),""),"")</f>
        <v/>
      </c>
      <c r="L1186" s="37">
        <f>IFERROR(IF(AND(ISNUMBER('Semi OpInc'!P49),ISNUMBER('Semi OpInc'!L49),ISNUMBER('Semi Rev'!P49),ISNUMBER('Semi Rev'!L49),ABS('Semi Rev'!P49-'Semi Rev'!L49)&gt;=1),('Semi OpInc'!P49-'Semi OpInc'!L49)/('Semi Rev'!P49-'Semi Rev'!L49),""),"")</f>
        <v/>
      </c>
      <c r="M1186" s="38">
        <f>IFERROR(IF(AND(ISNUMBER('Semi OpInc'!Q49),ISNUMBER('Semi OpInc'!M49),ISNUMBER('Semi Rev'!Q49),ISNUMBER('Semi Rev'!M49),ABS('Semi Rev'!Q49-'Semi Rev'!M49)&gt;=1),('Semi OpInc'!Q49-'Semi OpInc'!M49)/('Semi Rev'!Q49-'Semi Rev'!M49),""),"")</f>
        <v/>
      </c>
      <c r="N1186" s="38">
        <f>IFERROR(IF(AND(ISNUMBER('Semi OpInc'!R49),ISNUMBER('Semi OpInc'!N49),ISNUMBER('Semi Rev'!R49),ISNUMBER('Semi Rev'!N49),ABS('Semi Rev'!R49-'Semi Rev'!N49)&gt;=1),('Semi OpInc'!R49-'Semi OpInc'!N49)/('Semi Rev'!R49-'Semi Rev'!N49),""),"")</f>
        <v/>
      </c>
    </row>
    <row r="1187">
      <c r="A1187" s="19">
        <f>'Semi Rev'!$A50</f>
        <v/>
      </c>
      <c r="B1187" s="19">
        <f>'Semi Rev'!$B50</f>
        <v/>
      </c>
      <c r="C1187" s="37">
        <f>IFERROR(IF(AND(ISNUMBER('Semi OpInc'!G50),ISNUMBER('Semi OpInc'!C50),ISNUMBER('Semi Rev'!G50),ISNUMBER('Semi Rev'!C50),ABS('Semi Rev'!G50-'Semi Rev'!C50)&gt;=1),('Semi OpInc'!G50-'Semi OpInc'!C50)/('Semi Rev'!G50-'Semi Rev'!C50),""),"")</f>
        <v/>
      </c>
      <c r="D1187" s="37">
        <f>IFERROR(IF(AND(ISNUMBER('Semi OpInc'!H50),ISNUMBER('Semi OpInc'!D50),ISNUMBER('Semi Rev'!H50),ISNUMBER('Semi Rev'!D50),ABS('Semi Rev'!H50-'Semi Rev'!D50)&gt;=1),('Semi OpInc'!H50-'Semi OpInc'!D50)/('Semi Rev'!H50-'Semi Rev'!D50),""),"")</f>
        <v/>
      </c>
      <c r="E1187" s="37">
        <f>IFERROR(IF(AND(ISNUMBER('Semi OpInc'!I50),ISNUMBER('Semi OpInc'!E50),ISNUMBER('Semi Rev'!I50),ISNUMBER('Semi Rev'!E50),ABS('Semi Rev'!I50-'Semi Rev'!E50)&gt;=1),('Semi OpInc'!I50-'Semi OpInc'!E50)/('Semi Rev'!I50-'Semi Rev'!E50),""),"")</f>
        <v/>
      </c>
      <c r="F1187" s="37">
        <f>IFERROR(IF(AND(ISNUMBER('Semi OpInc'!J50),ISNUMBER('Semi OpInc'!F50),ISNUMBER('Semi Rev'!J50),ISNUMBER('Semi Rev'!F50),ABS('Semi Rev'!J50-'Semi Rev'!F50)&gt;=1),('Semi OpInc'!J50-'Semi OpInc'!F50)/('Semi Rev'!J50-'Semi Rev'!F50),""),"")</f>
        <v/>
      </c>
      <c r="G1187" s="37">
        <f>IFERROR(IF(AND(ISNUMBER('Semi OpInc'!K50),ISNUMBER('Semi OpInc'!G50),ISNUMBER('Semi Rev'!K50),ISNUMBER('Semi Rev'!G50),ABS('Semi Rev'!K50-'Semi Rev'!G50)&gt;=1),('Semi OpInc'!K50-'Semi OpInc'!G50)/('Semi Rev'!K50-'Semi Rev'!G50),""),"")</f>
        <v/>
      </c>
      <c r="H1187" s="37">
        <f>IFERROR(IF(AND(ISNUMBER('Semi OpInc'!L50),ISNUMBER('Semi OpInc'!H50),ISNUMBER('Semi Rev'!L50),ISNUMBER('Semi Rev'!H50),ABS('Semi Rev'!L50-'Semi Rev'!H50)&gt;=1),('Semi OpInc'!L50-'Semi OpInc'!H50)/('Semi Rev'!L50-'Semi Rev'!H50),""),"")</f>
        <v/>
      </c>
      <c r="I1187" s="37">
        <f>IFERROR(IF(AND(ISNUMBER('Semi OpInc'!M50),ISNUMBER('Semi OpInc'!I50),ISNUMBER('Semi Rev'!M50),ISNUMBER('Semi Rev'!I50),ABS('Semi Rev'!M50-'Semi Rev'!I50)&gt;=1),('Semi OpInc'!M50-'Semi OpInc'!I50)/('Semi Rev'!M50-'Semi Rev'!I50),""),"")</f>
        <v/>
      </c>
      <c r="J1187" s="37">
        <f>IFERROR(IF(AND(ISNUMBER('Semi OpInc'!N50),ISNUMBER('Semi OpInc'!J50),ISNUMBER('Semi Rev'!N50),ISNUMBER('Semi Rev'!J50),ABS('Semi Rev'!N50-'Semi Rev'!J50)&gt;=1),('Semi OpInc'!N50-'Semi OpInc'!J50)/('Semi Rev'!N50-'Semi Rev'!J50),""),"")</f>
        <v/>
      </c>
      <c r="K1187" s="37">
        <f>IFERROR(IF(AND(ISNUMBER('Semi OpInc'!O50),ISNUMBER('Semi OpInc'!K50),ISNUMBER('Semi Rev'!O50),ISNUMBER('Semi Rev'!K50),ABS('Semi Rev'!O50-'Semi Rev'!K50)&gt;=1),('Semi OpInc'!O50-'Semi OpInc'!K50)/('Semi Rev'!O50-'Semi Rev'!K50),""),"")</f>
        <v/>
      </c>
      <c r="L1187" s="37">
        <f>IFERROR(IF(AND(ISNUMBER('Semi OpInc'!P50),ISNUMBER('Semi OpInc'!L50),ISNUMBER('Semi Rev'!P50),ISNUMBER('Semi Rev'!L50),ABS('Semi Rev'!P50-'Semi Rev'!L50)&gt;=1),('Semi OpInc'!P50-'Semi OpInc'!L50)/('Semi Rev'!P50-'Semi Rev'!L50),""),"")</f>
        <v/>
      </c>
      <c r="M1187" s="38">
        <f>IFERROR(IF(AND(ISNUMBER('Semi OpInc'!Q50),ISNUMBER('Semi OpInc'!M50),ISNUMBER('Semi Rev'!Q50),ISNUMBER('Semi Rev'!M50),ABS('Semi Rev'!Q50-'Semi Rev'!M50)&gt;=1),('Semi OpInc'!Q50-'Semi OpInc'!M50)/('Semi Rev'!Q50-'Semi Rev'!M50),""),"")</f>
        <v/>
      </c>
      <c r="N1187" s="38">
        <f>IFERROR(IF(AND(ISNUMBER('Semi OpInc'!R50),ISNUMBER('Semi OpInc'!N50),ISNUMBER('Semi Rev'!R50),ISNUMBER('Semi Rev'!N50),ABS('Semi Rev'!R50-'Semi Rev'!N50)&gt;=1),('Semi OpInc'!R50-'Semi OpInc'!N50)/('Semi Rev'!R50-'Semi Rev'!N50),""),"")</f>
        <v/>
      </c>
    </row>
    <row r="1188">
      <c r="A1188" s="19">
        <f>'Semi Rev'!$A51</f>
        <v/>
      </c>
      <c r="B1188" s="19">
        <f>'Semi Rev'!$B51</f>
        <v/>
      </c>
      <c r="C1188" s="37">
        <f>IFERROR(IF(AND(ISNUMBER('Semi OpInc'!G51),ISNUMBER('Semi OpInc'!C51),ISNUMBER('Semi Rev'!G51),ISNUMBER('Semi Rev'!C51),ABS('Semi Rev'!G51-'Semi Rev'!C51)&gt;=1),('Semi OpInc'!G51-'Semi OpInc'!C51)/('Semi Rev'!G51-'Semi Rev'!C51),""),"")</f>
        <v/>
      </c>
      <c r="D1188" s="37">
        <f>IFERROR(IF(AND(ISNUMBER('Semi OpInc'!H51),ISNUMBER('Semi OpInc'!D51),ISNUMBER('Semi Rev'!H51),ISNUMBER('Semi Rev'!D51),ABS('Semi Rev'!H51-'Semi Rev'!D51)&gt;=1),('Semi OpInc'!H51-'Semi OpInc'!D51)/('Semi Rev'!H51-'Semi Rev'!D51),""),"")</f>
        <v/>
      </c>
      <c r="E1188" s="37">
        <f>IFERROR(IF(AND(ISNUMBER('Semi OpInc'!I51),ISNUMBER('Semi OpInc'!E51),ISNUMBER('Semi Rev'!I51),ISNUMBER('Semi Rev'!E51),ABS('Semi Rev'!I51-'Semi Rev'!E51)&gt;=1),('Semi OpInc'!I51-'Semi OpInc'!E51)/('Semi Rev'!I51-'Semi Rev'!E51),""),"")</f>
        <v/>
      </c>
      <c r="F1188" s="37">
        <f>IFERROR(IF(AND(ISNUMBER('Semi OpInc'!J51),ISNUMBER('Semi OpInc'!F51),ISNUMBER('Semi Rev'!J51),ISNUMBER('Semi Rev'!F51),ABS('Semi Rev'!J51-'Semi Rev'!F51)&gt;=1),('Semi OpInc'!J51-'Semi OpInc'!F51)/('Semi Rev'!J51-'Semi Rev'!F51),""),"")</f>
        <v/>
      </c>
      <c r="G1188" s="37">
        <f>IFERROR(IF(AND(ISNUMBER('Semi OpInc'!K51),ISNUMBER('Semi OpInc'!G51),ISNUMBER('Semi Rev'!K51),ISNUMBER('Semi Rev'!G51),ABS('Semi Rev'!K51-'Semi Rev'!G51)&gt;=1),('Semi OpInc'!K51-'Semi OpInc'!G51)/('Semi Rev'!K51-'Semi Rev'!G51),""),"")</f>
        <v/>
      </c>
      <c r="H1188" s="37">
        <f>IFERROR(IF(AND(ISNUMBER('Semi OpInc'!L51),ISNUMBER('Semi OpInc'!H51),ISNUMBER('Semi Rev'!L51),ISNUMBER('Semi Rev'!H51),ABS('Semi Rev'!L51-'Semi Rev'!H51)&gt;=1),('Semi OpInc'!L51-'Semi OpInc'!H51)/('Semi Rev'!L51-'Semi Rev'!H51),""),"")</f>
        <v/>
      </c>
      <c r="I1188" s="37">
        <f>IFERROR(IF(AND(ISNUMBER('Semi OpInc'!M51),ISNUMBER('Semi OpInc'!I51),ISNUMBER('Semi Rev'!M51),ISNUMBER('Semi Rev'!I51),ABS('Semi Rev'!M51-'Semi Rev'!I51)&gt;=1),('Semi OpInc'!M51-'Semi OpInc'!I51)/('Semi Rev'!M51-'Semi Rev'!I51),""),"")</f>
        <v/>
      </c>
      <c r="J1188" s="37">
        <f>IFERROR(IF(AND(ISNUMBER('Semi OpInc'!N51),ISNUMBER('Semi OpInc'!J51),ISNUMBER('Semi Rev'!N51),ISNUMBER('Semi Rev'!J51),ABS('Semi Rev'!N51-'Semi Rev'!J51)&gt;=1),('Semi OpInc'!N51-'Semi OpInc'!J51)/('Semi Rev'!N51-'Semi Rev'!J51),""),"")</f>
        <v/>
      </c>
      <c r="K1188" s="37">
        <f>IFERROR(IF(AND(ISNUMBER('Semi OpInc'!O51),ISNUMBER('Semi OpInc'!K51),ISNUMBER('Semi Rev'!O51),ISNUMBER('Semi Rev'!K51),ABS('Semi Rev'!O51-'Semi Rev'!K51)&gt;=1),('Semi OpInc'!O51-'Semi OpInc'!K51)/('Semi Rev'!O51-'Semi Rev'!K51),""),"")</f>
        <v/>
      </c>
      <c r="L1188" s="37">
        <f>IFERROR(IF(AND(ISNUMBER('Semi OpInc'!P51),ISNUMBER('Semi OpInc'!L51),ISNUMBER('Semi Rev'!P51),ISNUMBER('Semi Rev'!L51),ABS('Semi Rev'!P51-'Semi Rev'!L51)&gt;=1),('Semi OpInc'!P51-'Semi OpInc'!L51)/('Semi Rev'!P51-'Semi Rev'!L51),""),"")</f>
        <v/>
      </c>
      <c r="M1188" s="38">
        <f>IFERROR(IF(AND(ISNUMBER('Semi OpInc'!Q51),ISNUMBER('Semi OpInc'!M51),ISNUMBER('Semi Rev'!Q51),ISNUMBER('Semi Rev'!M51),ABS('Semi Rev'!Q51-'Semi Rev'!M51)&gt;=1),('Semi OpInc'!Q51-'Semi OpInc'!M51)/('Semi Rev'!Q51-'Semi Rev'!M51),""),"")</f>
        <v/>
      </c>
      <c r="N1188" s="38">
        <f>IFERROR(IF(AND(ISNUMBER('Semi OpInc'!R51),ISNUMBER('Semi OpInc'!N51),ISNUMBER('Semi Rev'!R51),ISNUMBER('Semi Rev'!N51),ABS('Semi Rev'!R51-'Semi Rev'!N51)&gt;=1),('Semi OpInc'!R51-'Semi OpInc'!N51)/('Semi Rev'!R51-'Semi Rev'!N51),""),"")</f>
        <v/>
      </c>
    </row>
    <row r="1189">
      <c r="A1189" s="19">
        <f>'Semi Rev'!$A52</f>
        <v/>
      </c>
      <c r="B1189" s="19">
        <f>'Semi Rev'!$B52</f>
        <v/>
      </c>
      <c r="C1189" s="37">
        <f>IFERROR(IF(AND(ISNUMBER('Semi OpInc'!G52),ISNUMBER('Semi OpInc'!C52),ISNUMBER('Semi Rev'!G52),ISNUMBER('Semi Rev'!C52),ABS('Semi Rev'!G52-'Semi Rev'!C52)&gt;=1),('Semi OpInc'!G52-'Semi OpInc'!C52)/('Semi Rev'!G52-'Semi Rev'!C52),""),"")</f>
        <v/>
      </c>
      <c r="D1189" s="37">
        <f>IFERROR(IF(AND(ISNUMBER('Semi OpInc'!H52),ISNUMBER('Semi OpInc'!D52),ISNUMBER('Semi Rev'!H52),ISNUMBER('Semi Rev'!D52),ABS('Semi Rev'!H52-'Semi Rev'!D52)&gt;=1),('Semi OpInc'!H52-'Semi OpInc'!D52)/('Semi Rev'!H52-'Semi Rev'!D52),""),"")</f>
        <v/>
      </c>
      <c r="E1189" s="37">
        <f>IFERROR(IF(AND(ISNUMBER('Semi OpInc'!I52),ISNUMBER('Semi OpInc'!E52),ISNUMBER('Semi Rev'!I52),ISNUMBER('Semi Rev'!E52),ABS('Semi Rev'!I52-'Semi Rev'!E52)&gt;=1),('Semi OpInc'!I52-'Semi OpInc'!E52)/('Semi Rev'!I52-'Semi Rev'!E52),""),"")</f>
        <v/>
      </c>
      <c r="F1189" s="37">
        <f>IFERROR(IF(AND(ISNUMBER('Semi OpInc'!J52),ISNUMBER('Semi OpInc'!F52),ISNUMBER('Semi Rev'!J52),ISNUMBER('Semi Rev'!F52),ABS('Semi Rev'!J52-'Semi Rev'!F52)&gt;=1),('Semi OpInc'!J52-'Semi OpInc'!F52)/('Semi Rev'!J52-'Semi Rev'!F52),""),"")</f>
        <v/>
      </c>
      <c r="G1189" s="37">
        <f>IFERROR(IF(AND(ISNUMBER('Semi OpInc'!K52),ISNUMBER('Semi OpInc'!G52),ISNUMBER('Semi Rev'!K52),ISNUMBER('Semi Rev'!G52),ABS('Semi Rev'!K52-'Semi Rev'!G52)&gt;=1),('Semi OpInc'!K52-'Semi OpInc'!G52)/('Semi Rev'!K52-'Semi Rev'!G52),""),"")</f>
        <v/>
      </c>
      <c r="H1189" s="37">
        <f>IFERROR(IF(AND(ISNUMBER('Semi OpInc'!L52),ISNUMBER('Semi OpInc'!H52),ISNUMBER('Semi Rev'!L52),ISNUMBER('Semi Rev'!H52),ABS('Semi Rev'!L52-'Semi Rev'!H52)&gt;=1),('Semi OpInc'!L52-'Semi OpInc'!H52)/('Semi Rev'!L52-'Semi Rev'!H52),""),"")</f>
        <v/>
      </c>
      <c r="I1189" s="37">
        <f>IFERROR(IF(AND(ISNUMBER('Semi OpInc'!M52),ISNUMBER('Semi OpInc'!I52),ISNUMBER('Semi Rev'!M52),ISNUMBER('Semi Rev'!I52),ABS('Semi Rev'!M52-'Semi Rev'!I52)&gt;=1),('Semi OpInc'!M52-'Semi OpInc'!I52)/('Semi Rev'!M52-'Semi Rev'!I52),""),"")</f>
        <v/>
      </c>
      <c r="J1189" s="37">
        <f>IFERROR(IF(AND(ISNUMBER('Semi OpInc'!N52),ISNUMBER('Semi OpInc'!J52),ISNUMBER('Semi Rev'!N52),ISNUMBER('Semi Rev'!J52),ABS('Semi Rev'!N52-'Semi Rev'!J52)&gt;=1),('Semi OpInc'!N52-'Semi OpInc'!J52)/('Semi Rev'!N52-'Semi Rev'!J52),""),"")</f>
        <v/>
      </c>
      <c r="K1189" s="37">
        <f>IFERROR(IF(AND(ISNUMBER('Semi OpInc'!O52),ISNUMBER('Semi OpInc'!K52),ISNUMBER('Semi Rev'!O52),ISNUMBER('Semi Rev'!K52),ABS('Semi Rev'!O52-'Semi Rev'!K52)&gt;=1),('Semi OpInc'!O52-'Semi OpInc'!K52)/('Semi Rev'!O52-'Semi Rev'!K52),""),"")</f>
        <v/>
      </c>
      <c r="L1189" s="37">
        <f>IFERROR(IF(AND(ISNUMBER('Semi OpInc'!P52),ISNUMBER('Semi OpInc'!L52),ISNUMBER('Semi Rev'!P52),ISNUMBER('Semi Rev'!L52),ABS('Semi Rev'!P52-'Semi Rev'!L52)&gt;=1),('Semi OpInc'!P52-'Semi OpInc'!L52)/('Semi Rev'!P52-'Semi Rev'!L52),""),"")</f>
        <v/>
      </c>
      <c r="M1189" s="38">
        <f>IFERROR(IF(AND(ISNUMBER('Semi OpInc'!Q52),ISNUMBER('Semi OpInc'!M52),ISNUMBER('Semi Rev'!Q52),ISNUMBER('Semi Rev'!M52),ABS('Semi Rev'!Q52-'Semi Rev'!M52)&gt;=1),('Semi OpInc'!Q52-'Semi OpInc'!M52)/('Semi Rev'!Q52-'Semi Rev'!M52),""),"")</f>
        <v/>
      </c>
      <c r="N1189" s="38">
        <f>IFERROR(IF(AND(ISNUMBER('Semi OpInc'!R52),ISNUMBER('Semi OpInc'!N52),ISNUMBER('Semi Rev'!R52),ISNUMBER('Semi Rev'!N52),ABS('Semi Rev'!R52-'Semi Rev'!N52)&gt;=1),('Semi OpInc'!R52-'Semi OpInc'!N52)/('Semi Rev'!R52-'Semi Rev'!N52),""),"")</f>
        <v/>
      </c>
    </row>
    <row r="1190">
      <c r="A1190" s="19">
        <f>'Semi Rev'!$A53</f>
        <v/>
      </c>
      <c r="B1190" s="19">
        <f>'Semi Rev'!$B53</f>
        <v/>
      </c>
      <c r="C1190" s="37">
        <f>IFERROR(IF(AND(ISNUMBER('Semi OpInc'!G53),ISNUMBER('Semi OpInc'!C53),ISNUMBER('Semi Rev'!G53),ISNUMBER('Semi Rev'!C53),ABS('Semi Rev'!G53-'Semi Rev'!C53)&gt;=1),('Semi OpInc'!G53-'Semi OpInc'!C53)/('Semi Rev'!G53-'Semi Rev'!C53),""),"")</f>
        <v/>
      </c>
      <c r="D1190" s="37">
        <f>IFERROR(IF(AND(ISNUMBER('Semi OpInc'!H53),ISNUMBER('Semi OpInc'!D53),ISNUMBER('Semi Rev'!H53),ISNUMBER('Semi Rev'!D53),ABS('Semi Rev'!H53-'Semi Rev'!D53)&gt;=1),('Semi OpInc'!H53-'Semi OpInc'!D53)/('Semi Rev'!H53-'Semi Rev'!D53),""),"")</f>
        <v/>
      </c>
      <c r="E1190" s="37">
        <f>IFERROR(IF(AND(ISNUMBER('Semi OpInc'!I53),ISNUMBER('Semi OpInc'!E53),ISNUMBER('Semi Rev'!I53),ISNUMBER('Semi Rev'!E53),ABS('Semi Rev'!I53-'Semi Rev'!E53)&gt;=1),('Semi OpInc'!I53-'Semi OpInc'!E53)/('Semi Rev'!I53-'Semi Rev'!E53),""),"")</f>
        <v/>
      </c>
      <c r="F1190" s="37">
        <f>IFERROR(IF(AND(ISNUMBER('Semi OpInc'!J53),ISNUMBER('Semi OpInc'!F53),ISNUMBER('Semi Rev'!J53),ISNUMBER('Semi Rev'!F53),ABS('Semi Rev'!J53-'Semi Rev'!F53)&gt;=1),('Semi OpInc'!J53-'Semi OpInc'!F53)/('Semi Rev'!J53-'Semi Rev'!F53),""),"")</f>
        <v/>
      </c>
      <c r="G1190" s="37">
        <f>IFERROR(IF(AND(ISNUMBER('Semi OpInc'!K53),ISNUMBER('Semi OpInc'!G53),ISNUMBER('Semi Rev'!K53),ISNUMBER('Semi Rev'!G53),ABS('Semi Rev'!K53-'Semi Rev'!G53)&gt;=1),('Semi OpInc'!K53-'Semi OpInc'!G53)/('Semi Rev'!K53-'Semi Rev'!G53),""),"")</f>
        <v/>
      </c>
      <c r="H1190" s="37">
        <f>IFERROR(IF(AND(ISNUMBER('Semi OpInc'!L53),ISNUMBER('Semi OpInc'!H53),ISNUMBER('Semi Rev'!L53),ISNUMBER('Semi Rev'!H53),ABS('Semi Rev'!L53-'Semi Rev'!H53)&gt;=1),('Semi OpInc'!L53-'Semi OpInc'!H53)/('Semi Rev'!L53-'Semi Rev'!H53),""),"")</f>
        <v/>
      </c>
      <c r="I1190" s="37">
        <f>IFERROR(IF(AND(ISNUMBER('Semi OpInc'!M53),ISNUMBER('Semi OpInc'!I53),ISNUMBER('Semi Rev'!M53),ISNUMBER('Semi Rev'!I53),ABS('Semi Rev'!M53-'Semi Rev'!I53)&gt;=1),('Semi OpInc'!M53-'Semi OpInc'!I53)/('Semi Rev'!M53-'Semi Rev'!I53),""),"")</f>
        <v/>
      </c>
      <c r="J1190" s="37">
        <f>IFERROR(IF(AND(ISNUMBER('Semi OpInc'!N53),ISNUMBER('Semi OpInc'!J53),ISNUMBER('Semi Rev'!N53),ISNUMBER('Semi Rev'!J53),ABS('Semi Rev'!N53-'Semi Rev'!J53)&gt;=1),('Semi OpInc'!N53-'Semi OpInc'!J53)/('Semi Rev'!N53-'Semi Rev'!J53),""),"")</f>
        <v/>
      </c>
      <c r="K1190" s="37">
        <f>IFERROR(IF(AND(ISNUMBER('Semi OpInc'!O53),ISNUMBER('Semi OpInc'!K53),ISNUMBER('Semi Rev'!O53),ISNUMBER('Semi Rev'!K53),ABS('Semi Rev'!O53-'Semi Rev'!K53)&gt;=1),('Semi OpInc'!O53-'Semi OpInc'!K53)/('Semi Rev'!O53-'Semi Rev'!K53),""),"")</f>
        <v/>
      </c>
      <c r="L1190" s="37">
        <f>IFERROR(IF(AND(ISNUMBER('Semi OpInc'!P53),ISNUMBER('Semi OpInc'!L53),ISNUMBER('Semi Rev'!P53),ISNUMBER('Semi Rev'!L53),ABS('Semi Rev'!P53-'Semi Rev'!L53)&gt;=1),('Semi OpInc'!P53-'Semi OpInc'!L53)/('Semi Rev'!P53-'Semi Rev'!L53),""),"")</f>
        <v/>
      </c>
      <c r="M1190" s="38">
        <f>IFERROR(IF(AND(ISNUMBER('Semi OpInc'!Q53),ISNUMBER('Semi OpInc'!M53),ISNUMBER('Semi Rev'!Q53),ISNUMBER('Semi Rev'!M53),ABS('Semi Rev'!Q53-'Semi Rev'!M53)&gt;=1),('Semi OpInc'!Q53-'Semi OpInc'!M53)/('Semi Rev'!Q53-'Semi Rev'!M53),""),"")</f>
        <v/>
      </c>
      <c r="N1190" s="38">
        <f>IFERROR(IF(AND(ISNUMBER('Semi OpInc'!R53),ISNUMBER('Semi OpInc'!N53),ISNUMBER('Semi Rev'!R53),ISNUMBER('Semi Rev'!N53),ABS('Semi Rev'!R53-'Semi Rev'!N53)&gt;=1),('Semi OpInc'!R53-'Semi OpInc'!N53)/('Semi Rev'!R53-'Semi Rev'!N53),""),"")</f>
        <v/>
      </c>
    </row>
    <row r="1191">
      <c r="A1191" s="19">
        <f>'Semi Rev'!$A54</f>
        <v/>
      </c>
      <c r="B1191" s="19">
        <f>'Semi Rev'!$B54</f>
        <v/>
      </c>
      <c r="C1191" s="37">
        <f>IFERROR(IF(AND(ISNUMBER('Semi OpInc'!G54),ISNUMBER('Semi OpInc'!C54),ISNUMBER('Semi Rev'!G54),ISNUMBER('Semi Rev'!C54),ABS('Semi Rev'!G54-'Semi Rev'!C54)&gt;=1),('Semi OpInc'!G54-'Semi OpInc'!C54)/('Semi Rev'!G54-'Semi Rev'!C54),""),"")</f>
        <v/>
      </c>
      <c r="D1191" s="37">
        <f>IFERROR(IF(AND(ISNUMBER('Semi OpInc'!H54),ISNUMBER('Semi OpInc'!D54),ISNUMBER('Semi Rev'!H54),ISNUMBER('Semi Rev'!D54),ABS('Semi Rev'!H54-'Semi Rev'!D54)&gt;=1),('Semi OpInc'!H54-'Semi OpInc'!D54)/('Semi Rev'!H54-'Semi Rev'!D54),""),"")</f>
        <v/>
      </c>
      <c r="E1191" s="37">
        <f>IFERROR(IF(AND(ISNUMBER('Semi OpInc'!I54),ISNUMBER('Semi OpInc'!E54),ISNUMBER('Semi Rev'!I54),ISNUMBER('Semi Rev'!E54),ABS('Semi Rev'!I54-'Semi Rev'!E54)&gt;=1),('Semi OpInc'!I54-'Semi OpInc'!E54)/('Semi Rev'!I54-'Semi Rev'!E54),""),"")</f>
        <v/>
      </c>
      <c r="F1191" s="37">
        <f>IFERROR(IF(AND(ISNUMBER('Semi OpInc'!J54),ISNUMBER('Semi OpInc'!F54),ISNUMBER('Semi Rev'!J54),ISNUMBER('Semi Rev'!F54),ABS('Semi Rev'!J54-'Semi Rev'!F54)&gt;=1),('Semi OpInc'!J54-'Semi OpInc'!F54)/('Semi Rev'!J54-'Semi Rev'!F54),""),"")</f>
        <v/>
      </c>
      <c r="G1191" s="37">
        <f>IFERROR(IF(AND(ISNUMBER('Semi OpInc'!K54),ISNUMBER('Semi OpInc'!G54),ISNUMBER('Semi Rev'!K54),ISNUMBER('Semi Rev'!G54),ABS('Semi Rev'!K54-'Semi Rev'!G54)&gt;=1),('Semi OpInc'!K54-'Semi OpInc'!G54)/('Semi Rev'!K54-'Semi Rev'!G54),""),"")</f>
        <v/>
      </c>
      <c r="H1191" s="37">
        <f>IFERROR(IF(AND(ISNUMBER('Semi OpInc'!L54),ISNUMBER('Semi OpInc'!H54),ISNUMBER('Semi Rev'!L54),ISNUMBER('Semi Rev'!H54),ABS('Semi Rev'!L54-'Semi Rev'!H54)&gt;=1),('Semi OpInc'!L54-'Semi OpInc'!H54)/('Semi Rev'!L54-'Semi Rev'!H54),""),"")</f>
        <v/>
      </c>
      <c r="I1191" s="37">
        <f>IFERROR(IF(AND(ISNUMBER('Semi OpInc'!M54),ISNUMBER('Semi OpInc'!I54),ISNUMBER('Semi Rev'!M54),ISNUMBER('Semi Rev'!I54),ABS('Semi Rev'!M54-'Semi Rev'!I54)&gt;=1),('Semi OpInc'!M54-'Semi OpInc'!I54)/('Semi Rev'!M54-'Semi Rev'!I54),""),"")</f>
        <v/>
      </c>
      <c r="J1191" s="37">
        <f>IFERROR(IF(AND(ISNUMBER('Semi OpInc'!N54),ISNUMBER('Semi OpInc'!J54),ISNUMBER('Semi Rev'!N54),ISNUMBER('Semi Rev'!J54),ABS('Semi Rev'!N54-'Semi Rev'!J54)&gt;=1),('Semi OpInc'!N54-'Semi OpInc'!J54)/('Semi Rev'!N54-'Semi Rev'!J54),""),"")</f>
        <v/>
      </c>
      <c r="K1191" s="37">
        <f>IFERROR(IF(AND(ISNUMBER('Semi OpInc'!O54),ISNUMBER('Semi OpInc'!K54),ISNUMBER('Semi Rev'!O54),ISNUMBER('Semi Rev'!K54),ABS('Semi Rev'!O54-'Semi Rev'!K54)&gt;=1),('Semi OpInc'!O54-'Semi OpInc'!K54)/('Semi Rev'!O54-'Semi Rev'!K54),""),"")</f>
        <v/>
      </c>
      <c r="L1191" s="37">
        <f>IFERROR(IF(AND(ISNUMBER('Semi OpInc'!P54),ISNUMBER('Semi OpInc'!L54),ISNUMBER('Semi Rev'!P54),ISNUMBER('Semi Rev'!L54),ABS('Semi Rev'!P54-'Semi Rev'!L54)&gt;=1),('Semi OpInc'!P54-'Semi OpInc'!L54)/('Semi Rev'!P54-'Semi Rev'!L54),""),"")</f>
        <v/>
      </c>
      <c r="M1191" s="38">
        <f>IFERROR(IF(AND(ISNUMBER('Semi OpInc'!Q54),ISNUMBER('Semi OpInc'!M54),ISNUMBER('Semi Rev'!Q54),ISNUMBER('Semi Rev'!M54),ABS('Semi Rev'!Q54-'Semi Rev'!M54)&gt;=1),('Semi OpInc'!Q54-'Semi OpInc'!M54)/('Semi Rev'!Q54-'Semi Rev'!M54),""),"")</f>
        <v/>
      </c>
      <c r="N1191" s="38">
        <f>IFERROR(IF(AND(ISNUMBER('Semi OpInc'!R54),ISNUMBER('Semi OpInc'!N54),ISNUMBER('Semi Rev'!R54),ISNUMBER('Semi Rev'!N54),ABS('Semi Rev'!R54-'Semi Rev'!N54)&gt;=1),('Semi OpInc'!R54-'Semi OpInc'!N54)/('Semi Rev'!R54-'Semi Rev'!N54),""),"")</f>
        <v/>
      </c>
    </row>
    <row r="1192">
      <c r="A1192" s="19">
        <f>'Semi Rev'!$A55</f>
        <v/>
      </c>
      <c r="B1192" s="19">
        <f>'Semi Rev'!$B55</f>
        <v/>
      </c>
      <c r="C1192" s="37">
        <f>IFERROR(IF(AND(ISNUMBER('Semi OpInc'!G55),ISNUMBER('Semi OpInc'!C55),ISNUMBER('Semi Rev'!G55),ISNUMBER('Semi Rev'!C55),ABS('Semi Rev'!G55-'Semi Rev'!C55)&gt;=1),('Semi OpInc'!G55-'Semi OpInc'!C55)/('Semi Rev'!G55-'Semi Rev'!C55),""),"")</f>
        <v/>
      </c>
      <c r="D1192" s="37">
        <f>IFERROR(IF(AND(ISNUMBER('Semi OpInc'!H55),ISNUMBER('Semi OpInc'!D55),ISNUMBER('Semi Rev'!H55),ISNUMBER('Semi Rev'!D55),ABS('Semi Rev'!H55-'Semi Rev'!D55)&gt;=1),('Semi OpInc'!H55-'Semi OpInc'!D55)/('Semi Rev'!H55-'Semi Rev'!D55),""),"")</f>
        <v/>
      </c>
      <c r="E1192" s="37">
        <f>IFERROR(IF(AND(ISNUMBER('Semi OpInc'!I55),ISNUMBER('Semi OpInc'!E55),ISNUMBER('Semi Rev'!I55),ISNUMBER('Semi Rev'!E55),ABS('Semi Rev'!I55-'Semi Rev'!E55)&gt;=1),('Semi OpInc'!I55-'Semi OpInc'!E55)/('Semi Rev'!I55-'Semi Rev'!E55),""),"")</f>
        <v/>
      </c>
      <c r="F1192" s="37">
        <f>IFERROR(IF(AND(ISNUMBER('Semi OpInc'!J55),ISNUMBER('Semi OpInc'!F55),ISNUMBER('Semi Rev'!J55),ISNUMBER('Semi Rev'!F55),ABS('Semi Rev'!J55-'Semi Rev'!F55)&gt;=1),('Semi OpInc'!J55-'Semi OpInc'!F55)/('Semi Rev'!J55-'Semi Rev'!F55),""),"")</f>
        <v/>
      </c>
      <c r="G1192" s="37">
        <f>IFERROR(IF(AND(ISNUMBER('Semi OpInc'!K55),ISNUMBER('Semi OpInc'!G55),ISNUMBER('Semi Rev'!K55),ISNUMBER('Semi Rev'!G55),ABS('Semi Rev'!K55-'Semi Rev'!G55)&gt;=1),('Semi OpInc'!K55-'Semi OpInc'!G55)/('Semi Rev'!K55-'Semi Rev'!G55),""),"")</f>
        <v/>
      </c>
      <c r="H1192" s="37">
        <f>IFERROR(IF(AND(ISNUMBER('Semi OpInc'!L55),ISNUMBER('Semi OpInc'!H55),ISNUMBER('Semi Rev'!L55),ISNUMBER('Semi Rev'!H55),ABS('Semi Rev'!L55-'Semi Rev'!H55)&gt;=1),('Semi OpInc'!L55-'Semi OpInc'!H55)/('Semi Rev'!L55-'Semi Rev'!H55),""),"")</f>
        <v/>
      </c>
      <c r="I1192" s="37">
        <f>IFERROR(IF(AND(ISNUMBER('Semi OpInc'!M55),ISNUMBER('Semi OpInc'!I55),ISNUMBER('Semi Rev'!M55),ISNUMBER('Semi Rev'!I55),ABS('Semi Rev'!M55-'Semi Rev'!I55)&gt;=1),('Semi OpInc'!M55-'Semi OpInc'!I55)/('Semi Rev'!M55-'Semi Rev'!I55),""),"")</f>
        <v/>
      </c>
      <c r="J1192" s="37">
        <f>IFERROR(IF(AND(ISNUMBER('Semi OpInc'!N55),ISNUMBER('Semi OpInc'!J55),ISNUMBER('Semi Rev'!N55),ISNUMBER('Semi Rev'!J55),ABS('Semi Rev'!N55-'Semi Rev'!J55)&gt;=1),('Semi OpInc'!N55-'Semi OpInc'!J55)/('Semi Rev'!N55-'Semi Rev'!J55),""),"")</f>
        <v/>
      </c>
      <c r="K1192" s="37">
        <f>IFERROR(IF(AND(ISNUMBER('Semi OpInc'!O55),ISNUMBER('Semi OpInc'!K55),ISNUMBER('Semi Rev'!O55),ISNUMBER('Semi Rev'!K55),ABS('Semi Rev'!O55-'Semi Rev'!K55)&gt;=1),('Semi OpInc'!O55-'Semi OpInc'!K55)/('Semi Rev'!O55-'Semi Rev'!K55),""),"")</f>
        <v/>
      </c>
      <c r="L1192" s="37">
        <f>IFERROR(IF(AND(ISNUMBER('Semi OpInc'!P55),ISNUMBER('Semi OpInc'!L55),ISNUMBER('Semi Rev'!P55),ISNUMBER('Semi Rev'!L55),ABS('Semi Rev'!P55-'Semi Rev'!L55)&gt;=1),('Semi OpInc'!P55-'Semi OpInc'!L55)/('Semi Rev'!P55-'Semi Rev'!L55),""),"")</f>
        <v/>
      </c>
      <c r="M1192" s="38">
        <f>IFERROR(IF(AND(ISNUMBER('Semi OpInc'!Q55),ISNUMBER('Semi OpInc'!M55),ISNUMBER('Semi Rev'!Q55),ISNUMBER('Semi Rev'!M55),ABS('Semi Rev'!Q55-'Semi Rev'!M55)&gt;=1),('Semi OpInc'!Q55-'Semi OpInc'!M55)/('Semi Rev'!Q55-'Semi Rev'!M55),""),"")</f>
        <v/>
      </c>
      <c r="N1192" s="38">
        <f>IFERROR(IF(AND(ISNUMBER('Semi OpInc'!R55),ISNUMBER('Semi OpInc'!N55),ISNUMBER('Semi Rev'!R55),ISNUMBER('Semi Rev'!N55),ABS('Semi Rev'!R55-'Semi Rev'!N55)&gt;=1),('Semi OpInc'!R55-'Semi OpInc'!N55)/('Semi Rev'!R55-'Semi Rev'!N55),""),"")</f>
        <v/>
      </c>
    </row>
    <row r="1193">
      <c r="A1193" s="19">
        <f>'Semi Rev'!$A56</f>
        <v/>
      </c>
      <c r="B1193" s="19">
        <f>'Semi Rev'!$B56</f>
        <v/>
      </c>
      <c r="C1193" s="37">
        <f>IFERROR(IF(AND(ISNUMBER('Semi OpInc'!G56),ISNUMBER('Semi OpInc'!C56),ISNUMBER('Semi Rev'!G56),ISNUMBER('Semi Rev'!C56),ABS('Semi Rev'!G56-'Semi Rev'!C56)&gt;=1),('Semi OpInc'!G56-'Semi OpInc'!C56)/('Semi Rev'!G56-'Semi Rev'!C56),""),"")</f>
        <v/>
      </c>
      <c r="D1193" s="37">
        <f>IFERROR(IF(AND(ISNUMBER('Semi OpInc'!H56),ISNUMBER('Semi OpInc'!D56),ISNUMBER('Semi Rev'!H56),ISNUMBER('Semi Rev'!D56),ABS('Semi Rev'!H56-'Semi Rev'!D56)&gt;=1),('Semi OpInc'!H56-'Semi OpInc'!D56)/('Semi Rev'!H56-'Semi Rev'!D56),""),"")</f>
        <v/>
      </c>
      <c r="E1193" s="37">
        <f>IFERROR(IF(AND(ISNUMBER('Semi OpInc'!I56),ISNUMBER('Semi OpInc'!E56),ISNUMBER('Semi Rev'!I56),ISNUMBER('Semi Rev'!E56),ABS('Semi Rev'!I56-'Semi Rev'!E56)&gt;=1),('Semi OpInc'!I56-'Semi OpInc'!E56)/('Semi Rev'!I56-'Semi Rev'!E56),""),"")</f>
        <v/>
      </c>
      <c r="F1193" s="37">
        <f>IFERROR(IF(AND(ISNUMBER('Semi OpInc'!J56),ISNUMBER('Semi OpInc'!F56),ISNUMBER('Semi Rev'!J56),ISNUMBER('Semi Rev'!F56),ABS('Semi Rev'!J56-'Semi Rev'!F56)&gt;=1),('Semi OpInc'!J56-'Semi OpInc'!F56)/('Semi Rev'!J56-'Semi Rev'!F56),""),"")</f>
        <v/>
      </c>
      <c r="G1193" s="37">
        <f>IFERROR(IF(AND(ISNUMBER('Semi OpInc'!K56),ISNUMBER('Semi OpInc'!G56),ISNUMBER('Semi Rev'!K56),ISNUMBER('Semi Rev'!G56),ABS('Semi Rev'!K56-'Semi Rev'!G56)&gt;=1),('Semi OpInc'!K56-'Semi OpInc'!G56)/('Semi Rev'!K56-'Semi Rev'!G56),""),"")</f>
        <v/>
      </c>
      <c r="H1193" s="37">
        <f>IFERROR(IF(AND(ISNUMBER('Semi OpInc'!L56),ISNUMBER('Semi OpInc'!H56),ISNUMBER('Semi Rev'!L56),ISNUMBER('Semi Rev'!H56),ABS('Semi Rev'!L56-'Semi Rev'!H56)&gt;=1),('Semi OpInc'!L56-'Semi OpInc'!H56)/('Semi Rev'!L56-'Semi Rev'!H56),""),"")</f>
        <v/>
      </c>
      <c r="I1193" s="37">
        <f>IFERROR(IF(AND(ISNUMBER('Semi OpInc'!M56),ISNUMBER('Semi OpInc'!I56),ISNUMBER('Semi Rev'!M56),ISNUMBER('Semi Rev'!I56),ABS('Semi Rev'!M56-'Semi Rev'!I56)&gt;=1),('Semi OpInc'!M56-'Semi OpInc'!I56)/('Semi Rev'!M56-'Semi Rev'!I56),""),"")</f>
        <v/>
      </c>
      <c r="J1193" s="37">
        <f>IFERROR(IF(AND(ISNUMBER('Semi OpInc'!N56),ISNUMBER('Semi OpInc'!J56),ISNUMBER('Semi Rev'!N56),ISNUMBER('Semi Rev'!J56),ABS('Semi Rev'!N56-'Semi Rev'!J56)&gt;=1),('Semi OpInc'!N56-'Semi OpInc'!J56)/('Semi Rev'!N56-'Semi Rev'!J56),""),"")</f>
        <v/>
      </c>
      <c r="K1193" s="37">
        <f>IFERROR(IF(AND(ISNUMBER('Semi OpInc'!O56),ISNUMBER('Semi OpInc'!K56),ISNUMBER('Semi Rev'!O56),ISNUMBER('Semi Rev'!K56),ABS('Semi Rev'!O56-'Semi Rev'!K56)&gt;=1),('Semi OpInc'!O56-'Semi OpInc'!K56)/('Semi Rev'!O56-'Semi Rev'!K56),""),"")</f>
        <v/>
      </c>
      <c r="L1193" s="37">
        <f>IFERROR(IF(AND(ISNUMBER('Semi OpInc'!P56),ISNUMBER('Semi OpInc'!L56),ISNUMBER('Semi Rev'!P56),ISNUMBER('Semi Rev'!L56),ABS('Semi Rev'!P56-'Semi Rev'!L56)&gt;=1),('Semi OpInc'!P56-'Semi OpInc'!L56)/('Semi Rev'!P56-'Semi Rev'!L56),""),"")</f>
        <v/>
      </c>
      <c r="M1193" s="38">
        <f>IFERROR(IF(AND(ISNUMBER('Semi OpInc'!Q56),ISNUMBER('Semi OpInc'!M56),ISNUMBER('Semi Rev'!Q56),ISNUMBER('Semi Rev'!M56),ABS('Semi Rev'!Q56-'Semi Rev'!M56)&gt;=1),('Semi OpInc'!Q56-'Semi OpInc'!M56)/('Semi Rev'!Q56-'Semi Rev'!M56),""),"")</f>
        <v/>
      </c>
      <c r="N1193" s="38">
        <f>IFERROR(IF(AND(ISNUMBER('Semi OpInc'!R56),ISNUMBER('Semi OpInc'!N56),ISNUMBER('Semi Rev'!R56),ISNUMBER('Semi Rev'!N56),ABS('Semi Rev'!R56-'Semi Rev'!N56)&gt;=1),('Semi OpInc'!R56-'Semi OpInc'!N56)/('Semi Rev'!R56-'Semi Rev'!N56),""),"")</f>
        <v/>
      </c>
    </row>
    <row r="1194">
      <c r="A1194" s="19">
        <f>'Semi Rev'!$A57</f>
        <v/>
      </c>
      <c r="B1194" s="19">
        <f>'Semi Rev'!$B57</f>
        <v/>
      </c>
      <c r="C1194" s="37">
        <f>IFERROR(IF(AND(ISNUMBER('Semi OpInc'!G57),ISNUMBER('Semi OpInc'!C57),ISNUMBER('Semi Rev'!G57),ISNUMBER('Semi Rev'!C57),ABS('Semi Rev'!G57-'Semi Rev'!C57)&gt;=1),('Semi OpInc'!G57-'Semi OpInc'!C57)/('Semi Rev'!G57-'Semi Rev'!C57),""),"")</f>
        <v/>
      </c>
      <c r="D1194" s="37">
        <f>IFERROR(IF(AND(ISNUMBER('Semi OpInc'!H57),ISNUMBER('Semi OpInc'!D57),ISNUMBER('Semi Rev'!H57),ISNUMBER('Semi Rev'!D57),ABS('Semi Rev'!H57-'Semi Rev'!D57)&gt;=1),('Semi OpInc'!H57-'Semi OpInc'!D57)/('Semi Rev'!H57-'Semi Rev'!D57),""),"")</f>
        <v/>
      </c>
      <c r="E1194" s="37">
        <f>IFERROR(IF(AND(ISNUMBER('Semi OpInc'!I57),ISNUMBER('Semi OpInc'!E57),ISNUMBER('Semi Rev'!I57),ISNUMBER('Semi Rev'!E57),ABS('Semi Rev'!I57-'Semi Rev'!E57)&gt;=1),('Semi OpInc'!I57-'Semi OpInc'!E57)/('Semi Rev'!I57-'Semi Rev'!E57),""),"")</f>
        <v/>
      </c>
      <c r="F1194" s="37">
        <f>IFERROR(IF(AND(ISNUMBER('Semi OpInc'!J57),ISNUMBER('Semi OpInc'!F57),ISNUMBER('Semi Rev'!J57),ISNUMBER('Semi Rev'!F57),ABS('Semi Rev'!J57-'Semi Rev'!F57)&gt;=1),('Semi OpInc'!J57-'Semi OpInc'!F57)/('Semi Rev'!J57-'Semi Rev'!F57),""),"")</f>
        <v/>
      </c>
      <c r="G1194" s="37">
        <f>IFERROR(IF(AND(ISNUMBER('Semi OpInc'!K57),ISNUMBER('Semi OpInc'!G57),ISNUMBER('Semi Rev'!K57),ISNUMBER('Semi Rev'!G57),ABS('Semi Rev'!K57-'Semi Rev'!G57)&gt;=1),('Semi OpInc'!K57-'Semi OpInc'!G57)/('Semi Rev'!K57-'Semi Rev'!G57),""),"")</f>
        <v/>
      </c>
      <c r="H1194" s="37">
        <f>IFERROR(IF(AND(ISNUMBER('Semi OpInc'!L57),ISNUMBER('Semi OpInc'!H57),ISNUMBER('Semi Rev'!L57),ISNUMBER('Semi Rev'!H57),ABS('Semi Rev'!L57-'Semi Rev'!H57)&gt;=1),('Semi OpInc'!L57-'Semi OpInc'!H57)/('Semi Rev'!L57-'Semi Rev'!H57),""),"")</f>
        <v/>
      </c>
      <c r="I1194" s="37">
        <f>IFERROR(IF(AND(ISNUMBER('Semi OpInc'!M57),ISNUMBER('Semi OpInc'!I57),ISNUMBER('Semi Rev'!M57),ISNUMBER('Semi Rev'!I57),ABS('Semi Rev'!M57-'Semi Rev'!I57)&gt;=1),('Semi OpInc'!M57-'Semi OpInc'!I57)/('Semi Rev'!M57-'Semi Rev'!I57),""),"")</f>
        <v/>
      </c>
      <c r="J1194" s="37">
        <f>IFERROR(IF(AND(ISNUMBER('Semi OpInc'!N57),ISNUMBER('Semi OpInc'!J57),ISNUMBER('Semi Rev'!N57),ISNUMBER('Semi Rev'!J57),ABS('Semi Rev'!N57-'Semi Rev'!J57)&gt;=1),('Semi OpInc'!N57-'Semi OpInc'!J57)/('Semi Rev'!N57-'Semi Rev'!J57),""),"")</f>
        <v/>
      </c>
      <c r="K1194" s="37">
        <f>IFERROR(IF(AND(ISNUMBER('Semi OpInc'!O57),ISNUMBER('Semi OpInc'!K57),ISNUMBER('Semi Rev'!O57),ISNUMBER('Semi Rev'!K57),ABS('Semi Rev'!O57-'Semi Rev'!K57)&gt;=1),('Semi OpInc'!O57-'Semi OpInc'!K57)/('Semi Rev'!O57-'Semi Rev'!K57),""),"")</f>
        <v/>
      </c>
      <c r="L1194" s="37">
        <f>IFERROR(IF(AND(ISNUMBER('Semi OpInc'!P57),ISNUMBER('Semi OpInc'!L57),ISNUMBER('Semi Rev'!P57),ISNUMBER('Semi Rev'!L57),ABS('Semi Rev'!P57-'Semi Rev'!L57)&gt;=1),('Semi OpInc'!P57-'Semi OpInc'!L57)/('Semi Rev'!P57-'Semi Rev'!L57),""),"")</f>
        <v/>
      </c>
      <c r="M1194" s="38">
        <f>IFERROR(IF(AND(ISNUMBER('Semi OpInc'!Q57),ISNUMBER('Semi OpInc'!M57),ISNUMBER('Semi Rev'!Q57),ISNUMBER('Semi Rev'!M57),ABS('Semi Rev'!Q57-'Semi Rev'!M57)&gt;=1),('Semi OpInc'!Q57-'Semi OpInc'!M57)/('Semi Rev'!Q57-'Semi Rev'!M57),""),"")</f>
        <v/>
      </c>
      <c r="N1194" s="38">
        <f>IFERROR(IF(AND(ISNUMBER('Semi OpInc'!R57),ISNUMBER('Semi OpInc'!N57),ISNUMBER('Semi Rev'!R57),ISNUMBER('Semi Rev'!N57),ABS('Semi Rev'!R57-'Semi Rev'!N57)&gt;=1),('Semi OpInc'!R57-'Semi OpInc'!N57)/('Semi Rev'!R57-'Semi Rev'!N57),""),"")</f>
        <v/>
      </c>
    </row>
    <row r="1195">
      <c r="A1195" s="19">
        <f>'Semi Rev'!$A58</f>
        <v/>
      </c>
      <c r="B1195" s="19">
        <f>'Semi Rev'!$B58</f>
        <v/>
      </c>
      <c r="C1195" s="37">
        <f>IFERROR(IF(AND(ISNUMBER('Semi OpInc'!G58),ISNUMBER('Semi OpInc'!C58),ISNUMBER('Semi Rev'!G58),ISNUMBER('Semi Rev'!C58),ABS('Semi Rev'!G58-'Semi Rev'!C58)&gt;=1),('Semi OpInc'!G58-'Semi OpInc'!C58)/('Semi Rev'!G58-'Semi Rev'!C58),""),"")</f>
        <v/>
      </c>
      <c r="D1195" s="37">
        <f>IFERROR(IF(AND(ISNUMBER('Semi OpInc'!H58),ISNUMBER('Semi OpInc'!D58),ISNUMBER('Semi Rev'!H58),ISNUMBER('Semi Rev'!D58),ABS('Semi Rev'!H58-'Semi Rev'!D58)&gt;=1),('Semi OpInc'!H58-'Semi OpInc'!D58)/('Semi Rev'!H58-'Semi Rev'!D58),""),"")</f>
        <v/>
      </c>
      <c r="E1195" s="37">
        <f>IFERROR(IF(AND(ISNUMBER('Semi OpInc'!I58),ISNUMBER('Semi OpInc'!E58),ISNUMBER('Semi Rev'!I58),ISNUMBER('Semi Rev'!E58),ABS('Semi Rev'!I58-'Semi Rev'!E58)&gt;=1),('Semi OpInc'!I58-'Semi OpInc'!E58)/('Semi Rev'!I58-'Semi Rev'!E58),""),"")</f>
        <v/>
      </c>
      <c r="F1195" s="37">
        <f>IFERROR(IF(AND(ISNUMBER('Semi OpInc'!J58),ISNUMBER('Semi OpInc'!F58),ISNUMBER('Semi Rev'!J58),ISNUMBER('Semi Rev'!F58),ABS('Semi Rev'!J58-'Semi Rev'!F58)&gt;=1),('Semi OpInc'!J58-'Semi OpInc'!F58)/('Semi Rev'!J58-'Semi Rev'!F58),""),"")</f>
        <v/>
      </c>
      <c r="G1195" s="37">
        <f>IFERROR(IF(AND(ISNUMBER('Semi OpInc'!K58),ISNUMBER('Semi OpInc'!G58),ISNUMBER('Semi Rev'!K58),ISNUMBER('Semi Rev'!G58),ABS('Semi Rev'!K58-'Semi Rev'!G58)&gt;=1),('Semi OpInc'!K58-'Semi OpInc'!G58)/('Semi Rev'!K58-'Semi Rev'!G58),""),"")</f>
        <v/>
      </c>
      <c r="H1195" s="37">
        <f>IFERROR(IF(AND(ISNUMBER('Semi OpInc'!L58),ISNUMBER('Semi OpInc'!H58),ISNUMBER('Semi Rev'!L58),ISNUMBER('Semi Rev'!H58),ABS('Semi Rev'!L58-'Semi Rev'!H58)&gt;=1),('Semi OpInc'!L58-'Semi OpInc'!H58)/('Semi Rev'!L58-'Semi Rev'!H58),""),"")</f>
        <v/>
      </c>
      <c r="I1195" s="37">
        <f>IFERROR(IF(AND(ISNUMBER('Semi OpInc'!M58),ISNUMBER('Semi OpInc'!I58),ISNUMBER('Semi Rev'!M58),ISNUMBER('Semi Rev'!I58),ABS('Semi Rev'!M58-'Semi Rev'!I58)&gt;=1),('Semi OpInc'!M58-'Semi OpInc'!I58)/('Semi Rev'!M58-'Semi Rev'!I58),""),"")</f>
        <v/>
      </c>
      <c r="J1195" s="37">
        <f>IFERROR(IF(AND(ISNUMBER('Semi OpInc'!N58),ISNUMBER('Semi OpInc'!J58),ISNUMBER('Semi Rev'!N58),ISNUMBER('Semi Rev'!J58),ABS('Semi Rev'!N58-'Semi Rev'!J58)&gt;=1),('Semi OpInc'!N58-'Semi OpInc'!J58)/('Semi Rev'!N58-'Semi Rev'!J58),""),"")</f>
        <v/>
      </c>
      <c r="K1195" s="37">
        <f>IFERROR(IF(AND(ISNUMBER('Semi OpInc'!O58),ISNUMBER('Semi OpInc'!K58),ISNUMBER('Semi Rev'!O58),ISNUMBER('Semi Rev'!K58),ABS('Semi Rev'!O58-'Semi Rev'!K58)&gt;=1),('Semi OpInc'!O58-'Semi OpInc'!K58)/('Semi Rev'!O58-'Semi Rev'!K58),""),"")</f>
        <v/>
      </c>
      <c r="L1195" s="37">
        <f>IFERROR(IF(AND(ISNUMBER('Semi OpInc'!P58),ISNUMBER('Semi OpInc'!L58),ISNUMBER('Semi Rev'!P58),ISNUMBER('Semi Rev'!L58),ABS('Semi Rev'!P58-'Semi Rev'!L58)&gt;=1),('Semi OpInc'!P58-'Semi OpInc'!L58)/('Semi Rev'!P58-'Semi Rev'!L58),""),"")</f>
        <v/>
      </c>
      <c r="M1195" s="38">
        <f>IFERROR(IF(AND(ISNUMBER('Semi OpInc'!Q58),ISNUMBER('Semi OpInc'!M58),ISNUMBER('Semi Rev'!Q58),ISNUMBER('Semi Rev'!M58),ABS('Semi Rev'!Q58-'Semi Rev'!M58)&gt;=1),('Semi OpInc'!Q58-'Semi OpInc'!M58)/('Semi Rev'!Q58-'Semi Rev'!M58),""),"")</f>
        <v/>
      </c>
      <c r="N1195" s="38">
        <f>IFERROR(IF(AND(ISNUMBER('Semi OpInc'!R58),ISNUMBER('Semi OpInc'!N58),ISNUMBER('Semi Rev'!R58),ISNUMBER('Semi Rev'!N58),ABS('Semi Rev'!R58-'Semi Rev'!N58)&gt;=1),('Semi OpInc'!R58-'Semi OpInc'!N58)/('Semi Rev'!R58-'Semi Rev'!N58),""),"")</f>
        <v/>
      </c>
    </row>
    <row r="1196">
      <c r="A1196" s="19">
        <f>'Semi Rev'!$A59</f>
        <v/>
      </c>
      <c r="B1196" s="19">
        <f>'Semi Rev'!$B59</f>
        <v/>
      </c>
      <c r="C1196" s="37">
        <f>IFERROR(IF(AND(ISNUMBER('Semi OpInc'!G59),ISNUMBER('Semi OpInc'!C59),ISNUMBER('Semi Rev'!G59),ISNUMBER('Semi Rev'!C59),ABS('Semi Rev'!G59-'Semi Rev'!C59)&gt;=1),('Semi OpInc'!G59-'Semi OpInc'!C59)/('Semi Rev'!G59-'Semi Rev'!C59),""),"")</f>
        <v/>
      </c>
      <c r="D1196" s="37">
        <f>IFERROR(IF(AND(ISNUMBER('Semi OpInc'!H59),ISNUMBER('Semi OpInc'!D59),ISNUMBER('Semi Rev'!H59),ISNUMBER('Semi Rev'!D59),ABS('Semi Rev'!H59-'Semi Rev'!D59)&gt;=1),('Semi OpInc'!H59-'Semi OpInc'!D59)/('Semi Rev'!H59-'Semi Rev'!D59),""),"")</f>
        <v/>
      </c>
      <c r="E1196" s="37">
        <f>IFERROR(IF(AND(ISNUMBER('Semi OpInc'!I59),ISNUMBER('Semi OpInc'!E59),ISNUMBER('Semi Rev'!I59),ISNUMBER('Semi Rev'!E59),ABS('Semi Rev'!I59-'Semi Rev'!E59)&gt;=1),('Semi OpInc'!I59-'Semi OpInc'!E59)/('Semi Rev'!I59-'Semi Rev'!E59),""),"")</f>
        <v/>
      </c>
      <c r="F1196" s="37">
        <f>IFERROR(IF(AND(ISNUMBER('Semi OpInc'!J59),ISNUMBER('Semi OpInc'!F59),ISNUMBER('Semi Rev'!J59),ISNUMBER('Semi Rev'!F59),ABS('Semi Rev'!J59-'Semi Rev'!F59)&gt;=1),('Semi OpInc'!J59-'Semi OpInc'!F59)/('Semi Rev'!J59-'Semi Rev'!F59),""),"")</f>
        <v/>
      </c>
      <c r="G1196" s="37">
        <f>IFERROR(IF(AND(ISNUMBER('Semi OpInc'!K59),ISNUMBER('Semi OpInc'!G59),ISNUMBER('Semi Rev'!K59),ISNUMBER('Semi Rev'!G59),ABS('Semi Rev'!K59-'Semi Rev'!G59)&gt;=1),('Semi OpInc'!K59-'Semi OpInc'!G59)/('Semi Rev'!K59-'Semi Rev'!G59),""),"")</f>
        <v/>
      </c>
      <c r="H1196" s="37">
        <f>IFERROR(IF(AND(ISNUMBER('Semi OpInc'!L59),ISNUMBER('Semi OpInc'!H59),ISNUMBER('Semi Rev'!L59),ISNUMBER('Semi Rev'!H59),ABS('Semi Rev'!L59-'Semi Rev'!H59)&gt;=1),('Semi OpInc'!L59-'Semi OpInc'!H59)/('Semi Rev'!L59-'Semi Rev'!H59),""),"")</f>
        <v/>
      </c>
      <c r="I1196" s="37">
        <f>IFERROR(IF(AND(ISNUMBER('Semi OpInc'!M59),ISNUMBER('Semi OpInc'!I59),ISNUMBER('Semi Rev'!M59),ISNUMBER('Semi Rev'!I59),ABS('Semi Rev'!M59-'Semi Rev'!I59)&gt;=1),('Semi OpInc'!M59-'Semi OpInc'!I59)/('Semi Rev'!M59-'Semi Rev'!I59),""),"")</f>
        <v/>
      </c>
      <c r="J1196" s="37">
        <f>IFERROR(IF(AND(ISNUMBER('Semi OpInc'!N59),ISNUMBER('Semi OpInc'!J59),ISNUMBER('Semi Rev'!N59),ISNUMBER('Semi Rev'!J59),ABS('Semi Rev'!N59-'Semi Rev'!J59)&gt;=1),('Semi OpInc'!N59-'Semi OpInc'!J59)/('Semi Rev'!N59-'Semi Rev'!J59),""),"")</f>
        <v/>
      </c>
      <c r="K1196" s="37">
        <f>IFERROR(IF(AND(ISNUMBER('Semi OpInc'!O59),ISNUMBER('Semi OpInc'!K59),ISNUMBER('Semi Rev'!O59),ISNUMBER('Semi Rev'!K59),ABS('Semi Rev'!O59-'Semi Rev'!K59)&gt;=1),('Semi OpInc'!O59-'Semi OpInc'!K59)/('Semi Rev'!O59-'Semi Rev'!K59),""),"")</f>
        <v/>
      </c>
      <c r="L1196" s="37">
        <f>IFERROR(IF(AND(ISNUMBER('Semi OpInc'!P59),ISNUMBER('Semi OpInc'!L59),ISNUMBER('Semi Rev'!P59),ISNUMBER('Semi Rev'!L59),ABS('Semi Rev'!P59-'Semi Rev'!L59)&gt;=1),('Semi OpInc'!P59-'Semi OpInc'!L59)/('Semi Rev'!P59-'Semi Rev'!L59),""),"")</f>
        <v/>
      </c>
      <c r="M1196" s="38">
        <f>IFERROR(IF(AND(ISNUMBER('Semi OpInc'!Q59),ISNUMBER('Semi OpInc'!M59),ISNUMBER('Semi Rev'!Q59),ISNUMBER('Semi Rev'!M59),ABS('Semi Rev'!Q59-'Semi Rev'!M59)&gt;=1),('Semi OpInc'!Q59-'Semi OpInc'!M59)/('Semi Rev'!Q59-'Semi Rev'!M59),""),"")</f>
        <v/>
      </c>
      <c r="N1196" s="38">
        <f>IFERROR(IF(AND(ISNUMBER('Semi OpInc'!R59),ISNUMBER('Semi OpInc'!N59),ISNUMBER('Semi Rev'!R59),ISNUMBER('Semi Rev'!N59),ABS('Semi Rev'!R59-'Semi Rev'!N59)&gt;=1),('Semi OpInc'!R59-'Semi OpInc'!N59)/('Semi Rev'!R59-'Semi Rev'!N59),""),"")</f>
        <v/>
      </c>
    </row>
    <row r="1197">
      <c r="A1197" s="19">
        <f>'Semi Rev'!$A60</f>
        <v/>
      </c>
      <c r="B1197" s="19">
        <f>'Semi Rev'!$B60</f>
        <v/>
      </c>
      <c r="C1197" s="37">
        <f>IFERROR(IF(AND(ISNUMBER('Semi OpInc'!G60),ISNUMBER('Semi OpInc'!C60),ISNUMBER('Semi Rev'!G60),ISNUMBER('Semi Rev'!C60),ABS('Semi Rev'!G60-'Semi Rev'!C60)&gt;=1),('Semi OpInc'!G60-'Semi OpInc'!C60)/('Semi Rev'!G60-'Semi Rev'!C60),""),"")</f>
        <v/>
      </c>
      <c r="D1197" s="37">
        <f>IFERROR(IF(AND(ISNUMBER('Semi OpInc'!H60),ISNUMBER('Semi OpInc'!D60),ISNUMBER('Semi Rev'!H60),ISNUMBER('Semi Rev'!D60),ABS('Semi Rev'!H60-'Semi Rev'!D60)&gt;=1),('Semi OpInc'!H60-'Semi OpInc'!D60)/('Semi Rev'!H60-'Semi Rev'!D60),""),"")</f>
        <v/>
      </c>
      <c r="E1197" s="37">
        <f>IFERROR(IF(AND(ISNUMBER('Semi OpInc'!I60),ISNUMBER('Semi OpInc'!E60),ISNUMBER('Semi Rev'!I60),ISNUMBER('Semi Rev'!E60),ABS('Semi Rev'!I60-'Semi Rev'!E60)&gt;=1),('Semi OpInc'!I60-'Semi OpInc'!E60)/('Semi Rev'!I60-'Semi Rev'!E60),""),"")</f>
        <v/>
      </c>
      <c r="F1197" s="37">
        <f>IFERROR(IF(AND(ISNUMBER('Semi OpInc'!J60),ISNUMBER('Semi OpInc'!F60),ISNUMBER('Semi Rev'!J60),ISNUMBER('Semi Rev'!F60),ABS('Semi Rev'!J60-'Semi Rev'!F60)&gt;=1),('Semi OpInc'!J60-'Semi OpInc'!F60)/('Semi Rev'!J60-'Semi Rev'!F60),""),"")</f>
        <v/>
      </c>
      <c r="G1197" s="37">
        <f>IFERROR(IF(AND(ISNUMBER('Semi OpInc'!K60),ISNUMBER('Semi OpInc'!G60),ISNUMBER('Semi Rev'!K60),ISNUMBER('Semi Rev'!G60),ABS('Semi Rev'!K60-'Semi Rev'!G60)&gt;=1),('Semi OpInc'!K60-'Semi OpInc'!G60)/('Semi Rev'!K60-'Semi Rev'!G60),""),"")</f>
        <v/>
      </c>
      <c r="H1197" s="37">
        <f>IFERROR(IF(AND(ISNUMBER('Semi OpInc'!L60),ISNUMBER('Semi OpInc'!H60),ISNUMBER('Semi Rev'!L60),ISNUMBER('Semi Rev'!H60),ABS('Semi Rev'!L60-'Semi Rev'!H60)&gt;=1),('Semi OpInc'!L60-'Semi OpInc'!H60)/('Semi Rev'!L60-'Semi Rev'!H60),""),"")</f>
        <v/>
      </c>
      <c r="I1197" s="37">
        <f>IFERROR(IF(AND(ISNUMBER('Semi OpInc'!M60),ISNUMBER('Semi OpInc'!I60),ISNUMBER('Semi Rev'!M60),ISNUMBER('Semi Rev'!I60),ABS('Semi Rev'!M60-'Semi Rev'!I60)&gt;=1),('Semi OpInc'!M60-'Semi OpInc'!I60)/('Semi Rev'!M60-'Semi Rev'!I60),""),"")</f>
        <v/>
      </c>
      <c r="J1197" s="37">
        <f>IFERROR(IF(AND(ISNUMBER('Semi OpInc'!N60),ISNUMBER('Semi OpInc'!J60),ISNUMBER('Semi Rev'!N60),ISNUMBER('Semi Rev'!J60),ABS('Semi Rev'!N60-'Semi Rev'!J60)&gt;=1),('Semi OpInc'!N60-'Semi OpInc'!J60)/('Semi Rev'!N60-'Semi Rev'!J60),""),"")</f>
        <v/>
      </c>
      <c r="K1197" s="37">
        <f>IFERROR(IF(AND(ISNUMBER('Semi OpInc'!O60),ISNUMBER('Semi OpInc'!K60),ISNUMBER('Semi Rev'!O60),ISNUMBER('Semi Rev'!K60),ABS('Semi Rev'!O60-'Semi Rev'!K60)&gt;=1),('Semi OpInc'!O60-'Semi OpInc'!K60)/('Semi Rev'!O60-'Semi Rev'!K60),""),"")</f>
        <v/>
      </c>
      <c r="L1197" s="37">
        <f>IFERROR(IF(AND(ISNUMBER('Semi OpInc'!P60),ISNUMBER('Semi OpInc'!L60),ISNUMBER('Semi Rev'!P60),ISNUMBER('Semi Rev'!L60),ABS('Semi Rev'!P60-'Semi Rev'!L60)&gt;=1),('Semi OpInc'!P60-'Semi OpInc'!L60)/('Semi Rev'!P60-'Semi Rev'!L60),""),"")</f>
        <v/>
      </c>
      <c r="M1197" s="38">
        <f>IFERROR(IF(AND(ISNUMBER('Semi OpInc'!Q60),ISNUMBER('Semi OpInc'!M60),ISNUMBER('Semi Rev'!Q60),ISNUMBER('Semi Rev'!M60),ABS('Semi Rev'!Q60-'Semi Rev'!M60)&gt;=1),('Semi OpInc'!Q60-'Semi OpInc'!M60)/('Semi Rev'!Q60-'Semi Rev'!M60),""),"")</f>
        <v/>
      </c>
      <c r="N1197" s="38">
        <f>IFERROR(IF(AND(ISNUMBER('Semi OpInc'!R60),ISNUMBER('Semi OpInc'!N60),ISNUMBER('Semi Rev'!R60),ISNUMBER('Semi Rev'!N60),ABS('Semi Rev'!R60-'Semi Rev'!N60)&gt;=1),('Semi OpInc'!R60-'Semi OpInc'!N60)/('Semi Rev'!R60-'Semi Rev'!N60),""),"")</f>
        <v/>
      </c>
    </row>
    <row r="1198">
      <c r="A1198" s="19">
        <f>'Semi Rev'!$A61</f>
        <v/>
      </c>
      <c r="B1198" s="19">
        <f>'Semi Rev'!$B61</f>
        <v/>
      </c>
      <c r="C1198" s="37">
        <f>IFERROR(IF(AND(ISNUMBER('Semi OpInc'!G61),ISNUMBER('Semi OpInc'!C61),ISNUMBER('Semi Rev'!G61),ISNUMBER('Semi Rev'!C61),ABS('Semi Rev'!G61-'Semi Rev'!C61)&gt;=1),('Semi OpInc'!G61-'Semi OpInc'!C61)/('Semi Rev'!G61-'Semi Rev'!C61),""),"")</f>
        <v/>
      </c>
      <c r="D1198" s="37">
        <f>IFERROR(IF(AND(ISNUMBER('Semi OpInc'!H61),ISNUMBER('Semi OpInc'!D61),ISNUMBER('Semi Rev'!H61),ISNUMBER('Semi Rev'!D61),ABS('Semi Rev'!H61-'Semi Rev'!D61)&gt;=1),('Semi OpInc'!H61-'Semi OpInc'!D61)/('Semi Rev'!H61-'Semi Rev'!D61),""),"")</f>
        <v/>
      </c>
      <c r="E1198" s="37">
        <f>IFERROR(IF(AND(ISNUMBER('Semi OpInc'!I61),ISNUMBER('Semi OpInc'!E61),ISNUMBER('Semi Rev'!I61),ISNUMBER('Semi Rev'!E61),ABS('Semi Rev'!I61-'Semi Rev'!E61)&gt;=1),('Semi OpInc'!I61-'Semi OpInc'!E61)/('Semi Rev'!I61-'Semi Rev'!E61),""),"")</f>
        <v/>
      </c>
      <c r="F1198" s="37">
        <f>IFERROR(IF(AND(ISNUMBER('Semi OpInc'!J61),ISNUMBER('Semi OpInc'!F61),ISNUMBER('Semi Rev'!J61),ISNUMBER('Semi Rev'!F61),ABS('Semi Rev'!J61-'Semi Rev'!F61)&gt;=1),('Semi OpInc'!J61-'Semi OpInc'!F61)/('Semi Rev'!J61-'Semi Rev'!F61),""),"")</f>
        <v/>
      </c>
      <c r="G1198" s="37">
        <f>IFERROR(IF(AND(ISNUMBER('Semi OpInc'!K61),ISNUMBER('Semi OpInc'!G61),ISNUMBER('Semi Rev'!K61),ISNUMBER('Semi Rev'!G61),ABS('Semi Rev'!K61-'Semi Rev'!G61)&gt;=1),('Semi OpInc'!K61-'Semi OpInc'!G61)/('Semi Rev'!K61-'Semi Rev'!G61),""),"")</f>
        <v/>
      </c>
      <c r="H1198" s="37">
        <f>IFERROR(IF(AND(ISNUMBER('Semi OpInc'!L61),ISNUMBER('Semi OpInc'!H61),ISNUMBER('Semi Rev'!L61),ISNUMBER('Semi Rev'!H61),ABS('Semi Rev'!L61-'Semi Rev'!H61)&gt;=1),('Semi OpInc'!L61-'Semi OpInc'!H61)/('Semi Rev'!L61-'Semi Rev'!H61),""),"")</f>
        <v/>
      </c>
      <c r="I1198" s="37">
        <f>IFERROR(IF(AND(ISNUMBER('Semi OpInc'!M61),ISNUMBER('Semi OpInc'!I61),ISNUMBER('Semi Rev'!M61),ISNUMBER('Semi Rev'!I61),ABS('Semi Rev'!M61-'Semi Rev'!I61)&gt;=1),('Semi OpInc'!M61-'Semi OpInc'!I61)/('Semi Rev'!M61-'Semi Rev'!I61),""),"")</f>
        <v/>
      </c>
      <c r="J1198" s="37">
        <f>IFERROR(IF(AND(ISNUMBER('Semi OpInc'!N61),ISNUMBER('Semi OpInc'!J61),ISNUMBER('Semi Rev'!N61),ISNUMBER('Semi Rev'!J61),ABS('Semi Rev'!N61-'Semi Rev'!J61)&gt;=1),('Semi OpInc'!N61-'Semi OpInc'!J61)/('Semi Rev'!N61-'Semi Rev'!J61),""),"")</f>
        <v/>
      </c>
      <c r="K1198" s="37">
        <f>IFERROR(IF(AND(ISNUMBER('Semi OpInc'!O61),ISNUMBER('Semi OpInc'!K61),ISNUMBER('Semi Rev'!O61),ISNUMBER('Semi Rev'!K61),ABS('Semi Rev'!O61-'Semi Rev'!K61)&gt;=1),('Semi OpInc'!O61-'Semi OpInc'!K61)/('Semi Rev'!O61-'Semi Rev'!K61),""),"")</f>
        <v/>
      </c>
      <c r="L1198" s="37">
        <f>IFERROR(IF(AND(ISNUMBER('Semi OpInc'!P61),ISNUMBER('Semi OpInc'!L61),ISNUMBER('Semi Rev'!P61),ISNUMBER('Semi Rev'!L61),ABS('Semi Rev'!P61-'Semi Rev'!L61)&gt;=1),('Semi OpInc'!P61-'Semi OpInc'!L61)/('Semi Rev'!P61-'Semi Rev'!L61),""),"")</f>
        <v/>
      </c>
      <c r="M1198" s="38">
        <f>IFERROR(IF(AND(ISNUMBER('Semi OpInc'!Q61),ISNUMBER('Semi OpInc'!M61),ISNUMBER('Semi Rev'!Q61),ISNUMBER('Semi Rev'!M61),ABS('Semi Rev'!Q61-'Semi Rev'!M61)&gt;=1),('Semi OpInc'!Q61-'Semi OpInc'!M61)/('Semi Rev'!Q61-'Semi Rev'!M61),""),"")</f>
        <v/>
      </c>
      <c r="N1198" s="38">
        <f>IFERROR(IF(AND(ISNUMBER('Semi OpInc'!R61),ISNUMBER('Semi OpInc'!N61),ISNUMBER('Semi Rev'!R61),ISNUMBER('Semi Rev'!N61),ABS('Semi Rev'!R61-'Semi Rev'!N61)&gt;=1),('Semi OpInc'!R61-'Semi OpInc'!N61)/('Semi Rev'!R61-'Semi Rev'!N61),""),"")</f>
        <v/>
      </c>
    </row>
    <row r="1199">
      <c r="A1199" s="19">
        <f>'Semi Rev'!$A62</f>
        <v/>
      </c>
      <c r="B1199" s="19">
        <f>'Semi Rev'!$B62</f>
        <v/>
      </c>
      <c r="C1199" s="37">
        <f>IFERROR(IF(AND(ISNUMBER('Semi OpInc'!G62),ISNUMBER('Semi OpInc'!C62),ISNUMBER('Semi Rev'!G62),ISNUMBER('Semi Rev'!C62),ABS('Semi Rev'!G62-'Semi Rev'!C62)&gt;=1),('Semi OpInc'!G62-'Semi OpInc'!C62)/('Semi Rev'!G62-'Semi Rev'!C62),""),"")</f>
        <v/>
      </c>
      <c r="D1199" s="37">
        <f>IFERROR(IF(AND(ISNUMBER('Semi OpInc'!H62),ISNUMBER('Semi OpInc'!D62),ISNUMBER('Semi Rev'!H62),ISNUMBER('Semi Rev'!D62),ABS('Semi Rev'!H62-'Semi Rev'!D62)&gt;=1),('Semi OpInc'!H62-'Semi OpInc'!D62)/('Semi Rev'!H62-'Semi Rev'!D62),""),"")</f>
        <v/>
      </c>
      <c r="E1199" s="37">
        <f>IFERROR(IF(AND(ISNUMBER('Semi OpInc'!I62),ISNUMBER('Semi OpInc'!E62),ISNUMBER('Semi Rev'!I62),ISNUMBER('Semi Rev'!E62),ABS('Semi Rev'!I62-'Semi Rev'!E62)&gt;=1),('Semi OpInc'!I62-'Semi OpInc'!E62)/('Semi Rev'!I62-'Semi Rev'!E62),""),"")</f>
        <v/>
      </c>
      <c r="F1199" s="37">
        <f>IFERROR(IF(AND(ISNUMBER('Semi OpInc'!J62),ISNUMBER('Semi OpInc'!F62),ISNUMBER('Semi Rev'!J62),ISNUMBER('Semi Rev'!F62),ABS('Semi Rev'!J62-'Semi Rev'!F62)&gt;=1),('Semi OpInc'!J62-'Semi OpInc'!F62)/('Semi Rev'!J62-'Semi Rev'!F62),""),"")</f>
        <v/>
      </c>
      <c r="G1199" s="37">
        <f>IFERROR(IF(AND(ISNUMBER('Semi OpInc'!K62),ISNUMBER('Semi OpInc'!G62),ISNUMBER('Semi Rev'!K62),ISNUMBER('Semi Rev'!G62),ABS('Semi Rev'!K62-'Semi Rev'!G62)&gt;=1),('Semi OpInc'!K62-'Semi OpInc'!G62)/('Semi Rev'!K62-'Semi Rev'!G62),""),"")</f>
        <v/>
      </c>
      <c r="H1199" s="37">
        <f>IFERROR(IF(AND(ISNUMBER('Semi OpInc'!L62),ISNUMBER('Semi OpInc'!H62),ISNUMBER('Semi Rev'!L62),ISNUMBER('Semi Rev'!H62),ABS('Semi Rev'!L62-'Semi Rev'!H62)&gt;=1),('Semi OpInc'!L62-'Semi OpInc'!H62)/('Semi Rev'!L62-'Semi Rev'!H62),""),"")</f>
        <v/>
      </c>
      <c r="I1199" s="37">
        <f>IFERROR(IF(AND(ISNUMBER('Semi OpInc'!M62),ISNUMBER('Semi OpInc'!I62),ISNUMBER('Semi Rev'!M62),ISNUMBER('Semi Rev'!I62),ABS('Semi Rev'!M62-'Semi Rev'!I62)&gt;=1),('Semi OpInc'!M62-'Semi OpInc'!I62)/('Semi Rev'!M62-'Semi Rev'!I62),""),"")</f>
        <v/>
      </c>
      <c r="J1199" s="37">
        <f>IFERROR(IF(AND(ISNUMBER('Semi OpInc'!N62),ISNUMBER('Semi OpInc'!J62),ISNUMBER('Semi Rev'!N62),ISNUMBER('Semi Rev'!J62),ABS('Semi Rev'!N62-'Semi Rev'!J62)&gt;=1),('Semi OpInc'!N62-'Semi OpInc'!J62)/('Semi Rev'!N62-'Semi Rev'!J62),""),"")</f>
        <v/>
      </c>
      <c r="K1199" s="37">
        <f>IFERROR(IF(AND(ISNUMBER('Semi OpInc'!O62),ISNUMBER('Semi OpInc'!K62),ISNUMBER('Semi Rev'!O62),ISNUMBER('Semi Rev'!K62),ABS('Semi Rev'!O62-'Semi Rev'!K62)&gt;=1),('Semi OpInc'!O62-'Semi OpInc'!K62)/('Semi Rev'!O62-'Semi Rev'!K62),""),"")</f>
        <v/>
      </c>
      <c r="L1199" s="37">
        <f>IFERROR(IF(AND(ISNUMBER('Semi OpInc'!P62),ISNUMBER('Semi OpInc'!L62),ISNUMBER('Semi Rev'!P62),ISNUMBER('Semi Rev'!L62),ABS('Semi Rev'!P62-'Semi Rev'!L62)&gt;=1),('Semi OpInc'!P62-'Semi OpInc'!L62)/('Semi Rev'!P62-'Semi Rev'!L62),""),"")</f>
        <v/>
      </c>
      <c r="M1199" s="38">
        <f>IFERROR(IF(AND(ISNUMBER('Semi OpInc'!Q62),ISNUMBER('Semi OpInc'!M62),ISNUMBER('Semi Rev'!Q62),ISNUMBER('Semi Rev'!M62),ABS('Semi Rev'!Q62-'Semi Rev'!M62)&gt;=1),('Semi OpInc'!Q62-'Semi OpInc'!M62)/('Semi Rev'!Q62-'Semi Rev'!M62),""),"")</f>
        <v/>
      </c>
      <c r="N1199" s="38">
        <f>IFERROR(IF(AND(ISNUMBER('Semi OpInc'!R62),ISNUMBER('Semi OpInc'!N62),ISNUMBER('Semi Rev'!R62),ISNUMBER('Semi Rev'!N62),ABS('Semi Rev'!R62-'Semi Rev'!N62)&gt;=1),('Semi OpInc'!R62-'Semi OpInc'!N62)/('Semi Rev'!R62-'Semi Rev'!N62),""),"")</f>
        <v/>
      </c>
    </row>
    <row r="1200">
      <c r="A1200" s="19">
        <f>'Semi Rev'!$A63</f>
        <v/>
      </c>
      <c r="B1200" s="19">
        <f>'Semi Rev'!$B63</f>
        <v/>
      </c>
      <c r="C1200" s="37">
        <f>IFERROR(IF(AND(ISNUMBER('Semi OpInc'!G63),ISNUMBER('Semi OpInc'!C63),ISNUMBER('Semi Rev'!G63),ISNUMBER('Semi Rev'!C63),ABS('Semi Rev'!G63-'Semi Rev'!C63)&gt;=1),('Semi OpInc'!G63-'Semi OpInc'!C63)/('Semi Rev'!G63-'Semi Rev'!C63),""),"")</f>
        <v/>
      </c>
      <c r="D1200" s="37">
        <f>IFERROR(IF(AND(ISNUMBER('Semi OpInc'!H63),ISNUMBER('Semi OpInc'!D63),ISNUMBER('Semi Rev'!H63),ISNUMBER('Semi Rev'!D63),ABS('Semi Rev'!H63-'Semi Rev'!D63)&gt;=1),('Semi OpInc'!H63-'Semi OpInc'!D63)/('Semi Rev'!H63-'Semi Rev'!D63),""),"")</f>
        <v/>
      </c>
      <c r="E1200" s="37">
        <f>IFERROR(IF(AND(ISNUMBER('Semi OpInc'!I63),ISNUMBER('Semi OpInc'!E63),ISNUMBER('Semi Rev'!I63),ISNUMBER('Semi Rev'!E63),ABS('Semi Rev'!I63-'Semi Rev'!E63)&gt;=1),('Semi OpInc'!I63-'Semi OpInc'!E63)/('Semi Rev'!I63-'Semi Rev'!E63),""),"")</f>
        <v/>
      </c>
      <c r="F1200" s="37">
        <f>IFERROR(IF(AND(ISNUMBER('Semi OpInc'!J63),ISNUMBER('Semi OpInc'!F63),ISNUMBER('Semi Rev'!J63),ISNUMBER('Semi Rev'!F63),ABS('Semi Rev'!J63-'Semi Rev'!F63)&gt;=1),('Semi OpInc'!J63-'Semi OpInc'!F63)/('Semi Rev'!J63-'Semi Rev'!F63),""),"")</f>
        <v/>
      </c>
      <c r="G1200" s="37">
        <f>IFERROR(IF(AND(ISNUMBER('Semi OpInc'!K63),ISNUMBER('Semi OpInc'!G63),ISNUMBER('Semi Rev'!K63),ISNUMBER('Semi Rev'!G63),ABS('Semi Rev'!K63-'Semi Rev'!G63)&gt;=1),('Semi OpInc'!K63-'Semi OpInc'!G63)/('Semi Rev'!K63-'Semi Rev'!G63),""),"")</f>
        <v/>
      </c>
      <c r="H1200" s="37">
        <f>IFERROR(IF(AND(ISNUMBER('Semi OpInc'!L63),ISNUMBER('Semi OpInc'!H63),ISNUMBER('Semi Rev'!L63),ISNUMBER('Semi Rev'!H63),ABS('Semi Rev'!L63-'Semi Rev'!H63)&gt;=1),('Semi OpInc'!L63-'Semi OpInc'!H63)/('Semi Rev'!L63-'Semi Rev'!H63),""),"")</f>
        <v/>
      </c>
      <c r="I1200" s="37">
        <f>IFERROR(IF(AND(ISNUMBER('Semi OpInc'!M63),ISNUMBER('Semi OpInc'!I63),ISNUMBER('Semi Rev'!M63),ISNUMBER('Semi Rev'!I63),ABS('Semi Rev'!M63-'Semi Rev'!I63)&gt;=1),('Semi OpInc'!M63-'Semi OpInc'!I63)/('Semi Rev'!M63-'Semi Rev'!I63),""),"")</f>
        <v/>
      </c>
      <c r="J1200" s="37">
        <f>IFERROR(IF(AND(ISNUMBER('Semi OpInc'!N63),ISNUMBER('Semi OpInc'!J63),ISNUMBER('Semi Rev'!N63),ISNUMBER('Semi Rev'!J63),ABS('Semi Rev'!N63-'Semi Rev'!J63)&gt;=1),('Semi OpInc'!N63-'Semi OpInc'!J63)/('Semi Rev'!N63-'Semi Rev'!J63),""),"")</f>
        <v/>
      </c>
      <c r="K1200" s="37">
        <f>IFERROR(IF(AND(ISNUMBER('Semi OpInc'!O63),ISNUMBER('Semi OpInc'!K63),ISNUMBER('Semi Rev'!O63),ISNUMBER('Semi Rev'!K63),ABS('Semi Rev'!O63-'Semi Rev'!K63)&gt;=1),('Semi OpInc'!O63-'Semi OpInc'!K63)/('Semi Rev'!O63-'Semi Rev'!K63),""),"")</f>
        <v/>
      </c>
      <c r="L1200" s="37">
        <f>IFERROR(IF(AND(ISNUMBER('Semi OpInc'!P63),ISNUMBER('Semi OpInc'!L63),ISNUMBER('Semi Rev'!P63),ISNUMBER('Semi Rev'!L63),ABS('Semi Rev'!P63-'Semi Rev'!L63)&gt;=1),('Semi OpInc'!P63-'Semi OpInc'!L63)/('Semi Rev'!P63-'Semi Rev'!L63),""),"")</f>
        <v/>
      </c>
      <c r="M1200" s="38">
        <f>IFERROR(IF(AND(ISNUMBER('Semi OpInc'!Q63),ISNUMBER('Semi OpInc'!M63),ISNUMBER('Semi Rev'!Q63),ISNUMBER('Semi Rev'!M63),ABS('Semi Rev'!Q63-'Semi Rev'!M63)&gt;=1),('Semi OpInc'!Q63-'Semi OpInc'!M63)/('Semi Rev'!Q63-'Semi Rev'!M63),""),"")</f>
        <v/>
      </c>
      <c r="N1200" s="38">
        <f>IFERROR(IF(AND(ISNUMBER('Semi OpInc'!R63),ISNUMBER('Semi OpInc'!N63),ISNUMBER('Semi Rev'!R63),ISNUMBER('Semi Rev'!N63),ABS('Semi Rev'!R63-'Semi Rev'!N63)&gt;=1),('Semi OpInc'!R63-'Semi OpInc'!N63)/('Semi Rev'!R63-'Semi Rev'!N63),""),"")</f>
        <v/>
      </c>
    </row>
    <row r="1201">
      <c r="A1201" s="19">
        <f>'Semi Rev'!$A64</f>
        <v/>
      </c>
      <c r="B1201" s="19">
        <f>'Semi Rev'!$B64</f>
        <v/>
      </c>
      <c r="C1201" s="37">
        <f>IFERROR(IF(AND(ISNUMBER('Semi OpInc'!G64),ISNUMBER('Semi OpInc'!C64),ISNUMBER('Semi Rev'!G64),ISNUMBER('Semi Rev'!C64),ABS('Semi Rev'!G64-'Semi Rev'!C64)&gt;=1),('Semi OpInc'!G64-'Semi OpInc'!C64)/('Semi Rev'!G64-'Semi Rev'!C64),""),"")</f>
        <v/>
      </c>
      <c r="D1201" s="37">
        <f>IFERROR(IF(AND(ISNUMBER('Semi OpInc'!H64),ISNUMBER('Semi OpInc'!D64),ISNUMBER('Semi Rev'!H64),ISNUMBER('Semi Rev'!D64),ABS('Semi Rev'!H64-'Semi Rev'!D64)&gt;=1),('Semi OpInc'!H64-'Semi OpInc'!D64)/('Semi Rev'!H64-'Semi Rev'!D64),""),"")</f>
        <v/>
      </c>
      <c r="E1201" s="37">
        <f>IFERROR(IF(AND(ISNUMBER('Semi OpInc'!I64),ISNUMBER('Semi OpInc'!E64),ISNUMBER('Semi Rev'!I64),ISNUMBER('Semi Rev'!E64),ABS('Semi Rev'!I64-'Semi Rev'!E64)&gt;=1),('Semi OpInc'!I64-'Semi OpInc'!E64)/('Semi Rev'!I64-'Semi Rev'!E64),""),"")</f>
        <v/>
      </c>
      <c r="F1201" s="37">
        <f>IFERROR(IF(AND(ISNUMBER('Semi OpInc'!J64),ISNUMBER('Semi OpInc'!F64),ISNUMBER('Semi Rev'!J64),ISNUMBER('Semi Rev'!F64),ABS('Semi Rev'!J64-'Semi Rev'!F64)&gt;=1),('Semi OpInc'!J64-'Semi OpInc'!F64)/('Semi Rev'!J64-'Semi Rev'!F64),""),"")</f>
        <v/>
      </c>
      <c r="G1201" s="37">
        <f>IFERROR(IF(AND(ISNUMBER('Semi OpInc'!K64),ISNUMBER('Semi OpInc'!G64),ISNUMBER('Semi Rev'!K64),ISNUMBER('Semi Rev'!G64),ABS('Semi Rev'!K64-'Semi Rev'!G64)&gt;=1),('Semi OpInc'!K64-'Semi OpInc'!G64)/('Semi Rev'!K64-'Semi Rev'!G64),""),"")</f>
        <v/>
      </c>
      <c r="H1201" s="37">
        <f>IFERROR(IF(AND(ISNUMBER('Semi OpInc'!L64),ISNUMBER('Semi OpInc'!H64),ISNUMBER('Semi Rev'!L64),ISNUMBER('Semi Rev'!H64),ABS('Semi Rev'!L64-'Semi Rev'!H64)&gt;=1),('Semi OpInc'!L64-'Semi OpInc'!H64)/('Semi Rev'!L64-'Semi Rev'!H64),""),"")</f>
        <v/>
      </c>
      <c r="I1201" s="37">
        <f>IFERROR(IF(AND(ISNUMBER('Semi OpInc'!M64),ISNUMBER('Semi OpInc'!I64),ISNUMBER('Semi Rev'!M64),ISNUMBER('Semi Rev'!I64),ABS('Semi Rev'!M64-'Semi Rev'!I64)&gt;=1),('Semi OpInc'!M64-'Semi OpInc'!I64)/('Semi Rev'!M64-'Semi Rev'!I64),""),"")</f>
        <v/>
      </c>
      <c r="J1201" s="37">
        <f>IFERROR(IF(AND(ISNUMBER('Semi OpInc'!N64),ISNUMBER('Semi OpInc'!J64),ISNUMBER('Semi Rev'!N64),ISNUMBER('Semi Rev'!J64),ABS('Semi Rev'!N64-'Semi Rev'!J64)&gt;=1),('Semi OpInc'!N64-'Semi OpInc'!J64)/('Semi Rev'!N64-'Semi Rev'!J64),""),"")</f>
        <v/>
      </c>
      <c r="K1201" s="37">
        <f>IFERROR(IF(AND(ISNUMBER('Semi OpInc'!O64),ISNUMBER('Semi OpInc'!K64),ISNUMBER('Semi Rev'!O64),ISNUMBER('Semi Rev'!K64),ABS('Semi Rev'!O64-'Semi Rev'!K64)&gt;=1),('Semi OpInc'!O64-'Semi OpInc'!K64)/('Semi Rev'!O64-'Semi Rev'!K64),""),"")</f>
        <v/>
      </c>
      <c r="L1201" s="37">
        <f>IFERROR(IF(AND(ISNUMBER('Semi OpInc'!P64),ISNUMBER('Semi OpInc'!L64),ISNUMBER('Semi Rev'!P64),ISNUMBER('Semi Rev'!L64),ABS('Semi Rev'!P64-'Semi Rev'!L64)&gt;=1),('Semi OpInc'!P64-'Semi OpInc'!L64)/('Semi Rev'!P64-'Semi Rev'!L64),""),"")</f>
        <v/>
      </c>
      <c r="M1201" s="38">
        <f>IFERROR(IF(AND(ISNUMBER('Semi OpInc'!Q64),ISNUMBER('Semi OpInc'!M64),ISNUMBER('Semi Rev'!Q64),ISNUMBER('Semi Rev'!M64),ABS('Semi Rev'!Q64-'Semi Rev'!M64)&gt;=1),('Semi OpInc'!Q64-'Semi OpInc'!M64)/('Semi Rev'!Q64-'Semi Rev'!M64),""),"")</f>
        <v/>
      </c>
      <c r="N1201" s="38">
        <f>IFERROR(IF(AND(ISNUMBER('Semi OpInc'!R64),ISNUMBER('Semi OpInc'!N64),ISNUMBER('Semi Rev'!R64),ISNUMBER('Semi Rev'!N64),ABS('Semi Rev'!R64-'Semi Rev'!N64)&gt;=1),('Semi OpInc'!R64-'Semi OpInc'!N64)/('Semi Rev'!R64-'Semi Rev'!N64),""),"")</f>
        <v/>
      </c>
    </row>
    <row r="1202">
      <c r="A1202" s="19">
        <f>'Semi Rev'!$A65</f>
        <v/>
      </c>
      <c r="B1202" s="19">
        <f>'Semi Rev'!$B65</f>
        <v/>
      </c>
      <c r="C1202" s="37">
        <f>IFERROR(IF(AND(ISNUMBER('Semi OpInc'!G65),ISNUMBER('Semi OpInc'!C65),ISNUMBER('Semi Rev'!G65),ISNUMBER('Semi Rev'!C65),ABS('Semi Rev'!G65-'Semi Rev'!C65)&gt;=1),('Semi OpInc'!G65-'Semi OpInc'!C65)/('Semi Rev'!G65-'Semi Rev'!C65),""),"")</f>
        <v/>
      </c>
      <c r="D1202" s="37">
        <f>IFERROR(IF(AND(ISNUMBER('Semi OpInc'!H65),ISNUMBER('Semi OpInc'!D65),ISNUMBER('Semi Rev'!H65),ISNUMBER('Semi Rev'!D65),ABS('Semi Rev'!H65-'Semi Rev'!D65)&gt;=1),('Semi OpInc'!H65-'Semi OpInc'!D65)/('Semi Rev'!H65-'Semi Rev'!D65),""),"")</f>
        <v/>
      </c>
      <c r="E1202" s="37">
        <f>IFERROR(IF(AND(ISNUMBER('Semi OpInc'!I65),ISNUMBER('Semi OpInc'!E65),ISNUMBER('Semi Rev'!I65),ISNUMBER('Semi Rev'!E65),ABS('Semi Rev'!I65-'Semi Rev'!E65)&gt;=1),('Semi OpInc'!I65-'Semi OpInc'!E65)/('Semi Rev'!I65-'Semi Rev'!E65),""),"")</f>
        <v/>
      </c>
      <c r="F1202" s="37">
        <f>IFERROR(IF(AND(ISNUMBER('Semi OpInc'!J65),ISNUMBER('Semi OpInc'!F65),ISNUMBER('Semi Rev'!J65),ISNUMBER('Semi Rev'!F65),ABS('Semi Rev'!J65-'Semi Rev'!F65)&gt;=1),('Semi OpInc'!J65-'Semi OpInc'!F65)/('Semi Rev'!J65-'Semi Rev'!F65),""),"")</f>
        <v/>
      </c>
      <c r="G1202" s="37">
        <f>IFERROR(IF(AND(ISNUMBER('Semi OpInc'!K65),ISNUMBER('Semi OpInc'!G65),ISNUMBER('Semi Rev'!K65),ISNUMBER('Semi Rev'!G65),ABS('Semi Rev'!K65-'Semi Rev'!G65)&gt;=1),('Semi OpInc'!K65-'Semi OpInc'!G65)/('Semi Rev'!K65-'Semi Rev'!G65),""),"")</f>
        <v/>
      </c>
      <c r="H1202" s="37">
        <f>IFERROR(IF(AND(ISNUMBER('Semi OpInc'!L65),ISNUMBER('Semi OpInc'!H65),ISNUMBER('Semi Rev'!L65),ISNUMBER('Semi Rev'!H65),ABS('Semi Rev'!L65-'Semi Rev'!H65)&gt;=1),('Semi OpInc'!L65-'Semi OpInc'!H65)/('Semi Rev'!L65-'Semi Rev'!H65),""),"")</f>
        <v/>
      </c>
      <c r="I1202" s="37">
        <f>IFERROR(IF(AND(ISNUMBER('Semi OpInc'!M65),ISNUMBER('Semi OpInc'!I65),ISNUMBER('Semi Rev'!M65),ISNUMBER('Semi Rev'!I65),ABS('Semi Rev'!M65-'Semi Rev'!I65)&gt;=1),('Semi OpInc'!M65-'Semi OpInc'!I65)/('Semi Rev'!M65-'Semi Rev'!I65),""),"")</f>
        <v/>
      </c>
      <c r="J1202" s="37">
        <f>IFERROR(IF(AND(ISNUMBER('Semi OpInc'!N65),ISNUMBER('Semi OpInc'!J65),ISNUMBER('Semi Rev'!N65),ISNUMBER('Semi Rev'!J65),ABS('Semi Rev'!N65-'Semi Rev'!J65)&gt;=1),('Semi OpInc'!N65-'Semi OpInc'!J65)/('Semi Rev'!N65-'Semi Rev'!J65),""),"")</f>
        <v/>
      </c>
      <c r="K1202" s="37">
        <f>IFERROR(IF(AND(ISNUMBER('Semi OpInc'!O65),ISNUMBER('Semi OpInc'!K65),ISNUMBER('Semi Rev'!O65),ISNUMBER('Semi Rev'!K65),ABS('Semi Rev'!O65-'Semi Rev'!K65)&gt;=1),('Semi OpInc'!O65-'Semi OpInc'!K65)/('Semi Rev'!O65-'Semi Rev'!K65),""),"")</f>
        <v/>
      </c>
      <c r="L1202" s="37">
        <f>IFERROR(IF(AND(ISNUMBER('Semi OpInc'!P65),ISNUMBER('Semi OpInc'!L65),ISNUMBER('Semi Rev'!P65),ISNUMBER('Semi Rev'!L65),ABS('Semi Rev'!P65-'Semi Rev'!L65)&gt;=1),('Semi OpInc'!P65-'Semi OpInc'!L65)/('Semi Rev'!P65-'Semi Rev'!L65),""),"")</f>
        <v/>
      </c>
      <c r="M1202" s="38">
        <f>IFERROR(IF(AND(ISNUMBER('Semi OpInc'!Q65),ISNUMBER('Semi OpInc'!M65),ISNUMBER('Semi Rev'!Q65),ISNUMBER('Semi Rev'!M65),ABS('Semi Rev'!Q65-'Semi Rev'!M65)&gt;=1),('Semi OpInc'!Q65-'Semi OpInc'!M65)/('Semi Rev'!Q65-'Semi Rev'!M65),""),"")</f>
        <v/>
      </c>
      <c r="N1202" s="38">
        <f>IFERROR(IF(AND(ISNUMBER('Semi OpInc'!R65),ISNUMBER('Semi OpInc'!N65),ISNUMBER('Semi Rev'!R65),ISNUMBER('Semi Rev'!N65),ABS('Semi Rev'!R65-'Semi Rev'!N65)&gt;=1),('Semi OpInc'!R65-'Semi OpInc'!N65)/('Semi Rev'!R65-'Semi Rev'!N65),""),"")</f>
        <v/>
      </c>
    </row>
    <row r="1203">
      <c r="A1203" s="19">
        <f>'Semi Rev'!$A66</f>
        <v/>
      </c>
      <c r="B1203" s="19">
        <f>'Semi Rev'!$B66</f>
        <v/>
      </c>
      <c r="C1203" s="37">
        <f>IFERROR(IF(AND(ISNUMBER('Semi OpInc'!G66),ISNUMBER('Semi OpInc'!C66),ISNUMBER('Semi Rev'!G66),ISNUMBER('Semi Rev'!C66),ABS('Semi Rev'!G66-'Semi Rev'!C66)&gt;=1),('Semi OpInc'!G66-'Semi OpInc'!C66)/('Semi Rev'!G66-'Semi Rev'!C66),""),"")</f>
        <v/>
      </c>
      <c r="D1203" s="37">
        <f>IFERROR(IF(AND(ISNUMBER('Semi OpInc'!H66),ISNUMBER('Semi OpInc'!D66),ISNUMBER('Semi Rev'!H66),ISNUMBER('Semi Rev'!D66),ABS('Semi Rev'!H66-'Semi Rev'!D66)&gt;=1),('Semi OpInc'!H66-'Semi OpInc'!D66)/('Semi Rev'!H66-'Semi Rev'!D66),""),"")</f>
        <v/>
      </c>
      <c r="E1203" s="37">
        <f>IFERROR(IF(AND(ISNUMBER('Semi OpInc'!I66),ISNUMBER('Semi OpInc'!E66),ISNUMBER('Semi Rev'!I66),ISNUMBER('Semi Rev'!E66),ABS('Semi Rev'!I66-'Semi Rev'!E66)&gt;=1),('Semi OpInc'!I66-'Semi OpInc'!E66)/('Semi Rev'!I66-'Semi Rev'!E66),""),"")</f>
        <v/>
      </c>
      <c r="F1203" s="37">
        <f>IFERROR(IF(AND(ISNUMBER('Semi OpInc'!J66),ISNUMBER('Semi OpInc'!F66),ISNUMBER('Semi Rev'!J66),ISNUMBER('Semi Rev'!F66),ABS('Semi Rev'!J66-'Semi Rev'!F66)&gt;=1),('Semi OpInc'!J66-'Semi OpInc'!F66)/('Semi Rev'!J66-'Semi Rev'!F66),""),"")</f>
        <v/>
      </c>
      <c r="G1203" s="37">
        <f>IFERROR(IF(AND(ISNUMBER('Semi OpInc'!K66),ISNUMBER('Semi OpInc'!G66),ISNUMBER('Semi Rev'!K66),ISNUMBER('Semi Rev'!G66),ABS('Semi Rev'!K66-'Semi Rev'!G66)&gt;=1),('Semi OpInc'!K66-'Semi OpInc'!G66)/('Semi Rev'!K66-'Semi Rev'!G66),""),"")</f>
        <v/>
      </c>
      <c r="H1203" s="37">
        <f>IFERROR(IF(AND(ISNUMBER('Semi OpInc'!L66),ISNUMBER('Semi OpInc'!H66),ISNUMBER('Semi Rev'!L66),ISNUMBER('Semi Rev'!H66),ABS('Semi Rev'!L66-'Semi Rev'!H66)&gt;=1),('Semi OpInc'!L66-'Semi OpInc'!H66)/('Semi Rev'!L66-'Semi Rev'!H66),""),"")</f>
        <v/>
      </c>
      <c r="I1203" s="37">
        <f>IFERROR(IF(AND(ISNUMBER('Semi OpInc'!M66),ISNUMBER('Semi OpInc'!I66),ISNUMBER('Semi Rev'!M66),ISNUMBER('Semi Rev'!I66),ABS('Semi Rev'!M66-'Semi Rev'!I66)&gt;=1),('Semi OpInc'!M66-'Semi OpInc'!I66)/('Semi Rev'!M66-'Semi Rev'!I66),""),"")</f>
        <v/>
      </c>
      <c r="J1203" s="37">
        <f>IFERROR(IF(AND(ISNUMBER('Semi OpInc'!N66),ISNUMBER('Semi OpInc'!J66),ISNUMBER('Semi Rev'!N66),ISNUMBER('Semi Rev'!J66),ABS('Semi Rev'!N66-'Semi Rev'!J66)&gt;=1),('Semi OpInc'!N66-'Semi OpInc'!J66)/('Semi Rev'!N66-'Semi Rev'!J66),""),"")</f>
        <v/>
      </c>
      <c r="K1203" s="37">
        <f>IFERROR(IF(AND(ISNUMBER('Semi OpInc'!O66),ISNUMBER('Semi OpInc'!K66),ISNUMBER('Semi Rev'!O66),ISNUMBER('Semi Rev'!K66),ABS('Semi Rev'!O66-'Semi Rev'!K66)&gt;=1),('Semi OpInc'!O66-'Semi OpInc'!K66)/('Semi Rev'!O66-'Semi Rev'!K66),""),"")</f>
        <v/>
      </c>
      <c r="L1203" s="37">
        <f>IFERROR(IF(AND(ISNUMBER('Semi OpInc'!P66),ISNUMBER('Semi OpInc'!L66),ISNUMBER('Semi Rev'!P66),ISNUMBER('Semi Rev'!L66),ABS('Semi Rev'!P66-'Semi Rev'!L66)&gt;=1),('Semi OpInc'!P66-'Semi OpInc'!L66)/('Semi Rev'!P66-'Semi Rev'!L66),""),"")</f>
        <v/>
      </c>
      <c r="M1203" s="38">
        <f>IFERROR(IF(AND(ISNUMBER('Semi OpInc'!Q66),ISNUMBER('Semi OpInc'!M66),ISNUMBER('Semi Rev'!Q66),ISNUMBER('Semi Rev'!M66),ABS('Semi Rev'!Q66-'Semi Rev'!M66)&gt;=1),('Semi OpInc'!Q66-'Semi OpInc'!M66)/('Semi Rev'!Q66-'Semi Rev'!M66),""),"")</f>
        <v/>
      </c>
      <c r="N1203" s="38">
        <f>IFERROR(IF(AND(ISNUMBER('Semi OpInc'!R66),ISNUMBER('Semi OpInc'!N66),ISNUMBER('Semi Rev'!R66),ISNUMBER('Semi Rev'!N66),ABS('Semi Rev'!R66-'Semi Rev'!N66)&gt;=1),('Semi OpInc'!R66-'Semi OpInc'!N66)/('Semi Rev'!R66-'Semi Rev'!N66),""),"")</f>
        <v/>
      </c>
    </row>
    <row r="1204">
      <c r="A1204" s="19">
        <f>'Semi Rev'!$A67</f>
        <v/>
      </c>
      <c r="B1204" s="19">
        <f>'Semi Rev'!$B67</f>
        <v/>
      </c>
      <c r="C1204" s="37">
        <f>IFERROR(IF(AND(ISNUMBER('Semi OpInc'!G67),ISNUMBER('Semi OpInc'!C67),ISNUMBER('Semi Rev'!G67),ISNUMBER('Semi Rev'!C67),ABS('Semi Rev'!G67-'Semi Rev'!C67)&gt;=1),('Semi OpInc'!G67-'Semi OpInc'!C67)/('Semi Rev'!G67-'Semi Rev'!C67),""),"")</f>
        <v/>
      </c>
      <c r="D1204" s="37">
        <f>IFERROR(IF(AND(ISNUMBER('Semi OpInc'!H67),ISNUMBER('Semi OpInc'!D67),ISNUMBER('Semi Rev'!H67),ISNUMBER('Semi Rev'!D67),ABS('Semi Rev'!H67-'Semi Rev'!D67)&gt;=1),('Semi OpInc'!H67-'Semi OpInc'!D67)/('Semi Rev'!H67-'Semi Rev'!D67),""),"")</f>
        <v/>
      </c>
      <c r="E1204" s="37">
        <f>IFERROR(IF(AND(ISNUMBER('Semi OpInc'!I67),ISNUMBER('Semi OpInc'!E67),ISNUMBER('Semi Rev'!I67),ISNUMBER('Semi Rev'!E67),ABS('Semi Rev'!I67-'Semi Rev'!E67)&gt;=1),('Semi OpInc'!I67-'Semi OpInc'!E67)/('Semi Rev'!I67-'Semi Rev'!E67),""),"")</f>
        <v/>
      </c>
      <c r="F1204" s="37">
        <f>IFERROR(IF(AND(ISNUMBER('Semi OpInc'!J67),ISNUMBER('Semi OpInc'!F67),ISNUMBER('Semi Rev'!J67),ISNUMBER('Semi Rev'!F67),ABS('Semi Rev'!J67-'Semi Rev'!F67)&gt;=1),('Semi OpInc'!J67-'Semi OpInc'!F67)/('Semi Rev'!J67-'Semi Rev'!F67),""),"")</f>
        <v/>
      </c>
      <c r="G1204" s="37">
        <f>IFERROR(IF(AND(ISNUMBER('Semi OpInc'!K67),ISNUMBER('Semi OpInc'!G67),ISNUMBER('Semi Rev'!K67),ISNUMBER('Semi Rev'!G67),ABS('Semi Rev'!K67-'Semi Rev'!G67)&gt;=1),('Semi OpInc'!K67-'Semi OpInc'!G67)/('Semi Rev'!K67-'Semi Rev'!G67),""),"")</f>
        <v/>
      </c>
      <c r="H1204" s="37">
        <f>IFERROR(IF(AND(ISNUMBER('Semi OpInc'!L67),ISNUMBER('Semi OpInc'!H67),ISNUMBER('Semi Rev'!L67),ISNUMBER('Semi Rev'!H67),ABS('Semi Rev'!L67-'Semi Rev'!H67)&gt;=1),('Semi OpInc'!L67-'Semi OpInc'!H67)/('Semi Rev'!L67-'Semi Rev'!H67),""),"")</f>
        <v/>
      </c>
      <c r="I1204" s="37">
        <f>IFERROR(IF(AND(ISNUMBER('Semi OpInc'!M67),ISNUMBER('Semi OpInc'!I67),ISNUMBER('Semi Rev'!M67),ISNUMBER('Semi Rev'!I67),ABS('Semi Rev'!M67-'Semi Rev'!I67)&gt;=1),('Semi OpInc'!M67-'Semi OpInc'!I67)/('Semi Rev'!M67-'Semi Rev'!I67),""),"")</f>
        <v/>
      </c>
      <c r="J1204" s="37">
        <f>IFERROR(IF(AND(ISNUMBER('Semi OpInc'!N67),ISNUMBER('Semi OpInc'!J67),ISNUMBER('Semi Rev'!N67),ISNUMBER('Semi Rev'!J67),ABS('Semi Rev'!N67-'Semi Rev'!J67)&gt;=1),('Semi OpInc'!N67-'Semi OpInc'!J67)/('Semi Rev'!N67-'Semi Rev'!J67),""),"")</f>
        <v/>
      </c>
      <c r="K1204" s="37">
        <f>IFERROR(IF(AND(ISNUMBER('Semi OpInc'!O67),ISNUMBER('Semi OpInc'!K67),ISNUMBER('Semi Rev'!O67),ISNUMBER('Semi Rev'!K67),ABS('Semi Rev'!O67-'Semi Rev'!K67)&gt;=1),('Semi OpInc'!O67-'Semi OpInc'!K67)/('Semi Rev'!O67-'Semi Rev'!K67),""),"")</f>
        <v/>
      </c>
      <c r="L1204" s="37">
        <f>IFERROR(IF(AND(ISNUMBER('Semi OpInc'!P67),ISNUMBER('Semi OpInc'!L67),ISNUMBER('Semi Rev'!P67),ISNUMBER('Semi Rev'!L67),ABS('Semi Rev'!P67-'Semi Rev'!L67)&gt;=1),('Semi OpInc'!P67-'Semi OpInc'!L67)/('Semi Rev'!P67-'Semi Rev'!L67),""),"")</f>
        <v/>
      </c>
      <c r="M1204" s="38">
        <f>IFERROR(IF(AND(ISNUMBER('Semi OpInc'!Q67),ISNUMBER('Semi OpInc'!M67),ISNUMBER('Semi Rev'!Q67),ISNUMBER('Semi Rev'!M67),ABS('Semi Rev'!Q67-'Semi Rev'!M67)&gt;=1),('Semi OpInc'!Q67-'Semi OpInc'!M67)/('Semi Rev'!Q67-'Semi Rev'!M67),""),"")</f>
        <v/>
      </c>
      <c r="N1204" s="38">
        <f>IFERROR(IF(AND(ISNUMBER('Semi OpInc'!R67),ISNUMBER('Semi OpInc'!N67),ISNUMBER('Semi Rev'!R67),ISNUMBER('Semi Rev'!N67),ABS('Semi Rev'!R67-'Semi Rev'!N67)&gt;=1),('Semi OpInc'!R67-'Semi OpInc'!N67)/('Semi Rev'!R67-'Semi Rev'!N67),""),"")</f>
        <v/>
      </c>
    </row>
    <row r="1205">
      <c r="A1205" s="19">
        <f>'Semi Rev'!$A68</f>
        <v/>
      </c>
      <c r="B1205" s="19">
        <f>'Semi Rev'!$B68</f>
        <v/>
      </c>
      <c r="C1205" s="37">
        <f>IFERROR(IF(AND(ISNUMBER('Semi OpInc'!G68),ISNUMBER('Semi OpInc'!C68),ISNUMBER('Semi Rev'!G68),ISNUMBER('Semi Rev'!C68),ABS('Semi Rev'!G68-'Semi Rev'!C68)&gt;=1),('Semi OpInc'!G68-'Semi OpInc'!C68)/('Semi Rev'!G68-'Semi Rev'!C68),""),"")</f>
        <v/>
      </c>
      <c r="D1205" s="37">
        <f>IFERROR(IF(AND(ISNUMBER('Semi OpInc'!H68),ISNUMBER('Semi OpInc'!D68),ISNUMBER('Semi Rev'!H68),ISNUMBER('Semi Rev'!D68),ABS('Semi Rev'!H68-'Semi Rev'!D68)&gt;=1),('Semi OpInc'!H68-'Semi OpInc'!D68)/('Semi Rev'!H68-'Semi Rev'!D68),""),"")</f>
        <v/>
      </c>
      <c r="E1205" s="37">
        <f>IFERROR(IF(AND(ISNUMBER('Semi OpInc'!I68),ISNUMBER('Semi OpInc'!E68),ISNUMBER('Semi Rev'!I68),ISNUMBER('Semi Rev'!E68),ABS('Semi Rev'!I68-'Semi Rev'!E68)&gt;=1),('Semi OpInc'!I68-'Semi OpInc'!E68)/('Semi Rev'!I68-'Semi Rev'!E68),""),"")</f>
        <v/>
      </c>
      <c r="F1205" s="37">
        <f>IFERROR(IF(AND(ISNUMBER('Semi OpInc'!J68),ISNUMBER('Semi OpInc'!F68),ISNUMBER('Semi Rev'!J68),ISNUMBER('Semi Rev'!F68),ABS('Semi Rev'!J68-'Semi Rev'!F68)&gt;=1),('Semi OpInc'!J68-'Semi OpInc'!F68)/('Semi Rev'!J68-'Semi Rev'!F68),""),"")</f>
        <v/>
      </c>
      <c r="G1205" s="37">
        <f>IFERROR(IF(AND(ISNUMBER('Semi OpInc'!K68),ISNUMBER('Semi OpInc'!G68),ISNUMBER('Semi Rev'!K68),ISNUMBER('Semi Rev'!G68),ABS('Semi Rev'!K68-'Semi Rev'!G68)&gt;=1),('Semi OpInc'!K68-'Semi OpInc'!G68)/('Semi Rev'!K68-'Semi Rev'!G68),""),"")</f>
        <v/>
      </c>
      <c r="H1205" s="37">
        <f>IFERROR(IF(AND(ISNUMBER('Semi OpInc'!L68),ISNUMBER('Semi OpInc'!H68),ISNUMBER('Semi Rev'!L68),ISNUMBER('Semi Rev'!H68),ABS('Semi Rev'!L68-'Semi Rev'!H68)&gt;=1),('Semi OpInc'!L68-'Semi OpInc'!H68)/('Semi Rev'!L68-'Semi Rev'!H68),""),"")</f>
        <v/>
      </c>
      <c r="I1205" s="37">
        <f>IFERROR(IF(AND(ISNUMBER('Semi OpInc'!M68),ISNUMBER('Semi OpInc'!I68),ISNUMBER('Semi Rev'!M68),ISNUMBER('Semi Rev'!I68),ABS('Semi Rev'!M68-'Semi Rev'!I68)&gt;=1),('Semi OpInc'!M68-'Semi OpInc'!I68)/('Semi Rev'!M68-'Semi Rev'!I68),""),"")</f>
        <v/>
      </c>
      <c r="J1205" s="37">
        <f>IFERROR(IF(AND(ISNUMBER('Semi OpInc'!N68),ISNUMBER('Semi OpInc'!J68),ISNUMBER('Semi Rev'!N68),ISNUMBER('Semi Rev'!J68),ABS('Semi Rev'!N68-'Semi Rev'!J68)&gt;=1),('Semi OpInc'!N68-'Semi OpInc'!J68)/('Semi Rev'!N68-'Semi Rev'!J68),""),"")</f>
        <v/>
      </c>
      <c r="K1205" s="37">
        <f>IFERROR(IF(AND(ISNUMBER('Semi OpInc'!O68),ISNUMBER('Semi OpInc'!K68),ISNUMBER('Semi Rev'!O68),ISNUMBER('Semi Rev'!K68),ABS('Semi Rev'!O68-'Semi Rev'!K68)&gt;=1),('Semi OpInc'!O68-'Semi OpInc'!K68)/('Semi Rev'!O68-'Semi Rev'!K68),""),"")</f>
        <v/>
      </c>
      <c r="L1205" s="37">
        <f>IFERROR(IF(AND(ISNUMBER('Semi OpInc'!P68),ISNUMBER('Semi OpInc'!L68),ISNUMBER('Semi Rev'!P68),ISNUMBER('Semi Rev'!L68),ABS('Semi Rev'!P68-'Semi Rev'!L68)&gt;=1),('Semi OpInc'!P68-'Semi OpInc'!L68)/('Semi Rev'!P68-'Semi Rev'!L68),""),"")</f>
        <v/>
      </c>
      <c r="M1205" s="38">
        <f>IFERROR(IF(AND(ISNUMBER('Semi OpInc'!Q68),ISNUMBER('Semi OpInc'!M68),ISNUMBER('Semi Rev'!Q68),ISNUMBER('Semi Rev'!M68),ABS('Semi Rev'!Q68-'Semi Rev'!M68)&gt;=1),('Semi OpInc'!Q68-'Semi OpInc'!M68)/('Semi Rev'!Q68-'Semi Rev'!M68),""),"")</f>
        <v/>
      </c>
      <c r="N1205" s="38">
        <f>IFERROR(IF(AND(ISNUMBER('Semi OpInc'!R68),ISNUMBER('Semi OpInc'!N68),ISNUMBER('Semi Rev'!R68),ISNUMBER('Semi Rev'!N68),ABS('Semi Rev'!R68-'Semi Rev'!N68)&gt;=1),('Semi OpInc'!R68-'Semi OpInc'!N68)/('Semi Rev'!R68-'Semi Rev'!N68),""),"")</f>
        <v/>
      </c>
    </row>
    <row r="1206">
      <c r="A1206" s="19">
        <f>'Semi Rev'!$A69</f>
        <v/>
      </c>
      <c r="B1206" s="19">
        <f>'Semi Rev'!$B69</f>
        <v/>
      </c>
      <c r="C1206" s="37">
        <f>IFERROR(IF(AND(ISNUMBER('Semi OpInc'!G69),ISNUMBER('Semi OpInc'!C69),ISNUMBER('Semi Rev'!G69),ISNUMBER('Semi Rev'!C69),ABS('Semi Rev'!G69-'Semi Rev'!C69)&gt;=1),('Semi OpInc'!G69-'Semi OpInc'!C69)/('Semi Rev'!G69-'Semi Rev'!C69),""),"")</f>
        <v/>
      </c>
      <c r="D1206" s="37">
        <f>IFERROR(IF(AND(ISNUMBER('Semi OpInc'!H69),ISNUMBER('Semi OpInc'!D69),ISNUMBER('Semi Rev'!H69),ISNUMBER('Semi Rev'!D69),ABS('Semi Rev'!H69-'Semi Rev'!D69)&gt;=1),('Semi OpInc'!H69-'Semi OpInc'!D69)/('Semi Rev'!H69-'Semi Rev'!D69),""),"")</f>
        <v/>
      </c>
      <c r="E1206" s="37">
        <f>IFERROR(IF(AND(ISNUMBER('Semi OpInc'!I69),ISNUMBER('Semi OpInc'!E69),ISNUMBER('Semi Rev'!I69),ISNUMBER('Semi Rev'!E69),ABS('Semi Rev'!I69-'Semi Rev'!E69)&gt;=1),('Semi OpInc'!I69-'Semi OpInc'!E69)/('Semi Rev'!I69-'Semi Rev'!E69),""),"")</f>
        <v/>
      </c>
      <c r="F1206" s="37">
        <f>IFERROR(IF(AND(ISNUMBER('Semi OpInc'!J69),ISNUMBER('Semi OpInc'!F69),ISNUMBER('Semi Rev'!J69),ISNUMBER('Semi Rev'!F69),ABS('Semi Rev'!J69-'Semi Rev'!F69)&gt;=1),('Semi OpInc'!J69-'Semi OpInc'!F69)/('Semi Rev'!J69-'Semi Rev'!F69),""),"")</f>
        <v/>
      </c>
      <c r="G1206" s="37">
        <f>IFERROR(IF(AND(ISNUMBER('Semi OpInc'!K69),ISNUMBER('Semi OpInc'!G69),ISNUMBER('Semi Rev'!K69),ISNUMBER('Semi Rev'!G69),ABS('Semi Rev'!K69-'Semi Rev'!G69)&gt;=1),('Semi OpInc'!K69-'Semi OpInc'!G69)/('Semi Rev'!K69-'Semi Rev'!G69),""),"")</f>
        <v/>
      </c>
      <c r="H1206" s="37">
        <f>IFERROR(IF(AND(ISNUMBER('Semi OpInc'!L69),ISNUMBER('Semi OpInc'!H69),ISNUMBER('Semi Rev'!L69),ISNUMBER('Semi Rev'!H69),ABS('Semi Rev'!L69-'Semi Rev'!H69)&gt;=1),('Semi OpInc'!L69-'Semi OpInc'!H69)/('Semi Rev'!L69-'Semi Rev'!H69),""),"")</f>
        <v/>
      </c>
      <c r="I1206" s="37">
        <f>IFERROR(IF(AND(ISNUMBER('Semi OpInc'!M69),ISNUMBER('Semi OpInc'!I69),ISNUMBER('Semi Rev'!M69),ISNUMBER('Semi Rev'!I69),ABS('Semi Rev'!M69-'Semi Rev'!I69)&gt;=1),('Semi OpInc'!M69-'Semi OpInc'!I69)/('Semi Rev'!M69-'Semi Rev'!I69),""),"")</f>
        <v/>
      </c>
      <c r="J1206" s="37">
        <f>IFERROR(IF(AND(ISNUMBER('Semi OpInc'!N69),ISNUMBER('Semi OpInc'!J69),ISNUMBER('Semi Rev'!N69),ISNUMBER('Semi Rev'!J69),ABS('Semi Rev'!N69-'Semi Rev'!J69)&gt;=1),('Semi OpInc'!N69-'Semi OpInc'!J69)/('Semi Rev'!N69-'Semi Rev'!J69),""),"")</f>
        <v/>
      </c>
      <c r="K1206" s="37">
        <f>IFERROR(IF(AND(ISNUMBER('Semi OpInc'!O69),ISNUMBER('Semi OpInc'!K69),ISNUMBER('Semi Rev'!O69),ISNUMBER('Semi Rev'!K69),ABS('Semi Rev'!O69-'Semi Rev'!K69)&gt;=1),('Semi OpInc'!O69-'Semi OpInc'!K69)/('Semi Rev'!O69-'Semi Rev'!K69),""),"")</f>
        <v/>
      </c>
      <c r="L1206" s="37">
        <f>IFERROR(IF(AND(ISNUMBER('Semi OpInc'!P69),ISNUMBER('Semi OpInc'!L69),ISNUMBER('Semi Rev'!P69),ISNUMBER('Semi Rev'!L69),ABS('Semi Rev'!P69-'Semi Rev'!L69)&gt;=1),('Semi OpInc'!P69-'Semi OpInc'!L69)/('Semi Rev'!P69-'Semi Rev'!L69),""),"")</f>
        <v/>
      </c>
      <c r="M1206" s="38">
        <f>IFERROR(IF(AND(ISNUMBER('Semi OpInc'!Q69),ISNUMBER('Semi OpInc'!M69),ISNUMBER('Semi Rev'!Q69),ISNUMBER('Semi Rev'!M69),ABS('Semi Rev'!Q69-'Semi Rev'!M69)&gt;=1),('Semi OpInc'!Q69-'Semi OpInc'!M69)/('Semi Rev'!Q69-'Semi Rev'!M69),""),"")</f>
        <v/>
      </c>
      <c r="N1206" s="38">
        <f>IFERROR(IF(AND(ISNUMBER('Semi OpInc'!R69),ISNUMBER('Semi OpInc'!N69),ISNUMBER('Semi Rev'!R69),ISNUMBER('Semi Rev'!N69),ABS('Semi Rev'!R69-'Semi Rev'!N69)&gt;=1),('Semi OpInc'!R69-'Semi OpInc'!N69)/('Semi Rev'!R69-'Semi Rev'!N69),""),"")</f>
        <v/>
      </c>
    </row>
    <row r="1207">
      <c r="A1207" s="19">
        <f>'Semi Rev'!$A70</f>
        <v/>
      </c>
      <c r="B1207" s="19">
        <f>'Semi Rev'!$B70</f>
        <v/>
      </c>
      <c r="C1207" s="37">
        <f>IFERROR(IF(AND(ISNUMBER('Semi OpInc'!G70),ISNUMBER('Semi OpInc'!C70),ISNUMBER('Semi Rev'!G70),ISNUMBER('Semi Rev'!C70),ABS('Semi Rev'!G70-'Semi Rev'!C70)&gt;=1),('Semi OpInc'!G70-'Semi OpInc'!C70)/('Semi Rev'!G70-'Semi Rev'!C70),""),"")</f>
        <v/>
      </c>
      <c r="D1207" s="37">
        <f>IFERROR(IF(AND(ISNUMBER('Semi OpInc'!H70),ISNUMBER('Semi OpInc'!D70),ISNUMBER('Semi Rev'!H70),ISNUMBER('Semi Rev'!D70),ABS('Semi Rev'!H70-'Semi Rev'!D70)&gt;=1),('Semi OpInc'!H70-'Semi OpInc'!D70)/('Semi Rev'!H70-'Semi Rev'!D70),""),"")</f>
        <v/>
      </c>
      <c r="E1207" s="37">
        <f>IFERROR(IF(AND(ISNUMBER('Semi OpInc'!I70),ISNUMBER('Semi OpInc'!E70),ISNUMBER('Semi Rev'!I70),ISNUMBER('Semi Rev'!E70),ABS('Semi Rev'!I70-'Semi Rev'!E70)&gt;=1),('Semi OpInc'!I70-'Semi OpInc'!E70)/('Semi Rev'!I70-'Semi Rev'!E70),""),"")</f>
        <v/>
      </c>
      <c r="F1207" s="37">
        <f>IFERROR(IF(AND(ISNUMBER('Semi OpInc'!J70),ISNUMBER('Semi OpInc'!F70),ISNUMBER('Semi Rev'!J70),ISNUMBER('Semi Rev'!F70),ABS('Semi Rev'!J70-'Semi Rev'!F70)&gt;=1),('Semi OpInc'!J70-'Semi OpInc'!F70)/('Semi Rev'!J70-'Semi Rev'!F70),""),"")</f>
        <v/>
      </c>
      <c r="G1207" s="37">
        <f>IFERROR(IF(AND(ISNUMBER('Semi OpInc'!K70),ISNUMBER('Semi OpInc'!G70),ISNUMBER('Semi Rev'!K70),ISNUMBER('Semi Rev'!G70),ABS('Semi Rev'!K70-'Semi Rev'!G70)&gt;=1),('Semi OpInc'!K70-'Semi OpInc'!G70)/('Semi Rev'!K70-'Semi Rev'!G70),""),"")</f>
        <v/>
      </c>
      <c r="H1207" s="37">
        <f>IFERROR(IF(AND(ISNUMBER('Semi OpInc'!L70),ISNUMBER('Semi OpInc'!H70),ISNUMBER('Semi Rev'!L70),ISNUMBER('Semi Rev'!H70),ABS('Semi Rev'!L70-'Semi Rev'!H70)&gt;=1),('Semi OpInc'!L70-'Semi OpInc'!H70)/('Semi Rev'!L70-'Semi Rev'!H70),""),"")</f>
        <v/>
      </c>
      <c r="I1207" s="37">
        <f>IFERROR(IF(AND(ISNUMBER('Semi OpInc'!M70),ISNUMBER('Semi OpInc'!I70),ISNUMBER('Semi Rev'!M70),ISNUMBER('Semi Rev'!I70),ABS('Semi Rev'!M70-'Semi Rev'!I70)&gt;=1),('Semi OpInc'!M70-'Semi OpInc'!I70)/('Semi Rev'!M70-'Semi Rev'!I70),""),"")</f>
        <v/>
      </c>
      <c r="J1207" s="37">
        <f>IFERROR(IF(AND(ISNUMBER('Semi OpInc'!N70),ISNUMBER('Semi OpInc'!J70),ISNUMBER('Semi Rev'!N70),ISNUMBER('Semi Rev'!J70),ABS('Semi Rev'!N70-'Semi Rev'!J70)&gt;=1),('Semi OpInc'!N70-'Semi OpInc'!J70)/('Semi Rev'!N70-'Semi Rev'!J70),""),"")</f>
        <v/>
      </c>
      <c r="K1207" s="37">
        <f>IFERROR(IF(AND(ISNUMBER('Semi OpInc'!O70),ISNUMBER('Semi OpInc'!K70),ISNUMBER('Semi Rev'!O70),ISNUMBER('Semi Rev'!K70),ABS('Semi Rev'!O70-'Semi Rev'!K70)&gt;=1),('Semi OpInc'!O70-'Semi OpInc'!K70)/('Semi Rev'!O70-'Semi Rev'!K70),""),"")</f>
        <v/>
      </c>
      <c r="L1207" s="37">
        <f>IFERROR(IF(AND(ISNUMBER('Semi OpInc'!P70),ISNUMBER('Semi OpInc'!L70),ISNUMBER('Semi Rev'!P70),ISNUMBER('Semi Rev'!L70),ABS('Semi Rev'!P70-'Semi Rev'!L70)&gt;=1),('Semi OpInc'!P70-'Semi OpInc'!L70)/('Semi Rev'!P70-'Semi Rev'!L70),""),"")</f>
        <v/>
      </c>
      <c r="M1207" s="38">
        <f>IFERROR(IF(AND(ISNUMBER('Semi OpInc'!Q70),ISNUMBER('Semi OpInc'!M70),ISNUMBER('Semi Rev'!Q70),ISNUMBER('Semi Rev'!M70),ABS('Semi Rev'!Q70-'Semi Rev'!M70)&gt;=1),('Semi OpInc'!Q70-'Semi OpInc'!M70)/('Semi Rev'!Q70-'Semi Rev'!M70),""),"")</f>
        <v/>
      </c>
      <c r="N1207" s="38">
        <f>IFERROR(IF(AND(ISNUMBER('Semi OpInc'!R70),ISNUMBER('Semi OpInc'!N70),ISNUMBER('Semi Rev'!R70),ISNUMBER('Semi Rev'!N70),ABS('Semi Rev'!R70-'Semi Rev'!N70)&gt;=1),('Semi OpInc'!R70-'Semi OpInc'!N70)/('Semi Rev'!R70-'Semi Rev'!N70),""),"")</f>
        <v/>
      </c>
    </row>
    <row r="1208">
      <c r="A1208" s="19">
        <f>'Semi Rev'!$A71</f>
        <v/>
      </c>
      <c r="B1208" s="19">
        <f>'Semi Rev'!$B71</f>
        <v/>
      </c>
      <c r="C1208" s="37">
        <f>IFERROR(IF(AND(ISNUMBER('Semi OpInc'!G71),ISNUMBER('Semi OpInc'!C71),ISNUMBER('Semi Rev'!G71),ISNUMBER('Semi Rev'!C71),ABS('Semi Rev'!G71-'Semi Rev'!C71)&gt;=1),('Semi OpInc'!G71-'Semi OpInc'!C71)/('Semi Rev'!G71-'Semi Rev'!C71),""),"")</f>
        <v/>
      </c>
      <c r="D1208" s="37">
        <f>IFERROR(IF(AND(ISNUMBER('Semi OpInc'!H71),ISNUMBER('Semi OpInc'!D71),ISNUMBER('Semi Rev'!H71),ISNUMBER('Semi Rev'!D71),ABS('Semi Rev'!H71-'Semi Rev'!D71)&gt;=1),('Semi OpInc'!H71-'Semi OpInc'!D71)/('Semi Rev'!H71-'Semi Rev'!D71),""),"")</f>
        <v/>
      </c>
      <c r="E1208" s="37">
        <f>IFERROR(IF(AND(ISNUMBER('Semi OpInc'!I71),ISNUMBER('Semi OpInc'!E71),ISNUMBER('Semi Rev'!I71),ISNUMBER('Semi Rev'!E71),ABS('Semi Rev'!I71-'Semi Rev'!E71)&gt;=1),('Semi OpInc'!I71-'Semi OpInc'!E71)/('Semi Rev'!I71-'Semi Rev'!E71),""),"")</f>
        <v/>
      </c>
      <c r="F1208" s="37">
        <f>IFERROR(IF(AND(ISNUMBER('Semi OpInc'!J71),ISNUMBER('Semi OpInc'!F71),ISNUMBER('Semi Rev'!J71),ISNUMBER('Semi Rev'!F71),ABS('Semi Rev'!J71-'Semi Rev'!F71)&gt;=1),('Semi OpInc'!J71-'Semi OpInc'!F71)/('Semi Rev'!J71-'Semi Rev'!F71),""),"")</f>
        <v/>
      </c>
      <c r="G1208" s="37">
        <f>IFERROR(IF(AND(ISNUMBER('Semi OpInc'!K71),ISNUMBER('Semi OpInc'!G71),ISNUMBER('Semi Rev'!K71),ISNUMBER('Semi Rev'!G71),ABS('Semi Rev'!K71-'Semi Rev'!G71)&gt;=1),('Semi OpInc'!K71-'Semi OpInc'!G71)/('Semi Rev'!K71-'Semi Rev'!G71),""),"")</f>
        <v/>
      </c>
      <c r="H1208" s="37">
        <f>IFERROR(IF(AND(ISNUMBER('Semi OpInc'!L71),ISNUMBER('Semi OpInc'!H71),ISNUMBER('Semi Rev'!L71),ISNUMBER('Semi Rev'!H71),ABS('Semi Rev'!L71-'Semi Rev'!H71)&gt;=1),('Semi OpInc'!L71-'Semi OpInc'!H71)/('Semi Rev'!L71-'Semi Rev'!H71),""),"")</f>
        <v/>
      </c>
      <c r="I1208" s="37">
        <f>IFERROR(IF(AND(ISNUMBER('Semi OpInc'!M71),ISNUMBER('Semi OpInc'!I71),ISNUMBER('Semi Rev'!M71),ISNUMBER('Semi Rev'!I71),ABS('Semi Rev'!M71-'Semi Rev'!I71)&gt;=1),('Semi OpInc'!M71-'Semi OpInc'!I71)/('Semi Rev'!M71-'Semi Rev'!I71),""),"")</f>
        <v/>
      </c>
      <c r="J1208" s="37">
        <f>IFERROR(IF(AND(ISNUMBER('Semi OpInc'!N71),ISNUMBER('Semi OpInc'!J71),ISNUMBER('Semi Rev'!N71),ISNUMBER('Semi Rev'!J71),ABS('Semi Rev'!N71-'Semi Rev'!J71)&gt;=1),('Semi OpInc'!N71-'Semi OpInc'!J71)/('Semi Rev'!N71-'Semi Rev'!J71),""),"")</f>
        <v/>
      </c>
      <c r="K1208" s="37">
        <f>IFERROR(IF(AND(ISNUMBER('Semi OpInc'!O71),ISNUMBER('Semi OpInc'!K71),ISNUMBER('Semi Rev'!O71),ISNUMBER('Semi Rev'!K71),ABS('Semi Rev'!O71-'Semi Rev'!K71)&gt;=1),('Semi OpInc'!O71-'Semi OpInc'!K71)/('Semi Rev'!O71-'Semi Rev'!K71),""),"")</f>
        <v/>
      </c>
      <c r="L1208" s="37">
        <f>IFERROR(IF(AND(ISNUMBER('Semi OpInc'!P71),ISNUMBER('Semi OpInc'!L71),ISNUMBER('Semi Rev'!P71),ISNUMBER('Semi Rev'!L71),ABS('Semi Rev'!P71-'Semi Rev'!L71)&gt;=1),('Semi OpInc'!P71-'Semi OpInc'!L71)/('Semi Rev'!P71-'Semi Rev'!L71),""),"")</f>
        <v/>
      </c>
      <c r="M1208" s="38">
        <f>IFERROR(IF(AND(ISNUMBER('Semi OpInc'!Q71),ISNUMBER('Semi OpInc'!M71),ISNUMBER('Semi Rev'!Q71),ISNUMBER('Semi Rev'!M71),ABS('Semi Rev'!Q71-'Semi Rev'!M71)&gt;=1),('Semi OpInc'!Q71-'Semi OpInc'!M71)/('Semi Rev'!Q71-'Semi Rev'!M71),""),"")</f>
        <v/>
      </c>
      <c r="N1208" s="38">
        <f>IFERROR(IF(AND(ISNUMBER('Semi OpInc'!R71),ISNUMBER('Semi OpInc'!N71),ISNUMBER('Semi Rev'!R71),ISNUMBER('Semi Rev'!N71),ABS('Semi Rev'!R71-'Semi Rev'!N71)&gt;=1),('Semi OpInc'!R71-'Semi OpInc'!N71)/('Semi Rev'!R71-'Semi Rev'!N71),""),"")</f>
        <v/>
      </c>
    </row>
    <row r="1209">
      <c r="A1209" s="19">
        <f>'Semi Rev'!$A72</f>
        <v/>
      </c>
      <c r="B1209" s="19">
        <f>'Semi Rev'!$B72</f>
        <v/>
      </c>
      <c r="C1209" s="37">
        <f>IFERROR(IF(AND(ISNUMBER('Semi OpInc'!G72),ISNUMBER('Semi OpInc'!C72),ISNUMBER('Semi Rev'!G72),ISNUMBER('Semi Rev'!C72),ABS('Semi Rev'!G72-'Semi Rev'!C72)&gt;=1),('Semi OpInc'!G72-'Semi OpInc'!C72)/('Semi Rev'!G72-'Semi Rev'!C72),""),"")</f>
        <v/>
      </c>
      <c r="D1209" s="37">
        <f>IFERROR(IF(AND(ISNUMBER('Semi OpInc'!H72),ISNUMBER('Semi OpInc'!D72),ISNUMBER('Semi Rev'!H72),ISNUMBER('Semi Rev'!D72),ABS('Semi Rev'!H72-'Semi Rev'!D72)&gt;=1),('Semi OpInc'!H72-'Semi OpInc'!D72)/('Semi Rev'!H72-'Semi Rev'!D72),""),"")</f>
        <v/>
      </c>
      <c r="E1209" s="37">
        <f>IFERROR(IF(AND(ISNUMBER('Semi OpInc'!I72),ISNUMBER('Semi OpInc'!E72),ISNUMBER('Semi Rev'!I72),ISNUMBER('Semi Rev'!E72),ABS('Semi Rev'!I72-'Semi Rev'!E72)&gt;=1),('Semi OpInc'!I72-'Semi OpInc'!E72)/('Semi Rev'!I72-'Semi Rev'!E72),""),"")</f>
        <v/>
      </c>
      <c r="F1209" s="37">
        <f>IFERROR(IF(AND(ISNUMBER('Semi OpInc'!J72),ISNUMBER('Semi OpInc'!F72),ISNUMBER('Semi Rev'!J72),ISNUMBER('Semi Rev'!F72),ABS('Semi Rev'!J72-'Semi Rev'!F72)&gt;=1),('Semi OpInc'!J72-'Semi OpInc'!F72)/('Semi Rev'!J72-'Semi Rev'!F72),""),"")</f>
        <v/>
      </c>
      <c r="G1209" s="37">
        <f>IFERROR(IF(AND(ISNUMBER('Semi OpInc'!K72),ISNUMBER('Semi OpInc'!G72),ISNUMBER('Semi Rev'!K72),ISNUMBER('Semi Rev'!G72),ABS('Semi Rev'!K72-'Semi Rev'!G72)&gt;=1),('Semi OpInc'!K72-'Semi OpInc'!G72)/('Semi Rev'!K72-'Semi Rev'!G72),""),"")</f>
        <v/>
      </c>
      <c r="H1209" s="37">
        <f>IFERROR(IF(AND(ISNUMBER('Semi OpInc'!L72),ISNUMBER('Semi OpInc'!H72),ISNUMBER('Semi Rev'!L72),ISNUMBER('Semi Rev'!H72),ABS('Semi Rev'!L72-'Semi Rev'!H72)&gt;=1),('Semi OpInc'!L72-'Semi OpInc'!H72)/('Semi Rev'!L72-'Semi Rev'!H72),""),"")</f>
        <v/>
      </c>
      <c r="I1209" s="37">
        <f>IFERROR(IF(AND(ISNUMBER('Semi OpInc'!M72),ISNUMBER('Semi OpInc'!I72),ISNUMBER('Semi Rev'!M72),ISNUMBER('Semi Rev'!I72),ABS('Semi Rev'!M72-'Semi Rev'!I72)&gt;=1),('Semi OpInc'!M72-'Semi OpInc'!I72)/('Semi Rev'!M72-'Semi Rev'!I72),""),"")</f>
        <v/>
      </c>
      <c r="J1209" s="37">
        <f>IFERROR(IF(AND(ISNUMBER('Semi OpInc'!N72),ISNUMBER('Semi OpInc'!J72),ISNUMBER('Semi Rev'!N72),ISNUMBER('Semi Rev'!J72),ABS('Semi Rev'!N72-'Semi Rev'!J72)&gt;=1),('Semi OpInc'!N72-'Semi OpInc'!J72)/('Semi Rev'!N72-'Semi Rev'!J72),""),"")</f>
        <v/>
      </c>
      <c r="K1209" s="37">
        <f>IFERROR(IF(AND(ISNUMBER('Semi OpInc'!O72),ISNUMBER('Semi OpInc'!K72),ISNUMBER('Semi Rev'!O72),ISNUMBER('Semi Rev'!K72),ABS('Semi Rev'!O72-'Semi Rev'!K72)&gt;=1),('Semi OpInc'!O72-'Semi OpInc'!K72)/('Semi Rev'!O72-'Semi Rev'!K72),""),"")</f>
        <v/>
      </c>
      <c r="L1209" s="37">
        <f>IFERROR(IF(AND(ISNUMBER('Semi OpInc'!P72),ISNUMBER('Semi OpInc'!L72),ISNUMBER('Semi Rev'!P72),ISNUMBER('Semi Rev'!L72),ABS('Semi Rev'!P72-'Semi Rev'!L72)&gt;=1),('Semi OpInc'!P72-'Semi OpInc'!L72)/('Semi Rev'!P72-'Semi Rev'!L72),""),"")</f>
        <v/>
      </c>
      <c r="M1209" s="38">
        <f>IFERROR(IF(AND(ISNUMBER('Semi OpInc'!Q72),ISNUMBER('Semi OpInc'!M72),ISNUMBER('Semi Rev'!Q72),ISNUMBER('Semi Rev'!M72),ABS('Semi Rev'!Q72-'Semi Rev'!M72)&gt;=1),('Semi OpInc'!Q72-'Semi OpInc'!M72)/('Semi Rev'!Q72-'Semi Rev'!M72),""),"")</f>
        <v/>
      </c>
      <c r="N1209" s="38">
        <f>IFERROR(IF(AND(ISNUMBER('Semi OpInc'!R72),ISNUMBER('Semi OpInc'!N72),ISNUMBER('Semi Rev'!R72),ISNUMBER('Semi Rev'!N72),ABS('Semi Rev'!R72-'Semi Rev'!N72)&gt;=1),('Semi OpInc'!R72-'Semi OpInc'!N72)/('Semi Rev'!R72-'Semi Rev'!N72),""),"")</f>
        <v/>
      </c>
    </row>
    <row r="1210">
      <c r="A1210" s="19">
        <f>'Semi Rev'!$A73</f>
        <v/>
      </c>
      <c r="B1210" s="19">
        <f>'Semi Rev'!$B73</f>
        <v/>
      </c>
      <c r="C1210" s="37">
        <f>IFERROR(IF(AND(ISNUMBER('Semi OpInc'!G73),ISNUMBER('Semi OpInc'!C73),ISNUMBER('Semi Rev'!G73),ISNUMBER('Semi Rev'!C73),ABS('Semi Rev'!G73-'Semi Rev'!C73)&gt;=1),('Semi OpInc'!G73-'Semi OpInc'!C73)/('Semi Rev'!G73-'Semi Rev'!C73),""),"")</f>
        <v/>
      </c>
      <c r="D1210" s="37">
        <f>IFERROR(IF(AND(ISNUMBER('Semi OpInc'!H73),ISNUMBER('Semi OpInc'!D73),ISNUMBER('Semi Rev'!H73),ISNUMBER('Semi Rev'!D73),ABS('Semi Rev'!H73-'Semi Rev'!D73)&gt;=1),('Semi OpInc'!H73-'Semi OpInc'!D73)/('Semi Rev'!H73-'Semi Rev'!D73),""),"")</f>
        <v/>
      </c>
      <c r="E1210" s="37">
        <f>IFERROR(IF(AND(ISNUMBER('Semi OpInc'!I73),ISNUMBER('Semi OpInc'!E73),ISNUMBER('Semi Rev'!I73),ISNUMBER('Semi Rev'!E73),ABS('Semi Rev'!I73-'Semi Rev'!E73)&gt;=1),('Semi OpInc'!I73-'Semi OpInc'!E73)/('Semi Rev'!I73-'Semi Rev'!E73),""),"")</f>
        <v/>
      </c>
      <c r="F1210" s="37">
        <f>IFERROR(IF(AND(ISNUMBER('Semi OpInc'!J73),ISNUMBER('Semi OpInc'!F73),ISNUMBER('Semi Rev'!J73),ISNUMBER('Semi Rev'!F73),ABS('Semi Rev'!J73-'Semi Rev'!F73)&gt;=1),('Semi OpInc'!J73-'Semi OpInc'!F73)/('Semi Rev'!J73-'Semi Rev'!F73),""),"")</f>
        <v/>
      </c>
      <c r="G1210" s="37">
        <f>IFERROR(IF(AND(ISNUMBER('Semi OpInc'!K73),ISNUMBER('Semi OpInc'!G73),ISNUMBER('Semi Rev'!K73),ISNUMBER('Semi Rev'!G73),ABS('Semi Rev'!K73-'Semi Rev'!G73)&gt;=1),('Semi OpInc'!K73-'Semi OpInc'!G73)/('Semi Rev'!K73-'Semi Rev'!G73),""),"")</f>
        <v/>
      </c>
      <c r="H1210" s="37">
        <f>IFERROR(IF(AND(ISNUMBER('Semi OpInc'!L73),ISNUMBER('Semi OpInc'!H73),ISNUMBER('Semi Rev'!L73),ISNUMBER('Semi Rev'!H73),ABS('Semi Rev'!L73-'Semi Rev'!H73)&gt;=1),('Semi OpInc'!L73-'Semi OpInc'!H73)/('Semi Rev'!L73-'Semi Rev'!H73),""),"")</f>
        <v/>
      </c>
      <c r="I1210" s="37">
        <f>IFERROR(IF(AND(ISNUMBER('Semi OpInc'!M73),ISNUMBER('Semi OpInc'!I73),ISNUMBER('Semi Rev'!M73),ISNUMBER('Semi Rev'!I73),ABS('Semi Rev'!M73-'Semi Rev'!I73)&gt;=1),('Semi OpInc'!M73-'Semi OpInc'!I73)/('Semi Rev'!M73-'Semi Rev'!I73),""),"")</f>
        <v/>
      </c>
      <c r="J1210" s="37">
        <f>IFERROR(IF(AND(ISNUMBER('Semi OpInc'!N73),ISNUMBER('Semi OpInc'!J73),ISNUMBER('Semi Rev'!N73),ISNUMBER('Semi Rev'!J73),ABS('Semi Rev'!N73-'Semi Rev'!J73)&gt;=1),('Semi OpInc'!N73-'Semi OpInc'!J73)/('Semi Rev'!N73-'Semi Rev'!J73),""),"")</f>
        <v/>
      </c>
      <c r="K1210" s="37">
        <f>IFERROR(IF(AND(ISNUMBER('Semi OpInc'!O73),ISNUMBER('Semi OpInc'!K73),ISNUMBER('Semi Rev'!O73),ISNUMBER('Semi Rev'!K73),ABS('Semi Rev'!O73-'Semi Rev'!K73)&gt;=1),('Semi OpInc'!O73-'Semi OpInc'!K73)/('Semi Rev'!O73-'Semi Rev'!K73),""),"")</f>
        <v/>
      </c>
      <c r="L1210" s="37">
        <f>IFERROR(IF(AND(ISNUMBER('Semi OpInc'!P73),ISNUMBER('Semi OpInc'!L73),ISNUMBER('Semi Rev'!P73),ISNUMBER('Semi Rev'!L73),ABS('Semi Rev'!P73-'Semi Rev'!L73)&gt;=1),('Semi OpInc'!P73-'Semi OpInc'!L73)/('Semi Rev'!P73-'Semi Rev'!L73),""),"")</f>
        <v/>
      </c>
      <c r="M1210" s="38">
        <f>IFERROR(IF(AND(ISNUMBER('Semi OpInc'!Q73),ISNUMBER('Semi OpInc'!M73),ISNUMBER('Semi Rev'!Q73),ISNUMBER('Semi Rev'!M73),ABS('Semi Rev'!Q73-'Semi Rev'!M73)&gt;=1),('Semi OpInc'!Q73-'Semi OpInc'!M73)/('Semi Rev'!Q73-'Semi Rev'!M73),""),"")</f>
        <v/>
      </c>
      <c r="N1210" s="38">
        <f>IFERROR(IF(AND(ISNUMBER('Semi OpInc'!R73),ISNUMBER('Semi OpInc'!N73),ISNUMBER('Semi Rev'!R73),ISNUMBER('Semi Rev'!N73),ABS('Semi Rev'!R73-'Semi Rev'!N73)&gt;=1),('Semi OpInc'!R73-'Semi OpInc'!N73)/('Semi Rev'!R73-'Semi Rev'!N73),""),"")</f>
        <v/>
      </c>
    </row>
    <row r="1211">
      <c r="A1211" s="19">
        <f>'Semi Rev'!$A74</f>
        <v/>
      </c>
      <c r="B1211" s="19">
        <f>'Semi Rev'!$B74</f>
        <v/>
      </c>
      <c r="C1211" s="37">
        <f>IFERROR(IF(AND(ISNUMBER('Semi OpInc'!G74),ISNUMBER('Semi OpInc'!C74),ISNUMBER('Semi Rev'!G74),ISNUMBER('Semi Rev'!C74),ABS('Semi Rev'!G74-'Semi Rev'!C74)&gt;=1),('Semi OpInc'!G74-'Semi OpInc'!C74)/('Semi Rev'!G74-'Semi Rev'!C74),""),"")</f>
        <v/>
      </c>
      <c r="D1211" s="37">
        <f>IFERROR(IF(AND(ISNUMBER('Semi OpInc'!H74),ISNUMBER('Semi OpInc'!D74),ISNUMBER('Semi Rev'!H74),ISNUMBER('Semi Rev'!D74),ABS('Semi Rev'!H74-'Semi Rev'!D74)&gt;=1),('Semi OpInc'!H74-'Semi OpInc'!D74)/('Semi Rev'!H74-'Semi Rev'!D74),""),"")</f>
        <v/>
      </c>
      <c r="E1211" s="37">
        <f>IFERROR(IF(AND(ISNUMBER('Semi OpInc'!I74),ISNUMBER('Semi OpInc'!E74),ISNUMBER('Semi Rev'!I74),ISNUMBER('Semi Rev'!E74),ABS('Semi Rev'!I74-'Semi Rev'!E74)&gt;=1),('Semi OpInc'!I74-'Semi OpInc'!E74)/('Semi Rev'!I74-'Semi Rev'!E74),""),"")</f>
        <v/>
      </c>
      <c r="F1211" s="37">
        <f>IFERROR(IF(AND(ISNUMBER('Semi OpInc'!J74),ISNUMBER('Semi OpInc'!F74),ISNUMBER('Semi Rev'!J74),ISNUMBER('Semi Rev'!F74),ABS('Semi Rev'!J74-'Semi Rev'!F74)&gt;=1),('Semi OpInc'!J74-'Semi OpInc'!F74)/('Semi Rev'!J74-'Semi Rev'!F74),""),"")</f>
        <v/>
      </c>
      <c r="G1211" s="37">
        <f>IFERROR(IF(AND(ISNUMBER('Semi OpInc'!K74),ISNUMBER('Semi OpInc'!G74),ISNUMBER('Semi Rev'!K74),ISNUMBER('Semi Rev'!G74),ABS('Semi Rev'!K74-'Semi Rev'!G74)&gt;=1),('Semi OpInc'!K74-'Semi OpInc'!G74)/('Semi Rev'!K74-'Semi Rev'!G74),""),"")</f>
        <v/>
      </c>
      <c r="H1211" s="37">
        <f>IFERROR(IF(AND(ISNUMBER('Semi OpInc'!L74),ISNUMBER('Semi OpInc'!H74),ISNUMBER('Semi Rev'!L74),ISNUMBER('Semi Rev'!H74),ABS('Semi Rev'!L74-'Semi Rev'!H74)&gt;=1),('Semi OpInc'!L74-'Semi OpInc'!H74)/('Semi Rev'!L74-'Semi Rev'!H74),""),"")</f>
        <v/>
      </c>
      <c r="I1211" s="37">
        <f>IFERROR(IF(AND(ISNUMBER('Semi OpInc'!M74),ISNUMBER('Semi OpInc'!I74),ISNUMBER('Semi Rev'!M74),ISNUMBER('Semi Rev'!I74),ABS('Semi Rev'!M74-'Semi Rev'!I74)&gt;=1),('Semi OpInc'!M74-'Semi OpInc'!I74)/('Semi Rev'!M74-'Semi Rev'!I74),""),"")</f>
        <v/>
      </c>
      <c r="J1211" s="37">
        <f>IFERROR(IF(AND(ISNUMBER('Semi OpInc'!N74),ISNUMBER('Semi OpInc'!J74),ISNUMBER('Semi Rev'!N74),ISNUMBER('Semi Rev'!J74),ABS('Semi Rev'!N74-'Semi Rev'!J74)&gt;=1),('Semi OpInc'!N74-'Semi OpInc'!J74)/('Semi Rev'!N74-'Semi Rev'!J74),""),"")</f>
        <v/>
      </c>
      <c r="K1211" s="37">
        <f>IFERROR(IF(AND(ISNUMBER('Semi OpInc'!O74),ISNUMBER('Semi OpInc'!K74),ISNUMBER('Semi Rev'!O74),ISNUMBER('Semi Rev'!K74),ABS('Semi Rev'!O74-'Semi Rev'!K74)&gt;=1),('Semi OpInc'!O74-'Semi OpInc'!K74)/('Semi Rev'!O74-'Semi Rev'!K74),""),"")</f>
        <v/>
      </c>
      <c r="L1211" s="37">
        <f>IFERROR(IF(AND(ISNUMBER('Semi OpInc'!P74),ISNUMBER('Semi OpInc'!L74),ISNUMBER('Semi Rev'!P74),ISNUMBER('Semi Rev'!L74),ABS('Semi Rev'!P74-'Semi Rev'!L74)&gt;=1),('Semi OpInc'!P74-'Semi OpInc'!L74)/('Semi Rev'!P74-'Semi Rev'!L74),""),"")</f>
        <v/>
      </c>
      <c r="M1211" s="38">
        <f>IFERROR(IF(AND(ISNUMBER('Semi OpInc'!Q74),ISNUMBER('Semi OpInc'!M74),ISNUMBER('Semi Rev'!Q74),ISNUMBER('Semi Rev'!M74),ABS('Semi Rev'!Q74-'Semi Rev'!M74)&gt;=1),('Semi OpInc'!Q74-'Semi OpInc'!M74)/('Semi Rev'!Q74-'Semi Rev'!M74),""),"")</f>
        <v/>
      </c>
      <c r="N1211" s="38">
        <f>IFERROR(IF(AND(ISNUMBER('Semi OpInc'!R74),ISNUMBER('Semi OpInc'!N74),ISNUMBER('Semi Rev'!R74),ISNUMBER('Semi Rev'!N74),ABS('Semi Rev'!R74-'Semi Rev'!N74)&gt;=1),('Semi OpInc'!R74-'Semi OpInc'!N74)/('Semi Rev'!R74-'Semi Rev'!N74),""),"")</f>
        <v/>
      </c>
    </row>
    <row r="1212">
      <c r="A1212" s="19">
        <f>'Semi Rev'!$A75</f>
        <v/>
      </c>
      <c r="B1212" s="19">
        <f>'Semi Rev'!$B75</f>
        <v/>
      </c>
      <c r="C1212" s="37">
        <f>IFERROR(IF(AND(ISNUMBER('Semi OpInc'!G75),ISNUMBER('Semi OpInc'!C75),ISNUMBER('Semi Rev'!G75),ISNUMBER('Semi Rev'!C75),ABS('Semi Rev'!G75-'Semi Rev'!C75)&gt;=1),('Semi OpInc'!G75-'Semi OpInc'!C75)/('Semi Rev'!G75-'Semi Rev'!C75),""),"")</f>
        <v/>
      </c>
      <c r="D1212" s="37">
        <f>IFERROR(IF(AND(ISNUMBER('Semi OpInc'!H75),ISNUMBER('Semi OpInc'!D75),ISNUMBER('Semi Rev'!H75),ISNUMBER('Semi Rev'!D75),ABS('Semi Rev'!H75-'Semi Rev'!D75)&gt;=1),('Semi OpInc'!H75-'Semi OpInc'!D75)/('Semi Rev'!H75-'Semi Rev'!D75),""),"")</f>
        <v/>
      </c>
      <c r="E1212" s="37">
        <f>IFERROR(IF(AND(ISNUMBER('Semi OpInc'!I75),ISNUMBER('Semi OpInc'!E75),ISNUMBER('Semi Rev'!I75),ISNUMBER('Semi Rev'!E75),ABS('Semi Rev'!I75-'Semi Rev'!E75)&gt;=1),('Semi OpInc'!I75-'Semi OpInc'!E75)/('Semi Rev'!I75-'Semi Rev'!E75),""),"")</f>
        <v/>
      </c>
      <c r="F1212" s="37">
        <f>IFERROR(IF(AND(ISNUMBER('Semi OpInc'!J75),ISNUMBER('Semi OpInc'!F75),ISNUMBER('Semi Rev'!J75),ISNUMBER('Semi Rev'!F75),ABS('Semi Rev'!J75-'Semi Rev'!F75)&gt;=1),('Semi OpInc'!J75-'Semi OpInc'!F75)/('Semi Rev'!J75-'Semi Rev'!F75),""),"")</f>
        <v/>
      </c>
      <c r="G1212" s="37">
        <f>IFERROR(IF(AND(ISNUMBER('Semi OpInc'!K75),ISNUMBER('Semi OpInc'!G75),ISNUMBER('Semi Rev'!K75),ISNUMBER('Semi Rev'!G75),ABS('Semi Rev'!K75-'Semi Rev'!G75)&gt;=1),('Semi OpInc'!K75-'Semi OpInc'!G75)/('Semi Rev'!K75-'Semi Rev'!G75),""),"")</f>
        <v/>
      </c>
      <c r="H1212" s="37">
        <f>IFERROR(IF(AND(ISNUMBER('Semi OpInc'!L75),ISNUMBER('Semi OpInc'!H75),ISNUMBER('Semi Rev'!L75),ISNUMBER('Semi Rev'!H75),ABS('Semi Rev'!L75-'Semi Rev'!H75)&gt;=1),('Semi OpInc'!L75-'Semi OpInc'!H75)/('Semi Rev'!L75-'Semi Rev'!H75),""),"")</f>
        <v/>
      </c>
      <c r="I1212" s="37">
        <f>IFERROR(IF(AND(ISNUMBER('Semi OpInc'!M75),ISNUMBER('Semi OpInc'!I75),ISNUMBER('Semi Rev'!M75),ISNUMBER('Semi Rev'!I75),ABS('Semi Rev'!M75-'Semi Rev'!I75)&gt;=1),('Semi OpInc'!M75-'Semi OpInc'!I75)/('Semi Rev'!M75-'Semi Rev'!I75),""),"")</f>
        <v/>
      </c>
      <c r="J1212" s="37">
        <f>IFERROR(IF(AND(ISNUMBER('Semi OpInc'!N75),ISNUMBER('Semi OpInc'!J75),ISNUMBER('Semi Rev'!N75),ISNUMBER('Semi Rev'!J75),ABS('Semi Rev'!N75-'Semi Rev'!J75)&gt;=1),('Semi OpInc'!N75-'Semi OpInc'!J75)/('Semi Rev'!N75-'Semi Rev'!J75),""),"")</f>
        <v/>
      </c>
      <c r="K1212" s="37">
        <f>IFERROR(IF(AND(ISNUMBER('Semi OpInc'!O75),ISNUMBER('Semi OpInc'!K75),ISNUMBER('Semi Rev'!O75),ISNUMBER('Semi Rev'!K75),ABS('Semi Rev'!O75-'Semi Rev'!K75)&gt;=1),('Semi OpInc'!O75-'Semi OpInc'!K75)/('Semi Rev'!O75-'Semi Rev'!K75),""),"")</f>
        <v/>
      </c>
      <c r="L1212" s="37">
        <f>IFERROR(IF(AND(ISNUMBER('Semi OpInc'!P75),ISNUMBER('Semi OpInc'!L75),ISNUMBER('Semi Rev'!P75),ISNUMBER('Semi Rev'!L75),ABS('Semi Rev'!P75-'Semi Rev'!L75)&gt;=1),('Semi OpInc'!P75-'Semi OpInc'!L75)/('Semi Rev'!P75-'Semi Rev'!L75),""),"")</f>
        <v/>
      </c>
      <c r="M1212" s="38">
        <f>IFERROR(IF(AND(ISNUMBER('Semi OpInc'!Q75),ISNUMBER('Semi OpInc'!M75),ISNUMBER('Semi Rev'!Q75),ISNUMBER('Semi Rev'!M75),ABS('Semi Rev'!Q75-'Semi Rev'!M75)&gt;=1),('Semi OpInc'!Q75-'Semi OpInc'!M75)/('Semi Rev'!Q75-'Semi Rev'!M75),""),"")</f>
        <v/>
      </c>
      <c r="N1212" s="38">
        <f>IFERROR(IF(AND(ISNUMBER('Semi OpInc'!R75),ISNUMBER('Semi OpInc'!N75),ISNUMBER('Semi Rev'!R75),ISNUMBER('Semi Rev'!N75),ABS('Semi Rev'!R75-'Semi Rev'!N75)&gt;=1),('Semi OpInc'!R75-'Semi OpInc'!N75)/('Semi Rev'!R75-'Semi Rev'!N75),""),"")</f>
        <v/>
      </c>
    </row>
    <row r="1213">
      <c r="A1213" s="19">
        <f>'Semi Rev'!$A76</f>
        <v/>
      </c>
      <c r="B1213" s="19">
        <f>'Semi Rev'!$B76</f>
        <v/>
      </c>
      <c r="C1213" s="37">
        <f>IFERROR(IF(AND(ISNUMBER('Semi OpInc'!G76),ISNUMBER('Semi OpInc'!C76),ISNUMBER('Semi Rev'!G76),ISNUMBER('Semi Rev'!C76),ABS('Semi Rev'!G76-'Semi Rev'!C76)&gt;=1),('Semi OpInc'!G76-'Semi OpInc'!C76)/('Semi Rev'!G76-'Semi Rev'!C76),""),"")</f>
        <v/>
      </c>
      <c r="D1213" s="37">
        <f>IFERROR(IF(AND(ISNUMBER('Semi OpInc'!H76),ISNUMBER('Semi OpInc'!D76),ISNUMBER('Semi Rev'!H76),ISNUMBER('Semi Rev'!D76),ABS('Semi Rev'!H76-'Semi Rev'!D76)&gt;=1),('Semi OpInc'!H76-'Semi OpInc'!D76)/('Semi Rev'!H76-'Semi Rev'!D76),""),"")</f>
        <v/>
      </c>
      <c r="E1213" s="37">
        <f>IFERROR(IF(AND(ISNUMBER('Semi OpInc'!I76),ISNUMBER('Semi OpInc'!E76),ISNUMBER('Semi Rev'!I76),ISNUMBER('Semi Rev'!E76),ABS('Semi Rev'!I76-'Semi Rev'!E76)&gt;=1),('Semi OpInc'!I76-'Semi OpInc'!E76)/('Semi Rev'!I76-'Semi Rev'!E76),""),"")</f>
        <v/>
      </c>
      <c r="F1213" s="37">
        <f>IFERROR(IF(AND(ISNUMBER('Semi OpInc'!J76),ISNUMBER('Semi OpInc'!F76),ISNUMBER('Semi Rev'!J76),ISNUMBER('Semi Rev'!F76),ABS('Semi Rev'!J76-'Semi Rev'!F76)&gt;=1),('Semi OpInc'!J76-'Semi OpInc'!F76)/('Semi Rev'!J76-'Semi Rev'!F76),""),"")</f>
        <v/>
      </c>
      <c r="G1213" s="37">
        <f>IFERROR(IF(AND(ISNUMBER('Semi OpInc'!K76),ISNUMBER('Semi OpInc'!G76),ISNUMBER('Semi Rev'!K76),ISNUMBER('Semi Rev'!G76),ABS('Semi Rev'!K76-'Semi Rev'!G76)&gt;=1),('Semi OpInc'!K76-'Semi OpInc'!G76)/('Semi Rev'!K76-'Semi Rev'!G76),""),"")</f>
        <v/>
      </c>
      <c r="H1213" s="37">
        <f>IFERROR(IF(AND(ISNUMBER('Semi OpInc'!L76),ISNUMBER('Semi OpInc'!H76),ISNUMBER('Semi Rev'!L76),ISNUMBER('Semi Rev'!H76),ABS('Semi Rev'!L76-'Semi Rev'!H76)&gt;=1),('Semi OpInc'!L76-'Semi OpInc'!H76)/('Semi Rev'!L76-'Semi Rev'!H76),""),"")</f>
        <v/>
      </c>
      <c r="I1213" s="37">
        <f>IFERROR(IF(AND(ISNUMBER('Semi OpInc'!M76),ISNUMBER('Semi OpInc'!I76),ISNUMBER('Semi Rev'!M76),ISNUMBER('Semi Rev'!I76),ABS('Semi Rev'!M76-'Semi Rev'!I76)&gt;=1),('Semi OpInc'!M76-'Semi OpInc'!I76)/('Semi Rev'!M76-'Semi Rev'!I76),""),"")</f>
        <v/>
      </c>
      <c r="J1213" s="37">
        <f>IFERROR(IF(AND(ISNUMBER('Semi OpInc'!N76),ISNUMBER('Semi OpInc'!J76),ISNUMBER('Semi Rev'!N76),ISNUMBER('Semi Rev'!J76),ABS('Semi Rev'!N76-'Semi Rev'!J76)&gt;=1),('Semi OpInc'!N76-'Semi OpInc'!J76)/('Semi Rev'!N76-'Semi Rev'!J76),""),"")</f>
        <v/>
      </c>
      <c r="K1213" s="37">
        <f>IFERROR(IF(AND(ISNUMBER('Semi OpInc'!O76),ISNUMBER('Semi OpInc'!K76),ISNUMBER('Semi Rev'!O76),ISNUMBER('Semi Rev'!K76),ABS('Semi Rev'!O76-'Semi Rev'!K76)&gt;=1),('Semi OpInc'!O76-'Semi OpInc'!K76)/('Semi Rev'!O76-'Semi Rev'!K76),""),"")</f>
        <v/>
      </c>
      <c r="L1213" s="37">
        <f>IFERROR(IF(AND(ISNUMBER('Semi OpInc'!P76),ISNUMBER('Semi OpInc'!L76),ISNUMBER('Semi Rev'!P76),ISNUMBER('Semi Rev'!L76),ABS('Semi Rev'!P76-'Semi Rev'!L76)&gt;=1),('Semi OpInc'!P76-'Semi OpInc'!L76)/('Semi Rev'!P76-'Semi Rev'!L76),""),"")</f>
        <v/>
      </c>
      <c r="M1213" s="38">
        <f>IFERROR(IF(AND(ISNUMBER('Semi OpInc'!Q76),ISNUMBER('Semi OpInc'!M76),ISNUMBER('Semi Rev'!Q76),ISNUMBER('Semi Rev'!M76),ABS('Semi Rev'!Q76-'Semi Rev'!M76)&gt;=1),('Semi OpInc'!Q76-'Semi OpInc'!M76)/('Semi Rev'!Q76-'Semi Rev'!M76),""),"")</f>
        <v/>
      </c>
      <c r="N1213" s="38">
        <f>IFERROR(IF(AND(ISNUMBER('Semi OpInc'!R76),ISNUMBER('Semi OpInc'!N76),ISNUMBER('Semi Rev'!R76),ISNUMBER('Semi Rev'!N76),ABS('Semi Rev'!R76-'Semi Rev'!N76)&gt;=1),('Semi OpInc'!R76-'Semi OpInc'!N76)/('Semi Rev'!R76-'Semi Rev'!N76),""),"")</f>
        <v/>
      </c>
    </row>
    <row r="1214">
      <c r="A1214" s="19">
        <f>'Semi Rev'!$A77</f>
        <v/>
      </c>
      <c r="B1214" s="19">
        <f>'Semi Rev'!$B77</f>
        <v/>
      </c>
      <c r="C1214" s="37">
        <f>IFERROR(IF(AND(ISNUMBER('Semi OpInc'!G77),ISNUMBER('Semi OpInc'!C77),ISNUMBER('Semi Rev'!G77),ISNUMBER('Semi Rev'!C77),ABS('Semi Rev'!G77-'Semi Rev'!C77)&gt;=1),('Semi OpInc'!G77-'Semi OpInc'!C77)/('Semi Rev'!G77-'Semi Rev'!C77),""),"")</f>
        <v/>
      </c>
      <c r="D1214" s="37">
        <f>IFERROR(IF(AND(ISNUMBER('Semi OpInc'!H77),ISNUMBER('Semi OpInc'!D77),ISNUMBER('Semi Rev'!H77),ISNUMBER('Semi Rev'!D77),ABS('Semi Rev'!H77-'Semi Rev'!D77)&gt;=1),('Semi OpInc'!H77-'Semi OpInc'!D77)/('Semi Rev'!H77-'Semi Rev'!D77),""),"")</f>
        <v/>
      </c>
      <c r="E1214" s="37">
        <f>IFERROR(IF(AND(ISNUMBER('Semi OpInc'!I77),ISNUMBER('Semi OpInc'!E77),ISNUMBER('Semi Rev'!I77),ISNUMBER('Semi Rev'!E77),ABS('Semi Rev'!I77-'Semi Rev'!E77)&gt;=1),('Semi OpInc'!I77-'Semi OpInc'!E77)/('Semi Rev'!I77-'Semi Rev'!E77),""),"")</f>
        <v/>
      </c>
      <c r="F1214" s="37">
        <f>IFERROR(IF(AND(ISNUMBER('Semi OpInc'!J77),ISNUMBER('Semi OpInc'!F77),ISNUMBER('Semi Rev'!J77),ISNUMBER('Semi Rev'!F77),ABS('Semi Rev'!J77-'Semi Rev'!F77)&gt;=1),('Semi OpInc'!J77-'Semi OpInc'!F77)/('Semi Rev'!J77-'Semi Rev'!F77),""),"")</f>
        <v/>
      </c>
      <c r="G1214" s="37">
        <f>IFERROR(IF(AND(ISNUMBER('Semi OpInc'!K77),ISNUMBER('Semi OpInc'!G77),ISNUMBER('Semi Rev'!K77),ISNUMBER('Semi Rev'!G77),ABS('Semi Rev'!K77-'Semi Rev'!G77)&gt;=1),('Semi OpInc'!K77-'Semi OpInc'!G77)/('Semi Rev'!K77-'Semi Rev'!G77),""),"")</f>
        <v/>
      </c>
      <c r="H1214" s="37">
        <f>IFERROR(IF(AND(ISNUMBER('Semi OpInc'!L77),ISNUMBER('Semi OpInc'!H77),ISNUMBER('Semi Rev'!L77),ISNUMBER('Semi Rev'!H77),ABS('Semi Rev'!L77-'Semi Rev'!H77)&gt;=1),('Semi OpInc'!L77-'Semi OpInc'!H77)/('Semi Rev'!L77-'Semi Rev'!H77),""),"")</f>
        <v/>
      </c>
      <c r="I1214" s="37">
        <f>IFERROR(IF(AND(ISNUMBER('Semi OpInc'!M77),ISNUMBER('Semi OpInc'!I77),ISNUMBER('Semi Rev'!M77),ISNUMBER('Semi Rev'!I77),ABS('Semi Rev'!M77-'Semi Rev'!I77)&gt;=1),('Semi OpInc'!M77-'Semi OpInc'!I77)/('Semi Rev'!M77-'Semi Rev'!I77),""),"")</f>
        <v/>
      </c>
      <c r="J1214" s="37">
        <f>IFERROR(IF(AND(ISNUMBER('Semi OpInc'!N77),ISNUMBER('Semi OpInc'!J77),ISNUMBER('Semi Rev'!N77),ISNUMBER('Semi Rev'!J77),ABS('Semi Rev'!N77-'Semi Rev'!J77)&gt;=1),('Semi OpInc'!N77-'Semi OpInc'!J77)/('Semi Rev'!N77-'Semi Rev'!J77),""),"")</f>
        <v/>
      </c>
      <c r="K1214" s="37">
        <f>IFERROR(IF(AND(ISNUMBER('Semi OpInc'!O77),ISNUMBER('Semi OpInc'!K77),ISNUMBER('Semi Rev'!O77),ISNUMBER('Semi Rev'!K77),ABS('Semi Rev'!O77-'Semi Rev'!K77)&gt;=1),('Semi OpInc'!O77-'Semi OpInc'!K77)/('Semi Rev'!O77-'Semi Rev'!K77),""),"")</f>
        <v/>
      </c>
      <c r="L1214" s="37">
        <f>IFERROR(IF(AND(ISNUMBER('Semi OpInc'!P77),ISNUMBER('Semi OpInc'!L77),ISNUMBER('Semi Rev'!P77),ISNUMBER('Semi Rev'!L77),ABS('Semi Rev'!P77-'Semi Rev'!L77)&gt;=1),('Semi OpInc'!P77-'Semi OpInc'!L77)/('Semi Rev'!P77-'Semi Rev'!L77),""),"")</f>
        <v/>
      </c>
      <c r="M1214" s="38">
        <f>IFERROR(IF(AND(ISNUMBER('Semi OpInc'!Q77),ISNUMBER('Semi OpInc'!M77),ISNUMBER('Semi Rev'!Q77),ISNUMBER('Semi Rev'!M77),ABS('Semi Rev'!Q77-'Semi Rev'!M77)&gt;=1),('Semi OpInc'!Q77-'Semi OpInc'!M77)/('Semi Rev'!Q77-'Semi Rev'!M77),""),"")</f>
        <v/>
      </c>
      <c r="N1214" s="38">
        <f>IFERROR(IF(AND(ISNUMBER('Semi OpInc'!R77),ISNUMBER('Semi OpInc'!N77),ISNUMBER('Semi Rev'!R77),ISNUMBER('Semi Rev'!N77),ABS('Semi Rev'!R77-'Semi Rev'!N77)&gt;=1),('Semi OpInc'!R77-'Semi OpInc'!N77)/('Semi Rev'!R77-'Semi Rev'!N77),""),"")</f>
        <v/>
      </c>
    </row>
    <row r="1215">
      <c r="A1215" s="19">
        <f>'Semi Rev'!$A78</f>
        <v/>
      </c>
      <c r="B1215" s="19">
        <f>'Semi Rev'!$B78</f>
        <v/>
      </c>
      <c r="C1215" s="37">
        <f>IFERROR(IF(AND(ISNUMBER('Semi OpInc'!G78),ISNUMBER('Semi OpInc'!C78),ISNUMBER('Semi Rev'!G78),ISNUMBER('Semi Rev'!C78),ABS('Semi Rev'!G78-'Semi Rev'!C78)&gt;=1),('Semi OpInc'!G78-'Semi OpInc'!C78)/('Semi Rev'!G78-'Semi Rev'!C78),""),"")</f>
        <v/>
      </c>
      <c r="D1215" s="37">
        <f>IFERROR(IF(AND(ISNUMBER('Semi OpInc'!H78),ISNUMBER('Semi OpInc'!D78),ISNUMBER('Semi Rev'!H78),ISNUMBER('Semi Rev'!D78),ABS('Semi Rev'!H78-'Semi Rev'!D78)&gt;=1),('Semi OpInc'!H78-'Semi OpInc'!D78)/('Semi Rev'!H78-'Semi Rev'!D78),""),"")</f>
        <v/>
      </c>
      <c r="E1215" s="37">
        <f>IFERROR(IF(AND(ISNUMBER('Semi OpInc'!I78),ISNUMBER('Semi OpInc'!E78),ISNUMBER('Semi Rev'!I78),ISNUMBER('Semi Rev'!E78),ABS('Semi Rev'!I78-'Semi Rev'!E78)&gt;=1),('Semi OpInc'!I78-'Semi OpInc'!E78)/('Semi Rev'!I78-'Semi Rev'!E78),""),"")</f>
        <v/>
      </c>
      <c r="F1215" s="37">
        <f>IFERROR(IF(AND(ISNUMBER('Semi OpInc'!J78),ISNUMBER('Semi OpInc'!F78),ISNUMBER('Semi Rev'!J78),ISNUMBER('Semi Rev'!F78),ABS('Semi Rev'!J78-'Semi Rev'!F78)&gt;=1),('Semi OpInc'!J78-'Semi OpInc'!F78)/('Semi Rev'!J78-'Semi Rev'!F78),""),"")</f>
        <v/>
      </c>
      <c r="G1215" s="37">
        <f>IFERROR(IF(AND(ISNUMBER('Semi OpInc'!K78),ISNUMBER('Semi OpInc'!G78),ISNUMBER('Semi Rev'!K78),ISNUMBER('Semi Rev'!G78),ABS('Semi Rev'!K78-'Semi Rev'!G78)&gt;=1),('Semi OpInc'!K78-'Semi OpInc'!G78)/('Semi Rev'!K78-'Semi Rev'!G78),""),"")</f>
        <v/>
      </c>
      <c r="H1215" s="37">
        <f>IFERROR(IF(AND(ISNUMBER('Semi OpInc'!L78),ISNUMBER('Semi OpInc'!H78),ISNUMBER('Semi Rev'!L78),ISNUMBER('Semi Rev'!H78),ABS('Semi Rev'!L78-'Semi Rev'!H78)&gt;=1),('Semi OpInc'!L78-'Semi OpInc'!H78)/('Semi Rev'!L78-'Semi Rev'!H78),""),"")</f>
        <v/>
      </c>
      <c r="I1215" s="37">
        <f>IFERROR(IF(AND(ISNUMBER('Semi OpInc'!M78),ISNUMBER('Semi OpInc'!I78),ISNUMBER('Semi Rev'!M78),ISNUMBER('Semi Rev'!I78),ABS('Semi Rev'!M78-'Semi Rev'!I78)&gt;=1),('Semi OpInc'!M78-'Semi OpInc'!I78)/('Semi Rev'!M78-'Semi Rev'!I78),""),"")</f>
        <v/>
      </c>
      <c r="J1215" s="37">
        <f>IFERROR(IF(AND(ISNUMBER('Semi OpInc'!N78),ISNUMBER('Semi OpInc'!J78),ISNUMBER('Semi Rev'!N78),ISNUMBER('Semi Rev'!J78),ABS('Semi Rev'!N78-'Semi Rev'!J78)&gt;=1),('Semi OpInc'!N78-'Semi OpInc'!J78)/('Semi Rev'!N78-'Semi Rev'!J78),""),"")</f>
        <v/>
      </c>
      <c r="K1215" s="37">
        <f>IFERROR(IF(AND(ISNUMBER('Semi OpInc'!O78),ISNUMBER('Semi OpInc'!K78),ISNUMBER('Semi Rev'!O78),ISNUMBER('Semi Rev'!K78),ABS('Semi Rev'!O78-'Semi Rev'!K78)&gt;=1),('Semi OpInc'!O78-'Semi OpInc'!K78)/('Semi Rev'!O78-'Semi Rev'!K78),""),"")</f>
        <v/>
      </c>
      <c r="L1215" s="37">
        <f>IFERROR(IF(AND(ISNUMBER('Semi OpInc'!P78),ISNUMBER('Semi OpInc'!L78),ISNUMBER('Semi Rev'!P78),ISNUMBER('Semi Rev'!L78),ABS('Semi Rev'!P78-'Semi Rev'!L78)&gt;=1),('Semi OpInc'!P78-'Semi OpInc'!L78)/('Semi Rev'!P78-'Semi Rev'!L78),""),"")</f>
        <v/>
      </c>
      <c r="M1215" s="38">
        <f>IFERROR(IF(AND(ISNUMBER('Semi OpInc'!Q78),ISNUMBER('Semi OpInc'!M78),ISNUMBER('Semi Rev'!Q78),ISNUMBER('Semi Rev'!M78),ABS('Semi Rev'!Q78-'Semi Rev'!M78)&gt;=1),('Semi OpInc'!Q78-'Semi OpInc'!M78)/('Semi Rev'!Q78-'Semi Rev'!M78),""),"")</f>
        <v/>
      </c>
      <c r="N1215" s="38">
        <f>IFERROR(IF(AND(ISNUMBER('Semi OpInc'!R78),ISNUMBER('Semi OpInc'!N78),ISNUMBER('Semi Rev'!R78),ISNUMBER('Semi Rev'!N78),ABS('Semi Rev'!R78-'Semi Rev'!N78)&gt;=1),('Semi OpInc'!R78-'Semi OpInc'!N78)/('Semi Rev'!R78-'Semi Rev'!N78),""),"")</f>
        <v/>
      </c>
    </row>
    <row r="1216">
      <c r="A1216" s="19">
        <f>'Semi Rev'!$A79</f>
        <v/>
      </c>
      <c r="B1216" s="19">
        <f>'Semi Rev'!$B79</f>
        <v/>
      </c>
      <c r="C1216" s="37">
        <f>IFERROR(IF(AND(ISNUMBER('Semi OpInc'!G79),ISNUMBER('Semi OpInc'!C79),ISNUMBER('Semi Rev'!G79),ISNUMBER('Semi Rev'!C79),ABS('Semi Rev'!G79-'Semi Rev'!C79)&gt;=1),('Semi OpInc'!G79-'Semi OpInc'!C79)/('Semi Rev'!G79-'Semi Rev'!C79),""),"")</f>
        <v/>
      </c>
      <c r="D1216" s="37">
        <f>IFERROR(IF(AND(ISNUMBER('Semi OpInc'!H79),ISNUMBER('Semi OpInc'!D79),ISNUMBER('Semi Rev'!H79),ISNUMBER('Semi Rev'!D79),ABS('Semi Rev'!H79-'Semi Rev'!D79)&gt;=1),('Semi OpInc'!H79-'Semi OpInc'!D79)/('Semi Rev'!H79-'Semi Rev'!D79),""),"")</f>
        <v/>
      </c>
      <c r="E1216" s="37">
        <f>IFERROR(IF(AND(ISNUMBER('Semi OpInc'!I79),ISNUMBER('Semi OpInc'!E79),ISNUMBER('Semi Rev'!I79),ISNUMBER('Semi Rev'!E79),ABS('Semi Rev'!I79-'Semi Rev'!E79)&gt;=1),('Semi OpInc'!I79-'Semi OpInc'!E79)/('Semi Rev'!I79-'Semi Rev'!E79),""),"")</f>
        <v/>
      </c>
      <c r="F1216" s="37">
        <f>IFERROR(IF(AND(ISNUMBER('Semi OpInc'!J79),ISNUMBER('Semi OpInc'!F79),ISNUMBER('Semi Rev'!J79),ISNUMBER('Semi Rev'!F79),ABS('Semi Rev'!J79-'Semi Rev'!F79)&gt;=1),('Semi OpInc'!J79-'Semi OpInc'!F79)/('Semi Rev'!J79-'Semi Rev'!F79),""),"")</f>
        <v/>
      </c>
      <c r="G1216" s="37">
        <f>IFERROR(IF(AND(ISNUMBER('Semi OpInc'!K79),ISNUMBER('Semi OpInc'!G79),ISNUMBER('Semi Rev'!K79),ISNUMBER('Semi Rev'!G79),ABS('Semi Rev'!K79-'Semi Rev'!G79)&gt;=1),('Semi OpInc'!K79-'Semi OpInc'!G79)/('Semi Rev'!K79-'Semi Rev'!G79),""),"")</f>
        <v/>
      </c>
      <c r="H1216" s="37">
        <f>IFERROR(IF(AND(ISNUMBER('Semi OpInc'!L79),ISNUMBER('Semi OpInc'!H79),ISNUMBER('Semi Rev'!L79),ISNUMBER('Semi Rev'!H79),ABS('Semi Rev'!L79-'Semi Rev'!H79)&gt;=1),('Semi OpInc'!L79-'Semi OpInc'!H79)/('Semi Rev'!L79-'Semi Rev'!H79),""),"")</f>
        <v/>
      </c>
      <c r="I1216" s="37">
        <f>IFERROR(IF(AND(ISNUMBER('Semi OpInc'!M79),ISNUMBER('Semi OpInc'!I79),ISNUMBER('Semi Rev'!M79),ISNUMBER('Semi Rev'!I79),ABS('Semi Rev'!M79-'Semi Rev'!I79)&gt;=1),('Semi OpInc'!M79-'Semi OpInc'!I79)/('Semi Rev'!M79-'Semi Rev'!I79),""),"")</f>
        <v/>
      </c>
      <c r="J1216" s="37">
        <f>IFERROR(IF(AND(ISNUMBER('Semi OpInc'!N79),ISNUMBER('Semi OpInc'!J79),ISNUMBER('Semi Rev'!N79),ISNUMBER('Semi Rev'!J79),ABS('Semi Rev'!N79-'Semi Rev'!J79)&gt;=1),('Semi OpInc'!N79-'Semi OpInc'!J79)/('Semi Rev'!N79-'Semi Rev'!J79),""),"")</f>
        <v/>
      </c>
      <c r="K1216" s="37">
        <f>IFERROR(IF(AND(ISNUMBER('Semi OpInc'!O79),ISNUMBER('Semi OpInc'!K79),ISNUMBER('Semi Rev'!O79),ISNUMBER('Semi Rev'!K79),ABS('Semi Rev'!O79-'Semi Rev'!K79)&gt;=1),('Semi OpInc'!O79-'Semi OpInc'!K79)/('Semi Rev'!O79-'Semi Rev'!K79),""),"")</f>
        <v/>
      </c>
      <c r="L1216" s="37">
        <f>IFERROR(IF(AND(ISNUMBER('Semi OpInc'!P79),ISNUMBER('Semi OpInc'!L79),ISNUMBER('Semi Rev'!P79),ISNUMBER('Semi Rev'!L79),ABS('Semi Rev'!P79-'Semi Rev'!L79)&gt;=1),('Semi OpInc'!P79-'Semi OpInc'!L79)/('Semi Rev'!P79-'Semi Rev'!L79),""),"")</f>
        <v/>
      </c>
      <c r="M1216" s="38">
        <f>IFERROR(IF(AND(ISNUMBER('Semi OpInc'!Q79),ISNUMBER('Semi OpInc'!M79),ISNUMBER('Semi Rev'!Q79),ISNUMBER('Semi Rev'!M79),ABS('Semi Rev'!Q79-'Semi Rev'!M79)&gt;=1),('Semi OpInc'!Q79-'Semi OpInc'!M79)/('Semi Rev'!Q79-'Semi Rev'!M79),""),"")</f>
        <v/>
      </c>
      <c r="N1216" s="38">
        <f>IFERROR(IF(AND(ISNUMBER('Semi OpInc'!R79),ISNUMBER('Semi OpInc'!N79),ISNUMBER('Semi Rev'!R79),ISNUMBER('Semi Rev'!N79),ABS('Semi Rev'!R79-'Semi Rev'!N79)&gt;=1),('Semi OpInc'!R79-'Semi OpInc'!N79)/('Semi Rev'!R79-'Semi Rev'!N79),""),"")</f>
        <v/>
      </c>
    </row>
    <row r="1217">
      <c r="A1217" s="19">
        <f>'Semi Rev'!$A80</f>
        <v/>
      </c>
      <c r="B1217" s="19">
        <f>'Semi Rev'!$B80</f>
        <v/>
      </c>
      <c r="C1217" s="37">
        <f>IFERROR(IF(AND(ISNUMBER('Semi OpInc'!G80),ISNUMBER('Semi OpInc'!C80),ISNUMBER('Semi Rev'!G80),ISNUMBER('Semi Rev'!C80),ABS('Semi Rev'!G80-'Semi Rev'!C80)&gt;=1),('Semi OpInc'!G80-'Semi OpInc'!C80)/('Semi Rev'!G80-'Semi Rev'!C80),""),"")</f>
        <v/>
      </c>
      <c r="D1217" s="37">
        <f>IFERROR(IF(AND(ISNUMBER('Semi OpInc'!H80),ISNUMBER('Semi OpInc'!D80),ISNUMBER('Semi Rev'!H80),ISNUMBER('Semi Rev'!D80),ABS('Semi Rev'!H80-'Semi Rev'!D80)&gt;=1),('Semi OpInc'!H80-'Semi OpInc'!D80)/('Semi Rev'!H80-'Semi Rev'!D80),""),"")</f>
        <v/>
      </c>
      <c r="E1217" s="37">
        <f>IFERROR(IF(AND(ISNUMBER('Semi OpInc'!I80),ISNUMBER('Semi OpInc'!E80),ISNUMBER('Semi Rev'!I80),ISNUMBER('Semi Rev'!E80),ABS('Semi Rev'!I80-'Semi Rev'!E80)&gt;=1),('Semi OpInc'!I80-'Semi OpInc'!E80)/('Semi Rev'!I80-'Semi Rev'!E80),""),"")</f>
        <v/>
      </c>
      <c r="F1217" s="37">
        <f>IFERROR(IF(AND(ISNUMBER('Semi OpInc'!J80),ISNUMBER('Semi OpInc'!F80),ISNUMBER('Semi Rev'!J80),ISNUMBER('Semi Rev'!F80),ABS('Semi Rev'!J80-'Semi Rev'!F80)&gt;=1),('Semi OpInc'!J80-'Semi OpInc'!F80)/('Semi Rev'!J80-'Semi Rev'!F80),""),"")</f>
        <v/>
      </c>
      <c r="G1217" s="37">
        <f>IFERROR(IF(AND(ISNUMBER('Semi OpInc'!K80),ISNUMBER('Semi OpInc'!G80),ISNUMBER('Semi Rev'!K80),ISNUMBER('Semi Rev'!G80),ABS('Semi Rev'!K80-'Semi Rev'!G80)&gt;=1),('Semi OpInc'!K80-'Semi OpInc'!G80)/('Semi Rev'!K80-'Semi Rev'!G80),""),"")</f>
        <v/>
      </c>
      <c r="H1217" s="37">
        <f>IFERROR(IF(AND(ISNUMBER('Semi OpInc'!L80),ISNUMBER('Semi OpInc'!H80),ISNUMBER('Semi Rev'!L80),ISNUMBER('Semi Rev'!H80),ABS('Semi Rev'!L80-'Semi Rev'!H80)&gt;=1),('Semi OpInc'!L80-'Semi OpInc'!H80)/('Semi Rev'!L80-'Semi Rev'!H80),""),"")</f>
        <v/>
      </c>
      <c r="I1217" s="37">
        <f>IFERROR(IF(AND(ISNUMBER('Semi OpInc'!M80),ISNUMBER('Semi OpInc'!I80),ISNUMBER('Semi Rev'!M80),ISNUMBER('Semi Rev'!I80),ABS('Semi Rev'!M80-'Semi Rev'!I80)&gt;=1),('Semi OpInc'!M80-'Semi OpInc'!I80)/('Semi Rev'!M80-'Semi Rev'!I80),""),"")</f>
        <v/>
      </c>
      <c r="J1217" s="37">
        <f>IFERROR(IF(AND(ISNUMBER('Semi OpInc'!N80),ISNUMBER('Semi OpInc'!J80),ISNUMBER('Semi Rev'!N80),ISNUMBER('Semi Rev'!J80),ABS('Semi Rev'!N80-'Semi Rev'!J80)&gt;=1),('Semi OpInc'!N80-'Semi OpInc'!J80)/('Semi Rev'!N80-'Semi Rev'!J80),""),"")</f>
        <v/>
      </c>
      <c r="K1217" s="37">
        <f>IFERROR(IF(AND(ISNUMBER('Semi OpInc'!O80),ISNUMBER('Semi OpInc'!K80),ISNUMBER('Semi Rev'!O80),ISNUMBER('Semi Rev'!K80),ABS('Semi Rev'!O80-'Semi Rev'!K80)&gt;=1),('Semi OpInc'!O80-'Semi OpInc'!K80)/('Semi Rev'!O80-'Semi Rev'!K80),""),"")</f>
        <v/>
      </c>
      <c r="L1217" s="37">
        <f>IFERROR(IF(AND(ISNUMBER('Semi OpInc'!P80),ISNUMBER('Semi OpInc'!L80),ISNUMBER('Semi Rev'!P80),ISNUMBER('Semi Rev'!L80),ABS('Semi Rev'!P80-'Semi Rev'!L80)&gt;=1),('Semi OpInc'!P80-'Semi OpInc'!L80)/('Semi Rev'!P80-'Semi Rev'!L80),""),"")</f>
        <v/>
      </c>
      <c r="M1217" s="38">
        <f>IFERROR(IF(AND(ISNUMBER('Semi OpInc'!Q80),ISNUMBER('Semi OpInc'!M80),ISNUMBER('Semi Rev'!Q80),ISNUMBER('Semi Rev'!M80),ABS('Semi Rev'!Q80-'Semi Rev'!M80)&gt;=1),('Semi OpInc'!Q80-'Semi OpInc'!M80)/('Semi Rev'!Q80-'Semi Rev'!M80),""),"")</f>
        <v/>
      </c>
      <c r="N1217" s="38">
        <f>IFERROR(IF(AND(ISNUMBER('Semi OpInc'!R80),ISNUMBER('Semi OpInc'!N80),ISNUMBER('Semi Rev'!R80),ISNUMBER('Semi Rev'!N80),ABS('Semi Rev'!R80-'Semi Rev'!N80)&gt;=1),('Semi OpInc'!R80-'Semi OpInc'!N80)/('Semi Rev'!R80-'Semi Rev'!N80),""),"")</f>
        <v/>
      </c>
    </row>
    <row r="1218">
      <c r="A1218" s="19">
        <f>'Semi Rev'!$A81</f>
        <v/>
      </c>
      <c r="B1218" s="19">
        <f>'Semi Rev'!$B81</f>
        <v/>
      </c>
      <c r="C1218" s="37">
        <f>IFERROR(IF(AND(ISNUMBER('Semi OpInc'!G81),ISNUMBER('Semi OpInc'!C81),ISNUMBER('Semi Rev'!G81),ISNUMBER('Semi Rev'!C81),ABS('Semi Rev'!G81-'Semi Rev'!C81)&gt;=1),('Semi OpInc'!G81-'Semi OpInc'!C81)/('Semi Rev'!G81-'Semi Rev'!C81),""),"")</f>
        <v/>
      </c>
      <c r="D1218" s="37">
        <f>IFERROR(IF(AND(ISNUMBER('Semi OpInc'!H81),ISNUMBER('Semi OpInc'!D81),ISNUMBER('Semi Rev'!H81),ISNUMBER('Semi Rev'!D81),ABS('Semi Rev'!H81-'Semi Rev'!D81)&gt;=1),('Semi OpInc'!H81-'Semi OpInc'!D81)/('Semi Rev'!H81-'Semi Rev'!D81),""),"")</f>
        <v/>
      </c>
      <c r="E1218" s="37">
        <f>IFERROR(IF(AND(ISNUMBER('Semi OpInc'!I81),ISNUMBER('Semi OpInc'!E81),ISNUMBER('Semi Rev'!I81),ISNUMBER('Semi Rev'!E81),ABS('Semi Rev'!I81-'Semi Rev'!E81)&gt;=1),('Semi OpInc'!I81-'Semi OpInc'!E81)/('Semi Rev'!I81-'Semi Rev'!E81),""),"")</f>
        <v/>
      </c>
      <c r="F1218" s="37">
        <f>IFERROR(IF(AND(ISNUMBER('Semi OpInc'!J81),ISNUMBER('Semi OpInc'!F81),ISNUMBER('Semi Rev'!J81),ISNUMBER('Semi Rev'!F81),ABS('Semi Rev'!J81-'Semi Rev'!F81)&gt;=1),('Semi OpInc'!J81-'Semi OpInc'!F81)/('Semi Rev'!J81-'Semi Rev'!F81),""),"")</f>
        <v/>
      </c>
      <c r="G1218" s="37">
        <f>IFERROR(IF(AND(ISNUMBER('Semi OpInc'!K81),ISNUMBER('Semi OpInc'!G81),ISNUMBER('Semi Rev'!K81),ISNUMBER('Semi Rev'!G81),ABS('Semi Rev'!K81-'Semi Rev'!G81)&gt;=1),('Semi OpInc'!K81-'Semi OpInc'!G81)/('Semi Rev'!K81-'Semi Rev'!G81),""),"")</f>
        <v/>
      </c>
      <c r="H1218" s="37">
        <f>IFERROR(IF(AND(ISNUMBER('Semi OpInc'!L81),ISNUMBER('Semi OpInc'!H81),ISNUMBER('Semi Rev'!L81),ISNUMBER('Semi Rev'!H81),ABS('Semi Rev'!L81-'Semi Rev'!H81)&gt;=1),('Semi OpInc'!L81-'Semi OpInc'!H81)/('Semi Rev'!L81-'Semi Rev'!H81),""),"")</f>
        <v/>
      </c>
      <c r="I1218" s="37">
        <f>IFERROR(IF(AND(ISNUMBER('Semi OpInc'!M81),ISNUMBER('Semi OpInc'!I81),ISNUMBER('Semi Rev'!M81),ISNUMBER('Semi Rev'!I81),ABS('Semi Rev'!M81-'Semi Rev'!I81)&gt;=1),('Semi OpInc'!M81-'Semi OpInc'!I81)/('Semi Rev'!M81-'Semi Rev'!I81),""),"")</f>
        <v/>
      </c>
      <c r="J1218" s="37">
        <f>IFERROR(IF(AND(ISNUMBER('Semi OpInc'!N81),ISNUMBER('Semi OpInc'!J81),ISNUMBER('Semi Rev'!N81),ISNUMBER('Semi Rev'!J81),ABS('Semi Rev'!N81-'Semi Rev'!J81)&gt;=1),('Semi OpInc'!N81-'Semi OpInc'!J81)/('Semi Rev'!N81-'Semi Rev'!J81),""),"")</f>
        <v/>
      </c>
      <c r="K1218" s="37">
        <f>IFERROR(IF(AND(ISNUMBER('Semi OpInc'!O81),ISNUMBER('Semi OpInc'!K81),ISNUMBER('Semi Rev'!O81),ISNUMBER('Semi Rev'!K81),ABS('Semi Rev'!O81-'Semi Rev'!K81)&gt;=1),('Semi OpInc'!O81-'Semi OpInc'!K81)/('Semi Rev'!O81-'Semi Rev'!K81),""),"")</f>
        <v/>
      </c>
      <c r="L1218" s="37">
        <f>IFERROR(IF(AND(ISNUMBER('Semi OpInc'!P81),ISNUMBER('Semi OpInc'!L81),ISNUMBER('Semi Rev'!P81),ISNUMBER('Semi Rev'!L81),ABS('Semi Rev'!P81-'Semi Rev'!L81)&gt;=1),('Semi OpInc'!P81-'Semi OpInc'!L81)/('Semi Rev'!P81-'Semi Rev'!L81),""),"")</f>
        <v/>
      </c>
      <c r="M1218" s="38">
        <f>IFERROR(IF(AND(ISNUMBER('Semi OpInc'!Q81),ISNUMBER('Semi OpInc'!M81),ISNUMBER('Semi Rev'!Q81),ISNUMBER('Semi Rev'!M81),ABS('Semi Rev'!Q81-'Semi Rev'!M81)&gt;=1),('Semi OpInc'!Q81-'Semi OpInc'!M81)/('Semi Rev'!Q81-'Semi Rev'!M81),""),"")</f>
        <v/>
      </c>
      <c r="N1218" s="38">
        <f>IFERROR(IF(AND(ISNUMBER('Semi OpInc'!R81),ISNUMBER('Semi OpInc'!N81),ISNUMBER('Semi Rev'!R81),ISNUMBER('Semi Rev'!N81),ABS('Semi Rev'!R81-'Semi Rev'!N81)&gt;=1),('Semi OpInc'!R81-'Semi OpInc'!N81)/('Semi Rev'!R81-'Semi Rev'!N81),""),"")</f>
        <v/>
      </c>
    </row>
    <row r="1219">
      <c r="A1219" s="19">
        <f>'Semi Rev'!$A82</f>
        <v/>
      </c>
      <c r="B1219" s="19">
        <f>'Semi Rev'!$B82</f>
        <v/>
      </c>
      <c r="C1219" s="37">
        <f>IFERROR(IF(AND(ISNUMBER('Semi OpInc'!G82),ISNUMBER('Semi OpInc'!C82),ISNUMBER('Semi Rev'!G82),ISNUMBER('Semi Rev'!C82),ABS('Semi Rev'!G82-'Semi Rev'!C82)&gt;=1),('Semi OpInc'!G82-'Semi OpInc'!C82)/('Semi Rev'!G82-'Semi Rev'!C82),""),"")</f>
        <v/>
      </c>
      <c r="D1219" s="37">
        <f>IFERROR(IF(AND(ISNUMBER('Semi OpInc'!H82),ISNUMBER('Semi OpInc'!D82),ISNUMBER('Semi Rev'!H82),ISNUMBER('Semi Rev'!D82),ABS('Semi Rev'!H82-'Semi Rev'!D82)&gt;=1),('Semi OpInc'!H82-'Semi OpInc'!D82)/('Semi Rev'!H82-'Semi Rev'!D82),""),"")</f>
        <v/>
      </c>
      <c r="E1219" s="37">
        <f>IFERROR(IF(AND(ISNUMBER('Semi OpInc'!I82),ISNUMBER('Semi OpInc'!E82),ISNUMBER('Semi Rev'!I82),ISNUMBER('Semi Rev'!E82),ABS('Semi Rev'!I82-'Semi Rev'!E82)&gt;=1),('Semi OpInc'!I82-'Semi OpInc'!E82)/('Semi Rev'!I82-'Semi Rev'!E82),""),"")</f>
        <v/>
      </c>
      <c r="F1219" s="37">
        <f>IFERROR(IF(AND(ISNUMBER('Semi OpInc'!J82),ISNUMBER('Semi OpInc'!F82),ISNUMBER('Semi Rev'!J82),ISNUMBER('Semi Rev'!F82),ABS('Semi Rev'!J82-'Semi Rev'!F82)&gt;=1),('Semi OpInc'!J82-'Semi OpInc'!F82)/('Semi Rev'!J82-'Semi Rev'!F82),""),"")</f>
        <v/>
      </c>
      <c r="G1219" s="37">
        <f>IFERROR(IF(AND(ISNUMBER('Semi OpInc'!K82),ISNUMBER('Semi OpInc'!G82),ISNUMBER('Semi Rev'!K82),ISNUMBER('Semi Rev'!G82),ABS('Semi Rev'!K82-'Semi Rev'!G82)&gt;=1),('Semi OpInc'!K82-'Semi OpInc'!G82)/('Semi Rev'!K82-'Semi Rev'!G82),""),"")</f>
        <v/>
      </c>
      <c r="H1219" s="37">
        <f>IFERROR(IF(AND(ISNUMBER('Semi OpInc'!L82),ISNUMBER('Semi OpInc'!H82),ISNUMBER('Semi Rev'!L82),ISNUMBER('Semi Rev'!H82),ABS('Semi Rev'!L82-'Semi Rev'!H82)&gt;=1),('Semi OpInc'!L82-'Semi OpInc'!H82)/('Semi Rev'!L82-'Semi Rev'!H82),""),"")</f>
        <v/>
      </c>
      <c r="I1219" s="37">
        <f>IFERROR(IF(AND(ISNUMBER('Semi OpInc'!M82),ISNUMBER('Semi OpInc'!I82),ISNUMBER('Semi Rev'!M82),ISNUMBER('Semi Rev'!I82),ABS('Semi Rev'!M82-'Semi Rev'!I82)&gt;=1),('Semi OpInc'!M82-'Semi OpInc'!I82)/('Semi Rev'!M82-'Semi Rev'!I82),""),"")</f>
        <v/>
      </c>
      <c r="J1219" s="37">
        <f>IFERROR(IF(AND(ISNUMBER('Semi OpInc'!N82),ISNUMBER('Semi OpInc'!J82),ISNUMBER('Semi Rev'!N82),ISNUMBER('Semi Rev'!J82),ABS('Semi Rev'!N82-'Semi Rev'!J82)&gt;=1),('Semi OpInc'!N82-'Semi OpInc'!J82)/('Semi Rev'!N82-'Semi Rev'!J82),""),"")</f>
        <v/>
      </c>
      <c r="K1219" s="37">
        <f>IFERROR(IF(AND(ISNUMBER('Semi OpInc'!O82),ISNUMBER('Semi OpInc'!K82),ISNUMBER('Semi Rev'!O82),ISNUMBER('Semi Rev'!K82),ABS('Semi Rev'!O82-'Semi Rev'!K82)&gt;=1),('Semi OpInc'!O82-'Semi OpInc'!K82)/('Semi Rev'!O82-'Semi Rev'!K82),""),"")</f>
        <v/>
      </c>
      <c r="L1219" s="37">
        <f>IFERROR(IF(AND(ISNUMBER('Semi OpInc'!P82),ISNUMBER('Semi OpInc'!L82),ISNUMBER('Semi Rev'!P82),ISNUMBER('Semi Rev'!L82),ABS('Semi Rev'!P82-'Semi Rev'!L82)&gt;=1),('Semi OpInc'!P82-'Semi OpInc'!L82)/('Semi Rev'!P82-'Semi Rev'!L82),""),"")</f>
        <v/>
      </c>
      <c r="M1219" s="38">
        <f>IFERROR(IF(AND(ISNUMBER('Semi OpInc'!Q82),ISNUMBER('Semi OpInc'!M82),ISNUMBER('Semi Rev'!Q82),ISNUMBER('Semi Rev'!M82),ABS('Semi Rev'!Q82-'Semi Rev'!M82)&gt;=1),('Semi OpInc'!Q82-'Semi OpInc'!M82)/('Semi Rev'!Q82-'Semi Rev'!M82),""),"")</f>
        <v/>
      </c>
      <c r="N1219" s="38">
        <f>IFERROR(IF(AND(ISNUMBER('Semi OpInc'!R82),ISNUMBER('Semi OpInc'!N82),ISNUMBER('Semi Rev'!R82),ISNUMBER('Semi Rev'!N82),ABS('Semi Rev'!R82-'Semi Rev'!N82)&gt;=1),('Semi OpInc'!R82-'Semi OpInc'!N82)/('Semi Rev'!R82-'Semi Rev'!N82),""),"")</f>
        <v/>
      </c>
    </row>
    <row r="1220">
      <c r="A1220" s="19">
        <f>'Semi Rev'!$A83</f>
        <v/>
      </c>
      <c r="B1220" s="19">
        <f>'Semi Rev'!$B83</f>
        <v/>
      </c>
      <c r="C1220" s="37">
        <f>IFERROR(IF(AND(ISNUMBER('Semi OpInc'!G83),ISNUMBER('Semi OpInc'!C83),ISNUMBER('Semi Rev'!G83),ISNUMBER('Semi Rev'!C83),ABS('Semi Rev'!G83-'Semi Rev'!C83)&gt;=1),('Semi OpInc'!G83-'Semi OpInc'!C83)/('Semi Rev'!G83-'Semi Rev'!C83),""),"")</f>
        <v/>
      </c>
      <c r="D1220" s="37">
        <f>IFERROR(IF(AND(ISNUMBER('Semi OpInc'!H83),ISNUMBER('Semi OpInc'!D83),ISNUMBER('Semi Rev'!H83),ISNUMBER('Semi Rev'!D83),ABS('Semi Rev'!H83-'Semi Rev'!D83)&gt;=1),('Semi OpInc'!H83-'Semi OpInc'!D83)/('Semi Rev'!H83-'Semi Rev'!D83),""),"")</f>
        <v/>
      </c>
      <c r="E1220" s="37">
        <f>IFERROR(IF(AND(ISNUMBER('Semi OpInc'!I83),ISNUMBER('Semi OpInc'!E83),ISNUMBER('Semi Rev'!I83),ISNUMBER('Semi Rev'!E83),ABS('Semi Rev'!I83-'Semi Rev'!E83)&gt;=1),('Semi OpInc'!I83-'Semi OpInc'!E83)/('Semi Rev'!I83-'Semi Rev'!E83),""),"")</f>
        <v/>
      </c>
      <c r="F1220" s="37">
        <f>IFERROR(IF(AND(ISNUMBER('Semi OpInc'!J83),ISNUMBER('Semi OpInc'!F83),ISNUMBER('Semi Rev'!J83),ISNUMBER('Semi Rev'!F83),ABS('Semi Rev'!J83-'Semi Rev'!F83)&gt;=1),('Semi OpInc'!J83-'Semi OpInc'!F83)/('Semi Rev'!J83-'Semi Rev'!F83),""),"")</f>
        <v/>
      </c>
      <c r="G1220" s="37">
        <f>IFERROR(IF(AND(ISNUMBER('Semi OpInc'!K83),ISNUMBER('Semi OpInc'!G83),ISNUMBER('Semi Rev'!K83),ISNUMBER('Semi Rev'!G83),ABS('Semi Rev'!K83-'Semi Rev'!G83)&gt;=1),('Semi OpInc'!K83-'Semi OpInc'!G83)/('Semi Rev'!K83-'Semi Rev'!G83),""),"")</f>
        <v/>
      </c>
      <c r="H1220" s="37">
        <f>IFERROR(IF(AND(ISNUMBER('Semi OpInc'!L83),ISNUMBER('Semi OpInc'!H83),ISNUMBER('Semi Rev'!L83),ISNUMBER('Semi Rev'!H83),ABS('Semi Rev'!L83-'Semi Rev'!H83)&gt;=1),('Semi OpInc'!L83-'Semi OpInc'!H83)/('Semi Rev'!L83-'Semi Rev'!H83),""),"")</f>
        <v/>
      </c>
      <c r="I1220" s="37">
        <f>IFERROR(IF(AND(ISNUMBER('Semi OpInc'!M83),ISNUMBER('Semi OpInc'!I83),ISNUMBER('Semi Rev'!M83),ISNUMBER('Semi Rev'!I83),ABS('Semi Rev'!M83-'Semi Rev'!I83)&gt;=1),('Semi OpInc'!M83-'Semi OpInc'!I83)/('Semi Rev'!M83-'Semi Rev'!I83),""),"")</f>
        <v/>
      </c>
      <c r="J1220" s="37">
        <f>IFERROR(IF(AND(ISNUMBER('Semi OpInc'!N83),ISNUMBER('Semi OpInc'!J83),ISNUMBER('Semi Rev'!N83),ISNUMBER('Semi Rev'!J83),ABS('Semi Rev'!N83-'Semi Rev'!J83)&gt;=1),('Semi OpInc'!N83-'Semi OpInc'!J83)/('Semi Rev'!N83-'Semi Rev'!J83),""),"")</f>
        <v/>
      </c>
      <c r="K1220" s="37">
        <f>IFERROR(IF(AND(ISNUMBER('Semi OpInc'!O83),ISNUMBER('Semi OpInc'!K83),ISNUMBER('Semi Rev'!O83),ISNUMBER('Semi Rev'!K83),ABS('Semi Rev'!O83-'Semi Rev'!K83)&gt;=1),('Semi OpInc'!O83-'Semi OpInc'!K83)/('Semi Rev'!O83-'Semi Rev'!K83),""),"")</f>
        <v/>
      </c>
      <c r="L1220" s="37">
        <f>IFERROR(IF(AND(ISNUMBER('Semi OpInc'!P83),ISNUMBER('Semi OpInc'!L83),ISNUMBER('Semi Rev'!P83),ISNUMBER('Semi Rev'!L83),ABS('Semi Rev'!P83-'Semi Rev'!L83)&gt;=1),('Semi OpInc'!P83-'Semi OpInc'!L83)/('Semi Rev'!P83-'Semi Rev'!L83),""),"")</f>
        <v/>
      </c>
      <c r="M1220" s="38">
        <f>IFERROR(IF(AND(ISNUMBER('Semi OpInc'!Q83),ISNUMBER('Semi OpInc'!M83),ISNUMBER('Semi Rev'!Q83),ISNUMBER('Semi Rev'!M83),ABS('Semi Rev'!Q83-'Semi Rev'!M83)&gt;=1),('Semi OpInc'!Q83-'Semi OpInc'!M83)/('Semi Rev'!Q83-'Semi Rev'!M83),""),"")</f>
        <v/>
      </c>
      <c r="N1220" s="38">
        <f>IFERROR(IF(AND(ISNUMBER('Semi OpInc'!R83),ISNUMBER('Semi OpInc'!N83),ISNUMBER('Semi Rev'!R83),ISNUMBER('Semi Rev'!N83),ABS('Semi Rev'!R83-'Semi Rev'!N83)&gt;=1),('Semi OpInc'!R83-'Semi OpInc'!N83)/('Semi Rev'!R83-'Semi Rev'!N83),""),"")</f>
        <v/>
      </c>
    </row>
    <row r="1221">
      <c r="A1221" s="19">
        <f>'Semi Rev'!$A84</f>
        <v/>
      </c>
      <c r="B1221" s="19">
        <f>'Semi Rev'!$B84</f>
        <v/>
      </c>
      <c r="C1221" s="37">
        <f>IFERROR(IF(AND(ISNUMBER('Semi OpInc'!G84),ISNUMBER('Semi OpInc'!C84),ISNUMBER('Semi Rev'!G84),ISNUMBER('Semi Rev'!C84),ABS('Semi Rev'!G84-'Semi Rev'!C84)&gt;=1),('Semi OpInc'!G84-'Semi OpInc'!C84)/('Semi Rev'!G84-'Semi Rev'!C84),""),"")</f>
        <v/>
      </c>
      <c r="D1221" s="37">
        <f>IFERROR(IF(AND(ISNUMBER('Semi OpInc'!H84),ISNUMBER('Semi OpInc'!D84),ISNUMBER('Semi Rev'!H84),ISNUMBER('Semi Rev'!D84),ABS('Semi Rev'!H84-'Semi Rev'!D84)&gt;=1),('Semi OpInc'!H84-'Semi OpInc'!D84)/('Semi Rev'!H84-'Semi Rev'!D84),""),"")</f>
        <v/>
      </c>
      <c r="E1221" s="37">
        <f>IFERROR(IF(AND(ISNUMBER('Semi OpInc'!I84),ISNUMBER('Semi OpInc'!E84),ISNUMBER('Semi Rev'!I84),ISNUMBER('Semi Rev'!E84),ABS('Semi Rev'!I84-'Semi Rev'!E84)&gt;=1),('Semi OpInc'!I84-'Semi OpInc'!E84)/('Semi Rev'!I84-'Semi Rev'!E84),""),"")</f>
        <v/>
      </c>
      <c r="F1221" s="37">
        <f>IFERROR(IF(AND(ISNUMBER('Semi OpInc'!J84),ISNUMBER('Semi OpInc'!F84),ISNUMBER('Semi Rev'!J84),ISNUMBER('Semi Rev'!F84),ABS('Semi Rev'!J84-'Semi Rev'!F84)&gt;=1),('Semi OpInc'!J84-'Semi OpInc'!F84)/('Semi Rev'!J84-'Semi Rev'!F84),""),"")</f>
        <v/>
      </c>
      <c r="G1221" s="37">
        <f>IFERROR(IF(AND(ISNUMBER('Semi OpInc'!K84),ISNUMBER('Semi OpInc'!G84),ISNUMBER('Semi Rev'!K84),ISNUMBER('Semi Rev'!G84),ABS('Semi Rev'!K84-'Semi Rev'!G84)&gt;=1),('Semi OpInc'!K84-'Semi OpInc'!G84)/('Semi Rev'!K84-'Semi Rev'!G84),""),"")</f>
        <v/>
      </c>
      <c r="H1221" s="37">
        <f>IFERROR(IF(AND(ISNUMBER('Semi OpInc'!L84),ISNUMBER('Semi OpInc'!H84),ISNUMBER('Semi Rev'!L84),ISNUMBER('Semi Rev'!H84),ABS('Semi Rev'!L84-'Semi Rev'!H84)&gt;=1),('Semi OpInc'!L84-'Semi OpInc'!H84)/('Semi Rev'!L84-'Semi Rev'!H84),""),"")</f>
        <v/>
      </c>
      <c r="I1221" s="37">
        <f>IFERROR(IF(AND(ISNUMBER('Semi OpInc'!M84),ISNUMBER('Semi OpInc'!I84),ISNUMBER('Semi Rev'!M84),ISNUMBER('Semi Rev'!I84),ABS('Semi Rev'!M84-'Semi Rev'!I84)&gt;=1),('Semi OpInc'!M84-'Semi OpInc'!I84)/('Semi Rev'!M84-'Semi Rev'!I84),""),"")</f>
        <v/>
      </c>
      <c r="J1221" s="37">
        <f>IFERROR(IF(AND(ISNUMBER('Semi OpInc'!N84),ISNUMBER('Semi OpInc'!J84),ISNUMBER('Semi Rev'!N84),ISNUMBER('Semi Rev'!J84),ABS('Semi Rev'!N84-'Semi Rev'!J84)&gt;=1),('Semi OpInc'!N84-'Semi OpInc'!J84)/('Semi Rev'!N84-'Semi Rev'!J84),""),"")</f>
        <v/>
      </c>
      <c r="K1221" s="37">
        <f>IFERROR(IF(AND(ISNUMBER('Semi OpInc'!O84),ISNUMBER('Semi OpInc'!K84),ISNUMBER('Semi Rev'!O84),ISNUMBER('Semi Rev'!K84),ABS('Semi Rev'!O84-'Semi Rev'!K84)&gt;=1),('Semi OpInc'!O84-'Semi OpInc'!K84)/('Semi Rev'!O84-'Semi Rev'!K84),""),"")</f>
        <v/>
      </c>
      <c r="L1221" s="37">
        <f>IFERROR(IF(AND(ISNUMBER('Semi OpInc'!P84),ISNUMBER('Semi OpInc'!L84),ISNUMBER('Semi Rev'!P84),ISNUMBER('Semi Rev'!L84),ABS('Semi Rev'!P84-'Semi Rev'!L84)&gt;=1),('Semi OpInc'!P84-'Semi OpInc'!L84)/('Semi Rev'!P84-'Semi Rev'!L84),""),"")</f>
        <v/>
      </c>
      <c r="M1221" s="38">
        <f>IFERROR(IF(AND(ISNUMBER('Semi OpInc'!Q84),ISNUMBER('Semi OpInc'!M84),ISNUMBER('Semi Rev'!Q84),ISNUMBER('Semi Rev'!M84),ABS('Semi Rev'!Q84-'Semi Rev'!M84)&gt;=1),('Semi OpInc'!Q84-'Semi OpInc'!M84)/('Semi Rev'!Q84-'Semi Rev'!M84),""),"")</f>
        <v/>
      </c>
      <c r="N1221" s="38">
        <f>IFERROR(IF(AND(ISNUMBER('Semi OpInc'!R84),ISNUMBER('Semi OpInc'!N84),ISNUMBER('Semi Rev'!R84),ISNUMBER('Semi Rev'!N84),ABS('Semi Rev'!R84-'Semi Rev'!N84)&gt;=1),('Semi OpInc'!R84-'Semi OpInc'!N84)/('Semi Rev'!R84-'Semi Rev'!N84),""),"")</f>
        <v/>
      </c>
    </row>
    <row r="1222">
      <c r="A1222" s="19">
        <f>'Semi Rev'!$A85</f>
        <v/>
      </c>
      <c r="B1222" s="19">
        <f>'Semi Rev'!$B85</f>
        <v/>
      </c>
      <c r="C1222" s="37">
        <f>IFERROR(IF(AND(ISNUMBER('Semi OpInc'!G85),ISNUMBER('Semi OpInc'!C85),ISNUMBER('Semi Rev'!G85),ISNUMBER('Semi Rev'!C85),ABS('Semi Rev'!G85-'Semi Rev'!C85)&gt;=1),('Semi OpInc'!G85-'Semi OpInc'!C85)/('Semi Rev'!G85-'Semi Rev'!C85),""),"")</f>
        <v/>
      </c>
      <c r="D1222" s="37">
        <f>IFERROR(IF(AND(ISNUMBER('Semi OpInc'!H85),ISNUMBER('Semi OpInc'!D85),ISNUMBER('Semi Rev'!H85),ISNUMBER('Semi Rev'!D85),ABS('Semi Rev'!H85-'Semi Rev'!D85)&gt;=1),('Semi OpInc'!H85-'Semi OpInc'!D85)/('Semi Rev'!H85-'Semi Rev'!D85),""),"")</f>
        <v/>
      </c>
      <c r="E1222" s="37">
        <f>IFERROR(IF(AND(ISNUMBER('Semi OpInc'!I85),ISNUMBER('Semi OpInc'!E85),ISNUMBER('Semi Rev'!I85),ISNUMBER('Semi Rev'!E85),ABS('Semi Rev'!I85-'Semi Rev'!E85)&gt;=1),('Semi OpInc'!I85-'Semi OpInc'!E85)/('Semi Rev'!I85-'Semi Rev'!E85),""),"")</f>
        <v/>
      </c>
      <c r="F1222" s="37">
        <f>IFERROR(IF(AND(ISNUMBER('Semi OpInc'!J85),ISNUMBER('Semi OpInc'!F85),ISNUMBER('Semi Rev'!J85),ISNUMBER('Semi Rev'!F85),ABS('Semi Rev'!J85-'Semi Rev'!F85)&gt;=1),('Semi OpInc'!J85-'Semi OpInc'!F85)/('Semi Rev'!J85-'Semi Rev'!F85),""),"")</f>
        <v/>
      </c>
      <c r="G1222" s="37">
        <f>IFERROR(IF(AND(ISNUMBER('Semi OpInc'!K85),ISNUMBER('Semi OpInc'!G85),ISNUMBER('Semi Rev'!K85),ISNUMBER('Semi Rev'!G85),ABS('Semi Rev'!K85-'Semi Rev'!G85)&gt;=1),('Semi OpInc'!K85-'Semi OpInc'!G85)/('Semi Rev'!K85-'Semi Rev'!G85),""),"")</f>
        <v/>
      </c>
      <c r="H1222" s="37">
        <f>IFERROR(IF(AND(ISNUMBER('Semi OpInc'!L85),ISNUMBER('Semi OpInc'!H85),ISNUMBER('Semi Rev'!L85),ISNUMBER('Semi Rev'!H85),ABS('Semi Rev'!L85-'Semi Rev'!H85)&gt;=1),('Semi OpInc'!L85-'Semi OpInc'!H85)/('Semi Rev'!L85-'Semi Rev'!H85),""),"")</f>
        <v/>
      </c>
      <c r="I1222" s="37">
        <f>IFERROR(IF(AND(ISNUMBER('Semi OpInc'!M85),ISNUMBER('Semi OpInc'!I85),ISNUMBER('Semi Rev'!M85),ISNUMBER('Semi Rev'!I85),ABS('Semi Rev'!M85-'Semi Rev'!I85)&gt;=1),('Semi OpInc'!M85-'Semi OpInc'!I85)/('Semi Rev'!M85-'Semi Rev'!I85),""),"")</f>
        <v/>
      </c>
      <c r="J1222" s="37">
        <f>IFERROR(IF(AND(ISNUMBER('Semi OpInc'!N85),ISNUMBER('Semi OpInc'!J85),ISNUMBER('Semi Rev'!N85),ISNUMBER('Semi Rev'!J85),ABS('Semi Rev'!N85-'Semi Rev'!J85)&gt;=1),('Semi OpInc'!N85-'Semi OpInc'!J85)/('Semi Rev'!N85-'Semi Rev'!J85),""),"")</f>
        <v/>
      </c>
      <c r="K1222" s="37">
        <f>IFERROR(IF(AND(ISNUMBER('Semi OpInc'!O85),ISNUMBER('Semi OpInc'!K85),ISNUMBER('Semi Rev'!O85),ISNUMBER('Semi Rev'!K85),ABS('Semi Rev'!O85-'Semi Rev'!K85)&gt;=1),('Semi OpInc'!O85-'Semi OpInc'!K85)/('Semi Rev'!O85-'Semi Rev'!K85),""),"")</f>
        <v/>
      </c>
      <c r="L1222" s="37">
        <f>IFERROR(IF(AND(ISNUMBER('Semi OpInc'!P85),ISNUMBER('Semi OpInc'!L85),ISNUMBER('Semi Rev'!P85),ISNUMBER('Semi Rev'!L85),ABS('Semi Rev'!P85-'Semi Rev'!L85)&gt;=1),('Semi OpInc'!P85-'Semi OpInc'!L85)/('Semi Rev'!P85-'Semi Rev'!L85),""),"")</f>
        <v/>
      </c>
      <c r="M1222" s="38">
        <f>IFERROR(IF(AND(ISNUMBER('Semi OpInc'!Q85),ISNUMBER('Semi OpInc'!M85),ISNUMBER('Semi Rev'!Q85),ISNUMBER('Semi Rev'!M85),ABS('Semi Rev'!Q85-'Semi Rev'!M85)&gt;=1),('Semi OpInc'!Q85-'Semi OpInc'!M85)/('Semi Rev'!Q85-'Semi Rev'!M85),""),"")</f>
        <v/>
      </c>
      <c r="N1222" s="38">
        <f>IFERROR(IF(AND(ISNUMBER('Semi OpInc'!R85),ISNUMBER('Semi OpInc'!N85),ISNUMBER('Semi Rev'!R85),ISNUMBER('Semi Rev'!N85),ABS('Semi Rev'!R85-'Semi Rev'!N85)&gt;=1),('Semi OpInc'!R85-'Semi OpInc'!N85)/('Semi Rev'!R85-'Semi Rev'!N85),""),"")</f>
        <v/>
      </c>
    </row>
    <row r="1223">
      <c r="A1223" s="19">
        <f>'Semi Rev'!$A86</f>
        <v/>
      </c>
      <c r="B1223" s="19">
        <f>'Semi Rev'!$B86</f>
        <v/>
      </c>
      <c r="C1223" s="37">
        <f>IFERROR(IF(AND(ISNUMBER('Semi OpInc'!G86),ISNUMBER('Semi OpInc'!C86),ISNUMBER('Semi Rev'!G86),ISNUMBER('Semi Rev'!C86),ABS('Semi Rev'!G86-'Semi Rev'!C86)&gt;=1),('Semi OpInc'!G86-'Semi OpInc'!C86)/('Semi Rev'!G86-'Semi Rev'!C86),""),"")</f>
        <v/>
      </c>
      <c r="D1223" s="37">
        <f>IFERROR(IF(AND(ISNUMBER('Semi OpInc'!H86),ISNUMBER('Semi OpInc'!D86),ISNUMBER('Semi Rev'!H86),ISNUMBER('Semi Rev'!D86),ABS('Semi Rev'!H86-'Semi Rev'!D86)&gt;=1),('Semi OpInc'!H86-'Semi OpInc'!D86)/('Semi Rev'!H86-'Semi Rev'!D86),""),"")</f>
        <v/>
      </c>
      <c r="E1223" s="37">
        <f>IFERROR(IF(AND(ISNUMBER('Semi OpInc'!I86),ISNUMBER('Semi OpInc'!E86),ISNUMBER('Semi Rev'!I86),ISNUMBER('Semi Rev'!E86),ABS('Semi Rev'!I86-'Semi Rev'!E86)&gt;=1),('Semi OpInc'!I86-'Semi OpInc'!E86)/('Semi Rev'!I86-'Semi Rev'!E86),""),"")</f>
        <v/>
      </c>
      <c r="F1223" s="37">
        <f>IFERROR(IF(AND(ISNUMBER('Semi OpInc'!J86),ISNUMBER('Semi OpInc'!F86),ISNUMBER('Semi Rev'!J86),ISNUMBER('Semi Rev'!F86),ABS('Semi Rev'!J86-'Semi Rev'!F86)&gt;=1),('Semi OpInc'!J86-'Semi OpInc'!F86)/('Semi Rev'!J86-'Semi Rev'!F86),""),"")</f>
        <v/>
      </c>
      <c r="G1223" s="37">
        <f>IFERROR(IF(AND(ISNUMBER('Semi OpInc'!K86),ISNUMBER('Semi OpInc'!G86),ISNUMBER('Semi Rev'!K86),ISNUMBER('Semi Rev'!G86),ABS('Semi Rev'!K86-'Semi Rev'!G86)&gt;=1),('Semi OpInc'!K86-'Semi OpInc'!G86)/('Semi Rev'!K86-'Semi Rev'!G86),""),"")</f>
        <v/>
      </c>
      <c r="H1223" s="37">
        <f>IFERROR(IF(AND(ISNUMBER('Semi OpInc'!L86),ISNUMBER('Semi OpInc'!H86),ISNUMBER('Semi Rev'!L86),ISNUMBER('Semi Rev'!H86),ABS('Semi Rev'!L86-'Semi Rev'!H86)&gt;=1),('Semi OpInc'!L86-'Semi OpInc'!H86)/('Semi Rev'!L86-'Semi Rev'!H86),""),"")</f>
        <v/>
      </c>
      <c r="I1223" s="37">
        <f>IFERROR(IF(AND(ISNUMBER('Semi OpInc'!M86),ISNUMBER('Semi OpInc'!I86),ISNUMBER('Semi Rev'!M86),ISNUMBER('Semi Rev'!I86),ABS('Semi Rev'!M86-'Semi Rev'!I86)&gt;=1),('Semi OpInc'!M86-'Semi OpInc'!I86)/('Semi Rev'!M86-'Semi Rev'!I86),""),"")</f>
        <v/>
      </c>
      <c r="J1223" s="37">
        <f>IFERROR(IF(AND(ISNUMBER('Semi OpInc'!N86),ISNUMBER('Semi OpInc'!J86),ISNUMBER('Semi Rev'!N86),ISNUMBER('Semi Rev'!J86),ABS('Semi Rev'!N86-'Semi Rev'!J86)&gt;=1),('Semi OpInc'!N86-'Semi OpInc'!J86)/('Semi Rev'!N86-'Semi Rev'!J86),""),"")</f>
        <v/>
      </c>
      <c r="K1223" s="37">
        <f>IFERROR(IF(AND(ISNUMBER('Semi OpInc'!O86),ISNUMBER('Semi OpInc'!K86),ISNUMBER('Semi Rev'!O86),ISNUMBER('Semi Rev'!K86),ABS('Semi Rev'!O86-'Semi Rev'!K86)&gt;=1),('Semi OpInc'!O86-'Semi OpInc'!K86)/('Semi Rev'!O86-'Semi Rev'!K86),""),"")</f>
        <v/>
      </c>
      <c r="L1223" s="37">
        <f>IFERROR(IF(AND(ISNUMBER('Semi OpInc'!P86),ISNUMBER('Semi OpInc'!L86),ISNUMBER('Semi Rev'!P86),ISNUMBER('Semi Rev'!L86),ABS('Semi Rev'!P86-'Semi Rev'!L86)&gt;=1),('Semi OpInc'!P86-'Semi OpInc'!L86)/('Semi Rev'!P86-'Semi Rev'!L86),""),"")</f>
        <v/>
      </c>
      <c r="M1223" s="38">
        <f>IFERROR(IF(AND(ISNUMBER('Semi OpInc'!Q86),ISNUMBER('Semi OpInc'!M86),ISNUMBER('Semi Rev'!Q86),ISNUMBER('Semi Rev'!M86),ABS('Semi Rev'!Q86-'Semi Rev'!M86)&gt;=1),('Semi OpInc'!Q86-'Semi OpInc'!M86)/('Semi Rev'!Q86-'Semi Rev'!M86),""),"")</f>
        <v/>
      </c>
      <c r="N1223" s="38">
        <f>IFERROR(IF(AND(ISNUMBER('Semi OpInc'!R86),ISNUMBER('Semi OpInc'!N86),ISNUMBER('Semi Rev'!R86),ISNUMBER('Semi Rev'!N86),ABS('Semi Rev'!R86-'Semi Rev'!N86)&gt;=1),('Semi OpInc'!R86-'Semi OpInc'!N86)/('Semi Rev'!R86-'Semi Rev'!N86),""),"")</f>
        <v/>
      </c>
    </row>
    <row r="1224">
      <c r="A1224" s="19">
        <f>'Semi Rev'!$A87</f>
        <v/>
      </c>
      <c r="B1224" s="19">
        <f>'Semi Rev'!$B87</f>
        <v/>
      </c>
      <c r="C1224" s="37">
        <f>IFERROR(IF(AND(ISNUMBER('Semi OpInc'!G87),ISNUMBER('Semi OpInc'!C87),ISNUMBER('Semi Rev'!G87),ISNUMBER('Semi Rev'!C87),ABS('Semi Rev'!G87-'Semi Rev'!C87)&gt;=1),('Semi OpInc'!G87-'Semi OpInc'!C87)/('Semi Rev'!G87-'Semi Rev'!C87),""),"")</f>
        <v/>
      </c>
      <c r="D1224" s="37">
        <f>IFERROR(IF(AND(ISNUMBER('Semi OpInc'!H87),ISNUMBER('Semi OpInc'!D87),ISNUMBER('Semi Rev'!H87),ISNUMBER('Semi Rev'!D87),ABS('Semi Rev'!H87-'Semi Rev'!D87)&gt;=1),('Semi OpInc'!H87-'Semi OpInc'!D87)/('Semi Rev'!H87-'Semi Rev'!D87),""),"")</f>
        <v/>
      </c>
      <c r="E1224" s="37">
        <f>IFERROR(IF(AND(ISNUMBER('Semi OpInc'!I87),ISNUMBER('Semi OpInc'!E87),ISNUMBER('Semi Rev'!I87),ISNUMBER('Semi Rev'!E87),ABS('Semi Rev'!I87-'Semi Rev'!E87)&gt;=1),('Semi OpInc'!I87-'Semi OpInc'!E87)/('Semi Rev'!I87-'Semi Rev'!E87),""),"")</f>
        <v/>
      </c>
      <c r="F1224" s="37">
        <f>IFERROR(IF(AND(ISNUMBER('Semi OpInc'!J87),ISNUMBER('Semi OpInc'!F87),ISNUMBER('Semi Rev'!J87),ISNUMBER('Semi Rev'!F87),ABS('Semi Rev'!J87-'Semi Rev'!F87)&gt;=1),('Semi OpInc'!J87-'Semi OpInc'!F87)/('Semi Rev'!J87-'Semi Rev'!F87),""),"")</f>
        <v/>
      </c>
      <c r="G1224" s="37">
        <f>IFERROR(IF(AND(ISNUMBER('Semi OpInc'!K87),ISNUMBER('Semi OpInc'!G87),ISNUMBER('Semi Rev'!K87),ISNUMBER('Semi Rev'!G87),ABS('Semi Rev'!K87-'Semi Rev'!G87)&gt;=1),('Semi OpInc'!K87-'Semi OpInc'!G87)/('Semi Rev'!K87-'Semi Rev'!G87),""),"")</f>
        <v/>
      </c>
      <c r="H1224" s="37">
        <f>IFERROR(IF(AND(ISNUMBER('Semi OpInc'!L87),ISNUMBER('Semi OpInc'!H87),ISNUMBER('Semi Rev'!L87),ISNUMBER('Semi Rev'!H87),ABS('Semi Rev'!L87-'Semi Rev'!H87)&gt;=1),('Semi OpInc'!L87-'Semi OpInc'!H87)/('Semi Rev'!L87-'Semi Rev'!H87),""),"")</f>
        <v/>
      </c>
      <c r="I1224" s="37">
        <f>IFERROR(IF(AND(ISNUMBER('Semi OpInc'!M87),ISNUMBER('Semi OpInc'!I87),ISNUMBER('Semi Rev'!M87),ISNUMBER('Semi Rev'!I87),ABS('Semi Rev'!M87-'Semi Rev'!I87)&gt;=1),('Semi OpInc'!M87-'Semi OpInc'!I87)/('Semi Rev'!M87-'Semi Rev'!I87),""),"")</f>
        <v/>
      </c>
      <c r="J1224" s="37">
        <f>IFERROR(IF(AND(ISNUMBER('Semi OpInc'!N87),ISNUMBER('Semi OpInc'!J87),ISNUMBER('Semi Rev'!N87),ISNUMBER('Semi Rev'!J87),ABS('Semi Rev'!N87-'Semi Rev'!J87)&gt;=1),('Semi OpInc'!N87-'Semi OpInc'!J87)/('Semi Rev'!N87-'Semi Rev'!J87),""),"")</f>
        <v/>
      </c>
      <c r="K1224" s="37">
        <f>IFERROR(IF(AND(ISNUMBER('Semi OpInc'!O87),ISNUMBER('Semi OpInc'!K87),ISNUMBER('Semi Rev'!O87),ISNUMBER('Semi Rev'!K87),ABS('Semi Rev'!O87-'Semi Rev'!K87)&gt;=1),('Semi OpInc'!O87-'Semi OpInc'!K87)/('Semi Rev'!O87-'Semi Rev'!K87),""),"")</f>
        <v/>
      </c>
      <c r="L1224" s="37">
        <f>IFERROR(IF(AND(ISNUMBER('Semi OpInc'!P87),ISNUMBER('Semi OpInc'!L87),ISNUMBER('Semi Rev'!P87),ISNUMBER('Semi Rev'!L87),ABS('Semi Rev'!P87-'Semi Rev'!L87)&gt;=1),('Semi OpInc'!P87-'Semi OpInc'!L87)/('Semi Rev'!P87-'Semi Rev'!L87),""),"")</f>
        <v/>
      </c>
      <c r="M1224" s="38">
        <f>IFERROR(IF(AND(ISNUMBER('Semi OpInc'!Q87),ISNUMBER('Semi OpInc'!M87),ISNUMBER('Semi Rev'!Q87),ISNUMBER('Semi Rev'!M87),ABS('Semi Rev'!Q87-'Semi Rev'!M87)&gt;=1),('Semi OpInc'!Q87-'Semi OpInc'!M87)/('Semi Rev'!Q87-'Semi Rev'!M87),""),"")</f>
        <v/>
      </c>
      <c r="N1224" s="38">
        <f>IFERROR(IF(AND(ISNUMBER('Semi OpInc'!R87),ISNUMBER('Semi OpInc'!N87),ISNUMBER('Semi Rev'!R87),ISNUMBER('Semi Rev'!N87),ABS('Semi Rev'!R87-'Semi Rev'!N87)&gt;=1),('Semi OpInc'!R87-'Semi OpInc'!N87)/('Semi Rev'!R87-'Semi Rev'!N87),""),"")</f>
        <v/>
      </c>
    </row>
    <row r="1225">
      <c r="A1225" s="19">
        <f>'Semi Rev'!$A88</f>
        <v/>
      </c>
      <c r="B1225" s="19">
        <f>'Semi Rev'!$B88</f>
        <v/>
      </c>
      <c r="C1225" s="37">
        <f>IFERROR(IF(AND(ISNUMBER('Semi OpInc'!G88),ISNUMBER('Semi OpInc'!C88),ISNUMBER('Semi Rev'!G88),ISNUMBER('Semi Rev'!C88),ABS('Semi Rev'!G88-'Semi Rev'!C88)&gt;=1),('Semi OpInc'!G88-'Semi OpInc'!C88)/('Semi Rev'!G88-'Semi Rev'!C88),""),"")</f>
        <v/>
      </c>
      <c r="D1225" s="37">
        <f>IFERROR(IF(AND(ISNUMBER('Semi OpInc'!H88),ISNUMBER('Semi OpInc'!D88),ISNUMBER('Semi Rev'!H88),ISNUMBER('Semi Rev'!D88),ABS('Semi Rev'!H88-'Semi Rev'!D88)&gt;=1),('Semi OpInc'!H88-'Semi OpInc'!D88)/('Semi Rev'!H88-'Semi Rev'!D88),""),"")</f>
        <v/>
      </c>
      <c r="E1225" s="37">
        <f>IFERROR(IF(AND(ISNUMBER('Semi OpInc'!I88),ISNUMBER('Semi OpInc'!E88),ISNUMBER('Semi Rev'!I88),ISNUMBER('Semi Rev'!E88),ABS('Semi Rev'!I88-'Semi Rev'!E88)&gt;=1),('Semi OpInc'!I88-'Semi OpInc'!E88)/('Semi Rev'!I88-'Semi Rev'!E88),""),"")</f>
        <v/>
      </c>
      <c r="F1225" s="37">
        <f>IFERROR(IF(AND(ISNUMBER('Semi OpInc'!J88),ISNUMBER('Semi OpInc'!F88),ISNUMBER('Semi Rev'!J88),ISNUMBER('Semi Rev'!F88),ABS('Semi Rev'!J88-'Semi Rev'!F88)&gt;=1),('Semi OpInc'!J88-'Semi OpInc'!F88)/('Semi Rev'!J88-'Semi Rev'!F88),""),"")</f>
        <v/>
      </c>
      <c r="G1225" s="37">
        <f>IFERROR(IF(AND(ISNUMBER('Semi OpInc'!K88),ISNUMBER('Semi OpInc'!G88),ISNUMBER('Semi Rev'!K88),ISNUMBER('Semi Rev'!G88),ABS('Semi Rev'!K88-'Semi Rev'!G88)&gt;=1),('Semi OpInc'!K88-'Semi OpInc'!G88)/('Semi Rev'!K88-'Semi Rev'!G88),""),"")</f>
        <v/>
      </c>
      <c r="H1225" s="37">
        <f>IFERROR(IF(AND(ISNUMBER('Semi OpInc'!L88),ISNUMBER('Semi OpInc'!H88),ISNUMBER('Semi Rev'!L88),ISNUMBER('Semi Rev'!H88),ABS('Semi Rev'!L88-'Semi Rev'!H88)&gt;=1),('Semi OpInc'!L88-'Semi OpInc'!H88)/('Semi Rev'!L88-'Semi Rev'!H88),""),"")</f>
        <v/>
      </c>
      <c r="I1225" s="37">
        <f>IFERROR(IF(AND(ISNUMBER('Semi OpInc'!M88),ISNUMBER('Semi OpInc'!I88),ISNUMBER('Semi Rev'!M88),ISNUMBER('Semi Rev'!I88),ABS('Semi Rev'!M88-'Semi Rev'!I88)&gt;=1),('Semi OpInc'!M88-'Semi OpInc'!I88)/('Semi Rev'!M88-'Semi Rev'!I88),""),"")</f>
        <v/>
      </c>
      <c r="J1225" s="37">
        <f>IFERROR(IF(AND(ISNUMBER('Semi OpInc'!N88),ISNUMBER('Semi OpInc'!J88),ISNUMBER('Semi Rev'!N88),ISNUMBER('Semi Rev'!J88),ABS('Semi Rev'!N88-'Semi Rev'!J88)&gt;=1),('Semi OpInc'!N88-'Semi OpInc'!J88)/('Semi Rev'!N88-'Semi Rev'!J88),""),"")</f>
        <v/>
      </c>
      <c r="K1225" s="37">
        <f>IFERROR(IF(AND(ISNUMBER('Semi OpInc'!O88),ISNUMBER('Semi OpInc'!K88),ISNUMBER('Semi Rev'!O88),ISNUMBER('Semi Rev'!K88),ABS('Semi Rev'!O88-'Semi Rev'!K88)&gt;=1),('Semi OpInc'!O88-'Semi OpInc'!K88)/('Semi Rev'!O88-'Semi Rev'!K88),""),"")</f>
        <v/>
      </c>
      <c r="L1225" s="37">
        <f>IFERROR(IF(AND(ISNUMBER('Semi OpInc'!P88),ISNUMBER('Semi OpInc'!L88),ISNUMBER('Semi Rev'!P88),ISNUMBER('Semi Rev'!L88),ABS('Semi Rev'!P88-'Semi Rev'!L88)&gt;=1),('Semi OpInc'!P88-'Semi OpInc'!L88)/('Semi Rev'!P88-'Semi Rev'!L88),""),"")</f>
        <v/>
      </c>
      <c r="M1225" s="38">
        <f>IFERROR(IF(AND(ISNUMBER('Semi OpInc'!Q88),ISNUMBER('Semi OpInc'!M88),ISNUMBER('Semi Rev'!Q88),ISNUMBER('Semi Rev'!M88),ABS('Semi Rev'!Q88-'Semi Rev'!M88)&gt;=1),('Semi OpInc'!Q88-'Semi OpInc'!M88)/('Semi Rev'!Q88-'Semi Rev'!M88),""),"")</f>
        <v/>
      </c>
      <c r="N1225" s="38">
        <f>IFERROR(IF(AND(ISNUMBER('Semi OpInc'!R88),ISNUMBER('Semi OpInc'!N88),ISNUMBER('Semi Rev'!R88),ISNUMBER('Semi Rev'!N88),ABS('Semi Rev'!R88-'Semi Rev'!N88)&gt;=1),('Semi OpInc'!R88-'Semi OpInc'!N88)/('Semi Rev'!R88-'Semi Rev'!N88),""),"")</f>
        <v/>
      </c>
    </row>
    <row r="1226">
      <c r="A1226" s="19">
        <f>'Semi Rev'!$A89</f>
        <v/>
      </c>
      <c r="B1226" s="19">
        <f>'Semi Rev'!$B89</f>
        <v/>
      </c>
      <c r="C1226" s="37">
        <f>IFERROR(IF(AND(ISNUMBER('Semi OpInc'!G89),ISNUMBER('Semi OpInc'!C89),ISNUMBER('Semi Rev'!G89),ISNUMBER('Semi Rev'!C89),ABS('Semi Rev'!G89-'Semi Rev'!C89)&gt;=1),('Semi OpInc'!G89-'Semi OpInc'!C89)/('Semi Rev'!G89-'Semi Rev'!C89),""),"")</f>
        <v/>
      </c>
      <c r="D1226" s="37">
        <f>IFERROR(IF(AND(ISNUMBER('Semi OpInc'!H89),ISNUMBER('Semi OpInc'!D89),ISNUMBER('Semi Rev'!H89),ISNUMBER('Semi Rev'!D89),ABS('Semi Rev'!H89-'Semi Rev'!D89)&gt;=1),('Semi OpInc'!H89-'Semi OpInc'!D89)/('Semi Rev'!H89-'Semi Rev'!D89),""),"")</f>
        <v/>
      </c>
      <c r="E1226" s="37">
        <f>IFERROR(IF(AND(ISNUMBER('Semi OpInc'!I89),ISNUMBER('Semi OpInc'!E89),ISNUMBER('Semi Rev'!I89),ISNUMBER('Semi Rev'!E89),ABS('Semi Rev'!I89-'Semi Rev'!E89)&gt;=1),('Semi OpInc'!I89-'Semi OpInc'!E89)/('Semi Rev'!I89-'Semi Rev'!E89),""),"")</f>
        <v/>
      </c>
      <c r="F1226" s="37">
        <f>IFERROR(IF(AND(ISNUMBER('Semi OpInc'!J89),ISNUMBER('Semi OpInc'!F89),ISNUMBER('Semi Rev'!J89),ISNUMBER('Semi Rev'!F89),ABS('Semi Rev'!J89-'Semi Rev'!F89)&gt;=1),('Semi OpInc'!J89-'Semi OpInc'!F89)/('Semi Rev'!J89-'Semi Rev'!F89),""),"")</f>
        <v/>
      </c>
      <c r="G1226" s="37">
        <f>IFERROR(IF(AND(ISNUMBER('Semi OpInc'!K89),ISNUMBER('Semi OpInc'!G89),ISNUMBER('Semi Rev'!K89),ISNUMBER('Semi Rev'!G89),ABS('Semi Rev'!K89-'Semi Rev'!G89)&gt;=1),('Semi OpInc'!K89-'Semi OpInc'!G89)/('Semi Rev'!K89-'Semi Rev'!G89),""),"")</f>
        <v/>
      </c>
      <c r="H1226" s="37">
        <f>IFERROR(IF(AND(ISNUMBER('Semi OpInc'!L89),ISNUMBER('Semi OpInc'!H89),ISNUMBER('Semi Rev'!L89),ISNUMBER('Semi Rev'!H89),ABS('Semi Rev'!L89-'Semi Rev'!H89)&gt;=1),('Semi OpInc'!L89-'Semi OpInc'!H89)/('Semi Rev'!L89-'Semi Rev'!H89),""),"")</f>
        <v/>
      </c>
      <c r="I1226" s="37">
        <f>IFERROR(IF(AND(ISNUMBER('Semi OpInc'!M89),ISNUMBER('Semi OpInc'!I89),ISNUMBER('Semi Rev'!M89),ISNUMBER('Semi Rev'!I89),ABS('Semi Rev'!M89-'Semi Rev'!I89)&gt;=1),('Semi OpInc'!M89-'Semi OpInc'!I89)/('Semi Rev'!M89-'Semi Rev'!I89),""),"")</f>
        <v/>
      </c>
      <c r="J1226" s="37">
        <f>IFERROR(IF(AND(ISNUMBER('Semi OpInc'!N89),ISNUMBER('Semi OpInc'!J89),ISNUMBER('Semi Rev'!N89),ISNUMBER('Semi Rev'!J89),ABS('Semi Rev'!N89-'Semi Rev'!J89)&gt;=1),('Semi OpInc'!N89-'Semi OpInc'!J89)/('Semi Rev'!N89-'Semi Rev'!J89),""),"")</f>
        <v/>
      </c>
      <c r="K1226" s="37">
        <f>IFERROR(IF(AND(ISNUMBER('Semi OpInc'!O89),ISNUMBER('Semi OpInc'!K89),ISNUMBER('Semi Rev'!O89),ISNUMBER('Semi Rev'!K89),ABS('Semi Rev'!O89-'Semi Rev'!K89)&gt;=1),('Semi OpInc'!O89-'Semi OpInc'!K89)/('Semi Rev'!O89-'Semi Rev'!K89),""),"")</f>
        <v/>
      </c>
      <c r="L1226" s="37">
        <f>IFERROR(IF(AND(ISNUMBER('Semi OpInc'!P89),ISNUMBER('Semi OpInc'!L89),ISNUMBER('Semi Rev'!P89),ISNUMBER('Semi Rev'!L89),ABS('Semi Rev'!P89-'Semi Rev'!L89)&gt;=1),('Semi OpInc'!P89-'Semi OpInc'!L89)/('Semi Rev'!P89-'Semi Rev'!L89),""),"")</f>
        <v/>
      </c>
      <c r="M1226" s="38">
        <f>IFERROR(IF(AND(ISNUMBER('Semi OpInc'!Q89),ISNUMBER('Semi OpInc'!M89),ISNUMBER('Semi Rev'!Q89),ISNUMBER('Semi Rev'!M89),ABS('Semi Rev'!Q89-'Semi Rev'!M89)&gt;=1),('Semi OpInc'!Q89-'Semi OpInc'!M89)/('Semi Rev'!Q89-'Semi Rev'!M89),""),"")</f>
        <v/>
      </c>
      <c r="N1226" s="38">
        <f>IFERROR(IF(AND(ISNUMBER('Semi OpInc'!R89),ISNUMBER('Semi OpInc'!N89),ISNUMBER('Semi Rev'!R89),ISNUMBER('Semi Rev'!N89),ABS('Semi Rev'!R89-'Semi Rev'!N89)&gt;=1),('Semi OpInc'!R89-'Semi OpInc'!N89)/('Semi Rev'!R89-'Semi Rev'!N89),""),"")</f>
        <v/>
      </c>
    </row>
    <row r="1227">
      <c r="A1227" s="19">
        <f>'Semi Rev'!$A90</f>
        <v/>
      </c>
      <c r="B1227" s="19">
        <f>'Semi Rev'!$B90</f>
        <v/>
      </c>
      <c r="C1227" s="37">
        <f>IFERROR(IF(AND(ISNUMBER('Semi OpInc'!G90),ISNUMBER('Semi OpInc'!C90),ISNUMBER('Semi Rev'!G90),ISNUMBER('Semi Rev'!C90),ABS('Semi Rev'!G90-'Semi Rev'!C90)&gt;=1),('Semi OpInc'!G90-'Semi OpInc'!C90)/('Semi Rev'!G90-'Semi Rev'!C90),""),"")</f>
        <v/>
      </c>
      <c r="D1227" s="37">
        <f>IFERROR(IF(AND(ISNUMBER('Semi OpInc'!H90),ISNUMBER('Semi OpInc'!D90),ISNUMBER('Semi Rev'!H90),ISNUMBER('Semi Rev'!D90),ABS('Semi Rev'!H90-'Semi Rev'!D90)&gt;=1),('Semi OpInc'!H90-'Semi OpInc'!D90)/('Semi Rev'!H90-'Semi Rev'!D90),""),"")</f>
        <v/>
      </c>
      <c r="E1227" s="37">
        <f>IFERROR(IF(AND(ISNUMBER('Semi OpInc'!I90),ISNUMBER('Semi OpInc'!E90),ISNUMBER('Semi Rev'!I90),ISNUMBER('Semi Rev'!E90),ABS('Semi Rev'!I90-'Semi Rev'!E90)&gt;=1),('Semi OpInc'!I90-'Semi OpInc'!E90)/('Semi Rev'!I90-'Semi Rev'!E90),""),"")</f>
        <v/>
      </c>
      <c r="F1227" s="37">
        <f>IFERROR(IF(AND(ISNUMBER('Semi OpInc'!J90),ISNUMBER('Semi OpInc'!F90),ISNUMBER('Semi Rev'!J90),ISNUMBER('Semi Rev'!F90),ABS('Semi Rev'!J90-'Semi Rev'!F90)&gt;=1),('Semi OpInc'!J90-'Semi OpInc'!F90)/('Semi Rev'!J90-'Semi Rev'!F90),""),"")</f>
        <v/>
      </c>
      <c r="G1227" s="37">
        <f>IFERROR(IF(AND(ISNUMBER('Semi OpInc'!K90),ISNUMBER('Semi OpInc'!G90),ISNUMBER('Semi Rev'!K90),ISNUMBER('Semi Rev'!G90),ABS('Semi Rev'!K90-'Semi Rev'!G90)&gt;=1),('Semi OpInc'!K90-'Semi OpInc'!G90)/('Semi Rev'!K90-'Semi Rev'!G90),""),"")</f>
        <v/>
      </c>
      <c r="H1227" s="37">
        <f>IFERROR(IF(AND(ISNUMBER('Semi OpInc'!L90),ISNUMBER('Semi OpInc'!H90),ISNUMBER('Semi Rev'!L90),ISNUMBER('Semi Rev'!H90),ABS('Semi Rev'!L90-'Semi Rev'!H90)&gt;=1),('Semi OpInc'!L90-'Semi OpInc'!H90)/('Semi Rev'!L90-'Semi Rev'!H90),""),"")</f>
        <v/>
      </c>
      <c r="I1227" s="37">
        <f>IFERROR(IF(AND(ISNUMBER('Semi OpInc'!M90),ISNUMBER('Semi OpInc'!I90),ISNUMBER('Semi Rev'!M90),ISNUMBER('Semi Rev'!I90),ABS('Semi Rev'!M90-'Semi Rev'!I90)&gt;=1),('Semi OpInc'!M90-'Semi OpInc'!I90)/('Semi Rev'!M90-'Semi Rev'!I90),""),"")</f>
        <v/>
      </c>
      <c r="J1227" s="37">
        <f>IFERROR(IF(AND(ISNUMBER('Semi OpInc'!N90),ISNUMBER('Semi OpInc'!J90),ISNUMBER('Semi Rev'!N90),ISNUMBER('Semi Rev'!J90),ABS('Semi Rev'!N90-'Semi Rev'!J90)&gt;=1),('Semi OpInc'!N90-'Semi OpInc'!J90)/('Semi Rev'!N90-'Semi Rev'!J90),""),"")</f>
        <v/>
      </c>
      <c r="K1227" s="37">
        <f>IFERROR(IF(AND(ISNUMBER('Semi OpInc'!O90),ISNUMBER('Semi OpInc'!K90),ISNUMBER('Semi Rev'!O90),ISNUMBER('Semi Rev'!K90),ABS('Semi Rev'!O90-'Semi Rev'!K90)&gt;=1),('Semi OpInc'!O90-'Semi OpInc'!K90)/('Semi Rev'!O90-'Semi Rev'!K90),""),"")</f>
        <v/>
      </c>
      <c r="L1227" s="37">
        <f>IFERROR(IF(AND(ISNUMBER('Semi OpInc'!P90),ISNUMBER('Semi OpInc'!L90),ISNUMBER('Semi Rev'!P90),ISNUMBER('Semi Rev'!L90),ABS('Semi Rev'!P90-'Semi Rev'!L90)&gt;=1),('Semi OpInc'!P90-'Semi OpInc'!L90)/('Semi Rev'!P90-'Semi Rev'!L90),""),"")</f>
        <v/>
      </c>
      <c r="M1227" s="38">
        <f>IFERROR(IF(AND(ISNUMBER('Semi OpInc'!Q90),ISNUMBER('Semi OpInc'!M90),ISNUMBER('Semi Rev'!Q90),ISNUMBER('Semi Rev'!M90),ABS('Semi Rev'!Q90-'Semi Rev'!M90)&gt;=1),('Semi OpInc'!Q90-'Semi OpInc'!M90)/('Semi Rev'!Q90-'Semi Rev'!M90),""),"")</f>
        <v/>
      </c>
      <c r="N1227" s="38">
        <f>IFERROR(IF(AND(ISNUMBER('Semi OpInc'!R90),ISNUMBER('Semi OpInc'!N90),ISNUMBER('Semi Rev'!R90),ISNUMBER('Semi Rev'!N90),ABS('Semi Rev'!R90-'Semi Rev'!N90)&gt;=1),('Semi OpInc'!R90-'Semi OpInc'!N90)/('Semi Rev'!R90-'Semi Rev'!N90),""),"")</f>
        <v/>
      </c>
    </row>
    <row r="1228">
      <c r="A1228" s="19">
        <f>'Semi Rev'!$A91</f>
        <v/>
      </c>
      <c r="B1228" s="19">
        <f>'Semi Rev'!$B91</f>
        <v/>
      </c>
      <c r="C1228" s="37">
        <f>IFERROR(IF(AND(ISNUMBER('Semi OpInc'!G91),ISNUMBER('Semi OpInc'!C91),ISNUMBER('Semi Rev'!G91),ISNUMBER('Semi Rev'!C91),ABS('Semi Rev'!G91-'Semi Rev'!C91)&gt;=1),('Semi OpInc'!G91-'Semi OpInc'!C91)/('Semi Rev'!G91-'Semi Rev'!C91),""),"")</f>
        <v/>
      </c>
      <c r="D1228" s="37">
        <f>IFERROR(IF(AND(ISNUMBER('Semi OpInc'!H91),ISNUMBER('Semi OpInc'!D91),ISNUMBER('Semi Rev'!H91),ISNUMBER('Semi Rev'!D91),ABS('Semi Rev'!H91-'Semi Rev'!D91)&gt;=1),('Semi OpInc'!H91-'Semi OpInc'!D91)/('Semi Rev'!H91-'Semi Rev'!D91),""),"")</f>
        <v/>
      </c>
      <c r="E1228" s="37">
        <f>IFERROR(IF(AND(ISNUMBER('Semi OpInc'!I91),ISNUMBER('Semi OpInc'!E91),ISNUMBER('Semi Rev'!I91),ISNUMBER('Semi Rev'!E91),ABS('Semi Rev'!I91-'Semi Rev'!E91)&gt;=1),('Semi OpInc'!I91-'Semi OpInc'!E91)/('Semi Rev'!I91-'Semi Rev'!E91),""),"")</f>
        <v/>
      </c>
      <c r="F1228" s="37">
        <f>IFERROR(IF(AND(ISNUMBER('Semi OpInc'!J91),ISNUMBER('Semi OpInc'!F91),ISNUMBER('Semi Rev'!J91),ISNUMBER('Semi Rev'!F91),ABS('Semi Rev'!J91-'Semi Rev'!F91)&gt;=1),('Semi OpInc'!J91-'Semi OpInc'!F91)/('Semi Rev'!J91-'Semi Rev'!F91),""),"")</f>
        <v/>
      </c>
      <c r="G1228" s="37">
        <f>IFERROR(IF(AND(ISNUMBER('Semi OpInc'!K91),ISNUMBER('Semi OpInc'!G91),ISNUMBER('Semi Rev'!K91),ISNUMBER('Semi Rev'!G91),ABS('Semi Rev'!K91-'Semi Rev'!G91)&gt;=1),('Semi OpInc'!K91-'Semi OpInc'!G91)/('Semi Rev'!K91-'Semi Rev'!G91),""),"")</f>
        <v/>
      </c>
      <c r="H1228" s="37">
        <f>IFERROR(IF(AND(ISNUMBER('Semi OpInc'!L91),ISNUMBER('Semi OpInc'!H91),ISNUMBER('Semi Rev'!L91),ISNUMBER('Semi Rev'!H91),ABS('Semi Rev'!L91-'Semi Rev'!H91)&gt;=1),('Semi OpInc'!L91-'Semi OpInc'!H91)/('Semi Rev'!L91-'Semi Rev'!H91),""),"")</f>
        <v/>
      </c>
      <c r="I1228" s="37">
        <f>IFERROR(IF(AND(ISNUMBER('Semi OpInc'!M91),ISNUMBER('Semi OpInc'!I91),ISNUMBER('Semi Rev'!M91),ISNUMBER('Semi Rev'!I91),ABS('Semi Rev'!M91-'Semi Rev'!I91)&gt;=1),('Semi OpInc'!M91-'Semi OpInc'!I91)/('Semi Rev'!M91-'Semi Rev'!I91),""),"")</f>
        <v/>
      </c>
      <c r="J1228" s="37">
        <f>IFERROR(IF(AND(ISNUMBER('Semi OpInc'!N91),ISNUMBER('Semi OpInc'!J91),ISNUMBER('Semi Rev'!N91),ISNUMBER('Semi Rev'!J91),ABS('Semi Rev'!N91-'Semi Rev'!J91)&gt;=1),('Semi OpInc'!N91-'Semi OpInc'!J91)/('Semi Rev'!N91-'Semi Rev'!J91),""),"")</f>
        <v/>
      </c>
      <c r="K1228" s="37">
        <f>IFERROR(IF(AND(ISNUMBER('Semi OpInc'!O91),ISNUMBER('Semi OpInc'!K91),ISNUMBER('Semi Rev'!O91),ISNUMBER('Semi Rev'!K91),ABS('Semi Rev'!O91-'Semi Rev'!K91)&gt;=1),('Semi OpInc'!O91-'Semi OpInc'!K91)/('Semi Rev'!O91-'Semi Rev'!K91),""),"")</f>
        <v/>
      </c>
      <c r="L1228" s="37">
        <f>IFERROR(IF(AND(ISNUMBER('Semi OpInc'!P91),ISNUMBER('Semi OpInc'!L91),ISNUMBER('Semi Rev'!P91),ISNUMBER('Semi Rev'!L91),ABS('Semi Rev'!P91-'Semi Rev'!L91)&gt;=1),('Semi OpInc'!P91-'Semi OpInc'!L91)/('Semi Rev'!P91-'Semi Rev'!L91),""),"")</f>
        <v/>
      </c>
      <c r="M1228" s="38">
        <f>IFERROR(IF(AND(ISNUMBER('Semi OpInc'!Q91),ISNUMBER('Semi OpInc'!M91),ISNUMBER('Semi Rev'!Q91),ISNUMBER('Semi Rev'!M91),ABS('Semi Rev'!Q91-'Semi Rev'!M91)&gt;=1),('Semi OpInc'!Q91-'Semi OpInc'!M91)/('Semi Rev'!Q91-'Semi Rev'!M91),""),"")</f>
        <v/>
      </c>
      <c r="N1228" s="38">
        <f>IFERROR(IF(AND(ISNUMBER('Semi OpInc'!R91),ISNUMBER('Semi OpInc'!N91),ISNUMBER('Semi Rev'!R91),ISNUMBER('Semi Rev'!N91),ABS('Semi Rev'!R91-'Semi Rev'!N91)&gt;=1),('Semi OpInc'!R91-'Semi OpInc'!N91)/('Semi Rev'!R91-'Semi Rev'!N91),""),"")</f>
        <v/>
      </c>
    </row>
    <row r="1229">
      <c r="A1229" s="19">
        <f>'Semi Rev'!$A92</f>
        <v/>
      </c>
      <c r="B1229" s="19">
        <f>'Semi Rev'!$B92</f>
        <v/>
      </c>
      <c r="C1229" s="37">
        <f>IFERROR(IF(AND(ISNUMBER('Semi OpInc'!G92),ISNUMBER('Semi OpInc'!C92),ISNUMBER('Semi Rev'!G92),ISNUMBER('Semi Rev'!C92),ABS('Semi Rev'!G92-'Semi Rev'!C92)&gt;=1),('Semi OpInc'!G92-'Semi OpInc'!C92)/('Semi Rev'!G92-'Semi Rev'!C92),""),"")</f>
        <v/>
      </c>
      <c r="D1229" s="37">
        <f>IFERROR(IF(AND(ISNUMBER('Semi OpInc'!H92),ISNUMBER('Semi OpInc'!D92),ISNUMBER('Semi Rev'!H92),ISNUMBER('Semi Rev'!D92),ABS('Semi Rev'!H92-'Semi Rev'!D92)&gt;=1),('Semi OpInc'!H92-'Semi OpInc'!D92)/('Semi Rev'!H92-'Semi Rev'!D92),""),"")</f>
        <v/>
      </c>
      <c r="E1229" s="37">
        <f>IFERROR(IF(AND(ISNUMBER('Semi OpInc'!I92),ISNUMBER('Semi OpInc'!E92),ISNUMBER('Semi Rev'!I92),ISNUMBER('Semi Rev'!E92),ABS('Semi Rev'!I92-'Semi Rev'!E92)&gt;=1),('Semi OpInc'!I92-'Semi OpInc'!E92)/('Semi Rev'!I92-'Semi Rev'!E92),""),"")</f>
        <v/>
      </c>
      <c r="F1229" s="37">
        <f>IFERROR(IF(AND(ISNUMBER('Semi OpInc'!J92),ISNUMBER('Semi OpInc'!F92),ISNUMBER('Semi Rev'!J92),ISNUMBER('Semi Rev'!F92),ABS('Semi Rev'!J92-'Semi Rev'!F92)&gt;=1),('Semi OpInc'!J92-'Semi OpInc'!F92)/('Semi Rev'!J92-'Semi Rev'!F92),""),"")</f>
        <v/>
      </c>
      <c r="G1229" s="37">
        <f>IFERROR(IF(AND(ISNUMBER('Semi OpInc'!K92),ISNUMBER('Semi OpInc'!G92),ISNUMBER('Semi Rev'!K92),ISNUMBER('Semi Rev'!G92),ABS('Semi Rev'!K92-'Semi Rev'!G92)&gt;=1),('Semi OpInc'!K92-'Semi OpInc'!G92)/('Semi Rev'!K92-'Semi Rev'!G92),""),"")</f>
        <v/>
      </c>
      <c r="H1229" s="37">
        <f>IFERROR(IF(AND(ISNUMBER('Semi OpInc'!L92),ISNUMBER('Semi OpInc'!H92),ISNUMBER('Semi Rev'!L92),ISNUMBER('Semi Rev'!H92),ABS('Semi Rev'!L92-'Semi Rev'!H92)&gt;=1),('Semi OpInc'!L92-'Semi OpInc'!H92)/('Semi Rev'!L92-'Semi Rev'!H92),""),"")</f>
        <v/>
      </c>
      <c r="I1229" s="37">
        <f>IFERROR(IF(AND(ISNUMBER('Semi OpInc'!M92),ISNUMBER('Semi OpInc'!I92),ISNUMBER('Semi Rev'!M92),ISNUMBER('Semi Rev'!I92),ABS('Semi Rev'!M92-'Semi Rev'!I92)&gt;=1),('Semi OpInc'!M92-'Semi OpInc'!I92)/('Semi Rev'!M92-'Semi Rev'!I92),""),"")</f>
        <v/>
      </c>
      <c r="J1229" s="37">
        <f>IFERROR(IF(AND(ISNUMBER('Semi OpInc'!N92),ISNUMBER('Semi OpInc'!J92),ISNUMBER('Semi Rev'!N92),ISNUMBER('Semi Rev'!J92),ABS('Semi Rev'!N92-'Semi Rev'!J92)&gt;=1),('Semi OpInc'!N92-'Semi OpInc'!J92)/('Semi Rev'!N92-'Semi Rev'!J92),""),"")</f>
        <v/>
      </c>
      <c r="K1229" s="37">
        <f>IFERROR(IF(AND(ISNUMBER('Semi OpInc'!O92),ISNUMBER('Semi OpInc'!K92),ISNUMBER('Semi Rev'!O92),ISNUMBER('Semi Rev'!K92),ABS('Semi Rev'!O92-'Semi Rev'!K92)&gt;=1),('Semi OpInc'!O92-'Semi OpInc'!K92)/('Semi Rev'!O92-'Semi Rev'!K92),""),"")</f>
        <v/>
      </c>
      <c r="L1229" s="37">
        <f>IFERROR(IF(AND(ISNUMBER('Semi OpInc'!P92),ISNUMBER('Semi OpInc'!L92),ISNUMBER('Semi Rev'!P92),ISNUMBER('Semi Rev'!L92),ABS('Semi Rev'!P92-'Semi Rev'!L92)&gt;=1),('Semi OpInc'!P92-'Semi OpInc'!L92)/('Semi Rev'!P92-'Semi Rev'!L92),""),"")</f>
        <v/>
      </c>
      <c r="M1229" s="38">
        <f>IFERROR(IF(AND(ISNUMBER('Semi OpInc'!Q92),ISNUMBER('Semi OpInc'!M92),ISNUMBER('Semi Rev'!Q92),ISNUMBER('Semi Rev'!M92),ABS('Semi Rev'!Q92-'Semi Rev'!M92)&gt;=1),('Semi OpInc'!Q92-'Semi OpInc'!M92)/('Semi Rev'!Q92-'Semi Rev'!M92),""),"")</f>
        <v/>
      </c>
      <c r="N1229" s="38">
        <f>IFERROR(IF(AND(ISNUMBER('Semi OpInc'!R92),ISNUMBER('Semi OpInc'!N92),ISNUMBER('Semi Rev'!R92),ISNUMBER('Semi Rev'!N92),ABS('Semi Rev'!R92-'Semi Rev'!N92)&gt;=1),('Semi OpInc'!R92-'Semi OpInc'!N92)/('Semi Rev'!R92-'Semi Rev'!N92),""),"")</f>
        <v/>
      </c>
    </row>
    <row r="1230">
      <c r="A1230" s="19">
        <f>'Semi Rev'!$A93</f>
        <v/>
      </c>
      <c r="B1230" s="19">
        <f>'Semi Rev'!$B93</f>
        <v/>
      </c>
      <c r="C1230" s="37">
        <f>IFERROR(IF(AND(ISNUMBER('Semi OpInc'!G93),ISNUMBER('Semi OpInc'!C93),ISNUMBER('Semi Rev'!G93),ISNUMBER('Semi Rev'!C93),ABS('Semi Rev'!G93-'Semi Rev'!C93)&gt;=1),('Semi OpInc'!G93-'Semi OpInc'!C93)/('Semi Rev'!G93-'Semi Rev'!C93),""),"")</f>
        <v/>
      </c>
      <c r="D1230" s="37">
        <f>IFERROR(IF(AND(ISNUMBER('Semi OpInc'!H93),ISNUMBER('Semi OpInc'!D93),ISNUMBER('Semi Rev'!H93),ISNUMBER('Semi Rev'!D93),ABS('Semi Rev'!H93-'Semi Rev'!D93)&gt;=1),('Semi OpInc'!H93-'Semi OpInc'!D93)/('Semi Rev'!H93-'Semi Rev'!D93),""),"")</f>
        <v/>
      </c>
      <c r="E1230" s="37">
        <f>IFERROR(IF(AND(ISNUMBER('Semi OpInc'!I93),ISNUMBER('Semi OpInc'!E93),ISNUMBER('Semi Rev'!I93),ISNUMBER('Semi Rev'!E93),ABS('Semi Rev'!I93-'Semi Rev'!E93)&gt;=1),('Semi OpInc'!I93-'Semi OpInc'!E93)/('Semi Rev'!I93-'Semi Rev'!E93),""),"")</f>
        <v/>
      </c>
      <c r="F1230" s="37">
        <f>IFERROR(IF(AND(ISNUMBER('Semi OpInc'!J93),ISNUMBER('Semi OpInc'!F93),ISNUMBER('Semi Rev'!J93),ISNUMBER('Semi Rev'!F93),ABS('Semi Rev'!J93-'Semi Rev'!F93)&gt;=1),('Semi OpInc'!J93-'Semi OpInc'!F93)/('Semi Rev'!J93-'Semi Rev'!F93),""),"")</f>
        <v/>
      </c>
      <c r="G1230" s="37">
        <f>IFERROR(IF(AND(ISNUMBER('Semi OpInc'!K93),ISNUMBER('Semi OpInc'!G93),ISNUMBER('Semi Rev'!K93),ISNUMBER('Semi Rev'!G93),ABS('Semi Rev'!K93-'Semi Rev'!G93)&gt;=1),('Semi OpInc'!K93-'Semi OpInc'!G93)/('Semi Rev'!K93-'Semi Rev'!G93),""),"")</f>
        <v/>
      </c>
      <c r="H1230" s="37">
        <f>IFERROR(IF(AND(ISNUMBER('Semi OpInc'!L93),ISNUMBER('Semi OpInc'!H93),ISNUMBER('Semi Rev'!L93),ISNUMBER('Semi Rev'!H93),ABS('Semi Rev'!L93-'Semi Rev'!H93)&gt;=1),('Semi OpInc'!L93-'Semi OpInc'!H93)/('Semi Rev'!L93-'Semi Rev'!H93),""),"")</f>
        <v/>
      </c>
      <c r="I1230" s="37">
        <f>IFERROR(IF(AND(ISNUMBER('Semi OpInc'!M93),ISNUMBER('Semi OpInc'!I93),ISNUMBER('Semi Rev'!M93),ISNUMBER('Semi Rev'!I93),ABS('Semi Rev'!M93-'Semi Rev'!I93)&gt;=1),('Semi OpInc'!M93-'Semi OpInc'!I93)/('Semi Rev'!M93-'Semi Rev'!I93),""),"")</f>
        <v/>
      </c>
      <c r="J1230" s="37">
        <f>IFERROR(IF(AND(ISNUMBER('Semi OpInc'!N93),ISNUMBER('Semi OpInc'!J93),ISNUMBER('Semi Rev'!N93),ISNUMBER('Semi Rev'!J93),ABS('Semi Rev'!N93-'Semi Rev'!J93)&gt;=1),('Semi OpInc'!N93-'Semi OpInc'!J93)/('Semi Rev'!N93-'Semi Rev'!J93),""),"")</f>
        <v/>
      </c>
      <c r="K1230" s="37">
        <f>IFERROR(IF(AND(ISNUMBER('Semi OpInc'!O93),ISNUMBER('Semi OpInc'!K93),ISNUMBER('Semi Rev'!O93),ISNUMBER('Semi Rev'!K93),ABS('Semi Rev'!O93-'Semi Rev'!K93)&gt;=1),('Semi OpInc'!O93-'Semi OpInc'!K93)/('Semi Rev'!O93-'Semi Rev'!K93),""),"")</f>
        <v/>
      </c>
      <c r="L1230" s="37">
        <f>IFERROR(IF(AND(ISNUMBER('Semi OpInc'!P93),ISNUMBER('Semi OpInc'!L93),ISNUMBER('Semi Rev'!P93),ISNUMBER('Semi Rev'!L93),ABS('Semi Rev'!P93-'Semi Rev'!L93)&gt;=1),('Semi OpInc'!P93-'Semi OpInc'!L93)/('Semi Rev'!P93-'Semi Rev'!L93),""),"")</f>
        <v/>
      </c>
      <c r="M1230" s="38">
        <f>IFERROR(IF(AND(ISNUMBER('Semi OpInc'!Q93),ISNUMBER('Semi OpInc'!M93),ISNUMBER('Semi Rev'!Q93),ISNUMBER('Semi Rev'!M93),ABS('Semi Rev'!Q93-'Semi Rev'!M93)&gt;=1),('Semi OpInc'!Q93-'Semi OpInc'!M93)/('Semi Rev'!Q93-'Semi Rev'!M93),""),"")</f>
        <v/>
      </c>
      <c r="N1230" s="38">
        <f>IFERROR(IF(AND(ISNUMBER('Semi OpInc'!R93),ISNUMBER('Semi OpInc'!N93),ISNUMBER('Semi Rev'!R93),ISNUMBER('Semi Rev'!N93),ABS('Semi Rev'!R93-'Semi Rev'!N93)&gt;=1),('Semi OpInc'!R93-'Semi OpInc'!N93)/('Semi Rev'!R93-'Semi Rev'!N93),""),"")</f>
        <v/>
      </c>
    </row>
    <row r="1231">
      <c r="A1231" s="19">
        <f>'Semi Rev'!$A94</f>
        <v/>
      </c>
      <c r="B1231" s="19">
        <f>'Semi Rev'!$B94</f>
        <v/>
      </c>
      <c r="C1231" s="37">
        <f>IFERROR(IF(AND(ISNUMBER('Semi OpInc'!G94),ISNUMBER('Semi OpInc'!C94),ISNUMBER('Semi Rev'!G94),ISNUMBER('Semi Rev'!C94),ABS('Semi Rev'!G94-'Semi Rev'!C94)&gt;=1),('Semi OpInc'!G94-'Semi OpInc'!C94)/('Semi Rev'!G94-'Semi Rev'!C94),""),"")</f>
        <v/>
      </c>
      <c r="D1231" s="37">
        <f>IFERROR(IF(AND(ISNUMBER('Semi OpInc'!H94),ISNUMBER('Semi OpInc'!D94),ISNUMBER('Semi Rev'!H94),ISNUMBER('Semi Rev'!D94),ABS('Semi Rev'!H94-'Semi Rev'!D94)&gt;=1),('Semi OpInc'!H94-'Semi OpInc'!D94)/('Semi Rev'!H94-'Semi Rev'!D94),""),"")</f>
        <v/>
      </c>
      <c r="E1231" s="37">
        <f>IFERROR(IF(AND(ISNUMBER('Semi OpInc'!I94),ISNUMBER('Semi OpInc'!E94),ISNUMBER('Semi Rev'!I94),ISNUMBER('Semi Rev'!E94),ABS('Semi Rev'!I94-'Semi Rev'!E94)&gt;=1),('Semi OpInc'!I94-'Semi OpInc'!E94)/('Semi Rev'!I94-'Semi Rev'!E94),""),"")</f>
        <v/>
      </c>
      <c r="F1231" s="37">
        <f>IFERROR(IF(AND(ISNUMBER('Semi OpInc'!J94),ISNUMBER('Semi OpInc'!F94),ISNUMBER('Semi Rev'!J94),ISNUMBER('Semi Rev'!F94),ABS('Semi Rev'!J94-'Semi Rev'!F94)&gt;=1),('Semi OpInc'!J94-'Semi OpInc'!F94)/('Semi Rev'!J94-'Semi Rev'!F94),""),"")</f>
        <v/>
      </c>
      <c r="G1231" s="37">
        <f>IFERROR(IF(AND(ISNUMBER('Semi OpInc'!K94),ISNUMBER('Semi OpInc'!G94),ISNUMBER('Semi Rev'!K94),ISNUMBER('Semi Rev'!G94),ABS('Semi Rev'!K94-'Semi Rev'!G94)&gt;=1),('Semi OpInc'!K94-'Semi OpInc'!G94)/('Semi Rev'!K94-'Semi Rev'!G94),""),"")</f>
        <v/>
      </c>
      <c r="H1231" s="37">
        <f>IFERROR(IF(AND(ISNUMBER('Semi OpInc'!L94),ISNUMBER('Semi OpInc'!H94),ISNUMBER('Semi Rev'!L94),ISNUMBER('Semi Rev'!H94),ABS('Semi Rev'!L94-'Semi Rev'!H94)&gt;=1),('Semi OpInc'!L94-'Semi OpInc'!H94)/('Semi Rev'!L94-'Semi Rev'!H94),""),"")</f>
        <v/>
      </c>
      <c r="I1231" s="37">
        <f>IFERROR(IF(AND(ISNUMBER('Semi OpInc'!M94),ISNUMBER('Semi OpInc'!I94),ISNUMBER('Semi Rev'!M94),ISNUMBER('Semi Rev'!I94),ABS('Semi Rev'!M94-'Semi Rev'!I94)&gt;=1),('Semi OpInc'!M94-'Semi OpInc'!I94)/('Semi Rev'!M94-'Semi Rev'!I94),""),"")</f>
        <v/>
      </c>
      <c r="J1231" s="37">
        <f>IFERROR(IF(AND(ISNUMBER('Semi OpInc'!N94),ISNUMBER('Semi OpInc'!J94),ISNUMBER('Semi Rev'!N94),ISNUMBER('Semi Rev'!J94),ABS('Semi Rev'!N94-'Semi Rev'!J94)&gt;=1),('Semi OpInc'!N94-'Semi OpInc'!J94)/('Semi Rev'!N94-'Semi Rev'!J94),""),"")</f>
        <v/>
      </c>
      <c r="K1231" s="37">
        <f>IFERROR(IF(AND(ISNUMBER('Semi OpInc'!O94),ISNUMBER('Semi OpInc'!K94),ISNUMBER('Semi Rev'!O94),ISNUMBER('Semi Rev'!K94),ABS('Semi Rev'!O94-'Semi Rev'!K94)&gt;=1),('Semi OpInc'!O94-'Semi OpInc'!K94)/('Semi Rev'!O94-'Semi Rev'!K94),""),"")</f>
        <v/>
      </c>
      <c r="L1231" s="37">
        <f>IFERROR(IF(AND(ISNUMBER('Semi OpInc'!P94),ISNUMBER('Semi OpInc'!L94),ISNUMBER('Semi Rev'!P94),ISNUMBER('Semi Rev'!L94),ABS('Semi Rev'!P94-'Semi Rev'!L94)&gt;=1),('Semi OpInc'!P94-'Semi OpInc'!L94)/('Semi Rev'!P94-'Semi Rev'!L94),""),"")</f>
        <v/>
      </c>
      <c r="M1231" s="38">
        <f>IFERROR(IF(AND(ISNUMBER('Semi OpInc'!Q94),ISNUMBER('Semi OpInc'!M94),ISNUMBER('Semi Rev'!Q94),ISNUMBER('Semi Rev'!M94),ABS('Semi Rev'!Q94-'Semi Rev'!M94)&gt;=1),('Semi OpInc'!Q94-'Semi OpInc'!M94)/('Semi Rev'!Q94-'Semi Rev'!M94),""),"")</f>
        <v/>
      </c>
      <c r="N1231" s="38">
        <f>IFERROR(IF(AND(ISNUMBER('Semi OpInc'!R94),ISNUMBER('Semi OpInc'!N94),ISNUMBER('Semi Rev'!R94),ISNUMBER('Semi Rev'!N94),ABS('Semi Rev'!R94-'Semi Rev'!N94)&gt;=1),('Semi OpInc'!R94-'Semi OpInc'!N94)/('Semi Rev'!R94-'Semi Rev'!N94),""),"")</f>
        <v/>
      </c>
    </row>
    <row r="1232">
      <c r="A1232" s="19">
        <f>'Semi Rev'!$A95</f>
        <v/>
      </c>
      <c r="B1232" s="19">
        <f>'Semi Rev'!$B95</f>
        <v/>
      </c>
      <c r="C1232" s="37">
        <f>IFERROR(IF(AND(ISNUMBER('Semi OpInc'!G95),ISNUMBER('Semi OpInc'!C95),ISNUMBER('Semi Rev'!G95),ISNUMBER('Semi Rev'!C95),ABS('Semi Rev'!G95-'Semi Rev'!C95)&gt;=1),('Semi OpInc'!G95-'Semi OpInc'!C95)/('Semi Rev'!G95-'Semi Rev'!C95),""),"")</f>
        <v/>
      </c>
      <c r="D1232" s="37">
        <f>IFERROR(IF(AND(ISNUMBER('Semi OpInc'!H95),ISNUMBER('Semi OpInc'!D95),ISNUMBER('Semi Rev'!H95),ISNUMBER('Semi Rev'!D95),ABS('Semi Rev'!H95-'Semi Rev'!D95)&gt;=1),('Semi OpInc'!H95-'Semi OpInc'!D95)/('Semi Rev'!H95-'Semi Rev'!D95),""),"")</f>
        <v/>
      </c>
      <c r="E1232" s="37">
        <f>IFERROR(IF(AND(ISNUMBER('Semi OpInc'!I95),ISNUMBER('Semi OpInc'!E95),ISNUMBER('Semi Rev'!I95),ISNUMBER('Semi Rev'!E95),ABS('Semi Rev'!I95-'Semi Rev'!E95)&gt;=1),('Semi OpInc'!I95-'Semi OpInc'!E95)/('Semi Rev'!I95-'Semi Rev'!E95),""),"")</f>
        <v/>
      </c>
      <c r="F1232" s="37">
        <f>IFERROR(IF(AND(ISNUMBER('Semi OpInc'!J95),ISNUMBER('Semi OpInc'!F95),ISNUMBER('Semi Rev'!J95),ISNUMBER('Semi Rev'!F95),ABS('Semi Rev'!J95-'Semi Rev'!F95)&gt;=1),('Semi OpInc'!J95-'Semi OpInc'!F95)/('Semi Rev'!J95-'Semi Rev'!F95),""),"")</f>
        <v/>
      </c>
      <c r="G1232" s="37">
        <f>IFERROR(IF(AND(ISNUMBER('Semi OpInc'!K95),ISNUMBER('Semi OpInc'!G95),ISNUMBER('Semi Rev'!K95),ISNUMBER('Semi Rev'!G95),ABS('Semi Rev'!K95-'Semi Rev'!G95)&gt;=1),('Semi OpInc'!K95-'Semi OpInc'!G95)/('Semi Rev'!K95-'Semi Rev'!G95),""),"")</f>
        <v/>
      </c>
      <c r="H1232" s="37">
        <f>IFERROR(IF(AND(ISNUMBER('Semi OpInc'!L95),ISNUMBER('Semi OpInc'!H95),ISNUMBER('Semi Rev'!L95),ISNUMBER('Semi Rev'!H95),ABS('Semi Rev'!L95-'Semi Rev'!H95)&gt;=1),('Semi OpInc'!L95-'Semi OpInc'!H95)/('Semi Rev'!L95-'Semi Rev'!H95),""),"")</f>
        <v/>
      </c>
      <c r="I1232" s="37">
        <f>IFERROR(IF(AND(ISNUMBER('Semi OpInc'!M95),ISNUMBER('Semi OpInc'!I95),ISNUMBER('Semi Rev'!M95),ISNUMBER('Semi Rev'!I95),ABS('Semi Rev'!M95-'Semi Rev'!I95)&gt;=1),('Semi OpInc'!M95-'Semi OpInc'!I95)/('Semi Rev'!M95-'Semi Rev'!I95),""),"")</f>
        <v/>
      </c>
      <c r="J1232" s="37">
        <f>IFERROR(IF(AND(ISNUMBER('Semi OpInc'!N95),ISNUMBER('Semi OpInc'!J95),ISNUMBER('Semi Rev'!N95),ISNUMBER('Semi Rev'!J95),ABS('Semi Rev'!N95-'Semi Rev'!J95)&gt;=1),('Semi OpInc'!N95-'Semi OpInc'!J95)/('Semi Rev'!N95-'Semi Rev'!J95),""),"")</f>
        <v/>
      </c>
      <c r="K1232" s="37">
        <f>IFERROR(IF(AND(ISNUMBER('Semi OpInc'!O95),ISNUMBER('Semi OpInc'!K95),ISNUMBER('Semi Rev'!O95),ISNUMBER('Semi Rev'!K95),ABS('Semi Rev'!O95-'Semi Rev'!K95)&gt;=1),('Semi OpInc'!O95-'Semi OpInc'!K95)/('Semi Rev'!O95-'Semi Rev'!K95),""),"")</f>
        <v/>
      </c>
      <c r="L1232" s="37">
        <f>IFERROR(IF(AND(ISNUMBER('Semi OpInc'!P95),ISNUMBER('Semi OpInc'!L95),ISNUMBER('Semi Rev'!P95),ISNUMBER('Semi Rev'!L95),ABS('Semi Rev'!P95-'Semi Rev'!L95)&gt;=1),('Semi OpInc'!P95-'Semi OpInc'!L95)/('Semi Rev'!P95-'Semi Rev'!L95),""),"")</f>
        <v/>
      </c>
      <c r="M1232" s="38">
        <f>IFERROR(IF(AND(ISNUMBER('Semi OpInc'!Q95),ISNUMBER('Semi OpInc'!M95),ISNUMBER('Semi Rev'!Q95),ISNUMBER('Semi Rev'!M95),ABS('Semi Rev'!Q95-'Semi Rev'!M95)&gt;=1),('Semi OpInc'!Q95-'Semi OpInc'!M95)/('Semi Rev'!Q95-'Semi Rev'!M95),""),"")</f>
        <v/>
      </c>
      <c r="N1232" s="38">
        <f>IFERROR(IF(AND(ISNUMBER('Semi OpInc'!R95),ISNUMBER('Semi OpInc'!N95),ISNUMBER('Semi Rev'!R95),ISNUMBER('Semi Rev'!N95),ABS('Semi Rev'!R95-'Semi Rev'!N95)&gt;=1),('Semi OpInc'!R95-'Semi OpInc'!N95)/('Semi Rev'!R95-'Semi Rev'!N95),""),"")</f>
        <v/>
      </c>
    </row>
    <row r="1233">
      <c r="A1233" s="19">
        <f>'Semi Rev'!$A96</f>
        <v/>
      </c>
      <c r="B1233" s="19">
        <f>'Semi Rev'!$B96</f>
        <v/>
      </c>
      <c r="C1233" s="37">
        <f>IFERROR(IF(AND(ISNUMBER('Semi OpInc'!G96),ISNUMBER('Semi OpInc'!C96),ISNUMBER('Semi Rev'!G96),ISNUMBER('Semi Rev'!C96),ABS('Semi Rev'!G96-'Semi Rev'!C96)&gt;=1),('Semi OpInc'!G96-'Semi OpInc'!C96)/('Semi Rev'!G96-'Semi Rev'!C96),""),"")</f>
        <v/>
      </c>
      <c r="D1233" s="37">
        <f>IFERROR(IF(AND(ISNUMBER('Semi OpInc'!H96),ISNUMBER('Semi OpInc'!D96),ISNUMBER('Semi Rev'!H96),ISNUMBER('Semi Rev'!D96),ABS('Semi Rev'!H96-'Semi Rev'!D96)&gt;=1),('Semi OpInc'!H96-'Semi OpInc'!D96)/('Semi Rev'!H96-'Semi Rev'!D96),""),"")</f>
        <v/>
      </c>
      <c r="E1233" s="37">
        <f>IFERROR(IF(AND(ISNUMBER('Semi OpInc'!I96),ISNUMBER('Semi OpInc'!E96),ISNUMBER('Semi Rev'!I96),ISNUMBER('Semi Rev'!E96),ABS('Semi Rev'!I96-'Semi Rev'!E96)&gt;=1),('Semi OpInc'!I96-'Semi OpInc'!E96)/('Semi Rev'!I96-'Semi Rev'!E96),""),"")</f>
        <v/>
      </c>
      <c r="F1233" s="37">
        <f>IFERROR(IF(AND(ISNUMBER('Semi OpInc'!J96),ISNUMBER('Semi OpInc'!F96),ISNUMBER('Semi Rev'!J96),ISNUMBER('Semi Rev'!F96),ABS('Semi Rev'!J96-'Semi Rev'!F96)&gt;=1),('Semi OpInc'!J96-'Semi OpInc'!F96)/('Semi Rev'!J96-'Semi Rev'!F96),""),"")</f>
        <v/>
      </c>
      <c r="G1233" s="37">
        <f>IFERROR(IF(AND(ISNUMBER('Semi OpInc'!K96),ISNUMBER('Semi OpInc'!G96),ISNUMBER('Semi Rev'!K96),ISNUMBER('Semi Rev'!G96),ABS('Semi Rev'!K96-'Semi Rev'!G96)&gt;=1),('Semi OpInc'!K96-'Semi OpInc'!G96)/('Semi Rev'!K96-'Semi Rev'!G96),""),"")</f>
        <v/>
      </c>
      <c r="H1233" s="37">
        <f>IFERROR(IF(AND(ISNUMBER('Semi OpInc'!L96),ISNUMBER('Semi OpInc'!H96),ISNUMBER('Semi Rev'!L96),ISNUMBER('Semi Rev'!H96),ABS('Semi Rev'!L96-'Semi Rev'!H96)&gt;=1),('Semi OpInc'!L96-'Semi OpInc'!H96)/('Semi Rev'!L96-'Semi Rev'!H96),""),"")</f>
        <v/>
      </c>
      <c r="I1233" s="37">
        <f>IFERROR(IF(AND(ISNUMBER('Semi OpInc'!M96),ISNUMBER('Semi OpInc'!I96),ISNUMBER('Semi Rev'!M96),ISNUMBER('Semi Rev'!I96),ABS('Semi Rev'!M96-'Semi Rev'!I96)&gt;=1),('Semi OpInc'!M96-'Semi OpInc'!I96)/('Semi Rev'!M96-'Semi Rev'!I96),""),"")</f>
        <v/>
      </c>
      <c r="J1233" s="37">
        <f>IFERROR(IF(AND(ISNUMBER('Semi OpInc'!N96),ISNUMBER('Semi OpInc'!J96),ISNUMBER('Semi Rev'!N96),ISNUMBER('Semi Rev'!J96),ABS('Semi Rev'!N96-'Semi Rev'!J96)&gt;=1),('Semi OpInc'!N96-'Semi OpInc'!J96)/('Semi Rev'!N96-'Semi Rev'!J96),""),"")</f>
        <v/>
      </c>
      <c r="K1233" s="37">
        <f>IFERROR(IF(AND(ISNUMBER('Semi OpInc'!O96),ISNUMBER('Semi OpInc'!K96),ISNUMBER('Semi Rev'!O96),ISNUMBER('Semi Rev'!K96),ABS('Semi Rev'!O96-'Semi Rev'!K96)&gt;=1),('Semi OpInc'!O96-'Semi OpInc'!K96)/('Semi Rev'!O96-'Semi Rev'!K96),""),"")</f>
        <v/>
      </c>
      <c r="L1233" s="37">
        <f>IFERROR(IF(AND(ISNUMBER('Semi OpInc'!P96),ISNUMBER('Semi OpInc'!L96),ISNUMBER('Semi Rev'!P96),ISNUMBER('Semi Rev'!L96),ABS('Semi Rev'!P96-'Semi Rev'!L96)&gt;=1),('Semi OpInc'!P96-'Semi OpInc'!L96)/('Semi Rev'!P96-'Semi Rev'!L96),""),"")</f>
        <v/>
      </c>
      <c r="M1233" s="38">
        <f>IFERROR(IF(AND(ISNUMBER('Semi OpInc'!Q96),ISNUMBER('Semi OpInc'!M96),ISNUMBER('Semi Rev'!Q96),ISNUMBER('Semi Rev'!M96),ABS('Semi Rev'!Q96-'Semi Rev'!M96)&gt;=1),('Semi OpInc'!Q96-'Semi OpInc'!M96)/('Semi Rev'!Q96-'Semi Rev'!M96),""),"")</f>
        <v/>
      </c>
      <c r="N1233" s="38">
        <f>IFERROR(IF(AND(ISNUMBER('Semi OpInc'!R96),ISNUMBER('Semi OpInc'!N96),ISNUMBER('Semi Rev'!R96),ISNUMBER('Semi Rev'!N96),ABS('Semi Rev'!R96-'Semi Rev'!N96)&gt;=1),('Semi OpInc'!R96-'Semi OpInc'!N96)/('Semi Rev'!R96-'Semi Rev'!N96),""),"")</f>
        <v/>
      </c>
    </row>
    <row r="1234">
      <c r="A1234" s="19">
        <f>'Semi Rev'!$A97</f>
        <v/>
      </c>
      <c r="B1234" s="19">
        <f>'Semi Rev'!$B97</f>
        <v/>
      </c>
      <c r="C1234" s="37">
        <f>IFERROR(IF(AND(ISNUMBER('Semi OpInc'!G97),ISNUMBER('Semi OpInc'!C97),ISNUMBER('Semi Rev'!G97),ISNUMBER('Semi Rev'!C97),ABS('Semi Rev'!G97-'Semi Rev'!C97)&gt;=1),('Semi OpInc'!G97-'Semi OpInc'!C97)/('Semi Rev'!G97-'Semi Rev'!C97),""),"")</f>
        <v/>
      </c>
      <c r="D1234" s="37">
        <f>IFERROR(IF(AND(ISNUMBER('Semi OpInc'!H97),ISNUMBER('Semi OpInc'!D97),ISNUMBER('Semi Rev'!H97),ISNUMBER('Semi Rev'!D97),ABS('Semi Rev'!H97-'Semi Rev'!D97)&gt;=1),('Semi OpInc'!H97-'Semi OpInc'!D97)/('Semi Rev'!H97-'Semi Rev'!D97),""),"")</f>
        <v/>
      </c>
      <c r="E1234" s="37">
        <f>IFERROR(IF(AND(ISNUMBER('Semi OpInc'!I97),ISNUMBER('Semi OpInc'!E97),ISNUMBER('Semi Rev'!I97),ISNUMBER('Semi Rev'!E97),ABS('Semi Rev'!I97-'Semi Rev'!E97)&gt;=1),('Semi OpInc'!I97-'Semi OpInc'!E97)/('Semi Rev'!I97-'Semi Rev'!E97),""),"")</f>
        <v/>
      </c>
      <c r="F1234" s="37">
        <f>IFERROR(IF(AND(ISNUMBER('Semi OpInc'!J97),ISNUMBER('Semi OpInc'!F97),ISNUMBER('Semi Rev'!J97),ISNUMBER('Semi Rev'!F97),ABS('Semi Rev'!J97-'Semi Rev'!F97)&gt;=1),('Semi OpInc'!J97-'Semi OpInc'!F97)/('Semi Rev'!J97-'Semi Rev'!F97),""),"")</f>
        <v/>
      </c>
      <c r="G1234" s="37">
        <f>IFERROR(IF(AND(ISNUMBER('Semi OpInc'!K97),ISNUMBER('Semi OpInc'!G97),ISNUMBER('Semi Rev'!K97),ISNUMBER('Semi Rev'!G97),ABS('Semi Rev'!K97-'Semi Rev'!G97)&gt;=1),('Semi OpInc'!K97-'Semi OpInc'!G97)/('Semi Rev'!K97-'Semi Rev'!G97),""),"")</f>
        <v/>
      </c>
      <c r="H1234" s="37">
        <f>IFERROR(IF(AND(ISNUMBER('Semi OpInc'!L97),ISNUMBER('Semi OpInc'!H97),ISNUMBER('Semi Rev'!L97),ISNUMBER('Semi Rev'!H97),ABS('Semi Rev'!L97-'Semi Rev'!H97)&gt;=1),('Semi OpInc'!L97-'Semi OpInc'!H97)/('Semi Rev'!L97-'Semi Rev'!H97),""),"")</f>
        <v/>
      </c>
      <c r="I1234" s="37">
        <f>IFERROR(IF(AND(ISNUMBER('Semi OpInc'!M97),ISNUMBER('Semi OpInc'!I97),ISNUMBER('Semi Rev'!M97),ISNUMBER('Semi Rev'!I97),ABS('Semi Rev'!M97-'Semi Rev'!I97)&gt;=1),('Semi OpInc'!M97-'Semi OpInc'!I97)/('Semi Rev'!M97-'Semi Rev'!I97),""),"")</f>
        <v/>
      </c>
      <c r="J1234" s="37">
        <f>IFERROR(IF(AND(ISNUMBER('Semi OpInc'!N97),ISNUMBER('Semi OpInc'!J97),ISNUMBER('Semi Rev'!N97),ISNUMBER('Semi Rev'!J97),ABS('Semi Rev'!N97-'Semi Rev'!J97)&gt;=1),('Semi OpInc'!N97-'Semi OpInc'!J97)/('Semi Rev'!N97-'Semi Rev'!J97),""),"")</f>
        <v/>
      </c>
      <c r="K1234" s="37">
        <f>IFERROR(IF(AND(ISNUMBER('Semi OpInc'!O97),ISNUMBER('Semi OpInc'!K97),ISNUMBER('Semi Rev'!O97),ISNUMBER('Semi Rev'!K97),ABS('Semi Rev'!O97-'Semi Rev'!K97)&gt;=1),('Semi OpInc'!O97-'Semi OpInc'!K97)/('Semi Rev'!O97-'Semi Rev'!K97),""),"")</f>
        <v/>
      </c>
      <c r="L1234" s="37">
        <f>IFERROR(IF(AND(ISNUMBER('Semi OpInc'!P97),ISNUMBER('Semi OpInc'!L97),ISNUMBER('Semi Rev'!P97),ISNUMBER('Semi Rev'!L97),ABS('Semi Rev'!P97-'Semi Rev'!L97)&gt;=1),('Semi OpInc'!P97-'Semi OpInc'!L97)/('Semi Rev'!P97-'Semi Rev'!L97),""),"")</f>
        <v/>
      </c>
      <c r="M1234" s="38">
        <f>IFERROR(IF(AND(ISNUMBER('Semi OpInc'!Q97),ISNUMBER('Semi OpInc'!M97),ISNUMBER('Semi Rev'!Q97),ISNUMBER('Semi Rev'!M97),ABS('Semi Rev'!Q97-'Semi Rev'!M97)&gt;=1),('Semi OpInc'!Q97-'Semi OpInc'!M97)/('Semi Rev'!Q97-'Semi Rev'!M97),""),"")</f>
        <v/>
      </c>
      <c r="N1234" s="38">
        <f>IFERROR(IF(AND(ISNUMBER('Semi OpInc'!R97),ISNUMBER('Semi OpInc'!N97),ISNUMBER('Semi Rev'!R97),ISNUMBER('Semi Rev'!N97),ABS('Semi Rev'!R97-'Semi Rev'!N97)&gt;=1),('Semi OpInc'!R97-'Semi OpInc'!N97)/('Semi Rev'!R97-'Semi Rev'!N97),""),"")</f>
        <v/>
      </c>
    </row>
    <row r="1235">
      <c r="A1235" s="19">
        <f>'Semi Rev'!$A98</f>
        <v/>
      </c>
      <c r="B1235" s="19">
        <f>'Semi Rev'!$B98</f>
        <v/>
      </c>
      <c r="C1235" s="37">
        <f>IFERROR(IF(AND(ISNUMBER('Semi OpInc'!G98),ISNUMBER('Semi OpInc'!C98),ISNUMBER('Semi Rev'!G98),ISNUMBER('Semi Rev'!C98),ABS('Semi Rev'!G98-'Semi Rev'!C98)&gt;=1),('Semi OpInc'!G98-'Semi OpInc'!C98)/('Semi Rev'!G98-'Semi Rev'!C98),""),"")</f>
        <v/>
      </c>
      <c r="D1235" s="37">
        <f>IFERROR(IF(AND(ISNUMBER('Semi OpInc'!H98),ISNUMBER('Semi OpInc'!D98),ISNUMBER('Semi Rev'!H98),ISNUMBER('Semi Rev'!D98),ABS('Semi Rev'!H98-'Semi Rev'!D98)&gt;=1),('Semi OpInc'!H98-'Semi OpInc'!D98)/('Semi Rev'!H98-'Semi Rev'!D98),""),"")</f>
        <v/>
      </c>
      <c r="E1235" s="37">
        <f>IFERROR(IF(AND(ISNUMBER('Semi OpInc'!I98),ISNUMBER('Semi OpInc'!E98),ISNUMBER('Semi Rev'!I98),ISNUMBER('Semi Rev'!E98),ABS('Semi Rev'!I98-'Semi Rev'!E98)&gt;=1),('Semi OpInc'!I98-'Semi OpInc'!E98)/('Semi Rev'!I98-'Semi Rev'!E98),""),"")</f>
        <v/>
      </c>
      <c r="F1235" s="37">
        <f>IFERROR(IF(AND(ISNUMBER('Semi OpInc'!J98),ISNUMBER('Semi OpInc'!F98),ISNUMBER('Semi Rev'!J98),ISNUMBER('Semi Rev'!F98),ABS('Semi Rev'!J98-'Semi Rev'!F98)&gt;=1),('Semi OpInc'!J98-'Semi OpInc'!F98)/('Semi Rev'!J98-'Semi Rev'!F98),""),"")</f>
        <v/>
      </c>
      <c r="G1235" s="37">
        <f>IFERROR(IF(AND(ISNUMBER('Semi OpInc'!K98),ISNUMBER('Semi OpInc'!G98),ISNUMBER('Semi Rev'!K98),ISNUMBER('Semi Rev'!G98),ABS('Semi Rev'!K98-'Semi Rev'!G98)&gt;=1),('Semi OpInc'!K98-'Semi OpInc'!G98)/('Semi Rev'!K98-'Semi Rev'!G98),""),"")</f>
        <v/>
      </c>
      <c r="H1235" s="37">
        <f>IFERROR(IF(AND(ISNUMBER('Semi OpInc'!L98),ISNUMBER('Semi OpInc'!H98),ISNUMBER('Semi Rev'!L98),ISNUMBER('Semi Rev'!H98),ABS('Semi Rev'!L98-'Semi Rev'!H98)&gt;=1),('Semi OpInc'!L98-'Semi OpInc'!H98)/('Semi Rev'!L98-'Semi Rev'!H98),""),"")</f>
        <v/>
      </c>
      <c r="I1235" s="37">
        <f>IFERROR(IF(AND(ISNUMBER('Semi OpInc'!M98),ISNUMBER('Semi OpInc'!I98),ISNUMBER('Semi Rev'!M98),ISNUMBER('Semi Rev'!I98),ABS('Semi Rev'!M98-'Semi Rev'!I98)&gt;=1),('Semi OpInc'!M98-'Semi OpInc'!I98)/('Semi Rev'!M98-'Semi Rev'!I98),""),"")</f>
        <v/>
      </c>
      <c r="J1235" s="37">
        <f>IFERROR(IF(AND(ISNUMBER('Semi OpInc'!N98),ISNUMBER('Semi OpInc'!J98),ISNUMBER('Semi Rev'!N98),ISNUMBER('Semi Rev'!J98),ABS('Semi Rev'!N98-'Semi Rev'!J98)&gt;=1),('Semi OpInc'!N98-'Semi OpInc'!J98)/('Semi Rev'!N98-'Semi Rev'!J98),""),"")</f>
        <v/>
      </c>
      <c r="K1235" s="37">
        <f>IFERROR(IF(AND(ISNUMBER('Semi OpInc'!O98),ISNUMBER('Semi OpInc'!K98),ISNUMBER('Semi Rev'!O98),ISNUMBER('Semi Rev'!K98),ABS('Semi Rev'!O98-'Semi Rev'!K98)&gt;=1),('Semi OpInc'!O98-'Semi OpInc'!K98)/('Semi Rev'!O98-'Semi Rev'!K98),""),"")</f>
        <v/>
      </c>
      <c r="L1235" s="37">
        <f>IFERROR(IF(AND(ISNUMBER('Semi OpInc'!P98),ISNUMBER('Semi OpInc'!L98),ISNUMBER('Semi Rev'!P98),ISNUMBER('Semi Rev'!L98),ABS('Semi Rev'!P98-'Semi Rev'!L98)&gt;=1),('Semi OpInc'!P98-'Semi OpInc'!L98)/('Semi Rev'!P98-'Semi Rev'!L98),""),"")</f>
        <v/>
      </c>
      <c r="M1235" s="38">
        <f>IFERROR(IF(AND(ISNUMBER('Semi OpInc'!Q98),ISNUMBER('Semi OpInc'!M98),ISNUMBER('Semi Rev'!Q98),ISNUMBER('Semi Rev'!M98),ABS('Semi Rev'!Q98-'Semi Rev'!M98)&gt;=1),('Semi OpInc'!Q98-'Semi OpInc'!M98)/('Semi Rev'!Q98-'Semi Rev'!M98),""),"")</f>
        <v/>
      </c>
      <c r="N1235" s="38">
        <f>IFERROR(IF(AND(ISNUMBER('Semi OpInc'!R98),ISNUMBER('Semi OpInc'!N98),ISNUMBER('Semi Rev'!R98),ISNUMBER('Semi Rev'!N98),ABS('Semi Rev'!R98-'Semi Rev'!N98)&gt;=1),('Semi OpInc'!R98-'Semi OpInc'!N98)/('Semi Rev'!R98-'Semi Rev'!N98),""),"")</f>
        <v/>
      </c>
    </row>
    <row r="1236">
      <c r="A1236" s="19">
        <f>'Semi Rev'!$A99</f>
        <v/>
      </c>
      <c r="B1236" s="19">
        <f>'Semi Rev'!$B99</f>
        <v/>
      </c>
      <c r="C1236" s="37">
        <f>IFERROR(IF(AND(ISNUMBER('Semi OpInc'!G99),ISNUMBER('Semi OpInc'!C99),ISNUMBER('Semi Rev'!G99),ISNUMBER('Semi Rev'!C99),ABS('Semi Rev'!G99-'Semi Rev'!C99)&gt;=1),('Semi OpInc'!G99-'Semi OpInc'!C99)/('Semi Rev'!G99-'Semi Rev'!C99),""),"")</f>
        <v/>
      </c>
      <c r="D1236" s="37">
        <f>IFERROR(IF(AND(ISNUMBER('Semi OpInc'!H99),ISNUMBER('Semi OpInc'!D99),ISNUMBER('Semi Rev'!H99),ISNUMBER('Semi Rev'!D99),ABS('Semi Rev'!H99-'Semi Rev'!D99)&gt;=1),('Semi OpInc'!H99-'Semi OpInc'!D99)/('Semi Rev'!H99-'Semi Rev'!D99),""),"")</f>
        <v/>
      </c>
      <c r="E1236" s="37">
        <f>IFERROR(IF(AND(ISNUMBER('Semi OpInc'!I99),ISNUMBER('Semi OpInc'!E99),ISNUMBER('Semi Rev'!I99),ISNUMBER('Semi Rev'!E99),ABS('Semi Rev'!I99-'Semi Rev'!E99)&gt;=1),('Semi OpInc'!I99-'Semi OpInc'!E99)/('Semi Rev'!I99-'Semi Rev'!E99),""),"")</f>
        <v/>
      </c>
      <c r="F1236" s="37">
        <f>IFERROR(IF(AND(ISNUMBER('Semi OpInc'!J99),ISNUMBER('Semi OpInc'!F99),ISNUMBER('Semi Rev'!J99),ISNUMBER('Semi Rev'!F99),ABS('Semi Rev'!J99-'Semi Rev'!F99)&gt;=1),('Semi OpInc'!J99-'Semi OpInc'!F99)/('Semi Rev'!J99-'Semi Rev'!F99),""),"")</f>
        <v/>
      </c>
      <c r="G1236" s="37">
        <f>IFERROR(IF(AND(ISNUMBER('Semi OpInc'!K99),ISNUMBER('Semi OpInc'!G99),ISNUMBER('Semi Rev'!K99),ISNUMBER('Semi Rev'!G99),ABS('Semi Rev'!K99-'Semi Rev'!G99)&gt;=1),('Semi OpInc'!K99-'Semi OpInc'!G99)/('Semi Rev'!K99-'Semi Rev'!G99),""),"")</f>
        <v/>
      </c>
      <c r="H1236" s="37">
        <f>IFERROR(IF(AND(ISNUMBER('Semi OpInc'!L99),ISNUMBER('Semi OpInc'!H99),ISNUMBER('Semi Rev'!L99),ISNUMBER('Semi Rev'!H99),ABS('Semi Rev'!L99-'Semi Rev'!H99)&gt;=1),('Semi OpInc'!L99-'Semi OpInc'!H99)/('Semi Rev'!L99-'Semi Rev'!H99),""),"")</f>
        <v/>
      </c>
      <c r="I1236" s="37">
        <f>IFERROR(IF(AND(ISNUMBER('Semi OpInc'!M99),ISNUMBER('Semi OpInc'!I99),ISNUMBER('Semi Rev'!M99),ISNUMBER('Semi Rev'!I99),ABS('Semi Rev'!M99-'Semi Rev'!I99)&gt;=1),('Semi OpInc'!M99-'Semi OpInc'!I99)/('Semi Rev'!M99-'Semi Rev'!I99),""),"")</f>
        <v/>
      </c>
      <c r="J1236" s="37">
        <f>IFERROR(IF(AND(ISNUMBER('Semi OpInc'!N99),ISNUMBER('Semi OpInc'!J99),ISNUMBER('Semi Rev'!N99),ISNUMBER('Semi Rev'!J99),ABS('Semi Rev'!N99-'Semi Rev'!J99)&gt;=1),('Semi OpInc'!N99-'Semi OpInc'!J99)/('Semi Rev'!N99-'Semi Rev'!J99),""),"")</f>
        <v/>
      </c>
      <c r="K1236" s="37">
        <f>IFERROR(IF(AND(ISNUMBER('Semi OpInc'!O99),ISNUMBER('Semi OpInc'!K99),ISNUMBER('Semi Rev'!O99),ISNUMBER('Semi Rev'!K99),ABS('Semi Rev'!O99-'Semi Rev'!K99)&gt;=1),('Semi OpInc'!O99-'Semi OpInc'!K99)/('Semi Rev'!O99-'Semi Rev'!K99),""),"")</f>
        <v/>
      </c>
      <c r="L1236" s="37">
        <f>IFERROR(IF(AND(ISNUMBER('Semi OpInc'!P99),ISNUMBER('Semi OpInc'!L99),ISNUMBER('Semi Rev'!P99),ISNUMBER('Semi Rev'!L99),ABS('Semi Rev'!P99-'Semi Rev'!L99)&gt;=1),('Semi OpInc'!P99-'Semi OpInc'!L99)/('Semi Rev'!P99-'Semi Rev'!L99),""),"")</f>
        <v/>
      </c>
      <c r="M1236" s="38">
        <f>IFERROR(IF(AND(ISNUMBER('Semi OpInc'!Q99),ISNUMBER('Semi OpInc'!M99),ISNUMBER('Semi Rev'!Q99),ISNUMBER('Semi Rev'!M99),ABS('Semi Rev'!Q99-'Semi Rev'!M99)&gt;=1),('Semi OpInc'!Q99-'Semi OpInc'!M99)/('Semi Rev'!Q99-'Semi Rev'!M99),""),"")</f>
        <v/>
      </c>
      <c r="N1236" s="38">
        <f>IFERROR(IF(AND(ISNUMBER('Semi OpInc'!R99),ISNUMBER('Semi OpInc'!N99),ISNUMBER('Semi Rev'!R99),ISNUMBER('Semi Rev'!N99),ABS('Semi Rev'!R99-'Semi Rev'!N99)&gt;=1),('Semi OpInc'!R99-'Semi OpInc'!N99)/('Semi Rev'!R99-'Semi Rev'!N99),""),"")</f>
        <v/>
      </c>
    </row>
    <row r="1237">
      <c r="A1237" s="19">
        <f>'Semi Rev'!$A100</f>
        <v/>
      </c>
      <c r="B1237" s="19">
        <f>'Semi Rev'!$B100</f>
        <v/>
      </c>
      <c r="C1237" s="37">
        <f>IFERROR(IF(AND(ISNUMBER('Semi OpInc'!G100),ISNUMBER('Semi OpInc'!C100),ISNUMBER('Semi Rev'!G100),ISNUMBER('Semi Rev'!C100),ABS('Semi Rev'!G100-'Semi Rev'!C100)&gt;=1),('Semi OpInc'!G100-'Semi OpInc'!C100)/('Semi Rev'!G100-'Semi Rev'!C100),""),"")</f>
        <v/>
      </c>
      <c r="D1237" s="37">
        <f>IFERROR(IF(AND(ISNUMBER('Semi OpInc'!H100),ISNUMBER('Semi OpInc'!D100),ISNUMBER('Semi Rev'!H100),ISNUMBER('Semi Rev'!D100),ABS('Semi Rev'!H100-'Semi Rev'!D100)&gt;=1),('Semi OpInc'!H100-'Semi OpInc'!D100)/('Semi Rev'!H100-'Semi Rev'!D100),""),"")</f>
        <v/>
      </c>
      <c r="E1237" s="37">
        <f>IFERROR(IF(AND(ISNUMBER('Semi OpInc'!I100),ISNUMBER('Semi OpInc'!E100),ISNUMBER('Semi Rev'!I100),ISNUMBER('Semi Rev'!E100),ABS('Semi Rev'!I100-'Semi Rev'!E100)&gt;=1),('Semi OpInc'!I100-'Semi OpInc'!E100)/('Semi Rev'!I100-'Semi Rev'!E100),""),"")</f>
        <v/>
      </c>
      <c r="F1237" s="37">
        <f>IFERROR(IF(AND(ISNUMBER('Semi OpInc'!J100),ISNUMBER('Semi OpInc'!F100),ISNUMBER('Semi Rev'!J100),ISNUMBER('Semi Rev'!F100),ABS('Semi Rev'!J100-'Semi Rev'!F100)&gt;=1),('Semi OpInc'!J100-'Semi OpInc'!F100)/('Semi Rev'!J100-'Semi Rev'!F100),""),"")</f>
        <v/>
      </c>
      <c r="G1237" s="37">
        <f>IFERROR(IF(AND(ISNUMBER('Semi OpInc'!K100),ISNUMBER('Semi OpInc'!G100),ISNUMBER('Semi Rev'!K100),ISNUMBER('Semi Rev'!G100),ABS('Semi Rev'!K100-'Semi Rev'!G100)&gt;=1),('Semi OpInc'!K100-'Semi OpInc'!G100)/('Semi Rev'!K100-'Semi Rev'!G100),""),"")</f>
        <v/>
      </c>
      <c r="H1237" s="37">
        <f>IFERROR(IF(AND(ISNUMBER('Semi OpInc'!L100),ISNUMBER('Semi OpInc'!H100),ISNUMBER('Semi Rev'!L100),ISNUMBER('Semi Rev'!H100),ABS('Semi Rev'!L100-'Semi Rev'!H100)&gt;=1),('Semi OpInc'!L100-'Semi OpInc'!H100)/('Semi Rev'!L100-'Semi Rev'!H100),""),"")</f>
        <v/>
      </c>
      <c r="I1237" s="37">
        <f>IFERROR(IF(AND(ISNUMBER('Semi OpInc'!M100),ISNUMBER('Semi OpInc'!I100),ISNUMBER('Semi Rev'!M100),ISNUMBER('Semi Rev'!I100),ABS('Semi Rev'!M100-'Semi Rev'!I100)&gt;=1),('Semi OpInc'!M100-'Semi OpInc'!I100)/('Semi Rev'!M100-'Semi Rev'!I100),""),"")</f>
        <v/>
      </c>
      <c r="J1237" s="37">
        <f>IFERROR(IF(AND(ISNUMBER('Semi OpInc'!N100),ISNUMBER('Semi OpInc'!J100),ISNUMBER('Semi Rev'!N100),ISNUMBER('Semi Rev'!J100),ABS('Semi Rev'!N100-'Semi Rev'!J100)&gt;=1),('Semi OpInc'!N100-'Semi OpInc'!J100)/('Semi Rev'!N100-'Semi Rev'!J100),""),"")</f>
        <v/>
      </c>
      <c r="K1237" s="37">
        <f>IFERROR(IF(AND(ISNUMBER('Semi OpInc'!O100),ISNUMBER('Semi OpInc'!K100),ISNUMBER('Semi Rev'!O100),ISNUMBER('Semi Rev'!K100),ABS('Semi Rev'!O100-'Semi Rev'!K100)&gt;=1),('Semi OpInc'!O100-'Semi OpInc'!K100)/('Semi Rev'!O100-'Semi Rev'!K100),""),"")</f>
        <v/>
      </c>
      <c r="L1237" s="37">
        <f>IFERROR(IF(AND(ISNUMBER('Semi OpInc'!P100),ISNUMBER('Semi OpInc'!L100),ISNUMBER('Semi Rev'!P100),ISNUMBER('Semi Rev'!L100),ABS('Semi Rev'!P100-'Semi Rev'!L100)&gt;=1),('Semi OpInc'!P100-'Semi OpInc'!L100)/('Semi Rev'!P100-'Semi Rev'!L100),""),"")</f>
        <v/>
      </c>
      <c r="M1237" s="38">
        <f>IFERROR(IF(AND(ISNUMBER('Semi OpInc'!Q100),ISNUMBER('Semi OpInc'!M100),ISNUMBER('Semi Rev'!Q100),ISNUMBER('Semi Rev'!M100),ABS('Semi Rev'!Q100-'Semi Rev'!M100)&gt;=1),('Semi OpInc'!Q100-'Semi OpInc'!M100)/('Semi Rev'!Q100-'Semi Rev'!M100),""),"")</f>
        <v/>
      </c>
      <c r="N1237" s="38">
        <f>IFERROR(IF(AND(ISNUMBER('Semi OpInc'!R100),ISNUMBER('Semi OpInc'!N100),ISNUMBER('Semi Rev'!R100),ISNUMBER('Semi Rev'!N100),ABS('Semi Rev'!R100-'Semi Rev'!N100)&gt;=1),('Semi OpInc'!R100-'Semi OpInc'!N100)/('Semi Rev'!R100-'Semi Rev'!N100),""),"")</f>
        <v/>
      </c>
    </row>
    <row r="1238">
      <c r="A1238" s="19">
        <f>'Semi Rev'!$A101</f>
        <v/>
      </c>
      <c r="B1238" s="19">
        <f>'Semi Rev'!$B101</f>
        <v/>
      </c>
      <c r="C1238" s="37">
        <f>IFERROR(IF(AND(ISNUMBER('Semi OpInc'!G101),ISNUMBER('Semi OpInc'!C101),ISNUMBER('Semi Rev'!G101),ISNUMBER('Semi Rev'!C101),ABS('Semi Rev'!G101-'Semi Rev'!C101)&gt;=1),('Semi OpInc'!G101-'Semi OpInc'!C101)/('Semi Rev'!G101-'Semi Rev'!C101),""),"")</f>
        <v/>
      </c>
      <c r="D1238" s="37">
        <f>IFERROR(IF(AND(ISNUMBER('Semi OpInc'!H101),ISNUMBER('Semi OpInc'!D101),ISNUMBER('Semi Rev'!H101),ISNUMBER('Semi Rev'!D101),ABS('Semi Rev'!H101-'Semi Rev'!D101)&gt;=1),('Semi OpInc'!H101-'Semi OpInc'!D101)/('Semi Rev'!H101-'Semi Rev'!D101),""),"")</f>
        <v/>
      </c>
      <c r="E1238" s="37">
        <f>IFERROR(IF(AND(ISNUMBER('Semi OpInc'!I101),ISNUMBER('Semi OpInc'!E101),ISNUMBER('Semi Rev'!I101),ISNUMBER('Semi Rev'!E101),ABS('Semi Rev'!I101-'Semi Rev'!E101)&gt;=1),('Semi OpInc'!I101-'Semi OpInc'!E101)/('Semi Rev'!I101-'Semi Rev'!E101),""),"")</f>
        <v/>
      </c>
      <c r="F1238" s="37">
        <f>IFERROR(IF(AND(ISNUMBER('Semi OpInc'!J101),ISNUMBER('Semi OpInc'!F101),ISNUMBER('Semi Rev'!J101),ISNUMBER('Semi Rev'!F101),ABS('Semi Rev'!J101-'Semi Rev'!F101)&gt;=1),('Semi OpInc'!J101-'Semi OpInc'!F101)/('Semi Rev'!J101-'Semi Rev'!F101),""),"")</f>
        <v/>
      </c>
      <c r="G1238" s="37">
        <f>IFERROR(IF(AND(ISNUMBER('Semi OpInc'!K101),ISNUMBER('Semi OpInc'!G101),ISNUMBER('Semi Rev'!K101),ISNUMBER('Semi Rev'!G101),ABS('Semi Rev'!K101-'Semi Rev'!G101)&gt;=1),('Semi OpInc'!K101-'Semi OpInc'!G101)/('Semi Rev'!K101-'Semi Rev'!G101),""),"")</f>
        <v/>
      </c>
      <c r="H1238" s="37">
        <f>IFERROR(IF(AND(ISNUMBER('Semi OpInc'!L101),ISNUMBER('Semi OpInc'!H101),ISNUMBER('Semi Rev'!L101),ISNUMBER('Semi Rev'!H101),ABS('Semi Rev'!L101-'Semi Rev'!H101)&gt;=1),('Semi OpInc'!L101-'Semi OpInc'!H101)/('Semi Rev'!L101-'Semi Rev'!H101),""),"")</f>
        <v/>
      </c>
      <c r="I1238" s="37">
        <f>IFERROR(IF(AND(ISNUMBER('Semi OpInc'!M101),ISNUMBER('Semi OpInc'!I101),ISNUMBER('Semi Rev'!M101),ISNUMBER('Semi Rev'!I101),ABS('Semi Rev'!M101-'Semi Rev'!I101)&gt;=1),('Semi OpInc'!M101-'Semi OpInc'!I101)/('Semi Rev'!M101-'Semi Rev'!I101),""),"")</f>
        <v/>
      </c>
      <c r="J1238" s="37">
        <f>IFERROR(IF(AND(ISNUMBER('Semi OpInc'!N101),ISNUMBER('Semi OpInc'!J101),ISNUMBER('Semi Rev'!N101),ISNUMBER('Semi Rev'!J101),ABS('Semi Rev'!N101-'Semi Rev'!J101)&gt;=1),('Semi OpInc'!N101-'Semi OpInc'!J101)/('Semi Rev'!N101-'Semi Rev'!J101),""),"")</f>
        <v/>
      </c>
      <c r="K1238" s="37">
        <f>IFERROR(IF(AND(ISNUMBER('Semi OpInc'!O101),ISNUMBER('Semi OpInc'!K101),ISNUMBER('Semi Rev'!O101),ISNUMBER('Semi Rev'!K101),ABS('Semi Rev'!O101-'Semi Rev'!K101)&gt;=1),('Semi OpInc'!O101-'Semi OpInc'!K101)/('Semi Rev'!O101-'Semi Rev'!K101),""),"")</f>
        <v/>
      </c>
      <c r="L1238" s="37">
        <f>IFERROR(IF(AND(ISNUMBER('Semi OpInc'!P101),ISNUMBER('Semi OpInc'!L101),ISNUMBER('Semi Rev'!P101),ISNUMBER('Semi Rev'!L101),ABS('Semi Rev'!P101-'Semi Rev'!L101)&gt;=1),('Semi OpInc'!P101-'Semi OpInc'!L101)/('Semi Rev'!P101-'Semi Rev'!L101),""),"")</f>
        <v/>
      </c>
      <c r="M1238" s="38">
        <f>IFERROR(IF(AND(ISNUMBER('Semi OpInc'!Q101),ISNUMBER('Semi OpInc'!M101),ISNUMBER('Semi Rev'!Q101),ISNUMBER('Semi Rev'!M101),ABS('Semi Rev'!Q101-'Semi Rev'!M101)&gt;=1),('Semi OpInc'!Q101-'Semi OpInc'!M101)/('Semi Rev'!Q101-'Semi Rev'!M101),""),"")</f>
        <v/>
      </c>
      <c r="N1238" s="38">
        <f>IFERROR(IF(AND(ISNUMBER('Semi OpInc'!R101),ISNUMBER('Semi OpInc'!N101),ISNUMBER('Semi Rev'!R101),ISNUMBER('Semi Rev'!N101),ABS('Semi Rev'!R101-'Semi Rev'!N101)&gt;=1),('Semi OpInc'!R101-'Semi OpInc'!N101)/('Semi Rev'!R101-'Semi Rev'!N101),""),"")</f>
        <v/>
      </c>
    </row>
    <row r="1239">
      <c r="A1239" s="19">
        <f>'Semi Rev'!$A102</f>
        <v/>
      </c>
      <c r="B1239" s="19">
        <f>'Semi Rev'!$B102</f>
        <v/>
      </c>
      <c r="C1239" s="37">
        <f>IFERROR(IF(AND(ISNUMBER('Semi OpInc'!G102),ISNUMBER('Semi OpInc'!C102),ISNUMBER('Semi Rev'!G102),ISNUMBER('Semi Rev'!C102),ABS('Semi Rev'!G102-'Semi Rev'!C102)&gt;=1),('Semi OpInc'!G102-'Semi OpInc'!C102)/('Semi Rev'!G102-'Semi Rev'!C102),""),"")</f>
        <v/>
      </c>
      <c r="D1239" s="37">
        <f>IFERROR(IF(AND(ISNUMBER('Semi OpInc'!H102),ISNUMBER('Semi OpInc'!D102),ISNUMBER('Semi Rev'!H102),ISNUMBER('Semi Rev'!D102),ABS('Semi Rev'!H102-'Semi Rev'!D102)&gt;=1),('Semi OpInc'!H102-'Semi OpInc'!D102)/('Semi Rev'!H102-'Semi Rev'!D102),""),"")</f>
        <v/>
      </c>
      <c r="E1239" s="37">
        <f>IFERROR(IF(AND(ISNUMBER('Semi OpInc'!I102),ISNUMBER('Semi OpInc'!E102),ISNUMBER('Semi Rev'!I102),ISNUMBER('Semi Rev'!E102),ABS('Semi Rev'!I102-'Semi Rev'!E102)&gt;=1),('Semi OpInc'!I102-'Semi OpInc'!E102)/('Semi Rev'!I102-'Semi Rev'!E102),""),"")</f>
        <v/>
      </c>
      <c r="F1239" s="37">
        <f>IFERROR(IF(AND(ISNUMBER('Semi OpInc'!J102),ISNUMBER('Semi OpInc'!F102),ISNUMBER('Semi Rev'!J102),ISNUMBER('Semi Rev'!F102),ABS('Semi Rev'!J102-'Semi Rev'!F102)&gt;=1),('Semi OpInc'!J102-'Semi OpInc'!F102)/('Semi Rev'!J102-'Semi Rev'!F102),""),"")</f>
        <v/>
      </c>
      <c r="G1239" s="37">
        <f>IFERROR(IF(AND(ISNUMBER('Semi OpInc'!K102),ISNUMBER('Semi OpInc'!G102),ISNUMBER('Semi Rev'!K102),ISNUMBER('Semi Rev'!G102),ABS('Semi Rev'!K102-'Semi Rev'!G102)&gt;=1),('Semi OpInc'!K102-'Semi OpInc'!G102)/('Semi Rev'!K102-'Semi Rev'!G102),""),"")</f>
        <v/>
      </c>
      <c r="H1239" s="37">
        <f>IFERROR(IF(AND(ISNUMBER('Semi OpInc'!L102),ISNUMBER('Semi OpInc'!H102),ISNUMBER('Semi Rev'!L102),ISNUMBER('Semi Rev'!H102),ABS('Semi Rev'!L102-'Semi Rev'!H102)&gt;=1),('Semi OpInc'!L102-'Semi OpInc'!H102)/('Semi Rev'!L102-'Semi Rev'!H102),""),"")</f>
        <v/>
      </c>
      <c r="I1239" s="37">
        <f>IFERROR(IF(AND(ISNUMBER('Semi OpInc'!M102),ISNUMBER('Semi OpInc'!I102),ISNUMBER('Semi Rev'!M102),ISNUMBER('Semi Rev'!I102),ABS('Semi Rev'!M102-'Semi Rev'!I102)&gt;=1),('Semi OpInc'!M102-'Semi OpInc'!I102)/('Semi Rev'!M102-'Semi Rev'!I102),""),"")</f>
        <v/>
      </c>
      <c r="J1239" s="37">
        <f>IFERROR(IF(AND(ISNUMBER('Semi OpInc'!N102),ISNUMBER('Semi OpInc'!J102),ISNUMBER('Semi Rev'!N102),ISNUMBER('Semi Rev'!J102),ABS('Semi Rev'!N102-'Semi Rev'!J102)&gt;=1),('Semi OpInc'!N102-'Semi OpInc'!J102)/('Semi Rev'!N102-'Semi Rev'!J102),""),"")</f>
        <v/>
      </c>
      <c r="K1239" s="37">
        <f>IFERROR(IF(AND(ISNUMBER('Semi OpInc'!O102),ISNUMBER('Semi OpInc'!K102),ISNUMBER('Semi Rev'!O102),ISNUMBER('Semi Rev'!K102),ABS('Semi Rev'!O102-'Semi Rev'!K102)&gt;=1),('Semi OpInc'!O102-'Semi OpInc'!K102)/('Semi Rev'!O102-'Semi Rev'!K102),""),"")</f>
        <v/>
      </c>
      <c r="L1239" s="37">
        <f>IFERROR(IF(AND(ISNUMBER('Semi OpInc'!P102),ISNUMBER('Semi OpInc'!L102),ISNUMBER('Semi Rev'!P102),ISNUMBER('Semi Rev'!L102),ABS('Semi Rev'!P102-'Semi Rev'!L102)&gt;=1),('Semi OpInc'!P102-'Semi OpInc'!L102)/('Semi Rev'!P102-'Semi Rev'!L102),""),"")</f>
        <v/>
      </c>
      <c r="M1239" s="38">
        <f>IFERROR(IF(AND(ISNUMBER('Semi OpInc'!Q102),ISNUMBER('Semi OpInc'!M102),ISNUMBER('Semi Rev'!Q102),ISNUMBER('Semi Rev'!M102),ABS('Semi Rev'!Q102-'Semi Rev'!M102)&gt;=1),('Semi OpInc'!Q102-'Semi OpInc'!M102)/('Semi Rev'!Q102-'Semi Rev'!M102),""),"")</f>
        <v/>
      </c>
      <c r="N1239" s="38">
        <f>IFERROR(IF(AND(ISNUMBER('Semi OpInc'!R102),ISNUMBER('Semi OpInc'!N102),ISNUMBER('Semi Rev'!R102),ISNUMBER('Semi Rev'!N102),ABS('Semi Rev'!R102-'Semi Rev'!N102)&gt;=1),('Semi OpInc'!R102-'Semi OpInc'!N102)/('Semi Rev'!R102-'Semi Rev'!N102),""),"")</f>
        <v/>
      </c>
    </row>
    <row r="1240">
      <c r="A1240" s="19">
        <f>'Semi Rev'!$A103</f>
        <v/>
      </c>
      <c r="B1240" s="19">
        <f>'Semi Rev'!$B103</f>
        <v/>
      </c>
      <c r="C1240" s="37">
        <f>IFERROR(IF(AND(ISNUMBER('Semi OpInc'!G103),ISNUMBER('Semi OpInc'!C103),ISNUMBER('Semi Rev'!G103),ISNUMBER('Semi Rev'!C103),ABS('Semi Rev'!G103-'Semi Rev'!C103)&gt;=1),('Semi OpInc'!G103-'Semi OpInc'!C103)/('Semi Rev'!G103-'Semi Rev'!C103),""),"")</f>
        <v/>
      </c>
      <c r="D1240" s="37">
        <f>IFERROR(IF(AND(ISNUMBER('Semi OpInc'!H103),ISNUMBER('Semi OpInc'!D103),ISNUMBER('Semi Rev'!H103),ISNUMBER('Semi Rev'!D103),ABS('Semi Rev'!H103-'Semi Rev'!D103)&gt;=1),('Semi OpInc'!H103-'Semi OpInc'!D103)/('Semi Rev'!H103-'Semi Rev'!D103),""),"")</f>
        <v/>
      </c>
      <c r="E1240" s="37">
        <f>IFERROR(IF(AND(ISNUMBER('Semi OpInc'!I103),ISNUMBER('Semi OpInc'!E103),ISNUMBER('Semi Rev'!I103),ISNUMBER('Semi Rev'!E103),ABS('Semi Rev'!I103-'Semi Rev'!E103)&gt;=1),('Semi OpInc'!I103-'Semi OpInc'!E103)/('Semi Rev'!I103-'Semi Rev'!E103),""),"")</f>
        <v/>
      </c>
      <c r="F1240" s="37">
        <f>IFERROR(IF(AND(ISNUMBER('Semi OpInc'!J103),ISNUMBER('Semi OpInc'!F103),ISNUMBER('Semi Rev'!J103),ISNUMBER('Semi Rev'!F103),ABS('Semi Rev'!J103-'Semi Rev'!F103)&gt;=1),('Semi OpInc'!J103-'Semi OpInc'!F103)/('Semi Rev'!J103-'Semi Rev'!F103),""),"")</f>
        <v/>
      </c>
      <c r="G1240" s="37">
        <f>IFERROR(IF(AND(ISNUMBER('Semi OpInc'!K103),ISNUMBER('Semi OpInc'!G103),ISNUMBER('Semi Rev'!K103),ISNUMBER('Semi Rev'!G103),ABS('Semi Rev'!K103-'Semi Rev'!G103)&gt;=1),('Semi OpInc'!K103-'Semi OpInc'!G103)/('Semi Rev'!K103-'Semi Rev'!G103),""),"")</f>
        <v/>
      </c>
      <c r="H1240" s="37">
        <f>IFERROR(IF(AND(ISNUMBER('Semi OpInc'!L103),ISNUMBER('Semi OpInc'!H103),ISNUMBER('Semi Rev'!L103),ISNUMBER('Semi Rev'!H103),ABS('Semi Rev'!L103-'Semi Rev'!H103)&gt;=1),('Semi OpInc'!L103-'Semi OpInc'!H103)/('Semi Rev'!L103-'Semi Rev'!H103),""),"")</f>
        <v/>
      </c>
      <c r="I1240" s="37">
        <f>IFERROR(IF(AND(ISNUMBER('Semi OpInc'!M103),ISNUMBER('Semi OpInc'!I103),ISNUMBER('Semi Rev'!M103),ISNUMBER('Semi Rev'!I103),ABS('Semi Rev'!M103-'Semi Rev'!I103)&gt;=1),('Semi OpInc'!M103-'Semi OpInc'!I103)/('Semi Rev'!M103-'Semi Rev'!I103),""),"")</f>
        <v/>
      </c>
      <c r="J1240" s="37">
        <f>IFERROR(IF(AND(ISNUMBER('Semi OpInc'!N103),ISNUMBER('Semi OpInc'!J103),ISNUMBER('Semi Rev'!N103),ISNUMBER('Semi Rev'!J103),ABS('Semi Rev'!N103-'Semi Rev'!J103)&gt;=1),('Semi OpInc'!N103-'Semi OpInc'!J103)/('Semi Rev'!N103-'Semi Rev'!J103),""),"")</f>
        <v/>
      </c>
      <c r="K1240" s="37">
        <f>IFERROR(IF(AND(ISNUMBER('Semi OpInc'!O103),ISNUMBER('Semi OpInc'!K103),ISNUMBER('Semi Rev'!O103),ISNUMBER('Semi Rev'!K103),ABS('Semi Rev'!O103-'Semi Rev'!K103)&gt;=1),('Semi OpInc'!O103-'Semi OpInc'!K103)/('Semi Rev'!O103-'Semi Rev'!K103),""),"")</f>
        <v/>
      </c>
      <c r="L1240" s="37">
        <f>IFERROR(IF(AND(ISNUMBER('Semi OpInc'!P103),ISNUMBER('Semi OpInc'!L103),ISNUMBER('Semi Rev'!P103),ISNUMBER('Semi Rev'!L103),ABS('Semi Rev'!P103-'Semi Rev'!L103)&gt;=1),('Semi OpInc'!P103-'Semi OpInc'!L103)/('Semi Rev'!P103-'Semi Rev'!L103),""),"")</f>
        <v/>
      </c>
      <c r="M1240" s="38">
        <f>IFERROR(IF(AND(ISNUMBER('Semi OpInc'!Q103),ISNUMBER('Semi OpInc'!M103),ISNUMBER('Semi Rev'!Q103),ISNUMBER('Semi Rev'!M103),ABS('Semi Rev'!Q103-'Semi Rev'!M103)&gt;=1),('Semi OpInc'!Q103-'Semi OpInc'!M103)/('Semi Rev'!Q103-'Semi Rev'!M103),""),"")</f>
        <v/>
      </c>
      <c r="N1240" s="38">
        <f>IFERROR(IF(AND(ISNUMBER('Semi OpInc'!R103),ISNUMBER('Semi OpInc'!N103),ISNUMBER('Semi Rev'!R103),ISNUMBER('Semi Rev'!N103),ABS('Semi Rev'!R103-'Semi Rev'!N103)&gt;=1),('Semi OpInc'!R103-'Semi OpInc'!N103)/('Semi Rev'!R103-'Semi Rev'!N103),""),"")</f>
        <v/>
      </c>
    </row>
    <row r="1241">
      <c r="A1241" s="19">
        <f>'Semi Rev'!$A104</f>
        <v/>
      </c>
      <c r="B1241" s="19">
        <f>'Semi Rev'!$B104</f>
        <v/>
      </c>
      <c r="C1241" s="37">
        <f>IFERROR(IF(AND(ISNUMBER('Semi OpInc'!G104),ISNUMBER('Semi OpInc'!C104),ISNUMBER('Semi Rev'!G104),ISNUMBER('Semi Rev'!C104),ABS('Semi Rev'!G104-'Semi Rev'!C104)&gt;=1),('Semi OpInc'!G104-'Semi OpInc'!C104)/('Semi Rev'!G104-'Semi Rev'!C104),""),"")</f>
        <v/>
      </c>
      <c r="D1241" s="37">
        <f>IFERROR(IF(AND(ISNUMBER('Semi OpInc'!H104),ISNUMBER('Semi OpInc'!D104),ISNUMBER('Semi Rev'!H104),ISNUMBER('Semi Rev'!D104),ABS('Semi Rev'!H104-'Semi Rev'!D104)&gt;=1),('Semi OpInc'!H104-'Semi OpInc'!D104)/('Semi Rev'!H104-'Semi Rev'!D104),""),"")</f>
        <v/>
      </c>
      <c r="E1241" s="37">
        <f>IFERROR(IF(AND(ISNUMBER('Semi OpInc'!I104),ISNUMBER('Semi OpInc'!E104),ISNUMBER('Semi Rev'!I104),ISNUMBER('Semi Rev'!E104),ABS('Semi Rev'!I104-'Semi Rev'!E104)&gt;=1),('Semi OpInc'!I104-'Semi OpInc'!E104)/('Semi Rev'!I104-'Semi Rev'!E104),""),"")</f>
        <v/>
      </c>
      <c r="F1241" s="37">
        <f>IFERROR(IF(AND(ISNUMBER('Semi OpInc'!J104),ISNUMBER('Semi OpInc'!F104),ISNUMBER('Semi Rev'!J104),ISNUMBER('Semi Rev'!F104),ABS('Semi Rev'!J104-'Semi Rev'!F104)&gt;=1),('Semi OpInc'!J104-'Semi OpInc'!F104)/('Semi Rev'!J104-'Semi Rev'!F104),""),"")</f>
        <v/>
      </c>
      <c r="G1241" s="37">
        <f>IFERROR(IF(AND(ISNUMBER('Semi OpInc'!K104),ISNUMBER('Semi OpInc'!G104),ISNUMBER('Semi Rev'!K104),ISNUMBER('Semi Rev'!G104),ABS('Semi Rev'!K104-'Semi Rev'!G104)&gt;=1),('Semi OpInc'!K104-'Semi OpInc'!G104)/('Semi Rev'!K104-'Semi Rev'!G104),""),"")</f>
        <v/>
      </c>
      <c r="H1241" s="37">
        <f>IFERROR(IF(AND(ISNUMBER('Semi OpInc'!L104),ISNUMBER('Semi OpInc'!H104),ISNUMBER('Semi Rev'!L104),ISNUMBER('Semi Rev'!H104),ABS('Semi Rev'!L104-'Semi Rev'!H104)&gt;=1),('Semi OpInc'!L104-'Semi OpInc'!H104)/('Semi Rev'!L104-'Semi Rev'!H104),""),"")</f>
        <v/>
      </c>
      <c r="I1241" s="37">
        <f>IFERROR(IF(AND(ISNUMBER('Semi OpInc'!M104),ISNUMBER('Semi OpInc'!I104),ISNUMBER('Semi Rev'!M104),ISNUMBER('Semi Rev'!I104),ABS('Semi Rev'!M104-'Semi Rev'!I104)&gt;=1),('Semi OpInc'!M104-'Semi OpInc'!I104)/('Semi Rev'!M104-'Semi Rev'!I104),""),"")</f>
        <v/>
      </c>
      <c r="J1241" s="37">
        <f>IFERROR(IF(AND(ISNUMBER('Semi OpInc'!N104),ISNUMBER('Semi OpInc'!J104),ISNUMBER('Semi Rev'!N104),ISNUMBER('Semi Rev'!J104),ABS('Semi Rev'!N104-'Semi Rev'!J104)&gt;=1),('Semi OpInc'!N104-'Semi OpInc'!J104)/('Semi Rev'!N104-'Semi Rev'!J104),""),"")</f>
        <v/>
      </c>
      <c r="K1241" s="37">
        <f>IFERROR(IF(AND(ISNUMBER('Semi OpInc'!O104),ISNUMBER('Semi OpInc'!K104),ISNUMBER('Semi Rev'!O104),ISNUMBER('Semi Rev'!K104),ABS('Semi Rev'!O104-'Semi Rev'!K104)&gt;=1),('Semi OpInc'!O104-'Semi OpInc'!K104)/('Semi Rev'!O104-'Semi Rev'!K104),""),"")</f>
        <v/>
      </c>
      <c r="L1241" s="37">
        <f>IFERROR(IF(AND(ISNUMBER('Semi OpInc'!P104),ISNUMBER('Semi OpInc'!L104),ISNUMBER('Semi Rev'!P104),ISNUMBER('Semi Rev'!L104),ABS('Semi Rev'!P104-'Semi Rev'!L104)&gt;=1),('Semi OpInc'!P104-'Semi OpInc'!L104)/('Semi Rev'!P104-'Semi Rev'!L104),""),"")</f>
        <v/>
      </c>
      <c r="M1241" s="38">
        <f>IFERROR(IF(AND(ISNUMBER('Semi OpInc'!Q104),ISNUMBER('Semi OpInc'!M104),ISNUMBER('Semi Rev'!Q104),ISNUMBER('Semi Rev'!M104),ABS('Semi Rev'!Q104-'Semi Rev'!M104)&gt;=1),('Semi OpInc'!Q104-'Semi OpInc'!M104)/('Semi Rev'!Q104-'Semi Rev'!M104),""),"")</f>
        <v/>
      </c>
      <c r="N1241" s="38">
        <f>IFERROR(IF(AND(ISNUMBER('Semi OpInc'!R104),ISNUMBER('Semi OpInc'!N104),ISNUMBER('Semi Rev'!R104),ISNUMBER('Semi Rev'!N104),ABS('Semi Rev'!R104-'Semi Rev'!N104)&gt;=1),('Semi OpInc'!R104-'Semi OpInc'!N104)/('Semi Rev'!R104-'Semi Rev'!N104),""),"")</f>
        <v/>
      </c>
    </row>
    <row r="1242">
      <c r="A1242" s="19">
        <f>'Semi Rev'!$A105</f>
        <v/>
      </c>
      <c r="B1242" s="19">
        <f>'Semi Rev'!$B105</f>
        <v/>
      </c>
      <c r="C1242" s="37">
        <f>IFERROR(IF(AND(ISNUMBER('Semi OpInc'!G105),ISNUMBER('Semi OpInc'!C105),ISNUMBER('Semi Rev'!G105),ISNUMBER('Semi Rev'!C105),ABS('Semi Rev'!G105-'Semi Rev'!C105)&gt;=1),('Semi OpInc'!G105-'Semi OpInc'!C105)/('Semi Rev'!G105-'Semi Rev'!C105),""),"")</f>
        <v/>
      </c>
      <c r="D1242" s="37">
        <f>IFERROR(IF(AND(ISNUMBER('Semi OpInc'!H105),ISNUMBER('Semi OpInc'!D105),ISNUMBER('Semi Rev'!H105),ISNUMBER('Semi Rev'!D105),ABS('Semi Rev'!H105-'Semi Rev'!D105)&gt;=1),('Semi OpInc'!H105-'Semi OpInc'!D105)/('Semi Rev'!H105-'Semi Rev'!D105),""),"")</f>
        <v/>
      </c>
      <c r="E1242" s="37">
        <f>IFERROR(IF(AND(ISNUMBER('Semi OpInc'!I105),ISNUMBER('Semi OpInc'!E105),ISNUMBER('Semi Rev'!I105),ISNUMBER('Semi Rev'!E105),ABS('Semi Rev'!I105-'Semi Rev'!E105)&gt;=1),('Semi OpInc'!I105-'Semi OpInc'!E105)/('Semi Rev'!I105-'Semi Rev'!E105),""),"")</f>
        <v/>
      </c>
      <c r="F1242" s="37">
        <f>IFERROR(IF(AND(ISNUMBER('Semi OpInc'!J105),ISNUMBER('Semi OpInc'!F105),ISNUMBER('Semi Rev'!J105),ISNUMBER('Semi Rev'!F105),ABS('Semi Rev'!J105-'Semi Rev'!F105)&gt;=1),('Semi OpInc'!J105-'Semi OpInc'!F105)/('Semi Rev'!J105-'Semi Rev'!F105),""),"")</f>
        <v/>
      </c>
      <c r="G1242" s="37">
        <f>IFERROR(IF(AND(ISNUMBER('Semi OpInc'!K105),ISNUMBER('Semi OpInc'!G105),ISNUMBER('Semi Rev'!K105),ISNUMBER('Semi Rev'!G105),ABS('Semi Rev'!K105-'Semi Rev'!G105)&gt;=1),('Semi OpInc'!K105-'Semi OpInc'!G105)/('Semi Rev'!K105-'Semi Rev'!G105),""),"")</f>
        <v/>
      </c>
      <c r="H1242" s="37">
        <f>IFERROR(IF(AND(ISNUMBER('Semi OpInc'!L105),ISNUMBER('Semi OpInc'!H105),ISNUMBER('Semi Rev'!L105),ISNUMBER('Semi Rev'!H105),ABS('Semi Rev'!L105-'Semi Rev'!H105)&gt;=1),('Semi OpInc'!L105-'Semi OpInc'!H105)/('Semi Rev'!L105-'Semi Rev'!H105),""),"")</f>
        <v/>
      </c>
      <c r="I1242" s="37">
        <f>IFERROR(IF(AND(ISNUMBER('Semi OpInc'!M105),ISNUMBER('Semi OpInc'!I105),ISNUMBER('Semi Rev'!M105),ISNUMBER('Semi Rev'!I105),ABS('Semi Rev'!M105-'Semi Rev'!I105)&gt;=1),('Semi OpInc'!M105-'Semi OpInc'!I105)/('Semi Rev'!M105-'Semi Rev'!I105),""),"")</f>
        <v/>
      </c>
      <c r="J1242" s="37">
        <f>IFERROR(IF(AND(ISNUMBER('Semi OpInc'!N105),ISNUMBER('Semi OpInc'!J105),ISNUMBER('Semi Rev'!N105),ISNUMBER('Semi Rev'!J105),ABS('Semi Rev'!N105-'Semi Rev'!J105)&gt;=1),('Semi OpInc'!N105-'Semi OpInc'!J105)/('Semi Rev'!N105-'Semi Rev'!J105),""),"")</f>
        <v/>
      </c>
      <c r="K1242" s="37">
        <f>IFERROR(IF(AND(ISNUMBER('Semi OpInc'!O105),ISNUMBER('Semi OpInc'!K105),ISNUMBER('Semi Rev'!O105),ISNUMBER('Semi Rev'!K105),ABS('Semi Rev'!O105-'Semi Rev'!K105)&gt;=1),('Semi OpInc'!O105-'Semi OpInc'!K105)/('Semi Rev'!O105-'Semi Rev'!K105),""),"")</f>
        <v/>
      </c>
      <c r="L1242" s="37">
        <f>IFERROR(IF(AND(ISNUMBER('Semi OpInc'!P105),ISNUMBER('Semi OpInc'!L105),ISNUMBER('Semi Rev'!P105),ISNUMBER('Semi Rev'!L105),ABS('Semi Rev'!P105-'Semi Rev'!L105)&gt;=1),('Semi OpInc'!P105-'Semi OpInc'!L105)/('Semi Rev'!P105-'Semi Rev'!L105),""),"")</f>
        <v/>
      </c>
      <c r="M1242" s="38">
        <f>IFERROR(IF(AND(ISNUMBER('Semi OpInc'!Q105),ISNUMBER('Semi OpInc'!M105),ISNUMBER('Semi Rev'!Q105),ISNUMBER('Semi Rev'!M105),ABS('Semi Rev'!Q105-'Semi Rev'!M105)&gt;=1),('Semi OpInc'!Q105-'Semi OpInc'!M105)/('Semi Rev'!Q105-'Semi Rev'!M105),""),"")</f>
        <v/>
      </c>
      <c r="N1242" s="38">
        <f>IFERROR(IF(AND(ISNUMBER('Semi OpInc'!R105),ISNUMBER('Semi OpInc'!N105),ISNUMBER('Semi Rev'!R105),ISNUMBER('Semi Rev'!N105),ABS('Semi Rev'!R105-'Semi Rev'!N105)&gt;=1),('Semi OpInc'!R105-'Semi OpInc'!N105)/('Semi Rev'!R105-'Semi Rev'!N105),""),"")</f>
        <v/>
      </c>
    </row>
    <row r="1243">
      <c r="A1243" s="19">
        <f>'Semi Rev'!$A106</f>
        <v/>
      </c>
      <c r="B1243" s="19">
        <f>'Semi Rev'!$B106</f>
        <v/>
      </c>
      <c r="C1243" s="37">
        <f>IFERROR(IF(AND(ISNUMBER('Semi OpInc'!G106),ISNUMBER('Semi OpInc'!C106),ISNUMBER('Semi Rev'!G106),ISNUMBER('Semi Rev'!C106),ABS('Semi Rev'!G106-'Semi Rev'!C106)&gt;=1),('Semi OpInc'!G106-'Semi OpInc'!C106)/('Semi Rev'!G106-'Semi Rev'!C106),""),"")</f>
        <v/>
      </c>
      <c r="D1243" s="37">
        <f>IFERROR(IF(AND(ISNUMBER('Semi OpInc'!H106),ISNUMBER('Semi OpInc'!D106),ISNUMBER('Semi Rev'!H106),ISNUMBER('Semi Rev'!D106),ABS('Semi Rev'!H106-'Semi Rev'!D106)&gt;=1),('Semi OpInc'!H106-'Semi OpInc'!D106)/('Semi Rev'!H106-'Semi Rev'!D106),""),"")</f>
        <v/>
      </c>
      <c r="E1243" s="37">
        <f>IFERROR(IF(AND(ISNUMBER('Semi OpInc'!I106),ISNUMBER('Semi OpInc'!E106),ISNUMBER('Semi Rev'!I106),ISNUMBER('Semi Rev'!E106),ABS('Semi Rev'!I106-'Semi Rev'!E106)&gt;=1),('Semi OpInc'!I106-'Semi OpInc'!E106)/('Semi Rev'!I106-'Semi Rev'!E106),""),"")</f>
        <v/>
      </c>
      <c r="F1243" s="37">
        <f>IFERROR(IF(AND(ISNUMBER('Semi OpInc'!J106),ISNUMBER('Semi OpInc'!F106),ISNUMBER('Semi Rev'!J106),ISNUMBER('Semi Rev'!F106),ABS('Semi Rev'!J106-'Semi Rev'!F106)&gt;=1),('Semi OpInc'!J106-'Semi OpInc'!F106)/('Semi Rev'!J106-'Semi Rev'!F106),""),"")</f>
        <v/>
      </c>
      <c r="G1243" s="37">
        <f>IFERROR(IF(AND(ISNUMBER('Semi OpInc'!K106),ISNUMBER('Semi OpInc'!G106),ISNUMBER('Semi Rev'!K106),ISNUMBER('Semi Rev'!G106),ABS('Semi Rev'!K106-'Semi Rev'!G106)&gt;=1),('Semi OpInc'!K106-'Semi OpInc'!G106)/('Semi Rev'!K106-'Semi Rev'!G106),""),"")</f>
        <v/>
      </c>
      <c r="H1243" s="37">
        <f>IFERROR(IF(AND(ISNUMBER('Semi OpInc'!L106),ISNUMBER('Semi OpInc'!H106),ISNUMBER('Semi Rev'!L106),ISNUMBER('Semi Rev'!H106),ABS('Semi Rev'!L106-'Semi Rev'!H106)&gt;=1),('Semi OpInc'!L106-'Semi OpInc'!H106)/('Semi Rev'!L106-'Semi Rev'!H106),""),"")</f>
        <v/>
      </c>
      <c r="I1243" s="37">
        <f>IFERROR(IF(AND(ISNUMBER('Semi OpInc'!M106),ISNUMBER('Semi OpInc'!I106),ISNUMBER('Semi Rev'!M106),ISNUMBER('Semi Rev'!I106),ABS('Semi Rev'!M106-'Semi Rev'!I106)&gt;=1),('Semi OpInc'!M106-'Semi OpInc'!I106)/('Semi Rev'!M106-'Semi Rev'!I106),""),"")</f>
        <v/>
      </c>
      <c r="J1243" s="37">
        <f>IFERROR(IF(AND(ISNUMBER('Semi OpInc'!N106),ISNUMBER('Semi OpInc'!J106),ISNUMBER('Semi Rev'!N106),ISNUMBER('Semi Rev'!J106),ABS('Semi Rev'!N106-'Semi Rev'!J106)&gt;=1),('Semi OpInc'!N106-'Semi OpInc'!J106)/('Semi Rev'!N106-'Semi Rev'!J106),""),"")</f>
        <v/>
      </c>
      <c r="K1243" s="37">
        <f>IFERROR(IF(AND(ISNUMBER('Semi OpInc'!O106),ISNUMBER('Semi OpInc'!K106),ISNUMBER('Semi Rev'!O106),ISNUMBER('Semi Rev'!K106),ABS('Semi Rev'!O106-'Semi Rev'!K106)&gt;=1),('Semi OpInc'!O106-'Semi OpInc'!K106)/('Semi Rev'!O106-'Semi Rev'!K106),""),"")</f>
        <v/>
      </c>
      <c r="L1243" s="37">
        <f>IFERROR(IF(AND(ISNUMBER('Semi OpInc'!P106),ISNUMBER('Semi OpInc'!L106),ISNUMBER('Semi Rev'!P106),ISNUMBER('Semi Rev'!L106),ABS('Semi Rev'!P106-'Semi Rev'!L106)&gt;=1),('Semi OpInc'!P106-'Semi OpInc'!L106)/('Semi Rev'!P106-'Semi Rev'!L106),""),"")</f>
        <v/>
      </c>
      <c r="M1243" s="38">
        <f>IFERROR(IF(AND(ISNUMBER('Semi OpInc'!Q106),ISNUMBER('Semi OpInc'!M106),ISNUMBER('Semi Rev'!Q106),ISNUMBER('Semi Rev'!M106),ABS('Semi Rev'!Q106-'Semi Rev'!M106)&gt;=1),('Semi OpInc'!Q106-'Semi OpInc'!M106)/('Semi Rev'!Q106-'Semi Rev'!M106),""),"")</f>
        <v/>
      </c>
      <c r="N1243" s="38">
        <f>IFERROR(IF(AND(ISNUMBER('Semi OpInc'!R106),ISNUMBER('Semi OpInc'!N106),ISNUMBER('Semi Rev'!R106),ISNUMBER('Semi Rev'!N106),ABS('Semi Rev'!R106-'Semi Rev'!N106)&gt;=1),('Semi OpInc'!R106-'Semi OpInc'!N106)/('Semi Rev'!R106-'Semi Rev'!N106),""),"")</f>
        <v/>
      </c>
    </row>
    <row r="1244">
      <c r="A1244" s="19">
        <f>'Semi Rev'!$A107</f>
        <v/>
      </c>
      <c r="B1244" s="19">
        <f>'Semi Rev'!$B107</f>
        <v/>
      </c>
      <c r="C1244" s="37">
        <f>IFERROR(IF(AND(ISNUMBER('Semi OpInc'!G107),ISNUMBER('Semi OpInc'!C107),ISNUMBER('Semi Rev'!G107),ISNUMBER('Semi Rev'!C107),ABS('Semi Rev'!G107-'Semi Rev'!C107)&gt;=1),('Semi OpInc'!G107-'Semi OpInc'!C107)/('Semi Rev'!G107-'Semi Rev'!C107),""),"")</f>
        <v/>
      </c>
      <c r="D1244" s="37">
        <f>IFERROR(IF(AND(ISNUMBER('Semi OpInc'!H107),ISNUMBER('Semi OpInc'!D107),ISNUMBER('Semi Rev'!H107),ISNUMBER('Semi Rev'!D107),ABS('Semi Rev'!H107-'Semi Rev'!D107)&gt;=1),('Semi OpInc'!H107-'Semi OpInc'!D107)/('Semi Rev'!H107-'Semi Rev'!D107),""),"")</f>
        <v/>
      </c>
      <c r="E1244" s="37">
        <f>IFERROR(IF(AND(ISNUMBER('Semi OpInc'!I107),ISNUMBER('Semi OpInc'!E107),ISNUMBER('Semi Rev'!I107),ISNUMBER('Semi Rev'!E107),ABS('Semi Rev'!I107-'Semi Rev'!E107)&gt;=1),('Semi OpInc'!I107-'Semi OpInc'!E107)/('Semi Rev'!I107-'Semi Rev'!E107),""),"")</f>
        <v/>
      </c>
      <c r="F1244" s="37">
        <f>IFERROR(IF(AND(ISNUMBER('Semi OpInc'!J107),ISNUMBER('Semi OpInc'!F107),ISNUMBER('Semi Rev'!J107),ISNUMBER('Semi Rev'!F107),ABS('Semi Rev'!J107-'Semi Rev'!F107)&gt;=1),('Semi OpInc'!J107-'Semi OpInc'!F107)/('Semi Rev'!J107-'Semi Rev'!F107),""),"")</f>
        <v/>
      </c>
      <c r="G1244" s="37">
        <f>IFERROR(IF(AND(ISNUMBER('Semi OpInc'!K107),ISNUMBER('Semi OpInc'!G107),ISNUMBER('Semi Rev'!K107),ISNUMBER('Semi Rev'!G107),ABS('Semi Rev'!K107-'Semi Rev'!G107)&gt;=1),('Semi OpInc'!K107-'Semi OpInc'!G107)/('Semi Rev'!K107-'Semi Rev'!G107),""),"")</f>
        <v/>
      </c>
      <c r="H1244" s="37">
        <f>IFERROR(IF(AND(ISNUMBER('Semi OpInc'!L107),ISNUMBER('Semi OpInc'!H107),ISNUMBER('Semi Rev'!L107),ISNUMBER('Semi Rev'!H107),ABS('Semi Rev'!L107-'Semi Rev'!H107)&gt;=1),('Semi OpInc'!L107-'Semi OpInc'!H107)/('Semi Rev'!L107-'Semi Rev'!H107),""),"")</f>
        <v/>
      </c>
      <c r="I1244" s="37">
        <f>IFERROR(IF(AND(ISNUMBER('Semi OpInc'!M107),ISNUMBER('Semi OpInc'!I107),ISNUMBER('Semi Rev'!M107),ISNUMBER('Semi Rev'!I107),ABS('Semi Rev'!M107-'Semi Rev'!I107)&gt;=1),('Semi OpInc'!M107-'Semi OpInc'!I107)/('Semi Rev'!M107-'Semi Rev'!I107),""),"")</f>
        <v/>
      </c>
      <c r="J1244" s="37">
        <f>IFERROR(IF(AND(ISNUMBER('Semi OpInc'!N107),ISNUMBER('Semi OpInc'!J107),ISNUMBER('Semi Rev'!N107),ISNUMBER('Semi Rev'!J107),ABS('Semi Rev'!N107-'Semi Rev'!J107)&gt;=1),('Semi OpInc'!N107-'Semi OpInc'!J107)/('Semi Rev'!N107-'Semi Rev'!J107),""),"")</f>
        <v/>
      </c>
      <c r="K1244" s="37">
        <f>IFERROR(IF(AND(ISNUMBER('Semi OpInc'!O107),ISNUMBER('Semi OpInc'!K107),ISNUMBER('Semi Rev'!O107),ISNUMBER('Semi Rev'!K107),ABS('Semi Rev'!O107-'Semi Rev'!K107)&gt;=1),('Semi OpInc'!O107-'Semi OpInc'!K107)/('Semi Rev'!O107-'Semi Rev'!K107),""),"")</f>
        <v/>
      </c>
      <c r="L1244" s="37">
        <f>IFERROR(IF(AND(ISNUMBER('Semi OpInc'!P107),ISNUMBER('Semi OpInc'!L107),ISNUMBER('Semi Rev'!P107),ISNUMBER('Semi Rev'!L107),ABS('Semi Rev'!P107-'Semi Rev'!L107)&gt;=1),('Semi OpInc'!P107-'Semi OpInc'!L107)/('Semi Rev'!P107-'Semi Rev'!L107),""),"")</f>
        <v/>
      </c>
      <c r="M1244" s="38">
        <f>IFERROR(IF(AND(ISNUMBER('Semi OpInc'!Q107),ISNUMBER('Semi OpInc'!M107),ISNUMBER('Semi Rev'!Q107),ISNUMBER('Semi Rev'!M107),ABS('Semi Rev'!Q107-'Semi Rev'!M107)&gt;=1),('Semi OpInc'!Q107-'Semi OpInc'!M107)/('Semi Rev'!Q107-'Semi Rev'!M107),""),"")</f>
        <v/>
      </c>
      <c r="N1244" s="38">
        <f>IFERROR(IF(AND(ISNUMBER('Semi OpInc'!R107),ISNUMBER('Semi OpInc'!N107),ISNUMBER('Semi Rev'!R107),ISNUMBER('Semi Rev'!N107),ABS('Semi Rev'!R107-'Semi Rev'!N107)&gt;=1),('Semi OpInc'!R107-'Semi OpInc'!N107)/('Semi Rev'!R107-'Semi Rev'!N107),""),"")</f>
        <v/>
      </c>
    </row>
    <row r="1245">
      <c r="A1245" s="19">
        <f>'Semi Rev'!$A108</f>
        <v/>
      </c>
      <c r="B1245" s="19">
        <f>'Semi Rev'!$B108</f>
        <v/>
      </c>
      <c r="C1245" s="37">
        <f>IFERROR(IF(AND(ISNUMBER('Semi OpInc'!G108),ISNUMBER('Semi OpInc'!C108),ISNUMBER('Semi Rev'!G108),ISNUMBER('Semi Rev'!C108),ABS('Semi Rev'!G108-'Semi Rev'!C108)&gt;=1),('Semi OpInc'!G108-'Semi OpInc'!C108)/('Semi Rev'!G108-'Semi Rev'!C108),""),"")</f>
        <v/>
      </c>
      <c r="D1245" s="37">
        <f>IFERROR(IF(AND(ISNUMBER('Semi OpInc'!H108),ISNUMBER('Semi OpInc'!D108),ISNUMBER('Semi Rev'!H108),ISNUMBER('Semi Rev'!D108),ABS('Semi Rev'!H108-'Semi Rev'!D108)&gt;=1),('Semi OpInc'!H108-'Semi OpInc'!D108)/('Semi Rev'!H108-'Semi Rev'!D108),""),"")</f>
        <v/>
      </c>
      <c r="E1245" s="37">
        <f>IFERROR(IF(AND(ISNUMBER('Semi OpInc'!I108),ISNUMBER('Semi OpInc'!E108),ISNUMBER('Semi Rev'!I108),ISNUMBER('Semi Rev'!E108),ABS('Semi Rev'!I108-'Semi Rev'!E108)&gt;=1),('Semi OpInc'!I108-'Semi OpInc'!E108)/('Semi Rev'!I108-'Semi Rev'!E108),""),"")</f>
        <v/>
      </c>
      <c r="F1245" s="37">
        <f>IFERROR(IF(AND(ISNUMBER('Semi OpInc'!J108),ISNUMBER('Semi OpInc'!F108),ISNUMBER('Semi Rev'!J108),ISNUMBER('Semi Rev'!F108),ABS('Semi Rev'!J108-'Semi Rev'!F108)&gt;=1),('Semi OpInc'!J108-'Semi OpInc'!F108)/('Semi Rev'!J108-'Semi Rev'!F108),""),"")</f>
        <v/>
      </c>
      <c r="G1245" s="37">
        <f>IFERROR(IF(AND(ISNUMBER('Semi OpInc'!K108),ISNUMBER('Semi OpInc'!G108),ISNUMBER('Semi Rev'!K108),ISNUMBER('Semi Rev'!G108),ABS('Semi Rev'!K108-'Semi Rev'!G108)&gt;=1),('Semi OpInc'!K108-'Semi OpInc'!G108)/('Semi Rev'!K108-'Semi Rev'!G108),""),"")</f>
        <v/>
      </c>
      <c r="H1245" s="37">
        <f>IFERROR(IF(AND(ISNUMBER('Semi OpInc'!L108),ISNUMBER('Semi OpInc'!H108),ISNUMBER('Semi Rev'!L108),ISNUMBER('Semi Rev'!H108),ABS('Semi Rev'!L108-'Semi Rev'!H108)&gt;=1),('Semi OpInc'!L108-'Semi OpInc'!H108)/('Semi Rev'!L108-'Semi Rev'!H108),""),"")</f>
        <v/>
      </c>
      <c r="I1245" s="37">
        <f>IFERROR(IF(AND(ISNUMBER('Semi OpInc'!M108),ISNUMBER('Semi OpInc'!I108),ISNUMBER('Semi Rev'!M108),ISNUMBER('Semi Rev'!I108),ABS('Semi Rev'!M108-'Semi Rev'!I108)&gt;=1),('Semi OpInc'!M108-'Semi OpInc'!I108)/('Semi Rev'!M108-'Semi Rev'!I108),""),"")</f>
        <v/>
      </c>
      <c r="J1245" s="37">
        <f>IFERROR(IF(AND(ISNUMBER('Semi OpInc'!N108),ISNUMBER('Semi OpInc'!J108),ISNUMBER('Semi Rev'!N108),ISNUMBER('Semi Rev'!J108),ABS('Semi Rev'!N108-'Semi Rev'!J108)&gt;=1),('Semi OpInc'!N108-'Semi OpInc'!J108)/('Semi Rev'!N108-'Semi Rev'!J108),""),"")</f>
        <v/>
      </c>
      <c r="K1245" s="37">
        <f>IFERROR(IF(AND(ISNUMBER('Semi OpInc'!O108),ISNUMBER('Semi OpInc'!K108),ISNUMBER('Semi Rev'!O108),ISNUMBER('Semi Rev'!K108),ABS('Semi Rev'!O108-'Semi Rev'!K108)&gt;=1),('Semi OpInc'!O108-'Semi OpInc'!K108)/('Semi Rev'!O108-'Semi Rev'!K108),""),"")</f>
        <v/>
      </c>
      <c r="L1245" s="37">
        <f>IFERROR(IF(AND(ISNUMBER('Semi OpInc'!P108),ISNUMBER('Semi OpInc'!L108),ISNUMBER('Semi Rev'!P108),ISNUMBER('Semi Rev'!L108),ABS('Semi Rev'!P108-'Semi Rev'!L108)&gt;=1),('Semi OpInc'!P108-'Semi OpInc'!L108)/('Semi Rev'!P108-'Semi Rev'!L108),""),"")</f>
        <v/>
      </c>
      <c r="M1245" s="38">
        <f>IFERROR(IF(AND(ISNUMBER('Semi OpInc'!Q108),ISNUMBER('Semi OpInc'!M108),ISNUMBER('Semi Rev'!Q108),ISNUMBER('Semi Rev'!M108),ABS('Semi Rev'!Q108-'Semi Rev'!M108)&gt;=1),('Semi OpInc'!Q108-'Semi OpInc'!M108)/('Semi Rev'!Q108-'Semi Rev'!M108),""),"")</f>
        <v/>
      </c>
      <c r="N1245" s="38">
        <f>IFERROR(IF(AND(ISNUMBER('Semi OpInc'!R108),ISNUMBER('Semi OpInc'!N108),ISNUMBER('Semi Rev'!R108),ISNUMBER('Semi Rev'!N108),ABS('Semi Rev'!R108-'Semi Rev'!N108)&gt;=1),('Semi OpInc'!R108-'Semi OpInc'!N108)/('Semi Rev'!R108-'Semi Rev'!N108),""),"")</f>
        <v/>
      </c>
    </row>
    <row r="1246">
      <c r="A1246" s="19">
        <f>'Semi Rev'!$A109</f>
        <v/>
      </c>
      <c r="B1246" s="19">
        <f>'Semi Rev'!$B109</f>
        <v/>
      </c>
      <c r="C1246" s="37">
        <f>IFERROR(IF(AND(ISNUMBER('Semi OpInc'!G109),ISNUMBER('Semi OpInc'!C109),ISNUMBER('Semi Rev'!G109),ISNUMBER('Semi Rev'!C109),ABS('Semi Rev'!G109-'Semi Rev'!C109)&gt;=1),('Semi OpInc'!G109-'Semi OpInc'!C109)/('Semi Rev'!G109-'Semi Rev'!C109),""),"")</f>
        <v/>
      </c>
      <c r="D1246" s="37">
        <f>IFERROR(IF(AND(ISNUMBER('Semi OpInc'!H109),ISNUMBER('Semi OpInc'!D109),ISNUMBER('Semi Rev'!H109),ISNUMBER('Semi Rev'!D109),ABS('Semi Rev'!H109-'Semi Rev'!D109)&gt;=1),('Semi OpInc'!H109-'Semi OpInc'!D109)/('Semi Rev'!H109-'Semi Rev'!D109),""),"")</f>
        <v/>
      </c>
      <c r="E1246" s="37">
        <f>IFERROR(IF(AND(ISNUMBER('Semi OpInc'!I109),ISNUMBER('Semi OpInc'!E109),ISNUMBER('Semi Rev'!I109),ISNUMBER('Semi Rev'!E109),ABS('Semi Rev'!I109-'Semi Rev'!E109)&gt;=1),('Semi OpInc'!I109-'Semi OpInc'!E109)/('Semi Rev'!I109-'Semi Rev'!E109),""),"")</f>
        <v/>
      </c>
      <c r="F1246" s="37">
        <f>IFERROR(IF(AND(ISNUMBER('Semi OpInc'!J109),ISNUMBER('Semi OpInc'!F109),ISNUMBER('Semi Rev'!J109),ISNUMBER('Semi Rev'!F109),ABS('Semi Rev'!J109-'Semi Rev'!F109)&gt;=1),('Semi OpInc'!J109-'Semi OpInc'!F109)/('Semi Rev'!J109-'Semi Rev'!F109),""),"")</f>
        <v/>
      </c>
      <c r="G1246" s="37">
        <f>IFERROR(IF(AND(ISNUMBER('Semi OpInc'!K109),ISNUMBER('Semi OpInc'!G109),ISNUMBER('Semi Rev'!K109),ISNUMBER('Semi Rev'!G109),ABS('Semi Rev'!K109-'Semi Rev'!G109)&gt;=1),('Semi OpInc'!K109-'Semi OpInc'!G109)/('Semi Rev'!K109-'Semi Rev'!G109),""),"")</f>
        <v/>
      </c>
      <c r="H1246" s="37">
        <f>IFERROR(IF(AND(ISNUMBER('Semi OpInc'!L109),ISNUMBER('Semi OpInc'!H109),ISNUMBER('Semi Rev'!L109),ISNUMBER('Semi Rev'!H109),ABS('Semi Rev'!L109-'Semi Rev'!H109)&gt;=1),('Semi OpInc'!L109-'Semi OpInc'!H109)/('Semi Rev'!L109-'Semi Rev'!H109),""),"")</f>
        <v/>
      </c>
      <c r="I1246" s="37">
        <f>IFERROR(IF(AND(ISNUMBER('Semi OpInc'!M109),ISNUMBER('Semi OpInc'!I109),ISNUMBER('Semi Rev'!M109),ISNUMBER('Semi Rev'!I109),ABS('Semi Rev'!M109-'Semi Rev'!I109)&gt;=1),('Semi OpInc'!M109-'Semi OpInc'!I109)/('Semi Rev'!M109-'Semi Rev'!I109),""),"")</f>
        <v/>
      </c>
      <c r="J1246" s="37">
        <f>IFERROR(IF(AND(ISNUMBER('Semi OpInc'!N109),ISNUMBER('Semi OpInc'!J109),ISNUMBER('Semi Rev'!N109),ISNUMBER('Semi Rev'!J109),ABS('Semi Rev'!N109-'Semi Rev'!J109)&gt;=1),('Semi OpInc'!N109-'Semi OpInc'!J109)/('Semi Rev'!N109-'Semi Rev'!J109),""),"")</f>
        <v/>
      </c>
      <c r="K1246" s="37">
        <f>IFERROR(IF(AND(ISNUMBER('Semi OpInc'!O109),ISNUMBER('Semi OpInc'!K109),ISNUMBER('Semi Rev'!O109),ISNUMBER('Semi Rev'!K109),ABS('Semi Rev'!O109-'Semi Rev'!K109)&gt;=1),('Semi OpInc'!O109-'Semi OpInc'!K109)/('Semi Rev'!O109-'Semi Rev'!K109),""),"")</f>
        <v/>
      </c>
      <c r="L1246" s="37">
        <f>IFERROR(IF(AND(ISNUMBER('Semi OpInc'!P109),ISNUMBER('Semi OpInc'!L109),ISNUMBER('Semi Rev'!P109),ISNUMBER('Semi Rev'!L109),ABS('Semi Rev'!P109-'Semi Rev'!L109)&gt;=1),('Semi OpInc'!P109-'Semi OpInc'!L109)/('Semi Rev'!P109-'Semi Rev'!L109),""),"")</f>
        <v/>
      </c>
      <c r="M1246" s="38">
        <f>IFERROR(IF(AND(ISNUMBER('Semi OpInc'!Q109),ISNUMBER('Semi OpInc'!M109),ISNUMBER('Semi Rev'!Q109),ISNUMBER('Semi Rev'!M109),ABS('Semi Rev'!Q109-'Semi Rev'!M109)&gt;=1),('Semi OpInc'!Q109-'Semi OpInc'!M109)/('Semi Rev'!Q109-'Semi Rev'!M109),""),"")</f>
        <v/>
      </c>
      <c r="N1246" s="38">
        <f>IFERROR(IF(AND(ISNUMBER('Semi OpInc'!R109),ISNUMBER('Semi OpInc'!N109),ISNUMBER('Semi Rev'!R109),ISNUMBER('Semi Rev'!N109),ABS('Semi Rev'!R109-'Semi Rev'!N109)&gt;=1),('Semi OpInc'!R109-'Semi OpInc'!N109)/('Semi Rev'!R109-'Semi Rev'!N109),""),"")</f>
        <v/>
      </c>
    </row>
    <row r="1247">
      <c r="A1247" s="19">
        <f>'Semi Rev'!$A110</f>
        <v/>
      </c>
      <c r="B1247" s="19">
        <f>'Semi Rev'!$B110</f>
        <v/>
      </c>
      <c r="C1247" s="37">
        <f>IFERROR(IF(AND(ISNUMBER('Semi OpInc'!G110),ISNUMBER('Semi OpInc'!C110),ISNUMBER('Semi Rev'!G110),ISNUMBER('Semi Rev'!C110),ABS('Semi Rev'!G110-'Semi Rev'!C110)&gt;=1),('Semi OpInc'!G110-'Semi OpInc'!C110)/('Semi Rev'!G110-'Semi Rev'!C110),""),"")</f>
        <v/>
      </c>
      <c r="D1247" s="37">
        <f>IFERROR(IF(AND(ISNUMBER('Semi OpInc'!H110),ISNUMBER('Semi OpInc'!D110),ISNUMBER('Semi Rev'!H110),ISNUMBER('Semi Rev'!D110),ABS('Semi Rev'!H110-'Semi Rev'!D110)&gt;=1),('Semi OpInc'!H110-'Semi OpInc'!D110)/('Semi Rev'!H110-'Semi Rev'!D110),""),"")</f>
        <v/>
      </c>
      <c r="E1247" s="37">
        <f>IFERROR(IF(AND(ISNUMBER('Semi OpInc'!I110),ISNUMBER('Semi OpInc'!E110),ISNUMBER('Semi Rev'!I110),ISNUMBER('Semi Rev'!E110),ABS('Semi Rev'!I110-'Semi Rev'!E110)&gt;=1),('Semi OpInc'!I110-'Semi OpInc'!E110)/('Semi Rev'!I110-'Semi Rev'!E110),""),"")</f>
        <v/>
      </c>
      <c r="F1247" s="37">
        <f>IFERROR(IF(AND(ISNUMBER('Semi OpInc'!J110),ISNUMBER('Semi OpInc'!F110),ISNUMBER('Semi Rev'!J110),ISNUMBER('Semi Rev'!F110),ABS('Semi Rev'!J110-'Semi Rev'!F110)&gt;=1),('Semi OpInc'!J110-'Semi OpInc'!F110)/('Semi Rev'!J110-'Semi Rev'!F110),""),"")</f>
        <v/>
      </c>
      <c r="G1247" s="37">
        <f>IFERROR(IF(AND(ISNUMBER('Semi OpInc'!K110),ISNUMBER('Semi OpInc'!G110),ISNUMBER('Semi Rev'!K110),ISNUMBER('Semi Rev'!G110),ABS('Semi Rev'!K110-'Semi Rev'!G110)&gt;=1),('Semi OpInc'!K110-'Semi OpInc'!G110)/('Semi Rev'!K110-'Semi Rev'!G110),""),"")</f>
        <v/>
      </c>
      <c r="H1247" s="37">
        <f>IFERROR(IF(AND(ISNUMBER('Semi OpInc'!L110),ISNUMBER('Semi OpInc'!H110),ISNUMBER('Semi Rev'!L110),ISNUMBER('Semi Rev'!H110),ABS('Semi Rev'!L110-'Semi Rev'!H110)&gt;=1),('Semi OpInc'!L110-'Semi OpInc'!H110)/('Semi Rev'!L110-'Semi Rev'!H110),""),"")</f>
        <v/>
      </c>
      <c r="I1247" s="37">
        <f>IFERROR(IF(AND(ISNUMBER('Semi OpInc'!M110),ISNUMBER('Semi OpInc'!I110),ISNUMBER('Semi Rev'!M110),ISNUMBER('Semi Rev'!I110),ABS('Semi Rev'!M110-'Semi Rev'!I110)&gt;=1),('Semi OpInc'!M110-'Semi OpInc'!I110)/('Semi Rev'!M110-'Semi Rev'!I110),""),"")</f>
        <v/>
      </c>
      <c r="J1247" s="37">
        <f>IFERROR(IF(AND(ISNUMBER('Semi OpInc'!N110),ISNUMBER('Semi OpInc'!J110),ISNUMBER('Semi Rev'!N110),ISNUMBER('Semi Rev'!J110),ABS('Semi Rev'!N110-'Semi Rev'!J110)&gt;=1),('Semi OpInc'!N110-'Semi OpInc'!J110)/('Semi Rev'!N110-'Semi Rev'!J110),""),"")</f>
        <v/>
      </c>
      <c r="K1247" s="37">
        <f>IFERROR(IF(AND(ISNUMBER('Semi OpInc'!O110),ISNUMBER('Semi OpInc'!K110),ISNUMBER('Semi Rev'!O110),ISNUMBER('Semi Rev'!K110),ABS('Semi Rev'!O110-'Semi Rev'!K110)&gt;=1),('Semi OpInc'!O110-'Semi OpInc'!K110)/('Semi Rev'!O110-'Semi Rev'!K110),""),"")</f>
        <v/>
      </c>
      <c r="L1247" s="37">
        <f>IFERROR(IF(AND(ISNUMBER('Semi OpInc'!P110),ISNUMBER('Semi OpInc'!L110),ISNUMBER('Semi Rev'!P110),ISNUMBER('Semi Rev'!L110),ABS('Semi Rev'!P110-'Semi Rev'!L110)&gt;=1),('Semi OpInc'!P110-'Semi OpInc'!L110)/('Semi Rev'!P110-'Semi Rev'!L110),""),"")</f>
        <v/>
      </c>
      <c r="M1247" s="38">
        <f>IFERROR(IF(AND(ISNUMBER('Semi OpInc'!Q110),ISNUMBER('Semi OpInc'!M110),ISNUMBER('Semi Rev'!Q110),ISNUMBER('Semi Rev'!M110),ABS('Semi Rev'!Q110-'Semi Rev'!M110)&gt;=1),('Semi OpInc'!Q110-'Semi OpInc'!M110)/('Semi Rev'!Q110-'Semi Rev'!M110),""),"")</f>
        <v/>
      </c>
      <c r="N1247" s="38">
        <f>IFERROR(IF(AND(ISNUMBER('Semi OpInc'!R110),ISNUMBER('Semi OpInc'!N110),ISNUMBER('Semi Rev'!R110),ISNUMBER('Semi Rev'!N110),ABS('Semi Rev'!R110-'Semi Rev'!N110)&gt;=1),('Semi OpInc'!R110-'Semi OpInc'!N110)/('Semi Rev'!R110-'Semi Rev'!N110),""),"")</f>
        <v/>
      </c>
    </row>
    <row r="1248">
      <c r="A1248" s="19">
        <f>'Semi Rev'!$A111</f>
        <v/>
      </c>
      <c r="B1248" s="19">
        <f>'Semi Rev'!$B111</f>
        <v/>
      </c>
      <c r="C1248" s="37">
        <f>IFERROR(IF(AND(ISNUMBER('Semi OpInc'!G111),ISNUMBER('Semi OpInc'!C111),ISNUMBER('Semi Rev'!G111),ISNUMBER('Semi Rev'!C111),ABS('Semi Rev'!G111-'Semi Rev'!C111)&gt;=1),('Semi OpInc'!G111-'Semi OpInc'!C111)/('Semi Rev'!G111-'Semi Rev'!C111),""),"")</f>
        <v/>
      </c>
      <c r="D1248" s="37">
        <f>IFERROR(IF(AND(ISNUMBER('Semi OpInc'!H111),ISNUMBER('Semi OpInc'!D111),ISNUMBER('Semi Rev'!H111),ISNUMBER('Semi Rev'!D111),ABS('Semi Rev'!H111-'Semi Rev'!D111)&gt;=1),('Semi OpInc'!H111-'Semi OpInc'!D111)/('Semi Rev'!H111-'Semi Rev'!D111),""),"")</f>
        <v/>
      </c>
      <c r="E1248" s="37">
        <f>IFERROR(IF(AND(ISNUMBER('Semi OpInc'!I111),ISNUMBER('Semi OpInc'!E111),ISNUMBER('Semi Rev'!I111),ISNUMBER('Semi Rev'!E111),ABS('Semi Rev'!I111-'Semi Rev'!E111)&gt;=1),('Semi OpInc'!I111-'Semi OpInc'!E111)/('Semi Rev'!I111-'Semi Rev'!E111),""),"")</f>
        <v/>
      </c>
      <c r="F1248" s="37">
        <f>IFERROR(IF(AND(ISNUMBER('Semi OpInc'!J111),ISNUMBER('Semi OpInc'!F111),ISNUMBER('Semi Rev'!J111),ISNUMBER('Semi Rev'!F111),ABS('Semi Rev'!J111-'Semi Rev'!F111)&gt;=1),('Semi OpInc'!J111-'Semi OpInc'!F111)/('Semi Rev'!J111-'Semi Rev'!F111),""),"")</f>
        <v/>
      </c>
      <c r="G1248" s="37">
        <f>IFERROR(IF(AND(ISNUMBER('Semi OpInc'!K111),ISNUMBER('Semi OpInc'!G111),ISNUMBER('Semi Rev'!K111),ISNUMBER('Semi Rev'!G111),ABS('Semi Rev'!K111-'Semi Rev'!G111)&gt;=1),('Semi OpInc'!K111-'Semi OpInc'!G111)/('Semi Rev'!K111-'Semi Rev'!G111),""),"")</f>
        <v/>
      </c>
      <c r="H1248" s="37">
        <f>IFERROR(IF(AND(ISNUMBER('Semi OpInc'!L111),ISNUMBER('Semi OpInc'!H111),ISNUMBER('Semi Rev'!L111),ISNUMBER('Semi Rev'!H111),ABS('Semi Rev'!L111-'Semi Rev'!H111)&gt;=1),('Semi OpInc'!L111-'Semi OpInc'!H111)/('Semi Rev'!L111-'Semi Rev'!H111),""),"")</f>
        <v/>
      </c>
      <c r="I1248" s="37">
        <f>IFERROR(IF(AND(ISNUMBER('Semi OpInc'!M111),ISNUMBER('Semi OpInc'!I111),ISNUMBER('Semi Rev'!M111),ISNUMBER('Semi Rev'!I111),ABS('Semi Rev'!M111-'Semi Rev'!I111)&gt;=1),('Semi OpInc'!M111-'Semi OpInc'!I111)/('Semi Rev'!M111-'Semi Rev'!I111),""),"")</f>
        <v/>
      </c>
      <c r="J1248" s="37">
        <f>IFERROR(IF(AND(ISNUMBER('Semi OpInc'!N111),ISNUMBER('Semi OpInc'!J111),ISNUMBER('Semi Rev'!N111),ISNUMBER('Semi Rev'!J111),ABS('Semi Rev'!N111-'Semi Rev'!J111)&gt;=1),('Semi OpInc'!N111-'Semi OpInc'!J111)/('Semi Rev'!N111-'Semi Rev'!J111),""),"")</f>
        <v/>
      </c>
      <c r="K1248" s="37">
        <f>IFERROR(IF(AND(ISNUMBER('Semi OpInc'!O111),ISNUMBER('Semi OpInc'!K111),ISNUMBER('Semi Rev'!O111),ISNUMBER('Semi Rev'!K111),ABS('Semi Rev'!O111-'Semi Rev'!K111)&gt;=1),('Semi OpInc'!O111-'Semi OpInc'!K111)/('Semi Rev'!O111-'Semi Rev'!K111),""),"")</f>
        <v/>
      </c>
      <c r="L1248" s="37">
        <f>IFERROR(IF(AND(ISNUMBER('Semi OpInc'!P111),ISNUMBER('Semi OpInc'!L111),ISNUMBER('Semi Rev'!P111),ISNUMBER('Semi Rev'!L111),ABS('Semi Rev'!P111-'Semi Rev'!L111)&gt;=1),('Semi OpInc'!P111-'Semi OpInc'!L111)/('Semi Rev'!P111-'Semi Rev'!L111),""),"")</f>
        <v/>
      </c>
      <c r="M1248" s="38">
        <f>IFERROR(IF(AND(ISNUMBER('Semi OpInc'!Q111),ISNUMBER('Semi OpInc'!M111),ISNUMBER('Semi Rev'!Q111),ISNUMBER('Semi Rev'!M111),ABS('Semi Rev'!Q111-'Semi Rev'!M111)&gt;=1),('Semi OpInc'!Q111-'Semi OpInc'!M111)/('Semi Rev'!Q111-'Semi Rev'!M111),""),"")</f>
        <v/>
      </c>
      <c r="N1248" s="38">
        <f>IFERROR(IF(AND(ISNUMBER('Semi OpInc'!R111),ISNUMBER('Semi OpInc'!N111),ISNUMBER('Semi Rev'!R111),ISNUMBER('Semi Rev'!N111),ABS('Semi Rev'!R111-'Semi Rev'!N111)&gt;=1),('Semi OpInc'!R111-'Semi OpInc'!N111)/('Semi Rev'!R111-'Semi Rev'!N111),""),"")</f>
        <v/>
      </c>
    </row>
    <row r="1249">
      <c r="A1249" s="19">
        <f>'Semi Rev'!$A112</f>
        <v/>
      </c>
      <c r="B1249" s="19">
        <f>'Semi Rev'!$B112</f>
        <v/>
      </c>
      <c r="C1249" s="37">
        <f>IFERROR(IF(AND(ISNUMBER('Semi OpInc'!G112),ISNUMBER('Semi OpInc'!C112),ISNUMBER('Semi Rev'!G112),ISNUMBER('Semi Rev'!C112),ABS('Semi Rev'!G112-'Semi Rev'!C112)&gt;=1),('Semi OpInc'!G112-'Semi OpInc'!C112)/('Semi Rev'!G112-'Semi Rev'!C112),""),"")</f>
        <v/>
      </c>
      <c r="D1249" s="37">
        <f>IFERROR(IF(AND(ISNUMBER('Semi OpInc'!H112),ISNUMBER('Semi OpInc'!D112),ISNUMBER('Semi Rev'!H112),ISNUMBER('Semi Rev'!D112),ABS('Semi Rev'!H112-'Semi Rev'!D112)&gt;=1),('Semi OpInc'!H112-'Semi OpInc'!D112)/('Semi Rev'!H112-'Semi Rev'!D112),""),"")</f>
        <v/>
      </c>
      <c r="E1249" s="37">
        <f>IFERROR(IF(AND(ISNUMBER('Semi OpInc'!I112),ISNUMBER('Semi OpInc'!E112),ISNUMBER('Semi Rev'!I112),ISNUMBER('Semi Rev'!E112),ABS('Semi Rev'!I112-'Semi Rev'!E112)&gt;=1),('Semi OpInc'!I112-'Semi OpInc'!E112)/('Semi Rev'!I112-'Semi Rev'!E112),""),"")</f>
        <v/>
      </c>
      <c r="F1249" s="37">
        <f>IFERROR(IF(AND(ISNUMBER('Semi OpInc'!J112),ISNUMBER('Semi OpInc'!F112),ISNUMBER('Semi Rev'!J112),ISNUMBER('Semi Rev'!F112),ABS('Semi Rev'!J112-'Semi Rev'!F112)&gt;=1),('Semi OpInc'!J112-'Semi OpInc'!F112)/('Semi Rev'!J112-'Semi Rev'!F112),""),"")</f>
        <v/>
      </c>
      <c r="G1249" s="37">
        <f>IFERROR(IF(AND(ISNUMBER('Semi OpInc'!K112),ISNUMBER('Semi OpInc'!G112),ISNUMBER('Semi Rev'!K112),ISNUMBER('Semi Rev'!G112),ABS('Semi Rev'!K112-'Semi Rev'!G112)&gt;=1),('Semi OpInc'!K112-'Semi OpInc'!G112)/('Semi Rev'!K112-'Semi Rev'!G112),""),"")</f>
        <v/>
      </c>
      <c r="H1249" s="37">
        <f>IFERROR(IF(AND(ISNUMBER('Semi OpInc'!L112),ISNUMBER('Semi OpInc'!H112),ISNUMBER('Semi Rev'!L112),ISNUMBER('Semi Rev'!H112),ABS('Semi Rev'!L112-'Semi Rev'!H112)&gt;=1),('Semi OpInc'!L112-'Semi OpInc'!H112)/('Semi Rev'!L112-'Semi Rev'!H112),""),"")</f>
        <v/>
      </c>
      <c r="I1249" s="37">
        <f>IFERROR(IF(AND(ISNUMBER('Semi OpInc'!M112),ISNUMBER('Semi OpInc'!I112),ISNUMBER('Semi Rev'!M112),ISNUMBER('Semi Rev'!I112),ABS('Semi Rev'!M112-'Semi Rev'!I112)&gt;=1),('Semi OpInc'!M112-'Semi OpInc'!I112)/('Semi Rev'!M112-'Semi Rev'!I112),""),"")</f>
        <v/>
      </c>
      <c r="J1249" s="37">
        <f>IFERROR(IF(AND(ISNUMBER('Semi OpInc'!N112),ISNUMBER('Semi OpInc'!J112),ISNUMBER('Semi Rev'!N112),ISNUMBER('Semi Rev'!J112),ABS('Semi Rev'!N112-'Semi Rev'!J112)&gt;=1),('Semi OpInc'!N112-'Semi OpInc'!J112)/('Semi Rev'!N112-'Semi Rev'!J112),""),"")</f>
        <v/>
      </c>
      <c r="K1249" s="37">
        <f>IFERROR(IF(AND(ISNUMBER('Semi OpInc'!O112),ISNUMBER('Semi OpInc'!K112),ISNUMBER('Semi Rev'!O112),ISNUMBER('Semi Rev'!K112),ABS('Semi Rev'!O112-'Semi Rev'!K112)&gt;=1),('Semi OpInc'!O112-'Semi OpInc'!K112)/('Semi Rev'!O112-'Semi Rev'!K112),""),"")</f>
        <v/>
      </c>
      <c r="L1249" s="37">
        <f>IFERROR(IF(AND(ISNUMBER('Semi OpInc'!P112),ISNUMBER('Semi OpInc'!L112),ISNUMBER('Semi Rev'!P112),ISNUMBER('Semi Rev'!L112),ABS('Semi Rev'!P112-'Semi Rev'!L112)&gt;=1),('Semi OpInc'!P112-'Semi OpInc'!L112)/('Semi Rev'!P112-'Semi Rev'!L112),""),"")</f>
        <v/>
      </c>
      <c r="M1249" s="38">
        <f>IFERROR(IF(AND(ISNUMBER('Semi OpInc'!Q112),ISNUMBER('Semi OpInc'!M112),ISNUMBER('Semi Rev'!Q112),ISNUMBER('Semi Rev'!M112),ABS('Semi Rev'!Q112-'Semi Rev'!M112)&gt;=1),('Semi OpInc'!Q112-'Semi OpInc'!M112)/('Semi Rev'!Q112-'Semi Rev'!M112),""),"")</f>
        <v/>
      </c>
      <c r="N1249" s="38">
        <f>IFERROR(IF(AND(ISNUMBER('Semi OpInc'!R112),ISNUMBER('Semi OpInc'!N112),ISNUMBER('Semi Rev'!R112),ISNUMBER('Semi Rev'!N112),ABS('Semi Rev'!R112-'Semi Rev'!N112)&gt;=1),('Semi OpInc'!R112-'Semi OpInc'!N112)/('Semi Rev'!R112-'Semi Rev'!N112),""),"")</f>
        <v/>
      </c>
    </row>
    <row r="1250">
      <c r="A1250" s="19">
        <f>'Semi Rev'!$A113</f>
        <v/>
      </c>
      <c r="B1250" s="19">
        <f>'Semi Rev'!$B113</f>
        <v/>
      </c>
      <c r="C1250" s="37">
        <f>IFERROR(IF(AND(ISNUMBER('Semi OpInc'!G113),ISNUMBER('Semi OpInc'!C113),ISNUMBER('Semi Rev'!G113),ISNUMBER('Semi Rev'!C113),ABS('Semi Rev'!G113-'Semi Rev'!C113)&gt;=1),('Semi OpInc'!G113-'Semi OpInc'!C113)/('Semi Rev'!G113-'Semi Rev'!C113),""),"")</f>
        <v/>
      </c>
      <c r="D1250" s="37">
        <f>IFERROR(IF(AND(ISNUMBER('Semi OpInc'!H113),ISNUMBER('Semi OpInc'!D113),ISNUMBER('Semi Rev'!H113),ISNUMBER('Semi Rev'!D113),ABS('Semi Rev'!H113-'Semi Rev'!D113)&gt;=1),('Semi OpInc'!H113-'Semi OpInc'!D113)/('Semi Rev'!H113-'Semi Rev'!D113),""),"")</f>
        <v/>
      </c>
      <c r="E1250" s="37">
        <f>IFERROR(IF(AND(ISNUMBER('Semi OpInc'!I113),ISNUMBER('Semi OpInc'!E113),ISNUMBER('Semi Rev'!I113),ISNUMBER('Semi Rev'!E113),ABS('Semi Rev'!I113-'Semi Rev'!E113)&gt;=1),('Semi OpInc'!I113-'Semi OpInc'!E113)/('Semi Rev'!I113-'Semi Rev'!E113),""),"")</f>
        <v/>
      </c>
      <c r="F1250" s="37">
        <f>IFERROR(IF(AND(ISNUMBER('Semi OpInc'!J113),ISNUMBER('Semi OpInc'!F113),ISNUMBER('Semi Rev'!J113),ISNUMBER('Semi Rev'!F113),ABS('Semi Rev'!J113-'Semi Rev'!F113)&gt;=1),('Semi OpInc'!J113-'Semi OpInc'!F113)/('Semi Rev'!J113-'Semi Rev'!F113),""),"")</f>
        <v/>
      </c>
      <c r="G1250" s="37">
        <f>IFERROR(IF(AND(ISNUMBER('Semi OpInc'!K113),ISNUMBER('Semi OpInc'!G113),ISNUMBER('Semi Rev'!K113),ISNUMBER('Semi Rev'!G113),ABS('Semi Rev'!K113-'Semi Rev'!G113)&gt;=1),('Semi OpInc'!K113-'Semi OpInc'!G113)/('Semi Rev'!K113-'Semi Rev'!G113),""),"")</f>
        <v/>
      </c>
      <c r="H1250" s="37">
        <f>IFERROR(IF(AND(ISNUMBER('Semi OpInc'!L113),ISNUMBER('Semi OpInc'!H113),ISNUMBER('Semi Rev'!L113),ISNUMBER('Semi Rev'!H113),ABS('Semi Rev'!L113-'Semi Rev'!H113)&gt;=1),('Semi OpInc'!L113-'Semi OpInc'!H113)/('Semi Rev'!L113-'Semi Rev'!H113),""),"")</f>
        <v/>
      </c>
      <c r="I1250" s="37">
        <f>IFERROR(IF(AND(ISNUMBER('Semi OpInc'!M113),ISNUMBER('Semi OpInc'!I113),ISNUMBER('Semi Rev'!M113),ISNUMBER('Semi Rev'!I113),ABS('Semi Rev'!M113-'Semi Rev'!I113)&gt;=1),('Semi OpInc'!M113-'Semi OpInc'!I113)/('Semi Rev'!M113-'Semi Rev'!I113),""),"")</f>
        <v/>
      </c>
      <c r="J1250" s="37">
        <f>IFERROR(IF(AND(ISNUMBER('Semi OpInc'!N113),ISNUMBER('Semi OpInc'!J113),ISNUMBER('Semi Rev'!N113),ISNUMBER('Semi Rev'!J113),ABS('Semi Rev'!N113-'Semi Rev'!J113)&gt;=1),('Semi OpInc'!N113-'Semi OpInc'!J113)/('Semi Rev'!N113-'Semi Rev'!J113),""),"")</f>
        <v/>
      </c>
      <c r="K1250" s="37">
        <f>IFERROR(IF(AND(ISNUMBER('Semi OpInc'!O113),ISNUMBER('Semi OpInc'!K113),ISNUMBER('Semi Rev'!O113),ISNUMBER('Semi Rev'!K113),ABS('Semi Rev'!O113-'Semi Rev'!K113)&gt;=1),('Semi OpInc'!O113-'Semi OpInc'!K113)/('Semi Rev'!O113-'Semi Rev'!K113),""),"")</f>
        <v/>
      </c>
      <c r="L1250" s="37">
        <f>IFERROR(IF(AND(ISNUMBER('Semi OpInc'!P113),ISNUMBER('Semi OpInc'!L113),ISNUMBER('Semi Rev'!P113),ISNUMBER('Semi Rev'!L113),ABS('Semi Rev'!P113-'Semi Rev'!L113)&gt;=1),('Semi OpInc'!P113-'Semi OpInc'!L113)/('Semi Rev'!P113-'Semi Rev'!L113),""),"")</f>
        <v/>
      </c>
      <c r="M1250" s="38">
        <f>IFERROR(IF(AND(ISNUMBER('Semi OpInc'!Q113),ISNUMBER('Semi OpInc'!M113),ISNUMBER('Semi Rev'!Q113),ISNUMBER('Semi Rev'!M113),ABS('Semi Rev'!Q113-'Semi Rev'!M113)&gt;=1),('Semi OpInc'!Q113-'Semi OpInc'!M113)/('Semi Rev'!Q113-'Semi Rev'!M113),""),"")</f>
        <v/>
      </c>
      <c r="N1250" s="38">
        <f>IFERROR(IF(AND(ISNUMBER('Semi OpInc'!R113),ISNUMBER('Semi OpInc'!N113),ISNUMBER('Semi Rev'!R113),ISNUMBER('Semi Rev'!N113),ABS('Semi Rev'!R113-'Semi Rev'!N113)&gt;=1),('Semi OpInc'!R113-'Semi OpInc'!N113)/('Semi Rev'!R113-'Semi Rev'!N113),""),"")</f>
        <v/>
      </c>
    </row>
    <row r="1251">
      <c r="A1251" s="19">
        <f>'Semi Rev'!$A114</f>
        <v/>
      </c>
      <c r="B1251" s="19">
        <f>'Semi Rev'!$B114</f>
        <v/>
      </c>
      <c r="C1251" s="37">
        <f>IFERROR(IF(AND(ISNUMBER('Semi OpInc'!G114),ISNUMBER('Semi OpInc'!C114),ISNUMBER('Semi Rev'!G114),ISNUMBER('Semi Rev'!C114),ABS('Semi Rev'!G114-'Semi Rev'!C114)&gt;=1),('Semi OpInc'!G114-'Semi OpInc'!C114)/('Semi Rev'!G114-'Semi Rev'!C114),""),"")</f>
        <v/>
      </c>
      <c r="D1251" s="37">
        <f>IFERROR(IF(AND(ISNUMBER('Semi OpInc'!H114),ISNUMBER('Semi OpInc'!D114),ISNUMBER('Semi Rev'!H114),ISNUMBER('Semi Rev'!D114),ABS('Semi Rev'!H114-'Semi Rev'!D114)&gt;=1),('Semi OpInc'!H114-'Semi OpInc'!D114)/('Semi Rev'!H114-'Semi Rev'!D114),""),"")</f>
        <v/>
      </c>
      <c r="E1251" s="37">
        <f>IFERROR(IF(AND(ISNUMBER('Semi OpInc'!I114),ISNUMBER('Semi OpInc'!E114),ISNUMBER('Semi Rev'!I114),ISNUMBER('Semi Rev'!E114),ABS('Semi Rev'!I114-'Semi Rev'!E114)&gt;=1),('Semi OpInc'!I114-'Semi OpInc'!E114)/('Semi Rev'!I114-'Semi Rev'!E114),""),"")</f>
        <v/>
      </c>
      <c r="F1251" s="37">
        <f>IFERROR(IF(AND(ISNUMBER('Semi OpInc'!J114),ISNUMBER('Semi OpInc'!F114),ISNUMBER('Semi Rev'!J114),ISNUMBER('Semi Rev'!F114),ABS('Semi Rev'!J114-'Semi Rev'!F114)&gt;=1),('Semi OpInc'!J114-'Semi OpInc'!F114)/('Semi Rev'!J114-'Semi Rev'!F114),""),"")</f>
        <v/>
      </c>
      <c r="G1251" s="37">
        <f>IFERROR(IF(AND(ISNUMBER('Semi OpInc'!K114),ISNUMBER('Semi OpInc'!G114),ISNUMBER('Semi Rev'!K114),ISNUMBER('Semi Rev'!G114),ABS('Semi Rev'!K114-'Semi Rev'!G114)&gt;=1),('Semi OpInc'!K114-'Semi OpInc'!G114)/('Semi Rev'!K114-'Semi Rev'!G114),""),"")</f>
        <v/>
      </c>
      <c r="H1251" s="37">
        <f>IFERROR(IF(AND(ISNUMBER('Semi OpInc'!L114),ISNUMBER('Semi OpInc'!H114),ISNUMBER('Semi Rev'!L114),ISNUMBER('Semi Rev'!H114),ABS('Semi Rev'!L114-'Semi Rev'!H114)&gt;=1),('Semi OpInc'!L114-'Semi OpInc'!H114)/('Semi Rev'!L114-'Semi Rev'!H114),""),"")</f>
        <v/>
      </c>
      <c r="I1251" s="37">
        <f>IFERROR(IF(AND(ISNUMBER('Semi OpInc'!M114),ISNUMBER('Semi OpInc'!I114),ISNUMBER('Semi Rev'!M114),ISNUMBER('Semi Rev'!I114),ABS('Semi Rev'!M114-'Semi Rev'!I114)&gt;=1),('Semi OpInc'!M114-'Semi OpInc'!I114)/('Semi Rev'!M114-'Semi Rev'!I114),""),"")</f>
        <v/>
      </c>
      <c r="J1251" s="37">
        <f>IFERROR(IF(AND(ISNUMBER('Semi OpInc'!N114),ISNUMBER('Semi OpInc'!J114),ISNUMBER('Semi Rev'!N114),ISNUMBER('Semi Rev'!J114),ABS('Semi Rev'!N114-'Semi Rev'!J114)&gt;=1),('Semi OpInc'!N114-'Semi OpInc'!J114)/('Semi Rev'!N114-'Semi Rev'!J114),""),"")</f>
        <v/>
      </c>
      <c r="K1251" s="37">
        <f>IFERROR(IF(AND(ISNUMBER('Semi OpInc'!O114),ISNUMBER('Semi OpInc'!K114),ISNUMBER('Semi Rev'!O114),ISNUMBER('Semi Rev'!K114),ABS('Semi Rev'!O114-'Semi Rev'!K114)&gt;=1),('Semi OpInc'!O114-'Semi OpInc'!K114)/('Semi Rev'!O114-'Semi Rev'!K114),""),"")</f>
        <v/>
      </c>
      <c r="L1251" s="37">
        <f>IFERROR(IF(AND(ISNUMBER('Semi OpInc'!P114),ISNUMBER('Semi OpInc'!L114),ISNUMBER('Semi Rev'!P114),ISNUMBER('Semi Rev'!L114),ABS('Semi Rev'!P114-'Semi Rev'!L114)&gt;=1),('Semi OpInc'!P114-'Semi OpInc'!L114)/('Semi Rev'!P114-'Semi Rev'!L114),""),"")</f>
        <v/>
      </c>
      <c r="M1251" s="38">
        <f>IFERROR(IF(AND(ISNUMBER('Semi OpInc'!Q114),ISNUMBER('Semi OpInc'!M114),ISNUMBER('Semi Rev'!Q114),ISNUMBER('Semi Rev'!M114),ABS('Semi Rev'!Q114-'Semi Rev'!M114)&gt;=1),('Semi OpInc'!Q114-'Semi OpInc'!M114)/('Semi Rev'!Q114-'Semi Rev'!M114),""),"")</f>
        <v/>
      </c>
      <c r="N1251" s="38">
        <f>IFERROR(IF(AND(ISNUMBER('Semi OpInc'!R114),ISNUMBER('Semi OpInc'!N114),ISNUMBER('Semi Rev'!R114),ISNUMBER('Semi Rev'!N114),ABS('Semi Rev'!R114-'Semi Rev'!N114)&gt;=1),('Semi OpInc'!R114-'Semi OpInc'!N114)/('Semi Rev'!R114-'Semi Rev'!N114),""),"")</f>
        <v/>
      </c>
    </row>
    <row r="1252">
      <c r="A1252" s="19">
        <f>'Semi Rev'!$A115</f>
        <v/>
      </c>
      <c r="B1252" s="19">
        <f>'Semi Rev'!$B115</f>
        <v/>
      </c>
      <c r="C1252" s="37">
        <f>IFERROR(IF(AND(ISNUMBER('Semi OpInc'!G115),ISNUMBER('Semi OpInc'!C115),ISNUMBER('Semi Rev'!G115),ISNUMBER('Semi Rev'!C115),ABS('Semi Rev'!G115-'Semi Rev'!C115)&gt;=1),('Semi OpInc'!G115-'Semi OpInc'!C115)/('Semi Rev'!G115-'Semi Rev'!C115),""),"")</f>
        <v/>
      </c>
      <c r="D1252" s="37">
        <f>IFERROR(IF(AND(ISNUMBER('Semi OpInc'!H115),ISNUMBER('Semi OpInc'!D115),ISNUMBER('Semi Rev'!H115),ISNUMBER('Semi Rev'!D115),ABS('Semi Rev'!H115-'Semi Rev'!D115)&gt;=1),('Semi OpInc'!H115-'Semi OpInc'!D115)/('Semi Rev'!H115-'Semi Rev'!D115),""),"")</f>
        <v/>
      </c>
      <c r="E1252" s="37">
        <f>IFERROR(IF(AND(ISNUMBER('Semi OpInc'!I115),ISNUMBER('Semi OpInc'!E115),ISNUMBER('Semi Rev'!I115),ISNUMBER('Semi Rev'!E115),ABS('Semi Rev'!I115-'Semi Rev'!E115)&gt;=1),('Semi OpInc'!I115-'Semi OpInc'!E115)/('Semi Rev'!I115-'Semi Rev'!E115),""),"")</f>
        <v/>
      </c>
      <c r="F1252" s="37">
        <f>IFERROR(IF(AND(ISNUMBER('Semi OpInc'!J115),ISNUMBER('Semi OpInc'!F115),ISNUMBER('Semi Rev'!J115),ISNUMBER('Semi Rev'!F115),ABS('Semi Rev'!J115-'Semi Rev'!F115)&gt;=1),('Semi OpInc'!J115-'Semi OpInc'!F115)/('Semi Rev'!J115-'Semi Rev'!F115),""),"")</f>
        <v/>
      </c>
      <c r="G1252" s="37">
        <f>IFERROR(IF(AND(ISNUMBER('Semi OpInc'!K115),ISNUMBER('Semi OpInc'!G115),ISNUMBER('Semi Rev'!K115),ISNUMBER('Semi Rev'!G115),ABS('Semi Rev'!K115-'Semi Rev'!G115)&gt;=1),('Semi OpInc'!K115-'Semi OpInc'!G115)/('Semi Rev'!K115-'Semi Rev'!G115),""),"")</f>
        <v/>
      </c>
      <c r="H1252" s="37">
        <f>IFERROR(IF(AND(ISNUMBER('Semi OpInc'!L115),ISNUMBER('Semi OpInc'!H115),ISNUMBER('Semi Rev'!L115),ISNUMBER('Semi Rev'!H115),ABS('Semi Rev'!L115-'Semi Rev'!H115)&gt;=1),('Semi OpInc'!L115-'Semi OpInc'!H115)/('Semi Rev'!L115-'Semi Rev'!H115),""),"")</f>
        <v/>
      </c>
      <c r="I1252" s="37">
        <f>IFERROR(IF(AND(ISNUMBER('Semi OpInc'!M115),ISNUMBER('Semi OpInc'!I115),ISNUMBER('Semi Rev'!M115),ISNUMBER('Semi Rev'!I115),ABS('Semi Rev'!M115-'Semi Rev'!I115)&gt;=1),('Semi OpInc'!M115-'Semi OpInc'!I115)/('Semi Rev'!M115-'Semi Rev'!I115),""),"")</f>
        <v/>
      </c>
      <c r="J1252" s="37">
        <f>IFERROR(IF(AND(ISNUMBER('Semi OpInc'!N115),ISNUMBER('Semi OpInc'!J115),ISNUMBER('Semi Rev'!N115),ISNUMBER('Semi Rev'!J115),ABS('Semi Rev'!N115-'Semi Rev'!J115)&gt;=1),('Semi OpInc'!N115-'Semi OpInc'!J115)/('Semi Rev'!N115-'Semi Rev'!J115),""),"")</f>
        <v/>
      </c>
      <c r="K1252" s="37">
        <f>IFERROR(IF(AND(ISNUMBER('Semi OpInc'!O115),ISNUMBER('Semi OpInc'!K115),ISNUMBER('Semi Rev'!O115),ISNUMBER('Semi Rev'!K115),ABS('Semi Rev'!O115-'Semi Rev'!K115)&gt;=1),('Semi OpInc'!O115-'Semi OpInc'!K115)/('Semi Rev'!O115-'Semi Rev'!K115),""),"")</f>
        <v/>
      </c>
      <c r="L1252" s="37">
        <f>IFERROR(IF(AND(ISNUMBER('Semi OpInc'!P115),ISNUMBER('Semi OpInc'!L115),ISNUMBER('Semi Rev'!P115),ISNUMBER('Semi Rev'!L115),ABS('Semi Rev'!P115-'Semi Rev'!L115)&gt;=1),('Semi OpInc'!P115-'Semi OpInc'!L115)/('Semi Rev'!P115-'Semi Rev'!L115),""),"")</f>
        <v/>
      </c>
      <c r="M1252" s="38">
        <f>IFERROR(IF(AND(ISNUMBER('Semi OpInc'!Q115),ISNUMBER('Semi OpInc'!M115),ISNUMBER('Semi Rev'!Q115),ISNUMBER('Semi Rev'!M115),ABS('Semi Rev'!Q115-'Semi Rev'!M115)&gt;=1),('Semi OpInc'!Q115-'Semi OpInc'!M115)/('Semi Rev'!Q115-'Semi Rev'!M115),""),"")</f>
        <v/>
      </c>
      <c r="N1252" s="38">
        <f>IFERROR(IF(AND(ISNUMBER('Semi OpInc'!R115),ISNUMBER('Semi OpInc'!N115),ISNUMBER('Semi Rev'!R115),ISNUMBER('Semi Rev'!N115),ABS('Semi Rev'!R115-'Semi Rev'!N115)&gt;=1),('Semi OpInc'!R115-'Semi OpInc'!N115)/('Semi Rev'!R115-'Semi Rev'!N115),""),"")</f>
        <v/>
      </c>
    </row>
    <row r="1253">
      <c r="A1253" s="19">
        <f>'Semi Rev'!$A116</f>
        <v/>
      </c>
      <c r="B1253" s="19">
        <f>'Semi Rev'!$B116</f>
        <v/>
      </c>
      <c r="C1253" s="37">
        <f>IFERROR(IF(AND(ISNUMBER('Semi OpInc'!G116),ISNUMBER('Semi OpInc'!C116),ISNUMBER('Semi Rev'!G116),ISNUMBER('Semi Rev'!C116),ABS('Semi Rev'!G116-'Semi Rev'!C116)&gt;=1),('Semi OpInc'!G116-'Semi OpInc'!C116)/('Semi Rev'!G116-'Semi Rev'!C116),""),"")</f>
        <v/>
      </c>
      <c r="D1253" s="37">
        <f>IFERROR(IF(AND(ISNUMBER('Semi OpInc'!H116),ISNUMBER('Semi OpInc'!D116),ISNUMBER('Semi Rev'!H116),ISNUMBER('Semi Rev'!D116),ABS('Semi Rev'!H116-'Semi Rev'!D116)&gt;=1),('Semi OpInc'!H116-'Semi OpInc'!D116)/('Semi Rev'!H116-'Semi Rev'!D116),""),"")</f>
        <v/>
      </c>
      <c r="E1253" s="37">
        <f>IFERROR(IF(AND(ISNUMBER('Semi OpInc'!I116),ISNUMBER('Semi OpInc'!E116),ISNUMBER('Semi Rev'!I116),ISNUMBER('Semi Rev'!E116),ABS('Semi Rev'!I116-'Semi Rev'!E116)&gt;=1),('Semi OpInc'!I116-'Semi OpInc'!E116)/('Semi Rev'!I116-'Semi Rev'!E116),""),"")</f>
        <v/>
      </c>
      <c r="F1253" s="37">
        <f>IFERROR(IF(AND(ISNUMBER('Semi OpInc'!J116),ISNUMBER('Semi OpInc'!F116),ISNUMBER('Semi Rev'!J116),ISNUMBER('Semi Rev'!F116),ABS('Semi Rev'!J116-'Semi Rev'!F116)&gt;=1),('Semi OpInc'!J116-'Semi OpInc'!F116)/('Semi Rev'!J116-'Semi Rev'!F116),""),"")</f>
        <v/>
      </c>
      <c r="G1253" s="37">
        <f>IFERROR(IF(AND(ISNUMBER('Semi OpInc'!K116),ISNUMBER('Semi OpInc'!G116),ISNUMBER('Semi Rev'!K116),ISNUMBER('Semi Rev'!G116),ABS('Semi Rev'!K116-'Semi Rev'!G116)&gt;=1),('Semi OpInc'!K116-'Semi OpInc'!G116)/('Semi Rev'!K116-'Semi Rev'!G116),""),"")</f>
        <v/>
      </c>
      <c r="H1253" s="37">
        <f>IFERROR(IF(AND(ISNUMBER('Semi OpInc'!L116),ISNUMBER('Semi OpInc'!H116),ISNUMBER('Semi Rev'!L116),ISNUMBER('Semi Rev'!H116),ABS('Semi Rev'!L116-'Semi Rev'!H116)&gt;=1),('Semi OpInc'!L116-'Semi OpInc'!H116)/('Semi Rev'!L116-'Semi Rev'!H116),""),"")</f>
        <v/>
      </c>
      <c r="I1253" s="37">
        <f>IFERROR(IF(AND(ISNUMBER('Semi OpInc'!M116),ISNUMBER('Semi OpInc'!I116),ISNUMBER('Semi Rev'!M116),ISNUMBER('Semi Rev'!I116),ABS('Semi Rev'!M116-'Semi Rev'!I116)&gt;=1),('Semi OpInc'!M116-'Semi OpInc'!I116)/('Semi Rev'!M116-'Semi Rev'!I116),""),"")</f>
        <v/>
      </c>
      <c r="J1253" s="37">
        <f>IFERROR(IF(AND(ISNUMBER('Semi OpInc'!N116),ISNUMBER('Semi OpInc'!J116),ISNUMBER('Semi Rev'!N116),ISNUMBER('Semi Rev'!J116),ABS('Semi Rev'!N116-'Semi Rev'!J116)&gt;=1),('Semi OpInc'!N116-'Semi OpInc'!J116)/('Semi Rev'!N116-'Semi Rev'!J116),""),"")</f>
        <v/>
      </c>
      <c r="K1253" s="37">
        <f>IFERROR(IF(AND(ISNUMBER('Semi OpInc'!O116),ISNUMBER('Semi OpInc'!K116),ISNUMBER('Semi Rev'!O116),ISNUMBER('Semi Rev'!K116),ABS('Semi Rev'!O116-'Semi Rev'!K116)&gt;=1),('Semi OpInc'!O116-'Semi OpInc'!K116)/('Semi Rev'!O116-'Semi Rev'!K116),""),"")</f>
        <v/>
      </c>
      <c r="L1253" s="37">
        <f>IFERROR(IF(AND(ISNUMBER('Semi OpInc'!P116),ISNUMBER('Semi OpInc'!L116),ISNUMBER('Semi Rev'!P116),ISNUMBER('Semi Rev'!L116),ABS('Semi Rev'!P116-'Semi Rev'!L116)&gt;=1),('Semi OpInc'!P116-'Semi OpInc'!L116)/('Semi Rev'!P116-'Semi Rev'!L116),""),"")</f>
        <v/>
      </c>
      <c r="M1253" s="38">
        <f>IFERROR(IF(AND(ISNUMBER('Semi OpInc'!Q116),ISNUMBER('Semi OpInc'!M116),ISNUMBER('Semi Rev'!Q116),ISNUMBER('Semi Rev'!M116),ABS('Semi Rev'!Q116-'Semi Rev'!M116)&gt;=1),('Semi OpInc'!Q116-'Semi OpInc'!M116)/('Semi Rev'!Q116-'Semi Rev'!M116),""),"")</f>
        <v/>
      </c>
      <c r="N1253" s="38">
        <f>IFERROR(IF(AND(ISNUMBER('Semi OpInc'!R116),ISNUMBER('Semi OpInc'!N116),ISNUMBER('Semi Rev'!R116),ISNUMBER('Semi Rev'!N116),ABS('Semi Rev'!R116-'Semi Rev'!N116)&gt;=1),('Semi OpInc'!R116-'Semi OpInc'!N116)/('Semi Rev'!R116-'Semi Rev'!N116),""),"")</f>
        <v/>
      </c>
    </row>
    <row r="1254">
      <c r="A1254" s="19">
        <f>'Semi Rev'!$A117</f>
        <v/>
      </c>
      <c r="B1254" s="19">
        <f>'Semi Rev'!$B117</f>
        <v/>
      </c>
      <c r="C1254" s="37">
        <f>IFERROR(IF(AND(ISNUMBER('Semi OpInc'!G117),ISNUMBER('Semi OpInc'!C117),ISNUMBER('Semi Rev'!G117),ISNUMBER('Semi Rev'!C117),ABS('Semi Rev'!G117-'Semi Rev'!C117)&gt;=1),('Semi OpInc'!G117-'Semi OpInc'!C117)/('Semi Rev'!G117-'Semi Rev'!C117),""),"")</f>
        <v/>
      </c>
      <c r="D1254" s="37">
        <f>IFERROR(IF(AND(ISNUMBER('Semi OpInc'!H117),ISNUMBER('Semi OpInc'!D117),ISNUMBER('Semi Rev'!H117),ISNUMBER('Semi Rev'!D117),ABS('Semi Rev'!H117-'Semi Rev'!D117)&gt;=1),('Semi OpInc'!H117-'Semi OpInc'!D117)/('Semi Rev'!H117-'Semi Rev'!D117),""),"")</f>
        <v/>
      </c>
      <c r="E1254" s="37">
        <f>IFERROR(IF(AND(ISNUMBER('Semi OpInc'!I117),ISNUMBER('Semi OpInc'!E117),ISNUMBER('Semi Rev'!I117),ISNUMBER('Semi Rev'!E117),ABS('Semi Rev'!I117-'Semi Rev'!E117)&gt;=1),('Semi OpInc'!I117-'Semi OpInc'!E117)/('Semi Rev'!I117-'Semi Rev'!E117),""),"")</f>
        <v/>
      </c>
      <c r="F1254" s="37">
        <f>IFERROR(IF(AND(ISNUMBER('Semi OpInc'!J117),ISNUMBER('Semi OpInc'!F117),ISNUMBER('Semi Rev'!J117),ISNUMBER('Semi Rev'!F117),ABS('Semi Rev'!J117-'Semi Rev'!F117)&gt;=1),('Semi OpInc'!J117-'Semi OpInc'!F117)/('Semi Rev'!J117-'Semi Rev'!F117),""),"")</f>
        <v/>
      </c>
      <c r="G1254" s="37">
        <f>IFERROR(IF(AND(ISNUMBER('Semi OpInc'!K117),ISNUMBER('Semi OpInc'!G117),ISNUMBER('Semi Rev'!K117),ISNUMBER('Semi Rev'!G117),ABS('Semi Rev'!K117-'Semi Rev'!G117)&gt;=1),('Semi OpInc'!K117-'Semi OpInc'!G117)/('Semi Rev'!K117-'Semi Rev'!G117),""),"")</f>
        <v/>
      </c>
      <c r="H1254" s="37">
        <f>IFERROR(IF(AND(ISNUMBER('Semi OpInc'!L117),ISNUMBER('Semi OpInc'!H117),ISNUMBER('Semi Rev'!L117),ISNUMBER('Semi Rev'!H117),ABS('Semi Rev'!L117-'Semi Rev'!H117)&gt;=1),('Semi OpInc'!L117-'Semi OpInc'!H117)/('Semi Rev'!L117-'Semi Rev'!H117),""),"")</f>
        <v/>
      </c>
      <c r="I1254" s="37">
        <f>IFERROR(IF(AND(ISNUMBER('Semi OpInc'!M117),ISNUMBER('Semi OpInc'!I117),ISNUMBER('Semi Rev'!M117),ISNUMBER('Semi Rev'!I117),ABS('Semi Rev'!M117-'Semi Rev'!I117)&gt;=1),('Semi OpInc'!M117-'Semi OpInc'!I117)/('Semi Rev'!M117-'Semi Rev'!I117),""),"")</f>
        <v/>
      </c>
      <c r="J1254" s="37">
        <f>IFERROR(IF(AND(ISNUMBER('Semi OpInc'!N117),ISNUMBER('Semi OpInc'!J117),ISNUMBER('Semi Rev'!N117),ISNUMBER('Semi Rev'!J117),ABS('Semi Rev'!N117-'Semi Rev'!J117)&gt;=1),('Semi OpInc'!N117-'Semi OpInc'!J117)/('Semi Rev'!N117-'Semi Rev'!J117),""),"")</f>
        <v/>
      </c>
      <c r="K1254" s="37">
        <f>IFERROR(IF(AND(ISNUMBER('Semi OpInc'!O117),ISNUMBER('Semi OpInc'!K117),ISNUMBER('Semi Rev'!O117),ISNUMBER('Semi Rev'!K117),ABS('Semi Rev'!O117-'Semi Rev'!K117)&gt;=1),('Semi OpInc'!O117-'Semi OpInc'!K117)/('Semi Rev'!O117-'Semi Rev'!K117),""),"")</f>
        <v/>
      </c>
      <c r="L1254" s="37">
        <f>IFERROR(IF(AND(ISNUMBER('Semi OpInc'!P117),ISNUMBER('Semi OpInc'!L117),ISNUMBER('Semi Rev'!P117),ISNUMBER('Semi Rev'!L117),ABS('Semi Rev'!P117-'Semi Rev'!L117)&gt;=1),('Semi OpInc'!P117-'Semi OpInc'!L117)/('Semi Rev'!P117-'Semi Rev'!L117),""),"")</f>
        <v/>
      </c>
      <c r="M1254" s="38">
        <f>IFERROR(IF(AND(ISNUMBER('Semi OpInc'!Q117),ISNUMBER('Semi OpInc'!M117),ISNUMBER('Semi Rev'!Q117),ISNUMBER('Semi Rev'!M117),ABS('Semi Rev'!Q117-'Semi Rev'!M117)&gt;=1),('Semi OpInc'!Q117-'Semi OpInc'!M117)/('Semi Rev'!Q117-'Semi Rev'!M117),""),"")</f>
        <v/>
      </c>
      <c r="N1254" s="38">
        <f>IFERROR(IF(AND(ISNUMBER('Semi OpInc'!R117),ISNUMBER('Semi OpInc'!N117),ISNUMBER('Semi Rev'!R117),ISNUMBER('Semi Rev'!N117),ABS('Semi Rev'!R117-'Semi Rev'!N117)&gt;=1),('Semi OpInc'!R117-'Semi OpInc'!N117)/('Semi Rev'!R117-'Semi Rev'!N117),""),"")</f>
        <v/>
      </c>
    </row>
    <row r="1255">
      <c r="A1255" s="19">
        <f>'Semi Rev'!$A118</f>
        <v/>
      </c>
      <c r="B1255" s="19">
        <f>'Semi Rev'!$B118</f>
        <v/>
      </c>
      <c r="C1255" s="37">
        <f>IFERROR(IF(AND(ISNUMBER('Semi OpInc'!G118),ISNUMBER('Semi OpInc'!C118),ISNUMBER('Semi Rev'!G118),ISNUMBER('Semi Rev'!C118),ABS('Semi Rev'!G118-'Semi Rev'!C118)&gt;=1),('Semi OpInc'!G118-'Semi OpInc'!C118)/('Semi Rev'!G118-'Semi Rev'!C118),""),"")</f>
        <v/>
      </c>
      <c r="D1255" s="37">
        <f>IFERROR(IF(AND(ISNUMBER('Semi OpInc'!H118),ISNUMBER('Semi OpInc'!D118),ISNUMBER('Semi Rev'!H118),ISNUMBER('Semi Rev'!D118),ABS('Semi Rev'!H118-'Semi Rev'!D118)&gt;=1),('Semi OpInc'!H118-'Semi OpInc'!D118)/('Semi Rev'!H118-'Semi Rev'!D118),""),"")</f>
        <v/>
      </c>
      <c r="E1255" s="37">
        <f>IFERROR(IF(AND(ISNUMBER('Semi OpInc'!I118),ISNUMBER('Semi OpInc'!E118),ISNUMBER('Semi Rev'!I118),ISNUMBER('Semi Rev'!E118),ABS('Semi Rev'!I118-'Semi Rev'!E118)&gt;=1),('Semi OpInc'!I118-'Semi OpInc'!E118)/('Semi Rev'!I118-'Semi Rev'!E118),""),"")</f>
        <v/>
      </c>
      <c r="F1255" s="37">
        <f>IFERROR(IF(AND(ISNUMBER('Semi OpInc'!J118),ISNUMBER('Semi OpInc'!F118),ISNUMBER('Semi Rev'!J118),ISNUMBER('Semi Rev'!F118),ABS('Semi Rev'!J118-'Semi Rev'!F118)&gt;=1),('Semi OpInc'!J118-'Semi OpInc'!F118)/('Semi Rev'!J118-'Semi Rev'!F118),""),"")</f>
        <v/>
      </c>
      <c r="G1255" s="37">
        <f>IFERROR(IF(AND(ISNUMBER('Semi OpInc'!K118),ISNUMBER('Semi OpInc'!G118),ISNUMBER('Semi Rev'!K118),ISNUMBER('Semi Rev'!G118),ABS('Semi Rev'!K118-'Semi Rev'!G118)&gt;=1),('Semi OpInc'!K118-'Semi OpInc'!G118)/('Semi Rev'!K118-'Semi Rev'!G118),""),"")</f>
        <v/>
      </c>
      <c r="H1255" s="37">
        <f>IFERROR(IF(AND(ISNUMBER('Semi OpInc'!L118),ISNUMBER('Semi OpInc'!H118),ISNUMBER('Semi Rev'!L118),ISNUMBER('Semi Rev'!H118),ABS('Semi Rev'!L118-'Semi Rev'!H118)&gt;=1),('Semi OpInc'!L118-'Semi OpInc'!H118)/('Semi Rev'!L118-'Semi Rev'!H118),""),"")</f>
        <v/>
      </c>
      <c r="I1255" s="37">
        <f>IFERROR(IF(AND(ISNUMBER('Semi OpInc'!M118),ISNUMBER('Semi OpInc'!I118),ISNUMBER('Semi Rev'!M118),ISNUMBER('Semi Rev'!I118),ABS('Semi Rev'!M118-'Semi Rev'!I118)&gt;=1),('Semi OpInc'!M118-'Semi OpInc'!I118)/('Semi Rev'!M118-'Semi Rev'!I118),""),"")</f>
        <v/>
      </c>
      <c r="J1255" s="37">
        <f>IFERROR(IF(AND(ISNUMBER('Semi OpInc'!N118),ISNUMBER('Semi OpInc'!J118),ISNUMBER('Semi Rev'!N118),ISNUMBER('Semi Rev'!J118),ABS('Semi Rev'!N118-'Semi Rev'!J118)&gt;=1),('Semi OpInc'!N118-'Semi OpInc'!J118)/('Semi Rev'!N118-'Semi Rev'!J118),""),"")</f>
        <v/>
      </c>
      <c r="K1255" s="37">
        <f>IFERROR(IF(AND(ISNUMBER('Semi OpInc'!O118),ISNUMBER('Semi OpInc'!K118),ISNUMBER('Semi Rev'!O118),ISNUMBER('Semi Rev'!K118),ABS('Semi Rev'!O118-'Semi Rev'!K118)&gt;=1),('Semi OpInc'!O118-'Semi OpInc'!K118)/('Semi Rev'!O118-'Semi Rev'!K118),""),"")</f>
        <v/>
      </c>
      <c r="L1255" s="37">
        <f>IFERROR(IF(AND(ISNUMBER('Semi OpInc'!P118),ISNUMBER('Semi OpInc'!L118),ISNUMBER('Semi Rev'!P118),ISNUMBER('Semi Rev'!L118),ABS('Semi Rev'!P118-'Semi Rev'!L118)&gt;=1),('Semi OpInc'!P118-'Semi OpInc'!L118)/('Semi Rev'!P118-'Semi Rev'!L118),""),"")</f>
        <v/>
      </c>
      <c r="M1255" s="38">
        <f>IFERROR(IF(AND(ISNUMBER('Semi OpInc'!Q118),ISNUMBER('Semi OpInc'!M118),ISNUMBER('Semi Rev'!Q118),ISNUMBER('Semi Rev'!M118),ABS('Semi Rev'!Q118-'Semi Rev'!M118)&gt;=1),('Semi OpInc'!Q118-'Semi OpInc'!M118)/('Semi Rev'!Q118-'Semi Rev'!M118),""),"")</f>
        <v/>
      </c>
      <c r="N1255" s="38">
        <f>IFERROR(IF(AND(ISNUMBER('Semi OpInc'!R118),ISNUMBER('Semi OpInc'!N118),ISNUMBER('Semi Rev'!R118),ISNUMBER('Semi Rev'!N118),ABS('Semi Rev'!R118-'Semi Rev'!N118)&gt;=1),('Semi OpInc'!R118-'Semi OpInc'!N118)/('Semi Rev'!R118-'Semi Rev'!N118),""),"")</f>
        <v/>
      </c>
    </row>
    <row r="1256">
      <c r="A1256" s="19">
        <f>'Semi Rev'!$A119</f>
        <v/>
      </c>
      <c r="B1256" s="19">
        <f>'Semi Rev'!$B119</f>
        <v/>
      </c>
      <c r="C1256" s="37">
        <f>IFERROR(IF(AND(ISNUMBER('Semi OpInc'!G119),ISNUMBER('Semi OpInc'!C119),ISNUMBER('Semi Rev'!G119),ISNUMBER('Semi Rev'!C119),ABS('Semi Rev'!G119-'Semi Rev'!C119)&gt;=1),('Semi OpInc'!G119-'Semi OpInc'!C119)/('Semi Rev'!G119-'Semi Rev'!C119),""),"")</f>
        <v/>
      </c>
      <c r="D1256" s="37">
        <f>IFERROR(IF(AND(ISNUMBER('Semi OpInc'!H119),ISNUMBER('Semi OpInc'!D119),ISNUMBER('Semi Rev'!H119),ISNUMBER('Semi Rev'!D119),ABS('Semi Rev'!H119-'Semi Rev'!D119)&gt;=1),('Semi OpInc'!H119-'Semi OpInc'!D119)/('Semi Rev'!H119-'Semi Rev'!D119),""),"")</f>
        <v/>
      </c>
      <c r="E1256" s="37">
        <f>IFERROR(IF(AND(ISNUMBER('Semi OpInc'!I119),ISNUMBER('Semi OpInc'!E119),ISNUMBER('Semi Rev'!I119),ISNUMBER('Semi Rev'!E119),ABS('Semi Rev'!I119-'Semi Rev'!E119)&gt;=1),('Semi OpInc'!I119-'Semi OpInc'!E119)/('Semi Rev'!I119-'Semi Rev'!E119),""),"")</f>
        <v/>
      </c>
      <c r="F1256" s="37">
        <f>IFERROR(IF(AND(ISNUMBER('Semi OpInc'!J119),ISNUMBER('Semi OpInc'!F119),ISNUMBER('Semi Rev'!J119),ISNUMBER('Semi Rev'!F119),ABS('Semi Rev'!J119-'Semi Rev'!F119)&gt;=1),('Semi OpInc'!J119-'Semi OpInc'!F119)/('Semi Rev'!J119-'Semi Rev'!F119),""),"")</f>
        <v/>
      </c>
      <c r="G1256" s="37">
        <f>IFERROR(IF(AND(ISNUMBER('Semi OpInc'!K119),ISNUMBER('Semi OpInc'!G119),ISNUMBER('Semi Rev'!K119),ISNUMBER('Semi Rev'!G119),ABS('Semi Rev'!K119-'Semi Rev'!G119)&gt;=1),('Semi OpInc'!K119-'Semi OpInc'!G119)/('Semi Rev'!K119-'Semi Rev'!G119),""),"")</f>
        <v/>
      </c>
      <c r="H1256" s="37">
        <f>IFERROR(IF(AND(ISNUMBER('Semi OpInc'!L119),ISNUMBER('Semi OpInc'!H119),ISNUMBER('Semi Rev'!L119),ISNUMBER('Semi Rev'!H119),ABS('Semi Rev'!L119-'Semi Rev'!H119)&gt;=1),('Semi OpInc'!L119-'Semi OpInc'!H119)/('Semi Rev'!L119-'Semi Rev'!H119),""),"")</f>
        <v/>
      </c>
      <c r="I1256" s="37">
        <f>IFERROR(IF(AND(ISNUMBER('Semi OpInc'!M119),ISNUMBER('Semi OpInc'!I119),ISNUMBER('Semi Rev'!M119),ISNUMBER('Semi Rev'!I119),ABS('Semi Rev'!M119-'Semi Rev'!I119)&gt;=1),('Semi OpInc'!M119-'Semi OpInc'!I119)/('Semi Rev'!M119-'Semi Rev'!I119),""),"")</f>
        <v/>
      </c>
      <c r="J1256" s="37">
        <f>IFERROR(IF(AND(ISNUMBER('Semi OpInc'!N119),ISNUMBER('Semi OpInc'!J119),ISNUMBER('Semi Rev'!N119),ISNUMBER('Semi Rev'!J119),ABS('Semi Rev'!N119-'Semi Rev'!J119)&gt;=1),('Semi OpInc'!N119-'Semi OpInc'!J119)/('Semi Rev'!N119-'Semi Rev'!J119),""),"")</f>
        <v/>
      </c>
      <c r="K1256" s="37">
        <f>IFERROR(IF(AND(ISNUMBER('Semi OpInc'!O119),ISNUMBER('Semi OpInc'!K119),ISNUMBER('Semi Rev'!O119),ISNUMBER('Semi Rev'!K119),ABS('Semi Rev'!O119-'Semi Rev'!K119)&gt;=1),('Semi OpInc'!O119-'Semi OpInc'!K119)/('Semi Rev'!O119-'Semi Rev'!K119),""),"")</f>
        <v/>
      </c>
      <c r="L1256" s="37">
        <f>IFERROR(IF(AND(ISNUMBER('Semi OpInc'!P119),ISNUMBER('Semi OpInc'!L119),ISNUMBER('Semi Rev'!P119),ISNUMBER('Semi Rev'!L119),ABS('Semi Rev'!P119-'Semi Rev'!L119)&gt;=1),('Semi OpInc'!P119-'Semi OpInc'!L119)/('Semi Rev'!P119-'Semi Rev'!L119),""),"")</f>
        <v/>
      </c>
      <c r="M1256" s="38">
        <f>IFERROR(IF(AND(ISNUMBER('Semi OpInc'!Q119),ISNUMBER('Semi OpInc'!M119),ISNUMBER('Semi Rev'!Q119),ISNUMBER('Semi Rev'!M119),ABS('Semi Rev'!Q119-'Semi Rev'!M119)&gt;=1),('Semi OpInc'!Q119-'Semi OpInc'!M119)/('Semi Rev'!Q119-'Semi Rev'!M119),""),"")</f>
        <v/>
      </c>
      <c r="N1256" s="38">
        <f>IFERROR(IF(AND(ISNUMBER('Semi OpInc'!R119),ISNUMBER('Semi OpInc'!N119),ISNUMBER('Semi Rev'!R119),ISNUMBER('Semi Rev'!N119),ABS('Semi Rev'!R119-'Semi Rev'!N119)&gt;=1),('Semi OpInc'!R119-'Semi OpInc'!N119)/('Semi Rev'!R119-'Semi Rev'!N119),""),"")</f>
        <v/>
      </c>
    </row>
    <row r="1257">
      <c r="A1257" s="19">
        <f>'Semi Rev'!$A120</f>
        <v/>
      </c>
      <c r="B1257" s="19">
        <f>'Semi Rev'!$B120</f>
        <v/>
      </c>
      <c r="C1257" s="37">
        <f>IFERROR(IF(AND(ISNUMBER('Semi OpInc'!G120),ISNUMBER('Semi OpInc'!C120),ISNUMBER('Semi Rev'!G120),ISNUMBER('Semi Rev'!C120),ABS('Semi Rev'!G120-'Semi Rev'!C120)&gt;=1),('Semi OpInc'!G120-'Semi OpInc'!C120)/('Semi Rev'!G120-'Semi Rev'!C120),""),"")</f>
        <v/>
      </c>
      <c r="D1257" s="37">
        <f>IFERROR(IF(AND(ISNUMBER('Semi OpInc'!H120),ISNUMBER('Semi OpInc'!D120),ISNUMBER('Semi Rev'!H120),ISNUMBER('Semi Rev'!D120),ABS('Semi Rev'!H120-'Semi Rev'!D120)&gt;=1),('Semi OpInc'!H120-'Semi OpInc'!D120)/('Semi Rev'!H120-'Semi Rev'!D120),""),"")</f>
        <v/>
      </c>
      <c r="E1257" s="37">
        <f>IFERROR(IF(AND(ISNUMBER('Semi OpInc'!I120),ISNUMBER('Semi OpInc'!E120),ISNUMBER('Semi Rev'!I120),ISNUMBER('Semi Rev'!E120),ABS('Semi Rev'!I120-'Semi Rev'!E120)&gt;=1),('Semi OpInc'!I120-'Semi OpInc'!E120)/('Semi Rev'!I120-'Semi Rev'!E120),""),"")</f>
        <v/>
      </c>
      <c r="F1257" s="37">
        <f>IFERROR(IF(AND(ISNUMBER('Semi OpInc'!J120),ISNUMBER('Semi OpInc'!F120),ISNUMBER('Semi Rev'!J120),ISNUMBER('Semi Rev'!F120),ABS('Semi Rev'!J120-'Semi Rev'!F120)&gt;=1),('Semi OpInc'!J120-'Semi OpInc'!F120)/('Semi Rev'!J120-'Semi Rev'!F120),""),"")</f>
        <v/>
      </c>
      <c r="G1257" s="37">
        <f>IFERROR(IF(AND(ISNUMBER('Semi OpInc'!K120),ISNUMBER('Semi OpInc'!G120),ISNUMBER('Semi Rev'!K120),ISNUMBER('Semi Rev'!G120),ABS('Semi Rev'!K120-'Semi Rev'!G120)&gt;=1),('Semi OpInc'!K120-'Semi OpInc'!G120)/('Semi Rev'!K120-'Semi Rev'!G120),""),"")</f>
        <v/>
      </c>
      <c r="H1257" s="37">
        <f>IFERROR(IF(AND(ISNUMBER('Semi OpInc'!L120),ISNUMBER('Semi OpInc'!H120),ISNUMBER('Semi Rev'!L120),ISNUMBER('Semi Rev'!H120),ABS('Semi Rev'!L120-'Semi Rev'!H120)&gt;=1),('Semi OpInc'!L120-'Semi OpInc'!H120)/('Semi Rev'!L120-'Semi Rev'!H120),""),"")</f>
        <v/>
      </c>
      <c r="I1257" s="37">
        <f>IFERROR(IF(AND(ISNUMBER('Semi OpInc'!M120),ISNUMBER('Semi OpInc'!I120),ISNUMBER('Semi Rev'!M120),ISNUMBER('Semi Rev'!I120),ABS('Semi Rev'!M120-'Semi Rev'!I120)&gt;=1),('Semi OpInc'!M120-'Semi OpInc'!I120)/('Semi Rev'!M120-'Semi Rev'!I120),""),"")</f>
        <v/>
      </c>
      <c r="J1257" s="37">
        <f>IFERROR(IF(AND(ISNUMBER('Semi OpInc'!N120),ISNUMBER('Semi OpInc'!J120),ISNUMBER('Semi Rev'!N120),ISNUMBER('Semi Rev'!J120),ABS('Semi Rev'!N120-'Semi Rev'!J120)&gt;=1),('Semi OpInc'!N120-'Semi OpInc'!J120)/('Semi Rev'!N120-'Semi Rev'!J120),""),"")</f>
        <v/>
      </c>
      <c r="K1257" s="37">
        <f>IFERROR(IF(AND(ISNUMBER('Semi OpInc'!O120),ISNUMBER('Semi OpInc'!K120),ISNUMBER('Semi Rev'!O120),ISNUMBER('Semi Rev'!K120),ABS('Semi Rev'!O120-'Semi Rev'!K120)&gt;=1),('Semi OpInc'!O120-'Semi OpInc'!K120)/('Semi Rev'!O120-'Semi Rev'!K120),""),"")</f>
        <v/>
      </c>
      <c r="L1257" s="37">
        <f>IFERROR(IF(AND(ISNUMBER('Semi OpInc'!P120),ISNUMBER('Semi OpInc'!L120),ISNUMBER('Semi Rev'!P120),ISNUMBER('Semi Rev'!L120),ABS('Semi Rev'!P120-'Semi Rev'!L120)&gt;=1),('Semi OpInc'!P120-'Semi OpInc'!L120)/('Semi Rev'!P120-'Semi Rev'!L120),""),"")</f>
        <v/>
      </c>
      <c r="M1257" s="38">
        <f>IFERROR(IF(AND(ISNUMBER('Semi OpInc'!Q120),ISNUMBER('Semi OpInc'!M120),ISNUMBER('Semi Rev'!Q120),ISNUMBER('Semi Rev'!M120),ABS('Semi Rev'!Q120-'Semi Rev'!M120)&gt;=1),('Semi OpInc'!Q120-'Semi OpInc'!M120)/('Semi Rev'!Q120-'Semi Rev'!M120),""),"")</f>
        <v/>
      </c>
      <c r="N1257" s="38">
        <f>IFERROR(IF(AND(ISNUMBER('Semi OpInc'!R120),ISNUMBER('Semi OpInc'!N120),ISNUMBER('Semi Rev'!R120),ISNUMBER('Semi Rev'!N120),ABS('Semi Rev'!R120-'Semi Rev'!N120)&gt;=1),('Semi OpInc'!R120-'Semi OpInc'!N120)/('Semi Rev'!R120-'Semi Rev'!N120),""),"")</f>
        <v/>
      </c>
    </row>
    <row r="1258">
      <c r="A1258" s="19">
        <f>'Semi Rev'!$A121</f>
        <v/>
      </c>
      <c r="B1258" s="19">
        <f>'Semi Rev'!$B121</f>
        <v/>
      </c>
      <c r="C1258" s="37">
        <f>IFERROR(IF(AND(ISNUMBER('Semi OpInc'!G121),ISNUMBER('Semi OpInc'!C121),ISNUMBER('Semi Rev'!G121),ISNUMBER('Semi Rev'!C121),ABS('Semi Rev'!G121-'Semi Rev'!C121)&gt;=1),('Semi OpInc'!G121-'Semi OpInc'!C121)/('Semi Rev'!G121-'Semi Rev'!C121),""),"")</f>
        <v/>
      </c>
      <c r="D1258" s="37">
        <f>IFERROR(IF(AND(ISNUMBER('Semi OpInc'!H121),ISNUMBER('Semi OpInc'!D121),ISNUMBER('Semi Rev'!H121),ISNUMBER('Semi Rev'!D121),ABS('Semi Rev'!H121-'Semi Rev'!D121)&gt;=1),('Semi OpInc'!H121-'Semi OpInc'!D121)/('Semi Rev'!H121-'Semi Rev'!D121),""),"")</f>
        <v/>
      </c>
      <c r="E1258" s="37">
        <f>IFERROR(IF(AND(ISNUMBER('Semi OpInc'!I121),ISNUMBER('Semi OpInc'!E121),ISNUMBER('Semi Rev'!I121),ISNUMBER('Semi Rev'!E121),ABS('Semi Rev'!I121-'Semi Rev'!E121)&gt;=1),('Semi OpInc'!I121-'Semi OpInc'!E121)/('Semi Rev'!I121-'Semi Rev'!E121),""),"")</f>
        <v/>
      </c>
      <c r="F1258" s="37">
        <f>IFERROR(IF(AND(ISNUMBER('Semi OpInc'!J121),ISNUMBER('Semi OpInc'!F121),ISNUMBER('Semi Rev'!J121),ISNUMBER('Semi Rev'!F121),ABS('Semi Rev'!J121-'Semi Rev'!F121)&gt;=1),('Semi OpInc'!J121-'Semi OpInc'!F121)/('Semi Rev'!J121-'Semi Rev'!F121),""),"")</f>
        <v/>
      </c>
      <c r="G1258" s="37">
        <f>IFERROR(IF(AND(ISNUMBER('Semi OpInc'!K121),ISNUMBER('Semi OpInc'!G121),ISNUMBER('Semi Rev'!K121),ISNUMBER('Semi Rev'!G121),ABS('Semi Rev'!K121-'Semi Rev'!G121)&gt;=1),('Semi OpInc'!K121-'Semi OpInc'!G121)/('Semi Rev'!K121-'Semi Rev'!G121),""),"")</f>
        <v/>
      </c>
      <c r="H1258" s="37">
        <f>IFERROR(IF(AND(ISNUMBER('Semi OpInc'!L121),ISNUMBER('Semi OpInc'!H121),ISNUMBER('Semi Rev'!L121),ISNUMBER('Semi Rev'!H121),ABS('Semi Rev'!L121-'Semi Rev'!H121)&gt;=1),('Semi OpInc'!L121-'Semi OpInc'!H121)/('Semi Rev'!L121-'Semi Rev'!H121),""),"")</f>
        <v/>
      </c>
      <c r="I1258" s="37">
        <f>IFERROR(IF(AND(ISNUMBER('Semi OpInc'!M121),ISNUMBER('Semi OpInc'!I121),ISNUMBER('Semi Rev'!M121),ISNUMBER('Semi Rev'!I121),ABS('Semi Rev'!M121-'Semi Rev'!I121)&gt;=1),('Semi OpInc'!M121-'Semi OpInc'!I121)/('Semi Rev'!M121-'Semi Rev'!I121),""),"")</f>
        <v/>
      </c>
      <c r="J1258" s="37">
        <f>IFERROR(IF(AND(ISNUMBER('Semi OpInc'!N121),ISNUMBER('Semi OpInc'!J121),ISNUMBER('Semi Rev'!N121),ISNUMBER('Semi Rev'!J121),ABS('Semi Rev'!N121-'Semi Rev'!J121)&gt;=1),('Semi OpInc'!N121-'Semi OpInc'!J121)/('Semi Rev'!N121-'Semi Rev'!J121),""),"")</f>
        <v/>
      </c>
      <c r="K1258" s="37">
        <f>IFERROR(IF(AND(ISNUMBER('Semi OpInc'!O121),ISNUMBER('Semi OpInc'!K121),ISNUMBER('Semi Rev'!O121),ISNUMBER('Semi Rev'!K121),ABS('Semi Rev'!O121-'Semi Rev'!K121)&gt;=1),('Semi OpInc'!O121-'Semi OpInc'!K121)/('Semi Rev'!O121-'Semi Rev'!K121),""),"")</f>
        <v/>
      </c>
      <c r="L1258" s="37">
        <f>IFERROR(IF(AND(ISNUMBER('Semi OpInc'!P121),ISNUMBER('Semi OpInc'!L121),ISNUMBER('Semi Rev'!P121),ISNUMBER('Semi Rev'!L121),ABS('Semi Rev'!P121-'Semi Rev'!L121)&gt;=1),('Semi OpInc'!P121-'Semi OpInc'!L121)/('Semi Rev'!P121-'Semi Rev'!L121),""),"")</f>
        <v/>
      </c>
      <c r="M1258" s="38">
        <f>IFERROR(IF(AND(ISNUMBER('Semi OpInc'!Q121),ISNUMBER('Semi OpInc'!M121),ISNUMBER('Semi Rev'!Q121),ISNUMBER('Semi Rev'!M121),ABS('Semi Rev'!Q121-'Semi Rev'!M121)&gt;=1),('Semi OpInc'!Q121-'Semi OpInc'!M121)/('Semi Rev'!Q121-'Semi Rev'!M121),""),"")</f>
        <v/>
      </c>
      <c r="N1258" s="38">
        <f>IFERROR(IF(AND(ISNUMBER('Semi OpInc'!R121),ISNUMBER('Semi OpInc'!N121),ISNUMBER('Semi Rev'!R121),ISNUMBER('Semi Rev'!N121),ABS('Semi Rev'!R121-'Semi Rev'!N121)&gt;=1),('Semi OpInc'!R121-'Semi OpInc'!N121)/('Semi Rev'!R121-'Semi Rev'!N121),""),"")</f>
        <v/>
      </c>
    </row>
    <row r="1259">
      <c r="A1259" s="19">
        <f>'Semi Rev'!$A122</f>
        <v/>
      </c>
      <c r="B1259" s="19">
        <f>'Semi Rev'!$B122</f>
        <v/>
      </c>
      <c r="C1259" s="37">
        <f>IFERROR(IF(AND(ISNUMBER('Semi OpInc'!G122),ISNUMBER('Semi OpInc'!C122),ISNUMBER('Semi Rev'!G122),ISNUMBER('Semi Rev'!C122),ABS('Semi Rev'!G122-'Semi Rev'!C122)&gt;=1),('Semi OpInc'!G122-'Semi OpInc'!C122)/('Semi Rev'!G122-'Semi Rev'!C122),""),"")</f>
        <v/>
      </c>
      <c r="D1259" s="37">
        <f>IFERROR(IF(AND(ISNUMBER('Semi OpInc'!H122),ISNUMBER('Semi OpInc'!D122),ISNUMBER('Semi Rev'!H122),ISNUMBER('Semi Rev'!D122),ABS('Semi Rev'!H122-'Semi Rev'!D122)&gt;=1),('Semi OpInc'!H122-'Semi OpInc'!D122)/('Semi Rev'!H122-'Semi Rev'!D122),""),"")</f>
        <v/>
      </c>
      <c r="E1259" s="37">
        <f>IFERROR(IF(AND(ISNUMBER('Semi OpInc'!I122),ISNUMBER('Semi OpInc'!E122),ISNUMBER('Semi Rev'!I122),ISNUMBER('Semi Rev'!E122),ABS('Semi Rev'!I122-'Semi Rev'!E122)&gt;=1),('Semi OpInc'!I122-'Semi OpInc'!E122)/('Semi Rev'!I122-'Semi Rev'!E122),""),"")</f>
        <v/>
      </c>
      <c r="F1259" s="37">
        <f>IFERROR(IF(AND(ISNUMBER('Semi OpInc'!J122),ISNUMBER('Semi OpInc'!F122),ISNUMBER('Semi Rev'!J122),ISNUMBER('Semi Rev'!F122),ABS('Semi Rev'!J122-'Semi Rev'!F122)&gt;=1),('Semi OpInc'!J122-'Semi OpInc'!F122)/('Semi Rev'!J122-'Semi Rev'!F122),""),"")</f>
        <v/>
      </c>
      <c r="G1259" s="37">
        <f>IFERROR(IF(AND(ISNUMBER('Semi OpInc'!K122),ISNUMBER('Semi OpInc'!G122),ISNUMBER('Semi Rev'!K122),ISNUMBER('Semi Rev'!G122),ABS('Semi Rev'!K122-'Semi Rev'!G122)&gt;=1),('Semi OpInc'!K122-'Semi OpInc'!G122)/('Semi Rev'!K122-'Semi Rev'!G122),""),"")</f>
        <v/>
      </c>
      <c r="H1259" s="37">
        <f>IFERROR(IF(AND(ISNUMBER('Semi OpInc'!L122),ISNUMBER('Semi OpInc'!H122),ISNUMBER('Semi Rev'!L122),ISNUMBER('Semi Rev'!H122),ABS('Semi Rev'!L122-'Semi Rev'!H122)&gt;=1),('Semi OpInc'!L122-'Semi OpInc'!H122)/('Semi Rev'!L122-'Semi Rev'!H122),""),"")</f>
        <v/>
      </c>
      <c r="I1259" s="37">
        <f>IFERROR(IF(AND(ISNUMBER('Semi OpInc'!M122),ISNUMBER('Semi OpInc'!I122),ISNUMBER('Semi Rev'!M122),ISNUMBER('Semi Rev'!I122),ABS('Semi Rev'!M122-'Semi Rev'!I122)&gt;=1),('Semi OpInc'!M122-'Semi OpInc'!I122)/('Semi Rev'!M122-'Semi Rev'!I122),""),"")</f>
        <v/>
      </c>
      <c r="J1259" s="37">
        <f>IFERROR(IF(AND(ISNUMBER('Semi OpInc'!N122),ISNUMBER('Semi OpInc'!J122),ISNUMBER('Semi Rev'!N122),ISNUMBER('Semi Rev'!J122),ABS('Semi Rev'!N122-'Semi Rev'!J122)&gt;=1),('Semi OpInc'!N122-'Semi OpInc'!J122)/('Semi Rev'!N122-'Semi Rev'!J122),""),"")</f>
        <v/>
      </c>
      <c r="K1259" s="37">
        <f>IFERROR(IF(AND(ISNUMBER('Semi OpInc'!O122),ISNUMBER('Semi OpInc'!K122),ISNUMBER('Semi Rev'!O122),ISNUMBER('Semi Rev'!K122),ABS('Semi Rev'!O122-'Semi Rev'!K122)&gt;=1),('Semi OpInc'!O122-'Semi OpInc'!K122)/('Semi Rev'!O122-'Semi Rev'!K122),""),"")</f>
        <v/>
      </c>
      <c r="L1259" s="37">
        <f>IFERROR(IF(AND(ISNUMBER('Semi OpInc'!P122),ISNUMBER('Semi OpInc'!L122),ISNUMBER('Semi Rev'!P122),ISNUMBER('Semi Rev'!L122),ABS('Semi Rev'!P122-'Semi Rev'!L122)&gt;=1),('Semi OpInc'!P122-'Semi OpInc'!L122)/('Semi Rev'!P122-'Semi Rev'!L122),""),"")</f>
        <v/>
      </c>
      <c r="M1259" s="38">
        <f>IFERROR(IF(AND(ISNUMBER('Semi OpInc'!Q122),ISNUMBER('Semi OpInc'!M122),ISNUMBER('Semi Rev'!Q122),ISNUMBER('Semi Rev'!M122),ABS('Semi Rev'!Q122-'Semi Rev'!M122)&gt;=1),('Semi OpInc'!Q122-'Semi OpInc'!M122)/('Semi Rev'!Q122-'Semi Rev'!M122),""),"")</f>
        <v/>
      </c>
      <c r="N1259" s="38">
        <f>IFERROR(IF(AND(ISNUMBER('Semi OpInc'!R122),ISNUMBER('Semi OpInc'!N122),ISNUMBER('Semi Rev'!R122),ISNUMBER('Semi Rev'!N122),ABS('Semi Rev'!R122-'Semi Rev'!N122)&gt;=1),('Semi OpInc'!R122-'Semi OpInc'!N122)/('Semi Rev'!R122-'Semi Rev'!N122),""),"")</f>
        <v/>
      </c>
    </row>
    <row r="1260">
      <c r="A1260" s="19">
        <f>'Semi Rev'!$A123</f>
        <v/>
      </c>
      <c r="B1260" s="19">
        <f>'Semi Rev'!$B123</f>
        <v/>
      </c>
      <c r="C1260" s="37">
        <f>IFERROR(IF(AND(ISNUMBER('Semi OpInc'!G123),ISNUMBER('Semi OpInc'!C123),ISNUMBER('Semi Rev'!G123),ISNUMBER('Semi Rev'!C123),ABS('Semi Rev'!G123-'Semi Rev'!C123)&gt;=1),('Semi OpInc'!G123-'Semi OpInc'!C123)/('Semi Rev'!G123-'Semi Rev'!C123),""),"")</f>
        <v/>
      </c>
      <c r="D1260" s="37">
        <f>IFERROR(IF(AND(ISNUMBER('Semi OpInc'!H123),ISNUMBER('Semi OpInc'!D123),ISNUMBER('Semi Rev'!H123),ISNUMBER('Semi Rev'!D123),ABS('Semi Rev'!H123-'Semi Rev'!D123)&gt;=1),('Semi OpInc'!H123-'Semi OpInc'!D123)/('Semi Rev'!H123-'Semi Rev'!D123),""),"")</f>
        <v/>
      </c>
      <c r="E1260" s="37">
        <f>IFERROR(IF(AND(ISNUMBER('Semi OpInc'!I123),ISNUMBER('Semi OpInc'!E123),ISNUMBER('Semi Rev'!I123),ISNUMBER('Semi Rev'!E123),ABS('Semi Rev'!I123-'Semi Rev'!E123)&gt;=1),('Semi OpInc'!I123-'Semi OpInc'!E123)/('Semi Rev'!I123-'Semi Rev'!E123),""),"")</f>
        <v/>
      </c>
      <c r="F1260" s="37">
        <f>IFERROR(IF(AND(ISNUMBER('Semi OpInc'!J123),ISNUMBER('Semi OpInc'!F123),ISNUMBER('Semi Rev'!J123),ISNUMBER('Semi Rev'!F123),ABS('Semi Rev'!J123-'Semi Rev'!F123)&gt;=1),('Semi OpInc'!J123-'Semi OpInc'!F123)/('Semi Rev'!J123-'Semi Rev'!F123),""),"")</f>
        <v/>
      </c>
      <c r="G1260" s="37">
        <f>IFERROR(IF(AND(ISNUMBER('Semi OpInc'!K123),ISNUMBER('Semi OpInc'!G123),ISNUMBER('Semi Rev'!K123),ISNUMBER('Semi Rev'!G123),ABS('Semi Rev'!K123-'Semi Rev'!G123)&gt;=1),('Semi OpInc'!K123-'Semi OpInc'!G123)/('Semi Rev'!K123-'Semi Rev'!G123),""),"")</f>
        <v/>
      </c>
      <c r="H1260" s="37">
        <f>IFERROR(IF(AND(ISNUMBER('Semi OpInc'!L123),ISNUMBER('Semi OpInc'!H123),ISNUMBER('Semi Rev'!L123),ISNUMBER('Semi Rev'!H123),ABS('Semi Rev'!L123-'Semi Rev'!H123)&gt;=1),('Semi OpInc'!L123-'Semi OpInc'!H123)/('Semi Rev'!L123-'Semi Rev'!H123),""),"")</f>
        <v/>
      </c>
      <c r="I1260" s="37">
        <f>IFERROR(IF(AND(ISNUMBER('Semi OpInc'!M123),ISNUMBER('Semi OpInc'!I123),ISNUMBER('Semi Rev'!M123),ISNUMBER('Semi Rev'!I123),ABS('Semi Rev'!M123-'Semi Rev'!I123)&gt;=1),('Semi OpInc'!M123-'Semi OpInc'!I123)/('Semi Rev'!M123-'Semi Rev'!I123),""),"")</f>
        <v/>
      </c>
      <c r="J1260" s="37">
        <f>IFERROR(IF(AND(ISNUMBER('Semi OpInc'!N123),ISNUMBER('Semi OpInc'!J123),ISNUMBER('Semi Rev'!N123),ISNUMBER('Semi Rev'!J123),ABS('Semi Rev'!N123-'Semi Rev'!J123)&gt;=1),('Semi OpInc'!N123-'Semi OpInc'!J123)/('Semi Rev'!N123-'Semi Rev'!J123),""),"")</f>
        <v/>
      </c>
      <c r="K1260" s="37">
        <f>IFERROR(IF(AND(ISNUMBER('Semi OpInc'!O123),ISNUMBER('Semi OpInc'!K123),ISNUMBER('Semi Rev'!O123),ISNUMBER('Semi Rev'!K123),ABS('Semi Rev'!O123-'Semi Rev'!K123)&gt;=1),('Semi OpInc'!O123-'Semi OpInc'!K123)/('Semi Rev'!O123-'Semi Rev'!K123),""),"")</f>
        <v/>
      </c>
      <c r="L1260" s="37">
        <f>IFERROR(IF(AND(ISNUMBER('Semi OpInc'!P123),ISNUMBER('Semi OpInc'!L123),ISNUMBER('Semi Rev'!P123),ISNUMBER('Semi Rev'!L123),ABS('Semi Rev'!P123-'Semi Rev'!L123)&gt;=1),('Semi OpInc'!P123-'Semi OpInc'!L123)/('Semi Rev'!P123-'Semi Rev'!L123),""),"")</f>
        <v/>
      </c>
      <c r="M1260" s="38">
        <f>IFERROR(IF(AND(ISNUMBER('Semi OpInc'!Q123),ISNUMBER('Semi OpInc'!M123),ISNUMBER('Semi Rev'!Q123),ISNUMBER('Semi Rev'!M123),ABS('Semi Rev'!Q123-'Semi Rev'!M123)&gt;=1),('Semi OpInc'!Q123-'Semi OpInc'!M123)/('Semi Rev'!Q123-'Semi Rev'!M123),""),"")</f>
        <v/>
      </c>
      <c r="N1260" s="38">
        <f>IFERROR(IF(AND(ISNUMBER('Semi OpInc'!R123),ISNUMBER('Semi OpInc'!N123),ISNUMBER('Semi Rev'!R123),ISNUMBER('Semi Rev'!N123),ABS('Semi Rev'!R123-'Semi Rev'!N123)&gt;=1),('Semi OpInc'!R123-'Semi OpInc'!N123)/('Semi Rev'!R123-'Semi Rev'!N123),""),"")</f>
        <v/>
      </c>
    </row>
    <row r="1261">
      <c r="A1261" s="19">
        <f>'Semi Rev'!$A124</f>
        <v/>
      </c>
      <c r="B1261" s="19">
        <f>'Semi Rev'!$B124</f>
        <v/>
      </c>
      <c r="C1261" s="37">
        <f>IFERROR(IF(AND(ISNUMBER('Semi OpInc'!G124),ISNUMBER('Semi OpInc'!C124),ISNUMBER('Semi Rev'!G124),ISNUMBER('Semi Rev'!C124),ABS('Semi Rev'!G124-'Semi Rev'!C124)&gt;=1),('Semi OpInc'!G124-'Semi OpInc'!C124)/('Semi Rev'!G124-'Semi Rev'!C124),""),"")</f>
        <v/>
      </c>
      <c r="D1261" s="37">
        <f>IFERROR(IF(AND(ISNUMBER('Semi OpInc'!H124),ISNUMBER('Semi OpInc'!D124),ISNUMBER('Semi Rev'!H124),ISNUMBER('Semi Rev'!D124),ABS('Semi Rev'!H124-'Semi Rev'!D124)&gt;=1),('Semi OpInc'!H124-'Semi OpInc'!D124)/('Semi Rev'!H124-'Semi Rev'!D124),""),"")</f>
        <v/>
      </c>
      <c r="E1261" s="37">
        <f>IFERROR(IF(AND(ISNUMBER('Semi OpInc'!I124),ISNUMBER('Semi OpInc'!E124),ISNUMBER('Semi Rev'!I124),ISNUMBER('Semi Rev'!E124),ABS('Semi Rev'!I124-'Semi Rev'!E124)&gt;=1),('Semi OpInc'!I124-'Semi OpInc'!E124)/('Semi Rev'!I124-'Semi Rev'!E124),""),"")</f>
        <v/>
      </c>
      <c r="F1261" s="37">
        <f>IFERROR(IF(AND(ISNUMBER('Semi OpInc'!J124),ISNUMBER('Semi OpInc'!F124),ISNUMBER('Semi Rev'!J124),ISNUMBER('Semi Rev'!F124),ABS('Semi Rev'!J124-'Semi Rev'!F124)&gt;=1),('Semi OpInc'!J124-'Semi OpInc'!F124)/('Semi Rev'!J124-'Semi Rev'!F124),""),"")</f>
        <v/>
      </c>
      <c r="G1261" s="37">
        <f>IFERROR(IF(AND(ISNUMBER('Semi OpInc'!K124),ISNUMBER('Semi OpInc'!G124),ISNUMBER('Semi Rev'!K124),ISNUMBER('Semi Rev'!G124),ABS('Semi Rev'!K124-'Semi Rev'!G124)&gt;=1),('Semi OpInc'!K124-'Semi OpInc'!G124)/('Semi Rev'!K124-'Semi Rev'!G124),""),"")</f>
        <v/>
      </c>
      <c r="H1261" s="37">
        <f>IFERROR(IF(AND(ISNUMBER('Semi OpInc'!L124),ISNUMBER('Semi OpInc'!H124),ISNUMBER('Semi Rev'!L124),ISNUMBER('Semi Rev'!H124),ABS('Semi Rev'!L124-'Semi Rev'!H124)&gt;=1),('Semi OpInc'!L124-'Semi OpInc'!H124)/('Semi Rev'!L124-'Semi Rev'!H124),""),"")</f>
        <v/>
      </c>
      <c r="I1261" s="37">
        <f>IFERROR(IF(AND(ISNUMBER('Semi OpInc'!M124),ISNUMBER('Semi OpInc'!I124),ISNUMBER('Semi Rev'!M124),ISNUMBER('Semi Rev'!I124),ABS('Semi Rev'!M124-'Semi Rev'!I124)&gt;=1),('Semi OpInc'!M124-'Semi OpInc'!I124)/('Semi Rev'!M124-'Semi Rev'!I124),""),"")</f>
        <v/>
      </c>
      <c r="J1261" s="37">
        <f>IFERROR(IF(AND(ISNUMBER('Semi OpInc'!N124),ISNUMBER('Semi OpInc'!J124),ISNUMBER('Semi Rev'!N124),ISNUMBER('Semi Rev'!J124),ABS('Semi Rev'!N124-'Semi Rev'!J124)&gt;=1),('Semi OpInc'!N124-'Semi OpInc'!J124)/('Semi Rev'!N124-'Semi Rev'!J124),""),"")</f>
        <v/>
      </c>
      <c r="K1261" s="37">
        <f>IFERROR(IF(AND(ISNUMBER('Semi OpInc'!O124),ISNUMBER('Semi OpInc'!K124),ISNUMBER('Semi Rev'!O124),ISNUMBER('Semi Rev'!K124),ABS('Semi Rev'!O124-'Semi Rev'!K124)&gt;=1),('Semi OpInc'!O124-'Semi OpInc'!K124)/('Semi Rev'!O124-'Semi Rev'!K124),""),"")</f>
        <v/>
      </c>
      <c r="L1261" s="37">
        <f>IFERROR(IF(AND(ISNUMBER('Semi OpInc'!P124),ISNUMBER('Semi OpInc'!L124),ISNUMBER('Semi Rev'!P124),ISNUMBER('Semi Rev'!L124),ABS('Semi Rev'!P124-'Semi Rev'!L124)&gt;=1),('Semi OpInc'!P124-'Semi OpInc'!L124)/('Semi Rev'!P124-'Semi Rev'!L124),""),"")</f>
        <v/>
      </c>
      <c r="M1261" s="38">
        <f>IFERROR(IF(AND(ISNUMBER('Semi OpInc'!Q124),ISNUMBER('Semi OpInc'!M124),ISNUMBER('Semi Rev'!Q124),ISNUMBER('Semi Rev'!M124),ABS('Semi Rev'!Q124-'Semi Rev'!M124)&gt;=1),('Semi OpInc'!Q124-'Semi OpInc'!M124)/('Semi Rev'!Q124-'Semi Rev'!M124),""),"")</f>
        <v/>
      </c>
      <c r="N1261" s="38">
        <f>IFERROR(IF(AND(ISNUMBER('Semi OpInc'!R124),ISNUMBER('Semi OpInc'!N124),ISNUMBER('Semi Rev'!R124),ISNUMBER('Semi Rev'!N124),ABS('Semi Rev'!R124-'Semi Rev'!N124)&gt;=1),('Semi OpInc'!R124-'Semi OpInc'!N124)/('Semi Rev'!R124-'Semi Rev'!N124),""),"")</f>
        <v/>
      </c>
    </row>
    <row r="1262">
      <c r="A1262" s="19">
        <f>'Semi Rev'!$A125</f>
        <v/>
      </c>
      <c r="B1262" s="19">
        <f>'Semi Rev'!$B125</f>
        <v/>
      </c>
      <c r="C1262" s="37">
        <f>IFERROR(IF(AND(ISNUMBER('Semi OpInc'!G125),ISNUMBER('Semi OpInc'!C125),ISNUMBER('Semi Rev'!G125),ISNUMBER('Semi Rev'!C125),ABS('Semi Rev'!G125-'Semi Rev'!C125)&gt;=1),('Semi OpInc'!G125-'Semi OpInc'!C125)/('Semi Rev'!G125-'Semi Rev'!C125),""),"")</f>
        <v/>
      </c>
      <c r="D1262" s="37">
        <f>IFERROR(IF(AND(ISNUMBER('Semi OpInc'!H125),ISNUMBER('Semi OpInc'!D125),ISNUMBER('Semi Rev'!H125),ISNUMBER('Semi Rev'!D125),ABS('Semi Rev'!H125-'Semi Rev'!D125)&gt;=1),('Semi OpInc'!H125-'Semi OpInc'!D125)/('Semi Rev'!H125-'Semi Rev'!D125),""),"")</f>
        <v/>
      </c>
      <c r="E1262" s="37">
        <f>IFERROR(IF(AND(ISNUMBER('Semi OpInc'!I125),ISNUMBER('Semi OpInc'!E125),ISNUMBER('Semi Rev'!I125),ISNUMBER('Semi Rev'!E125),ABS('Semi Rev'!I125-'Semi Rev'!E125)&gt;=1),('Semi OpInc'!I125-'Semi OpInc'!E125)/('Semi Rev'!I125-'Semi Rev'!E125),""),"")</f>
        <v/>
      </c>
      <c r="F1262" s="37">
        <f>IFERROR(IF(AND(ISNUMBER('Semi OpInc'!J125),ISNUMBER('Semi OpInc'!F125),ISNUMBER('Semi Rev'!J125),ISNUMBER('Semi Rev'!F125),ABS('Semi Rev'!J125-'Semi Rev'!F125)&gt;=1),('Semi OpInc'!J125-'Semi OpInc'!F125)/('Semi Rev'!J125-'Semi Rev'!F125),""),"")</f>
        <v/>
      </c>
      <c r="G1262" s="37">
        <f>IFERROR(IF(AND(ISNUMBER('Semi OpInc'!K125),ISNUMBER('Semi OpInc'!G125),ISNUMBER('Semi Rev'!K125),ISNUMBER('Semi Rev'!G125),ABS('Semi Rev'!K125-'Semi Rev'!G125)&gt;=1),('Semi OpInc'!K125-'Semi OpInc'!G125)/('Semi Rev'!K125-'Semi Rev'!G125),""),"")</f>
        <v/>
      </c>
      <c r="H1262" s="37">
        <f>IFERROR(IF(AND(ISNUMBER('Semi OpInc'!L125),ISNUMBER('Semi OpInc'!H125),ISNUMBER('Semi Rev'!L125),ISNUMBER('Semi Rev'!H125),ABS('Semi Rev'!L125-'Semi Rev'!H125)&gt;=1),('Semi OpInc'!L125-'Semi OpInc'!H125)/('Semi Rev'!L125-'Semi Rev'!H125),""),"")</f>
        <v/>
      </c>
      <c r="I1262" s="37">
        <f>IFERROR(IF(AND(ISNUMBER('Semi OpInc'!M125),ISNUMBER('Semi OpInc'!I125),ISNUMBER('Semi Rev'!M125),ISNUMBER('Semi Rev'!I125),ABS('Semi Rev'!M125-'Semi Rev'!I125)&gt;=1),('Semi OpInc'!M125-'Semi OpInc'!I125)/('Semi Rev'!M125-'Semi Rev'!I125),""),"")</f>
        <v/>
      </c>
      <c r="J1262" s="37">
        <f>IFERROR(IF(AND(ISNUMBER('Semi OpInc'!N125),ISNUMBER('Semi OpInc'!J125),ISNUMBER('Semi Rev'!N125),ISNUMBER('Semi Rev'!J125),ABS('Semi Rev'!N125-'Semi Rev'!J125)&gt;=1),('Semi OpInc'!N125-'Semi OpInc'!J125)/('Semi Rev'!N125-'Semi Rev'!J125),""),"")</f>
        <v/>
      </c>
      <c r="K1262" s="37">
        <f>IFERROR(IF(AND(ISNUMBER('Semi OpInc'!O125),ISNUMBER('Semi OpInc'!K125),ISNUMBER('Semi Rev'!O125),ISNUMBER('Semi Rev'!K125),ABS('Semi Rev'!O125-'Semi Rev'!K125)&gt;=1),('Semi OpInc'!O125-'Semi OpInc'!K125)/('Semi Rev'!O125-'Semi Rev'!K125),""),"")</f>
        <v/>
      </c>
      <c r="L1262" s="37">
        <f>IFERROR(IF(AND(ISNUMBER('Semi OpInc'!P125),ISNUMBER('Semi OpInc'!L125),ISNUMBER('Semi Rev'!P125),ISNUMBER('Semi Rev'!L125),ABS('Semi Rev'!P125-'Semi Rev'!L125)&gt;=1),('Semi OpInc'!P125-'Semi OpInc'!L125)/('Semi Rev'!P125-'Semi Rev'!L125),""),"")</f>
        <v/>
      </c>
      <c r="M1262" s="38">
        <f>IFERROR(IF(AND(ISNUMBER('Semi OpInc'!Q125),ISNUMBER('Semi OpInc'!M125),ISNUMBER('Semi Rev'!Q125),ISNUMBER('Semi Rev'!M125),ABS('Semi Rev'!Q125-'Semi Rev'!M125)&gt;=1),('Semi OpInc'!Q125-'Semi OpInc'!M125)/('Semi Rev'!Q125-'Semi Rev'!M125),""),"")</f>
        <v/>
      </c>
      <c r="N1262" s="38">
        <f>IFERROR(IF(AND(ISNUMBER('Semi OpInc'!R125),ISNUMBER('Semi OpInc'!N125),ISNUMBER('Semi Rev'!R125),ISNUMBER('Semi Rev'!N125),ABS('Semi Rev'!R125-'Semi Rev'!N125)&gt;=1),('Semi OpInc'!R125-'Semi OpInc'!N125)/('Semi Rev'!R125-'Semi Rev'!N125),""),"")</f>
        <v/>
      </c>
    </row>
    <row r="1263">
      <c r="A1263" s="19">
        <f>'Semi Rev'!$A126</f>
        <v/>
      </c>
      <c r="B1263" s="19">
        <f>'Semi Rev'!$B126</f>
        <v/>
      </c>
      <c r="C1263" s="37">
        <f>IFERROR(IF(AND(ISNUMBER('Semi OpInc'!G126),ISNUMBER('Semi OpInc'!C126),ISNUMBER('Semi Rev'!G126),ISNUMBER('Semi Rev'!C126),ABS('Semi Rev'!G126-'Semi Rev'!C126)&gt;=1),('Semi OpInc'!G126-'Semi OpInc'!C126)/('Semi Rev'!G126-'Semi Rev'!C126),""),"")</f>
        <v/>
      </c>
      <c r="D1263" s="37">
        <f>IFERROR(IF(AND(ISNUMBER('Semi OpInc'!H126),ISNUMBER('Semi OpInc'!D126),ISNUMBER('Semi Rev'!H126),ISNUMBER('Semi Rev'!D126),ABS('Semi Rev'!H126-'Semi Rev'!D126)&gt;=1),('Semi OpInc'!H126-'Semi OpInc'!D126)/('Semi Rev'!H126-'Semi Rev'!D126),""),"")</f>
        <v/>
      </c>
      <c r="E1263" s="37">
        <f>IFERROR(IF(AND(ISNUMBER('Semi OpInc'!I126),ISNUMBER('Semi OpInc'!E126),ISNUMBER('Semi Rev'!I126),ISNUMBER('Semi Rev'!E126),ABS('Semi Rev'!I126-'Semi Rev'!E126)&gt;=1),('Semi OpInc'!I126-'Semi OpInc'!E126)/('Semi Rev'!I126-'Semi Rev'!E126),""),"")</f>
        <v/>
      </c>
      <c r="F1263" s="37">
        <f>IFERROR(IF(AND(ISNUMBER('Semi OpInc'!J126),ISNUMBER('Semi OpInc'!F126),ISNUMBER('Semi Rev'!J126),ISNUMBER('Semi Rev'!F126),ABS('Semi Rev'!J126-'Semi Rev'!F126)&gt;=1),('Semi OpInc'!J126-'Semi OpInc'!F126)/('Semi Rev'!J126-'Semi Rev'!F126),""),"")</f>
        <v/>
      </c>
      <c r="G1263" s="37">
        <f>IFERROR(IF(AND(ISNUMBER('Semi OpInc'!K126),ISNUMBER('Semi OpInc'!G126),ISNUMBER('Semi Rev'!K126),ISNUMBER('Semi Rev'!G126),ABS('Semi Rev'!K126-'Semi Rev'!G126)&gt;=1),('Semi OpInc'!K126-'Semi OpInc'!G126)/('Semi Rev'!K126-'Semi Rev'!G126),""),"")</f>
        <v/>
      </c>
      <c r="H1263" s="37">
        <f>IFERROR(IF(AND(ISNUMBER('Semi OpInc'!L126),ISNUMBER('Semi OpInc'!H126),ISNUMBER('Semi Rev'!L126),ISNUMBER('Semi Rev'!H126),ABS('Semi Rev'!L126-'Semi Rev'!H126)&gt;=1),('Semi OpInc'!L126-'Semi OpInc'!H126)/('Semi Rev'!L126-'Semi Rev'!H126),""),"")</f>
        <v/>
      </c>
      <c r="I1263" s="37">
        <f>IFERROR(IF(AND(ISNUMBER('Semi OpInc'!M126),ISNUMBER('Semi OpInc'!I126),ISNUMBER('Semi Rev'!M126),ISNUMBER('Semi Rev'!I126),ABS('Semi Rev'!M126-'Semi Rev'!I126)&gt;=1),('Semi OpInc'!M126-'Semi OpInc'!I126)/('Semi Rev'!M126-'Semi Rev'!I126),""),"")</f>
        <v/>
      </c>
      <c r="J1263" s="37">
        <f>IFERROR(IF(AND(ISNUMBER('Semi OpInc'!N126),ISNUMBER('Semi OpInc'!J126),ISNUMBER('Semi Rev'!N126),ISNUMBER('Semi Rev'!J126),ABS('Semi Rev'!N126-'Semi Rev'!J126)&gt;=1),('Semi OpInc'!N126-'Semi OpInc'!J126)/('Semi Rev'!N126-'Semi Rev'!J126),""),"")</f>
        <v/>
      </c>
      <c r="K1263" s="37">
        <f>IFERROR(IF(AND(ISNUMBER('Semi OpInc'!O126),ISNUMBER('Semi OpInc'!K126),ISNUMBER('Semi Rev'!O126),ISNUMBER('Semi Rev'!K126),ABS('Semi Rev'!O126-'Semi Rev'!K126)&gt;=1),('Semi OpInc'!O126-'Semi OpInc'!K126)/('Semi Rev'!O126-'Semi Rev'!K126),""),"")</f>
        <v/>
      </c>
      <c r="L1263" s="37">
        <f>IFERROR(IF(AND(ISNUMBER('Semi OpInc'!P126),ISNUMBER('Semi OpInc'!L126),ISNUMBER('Semi Rev'!P126),ISNUMBER('Semi Rev'!L126),ABS('Semi Rev'!P126-'Semi Rev'!L126)&gt;=1),('Semi OpInc'!P126-'Semi OpInc'!L126)/('Semi Rev'!P126-'Semi Rev'!L126),""),"")</f>
        <v/>
      </c>
      <c r="M1263" s="38">
        <f>IFERROR(IF(AND(ISNUMBER('Semi OpInc'!Q126),ISNUMBER('Semi OpInc'!M126),ISNUMBER('Semi Rev'!Q126),ISNUMBER('Semi Rev'!M126),ABS('Semi Rev'!Q126-'Semi Rev'!M126)&gt;=1),('Semi OpInc'!Q126-'Semi OpInc'!M126)/('Semi Rev'!Q126-'Semi Rev'!M126),""),"")</f>
        <v/>
      </c>
      <c r="N1263" s="38">
        <f>IFERROR(IF(AND(ISNUMBER('Semi OpInc'!R126),ISNUMBER('Semi OpInc'!N126),ISNUMBER('Semi Rev'!R126),ISNUMBER('Semi Rev'!N126),ABS('Semi Rev'!R126-'Semi Rev'!N126)&gt;=1),('Semi OpInc'!R126-'Semi OpInc'!N126)/('Semi Rev'!R126-'Semi Rev'!N126),""),"")</f>
        <v/>
      </c>
    </row>
    <row r="1264">
      <c r="A1264" s="19">
        <f>'Semi Rev'!$A127</f>
        <v/>
      </c>
      <c r="B1264" s="19">
        <f>'Semi Rev'!$B127</f>
        <v/>
      </c>
      <c r="C1264" s="37">
        <f>IFERROR(IF(AND(ISNUMBER('Semi OpInc'!G127),ISNUMBER('Semi OpInc'!C127),ISNUMBER('Semi Rev'!G127),ISNUMBER('Semi Rev'!C127),ABS('Semi Rev'!G127-'Semi Rev'!C127)&gt;=1),('Semi OpInc'!G127-'Semi OpInc'!C127)/('Semi Rev'!G127-'Semi Rev'!C127),""),"")</f>
        <v/>
      </c>
      <c r="D1264" s="37">
        <f>IFERROR(IF(AND(ISNUMBER('Semi OpInc'!H127),ISNUMBER('Semi OpInc'!D127),ISNUMBER('Semi Rev'!H127),ISNUMBER('Semi Rev'!D127),ABS('Semi Rev'!H127-'Semi Rev'!D127)&gt;=1),('Semi OpInc'!H127-'Semi OpInc'!D127)/('Semi Rev'!H127-'Semi Rev'!D127),""),"")</f>
        <v/>
      </c>
      <c r="E1264" s="37">
        <f>IFERROR(IF(AND(ISNUMBER('Semi OpInc'!I127),ISNUMBER('Semi OpInc'!E127),ISNUMBER('Semi Rev'!I127),ISNUMBER('Semi Rev'!E127),ABS('Semi Rev'!I127-'Semi Rev'!E127)&gt;=1),('Semi OpInc'!I127-'Semi OpInc'!E127)/('Semi Rev'!I127-'Semi Rev'!E127),""),"")</f>
        <v/>
      </c>
      <c r="F1264" s="37">
        <f>IFERROR(IF(AND(ISNUMBER('Semi OpInc'!J127),ISNUMBER('Semi OpInc'!F127),ISNUMBER('Semi Rev'!J127),ISNUMBER('Semi Rev'!F127),ABS('Semi Rev'!J127-'Semi Rev'!F127)&gt;=1),('Semi OpInc'!J127-'Semi OpInc'!F127)/('Semi Rev'!J127-'Semi Rev'!F127),""),"")</f>
        <v/>
      </c>
      <c r="G1264" s="37">
        <f>IFERROR(IF(AND(ISNUMBER('Semi OpInc'!K127),ISNUMBER('Semi OpInc'!G127),ISNUMBER('Semi Rev'!K127),ISNUMBER('Semi Rev'!G127),ABS('Semi Rev'!K127-'Semi Rev'!G127)&gt;=1),('Semi OpInc'!K127-'Semi OpInc'!G127)/('Semi Rev'!K127-'Semi Rev'!G127),""),"")</f>
        <v/>
      </c>
      <c r="H1264" s="37">
        <f>IFERROR(IF(AND(ISNUMBER('Semi OpInc'!L127),ISNUMBER('Semi OpInc'!H127),ISNUMBER('Semi Rev'!L127),ISNUMBER('Semi Rev'!H127),ABS('Semi Rev'!L127-'Semi Rev'!H127)&gt;=1),('Semi OpInc'!L127-'Semi OpInc'!H127)/('Semi Rev'!L127-'Semi Rev'!H127),""),"")</f>
        <v/>
      </c>
      <c r="I1264" s="37">
        <f>IFERROR(IF(AND(ISNUMBER('Semi OpInc'!M127),ISNUMBER('Semi OpInc'!I127),ISNUMBER('Semi Rev'!M127),ISNUMBER('Semi Rev'!I127),ABS('Semi Rev'!M127-'Semi Rev'!I127)&gt;=1),('Semi OpInc'!M127-'Semi OpInc'!I127)/('Semi Rev'!M127-'Semi Rev'!I127),""),"")</f>
        <v/>
      </c>
      <c r="J1264" s="37">
        <f>IFERROR(IF(AND(ISNUMBER('Semi OpInc'!N127),ISNUMBER('Semi OpInc'!J127),ISNUMBER('Semi Rev'!N127),ISNUMBER('Semi Rev'!J127),ABS('Semi Rev'!N127-'Semi Rev'!J127)&gt;=1),('Semi OpInc'!N127-'Semi OpInc'!J127)/('Semi Rev'!N127-'Semi Rev'!J127),""),"")</f>
        <v/>
      </c>
      <c r="K1264" s="37">
        <f>IFERROR(IF(AND(ISNUMBER('Semi OpInc'!O127),ISNUMBER('Semi OpInc'!K127),ISNUMBER('Semi Rev'!O127),ISNUMBER('Semi Rev'!K127),ABS('Semi Rev'!O127-'Semi Rev'!K127)&gt;=1),('Semi OpInc'!O127-'Semi OpInc'!K127)/('Semi Rev'!O127-'Semi Rev'!K127),""),"")</f>
        <v/>
      </c>
      <c r="L1264" s="37">
        <f>IFERROR(IF(AND(ISNUMBER('Semi OpInc'!P127),ISNUMBER('Semi OpInc'!L127),ISNUMBER('Semi Rev'!P127),ISNUMBER('Semi Rev'!L127),ABS('Semi Rev'!P127-'Semi Rev'!L127)&gt;=1),('Semi OpInc'!P127-'Semi OpInc'!L127)/('Semi Rev'!P127-'Semi Rev'!L127),""),"")</f>
        <v/>
      </c>
      <c r="M1264" s="38">
        <f>IFERROR(IF(AND(ISNUMBER('Semi OpInc'!Q127),ISNUMBER('Semi OpInc'!M127),ISNUMBER('Semi Rev'!Q127),ISNUMBER('Semi Rev'!M127),ABS('Semi Rev'!Q127-'Semi Rev'!M127)&gt;=1),('Semi OpInc'!Q127-'Semi OpInc'!M127)/('Semi Rev'!Q127-'Semi Rev'!M127),""),"")</f>
        <v/>
      </c>
      <c r="N1264" s="38">
        <f>IFERROR(IF(AND(ISNUMBER('Semi OpInc'!R127),ISNUMBER('Semi OpInc'!N127),ISNUMBER('Semi Rev'!R127),ISNUMBER('Semi Rev'!N127),ABS('Semi Rev'!R127-'Semi Rev'!N127)&gt;=1),('Semi OpInc'!R127-'Semi OpInc'!N127)/('Semi Rev'!R127-'Semi Rev'!N127),""),"")</f>
        <v/>
      </c>
    </row>
    <row r="1265">
      <c r="A1265" s="19">
        <f>'Semi Rev'!$A128</f>
        <v/>
      </c>
      <c r="B1265" s="19">
        <f>'Semi Rev'!$B128</f>
        <v/>
      </c>
      <c r="C1265" s="37">
        <f>IFERROR(IF(AND(ISNUMBER('Semi OpInc'!G128),ISNUMBER('Semi OpInc'!C128),ISNUMBER('Semi Rev'!G128),ISNUMBER('Semi Rev'!C128),ABS('Semi Rev'!G128-'Semi Rev'!C128)&gt;=1),('Semi OpInc'!G128-'Semi OpInc'!C128)/('Semi Rev'!G128-'Semi Rev'!C128),""),"")</f>
        <v/>
      </c>
      <c r="D1265" s="37">
        <f>IFERROR(IF(AND(ISNUMBER('Semi OpInc'!H128),ISNUMBER('Semi OpInc'!D128),ISNUMBER('Semi Rev'!H128),ISNUMBER('Semi Rev'!D128),ABS('Semi Rev'!H128-'Semi Rev'!D128)&gt;=1),('Semi OpInc'!H128-'Semi OpInc'!D128)/('Semi Rev'!H128-'Semi Rev'!D128),""),"")</f>
        <v/>
      </c>
      <c r="E1265" s="37">
        <f>IFERROR(IF(AND(ISNUMBER('Semi OpInc'!I128),ISNUMBER('Semi OpInc'!E128),ISNUMBER('Semi Rev'!I128),ISNUMBER('Semi Rev'!E128),ABS('Semi Rev'!I128-'Semi Rev'!E128)&gt;=1),('Semi OpInc'!I128-'Semi OpInc'!E128)/('Semi Rev'!I128-'Semi Rev'!E128),""),"")</f>
        <v/>
      </c>
      <c r="F1265" s="37">
        <f>IFERROR(IF(AND(ISNUMBER('Semi OpInc'!J128),ISNUMBER('Semi OpInc'!F128),ISNUMBER('Semi Rev'!J128),ISNUMBER('Semi Rev'!F128),ABS('Semi Rev'!J128-'Semi Rev'!F128)&gt;=1),('Semi OpInc'!J128-'Semi OpInc'!F128)/('Semi Rev'!J128-'Semi Rev'!F128),""),"")</f>
        <v/>
      </c>
      <c r="G1265" s="37">
        <f>IFERROR(IF(AND(ISNUMBER('Semi OpInc'!K128),ISNUMBER('Semi OpInc'!G128),ISNUMBER('Semi Rev'!K128),ISNUMBER('Semi Rev'!G128),ABS('Semi Rev'!K128-'Semi Rev'!G128)&gt;=1),('Semi OpInc'!K128-'Semi OpInc'!G128)/('Semi Rev'!K128-'Semi Rev'!G128),""),"")</f>
        <v/>
      </c>
      <c r="H1265" s="37">
        <f>IFERROR(IF(AND(ISNUMBER('Semi OpInc'!L128),ISNUMBER('Semi OpInc'!H128),ISNUMBER('Semi Rev'!L128),ISNUMBER('Semi Rev'!H128),ABS('Semi Rev'!L128-'Semi Rev'!H128)&gt;=1),('Semi OpInc'!L128-'Semi OpInc'!H128)/('Semi Rev'!L128-'Semi Rev'!H128),""),"")</f>
        <v/>
      </c>
      <c r="I1265" s="37">
        <f>IFERROR(IF(AND(ISNUMBER('Semi OpInc'!M128),ISNUMBER('Semi OpInc'!I128),ISNUMBER('Semi Rev'!M128),ISNUMBER('Semi Rev'!I128),ABS('Semi Rev'!M128-'Semi Rev'!I128)&gt;=1),('Semi OpInc'!M128-'Semi OpInc'!I128)/('Semi Rev'!M128-'Semi Rev'!I128),""),"")</f>
        <v/>
      </c>
      <c r="J1265" s="37">
        <f>IFERROR(IF(AND(ISNUMBER('Semi OpInc'!N128),ISNUMBER('Semi OpInc'!J128),ISNUMBER('Semi Rev'!N128),ISNUMBER('Semi Rev'!J128),ABS('Semi Rev'!N128-'Semi Rev'!J128)&gt;=1),('Semi OpInc'!N128-'Semi OpInc'!J128)/('Semi Rev'!N128-'Semi Rev'!J128),""),"")</f>
        <v/>
      </c>
      <c r="K1265" s="37">
        <f>IFERROR(IF(AND(ISNUMBER('Semi OpInc'!O128),ISNUMBER('Semi OpInc'!K128),ISNUMBER('Semi Rev'!O128),ISNUMBER('Semi Rev'!K128),ABS('Semi Rev'!O128-'Semi Rev'!K128)&gt;=1),('Semi OpInc'!O128-'Semi OpInc'!K128)/('Semi Rev'!O128-'Semi Rev'!K128),""),"")</f>
        <v/>
      </c>
      <c r="L1265" s="37">
        <f>IFERROR(IF(AND(ISNUMBER('Semi OpInc'!P128),ISNUMBER('Semi OpInc'!L128),ISNUMBER('Semi Rev'!P128),ISNUMBER('Semi Rev'!L128),ABS('Semi Rev'!P128-'Semi Rev'!L128)&gt;=1),('Semi OpInc'!P128-'Semi OpInc'!L128)/('Semi Rev'!P128-'Semi Rev'!L128),""),"")</f>
        <v/>
      </c>
      <c r="M1265" s="38">
        <f>IFERROR(IF(AND(ISNUMBER('Semi OpInc'!Q128),ISNUMBER('Semi OpInc'!M128),ISNUMBER('Semi Rev'!Q128),ISNUMBER('Semi Rev'!M128),ABS('Semi Rev'!Q128-'Semi Rev'!M128)&gt;=1),('Semi OpInc'!Q128-'Semi OpInc'!M128)/('Semi Rev'!Q128-'Semi Rev'!M128),""),"")</f>
        <v/>
      </c>
      <c r="N1265" s="38">
        <f>IFERROR(IF(AND(ISNUMBER('Semi OpInc'!R128),ISNUMBER('Semi OpInc'!N128),ISNUMBER('Semi Rev'!R128),ISNUMBER('Semi Rev'!N128),ABS('Semi Rev'!R128-'Semi Rev'!N128)&gt;=1),('Semi OpInc'!R128-'Semi OpInc'!N128)/('Semi Rev'!R128-'Semi Rev'!N128),""),"")</f>
        <v/>
      </c>
    </row>
    <row r="1266">
      <c r="A1266" s="19">
        <f>'Semi Rev'!$A129</f>
        <v/>
      </c>
      <c r="B1266" s="19">
        <f>'Semi Rev'!$B129</f>
        <v/>
      </c>
      <c r="C1266" s="37">
        <f>IFERROR(IF(AND(ISNUMBER('Semi OpInc'!G129),ISNUMBER('Semi OpInc'!C129),ISNUMBER('Semi Rev'!G129),ISNUMBER('Semi Rev'!C129),ABS('Semi Rev'!G129-'Semi Rev'!C129)&gt;=1),('Semi OpInc'!G129-'Semi OpInc'!C129)/('Semi Rev'!G129-'Semi Rev'!C129),""),"")</f>
        <v/>
      </c>
      <c r="D1266" s="37">
        <f>IFERROR(IF(AND(ISNUMBER('Semi OpInc'!H129),ISNUMBER('Semi OpInc'!D129),ISNUMBER('Semi Rev'!H129),ISNUMBER('Semi Rev'!D129),ABS('Semi Rev'!H129-'Semi Rev'!D129)&gt;=1),('Semi OpInc'!H129-'Semi OpInc'!D129)/('Semi Rev'!H129-'Semi Rev'!D129),""),"")</f>
        <v/>
      </c>
      <c r="E1266" s="37">
        <f>IFERROR(IF(AND(ISNUMBER('Semi OpInc'!I129),ISNUMBER('Semi OpInc'!E129),ISNUMBER('Semi Rev'!I129),ISNUMBER('Semi Rev'!E129),ABS('Semi Rev'!I129-'Semi Rev'!E129)&gt;=1),('Semi OpInc'!I129-'Semi OpInc'!E129)/('Semi Rev'!I129-'Semi Rev'!E129),""),"")</f>
        <v/>
      </c>
      <c r="F1266" s="37">
        <f>IFERROR(IF(AND(ISNUMBER('Semi OpInc'!J129),ISNUMBER('Semi OpInc'!F129),ISNUMBER('Semi Rev'!J129),ISNUMBER('Semi Rev'!F129),ABS('Semi Rev'!J129-'Semi Rev'!F129)&gt;=1),('Semi OpInc'!J129-'Semi OpInc'!F129)/('Semi Rev'!J129-'Semi Rev'!F129),""),"")</f>
        <v/>
      </c>
      <c r="G1266" s="37">
        <f>IFERROR(IF(AND(ISNUMBER('Semi OpInc'!K129),ISNUMBER('Semi OpInc'!G129),ISNUMBER('Semi Rev'!K129),ISNUMBER('Semi Rev'!G129),ABS('Semi Rev'!K129-'Semi Rev'!G129)&gt;=1),('Semi OpInc'!K129-'Semi OpInc'!G129)/('Semi Rev'!K129-'Semi Rev'!G129),""),"")</f>
        <v/>
      </c>
      <c r="H1266" s="37">
        <f>IFERROR(IF(AND(ISNUMBER('Semi OpInc'!L129),ISNUMBER('Semi OpInc'!H129),ISNUMBER('Semi Rev'!L129),ISNUMBER('Semi Rev'!H129),ABS('Semi Rev'!L129-'Semi Rev'!H129)&gt;=1),('Semi OpInc'!L129-'Semi OpInc'!H129)/('Semi Rev'!L129-'Semi Rev'!H129),""),"")</f>
        <v/>
      </c>
      <c r="I1266" s="37">
        <f>IFERROR(IF(AND(ISNUMBER('Semi OpInc'!M129),ISNUMBER('Semi OpInc'!I129),ISNUMBER('Semi Rev'!M129),ISNUMBER('Semi Rev'!I129),ABS('Semi Rev'!M129-'Semi Rev'!I129)&gt;=1),('Semi OpInc'!M129-'Semi OpInc'!I129)/('Semi Rev'!M129-'Semi Rev'!I129),""),"")</f>
        <v/>
      </c>
      <c r="J1266" s="37">
        <f>IFERROR(IF(AND(ISNUMBER('Semi OpInc'!N129),ISNUMBER('Semi OpInc'!J129),ISNUMBER('Semi Rev'!N129),ISNUMBER('Semi Rev'!J129),ABS('Semi Rev'!N129-'Semi Rev'!J129)&gt;=1),('Semi OpInc'!N129-'Semi OpInc'!J129)/('Semi Rev'!N129-'Semi Rev'!J129),""),"")</f>
        <v/>
      </c>
      <c r="K1266" s="37">
        <f>IFERROR(IF(AND(ISNUMBER('Semi OpInc'!O129),ISNUMBER('Semi OpInc'!K129),ISNUMBER('Semi Rev'!O129),ISNUMBER('Semi Rev'!K129),ABS('Semi Rev'!O129-'Semi Rev'!K129)&gt;=1),('Semi OpInc'!O129-'Semi OpInc'!K129)/('Semi Rev'!O129-'Semi Rev'!K129),""),"")</f>
        <v/>
      </c>
      <c r="L1266" s="37">
        <f>IFERROR(IF(AND(ISNUMBER('Semi OpInc'!P129),ISNUMBER('Semi OpInc'!L129),ISNUMBER('Semi Rev'!P129),ISNUMBER('Semi Rev'!L129),ABS('Semi Rev'!P129-'Semi Rev'!L129)&gt;=1),('Semi OpInc'!P129-'Semi OpInc'!L129)/('Semi Rev'!P129-'Semi Rev'!L129),""),"")</f>
        <v/>
      </c>
      <c r="M1266" s="38">
        <f>IFERROR(IF(AND(ISNUMBER('Semi OpInc'!Q129),ISNUMBER('Semi OpInc'!M129),ISNUMBER('Semi Rev'!Q129),ISNUMBER('Semi Rev'!M129),ABS('Semi Rev'!Q129-'Semi Rev'!M129)&gt;=1),('Semi OpInc'!Q129-'Semi OpInc'!M129)/('Semi Rev'!Q129-'Semi Rev'!M129),""),"")</f>
        <v/>
      </c>
      <c r="N1266" s="38">
        <f>IFERROR(IF(AND(ISNUMBER('Semi OpInc'!R129),ISNUMBER('Semi OpInc'!N129),ISNUMBER('Semi Rev'!R129),ISNUMBER('Semi Rev'!N129),ABS('Semi Rev'!R129-'Semi Rev'!N129)&gt;=1),('Semi OpInc'!R129-'Semi OpInc'!N129)/('Semi Rev'!R129-'Semi Rev'!N129),""),"")</f>
        <v/>
      </c>
    </row>
    <row r="1267">
      <c r="A1267" s="19">
        <f>'Semi Rev'!$A130</f>
        <v/>
      </c>
      <c r="B1267" s="19">
        <f>'Semi Rev'!$B130</f>
        <v/>
      </c>
      <c r="C1267" s="37">
        <f>IFERROR(IF(AND(ISNUMBER('Semi OpInc'!G130),ISNUMBER('Semi OpInc'!C130),ISNUMBER('Semi Rev'!G130),ISNUMBER('Semi Rev'!C130),ABS('Semi Rev'!G130-'Semi Rev'!C130)&gt;=1),('Semi OpInc'!G130-'Semi OpInc'!C130)/('Semi Rev'!G130-'Semi Rev'!C130),""),"")</f>
        <v/>
      </c>
      <c r="D1267" s="37">
        <f>IFERROR(IF(AND(ISNUMBER('Semi OpInc'!H130),ISNUMBER('Semi OpInc'!D130),ISNUMBER('Semi Rev'!H130),ISNUMBER('Semi Rev'!D130),ABS('Semi Rev'!H130-'Semi Rev'!D130)&gt;=1),('Semi OpInc'!H130-'Semi OpInc'!D130)/('Semi Rev'!H130-'Semi Rev'!D130),""),"")</f>
        <v/>
      </c>
      <c r="E1267" s="37">
        <f>IFERROR(IF(AND(ISNUMBER('Semi OpInc'!I130),ISNUMBER('Semi OpInc'!E130),ISNUMBER('Semi Rev'!I130),ISNUMBER('Semi Rev'!E130),ABS('Semi Rev'!I130-'Semi Rev'!E130)&gt;=1),('Semi OpInc'!I130-'Semi OpInc'!E130)/('Semi Rev'!I130-'Semi Rev'!E130),""),"")</f>
        <v/>
      </c>
      <c r="F1267" s="37">
        <f>IFERROR(IF(AND(ISNUMBER('Semi OpInc'!J130),ISNUMBER('Semi OpInc'!F130),ISNUMBER('Semi Rev'!J130),ISNUMBER('Semi Rev'!F130),ABS('Semi Rev'!J130-'Semi Rev'!F130)&gt;=1),('Semi OpInc'!J130-'Semi OpInc'!F130)/('Semi Rev'!J130-'Semi Rev'!F130),""),"")</f>
        <v/>
      </c>
      <c r="G1267" s="37">
        <f>IFERROR(IF(AND(ISNUMBER('Semi OpInc'!K130),ISNUMBER('Semi OpInc'!G130),ISNUMBER('Semi Rev'!K130),ISNUMBER('Semi Rev'!G130),ABS('Semi Rev'!K130-'Semi Rev'!G130)&gt;=1),('Semi OpInc'!K130-'Semi OpInc'!G130)/('Semi Rev'!K130-'Semi Rev'!G130),""),"")</f>
        <v/>
      </c>
      <c r="H1267" s="37">
        <f>IFERROR(IF(AND(ISNUMBER('Semi OpInc'!L130),ISNUMBER('Semi OpInc'!H130),ISNUMBER('Semi Rev'!L130),ISNUMBER('Semi Rev'!H130),ABS('Semi Rev'!L130-'Semi Rev'!H130)&gt;=1),('Semi OpInc'!L130-'Semi OpInc'!H130)/('Semi Rev'!L130-'Semi Rev'!H130),""),"")</f>
        <v/>
      </c>
      <c r="I1267" s="37">
        <f>IFERROR(IF(AND(ISNUMBER('Semi OpInc'!M130),ISNUMBER('Semi OpInc'!I130),ISNUMBER('Semi Rev'!M130),ISNUMBER('Semi Rev'!I130),ABS('Semi Rev'!M130-'Semi Rev'!I130)&gt;=1),('Semi OpInc'!M130-'Semi OpInc'!I130)/('Semi Rev'!M130-'Semi Rev'!I130),""),"")</f>
        <v/>
      </c>
      <c r="J1267" s="37">
        <f>IFERROR(IF(AND(ISNUMBER('Semi OpInc'!N130),ISNUMBER('Semi OpInc'!J130),ISNUMBER('Semi Rev'!N130),ISNUMBER('Semi Rev'!J130),ABS('Semi Rev'!N130-'Semi Rev'!J130)&gt;=1),('Semi OpInc'!N130-'Semi OpInc'!J130)/('Semi Rev'!N130-'Semi Rev'!J130),""),"")</f>
        <v/>
      </c>
      <c r="K1267" s="37">
        <f>IFERROR(IF(AND(ISNUMBER('Semi OpInc'!O130),ISNUMBER('Semi OpInc'!K130),ISNUMBER('Semi Rev'!O130),ISNUMBER('Semi Rev'!K130),ABS('Semi Rev'!O130-'Semi Rev'!K130)&gt;=1),('Semi OpInc'!O130-'Semi OpInc'!K130)/('Semi Rev'!O130-'Semi Rev'!K130),""),"")</f>
        <v/>
      </c>
      <c r="L1267" s="37">
        <f>IFERROR(IF(AND(ISNUMBER('Semi OpInc'!P130),ISNUMBER('Semi OpInc'!L130),ISNUMBER('Semi Rev'!P130),ISNUMBER('Semi Rev'!L130),ABS('Semi Rev'!P130-'Semi Rev'!L130)&gt;=1),('Semi OpInc'!P130-'Semi OpInc'!L130)/('Semi Rev'!P130-'Semi Rev'!L130),""),"")</f>
        <v/>
      </c>
      <c r="M1267" s="38">
        <f>IFERROR(IF(AND(ISNUMBER('Semi OpInc'!Q130),ISNUMBER('Semi OpInc'!M130),ISNUMBER('Semi Rev'!Q130),ISNUMBER('Semi Rev'!M130),ABS('Semi Rev'!Q130-'Semi Rev'!M130)&gt;=1),('Semi OpInc'!Q130-'Semi OpInc'!M130)/('Semi Rev'!Q130-'Semi Rev'!M130),""),"")</f>
        <v/>
      </c>
      <c r="N1267" s="38">
        <f>IFERROR(IF(AND(ISNUMBER('Semi OpInc'!R130),ISNUMBER('Semi OpInc'!N130),ISNUMBER('Semi Rev'!R130),ISNUMBER('Semi Rev'!N130),ABS('Semi Rev'!R130-'Semi Rev'!N130)&gt;=1),('Semi OpInc'!R130-'Semi OpInc'!N130)/('Semi Rev'!R130-'Semi Rev'!N130),""),"")</f>
        <v/>
      </c>
    </row>
    <row r="1268">
      <c r="A1268" s="19">
        <f>'Semi Rev'!$A131</f>
        <v/>
      </c>
      <c r="B1268" s="19">
        <f>'Semi Rev'!$B131</f>
        <v/>
      </c>
      <c r="C1268" s="37">
        <f>IFERROR(IF(AND(ISNUMBER('Semi OpInc'!G131),ISNUMBER('Semi OpInc'!C131),ISNUMBER('Semi Rev'!G131),ISNUMBER('Semi Rev'!C131),ABS('Semi Rev'!G131-'Semi Rev'!C131)&gt;=1),('Semi OpInc'!G131-'Semi OpInc'!C131)/('Semi Rev'!G131-'Semi Rev'!C131),""),"")</f>
        <v/>
      </c>
      <c r="D1268" s="37">
        <f>IFERROR(IF(AND(ISNUMBER('Semi OpInc'!H131),ISNUMBER('Semi OpInc'!D131),ISNUMBER('Semi Rev'!H131),ISNUMBER('Semi Rev'!D131),ABS('Semi Rev'!H131-'Semi Rev'!D131)&gt;=1),('Semi OpInc'!H131-'Semi OpInc'!D131)/('Semi Rev'!H131-'Semi Rev'!D131),""),"")</f>
        <v/>
      </c>
      <c r="E1268" s="37">
        <f>IFERROR(IF(AND(ISNUMBER('Semi OpInc'!I131),ISNUMBER('Semi OpInc'!E131),ISNUMBER('Semi Rev'!I131),ISNUMBER('Semi Rev'!E131),ABS('Semi Rev'!I131-'Semi Rev'!E131)&gt;=1),('Semi OpInc'!I131-'Semi OpInc'!E131)/('Semi Rev'!I131-'Semi Rev'!E131),""),"")</f>
        <v/>
      </c>
      <c r="F1268" s="37">
        <f>IFERROR(IF(AND(ISNUMBER('Semi OpInc'!J131),ISNUMBER('Semi OpInc'!F131),ISNUMBER('Semi Rev'!J131),ISNUMBER('Semi Rev'!F131),ABS('Semi Rev'!J131-'Semi Rev'!F131)&gt;=1),('Semi OpInc'!J131-'Semi OpInc'!F131)/('Semi Rev'!J131-'Semi Rev'!F131),""),"")</f>
        <v/>
      </c>
      <c r="G1268" s="37">
        <f>IFERROR(IF(AND(ISNUMBER('Semi OpInc'!K131),ISNUMBER('Semi OpInc'!G131),ISNUMBER('Semi Rev'!K131),ISNUMBER('Semi Rev'!G131),ABS('Semi Rev'!K131-'Semi Rev'!G131)&gt;=1),('Semi OpInc'!K131-'Semi OpInc'!G131)/('Semi Rev'!K131-'Semi Rev'!G131),""),"")</f>
        <v/>
      </c>
      <c r="H1268" s="37">
        <f>IFERROR(IF(AND(ISNUMBER('Semi OpInc'!L131),ISNUMBER('Semi OpInc'!H131),ISNUMBER('Semi Rev'!L131),ISNUMBER('Semi Rev'!H131),ABS('Semi Rev'!L131-'Semi Rev'!H131)&gt;=1),('Semi OpInc'!L131-'Semi OpInc'!H131)/('Semi Rev'!L131-'Semi Rev'!H131),""),"")</f>
        <v/>
      </c>
      <c r="I1268" s="37">
        <f>IFERROR(IF(AND(ISNUMBER('Semi OpInc'!M131),ISNUMBER('Semi OpInc'!I131),ISNUMBER('Semi Rev'!M131),ISNUMBER('Semi Rev'!I131),ABS('Semi Rev'!M131-'Semi Rev'!I131)&gt;=1),('Semi OpInc'!M131-'Semi OpInc'!I131)/('Semi Rev'!M131-'Semi Rev'!I131),""),"")</f>
        <v/>
      </c>
      <c r="J1268" s="37">
        <f>IFERROR(IF(AND(ISNUMBER('Semi OpInc'!N131),ISNUMBER('Semi OpInc'!J131),ISNUMBER('Semi Rev'!N131),ISNUMBER('Semi Rev'!J131),ABS('Semi Rev'!N131-'Semi Rev'!J131)&gt;=1),('Semi OpInc'!N131-'Semi OpInc'!J131)/('Semi Rev'!N131-'Semi Rev'!J131),""),"")</f>
        <v/>
      </c>
      <c r="K1268" s="37">
        <f>IFERROR(IF(AND(ISNUMBER('Semi OpInc'!O131),ISNUMBER('Semi OpInc'!K131),ISNUMBER('Semi Rev'!O131),ISNUMBER('Semi Rev'!K131),ABS('Semi Rev'!O131-'Semi Rev'!K131)&gt;=1),('Semi OpInc'!O131-'Semi OpInc'!K131)/('Semi Rev'!O131-'Semi Rev'!K131),""),"")</f>
        <v/>
      </c>
      <c r="L1268" s="37">
        <f>IFERROR(IF(AND(ISNUMBER('Semi OpInc'!P131),ISNUMBER('Semi OpInc'!L131),ISNUMBER('Semi Rev'!P131),ISNUMBER('Semi Rev'!L131),ABS('Semi Rev'!P131-'Semi Rev'!L131)&gt;=1),('Semi OpInc'!P131-'Semi OpInc'!L131)/('Semi Rev'!P131-'Semi Rev'!L131),""),"")</f>
        <v/>
      </c>
      <c r="M1268" s="38">
        <f>IFERROR(IF(AND(ISNUMBER('Semi OpInc'!Q131),ISNUMBER('Semi OpInc'!M131),ISNUMBER('Semi Rev'!Q131),ISNUMBER('Semi Rev'!M131),ABS('Semi Rev'!Q131-'Semi Rev'!M131)&gt;=1),('Semi OpInc'!Q131-'Semi OpInc'!M131)/('Semi Rev'!Q131-'Semi Rev'!M131),""),"")</f>
        <v/>
      </c>
      <c r="N1268" s="38">
        <f>IFERROR(IF(AND(ISNUMBER('Semi OpInc'!R131),ISNUMBER('Semi OpInc'!N131),ISNUMBER('Semi Rev'!R131),ISNUMBER('Semi Rev'!N131),ABS('Semi Rev'!R131-'Semi Rev'!N131)&gt;=1),('Semi OpInc'!R131-'Semi OpInc'!N131)/('Semi Rev'!R131-'Semi Rev'!N131),""),"")</f>
        <v/>
      </c>
    </row>
    <row r="1269">
      <c r="A1269" s="19">
        <f>'Semi Rev'!$A132</f>
        <v/>
      </c>
      <c r="B1269" s="19">
        <f>'Semi Rev'!$B132</f>
        <v/>
      </c>
      <c r="C1269" s="37">
        <f>IFERROR(IF(AND(ISNUMBER('Semi OpInc'!G132),ISNUMBER('Semi OpInc'!C132),ISNUMBER('Semi Rev'!G132),ISNUMBER('Semi Rev'!C132),ABS('Semi Rev'!G132-'Semi Rev'!C132)&gt;=1),('Semi OpInc'!G132-'Semi OpInc'!C132)/('Semi Rev'!G132-'Semi Rev'!C132),""),"")</f>
        <v/>
      </c>
      <c r="D1269" s="37">
        <f>IFERROR(IF(AND(ISNUMBER('Semi OpInc'!H132),ISNUMBER('Semi OpInc'!D132),ISNUMBER('Semi Rev'!H132),ISNUMBER('Semi Rev'!D132),ABS('Semi Rev'!H132-'Semi Rev'!D132)&gt;=1),('Semi OpInc'!H132-'Semi OpInc'!D132)/('Semi Rev'!H132-'Semi Rev'!D132),""),"")</f>
        <v/>
      </c>
      <c r="E1269" s="37">
        <f>IFERROR(IF(AND(ISNUMBER('Semi OpInc'!I132),ISNUMBER('Semi OpInc'!E132),ISNUMBER('Semi Rev'!I132),ISNUMBER('Semi Rev'!E132),ABS('Semi Rev'!I132-'Semi Rev'!E132)&gt;=1),('Semi OpInc'!I132-'Semi OpInc'!E132)/('Semi Rev'!I132-'Semi Rev'!E132),""),"")</f>
        <v/>
      </c>
      <c r="F1269" s="37">
        <f>IFERROR(IF(AND(ISNUMBER('Semi OpInc'!J132),ISNUMBER('Semi OpInc'!F132),ISNUMBER('Semi Rev'!J132),ISNUMBER('Semi Rev'!F132),ABS('Semi Rev'!J132-'Semi Rev'!F132)&gt;=1),('Semi OpInc'!J132-'Semi OpInc'!F132)/('Semi Rev'!J132-'Semi Rev'!F132),""),"")</f>
        <v/>
      </c>
      <c r="G1269" s="37">
        <f>IFERROR(IF(AND(ISNUMBER('Semi OpInc'!K132),ISNUMBER('Semi OpInc'!G132),ISNUMBER('Semi Rev'!K132),ISNUMBER('Semi Rev'!G132),ABS('Semi Rev'!K132-'Semi Rev'!G132)&gt;=1),('Semi OpInc'!K132-'Semi OpInc'!G132)/('Semi Rev'!K132-'Semi Rev'!G132),""),"")</f>
        <v/>
      </c>
      <c r="H1269" s="37">
        <f>IFERROR(IF(AND(ISNUMBER('Semi OpInc'!L132),ISNUMBER('Semi OpInc'!H132),ISNUMBER('Semi Rev'!L132),ISNUMBER('Semi Rev'!H132),ABS('Semi Rev'!L132-'Semi Rev'!H132)&gt;=1),('Semi OpInc'!L132-'Semi OpInc'!H132)/('Semi Rev'!L132-'Semi Rev'!H132),""),"")</f>
        <v/>
      </c>
      <c r="I1269" s="37">
        <f>IFERROR(IF(AND(ISNUMBER('Semi OpInc'!M132),ISNUMBER('Semi OpInc'!I132),ISNUMBER('Semi Rev'!M132),ISNUMBER('Semi Rev'!I132),ABS('Semi Rev'!M132-'Semi Rev'!I132)&gt;=1),('Semi OpInc'!M132-'Semi OpInc'!I132)/('Semi Rev'!M132-'Semi Rev'!I132),""),"")</f>
        <v/>
      </c>
      <c r="J1269" s="37">
        <f>IFERROR(IF(AND(ISNUMBER('Semi OpInc'!N132),ISNUMBER('Semi OpInc'!J132),ISNUMBER('Semi Rev'!N132),ISNUMBER('Semi Rev'!J132),ABS('Semi Rev'!N132-'Semi Rev'!J132)&gt;=1),('Semi OpInc'!N132-'Semi OpInc'!J132)/('Semi Rev'!N132-'Semi Rev'!J132),""),"")</f>
        <v/>
      </c>
      <c r="K1269" s="37">
        <f>IFERROR(IF(AND(ISNUMBER('Semi OpInc'!O132),ISNUMBER('Semi OpInc'!K132),ISNUMBER('Semi Rev'!O132),ISNUMBER('Semi Rev'!K132),ABS('Semi Rev'!O132-'Semi Rev'!K132)&gt;=1),('Semi OpInc'!O132-'Semi OpInc'!K132)/('Semi Rev'!O132-'Semi Rev'!K132),""),"")</f>
        <v/>
      </c>
      <c r="L1269" s="37">
        <f>IFERROR(IF(AND(ISNUMBER('Semi OpInc'!P132),ISNUMBER('Semi OpInc'!L132),ISNUMBER('Semi Rev'!P132),ISNUMBER('Semi Rev'!L132),ABS('Semi Rev'!P132-'Semi Rev'!L132)&gt;=1),('Semi OpInc'!P132-'Semi OpInc'!L132)/('Semi Rev'!P132-'Semi Rev'!L132),""),"")</f>
        <v/>
      </c>
      <c r="M1269" s="38">
        <f>IFERROR(IF(AND(ISNUMBER('Semi OpInc'!Q132),ISNUMBER('Semi OpInc'!M132),ISNUMBER('Semi Rev'!Q132),ISNUMBER('Semi Rev'!M132),ABS('Semi Rev'!Q132-'Semi Rev'!M132)&gt;=1),('Semi OpInc'!Q132-'Semi OpInc'!M132)/('Semi Rev'!Q132-'Semi Rev'!M132),""),"")</f>
        <v/>
      </c>
      <c r="N1269" s="38">
        <f>IFERROR(IF(AND(ISNUMBER('Semi OpInc'!R132),ISNUMBER('Semi OpInc'!N132),ISNUMBER('Semi Rev'!R132),ISNUMBER('Semi Rev'!N132),ABS('Semi Rev'!R132-'Semi Rev'!N132)&gt;=1),('Semi OpInc'!R132-'Semi OpInc'!N132)/('Semi Rev'!R132-'Semi Rev'!N132),""),"")</f>
        <v/>
      </c>
    </row>
    <row r="1270">
      <c r="A1270" s="19">
        <f>'Semi Rev'!$A133</f>
        <v/>
      </c>
      <c r="B1270" s="19">
        <f>'Semi Rev'!$B133</f>
        <v/>
      </c>
      <c r="C1270" s="37">
        <f>IFERROR(IF(AND(ISNUMBER('Semi OpInc'!G133),ISNUMBER('Semi OpInc'!C133),ISNUMBER('Semi Rev'!G133),ISNUMBER('Semi Rev'!C133),ABS('Semi Rev'!G133-'Semi Rev'!C133)&gt;=1),('Semi OpInc'!G133-'Semi OpInc'!C133)/('Semi Rev'!G133-'Semi Rev'!C133),""),"")</f>
        <v/>
      </c>
      <c r="D1270" s="37">
        <f>IFERROR(IF(AND(ISNUMBER('Semi OpInc'!H133),ISNUMBER('Semi OpInc'!D133),ISNUMBER('Semi Rev'!H133),ISNUMBER('Semi Rev'!D133),ABS('Semi Rev'!H133-'Semi Rev'!D133)&gt;=1),('Semi OpInc'!H133-'Semi OpInc'!D133)/('Semi Rev'!H133-'Semi Rev'!D133),""),"")</f>
        <v/>
      </c>
      <c r="E1270" s="37">
        <f>IFERROR(IF(AND(ISNUMBER('Semi OpInc'!I133),ISNUMBER('Semi OpInc'!E133),ISNUMBER('Semi Rev'!I133),ISNUMBER('Semi Rev'!E133),ABS('Semi Rev'!I133-'Semi Rev'!E133)&gt;=1),('Semi OpInc'!I133-'Semi OpInc'!E133)/('Semi Rev'!I133-'Semi Rev'!E133),""),"")</f>
        <v/>
      </c>
      <c r="F1270" s="37">
        <f>IFERROR(IF(AND(ISNUMBER('Semi OpInc'!J133),ISNUMBER('Semi OpInc'!F133),ISNUMBER('Semi Rev'!J133),ISNUMBER('Semi Rev'!F133),ABS('Semi Rev'!J133-'Semi Rev'!F133)&gt;=1),('Semi OpInc'!J133-'Semi OpInc'!F133)/('Semi Rev'!J133-'Semi Rev'!F133),""),"")</f>
        <v/>
      </c>
      <c r="G1270" s="37">
        <f>IFERROR(IF(AND(ISNUMBER('Semi OpInc'!K133),ISNUMBER('Semi OpInc'!G133),ISNUMBER('Semi Rev'!K133),ISNUMBER('Semi Rev'!G133),ABS('Semi Rev'!K133-'Semi Rev'!G133)&gt;=1),('Semi OpInc'!K133-'Semi OpInc'!G133)/('Semi Rev'!K133-'Semi Rev'!G133),""),"")</f>
        <v/>
      </c>
      <c r="H1270" s="37">
        <f>IFERROR(IF(AND(ISNUMBER('Semi OpInc'!L133),ISNUMBER('Semi OpInc'!H133),ISNUMBER('Semi Rev'!L133),ISNUMBER('Semi Rev'!H133),ABS('Semi Rev'!L133-'Semi Rev'!H133)&gt;=1),('Semi OpInc'!L133-'Semi OpInc'!H133)/('Semi Rev'!L133-'Semi Rev'!H133),""),"")</f>
        <v/>
      </c>
      <c r="I1270" s="37">
        <f>IFERROR(IF(AND(ISNUMBER('Semi OpInc'!M133),ISNUMBER('Semi OpInc'!I133),ISNUMBER('Semi Rev'!M133),ISNUMBER('Semi Rev'!I133),ABS('Semi Rev'!M133-'Semi Rev'!I133)&gt;=1),('Semi OpInc'!M133-'Semi OpInc'!I133)/('Semi Rev'!M133-'Semi Rev'!I133),""),"")</f>
        <v/>
      </c>
      <c r="J1270" s="37">
        <f>IFERROR(IF(AND(ISNUMBER('Semi OpInc'!N133),ISNUMBER('Semi OpInc'!J133),ISNUMBER('Semi Rev'!N133),ISNUMBER('Semi Rev'!J133),ABS('Semi Rev'!N133-'Semi Rev'!J133)&gt;=1),('Semi OpInc'!N133-'Semi OpInc'!J133)/('Semi Rev'!N133-'Semi Rev'!J133),""),"")</f>
        <v/>
      </c>
      <c r="K1270" s="37">
        <f>IFERROR(IF(AND(ISNUMBER('Semi OpInc'!O133),ISNUMBER('Semi OpInc'!K133),ISNUMBER('Semi Rev'!O133),ISNUMBER('Semi Rev'!K133),ABS('Semi Rev'!O133-'Semi Rev'!K133)&gt;=1),('Semi OpInc'!O133-'Semi OpInc'!K133)/('Semi Rev'!O133-'Semi Rev'!K133),""),"")</f>
        <v/>
      </c>
      <c r="L1270" s="37">
        <f>IFERROR(IF(AND(ISNUMBER('Semi OpInc'!P133),ISNUMBER('Semi OpInc'!L133),ISNUMBER('Semi Rev'!P133),ISNUMBER('Semi Rev'!L133),ABS('Semi Rev'!P133-'Semi Rev'!L133)&gt;=1),('Semi OpInc'!P133-'Semi OpInc'!L133)/('Semi Rev'!P133-'Semi Rev'!L133),""),"")</f>
        <v/>
      </c>
      <c r="M1270" s="38">
        <f>IFERROR(IF(AND(ISNUMBER('Semi OpInc'!Q133),ISNUMBER('Semi OpInc'!M133),ISNUMBER('Semi Rev'!Q133),ISNUMBER('Semi Rev'!M133),ABS('Semi Rev'!Q133-'Semi Rev'!M133)&gt;=1),('Semi OpInc'!Q133-'Semi OpInc'!M133)/('Semi Rev'!Q133-'Semi Rev'!M133),""),"")</f>
        <v/>
      </c>
      <c r="N1270" s="38">
        <f>IFERROR(IF(AND(ISNUMBER('Semi OpInc'!R133),ISNUMBER('Semi OpInc'!N133),ISNUMBER('Semi Rev'!R133),ISNUMBER('Semi Rev'!N133),ABS('Semi Rev'!R133-'Semi Rev'!N133)&gt;=1),('Semi OpInc'!R133-'Semi OpInc'!N133)/('Semi Rev'!R133-'Semi Rev'!N133),""),"")</f>
        <v/>
      </c>
    </row>
    <row r="1271">
      <c r="A1271" s="19">
        <f>'Semi Rev'!$A134</f>
        <v/>
      </c>
      <c r="B1271" s="19">
        <f>'Semi Rev'!$B134</f>
        <v/>
      </c>
      <c r="C1271" s="37">
        <f>IFERROR(IF(AND(ISNUMBER('Semi OpInc'!G134),ISNUMBER('Semi OpInc'!C134),ISNUMBER('Semi Rev'!G134),ISNUMBER('Semi Rev'!C134),ABS('Semi Rev'!G134-'Semi Rev'!C134)&gt;=1),('Semi OpInc'!G134-'Semi OpInc'!C134)/('Semi Rev'!G134-'Semi Rev'!C134),""),"")</f>
        <v/>
      </c>
      <c r="D1271" s="37">
        <f>IFERROR(IF(AND(ISNUMBER('Semi OpInc'!H134),ISNUMBER('Semi OpInc'!D134),ISNUMBER('Semi Rev'!H134),ISNUMBER('Semi Rev'!D134),ABS('Semi Rev'!H134-'Semi Rev'!D134)&gt;=1),('Semi OpInc'!H134-'Semi OpInc'!D134)/('Semi Rev'!H134-'Semi Rev'!D134),""),"")</f>
        <v/>
      </c>
      <c r="E1271" s="37">
        <f>IFERROR(IF(AND(ISNUMBER('Semi OpInc'!I134),ISNUMBER('Semi OpInc'!E134),ISNUMBER('Semi Rev'!I134),ISNUMBER('Semi Rev'!E134),ABS('Semi Rev'!I134-'Semi Rev'!E134)&gt;=1),('Semi OpInc'!I134-'Semi OpInc'!E134)/('Semi Rev'!I134-'Semi Rev'!E134),""),"")</f>
        <v/>
      </c>
      <c r="F1271" s="37">
        <f>IFERROR(IF(AND(ISNUMBER('Semi OpInc'!J134),ISNUMBER('Semi OpInc'!F134),ISNUMBER('Semi Rev'!J134),ISNUMBER('Semi Rev'!F134),ABS('Semi Rev'!J134-'Semi Rev'!F134)&gt;=1),('Semi OpInc'!J134-'Semi OpInc'!F134)/('Semi Rev'!J134-'Semi Rev'!F134),""),"")</f>
        <v/>
      </c>
      <c r="G1271" s="37">
        <f>IFERROR(IF(AND(ISNUMBER('Semi OpInc'!K134),ISNUMBER('Semi OpInc'!G134),ISNUMBER('Semi Rev'!K134),ISNUMBER('Semi Rev'!G134),ABS('Semi Rev'!K134-'Semi Rev'!G134)&gt;=1),('Semi OpInc'!K134-'Semi OpInc'!G134)/('Semi Rev'!K134-'Semi Rev'!G134),""),"")</f>
        <v/>
      </c>
      <c r="H1271" s="37">
        <f>IFERROR(IF(AND(ISNUMBER('Semi OpInc'!L134),ISNUMBER('Semi OpInc'!H134),ISNUMBER('Semi Rev'!L134),ISNUMBER('Semi Rev'!H134),ABS('Semi Rev'!L134-'Semi Rev'!H134)&gt;=1),('Semi OpInc'!L134-'Semi OpInc'!H134)/('Semi Rev'!L134-'Semi Rev'!H134),""),"")</f>
        <v/>
      </c>
      <c r="I1271" s="37">
        <f>IFERROR(IF(AND(ISNUMBER('Semi OpInc'!M134),ISNUMBER('Semi OpInc'!I134),ISNUMBER('Semi Rev'!M134),ISNUMBER('Semi Rev'!I134),ABS('Semi Rev'!M134-'Semi Rev'!I134)&gt;=1),('Semi OpInc'!M134-'Semi OpInc'!I134)/('Semi Rev'!M134-'Semi Rev'!I134),""),"")</f>
        <v/>
      </c>
      <c r="J1271" s="37">
        <f>IFERROR(IF(AND(ISNUMBER('Semi OpInc'!N134),ISNUMBER('Semi OpInc'!J134),ISNUMBER('Semi Rev'!N134),ISNUMBER('Semi Rev'!J134),ABS('Semi Rev'!N134-'Semi Rev'!J134)&gt;=1),('Semi OpInc'!N134-'Semi OpInc'!J134)/('Semi Rev'!N134-'Semi Rev'!J134),""),"")</f>
        <v/>
      </c>
      <c r="K1271" s="37">
        <f>IFERROR(IF(AND(ISNUMBER('Semi OpInc'!O134),ISNUMBER('Semi OpInc'!K134),ISNUMBER('Semi Rev'!O134),ISNUMBER('Semi Rev'!K134),ABS('Semi Rev'!O134-'Semi Rev'!K134)&gt;=1),('Semi OpInc'!O134-'Semi OpInc'!K134)/('Semi Rev'!O134-'Semi Rev'!K134),""),"")</f>
        <v/>
      </c>
      <c r="L1271" s="37">
        <f>IFERROR(IF(AND(ISNUMBER('Semi OpInc'!P134),ISNUMBER('Semi OpInc'!L134),ISNUMBER('Semi Rev'!P134),ISNUMBER('Semi Rev'!L134),ABS('Semi Rev'!P134-'Semi Rev'!L134)&gt;=1),('Semi OpInc'!P134-'Semi OpInc'!L134)/('Semi Rev'!P134-'Semi Rev'!L134),""),"")</f>
        <v/>
      </c>
      <c r="M1271" s="38">
        <f>IFERROR(IF(AND(ISNUMBER('Semi OpInc'!Q134),ISNUMBER('Semi OpInc'!M134),ISNUMBER('Semi Rev'!Q134),ISNUMBER('Semi Rev'!M134),ABS('Semi Rev'!Q134-'Semi Rev'!M134)&gt;=1),('Semi OpInc'!Q134-'Semi OpInc'!M134)/('Semi Rev'!Q134-'Semi Rev'!M134),""),"")</f>
        <v/>
      </c>
      <c r="N1271" s="38">
        <f>IFERROR(IF(AND(ISNUMBER('Semi OpInc'!R134),ISNUMBER('Semi OpInc'!N134),ISNUMBER('Semi Rev'!R134),ISNUMBER('Semi Rev'!N134),ABS('Semi Rev'!R134-'Semi Rev'!N134)&gt;=1),('Semi OpInc'!R134-'Semi OpInc'!N134)/('Semi Rev'!R134-'Semi Rev'!N134),""),"")</f>
        <v/>
      </c>
    </row>
    <row r="1272">
      <c r="A1272" s="19">
        <f>'Semi Rev'!$A135</f>
        <v/>
      </c>
      <c r="B1272" s="19">
        <f>'Semi Rev'!$B135</f>
        <v/>
      </c>
      <c r="C1272" s="37">
        <f>IFERROR(IF(AND(ISNUMBER('Semi OpInc'!G135),ISNUMBER('Semi OpInc'!C135),ISNUMBER('Semi Rev'!G135),ISNUMBER('Semi Rev'!C135),ABS('Semi Rev'!G135-'Semi Rev'!C135)&gt;=1),('Semi OpInc'!G135-'Semi OpInc'!C135)/('Semi Rev'!G135-'Semi Rev'!C135),""),"")</f>
        <v/>
      </c>
      <c r="D1272" s="37">
        <f>IFERROR(IF(AND(ISNUMBER('Semi OpInc'!H135),ISNUMBER('Semi OpInc'!D135),ISNUMBER('Semi Rev'!H135),ISNUMBER('Semi Rev'!D135),ABS('Semi Rev'!H135-'Semi Rev'!D135)&gt;=1),('Semi OpInc'!H135-'Semi OpInc'!D135)/('Semi Rev'!H135-'Semi Rev'!D135),""),"")</f>
        <v/>
      </c>
      <c r="E1272" s="37">
        <f>IFERROR(IF(AND(ISNUMBER('Semi OpInc'!I135),ISNUMBER('Semi OpInc'!E135),ISNUMBER('Semi Rev'!I135),ISNUMBER('Semi Rev'!E135),ABS('Semi Rev'!I135-'Semi Rev'!E135)&gt;=1),('Semi OpInc'!I135-'Semi OpInc'!E135)/('Semi Rev'!I135-'Semi Rev'!E135),""),"")</f>
        <v/>
      </c>
      <c r="F1272" s="37">
        <f>IFERROR(IF(AND(ISNUMBER('Semi OpInc'!J135),ISNUMBER('Semi OpInc'!F135),ISNUMBER('Semi Rev'!J135),ISNUMBER('Semi Rev'!F135),ABS('Semi Rev'!J135-'Semi Rev'!F135)&gt;=1),('Semi OpInc'!J135-'Semi OpInc'!F135)/('Semi Rev'!J135-'Semi Rev'!F135),""),"")</f>
        <v/>
      </c>
      <c r="G1272" s="37">
        <f>IFERROR(IF(AND(ISNUMBER('Semi OpInc'!K135),ISNUMBER('Semi OpInc'!G135),ISNUMBER('Semi Rev'!K135),ISNUMBER('Semi Rev'!G135),ABS('Semi Rev'!K135-'Semi Rev'!G135)&gt;=1),('Semi OpInc'!K135-'Semi OpInc'!G135)/('Semi Rev'!K135-'Semi Rev'!G135),""),"")</f>
        <v/>
      </c>
      <c r="H1272" s="37">
        <f>IFERROR(IF(AND(ISNUMBER('Semi OpInc'!L135),ISNUMBER('Semi OpInc'!H135),ISNUMBER('Semi Rev'!L135),ISNUMBER('Semi Rev'!H135),ABS('Semi Rev'!L135-'Semi Rev'!H135)&gt;=1),('Semi OpInc'!L135-'Semi OpInc'!H135)/('Semi Rev'!L135-'Semi Rev'!H135),""),"")</f>
        <v/>
      </c>
      <c r="I1272" s="37">
        <f>IFERROR(IF(AND(ISNUMBER('Semi OpInc'!M135),ISNUMBER('Semi OpInc'!I135),ISNUMBER('Semi Rev'!M135),ISNUMBER('Semi Rev'!I135),ABS('Semi Rev'!M135-'Semi Rev'!I135)&gt;=1),('Semi OpInc'!M135-'Semi OpInc'!I135)/('Semi Rev'!M135-'Semi Rev'!I135),""),"")</f>
        <v/>
      </c>
      <c r="J1272" s="37">
        <f>IFERROR(IF(AND(ISNUMBER('Semi OpInc'!N135),ISNUMBER('Semi OpInc'!J135),ISNUMBER('Semi Rev'!N135),ISNUMBER('Semi Rev'!J135),ABS('Semi Rev'!N135-'Semi Rev'!J135)&gt;=1),('Semi OpInc'!N135-'Semi OpInc'!J135)/('Semi Rev'!N135-'Semi Rev'!J135),""),"")</f>
        <v/>
      </c>
      <c r="K1272" s="37">
        <f>IFERROR(IF(AND(ISNUMBER('Semi OpInc'!O135),ISNUMBER('Semi OpInc'!K135),ISNUMBER('Semi Rev'!O135),ISNUMBER('Semi Rev'!K135),ABS('Semi Rev'!O135-'Semi Rev'!K135)&gt;=1),('Semi OpInc'!O135-'Semi OpInc'!K135)/('Semi Rev'!O135-'Semi Rev'!K135),""),"")</f>
        <v/>
      </c>
      <c r="L1272" s="37">
        <f>IFERROR(IF(AND(ISNUMBER('Semi OpInc'!P135),ISNUMBER('Semi OpInc'!L135),ISNUMBER('Semi Rev'!P135),ISNUMBER('Semi Rev'!L135),ABS('Semi Rev'!P135-'Semi Rev'!L135)&gt;=1),('Semi OpInc'!P135-'Semi OpInc'!L135)/('Semi Rev'!P135-'Semi Rev'!L135),""),"")</f>
        <v/>
      </c>
      <c r="M1272" s="38">
        <f>IFERROR(IF(AND(ISNUMBER('Semi OpInc'!Q135),ISNUMBER('Semi OpInc'!M135),ISNUMBER('Semi Rev'!Q135),ISNUMBER('Semi Rev'!M135),ABS('Semi Rev'!Q135-'Semi Rev'!M135)&gt;=1),('Semi OpInc'!Q135-'Semi OpInc'!M135)/('Semi Rev'!Q135-'Semi Rev'!M135),""),"")</f>
        <v/>
      </c>
      <c r="N1272" s="38">
        <f>IFERROR(IF(AND(ISNUMBER('Semi OpInc'!R135),ISNUMBER('Semi OpInc'!N135),ISNUMBER('Semi Rev'!R135),ISNUMBER('Semi Rev'!N135),ABS('Semi Rev'!R135-'Semi Rev'!N135)&gt;=1),('Semi OpInc'!R135-'Semi OpInc'!N135)/('Semi Rev'!R135-'Semi Rev'!N135),""),"")</f>
        <v/>
      </c>
    </row>
    <row r="1273">
      <c r="A1273" s="19">
        <f>'Semi Rev'!$A136</f>
        <v/>
      </c>
      <c r="B1273" s="19">
        <f>'Semi Rev'!$B136</f>
        <v/>
      </c>
      <c r="C1273" s="37">
        <f>IFERROR(IF(AND(ISNUMBER('Semi OpInc'!G136),ISNUMBER('Semi OpInc'!C136),ISNUMBER('Semi Rev'!G136),ISNUMBER('Semi Rev'!C136),ABS('Semi Rev'!G136-'Semi Rev'!C136)&gt;=1),('Semi OpInc'!G136-'Semi OpInc'!C136)/('Semi Rev'!G136-'Semi Rev'!C136),""),"")</f>
        <v/>
      </c>
      <c r="D1273" s="37">
        <f>IFERROR(IF(AND(ISNUMBER('Semi OpInc'!H136),ISNUMBER('Semi OpInc'!D136),ISNUMBER('Semi Rev'!H136),ISNUMBER('Semi Rev'!D136),ABS('Semi Rev'!H136-'Semi Rev'!D136)&gt;=1),('Semi OpInc'!H136-'Semi OpInc'!D136)/('Semi Rev'!H136-'Semi Rev'!D136),""),"")</f>
        <v/>
      </c>
      <c r="E1273" s="37">
        <f>IFERROR(IF(AND(ISNUMBER('Semi OpInc'!I136),ISNUMBER('Semi OpInc'!E136),ISNUMBER('Semi Rev'!I136),ISNUMBER('Semi Rev'!E136),ABS('Semi Rev'!I136-'Semi Rev'!E136)&gt;=1),('Semi OpInc'!I136-'Semi OpInc'!E136)/('Semi Rev'!I136-'Semi Rev'!E136),""),"")</f>
        <v/>
      </c>
      <c r="F1273" s="37">
        <f>IFERROR(IF(AND(ISNUMBER('Semi OpInc'!J136),ISNUMBER('Semi OpInc'!F136),ISNUMBER('Semi Rev'!J136),ISNUMBER('Semi Rev'!F136),ABS('Semi Rev'!J136-'Semi Rev'!F136)&gt;=1),('Semi OpInc'!J136-'Semi OpInc'!F136)/('Semi Rev'!J136-'Semi Rev'!F136),""),"")</f>
        <v/>
      </c>
      <c r="G1273" s="37">
        <f>IFERROR(IF(AND(ISNUMBER('Semi OpInc'!K136),ISNUMBER('Semi OpInc'!G136),ISNUMBER('Semi Rev'!K136),ISNUMBER('Semi Rev'!G136),ABS('Semi Rev'!K136-'Semi Rev'!G136)&gt;=1),('Semi OpInc'!K136-'Semi OpInc'!G136)/('Semi Rev'!K136-'Semi Rev'!G136),""),"")</f>
        <v/>
      </c>
      <c r="H1273" s="37">
        <f>IFERROR(IF(AND(ISNUMBER('Semi OpInc'!L136),ISNUMBER('Semi OpInc'!H136),ISNUMBER('Semi Rev'!L136),ISNUMBER('Semi Rev'!H136),ABS('Semi Rev'!L136-'Semi Rev'!H136)&gt;=1),('Semi OpInc'!L136-'Semi OpInc'!H136)/('Semi Rev'!L136-'Semi Rev'!H136),""),"")</f>
        <v/>
      </c>
      <c r="I1273" s="37">
        <f>IFERROR(IF(AND(ISNUMBER('Semi OpInc'!M136),ISNUMBER('Semi OpInc'!I136),ISNUMBER('Semi Rev'!M136),ISNUMBER('Semi Rev'!I136),ABS('Semi Rev'!M136-'Semi Rev'!I136)&gt;=1),('Semi OpInc'!M136-'Semi OpInc'!I136)/('Semi Rev'!M136-'Semi Rev'!I136),""),"")</f>
        <v/>
      </c>
      <c r="J1273" s="37">
        <f>IFERROR(IF(AND(ISNUMBER('Semi OpInc'!N136),ISNUMBER('Semi OpInc'!J136),ISNUMBER('Semi Rev'!N136),ISNUMBER('Semi Rev'!J136),ABS('Semi Rev'!N136-'Semi Rev'!J136)&gt;=1),('Semi OpInc'!N136-'Semi OpInc'!J136)/('Semi Rev'!N136-'Semi Rev'!J136),""),"")</f>
        <v/>
      </c>
      <c r="K1273" s="37">
        <f>IFERROR(IF(AND(ISNUMBER('Semi OpInc'!O136),ISNUMBER('Semi OpInc'!K136),ISNUMBER('Semi Rev'!O136),ISNUMBER('Semi Rev'!K136),ABS('Semi Rev'!O136-'Semi Rev'!K136)&gt;=1),('Semi OpInc'!O136-'Semi OpInc'!K136)/('Semi Rev'!O136-'Semi Rev'!K136),""),"")</f>
        <v/>
      </c>
      <c r="L1273" s="37">
        <f>IFERROR(IF(AND(ISNUMBER('Semi OpInc'!P136),ISNUMBER('Semi OpInc'!L136),ISNUMBER('Semi Rev'!P136),ISNUMBER('Semi Rev'!L136),ABS('Semi Rev'!P136-'Semi Rev'!L136)&gt;=1),('Semi OpInc'!P136-'Semi OpInc'!L136)/('Semi Rev'!P136-'Semi Rev'!L136),""),"")</f>
        <v/>
      </c>
      <c r="M1273" s="38">
        <f>IFERROR(IF(AND(ISNUMBER('Semi OpInc'!Q136),ISNUMBER('Semi OpInc'!M136),ISNUMBER('Semi Rev'!Q136),ISNUMBER('Semi Rev'!M136),ABS('Semi Rev'!Q136-'Semi Rev'!M136)&gt;=1),('Semi OpInc'!Q136-'Semi OpInc'!M136)/('Semi Rev'!Q136-'Semi Rev'!M136),""),"")</f>
        <v/>
      </c>
      <c r="N1273" s="38">
        <f>IFERROR(IF(AND(ISNUMBER('Semi OpInc'!R136),ISNUMBER('Semi OpInc'!N136),ISNUMBER('Semi Rev'!R136),ISNUMBER('Semi Rev'!N136),ABS('Semi Rev'!R136-'Semi Rev'!N136)&gt;=1),('Semi OpInc'!R136-'Semi OpInc'!N136)/('Semi Rev'!R136-'Semi Rev'!N136),""),"")</f>
        <v/>
      </c>
    </row>
    <row r="1274">
      <c r="A1274" s="19">
        <f>'Semi Rev'!$A137</f>
        <v/>
      </c>
      <c r="B1274" s="19">
        <f>'Semi Rev'!$B137</f>
        <v/>
      </c>
      <c r="C1274" s="37">
        <f>IFERROR(IF(AND(ISNUMBER('Semi OpInc'!G137),ISNUMBER('Semi OpInc'!C137),ISNUMBER('Semi Rev'!G137),ISNUMBER('Semi Rev'!C137),ABS('Semi Rev'!G137-'Semi Rev'!C137)&gt;=1),('Semi OpInc'!G137-'Semi OpInc'!C137)/('Semi Rev'!G137-'Semi Rev'!C137),""),"")</f>
        <v/>
      </c>
      <c r="D1274" s="37">
        <f>IFERROR(IF(AND(ISNUMBER('Semi OpInc'!H137),ISNUMBER('Semi OpInc'!D137),ISNUMBER('Semi Rev'!H137),ISNUMBER('Semi Rev'!D137),ABS('Semi Rev'!H137-'Semi Rev'!D137)&gt;=1),('Semi OpInc'!H137-'Semi OpInc'!D137)/('Semi Rev'!H137-'Semi Rev'!D137),""),"")</f>
        <v/>
      </c>
      <c r="E1274" s="37">
        <f>IFERROR(IF(AND(ISNUMBER('Semi OpInc'!I137),ISNUMBER('Semi OpInc'!E137),ISNUMBER('Semi Rev'!I137),ISNUMBER('Semi Rev'!E137),ABS('Semi Rev'!I137-'Semi Rev'!E137)&gt;=1),('Semi OpInc'!I137-'Semi OpInc'!E137)/('Semi Rev'!I137-'Semi Rev'!E137),""),"")</f>
        <v/>
      </c>
      <c r="F1274" s="37">
        <f>IFERROR(IF(AND(ISNUMBER('Semi OpInc'!J137),ISNUMBER('Semi OpInc'!F137),ISNUMBER('Semi Rev'!J137),ISNUMBER('Semi Rev'!F137),ABS('Semi Rev'!J137-'Semi Rev'!F137)&gt;=1),('Semi OpInc'!J137-'Semi OpInc'!F137)/('Semi Rev'!J137-'Semi Rev'!F137),""),"")</f>
        <v/>
      </c>
      <c r="G1274" s="37">
        <f>IFERROR(IF(AND(ISNUMBER('Semi OpInc'!K137),ISNUMBER('Semi OpInc'!G137),ISNUMBER('Semi Rev'!K137),ISNUMBER('Semi Rev'!G137),ABS('Semi Rev'!K137-'Semi Rev'!G137)&gt;=1),('Semi OpInc'!K137-'Semi OpInc'!G137)/('Semi Rev'!K137-'Semi Rev'!G137),""),"")</f>
        <v/>
      </c>
      <c r="H1274" s="37">
        <f>IFERROR(IF(AND(ISNUMBER('Semi OpInc'!L137),ISNUMBER('Semi OpInc'!H137),ISNUMBER('Semi Rev'!L137),ISNUMBER('Semi Rev'!H137),ABS('Semi Rev'!L137-'Semi Rev'!H137)&gt;=1),('Semi OpInc'!L137-'Semi OpInc'!H137)/('Semi Rev'!L137-'Semi Rev'!H137),""),"")</f>
        <v/>
      </c>
      <c r="I1274" s="37">
        <f>IFERROR(IF(AND(ISNUMBER('Semi OpInc'!M137),ISNUMBER('Semi OpInc'!I137),ISNUMBER('Semi Rev'!M137),ISNUMBER('Semi Rev'!I137),ABS('Semi Rev'!M137-'Semi Rev'!I137)&gt;=1),('Semi OpInc'!M137-'Semi OpInc'!I137)/('Semi Rev'!M137-'Semi Rev'!I137),""),"")</f>
        <v/>
      </c>
      <c r="J1274" s="37">
        <f>IFERROR(IF(AND(ISNUMBER('Semi OpInc'!N137),ISNUMBER('Semi OpInc'!J137),ISNUMBER('Semi Rev'!N137),ISNUMBER('Semi Rev'!J137),ABS('Semi Rev'!N137-'Semi Rev'!J137)&gt;=1),('Semi OpInc'!N137-'Semi OpInc'!J137)/('Semi Rev'!N137-'Semi Rev'!J137),""),"")</f>
        <v/>
      </c>
      <c r="K1274" s="37">
        <f>IFERROR(IF(AND(ISNUMBER('Semi OpInc'!O137),ISNUMBER('Semi OpInc'!K137),ISNUMBER('Semi Rev'!O137),ISNUMBER('Semi Rev'!K137),ABS('Semi Rev'!O137-'Semi Rev'!K137)&gt;=1),('Semi OpInc'!O137-'Semi OpInc'!K137)/('Semi Rev'!O137-'Semi Rev'!K137),""),"")</f>
        <v/>
      </c>
      <c r="L1274" s="37">
        <f>IFERROR(IF(AND(ISNUMBER('Semi OpInc'!P137),ISNUMBER('Semi OpInc'!L137),ISNUMBER('Semi Rev'!P137),ISNUMBER('Semi Rev'!L137),ABS('Semi Rev'!P137-'Semi Rev'!L137)&gt;=1),('Semi OpInc'!P137-'Semi OpInc'!L137)/('Semi Rev'!P137-'Semi Rev'!L137),""),"")</f>
        <v/>
      </c>
      <c r="M1274" s="38">
        <f>IFERROR(IF(AND(ISNUMBER('Semi OpInc'!Q137),ISNUMBER('Semi OpInc'!M137),ISNUMBER('Semi Rev'!Q137),ISNUMBER('Semi Rev'!M137),ABS('Semi Rev'!Q137-'Semi Rev'!M137)&gt;=1),('Semi OpInc'!Q137-'Semi OpInc'!M137)/('Semi Rev'!Q137-'Semi Rev'!M137),""),"")</f>
        <v/>
      </c>
      <c r="N1274" s="38">
        <f>IFERROR(IF(AND(ISNUMBER('Semi OpInc'!R137),ISNUMBER('Semi OpInc'!N137),ISNUMBER('Semi Rev'!R137),ISNUMBER('Semi Rev'!N137),ABS('Semi Rev'!R137-'Semi Rev'!N137)&gt;=1),('Semi OpInc'!R137-'Semi OpInc'!N137)/('Semi Rev'!R137-'Semi Rev'!N137),""),"")</f>
        <v/>
      </c>
    </row>
    <row r="1275">
      <c r="A1275" s="19">
        <f>'Semi Rev'!$A138</f>
        <v/>
      </c>
      <c r="B1275" s="19">
        <f>'Semi Rev'!$B138</f>
        <v/>
      </c>
      <c r="C1275" s="37">
        <f>IFERROR(IF(AND(ISNUMBER('Semi OpInc'!G138),ISNUMBER('Semi OpInc'!C138),ISNUMBER('Semi Rev'!G138),ISNUMBER('Semi Rev'!C138),ABS('Semi Rev'!G138-'Semi Rev'!C138)&gt;=1),('Semi OpInc'!G138-'Semi OpInc'!C138)/('Semi Rev'!G138-'Semi Rev'!C138),""),"")</f>
        <v/>
      </c>
      <c r="D1275" s="37">
        <f>IFERROR(IF(AND(ISNUMBER('Semi OpInc'!H138),ISNUMBER('Semi OpInc'!D138),ISNUMBER('Semi Rev'!H138),ISNUMBER('Semi Rev'!D138),ABS('Semi Rev'!H138-'Semi Rev'!D138)&gt;=1),('Semi OpInc'!H138-'Semi OpInc'!D138)/('Semi Rev'!H138-'Semi Rev'!D138),""),"")</f>
        <v/>
      </c>
      <c r="E1275" s="37">
        <f>IFERROR(IF(AND(ISNUMBER('Semi OpInc'!I138),ISNUMBER('Semi OpInc'!E138),ISNUMBER('Semi Rev'!I138),ISNUMBER('Semi Rev'!E138),ABS('Semi Rev'!I138-'Semi Rev'!E138)&gt;=1),('Semi OpInc'!I138-'Semi OpInc'!E138)/('Semi Rev'!I138-'Semi Rev'!E138),""),"")</f>
        <v/>
      </c>
      <c r="F1275" s="37">
        <f>IFERROR(IF(AND(ISNUMBER('Semi OpInc'!J138),ISNUMBER('Semi OpInc'!F138),ISNUMBER('Semi Rev'!J138),ISNUMBER('Semi Rev'!F138),ABS('Semi Rev'!J138-'Semi Rev'!F138)&gt;=1),('Semi OpInc'!J138-'Semi OpInc'!F138)/('Semi Rev'!J138-'Semi Rev'!F138),""),"")</f>
        <v/>
      </c>
      <c r="G1275" s="37">
        <f>IFERROR(IF(AND(ISNUMBER('Semi OpInc'!K138),ISNUMBER('Semi OpInc'!G138),ISNUMBER('Semi Rev'!K138),ISNUMBER('Semi Rev'!G138),ABS('Semi Rev'!K138-'Semi Rev'!G138)&gt;=1),('Semi OpInc'!K138-'Semi OpInc'!G138)/('Semi Rev'!K138-'Semi Rev'!G138),""),"")</f>
        <v/>
      </c>
      <c r="H1275" s="37">
        <f>IFERROR(IF(AND(ISNUMBER('Semi OpInc'!L138),ISNUMBER('Semi OpInc'!H138),ISNUMBER('Semi Rev'!L138),ISNUMBER('Semi Rev'!H138),ABS('Semi Rev'!L138-'Semi Rev'!H138)&gt;=1),('Semi OpInc'!L138-'Semi OpInc'!H138)/('Semi Rev'!L138-'Semi Rev'!H138),""),"")</f>
        <v/>
      </c>
      <c r="I1275" s="37">
        <f>IFERROR(IF(AND(ISNUMBER('Semi OpInc'!M138),ISNUMBER('Semi OpInc'!I138),ISNUMBER('Semi Rev'!M138),ISNUMBER('Semi Rev'!I138),ABS('Semi Rev'!M138-'Semi Rev'!I138)&gt;=1),('Semi OpInc'!M138-'Semi OpInc'!I138)/('Semi Rev'!M138-'Semi Rev'!I138),""),"")</f>
        <v/>
      </c>
      <c r="J1275" s="37">
        <f>IFERROR(IF(AND(ISNUMBER('Semi OpInc'!N138),ISNUMBER('Semi OpInc'!J138),ISNUMBER('Semi Rev'!N138),ISNUMBER('Semi Rev'!J138),ABS('Semi Rev'!N138-'Semi Rev'!J138)&gt;=1),('Semi OpInc'!N138-'Semi OpInc'!J138)/('Semi Rev'!N138-'Semi Rev'!J138),""),"")</f>
        <v/>
      </c>
      <c r="K1275" s="37">
        <f>IFERROR(IF(AND(ISNUMBER('Semi OpInc'!O138),ISNUMBER('Semi OpInc'!K138),ISNUMBER('Semi Rev'!O138),ISNUMBER('Semi Rev'!K138),ABS('Semi Rev'!O138-'Semi Rev'!K138)&gt;=1),('Semi OpInc'!O138-'Semi OpInc'!K138)/('Semi Rev'!O138-'Semi Rev'!K138),""),"")</f>
        <v/>
      </c>
      <c r="L1275" s="37">
        <f>IFERROR(IF(AND(ISNUMBER('Semi OpInc'!P138),ISNUMBER('Semi OpInc'!L138),ISNUMBER('Semi Rev'!P138),ISNUMBER('Semi Rev'!L138),ABS('Semi Rev'!P138-'Semi Rev'!L138)&gt;=1),('Semi OpInc'!P138-'Semi OpInc'!L138)/('Semi Rev'!P138-'Semi Rev'!L138),""),"")</f>
        <v/>
      </c>
      <c r="M1275" s="38">
        <f>IFERROR(IF(AND(ISNUMBER('Semi OpInc'!Q138),ISNUMBER('Semi OpInc'!M138),ISNUMBER('Semi Rev'!Q138),ISNUMBER('Semi Rev'!M138),ABS('Semi Rev'!Q138-'Semi Rev'!M138)&gt;=1),('Semi OpInc'!Q138-'Semi OpInc'!M138)/('Semi Rev'!Q138-'Semi Rev'!M138),""),"")</f>
        <v/>
      </c>
      <c r="N1275" s="38">
        <f>IFERROR(IF(AND(ISNUMBER('Semi OpInc'!R138),ISNUMBER('Semi OpInc'!N138),ISNUMBER('Semi Rev'!R138),ISNUMBER('Semi Rev'!N138),ABS('Semi Rev'!R138-'Semi Rev'!N138)&gt;=1),('Semi OpInc'!R138-'Semi OpInc'!N138)/('Semi Rev'!R138-'Semi Rev'!N138),""),"")</f>
        <v/>
      </c>
    </row>
    <row r="1276">
      <c r="A1276" s="19">
        <f>'Semi Rev'!$A139</f>
        <v/>
      </c>
      <c r="B1276" s="19">
        <f>'Semi Rev'!$B139</f>
        <v/>
      </c>
      <c r="C1276" s="37">
        <f>IFERROR(IF(AND(ISNUMBER('Semi OpInc'!G139),ISNUMBER('Semi OpInc'!C139),ISNUMBER('Semi Rev'!G139),ISNUMBER('Semi Rev'!C139),ABS('Semi Rev'!G139-'Semi Rev'!C139)&gt;=1),('Semi OpInc'!G139-'Semi OpInc'!C139)/('Semi Rev'!G139-'Semi Rev'!C139),""),"")</f>
        <v/>
      </c>
      <c r="D1276" s="37">
        <f>IFERROR(IF(AND(ISNUMBER('Semi OpInc'!H139),ISNUMBER('Semi OpInc'!D139),ISNUMBER('Semi Rev'!H139),ISNUMBER('Semi Rev'!D139),ABS('Semi Rev'!H139-'Semi Rev'!D139)&gt;=1),('Semi OpInc'!H139-'Semi OpInc'!D139)/('Semi Rev'!H139-'Semi Rev'!D139),""),"")</f>
        <v/>
      </c>
      <c r="E1276" s="37">
        <f>IFERROR(IF(AND(ISNUMBER('Semi OpInc'!I139),ISNUMBER('Semi OpInc'!E139),ISNUMBER('Semi Rev'!I139),ISNUMBER('Semi Rev'!E139),ABS('Semi Rev'!I139-'Semi Rev'!E139)&gt;=1),('Semi OpInc'!I139-'Semi OpInc'!E139)/('Semi Rev'!I139-'Semi Rev'!E139),""),"")</f>
        <v/>
      </c>
      <c r="F1276" s="37">
        <f>IFERROR(IF(AND(ISNUMBER('Semi OpInc'!J139),ISNUMBER('Semi OpInc'!F139),ISNUMBER('Semi Rev'!J139),ISNUMBER('Semi Rev'!F139),ABS('Semi Rev'!J139-'Semi Rev'!F139)&gt;=1),('Semi OpInc'!J139-'Semi OpInc'!F139)/('Semi Rev'!J139-'Semi Rev'!F139),""),"")</f>
        <v/>
      </c>
      <c r="G1276" s="37">
        <f>IFERROR(IF(AND(ISNUMBER('Semi OpInc'!K139),ISNUMBER('Semi OpInc'!G139),ISNUMBER('Semi Rev'!K139),ISNUMBER('Semi Rev'!G139),ABS('Semi Rev'!K139-'Semi Rev'!G139)&gt;=1),('Semi OpInc'!K139-'Semi OpInc'!G139)/('Semi Rev'!K139-'Semi Rev'!G139),""),"")</f>
        <v/>
      </c>
      <c r="H1276" s="37">
        <f>IFERROR(IF(AND(ISNUMBER('Semi OpInc'!L139),ISNUMBER('Semi OpInc'!H139),ISNUMBER('Semi Rev'!L139),ISNUMBER('Semi Rev'!H139),ABS('Semi Rev'!L139-'Semi Rev'!H139)&gt;=1),('Semi OpInc'!L139-'Semi OpInc'!H139)/('Semi Rev'!L139-'Semi Rev'!H139),""),"")</f>
        <v/>
      </c>
      <c r="I1276" s="37">
        <f>IFERROR(IF(AND(ISNUMBER('Semi OpInc'!M139),ISNUMBER('Semi OpInc'!I139),ISNUMBER('Semi Rev'!M139),ISNUMBER('Semi Rev'!I139),ABS('Semi Rev'!M139-'Semi Rev'!I139)&gt;=1),('Semi OpInc'!M139-'Semi OpInc'!I139)/('Semi Rev'!M139-'Semi Rev'!I139),""),"")</f>
        <v/>
      </c>
      <c r="J1276" s="37">
        <f>IFERROR(IF(AND(ISNUMBER('Semi OpInc'!N139),ISNUMBER('Semi OpInc'!J139),ISNUMBER('Semi Rev'!N139),ISNUMBER('Semi Rev'!J139),ABS('Semi Rev'!N139-'Semi Rev'!J139)&gt;=1),('Semi OpInc'!N139-'Semi OpInc'!J139)/('Semi Rev'!N139-'Semi Rev'!J139),""),"")</f>
        <v/>
      </c>
      <c r="K1276" s="37">
        <f>IFERROR(IF(AND(ISNUMBER('Semi OpInc'!O139),ISNUMBER('Semi OpInc'!K139),ISNUMBER('Semi Rev'!O139),ISNUMBER('Semi Rev'!K139),ABS('Semi Rev'!O139-'Semi Rev'!K139)&gt;=1),('Semi OpInc'!O139-'Semi OpInc'!K139)/('Semi Rev'!O139-'Semi Rev'!K139),""),"")</f>
        <v/>
      </c>
      <c r="L1276" s="37">
        <f>IFERROR(IF(AND(ISNUMBER('Semi OpInc'!P139),ISNUMBER('Semi OpInc'!L139),ISNUMBER('Semi Rev'!P139),ISNUMBER('Semi Rev'!L139),ABS('Semi Rev'!P139-'Semi Rev'!L139)&gt;=1),('Semi OpInc'!P139-'Semi OpInc'!L139)/('Semi Rev'!P139-'Semi Rev'!L139),""),"")</f>
        <v/>
      </c>
      <c r="M1276" s="38">
        <f>IFERROR(IF(AND(ISNUMBER('Semi OpInc'!Q139),ISNUMBER('Semi OpInc'!M139),ISNUMBER('Semi Rev'!Q139),ISNUMBER('Semi Rev'!M139),ABS('Semi Rev'!Q139-'Semi Rev'!M139)&gt;=1),('Semi OpInc'!Q139-'Semi OpInc'!M139)/('Semi Rev'!Q139-'Semi Rev'!M139),""),"")</f>
        <v/>
      </c>
      <c r="N1276" s="38">
        <f>IFERROR(IF(AND(ISNUMBER('Semi OpInc'!R139),ISNUMBER('Semi OpInc'!N139),ISNUMBER('Semi Rev'!R139),ISNUMBER('Semi Rev'!N139),ABS('Semi Rev'!R139-'Semi Rev'!N139)&gt;=1),('Semi OpInc'!R139-'Semi OpInc'!N139)/('Semi Rev'!R139-'Semi Rev'!N139),""),"")</f>
        <v/>
      </c>
    </row>
    <row r="1277">
      <c r="A1277" s="19">
        <f>'Semi Rev'!$A140</f>
        <v/>
      </c>
      <c r="B1277" s="19">
        <f>'Semi Rev'!$B140</f>
        <v/>
      </c>
      <c r="C1277" s="37">
        <f>IFERROR(IF(AND(ISNUMBER('Semi OpInc'!G140),ISNUMBER('Semi OpInc'!C140),ISNUMBER('Semi Rev'!G140),ISNUMBER('Semi Rev'!C140),ABS('Semi Rev'!G140-'Semi Rev'!C140)&gt;=1),('Semi OpInc'!G140-'Semi OpInc'!C140)/('Semi Rev'!G140-'Semi Rev'!C140),""),"")</f>
        <v/>
      </c>
      <c r="D1277" s="37">
        <f>IFERROR(IF(AND(ISNUMBER('Semi OpInc'!H140),ISNUMBER('Semi OpInc'!D140),ISNUMBER('Semi Rev'!H140),ISNUMBER('Semi Rev'!D140),ABS('Semi Rev'!H140-'Semi Rev'!D140)&gt;=1),('Semi OpInc'!H140-'Semi OpInc'!D140)/('Semi Rev'!H140-'Semi Rev'!D140),""),"")</f>
        <v/>
      </c>
      <c r="E1277" s="37">
        <f>IFERROR(IF(AND(ISNUMBER('Semi OpInc'!I140),ISNUMBER('Semi OpInc'!E140),ISNUMBER('Semi Rev'!I140),ISNUMBER('Semi Rev'!E140),ABS('Semi Rev'!I140-'Semi Rev'!E140)&gt;=1),('Semi OpInc'!I140-'Semi OpInc'!E140)/('Semi Rev'!I140-'Semi Rev'!E140),""),"")</f>
        <v/>
      </c>
      <c r="F1277" s="37">
        <f>IFERROR(IF(AND(ISNUMBER('Semi OpInc'!J140),ISNUMBER('Semi OpInc'!F140),ISNUMBER('Semi Rev'!J140),ISNUMBER('Semi Rev'!F140),ABS('Semi Rev'!J140-'Semi Rev'!F140)&gt;=1),('Semi OpInc'!J140-'Semi OpInc'!F140)/('Semi Rev'!J140-'Semi Rev'!F140),""),"")</f>
        <v/>
      </c>
      <c r="G1277" s="37">
        <f>IFERROR(IF(AND(ISNUMBER('Semi OpInc'!K140),ISNUMBER('Semi OpInc'!G140),ISNUMBER('Semi Rev'!K140),ISNUMBER('Semi Rev'!G140),ABS('Semi Rev'!K140-'Semi Rev'!G140)&gt;=1),('Semi OpInc'!K140-'Semi OpInc'!G140)/('Semi Rev'!K140-'Semi Rev'!G140),""),"")</f>
        <v/>
      </c>
      <c r="H1277" s="37">
        <f>IFERROR(IF(AND(ISNUMBER('Semi OpInc'!L140),ISNUMBER('Semi OpInc'!H140),ISNUMBER('Semi Rev'!L140),ISNUMBER('Semi Rev'!H140),ABS('Semi Rev'!L140-'Semi Rev'!H140)&gt;=1),('Semi OpInc'!L140-'Semi OpInc'!H140)/('Semi Rev'!L140-'Semi Rev'!H140),""),"")</f>
        <v/>
      </c>
      <c r="I1277" s="37">
        <f>IFERROR(IF(AND(ISNUMBER('Semi OpInc'!M140),ISNUMBER('Semi OpInc'!I140),ISNUMBER('Semi Rev'!M140),ISNUMBER('Semi Rev'!I140),ABS('Semi Rev'!M140-'Semi Rev'!I140)&gt;=1),('Semi OpInc'!M140-'Semi OpInc'!I140)/('Semi Rev'!M140-'Semi Rev'!I140),""),"")</f>
        <v/>
      </c>
      <c r="J1277" s="37">
        <f>IFERROR(IF(AND(ISNUMBER('Semi OpInc'!N140),ISNUMBER('Semi OpInc'!J140),ISNUMBER('Semi Rev'!N140),ISNUMBER('Semi Rev'!J140),ABS('Semi Rev'!N140-'Semi Rev'!J140)&gt;=1),('Semi OpInc'!N140-'Semi OpInc'!J140)/('Semi Rev'!N140-'Semi Rev'!J140),""),"")</f>
        <v/>
      </c>
      <c r="K1277" s="37">
        <f>IFERROR(IF(AND(ISNUMBER('Semi OpInc'!O140),ISNUMBER('Semi OpInc'!K140),ISNUMBER('Semi Rev'!O140),ISNUMBER('Semi Rev'!K140),ABS('Semi Rev'!O140-'Semi Rev'!K140)&gt;=1),('Semi OpInc'!O140-'Semi OpInc'!K140)/('Semi Rev'!O140-'Semi Rev'!K140),""),"")</f>
        <v/>
      </c>
      <c r="L1277" s="37">
        <f>IFERROR(IF(AND(ISNUMBER('Semi OpInc'!P140),ISNUMBER('Semi OpInc'!L140),ISNUMBER('Semi Rev'!P140),ISNUMBER('Semi Rev'!L140),ABS('Semi Rev'!P140-'Semi Rev'!L140)&gt;=1),('Semi OpInc'!P140-'Semi OpInc'!L140)/('Semi Rev'!P140-'Semi Rev'!L140),""),"")</f>
        <v/>
      </c>
      <c r="M1277" s="38">
        <f>IFERROR(IF(AND(ISNUMBER('Semi OpInc'!Q140),ISNUMBER('Semi OpInc'!M140),ISNUMBER('Semi Rev'!Q140),ISNUMBER('Semi Rev'!M140),ABS('Semi Rev'!Q140-'Semi Rev'!M140)&gt;=1),('Semi OpInc'!Q140-'Semi OpInc'!M140)/('Semi Rev'!Q140-'Semi Rev'!M140),""),"")</f>
        <v/>
      </c>
      <c r="N1277" s="38">
        <f>IFERROR(IF(AND(ISNUMBER('Semi OpInc'!R140),ISNUMBER('Semi OpInc'!N140),ISNUMBER('Semi Rev'!R140),ISNUMBER('Semi Rev'!N140),ABS('Semi Rev'!R140-'Semi Rev'!N140)&gt;=1),('Semi OpInc'!R140-'Semi OpInc'!N140)/('Semi Rev'!R140-'Semi Rev'!N140),""),"")</f>
        <v/>
      </c>
    </row>
    <row r="1278">
      <c r="A1278" s="19">
        <f>'Semi Rev'!$A141</f>
        <v/>
      </c>
      <c r="B1278" s="19">
        <f>'Semi Rev'!$B141</f>
        <v/>
      </c>
      <c r="C1278" s="37">
        <f>IFERROR(IF(AND(ISNUMBER('Semi OpInc'!G141),ISNUMBER('Semi OpInc'!C141),ISNUMBER('Semi Rev'!G141),ISNUMBER('Semi Rev'!C141),ABS('Semi Rev'!G141-'Semi Rev'!C141)&gt;=1),('Semi OpInc'!G141-'Semi OpInc'!C141)/('Semi Rev'!G141-'Semi Rev'!C141),""),"")</f>
        <v/>
      </c>
      <c r="D1278" s="37">
        <f>IFERROR(IF(AND(ISNUMBER('Semi OpInc'!H141),ISNUMBER('Semi OpInc'!D141),ISNUMBER('Semi Rev'!H141),ISNUMBER('Semi Rev'!D141),ABS('Semi Rev'!H141-'Semi Rev'!D141)&gt;=1),('Semi OpInc'!H141-'Semi OpInc'!D141)/('Semi Rev'!H141-'Semi Rev'!D141),""),"")</f>
        <v/>
      </c>
      <c r="E1278" s="37">
        <f>IFERROR(IF(AND(ISNUMBER('Semi OpInc'!I141),ISNUMBER('Semi OpInc'!E141),ISNUMBER('Semi Rev'!I141),ISNUMBER('Semi Rev'!E141),ABS('Semi Rev'!I141-'Semi Rev'!E141)&gt;=1),('Semi OpInc'!I141-'Semi OpInc'!E141)/('Semi Rev'!I141-'Semi Rev'!E141),""),"")</f>
        <v/>
      </c>
      <c r="F1278" s="37">
        <f>IFERROR(IF(AND(ISNUMBER('Semi OpInc'!J141),ISNUMBER('Semi OpInc'!F141),ISNUMBER('Semi Rev'!J141),ISNUMBER('Semi Rev'!F141),ABS('Semi Rev'!J141-'Semi Rev'!F141)&gt;=1),('Semi OpInc'!J141-'Semi OpInc'!F141)/('Semi Rev'!J141-'Semi Rev'!F141),""),"")</f>
        <v/>
      </c>
      <c r="G1278" s="37">
        <f>IFERROR(IF(AND(ISNUMBER('Semi OpInc'!K141),ISNUMBER('Semi OpInc'!G141),ISNUMBER('Semi Rev'!K141),ISNUMBER('Semi Rev'!G141),ABS('Semi Rev'!K141-'Semi Rev'!G141)&gt;=1),('Semi OpInc'!K141-'Semi OpInc'!G141)/('Semi Rev'!K141-'Semi Rev'!G141),""),"")</f>
        <v/>
      </c>
      <c r="H1278" s="37">
        <f>IFERROR(IF(AND(ISNUMBER('Semi OpInc'!L141),ISNUMBER('Semi OpInc'!H141),ISNUMBER('Semi Rev'!L141),ISNUMBER('Semi Rev'!H141),ABS('Semi Rev'!L141-'Semi Rev'!H141)&gt;=1),('Semi OpInc'!L141-'Semi OpInc'!H141)/('Semi Rev'!L141-'Semi Rev'!H141),""),"")</f>
        <v/>
      </c>
      <c r="I1278" s="37">
        <f>IFERROR(IF(AND(ISNUMBER('Semi OpInc'!M141),ISNUMBER('Semi OpInc'!I141),ISNUMBER('Semi Rev'!M141),ISNUMBER('Semi Rev'!I141),ABS('Semi Rev'!M141-'Semi Rev'!I141)&gt;=1),('Semi OpInc'!M141-'Semi OpInc'!I141)/('Semi Rev'!M141-'Semi Rev'!I141),""),"")</f>
        <v/>
      </c>
      <c r="J1278" s="37">
        <f>IFERROR(IF(AND(ISNUMBER('Semi OpInc'!N141),ISNUMBER('Semi OpInc'!J141),ISNUMBER('Semi Rev'!N141),ISNUMBER('Semi Rev'!J141),ABS('Semi Rev'!N141-'Semi Rev'!J141)&gt;=1),('Semi OpInc'!N141-'Semi OpInc'!J141)/('Semi Rev'!N141-'Semi Rev'!J141),""),"")</f>
        <v/>
      </c>
      <c r="K1278" s="37">
        <f>IFERROR(IF(AND(ISNUMBER('Semi OpInc'!O141),ISNUMBER('Semi OpInc'!K141),ISNUMBER('Semi Rev'!O141),ISNUMBER('Semi Rev'!K141),ABS('Semi Rev'!O141-'Semi Rev'!K141)&gt;=1),('Semi OpInc'!O141-'Semi OpInc'!K141)/('Semi Rev'!O141-'Semi Rev'!K141),""),"")</f>
        <v/>
      </c>
      <c r="L1278" s="37">
        <f>IFERROR(IF(AND(ISNUMBER('Semi OpInc'!P141),ISNUMBER('Semi OpInc'!L141),ISNUMBER('Semi Rev'!P141),ISNUMBER('Semi Rev'!L141),ABS('Semi Rev'!P141-'Semi Rev'!L141)&gt;=1),('Semi OpInc'!P141-'Semi OpInc'!L141)/('Semi Rev'!P141-'Semi Rev'!L141),""),"")</f>
        <v/>
      </c>
      <c r="M1278" s="38">
        <f>IFERROR(IF(AND(ISNUMBER('Semi OpInc'!Q141),ISNUMBER('Semi OpInc'!M141),ISNUMBER('Semi Rev'!Q141),ISNUMBER('Semi Rev'!M141),ABS('Semi Rev'!Q141-'Semi Rev'!M141)&gt;=1),('Semi OpInc'!Q141-'Semi OpInc'!M141)/('Semi Rev'!Q141-'Semi Rev'!M141),""),"")</f>
        <v/>
      </c>
      <c r="N1278" s="38">
        <f>IFERROR(IF(AND(ISNUMBER('Semi OpInc'!R141),ISNUMBER('Semi OpInc'!N141),ISNUMBER('Semi Rev'!R141),ISNUMBER('Semi Rev'!N141),ABS('Semi Rev'!R141-'Semi Rev'!N141)&gt;=1),('Semi OpInc'!R141-'Semi OpInc'!N141)/('Semi Rev'!R141-'Semi Rev'!N141),""),"")</f>
        <v/>
      </c>
    </row>
    <row r="1279">
      <c r="A1279" s="19">
        <f>'Semi Rev'!$A142</f>
        <v/>
      </c>
      <c r="B1279" s="19">
        <f>'Semi Rev'!$B142</f>
        <v/>
      </c>
      <c r="C1279" s="37">
        <f>IFERROR(IF(AND(ISNUMBER('Semi OpInc'!G142),ISNUMBER('Semi OpInc'!C142),ISNUMBER('Semi Rev'!G142),ISNUMBER('Semi Rev'!C142),ABS('Semi Rev'!G142-'Semi Rev'!C142)&gt;=1),('Semi OpInc'!G142-'Semi OpInc'!C142)/('Semi Rev'!G142-'Semi Rev'!C142),""),"")</f>
        <v/>
      </c>
      <c r="D1279" s="37">
        <f>IFERROR(IF(AND(ISNUMBER('Semi OpInc'!H142),ISNUMBER('Semi OpInc'!D142),ISNUMBER('Semi Rev'!H142),ISNUMBER('Semi Rev'!D142),ABS('Semi Rev'!H142-'Semi Rev'!D142)&gt;=1),('Semi OpInc'!H142-'Semi OpInc'!D142)/('Semi Rev'!H142-'Semi Rev'!D142),""),"")</f>
        <v/>
      </c>
      <c r="E1279" s="37">
        <f>IFERROR(IF(AND(ISNUMBER('Semi OpInc'!I142),ISNUMBER('Semi OpInc'!E142),ISNUMBER('Semi Rev'!I142),ISNUMBER('Semi Rev'!E142),ABS('Semi Rev'!I142-'Semi Rev'!E142)&gt;=1),('Semi OpInc'!I142-'Semi OpInc'!E142)/('Semi Rev'!I142-'Semi Rev'!E142),""),"")</f>
        <v/>
      </c>
      <c r="F1279" s="37">
        <f>IFERROR(IF(AND(ISNUMBER('Semi OpInc'!J142),ISNUMBER('Semi OpInc'!F142),ISNUMBER('Semi Rev'!J142),ISNUMBER('Semi Rev'!F142),ABS('Semi Rev'!J142-'Semi Rev'!F142)&gt;=1),('Semi OpInc'!J142-'Semi OpInc'!F142)/('Semi Rev'!J142-'Semi Rev'!F142),""),"")</f>
        <v/>
      </c>
      <c r="G1279" s="37">
        <f>IFERROR(IF(AND(ISNUMBER('Semi OpInc'!K142),ISNUMBER('Semi OpInc'!G142),ISNUMBER('Semi Rev'!K142),ISNUMBER('Semi Rev'!G142),ABS('Semi Rev'!K142-'Semi Rev'!G142)&gt;=1),('Semi OpInc'!K142-'Semi OpInc'!G142)/('Semi Rev'!K142-'Semi Rev'!G142),""),"")</f>
        <v/>
      </c>
      <c r="H1279" s="37">
        <f>IFERROR(IF(AND(ISNUMBER('Semi OpInc'!L142),ISNUMBER('Semi OpInc'!H142),ISNUMBER('Semi Rev'!L142),ISNUMBER('Semi Rev'!H142),ABS('Semi Rev'!L142-'Semi Rev'!H142)&gt;=1),('Semi OpInc'!L142-'Semi OpInc'!H142)/('Semi Rev'!L142-'Semi Rev'!H142),""),"")</f>
        <v/>
      </c>
      <c r="I1279" s="37">
        <f>IFERROR(IF(AND(ISNUMBER('Semi OpInc'!M142),ISNUMBER('Semi OpInc'!I142),ISNUMBER('Semi Rev'!M142),ISNUMBER('Semi Rev'!I142),ABS('Semi Rev'!M142-'Semi Rev'!I142)&gt;=1),('Semi OpInc'!M142-'Semi OpInc'!I142)/('Semi Rev'!M142-'Semi Rev'!I142),""),"")</f>
        <v/>
      </c>
      <c r="J1279" s="37">
        <f>IFERROR(IF(AND(ISNUMBER('Semi OpInc'!N142),ISNUMBER('Semi OpInc'!J142),ISNUMBER('Semi Rev'!N142),ISNUMBER('Semi Rev'!J142),ABS('Semi Rev'!N142-'Semi Rev'!J142)&gt;=1),('Semi OpInc'!N142-'Semi OpInc'!J142)/('Semi Rev'!N142-'Semi Rev'!J142),""),"")</f>
        <v/>
      </c>
      <c r="K1279" s="37">
        <f>IFERROR(IF(AND(ISNUMBER('Semi OpInc'!O142),ISNUMBER('Semi OpInc'!K142),ISNUMBER('Semi Rev'!O142),ISNUMBER('Semi Rev'!K142),ABS('Semi Rev'!O142-'Semi Rev'!K142)&gt;=1),('Semi OpInc'!O142-'Semi OpInc'!K142)/('Semi Rev'!O142-'Semi Rev'!K142),""),"")</f>
        <v/>
      </c>
      <c r="L1279" s="37">
        <f>IFERROR(IF(AND(ISNUMBER('Semi OpInc'!P142),ISNUMBER('Semi OpInc'!L142),ISNUMBER('Semi Rev'!P142),ISNUMBER('Semi Rev'!L142),ABS('Semi Rev'!P142-'Semi Rev'!L142)&gt;=1),('Semi OpInc'!P142-'Semi OpInc'!L142)/('Semi Rev'!P142-'Semi Rev'!L142),""),"")</f>
        <v/>
      </c>
      <c r="M1279" s="38">
        <f>IFERROR(IF(AND(ISNUMBER('Semi OpInc'!Q142),ISNUMBER('Semi OpInc'!M142),ISNUMBER('Semi Rev'!Q142),ISNUMBER('Semi Rev'!M142),ABS('Semi Rev'!Q142-'Semi Rev'!M142)&gt;=1),('Semi OpInc'!Q142-'Semi OpInc'!M142)/('Semi Rev'!Q142-'Semi Rev'!M142),""),"")</f>
        <v/>
      </c>
      <c r="N1279" s="38">
        <f>IFERROR(IF(AND(ISNUMBER('Semi OpInc'!R142),ISNUMBER('Semi OpInc'!N142),ISNUMBER('Semi Rev'!R142),ISNUMBER('Semi Rev'!N142),ABS('Semi Rev'!R142-'Semi Rev'!N142)&gt;=1),('Semi OpInc'!R142-'Semi OpInc'!N142)/('Semi Rev'!R142-'Semi Rev'!N142),""),"")</f>
        <v/>
      </c>
    </row>
    <row r="1280">
      <c r="A1280" s="19">
        <f>'Semi Rev'!$A143</f>
        <v/>
      </c>
      <c r="B1280" s="19">
        <f>'Semi Rev'!$B143</f>
        <v/>
      </c>
      <c r="C1280" s="37">
        <f>IFERROR(IF(AND(ISNUMBER('Semi OpInc'!G143),ISNUMBER('Semi OpInc'!C143),ISNUMBER('Semi Rev'!G143),ISNUMBER('Semi Rev'!C143),ABS('Semi Rev'!G143-'Semi Rev'!C143)&gt;=1),('Semi OpInc'!G143-'Semi OpInc'!C143)/('Semi Rev'!G143-'Semi Rev'!C143),""),"")</f>
        <v/>
      </c>
      <c r="D1280" s="37">
        <f>IFERROR(IF(AND(ISNUMBER('Semi OpInc'!H143),ISNUMBER('Semi OpInc'!D143),ISNUMBER('Semi Rev'!H143),ISNUMBER('Semi Rev'!D143),ABS('Semi Rev'!H143-'Semi Rev'!D143)&gt;=1),('Semi OpInc'!H143-'Semi OpInc'!D143)/('Semi Rev'!H143-'Semi Rev'!D143),""),"")</f>
        <v/>
      </c>
      <c r="E1280" s="37">
        <f>IFERROR(IF(AND(ISNUMBER('Semi OpInc'!I143),ISNUMBER('Semi OpInc'!E143),ISNUMBER('Semi Rev'!I143),ISNUMBER('Semi Rev'!E143),ABS('Semi Rev'!I143-'Semi Rev'!E143)&gt;=1),('Semi OpInc'!I143-'Semi OpInc'!E143)/('Semi Rev'!I143-'Semi Rev'!E143),""),"")</f>
        <v/>
      </c>
      <c r="F1280" s="37">
        <f>IFERROR(IF(AND(ISNUMBER('Semi OpInc'!J143),ISNUMBER('Semi OpInc'!F143),ISNUMBER('Semi Rev'!J143),ISNUMBER('Semi Rev'!F143),ABS('Semi Rev'!J143-'Semi Rev'!F143)&gt;=1),('Semi OpInc'!J143-'Semi OpInc'!F143)/('Semi Rev'!J143-'Semi Rev'!F143),""),"")</f>
        <v/>
      </c>
      <c r="G1280" s="37">
        <f>IFERROR(IF(AND(ISNUMBER('Semi OpInc'!K143),ISNUMBER('Semi OpInc'!G143),ISNUMBER('Semi Rev'!K143),ISNUMBER('Semi Rev'!G143),ABS('Semi Rev'!K143-'Semi Rev'!G143)&gt;=1),('Semi OpInc'!K143-'Semi OpInc'!G143)/('Semi Rev'!K143-'Semi Rev'!G143),""),"")</f>
        <v/>
      </c>
      <c r="H1280" s="37">
        <f>IFERROR(IF(AND(ISNUMBER('Semi OpInc'!L143),ISNUMBER('Semi OpInc'!H143),ISNUMBER('Semi Rev'!L143),ISNUMBER('Semi Rev'!H143),ABS('Semi Rev'!L143-'Semi Rev'!H143)&gt;=1),('Semi OpInc'!L143-'Semi OpInc'!H143)/('Semi Rev'!L143-'Semi Rev'!H143),""),"")</f>
        <v/>
      </c>
      <c r="I1280" s="37">
        <f>IFERROR(IF(AND(ISNUMBER('Semi OpInc'!M143),ISNUMBER('Semi OpInc'!I143),ISNUMBER('Semi Rev'!M143),ISNUMBER('Semi Rev'!I143),ABS('Semi Rev'!M143-'Semi Rev'!I143)&gt;=1),('Semi OpInc'!M143-'Semi OpInc'!I143)/('Semi Rev'!M143-'Semi Rev'!I143),""),"")</f>
        <v/>
      </c>
      <c r="J1280" s="37">
        <f>IFERROR(IF(AND(ISNUMBER('Semi OpInc'!N143),ISNUMBER('Semi OpInc'!J143),ISNUMBER('Semi Rev'!N143),ISNUMBER('Semi Rev'!J143),ABS('Semi Rev'!N143-'Semi Rev'!J143)&gt;=1),('Semi OpInc'!N143-'Semi OpInc'!J143)/('Semi Rev'!N143-'Semi Rev'!J143),""),"")</f>
        <v/>
      </c>
      <c r="K1280" s="37">
        <f>IFERROR(IF(AND(ISNUMBER('Semi OpInc'!O143),ISNUMBER('Semi OpInc'!K143),ISNUMBER('Semi Rev'!O143),ISNUMBER('Semi Rev'!K143),ABS('Semi Rev'!O143-'Semi Rev'!K143)&gt;=1),('Semi OpInc'!O143-'Semi OpInc'!K143)/('Semi Rev'!O143-'Semi Rev'!K143),""),"")</f>
        <v/>
      </c>
      <c r="L1280" s="37">
        <f>IFERROR(IF(AND(ISNUMBER('Semi OpInc'!P143),ISNUMBER('Semi OpInc'!L143),ISNUMBER('Semi Rev'!P143),ISNUMBER('Semi Rev'!L143),ABS('Semi Rev'!P143-'Semi Rev'!L143)&gt;=1),('Semi OpInc'!P143-'Semi OpInc'!L143)/('Semi Rev'!P143-'Semi Rev'!L143),""),"")</f>
        <v/>
      </c>
      <c r="M1280" s="38">
        <f>IFERROR(IF(AND(ISNUMBER('Semi OpInc'!Q143),ISNUMBER('Semi OpInc'!M143),ISNUMBER('Semi Rev'!Q143),ISNUMBER('Semi Rev'!M143),ABS('Semi Rev'!Q143-'Semi Rev'!M143)&gt;=1),('Semi OpInc'!Q143-'Semi OpInc'!M143)/('Semi Rev'!Q143-'Semi Rev'!M143),""),"")</f>
        <v/>
      </c>
      <c r="N1280" s="38">
        <f>IFERROR(IF(AND(ISNUMBER('Semi OpInc'!R143),ISNUMBER('Semi OpInc'!N143),ISNUMBER('Semi Rev'!R143),ISNUMBER('Semi Rev'!N143),ABS('Semi Rev'!R143-'Semi Rev'!N143)&gt;=1),('Semi OpInc'!R143-'Semi OpInc'!N143)/('Semi Rev'!R143-'Semi Rev'!N143),""),"")</f>
        <v/>
      </c>
    </row>
    <row r="1282">
      <c r="A1282" s="49" t="inlineStr">
        <is>
          <t>FCF margin, LTM %</t>
        </is>
      </c>
      <c r="B1282" s="50" t="n"/>
      <c r="C1282" s="50" t="n"/>
      <c r="D1282" s="50" t="n"/>
      <c r="E1282" s="50" t="n"/>
      <c r="F1282" s="50" t="n"/>
      <c r="G1282" s="50" t="n"/>
      <c r="H1282" s="50" t="n"/>
      <c r="I1282" s="50" t="n"/>
      <c r="J1282" s="50" t="n"/>
      <c r="K1282" s="50" t="n"/>
      <c r="L1282" s="50" t="n"/>
      <c r="M1282" s="50" t="n"/>
      <c r="N1282" s="50" t="n"/>
    </row>
    <row r="1283" ht="28" customHeight="1">
      <c r="A1283" s="8" t="inlineStr">
        <is>
          <t>Ticker</t>
        </is>
      </c>
      <c r="B1283" s="8" t="inlineStr">
        <is>
          <t>Latest Rpt Qtr</t>
        </is>
      </c>
      <c r="C1283" s="8" t="inlineStr">
        <is>
          <t>FPO -9</t>
        </is>
      </c>
      <c r="D1283" s="8" t="inlineStr">
        <is>
          <t>FPO -8</t>
        </is>
      </c>
      <c r="E1283" s="8" t="inlineStr">
        <is>
          <t>FPO -7</t>
        </is>
      </c>
      <c r="F1283" s="8" t="inlineStr">
        <is>
          <t>FPO -6</t>
        </is>
      </c>
      <c r="G1283" s="8" t="inlineStr">
        <is>
          <t>FPO -5</t>
        </is>
      </c>
      <c r="H1283" s="8" t="inlineStr">
        <is>
          <t>FPO -4</t>
        </is>
      </c>
      <c r="I1283" s="8" t="inlineStr">
        <is>
          <t>FPO -3</t>
        </is>
      </c>
      <c r="J1283" s="8" t="inlineStr">
        <is>
          <t>FPO -2</t>
        </is>
      </c>
      <c r="K1283" s="8" t="inlineStr">
        <is>
          <t>FPO -1</t>
        </is>
      </c>
      <c r="L1283" s="8" t="inlineStr">
        <is>
          <t>FPO 0 (latest rpt)</t>
        </is>
      </c>
      <c r="M1283" s="8" t="inlineStr">
        <is>
          <t>FPO +1E</t>
        </is>
      </c>
      <c r="N1283" s="8" t="inlineStr">
        <is>
          <t>FPO +2E</t>
        </is>
      </c>
    </row>
    <row r="1284">
      <c r="A1284" s="19">
        <f>'Semi Rev'!$A5</f>
        <v/>
      </c>
      <c r="B1284" s="19">
        <f>'Semi Rev'!$B5</f>
        <v/>
      </c>
      <c r="C1284" s="37">
        <f>IFERROR(IF(SUM('Semi Rev'!D5:G5)&lt;=0,"",SUM('Semi FCF'!D5:G5)/SUM('Semi Rev'!D5:G5)),"")</f>
        <v/>
      </c>
      <c r="D1284" s="37">
        <f>IFERROR(IF(SUM('Semi Rev'!E5:H5)&lt;=0,"",SUM('Semi FCF'!E5:H5)/SUM('Semi Rev'!E5:H5)),"")</f>
        <v/>
      </c>
      <c r="E1284" s="37">
        <f>IFERROR(IF(SUM('Semi Rev'!F5:I5)&lt;=0,"",SUM('Semi FCF'!F5:I5)/SUM('Semi Rev'!F5:I5)),"")</f>
        <v/>
      </c>
      <c r="F1284" s="37">
        <f>IFERROR(IF(SUM('Semi Rev'!G5:J5)&lt;=0,"",SUM('Semi FCF'!G5:J5)/SUM('Semi Rev'!G5:J5)),"")</f>
        <v/>
      </c>
      <c r="G1284" s="37">
        <f>IFERROR(IF(SUM('Semi Rev'!H5:K5)&lt;=0,"",SUM('Semi FCF'!H5:K5)/SUM('Semi Rev'!H5:K5)),"")</f>
        <v/>
      </c>
      <c r="H1284" s="37">
        <f>IFERROR(IF(SUM('Semi Rev'!I5:L5)&lt;=0,"",SUM('Semi FCF'!I5:L5)/SUM('Semi Rev'!I5:L5)),"")</f>
        <v/>
      </c>
      <c r="I1284" s="37">
        <f>IFERROR(IF(SUM('Semi Rev'!J5:M5)&lt;=0,"",SUM('Semi FCF'!J5:M5)/SUM('Semi Rev'!J5:M5)),"")</f>
        <v/>
      </c>
      <c r="J1284" s="37">
        <f>IFERROR(IF(SUM('Semi Rev'!K5:N5)&lt;=0,"",SUM('Semi FCF'!K5:N5)/SUM('Semi Rev'!K5:N5)),"")</f>
        <v/>
      </c>
      <c r="K1284" s="37">
        <f>IFERROR(IF(SUM('Semi Rev'!L5:O5)&lt;=0,"",SUM('Semi FCF'!L5:O5)/SUM('Semi Rev'!L5:O5)),"")</f>
        <v/>
      </c>
      <c r="L1284" s="37">
        <f>IFERROR(IF(SUM('Semi Rev'!M5:P5)&lt;=0,"",SUM('Semi FCF'!M5:P5)/SUM('Semi Rev'!M5:P5)),"")</f>
        <v/>
      </c>
      <c r="M1284" s="38">
        <f>IFERROR(IF(SUM('Semi Rev'!N5:Q5)&lt;=0,"",SUM('Semi FCF'!N5:Q5)/SUM('Semi Rev'!N5:Q5)),"")</f>
        <v/>
      </c>
      <c r="N1284" s="38">
        <f>IFERROR(IF(SUM('Semi Rev'!O5:R5)&lt;=0,"",SUM('Semi FCF'!O5:R5)/SUM('Semi Rev'!O5:R5)),"")</f>
        <v/>
      </c>
    </row>
    <row r="1285">
      <c r="A1285" s="19">
        <f>'Semi Rev'!$A6</f>
        <v/>
      </c>
      <c r="B1285" s="19">
        <f>'Semi Rev'!$B6</f>
        <v/>
      </c>
      <c r="C1285" s="37">
        <f>IFERROR(IF(SUM('Semi Rev'!D6:G6)&lt;=0,"",SUM('Semi FCF'!D6:G6)/SUM('Semi Rev'!D6:G6)),"")</f>
        <v/>
      </c>
      <c r="D1285" s="37">
        <f>IFERROR(IF(SUM('Semi Rev'!E6:H6)&lt;=0,"",SUM('Semi FCF'!E6:H6)/SUM('Semi Rev'!E6:H6)),"")</f>
        <v/>
      </c>
      <c r="E1285" s="37">
        <f>IFERROR(IF(SUM('Semi Rev'!F6:I6)&lt;=0,"",SUM('Semi FCF'!F6:I6)/SUM('Semi Rev'!F6:I6)),"")</f>
        <v/>
      </c>
      <c r="F1285" s="37">
        <f>IFERROR(IF(SUM('Semi Rev'!G6:J6)&lt;=0,"",SUM('Semi FCF'!G6:J6)/SUM('Semi Rev'!G6:J6)),"")</f>
        <v/>
      </c>
      <c r="G1285" s="37">
        <f>IFERROR(IF(SUM('Semi Rev'!H6:K6)&lt;=0,"",SUM('Semi FCF'!H6:K6)/SUM('Semi Rev'!H6:K6)),"")</f>
        <v/>
      </c>
      <c r="H1285" s="37">
        <f>IFERROR(IF(SUM('Semi Rev'!I6:L6)&lt;=0,"",SUM('Semi FCF'!I6:L6)/SUM('Semi Rev'!I6:L6)),"")</f>
        <v/>
      </c>
      <c r="I1285" s="37">
        <f>IFERROR(IF(SUM('Semi Rev'!J6:M6)&lt;=0,"",SUM('Semi FCF'!J6:M6)/SUM('Semi Rev'!J6:M6)),"")</f>
        <v/>
      </c>
      <c r="J1285" s="37">
        <f>IFERROR(IF(SUM('Semi Rev'!K6:N6)&lt;=0,"",SUM('Semi FCF'!K6:N6)/SUM('Semi Rev'!K6:N6)),"")</f>
        <v/>
      </c>
      <c r="K1285" s="37">
        <f>IFERROR(IF(SUM('Semi Rev'!L6:O6)&lt;=0,"",SUM('Semi FCF'!L6:O6)/SUM('Semi Rev'!L6:O6)),"")</f>
        <v/>
      </c>
      <c r="L1285" s="37">
        <f>IFERROR(IF(SUM('Semi Rev'!M6:P6)&lt;=0,"",SUM('Semi FCF'!M6:P6)/SUM('Semi Rev'!M6:P6)),"")</f>
        <v/>
      </c>
      <c r="M1285" s="38">
        <f>IFERROR(IF(SUM('Semi Rev'!N6:Q6)&lt;=0,"",SUM('Semi FCF'!N6:Q6)/SUM('Semi Rev'!N6:Q6)),"")</f>
        <v/>
      </c>
      <c r="N1285" s="38">
        <f>IFERROR(IF(SUM('Semi Rev'!O6:R6)&lt;=0,"",SUM('Semi FCF'!O6:R6)/SUM('Semi Rev'!O6:R6)),"")</f>
        <v/>
      </c>
    </row>
    <row r="1286">
      <c r="A1286" s="19">
        <f>'Semi Rev'!$A7</f>
        <v/>
      </c>
      <c r="B1286" s="19">
        <f>'Semi Rev'!$B7</f>
        <v/>
      </c>
      <c r="C1286" s="37">
        <f>IFERROR(IF(SUM('Semi Rev'!D7:G7)&lt;=0,"",SUM('Semi FCF'!D7:G7)/SUM('Semi Rev'!D7:G7)),"")</f>
        <v/>
      </c>
      <c r="D1286" s="37">
        <f>IFERROR(IF(SUM('Semi Rev'!E7:H7)&lt;=0,"",SUM('Semi FCF'!E7:H7)/SUM('Semi Rev'!E7:H7)),"")</f>
        <v/>
      </c>
      <c r="E1286" s="37">
        <f>IFERROR(IF(SUM('Semi Rev'!F7:I7)&lt;=0,"",SUM('Semi FCF'!F7:I7)/SUM('Semi Rev'!F7:I7)),"")</f>
        <v/>
      </c>
      <c r="F1286" s="37">
        <f>IFERROR(IF(SUM('Semi Rev'!G7:J7)&lt;=0,"",SUM('Semi FCF'!G7:J7)/SUM('Semi Rev'!G7:J7)),"")</f>
        <v/>
      </c>
      <c r="G1286" s="37">
        <f>IFERROR(IF(SUM('Semi Rev'!H7:K7)&lt;=0,"",SUM('Semi FCF'!H7:K7)/SUM('Semi Rev'!H7:K7)),"")</f>
        <v/>
      </c>
      <c r="H1286" s="37">
        <f>IFERROR(IF(SUM('Semi Rev'!I7:L7)&lt;=0,"",SUM('Semi FCF'!I7:L7)/SUM('Semi Rev'!I7:L7)),"")</f>
        <v/>
      </c>
      <c r="I1286" s="37">
        <f>IFERROR(IF(SUM('Semi Rev'!J7:M7)&lt;=0,"",SUM('Semi FCF'!J7:M7)/SUM('Semi Rev'!J7:M7)),"")</f>
        <v/>
      </c>
      <c r="J1286" s="37">
        <f>IFERROR(IF(SUM('Semi Rev'!K7:N7)&lt;=0,"",SUM('Semi FCF'!K7:N7)/SUM('Semi Rev'!K7:N7)),"")</f>
        <v/>
      </c>
      <c r="K1286" s="37">
        <f>IFERROR(IF(SUM('Semi Rev'!L7:O7)&lt;=0,"",SUM('Semi FCF'!L7:O7)/SUM('Semi Rev'!L7:O7)),"")</f>
        <v/>
      </c>
      <c r="L1286" s="37">
        <f>IFERROR(IF(SUM('Semi Rev'!M7:P7)&lt;=0,"",SUM('Semi FCF'!M7:P7)/SUM('Semi Rev'!M7:P7)),"")</f>
        <v/>
      </c>
      <c r="M1286" s="38">
        <f>IFERROR(IF(SUM('Semi Rev'!N7:Q7)&lt;=0,"",SUM('Semi FCF'!N7:Q7)/SUM('Semi Rev'!N7:Q7)),"")</f>
        <v/>
      </c>
      <c r="N1286" s="38">
        <f>IFERROR(IF(SUM('Semi Rev'!O7:R7)&lt;=0,"",SUM('Semi FCF'!O7:R7)/SUM('Semi Rev'!O7:R7)),"")</f>
        <v/>
      </c>
    </row>
    <row r="1287">
      <c r="A1287" s="19">
        <f>'Semi Rev'!$A8</f>
        <v/>
      </c>
      <c r="B1287" s="19">
        <f>'Semi Rev'!$B8</f>
        <v/>
      </c>
      <c r="C1287" s="37">
        <f>IFERROR(IF(SUM('Semi Rev'!D8:G8)&lt;=0,"",SUM('Semi FCF'!D8:G8)/SUM('Semi Rev'!D8:G8)),"")</f>
        <v/>
      </c>
      <c r="D1287" s="37">
        <f>IFERROR(IF(SUM('Semi Rev'!E8:H8)&lt;=0,"",SUM('Semi FCF'!E8:H8)/SUM('Semi Rev'!E8:H8)),"")</f>
        <v/>
      </c>
      <c r="E1287" s="37">
        <f>IFERROR(IF(SUM('Semi Rev'!F8:I8)&lt;=0,"",SUM('Semi FCF'!F8:I8)/SUM('Semi Rev'!F8:I8)),"")</f>
        <v/>
      </c>
      <c r="F1287" s="37">
        <f>IFERROR(IF(SUM('Semi Rev'!G8:J8)&lt;=0,"",SUM('Semi FCF'!G8:J8)/SUM('Semi Rev'!G8:J8)),"")</f>
        <v/>
      </c>
      <c r="G1287" s="37">
        <f>IFERROR(IF(SUM('Semi Rev'!H8:K8)&lt;=0,"",SUM('Semi FCF'!H8:K8)/SUM('Semi Rev'!H8:K8)),"")</f>
        <v/>
      </c>
      <c r="H1287" s="37">
        <f>IFERROR(IF(SUM('Semi Rev'!I8:L8)&lt;=0,"",SUM('Semi FCF'!I8:L8)/SUM('Semi Rev'!I8:L8)),"")</f>
        <v/>
      </c>
      <c r="I1287" s="37">
        <f>IFERROR(IF(SUM('Semi Rev'!J8:M8)&lt;=0,"",SUM('Semi FCF'!J8:M8)/SUM('Semi Rev'!J8:M8)),"")</f>
        <v/>
      </c>
      <c r="J1287" s="37">
        <f>IFERROR(IF(SUM('Semi Rev'!K8:N8)&lt;=0,"",SUM('Semi FCF'!K8:N8)/SUM('Semi Rev'!K8:N8)),"")</f>
        <v/>
      </c>
      <c r="K1287" s="37">
        <f>IFERROR(IF(SUM('Semi Rev'!L8:O8)&lt;=0,"",SUM('Semi FCF'!L8:O8)/SUM('Semi Rev'!L8:O8)),"")</f>
        <v/>
      </c>
      <c r="L1287" s="37">
        <f>IFERROR(IF(SUM('Semi Rev'!M8:P8)&lt;=0,"",SUM('Semi FCF'!M8:P8)/SUM('Semi Rev'!M8:P8)),"")</f>
        <v/>
      </c>
      <c r="M1287" s="38">
        <f>IFERROR(IF(SUM('Semi Rev'!N8:Q8)&lt;=0,"",SUM('Semi FCF'!N8:Q8)/SUM('Semi Rev'!N8:Q8)),"")</f>
        <v/>
      </c>
      <c r="N1287" s="38">
        <f>IFERROR(IF(SUM('Semi Rev'!O8:R8)&lt;=0,"",SUM('Semi FCF'!O8:R8)/SUM('Semi Rev'!O8:R8)),"")</f>
        <v/>
      </c>
    </row>
    <row r="1288">
      <c r="A1288" s="19">
        <f>'Semi Rev'!$A9</f>
        <v/>
      </c>
      <c r="B1288" s="19">
        <f>'Semi Rev'!$B9</f>
        <v/>
      </c>
      <c r="C1288" s="37">
        <f>IFERROR(IF(SUM('Semi Rev'!D9:G9)&lt;=0,"",SUM('Semi FCF'!D9:G9)/SUM('Semi Rev'!D9:G9)),"")</f>
        <v/>
      </c>
      <c r="D1288" s="37">
        <f>IFERROR(IF(SUM('Semi Rev'!E9:H9)&lt;=0,"",SUM('Semi FCF'!E9:H9)/SUM('Semi Rev'!E9:H9)),"")</f>
        <v/>
      </c>
      <c r="E1288" s="37">
        <f>IFERROR(IF(SUM('Semi Rev'!F9:I9)&lt;=0,"",SUM('Semi FCF'!F9:I9)/SUM('Semi Rev'!F9:I9)),"")</f>
        <v/>
      </c>
      <c r="F1288" s="37">
        <f>IFERROR(IF(SUM('Semi Rev'!G9:J9)&lt;=0,"",SUM('Semi FCF'!G9:J9)/SUM('Semi Rev'!G9:J9)),"")</f>
        <v/>
      </c>
      <c r="G1288" s="37">
        <f>IFERROR(IF(SUM('Semi Rev'!H9:K9)&lt;=0,"",SUM('Semi FCF'!H9:K9)/SUM('Semi Rev'!H9:K9)),"")</f>
        <v/>
      </c>
      <c r="H1288" s="37">
        <f>IFERROR(IF(SUM('Semi Rev'!I9:L9)&lt;=0,"",SUM('Semi FCF'!I9:L9)/SUM('Semi Rev'!I9:L9)),"")</f>
        <v/>
      </c>
      <c r="I1288" s="37">
        <f>IFERROR(IF(SUM('Semi Rev'!J9:M9)&lt;=0,"",SUM('Semi FCF'!J9:M9)/SUM('Semi Rev'!J9:M9)),"")</f>
        <v/>
      </c>
      <c r="J1288" s="37">
        <f>IFERROR(IF(SUM('Semi Rev'!K9:N9)&lt;=0,"",SUM('Semi FCF'!K9:N9)/SUM('Semi Rev'!K9:N9)),"")</f>
        <v/>
      </c>
      <c r="K1288" s="37">
        <f>IFERROR(IF(SUM('Semi Rev'!L9:O9)&lt;=0,"",SUM('Semi FCF'!L9:O9)/SUM('Semi Rev'!L9:O9)),"")</f>
        <v/>
      </c>
      <c r="L1288" s="37">
        <f>IFERROR(IF(SUM('Semi Rev'!M9:P9)&lt;=0,"",SUM('Semi FCF'!M9:P9)/SUM('Semi Rev'!M9:P9)),"")</f>
        <v/>
      </c>
      <c r="M1288" s="38">
        <f>IFERROR(IF(SUM('Semi Rev'!N9:Q9)&lt;=0,"",SUM('Semi FCF'!N9:Q9)/SUM('Semi Rev'!N9:Q9)),"")</f>
        <v/>
      </c>
      <c r="N1288" s="38">
        <f>IFERROR(IF(SUM('Semi Rev'!O9:R9)&lt;=0,"",SUM('Semi FCF'!O9:R9)/SUM('Semi Rev'!O9:R9)),"")</f>
        <v/>
      </c>
    </row>
    <row r="1289">
      <c r="A1289" s="19">
        <f>'Semi Rev'!$A10</f>
        <v/>
      </c>
      <c r="B1289" s="19">
        <f>'Semi Rev'!$B10</f>
        <v/>
      </c>
      <c r="C1289" s="37">
        <f>IFERROR(IF(SUM('Semi Rev'!D10:G10)&lt;=0,"",SUM('Semi FCF'!D10:G10)/SUM('Semi Rev'!D10:G10)),"")</f>
        <v/>
      </c>
      <c r="D1289" s="37">
        <f>IFERROR(IF(SUM('Semi Rev'!E10:H10)&lt;=0,"",SUM('Semi FCF'!E10:H10)/SUM('Semi Rev'!E10:H10)),"")</f>
        <v/>
      </c>
      <c r="E1289" s="37">
        <f>IFERROR(IF(SUM('Semi Rev'!F10:I10)&lt;=0,"",SUM('Semi FCF'!F10:I10)/SUM('Semi Rev'!F10:I10)),"")</f>
        <v/>
      </c>
      <c r="F1289" s="37">
        <f>IFERROR(IF(SUM('Semi Rev'!G10:J10)&lt;=0,"",SUM('Semi FCF'!G10:J10)/SUM('Semi Rev'!G10:J10)),"")</f>
        <v/>
      </c>
      <c r="G1289" s="37">
        <f>IFERROR(IF(SUM('Semi Rev'!H10:K10)&lt;=0,"",SUM('Semi FCF'!H10:K10)/SUM('Semi Rev'!H10:K10)),"")</f>
        <v/>
      </c>
      <c r="H1289" s="37">
        <f>IFERROR(IF(SUM('Semi Rev'!I10:L10)&lt;=0,"",SUM('Semi FCF'!I10:L10)/SUM('Semi Rev'!I10:L10)),"")</f>
        <v/>
      </c>
      <c r="I1289" s="37">
        <f>IFERROR(IF(SUM('Semi Rev'!J10:M10)&lt;=0,"",SUM('Semi FCF'!J10:M10)/SUM('Semi Rev'!J10:M10)),"")</f>
        <v/>
      </c>
      <c r="J1289" s="37">
        <f>IFERROR(IF(SUM('Semi Rev'!K10:N10)&lt;=0,"",SUM('Semi FCF'!K10:N10)/SUM('Semi Rev'!K10:N10)),"")</f>
        <v/>
      </c>
      <c r="K1289" s="37">
        <f>IFERROR(IF(SUM('Semi Rev'!L10:O10)&lt;=0,"",SUM('Semi FCF'!L10:O10)/SUM('Semi Rev'!L10:O10)),"")</f>
        <v/>
      </c>
      <c r="L1289" s="37">
        <f>IFERROR(IF(SUM('Semi Rev'!M10:P10)&lt;=0,"",SUM('Semi FCF'!M10:P10)/SUM('Semi Rev'!M10:P10)),"")</f>
        <v/>
      </c>
      <c r="M1289" s="38">
        <f>IFERROR(IF(SUM('Semi Rev'!N10:Q10)&lt;=0,"",SUM('Semi FCF'!N10:Q10)/SUM('Semi Rev'!N10:Q10)),"")</f>
        <v/>
      </c>
      <c r="N1289" s="38">
        <f>IFERROR(IF(SUM('Semi Rev'!O10:R10)&lt;=0,"",SUM('Semi FCF'!O10:R10)/SUM('Semi Rev'!O10:R10)),"")</f>
        <v/>
      </c>
    </row>
    <row r="1290">
      <c r="A1290" s="19">
        <f>'Semi Rev'!$A11</f>
        <v/>
      </c>
      <c r="B1290" s="19">
        <f>'Semi Rev'!$B11</f>
        <v/>
      </c>
      <c r="C1290" s="37">
        <f>IFERROR(IF(SUM('Semi Rev'!D11:G11)&lt;=0,"",SUM('Semi FCF'!D11:G11)/SUM('Semi Rev'!D11:G11)),"")</f>
        <v/>
      </c>
      <c r="D1290" s="37">
        <f>IFERROR(IF(SUM('Semi Rev'!E11:H11)&lt;=0,"",SUM('Semi FCF'!E11:H11)/SUM('Semi Rev'!E11:H11)),"")</f>
        <v/>
      </c>
      <c r="E1290" s="37">
        <f>IFERROR(IF(SUM('Semi Rev'!F11:I11)&lt;=0,"",SUM('Semi FCF'!F11:I11)/SUM('Semi Rev'!F11:I11)),"")</f>
        <v/>
      </c>
      <c r="F1290" s="37">
        <f>IFERROR(IF(SUM('Semi Rev'!G11:J11)&lt;=0,"",SUM('Semi FCF'!G11:J11)/SUM('Semi Rev'!G11:J11)),"")</f>
        <v/>
      </c>
      <c r="G1290" s="37">
        <f>IFERROR(IF(SUM('Semi Rev'!H11:K11)&lt;=0,"",SUM('Semi FCF'!H11:K11)/SUM('Semi Rev'!H11:K11)),"")</f>
        <v/>
      </c>
      <c r="H1290" s="37">
        <f>IFERROR(IF(SUM('Semi Rev'!I11:L11)&lt;=0,"",SUM('Semi FCF'!I11:L11)/SUM('Semi Rev'!I11:L11)),"")</f>
        <v/>
      </c>
      <c r="I1290" s="37">
        <f>IFERROR(IF(SUM('Semi Rev'!J11:M11)&lt;=0,"",SUM('Semi FCF'!J11:M11)/SUM('Semi Rev'!J11:M11)),"")</f>
        <v/>
      </c>
      <c r="J1290" s="37">
        <f>IFERROR(IF(SUM('Semi Rev'!K11:N11)&lt;=0,"",SUM('Semi FCF'!K11:N11)/SUM('Semi Rev'!K11:N11)),"")</f>
        <v/>
      </c>
      <c r="K1290" s="37">
        <f>IFERROR(IF(SUM('Semi Rev'!L11:O11)&lt;=0,"",SUM('Semi FCF'!L11:O11)/SUM('Semi Rev'!L11:O11)),"")</f>
        <v/>
      </c>
      <c r="L1290" s="37">
        <f>IFERROR(IF(SUM('Semi Rev'!M11:P11)&lt;=0,"",SUM('Semi FCF'!M11:P11)/SUM('Semi Rev'!M11:P11)),"")</f>
        <v/>
      </c>
      <c r="M1290" s="38">
        <f>IFERROR(IF(SUM('Semi Rev'!N11:Q11)&lt;=0,"",SUM('Semi FCF'!N11:Q11)/SUM('Semi Rev'!N11:Q11)),"")</f>
        <v/>
      </c>
      <c r="N1290" s="38">
        <f>IFERROR(IF(SUM('Semi Rev'!O11:R11)&lt;=0,"",SUM('Semi FCF'!O11:R11)/SUM('Semi Rev'!O11:R11)),"")</f>
        <v/>
      </c>
    </row>
    <row r="1291">
      <c r="A1291" s="19">
        <f>'Semi Rev'!$A12</f>
        <v/>
      </c>
      <c r="B1291" s="19">
        <f>'Semi Rev'!$B12</f>
        <v/>
      </c>
      <c r="C1291" s="37">
        <f>IFERROR(IF(SUM('Semi Rev'!D12:G12)&lt;=0,"",SUM('Semi FCF'!D12:G12)/SUM('Semi Rev'!D12:G12)),"")</f>
        <v/>
      </c>
      <c r="D1291" s="37">
        <f>IFERROR(IF(SUM('Semi Rev'!E12:H12)&lt;=0,"",SUM('Semi FCF'!E12:H12)/SUM('Semi Rev'!E12:H12)),"")</f>
        <v/>
      </c>
      <c r="E1291" s="37">
        <f>IFERROR(IF(SUM('Semi Rev'!F12:I12)&lt;=0,"",SUM('Semi FCF'!F12:I12)/SUM('Semi Rev'!F12:I12)),"")</f>
        <v/>
      </c>
      <c r="F1291" s="37">
        <f>IFERROR(IF(SUM('Semi Rev'!G12:J12)&lt;=0,"",SUM('Semi FCF'!G12:J12)/SUM('Semi Rev'!G12:J12)),"")</f>
        <v/>
      </c>
      <c r="G1291" s="37">
        <f>IFERROR(IF(SUM('Semi Rev'!H12:K12)&lt;=0,"",SUM('Semi FCF'!H12:K12)/SUM('Semi Rev'!H12:K12)),"")</f>
        <v/>
      </c>
      <c r="H1291" s="37">
        <f>IFERROR(IF(SUM('Semi Rev'!I12:L12)&lt;=0,"",SUM('Semi FCF'!I12:L12)/SUM('Semi Rev'!I12:L12)),"")</f>
        <v/>
      </c>
      <c r="I1291" s="37">
        <f>IFERROR(IF(SUM('Semi Rev'!J12:M12)&lt;=0,"",SUM('Semi FCF'!J12:M12)/SUM('Semi Rev'!J12:M12)),"")</f>
        <v/>
      </c>
      <c r="J1291" s="37">
        <f>IFERROR(IF(SUM('Semi Rev'!K12:N12)&lt;=0,"",SUM('Semi FCF'!K12:N12)/SUM('Semi Rev'!K12:N12)),"")</f>
        <v/>
      </c>
      <c r="K1291" s="37">
        <f>IFERROR(IF(SUM('Semi Rev'!L12:O12)&lt;=0,"",SUM('Semi FCF'!L12:O12)/SUM('Semi Rev'!L12:O12)),"")</f>
        <v/>
      </c>
      <c r="L1291" s="37">
        <f>IFERROR(IF(SUM('Semi Rev'!M12:P12)&lt;=0,"",SUM('Semi FCF'!M12:P12)/SUM('Semi Rev'!M12:P12)),"")</f>
        <v/>
      </c>
      <c r="M1291" s="38">
        <f>IFERROR(IF(SUM('Semi Rev'!N12:Q12)&lt;=0,"",SUM('Semi FCF'!N12:Q12)/SUM('Semi Rev'!N12:Q12)),"")</f>
        <v/>
      </c>
      <c r="N1291" s="38">
        <f>IFERROR(IF(SUM('Semi Rev'!O12:R12)&lt;=0,"",SUM('Semi FCF'!O12:R12)/SUM('Semi Rev'!O12:R12)),"")</f>
        <v/>
      </c>
    </row>
    <row r="1292">
      <c r="A1292" s="19">
        <f>'Semi Rev'!$A13</f>
        <v/>
      </c>
      <c r="B1292" s="19">
        <f>'Semi Rev'!$B13</f>
        <v/>
      </c>
      <c r="C1292" s="37">
        <f>IFERROR(IF(SUM('Semi Rev'!D13:G13)&lt;=0,"",SUM('Semi FCF'!D13:G13)/SUM('Semi Rev'!D13:G13)),"")</f>
        <v/>
      </c>
      <c r="D1292" s="37">
        <f>IFERROR(IF(SUM('Semi Rev'!E13:H13)&lt;=0,"",SUM('Semi FCF'!E13:H13)/SUM('Semi Rev'!E13:H13)),"")</f>
        <v/>
      </c>
      <c r="E1292" s="37">
        <f>IFERROR(IF(SUM('Semi Rev'!F13:I13)&lt;=0,"",SUM('Semi FCF'!F13:I13)/SUM('Semi Rev'!F13:I13)),"")</f>
        <v/>
      </c>
      <c r="F1292" s="37">
        <f>IFERROR(IF(SUM('Semi Rev'!G13:J13)&lt;=0,"",SUM('Semi FCF'!G13:J13)/SUM('Semi Rev'!G13:J13)),"")</f>
        <v/>
      </c>
      <c r="G1292" s="37">
        <f>IFERROR(IF(SUM('Semi Rev'!H13:K13)&lt;=0,"",SUM('Semi FCF'!H13:K13)/SUM('Semi Rev'!H13:K13)),"")</f>
        <v/>
      </c>
      <c r="H1292" s="37">
        <f>IFERROR(IF(SUM('Semi Rev'!I13:L13)&lt;=0,"",SUM('Semi FCF'!I13:L13)/SUM('Semi Rev'!I13:L13)),"")</f>
        <v/>
      </c>
      <c r="I1292" s="37">
        <f>IFERROR(IF(SUM('Semi Rev'!J13:M13)&lt;=0,"",SUM('Semi FCF'!J13:M13)/SUM('Semi Rev'!J13:M13)),"")</f>
        <v/>
      </c>
      <c r="J1292" s="37">
        <f>IFERROR(IF(SUM('Semi Rev'!K13:N13)&lt;=0,"",SUM('Semi FCF'!K13:N13)/SUM('Semi Rev'!K13:N13)),"")</f>
        <v/>
      </c>
      <c r="K1292" s="37">
        <f>IFERROR(IF(SUM('Semi Rev'!L13:O13)&lt;=0,"",SUM('Semi FCF'!L13:O13)/SUM('Semi Rev'!L13:O13)),"")</f>
        <v/>
      </c>
      <c r="L1292" s="37">
        <f>IFERROR(IF(SUM('Semi Rev'!M13:P13)&lt;=0,"",SUM('Semi FCF'!M13:P13)/SUM('Semi Rev'!M13:P13)),"")</f>
        <v/>
      </c>
      <c r="M1292" s="38">
        <f>IFERROR(IF(SUM('Semi Rev'!N13:Q13)&lt;=0,"",SUM('Semi FCF'!N13:Q13)/SUM('Semi Rev'!N13:Q13)),"")</f>
        <v/>
      </c>
      <c r="N1292" s="38">
        <f>IFERROR(IF(SUM('Semi Rev'!O13:R13)&lt;=0,"",SUM('Semi FCF'!O13:R13)/SUM('Semi Rev'!O13:R13)),"")</f>
        <v/>
      </c>
    </row>
    <row r="1293">
      <c r="A1293" s="19">
        <f>'Semi Rev'!$A14</f>
        <v/>
      </c>
      <c r="B1293" s="19">
        <f>'Semi Rev'!$B14</f>
        <v/>
      </c>
      <c r="C1293" s="37">
        <f>IFERROR(IF(SUM('Semi Rev'!D14:G14)&lt;=0,"",SUM('Semi FCF'!D14:G14)/SUM('Semi Rev'!D14:G14)),"")</f>
        <v/>
      </c>
      <c r="D1293" s="37">
        <f>IFERROR(IF(SUM('Semi Rev'!E14:H14)&lt;=0,"",SUM('Semi FCF'!E14:H14)/SUM('Semi Rev'!E14:H14)),"")</f>
        <v/>
      </c>
      <c r="E1293" s="37">
        <f>IFERROR(IF(SUM('Semi Rev'!F14:I14)&lt;=0,"",SUM('Semi FCF'!F14:I14)/SUM('Semi Rev'!F14:I14)),"")</f>
        <v/>
      </c>
      <c r="F1293" s="37">
        <f>IFERROR(IF(SUM('Semi Rev'!G14:J14)&lt;=0,"",SUM('Semi FCF'!G14:J14)/SUM('Semi Rev'!G14:J14)),"")</f>
        <v/>
      </c>
      <c r="G1293" s="37">
        <f>IFERROR(IF(SUM('Semi Rev'!H14:K14)&lt;=0,"",SUM('Semi FCF'!H14:K14)/SUM('Semi Rev'!H14:K14)),"")</f>
        <v/>
      </c>
      <c r="H1293" s="37">
        <f>IFERROR(IF(SUM('Semi Rev'!I14:L14)&lt;=0,"",SUM('Semi FCF'!I14:L14)/SUM('Semi Rev'!I14:L14)),"")</f>
        <v/>
      </c>
      <c r="I1293" s="37">
        <f>IFERROR(IF(SUM('Semi Rev'!J14:M14)&lt;=0,"",SUM('Semi FCF'!J14:M14)/SUM('Semi Rev'!J14:M14)),"")</f>
        <v/>
      </c>
      <c r="J1293" s="37">
        <f>IFERROR(IF(SUM('Semi Rev'!K14:N14)&lt;=0,"",SUM('Semi FCF'!K14:N14)/SUM('Semi Rev'!K14:N14)),"")</f>
        <v/>
      </c>
      <c r="K1293" s="37">
        <f>IFERROR(IF(SUM('Semi Rev'!L14:O14)&lt;=0,"",SUM('Semi FCF'!L14:O14)/SUM('Semi Rev'!L14:O14)),"")</f>
        <v/>
      </c>
      <c r="L1293" s="37">
        <f>IFERROR(IF(SUM('Semi Rev'!M14:P14)&lt;=0,"",SUM('Semi FCF'!M14:P14)/SUM('Semi Rev'!M14:P14)),"")</f>
        <v/>
      </c>
      <c r="M1293" s="38">
        <f>IFERROR(IF(SUM('Semi Rev'!N14:Q14)&lt;=0,"",SUM('Semi FCF'!N14:Q14)/SUM('Semi Rev'!N14:Q14)),"")</f>
        <v/>
      </c>
      <c r="N1293" s="38">
        <f>IFERROR(IF(SUM('Semi Rev'!O14:R14)&lt;=0,"",SUM('Semi FCF'!O14:R14)/SUM('Semi Rev'!O14:R14)),"")</f>
        <v/>
      </c>
    </row>
    <row r="1294">
      <c r="A1294" s="19">
        <f>'Semi Rev'!$A15</f>
        <v/>
      </c>
      <c r="B1294" s="19">
        <f>'Semi Rev'!$B15</f>
        <v/>
      </c>
      <c r="C1294" s="37">
        <f>IFERROR(IF(SUM('Semi Rev'!D15:G15)&lt;=0,"",SUM('Semi FCF'!D15:G15)/SUM('Semi Rev'!D15:G15)),"")</f>
        <v/>
      </c>
      <c r="D1294" s="37">
        <f>IFERROR(IF(SUM('Semi Rev'!E15:H15)&lt;=0,"",SUM('Semi FCF'!E15:H15)/SUM('Semi Rev'!E15:H15)),"")</f>
        <v/>
      </c>
      <c r="E1294" s="37">
        <f>IFERROR(IF(SUM('Semi Rev'!F15:I15)&lt;=0,"",SUM('Semi FCF'!F15:I15)/SUM('Semi Rev'!F15:I15)),"")</f>
        <v/>
      </c>
      <c r="F1294" s="37">
        <f>IFERROR(IF(SUM('Semi Rev'!G15:J15)&lt;=0,"",SUM('Semi FCF'!G15:J15)/SUM('Semi Rev'!G15:J15)),"")</f>
        <v/>
      </c>
      <c r="G1294" s="37">
        <f>IFERROR(IF(SUM('Semi Rev'!H15:K15)&lt;=0,"",SUM('Semi FCF'!H15:K15)/SUM('Semi Rev'!H15:K15)),"")</f>
        <v/>
      </c>
      <c r="H1294" s="37">
        <f>IFERROR(IF(SUM('Semi Rev'!I15:L15)&lt;=0,"",SUM('Semi FCF'!I15:L15)/SUM('Semi Rev'!I15:L15)),"")</f>
        <v/>
      </c>
      <c r="I1294" s="37">
        <f>IFERROR(IF(SUM('Semi Rev'!J15:M15)&lt;=0,"",SUM('Semi FCF'!J15:M15)/SUM('Semi Rev'!J15:M15)),"")</f>
        <v/>
      </c>
      <c r="J1294" s="37">
        <f>IFERROR(IF(SUM('Semi Rev'!K15:N15)&lt;=0,"",SUM('Semi FCF'!K15:N15)/SUM('Semi Rev'!K15:N15)),"")</f>
        <v/>
      </c>
      <c r="K1294" s="37">
        <f>IFERROR(IF(SUM('Semi Rev'!L15:O15)&lt;=0,"",SUM('Semi FCF'!L15:O15)/SUM('Semi Rev'!L15:O15)),"")</f>
        <v/>
      </c>
      <c r="L1294" s="37">
        <f>IFERROR(IF(SUM('Semi Rev'!M15:P15)&lt;=0,"",SUM('Semi FCF'!M15:P15)/SUM('Semi Rev'!M15:P15)),"")</f>
        <v/>
      </c>
      <c r="M1294" s="38">
        <f>IFERROR(IF(SUM('Semi Rev'!N15:Q15)&lt;=0,"",SUM('Semi FCF'!N15:Q15)/SUM('Semi Rev'!N15:Q15)),"")</f>
        <v/>
      </c>
      <c r="N1294" s="38">
        <f>IFERROR(IF(SUM('Semi Rev'!O15:R15)&lt;=0,"",SUM('Semi FCF'!O15:R15)/SUM('Semi Rev'!O15:R15)),"")</f>
        <v/>
      </c>
    </row>
    <row r="1295">
      <c r="A1295" s="19">
        <f>'Semi Rev'!$A16</f>
        <v/>
      </c>
      <c r="B1295" s="19">
        <f>'Semi Rev'!$B16</f>
        <v/>
      </c>
      <c r="C1295" s="37">
        <f>IFERROR(IF(SUM('Semi Rev'!D16:G16)&lt;=0,"",SUM('Semi FCF'!D16:G16)/SUM('Semi Rev'!D16:G16)),"")</f>
        <v/>
      </c>
      <c r="D1295" s="37">
        <f>IFERROR(IF(SUM('Semi Rev'!E16:H16)&lt;=0,"",SUM('Semi FCF'!E16:H16)/SUM('Semi Rev'!E16:H16)),"")</f>
        <v/>
      </c>
      <c r="E1295" s="37">
        <f>IFERROR(IF(SUM('Semi Rev'!F16:I16)&lt;=0,"",SUM('Semi FCF'!F16:I16)/SUM('Semi Rev'!F16:I16)),"")</f>
        <v/>
      </c>
      <c r="F1295" s="37">
        <f>IFERROR(IF(SUM('Semi Rev'!G16:J16)&lt;=0,"",SUM('Semi FCF'!G16:J16)/SUM('Semi Rev'!G16:J16)),"")</f>
        <v/>
      </c>
      <c r="G1295" s="37">
        <f>IFERROR(IF(SUM('Semi Rev'!H16:K16)&lt;=0,"",SUM('Semi FCF'!H16:K16)/SUM('Semi Rev'!H16:K16)),"")</f>
        <v/>
      </c>
      <c r="H1295" s="37">
        <f>IFERROR(IF(SUM('Semi Rev'!I16:L16)&lt;=0,"",SUM('Semi FCF'!I16:L16)/SUM('Semi Rev'!I16:L16)),"")</f>
        <v/>
      </c>
      <c r="I1295" s="37">
        <f>IFERROR(IF(SUM('Semi Rev'!J16:M16)&lt;=0,"",SUM('Semi FCF'!J16:M16)/SUM('Semi Rev'!J16:M16)),"")</f>
        <v/>
      </c>
      <c r="J1295" s="37">
        <f>IFERROR(IF(SUM('Semi Rev'!K16:N16)&lt;=0,"",SUM('Semi FCF'!K16:N16)/SUM('Semi Rev'!K16:N16)),"")</f>
        <v/>
      </c>
      <c r="K1295" s="37">
        <f>IFERROR(IF(SUM('Semi Rev'!L16:O16)&lt;=0,"",SUM('Semi FCF'!L16:O16)/SUM('Semi Rev'!L16:O16)),"")</f>
        <v/>
      </c>
      <c r="L1295" s="37">
        <f>IFERROR(IF(SUM('Semi Rev'!M16:P16)&lt;=0,"",SUM('Semi FCF'!M16:P16)/SUM('Semi Rev'!M16:P16)),"")</f>
        <v/>
      </c>
      <c r="M1295" s="38">
        <f>IFERROR(IF(SUM('Semi Rev'!N16:Q16)&lt;=0,"",SUM('Semi FCF'!N16:Q16)/SUM('Semi Rev'!N16:Q16)),"")</f>
        <v/>
      </c>
      <c r="N1295" s="38">
        <f>IFERROR(IF(SUM('Semi Rev'!O16:R16)&lt;=0,"",SUM('Semi FCF'!O16:R16)/SUM('Semi Rev'!O16:R16)),"")</f>
        <v/>
      </c>
    </row>
    <row r="1296">
      <c r="A1296" s="19">
        <f>'Semi Rev'!$A17</f>
        <v/>
      </c>
      <c r="B1296" s="19">
        <f>'Semi Rev'!$B17</f>
        <v/>
      </c>
      <c r="C1296" s="37">
        <f>IFERROR(IF(SUM('Semi Rev'!D17:G17)&lt;=0,"",SUM('Semi FCF'!D17:G17)/SUM('Semi Rev'!D17:G17)),"")</f>
        <v/>
      </c>
      <c r="D1296" s="37">
        <f>IFERROR(IF(SUM('Semi Rev'!E17:H17)&lt;=0,"",SUM('Semi FCF'!E17:H17)/SUM('Semi Rev'!E17:H17)),"")</f>
        <v/>
      </c>
      <c r="E1296" s="37">
        <f>IFERROR(IF(SUM('Semi Rev'!F17:I17)&lt;=0,"",SUM('Semi FCF'!F17:I17)/SUM('Semi Rev'!F17:I17)),"")</f>
        <v/>
      </c>
      <c r="F1296" s="37">
        <f>IFERROR(IF(SUM('Semi Rev'!G17:J17)&lt;=0,"",SUM('Semi FCF'!G17:J17)/SUM('Semi Rev'!G17:J17)),"")</f>
        <v/>
      </c>
      <c r="G1296" s="37">
        <f>IFERROR(IF(SUM('Semi Rev'!H17:K17)&lt;=0,"",SUM('Semi FCF'!H17:K17)/SUM('Semi Rev'!H17:K17)),"")</f>
        <v/>
      </c>
      <c r="H1296" s="37">
        <f>IFERROR(IF(SUM('Semi Rev'!I17:L17)&lt;=0,"",SUM('Semi FCF'!I17:L17)/SUM('Semi Rev'!I17:L17)),"")</f>
        <v/>
      </c>
      <c r="I1296" s="37">
        <f>IFERROR(IF(SUM('Semi Rev'!J17:M17)&lt;=0,"",SUM('Semi FCF'!J17:M17)/SUM('Semi Rev'!J17:M17)),"")</f>
        <v/>
      </c>
      <c r="J1296" s="37">
        <f>IFERROR(IF(SUM('Semi Rev'!K17:N17)&lt;=0,"",SUM('Semi FCF'!K17:N17)/SUM('Semi Rev'!K17:N17)),"")</f>
        <v/>
      </c>
      <c r="K1296" s="37">
        <f>IFERROR(IF(SUM('Semi Rev'!L17:O17)&lt;=0,"",SUM('Semi FCF'!L17:O17)/SUM('Semi Rev'!L17:O17)),"")</f>
        <v/>
      </c>
      <c r="L1296" s="37">
        <f>IFERROR(IF(SUM('Semi Rev'!M17:P17)&lt;=0,"",SUM('Semi FCF'!M17:P17)/SUM('Semi Rev'!M17:P17)),"")</f>
        <v/>
      </c>
      <c r="M1296" s="38">
        <f>IFERROR(IF(SUM('Semi Rev'!N17:Q17)&lt;=0,"",SUM('Semi FCF'!N17:Q17)/SUM('Semi Rev'!N17:Q17)),"")</f>
        <v/>
      </c>
      <c r="N1296" s="38">
        <f>IFERROR(IF(SUM('Semi Rev'!O17:R17)&lt;=0,"",SUM('Semi FCF'!O17:R17)/SUM('Semi Rev'!O17:R17)),"")</f>
        <v/>
      </c>
    </row>
    <row r="1297">
      <c r="A1297" s="19">
        <f>'Semi Rev'!$A18</f>
        <v/>
      </c>
      <c r="B1297" s="19">
        <f>'Semi Rev'!$B18</f>
        <v/>
      </c>
      <c r="C1297" s="37">
        <f>IFERROR(IF(SUM('Semi Rev'!D18:G18)&lt;=0,"",SUM('Semi FCF'!D18:G18)/SUM('Semi Rev'!D18:G18)),"")</f>
        <v/>
      </c>
      <c r="D1297" s="37">
        <f>IFERROR(IF(SUM('Semi Rev'!E18:H18)&lt;=0,"",SUM('Semi FCF'!E18:H18)/SUM('Semi Rev'!E18:H18)),"")</f>
        <v/>
      </c>
      <c r="E1297" s="37">
        <f>IFERROR(IF(SUM('Semi Rev'!F18:I18)&lt;=0,"",SUM('Semi FCF'!F18:I18)/SUM('Semi Rev'!F18:I18)),"")</f>
        <v/>
      </c>
      <c r="F1297" s="37">
        <f>IFERROR(IF(SUM('Semi Rev'!G18:J18)&lt;=0,"",SUM('Semi FCF'!G18:J18)/SUM('Semi Rev'!G18:J18)),"")</f>
        <v/>
      </c>
      <c r="G1297" s="37">
        <f>IFERROR(IF(SUM('Semi Rev'!H18:K18)&lt;=0,"",SUM('Semi FCF'!H18:K18)/SUM('Semi Rev'!H18:K18)),"")</f>
        <v/>
      </c>
      <c r="H1297" s="37">
        <f>IFERROR(IF(SUM('Semi Rev'!I18:L18)&lt;=0,"",SUM('Semi FCF'!I18:L18)/SUM('Semi Rev'!I18:L18)),"")</f>
        <v/>
      </c>
      <c r="I1297" s="37">
        <f>IFERROR(IF(SUM('Semi Rev'!J18:M18)&lt;=0,"",SUM('Semi FCF'!J18:M18)/SUM('Semi Rev'!J18:M18)),"")</f>
        <v/>
      </c>
      <c r="J1297" s="37">
        <f>IFERROR(IF(SUM('Semi Rev'!K18:N18)&lt;=0,"",SUM('Semi FCF'!K18:N18)/SUM('Semi Rev'!K18:N18)),"")</f>
        <v/>
      </c>
      <c r="K1297" s="37">
        <f>IFERROR(IF(SUM('Semi Rev'!L18:O18)&lt;=0,"",SUM('Semi FCF'!L18:O18)/SUM('Semi Rev'!L18:O18)),"")</f>
        <v/>
      </c>
      <c r="L1297" s="37">
        <f>IFERROR(IF(SUM('Semi Rev'!M18:P18)&lt;=0,"",SUM('Semi FCF'!M18:P18)/SUM('Semi Rev'!M18:P18)),"")</f>
        <v/>
      </c>
      <c r="M1297" s="38">
        <f>IFERROR(IF(SUM('Semi Rev'!N18:Q18)&lt;=0,"",SUM('Semi FCF'!N18:Q18)/SUM('Semi Rev'!N18:Q18)),"")</f>
        <v/>
      </c>
      <c r="N1297" s="38">
        <f>IFERROR(IF(SUM('Semi Rev'!O18:R18)&lt;=0,"",SUM('Semi FCF'!O18:R18)/SUM('Semi Rev'!O18:R18)),"")</f>
        <v/>
      </c>
    </row>
    <row r="1298">
      <c r="A1298" s="19">
        <f>'Semi Rev'!$A19</f>
        <v/>
      </c>
      <c r="B1298" s="19">
        <f>'Semi Rev'!$B19</f>
        <v/>
      </c>
      <c r="C1298" s="37">
        <f>IFERROR(IF(SUM('Semi Rev'!D19:G19)&lt;=0,"",SUM('Semi FCF'!D19:G19)/SUM('Semi Rev'!D19:G19)),"")</f>
        <v/>
      </c>
      <c r="D1298" s="37">
        <f>IFERROR(IF(SUM('Semi Rev'!E19:H19)&lt;=0,"",SUM('Semi FCF'!E19:H19)/SUM('Semi Rev'!E19:H19)),"")</f>
        <v/>
      </c>
      <c r="E1298" s="37">
        <f>IFERROR(IF(SUM('Semi Rev'!F19:I19)&lt;=0,"",SUM('Semi FCF'!F19:I19)/SUM('Semi Rev'!F19:I19)),"")</f>
        <v/>
      </c>
      <c r="F1298" s="37">
        <f>IFERROR(IF(SUM('Semi Rev'!G19:J19)&lt;=0,"",SUM('Semi FCF'!G19:J19)/SUM('Semi Rev'!G19:J19)),"")</f>
        <v/>
      </c>
      <c r="G1298" s="37">
        <f>IFERROR(IF(SUM('Semi Rev'!H19:K19)&lt;=0,"",SUM('Semi FCF'!H19:K19)/SUM('Semi Rev'!H19:K19)),"")</f>
        <v/>
      </c>
      <c r="H1298" s="37">
        <f>IFERROR(IF(SUM('Semi Rev'!I19:L19)&lt;=0,"",SUM('Semi FCF'!I19:L19)/SUM('Semi Rev'!I19:L19)),"")</f>
        <v/>
      </c>
      <c r="I1298" s="37">
        <f>IFERROR(IF(SUM('Semi Rev'!J19:M19)&lt;=0,"",SUM('Semi FCF'!J19:M19)/SUM('Semi Rev'!J19:M19)),"")</f>
        <v/>
      </c>
      <c r="J1298" s="37">
        <f>IFERROR(IF(SUM('Semi Rev'!K19:N19)&lt;=0,"",SUM('Semi FCF'!K19:N19)/SUM('Semi Rev'!K19:N19)),"")</f>
        <v/>
      </c>
      <c r="K1298" s="37">
        <f>IFERROR(IF(SUM('Semi Rev'!L19:O19)&lt;=0,"",SUM('Semi FCF'!L19:O19)/SUM('Semi Rev'!L19:O19)),"")</f>
        <v/>
      </c>
      <c r="L1298" s="37">
        <f>IFERROR(IF(SUM('Semi Rev'!M19:P19)&lt;=0,"",SUM('Semi FCF'!M19:P19)/SUM('Semi Rev'!M19:P19)),"")</f>
        <v/>
      </c>
      <c r="M1298" s="38">
        <f>IFERROR(IF(SUM('Semi Rev'!N19:Q19)&lt;=0,"",SUM('Semi FCF'!N19:Q19)/SUM('Semi Rev'!N19:Q19)),"")</f>
        <v/>
      </c>
      <c r="N1298" s="38">
        <f>IFERROR(IF(SUM('Semi Rev'!O19:R19)&lt;=0,"",SUM('Semi FCF'!O19:R19)/SUM('Semi Rev'!O19:R19)),"")</f>
        <v/>
      </c>
    </row>
    <row r="1299">
      <c r="A1299" s="19">
        <f>'Semi Rev'!$A20</f>
        <v/>
      </c>
      <c r="B1299" s="19">
        <f>'Semi Rev'!$B20</f>
        <v/>
      </c>
      <c r="C1299" s="37">
        <f>IFERROR(IF(SUM('Semi Rev'!D20:G20)&lt;=0,"",SUM('Semi FCF'!D20:G20)/SUM('Semi Rev'!D20:G20)),"")</f>
        <v/>
      </c>
      <c r="D1299" s="37">
        <f>IFERROR(IF(SUM('Semi Rev'!E20:H20)&lt;=0,"",SUM('Semi FCF'!E20:H20)/SUM('Semi Rev'!E20:H20)),"")</f>
        <v/>
      </c>
      <c r="E1299" s="37">
        <f>IFERROR(IF(SUM('Semi Rev'!F20:I20)&lt;=0,"",SUM('Semi FCF'!F20:I20)/SUM('Semi Rev'!F20:I20)),"")</f>
        <v/>
      </c>
      <c r="F1299" s="37">
        <f>IFERROR(IF(SUM('Semi Rev'!G20:J20)&lt;=0,"",SUM('Semi FCF'!G20:J20)/SUM('Semi Rev'!G20:J20)),"")</f>
        <v/>
      </c>
      <c r="G1299" s="37">
        <f>IFERROR(IF(SUM('Semi Rev'!H20:K20)&lt;=0,"",SUM('Semi FCF'!H20:K20)/SUM('Semi Rev'!H20:K20)),"")</f>
        <v/>
      </c>
      <c r="H1299" s="37">
        <f>IFERROR(IF(SUM('Semi Rev'!I20:L20)&lt;=0,"",SUM('Semi FCF'!I20:L20)/SUM('Semi Rev'!I20:L20)),"")</f>
        <v/>
      </c>
      <c r="I1299" s="37">
        <f>IFERROR(IF(SUM('Semi Rev'!J20:M20)&lt;=0,"",SUM('Semi FCF'!J20:M20)/SUM('Semi Rev'!J20:M20)),"")</f>
        <v/>
      </c>
      <c r="J1299" s="37">
        <f>IFERROR(IF(SUM('Semi Rev'!K20:N20)&lt;=0,"",SUM('Semi FCF'!K20:N20)/SUM('Semi Rev'!K20:N20)),"")</f>
        <v/>
      </c>
      <c r="K1299" s="37">
        <f>IFERROR(IF(SUM('Semi Rev'!L20:O20)&lt;=0,"",SUM('Semi FCF'!L20:O20)/SUM('Semi Rev'!L20:O20)),"")</f>
        <v/>
      </c>
      <c r="L1299" s="37">
        <f>IFERROR(IF(SUM('Semi Rev'!M20:P20)&lt;=0,"",SUM('Semi FCF'!M20:P20)/SUM('Semi Rev'!M20:P20)),"")</f>
        <v/>
      </c>
      <c r="M1299" s="38">
        <f>IFERROR(IF(SUM('Semi Rev'!N20:Q20)&lt;=0,"",SUM('Semi FCF'!N20:Q20)/SUM('Semi Rev'!N20:Q20)),"")</f>
        <v/>
      </c>
      <c r="N1299" s="38">
        <f>IFERROR(IF(SUM('Semi Rev'!O20:R20)&lt;=0,"",SUM('Semi FCF'!O20:R20)/SUM('Semi Rev'!O20:R20)),"")</f>
        <v/>
      </c>
    </row>
    <row r="1300">
      <c r="A1300" s="19">
        <f>'Semi Rev'!$A21</f>
        <v/>
      </c>
      <c r="B1300" s="19">
        <f>'Semi Rev'!$B21</f>
        <v/>
      </c>
      <c r="C1300" s="37">
        <f>IFERROR(IF(SUM('Semi Rev'!D21:G21)&lt;=0,"",SUM('Semi FCF'!D21:G21)/SUM('Semi Rev'!D21:G21)),"")</f>
        <v/>
      </c>
      <c r="D1300" s="37">
        <f>IFERROR(IF(SUM('Semi Rev'!E21:H21)&lt;=0,"",SUM('Semi FCF'!E21:H21)/SUM('Semi Rev'!E21:H21)),"")</f>
        <v/>
      </c>
      <c r="E1300" s="37">
        <f>IFERROR(IF(SUM('Semi Rev'!F21:I21)&lt;=0,"",SUM('Semi FCF'!F21:I21)/SUM('Semi Rev'!F21:I21)),"")</f>
        <v/>
      </c>
      <c r="F1300" s="37">
        <f>IFERROR(IF(SUM('Semi Rev'!G21:J21)&lt;=0,"",SUM('Semi FCF'!G21:J21)/SUM('Semi Rev'!G21:J21)),"")</f>
        <v/>
      </c>
      <c r="G1300" s="37">
        <f>IFERROR(IF(SUM('Semi Rev'!H21:K21)&lt;=0,"",SUM('Semi FCF'!H21:K21)/SUM('Semi Rev'!H21:K21)),"")</f>
        <v/>
      </c>
      <c r="H1300" s="37">
        <f>IFERROR(IF(SUM('Semi Rev'!I21:L21)&lt;=0,"",SUM('Semi FCF'!I21:L21)/SUM('Semi Rev'!I21:L21)),"")</f>
        <v/>
      </c>
      <c r="I1300" s="37">
        <f>IFERROR(IF(SUM('Semi Rev'!J21:M21)&lt;=0,"",SUM('Semi FCF'!J21:M21)/SUM('Semi Rev'!J21:M21)),"")</f>
        <v/>
      </c>
      <c r="J1300" s="37">
        <f>IFERROR(IF(SUM('Semi Rev'!K21:N21)&lt;=0,"",SUM('Semi FCF'!K21:N21)/SUM('Semi Rev'!K21:N21)),"")</f>
        <v/>
      </c>
      <c r="K1300" s="37">
        <f>IFERROR(IF(SUM('Semi Rev'!L21:O21)&lt;=0,"",SUM('Semi FCF'!L21:O21)/SUM('Semi Rev'!L21:O21)),"")</f>
        <v/>
      </c>
      <c r="L1300" s="37">
        <f>IFERROR(IF(SUM('Semi Rev'!M21:P21)&lt;=0,"",SUM('Semi FCF'!M21:P21)/SUM('Semi Rev'!M21:P21)),"")</f>
        <v/>
      </c>
      <c r="M1300" s="38">
        <f>IFERROR(IF(SUM('Semi Rev'!N21:Q21)&lt;=0,"",SUM('Semi FCF'!N21:Q21)/SUM('Semi Rev'!N21:Q21)),"")</f>
        <v/>
      </c>
      <c r="N1300" s="38">
        <f>IFERROR(IF(SUM('Semi Rev'!O21:R21)&lt;=0,"",SUM('Semi FCF'!O21:R21)/SUM('Semi Rev'!O21:R21)),"")</f>
        <v/>
      </c>
    </row>
    <row r="1301">
      <c r="A1301" s="19">
        <f>'Semi Rev'!$A22</f>
        <v/>
      </c>
      <c r="B1301" s="19">
        <f>'Semi Rev'!$B22</f>
        <v/>
      </c>
      <c r="C1301" s="37">
        <f>IFERROR(IF(SUM('Semi Rev'!D22:G22)&lt;=0,"",SUM('Semi FCF'!D22:G22)/SUM('Semi Rev'!D22:G22)),"")</f>
        <v/>
      </c>
      <c r="D1301" s="37">
        <f>IFERROR(IF(SUM('Semi Rev'!E22:H22)&lt;=0,"",SUM('Semi FCF'!E22:H22)/SUM('Semi Rev'!E22:H22)),"")</f>
        <v/>
      </c>
      <c r="E1301" s="37">
        <f>IFERROR(IF(SUM('Semi Rev'!F22:I22)&lt;=0,"",SUM('Semi FCF'!F22:I22)/SUM('Semi Rev'!F22:I22)),"")</f>
        <v/>
      </c>
      <c r="F1301" s="37">
        <f>IFERROR(IF(SUM('Semi Rev'!G22:J22)&lt;=0,"",SUM('Semi FCF'!G22:J22)/SUM('Semi Rev'!G22:J22)),"")</f>
        <v/>
      </c>
      <c r="G1301" s="37">
        <f>IFERROR(IF(SUM('Semi Rev'!H22:K22)&lt;=0,"",SUM('Semi FCF'!H22:K22)/SUM('Semi Rev'!H22:K22)),"")</f>
        <v/>
      </c>
      <c r="H1301" s="37">
        <f>IFERROR(IF(SUM('Semi Rev'!I22:L22)&lt;=0,"",SUM('Semi FCF'!I22:L22)/SUM('Semi Rev'!I22:L22)),"")</f>
        <v/>
      </c>
      <c r="I1301" s="37">
        <f>IFERROR(IF(SUM('Semi Rev'!J22:M22)&lt;=0,"",SUM('Semi FCF'!J22:M22)/SUM('Semi Rev'!J22:M22)),"")</f>
        <v/>
      </c>
      <c r="J1301" s="37">
        <f>IFERROR(IF(SUM('Semi Rev'!K22:N22)&lt;=0,"",SUM('Semi FCF'!K22:N22)/SUM('Semi Rev'!K22:N22)),"")</f>
        <v/>
      </c>
      <c r="K1301" s="37">
        <f>IFERROR(IF(SUM('Semi Rev'!L22:O22)&lt;=0,"",SUM('Semi FCF'!L22:O22)/SUM('Semi Rev'!L22:O22)),"")</f>
        <v/>
      </c>
      <c r="L1301" s="37">
        <f>IFERROR(IF(SUM('Semi Rev'!M22:P22)&lt;=0,"",SUM('Semi FCF'!M22:P22)/SUM('Semi Rev'!M22:P22)),"")</f>
        <v/>
      </c>
      <c r="M1301" s="38">
        <f>IFERROR(IF(SUM('Semi Rev'!N22:Q22)&lt;=0,"",SUM('Semi FCF'!N22:Q22)/SUM('Semi Rev'!N22:Q22)),"")</f>
        <v/>
      </c>
      <c r="N1301" s="38">
        <f>IFERROR(IF(SUM('Semi Rev'!O22:R22)&lt;=0,"",SUM('Semi FCF'!O22:R22)/SUM('Semi Rev'!O22:R22)),"")</f>
        <v/>
      </c>
    </row>
    <row r="1302">
      <c r="A1302" s="19">
        <f>'Semi Rev'!$A23</f>
        <v/>
      </c>
      <c r="B1302" s="19">
        <f>'Semi Rev'!$B23</f>
        <v/>
      </c>
      <c r="C1302" s="37">
        <f>IFERROR(IF(SUM('Semi Rev'!D23:G23)&lt;=0,"",SUM('Semi FCF'!D23:G23)/SUM('Semi Rev'!D23:G23)),"")</f>
        <v/>
      </c>
      <c r="D1302" s="37">
        <f>IFERROR(IF(SUM('Semi Rev'!E23:H23)&lt;=0,"",SUM('Semi FCF'!E23:H23)/SUM('Semi Rev'!E23:H23)),"")</f>
        <v/>
      </c>
      <c r="E1302" s="37">
        <f>IFERROR(IF(SUM('Semi Rev'!F23:I23)&lt;=0,"",SUM('Semi FCF'!F23:I23)/SUM('Semi Rev'!F23:I23)),"")</f>
        <v/>
      </c>
      <c r="F1302" s="37">
        <f>IFERROR(IF(SUM('Semi Rev'!G23:J23)&lt;=0,"",SUM('Semi FCF'!G23:J23)/SUM('Semi Rev'!G23:J23)),"")</f>
        <v/>
      </c>
      <c r="G1302" s="37">
        <f>IFERROR(IF(SUM('Semi Rev'!H23:K23)&lt;=0,"",SUM('Semi FCF'!H23:K23)/SUM('Semi Rev'!H23:K23)),"")</f>
        <v/>
      </c>
      <c r="H1302" s="37">
        <f>IFERROR(IF(SUM('Semi Rev'!I23:L23)&lt;=0,"",SUM('Semi FCF'!I23:L23)/SUM('Semi Rev'!I23:L23)),"")</f>
        <v/>
      </c>
      <c r="I1302" s="37">
        <f>IFERROR(IF(SUM('Semi Rev'!J23:M23)&lt;=0,"",SUM('Semi FCF'!J23:M23)/SUM('Semi Rev'!J23:M23)),"")</f>
        <v/>
      </c>
      <c r="J1302" s="37">
        <f>IFERROR(IF(SUM('Semi Rev'!K23:N23)&lt;=0,"",SUM('Semi FCF'!K23:N23)/SUM('Semi Rev'!K23:N23)),"")</f>
        <v/>
      </c>
      <c r="K1302" s="37">
        <f>IFERROR(IF(SUM('Semi Rev'!L23:O23)&lt;=0,"",SUM('Semi FCF'!L23:O23)/SUM('Semi Rev'!L23:O23)),"")</f>
        <v/>
      </c>
      <c r="L1302" s="37">
        <f>IFERROR(IF(SUM('Semi Rev'!M23:P23)&lt;=0,"",SUM('Semi FCF'!M23:P23)/SUM('Semi Rev'!M23:P23)),"")</f>
        <v/>
      </c>
      <c r="M1302" s="38">
        <f>IFERROR(IF(SUM('Semi Rev'!N23:Q23)&lt;=0,"",SUM('Semi FCF'!N23:Q23)/SUM('Semi Rev'!N23:Q23)),"")</f>
        <v/>
      </c>
      <c r="N1302" s="38">
        <f>IFERROR(IF(SUM('Semi Rev'!O23:R23)&lt;=0,"",SUM('Semi FCF'!O23:R23)/SUM('Semi Rev'!O23:R23)),"")</f>
        <v/>
      </c>
    </row>
    <row r="1303">
      <c r="A1303" s="19">
        <f>'Semi Rev'!$A24</f>
        <v/>
      </c>
      <c r="B1303" s="19">
        <f>'Semi Rev'!$B24</f>
        <v/>
      </c>
      <c r="C1303" s="37">
        <f>IFERROR(IF(SUM('Semi Rev'!D24:G24)&lt;=0,"",SUM('Semi FCF'!D24:G24)/SUM('Semi Rev'!D24:G24)),"")</f>
        <v/>
      </c>
      <c r="D1303" s="37">
        <f>IFERROR(IF(SUM('Semi Rev'!E24:H24)&lt;=0,"",SUM('Semi FCF'!E24:H24)/SUM('Semi Rev'!E24:H24)),"")</f>
        <v/>
      </c>
      <c r="E1303" s="37">
        <f>IFERROR(IF(SUM('Semi Rev'!F24:I24)&lt;=0,"",SUM('Semi FCF'!F24:I24)/SUM('Semi Rev'!F24:I24)),"")</f>
        <v/>
      </c>
      <c r="F1303" s="37">
        <f>IFERROR(IF(SUM('Semi Rev'!G24:J24)&lt;=0,"",SUM('Semi FCF'!G24:J24)/SUM('Semi Rev'!G24:J24)),"")</f>
        <v/>
      </c>
      <c r="G1303" s="37">
        <f>IFERROR(IF(SUM('Semi Rev'!H24:K24)&lt;=0,"",SUM('Semi FCF'!H24:K24)/SUM('Semi Rev'!H24:K24)),"")</f>
        <v/>
      </c>
      <c r="H1303" s="37">
        <f>IFERROR(IF(SUM('Semi Rev'!I24:L24)&lt;=0,"",SUM('Semi FCF'!I24:L24)/SUM('Semi Rev'!I24:L24)),"")</f>
        <v/>
      </c>
      <c r="I1303" s="37">
        <f>IFERROR(IF(SUM('Semi Rev'!J24:M24)&lt;=0,"",SUM('Semi FCF'!J24:M24)/SUM('Semi Rev'!J24:M24)),"")</f>
        <v/>
      </c>
      <c r="J1303" s="37">
        <f>IFERROR(IF(SUM('Semi Rev'!K24:N24)&lt;=0,"",SUM('Semi FCF'!K24:N24)/SUM('Semi Rev'!K24:N24)),"")</f>
        <v/>
      </c>
      <c r="K1303" s="37">
        <f>IFERROR(IF(SUM('Semi Rev'!L24:O24)&lt;=0,"",SUM('Semi FCF'!L24:O24)/SUM('Semi Rev'!L24:O24)),"")</f>
        <v/>
      </c>
      <c r="L1303" s="37">
        <f>IFERROR(IF(SUM('Semi Rev'!M24:P24)&lt;=0,"",SUM('Semi FCF'!M24:P24)/SUM('Semi Rev'!M24:P24)),"")</f>
        <v/>
      </c>
      <c r="M1303" s="38">
        <f>IFERROR(IF(SUM('Semi Rev'!N24:Q24)&lt;=0,"",SUM('Semi FCF'!N24:Q24)/SUM('Semi Rev'!N24:Q24)),"")</f>
        <v/>
      </c>
      <c r="N1303" s="38">
        <f>IFERROR(IF(SUM('Semi Rev'!O24:R24)&lt;=0,"",SUM('Semi FCF'!O24:R24)/SUM('Semi Rev'!O24:R24)),"")</f>
        <v/>
      </c>
    </row>
    <row r="1304">
      <c r="A1304" s="19">
        <f>'Semi Rev'!$A25</f>
        <v/>
      </c>
      <c r="B1304" s="19">
        <f>'Semi Rev'!$B25</f>
        <v/>
      </c>
      <c r="C1304" s="37">
        <f>IFERROR(IF(SUM('Semi Rev'!D25:G25)&lt;=0,"",SUM('Semi FCF'!D25:G25)/SUM('Semi Rev'!D25:G25)),"")</f>
        <v/>
      </c>
      <c r="D1304" s="37">
        <f>IFERROR(IF(SUM('Semi Rev'!E25:H25)&lt;=0,"",SUM('Semi FCF'!E25:H25)/SUM('Semi Rev'!E25:H25)),"")</f>
        <v/>
      </c>
      <c r="E1304" s="37">
        <f>IFERROR(IF(SUM('Semi Rev'!F25:I25)&lt;=0,"",SUM('Semi FCF'!F25:I25)/SUM('Semi Rev'!F25:I25)),"")</f>
        <v/>
      </c>
      <c r="F1304" s="37">
        <f>IFERROR(IF(SUM('Semi Rev'!G25:J25)&lt;=0,"",SUM('Semi FCF'!G25:J25)/SUM('Semi Rev'!G25:J25)),"")</f>
        <v/>
      </c>
      <c r="G1304" s="37">
        <f>IFERROR(IF(SUM('Semi Rev'!H25:K25)&lt;=0,"",SUM('Semi FCF'!H25:K25)/SUM('Semi Rev'!H25:K25)),"")</f>
        <v/>
      </c>
      <c r="H1304" s="37">
        <f>IFERROR(IF(SUM('Semi Rev'!I25:L25)&lt;=0,"",SUM('Semi FCF'!I25:L25)/SUM('Semi Rev'!I25:L25)),"")</f>
        <v/>
      </c>
      <c r="I1304" s="37">
        <f>IFERROR(IF(SUM('Semi Rev'!J25:M25)&lt;=0,"",SUM('Semi FCF'!J25:M25)/SUM('Semi Rev'!J25:M25)),"")</f>
        <v/>
      </c>
      <c r="J1304" s="37">
        <f>IFERROR(IF(SUM('Semi Rev'!K25:N25)&lt;=0,"",SUM('Semi FCF'!K25:N25)/SUM('Semi Rev'!K25:N25)),"")</f>
        <v/>
      </c>
      <c r="K1304" s="37">
        <f>IFERROR(IF(SUM('Semi Rev'!L25:O25)&lt;=0,"",SUM('Semi FCF'!L25:O25)/SUM('Semi Rev'!L25:O25)),"")</f>
        <v/>
      </c>
      <c r="L1304" s="37">
        <f>IFERROR(IF(SUM('Semi Rev'!M25:P25)&lt;=0,"",SUM('Semi FCF'!M25:P25)/SUM('Semi Rev'!M25:P25)),"")</f>
        <v/>
      </c>
      <c r="M1304" s="38">
        <f>IFERROR(IF(SUM('Semi Rev'!N25:Q25)&lt;=0,"",SUM('Semi FCF'!N25:Q25)/SUM('Semi Rev'!N25:Q25)),"")</f>
        <v/>
      </c>
      <c r="N1304" s="38">
        <f>IFERROR(IF(SUM('Semi Rev'!O25:R25)&lt;=0,"",SUM('Semi FCF'!O25:R25)/SUM('Semi Rev'!O25:R25)),"")</f>
        <v/>
      </c>
    </row>
    <row r="1305">
      <c r="A1305" s="19">
        <f>'Semi Rev'!$A26</f>
        <v/>
      </c>
      <c r="B1305" s="19">
        <f>'Semi Rev'!$B26</f>
        <v/>
      </c>
      <c r="C1305" s="37">
        <f>IFERROR(IF(SUM('Semi Rev'!D26:G26)&lt;=0,"",SUM('Semi FCF'!D26:G26)/SUM('Semi Rev'!D26:G26)),"")</f>
        <v/>
      </c>
      <c r="D1305" s="37">
        <f>IFERROR(IF(SUM('Semi Rev'!E26:H26)&lt;=0,"",SUM('Semi FCF'!E26:H26)/SUM('Semi Rev'!E26:H26)),"")</f>
        <v/>
      </c>
      <c r="E1305" s="37">
        <f>IFERROR(IF(SUM('Semi Rev'!F26:I26)&lt;=0,"",SUM('Semi FCF'!F26:I26)/SUM('Semi Rev'!F26:I26)),"")</f>
        <v/>
      </c>
      <c r="F1305" s="37">
        <f>IFERROR(IF(SUM('Semi Rev'!G26:J26)&lt;=0,"",SUM('Semi FCF'!G26:J26)/SUM('Semi Rev'!G26:J26)),"")</f>
        <v/>
      </c>
      <c r="G1305" s="37">
        <f>IFERROR(IF(SUM('Semi Rev'!H26:K26)&lt;=0,"",SUM('Semi FCF'!H26:K26)/SUM('Semi Rev'!H26:K26)),"")</f>
        <v/>
      </c>
      <c r="H1305" s="37">
        <f>IFERROR(IF(SUM('Semi Rev'!I26:L26)&lt;=0,"",SUM('Semi FCF'!I26:L26)/SUM('Semi Rev'!I26:L26)),"")</f>
        <v/>
      </c>
      <c r="I1305" s="37">
        <f>IFERROR(IF(SUM('Semi Rev'!J26:M26)&lt;=0,"",SUM('Semi FCF'!J26:M26)/SUM('Semi Rev'!J26:M26)),"")</f>
        <v/>
      </c>
      <c r="J1305" s="37">
        <f>IFERROR(IF(SUM('Semi Rev'!K26:N26)&lt;=0,"",SUM('Semi FCF'!K26:N26)/SUM('Semi Rev'!K26:N26)),"")</f>
        <v/>
      </c>
      <c r="K1305" s="37">
        <f>IFERROR(IF(SUM('Semi Rev'!L26:O26)&lt;=0,"",SUM('Semi FCF'!L26:O26)/SUM('Semi Rev'!L26:O26)),"")</f>
        <v/>
      </c>
      <c r="L1305" s="37">
        <f>IFERROR(IF(SUM('Semi Rev'!M26:P26)&lt;=0,"",SUM('Semi FCF'!M26:P26)/SUM('Semi Rev'!M26:P26)),"")</f>
        <v/>
      </c>
      <c r="M1305" s="38">
        <f>IFERROR(IF(SUM('Semi Rev'!N26:Q26)&lt;=0,"",SUM('Semi FCF'!N26:Q26)/SUM('Semi Rev'!N26:Q26)),"")</f>
        <v/>
      </c>
      <c r="N1305" s="38">
        <f>IFERROR(IF(SUM('Semi Rev'!O26:R26)&lt;=0,"",SUM('Semi FCF'!O26:R26)/SUM('Semi Rev'!O26:R26)),"")</f>
        <v/>
      </c>
    </row>
    <row r="1306">
      <c r="A1306" s="19">
        <f>'Semi Rev'!$A27</f>
        <v/>
      </c>
      <c r="B1306" s="19">
        <f>'Semi Rev'!$B27</f>
        <v/>
      </c>
      <c r="C1306" s="37">
        <f>IFERROR(IF(SUM('Semi Rev'!D27:G27)&lt;=0,"",SUM('Semi FCF'!D27:G27)/SUM('Semi Rev'!D27:G27)),"")</f>
        <v/>
      </c>
      <c r="D1306" s="37">
        <f>IFERROR(IF(SUM('Semi Rev'!E27:H27)&lt;=0,"",SUM('Semi FCF'!E27:H27)/SUM('Semi Rev'!E27:H27)),"")</f>
        <v/>
      </c>
      <c r="E1306" s="37">
        <f>IFERROR(IF(SUM('Semi Rev'!F27:I27)&lt;=0,"",SUM('Semi FCF'!F27:I27)/SUM('Semi Rev'!F27:I27)),"")</f>
        <v/>
      </c>
      <c r="F1306" s="37">
        <f>IFERROR(IF(SUM('Semi Rev'!G27:J27)&lt;=0,"",SUM('Semi FCF'!G27:J27)/SUM('Semi Rev'!G27:J27)),"")</f>
        <v/>
      </c>
      <c r="G1306" s="37">
        <f>IFERROR(IF(SUM('Semi Rev'!H27:K27)&lt;=0,"",SUM('Semi FCF'!H27:K27)/SUM('Semi Rev'!H27:K27)),"")</f>
        <v/>
      </c>
      <c r="H1306" s="37">
        <f>IFERROR(IF(SUM('Semi Rev'!I27:L27)&lt;=0,"",SUM('Semi FCF'!I27:L27)/SUM('Semi Rev'!I27:L27)),"")</f>
        <v/>
      </c>
      <c r="I1306" s="37">
        <f>IFERROR(IF(SUM('Semi Rev'!J27:M27)&lt;=0,"",SUM('Semi FCF'!J27:M27)/SUM('Semi Rev'!J27:M27)),"")</f>
        <v/>
      </c>
      <c r="J1306" s="37">
        <f>IFERROR(IF(SUM('Semi Rev'!K27:N27)&lt;=0,"",SUM('Semi FCF'!K27:N27)/SUM('Semi Rev'!K27:N27)),"")</f>
        <v/>
      </c>
      <c r="K1306" s="37">
        <f>IFERROR(IF(SUM('Semi Rev'!L27:O27)&lt;=0,"",SUM('Semi FCF'!L27:O27)/SUM('Semi Rev'!L27:O27)),"")</f>
        <v/>
      </c>
      <c r="L1306" s="37">
        <f>IFERROR(IF(SUM('Semi Rev'!M27:P27)&lt;=0,"",SUM('Semi FCF'!M27:P27)/SUM('Semi Rev'!M27:P27)),"")</f>
        <v/>
      </c>
      <c r="M1306" s="38">
        <f>IFERROR(IF(SUM('Semi Rev'!N27:Q27)&lt;=0,"",SUM('Semi FCF'!N27:Q27)/SUM('Semi Rev'!N27:Q27)),"")</f>
        <v/>
      </c>
      <c r="N1306" s="38">
        <f>IFERROR(IF(SUM('Semi Rev'!O27:R27)&lt;=0,"",SUM('Semi FCF'!O27:R27)/SUM('Semi Rev'!O27:R27)),"")</f>
        <v/>
      </c>
    </row>
    <row r="1307">
      <c r="A1307" s="19">
        <f>'Semi Rev'!$A28</f>
        <v/>
      </c>
      <c r="B1307" s="19">
        <f>'Semi Rev'!$B28</f>
        <v/>
      </c>
      <c r="C1307" s="37">
        <f>IFERROR(IF(SUM('Semi Rev'!D28:G28)&lt;=0,"",SUM('Semi FCF'!D28:G28)/SUM('Semi Rev'!D28:G28)),"")</f>
        <v/>
      </c>
      <c r="D1307" s="37">
        <f>IFERROR(IF(SUM('Semi Rev'!E28:H28)&lt;=0,"",SUM('Semi FCF'!E28:H28)/SUM('Semi Rev'!E28:H28)),"")</f>
        <v/>
      </c>
      <c r="E1307" s="37">
        <f>IFERROR(IF(SUM('Semi Rev'!F28:I28)&lt;=0,"",SUM('Semi FCF'!F28:I28)/SUM('Semi Rev'!F28:I28)),"")</f>
        <v/>
      </c>
      <c r="F1307" s="37">
        <f>IFERROR(IF(SUM('Semi Rev'!G28:J28)&lt;=0,"",SUM('Semi FCF'!G28:J28)/SUM('Semi Rev'!G28:J28)),"")</f>
        <v/>
      </c>
      <c r="G1307" s="37">
        <f>IFERROR(IF(SUM('Semi Rev'!H28:K28)&lt;=0,"",SUM('Semi FCF'!H28:K28)/SUM('Semi Rev'!H28:K28)),"")</f>
        <v/>
      </c>
      <c r="H1307" s="37">
        <f>IFERROR(IF(SUM('Semi Rev'!I28:L28)&lt;=0,"",SUM('Semi FCF'!I28:L28)/SUM('Semi Rev'!I28:L28)),"")</f>
        <v/>
      </c>
      <c r="I1307" s="37">
        <f>IFERROR(IF(SUM('Semi Rev'!J28:M28)&lt;=0,"",SUM('Semi FCF'!J28:M28)/SUM('Semi Rev'!J28:M28)),"")</f>
        <v/>
      </c>
      <c r="J1307" s="37">
        <f>IFERROR(IF(SUM('Semi Rev'!K28:N28)&lt;=0,"",SUM('Semi FCF'!K28:N28)/SUM('Semi Rev'!K28:N28)),"")</f>
        <v/>
      </c>
      <c r="K1307" s="37">
        <f>IFERROR(IF(SUM('Semi Rev'!L28:O28)&lt;=0,"",SUM('Semi FCF'!L28:O28)/SUM('Semi Rev'!L28:O28)),"")</f>
        <v/>
      </c>
      <c r="L1307" s="37">
        <f>IFERROR(IF(SUM('Semi Rev'!M28:P28)&lt;=0,"",SUM('Semi FCF'!M28:P28)/SUM('Semi Rev'!M28:P28)),"")</f>
        <v/>
      </c>
      <c r="M1307" s="38">
        <f>IFERROR(IF(SUM('Semi Rev'!N28:Q28)&lt;=0,"",SUM('Semi FCF'!N28:Q28)/SUM('Semi Rev'!N28:Q28)),"")</f>
        <v/>
      </c>
      <c r="N1307" s="38">
        <f>IFERROR(IF(SUM('Semi Rev'!O28:R28)&lt;=0,"",SUM('Semi FCF'!O28:R28)/SUM('Semi Rev'!O28:R28)),"")</f>
        <v/>
      </c>
    </row>
    <row r="1308">
      <c r="A1308" s="19">
        <f>'Semi Rev'!$A29</f>
        <v/>
      </c>
      <c r="B1308" s="19">
        <f>'Semi Rev'!$B29</f>
        <v/>
      </c>
      <c r="C1308" s="37">
        <f>IFERROR(IF(SUM('Semi Rev'!D29:G29)&lt;=0,"",SUM('Semi FCF'!D29:G29)/SUM('Semi Rev'!D29:G29)),"")</f>
        <v/>
      </c>
      <c r="D1308" s="37">
        <f>IFERROR(IF(SUM('Semi Rev'!E29:H29)&lt;=0,"",SUM('Semi FCF'!E29:H29)/SUM('Semi Rev'!E29:H29)),"")</f>
        <v/>
      </c>
      <c r="E1308" s="37">
        <f>IFERROR(IF(SUM('Semi Rev'!F29:I29)&lt;=0,"",SUM('Semi FCF'!F29:I29)/SUM('Semi Rev'!F29:I29)),"")</f>
        <v/>
      </c>
      <c r="F1308" s="37">
        <f>IFERROR(IF(SUM('Semi Rev'!G29:J29)&lt;=0,"",SUM('Semi FCF'!G29:J29)/SUM('Semi Rev'!G29:J29)),"")</f>
        <v/>
      </c>
      <c r="G1308" s="37">
        <f>IFERROR(IF(SUM('Semi Rev'!H29:K29)&lt;=0,"",SUM('Semi FCF'!H29:K29)/SUM('Semi Rev'!H29:K29)),"")</f>
        <v/>
      </c>
      <c r="H1308" s="37">
        <f>IFERROR(IF(SUM('Semi Rev'!I29:L29)&lt;=0,"",SUM('Semi FCF'!I29:L29)/SUM('Semi Rev'!I29:L29)),"")</f>
        <v/>
      </c>
      <c r="I1308" s="37">
        <f>IFERROR(IF(SUM('Semi Rev'!J29:M29)&lt;=0,"",SUM('Semi FCF'!J29:M29)/SUM('Semi Rev'!J29:M29)),"")</f>
        <v/>
      </c>
      <c r="J1308" s="37">
        <f>IFERROR(IF(SUM('Semi Rev'!K29:N29)&lt;=0,"",SUM('Semi FCF'!K29:N29)/SUM('Semi Rev'!K29:N29)),"")</f>
        <v/>
      </c>
      <c r="K1308" s="37">
        <f>IFERROR(IF(SUM('Semi Rev'!L29:O29)&lt;=0,"",SUM('Semi FCF'!L29:O29)/SUM('Semi Rev'!L29:O29)),"")</f>
        <v/>
      </c>
      <c r="L1308" s="37">
        <f>IFERROR(IF(SUM('Semi Rev'!M29:P29)&lt;=0,"",SUM('Semi FCF'!M29:P29)/SUM('Semi Rev'!M29:P29)),"")</f>
        <v/>
      </c>
      <c r="M1308" s="38">
        <f>IFERROR(IF(SUM('Semi Rev'!N29:Q29)&lt;=0,"",SUM('Semi FCF'!N29:Q29)/SUM('Semi Rev'!N29:Q29)),"")</f>
        <v/>
      </c>
      <c r="N1308" s="38">
        <f>IFERROR(IF(SUM('Semi Rev'!O29:R29)&lt;=0,"",SUM('Semi FCF'!O29:R29)/SUM('Semi Rev'!O29:R29)),"")</f>
        <v/>
      </c>
    </row>
    <row r="1309">
      <c r="A1309" s="19">
        <f>'Semi Rev'!$A30</f>
        <v/>
      </c>
      <c r="B1309" s="19">
        <f>'Semi Rev'!$B30</f>
        <v/>
      </c>
      <c r="C1309" s="37">
        <f>IFERROR(IF(SUM('Semi Rev'!D30:G30)&lt;=0,"",SUM('Semi FCF'!D30:G30)/SUM('Semi Rev'!D30:G30)),"")</f>
        <v/>
      </c>
      <c r="D1309" s="37">
        <f>IFERROR(IF(SUM('Semi Rev'!E30:H30)&lt;=0,"",SUM('Semi FCF'!E30:H30)/SUM('Semi Rev'!E30:H30)),"")</f>
        <v/>
      </c>
      <c r="E1309" s="37">
        <f>IFERROR(IF(SUM('Semi Rev'!F30:I30)&lt;=0,"",SUM('Semi FCF'!F30:I30)/SUM('Semi Rev'!F30:I30)),"")</f>
        <v/>
      </c>
      <c r="F1309" s="37">
        <f>IFERROR(IF(SUM('Semi Rev'!G30:J30)&lt;=0,"",SUM('Semi FCF'!G30:J30)/SUM('Semi Rev'!G30:J30)),"")</f>
        <v/>
      </c>
      <c r="G1309" s="37">
        <f>IFERROR(IF(SUM('Semi Rev'!H30:K30)&lt;=0,"",SUM('Semi FCF'!H30:K30)/SUM('Semi Rev'!H30:K30)),"")</f>
        <v/>
      </c>
      <c r="H1309" s="37">
        <f>IFERROR(IF(SUM('Semi Rev'!I30:L30)&lt;=0,"",SUM('Semi FCF'!I30:L30)/SUM('Semi Rev'!I30:L30)),"")</f>
        <v/>
      </c>
      <c r="I1309" s="37">
        <f>IFERROR(IF(SUM('Semi Rev'!J30:M30)&lt;=0,"",SUM('Semi FCF'!J30:M30)/SUM('Semi Rev'!J30:M30)),"")</f>
        <v/>
      </c>
      <c r="J1309" s="37">
        <f>IFERROR(IF(SUM('Semi Rev'!K30:N30)&lt;=0,"",SUM('Semi FCF'!K30:N30)/SUM('Semi Rev'!K30:N30)),"")</f>
        <v/>
      </c>
      <c r="K1309" s="37">
        <f>IFERROR(IF(SUM('Semi Rev'!L30:O30)&lt;=0,"",SUM('Semi FCF'!L30:O30)/SUM('Semi Rev'!L30:O30)),"")</f>
        <v/>
      </c>
      <c r="L1309" s="37">
        <f>IFERROR(IF(SUM('Semi Rev'!M30:P30)&lt;=0,"",SUM('Semi FCF'!M30:P30)/SUM('Semi Rev'!M30:P30)),"")</f>
        <v/>
      </c>
      <c r="M1309" s="38">
        <f>IFERROR(IF(SUM('Semi Rev'!N30:Q30)&lt;=0,"",SUM('Semi FCF'!N30:Q30)/SUM('Semi Rev'!N30:Q30)),"")</f>
        <v/>
      </c>
      <c r="N1309" s="38">
        <f>IFERROR(IF(SUM('Semi Rev'!O30:R30)&lt;=0,"",SUM('Semi FCF'!O30:R30)/SUM('Semi Rev'!O30:R30)),"")</f>
        <v/>
      </c>
    </row>
    <row r="1310">
      <c r="A1310" s="19">
        <f>'Semi Rev'!$A31</f>
        <v/>
      </c>
      <c r="B1310" s="19">
        <f>'Semi Rev'!$B31</f>
        <v/>
      </c>
      <c r="C1310" s="37">
        <f>IFERROR(IF(SUM('Semi Rev'!D31:G31)&lt;=0,"",SUM('Semi FCF'!D31:G31)/SUM('Semi Rev'!D31:G31)),"")</f>
        <v/>
      </c>
      <c r="D1310" s="37">
        <f>IFERROR(IF(SUM('Semi Rev'!E31:H31)&lt;=0,"",SUM('Semi FCF'!E31:H31)/SUM('Semi Rev'!E31:H31)),"")</f>
        <v/>
      </c>
      <c r="E1310" s="37">
        <f>IFERROR(IF(SUM('Semi Rev'!F31:I31)&lt;=0,"",SUM('Semi FCF'!F31:I31)/SUM('Semi Rev'!F31:I31)),"")</f>
        <v/>
      </c>
      <c r="F1310" s="37">
        <f>IFERROR(IF(SUM('Semi Rev'!G31:J31)&lt;=0,"",SUM('Semi FCF'!G31:J31)/SUM('Semi Rev'!G31:J31)),"")</f>
        <v/>
      </c>
      <c r="G1310" s="37">
        <f>IFERROR(IF(SUM('Semi Rev'!H31:K31)&lt;=0,"",SUM('Semi FCF'!H31:K31)/SUM('Semi Rev'!H31:K31)),"")</f>
        <v/>
      </c>
      <c r="H1310" s="37">
        <f>IFERROR(IF(SUM('Semi Rev'!I31:L31)&lt;=0,"",SUM('Semi FCF'!I31:L31)/SUM('Semi Rev'!I31:L31)),"")</f>
        <v/>
      </c>
      <c r="I1310" s="37">
        <f>IFERROR(IF(SUM('Semi Rev'!J31:M31)&lt;=0,"",SUM('Semi FCF'!J31:M31)/SUM('Semi Rev'!J31:M31)),"")</f>
        <v/>
      </c>
      <c r="J1310" s="37">
        <f>IFERROR(IF(SUM('Semi Rev'!K31:N31)&lt;=0,"",SUM('Semi FCF'!K31:N31)/SUM('Semi Rev'!K31:N31)),"")</f>
        <v/>
      </c>
      <c r="K1310" s="37">
        <f>IFERROR(IF(SUM('Semi Rev'!L31:O31)&lt;=0,"",SUM('Semi FCF'!L31:O31)/SUM('Semi Rev'!L31:O31)),"")</f>
        <v/>
      </c>
      <c r="L1310" s="37">
        <f>IFERROR(IF(SUM('Semi Rev'!M31:P31)&lt;=0,"",SUM('Semi FCF'!M31:P31)/SUM('Semi Rev'!M31:P31)),"")</f>
        <v/>
      </c>
      <c r="M1310" s="38">
        <f>IFERROR(IF(SUM('Semi Rev'!N31:Q31)&lt;=0,"",SUM('Semi FCF'!N31:Q31)/SUM('Semi Rev'!N31:Q31)),"")</f>
        <v/>
      </c>
      <c r="N1310" s="38">
        <f>IFERROR(IF(SUM('Semi Rev'!O31:R31)&lt;=0,"",SUM('Semi FCF'!O31:R31)/SUM('Semi Rev'!O31:R31)),"")</f>
        <v/>
      </c>
    </row>
    <row r="1311">
      <c r="A1311" s="19">
        <f>'Semi Rev'!$A32</f>
        <v/>
      </c>
      <c r="B1311" s="19">
        <f>'Semi Rev'!$B32</f>
        <v/>
      </c>
      <c r="C1311" s="37">
        <f>IFERROR(IF(SUM('Semi Rev'!D32:G32)&lt;=0,"",SUM('Semi FCF'!D32:G32)/SUM('Semi Rev'!D32:G32)),"")</f>
        <v/>
      </c>
      <c r="D1311" s="37">
        <f>IFERROR(IF(SUM('Semi Rev'!E32:H32)&lt;=0,"",SUM('Semi FCF'!E32:H32)/SUM('Semi Rev'!E32:H32)),"")</f>
        <v/>
      </c>
      <c r="E1311" s="37">
        <f>IFERROR(IF(SUM('Semi Rev'!F32:I32)&lt;=0,"",SUM('Semi FCF'!F32:I32)/SUM('Semi Rev'!F32:I32)),"")</f>
        <v/>
      </c>
      <c r="F1311" s="37">
        <f>IFERROR(IF(SUM('Semi Rev'!G32:J32)&lt;=0,"",SUM('Semi FCF'!G32:J32)/SUM('Semi Rev'!G32:J32)),"")</f>
        <v/>
      </c>
      <c r="G1311" s="37">
        <f>IFERROR(IF(SUM('Semi Rev'!H32:K32)&lt;=0,"",SUM('Semi FCF'!H32:K32)/SUM('Semi Rev'!H32:K32)),"")</f>
        <v/>
      </c>
      <c r="H1311" s="37">
        <f>IFERROR(IF(SUM('Semi Rev'!I32:L32)&lt;=0,"",SUM('Semi FCF'!I32:L32)/SUM('Semi Rev'!I32:L32)),"")</f>
        <v/>
      </c>
      <c r="I1311" s="37">
        <f>IFERROR(IF(SUM('Semi Rev'!J32:M32)&lt;=0,"",SUM('Semi FCF'!J32:M32)/SUM('Semi Rev'!J32:M32)),"")</f>
        <v/>
      </c>
      <c r="J1311" s="37">
        <f>IFERROR(IF(SUM('Semi Rev'!K32:N32)&lt;=0,"",SUM('Semi FCF'!K32:N32)/SUM('Semi Rev'!K32:N32)),"")</f>
        <v/>
      </c>
      <c r="K1311" s="37">
        <f>IFERROR(IF(SUM('Semi Rev'!L32:O32)&lt;=0,"",SUM('Semi FCF'!L32:O32)/SUM('Semi Rev'!L32:O32)),"")</f>
        <v/>
      </c>
      <c r="L1311" s="37">
        <f>IFERROR(IF(SUM('Semi Rev'!M32:P32)&lt;=0,"",SUM('Semi FCF'!M32:P32)/SUM('Semi Rev'!M32:P32)),"")</f>
        <v/>
      </c>
      <c r="M1311" s="38">
        <f>IFERROR(IF(SUM('Semi Rev'!N32:Q32)&lt;=0,"",SUM('Semi FCF'!N32:Q32)/SUM('Semi Rev'!N32:Q32)),"")</f>
        <v/>
      </c>
      <c r="N1311" s="38">
        <f>IFERROR(IF(SUM('Semi Rev'!O32:R32)&lt;=0,"",SUM('Semi FCF'!O32:R32)/SUM('Semi Rev'!O32:R32)),"")</f>
        <v/>
      </c>
    </row>
    <row r="1312">
      <c r="A1312" s="19">
        <f>'Semi Rev'!$A33</f>
        <v/>
      </c>
      <c r="B1312" s="19">
        <f>'Semi Rev'!$B33</f>
        <v/>
      </c>
      <c r="C1312" s="37">
        <f>IFERROR(IF(SUM('Semi Rev'!D33:G33)&lt;=0,"",SUM('Semi FCF'!D33:G33)/SUM('Semi Rev'!D33:G33)),"")</f>
        <v/>
      </c>
      <c r="D1312" s="37">
        <f>IFERROR(IF(SUM('Semi Rev'!E33:H33)&lt;=0,"",SUM('Semi FCF'!E33:H33)/SUM('Semi Rev'!E33:H33)),"")</f>
        <v/>
      </c>
      <c r="E1312" s="37">
        <f>IFERROR(IF(SUM('Semi Rev'!F33:I33)&lt;=0,"",SUM('Semi FCF'!F33:I33)/SUM('Semi Rev'!F33:I33)),"")</f>
        <v/>
      </c>
      <c r="F1312" s="37">
        <f>IFERROR(IF(SUM('Semi Rev'!G33:J33)&lt;=0,"",SUM('Semi FCF'!G33:J33)/SUM('Semi Rev'!G33:J33)),"")</f>
        <v/>
      </c>
      <c r="G1312" s="37">
        <f>IFERROR(IF(SUM('Semi Rev'!H33:K33)&lt;=0,"",SUM('Semi FCF'!H33:K33)/SUM('Semi Rev'!H33:K33)),"")</f>
        <v/>
      </c>
      <c r="H1312" s="37">
        <f>IFERROR(IF(SUM('Semi Rev'!I33:L33)&lt;=0,"",SUM('Semi FCF'!I33:L33)/SUM('Semi Rev'!I33:L33)),"")</f>
        <v/>
      </c>
      <c r="I1312" s="37">
        <f>IFERROR(IF(SUM('Semi Rev'!J33:M33)&lt;=0,"",SUM('Semi FCF'!J33:M33)/SUM('Semi Rev'!J33:M33)),"")</f>
        <v/>
      </c>
      <c r="J1312" s="37">
        <f>IFERROR(IF(SUM('Semi Rev'!K33:N33)&lt;=0,"",SUM('Semi FCF'!K33:N33)/SUM('Semi Rev'!K33:N33)),"")</f>
        <v/>
      </c>
      <c r="K1312" s="37">
        <f>IFERROR(IF(SUM('Semi Rev'!L33:O33)&lt;=0,"",SUM('Semi FCF'!L33:O33)/SUM('Semi Rev'!L33:O33)),"")</f>
        <v/>
      </c>
      <c r="L1312" s="37">
        <f>IFERROR(IF(SUM('Semi Rev'!M33:P33)&lt;=0,"",SUM('Semi FCF'!M33:P33)/SUM('Semi Rev'!M33:P33)),"")</f>
        <v/>
      </c>
      <c r="M1312" s="38">
        <f>IFERROR(IF(SUM('Semi Rev'!N33:Q33)&lt;=0,"",SUM('Semi FCF'!N33:Q33)/SUM('Semi Rev'!N33:Q33)),"")</f>
        <v/>
      </c>
      <c r="N1312" s="38">
        <f>IFERROR(IF(SUM('Semi Rev'!O33:R33)&lt;=0,"",SUM('Semi FCF'!O33:R33)/SUM('Semi Rev'!O33:R33)),"")</f>
        <v/>
      </c>
    </row>
    <row r="1313">
      <c r="A1313" s="19">
        <f>'Semi Rev'!$A34</f>
        <v/>
      </c>
      <c r="B1313" s="19">
        <f>'Semi Rev'!$B34</f>
        <v/>
      </c>
      <c r="C1313" s="37">
        <f>IFERROR(IF(SUM('Semi Rev'!D34:G34)&lt;=0,"",SUM('Semi FCF'!D34:G34)/SUM('Semi Rev'!D34:G34)),"")</f>
        <v/>
      </c>
      <c r="D1313" s="37">
        <f>IFERROR(IF(SUM('Semi Rev'!E34:H34)&lt;=0,"",SUM('Semi FCF'!E34:H34)/SUM('Semi Rev'!E34:H34)),"")</f>
        <v/>
      </c>
      <c r="E1313" s="37">
        <f>IFERROR(IF(SUM('Semi Rev'!F34:I34)&lt;=0,"",SUM('Semi FCF'!F34:I34)/SUM('Semi Rev'!F34:I34)),"")</f>
        <v/>
      </c>
      <c r="F1313" s="37">
        <f>IFERROR(IF(SUM('Semi Rev'!G34:J34)&lt;=0,"",SUM('Semi FCF'!G34:J34)/SUM('Semi Rev'!G34:J34)),"")</f>
        <v/>
      </c>
      <c r="G1313" s="37">
        <f>IFERROR(IF(SUM('Semi Rev'!H34:K34)&lt;=0,"",SUM('Semi FCF'!H34:K34)/SUM('Semi Rev'!H34:K34)),"")</f>
        <v/>
      </c>
      <c r="H1313" s="37">
        <f>IFERROR(IF(SUM('Semi Rev'!I34:L34)&lt;=0,"",SUM('Semi FCF'!I34:L34)/SUM('Semi Rev'!I34:L34)),"")</f>
        <v/>
      </c>
      <c r="I1313" s="37">
        <f>IFERROR(IF(SUM('Semi Rev'!J34:M34)&lt;=0,"",SUM('Semi FCF'!J34:M34)/SUM('Semi Rev'!J34:M34)),"")</f>
        <v/>
      </c>
      <c r="J1313" s="37">
        <f>IFERROR(IF(SUM('Semi Rev'!K34:N34)&lt;=0,"",SUM('Semi FCF'!K34:N34)/SUM('Semi Rev'!K34:N34)),"")</f>
        <v/>
      </c>
      <c r="K1313" s="37">
        <f>IFERROR(IF(SUM('Semi Rev'!L34:O34)&lt;=0,"",SUM('Semi FCF'!L34:O34)/SUM('Semi Rev'!L34:O34)),"")</f>
        <v/>
      </c>
      <c r="L1313" s="37">
        <f>IFERROR(IF(SUM('Semi Rev'!M34:P34)&lt;=0,"",SUM('Semi FCF'!M34:P34)/SUM('Semi Rev'!M34:P34)),"")</f>
        <v/>
      </c>
      <c r="M1313" s="38">
        <f>IFERROR(IF(SUM('Semi Rev'!N34:Q34)&lt;=0,"",SUM('Semi FCF'!N34:Q34)/SUM('Semi Rev'!N34:Q34)),"")</f>
        <v/>
      </c>
      <c r="N1313" s="38">
        <f>IFERROR(IF(SUM('Semi Rev'!O34:R34)&lt;=0,"",SUM('Semi FCF'!O34:R34)/SUM('Semi Rev'!O34:R34)),"")</f>
        <v/>
      </c>
    </row>
    <row r="1314">
      <c r="A1314" s="19">
        <f>'Semi Rev'!$A35</f>
        <v/>
      </c>
      <c r="B1314" s="19">
        <f>'Semi Rev'!$B35</f>
        <v/>
      </c>
      <c r="C1314" s="37">
        <f>IFERROR(IF(SUM('Semi Rev'!D35:G35)&lt;=0,"",SUM('Semi FCF'!D35:G35)/SUM('Semi Rev'!D35:G35)),"")</f>
        <v/>
      </c>
      <c r="D1314" s="37">
        <f>IFERROR(IF(SUM('Semi Rev'!E35:H35)&lt;=0,"",SUM('Semi FCF'!E35:H35)/SUM('Semi Rev'!E35:H35)),"")</f>
        <v/>
      </c>
      <c r="E1314" s="37">
        <f>IFERROR(IF(SUM('Semi Rev'!F35:I35)&lt;=0,"",SUM('Semi FCF'!F35:I35)/SUM('Semi Rev'!F35:I35)),"")</f>
        <v/>
      </c>
      <c r="F1314" s="37">
        <f>IFERROR(IF(SUM('Semi Rev'!G35:J35)&lt;=0,"",SUM('Semi FCF'!G35:J35)/SUM('Semi Rev'!G35:J35)),"")</f>
        <v/>
      </c>
      <c r="G1314" s="37">
        <f>IFERROR(IF(SUM('Semi Rev'!H35:K35)&lt;=0,"",SUM('Semi FCF'!H35:K35)/SUM('Semi Rev'!H35:K35)),"")</f>
        <v/>
      </c>
      <c r="H1314" s="37">
        <f>IFERROR(IF(SUM('Semi Rev'!I35:L35)&lt;=0,"",SUM('Semi FCF'!I35:L35)/SUM('Semi Rev'!I35:L35)),"")</f>
        <v/>
      </c>
      <c r="I1314" s="37">
        <f>IFERROR(IF(SUM('Semi Rev'!J35:M35)&lt;=0,"",SUM('Semi FCF'!J35:M35)/SUM('Semi Rev'!J35:M35)),"")</f>
        <v/>
      </c>
      <c r="J1314" s="37">
        <f>IFERROR(IF(SUM('Semi Rev'!K35:N35)&lt;=0,"",SUM('Semi FCF'!K35:N35)/SUM('Semi Rev'!K35:N35)),"")</f>
        <v/>
      </c>
      <c r="K1314" s="37">
        <f>IFERROR(IF(SUM('Semi Rev'!L35:O35)&lt;=0,"",SUM('Semi FCF'!L35:O35)/SUM('Semi Rev'!L35:O35)),"")</f>
        <v/>
      </c>
      <c r="L1314" s="37">
        <f>IFERROR(IF(SUM('Semi Rev'!M35:P35)&lt;=0,"",SUM('Semi FCF'!M35:P35)/SUM('Semi Rev'!M35:P35)),"")</f>
        <v/>
      </c>
      <c r="M1314" s="38">
        <f>IFERROR(IF(SUM('Semi Rev'!N35:Q35)&lt;=0,"",SUM('Semi FCF'!N35:Q35)/SUM('Semi Rev'!N35:Q35)),"")</f>
        <v/>
      </c>
      <c r="N1314" s="38">
        <f>IFERROR(IF(SUM('Semi Rev'!O35:R35)&lt;=0,"",SUM('Semi FCF'!O35:R35)/SUM('Semi Rev'!O35:R35)),"")</f>
        <v/>
      </c>
    </row>
    <row r="1315">
      <c r="A1315" s="19">
        <f>'Semi Rev'!$A36</f>
        <v/>
      </c>
      <c r="B1315" s="19">
        <f>'Semi Rev'!$B36</f>
        <v/>
      </c>
      <c r="C1315" s="37">
        <f>IFERROR(IF(SUM('Semi Rev'!D36:G36)&lt;=0,"",SUM('Semi FCF'!D36:G36)/SUM('Semi Rev'!D36:G36)),"")</f>
        <v/>
      </c>
      <c r="D1315" s="37">
        <f>IFERROR(IF(SUM('Semi Rev'!E36:H36)&lt;=0,"",SUM('Semi FCF'!E36:H36)/SUM('Semi Rev'!E36:H36)),"")</f>
        <v/>
      </c>
      <c r="E1315" s="37">
        <f>IFERROR(IF(SUM('Semi Rev'!F36:I36)&lt;=0,"",SUM('Semi FCF'!F36:I36)/SUM('Semi Rev'!F36:I36)),"")</f>
        <v/>
      </c>
      <c r="F1315" s="37">
        <f>IFERROR(IF(SUM('Semi Rev'!G36:J36)&lt;=0,"",SUM('Semi FCF'!G36:J36)/SUM('Semi Rev'!G36:J36)),"")</f>
        <v/>
      </c>
      <c r="G1315" s="37">
        <f>IFERROR(IF(SUM('Semi Rev'!H36:K36)&lt;=0,"",SUM('Semi FCF'!H36:K36)/SUM('Semi Rev'!H36:K36)),"")</f>
        <v/>
      </c>
      <c r="H1315" s="37">
        <f>IFERROR(IF(SUM('Semi Rev'!I36:L36)&lt;=0,"",SUM('Semi FCF'!I36:L36)/SUM('Semi Rev'!I36:L36)),"")</f>
        <v/>
      </c>
      <c r="I1315" s="37">
        <f>IFERROR(IF(SUM('Semi Rev'!J36:M36)&lt;=0,"",SUM('Semi FCF'!J36:M36)/SUM('Semi Rev'!J36:M36)),"")</f>
        <v/>
      </c>
      <c r="J1315" s="37">
        <f>IFERROR(IF(SUM('Semi Rev'!K36:N36)&lt;=0,"",SUM('Semi FCF'!K36:N36)/SUM('Semi Rev'!K36:N36)),"")</f>
        <v/>
      </c>
      <c r="K1315" s="37">
        <f>IFERROR(IF(SUM('Semi Rev'!L36:O36)&lt;=0,"",SUM('Semi FCF'!L36:O36)/SUM('Semi Rev'!L36:O36)),"")</f>
        <v/>
      </c>
      <c r="L1315" s="37">
        <f>IFERROR(IF(SUM('Semi Rev'!M36:P36)&lt;=0,"",SUM('Semi FCF'!M36:P36)/SUM('Semi Rev'!M36:P36)),"")</f>
        <v/>
      </c>
      <c r="M1315" s="38">
        <f>IFERROR(IF(SUM('Semi Rev'!N36:Q36)&lt;=0,"",SUM('Semi FCF'!N36:Q36)/SUM('Semi Rev'!N36:Q36)),"")</f>
        <v/>
      </c>
      <c r="N1315" s="38">
        <f>IFERROR(IF(SUM('Semi Rev'!O36:R36)&lt;=0,"",SUM('Semi FCF'!O36:R36)/SUM('Semi Rev'!O36:R36)),"")</f>
        <v/>
      </c>
    </row>
    <row r="1316">
      <c r="A1316" s="19">
        <f>'Semi Rev'!$A37</f>
        <v/>
      </c>
      <c r="B1316" s="19">
        <f>'Semi Rev'!$B37</f>
        <v/>
      </c>
      <c r="C1316" s="37">
        <f>IFERROR(IF(SUM('Semi Rev'!D37:G37)&lt;=0,"",SUM('Semi FCF'!D37:G37)/SUM('Semi Rev'!D37:G37)),"")</f>
        <v/>
      </c>
      <c r="D1316" s="37">
        <f>IFERROR(IF(SUM('Semi Rev'!E37:H37)&lt;=0,"",SUM('Semi FCF'!E37:H37)/SUM('Semi Rev'!E37:H37)),"")</f>
        <v/>
      </c>
      <c r="E1316" s="37">
        <f>IFERROR(IF(SUM('Semi Rev'!F37:I37)&lt;=0,"",SUM('Semi FCF'!F37:I37)/SUM('Semi Rev'!F37:I37)),"")</f>
        <v/>
      </c>
      <c r="F1316" s="37">
        <f>IFERROR(IF(SUM('Semi Rev'!G37:J37)&lt;=0,"",SUM('Semi FCF'!G37:J37)/SUM('Semi Rev'!G37:J37)),"")</f>
        <v/>
      </c>
      <c r="G1316" s="37">
        <f>IFERROR(IF(SUM('Semi Rev'!H37:K37)&lt;=0,"",SUM('Semi FCF'!H37:K37)/SUM('Semi Rev'!H37:K37)),"")</f>
        <v/>
      </c>
      <c r="H1316" s="37">
        <f>IFERROR(IF(SUM('Semi Rev'!I37:L37)&lt;=0,"",SUM('Semi FCF'!I37:L37)/SUM('Semi Rev'!I37:L37)),"")</f>
        <v/>
      </c>
      <c r="I1316" s="37">
        <f>IFERROR(IF(SUM('Semi Rev'!J37:M37)&lt;=0,"",SUM('Semi FCF'!J37:M37)/SUM('Semi Rev'!J37:M37)),"")</f>
        <v/>
      </c>
      <c r="J1316" s="37">
        <f>IFERROR(IF(SUM('Semi Rev'!K37:N37)&lt;=0,"",SUM('Semi FCF'!K37:N37)/SUM('Semi Rev'!K37:N37)),"")</f>
        <v/>
      </c>
      <c r="K1316" s="37">
        <f>IFERROR(IF(SUM('Semi Rev'!L37:O37)&lt;=0,"",SUM('Semi FCF'!L37:O37)/SUM('Semi Rev'!L37:O37)),"")</f>
        <v/>
      </c>
      <c r="L1316" s="37">
        <f>IFERROR(IF(SUM('Semi Rev'!M37:P37)&lt;=0,"",SUM('Semi FCF'!M37:P37)/SUM('Semi Rev'!M37:P37)),"")</f>
        <v/>
      </c>
      <c r="M1316" s="38">
        <f>IFERROR(IF(SUM('Semi Rev'!N37:Q37)&lt;=0,"",SUM('Semi FCF'!N37:Q37)/SUM('Semi Rev'!N37:Q37)),"")</f>
        <v/>
      </c>
      <c r="N1316" s="38">
        <f>IFERROR(IF(SUM('Semi Rev'!O37:R37)&lt;=0,"",SUM('Semi FCF'!O37:R37)/SUM('Semi Rev'!O37:R37)),"")</f>
        <v/>
      </c>
    </row>
    <row r="1317">
      <c r="A1317" s="19">
        <f>'Semi Rev'!$A38</f>
        <v/>
      </c>
      <c r="B1317" s="19">
        <f>'Semi Rev'!$B38</f>
        <v/>
      </c>
      <c r="C1317" s="37">
        <f>IFERROR(IF(SUM('Semi Rev'!D38:G38)&lt;=0,"",SUM('Semi FCF'!D38:G38)/SUM('Semi Rev'!D38:G38)),"")</f>
        <v/>
      </c>
      <c r="D1317" s="37">
        <f>IFERROR(IF(SUM('Semi Rev'!E38:H38)&lt;=0,"",SUM('Semi FCF'!E38:H38)/SUM('Semi Rev'!E38:H38)),"")</f>
        <v/>
      </c>
      <c r="E1317" s="37">
        <f>IFERROR(IF(SUM('Semi Rev'!F38:I38)&lt;=0,"",SUM('Semi FCF'!F38:I38)/SUM('Semi Rev'!F38:I38)),"")</f>
        <v/>
      </c>
      <c r="F1317" s="37">
        <f>IFERROR(IF(SUM('Semi Rev'!G38:J38)&lt;=0,"",SUM('Semi FCF'!G38:J38)/SUM('Semi Rev'!G38:J38)),"")</f>
        <v/>
      </c>
      <c r="G1317" s="37">
        <f>IFERROR(IF(SUM('Semi Rev'!H38:K38)&lt;=0,"",SUM('Semi FCF'!H38:K38)/SUM('Semi Rev'!H38:K38)),"")</f>
        <v/>
      </c>
      <c r="H1317" s="37">
        <f>IFERROR(IF(SUM('Semi Rev'!I38:L38)&lt;=0,"",SUM('Semi FCF'!I38:L38)/SUM('Semi Rev'!I38:L38)),"")</f>
        <v/>
      </c>
      <c r="I1317" s="37">
        <f>IFERROR(IF(SUM('Semi Rev'!J38:M38)&lt;=0,"",SUM('Semi FCF'!J38:M38)/SUM('Semi Rev'!J38:M38)),"")</f>
        <v/>
      </c>
      <c r="J1317" s="37">
        <f>IFERROR(IF(SUM('Semi Rev'!K38:N38)&lt;=0,"",SUM('Semi FCF'!K38:N38)/SUM('Semi Rev'!K38:N38)),"")</f>
        <v/>
      </c>
      <c r="K1317" s="37">
        <f>IFERROR(IF(SUM('Semi Rev'!L38:O38)&lt;=0,"",SUM('Semi FCF'!L38:O38)/SUM('Semi Rev'!L38:O38)),"")</f>
        <v/>
      </c>
      <c r="L1317" s="37">
        <f>IFERROR(IF(SUM('Semi Rev'!M38:P38)&lt;=0,"",SUM('Semi FCF'!M38:P38)/SUM('Semi Rev'!M38:P38)),"")</f>
        <v/>
      </c>
      <c r="M1317" s="38">
        <f>IFERROR(IF(SUM('Semi Rev'!N38:Q38)&lt;=0,"",SUM('Semi FCF'!N38:Q38)/SUM('Semi Rev'!N38:Q38)),"")</f>
        <v/>
      </c>
      <c r="N1317" s="38">
        <f>IFERROR(IF(SUM('Semi Rev'!O38:R38)&lt;=0,"",SUM('Semi FCF'!O38:R38)/SUM('Semi Rev'!O38:R38)),"")</f>
        <v/>
      </c>
    </row>
    <row r="1318">
      <c r="A1318" s="19">
        <f>'Semi Rev'!$A39</f>
        <v/>
      </c>
      <c r="B1318" s="19">
        <f>'Semi Rev'!$B39</f>
        <v/>
      </c>
      <c r="C1318" s="37">
        <f>IFERROR(IF(SUM('Semi Rev'!D39:G39)&lt;=0,"",SUM('Semi FCF'!D39:G39)/SUM('Semi Rev'!D39:G39)),"")</f>
        <v/>
      </c>
      <c r="D1318" s="37">
        <f>IFERROR(IF(SUM('Semi Rev'!E39:H39)&lt;=0,"",SUM('Semi FCF'!E39:H39)/SUM('Semi Rev'!E39:H39)),"")</f>
        <v/>
      </c>
      <c r="E1318" s="37">
        <f>IFERROR(IF(SUM('Semi Rev'!F39:I39)&lt;=0,"",SUM('Semi FCF'!F39:I39)/SUM('Semi Rev'!F39:I39)),"")</f>
        <v/>
      </c>
      <c r="F1318" s="37">
        <f>IFERROR(IF(SUM('Semi Rev'!G39:J39)&lt;=0,"",SUM('Semi FCF'!G39:J39)/SUM('Semi Rev'!G39:J39)),"")</f>
        <v/>
      </c>
      <c r="G1318" s="37">
        <f>IFERROR(IF(SUM('Semi Rev'!H39:K39)&lt;=0,"",SUM('Semi FCF'!H39:K39)/SUM('Semi Rev'!H39:K39)),"")</f>
        <v/>
      </c>
      <c r="H1318" s="37">
        <f>IFERROR(IF(SUM('Semi Rev'!I39:L39)&lt;=0,"",SUM('Semi FCF'!I39:L39)/SUM('Semi Rev'!I39:L39)),"")</f>
        <v/>
      </c>
      <c r="I1318" s="37">
        <f>IFERROR(IF(SUM('Semi Rev'!J39:M39)&lt;=0,"",SUM('Semi FCF'!J39:M39)/SUM('Semi Rev'!J39:M39)),"")</f>
        <v/>
      </c>
      <c r="J1318" s="37">
        <f>IFERROR(IF(SUM('Semi Rev'!K39:N39)&lt;=0,"",SUM('Semi FCF'!K39:N39)/SUM('Semi Rev'!K39:N39)),"")</f>
        <v/>
      </c>
      <c r="K1318" s="37">
        <f>IFERROR(IF(SUM('Semi Rev'!L39:O39)&lt;=0,"",SUM('Semi FCF'!L39:O39)/SUM('Semi Rev'!L39:O39)),"")</f>
        <v/>
      </c>
      <c r="L1318" s="37">
        <f>IFERROR(IF(SUM('Semi Rev'!M39:P39)&lt;=0,"",SUM('Semi FCF'!M39:P39)/SUM('Semi Rev'!M39:P39)),"")</f>
        <v/>
      </c>
      <c r="M1318" s="38">
        <f>IFERROR(IF(SUM('Semi Rev'!N39:Q39)&lt;=0,"",SUM('Semi FCF'!N39:Q39)/SUM('Semi Rev'!N39:Q39)),"")</f>
        <v/>
      </c>
      <c r="N1318" s="38">
        <f>IFERROR(IF(SUM('Semi Rev'!O39:R39)&lt;=0,"",SUM('Semi FCF'!O39:R39)/SUM('Semi Rev'!O39:R39)),"")</f>
        <v/>
      </c>
    </row>
    <row r="1319">
      <c r="A1319" s="19">
        <f>'Semi Rev'!$A40</f>
        <v/>
      </c>
      <c r="B1319" s="19">
        <f>'Semi Rev'!$B40</f>
        <v/>
      </c>
      <c r="C1319" s="37">
        <f>IFERROR(IF(SUM('Semi Rev'!D40:G40)&lt;=0,"",SUM('Semi FCF'!D40:G40)/SUM('Semi Rev'!D40:G40)),"")</f>
        <v/>
      </c>
      <c r="D1319" s="37">
        <f>IFERROR(IF(SUM('Semi Rev'!E40:H40)&lt;=0,"",SUM('Semi FCF'!E40:H40)/SUM('Semi Rev'!E40:H40)),"")</f>
        <v/>
      </c>
      <c r="E1319" s="37">
        <f>IFERROR(IF(SUM('Semi Rev'!F40:I40)&lt;=0,"",SUM('Semi FCF'!F40:I40)/SUM('Semi Rev'!F40:I40)),"")</f>
        <v/>
      </c>
      <c r="F1319" s="37">
        <f>IFERROR(IF(SUM('Semi Rev'!G40:J40)&lt;=0,"",SUM('Semi FCF'!G40:J40)/SUM('Semi Rev'!G40:J40)),"")</f>
        <v/>
      </c>
      <c r="G1319" s="37">
        <f>IFERROR(IF(SUM('Semi Rev'!H40:K40)&lt;=0,"",SUM('Semi FCF'!H40:K40)/SUM('Semi Rev'!H40:K40)),"")</f>
        <v/>
      </c>
      <c r="H1319" s="37">
        <f>IFERROR(IF(SUM('Semi Rev'!I40:L40)&lt;=0,"",SUM('Semi FCF'!I40:L40)/SUM('Semi Rev'!I40:L40)),"")</f>
        <v/>
      </c>
      <c r="I1319" s="37">
        <f>IFERROR(IF(SUM('Semi Rev'!J40:M40)&lt;=0,"",SUM('Semi FCF'!J40:M40)/SUM('Semi Rev'!J40:M40)),"")</f>
        <v/>
      </c>
      <c r="J1319" s="37">
        <f>IFERROR(IF(SUM('Semi Rev'!K40:N40)&lt;=0,"",SUM('Semi FCF'!K40:N40)/SUM('Semi Rev'!K40:N40)),"")</f>
        <v/>
      </c>
      <c r="K1319" s="37">
        <f>IFERROR(IF(SUM('Semi Rev'!L40:O40)&lt;=0,"",SUM('Semi FCF'!L40:O40)/SUM('Semi Rev'!L40:O40)),"")</f>
        <v/>
      </c>
      <c r="L1319" s="37">
        <f>IFERROR(IF(SUM('Semi Rev'!M40:P40)&lt;=0,"",SUM('Semi FCF'!M40:P40)/SUM('Semi Rev'!M40:P40)),"")</f>
        <v/>
      </c>
      <c r="M1319" s="38">
        <f>IFERROR(IF(SUM('Semi Rev'!N40:Q40)&lt;=0,"",SUM('Semi FCF'!N40:Q40)/SUM('Semi Rev'!N40:Q40)),"")</f>
        <v/>
      </c>
      <c r="N1319" s="38">
        <f>IFERROR(IF(SUM('Semi Rev'!O40:R40)&lt;=0,"",SUM('Semi FCF'!O40:R40)/SUM('Semi Rev'!O40:R40)),"")</f>
        <v/>
      </c>
    </row>
    <row r="1320">
      <c r="A1320" s="19">
        <f>'Semi Rev'!$A41</f>
        <v/>
      </c>
      <c r="B1320" s="19">
        <f>'Semi Rev'!$B41</f>
        <v/>
      </c>
      <c r="C1320" s="37">
        <f>IFERROR(IF(SUM('Semi Rev'!D41:G41)&lt;=0,"",SUM('Semi FCF'!D41:G41)/SUM('Semi Rev'!D41:G41)),"")</f>
        <v/>
      </c>
      <c r="D1320" s="37">
        <f>IFERROR(IF(SUM('Semi Rev'!E41:H41)&lt;=0,"",SUM('Semi FCF'!E41:H41)/SUM('Semi Rev'!E41:H41)),"")</f>
        <v/>
      </c>
      <c r="E1320" s="37">
        <f>IFERROR(IF(SUM('Semi Rev'!F41:I41)&lt;=0,"",SUM('Semi FCF'!F41:I41)/SUM('Semi Rev'!F41:I41)),"")</f>
        <v/>
      </c>
      <c r="F1320" s="37">
        <f>IFERROR(IF(SUM('Semi Rev'!G41:J41)&lt;=0,"",SUM('Semi FCF'!G41:J41)/SUM('Semi Rev'!G41:J41)),"")</f>
        <v/>
      </c>
      <c r="G1320" s="37">
        <f>IFERROR(IF(SUM('Semi Rev'!H41:K41)&lt;=0,"",SUM('Semi FCF'!H41:K41)/SUM('Semi Rev'!H41:K41)),"")</f>
        <v/>
      </c>
      <c r="H1320" s="37">
        <f>IFERROR(IF(SUM('Semi Rev'!I41:L41)&lt;=0,"",SUM('Semi FCF'!I41:L41)/SUM('Semi Rev'!I41:L41)),"")</f>
        <v/>
      </c>
      <c r="I1320" s="37">
        <f>IFERROR(IF(SUM('Semi Rev'!J41:M41)&lt;=0,"",SUM('Semi FCF'!J41:M41)/SUM('Semi Rev'!J41:M41)),"")</f>
        <v/>
      </c>
      <c r="J1320" s="37">
        <f>IFERROR(IF(SUM('Semi Rev'!K41:N41)&lt;=0,"",SUM('Semi FCF'!K41:N41)/SUM('Semi Rev'!K41:N41)),"")</f>
        <v/>
      </c>
      <c r="K1320" s="37">
        <f>IFERROR(IF(SUM('Semi Rev'!L41:O41)&lt;=0,"",SUM('Semi FCF'!L41:O41)/SUM('Semi Rev'!L41:O41)),"")</f>
        <v/>
      </c>
      <c r="L1320" s="37">
        <f>IFERROR(IF(SUM('Semi Rev'!M41:P41)&lt;=0,"",SUM('Semi FCF'!M41:P41)/SUM('Semi Rev'!M41:P41)),"")</f>
        <v/>
      </c>
      <c r="M1320" s="38">
        <f>IFERROR(IF(SUM('Semi Rev'!N41:Q41)&lt;=0,"",SUM('Semi FCF'!N41:Q41)/SUM('Semi Rev'!N41:Q41)),"")</f>
        <v/>
      </c>
      <c r="N1320" s="38">
        <f>IFERROR(IF(SUM('Semi Rev'!O41:R41)&lt;=0,"",SUM('Semi FCF'!O41:R41)/SUM('Semi Rev'!O41:R41)),"")</f>
        <v/>
      </c>
    </row>
    <row r="1321">
      <c r="A1321" s="19">
        <f>'Semi Rev'!$A42</f>
        <v/>
      </c>
      <c r="B1321" s="19">
        <f>'Semi Rev'!$B42</f>
        <v/>
      </c>
      <c r="C1321" s="37">
        <f>IFERROR(IF(SUM('Semi Rev'!D42:G42)&lt;=0,"",SUM('Semi FCF'!D42:G42)/SUM('Semi Rev'!D42:G42)),"")</f>
        <v/>
      </c>
      <c r="D1321" s="37">
        <f>IFERROR(IF(SUM('Semi Rev'!E42:H42)&lt;=0,"",SUM('Semi FCF'!E42:H42)/SUM('Semi Rev'!E42:H42)),"")</f>
        <v/>
      </c>
      <c r="E1321" s="37">
        <f>IFERROR(IF(SUM('Semi Rev'!F42:I42)&lt;=0,"",SUM('Semi FCF'!F42:I42)/SUM('Semi Rev'!F42:I42)),"")</f>
        <v/>
      </c>
      <c r="F1321" s="37">
        <f>IFERROR(IF(SUM('Semi Rev'!G42:J42)&lt;=0,"",SUM('Semi FCF'!G42:J42)/SUM('Semi Rev'!G42:J42)),"")</f>
        <v/>
      </c>
      <c r="G1321" s="37">
        <f>IFERROR(IF(SUM('Semi Rev'!H42:K42)&lt;=0,"",SUM('Semi FCF'!H42:K42)/SUM('Semi Rev'!H42:K42)),"")</f>
        <v/>
      </c>
      <c r="H1321" s="37">
        <f>IFERROR(IF(SUM('Semi Rev'!I42:L42)&lt;=0,"",SUM('Semi FCF'!I42:L42)/SUM('Semi Rev'!I42:L42)),"")</f>
        <v/>
      </c>
      <c r="I1321" s="37">
        <f>IFERROR(IF(SUM('Semi Rev'!J42:M42)&lt;=0,"",SUM('Semi FCF'!J42:M42)/SUM('Semi Rev'!J42:M42)),"")</f>
        <v/>
      </c>
      <c r="J1321" s="37">
        <f>IFERROR(IF(SUM('Semi Rev'!K42:N42)&lt;=0,"",SUM('Semi FCF'!K42:N42)/SUM('Semi Rev'!K42:N42)),"")</f>
        <v/>
      </c>
      <c r="K1321" s="37">
        <f>IFERROR(IF(SUM('Semi Rev'!L42:O42)&lt;=0,"",SUM('Semi FCF'!L42:O42)/SUM('Semi Rev'!L42:O42)),"")</f>
        <v/>
      </c>
      <c r="L1321" s="37">
        <f>IFERROR(IF(SUM('Semi Rev'!M42:P42)&lt;=0,"",SUM('Semi FCF'!M42:P42)/SUM('Semi Rev'!M42:P42)),"")</f>
        <v/>
      </c>
      <c r="M1321" s="38">
        <f>IFERROR(IF(SUM('Semi Rev'!N42:Q42)&lt;=0,"",SUM('Semi FCF'!N42:Q42)/SUM('Semi Rev'!N42:Q42)),"")</f>
        <v/>
      </c>
      <c r="N1321" s="38">
        <f>IFERROR(IF(SUM('Semi Rev'!O42:R42)&lt;=0,"",SUM('Semi FCF'!O42:R42)/SUM('Semi Rev'!O42:R42)),"")</f>
        <v/>
      </c>
    </row>
    <row r="1322">
      <c r="A1322" s="19">
        <f>'Semi Rev'!$A43</f>
        <v/>
      </c>
      <c r="B1322" s="19">
        <f>'Semi Rev'!$B43</f>
        <v/>
      </c>
      <c r="C1322" s="37">
        <f>IFERROR(IF(SUM('Semi Rev'!D43:G43)&lt;=0,"",SUM('Semi FCF'!D43:G43)/SUM('Semi Rev'!D43:G43)),"")</f>
        <v/>
      </c>
      <c r="D1322" s="37">
        <f>IFERROR(IF(SUM('Semi Rev'!E43:H43)&lt;=0,"",SUM('Semi FCF'!E43:H43)/SUM('Semi Rev'!E43:H43)),"")</f>
        <v/>
      </c>
      <c r="E1322" s="37">
        <f>IFERROR(IF(SUM('Semi Rev'!F43:I43)&lt;=0,"",SUM('Semi FCF'!F43:I43)/SUM('Semi Rev'!F43:I43)),"")</f>
        <v/>
      </c>
      <c r="F1322" s="37">
        <f>IFERROR(IF(SUM('Semi Rev'!G43:J43)&lt;=0,"",SUM('Semi FCF'!G43:J43)/SUM('Semi Rev'!G43:J43)),"")</f>
        <v/>
      </c>
      <c r="G1322" s="37">
        <f>IFERROR(IF(SUM('Semi Rev'!H43:K43)&lt;=0,"",SUM('Semi FCF'!H43:K43)/SUM('Semi Rev'!H43:K43)),"")</f>
        <v/>
      </c>
      <c r="H1322" s="37">
        <f>IFERROR(IF(SUM('Semi Rev'!I43:L43)&lt;=0,"",SUM('Semi FCF'!I43:L43)/SUM('Semi Rev'!I43:L43)),"")</f>
        <v/>
      </c>
      <c r="I1322" s="37">
        <f>IFERROR(IF(SUM('Semi Rev'!J43:M43)&lt;=0,"",SUM('Semi FCF'!J43:M43)/SUM('Semi Rev'!J43:M43)),"")</f>
        <v/>
      </c>
      <c r="J1322" s="37">
        <f>IFERROR(IF(SUM('Semi Rev'!K43:N43)&lt;=0,"",SUM('Semi FCF'!K43:N43)/SUM('Semi Rev'!K43:N43)),"")</f>
        <v/>
      </c>
      <c r="K1322" s="37">
        <f>IFERROR(IF(SUM('Semi Rev'!L43:O43)&lt;=0,"",SUM('Semi FCF'!L43:O43)/SUM('Semi Rev'!L43:O43)),"")</f>
        <v/>
      </c>
      <c r="L1322" s="37">
        <f>IFERROR(IF(SUM('Semi Rev'!M43:P43)&lt;=0,"",SUM('Semi FCF'!M43:P43)/SUM('Semi Rev'!M43:P43)),"")</f>
        <v/>
      </c>
      <c r="M1322" s="38">
        <f>IFERROR(IF(SUM('Semi Rev'!N43:Q43)&lt;=0,"",SUM('Semi FCF'!N43:Q43)/SUM('Semi Rev'!N43:Q43)),"")</f>
        <v/>
      </c>
      <c r="N1322" s="38">
        <f>IFERROR(IF(SUM('Semi Rev'!O43:R43)&lt;=0,"",SUM('Semi FCF'!O43:R43)/SUM('Semi Rev'!O43:R43)),"")</f>
        <v/>
      </c>
    </row>
    <row r="1323">
      <c r="A1323" s="19">
        <f>'Semi Rev'!$A44</f>
        <v/>
      </c>
      <c r="B1323" s="19">
        <f>'Semi Rev'!$B44</f>
        <v/>
      </c>
      <c r="C1323" s="37">
        <f>IFERROR(IF(SUM('Semi Rev'!D44:G44)&lt;=0,"",SUM('Semi FCF'!D44:G44)/SUM('Semi Rev'!D44:G44)),"")</f>
        <v/>
      </c>
      <c r="D1323" s="37">
        <f>IFERROR(IF(SUM('Semi Rev'!E44:H44)&lt;=0,"",SUM('Semi FCF'!E44:H44)/SUM('Semi Rev'!E44:H44)),"")</f>
        <v/>
      </c>
      <c r="E1323" s="37">
        <f>IFERROR(IF(SUM('Semi Rev'!F44:I44)&lt;=0,"",SUM('Semi FCF'!F44:I44)/SUM('Semi Rev'!F44:I44)),"")</f>
        <v/>
      </c>
      <c r="F1323" s="37">
        <f>IFERROR(IF(SUM('Semi Rev'!G44:J44)&lt;=0,"",SUM('Semi FCF'!G44:J44)/SUM('Semi Rev'!G44:J44)),"")</f>
        <v/>
      </c>
      <c r="G1323" s="37">
        <f>IFERROR(IF(SUM('Semi Rev'!H44:K44)&lt;=0,"",SUM('Semi FCF'!H44:K44)/SUM('Semi Rev'!H44:K44)),"")</f>
        <v/>
      </c>
      <c r="H1323" s="37">
        <f>IFERROR(IF(SUM('Semi Rev'!I44:L44)&lt;=0,"",SUM('Semi FCF'!I44:L44)/SUM('Semi Rev'!I44:L44)),"")</f>
        <v/>
      </c>
      <c r="I1323" s="37">
        <f>IFERROR(IF(SUM('Semi Rev'!J44:M44)&lt;=0,"",SUM('Semi FCF'!J44:M44)/SUM('Semi Rev'!J44:M44)),"")</f>
        <v/>
      </c>
      <c r="J1323" s="37">
        <f>IFERROR(IF(SUM('Semi Rev'!K44:N44)&lt;=0,"",SUM('Semi FCF'!K44:N44)/SUM('Semi Rev'!K44:N44)),"")</f>
        <v/>
      </c>
      <c r="K1323" s="37">
        <f>IFERROR(IF(SUM('Semi Rev'!L44:O44)&lt;=0,"",SUM('Semi FCF'!L44:O44)/SUM('Semi Rev'!L44:O44)),"")</f>
        <v/>
      </c>
      <c r="L1323" s="37">
        <f>IFERROR(IF(SUM('Semi Rev'!M44:P44)&lt;=0,"",SUM('Semi FCF'!M44:P44)/SUM('Semi Rev'!M44:P44)),"")</f>
        <v/>
      </c>
      <c r="M1323" s="38">
        <f>IFERROR(IF(SUM('Semi Rev'!N44:Q44)&lt;=0,"",SUM('Semi FCF'!N44:Q44)/SUM('Semi Rev'!N44:Q44)),"")</f>
        <v/>
      </c>
      <c r="N1323" s="38">
        <f>IFERROR(IF(SUM('Semi Rev'!O44:R44)&lt;=0,"",SUM('Semi FCF'!O44:R44)/SUM('Semi Rev'!O44:R44)),"")</f>
        <v/>
      </c>
    </row>
    <row r="1324">
      <c r="A1324" s="19">
        <f>'Semi Rev'!$A45</f>
        <v/>
      </c>
      <c r="B1324" s="19">
        <f>'Semi Rev'!$B45</f>
        <v/>
      </c>
      <c r="C1324" s="37">
        <f>IFERROR(IF(SUM('Semi Rev'!D45:G45)&lt;=0,"",SUM('Semi FCF'!D45:G45)/SUM('Semi Rev'!D45:G45)),"")</f>
        <v/>
      </c>
      <c r="D1324" s="37">
        <f>IFERROR(IF(SUM('Semi Rev'!E45:H45)&lt;=0,"",SUM('Semi FCF'!E45:H45)/SUM('Semi Rev'!E45:H45)),"")</f>
        <v/>
      </c>
      <c r="E1324" s="37">
        <f>IFERROR(IF(SUM('Semi Rev'!F45:I45)&lt;=0,"",SUM('Semi FCF'!F45:I45)/SUM('Semi Rev'!F45:I45)),"")</f>
        <v/>
      </c>
      <c r="F1324" s="37">
        <f>IFERROR(IF(SUM('Semi Rev'!G45:J45)&lt;=0,"",SUM('Semi FCF'!G45:J45)/SUM('Semi Rev'!G45:J45)),"")</f>
        <v/>
      </c>
      <c r="G1324" s="37">
        <f>IFERROR(IF(SUM('Semi Rev'!H45:K45)&lt;=0,"",SUM('Semi FCF'!H45:K45)/SUM('Semi Rev'!H45:K45)),"")</f>
        <v/>
      </c>
      <c r="H1324" s="37">
        <f>IFERROR(IF(SUM('Semi Rev'!I45:L45)&lt;=0,"",SUM('Semi FCF'!I45:L45)/SUM('Semi Rev'!I45:L45)),"")</f>
        <v/>
      </c>
      <c r="I1324" s="37">
        <f>IFERROR(IF(SUM('Semi Rev'!J45:M45)&lt;=0,"",SUM('Semi FCF'!J45:M45)/SUM('Semi Rev'!J45:M45)),"")</f>
        <v/>
      </c>
      <c r="J1324" s="37">
        <f>IFERROR(IF(SUM('Semi Rev'!K45:N45)&lt;=0,"",SUM('Semi FCF'!K45:N45)/SUM('Semi Rev'!K45:N45)),"")</f>
        <v/>
      </c>
      <c r="K1324" s="37">
        <f>IFERROR(IF(SUM('Semi Rev'!L45:O45)&lt;=0,"",SUM('Semi FCF'!L45:O45)/SUM('Semi Rev'!L45:O45)),"")</f>
        <v/>
      </c>
      <c r="L1324" s="37">
        <f>IFERROR(IF(SUM('Semi Rev'!M45:P45)&lt;=0,"",SUM('Semi FCF'!M45:P45)/SUM('Semi Rev'!M45:P45)),"")</f>
        <v/>
      </c>
      <c r="M1324" s="38">
        <f>IFERROR(IF(SUM('Semi Rev'!N45:Q45)&lt;=0,"",SUM('Semi FCF'!N45:Q45)/SUM('Semi Rev'!N45:Q45)),"")</f>
        <v/>
      </c>
      <c r="N1324" s="38">
        <f>IFERROR(IF(SUM('Semi Rev'!O45:R45)&lt;=0,"",SUM('Semi FCF'!O45:R45)/SUM('Semi Rev'!O45:R45)),"")</f>
        <v/>
      </c>
    </row>
    <row r="1325">
      <c r="A1325" s="19">
        <f>'Semi Rev'!$A46</f>
        <v/>
      </c>
      <c r="B1325" s="19">
        <f>'Semi Rev'!$B46</f>
        <v/>
      </c>
      <c r="C1325" s="37">
        <f>IFERROR(IF(SUM('Semi Rev'!D46:G46)&lt;=0,"",SUM('Semi FCF'!D46:G46)/SUM('Semi Rev'!D46:G46)),"")</f>
        <v/>
      </c>
      <c r="D1325" s="37">
        <f>IFERROR(IF(SUM('Semi Rev'!E46:H46)&lt;=0,"",SUM('Semi FCF'!E46:H46)/SUM('Semi Rev'!E46:H46)),"")</f>
        <v/>
      </c>
      <c r="E1325" s="37">
        <f>IFERROR(IF(SUM('Semi Rev'!F46:I46)&lt;=0,"",SUM('Semi FCF'!F46:I46)/SUM('Semi Rev'!F46:I46)),"")</f>
        <v/>
      </c>
      <c r="F1325" s="37">
        <f>IFERROR(IF(SUM('Semi Rev'!G46:J46)&lt;=0,"",SUM('Semi FCF'!G46:J46)/SUM('Semi Rev'!G46:J46)),"")</f>
        <v/>
      </c>
      <c r="G1325" s="37">
        <f>IFERROR(IF(SUM('Semi Rev'!H46:K46)&lt;=0,"",SUM('Semi FCF'!H46:K46)/SUM('Semi Rev'!H46:K46)),"")</f>
        <v/>
      </c>
      <c r="H1325" s="37">
        <f>IFERROR(IF(SUM('Semi Rev'!I46:L46)&lt;=0,"",SUM('Semi FCF'!I46:L46)/SUM('Semi Rev'!I46:L46)),"")</f>
        <v/>
      </c>
      <c r="I1325" s="37">
        <f>IFERROR(IF(SUM('Semi Rev'!J46:M46)&lt;=0,"",SUM('Semi FCF'!J46:M46)/SUM('Semi Rev'!J46:M46)),"")</f>
        <v/>
      </c>
      <c r="J1325" s="37">
        <f>IFERROR(IF(SUM('Semi Rev'!K46:N46)&lt;=0,"",SUM('Semi FCF'!K46:N46)/SUM('Semi Rev'!K46:N46)),"")</f>
        <v/>
      </c>
      <c r="K1325" s="37">
        <f>IFERROR(IF(SUM('Semi Rev'!L46:O46)&lt;=0,"",SUM('Semi FCF'!L46:O46)/SUM('Semi Rev'!L46:O46)),"")</f>
        <v/>
      </c>
      <c r="L1325" s="37">
        <f>IFERROR(IF(SUM('Semi Rev'!M46:P46)&lt;=0,"",SUM('Semi FCF'!M46:P46)/SUM('Semi Rev'!M46:P46)),"")</f>
        <v/>
      </c>
      <c r="M1325" s="38">
        <f>IFERROR(IF(SUM('Semi Rev'!N46:Q46)&lt;=0,"",SUM('Semi FCF'!N46:Q46)/SUM('Semi Rev'!N46:Q46)),"")</f>
        <v/>
      </c>
      <c r="N1325" s="38">
        <f>IFERROR(IF(SUM('Semi Rev'!O46:R46)&lt;=0,"",SUM('Semi FCF'!O46:R46)/SUM('Semi Rev'!O46:R46)),"")</f>
        <v/>
      </c>
    </row>
    <row r="1326">
      <c r="A1326" s="19">
        <f>'Semi Rev'!$A47</f>
        <v/>
      </c>
      <c r="B1326" s="19">
        <f>'Semi Rev'!$B47</f>
        <v/>
      </c>
      <c r="C1326" s="37">
        <f>IFERROR(IF(SUM('Semi Rev'!D47:G47)&lt;=0,"",SUM('Semi FCF'!D47:G47)/SUM('Semi Rev'!D47:G47)),"")</f>
        <v/>
      </c>
      <c r="D1326" s="37">
        <f>IFERROR(IF(SUM('Semi Rev'!E47:H47)&lt;=0,"",SUM('Semi FCF'!E47:H47)/SUM('Semi Rev'!E47:H47)),"")</f>
        <v/>
      </c>
      <c r="E1326" s="37">
        <f>IFERROR(IF(SUM('Semi Rev'!F47:I47)&lt;=0,"",SUM('Semi FCF'!F47:I47)/SUM('Semi Rev'!F47:I47)),"")</f>
        <v/>
      </c>
      <c r="F1326" s="37">
        <f>IFERROR(IF(SUM('Semi Rev'!G47:J47)&lt;=0,"",SUM('Semi FCF'!G47:J47)/SUM('Semi Rev'!G47:J47)),"")</f>
        <v/>
      </c>
      <c r="G1326" s="37">
        <f>IFERROR(IF(SUM('Semi Rev'!H47:K47)&lt;=0,"",SUM('Semi FCF'!H47:K47)/SUM('Semi Rev'!H47:K47)),"")</f>
        <v/>
      </c>
      <c r="H1326" s="37">
        <f>IFERROR(IF(SUM('Semi Rev'!I47:L47)&lt;=0,"",SUM('Semi FCF'!I47:L47)/SUM('Semi Rev'!I47:L47)),"")</f>
        <v/>
      </c>
      <c r="I1326" s="37">
        <f>IFERROR(IF(SUM('Semi Rev'!J47:M47)&lt;=0,"",SUM('Semi FCF'!J47:M47)/SUM('Semi Rev'!J47:M47)),"")</f>
        <v/>
      </c>
      <c r="J1326" s="37">
        <f>IFERROR(IF(SUM('Semi Rev'!K47:N47)&lt;=0,"",SUM('Semi FCF'!K47:N47)/SUM('Semi Rev'!K47:N47)),"")</f>
        <v/>
      </c>
      <c r="K1326" s="37">
        <f>IFERROR(IF(SUM('Semi Rev'!L47:O47)&lt;=0,"",SUM('Semi FCF'!L47:O47)/SUM('Semi Rev'!L47:O47)),"")</f>
        <v/>
      </c>
      <c r="L1326" s="37">
        <f>IFERROR(IF(SUM('Semi Rev'!M47:P47)&lt;=0,"",SUM('Semi FCF'!M47:P47)/SUM('Semi Rev'!M47:P47)),"")</f>
        <v/>
      </c>
      <c r="M1326" s="38">
        <f>IFERROR(IF(SUM('Semi Rev'!N47:Q47)&lt;=0,"",SUM('Semi FCF'!N47:Q47)/SUM('Semi Rev'!N47:Q47)),"")</f>
        <v/>
      </c>
      <c r="N1326" s="38">
        <f>IFERROR(IF(SUM('Semi Rev'!O47:R47)&lt;=0,"",SUM('Semi FCF'!O47:R47)/SUM('Semi Rev'!O47:R47)),"")</f>
        <v/>
      </c>
    </row>
    <row r="1327">
      <c r="A1327" s="19">
        <f>'Semi Rev'!$A48</f>
        <v/>
      </c>
      <c r="B1327" s="19">
        <f>'Semi Rev'!$B48</f>
        <v/>
      </c>
      <c r="C1327" s="37">
        <f>IFERROR(IF(SUM('Semi Rev'!D48:G48)&lt;=0,"",SUM('Semi FCF'!D48:G48)/SUM('Semi Rev'!D48:G48)),"")</f>
        <v/>
      </c>
      <c r="D1327" s="37">
        <f>IFERROR(IF(SUM('Semi Rev'!E48:H48)&lt;=0,"",SUM('Semi FCF'!E48:H48)/SUM('Semi Rev'!E48:H48)),"")</f>
        <v/>
      </c>
      <c r="E1327" s="37">
        <f>IFERROR(IF(SUM('Semi Rev'!F48:I48)&lt;=0,"",SUM('Semi FCF'!F48:I48)/SUM('Semi Rev'!F48:I48)),"")</f>
        <v/>
      </c>
      <c r="F1327" s="37">
        <f>IFERROR(IF(SUM('Semi Rev'!G48:J48)&lt;=0,"",SUM('Semi FCF'!G48:J48)/SUM('Semi Rev'!G48:J48)),"")</f>
        <v/>
      </c>
      <c r="G1327" s="37">
        <f>IFERROR(IF(SUM('Semi Rev'!H48:K48)&lt;=0,"",SUM('Semi FCF'!H48:K48)/SUM('Semi Rev'!H48:K48)),"")</f>
        <v/>
      </c>
      <c r="H1327" s="37">
        <f>IFERROR(IF(SUM('Semi Rev'!I48:L48)&lt;=0,"",SUM('Semi FCF'!I48:L48)/SUM('Semi Rev'!I48:L48)),"")</f>
        <v/>
      </c>
      <c r="I1327" s="37">
        <f>IFERROR(IF(SUM('Semi Rev'!J48:M48)&lt;=0,"",SUM('Semi FCF'!J48:M48)/SUM('Semi Rev'!J48:M48)),"")</f>
        <v/>
      </c>
      <c r="J1327" s="37">
        <f>IFERROR(IF(SUM('Semi Rev'!K48:N48)&lt;=0,"",SUM('Semi FCF'!K48:N48)/SUM('Semi Rev'!K48:N48)),"")</f>
        <v/>
      </c>
      <c r="K1327" s="37">
        <f>IFERROR(IF(SUM('Semi Rev'!L48:O48)&lt;=0,"",SUM('Semi FCF'!L48:O48)/SUM('Semi Rev'!L48:O48)),"")</f>
        <v/>
      </c>
      <c r="L1327" s="37">
        <f>IFERROR(IF(SUM('Semi Rev'!M48:P48)&lt;=0,"",SUM('Semi FCF'!M48:P48)/SUM('Semi Rev'!M48:P48)),"")</f>
        <v/>
      </c>
      <c r="M1327" s="38">
        <f>IFERROR(IF(SUM('Semi Rev'!N48:Q48)&lt;=0,"",SUM('Semi FCF'!N48:Q48)/SUM('Semi Rev'!N48:Q48)),"")</f>
        <v/>
      </c>
      <c r="N1327" s="38">
        <f>IFERROR(IF(SUM('Semi Rev'!O48:R48)&lt;=0,"",SUM('Semi FCF'!O48:R48)/SUM('Semi Rev'!O48:R48)),"")</f>
        <v/>
      </c>
    </row>
    <row r="1328">
      <c r="A1328" s="19">
        <f>'Semi Rev'!$A49</f>
        <v/>
      </c>
      <c r="B1328" s="19">
        <f>'Semi Rev'!$B49</f>
        <v/>
      </c>
      <c r="C1328" s="37">
        <f>IFERROR(IF(SUM('Semi Rev'!D49:G49)&lt;=0,"",SUM('Semi FCF'!D49:G49)/SUM('Semi Rev'!D49:G49)),"")</f>
        <v/>
      </c>
      <c r="D1328" s="37">
        <f>IFERROR(IF(SUM('Semi Rev'!E49:H49)&lt;=0,"",SUM('Semi FCF'!E49:H49)/SUM('Semi Rev'!E49:H49)),"")</f>
        <v/>
      </c>
      <c r="E1328" s="37">
        <f>IFERROR(IF(SUM('Semi Rev'!F49:I49)&lt;=0,"",SUM('Semi FCF'!F49:I49)/SUM('Semi Rev'!F49:I49)),"")</f>
        <v/>
      </c>
      <c r="F1328" s="37">
        <f>IFERROR(IF(SUM('Semi Rev'!G49:J49)&lt;=0,"",SUM('Semi FCF'!G49:J49)/SUM('Semi Rev'!G49:J49)),"")</f>
        <v/>
      </c>
      <c r="G1328" s="37">
        <f>IFERROR(IF(SUM('Semi Rev'!H49:K49)&lt;=0,"",SUM('Semi FCF'!H49:K49)/SUM('Semi Rev'!H49:K49)),"")</f>
        <v/>
      </c>
      <c r="H1328" s="37">
        <f>IFERROR(IF(SUM('Semi Rev'!I49:L49)&lt;=0,"",SUM('Semi FCF'!I49:L49)/SUM('Semi Rev'!I49:L49)),"")</f>
        <v/>
      </c>
      <c r="I1328" s="37">
        <f>IFERROR(IF(SUM('Semi Rev'!J49:M49)&lt;=0,"",SUM('Semi FCF'!J49:M49)/SUM('Semi Rev'!J49:M49)),"")</f>
        <v/>
      </c>
      <c r="J1328" s="37">
        <f>IFERROR(IF(SUM('Semi Rev'!K49:N49)&lt;=0,"",SUM('Semi FCF'!K49:N49)/SUM('Semi Rev'!K49:N49)),"")</f>
        <v/>
      </c>
      <c r="K1328" s="37">
        <f>IFERROR(IF(SUM('Semi Rev'!L49:O49)&lt;=0,"",SUM('Semi FCF'!L49:O49)/SUM('Semi Rev'!L49:O49)),"")</f>
        <v/>
      </c>
      <c r="L1328" s="37">
        <f>IFERROR(IF(SUM('Semi Rev'!M49:P49)&lt;=0,"",SUM('Semi FCF'!M49:P49)/SUM('Semi Rev'!M49:P49)),"")</f>
        <v/>
      </c>
      <c r="M1328" s="38">
        <f>IFERROR(IF(SUM('Semi Rev'!N49:Q49)&lt;=0,"",SUM('Semi FCF'!N49:Q49)/SUM('Semi Rev'!N49:Q49)),"")</f>
        <v/>
      </c>
      <c r="N1328" s="38">
        <f>IFERROR(IF(SUM('Semi Rev'!O49:R49)&lt;=0,"",SUM('Semi FCF'!O49:R49)/SUM('Semi Rev'!O49:R49)),"")</f>
        <v/>
      </c>
    </row>
    <row r="1329">
      <c r="A1329" s="19">
        <f>'Semi Rev'!$A50</f>
        <v/>
      </c>
      <c r="B1329" s="19">
        <f>'Semi Rev'!$B50</f>
        <v/>
      </c>
      <c r="C1329" s="37">
        <f>IFERROR(IF(SUM('Semi Rev'!D50:G50)&lt;=0,"",SUM('Semi FCF'!D50:G50)/SUM('Semi Rev'!D50:G50)),"")</f>
        <v/>
      </c>
      <c r="D1329" s="37">
        <f>IFERROR(IF(SUM('Semi Rev'!E50:H50)&lt;=0,"",SUM('Semi FCF'!E50:H50)/SUM('Semi Rev'!E50:H50)),"")</f>
        <v/>
      </c>
      <c r="E1329" s="37">
        <f>IFERROR(IF(SUM('Semi Rev'!F50:I50)&lt;=0,"",SUM('Semi FCF'!F50:I50)/SUM('Semi Rev'!F50:I50)),"")</f>
        <v/>
      </c>
      <c r="F1329" s="37">
        <f>IFERROR(IF(SUM('Semi Rev'!G50:J50)&lt;=0,"",SUM('Semi FCF'!G50:J50)/SUM('Semi Rev'!G50:J50)),"")</f>
        <v/>
      </c>
      <c r="G1329" s="37">
        <f>IFERROR(IF(SUM('Semi Rev'!H50:K50)&lt;=0,"",SUM('Semi FCF'!H50:K50)/SUM('Semi Rev'!H50:K50)),"")</f>
        <v/>
      </c>
      <c r="H1329" s="37">
        <f>IFERROR(IF(SUM('Semi Rev'!I50:L50)&lt;=0,"",SUM('Semi FCF'!I50:L50)/SUM('Semi Rev'!I50:L50)),"")</f>
        <v/>
      </c>
      <c r="I1329" s="37">
        <f>IFERROR(IF(SUM('Semi Rev'!J50:M50)&lt;=0,"",SUM('Semi FCF'!J50:M50)/SUM('Semi Rev'!J50:M50)),"")</f>
        <v/>
      </c>
      <c r="J1329" s="37">
        <f>IFERROR(IF(SUM('Semi Rev'!K50:N50)&lt;=0,"",SUM('Semi FCF'!K50:N50)/SUM('Semi Rev'!K50:N50)),"")</f>
        <v/>
      </c>
      <c r="K1329" s="37">
        <f>IFERROR(IF(SUM('Semi Rev'!L50:O50)&lt;=0,"",SUM('Semi FCF'!L50:O50)/SUM('Semi Rev'!L50:O50)),"")</f>
        <v/>
      </c>
      <c r="L1329" s="37">
        <f>IFERROR(IF(SUM('Semi Rev'!M50:P50)&lt;=0,"",SUM('Semi FCF'!M50:P50)/SUM('Semi Rev'!M50:P50)),"")</f>
        <v/>
      </c>
      <c r="M1329" s="38">
        <f>IFERROR(IF(SUM('Semi Rev'!N50:Q50)&lt;=0,"",SUM('Semi FCF'!N50:Q50)/SUM('Semi Rev'!N50:Q50)),"")</f>
        <v/>
      </c>
      <c r="N1329" s="38">
        <f>IFERROR(IF(SUM('Semi Rev'!O50:R50)&lt;=0,"",SUM('Semi FCF'!O50:R50)/SUM('Semi Rev'!O50:R50)),"")</f>
        <v/>
      </c>
    </row>
    <row r="1330">
      <c r="A1330" s="19">
        <f>'Semi Rev'!$A51</f>
        <v/>
      </c>
      <c r="B1330" s="19">
        <f>'Semi Rev'!$B51</f>
        <v/>
      </c>
      <c r="C1330" s="37">
        <f>IFERROR(IF(SUM('Semi Rev'!D51:G51)&lt;=0,"",SUM('Semi FCF'!D51:G51)/SUM('Semi Rev'!D51:G51)),"")</f>
        <v/>
      </c>
      <c r="D1330" s="37">
        <f>IFERROR(IF(SUM('Semi Rev'!E51:H51)&lt;=0,"",SUM('Semi FCF'!E51:H51)/SUM('Semi Rev'!E51:H51)),"")</f>
        <v/>
      </c>
      <c r="E1330" s="37">
        <f>IFERROR(IF(SUM('Semi Rev'!F51:I51)&lt;=0,"",SUM('Semi FCF'!F51:I51)/SUM('Semi Rev'!F51:I51)),"")</f>
        <v/>
      </c>
      <c r="F1330" s="37">
        <f>IFERROR(IF(SUM('Semi Rev'!G51:J51)&lt;=0,"",SUM('Semi FCF'!G51:J51)/SUM('Semi Rev'!G51:J51)),"")</f>
        <v/>
      </c>
      <c r="G1330" s="37">
        <f>IFERROR(IF(SUM('Semi Rev'!H51:K51)&lt;=0,"",SUM('Semi FCF'!H51:K51)/SUM('Semi Rev'!H51:K51)),"")</f>
        <v/>
      </c>
      <c r="H1330" s="37">
        <f>IFERROR(IF(SUM('Semi Rev'!I51:L51)&lt;=0,"",SUM('Semi FCF'!I51:L51)/SUM('Semi Rev'!I51:L51)),"")</f>
        <v/>
      </c>
      <c r="I1330" s="37">
        <f>IFERROR(IF(SUM('Semi Rev'!J51:M51)&lt;=0,"",SUM('Semi FCF'!J51:M51)/SUM('Semi Rev'!J51:M51)),"")</f>
        <v/>
      </c>
      <c r="J1330" s="37">
        <f>IFERROR(IF(SUM('Semi Rev'!K51:N51)&lt;=0,"",SUM('Semi FCF'!K51:N51)/SUM('Semi Rev'!K51:N51)),"")</f>
        <v/>
      </c>
      <c r="K1330" s="37">
        <f>IFERROR(IF(SUM('Semi Rev'!L51:O51)&lt;=0,"",SUM('Semi FCF'!L51:O51)/SUM('Semi Rev'!L51:O51)),"")</f>
        <v/>
      </c>
      <c r="L1330" s="37">
        <f>IFERROR(IF(SUM('Semi Rev'!M51:P51)&lt;=0,"",SUM('Semi FCF'!M51:P51)/SUM('Semi Rev'!M51:P51)),"")</f>
        <v/>
      </c>
      <c r="M1330" s="38">
        <f>IFERROR(IF(SUM('Semi Rev'!N51:Q51)&lt;=0,"",SUM('Semi FCF'!N51:Q51)/SUM('Semi Rev'!N51:Q51)),"")</f>
        <v/>
      </c>
      <c r="N1330" s="38">
        <f>IFERROR(IF(SUM('Semi Rev'!O51:R51)&lt;=0,"",SUM('Semi FCF'!O51:R51)/SUM('Semi Rev'!O51:R51)),"")</f>
        <v/>
      </c>
    </row>
    <row r="1331">
      <c r="A1331" s="19">
        <f>'Semi Rev'!$A52</f>
        <v/>
      </c>
      <c r="B1331" s="19">
        <f>'Semi Rev'!$B52</f>
        <v/>
      </c>
      <c r="C1331" s="37">
        <f>IFERROR(IF(SUM('Semi Rev'!D52:G52)&lt;=0,"",SUM('Semi FCF'!D52:G52)/SUM('Semi Rev'!D52:G52)),"")</f>
        <v/>
      </c>
      <c r="D1331" s="37">
        <f>IFERROR(IF(SUM('Semi Rev'!E52:H52)&lt;=0,"",SUM('Semi FCF'!E52:H52)/SUM('Semi Rev'!E52:H52)),"")</f>
        <v/>
      </c>
      <c r="E1331" s="37">
        <f>IFERROR(IF(SUM('Semi Rev'!F52:I52)&lt;=0,"",SUM('Semi FCF'!F52:I52)/SUM('Semi Rev'!F52:I52)),"")</f>
        <v/>
      </c>
      <c r="F1331" s="37">
        <f>IFERROR(IF(SUM('Semi Rev'!G52:J52)&lt;=0,"",SUM('Semi FCF'!G52:J52)/SUM('Semi Rev'!G52:J52)),"")</f>
        <v/>
      </c>
      <c r="G1331" s="37">
        <f>IFERROR(IF(SUM('Semi Rev'!H52:K52)&lt;=0,"",SUM('Semi FCF'!H52:K52)/SUM('Semi Rev'!H52:K52)),"")</f>
        <v/>
      </c>
      <c r="H1331" s="37">
        <f>IFERROR(IF(SUM('Semi Rev'!I52:L52)&lt;=0,"",SUM('Semi FCF'!I52:L52)/SUM('Semi Rev'!I52:L52)),"")</f>
        <v/>
      </c>
      <c r="I1331" s="37">
        <f>IFERROR(IF(SUM('Semi Rev'!J52:M52)&lt;=0,"",SUM('Semi FCF'!J52:M52)/SUM('Semi Rev'!J52:M52)),"")</f>
        <v/>
      </c>
      <c r="J1331" s="37">
        <f>IFERROR(IF(SUM('Semi Rev'!K52:N52)&lt;=0,"",SUM('Semi FCF'!K52:N52)/SUM('Semi Rev'!K52:N52)),"")</f>
        <v/>
      </c>
      <c r="K1331" s="37">
        <f>IFERROR(IF(SUM('Semi Rev'!L52:O52)&lt;=0,"",SUM('Semi FCF'!L52:O52)/SUM('Semi Rev'!L52:O52)),"")</f>
        <v/>
      </c>
      <c r="L1331" s="37">
        <f>IFERROR(IF(SUM('Semi Rev'!M52:P52)&lt;=0,"",SUM('Semi FCF'!M52:P52)/SUM('Semi Rev'!M52:P52)),"")</f>
        <v/>
      </c>
      <c r="M1331" s="38">
        <f>IFERROR(IF(SUM('Semi Rev'!N52:Q52)&lt;=0,"",SUM('Semi FCF'!N52:Q52)/SUM('Semi Rev'!N52:Q52)),"")</f>
        <v/>
      </c>
      <c r="N1331" s="38">
        <f>IFERROR(IF(SUM('Semi Rev'!O52:R52)&lt;=0,"",SUM('Semi FCF'!O52:R52)/SUM('Semi Rev'!O52:R52)),"")</f>
        <v/>
      </c>
    </row>
    <row r="1332">
      <c r="A1332" s="19">
        <f>'Semi Rev'!$A53</f>
        <v/>
      </c>
      <c r="B1332" s="19">
        <f>'Semi Rev'!$B53</f>
        <v/>
      </c>
      <c r="C1332" s="37">
        <f>IFERROR(IF(SUM('Semi Rev'!D53:G53)&lt;=0,"",SUM('Semi FCF'!D53:G53)/SUM('Semi Rev'!D53:G53)),"")</f>
        <v/>
      </c>
      <c r="D1332" s="37">
        <f>IFERROR(IF(SUM('Semi Rev'!E53:H53)&lt;=0,"",SUM('Semi FCF'!E53:H53)/SUM('Semi Rev'!E53:H53)),"")</f>
        <v/>
      </c>
      <c r="E1332" s="37">
        <f>IFERROR(IF(SUM('Semi Rev'!F53:I53)&lt;=0,"",SUM('Semi FCF'!F53:I53)/SUM('Semi Rev'!F53:I53)),"")</f>
        <v/>
      </c>
      <c r="F1332" s="37">
        <f>IFERROR(IF(SUM('Semi Rev'!G53:J53)&lt;=0,"",SUM('Semi FCF'!G53:J53)/SUM('Semi Rev'!G53:J53)),"")</f>
        <v/>
      </c>
      <c r="G1332" s="37">
        <f>IFERROR(IF(SUM('Semi Rev'!H53:K53)&lt;=0,"",SUM('Semi FCF'!H53:K53)/SUM('Semi Rev'!H53:K53)),"")</f>
        <v/>
      </c>
      <c r="H1332" s="37">
        <f>IFERROR(IF(SUM('Semi Rev'!I53:L53)&lt;=0,"",SUM('Semi FCF'!I53:L53)/SUM('Semi Rev'!I53:L53)),"")</f>
        <v/>
      </c>
      <c r="I1332" s="37">
        <f>IFERROR(IF(SUM('Semi Rev'!J53:M53)&lt;=0,"",SUM('Semi FCF'!J53:M53)/SUM('Semi Rev'!J53:M53)),"")</f>
        <v/>
      </c>
      <c r="J1332" s="37">
        <f>IFERROR(IF(SUM('Semi Rev'!K53:N53)&lt;=0,"",SUM('Semi FCF'!K53:N53)/SUM('Semi Rev'!K53:N53)),"")</f>
        <v/>
      </c>
      <c r="K1332" s="37">
        <f>IFERROR(IF(SUM('Semi Rev'!L53:O53)&lt;=0,"",SUM('Semi FCF'!L53:O53)/SUM('Semi Rev'!L53:O53)),"")</f>
        <v/>
      </c>
      <c r="L1332" s="37">
        <f>IFERROR(IF(SUM('Semi Rev'!M53:P53)&lt;=0,"",SUM('Semi FCF'!M53:P53)/SUM('Semi Rev'!M53:P53)),"")</f>
        <v/>
      </c>
      <c r="M1332" s="38">
        <f>IFERROR(IF(SUM('Semi Rev'!N53:Q53)&lt;=0,"",SUM('Semi FCF'!N53:Q53)/SUM('Semi Rev'!N53:Q53)),"")</f>
        <v/>
      </c>
      <c r="N1332" s="38">
        <f>IFERROR(IF(SUM('Semi Rev'!O53:R53)&lt;=0,"",SUM('Semi FCF'!O53:R53)/SUM('Semi Rev'!O53:R53)),"")</f>
        <v/>
      </c>
    </row>
    <row r="1333">
      <c r="A1333" s="19">
        <f>'Semi Rev'!$A54</f>
        <v/>
      </c>
      <c r="B1333" s="19">
        <f>'Semi Rev'!$B54</f>
        <v/>
      </c>
      <c r="C1333" s="37">
        <f>IFERROR(IF(SUM('Semi Rev'!D54:G54)&lt;=0,"",SUM('Semi FCF'!D54:G54)/SUM('Semi Rev'!D54:G54)),"")</f>
        <v/>
      </c>
      <c r="D1333" s="37">
        <f>IFERROR(IF(SUM('Semi Rev'!E54:H54)&lt;=0,"",SUM('Semi FCF'!E54:H54)/SUM('Semi Rev'!E54:H54)),"")</f>
        <v/>
      </c>
      <c r="E1333" s="37">
        <f>IFERROR(IF(SUM('Semi Rev'!F54:I54)&lt;=0,"",SUM('Semi FCF'!F54:I54)/SUM('Semi Rev'!F54:I54)),"")</f>
        <v/>
      </c>
      <c r="F1333" s="37">
        <f>IFERROR(IF(SUM('Semi Rev'!G54:J54)&lt;=0,"",SUM('Semi FCF'!G54:J54)/SUM('Semi Rev'!G54:J54)),"")</f>
        <v/>
      </c>
      <c r="G1333" s="37">
        <f>IFERROR(IF(SUM('Semi Rev'!H54:K54)&lt;=0,"",SUM('Semi FCF'!H54:K54)/SUM('Semi Rev'!H54:K54)),"")</f>
        <v/>
      </c>
      <c r="H1333" s="37">
        <f>IFERROR(IF(SUM('Semi Rev'!I54:L54)&lt;=0,"",SUM('Semi FCF'!I54:L54)/SUM('Semi Rev'!I54:L54)),"")</f>
        <v/>
      </c>
      <c r="I1333" s="37">
        <f>IFERROR(IF(SUM('Semi Rev'!J54:M54)&lt;=0,"",SUM('Semi FCF'!J54:M54)/SUM('Semi Rev'!J54:M54)),"")</f>
        <v/>
      </c>
      <c r="J1333" s="37">
        <f>IFERROR(IF(SUM('Semi Rev'!K54:N54)&lt;=0,"",SUM('Semi FCF'!K54:N54)/SUM('Semi Rev'!K54:N54)),"")</f>
        <v/>
      </c>
      <c r="K1333" s="37">
        <f>IFERROR(IF(SUM('Semi Rev'!L54:O54)&lt;=0,"",SUM('Semi FCF'!L54:O54)/SUM('Semi Rev'!L54:O54)),"")</f>
        <v/>
      </c>
      <c r="L1333" s="37">
        <f>IFERROR(IF(SUM('Semi Rev'!M54:P54)&lt;=0,"",SUM('Semi FCF'!M54:P54)/SUM('Semi Rev'!M54:P54)),"")</f>
        <v/>
      </c>
      <c r="M1333" s="38">
        <f>IFERROR(IF(SUM('Semi Rev'!N54:Q54)&lt;=0,"",SUM('Semi FCF'!N54:Q54)/SUM('Semi Rev'!N54:Q54)),"")</f>
        <v/>
      </c>
      <c r="N1333" s="38">
        <f>IFERROR(IF(SUM('Semi Rev'!O54:R54)&lt;=0,"",SUM('Semi FCF'!O54:R54)/SUM('Semi Rev'!O54:R54)),"")</f>
        <v/>
      </c>
    </row>
    <row r="1334">
      <c r="A1334" s="19">
        <f>'Semi Rev'!$A55</f>
        <v/>
      </c>
      <c r="B1334" s="19">
        <f>'Semi Rev'!$B55</f>
        <v/>
      </c>
      <c r="C1334" s="37">
        <f>IFERROR(IF(SUM('Semi Rev'!D55:G55)&lt;=0,"",SUM('Semi FCF'!D55:G55)/SUM('Semi Rev'!D55:G55)),"")</f>
        <v/>
      </c>
      <c r="D1334" s="37">
        <f>IFERROR(IF(SUM('Semi Rev'!E55:H55)&lt;=0,"",SUM('Semi FCF'!E55:H55)/SUM('Semi Rev'!E55:H55)),"")</f>
        <v/>
      </c>
      <c r="E1334" s="37">
        <f>IFERROR(IF(SUM('Semi Rev'!F55:I55)&lt;=0,"",SUM('Semi FCF'!F55:I55)/SUM('Semi Rev'!F55:I55)),"")</f>
        <v/>
      </c>
      <c r="F1334" s="37">
        <f>IFERROR(IF(SUM('Semi Rev'!G55:J55)&lt;=0,"",SUM('Semi FCF'!G55:J55)/SUM('Semi Rev'!G55:J55)),"")</f>
        <v/>
      </c>
      <c r="G1334" s="37">
        <f>IFERROR(IF(SUM('Semi Rev'!H55:K55)&lt;=0,"",SUM('Semi FCF'!H55:K55)/SUM('Semi Rev'!H55:K55)),"")</f>
        <v/>
      </c>
      <c r="H1334" s="37">
        <f>IFERROR(IF(SUM('Semi Rev'!I55:L55)&lt;=0,"",SUM('Semi FCF'!I55:L55)/SUM('Semi Rev'!I55:L55)),"")</f>
        <v/>
      </c>
      <c r="I1334" s="37">
        <f>IFERROR(IF(SUM('Semi Rev'!J55:M55)&lt;=0,"",SUM('Semi FCF'!J55:M55)/SUM('Semi Rev'!J55:M55)),"")</f>
        <v/>
      </c>
      <c r="J1334" s="37">
        <f>IFERROR(IF(SUM('Semi Rev'!K55:N55)&lt;=0,"",SUM('Semi FCF'!K55:N55)/SUM('Semi Rev'!K55:N55)),"")</f>
        <v/>
      </c>
      <c r="K1334" s="37">
        <f>IFERROR(IF(SUM('Semi Rev'!L55:O55)&lt;=0,"",SUM('Semi FCF'!L55:O55)/SUM('Semi Rev'!L55:O55)),"")</f>
        <v/>
      </c>
      <c r="L1334" s="37">
        <f>IFERROR(IF(SUM('Semi Rev'!M55:P55)&lt;=0,"",SUM('Semi FCF'!M55:P55)/SUM('Semi Rev'!M55:P55)),"")</f>
        <v/>
      </c>
      <c r="M1334" s="38">
        <f>IFERROR(IF(SUM('Semi Rev'!N55:Q55)&lt;=0,"",SUM('Semi FCF'!N55:Q55)/SUM('Semi Rev'!N55:Q55)),"")</f>
        <v/>
      </c>
      <c r="N1334" s="38">
        <f>IFERROR(IF(SUM('Semi Rev'!O55:R55)&lt;=0,"",SUM('Semi FCF'!O55:R55)/SUM('Semi Rev'!O55:R55)),"")</f>
        <v/>
      </c>
    </row>
    <row r="1335">
      <c r="A1335" s="19">
        <f>'Semi Rev'!$A56</f>
        <v/>
      </c>
      <c r="B1335" s="19">
        <f>'Semi Rev'!$B56</f>
        <v/>
      </c>
      <c r="C1335" s="37">
        <f>IFERROR(IF(SUM('Semi Rev'!D56:G56)&lt;=0,"",SUM('Semi FCF'!D56:G56)/SUM('Semi Rev'!D56:G56)),"")</f>
        <v/>
      </c>
      <c r="D1335" s="37">
        <f>IFERROR(IF(SUM('Semi Rev'!E56:H56)&lt;=0,"",SUM('Semi FCF'!E56:H56)/SUM('Semi Rev'!E56:H56)),"")</f>
        <v/>
      </c>
      <c r="E1335" s="37">
        <f>IFERROR(IF(SUM('Semi Rev'!F56:I56)&lt;=0,"",SUM('Semi FCF'!F56:I56)/SUM('Semi Rev'!F56:I56)),"")</f>
        <v/>
      </c>
      <c r="F1335" s="37">
        <f>IFERROR(IF(SUM('Semi Rev'!G56:J56)&lt;=0,"",SUM('Semi FCF'!G56:J56)/SUM('Semi Rev'!G56:J56)),"")</f>
        <v/>
      </c>
      <c r="G1335" s="37">
        <f>IFERROR(IF(SUM('Semi Rev'!H56:K56)&lt;=0,"",SUM('Semi FCF'!H56:K56)/SUM('Semi Rev'!H56:K56)),"")</f>
        <v/>
      </c>
      <c r="H1335" s="37">
        <f>IFERROR(IF(SUM('Semi Rev'!I56:L56)&lt;=0,"",SUM('Semi FCF'!I56:L56)/SUM('Semi Rev'!I56:L56)),"")</f>
        <v/>
      </c>
      <c r="I1335" s="37">
        <f>IFERROR(IF(SUM('Semi Rev'!J56:M56)&lt;=0,"",SUM('Semi FCF'!J56:M56)/SUM('Semi Rev'!J56:M56)),"")</f>
        <v/>
      </c>
      <c r="J1335" s="37">
        <f>IFERROR(IF(SUM('Semi Rev'!K56:N56)&lt;=0,"",SUM('Semi FCF'!K56:N56)/SUM('Semi Rev'!K56:N56)),"")</f>
        <v/>
      </c>
      <c r="K1335" s="37">
        <f>IFERROR(IF(SUM('Semi Rev'!L56:O56)&lt;=0,"",SUM('Semi FCF'!L56:O56)/SUM('Semi Rev'!L56:O56)),"")</f>
        <v/>
      </c>
      <c r="L1335" s="37">
        <f>IFERROR(IF(SUM('Semi Rev'!M56:P56)&lt;=0,"",SUM('Semi FCF'!M56:P56)/SUM('Semi Rev'!M56:P56)),"")</f>
        <v/>
      </c>
      <c r="M1335" s="38">
        <f>IFERROR(IF(SUM('Semi Rev'!N56:Q56)&lt;=0,"",SUM('Semi FCF'!N56:Q56)/SUM('Semi Rev'!N56:Q56)),"")</f>
        <v/>
      </c>
      <c r="N1335" s="38">
        <f>IFERROR(IF(SUM('Semi Rev'!O56:R56)&lt;=0,"",SUM('Semi FCF'!O56:R56)/SUM('Semi Rev'!O56:R56)),"")</f>
        <v/>
      </c>
    </row>
    <row r="1336">
      <c r="A1336" s="19">
        <f>'Semi Rev'!$A57</f>
        <v/>
      </c>
      <c r="B1336" s="19">
        <f>'Semi Rev'!$B57</f>
        <v/>
      </c>
      <c r="C1336" s="37">
        <f>IFERROR(IF(SUM('Semi Rev'!D57:G57)&lt;=0,"",SUM('Semi FCF'!D57:G57)/SUM('Semi Rev'!D57:G57)),"")</f>
        <v/>
      </c>
      <c r="D1336" s="37">
        <f>IFERROR(IF(SUM('Semi Rev'!E57:H57)&lt;=0,"",SUM('Semi FCF'!E57:H57)/SUM('Semi Rev'!E57:H57)),"")</f>
        <v/>
      </c>
      <c r="E1336" s="37">
        <f>IFERROR(IF(SUM('Semi Rev'!F57:I57)&lt;=0,"",SUM('Semi FCF'!F57:I57)/SUM('Semi Rev'!F57:I57)),"")</f>
        <v/>
      </c>
      <c r="F1336" s="37">
        <f>IFERROR(IF(SUM('Semi Rev'!G57:J57)&lt;=0,"",SUM('Semi FCF'!G57:J57)/SUM('Semi Rev'!G57:J57)),"")</f>
        <v/>
      </c>
      <c r="G1336" s="37">
        <f>IFERROR(IF(SUM('Semi Rev'!H57:K57)&lt;=0,"",SUM('Semi FCF'!H57:K57)/SUM('Semi Rev'!H57:K57)),"")</f>
        <v/>
      </c>
      <c r="H1336" s="37">
        <f>IFERROR(IF(SUM('Semi Rev'!I57:L57)&lt;=0,"",SUM('Semi FCF'!I57:L57)/SUM('Semi Rev'!I57:L57)),"")</f>
        <v/>
      </c>
      <c r="I1336" s="37">
        <f>IFERROR(IF(SUM('Semi Rev'!J57:M57)&lt;=0,"",SUM('Semi FCF'!J57:M57)/SUM('Semi Rev'!J57:M57)),"")</f>
        <v/>
      </c>
      <c r="J1336" s="37">
        <f>IFERROR(IF(SUM('Semi Rev'!K57:N57)&lt;=0,"",SUM('Semi FCF'!K57:N57)/SUM('Semi Rev'!K57:N57)),"")</f>
        <v/>
      </c>
      <c r="K1336" s="37">
        <f>IFERROR(IF(SUM('Semi Rev'!L57:O57)&lt;=0,"",SUM('Semi FCF'!L57:O57)/SUM('Semi Rev'!L57:O57)),"")</f>
        <v/>
      </c>
      <c r="L1336" s="37">
        <f>IFERROR(IF(SUM('Semi Rev'!M57:P57)&lt;=0,"",SUM('Semi FCF'!M57:P57)/SUM('Semi Rev'!M57:P57)),"")</f>
        <v/>
      </c>
      <c r="M1336" s="38">
        <f>IFERROR(IF(SUM('Semi Rev'!N57:Q57)&lt;=0,"",SUM('Semi FCF'!N57:Q57)/SUM('Semi Rev'!N57:Q57)),"")</f>
        <v/>
      </c>
      <c r="N1336" s="38">
        <f>IFERROR(IF(SUM('Semi Rev'!O57:R57)&lt;=0,"",SUM('Semi FCF'!O57:R57)/SUM('Semi Rev'!O57:R57)),"")</f>
        <v/>
      </c>
    </row>
    <row r="1337">
      <c r="A1337" s="19">
        <f>'Semi Rev'!$A58</f>
        <v/>
      </c>
      <c r="B1337" s="19">
        <f>'Semi Rev'!$B58</f>
        <v/>
      </c>
      <c r="C1337" s="37">
        <f>IFERROR(IF(SUM('Semi Rev'!D58:G58)&lt;=0,"",SUM('Semi FCF'!D58:G58)/SUM('Semi Rev'!D58:G58)),"")</f>
        <v/>
      </c>
      <c r="D1337" s="37">
        <f>IFERROR(IF(SUM('Semi Rev'!E58:H58)&lt;=0,"",SUM('Semi FCF'!E58:H58)/SUM('Semi Rev'!E58:H58)),"")</f>
        <v/>
      </c>
      <c r="E1337" s="37">
        <f>IFERROR(IF(SUM('Semi Rev'!F58:I58)&lt;=0,"",SUM('Semi FCF'!F58:I58)/SUM('Semi Rev'!F58:I58)),"")</f>
        <v/>
      </c>
      <c r="F1337" s="37">
        <f>IFERROR(IF(SUM('Semi Rev'!G58:J58)&lt;=0,"",SUM('Semi FCF'!G58:J58)/SUM('Semi Rev'!G58:J58)),"")</f>
        <v/>
      </c>
      <c r="G1337" s="37">
        <f>IFERROR(IF(SUM('Semi Rev'!H58:K58)&lt;=0,"",SUM('Semi FCF'!H58:K58)/SUM('Semi Rev'!H58:K58)),"")</f>
        <v/>
      </c>
      <c r="H1337" s="37">
        <f>IFERROR(IF(SUM('Semi Rev'!I58:L58)&lt;=0,"",SUM('Semi FCF'!I58:L58)/SUM('Semi Rev'!I58:L58)),"")</f>
        <v/>
      </c>
      <c r="I1337" s="37">
        <f>IFERROR(IF(SUM('Semi Rev'!J58:M58)&lt;=0,"",SUM('Semi FCF'!J58:M58)/SUM('Semi Rev'!J58:M58)),"")</f>
        <v/>
      </c>
      <c r="J1337" s="37">
        <f>IFERROR(IF(SUM('Semi Rev'!K58:N58)&lt;=0,"",SUM('Semi FCF'!K58:N58)/SUM('Semi Rev'!K58:N58)),"")</f>
        <v/>
      </c>
      <c r="K1337" s="37">
        <f>IFERROR(IF(SUM('Semi Rev'!L58:O58)&lt;=0,"",SUM('Semi FCF'!L58:O58)/SUM('Semi Rev'!L58:O58)),"")</f>
        <v/>
      </c>
      <c r="L1337" s="37">
        <f>IFERROR(IF(SUM('Semi Rev'!M58:P58)&lt;=0,"",SUM('Semi FCF'!M58:P58)/SUM('Semi Rev'!M58:P58)),"")</f>
        <v/>
      </c>
      <c r="M1337" s="38">
        <f>IFERROR(IF(SUM('Semi Rev'!N58:Q58)&lt;=0,"",SUM('Semi FCF'!N58:Q58)/SUM('Semi Rev'!N58:Q58)),"")</f>
        <v/>
      </c>
      <c r="N1337" s="38">
        <f>IFERROR(IF(SUM('Semi Rev'!O58:R58)&lt;=0,"",SUM('Semi FCF'!O58:R58)/SUM('Semi Rev'!O58:R58)),"")</f>
        <v/>
      </c>
    </row>
    <row r="1338">
      <c r="A1338" s="19">
        <f>'Semi Rev'!$A59</f>
        <v/>
      </c>
      <c r="B1338" s="19">
        <f>'Semi Rev'!$B59</f>
        <v/>
      </c>
      <c r="C1338" s="37">
        <f>IFERROR(IF(SUM('Semi Rev'!D59:G59)&lt;=0,"",SUM('Semi FCF'!D59:G59)/SUM('Semi Rev'!D59:G59)),"")</f>
        <v/>
      </c>
      <c r="D1338" s="37">
        <f>IFERROR(IF(SUM('Semi Rev'!E59:H59)&lt;=0,"",SUM('Semi FCF'!E59:H59)/SUM('Semi Rev'!E59:H59)),"")</f>
        <v/>
      </c>
      <c r="E1338" s="37">
        <f>IFERROR(IF(SUM('Semi Rev'!F59:I59)&lt;=0,"",SUM('Semi FCF'!F59:I59)/SUM('Semi Rev'!F59:I59)),"")</f>
        <v/>
      </c>
      <c r="F1338" s="37">
        <f>IFERROR(IF(SUM('Semi Rev'!G59:J59)&lt;=0,"",SUM('Semi FCF'!G59:J59)/SUM('Semi Rev'!G59:J59)),"")</f>
        <v/>
      </c>
      <c r="G1338" s="37">
        <f>IFERROR(IF(SUM('Semi Rev'!H59:K59)&lt;=0,"",SUM('Semi FCF'!H59:K59)/SUM('Semi Rev'!H59:K59)),"")</f>
        <v/>
      </c>
      <c r="H1338" s="37">
        <f>IFERROR(IF(SUM('Semi Rev'!I59:L59)&lt;=0,"",SUM('Semi FCF'!I59:L59)/SUM('Semi Rev'!I59:L59)),"")</f>
        <v/>
      </c>
      <c r="I1338" s="37">
        <f>IFERROR(IF(SUM('Semi Rev'!J59:M59)&lt;=0,"",SUM('Semi FCF'!J59:M59)/SUM('Semi Rev'!J59:M59)),"")</f>
        <v/>
      </c>
      <c r="J1338" s="37">
        <f>IFERROR(IF(SUM('Semi Rev'!K59:N59)&lt;=0,"",SUM('Semi FCF'!K59:N59)/SUM('Semi Rev'!K59:N59)),"")</f>
        <v/>
      </c>
      <c r="K1338" s="37">
        <f>IFERROR(IF(SUM('Semi Rev'!L59:O59)&lt;=0,"",SUM('Semi FCF'!L59:O59)/SUM('Semi Rev'!L59:O59)),"")</f>
        <v/>
      </c>
      <c r="L1338" s="37">
        <f>IFERROR(IF(SUM('Semi Rev'!M59:P59)&lt;=0,"",SUM('Semi FCF'!M59:P59)/SUM('Semi Rev'!M59:P59)),"")</f>
        <v/>
      </c>
      <c r="M1338" s="38">
        <f>IFERROR(IF(SUM('Semi Rev'!N59:Q59)&lt;=0,"",SUM('Semi FCF'!N59:Q59)/SUM('Semi Rev'!N59:Q59)),"")</f>
        <v/>
      </c>
      <c r="N1338" s="38">
        <f>IFERROR(IF(SUM('Semi Rev'!O59:R59)&lt;=0,"",SUM('Semi FCF'!O59:R59)/SUM('Semi Rev'!O59:R59)),"")</f>
        <v/>
      </c>
    </row>
    <row r="1339">
      <c r="A1339" s="19">
        <f>'Semi Rev'!$A60</f>
        <v/>
      </c>
      <c r="B1339" s="19">
        <f>'Semi Rev'!$B60</f>
        <v/>
      </c>
      <c r="C1339" s="37">
        <f>IFERROR(IF(SUM('Semi Rev'!D60:G60)&lt;=0,"",SUM('Semi FCF'!D60:G60)/SUM('Semi Rev'!D60:G60)),"")</f>
        <v/>
      </c>
      <c r="D1339" s="37">
        <f>IFERROR(IF(SUM('Semi Rev'!E60:H60)&lt;=0,"",SUM('Semi FCF'!E60:H60)/SUM('Semi Rev'!E60:H60)),"")</f>
        <v/>
      </c>
      <c r="E1339" s="37">
        <f>IFERROR(IF(SUM('Semi Rev'!F60:I60)&lt;=0,"",SUM('Semi FCF'!F60:I60)/SUM('Semi Rev'!F60:I60)),"")</f>
        <v/>
      </c>
      <c r="F1339" s="37">
        <f>IFERROR(IF(SUM('Semi Rev'!G60:J60)&lt;=0,"",SUM('Semi FCF'!G60:J60)/SUM('Semi Rev'!G60:J60)),"")</f>
        <v/>
      </c>
      <c r="G1339" s="37">
        <f>IFERROR(IF(SUM('Semi Rev'!H60:K60)&lt;=0,"",SUM('Semi FCF'!H60:K60)/SUM('Semi Rev'!H60:K60)),"")</f>
        <v/>
      </c>
      <c r="H1339" s="37">
        <f>IFERROR(IF(SUM('Semi Rev'!I60:L60)&lt;=0,"",SUM('Semi FCF'!I60:L60)/SUM('Semi Rev'!I60:L60)),"")</f>
        <v/>
      </c>
      <c r="I1339" s="37">
        <f>IFERROR(IF(SUM('Semi Rev'!J60:M60)&lt;=0,"",SUM('Semi FCF'!J60:M60)/SUM('Semi Rev'!J60:M60)),"")</f>
        <v/>
      </c>
      <c r="J1339" s="37">
        <f>IFERROR(IF(SUM('Semi Rev'!K60:N60)&lt;=0,"",SUM('Semi FCF'!K60:N60)/SUM('Semi Rev'!K60:N60)),"")</f>
        <v/>
      </c>
      <c r="K1339" s="37">
        <f>IFERROR(IF(SUM('Semi Rev'!L60:O60)&lt;=0,"",SUM('Semi FCF'!L60:O60)/SUM('Semi Rev'!L60:O60)),"")</f>
        <v/>
      </c>
      <c r="L1339" s="37">
        <f>IFERROR(IF(SUM('Semi Rev'!M60:P60)&lt;=0,"",SUM('Semi FCF'!M60:P60)/SUM('Semi Rev'!M60:P60)),"")</f>
        <v/>
      </c>
      <c r="M1339" s="38">
        <f>IFERROR(IF(SUM('Semi Rev'!N60:Q60)&lt;=0,"",SUM('Semi FCF'!N60:Q60)/SUM('Semi Rev'!N60:Q60)),"")</f>
        <v/>
      </c>
      <c r="N1339" s="38">
        <f>IFERROR(IF(SUM('Semi Rev'!O60:R60)&lt;=0,"",SUM('Semi FCF'!O60:R60)/SUM('Semi Rev'!O60:R60)),"")</f>
        <v/>
      </c>
    </row>
    <row r="1340">
      <c r="A1340" s="19">
        <f>'Semi Rev'!$A61</f>
        <v/>
      </c>
      <c r="B1340" s="19">
        <f>'Semi Rev'!$B61</f>
        <v/>
      </c>
      <c r="C1340" s="37">
        <f>IFERROR(IF(SUM('Semi Rev'!D61:G61)&lt;=0,"",SUM('Semi FCF'!D61:G61)/SUM('Semi Rev'!D61:G61)),"")</f>
        <v/>
      </c>
      <c r="D1340" s="37">
        <f>IFERROR(IF(SUM('Semi Rev'!E61:H61)&lt;=0,"",SUM('Semi FCF'!E61:H61)/SUM('Semi Rev'!E61:H61)),"")</f>
        <v/>
      </c>
      <c r="E1340" s="37">
        <f>IFERROR(IF(SUM('Semi Rev'!F61:I61)&lt;=0,"",SUM('Semi FCF'!F61:I61)/SUM('Semi Rev'!F61:I61)),"")</f>
        <v/>
      </c>
      <c r="F1340" s="37">
        <f>IFERROR(IF(SUM('Semi Rev'!G61:J61)&lt;=0,"",SUM('Semi FCF'!G61:J61)/SUM('Semi Rev'!G61:J61)),"")</f>
        <v/>
      </c>
      <c r="G1340" s="37">
        <f>IFERROR(IF(SUM('Semi Rev'!H61:K61)&lt;=0,"",SUM('Semi FCF'!H61:K61)/SUM('Semi Rev'!H61:K61)),"")</f>
        <v/>
      </c>
      <c r="H1340" s="37">
        <f>IFERROR(IF(SUM('Semi Rev'!I61:L61)&lt;=0,"",SUM('Semi FCF'!I61:L61)/SUM('Semi Rev'!I61:L61)),"")</f>
        <v/>
      </c>
      <c r="I1340" s="37">
        <f>IFERROR(IF(SUM('Semi Rev'!J61:M61)&lt;=0,"",SUM('Semi FCF'!J61:M61)/SUM('Semi Rev'!J61:M61)),"")</f>
        <v/>
      </c>
      <c r="J1340" s="37">
        <f>IFERROR(IF(SUM('Semi Rev'!K61:N61)&lt;=0,"",SUM('Semi FCF'!K61:N61)/SUM('Semi Rev'!K61:N61)),"")</f>
        <v/>
      </c>
      <c r="K1340" s="37">
        <f>IFERROR(IF(SUM('Semi Rev'!L61:O61)&lt;=0,"",SUM('Semi FCF'!L61:O61)/SUM('Semi Rev'!L61:O61)),"")</f>
        <v/>
      </c>
      <c r="L1340" s="37">
        <f>IFERROR(IF(SUM('Semi Rev'!M61:P61)&lt;=0,"",SUM('Semi FCF'!M61:P61)/SUM('Semi Rev'!M61:P61)),"")</f>
        <v/>
      </c>
      <c r="M1340" s="38">
        <f>IFERROR(IF(SUM('Semi Rev'!N61:Q61)&lt;=0,"",SUM('Semi FCF'!N61:Q61)/SUM('Semi Rev'!N61:Q61)),"")</f>
        <v/>
      </c>
      <c r="N1340" s="38">
        <f>IFERROR(IF(SUM('Semi Rev'!O61:R61)&lt;=0,"",SUM('Semi FCF'!O61:R61)/SUM('Semi Rev'!O61:R61)),"")</f>
        <v/>
      </c>
    </row>
    <row r="1341">
      <c r="A1341" s="19">
        <f>'Semi Rev'!$A62</f>
        <v/>
      </c>
      <c r="B1341" s="19">
        <f>'Semi Rev'!$B62</f>
        <v/>
      </c>
      <c r="C1341" s="37">
        <f>IFERROR(IF(SUM('Semi Rev'!D62:G62)&lt;=0,"",SUM('Semi FCF'!D62:G62)/SUM('Semi Rev'!D62:G62)),"")</f>
        <v/>
      </c>
      <c r="D1341" s="37">
        <f>IFERROR(IF(SUM('Semi Rev'!E62:H62)&lt;=0,"",SUM('Semi FCF'!E62:H62)/SUM('Semi Rev'!E62:H62)),"")</f>
        <v/>
      </c>
      <c r="E1341" s="37">
        <f>IFERROR(IF(SUM('Semi Rev'!F62:I62)&lt;=0,"",SUM('Semi FCF'!F62:I62)/SUM('Semi Rev'!F62:I62)),"")</f>
        <v/>
      </c>
      <c r="F1341" s="37">
        <f>IFERROR(IF(SUM('Semi Rev'!G62:J62)&lt;=0,"",SUM('Semi FCF'!G62:J62)/SUM('Semi Rev'!G62:J62)),"")</f>
        <v/>
      </c>
      <c r="G1341" s="37">
        <f>IFERROR(IF(SUM('Semi Rev'!H62:K62)&lt;=0,"",SUM('Semi FCF'!H62:K62)/SUM('Semi Rev'!H62:K62)),"")</f>
        <v/>
      </c>
      <c r="H1341" s="37">
        <f>IFERROR(IF(SUM('Semi Rev'!I62:L62)&lt;=0,"",SUM('Semi FCF'!I62:L62)/SUM('Semi Rev'!I62:L62)),"")</f>
        <v/>
      </c>
      <c r="I1341" s="37">
        <f>IFERROR(IF(SUM('Semi Rev'!J62:M62)&lt;=0,"",SUM('Semi FCF'!J62:M62)/SUM('Semi Rev'!J62:M62)),"")</f>
        <v/>
      </c>
      <c r="J1341" s="37">
        <f>IFERROR(IF(SUM('Semi Rev'!K62:N62)&lt;=0,"",SUM('Semi FCF'!K62:N62)/SUM('Semi Rev'!K62:N62)),"")</f>
        <v/>
      </c>
      <c r="K1341" s="37">
        <f>IFERROR(IF(SUM('Semi Rev'!L62:O62)&lt;=0,"",SUM('Semi FCF'!L62:O62)/SUM('Semi Rev'!L62:O62)),"")</f>
        <v/>
      </c>
      <c r="L1341" s="37">
        <f>IFERROR(IF(SUM('Semi Rev'!M62:P62)&lt;=0,"",SUM('Semi FCF'!M62:P62)/SUM('Semi Rev'!M62:P62)),"")</f>
        <v/>
      </c>
      <c r="M1341" s="38">
        <f>IFERROR(IF(SUM('Semi Rev'!N62:Q62)&lt;=0,"",SUM('Semi FCF'!N62:Q62)/SUM('Semi Rev'!N62:Q62)),"")</f>
        <v/>
      </c>
      <c r="N1341" s="38">
        <f>IFERROR(IF(SUM('Semi Rev'!O62:R62)&lt;=0,"",SUM('Semi FCF'!O62:R62)/SUM('Semi Rev'!O62:R62)),"")</f>
        <v/>
      </c>
    </row>
    <row r="1342">
      <c r="A1342" s="19">
        <f>'Semi Rev'!$A63</f>
        <v/>
      </c>
      <c r="B1342" s="19">
        <f>'Semi Rev'!$B63</f>
        <v/>
      </c>
      <c r="C1342" s="37">
        <f>IFERROR(IF(SUM('Semi Rev'!D63:G63)&lt;=0,"",SUM('Semi FCF'!D63:G63)/SUM('Semi Rev'!D63:G63)),"")</f>
        <v/>
      </c>
      <c r="D1342" s="37">
        <f>IFERROR(IF(SUM('Semi Rev'!E63:H63)&lt;=0,"",SUM('Semi FCF'!E63:H63)/SUM('Semi Rev'!E63:H63)),"")</f>
        <v/>
      </c>
      <c r="E1342" s="37">
        <f>IFERROR(IF(SUM('Semi Rev'!F63:I63)&lt;=0,"",SUM('Semi FCF'!F63:I63)/SUM('Semi Rev'!F63:I63)),"")</f>
        <v/>
      </c>
      <c r="F1342" s="37">
        <f>IFERROR(IF(SUM('Semi Rev'!G63:J63)&lt;=0,"",SUM('Semi FCF'!G63:J63)/SUM('Semi Rev'!G63:J63)),"")</f>
        <v/>
      </c>
      <c r="G1342" s="37">
        <f>IFERROR(IF(SUM('Semi Rev'!H63:K63)&lt;=0,"",SUM('Semi FCF'!H63:K63)/SUM('Semi Rev'!H63:K63)),"")</f>
        <v/>
      </c>
      <c r="H1342" s="37">
        <f>IFERROR(IF(SUM('Semi Rev'!I63:L63)&lt;=0,"",SUM('Semi FCF'!I63:L63)/SUM('Semi Rev'!I63:L63)),"")</f>
        <v/>
      </c>
      <c r="I1342" s="37">
        <f>IFERROR(IF(SUM('Semi Rev'!J63:M63)&lt;=0,"",SUM('Semi FCF'!J63:M63)/SUM('Semi Rev'!J63:M63)),"")</f>
        <v/>
      </c>
      <c r="J1342" s="37">
        <f>IFERROR(IF(SUM('Semi Rev'!K63:N63)&lt;=0,"",SUM('Semi FCF'!K63:N63)/SUM('Semi Rev'!K63:N63)),"")</f>
        <v/>
      </c>
      <c r="K1342" s="37">
        <f>IFERROR(IF(SUM('Semi Rev'!L63:O63)&lt;=0,"",SUM('Semi FCF'!L63:O63)/SUM('Semi Rev'!L63:O63)),"")</f>
        <v/>
      </c>
      <c r="L1342" s="37">
        <f>IFERROR(IF(SUM('Semi Rev'!M63:P63)&lt;=0,"",SUM('Semi FCF'!M63:P63)/SUM('Semi Rev'!M63:P63)),"")</f>
        <v/>
      </c>
      <c r="M1342" s="38">
        <f>IFERROR(IF(SUM('Semi Rev'!N63:Q63)&lt;=0,"",SUM('Semi FCF'!N63:Q63)/SUM('Semi Rev'!N63:Q63)),"")</f>
        <v/>
      </c>
      <c r="N1342" s="38">
        <f>IFERROR(IF(SUM('Semi Rev'!O63:R63)&lt;=0,"",SUM('Semi FCF'!O63:R63)/SUM('Semi Rev'!O63:R63)),"")</f>
        <v/>
      </c>
    </row>
    <row r="1343">
      <c r="A1343" s="19">
        <f>'Semi Rev'!$A64</f>
        <v/>
      </c>
      <c r="B1343" s="19">
        <f>'Semi Rev'!$B64</f>
        <v/>
      </c>
      <c r="C1343" s="37">
        <f>IFERROR(IF(SUM('Semi Rev'!D64:G64)&lt;=0,"",SUM('Semi FCF'!D64:G64)/SUM('Semi Rev'!D64:G64)),"")</f>
        <v/>
      </c>
      <c r="D1343" s="37">
        <f>IFERROR(IF(SUM('Semi Rev'!E64:H64)&lt;=0,"",SUM('Semi FCF'!E64:H64)/SUM('Semi Rev'!E64:H64)),"")</f>
        <v/>
      </c>
      <c r="E1343" s="37">
        <f>IFERROR(IF(SUM('Semi Rev'!F64:I64)&lt;=0,"",SUM('Semi FCF'!F64:I64)/SUM('Semi Rev'!F64:I64)),"")</f>
        <v/>
      </c>
      <c r="F1343" s="37">
        <f>IFERROR(IF(SUM('Semi Rev'!G64:J64)&lt;=0,"",SUM('Semi FCF'!G64:J64)/SUM('Semi Rev'!G64:J64)),"")</f>
        <v/>
      </c>
      <c r="G1343" s="37">
        <f>IFERROR(IF(SUM('Semi Rev'!H64:K64)&lt;=0,"",SUM('Semi FCF'!H64:K64)/SUM('Semi Rev'!H64:K64)),"")</f>
        <v/>
      </c>
      <c r="H1343" s="37">
        <f>IFERROR(IF(SUM('Semi Rev'!I64:L64)&lt;=0,"",SUM('Semi FCF'!I64:L64)/SUM('Semi Rev'!I64:L64)),"")</f>
        <v/>
      </c>
      <c r="I1343" s="37">
        <f>IFERROR(IF(SUM('Semi Rev'!J64:M64)&lt;=0,"",SUM('Semi FCF'!J64:M64)/SUM('Semi Rev'!J64:M64)),"")</f>
        <v/>
      </c>
      <c r="J1343" s="37">
        <f>IFERROR(IF(SUM('Semi Rev'!K64:N64)&lt;=0,"",SUM('Semi FCF'!K64:N64)/SUM('Semi Rev'!K64:N64)),"")</f>
        <v/>
      </c>
      <c r="K1343" s="37">
        <f>IFERROR(IF(SUM('Semi Rev'!L64:O64)&lt;=0,"",SUM('Semi FCF'!L64:O64)/SUM('Semi Rev'!L64:O64)),"")</f>
        <v/>
      </c>
      <c r="L1343" s="37">
        <f>IFERROR(IF(SUM('Semi Rev'!M64:P64)&lt;=0,"",SUM('Semi FCF'!M64:P64)/SUM('Semi Rev'!M64:P64)),"")</f>
        <v/>
      </c>
      <c r="M1343" s="38">
        <f>IFERROR(IF(SUM('Semi Rev'!N64:Q64)&lt;=0,"",SUM('Semi FCF'!N64:Q64)/SUM('Semi Rev'!N64:Q64)),"")</f>
        <v/>
      </c>
      <c r="N1343" s="38">
        <f>IFERROR(IF(SUM('Semi Rev'!O64:R64)&lt;=0,"",SUM('Semi FCF'!O64:R64)/SUM('Semi Rev'!O64:R64)),"")</f>
        <v/>
      </c>
    </row>
    <row r="1344">
      <c r="A1344" s="19">
        <f>'Semi Rev'!$A65</f>
        <v/>
      </c>
      <c r="B1344" s="19">
        <f>'Semi Rev'!$B65</f>
        <v/>
      </c>
      <c r="C1344" s="37">
        <f>IFERROR(IF(SUM('Semi Rev'!D65:G65)&lt;=0,"",SUM('Semi FCF'!D65:G65)/SUM('Semi Rev'!D65:G65)),"")</f>
        <v/>
      </c>
      <c r="D1344" s="37">
        <f>IFERROR(IF(SUM('Semi Rev'!E65:H65)&lt;=0,"",SUM('Semi FCF'!E65:H65)/SUM('Semi Rev'!E65:H65)),"")</f>
        <v/>
      </c>
      <c r="E1344" s="37">
        <f>IFERROR(IF(SUM('Semi Rev'!F65:I65)&lt;=0,"",SUM('Semi FCF'!F65:I65)/SUM('Semi Rev'!F65:I65)),"")</f>
        <v/>
      </c>
      <c r="F1344" s="37">
        <f>IFERROR(IF(SUM('Semi Rev'!G65:J65)&lt;=0,"",SUM('Semi FCF'!G65:J65)/SUM('Semi Rev'!G65:J65)),"")</f>
        <v/>
      </c>
      <c r="G1344" s="37">
        <f>IFERROR(IF(SUM('Semi Rev'!H65:K65)&lt;=0,"",SUM('Semi FCF'!H65:K65)/SUM('Semi Rev'!H65:K65)),"")</f>
        <v/>
      </c>
      <c r="H1344" s="37">
        <f>IFERROR(IF(SUM('Semi Rev'!I65:L65)&lt;=0,"",SUM('Semi FCF'!I65:L65)/SUM('Semi Rev'!I65:L65)),"")</f>
        <v/>
      </c>
      <c r="I1344" s="37">
        <f>IFERROR(IF(SUM('Semi Rev'!J65:M65)&lt;=0,"",SUM('Semi FCF'!J65:M65)/SUM('Semi Rev'!J65:M65)),"")</f>
        <v/>
      </c>
      <c r="J1344" s="37">
        <f>IFERROR(IF(SUM('Semi Rev'!K65:N65)&lt;=0,"",SUM('Semi FCF'!K65:N65)/SUM('Semi Rev'!K65:N65)),"")</f>
        <v/>
      </c>
      <c r="K1344" s="37">
        <f>IFERROR(IF(SUM('Semi Rev'!L65:O65)&lt;=0,"",SUM('Semi FCF'!L65:O65)/SUM('Semi Rev'!L65:O65)),"")</f>
        <v/>
      </c>
      <c r="L1344" s="37">
        <f>IFERROR(IF(SUM('Semi Rev'!M65:P65)&lt;=0,"",SUM('Semi FCF'!M65:P65)/SUM('Semi Rev'!M65:P65)),"")</f>
        <v/>
      </c>
      <c r="M1344" s="38">
        <f>IFERROR(IF(SUM('Semi Rev'!N65:Q65)&lt;=0,"",SUM('Semi FCF'!N65:Q65)/SUM('Semi Rev'!N65:Q65)),"")</f>
        <v/>
      </c>
      <c r="N1344" s="38">
        <f>IFERROR(IF(SUM('Semi Rev'!O65:R65)&lt;=0,"",SUM('Semi FCF'!O65:R65)/SUM('Semi Rev'!O65:R65)),"")</f>
        <v/>
      </c>
    </row>
    <row r="1345">
      <c r="A1345" s="19">
        <f>'Semi Rev'!$A66</f>
        <v/>
      </c>
      <c r="B1345" s="19">
        <f>'Semi Rev'!$B66</f>
        <v/>
      </c>
      <c r="C1345" s="37">
        <f>IFERROR(IF(SUM('Semi Rev'!D66:G66)&lt;=0,"",SUM('Semi FCF'!D66:G66)/SUM('Semi Rev'!D66:G66)),"")</f>
        <v/>
      </c>
      <c r="D1345" s="37">
        <f>IFERROR(IF(SUM('Semi Rev'!E66:H66)&lt;=0,"",SUM('Semi FCF'!E66:H66)/SUM('Semi Rev'!E66:H66)),"")</f>
        <v/>
      </c>
      <c r="E1345" s="37">
        <f>IFERROR(IF(SUM('Semi Rev'!F66:I66)&lt;=0,"",SUM('Semi FCF'!F66:I66)/SUM('Semi Rev'!F66:I66)),"")</f>
        <v/>
      </c>
      <c r="F1345" s="37">
        <f>IFERROR(IF(SUM('Semi Rev'!G66:J66)&lt;=0,"",SUM('Semi FCF'!G66:J66)/SUM('Semi Rev'!G66:J66)),"")</f>
        <v/>
      </c>
      <c r="G1345" s="37">
        <f>IFERROR(IF(SUM('Semi Rev'!H66:K66)&lt;=0,"",SUM('Semi FCF'!H66:K66)/SUM('Semi Rev'!H66:K66)),"")</f>
        <v/>
      </c>
      <c r="H1345" s="37">
        <f>IFERROR(IF(SUM('Semi Rev'!I66:L66)&lt;=0,"",SUM('Semi FCF'!I66:L66)/SUM('Semi Rev'!I66:L66)),"")</f>
        <v/>
      </c>
      <c r="I1345" s="37">
        <f>IFERROR(IF(SUM('Semi Rev'!J66:M66)&lt;=0,"",SUM('Semi FCF'!J66:M66)/SUM('Semi Rev'!J66:M66)),"")</f>
        <v/>
      </c>
      <c r="J1345" s="37">
        <f>IFERROR(IF(SUM('Semi Rev'!K66:N66)&lt;=0,"",SUM('Semi FCF'!K66:N66)/SUM('Semi Rev'!K66:N66)),"")</f>
        <v/>
      </c>
      <c r="K1345" s="37">
        <f>IFERROR(IF(SUM('Semi Rev'!L66:O66)&lt;=0,"",SUM('Semi FCF'!L66:O66)/SUM('Semi Rev'!L66:O66)),"")</f>
        <v/>
      </c>
      <c r="L1345" s="37">
        <f>IFERROR(IF(SUM('Semi Rev'!M66:P66)&lt;=0,"",SUM('Semi FCF'!M66:P66)/SUM('Semi Rev'!M66:P66)),"")</f>
        <v/>
      </c>
      <c r="M1345" s="38">
        <f>IFERROR(IF(SUM('Semi Rev'!N66:Q66)&lt;=0,"",SUM('Semi FCF'!N66:Q66)/SUM('Semi Rev'!N66:Q66)),"")</f>
        <v/>
      </c>
      <c r="N1345" s="38">
        <f>IFERROR(IF(SUM('Semi Rev'!O66:R66)&lt;=0,"",SUM('Semi FCF'!O66:R66)/SUM('Semi Rev'!O66:R66)),"")</f>
        <v/>
      </c>
    </row>
    <row r="1346">
      <c r="A1346" s="19">
        <f>'Semi Rev'!$A67</f>
        <v/>
      </c>
      <c r="B1346" s="19">
        <f>'Semi Rev'!$B67</f>
        <v/>
      </c>
      <c r="C1346" s="37">
        <f>IFERROR(IF(SUM('Semi Rev'!D67:G67)&lt;=0,"",SUM('Semi FCF'!D67:G67)/SUM('Semi Rev'!D67:G67)),"")</f>
        <v/>
      </c>
      <c r="D1346" s="37">
        <f>IFERROR(IF(SUM('Semi Rev'!E67:H67)&lt;=0,"",SUM('Semi FCF'!E67:H67)/SUM('Semi Rev'!E67:H67)),"")</f>
        <v/>
      </c>
      <c r="E1346" s="37">
        <f>IFERROR(IF(SUM('Semi Rev'!F67:I67)&lt;=0,"",SUM('Semi FCF'!F67:I67)/SUM('Semi Rev'!F67:I67)),"")</f>
        <v/>
      </c>
      <c r="F1346" s="37">
        <f>IFERROR(IF(SUM('Semi Rev'!G67:J67)&lt;=0,"",SUM('Semi FCF'!G67:J67)/SUM('Semi Rev'!G67:J67)),"")</f>
        <v/>
      </c>
      <c r="G1346" s="37">
        <f>IFERROR(IF(SUM('Semi Rev'!H67:K67)&lt;=0,"",SUM('Semi FCF'!H67:K67)/SUM('Semi Rev'!H67:K67)),"")</f>
        <v/>
      </c>
      <c r="H1346" s="37">
        <f>IFERROR(IF(SUM('Semi Rev'!I67:L67)&lt;=0,"",SUM('Semi FCF'!I67:L67)/SUM('Semi Rev'!I67:L67)),"")</f>
        <v/>
      </c>
      <c r="I1346" s="37">
        <f>IFERROR(IF(SUM('Semi Rev'!J67:M67)&lt;=0,"",SUM('Semi FCF'!J67:M67)/SUM('Semi Rev'!J67:M67)),"")</f>
        <v/>
      </c>
      <c r="J1346" s="37">
        <f>IFERROR(IF(SUM('Semi Rev'!K67:N67)&lt;=0,"",SUM('Semi FCF'!K67:N67)/SUM('Semi Rev'!K67:N67)),"")</f>
        <v/>
      </c>
      <c r="K1346" s="37">
        <f>IFERROR(IF(SUM('Semi Rev'!L67:O67)&lt;=0,"",SUM('Semi FCF'!L67:O67)/SUM('Semi Rev'!L67:O67)),"")</f>
        <v/>
      </c>
      <c r="L1346" s="37">
        <f>IFERROR(IF(SUM('Semi Rev'!M67:P67)&lt;=0,"",SUM('Semi FCF'!M67:P67)/SUM('Semi Rev'!M67:P67)),"")</f>
        <v/>
      </c>
      <c r="M1346" s="38">
        <f>IFERROR(IF(SUM('Semi Rev'!N67:Q67)&lt;=0,"",SUM('Semi FCF'!N67:Q67)/SUM('Semi Rev'!N67:Q67)),"")</f>
        <v/>
      </c>
      <c r="N1346" s="38">
        <f>IFERROR(IF(SUM('Semi Rev'!O67:R67)&lt;=0,"",SUM('Semi FCF'!O67:R67)/SUM('Semi Rev'!O67:R67)),"")</f>
        <v/>
      </c>
    </row>
    <row r="1347">
      <c r="A1347" s="19">
        <f>'Semi Rev'!$A68</f>
        <v/>
      </c>
      <c r="B1347" s="19">
        <f>'Semi Rev'!$B68</f>
        <v/>
      </c>
      <c r="C1347" s="37">
        <f>IFERROR(IF(SUM('Semi Rev'!D68:G68)&lt;=0,"",SUM('Semi FCF'!D68:G68)/SUM('Semi Rev'!D68:G68)),"")</f>
        <v/>
      </c>
      <c r="D1347" s="37">
        <f>IFERROR(IF(SUM('Semi Rev'!E68:H68)&lt;=0,"",SUM('Semi FCF'!E68:H68)/SUM('Semi Rev'!E68:H68)),"")</f>
        <v/>
      </c>
      <c r="E1347" s="37">
        <f>IFERROR(IF(SUM('Semi Rev'!F68:I68)&lt;=0,"",SUM('Semi FCF'!F68:I68)/SUM('Semi Rev'!F68:I68)),"")</f>
        <v/>
      </c>
      <c r="F1347" s="37">
        <f>IFERROR(IF(SUM('Semi Rev'!G68:J68)&lt;=0,"",SUM('Semi FCF'!G68:J68)/SUM('Semi Rev'!G68:J68)),"")</f>
        <v/>
      </c>
      <c r="G1347" s="37">
        <f>IFERROR(IF(SUM('Semi Rev'!H68:K68)&lt;=0,"",SUM('Semi FCF'!H68:K68)/SUM('Semi Rev'!H68:K68)),"")</f>
        <v/>
      </c>
      <c r="H1347" s="37">
        <f>IFERROR(IF(SUM('Semi Rev'!I68:L68)&lt;=0,"",SUM('Semi FCF'!I68:L68)/SUM('Semi Rev'!I68:L68)),"")</f>
        <v/>
      </c>
      <c r="I1347" s="37">
        <f>IFERROR(IF(SUM('Semi Rev'!J68:M68)&lt;=0,"",SUM('Semi FCF'!J68:M68)/SUM('Semi Rev'!J68:M68)),"")</f>
        <v/>
      </c>
      <c r="J1347" s="37">
        <f>IFERROR(IF(SUM('Semi Rev'!K68:N68)&lt;=0,"",SUM('Semi FCF'!K68:N68)/SUM('Semi Rev'!K68:N68)),"")</f>
        <v/>
      </c>
      <c r="K1347" s="37">
        <f>IFERROR(IF(SUM('Semi Rev'!L68:O68)&lt;=0,"",SUM('Semi FCF'!L68:O68)/SUM('Semi Rev'!L68:O68)),"")</f>
        <v/>
      </c>
      <c r="L1347" s="37">
        <f>IFERROR(IF(SUM('Semi Rev'!M68:P68)&lt;=0,"",SUM('Semi FCF'!M68:P68)/SUM('Semi Rev'!M68:P68)),"")</f>
        <v/>
      </c>
      <c r="M1347" s="38">
        <f>IFERROR(IF(SUM('Semi Rev'!N68:Q68)&lt;=0,"",SUM('Semi FCF'!N68:Q68)/SUM('Semi Rev'!N68:Q68)),"")</f>
        <v/>
      </c>
      <c r="N1347" s="38">
        <f>IFERROR(IF(SUM('Semi Rev'!O68:R68)&lt;=0,"",SUM('Semi FCF'!O68:R68)/SUM('Semi Rev'!O68:R68)),"")</f>
        <v/>
      </c>
    </row>
    <row r="1348">
      <c r="A1348" s="19">
        <f>'Semi Rev'!$A69</f>
        <v/>
      </c>
      <c r="B1348" s="19">
        <f>'Semi Rev'!$B69</f>
        <v/>
      </c>
      <c r="C1348" s="37">
        <f>IFERROR(IF(SUM('Semi Rev'!D69:G69)&lt;=0,"",SUM('Semi FCF'!D69:G69)/SUM('Semi Rev'!D69:G69)),"")</f>
        <v/>
      </c>
      <c r="D1348" s="37">
        <f>IFERROR(IF(SUM('Semi Rev'!E69:H69)&lt;=0,"",SUM('Semi FCF'!E69:H69)/SUM('Semi Rev'!E69:H69)),"")</f>
        <v/>
      </c>
      <c r="E1348" s="37">
        <f>IFERROR(IF(SUM('Semi Rev'!F69:I69)&lt;=0,"",SUM('Semi FCF'!F69:I69)/SUM('Semi Rev'!F69:I69)),"")</f>
        <v/>
      </c>
      <c r="F1348" s="37">
        <f>IFERROR(IF(SUM('Semi Rev'!G69:J69)&lt;=0,"",SUM('Semi FCF'!G69:J69)/SUM('Semi Rev'!G69:J69)),"")</f>
        <v/>
      </c>
      <c r="G1348" s="37">
        <f>IFERROR(IF(SUM('Semi Rev'!H69:K69)&lt;=0,"",SUM('Semi FCF'!H69:K69)/SUM('Semi Rev'!H69:K69)),"")</f>
        <v/>
      </c>
      <c r="H1348" s="37">
        <f>IFERROR(IF(SUM('Semi Rev'!I69:L69)&lt;=0,"",SUM('Semi FCF'!I69:L69)/SUM('Semi Rev'!I69:L69)),"")</f>
        <v/>
      </c>
      <c r="I1348" s="37">
        <f>IFERROR(IF(SUM('Semi Rev'!J69:M69)&lt;=0,"",SUM('Semi FCF'!J69:M69)/SUM('Semi Rev'!J69:M69)),"")</f>
        <v/>
      </c>
      <c r="J1348" s="37">
        <f>IFERROR(IF(SUM('Semi Rev'!K69:N69)&lt;=0,"",SUM('Semi FCF'!K69:N69)/SUM('Semi Rev'!K69:N69)),"")</f>
        <v/>
      </c>
      <c r="K1348" s="37">
        <f>IFERROR(IF(SUM('Semi Rev'!L69:O69)&lt;=0,"",SUM('Semi FCF'!L69:O69)/SUM('Semi Rev'!L69:O69)),"")</f>
        <v/>
      </c>
      <c r="L1348" s="37">
        <f>IFERROR(IF(SUM('Semi Rev'!M69:P69)&lt;=0,"",SUM('Semi FCF'!M69:P69)/SUM('Semi Rev'!M69:P69)),"")</f>
        <v/>
      </c>
      <c r="M1348" s="38">
        <f>IFERROR(IF(SUM('Semi Rev'!N69:Q69)&lt;=0,"",SUM('Semi FCF'!N69:Q69)/SUM('Semi Rev'!N69:Q69)),"")</f>
        <v/>
      </c>
      <c r="N1348" s="38">
        <f>IFERROR(IF(SUM('Semi Rev'!O69:R69)&lt;=0,"",SUM('Semi FCF'!O69:R69)/SUM('Semi Rev'!O69:R69)),"")</f>
        <v/>
      </c>
    </row>
    <row r="1349">
      <c r="A1349" s="19">
        <f>'Semi Rev'!$A70</f>
        <v/>
      </c>
      <c r="B1349" s="19">
        <f>'Semi Rev'!$B70</f>
        <v/>
      </c>
      <c r="C1349" s="37">
        <f>IFERROR(IF(SUM('Semi Rev'!D70:G70)&lt;=0,"",SUM('Semi FCF'!D70:G70)/SUM('Semi Rev'!D70:G70)),"")</f>
        <v/>
      </c>
      <c r="D1349" s="37">
        <f>IFERROR(IF(SUM('Semi Rev'!E70:H70)&lt;=0,"",SUM('Semi FCF'!E70:H70)/SUM('Semi Rev'!E70:H70)),"")</f>
        <v/>
      </c>
      <c r="E1349" s="37">
        <f>IFERROR(IF(SUM('Semi Rev'!F70:I70)&lt;=0,"",SUM('Semi FCF'!F70:I70)/SUM('Semi Rev'!F70:I70)),"")</f>
        <v/>
      </c>
      <c r="F1349" s="37">
        <f>IFERROR(IF(SUM('Semi Rev'!G70:J70)&lt;=0,"",SUM('Semi FCF'!G70:J70)/SUM('Semi Rev'!G70:J70)),"")</f>
        <v/>
      </c>
      <c r="G1349" s="37">
        <f>IFERROR(IF(SUM('Semi Rev'!H70:K70)&lt;=0,"",SUM('Semi FCF'!H70:K70)/SUM('Semi Rev'!H70:K70)),"")</f>
        <v/>
      </c>
      <c r="H1349" s="37">
        <f>IFERROR(IF(SUM('Semi Rev'!I70:L70)&lt;=0,"",SUM('Semi FCF'!I70:L70)/SUM('Semi Rev'!I70:L70)),"")</f>
        <v/>
      </c>
      <c r="I1349" s="37">
        <f>IFERROR(IF(SUM('Semi Rev'!J70:M70)&lt;=0,"",SUM('Semi FCF'!J70:M70)/SUM('Semi Rev'!J70:M70)),"")</f>
        <v/>
      </c>
      <c r="J1349" s="37">
        <f>IFERROR(IF(SUM('Semi Rev'!K70:N70)&lt;=0,"",SUM('Semi FCF'!K70:N70)/SUM('Semi Rev'!K70:N70)),"")</f>
        <v/>
      </c>
      <c r="K1349" s="37">
        <f>IFERROR(IF(SUM('Semi Rev'!L70:O70)&lt;=0,"",SUM('Semi FCF'!L70:O70)/SUM('Semi Rev'!L70:O70)),"")</f>
        <v/>
      </c>
      <c r="L1349" s="37">
        <f>IFERROR(IF(SUM('Semi Rev'!M70:P70)&lt;=0,"",SUM('Semi FCF'!M70:P70)/SUM('Semi Rev'!M70:P70)),"")</f>
        <v/>
      </c>
      <c r="M1349" s="38">
        <f>IFERROR(IF(SUM('Semi Rev'!N70:Q70)&lt;=0,"",SUM('Semi FCF'!N70:Q70)/SUM('Semi Rev'!N70:Q70)),"")</f>
        <v/>
      </c>
      <c r="N1349" s="38">
        <f>IFERROR(IF(SUM('Semi Rev'!O70:R70)&lt;=0,"",SUM('Semi FCF'!O70:R70)/SUM('Semi Rev'!O70:R70)),"")</f>
        <v/>
      </c>
    </row>
    <row r="1350">
      <c r="A1350" s="19">
        <f>'Semi Rev'!$A71</f>
        <v/>
      </c>
      <c r="B1350" s="19">
        <f>'Semi Rev'!$B71</f>
        <v/>
      </c>
      <c r="C1350" s="37">
        <f>IFERROR(IF(SUM('Semi Rev'!D71:G71)&lt;=0,"",SUM('Semi FCF'!D71:G71)/SUM('Semi Rev'!D71:G71)),"")</f>
        <v/>
      </c>
      <c r="D1350" s="37">
        <f>IFERROR(IF(SUM('Semi Rev'!E71:H71)&lt;=0,"",SUM('Semi FCF'!E71:H71)/SUM('Semi Rev'!E71:H71)),"")</f>
        <v/>
      </c>
      <c r="E1350" s="37">
        <f>IFERROR(IF(SUM('Semi Rev'!F71:I71)&lt;=0,"",SUM('Semi FCF'!F71:I71)/SUM('Semi Rev'!F71:I71)),"")</f>
        <v/>
      </c>
      <c r="F1350" s="37">
        <f>IFERROR(IF(SUM('Semi Rev'!G71:J71)&lt;=0,"",SUM('Semi FCF'!G71:J71)/SUM('Semi Rev'!G71:J71)),"")</f>
        <v/>
      </c>
      <c r="G1350" s="37">
        <f>IFERROR(IF(SUM('Semi Rev'!H71:K71)&lt;=0,"",SUM('Semi FCF'!H71:K71)/SUM('Semi Rev'!H71:K71)),"")</f>
        <v/>
      </c>
      <c r="H1350" s="37">
        <f>IFERROR(IF(SUM('Semi Rev'!I71:L71)&lt;=0,"",SUM('Semi FCF'!I71:L71)/SUM('Semi Rev'!I71:L71)),"")</f>
        <v/>
      </c>
      <c r="I1350" s="37">
        <f>IFERROR(IF(SUM('Semi Rev'!J71:M71)&lt;=0,"",SUM('Semi FCF'!J71:M71)/SUM('Semi Rev'!J71:M71)),"")</f>
        <v/>
      </c>
      <c r="J1350" s="37">
        <f>IFERROR(IF(SUM('Semi Rev'!K71:N71)&lt;=0,"",SUM('Semi FCF'!K71:N71)/SUM('Semi Rev'!K71:N71)),"")</f>
        <v/>
      </c>
      <c r="K1350" s="37">
        <f>IFERROR(IF(SUM('Semi Rev'!L71:O71)&lt;=0,"",SUM('Semi FCF'!L71:O71)/SUM('Semi Rev'!L71:O71)),"")</f>
        <v/>
      </c>
      <c r="L1350" s="37">
        <f>IFERROR(IF(SUM('Semi Rev'!M71:P71)&lt;=0,"",SUM('Semi FCF'!M71:P71)/SUM('Semi Rev'!M71:P71)),"")</f>
        <v/>
      </c>
      <c r="M1350" s="38">
        <f>IFERROR(IF(SUM('Semi Rev'!N71:Q71)&lt;=0,"",SUM('Semi FCF'!N71:Q71)/SUM('Semi Rev'!N71:Q71)),"")</f>
        <v/>
      </c>
      <c r="N1350" s="38">
        <f>IFERROR(IF(SUM('Semi Rev'!O71:R71)&lt;=0,"",SUM('Semi FCF'!O71:R71)/SUM('Semi Rev'!O71:R71)),"")</f>
        <v/>
      </c>
    </row>
    <row r="1351">
      <c r="A1351" s="19">
        <f>'Semi Rev'!$A72</f>
        <v/>
      </c>
      <c r="B1351" s="19">
        <f>'Semi Rev'!$B72</f>
        <v/>
      </c>
      <c r="C1351" s="37">
        <f>IFERROR(IF(SUM('Semi Rev'!D72:G72)&lt;=0,"",SUM('Semi FCF'!D72:G72)/SUM('Semi Rev'!D72:G72)),"")</f>
        <v/>
      </c>
      <c r="D1351" s="37">
        <f>IFERROR(IF(SUM('Semi Rev'!E72:H72)&lt;=0,"",SUM('Semi FCF'!E72:H72)/SUM('Semi Rev'!E72:H72)),"")</f>
        <v/>
      </c>
      <c r="E1351" s="37">
        <f>IFERROR(IF(SUM('Semi Rev'!F72:I72)&lt;=0,"",SUM('Semi FCF'!F72:I72)/SUM('Semi Rev'!F72:I72)),"")</f>
        <v/>
      </c>
      <c r="F1351" s="37">
        <f>IFERROR(IF(SUM('Semi Rev'!G72:J72)&lt;=0,"",SUM('Semi FCF'!G72:J72)/SUM('Semi Rev'!G72:J72)),"")</f>
        <v/>
      </c>
      <c r="G1351" s="37">
        <f>IFERROR(IF(SUM('Semi Rev'!H72:K72)&lt;=0,"",SUM('Semi FCF'!H72:K72)/SUM('Semi Rev'!H72:K72)),"")</f>
        <v/>
      </c>
      <c r="H1351" s="37">
        <f>IFERROR(IF(SUM('Semi Rev'!I72:L72)&lt;=0,"",SUM('Semi FCF'!I72:L72)/SUM('Semi Rev'!I72:L72)),"")</f>
        <v/>
      </c>
      <c r="I1351" s="37">
        <f>IFERROR(IF(SUM('Semi Rev'!J72:M72)&lt;=0,"",SUM('Semi FCF'!J72:M72)/SUM('Semi Rev'!J72:M72)),"")</f>
        <v/>
      </c>
      <c r="J1351" s="37">
        <f>IFERROR(IF(SUM('Semi Rev'!K72:N72)&lt;=0,"",SUM('Semi FCF'!K72:N72)/SUM('Semi Rev'!K72:N72)),"")</f>
        <v/>
      </c>
      <c r="K1351" s="37">
        <f>IFERROR(IF(SUM('Semi Rev'!L72:O72)&lt;=0,"",SUM('Semi FCF'!L72:O72)/SUM('Semi Rev'!L72:O72)),"")</f>
        <v/>
      </c>
      <c r="L1351" s="37">
        <f>IFERROR(IF(SUM('Semi Rev'!M72:P72)&lt;=0,"",SUM('Semi FCF'!M72:P72)/SUM('Semi Rev'!M72:P72)),"")</f>
        <v/>
      </c>
      <c r="M1351" s="38">
        <f>IFERROR(IF(SUM('Semi Rev'!N72:Q72)&lt;=0,"",SUM('Semi FCF'!N72:Q72)/SUM('Semi Rev'!N72:Q72)),"")</f>
        <v/>
      </c>
      <c r="N1351" s="38">
        <f>IFERROR(IF(SUM('Semi Rev'!O72:R72)&lt;=0,"",SUM('Semi FCF'!O72:R72)/SUM('Semi Rev'!O72:R72)),"")</f>
        <v/>
      </c>
    </row>
    <row r="1352">
      <c r="A1352" s="19">
        <f>'Semi Rev'!$A73</f>
        <v/>
      </c>
      <c r="B1352" s="19">
        <f>'Semi Rev'!$B73</f>
        <v/>
      </c>
      <c r="C1352" s="37">
        <f>IFERROR(IF(SUM('Semi Rev'!D73:G73)&lt;=0,"",SUM('Semi FCF'!D73:G73)/SUM('Semi Rev'!D73:G73)),"")</f>
        <v/>
      </c>
      <c r="D1352" s="37">
        <f>IFERROR(IF(SUM('Semi Rev'!E73:H73)&lt;=0,"",SUM('Semi FCF'!E73:H73)/SUM('Semi Rev'!E73:H73)),"")</f>
        <v/>
      </c>
      <c r="E1352" s="37">
        <f>IFERROR(IF(SUM('Semi Rev'!F73:I73)&lt;=0,"",SUM('Semi FCF'!F73:I73)/SUM('Semi Rev'!F73:I73)),"")</f>
        <v/>
      </c>
      <c r="F1352" s="37">
        <f>IFERROR(IF(SUM('Semi Rev'!G73:J73)&lt;=0,"",SUM('Semi FCF'!G73:J73)/SUM('Semi Rev'!G73:J73)),"")</f>
        <v/>
      </c>
      <c r="G1352" s="37">
        <f>IFERROR(IF(SUM('Semi Rev'!H73:K73)&lt;=0,"",SUM('Semi FCF'!H73:K73)/SUM('Semi Rev'!H73:K73)),"")</f>
        <v/>
      </c>
      <c r="H1352" s="37">
        <f>IFERROR(IF(SUM('Semi Rev'!I73:L73)&lt;=0,"",SUM('Semi FCF'!I73:L73)/SUM('Semi Rev'!I73:L73)),"")</f>
        <v/>
      </c>
      <c r="I1352" s="37">
        <f>IFERROR(IF(SUM('Semi Rev'!J73:M73)&lt;=0,"",SUM('Semi FCF'!J73:M73)/SUM('Semi Rev'!J73:M73)),"")</f>
        <v/>
      </c>
      <c r="J1352" s="37">
        <f>IFERROR(IF(SUM('Semi Rev'!K73:N73)&lt;=0,"",SUM('Semi FCF'!K73:N73)/SUM('Semi Rev'!K73:N73)),"")</f>
        <v/>
      </c>
      <c r="K1352" s="37">
        <f>IFERROR(IF(SUM('Semi Rev'!L73:O73)&lt;=0,"",SUM('Semi FCF'!L73:O73)/SUM('Semi Rev'!L73:O73)),"")</f>
        <v/>
      </c>
      <c r="L1352" s="37">
        <f>IFERROR(IF(SUM('Semi Rev'!M73:P73)&lt;=0,"",SUM('Semi FCF'!M73:P73)/SUM('Semi Rev'!M73:P73)),"")</f>
        <v/>
      </c>
      <c r="M1352" s="38">
        <f>IFERROR(IF(SUM('Semi Rev'!N73:Q73)&lt;=0,"",SUM('Semi FCF'!N73:Q73)/SUM('Semi Rev'!N73:Q73)),"")</f>
        <v/>
      </c>
      <c r="N1352" s="38">
        <f>IFERROR(IF(SUM('Semi Rev'!O73:R73)&lt;=0,"",SUM('Semi FCF'!O73:R73)/SUM('Semi Rev'!O73:R73)),"")</f>
        <v/>
      </c>
    </row>
    <row r="1353">
      <c r="A1353" s="19">
        <f>'Semi Rev'!$A74</f>
        <v/>
      </c>
      <c r="B1353" s="19">
        <f>'Semi Rev'!$B74</f>
        <v/>
      </c>
      <c r="C1353" s="37">
        <f>IFERROR(IF(SUM('Semi Rev'!D74:G74)&lt;=0,"",SUM('Semi FCF'!D74:G74)/SUM('Semi Rev'!D74:G74)),"")</f>
        <v/>
      </c>
      <c r="D1353" s="37">
        <f>IFERROR(IF(SUM('Semi Rev'!E74:H74)&lt;=0,"",SUM('Semi FCF'!E74:H74)/SUM('Semi Rev'!E74:H74)),"")</f>
        <v/>
      </c>
      <c r="E1353" s="37">
        <f>IFERROR(IF(SUM('Semi Rev'!F74:I74)&lt;=0,"",SUM('Semi FCF'!F74:I74)/SUM('Semi Rev'!F74:I74)),"")</f>
        <v/>
      </c>
      <c r="F1353" s="37">
        <f>IFERROR(IF(SUM('Semi Rev'!G74:J74)&lt;=0,"",SUM('Semi FCF'!G74:J74)/SUM('Semi Rev'!G74:J74)),"")</f>
        <v/>
      </c>
      <c r="G1353" s="37">
        <f>IFERROR(IF(SUM('Semi Rev'!H74:K74)&lt;=0,"",SUM('Semi FCF'!H74:K74)/SUM('Semi Rev'!H74:K74)),"")</f>
        <v/>
      </c>
      <c r="H1353" s="37">
        <f>IFERROR(IF(SUM('Semi Rev'!I74:L74)&lt;=0,"",SUM('Semi FCF'!I74:L74)/SUM('Semi Rev'!I74:L74)),"")</f>
        <v/>
      </c>
      <c r="I1353" s="37">
        <f>IFERROR(IF(SUM('Semi Rev'!J74:M74)&lt;=0,"",SUM('Semi FCF'!J74:M74)/SUM('Semi Rev'!J74:M74)),"")</f>
        <v/>
      </c>
      <c r="J1353" s="37">
        <f>IFERROR(IF(SUM('Semi Rev'!K74:N74)&lt;=0,"",SUM('Semi FCF'!K74:N74)/SUM('Semi Rev'!K74:N74)),"")</f>
        <v/>
      </c>
      <c r="K1353" s="37">
        <f>IFERROR(IF(SUM('Semi Rev'!L74:O74)&lt;=0,"",SUM('Semi FCF'!L74:O74)/SUM('Semi Rev'!L74:O74)),"")</f>
        <v/>
      </c>
      <c r="L1353" s="37">
        <f>IFERROR(IF(SUM('Semi Rev'!M74:P74)&lt;=0,"",SUM('Semi FCF'!M74:P74)/SUM('Semi Rev'!M74:P74)),"")</f>
        <v/>
      </c>
      <c r="M1353" s="38">
        <f>IFERROR(IF(SUM('Semi Rev'!N74:Q74)&lt;=0,"",SUM('Semi FCF'!N74:Q74)/SUM('Semi Rev'!N74:Q74)),"")</f>
        <v/>
      </c>
      <c r="N1353" s="38">
        <f>IFERROR(IF(SUM('Semi Rev'!O74:R74)&lt;=0,"",SUM('Semi FCF'!O74:R74)/SUM('Semi Rev'!O74:R74)),"")</f>
        <v/>
      </c>
    </row>
    <row r="1354">
      <c r="A1354" s="19">
        <f>'Semi Rev'!$A75</f>
        <v/>
      </c>
      <c r="B1354" s="19">
        <f>'Semi Rev'!$B75</f>
        <v/>
      </c>
      <c r="C1354" s="37">
        <f>IFERROR(IF(SUM('Semi Rev'!D75:G75)&lt;=0,"",SUM('Semi FCF'!D75:G75)/SUM('Semi Rev'!D75:G75)),"")</f>
        <v/>
      </c>
      <c r="D1354" s="37">
        <f>IFERROR(IF(SUM('Semi Rev'!E75:H75)&lt;=0,"",SUM('Semi FCF'!E75:H75)/SUM('Semi Rev'!E75:H75)),"")</f>
        <v/>
      </c>
      <c r="E1354" s="37">
        <f>IFERROR(IF(SUM('Semi Rev'!F75:I75)&lt;=0,"",SUM('Semi FCF'!F75:I75)/SUM('Semi Rev'!F75:I75)),"")</f>
        <v/>
      </c>
      <c r="F1354" s="37">
        <f>IFERROR(IF(SUM('Semi Rev'!G75:J75)&lt;=0,"",SUM('Semi FCF'!G75:J75)/SUM('Semi Rev'!G75:J75)),"")</f>
        <v/>
      </c>
      <c r="G1354" s="37">
        <f>IFERROR(IF(SUM('Semi Rev'!H75:K75)&lt;=0,"",SUM('Semi FCF'!H75:K75)/SUM('Semi Rev'!H75:K75)),"")</f>
        <v/>
      </c>
      <c r="H1354" s="37">
        <f>IFERROR(IF(SUM('Semi Rev'!I75:L75)&lt;=0,"",SUM('Semi FCF'!I75:L75)/SUM('Semi Rev'!I75:L75)),"")</f>
        <v/>
      </c>
      <c r="I1354" s="37">
        <f>IFERROR(IF(SUM('Semi Rev'!J75:M75)&lt;=0,"",SUM('Semi FCF'!J75:M75)/SUM('Semi Rev'!J75:M75)),"")</f>
        <v/>
      </c>
      <c r="J1354" s="37">
        <f>IFERROR(IF(SUM('Semi Rev'!K75:N75)&lt;=0,"",SUM('Semi FCF'!K75:N75)/SUM('Semi Rev'!K75:N75)),"")</f>
        <v/>
      </c>
      <c r="K1354" s="37">
        <f>IFERROR(IF(SUM('Semi Rev'!L75:O75)&lt;=0,"",SUM('Semi FCF'!L75:O75)/SUM('Semi Rev'!L75:O75)),"")</f>
        <v/>
      </c>
      <c r="L1354" s="37">
        <f>IFERROR(IF(SUM('Semi Rev'!M75:P75)&lt;=0,"",SUM('Semi FCF'!M75:P75)/SUM('Semi Rev'!M75:P75)),"")</f>
        <v/>
      </c>
      <c r="M1354" s="38">
        <f>IFERROR(IF(SUM('Semi Rev'!N75:Q75)&lt;=0,"",SUM('Semi FCF'!N75:Q75)/SUM('Semi Rev'!N75:Q75)),"")</f>
        <v/>
      </c>
      <c r="N1354" s="38">
        <f>IFERROR(IF(SUM('Semi Rev'!O75:R75)&lt;=0,"",SUM('Semi FCF'!O75:R75)/SUM('Semi Rev'!O75:R75)),"")</f>
        <v/>
      </c>
    </row>
    <row r="1355">
      <c r="A1355" s="19">
        <f>'Semi Rev'!$A76</f>
        <v/>
      </c>
      <c r="B1355" s="19">
        <f>'Semi Rev'!$B76</f>
        <v/>
      </c>
      <c r="C1355" s="37">
        <f>IFERROR(IF(SUM('Semi Rev'!D76:G76)&lt;=0,"",SUM('Semi FCF'!D76:G76)/SUM('Semi Rev'!D76:G76)),"")</f>
        <v/>
      </c>
      <c r="D1355" s="37">
        <f>IFERROR(IF(SUM('Semi Rev'!E76:H76)&lt;=0,"",SUM('Semi FCF'!E76:H76)/SUM('Semi Rev'!E76:H76)),"")</f>
        <v/>
      </c>
      <c r="E1355" s="37">
        <f>IFERROR(IF(SUM('Semi Rev'!F76:I76)&lt;=0,"",SUM('Semi FCF'!F76:I76)/SUM('Semi Rev'!F76:I76)),"")</f>
        <v/>
      </c>
      <c r="F1355" s="37">
        <f>IFERROR(IF(SUM('Semi Rev'!G76:J76)&lt;=0,"",SUM('Semi FCF'!G76:J76)/SUM('Semi Rev'!G76:J76)),"")</f>
        <v/>
      </c>
      <c r="G1355" s="37">
        <f>IFERROR(IF(SUM('Semi Rev'!H76:K76)&lt;=0,"",SUM('Semi FCF'!H76:K76)/SUM('Semi Rev'!H76:K76)),"")</f>
        <v/>
      </c>
      <c r="H1355" s="37">
        <f>IFERROR(IF(SUM('Semi Rev'!I76:L76)&lt;=0,"",SUM('Semi FCF'!I76:L76)/SUM('Semi Rev'!I76:L76)),"")</f>
        <v/>
      </c>
      <c r="I1355" s="37">
        <f>IFERROR(IF(SUM('Semi Rev'!J76:M76)&lt;=0,"",SUM('Semi FCF'!J76:M76)/SUM('Semi Rev'!J76:M76)),"")</f>
        <v/>
      </c>
      <c r="J1355" s="37">
        <f>IFERROR(IF(SUM('Semi Rev'!K76:N76)&lt;=0,"",SUM('Semi FCF'!K76:N76)/SUM('Semi Rev'!K76:N76)),"")</f>
        <v/>
      </c>
      <c r="K1355" s="37">
        <f>IFERROR(IF(SUM('Semi Rev'!L76:O76)&lt;=0,"",SUM('Semi FCF'!L76:O76)/SUM('Semi Rev'!L76:O76)),"")</f>
        <v/>
      </c>
      <c r="L1355" s="37">
        <f>IFERROR(IF(SUM('Semi Rev'!M76:P76)&lt;=0,"",SUM('Semi FCF'!M76:P76)/SUM('Semi Rev'!M76:P76)),"")</f>
        <v/>
      </c>
      <c r="M1355" s="38">
        <f>IFERROR(IF(SUM('Semi Rev'!N76:Q76)&lt;=0,"",SUM('Semi FCF'!N76:Q76)/SUM('Semi Rev'!N76:Q76)),"")</f>
        <v/>
      </c>
      <c r="N1355" s="38">
        <f>IFERROR(IF(SUM('Semi Rev'!O76:R76)&lt;=0,"",SUM('Semi FCF'!O76:R76)/SUM('Semi Rev'!O76:R76)),"")</f>
        <v/>
      </c>
    </row>
    <row r="1356">
      <c r="A1356" s="19">
        <f>'Semi Rev'!$A77</f>
        <v/>
      </c>
      <c r="B1356" s="19">
        <f>'Semi Rev'!$B77</f>
        <v/>
      </c>
      <c r="C1356" s="37">
        <f>IFERROR(IF(SUM('Semi Rev'!D77:G77)&lt;=0,"",SUM('Semi FCF'!D77:G77)/SUM('Semi Rev'!D77:G77)),"")</f>
        <v/>
      </c>
      <c r="D1356" s="37">
        <f>IFERROR(IF(SUM('Semi Rev'!E77:H77)&lt;=0,"",SUM('Semi FCF'!E77:H77)/SUM('Semi Rev'!E77:H77)),"")</f>
        <v/>
      </c>
      <c r="E1356" s="37">
        <f>IFERROR(IF(SUM('Semi Rev'!F77:I77)&lt;=0,"",SUM('Semi FCF'!F77:I77)/SUM('Semi Rev'!F77:I77)),"")</f>
        <v/>
      </c>
      <c r="F1356" s="37">
        <f>IFERROR(IF(SUM('Semi Rev'!G77:J77)&lt;=0,"",SUM('Semi FCF'!G77:J77)/SUM('Semi Rev'!G77:J77)),"")</f>
        <v/>
      </c>
      <c r="G1356" s="37">
        <f>IFERROR(IF(SUM('Semi Rev'!H77:K77)&lt;=0,"",SUM('Semi FCF'!H77:K77)/SUM('Semi Rev'!H77:K77)),"")</f>
        <v/>
      </c>
      <c r="H1356" s="37">
        <f>IFERROR(IF(SUM('Semi Rev'!I77:L77)&lt;=0,"",SUM('Semi FCF'!I77:L77)/SUM('Semi Rev'!I77:L77)),"")</f>
        <v/>
      </c>
      <c r="I1356" s="37">
        <f>IFERROR(IF(SUM('Semi Rev'!J77:M77)&lt;=0,"",SUM('Semi FCF'!J77:M77)/SUM('Semi Rev'!J77:M77)),"")</f>
        <v/>
      </c>
      <c r="J1356" s="37">
        <f>IFERROR(IF(SUM('Semi Rev'!K77:N77)&lt;=0,"",SUM('Semi FCF'!K77:N77)/SUM('Semi Rev'!K77:N77)),"")</f>
        <v/>
      </c>
      <c r="K1356" s="37">
        <f>IFERROR(IF(SUM('Semi Rev'!L77:O77)&lt;=0,"",SUM('Semi FCF'!L77:O77)/SUM('Semi Rev'!L77:O77)),"")</f>
        <v/>
      </c>
      <c r="L1356" s="37">
        <f>IFERROR(IF(SUM('Semi Rev'!M77:P77)&lt;=0,"",SUM('Semi FCF'!M77:P77)/SUM('Semi Rev'!M77:P77)),"")</f>
        <v/>
      </c>
      <c r="M1356" s="38">
        <f>IFERROR(IF(SUM('Semi Rev'!N77:Q77)&lt;=0,"",SUM('Semi FCF'!N77:Q77)/SUM('Semi Rev'!N77:Q77)),"")</f>
        <v/>
      </c>
      <c r="N1356" s="38">
        <f>IFERROR(IF(SUM('Semi Rev'!O77:R77)&lt;=0,"",SUM('Semi FCF'!O77:R77)/SUM('Semi Rev'!O77:R77)),"")</f>
        <v/>
      </c>
    </row>
    <row r="1357">
      <c r="A1357" s="19">
        <f>'Semi Rev'!$A78</f>
        <v/>
      </c>
      <c r="B1357" s="19">
        <f>'Semi Rev'!$B78</f>
        <v/>
      </c>
      <c r="C1357" s="37">
        <f>IFERROR(IF(SUM('Semi Rev'!D78:G78)&lt;=0,"",SUM('Semi FCF'!D78:G78)/SUM('Semi Rev'!D78:G78)),"")</f>
        <v/>
      </c>
      <c r="D1357" s="37">
        <f>IFERROR(IF(SUM('Semi Rev'!E78:H78)&lt;=0,"",SUM('Semi FCF'!E78:H78)/SUM('Semi Rev'!E78:H78)),"")</f>
        <v/>
      </c>
      <c r="E1357" s="37">
        <f>IFERROR(IF(SUM('Semi Rev'!F78:I78)&lt;=0,"",SUM('Semi FCF'!F78:I78)/SUM('Semi Rev'!F78:I78)),"")</f>
        <v/>
      </c>
      <c r="F1357" s="37">
        <f>IFERROR(IF(SUM('Semi Rev'!G78:J78)&lt;=0,"",SUM('Semi FCF'!G78:J78)/SUM('Semi Rev'!G78:J78)),"")</f>
        <v/>
      </c>
      <c r="G1357" s="37">
        <f>IFERROR(IF(SUM('Semi Rev'!H78:K78)&lt;=0,"",SUM('Semi FCF'!H78:K78)/SUM('Semi Rev'!H78:K78)),"")</f>
        <v/>
      </c>
      <c r="H1357" s="37">
        <f>IFERROR(IF(SUM('Semi Rev'!I78:L78)&lt;=0,"",SUM('Semi FCF'!I78:L78)/SUM('Semi Rev'!I78:L78)),"")</f>
        <v/>
      </c>
      <c r="I1357" s="37">
        <f>IFERROR(IF(SUM('Semi Rev'!J78:M78)&lt;=0,"",SUM('Semi FCF'!J78:M78)/SUM('Semi Rev'!J78:M78)),"")</f>
        <v/>
      </c>
      <c r="J1357" s="37">
        <f>IFERROR(IF(SUM('Semi Rev'!K78:N78)&lt;=0,"",SUM('Semi FCF'!K78:N78)/SUM('Semi Rev'!K78:N78)),"")</f>
        <v/>
      </c>
      <c r="K1357" s="37">
        <f>IFERROR(IF(SUM('Semi Rev'!L78:O78)&lt;=0,"",SUM('Semi FCF'!L78:O78)/SUM('Semi Rev'!L78:O78)),"")</f>
        <v/>
      </c>
      <c r="L1357" s="37">
        <f>IFERROR(IF(SUM('Semi Rev'!M78:P78)&lt;=0,"",SUM('Semi FCF'!M78:P78)/SUM('Semi Rev'!M78:P78)),"")</f>
        <v/>
      </c>
      <c r="M1357" s="38">
        <f>IFERROR(IF(SUM('Semi Rev'!N78:Q78)&lt;=0,"",SUM('Semi FCF'!N78:Q78)/SUM('Semi Rev'!N78:Q78)),"")</f>
        <v/>
      </c>
      <c r="N1357" s="38">
        <f>IFERROR(IF(SUM('Semi Rev'!O78:R78)&lt;=0,"",SUM('Semi FCF'!O78:R78)/SUM('Semi Rev'!O78:R78)),"")</f>
        <v/>
      </c>
    </row>
    <row r="1358">
      <c r="A1358" s="19">
        <f>'Semi Rev'!$A79</f>
        <v/>
      </c>
      <c r="B1358" s="19">
        <f>'Semi Rev'!$B79</f>
        <v/>
      </c>
      <c r="C1358" s="37">
        <f>IFERROR(IF(SUM('Semi Rev'!D79:G79)&lt;=0,"",SUM('Semi FCF'!D79:G79)/SUM('Semi Rev'!D79:G79)),"")</f>
        <v/>
      </c>
      <c r="D1358" s="37">
        <f>IFERROR(IF(SUM('Semi Rev'!E79:H79)&lt;=0,"",SUM('Semi FCF'!E79:H79)/SUM('Semi Rev'!E79:H79)),"")</f>
        <v/>
      </c>
      <c r="E1358" s="37">
        <f>IFERROR(IF(SUM('Semi Rev'!F79:I79)&lt;=0,"",SUM('Semi FCF'!F79:I79)/SUM('Semi Rev'!F79:I79)),"")</f>
        <v/>
      </c>
      <c r="F1358" s="37">
        <f>IFERROR(IF(SUM('Semi Rev'!G79:J79)&lt;=0,"",SUM('Semi FCF'!G79:J79)/SUM('Semi Rev'!G79:J79)),"")</f>
        <v/>
      </c>
      <c r="G1358" s="37">
        <f>IFERROR(IF(SUM('Semi Rev'!H79:K79)&lt;=0,"",SUM('Semi FCF'!H79:K79)/SUM('Semi Rev'!H79:K79)),"")</f>
        <v/>
      </c>
      <c r="H1358" s="37">
        <f>IFERROR(IF(SUM('Semi Rev'!I79:L79)&lt;=0,"",SUM('Semi FCF'!I79:L79)/SUM('Semi Rev'!I79:L79)),"")</f>
        <v/>
      </c>
      <c r="I1358" s="37">
        <f>IFERROR(IF(SUM('Semi Rev'!J79:M79)&lt;=0,"",SUM('Semi FCF'!J79:M79)/SUM('Semi Rev'!J79:M79)),"")</f>
        <v/>
      </c>
      <c r="J1358" s="37">
        <f>IFERROR(IF(SUM('Semi Rev'!K79:N79)&lt;=0,"",SUM('Semi FCF'!K79:N79)/SUM('Semi Rev'!K79:N79)),"")</f>
        <v/>
      </c>
      <c r="K1358" s="37">
        <f>IFERROR(IF(SUM('Semi Rev'!L79:O79)&lt;=0,"",SUM('Semi FCF'!L79:O79)/SUM('Semi Rev'!L79:O79)),"")</f>
        <v/>
      </c>
      <c r="L1358" s="37">
        <f>IFERROR(IF(SUM('Semi Rev'!M79:P79)&lt;=0,"",SUM('Semi FCF'!M79:P79)/SUM('Semi Rev'!M79:P79)),"")</f>
        <v/>
      </c>
      <c r="M1358" s="38">
        <f>IFERROR(IF(SUM('Semi Rev'!N79:Q79)&lt;=0,"",SUM('Semi FCF'!N79:Q79)/SUM('Semi Rev'!N79:Q79)),"")</f>
        <v/>
      </c>
      <c r="N1358" s="38">
        <f>IFERROR(IF(SUM('Semi Rev'!O79:R79)&lt;=0,"",SUM('Semi FCF'!O79:R79)/SUM('Semi Rev'!O79:R79)),"")</f>
        <v/>
      </c>
    </row>
    <row r="1359">
      <c r="A1359" s="19">
        <f>'Semi Rev'!$A80</f>
        <v/>
      </c>
      <c r="B1359" s="19">
        <f>'Semi Rev'!$B80</f>
        <v/>
      </c>
      <c r="C1359" s="37">
        <f>IFERROR(IF(SUM('Semi Rev'!D80:G80)&lt;=0,"",SUM('Semi FCF'!D80:G80)/SUM('Semi Rev'!D80:G80)),"")</f>
        <v/>
      </c>
      <c r="D1359" s="37">
        <f>IFERROR(IF(SUM('Semi Rev'!E80:H80)&lt;=0,"",SUM('Semi FCF'!E80:H80)/SUM('Semi Rev'!E80:H80)),"")</f>
        <v/>
      </c>
      <c r="E1359" s="37">
        <f>IFERROR(IF(SUM('Semi Rev'!F80:I80)&lt;=0,"",SUM('Semi FCF'!F80:I80)/SUM('Semi Rev'!F80:I80)),"")</f>
        <v/>
      </c>
      <c r="F1359" s="37">
        <f>IFERROR(IF(SUM('Semi Rev'!G80:J80)&lt;=0,"",SUM('Semi FCF'!G80:J80)/SUM('Semi Rev'!G80:J80)),"")</f>
        <v/>
      </c>
      <c r="G1359" s="37">
        <f>IFERROR(IF(SUM('Semi Rev'!H80:K80)&lt;=0,"",SUM('Semi FCF'!H80:K80)/SUM('Semi Rev'!H80:K80)),"")</f>
        <v/>
      </c>
      <c r="H1359" s="37">
        <f>IFERROR(IF(SUM('Semi Rev'!I80:L80)&lt;=0,"",SUM('Semi FCF'!I80:L80)/SUM('Semi Rev'!I80:L80)),"")</f>
        <v/>
      </c>
      <c r="I1359" s="37">
        <f>IFERROR(IF(SUM('Semi Rev'!J80:M80)&lt;=0,"",SUM('Semi FCF'!J80:M80)/SUM('Semi Rev'!J80:M80)),"")</f>
        <v/>
      </c>
      <c r="J1359" s="37">
        <f>IFERROR(IF(SUM('Semi Rev'!K80:N80)&lt;=0,"",SUM('Semi FCF'!K80:N80)/SUM('Semi Rev'!K80:N80)),"")</f>
        <v/>
      </c>
      <c r="K1359" s="37">
        <f>IFERROR(IF(SUM('Semi Rev'!L80:O80)&lt;=0,"",SUM('Semi FCF'!L80:O80)/SUM('Semi Rev'!L80:O80)),"")</f>
        <v/>
      </c>
      <c r="L1359" s="37">
        <f>IFERROR(IF(SUM('Semi Rev'!M80:P80)&lt;=0,"",SUM('Semi FCF'!M80:P80)/SUM('Semi Rev'!M80:P80)),"")</f>
        <v/>
      </c>
      <c r="M1359" s="38">
        <f>IFERROR(IF(SUM('Semi Rev'!N80:Q80)&lt;=0,"",SUM('Semi FCF'!N80:Q80)/SUM('Semi Rev'!N80:Q80)),"")</f>
        <v/>
      </c>
      <c r="N1359" s="38">
        <f>IFERROR(IF(SUM('Semi Rev'!O80:R80)&lt;=0,"",SUM('Semi FCF'!O80:R80)/SUM('Semi Rev'!O80:R80)),"")</f>
        <v/>
      </c>
    </row>
    <row r="1360">
      <c r="A1360" s="19">
        <f>'Semi Rev'!$A81</f>
        <v/>
      </c>
      <c r="B1360" s="19">
        <f>'Semi Rev'!$B81</f>
        <v/>
      </c>
      <c r="C1360" s="37">
        <f>IFERROR(IF(SUM('Semi Rev'!D81:G81)&lt;=0,"",SUM('Semi FCF'!D81:G81)/SUM('Semi Rev'!D81:G81)),"")</f>
        <v/>
      </c>
      <c r="D1360" s="37">
        <f>IFERROR(IF(SUM('Semi Rev'!E81:H81)&lt;=0,"",SUM('Semi FCF'!E81:H81)/SUM('Semi Rev'!E81:H81)),"")</f>
        <v/>
      </c>
      <c r="E1360" s="37">
        <f>IFERROR(IF(SUM('Semi Rev'!F81:I81)&lt;=0,"",SUM('Semi FCF'!F81:I81)/SUM('Semi Rev'!F81:I81)),"")</f>
        <v/>
      </c>
      <c r="F1360" s="37">
        <f>IFERROR(IF(SUM('Semi Rev'!G81:J81)&lt;=0,"",SUM('Semi FCF'!G81:J81)/SUM('Semi Rev'!G81:J81)),"")</f>
        <v/>
      </c>
      <c r="G1360" s="37">
        <f>IFERROR(IF(SUM('Semi Rev'!H81:K81)&lt;=0,"",SUM('Semi FCF'!H81:K81)/SUM('Semi Rev'!H81:K81)),"")</f>
        <v/>
      </c>
      <c r="H1360" s="37">
        <f>IFERROR(IF(SUM('Semi Rev'!I81:L81)&lt;=0,"",SUM('Semi FCF'!I81:L81)/SUM('Semi Rev'!I81:L81)),"")</f>
        <v/>
      </c>
      <c r="I1360" s="37">
        <f>IFERROR(IF(SUM('Semi Rev'!J81:M81)&lt;=0,"",SUM('Semi FCF'!J81:M81)/SUM('Semi Rev'!J81:M81)),"")</f>
        <v/>
      </c>
      <c r="J1360" s="37">
        <f>IFERROR(IF(SUM('Semi Rev'!K81:N81)&lt;=0,"",SUM('Semi FCF'!K81:N81)/SUM('Semi Rev'!K81:N81)),"")</f>
        <v/>
      </c>
      <c r="K1360" s="37">
        <f>IFERROR(IF(SUM('Semi Rev'!L81:O81)&lt;=0,"",SUM('Semi FCF'!L81:O81)/SUM('Semi Rev'!L81:O81)),"")</f>
        <v/>
      </c>
      <c r="L1360" s="37">
        <f>IFERROR(IF(SUM('Semi Rev'!M81:P81)&lt;=0,"",SUM('Semi FCF'!M81:P81)/SUM('Semi Rev'!M81:P81)),"")</f>
        <v/>
      </c>
      <c r="M1360" s="38">
        <f>IFERROR(IF(SUM('Semi Rev'!N81:Q81)&lt;=0,"",SUM('Semi FCF'!N81:Q81)/SUM('Semi Rev'!N81:Q81)),"")</f>
        <v/>
      </c>
      <c r="N1360" s="38">
        <f>IFERROR(IF(SUM('Semi Rev'!O81:R81)&lt;=0,"",SUM('Semi FCF'!O81:R81)/SUM('Semi Rev'!O81:R81)),"")</f>
        <v/>
      </c>
    </row>
    <row r="1361">
      <c r="A1361" s="19">
        <f>'Semi Rev'!$A82</f>
        <v/>
      </c>
      <c r="B1361" s="19">
        <f>'Semi Rev'!$B82</f>
        <v/>
      </c>
      <c r="C1361" s="37">
        <f>IFERROR(IF(SUM('Semi Rev'!D82:G82)&lt;=0,"",SUM('Semi FCF'!D82:G82)/SUM('Semi Rev'!D82:G82)),"")</f>
        <v/>
      </c>
      <c r="D1361" s="37">
        <f>IFERROR(IF(SUM('Semi Rev'!E82:H82)&lt;=0,"",SUM('Semi FCF'!E82:H82)/SUM('Semi Rev'!E82:H82)),"")</f>
        <v/>
      </c>
      <c r="E1361" s="37">
        <f>IFERROR(IF(SUM('Semi Rev'!F82:I82)&lt;=0,"",SUM('Semi FCF'!F82:I82)/SUM('Semi Rev'!F82:I82)),"")</f>
        <v/>
      </c>
      <c r="F1361" s="37">
        <f>IFERROR(IF(SUM('Semi Rev'!G82:J82)&lt;=0,"",SUM('Semi FCF'!G82:J82)/SUM('Semi Rev'!G82:J82)),"")</f>
        <v/>
      </c>
      <c r="G1361" s="37">
        <f>IFERROR(IF(SUM('Semi Rev'!H82:K82)&lt;=0,"",SUM('Semi FCF'!H82:K82)/SUM('Semi Rev'!H82:K82)),"")</f>
        <v/>
      </c>
      <c r="H1361" s="37">
        <f>IFERROR(IF(SUM('Semi Rev'!I82:L82)&lt;=0,"",SUM('Semi FCF'!I82:L82)/SUM('Semi Rev'!I82:L82)),"")</f>
        <v/>
      </c>
      <c r="I1361" s="37">
        <f>IFERROR(IF(SUM('Semi Rev'!J82:M82)&lt;=0,"",SUM('Semi FCF'!J82:M82)/SUM('Semi Rev'!J82:M82)),"")</f>
        <v/>
      </c>
      <c r="J1361" s="37">
        <f>IFERROR(IF(SUM('Semi Rev'!K82:N82)&lt;=0,"",SUM('Semi FCF'!K82:N82)/SUM('Semi Rev'!K82:N82)),"")</f>
        <v/>
      </c>
      <c r="K1361" s="37">
        <f>IFERROR(IF(SUM('Semi Rev'!L82:O82)&lt;=0,"",SUM('Semi FCF'!L82:O82)/SUM('Semi Rev'!L82:O82)),"")</f>
        <v/>
      </c>
      <c r="L1361" s="37">
        <f>IFERROR(IF(SUM('Semi Rev'!M82:P82)&lt;=0,"",SUM('Semi FCF'!M82:P82)/SUM('Semi Rev'!M82:P82)),"")</f>
        <v/>
      </c>
      <c r="M1361" s="38">
        <f>IFERROR(IF(SUM('Semi Rev'!N82:Q82)&lt;=0,"",SUM('Semi FCF'!N82:Q82)/SUM('Semi Rev'!N82:Q82)),"")</f>
        <v/>
      </c>
      <c r="N1361" s="38">
        <f>IFERROR(IF(SUM('Semi Rev'!O82:R82)&lt;=0,"",SUM('Semi FCF'!O82:R82)/SUM('Semi Rev'!O82:R82)),"")</f>
        <v/>
      </c>
    </row>
    <row r="1362">
      <c r="A1362" s="19">
        <f>'Semi Rev'!$A83</f>
        <v/>
      </c>
      <c r="B1362" s="19">
        <f>'Semi Rev'!$B83</f>
        <v/>
      </c>
      <c r="C1362" s="37">
        <f>IFERROR(IF(SUM('Semi Rev'!D83:G83)&lt;=0,"",SUM('Semi FCF'!D83:G83)/SUM('Semi Rev'!D83:G83)),"")</f>
        <v/>
      </c>
      <c r="D1362" s="37">
        <f>IFERROR(IF(SUM('Semi Rev'!E83:H83)&lt;=0,"",SUM('Semi FCF'!E83:H83)/SUM('Semi Rev'!E83:H83)),"")</f>
        <v/>
      </c>
      <c r="E1362" s="37">
        <f>IFERROR(IF(SUM('Semi Rev'!F83:I83)&lt;=0,"",SUM('Semi FCF'!F83:I83)/SUM('Semi Rev'!F83:I83)),"")</f>
        <v/>
      </c>
      <c r="F1362" s="37">
        <f>IFERROR(IF(SUM('Semi Rev'!G83:J83)&lt;=0,"",SUM('Semi FCF'!G83:J83)/SUM('Semi Rev'!G83:J83)),"")</f>
        <v/>
      </c>
      <c r="G1362" s="37">
        <f>IFERROR(IF(SUM('Semi Rev'!H83:K83)&lt;=0,"",SUM('Semi FCF'!H83:K83)/SUM('Semi Rev'!H83:K83)),"")</f>
        <v/>
      </c>
      <c r="H1362" s="37">
        <f>IFERROR(IF(SUM('Semi Rev'!I83:L83)&lt;=0,"",SUM('Semi FCF'!I83:L83)/SUM('Semi Rev'!I83:L83)),"")</f>
        <v/>
      </c>
      <c r="I1362" s="37">
        <f>IFERROR(IF(SUM('Semi Rev'!J83:M83)&lt;=0,"",SUM('Semi FCF'!J83:M83)/SUM('Semi Rev'!J83:M83)),"")</f>
        <v/>
      </c>
      <c r="J1362" s="37">
        <f>IFERROR(IF(SUM('Semi Rev'!K83:N83)&lt;=0,"",SUM('Semi FCF'!K83:N83)/SUM('Semi Rev'!K83:N83)),"")</f>
        <v/>
      </c>
      <c r="K1362" s="37">
        <f>IFERROR(IF(SUM('Semi Rev'!L83:O83)&lt;=0,"",SUM('Semi FCF'!L83:O83)/SUM('Semi Rev'!L83:O83)),"")</f>
        <v/>
      </c>
      <c r="L1362" s="37">
        <f>IFERROR(IF(SUM('Semi Rev'!M83:P83)&lt;=0,"",SUM('Semi FCF'!M83:P83)/SUM('Semi Rev'!M83:P83)),"")</f>
        <v/>
      </c>
      <c r="M1362" s="38">
        <f>IFERROR(IF(SUM('Semi Rev'!N83:Q83)&lt;=0,"",SUM('Semi FCF'!N83:Q83)/SUM('Semi Rev'!N83:Q83)),"")</f>
        <v/>
      </c>
      <c r="N1362" s="38">
        <f>IFERROR(IF(SUM('Semi Rev'!O83:R83)&lt;=0,"",SUM('Semi FCF'!O83:R83)/SUM('Semi Rev'!O83:R83)),"")</f>
        <v/>
      </c>
    </row>
    <row r="1363">
      <c r="A1363" s="19">
        <f>'Semi Rev'!$A84</f>
        <v/>
      </c>
      <c r="B1363" s="19">
        <f>'Semi Rev'!$B84</f>
        <v/>
      </c>
      <c r="C1363" s="37">
        <f>IFERROR(IF(SUM('Semi Rev'!D84:G84)&lt;=0,"",SUM('Semi FCF'!D84:G84)/SUM('Semi Rev'!D84:G84)),"")</f>
        <v/>
      </c>
      <c r="D1363" s="37">
        <f>IFERROR(IF(SUM('Semi Rev'!E84:H84)&lt;=0,"",SUM('Semi FCF'!E84:H84)/SUM('Semi Rev'!E84:H84)),"")</f>
        <v/>
      </c>
      <c r="E1363" s="37">
        <f>IFERROR(IF(SUM('Semi Rev'!F84:I84)&lt;=0,"",SUM('Semi FCF'!F84:I84)/SUM('Semi Rev'!F84:I84)),"")</f>
        <v/>
      </c>
      <c r="F1363" s="37">
        <f>IFERROR(IF(SUM('Semi Rev'!G84:J84)&lt;=0,"",SUM('Semi FCF'!G84:J84)/SUM('Semi Rev'!G84:J84)),"")</f>
        <v/>
      </c>
      <c r="G1363" s="37">
        <f>IFERROR(IF(SUM('Semi Rev'!H84:K84)&lt;=0,"",SUM('Semi FCF'!H84:K84)/SUM('Semi Rev'!H84:K84)),"")</f>
        <v/>
      </c>
      <c r="H1363" s="37">
        <f>IFERROR(IF(SUM('Semi Rev'!I84:L84)&lt;=0,"",SUM('Semi FCF'!I84:L84)/SUM('Semi Rev'!I84:L84)),"")</f>
        <v/>
      </c>
      <c r="I1363" s="37">
        <f>IFERROR(IF(SUM('Semi Rev'!J84:M84)&lt;=0,"",SUM('Semi FCF'!J84:M84)/SUM('Semi Rev'!J84:M84)),"")</f>
        <v/>
      </c>
      <c r="J1363" s="37">
        <f>IFERROR(IF(SUM('Semi Rev'!K84:N84)&lt;=0,"",SUM('Semi FCF'!K84:N84)/SUM('Semi Rev'!K84:N84)),"")</f>
        <v/>
      </c>
      <c r="K1363" s="37">
        <f>IFERROR(IF(SUM('Semi Rev'!L84:O84)&lt;=0,"",SUM('Semi FCF'!L84:O84)/SUM('Semi Rev'!L84:O84)),"")</f>
        <v/>
      </c>
      <c r="L1363" s="37">
        <f>IFERROR(IF(SUM('Semi Rev'!M84:P84)&lt;=0,"",SUM('Semi FCF'!M84:P84)/SUM('Semi Rev'!M84:P84)),"")</f>
        <v/>
      </c>
      <c r="M1363" s="38">
        <f>IFERROR(IF(SUM('Semi Rev'!N84:Q84)&lt;=0,"",SUM('Semi FCF'!N84:Q84)/SUM('Semi Rev'!N84:Q84)),"")</f>
        <v/>
      </c>
      <c r="N1363" s="38">
        <f>IFERROR(IF(SUM('Semi Rev'!O84:R84)&lt;=0,"",SUM('Semi FCF'!O84:R84)/SUM('Semi Rev'!O84:R84)),"")</f>
        <v/>
      </c>
    </row>
    <row r="1364">
      <c r="A1364" s="19">
        <f>'Semi Rev'!$A85</f>
        <v/>
      </c>
      <c r="B1364" s="19">
        <f>'Semi Rev'!$B85</f>
        <v/>
      </c>
      <c r="C1364" s="37">
        <f>IFERROR(IF(SUM('Semi Rev'!D85:G85)&lt;=0,"",SUM('Semi FCF'!D85:G85)/SUM('Semi Rev'!D85:G85)),"")</f>
        <v/>
      </c>
      <c r="D1364" s="37">
        <f>IFERROR(IF(SUM('Semi Rev'!E85:H85)&lt;=0,"",SUM('Semi FCF'!E85:H85)/SUM('Semi Rev'!E85:H85)),"")</f>
        <v/>
      </c>
      <c r="E1364" s="37">
        <f>IFERROR(IF(SUM('Semi Rev'!F85:I85)&lt;=0,"",SUM('Semi FCF'!F85:I85)/SUM('Semi Rev'!F85:I85)),"")</f>
        <v/>
      </c>
      <c r="F1364" s="37">
        <f>IFERROR(IF(SUM('Semi Rev'!G85:J85)&lt;=0,"",SUM('Semi FCF'!G85:J85)/SUM('Semi Rev'!G85:J85)),"")</f>
        <v/>
      </c>
      <c r="G1364" s="37">
        <f>IFERROR(IF(SUM('Semi Rev'!H85:K85)&lt;=0,"",SUM('Semi FCF'!H85:K85)/SUM('Semi Rev'!H85:K85)),"")</f>
        <v/>
      </c>
      <c r="H1364" s="37">
        <f>IFERROR(IF(SUM('Semi Rev'!I85:L85)&lt;=0,"",SUM('Semi FCF'!I85:L85)/SUM('Semi Rev'!I85:L85)),"")</f>
        <v/>
      </c>
      <c r="I1364" s="37">
        <f>IFERROR(IF(SUM('Semi Rev'!J85:M85)&lt;=0,"",SUM('Semi FCF'!J85:M85)/SUM('Semi Rev'!J85:M85)),"")</f>
        <v/>
      </c>
      <c r="J1364" s="37">
        <f>IFERROR(IF(SUM('Semi Rev'!K85:N85)&lt;=0,"",SUM('Semi FCF'!K85:N85)/SUM('Semi Rev'!K85:N85)),"")</f>
        <v/>
      </c>
      <c r="K1364" s="37">
        <f>IFERROR(IF(SUM('Semi Rev'!L85:O85)&lt;=0,"",SUM('Semi FCF'!L85:O85)/SUM('Semi Rev'!L85:O85)),"")</f>
        <v/>
      </c>
      <c r="L1364" s="37">
        <f>IFERROR(IF(SUM('Semi Rev'!M85:P85)&lt;=0,"",SUM('Semi FCF'!M85:P85)/SUM('Semi Rev'!M85:P85)),"")</f>
        <v/>
      </c>
      <c r="M1364" s="38">
        <f>IFERROR(IF(SUM('Semi Rev'!N85:Q85)&lt;=0,"",SUM('Semi FCF'!N85:Q85)/SUM('Semi Rev'!N85:Q85)),"")</f>
        <v/>
      </c>
      <c r="N1364" s="38">
        <f>IFERROR(IF(SUM('Semi Rev'!O85:R85)&lt;=0,"",SUM('Semi FCF'!O85:R85)/SUM('Semi Rev'!O85:R85)),"")</f>
        <v/>
      </c>
    </row>
    <row r="1365">
      <c r="A1365" s="19">
        <f>'Semi Rev'!$A86</f>
        <v/>
      </c>
      <c r="B1365" s="19">
        <f>'Semi Rev'!$B86</f>
        <v/>
      </c>
      <c r="C1365" s="37">
        <f>IFERROR(IF(SUM('Semi Rev'!D86:G86)&lt;=0,"",SUM('Semi FCF'!D86:G86)/SUM('Semi Rev'!D86:G86)),"")</f>
        <v/>
      </c>
      <c r="D1365" s="37">
        <f>IFERROR(IF(SUM('Semi Rev'!E86:H86)&lt;=0,"",SUM('Semi FCF'!E86:H86)/SUM('Semi Rev'!E86:H86)),"")</f>
        <v/>
      </c>
      <c r="E1365" s="37">
        <f>IFERROR(IF(SUM('Semi Rev'!F86:I86)&lt;=0,"",SUM('Semi FCF'!F86:I86)/SUM('Semi Rev'!F86:I86)),"")</f>
        <v/>
      </c>
      <c r="F1365" s="37">
        <f>IFERROR(IF(SUM('Semi Rev'!G86:J86)&lt;=0,"",SUM('Semi FCF'!G86:J86)/SUM('Semi Rev'!G86:J86)),"")</f>
        <v/>
      </c>
      <c r="G1365" s="37">
        <f>IFERROR(IF(SUM('Semi Rev'!H86:K86)&lt;=0,"",SUM('Semi FCF'!H86:K86)/SUM('Semi Rev'!H86:K86)),"")</f>
        <v/>
      </c>
      <c r="H1365" s="37">
        <f>IFERROR(IF(SUM('Semi Rev'!I86:L86)&lt;=0,"",SUM('Semi FCF'!I86:L86)/SUM('Semi Rev'!I86:L86)),"")</f>
        <v/>
      </c>
      <c r="I1365" s="37">
        <f>IFERROR(IF(SUM('Semi Rev'!J86:M86)&lt;=0,"",SUM('Semi FCF'!J86:M86)/SUM('Semi Rev'!J86:M86)),"")</f>
        <v/>
      </c>
      <c r="J1365" s="37">
        <f>IFERROR(IF(SUM('Semi Rev'!K86:N86)&lt;=0,"",SUM('Semi FCF'!K86:N86)/SUM('Semi Rev'!K86:N86)),"")</f>
        <v/>
      </c>
      <c r="K1365" s="37">
        <f>IFERROR(IF(SUM('Semi Rev'!L86:O86)&lt;=0,"",SUM('Semi FCF'!L86:O86)/SUM('Semi Rev'!L86:O86)),"")</f>
        <v/>
      </c>
      <c r="L1365" s="37">
        <f>IFERROR(IF(SUM('Semi Rev'!M86:P86)&lt;=0,"",SUM('Semi FCF'!M86:P86)/SUM('Semi Rev'!M86:P86)),"")</f>
        <v/>
      </c>
      <c r="M1365" s="38">
        <f>IFERROR(IF(SUM('Semi Rev'!N86:Q86)&lt;=0,"",SUM('Semi FCF'!N86:Q86)/SUM('Semi Rev'!N86:Q86)),"")</f>
        <v/>
      </c>
      <c r="N1365" s="38">
        <f>IFERROR(IF(SUM('Semi Rev'!O86:R86)&lt;=0,"",SUM('Semi FCF'!O86:R86)/SUM('Semi Rev'!O86:R86)),"")</f>
        <v/>
      </c>
    </row>
    <row r="1366">
      <c r="A1366" s="19">
        <f>'Semi Rev'!$A87</f>
        <v/>
      </c>
      <c r="B1366" s="19">
        <f>'Semi Rev'!$B87</f>
        <v/>
      </c>
      <c r="C1366" s="37">
        <f>IFERROR(IF(SUM('Semi Rev'!D87:G87)&lt;=0,"",SUM('Semi FCF'!D87:G87)/SUM('Semi Rev'!D87:G87)),"")</f>
        <v/>
      </c>
      <c r="D1366" s="37">
        <f>IFERROR(IF(SUM('Semi Rev'!E87:H87)&lt;=0,"",SUM('Semi FCF'!E87:H87)/SUM('Semi Rev'!E87:H87)),"")</f>
        <v/>
      </c>
      <c r="E1366" s="37">
        <f>IFERROR(IF(SUM('Semi Rev'!F87:I87)&lt;=0,"",SUM('Semi FCF'!F87:I87)/SUM('Semi Rev'!F87:I87)),"")</f>
        <v/>
      </c>
      <c r="F1366" s="37">
        <f>IFERROR(IF(SUM('Semi Rev'!G87:J87)&lt;=0,"",SUM('Semi FCF'!G87:J87)/SUM('Semi Rev'!G87:J87)),"")</f>
        <v/>
      </c>
      <c r="G1366" s="37">
        <f>IFERROR(IF(SUM('Semi Rev'!H87:K87)&lt;=0,"",SUM('Semi FCF'!H87:K87)/SUM('Semi Rev'!H87:K87)),"")</f>
        <v/>
      </c>
      <c r="H1366" s="37">
        <f>IFERROR(IF(SUM('Semi Rev'!I87:L87)&lt;=0,"",SUM('Semi FCF'!I87:L87)/SUM('Semi Rev'!I87:L87)),"")</f>
        <v/>
      </c>
      <c r="I1366" s="37">
        <f>IFERROR(IF(SUM('Semi Rev'!J87:M87)&lt;=0,"",SUM('Semi FCF'!J87:M87)/SUM('Semi Rev'!J87:M87)),"")</f>
        <v/>
      </c>
      <c r="J1366" s="37">
        <f>IFERROR(IF(SUM('Semi Rev'!K87:N87)&lt;=0,"",SUM('Semi FCF'!K87:N87)/SUM('Semi Rev'!K87:N87)),"")</f>
        <v/>
      </c>
      <c r="K1366" s="37">
        <f>IFERROR(IF(SUM('Semi Rev'!L87:O87)&lt;=0,"",SUM('Semi FCF'!L87:O87)/SUM('Semi Rev'!L87:O87)),"")</f>
        <v/>
      </c>
      <c r="L1366" s="37">
        <f>IFERROR(IF(SUM('Semi Rev'!M87:P87)&lt;=0,"",SUM('Semi FCF'!M87:P87)/SUM('Semi Rev'!M87:P87)),"")</f>
        <v/>
      </c>
      <c r="M1366" s="38">
        <f>IFERROR(IF(SUM('Semi Rev'!N87:Q87)&lt;=0,"",SUM('Semi FCF'!N87:Q87)/SUM('Semi Rev'!N87:Q87)),"")</f>
        <v/>
      </c>
      <c r="N1366" s="38">
        <f>IFERROR(IF(SUM('Semi Rev'!O87:R87)&lt;=0,"",SUM('Semi FCF'!O87:R87)/SUM('Semi Rev'!O87:R87)),"")</f>
        <v/>
      </c>
    </row>
    <row r="1367">
      <c r="A1367" s="19">
        <f>'Semi Rev'!$A88</f>
        <v/>
      </c>
      <c r="B1367" s="19">
        <f>'Semi Rev'!$B88</f>
        <v/>
      </c>
      <c r="C1367" s="37">
        <f>IFERROR(IF(SUM('Semi Rev'!D88:G88)&lt;=0,"",SUM('Semi FCF'!D88:G88)/SUM('Semi Rev'!D88:G88)),"")</f>
        <v/>
      </c>
      <c r="D1367" s="37">
        <f>IFERROR(IF(SUM('Semi Rev'!E88:H88)&lt;=0,"",SUM('Semi FCF'!E88:H88)/SUM('Semi Rev'!E88:H88)),"")</f>
        <v/>
      </c>
      <c r="E1367" s="37">
        <f>IFERROR(IF(SUM('Semi Rev'!F88:I88)&lt;=0,"",SUM('Semi FCF'!F88:I88)/SUM('Semi Rev'!F88:I88)),"")</f>
        <v/>
      </c>
      <c r="F1367" s="37">
        <f>IFERROR(IF(SUM('Semi Rev'!G88:J88)&lt;=0,"",SUM('Semi FCF'!G88:J88)/SUM('Semi Rev'!G88:J88)),"")</f>
        <v/>
      </c>
      <c r="G1367" s="37">
        <f>IFERROR(IF(SUM('Semi Rev'!H88:K88)&lt;=0,"",SUM('Semi FCF'!H88:K88)/SUM('Semi Rev'!H88:K88)),"")</f>
        <v/>
      </c>
      <c r="H1367" s="37">
        <f>IFERROR(IF(SUM('Semi Rev'!I88:L88)&lt;=0,"",SUM('Semi FCF'!I88:L88)/SUM('Semi Rev'!I88:L88)),"")</f>
        <v/>
      </c>
      <c r="I1367" s="37">
        <f>IFERROR(IF(SUM('Semi Rev'!J88:M88)&lt;=0,"",SUM('Semi FCF'!J88:M88)/SUM('Semi Rev'!J88:M88)),"")</f>
        <v/>
      </c>
      <c r="J1367" s="37">
        <f>IFERROR(IF(SUM('Semi Rev'!K88:N88)&lt;=0,"",SUM('Semi FCF'!K88:N88)/SUM('Semi Rev'!K88:N88)),"")</f>
        <v/>
      </c>
      <c r="K1367" s="37">
        <f>IFERROR(IF(SUM('Semi Rev'!L88:O88)&lt;=0,"",SUM('Semi FCF'!L88:O88)/SUM('Semi Rev'!L88:O88)),"")</f>
        <v/>
      </c>
      <c r="L1367" s="37">
        <f>IFERROR(IF(SUM('Semi Rev'!M88:P88)&lt;=0,"",SUM('Semi FCF'!M88:P88)/SUM('Semi Rev'!M88:P88)),"")</f>
        <v/>
      </c>
      <c r="M1367" s="38">
        <f>IFERROR(IF(SUM('Semi Rev'!N88:Q88)&lt;=0,"",SUM('Semi FCF'!N88:Q88)/SUM('Semi Rev'!N88:Q88)),"")</f>
        <v/>
      </c>
      <c r="N1367" s="38">
        <f>IFERROR(IF(SUM('Semi Rev'!O88:R88)&lt;=0,"",SUM('Semi FCF'!O88:R88)/SUM('Semi Rev'!O88:R88)),"")</f>
        <v/>
      </c>
    </row>
    <row r="1368">
      <c r="A1368" s="19">
        <f>'Semi Rev'!$A89</f>
        <v/>
      </c>
      <c r="B1368" s="19">
        <f>'Semi Rev'!$B89</f>
        <v/>
      </c>
      <c r="C1368" s="37">
        <f>IFERROR(IF(SUM('Semi Rev'!D89:G89)&lt;=0,"",SUM('Semi FCF'!D89:G89)/SUM('Semi Rev'!D89:G89)),"")</f>
        <v/>
      </c>
      <c r="D1368" s="37">
        <f>IFERROR(IF(SUM('Semi Rev'!E89:H89)&lt;=0,"",SUM('Semi FCF'!E89:H89)/SUM('Semi Rev'!E89:H89)),"")</f>
        <v/>
      </c>
      <c r="E1368" s="37">
        <f>IFERROR(IF(SUM('Semi Rev'!F89:I89)&lt;=0,"",SUM('Semi FCF'!F89:I89)/SUM('Semi Rev'!F89:I89)),"")</f>
        <v/>
      </c>
      <c r="F1368" s="37">
        <f>IFERROR(IF(SUM('Semi Rev'!G89:J89)&lt;=0,"",SUM('Semi FCF'!G89:J89)/SUM('Semi Rev'!G89:J89)),"")</f>
        <v/>
      </c>
      <c r="G1368" s="37">
        <f>IFERROR(IF(SUM('Semi Rev'!H89:K89)&lt;=0,"",SUM('Semi FCF'!H89:K89)/SUM('Semi Rev'!H89:K89)),"")</f>
        <v/>
      </c>
      <c r="H1368" s="37">
        <f>IFERROR(IF(SUM('Semi Rev'!I89:L89)&lt;=0,"",SUM('Semi FCF'!I89:L89)/SUM('Semi Rev'!I89:L89)),"")</f>
        <v/>
      </c>
      <c r="I1368" s="37">
        <f>IFERROR(IF(SUM('Semi Rev'!J89:M89)&lt;=0,"",SUM('Semi FCF'!J89:M89)/SUM('Semi Rev'!J89:M89)),"")</f>
        <v/>
      </c>
      <c r="J1368" s="37">
        <f>IFERROR(IF(SUM('Semi Rev'!K89:N89)&lt;=0,"",SUM('Semi FCF'!K89:N89)/SUM('Semi Rev'!K89:N89)),"")</f>
        <v/>
      </c>
      <c r="K1368" s="37">
        <f>IFERROR(IF(SUM('Semi Rev'!L89:O89)&lt;=0,"",SUM('Semi FCF'!L89:O89)/SUM('Semi Rev'!L89:O89)),"")</f>
        <v/>
      </c>
      <c r="L1368" s="37">
        <f>IFERROR(IF(SUM('Semi Rev'!M89:P89)&lt;=0,"",SUM('Semi FCF'!M89:P89)/SUM('Semi Rev'!M89:P89)),"")</f>
        <v/>
      </c>
      <c r="M1368" s="38">
        <f>IFERROR(IF(SUM('Semi Rev'!N89:Q89)&lt;=0,"",SUM('Semi FCF'!N89:Q89)/SUM('Semi Rev'!N89:Q89)),"")</f>
        <v/>
      </c>
      <c r="N1368" s="38">
        <f>IFERROR(IF(SUM('Semi Rev'!O89:R89)&lt;=0,"",SUM('Semi FCF'!O89:R89)/SUM('Semi Rev'!O89:R89)),"")</f>
        <v/>
      </c>
    </row>
    <row r="1369">
      <c r="A1369" s="19">
        <f>'Semi Rev'!$A90</f>
        <v/>
      </c>
      <c r="B1369" s="19">
        <f>'Semi Rev'!$B90</f>
        <v/>
      </c>
      <c r="C1369" s="37">
        <f>IFERROR(IF(SUM('Semi Rev'!D90:G90)&lt;=0,"",SUM('Semi FCF'!D90:G90)/SUM('Semi Rev'!D90:G90)),"")</f>
        <v/>
      </c>
      <c r="D1369" s="37">
        <f>IFERROR(IF(SUM('Semi Rev'!E90:H90)&lt;=0,"",SUM('Semi FCF'!E90:H90)/SUM('Semi Rev'!E90:H90)),"")</f>
        <v/>
      </c>
      <c r="E1369" s="37">
        <f>IFERROR(IF(SUM('Semi Rev'!F90:I90)&lt;=0,"",SUM('Semi FCF'!F90:I90)/SUM('Semi Rev'!F90:I90)),"")</f>
        <v/>
      </c>
      <c r="F1369" s="37">
        <f>IFERROR(IF(SUM('Semi Rev'!G90:J90)&lt;=0,"",SUM('Semi FCF'!G90:J90)/SUM('Semi Rev'!G90:J90)),"")</f>
        <v/>
      </c>
      <c r="G1369" s="37">
        <f>IFERROR(IF(SUM('Semi Rev'!H90:K90)&lt;=0,"",SUM('Semi FCF'!H90:K90)/SUM('Semi Rev'!H90:K90)),"")</f>
        <v/>
      </c>
      <c r="H1369" s="37">
        <f>IFERROR(IF(SUM('Semi Rev'!I90:L90)&lt;=0,"",SUM('Semi FCF'!I90:L90)/SUM('Semi Rev'!I90:L90)),"")</f>
        <v/>
      </c>
      <c r="I1369" s="37">
        <f>IFERROR(IF(SUM('Semi Rev'!J90:M90)&lt;=0,"",SUM('Semi FCF'!J90:M90)/SUM('Semi Rev'!J90:M90)),"")</f>
        <v/>
      </c>
      <c r="J1369" s="37">
        <f>IFERROR(IF(SUM('Semi Rev'!K90:N90)&lt;=0,"",SUM('Semi FCF'!K90:N90)/SUM('Semi Rev'!K90:N90)),"")</f>
        <v/>
      </c>
      <c r="K1369" s="37">
        <f>IFERROR(IF(SUM('Semi Rev'!L90:O90)&lt;=0,"",SUM('Semi FCF'!L90:O90)/SUM('Semi Rev'!L90:O90)),"")</f>
        <v/>
      </c>
      <c r="L1369" s="37">
        <f>IFERROR(IF(SUM('Semi Rev'!M90:P90)&lt;=0,"",SUM('Semi FCF'!M90:P90)/SUM('Semi Rev'!M90:P90)),"")</f>
        <v/>
      </c>
      <c r="M1369" s="38">
        <f>IFERROR(IF(SUM('Semi Rev'!N90:Q90)&lt;=0,"",SUM('Semi FCF'!N90:Q90)/SUM('Semi Rev'!N90:Q90)),"")</f>
        <v/>
      </c>
      <c r="N1369" s="38">
        <f>IFERROR(IF(SUM('Semi Rev'!O90:R90)&lt;=0,"",SUM('Semi FCF'!O90:R90)/SUM('Semi Rev'!O90:R90)),"")</f>
        <v/>
      </c>
    </row>
    <row r="1370">
      <c r="A1370" s="19">
        <f>'Semi Rev'!$A91</f>
        <v/>
      </c>
      <c r="B1370" s="19">
        <f>'Semi Rev'!$B91</f>
        <v/>
      </c>
      <c r="C1370" s="37">
        <f>IFERROR(IF(SUM('Semi Rev'!D91:G91)&lt;=0,"",SUM('Semi FCF'!D91:G91)/SUM('Semi Rev'!D91:G91)),"")</f>
        <v/>
      </c>
      <c r="D1370" s="37">
        <f>IFERROR(IF(SUM('Semi Rev'!E91:H91)&lt;=0,"",SUM('Semi FCF'!E91:H91)/SUM('Semi Rev'!E91:H91)),"")</f>
        <v/>
      </c>
      <c r="E1370" s="37">
        <f>IFERROR(IF(SUM('Semi Rev'!F91:I91)&lt;=0,"",SUM('Semi FCF'!F91:I91)/SUM('Semi Rev'!F91:I91)),"")</f>
        <v/>
      </c>
      <c r="F1370" s="37">
        <f>IFERROR(IF(SUM('Semi Rev'!G91:J91)&lt;=0,"",SUM('Semi FCF'!G91:J91)/SUM('Semi Rev'!G91:J91)),"")</f>
        <v/>
      </c>
      <c r="G1370" s="37">
        <f>IFERROR(IF(SUM('Semi Rev'!H91:K91)&lt;=0,"",SUM('Semi FCF'!H91:K91)/SUM('Semi Rev'!H91:K91)),"")</f>
        <v/>
      </c>
      <c r="H1370" s="37">
        <f>IFERROR(IF(SUM('Semi Rev'!I91:L91)&lt;=0,"",SUM('Semi FCF'!I91:L91)/SUM('Semi Rev'!I91:L91)),"")</f>
        <v/>
      </c>
      <c r="I1370" s="37">
        <f>IFERROR(IF(SUM('Semi Rev'!J91:M91)&lt;=0,"",SUM('Semi FCF'!J91:M91)/SUM('Semi Rev'!J91:M91)),"")</f>
        <v/>
      </c>
      <c r="J1370" s="37">
        <f>IFERROR(IF(SUM('Semi Rev'!K91:N91)&lt;=0,"",SUM('Semi FCF'!K91:N91)/SUM('Semi Rev'!K91:N91)),"")</f>
        <v/>
      </c>
      <c r="K1370" s="37">
        <f>IFERROR(IF(SUM('Semi Rev'!L91:O91)&lt;=0,"",SUM('Semi FCF'!L91:O91)/SUM('Semi Rev'!L91:O91)),"")</f>
        <v/>
      </c>
      <c r="L1370" s="37">
        <f>IFERROR(IF(SUM('Semi Rev'!M91:P91)&lt;=0,"",SUM('Semi FCF'!M91:P91)/SUM('Semi Rev'!M91:P91)),"")</f>
        <v/>
      </c>
      <c r="M1370" s="38">
        <f>IFERROR(IF(SUM('Semi Rev'!N91:Q91)&lt;=0,"",SUM('Semi FCF'!N91:Q91)/SUM('Semi Rev'!N91:Q91)),"")</f>
        <v/>
      </c>
      <c r="N1370" s="38">
        <f>IFERROR(IF(SUM('Semi Rev'!O91:R91)&lt;=0,"",SUM('Semi FCF'!O91:R91)/SUM('Semi Rev'!O91:R91)),"")</f>
        <v/>
      </c>
    </row>
    <row r="1371">
      <c r="A1371" s="19">
        <f>'Semi Rev'!$A92</f>
        <v/>
      </c>
      <c r="B1371" s="19">
        <f>'Semi Rev'!$B92</f>
        <v/>
      </c>
      <c r="C1371" s="37">
        <f>IFERROR(IF(SUM('Semi Rev'!D92:G92)&lt;=0,"",SUM('Semi FCF'!D92:G92)/SUM('Semi Rev'!D92:G92)),"")</f>
        <v/>
      </c>
      <c r="D1371" s="37">
        <f>IFERROR(IF(SUM('Semi Rev'!E92:H92)&lt;=0,"",SUM('Semi FCF'!E92:H92)/SUM('Semi Rev'!E92:H92)),"")</f>
        <v/>
      </c>
      <c r="E1371" s="37">
        <f>IFERROR(IF(SUM('Semi Rev'!F92:I92)&lt;=0,"",SUM('Semi FCF'!F92:I92)/SUM('Semi Rev'!F92:I92)),"")</f>
        <v/>
      </c>
      <c r="F1371" s="37">
        <f>IFERROR(IF(SUM('Semi Rev'!G92:J92)&lt;=0,"",SUM('Semi FCF'!G92:J92)/SUM('Semi Rev'!G92:J92)),"")</f>
        <v/>
      </c>
      <c r="G1371" s="37">
        <f>IFERROR(IF(SUM('Semi Rev'!H92:K92)&lt;=0,"",SUM('Semi FCF'!H92:K92)/SUM('Semi Rev'!H92:K92)),"")</f>
        <v/>
      </c>
      <c r="H1371" s="37">
        <f>IFERROR(IF(SUM('Semi Rev'!I92:L92)&lt;=0,"",SUM('Semi FCF'!I92:L92)/SUM('Semi Rev'!I92:L92)),"")</f>
        <v/>
      </c>
      <c r="I1371" s="37">
        <f>IFERROR(IF(SUM('Semi Rev'!J92:M92)&lt;=0,"",SUM('Semi FCF'!J92:M92)/SUM('Semi Rev'!J92:M92)),"")</f>
        <v/>
      </c>
      <c r="J1371" s="37">
        <f>IFERROR(IF(SUM('Semi Rev'!K92:N92)&lt;=0,"",SUM('Semi FCF'!K92:N92)/SUM('Semi Rev'!K92:N92)),"")</f>
        <v/>
      </c>
      <c r="K1371" s="37">
        <f>IFERROR(IF(SUM('Semi Rev'!L92:O92)&lt;=0,"",SUM('Semi FCF'!L92:O92)/SUM('Semi Rev'!L92:O92)),"")</f>
        <v/>
      </c>
      <c r="L1371" s="37">
        <f>IFERROR(IF(SUM('Semi Rev'!M92:P92)&lt;=0,"",SUM('Semi FCF'!M92:P92)/SUM('Semi Rev'!M92:P92)),"")</f>
        <v/>
      </c>
      <c r="M1371" s="38">
        <f>IFERROR(IF(SUM('Semi Rev'!N92:Q92)&lt;=0,"",SUM('Semi FCF'!N92:Q92)/SUM('Semi Rev'!N92:Q92)),"")</f>
        <v/>
      </c>
      <c r="N1371" s="38">
        <f>IFERROR(IF(SUM('Semi Rev'!O92:R92)&lt;=0,"",SUM('Semi FCF'!O92:R92)/SUM('Semi Rev'!O92:R92)),"")</f>
        <v/>
      </c>
    </row>
    <row r="1372">
      <c r="A1372" s="19">
        <f>'Semi Rev'!$A93</f>
        <v/>
      </c>
      <c r="B1372" s="19">
        <f>'Semi Rev'!$B93</f>
        <v/>
      </c>
      <c r="C1372" s="37">
        <f>IFERROR(IF(SUM('Semi Rev'!D93:G93)&lt;=0,"",SUM('Semi FCF'!D93:G93)/SUM('Semi Rev'!D93:G93)),"")</f>
        <v/>
      </c>
      <c r="D1372" s="37">
        <f>IFERROR(IF(SUM('Semi Rev'!E93:H93)&lt;=0,"",SUM('Semi FCF'!E93:H93)/SUM('Semi Rev'!E93:H93)),"")</f>
        <v/>
      </c>
      <c r="E1372" s="37">
        <f>IFERROR(IF(SUM('Semi Rev'!F93:I93)&lt;=0,"",SUM('Semi FCF'!F93:I93)/SUM('Semi Rev'!F93:I93)),"")</f>
        <v/>
      </c>
      <c r="F1372" s="37">
        <f>IFERROR(IF(SUM('Semi Rev'!G93:J93)&lt;=0,"",SUM('Semi FCF'!G93:J93)/SUM('Semi Rev'!G93:J93)),"")</f>
        <v/>
      </c>
      <c r="G1372" s="37">
        <f>IFERROR(IF(SUM('Semi Rev'!H93:K93)&lt;=0,"",SUM('Semi FCF'!H93:K93)/SUM('Semi Rev'!H93:K93)),"")</f>
        <v/>
      </c>
      <c r="H1372" s="37">
        <f>IFERROR(IF(SUM('Semi Rev'!I93:L93)&lt;=0,"",SUM('Semi FCF'!I93:L93)/SUM('Semi Rev'!I93:L93)),"")</f>
        <v/>
      </c>
      <c r="I1372" s="37">
        <f>IFERROR(IF(SUM('Semi Rev'!J93:M93)&lt;=0,"",SUM('Semi FCF'!J93:M93)/SUM('Semi Rev'!J93:M93)),"")</f>
        <v/>
      </c>
      <c r="J1372" s="37">
        <f>IFERROR(IF(SUM('Semi Rev'!K93:N93)&lt;=0,"",SUM('Semi FCF'!K93:N93)/SUM('Semi Rev'!K93:N93)),"")</f>
        <v/>
      </c>
      <c r="K1372" s="37">
        <f>IFERROR(IF(SUM('Semi Rev'!L93:O93)&lt;=0,"",SUM('Semi FCF'!L93:O93)/SUM('Semi Rev'!L93:O93)),"")</f>
        <v/>
      </c>
      <c r="L1372" s="37">
        <f>IFERROR(IF(SUM('Semi Rev'!M93:P93)&lt;=0,"",SUM('Semi FCF'!M93:P93)/SUM('Semi Rev'!M93:P93)),"")</f>
        <v/>
      </c>
      <c r="M1372" s="38">
        <f>IFERROR(IF(SUM('Semi Rev'!N93:Q93)&lt;=0,"",SUM('Semi FCF'!N93:Q93)/SUM('Semi Rev'!N93:Q93)),"")</f>
        <v/>
      </c>
      <c r="N1372" s="38">
        <f>IFERROR(IF(SUM('Semi Rev'!O93:R93)&lt;=0,"",SUM('Semi FCF'!O93:R93)/SUM('Semi Rev'!O93:R93)),"")</f>
        <v/>
      </c>
    </row>
    <row r="1373">
      <c r="A1373" s="19">
        <f>'Semi Rev'!$A94</f>
        <v/>
      </c>
      <c r="B1373" s="19">
        <f>'Semi Rev'!$B94</f>
        <v/>
      </c>
      <c r="C1373" s="37">
        <f>IFERROR(IF(SUM('Semi Rev'!D94:G94)&lt;=0,"",SUM('Semi FCF'!D94:G94)/SUM('Semi Rev'!D94:G94)),"")</f>
        <v/>
      </c>
      <c r="D1373" s="37">
        <f>IFERROR(IF(SUM('Semi Rev'!E94:H94)&lt;=0,"",SUM('Semi FCF'!E94:H94)/SUM('Semi Rev'!E94:H94)),"")</f>
        <v/>
      </c>
      <c r="E1373" s="37">
        <f>IFERROR(IF(SUM('Semi Rev'!F94:I94)&lt;=0,"",SUM('Semi FCF'!F94:I94)/SUM('Semi Rev'!F94:I94)),"")</f>
        <v/>
      </c>
      <c r="F1373" s="37">
        <f>IFERROR(IF(SUM('Semi Rev'!G94:J94)&lt;=0,"",SUM('Semi FCF'!G94:J94)/SUM('Semi Rev'!G94:J94)),"")</f>
        <v/>
      </c>
      <c r="G1373" s="37">
        <f>IFERROR(IF(SUM('Semi Rev'!H94:K94)&lt;=0,"",SUM('Semi FCF'!H94:K94)/SUM('Semi Rev'!H94:K94)),"")</f>
        <v/>
      </c>
      <c r="H1373" s="37">
        <f>IFERROR(IF(SUM('Semi Rev'!I94:L94)&lt;=0,"",SUM('Semi FCF'!I94:L94)/SUM('Semi Rev'!I94:L94)),"")</f>
        <v/>
      </c>
      <c r="I1373" s="37">
        <f>IFERROR(IF(SUM('Semi Rev'!J94:M94)&lt;=0,"",SUM('Semi FCF'!J94:M94)/SUM('Semi Rev'!J94:M94)),"")</f>
        <v/>
      </c>
      <c r="J1373" s="37">
        <f>IFERROR(IF(SUM('Semi Rev'!K94:N94)&lt;=0,"",SUM('Semi FCF'!K94:N94)/SUM('Semi Rev'!K94:N94)),"")</f>
        <v/>
      </c>
      <c r="K1373" s="37">
        <f>IFERROR(IF(SUM('Semi Rev'!L94:O94)&lt;=0,"",SUM('Semi FCF'!L94:O94)/SUM('Semi Rev'!L94:O94)),"")</f>
        <v/>
      </c>
      <c r="L1373" s="37">
        <f>IFERROR(IF(SUM('Semi Rev'!M94:P94)&lt;=0,"",SUM('Semi FCF'!M94:P94)/SUM('Semi Rev'!M94:P94)),"")</f>
        <v/>
      </c>
      <c r="M1373" s="38">
        <f>IFERROR(IF(SUM('Semi Rev'!N94:Q94)&lt;=0,"",SUM('Semi FCF'!N94:Q94)/SUM('Semi Rev'!N94:Q94)),"")</f>
        <v/>
      </c>
      <c r="N1373" s="38">
        <f>IFERROR(IF(SUM('Semi Rev'!O94:R94)&lt;=0,"",SUM('Semi FCF'!O94:R94)/SUM('Semi Rev'!O94:R94)),"")</f>
        <v/>
      </c>
    </row>
    <row r="1374">
      <c r="A1374" s="19">
        <f>'Semi Rev'!$A95</f>
        <v/>
      </c>
      <c r="B1374" s="19">
        <f>'Semi Rev'!$B95</f>
        <v/>
      </c>
      <c r="C1374" s="37">
        <f>IFERROR(IF(SUM('Semi Rev'!D95:G95)&lt;=0,"",SUM('Semi FCF'!D95:G95)/SUM('Semi Rev'!D95:G95)),"")</f>
        <v/>
      </c>
      <c r="D1374" s="37">
        <f>IFERROR(IF(SUM('Semi Rev'!E95:H95)&lt;=0,"",SUM('Semi FCF'!E95:H95)/SUM('Semi Rev'!E95:H95)),"")</f>
        <v/>
      </c>
      <c r="E1374" s="37">
        <f>IFERROR(IF(SUM('Semi Rev'!F95:I95)&lt;=0,"",SUM('Semi FCF'!F95:I95)/SUM('Semi Rev'!F95:I95)),"")</f>
        <v/>
      </c>
      <c r="F1374" s="37">
        <f>IFERROR(IF(SUM('Semi Rev'!G95:J95)&lt;=0,"",SUM('Semi FCF'!G95:J95)/SUM('Semi Rev'!G95:J95)),"")</f>
        <v/>
      </c>
      <c r="G1374" s="37">
        <f>IFERROR(IF(SUM('Semi Rev'!H95:K95)&lt;=0,"",SUM('Semi FCF'!H95:K95)/SUM('Semi Rev'!H95:K95)),"")</f>
        <v/>
      </c>
      <c r="H1374" s="37">
        <f>IFERROR(IF(SUM('Semi Rev'!I95:L95)&lt;=0,"",SUM('Semi FCF'!I95:L95)/SUM('Semi Rev'!I95:L95)),"")</f>
        <v/>
      </c>
      <c r="I1374" s="37">
        <f>IFERROR(IF(SUM('Semi Rev'!J95:M95)&lt;=0,"",SUM('Semi FCF'!J95:M95)/SUM('Semi Rev'!J95:M95)),"")</f>
        <v/>
      </c>
      <c r="J1374" s="37">
        <f>IFERROR(IF(SUM('Semi Rev'!K95:N95)&lt;=0,"",SUM('Semi FCF'!K95:N95)/SUM('Semi Rev'!K95:N95)),"")</f>
        <v/>
      </c>
      <c r="K1374" s="37">
        <f>IFERROR(IF(SUM('Semi Rev'!L95:O95)&lt;=0,"",SUM('Semi FCF'!L95:O95)/SUM('Semi Rev'!L95:O95)),"")</f>
        <v/>
      </c>
      <c r="L1374" s="37">
        <f>IFERROR(IF(SUM('Semi Rev'!M95:P95)&lt;=0,"",SUM('Semi FCF'!M95:P95)/SUM('Semi Rev'!M95:P95)),"")</f>
        <v/>
      </c>
      <c r="M1374" s="38">
        <f>IFERROR(IF(SUM('Semi Rev'!N95:Q95)&lt;=0,"",SUM('Semi FCF'!N95:Q95)/SUM('Semi Rev'!N95:Q95)),"")</f>
        <v/>
      </c>
      <c r="N1374" s="38">
        <f>IFERROR(IF(SUM('Semi Rev'!O95:R95)&lt;=0,"",SUM('Semi FCF'!O95:R95)/SUM('Semi Rev'!O95:R95)),"")</f>
        <v/>
      </c>
    </row>
    <row r="1375">
      <c r="A1375" s="19">
        <f>'Semi Rev'!$A96</f>
        <v/>
      </c>
      <c r="B1375" s="19">
        <f>'Semi Rev'!$B96</f>
        <v/>
      </c>
      <c r="C1375" s="37">
        <f>IFERROR(IF(SUM('Semi Rev'!D96:G96)&lt;=0,"",SUM('Semi FCF'!D96:G96)/SUM('Semi Rev'!D96:G96)),"")</f>
        <v/>
      </c>
      <c r="D1375" s="37">
        <f>IFERROR(IF(SUM('Semi Rev'!E96:H96)&lt;=0,"",SUM('Semi FCF'!E96:H96)/SUM('Semi Rev'!E96:H96)),"")</f>
        <v/>
      </c>
      <c r="E1375" s="37">
        <f>IFERROR(IF(SUM('Semi Rev'!F96:I96)&lt;=0,"",SUM('Semi FCF'!F96:I96)/SUM('Semi Rev'!F96:I96)),"")</f>
        <v/>
      </c>
      <c r="F1375" s="37">
        <f>IFERROR(IF(SUM('Semi Rev'!G96:J96)&lt;=0,"",SUM('Semi FCF'!G96:J96)/SUM('Semi Rev'!G96:J96)),"")</f>
        <v/>
      </c>
      <c r="G1375" s="37">
        <f>IFERROR(IF(SUM('Semi Rev'!H96:K96)&lt;=0,"",SUM('Semi FCF'!H96:K96)/SUM('Semi Rev'!H96:K96)),"")</f>
        <v/>
      </c>
      <c r="H1375" s="37">
        <f>IFERROR(IF(SUM('Semi Rev'!I96:L96)&lt;=0,"",SUM('Semi FCF'!I96:L96)/SUM('Semi Rev'!I96:L96)),"")</f>
        <v/>
      </c>
      <c r="I1375" s="37">
        <f>IFERROR(IF(SUM('Semi Rev'!J96:M96)&lt;=0,"",SUM('Semi FCF'!J96:M96)/SUM('Semi Rev'!J96:M96)),"")</f>
        <v/>
      </c>
      <c r="J1375" s="37">
        <f>IFERROR(IF(SUM('Semi Rev'!K96:N96)&lt;=0,"",SUM('Semi FCF'!K96:N96)/SUM('Semi Rev'!K96:N96)),"")</f>
        <v/>
      </c>
      <c r="K1375" s="37">
        <f>IFERROR(IF(SUM('Semi Rev'!L96:O96)&lt;=0,"",SUM('Semi FCF'!L96:O96)/SUM('Semi Rev'!L96:O96)),"")</f>
        <v/>
      </c>
      <c r="L1375" s="37">
        <f>IFERROR(IF(SUM('Semi Rev'!M96:P96)&lt;=0,"",SUM('Semi FCF'!M96:P96)/SUM('Semi Rev'!M96:P96)),"")</f>
        <v/>
      </c>
      <c r="M1375" s="38">
        <f>IFERROR(IF(SUM('Semi Rev'!N96:Q96)&lt;=0,"",SUM('Semi FCF'!N96:Q96)/SUM('Semi Rev'!N96:Q96)),"")</f>
        <v/>
      </c>
      <c r="N1375" s="38">
        <f>IFERROR(IF(SUM('Semi Rev'!O96:R96)&lt;=0,"",SUM('Semi FCF'!O96:R96)/SUM('Semi Rev'!O96:R96)),"")</f>
        <v/>
      </c>
    </row>
    <row r="1376">
      <c r="A1376" s="19">
        <f>'Semi Rev'!$A97</f>
        <v/>
      </c>
      <c r="B1376" s="19">
        <f>'Semi Rev'!$B97</f>
        <v/>
      </c>
      <c r="C1376" s="37">
        <f>IFERROR(IF(SUM('Semi Rev'!D97:G97)&lt;=0,"",SUM('Semi FCF'!D97:G97)/SUM('Semi Rev'!D97:G97)),"")</f>
        <v/>
      </c>
      <c r="D1376" s="37">
        <f>IFERROR(IF(SUM('Semi Rev'!E97:H97)&lt;=0,"",SUM('Semi FCF'!E97:H97)/SUM('Semi Rev'!E97:H97)),"")</f>
        <v/>
      </c>
      <c r="E1376" s="37">
        <f>IFERROR(IF(SUM('Semi Rev'!F97:I97)&lt;=0,"",SUM('Semi FCF'!F97:I97)/SUM('Semi Rev'!F97:I97)),"")</f>
        <v/>
      </c>
      <c r="F1376" s="37">
        <f>IFERROR(IF(SUM('Semi Rev'!G97:J97)&lt;=0,"",SUM('Semi FCF'!G97:J97)/SUM('Semi Rev'!G97:J97)),"")</f>
        <v/>
      </c>
      <c r="G1376" s="37">
        <f>IFERROR(IF(SUM('Semi Rev'!H97:K97)&lt;=0,"",SUM('Semi FCF'!H97:K97)/SUM('Semi Rev'!H97:K97)),"")</f>
        <v/>
      </c>
      <c r="H1376" s="37">
        <f>IFERROR(IF(SUM('Semi Rev'!I97:L97)&lt;=0,"",SUM('Semi FCF'!I97:L97)/SUM('Semi Rev'!I97:L97)),"")</f>
        <v/>
      </c>
      <c r="I1376" s="37">
        <f>IFERROR(IF(SUM('Semi Rev'!J97:M97)&lt;=0,"",SUM('Semi FCF'!J97:M97)/SUM('Semi Rev'!J97:M97)),"")</f>
        <v/>
      </c>
      <c r="J1376" s="37">
        <f>IFERROR(IF(SUM('Semi Rev'!K97:N97)&lt;=0,"",SUM('Semi FCF'!K97:N97)/SUM('Semi Rev'!K97:N97)),"")</f>
        <v/>
      </c>
      <c r="K1376" s="37">
        <f>IFERROR(IF(SUM('Semi Rev'!L97:O97)&lt;=0,"",SUM('Semi FCF'!L97:O97)/SUM('Semi Rev'!L97:O97)),"")</f>
        <v/>
      </c>
      <c r="L1376" s="37">
        <f>IFERROR(IF(SUM('Semi Rev'!M97:P97)&lt;=0,"",SUM('Semi FCF'!M97:P97)/SUM('Semi Rev'!M97:P97)),"")</f>
        <v/>
      </c>
      <c r="M1376" s="38">
        <f>IFERROR(IF(SUM('Semi Rev'!N97:Q97)&lt;=0,"",SUM('Semi FCF'!N97:Q97)/SUM('Semi Rev'!N97:Q97)),"")</f>
        <v/>
      </c>
      <c r="N1376" s="38">
        <f>IFERROR(IF(SUM('Semi Rev'!O97:R97)&lt;=0,"",SUM('Semi FCF'!O97:R97)/SUM('Semi Rev'!O97:R97)),"")</f>
        <v/>
      </c>
    </row>
    <row r="1377">
      <c r="A1377" s="19">
        <f>'Semi Rev'!$A98</f>
        <v/>
      </c>
      <c r="B1377" s="19">
        <f>'Semi Rev'!$B98</f>
        <v/>
      </c>
      <c r="C1377" s="37">
        <f>IFERROR(IF(SUM('Semi Rev'!D98:G98)&lt;=0,"",SUM('Semi FCF'!D98:G98)/SUM('Semi Rev'!D98:G98)),"")</f>
        <v/>
      </c>
      <c r="D1377" s="37">
        <f>IFERROR(IF(SUM('Semi Rev'!E98:H98)&lt;=0,"",SUM('Semi FCF'!E98:H98)/SUM('Semi Rev'!E98:H98)),"")</f>
        <v/>
      </c>
      <c r="E1377" s="37">
        <f>IFERROR(IF(SUM('Semi Rev'!F98:I98)&lt;=0,"",SUM('Semi FCF'!F98:I98)/SUM('Semi Rev'!F98:I98)),"")</f>
        <v/>
      </c>
      <c r="F1377" s="37">
        <f>IFERROR(IF(SUM('Semi Rev'!G98:J98)&lt;=0,"",SUM('Semi FCF'!G98:J98)/SUM('Semi Rev'!G98:J98)),"")</f>
        <v/>
      </c>
      <c r="G1377" s="37">
        <f>IFERROR(IF(SUM('Semi Rev'!H98:K98)&lt;=0,"",SUM('Semi FCF'!H98:K98)/SUM('Semi Rev'!H98:K98)),"")</f>
        <v/>
      </c>
      <c r="H1377" s="37">
        <f>IFERROR(IF(SUM('Semi Rev'!I98:L98)&lt;=0,"",SUM('Semi FCF'!I98:L98)/SUM('Semi Rev'!I98:L98)),"")</f>
        <v/>
      </c>
      <c r="I1377" s="37">
        <f>IFERROR(IF(SUM('Semi Rev'!J98:M98)&lt;=0,"",SUM('Semi FCF'!J98:M98)/SUM('Semi Rev'!J98:M98)),"")</f>
        <v/>
      </c>
      <c r="J1377" s="37">
        <f>IFERROR(IF(SUM('Semi Rev'!K98:N98)&lt;=0,"",SUM('Semi FCF'!K98:N98)/SUM('Semi Rev'!K98:N98)),"")</f>
        <v/>
      </c>
      <c r="K1377" s="37">
        <f>IFERROR(IF(SUM('Semi Rev'!L98:O98)&lt;=0,"",SUM('Semi FCF'!L98:O98)/SUM('Semi Rev'!L98:O98)),"")</f>
        <v/>
      </c>
      <c r="L1377" s="37">
        <f>IFERROR(IF(SUM('Semi Rev'!M98:P98)&lt;=0,"",SUM('Semi FCF'!M98:P98)/SUM('Semi Rev'!M98:P98)),"")</f>
        <v/>
      </c>
      <c r="M1377" s="38">
        <f>IFERROR(IF(SUM('Semi Rev'!N98:Q98)&lt;=0,"",SUM('Semi FCF'!N98:Q98)/SUM('Semi Rev'!N98:Q98)),"")</f>
        <v/>
      </c>
      <c r="N1377" s="38">
        <f>IFERROR(IF(SUM('Semi Rev'!O98:R98)&lt;=0,"",SUM('Semi FCF'!O98:R98)/SUM('Semi Rev'!O98:R98)),"")</f>
        <v/>
      </c>
    </row>
    <row r="1378">
      <c r="A1378" s="19">
        <f>'Semi Rev'!$A99</f>
        <v/>
      </c>
      <c r="B1378" s="19">
        <f>'Semi Rev'!$B99</f>
        <v/>
      </c>
      <c r="C1378" s="37">
        <f>IFERROR(IF(SUM('Semi Rev'!D99:G99)&lt;=0,"",SUM('Semi FCF'!D99:G99)/SUM('Semi Rev'!D99:G99)),"")</f>
        <v/>
      </c>
      <c r="D1378" s="37">
        <f>IFERROR(IF(SUM('Semi Rev'!E99:H99)&lt;=0,"",SUM('Semi FCF'!E99:H99)/SUM('Semi Rev'!E99:H99)),"")</f>
        <v/>
      </c>
      <c r="E1378" s="37">
        <f>IFERROR(IF(SUM('Semi Rev'!F99:I99)&lt;=0,"",SUM('Semi FCF'!F99:I99)/SUM('Semi Rev'!F99:I99)),"")</f>
        <v/>
      </c>
      <c r="F1378" s="37">
        <f>IFERROR(IF(SUM('Semi Rev'!G99:J99)&lt;=0,"",SUM('Semi FCF'!G99:J99)/SUM('Semi Rev'!G99:J99)),"")</f>
        <v/>
      </c>
      <c r="G1378" s="37">
        <f>IFERROR(IF(SUM('Semi Rev'!H99:K99)&lt;=0,"",SUM('Semi FCF'!H99:K99)/SUM('Semi Rev'!H99:K99)),"")</f>
        <v/>
      </c>
      <c r="H1378" s="37">
        <f>IFERROR(IF(SUM('Semi Rev'!I99:L99)&lt;=0,"",SUM('Semi FCF'!I99:L99)/SUM('Semi Rev'!I99:L99)),"")</f>
        <v/>
      </c>
      <c r="I1378" s="37">
        <f>IFERROR(IF(SUM('Semi Rev'!J99:M99)&lt;=0,"",SUM('Semi FCF'!J99:M99)/SUM('Semi Rev'!J99:M99)),"")</f>
        <v/>
      </c>
      <c r="J1378" s="37">
        <f>IFERROR(IF(SUM('Semi Rev'!K99:N99)&lt;=0,"",SUM('Semi FCF'!K99:N99)/SUM('Semi Rev'!K99:N99)),"")</f>
        <v/>
      </c>
      <c r="K1378" s="37">
        <f>IFERROR(IF(SUM('Semi Rev'!L99:O99)&lt;=0,"",SUM('Semi FCF'!L99:O99)/SUM('Semi Rev'!L99:O99)),"")</f>
        <v/>
      </c>
      <c r="L1378" s="37">
        <f>IFERROR(IF(SUM('Semi Rev'!M99:P99)&lt;=0,"",SUM('Semi FCF'!M99:P99)/SUM('Semi Rev'!M99:P99)),"")</f>
        <v/>
      </c>
      <c r="M1378" s="38">
        <f>IFERROR(IF(SUM('Semi Rev'!N99:Q99)&lt;=0,"",SUM('Semi FCF'!N99:Q99)/SUM('Semi Rev'!N99:Q99)),"")</f>
        <v/>
      </c>
      <c r="N1378" s="38">
        <f>IFERROR(IF(SUM('Semi Rev'!O99:R99)&lt;=0,"",SUM('Semi FCF'!O99:R99)/SUM('Semi Rev'!O99:R99)),"")</f>
        <v/>
      </c>
    </row>
    <row r="1379">
      <c r="A1379" s="19">
        <f>'Semi Rev'!$A100</f>
        <v/>
      </c>
      <c r="B1379" s="19">
        <f>'Semi Rev'!$B100</f>
        <v/>
      </c>
      <c r="C1379" s="37">
        <f>IFERROR(IF(SUM('Semi Rev'!D100:G100)&lt;=0,"",SUM('Semi FCF'!D100:G100)/SUM('Semi Rev'!D100:G100)),"")</f>
        <v/>
      </c>
      <c r="D1379" s="37">
        <f>IFERROR(IF(SUM('Semi Rev'!E100:H100)&lt;=0,"",SUM('Semi FCF'!E100:H100)/SUM('Semi Rev'!E100:H100)),"")</f>
        <v/>
      </c>
      <c r="E1379" s="37">
        <f>IFERROR(IF(SUM('Semi Rev'!F100:I100)&lt;=0,"",SUM('Semi FCF'!F100:I100)/SUM('Semi Rev'!F100:I100)),"")</f>
        <v/>
      </c>
      <c r="F1379" s="37">
        <f>IFERROR(IF(SUM('Semi Rev'!G100:J100)&lt;=0,"",SUM('Semi FCF'!G100:J100)/SUM('Semi Rev'!G100:J100)),"")</f>
        <v/>
      </c>
      <c r="G1379" s="37">
        <f>IFERROR(IF(SUM('Semi Rev'!H100:K100)&lt;=0,"",SUM('Semi FCF'!H100:K100)/SUM('Semi Rev'!H100:K100)),"")</f>
        <v/>
      </c>
      <c r="H1379" s="37">
        <f>IFERROR(IF(SUM('Semi Rev'!I100:L100)&lt;=0,"",SUM('Semi FCF'!I100:L100)/SUM('Semi Rev'!I100:L100)),"")</f>
        <v/>
      </c>
      <c r="I1379" s="37">
        <f>IFERROR(IF(SUM('Semi Rev'!J100:M100)&lt;=0,"",SUM('Semi FCF'!J100:M100)/SUM('Semi Rev'!J100:M100)),"")</f>
        <v/>
      </c>
      <c r="J1379" s="37">
        <f>IFERROR(IF(SUM('Semi Rev'!K100:N100)&lt;=0,"",SUM('Semi FCF'!K100:N100)/SUM('Semi Rev'!K100:N100)),"")</f>
        <v/>
      </c>
      <c r="K1379" s="37">
        <f>IFERROR(IF(SUM('Semi Rev'!L100:O100)&lt;=0,"",SUM('Semi FCF'!L100:O100)/SUM('Semi Rev'!L100:O100)),"")</f>
        <v/>
      </c>
      <c r="L1379" s="37">
        <f>IFERROR(IF(SUM('Semi Rev'!M100:P100)&lt;=0,"",SUM('Semi FCF'!M100:P100)/SUM('Semi Rev'!M100:P100)),"")</f>
        <v/>
      </c>
      <c r="M1379" s="38">
        <f>IFERROR(IF(SUM('Semi Rev'!N100:Q100)&lt;=0,"",SUM('Semi FCF'!N100:Q100)/SUM('Semi Rev'!N100:Q100)),"")</f>
        <v/>
      </c>
      <c r="N1379" s="38">
        <f>IFERROR(IF(SUM('Semi Rev'!O100:R100)&lt;=0,"",SUM('Semi FCF'!O100:R100)/SUM('Semi Rev'!O100:R100)),"")</f>
        <v/>
      </c>
    </row>
    <row r="1380">
      <c r="A1380" s="19">
        <f>'Semi Rev'!$A101</f>
        <v/>
      </c>
      <c r="B1380" s="19">
        <f>'Semi Rev'!$B101</f>
        <v/>
      </c>
      <c r="C1380" s="37">
        <f>IFERROR(IF(SUM('Semi Rev'!D101:G101)&lt;=0,"",SUM('Semi FCF'!D101:G101)/SUM('Semi Rev'!D101:G101)),"")</f>
        <v/>
      </c>
      <c r="D1380" s="37">
        <f>IFERROR(IF(SUM('Semi Rev'!E101:H101)&lt;=0,"",SUM('Semi FCF'!E101:H101)/SUM('Semi Rev'!E101:H101)),"")</f>
        <v/>
      </c>
      <c r="E1380" s="37">
        <f>IFERROR(IF(SUM('Semi Rev'!F101:I101)&lt;=0,"",SUM('Semi FCF'!F101:I101)/SUM('Semi Rev'!F101:I101)),"")</f>
        <v/>
      </c>
      <c r="F1380" s="37">
        <f>IFERROR(IF(SUM('Semi Rev'!G101:J101)&lt;=0,"",SUM('Semi FCF'!G101:J101)/SUM('Semi Rev'!G101:J101)),"")</f>
        <v/>
      </c>
      <c r="G1380" s="37">
        <f>IFERROR(IF(SUM('Semi Rev'!H101:K101)&lt;=0,"",SUM('Semi FCF'!H101:K101)/SUM('Semi Rev'!H101:K101)),"")</f>
        <v/>
      </c>
      <c r="H1380" s="37">
        <f>IFERROR(IF(SUM('Semi Rev'!I101:L101)&lt;=0,"",SUM('Semi FCF'!I101:L101)/SUM('Semi Rev'!I101:L101)),"")</f>
        <v/>
      </c>
      <c r="I1380" s="37">
        <f>IFERROR(IF(SUM('Semi Rev'!J101:M101)&lt;=0,"",SUM('Semi FCF'!J101:M101)/SUM('Semi Rev'!J101:M101)),"")</f>
        <v/>
      </c>
      <c r="J1380" s="37">
        <f>IFERROR(IF(SUM('Semi Rev'!K101:N101)&lt;=0,"",SUM('Semi FCF'!K101:N101)/SUM('Semi Rev'!K101:N101)),"")</f>
        <v/>
      </c>
      <c r="K1380" s="37">
        <f>IFERROR(IF(SUM('Semi Rev'!L101:O101)&lt;=0,"",SUM('Semi FCF'!L101:O101)/SUM('Semi Rev'!L101:O101)),"")</f>
        <v/>
      </c>
      <c r="L1380" s="37">
        <f>IFERROR(IF(SUM('Semi Rev'!M101:P101)&lt;=0,"",SUM('Semi FCF'!M101:P101)/SUM('Semi Rev'!M101:P101)),"")</f>
        <v/>
      </c>
      <c r="M1380" s="38">
        <f>IFERROR(IF(SUM('Semi Rev'!N101:Q101)&lt;=0,"",SUM('Semi FCF'!N101:Q101)/SUM('Semi Rev'!N101:Q101)),"")</f>
        <v/>
      </c>
      <c r="N1380" s="38">
        <f>IFERROR(IF(SUM('Semi Rev'!O101:R101)&lt;=0,"",SUM('Semi FCF'!O101:R101)/SUM('Semi Rev'!O101:R101)),"")</f>
        <v/>
      </c>
    </row>
    <row r="1381">
      <c r="A1381" s="19">
        <f>'Semi Rev'!$A102</f>
        <v/>
      </c>
      <c r="B1381" s="19">
        <f>'Semi Rev'!$B102</f>
        <v/>
      </c>
      <c r="C1381" s="37">
        <f>IFERROR(IF(SUM('Semi Rev'!D102:G102)&lt;=0,"",SUM('Semi FCF'!D102:G102)/SUM('Semi Rev'!D102:G102)),"")</f>
        <v/>
      </c>
      <c r="D1381" s="37">
        <f>IFERROR(IF(SUM('Semi Rev'!E102:H102)&lt;=0,"",SUM('Semi FCF'!E102:H102)/SUM('Semi Rev'!E102:H102)),"")</f>
        <v/>
      </c>
      <c r="E1381" s="37">
        <f>IFERROR(IF(SUM('Semi Rev'!F102:I102)&lt;=0,"",SUM('Semi FCF'!F102:I102)/SUM('Semi Rev'!F102:I102)),"")</f>
        <v/>
      </c>
      <c r="F1381" s="37">
        <f>IFERROR(IF(SUM('Semi Rev'!G102:J102)&lt;=0,"",SUM('Semi FCF'!G102:J102)/SUM('Semi Rev'!G102:J102)),"")</f>
        <v/>
      </c>
      <c r="G1381" s="37">
        <f>IFERROR(IF(SUM('Semi Rev'!H102:K102)&lt;=0,"",SUM('Semi FCF'!H102:K102)/SUM('Semi Rev'!H102:K102)),"")</f>
        <v/>
      </c>
      <c r="H1381" s="37">
        <f>IFERROR(IF(SUM('Semi Rev'!I102:L102)&lt;=0,"",SUM('Semi FCF'!I102:L102)/SUM('Semi Rev'!I102:L102)),"")</f>
        <v/>
      </c>
      <c r="I1381" s="37">
        <f>IFERROR(IF(SUM('Semi Rev'!J102:M102)&lt;=0,"",SUM('Semi FCF'!J102:M102)/SUM('Semi Rev'!J102:M102)),"")</f>
        <v/>
      </c>
      <c r="J1381" s="37">
        <f>IFERROR(IF(SUM('Semi Rev'!K102:N102)&lt;=0,"",SUM('Semi FCF'!K102:N102)/SUM('Semi Rev'!K102:N102)),"")</f>
        <v/>
      </c>
      <c r="K1381" s="37">
        <f>IFERROR(IF(SUM('Semi Rev'!L102:O102)&lt;=0,"",SUM('Semi FCF'!L102:O102)/SUM('Semi Rev'!L102:O102)),"")</f>
        <v/>
      </c>
      <c r="L1381" s="37">
        <f>IFERROR(IF(SUM('Semi Rev'!M102:P102)&lt;=0,"",SUM('Semi FCF'!M102:P102)/SUM('Semi Rev'!M102:P102)),"")</f>
        <v/>
      </c>
      <c r="M1381" s="38">
        <f>IFERROR(IF(SUM('Semi Rev'!N102:Q102)&lt;=0,"",SUM('Semi FCF'!N102:Q102)/SUM('Semi Rev'!N102:Q102)),"")</f>
        <v/>
      </c>
      <c r="N1381" s="38">
        <f>IFERROR(IF(SUM('Semi Rev'!O102:R102)&lt;=0,"",SUM('Semi FCF'!O102:R102)/SUM('Semi Rev'!O102:R102)),"")</f>
        <v/>
      </c>
    </row>
    <row r="1382">
      <c r="A1382" s="19">
        <f>'Semi Rev'!$A103</f>
        <v/>
      </c>
      <c r="B1382" s="19">
        <f>'Semi Rev'!$B103</f>
        <v/>
      </c>
      <c r="C1382" s="37">
        <f>IFERROR(IF(SUM('Semi Rev'!D103:G103)&lt;=0,"",SUM('Semi FCF'!D103:G103)/SUM('Semi Rev'!D103:G103)),"")</f>
        <v/>
      </c>
      <c r="D1382" s="37">
        <f>IFERROR(IF(SUM('Semi Rev'!E103:H103)&lt;=0,"",SUM('Semi FCF'!E103:H103)/SUM('Semi Rev'!E103:H103)),"")</f>
        <v/>
      </c>
      <c r="E1382" s="37">
        <f>IFERROR(IF(SUM('Semi Rev'!F103:I103)&lt;=0,"",SUM('Semi FCF'!F103:I103)/SUM('Semi Rev'!F103:I103)),"")</f>
        <v/>
      </c>
      <c r="F1382" s="37">
        <f>IFERROR(IF(SUM('Semi Rev'!G103:J103)&lt;=0,"",SUM('Semi FCF'!G103:J103)/SUM('Semi Rev'!G103:J103)),"")</f>
        <v/>
      </c>
      <c r="G1382" s="37">
        <f>IFERROR(IF(SUM('Semi Rev'!H103:K103)&lt;=0,"",SUM('Semi FCF'!H103:K103)/SUM('Semi Rev'!H103:K103)),"")</f>
        <v/>
      </c>
      <c r="H1382" s="37">
        <f>IFERROR(IF(SUM('Semi Rev'!I103:L103)&lt;=0,"",SUM('Semi FCF'!I103:L103)/SUM('Semi Rev'!I103:L103)),"")</f>
        <v/>
      </c>
      <c r="I1382" s="37">
        <f>IFERROR(IF(SUM('Semi Rev'!J103:M103)&lt;=0,"",SUM('Semi FCF'!J103:M103)/SUM('Semi Rev'!J103:M103)),"")</f>
        <v/>
      </c>
      <c r="J1382" s="37">
        <f>IFERROR(IF(SUM('Semi Rev'!K103:N103)&lt;=0,"",SUM('Semi FCF'!K103:N103)/SUM('Semi Rev'!K103:N103)),"")</f>
        <v/>
      </c>
      <c r="K1382" s="37">
        <f>IFERROR(IF(SUM('Semi Rev'!L103:O103)&lt;=0,"",SUM('Semi FCF'!L103:O103)/SUM('Semi Rev'!L103:O103)),"")</f>
        <v/>
      </c>
      <c r="L1382" s="37">
        <f>IFERROR(IF(SUM('Semi Rev'!M103:P103)&lt;=0,"",SUM('Semi FCF'!M103:P103)/SUM('Semi Rev'!M103:P103)),"")</f>
        <v/>
      </c>
      <c r="M1382" s="38">
        <f>IFERROR(IF(SUM('Semi Rev'!N103:Q103)&lt;=0,"",SUM('Semi FCF'!N103:Q103)/SUM('Semi Rev'!N103:Q103)),"")</f>
        <v/>
      </c>
      <c r="N1382" s="38">
        <f>IFERROR(IF(SUM('Semi Rev'!O103:R103)&lt;=0,"",SUM('Semi FCF'!O103:R103)/SUM('Semi Rev'!O103:R103)),"")</f>
        <v/>
      </c>
    </row>
    <row r="1383">
      <c r="A1383" s="19">
        <f>'Semi Rev'!$A104</f>
        <v/>
      </c>
      <c r="B1383" s="19">
        <f>'Semi Rev'!$B104</f>
        <v/>
      </c>
      <c r="C1383" s="37">
        <f>IFERROR(IF(SUM('Semi Rev'!D104:G104)&lt;=0,"",SUM('Semi FCF'!D104:G104)/SUM('Semi Rev'!D104:G104)),"")</f>
        <v/>
      </c>
      <c r="D1383" s="37">
        <f>IFERROR(IF(SUM('Semi Rev'!E104:H104)&lt;=0,"",SUM('Semi FCF'!E104:H104)/SUM('Semi Rev'!E104:H104)),"")</f>
        <v/>
      </c>
      <c r="E1383" s="37">
        <f>IFERROR(IF(SUM('Semi Rev'!F104:I104)&lt;=0,"",SUM('Semi FCF'!F104:I104)/SUM('Semi Rev'!F104:I104)),"")</f>
        <v/>
      </c>
      <c r="F1383" s="37">
        <f>IFERROR(IF(SUM('Semi Rev'!G104:J104)&lt;=0,"",SUM('Semi FCF'!G104:J104)/SUM('Semi Rev'!G104:J104)),"")</f>
        <v/>
      </c>
      <c r="G1383" s="37">
        <f>IFERROR(IF(SUM('Semi Rev'!H104:K104)&lt;=0,"",SUM('Semi FCF'!H104:K104)/SUM('Semi Rev'!H104:K104)),"")</f>
        <v/>
      </c>
      <c r="H1383" s="37">
        <f>IFERROR(IF(SUM('Semi Rev'!I104:L104)&lt;=0,"",SUM('Semi FCF'!I104:L104)/SUM('Semi Rev'!I104:L104)),"")</f>
        <v/>
      </c>
      <c r="I1383" s="37">
        <f>IFERROR(IF(SUM('Semi Rev'!J104:M104)&lt;=0,"",SUM('Semi FCF'!J104:M104)/SUM('Semi Rev'!J104:M104)),"")</f>
        <v/>
      </c>
      <c r="J1383" s="37">
        <f>IFERROR(IF(SUM('Semi Rev'!K104:N104)&lt;=0,"",SUM('Semi FCF'!K104:N104)/SUM('Semi Rev'!K104:N104)),"")</f>
        <v/>
      </c>
      <c r="K1383" s="37">
        <f>IFERROR(IF(SUM('Semi Rev'!L104:O104)&lt;=0,"",SUM('Semi FCF'!L104:O104)/SUM('Semi Rev'!L104:O104)),"")</f>
        <v/>
      </c>
      <c r="L1383" s="37">
        <f>IFERROR(IF(SUM('Semi Rev'!M104:P104)&lt;=0,"",SUM('Semi FCF'!M104:P104)/SUM('Semi Rev'!M104:P104)),"")</f>
        <v/>
      </c>
      <c r="M1383" s="38">
        <f>IFERROR(IF(SUM('Semi Rev'!N104:Q104)&lt;=0,"",SUM('Semi FCF'!N104:Q104)/SUM('Semi Rev'!N104:Q104)),"")</f>
        <v/>
      </c>
      <c r="N1383" s="38">
        <f>IFERROR(IF(SUM('Semi Rev'!O104:R104)&lt;=0,"",SUM('Semi FCF'!O104:R104)/SUM('Semi Rev'!O104:R104)),"")</f>
        <v/>
      </c>
    </row>
    <row r="1384">
      <c r="A1384" s="19">
        <f>'Semi Rev'!$A105</f>
        <v/>
      </c>
      <c r="B1384" s="19">
        <f>'Semi Rev'!$B105</f>
        <v/>
      </c>
      <c r="C1384" s="37">
        <f>IFERROR(IF(SUM('Semi Rev'!D105:G105)&lt;=0,"",SUM('Semi FCF'!D105:G105)/SUM('Semi Rev'!D105:G105)),"")</f>
        <v/>
      </c>
      <c r="D1384" s="37">
        <f>IFERROR(IF(SUM('Semi Rev'!E105:H105)&lt;=0,"",SUM('Semi FCF'!E105:H105)/SUM('Semi Rev'!E105:H105)),"")</f>
        <v/>
      </c>
      <c r="E1384" s="37">
        <f>IFERROR(IF(SUM('Semi Rev'!F105:I105)&lt;=0,"",SUM('Semi FCF'!F105:I105)/SUM('Semi Rev'!F105:I105)),"")</f>
        <v/>
      </c>
      <c r="F1384" s="37">
        <f>IFERROR(IF(SUM('Semi Rev'!G105:J105)&lt;=0,"",SUM('Semi FCF'!G105:J105)/SUM('Semi Rev'!G105:J105)),"")</f>
        <v/>
      </c>
      <c r="G1384" s="37">
        <f>IFERROR(IF(SUM('Semi Rev'!H105:K105)&lt;=0,"",SUM('Semi FCF'!H105:K105)/SUM('Semi Rev'!H105:K105)),"")</f>
        <v/>
      </c>
      <c r="H1384" s="37">
        <f>IFERROR(IF(SUM('Semi Rev'!I105:L105)&lt;=0,"",SUM('Semi FCF'!I105:L105)/SUM('Semi Rev'!I105:L105)),"")</f>
        <v/>
      </c>
      <c r="I1384" s="37">
        <f>IFERROR(IF(SUM('Semi Rev'!J105:M105)&lt;=0,"",SUM('Semi FCF'!J105:M105)/SUM('Semi Rev'!J105:M105)),"")</f>
        <v/>
      </c>
      <c r="J1384" s="37">
        <f>IFERROR(IF(SUM('Semi Rev'!K105:N105)&lt;=0,"",SUM('Semi FCF'!K105:N105)/SUM('Semi Rev'!K105:N105)),"")</f>
        <v/>
      </c>
      <c r="K1384" s="37">
        <f>IFERROR(IF(SUM('Semi Rev'!L105:O105)&lt;=0,"",SUM('Semi FCF'!L105:O105)/SUM('Semi Rev'!L105:O105)),"")</f>
        <v/>
      </c>
      <c r="L1384" s="37">
        <f>IFERROR(IF(SUM('Semi Rev'!M105:P105)&lt;=0,"",SUM('Semi FCF'!M105:P105)/SUM('Semi Rev'!M105:P105)),"")</f>
        <v/>
      </c>
      <c r="M1384" s="38">
        <f>IFERROR(IF(SUM('Semi Rev'!N105:Q105)&lt;=0,"",SUM('Semi FCF'!N105:Q105)/SUM('Semi Rev'!N105:Q105)),"")</f>
        <v/>
      </c>
      <c r="N1384" s="38">
        <f>IFERROR(IF(SUM('Semi Rev'!O105:R105)&lt;=0,"",SUM('Semi FCF'!O105:R105)/SUM('Semi Rev'!O105:R105)),"")</f>
        <v/>
      </c>
    </row>
    <row r="1385">
      <c r="A1385" s="19">
        <f>'Semi Rev'!$A106</f>
        <v/>
      </c>
      <c r="B1385" s="19">
        <f>'Semi Rev'!$B106</f>
        <v/>
      </c>
      <c r="C1385" s="37">
        <f>IFERROR(IF(SUM('Semi Rev'!D106:G106)&lt;=0,"",SUM('Semi FCF'!D106:G106)/SUM('Semi Rev'!D106:G106)),"")</f>
        <v/>
      </c>
      <c r="D1385" s="37">
        <f>IFERROR(IF(SUM('Semi Rev'!E106:H106)&lt;=0,"",SUM('Semi FCF'!E106:H106)/SUM('Semi Rev'!E106:H106)),"")</f>
        <v/>
      </c>
      <c r="E1385" s="37">
        <f>IFERROR(IF(SUM('Semi Rev'!F106:I106)&lt;=0,"",SUM('Semi FCF'!F106:I106)/SUM('Semi Rev'!F106:I106)),"")</f>
        <v/>
      </c>
      <c r="F1385" s="37">
        <f>IFERROR(IF(SUM('Semi Rev'!G106:J106)&lt;=0,"",SUM('Semi FCF'!G106:J106)/SUM('Semi Rev'!G106:J106)),"")</f>
        <v/>
      </c>
      <c r="G1385" s="37">
        <f>IFERROR(IF(SUM('Semi Rev'!H106:K106)&lt;=0,"",SUM('Semi FCF'!H106:K106)/SUM('Semi Rev'!H106:K106)),"")</f>
        <v/>
      </c>
      <c r="H1385" s="37">
        <f>IFERROR(IF(SUM('Semi Rev'!I106:L106)&lt;=0,"",SUM('Semi FCF'!I106:L106)/SUM('Semi Rev'!I106:L106)),"")</f>
        <v/>
      </c>
      <c r="I1385" s="37">
        <f>IFERROR(IF(SUM('Semi Rev'!J106:M106)&lt;=0,"",SUM('Semi FCF'!J106:M106)/SUM('Semi Rev'!J106:M106)),"")</f>
        <v/>
      </c>
      <c r="J1385" s="37">
        <f>IFERROR(IF(SUM('Semi Rev'!K106:N106)&lt;=0,"",SUM('Semi FCF'!K106:N106)/SUM('Semi Rev'!K106:N106)),"")</f>
        <v/>
      </c>
      <c r="K1385" s="37">
        <f>IFERROR(IF(SUM('Semi Rev'!L106:O106)&lt;=0,"",SUM('Semi FCF'!L106:O106)/SUM('Semi Rev'!L106:O106)),"")</f>
        <v/>
      </c>
      <c r="L1385" s="37">
        <f>IFERROR(IF(SUM('Semi Rev'!M106:P106)&lt;=0,"",SUM('Semi FCF'!M106:P106)/SUM('Semi Rev'!M106:P106)),"")</f>
        <v/>
      </c>
      <c r="M1385" s="38">
        <f>IFERROR(IF(SUM('Semi Rev'!N106:Q106)&lt;=0,"",SUM('Semi FCF'!N106:Q106)/SUM('Semi Rev'!N106:Q106)),"")</f>
        <v/>
      </c>
      <c r="N1385" s="38">
        <f>IFERROR(IF(SUM('Semi Rev'!O106:R106)&lt;=0,"",SUM('Semi FCF'!O106:R106)/SUM('Semi Rev'!O106:R106)),"")</f>
        <v/>
      </c>
    </row>
    <row r="1386">
      <c r="A1386" s="19">
        <f>'Semi Rev'!$A107</f>
        <v/>
      </c>
      <c r="B1386" s="19">
        <f>'Semi Rev'!$B107</f>
        <v/>
      </c>
      <c r="C1386" s="37">
        <f>IFERROR(IF(SUM('Semi Rev'!D107:G107)&lt;=0,"",SUM('Semi FCF'!D107:G107)/SUM('Semi Rev'!D107:G107)),"")</f>
        <v/>
      </c>
      <c r="D1386" s="37">
        <f>IFERROR(IF(SUM('Semi Rev'!E107:H107)&lt;=0,"",SUM('Semi FCF'!E107:H107)/SUM('Semi Rev'!E107:H107)),"")</f>
        <v/>
      </c>
      <c r="E1386" s="37">
        <f>IFERROR(IF(SUM('Semi Rev'!F107:I107)&lt;=0,"",SUM('Semi FCF'!F107:I107)/SUM('Semi Rev'!F107:I107)),"")</f>
        <v/>
      </c>
      <c r="F1386" s="37">
        <f>IFERROR(IF(SUM('Semi Rev'!G107:J107)&lt;=0,"",SUM('Semi FCF'!G107:J107)/SUM('Semi Rev'!G107:J107)),"")</f>
        <v/>
      </c>
      <c r="G1386" s="37">
        <f>IFERROR(IF(SUM('Semi Rev'!H107:K107)&lt;=0,"",SUM('Semi FCF'!H107:K107)/SUM('Semi Rev'!H107:K107)),"")</f>
        <v/>
      </c>
      <c r="H1386" s="37">
        <f>IFERROR(IF(SUM('Semi Rev'!I107:L107)&lt;=0,"",SUM('Semi FCF'!I107:L107)/SUM('Semi Rev'!I107:L107)),"")</f>
        <v/>
      </c>
      <c r="I1386" s="37">
        <f>IFERROR(IF(SUM('Semi Rev'!J107:M107)&lt;=0,"",SUM('Semi FCF'!J107:M107)/SUM('Semi Rev'!J107:M107)),"")</f>
        <v/>
      </c>
      <c r="J1386" s="37">
        <f>IFERROR(IF(SUM('Semi Rev'!K107:N107)&lt;=0,"",SUM('Semi FCF'!K107:N107)/SUM('Semi Rev'!K107:N107)),"")</f>
        <v/>
      </c>
      <c r="K1386" s="37">
        <f>IFERROR(IF(SUM('Semi Rev'!L107:O107)&lt;=0,"",SUM('Semi FCF'!L107:O107)/SUM('Semi Rev'!L107:O107)),"")</f>
        <v/>
      </c>
      <c r="L1386" s="37">
        <f>IFERROR(IF(SUM('Semi Rev'!M107:P107)&lt;=0,"",SUM('Semi FCF'!M107:P107)/SUM('Semi Rev'!M107:P107)),"")</f>
        <v/>
      </c>
      <c r="M1386" s="38">
        <f>IFERROR(IF(SUM('Semi Rev'!N107:Q107)&lt;=0,"",SUM('Semi FCF'!N107:Q107)/SUM('Semi Rev'!N107:Q107)),"")</f>
        <v/>
      </c>
      <c r="N1386" s="38">
        <f>IFERROR(IF(SUM('Semi Rev'!O107:R107)&lt;=0,"",SUM('Semi FCF'!O107:R107)/SUM('Semi Rev'!O107:R107)),"")</f>
        <v/>
      </c>
    </row>
    <row r="1387">
      <c r="A1387" s="19">
        <f>'Semi Rev'!$A108</f>
        <v/>
      </c>
      <c r="B1387" s="19">
        <f>'Semi Rev'!$B108</f>
        <v/>
      </c>
      <c r="C1387" s="37">
        <f>IFERROR(IF(SUM('Semi Rev'!D108:G108)&lt;=0,"",SUM('Semi FCF'!D108:G108)/SUM('Semi Rev'!D108:G108)),"")</f>
        <v/>
      </c>
      <c r="D1387" s="37">
        <f>IFERROR(IF(SUM('Semi Rev'!E108:H108)&lt;=0,"",SUM('Semi FCF'!E108:H108)/SUM('Semi Rev'!E108:H108)),"")</f>
        <v/>
      </c>
      <c r="E1387" s="37">
        <f>IFERROR(IF(SUM('Semi Rev'!F108:I108)&lt;=0,"",SUM('Semi FCF'!F108:I108)/SUM('Semi Rev'!F108:I108)),"")</f>
        <v/>
      </c>
      <c r="F1387" s="37">
        <f>IFERROR(IF(SUM('Semi Rev'!G108:J108)&lt;=0,"",SUM('Semi FCF'!G108:J108)/SUM('Semi Rev'!G108:J108)),"")</f>
        <v/>
      </c>
      <c r="G1387" s="37">
        <f>IFERROR(IF(SUM('Semi Rev'!H108:K108)&lt;=0,"",SUM('Semi FCF'!H108:K108)/SUM('Semi Rev'!H108:K108)),"")</f>
        <v/>
      </c>
      <c r="H1387" s="37">
        <f>IFERROR(IF(SUM('Semi Rev'!I108:L108)&lt;=0,"",SUM('Semi FCF'!I108:L108)/SUM('Semi Rev'!I108:L108)),"")</f>
        <v/>
      </c>
      <c r="I1387" s="37">
        <f>IFERROR(IF(SUM('Semi Rev'!J108:M108)&lt;=0,"",SUM('Semi FCF'!J108:M108)/SUM('Semi Rev'!J108:M108)),"")</f>
        <v/>
      </c>
      <c r="J1387" s="37">
        <f>IFERROR(IF(SUM('Semi Rev'!K108:N108)&lt;=0,"",SUM('Semi FCF'!K108:N108)/SUM('Semi Rev'!K108:N108)),"")</f>
        <v/>
      </c>
      <c r="K1387" s="37">
        <f>IFERROR(IF(SUM('Semi Rev'!L108:O108)&lt;=0,"",SUM('Semi FCF'!L108:O108)/SUM('Semi Rev'!L108:O108)),"")</f>
        <v/>
      </c>
      <c r="L1387" s="37">
        <f>IFERROR(IF(SUM('Semi Rev'!M108:P108)&lt;=0,"",SUM('Semi FCF'!M108:P108)/SUM('Semi Rev'!M108:P108)),"")</f>
        <v/>
      </c>
      <c r="M1387" s="38">
        <f>IFERROR(IF(SUM('Semi Rev'!N108:Q108)&lt;=0,"",SUM('Semi FCF'!N108:Q108)/SUM('Semi Rev'!N108:Q108)),"")</f>
        <v/>
      </c>
      <c r="N1387" s="38">
        <f>IFERROR(IF(SUM('Semi Rev'!O108:R108)&lt;=0,"",SUM('Semi FCF'!O108:R108)/SUM('Semi Rev'!O108:R108)),"")</f>
        <v/>
      </c>
    </row>
    <row r="1388">
      <c r="A1388" s="19">
        <f>'Semi Rev'!$A109</f>
        <v/>
      </c>
      <c r="B1388" s="19">
        <f>'Semi Rev'!$B109</f>
        <v/>
      </c>
      <c r="C1388" s="37">
        <f>IFERROR(IF(SUM('Semi Rev'!D109:G109)&lt;=0,"",SUM('Semi FCF'!D109:G109)/SUM('Semi Rev'!D109:G109)),"")</f>
        <v/>
      </c>
      <c r="D1388" s="37">
        <f>IFERROR(IF(SUM('Semi Rev'!E109:H109)&lt;=0,"",SUM('Semi FCF'!E109:H109)/SUM('Semi Rev'!E109:H109)),"")</f>
        <v/>
      </c>
      <c r="E1388" s="37">
        <f>IFERROR(IF(SUM('Semi Rev'!F109:I109)&lt;=0,"",SUM('Semi FCF'!F109:I109)/SUM('Semi Rev'!F109:I109)),"")</f>
        <v/>
      </c>
      <c r="F1388" s="37">
        <f>IFERROR(IF(SUM('Semi Rev'!G109:J109)&lt;=0,"",SUM('Semi FCF'!G109:J109)/SUM('Semi Rev'!G109:J109)),"")</f>
        <v/>
      </c>
      <c r="G1388" s="37">
        <f>IFERROR(IF(SUM('Semi Rev'!H109:K109)&lt;=0,"",SUM('Semi FCF'!H109:K109)/SUM('Semi Rev'!H109:K109)),"")</f>
        <v/>
      </c>
      <c r="H1388" s="37">
        <f>IFERROR(IF(SUM('Semi Rev'!I109:L109)&lt;=0,"",SUM('Semi FCF'!I109:L109)/SUM('Semi Rev'!I109:L109)),"")</f>
        <v/>
      </c>
      <c r="I1388" s="37">
        <f>IFERROR(IF(SUM('Semi Rev'!J109:M109)&lt;=0,"",SUM('Semi FCF'!J109:M109)/SUM('Semi Rev'!J109:M109)),"")</f>
        <v/>
      </c>
      <c r="J1388" s="37">
        <f>IFERROR(IF(SUM('Semi Rev'!K109:N109)&lt;=0,"",SUM('Semi FCF'!K109:N109)/SUM('Semi Rev'!K109:N109)),"")</f>
        <v/>
      </c>
      <c r="K1388" s="37">
        <f>IFERROR(IF(SUM('Semi Rev'!L109:O109)&lt;=0,"",SUM('Semi FCF'!L109:O109)/SUM('Semi Rev'!L109:O109)),"")</f>
        <v/>
      </c>
      <c r="L1388" s="37">
        <f>IFERROR(IF(SUM('Semi Rev'!M109:P109)&lt;=0,"",SUM('Semi FCF'!M109:P109)/SUM('Semi Rev'!M109:P109)),"")</f>
        <v/>
      </c>
      <c r="M1388" s="38">
        <f>IFERROR(IF(SUM('Semi Rev'!N109:Q109)&lt;=0,"",SUM('Semi FCF'!N109:Q109)/SUM('Semi Rev'!N109:Q109)),"")</f>
        <v/>
      </c>
      <c r="N1388" s="38">
        <f>IFERROR(IF(SUM('Semi Rev'!O109:R109)&lt;=0,"",SUM('Semi FCF'!O109:R109)/SUM('Semi Rev'!O109:R109)),"")</f>
        <v/>
      </c>
    </row>
    <row r="1389">
      <c r="A1389" s="19">
        <f>'Semi Rev'!$A110</f>
        <v/>
      </c>
      <c r="B1389" s="19">
        <f>'Semi Rev'!$B110</f>
        <v/>
      </c>
      <c r="C1389" s="37">
        <f>IFERROR(IF(SUM('Semi Rev'!D110:G110)&lt;=0,"",SUM('Semi FCF'!D110:G110)/SUM('Semi Rev'!D110:G110)),"")</f>
        <v/>
      </c>
      <c r="D1389" s="37">
        <f>IFERROR(IF(SUM('Semi Rev'!E110:H110)&lt;=0,"",SUM('Semi FCF'!E110:H110)/SUM('Semi Rev'!E110:H110)),"")</f>
        <v/>
      </c>
      <c r="E1389" s="37">
        <f>IFERROR(IF(SUM('Semi Rev'!F110:I110)&lt;=0,"",SUM('Semi FCF'!F110:I110)/SUM('Semi Rev'!F110:I110)),"")</f>
        <v/>
      </c>
      <c r="F1389" s="37">
        <f>IFERROR(IF(SUM('Semi Rev'!G110:J110)&lt;=0,"",SUM('Semi FCF'!G110:J110)/SUM('Semi Rev'!G110:J110)),"")</f>
        <v/>
      </c>
      <c r="G1389" s="37">
        <f>IFERROR(IF(SUM('Semi Rev'!H110:K110)&lt;=0,"",SUM('Semi FCF'!H110:K110)/SUM('Semi Rev'!H110:K110)),"")</f>
        <v/>
      </c>
      <c r="H1389" s="37">
        <f>IFERROR(IF(SUM('Semi Rev'!I110:L110)&lt;=0,"",SUM('Semi FCF'!I110:L110)/SUM('Semi Rev'!I110:L110)),"")</f>
        <v/>
      </c>
      <c r="I1389" s="37">
        <f>IFERROR(IF(SUM('Semi Rev'!J110:M110)&lt;=0,"",SUM('Semi FCF'!J110:M110)/SUM('Semi Rev'!J110:M110)),"")</f>
        <v/>
      </c>
      <c r="J1389" s="37">
        <f>IFERROR(IF(SUM('Semi Rev'!K110:N110)&lt;=0,"",SUM('Semi FCF'!K110:N110)/SUM('Semi Rev'!K110:N110)),"")</f>
        <v/>
      </c>
      <c r="K1389" s="37">
        <f>IFERROR(IF(SUM('Semi Rev'!L110:O110)&lt;=0,"",SUM('Semi FCF'!L110:O110)/SUM('Semi Rev'!L110:O110)),"")</f>
        <v/>
      </c>
      <c r="L1389" s="37">
        <f>IFERROR(IF(SUM('Semi Rev'!M110:P110)&lt;=0,"",SUM('Semi FCF'!M110:P110)/SUM('Semi Rev'!M110:P110)),"")</f>
        <v/>
      </c>
      <c r="M1389" s="38">
        <f>IFERROR(IF(SUM('Semi Rev'!N110:Q110)&lt;=0,"",SUM('Semi FCF'!N110:Q110)/SUM('Semi Rev'!N110:Q110)),"")</f>
        <v/>
      </c>
      <c r="N1389" s="38">
        <f>IFERROR(IF(SUM('Semi Rev'!O110:R110)&lt;=0,"",SUM('Semi FCF'!O110:R110)/SUM('Semi Rev'!O110:R110)),"")</f>
        <v/>
      </c>
    </row>
    <row r="1390">
      <c r="A1390" s="19">
        <f>'Semi Rev'!$A111</f>
        <v/>
      </c>
      <c r="B1390" s="19">
        <f>'Semi Rev'!$B111</f>
        <v/>
      </c>
      <c r="C1390" s="37">
        <f>IFERROR(IF(SUM('Semi Rev'!D111:G111)&lt;=0,"",SUM('Semi FCF'!D111:G111)/SUM('Semi Rev'!D111:G111)),"")</f>
        <v/>
      </c>
      <c r="D1390" s="37">
        <f>IFERROR(IF(SUM('Semi Rev'!E111:H111)&lt;=0,"",SUM('Semi FCF'!E111:H111)/SUM('Semi Rev'!E111:H111)),"")</f>
        <v/>
      </c>
      <c r="E1390" s="37">
        <f>IFERROR(IF(SUM('Semi Rev'!F111:I111)&lt;=0,"",SUM('Semi FCF'!F111:I111)/SUM('Semi Rev'!F111:I111)),"")</f>
        <v/>
      </c>
      <c r="F1390" s="37">
        <f>IFERROR(IF(SUM('Semi Rev'!G111:J111)&lt;=0,"",SUM('Semi FCF'!G111:J111)/SUM('Semi Rev'!G111:J111)),"")</f>
        <v/>
      </c>
      <c r="G1390" s="37">
        <f>IFERROR(IF(SUM('Semi Rev'!H111:K111)&lt;=0,"",SUM('Semi FCF'!H111:K111)/SUM('Semi Rev'!H111:K111)),"")</f>
        <v/>
      </c>
      <c r="H1390" s="37">
        <f>IFERROR(IF(SUM('Semi Rev'!I111:L111)&lt;=0,"",SUM('Semi FCF'!I111:L111)/SUM('Semi Rev'!I111:L111)),"")</f>
        <v/>
      </c>
      <c r="I1390" s="37">
        <f>IFERROR(IF(SUM('Semi Rev'!J111:M111)&lt;=0,"",SUM('Semi FCF'!J111:M111)/SUM('Semi Rev'!J111:M111)),"")</f>
        <v/>
      </c>
      <c r="J1390" s="37">
        <f>IFERROR(IF(SUM('Semi Rev'!K111:N111)&lt;=0,"",SUM('Semi FCF'!K111:N111)/SUM('Semi Rev'!K111:N111)),"")</f>
        <v/>
      </c>
      <c r="K1390" s="37">
        <f>IFERROR(IF(SUM('Semi Rev'!L111:O111)&lt;=0,"",SUM('Semi FCF'!L111:O111)/SUM('Semi Rev'!L111:O111)),"")</f>
        <v/>
      </c>
      <c r="L1390" s="37">
        <f>IFERROR(IF(SUM('Semi Rev'!M111:P111)&lt;=0,"",SUM('Semi FCF'!M111:P111)/SUM('Semi Rev'!M111:P111)),"")</f>
        <v/>
      </c>
      <c r="M1390" s="38">
        <f>IFERROR(IF(SUM('Semi Rev'!N111:Q111)&lt;=0,"",SUM('Semi FCF'!N111:Q111)/SUM('Semi Rev'!N111:Q111)),"")</f>
        <v/>
      </c>
      <c r="N1390" s="38">
        <f>IFERROR(IF(SUM('Semi Rev'!O111:R111)&lt;=0,"",SUM('Semi FCF'!O111:R111)/SUM('Semi Rev'!O111:R111)),"")</f>
        <v/>
      </c>
    </row>
    <row r="1391">
      <c r="A1391" s="19">
        <f>'Semi Rev'!$A112</f>
        <v/>
      </c>
      <c r="B1391" s="19">
        <f>'Semi Rev'!$B112</f>
        <v/>
      </c>
      <c r="C1391" s="37">
        <f>IFERROR(IF(SUM('Semi Rev'!D112:G112)&lt;=0,"",SUM('Semi FCF'!D112:G112)/SUM('Semi Rev'!D112:G112)),"")</f>
        <v/>
      </c>
      <c r="D1391" s="37">
        <f>IFERROR(IF(SUM('Semi Rev'!E112:H112)&lt;=0,"",SUM('Semi FCF'!E112:H112)/SUM('Semi Rev'!E112:H112)),"")</f>
        <v/>
      </c>
      <c r="E1391" s="37">
        <f>IFERROR(IF(SUM('Semi Rev'!F112:I112)&lt;=0,"",SUM('Semi FCF'!F112:I112)/SUM('Semi Rev'!F112:I112)),"")</f>
        <v/>
      </c>
      <c r="F1391" s="37">
        <f>IFERROR(IF(SUM('Semi Rev'!G112:J112)&lt;=0,"",SUM('Semi FCF'!G112:J112)/SUM('Semi Rev'!G112:J112)),"")</f>
        <v/>
      </c>
      <c r="G1391" s="37">
        <f>IFERROR(IF(SUM('Semi Rev'!H112:K112)&lt;=0,"",SUM('Semi FCF'!H112:K112)/SUM('Semi Rev'!H112:K112)),"")</f>
        <v/>
      </c>
      <c r="H1391" s="37">
        <f>IFERROR(IF(SUM('Semi Rev'!I112:L112)&lt;=0,"",SUM('Semi FCF'!I112:L112)/SUM('Semi Rev'!I112:L112)),"")</f>
        <v/>
      </c>
      <c r="I1391" s="37">
        <f>IFERROR(IF(SUM('Semi Rev'!J112:M112)&lt;=0,"",SUM('Semi FCF'!J112:M112)/SUM('Semi Rev'!J112:M112)),"")</f>
        <v/>
      </c>
      <c r="J1391" s="37">
        <f>IFERROR(IF(SUM('Semi Rev'!K112:N112)&lt;=0,"",SUM('Semi FCF'!K112:N112)/SUM('Semi Rev'!K112:N112)),"")</f>
        <v/>
      </c>
      <c r="K1391" s="37">
        <f>IFERROR(IF(SUM('Semi Rev'!L112:O112)&lt;=0,"",SUM('Semi FCF'!L112:O112)/SUM('Semi Rev'!L112:O112)),"")</f>
        <v/>
      </c>
      <c r="L1391" s="37">
        <f>IFERROR(IF(SUM('Semi Rev'!M112:P112)&lt;=0,"",SUM('Semi FCF'!M112:P112)/SUM('Semi Rev'!M112:P112)),"")</f>
        <v/>
      </c>
      <c r="M1391" s="38">
        <f>IFERROR(IF(SUM('Semi Rev'!N112:Q112)&lt;=0,"",SUM('Semi FCF'!N112:Q112)/SUM('Semi Rev'!N112:Q112)),"")</f>
        <v/>
      </c>
      <c r="N1391" s="38">
        <f>IFERROR(IF(SUM('Semi Rev'!O112:R112)&lt;=0,"",SUM('Semi FCF'!O112:R112)/SUM('Semi Rev'!O112:R112)),"")</f>
        <v/>
      </c>
    </row>
    <row r="1392">
      <c r="A1392" s="19">
        <f>'Semi Rev'!$A113</f>
        <v/>
      </c>
      <c r="B1392" s="19">
        <f>'Semi Rev'!$B113</f>
        <v/>
      </c>
      <c r="C1392" s="37">
        <f>IFERROR(IF(SUM('Semi Rev'!D113:G113)&lt;=0,"",SUM('Semi FCF'!D113:G113)/SUM('Semi Rev'!D113:G113)),"")</f>
        <v/>
      </c>
      <c r="D1392" s="37">
        <f>IFERROR(IF(SUM('Semi Rev'!E113:H113)&lt;=0,"",SUM('Semi FCF'!E113:H113)/SUM('Semi Rev'!E113:H113)),"")</f>
        <v/>
      </c>
      <c r="E1392" s="37">
        <f>IFERROR(IF(SUM('Semi Rev'!F113:I113)&lt;=0,"",SUM('Semi FCF'!F113:I113)/SUM('Semi Rev'!F113:I113)),"")</f>
        <v/>
      </c>
      <c r="F1392" s="37">
        <f>IFERROR(IF(SUM('Semi Rev'!G113:J113)&lt;=0,"",SUM('Semi FCF'!G113:J113)/SUM('Semi Rev'!G113:J113)),"")</f>
        <v/>
      </c>
      <c r="G1392" s="37">
        <f>IFERROR(IF(SUM('Semi Rev'!H113:K113)&lt;=0,"",SUM('Semi FCF'!H113:K113)/SUM('Semi Rev'!H113:K113)),"")</f>
        <v/>
      </c>
      <c r="H1392" s="37">
        <f>IFERROR(IF(SUM('Semi Rev'!I113:L113)&lt;=0,"",SUM('Semi FCF'!I113:L113)/SUM('Semi Rev'!I113:L113)),"")</f>
        <v/>
      </c>
      <c r="I1392" s="37">
        <f>IFERROR(IF(SUM('Semi Rev'!J113:M113)&lt;=0,"",SUM('Semi FCF'!J113:M113)/SUM('Semi Rev'!J113:M113)),"")</f>
        <v/>
      </c>
      <c r="J1392" s="37">
        <f>IFERROR(IF(SUM('Semi Rev'!K113:N113)&lt;=0,"",SUM('Semi FCF'!K113:N113)/SUM('Semi Rev'!K113:N113)),"")</f>
        <v/>
      </c>
      <c r="K1392" s="37">
        <f>IFERROR(IF(SUM('Semi Rev'!L113:O113)&lt;=0,"",SUM('Semi FCF'!L113:O113)/SUM('Semi Rev'!L113:O113)),"")</f>
        <v/>
      </c>
      <c r="L1392" s="37">
        <f>IFERROR(IF(SUM('Semi Rev'!M113:P113)&lt;=0,"",SUM('Semi FCF'!M113:P113)/SUM('Semi Rev'!M113:P113)),"")</f>
        <v/>
      </c>
      <c r="M1392" s="38">
        <f>IFERROR(IF(SUM('Semi Rev'!N113:Q113)&lt;=0,"",SUM('Semi FCF'!N113:Q113)/SUM('Semi Rev'!N113:Q113)),"")</f>
        <v/>
      </c>
      <c r="N1392" s="38">
        <f>IFERROR(IF(SUM('Semi Rev'!O113:R113)&lt;=0,"",SUM('Semi FCF'!O113:R113)/SUM('Semi Rev'!O113:R113)),"")</f>
        <v/>
      </c>
    </row>
    <row r="1393">
      <c r="A1393" s="19">
        <f>'Semi Rev'!$A114</f>
        <v/>
      </c>
      <c r="B1393" s="19">
        <f>'Semi Rev'!$B114</f>
        <v/>
      </c>
      <c r="C1393" s="37">
        <f>IFERROR(IF(SUM('Semi Rev'!D114:G114)&lt;=0,"",SUM('Semi FCF'!D114:G114)/SUM('Semi Rev'!D114:G114)),"")</f>
        <v/>
      </c>
      <c r="D1393" s="37">
        <f>IFERROR(IF(SUM('Semi Rev'!E114:H114)&lt;=0,"",SUM('Semi FCF'!E114:H114)/SUM('Semi Rev'!E114:H114)),"")</f>
        <v/>
      </c>
      <c r="E1393" s="37">
        <f>IFERROR(IF(SUM('Semi Rev'!F114:I114)&lt;=0,"",SUM('Semi FCF'!F114:I114)/SUM('Semi Rev'!F114:I114)),"")</f>
        <v/>
      </c>
      <c r="F1393" s="37">
        <f>IFERROR(IF(SUM('Semi Rev'!G114:J114)&lt;=0,"",SUM('Semi FCF'!G114:J114)/SUM('Semi Rev'!G114:J114)),"")</f>
        <v/>
      </c>
      <c r="G1393" s="37">
        <f>IFERROR(IF(SUM('Semi Rev'!H114:K114)&lt;=0,"",SUM('Semi FCF'!H114:K114)/SUM('Semi Rev'!H114:K114)),"")</f>
        <v/>
      </c>
      <c r="H1393" s="37">
        <f>IFERROR(IF(SUM('Semi Rev'!I114:L114)&lt;=0,"",SUM('Semi FCF'!I114:L114)/SUM('Semi Rev'!I114:L114)),"")</f>
        <v/>
      </c>
      <c r="I1393" s="37">
        <f>IFERROR(IF(SUM('Semi Rev'!J114:M114)&lt;=0,"",SUM('Semi FCF'!J114:M114)/SUM('Semi Rev'!J114:M114)),"")</f>
        <v/>
      </c>
      <c r="J1393" s="37">
        <f>IFERROR(IF(SUM('Semi Rev'!K114:N114)&lt;=0,"",SUM('Semi FCF'!K114:N114)/SUM('Semi Rev'!K114:N114)),"")</f>
        <v/>
      </c>
      <c r="K1393" s="37">
        <f>IFERROR(IF(SUM('Semi Rev'!L114:O114)&lt;=0,"",SUM('Semi FCF'!L114:O114)/SUM('Semi Rev'!L114:O114)),"")</f>
        <v/>
      </c>
      <c r="L1393" s="37">
        <f>IFERROR(IF(SUM('Semi Rev'!M114:P114)&lt;=0,"",SUM('Semi FCF'!M114:P114)/SUM('Semi Rev'!M114:P114)),"")</f>
        <v/>
      </c>
      <c r="M1393" s="38">
        <f>IFERROR(IF(SUM('Semi Rev'!N114:Q114)&lt;=0,"",SUM('Semi FCF'!N114:Q114)/SUM('Semi Rev'!N114:Q114)),"")</f>
        <v/>
      </c>
      <c r="N1393" s="38">
        <f>IFERROR(IF(SUM('Semi Rev'!O114:R114)&lt;=0,"",SUM('Semi FCF'!O114:R114)/SUM('Semi Rev'!O114:R114)),"")</f>
        <v/>
      </c>
    </row>
    <row r="1394">
      <c r="A1394" s="19">
        <f>'Semi Rev'!$A115</f>
        <v/>
      </c>
      <c r="B1394" s="19">
        <f>'Semi Rev'!$B115</f>
        <v/>
      </c>
      <c r="C1394" s="37">
        <f>IFERROR(IF(SUM('Semi Rev'!D115:G115)&lt;=0,"",SUM('Semi FCF'!D115:G115)/SUM('Semi Rev'!D115:G115)),"")</f>
        <v/>
      </c>
      <c r="D1394" s="37">
        <f>IFERROR(IF(SUM('Semi Rev'!E115:H115)&lt;=0,"",SUM('Semi FCF'!E115:H115)/SUM('Semi Rev'!E115:H115)),"")</f>
        <v/>
      </c>
      <c r="E1394" s="37">
        <f>IFERROR(IF(SUM('Semi Rev'!F115:I115)&lt;=0,"",SUM('Semi FCF'!F115:I115)/SUM('Semi Rev'!F115:I115)),"")</f>
        <v/>
      </c>
      <c r="F1394" s="37">
        <f>IFERROR(IF(SUM('Semi Rev'!G115:J115)&lt;=0,"",SUM('Semi FCF'!G115:J115)/SUM('Semi Rev'!G115:J115)),"")</f>
        <v/>
      </c>
      <c r="G1394" s="37">
        <f>IFERROR(IF(SUM('Semi Rev'!H115:K115)&lt;=0,"",SUM('Semi FCF'!H115:K115)/SUM('Semi Rev'!H115:K115)),"")</f>
        <v/>
      </c>
      <c r="H1394" s="37">
        <f>IFERROR(IF(SUM('Semi Rev'!I115:L115)&lt;=0,"",SUM('Semi FCF'!I115:L115)/SUM('Semi Rev'!I115:L115)),"")</f>
        <v/>
      </c>
      <c r="I1394" s="37">
        <f>IFERROR(IF(SUM('Semi Rev'!J115:M115)&lt;=0,"",SUM('Semi FCF'!J115:M115)/SUM('Semi Rev'!J115:M115)),"")</f>
        <v/>
      </c>
      <c r="J1394" s="37">
        <f>IFERROR(IF(SUM('Semi Rev'!K115:N115)&lt;=0,"",SUM('Semi FCF'!K115:N115)/SUM('Semi Rev'!K115:N115)),"")</f>
        <v/>
      </c>
      <c r="K1394" s="37">
        <f>IFERROR(IF(SUM('Semi Rev'!L115:O115)&lt;=0,"",SUM('Semi FCF'!L115:O115)/SUM('Semi Rev'!L115:O115)),"")</f>
        <v/>
      </c>
      <c r="L1394" s="37">
        <f>IFERROR(IF(SUM('Semi Rev'!M115:P115)&lt;=0,"",SUM('Semi FCF'!M115:P115)/SUM('Semi Rev'!M115:P115)),"")</f>
        <v/>
      </c>
      <c r="M1394" s="38">
        <f>IFERROR(IF(SUM('Semi Rev'!N115:Q115)&lt;=0,"",SUM('Semi FCF'!N115:Q115)/SUM('Semi Rev'!N115:Q115)),"")</f>
        <v/>
      </c>
      <c r="N1394" s="38">
        <f>IFERROR(IF(SUM('Semi Rev'!O115:R115)&lt;=0,"",SUM('Semi FCF'!O115:R115)/SUM('Semi Rev'!O115:R115)),"")</f>
        <v/>
      </c>
    </row>
    <row r="1395">
      <c r="A1395" s="19">
        <f>'Semi Rev'!$A116</f>
        <v/>
      </c>
      <c r="B1395" s="19">
        <f>'Semi Rev'!$B116</f>
        <v/>
      </c>
      <c r="C1395" s="37">
        <f>IFERROR(IF(SUM('Semi Rev'!D116:G116)&lt;=0,"",SUM('Semi FCF'!D116:G116)/SUM('Semi Rev'!D116:G116)),"")</f>
        <v/>
      </c>
      <c r="D1395" s="37">
        <f>IFERROR(IF(SUM('Semi Rev'!E116:H116)&lt;=0,"",SUM('Semi FCF'!E116:H116)/SUM('Semi Rev'!E116:H116)),"")</f>
        <v/>
      </c>
      <c r="E1395" s="37">
        <f>IFERROR(IF(SUM('Semi Rev'!F116:I116)&lt;=0,"",SUM('Semi FCF'!F116:I116)/SUM('Semi Rev'!F116:I116)),"")</f>
        <v/>
      </c>
      <c r="F1395" s="37">
        <f>IFERROR(IF(SUM('Semi Rev'!G116:J116)&lt;=0,"",SUM('Semi FCF'!G116:J116)/SUM('Semi Rev'!G116:J116)),"")</f>
        <v/>
      </c>
      <c r="G1395" s="37">
        <f>IFERROR(IF(SUM('Semi Rev'!H116:K116)&lt;=0,"",SUM('Semi FCF'!H116:K116)/SUM('Semi Rev'!H116:K116)),"")</f>
        <v/>
      </c>
      <c r="H1395" s="37">
        <f>IFERROR(IF(SUM('Semi Rev'!I116:L116)&lt;=0,"",SUM('Semi FCF'!I116:L116)/SUM('Semi Rev'!I116:L116)),"")</f>
        <v/>
      </c>
      <c r="I1395" s="37">
        <f>IFERROR(IF(SUM('Semi Rev'!J116:M116)&lt;=0,"",SUM('Semi FCF'!J116:M116)/SUM('Semi Rev'!J116:M116)),"")</f>
        <v/>
      </c>
      <c r="J1395" s="37">
        <f>IFERROR(IF(SUM('Semi Rev'!K116:N116)&lt;=0,"",SUM('Semi FCF'!K116:N116)/SUM('Semi Rev'!K116:N116)),"")</f>
        <v/>
      </c>
      <c r="K1395" s="37">
        <f>IFERROR(IF(SUM('Semi Rev'!L116:O116)&lt;=0,"",SUM('Semi FCF'!L116:O116)/SUM('Semi Rev'!L116:O116)),"")</f>
        <v/>
      </c>
      <c r="L1395" s="37">
        <f>IFERROR(IF(SUM('Semi Rev'!M116:P116)&lt;=0,"",SUM('Semi FCF'!M116:P116)/SUM('Semi Rev'!M116:P116)),"")</f>
        <v/>
      </c>
      <c r="M1395" s="38">
        <f>IFERROR(IF(SUM('Semi Rev'!N116:Q116)&lt;=0,"",SUM('Semi FCF'!N116:Q116)/SUM('Semi Rev'!N116:Q116)),"")</f>
        <v/>
      </c>
      <c r="N1395" s="38">
        <f>IFERROR(IF(SUM('Semi Rev'!O116:R116)&lt;=0,"",SUM('Semi FCF'!O116:R116)/SUM('Semi Rev'!O116:R116)),"")</f>
        <v/>
      </c>
    </row>
    <row r="1396">
      <c r="A1396" s="19">
        <f>'Semi Rev'!$A117</f>
        <v/>
      </c>
      <c r="B1396" s="19">
        <f>'Semi Rev'!$B117</f>
        <v/>
      </c>
      <c r="C1396" s="37">
        <f>IFERROR(IF(SUM('Semi Rev'!D117:G117)&lt;=0,"",SUM('Semi FCF'!D117:G117)/SUM('Semi Rev'!D117:G117)),"")</f>
        <v/>
      </c>
      <c r="D1396" s="37">
        <f>IFERROR(IF(SUM('Semi Rev'!E117:H117)&lt;=0,"",SUM('Semi FCF'!E117:H117)/SUM('Semi Rev'!E117:H117)),"")</f>
        <v/>
      </c>
      <c r="E1396" s="37">
        <f>IFERROR(IF(SUM('Semi Rev'!F117:I117)&lt;=0,"",SUM('Semi FCF'!F117:I117)/SUM('Semi Rev'!F117:I117)),"")</f>
        <v/>
      </c>
      <c r="F1396" s="37">
        <f>IFERROR(IF(SUM('Semi Rev'!G117:J117)&lt;=0,"",SUM('Semi FCF'!G117:J117)/SUM('Semi Rev'!G117:J117)),"")</f>
        <v/>
      </c>
      <c r="G1396" s="37">
        <f>IFERROR(IF(SUM('Semi Rev'!H117:K117)&lt;=0,"",SUM('Semi FCF'!H117:K117)/SUM('Semi Rev'!H117:K117)),"")</f>
        <v/>
      </c>
      <c r="H1396" s="37">
        <f>IFERROR(IF(SUM('Semi Rev'!I117:L117)&lt;=0,"",SUM('Semi FCF'!I117:L117)/SUM('Semi Rev'!I117:L117)),"")</f>
        <v/>
      </c>
      <c r="I1396" s="37">
        <f>IFERROR(IF(SUM('Semi Rev'!J117:M117)&lt;=0,"",SUM('Semi FCF'!J117:M117)/SUM('Semi Rev'!J117:M117)),"")</f>
        <v/>
      </c>
      <c r="J1396" s="37">
        <f>IFERROR(IF(SUM('Semi Rev'!K117:N117)&lt;=0,"",SUM('Semi FCF'!K117:N117)/SUM('Semi Rev'!K117:N117)),"")</f>
        <v/>
      </c>
      <c r="K1396" s="37">
        <f>IFERROR(IF(SUM('Semi Rev'!L117:O117)&lt;=0,"",SUM('Semi FCF'!L117:O117)/SUM('Semi Rev'!L117:O117)),"")</f>
        <v/>
      </c>
      <c r="L1396" s="37">
        <f>IFERROR(IF(SUM('Semi Rev'!M117:P117)&lt;=0,"",SUM('Semi FCF'!M117:P117)/SUM('Semi Rev'!M117:P117)),"")</f>
        <v/>
      </c>
      <c r="M1396" s="38">
        <f>IFERROR(IF(SUM('Semi Rev'!N117:Q117)&lt;=0,"",SUM('Semi FCF'!N117:Q117)/SUM('Semi Rev'!N117:Q117)),"")</f>
        <v/>
      </c>
      <c r="N1396" s="38">
        <f>IFERROR(IF(SUM('Semi Rev'!O117:R117)&lt;=0,"",SUM('Semi FCF'!O117:R117)/SUM('Semi Rev'!O117:R117)),"")</f>
        <v/>
      </c>
    </row>
    <row r="1397">
      <c r="A1397" s="19">
        <f>'Semi Rev'!$A118</f>
        <v/>
      </c>
      <c r="B1397" s="19">
        <f>'Semi Rev'!$B118</f>
        <v/>
      </c>
      <c r="C1397" s="37">
        <f>IFERROR(IF(SUM('Semi Rev'!D118:G118)&lt;=0,"",SUM('Semi FCF'!D118:G118)/SUM('Semi Rev'!D118:G118)),"")</f>
        <v/>
      </c>
      <c r="D1397" s="37">
        <f>IFERROR(IF(SUM('Semi Rev'!E118:H118)&lt;=0,"",SUM('Semi FCF'!E118:H118)/SUM('Semi Rev'!E118:H118)),"")</f>
        <v/>
      </c>
      <c r="E1397" s="37">
        <f>IFERROR(IF(SUM('Semi Rev'!F118:I118)&lt;=0,"",SUM('Semi FCF'!F118:I118)/SUM('Semi Rev'!F118:I118)),"")</f>
        <v/>
      </c>
      <c r="F1397" s="37">
        <f>IFERROR(IF(SUM('Semi Rev'!G118:J118)&lt;=0,"",SUM('Semi FCF'!G118:J118)/SUM('Semi Rev'!G118:J118)),"")</f>
        <v/>
      </c>
      <c r="G1397" s="37">
        <f>IFERROR(IF(SUM('Semi Rev'!H118:K118)&lt;=0,"",SUM('Semi FCF'!H118:K118)/SUM('Semi Rev'!H118:K118)),"")</f>
        <v/>
      </c>
      <c r="H1397" s="37">
        <f>IFERROR(IF(SUM('Semi Rev'!I118:L118)&lt;=0,"",SUM('Semi FCF'!I118:L118)/SUM('Semi Rev'!I118:L118)),"")</f>
        <v/>
      </c>
      <c r="I1397" s="37">
        <f>IFERROR(IF(SUM('Semi Rev'!J118:M118)&lt;=0,"",SUM('Semi FCF'!J118:M118)/SUM('Semi Rev'!J118:M118)),"")</f>
        <v/>
      </c>
      <c r="J1397" s="37">
        <f>IFERROR(IF(SUM('Semi Rev'!K118:N118)&lt;=0,"",SUM('Semi FCF'!K118:N118)/SUM('Semi Rev'!K118:N118)),"")</f>
        <v/>
      </c>
      <c r="K1397" s="37">
        <f>IFERROR(IF(SUM('Semi Rev'!L118:O118)&lt;=0,"",SUM('Semi FCF'!L118:O118)/SUM('Semi Rev'!L118:O118)),"")</f>
        <v/>
      </c>
      <c r="L1397" s="37">
        <f>IFERROR(IF(SUM('Semi Rev'!M118:P118)&lt;=0,"",SUM('Semi FCF'!M118:P118)/SUM('Semi Rev'!M118:P118)),"")</f>
        <v/>
      </c>
      <c r="M1397" s="38">
        <f>IFERROR(IF(SUM('Semi Rev'!N118:Q118)&lt;=0,"",SUM('Semi FCF'!N118:Q118)/SUM('Semi Rev'!N118:Q118)),"")</f>
        <v/>
      </c>
      <c r="N1397" s="38">
        <f>IFERROR(IF(SUM('Semi Rev'!O118:R118)&lt;=0,"",SUM('Semi FCF'!O118:R118)/SUM('Semi Rev'!O118:R118)),"")</f>
        <v/>
      </c>
    </row>
    <row r="1398">
      <c r="A1398" s="19">
        <f>'Semi Rev'!$A119</f>
        <v/>
      </c>
      <c r="B1398" s="19">
        <f>'Semi Rev'!$B119</f>
        <v/>
      </c>
      <c r="C1398" s="37">
        <f>IFERROR(IF(SUM('Semi Rev'!D119:G119)&lt;=0,"",SUM('Semi FCF'!D119:G119)/SUM('Semi Rev'!D119:G119)),"")</f>
        <v/>
      </c>
      <c r="D1398" s="37">
        <f>IFERROR(IF(SUM('Semi Rev'!E119:H119)&lt;=0,"",SUM('Semi FCF'!E119:H119)/SUM('Semi Rev'!E119:H119)),"")</f>
        <v/>
      </c>
      <c r="E1398" s="37">
        <f>IFERROR(IF(SUM('Semi Rev'!F119:I119)&lt;=0,"",SUM('Semi FCF'!F119:I119)/SUM('Semi Rev'!F119:I119)),"")</f>
        <v/>
      </c>
      <c r="F1398" s="37">
        <f>IFERROR(IF(SUM('Semi Rev'!G119:J119)&lt;=0,"",SUM('Semi FCF'!G119:J119)/SUM('Semi Rev'!G119:J119)),"")</f>
        <v/>
      </c>
      <c r="G1398" s="37">
        <f>IFERROR(IF(SUM('Semi Rev'!H119:K119)&lt;=0,"",SUM('Semi FCF'!H119:K119)/SUM('Semi Rev'!H119:K119)),"")</f>
        <v/>
      </c>
      <c r="H1398" s="37">
        <f>IFERROR(IF(SUM('Semi Rev'!I119:L119)&lt;=0,"",SUM('Semi FCF'!I119:L119)/SUM('Semi Rev'!I119:L119)),"")</f>
        <v/>
      </c>
      <c r="I1398" s="37">
        <f>IFERROR(IF(SUM('Semi Rev'!J119:M119)&lt;=0,"",SUM('Semi FCF'!J119:M119)/SUM('Semi Rev'!J119:M119)),"")</f>
        <v/>
      </c>
      <c r="J1398" s="37">
        <f>IFERROR(IF(SUM('Semi Rev'!K119:N119)&lt;=0,"",SUM('Semi FCF'!K119:N119)/SUM('Semi Rev'!K119:N119)),"")</f>
        <v/>
      </c>
      <c r="K1398" s="37">
        <f>IFERROR(IF(SUM('Semi Rev'!L119:O119)&lt;=0,"",SUM('Semi FCF'!L119:O119)/SUM('Semi Rev'!L119:O119)),"")</f>
        <v/>
      </c>
      <c r="L1398" s="37">
        <f>IFERROR(IF(SUM('Semi Rev'!M119:P119)&lt;=0,"",SUM('Semi FCF'!M119:P119)/SUM('Semi Rev'!M119:P119)),"")</f>
        <v/>
      </c>
      <c r="M1398" s="38">
        <f>IFERROR(IF(SUM('Semi Rev'!N119:Q119)&lt;=0,"",SUM('Semi FCF'!N119:Q119)/SUM('Semi Rev'!N119:Q119)),"")</f>
        <v/>
      </c>
      <c r="N1398" s="38">
        <f>IFERROR(IF(SUM('Semi Rev'!O119:R119)&lt;=0,"",SUM('Semi FCF'!O119:R119)/SUM('Semi Rev'!O119:R119)),"")</f>
        <v/>
      </c>
    </row>
    <row r="1399">
      <c r="A1399" s="19">
        <f>'Semi Rev'!$A120</f>
        <v/>
      </c>
      <c r="B1399" s="19">
        <f>'Semi Rev'!$B120</f>
        <v/>
      </c>
      <c r="C1399" s="37">
        <f>IFERROR(IF(SUM('Semi Rev'!D120:G120)&lt;=0,"",SUM('Semi FCF'!D120:G120)/SUM('Semi Rev'!D120:G120)),"")</f>
        <v/>
      </c>
      <c r="D1399" s="37">
        <f>IFERROR(IF(SUM('Semi Rev'!E120:H120)&lt;=0,"",SUM('Semi FCF'!E120:H120)/SUM('Semi Rev'!E120:H120)),"")</f>
        <v/>
      </c>
      <c r="E1399" s="37">
        <f>IFERROR(IF(SUM('Semi Rev'!F120:I120)&lt;=0,"",SUM('Semi FCF'!F120:I120)/SUM('Semi Rev'!F120:I120)),"")</f>
        <v/>
      </c>
      <c r="F1399" s="37">
        <f>IFERROR(IF(SUM('Semi Rev'!G120:J120)&lt;=0,"",SUM('Semi FCF'!G120:J120)/SUM('Semi Rev'!G120:J120)),"")</f>
        <v/>
      </c>
      <c r="G1399" s="37">
        <f>IFERROR(IF(SUM('Semi Rev'!H120:K120)&lt;=0,"",SUM('Semi FCF'!H120:K120)/SUM('Semi Rev'!H120:K120)),"")</f>
        <v/>
      </c>
      <c r="H1399" s="37">
        <f>IFERROR(IF(SUM('Semi Rev'!I120:L120)&lt;=0,"",SUM('Semi FCF'!I120:L120)/SUM('Semi Rev'!I120:L120)),"")</f>
        <v/>
      </c>
      <c r="I1399" s="37">
        <f>IFERROR(IF(SUM('Semi Rev'!J120:M120)&lt;=0,"",SUM('Semi FCF'!J120:M120)/SUM('Semi Rev'!J120:M120)),"")</f>
        <v/>
      </c>
      <c r="J1399" s="37">
        <f>IFERROR(IF(SUM('Semi Rev'!K120:N120)&lt;=0,"",SUM('Semi FCF'!K120:N120)/SUM('Semi Rev'!K120:N120)),"")</f>
        <v/>
      </c>
      <c r="K1399" s="37">
        <f>IFERROR(IF(SUM('Semi Rev'!L120:O120)&lt;=0,"",SUM('Semi FCF'!L120:O120)/SUM('Semi Rev'!L120:O120)),"")</f>
        <v/>
      </c>
      <c r="L1399" s="37">
        <f>IFERROR(IF(SUM('Semi Rev'!M120:P120)&lt;=0,"",SUM('Semi FCF'!M120:P120)/SUM('Semi Rev'!M120:P120)),"")</f>
        <v/>
      </c>
      <c r="M1399" s="38">
        <f>IFERROR(IF(SUM('Semi Rev'!N120:Q120)&lt;=0,"",SUM('Semi FCF'!N120:Q120)/SUM('Semi Rev'!N120:Q120)),"")</f>
        <v/>
      </c>
      <c r="N1399" s="38">
        <f>IFERROR(IF(SUM('Semi Rev'!O120:R120)&lt;=0,"",SUM('Semi FCF'!O120:R120)/SUM('Semi Rev'!O120:R120)),"")</f>
        <v/>
      </c>
    </row>
    <row r="1400">
      <c r="A1400" s="19">
        <f>'Semi Rev'!$A121</f>
        <v/>
      </c>
      <c r="B1400" s="19">
        <f>'Semi Rev'!$B121</f>
        <v/>
      </c>
      <c r="C1400" s="37">
        <f>IFERROR(IF(SUM('Semi Rev'!D121:G121)&lt;=0,"",SUM('Semi FCF'!D121:G121)/SUM('Semi Rev'!D121:G121)),"")</f>
        <v/>
      </c>
      <c r="D1400" s="37">
        <f>IFERROR(IF(SUM('Semi Rev'!E121:H121)&lt;=0,"",SUM('Semi FCF'!E121:H121)/SUM('Semi Rev'!E121:H121)),"")</f>
        <v/>
      </c>
      <c r="E1400" s="37">
        <f>IFERROR(IF(SUM('Semi Rev'!F121:I121)&lt;=0,"",SUM('Semi FCF'!F121:I121)/SUM('Semi Rev'!F121:I121)),"")</f>
        <v/>
      </c>
      <c r="F1400" s="37">
        <f>IFERROR(IF(SUM('Semi Rev'!G121:J121)&lt;=0,"",SUM('Semi FCF'!G121:J121)/SUM('Semi Rev'!G121:J121)),"")</f>
        <v/>
      </c>
      <c r="G1400" s="37">
        <f>IFERROR(IF(SUM('Semi Rev'!H121:K121)&lt;=0,"",SUM('Semi FCF'!H121:K121)/SUM('Semi Rev'!H121:K121)),"")</f>
        <v/>
      </c>
      <c r="H1400" s="37">
        <f>IFERROR(IF(SUM('Semi Rev'!I121:L121)&lt;=0,"",SUM('Semi FCF'!I121:L121)/SUM('Semi Rev'!I121:L121)),"")</f>
        <v/>
      </c>
      <c r="I1400" s="37">
        <f>IFERROR(IF(SUM('Semi Rev'!J121:M121)&lt;=0,"",SUM('Semi FCF'!J121:M121)/SUM('Semi Rev'!J121:M121)),"")</f>
        <v/>
      </c>
      <c r="J1400" s="37">
        <f>IFERROR(IF(SUM('Semi Rev'!K121:N121)&lt;=0,"",SUM('Semi FCF'!K121:N121)/SUM('Semi Rev'!K121:N121)),"")</f>
        <v/>
      </c>
      <c r="K1400" s="37">
        <f>IFERROR(IF(SUM('Semi Rev'!L121:O121)&lt;=0,"",SUM('Semi FCF'!L121:O121)/SUM('Semi Rev'!L121:O121)),"")</f>
        <v/>
      </c>
      <c r="L1400" s="37">
        <f>IFERROR(IF(SUM('Semi Rev'!M121:P121)&lt;=0,"",SUM('Semi FCF'!M121:P121)/SUM('Semi Rev'!M121:P121)),"")</f>
        <v/>
      </c>
      <c r="M1400" s="38">
        <f>IFERROR(IF(SUM('Semi Rev'!N121:Q121)&lt;=0,"",SUM('Semi FCF'!N121:Q121)/SUM('Semi Rev'!N121:Q121)),"")</f>
        <v/>
      </c>
      <c r="N1400" s="38">
        <f>IFERROR(IF(SUM('Semi Rev'!O121:R121)&lt;=0,"",SUM('Semi FCF'!O121:R121)/SUM('Semi Rev'!O121:R121)),"")</f>
        <v/>
      </c>
    </row>
    <row r="1401">
      <c r="A1401" s="19">
        <f>'Semi Rev'!$A122</f>
        <v/>
      </c>
      <c r="B1401" s="19">
        <f>'Semi Rev'!$B122</f>
        <v/>
      </c>
      <c r="C1401" s="37">
        <f>IFERROR(IF(SUM('Semi Rev'!D122:G122)&lt;=0,"",SUM('Semi FCF'!D122:G122)/SUM('Semi Rev'!D122:G122)),"")</f>
        <v/>
      </c>
      <c r="D1401" s="37">
        <f>IFERROR(IF(SUM('Semi Rev'!E122:H122)&lt;=0,"",SUM('Semi FCF'!E122:H122)/SUM('Semi Rev'!E122:H122)),"")</f>
        <v/>
      </c>
      <c r="E1401" s="37">
        <f>IFERROR(IF(SUM('Semi Rev'!F122:I122)&lt;=0,"",SUM('Semi FCF'!F122:I122)/SUM('Semi Rev'!F122:I122)),"")</f>
        <v/>
      </c>
      <c r="F1401" s="37">
        <f>IFERROR(IF(SUM('Semi Rev'!G122:J122)&lt;=0,"",SUM('Semi FCF'!G122:J122)/SUM('Semi Rev'!G122:J122)),"")</f>
        <v/>
      </c>
      <c r="G1401" s="37">
        <f>IFERROR(IF(SUM('Semi Rev'!H122:K122)&lt;=0,"",SUM('Semi FCF'!H122:K122)/SUM('Semi Rev'!H122:K122)),"")</f>
        <v/>
      </c>
      <c r="H1401" s="37">
        <f>IFERROR(IF(SUM('Semi Rev'!I122:L122)&lt;=0,"",SUM('Semi FCF'!I122:L122)/SUM('Semi Rev'!I122:L122)),"")</f>
        <v/>
      </c>
      <c r="I1401" s="37">
        <f>IFERROR(IF(SUM('Semi Rev'!J122:M122)&lt;=0,"",SUM('Semi FCF'!J122:M122)/SUM('Semi Rev'!J122:M122)),"")</f>
        <v/>
      </c>
      <c r="J1401" s="37">
        <f>IFERROR(IF(SUM('Semi Rev'!K122:N122)&lt;=0,"",SUM('Semi FCF'!K122:N122)/SUM('Semi Rev'!K122:N122)),"")</f>
        <v/>
      </c>
      <c r="K1401" s="37">
        <f>IFERROR(IF(SUM('Semi Rev'!L122:O122)&lt;=0,"",SUM('Semi FCF'!L122:O122)/SUM('Semi Rev'!L122:O122)),"")</f>
        <v/>
      </c>
      <c r="L1401" s="37">
        <f>IFERROR(IF(SUM('Semi Rev'!M122:P122)&lt;=0,"",SUM('Semi FCF'!M122:P122)/SUM('Semi Rev'!M122:P122)),"")</f>
        <v/>
      </c>
      <c r="M1401" s="38">
        <f>IFERROR(IF(SUM('Semi Rev'!N122:Q122)&lt;=0,"",SUM('Semi FCF'!N122:Q122)/SUM('Semi Rev'!N122:Q122)),"")</f>
        <v/>
      </c>
      <c r="N1401" s="38">
        <f>IFERROR(IF(SUM('Semi Rev'!O122:R122)&lt;=0,"",SUM('Semi FCF'!O122:R122)/SUM('Semi Rev'!O122:R122)),"")</f>
        <v/>
      </c>
    </row>
    <row r="1402">
      <c r="A1402" s="19">
        <f>'Semi Rev'!$A123</f>
        <v/>
      </c>
      <c r="B1402" s="19">
        <f>'Semi Rev'!$B123</f>
        <v/>
      </c>
      <c r="C1402" s="37">
        <f>IFERROR(IF(SUM('Semi Rev'!D123:G123)&lt;=0,"",SUM('Semi FCF'!D123:G123)/SUM('Semi Rev'!D123:G123)),"")</f>
        <v/>
      </c>
      <c r="D1402" s="37">
        <f>IFERROR(IF(SUM('Semi Rev'!E123:H123)&lt;=0,"",SUM('Semi FCF'!E123:H123)/SUM('Semi Rev'!E123:H123)),"")</f>
        <v/>
      </c>
      <c r="E1402" s="37">
        <f>IFERROR(IF(SUM('Semi Rev'!F123:I123)&lt;=0,"",SUM('Semi FCF'!F123:I123)/SUM('Semi Rev'!F123:I123)),"")</f>
        <v/>
      </c>
      <c r="F1402" s="37">
        <f>IFERROR(IF(SUM('Semi Rev'!G123:J123)&lt;=0,"",SUM('Semi FCF'!G123:J123)/SUM('Semi Rev'!G123:J123)),"")</f>
        <v/>
      </c>
      <c r="G1402" s="37">
        <f>IFERROR(IF(SUM('Semi Rev'!H123:K123)&lt;=0,"",SUM('Semi FCF'!H123:K123)/SUM('Semi Rev'!H123:K123)),"")</f>
        <v/>
      </c>
      <c r="H1402" s="37">
        <f>IFERROR(IF(SUM('Semi Rev'!I123:L123)&lt;=0,"",SUM('Semi FCF'!I123:L123)/SUM('Semi Rev'!I123:L123)),"")</f>
        <v/>
      </c>
      <c r="I1402" s="37">
        <f>IFERROR(IF(SUM('Semi Rev'!J123:M123)&lt;=0,"",SUM('Semi FCF'!J123:M123)/SUM('Semi Rev'!J123:M123)),"")</f>
        <v/>
      </c>
      <c r="J1402" s="37">
        <f>IFERROR(IF(SUM('Semi Rev'!K123:N123)&lt;=0,"",SUM('Semi FCF'!K123:N123)/SUM('Semi Rev'!K123:N123)),"")</f>
        <v/>
      </c>
      <c r="K1402" s="37">
        <f>IFERROR(IF(SUM('Semi Rev'!L123:O123)&lt;=0,"",SUM('Semi FCF'!L123:O123)/SUM('Semi Rev'!L123:O123)),"")</f>
        <v/>
      </c>
      <c r="L1402" s="37">
        <f>IFERROR(IF(SUM('Semi Rev'!M123:P123)&lt;=0,"",SUM('Semi FCF'!M123:P123)/SUM('Semi Rev'!M123:P123)),"")</f>
        <v/>
      </c>
      <c r="M1402" s="38">
        <f>IFERROR(IF(SUM('Semi Rev'!N123:Q123)&lt;=0,"",SUM('Semi FCF'!N123:Q123)/SUM('Semi Rev'!N123:Q123)),"")</f>
        <v/>
      </c>
      <c r="N1402" s="38">
        <f>IFERROR(IF(SUM('Semi Rev'!O123:R123)&lt;=0,"",SUM('Semi FCF'!O123:R123)/SUM('Semi Rev'!O123:R123)),"")</f>
        <v/>
      </c>
    </row>
    <row r="1403">
      <c r="A1403" s="19">
        <f>'Semi Rev'!$A124</f>
        <v/>
      </c>
      <c r="B1403" s="19">
        <f>'Semi Rev'!$B124</f>
        <v/>
      </c>
      <c r="C1403" s="37">
        <f>IFERROR(IF(SUM('Semi Rev'!D124:G124)&lt;=0,"",SUM('Semi FCF'!D124:G124)/SUM('Semi Rev'!D124:G124)),"")</f>
        <v/>
      </c>
      <c r="D1403" s="37">
        <f>IFERROR(IF(SUM('Semi Rev'!E124:H124)&lt;=0,"",SUM('Semi FCF'!E124:H124)/SUM('Semi Rev'!E124:H124)),"")</f>
        <v/>
      </c>
      <c r="E1403" s="37">
        <f>IFERROR(IF(SUM('Semi Rev'!F124:I124)&lt;=0,"",SUM('Semi FCF'!F124:I124)/SUM('Semi Rev'!F124:I124)),"")</f>
        <v/>
      </c>
      <c r="F1403" s="37">
        <f>IFERROR(IF(SUM('Semi Rev'!G124:J124)&lt;=0,"",SUM('Semi FCF'!G124:J124)/SUM('Semi Rev'!G124:J124)),"")</f>
        <v/>
      </c>
      <c r="G1403" s="37">
        <f>IFERROR(IF(SUM('Semi Rev'!H124:K124)&lt;=0,"",SUM('Semi FCF'!H124:K124)/SUM('Semi Rev'!H124:K124)),"")</f>
        <v/>
      </c>
      <c r="H1403" s="37">
        <f>IFERROR(IF(SUM('Semi Rev'!I124:L124)&lt;=0,"",SUM('Semi FCF'!I124:L124)/SUM('Semi Rev'!I124:L124)),"")</f>
        <v/>
      </c>
      <c r="I1403" s="37">
        <f>IFERROR(IF(SUM('Semi Rev'!J124:M124)&lt;=0,"",SUM('Semi FCF'!J124:M124)/SUM('Semi Rev'!J124:M124)),"")</f>
        <v/>
      </c>
      <c r="J1403" s="37">
        <f>IFERROR(IF(SUM('Semi Rev'!K124:N124)&lt;=0,"",SUM('Semi FCF'!K124:N124)/SUM('Semi Rev'!K124:N124)),"")</f>
        <v/>
      </c>
      <c r="K1403" s="37">
        <f>IFERROR(IF(SUM('Semi Rev'!L124:O124)&lt;=0,"",SUM('Semi FCF'!L124:O124)/SUM('Semi Rev'!L124:O124)),"")</f>
        <v/>
      </c>
      <c r="L1403" s="37">
        <f>IFERROR(IF(SUM('Semi Rev'!M124:P124)&lt;=0,"",SUM('Semi FCF'!M124:P124)/SUM('Semi Rev'!M124:P124)),"")</f>
        <v/>
      </c>
      <c r="M1403" s="38">
        <f>IFERROR(IF(SUM('Semi Rev'!N124:Q124)&lt;=0,"",SUM('Semi FCF'!N124:Q124)/SUM('Semi Rev'!N124:Q124)),"")</f>
        <v/>
      </c>
      <c r="N1403" s="38">
        <f>IFERROR(IF(SUM('Semi Rev'!O124:R124)&lt;=0,"",SUM('Semi FCF'!O124:R124)/SUM('Semi Rev'!O124:R124)),"")</f>
        <v/>
      </c>
    </row>
    <row r="1404">
      <c r="A1404" s="19">
        <f>'Semi Rev'!$A125</f>
        <v/>
      </c>
      <c r="B1404" s="19">
        <f>'Semi Rev'!$B125</f>
        <v/>
      </c>
      <c r="C1404" s="37">
        <f>IFERROR(IF(SUM('Semi Rev'!D125:G125)&lt;=0,"",SUM('Semi FCF'!D125:G125)/SUM('Semi Rev'!D125:G125)),"")</f>
        <v/>
      </c>
      <c r="D1404" s="37">
        <f>IFERROR(IF(SUM('Semi Rev'!E125:H125)&lt;=0,"",SUM('Semi FCF'!E125:H125)/SUM('Semi Rev'!E125:H125)),"")</f>
        <v/>
      </c>
      <c r="E1404" s="37">
        <f>IFERROR(IF(SUM('Semi Rev'!F125:I125)&lt;=0,"",SUM('Semi FCF'!F125:I125)/SUM('Semi Rev'!F125:I125)),"")</f>
        <v/>
      </c>
      <c r="F1404" s="37">
        <f>IFERROR(IF(SUM('Semi Rev'!G125:J125)&lt;=0,"",SUM('Semi FCF'!G125:J125)/SUM('Semi Rev'!G125:J125)),"")</f>
        <v/>
      </c>
      <c r="G1404" s="37">
        <f>IFERROR(IF(SUM('Semi Rev'!H125:K125)&lt;=0,"",SUM('Semi FCF'!H125:K125)/SUM('Semi Rev'!H125:K125)),"")</f>
        <v/>
      </c>
      <c r="H1404" s="37">
        <f>IFERROR(IF(SUM('Semi Rev'!I125:L125)&lt;=0,"",SUM('Semi FCF'!I125:L125)/SUM('Semi Rev'!I125:L125)),"")</f>
        <v/>
      </c>
      <c r="I1404" s="37">
        <f>IFERROR(IF(SUM('Semi Rev'!J125:M125)&lt;=0,"",SUM('Semi FCF'!J125:M125)/SUM('Semi Rev'!J125:M125)),"")</f>
        <v/>
      </c>
      <c r="J1404" s="37">
        <f>IFERROR(IF(SUM('Semi Rev'!K125:N125)&lt;=0,"",SUM('Semi FCF'!K125:N125)/SUM('Semi Rev'!K125:N125)),"")</f>
        <v/>
      </c>
      <c r="K1404" s="37">
        <f>IFERROR(IF(SUM('Semi Rev'!L125:O125)&lt;=0,"",SUM('Semi FCF'!L125:O125)/SUM('Semi Rev'!L125:O125)),"")</f>
        <v/>
      </c>
      <c r="L1404" s="37">
        <f>IFERROR(IF(SUM('Semi Rev'!M125:P125)&lt;=0,"",SUM('Semi FCF'!M125:P125)/SUM('Semi Rev'!M125:P125)),"")</f>
        <v/>
      </c>
      <c r="M1404" s="38">
        <f>IFERROR(IF(SUM('Semi Rev'!N125:Q125)&lt;=0,"",SUM('Semi FCF'!N125:Q125)/SUM('Semi Rev'!N125:Q125)),"")</f>
        <v/>
      </c>
      <c r="N1404" s="38">
        <f>IFERROR(IF(SUM('Semi Rev'!O125:R125)&lt;=0,"",SUM('Semi FCF'!O125:R125)/SUM('Semi Rev'!O125:R125)),"")</f>
        <v/>
      </c>
    </row>
    <row r="1405">
      <c r="A1405" s="19">
        <f>'Semi Rev'!$A126</f>
        <v/>
      </c>
      <c r="B1405" s="19">
        <f>'Semi Rev'!$B126</f>
        <v/>
      </c>
      <c r="C1405" s="37">
        <f>IFERROR(IF(SUM('Semi Rev'!D126:G126)&lt;=0,"",SUM('Semi FCF'!D126:G126)/SUM('Semi Rev'!D126:G126)),"")</f>
        <v/>
      </c>
      <c r="D1405" s="37">
        <f>IFERROR(IF(SUM('Semi Rev'!E126:H126)&lt;=0,"",SUM('Semi FCF'!E126:H126)/SUM('Semi Rev'!E126:H126)),"")</f>
        <v/>
      </c>
      <c r="E1405" s="37">
        <f>IFERROR(IF(SUM('Semi Rev'!F126:I126)&lt;=0,"",SUM('Semi FCF'!F126:I126)/SUM('Semi Rev'!F126:I126)),"")</f>
        <v/>
      </c>
      <c r="F1405" s="37">
        <f>IFERROR(IF(SUM('Semi Rev'!G126:J126)&lt;=0,"",SUM('Semi FCF'!G126:J126)/SUM('Semi Rev'!G126:J126)),"")</f>
        <v/>
      </c>
      <c r="G1405" s="37">
        <f>IFERROR(IF(SUM('Semi Rev'!H126:K126)&lt;=0,"",SUM('Semi FCF'!H126:K126)/SUM('Semi Rev'!H126:K126)),"")</f>
        <v/>
      </c>
      <c r="H1405" s="37">
        <f>IFERROR(IF(SUM('Semi Rev'!I126:L126)&lt;=0,"",SUM('Semi FCF'!I126:L126)/SUM('Semi Rev'!I126:L126)),"")</f>
        <v/>
      </c>
      <c r="I1405" s="37">
        <f>IFERROR(IF(SUM('Semi Rev'!J126:M126)&lt;=0,"",SUM('Semi FCF'!J126:M126)/SUM('Semi Rev'!J126:M126)),"")</f>
        <v/>
      </c>
      <c r="J1405" s="37">
        <f>IFERROR(IF(SUM('Semi Rev'!K126:N126)&lt;=0,"",SUM('Semi FCF'!K126:N126)/SUM('Semi Rev'!K126:N126)),"")</f>
        <v/>
      </c>
      <c r="K1405" s="37">
        <f>IFERROR(IF(SUM('Semi Rev'!L126:O126)&lt;=0,"",SUM('Semi FCF'!L126:O126)/SUM('Semi Rev'!L126:O126)),"")</f>
        <v/>
      </c>
      <c r="L1405" s="37">
        <f>IFERROR(IF(SUM('Semi Rev'!M126:P126)&lt;=0,"",SUM('Semi FCF'!M126:P126)/SUM('Semi Rev'!M126:P126)),"")</f>
        <v/>
      </c>
      <c r="M1405" s="38">
        <f>IFERROR(IF(SUM('Semi Rev'!N126:Q126)&lt;=0,"",SUM('Semi FCF'!N126:Q126)/SUM('Semi Rev'!N126:Q126)),"")</f>
        <v/>
      </c>
      <c r="N1405" s="38">
        <f>IFERROR(IF(SUM('Semi Rev'!O126:R126)&lt;=0,"",SUM('Semi FCF'!O126:R126)/SUM('Semi Rev'!O126:R126)),"")</f>
        <v/>
      </c>
    </row>
    <row r="1406">
      <c r="A1406" s="19">
        <f>'Semi Rev'!$A127</f>
        <v/>
      </c>
      <c r="B1406" s="19">
        <f>'Semi Rev'!$B127</f>
        <v/>
      </c>
      <c r="C1406" s="37">
        <f>IFERROR(IF(SUM('Semi Rev'!D127:G127)&lt;=0,"",SUM('Semi FCF'!D127:G127)/SUM('Semi Rev'!D127:G127)),"")</f>
        <v/>
      </c>
      <c r="D1406" s="37">
        <f>IFERROR(IF(SUM('Semi Rev'!E127:H127)&lt;=0,"",SUM('Semi FCF'!E127:H127)/SUM('Semi Rev'!E127:H127)),"")</f>
        <v/>
      </c>
      <c r="E1406" s="37">
        <f>IFERROR(IF(SUM('Semi Rev'!F127:I127)&lt;=0,"",SUM('Semi FCF'!F127:I127)/SUM('Semi Rev'!F127:I127)),"")</f>
        <v/>
      </c>
      <c r="F1406" s="37">
        <f>IFERROR(IF(SUM('Semi Rev'!G127:J127)&lt;=0,"",SUM('Semi FCF'!G127:J127)/SUM('Semi Rev'!G127:J127)),"")</f>
        <v/>
      </c>
      <c r="G1406" s="37">
        <f>IFERROR(IF(SUM('Semi Rev'!H127:K127)&lt;=0,"",SUM('Semi FCF'!H127:K127)/SUM('Semi Rev'!H127:K127)),"")</f>
        <v/>
      </c>
      <c r="H1406" s="37">
        <f>IFERROR(IF(SUM('Semi Rev'!I127:L127)&lt;=0,"",SUM('Semi FCF'!I127:L127)/SUM('Semi Rev'!I127:L127)),"")</f>
        <v/>
      </c>
      <c r="I1406" s="37">
        <f>IFERROR(IF(SUM('Semi Rev'!J127:M127)&lt;=0,"",SUM('Semi FCF'!J127:M127)/SUM('Semi Rev'!J127:M127)),"")</f>
        <v/>
      </c>
      <c r="J1406" s="37">
        <f>IFERROR(IF(SUM('Semi Rev'!K127:N127)&lt;=0,"",SUM('Semi FCF'!K127:N127)/SUM('Semi Rev'!K127:N127)),"")</f>
        <v/>
      </c>
      <c r="K1406" s="37">
        <f>IFERROR(IF(SUM('Semi Rev'!L127:O127)&lt;=0,"",SUM('Semi FCF'!L127:O127)/SUM('Semi Rev'!L127:O127)),"")</f>
        <v/>
      </c>
      <c r="L1406" s="37">
        <f>IFERROR(IF(SUM('Semi Rev'!M127:P127)&lt;=0,"",SUM('Semi FCF'!M127:P127)/SUM('Semi Rev'!M127:P127)),"")</f>
        <v/>
      </c>
      <c r="M1406" s="38">
        <f>IFERROR(IF(SUM('Semi Rev'!N127:Q127)&lt;=0,"",SUM('Semi FCF'!N127:Q127)/SUM('Semi Rev'!N127:Q127)),"")</f>
        <v/>
      </c>
      <c r="N1406" s="38">
        <f>IFERROR(IF(SUM('Semi Rev'!O127:R127)&lt;=0,"",SUM('Semi FCF'!O127:R127)/SUM('Semi Rev'!O127:R127)),"")</f>
        <v/>
      </c>
    </row>
    <row r="1407">
      <c r="A1407" s="19">
        <f>'Semi Rev'!$A128</f>
        <v/>
      </c>
      <c r="B1407" s="19">
        <f>'Semi Rev'!$B128</f>
        <v/>
      </c>
      <c r="C1407" s="37">
        <f>IFERROR(IF(SUM('Semi Rev'!D128:G128)&lt;=0,"",SUM('Semi FCF'!D128:G128)/SUM('Semi Rev'!D128:G128)),"")</f>
        <v/>
      </c>
      <c r="D1407" s="37">
        <f>IFERROR(IF(SUM('Semi Rev'!E128:H128)&lt;=0,"",SUM('Semi FCF'!E128:H128)/SUM('Semi Rev'!E128:H128)),"")</f>
        <v/>
      </c>
      <c r="E1407" s="37">
        <f>IFERROR(IF(SUM('Semi Rev'!F128:I128)&lt;=0,"",SUM('Semi FCF'!F128:I128)/SUM('Semi Rev'!F128:I128)),"")</f>
        <v/>
      </c>
      <c r="F1407" s="37">
        <f>IFERROR(IF(SUM('Semi Rev'!G128:J128)&lt;=0,"",SUM('Semi FCF'!G128:J128)/SUM('Semi Rev'!G128:J128)),"")</f>
        <v/>
      </c>
      <c r="G1407" s="37">
        <f>IFERROR(IF(SUM('Semi Rev'!H128:K128)&lt;=0,"",SUM('Semi FCF'!H128:K128)/SUM('Semi Rev'!H128:K128)),"")</f>
        <v/>
      </c>
      <c r="H1407" s="37">
        <f>IFERROR(IF(SUM('Semi Rev'!I128:L128)&lt;=0,"",SUM('Semi FCF'!I128:L128)/SUM('Semi Rev'!I128:L128)),"")</f>
        <v/>
      </c>
      <c r="I1407" s="37">
        <f>IFERROR(IF(SUM('Semi Rev'!J128:M128)&lt;=0,"",SUM('Semi FCF'!J128:M128)/SUM('Semi Rev'!J128:M128)),"")</f>
        <v/>
      </c>
      <c r="J1407" s="37">
        <f>IFERROR(IF(SUM('Semi Rev'!K128:N128)&lt;=0,"",SUM('Semi FCF'!K128:N128)/SUM('Semi Rev'!K128:N128)),"")</f>
        <v/>
      </c>
      <c r="K1407" s="37">
        <f>IFERROR(IF(SUM('Semi Rev'!L128:O128)&lt;=0,"",SUM('Semi FCF'!L128:O128)/SUM('Semi Rev'!L128:O128)),"")</f>
        <v/>
      </c>
      <c r="L1407" s="37">
        <f>IFERROR(IF(SUM('Semi Rev'!M128:P128)&lt;=0,"",SUM('Semi FCF'!M128:P128)/SUM('Semi Rev'!M128:P128)),"")</f>
        <v/>
      </c>
      <c r="M1407" s="38">
        <f>IFERROR(IF(SUM('Semi Rev'!N128:Q128)&lt;=0,"",SUM('Semi FCF'!N128:Q128)/SUM('Semi Rev'!N128:Q128)),"")</f>
        <v/>
      </c>
      <c r="N1407" s="38">
        <f>IFERROR(IF(SUM('Semi Rev'!O128:R128)&lt;=0,"",SUM('Semi FCF'!O128:R128)/SUM('Semi Rev'!O128:R128)),"")</f>
        <v/>
      </c>
    </row>
    <row r="1408">
      <c r="A1408" s="19">
        <f>'Semi Rev'!$A129</f>
        <v/>
      </c>
      <c r="B1408" s="19">
        <f>'Semi Rev'!$B129</f>
        <v/>
      </c>
      <c r="C1408" s="37">
        <f>IFERROR(IF(SUM('Semi Rev'!D129:G129)&lt;=0,"",SUM('Semi FCF'!D129:G129)/SUM('Semi Rev'!D129:G129)),"")</f>
        <v/>
      </c>
      <c r="D1408" s="37">
        <f>IFERROR(IF(SUM('Semi Rev'!E129:H129)&lt;=0,"",SUM('Semi FCF'!E129:H129)/SUM('Semi Rev'!E129:H129)),"")</f>
        <v/>
      </c>
      <c r="E1408" s="37">
        <f>IFERROR(IF(SUM('Semi Rev'!F129:I129)&lt;=0,"",SUM('Semi FCF'!F129:I129)/SUM('Semi Rev'!F129:I129)),"")</f>
        <v/>
      </c>
      <c r="F1408" s="37">
        <f>IFERROR(IF(SUM('Semi Rev'!G129:J129)&lt;=0,"",SUM('Semi FCF'!G129:J129)/SUM('Semi Rev'!G129:J129)),"")</f>
        <v/>
      </c>
      <c r="G1408" s="37">
        <f>IFERROR(IF(SUM('Semi Rev'!H129:K129)&lt;=0,"",SUM('Semi FCF'!H129:K129)/SUM('Semi Rev'!H129:K129)),"")</f>
        <v/>
      </c>
      <c r="H1408" s="37">
        <f>IFERROR(IF(SUM('Semi Rev'!I129:L129)&lt;=0,"",SUM('Semi FCF'!I129:L129)/SUM('Semi Rev'!I129:L129)),"")</f>
        <v/>
      </c>
      <c r="I1408" s="37">
        <f>IFERROR(IF(SUM('Semi Rev'!J129:M129)&lt;=0,"",SUM('Semi FCF'!J129:M129)/SUM('Semi Rev'!J129:M129)),"")</f>
        <v/>
      </c>
      <c r="J1408" s="37">
        <f>IFERROR(IF(SUM('Semi Rev'!K129:N129)&lt;=0,"",SUM('Semi FCF'!K129:N129)/SUM('Semi Rev'!K129:N129)),"")</f>
        <v/>
      </c>
      <c r="K1408" s="37">
        <f>IFERROR(IF(SUM('Semi Rev'!L129:O129)&lt;=0,"",SUM('Semi FCF'!L129:O129)/SUM('Semi Rev'!L129:O129)),"")</f>
        <v/>
      </c>
      <c r="L1408" s="37">
        <f>IFERROR(IF(SUM('Semi Rev'!M129:P129)&lt;=0,"",SUM('Semi FCF'!M129:P129)/SUM('Semi Rev'!M129:P129)),"")</f>
        <v/>
      </c>
      <c r="M1408" s="38">
        <f>IFERROR(IF(SUM('Semi Rev'!N129:Q129)&lt;=0,"",SUM('Semi FCF'!N129:Q129)/SUM('Semi Rev'!N129:Q129)),"")</f>
        <v/>
      </c>
      <c r="N1408" s="38">
        <f>IFERROR(IF(SUM('Semi Rev'!O129:R129)&lt;=0,"",SUM('Semi FCF'!O129:R129)/SUM('Semi Rev'!O129:R129)),"")</f>
        <v/>
      </c>
    </row>
    <row r="1409">
      <c r="A1409" s="19">
        <f>'Semi Rev'!$A130</f>
        <v/>
      </c>
      <c r="B1409" s="19">
        <f>'Semi Rev'!$B130</f>
        <v/>
      </c>
      <c r="C1409" s="37">
        <f>IFERROR(IF(SUM('Semi Rev'!D130:G130)&lt;=0,"",SUM('Semi FCF'!D130:G130)/SUM('Semi Rev'!D130:G130)),"")</f>
        <v/>
      </c>
      <c r="D1409" s="37">
        <f>IFERROR(IF(SUM('Semi Rev'!E130:H130)&lt;=0,"",SUM('Semi FCF'!E130:H130)/SUM('Semi Rev'!E130:H130)),"")</f>
        <v/>
      </c>
      <c r="E1409" s="37">
        <f>IFERROR(IF(SUM('Semi Rev'!F130:I130)&lt;=0,"",SUM('Semi FCF'!F130:I130)/SUM('Semi Rev'!F130:I130)),"")</f>
        <v/>
      </c>
      <c r="F1409" s="37">
        <f>IFERROR(IF(SUM('Semi Rev'!G130:J130)&lt;=0,"",SUM('Semi FCF'!G130:J130)/SUM('Semi Rev'!G130:J130)),"")</f>
        <v/>
      </c>
      <c r="G1409" s="37">
        <f>IFERROR(IF(SUM('Semi Rev'!H130:K130)&lt;=0,"",SUM('Semi FCF'!H130:K130)/SUM('Semi Rev'!H130:K130)),"")</f>
        <v/>
      </c>
      <c r="H1409" s="37">
        <f>IFERROR(IF(SUM('Semi Rev'!I130:L130)&lt;=0,"",SUM('Semi FCF'!I130:L130)/SUM('Semi Rev'!I130:L130)),"")</f>
        <v/>
      </c>
      <c r="I1409" s="37">
        <f>IFERROR(IF(SUM('Semi Rev'!J130:M130)&lt;=0,"",SUM('Semi FCF'!J130:M130)/SUM('Semi Rev'!J130:M130)),"")</f>
        <v/>
      </c>
      <c r="J1409" s="37">
        <f>IFERROR(IF(SUM('Semi Rev'!K130:N130)&lt;=0,"",SUM('Semi FCF'!K130:N130)/SUM('Semi Rev'!K130:N130)),"")</f>
        <v/>
      </c>
      <c r="K1409" s="37">
        <f>IFERROR(IF(SUM('Semi Rev'!L130:O130)&lt;=0,"",SUM('Semi FCF'!L130:O130)/SUM('Semi Rev'!L130:O130)),"")</f>
        <v/>
      </c>
      <c r="L1409" s="37">
        <f>IFERROR(IF(SUM('Semi Rev'!M130:P130)&lt;=0,"",SUM('Semi FCF'!M130:P130)/SUM('Semi Rev'!M130:P130)),"")</f>
        <v/>
      </c>
      <c r="M1409" s="38">
        <f>IFERROR(IF(SUM('Semi Rev'!N130:Q130)&lt;=0,"",SUM('Semi FCF'!N130:Q130)/SUM('Semi Rev'!N130:Q130)),"")</f>
        <v/>
      </c>
      <c r="N1409" s="38">
        <f>IFERROR(IF(SUM('Semi Rev'!O130:R130)&lt;=0,"",SUM('Semi FCF'!O130:R130)/SUM('Semi Rev'!O130:R130)),"")</f>
        <v/>
      </c>
    </row>
    <row r="1410">
      <c r="A1410" s="19">
        <f>'Semi Rev'!$A131</f>
        <v/>
      </c>
      <c r="B1410" s="19">
        <f>'Semi Rev'!$B131</f>
        <v/>
      </c>
      <c r="C1410" s="37">
        <f>IFERROR(IF(SUM('Semi Rev'!D131:G131)&lt;=0,"",SUM('Semi FCF'!D131:G131)/SUM('Semi Rev'!D131:G131)),"")</f>
        <v/>
      </c>
      <c r="D1410" s="37">
        <f>IFERROR(IF(SUM('Semi Rev'!E131:H131)&lt;=0,"",SUM('Semi FCF'!E131:H131)/SUM('Semi Rev'!E131:H131)),"")</f>
        <v/>
      </c>
      <c r="E1410" s="37">
        <f>IFERROR(IF(SUM('Semi Rev'!F131:I131)&lt;=0,"",SUM('Semi FCF'!F131:I131)/SUM('Semi Rev'!F131:I131)),"")</f>
        <v/>
      </c>
      <c r="F1410" s="37">
        <f>IFERROR(IF(SUM('Semi Rev'!G131:J131)&lt;=0,"",SUM('Semi FCF'!G131:J131)/SUM('Semi Rev'!G131:J131)),"")</f>
        <v/>
      </c>
      <c r="G1410" s="37">
        <f>IFERROR(IF(SUM('Semi Rev'!H131:K131)&lt;=0,"",SUM('Semi FCF'!H131:K131)/SUM('Semi Rev'!H131:K131)),"")</f>
        <v/>
      </c>
      <c r="H1410" s="37">
        <f>IFERROR(IF(SUM('Semi Rev'!I131:L131)&lt;=0,"",SUM('Semi FCF'!I131:L131)/SUM('Semi Rev'!I131:L131)),"")</f>
        <v/>
      </c>
      <c r="I1410" s="37">
        <f>IFERROR(IF(SUM('Semi Rev'!J131:M131)&lt;=0,"",SUM('Semi FCF'!J131:M131)/SUM('Semi Rev'!J131:M131)),"")</f>
        <v/>
      </c>
      <c r="J1410" s="37">
        <f>IFERROR(IF(SUM('Semi Rev'!K131:N131)&lt;=0,"",SUM('Semi FCF'!K131:N131)/SUM('Semi Rev'!K131:N131)),"")</f>
        <v/>
      </c>
      <c r="K1410" s="37">
        <f>IFERROR(IF(SUM('Semi Rev'!L131:O131)&lt;=0,"",SUM('Semi FCF'!L131:O131)/SUM('Semi Rev'!L131:O131)),"")</f>
        <v/>
      </c>
      <c r="L1410" s="37">
        <f>IFERROR(IF(SUM('Semi Rev'!M131:P131)&lt;=0,"",SUM('Semi FCF'!M131:P131)/SUM('Semi Rev'!M131:P131)),"")</f>
        <v/>
      </c>
      <c r="M1410" s="38">
        <f>IFERROR(IF(SUM('Semi Rev'!N131:Q131)&lt;=0,"",SUM('Semi FCF'!N131:Q131)/SUM('Semi Rev'!N131:Q131)),"")</f>
        <v/>
      </c>
      <c r="N1410" s="38">
        <f>IFERROR(IF(SUM('Semi Rev'!O131:R131)&lt;=0,"",SUM('Semi FCF'!O131:R131)/SUM('Semi Rev'!O131:R131)),"")</f>
        <v/>
      </c>
    </row>
    <row r="1411">
      <c r="A1411" s="19">
        <f>'Semi Rev'!$A132</f>
        <v/>
      </c>
      <c r="B1411" s="19">
        <f>'Semi Rev'!$B132</f>
        <v/>
      </c>
      <c r="C1411" s="37">
        <f>IFERROR(IF(SUM('Semi Rev'!D132:G132)&lt;=0,"",SUM('Semi FCF'!D132:G132)/SUM('Semi Rev'!D132:G132)),"")</f>
        <v/>
      </c>
      <c r="D1411" s="37">
        <f>IFERROR(IF(SUM('Semi Rev'!E132:H132)&lt;=0,"",SUM('Semi FCF'!E132:H132)/SUM('Semi Rev'!E132:H132)),"")</f>
        <v/>
      </c>
      <c r="E1411" s="37">
        <f>IFERROR(IF(SUM('Semi Rev'!F132:I132)&lt;=0,"",SUM('Semi FCF'!F132:I132)/SUM('Semi Rev'!F132:I132)),"")</f>
        <v/>
      </c>
      <c r="F1411" s="37">
        <f>IFERROR(IF(SUM('Semi Rev'!G132:J132)&lt;=0,"",SUM('Semi FCF'!G132:J132)/SUM('Semi Rev'!G132:J132)),"")</f>
        <v/>
      </c>
      <c r="G1411" s="37">
        <f>IFERROR(IF(SUM('Semi Rev'!H132:K132)&lt;=0,"",SUM('Semi FCF'!H132:K132)/SUM('Semi Rev'!H132:K132)),"")</f>
        <v/>
      </c>
      <c r="H1411" s="37">
        <f>IFERROR(IF(SUM('Semi Rev'!I132:L132)&lt;=0,"",SUM('Semi FCF'!I132:L132)/SUM('Semi Rev'!I132:L132)),"")</f>
        <v/>
      </c>
      <c r="I1411" s="37">
        <f>IFERROR(IF(SUM('Semi Rev'!J132:M132)&lt;=0,"",SUM('Semi FCF'!J132:M132)/SUM('Semi Rev'!J132:M132)),"")</f>
        <v/>
      </c>
      <c r="J1411" s="37">
        <f>IFERROR(IF(SUM('Semi Rev'!K132:N132)&lt;=0,"",SUM('Semi FCF'!K132:N132)/SUM('Semi Rev'!K132:N132)),"")</f>
        <v/>
      </c>
      <c r="K1411" s="37">
        <f>IFERROR(IF(SUM('Semi Rev'!L132:O132)&lt;=0,"",SUM('Semi FCF'!L132:O132)/SUM('Semi Rev'!L132:O132)),"")</f>
        <v/>
      </c>
      <c r="L1411" s="37">
        <f>IFERROR(IF(SUM('Semi Rev'!M132:P132)&lt;=0,"",SUM('Semi FCF'!M132:P132)/SUM('Semi Rev'!M132:P132)),"")</f>
        <v/>
      </c>
      <c r="M1411" s="38">
        <f>IFERROR(IF(SUM('Semi Rev'!N132:Q132)&lt;=0,"",SUM('Semi FCF'!N132:Q132)/SUM('Semi Rev'!N132:Q132)),"")</f>
        <v/>
      </c>
      <c r="N1411" s="38">
        <f>IFERROR(IF(SUM('Semi Rev'!O132:R132)&lt;=0,"",SUM('Semi FCF'!O132:R132)/SUM('Semi Rev'!O132:R132)),"")</f>
        <v/>
      </c>
    </row>
    <row r="1412">
      <c r="A1412" s="19">
        <f>'Semi Rev'!$A133</f>
        <v/>
      </c>
      <c r="B1412" s="19">
        <f>'Semi Rev'!$B133</f>
        <v/>
      </c>
      <c r="C1412" s="37">
        <f>IFERROR(IF(SUM('Semi Rev'!D133:G133)&lt;=0,"",SUM('Semi FCF'!D133:G133)/SUM('Semi Rev'!D133:G133)),"")</f>
        <v/>
      </c>
      <c r="D1412" s="37">
        <f>IFERROR(IF(SUM('Semi Rev'!E133:H133)&lt;=0,"",SUM('Semi FCF'!E133:H133)/SUM('Semi Rev'!E133:H133)),"")</f>
        <v/>
      </c>
      <c r="E1412" s="37">
        <f>IFERROR(IF(SUM('Semi Rev'!F133:I133)&lt;=0,"",SUM('Semi FCF'!F133:I133)/SUM('Semi Rev'!F133:I133)),"")</f>
        <v/>
      </c>
      <c r="F1412" s="37">
        <f>IFERROR(IF(SUM('Semi Rev'!G133:J133)&lt;=0,"",SUM('Semi FCF'!G133:J133)/SUM('Semi Rev'!G133:J133)),"")</f>
        <v/>
      </c>
      <c r="G1412" s="37">
        <f>IFERROR(IF(SUM('Semi Rev'!H133:K133)&lt;=0,"",SUM('Semi FCF'!H133:K133)/SUM('Semi Rev'!H133:K133)),"")</f>
        <v/>
      </c>
      <c r="H1412" s="37">
        <f>IFERROR(IF(SUM('Semi Rev'!I133:L133)&lt;=0,"",SUM('Semi FCF'!I133:L133)/SUM('Semi Rev'!I133:L133)),"")</f>
        <v/>
      </c>
      <c r="I1412" s="37">
        <f>IFERROR(IF(SUM('Semi Rev'!J133:M133)&lt;=0,"",SUM('Semi FCF'!J133:M133)/SUM('Semi Rev'!J133:M133)),"")</f>
        <v/>
      </c>
      <c r="J1412" s="37">
        <f>IFERROR(IF(SUM('Semi Rev'!K133:N133)&lt;=0,"",SUM('Semi FCF'!K133:N133)/SUM('Semi Rev'!K133:N133)),"")</f>
        <v/>
      </c>
      <c r="K1412" s="37">
        <f>IFERROR(IF(SUM('Semi Rev'!L133:O133)&lt;=0,"",SUM('Semi FCF'!L133:O133)/SUM('Semi Rev'!L133:O133)),"")</f>
        <v/>
      </c>
      <c r="L1412" s="37">
        <f>IFERROR(IF(SUM('Semi Rev'!M133:P133)&lt;=0,"",SUM('Semi FCF'!M133:P133)/SUM('Semi Rev'!M133:P133)),"")</f>
        <v/>
      </c>
      <c r="M1412" s="38">
        <f>IFERROR(IF(SUM('Semi Rev'!N133:Q133)&lt;=0,"",SUM('Semi FCF'!N133:Q133)/SUM('Semi Rev'!N133:Q133)),"")</f>
        <v/>
      </c>
      <c r="N1412" s="38">
        <f>IFERROR(IF(SUM('Semi Rev'!O133:R133)&lt;=0,"",SUM('Semi FCF'!O133:R133)/SUM('Semi Rev'!O133:R133)),"")</f>
        <v/>
      </c>
    </row>
    <row r="1413">
      <c r="A1413" s="19">
        <f>'Semi Rev'!$A134</f>
        <v/>
      </c>
      <c r="B1413" s="19">
        <f>'Semi Rev'!$B134</f>
        <v/>
      </c>
      <c r="C1413" s="37">
        <f>IFERROR(IF(SUM('Semi Rev'!D134:G134)&lt;=0,"",SUM('Semi FCF'!D134:G134)/SUM('Semi Rev'!D134:G134)),"")</f>
        <v/>
      </c>
      <c r="D1413" s="37">
        <f>IFERROR(IF(SUM('Semi Rev'!E134:H134)&lt;=0,"",SUM('Semi FCF'!E134:H134)/SUM('Semi Rev'!E134:H134)),"")</f>
        <v/>
      </c>
      <c r="E1413" s="37">
        <f>IFERROR(IF(SUM('Semi Rev'!F134:I134)&lt;=0,"",SUM('Semi FCF'!F134:I134)/SUM('Semi Rev'!F134:I134)),"")</f>
        <v/>
      </c>
      <c r="F1413" s="37">
        <f>IFERROR(IF(SUM('Semi Rev'!G134:J134)&lt;=0,"",SUM('Semi FCF'!G134:J134)/SUM('Semi Rev'!G134:J134)),"")</f>
        <v/>
      </c>
      <c r="G1413" s="37">
        <f>IFERROR(IF(SUM('Semi Rev'!H134:K134)&lt;=0,"",SUM('Semi FCF'!H134:K134)/SUM('Semi Rev'!H134:K134)),"")</f>
        <v/>
      </c>
      <c r="H1413" s="37">
        <f>IFERROR(IF(SUM('Semi Rev'!I134:L134)&lt;=0,"",SUM('Semi FCF'!I134:L134)/SUM('Semi Rev'!I134:L134)),"")</f>
        <v/>
      </c>
      <c r="I1413" s="37">
        <f>IFERROR(IF(SUM('Semi Rev'!J134:M134)&lt;=0,"",SUM('Semi FCF'!J134:M134)/SUM('Semi Rev'!J134:M134)),"")</f>
        <v/>
      </c>
      <c r="J1413" s="37">
        <f>IFERROR(IF(SUM('Semi Rev'!K134:N134)&lt;=0,"",SUM('Semi FCF'!K134:N134)/SUM('Semi Rev'!K134:N134)),"")</f>
        <v/>
      </c>
      <c r="K1413" s="37">
        <f>IFERROR(IF(SUM('Semi Rev'!L134:O134)&lt;=0,"",SUM('Semi FCF'!L134:O134)/SUM('Semi Rev'!L134:O134)),"")</f>
        <v/>
      </c>
      <c r="L1413" s="37">
        <f>IFERROR(IF(SUM('Semi Rev'!M134:P134)&lt;=0,"",SUM('Semi FCF'!M134:P134)/SUM('Semi Rev'!M134:P134)),"")</f>
        <v/>
      </c>
      <c r="M1413" s="38">
        <f>IFERROR(IF(SUM('Semi Rev'!N134:Q134)&lt;=0,"",SUM('Semi FCF'!N134:Q134)/SUM('Semi Rev'!N134:Q134)),"")</f>
        <v/>
      </c>
      <c r="N1413" s="38">
        <f>IFERROR(IF(SUM('Semi Rev'!O134:R134)&lt;=0,"",SUM('Semi FCF'!O134:R134)/SUM('Semi Rev'!O134:R134)),"")</f>
        <v/>
      </c>
    </row>
    <row r="1414">
      <c r="A1414" s="19">
        <f>'Semi Rev'!$A135</f>
        <v/>
      </c>
      <c r="B1414" s="19">
        <f>'Semi Rev'!$B135</f>
        <v/>
      </c>
      <c r="C1414" s="37">
        <f>IFERROR(IF(SUM('Semi Rev'!D135:G135)&lt;=0,"",SUM('Semi FCF'!D135:G135)/SUM('Semi Rev'!D135:G135)),"")</f>
        <v/>
      </c>
      <c r="D1414" s="37">
        <f>IFERROR(IF(SUM('Semi Rev'!E135:H135)&lt;=0,"",SUM('Semi FCF'!E135:H135)/SUM('Semi Rev'!E135:H135)),"")</f>
        <v/>
      </c>
      <c r="E1414" s="37">
        <f>IFERROR(IF(SUM('Semi Rev'!F135:I135)&lt;=0,"",SUM('Semi FCF'!F135:I135)/SUM('Semi Rev'!F135:I135)),"")</f>
        <v/>
      </c>
      <c r="F1414" s="37">
        <f>IFERROR(IF(SUM('Semi Rev'!G135:J135)&lt;=0,"",SUM('Semi FCF'!G135:J135)/SUM('Semi Rev'!G135:J135)),"")</f>
        <v/>
      </c>
      <c r="G1414" s="37">
        <f>IFERROR(IF(SUM('Semi Rev'!H135:K135)&lt;=0,"",SUM('Semi FCF'!H135:K135)/SUM('Semi Rev'!H135:K135)),"")</f>
        <v/>
      </c>
      <c r="H1414" s="37">
        <f>IFERROR(IF(SUM('Semi Rev'!I135:L135)&lt;=0,"",SUM('Semi FCF'!I135:L135)/SUM('Semi Rev'!I135:L135)),"")</f>
        <v/>
      </c>
      <c r="I1414" s="37">
        <f>IFERROR(IF(SUM('Semi Rev'!J135:M135)&lt;=0,"",SUM('Semi FCF'!J135:M135)/SUM('Semi Rev'!J135:M135)),"")</f>
        <v/>
      </c>
      <c r="J1414" s="37">
        <f>IFERROR(IF(SUM('Semi Rev'!K135:N135)&lt;=0,"",SUM('Semi FCF'!K135:N135)/SUM('Semi Rev'!K135:N135)),"")</f>
        <v/>
      </c>
      <c r="K1414" s="37">
        <f>IFERROR(IF(SUM('Semi Rev'!L135:O135)&lt;=0,"",SUM('Semi FCF'!L135:O135)/SUM('Semi Rev'!L135:O135)),"")</f>
        <v/>
      </c>
      <c r="L1414" s="37">
        <f>IFERROR(IF(SUM('Semi Rev'!M135:P135)&lt;=0,"",SUM('Semi FCF'!M135:P135)/SUM('Semi Rev'!M135:P135)),"")</f>
        <v/>
      </c>
      <c r="M1414" s="38">
        <f>IFERROR(IF(SUM('Semi Rev'!N135:Q135)&lt;=0,"",SUM('Semi FCF'!N135:Q135)/SUM('Semi Rev'!N135:Q135)),"")</f>
        <v/>
      </c>
      <c r="N1414" s="38">
        <f>IFERROR(IF(SUM('Semi Rev'!O135:R135)&lt;=0,"",SUM('Semi FCF'!O135:R135)/SUM('Semi Rev'!O135:R135)),"")</f>
        <v/>
      </c>
    </row>
    <row r="1415">
      <c r="A1415" s="19">
        <f>'Semi Rev'!$A136</f>
        <v/>
      </c>
      <c r="B1415" s="19">
        <f>'Semi Rev'!$B136</f>
        <v/>
      </c>
      <c r="C1415" s="37">
        <f>IFERROR(IF(SUM('Semi Rev'!D136:G136)&lt;=0,"",SUM('Semi FCF'!D136:G136)/SUM('Semi Rev'!D136:G136)),"")</f>
        <v/>
      </c>
      <c r="D1415" s="37">
        <f>IFERROR(IF(SUM('Semi Rev'!E136:H136)&lt;=0,"",SUM('Semi FCF'!E136:H136)/SUM('Semi Rev'!E136:H136)),"")</f>
        <v/>
      </c>
      <c r="E1415" s="37">
        <f>IFERROR(IF(SUM('Semi Rev'!F136:I136)&lt;=0,"",SUM('Semi FCF'!F136:I136)/SUM('Semi Rev'!F136:I136)),"")</f>
        <v/>
      </c>
      <c r="F1415" s="37">
        <f>IFERROR(IF(SUM('Semi Rev'!G136:J136)&lt;=0,"",SUM('Semi FCF'!G136:J136)/SUM('Semi Rev'!G136:J136)),"")</f>
        <v/>
      </c>
      <c r="G1415" s="37">
        <f>IFERROR(IF(SUM('Semi Rev'!H136:K136)&lt;=0,"",SUM('Semi FCF'!H136:K136)/SUM('Semi Rev'!H136:K136)),"")</f>
        <v/>
      </c>
      <c r="H1415" s="37">
        <f>IFERROR(IF(SUM('Semi Rev'!I136:L136)&lt;=0,"",SUM('Semi FCF'!I136:L136)/SUM('Semi Rev'!I136:L136)),"")</f>
        <v/>
      </c>
      <c r="I1415" s="37">
        <f>IFERROR(IF(SUM('Semi Rev'!J136:M136)&lt;=0,"",SUM('Semi FCF'!J136:M136)/SUM('Semi Rev'!J136:M136)),"")</f>
        <v/>
      </c>
      <c r="J1415" s="37">
        <f>IFERROR(IF(SUM('Semi Rev'!K136:N136)&lt;=0,"",SUM('Semi FCF'!K136:N136)/SUM('Semi Rev'!K136:N136)),"")</f>
        <v/>
      </c>
      <c r="K1415" s="37">
        <f>IFERROR(IF(SUM('Semi Rev'!L136:O136)&lt;=0,"",SUM('Semi FCF'!L136:O136)/SUM('Semi Rev'!L136:O136)),"")</f>
        <v/>
      </c>
      <c r="L1415" s="37">
        <f>IFERROR(IF(SUM('Semi Rev'!M136:P136)&lt;=0,"",SUM('Semi FCF'!M136:P136)/SUM('Semi Rev'!M136:P136)),"")</f>
        <v/>
      </c>
      <c r="M1415" s="38">
        <f>IFERROR(IF(SUM('Semi Rev'!N136:Q136)&lt;=0,"",SUM('Semi FCF'!N136:Q136)/SUM('Semi Rev'!N136:Q136)),"")</f>
        <v/>
      </c>
      <c r="N1415" s="38">
        <f>IFERROR(IF(SUM('Semi Rev'!O136:R136)&lt;=0,"",SUM('Semi FCF'!O136:R136)/SUM('Semi Rev'!O136:R136)),"")</f>
        <v/>
      </c>
    </row>
    <row r="1416">
      <c r="A1416" s="19">
        <f>'Semi Rev'!$A137</f>
        <v/>
      </c>
      <c r="B1416" s="19">
        <f>'Semi Rev'!$B137</f>
        <v/>
      </c>
      <c r="C1416" s="37">
        <f>IFERROR(IF(SUM('Semi Rev'!D137:G137)&lt;=0,"",SUM('Semi FCF'!D137:G137)/SUM('Semi Rev'!D137:G137)),"")</f>
        <v/>
      </c>
      <c r="D1416" s="37">
        <f>IFERROR(IF(SUM('Semi Rev'!E137:H137)&lt;=0,"",SUM('Semi FCF'!E137:H137)/SUM('Semi Rev'!E137:H137)),"")</f>
        <v/>
      </c>
      <c r="E1416" s="37">
        <f>IFERROR(IF(SUM('Semi Rev'!F137:I137)&lt;=0,"",SUM('Semi FCF'!F137:I137)/SUM('Semi Rev'!F137:I137)),"")</f>
        <v/>
      </c>
      <c r="F1416" s="37">
        <f>IFERROR(IF(SUM('Semi Rev'!G137:J137)&lt;=0,"",SUM('Semi FCF'!G137:J137)/SUM('Semi Rev'!G137:J137)),"")</f>
        <v/>
      </c>
      <c r="G1416" s="37">
        <f>IFERROR(IF(SUM('Semi Rev'!H137:K137)&lt;=0,"",SUM('Semi FCF'!H137:K137)/SUM('Semi Rev'!H137:K137)),"")</f>
        <v/>
      </c>
      <c r="H1416" s="37">
        <f>IFERROR(IF(SUM('Semi Rev'!I137:L137)&lt;=0,"",SUM('Semi FCF'!I137:L137)/SUM('Semi Rev'!I137:L137)),"")</f>
        <v/>
      </c>
      <c r="I1416" s="37">
        <f>IFERROR(IF(SUM('Semi Rev'!J137:M137)&lt;=0,"",SUM('Semi FCF'!J137:M137)/SUM('Semi Rev'!J137:M137)),"")</f>
        <v/>
      </c>
      <c r="J1416" s="37">
        <f>IFERROR(IF(SUM('Semi Rev'!K137:N137)&lt;=0,"",SUM('Semi FCF'!K137:N137)/SUM('Semi Rev'!K137:N137)),"")</f>
        <v/>
      </c>
      <c r="K1416" s="37">
        <f>IFERROR(IF(SUM('Semi Rev'!L137:O137)&lt;=0,"",SUM('Semi FCF'!L137:O137)/SUM('Semi Rev'!L137:O137)),"")</f>
        <v/>
      </c>
      <c r="L1416" s="37">
        <f>IFERROR(IF(SUM('Semi Rev'!M137:P137)&lt;=0,"",SUM('Semi FCF'!M137:P137)/SUM('Semi Rev'!M137:P137)),"")</f>
        <v/>
      </c>
      <c r="M1416" s="38">
        <f>IFERROR(IF(SUM('Semi Rev'!N137:Q137)&lt;=0,"",SUM('Semi FCF'!N137:Q137)/SUM('Semi Rev'!N137:Q137)),"")</f>
        <v/>
      </c>
      <c r="N1416" s="38">
        <f>IFERROR(IF(SUM('Semi Rev'!O137:R137)&lt;=0,"",SUM('Semi FCF'!O137:R137)/SUM('Semi Rev'!O137:R137)),"")</f>
        <v/>
      </c>
    </row>
    <row r="1417">
      <c r="A1417" s="19">
        <f>'Semi Rev'!$A138</f>
        <v/>
      </c>
      <c r="B1417" s="19">
        <f>'Semi Rev'!$B138</f>
        <v/>
      </c>
      <c r="C1417" s="37">
        <f>IFERROR(IF(SUM('Semi Rev'!D138:G138)&lt;=0,"",SUM('Semi FCF'!D138:G138)/SUM('Semi Rev'!D138:G138)),"")</f>
        <v/>
      </c>
      <c r="D1417" s="37">
        <f>IFERROR(IF(SUM('Semi Rev'!E138:H138)&lt;=0,"",SUM('Semi FCF'!E138:H138)/SUM('Semi Rev'!E138:H138)),"")</f>
        <v/>
      </c>
      <c r="E1417" s="37">
        <f>IFERROR(IF(SUM('Semi Rev'!F138:I138)&lt;=0,"",SUM('Semi FCF'!F138:I138)/SUM('Semi Rev'!F138:I138)),"")</f>
        <v/>
      </c>
      <c r="F1417" s="37">
        <f>IFERROR(IF(SUM('Semi Rev'!G138:J138)&lt;=0,"",SUM('Semi FCF'!G138:J138)/SUM('Semi Rev'!G138:J138)),"")</f>
        <v/>
      </c>
      <c r="G1417" s="37">
        <f>IFERROR(IF(SUM('Semi Rev'!H138:K138)&lt;=0,"",SUM('Semi FCF'!H138:K138)/SUM('Semi Rev'!H138:K138)),"")</f>
        <v/>
      </c>
      <c r="H1417" s="37">
        <f>IFERROR(IF(SUM('Semi Rev'!I138:L138)&lt;=0,"",SUM('Semi FCF'!I138:L138)/SUM('Semi Rev'!I138:L138)),"")</f>
        <v/>
      </c>
      <c r="I1417" s="37">
        <f>IFERROR(IF(SUM('Semi Rev'!J138:M138)&lt;=0,"",SUM('Semi FCF'!J138:M138)/SUM('Semi Rev'!J138:M138)),"")</f>
        <v/>
      </c>
      <c r="J1417" s="37">
        <f>IFERROR(IF(SUM('Semi Rev'!K138:N138)&lt;=0,"",SUM('Semi FCF'!K138:N138)/SUM('Semi Rev'!K138:N138)),"")</f>
        <v/>
      </c>
      <c r="K1417" s="37">
        <f>IFERROR(IF(SUM('Semi Rev'!L138:O138)&lt;=0,"",SUM('Semi FCF'!L138:O138)/SUM('Semi Rev'!L138:O138)),"")</f>
        <v/>
      </c>
      <c r="L1417" s="37">
        <f>IFERROR(IF(SUM('Semi Rev'!M138:P138)&lt;=0,"",SUM('Semi FCF'!M138:P138)/SUM('Semi Rev'!M138:P138)),"")</f>
        <v/>
      </c>
      <c r="M1417" s="38">
        <f>IFERROR(IF(SUM('Semi Rev'!N138:Q138)&lt;=0,"",SUM('Semi FCF'!N138:Q138)/SUM('Semi Rev'!N138:Q138)),"")</f>
        <v/>
      </c>
      <c r="N1417" s="38">
        <f>IFERROR(IF(SUM('Semi Rev'!O138:R138)&lt;=0,"",SUM('Semi FCF'!O138:R138)/SUM('Semi Rev'!O138:R138)),"")</f>
        <v/>
      </c>
    </row>
    <row r="1418">
      <c r="A1418" s="19">
        <f>'Semi Rev'!$A139</f>
        <v/>
      </c>
      <c r="B1418" s="19">
        <f>'Semi Rev'!$B139</f>
        <v/>
      </c>
      <c r="C1418" s="37">
        <f>IFERROR(IF(SUM('Semi Rev'!D139:G139)&lt;=0,"",SUM('Semi FCF'!D139:G139)/SUM('Semi Rev'!D139:G139)),"")</f>
        <v/>
      </c>
      <c r="D1418" s="37">
        <f>IFERROR(IF(SUM('Semi Rev'!E139:H139)&lt;=0,"",SUM('Semi FCF'!E139:H139)/SUM('Semi Rev'!E139:H139)),"")</f>
        <v/>
      </c>
      <c r="E1418" s="37">
        <f>IFERROR(IF(SUM('Semi Rev'!F139:I139)&lt;=0,"",SUM('Semi FCF'!F139:I139)/SUM('Semi Rev'!F139:I139)),"")</f>
        <v/>
      </c>
      <c r="F1418" s="37">
        <f>IFERROR(IF(SUM('Semi Rev'!G139:J139)&lt;=0,"",SUM('Semi FCF'!G139:J139)/SUM('Semi Rev'!G139:J139)),"")</f>
        <v/>
      </c>
      <c r="G1418" s="37">
        <f>IFERROR(IF(SUM('Semi Rev'!H139:K139)&lt;=0,"",SUM('Semi FCF'!H139:K139)/SUM('Semi Rev'!H139:K139)),"")</f>
        <v/>
      </c>
      <c r="H1418" s="37">
        <f>IFERROR(IF(SUM('Semi Rev'!I139:L139)&lt;=0,"",SUM('Semi FCF'!I139:L139)/SUM('Semi Rev'!I139:L139)),"")</f>
        <v/>
      </c>
      <c r="I1418" s="37">
        <f>IFERROR(IF(SUM('Semi Rev'!J139:M139)&lt;=0,"",SUM('Semi FCF'!J139:M139)/SUM('Semi Rev'!J139:M139)),"")</f>
        <v/>
      </c>
      <c r="J1418" s="37">
        <f>IFERROR(IF(SUM('Semi Rev'!K139:N139)&lt;=0,"",SUM('Semi FCF'!K139:N139)/SUM('Semi Rev'!K139:N139)),"")</f>
        <v/>
      </c>
      <c r="K1418" s="37">
        <f>IFERROR(IF(SUM('Semi Rev'!L139:O139)&lt;=0,"",SUM('Semi FCF'!L139:O139)/SUM('Semi Rev'!L139:O139)),"")</f>
        <v/>
      </c>
      <c r="L1418" s="37">
        <f>IFERROR(IF(SUM('Semi Rev'!M139:P139)&lt;=0,"",SUM('Semi FCF'!M139:P139)/SUM('Semi Rev'!M139:P139)),"")</f>
        <v/>
      </c>
      <c r="M1418" s="38">
        <f>IFERROR(IF(SUM('Semi Rev'!N139:Q139)&lt;=0,"",SUM('Semi FCF'!N139:Q139)/SUM('Semi Rev'!N139:Q139)),"")</f>
        <v/>
      </c>
      <c r="N1418" s="38">
        <f>IFERROR(IF(SUM('Semi Rev'!O139:R139)&lt;=0,"",SUM('Semi FCF'!O139:R139)/SUM('Semi Rev'!O139:R139)),"")</f>
        <v/>
      </c>
    </row>
    <row r="1419">
      <c r="A1419" s="19">
        <f>'Semi Rev'!$A140</f>
        <v/>
      </c>
      <c r="B1419" s="19">
        <f>'Semi Rev'!$B140</f>
        <v/>
      </c>
      <c r="C1419" s="37">
        <f>IFERROR(IF(SUM('Semi Rev'!D140:G140)&lt;=0,"",SUM('Semi FCF'!D140:G140)/SUM('Semi Rev'!D140:G140)),"")</f>
        <v/>
      </c>
      <c r="D1419" s="37">
        <f>IFERROR(IF(SUM('Semi Rev'!E140:H140)&lt;=0,"",SUM('Semi FCF'!E140:H140)/SUM('Semi Rev'!E140:H140)),"")</f>
        <v/>
      </c>
      <c r="E1419" s="37">
        <f>IFERROR(IF(SUM('Semi Rev'!F140:I140)&lt;=0,"",SUM('Semi FCF'!F140:I140)/SUM('Semi Rev'!F140:I140)),"")</f>
        <v/>
      </c>
      <c r="F1419" s="37">
        <f>IFERROR(IF(SUM('Semi Rev'!G140:J140)&lt;=0,"",SUM('Semi FCF'!G140:J140)/SUM('Semi Rev'!G140:J140)),"")</f>
        <v/>
      </c>
      <c r="G1419" s="37">
        <f>IFERROR(IF(SUM('Semi Rev'!H140:K140)&lt;=0,"",SUM('Semi FCF'!H140:K140)/SUM('Semi Rev'!H140:K140)),"")</f>
        <v/>
      </c>
      <c r="H1419" s="37">
        <f>IFERROR(IF(SUM('Semi Rev'!I140:L140)&lt;=0,"",SUM('Semi FCF'!I140:L140)/SUM('Semi Rev'!I140:L140)),"")</f>
        <v/>
      </c>
      <c r="I1419" s="37">
        <f>IFERROR(IF(SUM('Semi Rev'!J140:M140)&lt;=0,"",SUM('Semi FCF'!J140:M140)/SUM('Semi Rev'!J140:M140)),"")</f>
        <v/>
      </c>
      <c r="J1419" s="37">
        <f>IFERROR(IF(SUM('Semi Rev'!K140:N140)&lt;=0,"",SUM('Semi FCF'!K140:N140)/SUM('Semi Rev'!K140:N140)),"")</f>
        <v/>
      </c>
      <c r="K1419" s="37">
        <f>IFERROR(IF(SUM('Semi Rev'!L140:O140)&lt;=0,"",SUM('Semi FCF'!L140:O140)/SUM('Semi Rev'!L140:O140)),"")</f>
        <v/>
      </c>
      <c r="L1419" s="37">
        <f>IFERROR(IF(SUM('Semi Rev'!M140:P140)&lt;=0,"",SUM('Semi FCF'!M140:P140)/SUM('Semi Rev'!M140:P140)),"")</f>
        <v/>
      </c>
      <c r="M1419" s="38">
        <f>IFERROR(IF(SUM('Semi Rev'!N140:Q140)&lt;=0,"",SUM('Semi FCF'!N140:Q140)/SUM('Semi Rev'!N140:Q140)),"")</f>
        <v/>
      </c>
      <c r="N1419" s="38">
        <f>IFERROR(IF(SUM('Semi Rev'!O140:R140)&lt;=0,"",SUM('Semi FCF'!O140:R140)/SUM('Semi Rev'!O140:R140)),"")</f>
        <v/>
      </c>
    </row>
    <row r="1420">
      <c r="A1420" s="19">
        <f>'Semi Rev'!$A141</f>
        <v/>
      </c>
      <c r="B1420" s="19">
        <f>'Semi Rev'!$B141</f>
        <v/>
      </c>
      <c r="C1420" s="37">
        <f>IFERROR(IF(SUM('Semi Rev'!D141:G141)&lt;=0,"",SUM('Semi FCF'!D141:G141)/SUM('Semi Rev'!D141:G141)),"")</f>
        <v/>
      </c>
      <c r="D1420" s="37">
        <f>IFERROR(IF(SUM('Semi Rev'!E141:H141)&lt;=0,"",SUM('Semi FCF'!E141:H141)/SUM('Semi Rev'!E141:H141)),"")</f>
        <v/>
      </c>
      <c r="E1420" s="37">
        <f>IFERROR(IF(SUM('Semi Rev'!F141:I141)&lt;=0,"",SUM('Semi FCF'!F141:I141)/SUM('Semi Rev'!F141:I141)),"")</f>
        <v/>
      </c>
      <c r="F1420" s="37">
        <f>IFERROR(IF(SUM('Semi Rev'!G141:J141)&lt;=0,"",SUM('Semi FCF'!G141:J141)/SUM('Semi Rev'!G141:J141)),"")</f>
        <v/>
      </c>
      <c r="G1420" s="37">
        <f>IFERROR(IF(SUM('Semi Rev'!H141:K141)&lt;=0,"",SUM('Semi FCF'!H141:K141)/SUM('Semi Rev'!H141:K141)),"")</f>
        <v/>
      </c>
      <c r="H1420" s="37">
        <f>IFERROR(IF(SUM('Semi Rev'!I141:L141)&lt;=0,"",SUM('Semi FCF'!I141:L141)/SUM('Semi Rev'!I141:L141)),"")</f>
        <v/>
      </c>
      <c r="I1420" s="37">
        <f>IFERROR(IF(SUM('Semi Rev'!J141:M141)&lt;=0,"",SUM('Semi FCF'!J141:M141)/SUM('Semi Rev'!J141:M141)),"")</f>
        <v/>
      </c>
      <c r="J1420" s="37">
        <f>IFERROR(IF(SUM('Semi Rev'!K141:N141)&lt;=0,"",SUM('Semi FCF'!K141:N141)/SUM('Semi Rev'!K141:N141)),"")</f>
        <v/>
      </c>
      <c r="K1420" s="37">
        <f>IFERROR(IF(SUM('Semi Rev'!L141:O141)&lt;=0,"",SUM('Semi FCF'!L141:O141)/SUM('Semi Rev'!L141:O141)),"")</f>
        <v/>
      </c>
      <c r="L1420" s="37">
        <f>IFERROR(IF(SUM('Semi Rev'!M141:P141)&lt;=0,"",SUM('Semi FCF'!M141:P141)/SUM('Semi Rev'!M141:P141)),"")</f>
        <v/>
      </c>
      <c r="M1420" s="38">
        <f>IFERROR(IF(SUM('Semi Rev'!N141:Q141)&lt;=0,"",SUM('Semi FCF'!N141:Q141)/SUM('Semi Rev'!N141:Q141)),"")</f>
        <v/>
      </c>
      <c r="N1420" s="38">
        <f>IFERROR(IF(SUM('Semi Rev'!O141:R141)&lt;=0,"",SUM('Semi FCF'!O141:R141)/SUM('Semi Rev'!O141:R141)),"")</f>
        <v/>
      </c>
    </row>
    <row r="1421">
      <c r="A1421" s="19">
        <f>'Semi Rev'!$A142</f>
        <v/>
      </c>
      <c r="B1421" s="19">
        <f>'Semi Rev'!$B142</f>
        <v/>
      </c>
      <c r="C1421" s="37">
        <f>IFERROR(IF(SUM('Semi Rev'!D142:G142)&lt;=0,"",SUM('Semi FCF'!D142:G142)/SUM('Semi Rev'!D142:G142)),"")</f>
        <v/>
      </c>
      <c r="D1421" s="37">
        <f>IFERROR(IF(SUM('Semi Rev'!E142:H142)&lt;=0,"",SUM('Semi FCF'!E142:H142)/SUM('Semi Rev'!E142:H142)),"")</f>
        <v/>
      </c>
      <c r="E1421" s="37">
        <f>IFERROR(IF(SUM('Semi Rev'!F142:I142)&lt;=0,"",SUM('Semi FCF'!F142:I142)/SUM('Semi Rev'!F142:I142)),"")</f>
        <v/>
      </c>
      <c r="F1421" s="37">
        <f>IFERROR(IF(SUM('Semi Rev'!G142:J142)&lt;=0,"",SUM('Semi FCF'!G142:J142)/SUM('Semi Rev'!G142:J142)),"")</f>
        <v/>
      </c>
      <c r="G1421" s="37">
        <f>IFERROR(IF(SUM('Semi Rev'!H142:K142)&lt;=0,"",SUM('Semi FCF'!H142:K142)/SUM('Semi Rev'!H142:K142)),"")</f>
        <v/>
      </c>
      <c r="H1421" s="37">
        <f>IFERROR(IF(SUM('Semi Rev'!I142:L142)&lt;=0,"",SUM('Semi FCF'!I142:L142)/SUM('Semi Rev'!I142:L142)),"")</f>
        <v/>
      </c>
      <c r="I1421" s="37">
        <f>IFERROR(IF(SUM('Semi Rev'!J142:M142)&lt;=0,"",SUM('Semi FCF'!J142:M142)/SUM('Semi Rev'!J142:M142)),"")</f>
        <v/>
      </c>
      <c r="J1421" s="37">
        <f>IFERROR(IF(SUM('Semi Rev'!K142:N142)&lt;=0,"",SUM('Semi FCF'!K142:N142)/SUM('Semi Rev'!K142:N142)),"")</f>
        <v/>
      </c>
      <c r="K1421" s="37">
        <f>IFERROR(IF(SUM('Semi Rev'!L142:O142)&lt;=0,"",SUM('Semi FCF'!L142:O142)/SUM('Semi Rev'!L142:O142)),"")</f>
        <v/>
      </c>
      <c r="L1421" s="37">
        <f>IFERROR(IF(SUM('Semi Rev'!M142:P142)&lt;=0,"",SUM('Semi FCF'!M142:P142)/SUM('Semi Rev'!M142:P142)),"")</f>
        <v/>
      </c>
      <c r="M1421" s="38">
        <f>IFERROR(IF(SUM('Semi Rev'!N142:Q142)&lt;=0,"",SUM('Semi FCF'!N142:Q142)/SUM('Semi Rev'!N142:Q142)),"")</f>
        <v/>
      </c>
      <c r="N1421" s="38">
        <f>IFERROR(IF(SUM('Semi Rev'!O142:R142)&lt;=0,"",SUM('Semi FCF'!O142:R142)/SUM('Semi Rev'!O142:R142)),"")</f>
        <v/>
      </c>
    </row>
    <row r="1422">
      <c r="A1422" s="19">
        <f>'Semi Rev'!$A143</f>
        <v/>
      </c>
      <c r="B1422" s="19">
        <f>'Semi Rev'!$B143</f>
        <v/>
      </c>
      <c r="C1422" s="37">
        <f>IFERROR(IF(SUM('Semi Rev'!D143:G143)&lt;=0,"",SUM('Semi FCF'!D143:G143)/SUM('Semi Rev'!D143:G143)),"")</f>
        <v/>
      </c>
      <c r="D1422" s="37">
        <f>IFERROR(IF(SUM('Semi Rev'!E143:H143)&lt;=0,"",SUM('Semi FCF'!E143:H143)/SUM('Semi Rev'!E143:H143)),"")</f>
        <v/>
      </c>
      <c r="E1422" s="37">
        <f>IFERROR(IF(SUM('Semi Rev'!F143:I143)&lt;=0,"",SUM('Semi FCF'!F143:I143)/SUM('Semi Rev'!F143:I143)),"")</f>
        <v/>
      </c>
      <c r="F1422" s="37">
        <f>IFERROR(IF(SUM('Semi Rev'!G143:J143)&lt;=0,"",SUM('Semi FCF'!G143:J143)/SUM('Semi Rev'!G143:J143)),"")</f>
        <v/>
      </c>
      <c r="G1422" s="37">
        <f>IFERROR(IF(SUM('Semi Rev'!H143:K143)&lt;=0,"",SUM('Semi FCF'!H143:K143)/SUM('Semi Rev'!H143:K143)),"")</f>
        <v/>
      </c>
      <c r="H1422" s="37">
        <f>IFERROR(IF(SUM('Semi Rev'!I143:L143)&lt;=0,"",SUM('Semi FCF'!I143:L143)/SUM('Semi Rev'!I143:L143)),"")</f>
        <v/>
      </c>
      <c r="I1422" s="37">
        <f>IFERROR(IF(SUM('Semi Rev'!J143:M143)&lt;=0,"",SUM('Semi FCF'!J143:M143)/SUM('Semi Rev'!J143:M143)),"")</f>
        <v/>
      </c>
      <c r="J1422" s="37">
        <f>IFERROR(IF(SUM('Semi Rev'!K143:N143)&lt;=0,"",SUM('Semi FCF'!K143:N143)/SUM('Semi Rev'!K143:N143)),"")</f>
        <v/>
      </c>
      <c r="K1422" s="37">
        <f>IFERROR(IF(SUM('Semi Rev'!L143:O143)&lt;=0,"",SUM('Semi FCF'!L143:O143)/SUM('Semi Rev'!L143:O143)),"")</f>
        <v/>
      </c>
      <c r="L1422" s="37">
        <f>IFERROR(IF(SUM('Semi Rev'!M143:P143)&lt;=0,"",SUM('Semi FCF'!M143:P143)/SUM('Semi Rev'!M143:P143)),"")</f>
        <v/>
      </c>
      <c r="M1422" s="38">
        <f>IFERROR(IF(SUM('Semi Rev'!N143:Q143)&lt;=0,"",SUM('Semi FCF'!N143:Q143)/SUM('Semi Rev'!N143:Q143)),"")</f>
        <v/>
      </c>
      <c r="N1422" s="38">
        <f>IFERROR(IF(SUM('Semi Rev'!O143:R143)&lt;=0,"",SUM('Semi FCF'!O143:R143)/SUM('Semi Rev'!O143:R143)),"")</f>
        <v/>
      </c>
    </row>
    <row r="1424">
      <c r="A1424" s="49" t="inlineStr">
        <is>
          <t>FCF margin expansion, LTM YoY (bps)</t>
        </is>
      </c>
      <c r="B1424" s="50" t="n"/>
      <c r="C1424" s="50" t="n"/>
      <c r="D1424" s="50" t="n"/>
      <c r="E1424" s="50" t="n"/>
      <c r="F1424" s="50" t="n"/>
      <c r="G1424" s="50" t="n"/>
      <c r="H1424" s="50" t="n"/>
      <c r="I1424" s="50" t="n"/>
      <c r="J1424" s="50" t="n"/>
      <c r="K1424" s="50" t="n"/>
      <c r="L1424" s="50" t="n"/>
      <c r="M1424" s="50" t="n"/>
      <c r="N1424" s="50" t="n"/>
    </row>
    <row r="1425" ht="28" customHeight="1">
      <c r="A1425" s="8" t="inlineStr">
        <is>
          <t>Ticker</t>
        </is>
      </c>
      <c r="B1425" s="8" t="inlineStr">
        <is>
          <t>Latest Rpt Qtr</t>
        </is>
      </c>
      <c r="C1425" s="8" t="inlineStr">
        <is>
          <t>FPO -9</t>
        </is>
      </c>
      <c r="D1425" s="8" t="inlineStr">
        <is>
          <t>FPO -8</t>
        </is>
      </c>
      <c r="E1425" s="8" t="inlineStr">
        <is>
          <t>FPO -7</t>
        </is>
      </c>
      <c r="F1425" s="8" t="inlineStr">
        <is>
          <t>FPO -6</t>
        </is>
      </c>
      <c r="G1425" s="8" t="inlineStr">
        <is>
          <t>FPO -5</t>
        </is>
      </c>
      <c r="H1425" s="8" t="inlineStr">
        <is>
          <t>FPO -4</t>
        </is>
      </c>
      <c r="I1425" s="8" t="inlineStr">
        <is>
          <t>FPO -3</t>
        </is>
      </c>
      <c r="J1425" s="8" t="inlineStr">
        <is>
          <t>FPO -2</t>
        </is>
      </c>
      <c r="K1425" s="8" t="inlineStr">
        <is>
          <t>FPO -1</t>
        </is>
      </c>
      <c r="L1425" s="8" t="inlineStr">
        <is>
          <t>FPO 0 (latest rpt)</t>
        </is>
      </c>
      <c r="M1425" s="8" t="inlineStr">
        <is>
          <t>FPO +1E</t>
        </is>
      </c>
      <c r="N1425" s="8" t="inlineStr">
        <is>
          <t>FPO +2E</t>
        </is>
      </c>
    </row>
    <row r="1426">
      <c r="A1426" s="19">
        <f>'Semi Rev'!$A5</f>
        <v/>
      </c>
      <c r="B1426" s="19">
        <f>'Semi Rev'!$B5</f>
        <v/>
      </c>
      <c r="C1426" s="43">
        <f>""</f>
        <v/>
      </c>
      <c r="D1426" s="43">
        <f>""</f>
        <v/>
      </c>
      <c r="E1426" s="43">
        <f>""</f>
        <v/>
      </c>
      <c r="F1426" s="43">
        <f>IFERROR(IF(OR($F$1284="",IF(SUM('Semi Rev'!C5:F5)&lt;=0,"",SUM('Semi FCF'!C5:F5)/SUM('Semi Rev'!C5:F5))=""),"",($F$1284-IF(SUM('Semi Rev'!C5:F5)&lt;=0,"",SUM('Semi FCF'!C5:F5)/SUM('Semi Rev'!C5:F5)))*10000),"")</f>
        <v/>
      </c>
      <c r="G1426" s="43">
        <f>IFERROR(IF(OR($G$1284="",$C$1284=""),"",($G$1284-$C$1284)*10000),"")</f>
        <v/>
      </c>
      <c r="H1426" s="43">
        <f>IFERROR(IF(OR($H$1284="",$D$1284=""),"",($H$1284-$D$1284)*10000),"")</f>
        <v/>
      </c>
      <c r="I1426" s="43">
        <f>IFERROR(IF(OR($I$1284="",$E$1284=""),"",($I$1284-$E$1284)*10000),"")</f>
        <v/>
      </c>
      <c r="J1426" s="43">
        <f>IFERROR(IF(OR($J$1284="",$F$1284=""),"",($J$1284-$F$1284)*10000),"")</f>
        <v/>
      </c>
      <c r="K1426" s="43">
        <f>IFERROR(IF(OR($K$1284="",$G$1284=""),"",($K$1284-$G$1284)*10000),"")</f>
        <v/>
      </c>
      <c r="L1426" s="43">
        <f>IFERROR(IF(OR($L$1284="",$H$1284=""),"",($L$1284-$H$1284)*10000),"")</f>
        <v/>
      </c>
      <c r="M1426" s="44">
        <f>IFERROR(IF(OR($M$1284="",$I$1284=""),"",($M$1284-$I$1284)*10000),"")</f>
        <v/>
      </c>
      <c r="N1426" s="44">
        <f>IFERROR(IF(OR($N$1284="",$J$1284=""),"",($N$1284-$J$1284)*10000),"")</f>
        <v/>
      </c>
    </row>
    <row r="1427">
      <c r="A1427" s="19">
        <f>'Semi Rev'!$A6</f>
        <v/>
      </c>
      <c r="B1427" s="19">
        <f>'Semi Rev'!$B6</f>
        <v/>
      </c>
      <c r="C1427" s="43">
        <f>""</f>
        <v/>
      </c>
      <c r="D1427" s="43">
        <f>""</f>
        <v/>
      </c>
      <c r="E1427" s="43">
        <f>""</f>
        <v/>
      </c>
      <c r="F1427" s="43">
        <f>IFERROR(IF(OR($F$1285="",IF(SUM('Semi Rev'!C6:F6)&lt;=0,"",SUM('Semi FCF'!C6:F6)/SUM('Semi Rev'!C6:F6))=""),"",($F$1285-IF(SUM('Semi Rev'!C6:F6)&lt;=0,"",SUM('Semi FCF'!C6:F6)/SUM('Semi Rev'!C6:F6)))*10000),"")</f>
        <v/>
      </c>
      <c r="G1427" s="43">
        <f>IFERROR(IF(OR($G$1285="",$C$1285=""),"",($G$1285-$C$1285)*10000),"")</f>
        <v/>
      </c>
      <c r="H1427" s="43">
        <f>IFERROR(IF(OR($H$1285="",$D$1285=""),"",($H$1285-$D$1285)*10000),"")</f>
        <v/>
      </c>
      <c r="I1427" s="43">
        <f>IFERROR(IF(OR($I$1285="",$E$1285=""),"",($I$1285-$E$1285)*10000),"")</f>
        <v/>
      </c>
      <c r="J1427" s="43">
        <f>IFERROR(IF(OR($J$1285="",$F$1285=""),"",($J$1285-$F$1285)*10000),"")</f>
        <v/>
      </c>
      <c r="K1427" s="43">
        <f>IFERROR(IF(OR($K$1285="",$G$1285=""),"",($K$1285-$G$1285)*10000),"")</f>
        <v/>
      </c>
      <c r="L1427" s="43">
        <f>IFERROR(IF(OR($L$1285="",$H$1285=""),"",($L$1285-$H$1285)*10000),"")</f>
        <v/>
      </c>
      <c r="M1427" s="44">
        <f>IFERROR(IF(OR($M$1285="",$I$1285=""),"",($M$1285-$I$1285)*10000),"")</f>
        <v/>
      </c>
      <c r="N1427" s="44">
        <f>IFERROR(IF(OR($N$1285="",$J$1285=""),"",($N$1285-$J$1285)*10000),"")</f>
        <v/>
      </c>
    </row>
    <row r="1428">
      <c r="A1428" s="19">
        <f>'Semi Rev'!$A7</f>
        <v/>
      </c>
      <c r="B1428" s="19">
        <f>'Semi Rev'!$B7</f>
        <v/>
      </c>
      <c r="C1428" s="43">
        <f>""</f>
        <v/>
      </c>
      <c r="D1428" s="43">
        <f>""</f>
        <v/>
      </c>
      <c r="E1428" s="43">
        <f>""</f>
        <v/>
      </c>
      <c r="F1428" s="43">
        <f>IFERROR(IF(OR($F$1286="",IF(SUM('Semi Rev'!C7:F7)&lt;=0,"",SUM('Semi FCF'!C7:F7)/SUM('Semi Rev'!C7:F7))=""),"",($F$1286-IF(SUM('Semi Rev'!C7:F7)&lt;=0,"",SUM('Semi FCF'!C7:F7)/SUM('Semi Rev'!C7:F7)))*10000),"")</f>
        <v/>
      </c>
      <c r="G1428" s="43">
        <f>IFERROR(IF(OR($G$1286="",$C$1286=""),"",($G$1286-$C$1286)*10000),"")</f>
        <v/>
      </c>
      <c r="H1428" s="43">
        <f>IFERROR(IF(OR($H$1286="",$D$1286=""),"",($H$1286-$D$1286)*10000),"")</f>
        <v/>
      </c>
      <c r="I1428" s="43">
        <f>IFERROR(IF(OR($I$1286="",$E$1286=""),"",($I$1286-$E$1286)*10000),"")</f>
        <v/>
      </c>
      <c r="J1428" s="43">
        <f>IFERROR(IF(OR($J$1286="",$F$1286=""),"",($J$1286-$F$1286)*10000),"")</f>
        <v/>
      </c>
      <c r="K1428" s="43">
        <f>IFERROR(IF(OR($K$1286="",$G$1286=""),"",($K$1286-$G$1286)*10000),"")</f>
        <v/>
      </c>
      <c r="L1428" s="43">
        <f>IFERROR(IF(OR($L$1286="",$H$1286=""),"",($L$1286-$H$1286)*10000),"")</f>
        <v/>
      </c>
      <c r="M1428" s="44">
        <f>IFERROR(IF(OR($M$1286="",$I$1286=""),"",($M$1286-$I$1286)*10000),"")</f>
        <v/>
      </c>
      <c r="N1428" s="44">
        <f>IFERROR(IF(OR($N$1286="",$J$1286=""),"",($N$1286-$J$1286)*10000),"")</f>
        <v/>
      </c>
    </row>
    <row r="1429">
      <c r="A1429" s="19">
        <f>'Semi Rev'!$A8</f>
        <v/>
      </c>
      <c r="B1429" s="19">
        <f>'Semi Rev'!$B8</f>
        <v/>
      </c>
      <c r="C1429" s="43">
        <f>""</f>
        <v/>
      </c>
      <c r="D1429" s="43">
        <f>""</f>
        <v/>
      </c>
      <c r="E1429" s="43">
        <f>""</f>
        <v/>
      </c>
      <c r="F1429" s="43">
        <f>IFERROR(IF(OR($F$1287="",IF(SUM('Semi Rev'!C8:F8)&lt;=0,"",SUM('Semi FCF'!C8:F8)/SUM('Semi Rev'!C8:F8))=""),"",($F$1287-IF(SUM('Semi Rev'!C8:F8)&lt;=0,"",SUM('Semi FCF'!C8:F8)/SUM('Semi Rev'!C8:F8)))*10000),"")</f>
        <v/>
      </c>
      <c r="G1429" s="43">
        <f>IFERROR(IF(OR($G$1287="",$C$1287=""),"",($G$1287-$C$1287)*10000),"")</f>
        <v/>
      </c>
      <c r="H1429" s="43">
        <f>IFERROR(IF(OR($H$1287="",$D$1287=""),"",($H$1287-$D$1287)*10000),"")</f>
        <v/>
      </c>
      <c r="I1429" s="43">
        <f>IFERROR(IF(OR($I$1287="",$E$1287=""),"",($I$1287-$E$1287)*10000),"")</f>
        <v/>
      </c>
      <c r="J1429" s="43">
        <f>IFERROR(IF(OR($J$1287="",$F$1287=""),"",($J$1287-$F$1287)*10000),"")</f>
        <v/>
      </c>
      <c r="K1429" s="43">
        <f>IFERROR(IF(OR($K$1287="",$G$1287=""),"",($K$1287-$G$1287)*10000),"")</f>
        <v/>
      </c>
      <c r="L1429" s="43">
        <f>IFERROR(IF(OR($L$1287="",$H$1287=""),"",($L$1287-$H$1287)*10000),"")</f>
        <v/>
      </c>
      <c r="M1429" s="44">
        <f>IFERROR(IF(OR($M$1287="",$I$1287=""),"",($M$1287-$I$1287)*10000),"")</f>
        <v/>
      </c>
      <c r="N1429" s="44">
        <f>IFERROR(IF(OR($N$1287="",$J$1287=""),"",($N$1287-$J$1287)*10000),"")</f>
        <v/>
      </c>
    </row>
    <row r="1430">
      <c r="A1430" s="19">
        <f>'Semi Rev'!$A9</f>
        <v/>
      </c>
      <c r="B1430" s="19">
        <f>'Semi Rev'!$B9</f>
        <v/>
      </c>
      <c r="C1430" s="43">
        <f>""</f>
        <v/>
      </c>
      <c r="D1430" s="43">
        <f>""</f>
        <v/>
      </c>
      <c r="E1430" s="43">
        <f>""</f>
        <v/>
      </c>
      <c r="F1430" s="43">
        <f>IFERROR(IF(OR($F$1288="",IF(SUM('Semi Rev'!C9:F9)&lt;=0,"",SUM('Semi FCF'!C9:F9)/SUM('Semi Rev'!C9:F9))=""),"",($F$1288-IF(SUM('Semi Rev'!C9:F9)&lt;=0,"",SUM('Semi FCF'!C9:F9)/SUM('Semi Rev'!C9:F9)))*10000),"")</f>
        <v/>
      </c>
      <c r="G1430" s="43">
        <f>IFERROR(IF(OR($G$1288="",$C$1288=""),"",($G$1288-$C$1288)*10000),"")</f>
        <v/>
      </c>
      <c r="H1430" s="43">
        <f>IFERROR(IF(OR($H$1288="",$D$1288=""),"",($H$1288-$D$1288)*10000),"")</f>
        <v/>
      </c>
      <c r="I1430" s="43">
        <f>IFERROR(IF(OR($I$1288="",$E$1288=""),"",($I$1288-$E$1288)*10000),"")</f>
        <v/>
      </c>
      <c r="J1430" s="43">
        <f>IFERROR(IF(OR($J$1288="",$F$1288=""),"",($J$1288-$F$1288)*10000),"")</f>
        <v/>
      </c>
      <c r="K1430" s="43">
        <f>IFERROR(IF(OR($K$1288="",$G$1288=""),"",($K$1288-$G$1288)*10000),"")</f>
        <v/>
      </c>
      <c r="L1430" s="43">
        <f>IFERROR(IF(OR($L$1288="",$H$1288=""),"",($L$1288-$H$1288)*10000),"")</f>
        <v/>
      </c>
      <c r="M1430" s="44">
        <f>IFERROR(IF(OR($M$1288="",$I$1288=""),"",($M$1288-$I$1288)*10000),"")</f>
        <v/>
      </c>
      <c r="N1430" s="44">
        <f>IFERROR(IF(OR($N$1288="",$J$1288=""),"",($N$1288-$J$1288)*10000),"")</f>
        <v/>
      </c>
    </row>
    <row r="1431">
      <c r="A1431" s="19">
        <f>'Semi Rev'!$A10</f>
        <v/>
      </c>
      <c r="B1431" s="19">
        <f>'Semi Rev'!$B10</f>
        <v/>
      </c>
      <c r="C1431" s="43">
        <f>""</f>
        <v/>
      </c>
      <c r="D1431" s="43">
        <f>""</f>
        <v/>
      </c>
      <c r="E1431" s="43">
        <f>""</f>
        <v/>
      </c>
      <c r="F1431" s="43">
        <f>IFERROR(IF(OR($F$1289="",IF(SUM('Semi Rev'!C10:F10)&lt;=0,"",SUM('Semi FCF'!C10:F10)/SUM('Semi Rev'!C10:F10))=""),"",($F$1289-IF(SUM('Semi Rev'!C10:F10)&lt;=0,"",SUM('Semi FCF'!C10:F10)/SUM('Semi Rev'!C10:F10)))*10000),"")</f>
        <v/>
      </c>
      <c r="G1431" s="43">
        <f>IFERROR(IF(OR($G$1289="",$C$1289=""),"",($G$1289-$C$1289)*10000),"")</f>
        <v/>
      </c>
      <c r="H1431" s="43">
        <f>IFERROR(IF(OR($H$1289="",$D$1289=""),"",($H$1289-$D$1289)*10000),"")</f>
        <v/>
      </c>
      <c r="I1431" s="43">
        <f>IFERROR(IF(OR($I$1289="",$E$1289=""),"",($I$1289-$E$1289)*10000),"")</f>
        <v/>
      </c>
      <c r="J1431" s="43">
        <f>IFERROR(IF(OR($J$1289="",$F$1289=""),"",($J$1289-$F$1289)*10000),"")</f>
        <v/>
      </c>
      <c r="K1431" s="43">
        <f>IFERROR(IF(OR($K$1289="",$G$1289=""),"",($K$1289-$G$1289)*10000),"")</f>
        <v/>
      </c>
      <c r="L1431" s="43">
        <f>IFERROR(IF(OR($L$1289="",$H$1289=""),"",($L$1289-$H$1289)*10000),"")</f>
        <v/>
      </c>
      <c r="M1431" s="44">
        <f>IFERROR(IF(OR($M$1289="",$I$1289=""),"",($M$1289-$I$1289)*10000),"")</f>
        <v/>
      </c>
      <c r="N1431" s="44">
        <f>IFERROR(IF(OR($N$1289="",$J$1289=""),"",($N$1289-$J$1289)*10000),"")</f>
        <v/>
      </c>
    </row>
    <row r="1432">
      <c r="A1432" s="19">
        <f>'Semi Rev'!$A11</f>
        <v/>
      </c>
      <c r="B1432" s="19">
        <f>'Semi Rev'!$B11</f>
        <v/>
      </c>
      <c r="C1432" s="43">
        <f>""</f>
        <v/>
      </c>
      <c r="D1432" s="43">
        <f>""</f>
        <v/>
      </c>
      <c r="E1432" s="43">
        <f>""</f>
        <v/>
      </c>
      <c r="F1432" s="43">
        <f>IFERROR(IF(OR($F$1290="",IF(SUM('Semi Rev'!C11:F11)&lt;=0,"",SUM('Semi FCF'!C11:F11)/SUM('Semi Rev'!C11:F11))=""),"",($F$1290-IF(SUM('Semi Rev'!C11:F11)&lt;=0,"",SUM('Semi FCF'!C11:F11)/SUM('Semi Rev'!C11:F11)))*10000),"")</f>
        <v/>
      </c>
      <c r="G1432" s="43">
        <f>IFERROR(IF(OR($G$1290="",$C$1290=""),"",($G$1290-$C$1290)*10000),"")</f>
        <v/>
      </c>
      <c r="H1432" s="43">
        <f>IFERROR(IF(OR($H$1290="",$D$1290=""),"",($H$1290-$D$1290)*10000),"")</f>
        <v/>
      </c>
      <c r="I1432" s="43">
        <f>IFERROR(IF(OR($I$1290="",$E$1290=""),"",($I$1290-$E$1290)*10000),"")</f>
        <v/>
      </c>
      <c r="J1432" s="43">
        <f>IFERROR(IF(OR($J$1290="",$F$1290=""),"",($J$1290-$F$1290)*10000),"")</f>
        <v/>
      </c>
      <c r="K1432" s="43">
        <f>IFERROR(IF(OR($K$1290="",$G$1290=""),"",($K$1290-$G$1290)*10000),"")</f>
        <v/>
      </c>
      <c r="L1432" s="43">
        <f>IFERROR(IF(OR($L$1290="",$H$1290=""),"",($L$1290-$H$1290)*10000),"")</f>
        <v/>
      </c>
      <c r="M1432" s="44">
        <f>IFERROR(IF(OR($M$1290="",$I$1290=""),"",($M$1290-$I$1290)*10000),"")</f>
        <v/>
      </c>
      <c r="N1432" s="44">
        <f>IFERROR(IF(OR($N$1290="",$J$1290=""),"",($N$1290-$J$1290)*10000),"")</f>
        <v/>
      </c>
    </row>
    <row r="1433">
      <c r="A1433" s="19">
        <f>'Semi Rev'!$A12</f>
        <v/>
      </c>
      <c r="B1433" s="19">
        <f>'Semi Rev'!$B12</f>
        <v/>
      </c>
      <c r="C1433" s="43">
        <f>""</f>
        <v/>
      </c>
      <c r="D1433" s="43">
        <f>""</f>
        <v/>
      </c>
      <c r="E1433" s="43">
        <f>""</f>
        <v/>
      </c>
      <c r="F1433" s="43">
        <f>IFERROR(IF(OR($F$1291="",IF(SUM('Semi Rev'!C12:F12)&lt;=0,"",SUM('Semi FCF'!C12:F12)/SUM('Semi Rev'!C12:F12))=""),"",($F$1291-IF(SUM('Semi Rev'!C12:F12)&lt;=0,"",SUM('Semi FCF'!C12:F12)/SUM('Semi Rev'!C12:F12)))*10000),"")</f>
        <v/>
      </c>
      <c r="G1433" s="43">
        <f>IFERROR(IF(OR($G$1291="",$C$1291=""),"",($G$1291-$C$1291)*10000),"")</f>
        <v/>
      </c>
      <c r="H1433" s="43">
        <f>IFERROR(IF(OR($H$1291="",$D$1291=""),"",($H$1291-$D$1291)*10000),"")</f>
        <v/>
      </c>
      <c r="I1433" s="43">
        <f>IFERROR(IF(OR($I$1291="",$E$1291=""),"",($I$1291-$E$1291)*10000),"")</f>
        <v/>
      </c>
      <c r="J1433" s="43">
        <f>IFERROR(IF(OR($J$1291="",$F$1291=""),"",($J$1291-$F$1291)*10000),"")</f>
        <v/>
      </c>
      <c r="K1433" s="43">
        <f>IFERROR(IF(OR($K$1291="",$G$1291=""),"",($K$1291-$G$1291)*10000),"")</f>
        <v/>
      </c>
      <c r="L1433" s="43">
        <f>IFERROR(IF(OR($L$1291="",$H$1291=""),"",($L$1291-$H$1291)*10000),"")</f>
        <v/>
      </c>
      <c r="M1433" s="44">
        <f>IFERROR(IF(OR($M$1291="",$I$1291=""),"",($M$1291-$I$1291)*10000),"")</f>
        <v/>
      </c>
      <c r="N1433" s="44">
        <f>IFERROR(IF(OR($N$1291="",$J$1291=""),"",($N$1291-$J$1291)*10000),"")</f>
        <v/>
      </c>
    </row>
    <row r="1434">
      <c r="A1434" s="19">
        <f>'Semi Rev'!$A13</f>
        <v/>
      </c>
      <c r="B1434" s="19">
        <f>'Semi Rev'!$B13</f>
        <v/>
      </c>
      <c r="C1434" s="43">
        <f>""</f>
        <v/>
      </c>
      <c r="D1434" s="43">
        <f>""</f>
        <v/>
      </c>
      <c r="E1434" s="43">
        <f>""</f>
        <v/>
      </c>
      <c r="F1434" s="43">
        <f>IFERROR(IF(OR($F$1292="",IF(SUM('Semi Rev'!C13:F13)&lt;=0,"",SUM('Semi FCF'!C13:F13)/SUM('Semi Rev'!C13:F13))=""),"",($F$1292-IF(SUM('Semi Rev'!C13:F13)&lt;=0,"",SUM('Semi FCF'!C13:F13)/SUM('Semi Rev'!C13:F13)))*10000),"")</f>
        <v/>
      </c>
      <c r="G1434" s="43">
        <f>IFERROR(IF(OR($G$1292="",$C$1292=""),"",($G$1292-$C$1292)*10000),"")</f>
        <v/>
      </c>
      <c r="H1434" s="43">
        <f>IFERROR(IF(OR($H$1292="",$D$1292=""),"",($H$1292-$D$1292)*10000),"")</f>
        <v/>
      </c>
      <c r="I1434" s="43">
        <f>IFERROR(IF(OR($I$1292="",$E$1292=""),"",($I$1292-$E$1292)*10000),"")</f>
        <v/>
      </c>
      <c r="J1434" s="43">
        <f>IFERROR(IF(OR($J$1292="",$F$1292=""),"",($J$1292-$F$1292)*10000),"")</f>
        <v/>
      </c>
      <c r="K1434" s="43">
        <f>IFERROR(IF(OR($K$1292="",$G$1292=""),"",($K$1292-$G$1292)*10000),"")</f>
        <v/>
      </c>
      <c r="L1434" s="43">
        <f>IFERROR(IF(OR($L$1292="",$H$1292=""),"",($L$1292-$H$1292)*10000),"")</f>
        <v/>
      </c>
      <c r="M1434" s="44">
        <f>IFERROR(IF(OR($M$1292="",$I$1292=""),"",($M$1292-$I$1292)*10000),"")</f>
        <v/>
      </c>
      <c r="N1434" s="44">
        <f>IFERROR(IF(OR($N$1292="",$J$1292=""),"",($N$1292-$J$1292)*10000),"")</f>
        <v/>
      </c>
    </row>
    <row r="1435">
      <c r="A1435" s="19">
        <f>'Semi Rev'!$A14</f>
        <v/>
      </c>
      <c r="B1435" s="19">
        <f>'Semi Rev'!$B14</f>
        <v/>
      </c>
      <c r="C1435" s="43">
        <f>""</f>
        <v/>
      </c>
      <c r="D1435" s="43">
        <f>""</f>
        <v/>
      </c>
      <c r="E1435" s="43">
        <f>""</f>
        <v/>
      </c>
      <c r="F1435" s="43">
        <f>IFERROR(IF(OR($F$1293="",IF(SUM('Semi Rev'!C14:F14)&lt;=0,"",SUM('Semi FCF'!C14:F14)/SUM('Semi Rev'!C14:F14))=""),"",($F$1293-IF(SUM('Semi Rev'!C14:F14)&lt;=0,"",SUM('Semi FCF'!C14:F14)/SUM('Semi Rev'!C14:F14)))*10000),"")</f>
        <v/>
      </c>
      <c r="G1435" s="43">
        <f>IFERROR(IF(OR($G$1293="",$C$1293=""),"",($G$1293-$C$1293)*10000),"")</f>
        <v/>
      </c>
      <c r="H1435" s="43">
        <f>IFERROR(IF(OR($H$1293="",$D$1293=""),"",($H$1293-$D$1293)*10000),"")</f>
        <v/>
      </c>
      <c r="I1435" s="43">
        <f>IFERROR(IF(OR($I$1293="",$E$1293=""),"",($I$1293-$E$1293)*10000),"")</f>
        <v/>
      </c>
      <c r="J1435" s="43">
        <f>IFERROR(IF(OR($J$1293="",$F$1293=""),"",($J$1293-$F$1293)*10000),"")</f>
        <v/>
      </c>
      <c r="K1435" s="43">
        <f>IFERROR(IF(OR($K$1293="",$G$1293=""),"",($K$1293-$G$1293)*10000),"")</f>
        <v/>
      </c>
      <c r="L1435" s="43">
        <f>IFERROR(IF(OR($L$1293="",$H$1293=""),"",($L$1293-$H$1293)*10000),"")</f>
        <v/>
      </c>
      <c r="M1435" s="44">
        <f>IFERROR(IF(OR($M$1293="",$I$1293=""),"",($M$1293-$I$1293)*10000),"")</f>
        <v/>
      </c>
      <c r="N1435" s="44">
        <f>IFERROR(IF(OR($N$1293="",$J$1293=""),"",($N$1293-$J$1293)*10000),"")</f>
        <v/>
      </c>
    </row>
    <row r="1436">
      <c r="A1436" s="19">
        <f>'Semi Rev'!$A15</f>
        <v/>
      </c>
      <c r="B1436" s="19">
        <f>'Semi Rev'!$B15</f>
        <v/>
      </c>
      <c r="C1436" s="43">
        <f>""</f>
        <v/>
      </c>
      <c r="D1436" s="43">
        <f>""</f>
        <v/>
      </c>
      <c r="E1436" s="43">
        <f>""</f>
        <v/>
      </c>
      <c r="F1436" s="43">
        <f>IFERROR(IF(OR($F$1294="",IF(SUM('Semi Rev'!C15:F15)&lt;=0,"",SUM('Semi FCF'!C15:F15)/SUM('Semi Rev'!C15:F15))=""),"",($F$1294-IF(SUM('Semi Rev'!C15:F15)&lt;=0,"",SUM('Semi FCF'!C15:F15)/SUM('Semi Rev'!C15:F15)))*10000),"")</f>
        <v/>
      </c>
      <c r="G1436" s="43">
        <f>IFERROR(IF(OR($G$1294="",$C$1294=""),"",($G$1294-$C$1294)*10000),"")</f>
        <v/>
      </c>
      <c r="H1436" s="43">
        <f>IFERROR(IF(OR($H$1294="",$D$1294=""),"",($H$1294-$D$1294)*10000),"")</f>
        <v/>
      </c>
      <c r="I1436" s="43">
        <f>IFERROR(IF(OR($I$1294="",$E$1294=""),"",($I$1294-$E$1294)*10000),"")</f>
        <v/>
      </c>
      <c r="J1436" s="43">
        <f>IFERROR(IF(OR($J$1294="",$F$1294=""),"",($J$1294-$F$1294)*10000),"")</f>
        <v/>
      </c>
      <c r="K1436" s="43">
        <f>IFERROR(IF(OR($K$1294="",$G$1294=""),"",($K$1294-$G$1294)*10000),"")</f>
        <v/>
      </c>
      <c r="L1436" s="43">
        <f>IFERROR(IF(OR($L$1294="",$H$1294=""),"",($L$1294-$H$1294)*10000),"")</f>
        <v/>
      </c>
      <c r="M1436" s="44">
        <f>IFERROR(IF(OR($M$1294="",$I$1294=""),"",($M$1294-$I$1294)*10000),"")</f>
        <v/>
      </c>
      <c r="N1436" s="44">
        <f>IFERROR(IF(OR($N$1294="",$J$1294=""),"",($N$1294-$J$1294)*10000),"")</f>
        <v/>
      </c>
    </row>
    <row r="1437">
      <c r="A1437" s="19">
        <f>'Semi Rev'!$A16</f>
        <v/>
      </c>
      <c r="B1437" s="19">
        <f>'Semi Rev'!$B16</f>
        <v/>
      </c>
      <c r="C1437" s="43">
        <f>""</f>
        <v/>
      </c>
      <c r="D1437" s="43">
        <f>""</f>
        <v/>
      </c>
      <c r="E1437" s="43">
        <f>""</f>
        <v/>
      </c>
      <c r="F1437" s="43">
        <f>IFERROR(IF(OR($F$1295="",IF(SUM('Semi Rev'!C16:F16)&lt;=0,"",SUM('Semi FCF'!C16:F16)/SUM('Semi Rev'!C16:F16))=""),"",($F$1295-IF(SUM('Semi Rev'!C16:F16)&lt;=0,"",SUM('Semi FCF'!C16:F16)/SUM('Semi Rev'!C16:F16)))*10000),"")</f>
        <v/>
      </c>
      <c r="G1437" s="43">
        <f>IFERROR(IF(OR($G$1295="",$C$1295=""),"",($G$1295-$C$1295)*10000),"")</f>
        <v/>
      </c>
      <c r="H1437" s="43">
        <f>IFERROR(IF(OR($H$1295="",$D$1295=""),"",($H$1295-$D$1295)*10000),"")</f>
        <v/>
      </c>
      <c r="I1437" s="43">
        <f>IFERROR(IF(OR($I$1295="",$E$1295=""),"",($I$1295-$E$1295)*10000),"")</f>
        <v/>
      </c>
      <c r="J1437" s="43">
        <f>IFERROR(IF(OR($J$1295="",$F$1295=""),"",($J$1295-$F$1295)*10000),"")</f>
        <v/>
      </c>
      <c r="K1437" s="43">
        <f>IFERROR(IF(OR($K$1295="",$G$1295=""),"",($K$1295-$G$1295)*10000),"")</f>
        <v/>
      </c>
      <c r="L1437" s="43">
        <f>IFERROR(IF(OR($L$1295="",$H$1295=""),"",($L$1295-$H$1295)*10000),"")</f>
        <v/>
      </c>
      <c r="M1437" s="44">
        <f>IFERROR(IF(OR($M$1295="",$I$1295=""),"",($M$1295-$I$1295)*10000),"")</f>
        <v/>
      </c>
      <c r="N1437" s="44">
        <f>IFERROR(IF(OR($N$1295="",$J$1295=""),"",($N$1295-$J$1295)*10000),"")</f>
        <v/>
      </c>
    </row>
    <row r="1438">
      <c r="A1438" s="19">
        <f>'Semi Rev'!$A17</f>
        <v/>
      </c>
      <c r="B1438" s="19">
        <f>'Semi Rev'!$B17</f>
        <v/>
      </c>
      <c r="C1438" s="43">
        <f>""</f>
        <v/>
      </c>
      <c r="D1438" s="43">
        <f>""</f>
        <v/>
      </c>
      <c r="E1438" s="43">
        <f>""</f>
        <v/>
      </c>
      <c r="F1438" s="43">
        <f>IFERROR(IF(OR($F$1296="",IF(SUM('Semi Rev'!C17:F17)&lt;=0,"",SUM('Semi FCF'!C17:F17)/SUM('Semi Rev'!C17:F17))=""),"",($F$1296-IF(SUM('Semi Rev'!C17:F17)&lt;=0,"",SUM('Semi FCF'!C17:F17)/SUM('Semi Rev'!C17:F17)))*10000),"")</f>
        <v/>
      </c>
      <c r="G1438" s="43">
        <f>IFERROR(IF(OR($G$1296="",$C$1296=""),"",($G$1296-$C$1296)*10000),"")</f>
        <v/>
      </c>
      <c r="H1438" s="43">
        <f>IFERROR(IF(OR($H$1296="",$D$1296=""),"",($H$1296-$D$1296)*10000),"")</f>
        <v/>
      </c>
      <c r="I1438" s="43">
        <f>IFERROR(IF(OR($I$1296="",$E$1296=""),"",($I$1296-$E$1296)*10000),"")</f>
        <v/>
      </c>
      <c r="J1438" s="43">
        <f>IFERROR(IF(OR($J$1296="",$F$1296=""),"",($J$1296-$F$1296)*10000),"")</f>
        <v/>
      </c>
      <c r="K1438" s="43">
        <f>IFERROR(IF(OR($K$1296="",$G$1296=""),"",($K$1296-$G$1296)*10000),"")</f>
        <v/>
      </c>
      <c r="L1438" s="43">
        <f>IFERROR(IF(OR($L$1296="",$H$1296=""),"",($L$1296-$H$1296)*10000),"")</f>
        <v/>
      </c>
      <c r="M1438" s="44">
        <f>IFERROR(IF(OR($M$1296="",$I$1296=""),"",($M$1296-$I$1296)*10000),"")</f>
        <v/>
      </c>
      <c r="N1438" s="44">
        <f>IFERROR(IF(OR($N$1296="",$J$1296=""),"",($N$1296-$J$1296)*10000),"")</f>
        <v/>
      </c>
    </row>
    <row r="1439">
      <c r="A1439" s="19">
        <f>'Semi Rev'!$A18</f>
        <v/>
      </c>
      <c r="B1439" s="19">
        <f>'Semi Rev'!$B18</f>
        <v/>
      </c>
      <c r="C1439" s="43">
        <f>""</f>
        <v/>
      </c>
      <c r="D1439" s="43">
        <f>""</f>
        <v/>
      </c>
      <c r="E1439" s="43">
        <f>""</f>
        <v/>
      </c>
      <c r="F1439" s="43">
        <f>IFERROR(IF(OR($F$1297="",IF(SUM('Semi Rev'!C18:F18)&lt;=0,"",SUM('Semi FCF'!C18:F18)/SUM('Semi Rev'!C18:F18))=""),"",($F$1297-IF(SUM('Semi Rev'!C18:F18)&lt;=0,"",SUM('Semi FCF'!C18:F18)/SUM('Semi Rev'!C18:F18)))*10000),"")</f>
        <v/>
      </c>
      <c r="G1439" s="43">
        <f>IFERROR(IF(OR($G$1297="",$C$1297=""),"",($G$1297-$C$1297)*10000),"")</f>
        <v/>
      </c>
      <c r="H1439" s="43">
        <f>IFERROR(IF(OR($H$1297="",$D$1297=""),"",($H$1297-$D$1297)*10000),"")</f>
        <v/>
      </c>
      <c r="I1439" s="43">
        <f>IFERROR(IF(OR($I$1297="",$E$1297=""),"",($I$1297-$E$1297)*10000),"")</f>
        <v/>
      </c>
      <c r="J1439" s="43">
        <f>IFERROR(IF(OR($J$1297="",$F$1297=""),"",($J$1297-$F$1297)*10000),"")</f>
        <v/>
      </c>
      <c r="K1439" s="43">
        <f>IFERROR(IF(OR($K$1297="",$G$1297=""),"",($K$1297-$G$1297)*10000),"")</f>
        <v/>
      </c>
      <c r="L1439" s="43">
        <f>IFERROR(IF(OR($L$1297="",$H$1297=""),"",($L$1297-$H$1297)*10000),"")</f>
        <v/>
      </c>
      <c r="M1439" s="44">
        <f>IFERROR(IF(OR($M$1297="",$I$1297=""),"",($M$1297-$I$1297)*10000),"")</f>
        <v/>
      </c>
      <c r="N1439" s="44">
        <f>IFERROR(IF(OR($N$1297="",$J$1297=""),"",($N$1297-$J$1297)*10000),"")</f>
        <v/>
      </c>
    </row>
    <row r="1440">
      <c r="A1440" s="19">
        <f>'Semi Rev'!$A19</f>
        <v/>
      </c>
      <c r="B1440" s="19">
        <f>'Semi Rev'!$B19</f>
        <v/>
      </c>
      <c r="C1440" s="43">
        <f>""</f>
        <v/>
      </c>
      <c r="D1440" s="43">
        <f>""</f>
        <v/>
      </c>
      <c r="E1440" s="43">
        <f>""</f>
        <v/>
      </c>
      <c r="F1440" s="43">
        <f>IFERROR(IF(OR($F$1298="",IF(SUM('Semi Rev'!C19:F19)&lt;=0,"",SUM('Semi FCF'!C19:F19)/SUM('Semi Rev'!C19:F19))=""),"",($F$1298-IF(SUM('Semi Rev'!C19:F19)&lt;=0,"",SUM('Semi FCF'!C19:F19)/SUM('Semi Rev'!C19:F19)))*10000),"")</f>
        <v/>
      </c>
      <c r="G1440" s="43">
        <f>IFERROR(IF(OR($G$1298="",$C$1298=""),"",($G$1298-$C$1298)*10000),"")</f>
        <v/>
      </c>
      <c r="H1440" s="43">
        <f>IFERROR(IF(OR($H$1298="",$D$1298=""),"",($H$1298-$D$1298)*10000),"")</f>
        <v/>
      </c>
      <c r="I1440" s="43">
        <f>IFERROR(IF(OR($I$1298="",$E$1298=""),"",($I$1298-$E$1298)*10000),"")</f>
        <v/>
      </c>
      <c r="J1440" s="43">
        <f>IFERROR(IF(OR($J$1298="",$F$1298=""),"",($J$1298-$F$1298)*10000),"")</f>
        <v/>
      </c>
      <c r="K1440" s="43">
        <f>IFERROR(IF(OR($K$1298="",$G$1298=""),"",($K$1298-$G$1298)*10000),"")</f>
        <v/>
      </c>
      <c r="L1440" s="43">
        <f>IFERROR(IF(OR($L$1298="",$H$1298=""),"",($L$1298-$H$1298)*10000),"")</f>
        <v/>
      </c>
      <c r="M1440" s="44">
        <f>IFERROR(IF(OR($M$1298="",$I$1298=""),"",($M$1298-$I$1298)*10000),"")</f>
        <v/>
      </c>
      <c r="N1440" s="44">
        <f>IFERROR(IF(OR($N$1298="",$J$1298=""),"",($N$1298-$J$1298)*10000),"")</f>
        <v/>
      </c>
    </row>
    <row r="1441">
      <c r="A1441" s="19">
        <f>'Semi Rev'!$A20</f>
        <v/>
      </c>
      <c r="B1441" s="19">
        <f>'Semi Rev'!$B20</f>
        <v/>
      </c>
      <c r="C1441" s="43">
        <f>""</f>
        <v/>
      </c>
      <c r="D1441" s="43">
        <f>""</f>
        <v/>
      </c>
      <c r="E1441" s="43">
        <f>""</f>
        <v/>
      </c>
      <c r="F1441" s="43">
        <f>IFERROR(IF(OR($F$1299="",IF(SUM('Semi Rev'!C20:F20)&lt;=0,"",SUM('Semi FCF'!C20:F20)/SUM('Semi Rev'!C20:F20))=""),"",($F$1299-IF(SUM('Semi Rev'!C20:F20)&lt;=0,"",SUM('Semi FCF'!C20:F20)/SUM('Semi Rev'!C20:F20)))*10000),"")</f>
        <v/>
      </c>
      <c r="G1441" s="43">
        <f>IFERROR(IF(OR($G$1299="",$C$1299=""),"",($G$1299-$C$1299)*10000),"")</f>
        <v/>
      </c>
      <c r="H1441" s="43">
        <f>IFERROR(IF(OR($H$1299="",$D$1299=""),"",($H$1299-$D$1299)*10000),"")</f>
        <v/>
      </c>
      <c r="I1441" s="43">
        <f>IFERROR(IF(OR($I$1299="",$E$1299=""),"",($I$1299-$E$1299)*10000),"")</f>
        <v/>
      </c>
      <c r="J1441" s="43">
        <f>IFERROR(IF(OR($J$1299="",$F$1299=""),"",($J$1299-$F$1299)*10000),"")</f>
        <v/>
      </c>
      <c r="K1441" s="43">
        <f>IFERROR(IF(OR($K$1299="",$G$1299=""),"",($K$1299-$G$1299)*10000),"")</f>
        <v/>
      </c>
      <c r="L1441" s="43">
        <f>IFERROR(IF(OR($L$1299="",$H$1299=""),"",($L$1299-$H$1299)*10000),"")</f>
        <v/>
      </c>
      <c r="M1441" s="44">
        <f>IFERROR(IF(OR($M$1299="",$I$1299=""),"",($M$1299-$I$1299)*10000),"")</f>
        <v/>
      </c>
      <c r="N1441" s="44">
        <f>IFERROR(IF(OR($N$1299="",$J$1299=""),"",($N$1299-$J$1299)*10000),"")</f>
        <v/>
      </c>
    </row>
    <row r="1442">
      <c r="A1442" s="19">
        <f>'Semi Rev'!$A21</f>
        <v/>
      </c>
      <c r="B1442" s="19">
        <f>'Semi Rev'!$B21</f>
        <v/>
      </c>
      <c r="C1442" s="43">
        <f>""</f>
        <v/>
      </c>
      <c r="D1442" s="43">
        <f>""</f>
        <v/>
      </c>
      <c r="E1442" s="43">
        <f>""</f>
        <v/>
      </c>
      <c r="F1442" s="43">
        <f>IFERROR(IF(OR($F$1300="",IF(SUM('Semi Rev'!C21:F21)&lt;=0,"",SUM('Semi FCF'!C21:F21)/SUM('Semi Rev'!C21:F21))=""),"",($F$1300-IF(SUM('Semi Rev'!C21:F21)&lt;=0,"",SUM('Semi FCF'!C21:F21)/SUM('Semi Rev'!C21:F21)))*10000),"")</f>
        <v/>
      </c>
      <c r="G1442" s="43">
        <f>IFERROR(IF(OR($G$1300="",$C$1300=""),"",($G$1300-$C$1300)*10000),"")</f>
        <v/>
      </c>
      <c r="H1442" s="43">
        <f>IFERROR(IF(OR($H$1300="",$D$1300=""),"",($H$1300-$D$1300)*10000),"")</f>
        <v/>
      </c>
      <c r="I1442" s="43">
        <f>IFERROR(IF(OR($I$1300="",$E$1300=""),"",($I$1300-$E$1300)*10000),"")</f>
        <v/>
      </c>
      <c r="J1442" s="43">
        <f>IFERROR(IF(OR($J$1300="",$F$1300=""),"",($J$1300-$F$1300)*10000),"")</f>
        <v/>
      </c>
      <c r="K1442" s="43">
        <f>IFERROR(IF(OR($K$1300="",$G$1300=""),"",($K$1300-$G$1300)*10000),"")</f>
        <v/>
      </c>
      <c r="L1442" s="43">
        <f>IFERROR(IF(OR($L$1300="",$H$1300=""),"",($L$1300-$H$1300)*10000),"")</f>
        <v/>
      </c>
      <c r="M1442" s="44">
        <f>IFERROR(IF(OR($M$1300="",$I$1300=""),"",($M$1300-$I$1300)*10000),"")</f>
        <v/>
      </c>
      <c r="N1442" s="44">
        <f>IFERROR(IF(OR($N$1300="",$J$1300=""),"",($N$1300-$J$1300)*10000),"")</f>
        <v/>
      </c>
    </row>
    <row r="1443">
      <c r="A1443" s="19">
        <f>'Semi Rev'!$A22</f>
        <v/>
      </c>
      <c r="B1443" s="19">
        <f>'Semi Rev'!$B22</f>
        <v/>
      </c>
      <c r="C1443" s="43">
        <f>""</f>
        <v/>
      </c>
      <c r="D1443" s="43">
        <f>""</f>
        <v/>
      </c>
      <c r="E1443" s="43">
        <f>""</f>
        <v/>
      </c>
      <c r="F1443" s="43">
        <f>IFERROR(IF(OR($F$1301="",IF(SUM('Semi Rev'!C22:F22)&lt;=0,"",SUM('Semi FCF'!C22:F22)/SUM('Semi Rev'!C22:F22))=""),"",($F$1301-IF(SUM('Semi Rev'!C22:F22)&lt;=0,"",SUM('Semi FCF'!C22:F22)/SUM('Semi Rev'!C22:F22)))*10000),"")</f>
        <v/>
      </c>
      <c r="G1443" s="43">
        <f>IFERROR(IF(OR($G$1301="",$C$1301=""),"",($G$1301-$C$1301)*10000),"")</f>
        <v/>
      </c>
      <c r="H1443" s="43">
        <f>IFERROR(IF(OR($H$1301="",$D$1301=""),"",($H$1301-$D$1301)*10000),"")</f>
        <v/>
      </c>
      <c r="I1443" s="43">
        <f>IFERROR(IF(OR($I$1301="",$E$1301=""),"",($I$1301-$E$1301)*10000),"")</f>
        <v/>
      </c>
      <c r="J1443" s="43">
        <f>IFERROR(IF(OR($J$1301="",$F$1301=""),"",($J$1301-$F$1301)*10000),"")</f>
        <v/>
      </c>
      <c r="K1443" s="43">
        <f>IFERROR(IF(OR($K$1301="",$G$1301=""),"",($K$1301-$G$1301)*10000),"")</f>
        <v/>
      </c>
      <c r="L1443" s="43">
        <f>IFERROR(IF(OR($L$1301="",$H$1301=""),"",($L$1301-$H$1301)*10000),"")</f>
        <v/>
      </c>
      <c r="M1443" s="44">
        <f>IFERROR(IF(OR($M$1301="",$I$1301=""),"",($M$1301-$I$1301)*10000),"")</f>
        <v/>
      </c>
      <c r="N1443" s="44">
        <f>IFERROR(IF(OR($N$1301="",$J$1301=""),"",($N$1301-$J$1301)*10000),"")</f>
        <v/>
      </c>
    </row>
    <row r="1444">
      <c r="A1444" s="19">
        <f>'Semi Rev'!$A23</f>
        <v/>
      </c>
      <c r="B1444" s="19">
        <f>'Semi Rev'!$B23</f>
        <v/>
      </c>
      <c r="C1444" s="43">
        <f>""</f>
        <v/>
      </c>
      <c r="D1444" s="43">
        <f>""</f>
        <v/>
      </c>
      <c r="E1444" s="43">
        <f>""</f>
        <v/>
      </c>
      <c r="F1444" s="43">
        <f>IFERROR(IF(OR($F$1302="",IF(SUM('Semi Rev'!C23:F23)&lt;=0,"",SUM('Semi FCF'!C23:F23)/SUM('Semi Rev'!C23:F23))=""),"",($F$1302-IF(SUM('Semi Rev'!C23:F23)&lt;=0,"",SUM('Semi FCF'!C23:F23)/SUM('Semi Rev'!C23:F23)))*10000),"")</f>
        <v/>
      </c>
      <c r="G1444" s="43">
        <f>IFERROR(IF(OR($G$1302="",$C$1302=""),"",($G$1302-$C$1302)*10000),"")</f>
        <v/>
      </c>
      <c r="H1444" s="43">
        <f>IFERROR(IF(OR($H$1302="",$D$1302=""),"",($H$1302-$D$1302)*10000),"")</f>
        <v/>
      </c>
      <c r="I1444" s="43">
        <f>IFERROR(IF(OR($I$1302="",$E$1302=""),"",($I$1302-$E$1302)*10000),"")</f>
        <v/>
      </c>
      <c r="J1444" s="43">
        <f>IFERROR(IF(OR($J$1302="",$F$1302=""),"",($J$1302-$F$1302)*10000),"")</f>
        <v/>
      </c>
      <c r="K1444" s="43">
        <f>IFERROR(IF(OR($K$1302="",$G$1302=""),"",($K$1302-$G$1302)*10000),"")</f>
        <v/>
      </c>
      <c r="L1444" s="43">
        <f>IFERROR(IF(OR($L$1302="",$H$1302=""),"",($L$1302-$H$1302)*10000),"")</f>
        <v/>
      </c>
      <c r="M1444" s="44">
        <f>IFERROR(IF(OR($M$1302="",$I$1302=""),"",($M$1302-$I$1302)*10000),"")</f>
        <v/>
      </c>
      <c r="N1444" s="44">
        <f>IFERROR(IF(OR($N$1302="",$J$1302=""),"",($N$1302-$J$1302)*10000),"")</f>
        <v/>
      </c>
    </row>
    <row r="1445">
      <c r="A1445" s="19">
        <f>'Semi Rev'!$A24</f>
        <v/>
      </c>
      <c r="B1445" s="19">
        <f>'Semi Rev'!$B24</f>
        <v/>
      </c>
      <c r="C1445" s="43">
        <f>""</f>
        <v/>
      </c>
      <c r="D1445" s="43">
        <f>""</f>
        <v/>
      </c>
      <c r="E1445" s="43">
        <f>""</f>
        <v/>
      </c>
      <c r="F1445" s="43">
        <f>IFERROR(IF(OR($F$1303="",IF(SUM('Semi Rev'!C24:F24)&lt;=0,"",SUM('Semi FCF'!C24:F24)/SUM('Semi Rev'!C24:F24))=""),"",($F$1303-IF(SUM('Semi Rev'!C24:F24)&lt;=0,"",SUM('Semi FCF'!C24:F24)/SUM('Semi Rev'!C24:F24)))*10000),"")</f>
        <v/>
      </c>
      <c r="G1445" s="43">
        <f>IFERROR(IF(OR($G$1303="",$C$1303=""),"",($G$1303-$C$1303)*10000),"")</f>
        <v/>
      </c>
      <c r="H1445" s="43">
        <f>IFERROR(IF(OR($H$1303="",$D$1303=""),"",($H$1303-$D$1303)*10000),"")</f>
        <v/>
      </c>
      <c r="I1445" s="43">
        <f>IFERROR(IF(OR($I$1303="",$E$1303=""),"",($I$1303-$E$1303)*10000),"")</f>
        <v/>
      </c>
      <c r="J1445" s="43">
        <f>IFERROR(IF(OR($J$1303="",$F$1303=""),"",($J$1303-$F$1303)*10000),"")</f>
        <v/>
      </c>
      <c r="K1445" s="43">
        <f>IFERROR(IF(OR($K$1303="",$G$1303=""),"",($K$1303-$G$1303)*10000),"")</f>
        <v/>
      </c>
      <c r="L1445" s="43">
        <f>IFERROR(IF(OR($L$1303="",$H$1303=""),"",($L$1303-$H$1303)*10000),"")</f>
        <v/>
      </c>
      <c r="M1445" s="44">
        <f>IFERROR(IF(OR($M$1303="",$I$1303=""),"",($M$1303-$I$1303)*10000),"")</f>
        <v/>
      </c>
      <c r="N1445" s="44">
        <f>IFERROR(IF(OR($N$1303="",$J$1303=""),"",($N$1303-$J$1303)*10000),"")</f>
        <v/>
      </c>
    </row>
    <row r="1446">
      <c r="A1446" s="19">
        <f>'Semi Rev'!$A25</f>
        <v/>
      </c>
      <c r="B1446" s="19">
        <f>'Semi Rev'!$B25</f>
        <v/>
      </c>
      <c r="C1446" s="43">
        <f>""</f>
        <v/>
      </c>
      <c r="D1446" s="43">
        <f>""</f>
        <v/>
      </c>
      <c r="E1446" s="43">
        <f>""</f>
        <v/>
      </c>
      <c r="F1446" s="43">
        <f>IFERROR(IF(OR($F$1304="",IF(SUM('Semi Rev'!C25:F25)&lt;=0,"",SUM('Semi FCF'!C25:F25)/SUM('Semi Rev'!C25:F25))=""),"",($F$1304-IF(SUM('Semi Rev'!C25:F25)&lt;=0,"",SUM('Semi FCF'!C25:F25)/SUM('Semi Rev'!C25:F25)))*10000),"")</f>
        <v/>
      </c>
      <c r="G1446" s="43">
        <f>IFERROR(IF(OR($G$1304="",$C$1304=""),"",($G$1304-$C$1304)*10000),"")</f>
        <v/>
      </c>
      <c r="H1446" s="43">
        <f>IFERROR(IF(OR($H$1304="",$D$1304=""),"",($H$1304-$D$1304)*10000),"")</f>
        <v/>
      </c>
      <c r="I1446" s="43">
        <f>IFERROR(IF(OR($I$1304="",$E$1304=""),"",($I$1304-$E$1304)*10000),"")</f>
        <v/>
      </c>
      <c r="J1446" s="43">
        <f>IFERROR(IF(OR($J$1304="",$F$1304=""),"",($J$1304-$F$1304)*10000),"")</f>
        <v/>
      </c>
      <c r="K1446" s="43">
        <f>IFERROR(IF(OR($K$1304="",$G$1304=""),"",($K$1304-$G$1304)*10000),"")</f>
        <v/>
      </c>
      <c r="L1446" s="43">
        <f>IFERROR(IF(OR($L$1304="",$H$1304=""),"",($L$1304-$H$1304)*10000),"")</f>
        <v/>
      </c>
      <c r="M1446" s="44">
        <f>IFERROR(IF(OR($M$1304="",$I$1304=""),"",($M$1304-$I$1304)*10000),"")</f>
        <v/>
      </c>
      <c r="N1446" s="44">
        <f>IFERROR(IF(OR($N$1304="",$J$1304=""),"",($N$1304-$J$1304)*10000),"")</f>
        <v/>
      </c>
    </row>
    <row r="1447">
      <c r="A1447" s="19">
        <f>'Semi Rev'!$A26</f>
        <v/>
      </c>
      <c r="B1447" s="19">
        <f>'Semi Rev'!$B26</f>
        <v/>
      </c>
      <c r="C1447" s="43">
        <f>""</f>
        <v/>
      </c>
      <c r="D1447" s="43">
        <f>""</f>
        <v/>
      </c>
      <c r="E1447" s="43">
        <f>""</f>
        <v/>
      </c>
      <c r="F1447" s="43">
        <f>IFERROR(IF(OR($F$1305="",IF(SUM('Semi Rev'!C26:F26)&lt;=0,"",SUM('Semi FCF'!C26:F26)/SUM('Semi Rev'!C26:F26))=""),"",($F$1305-IF(SUM('Semi Rev'!C26:F26)&lt;=0,"",SUM('Semi FCF'!C26:F26)/SUM('Semi Rev'!C26:F26)))*10000),"")</f>
        <v/>
      </c>
      <c r="G1447" s="43">
        <f>IFERROR(IF(OR($G$1305="",$C$1305=""),"",($G$1305-$C$1305)*10000),"")</f>
        <v/>
      </c>
      <c r="H1447" s="43">
        <f>IFERROR(IF(OR($H$1305="",$D$1305=""),"",($H$1305-$D$1305)*10000),"")</f>
        <v/>
      </c>
      <c r="I1447" s="43">
        <f>IFERROR(IF(OR($I$1305="",$E$1305=""),"",($I$1305-$E$1305)*10000),"")</f>
        <v/>
      </c>
      <c r="J1447" s="43">
        <f>IFERROR(IF(OR($J$1305="",$F$1305=""),"",($J$1305-$F$1305)*10000),"")</f>
        <v/>
      </c>
      <c r="K1447" s="43">
        <f>IFERROR(IF(OR($K$1305="",$G$1305=""),"",($K$1305-$G$1305)*10000),"")</f>
        <v/>
      </c>
      <c r="L1447" s="43">
        <f>IFERROR(IF(OR($L$1305="",$H$1305=""),"",($L$1305-$H$1305)*10000),"")</f>
        <v/>
      </c>
      <c r="M1447" s="44">
        <f>IFERROR(IF(OR($M$1305="",$I$1305=""),"",($M$1305-$I$1305)*10000),"")</f>
        <v/>
      </c>
      <c r="N1447" s="44">
        <f>IFERROR(IF(OR($N$1305="",$J$1305=""),"",($N$1305-$J$1305)*10000),"")</f>
        <v/>
      </c>
    </row>
    <row r="1448">
      <c r="A1448" s="19">
        <f>'Semi Rev'!$A27</f>
        <v/>
      </c>
      <c r="B1448" s="19">
        <f>'Semi Rev'!$B27</f>
        <v/>
      </c>
      <c r="C1448" s="43">
        <f>""</f>
        <v/>
      </c>
      <c r="D1448" s="43">
        <f>""</f>
        <v/>
      </c>
      <c r="E1448" s="43">
        <f>""</f>
        <v/>
      </c>
      <c r="F1448" s="43">
        <f>IFERROR(IF(OR($F$1306="",IF(SUM('Semi Rev'!C27:F27)&lt;=0,"",SUM('Semi FCF'!C27:F27)/SUM('Semi Rev'!C27:F27))=""),"",($F$1306-IF(SUM('Semi Rev'!C27:F27)&lt;=0,"",SUM('Semi FCF'!C27:F27)/SUM('Semi Rev'!C27:F27)))*10000),"")</f>
        <v/>
      </c>
      <c r="G1448" s="43">
        <f>IFERROR(IF(OR($G$1306="",$C$1306=""),"",($G$1306-$C$1306)*10000),"")</f>
        <v/>
      </c>
      <c r="H1448" s="43">
        <f>IFERROR(IF(OR($H$1306="",$D$1306=""),"",($H$1306-$D$1306)*10000),"")</f>
        <v/>
      </c>
      <c r="I1448" s="43">
        <f>IFERROR(IF(OR($I$1306="",$E$1306=""),"",($I$1306-$E$1306)*10000),"")</f>
        <v/>
      </c>
      <c r="J1448" s="43">
        <f>IFERROR(IF(OR($J$1306="",$F$1306=""),"",($J$1306-$F$1306)*10000),"")</f>
        <v/>
      </c>
      <c r="K1448" s="43">
        <f>IFERROR(IF(OR($K$1306="",$G$1306=""),"",($K$1306-$G$1306)*10000),"")</f>
        <v/>
      </c>
      <c r="L1448" s="43">
        <f>IFERROR(IF(OR($L$1306="",$H$1306=""),"",($L$1306-$H$1306)*10000),"")</f>
        <v/>
      </c>
      <c r="M1448" s="44">
        <f>IFERROR(IF(OR($M$1306="",$I$1306=""),"",($M$1306-$I$1306)*10000),"")</f>
        <v/>
      </c>
      <c r="N1448" s="44">
        <f>IFERROR(IF(OR($N$1306="",$J$1306=""),"",($N$1306-$J$1306)*10000),"")</f>
        <v/>
      </c>
    </row>
    <row r="1449">
      <c r="A1449" s="19">
        <f>'Semi Rev'!$A28</f>
        <v/>
      </c>
      <c r="B1449" s="19">
        <f>'Semi Rev'!$B28</f>
        <v/>
      </c>
      <c r="C1449" s="43">
        <f>""</f>
        <v/>
      </c>
      <c r="D1449" s="43">
        <f>""</f>
        <v/>
      </c>
      <c r="E1449" s="43">
        <f>""</f>
        <v/>
      </c>
      <c r="F1449" s="43">
        <f>IFERROR(IF(OR($F$1307="",IF(SUM('Semi Rev'!C28:F28)&lt;=0,"",SUM('Semi FCF'!C28:F28)/SUM('Semi Rev'!C28:F28))=""),"",($F$1307-IF(SUM('Semi Rev'!C28:F28)&lt;=0,"",SUM('Semi FCF'!C28:F28)/SUM('Semi Rev'!C28:F28)))*10000),"")</f>
        <v/>
      </c>
      <c r="G1449" s="43">
        <f>IFERROR(IF(OR($G$1307="",$C$1307=""),"",($G$1307-$C$1307)*10000),"")</f>
        <v/>
      </c>
      <c r="H1449" s="43">
        <f>IFERROR(IF(OR($H$1307="",$D$1307=""),"",($H$1307-$D$1307)*10000),"")</f>
        <v/>
      </c>
      <c r="I1449" s="43">
        <f>IFERROR(IF(OR($I$1307="",$E$1307=""),"",($I$1307-$E$1307)*10000),"")</f>
        <v/>
      </c>
      <c r="J1449" s="43">
        <f>IFERROR(IF(OR($J$1307="",$F$1307=""),"",($J$1307-$F$1307)*10000),"")</f>
        <v/>
      </c>
      <c r="K1449" s="43">
        <f>IFERROR(IF(OR($K$1307="",$G$1307=""),"",($K$1307-$G$1307)*10000),"")</f>
        <v/>
      </c>
      <c r="L1449" s="43">
        <f>IFERROR(IF(OR($L$1307="",$H$1307=""),"",($L$1307-$H$1307)*10000),"")</f>
        <v/>
      </c>
      <c r="M1449" s="44">
        <f>IFERROR(IF(OR($M$1307="",$I$1307=""),"",($M$1307-$I$1307)*10000),"")</f>
        <v/>
      </c>
      <c r="N1449" s="44">
        <f>IFERROR(IF(OR($N$1307="",$J$1307=""),"",($N$1307-$J$1307)*10000),"")</f>
        <v/>
      </c>
    </row>
    <row r="1450">
      <c r="A1450" s="19">
        <f>'Semi Rev'!$A29</f>
        <v/>
      </c>
      <c r="B1450" s="19">
        <f>'Semi Rev'!$B29</f>
        <v/>
      </c>
      <c r="C1450" s="43">
        <f>""</f>
        <v/>
      </c>
      <c r="D1450" s="43">
        <f>""</f>
        <v/>
      </c>
      <c r="E1450" s="43">
        <f>""</f>
        <v/>
      </c>
      <c r="F1450" s="43">
        <f>IFERROR(IF(OR($F$1308="",IF(SUM('Semi Rev'!C29:F29)&lt;=0,"",SUM('Semi FCF'!C29:F29)/SUM('Semi Rev'!C29:F29))=""),"",($F$1308-IF(SUM('Semi Rev'!C29:F29)&lt;=0,"",SUM('Semi FCF'!C29:F29)/SUM('Semi Rev'!C29:F29)))*10000),"")</f>
        <v/>
      </c>
      <c r="G1450" s="43">
        <f>IFERROR(IF(OR($G$1308="",$C$1308=""),"",($G$1308-$C$1308)*10000),"")</f>
        <v/>
      </c>
      <c r="H1450" s="43">
        <f>IFERROR(IF(OR($H$1308="",$D$1308=""),"",($H$1308-$D$1308)*10000),"")</f>
        <v/>
      </c>
      <c r="I1450" s="43">
        <f>IFERROR(IF(OR($I$1308="",$E$1308=""),"",($I$1308-$E$1308)*10000),"")</f>
        <v/>
      </c>
      <c r="J1450" s="43">
        <f>IFERROR(IF(OR($J$1308="",$F$1308=""),"",($J$1308-$F$1308)*10000),"")</f>
        <v/>
      </c>
      <c r="K1450" s="43">
        <f>IFERROR(IF(OR($K$1308="",$G$1308=""),"",($K$1308-$G$1308)*10000),"")</f>
        <v/>
      </c>
      <c r="L1450" s="43">
        <f>IFERROR(IF(OR($L$1308="",$H$1308=""),"",($L$1308-$H$1308)*10000),"")</f>
        <v/>
      </c>
      <c r="M1450" s="44">
        <f>IFERROR(IF(OR($M$1308="",$I$1308=""),"",($M$1308-$I$1308)*10000),"")</f>
        <v/>
      </c>
      <c r="N1450" s="44">
        <f>IFERROR(IF(OR($N$1308="",$J$1308=""),"",($N$1308-$J$1308)*10000),"")</f>
        <v/>
      </c>
    </row>
    <row r="1451">
      <c r="A1451" s="19">
        <f>'Semi Rev'!$A30</f>
        <v/>
      </c>
      <c r="B1451" s="19">
        <f>'Semi Rev'!$B30</f>
        <v/>
      </c>
      <c r="C1451" s="43">
        <f>""</f>
        <v/>
      </c>
      <c r="D1451" s="43">
        <f>""</f>
        <v/>
      </c>
      <c r="E1451" s="43">
        <f>""</f>
        <v/>
      </c>
      <c r="F1451" s="43">
        <f>IFERROR(IF(OR($F$1309="",IF(SUM('Semi Rev'!C30:F30)&lt;=0,"",SUM('Semi FCF'!C30:F30)/SUM('Semi Rev'!C30:F30))=""),"",($F$1309-IF(SUM('Semi Rev'!C30:F30)&lt;=0,"",SUM('Semi FCF'!C30:F30)/SUM('Semi Rev'!C30:F30)))*10000),"")</f>
        <v/>
      </c>
      <c r="G1451" s="43">
        <f>IFERROR(IF(OR($G$1309="",$C$1309=""),"",($G$1309-$C$1309)*10000),"")</f>
        <v/>
      </c>
      <c r="H1451" s="43">
        <f>IFERROR(IF(OR($H$1309="",$D$1309=""),"",($H$1309-$D$1309)*10000),"")</f>
        <v/>
      </c>
      <c r="I1451" s="43">
        <f>IFERROR(IF(OR($I$1309="",$E$1309=""),"",($I$1309-$E$1309)*10000),"")</f>
        <v/>
      </c>
      <c r="J1451" s="43">
        <f>IFERROR(IF(OR($J$1309="",$F$1309=""),"",($J$1309-$F$1309)*10000),"")</f>
        <v/>
      </c>
      <c r="K1451" s="43">
        <f>IFERROR(IF(OR($K$1309="",$G$1309=""),"",($K$1309-$G$1309)*10000),"")</f>
        <v/>
      </c>
      <c r="L1451" s="43">
        <f>IFERROR(IF(OR($L$1309="",$H$1309=""),"",($L$1309-$H$1309)*10000),"")</f>
        <v/>
      </c>
      <c r="M1451" s="44">
        <f>IFERROR(IF(OR($M$1309="",$I$1309=""),"",($M$1309-$I$1309)*10000),"")</f>
        <v/>
      </c>
      <c r="N1451" s="44">
        <f>IFERROR(IF(OR($N$1309="",$J$1309=""),"",($N$1309-$J$1309)*10000),"")</f>
        <v/>
      </c>
    </row>
    <row r="1452">
      <c r="A1452" s="19">
        <f>'Semi Rev'!$A31</f>
        <v/>
      </c>
      <c r="B1452" s="19">
        <f>'Semi Rev'!$B31</f>
        <v/>
      </c>
      <c r="C1452" s="43">
        <f>""</f>
        <v/>
      </c>
      <c r="D1452" s="43">
        <f>""</f>
        <v/>
      </c>
      <c r="E1452" s="43">
        <f>""</f>
        <v/>
      </c>
      <c r="F1452" s="43">
        <f>IFERROR(IF(OR($F$1310="",IF(SUM('Semi Rev'!C31:F31)&lt;=0,"",SUM('Semi FCF'!C31:F31)/SUM('Semi Rev'!C31:F31))=""),"",($F$1310-IF(SUM('Semi Rev'!C31:F31)&lt;=0,"",SUM('Semi FCF'!C31:F31)/SUM('Semi Rev'!C31:F31)))*10000),"")</f>
        <v/>
      </c>
      <c r="G1452" s="43">
        <f>IFERROR(IF(OR($G$1310="",$C$1310=""),"",($G$1310-$C$1310)*10000),"")</f>
        <v/>
      </c>
      <c r="H1452" s="43">
        <f>IFERROR(IF(OR($H$1310="",$D$1310=""),"",($H$1310-$D$1310)*10000),"")</f>
        <v/>
      </c>
      <c r="I1452" s="43">
        <f>IFERROR(IF(OR($I$1310="",$E$1310=""),"",($I$1310-$E$1310)*10000),"")</f>
        <v/>
      </c>
      <c r="J1452" s="43">
        <f>IFERROR(IF(OR($J$1310="",$F$1310=""),"",($J$1310-$F$1310)*10000),"")</f>
        <v/>
      </c>
      <c r="K1452" s="43">
        <f>IFERROR(IF(OR($K$1310="",$G$1310=""),"",($K$1310-$G$1310)*10000),"")</f>
        <v/>
      </c>
      <c r="L1452" s="43">
        <f>IFERROR(IF(OR($L$1310="",$H$1310=""),"",($L$1310-$H$1310)*10000),"")</f>
        <v/>
      </c>
      <c r="M1452" s="44">
        <f>IFERROR(IF(OR($M$1310="",$I$1310=""),"",($M$1310-$I$1310)*10000),"")</f>
        <v/>
      </c>
      <c r="N1452" s="44">
        <f>IFERROR(IF(OR($N$1310="",$J$1310=""),"",($N$1310-$J$1310)*10000),"")</f>
        <v/>
      </c>
    </row>
    <row r="1453">
      <c r="A1453" s="19">
        <f>'Semi Rev'!$A32</f>
        <v/>
      </c>
      <c r="B1453" s="19">
        <f>'Semi Rev'!$B32</f>
        <v/>
      </c>
      <c r="C1453" s="43">
        <f>""</f>
        <v/>
      </c>
      <c r="D1453" s="43">
        <f>""</f>
        <v/>
      </c>
      <c r="E1453" s="43">
        <f>""</f>
        <v/>
      </c>
      <c r="F1453" s="43">
        <f>IFERROR(IF(OR($F$1311="",IF(SUM('Semi Rev'!C32:F32)&lt;=0,"",SUM('Semi FCF'!C32:F32)/SUM('Semi Rev'!C32:F32))=""),"",($F$1311-IF(SUM('Semi Rev'!C32:F32)&lt;=0,"",SUM('Semi FCF'!C32:F32)/SUM('Semi Rev'!C32:F32)))*10000),"")</f>
        <v/>
      </c>
      <c r="G1453" s="43">
        <f>IFERROR(IF(OR($G$1311="",$C$1311=""),"",($G$1311-$C$1311)*10000),"")</f>
        <v/>
      </c>
      <c r="H1453" s="43">
        <f>IFERROR(IF(OR($H$1311="",$D$1311=""),"",($H$1311-$D$1311)*10000),"")</f>
        <v/>
      </c>
      <c r="I1453" s="43">
        <f>IFERROR(IF(OR($I$1311="",$E$1311=""),"",($I$1311-$E$1311)*10000),"")</f>
        <v/>
      </c>
      <c r="J1453" s="43">
        <f>IFERROR(IF(OR($J$1311="",$F$1311=""),"",($J$1311-$F$1311)*10000),"")</f>
        <v/>
      </c>
      <c r="K1453" s="43">
        <f>IFERROR(IF(OR($K$1311="",$G$1311=""),"",($K$1311-$G$1311)*10000),"")</f>
        <v/>
      </c>
      <c r="L1453" s="43">
        <f>IFERROR(IF(OR($L$1311="",$H$1311=""),"",($L$1311-$H$1311)*10000),"")</f>
        <v/>
      </c>
      <c r="M1453" s="44">
        <f>IFERROR(IF(OR($M$1311="",$I$1311=""),"",($M$1311-$I$1311)*10000),"")</f>
        <v/>
      </c>
      <c r="N1453" s="44">
        <f>IFERROR(IF(OR($N$1311="",$J$1311=""),"",($N$1311-$J$1311)*10000),"")</f>
        <v/>
      </c>
    </row>
    <row r="1454">
      <c r="A1454" s="19">
        <f>'Semi Rev'!$A33</f>
        <v/>
      </c>
      <c r="B1454" s="19">
        <f>'Semi Rev'!$B33</f>
        <v/>
      </c>
      <c r="C1454" s="43">
        <f>""</f>
        <v/>
      </c>
      <c r="D1454" s="43">
        <f>""</f>
        <v/>
      </c>
      <c r="E1454" s="43">
        <f>""</f>
        <v/>
      </c>
      <c r="F1454" s="43">
        <f>IFERROR(IF(OR($F$1312="",IF(SUM('Semi Rev'!C33:F33)&lt;=0,"",SUM('Semi FCF'!C33:F33)/SUM('Semi Rev'!C33:F33))=""),"",($F$1312-IF(SUM('Semi Rev'!C33:F33)&lt;=0,"",SUM('Semi FCF'!C33:F33)/SUM('Semi Rev'!C33:F33)))*10000),"")</f>
        <v/>
      </c>
      <c r="G1454" s="43">
        <f>IFERROR(IF(OR($G$1312="",$C$1312=""),"",($G$1312-$C$1312)*10000),"")</f>
        <v/>
      </c>
      <c r="H1454" s="43">
        <f>IFERROR(IF(OR($H$1312="",$D$1312=""),"",($H$1312-$D$1312)*10000),"")</f>
        <v/>
      </c>
      <c r="I1454" s="43">
        <f>IFERROR(IF(OR($I$1312="",$E$1312=""),"",($I$1312-$E$1312)*10000),"")</f>
        <v/>
      </c>
      <c r="J1454" s="43">
        <f>IFERROR(IF(OR($J$1312="",$F$1312=""),"",($J$1312-$F$1312)*10000),"")</f>
        <v/>
      </c>
      <c r="K1454" s="43">
        <f>IFERROR(IF(OR($K$1312="",$G$1312=""),"",($K$1312-$G$1312)*10000),"")</f>
        <v/>
      </c>
      <c r="L1454" s="43">
        <f>IFERROR(IF(OR($L$1312="",$H$1312=""),"",($L$1312-$H$1312)*10000),"")</f>
        <v/>
      </c>
      <c r="M1454" s="44">
        <f>IFERROR(IF(OR($M$1312="",$I$1312=""),"",($M$1312-$I$1312)*10000),"")</f>
        <v/>
      </c>
      <c r="N1454" s="44">
        <f>IFERROR(IF(OR($N$1312="",$J$1312=""),"",($N$1312-$J$1312)*10000),"")</f>
        <v/>
      </c>
    </row>
    <row r="1455">
      <c r="A1455" s="19">
        <f>'Semi Rev'!$A34</f>
        <v/>
      </c>
      <c r="B1455" s="19">
        <f>'Semi Rev'!$B34</f>
        <v/>
      </c>
      <c r="C1455" s="43">
        <f>""</f>
        <v/>
      </c>
      <c r="D1455" s="43">
        <f>""</f>
        <v/>
      </c>
      <c r="E1455" s="43">
        <f>""</f>
        <v/>
      </c>
      <c r="F1455" s="43">
        <f>IFERROR(IF(OR($F$1313="",IF(SUM('Semi Rev'!C34:F34)&lt;=0,"",SUM('Semi FCF'!C34:F34)/SUM('Semi Rev'!C34:F34))=""),"",($F$1313-IF(SUM('Semi Rev'!C34:F34)&lt;=0,"",SUM('Semi FCF'!C34:F34)/SUM('Semi Rev'!C34:F34)))*10000),"")</f>
        <v/>
      </c>
      <c r="G1455" s="43">
        <f>IFERROR(IF(OR($G$1313="",$C$1313=""),"",($G$1313-$C$1313)*10000),"")</f>
        <v/>
      </c>
      <c r="H1455" s="43">
        <f>IFERROR(IF(OR($H$1313="",$D$1313=""),"",($H$1313-$D$1313)*10000),"")</f>
        <v/>
      </c>
      <c r="I1455" s="43">
        <f>IFERROR(IF(OR($I$1313="",$E$1313=""),"",($I$1313-$E$1313)*10000),"")</f>
        <v/>
      </c>
      <c r="J1455" s="43">
        <f>IFERROR(IF(OR($J$1313="",$F$1313=""),"",($J$1313-$F$1313)*10000),"")</f>
        <v/>
      </c>
      <c r="K1455" s="43">
        <f>IFERROR(IF(OR($K$1313="",$G$1313=""),"",($K$1313-$G$1313)*10000),"")</f>
        <v/>
      </c>
      <c r="L1455" s="43">
        <f>IFERROR(IF(OR($L$1313="",$H$1313=""),"",($L$1313-$H$1313)*10000),"")</f>
        <v/>
      </c>
      <c r="M1455" s="44">
        <f>IFERROR(IF(OR($M$1313="",$I$1313=""),"",($M$1313-$I$1313)*10000),"")</f>
        <v/>
      </c>
      <c r="N1455" s="44">
        <f>IFERROR(IF(OR($N$1313="",$J$1313=""),"",($N$1313-$J$1313)*10000),"")</f>
        <v/>
      </c>
    </row>
    <row r="1456">
      <c r="A1456" s="19">
        <f>'Semi Rev'!$A35</f>
        <v/>
      </c>
      <c r="B1456" s="19">
        <f>'Semi Rev'!$B35</f>
        <v/>
      </c>
      <c r="C1456" s="43">
        <f>""</f>
        <v/>
      </c>
      <c r="D1456" s="43">
        <f>""</f>
        <v/>
      </c>
      <c r="E1456" s="43">
        <f>""</f>
        <v/>
      </c>
      <c r="F1456" s="43">
        <f>IFERROR(IF(OR($F$1314="",IF(SUM('Semi Rev'!C35:F35)&lt;=0,"",SUM('Semi FCF'!C35:F35)/SUM('Semi Rev'!C35:F35))=""),"",($F$1314-IF(SUM('Semi Rev'!C35:F35)&lt;=0,"",SUM('Semi FCF'!C35:F35)/SUM('Semi Rev'!C35:F35)))*10000),"")</f>
        <v/>
      </c>
      <c r="G1456" s="43">
        <f>IFERROR(IF(OR($G$1314="",$C$1314=""),"",($G$1314-$C$1314)*10000),"")</f>
        <v/>
      </c>
      <c r="H1456" s="43">
        <f>IFERROR(IF(OR($H$1314="",$D$1314=""),"",($H$1314-$D$1314)*10000),"")</f>
        <v/>
      </c>
      <c r="I1456" s="43">
        <f>IFERROR(IF(OR($I$1314="",$E$1314=""),"",($I$1314-$E$1314)*10000),"")</f>
        <v/>
      </c>
      <c r="J1456" s="43">
        <f>IFERROR(IF(OR($J$1314="",$F$1314=""),"",($J$1314-$F$1314)*10000),"")</f>
        <v/>
      </c>
      <c r="K1456" s="43">
        <f>IFERROR(IF(OR($K$1314="",$G$1314=""),"",($K$1314-$G$1314)*10000),"")</f>
        <v/>
      </c>
      <c r="L1456" s="43">
        <f>IFERROR(IF(OR($L$1314="",$H$1314=""),"",($L$1314-$H$1314)*10000),"")</f>
        <v/>
      </c>
      <c r="M1456" s="44">
        <f>IFERROR(IF(OR($M$1314="",$I$1314=""),"",($M$1314-$I$1314)*10000),"")</f>
        <v/>
      </c>
      <c r="N1456" s="44">
        <f>IFERROR(IF(OR($N$1314="",$J$1314=""),"",($N$1314-$J$1314)*10000),"")</f>
        <v/>
      </c>
    </row>
    <row r="1457">
      <c r="A1457" s="19">
        <f>'Semi Rev'!$A36</f>
        <v/>
      </c>
      <c r="B1457" s="19">
        <f>'Semi Rev'!$B36</f>
        <v/>
      </c>
      <c r="C1457" s="43">
        <f>""</f>
        <v/>
      </c>
      <c r="D1457" s="43">
        <f>""</f>
        <v/>
      </c>
      <c r="E1457" s="43">
        <f>""</f>
        <v/>
      </c>
      <c r="F1457" s="43">
        <f>IFERROR(IF(OR($F$1315="",IF(SUM('Semi Rev'!C36:F36)&lt;=0,"",SUM('Semi FCF'!C36:F36)/SUM('Semi Rev'!C36:F36))=""),"",($F$1315-IF(SUM('Semi Rev'!C36:F36)&lt;=0,"",SUM('Semi FCF'!C36:F36)/SUM('Semi Rev'!C36:F36)))*10000),"")</f>
        <v/>
      </c>
      <c r="G1457" s="43">
        <f>IFERROR(IF(OR($G$1315="",$C$1315=""),"",($G$1315-$C$1315)*10000),"")</f>
        <v/>
      </c>
      <c r="H1457" s="43">
        <f>IFERROR(IF(OR($H$1315="",$D$1315=""),"",($H$1315-$D$1315)*10000),"")</f>
        <v/>
      </c>
      <c r="I1457" s="43">
        <f>IFERROR(IF(OR($I$1315="",$E$1315=""),"",($I$1315-$E$1315)*10000),"")</f>
        <v/>
      </c>
      <c r="J1457" s="43">
        <f>IFERROR(IF(OR($J$1315="",$F$1315=""),"",($J$1315-$F$1315)*10000),"")</f>
        <v/>
      </c>
      <c r="K1457" s="43">
        <f>IFERROR(IF(OR($K$1315="",$G$1315=""),"",($K$1315-$G$1315)*10000),"")</f>
        <v/>
      </c>
      <c r="L1457" s="43">
        <f>IFERROR(IF(OR($L$1315="",$H$1315=""),"",($L$1315-$H$1315)*10000),"")</f>
        <v/>
      </c>
      <c r="M1457" s="44">
        <f>IFERROR(IF(OR($M$1315="",$I$1315=""),"",($M$1315-$I$1315)*10000),"")</f>
        <v/>
      </c>
      <c r="N1457" s="44">
        <f>IFERROR(IF(OR($N$1315="",$J$1315=""),"",($N$1315-$J$1315)*10000),"")</f>
        <v/>
      </c>
    </row>
    <row r="1458">
      <c r="A1458" s="19">
        <f>'Semi Rev'!$A37</f>
        <v/>
      </c>
      <c r="B1458" s="19">
        <f>'Semi Rev'!$B37</f>
        <v/>
      </c>
      <c r="C1458" s="43">
        <f>""</f>
        <v/>
      </c>
      <c r="D1458" s="43">
        <f>""</f>
        <v/>
      </c>
      <c r="E1458" s="43">
        <f>""</f>
        <v/>
      </c>
      <c r="F1458" s="43">
        <f>IFERROR(IF(OR($F$1316="",IF(SUM('Semi Rev'!C37:F37)&lt;=0,"",SUM('Semi FCF'!C37:F37)/SUM('Semi Rev'!C37:F37))=""),"",($F$1316-IF(SUM('Semi Rev'!C37:F37)&lt;=0,"",SUM('Semi FCF'!C37:F37)/SUM('Semi Rev'!C37:F37)))*10000),"")</f>
        <v/>
      </c>
      <c r="G1458" s="43">
        <f>IFERROR(IF(OR($G$1316="",$C$1316=""),"",($G$1316-$C$1316)*10000),"")</f>
        <v/>
      </c>
      <c r="H1458" s="43">
        <f>IFERROR(IF(OR($H$1316="",$D$1316=""),"",($H$1316-$D$1316)*10000),"")</f>
        <v/>
      </c>
      <c r="I1458" s="43">
        <f>IFERROR(IF(OR($I$1316="",$E$1316=""),"",($I$1316-$E$1316)*10000),"")</f>
        <v/>
      </c>
      <c r="J1458" s="43">
        <f>IFERROR(IF(OR($J$1316="",$F$1316=""),"",($J$1316-$F$1316)*10000),"")</f>
        <v/>
      </c>
      <c r="K1458" s="43">
        <f>IFERROR(IF(OR($K$1316="",$G$1316=""),"",($K$1316-$G$1316)*10000),"")</f>
        <v/>
      </c>
      <c r="L1458" s="43">
        <f>IFERROR(IF(OR($L$1316="",$H$1316=""),"",($L$1316-$H$1316)*10000),"")</f>
        <v/>
      </c>
      <c r="M1458" s="44">
        <f>IFERROR(IF(OR($M$1316="",$I$1316=""),"",($M$1316-$I$1316)*10000),"")</f>
        <v/>
      </c>
      <c r="N1458" s="44">
        <f>IFERROR(IF(OR($N$1316="",$J$1316=""),"",($N$1316-$J$1316)*10000),"")</f>
        <v/>
      </c>
    </row>
    <row r="1459">
      <c r="A1459" s="19">
        <f>'Semi Rev'!$A38</f>
        <v/>
      </c>
      <c r="B1459" s="19">
        <f>'Semi Rev'!$B38</f>
        <v/>
      </c>
      <c r="C1459" s="43">
        <f>""</f>
        <v/>
      </c>
      <c r="D1459" s="43">
        <f>""</f>
        <v/>
      </c>
      <c r="E1459" s="43">
        <f>""</f>
        <v/>
      </c>
      <c r="F1459" s="43">
        <f>IFERROR(IF(OR($F$1317="",IF(SUM('Semi Rev'!C38:F38)&lt;=0,"",SUM('Semi FCF'!C38:F38)/SUM('Semi Rev'!C38:F38))=""),"",($F$1317-IF(SUM('Semi Rev'!C38:F38)&lt;=0,"",SUM('Semi FCF'!C38:F38)/SUM('Semi Rev'!C38:F38)))*10000),"")</f>
        <v/>
      </c>
      <c r="G1459" s="43">
        <f>IFERROR(IF(OR($G$1317="",$C$1317=""),"",($G$1317-$C$1317)*10000),"")</f>
        <v/>
      </c>
      <c r="H1459" s="43">
        <f>IFERROR(IF(OR($H$1317="",$D$1317=""),"",($H$1317-$D$1317)*10000),"")</f>
        <v/>
      </c>
      <c r="I1459" s="43">
        <f>IFERROR(IF(OR($I$1317="",$E$1317=""),"",($I$1317-$E$1317)*10000),"")</f>
        <v/>
      </c>
      <c r="J1459" s="43">
        <f>IFERROR(IF(OR($J$1317="",$F$1317=""),"",($J$1317-$F$1317)*10000),"")</f>
        <v/>
      </c>
      <c r="K1459" s="43">
        <f>IFERROR(IF(OR($K$1317="",$G$1317=""),"",($K$1317-$G$1317)*10000),"")</f>
        <v/>
      </c>
      <c r="L1459" s="43">
        <f>IFERROR(IF(OR($L$1317="",$H$1317=""),"",($L$1317-$H$1317)*10000),"")</f>
        <v/>
      </c>
      <c r="M1459" s="44">
        <f>IFERROR(IF(OR($M$1317="",$I$1317=""),"",($M$1317-$I$1317)*10000),"")</f>
        <v/>
      </c>
      <c r="N1459" s="44">
        <f>IFERROR(IF(OR($N$1317="",$J$1317=""),"",($N$1317-$J$1317)*10000),"")</f>
        <v/>
      </c>
    </row>
    <row r="1460">
      <c r="A1460" s="19">
        <f>'Semi Rev'!$A39</f>
        <v/>
      </c>
      <c r="B1460" s="19">
        <f>'Semi Rev'!$B39</f>
        <v/>
      </c>
      <c r="C1460" s="43">
        <f>""</f>
        <v/>
      </c>
      <c r="D1460" s="43">
        <f>""</f>
        <v/>
      </c>
      <c r="E1460" s="43">
        <f>""</f>
        <v/>
      </c>
      <c r="F1460" s="43">
        <f>IFERROR(IF(OR($F$1318="",IF(SUM('Semi Rev'!C39:F39)&lt;=0,"",SUM('Semi FCF'!C39:F39)/SUM('Semi Rev'!C39:F39))=""),"",($F$1318-IF(SUM('Semi Rev'!C39:F39)&lt;=0,"",SUM('Semi FCF'!C39:F39)/SUM('Semi Rev'!C39:F39)))*10000),"")</f>
        <v/>
      </c>
      <c r="G1460" s="43">
        <f>IFERROR(IF(OR($G$1318="",$C$1318=""),"",($G$1318-$C$1318)*10000),"")</f>
        <v/>
      </c>
      <c r="H1460" s="43">
        <f>IFERROR(IF(OR($H$1318="",$D$1318=""),"",($H$1318-$D$1318)*10000),"")</f>
        <v/>
      </c>
      <c r="I1460" s="43">
        <f>IFERROR(IF(OR($I$1318="",$E$1318=""),"",($I$1318-$E$1318)*10000),"")</f>
        <v/>
      </c>
      <c r="J1460" s="43">
        <f>IFERROR(IF(OR($J$1318="",$F$1318=""),"",($J$1318-$F$1318)*10000),"")</f>
        <v/>
      </c>
      <c r="K1460" s="43">
        <f>IFERROR(IF(OR($K$1318="",$G$1318=""),"",($K$1318-$G$1318)*10000),"")</f>
        <v/>
      </c>
      <c r="L1460" s="43">
        <f>IFERROR(IF(OR($L$1318="",$H$1318=""),"",($L$1318-$H$1318)*10000),"")</f>
        <v/>
      </c>
      <c r="M1460" s="44">
        <f>IFERROR(IF(OR($M$1318="",$I$1318=""),"",($M$1318-$I$1318)*10000),"")</f>
        <v/>
      </c>
      <c r="N1460" s="44">
        <f>IFERROR(IF(OR($N$1318="",$J$1318=""),"",($N$1318-$J$1318)*10000),"")</f>
        <v/>
      </c>
    </row>
    <row r="1461">
      <c r="A1461" s="19">
        <f>'Semi Rev'!$A40</f>
        <v/>
      </c>
      <c r="B1461" s="19">
        <f>'Semi Rev'!$B40</f>
        <v/>
      </c>
      <c r="C1461" s="43">
        <f>""</f>
        <v/>
      </c>
      <c r="D1461" s="43">
        <f>""</f>
        <v/>
      </c>
      <c r="E1461" s="43">
        <f>""</f>
        <v/>
      </c>
      <c r="F1461" s="43">
        <f>IFERROR(IF(OR($F$1319="",IF(SUM('Semi Rev'!C40:F40)&lt;=0,"",SUM('Semi FCF'!C40:F40)/SUM('Semi Rev'!C40:F40))=""),"",($F$1319-IF(SUM('Semi Rev'!C40:F40)&lt;=0,"",SUM('Semi FCF'!C40:F40)/SUM('Semi Rev'!C40:F40)))*10000),"")</f>
        <v/>
      </c>
      <c r="G1461" s="43">
        <f>IFERROR(IF(OR($G$1319="",$C$1319=""),"",($G$1319-$C$1319)*10000),"")</f>
        <v/>
      </c>
      <c r="H1461" s="43">
        <f>IFERROR(IF(OR($H$1319="",$D$1319=""),"",($H$1319-$D$1319)*10000),"")</f>
        <v/>
      </c>
      <c r="I1461" s="43">
        <f>IFERROR(IF(OR($I$1319="",$E$1319=""),"",($I$1319-$E$1319)*10000),"")</f>
        <v/>
      </c>
      <c r="J1461" s="43">
        <f>IFERROR(IF(OR($J$1319="",$F$1319=""),"",($J$1319-$F$1319)*10000),"")</f>
        <v/>
      </c>
      <c r="K1461" s="43">
        <f>IFERROR(IF(OR($K$1319="",$G$1319=""),"",($K$1319-$G$1319)*10000),"")</f>
        <v/>
      </c>
      <c r="L1461" s="43">
        <f>IFERROR(IF(OR($L$1319="",$H$1319=""),"",($L$1319-$H$1319)*10000),"")</f>
        <v/>
      </c>
      <c r="M1461" s="44">
        <f>IFERROR(IF(OR($M$1319="",$I$1319=""),"",($M$1319-$I$1319)*10000),"")</f>
        <v/>
      </c>
      <c r="N1461" s="44">
        <f>IFERROR(IF(OR($N$1319="",$J$1319=""),"",($N$1319-$J$1319)*10000),"")</f>
        <v/>
      </c>
    </row>
    <row r="1462">
      <c r="A1462" s="19">
        <f>'Semi Rev'!$A41</f>
        <v/>
      </c>
      <c r="B1462" s="19">
        <f>'Semi Rev'!$B41</f>
        <v/>
      </c>
      <c r="C1462" s="43">
        <f>""</f>
        <v/>
      </c>
      <c r="D1462" s="43">
        <f>""</f>
        <v/>
      </c>
      <c r="E1462" s="43">
        <f>""</f>
        <v/>
      </c>
      <c r="F1462" s="43">
        <f>IFERROR(IF(OR($F$1320="",IF(SUM('Semi Rev'!C41:F41)&lt;=0,"",SUM('Semi FCF'!C41:F41)/SUM('Semi Rev'!C41:F41))=""),"",($F$1320-IF(SUM('Semi Rev'!C41:F41)&lt;=0,"",SUM('Semi FCF'!C41:F41)/SUM('Semi Rev'!C41:F41)))*10000),"")</f>
        <v/>
      </c>
      <c r="G1462" s="43">
        <f>IFERROR(IF(OR($G$1320="",$C$1320=""),"",($G$1320-$C$1320)*10000),"")</f>
        <v/>
      </c>
      <c r="H1462" s="43">
        <f>IFERROR(IF(OR($H$1320="",$D$1320=""),"",($H$1320-$D$1320)*10000),"")</f>
        <v/>
      </c>
      <c r="I1462" s="43">
        <f>IFERROR(IF(OR($I$1320="",$E$1320=""),"",($I$1320-$E$1320)*10000),"")</f>
        <v/>
      </c>
      <c r="J1462" s="43">
        <f>IFERROR(IF(OR($J$1320="",$F$1320=""),"",($J$1320-$F$1320)*10000),"")</f>
        <v/>
      </c>
      <c r="K1462" s="43">
        <f>IFERROR(IF(OR($K$1320="",$G$1320=""),"",($K$1320-$G$1320)*10000),"")</f>
        <v/>
      </c>
      <c r="L1462" s="43">
        <f>IFERROR(IF(OR($L$1320="",$H$1320=""),"",($L$1320-$H$1320)*10000),"")</f>
        <v/>
      </c>
      <c r="M1462" s="44">
        <f>IFERROR(IF(OR($M$1320="",$I$1320=""),"",($M$1320-$I$1320)*10000),"")</f>
        <v/>
      </c>
      <c r="N1462" s="44">
        <f>IFERROR(IF(OR($N$1320="",$J$1320=""),"",($N$1320-$J$1320)*10000),"")</f>
        <v/>
      </c>
    </row>
    <row r="1463">
      <c r="A1463" s="19">
        <f>'Semi Rev'!$A42</f>
        <v/>
      </c>
      <c r="B1463" s="19">
        <f>'Semi Rev'!$B42</f>
        <v/>
      </c>
      <c r="C1463" s="43">
        <f>""</f>
        <v/>
      </c>
      <c r="D1463" s="43">
        <f>""</f>
        <v/>
      </c>
      <c r="E1463" s="43">
        <f>""</f>
        <v/>
      </c>
      <c r="F1463" s="43">
        <f>IFERROR(IF(OR($F$1321="",IF(SUM('Semi Rev'!C42:F42)&lt;=0,"",SUM('Semi FCF'!C42:F42)/SUM('Semi Rev'!C42:F42))=""),"",($F$1321-IF(SUM('Semi Rev'!C42:F42)&lt;=0,"",SUM('Semi FCF'!C42:F42)/SUM('Semi Rev'!C42:F42)))*10000),"")</f>
        <v/>
      </c>
      <c r="G1463" s="43">
        <f>IFERROR(IF(OR($G$1321="",$C$1321=""),"",($G$1321-$C$1321)*10000),"")</f>
        <v/>
      </c>
      <c r="H1463" s="43">
        <f>IFERROR(IF(OR($H$1321="",$D$1321=""),"",($H$1321-$D$1321)*10000),"")</f>
        <v/>
      </c>
      <c r="I1463" s="43">
        <f>IFERROR(IF(OR($I$1321="",$E$1321=""),"",($I$1321-$E$1321)*10000),"")</f>
        <v/>
      </c>
      <c r="J1463" s="43">
        <f>IFERROR(IF(OR($J$1321="",$F$1321=""),"",($J$1321-$F$1321)*10000),"")</f>
        <v/>
      </c>
      <c r="K1463" s="43">
        <f>IFERROR(IF(OR($K$1321="",$G$1321=""),"",($K$1321-$G$1321)*10000),"")</f>
        <v/>
      </c>
      <c r="L1463" s="43">
        <f>IFERROR(IF(OR($L$1321="",$H$1321=""),"",($L$1321-$H$1321)*10000),"")</f>
        <v/>
      </c>
      <c r="M1463" s="44">
        <f>IFERROR(IF(OR($M$1321="",$I$1321=""),"",($M$1321-$I$1321)*10000),"")</f>
        <v/>
      </c>
      <c r="N1463" s="44">
        <f>IFERROR(IF(OR($N$1321="",$J$1321=""),"",($N$1321-$J$1321)*10000),"")</f>
        <v/>
      </c>
    </row>
    <row r="1464">
      <c r="A1464" s="19">
        <f>'Semi Rev'!$A43</f>
        <v/>
      </c>
      <c r="B1464" s="19">
        <f>'Semi Rev'!$B43</f>
        <v/>
      </c>
      <c r="C1464" s="43">
        <f>""</f>
        <v/>
      </c>
      <c r="D1464" s="43">
        <f>""</f>
        <v/>
      </c>
      <c r="E1464" s="43">
        <f>""</f>
        <v/>
      </c>
      <c r="F1464" s="43">
        <f>IFERROR(IF(OR($F$1322="",IF(SUM('Semi Rev'!C43:F43)&lt;=0,"",SUM('Semi FCF'!C43:F43)/SUM('Semi Rev'!C43:F43))=""),"",($F$1322-IF(SUM('Semi Rev'!C43:F43)&lt;=0,"",SUM('Semi FCF'!C43:F43)/SUM('Semi Rev'!C43:F43)))*10000),"")</f>
        <v/>
      </c>
      <c r="G1464" s="43">
        <f>IFERROR(IF(OR($G$1322="",$C$1322=""),"",($G$1322-$C$1322)*10000),"")</f>
        <v/>
      </c>
      <c r="H1464" s="43">
        <f>IFERROR(IF(OR($H$1322="",$D$1322=""),"",($H$1322-$D$1322)*10000),"")</f>
        <v/>
      </c>
      <c r="I1464" s="43">
        <f>IFERROR(IF(OR($I$1322="",$E$1322=""),"",($I$1322-$E$1322)*10000),"")</f>
        <v/>
      </c>
      <c r="J1464" s="43">
        <f>IFERROR(IF(OR($J$1322="",$F$1322=""),"",($J$1322-$F$1322)*10000),"")</f>
        <v/>
      </c>
      <c r="K1464" s="43">
        <f>IFERROR(IF(OR($K$1322="",$G$1322=""),"",($K$1322-$G$1322)*10000),"")</f>
        <v/>
      </c>
      <c r="L1464" s="43">
        <f>IFERROR(IF(OR($L$1322="",$H$1322=""),"",($L$1322-$H$1322)*10000),"")</f>
        <v/>
      </c>
      <c r="M1464" s="44">
        <f>IFERROR(IF(OR($M$1322="",$I$1322=""),"",($M$1322-$I$1322)*10000),"")</f>
        <v/>
      </c>
      <c r="N1464" s="44">
        <f>IFERROR(IF(OR($N$1322="",$J$1322=""),"",($N$1322-$J$1322)*10000),"")</f>
        <v/>
      </c>
    </row>
    <row r="1465">
      <c r="A1465" s="19">
        <f>'Semi Rev'!$A44</f>
        <v/>
      </c>
      <c r="B1465" s="19">
        <f>'Semi Rev'!$B44</f>
        <v/>
      </c>
      <c r="C1465" s="43">
        <f>""</f>
        <v/>
      </c>
      <c r="D1465" s="43">
        <f>""</f>
        <v/>
      </c>
      <c r="E1465" s="43">
        <f>""</f>
        <v/>
      </c>
      <c r="F1465" s="43">
        <f>IFERROR(IF(OR($F$1323="",IF(SUM('Semi Rev'!C44:F44)&lt;=0,"",SUM('Semi FCF'!C44:F44)/SUM('Semi Rev'!C44:F44))=""),"",($F$1323-IF(SUM('Semi Rev'!C44:F44)&lt;=0,"",SUM('Semi FCF'!C44:F44)/SUM('Semi Rev'!C44:F44)))*10000),"")</f>
        <v/>
      </c>
      <c r="G1465" s="43">
        <f>IFERROR(IF(OR($G$1323="",$C$1323=""),"",($G$1323-$C$1323)*10000),"")</f>
        <v/>
      </c>
      <c r="H1465" s="43">
        <f>IFERROR(IF(OR($H$1323="",$D$1323=""),"",($H$1323-$D$1323)*10000),"")</f>
        <v/>
      </c>
      <c r="I1465" s="43">
        <f>IFERROR(IF(OR($I$1323="",$E$1323=""),"",($I$1323-$E$1323)*10000),"")</f>
        <v/>
      </c>
      <c r="J1465" s="43">
        <f>IFERROR(IF(OR($J$1323="",$F$1323=""),"",($J$1323-$F$1323)*10000),"")</f>
        <v/>
      </c>
      <c r="K1465" s="43">
        <f>IFERROR(IF(OR($K$1323="",$G$1323=""),"",($K$1323-$G$1323)*10000),"")</f>
        <v/>
      </c>
      <c r="L1465" s="43">
        <f>IFERROR(IF(OR($L$1323="",$H$1323=""),"",($L$1323-$H$1323)*10000),"")</f>
        <v/>
      </c>
      <c r="M1465" s="44">
        <f>IFERROR(IF(OR($M$1323="",$I$1323=""),"",($M$1323-$I$1323)*10000),"")</f>
        <v/>
      </c>
      <c r="N1465" s="44">
        <f>IFERROR(IF(OR($N$1323="",$J$1323=""),"",($N$1323-$J$1323)*10000),"")</f>
        <v/>
      </c>
    </row>
    <row r="1466">
      <c r="A1466" s="19">
        <f>'Semi Rev'!$A45</f>
        <v/>
      </c>
      <c r="B1466" s="19">
        <f>'Semi Rev'!$B45</f>
        <v/>
      </c>
      <c r="C1466" s="43">
        <f>""</f>
        <v/>
      </c>
      <c r="D1466" s="43">
        <f>""</f>
        <v/>
      </c>
      <c r="E1466" s="43">
        <f>""</f>
        <v/>
      </c>
      <c r="F1466" s="43">
        <f>IFERROR(IF(OR($F$1324="",IF(SUM('Semi Rev'!C45:F45)&lt;=0,"",SUM('Semi FCF'!C45:F45)/SUM('Semi Rev'!C45:F45))=""),"",($F$1324-IF(SUM('Semi Rev'!C45:F45)&lt;=0,"",SUM('Semi FCF'!C45:F45)/SUM('Semi Rev'!C45:F45)))*10000),"")</f>
        <v/>
      </c>
      <c r="G1466" s="43">
        <f>IFERROR(IF(OR($G$1324="",$C$1324=""),"",($G$1324-$C$1324)*10000),"")</f>
        <v/>
      </c>
      <c r="H1466" s="43">
        <f>IFERROR(IF(OR($H$1324="",$D$1324=""),"",($H$1324-$D$1324)*10000),"")</f>
        <v/>
      </c>
      <c r="I1466" s="43">
        <f>IFERROR(IF(OR($I$1324="",$E$1324=""),"",($I$1324-$E$1324)*10000),"")</f>
        <v/>
      </c>
      <c r="J1466" s="43">
        <f>IFERROR(IF(OR($J$1324="",$F$1324=""),"",($J$1324-$F$1324)*10000),"")</f>
        <v/>
      </c>
      <c r="K1466" s="43">
        <f>IFERROR(IF(OR($K$1324="",$G$1324=""),"",($K$1324-$G$1324)*10000),"")</f>
        <v/>
      </c>
      <c r="L1466" s="43">
        <f>IFERROR(IF(OR($L$1324="",$H$1324=""),"",($L$1324-$H$1324)*10000),"")</f>
        <v/>
      </c>
      <c r="M1466" s="44">
        <f>IFERROR(IF(OR($M$1324="",$I$1324=""),"",($M$1324-$I$1324)*10000),"")</f>
        <v/>
      </c>
      <c r="N1466" s="44">
        <f>IFERROR(IF(OR($N$1324="",$J$1324=""),"",($N$1324-$J$1324)*10000),"")</f>
        <v/>
      </c>
    </row>
    <row r="1467">
      <c r="A1467" s="19">
        <f>'Semi Rev'!$A46</f>
        <v/>
      </c>
      <c r="B1467" s="19">
        <f>'Semi Rev'!$B46</f>
        <v/>
      </c>
      <c r="C1467" s="43">
        <f>""</f>
        <v/>
      </c>
      <c r="D1467" s="43">
        <f>""</f>
        <v/>
      </c>
      <c r="E1467" s="43">
        <f>""</f>
        <v/>
      </c>
      <c r="F1467" s="43">
        <f>IFERROR(IF(OR($F$1325="",IF(SUM('Semi Rev'!C46:F46)&lt;=0,"",SUM('Semi FCF'!C46:F46)/SUM('Semi Rev'!C46:F46))=""),"",($F$1325-IF(SUM('Semi Rev'!C46:F46)&lt;=0,"",SUM('Semi FCF'!C46:F46)/SUM('Semi Rev'!C46:F46)))*10000),"")</f>
        <v/>
      </c>
      <c r="G1467" s="43">
        <f>IFERROR(IF(OR($G$1325="",$C$1325=""),"",($G$1325-$C$1325)*10000),"")</f>
        <v/>
      </c>
      <c r="H1467" s="43">
        <f>IFERROR(IF(OR($H$1325="",$D$1325=""),"",($H$1325-$D$1325)*10000),"")</f>
        <v/>
      </c>
      <c r="I1467" s="43">
        <f>IFERROR(IF(OR($I$1325="",$E$1325=""),"",($I$1325-$E$1325)*10000),"")</f>
        <v/>
      </c>
      <c r="J1467" s="43">
        <f>IFERROR(IF(OR($J$1325="",$F$1325=""),"",($J$1325-$F$1325)*10000),"")</f>
        <v/>
      </c>
      <c r="K1467" s="43">
        <f>IFERROR(IF(OR($K$1325="",$G$1325=""),"",($K$1325-$G$1325)*10000),"")</f>
        <v/>
      </c>
      <c r="L1467" s="43">
        <f>IFERROR(IF(OR($L$1325="",$H$1325=""),"",($L$1325-$H$1325)*10000),"")</f>
        <v/>
      </c>
      <c r="M1467" s="44">
        <f>IFERROR(IF(OR($M$1325="",$I$1325=""),"",($M$1325-$I$1325)*10000),"")</f>
        <v/>
      </c>
      <c r="N1467" s="44">
        <f>IFERROR(IF(OR($N$1325="",$J$1325=""),"",($N$1325-$J$1325)*10000),"")</f>
        <v/>
      </c>
    </row>
    <row r="1468">
      <c r="A1468" s="19">
        <f>'Semi Rev'!$A47</f>
        <v/>
      </c>
      <c r="B1468" s="19">
        <f>'Semi Rev'!$B47</f>
        <v/>
      </c>
      <c r="C1468" s="43">
        <f>""</f>
        <v/>
      </c>
      <c r="D1468" s="43">
        <f>""</f>
        <v/>
      </c>
      <c r="E1468" s="43">
        <f>""</f>
        <v/>
      </c>
      <c r="F1468" s="43">
        <f>IFERROR(IF(OR($F$1326="",IF(SUM('Semi Rev'!C47:F47)&lt;=0,"",SUM('Semi FCF'!C47:F47)/SUM('Semi Rev'!C47:F47))=""),"",($F$1326-IF(SUM('Semi Rev'!C47:F47)&lt;=0,"",SUM('Semi FCF'!C47:F47)/SUM('Semi Rev'!C47:F47)))*10000),"")</f>
        <v/>
      </c>
      <c r="G1468" s="43">
        <f>IFERROR(IF(OR($G$1326="",$C$1326=""),"",($G$1326-$C$1326)*10000),"")</f>
        <v/>
      </c>
      <c r="H1468" s="43">
        <f>IFERROR(IF(OR($H$1326="",$D$1326=""),"",($H$1326-$D$1326)*10000),"")</f>
        <v/>
      </c>
      <c r="I1468" s="43">
        <f>IFERROR(IF(OR($I$1326="",$E$1326=""),"",($I$1326-$E$1326)*10000),"")</f>
        <v/>
      </c>
      <c r="J1468" s="43">
        <f>IFERROR(IF(OR($J$1326="",$F$1326=""),"",($J$1326-$F$1326)*10000),"")</f>
        <v/>
      </c>
      <c r="K1468" s="43">
        <f>IFERROR(IF(OR($K$1326="",$G$1326=""),"",($K$1326-$G$1326)*10000),"")</f>
        <v/>
      </c>
      <c r="L1468" s="43">
        <f>IFERROR(IF(OR($L$1326="",$H$1326=""),"",($L$1326-$H$1326)*10000),"")</f>
        <v/>
      </c>
      <c r="M1468" s="44">
        <f>IFERROR(IF(OR($M$1326="",$I$1326=""),"",($M$1326-$I$1326)*10000),"")</f>
        <v/>
      </c>
      <c r="N1468" s="44">
        <f>IFERROR(IF(OR($N$1326="",$J$1326=""),"",($N$1326-$J$1326)*10000),"")</f>
        <v/>
      </c>
    </row>
    <row r="1469">
      <c r="A1469" s="19">
        <f>'Semi Rev'!$A48</f>
        <v/>
      </c>
      <c r="B1469" s="19">
        <f>'Semi Rev'!$B48</f>
        <v/>
      </c>
      <c r="C1469" s="43">
        <f>""</f>
        <v/>
      </c>
      <c r="D1469" s="43">
        <f>""</f>
        <v/>
      </c>
      <c r="E1469" s="43">
        <f>""</f>
        <v/>
      </c>
      <c r="F1469" s="43">
        <f>IFERROR(IF(OR($F$1327="",IF(SUM('Semi Rev'!C48:F48)&lt;=0,"",SUM('Semi FCF'!C48:F48)/SUM('Semi Rev'!C48:F48))=""),"",($F$1327-IF(SUM('Semi Rev'!C48:F48)&lt;=0,"",SUM('Semi FCF'!C48:F48)/SUM('Semi Rev'!C48:F48)))*10000),"")</f>
        <v/>
      </c>
      <c r="G1469" s="43">
        <f>IFERROR(IF(OR($G$1327="",$C$1327=""),"",($G$1327-$C$1327)*10000),"")</f>
        <v/>
      </c>
      <c r="H1469" s="43">
        <f>IFERROR(IF(OR($H$1327="",$D$1327=""),"",($H$1327-$D$1327)*10000),"")</f>
        <v/>
      </c>
      <c r="I1469" s="43">
        <f>IFERROR(IF(OR($I$1327="",$E$1327=""),"",($I$1327-$E$1327)*10000),"")</f>
        <v/>
      </c>
      <c r="J1469" s="43">
        <f>IFERROR(IF(OR($J$1327="",$F$1327=""),"",($J$1327-$F$1327)*10000),"")</f>
        <v/>
      </c>
      <c r="K1469" s="43">
        <f>IFERROR(IF(OR($K$1327="",$G$1327=""),"",($K$1327-$G$1327)*10000),"")</f>
        <v/>
      </c>
      <c r="L1469" s="43">
        <f>IFERROR(IF(OR($L$1327="",$H$1327=""),"",($L$1327-$H$1327)*10000),"")</f>
        <v/>
      </c>
      <c r="M1469" s="44">
        <f>IFERROR(IF(OR($M$1327="",$I$1327=""),"",($M$1327-$I$1327)*10000),"")</f>
        <v/>
      </c>
      <c r="N1469" s="44">
        <f>IFERROR(IF(OR($N$1327="",$J$1327=""),"",($N$1327-$J$1327)*10000),"")</f>
        <v/>
      </c>
    </row>
    <row r="1470">
      <c r="A1470" s="19">
        <f>'Semi Rev'!$A49</f>
        <v/>
      </c>
      <c r="B1470" s="19">
        <f>'Semi Rev'!$B49</f>
        <v/>
      </c>
      <c r="C1470" s="43">
        <f>""</f>
        <v/>
      </c>
      <c r="D1470" s="43">
        <f>""</f>
        <v/>
      </c>
      <c r="E1470" s="43">
        <f>""</f>
        <v/>
      </c>
      <c r="F1470" s="43">
        <f>IFERROR(IF(OR($F$1328="",IF(SUM('Semi Rev'!C49:F49)&lt;=0,"",SUM('Semi FCF'!C49:F49)/SUM('Semi Rev'!C49:F49))=""),"",($F$1328-IF(SUM('Semi Rev'!C49:F49)&lt;=0,"",SUM('Semi FCF'!C49:F49)/SUM('Semi Rev'!C49:F49)))*10000),"")</f>
        <v/>
      </c>
      <c r="G1470" s="43">
        <f>IFERROR(IF(OR($G$1328="",$C$1328=""),"",($G$1328-$C$1328)*10000),"")</f>
        <v/>
      </c>
      <c r="H1470" s="43">
        <f>IFERROR(IF(OR($H$1328="",$D$1328=""),"",($H$1328-$D$1328)*10000),"")</f>
        <v/>
      </c>
      <c r="I1470" s="43">
        <f>IFERROR(IF(OR($I$1328="",$E$1328=""),"",($I$1328-$E$1328)*10000),"")</f>
        <v/>
      </c>
      <c r="J1470" s="43">
        <f>IFERROR(IF(OR($J$1328="",$F$1328=""),"",($J$1328-$F$1328)*10000),"")</f>
        <v/>
      </c>
      <c r="K1470" s="43">
        <f>IFERROR(IF(OR($K$1328="",$G$1328=""),"",($K$1328-$G$1328)*10000),"")</f>
        <v/>
      </c>
      <c r="L1470" s="43">
        <f>IFERROR(IF(OR($L$1328="",$H$1328=""),"",($L$1328-$H$1328)*10000),"")</f>
        <v/>
      </c>
      <c r="M1470" s="44">
        <f>IFERROR(IF(OR($M$1328="",$I$1328=""),"",($M$1328-$I$1328)*10000),"")</f>
        <v/>
      </c>
      <c r="N1470" s="44">
        <f>IFERROR(IF(OR($N$1328="",$J$1328=""),"",($N$1328-$J$1328)*10000),"")</f>
        <v/>
      </c>
    </row>
    <row r="1471">
      <c r="A1471" s="19">
        <f>'Semi Rev'!$A50</f>
        <v/>
      </c>
      <c r="B1471" s="19">
        <f>'Semi Rev'!$B50</f>
        <v/>
      </c>
      <c r="C1471" s="43">
        <f>""</f>
        <v/>
      </c>
      <c r="D1471" s="43">
        <f>""</f>
        <v/>
      </c>
      <c r="E1471" s="43">
        <f>""</f>
        <v/>
      </c>
      <c r="F1471" s="43">
        <f>IFERROR(IF(OR($F$1329="",IF(SUM('Semi Rev'!C50:F50)&lt;=0,"",SUM('Semi FCF'!C50:F50)/SUM('Semi Rev'!C50:F50))=""),"",($F$1329-IF(SUM('Semi Rev'!C50:F50)&lt;=0,"",SUM('Semi FCF'!C50:F50)/SUM('Semi Rev'!C50:F50)))*10000),"")</f>
        <v/>
      </c>
      <c r="G1471" s="43">
        <f>IFERROR(IF(OR($G$1329="",$C$1329=""),"",($G$1329-$C$1329)*10000),"")</f>
        <v/>
      </c>
      <c r="H1471" s="43">
        <f>IFERROR(IF(OR($H$1329="",$D$1329=""),"",($H$1329-$D$1329)*10000),"")</f>
        <v/>
      </c>
      <c r="I1471" s="43">
        <f>IFERROR(IF(OR($I$1329="",$E$1329=""),"",($I$1329-$E$1329)*10000),"")</f>
        <v/>
      </c>
      <c r="J1471" s="43">
        <f>IFERROR(IF(OR($J$1329="",$F$1329=""),"",($J$1329-$F$1329)*10000),"")</f>
        <v/>
      </c>
      <c r="K1471" s="43">
        <f>IFERROR(IF(OR($K$1329="",$G$1329=""),"",($K$1329-$G$1329)*10000),"")</f>
        <v/>
      </c>
      <c r="L1471" s="43">
        <f>IFERROR(IF(OR($L$1329="",$H$1329=""),"",($L$1329-$H$1329)*10000),"")</f>
        <v/>
      </c>
      <c r="M1471" s="44">
        <f>IFERROR(IF(OR($M$1329="",$I$1329=""),"",($M$1329-$I$1329)*10000),"")</f>
        <v/>
      </c>
      <c r="N1471" s="44">
        <f>IFERROR(IF(OR($N$1329="",$J$1329=""),"",($N$1329-$J$1329)*10000),"")</f>
        <v/>
      </c>
    </row>
    <row r="1472">
      <c r="A1472" s="19">
        <f>'Semi Rev'!$A51</f>
        <v/>
      </c>
      <c r="B1472" s="19">
        <f>'Semi Rev'!$B51</f>
        <v/>
      </c>
      <c r="C1472" s="43">
        <f>""</f>
        <v/>
      </c>
      <c r="D1472" s="43">
        <f>""</f>
        <v/>
      </c>
      <c r="E1472" s="43">
        <f>""</f>
        <v/>
      </c>
      <c r="F1472" s="43">
        <f>IFERROR(IF(OR($F$1330="",IF(SUM('Semi Rev'!C51:F51)&lt;=0,"",SUM('Semi FCF'!C51:F51)/SUM('Semi Rev'!C51:F51))=""),"",($F$1330-IF(SUM('Semi Rev'!C51:F51)&lt;=0,"",SUM('Semi FCF'!C51:F51)/SUM('Semi Rev'!C51:F51)))*10000),"")</f>
        <v/>
      </c>
      <c r="G1472" s="43">
        <f>IFERROR(IF(OR($G$1330="",$C$1330=""),"",($G$1330-$C$1330)*10000),"")</f>
        <v/>
      </c>
      <c r="H1472" s="43">
        <f>IFERROR(IF(OR($H$1330="",$D$1330=""),"",($H$1330-$D$1330)*10000),"")</f>
        <v/>
      </c>
      <c r="I1472" s="43">
        <f>IFERROR(IF(OR($I$1330="",$E$1330=""),"",($I$1330-$E$1330)*10000),"")</f>
        <v/>
      </c>
      <c r="J1472" s="43">
        <f>IFERROR(IF(OR($J$1330="",$F$1330=""),"",($J$1330-$F$1330)*10000),"")</f>
        <v/>
      </c>
      <c r="K1472" s="43">
        <f>IFERROR(IF(OR($K$1330="",$G$1330=""),"",($K$1330-$G$1330)*10000),"")</f>
        <v/>
      </c>
      <c r="L1472" s="43">
        <f>IFERROR(IF(OR($L$1330="",$H$1330=""),"",($L$1330-$H$1330)*10000),"")</f>
        <v/>
      </c>
      <c r="M1472" s="44">
        <f>IFERROR(IF(OR($M$1330="",$I$1330=""),"",($M$1330-$I$1330)*10000),"")</f>
        <v/>
      </c>
      <c r="N1472" s="44">
        <f>IFERROR(IF(OR($N$1330="",$J$1330=""),"",($N$1330-$J$1330)*10000),"")</f>
        <v/>
      </c>
    </row>
    <row r="1473">
      <c r="A1473" s="19">
        <f>'Semi Rev'!$A52</f>
        <v/>
      </c>
      <c r="B1473" s="19">
        <f>'Semi Rev'!$B52</f>
        <v/>
      </c>
      <c r="C1473" s="43">
        <f>""</f>
        <v/>
      </c>
      <c r="D1473" s="43">
        <f>""</f>
        <v/>
      </c>
      <c r="E1473" s="43">
        <f>""</f>
        <v/>
      </c>
      <c r="F1473" s="43">
        <f>IFERROR(IF(OR($F$1331="",IF(SUM('Semi Rev'!C52:F52)&lt;=0,"",SUM('Semi FCF'!C52:F52)/SUM('Semi Rev'!C52:F52))=""),"",($F$1331-IF(SUM('Semi Rev'!C52:F52)&lt;=0,"",SUM('Semi FCF'!C52:F52)/SUM('Semi Rev'!C52:F52)))*10000),"")</f>
        <v/>
      </c>
      <c r="G1473" s="43">
        <f>IFERROR(IF(OR($G$1331="",$C$1331=""),"",($G$1331-$C$1331)*10000),"")</f>
        <v/>
      </c>
      <c r="H1473" s="43">
        <f>IFERROR(IF(OR($H$1331="",$D$1331=""),"",($H$1331-$D$1331)*10000),"")</f>
        <v/>
      </c>
      <c r="I1473" s="43">
        <f>IFERROR(IF(OR($I$1331="",$E$1331=""),"",($I$1331-$E$1331)*10000),"")</f>
        <v/>
      </c>
      <c r="J1473" s="43">
        <f>IFERROR(IF(OR($J$1331="",$F$1331=""),"",($J$1331-$F$1331)*10000),"")</f>
        <v/>
      </c>
      <c r="K1473" s="43">
        <f>IFERROR(IF(OR($K$1331="",$G$1331=""),"",($K$1331-$G$1331)*10000),"")</f>
        <v/>
      </c>
      <c r="L1473" s="43">
        <f>IFERROR(IF(OR($L$1331="",$H$1331=""),"",($L$1331-$H$1331)*10000),"")</f>
        <v/>
      </c>
      <c r="M1473" s="44">
        <f>IFERROR(IF(OR($M$1331="",$I$1331=""),"",($M$1331-$I$1331)*10000),"")</f>
        <v/>
      </c>
      <c r="N1473" s="44">
        <f>IFERROR(IF(OR($N$1331="",$J$1331=""),"",($N$1331-$J$1331)*10000),"")</f>
        <v/>
      </c>
    </row>
    <row r="1474">
      <c r="A1474" s="19">
        <f>'Semi Rev'!$A53</f>
        <v/>
      </c>
      <c r="B1474" s="19">
        <f>'Semi Rev'!$B53</f>
        <v/>
      </c>
      <c r="C1474" s="43">
        <f>""</f>
        <v/>
      </c>
      <c r="D1474" s="43">
        <f>""</f>
        <v/>
      </c>
      <c r="E1474" s="43">
        <f>""</f>
        <v/>
      </c>
      <c r="F1474" s="43">
        <f>IFERROR(IF(OR($F$1332="",IF(SUM('Semi Rev'!C53:F53)&lt;=0,"",SUM('Semi FCF'!C53:F53)/SUM('Semi Rev'!C53:F53))=""),"",($F$1332-IF(SUM('Semi Rev'!C53:F53)&lt;=0,"",SUM('Semi FCF'!C53:F53)/SUM('Semi Rev'!C53:F53)))*10000),"")</f>
        <v/>
      </c>
      <c r="G1474" s="43">
        <f>IFERROR(IF(OR($G$1332="",$C$1332=""),"",($G$1332-$C$1332)*10000),"")</f>
        <v/>
      </c>
      <c r="H1474" s="43">
        <f>IFERROR(IF(OR($H$1332="",$D$1332=""),"",($H$1332-$D$1332)*10000),"")</f>
        <v/>
      </c>
      <c r="I1474" s="43">
        <f>IFERROR(IF(OR($I$1332="",$E$1332=""),"",($I$1332-$E$1332)*10000),"")</f>
        <v/>
      </c>
      <c r="J1474" s="43">
        <f>IFERROR(IF(OR($J$1332="",$F$1332=""),"",($J$1332-$F$1332)*10000),"")</f>
        <v/>
      </c>
      <c r="K1474" s="43">
        <f>IFERROR(IF(OR($K$1332="",$G$1332=""),"",($K$1332-$G$1332)*10000),"")</f>
        <v/>
      </c>
      <c r="L1474" s="43">
        <f>IFERROR(IF(OR($L$1332="",$H$1332=""),"",($L$1332-$H$1332)*10000),"")</f>
        <v/>
      </c>
      <c r="M1474" s="44">
        <f>IFERROR(IF(OR($M$1332="",$I$1332=""),"",($M$1332-$I$1332)*10000),"")</f>
        <v/>
      </c>
      <c r="N1474" s="44">
        <f>IFERROR(IF(OR($N$1332="",$J$1332=""),"",($N$1332-$J$1332)*10000),"")</f>
        <v/>
      </c>
    </row>
    <row r="1475">
      <c r="A1475" s="19">
        <f>'Semi Rev'!$A54</f>
        <v/>
      </c>
      <c r="B1475" s="19">
        <f>'Semi Rev'!$B54</f>
        <v/>
      </c>
      <c r="C1475" s="43">
        <f>""</f>
        <v/>
      </c>
      <c r="D1475" s="43">
        <f>""</f>
        <v/>
      </c>
      <c r="E1475" s="43">
        <f>""</f>
        <v/>
      </c>
      <c r="F1475" s="43">
        <f>IFERROR(IF(OR($F$1333="",IF(SUM('Semi Rev'!C54:F54)&lt;=0,"",SUM('Semi FCF'!C54:F54)/SUM('Semi Rev'!C54:F54))=""),"",($F$1333-IF(SUM('Semi Rev'!C54:F54)&lt;=0,"",SUM('Semi FCF'!C54:F54)/SUM('Semi Rev'!C54:F54)))*10000),"")</f>
        <v/>
      </c>
      <c r="G1475" s="43">
        <f>IFERROR(IF(OR($G$1333="",$C$1333=""),"",($G$1333-$C$1333)*10000),"")</f>
        <v/>
      </c>
      <c r="H1475" s="43">
        <f>IFERROR(IF(OR($H$1333="",$D$1333=""),"",($H$1333-$D$1333)*10000),"")</f>
        <v/>
      </c>
      <c r="I1475" s="43">
        <f>IFERROR(IF(OR($I$1333="",$E$1333=""),"",($I$1333-$E$1333)*10000),"")</f>
        <v/>
      </c>
      <c r="J1475" s="43">
        <f>IFERROR(IF(OR($J$1333="",$F$1333=""),"",($J$1333-$F$1333)*10000),"")</f>
        <v/>
      </c>
      <c r="K1475" s="43">
        <f>IFERROR(IF(OR($K$1333="",$G$1333=""),"",($K$1333-$G$1333)*10000),"")</f>
        <v/>
      </c>
      <c r="L1475" s="43">
        <f>IFERROR(IF(OR($L$1333="",$H$1333=""),"",($L$1333-$H$1333)*10000),"")</f>
        <v/>
      </c>
      <c r="M1475" s="44">
        <f>IFERROR(IF(OR($M$1333="",$I$1333=""),"",($M$1333-$I$1333)*10000),"")</f>
        <v/>
      </c>
      <c r="N1475" s="44">
        <f>IFERROR(IF(OR($N$1333="",$J$1333=""),"",($N$1333-$J$1333)*10000),"")</f>
        <v/>
      </c>
    </row>
    <row r="1476">
      <c r="A1476" s="19">
        <f>'Semi Rev'!$A55</f>
        <v/>
      </c>
      <c r="B1476" s="19">
        <f>'Semi Rev'!$B55</f>
        <v/>
      </c>
      <c r="C1476" s="43">
        <f>""</f>
        <v/>
      </c>
      <c r="D1476" s="43">
        <f>""</f>
        <v/>
      </c>
      <c r="E1476" s="43">
        <f>""</f>
        <v/>
      </c>
      <c r="F1476" s="43">
        <f>IFERROR(IF(OR($F$1334="",IF(SUM('Semi Rev'!C55:F55)&lt;=0,"",SUM('Semi FCF'!C55:F55)/SUM('Semi Rev'!C55:F55))=""),"",($F$1334-IF(SUM('Semi Rev'!C55:F55)&lt;=0,"",SUM('Semi FCF'!C55:F55)/SUM('Semi Rev'!C55:F55)))*10000),"")</f>
        <v/>
      </c>
      <c r="G1476" s="43">
        <f>IFERROR(IF(OR($G$1334="",$C$1334=""),"",($G$1334-$C$1334)*10000),"")</f>
        <v/>
      </c>
      <c r="H1476" s="43">
        <f>IFERROR(IF(OR($H$1334="",$D$1334=""),"",($H$1334-$D$1334)*10000),"")</f>
        <v/>
      </c>
      <c r="I1476" s="43">
        <f>IFERROR(IF(OR($I$1334="",$E$1334=""),"",($I$1334-$E$1334)*10000),"")</f>
        <v/>
      </c>
      <c r="J1476" s="43">
        <f>IFERROR(IF(OR($J$1334="",$F$1334=""),"",($J$1334-$F$1334)*10000),"")</f>
        <v/>
      </c>
      <c r="K1476" s="43">
        <f>IFERROR(IF(OR($K$1334="",$G$1334=""),"",($K$1334-$G$1334)*10000),"")</f>
        <v/>
      </c>
      <c r="L1476" s="43">
        <f>IFERROR(IF(OR($L$1334="",$H$1334=""),"",($L$1334-$H$1334)*10000),"")</f>
        <v/>
      </c>
      <c r="M1476" s="44">
        <f>IFERROR(IF(OR($M$1334="",$I$1334=""),"",($M$1334-$I$1334)*10000),"")</f>
        <v/>
      </c>
      <c r="N1476" s="44">
        <f>IFERROR(IF(OR($N$1334="",$J$1334=""),"",($N$1334-$J$1334)*10000),"")</f>
        <v/>
      </c>
    </row>
    <row r="1477">
      <c r="A1477" s="19">
        <f>'Semi Rev'!$A56</f>
        <v/>
      </c>
      <c r="B1477" s="19">
        <f>'Semi Rev'!$B56</f>
        <v/>
      </c>
      <c r="C1477" s="43">
        <f>""</f>
        <v/>
      </c>
      <c r="D1477" s="43">
        <f>""</f>
        <v/>
      </c>
      <c r="E1477" s="43">
        <f>""</f>
        <v/>
      </c>
      <c r="F1477" s="43">
        <f>IFERROR(IF(OR($F$1335="",IF(SUM('Semi Rev'!C56:F56)&lt;=0,"",SUM('Semi FCF'!C56:F56)/SUM('Semi Rev'!C56:F56))=""),"",($F$1335-IF(SUM('Semi Rev'!C56:F56)&lt;=0,"",SUM('Semi FCF'!C56:F56)/SUM('Semi Rev'!C56:F56)))*10000),"")</f>
        <v/>
      </c>
      <c r="G1477" s="43">
        <f>IFERROR(IF(OR($G$1335="",$C$1335=""),"",($G$1335-$C$1335)*10000),"")</f>
        <v/>
      </c>
      <c r="H1477" s="43">
        <f>IFERROR(IF(OR($H$1335="",$D$1335=""),"",($H$1335-$D$1335)*10000),"")</f>
        <v/>
      </c>
      <c r="I1477" s="43">
        <f>IFERROR(IF(OR($I$1335="",$E$1335=""),"",($I$1335-$E$1335)*10000),"")</f>
        <v/>
      </c>
      <c r="J1477" s="43">
        <f>IFERROR(IF(OR($J$1335="",$F$1335=""),"",($J$1335-$F$1335)*10000),"")</f>
        <v/>
      </c>
      <c r="K1477" s="43">
        <f>IFERROR(IF(OR($K$1335="",$G$1335=""),"",($K$1335-$G$1335)*10000),"")</f>
        <v/>
      </c>
      <c r="L1477" s="43">
        <f>IFERROR(IF(OR($L$1335="",$H$1335=""),"",($L$1335-$H$1335)*10000),"")</f>
        <v/>
      </c>
      <c r="M1477" s="44">
        <f>IFERROR(IF(OR($M$1335="",$I$1335=""),"",($M$1335-$I$1335)*10000),"")</f>
        <v/>
      </c>
      <c r="N1477" s="44">
        <f>IFERROR(IF(OR($N$1335="",$J$1335=""),"",($N$1335-$J$1335)*10000),"")</f>
        <v/>
      </c>
    </row>
    <row r="1478">
      <c r="A1478" s="19">
        <f>'Semi Rev'!$A57</f>
        <v/>
      </c>
      <c r="B1478" s="19">
        <f>'Semi Rev'!$B57</f>
        <v/>
      </c>
      <c r="C1478" s="43">
        <f>""</f>
        <v/>
      </c>
      <c r="D1478" s="43">
        <f>""</f>
        <v/>
      </c>
      <c r="E1478" s="43">
        <f>""</f>
        <v/>
      </c>
      <c r="F1478" s="43">
        <f>IFERROR(IF(OR($F$1336="",IF(SUM('Semi Rev'!C57:F57)&lt;=0,"",SUM('Semi FCF'!C57:F57)/SUM('Semi Rev'!C57:F57))=""),"",($F$1336-IF(SUM('Semi Rev'!C57:F57)&lt;=0,"",SUM('Semi FCF'!C57:F57)/SUM('Semi Rev'!C57:F57)))*10000),"")</f>
        <v/>
      </c>
      <c r="G1478" s="43">
        <f>IFERROR(IF(OR($G$1336="",$C$1336=""),"",($G$1336-$C$1336)*10000),"")</f>
        <v/>
      </c>
      <c r="H1478" s="43">
        <f>IFERROR(IF(OR($H$1336="",$D$1336=""),"",($H$1336-$D$1336)*10000),"")</f>
        <v/>
      </c>
      <c r="I1478" s="43">
        <f>IFERROR(IF(OR($I$1336="",$E$1336=""),"",($I$1336-$E$1336)*10000),"")</f>
        <v/>
      </c>
      <c r="J1478" s="43">
        <f>IFERROR(IF(OR($J$1336="",$F$1336=""),"",($J$1336-$F$1336)*10000),"")</f>
        <v/>
      </c>
      <c r="K1478" s="43">
        <f>IFERROR(IF(OR($K$1336="",$G$1336=""),"",($K$1336-$G$1336)*10000),"")</f>
        <v/>
      </c>
      <c r="L1478" s="43">
        <f>IFERROR(IF(OR($L$1336="",$H$1336=""),"",($L$1336-$H$1336)*10000),"")</f>
        <v/>
      </c>
      <c r="M1478" s="44">
        <f>IFERROR(IF(OR($M$1336="",$I$1336=""),"",($M$1336-$I$1336)*10000),"")</f>
        <v/>
      </c>
      <c r="N1478" s="44">
        <f>IFERROR(IF(OR($N$1336="",$J$1336=""),"",($N$1336-$J$1336)*10000),"")</f>
        <v/>
      </c>
    </row>
    <row r="1479">
      <c r="A1479" s="19">
        <f>'Semi Rev'!$A58</f>
        <v/>
      </c>
      <c r="B1479" s="19">
        <f>'Semi Rev'!$B58</f>
        <v/>
      </c>
      <c r="C1479" s="43">
        <f>""</f>
        <v/>
      </c>
      <c r="D1479" s="43">
        <f>""</f>
        <v/>
      </c>
      <c r="E1479" s="43">
        <f>""</f>
        <v/>
      </c>
      <c r="F1479" s="43">
        <f>IFERROR(IF(OR($F$1337="",IF(SUM('Semi Rev'!C58:F58)&lt;=0,"",SUM('Semi FCF'!C58:F58)/SUM('Semi Rev'!C58:F58))=""),"",($F$1337-IF(SUM('Semi Rev'!C58:F58)&lt;=0,"",SUM('Semi FCF'!C58:F58)/SUM('Semi Rev'!C58:F58)))*10000),"")</f>
        <v/>
      </c>
      <c r="G1479" s="43">
        <f>IFERROR(IF(OR($G$1337="",$C$1337=""),"",($G$1337-$C$1337)*10000),"")</f>
        <v/>
      </c>
      <c r="H1479" s="43">
        <f>IFERROR(IF(OR($H$1337="",$D$1337=""),"",($H$1337-$D$1337)*10000),"")</f>
        <v/>
      </c>
      <c r="I1479" s="43">
        <f>IFERROR(IF(OR($I$1337="",$E$1337=""),"",($I$1337-$E$1337)*10000),"")</f>
        <v/>
      </c>
      <c r="J1479" s="43">
        <f>IFERROR(IF(OR($J$1337="",$F$1337=""),"",($J$1337-$F$1337)*10000),"")</f>
        <v/>
      </c>
      <c r="K1479" s="43">
        <f>IFERROR(IF(OR($K$1337="",$G$1337=""),"",($K$1337-$G$1337)*10000),"")</f>
        <v/>
      </c>
      <c r="L1479" s="43">
        <f>IFERROR(IF(OR($L$1337="",$H$1337=""),"",($L$1337-$H$1337)*10000),"")</f>
        <v/>
      </c>
      <c r="M1479" s="44">
        <f>IFERROR(IF(OR($M$1337="",$I$1337=""),"",($M$1337-$I$1337)*10000),"")</f>
        <v/>
      </c>
      <c r="N1479" s="44">
        <f>IFERROR(IF(OR($N$1337="",$J$1337=""),"",($N$1337-$J$1337)*10000),"")</f>
        <v/>
      </c>
    </row>
    <row r="1480">
      <c r="A1480" s="19">
        <f>'Semi Rev'!$A59</f>
        <v/>
      </c>
      <c r="B1480" s="19">
        <f>'Semi Rev'!$B59</f>
        <v/>
      </c>
      <c r="C1480" s="43">
        <f>""</f>
        <v/>
      </c>
      <c r="D1480" s="43">
        <f>""</f>
        <v/>
      </c>
      <c r="E1480" s="43">
        <f>""</f>
        <v/>
      </c>
      <c r="F1480" s="43">
        <f>IFERROR(IF(OR($F$1338="",IF(SUM('Semi Rev'!C59:F59)&lt;=0,"",SUM('Semi FCF'!C59:F59)/SUM('Semi Rev'!C59:F59))=""),"",($F$1338-IF(SUM('Semi Rev'!C59:F59)&lt;=0,"",SUM('Semi FCF'!C59:F59)/SUM('Semi Rev'!C59:F59)))*10000),"")</f>
        <v/>
      </c>
      <c r="G1480" s="43">
        <f>IFERROR(IF(OR($G$1338="",$C$1338=""),"",($G$1338-$C$1338)*10000),"")</f>
        <v/>
      </c>
      <c r="H1480" s="43">
        <f>IFERROR(IF(OR($H$1338="",$D$1338=""),"",($H$1338-$D$1338)*10000),"")</f>
        <v/>
      </c>
      <c r="I1480" s="43">
        <f>IFERROR(IF(OR($I$1338="",$E$1338=""),"",($I$1338-$E$1338)*10000),"")</f>
        <v/>
      </c>
      <c r="J1480" s="43">
        <f>IFERROR(IF(OR($J$1338="",$F$1338=""),"",($J$1338-$F$1338)*10000),"")</f>
        <v/>
      </c>
      <c r="K1480" s="43">
        <f>IFERROR(IF(OR($K$1338="",$G$1338=""),"",($K$1338-$G$1338)*10000),"")</f>
        <v/>
      </c>
      <c r="L1480" s="43">
        <f>IFERROR(IF(OR($L$1338="",$H$1338=""),"",($L$1338-$H$1338)*10000),"")</f>
        <v/>
      </c>
      <c r="M1480" s="44">
        <f>IFERROR(IF(OR($M$1338="",$I$1338=""),"",($M$1338-$I$1338)*10000),"")</f>
        <v/>
      </c>
      <c r="N1480" s="44">
        <f>IFERROR(IF(OR($N$1338="",$J$1338=""),"",($N$1338-$J$1338)*10000),"")</f>
        <v/>
      </c>
    </row>
    <row r="1481">
      <c r="A1481" s="19">
        <f>'Semi Rev'!$A60</f>
        <v/>
      </c>
      <c r="B1481" s="19">
        <f>'Semi Rev'!$B60</f>
        <v/>
      </c>
      <c r="C1481" s="43">
        <f>""</f>
        <v/>
      </c>
      <c r="D1481" s="43">
        <f>""</f>
        <v/>
      </c>
      <c r="E1481" s="43">
        <f>""</f>
        <v/>
      </c>
      <c r="F1481" s="43">
        <f>IFERROR(IF(OR($F$1339="",IF(SUM('Semi Rev'!C60:F60)&lt;=0,"",SUM('Semi FCF'!C60:F60)/SUM('Semi Rev'!C60:F60))=""),"",($F$1339-IF(SUM('Semi Rev'!C60:F60)&lt;=0,"",SUM('Semi FCF'!C60:F60)/SUM('Semi Rev'!C60:F60)))*10000),"")</f>
        <v/>
      </c>
      <c r="G1481" s="43">
        <f>IFERROR(IF(OR($G$1339="",$C$1339=""),"",($G$1339-$C$1339)*10000),"")</f>
        <v/>
      </c>
      <c r="H1481" s="43">
        <f>IFERROR(IF(OR($H$1339="",$D$1339=""),"",($H$1339-$D$1339)*10000),"")</f>
        <v/>
      </c>
      <c r="I1481" s="43">
        <f>IFERROR(IF(OR($I$1339="",$E$1339=""),"",($I$1339-$E$1339)*10000),"")</f>
        <v/>
      </c>
      <c r="J1481" s="43">
        <f>IFERROR(IF(OR($J$1339="",$F$1339=""),"",($J$1339-$F$1339)*10000),"")</f>
        <v/>
      </c>
      <c r="K1481" s="43">
        <f>IFERROR(IF(OR($K$1339="",$G$1339=""),"",($K$1339-$G$1339)*10000),"")</f>
        <v/>
      </c>
      <c r="L1481" s="43">
        <f>IFERROR(IF(OR($L$1339="",$H$1339=""),"",($L$1339-$H$1339)*10000),"")</f>
        <v/>
      </c>
      <c r="M1481" s="44">
        <f>IFERROR(IF(OR($M$1339="",$I$1339=""),"",($M$1339-$I$1339)*10000),"")</f>
        <v/>
      </c>
      <c r="N1481" s="44">
        <f>IFERROR(IF(OR($N$1339="",$J$1339=""),"",($N$1339-$J$1339)*10000),"")</f>
        <v/>
      </c>
    </row>
    <row r="1482">
      <c r="A1482" s="19">
        <f>'Semi Rev'!$A61</f>
        <v/>
      </c>
      <c r="B1482" s="19">
        <f>'Semi Rev'!$B61</f>
        <v/>
      </c>
      <c r="C1482" s="43">
        <f>""</f>
        <v/>
      </c>
      <c r="D1482" s="43">
        <f>""</f>
        <v/>
      </c>
      <c r="E1482" s="43">
        <f>""</f>
        <v/>
      </c>
      <c r="F1482" s="43">
        <f>IFERROR(IF(OR($F$1340="",IF(SUM('Semi Rev'!C61:F61)&lt;=0,"",SUM('Semi FCF'!C61:F61)/SUM('Semi Rev'!C61:F61))=""),"",($F$1340-IF(SUM('Semi Rev'!C61:F61)&lt;=0,"",SUM('Semi FCF'!C61:F61)/SUM('Semi Rev'!C61:F61)))*10000),"")</f>
        <v/>
      </c>
      <c r="G1482" s="43">
        <f>IFERROR(IF(OR($G$1340="",$C$1340=""),"",($G$1340-$C$1340)*10000),"")</f>
        <v/>
      </c>
      <c r="H1482" s="43">
        <f>IFERROR(IF(OR($H$1340="",$D$1340=""),"",($H$1340-$D$1340)*10000),"")</f>
        <v/>
      </c>
      <c r="I1482" s="43">
        <f>IFERROR(IF(OR($I$1340="",$E$1340=""),"",($I$1340-$E$1340)*10000),"")</f>
        <v/>
      </c>
      <c r="J1482" s="43">
        <f>IFERROR(IF(OR($J$1340="",$F$1340=""),"",($J$1340-$F$1340)*10000),"")</f>
        <v/>
      </c>
      <c r="K1482" s="43">
        <f>IFERROR(IF(OR($K$1340="",$G$1340=""),"",($K$1340-$G$1340)*10000),"")</f>
        <v/>
      </c>
      <c r="L1482" s="43">
        <f>IFERROR(IF(OR($L$1340="",$H$1340=""),"",($L$1340-$H$1340)*10000),"")</f>
        <v/>
      </c>
      <c r="M1482" s="44">
        <f>IFERROR(IF(OR($M$1340="",$I$1340=""),"",($M$1340-$I$1340)*10000),"")</f>
        <v/>
      </c>
      <c r="N1482" s="44">
        <f>IFERROR(IF(OR($N$1340="",$J$1340=""),"",($N$1340-$J$1340)*10000),"")</f>
        <v/>
      </c>
    </row>
    <row r="1483">
      <c r="A1483" s="19">
        <f>'Semi Rev'!$A62</f>
        <v/>
      </c>
      <c r="B1483" s="19">
        <f>'Semi Rev'!$B62</f>
        <v/>
      </c>
      <c r="C1483" s="43">
        <f>""</f>
        <v/>
      </c>
      <c r="D1483" s="43">
        <f>""</f>
        <v/>
      </c>
      <c r="E1483" s="43">
        <f>""</f>
        <v/>
      </c>
      <c r="F1483" s="43">
        <f>IFERROR(IF(OR($F$1341="",IF(SUM('Semi Rev'!C62:F62)&lt;=0,"",SUM('Semi FCF'!C62:F62)/SUM('Semi Rev'!C62:F62))=""),"",($F$1341-IF(SUM('Semi Rev'!C62:F62)&lt;=0,"",SUM('Semi FCF'!C62:F62)/SUM('Semi Rev'!C62:F62)))*10000),"")</f>
        <v/>
      </c>
      <c r="G1483" s="43">
        <f>IFERROR(IF(OR($G$1341="",$C$1341=""),"",($G$1341-$C$1341)*10000),"")</f>
        <v/>
      </c>
      <c r="H1483" s="43">
        <f>IFERROR(IF(OR($H$1341="",$D$1341=""),"",($H$1341-$D$1341)*10000),"")</f>
        <v/>
      </c>
      <c r="I1483" s="43">
        <f>IFERROR(IF(OR($I$1341="",$E$1341=""),"",($I$1341-$E$1341)*10000),"")</f>
        <v/>
      </c>
      <c r="J1483" s="43">
        <f>IFERROR(IF(OR($J$1341="",$F$1341=""),"",($J$1341-$F$1341)*10000),"")</f>
        <v/>
      </c>
      <c r="K1483" s="43">
        <f>IFERROR(IF(OR($K$1341="",$G$1341=""),"",($K$1341-$G$1341)*10000),"")</f>
        <v/>
      </c>
      <c r="L1483" s="43">
        <f>IFERROR(IF(OR($L$1341="",$H$1341=""),"",($L$1341-$H$1341)*10000),"")</f>
        <v/>
      </c>
      <c r="M1483" s="44">
        <f>IFERROR(IF(OR($M$1341="",$I$1341=""),"",($M$1341-$I$1341)*10000),"")</f>
        <v/>
      </c>
      <c r="N1483" s="44">
        <f>IFERROR(IF(OR($N$1341="",$J$1341=""),"",($N$1341-$J$1341)*10000),"")</f>
        <v/>
      </c>
    </row>
    <row r="1484">
      <c r="A1484" s="19">
        <f>'Semi Rev'!$A63</f>
        <v/>
      </c>
      <c r="B1484" s="19">
        <f>'Semi Rev'!$B63</f>
        <v/>
      </c>
      <c r="C1484" s="43">
        <f>""</f>
        <v/>
      </c>
      <c r="D1484" s="43">
        <f>""</f>
        <v/>
      </c>
      <c r="E1484" s="43">
        <f>""</f>
        <v/>
      </c>
      <c r="F1484" s="43">
        <f>IFERROR(IF(OR($F$1342="",IF(SUM('Semi Rev'!C63:F63)&lt;=0,"",SUM('Semi FCF'!C63:F63)/SUM('Semi Rev'!C63:F63))=""),"",($F$1342-IF(SUM('Semi Rev'!C63:F63)&lt;=0,"",SUM('Semi FCF'!C63:F63)/SUM('Semi Rev'!C63:F63)))*10000),"")</f>
        <v/>
      </c>
      <c r="G1484" s="43">
        <f>IFERROR(IF(OR($G$1342="",$C$1342=""),"",($G$1342-$C$1342)*10000),"")</f>
        <v/>
      </c>
      <c r="H1484" s="43">
        <f>IFERROR(IF(OR($H$1342="",$D$1342=""),"",($H$1342-$D$1342)*10000),"")</f>
        <v/>
      </c>
      <c r="I1484" s="43">
        <f>IFERROR(IF(OR($I$1342="",$E$1342=""),"",($I$1342-$E$1342)*10000),"")</f>
        <v/>
      </c>
      <c r="J1484" s="43">
        <f>IFERROR(IF(OR($J$1342="",$F$1342=""),"",($J$1342-$F$1342)*10000),"")</f>
        <v/>
      </c>
      <c r="K1484" s="43">
        <f>IFERROR(IF(OR($K$1342="",$G$1342=""),"",($K$1342-$G$1342)*10000),"")</f>
        <v/>
      </c>
      <c r="L1484" s="43">
        <f>IFERROR(IF(OR($L$1342="",$H$1342=""),"",($L$1342-$H$1342)*10000),"")</f>
        <v/>
      </c>
      <c r="M1484" s="44">
        <f>IFERROR(IF(OR($M$1342="",$I$1342=""),"",($M$1342-$I$1342)*10000),"")</f>
        <v/>
      </c>
      <c r="N1484" s="44">
        <f>IFERROR(IF(OR($N$1342="",$J$1342=""),"",($N$1342-$J$1342)*10000),"")</f>
        <v/>
      </c>
    </row>
    <row r="1485">
      <c r="A1485" s="19">
        <f>'Semi Rev'!$A64</f>
        <v/>
      </c>
      <c r="B1485" s="19">
        <f>'Semi Rev'!$B64</f>
        <v/>
      </c>
      <c r="C1485" s="43">
        <f>""</f>
        <v/>
      </c>
      <c r="D1485" s="43">
        <f>""</f>
        <v/>
      </c>
      <c r="E1485" s="43">
        <f>""</f>
        <v/>
      </c>
      <c r="F1485" s="43">
        <f>IFERROR(IF(OR($F$1343="",IF(SUM('Semi Rev'!C64:F64)&lt;=0,"",SUM('Semi FCF'!C64:F64)/SUM('Semi Rev'!C64:F64))=""),"",($F$1343-IF(SUM('Semi Rev'!C64:F64)&lt;=0,"",SUM('Semi FCF'!C64:F64)/SUM('Semi Rev'!C64:F64)))*10000),"")</f>
        <v/>
      </c>
      <c r="G1485" s="43">
        <f>IFERROR(IF(OR($G$1343="",$C$1343=""),"",($G$1343-$C$1343)*10000),"")</f>
        <v/>
      </c>
      <c r="H1485" s="43">
        <f>IFERROR(IF(OR($H$1343="",$D$1343=""),"",($H$1343-$D$1343)*10000),"")</f>
        <v/>
      </c>
      <c r="I1485" s="43">
        <f>IFERROR(IF(OR($I$1343="",$E$1343=""),"",($I$1343-$E$1343)*10000),"")</f>
        <v/>
      </c>
      <c r="J1485" s="43">
        <f>IFERROR(IF(OR($J$1343="",$F$1343=""),"",($J$1343-$F$1343)*10000),"")</f>
        <v/>
      </c>
      <c r="K1485" s="43">
        <f>IFERROR(IF(OR($K$1343="",$G$1343=""),"",($K$1343-$G$1343)*10000),"")</f>
        <v/>
      </c>
      <c r="L1485" s="43">
        <f>IFERROR(IF(OR($L$1343="",$H$1343=""),"",($L$1343-$H$1343)*10000),"")</f>
        <v/>
      </c>
      <c r="M1485" s="44">
        <f>IFERROR(IF(OR($M$1343="",$I$1343=""),"",($M$1343-$I$1343)*10000),"")</f>
        <v/>
      </c>
      <c r="N1485" s="44">
        <f>IFERROR(IF(OR($N$1343="",$J$1343=""),"",($N$1343-$J$1343)*10000),"")</f>
        <v/>
      </c>
    </row>
    <row r="1486">
      <c r="A1486" s="19">
        <f>'Semi Rev'!$A65</f>
        <v/>
      </c>
      <c r="B1486" s="19">
        <f>'Semi Rev'!$B65</f>
        <v/>
      </c>
      <c r="C1486" s="43">
        <f>""</f>
        <v/>
      </c>
      <c r="D1486" s="43">
        <f>""</f>
        <v/>
      </c>
      <c r="E1486" s="43">
        <f>""</f>
        <v/>
      </c>
      <c r="F1486" s="43">
        <f>IFERROR(IF(OR($F$1344="",IF(SUM('Semi Rev'!C65:F65)&lt;=0,"",SUM('Semi FCF'!C65:F65)/SUM('Semi Rev'!C65:F65))=""),"",($F$1344-IF(SUM('Semi Rev'!C65:F65)&lt;=0,"",SUM('Semi FCF'!C65:F65)/SUM('Semi Rev'!C65:F65)))*10000),"")</f>
        <v/>
      </c>
      <c r="G1486" s="43">
        <f>IFERROR(IF(OR($G$1344="",$C$1344=""),"",($G$1344-$C$1344)*10000),"")</f>
        <v/>
      </c>
      <c r="H1486" s="43">
        <f>IFERROR(IF(OR($H$1344="",$D$1344=""),"",($H$1344-$D$1344)*10000),"")</f>
        <v/>
      </c>
      <c r="I1486" s="43">
        <f>IFERROR(IF(OR($I$1344="",$E$1344=""),"",($I$1344-$E$1344)*10000),"")</f>
        <v/>
      </c>
      <c r="J1486" s="43">
        <f>IFERROR(IF(OR($J$1344="",$F$1344=""),"",($J$1344-$F$1344)*10000),"")</f>
        <v/>
      </c>
      <c r="K1486" s="43">
        <f>IFERROR(IF(OR($K$1344="",$G$1344=""),"",($K$1344-$G$1344)*10000),"")</f>
        <v/>
      </c>
      <c r="L1486" s="43">
        <f>IFERROR(IF(OR($L$1344="",$H$1344=""),"",($L$1344-$H$1344)*10000),"")</f>
        <v/>
      </c>
      <c r="M1486" s="44">
        <f>IFERROR(IF(OR($M$1344="",$I$1344=""),"",($M$1344-$I$1344)*10000),"")</f>
        <v/>
      </c>
      <c r="N1486" s="44">
        <f>IFERROR(IF(OR($N$1344="",$J$1344=""),"",($N$1344-$J$1344)*10000),"")</f>
        <v/>
      </c>
    </row>
    <row r="1487">
      <c r="A1487" s="19">
        <f>'Semi Rev'!$A66</f>
        <v/>
      </c>
      <c r="B1487" s="19">
        <f>'Semi Rev'!$B66</f>
        <v/>
      </c>
      <c r="C1487" s="43">
        <f>""</f>
        <v/>
      </c>
      <c r="D1487" s="43">
        <f>""</f>
        <v/>
      </c>
      <c r="E1487" s="43">
        <f>""</f>
        <v/>
      </c>
      <c r="F1487" s="43">
        <f>IFERROR(IF(OR($F$1345="",IF(SUM('Semi Rev'!C66:F66)&lt;=0,"",SUM('Semi FCF'!C66:F66)/SUM('Semi Rev'!C66:F66))=""),"",($F$1345-IF(SUM('Semi Rev'!C66:F66)&lt;=0,"",SUM('Semi FCF'!C66:F66)/SUM('Semi Rev'!C66:F66)))*10000),"")</f>
        <v/>
      </c>
      <c r="G1487" s="43">
        <f>IFERROR(IF(OR($G$1345="",$C$1345=""),"",($G$1345-$C$1345)*10000),"")</f>
        <v/>
      </c>
      <c r="H1487" s="43">
        <f>IFERROR(IF(OR($H$1345="",$D$1345=""),"",($H$1345-$D$1345)*10000),"")</f>
        <v/>
      </c>
      <c r="I1487" s="43">
        <f>IFERROR(IF(OR($I$1345="",$E$1345=""),"",($I$1345-$E$1345)*10000),"")</f>
        <v/>
      </c>
      <c r="J1487" s="43">
        <f>IFERROR(IF(OR($J$1345="",$F$1345=""),"",($J$1345-$F$1345)*10000),"")</f>
        <v/>
      </c>
      <c r="K1487" s="43">
        <f>IFERROR(IF(OR($K$1345="",$G$1345=""),"",($K$1345-$G$1345)*10000),"")</f>
        <v/>
      </c>
      <c r="L1487" s="43">
        <f>IFERROR(IF(OR($L$1345="",$H$1345=""),"",($L$1345-$H$1345)*10000),"")</f>
        <v/>
      </c>
      <c r="M1487" s="44">
        <f>IFERROR(IF(OR($M$1345="",$I$1345=""),"",($M$1345-$I$1345)*10000),"")</f>
        <v/>
      </c>
      <c r="N1487" s="44">
        <f>IFERROR(IF(OR($N$1345="",$J$1345=""),"",($N$1345-$J$1345)*10000),"")</f>
        <v/>
      </c>
    </row>
    <row r="1488">
      <c r="A1488" s="19">
        <f>'Semi Rev'!$A67</f>
        <v/>
      </c>
      <c r="B1488" s="19">
        <f>'Semi Rev'!$B67</f>
        <v/>
      </c>
      <c r="C1488" s="43">
        <f>""</f>
        <v/>
      </c>
      <c r="D1488" s="43">
        <f>""</f>
        <v/>
      </c>
      <c r="E1488" s="43">
        <f>""</f>
        <v/>
      </c>
      <c r="F1488" s="43">
        <f>IFERROR(IF(OR($F$1346="",IF(SUM('Semi Rev'!C67:F67)&lt;=0,"",SUM('Semi FCF'!C67:F67)/SUM('Semi Rev'!C67:F67))=""),"",($F$1346-IF(SUM('Semi Rev'!C67:F67)&lt;=0,"",SUM('Semi FCF'!C67:F67)/SUM('Semi Rev'!C67:F67)))*10000),"")</f>
        <v/>
      </c>
      <c r="G1488" s="43">
        <f>IFERROR(IF(OR($G$1346="",$C$1346=""),"",($G$1346-$C$1346)*10000),"")</f>
        <v/>
      </c>
      <c r="H1488" s="43">
        <f>IFERROR(IF(OR($H$1346="",$D$1346=""),"",($H$1346-$D$1346)*10000),"")</f>
        <v/>
      </c>
      <c r="I1488" s="43">
        <f>IFERROR(IF(OR($I$1346="",$E$1346=""),"",($I$1346-$E$1346)*10000),"")</f>
        <v/>
      </c>
      <c r="J1488" s="43">
        <f>IFERROR(IF(OR($J$1346="",$F$1346=""),"",($J$1346-$F$1346)*10000),"")</f>
        <v/>
      </c>
      <c r="K1488" s="43">
        <f>IFERROR(IF(OR($K$1346="",$G$1346=""),"",($K$1346-$G$1346)*10000),"")</f>
        <v/>
      </c>
      <c r="L1488" s="43">
        <f>IFERROR(IF(OR($L$1346="",$H$1346=""),"",($L$1346-$H$1346)*10000),"")</f>
        <v/>
      </c>
      <c r="M1488" s="44">
        <f>IFERROR(IF(OR($M$1346="",$I$1346=""),"",($M$1346-$I$1346)*10000),"")</f>
        <v/>
      </c>
      <c r="N1488" s="44">
        <f>IFERROR(IF(OR($N$1346="",$J$1346=""),"",($N$1346-$J$1346)*10000),"")</f>
        <v/>
      </c>
    </row>
    <row r="1489">
      <c r="A1489" s="19">
        <f>'Semi Rev'!$A68</f>
        <v/>
      </c>
      <c r="B1489" s="19">
        <f>'Semi Rev'!$B68</f>
        <v/>
      </c>
      <c r="C1489" s="43">
        <f>""</f>
        <v/>
      </c>
      <c r="D1489" s="43">
        <f>""</f>
        <v/>
      </c>
      <c r="E1489" s="43">
        <f>""</f>
        <v/>
      </c>
      <c r="F1489" s="43">
        <f>IFERROR(IF(OR($F$1347="",IF(SUM('Semi Rev'!C68:F68)&lt;=0,"",SUM('Semi FCF'!C68:F68)/SUM('Semi Rev'!C68:F68))=""),"",($F$1347-IF(SUM('Semi Rev'!C68:F68)&lt;=0,"",SUM('Semi FCF'!C68:F68)/SUM('Semi Rev'!C68:F68)))*10000),"")</f>
        <v/>
      </c>
      <c r="G1489" s="43">
        <f>IFERROR(IF(OR($G$1347="",$C$1347=""),"",($G$1347-$C$1347)*10000),"")</f>
        <v/>
      </c>
      <c r="H1489" s="43">
        <f>IFERROR(IF(OR($H$1347="",$D$1347=""),"",($H$1347-$D$1347)*10000),"")</f>
        <v/>
      </c>
      <c r="I1489" s="43">
        <f>IFERROR(IF(OR($I$1347="",$E$1347=""),"",($I$1347-$E$1347)*10000),"")</f>
        <v/>
      </c>
      <c r="J1489" s="43">
        <f>IFERROR(IF(OR($J$1347="",$F$1347=""),"",($J$1347-$F$1347)*10000),"")</f>
        <v/>
      </c>
      <c r="K1489" s="43">
        <f>IFERROR(IF(OR($K$1347="",$G$1347=""),"",($K$1347-$G$1347)*10000),"")</f>
        <v/>
      </c>
      <c r="L1489" s="43">
        <f>IFERROR(IF(OR($L$1347="",$H$1347=""),"",($L$1347-$H$1347)*10000),"")</f>
        <v/>
      </c>
      <c r="M1489" s="44">
        <f>IFERROR(IF(OR($M$1347="",$I$1347=""),"",($M$1347-$I$1347)*10000),"")</f>
        <v/>
      </c>
      <c r="N1489" s="44">
        <f>IFERROR(IF(OR($N$1347="",$J$1347=""),"",($N$1347-$J$1347)*10000),"")</f>
        <v/>
      </c>
    </row>
    <row r="1490">
      <c r="A1490" s="19">
        <f>'Semi Rev'!$A69</f>
        <v/>
      </c>
      <c r="B1490" s="19">
        <f>'Semi Rev'!$B69</f>
        <v/>
      </c>
      <c r="C1490" s="43">
        <f>""</f>
        <v/>
      </c>
      <c r="D1490" s="43">
        <f>""</f>
        <v/>
      </c>
      <c r="E1490" s="43">
        <f>""</f>
        <v/>
      </c>
      <c r="F1490" s="43">
        <f>IFERROR(IF(OR($F$1348="",IF(SUM('Semi Rev'!C69:F69)&lt;=0,"",SUM('Semi FCF'!C69:F69)/SUM('Semi Rev'!C69:F69))=""),"",($F$1348-IF(SUM('Semi Rev'!C69:F69)&lt;=0,"",SUM('Semi FCF'!C69:F69)/SUM('Semi Rev'!C69:F69)))*10000),"")</f>
        <v/>
      </c>
      <c r="G1490" s="43">
        <f>IFERROR(IF(OR($G$1348="",$C$1348=""),"",($G$1348-$C$1348)*10000),"")</f>
        <v/>
      </c>
      <c r="H1490" s="43">
        <f>IFERROR(IF(OR($H$1348="",$D$1348=""),"",($H$1348-$D$1348)*10000),"")</f>
        <v/>
      </c>
      <c r="I1490" s="43">
        <f>IFERROR(IF(OR($I$1348="",$E$1348=""),"",($I$1348-$E$1348)*10000),"")</f>
        <v/>
      </c>
      <c r="J1490" s="43">
        <f>IFERROR(IF(OR($J$1348="",$F$1348=""),"",($J$1348-$F$1348)*10000),"")</f>
        <v/>
      </c>
      <c r="K1490" s="43">
        <f>IFERROR(IF(OR($K$1348="",$G$1348=""),"",($K$1348-$G$1348)*10000),"")</f>
        <v/>
      </c>
      <c r="L1490" s="43">
        <f>IFERROR(IF(OR($L$1348="",$H$1348=""),"",($L$1348-$H$1348)*10000),"")</f>
        <v/>
      </c>
      <c r="M1490" s="44">
        <f>IFERROR(IF(OR($M$1348="",$I$1348=""),"",($M$1348-$I$1348)*10000),"")</f>
        <v/>
      </c>
      <c r="N1490" s="44">
        <f>IFERROR(IF(OR($N$1348="",$J$1348=""),"",($N$1348-$J$1348)*10000),"")</f>
        <v/>
      </c>
    </row>
    <row r="1491">
      <c r="A1491" s="19">
        <f>'Semi Rev'!$A70</f>
        <v/>
      </c>
      <c r="B1491" s="19">
        <f>'Semi Rev'!$B70</f>
        <v/>
      </c>
      <c r="C1491" s="43">
        <f>""</f>
        <v/>
      </c>
      <c r="D1491" s="43">
        <f>""</f>
        <v/>
      </c>
      <c r="E1491" s="43">
        <f>""</f>
        <v/>
      </c>
      <c r="F1491" s="43">
        <f>IFERROR(IF(OR($F$1349="",IF(SUM('Semi Rev'!C70:F70)&lt;=0,"",SUM('Semi FCF'!C70:F70)/SUM('Semi Rev'!C70:F70))=""),"",($F$1349-IF(SUM('Semi Rev'!C70:F70)&lt;=0,"",SUM('Semi FCF'!C70:F70)/SUM('Semi Rev'!C70:F70)))*10000),"")</f>
        <v/>
      </c>
      <c r="G1491" s="43">
        <f>IFERROR(IF(OR($G$1349="",$C$1349=""),"",($G$1349-$C$1349)*10000),"")</f>
        <v/>
      </c>
      <c r="H1491" s="43">
        <f>IFERROR(IF(OR($H$1349="",$D$1349=""),"",($H$1349-$D$1349)*10000),"")</f>
        <v/>
      </c>
      <c r="I1491" s="43">
        <f>IFERROR(IF(OR($I$1349="",$E$1349=""),"",($I$1349-$E$1349)*10000),"")</f>
        <v/>
      </c>
      <c r="J1491" s="43">
        <f>IFERROR(IF(OR($J$1349="",$F$1349=""),"",($J$1349-$F$1349)*10000),"")</f>
        <v/>
      </c>
      <c r="K1491" s="43">
        <f>IFERROR(IF(OR($K$1349="",$G$1349=""),"",($K$1349-$G$1349)*10000),"")</f>
        <v/>
      </c>
      <c r="L1491" s="43">
        <f>IFERROR(IF(OR($L$1349="",$H$1349=""),"",($L$1349-$H$1349)*10000),"")</f>
        <v/>
      </c>
      <c r="M1491" s="44">
        <f>IFERROR(IF(OR($M$1349="",$I$1349=""),"",($M$1349-$I$1349)*10000),"")</f>
        <v/>
      </c>
      <c r="N1491" s="44">
        <f>IFERROR(IF(OR($N$1349="",$J$1349=""),"",($N$1349-$J$1349)*10000),"")</f>
        <v/>
      </c>
    </row>
    <row r="1492">
      <c r="A1492" s="19">
        <f>'Semi Rev'!$A71</f>
        <v/>
      </c>
      <c r="B1492" s="19">
        <f>'Semi Rev'!$B71</f>
        <v/>
      </c>
      <c r="C1492" s="43">
        <f>""</f>
        <v/>
      </c>
      <c r="D1492" s="43">
        <f>""</f>
        <v/>
      </c>
      <c r="E1492" s="43">
        <f>""</f>
        <v/>
      </c>
      <c r="F1492" s="43">
        <f>IFERROR(IF(OR($F$1350="",IF(SUM('Semi Rev'!C71:F71)&lt;=0,"",SUM('Semi FCF'!C71:F71)/SUM('Semi Rev'!C71:F71))=""),"",($F$1350-IF(SUM('Semi Rev'!C71:F71)&lt;=0,"",SUM('Semi FCF'!C71:F71)/SUM('Semi Rev'!C71:F71)))*10000),"")</f>
        <v/>
      </c>
      <c r="G1492" s="43">
        <f>IFERROR(IF(OR($G$1350="",$C$1350=""),"",($G$1350-$C$1350)*10000),"")</f>
        <v/>
      </c>
      <c r="H1492" s="43">
        <f>IFERROR(IF(OR($H$1350="",$D$1350=""),"",($H$1350-$D$1350)*10000),"")</f>
        <v/>
      </c>
      <c r="I1492" s="43">
        <f>IFERROR(IF(OR($I$1350="",$E$1350=""),"",($I$1350-$E$1350)*10000),"")</f>
        <v/>
      </c>
      <c r="J1492" s="43">
        <f>IFERROR(IF(OR($J$1350="",$F$1350=""),"",($J$1350-$F$1350)*10000),"")</f>
        <v/>
      </c>
      <c r="K1492" s="43">
        <f>IFERROR(IF(OR($K$1350="",$G$1350=""),"",($K$1350-$G$1350)*10000),"")</f>
        <v/>
      </c>
      <c r="L1492" s="43">
        <f>IFERROR(IF(OR($L$1350="",$H$1350=""),"",($L$1350-$H$1350)*10000),"")</f>
        <v/>
      </c>
      <c r="M1492" s="44">
        <f>IFERROR(IF(OR($M$1350="",$I$1350=""),"",($M$1350-$I$1350)*10000),"")</f>
        <v/>
      </c>
      <c r="N1492" s="44">
        <f>IFERROR(IF(OR($N$1350="",$J$1350=""),"",($N$1350-$J$1350)*10000),"")</f>
        <v/>
      </c>
    </row>
    <row r="1493">
      <c r="A1493" s="19">
        <f>'Semi Rev'!$A72</f>
        <v/>
      </c>
      <c r="B1493" s="19">
        <f>'Semi Rev'!$B72</f>
        <v/>
      </c>
      <c r="C1493" s="43">
        <f>""</f>
        <v/>
      </c>
      <c r="D1493" s="43">
        <f>""</f>
        <v/>
      </c>
      <c r="E1493" s="43">
        <f>""</f>
        <v/>
      </c>
      <c r="F1493" s="43">
        <f>IFERROR(IF(OR($F$1351="",IF(SUM('Semi Rev'!C72:F72)&lt;=0,"",SUM('Semi FCF'!C72:F72)/SUM('Semi Rev'!C72:F72))=""),"",($F$1351-IF(SUM('Semi Rev'!C72:F72)&lt;=0,"",SUM('Semi FCF'!C72:F72)/SUM('Semi Rev'!C72:F72)))*10000),"")</f>
        <v/>
      </c>
      <c r="G1493" s="43">
        <f>IFERROR(IF(OR($G$1351="",$C$1351=""),"",($G$1351-$C$1351)*10000),"")</f>
        <v/>
      </c>
      <c r="H1493" s="43">
        <f>IFERROR(IF(OR($H$1351="",$D$1351=""),"",($H$1351-$D$1351)*10000),"")</f>
        <v/>
      </c>
      <c r="I1493" s="43">
        <f>IFERROR(IF(OR($I$1351="",$E$1351=""),"",($I$1351-$E$1351)*10000),"")</f>
        <v/>
      </c>
      <c r="J1493" s="43">
        <f>IFERROR(IF(OR($J$1351="",$F$1351=""),"",($J$1351-$F$1351)*10000),"")</f>
        <v/>
      </c>
      <c r="K1493" s="43">
        <f>IFERROR(IF(OR($K$1351="",$G$1351=""),"",($K$1351-$G$1351)*10000),"")</f>
        <v/>
      </c>
      <c r="L1493" s="43">
        <f>IFERROR(IF(OR($L$1351="",$H$1351=""),"",($L$1351-$H$1351)*10000),"")</f>
        <v/>
      </c>
      <c r="M1493" s="44">
        <f>IFERROR(IF(OR($M$1351="",$I$1351=""),"",($M$1351-$I$1351)*10000),"")</f>
        <v/>
      </c>
      <c r="N1493" s="44">
        <f>IFERROR(IF(OR($N$1351="",$J$1351=""),"",($N$1351-$J$1351)*10000),"")</f>
        <v/>
      </c>
    </row>
    <row r="1494">
      <c r="A1494" s="19">
        <f>'Semi Rev'!$A73</f>
        <v/>
      </c>
      <c r="B1494" s="19">
        <f>'Semi Rev'!$B73</f>
        <v/>
      </c>
      <c r="C1494" s="43">
        <f>""</f>
        <v/>
      </c>
      <c r="D1494" s="43">
        <f>""</f>
        <v/>
      </c>
      <c r="E1494" s="43">
        <f>""</f>
        <v/>
      </c>
      <c r="F1494" s="43">
        <f>IFERROR(IF(OR($F$1352="",IF(SUM('Semi Rev'!C73:F73)&lt;=0,"",SUM('Semi FCF'!C73:F73)/SUM('Semi Rev'!C73:F73))=""),"",($F$1352-IF(SUM('Semi Rev'!C73:F73)&lt;=0,"",SUM('Semi FCF'!C73:F73)/SUM('Semi Rev'!C73:F73)))*10000),"")</f>
        <v/>
      </c>
      <c r="G1494" s="43">
        <f>IFERROR(IF(OR($G$1352="",$C$1352=""),"",($G$1352-$C$1352)*10000),"")</f>
        <v/>
      </c>
      <c r="H1494" s="43">
        <f>IFERROR(IF(OR($H$1352="",$D$1352=""),"",($H$1352-$D$1352)*10000),"")</f>
        <v/>
      </c>
      <c r="I1494" s="43">
        <f>IFERROR(IF(OR($I$1352="",$E$1352=""),"",($I$1352-$E$1352)*10000),"")</f>
        <v/>
      </c>
      <c r="J1494" s="43">
        <f>IFERROR(IF(OR($J$1352="",$F$1352=""),"",($J$1352-$F$1352)*10000),"")</f>
        <v/>
      </c>
      <c r="K1494" s="43">
        <f>IFERROR(IF(OR($K$1352="",$G$1352=""),"",($K$1352-$G$1352)*10000),"")</f>
        <v/>
      </c>
      <c r="L1494" s="43">
        <f>IFERROR(IF(OR($L$1352="",$H$1352=""),"",($L$1352-$H$1352)*10000),"")</f>
        <v/>
      </c>
      <c r="M1494" s="44">
        <f>IFERROR(IF(OR($M$1352="",$I$1352=""),"",($M$1352-$I$1352)*10000),"")</f>
        <v/>
      </c>
      <c r="N1494" s="44">
        <f>IFERROR(IF(OR($N$1352="",$J$1352=""),"",($N$1352-$J$1352)*10000),"")</f>
        <v/>
      </c>
    </row>
    <row r="1495">
      <c r="A1495" s="19">
        <f>'Semi Rev'!$A74</f>
        <v/>
      </c>
      <c r="B1495" s="19">
        <f>'Semi Rev'!$B74</f>
        <v/>
      </c>
      <c r="C1495" s="43">
        <f>""</f>
        <v/>
      </c>
      <c r="D1495" s="43">
        <f>""</f>
        <v/>
      </c>
      <c r="E1495" s="43">
        <f>""</f>
        <v/>
      </c>
      <c r="F1495" s="43">
        <f>IFERROR(IF(OR($F$1353="",IF(SUM('Semi Rev'!C74:F74)&lt;=0,"",SUM('Semi FCF'!C74:F74)/SUM('Semi Rev'!C74:F74))=""),"",($F$1353-IF(SUM('Semi Rev'!C74:F74)&lt;=0,"",SUM('Semi FCF'!C74:F74)/SUM('Semi Rev'!C74:F74)))*10000),"")</f>
        <v/>
      </c>
      <c r="G1495" s="43">
        <f>IFERROR(IF(OR($G$1353="",$C$1353=""),"",($G$1353-$C$1353)*10000),"")</f>
        <v/>
      </c>
      <c r="H1495" s="43">
        <f>IFERROR(IF(OR($H$1353="",$D$1353=""),"",($H$1353-$D$1353)*10000),"")</f>
        <v/>
      </c>
      <c r="I1495" s="43">
        <f>IFERROR(IF(OR($I$1353="",$E$1353=""),"",($I$1353-$E$1353)*10000),"")</f>
        <v/>
      </c>
      <c r="J1495" s="43">
        <f>IFERROR(IF(OR($J$1353="",$F$1353=""),"",($J$1353-$F$1353)*10000),"")</f>
        <v/>
      </c>
      <c r="K1495" s="43">
        <f>IFERROR(IF(OR($K$1353="",$G$1353=""),"",($K$1353-$G$1353)*10000),"")</f>
        <v/>
      </c>
      <c r="L1495" s="43">
        <f>IFERROR(IF(OR($L$1353="",$H$1353=""),"",($L$1353-$H$1353)*10000),"")</f>
        <v/>
      </c>
      <c r="M1495" s="44">
        <f>IFERROR(IF(OR($M$1353="",$I$1353=""),"",($M$1353-$I$1353)*10000),"")</f>
        <v/>
      </c>
      <c r="N1495" s="44">
        <f>IFERROR(IF(OR($N$1353="",$J$1353=""),"",($N$1353-$J$1353)*10000),"")</f>
        <v/>
      </c>
    </row>
    <row r="1496">
      <c r="A1496" s="19">
        <f>'Semi Rev'!$A75</f>
        <v/>
      </c>
      <c r="B1496" s="19">
        <f>'Semi Rev'!$B75</f>
        <v/>
      </c>
      <c r="C1496" s="43">
        <f>""</f>
        <v/>
      </c>
      <c r="D1496" s="43">
        <f>""</f>
        <v/>
      </c>
      <c r="E1496" s="43">
        <f>""</f>
        <v/>
      </c>
      <c r="F1496" s="43">
        <f>IFERROR(IF(OR($F$1354="",IF(SUM('Semi Rev'!C75:F75)&lt;=0,"",SUM('Semi FCF'!C75:F75)/SUM('Semi Rev'!C75:F75))=""),"",($F$1354-IF(SUM('Semi Rev'!C75:F75)&lt;=0,"",SUM('Semi FCF'!C75:F75)/SUM('Semi Rev'!C75:F75)))*10000),"")</f>
        <v/>
      </c>
      <c r="G1496" s="43">
        <f>IFERROR(IF(OR($G$1354="",$C$1354=""),"",($G$1354-$C$1354)*10000),"")</f>
        <v/>
      </c>
      <c r="H1496" s="43">
        <f>IFERROR(IF(OR($H$1354="",$D$1354=""),"",($H$1354-$D$1354)*10000),"")</f>
        <v/>
      </c>
      <c r="I1496" s="43">
        <f>IFERROR(IF(OR($I$1354="",$E$1354=""),"",($I$1354-$E$1354)*10000),"")</f>
        <v/>
      </c>
      <c r="J1496" s="43">
        <f>IFERROR(IF(OR($J$1354="",$F$1354=""),"",($J$1354-$F$1354)*10000),"")</f>
        <v/>
      </c>
      <c r="K1496" s="43">
        <f>IFERROR(IF(OR($K$1354="",$G$1354=""),"",($K$1354-$G$1354)*10000),"")</f>
        <v/>
      </c>
      <c r="L1496" s="43">
        <f>IFERROR(IF(OR($L$1354="",$H$1354=""),"",($L$1354-$H$1354)*10000),"")</f>
        <v/>
      </c>
      <c r="M1496" s="44">
        <f>IFERROR(IF(OR($M$1354="",$I$1354=""),"",($M$1354-$I$1354)*10000),"")</f>
        <v/>
      </c>
      <c r="N1496" s="44">
        <f>IFERROR(IF(OR($N$1354="",$J$1354=""),"",($N$1354-$J$1354)*10000),"")</f>
        <v/>
      </c>
    </row>
    <row r="1497">
      <c r="A1497" s="19">
        <f>'Semi Rev'!$A76</f>
        <v/>
      </c>
      <c r="B1497" s="19">
        <f>'Semi Rev'!$B76</f>
        <v/>
      </c>
      <c r="C1497" s="43">
        <f>""</f>
        <v/>
      </c>
      <c r="D1497" s="43">
        <f>""</f>
        <v/>
      </c>
      <c r="E1497" s="43">
        <f>""</f>
        <v/>
      </c>
      <c r="F1497" s="43">
        <f>IFERROR(IF(OR($F$1355="",IF(SUM('Semi Rev'!C76:F76)&lt;=0,"",SUM('Semi FCF'!C76:F76)/SUM('Semi Rev'!C76:F76))=""),"",($F$1355-IF(SUM('Semi Rev'!C76:F76)&lt;=0,"",SUM('Semi FCF'!C76:F76)/SUM('Semi Rev'!C76:F76)))*10000),"")</f>
        <v/>
      </c>
      <c r="G1497" s="43">
        <f>IFERROR(IF(OR($G$1355="",$C$1355=""),"",($G$1355-$C$1355)*10000),"")</f>
        <v/>
      </c>
      <c r="H1497" s="43">
        <f>IFERROR(IF(OR($H$1355="",$D$1355=""),"",($H$1355-$D$1355)*10000),"")</f>
        <v/>
      </c>
      <c r="I1497" s="43">
        <f>IFERROR(IF(OR($I$1355="",$E$1355=""),"",($I$1355-$E$1355)*10000),"")</f>
        <v/>
      </c>
      <c r="J1497" s="43">
        <f>IFERROR(IF(OR($J$1355="",$F$1355=""),"",($J$1355-$F$1355)*10000),"")</f>
        <v/>
      </c>
      <c r="K1497" s="43">
        <f>IFERROR(IF(OR($K$1355="",$G$1355=""),"",($K$1355-$G$1355)*10000),"")</f>
        <v/>
      </c>
      <c r="L1497" s="43">
        <f>IFERROR(IF(OR($L$1355="",$H$1355=""),"",($L$1355-$H$1355)*10000),"")</f>
        <v/>
      </c>
      <c r="M1497" s="44">
        <f>IFERROR(IF(OR($M$1355="",$I$1355=""),"",($M$1355-$I$1355)*10000),"")</f>
        <v/>
      </c>
      <c r="N1497" s="44">
        <f>IFERROR(IF(OR($N$1355="",$J$1355=""),"",($N$1355-$J$1355)*10000),"")</f>
        <v/>
      </c>
    </row>
    <row r="1498">
      <c r="A1498" s="19">
        <f>'Semi Rev'!$A77</f>
        <v/>
      </c>
      <c r="B1498" s="19">
        <f>'Semi Rev'!$B77</f>
        <v/>
      </c>
      <c r="C1498" s="43">
        <f>""</f>
        <v/>
      </c>
      <c r="D1498" s="43">
        <f>""</f>
        <v/>
      </c>
      <c r="E1498" s="43">
        <f>""</f>
        <v/>
      </c>
      <c r="F1498" s="43">
        <f>IFERROR(IF(OR($F$1356="",IF(SUM('Semi Rev'!C77:F77)&lt;=0,"",SUM('Semi FCF'!C77:F77)/SUM('Semi Rev'!C77:F77))=""),"",($F$1356-IF(SUM('Semi Rev'!C77:F77)&lt;=0,"",SUM('Semi FCF'!C77:F77)/SUM('Semi Rev'!C77:F77)))*10000),"")</f>
        <v/>
      </c>
      <c r="G1498" s="43">
        <f>IFERROR(IF(OR($G$1356="",$C$1356=""),"",($G$1356-$C$1356)*10000),"")</f>
        <v/>
      </c>
      <c r="H1498" s="43">
        <f>IFERROR(IF(OR($H$1356="",$D$1356=""),"",($H$1356-$D$1356)*10000),"")</f>
        <v/>
      </c>
      <c r="I1498" s="43">
        <f>IFERROR(IF(OR($I$1356="",$E$1356=""),"",($I$1356-$E$1356)*10000),"")</f>
        <v/>
      </c>
      <c r="J1498" s="43">
        <f>IFERROR(IF(OR($J$1356="",$F$1356=""),"",($J$1356-$F$1356)*10000),"")</f>
        <v/>
      </c>
      <c r="K1498" s="43">
        <f>IFERROR(IF(OR($K$1356="",$G$1356=""),"",($K$1356-$G$1356)*10000),"")</f>
        <v/>
      </c>
      <c r="L1498" s="43">
        <f>IFERROR(IF(OR($L$1356="",$H$1356=""),"",($L$1356-$H$1356)*10000),"")</f>
        <v/>
      </c>
      <c r="M1498" s="44">
        <f>IFERROR(IF(OR($M$1356="",$I$1356=""),"",($M$1356-$I$1356)*10000),"")</f>
        <v/>
      </c>
      <c r="N1498" s="44">
        <f>IFERROR(IF(OR($N$1356="",$J$1356=""),"",($N$1356-$J$1356)*10000),"")</f>
        <v/>
      </c>
    </row>
    <row r="1499">
      <c r="A1499" s="19">
        <f>'Semi Rev'!$A78</f>
        <v/>
      </c>
      <c r="B1499" s="19">
        <f>'Semi Rev'!$B78</f>
        <v/>
      </c>
      <c r="C1499" s="43">
        <f>""</f>
        <v/>
      </c>
      <c r="D1499" s="43">
        <f>""</f>
        <v/>
      </c>
      <c r="E1499" s="43">
        <f>""</f>
        <v/>
      </c>
      <c r="F1499" s="43">
        <f>IFERROR(IF(OR($F$1357="",IF(SUM('Semi Rev'!C78:F78)&lt;=0,"",SUM('Semi FCF'!C78:F78)/SUM('Semi Rev'!C78:F78))=""),"",($F$1357-IF(SUM('Semi Rev'!C78:F78)&lt;=0,"",SUM('Semi FCF'!C78:F78)/SUM('Semi Rev'!C78:F78)))*10000),"")</f>
        <v/>
      </c>
      <c r="G1499" s="43">
        <f>IFERROR(IF(OR($G$1357="",$C$1357=""),"",($G$1357-$C$1357)*10000),"")</f>
        <v/>
      </c>
      <c r="H1499" s="43">
        <f>IFERROR(IF(OR($H$1357="",$D$1357=""),"",($H$1357-$D$1357)*10000),"")</f>
        <v/>
      </c>
      <c r="I1499" s="43">
        <f>IFERROR(IF(OR($I$1357="",$E$1357=""),"",($I$1357-$E$1357)*10000),"")</f>
        <v/>
      </c>
      <c r="J1499" s="43">
        <f>IFERROR(IF(OR($J$1357="",$F$1357=""),"",($J$1357-$F$1357)*10000),"")</f>
        <v/>
      </c>
      <c r="K1499" s="43">
        <f>IFERROR(IF(OR($K$1357="",$G$1357=""),"",($K$1357-$G$1357)*10000),"")</f>
        <v/>
      </c>
      <c r="L1499" s="43">
        <f>IFERROR(IF(OR($L$1357="",$H$1357=""),"",($L$1357-$H$1357)*10000),"")</f>
        <v/>
      </c>
      <c r="M1499" s="44">
        <f>IFERROR(IF(OR($M$1357="",$I$1357=""),"",($M$1357-$I$1357)*10000),"")</f>
        <v/>
      </c>
      <c r="N1499" s="44">
        <f>IFERROR(IF(OR($N$1357="",$J$1357=""),"",($N$1357-$J$1357)*10000),"")</f>
        <v/>
      </c>
    </row>
    <row r="1500">
      <c r="A1500" s="19">
        <f>'Semi Rev'!$A79</f>
        <v/>
      </c>
      <c r="B1500" s="19">
        <f>'Semi Rev'!$B79</f>
        <v/>
      </c>
      <c r="C1500" s="43">
        <f>""</f>
        <v/>
      </c>
      <c r="D1500" s="43">
        <f>""</f>
        <v/>
      </c>
      <c r="E1500" s="43">
        <f>""</f>
        <v/>
      </c>
      <c r="F1500" s="43">
        <f>IFERROR(IF(OR($F$1358="",IF(SUM('Semi Rev'!C79:F79)&lt;=0,"",SUM('Semi FCF'!C79:F79)/SUM('Semi Rev'!C79:F79))=""),"",($F$1358-IF(SUM('Semi Rev'!C79:F79)&lt;=0,"",SUM('Semi FCF'!C79:F79)/SUM('Semi Rev'!C79:F79)))*10000),"")</f>
        <v/>
      </c>
      <c r="G1500" s="43">
        <f>IFERROR(IF(OR($G$1358="",$C$1358=""),"",($G$1358-$C$1358)*10000),"")</f>
        <v/>
      </c>
      <c r="H1500" s="43">
        <f>IFERROR(IF(OR($H$1358="",$D$1358=""),"",($H$1358-$D$1358)*10000),"")</f>
        <v/>
      </c>
      <c r="I1500" s="43">
        <f>IFERROR(IF(OR($I$1358="",$E$1358=""),"",($I$1358-$E$1358)*10000),"")</f>
        <v/>
      </c>
      <c r="J1500" s="43">
        <f>IFERROR(IF(OR($J$1358="",$F$1358=""),"",($J$1358-$F$1358)*10000),"")</f>
        <v/>
      </c>
      <c r="K1500" s="43">
        <f>IFERROR(IF(OR($K$1358="",$G$1358=""),"",($K$1358-$G$1358)*10000),"")</f>
        <v/>
      </c>
      <c r="L1500" s="43">
        <f>IFERROR(IF(OR($L$1358="",$H$1358=""),"",($L$1358-$H$1358)*10000),"")</f>
        <v/>
      </c>
      <c r="M1500" s="44">
        <f>IFERROR(IF(OR($M$1358="",$I$1358=""),"",($M$1358-$I$1358)*10000),"")</f>
        <v/>
      </c>
      <c r="N1500" s="44">
        <f>IFERROR(IF(OR($N$1358="",$J$1358=""),"",($N$1358-$J$1358)*10000),"")</f>
        <v/>
      </c>
    </row>
    <row r="1501">
      <c r="A1501" s="19">
        <f>'Semi Rev'!$A80</f>
        <v/>
      </c>
      <c r="B1501" s="19">
        <f>'Semi Rev'!$B80</f>
        <v/>
      </c>
      <c r="C1501" s="43">
        <f>""</f>
        <v/>
      </c>
      <c r="D1501" s="43">
        <f>""</f>
        <v/>
      </c>
      <c r="E1501" s="43">
        <f>""</f>
        <v/>
      </c>
      <c r="F1501" s="43">
        <f>IFERROR(IF(OR($F$1359="",IF(SUM('Semi Rev'!C80:F80)&lt;=0,"",SUM('Semi FCF'!C80:F80)/SUM('Semi Rev'!C80:F80))=""),"",($F$1359-IF(SUM('Semi Rev'!C80:F80)&lt;=0,"",SUM('Semi FCF'!C80:F80)/SUM('Semi Rev'!C80:F80)))*10000),"")</f>
        <v/>
      </c>
      <c r="G1501" s="43">
        <f>IFERROR(IF(OR($G$1359="",$C$1359=""),"",($G$1359-$C$1359)*10000),"")</f>
        <v/>
      </c>
      <c r="H1501" s="43">
        <f>IFERROR(IF(OR($H$1359="",$D$1359=""),"",($H$1359-$D$1359)*10000),"")</f>
        <v/>
      </c>
      <c r="I1501" s="43">
        <f>IFERROR(IF(OR($I$1359="",$E$1359=""),"",($I$1359-$E$1359)*10000),"")</f>
        <v/>
      </c>
      <c r="J1501" s="43">
        <f>IFERROR(IF(OR($J$1359="",$F$1359=""),"",($J$1359-$F$1359)*10000),"")</f>
        <v/>
      </c>
      <c r="K1501" s="43">
        <f>IFERROR(IF(OR($K$1359="",$G$1359=""),"",($K$1359-$G$1359)*10000),"")</f>
        <v/>
      </c>
      <c r="L1501" s="43">
        <f>IFERROR(IF(OR($L$1359="",$H$1359=""),"",($L$1359-$H$1359)*10000),"")</f>
        <v/>
      </c>
      <c r="M1501" s="44">
        <f>IFERROR(IF(OR($M$1359="",$I$1359=""),"",($M$1359-$I$1359)*10000),"")</f>
        <v/>
      </c>
      <c r="N1501" s="44">
        <f>IFERROR(IF(OR($N$1359="",$J$1359=""),"",($N$1359-$J$1359)*10000),"")</f>
        <v/>
      </c>
    </row>
    <row r="1502">
      <c r="A1502" s="19">
        <f>'Semi Rev'!$A81</f>
        <v/>
      </c>
      <c r="B1502" s="19">
        <f>'Semi Rev'!$B81</f>
        <v/>
      </c>
      <c r="C1502" s="43">
        <f>""</f>
        <v/>
      </c>
      <c r="D1502" s="43">
        <f>""</f>
        <v/>
      </c>
      <c r="E1502" s="43">
        <f>""</f>
        <v/>
      </c>
      <c r="F1502" s="43">
        <f>IFERROR(IF(OR($F$1360="",IF(SUM('Semi Rev'!C81:F81)&lt;=0,"",SUM('Semi FCF'!C81:F81)/SUM('Semi Rev'!C81:F81))=""),"",($F$1360-IF(SUM('Semi Rev'!C81:F81)&lt;=0,"",SUM('Semi FCF'!C81:F81)/SUM('Semi Rev'!C81:F81)))*10000),"")</f>
        <v/>
      </c>
      <c r="G1502" s="43">
        <f>IFERROR(IF(OR($G$1360="",$C$1360=""),"",($G$1360-$C$1360)*10000),"")</f>
        <v/>
      </c>
      <c r="H1502" s="43">
        <f>IFERROR(IF(OR($H$1360="",$D$1360=""),"",($H$1360-$D$1360)*10000),"")</f>
        <v/>
      </c>
      <c r="I1502" s="43">
        <f>IFERROR(IF(OR($I$1360="",$E$1360=""),"",($I$1360-$E$1360)*10000),"")</f>
        <v/>
      </c>
      <c r="J1502" s="43">
        <f>IFERROR(IF(OR($J$1360="",$F$1360=""),"",($J$1360-$F$1360)*10000),"")</f>
        <v/>
      </c>
      <c r="K1502" s="43">
        <f>IFERROR(IF(OR($K$1360="",$G$1360=""),"",($K$1360-$G$1360)*10000),"")</f>
        <v/>
      </c>
      <c r="L1502" s="43">
        <f>IFERROR(IF(OR($L$1360="",$H$1360=""),"",($L$1360-$H$1360)*10000),"")</f>
        <v/>
      </c>
      <c r="M1502" s="44">
        <f>IFERROR(IF(OR($M$1360="",$I$1360=""),"",($M$1360-$I$1360)*10000),"")</f>
        <v/>
      </c>
      <c r="N1502" s="44">
        <f>IFERROR(IF(OR($N$1360="",$J$1360=""),"",($N$1360-$J$1360)*10000),"")</f>
        <v/>
      </c>
    </row>
    <row r="1503">
      <c r="A1503" s="19">
        <f>'Semi Rev'!$A82</f>
        <v/>
      </c>
      <c r="B1503" s="19">
        <f>'Semi Rev'!$B82</f>
        <v/>
      </c>
      <c r="C1503" s="43">
        <f>""</f>
        <v/>
      </c>
      <c r="D1503" s="43">
        <f>""</f>
        <v/>
      </c>
      <c r="E1503" s="43">
        <f>""</f>
        <v/>
      </c>
      <c r="F1503" s="43">
        <f>IFERROR(IF(OR($F$1361="",IF(SUM('Semi Rev'!C82:F82)&lt;=0,"",SUM('Semi FCF'!C82:F82)/SUM('Semi Rev'!C82:F82))=""),"",($F$1361-IF(SUM('Semi Rev'!C82:F82)&lt;=0,"",SUM('Semi FCF'!C82:F82)/SUM('Semi Rev'!C82:F82)))*10000),"")</f>
        <v/>
      </c>
      <c r="G1503" s="43">
        <f>IFERROR(IF(OR($G$1361="",$C$1361=""),"",($G$1361-$C$1361)*10000),"")</f>
        <v/>
      </c>
      <c r="H1503" s="43">
        <f>IFERROR(IF(OR($H$1361="",$D$1361=""),"",($H$1361-$D$1361)*10000),"")</f>
        <v/>
      </c>
      <c r="I1503" s="43">
        <f>IFERROR(IF(OR($I$1361="",$E$1361=""),"",($I$1361-$E$1361)*10000),"")</f>
        <v/>
      </c>
      <c r="J1503" s="43">
        <f>IFERROR(IF(OR($J$1361="",$F$1361=""),"",($J$1361-$F$1361)*10000),"")</f>
        <v/>
      </c>
      <c r="K1503" s="43">
        <f>IFERROR(IF(OR($K$1361="",$G$1361=""),"",($K$1361-$G$1361)*10000),"")</f>
        <v/>
      </c>
      <c r="L1503" s="43">
        <f>IFERROR(IF(OR($L$1361="",$H$1361=""),"",($L$1361-$H$1361)*10000),"")</f>
        <v/>
      </c>
      <c r="M1503" s="44">
        <f>IFERROR(IF(OR($M$1361="",$I$1361=""),"",($M$1361-$I$1361)*10000),"")</f>
        <v/>
      </c>
      <c r="N1503" s="44">
        <f>IFERROR(IF(OR($N$1361="",$J$1361=""),"",($N$1361-$J$1361)*10000),"")</f>
        <v/>
      </c>
    </row>
    <row r="1504">
      <c r="A1504" s="19">
        <f>'Semi Rev'!$A83</f>
        <v/>
      </c>
      <c r="B1504" s="19">
        <f>'Semi Rev'!$B83</f>
        <v/>
      </c>
      <c r="C1504" s="43">
        <f>""</f>
        <v/>
      </c>
      <c r="D1504" s="43">
        <f>""</f>
        <v/>
      </c>
      <c r="E1504" s="43">
        <f>""</f>
        <v/>
      </c>
      <c r="F1504" s="43">
        <f>IFERROR(IF(OR($F$1362="",IF(SUM('Semi Rev'!C83:F83)&lt;=0,"",SUM('Semi FCF'!C83:F83)/SUM('Semi Rev'!C83:F83))=""),"",($F$1362-IF(SUM('Semi Rev'!C83:F83)&lt;=0,"",SUM('Semi FCF'!C83:F83)/SUM('Semi Rev'!C83:F83)))*10000),"")</f>
        <v/>
      </c>
      <c r="G1504" s="43">
        <f>IFERROR(IF(OR($G$1362="",$C$1362=""),"",($G$1362-$C$1362)*10000),"")</f>
        <v/>
      </c>
      <c r="H1504" s="43">
        <f>IFERROR(IF(OR($H$1362="",$D$1362=""),"",($H$1362-$D$1362)*10000),"")</f>
        <v/>
      </c>
      <c r="I1504" s="43">
        <f>IFERROR(IF(OR($I$1362="",$E$1362=""),"",($I$1362-$E$1362)*10000),"")</f>
        <v/>
      </c>
      <c r="J1504" s="43">
        <f>IFERROR(IF(OR($J$1362="",$F$1362=""),"",($J$1362-$F$1362)*10000),"")</f>
        <v/>
      </c>
      <c r="K1504" s="43">
        <f>IFERROR(IF(OR($K$1362="",$G$1362=""),"",($K$1362-$G$1362)*10000),"")</f>
        <v/>
      </c>
      <c r="L1504" s="43">
        <f>IFERROR(IF(OR($L$1362="",$H$1362=""),"",($L$1362-$H$1362)*10000),"")</f>
        <v/>
      </c>
      <c r="M1504" s="44">
        <f>IFERROR(IF(OR($M$1362="",$I$1362=""),"",($M$1362-$I$1362)*10000),"")</f>
        <v/>
      </c>
      <c r="N1504" s="44">
        <f>IFERROR(IF(OR($N$1362="",$J$1362=""),"",($N$1362-$J$1362)*10000),"")</f>
        <v/>
      </c>
    </row>
    <row r="1505">
      <c r="A1505" s="19">
        <f>'Semi Rev'!$A84</f>
        <v/>
      </c>
      <c r="B1505" s="19">
        <f>'Semi Rev'!$B84</f>
        <v/>
      </c>
      <c r="C1505" s="43">
        <f>""</f>
        <v/>
      </c>
      <c r="D1505" s="43">
        <f>""</f>
        <v/>
      </c>
      <c r="E1505" s="43">
        <f>""</f>
        <v/>
      </c>
      <c r="F1505" s="43">
        <f>IFERROR(IF(OR($F$1363="",IF(SUM('Semi Rev'!C84:F84)&lt;=0,"",SUM('Semi FCF'!C84:F84)/SUM('Semi Rev'!C84:F84))=""),"",($F$1363-IF(SUM('Semi Rev'!C84:F84)&lt;=0,"",SUM('Semi FCF'!C84:F84)/SUM('Semi Rev'!C84:F84)))*10000),"")</f>
        <v/>
      </c>
      <c r="G1505" s="43">
        <f>IFERROR(IF(OR($G$1363="",$C$1363=""),"",($G$1363-$C$1363)*10000),"")</f>
        <v/>
      </c>
      <c r="H1505" s="43">
        <f>IFERROR(IF(OR($H$1363="",$D$1363=""),"",($H$1363-$D$1363)*10000),"")</f>
        <v/>
      </c>
      <c r="I1505" s="43">
        <f>IFERROR(IF(OR($I$1363="",$E$1363=""),"",($I$1363-$E$1363)*10000),"")</f>
        <v/>
      </c>
      <c r="J1505" s="43">
        <f>IFERROR(IF(OR($J$1363="",$F$1363=""),"",($J$1363-$F$1363)*10000),"")</f>
        <v/>
      </c>
      <c r="K1505" s="43">
        <f>IFERROR(IF(OR($K$1363="",$G$1363=""),"",($K$1363-$G$1363)*10000),"")</f>
        <v/>
      </c>
      <c r="L1505" s="43">
        <f>IFERROR(IF(OR($L$1363="",$H$1363=""),"",($L$1363-$H$1363)*10000),"")</f>
        <v/>
      </c>
      <c r="M1505" s="44">
        <f>IFERROR(IF(OR($M$1363="",$I$1363=""),"",($M$1363-$I$1363)*10000),"")</f>
        <v/>
      </c>
      <c r="N1505" s="44">
        <f>IFERROR(IF(OR($N$1363="",$J$1363=""),"",($N$1363-$J$1363)*10000),"")</f>
        <v/>
      </c>
    </row>
    <row r="1506">
      <c r="A1506" s="19">
        <f>'Semi Rev'!$A85</f>
        <v/>
      </c>
      <c r="B1506" s="19">
        <f>'Semi Rev'!$B85</f>
        <v/>
      </c>
      <c r="C1506" s="43">
        <f>""</f>
        <v/>
      </c>
      <c r="D1506" s="43">
        <f>""</f>
        <v/>
      </c>
      <c r="E1506" s="43">
        <f>""</f>
        <v/>
      </c>
      <c r="F1506" s="43">
        <f>IFERROR(IF(OR($F$1364="",IF(SUM('Semi Rev'!C85:F85)&lt;=0,"",SUM('Semi FCF'!C85:F85)/SUM('Semi Rev'!C85:F85))=""),"",($F$1364-IF(SUM('Semi Rev'!C85:F85)&lt;=0,"",SUM('Semi FCF'!C85:F85)/SUM('Semi Rev'!C85:F85)))*10000),"")</f>
        <v/>
      </c>
      <c r="G1506" s="43">
        <f>IFERROR(IF(OR($G$1364="",$C$1364=""),"",($G$1364-$C$1364)*10000),"")</f>
        <v/>
      </c>
      <c r="H1506" s="43">
        <f>IFERROR(IF(OR($H$1364="",$D$1364=""),"",($H$1364-$D$1364)*10000),"")</f>
        <v/>
      </c>
      <c r="I1506" s="43">
        <f>IFERROR(IF(OR($I$1364="",$E$1364=""),"",($I$1364-$E$1364)*10000),"")</f>
        <v/>
      </c>
      <c r="J1506" s="43">
        <f>IFERROR(IF(OR($J$1364="",$F$1364=""),"",($J$1364-$F$1364)*10000),"")</f>
        <v/>
      </c>
      <c r="K1506" s="43">
        <f>IFERROR(IF(OR($K$1364="",$G$1364=""),"",($K$1364-$G$1364)*10000),"")</f>
        <v/>
      </c>
      <c r="L1506" s="43">
        <f>IFERROR(IF(OR($L$1364="",$H$1364=""),"",($L$1364-$H$1364)*10000),"")</f>
        <v/>
      </c>
      <c r="M1506" s="44">
        <f>IFERROR(IF(OR($M$1364="",$I$1364=""),"",($M$1364-$I$1364)*10000),"")</f>
        <v/>
      </c>
      <c r="N1506" s="44">
        <f>IFERROR(IF(OR($N$1364="",$J$1364=""),"",($N$1364-$J$1364)*10000),"")</f>
        <v/>
      </c>
    </row>
    <row r="1507">
      <c r="A1507" s="19">
        <f>'Semi Rev'!$A86</f>
        <v/>
      </c>
      <c r="B1507" s="19">
        <f>'Semi Rev'!$B86</f>
        <v/>
      </c>
      <c r="C1507" s="43">
        <f>""</f>
        <v/>
      </c>
      <c r="D1507" s="43">
        <f>""</f>
        <v/>
      </c>
      <c r="E1507" s="43">
        <f>""</f>
        <v/>
      </c>
      <c r="F1507" s="43">
        <f>IFERROR(IF(OR($F$1365="",IF(SUM('Semi Rev'!C86:F86)&lt;=0,"",SUM('Semi FCF'!C86:F86)/SUM('Semi Rev'!C86:F86))=""),"",($F$1365-IF(SUM('Semi Rev'!C86:F86)&lt;=0,"",SUM('Semi FCF'!C86:F86)/SUM('Semi Rev'!C86:F86)))*10000),"")</f>
        <v/>
      </c>
      <c r="G1507" s="43">
        <f>IFERROR(IF(OR($G$1365="",$C$1365=""),"",($G$1365-$C$1365)*10000),"")</f>
        <v/>
      </c>
      <c r="H1507" s="43">
        <f>IFERROR(IF(OR($H$1365="",$D$1365=""),"",($H$1365-$D$1365)*10000),"")</f>
        <v/>
      </c>
      <c r="I1507" s="43">
        <f>IFERROR(IF(OR($I$1365="",$E$1365=""),"",($I$1365-$E$1365)*10000),"")</f>
        <v/>
      </c>
      <c r="J1507" s="43">
        <f>IFERROR(IF(OR($J$1365="",$F$1365=""),"",($J$1365-$F$1365)*10000),"")</f>
        <v/>
      </c>
      <c r="K1507" s="43">
        <f>IFERROR(IF(OR($K$1365="",$G$1365=""),"",($K$1365-$G$1365)*10000),"")</f>
        <v/>
      </c>
      <c r="L1507" s="43">
        <f>IFERROR(IF(OR($L$1365="",$H$1365=""),"",($L$1365-$H$1365)*10000),"")</f>
        <v/>
      </c>
      <c r="M1507" s="44">
        <f>IFERROR(IF(OR($M$1365="",$I$1365=""),"",($M$1365-$I$1365)*10000),"")</f>
        <v/>
      </c>
      <c r="N1507" s="44">
        <f>IFERROR(IF(OR($N$1365="",$J$1365=""),"",($N$1365-$J$1365)*10000),"")</f>
        <v/>
      </c>
    </row>
    <row r="1508">
      <c r="A1508" s="19">
        <f>'Semi Rev'!$A87</f>
        <v/>
      </c>
      <c r="B1508" s="19">
        <f>'Semi Rev'!$B87</f>
        <v/>
      </c>
      <c r="C1508" s="43">
        <f>""</f>
        <v/>
      </c>
      <c r="D1508" s="43">
        <f>""</f>
        <v/>
      </c>
      <c r="E1508" s="43">
        <f>""</f>
        <v/>
      </c>
      <c r="F1508" s="43">
        <f>IFERROR(IF(OR($F$1366="",IF(SUM('Semi Rev'!C87:F87)&lt;=0,"",SUM('Semi FCF'!C87:F87)/SUM('Semi Rev'!C87:F87))=""),"",($F$1366-IF(SUM('Semi Rev'!C87:F87)&lt;=0,"",SUM('Semi FCF'!C87:F87)/SUM('Semi Rev'!C87:F87)))*10000),"")</f>
        <v/>
      </c>
      <c r="G1508" s="43">
        <f>IFERROR(IF(OR($G$1366="",$C$1366=""),"",($G$1366-$C$1366)*10000),"")</f>
        <v/>
      </c>
      <c r="H1508" s="43">
        <f>IFERROR(IF(OR($H$1366="",$D$1366=""),"",($H$1366-$D$1366)*10000),"")</f>
        <v/>
      </c>
      <c r="I1508" s="43">
        <f>IFERROR(IF(OR($I$1366="",$E$1366=""),"",($I$1366-$E$1366)*10000),"")</f>
        <v/>
      </c>
      <c r="J1508" s="43">
        <f>IFERROR(IF(OR($J$1366="",$F$1366=""),"",($J$1366-$F$1366)*10000),"")</f>
        <v/>
      </c>
      <c r="K1508" s="43">
        <f>IFERROR(IF(OR($K$1366="",$G$1366=""),"",($K$1366-$G$1366)*10000),"")</f>
        <v/>
      </c>
      <c r="L1508" s="43">
        <f>IFERROR(IF(OR($L$1366="",$H$1366=""),"",($L$1366-$H$1366)*10000),"")</f>
        <v/>
      </c>
      <c r="M1508" s="44">
        <f>IFERROR(IF(OR($M$1366="",$I$1366=""),"",($M$1366-$I$1366)*10000),"")</f>
        <v/>
      </c>
      <c r="N1508" s="44">
        <f>IFERROR(IF(OR($N$1366="",$J$1366=""),"",($N$1366-$J$1366)*10000),"")</f>
        <v/>
      </c>
    </row>
    <row r="1509">
      <c r="A1509" s="19">
        <f>'Semi Rev'!$A88</f>
        <v/>
      </c>
      <c r="B1509" s="19">
        <f>'Semi Rev'!$B88</f>
        <v/>
      </c>
      <c r="C1509" s="43">
        <f>""</f>
        <v/>
      </c>
      <c r="D1509" s="43">
        <f>""</f>
        <v/>
      </c>
      <c r="E1509" s="43">
        <f>""</f>
        <v/>
      </c>
      <c r="F1509" s="43">
        <f>IFERROR(IF(OR($F$1367="",IF(SUM('Semi Rev'!C88:F88)&lt;=0,"",SUM('Semi FCF'!C88:F88)/SUM('Semi Rev'!C88:F88))=""),"",($F$1367-IF(SUM('Semi Rev'!C88:F88)&lt;=0,"",SUM('Semi FCF'!C88:F88)/SUM('Semi Rev'!C88:F88)))*10000),"")</f>
        <v/>
      </c>
      <c r="G1509" s="43">
        <f>IFERROR(IF(OR($G$1367="",$C$1367=""),"",($G$1367-$C$1367)*10000),"")</f>
        <v/>
      </c>
      <c r="H1509" s="43">
        <f>IFERROR(IF(OR($H$1367="",$D$1367=""),"",($H$1367-$D$1367)*10000),"")</f>
        <v/>
      </c>
      <c r="I1509" s="43">
        <f>IFERROR(IF(OR($I$1367="",$E$1367=""),"",($I$1367-$E$1367)*10000),"")</f>
        <v/>
      </c>
      <c r="J1509" s="43">
        <f>IFERROR(IF(OR($J$1367="",$F$1367=""),"",($J$1367-$F$1367)*10000),"")</f>
        <v/>
      </c>
      <c r="K1509" s="43">
        <f>IFERROR(IF(OR($K$1367="",$G$1367=""),"",($K$1367-$G$1367)*10000),"")</f>
        <v/>
      </c>
      <c r="L1509" s="43">
        <f>IFERROR(IF(OR($L$1367="",$H$1367=""),"",($L$1367-$H$1367)*10000),"")</f>
        <v/>
      </c>
      <c r="M1509" s="44">
        <f>IFERROR(IF(OR($M$1367="",$I$1367=""),"",($M$1367-$I$1367)*10000),"")</f>
        <v/>
      </c>
      <c r="N1509" s="44">
        <f>IFERROR(IF(OR($N$1367="",$J$1367=""),"",($N$1367-$J$1367)*10000),"")</f>
        <v/>
      </c>
    </row>
    <row r="1510">
      <c r="A1510" s="19">
        <f>'Semi Rev'!$A89</f>
        <v/>
      </c>
      <c r="B1510" s="19">
        <f>'Semi Rev'!$B89</f>
        <v/>
      </c>
      <c r="C1510" s="43">
        <f>""</f>
        <v/>
      </c>
      <c r="D1510" s="43">
        <f>""</f>
        <v/>
      </c>
      <c r="E1510" s="43">
        <f>""</f>
        <v/>
      </c>
      <c r="F1510" s="43">
        <f>IFERROR(IF(OR($F$1368="",IF(SUM('Semi Rev'!C89:F89)&lt;=0,"",SUM('Semi FCF'!C89:F89)/SUM('Semi Rev'!C89:F89))=""),"",($F$1368-IF(SUM('Semi Rev'!C89:F89)&lt;=0,"",SUM('Semi FCF'!C89:F89)/SUM('Semi Rev'!C89:F89)))*10000),"")</f>
        <v/>
      </c>
      <c r="G1510" s="43">
        <f>IFERROR(IF(OR($G$1368="",$C$1368=""),"",($G$1368-$C$1368)*10000),"")</f>
        <v/>
      </c>
      <c r="H1510" s="43">
        <f>IFERROR(IF(OR($H$1368="",$D$1368=""),"",($H$1368-$D$1368)*10000),"")</f>
        <v/>
      </c>
      <c r="I1510" s="43">
        <f>IFERROR(IF(OR($I$1368="",$E$1368=""),"",($I$1368-$E$1368)*10000),"")</f>
        <v/>
      </c>
      <c r="J1510" s="43">
        <f>IFERROR(IF(OR($J$1368="",$F$1368=""),"",($J$1368-$F$1368)*10000),"")</f>
        <v/>
      </c>
      <c r="K1510" s="43">
        <f>IFERROR(IF(OR($K$1368="",$G$1368=""),"",($K$1368-$G$1368)*10000),"")</f>
        <v/>
      </c>
      <c r="L1510" s="43">
        <f>IFERROR(IF(OR($L$1368="",$H$1368=""),"",($L$1368-$H$1368)*10000),"")</f>
        <v/>
      </c>
      <c r="M1510" s="44">
        <f>IFERROR(IF(OR($M$1368="",$I$1368=""),"",($M$1368-$I$1368)*10000),"")</f>
        <v/>
      </c>
      <c r="N1510" s="44">
        <f>IFERROR(IF(OR($N$1368="",$J$1368=""),"",($N$1368-$J$1368)*10000),"")</f>
        <v/>
      </c>
    </row>
    <row r="1511">
      <c r="A1511" s="19">
        <f>'Semi Rev'!$A90</f>
        <v/>
      </c>
      <c r="B1511" s="19">
        <f>'Semi Rev'!$B90</f>
        <v/>
      </c>
      <c r="C1511" s="43">
        <f>""</f>
        <v/>
      </c>
      <c r="D1511" s="43">
        <f>""</f>
        <v/>
      </c>
      <c r="E1511" s="43">
        <f>""</f>
        <v/>
      </c>
      <c r="F1511" s="43">
        <f>IFERROR(IF(OR($F$1369="",IF(SUM('Semi Rev'!C90:F90)&lt;=0,"",SUM('Semi FCF'!C90:F90)/SUM('Semi Rev'!C90:F90))=""),"",($F$1369-IF(SUM('Semi Rev'!C90:F90)&lt;=0,"",SUM('Semi FCF'!C90:F90)/SUM('Semi Rev'!C90:F90)))*10000),"")</f>
        <v/>
      </c>
      <c r="G1511" s="43">
        <f>IFERROR(IF(OR($G$1369="",$C$1369=""),"",($G$1369-$C$1369)*10000),"")</f>
        <v/>
      </c>
      <c r="H1511" s="43">
        <f>IFERROR(IF(OR($H$1369="",$D$1369=""),"",($H$1369-$D$1369)*10000),"")</f>
        <v/>
      </c>
      <c r="I1511" s="43">
        <f>IFERROR(IF(OR($I$1369="",$E$1369=""),"",($I$1369-$E$1369)*10000),"")</f>
        <v/>
      </c>
      <c r="J1511" s="43">
        <f>IFERROR(IF(OR($J$1369="",$F$1369=""),"",($J$1369-$F$1369)*10000),"")</f>
        <v/>
      </c>
      <c r="K1511" s="43">
        <f>IFERROR(IF(OR($K$1369="",$G$1369=""),"",($K$1369-$G$1369)*10000),"")</f>
        <v/>
      </c>
      <c r="L1511" s="43">
        <f>IFERROR(IF(OR($L$1369="",$H$1369=""),"",($L$1369-$H$1369)*10000),"")</f>
        <v/>
      </c>
      <c r="M1511" s="44">
        <f>IFERROR(IF(OR($M$1369="",$I$1369=""),"",($M$1369-$I$1369)*10000),"")</f>
        <v/>
      </c>
      <c r="N1511" s="44">
        <f>IFERROR(IF(OR($N$1369="",$J$1369=""),"",($N$1369-$J$1369)*10000),"")</f>
        <v/>
      </c>
    </row>
    <row r="1512">
      <c r="A1512" s="19">
        <f>'Semi Rev'!$A91</f>
        <v/>
      </c>
      <c r="B1512" s="19">
        <f>'Semi Rev'!$B91</f>
        <v/>
      </c>
      <c r="C1512" s="43">
        <f>""</f>
        <v/>
      </c>
      <c r="D1512" s="43">
        <f>""</f>
        <v/>
      </c>
      <c r="E1512" s="43">
        <f>""</f>
        <v/>
      </c>
      <c r="F1512" s="43">
        <f>IFERROR(IF(OR($F$1370="",IF(SUM('Semi Rev'!C91:F91)&lt;=0,"",SUM('Semi FCF'!C91:F91)/SUM('Semi Rev'!C91:F91))=""),"",($F$1370-IF(SUM('Semi Rev'!C91:F91)&lt;=0,"",SUM('Semi FCF'!C91:F91)/SUM('Semi Rev'!C91:F91)))*10000),"")</f>
        <v/>
      </c>
      <c r="G1512" s="43">
        <f>IFERROR(IF(OR($G$1370="",$C$1370=""),"",($G$1370-$C$1370)*10000),"")</f>
        <v/>
      </c>
      <c r="H1512" s="43">
        <f>IFERROR(IF(OR($H$1370="",$D$1370=""),"",($H$1370-$D$1370)*10000),"")</f>
        <v/>
      </c>
      <c r="I1512" s="43">
        <f>IFERROR(IF(OR($I$1370="",$E$1370=""),"",($I$1370-$E$1370)*10000),"")</f>
        <v/>
      </c>
      <c r="J1512" s="43">
        <f>IFERROR(IF(OR($J$1370="",$F$1370=""),"",($J$1370-$F$1370)*10000),"")</f>
        <v/>
      </c>
      <c r="K1512" s="43">
        <f>IFERROR(IF(OR($K$1370="",$G$1370=""),"",($K$1370-$G$1370)*10000),"")</f>
        <v/>
      </c>
      <c r="L1512" s="43">
        <f>IFERROR(IF(OR($L$1370="",$H$1370=""),"",($L$1370-$H$1370)*10000),"")</f>
        <v/>
      </c>
      <c r="M1512" s="44">
        <f>IFERROR(IF(OR($M$1370="",$I$1370=""),"",($M$1370-$I$1370)*10000),"")</f>
        <v/>
      </c>
      <c r="N1512" s="44">
        <f>IFERROR(IF(OR($N$1370="",$J$1370=""),"",($N$1370-$J$1370)*10000),"")</f>
        <v/>
      </c>
    </row>
    <row r="1513">
      <c r="A1513" s="19">
        <f>'Semi Rev'!$A92</f>
        <v/>
      </c>
      <c r="B1513" s="19">
        <f>'Semi Rev'!$B92</f>
        <v/>
      </c>
      <c r="C1513" s="43">
        <f>""</f>
        <v/>
      </c>
      <c r="D1513" s="43">
        <f>""</f>
        <v/>
      </c>
      <c r="E1513" s="43">
        <f>""</f>
        <v/>
      </c>
      <c r="F1513" s="43">
        <f>IFERROR(IF(OR($F$1371="",IF(SUM('Semi Rev'!C92:F92)&lt;=0,"",SUM('Semi FCF'!C92:F92)/SUM('Semi Rev'!C92:F92))=""),"",($F$1371-IF(SUM('Semi Rev'!C92:F92)&lt;=0,"",SUM('Semi FCF'!C92:F92)/SUM('Semi Rev'!C92:F92)))*10000),"")</f>
        <v/>
      </c>
      <c r="G1513" s="43">
        <f>IFERROR(IF(OR($G$1371="",$C$1371=""),"",($G$1371-$C$1371)*10000),"")</f>
        <v/>
      </c>
      <c r="H1513" s="43">
        <f>IFERROR(IF(OR($H$1371="",$D$1371=""),"",($H$1371-$D$1371)*10000),"")</f>
        <v/>
      </c>
      <c r="I1513" s="43">
        <f>IFERROR(IF(OR($I$1371="",$E$1371=""),"",($I$1371-$E$1371)*10000),"")</f>
        <v/>
      </c>
      <c r="J1513" s="43">
        <f>IFERROR(IF(OR($J$1371="",$F$1371=""),"",($J$1371-$F$1371)*10000),"")</f>
        <v/>
      </c>
      <c r="K1513" s="43">
        <f>IFERROR(IF(OR($K$1371="",$G$1371=""),"",($K$1371-$G$1371)*10000),"")</f>
        <v/>
      </c>
      <c r="L1513" s="43">
        <f>IFERROR(IF(OR($L$1371="",$H$1371=""),"",($L$1371-$H$1371)*10000),"")</f>
        <v/>
      </c>
      <c r="M1513" s="44">
        <f>IFERROR(IF(OR($M$1371="",$I$1371=""),"",($M$1371-$I$1371)*10000),"")</f>
        <v/>
      </c>
      <c r="N1513" s="44">
        <f>IFERROR(IF(OR($N$1371="",$J$1371=""),"",($N$1371-$J$1371)*10000),"")</f>
        <v/>
      </c>
    </row>
    <row r="1514">
      <c r="A1514" s="19">
        <f>'Semi Rev'!$A93</f>
        <v/>
      </c>
      <c r="B1514" s="19">
        <f>'Semi Rev'!$B93</f>
        <v/>
      </c>
      <c r="C1514" s="43">
        <f>""</f>
        <v/>
      </c>
      <c r="D1514" s="43">
        <f>""</f>
        <v/>
      </c>
      <c r="E1514" s="43">
        <f>""</f>
        <v/>
      </c>
      <c r="F1514" s="43">
        <f>IFERROR(IF(OR($F$1372="",IF(SUM('Semi Rev'!C93:F93)&lt;=0,"",SUM('Semi FCF'!C93:F93)/SUM('Semi Rev'!C93:F93))=""),"",($F$1372-IF(SUM('Semi Rev'!C93:F93)&lt;=0,"",SUM('Semi FCF'!C93:F93)/SUM('Semi Rev'!C93:F93)))*10000),"")</f>
        <v/>
      </c>
      <c r="G1514" s="43">
        <f>IFERROR(IF(OR($G$1372="",$C$1372=""),"",($G$1372-$C$1372)*10000),"")</f>
        <v/>
      </c>
      <c r="H1514" s="43">
        <f>IFERROR(IF(OR($H$1372="",$D$1372=""),"",($H$1372-$D$1372)*10000),"")</f>
        <v/>
      </c>
      <c r="I1514" s="43">
        <f>IFERROR(IF(OR($I$1372="",$E$1372=""),"",($I$1372-$E$1372)*10000),"")</f>
        <v/>
      </c>
      <c r="J1514" s="43">
        <f>IFERROR(IF(OR($J$1372="",$F$1372=""),"",($J$1372-$F$1372)*10000),"")</f>
        <v/>
      </c>
      <c r="K1514" s="43">
        <f>IFERROR(IF(OR($K$1372="",$G$1372=""),"",($K$1372-$G$1372)*10000),"")</f>
        <v/>
      </c>
      <c r="L1514" s="43">
        <f>IFERROR(IF(OR($L$1372="",$H$1372=""),"",($L$1372-$H$1372)*10000),"")</f>
        <v/>
      </c>
      <c r="M1514" s="44">
        <f>IFERROR(IF(OR($M$1372="",$I$1372=""),"",($M$1372-$I$1372)*10000),"")</f>
        <v/>
      </c>
      <c r="N1514" s="44">
        <f>IFERROR(IF(OR($N$1372="",$J$1372=""),"",($N$1372-$J$1372)*10000),"")</f>
        <v/>
      </c>
    </row>
    <row r="1515">
      <c r="A1515" s="19">
        <f>'Semi Rev'!$A94</f>
        <v/>
      </c>
      <c r="B1515" s="19">
        <f>'Semi Rev'!$B94</f>
        <v/>
      </c>
      <c r="C1515" s="43">
        <f>""</f>
        <v/>
      </c>
      <c r="D1515" s="43">
        <f>""</f>
        <v/>
      </c>
      <c r="E1515" s="43">
        <f>""</f>
        <v/>
      </c>
      <c r="F1515" s="43">
        <f>IFERROR(IF(OR($F$1373="",IF(SUM('Semi Rev'!C94:F94)&lt;=0,"",SUM('Semi FCF'!C94:F94)/SUM('Semi Rev'!C94:F94))=""),"",($F$1373-IF(SUM('Semi Rev'!C94:F94)&lt;=0,"",SUM('Semi FCF'!C94:F94)/SUM('Semi Rev'!C94:F94)))*10000),"")</f>
        <v/>
      </c>
      <c r="G1515" s="43">
        <f>IFERROR(IF(OR($G$1373="",$C$1373=""),"",($G$1373-$C$1373)*10000),"")</f>
        <v/>
      </c>
      <c r="H1515" s="43">
        <f>IFERROR(IF(OR($H$1373="",$D$1373=""),"",($H$1373-$D$1373)*10000),"")</f>
        <v/>
      </c>
      <c r="I1515" s="43">
        <f>IFERROR(IF(OR($I$1373="",$E$1373=""),"",($I$1373-$E$1373)*10000),"")</f>
        <v/>
      </c>
      <c r="J1515" s="43">
        <f>IFERROR(IF(OR($J$1373="",$F$1373=""),"",($J$1373-$F$1373)*10000),"")</f>
        <v/>
      </c>
      <c r="K1515" s="43">
        <f>IFERROR(IF(OR($K$1373="",$G$1373=""),"",($K$1373-$G$1373)*10000),"")</f>
        <v/>
      </c>
      <c r="L1515" s="43">
        <f>IFERROR(IF(OR($L$1373="",$H$1373=""),"",($L$1373-$H$1373)*10000),"")</f>
        <v/>
      </c>
      <c r="M1515" s="44">
        <f>IFERROR(IF(OR($M$1373="",$I$1373=""),"",($M$1373-$I$1373)*10000),"")</f>
        <v/>
      </c>
      <c r="N1515" s="44">
        <f>IFERROR(IF(OR($N$1373="",$J$1373=""),"",($N$1373-$J$1373)*10000),"")</f>
        <v/>
      </c>
    </row>
    <row r="1516">
      <c r="A1516" s="19">
        <f>'Semi Rev'!$A95</f>
        <v/>
      </c>
      <c r="B1516" s="19">
        <f>'Semi Rev'!$B95</f>
        <v/>
      </c>
      <c r="C1516" s="43">
        <f>""</f>
        <v/>
      </c>
      <c r="D1516" s="43">
        <f>""</f>
        <v/>
      </c>
      <c r="E1516" s="43">
        <f>""</f>
        <v/>
      </c>
      <c r="F1516" s="43">
        <f>IFERROR(IF(OR($F$1374="",IF(SUM('Semi Rev'!C95:F95)&lt;=0,"",SUM('Semi FCF'!C95:F95)/SUM('Semi Rev'!C95:F95))=""),"",($F$1374-IF(SUM('Semi Rev'!C95:F95)&lt;=0,"",SUM('Semi FCF'!C95:F95)/SUM('Semi Rev'!C95:F95)))*10000),"")</f>
        <v/>
      </c>
      <c r="G1516" s="43">
        <f>IFERROR(IF(OR($G$1374="",$C$1374=""),"",($G$1374-$C$1374)*10000),"")</f>
        <v/>
      </c>
      <c r="H1516" s="43">
        <f>IFERROR(IF(OR($H$1374="",$D$1374=""),"",($H$1374-$D$1374)*10000),"")</f>
        <v/>
      </c>
      <c r="I1516" s="43">
        <f>IFERROR(IF(OR($I$1374="",$E$1374=""),"",($I$1374-$E$1374)*10000),"")</f>
        <v/>
      </c>
      <c r="J1516" s="43">
        <f>IFERROR(IF(OR($J$1374="",$F$1374=""),"",($J$1374-$F$1374)*10000),"")</f>
        <v/>
      </c>
      <c r="K1516" s="43">
        <f>IFERROR(IF(OR($K$1374="",$G$1374=""),"",($K$1374-$G$1374)*10000),"")</f>
        <v/>
      </c>
      <c r="L1516" s="43">
        <f>IFERROR(IF(OR($L$1374="",$H$1374=""),"",($L$1374-$H$1374)*10000),"")</f>
        <v/>
      </c>
      <c r="M1516" s="44">
        <f>IFERROR(IF(OR($M$1374="",$I$1374=""),"",($M$1374-$I$1374)*10000),"")</f>
        <v/>
      </c>
      <c r="N1516" s="44">
        <f>IFERROR(IF(OR($N$1374="",$J$1374=""),"",($N$1374-$J$1374)*10000),"")</f>
        <v/>
      </c>
    </row>
    <row r="1517">
      <c r="A1517" s="19">
        <f>'Semi Rev'!$A96</f>
        <v/>
      </c>
      <c r="B1517" s="19">
        <f>'Semi Rev'!$B96</f>
        <v/>
      </c>
      <c r="C1517" s="43">
        <f>""</f>
        <v/>
      </c>
      <c r="D1517" s="43">
        <f>""</f>
        <v/>
      </c>
      <c r="E1517" s="43">
        <f>""</f>
        <v/>
      </c>
      <c r="F1517" s="43">
        <f>IFERROR(IF(OR($F$1375="",IF(SUM('Semi Rev'!C96:F96)&lt;=0,"",SUM('Semi FCF'!C96:F96)/SUM('Semi Rev'!C96:F96))=""),"",($F$1375-IF(SUM('Semi Rev'!C96:F96)&lt;=0,"",SUM('Semi FCF'!C96:F96)/SUM('Semi Rev'!C96:F96)))*10000),"")</f>
        <v/>
      </c>
      <c r="G1517" s="43">
        <f>IFERROR(IF(OR($G$1375="",$C$1375=""),"",($G$1375-$C$1375)*10000),"")</f>
        <v/>
      </c>
      <c r="H1517" s="43">
        <f>IFERROR(IF(OR($H$1375="",$D$1375=""),"",($H$1375-$D$1375)*10000),"")</f>
        <v/>
      </c>
      <c r="I1517" s="43">
        <f>IFERROR(IF(OR($I$1375="",$E$1375=""),"",($I$1375-$E$1375)*10000),"")</f>
        <v/>
      </c>
      <c r="J1517" s="43">
        <f>IFERROR(IF(OR($J$1375="",$F$1375=""),"",($J$1375-$F$1375)*10000),"")</f>
        <v/>
      </c>
      <c r="K1517" s="43">
        <f>IFERROR(IF(OR($K$1375="",$G$1375=""),"",($K$1375-$G$1375)*10000),"")</f>
        <v/>
      </c>
      <c r="L1517" s="43">
        <f>IFERROR(IF(OR($L$1375="",$H$1375=""),"",($L$1375-$H$1375)*10000),"")</f>
        <v/>
      </c>
      <c r="M1517" s="44">
        <f>IFERROR(IF(OR($M$1375="",$I$1375=""),"",($M$1375-$I$1375)*10000),"")</f>
        <v/>
      </c>
      <c r="N1517" s="44">
        <f>IFERROR(IF(OR($N$1375="",$J$1375=""),"",($N$1375-$J$1375)*10000),"")</f>
        <v/>
      </c>
    </row>
    <row r="1518">
      <c r="A1518" s="19">
        <f>'Semi Rev'!$A97</f>
        <v/>
      </c>
      <c r="B1518" s="19">
        <f>'Semi Rev'!$B97</f>
        <v/>
      </c>
      <c r="C1518" s="43">
        <f>""</f>
        <v/>
      </c>
      <c r="D1518" s="43">
        <f>""</f>
        <v/>
      </c>
      <c r="E1518" s="43">
        <f>""</f>
        <v/>
      </c>
      <c r="F1518" s="43">
        <f>IFERROR(IF(OR($F$1376="",IF(SUM('Semi Rev'!C97:F97)&lt;=0,"",SUM('Semi FCF'!C97:F97)/SUM('Semi Rev'!C97:F97))=""),"",($F$1376-IF(SUM('Semi Rev'!C97:F97)&lt;=0,"",SUM('Semi FCF'!C97:F97)/SUM('Semi Rev'!C97:F97)))*10000),"")</f>
        <v/>
      </c>
      <c r="G1518" s="43">
        <f>IFERROR(IF(OR($G$1376="",$C$1376=""),"",($G$1376-$C$1376)*10000),"")</f>
        <v/>
      </c>
      <c r="H1518" s="43">
        <f>IFERROR(IF(OR($H$1376="",$D$1376=""),"",($H$1376-$D$1376)*10000),"")</f>
        <v/>
      </c>
      <c r="I1518" s="43">
        <f>IFERROR(IF(OR($I$1376="",$E$1376=""),"",($I$1376-$E$1376)*10000),"")</f>
        <v/>
      </c>
      <c r="J1518" s="43">
        <f>IFERROR(IF(OR($J$1376="",$F$1376=""),"",($J$1376-$F$1376)*10000),"")</f>
        <v/>
      </c>
      <c r="K1518" s="43">
        <f>IFERROR(IF(OR($K$1376="",$G$1376=""),"",($K$1376-$G$1376)*10000),"")</f>
        <v/>
      </c>
      <c r="L1518" s="43">
        <f>IFERROR(IF(OR($L$1376="",$H$1376=""),"",($L$1376-$H$1376)*10000),"")</f>
        <v/>
      </c>
      <c r="M1518" s="44">
        <f>IFERROR(IF(OR($M$1376="",$I$1376=""),"",($M$1376-$I$1376)*10000),"")</f>
        <v/>
      </c>
      <c r="N1518" s="44">
        <f>IFERROR(IF(OR($N$1376="",$J$1376=""),"",($N$1376-$J$1376)*10000),"")</f>
        <v/>
      </c>
    </row>
    <row r="1519">
      <c r="A1519" s="19">
        <f>'Semi Rev'!$A98</f>
        <v/>
      </c>
      <c r="B1519" s="19">
        <f>'Semi Rev'!$B98</f>
        <v/>
      </c>
      <c r="C1519" s="43">
        <f>""</f>
        <v/>
      </c>
      <c r="D1519" s="43">
        <f>""</f>
        <v/>
      </c>
      <c r="E1519" s="43">
        <f>""</f>
        <v/>
      </c>
      <c r="F1519" s="43">
        <f>IFERROR(IF(OR($F$1377="",IF(SUM('Semi Rev'!C98:F98)&lt;=0,"",SUM('Semi FCF'!C98:F98)/SUM('Semi Rev'!C98:F98))=""),"",($F$1377-IF(SUM('Semi Rev'!C98:F98)&lt;=0,"",SUM('Semi FCF'!C98:F98)/SUM('Semi Rev'!C98:F98)))*10000),"")</f>
        <v/>
      </c>
      <c r="G1519" s="43">
        <f>IFERROR(IF(OR($G$1377="",$C$1377=""),"",($G$1377-$C$1377)*10000),"")</f>
        <v/>
      </c>
      <c r="H1519" s="43">
        <f>IFERROR(IF(OR($H$1377="",$D$1377=""),"",($H$1377-$D$1377)*10000),"")</f>
        <v/>
      </c>
      <c r="I1519" s="43">
        <f>IFERROR(IF(OR($I$1377="",$E$1377=""),"",($I$1377-$E$1377)*10000),"")</f>
        <v/>
      </c>
      <c r="J1519" s="43">
        <f>IFERROR(IF(OR($J$1377="",$F$1377=""),"",($J$1377-$F$1377)*10000),"")</f>
        <v/>
      </c>
      <c r="K1519" s="43">
        <f>IFERROR(IF(OR($K$1377="",$G$1377=""),"",($K$1377-$G$1377)*10000),"")</f>
        <v/>
      </c>
      <c r="L1519" s="43">
        <f>IFERROR(IF(OR($L$1377="",$H$1377=""),"",($L$1377-$H$1377)*10000),"")</f>
        <v/>
      </c>
      <c r="M1519" s="44">
        <f>IFERROR(IF(OR($M$1377="",$I$1377=""),"",($M$1377-$I$1377)*10000),"")</f>
        <v/>
      </c>
      <c r="N1519" s="44">
        <f>IFERROR(IF(OR($N$1377="",$J$1377=""),"",($N$1377-$J$1377)*10000),"")</f>
        <v/>
      </c>
    </row>
    <row r="1520">
      <c r="A1520" s="19">
        <f>'Semi Rev'!$A99</f>
        <v/>
      </c>
      <c r="B1520" s="19">
        <f>'Semi Rev'!$B99</f>
        <v/>
      </c>
      <c r="C1520" s="43">
        <f>""</f>
        <v/>
      </c>
      <c r="D1520" s="43">
        <f>""</f>
        <v/>
      </c>
      <c r="E1520" s="43">
        <f>""</f>
        <v/>
      </c>
      <c r="F1520" s="43">
        <f>IFERROR(IF(OR($F$1378="",IF(SUM('Semi Rev'!C99:F99)&lt;=0,"",SUM('Semi FCF'!C99:F99)/SUM('Semi Rev'!C99:F99))=""),"",($F$1378-IF(SUM('Semi Rev'!C99:F99)&lt;=0,"",SUM('Semi FCF'!C99:F99)/SUM('Semi Rev'!C99:F99)))*10000),"")</f>
        <v/>
      </c>
      <c r="G1520" s="43">
        <f>IFERROR(IF(OR($G$1378="",$C$1378=""),"",($G$1378-$C$1378)*10000),"")</f>
        <v/>
      </c>
      <c r="H1520" s="43">
        <f>IFERROR(IF(OR($H$1378="",$D$1378=""),"",($H$1378-$D$1378)*10000),"")</f>
        <v/>
      </c>
      <c r="I1520" s="43">
        <f>IFERROR(IF(OR($I$1378="",$E$1378=""),"",($I$1378-$E$1378)*10000),"")</f>
        <v/>
      </c>
      <c r="J1520" s="43">
        <f>IFERROR(IF(OR($J$1378="",$F$1378=""),"",($J$1378-$F$1378)*10000),"")</f>
        <v/>
      </c>
      <c r="K1520" s="43">
        <f>IFERROR(IF(OR($K$1378="",$G$1378=""),"",($K$1378-$G$1378)*10000),"")</f>
        <v/>
      </c>
      <c r="L1520" s="43">
        <f>IFERROR(IF(OR($L$1378="",$H$1378=""),"",($L$1378-$H$1378)*10000),"")</f>
        <v/>
      </c>
      <c r="M1520" s="44">
        <f>IFERROR(IF(OR($M$1378="",$I$1378=""),"",($M$1378-$I$1378)*10000),"")</f>
        <v/>
      </c>
      <c r="N1520" s="44">
        <f>IFERROR(IF(OR($N$1378="",$J$1378=""),"",($N$1378-$J$1378)*10000),"")</f>
        <v/>
      </c>
    </row>
    <row r="1521">
      <c r="A1521" s="19">
        <f>'Semi Rev'!$A100</f>
        <v/>
      </c>
      <c r="B1521" s="19">
        <f>'Semi Rev'!$B100</f>
        <v/>
      </c>
      <c r="C1521" s="43">
        <f>""</f>
        <v/>
      </c>
      <c r="D1521" s="43">
        <f>""</f>
        <v/>
      </c>
      <c r="E1521" s="43">
        <f>""</f>
        <v/>
      </c>
      <c r="F1521" s="43">
        <f>IFERROR(IF(OR($F$1379="",IF(SUM('Semi Rev'!C100:F100)&lt;=0,"",SUM('Semi FCF'!C100:F100)/SUM('Semi Rev'!C100:F100))=""),"",($F$1379-IF(SUM('Semi Rev'!C100:F100)&lt;=0,"",SUM('Semi FCF'!C100:F100)/SUM('Semi Rev'!C100:F100)))*10000),"")</f>
        <v/>
      </c>
      <c r="G1521" s="43">
        <f>IFERROR(IF(OR($G$1379="",$C$1379=""),"",($G$1379-$C$1379)*10000),"")</f>
        <v/>
      </c>
      <c r="H1521" s="43">
        <f>IFERROR(IF(OR($H$1379="",$D$1379=""),"",($H$1379-$D$1379)*10000),"")</f>
        <v/>
      </c>
      <c r="I1521" s="43">
        <f>IFERROR(IF(OR($I$1379="",$E$1379=""),"",($I$1379-$E$1379)*10000),"")</f>
        <v/>
      </c>
      <c r="J1521" s="43">
        <f>IFERROR(IF(OR($J$1379="",$F$1379=""),"",($J$1379-$F$1379)*10000),"")</f>
        <v/>
      </c>
      <c r="K1521" s="43">
        <f>IFERROR(IF(OR($K$1379="",$G$1379=""),"",($K$1379-$G$1379)*10000),"")</f>
        <v/>
      </c>
      <c r="L1521" s="43">
        <f>IFERROR(IF(OR($L$1379="",$H$1379=""),"",($L$1379-$H$1379)*10000),"")</f>
        <v/>
      </c>
      <c r="M1521" s="44">
        <f>IFERROR(IF(OR($M$1379="",$I$1379=""),"",($M$1379-$I$1379)*10000),"")</f>
        <v/>
      </c>
      <c r="N1521" s="44">
        <f>IFERROR(IF(OR($N$1379="",$J$1379=""),"",($N$1379-$J$1379)*10000),"")</f>
        <v/>
      </c>
    </row>
    <row r="1522">
      <c r="A1522" s="19">
        <f>'Semi Rev'!$A101</f>
        <v/>
      </c>
      <c r="B1522" s="19">
        <f>'Semi Rev'!$B101</f>
        <v/>
      </c>
      <c r="C1522" s="43">
        <f>""</f>
        <v/>
      </c>
      <c r="D1522" s="43">
        <f>""</f>
        <v/>
      </c>
      <c r="E1522" s="43">
        <f>""</f>
        <v/>
      </c>
      <c r="F1522" s="43">
        <f>IFERROR(IF(OR($F$1380="",IF(SUM('Semi Rev'!C101:F101)&lt;=0,"",SUM('Semi FCF'!C101:F101)/SUM('Semi Rev'!C101:F101))=""),"",($F$1380-IF(SUM('Semi Rev'!C101:F101)&lt;=0,"",SUM('Semi FCF'!C101:F101)/SUM('Semi Rev'!C101:F101)))*10000),"")</f>
        <v/>
      </c>
      <c r="G1522" s="43">
        <f>IFERROR(IF(OR($G$1380="",$C$1380=""),"",($G$1380-$C$1380)*10000),"")</f>
        <v/>
      </c>
      <c r="H1522" s="43">
        <f>IFERROR(IF(OR($H$1380="",$D$1380=""),"",($H$1380-$D$1380)*10000),"")</f>
        <v/>
      </c>
      <c r="I1522" s="43">
        <f>IFERROR(IF(OR($I$1380="",$E$1380=""),"",($I$1380-$E$1380)*10000),"")</f>
        <v/>
      </c>
      <c r="J1522" s="43">
        <f>IFERROR(IF(OR($J$1380="",$F$1380=""),"",($J$1380-$F$1380)*10000),"")</f>
        <v/>
      </c>
      <c r="K1522" s="43">
        <f>IFERROR(IF(OR($K$1380="",$G$1380=""),"",($K$1380-$G$1380)*10000),"")</f>
        <v/>
      </c>
      <c r="L1522" s="43">
        <f>IFERROR(IF(OR($L$1380="",$H$1380=""),"",($L$1380-$H$1380)*10000),"")</f>
        <v/>
      </c>
      <c r="M1522" s="44">
        <f>IFERROR(IF(OR($M$1380="",$I$1380=""),"",($M$1380-$I$1380)*10000),"")</f>
        <v/>
      </c>
      <c r="N1522" s="44">
        <f>IFERROR(IF(OR($N$1380="",$J$1380=""),"",($N$1380-$J$1380)*10000),"")</f>
        <v/>
      </c>
    </row>
    <row r="1523">
      <c r="A1523" s="19">
        <f>'Semi Rev'!$A102</f>
        <v/>
      </c>
      <c r="B1523" s="19">
        <f>'Semi Rev'!$B102</f>
        <v/>
      </c>
      <c r="C1523" s="43">
        <f>""</f>
        <v/>
      </c>
      <c r="D1523" s="43">
        <f>""</f>
        <v/>
      </c>
      <c r="E1523" s="43">
        <f>""</f>
        <v/>
      </c>
      <c r="F1523" s="43">
        <f>IFERROR(IF(OR($F$1381="",IF(SUM('Semi Rev'!C102:F102)&lt;=0,"",SUM('Semi FCF'!C102:F102)/SUM('Semi Rev'!C102:F102))=""),"",($F$1381-IF(SUM('Semi Rev'!C102:F102)&lt;=0,"",SUM('Semi FCF'!C102:F102)/SUM('Semi Rev'!C102:F102)))*10000),"")</f>
        <v/>
      </c>
      <c r="G1523" s="43">
        <f>IFERROR(IF(OR($G$1381="",$C$1381=""),"",($G$1381-$C$1381)*10000),"")</f>
        <v/>
      </c>
      <c r="H1523" s="43">
        <f>IFERROR(IF(OR($H$1381="",$D$1381=""),"",($H$1381-$D$1381)*10000),"")</f>
        <v/>
      </c>
      <c r="I1523" s="43">
        <f>IFERROR(IF(OR($I$1381="",$E$1381=""),"",($I$1381-$E$1381)*10000),"")</f>
        <v/>
      </c>
      <c r="J1523" s="43">
        <f>IFERROR(IF(OR($J$1381="",$F$1381=""),"",($J$1381-$F$1381)*10000),"")</f>
        <v/>
      </c>
      <c r="K1523" s="43">
        <f>IFERROR(IF(OR($K$1381="",$G$1381=""),"",($K$1381-$G$1381)*10000),"")</f>
        <v/>
      </c>
      <c r="L1523" s="43">
        <f>IFERROR(IF(OR($L$1381="",$H$1381=""),"",($L$1381-$H$1381)*10000),"")</f>
        <v/>
      </c>
      <c r="M1523" s="44">
        <f>IFERROR(IF(OR($M$1381="",$I$1381=""),"",($M$1381-$I$1381)*10000),"")</f>
        <v/>
      </c>
      <c r="N1523" s="44">
        <f>IFERROR(IF(OR($N$1381="",$J$1381=""),"",($N$1381-$J$1381)*10000),"")</f>
        <v/>
      </c>
    </row>
    <row r="1524">
      <c r="A1524" s="19">
        <f>'Semi Rev'!$A103</f>
        <v/>
      </c>
      <c r="B1524" s="19">
        <f>'Semi Rev'!$B103</f>
        <v/>
      </c>
      <c r="C1524" s="43">
        <f>""</f>
        <v/>
      </c>
      <c r="D1524" s="43">
        <f>""</f>
        <v/>
      </c>
      <c r="E1524" s="43">
        <f>""</f>
        <v/>
      </c>
      <c r="F1524" s="43">
        <f>IFERROR(IF(OR($F$1382="",IF(SUM('Semi Rev'!C103:F103)&lt;=0,"",SUM('Semi FCF'!C103:F103)/SUM('Semi Rev'!C103:F103))=""),"",($F$1382-IF(SUM('Semi Rev'!C103:F103)&lt;=0,"",SUM('Semi FCF'!C103:F103)/SUM('Semi Rev'!C103:F103)))*10000),"")</f>
        <v/>
      </c>
      <c r="G1524" s="43">
        <f>IFERROR(IF(OR($G$1382="",$C$1382=""),"",($G$1382-$C$1382)*10000),"")</f>
        <v/>
      </c>
      <c r="H1524" s="43">
        <f>IFERROR(IF(OR($H$1382="",$D$1382=""),"",($H$1382-$D$1382)*10000),"")</f>
        <v/>
      </c>
      <c r="I1524" s="43">
        <f>IFERROR(IF(OR($I$1382="",$E$1382=""),"",($I$1382-$E$1382)*10000),"")</f>
        <v/>
      </c>
      <c r="J1524" s="43">
        <f>IFERROR(IF(OR($J$1382="",$F$1382=""),"",($J$1382-$F$1382)*10000),"")</f>
        <v/>
      </c>
      <c r="K1524" s="43">
        <f>IFERROR(IF(OR($K$1382="",$G$1382=""),"",($K$1382-$G$1382)*10000),"")</f>
        <v/>
      </c>
      <c r="L1524" s="43">
        <f>IFERROR(IF(OR($L$1382="",$H$1382=""),"",($L$1382-$H$1382)*10000),"")</f>
        <v/>
      </c>
      <c r="M1524" s="44">
        <f>IFERROR(IF(OR($M$1382="",$I$1382=""),"",($M$1382-$I$1382)*10000),"")</f>
        <v/>
      </c>
      <c r="N1524" s="44">
        <f>IFERROR(IF(OR($N$1382="",$J$1382=""),"",($N$1382-$J$1382)*10000),"")</f>
        <v/>
      </c>
    </row>
    <row r="1525">
      <c r="A1525" s="19">
        <f>'Semi Rev'!$A104</f>
        <v/>
      </c>
      <c r="B1525" s="19">
        <f>'Semi Rev'!$B104</f>
        <v/>
      </c>
      <c r="C1525" s="43">
        <f>""</f>
        <v/>
      </c>
      <c r="D1525" s="43">
        <f>""</f>
        <v/>
      </c>
      <c r="E1525" s="43">
        <f>""</f>
        <v/>
      </c>
      <c r="F1525" s="43">
        <f>IFERROR(IF(OR($F$1383="",IF(SUM('Semi Rev'!C104:F104)&lt;=0,"",SUM('Semi FCF'!C104:F104)/SUM('Semi Rev'!C104:F104))=""),"",($F$1383-IF(SUM('Semi Rev'!C104:F104)&lt;=0,"",SUM('Semi FCF'!C104:F104)/SUM('Semi Rev'!C104:F104)))*10000),"")</f>
        <v/>
      </c>
      <c r="G1525" s="43">
        <f>IFERROR(IF(OR($G$1383="",$C$1383=""),"",($G$1383-$C$1383)*10000),"")</f>
        <v/>
      </c>
      <c r="H1525" s="43">
        <f>IFERROR(IF(OR($H$1383="",$D$1383=""),"",($H$1383-$D$1383)*10000),"")</f>
        <v/>
      </c>
      <c r="I1525" s="43">
        <f>IFERROR(IF(OR($I$1383="",$E$1383=""),"",($I$1383-$E$1383)*10000),"")</f>
        <v/>
      </c>
      <c r="J1525" s="43">
        <f>IFERROR(IF(OR($J$1383="",$F$1383=""),"",($J$1383-$F$1383)*10000),"")</f>
        <v/>
      </c>
      <c r="K1525" s="43">
        <f>IFERROR(IF(OR($K$1383="",$G$1383=""),"",($K$1383-$G$1383)*10000),"")</f>
        <v/>
      </c>
      <c r="L1525" s="43">
        <f>IFERROR(IF(OR($L$1383="",$H$1383=""),"",($L$1383-$H$1383)*10000),"")</f>
        <v/>
      </c>
      <c r="M1525" s="44">
        <f>IFERROR(IF(OR($M$1383="",$I$1383=""),"",($M$1383-$I$1383)*10000),"")</f>
        <v/>
      </c>
      <c r="N1525" s="44">
        <f>IFERROR(IF(OR($N$1383="",$J$1383=""),"",($N$1383-$J$1383)*10000),"")</f>
        <v/>
      </c>
    </row>
    <row r="1526">
      <c r="A1526" s="19">
        <f>'Semi Rev'!$A105</f>
        <v/>
      </c>
      <c r="B1526" s="19">
        <f>'Semi Rev'!$B105</f>
        <v/>
      </c>
      <c r="C1526" s="43">
        <f>""</f>
        <v/>
      </c>
      <c r="D1526" s="43">
        <f>""</f>
        <v/>
      </c>
      <c r="E1526" s="43">
        <f>""</f>
        <v/>
      </c>
      <c r="F1526" s="43">
        <f>IFERROR(IF(OR($F$1384="",IF(SUM('Semi Rev'!C105:F105)&lt;=0,"",SUM('Semi FCF'!C105:F105)/SUM('Semi Rev'!C105:F105))=""),"",($F$1384-IF(SUM('Semi Rev'!C105:F105)&lt;=0,"",SUM('Semi FCF'!C105:F105)/SUM('Semi Rev'!C105:F105)))*10000),"")</f>
        <v/>
      </c>
      <c r="G1526" s="43">
        <f>IFERROR(IF(OR($G$1384="",$C$1384=""),"",($G$1384-$C$1384)*10000),"")</f>
        <v/>
      </c>
      <c r="H1526" s="43">
        <f>IFERROR(IF(OR($H$1384="",$D$1384=""),"",($H$1384-$D$1384)*10000),"")</f>
        <v/>
      </c>
      <c r="I1526" s="43">
        <f>IFERROR(IF(OR($I$1384="",$E$1384=""),"",($I$1384-$E$1384)*10000),"")</f>
        <v/>
      </c>
      <c r="J1526" s="43">
        <f>IFERROR(IF(OR($J$1384="",$F$1384=""),"",($J$1384-$F$1384)*10000),"")</f>
        <v/>
      </c>
      <c r="K1526" s="43">
        <f>IFERROR(IF(OR($K$1384="",$G$1384=""),"",($K$1384-$G$1384)*10000),"")</f>
        <v/>
      </c>
      <c r="L1526" s="43">
        <f>IFERROR(IF(OR($L$1384="",$H$1384=""),"",($L$1384-$H$1384)*10000),"")</f>
        <v/>
      </c>
      <c r="M1526" s="44">
        <f>IFERROR(IF(OR($M$1384="",$I$1384=""),"",($M$1384-$I$1384)*10000),"")</f>
        <v/>
      </c>
      <c r="N1526" s="44">
        <f>IFERROR(IF(OR($N$1384="",$J$1384=""),"",($N$1384-$J$1384)*10000),"")</f>
        <v/>
      </c>
    </row>
    <row r="1527">
      <c r="A1527" s="19">
        <f>'Semi Rev'!$A106</f>
        <v/>
      </c>
      <c r="B1527" s="19">
        <f>'Semi Rev'!$B106</f>
        <v/>
      </c>
      <c r="C1527" s="43">
        <f>""</f>
        <v/>
      </c>
      <c r="D1527" s="43">
        <f>""</f>
        <v/>
      </c>
      <c r="E1527" s="43">
        <f>""</f>
        <v/>
      </c>
      <c r="F1527" s="43">
        <f>IFERROR(IF(OR($F$1385="",IF(SUM('Semi Rev'!C106:F106)&lt;=0,"",SUM('Semi FCF'!C106:F106)/SUM('Semi Rev'!C106:F106))=""),"",($F$1385-IF(SUM('Semi Rev'!C106:F106)&lt;=0,"",SUM('Semi FCF'!C106:F106)/SUM('Semi Rev'!C106:F106)))*10000),"")</f>
        <v/>
      </c>
      <c r="G1527" s="43">
        <f>IFERROR(IF(OR($G$1385="",$C$1385=""),"",($G$1385-$C$1385)*10000),"")</f>
        <v/>
      </c>
      <c r="H1527" s="43">
        <f>IFERROR(IF(OR($H$1385="",$D$1385=""),"",($H$1385-$D$1385)*10000),"")</f>
        <v/>
      </c>
      <c r="I1527" s="43">
        <f>IFERROR(IF(OR($I$1385="",$E$1385=""),"",($I$1385-$E$1385)*10000),"")</f>
        <v/>
      </c>
      <c r="J1527" s="43">
        <f>IFERROR(IF(OR($J$1385="",$F$1385=""),"",($J$1385-$F$1385)*10000),"")</f>
        <v/>
      </c>
      <c r="K1527" s="43">
        <f>IFERROR(IF(OR($K$1385="",$G$1385=""),"",($K$1385-$G$1385)*10000),"")</f>
        <v/>
      </c>
      <c r="L1527" s="43">
        <f>IFERROR(IF(OR($L$1385="",$H$1385=""),"",($L$1385-$H$1385)*10000),"")</f>
        <v/>
      </c>
      <c r="M1527" s="44">
        <f>IFERROR(IF(OR($M$1385="",$I$1385=""),"",($M$1385-$I$1385)*10000),"")</f>
        <v/>
      </c>
      <c r="N1527" s="44">
        <f>IFERROR(IF(OR($N$1385="",$J$1385=""),"",($N$1385-$J$1385)*10000),"")</f>
        <v/>
      </c>
    </row>
    <row r="1528">
      <c r="A1528" s="19">
        <f>'Semi Rev'!$A107</f>
        <v/>
      </c>
      <c r="B1528" s="19">
        <f>'Semi Rev'!$B107</f>
        <v/>
      </c>
      <c r="C1528" s="43">
        <f>""</f>
        <v/>
      </c>
      <c r="D1528" s="43">
        <f>""</f>
        <v/>
      </c>
      <c r="E1528" s="43">
        <f>""</f>
        <v/>
      </c>
      <c r="F1528" s="43">
        <f>IFERROR(IF(OR($F$1386="",IF(SUM('Semi Rev'!C107:F107)&lt;=0,"",SUM('Semi FCF'!C107:F107)/SUM('Semi Rev'!C107:F107))=""),"",($F$1386-IF(SUM('Semi Rev'!C107:F107)&lt;=0,"",SUM('Semi FCF'!C107:F107)/SUM('Semi Rev'!C107:F107)))*10000),"")</f>
        <v/>
      </c>
      <c r="G1528" s="43">
        <f>IFERROR(IF(OR($G$1386="",$C$1386=""),"",($G$1386-$C$1386)*10000),"")</f>
        <v/>
      </c>
      <c r="H1528" s="43">
        <f>IFERROR(IF(OR($H$1386="",$D$1386=""),"",($H$1386-$D$1386)*10000),"")</f>
        <v/>
      </c>
      <c r="I1528" s="43">
        <f>IFERROR(IF(OR($I$1386="",$E$1386=""),"",($I$1386-$E$1386)*10000),"")</f>
        <v/>
      </c>
      <c r="J1528" s="43">
        <f>IFERROR(IF(OR($J$1386="",$F$1386=""),"",($J$1386-$F$1386)*10000),"")</f>
        <v/>
      </c>
      <c r="K1528" s="43">
        <f>IFERROR(IF(OR($K$1386="",$G$1386=""),"",($K$1386-$G$1386)*10000),"")</f>
        <v/>
      </c>
      <c r="L1528" s="43">
        <f>IFERROR(IF(OR($L$1386="",$H$1386=""),"",($L$1386-$H$1386)*10000),"")</f>
        <v/>
      </c>
      <c r="M1528" s="44">
        <f>IFERROR(IF(OR($M$1386="",$I$1386=""),"",($M$1386-$I$1386)*10000),"")</f>
        <v/>
      </c>
      <c r="N1528" s="44">
        <f>IFERROR(IF(OR($N$1386="",$J$1386=""),"",($N$1386-$J$1386)*10000),"")</f>
        <v/>
      </c>
    </row>
    <row r="1529">
      <c r="A1529" s="19">
        <f>'Semi Rev'!$A108</f>
        <v/>
      </c>
      <c r="B1529" s="19">
        <f>'Semi Rev'!$B108</f>
        <v/>
      </c>
      <c r="C1529" s="43">
        <f>""</f>
        <v/>
      </c>
      <c r="D1529" s="43">
        <f>""</f>
        <v/>
      </c>
      <c r="E1529" s="43">
        <f>""</f>
        <v/>
      </c>
      <c r="F1529" s="43">
        <f>IFERROR(IF(OR($F$1387="",IF(SUM('Semi Rev'!C108:F108)&lt;=0,"",SUM('Semi FCF'!C108:F108)/SUM('Semi Rev'!C108:F108))=""),"",($F$1387-IF(SUM('Semi Rev'!C108:F108)&lt;=0,"",SUM('Semi FCF'!C108:F108)/SUM('Semi Rev'!C108:F108)))*10000),"")</f>
        <v/>
      </c>
      <c r="G1529" s="43">
        <f>IFERROR(IF(OR($G$1387="",$C$1387=""),"",($G$1387-$C$1387)*10000),"")</f>
        <v/>
      </c>
      <c r="H1529" s="43">
        <f>IFERROR(IF(OR($H$1387="",$D$1387=""),"",($H$1387-$D$1387)*10000),"")</f>
        <v/>
      </c>
      <c r="I1529" s="43">
        <f>IFERROR(IF(OR($I$1387="",$E$1387=""),"",($I$1387-$E$1387)*10000),"")</f>
        <v/>
      </c>
      <c r="J1529" s="43">
        <f>IFERROR(IF(OR($J$1387="",$F$1387=""),"",($J$1387-$F$1387)*10000),"")</f>
        <v/>
      </c>
      <c r="K1529" s="43">
        <f>IFERROR(IF(OR($K$1387="",$G$1387=""),"",($K$1387-$G$1387)*10000),"")</f>
        <v/>
      </c>
      <c r="L1529" s="43">
        <f>IFERROR(IF(OR($L$1387="",$H$1387=""),"",($L$1387-$H$1387)*10000),"")</f>
        <v/>
      </c>
      <c r="M1529" s="44">
        <f>IFERROR(IF(OR($M$1387="",$I$1387=""),"",($M$1387-$I$1387)*10000),"")</f>
        <v/>
      </c>
      <c r="N1529" s="44">
        <f>IFERROR(IF(OR($N$1387="",$J$1387=""),"",($N$1387-$J$1387)*10000),"")</f>
        <v/>
      </c>
    </row>
    <row r="1530">
      <c r="A1530" s="19">
        <f>'Semi Rev'!$A109</f>
        <v/>
      </c>
      <c r="B1530" s="19">
        <f>'Semi Rev'!$B109</f>
        <v/>
      </c>
      <c r="C1530" s="43">
        <f>""</f>
        <v/>
      </c>
      <c r="D1530" s="43">
        <f>""</f>
        <v/>
      </c>
      <c r="E1530" s="43">
        <f>""</f>
        <v/>
      </c>
      <c r="F1530" s="43">
        <f>IFERROR(IF(OR($F$1388="",IF(SUM('Semi Rev'!C109:F109)&lt;=0,"",SUM('Semi FCF'!C109:F109)/SUM('Semi Rev'!C109:F109))=""),"",($F$1388-IF(SUM('Semi Rev'!C109:F109)&lt;=0,"",SUM('Semi FCF'!C109:F109)/SUM('Semi Rev'!C109:F109)))*10000),"")</f>
        <v/>
      </c>
      <c r="G1530" s="43">
        <f>IFERROR(IF(OR($G$1388="",$C$1388=""),"",($G$1388-$C$1388)*10000),"")</f>
        <v/>
      </c>
      <c r="H1530" s="43">
        <f>IFERROR(IF(OR($H$1388="",$D$1388=""),"",($H$1388-$D$1388)*10000),"")</f>
        <v/>
      </c>
      <c r="I1530" s="43">
        <f>IFERROR(IF(OR($I$1388="",$E$1388=""),"",($I$1388-$E$1388)*10000),"")</f>
        <v/>
      </c>
      <c r="J1530" s="43">
        <f>IFERROR(IF(OR($J$1388="",$F$1388=""),"",($J$1388-$F$1388)*10000),"")</f>
        <v/>
      </c>
      <c r="K1530" s="43">
        <f>IFERROR(IF(OR($K$1388="",$G$1388=""),"",($K$1388-$G$1388)*10000),"")</f>
        <v/>
      </c>
      <c r="L1530" s="43">
        <f>IFERROR(IF(OR($L$1388="",$H$1388=""),"",($L$1388-$H$1388)*10000),"")</f>
        <v/>
      </c>
      <c r="M1530" s="44">
        <f>IFERROR(IF(OR($M$1388="",$I$1388=""),"",($M$1388-$I$1388)*10000),"")</f>
        <v/>
      </c>
      <c r="N1530" s="44">
        <f>IFERROR(IF(OR($N$1388="",$J$1388=""),"",($N$1388-$J$1388)*10000),"")</f>
        <v/>
      </c>
    </row>
    <row r="1531">
      <c r="A1531" s="19">
        <f>'Semi Rev'!$A110</f>
        <v/>
      </c>
      <c r="B1531" s="19">
        <f>'Semi Rev'!$B110</f>
        <v/>
      </c>
      <c r="C1531" s="43">
        <f>""</f>
        <v/>
      </c>
      <c r="D1531" s="43">
        <f>""</f>
        <v/>
      </c>
      <c r="E1531" s="43">
        <f>""</f>
        <v/>
      </c>
      <c r="F1531" s="43">
        <f>IFERROR(IF(OR($F$1389="",IF(SUM('Semi Rev'!C110:F110)&lt;=0,"",SUM('Semi FCF'!C110:F110)/SUM('Semi Rev'!C110:F110))=""),"",($F$1389-IF(SUM('Semi Rev'!C110:F110)&lt;=0,"",SUM('Semi FCF'!C110:F110)/SUM('Semi Rev'!C110:F110)))*10000),"")</f>
        <v/>
      </c>
      <c r="G1531" s="43">
        <f>IFERROR(IF(OR($G$1389="",$C$1389=""),"",($G$1389-$C$1389)*10000),"")</f>
        <v/>
      </c>
      <c r="H1531" s="43">
        <f>IFERROR(IF(OR($H$1389="",$D$1389=""),"",($H$1389-$D$1389)*10000),"")</f>
        <v/>
      </c>
      <c r="I1531" s="43">
        <f>IFERROR(IF(OR($I$1389="",$E$1389=""),"",($I$1389-$E$1389)*10000),"")</f>
        <v/>
      </c>
      <c r="J1531" s="43">
        <f>IFERROR(IF(OR($J$1389="",$F$1389=""),"",($J$1389-$F$1389)*10000),"")</f>
        <v/>
      </c>
      <c r="K1531" s="43">
        <f>IFERROR(IF(OR($K$1389="",$G$1389=""),"",($K$1389-$G$1389)*10000),"")</f>
        <v/>
      </c>
      <c r="L1531" s="43">
        <f>IFERROR(IF(OR($L$1389="",$H$1389=""),"",($L$1389-$H$1389)*10000),"")</f>
        <v/>
      </c>
      <c r="M1531" s="44">
        <f>IFERROR(IF(OR($M$1389="",$I$1389=""),"",($M$1389-$I$1389)*10000),"")</f>
        <v/>
      </c>
      <c r="N1531" s="44">
        <f>IFERROR(IF(OR($N$1389="",$J$1389=""),"",($N$1389-$J$1389)*10000),"")</f>
        <v/>
      </c>
    </row>
    <row r="1532">
      <c r="A1532" s="19">
        <f>'Semi Rev'!$A111</f>
        <v/>
      </c>
      <c r="B1532" s="19">
        <f>'Semi Rev'!$B111</f>
        <v/>
      </c>
      <c r="C1532" s="43">
        <f>""</f>
        <v/>
      </c>
      <c r="D1532" s="43">
        <f>""</f>
        <v/>
      </c>
      <c r="E1532" s="43">
        <f>""</f>
        <v/>
      </c>
      <c r="F1532" s="43">
        <f>IFERROR(IF(OR($F$1390="",IF(SUM('Semi Rev'!C111:F111)&lt;=0,"",SUM('Semi FCF'!C111:F111)/SUM('Semi Rev'!C111:F111))=""),"",($F$1390-IF(SUM('Semi Rev'!C111:F111)&lt;=0,"",SUM('Semi FCF'!C111:F111)/SUM('Semi Rev'!C111:F111)))*10000),"")</f>
        <v/>
      </c>
      <c r="G1532" s="43">
        <f>IFERROR(IF(OR($G$1390="",$C$1390=""),"",($G$1390-$C$1390)*10000),"")</f>
        <v/>
      </c>
      <c r="H1532" s="43">
        <f>IFERROR(IF(OR($H$1390="",$D$1390=""),"",($H$1390-$D$1390)*10000),"")</f>
        <v/>
      </c>
      <c r="I1532" s="43">
        <f>IFERROR(IF(OR($I$1390="",$E$1390=""),"",($I$1390-$E$1390)*10000),"")</f>
        <v/>
      </c>
      <c r="J1532" s="43">
        <f>IFERROR(IF(OR($J$1390="",$F$1390=""),"",($J$1390-$F$1390)*10000),"")</f>
        <v/>
      </c>
      <c r="K1532" s="43">
        <f>IFERROR(IF(OR($K$1390="",$G$1390=""),"",($K$1390-$G$1390)*10000),"")</f>
        <v/>
      </c>
      <c r="L1532" s="43">
        <f>IFERROR(IF(OR($L$1390="",$H$1390=""),"",($L$1390-$H$1390)*10000),"")</f>
        <v/>
      </c>
      <c r="M1532" s="44">
        <f>IFERROR(IF(OR($M$1390="",$I$1390=""),"",($M$1390-$I$1390)*10000),"")</f>
        <v/>
      </c>
      <c r="N1532" s="44">
        <f>IFERROR(IF(OR($N$1390="",$J$1390=""),"",($N$1390-$J$1390)*10000),"")</f>
        <v/>
      </c>
    </row>
    <row r="1533">
      <c r="A1533" s="19">
        <f>'Semi Rev'!$A112</f>
        <v/>
      </c>
      <c r="B1533" s="19">
        <f>'Semi Rev'!$B112</f>
        <v/>
      </c>
      <c r="C1533" s="43">
        <f>""</f>
        <v/>
      </c>
      <c r="D1533" s="43">
        <f>""</f>
        <v/>
      </c>
      <c r="E1533" s="43">
        <f>""</f>
        <v/>
      </c>
      <c r="F1533" s="43">
        <f>IFERROR(IF(OR($F$1391="",IF(SUM('Semi Rev'!C112:F112)&lt;=0,"",SUM('Semi FCF'!C112:F112)/SUM('Semi Rev'!C112:F112))=""),"",($F$1391-IF(SUM('Semi Rev'!C112:F112)&lt;=0,"",SUM('Semi FCF'!C112:F112)/SUM('Semi Rev'!C112:F112)))*10000),"")</f>
        <v/>
      </c>
      <c r="G1533" s="43">
        <f>IFERROR(IF(OR($G$1391="",$C$1391=""),"",($G$1391-$C$1391)*10000),"")</f>
        <v/>
      </c>
      <c r="H1533" s="43">
        <f>IFERROR(IF(OR($H$1391="",$D$1391=""),"",($H$1391-$D$1391)*10000),"")</f>
        <v/>
      </c>
      <c r="I1533" s="43">
        <f>IFERROR(IF(OR($I$1391="",$E$1391=""),"",($I$1391-$E$1391)*10000),"")</f>
        <v/>
      </c>
      <c r="J1533" s="43">
        <f>IFERROR(IF(OR($J$1391="",$F$1391=""),"",($J$1391-$F$1391)*10000),"")</f>
        <v/>
      </c>
      <c r="K1533" s="43">
        <f>IFERROR(IF(OR($K$1391="",$G$1391=""),"",($K$1391-$G$1391)*10000),"")</f>
        <v/>
      </c>
      <c r="L1533" s="43">
        <f>IFERROR(IF(OR($L$1391="",$H$1391=""),"",($L$1391-$H$1391)*10000),"")</f>
        <v/>
      </c>
      <c r="M1533" s="44">
        <f>IFERROR(IF(OR($M$1391="",$I$1391=""),"",($M$1391-$I$1391)*10000),"")</f>
        <v/>
      </c>
      <c r="N1533" s="44">
        <f>IFERROR(IF(OR($N$1391="",$J$1391=""),"",($N$1391-$J$1391)*10000),"")</f>
        <v/>
      </c>
    </row>
    <row r="1534">
      <c r="A1534" s="19">
        <f>'Semi Rev'!$A113</f>
        <v/>
      </c>
      <c r="B1534" s="19">
        <f>'Semi Rev'!$B113</f>
        <v/>
      </c>
      <c r="C1534" s="43">
        <f>""</f>
        <v/>
      </c>
      <c r="D1534" s="43">
        <f>""</f>
        <v/>
      </c>
      <c r="E1534" s="43">
        <f>""</f>
        <v/>
      </c>
      <c r="F1534" s="43">
        <f>IFERROR(IF(OR($F$1392="",IF(SUM('Semi Rev'!C113:F113)&lt;=0,"",SUM('Semi FCF'!C113:F113)/SUM('Semi Rev'!C113:F113))=""),"",($F$1392-IF(SUM('Semi Rev'!C113:F113)&lt;=0,"",SUM('Semi FCF'!C113:F113)/SUM('Semi Rev'!C113:F113)))*10000),"")</f>
        <v/>
      </c>
      <c r="G1534" s="43">
        <f>IFERROR(IF(OR($G$1392="",$C$1392=""),"",($G$1392-$C$1392)*10000),"")</f>
        <v/>
      </c>
      <c r="H1534" s="43">
        <f>IFERROR(IF(OR($H$1392="",$D$1392=""),"",($H$1392-$D$1392)*10000),"")</f>
        <v/>
      </c>
      <c r="I1534" s="43">
        <f>IFERROR(IF(OR($I$1392="",$E$1392=""),"",($I$1392-$E$1392)*10000),"")</f>
        <v/>
      </c>
      <c r="J1534" s="43">
        <f>IFERROR(IF(OR($J$1392="",$F$1392=""),"",($J$1392-$F$1392)*10000),"")</f>
        <v/>
      </c>
      <c r="K1534" s="43">
        <f>IFERROR(IF(OR($K$1392="",$G$1392=""),"",($K$1392-$G$1392)*10000),"")</f>
        <v/>
      </c>
      <c r="L1534" s="43">
        <f>IFERROR(IF(OR($L$1392="",$H$1392=""),"",($L$1392-$H$1392)*10000),"")</f>
        <v/>
      </c>
      <c r="M1534" s="44">
        <f>IFERROR(IF(OR($M$1392="",$I$1392=""),"",($M$1392-$I$1392)*10000),"")</f>
        <v/>
      </c>
      <c r="N1534" s="44">
        <f>IFERROR(IF(OR($N$1392="",$J$1392=""),"",($N$1392-$J$1392)*10000),"")</f>
        <v/>
      </c>
    </row>
    <row r="1535">
      <c r="A1535" s="19">
        <f>'Semi Rev'!$A114</f>
        <v/>
      </c>
      <c r="B1535" s="19">
        <f>'Semi Rev'!$B114</f>
        <v/>
      </c>
      <c r="C1535" s="43">
        <f>""</f>
        <v/>
      </c>
      <c r="D1535" s="43">
        <f>""</f>
        <v/>
      </c>
      <c r="E1535" s="43">
        <f>""</f>
        <v/>
      </c>
      <c r="F1535" s="43">
        <f>IFERROR(IF(OR($F$1393="",IF(SUM('Semi Rev'!C114:F114)&lt;=0,"",SUM('Semi FCF'!C114:F114)/SUM('Semi Rev'!C114:F114))=""),"",($F$1393-IF(SUM('Semi Rev'!C114:F114)&lt;=0,"",SUM('Semi FCF'!C114:F114)/SUM('Semi Rev'!C114:F114)))*10000),"")</f>
        <v/>
      </c>
      <c r="G1535" s="43">
        <f>IFERROR(IF(OR($G$1393="",$C$1393=""),"",($G$1393-$C$1393)*10000),"")</f>
        <v/>
      </c>
      <c r="H1535" s="43">
        <f>IFERROR(IF(OR($H$1393="",$D$1393=""),"",($H$1393-$D$1393)*10000),"")</f>
        <v/>
      </c>
      <c r="I1535" s="43">
        <f>IFERROR(IF(OR($I$1393="",$E$1393=""),"",($I$1393-$E$1393)*10000),"")</f>
        <v/>
      </c>
      <c r="J1535" s="43">
        <f>IFERROR(IF(OR($J$1393="",$F$1393=""),"",($J$1393-$F$1393)*10000),"")</f>
        <v/>
      </c>
      <c r="K1535" s="43">
        <f>IFERROR(IF(OR($K$1393="",$G$1393=""),"",($K$1393-$G$1393)*10000),"")</f>
        <v/>
      </c>
      <c r="L1535" s="43">
        <f>IFERROR(IF(OR($L$1393="",$H$1393=""),"",($L$1393-$H$1393)*10000),"")</f>
        <v/>
      </c>
      <c r="M1535" s="44">
        <f>IFERROR(IF(OR($M$1393="",$I$1393=""),"",($M$1393-$I$1393)*10000),"")</f>
        <v/>
      </c>
      <c r="N1535" s="44">
        <f>IFERROR(IF(OR($N$1393="",$J$1393=""),"",($N$1393-$J$1393)*10000),"")</f>
        <v/>
      </c>
    </row>
    <row r="1536">
      <c r="A1536" s="19">
        <f>'Semi Rev'!$A115</f>
        <v/>
      </c>
      <c r="B1536" s="19">
        <f>'Semi Rev'!$B115</f>
        <v/>
      </c>
      <c r="C1536" s="43">
        <f>""</f>
        <v/>
      </c>
      <c r="D1536" s="43">
        <f>""</f>
        <v/>
      </c>
      <c r="E1536" s="43">
        <f>""</f>
        <v/>
      </c>
      <c r="F1536" s="43">
        <f>IFERROR(IF(OR($F$1394="",IF(SUM('Semi Rev'!C115:F115)&lt;=0,"",SUM('Semi FCF'!C115:F115)/SUM('Semi Rev'!C115:F115))=""),"",($F$1394-IF(SUM('Semi Rev'!C115:F115)&lt;=0,"",SUM('Semi FCF'!C115:F115)/SUM('Semi Rev'!C115:F115)))*10000),"")</f>
        <v/>
      </c>
      <c r="G1536" s="43">
        <f>IFERROR(IF(OR($G$1394="",$C$1394=""),"",($G$1394-$C$1394)*10000),"")</f>
        <v/>
      </c>
      <c r="H1536" s="43">
        <f>IFERROR(IF(OR($H$1394="",$D$1394=""),"",($H$1394-$D$1394)*10000),"")</f>
        <v/>
      </c>
      <c r="I1536" s="43">
        <f>IFERROR(IF(OR($I$1394="",$E$1394=""),"",($I$1394-$E$1394)*10000),"")</f>
        <v/>
      </c>
      <c r="J1536" s="43">
        <f>IFERROR(IF(OR($J$1394="",$F$1394=""),"",($J$1394-$F$1394)*10000),"")</f>
        <v/>
      </c>
      <c r="K1536" s="43">
        <f>IFERROR(IF(OR($K$1394="",$G$1394=""),"",($K$1394-$G$1394)*10000),"")</f>
        <v/>
      </c>
      <c r="L1536" s="43">
        <f>IFERROR(IF(OR($L$1394="",$H$1394=""),"",($L$1394-$H$1394)*10000),"")</f>
        <v/>
      </c>
      <c r="M1536" s="44">
        <f>IFERROR(IF(OR($M$1394="",$I$1394=""),"",($M$1394-$I$1394)*10000),"")</f>
        <v/>
      </c>
      <c r="N1536" s="44">
        <f>IFERROR(IF(OR($N$1394="",$J$1394=""),"",($N$1394-$J$1394)*10000),"")</f>
        <v/>
      </c>
    </row>
    <row r="1537">
      <c r="A1537" s="19">
        <f>'Semi Rev'!$A116</f>
        <v/>
      </c>
      <c r="B1537" s="19">
        <f>'Semi Rev'!$B116</f>
        <v/>
      </c>
      <c r="C1537" s="43">
        <f>""</f>
        <v/>
      </c>
      <c r="D1537" s="43">
        <f>""</f>
        <v/>
      </c>
      <c r="E1537" s="43">
        <f>""</f>
        <v/>
      </c>
      <c r="F1537" s="43">
        <f>IFERROR(IF(OR($F$1395="",IF(SUM('Semi Rev'!C116:F116)&lt;=0,"",SUM('Semi FCF'!C116:F116)/SUM('Semi Rev'!C116:F116))=""),"",($F$1395-IF(SUM('Semi Rev'!C116:F116)&lt;=0,"",SUM('Semi FCF'!C116:F116)/SUM('Semi Rev'!C116:F116)))*10000),"")</f>
        <v/>
      </c>
      <c r="G1537" s="43">
        <f>IFERROR(IF(OR($G$1395="",$C$1395=""),"",($G$1395-$C$1395)*10000),"")</f>
        <v/>
      </c>
      <c r="H1537" s="43">
        <f>IFERROR(IF(OR($H$1395="",$D$1395=""),"",($H$1395-$D$1395)*10000),"")</f>
        <v/>
      </c>
      <c r="I1537" s="43">
        <f>IFERROR(IF(OR($I$1395="",$E$1395=""),"",($I$1395-$E$1395)*10000),"")</f>
        <v/>
      </c>
      <c r="J1537" s="43">
        <f>IFERROR(IF(OR($J$1395="",$F$1395=""),"",($J$1395-$F$1395)*10000),"")</f>
        <v/>
      </c>
      <c r="K1537" s="43">
        <f>IFERROR(IF(OR($K$1395="",$G$1395=""),"",($K$1395-$G$1395)*10000),"")</f>
        <v/>
      </c>
      <c r="L1537" s="43">
        <f>IFERROR(IF(OR($L$1395="",$H$1395=""),"",($L$1395-$H$1395)*10000),"")</f>
        <v/>
      </c>
      <c r="M1537" s="44">
        <f>IFERROR(IF(OR($M$1395="",$I$1395=""),"",($M$1395-$I$1395)*10000),"")</f>
        <v/>
      </c>
      <c r="N1537" s="44">
        <f>IFERROR(IF(OR($N$1395="",$J$1395=""),"",($N$1395-$J$1395)*10000),"")</f>
        <v/>
      </c>
    </row>
    <row r="1538">
      <c r="A1538" s="19">
        <f>'Semi Rev'!$A117</f>
        <v/>
      </c>
      <c r="B1538" s="19">
        <f>'Semi Rev'!$B117</f>
        <v/>
      </c>
      <c r="C1538" s="43">
        <f>""</f>
        <v/>
      </c>
      <c r="D1538" s="43">
        <f>""</f>
        <v/>
      </c>
      <c r="E1538" s="43">
        <f>""</f>
        <v/>
      </c>
      <c r="F1538" s="43">
        <f>IFERROR(IF(OR($F$1396="",IF(SUM('Semi Rev'!C117:F117)&lt;=0,"",SUM('Semi FCF'!C117:F117)/SUM('Semi Rev'!C117:F117))=""),"",($F$1396-IF(SUM('Semi Rev'!C117:F117)&lt;=0,"",SUM('Semi FCF'!C117:F117)/SUM('Semi Rev'!C117:F117)))*10000),"")</f>
        <v/>
      </c>
      <c r="G1538" s="43">
        <f>IFERROR(IF(OR($G$1396="",$C$1396=""),"",($G$1396-$C$1396)*10000),"")</f>
        <v/>
      </c>
      <c r="H1538" s="43">
        <f>IFERROR(IF(OR($H$1396="",$D$1396=""),"",($H$1396-$D$1396)*10000),"")</f>
        <v/>
      </c>
      <c r="I1538" s="43">
        <f>IFERROR(IF(OR($I$1396="",$E$1396=""),"",($I$1396-$E$1396)*10000),"")</f>
        <v/>
      </c>
      <c r="J1538" s="43">
        <f>IFERROR(IF(OR($J$1396="",$F$1396=""),"",($J$1396-$F$1396)*10000),"")</f>
        <v/>
      </c>
      <c r="K1538" s="43">
        <f>IFERROR(IF(OR($K$1396="",$G$1396=""),"",($K$1396-$G$1396)*10000),"")</f>
        <v/>
      </c>
      <c r="L1538" s="43">
        <f>IFERROR(IF(OR($L$1396="",$H$1396=""),"",($L$1396-$H$1396)*10000),"")</f>
        <v/>
      </c>
      <c r="M1538" s="44">
        <f>IFERROR(IF(OR($M$1396="",$I$1396=""),"",($M$1396-$I$1396)*10000),"")</f>
        <v/>
      </c>
      <c r="N1538" s="44">
        <f>IFERROR(IF(OR($N$1396="",$J$1396=""),"",($N$1396-$J$1396)*10000),"")</f>
        <v/>
      </c>
    </row>
    <row r="1539">
      <c r="A1539" s="19">
        <f>'Semi Rev'!$A118</f>
        <v/>
      </c>
      <c r="B1539" s="19">
        <f>'Semi Rev'!$B118</f>
        <v/>
      </c>
      <c r="C1539" s="43">
        <f>""</f>
        <v/>
      </c>
      <c r="D1539" s="43">
        <f>""</f>
        <v/>
      </c>
      <c r="E1539" s="43">
        <f>""</f>
        <v/>
      </c>
      <c r="F1539" s="43">
        <f>IFERROR(IF(OR($F$1397="",IF(SUM('Semi Rev'!C118:F118)&lt;=0,"",SUM('Semi FCF'!C118:F118)/SUM('Semi Rev'!C118:F118))=""),"",($F$1397-IF(SUM('Semi Rev'!C118:F118)&lt;=0,"",SUM('Semi FCF'!C118:F118)/SUM('Semi Rev'!C118:F118)))*10000),"")</f>
        <v/>
      </c>
      <c r="G1539" s="43">
        <f>IFERROR(IF(OR($G$1397="",$C$1397=""),"",($G$1397-$C$1397)*10000),"")</f>
        <v/>
      </c>
      <c r="H1539" s="43">
        <f>IFERROR(IF(OR($H$1397="",$D$1397=""),"",($H$1397-$D$1397)*10000),"")</f>
        <v/>
      </c>
      <c r="I1539" s="43">
        <f>IFERROR(IF(OR($I$1397="",$E$1397=""),"",($I$1397-$E$1397)*10000),"")</f>
        <v/>
      </c>
      <c r="J1539" s="43">
        <f>IFERROR(IF(OR($J$1397="",$F$1397=""),"",($J$1397-$F$1397)*10000),"")</f>
        <v/>
      </c>
      <c r="K1539" s="43">
        <f>IFERROR(IF(OR($K$1397="",$G$1397=""),"",($K$1397-$G$1397)*10000),"")</f>
        <v/>
      </c>
      <c r="L1539" s="43">
        <f>IFERROR(IF(OR($L$1397="",$H$1397=""),"",($L$1397-$H$1397)*10000),"")</f>
        <v/>
      </c>
      <c r="M1539" s="44">
        <f>IFERROR(IF(OR($M$1397="",$I$1397=""),"",($M$1397-$I$1397)*10000),"")</f>
        <v/>
      </c>
      <c r="N1539" s="44">
        <f>IFERROR(IF(OR($N$1397="",$J$1397=""),"",($N$1397-$J$1397)*10000),"")</f>
        <v/>
      </c>
    </row>
    <row r="1540">
      <c r="A1540" s="19">
        <f>'Semi Rev'!$A119</f>
        <v/>
      </c>
      <c r="B1540" s="19">
        <f>'Semi Rev'!$B119</f>
        <v/>
      </c>
      <c r="C1540" s="43">
        <f>""</f>
        <v/>
      </c>
      <c r="D1540" s="43">
        <f>""</f>
        <v/>
      </c>
      <c r="E1540" s="43">
        <f>""</f>
        <v/>
      </c>
      <c r="F1540" s="43">
        <f>IFERROR(IF(OR($F$1398="",IF(SUM('Semi Rev'!C119:F119)&lt;=0,"",SUM('Semi FCF'!C119:F119)/SUM('Semi Rev'!C119:F119))=""),"",($F$1398-IF(SUM('Semi Rev'!C119:F119)&lt;=0,"",SUM('Semi FCF'!C119:F119)/SUM('Semi Rev'!C119:F119)))*10000),"")</f>
        <v/>
      </c>
      <c r="G1540" s="43">
        <f>IFERROR(IF(OR($G$1398="",$C$1398=""),"",($G$1398-$C$1398)*10000),"")</f>
        <v/>
      </c>
      <c r="H1540" s="43">
        <f>IFERROR(IF(OR($H$1398="",$D$1398=""),"",($H$1398-$D$1398)*10000),"")</f>
        <v/>
      </c>
      <c r="I1540" s="43">
        <f>IFERROR(IF(OR($I$1398="",$E$1398=""),"",($I$1398-$E$1398)*10000),"")</f>
        <v/>
      </c>
      <c r="J1540" s="43">
        <f>IFERROR(IF(OR($J$1398="",$F$1398=""),"",($J$1398-$F$1398)*10000),"")</f>
        <v/>
      </c>
      <c r="K1540" s="43">
        <f>IFERROR(IF(OR($K$1398="",$G$1398=""),"",($K$1398-$G$1398)*10000),"")</f>
        <v/>
      </c>
      <c r="L1540" s="43">
        <f>IFERROR(IF(OR($L$1398="",$H$1398=""),"",($L$1398-$H$1398)*10000),"")</f>
        <v/>
      </c>
      <c r="M1540" s="44">
        <f>IFERROR(IF(OR($M$1398="",$I$1398=""),"",($M$1398-$I$1398)*10000),"")</f>
        <v/>
      </c>
      <c r="N1540" s="44">
        <f>IFERROR(IF(OR($N$1398="",$J$1398=""),"",($N$1398-$J$1398)*10000),"")</f>
        <v/>
      </c>
    </row>
    <row r="1541">
      <c r="A1541" s="19">
        <f>'Semi Rev'!$A120</f>
        <v/>
      </c>
      <c r="B1541" s="19">
        <f>'Semi Rev'!$B120</f>
        <v/>
      </c>
      <c r="C1541" s="43">
        <f>""</f>
        <v/>
      </c>
      <c r="D1541" s="43">
        <f>""</f>
        <v/>
      </c>
      <c r="E1541" s="43">
        <f>""</f>
        <v/>
      </c>
      <c r="F1541" s="43">
        <f>IFERROR(IF(OR($F$1399="",IF(SUM('Semi Rev'!C120:F120)&lt;=0,"",SUM('Semi FCF'!C120:F120)/SUM('Semi Rev'!C120:F120))=""),"",($F$1399-IF(SUM('Semi Rev'!C120:F120)&lt;=0,"",SUM('Semi FCF'!C120:F120)/SUM('Semi Rev'!C120:F120)))*10000),"")</f>
        <v/>
      </c>
      <c r="G1541" s="43">
        <f>IFERROR(IF(OR($G$1399="",$C$1399=""),"",($G$1399-$C$1399)*10000),"")</f>
        <v/>
      </c>
      <c r="H1541" s="43">
        <f>IFERROR(IF(OR($H$1399="",$D$1399=""),"",($H$1399-$D$1399)*10000),"")</f>
        <v/>
      </c>
      <c r="I1541" s="43">
        <f>IFERROR(IF(OR($I$1399="",$E$1399=""),"",($I$1399-$E$1399)*10000),"")</f>
        <v/>
      </c>
      <c r="J1541" s="43">
        <f>IFERROR(IF(OR($J$1399="",$F$1399=""),"",($J$1399-$F$1399)*10000),"")</f>
        <v/>
      </c>
      <c r="K1541" s="43">
        <f>IFERROR(IF(OR($K$1399="",$G$1399=""),"",($K$1399-$G$1399)*10000),"")</f>
        <v/>
      </c>
      <c r="L1541" s="43">
        <f>IFERROR(IF(OR($L$1399="",$H$1399=""),"",($L$1399-$H$1399)*10000),"")</f>
        <v/>
      </c>
      <c r="M1541" s="44">
        <f>IFERROR(IF(OR($M$1399="",$I$1399=""),"",($M$1399-$I$1399)*10000),"")</f>
        <v/>
      </c>
      <c r="N1541" s="44">
        <f>IFERROR(IF(OR($N$1399="",$J$1399=""),"",($N$1399-$J$1399)*10000),"")</f>
        <v/>
      </c>
    </row>
    <row r="1542">
      <c r="A1542" s="19">
        <f>'Semi Rev'!$A121</f>
        <v/>
      </c>
      <c r="B1542" s="19">
        <f>'Semi Rev'!$B121</f>
        <v/>
      </c>
      <c r="C1542" s="43">
        <f>""</f>
        <v/>
      </c>
      <c r="D1542" s="43">
        <f>""</f>
        <v/>
      </c>
      <c r="E1542" s="43">
        <f>""</f>
        <v/>
      </c>
      <c r="F1542" s="43">
        <f>IFERROR(IF(OR($F$1400="",IF(SUM('Semi Rev'!C121:F121)&lt;=0,"",SUM('Semi FCF'!C121:F121)/SUM('Semi Rev'!C121:F121))=""),"",($F$1400-IF(SUM('Semi Rev'!C121:F121)&lt;=0,"",SUM('Semi FCF'!C121:F121)/SUM('Semi Rev'!C121:F121)))*10000),"")</f>
        <v/>
      </c>
      <c r="G1542" s="43">
        <f>IFERROR(IF(OR($G$1400="",$C$1400=""),"",($G$1400-$C$1400)*10000),"")</f>
        <v/>
      </c>
      <c r="H1542" s="43">
        <f>IFERROR(IF(OR($H$1400="",$D$1400=""),"",($H$1400-$D$1400)*10000),"")</f>
        <v/>
      </c>
      <c r="I1542" s="43">
        <f>IFERROR(IF(OR($I$1400="",$E$1400=""),"",($I$1400-$E$1400)*10000),"")</f>
        <v/>
      </c>
      <c r="J1542" s="43">
        <f>IFERROR(IF(OR($J$1400="",$F$1400=""),"",($J$1400-$F$1400)*10000),"")</f>
        <v/>
      </c>
      <c r="K1542" s="43">
        <f>IFERROR(IF(OR($K$1400="",$G$1400=""),"",($K$1400-$G$1400)*10000),"")</f>
        <v/>
      </c>
      <c r="L1542" s="43">
        <f>IFERROR(IF(OR($L$1400="",$H$1400=""),"",($L$1400-$H$1400)*10000),"")</f>
        <v/>
      </c>
      <c r="M1542" s="44">
        <f>IFERROR(IF(OR($M$1400="",$I$1400=""),"",($M$1400-$I$1400)*10000),"")</f>
        <v/>
      </c>
      <c r="N1542" s="44">
        <f>IFERROR(IF(OR($N$1400="",$J$1400=""),"",($N$1400-$J$1400)*10000),"")</f>
        <v/>
      </c>
    </row>
    <row r="1543">
      <c r="A1543" s="19">
        <f>'Semi Rev'!$A122</f>
        <v/>
      </c>
      <c r="B1543" s="19">
        <f>'Semi Rev'!$B122</f>
        <v/>
      </c>
      <c r="C1543" s="43">
        <f>""</f>
        <v/>
      </c>
      <c r="D1543" s="43">
        <f>""</f>
        <v/>
      </c>
      <c r="E1543" s="43">
        <f>""</f>
        <v/>
      </c>
      <c r="F1543" s="43">
        <f>IFERROR(IF(OR($F$1401="",IF(SUM('Semi Rev'!C122:F122)&lt;=0,"",SUM('Semi FCF'!C122:F122)/SUM('Semi Rev'!C122:F122))=""),"",($F$1401-IF(SUM('Semi Rev'!C122:F122)&lt;=0,"",SUM('Semi FCF'!C122:F122)/SUM('Semi Rev'!C122:F122)))*10000),"")</f>
        <v/>
      </c>
      <c r="G1543" s="43">
        <f>IFERROR(IF(OR($G$1401="",$C$1401=""),"",($G$1401-$C$1401)*10000),"")</f>
        <v/>
      </c>
      <c r="H1543" s="43">
        <f>IFERROR(IF(OR($H$1401="",$D$1401=""),"",($H$1401-$D$1401)*10000),"")</f>
        <v/>
      </c>
      <c r="I1543" s="43">
        <f>IFERROR(IF(OR($I$1401="",$E$1401=""),"",($I$1401-$E$1401)*10000),"")</f>
        <v/>
      </c>
      <c r="J1543" s="43">
        <f>IFERROR(IF(OR($J$1401="",$F$1401=""),"",($J$1401-$F$1401)*10000),"")</f>
        <v/>
      </c>
      <c r="K1543" s="43">
        <f>IFERROR(IF(OR($K$1401="",$G$1401=""),"",($K$1401-$G$1401)*10000),"")</f>
        <v/>
      </c>
      <c r="L1543" s="43">
        <f>IFERROR(IF(OR($L$1401="",$H$1401=""),"",($L$1401-$H$1401)*10000),"")</f>
        <v/>
      </c>
      <c r="M1543" s="44">
        <f>IFERROR(IF(OR($M$1401="",$I$1401=""),"",($M$1401-$I$1401)*10000),"")</f>
        <v/>
      </c>
      <c r="N1543" s="44">
        <f>IFERROR(IF(OR($N$1401="",$J$1401=""),"",($N$1401-$J$1401)*10000),"")</f>
        <v/>
      </c>
    </row>
    <row r="1544">
      <c r="A1544" s="19">
        <f>'Semi Rev'!$A123</f>
        <v/>
      </c>
      <c r="B1544" s="19">
        <f>'Semi Rev'!$B123</f>
        <v/>
      </c>
      <c r="C1544" s="43">
        <f>""</f>
        <v/>
      </c>
      <c r="D1544" s="43">
        <f>""</f>
        <v/>
      </c>
      <c r="E1544" s="43">
        <f>""</f>
        <v/>
      </c>
      <c r="F1544" s="43">
        <f>IFERROR(IF(OR($F$1402="",IF(SUM('Semi Rev'!C123:F123)&lt;=0,"",SUM('Semi FCF'!C123:F123)/SUM('Semi Rev'!C123:F123))=""),"",($F$1402-IF(SUM('Semi Rev'!C123:F123)&lt;=0,"",SUM('Semi FCF'!C123:F123)/SUM('Semi Rev'!C123:F123)))*10000),"")</f>
        <v/>
      </c>
      <c r="G1544" s="43">
        <f>IFERROR(IF(OR($G$1402="",$C$1402=""),"",($G$1402-$C$1402)*10000),"")</f>
        <v/>
      </c>
      <c r="H1544" s="43">
        <f>IFERROR(IF(OR($H$1402="",$D$1402=""),"",($H$1402-$D$1402)*10000),"")</f>
        <v/>
      </c>
      <c r="I1544" s="43">
        <f>IFERROR(IF(OR($I$1402="",$E$1402=""),"",($I$1402-$E$1402)*10000),"")</f>
        <v/>
      </c>
      <c r="J1544" s="43">
        <f>IFERROR(IF(OR($J$1402="",$F$1402=""),"",($J$1402-$F$1402)*10000),"")</f>
        <v/>
      </c>
      <c r="K1544" s="43">
        <f>IFERROR(IF(OR($K$1402="",$G$1402=""),"",($K$1402-$G$1402)*10000),"")</f>
        <v/>
      </c>
      <c r="L1544" s="43">
        <f>IFERROR(IF(OR($L$1402="",$H$1402=""),"",($L$1402-$H$1402)*10000),"")</f>
        <v/>
      </c>
      <c r="M1544" s="44">
        <f>IFERROR(IF(OR($M$1402="",$I$1402=""),"",($M$1402-$I$1402)*10000),"")</f>
        <v/>
      </c>
      <c r="N1544" s="44">
        <f>IFERROR(IF(OR($N$1402="",$J$1402=""),"",($N$1402-$J$1402)*10000),"")</f>
        <v/>
      </c>
    </row>
    <row r="1545">
      <c r="A1545" s="19">
        <f>'Semi Rev'!$A124</f>
        <v/>
      </c>
      <c r="B1545" s="19">
        <f>'Semi Rev'!$B124</f>
        <v/>
      </c>
      <c r="C1545" s="43">
        <f>""</f>
        <v/>
      </c>
      <c r="D1545" s="43">
        <f>""</f>
        <v/>
      </c>
      <c r="E1545" s="43">
        <f>""</f>
        <v/>
      </c>
      <c r="F1545" s="43">
        <f>IFERROR(IF(OR($F$1403="",IF(SUM('Semi Rev'!C124:F124)&lt;=0,"",SUM('Semi FCF'!C124:F124)/SUM('Semi Rev'!C124:F124))=""),"",($F$1403-IF(SUM('Semi Rev'!C124:F124)&lt;=0,"",SUM('Semi FCF'!C124:F124)/SUM('Semi Rev'!C124:F124)))*10000),"")</f>
        <v/>
      </c>
      <c r="G1545" s="43">
        <f>IFERROR(IF(OR($G$1403="",$C$1403=""),"",($G$1403-$C$1403)*10000),"")</f>
        <v/>
      </c>
      <c r="H1545" s="43">
        <f>IFERROR(IF(OR($H$1403="",$D$1403=""),"",($H$1403-$D$1403)*10000),"")</f>
        <v/>
      </c>
      <c r="I1545" s="43">
        <f>IFERROR(IF(OR($I$1403="",$E$1403=""),"",($I$1403-$E$1403)*10000),"")</f>
        <v/>
      </c>
      <c r="J1545" s="43">
        <f>IFERROR(IF(OR($J$1403="",$F$1403=""),"",($J$1403-$F$1403)*10000),"")</f>
        <v/>
      </c>
      <c r="K1545" s="43">
        <f>IFERROR(IF(OR($K$1403="",$G$1403=""),"",($K$1403-$G$1403)*10000),"")</f>
        <v/>
      </c>
      <c r="L1545" s="43">
        <f>IFERROR(IF(OR($L$1403="",$H$1403=""),"",($L$1403-$H$1403)*10000),"")</f>
        <v/>
      </c>
      <c r="M1545" s="44">
        <f>IFERROR(IF(OR($M$1403="",$I$1403=""),"",($M$1403-$I$1403)*10000),"")</f>
        <v/>
      </c>
      <c r="N1545" s="44">
        <f>IFERROR(IF(OR($N$1403="",$J$1403=""),"",($N$1403-$J$1403)*10000),"")</f>
        <v/>
      </c>
    </row>
    <row r="1546">
      <c r="A1546" s="19">
        <f>'Semi Rev'!$A125</f>
        <v/>
      </c>
      <c r="B1546" s="19">
        <f>'Semi Rev'!$B125</f>
        <v/>
      </c>
      <c r="C1546" s="43">
        <f>""</f>
        <v/>
      </c>
      <c r="D1546" s="43">
        <f>""</f>
        <v/>
      </c>
      <c r="E1546" s="43">
        <f>""</f>
        <v/>
      </c>
      <c r="F1546" s="43">
        <f>IFERROR(IF(OR($F$1404="",IF(SUM('Semi Rev'!C125:F125)&lt;=0,"",SUM('Semi FCF'!C125:F125)/SUM('Semi Rev'!C125:F125))=""),"",($F$1404-IF(SUM('Semi Rev'!C125:F125)&lt;=0,"",SUM('Semi FCF'!C125:F125)/SUM('Semi Rev'!C125:F125)))*10000),"")</f>
        <v/>
      </c>
      <c r="G1546" s="43">
        <f>IFERROR(IF(OR($G$1404="",$C$1404=""),"",($G$1404-$C$1404)*10000),"")</f>
        <v/>
      </c>
      <c r="H1546" s="43">
        <f>IFERROR(IF(OR($H$1404="",$D$1404=""),"",($H$1404-$D$1404)*10000),"")</f>
        <v/>
      </c>
      <c r="I1546" s="43">
        <f>IFERROR(IF(OR($I$1404="",$E$1404=""),"",($I$1404-$E$1404)*10000),"")</f>
        <v/>
      </c>
      <c r="J1546" s="43">
        <f>IFERROR(IF(OR($J$1404="",$F$1404=""),"",($J$1404-$F$1404)*10000),"")</f>
        <v/>
      </c>
      <c r="K1546" s="43">
        <f>IFERROR(IF(OR($K$1404="",$G$1404=""),"",($K$1404-$G$1404)*10000),"")</f>
        <v/>
      </c>
      <c r="L1546" s="43">
        <f>IFERROR(IF(OR($L$1404="",$H$1404=""),"",($L$1404-$H$1404)*10000),"")</f>
        <v/>
      </c>
      <c r="M1546" s="44">
        <f>IFERROR(IF(OR($M$1404="",$I$1404=""),"",($M$1404-$I$1404)*10000),"")</f>
        <v/>
      </c>
      <c r="N1546" s="44">
        <f>IFERROR(IF(OR($N$1404="",$J$1404=""),"",($N$1404-$J$1404)*10000),"")</f>
        <v/>
      </c>
    </row>
    <row r="1547">
      <c r="A1547" s="19">
        <f>'Semi Rev'!$A126</f>
        <v/>
      </c>
      <c r="B1547" s="19">
        <f>'Semi Rev'!$B126</f>
        <v/>
      </c>
      <c r="C1547" s="43">
        <f>""</f>
        <v/>
      </c>
      <c r="D1547" s="43">
        <f>""</f>
        <v/>
      </c>
      <c r="E1547" s="43">
        <f>""</f>
        <v/>
      </c>
      <c r="F1547" s="43">
        <f>IFERROR(IF(OR($F$1405="",IF(SUM('Semi Rev'!C126:F126)&lt;=0,"",SUM('Semi FCF'!C126:F126)/SUM('Semi Rev'!C126:F126))=""),"",($F$1405-IF(SUM('Semi Rev'!C126:F126)&lt;=0,"",SUM('Semi FCF'!C126:F126)/SUM('Semi Rev'!C126:F126)))*10000),"")</f>
        <v/>
      </c>
      <c r="G1547" s="43">
        <f>IFERROR(IF(OR($G$1405="",$C$1405=""),"",($G$1405-$C$1405)*10000),"")</f>
        <v/>
      </c>
      <c r="H1547" s="43">
        <f>IFERROR(IF(OR($H$1405="",$D$1405=""),"",($H$1405-$D$1405)*10000),"")</f>
        <v/>
      </c>
      <c r="I1547" s="43">
        <f>IFERROR(IF(OR($I$1405="",$E$1405=""),"",($I$1405-$E$1405)*10000),"")</f>
        <v/>
      </c>
      <c r="J1547" s="43">
        <f>IFERROR(IF(OR($J$1405="",$F$1405=""),"",($J$1405-$F$1405)*10000),"")</f>
        <v/>
      </c>
      <c r="K1547" s="43">
        <f>IFERROR(IF(OR($K$1405="",$G$1405=""),"",($K$1405-$G$1405)*10000),"")</f>
        <v/>
      </c>
      <c r="L1547" s="43">
        <f>IFERROR(IF(OR($L$1405="",$H$1405=""),"",($L$1405-$H$1405)*10000),"")</f>
        <v/>
      </c>
      <c r="M1547" s="44">
        <f>IFERROR(IF(OR($M$1405="",$I$1405=""),"",($M$1405-$I$1405)*10000),"")</f>
        <v/>
      </c>
      <c r="N1547" s="44">
        <f>IFERROR(IF(OR($N$1405="",$J$1405=""),"",($N$1405-$J$1405)*10000),"")</f>
        <v/>
      </c>
    </row>
    <row r="1548">
      <c r="A1548" s="19">
        <f>'Semi Rev'!$A127</f>
        <v/>
      </c>
      <c r="B1548" s="19">
        <f>'Semi Rev'!$B127</f>
        <v/>
      </c>
      <c r="C1548" s="43">
        <f>""</f>
        <v/>
      </c>
      <c r="D1548" s="43">
        <f>""</f>
        <v/>
      </c>
      <c r="E1548" s="43">
        <f>""</f>
        <v/>
      </c>
      <c r="F1548" s="43">
        <f>IFERROR(IF(OR($F$1406="",IF(SUM('Semi Rev'!C127:F127)&lt;=0,"",SUM('Semi FCF'!C127:F127)/SUM('Semi Rev'!C127:F127))=""),"",($F$1406-IF(SUM('Semi Rev'!C127:F127)&lt;=0,"",SUM('Semi FCF'!C127:F127)/SUM('Semi Rev'!C127:F127)))*10000),"")</f>
        <v/>
      </c>
      <c r="G1548" s="43">
        <f>IFERROR(IF(OR($G$1406="",$C$1406=""),"",($G$1406-$C$1406)*10000),"")</f>
        <v/>
      </c>
      <c r="H1548" s="43">
        <f>IFERROR(IF(OR($H$1406="",$D$1406=""),"",($H$1406-$D$1406)*10000),"")</f>
        <v/>
      </c>
      <c r="I1548" s="43">
        <f>IFERROR(IF(OR($I$1406="",$E$1406=""),"",($I$1406-$E$1406)*10000),"")</f>
        <v/>
      </c>
      <c r="J1548" s="43">
        <f>IFERROR(IF(OR($J$1406="",$F$1406=""),"",($J$1406-$F$1406)*10000),"")</f>
        <v/>
      </c>
      <c r="K1548" s="43">
        <f>IFERROR(IF(OR($K$1406="",$G$1406=""),"",($K$1406-$G$1406)*10000),"")</f>
        <v/>
      </c>
      <c r="L1548" s="43">
        <f>IFERROR(IF(OR($L$1406="",$H$1406=""),"",($L$1406-$H$1406)*10000),"")</f>
        <v/>
      </c>
      <c r="M1548" s="44">
        <f>IFERROR(IF(OR($M$1406="",$I$1406=""),"",($M$1406-$I$1406)*10000),"")</f>
        <v/>
      </c>
      <c r="N1548" s="44">
        <f>IFERROR(IF(OR($N$1406="",$J$1406=""),"",($N$1406-$J$1406)*10000),"")</f>
        <v/>
      </c>
    </row>
    <row r="1549">
      <c r="A1549" s="19">
        <f>'Semi Rev'!$A128</f>
        <v/>
      </c>
      <c r="B1549" s="19">
        <f>'Semi Rev'!$B128</f>
        <v/>
      </c>
      <c r="C1549" s="43">
        <f>""</f>
        <v/>
      </c>
      <c r="D1549" s="43">
        <f>""</f>
        <v/>
      </c>
      <c r="E1549" s="43">
        <f>""</f>
        <v/>
      </c>
      <c r="F1549" s="43">
        <f>IFERROR(IF(OR($F$1407="",IF(SUM('Semi Rev'!C128:F128)&lt;=0,"",SUM('Semi FCF'!C128:F128)/SUM('Semi Rev'!C128:F128))=""),"",($F$1407-IF(SUM('Semi Rev'!C128:F128)&lt;=0,"",SUM('Semi FCF'!C128:F128)/SUM('Semi Rev'!C128:F128)))*10000),"")</f>
        <v/>
      </c>
      <c r="G1549" s="43">
        <f>IFERROR(IF(OR($G$1407="",$C$1407=""),"",($G$1407-$C$1407)*10000),"")</f>
        <v/>
      </c>
      <c r="H1549" s="43">
        <f>IFERROR(IF(OR($H$1407="",$D$1407=""),"",($H$1407-$D$1407)*10000),"")</f>
        <v/>
      </c>
      <c r="I1549" s="43">
        <f>IFERROR(IF(OR($I$1407="",$E$1407=""),"",($I$1407-$E$1407)*10000),"")</f>
        <v/>
      </c>
      <c r="J1549" s="43">
        <f>IFERROR(IF(OR($J$1407="",$F$1407=""),"",($J$1407-$F$1407)*10000),"")</f>
        <v/>
      </c>
      <c r="K1549" s="43">
        <f>IFERROR(IF(OR($K$1407="",$G$1407=""),"",($K$1407-$G$1407)*10000),"")</f>
        <v/>
      </c>
      <c r="L1549" s="43">
        <f>IFERROR(IF(OR($L$1407="",$H$1407=""),"",($L$1407-$H$1407)*10000),"")</f>
        <v/>
      </c>
      <c r="M1549" s="44">
        <f>IFERROR(IF(OR($M$1407="",$I$1407=""),"",($M$1407-$I$1407)*10000),"")</f>
        <v/>
      </c>
      <c r="N1549" s="44">
        <f>IFERROR(IF(OR($N$1407="",$J$1407=""),"",($N$1407-$J$1407)*10000),"")</f>
        <v/>
      </c>
    </row>
    <row r="1550">
      <c r="A1550" s="19">
        <f>'Semi Rev'!$A129</f>
        <v/>
      </c>
      <c r="B1550" s="19">
        <f>'Semi Rev'!$B129</f>
        <v/>
      </c>
      <c r="C1550" s="43">
        <f>""</f>
        <v/>
      </c>
      <c r="D1550" s="43">
        <f>""</f>
        <v/>
      </c>
      <c r="E1550" s="43">
        <f>""</f>
        <v/>
      </c>
      <c r="F1550" s="43">
        <f>IFERROR(IF(OR($F$1408="",IF(SUM('Semi Rev'!C129:F129)&lt;=0,"",SUM('Semi FCF'!C129:F129)/SUM('Semi Rev'!C129:F129))=""),"",($F$1408-IF(SUM('Semi Rev'!C129:F129)&lt;=0,"",SUM('Semi FCF'!C129:F129)/SUM('Semi Rev'!C129:F129)))*10000),"")</f>
        <v/>
      </c>
      <c r="G1550" s="43">
        <f>IFERROR(IF(OR($G$1408="",$C$1408=""),"",($G$1408-$C$1408)*10000),"")</f>
        <v/>
      </c>
      <c r="H1550" s="43">
        <f>IFERROR(IF(OR($H$1408="",$D$1408=""),"",($H$1408-$D$1408)*10000),"")</f>
        <v/>
      </c>
      <c r="I1550" s="43">
        <f>IFERROR(IF(OR($I$1408="",$E$1408=""),"",($I$1408-$E$1408)*10000),"")</f>
        <v/>
      </c>
      <c r="J1550" s="43">
        <f>IFERROR(IF(OR($J$1408="",$F$1408=""),"",($J$1408-$F$1408)*10000),"")</f>
        <v/>
      </c>
      <c r="K1550" s="43">
        <f>IFERROR(IF(OR($K$1408="",$G$1408=""),"",($K$1408-$G$1408)*10000),"")</f>
        <v/>
      </c>
      <c r="L1550" s="43">
        <f>IFERROR(IF(OR($L$1408="",$H$1408=""),"",($L$1408-$H$1408)*10000),"")</f>
        <v/>
      </c>
      <c r="M1550" s="44">
        <f>IFERROR(IF(OR($M$1408="",$I$1408=""),"",($M$1408-$I$1408)*10000),"")</f>
        <v/>
      </c>
      <c r="N1550" s="44">
        <f>IFERROR(IF(OR($N$1408="",$J$1408=""),"",($N$1408-$J$1408)*10000),"")</f>
        <v/>
      </c>
    </row>
    <row r="1551">
      <c r="A1551" s="19">
        <f>'Semi Rev'!$A130</f>
        <v/>
      </c>
      <c r="B1551" s="19">
        <f>'Semi Rev'!$B130</f>
        <v/>
      </c>
      <c r="C1551" s="43">
        <f>""</f>
        <v/>
      </c>
      <c r="D1551" s="43">
        <f>""</f>
        <v/>
      </c>
      <c r="E1551" s="43">
        <f>""</f>
        <v/>
      </c>
      <c r="F1551" s="43">
        <f>IFERROR(IF(OR($F$1409="",IF(SUM('Semi Rev'!C130:F130)&lt;=0,"",SUM('Semi FCF'!C130:F130)/SUM('Semi Rev'!C130:F130))=""),"",($F$1409-IF(SUM('Semi Rev'!C130:F130)&lt;=0,"",SUM('Semi FCF'!C130:F130)/SUM('Semi Rev'!C130:F130)))*10000),"")</f>
        <v/>
      </c>
      <c r="G1551" s="43">
        <f>IFERROR(IF(OR($G$1409="",$C$1409=""),"",($G$1409-$C$1409)*10000),"")</f>
        <v/>
      </c>
      <c r="H1551" s="43">
        <f>IFERROR(IF(OR($H$1409="",$D$1409=""),"",($H$1409-$D$1409)*10000),"")</f>
        <v/>
      </c>
      <c r="I1551" s="43">
        <f>IFERROR(IF(OR($I$1409="",$E$1409=""),"",($I$1409-$E$1409)*10000),"")</f>
        <v/>
      </c>
      <c r="J1551" s="43">
        <f>IFERROR(IF(OR($J$1409="",$F$1409=""),"",($J$1409-$F$1409)*10000),"")</f>
        <v/>
      </c>
      <c r="K1551" s="43">
        <f>IFERROR(IF(OR($K$1409="",$G$1409=""),"",($K$1409-$G$1409)*10000),"")</f>
        <v/>
      </c>
      <c r="L1551" s="43">
        <f>IFERROR(IF(OR($L$1409="",$H$1409=""),"",($L$1409-$H$1409)*10000),"")</f>
        <v/>
      </c>
      <c r="M1551" s="44">
        <f>IFERROR(IF(OR($M$1409="",$I$1409=""),"",($M$1409-$I$1409)*10000),"")</f>
        <v/>
      </c>
      <c r="N1551" s="44">
        <f>IFERROR(IF(OR($N$1409="",$J$1409=""),"",($N$1409-$J$1409)*10000),"")</f>
        <v/>
      </c>
    </row>
    <row r="1552">
      <c r="A1552" s="19">
        <f>'Semi Rev'!$A131</f>
        <v/>
      </c>
      <c r="B1552" s="19">
        <f>'Semi Rev'!$B131</f>
        <v/>
      </c>
      <c r="C1552" s="43">
        <f>""</f>
        <v/>
      </c>
      <c r="D1552" s="43">
        <f>""</f>
        <v/>
      </c>
      <c r="E1552" s="43">
        <f>""</f>
        <v/>
      </c>
      <c r="F1552" s="43">
        <f>IFERROR(IF(OR($F$1410="",IF(SUM('Semi Rev'!C131:F131)&lt;=0,"",SUM('Semi FCF'!C131:F131)/SUM('Semi Rev'!C131:F131))=""),"",($F$1410-IF(SUM('Semi Rev'!C131:F131)&lt;=0,"",SUM('Semi FCF'!C131:F131)/SUM('Semi Rev'!C131:F131)))*10000),"")</f>
        <v/>
      </c>
      <c r="G1552" s="43">
        <f>IFERROR(IF(OR($G$1410="",$C$1410=""),"",($G$1410-$C$1410)*10000),"")</f>
        <v/>
      </c>
      <c r="H1552" s="43">
        <f>IFERROR(IF(OR($H$1410="",$D$1410=""),"",($H$1410-$D$1410)*10000),"")</f>
        <v/>
      </c>
      <c r="I1552" s="43">
        <f>IFERROR(IF(OR($I$1410="",$E$1410=""),"",($I$1410-$E$1410)*10000),"")</f>
        <v/>
      </c>
      <c r="J1552" s="43">
        <f>IFERROR(IF(OR($J$1410="",$F$1410=""),"",($J$1410-$F$1410)*10000),"")</f>
        <v/>
      </c>
      <c r="K1552" s="43">
        <f>IFERROR(IF(OR($K$1410="",$G$1410=""),"",($K$1410-$G$1410)*10000),"")</f>
        <v/>
      </c>
      <c r="L1552" s="43">
        <f>IFERROR(IF(OR($L$1410="",$H$1410=""),"",($L$1410-$H$1410)*10000),"")</f>
        <v/>
      </c>
      <c r="M1552" s="44">
        <f>IFERROR(IF(OR($M$1410="",$I$1410=""),"",($M$1410-$I$1410)*10000),"")</f>
        <v/>
      </c>
      <c r="N1552" s="44">
        <f>IFERROR(IF(OR($N$1410="",$J$1410=""),"",($N$1410-$J$1410)*10000),"")</f>
        <v/>
      </c>
    </row>
    <row r="1553">
      <c r="A1553" s="19">
        <f>'Semi Rev'!$A132</f>
        <v/>
      </c>
      <c r="B1553" s="19">
        <f>'Semi Rev'!$B132</f>
        <v/>
      </c>
      <c r="C1553" s="43">
        <f>""</f>
        <v/>
      </c>
      <c r="D1553" s="43">
        <f>""</f>
        <v/>
      </c>
      <c r="E1553" s="43">
        <f>""</f>
        <v/>
      </c>
      <c r="F1553" s="43">
        <f>IFERROR(IF(OR($F$1411="",IF(SUM('Semi Rev'!C132:F132)&lt;=0,"",SUM('Semi FCF'!C132:F132)/SUM('Semi Rev'!C132:F132))=""),"",($F$1411-IF(SUM('Semi Rev'!C132:F132)&lt;=0,"",SUM('Semi FCF'!C132:F132)/SUM('Semi Rev'!C132:F132)))*10000),"")</f>
        <v/>
      </c>
      <c r="G1553" s="43">
        <f>IFERROR(IF(OR($G$1411="",$C$1411=""),"",($G$1411-$C$1411)*10000),"")</f>
        <v/>
      </c>
      <c r="H1553" s="43">
        <f>IFERROR(IF(OR($H$1411="",$D$1411=""),"",($H$1411-$D$1411)*10000),"")</f>
        <v/>
      </c>
      <c r="I1553" s="43">
        <f>IFERROR(IF(OR($I$1411="",$E$1411=""),"",($I$1411-$E$1411)*10000),"")</f>
        <v/>
      </c>
      <c r="J1553" s="43">
        <f>IFERROR(IF(OR($J$1411="",$F$1411=""),"",($J$1411-$F$1411)*10000),"")</f>
        <v/>
      </c>
      <c r="K1553" s="43">
        <f>IFERROR(IF(OR($K$1411="",$G$1411=""),"",($K$1411-$G$1411)*10000),"")</f>
        <v/>
      </c>
      <c r="L1553" s="43">
        <f>IFERROR(IF(OR($L$1411="",$H$1411=""),"",($L$1411-$H$1411)*10000),"")</f>
        <v/>
      </c>
      <c r="M1553" s="44">
        <f>IFERROR(IF(OR($M$1411="",$I$1411=""),"",($M$1411-$I$1411)*10000),"")</f>
        <v/>
      </c>
      <c r="N1553" s="44">
        <f>IFERROR(IF(OR($N$1411="",$J$1411=""),"",($N$1411-$J$1411)*10000),"")</f>
        <v/>
      </c>
    </row>
    <row r="1554">
      <c r="A1554" s="19">
        <f>'Semi Rev'!$A133</f>
        <v/>
      </c>
      <c r="B1554" s="19">
        <f>'Semi Rev'!$B133</f>
        <v/>
      </c>
      <c r="C1554" s="43">
        <f>""</f>
        <v/>
      </c>
      <c r="D1554" s="43">
        <f>""</f>
        <v/>
      </c>
      <c r="E1554" s="43">
        <f>""</f>
        <v/>
      </c>
      <c r="F1554" s="43">
        <f>IFERROR(IF(OR($F$1412="",IF(SUM('Semi Rev'!C133:F133)&lt;=0,"",SUM('Semi FCF'!C133:F133)/SUM('Semi Rev'!C133:F133))=""),"",($F$1412-IF(SUM('Semi Rev'!C133:F133)&lt;=0,"",SUM('Semi FCF'!C133:F133)/SUM('Semi Rev'!C133:F133)))*10000),"")</f>
        <v/>
      </c>
      <c r="G1554" s="43">
        <f>IFERROR(IF(OR($G$1412="",$C$1412=""),"",($G$1412-$C$1412)*10000),"")</f>
        <v/>
      </c>
      <c r="H1554" s="43">
        <f>IFERROR(IF(OR($H$1412="",$D$1412=""),"",($H$1412-$D$1412)*10000),"")</f>
        <v/>
      </c>
      <c r="I1554" s="43">
        <f>IFERROR(IF(OR($I$1412="",$E$1412=""),"",($I$1412-$E$1412)*10000),"")</f>
        <v/>
      </c>
      <c r="J1554" s="43">
        <f>IFERROR(IF(OR($J$1412="",$F$1412=""),"",($J$1412-$F$1412)*10000),"")</f>
        <v/>
      </c>
      <c r="K1554" s="43">
        <f>IFERROR(IF(OR($K$1412="",$G$1412=""),"",($K$1412-$G$1412)*10000),"")</f>
        <v/>
      </c>
      <c r="L1554" s="43">
        <f>IFERROR(IF(OR($L$1412="",$H$1412=""),"",($L$1412-$H$1412)*10000),"")</f>
        <v/>
      </c>
      <c r="M1554" s="44">
        <f>IFERROR(IF(OR($M$1412="",$I$1412=""),"",($M$1412-$I$1412)*10000),"")</f>
        <v/>
      </c>
      <c r="N1554" s="44">
        <f>IFERROR(IF(OR($N$1412="",$J$1412=""),"",($N$1412-$J$1412)*10000),"")</f>
        <v/>
      </c>
    </row>
    <row r="1555">
      <c r="A1555" s="19">
        <f>'Semi Rev'!$A134</f>
        <v/>
      </c>
      <c r="B1555" s="19">
        <f>'Semi Rev'!$B134</f>
        <v/>
      </c>
      <c r="C1555" s="43">
        <f>""</f>
        <v/>
      </c>
      <c r="D1555" s="43">
        <f>""</f>
        <v/>
      </c>
      <c r="E1555" s="43">
        <f>""</f>
        <v/>
      </c>
      <c r="F1555" s="43">
        <f>IFERROR(IF(OR($F$1413="",IF(SUM('Semi Rev'!C134:F134)&lt;=0,"",SUM('Semi FCF'!C134:F134)/SUM('Semi Rev'!C134:F134))=""),"",($F$1413-IF(SUM('Semi Rev'!C134:F134)&lt;=0,"",SUM('Semi FCF'!C134:F134)/SUM('Semi Rev'!C134:F134)))*10000),"")</f>
        <v/>
      </c>
      <c r="G1555" s="43">
        <f>IFERROR(IF(OR($G$1413="",$C$1413=""),"",($G$1413-$C$1413)*10000),"")</f>
        <v/>
      </c>
      <c r="H1555" s="43">
        <f>IFERROR(IF(OR($H$1413="",$D$1413=""),"",($H$1413-$D$1413)*10000),"")</f>
        <v/>
      </c>
      <c r="I1555" s="43">
        <f>IFERROR(IF(OR($I$1413="",$E$1413=""),"",($I$1413-$E$1413)*10000),"")</f>
        <v/>
      </c>
      <c r="J1555" s="43">
        <f>IFERROR(IF(OR($J$1413="",$F$1413=""),"",($J$1413-$F$1413)*10000),"")</f>
        <v/>
      </c>
      <c r="K1555" s="43">
        <f>IFERROR(IF(OR($K$1413="",$G$1413=""),"",($K$1413-$G$1413)*10000),"")</f>
        <v/>
      </c>
      <c r="L1555" s="43">
        <f>IFERROR(IF(OR($L$1413="",$H$1413=""),"",($L$1413-$H$1413)*10000),"")</f>
        <v/>
      </c>
      <c r="M1555" s="44">
        <f>IFERROR(IF(OR($M$1413="",$I$1413=""),"",($M$1413-$I$1413)*10000),"")</f>
        <v/>
      </c>
      <c r="N1555" s="44">
        <f>IFERROR(IF(OR($N$1413="",$J$1413=""),"",($N$1413-$J$1413)*10000),"")</f>
        <v/>
      </c>
    </row>
    <row r="1556">
      <c r="A1556" s="19">
        <f>'Semi Rev'!$A135</f>
        <v/>
      </c>
      <c r="B1556" s="19">
        <f>'Semi Rev'!$B135</f>
        <v/>
      </c>
      <c r="C1556" s="43">
        <f>""</f>
        <v/>
      </c>
      <c r="D1556" s="43">
        <f>""</f>
        <v/>
      </c>
      <c r="E1556" s="43">
        <f>""</f>
        <v/>
      </c>
      <c r="F1556" s="43">
        <f>IFERROR(IF(OR($F$1414="",IF(SUM('Semi Rev'!C135:F135)&lt;=0,"",SUM('Semi FCF'!C135:F135)/SUM('Semi Rev'!C135:F135))=""),"",($F$1414-IF(SUM('Semi Rev'!C135:F135)&lt;=0,"",SUM('Semi FCF'!C135:F135)/SUM('Semi Rev'!C135:F135)))*10000),"")</f>
        <v/>
      </c>
      <c r="G1556" s="43">
        <f>IFERROR(IF(OR($G$1414="",$C$1414=""),"",($G$1414-$C$1414)*10000),"")</f>
        <v/>
      </c>
      <c r="H1556" s="43">
        <f>IFERROR(IF(OR($H$1414="",$D$1414=""),"",($H$1414-$D$1414)*10000),"")</f>
        <v/>
      </c>
      <c r="I1556" s="43">
        <f>IFERROR(IF(OR($I$1414="",$E$1414=""),"",($I$1414-$E$1414)*10000),"")</f>
        <v/>
      </c>
      <c r="J1556" s="43">
        <f>IFERROR(IF(OR($J$1414="",$F$1414=""),"",($J$1414-$F$1414)*10000),"")</f>
        <v/>
      </c>
      <c r="K1556" s="43">
        <f>IFERROR(IF(OR($K$1414="",$G$1414=""),"",($K$1414-$G$1414)*10000),"")</f>
        <v/>
      </c>
      <c r="L1556" s="43">
        <f>IFERROR(IF(OR($L$1414="",$H$1414=""),"",($L$1414-$H$1414)*10000),"")</f>
        <v/>
      </c>
      <c r="M1556" s="44">
        <f>IFERROR(IF(OR($M$1414="",$I$1414=""),"",($M$1414-$I$1414)*10000),"")</f>
        <v/>
      </c>
      <c r="N1556" s="44">
        <f>IFERROR(IF(OR($N$1414="",$J$1414=""),"",($N$1414-$J$1414)*10000),"")</f>
        <v/>
      </c>
    </row>
    <row r="1557">
      <c r="A1557" s="19">
        <f>'Semi Rev'!$A136</f>
        <v/>
      </c>
      <c r="B1557" s="19">
        <f>'Semi Rev'!$B136</f>
        <v/>
      </c>
      <c r="C1557" s="43">
        <f>""</f>
        <v/>
      </c>
      <c r="D1557" s="43">
        <f>""</f>
        <v/>
      </c>
      <c r="E1557" s="43">
        <f>""</f>
        <v/>
      </c>
      <c r="F1557" s="43">
        <f>IFERROR(IF(OR($F$1415="",IF(SUM('Semi Rev'!C136:F136)&lt;=0,"",SUM('Semi FCF'!C136:F136)/SUM('Semi Rev'!C136:F136))=""),"",($F$1415-IF(SUM('Semi Rev'!C136:F136)&lt;=0,"",SUM('Semi FCF'!C136:F136)/SUM('Semi Rev'!C136:F136)))*10000),"")</f>
        <v/>
      </c>
      <c r="G1557" s="43">
        <f>IFERROR(IF(OR($G$1415="",$C$1415=""),"",($G$1415-$C$1415)*10000),"")</f>
        <v/>
      </c>
      <c r="H1557" s="43">
        <f>IFERROR(IF(OR($H$1415="",$D$1415=""),"",($H$1415-$D$1415)*10000),"")</f>
        <v/>
      </c>
      <c r="I1557" s="43">
        <f>IFERROR(IF(OR($I$1415="",$E$1415=""),"",($I$1415-$E$1415)*10000),"")</f>
        <v/>
      </c>
      <c r="J1557" s="43">
        <f>IFERROR(IF(OR($J$1415="",$F$1415=""),"",($J$1415-$F$1415)*10000),"")</f>
        <v/>
      </c>
      <c r="K1557" s="43">
        <f>IFERROR(IF(OR($K$1415="",$G$1415=""),"",($K$1415-$G$1415)*10000),"")</f>
        <v/>
      </c>
      <c r="L1557" s="43">
        <f>IFERROR(IF(OR($L$1415="",$H$1415=""),"",($L$1415-$H$1415)*10000),"")</f>
        <v/>
      </c>
      <c r="M1557" s="44">
        <f>IFERROR(IF(OR($M$1415="",$I$1415=""),"",($M$1415-$I$1415)*10000),"")</f>
        <v/>
      </c>
      <c r="N1557" s="44">
        <f>IFERROR(IF(OR($N$1415="",$J$1415=""),"",($N$1415-$J$1415)*10000),"")</f>
        <v/>
      </c>
    </row>
    <row r="1558">
      <c r="A1558" s="19">
        <f>'Semi Rev'!$A137</f>
        <v/>
      </c>
      <c r="B1558" s="19">
        <f>'Semi Rev'!$B137</f>
        <v/>
      </c>
      <c r="C1558" s="43">
        <f>""</f>
        <v/>
      </c>
      <c r="D1558" s="43">
        <f>""</f>
        <v/>
      </c>
      <c r="E1558" s="43">
        <f>""</f>
        <v/>
      </c>
      <c r="F1558" s="43">
        <f>IFERROR(IF(OR($F$1416="",IF(SUM('Semi Rev'!C137:F137)&lt;=0,"",SUM('Semi FCF'!C137:F137)/SUM('Semi Rev'!C137:F137))=""),"",($F$1416-IF(SUM('Semi Rev'!C137:F137)&lt;=0,"",SUM('Semi FCF'!C137:F137)/SUM('Semi Rev'!C137:F137)))*10000),"")</f>
        <v/>
      </c>
      <c r="G1558" s="43">
        <f>IFERROR(IF(OR($G$1416="",$C$1416=""),"",($G$1416-$C$1416)*10000),"")</f>
        <v/>
      </c>
      <c r="H1558" s="43">
        <f>IFERROR(IF(OR($H$1416="",$D$1416=""),"",($H$1416-$D$1416)*10000),"")</f>
        <v/>
      </c>
      <c r="I1558" s="43">
        <f>IFERROR(IF(OR($I$1416="",$E$1416=""),"",($I$1416-$E$1416)*10000),"")</f>
        <v/>
      </c>
      <c r="J1558" s="43">
        <f>IFERROR(IF(OR($J$1416="",$F$1416=""),"",($J$1416-$F$1416)*10000),"")</f>
        <v/>
      </c>
      <c r="K1558" s="43">
        <f>IFERROR(IF(OR($K$1416="",$G$1416=""),"",($K$1416-$G$1416)*10000),"")</f>
        <v/>
      </c>
      <c r="L1558" s="43">
        <f>IFERROR(IF(OR($L$1416="",$H$1416=""),"",($L$1416-$H$1416)*10000),"")</f>
        <v/>
      </c>
      <c r="M1558" s="44">
        <f>IFERROR(IF(OR($M$1416="",$I$1416=""),"",($M$1416-$I$1416)*10000),"")</f>
        <v/>
      </c>
      <c r="N1558" s="44">
        <f>IFERROR(IF(OR($N$1416="",$J$1416=""),"",($N$1416-$J$1416)*10000),"")</f>
        <v/>
      </c>
    </row>
    <row r="1559">
      <c r="A1559" s="19">
        <f>'Semi Rev'!$A138</f>
        <v/>
      </c>
      <c r="B1559" s="19">
        <f>'Semi Rev'!$B138</f>
        <v/>
      </c>
      <c r="C1559" s="43">
        <f>""</f>
        <v/>
      </c>
      <c r="D1559" s="43">
        <f>""</f>
        <v/>
      </c>
      <c r="E1559" s="43">
        <f>""</f>
        <v/>
      </c>
      <c r="F1559" s="43">
        <f>IFERROR(IF(OR($F$1417="",IF(SUM('Semi Rev'!C138:F138)&lt;=0,"",SUM('Semi FCF'!C138:F138)/SUM('Semi Rev'!C138:F138))=""),"",($F$1417-IF(SUM('Semi Rev'!C138:F138)&lt;=0,"",SUM('Semi FCF'!C138:F138)/SUM('Semi Rev'!C138:F138)))*10000),"")</f>
        <v/>
      </c>
      <c r="G1559" s="43">
        <f>IFERROR(IF(OR($G$1417="",$C$1417=""),"",($G$1417-$C$1417)*10000),"")</f>
        <v/>
      </c>
      <c r="H1559" s="43">
        <f>IFERROR(IF(OR($H$1417="",$D$1417=""),"",($H$1417-$D$1417)*10000),"")</f>
        <v/>
      </c>
      <c r="I1559" s="43">
        <f>IFERROR(IF(OR($I$1417="",$E$1417=""),"",($I$1417-$E$1417)*10000),"")</f>
        <v/>
      </c>
      <c r="J1559" s="43">
        <f>IFERROR(IF(OR($J$1417="",$F$1417=""),"",($J$1417-$F$1417)*10000),"")</f>
        <v/>
      </c>
      <c r="K1559" s="43">
        <f>IFERROR(IF(OR($K$1417="",$G$1417=""),"",($K$1417-$G$1417)*10000),"")</f>
        <v/>
      </c>
      <c r="L1559" s="43">
        <f>IFERROR(IF(OR($L$1417="",$H$1417=""),"",($L$1417-$H$1417)*10000),"")</f>
        <v/>
      </c>
      <c r="M1559" s="44">
        <f>IFERROR(IF(OR($M$1417="",$I$1417=""),"",($M$1417-$I$1417)*10000),"")</f>
        <v/>
      </c>
      <c r="N1559" s="44">
        <f>IFERROR(IF(OR($N$1417="",$J$1417=""),"",($N$1417-$J$1417)*10000),"")</f>
        <v/>
      </c>
    </row>
    <row r="1560">
      <c r="A1560" s="19">
        <f>'Semi Rev'!$A139</f>
        <v/>
      </c>
      <c r="B1560" s="19">
        <f>'Semi Rev'!$B139</f>
        <v/>
      </c>
      <c r="C1560" s="43">
        <f>""</f>
        <v/>
      </c>
      <c r="D1560" s="43">
        <f>""</f>
        <v/>
      </c>
      <c r="E1560" s="43">
        <f>""</f>
        <v/>
      </c>
      <c r="F1560" s="43">
        <f>IFERROR(IF(OR($F$1418="",IF(SUM('Semi Rev'!C139:F139)&lt;=0,"",SUM('Semi FCF'!C139:F139)/SUM('Semi Rev'!C139:F139))=""),"",($F$1418-IF(SUM('Semi Rev'!C139:F139)&lt;=0,"",SUM('Semi FCF'!C139:F139)/SUM('Semi Rev'!C139:F139)))*10000),"")</f>
        <v/>
      </c>
      <c r="G1560" s="43">
        <f>IFERROR(IF(OR($G$1418="",$C$1418=""),"",($G$1418-$C$1418)*10000),"")</f>
        <v/>
      </c>
      <c r="H1560" s="43">
        <f>IFERROR(IF(OR($H$1418="",$D$1418=""),"",($H$1418-$D$1418)*10000),"")</f>
        <v/>
      </c>
      <c r="I1560" s="43">
        <f>IFERROR(IF(OR($I$1418="",$E$1418=""),"",($I$1418-$E$1418)*10000),"")</f>
        <v/>
      </c>
      <c r="J1560" s="43">
        <f>IFERROR(IF(OR($J$1418="",$F$1418=""),"",($J$1418-$F$1418)*10000),"")</f>
        <v/>
      </c>
      <c r="K1560" s="43">
        <f>IFERROR(IF(OR($K$1418="",$G$1418=""),"",($K$1418-$G$1418)*10000),"")</f>
        <v/>
      </c>
      <c r="L1560" s="43">
        <f>IFERROR(IF(OR($L$1418="",$H$1418=""),"",($L$1418-$H$1418)*10000),"")</f>
        <v/>
      </c>
      <c r="M1560" s="44">
        <f>IFERROR(IF(OR($M$1418="",$I$1418=""),"",($M$1418-$I$1418)*10000),"")</f>
        <v/>
      </c>
      <c r="N1560" s="44">
        <f>IFERROR(IF(OR($N$1418="",$J$1418=""),"",($N$1418-$J$1418)*10000),"")</f>
        <v/>
      </c>
    </row>
    <row r="1561">
      <c r="A1561" s="19">
        <f>'Semi Rev'!$A140</f>
        <v/>
      </c>
      <c r="B1561" s="19">
        <f>'Semi Rev'!$B140</f>
        <v/>
      </c>
      <c r="C1561" s="43">
        <f>""</f>
        <v/>
      </c>
      <c r="D1561" s="43">
        <f>""</f>
        <v/>
      </c>
      <c r="E1561" s="43">
        <f>""</f>
        <v/>
      </c>
      <c r="F1561" s="43">
        <f>IFERROR(IF(OR($F$1419="",IF(SUM('Semi Rev'!C140:F140)&lt;=0,"",SUM('Semi FCF'!C140:F140)/SUM('Semi Rev'!C140:F140))=""),"",($F$1419-IF(SUM('Semi Rev'!C140:F140)&lt;=0,"",SUM('Semi FCF'!C140:F140)/SUM('Semi Rev'!C140:F140)))*10000),"")</f>
        <v/>
      </c>
      <c r="G1561" s="43">
        <f>IFERROR(IF(OR($G$1419="",$C$1419=""),"",($G$1419-$C$1419)*10000),"")</f>
        <v/>
      </c>
      <c r="H1561" s="43">
        <f>IFERROR(IF(OR($H$1419="",$D$1419=""),"",($H$1419-$D$1419)*10000),"")</f>
        <v/>
      </c>
      <c r="I1561" s="43">
        <f>IFERROR(IF(OR($I$1419="",$E$1419=""),"",($I$1419-$E$1419)*10000),"")</f>
        <v/>
      </c>
      <c r="J1561" s="43">
        <f>IFERROR(IF(OR($J$1419="",$F$1419=""),"",($J$1419-$F$1419)*10000),"")</f>
        <v/>
      </c>
      <c r="K1561" s="43">
        <f>IFERROR(IF(OR($K$1419="",$G$1419=""),"",($K$1419-$G$1419)*10000),"")</f>
        <v/>
      </c>
      <c r="L1561" s="43">
        <f>IFERROR(IF(OR($L$1419="",$H$1419=""),"",($L$1419-$H$1419)*10000),"")</f>
        <v/>
      </c>
      <c r="M1561" s="44">
        <f>IFERROR(IF(OR($M$1419="",$I$1419=""),"",($M$1419-$I$1419)*10000),"")</f>
        <v/>
      </c>
      <c r="N1561" s="44">
        <f>IFERROR(IF(OR($N$1419="",$J$1419=""),"",($N$1419-$J$1419)*10000),"")</f>
        <v/>
      </c>
    </row>
    <row r="1562">
      <c r="A1562" s="19">
        <f>'Semi Rev'!$A141</f>
        <v/>
      </c>
      <c r="B1562" s="19">
        <f>'Semi Rev'!$B141</f>
        <v/>
      </c>
      <c r="C1562" s="43">
        <f>""</f>
        <v/>
      </c>
      <c r="D1562" s="43">
        <f>""</f>
        <v/>
      </c>
      <c r="E1562" s="43">
        <f>""</f>
        <v/>
      </c>
      <c r="F1562" s="43">
        <f>IFERROR(IF(OR($F$1420="",IF(SUM('Semi Rev'!C141:F141)&lt;=0,"",SUM('Semi FCF'!C141:F141)/SUM('Semi Rev'!C141:F141))=""),"",($F$1420-IF(SUM('Semi Rev'!C141:F141)&lt;=0,"",SUM('Semi FCF'!C141:F141)/SUM('Semi Rev'!C141:F141)))*10000),"")</f>
        <v/>
      </c>
      <c r="G1562" s="43">
        <f>IFERROR(IF(OR($G$1420="",$C$1420=""),"",($G$1420-$C$1420)*10000),"")</f>
        <v/>
      </c>
      <c r="H1562" s="43">
        <f>IFERROR(IF(OR($H$1420="",$D$1420=""),"",($H$1420-$D$1420)*10000),"")</f>
        <v/>
      </c>
      <c r="I1562" s="43">
        <f>IFERROR(IF(OR($I$1420="",$E$1420=""),"",($I$1420-$E$1420)*10000),"")</f>
        <v/>
      </c>
      <c r="J1562" s="43">
        <f>IFERROR(IF(OR($J$1420="",$F$1420=""),"",($J$1420-$F$1420)*10000),"")</f>
        <v/>
      </c>
      <c r="K1562" s="43">
        <f>IFERROR(IF(OR($K$1420="",$G$1420=""),"",($K$1420-$G$1420)*10000),"")</f>
        <v/>
      </c>
      <c r="L1562" s="43">
        <f>IFERROR(IF(OR($L$1420="",$H$1420=""),"",($L$1420-$H$1420)*10000),"")</f>
        <v/>
      </c>
      <c r="M1562" s="44">
        <f>IFERROR(IF(OR($M$1420="",$I$1420=""),"",($M$1420-$I$1420)*10000),"")</f>
        <v/>
      </c>
      <c r="N1562" s="44">
        <f>IFERROR(IF(OR($N$1420="",$J$1420=""),"",($N$1420-$J$1420)*10000),"")</f>
        <v/>
      </c>
    </row>
    <row r="1563">
      <c r="A1563" s="19">
        <f>'Semi Rev'!$A142</f>
        <v/>
      </c>
      <c r="B1563" s="19">
        <f>'Semi Rev'!$B142</f>
        <v/>
      </c>
      <c r="C1563" s="43">
        <f>""</f>
        <v/>
      </c>
      <c r="D1563" s="43">
        <f>""</f>
        <v/>
      </c>
      <c r="E1563" s="43">
        <f>""</f>
        <v/>
      </c>
      <c r="F1563" s="43">
        <f>IFERROR(IF(OR($F$1421="",IF(SUM('Semi Rev'!C142:F142)&lt;=0,"",SUM('Semi FCF'!C142:F142)/SUM('Semi Rev'!C142:F142))=""),"",($F$1421-IF(SUM('Semi Rev'!C142:F142)&lt;=0,"",SUM('Semi FCF'!C142:F142)/SUM('Semi Rev'!C142:F142)))*10000),"")</f>
        <v/>
      </c>
      <c r="G1563" s="43">
        <f>IFERROR(IF(OR($G$1421="",$C$1421=""),"",($G$1421-$C$1421)*10000),"")</f>
        <v/>
      </c>
      <c r="H1563" s="43">
        <f>IFERROR(IF(OR($H$1421="",$D$1421=""),"",($H$1421-$D$1421)*10000),"")</f>
        <v/>
      </c>
      <c r="I1563" s="43">
        <f>IFERROR(IF(OR($I$1421="",$E$1421=""),"",($I$1421-$E$1421)*10000),"")</f>
        <v/>
      </c>
      <c r="J1563" s="43">
        <f>IFERROR(IF(OR($J$1421="",$F$1421=""),"",($J$1421-$F$1421)*10000),"")</f>
        <v/>
      </c>
      <c r="K1563" s="43">
        <f>IFERROR(IF(OR($K$1421="",$G$1421=""),"",($K$1421-$G$1421)*10000),"")</f>
        <v/>
      </c>
      <c r="L1563" s="43">
        <f>IFERROR(IF(OR($L$1421="",$H$1421=""),"",($L$1421-$H$1421)*10000),"")</f>
        <v/>
      </c>
      <c r="M1563" s="44">
        <f>IFERROR(IF(OR($M$1421="",$I$1421=""),"",($M$1421-$I$1421)*10000),"")</f>
        <v/>
      </c>
      <c r="N1563" s="44">
        <f>IFERROR(IF(OR($N$1421="",$J$1421=""),"",($N$1421-$J$1421)*10000),"")</f>
        <v/>
      </c>
    </row>
    <row r="1564">
      <c r="A1564" s="19">
        <f>'Semi Rev'!$A143</f>
        <v/>
      </c>
      <c r="B1564" s="19">
        <f>'Semi Rev'!$B143</f>
        <v/>
      </c>
      <c r="C1564" s="43">
        <f>""</f>
        <v/>
      </c>
      <c r="D1564" s="43">
        <f>""</f>
        <v/>
      </c>
      <c r="E1564" s="43">
        <f>""</f>
        <v/>
      </c>
      <c r="F1564" s="43">
        <f>IFERROR(IF(OR($F$1422="",IF(SUM('Semi Rev'!C143:F143)&lt;=0,"",SUM('Semi FCF'!C143:F143)/SUM('Semi Rev'!C143:F143))=""),"",($F$1422-IF(SUM('Semi Rev'!C143:F143)&lt;=0,"",SUM('Semi FCF'!C143:F143)/SUM('Semi Rev'!C143:F143)))*10000),"")</f>
        <v/>
      </c>
      <c r="G1564" s="43">
        <f>IFERROR(IF(OR($G$1422="",$C$1422=""),"",($G$1422-$C$1422)*10000),"")</f>
        <v/>
      </c>
      <c r="H1564" s="43">
        <f>IFERROR(IF(OR($H$1422="",$D$1422=""),"",($H$1422-$D$1422)*10000),"")</f>
        <v/>
      </c>
      <c r="I1564" s="43">
        <f>IFERROR(IF(OR($I$1422="",$E$1422=""),"",($I$1422-$E$1422)*10000),"")</f>
        <v/>
      </c>
      <c r="J1564" s="43">
        <f>IFERROR(IF(OR($J$1422="",$F$1422=""),"",($J$1422-$F$1422)*10000),"")</f>
        <v/>
      </c>
      <c r="K1564" s="43">
        <f>IFERROR(IF(OR($K$1422="",$G$1422=""),"",($K$1422-$G$1422)*10000),"")</f>
        <v/>
      </c>
      <c r="L1564" s="43">
        <f>IFERROR(IF(OR($L$1422="",$H$1422=""),"",($L$1422-$H$1422)*10000),"")</f>
        <v/>
      </c>
      <c r="M1564" s="44">
        <f>IFERROR(IF(OR($M$1422="",$I$1422=""),"",($M$1422-$I$1422)*10000),"")</f>
        <v/>
      </c>
      <c r="N1564" s="44">
        <f>IFERROR(IF(OR($N$1422="",$J$1422=""),"",($N$1422-$J$1422)*10000),"")</f>
        <v/>
      </c>
    </row>
  </sheetData>
  <conditionalFormatting sqref="C6:N144">
    <cfRule type="colorScale" priority="1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C148:N286">
    <cfRule type="colorScale" priority="2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C290:N428">
    <cfRule type="colorScale" priority="3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C432:N570">
    <cfRule type="colorScale" priority="4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C574:N712">
    <cfRule type="colorScale" priority="5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C716:N854">
    <cfRule type="colorScale" priority="6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C858:N996">
    <cfRule type="colorScale" priority="7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C1000:N1138">
    <cfRule type="colorScale" priority="8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C1142:N1280">
    <cfRule type="colorScale" priority="9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C1284:N1422">
    <cfRule type="colorScale" priority="10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C1426:N1564">
    <cfRule type="colorScale" priority="11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ED7D31"/>
    <outlinePr summaryBelow="1" summaryRight="1"/>
    <pageSetUpPr/>
  </sheetPr>
  <dimension ref="A1:Q14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2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</cols>
  <sheetData>
    <row r="1">
      <c r="A1" s="5" t="inlineStr">
        <is>
          <t>Semiconductors — NTM Consensus Estimate Revisions</t>
        </is>
      </c>
      <c r="H1" s="6" t="inlineStr">
        <is>
          <t>⚠ Cells blank? This is a LIVE Bloomberg workbook — it has no saved data until its first refresh. Open it in desktop Excel on your Bloomberg terminal PC (add-in logged in), then Bloomberg ribbon ▸ Refresh All (or Ctrl+Alt+F9), wait a few minutes, and save. See README.</t>
        </is>
      </c>
    </row>
    <row r="2">
      <c r="A2" s="7" t="inlineStr">
        <is>
          <t>NTM (blended-forward 12M, BEst 1BF) consensus revenue and EPS: current vs 1M / 3M / 6M ago. Revisions are % changes, so mixed reporting currencies do not distort them.</t>
        </is>
      </c>
    </row>
    <row r="3">
      <c r="A3" s="7" t="inlineStr">
        <is>
          <t>Source: Bloomberg BDP — BEST_SALES / BEST_EPS with BEST_FPERIOD_OVERRIDE=1BF; historical as-of via BEST_DATA_DATE_OVERRIDE (dates in row 4, driven by TODAY()).</t>
        </is>
      </c>
    </row>
    <row r="4">
      <c r="B4" s="27" t="inlineStr">
        <is>
          <t>As-of dates:</t>
        </is>
      </c>
      <c r="C4" s="53">
        <f>TODAY()</f>
        <v/>
      </c>
      <c r="D4" s="53">
        <f>EDATE($C$4,-1)</f>
        <v/>
      </c>
      <c r="E4" s="53">
        <f>EDATE($C$4,-3)</f>
        <v/>
      </c>
      <c r="F4" s="53">
        <f>EDATE($C$4,-6)</f>
        <v/>
      </c>
    </row>
    <row r="5" ht="30" customHeight="1">
      <c r="A5" s="8" t="inlineStr">
        <is>
          <t>Ticker</t>
        </is>
      </c>
      <c r="B5" s="8" t="inlineStr"/>
      <c r="C5" s="8" t="inlineStr">
        <is>
          <t>NTM Rev
(loc mm)</t>
        </is>
      </c>
      <c r="D5" s="8" t="inlineStr">
        <is>
          <t>NTM Rev
1M ago</t>
        </is>
      </c>
      <c r="E5" s="8" t="inlineStr">
        <is>
          <t>NTM Rev
3M ago</t>
        </is>
      </c>
      <c r="F5" s="8" t="inlineStr">
        <is>
          <t>NTM Rev
6M ago</t>
        </is>
      </c>
      <c r="G5" s="8" t="inlineStr">
        <is>
          <t>Rev rev
Δ1M %</t>
        </is>
      </c>
      <c r="H5" s="8" t="inlineStr">
        <is>
          <t>Rev rev
Δ3M %</t>
        </is>
      </c>
      <c r="I5" s="8" t="inlineStr">
        <is>
          <t>Rev rev
Δ6M %</t>
        </is>
      </c>
      <c r="J5" s="8" t="inlineStr"/>
      <c r="K5" s="8" t="inlineStr">
        <is>
          <t>NTM EPS</t>
        </is>
      </c>
      <c r="L5" s="8" t="inlineStr">
        <is>
          <t>NTM EPS
1M ago</t>
        </is>
      </c>
      <c r="M5" s="8" t="inlineStr">
        <is>
          <t>NTM EPS
3M ago</t>
        </is>
      </c>
      <c r="N5" s="8" t="inlineStr">
        <is>
          <t>NTM EPS
6M ago</t>
        </is>
      </c>
      <c r="O5" s="8" t="inlineStr">
        <is>
          <t>EPS rev
Δ1M %</t>
        </is>
      </c>
      <c r="P5" s="8" t="inlineStr">
        <is>
          <t>EPS rev
Δ3M %</t>
        </is>
      </c>
      <c r="Q5" s="8" t="inlineStr">
        <is>
          <t>EPS rev
Δ6M %</t>
        </is>
      </c>
    </row>
    <row r="6">
      <c r="A6" s="19">
        <f>Tickers!$D$5</f>
        <v/>
      </c>
      <c r="C6" s="30">
        <f>_xll.BDP($A6,"BEST_SALES","BEST_FPERIOD_OVERRIDE","1BF")</f>
        <v/>
      </c>
      <c r="D6" s="30">
        <f>_xll.BDP($A6,"BEST_SALES","BEST_FPERIOD_OVERRIDE","1BF","BEST_DATA_DATE_OVERRIDE",TEXT(YEAR($D$4),"0000")&amp;TEXT(MONTH($D$4),"00")&amp;TEXT(DAY($D$4),"00"))</f>
        <v/>
      </c>
      <c r="E6" s="30">
        <f>_xll.BDP($A6,"BEST_SALES","BEST_FPERIOD_OVERRIDE","1BF","BEST_DATA_DATE_OVERRIDE",TEXT(YEAR($E$4),"0000")&amp;TEXT(MONTH($E$4),"00")&amp;TEXT(DAY($E$4),"00"))</f>
        <v/>
      </c>
      <c r="F6" s="30">
        <f>_xll.BDP($A6,"BEST_SALES","BEST_FPERIOD_OVERRIDE","1BF","BEST_DATA_DATE_OVERRIDE",TEXT(YEAR($F$4),"0000")&amp;TEXT(MONTH($F$4),"00")&amp;TEXT(DAY($F$4),"00"))</f>
        <v/>
      </c>
      <c r="G6" s="22">
        <f>IFERROR(IF(AND(ISNUMBER($C6),ISNUMBER(D6),D6&lt;&gt;0),$C6/D6-1,""),"")</f>
        <v/>
      </c>
      <c r="H6" s="22">
        <f>IFERROR(IF(AND(ISNUMBER($C6),ISNUMBER(E6),E6&lt;&gt;0),$C6/E6-1,""),"")</f>
        <v/>
      </c>
      <c r="I6" s="22">
        <f>IFERROR(IF(AND(ISNUMBER($C6),ISNUMBER(F6),F6&lt;&gt;0),$C6/F6-1,""),"")</f>
        <v/>
      </c>
      <c r="K6" s="54">
        <f>_xll.BDP($A6,"BEST_EPS","BEST_FPERIOD_OVERRIDE","1BF")</f>
        <v/>
      </c>
      <c r="L6" s="54">
        <f>_xll.BDP($A6,"BEST_EPS","BEST_FPERIOD_OVERRIDE","1BF","BEST_DATA_DATE_OVERRIDE",TEXT(YEAR($D$4),"0000")&amp;TEXT(MONTH($D$4),"00")&amp;TEXT(DAY($D$4),"00"))</f>
        <v/>
      </c>
      <c r="M6" s="54">
        <f>_xll.BDP($A6,"BEST_EPS","BEST_FPERIOD_OVERRIDE","1BF","BEST_DATA_DATE_OVERRIDE",TEXT(YEAR($E$4),"0000")&amp;TEXT(MONTH($E$4),"00")&amp;TEXT(DAY($E$4),"00"))</f>
        <v/>
      </c>
      <c r="N6" s="54">
        <f>_xll.BDP($A6,"BEST_EPS","BEST_FPERIOD_OVERRIDE","1BF","BEST_DATA_DATE_OVERRIDE",TEXT(YEAR($F$4),"0000")&amp;TEXT(MONTH($F$4),"00")&amp;TEXT(DAY($F$4),"00"))</f>
        <v/>
      </c>
      <c r="O6" s="22">
        <f>IFERROR(IF(AND(ISNUMBER($K6),ISNUMBER(L6),L6&lt;&gt;0),$K6/L6-1,""),"")</f>
        <v/>
      </c>
      <c r="P6" s="22">
        <f>IFERROR(IF(AND(ISNUMBER($K6),ISNUMBER(M6),M6&lt;&gt;0),$K6/M6-1,""),"")</f>
        <v/>
      </c>
      <c r="Q6" s="22">
        <f>IFERROR(IF(AND(ISNUMBER($K6),ISNUMBER(N6),N6&lt;&gt;0),$K6/N6-1,""),"")</f>
        <v/>
      </c>
    </row>
    <row r="7">
      <c r="A7" s="19">
        <f>Tickers!$D$6</f>
        <v/>
      </c>
      <c r="C7" s="30">
        <f>_xll.BDP($A7,"BEST_SALES","BEST_FPERIOD_OVERRIDE","1BF")</f>
        <v/>
      </c>
      <c r="D7" s="30">
        <f>_xll.BDP($A7,"BEST_SALES","BEST_FPERIOD_OVERRIDE","1BF","BEST_DATA_DATE_OVERRIDE",TEXT(YEAR($D$4),"0000")&amp;TEXT(MONTH($D$4),"00")&amp;TEXT(DAY($D$4),"00"))</f>
        <v/>
      </c>
      <c r="E7" s="30">
        <f>_xll.BDP($A7,"BEST_SALES","BEST_FPERIOD_OVERRIDE","1BF","BEST_DATA_DATE_OVERRIDE",TEXT(YEAR($E$4),"0000")&amp;TEXT(MONTH($E$4),"00")&amp;TEXT(DAY($E$4),"00"))</f>
        <v/>
      </c>
      <c r="F7" s="30">
        <f>_xll.BDP($A7,"BEST_SALES","BEST_FPERIOD_OVERRIDE","1BF","BEST_DATA_DATE_OVERRIDE",TEXT(YEAR($F$4),"0000")&amp;TEXT(MONTH($F$4),"00")&amp;TEXT(DAY($F$4),"00"))</f>
        <v/>
      </c>
      <c r="G7" s="22">
        <f>IFERROR(IF(AND(ISNUMBER($C7),ISNUMBER(D7),D7&lt;&gt;0),$C7/D7-1,""),"")</f>
        <v/>
      </c>
      <c r="H7" s="22">
        <f>IFERROR(IF(AND(ISNUMBER($C7),ISNUMBER(E7),E7&lt;&gt;0),$C7/E7-1,""),"")</f>
        <v/>
      </c>
      <c r="I7" s="22">
        <f>IFERROR(IF(AND(ISNUMBER($C7),ISNUMBER(F7),F7&lt;&gt;0),$C7/F7-1,""),"")</f>
        <v/>
      </c>
      <c r="K7" s="54">
        <f>_xll.BDP($A7,"BEST_EPS","BEST_FPERIOD_OVERRIDE","1BF")</f>
        <v/>
      </c>
      <c r="L7" s="54">
        <f>_xll.BDP($A7,"BEST_EPS","BEST_FPERIOD_OVERRIDE","1BF","BEST_DATA_DATE_OVERRIDE",TEXT(YEAR($D$4),"0000")&amp;TEXT(MONTH($D$4),"00")&amp;TEXT(DAY($D$4),"00"))</f>
        <v/>
      </c>
      <c r="M7" s="54">
        <f>_xll.BDP($A7,"BEST_EPS","BEST_FPERIOD_OVERRIDE","1BF","BEST_DATA_DATE_OVERRIDE",TEXT(YEAR($E$4),"0000")&amp;TEXT(MONTH($E$4),"00")&amp;TEXT(DAY($E$4),"00"))</f>
        <v/>
      </c>
      <c r="N7" s="54">
        <f>_xll.BDP($A7,"BEST_EPS","BEST_FPERIOD_OVERRIDE","1BF","BEST_DATA_DATE_OVERRIDE",TEXT(YEAR($F$4),"0000")&amp;TEXT(MONTH($F$4),"00")&amp;TEXT(DAY($F$4),"00"))</f>
        <v/>
      </c>
      <c r="O7" s="22">
        <f>IFERROR(IF(AND(ISNUMBER($K7),ISNUMBER(L7),L7&lt;&gt;0),$K7/L7-1,""),"")</f>
        <v/>
      </c>
      <c r="P7" s="22">
        <f>IFERROR(IF(AND(ISNUMBER($K7),ISNUMBER(M7),M7&lt;&gt;0),$K7/M7-1,""),"")</f>
        <v/>
      </c>
      <c r="Q7" s="22">
        <f>IFERROR(IF(AND(ISNUMBER($K7),ISNUMBER(N7),N7&lt;&gt;0),$K7/N7-1,""),"")</f>
        <v/>
      </c>
    </row>
    <row r="8">
      <c r="A8" s="19">
        <f>Tickers!$D$7</f>
        <v/>
      </c>
      <c r="C8" s="30">
        <f>_xll.BDP($A8,"BEST_SALES","BEST_FPERIOD_OVERRIDE","1BF")</f>
        <v/>
      </c>
      <c r="D8" s="30">
        <f>_xll.BDP($A8,"BEST_SALES","BEST_FPERIOD_OVERRIDE","1BF","BEST_DATA_DATE_OVERRIDE",TEXT(YEAR($D$4),"0000")&amp;TEXT(MONTH($D$4),"00")&amp;TEXT(DAY($D$4),"00"))</f>
        <v/>
      </c>
      <c r="E8" s="30">
        <f>_xll.BDP($A8,"BEST_SALES","BEST_FPERIOD_OVERRIDE","1BF","BEST_DATA_DATE_OVERRIDE",TEXT(YEAR($E$4),"0000")&amp;TEXT(MONTH($E$4),"00")&amp;TEXT(DAY($E$4),"00"))</f>
        <v/>
      </c>
      <c r="F8" s="30">
        <f>_xll.BDP($A8,"BEST_SALES","BEST_FPERIOD_OVERRIDE","1BF","BEST_DATA_DATE_OVERRIDE",TEXT(YEAR($F$4),"0000")&amp;TEXT(MONTH($F$4),"00")&amp;TEXT(DAY($F$4),"00"))</f>
        <v/>
      </c>
      <c r="G8" s="22">
        <f>IFERROR(IF(AND(ISNUMBER($C8),ISNUMBER(D8),D8&lt;&gt;0),$C8/D8-1,""),"")</f>
        <v/>
      </c>
      <c r="H8" s="22">
        <f>IFERROR(IF(AND(ISNUMBER($C8),ISNUMBER(E8),E8&lt;&gt;0),$C8/E8-1,""),"")</f>
        <v/>
      </c>
      <c r="I8" s="22">
        <f>IFERROR(IF(AND(ISNUMBER($C8),ISNUMBER(F8),F8&lt;&gt;0),$C8/F8-1,""),"")</f>
        <v/>
      </c>
      <c r="K8" s="54">
        <f>_xll.BDP($A8,"BEST_EPS","BEST_FPERIOD_OVERRIDE","1BF")</f>
        <v/>
      </c>
      <c r="L8" s="54">
        <f>_xll.BDP($A8,"BEST_EPS","BEST_FPERIOD_OVERRIDE","1BF","BEST_DATA_DATE_OVERRIDE",TEXT(YEAR($D$4),"0000")&amp;TEXT(MONTH($D$4),"00")&amp;TEXT(DAY($D$4),"00"))</f>
        <v/>
      </c>
      <c r="M8" s="54">
        <f>_xll.BDP($A8,"BEST_EPS","BEST_FPERIOD_OVERRIDE","1BF","BEST_DATA_DATE_OVERRIDE",TEXT(YEAR($E$4),"0000")&amp;TEXT(MONTH($E$4),"00")&amp;TEXT(DAY($E$4),"00"))</f>
        <v/>
      </c>
      <c r="N8" s="54">
        <f>_xll.BDP($A8,"BEST_EPS","BEST_FPERIOD_OVERRIDE","1BF","BEST_DATA_DATE_OVERRIDE",TEXT(YEAR($F$4),"0000")&amp;TEXT(MONTH($F$4),"00")&amp;TEXT(DAY($F$4),"00"))</f>
        <v/>
      </c>
      <c r="O8" s="22">
        <f>IFERROR(IF(AND(ISNUMBER($K8),ISNUMBER(L8),L8&lt;&gt;0),$K8/L8-1,""),"")</f>
        <v/>
      </c>
      <c r="P8" s="22">
        <f>IFERROR(IF(AND(ISNUMBER($K8),ISNUMBER(M8),M8&lt;&gt;0),$K8/M8-1,""),"")</f>
        <v/>
      </c>
      <c r="Q8" s="22">
        <f>IFERROR(IF(AND(ISNUMBER($K8),ISNUMBER(N8),N8&lt;&gt;0),$K8/N8-1,""),"")</f>
        <v/>
      </c>
    </row>
    <row r="9">
      <c r="A9" s="19">
        <f>Tickers!$D$8</f>
        <v/>
      </c>
      <c r="C9" s="30">
        <f>_xll.BDP($A9,"BEST_SALES","BEST_FPERIOD_OVERRIDE","1BF")</f>
        <v/>
      </c>
      <c r="D9" s="30">
        <f>_xll.BDP($A9,"BEST_SALES","BEST_FPERIOD_OVERRIDE","1BF","BEST_DATA_DATE_OVERRIDE",TEXT(YEAR($D$4),"0000")&amp;TEXT(MONTH($D$4),"00")&amp;TEXT(DAY($D$4),"00"))</f>
        <v/>
      </c>
      <c r="E9" s="30">
        <f>_xll.BDP($A9,"BEST_SALES","BEST_FPERIOD_OVERRIDE","1BF","BEST_DATA_DATE_OVERRIDE",TEXT(YEAR($E$4),"0000")&amp;TEXT(MONTH($E$4),"00")&amp;TEXT(DAY($E$4),"00"))</f>
        <v/>
      </c>
      <c r="F9" s="30">
        <f>_xll.BDP($A9,"BEST_SALES","BEST_FPERIOD_OVERRIDE","1BF","BEST_DATA_DATE_OVERRIDE",TEXT(YEAR($F$4),"0000")&amp;TEXT(MONTH($F$4),"00")&amp;TEXT(DAY($F$4),"00"))</f>
        <v/>
      </c>
      <c r="G9" s="22">
        <f>IFERROR(IF(AND(ISNUMBER($C9),ISNUMBER(D9),D9&lt;&gt;0),$C9/D9-1,""),"")</f>
        <v/>
      </c>
      <c r="H9" s="22">
        <f>IFERROR(IF(AND(ISNUMBER($C9),ISNUMBER(E9),E9&lt;&gt;0),$C9/E9-1,""),"")</f>
        <v/>
      </c>
      <c r="I9" s="22">
        <f>IFERROR(IF(AND(ISNUMBER($C9),ISNUMBER(F9),F9&lt;&gt;0),$C9/F9-1,""),"")</f>
        <v/>
      </c>
      <c r="K9" s="54">
        <f>_xll.BDP($A9,"BEST_EPS","BEST_FPERIOD_OVERRIDE","1BF")</f>
        <v/>
      </c>
      <c r="L9" s="54">
        <f>_xll.BDP($A9,"BEST_EPS","BEST_FPERIOD_OVERRIDE","1BF","BEST_DATA_DATE_OVERRIDE",TEXT(YEAR($D$4),"0000")&amp;TEXT(MONTH($D$4),"00")&amp;TEXT(DAY($D$4),"00"))</f>
        <v/>
      </c>
      <c r="M9" s="54">
        <f>_xll.BDP($A9,"BEST_EPS","BEST_FPERIOD_OVERRIDE","1BF","BEST_DATA_DATE_OVERRIDE",TEXT(YEAR($E$4),"0000")&amp;TEXT(MONTH($E$4),"00")&amp;TEXT(DAY($E$4),"00"))</f>
        <v/>
      </c>
      <c r="N9" s="54">
        <f>_xll.BDP($A9,"BEST_EPS","BEST_FPERIOD_OVERRIDE","1BF","BEST_DATA_DATE_OVERRIDE",TEXT(YEAR($F$4),"0000")&amp;TEXT(MONTH($F$4),"00")&amp;TEXT(DAY($F$4),"00"))</f>
        <v/>
      </c>
      <c r="O9" s="22">
        <f>IFERROR(IF(AND(ISNUMBER($K9),ISNUMBER(L9),L9&lt;&gt;0),$K9/L9-1,""),"")</f>
        <v/>
      </c>
      <c r="P9" s="22">
        <f>IFERROR(IF(AND(ISNUMBER($K9),ISNUMBER(M9),M9&lt;&gt;0),$K9/M9-1,""),"")</f>
        <v/>
      </c>
      <c r="Q9" s="22">
        <f>IFERROR(IF(AND(ISNUMBER($K9),ISNUMBER(N9),N9&lt;&gt;0),$K9/N9-1,""),"")</f>
        <v/>
      </c>
    </row>
    <row r="10">
      <c r="A10" s="19">
        <f>Tickers!$D$9</f>
        <v/>
      </c>
      <c r="C10" s="30">
        <f>_xll.BDP($A10,"BEST_SALES","BEST_FPERIOD_OVERRIDE","1BF")</f>
        <v/>
      </c>
      <c r="D10" s="30">
        <f>_xll.BDP($A10,"BEST_SALES","BEST_FPERIOD_OVERRIDE","1BF","BEST_DATA_DATE_OVERRIDE",TEXT(YEAR($D$4),"0000")&amp;TEXT(MONTH($D$4),"00")&amp;TEXT(DAY($D$4),"00"))</f>
        <v/>
      </c>
      <c r="E10" s="30">
        <f>_xll.BDP($A10,"BEST_SALES","BEST_FPERIOD_OVERRIDE","1BF","BEST_DATA_DATE_OVERRIDE",TEXT(YEAR($E$4),"0000")&amp;TEXT(MONTH($E$4),"00")&amp;TEXT(DAY($E$4),"00"))</f>
        <v/>
      </c>
      <c r="F10" s="30">
        <f>_xll.BDP($A10,"BEST_SALES","BEST_FPERIOD_OVERRIDE","1BF","BEST_DATA_DATE_OVERRIDE",TEXT(YEAR($F$4),"0000")&amp;TEXT(MONTH($F$4),"00")&amp;TEXT(DAY($F$4),"00"))</f>
        <v/>
      </c>
      <c r="G10" s="22">
        <f>IFERROR(IF(AND(ISNUMBER($C10),ISNUMBER(D10),D10&lt;&gt;0),$C10/D10-1,""),"")</f>
        <v/>
      </c>
      <c r="H10" s="22">
        <f>IFERROR(IF(AND(ISNUMBER($C10),ISNUMBER(E10),E10&lt;&gt;0),$C10/E10-1,""),"")</f>
        <v/>
      </c>
      <c r="I10" s="22">
        <f>IFERROR(IF(AND(ISNUMBER($C10),ISNUMBER(F10),F10&lt;&gt;0),$C10/F10-1,""),"")</f>
        <v/>
      </c>
      <c r="K10" s="54">
        <f>_xll.BDP($A10,"BEST_EPS","BEST_FPERIOD_OVERRIDE","1BF")</f>
        <v/>
      </c>
      <c r="L10" s="54">
        <f>_xll.BDP($A10,"BEST_EPS","BEST_FPERIOD_OVERRIDE","1BF","BEST_DATA_DATE_OVERRIDE",TEXT(YEAR($D$4),"0000")&amp;TEXT(MONTH($D$4),"00")&amp;TEXT(DAY($D$4),"00"))</f>
        <v/>
      </c>
      <c r="M10" s="54">
        <f>_xll.BDP($A10,"BEST_EPS","BEST_FPERIOD_OVERRIDE","1BF","BEST_DATA_DATE_OVERRIDE",TEXT(YEAR($E$4),"0000")&amp;TEXT(MONTH($E$4),"00")&amp;TEXT(DAY($E$4),"00"))</f>
        <v/>
      </c>
      <c r="N10" s="54">
        <f>_xll.BDP($A10,"BEST_EPS","BEST_FPERIOD_OVERRIDE","1BF","BEST_DATA_DATE_OVERRIDE",TEXT(YEAR($F$4),"0000")&amp;TEXT(MONTH($F$4),"00")&amp;TEXT(DAY($F$4),"00"))</f>
        <v/>
      </c>
      <c r="O10" s="22">
        <f>IFERROR(IF(AND(ISNUMBER($K10),ISNUMBER(L10),L10&lt;&gt;0),$K10/L10-1,""),"")</f>
        <v/>
      </c>
      <c r="P10" s="22">
        <f>IFERROR(IF(AND(ISNUMBER($K10),ISNUMBER(M10),M10&lt;&gt;0),$K10/M10-1,""),"")</f>
        <v/>
      </c>
      <c r="Q10" s="22">
        <f>IFERROR(IF(AND(ISNUMBER($K10),ISNUMBER(N10),N10&lt;&gt;0),$K10/N10-1,""),"")</f>
        <v/>
      </c>
    </row>
    <row r="11">
      <c r="A11" s="19">
        <f>Tickers!$D$10</f>
        <v/>
      </c>
      <c r="C11" s="30">
        <f>_xll.BDP($A11,"BEST_SALES","BEST_FPERIOD_OVERRIDE","1BF")</f>
        <v/>
      </c>
      <c r="D11" s="30">
        <f>_xll.BDP($A11,"BEST_SALES","BEST_FPERIOD_OVERRIDE","1BF","BEST_DATA_DATE_OVERRIDE",TEXT(YEAR($D$4),"0000")&amp;TEXT(MONTH($D$4),"00")&amp;TEXT(DAY($D$4),"00"))</f>
        <v/>
      </c>
      <c r="E11" s="30">
        <f>_xll.BDP($A11,"BEST_SALES","BEST_FPERIOD_OVERRIDE","1BF","BEST_DATA_DATE_OVERRIDE",TEXT(YEAR($E$4),"0000")&amp;TEXT(MONTH($E$4),"00")&amp;TEXT(DAY($E$4),"00"))</f>
        <v/>
      </c>
      <c r="F11" s="30">
        <f>_xll.BDP($A11,"BEST_SALES","BEST_FPERIOD_OVERRIDE","1BF","BEST_DATA_DATE_OVERRIDE",TEXT(YEAR($F$4),"0000")&amp;TEXT(MONTH($F$4),"00")&amp;TEXT(DAY($F$4),"00"))</f>
        <v/>
      </c>
      <c r="G11" s="22">
        <f>IFERROR(IF(AND(ISNUMBER($C11),ISNUMBER(D11),D11&lt;&gt;0),$C11/D11-1,""),"")</f>
        <v/>
      </c>
      <c r="H11" s="22">
        <f>IFERROR(IF(AND(ISNUMBER($C11),ISNUMBER(E11),E11&lt;&gt;0),$C11/E11-1,""),"")</f>
        <v/>
      </c>
      <c r="I11" s="22">
        <f>IFERROR(IF(AND(ISNUMBER($C11),ISNUMBER(F11),F11&lt;&gt;0),$C11/F11-1,""),"")</f>
        <v/>
      </c>
      <c r="K11" s="54">
        <f>_xll.BDP($A11,"BEST_EPS","BEST_FPERIOD_OVERRIDE","1BF")</f>
        <v/>
      </c>
      <c r="L11" s="54">
        <f>_xll.BDP($A11,"BEST_EPS","BEST_FPERIOD_OVERRIDE","1BF","BEST_DATA_DATE_OVERRIDE",TEXT(YEAR($D$4),"0000")&amp;TEXT(MONTH($D$4),"00")&amp;TEXT(DAY($D$4),"00"))</f>
        <v/>
      </c>
      <c r="M11" s="54">
        <f>_xll.BDP($A11,"BEST_EPS","BEST_FPERIOD_OVERRIDE","1BF","BEST_DATA_DATE_OVERRIDE",TEXT(YEAR($E$4),"0000")&amp;TEXT(MONTH($E$4),"00")&amp;TEXT(DAY($E$4),"00"))</f>
        <v/>
      </c>
      <c r="N11" s="54">
        <f>_xll.BDP($A11,"BEST_EPS","BEST_FPERIOD_OVERRIDE","1BF","BEST_DATA_DATE_OVERRIDE",TEXT(YEAR($F$4),"0000")&amp;TEXT(MONTH($F$4),"00")&amp;TEXT(DAY($F$4),"00"))</f>
        <v/>
      </c>
      <c r="O11" s="22">
        <f>IFERROR(IF(AND(ISNUMBER($K11),ISNUMBER(L11),L11&lt;&gt;0),$K11/L11-1,""),"")</f>
        <v/>
      </c>
      <c r="P11" s="22">
        <f>IFERROR(IF(AND(ISNUMBER($K11),ISNUMBER(M11),M11&lt;&gt;0),$K11/M11-1,""),"")</f>
        <v/>
      </c>
      <c r="Q11" s="22">
        <f>IFERROR(IF(AND(ISNUMBER($K11),ISNUMBER(N11),N11&lt;&gt;0),$K11/N11-1,""),"")</f>
        <v/>
      </c>
    </row>
    <row r="12">
      <c r="A12" s="19">
        <f>Tickers!$D$11</f>
        <v/>
      </c>
      <c r="C12" s="30">
        <f>_xll.BDP($A12,"BEST_SALES","BEST_FPERIOD_OVERRIDE","1BF")</f>
        <v/>
      </c>
      <c r="D12" s="30">
        <f>_xll.BDP($A12,"BEST_SALES","BEST_FPERIOD_OVERRIDE","1BF","BEST_DATA_DATE_OVERRIDE",TEXT(YEAR($D$4),"0000")&amp;TEXT(MONTH($D$4),"00")&amp;TEXT(DAY($D$4),"00"))</f>
        <v/>
      </c>
      <c r="E12" s="30">
        <f>_xll.BDP($A12,"BEST_SALES","BEST_FPERIOD_OVERRIDE","1BF","BEST_DATA_DATE_OVERRIDE",TEXT(YEAR($E$4),"0000")&amp;TEXT(MONTH($E$4),"00")&amp;TEXT(DAY($E$4),"00"))</f>
        <v/>
      </c>
      <c r="F12" s="30">
        <f>_xll.BDP($A12,"BEST_SALES","BEST_FPERIOD_OVERRIDE","1BF","BEST_DATA_DATE_OVERRIDE",TEXT(YEAR($F$4),"0000")&amp;TEXT(MONTH($F$4),"00")&amp;TEXT(DAY($F$4),"00"))</f>
        <v/>
      </c>
      <c r="G12" s="22">
        <f>IFERROR(IF(AND(ISNUMBER($C12),ISNUMBER(D12),D12&lt;&gt;0),$C12/D12-1,""),"")</f>
        <v/>
      </c>
      <c r="H12" s="22">
        <f>IFERROR(IF(AND(ISNUMBER($C12),ISNUMBER(E12),E12&lt;&gt;0),$C12/E12-1,""),"")</f>
        <v/>
      </c>
      <c r="I12" s="22">
        <f>IFERROR(IF(AND(ISNUMBER($C12),ISNUMBER(F12),F12&lt;&gt;0),$C12/F12-1,""),"")</f>
        <v/>
      </c>
      <c r="K12" s="54">
        <f>_xll.BDP($A12,"BEST_EPS","BEST_FPERIOD_OVERRIDE","1BF")</f>
        <v/>
      </c>
      <c r="L12" s="54">
        <f>_xll.BDP($A12,"BEST_EPS","BEST_FPERIOD_OVERRIDE","1BF","BEST_DATA_DATE_OVERRIDE",TEXT(YEAR($D$4),"0000")&amp;TEXT(MONTH($D$4),"00")&amp;TEXT(DAY($D$4),"00"))</f>
        <v/>
      </c>
      <c r="M12" s="54">
        <f>_xll.BDP($A12,"BEST_EPS","BEST_FPERIOD_OVERRIDE","1BF","BEST_DATA_DATE_OVERRIDE",TEXT(YEAR($E$4),"0000")&amp;TEXT(MONTH($E$4),"00")&amp;TEXT(DAY($E$4),"00"))</f>
        <v/>
      </c>
      <c r="N12" s="54">
        <f>_xll.BDP($A12,"BEST_EPS","BEST_FPERIOD_OVERRIDE","1BF","BEST_DATA_DATE_OVERRIDE",TEXT(YEAR($F$4),"0000")&amp;TEXT(MONTH($F$4),"00")&amp;TEXT(DAY($F$4),"00"))</f>
        <v/>
      </c>
      <c r="O12" s="22">
        <f>IFERROR(IF(AND(ISNUMBER($K12),ISNUMBER(L12),L12&lt;&gt;0),$K12/L12-1,""),"")</f>
        <v/>
      </c>
      <c r="P12" s="22">
        <f>IFERROR(IF(AND(ISNUMBER($K12),ISNUMBER(M12),M12&lt;&gt;0),$K12/M12-1,""),"")</f>
        <v/>
      </c>
      <c r="Q12" s="22">
        <f>IFERROR(IF(AND(ISNUMBER($K12),ISNUMBER(N12),N12&lt;&gt;0),$K12/N12-1,""),"")</f>
        <v/>
      </c>
    </row>
    <row r="13">
      <c r="A13" s="19">
        <f>Tickers!$D$12</f>
        <v/>
      </c>
      <c r="C13" s="30">
        <f>_xll.BDP($A13,"BEST_SALES","BEST_FPERIOD_OVERRIDE","1BF")</f>
        <v/>
      </c>
      <c r="D13" s="30">
        <f>_xll.BDP($A13,"BEST_SALES","BEST_FPERIOD_OVERRIDE","1BF","BEST_DATA_DATE_OVERRIDE",TEXT(YEAR($D$4),"0000")&amp;TEXT(MONTH($D$4),"00")&amp;TEXT(DAY($D$4),"00"))</f>
        <v/>
      </c>
      <c r="E13" s="30">
        <f>_xll.BDP($A13,"BEST_SALES","BEST_FPERIOD_OVERRIDE","1BF","BEST_DATA_DATE_OVERRIDE",TEXT(YEAR($E$4),"0000")&amp;TEXT(MONTH($E$4),"00")&amp;TEXT(DAY($E$4),"00"))</f>
        <v/>
      </c>
      <c r="F13" s="30">
        <f>_xll.BDP($A13,"BEST_SALES","BEST_FPERIOD_OVERRIDE","1BF","BEST_DATA_DATE_OVERRIDE",TEXT(YEAR($F$4),"0000")&amp;TEXT(MONTH($F$4),"00")&amp;TEXT(DAY($F$4),"00"))</f>
        <v/>
      </c>
      <c r="G13" s="22">
        <f>IFERROR(IF(AND(ISNUMBER($C13),ISNUMBER(D13),D13&lt;&gt;0),$C13/D13-1,""),"")</f>
        <v/>
      </c>
      <c r="H13" s="22">
        <f>IFERROR(IF(AND(ISNUMBER($C13),ISNUMBER(E13),E13&lt;&gt;0),$C13/E13-1,""),"")</f>
        <v/>
      </c>
      <c r="I13" s="22">
        <f>IFERROR(IF(AND(ISNUMBER($C13),ISNUMBER(F13),F13&lt;&gt;0),$C13/F13-1,""),"")</f>
        <v/>
      </c>
      <c r="K13" s="54">
        <f>_xll.BDP($A13,"BEST_EPS","BEST_FPERIOD_OVERRIDE","1BF")</f>
        <v/>
      </c>
      <c r="L13" s="54">
        <f>_xll.BDP($A13,"BEST_EPS","BEST_FPERIOD_OVERRIDE","1BF","BEST_DATA_DATE_OVERRIDE",TEXT(YEAR($D$4),"0000")&amp;TEXT(MONTH($D$4),"00")&amp;TEXT(DAY($D$4),"00"))</f>
        <v/>
      </c>
      <c r="M13" s="54">
        <f>_xll.BDP($A13,"BEST_EPS","BEST_FPERIOD_OVERRIDE","1BF","BEST_DATA_DATE_OVERRIDE",TEXT(YEAR($E$4),"0000")&amp;TEXT(MONTH($E$4),"00")&amp;TEXT(DAY($E$4),"00"))</f>
        <v/>
      </c>
      <c r="N13" s="54">
        <f>_xll.BDP($A13,"BEST_EPS","BEST_FPERIOD_OVERRIDE","1BF","BEST_DATA_DATE_OVERRIDE",TEXT(YEAR($F$4),"0000")&amp;TEXT(MONTH($F$4),"00")&amp;TEXT(DAY($F$4),"00"))</f>
        <v/>
      </c>
      <c r="O13" s="22">
        <f>IFERROR(IF(AND(ISNUMBER($K13),ISNUMBER(L13),L13&lt;&gt;0),$K13/L13-1,""),"")</f>
        <v/>
      </c>
      <c r="P13" s="22">
        <f>IFERROR(IF(AND(ISNUMBER($K13),ISNUMBER(M13),M13&lt;&gt;0),$K13/M13-1,""),"")</f>
        <v/>
      </c>
      <c r="Q13" s="22">
        <f>IFERROR(IF(AND(ISNUMBER($K13),ISNUMBER(N13),N13&lt;&gt;0),$K13/N13-1,""),"")</f>
        <v/>
      </c>
    </row>
    <row r="14">
      <c r="A14" s="19">
        <f>Tickers!$D$13</f>
        <v/>
      </c>
      <c r="C14" s="30">
        <f>_xll.BDP($A14,"BEST_SALES","BEST_FPERIOD_OVERRIDE","1BF")</f>
        <v/>
      </c>
      <c r="D14" s="30">
        <f>_xll.BDP($A14,"BEST_SALES","BEST_FPERIOD_OVERRIDE","1BF","BEST_DATA_DATE_OVERRIDE",TEXT(YEAR($D$4),"0000")&amp;TEXT(MONTH($D$4),"00")&amp;TEXT(DAY($D$4),"00"))</f>
        <v/>
      </c>
      <c r="E14" s="30">
        <f>_xll.BDP($A14,"BEST_SALES","BEST_FPERIOD_OVERRIDE","1BF","BEST_DATA_DATE_OVERRIDE",TEXT(YEAR($E$4),"0000")&amp;TEXT(MONTH($E$4),"00")&amp;TEXT(DAY($E$4),"00"))</f>
        <v/>
      </c>
      <c r="F14" s="30">
        <f>_xll.BDP($A14,"BEST_SALES","BEST_FPERIOD_OVERRIDE","1BF","BEST_DATA_DATE_OVERRIDE",TEXT(YEAR($F$4),"0000")&amp;TEXT(MONTH($F$4),"00")&amp;TEXT(DAY($F$4),"00"))</f>
        <v/>
      </c>
      <c r="G14" s="22">
        <f>IFERROR(IF(AND(ISNUMBER($C14),ISNUMBER(D14),D14&lt;&gt;0),$C14/D14-1,""),"")</f>
        <v/>
      </c>
      <c r="H14" s="22">
        <f>IFERROR(IF(AND(ISNUMBER($C14),ISNUMBER(E14),E14&lt;&gt;0),$C14/E14-1,""),"")</f>
        <v/>
      </c>
      <c r="I14" s="22">
        <f>IFERROR(IF(AND(ISNUMBER($C14),ISNUMBER(F14),F14&lt;&gt;0),$C14/F14-1,""),"")</f>
        <v/>
      </c>
      <c r="K14" s="54">
        <f>_xll.BDP($A14,"BEST_EPS","BEST_FPERIOD_OVERRIDE","1BF")</f>
        <v/>
      </c>
      <c r="L14" s="54">
        <f>_xll.BDP($A14,"BEST_EPS","BEST_FPERIOD_OVERRIDE","1BF","BEST_DATA_DATE_OVERRIDE",TEXT(YEAR($D$4),"0000")&amp;TEXT(MONTH($D$4),"00")&amp;TEXT(DAY($D$4),"00"))</f>
        <v/>
      </c>
      <c r="M14" s="54">
        <f>_xll.BDP($A14,"BEST_EPS","BEST_FPERIOD_OVERRIDE","1BF","BEST_DATA_DATE_OVERRIDE",TEXT(YEAR($E$4),"0000")&amp;TEXT(MONTH($E$4),"00")&amp;TEXT(DAY($E$4),"00"))</f>
        <v/>
      </c>
      <c r="N14" s="54">
        <f>_xll.BDP($A14,"BEST_EPS","BEST_FPERIOD_OVERRIDE","1BF","BEST_DATA_DATE_OVERRIDE",TEXT(YEAR($F$4),"0000")&amp;TEXT(MONTH($F$4),"00")&amp;TEXT(DAY($F$4),"00"))</f>
        <v/>
      </c>
      <c r="O14" s="22">
        <f>IFERROR(IF(AND(ISNUMBER($K14),ISNUMBER(L14),L14&lt;&gt;0),$K14/L14-1,""),"")</f>
        <v/>
      </c>
      <c r="P14" s="22">
        <f>IFERROR(IF(AND(ISNUMBER($K14),ISNUMBER(M14),M14&lt;&gt;0),$K14/M14-1,""),"")</f>
        <v/>
      </c>
      <c r="Q14" s="22">
        <f>IFERROR(IF(AND(ISNUMBER($K14),ISNUMBER(N14),N14&lt;&gt;0),$K14/N14-1,""),"")</f>
        <v/>
      </c>
    </row>
    <row r="15">
      <c r="A15" s="19">
        <f>Tickers!$D$14</f>
        <v/>
      </c>
      <c r="C15" s="30">
        <f>_xll.BDP($A15,"BEST_SALES","BEST_FPERIOD_OVERRIDE","1BF")</f>
        <v/>
      </c>
      <c r="D15" s="30">
        <f>_xll.BDP($A15,"BEST_SALES","BEST_FPERIOD_OVERRIDE","1BF","BEST_DATA_DATE_OVERRIDE",TEXT(YEAR($D$4),"0000")&amp;TEXT(MONTH($D$4),"00")&amp;TEXT(DAY($D$4),"00"))</f>
        <v/>
      </c>
      <c r="E15" s="30">
        <f>_xll.BDP($A15,"BEST_SALES","BEST_FPERIOD_OVERRIDE","1BF","BEST_DATA_DATE_OVERRIDE",TEXT(YEAR($E$4),"0000")&amp;TEXT(MONTH($E$4),"00")&amp;TEXT(DAY($E$4),"00"))</f>
        <v/>
      </c>
      <c r="F15" s="30">
        <f>_xll.BDP($A15,"BEST_SALES","BEST_FPERIOD_OVERRIDE","1BF","BEST_DATA_DATE_OVERRIDE",TEXT(YEAR($F$4),"0000")&amp;TEXT(MONTH($F$4),"00")&amp;TEXT(DAY($F$4),"00"))</f>
        <v/>
      </c>
      <c r="G15" s="22">
        <f>IFERROR(IF(AND(ISNUMBER($C15),ISNUMBER(D15),D15&lt;&gt;0),$C15/D15-1,""),"")</f>
        <v/>
      </c>
      <c r="H15" s="22">
        <f>IFERROR(IF(AND(ISNUMBER($C15),ISNUMBER(E15),E15&lt;&gt;0),$C15/E15-1,""),"")</f>
        <v/>
      </c>
      <c r="I15" s="22">
        <f>IFERROR(IF(AND(ISNUMBER($C15),ISNUMBER(F15),F15&lt;&gt;0),$C15/F15-1,""),"")</f>
        <v/>
      </c>
      <c r="K15" s="54">
        <f>_xll.BDP($A15,"BEST_EPS","BEST_FPERIOD_OVERRIDE","1BF")</f>
        <v/>
      </c>
      <c r="L15" s="54">
        <f>_xll.BDP($A15,"BEST_EPS","BEST_FPERIOD_OVERRIDE","1BF","BEST_DATA_DATE_OVERRIDE",TEXT(YEAR($D$4),"0000")&amp;TEXT(MONTH($D$4),"00")&amp;TEXT(DAY($D$4),"00"))</f>
        <v/>
      </c>
      <c r="M15" s="54">
        <f>_xll.BDP($A15,"BEST_EPS","BEST_FPERIOD_OVERRIDE","1BF","BEST_DATA_DATE_OVERRIDE",TEXT(YEAR($E$4),"0000")&amp;TEXT(MONTH($E$4),"00")&amp;TEXT(DAY($E$4),"00"))</f>
        <v/>
      </c>
      <c r="N15" s="54">
        <f>_xll.BDP($A15,"BEST_EPS","BEST_FPERIOD_OVERRIDE","1BF","BEST_DATA_DATE_OVERRIDE",TEXT(YEAR($F$4),"0000")&amp;TEXT(MONTH($F$4),"00")&amp;TEXT(DAY($F$4),"00"))</f>
        <v/>
      </c>
      <c r="O15" s="22">
        <f>IFERROR(IF(AND(ISNUMBER($K15),ISNUMBER(L15),L15&lt;&gt;0),$K15/L15-1,""),"")</f>
        <v/>
      </c>
      <c r="P15" s="22">
        <f>IFERROR(IF(AND(ISNUMBER($K15),ISNUMBER(M15),M15&lt;&gt;0),$K15/M15-1,""),"")</f>
        <v/>
      </c>
      <c r="Q15" s="22">
        <f>IFERROR(IF(AND(ISNUMBER($K15),ISNUMBER(N15),N15&lt;&gt;0),$K15/N15-1,""),"")</f>
        <v/>
      </c>
    </row>
    <row r="16">
      <c r="A16" s="19">
        <f>Tickers!$D$15</f>
        <v/>
      </c>
      <c r="C16" s="30">
        <f>_xll.BDP($A16,"BEST_SALES","BEST_FPERIOD_OVERRIDE","1BF")</f>
        <v/>
      </c>
      <c r="D16" s="30">
        <f>_xll.BDP($A16,"BEST_SALES","BEST_FPERIOD_OVERRIDE","1BF","BEST_DATA_DATE_OVERRIDE",TEXT(YEAR($D$4),"0000")&amp;TEXT(MONTH($D$4),"00")&amp;TEXT(DAY($D$4),"00"))</f>
        <v/>
      </c>
      <c r="E16" s="30">
        <f>_xll.BDP($A16,"BEST_SALES","BEST_FPERIOD_OVERRIDE","1BF","BEST_DATA_DATE_OVERRIDE",TEXT(YEAR($E$4),"0000")&amp;TEXT(MONTH($E$4),"00")&amp;TEXT(DAY($E$4),"00"))</f>
        <v/>
      </c>
      <c r="F16" s="30">
        <f>_xll.BDP($A16,"BEST_SALES","BEST_FPERIOD_OVERRIDE","1BF","BEST_DATA_DATE_OVERRIDE",TEXT(YEAR($F$4),"0000")&amp;TEXT(MONTH($F$4),"00")&amp;TEXT(DAY($F$4),"00"))</f>
        <v/>
      </c>
      <c r="G16" s="22">
        <f>IFERROR(IF(AND(ISNUMBER($C16),ISNUMBER(D16),D16&lt;&gt;0),$C16/D16-1,""),"")</f>
        <v/>
      </c>
      <c r="H16" s="22">
        <f>IFERROR(IF(AND(ISNUMBER($C16),ISNUMBER(E16),E16&lt;&gt;0),$C16/E16-1,""),"")</f>
        <v/>
      </c>
      <c r="I16" s="22">
        <f>IFERROR(IF(AND(ISNUMBER($C16),ISNUMBER(F16),F16&lt;&gt;0),$C16/F16-1,""),"")</f>
        <v/>
      </c>
      <c r="K16" s="54">
        <f>_xll.BDP($A16,"BEST_EPS","BEST_FPERIOD_OVERRIDE","1BF")</f>
        <v/>
      </c>
      <c r="L16" s="54">
        <f>_xll.BDP($A16,"BEST_EPS","BEST_FPERIOD_OVERRIDE","1BF","BEST_DATA_DATE_OVERRIDE",TEXT(YEAR($D$4),"0000")&amp;TEXT(MONTH($D$4),"00")&amp;TEXT(DAY($D$4),"00"))</f>
        <v/>
      </c>
      <c r="M16" s="54">
        <f>_xll.BDP($A16,"BEST_EPS","BEST_FPERIOD_OVERRIDE","1BF","BEST_DATA_DATE_OVERRIDE",TEXT(YEAR($E$4),"0000")&amp;TEXT(MONTH($E$4),"00")&amp;TEXT(DAY($E$4),"00"))</f>
        <v/>
      </c>
      <c r="N16" s="54">
        <f>_xll.BDP($A16,"BEST_EPS","BEST_FPERIOD_OVERRIDE","1BF","BEST_DATA_DATE_OVERRIDE",TEXT(YEAR($F$4),"0000")&amp;TEXT(MONTH($F$4),"00")&amp;TEXT(DAY($F$4),"00"))</f>
        <v/>
      </c>
      <c r="O16" s="22">
        <f>IFERROR(IF(AND(ISNUMBER($K16),ISNUMBER(L16),L16&lt;&gt;0),$K16/L16-1,""),"")</f>
        <v/>
      </c>
      <c r="P16" s="22">
        <f>IFERROR(IF(AND(ISNUMBER($K16),ISNUMBER(M16),M16&lt;&gt;0),$K16/M16-1,""),"")</f>
        <v/>
      </c>
      <c r="Q16" s="22">
        <f>IFERROR(IF(AND(ISNUMBER($K16),ISNUMBER(N16),N16&lt;&gt;0),$K16/N16-1,""),"")</f>
        <v/>
      </c>
    </row>
    <row r="17">
      <c r="A17" s="19">
        <f>Tickers!$D$16</f>
        <v/>
      </c>
      <c r="C17" s="30">
        <f>_xll.BDP($A17,"BEST_SALES","BEST_FPERIOD_OVERRIDE","1BF")</f>
        <v/>
      </c>
      <c r="D17" s="30">
        <f>_xll.BDP($A17,"BEST_SALES","BEST_FPERIOD_OVERRIDE","1BF","BEST_DATA_DATE_OVERRIDE",TEXT(YEAR($D$4),"0000")&amp;TEXT(MONTH($D$4),"00")&amp;TEXT(DAY($D$4),"00"))</f>
        <v/>
      </c>
      <c r="E17" s="30">
        <f>_xll.BDP($A17,"BEST_SALES","BEST_FPERIOD_OVERRIDE","1BF","BEST_DATA_DATE_OVERRIDE",TEXT(YEAR($E$4),"0000")&amp;TEXT(MONTH($E$4),"00")&amp;TEXT(DAY($E$4),"00"))</f>
        <v/>
      </c>
      <c r="F17" s="30">
        <f>_xll.BDP($A17,"BEST_SALES","BEST_FPERIOD_OVERRIDE","1BF","BEST_DATA_DATE_OVERRIDE",TEXT(YEAR($F$4),"0000")&amp;TEXT(MONTH($F$4),"00")&amp;TEXT(DAY($F$4),"00"))</f>
        <v/>
      </c>
      <c r="G17" s="22">
        <f>IFERROR(IF(AND(ISNUMBER($C17),ISNUMBER(D17),D17&lt;&gt;0),$C17/D17-1,""),"")</f>
        <v/>
      </c>
      <c r="H17" s="22">
        <f>IFERROR(IF(AND(ISNUMBER($C17),ISNUMBER(E17),E17&lt;&gt;0),$C17/E17-1,""),"")</f>
        <v/>
      </c>
      <c r="I17" s="22">
        <f>IFERROR(IF(AND(ISNUMBER($C17),ISNUMBER(F17),F17&lt;&gt;0),$C17/F17-1,""),"")</f>
        <v/>
      </c>
      <c r="K17" s="54">
        <f>_xll.BDP($A17,"BEST_EPS","BEST_FPERIOD_OVERRIDE","1BF")</f>
        <v/>
      </c>
      <c r="L17" s="54">
        <f>_xll.BDP($A17,"BEST_EPS","BEST_FPERIOD_OVERRIDE","1BF","BEST_DATA_DATE_OVERRIDE",TEXT(YEAR($D$4),"0000")&amp;TEXT(MONTH($D$4),"00")&amp;TEXT(DAY($D$4),"00"))</f>
        <v/>
      </c>
      <c r="M17" s="54">
        <f>_xll.BDP($A17,"BEST_EPS","BEST_FPERIOD_OVERRIDE","1BF","BEST_DATA_DATE_OVERRIDE",TEXT(YEAR($E$4),"0000")&amp;TEXT(MONTH($E$4),"00")&amp;TEXT(DAY($E$4),"00"))</f>
        <v/>
      </c>
      <c r="N17" s="54">
        <f>_xll.BDP($A17,"BEST_EPS","BEST_FPERIOD_OVERRIDE","1BF","BEST_DATA_DATE_OVERRIDE",TEXT(YEAR($F$4),"0000")&amp;TEXT(MONTH($F$4),"00")&amp;TEXT(DAY($F$4),"00"))</f>
        <v/>
      </c>
      <c r="O17" s="22">
        <f>IFERROR(IF(AND(ISNUMBER($K17),ISNUMBER(L17),L17&lt;&gt;0),$K17/L17-1,""),"")</f>
        <v/>
      </c>
      <c r="P17" s="22">
        <f>IFERROR(IF(AND(ISNUMBER($K17),ISNUMBER(M17),M17&lt;&gt;0),$K17/M17-1,""),"")</f>
        <v/>
      </c>
      <c r="Q17" s="22">
        <f>IFERROR(IF(AND(ISNUMBER($K17),ISNUMBER(N17),N17&lt;&gt;0),$K17/N17-1,""),"")</f>
        <v/>
      </c>
    </row>
    <row r="18">
      <c r="A18" s="19">
        <f>Tickers!$D$17</f>
        <v/>
      </c>
      <c r="C18" s="30">
        <f>_xll.BDP($A18,"BEST_SALES","BEST_FPERIOD_OVERRIDE","1BF")</f>
        <v/>
      </c>
      <c r="D18" s="30">
        <f>_xll.BDP($A18,"BEST_SALES","BEST_FPERIOD_OVERRIDE","1BF","BEST_DATA_DATE_OVERRIDE",TEXT(YEAR($D$4),"0000")&amp;TEXT(MONTH($D$4),"00")&amp;TEXT(DAY($D$4),"00"))</f>
        <v/>
      </c>
      <c r="E18" s="30">
        <f>_xll.BDP($A18,"BEST_SALES","BEST_FPERIOD_OVERRIDE","1BF","BEST_DATA_DATE_OVERRIDE",TEXT(YEAR($E$4),"0000")&amp;TEXT(MONTH($E$4),"00")&amp;TEXT(DAY($E$4),"00"))</f>
        <v/>
      </c>
      <c r="F18" s="30">
        <f>_xll.BDP($A18,"BEST_SALES","BEST_FPERIOD_OVERRIDE","1BF","BEST_DATA_DATE_OVERRIDE",TEXT(YEAR($F$4),"0000")&amp;TEXT(MONTH($F$4),"00")&amp;TEXT(DAY($F$4),"00"))</f>
        <v/>
      </c>
      <c r="G18" s="22">
        <f>IFERROR(IF(AND(ISNUMBER($C18),ISNUMBER(D18),D18&lt;&gt;0),$C18/D18-1,""),"")</f>
        <v/>
      </c>
      <c r="H18" s="22">
        <f>IFERROR(IF(AND(ISNUMBER($C18),ISNUMBER(E18),E18&lt;&gt;0),$C18/E18-1,""),"")</f>
        <v/>
      </c>
      <c r="I18" s="22">
        <f>IFERROR(IF(AND(ISNUMBER($C18),ISNUMBER(F18),F18&lt;&gt;0),$C18/F18-1,""),"")</f>
        <v/>
      </c>
      <c r="K18" s="54">
        <f>_xll.BDP($A18,"BEST_EPS","BEST_FPERIOD_OVERRIDE","1BF")</f>
        <v/>
      </c>
      <c r="L18" s="54">
        <f>_xll.BDP($A18,"BEST_EPS","BEST_FPERIOD_OVERRIDE","1BF","BEST_DATA_DATE_OVERRIDE",TEXT(YEAR($D$4),"0000")&amp;TEXT(MONTH($D$4),"00")&amp;TEXT(DAY($D$4),"00"))</f>
        <v/>
      </c>
      <c r="M18" s="54">
        <f>_xll.BDP($A18,"BEST_EPS","BEST_FPERIOD_OVERRIDE","1BF","BEST_DATA_DATE_OVERRIDE",TEXT(YEAR($E$4),"0000")&amp;TEXT(MONTH($E$4),"00")&amp;TEXT(DAY($E$4),"00"))</f>
        <v/>
      </c>
      <c r="N18" s="54">
        <f>_xll.BDP($A18,"BEST_EPS","BEST_FPERIOD_OVERRIDE","1BF","BEST_DATA_DATE_OVERRIDE",TEXT(YEAR($F$4),"0000")&amp;TEXT(MONTH($F$4),"00")&amp;TEXT(DAY($F$4),"00"))</f>
        <v/>
      </c>
      <c r="O18" s="22">
        <f>IFERROR(IF(AND(ISNUMBER($K18),ISNUMBER(L18),L18&lt;&gt;0),$K18/L18-1,""),"")</f>
        <v/>
      </c>
      <c r="P18" s="22">
        <f>IFERROR(IF(AND(ISNUMBER($K18),ISNUMBER(M18),M18&lt;&gt;0),$K18/M18-1,""),"")</f>
        <v/>
      </c>
      <c r="Q18" s="22">
        <f>IFERROR(IF(AND(ISNUMBER($K18),ISNUMBER(N18),N18&lt;&gt;0),$K18/N18-1,""),"")</f>
        <v/>
      </c>
    </row>
    <row r="19">
      <c r="A19" s="19">
        <f>Tickers!$D$18</f>
        <v/>
      </c>
      <c r="C19" s="30">
        <f>_xll.BDP($A19,"BEST_SALES","BEST_FPERIOD_OVERRIDE","1BF")</f>
        <v/>
      </c>
      <c r="D19" s="30">
        <f>_xll.BDP($A19,"BEST_SALES","BEST_FPERIOD_OVERRIDE","1BF","BEST_DATA_DATE_OVERRIDE",TEXT(YEAR($D$4),"0000")&amp;TEXT(MONTH($D$4),"00")&amp;TEXT(DAY($D$4),"00"))</f>
        <v/>
      </c>
      <c r="E19" s="30">
        <f>_xll.BDP($A19,"BEST_SALES","BEST_FPERIOD_OVERRIDE","1BF","BEST_DATA_DATE_OVERRIDE",TEXT(YEAR($E$4),"0000")&amp;TEXT(MONTH($E$4),"00")&amp;TEXT(DAY($E$4),"00"))</f>
        <v/>
      </c>
      <c r="F19" s="30">
        <f>_xll.BDP($A19,"BEST_SALES","BEST_FPERIOD_OVERRIDE","1BF","BEST_DATA_DATE_OVERRIDE",TEXT(YEAR($F$4),"0000")&amp;TEXT(MONTH($F$4),"00")&amp;TEXT(DAY($F$4),"00"))</f>
        <v/>
      </c>
      <c r="G19" s="22">
        <f>IFERROR(IF(AND(ISNUMBER($C19),ISNUMBER(D19),D19&lt;&gt;0),$C19/D19-1,""),"")</f>
        <v/>
      </c>
      <c r="H19" s="22">
        <f>IFERROR(IF(AND(ISNUMBER($C19),ISNUMBER(E19),E19&lt;&gt;0),$C19/E19-1,""),"")</f>
        <v/>
      </c>
      <c r="I19" s="22">
        <f>IFERROR(IF(AND(ISNUMBER($C19),ISNUMBER(F19),F19&lt;&gt;0),$C19/F19-1,""),"")</f>
        <v/>
      </c>
      <c r="K19" s="54">
        <f>_xll.BDP($A19,"BEST_EPS","BEST_FPERIOD_OVERRIDE","1BF")</f>
        <v/>
      </c>
      <c r="L19" s="54">
        <f>_xll.BDP($A19,"BEST_EPS","BEST_FPERIOD_OVERRIDE","1BF","BEST_DATA_DATE_OVERRIDE",TEXT(YEAR($D$4),"0000")&amp;TEXT(MONTH($D$4),"00")&amp;TEXT(DAY($D$4),"00"))</f>
        <v/>
      </c>
      <c r="M19" s="54">
        <f>_xll.BDP($A19,"BEST_EPS","BEST_FPERIOD_OVERRIDE","1BF","BEST_DATA_DATE_OVERRIDE",TEXT(YEAR($E$4),"0000")&amp;TEXT(MONTH($E$4),"00")&amp;TEXT(DAY($E$4),"00"))</f>
        <v/>
      </c>
      <c r="N19" s="54">
        <f>_xll.BDP($A19,"BEST_EPS","BEST_FPERIOD_OVERRIDE","1BF","BEST_DATA_DATE_OVERRIDE",TEXT(YEAR($F$4),"0000")&amp;TEXT(MONTH($F$4),"00")&amp;TEXT(DAY($F$4),"00"))</f>
        <v/>
      </c>
      <c r="O19" s="22">
        <f>IFERROR(IF(AND(ISNUMBER($K19),ISNUMBER(L19),L19&lt;&gt;0),$K19/L19-1,""),"")</f>
        <v/>
      </c>
      <c r="P19" s="22">
        <f>IFERROR(IF(AND(ISNUMBER($K19),ISNUMBER(M19),M19&lt;&gt;0),$K19/M19-1,""),"")</f>
        <v/>
      </c>
      <c r="Q19" s="22">
        <f>IFERROR(IF(AND(ISNUMBER($K19),ISNUMBER(N19),N19&lt;&gt;0),$K19/N19-1,""),"")</f>
        <v/>
      </c>
    </row>
    <row r="20">
      <c r="A20" s="19">
        <f>Tickers!$D$19</f>
        <v/>
      </c>
      <c r="C20" s="30">
        <f>_xll.BDP($A20,"BEST_SALES","BEST_FPERIOD_OVERRIDE","1BF")</f>
        <v/>
      </c>
      <c r="D20" s="30">
        <f>_xll.BDP($A20,"BEST_SALES","BEST_FPERIOD_OVERRIDE","1BF","BEST_DATA_DATE_OVERRIDE",TEXT(YEAR($D$4),"0000")&amp;TEXT(MONTH($D$4),"00")&amp;TEXT(DAY($D$4),"00"))</f>
        <v/>
      </c>
      <c r="E20" s="30">
        <f>_xll.BDP($A20,"BEST_SALES","BEST_FPERIOD_OVERRIDE","1BF","BEST_DATA_DATE_OVERRIDE",TEXT(YEAR($E$4),"0000")&amp;TEXT(MONTH($E$4),"00")&amp;TEXT(DAY($E$4),"00"))</f>
        <v/>
      </c>
      <c r="F20" s="30">
        <f>_xll.BDP($A20,"BEST_SALES","BEST_FPERIOD_OVERRIDE","1BF","BEST_DATA_DATE_OVERRIDE",TEXT(YEAR($F$4),"0000")&amp;TEXT(MONTH($F$4),"00")&amp;TEXT(DAY($F$4),"00"))</f>
        <v/>
      </c>
      <c r="G20" s="22">
        <f>IFERROR(IF(AND(ISNUMBER($C20),ISNUMBER(D20),D20&lt;&gt;0),$C20/D20-1,""),"")</f>
        <v/>
      </c>
      <c r="H20" s="22">
        <f>IFERROR(IF(AND(ISNUMBER($C20),ISNUMBER(E20),E20&lt;&gt;0),$C20/E20-1,""),"")</f>
        <v/>
      </c>
      <c r="I20" s="22">
        <f>IFERROR(IF(AND(ISNUMBER($C20),ISNUMBER(F20),F20&lt;&gt;0),$C20/F20-1,""),"")</f>
        <v/>
      </c>
      <c r="K20" s="54">
        <f>_xll.BDP($A20,"BEST_EPS","BEST_FPERIOD_OVERRIDE","1BF")</f>
        <v/>
      </c>
      <c r="L20" s="54">
        <f>_xll.BDP($A20,"BEST_EPS","BEST_FPERIOD_OVERRIDE","1BF","BEST_DATA_DATE_OVERRIDE",TEXT(YEAR($D$4),"0000")&amp;TEXT(MONTH($D$4),"00")&amp;TEXT(DAY($D$4),"00"))</f>
        <v/>
      </c>
      <c r="M20" s="54">
        <f>_xll.BDP($A20,"BEST_EPS","BEST_FPERIOD_OVERRIDE","1BF","BEST_DATA_DATE_OVERRIDE",TEXT(YEAR($E$4),"0000")&amp;TEXT(MONTH($E$4),"00")&amp;TEXT(DAY($E$4),"00"))</f>
        <v/>
      </c>
      <c r="N20" s="54">
        <f>_xll.BDP($A20,"BEST_EPS","BEST_FPERIOD_OVERRIDE","1BF","BEST_DATA_DATE_OVERRIDE",TEXT(YEAR($F$4),"0000")&amp;TEXT(MONTH($F$4),"00")&amp;TEXT(DAY($F$4),"00"))</f>
        <v/>
      </c>
      <c r="O20" s="22">
        <f>IFERROR(IF(AND(ISNUMBER($K20),ISNUMBER(L20),L20&lt;&gt;0),$K20/L20-1,""),"")</f>
        <v/>
      </c>
      <c r="P20" s="22">
        <f>IFERROR(IF(AND(ISNUMBER($K20),ISNUMBER(M20),M20&lt;&gt;0),$K20/M20-1,""),"")</f>
        <v/>
      </c>
      <c r="Q20" s="22">
        <f>IFERROR(IF(AND(ISNUMBER($K20),ISNUMBER(N20),N20&lt;&gt;0),$K20/N20-1,""),"")</f>
        <v/>
      </c>
    </row>
    <row r="21">
      <c r="A21" s="19">
        <f>Tickers!$D$20</f>
        <v/>
      </c>
      <c r="C21" s="30">
        <f>_xll.BDP($A21,"BEST_SALES","BEST_FPERIOD_OVERRIDE","1BF")</f>
        <v/>
      </c>
      <c r="D21" s="30">
        <f>_xll.BDP($A21,"BEST_SALES","BEST_FPERIOD_OVERRIDE","1BF","BEST_DATA_DATE_OVERRIDE",TEXT(YEAR($D$4),"0000")&amp;TEXT(MONTH($D$4),"00")&amp;TEXT(DAY($D$4),"00"))</f>
        <v/>
      </c>
      <c r="E21" s="30">
        <f>_xll.BDP($A21,"BEST_SALES","BEST_FPERIOD_OVERRIDE","1BF","BEST_DATA_DATE_OVERRIDE",TEXT(YEAR($E$4),"0000")&amp;TEXT(MONTH($E$4),"00")&amp;TEXT(DAY($E$4),"00"))</f>
        <v/>
      </c>
      <c r="F21" s="30">
        <f>_xll.BDP($A21,"BEST_SALES","BEST_FPERIOD_OVERRIDE","1BF","BEST_DATA_DATE_OVERRIDE",TEXT(YEAR($F$4),"0000")&amp;TEXT(MONTH($F$4),"00")&amp;TEXT(DAY($F$4),"00"))</f>
        <v/>
      </c>
      <c r="G21" s="22">
        <f>IFERROR(IF(AND(ISNUMBER($C21),ISNUMBER(D21),D21&lt;&gt;0),$C21/D21-1,""),"")</f>
        <v/>
      </c>
      <c r="H21" s="22">
        <f>IFERROR(IF(AND(ISNUMBER($C21),ISNUMBER(E21),E21&lt;&gt;0),$C21/E21-1,""),"")</f>
        <v/>
      </c>
      <c r="I21" s="22">
        <f>IFERROR(IF(AND(ISNUMBER($C21),ISNUMBER(F21),F21&lt;&gt;0),$C21/F21-1,""),"")</f>
        <v/>
      </c>
      <c r="K21" s="54">
        <f>_xll.BDP($A21,"BEST_EPS","BEST_FPERIOD_OVERRIDE","1BF")</f>
        <v/>
      </c>
      <c r="L21" s="54">
        <f>_xll.BDP($A21,"BEST_EPS","BEST_FPERIOD_OVERRIDE","1BF","BEST_DATA_DATE_OVERRIDE",TEXT(YEAR($D$4),"0000")&amp;TEXT(MONTH($D$4),"00")&amp;TEXT(DAY($D$4),"00"))</f>
        <v/>
      </c>
      <c r="M21" s="54">
        <f>_xll.BDP($A21,"BEST_EPS","BEST_FPERIOD_OVERRIDE","1BF","BEST_DATA_DATE_OVERRIDE",TEXT(YEAR($E$4),"0000")&amp;TEXT(MONTH($E$4),"00")&amp;TEXT(DAY($E$4),"00"))</f>
        <v/>
      </c>
      <c r="N21" s="54">
        <f>_xll.BDP($A21,"BEST_EPS","BEST_FPERIOD_OVERRIDE","1BF","BEST_DATA_DATE_OVERRIDE",TEXT(YEAR($F$4),"0000")&amp;TEXT(MONTH($F$4),"00")&amp;TEXT(DAY($F$4),"00"))</f>
        <v/>
      </c>
      <c r="O21" s="22">
        <f>IFERROR(IF(AND(ISNUMBER($K21),ISNUMBER(L21),L21&lt;&gt;0),$K21/L21-1,""),"")</f>
        <v/>
      </c>
      <c r="P21" s="22">
        <f>IFERROR(IF(AND(ISNUMBER($K21),ISNUMBER(M21),M21&lt;&gt;0),$K21/M21-1,""),"")</f>
        <v/>
      </c>
      <c r="Q21" s="22">
        <f>IFERROR(IF(AND(ISNUMBER($K21),ISNUMBER(N21),N21&lt;&gt;0),$K21/N21-1,""),"")</f>
        <v/>
      </c>
    </row>
    <row r="22">
      <c r="A22" s="19">
        <f>Tickers!$D$21</f>
        <v/>
      </c>
      <c r="C22" s="30">
        <f>_xll.BDP($A22,"BEST_SALES","BEST_FPERIOD_OVERRIDE","1BF")</f>
        <v/>
      </c>
      <c r="D22" s="30">
        <f>_xll.BDP($A22,"BEST_SALES","BEST_FPERIOD_OVERRIDE","1BF","BEST_DATA_DATE_OVERRIDE",TEXT(YEAR($D$4),"0000")&amp;TEXT(MONTH($D$4),"00")&amp;TEXT(DAY($D$4),"00"))</f>
        <v/>
      </c>
      <c r="E22" s="30">
        <f>_xll.BDP($A22,"BEST_SALES","BEST_FPERIOD_OVERRIDE","1BF","BEST_DATA_DATE_OVERRIDE",TEXT(YEAR($E$4),"0000")&amp;TEXT(MONTH($E$4),"00")&amp;TEXT(DAY($E$4),"00"))</f>
        <v/>
      </c>
      <c r="F22" s="30">
        <f>_xll.BDP($A22,"BEST_SALES","BEST_FPERIOD_OVERRIDE","1BF","BEST_DATA_DATE_OVERRIDE",TEXT(YEAR($F$4),"0000")&amp;TEXT(MONTH($F$4),"00")&amp;TEXT(DAY($F$4),"00"))</f>
        <v/>
      </c>
      <c r="G22" s="22">
        <f>IFERROR(IF(AND(ISNUMBER($C22),ISNUMBER(D22),D22&lt;&gt;0),$C22/D22-1,""),"")</f>
        <v/>
      </c>
      <c r="H22" s="22">
        <f>IFERROR(IF(AND(ISNUMBER($C22),ISNUMBER(E22),E22&lt;&gt;0),$C22/E22-1,""),"")</f>
        <v/>
      </c>
      <c r="I22" s="22">
        <f>IFERROR(IF(AND(ISNUMBER($C22),ISNUMBER(F22),F22&lt;&gt;0),$C22/F22-1,""),"")</f>
        <v/>
      </c>
      <c r="K22" s="54">
        <f>_xll.BDP($A22,"BEST_EPS","BEST_FPERIOD_OVERRIDE","1BF")</f>
        <v/>
      </c>
      <c r="L22" s="54">
        <f>_xll.BDP($A22,"BEST_EPS","BEST_FPERIOD_OVERRIDE","1BF","BEST_DATA_DATE_OVERRIDE",TEXT(YEAR($D$4),"0000")&amp;TEXT(MONTH($D$4),"00")&amp;TEXT(DAY($D$4),"00"))</f>
        <v/>
      </c>
      <c r="M22" s="54">
        <f>_xll.BDP($A22,"BEST_EPS","BEST_FPERIOD_OVERRIDE","1BF","BEST_DATA_DATE_OVERRIDE",TEXT(YEAR($E$4),"0000")&amp;TEXT(MONTH($E$4),"00")&amp;TEXT(DAY($E$4),"00"))</f>
        <v/>
      </c>
      <c r="N22" s="54">
        <f>_xll.BDP($A22,"BEST_EPS","BEST_FPERIOD_OVERRIDE","1BF","BEST_DATA_DATE_OVERRIDE",TEXT(YEAR($F$4),"0000")&amp;TEXT(MONTH($F$4),"00")&amp;TEXT(DAY($F$4),"00"))</f>
        <v/>
      </c>
      <c r="O22" s="22">
        <f>IFERROR(IF(AND(ISNUMBER($K22),ISNUMBER(L22),L22&lt;&gt;0),$K22/L22-1,""),"")</f>
        <v/>
      </c>
      <c r="P22" s="22">
        <f>IFERROR(IF(AND(ISNUMBER($K22),ISNUMBER(M22),M22&lt;&gt;0),$K22/M22-1,""),"")</f>
        <v/>
      </c>
      <c r="Q22" s="22">
        <f>IFERROR(IF(AND(ISNUMBER($K22),ISNUMBER(N22),N22&lt;&gt;0),$K22/N22-1,""),"")</f>
        <v/>
      </c>
    </row>
    <row r="23">
      <c r="A23" s="19">
        <f>Tickers!$D$22</f>
        <v/>
      </c>
      <c r="C23" s="30">
        <f>_xll.BDP($A23,"BEST_SALES","BEST_FPERIOD_OVERRIDE","1BF")</f>
        <v/>
      </c>
      <c r="D23" s="30">
        <f>_xll.BDP($A23,"BEST_SALES","BEST_FPERIOD_OVERRIDE","1BF","BEST_DATA_DATE_OVERRIDE",TEXT(YEAR($D$4),"0000")&amp;TEXT(MONTH($D$4),"00")&amp;TEXT(DAY($D$4),"00"))</f>
        <v/>
      </c>
      <c r="E23" s="30">
        <f>_xll.BDP($A23,"BEST_SALES","BEST_FPERIOD_OVERRIDE","1BF","BEST_DATA_DATE_OVERRIDE",TEXT(YEAR($E$4),"0000")&amp;TEXT(MONTH($E$4),"00")&amp;TEXT(DAY($E$4),"00"))</f>
        <v/>
      </c>
      <c r="F23" s="30">
        <f>_xll.BDP($A23,"BEST_SALES","BEST_FPERIOD_OVERRIDE","1BF","BEST_DATA_DATE_OVERRIDE",TEXT(YEAR($F$4),"0000")&amp;TEXT(MONTH($F$4),"00")&amp;TEXT(DAY($F$4),"00"))</f>
        <v/>
      </c>
      <c r="G23" s="22">
        <f>IFERROR(IF(AND(ISNUMBER($C23),ISNUMBER(D23),D23&lt;&gt;0),$C23/D23-1,""),"")</f>
        <v/>
      </c>
      <c r="H23" s="22">
        <f>IFERROR(IF(AND(ISNUMBER($C23),ISNUMBER(E23),E23&lt;&gt;0),$C23/E23-1,""),"")</f>
        <v/>
      </c>
      <c r="I23" s="22">
        <f>IFERROR(IF(AND(ISNUMBER($C23),ISNUMBER(F23),F23&lt;&gt;0),$C23/F23-1,""),"")</f>
        <v/>
      </c>
      <c r="K23" s="54">
        <f>_xll.BDP($A23,"BEST_EPS","BEST_FPERIOD_OVERRIDE","1BF")</f>
        <v/>
      </c>
      <c r="L23" s="54">
        <f>_xll.BDP($A23,"BEST_EPS","BEST_FPERIOD_OVERRIDE","1BF","BEST_DATA_DATE_OVERRIDE",TEXT(YEAR($D$4),"0000")&amp;TEXT(MONTH($D$4),"00")&amp;TEXT(DAY($D$4),"00"))</f>
        <v/>
      </c>
      <c r="M23" s="54">
        <f>_xll.BDP($A23,"BEST_EPS","BEST_FPERIOD_OVERRIDE","1BF","BEST_DATA_DATE_OVERRIDE",TEXT(YEAR($E$4),"0000")&amp;TEXT(MONTH($E$4),"00")&amp;TEXT(DAY($E$4),"00"))</f>
        <v/>
      </c>
      <c r="N23" s="54">
        <f>_xll.BDP($A23,"BEST_EPS","BEST_FPERIOD_OVERRIDE","1BF","BEST_DATA_DATE_OVERRIDE",TEXT(YEAR($F$4),"0000")&amp;TEXT(MONTH($F$4),"00")&amp;TEXT(DAY($F$4),"00"))</f>
        <v/>
      </c>
      <c r="O23" s="22">
        <f>IFERROR(IF(AND(ISNUMBER($K23),ISNUMBER(L23),L23&lt;&gt;0),$K23/L23-1,""),"")</f>
        <v/>
      </c>
      <c r="P23" s="22">
        <f>IFERROR(IF(AND(ISNUMBER($K23),ISNUMBER(M23),M23&lt;&gt;0),$K23/M23-1,""),"")</f>
        <v/>
      </c>
      <c r="Q23" s="22">
        <f>IFERROR(IF(AND(ISNUMBER($K23),ISNUMBER(N23),N23&lt;&gt;0),$K23/N23-1,""),"")</f>
        <v/>
      </c>
    </row>
    <row r="24">
      <c r="A24" s="19">
        <f>Tickers!$D$23</f>
        <v/>
      </c>
      <c r="C24" s="30">
        <f>_xll.BDP($A24,"BEST_SALES","BEST_FPERIOD_OVERRIDE","1BF")</f>
        <v/>
      </c>
      <c r="D24" s="30">
        <f>_xll.BDP($A24,"BEST_SALES","BEST_FPERIOD_OVERRIDE","1BF","BEST_DATA_DATE_OVERRIDE",TEXT(YEAR($D$4),"0000")&amp;TEXT(MONTH($D$4),"00")&amp;TEXT(DAY($D$4),"00"))</f>
        <v/>
      </c>
      <c r="E24" s="30">
        <f>_xll.BDP($A24,"BEST_SALES","BEST_FPERIOD_OVERRIDE","1BF","BEST_DATA_DATE_OVERRIDE",TEXT(YEAR($E$4),"0000")&amp;TEXT(MONTH($E$4),"00")&amp;TEXT(DAY($E$4),"00"))</f>
        <v/>
      </c>
      <c r="F24" s="30">
        <f>_xll.BDP($A24,"BEST_SALES","BEST_FPERIOD_OVERRIDE","1BF","BEST_DATA_DATE_OVERRIDE",TEXT(YEAR($F$4),"0000")&amp;TEXT(MONTH($F$4),"00")&amp;TEXT(DAY($F$4),"00"))</f>
        <v/>
      </c>
      <c r="G24" s="22">
        <f>IFERROR(IF(AND(ISNUMBER($C24),ISNUMBER(D24),D24&lt;&gt;0),$C24/D24-1,""),"")</f>
        <v/>
      </c>
      <c r="H24" s="22">
        <f>IFERROR(IF(AND(ISNUMBER($C24),ISNUMBER(E24),E24&lt;&gt;0),$C24/E24-1,""),"")</f>
        <v/>
      </c>
      <c r="I24" s="22">
        <f>IFERROR(IF(AND(ISNUMBER($C24),ISNUMBER(F24),F24&lt;&gt;0),$C24/F24-1,""),"")</f>
        <v/>
      </c>
      <c r="K24" s="54">
        <f>_xll.BDP($A24,"BEST_EPS","BEST_FPERIOD_OVERRIDE","1BF")</f>
        <v/>
      </c>
      <c r="L24" s="54">
        <f>_xll.BDP($A24,"BEST_EPS","BEST_FPERIOD_OVERRIDE","1BF","BEST_DATA_DATE_OVERRIDE",TEXT(YEAR($D$4),"0000")&amp;TEXT(MONTH($D$4),"00")&amp;TEXT(DAY($D$4),"00"))</f>
        <v/>
      </c>
      <c r="M24" s="54">
        <f>_xll.BDP($A24,"BEST_EPS","BEST_FPERIOD_OVERRIDE","1BF","BEST_DATA_DATE_OVERRIDE",TEXT(YEAR($E$4),"0000")&amp;TEXT(MONTH($E$4),"00")&amp;TEXT(DAY($E$4),"00"))</f>
        <v/>
      </c>
      <c r="N24" s="54">
        <f>_xll.BDP($A24,"BEST_EPS","BEST_FPERIOD_OVERRIDE","1BF","BEST_DATA_DATE_OVERRIDE",TEXT(YEAR($F$4),"0000")&amp;TEXT(MONTH($F$4),"00")&amp;TEXT(DAY($F$4),"00"))</f>
        <v/>
      </c>
      <c r="O24" s="22">
        <f>IFERROR(IF(AND(ISNUMBER($K24),ISNUMBER(L24),L24&lt;&gt;0),$K24/L24-1,""),"")</f>
        <v/>
      </c>
      <c r="P24" s="22">
        <f>IFERROR(IF(AND(ISNUMBER($K24),ISNUMBER(M24),M24&lt;&gt;0),$K24/M24-1,""),"")</f>
        <v/>
      </c>
      <c r="Q24" s="22">
        <f>IFERROR(IF(AND(ISNUMBER($K24),ISNUMBER(N24),N24&lt;&gt;0),$K24/N24-1,""),"")</f>
        <v/>
      </c>
    </row>
    <row r="25">
      <c r="A25" s="19">
        <f>Tickers!$D$24</f>
        <v/>
      </c>
      <c r="C25" s="30">
        <f>_xll.BDP($A25,"BEST_SALES","BEST_FPERIOD_OVERRIDE","1BF")</f>
        <v/>
      </c>
      <c r="D25" s="30">
        <f>_xll.BDP($A25,"BEST_SALES","BEST_FPERIOD_OVERRIDE","1BF","BEST_DATA_DATE_OVERRIDE",TEXT(YEAR($D$4),"0000")&amp;TEXT(MONTH($D$4),"00")&amp;TEXT(DAY($D$4),"00"))</f>
        <v/>
      </c>
      <c r="E25" s="30">
        <f>_xll.BDP($A25,"BEST_SALES","BEST_FPERIOD_OVERRIDE","1BF","BEST_DATA_DATE_OVERRIDE",TEXT(YEAR($E$4),"0000")&amp;TEXT(MONTH($E$4),"00")&amp;TEXT(DAY($E$4),"00"))</f>
        <v/>
      </c>
      <c r="F25" s="30">
        <f>_xll.BDP($A25,"BEST_SALES","BEST_FPERIOD_OVERRIDE","1BF","BEST_DATA_DATE_OVERRIDE",TEXT(YEAR($F$4),"0000")&amp;TEXT(MONTH($F$4),"00")&amp;TEXT(DAY($F$4),"00"))</f>
        <v/>
      </c>
      <c r="G25" s="22">
        <f>IFERROR(IF(AND(ISNUMBER($C25),ISNUMBER(D25),D25&lt;&gt;0),$C25/D25-1,""),"")</f>
        <v/>
      </c>
      <c r="H25" s="22">
        <f>IFERROR(IF(AND(ISNUMBER($C25),ISNUMBER(E25),E25&lt;&gt;0),$C25/E25-1,""),"")</f>
        <v/>
      </c>
      <c r="I25" s="22">
        <f>IFERROR(IF(AND(ISNUMBER($C25),ISNUMBER(F25),F25&lt;&gt;0),$C25/F25-1,""),"")</f>
        <v/>
      </c>
      <c r="K25" s="54">
        <f>_xll.BDP($A25,"BEST_EPS","BEST_FPERIOD_OVERRIDE","1BF")</f>
        <v/>
      </c>
      <c r="L25" s="54">
        <f>_xll.BDP($A25,"BEST_EPS","BEST_FPERIOD_OVERRIDE","1BF","BEST_DATA_DATE_OVERRIDE",TEXT(YEAR($D$4),"0000")&amp;TEXT(MONTH($D$4),"00")&amp;TEXT(DAY($D$4),"00"))</f>
        <v/>
      </c>
      <c r="M25" s="54">
        <f>_xll.BDP($A25,"BEST_EPS","BEST_FPERIOD_OVERRIDE","1BF","BEST_DATA_DATE_OVERRIDE",TEXT(YEAR($E$4),"0000")&amp;TEXT(MONTH($E$4),"00")&amp;TEXT(DAY($E$4),"00"))</f>
        <v/>
      </c>
      <c r="N25" s="54">
        <f>_xll.BDP($A25,"BEST_EPS","BEST_FPERIOD_OVERRIDE","1BF","BEST_DATA_DATE_OVERRIDE",TEXT(YEAR($F$4),"0000")&amp;TEXT(MONTH($F$4),"00")&amp;TEXT(DAY($F$4),"00"))</f>
        <v/>
      </c>
      <c r="O25" s="22">
        <f>IFERROR(IF(AND(ISNUMBER($K25),ISNUMBER(L25),L25&lt;&gt;0),$K25/L25-1,""),"")</f>
        <v/>
      </c>
      <c r="P25" s="22">
        <f>IFERROR(IF(AND(ISNUMBER($K25),ISNUMBER(M25),M25&lt;&gt;0),$K25/M25-1,""),"")</f>
        <v/>
      </c>
      <c r="Q25" s="22">
        <f>IFERROR(IF(AND(ISNUMBER($K25),ISNUMBER(N25),N25&lt;&gt;0),$K25/N25-1,""),"")</f>
        <v/>
      </c>
    </row>
    <row r="26">
      <c r="A26" s="19">
        <f>Tickers!$D$25</f>
        <v/>
      </c>
      <c r="C26" s="30">
        <f>_xll.BDP($A26,"BEST_SALES","BEST_FPERIOD_OVERRIDE","1BF")</f>
        <v/>
      </c>
      <c r="D26" s="30">
        <f>_xll.BDP($A26,"BEST_SALES","BEST_FPERIOD_OVERRIDE","1BF","BEST_DATA_DATE_OVERRIDE",TEXT(YEAR($D$4),"0000")&amp;TEXT(MONTH($D$4),"00")&amp;TEXT(DAY($D$4),"00"))</f>
        <v/>
      </c>
      <c r="E26" s="30">
        <f>_xll.BDP($A26,"BEST_SALES","BEST_FPERIOD_OVERRIDE","1BF","BEST_DATA_DATE_OVERRIDE",TEXT(YEAR($E$4),"0000")&amp;TEXT(MONTH($E$4),"00")&amp;TEXT(DAY($E$4),"00"))</f>
        <v/>
      </c>
      <c r="F26" s="30">
        <f>_xll.BDP($A26,"BEST_SALES","BEST_FPERIOD_OVERRIDE","1BF","BEST_DATA_DATE_OVERRIDE",TEXT(YEAR($F$4),"0000")&amp;TEXT(MONTH($F$4),"00")&amp;TEXT(DAY($F$4),"00"))</f>
        <v/>
      </c>
      <c r="G26" s="22">
        <f>IFERROR(IF(AND(ISNUMBER($C26),ISNUMBER(D26),D26&lt;&gt;0),$C26/D26-1,""),"")</f>
        <v/>
      </c>
      <c r="H26" s="22">
        <f>IFERROR(IF(AND(ISNUMBER($C26),ISNUMBER(E26),E26&lt;&gt;0),$C26/E26-1,""),"")</f>
        <v/>
      </c>
      <c r="I26" s="22">
        <f>IFERROR(IF(AND(ISNUMBER($C26),ISNUMBER(F26),F26&lt;&gt;0),$C26/F26-1,""),"")</f>
        <v/>
      </c>
      <c r="K26" s="54">
        <f>_xll.BDP($A26,"BEST_EPS","BEST_FPERIOD_OVERRIDE","1BF")</f>
        <v/>
      </c>
      <c r="L26" s="54">
        <f>_xll.BDP($A26,"BEST_EPS","BEST_FPERIOD_OVERRIDE","1BF","BEST_DATA_DATE_OVERRIDE",TEXT(YEAR($D$4),"0000")&amp;TEXT(MONTH($D$4),"00")&amp;TEXT(DAY($D$4),"00"))</f>
        <v/>
      </c>
      <c r="M26" s="54">
        <f>_xll.BDP($A26,"BEST_EPS","BEST_FPERIOD_OVERRIDE","1BF","BEST_DATA_DATE_OVERRIDE",TEXT(YEAR($E$4),"0000")&amp;TEXT(MONTH($E$4),"00")&amp;TEXT(DAY($E$4),"00"))</f>
        <v/>
      </c>
      <c r="N26" s="54">
        <f>_xll.BDP($A26,"BEST_EPS","BEST_FPERIOD_OVERRIDE","1BF","BEST_DATA_DATE_OVERRIDE",TEXT(YEAR($F$4),"0000")&amp;TEXT(MONTH($F$4),"00")&amp;TEXT(DAY($F$4),"00"))</f>
        <v/>
      </c>
      <c r="O26" s="22">
        <f>IFERROR(IF(AND(ISNUMBER($K26),ISNUMBER(L26),L26&lt;&gt;0),$K26/L26-1,""),"")</f>
        <v/>
      </c>
      <c r="P26" s="22">
        <f>IFERROR(IF(AND(ISNUMBER($K26),ISNUMBER(M26),M26&lt;&gt;0),$K26/M26-1,""),"")</f>
        <v/>
      </c>
      <c r="Q26" s="22">
        <f>IFERROR(IF(AND(ISNUMBER($K26),ISNUMBER(N26),N26&lt;&gt;0),$K26/N26-1,""),"")</f>
        <v/>
      </c>
    </row>
    <row r="27">
      <c r="A27" s="19">
        <f>Tickers!$D$26</f>
        <v/>
      </c>
      <c r="C27" s="30">
        <f>_xll.BDP($A27,"BEST_SALES","BEST_FPERIOD_OVERRIDE","1BF")</f>
        <v/>
      </c>
      <c r="D27" s="30">
        <f>_xll.BDP($A27,"BEST_SALES","BEST_FPERIOD_OVERRIDE","1BF","BEST_DATA_DATE_OVERRIDE",TEXT(YEAR($D$4),"0000")&amp;TEXT(MONTH($D$4),"00")&amp;TEXT(DAY($D$4),"00"))</f>
        <v/>
      </c>
      <c r="E27" s="30">
        <f>_xll.BDP($A27,"BEST_SALES","BEST_FPERIOD_OVERRIDE","1BF","BEST_DATA_DATE_OVERRIDE",TEXT(YEAR($E$4),"0000")&amp;TEXT(MONTH($E$4),"00")&amp;TEXT(DAY($E$4),"00"))</f>
        <v/>
      </c>
      <c r="F27" s="30">
        <f>_xll.BDP($A27,"BEST_SALES","BEST_FPERIOD_OVERRIDE","1BF","BEST_DATA_DATE_OVERRIDE",TEXT(YEAR($F$4),"0000")&amp;TEXT(MONTH($F$4),"00")&amp;TEXT(DAY($F$4),"00"))</f>
        <v/>
      </c>
      <c r="G27" s="22">
        <f>IFERROR(IF(AND(ISNUMBER($C27),ISNUMBER(D27),D27&lt;&gt;0),$C27/D27-1,""),"")</f>
        <v/>
      </c>
      <c r="H27" s="22">
        <f>IFERROR(IF(AND(ISNUMBER($C27),ISNUMBER(E27),E27&lt;&gt;0),$C27/E27-1,""),"")</f>
        <v/>
      </c>
      <c r="I27" s="22">
        <f>IFERROR(IF(AND(ISNUMBER($C27),ISNUMBER(F27),F27&lt;&gt;0),$C27/F27-1,""),"")</f>
        <v/>
      </c>
      <c r="K27" s="54">
        <f>_xll.BDP($A27,"BEST_EPS","BEST_FPERIOD_OVERRIDE","1BF")</f>
        <v/>
      </c>
      <c r="L27" s="54">
        <f>_xll.BDP($A27,"BEST_EPS","BEST_FPERIOD_OVERRIDE","1BF","BEST_DATA_DATE_OVERRIDE",TEXT(YEAR($D$4),"0000")&amp;TEXT(MONTH($D$4),"00")&amp;TEXT(DAY($D$4),"00"))</f>
        <v/>
      </c>
      <c r="M27" s="54">
        <f>_xll.BDP($A27,"BEST_EPS","BEST_FPERIOD_OVERRIDE","1BF","BEST_DATA_DATE_OVERRIDE",TEXT(YEAR($E$4),"0000")&amp;TEXT(MONTH($E$4),"00")&amp;TEXT(DAY($E$4),"00"))</f>
        <v/>
      </c>
      <c r="N27" s="54">
        <f>_xll.BDP($A27,"BEST_EPS","BEST_FPERIOD_OVERRIDE","1BF","BEST_DATA_DATE_OVERRIDE",TEXT(YEAR($F$4),"0000")&amp;TEXT(MONTH($F$4),"00")&amp;TEXT(DAY($F$4),"00"))</f>
        <v/>
      </c>
      <c r="O27" s="22">
        <f>IFERROR(IF(AND(ISNUMBER($K27),ISNUMBER(L27),L27&lt;&gt;0),$K27/L27-1,""),"")</f>
        <v/>
      </c>
      <c r="P27" s="22">
        <f>IFERROR(IF(AND(ISNUMBER($K27),ISNUMBER(M27),M27&lt;&gt;0),$K27/M27-1,""),"")</f>
        <v/>
      </c>
      <c r="Q27" s="22">
        <f>IFERROR(IF(AND(ISNUMBER($K27),ISNUMBER(N27),N27&lt;&gt;0),$K27/N27-1,""),"")</f>
        <v/>
      </c>
    </row>
    <row r="28">
      <c r="A28" s="19">
        <f>Tickers!$D$27</f>
        <v/>
      </c>
      <c r="C28" s="30">
        <f>_xll.BDP($A28,"BEST_SALES","BEST_FPERIOD_OVERRIDE","1BF")</f>
        <v/>
      </c>
      <c r="D28" s="30">
        <f>_xll.BDP($A28,"BEST_SALES","BEST_FPERIOD_OVERRIDE","1BF","BEST_DATA_DATE_OVERRIDE",TEXT(YEAR($D$4),"0000")&amp;TEXT(MONTH($D$4),"00")&amp;TEXT(DAY($D$4),"00"))</f>
        <v/>
      </c>
      <c r="E28" s="30">
        <f>_xll.BDP($A28,"BEST_SALES","BEST_FPERIOD_OVERRIDE","1BF","BEST_DATA_DATE_OVERRIDE",TEXT(YEAR($E$4),"0000")&amp;TEXT(MONTH($E$4),"00")&amp;TEXT(DAY($E$4),"00"))</f>
        <v/>
      </c>
      <c r="F28" s="30">
        <f>_xll.BDP($A28,"BEST_SALES","BEST_FPERIOD_OVERRIDE","1BF","BEST_DATA_DATE_OVERRIDE",TEXT(YEAR($F$4),"0000")&amp;TEXT(MONTH($F$4),"00")&amp;TEXT(DAY($F$4),"00"))</f>
        <v/>
      </c>
      <c r="G28" s="22">
        <f>IFERROR(IF(AND(ISNUMBER($C28),ISNUMBER(D28),D28&lt;&gt;0),$C28/D28-1,""),"")</f>
        <v/>
      </c>
      <c r="H28" s="22">
        <f>IFERROR(IF(AND(ISNUMBER($C28),ISNUMBER(E28),E28&lt;&gt;0),$C28/E28-1,""),"")</f>
        <v/>
      </c>
      <c r="I28" s="22">
        <f>IFERROR(IF(AND(ISNUMBER($C28),ISNUMBER(F28),F28&lt;&gt;0),$C28/F28-1,""),"")</f>
        <v/>
      </c>
      <c r="K28" s="54">
        <f>_xll.BDP($A28,"BEST_EPS","BEST_FPERIOD_OVERRIDE","1BF")</f>
        <v/>
      </c>
      <c r="L28" s="54">
        <f>_xll.BDP($A28,"BEST_EPS","BEST_FPERIOD_OVERRIDE","1BF","BEST_DATA_DATE_OVERRIDE",TEXT(YEAR($D$4),"0000")&amp;TEXT(MONTH($D$4),"00")&amp;TEXT(DAY($D$4),"00"))</f>
        <v/>
      </c>
      <c r="M28" s="54">
        <f>_xll.BDP($A28,"BEST_EPS","BEST_FPERIOD_OVERRIDE","1BF","BEST_DATA_DATE_OVERRIDE",TEXT(YEAR($E$4),"0000")&amp;TEXT(MONTH($E$4),"00")&amp;TEXT(DAY($E$4),"00"))</f>
        <v/>
      </c>
      <c r="N28" s="54">
        <f>_xll.BDP($A28,"BEST_EPS","BEST_FPERIOD_OVERRIDE","1BF","BEST_DATA_DATE_OVERRIDE",TEXT(YEAR($F$4),"0000")&amp;TEXT(MONTH($F$4),"00")&amp;TEXT(DAY($F$4),"00"))</f>
        <v/>
      </c>
      <c r="O28" s="22">
        <f>IFERROR(IF(AND(ISNUMBER($K28),ISNUMBER(L28),L28&lt;&gt;0),$K28/L28-1,""),"")</f>
        <v/>
      </c>
      <c r="P28" s="22">
        <f>IFERROR(IF(AND(ISNUMBER($K28),ISNUMBER(M28),M28&lt;&gt;0),$K28/M28-1,""),"")</f>
        <v/>
      </c>
      <c r="Q28" s="22">
        <f>IFERROR(IF(AND(ISNUMBER($K28),ISNUMBER(N28),N28&lt;&gt;0),$K28/N28-1,""),"")</f>
        <v/>
      </c>
    </row>
    <row r="29">
      <c r="A29" s="19">
        <f>Tickers!$D$28</f>
        <v/>
      </c>
      <c r="C29" s="30">
        <f>_xll.BDP($A29,"BEST_SALES","BEST_FPERIOD_OVERRIDE","1BF")</f>
        <v/>
      </c>
      <c r="D29" s="30">
        <f>_xll.BDP($A29,"BEST_SALES","BEST_FPERIOD_OVERRIDE","1BF","BEST_DATA_DATE_OVERRIDE",TEXT(YEAR($D$4),"0000")&amp;TEXT(MONTH($D$4),"00")&amp;TEXT(DAY($D$4),"00"))</f>
        <v/>
      </c>
      <c r="E29" s="30">
        <f>_xll.BDP($A29,"BEST_SALES","BEST_FPERIOD_OVERRIDE","1BF","BEST_DATA_DATE_OVERRIDE",TEXT(YEAR($E$4),"0000")&amp;TEXT(MONTH($E$4),"00")&amp;TEXT(DAY($E$4),"00"))</f>
        <v/>
      </c>
      <c r="F29" s="30">
        <f>_xll.BDP($A29,"BEST_SALES","BEST_FPERIOD_OVERRIDE","1BF","BEST_DATA_DATE_OVERRIDE",TEXT(YEAR($F$4),"0000")&amp;TEXT(MONTH($F$4),"00")&amp;TEXT(DAY($F$4),"00"))</f>
        <v/>
      </c>
      <c r="G29" s="22">
        <f>IFERROR(IF(AND(ISNUMBER($C29),ISNUMBER(D29),D29&lt;&gt;0),$C29/D29-1,""),"")</f>
        <v/>
      </c>
      <c r="H29" s="22">
        <f>IFERROR(IF(AND(ISNUMBER($C29),ISNUMBER(E29),E29&lt;&gt;0),$C29/E29-1,""),"")</f>
        <v/>
      </c>
      <c r="I29" s="22">
        <f>IFERROR(IF(AND(ISNUMBER($C29),ISNUMBER(F29),F29&lt;&gt;0),$C29/F29-1,""),"")</f>
        <v/>
      </c>
      <c r="K29" s="54">
        <f>_xll.BDP($A29,"BEST_EPS","BEST_FPERIOD_OVERRIDE","1BF")</f>
        <v/>
      </c>
      <c r="L29" s="54">
        <f>_xll.BDP($A29,"BEST_EPS","BEST_FPERIOD_OVERRIDE","1BF","BEST_DATA_DATE_OVERRIDE",TEXT(YEAR($D$4),"0000")&amp;TEXT(MONTH($D$4),"00")&amp;TEXT(DAY($D$4),"00"))</f>
        <v/>
      </c>
      <c r="M29" s="54">
        <f>_xll.BDP($A29,"BEST_EPS","BEST_FPERIOD_OVERRIDE","1BF","BEST_DATA_DATE_OVERRIDE",TEXT(YEAR($E$4),"0000")&amp;TEXT(MONTH($E$4),"00")&amp;TEXT(DAY($E$4),"00"))</f>
        <v/>
      </c>
      <c r="N29" s="54">
        <f>_xll.BDP($A29,"BEST_EPS","BEST_FPERIOD_OVERRIDE","1BF","BEST_DATA_DATE_OVERRIDE",TEXT(YEAR($F$4),"0000")&amp;TEXT(MONTH($F$4),"00")&amp;TEXT(DAY($F$4),"00"))</f>
        <v/>
      </c>
      <c r="O29" s="22">
        <f>IFERROR(IF(AND(ISNUMBER($K29),ISNUMBER(L29),L29&lt;&gt;0),$K29/L29-1,""),"")</f>
        <v/>
      </c>
      <c r="P29" s="22">
        <f>IFERROR(IF(AND(ISNUMBER($K29),ISNUMBER(M29),M29&lt;&gt;0),$K29/M29-1,""),"")</f>
        <v/>
      </c>
      <c r="Q29" s="22">
        <f>IFERROR(IF(AND(ISNUMBER($K29),ISNUMBER(N29),N29&lt;&gt;0),$K29/N29-1,""),"")</f>
        <v/>
      </c>
    </row>
    <row r="30">
      <c r="A30" s="19">
        <f>Tickers!$D$29</f>
        <v/>
      </c>
      <c r="C30" s="30">
        <f>_xll.BDP($A30,"BEST_SALES","BEST_FPERIOD_OVERRIDE","1BF")</f>
        <v/>
      </c>
      <c r="D30" s="30">
        <f>_xll.BDP($A30,"BEST_SALES","BEST_FPERIOD_OVERRIDE","1BF","BEST_DATA_DATE_OVERRIDE",TEXT(YEAR($D$4),"0000")&amp;TEXT(MONTH($D$4),"00")&amp;TEXT(DAY($D$4),"00"))</f>
        <v/>
      </c>
      <c r="E30" s="30">
        <f>_xll.BDP($A30,"BEST_SALES","BEST_FPERIOD_OVERRIDE","1BF","BEST_DATA_DATE_OVERRIDE",TEXT(YEAR($E$4),"0000")&amp;TEXT(MONTH($E$4),"00")&amp;TEXT(DAY($E$4),"00"))</f>
        <v/>
      </c>
      <c r="F30" s="30">
        <f>_xll.BDP($A30,"BEST_SALES","BEST_FPERIOD_OVERRIDE","1BF","BEST_DATA_DATE_OVERRIDE",TEXT(YEAR($F$4),"0000")&amp;TEXT(MONTH($F$4),"00")&amp;TEXT(DAY($F$4),"00"))</f>
        <v/>
      </c>
      <c r="G30" s="22">
        <f>IFERROR(IF(AND(ISNUMBER($C30),ISNUMBER(D30),D30&lt;&gt;0),$C30/D30-1,""),"")</f>
        <v/>
      </c>
      <c r="H30" s="22">
        <f>IFERROR(IF(AND(ISNUMBER($C30),ISNUMBER(E30),E30&lt;&gt;0),$C30/E30-1,""),"")</f>
        <v/>
      </c>
      <c r="I30" s="22">
        <f>IFERROR(IF(AND(ISNUMBER($C30),ISNUMBER(F30),F30&lt;&gt;0),$C30/F30-1,""),"")</f>
        <v/>
      </c>
      <c r="K30" s="54">
        <f>_xll.BDP($A30,"BEST_EPS","BEST_FPERIOD_OVERRIDE","1BF")</f>
        <v/>
      </c>
      <c r="L30" s="54">
        <f>_xll.BDP($A30,"BEST_EPS","BEST_FPERIOD_OVERRIDE","1BF","BEST_DATA_DATE_OVERRIDE",TEXT(YEAR($D$4),"0000")&amp;TEXT(MONTH($D$4),"00")&amp;TEXT(DAY($D$4),"00"))</f>
        <v/>
      </c>
      <c r="M30" s="54">
        <f>_xll.BDP($A30,"BEST_EPS","BEST_FPERIOD_OVERRIDE","1BF","BEST_DATA_DATE_OVERRIDE",TEXT(YEAR($E$4),"0000")&amp;TEXT(MONTH($E$4),"00")&amp;TEXT(DAY($E$4),"00"))</f>
        <v/>
      </c>
      <c r="N30" s="54">
        <f>_xll.BDP($A30,"BEST_EPS","BEST_FPERIOD_OVERRIDE","1BF","BEST_DATA_DATE_OVERRIDE",TEXT(YEAR($F$4),"0000")&amp;TEXT(MONTH($F$4),"00")&amp;TEXT(DAY($F$4),"00"))</f>
        <v/>
      </c>
      <c r="O30" s="22">
        <f>IFERROR(IF(AND(ISNUMBER($K30),ISNUMBER(L30),L30&lt;&gt;0),$K30/L30-1,""),"")</f>
        <v/>
      </c>
      <c r="P30" s="22">
        <f>IFERROR(IF(AND(ISNUMBER($K30),ISNUMBER(M30),M30&lt;&gt;0),$K30/M30-1,""),"")</f>
        <v/>
      </c>
      <c r="Q30" s="22">
        <f>IFERROR(IF(AND(ISNUMBER($K30),ISNUMBER(N30),N30&lt;&gt;0),$K30/N30-1,""),"")</f>
        <v/>
      </c>
    </row>
    <row r="31">
      <c r="A31" s="19">
        <f>Tickers!$D$30</f>
        <v/>
      </c>
      <c r="C31" s="30">
        <f>_xll.BDP($A31,"BEST_SALES","BEST_FPERIOD_OVERRIDE","1BF")</f>
        <v/>
      </c>
      <c r="D31" s="30">
        <f>_xll.BDP($A31,"BEST_SALES","BEST_FPERIOD_OVERRIDE","1BF","BEST_DATA_DATE_OVERRIDE",TEXT(YEAR($D$4),"0000")&amp;TEXT(MONTH($D$4),"00")&amp;TEXT(DAY($D$4),"00"))</f>
        <v/>
      </c>
      <c r="E31" s="30">
        <f>_xll.BDP($A31,"BEST_SALES","BEST_FPERIOD_OVERRIDE","1BF","BEST_DATA_DATE_OVERRIDE",TEXT(YEAR($E$4),"0000")&amp;TEXT(MONTH($E$4),"00")&amp;TEXT(DAY($E$4),"00"))</f>
        <v/>
      </c>
      <c r="F31" s="30">
        <f>_xll.BDP($A31,"BEST_SALES","BEST_FPERIOD_OVERRIDE","1BF","BEST_DATA_DATE_OVERRIDE",TEXT(YEAR($F$4),"0000")&amp;TEXT(MONTH($F$4),"00")&amp;TEXT(DAY($F$4),"00"))</f>
        <v/>
      </c>
      <c r="G31" s="22">
        <f>IFERROR(IF(AND(ISNUMBER($C31),ISNUMBER(D31),D31&lt;&gt;0),$C31/D31-1,""),"")</f>
        <v/>
      </c>
      <c r="H31" s="22">
        <f>IFERROR(IF(AND(ISNUMBER($C31),ISNUMBER(E31),E31&lt;&gt;0),$C31/E31-1,""),"")</f>
        <v/>
      </c>
      <c r="I31" s="22">
        <f>IFERROR(IF(AND(ISNUMBER($C31),ISNUMBER(F31),F31&lt;&gt;0),$C31/F31-1,""),"")</f>
        <v/>
      </c>
      <c r="K31" s="54">
        <f>_xll.BDP($A31,"BEST_EPS","BEST_FPERIOD_OVERRIDE","1BF")</f>
        <v/>
      </c>
      <c r="L31" s="54">
        <f>_xll.BDP($A31,"BEST_EPS","BEST_FPERIOD_OVERRIDE","1BF","BEST_DATA_DATE_OVERRIDE",TEXT(YEAR($D$4),"0000")&amp;TEXT(MONTH($D$4),"00")&amp;TEXT(DAY($D$4),"00"))</f>
        <v/>
      </c>
      <c r="M31" s="54">
        <f>_xll.BDP($A31,"BEST_EPS","BEST_FPERIOD_OVERRIDE","1BF","BEST_DATA_DATE_OVERRIDE",TEXT(YEAR($E$4),"0000")&amp;TEXT(MONTH($E$4),"00")&amp;TEXT(DAY($E$4),"00"))</f>
        <v/>
      </c>
      <c r="N31" s="54">
        <f>_xll.BDP($A31,"BEST_EPS","BEST_FPERIOD_OVERRIDE","1BF","BEST_DATA_DATE_OVERRIDE",TEXT(YEAR($F$4),"0000")&amp;TEXT(MONTH($F$4),"00")&amp;TEXT(DAY($F$4),"00"))</f>
        <v/>
      </c>
      <c r="O31" s="22">
        <f>IFERROR(IF(AND(ISNUMBER($K31),ISNUMBER(L31),L31&lt;&gt;0),$K31/L31-1,""),"")</f>
        <v/>
      </c>
      <c r="P31" s="22">
        <f>IFERROR(IF(AND(ISNUMBER($K31),ISNUMBER(M31),M31&lt;&gt;0),$K31/M31-1,""),"")</f>
        <v/>
      </c>
      <c r="Q31" s="22">
        <f>IFERROR(IF(AND(ISNUMBER($K31),ISNUMBER(N31),N31&lt;&gt;0),$K31/N31-1,""),"")</f>
        <v/>
      </c>
    </row>
    <row r="32">
      <c r="A32" s="19">
        <f>Tickers!$D$31</f>
        <v/>
      </c>
      <c r="C32" s="30">
        <f>_xll.BDP($A32,"BEST_SALES","BEST_FPERIOD_OVERRIDE","1BF")</f>
        <v/>
      </c>
      <c r="D32" s="30">
        <f>_xll.BDP($A32,"BEST_SALES","BEST_FPERIOD_OVERRIDE","1BF","BEST_DATA_DATE_OVERRIDE",TEXT(YEAR($D$4),"0000")&amp;TEXT(MONTH($D$4),"00")&amp;TEXT(DAY($D$4),"00"))</f>
        <v/>
      </c>
      <c r="E32" s="30">
        <f>_xll.BDP($A32,"BEST_SALES","BEST_FPERIOD_OVERRIDE","1BF","BEST_DATA_DATE_OVERRIDE",TEXT(YEAR($E$4),"0000")&amp;TEXT(MONTH($E$4),"00")&amp;TEXT(DAY($E$4),"00"))</f>
        <v/>
      </c>
      <c r="F32" s="30">
        <f>_xll.BDP($A32,"BEST_SALES","BEST_FPERIOD_OVERRIDE","1BF","BEST_DATA_DATE_OVERRIDE",TEXT(YEAR($F$4),"0000")&amp;TEXT(MONTH($F$4),"00")&amp;TEXT(DAY($F$4),"00"))</f>
        <v/>
      </c>
      <c r="G32" s="22">
        <f>IFERROR(IF(AND(ISNUMBER($C32),ISNUMBER(D32),D32&lt;&gt;0),$C32/D32-1,""),"")</f>
        <v/>
      </c>
      <c r="H32" s="22">
        <f>IFERROR(IF(AND(ISNUMBER($C32),ISNUMBER(E32),E32&lt;&gt;0),$C32/E32-1,""),"")</f>
        <v/>
      </c>
      <c r="I32" s="22">
        <f>IFERROR(IF(AND(ISNUMBER($C32),ISNUMBER(F32),F32&lt;&gt;0),$C32/F32-1,""),"")</f>
        <v/>
      </c>
      <c r="K32" s="54">
        <f>_xll.BDP($A32,"BEST_EPS","BEST_FPERIOD_OVERRIDE","1BF")</f>
        <v/>
      </c>
      <c r="L32" s="54">
        <f>_xll.BDP($A32,"BEST_EPS","BEST_FPERIOD_OVERRIDE","1BF","BEST_DATA_DATE_OVERRIDE",TEXT(YEAR($D$4),"0000")&amp;TEXT(MONTH($D$4),"00")&amp;TEXT(DAY($D$4),"00"))</f>
        <v/>
      </c>
      <c r="M32" s="54">
        <f>_xll.BDP($A32,"BEST_EPS","BEST_FPERIOD_OVERRIDE","1BF","BEST_DATA_DATE_OVERRIDE",TEXT(YEAR($E$4),"0000")&amp;TEXT(MONTH($E$4),"00")&amp;TEXT(DAY($E$4),"00"))</f>
        <v/>
      </c>
      <c r="N32" s="54">
        <f>_xll.BDP($A32,"BEST_EPS","BEST_FPERIOD_OVERRIDE","1BF","BEST_DATA_DATE_OVERRIDE",TEXT(YEAR($F$4),"0000")&amp;TEXT(MONTH($F$4),"00")&amp;TEXT(DAY($F$4),"00"))</f>
        <v/>
      </c>
      <c r="O32" s="22">
        <f>IFERROR(IF(AND(ISNUMBER($K32),ISNUMBER(L32),L32&lt;&gt;0),$K32/L32-1,""),"")</f>
        <v/>
      </c>
      <c r="P32" s="22">
        <f>IFERROR(IF(AND(ISNUMBER($K32),ISNUMBER(M32),M32&lt;&gt;0),$K32/M32-1,""),"")</f>
        <v/>
      </c>
      <c r="Q32" s="22">
        <f>IFERROR(IF(AND(ISNUMBER($K32),ISNUMBER(N32),N32&lt;&gt;0),$K32/N32-1,""),"")</f>
        <v/>
      </c>
    </row>
    <row r="33">
      <c r="A33" s="19">
        <f>Tickers!$D$32</f>
        <v/>
      </c>
      <c r="C33" s="30">
        <f>_xll.BDP($A33,"BEST_SALES","BEST_FPERIOD_OVERRIDE","1BF")</f>
        <v/>
      </c>
      <c r="D33" s="30">
        <f>_xll.BDP($A33,"BEST_SALES","BEST_FPERIOD_OVERRIDE","1BF","BEST_DATA_DATE_OVERRIDE",TEXT(YEAR($D$4),"0000")&amp;TEXT(MONTH($D$4),"00")&amp;TEXT(DAY($D$4),"00"))</f>
        <v/>
      </c>
      <c r="E33" s="30">
        <f>_xll.BDP($A33,"BEST_SALES","BEST_FPERIOD_OVERRIDE","1BF","BEST_DATA_DATE_OVERRIDE",TEXT(YEAR($E$4),"0000")&amp;TEXT(MONTH($E$4),"00")&amp;TEXT(DAY($E$4),"00"))</f>
        <v/>
      </c>
      <c r="F33" s="30">
        <f>_xll.BDP($A33,"BEST_SALES","BEST_FPERIOD_OVERRIDE","1BF","BEST_DATA_DATE_OVERRIDE",TEXT(YEAR($F$4),"0000")&amp;TEXT(MONTH($F$4),"00")&amp;TEXT(DAY($F$4),"00"))</f>
        <v/>
      </c>
      <c r="G33" s="22">
        <f>IFERROR(IF(AND(ISNUMBER($C33),ISNUMBER(D33),D33&lt;&gt;0),$C33/D33-1,""),"")</f>
        <v/>
      </c>
      <c r="H33" s="22">
        <f>IFERROR(IF(AND(ISNUMBER($C33),ISNUMBER(E33),E33&lt;&gt;0),$C33/E33-1,""),"")</f>
        <v/>
      </c>
      <c r="I33" s="22">
        <f>IFERROR(IF(AND(ISNUMBER($C33),ISNUMBER(F33),F33&lt;&gt;0),$C33/F33-1,""),"")</f>
        <v/>
      </c>
      <c r="K33" s="54">
        <f>_xll.BDP($A33,"BEST_EPS","BEST_FPERIOD_OVERRIDE","1BF")</f>
        <v/>
      </c>
      <c r="L33" s="54">
        <f>_xll.BDP($A33,"BEST_EPS","BEST_FPERIOD_OVERRIDE","1BF","BEST_DATA_DATE_OVERRIDE",TEXT(YEAR($D$4),"0000")&amp;TEXT(MONTH($D$4),"00")&amp;TEXT(DAY($D$4),"00"))</f>
        <v/>
      </c>
      <c r="M33" s="54">
        <f>_xll.BDP($A33,"BEST_EPS","BEST_FPERIOD_OVERRIDE","1BF","BEST_DATA_DATE_OVERRIDE",TEXT(YEAR($E$4),"0000")&amp;TEXT(MONTH($E$4),"00")&amp;TEXT(DAY($E$4),"00"))</f>
        <v/>
      </c>
      <c r="N33" s="54">
        <f>_xll.BDP($A33,"BEST_EPS","BEST_FPERIOD_OVERRIDE","1BF","BEST_DATA_DATE_OVERRIDE",TEXT(YEAR($F$4),"0000")&amp;TEXT(MONTH($F$4),"00")&amp;TEXT(DAY($F$4),"00"))</f>
        <v/>
      </c>
      <c r="O33" s="22">
        <f>IFERROR(IF(AND(ISNUMBER($K33),ISNUMBER(L33),L33&lt;&gt;0),$K33/L33-1,""),"")</f>
        <v/>
      </c>
      <c r="P33" s="22">
        <f>IFERROR(IF(AND(ISNUMBER($K33),ISNUMBER(M33),M33&lt;&gt;0),$K33/M33-1,""),"")</f>
        <v/>
      </c>
      <c r="Q33" s="22">
        <f>IFERROR(IF(AND(ISNUMBER($K33),ISNUMBER(N33),N33&lt;&gt;0),$K33/N33-1,""),"")</f>
        <v/>
      </c>
    </row>
    <row r="34">
      <c r="A34" s="19">
        <f>Tickers!$D$33</f>
        <v/>
      </c>
      <c r="C34" s="30">
        <f>_xll.BDP($A34,"BEST_SALES","BEST_FPERIOD_OVERRIDE","1BF")</f>
        <v/>
      </c>
      <c r="D34" s="30">
        <f>_xll.BDP($A34,"BEST_SALES","BEST_FPERIOD_OVERRIDE","1BF","BEST_DATA_DATE_OVERRIDE",TEXT(YEAR($D$4),"0000")&amp;TEXT(MONTH($D$4),"00")&amp;TEXT(DAY($D$4),"00"))</f>
        <v/>
      </c>
      <c r="E34" s="30">
        <f>_xll.BDP($A34,"BEST_SALES","BEST_FPERIOD_OVERRIDE","1BF","BEST_DATA_DATE_OVERRIDE",TEXT(YEAR($E$4),"0000")&amp;TEXT(MONTH($E$4),"00")&amp;TEXT(DAY($E$4),"00"))</f>
        <v/>
      </c>
      <c r="F34" s="30">
        <f>_xll.BDP($A34,"BEST_SALES","BEST_FPERIOD_OVERRIDE","1BF","BEST_DATA_DATE_OVERRIDE",TEXT(YEAR($F$4),"0000")&amp;TEXT(MONTH($F$4),"00")&amp;TEXT(DAY($F$4),"00"))</f>
        <v/>
      </c>
      <c r="G34" s="22">
        <f>IFERROR(IF(AND(ISNUMBER($C34),ISNUMBER(D34),D34&lt;&gt;0),$C34/D34-1,""),"")</f>
        <v/>
      </c>
      <c r="H34" s="22">
        <f>IFERROR(IF(AND(ISNUMBER($C34),ISNUMBER(E34),E34&lt;&gt;0),$C34/E34-1,""),"")</f>
        <v/>
      </c>
      <c r="I34" s="22">
        <f>IFERROR(IF(AND(ISNUMBER($C34),ISNUMBER(F34),F34&lt;&gt;0),$C34/F34-1,""),"")</f>
        <v/>
      </c>
      <c r="K34" s="54">
        <f>_xll.BDP($A34,"BEST_EPS","BEST_FPERIOD_OVERRIDE","1BF")</f>
        <v/>
      </c>
      <c r="L34" s="54">
        <f>_xll.BDP($A34,"BEST_EPS","BEST_FPERIOD_OVERRIDE","1BF","BEST_DATA_DATE_OVERRIDE",TEXT(YEAR($D$4),"0000")&amp;TEXT(MONTH($D$4),"00")&amp;TEXT(DAY($D$4),"00"))</f>
        <v/>
      </c>
      <c r="M34" s="54">
        <f>_xll.BDP($A34,"BEST_EPS","BEST_FPERIOD_OVERRIDE","1BF","BEST_DATA_DATE_OVERRIDE",TEXT(YEAR($E$4),"0000")&amp;TEXT(MONTH($E$4),"00")&amp;TEXT(DAY($E$4),"00"))</f>
        <v/>
      </c>
      <c r="N34" s="54">
        <f>_xll.BDP($A34,"BEST_EPS","BEST_FPERIOD_OVERRIDE","1BF","BEST_DATA_DATE_OVERRIDE",TEXT(YEAR($F$4),"0000")&amp;TEXT(MONTH($F$4),"00")&amp;TEXT(DAY($F$4),"00"))</f>
        <v/>
      </c>
      <c r="O34" s="22">
        <f>IFERROR(IF(AND(ISNUMBER($K34),ISNUMBER(L34),L34&lt;&gt;0),$K34/L34-1,""),"")</f>
        <v/>
      </c>
      <c r="P34" s="22">
        <f>IFERROR(IF(AND(ISNUMBER($K34),ISNUMBER(M34),M34&lt;&gt;0),$K34/M34-1,""),"")</f>
        <v/>
      </c>
      <c r="Q34" s="22">
        <f>IFERROR(IF(AND(ISNUMBER($K34),ISNUMBER(N34),N34&lt;&gt;0),$K34/N34-1,""),"")</f>
        <v/>
      </c>
    </row>
    <row r="35">
      <c r="A35" s="19">
        <f>Tickers!$D$34</f>
        <v/>
      </c>
      <c r="C35" s="30">
        <f>_xll.BDP($A35,"BEST_SALES","BEST_FPERIOD_OVERRIDE","1BF")</f>
        <v/>
      </c>
      <c r="D35" s="30">
        <f>_xll.BDP($A35,"BEST_SALES","BEST_FPERIOD_OVERRIDE","1BF","BEST_DATA_DATE_OVERRIDE",TEXT(YEAR($D$4),"0000")&amp;TEXT(MONTH($D$4),"00")&amp;TEXT(DAY($D$4),"00"))</f>
        <v/>
      </c>
      <c r="E35" s="30">
        <f>_xll.BDP($A35,"BEST_SALES","BEST_FPERIOD_OVERRIDE","1BF","BEST_DATA_DATE_OVERRIDE",TEXT(YEAR($E$4),"0000")&amp;TEXT(MONTH($E$4),"00")&amp;TEXT(DAY($E$4),"00"))</f>
        <v/>
      </c>
      <c r="F35" s="30">
        <f>_xll.BDP($A35,"BEST_SALES","BEST_FPERIOD_OVERRIDE","1BF","BEST_DATA_DATE_OVERRIDE",TEXT(YEAR($F$4),"0000")&amp;TEXT(MONTH($F$4),"00")&amp;TEXT(DAY($F$4),"00"))</f>
        <v/>
      </c>
      <c r="G35" s="22">
        <f>IFERROR(IF(AND(ISNUMBER($C35),ISNUMBER(D35),D35&lt;&gt;0),$C35/D35-1,""),"")</f>
        <v/>
      </c>
      <c r="H35" s="22">
        <f>IFERROR(IF(AND(ISNUMBER($C35),ISNUMBER(E35),E35&lt;&gt;0),$C35/E35-1,""),"")</f>
        <v/>
      </c>
      <c r="I35" s="22">
        <f>IFERROR(IF(AND(ISNUMBER($C35),ISNUMBER(F35),F35&lt;&gt;0),$C35/F35-1,""),"")</f>
        <v/>
      </c>
      <c r="K35" s="54">
        <f>_xll.BDP($A35,"BEST_EPS","BEST_FPERIOD_OVERRIDE","1BF")</f>
        <v/>
      </c>
      <c r="L35" s="54">
        <f>_xll.BDP($A35,"BEST_EPS","BEST_FPERIOD_OVERRIDE","1BF","BEST_DATA_DATE_OVERRIDE",TEXT(YEAR($D$4),"0000")&amp;TEXT(MONTH($D$4),"00")&amp;TEXT(DAY($D$4),"00"))</f>
        <v/>
      </c>
      <c r="M35" s="54">
        <f>_xll.BDP($A35,"BEST_EPS","BEST_FPERIOD_OVERRIDE","1BF","BEST_DATA_DATE_OVERRIDE",TEXT(YEAR($E$4),"0000")&amp;TEXT(MONTH($E$4),"00")&amp;TEXT(DAY($E$4),"00"))</f>
        <v/>
      </c>
      <c r="N35" s="54">
        <f>_xll.BDP($A35,"BEST_EPS","BEST_FPERIOD_OVERRIDE","1BF","BEST_DATA_DATE_OVERRIDE",TEXT(YEAR($F$4),"0000")&amp;TEXT(MONTH($F$4),"00")&amp;TEXT(DAY($F$4),"00"))</f>
        <v/>
      </c>
      <c r="O35" s="22">
        <f>IFERROR(IF(AND(ISNUMBER($K35),ISNUMBER(L35),L35&lt;&gt;0),$K35/L35-1,""),"")</f>
        <v/>
      </c>
      <c r="P35" s="22">
        <f>IFERROR(IF(AND(ISNUMBER($K35),ISNUMBER(M35),M35&lt;&gt;0),$K35/M35-1,""),"")</f>
        <v/>
      </c>
      <c r="Q35" s="22">
        <f>IFERROR(IF(AND(ISNUMBER($K35),ISNUMBER(N35),N35&lt;&gt;0),$K35/N35-1,""),"")</f>
        <v/>
      </c>
    </row>
    <row r="36">
      <c r="A36" s="19">
        <f>Tickers!$D$35</f>
        <v/>
      </c>
      <c r="C36" s="30">
        <f>_xll.BDP($A36,"BEST_SALES","BEST_FPERIOD_OVERRIDE","1BF")</f>
        <v/>
      </c>
      <c r="D36" s="30">
        <f>_xll.BDP($A36,"BEST_SALES","BEST_FPERIOD_OVERRIDE","1BF","BEST_DATA_DATE_OVERRIDE",TEXT(YEAR($D$4),"0000")&amp;TEXT(MONTH($D$4),"00")&amp;TEXT(DAY($D$4),"00"))</f>
        <v/>
      </c>
      <c r="E36" s="30">
        <f>_xll.BDP($A36,"BEST_SALES","BEST_FPERIOD_OVERRIDE","1BF","BEST_DATA_DATE_OVERRIDE",TEXT(YEAR($E$4),"0000")&amp;TEXT(MONTH($E$4),"00")&amp;TEXT(DAY($E$4),"00"))</f>
        <v/>
      </c>
      <c r="F36" s="30">
        <f>_xll.BDP($A36,"BEST_SALES","BEST_FPERIOD_OVERRIDE","1BF","BEST_DATA_DATE_OVERRIDE",TEXT(YEAR($F$4),"0000")&amp;TEXT(MONTH($F$4),"00")&amp;TEXT(DAY($F$4),"00"))</f>
        <v/>
      </c>
      <c r="G36" s="22">
        <f>IFERROR(IF(AND(ISNUMBER($C36),ISNUMBER(D36),D36&lt;&gt;0),$C36/D36-1,""),"")</f>
        <v/>
      </c>
      <c r="H36" s="22">
        <f>IFERROR(IF(AND(ISNUMBER($C36),ISNUMBER(E36),E36&lt;&gt;0),$C36/E36-1,""),"")</f>
        <v/>
      </c>
      <c r="I36" s="22">
        <f>IFERROR(IF(AND(ISNUMBER($C36),ISNUMBER(F36),F36&lt;&gt;0),$C36/F36-1,""),"")</f>
        <v/>
      </c>
      <c r="K36" s="54">
        <f>_xll.BDP($A36,"BEST_EPS","BEST_FPERIOD_OVERRIDE","1BF")</f>
        <v/>
      </c>
      <c r="L36" s="54">
        <f>_xll.BDP($A36,"BEST_EPS","BEST_FPERIOD_OVERRIDE","1BF","BEST_DATA_DATE_OVERRIDE",TEXT(YEAR($D$4),"0000")&amp;TEXT(MONTH($D$4),"00")&amp;TEXT(DAY($D$4),"00"))</f>
        <v/>
      </c>
      <c r="M36" s="54">
        <f>_xll.BDP($A36,"BEST_EPS","BEST_FPERIOD_OVERRIDE","1BF","BEST_DATA_DATE_OVERRIDE",TEXT(YEAR($E$4),"0000")&amp;TEXT(MONTH($E$4),"00")&amp;TEXT(DAY($E$4),"00"))</f>
        <v/>
      </c>
      <c r="N36" s="54">
        <f>_xll.BDP($A36,"BEST_EPS","BEST_FPERIOD_OVERRIDE","1BF","BEST_DATA_DATE_OVERRIDE",TEXT(YEAR($F$4),"0000")&amp;TEXT(MONTH($F$4),"00")&amp;TEXT(DAY($F$4),"00"))</f>
        <v/>
      </c>
      <c r="O36" s="22">
        <f>IFERROR(IF(AND(ISNUMBER($K36),ISNUMBER(L36),L36&lt;&gt;0),$K36/L36-1,""),"")</f>
        <v/>
      </c>
      <c r="P36" s="22">
        <f>IFERROR(IF(AND(ISNUMBER($K36),ISNUMBER(M36),M36&lt;&gt;0),$K36/M36-1,""),"")</f>
        <v/>
      </c>
      <c r="Q36" s="22">
        <f>IFERROR(IF(AND(ISNUMBER($K36),ISNUMBER(N36),N36&lt;&gt;0),$K36/N36-1,""),"")</f>
        <v/>
      </c>
    </row>
    <row r="37">
      <c r="A37" s="19">
        <f>Tickers!$D$36</f>
        <v/>
      </c>
      <c r="C37" s="30">
        <f>_xll.BDP($A37,"BEST_SALES","BEST_FPERIOD_OVERRIDE","1BF")</f>
        <v/>
      </c>
      <c r="D37" s="30">
        <f>_xll.BDP($A37,"BEST_SALES","BEST_FPERIOD_OVERRIDE","1BF","BEST_DATA_DATE_OVERRIDE",TEXT(YEAR($D$4),"0000")&amp;TEXT(MONTH($D$4),"00")&amp;TEXT(DAY($D$4),"00"))</f>
        <v/>
      </c>
      <c r="E37" s="30">
        <f>_xll.BDP($A37,"BEST_SALES","BEST_FPERIOD_OVERRIDE","1BF","BEST_DATA_DATE_OVERRIDE",TEXT(YEAR($E$4),"0000")&amp;TEXT(MONTH($E$4),"00")&amp;TEXT(DAY($E$4),"00"))</f>
        <v/>
      </c>
      <c r="F37" s="30">
        <f>_xll.BDP($A37,"BEST_SALES","BEST_FPERIOD_OVERRIDE","1BF","BEST_DATA_DATE_OVERRIDE",TEXT(YEAR($F$4),"0000")&amp;TEXT(MONTH($F$4),"00")&amp;TEXT(DAY($F$4),"00"))</f>
        <v/>
      </c>
      <c r="G37" s="22">
        <f>IFERROR(IF(AND(ISNUMBER($C37),ISNUMBER(D37),D37&lt;&gt;0),$C37/D37-1,""),"")</f>
        <v/>
      </c>
      <c r="H37" s="22">
        <f>IFERROR(IF(AND(ISNUMBER($C37),ISNUMBER(E37),E37&lt;&gt;0),$C37/E37-1,""),"")</f>
        <v/>
      </c>
      <c r="I37" s="22">
        <f>IFERROR(IF(AND(ISNUMBER($C37),ISNUMBER(F37),F37&lt;&gt;0),$C37/F37-1,""),"")</f>
        <v/>
      </c>
      <c r="K37" s="54">
        <f>_xll.BDP($A37,"BEST_EPS","BEST_FPERIOD_OVERRIDE","1BF")</f>
        <v/>
      </c>
      <c r="L37" s="54">
        <f>_xll.BDP($A37,"BEST_EPS","BEST_FPERIOD_OVERRIDE","1BF","BEST_DATA_DATE_OVERRIDE",TEXT(YEAR($D$4),"0000")&amp;TEXT(MONTH($D$4),"00")&amp;TEXT(DAY($D$4),"00"))</f>
        <v/>
      </c>
      <c r="M37" s="54">
        <f>_xll.BDP($A37,"BEST_EPS","BEST_FPERIOD_OVERRIDE","1BF","BEST_DATA_DATE_OVERRIDE",TEXT(YEAR($E$4),"0000")&amp;TEXT(MONTH($E$4),"00")&amp;TEXT(DAY($E$4),"00"))</f>
        <v/>
      </c>
      <c r="N37" s="54">
        <f>_xll.BDP($A37,"BEST_EPS","BEST_FPERIOD_OVERRIDE","1BF","BEST_DATA_DATE_OVERRIDE",TEXT(YEAR($F$4),"0000")&amp;TEXT(MONTH($F$4),"00")&amp;TEXT(DAY($F$4),"00"))</f>
        <v/>
      </c>
      <c r="O37" s="22">
        <f>IFERROR(IF(AND(ISNUMBER($K37),ISNUMBER(L37),L37&lt;&gt;0),$K37/L37-1,""),"")</f>
        <v/>
      </c>
      <c r="P37" s="22">
        <f>IFERROR(IF(AND(ISNUMBER($K37),ISNUMBER(M37),M37&lt;&gt;0),$K37/M37-1,""),"")</f>
        <v/>
      </c>
      <c r="Q37" s="22">
        <f>IFERROR(IF(AND(ISNUMBER($K37),ISNUMBER(N37),N37&lt;&gt;0),$K37/N37-1,""),"")</f>
        <v/>
      </c>
    </row>
    <row r="38">
      <c r="A38" s="19">
        <f>Tickers!$D$37</f>
        <v/>
      </c>
      <c r="C38" s="30">
        <f>_xll.BDP($A38,"BEST_SALES","BEST_FPERIOD_OVERRIDE","1BF")</f>
        <v/>
      </c>
      <c r="D38" s="30">
        <f>_xll.BDP($A38,"BEST_SALES","BEST_FPERIOD_OVERRIDE","1BF","BEST_DATA_DATE_OVERRIDE",TEXT(YEAR($D$4),"0000")&amp;TEXT(MONTH($D$4),"00")&amp;TEXT(DAY($D$4),"00"))</f>
        <v/>
      </c>
      <c r="E38" s="30">
        <f>_xll.BDP($A38,"BEST_SALES","BEST_FPERIOD_OVERRIDE","1BF","BEST_DATA_DATE_OVERRIDE",TEXT(YEAR($E$4),"0000")&amp;TEXT(MONTH($E$4),"00")&amp;TEXT(DAY($E$4),"00"))</f>
        <v/>
      </c>
      <c r="F38" s="30">
        <f>_xll.BDP($A38,"BEST_SALES","BEST_FPERIOD_OVERRIDE","1BF","BEST_DATA_DATE_OVERRIDE",TEXT(YEAR($F$4),"0000")&amp;TEXT(MONTH($F$4),"00")&amp;TEXT(DAY($F$4),"00"))</f>
        <v/>
      </c>
      <c r="G38" s="22">
        <f>IFERROR(IF(AND(ISNUMBER($C38),ISNUMBER(D38),D38&lt;&gt;0),$C38/D38-1,""),"")</f>
        <v/>
      </c>
      <c r="H38" s="22">
        <f>IFERROR(IF(AND(ISNUMBER($C38),ISNUMBER(E38),E38&lt;&gt;0),$C38/E38-1,""),"")</f>
        <v/>
      </c>
      <c r="I38" s="22">
        <f>IFERROR(IF(AND(ISNUMBER($C38),ISNUMBER(F38),F38&lt;&gt;0),$C38/F38-1,""),"")</f>
        <v/>
      </c>
      <c r="K38" s="54">
        <f>_xll.BDP($A38,"BEST_EPS","BEST_FPERIOD_OVERRIDE","1BF")</f>
        <v/>
      </c>
      <c r="L38" s="54">
        <f>_xll.BDP($A38,"BEST_EPS","BEST_FPERIOD_OVERRIDE","1BF","BEST_DATA_DATE_OVERRIDE",TEXT(YEAR($D$4),"0000")&amp;TEXT(MONTH($D$4),"00")&amp;TEXT(DAY($D$4),"00"))</f>
        <v/>
      </c>
      <c r="M38" s="54">
        <f>_xll.BDP($A38,"BEST_EPS","BEST_FPERIOD_OVERRIDE","1BF","BEST_DATA_DATE_OVERRIDE",TEXT(YEAR($E$4),"0000")&amp;TEXT(MONTH($E$4),"00")&amp;TEXT(DAY($E$4),"00"))</f>
        <v/>
      </c>
      <c r="N38" s="54">
        <f>_xll.BDP($A38,"BEST_EPS","BEST_FPERIOD_OVERRIDE","1BF","BEST_DATA_DATE_OVERRIDE",TEXT(YEAR($F$4),"0000")&amp;TEXT(MONTH($F$4),"00")&amp;TEXT(DAY($F$4),"00"))</f>
        <v/>
      </c>
      <c r="O38" s="22">
        <f>IFERROR(IF(AND(ISNUMBER($K38),ISNUMBER(L38),L38&lt;&gt;0),$K38/L38-1,""),"")</f>
        <v/>
      </c>
      <c r="P38" s="22">
        <f>IFERROR(IF(AND(ISNUMBER($K38),ISNUMBER(M38),M38&lt;&gt;0),$K38/M38-1,""),"")</f>
        <v/>
      </c>
      <c r="Q38" s="22">
        <f>IFERROR(IF(AND(ISNUMBER($K38),ISNUMBER(N38),N38&lt;&gt;0),$K38/N38-1,""),"")</f>
        <v/>
      </c>
    </row>
    <row r="39">
      <c r="A39" s="19">
        <f>Tickers!$D$38</f>
        <v/>
      </c>
      <c r="C39" s="30">
        <f>_xll.BDP($A39,"BEST_SALES","BEST_FPERIOD_OVERRIDE","1BF")</f>
        <v/>
      </c>
      <c r="D39" s="30">
        <f>_xll.BDP($A39,"BEST_SALES","BEST_FPERIOD_OVERRIDE","1BF","BEST_DATA_DATE_OVERRIDE",TEXT(YEAR($D$4),"0000")&amp;TEXT(MONTH($D$4),"00")&amp;TEXT(DAY($D$4),"00"))</f>
        <v/>
      </c>
      <c r="E39" s="30">
        <f>_xll.BDP($A39,"BEST_SALES","BEST_FPERIOD_OVERRIDE","1BF","BEST_DATA_DATE_OVERRIDE",TEXT(YEAR($E$4),"0000")&amp;TEXT(MONTH($E$4),"00")&amp;TEXT(DAY($E$4),"00"))</f>
        <v/>
      </c>
      <c r="F39" s="30">
        <f>_xll.BDP($A39,"BEST_SALES","BEST_FPERIOD_OVERRIDE","1BF","BEST_DATA_DATE_OVERRIDE",TEXT(YEAR($F$4),"0000")&amp;TEXT(MONTH($F$4),"00")&amp;TEXT(DAY($F$4),"00"))</f>
        <v/>
      </c>
      <c r="G39" s="22">
        <f>IFERROR(IF(AND(ISNUMBER($C39),ISNUMBER(D39),D39&lt;&gt;0),$C39/D39-1,""),"")</f>
        <v/>
      </c>
      <c r="H39" s="22">
        <f>IFERROR(IF(AND(ISNUMBER($C39),ISNUMBER(E39),E39&lt;&gt;0),$C39/E39-1,""),"")</f>
        <v/>
      </c>
      <c r="I39" s="22">
        <f>IFERROR(IF(AND(ISNUMBER($C39),ISNUMBER(F39),F39&lt;&gt;0),$C39/F39-1,""),"")</f>
        <v/>
      </c>
      <c r="K39" s="54">
        <f>_xll.BDP($A39,"BEST_EPS","BEST_FPERIOD_OVERRIDE","1BF")</f>
        <v/>
      </c>
      <c r="L39" s="54">
        <f>_xll.BDP($A39,"BEST_EPS","BEST_FPERIOD_OVERRIDE","1BF","BEST_DATA_DATE_OVERRIDE",TEXT(YEAR($D$4),"0000")&amp;TEXT(MONTH($D$4),"00")&amp;TEXT(DAY($D$4),"00"))</f>
        <v/>
      </c>
      <c r="M39" s="54">
        <f>_xll.BDP($A39,"BEST_EPS","BEST_FPERIOD_OVERRIDE","1BF","BEST_DATA_DATE_OVERRIDE",TEXT(YEAR($E$4),"0000")&amp;TEXT(MONTH($E$4),"00")&amp;TEXT(DAY($E$4),"00"))</f>
        <v/>
      </c>
      <c r="N39" s="54">
        <f>_xll.BDP($A39,"BEST_EPS","BEST_FPERIOD_OVERRIDE","1BF","BEST_DATA_DATE_OVERRIDE",TEXT(YEAR($F$4),"0000")&amp;TEXT(MONTH($F$4),"00")&amp;TEXT(DAY($F$4),"00"))</f>
        <v/>
      </c>
      <c r="O39" s="22">
        <f>IFERROR(IF(AND(ISNUMBER($K39),ISNUMBER(L39),L39&lt;&gt;0),$K39/L39-1,""),"")</f>
        <v/>
      </c>
      <c r="P39" s="22">
        <f>IFERROR(IF(AND(ISNUMBER($K39),ISNUMBER(M39),M39&lt;&gt;0),$K39/M39-1,""),"")</f>
        <v/>
      </c>
      <c r="Q39" s="22">
        <f>IFERROR(IF(AND(ISNUMBER($K39),ISNUMBER(N39),N39&lt;&gt;0),$K39/N39-1,""),"")</f>
        <v/>
      </c>
    </row>
    <row r="40">
      <c r="A40" s="19">
        <f>Tickers!$D$39</f>
        <v/>
      </c>
      <c r="C40" s="30">
        <f>_xll.BDP($A40,"BEST_SALES","BEST_FPERIOD_OVERRIDE","1BF")</f>
        <v/>
      </c>
      <c r="D40" s="30">
        <f>_xll.BDP($A40,"BEST_SALES","BEST_FPERIOD_OVERRIDE","1BF","BEST_DATA_DATE_OVERRIDE",TEXT(YEAR($D$4),"0000")&amp;TEXT(MONTH($D$4),"00")&amp;TEXT(DAY($D$4),"00"))</f>
        <v/>
      </c>
      <c r="E40" s="30">
        <f>_xll.BDP($A40,"BEST_SALES","BEST_FPERIOD_OVERRIDE","1BF","BEST_DATA_DATE_OVERRIDE",TEXT(YEAR($E$4),"0000")&amp;TEXT(MONTH($E$4),"00")&amp;TEXT(DAY($E$4),"00"))</f>
        <v/>
      </c>
      <c r="F40" s="30">
        <f>_xll.BDP($A40,"BEST_SALES","BEST_FPERIOD_OVERRIDE","1BF","BEST_DATA_DATE_OVERRIDE",TEXT(YEAR($F$4),"0000")&amp;TEXT(MONTH($F$4),"00")&amp;TEXT(DAY($F$4),"00"))</f>
        <v/>
      </c>
      <c r="G40" s="22">
        <f>IFERROR(IF(AND(ISNUMBER($C40),ISNUMBER(D40),D40&lt;&gt;0),$C40/D40-1,""),"")</f>
        <v/>
      </c>
      <c r="H40" s="22">
        <f>IFERROR(IF(AND(ISNUMBER($C40),ISNUMBER(E40),E40&lt;&gt;0),$C40/E40-1,""),"")</f>
        <v/>
      </c>
      <c r="I40" s="22">
        <f>IFERROR(IF(AND(ISNUMBER($C40),ISNUMBER(F40),F40&lt;&gt;0),$C40/F40-1,""),"")</f>
        <v/>
      </c>
      <c r="K40" s="54">
        <f>_xll.BDP($A40,"BEST_EPS","BEST_FPERIOD_OVERRIDE","1BF")</f>
        <v/>
      </c>
      <c r="L40" s="54">
        <f>_xll.BDP($A40,"BEST_EPS","BEST_FPERIOD_OVERRIDE","1BF","BEST_DATA_DATE_OVERRIDE",TEXT(YEAR($D$4),"0000")&amp;TEXT(MONTH($D$4),"00")&amp;TEXT(DAY($D$4),"00"))</f>
        <v/>
      </c>
      <c r="M40" s="54">
        <f>_xll.BDP($A40,"BEST_EPS","BEST_FPERIOD_OVERRIDE","1BF","BEST_DATA_DATE_OVERRIDE",TEXT(YEAR($E$4),"0000")&amp;TEXT(MONTH($E$4),"00")&amp;TEXT(DAY($E$4),"00"))</f>
        <v/>
      </c>
      <c r="N40" s="54">
        <f>_xll.BDP($A40,"BEST_EPS","BEST_FPERIOD_OVERRIDE","1BF","BEST_DATA_DATE_OVERRIDE",TEXT(YEAR($F$4),"0000")&amp;TEXT(MONTH($F$4),"00")&amp;TEXT(DAY($F$4),"00"))</f>
        <v/>
      </c>
      <c r="O40" s="22">
        <f>IFERROR(IF(AND(ISNUMBER($K40),ISNUMBER(L40),L40&lt;&gt;0),$K40/L40-1,""),"")</f>
        <v/>
      </c>
      <c r="P40" s="22">
        <f>IFERROR(IF(AND(ISNUMBER($K40),ISNUMBER(M40),M40&lt;&gt;0),$K40/M40-1,""),"")</f>
        <v/>
      </c>
      <c r="Q40" s="22">
        <f>IFERROR(IF(AND(ISNUMBER($K40),ISNUMBER(N40),N40&lt;&gt;0),$K40/N40-1,""),"")</f>
        <v/>
      </c>
    </row>
    <row r="41">
      <c r="A41" s="19">
        <f>Tickers!$D$40</f>
        <v/>
      </c>
      <c r="C41" s="30">
        <f>_xll.BDP($A41,"BEST_SALES","BEST_FPERIOD_OVERRIDE","1BF")</f>
        <v/>
      </c>
      <c r="D41" s="30">
        <f>_xll.BDP($A41,"BEST_SALES","BEST_FPERIOD_OVERRIDE","1BF","BEST_DATA_DATE_OVERRIDE",TEXT(YEAR($D$4),"0000")&amp;TEXT(MONTH($D$4),"00")&amp;TEXT(DAY($D$4),"00"))</f>
        <v/>
      </c>
      <c r="E41" s="30">
        <f>_xll.BDP($A41,"BEST_SALES","BEST_FPERIOD_OVERRIDE","1BF","BEST_DATA_DATE_OVERRIDE",TEXT(YEAR($E$4),"0000")&amp;TEXT(MONTH($E$4),"00")&amp;TEXT(DAY($E$4),"00"))</f>
        <v/>
      </c>
      <c r="F41" s="30">
        <f>_xll.BDP($A41,"BEST_SALES","BEST_FPERIOD_OVERRIDE","1BF","BEST_DATA_DATE_OVERRIDE",TEXT(YEAR($F$4),"0000")&amp;TEXT(MONTH($F$4),"00")&amp;TEXT(DAY($F$4),"00"))</f>
        <v/>
      </c>
      <c r="G41" s="22">
        <f>IFERROR(IF(AND(ISNUMBER($C41),ISNUMBER(D41),D41&lt;&gt;0),$C41/D41-1,""),"")</f>
        <v/>
      </c>
      <c r="H41" s="22">
        <f>IFERROR(IF(AND(ISNUMBER($C41),ISNUMBER(E41),E41&lt;&gt;0),$C41/E41-1,""),"")</f>
        <v/>
      </c>
      <c r="I41" s="22">
        <f>IFERROR(IF(AND(ISNUMBER($C41),ISNUMBER(F41),F41&lt;&gt;0),$C41/F41-1,""),"")</f>
        <v/>
      </c>
      <c r="K41" s="54">
        <f>_xll.BDP($A41,"BEST_EPS","BEST_FPERIOD_OVERRIDE","1BF")</f>
        <v/>
      </c>
      <c r="L41" s="54">
        <f>_xll.BDP($A41,"BEST_EPS","BEST_FPERIOD_OVERRIDE","1BF","BEST_DATA_DATE_OVERRIDE",TEXT(YEAR($D$4),"0000")&amp;TEXT(MONTH($D$4),"00")&amp;TEXT(DAY($D$4),"00"))</f>
        <v/>
      </c>
      <c r="M41" s="54">
        <f>_xll.BDP($A41,"BEST_EPS","BEST_FPERIOD_OVERRIDE","1BF","BEST_DATA_DATE_OVERRIDE",TEXT(YEAR($E$4),"0000")&amp;TEXT(MONTH($E$4),"00")&amp;TEXT(DAY($E$4),"00"))</f>
        <v/>
      </c>
      <c r="N41" s="54">
        <f>_xll.BDP($A41,"BEST_EPS","BEST_FPERIOD_OVERRIDE","1BF","BEST_DATA_DATE_OVERRIDE",TEXT(YEAR($F$4),"0000")&amp;TEXT(MONTH($F$4),"00")&amp;TEXT(DAY($F$4),"00"))</f>
        <v/>
      </c>
      <c r="O41" s="22">
        <f>IFERROR(IF(AND(ISNUMBER($K41),ISNUMBER(L41),L41&lt;&gt;0),$K41/L41-1,""),"")</f>
        <v/>
      </c>
      <c r="P41" s="22">
        <f>IFERROR(IF(AND(ISNUMBER($K41),ISNUMBER(M41),M41&lt;&gt;0),$K41/M41-1,""),"")</f>
        <v/>
      </c>
      <c r="Q41" s="22">
        <f>IFERROR(IF(AND(ISNUMBER($K41),ISNUMBER(N41),N41&lt;&gt;0),$K41/N41-1,""),"")</f>
        <v/>
      </c>
    </row>
    <row r="42">
      <c r="A42" s="19">
        <f>Tickers!$D$41</f>
        <v/>
      </c>
      <c r="C42" s="30">
        <f>_xll.BDP($A42,"BEST_SALES","BEST_FPERIOD_OVERRIDE","1BF")</f>
        <v/>
      </c>
      <c r="D42" s="30">
        <f>_xll.BDP($A42,"BEST_SALES","BEST_FPERIOD_OVERRIDE","1BF","BEST_DATA_DATE_OVERRIDE",TEXT(YEAR($D$4),"0000")&amp;TEXT(MONTH($D$4),"00")&amp;TEXT(DAY($D$4),"00"))</f>
        <v/>
      </c>
      <c r="E42" s="30">
        <f>_xll.BDP($A42,"BEST_SALES","BEST_FPERIOD_OVERRIDE","1BF","BEST_DATA_DATE_OVERRIDE",TEXT(YEAR($E$4),"0000")&amp;TEXT(MONTH($E$4),"00")&amp;TEXT(DAY($E$4),"00"))</f>
        <v/>
      </c>
      <c r="F42" s="30">
        <f>_xll.BDP($A42,"BEST_SALES","BEST_FPERIOD_OVERRIDE","1BF","BEST_DATA_DATE_OVERRIDE",TEXT(YEAR($F$4),"0000")&amp;TEXT(MONTH($F$4),"00")&amp;TEXT(DAY($F$4),"00"))</f>
        <v/>
      </c>
      <c r="G42" s="22">
        <f>IFERROR(IF(AND(ISNUMBER($C42),ISNUMBER(D42),D42&lt;&gt;0),$C42/D42-1,""),"")</f>
        <v/>
      </c>
      <c r="H42" s="22">
        <f>IFERROR(IF(AND(ISNUMBER($C42),ISNUMBER(E42),E42&lt;&gt;0),$C42/E42-1,""),"")</f>
        <v/>
      </c>
      <c r="I42" s="22">
        <f>IFERROR(IF(AND(ISNUMBER($C42),ISNUMBER(F42),F42&lt;&gt;0),$C42/F42-1,""),"")</f>
        <v/>
      </c>
      <c r="K42" s="54">
        <f>_xll.BDP($A42,"BEST_EPS","BEST_FPERIOD_OVERRIDE","1BF")</f>
        <v/>
      </c>
      <c r="L42" s="54">
        <f>_xll.BDP($A42,"BEST_EPS","BEST_FPERIOD_OVERRIDE","1BF","BEST_DATA_DATE_OVERRIDE",TEXT(YEAR($D$4),"0000")&amp;TEXT(MONTH($D$4),"00")&amp;TEXT(DAY($D$4),"00"))</f>
        <v/>
      </c>
      <c r="M42" s="54">
        <f>_xll.BDP($A42,"BEST_EPS","BEST_FPERIOD_OVERRIDE","1BF","BEST_DATA_DATE_OVERRIDE",TEXT(YEAR($E$4),"0000")&amp;TEXT(MONTH($E$4),"00")&amp;TEXT(DAY($E$4),"00"))</f>
        <v/>
      </c>
      <c r="N42" s="54">
        <f>_xll.BDP($A42,"BEST_EPS","BEST_FPERIOD_OVERRIDE","1BF","BEST_DATA_DATE_OVERRIDE",TEXT(YEAR($F$4),"0000")&amp;TEXT(MONTH($F$4),"00")&amp;TEXT(DAY($F$4),"00"))</f>
        <v/>
      </c>
      <c r="O42" s="22">
        <f>IFERROR(IF(AND(ISNUMBER($K42),ISNUMBER(L42),L42&lt;&gt;0),$K42/L42-1,""),"")</f>
        <v/>
      </c>
      <c r="P42" s="22">
        <f>IFERROR(IF(AND(ISNUMBER($K42),ISNUMBER(M42),M42&lt;&gt;0),$K42/M42-1,""),"")</f>
        <v/>
      </c>
      <c r="Q42" s="22">
        <f>IFERROR(IF(AND(ISNUMBER($K42),ISNUMBER(N42),N42&lt;&gt;0),$K42/N42-1,""),"")</f>
        <v/>
      </c>
    </row>
    <row r="43">
      <c r="A43" s="19">
        <f>Tickers!$D$42</f>
        <v/>
      </c>
      <c r="C43" s="30">
        <f>_xll.BDP($A43,"BEST_SALES","BEST_FPERIOD_OVERRIDE","1BF")</f>
        <v/>
      </c>
      <c r="D43" s="30">
        <f>_xll.BDP($A43,"BEST_SALES","BEST_FPERIOD_OVERRIDE","1BF","BEST_DATA_DATE_OVERRIDE",TEXT(YEAR($D$4),"0000")&amp;TEXT(MONTH($D$4),"00")&amp;TEXT(DAY($D$4),"00"))</f>
        <v/>
      </c>
      <c r="E43" s="30">
        <f>_xll.BDP($A43,"BEST_SALES","BEST_FPERIOD_OVERRIDE","1BF","BEST_DATA_DATE_OVERRIDE",TEXT(YEAR($E$4),"0000")&amp;TEXT(MONTH($E$4),"00")&amp;TEXT(DAY($E$4),"00"))</f>
        <v/>
      </c>
      <c r="F43" s="30">
        <f>_xll.BDP($A43,"BEST_SALES","BEST_FPERIOD_OVERRIDE","1BF","BEST_DATA_DATE_OVERRIDE",TEXT(YEAR($F$4),"0000")&amp;TEXT(MONTH($F$4),"00")&amp;TEXT(DAY($F$4),"00"))</f>
        <v/>
      </c>
      <c r="G43" s="22">
        <f>IFERROR(IF(AND(ISNUMBER($C43),ISNUMBER(D43),D43&lt;&gt;0),$C43/D43-1,""),"")</f>
        <v/>
      </c>
      <c r="H43" s="22">
        <f>IFERROR(IF(AND(ISNUMBER($C43),ISNUMBER(E43),E43&lt;&gt;0),$C43/E43-1,""),"")</f>
        <v/>
      </c>
      <c r="I43" s="22">
        <f>IFERROR(IF(AND(ISNUMBER($C43),ISNUMBER(F43),F43&lt;&gt;0),$C43/F43-1,""),"")</f>
        <v/>
      </c>
      <c r="K43" s="54">
        <f>_xll.BDP($A43,"BEST_EPS","BEST_FPERIOD_OVERRIDE","1BF")</f>
        <v/>
      </c>
      <c r="L43" s="54">
        <f>_xll.BDP($A43,"BEST_EPS","BEST_FPERIOD_OVERRIDE","1BF","BEST_DATA_DATE_OVERRIDE",TEXT(YEAR($D$4),"0000")&amp;TEXT(MONTH($D$4),"00")&amp;TEXT(DAY($D$4),"00"))</f>
        <v/>
      </c>
      <c r="M43" s="54">
        <f>_xll.BDP($A43,"BEST_EPS","BEST_FPERIOD_OVERRIDE","1BF","BEST_DATA_DATE_OVERRIDE",TEXT(YEAR($E$4),"0000")&amp;TEXT(MONTH($E$4),"00")&amp;TEXT(DAY($E$4),"00"))</f>
        <v/>
      </c>
      <c r="N43" s="54">
        <f>_xll.BDP($A43,"BEST_EPS","BEST_FPERIOD_OVERRIDE","1BF","BEST_DATA_DATE_OVERRIDE",TEXT(YEAR($F$4),"0000")&amp;TEXT(MONTH($F$4),"00")&amp;TEXT(DAY($F$4),"00"))</f>
        <v/>
      </c>
      <c r="O43" s="22">
        <f>IFERROR(IF(AND(ISNUMBER($K43),ISNUMBER(L43),L43&lt;&gt;0),$K43/L43-1,""),"")</f>
        <v/>
      </c>
      <c r="P43" s="22">
        <f>IFERROR(IF(AND(ISNUMBER($K43),ISNUMBER(M43),M43&lt;&gt;0),$K43/M43-1,""),"")</f>
        <v/>
      </c>
      <c r="Q43" s="22">
        <f>IFERROR(IF(AND(ISNUMBER($K43),ISNUMBER(N43),N43&lt;&gt;0),$K43/N43-1,""),"")</f>
        <v/>
      </c>
    </row>
    <row r="44">
      <c r="A44" s="19">
        <f>Tickers!$D$43</f>
        <v/>
      </c>
      <c r="C44" s="30">
        <f>_xll.BDP($A44,"BEST_SALES","BEST_FPERIOD_OVERRIDE","1BF")</f>
        <v/>
      </c>
      <c r="D44" s="30">
        <f>_xll.BDP($A44,"BEST_SALES","BEST_FPERIOD_OVERRIDE","1BF","BEST_DATA_DATE_OVERRIDE",TEXT(YEAR($D$4),"0000")&amp;TEXT(MONTH($D$4),"00")&amp;TEXT(DAY($D$4),"00"))</f>
        <v/>
      </c>
      <c r="E44" s="30">
        <f>_xll.BDP($A44,"BEST_SALES","BEST_FPERIOD_OVERRIDE","1BF","BEST_DATA_DATE_OVERRIDE",TEXT(YEAR($E$4),"0000")&amp;TEXT(MONTH($E$4),"00")&amp;TEXT(DAY($E$4),"00"))</f>
        <v/>
      </c>
      <c r="F44" s="30">
        <f>_xll.BDP($A44,"BEST_SALES","BEST_FPERIOD_OVERRIDE","1BF","BEST_DATA_DATE_OVERRIDE",TEXT(YEAR($F$4),"0000")&amp;TEXT(MONTH($F$4),"00")&amp;TEXT(DAY($F$4),"00"))</f>
        <v/>
      </c>
      <c r="G44" s="22">
        <f>IFERROR(IF(AND(ISNUMBER($C44),ISNUMBER(D44),D44&lt;&gt;0),$C44/D44-1,""),"")</f>
        <v/>
      </c>
      <c r="H44" s="22">
        <f>IFERROR(IF(AND(ISNUMBER($C44),ISNUMBER(E44),E44&lt;&gt;0),$C44/E44-1,""),"")</f>
        <v/>
      </c>
      <c r="I44" s="22">
        <f>IFERROR(IF(AND(ISNUMBER($C44),ISNUMBER(F44),F44&lt;&gt;0),$C44/F44-1,""),"")</f>
        <v/>
      </c>
      <c r="K44" s="54">
        <f>_xll.BDP($A44,"BEST_EPS","BEST_FPERIOD_OVERRIDE","1BF")</f>
        <v/>
      </c>
      <c r="L44" s="54">
        <f>_xll.BDP($A44,"BEST_EPS","BEST_FPERIOD_OVERRIDE","1BF","BEST_DATA_DATE_OVERRIDE",TEXT(YEAR($D$4),"0000")&amp;TEXT(MONTH($D$4),"00")&amp;TEXT(DAY($D$4),"00"))</f>
        <v/>
      </c>
      <c r="M44" s="54">
        <f>_xll.BDP($A44,"BEST_EPS","BEST_FPERIOD_OVERRIDE","1BF","BEST_DATA_DATE_OVERRIDE",TEXT(YEAR($E$4),"0000")&amp;TEXT(MONTH($E$4),"00")&amp;TEXT(DAY($E$4),"00"))</f>
        <v/>
      </c>
      <c r="N44" s="54">
        <f>_xll.BDP($A44,"BEST_EPS","BEST_FPERIOD_OVERRIDE","1BF","BEST_DATA_DATE_OVERRIDE",TEXT(YEAR($F$4),"0000")&amp;TEXT(MONTH($F$4),"00")&amp;TEXT(DAY($F$4),"00"))</f>
        <v/>
      </c>
      <c r="O44" s="22">
        <f>IFERROR(IF(AND(ISNUMBER($K44),ISNUMBER(L44),L44&lt;&gt;0),$K44/L44-1,""),"")</f>
        <v/>
      </c>
      <c r="P44" s="22">
        <f>IFERROR(IF(AND(ISNUMBER($K44),ISNUMBER(M44),M44&lt;&gt;0),$K44/M44-1,""),"")</f>
        <v/>
      </c>
      <c r="Q44" s="22">
        <f>IFERROR(IF(AND(ISNUMBER($K44),ISNUMBER(N44),N44&lt;&gt;0),$K44/N44-1,""),"")</f>
        <v/>
      </c>
    </row>
    <row r="45">
      <c r="A45" s="19">
        <f>Tickers!$D$44</f>
        <v/>
      </c>
      <c r="C45" s="30">
        <f>_xll.BDP($A45,"BEST_SALES","BEST_FPERIOD_OVERRIDE","1BF")</f>
        <v/>
      </c>
      <c r="D45" s="30">
        <f>_xll.BDP($A45,"BEST_SALES","BEST_FPERIOD_OVERRIDE","1BF","BEST_DATA_DATE_OVERRIDE",TEXT(YEAR($D$4),"0000")&amp;TEXT(MONTH($D$4),"00")&amp;TEXT(DAY($D$4),"00"))</f>
        <v/>
      </c>
      <c r="E45" s="30">
        <f>_xll.BDP($A45,"BEST_SALES","BEST_FPERIOD_OVERRIDE","1BF","BEST_DATA_DATE_OVERRIDE",TEXT(YEAR($E$4),"0000")&amp;TEXT(MONTH($E$4),"00")&amp;TEXT(DAY($E$4),"00"))</f>
        <v/>
      </c>
      <c r="F45" s="30">
        <f>_xll.BDP($A45,"BEST_SALES","BEST_FPERIOD_OVERRIDE","1BF","BEST_DATA_DATE_OVERRIDE",TEXT(YEAR($F$4),"0000")&amp;TEXT(MONTH($F$4),"00")&amp;TEXT(DAY($F$4),"00"))</f>
        <v/>
      </c>
      <c r="G45" s="22">
        <f>IFERROR(IF(AND(ISNUMBER($C45),ISNUMBER(D45),D45&lt;&gt;0),$C45/D45-1,""),"")</f>
        <v/>
      </c>
      <c r="H45" s="22">
        <f>IFERROR(IF(AND(ISNUMBER($C45),ISNUMBER(E45),E45&lt;&gt;0),$C45/E45-1,""),"")</f>
        <v/>
      </c>
      <c r="I45" s="22">
        <f>IFERROR(IF(AND(ISNUMBER($C45),ISNUMBER(F45),F45&lt;&gt;0),$C45/F45-1,""),"")</f>
        <v/>
      </c>
      <c r="K45" s="54">
        <f>_xll.BDP($A45,"BEST_EPS","BEST_FPERIOD_OVERRIDE","1BF")</f>
        <v/>
      </c>
      <c r="L45" s="54">
        <f>_xll.BDP($A45,"BEST_EPS","BEST_FPERIOD_OVERRIDE","1BF","BEST_DATA_DATE_OVERRIDE",TEXT(YEAR($D$4),"0000")&amp;TEXT(MONTH($D$4),"00")&amp;TEXT(DAY($D$4),"00"))</f>
        <v/>
      </c>
      <c r="M45" s="54">
        <f>_xll.BDP($A45,"BEST_EPS","BEST_FPERIOD_OVERRIDE","1BF","BEST_DATA_DATE_OVERRIDE",TEXT(YEAR($E$4),"0000")&amp;TEXT(MONTH($E$4),"00")&amp;TEXT(DAY($E$4),"00"))</f>
        <v/>
      </c>
      <c r="N45" s="54">
        <f>_xll.BDP($A45,"BEST_EPS","BEST_FPERIOD_OVERRIDE","1BF","BEST_DATA_DATE_OVERRIDE",TEXT(YEAR($F$4),"0000")&amp;TEXT(MONTH($F$4),"00")&amp;TEXT(DAY($F$4),"00"))</f>
        <v/>
      </c>
      <c r="O45" s="22">
        <f>IFERROR(IF(AND(ISNUMBER($K45),ISNUMBER(L45),L45&lt;&gt;0),$K45/L45-1,""),"")</f>
        <v/>
      </c>
      <c r="P45" s="22">
        <f>IFERROR(IF(AND(ISNUMBER($K45),ISNUMBER(M45),M45&lt;&gt;0),$K45/M45-1,""),"")</f>
        <v/>
      </c>
      <c r="Q45" s="22">
        <f>IFERROR(IF(AND(ISNUMBER($K45),ISNUMBER(N45),N45&lt;&gt;0),$K45/N45-1,""),"")</f>
        <v/>
      </c>
    </row>
    <row r="46">
      <c r="A46" s="19">
        <f>Tickers!$D$45</f>
        <v/>
      </c>
      <c r="C46" s="30">
        <f>_xll.BDP($A46,"BEST_SALES","BEST_FPERIOD_OVERRIDE","1BF")</f>
        <v/>
      </c>
      <c r="D46" s="30">
        <f>_xll.BDP($A46,"BEST_SALES","BEST_FPERIOD_OVERRIDE","1BF","BEST_DATA_DATE_OVERRIDE",TEXT(YEAR($D$4),"0000")&amp;TEXT(MONTH($D$4),"00")&amp;TEXT(DAY($D$4),"00"))</f>
        <v/>
      </c>
      <c r="E46" s="30">
        <f>_xll.BDP($A46,"BEST_SALES","BEST_FPERIOD_OVERRIDE","1BF","BEST_DATA_DATE_OVERRIDE",TEXT(YEAR($E$4),"0000")&amp;TEXT(MONTH($E$4),"00")&amp;TEXT(DAY($E$4),"00"))</f>
        <v/>
      </c>
      <c r="F46" s="30">
        <f>_xll.BDP($A46,"BEST_SALES","BEST_FPERIOD_OVERRIDE","1BF","BEST_DATA_DATE_OVERRIDE",TEXT(YEAR($F$4),"0000")&amp;TEXT(MONTH($F$4),"00")&amp;TEXT(DAY($F$4),"00"))</f>
        <v/>
      </c>
      <c r="G46" s="22">
        <f>IFERROR(IF(AND(ISNUMBER($C46),ISNUMBER(D46),D46&lt;&gt;0),$C46/D46-1,""),"")</f>
        <v/>
      </c>
      <c r="H46" s="22">
        <f>IFERROR(IF(AND(ISNUMBER($C46),ISNUMBER(E46),E46&lt;&gt;0),$C46/E46-1,""),"")</f>
        <v/>
      </c>
      <c r="I46" s="22">
        <f>IFERROR(IF(AND(ISNUMBER($C46),ISNUMBER(F46),F46&lt;&gt;0),$C46/F46-1,""),"")</f>
        <v/>
      </c>
      <c r="K46" s="54">
        <f>_xll.BDP($A46,"BEST_EPS","BEST_FPERIOD_OVERRIDE","1BF")</f>
        <v/>
      </c>
      <c r="L46" s="54">
        <f>_xll.BDP($A46,"BEST_EPS","BEST_FPERIOD_OVERRIDE","1BF","BEST_DATA_DATE_OVERRIDE",TEXT(YEAR($D$4),"0000")&amp;TEXT(MONTH($D$4),"00")&amp;TEXT(DAY($D$4),"00"))</f>
        <v/>
      </c>
      <c r="M46" s="54">
        <f>_xll.BDP($A46,"BEST_EPS","BEST_FPERIOD_OVERRIDE","1BF","BEST_DATA_DATE_OVERRIDE",TEXT(YEAR($E$4),"0000")&amp;TEXT(MONTH($E$4),"00")&amp;TEXT(DAY($E$4),"00"))</f>
        <v/>
      </c>
      <c r="N46" s="54">
        <f>_xll.BDP($A46,"BEST_EPS","BEST_FPERIOD_OVERRIDE","1BF","BEST_DATA_DATE_OVERRIDE",TEXT(YEAR($F$4),"0000")&amp;TEXT(MONTH($F$4),"00")&amp;TEXT(DAY($F$4),"00"))</f>
        <v/>
      </c>
      <c r="O46" s="22">
        <f>IFERROR(IF(AND(ISNUMBER($K46),ISNUMBER(L46),L46&lt;&gt;0),$K46/L46-1,""),"")</f>
        <v/>
      </c>
      <c r="P46" s="22">
        <f>IFERROR(IF(AND(ISNUMBER($K46),ISNUMBER(M46),M46&lt;&gt;0),$K46/M46-1,""),"")</f>
        <v/>
      </c>
      <c r="Q46" s="22">
        <f>IFERROR(IF(AND(ISNUMBER($K46),ISNUMBER(N46),N46&lt;&gt;0),$K46/N46-1,""),"")</f>
        <v/>
      </c>
    </row>
    <row r="47">
      <c r="A47" s="19">
        <f>Tickers!$D$46</f>
        <v/>
      </c>
      <c r="C47" s="30">
        <f>_xll.BDP($A47,"BEST_SALES","BEST_FPERIOD_OVERRIDE","1BF")</f>
        <v/>
      </c>
      <c r="D47" s="30">
        <f>_xll.BDP($A47,"BEST_SALES","BEST_FPERIOD_OVERRIDE","1BF","BEST_DATA_DATE_OVERRIDE",TEXT(YEAR($D$4),"0000")&amp;TEXT(MONTH($D$4),"00")&amp;TEXT(DAY($D$4),"00"))</f>
        <v/>
      </c>
      <c r="E47" s="30">
        <f>_xll.BDP($A47,"BEST_SALES","BEST_FPERIOD_OVERRIDE","1BF","BEST_DATA_DATE_OVERRIDE",TEXT(YEAR($E$4),"0000")&amp;TEXT(MONTH($E$4),"00")&amp;TEXT(DAY($E$4),"00"))</f>
        <v/>
      </c>
      <c r="F47" s="30">
        <f>_xll.BDP($A47,"BEST_SALES","BEST_FPERIOD_OVERRIDE","1BF","BEST_DATA_DATE_OVERRIDE",TEXT(YEAR($F$4),"0000")&amp;TEXT(MONTH($F$4),"00")&amp;TEXT(DAY($F$4),"00"))</f>
        <v/>
      </c>
      <c r="G47" s="22">
        <f>IFERROR(IF(AND(ISNUMBER($C47),ISNUMBER(D47),D47&lt;&gt;0),$C47/D47-1,""),"")</f>
        <v/>
      </c>
      <c r="H47" s="22">
        <f>IFERROR(IF(AND(ISNUMBER($C47),ISNUMBER(E47),E47&lt;&gt;0),$C47/E47-1,""),"")</f>
        <v/>
      </c>
      <c r="I47" s="22">
        <f>IFERROR(IF(AND(ISNUMBER($C47),ISNUMBER(F47),F47&lt;&gt;0),$C47/F47-1,""),"")</f>
        <v/>
      </c>
      <c r="K47" s="54">
        <f>_xll.BDP($A47,"BEST_EPS","BEST_FPERIOD_OVERRIDE","1BF")</f>
        <v/>
      </c>
      <c r="L47" s="54">
        <f>_xll.BDP($A47,"BEST_EPS","BEST_FPERIOD_OVERRIDE","1BF","BEST_DATA_DATE_OVERRIDE",TEXT(YEAR($D$4),"0000")&amp;TEXT(MONTH($D$4),"00")&amp;TEXT(DAY($D$4),"00"))</f>
        <v/>
      </c>
      <c r="M47" s="54">
        <f>_xll.BDP($A47,"BEST_EPS","BEST_FPERIOD_OVERRIDE","1BF","BEST_DATA_DATE_OVERRIDE",TEXT(YEAR($E$4),"0000")&amp;TEXT(MONTH($E$4),"00")&amp;TEXT(DAY($E$4),"00"))</f>
        <v/>
      </c>
      <c r="N47" s="54">
        <f>_xll.BDP($A47,"BEST_EPS","BEST_FPERIOD_OVERRIDE","1BF","BEST_DATA_DATE_OVERRIDE",TEXT(YEAR($F$4),"0000")&amp;TEXT(MONTH($F$4),"00")&amp;TEXT(DAY($F$4),"00"))</f>
        <v/>
      </c>
      <c r="O47" s="22">
        <f>IFERROR(IF(AND(ISNUMBER($K47),ISNUMBER(L47),L47&lt;&gt;0),$K47/L47-1,""),"")</f>
        <v/>
      </c>
      <c r="P47" s="22">
        <f>IFERROR(IF(AND(ISNUMBER($K47),ISNUMBER(M47),M47&lt;&gt;0),$K47/M47-1,""),"")</f>
        <v/>
      </c>
      <c r="Q47" s="22">
        <f>IFERROR(IF(AND(ISNUMBER($K47),ISNUMBER(N47),N47&lt;&gt;0),$K47/N47-1,""),"")</f>
        <v/>
      </c>
    </row>
    <row r="48">
      <c r="A48" s="19">
        <f>Tickers!$D$47</f>
        <v/>
      </c>
      <c r="C48" s="30">
        <f>_xll.BDP($A48,"BEST_SALES","BEST_FPERIOD_OVERRIDE","1BF")</f>
        <v/>
      </c>
      <c r="D48" s="30">
        <f>_xll.BDP($A48,"BEST_SALES","BEST_FPERIOD_OVERRIDE","1BF","BEST_DATA_DATE_OVERRIDE",TEXT(YEAR($D$4),"0000")&amp;TEXT(MONTH($D$4),"00")&amp;TEXT(DAY($D$4),"00"))</f>
        <v/>
      </c>
      <c r="E48" s="30">
        <f>_xll.BDP($A48,"BEST_SALES","BEST_FPERIOD_OVERRIDE","1BF","BEST_DATA_DATE_OVERRIDE",TEXT(YEAR($E$4),"0000")&amp;TEXT(MONTH($E$4),"00")&amp;TEXT(DAY($E$4),"00"))</f>
        <v/>
      </c>
      <c r="F48" s="30">
        <f>_xll.BDP($A48,"BEST_SALES","BEST_FPERIOD_OVERRIDE","1BF","BEST_DATA_DATE_OVERRIDE",TEXT(YEAR($F$4),"0000")&amp;TEXT(MONTH($F$4),"00")&amp;TEXT(DAY($F$4),"00"))</f>
        <v/>
      </c>
      <c r="G48" s="22">
        <f>IFERROR(IF(AND(ISNUMBER($C48),ISNUMBER(D48),D48&lt;&gt;0),$C48/D48-1,""),"")</f>
        <v/>
      </c>
      <c r="H48" s="22">
        <f>IFERROR(IF(AND(ISNUMBER($C48),ISNUMBER(E48),E48&lt;&gt;0),$C48/E48-1,""),"")</f>
        <v/>
      </c>
      <c r="I48" s="22">
        <f>IFERROR(IF(AND(ISNUMBER($C48),ISNUMBER(F48),F48&lt;&gt;0),$C48/F48-1,""),"")</f>
        <v/>
      </c>
      <c r="K48" s="54">
        <f>_xll.BDP($A48,"BEST_EPS","BEST_FPERIOD_OVERRIDE","1BF")</f>
        <v/>
      </c>
      <c r="L48" s="54">
        <f>_xll.BDP($A48,"BEST_EPS","BEST_FPERIOD_OVERRIDE","1BF","BEST_DATA_DATE_OVERRIDE",TEXT(YEAR($D$4),"0000")&amp;TEXT(MONTH($D$4),"00")&amp;TEXT(DAY($D$4),"00"))</f>
        <v/>
      </c>
      <c r="M48" s="54">
        <f>_xll.BDP($A48,"BEST_EPS","BEST_FPERIOD_OVERRIDE","1BF","BEST_DATA_DATE_OVERRIDE",TEXT(YEAR($E$4),"0000")&amp;TEXT(MONTH($E$4),"00")&amp;TEXT(DAY($E$4),"00"))</f>
        <v/>
      </c>
      <c r="N48" s="54">
        <f>_xll.BDP($A48,"BEST_EPS","BEST_FPERIOD_OVERRIDE","1BF","BEST_DATA_DATE_OVERRIDE",TEXT(YEAR($F$4),"0000")&amp;TEXT(MONTH($F$4),"00")&amp;TEXT(DAY($F$4),"00"))</f>
        <v/>
      </c>
      <c r="O48" s="22">
        <f>IFERROR(IF(AND(ISNUMBER($K48),ISNUMBER(L48),L48&lt;&gt;0),$K48/L48-1,""),"")</f>
        <v/>
      </c>
      <c r="P48" s="22">
        <f>IFERROR(IF(AND(ISNUMBER($K48),ISNUMBER(M48),M48&lt;&gt;0),$K48/M48-1,""),"")</f>
        <v/>
      </c>
      <c r="Q48" s="22">
        <f>IFERROR(IF(AND(ISNUMBER($K48),ISNUMBER(N48),N48&lt;&gt;0),$K48/N48-1,""),"")</f>
        <v/>
      </c>
    </row>
    <row r="49">
      <c r="A49" s="19">
        <f>Tickers!$D$48</f>
        <v/>
      </c>
      <c r="C49" s="30">
        <f>_xll.BDP($A49,"BEST_SALES","BEST_FPERIOD_OVERRIDE","1BF")</f>
        <v/>
      </c>
      <c r="D49" s="30">
        <f>_xll.BDP($A49,"BEST_SALES","BEST_FPERIOD_OVERRIDE","1BF","BEST_DATA_DATE_OVERRIDE",TEXT(YEAR($D$4),"0000")&amp;TEXT(MONTH($D$4),"00")&amp;TEXT(DAY($D$4),"00"))</f>
        <v/>
      </c>
      <c r="E49" s="30">
        <f>_xll.BDP($A49,"BEST_SALES","BEST_FPERIOD_OVERRIDE","1BF","BEST_DATA_DATE_OVERRIDE",TEXT(YEAR($E$4),"0000")&amp;TEXT(MONTH($E$4),"00")&amp;TEXT(DAY($E$4),"00"))</f>
        <v/>
      </c>
      <c r="F49" s="30">
        <f>_xll.BDP($A49,"BEST_SALES","BEST_FPERIOD_OVERRIDE","1BF","BEST_DATA_DATE_OVERRIDE",TEXT(YEAR($F$4),"0000")&amp;TEXT(MONTH($F$4),"00")&amp;TEXT(DAY($F$4),"00"))</f>
        <v/>
      </c>
      <c r="G49" s="22">
        <f>IFERROR(IF(AND(ISNUMBER($C49),ISNUMBER(D49),D49&lt;&gt;0),$C49/D49-1,""),"")</f>
        <v/>
      </c>
      <c r="H49" s="22">
        <f>IFERROR(IF(AND(ISNUMBER($C49),ISNUMBER(E49),E49&lt;&gt;0),$C49/E49-1,""),"")</f>
        <v/>
      </c>
      <c r="I49" s="22">
        <f>IFERROR(IF(AND(ISNUMBER($C49),ISNUMBER(F49),F49&lt;&gt;0),$C49/F49-1,""),"")</f>
        <v/>
      </c>
      <c r="K49" s="54">
        <f>_xll.BDP($A49,"BEST_EPS","BEST_FPERIOD_OVERRIDE","1BF")</f>
        <v/>
      </c>
      <c r="L49" s="54">
        <f>_xll.BDP($A49,"BEST_EPS","BEST_FPERIOD_OVERRIDE","1BF","BEST_DATA_DATE_OVERRIDE",TEXT(YEAR($D$4),"0000")&amp;TEXT(MONTH($D$4),"00")&amp;TEXT(DAY($D$4),"00"))</f>
        <v/>
      </c>
      <c r="M49" s="54">
        <f>_xll.BDP($A49,"BEST_EPS","BEST_FPERIOD_OVERRIDE","1BF","BEST_DATA_DATE_OVERRIDE",TEXT(YEAR($E$4),"0000")&amp;TEXT(MONTH($E$4),"00")&amp;TEXT(DAY($E$4),"00"))</f>
        <v/>
      </c>
      <c r="N49" s="54">
        <f>_xll.BDP($A49,"BEST_EPS","BEST_FPERIOD_OVERRIDE","1BF","BEST_DATA_DATE_OVERRIDE",TEXT(YEAR($F$4),"0000")&amp;TEXT(MONTH($F$4),"00")&amp;TEXT(DAY($F$4),"00"))</f>
        <v/>
      </c>
      <c r="O49" s="22">
        <f>IFERROR(IF(AND(ISNUMBER($K49),ISNUMBER(L49),L49&lt;&gt;0),$K49/L49-1,""),"")</f>
        <v/>
      </c>
      <c r="P49" s="22">
        <f>IFERROR(IF(AND(ISNUMBER($K49),ISNUMBER(M49),M49&lt;&gt;0),$K49/M49-1,""),"")</f>
        <v/>
      </c>
      <c r="Q49" s="22">
        <f>IFERROR(IF(AND(ISNUMBER($K49),ISNUMBER(N49),N49&lt;&gt;0),$K49/N49-1,""),"")</f>
        <v/>
      </c>
    </row>
    <row r="50">
      <c r="A50" s="19">
        <f>Tickers!$D$49</f>
        <v/>
      </c>
      <c r="C50" s="30">
        <f>_xll.BDP($A50,"BEST_SALES","BEST_FPERIOD_OVERRIDE","1BF")</f>
        <v/>
      </c>
      <c r="D50" s="30">
        <f>_xll.BDP($A50,"BEST_SALES","BEST_FPERIOD_OVERRIDE","1BF","BEST_DATA_DATE_OVERRIDE",TEXT(YEAR($D$4),"0000")&amp;TEXT(MONTH($D$4),"00")&amp;TEXT(DAY($D$4),"00"))</f>
        <v/>
      </c>
      <c r="E50" s="30">
        <f>_xll.BDP($A50,"BEST_SALES","BEST_FPERIOD_OVERRIDE","1BF","BEST_DATA_DATE_OVERRIDE",TEXT(YEAR($E$4),"0000")&amp;TEXT(MONTH($E$4),"00")&amp;TEXT(DAY($E$4),"00"))</f>
        <v/>
      </c>
      <c r="F50" s="30">
        <f>_xll.BDP($A50,"BEST_SALES","BEST_FPERIOD_OVERRIDE","1BF","BEST_DATA_DATE_OVERRIDE",TEXT(YEAR($F$4),"0000")&amp;TEXT(MONTH($F$4),"00")&amp;TEXT(DAY($F$4),"00"))</f>
        <v/>
      </c>
      <c r="G50" s="22">
        <f>IFERROR(IF(AND(ISNUMBER($C50),ISNUMBER(D50),D50&lt;&gt;0),$C50/D50-1,""),"")</f>
        <v/>
      </c>
      <c r="H50" s="22">
        <f>IFERROR(IF(AND(ISNUMBER($C50),ISNUMBER(E50),E50&lt;&gt;0),$C50/E50-1,""),"")</f>
        <v/>
      </c>
      <c r="I50" s="22">
        <f>IFERROR(IF(AND(ISNUMBER($C50),ISNUMBER(F50),F50&lt;&gt;0),$C50/F50-1,""),"")</f>
        <v/>
      </c>
      <c r="K50" s="54">
        <f>_xll.BDP($A50,"BEST_EPS","BEST_FPERIOD_OVERRIDE","1BF")</f>
        <v/>
      </c>
      <c r="L50" s="54">
        <f>_xll.BDP($A50,"BEST_EPS","BEST_FPERIOD_OVERRIDE","1BF","BEST_DATA_DATE_OVERRIDE",TEXT(YEAR($D$4),"0000")&amp;TEXT(MONTH($D$4),"00")&amp;TEXT(DAY($D$4),"00"))</f>
        <v/>
      </c>
      <c r="M50" s="54">
        <f>_xll.BDP($A50,"BEST_EPS","BEST_FPERIOD_OVERRIDE","1BF","BEST_DATA_DATE_OVERRIDE",TEXT(YEAR($E$4),"0000")&amp;TEXT(MONTH($E$4),"00")&amp;TEXT(DAY($E$4),"00"))</f>
        <v/>
      </c>
      <c r="N50" s="54">
        <f>_xll.BDP($A50,"BEST_EPS","BEST_FPERIOD_OVERRIDE","1BF","BEST_DATA_DATE_OVERRIDE",TEXT(YEAR($F$4),"0000")&amp;TEXT(MONTH($F$4),"00")&amp;TEXT(DAY($F$4),"00"))</f>
        <v/>
      </c>
      <c r="O50" s="22">
        <f>IFERROR(IF(AND(ISNUMBER($K50),ISNUMBER(L50),L50&lt;&gt;0),$K50/L50-1,""),"")</f>
        <v/>
      </c>
      <c r="P50" s="22">
        <f>IFERROR(IF(AND(ISNUMBER($K50),ISNUMBER(M50),M50&lt;&gt;0),$K50/M50-1,""),"")</f>
        <v/>
      </c>
      <c r="Q50" s="22">
        <f>IFERROR(IF(AND(ISNUMBER($K50),ISNUMBER(N50),N50&lt;&gt;0),$K50/N50-1,""),"")</f>
        <v/>
      </c>
    </row>
    <row r="51">
      <c r="A51" s="19">
        <f>Tickers!$D$50</f>
        <v/>
      </c>
      <c r="C51" s="30">
        <f>_xll.BDP($A51,"BEST_SALES","BEST_FPERIOD_OVERRIDE","1BF")</f>
        <v/>
      </c>
      <c r="D51" s="30">
        <f>_xll.BDP($A51,"BEST_SALES","BEST_FPERIOD_OVERRIDE","1BF","BEST_DATA_DATE_OVERRIDE",TEXT(YEAR($D$4),"0000")&amp;TEXT(MONTH($D$4),"00")&amp;TEXT(DAY($D$4),"00"))</f>
        <v/>
      </c>
      <c r="E51" s="30">
        <f>_xll.BDP($A51,"BEST_SALES","BEST_FPERIOD_OVERRIDE","1BF","BEST_DATA_DATE_OVERRIDE",TEXT(YEAR($E$4),"0000")&amp;TEXT(MONTH($E$4),"00")&amp;TEXT(DAY($E$4),"00"))</f>
        <v/>
      </c>
      <c r="F51" s="30">
        <f>_xll.BDP($A51,"BEST_SALES","BEST_FPERIOD_OVERRIDE","1BF","BEST_DATA_DATE_OVERRIDE",TEXT(YEAR($F$4),"0000")&amp;TEXT(MONTH($F$4),"00")&amp;TEXT(DAY($F$4),"00"))</f>
        <v/>
      </c>
      <c r="G51" s="22">
        <f>IFERROR(IF(AND(ISNUMBER($C51),ISNUMBER(D51),D51&lt;&gt;0),$C51/D51-1,""),"")</f>
        <v/>
      </c>
      <c r="H51" s="22">
        <f>IFERROR(IF(AND(ISNUMBER($C51),ISNUMBER(E51),E51&lt;&gt;0),$C51/E51-1,""),"")</f>
        <v/>
      </c>
      <c r="I51" s="22">
        <f>IFERROR(IF(AND(ISNUMBER($C51),ISNUMBER(F51),F51&lt;&gt;0),$C51/F51-1,""),"")</f>
        <v/>
      </c>
      <c r="K51" s="54">
        <f>_xll.BDP($A51,"BEST_EPS","BEST_FPERIOD_OVERRIDE","1BF")</f>
        <v/>
      </c>
      <c r="L51" s="54">
        <f>_xll.BDP($A51,"BEST_EPS","BEST_FPERIOD_OVERRIDE","1BF","BEST_DATA_DATE_OVERRIDE",TEXT(YEAR($D$4),"0000")&amp;TEXT(MONTH($D$4),"00")&amp;TEXT(DAY($D$4),"00"))</f>
        <v/>
      </c>
      <c r="M51" s="54">
        <f>_xll.BDP($A51,"BEST_EPS","BEST_FPERIOD_OVERRIDE","1BF","BEST_DATA_DATE_OVERRIDE",TEXT(YEAR($E$4),"0000")&amp;TEXT(MONTH($E$4),"00")&amp;TEXT(DAY($E$4),"00"))</f>
        <v/>
      </c>
      <c r="N51" s="54">
        <f>_xll.BDP($A51,"BEST_EPS","BEST_FPERIOD_OVERRIDE","1BF","BEST_DATA_DATE_OVERRIDE",TEXT(YEAR($F$4),"0000")&amp;TEXT(MONTH($F$4),"00")&amp;TEXT(DAY($F$4),"00"))</f>
        <v/>
      </c>
      <c r="O51" s="22">
        <f>IFERROR(IF(AND(ISNUMBER($K51),ISNUMBER(L51),L51&lt;&gt;0),$K51/L51-1,""),"")</f>
        <v/>
      </c>
      <c r="P51" s="22">
        <f>IFERROR(IF(AND(ISNUMBER($K51),ISNUMBER(M51),M51&lt;&gt;0),$K51/M51-1,""),"")</f>
        <v/>
      </c>
      <c r="Q51" s="22">
        <f>IFERROR(IF(AND(ISNUMBER($K51),ISNUMBER(N51),N51&lt;&gt;0),$K51/N51-1,""),"")</f>
        <v/>
      </c>
    </row>
    <row r="52">
      <c r="A52" s="19">
        <f>Tickers!$D$51</f>
        <v/>
      </c>
      <c r="C52" s="30">
        <f>_xll.BDP($A52,"BEST_SALES","BEST_FPERIOD_OVERRIDE","1BF")</f>
        <v/>
      </c>
      <c r="D52" s="30">
        <f>_xll.BDP($A52,"BEST_SALES","BEST_FPERIOD_OVERRIDE","1BF","BEST_DATA_DATE_OVERRIDE",TEXT(YEAR($D$4),"0000")&amp;TEXT(MONTH($D$4),"00")&amp;TEXT(DAY($D$4),"00"))</f>
        <v/>
      </c>
      <c r="E52" s="30">
        <f>_xll.BDP($A52,"BEST_SALES","BEST_FPERIOD_OVERRIDE","1BF","BEST_DATA_DATE_OVERRIDE",TEXT(YEAR($E$4),"0000")&amp;TEXT(MONTH($E$4),"00")&amp;TEXT(DAY($E$4),"00"))</f>
        <v/>
      </c>
      <c r="F52" s="30">
        <f>_xll.BDP($A52,"BEST_SALES","BEST_FPERIOD_OVERRIDE","1BF","BEST_DATA_DATE_OVERRIDE",TEXT(YEAR($F$4),"0000")&amp;TEXT(MONTH($F$4),"00")&amp;TEXT(DAY($F$4),"00"))</f>
        <v/>
      </c>
      <c r="G52" s="22">
        <f>IFERROR(IF(AND(ISNUMBER($C52),ISNUMBER(D52),D52&lt;&gt;0),$C52/D52-1,""),"")</f>
        <v/>
      </c>
      <c r="H52" s="22">
        <f>IFERROR(IF(AND(ISNUMBER($C52),ISNUMBER(E52),E52&lt;&gt;0),$C52/E52-1,""),"")</f>
        <v/>
      </c>
      <c r="I52" s="22">
        <f>IFERROR(IF(AND(ISNUMBER($C52),ISNUMBER(F52),F52&lt;&gt;0),$C52/F52-1,""),"")</f>
        <v/>
      </c>
      <c r="K52" s="54">
        <f>_xll.BDP($A52,"BEST_EPS","BEST_FPERIOD_OVERRIDE","1BF")</f>
        <v/>
      </c>
      <c r="L52" s="54">
        <f>_xll.BDP($A52,"BEST_EPS","BEST_FPERIOD_OVERRIDE","1BF","BEST_DATA_DATE_OVERRIDE",TEXT(YEAR($D$4),"0000")&amp;TEXT(MONTH($D$4),"00")&amp;TEXT(DAY($D$4),"00"))</f>
        <v/>
      </c>
      <c r="M52" s="54">
        <f>_xll.BDP($A52,"BEST_EPS","BEST_FPERIOD_OVERRIDE","1BF","BEST_DATA_DATE_OVERRIDE",TEXT(YEAR($E$4),"0000")&amp;TEXT(MONTH($E$4),"00")&amp;TEXT(DAY($E$4),"00"))</f>
        <v/>
      </c>
      <c r="N52" s="54">
        <f>_xll.BDP($A52,"BEST_EPS","BEST_FPERIOD_OVERRIDE","1BF","BEST_DATA_DATE_OVERRIDE",TEXT(YEAR($F$4),"0000")&amp;TEXT(MONTH($F$4),"00")&amp;TEXT(DAY($F$4),"00"))</f>
        <v/>
      </c>
      <c r="O52" s="22">
        <f>IFERROR(IF(AND(ISNUMBER($K52),ISNUMBER(L52),L52&lt;&gt;0),$K52/L52-1,""),"")</f>
        <v/>
      </c>
      <c r="P52" s="22">
        <f>IFERROR(IF(AND(ISNUMBER($K52),ISNUMBER(M52),M52&lt;&gt;0),$K52/M52-1,""),"")</f>
        <v/>
      </c>
      <c r="Q52" s="22">
        <f>IFERROR(IF(AND(ISNUMBER($K52),ISNUMBER(N52),N52&lt;&gt;0),$K52/N52-1,""),"")</f>
        <v/>
      </c>
    </row>
    <row r="53">
      <c r="A53" s="19">
        <f>Tickers!$D$52</f>
        <v/>
      </c>
      <c r="C53" s="30">
        <f>_xll.BDP($A53,"BEST_SALES","BEST_FPERIOD_OVERRIDE","1BF")</f>
        <v/>
      </c>
      <c r="D53" s="30">
        <f>_xll.BDP($A53,"BEST_SALES","BEST_FPERIOD_OVERRIDE","1BF","BEST_DATA_DATE_OVERRIDE",TEXT(YEAR($D$4),"0000")&amp;TEXT(MONTH($D$4),"00")&amp;TEXT(DAY($D$4),"00"))</f>
        <v/>
      </c>
      <c r="E53" s="30">
        <f>_xll.BDP($A53,"BEST_SALES","BEST_FPERIOD_OVERRIDE","1BF","BEST_DATA_DATE_OVERRIDE",TEXT(YEAR($E$4),"0000")&amp;TEXT(MONTH($E$4),"00")&amp;TEXT(DAY($E$4),"00"))</f>
        <v/>
      </c>
      <c r="F53" s="30">
        <f>_xll.BDP($A53,"BEST_SALES","BEST_FPERIOD_OVERRIDE","1BF","BEST_DATA_DATE_OVERRIDE",TEXT(YEAR($F$4),"0000")&amp;TEXT(MONTH($F$4),"00")&amp;TEXT(DAY($F$4),"00"))</f>
        <v/>
      </c>
      <c r="G53" s="22">
        <f>IFERROR(IF(AND(ISNUMBER($C53),ISNUMBER(D53),D53&lt;&gt;0),$C53/D53-1,""),"")</f>
        <v/>
      </c>
      <c r="H53" s="22">
        <f>IFERROR(IF(AND(ISNUMBER($C53),ISNUMBER(E53),E53&lt;&gt;0),$C53/E53-1,""),"")</f>
        <v/>
      </c>
      <c r="I53" s="22">
        <f>IFERROR(IF(AND(ISNUMBER($C53),ISNUMBER(F53),F53&lt;&gt;0),$C53/F53-1,""),"")</f>
        <v/>
      </c>
      <c r="K53" s="54">
        <f>_xll.BDP($A53,"BEST_EPS","BEST_FPERIOD_OVERRIDE","1BF")</f>
        <v/>
      </c>
      <c r="L53" s="54">
        <f>_xll.BDP($A53,"BEST_EPS","BEST_FPERIOD_OVERRIDE","1BF","BEST_DATA_DATE_OVERRIDE",TEXT(YEAR($D$4),"0000")&amp;TEXT(MONTH($D$4),"00")&amp;TEXT(DAY($D$4),"00"))</f>
        <v/>
      </c>
      <c r="M53" s="54">
        <f>_xll.BDP($A53,"BEST_EPS","BEST_FPERIOD_OVERRIDE","1BF","BEST_DATA_DATE_OVERRIDE",TEXT(YEAR($E$4),"0000")&amp;TEXT(MONTH($E$4),"00")&amp;TEXT(DAY($E$4),"00"))</f>
        <v/>
      </c>
      <c r="N53" s="54">
        <f>_xll.BDP($A53,"BEST_EPS","BEST_FPERIOD_OVERRIDE","1BF","BEST_DATA_DATE_OVERRIDE",TEXT(YEAR($F$4),"0000")&amp;TEXT(MONTH($F$4),"00")&amp;TEXT(DAY($F$4),"00"))</f>
        <v/>
      </c>
      <c r="O53" s="22">
        <f>IFERROR(IF(AND(ISNUMBER($K53),ISNUMBER(L53),L53&lt;&gt;0),$K53/L53-1,""),"")</f>
        <v/>
      </c>
      <c r="P53" s="22">
        <f>IFERROR(IF(AND(ISNUMBER($K53),ISNUMBER(M53),M53&lt;&gt;0),$K53/M53-1,""),"")</f>
        <v/>
      </c>
      <c r="Q53" s="22">
        <f>IFERROR(IF(AND(ISNUMBER($K53),ISNUMBER(N53),N53&lt;&gt;0),$K53/N53-1,""),"")</f>
        <v/>
      </c>
    </row>
    <row r="54">
      <c r="A54" s="19">
        <f>Tickers!$D$53</f>
        <v/>
      </c>
      <c r="C54" s="30">
        <f>_xll.BDP($A54,"BEST_SALES","BEST_FPERIOD_OVERRIDE","1BF")</f>
        <v/>
      </c>
      <c r="D54" s="30">
        <f>_xll.BDP($A54,"BEST_SALES","BEST_FPERIOD_OVERRIDE","1BF","BEST_DATA_DATE_OVERRIDE",TEXT(YEAR($D$4),"0000")&amp;TEXT(MONTH($D$4),"00")&amp;TEXT(DAY($D$4),"00"))</f>
        <v/>
      </c>
      <c r="E54" s="30">
        <f>_xll.BDP($A54,"BEST_SALES","BEST_FPERIOD_OVERRIDE","1BF","BEST_DATA_DATE_OVERRIDE",TEXT(YEAR($E$4),"0000")&amp;TEXT(MONTH($E$4),"00")&amp;TEXT(DAY($E$4),"00"))</f>
        <v/>
      </c>
      <c r="F54" s="30">
        <f>_xll.BDP($A54,"BEST_SALES","BEST_FPERIOD_OVERRIDE","1BF","BEST_DATA_DATE_OVERRIDE",TEXT(YEAR($F$4),"0000")&amp;TEXT(MONTH($F$4),"00")&amp;TEXT(DAY($F$4),"00"))</f>
        <v/>
      </c>
      <c r="G54" s="22">
        <f>IFERROR(IF(AND(ISNUMBER($C54),ISNUMBER(D54),D54&lt;&gt;0),$C54/D54-1,""),"")</f>
        <v/>
      </c>
      <c r="H54" s="22">
        <f>IFERROR(IF(AND(ISNUMBER($C54),ISNUMBER(E54),E54&lt;&gt;0),$C54/E54-1,""),"")</f>
        <v/>
      </c>
      <c r="I54" s="22">
        <f>IFERROR(IF(AND(ISNUMBER($C54),ISNUMBER(F54),F54&lt;&gt;0),$C54/F54-1,""),"")</f>
        <v/>
      </c>
      <c r="K54" s="54">
        <f>_xll.BDP($A54,"BEST_EPS","BEST_FPERIOD_OVERRIDE","1BF")</f>
        <v/>
      </c>
      <c r="L54" s="54">
        <f>_xll.BDP($A54,"BEST_EPS","BEST_FPERIOD_OVERRIDE","1BF","BEST_DATA_DATE_OVERRIDE",TEXT(YEAR($D$4),"0000")&amp;TEXT(MONTH($D$4),"00")&amp;TEXT(DAY($D$4),"00"))</f>
        <v/>
      </c>
      <c r="M54" s="54">
        <f>_xll.BDP($A54,"BEST_EPS","BEST_FPERIOD_OVERRIDE","1BF","BEST_DATA_DATE_OVERRIDE",TEXT(YEAR($E$4),"0000")&amp;TEXT(MONTH($E$4),"00")&amp;TEXT(DAY($E$4),"00"))</f>
        <v/>
      </c>
      <c r="N54" s="54">
        <f>_xll.BDP($A54,"BEST_EPS","BEST_FPERIOD_OVERRIDE","1BF","BEST_DATA_DATE_OVERRIDE",TEXT(YEAR($F$4),"0000")&amp;TEXT(MONTH($F$4),"00")&amp;TEXT(DAY($F$4),"00"))</f>
        <v/>
      </c>
      <c r="O54" s="22">
        <f>IFERROR(IF(AND(ISNUMBER($K54),ISNUMBER(L54),L54&lt;&gt;0),$K54/L54-1,""),"")</f>
        <v/>
      </c>
      <c r="P54" s="22">
        <f>IFERROR(IF(AND(ISNUMBER($K54),ISNUMBER(M54),M54&lt;&gt;0),$K54/M54-1,""),"")</f>
        <v/>
      </c>
      <c r="Q54" s="22">
        <f>IFERROR(IF(AND(ISNUMBER($K54),ISNUMBER(N54),N54&lt;&gt;0),$K54/N54-1,""),"")</f>
        <v/>
      </c>
    </row>
    <row r="55">
      <c r="A55" s="19">
        <f>Tickers!$D$54</f>
        <v/>
      </c>
      <c r="C55" s="30">
        <f>_xll.BDP($A55,"BEST_SALES","BEST_FPERIOD_OVERRIDE","1BF")</f>
        <v/>
      </c>
      <c r="D55" s="30">
        <f>_xll.BDP($A55,"BEST_SALES","BEST_FPERIOD_OVERRIDE","1BF","BEST_DATA_DATE_OVERRIDE",TEXT(YEAR($D$4),"0000")&amp;TEXT(MONTH($D$4),"00")&amp;TEXT(DAY($D$4),"00"))</f>
        <v/>
      </c>
      <c r="E55" s="30">
        <f>_xll.BDP($A55,"BEST_SALES","BEST_FPERIOD_OVERRIDE","1BF","BEST_DATA_DATE_OVERRIDE",TEXT(YEAR($E$4),"0000")&amp;TEXT(MONTH($E$4),"00")&amp;TEXT(DAY($E$4),"00"))</f>
        <v/>
      </c>
      <c r="F55" s="30">
        <f>_xll.BDP($A55,"BEST_SALES","BEST_FPERIOD_OVERRIDE","1BF","BEST_DATA_DATE_OVERRIDE",TEXT(YEAR($F$4),"0000")&amp;TEXT(MONTH($F$4),"00")&amp;TEXT(DAY($F$4),"00"))</f>
        <v/>
      </c>
      <c r="G55" s="22">
        <f>IFERROR(IF(AND(ISNUMBER($C55),ISNUMBER(D55),D55&lt;&gt;0),$C55/D55-1,""),"")</f>
        <v/>
      </c>
      <c r="H55" s="22">
        <f>IFERROR(IF(AND(ISNUMBER($C55),ISNUMBER(E55),E55&lt;&gt;0),$C55/E55-1,""),"")</f>
        <v/>
      </c>
      <c r="I55" s="22">
        <f>IFERROR(IF(AND(ISNUMBER($C55),ISNUMBER(F55),F55&lt;&gt;0),$C55/F55-1,""),"")</f>
        <v/>
      </c>
      <c r="K55" s="54">
        <f>_xll.BDP($A55,"BEST_EPS","BEST_FPERIOD_OVERRIDE","1BF")</f>
        <v/>
      </c>
      <c r="L55" s="54">
        <f>_xll.BDP($A55,"BEST_EPS","BEST_FPERIOD_OVERRIDE","1BF","BEST_DATA_DATE_OVERRIDE",TEXT(YEAR($D$4),"0000")&amp;TEXT(MONTH($D$4),"00")&amp;TEXT(DAY($D$4),"00"))</f>
        <v/>
      </c>
      <c r="M55" s="54">
        <f>_xll.BDP($A55,"BEST_EPS","BEST_FPERIOD_OVERRIDE","1BF","BEST_DATA_DATE_OVERRIDE",TEXT(YEAR($E$4),"0000")&amp;TEXT(MONTH($E$4),"00")&amp;TEXT(DAY($E$4),"00"))</f>
        <v/>
      </c>
      <c r="N55" s="54">
        <f>_xll.BDP($A55,"BEST_EPS","BEST_FPERIOD_OVERRIDE","1BF","BEST_DATA_DATE_OVERRIDE",TEXT(YEAR($F$4),"0000")&amp;TEXT(MONTH($F$4),"00")&amp;TEXT(DAY($F$4),"00"))</f>
        <v/>
      </c>
      <c r="O55" s="22">
        <f>IFERROR(IF(AND(ISNUMBER($K55),ISNUMBER(L55),L55&lt;&gt;0),$K55/L55-1,""),"")</f>
        <v/>
      </c>
      <c r="P55" s="22">
        <f>IFERROR(IF(AND(ISNUMBER($K55),ISNUMBER(M55),M55&lt;&gt;0),$K55/M55-1,""),"")</f>
        <v/>
      </c>
      <c r="Q55" s="22">
        <f>IFERROR(IF(AND(ISNUMBER($K55),ISNUMBER(N55),N55&lt;&gt;0),$K55/N55-1,""),"")</f>
        <v/>
      </c>
    </row>
    <row r="56">
      <c r="A56" s="19">
        <f>Tickers!$D$55</f>
        <v/>
      </c>
      <c r="C56" s="30">
        <f>_xll.BDP($A56,"BEST_SALES","BEST_FPERIOD_OVERRIDE","1BF")</f>
        <v/>
      </c>
      <c r="D56" s="30">
        <f>_xll.BDP($A56,"BEST_SALES","BEST_FPERIOD_OVERRIDE","1BF","BEST_DATA_DATE_OVERRIDE",TEXT(YEAR($D$4),"0000")&amp;TEXT(MONTH($D$4),"00")&amp;TEXT(DAY($D$4),"00"))</f>
        <v/>
      </c>
      <c r="E56" s="30">
        <f>_xll.BDP($A56,"BEST_SALES","BEST_FPERIOD_OVERRIDE","1BF","BEST_DATA_DATE_OVERRIDE",TEXT(YEAR($E$4),"0000")&amp;TEXT(MONTH($E$4),"00")&amp;TEXT(DAY($E$4),"00"))</f>
        <v/>
      </c>
      <c r="F56" s="30">
        <f>_xll.BDP($A56,"BEST_SALES","BEST_FPERIOD_OVERRIDE","1BF","BEST_DATA_DATE_OVERRIDE",TEXT(YEAR($F$4),"0000")&amp;TEXT(MONTH($F$4),"00")&amp;TEXT(DAY($F$4),"00"))</f>
        <v/>
      </c>
      <c r="G56" s="22">
        <f>IFERROR(IF(AND(ISNUMBER($C56),ISNUMBER(D56),D56&lt;&gt;0),$C56/D56-1,""),"")</f>
        <v/>
      </c>
      <c r="H56" s="22">
        <f>IFERROR(IF(AND(ISNUMBER($C56),ISNUMBER(E56),E56&lt;&gt;0),$C56/E56-1,""),"")</f>
        <v/>
      </c>
      <c r="I56" s="22">
        <f>IFERROR(IF(AND(ISNUMBER($C56),ISNUMBER(F56),F56&lt;&gt;0),$C56/F56-1,""),"")</f>
        <v/>
      </c>
      <c r="K56" s="54">
        <f>_xll.BDP($A56,"BEST_EPS","BEST_FPERIOD_OVERRIDE","1BF")</f>
        <v/>
      </c>
      <c r="L56" s="54">
        <f>_xll.BDP($A56,"BEST_EPS","BEST_FPERIOD_OVERRIDE","1BF","BEST_DATA_DATE_OVERRIDE",TEXT(YEAR($D$4),"0000")&amp;TEXT(MONTH($D$4),"00")&amp;TEXT(DAY($D$4),"00"))</f>
        <v/>
      </c>
      <c r="M56" s="54">
        <f>_xll.BDP($A56,"BEST_EPS","BEST_FPERIOD_OVERRIDE","1BF","BEST_DATA_DATE_OVERRIDE",TEXT(YEAR($E$4),"0000")&amp;TEXT(MONTH($E$4),"00")&amp;TEXT(DAY($E$4),"00"))</f>
        <v/>
      </c>
      <c r="N56" s="54">
        <f>_xll.BDP($A56,"BEST_EPS","BEST_FPERIOD_OVERRIDE","1BF","BEST_DATA_DATE_OVERRIDE",TEXT(YEAR($F$4),"0000")&amp;TEXT(MONTH($F$4),"00")&amp;TEXT(DAY($F$4),"00"))</f>
        <v/>
      </c>
      <c r="O56" s="22">
        <f>IFERROR(IF(AND(ISNUMBER($K56),ISNUMBER(L56),L56&lt;&gt;0),$K56/L56-1,""),"")</f>
        <v/>
      </c>
      <c r="P56" s="22">
        <f>IFERROR(IF(AND(ISNUMBER($K56),ISNUMBER(M56),M56&lt;&gt;0),$K56/M56-1,""),"")</f>
        <v/>
      </c>
      <c r="Q56" s="22">
        <f>IFERROR(IF(AND(ISNUMBER($K56),ISNUMBER(N56),N56&lt;&gt;0),$K56/N56-1,""),"")</f>
        <v/>
      </c>
    </row>
    <row r="57">
      <c r="A57" s="19">
        <f>Tickers!$D$56</f>
        <v/>
      </c>
      <c r="C57" s="30">
        <f>_xll.BDP($A57,"BEST_SALES","BEST_FPERIOD_OVERRIDE","1BF")</f>
        <v/>
      </c>
      <c r="D57" s="30">
        <f>_xll.BDP($A57,"BEST_SALES","BEST_FPERIOD_OVERRIDE","1BF","BEST_DATA_DATE_OVERRIDE",TEXT(YEAR($D$4),"0000")&amp;TEXT(MONTH($D$4),"00")&amp;TEXT(DAY($D$4),"00"))</f>
        <v/>
      </c>
      <c r="E57" s="30">
        <f>_xll.BDP($A57,"BEST_SALES","BEST_FPERIOD_OVERRIDE","1BF","BEST_DATA_DATE_OVERRIDE",TEXT(YEAR($E$4),"0000")&amp;TEXT(MONTH($E$4),"00")&amp;TEXT(DAY($E$4),"00"))</f>
        <v/>
      </c>
      <c r="F57" s="30">
        <f>_xll.BDP($A57,"BEST_SALES","BEST_FPERIOD_OVERRIDE","1BF","BEST_DATA_DATE_OVERRIDE",TEXT(YEAR($F$4),"0000")&amp;TEXT(MONTH($F$4),"00")&amp;TEXT(DAY($F$4),"00"))</f>
        <v/>
      </c>
      <c r="G57" s="22">
        <f>IFERROR(IF(AND(ISNUMBER($C57),ISNUMBER(D57),D57&lt;&gt;0),$C57/D57-1,""),"")</f>
        <v/>
      </c>
      <c r="H57" s="22">
        <f>IFERROR(IF(AND(ISNUMBER($C57),ISNUMBER(E57),E57&lt;&gt;0),$C57/E57-1,""),"")</f>
        <v/>
      </c>
      <c r="I57" s="22">
        <f>IFERROR(IF(AND(ISNUMBER($C57),ISNUMBER(F57),F57&lt;&gt;0),$C57/F57-1,""),"")</f>
        <v/>
      </c>
      <c r="K57" s="54">
        <f>_xll.BDP($A57,"BEST_EPS","BEST_FPERIOD_OVERRIDE","1BF")</f>
        <v/>
      </c>
      <c r="L57" s="54">
        <f>_xll.BDP($A57,"BEST_EPS","BEST_FPERIOD_OVERRIDE","1BF","BEST_DATA_DATE_OVERRIDE",TEXT(YEAR($D$4),"0000")&amp;TEXT(MONTH($D$4),"00")&amp;TEXT(DAY($D$4),"00"))</f>
        <v/>
      </c>
      <c r="M57" s="54">
        <f>_xll.BDP($A57,"BEST_EPS","BEST_FPERIOD_OVERRIDE","1BF","BEST_DATA_DATE_OVERRIDE",TEXT(YEAR($E$4),"0000")&amp;TEXT(MONTH($E$4),"00")&amp;TEXT(DAY($E$4),"00"))</f>
        <v/>
      </c>
      <c r="N57" s="54">
        <f>_xll.BDP($A57,"BEST_EPS","BEST_FPERIOD_OVERRIDE","1BF","BEST_DATA_DATE_OVERRIDE",TEXT(YEAR($F$4),"0000")&amp;TEXT(MONTH($F$4),"00")&amp;TEXT(DAY($F$4),"00"))</f>
        <v/>
      </c>
      <c r="O57" s="22">
        <f>IFERROR(IF(AND(ISNUMBER($K57),ISNUMBER(L57),L57&lt;&gt;0),$K57/L57-1,""),"")</f>
        <v/>
      </c>
      <c r="P57" s="22">
        <f>IFERROR(IF(AND(ISNUMBER($K57),ISNUMBER(M57),M57&lt;&gt;0),$K57/M57-1,""),"")</f>
        <v/>
      </c>
      <c r="Q57" s="22">
        <f>IFERROR(IF(AND(ISNUMBER($K57),ISNUMBER(N57),N57&lt;&gt;0),$K57/N57-1,""),"")</f>
        <v/>
      </c>
    </row>
    <row r="58">
      <c r="A58" s="19">
        <f>Tickers!$D$57</f>
        <v/>
      </c>
      <c r="C58" s="30">
        <f>_xll.BDP($A58,"BEST_SALES","BEST_FPERIOD_OVERRIDE","1BF")</f>
        <v/>
      </c>
      <c r="D58" s="30">
        <f>_xll.BDP($A58,"BEST_SALES","BEST_FPERIOD_OVERRIDE","1BF","BEST_DATA_DATE_OVERRIDE",TEXT(YEAR($D$4),"0000")&amp;TEXT(MONTH($D$4),"00")&amp;TEXT(DAY($D$4),"00"))</f>
        <v/>
      </c>
      <c r="E58" s="30">
        <f>_xll.BDP($A58,"BEST_SALES","BEST_FPERIOD_OVERRIDE","1BF","BEST_DATA_DATE_OVERRIDE",TEXT(YEAR($E$4),"0000")&amp;TEXT(MONTH($E$4),"00")&amp;TEXT(DAY($E$4),"00"))</f>
        <v/>
      </c>
      <c r="F58" s="30">
        <f>_xll.BDP($A58,"BEST_SALES","BEST_FPERIOD_OVERRIDE","1BF","BEST_DATA_DATE_OVERRIDE",TEXT(YEAR($F$4),"0000")&amp;TEXT(MONTH($F$4),"00")&amp;TEXT(DAY($F$4),"00"))</f>
        <v/>
      </c>
      <c r="G58" s="22">
        <f>IFERROR(IF(AND(ISNUMBER($C58),ISNUMBER(D58),D58&lt;&gt;0),$C58/D58-1,""),"")</f>
        <v/>
      </c>
      <c r="H58" s="22">
        <f>IFERROR(IF(AND(ISNUMBER($C58),ISNUMBER(E58),E58&lt;&gt;0),$C58/E58-1,""),"")</f>
        <v/>
      </c>
      <c r="I58" s="22">
        <f>IFERROR(IF(AND(ISNUMBER($C58),ISNUMBER(F58),F58&lt;&gt;0),$C58/F58-1,""),"")</f>
        <v/>
      </c>
      <c r="K58" s="54">
        <f>_xll.BDP($A58,"BEST_EPS","BEST_FPERIOD_OVERRIDE","1BF")</f>
        <v/>
      </c>
      <c r="L58" s="54">
        <f>_xll.BDP($A58,"BEST_EPS","BEST_FPERIOD_OVERRIDE","1BF","BEST_DATA_DATE_OVERRIDE",TEXT(YEAR($D$4),"0000")&amp;TEXT(MONTH($D$4),"00")&amp;TEXT(DAY($D$4),"00"))</f>
        <v/>
      </c>
      <c r="M58" s="54">
        <f>_xll.BDP($A58,"BEST_EPS","BEST_FPERIOD_OVERRIDE","1BF","BEST_DATA_DATE_OVERRIDE",TEXT(YEAR($E$4),"0000")&amp;TEXT(MONTH($E$4),"00")&amp;TEXT(DAY($E$4),"00"))</f>
        <v/>
      </c>
      <c r="N58" s="54">
        <f>_xll.BDP($A58,"BEST_EPS","BEST_FPERIOD_OVERRIDE","1BF","BEST_DATA_DATE_OVERRIDE",TEXT(YEAR($F$4),"0000")&amp;TEXT(MONTH($F$4),"00")&amp;TEXT(DAY($F$4),"00"))</f>
        <v/>
      </c>
      <c r="O58" s="22">
        <f>IFERROR(IF(AND(ISNUMBER($K58),ISNUMBER(L58),L58&lt;&gt;0),$K58/L58-1,""),"")</f>
        <v/>
      </c>
      <c r="P58" s="22">
        <f>IFERROR(IF(AND(ISNUMBER($K58),ISNUMBER(M58),M58&lt;&gt;0),$K58/M58-1,""),"")</f>
        <v/>
      </c>
      <c r="Q58" s="22">
        <f>IFERROR(IF(AND(ISNUMBER($K58),ISNUMBER(N58),N58&lt;&gt;0),$K58/N58-1,""),"")</f>
        <v/>
      </c>
    </row>
    <row r="59">
      <c r="A59" s="19">
        <f>Tickers!$D$58</f>
        <v/>
      </c>
      <c r="C59" s="30">
        <f>_xll.BDP($A59,"BEST_SALES","BEST_FPERIOD_OVERRIDE","1BF")</f>
        <v/>
      </c>
      <c r="D59" s="30">
        <f>_xll.BDP($A59,"BEST_SALES","BEST_FPERIOD_OVERRIDE","1BF","BEST_DATA_DATE_OVERRIDE",TEXT(YEAR($D$4),"0000")&amp;TEXT(MONTH($D$4),"00")&amp;TEXT(DAY($D$4),"00"))</f>
        <v/>
      </c>
      <c r="E59" s="30">
        <f>_xll.BDP($A59,"BEST_SALES","BEST_FPERIOD_OVERRIDE","1BF","BEST_DATA_DATE_OVERRIDE",TEXT(YEAR($E$4),"0000")&amp;TEXT(MONTH($E$4),"00")&amp;TEXT(DAY($E$4),"00"))</f>
        <v/>
      </c>
      <c r="F59" s="30">
        <f>_xll.BDP($A59,"BEST_SALES","BEST_FPERIOD_OVERRIDE","1BF","BEST_DATA_DATE_OVERRIDE",TEXT(YEAR($F$4),"0000")&amp;TEXT(MONTH($F$4),"00")&amp;TEXT(DAY($F$4),"00"))</f>
        <v/>
      </c>
      <c r="G59" s="22">
        <f>IFERROR(IF(AND(ISNUMBER($C59),ISNUMBER(D59),D59&lt;&gt;0),$C59/D59-1,""),"")</f>
        <v/>
      </c>
      <c r="H59" s="22">
        <f>IFERROR(IF(AND(ISNUMBER($C59),ISNUMBER(E59),E59&lt;&gt;0),$C59/E59-1,""),"")</f>
        <v/>
      </c>
      <c r="I59" s="22">
        <f>IFERROR(IF(AND(ISNUMBER($C59),ISNUMBER(F59),F59&lt;&gt;0),$C59/F59-1,""),"")</f>
        <v/>
      </c>
      <c r="K59" s="54">
        <f>_xll.BDP($A59,"BEST_EPS","BEST_FPERIOD_OVERRIDE","1BF")</f>
        <v/>
      </c>
      <c r="L59" s="54">
        <f>_xll.BDP($A59,"BEST_EPS","BEST_FPERIOD_OVERRIDE","1BF","BEST_DATA_DATE_OVERRIDE",TEXT(YEAR($D$4),"0000")&amp;TEXT(MONTH($D$4),"00")&amp;TEXT(DAY($D$4),"00"))</f>
        <v/>
      </c>
      <c r="M59" s="54">
        <f>_xll.BDP($A59,"BEST_EPS","BEST_FPERIOD_OVERRIDE","1BF","BEST_DATA_DATE_OVERRIDE",TEXT(YEAR($E$4),"0000")&amp;TEXT(MONTH($E$4),"00")&amp;TEXT(DAY($E$4),"00"))</f>
        <v/>
      </c>
      <c r="N59" s="54">
        <f>_xll.BDP($A59,"BEST_EPS","BEST_FPERIOD_OVERRIDE","1BF","BEST_DATA_DATE_OVERRIDE",TEXT(YEAR($F$4),"0000")&amp;TEXT(MONTH($F$4),"00")&amp;TEXT(DAY($F$4),"00"))</f>
        <v/>
      </c>
      <c r="O59" s="22">
        <f>IFERROR(IF(AND(ISNUMBER($K59),ISNUMBER(L59),L59&lt;&gt;0),$K59/L59-1,""),"")</f>
        <v/>
      </c>
      <c r="P59" s="22">
        <f>IFERROR(IF(AND(ISNUMBER($K59),ISNUMBER(M59),M59&lt;&gt;0),$K59/M59-1,""),"")</f>
        <v/>
      </c>
      <c r="Q59" s="22">
        <f>IFERROR(IF(AND(ISNUMBER($K59),ISNUMBER(N59),N59&lt;&gt;0),$K59/N59-1,""),"")</f>
        <v/>
      </c>
    </row>
    <row r="60">
      <c r="A60" s="19">
        <f>Tickers!$D$59</f>
        <v/>
      </c>
      <c r="C60" s="30">
        <f>_xll.BDP($A60,"BEST_SALES","BEST_FPERIOD_OVERRIDE","1BF")</f>
        <v/>
      </c>
      <c r="D60" s="30">
        <f>_xll.BDP($A60,"BEST_SALES","BEST_FPERIOD_OVERRIDE","1BF","BEST_DATA_DATE_OVERRIDE",TEXT(YEAR($D$4),"0000")&amp;TEXT(MONTH($D$4),"00")&amp;TEXT(DAY($D$4),"00"))</f>
        <v/>
      </c>
      <c r="E60" s="30">
        <f>_xll.BDP($A60,"BEST_SALES","BEST_FPERIOD_OVERRIDE","1BF","BEST_DATA_DATE_OVERRIDE",TEXT(YEAR($E$4),"0000")&amp;TEXT(MONTH($E$4),"00")&amp;TEXT(DAY($E$4),"00"))</f>
        <v/>
      </c>
      <c r="F60" s="30">
        <f>_xll.BDP($A60,"BEST_SALES","BEST_FPERIOD_OVERRIDE","1BF","BEST_DATA_DATE_OVERRIDE",TEXT(YEAR($F$4),"0000")&amp;TEXT(MONTH($F$4),"00")&amp;TEXT(DAY($F$4),"00"))</f>
        <v/>
      </c>
      <c r="G60" s="22">
        <f>IFERROR(IF(AND(ISNUMBER($C60),ISNUMBER(D60),D60&lt;&gt;0),$C60/D60-1,""),"")</f>
        <v/>
      </c>
      <c r="H60" s="22">
        <f>IFERROR(IF(AND(ISNUMBER($C60),ISNUMBER(E60),E60&lt;&gt;0),$C60/E60-1,""),"")</f>
        <v/>
      </c>
      <c r="I60" s="22">
        <f>IFERROR(IF(AND(ISNUMBER($C60),ISNUMBER(F60),F60&lt;&gt;0),$C60/F60-1,""),"")</f>
        <v/>
      </c>
      <c r="K60" s="54">
        <f>_xll.BDP($A60,"BEST_EPS","BEST_FPERIOD_OVERRIDE","1BF")</f>
        <v/>
      </c>
      <c r="L60" s="54">
        <f>_xll.BDP($A60,"BEST_EPS","BEST_FPERIOD_OVERRIDE","1BF","BEST_DATA_DATE_OVERRIDE",TEXT(YEAR($D$4),"0000")&amp;TEXT(MONTH($D$4),"00")&amp;TEXT(DAY($D$4),"00"))</f>
        <v/>
      </c>
      <c r="M60" s="54">
        <f>_xll.BDP($A60,"BEST_EPS","BEST_FPERIOD_OVERRIDE","1BF","BEST_DATA_DATE_OVERRIDE",TEXT(YEAR($E$4),"0000")&amp;TEXT(MONTH($E$4),"00")&amp;TEXT(DAY($E$4),"00"))</f>
        <v/>
      </c>
      <c r="N60" s="54">
        <f>_xll.BDP($A60,"BEST_EPS","BEST_FPERIOD_OVERRIDE","1BF","BEST_DATA_DATE_OVERRIDE",TEXT(YEAR($F$4),"0000")&amp;TEXT(MONTH($F$4),"00")&amp;TEXT(DAY($F$4),"00"))</f>
        <v/>
      </c>
      <c r="O60" s="22">
        <f>IFERROR(IF(AND(ISNUMBER($K60),ISNUMBER(L60),L60&lt;&gt;0),$K60/L60-1,""),"")</f>
        <v/>
      </c>
      <c r="P60" s="22">
        <f>IFERROR(IF(AND(ISNUMBER($K60),ISNUMBER(M60),M60&lt;&gt;0),$K60/M60-1,""),"")</f>
        <v/>
      </c>
      <c r="Q60" s="22">
        <f>IFERROR(IF(AND(ISNUMBER($K60),ISNUMBER(N60),N60&lt;&gt;0),$K60/N60-1,""),"")</f>
        <v/>
      </c>
    </row>
    <row r="61">
      <c r="A61" s="19">
        <f>Tickers!$D$60</f>
        <v/>
      </c>
      <c r="C61" s="30">
        <f>_xll.BDP($A61,"BEST_SALES","BEST_FPERIOD_OVERRIDE","1BF")</f>
        <v/>
      </c>
      <c r="D61" s="30">
        <f>_xll.BDP($A61,"BEST_SALES","BEST_FPERIOD_OVERRIDE","1BF","BEST_DATA_DATE_OVERRIDE",TEXT(YEAR($D$4),"0000")&amp;TEXT(MONTH($D$4),"00")&amp;TEXT(DAY($D$4),"00"))</f>
        <v/>
      </c>
      <c r="E61" s="30">
        <f>_xll.BDP($A61,"BEST_SALES","BEST_FPERIOD_OVERRIDE","1BF","BEST_DATA_DATE_OVERRIDE",TEXT(YEAR($E$4),"0000")&amp;TEXT(MONTH($E$4),"00")&amp;TEXT(DAY($E$4),"00"))</f>
        <v/>
      </c>
      <c r="F61" s="30">
        <f>_xll.BDP($A61,"BEST_SALES","BEST_FPERIOD_OVERRIDE","1BF","BEST_DATA_DATE_OVERRIDE",TEXT(YEAR($F$4),"0000")&amp;TEXT(MONTH($F$4),"00")&amp;TEXT(DAY($F$4),"00"))</f>
        <v/>
      </c>
      <c r="G61" s="22">
        <f>IFERROR(IF(AND(ISNUMBER($C61),ISNUMBER(D61),D61&lt;&gt;0),$C61/D61-1,""),"")</f>
        <v/>
      </c>
      <c r="H61" s="22">
        <f>IFERROR(IF(AND(ISNUMBER($C61),ISNUMBER(E61),E61&lt;&gt;0),$C61/E61-1,""),"")</f>
        <v/>
      </c>
      <c r="I61" s="22">
        <f>IFERROR(IF(AND(ISNUMBER($C61),ISNUMBER(F61),F61&lt;&gt;0),$C61/F61-1,""),"")</f>
        <v/>
      </c>
      <c r="K61" s="54">
        <f>_xll.BDP($A61,"BEST_EPS","BEST_FPERIOD_OVERRIDE","1BF")</f>
        <v/>
      </c>
      <c r="L61" s="54">
        <f>_xll.BDP($A61,"BEST_EPS","BEST_FPERIOD_OVERRIDE","1BF","BEST_DATA_DATE_OVERRIDE",TEXT(YEAR($D$4),"0000")&amp;TEXT(MONTH($D$4),"00")&amp;TEXT(DAY($D$4),"00"))</f>
        <v/>
      </c>
      <c r="M61" s="54">
        <f>_xll.BDP($A61,"BEST_EPS","BEST_FPERIOD_OVERRIDE","1BF","BEST_DATA_DATE_OVERRIDE",TEXT(YEAR($E$4),"0000")&amp;TEXT(MONTH($E$4),"00")&amp;TEXT(DAY($E$4),"00"))</f>
        <v/>
      </c>
      <c r="N61" s="54">
        <f>_xll.BDP($A61,"BEST_EPS","BEST_FPERIOD_OVERRIDE","1BF","BEST_DATA_DATE_OVERRIDE",TEXT(YEAR($F$4),"0000")&amp;TEXT(MONTH($F$4),"00")&amp;TEXT(DAY($F$4),"00"))</f>
        <v/>
      </c>
      <c r="O61" s="22">
        <f>IFERROR(IF(AND(ISNUMBER($K61),ISNUMBER(L61),L61&lt;&gt;0),$K61/L61-1,""),"")</f>
        <v/>
      </c>
      <c r="P61" s="22">
        <f>IFERROR(IF(AND(ISNUMBER($K61),ISNUMBER(M61),M61&lt;&gt;0),$K61/M61-1,""),"")</f>
        <v/>
      </c>
      <c r="Q61" s="22">
        <f>IFERROR(IF(AND(ISNUMBER($K61),ISNUMBER(N61),N61&lt;&gt;0),$K61/N61-1,""),"")</f>
        <v/>
      </c>
    </row>
    <row r="62">
      <c r="A62" s="19">
        <f>Tickers!$D$61</f>
        <v/>
      </c>
      <c r="C62" s="30">
        <f>_xll.BDP($A62,"BEST_SALES","BEST_FPERIOD_OVERRIDE","1BF")</f>
        <v/>
      </c>
      <c r="D62" s="30">
        <f>_xll.BDP($A62,"BEST_SALES","BEST_FPERIOD_OVERRIDE","1BF","BEST_DATA_DATE_OVERRIDE",TEXT(YEAR($D$4),"0000")&amp;TEXT(MONTH($D$4),"00")&amp;TEXT(DAY($D$4),"00"))</f>
        <v/>
      </c>
      <c r="E62" s="30">
        <f>_xll.BDP($A62,"BEST_SALES","BEST_FPERIOD_OVERRIDE","1BF","BEST_DATA_DATE_OVERRIDE",TEXT(YEAR($E$4),"0000")&amp;TEXT(MONTH($E$4),"00")&amp;TEXT(DAY($E$4),"00"))</f>
        <v/>
      </c>
      <c r="F62" s="30">
        <f>_xll.BDP($A62,"BEST_SALES","BEST_FPERIOD_OVERRIDE","1BF","BEST_DATA_DATE_OVERRIDE",TEXT(YEAR($F$4),"0000")&amp;TEXT(MONTH($F$4),"00")&amp;TEXT(DAY($F$4),"00"))</f>
        <v/>
      </c>
      <c r="G62" s="22">
        <f>IFERROR(IF(AND(ISNUMBER($C62),ISNUMBER(D62),D62&lt;&gt;0),$C62/D62-1,""),"")</f>
        <v/>
      </c>
      <c r="H62" s="22">
        <f>IFERROR(IF(AND(ISNUMBER($C62),ISNUMBER(E62),E62&lt;&gt;0),$C62/E62-1,""),"")</f>
        <v/>
      </c>
      <c r="I62" s="22">
        <f>IFERROR(IF(AND(ISNUMBER($C62),ISNUMBER(F62),F62&lt;&gt;0),$C62/F62-1,""),"")</f>
        <v/>
      </c>
      <c r="K62" s="54">
        <f>_xll.BDP($A62,"BEST_EPS","BEST_FPERIOD_OVERRIDE","1BF")</f>
        <v/>
      </c>
      <c r="L62" s="54">
        <f>_xll.BDP($A62,"BEST_EPS","BEST_FPERIOD_OVERRIDE","1BF","BEST_DATA_DATE_OVERRIDE",TEXT(YEAR($D$4),"0000")&amp;TEXT(MONTH($D$4),"00")&amp;TEXT(DAY($D$4),"00"))</f>
        <v/>
      </c>
      <c r="M62" s="54">
        <f>_xll.BDP($A62,"BEST_EPS","BEST_FPERIOD_OVERRIDE","1BF","BEST_DATA_DATE_OVERRIDE",TEXT(YEAR($E$4),"0000")&amp;TEXT(MONTH($E$4),"00")&amp;TEXT(DAY($E$4),"00"))</f>
        <v/>
      </c>
      <c r="N62" s="54">
        <f>_xll.BDP($A62,"BEST_EPS","BEST_FPERIOD_OVERRIDE","1BF","BEST_DATA_DATE_OVERRIDE",TEXT(YEAR($F$4),"0000")&amp;TEXT(MONTH($F$4),"00")&amp;TEXT(DAY($F$4),"00"))</f>
        <v/>
      </c>
      <c r="O62" s="22">
        <f>IFERROR(IF(AND(ISNUMBER($K62),ISNUMBER(L62),L62&lt;&gt;0),$K62/L62-1,""),"")</f>
        <v/>
      </c>
      <c r="P62" s="22">
        <f>IFERROR(IF(AND(ISNUMBER($K62),ISNUMBER(M62),M62&lt;&gt;0),$K62/M62-1,""),"")</f>
        <v/>
      </c>
      <c r="Q62" s="22">
        <f>IFERROR(IF(AND(ISNUMBER($K62),ISNUMBER(N62),N62&lt;&gt;0),$K62/N62-1,""),"")</f>
        <v/>
      </c>
    </row>
    <row r="63">
      <c r="A63" s="19">
        <f>Tickers!$D$62</f>
        <v/>
      </c>
      <c r="C63" s="30">
        <f>_xll.BDP($A63,"BEST_SALES","BEST_FPERIOD_OVERRIDE","1BF")</f>
        <v/>
      </c>
      <c r="D63" s="30">
        <f>_xll.BDP($A63,"BEST_SALES","BEST_FPERIOD_OVERRIDE","1BF","BEST_DATA_DATE_OVERRIDE",TEXT(YEAR($D$4),"0000")&amp;TEXT(MONTH($D$4),"00")&amp;TEXT(DAY($D$4),"00"))</f>
        <v/>
      </c>
      <c r="E63" s="30">
        <f>_xll.BDP($A63,"BEST_SALES","BEST_FPERIOD_OVERRIDE","1BF","BEST_DATA_DATE_OVERRIDE",TEXT(YEAR($E$4),"0000")&amp;TEXT(MONTH($E$4),"00")&amp;TEXT(DAY($E$4),"00"))</f>
        <v/>
      </c>
      <c r="F63" s="30">
        <f>_xll.BDP($A63,"BEST_SALES","BEST_FPERIOD_OVERRIDE","1BF","BEST_DATA_DATE_OVERRIDE",TEXT(YEAR($F$4),"0000")&amp;TEXT(MONTH($F$4),"00")&amp;TEXT(DAY($F$4),"00"))</f>
        <v/>
      </c>
      <c r="G63" s="22">
        <f>IFERROR(IF(AND(ISNUMBER($C63),ISNUMBER(D63),D63&lt;&gt;0),$C63/D63-1,""),"")</f>
        <v/>
      </c>
      <c r="H63" s="22">
        <f>IFERROR(IF(AND(ISNUMBER($C63),ISNUMBER(E63),E63&lt;&gt;0),$C63/E63-1,""),"")</f>
        <v/>
      </c>
      <c r="I63" s="22">
        <f>IFERROR(IF(AND(ISNUMBER($C63),ISNUMBER(F63),F63&lt;&gt;0),$C63/F63-1,""),"")</f>
        <v/>
      </c>
      <c r="K63" s="54">
        <f>_xll.BDP($A63,"BEST_EPS","BEST_FPERIOD_OVERRIDE","1BF")</f>
        <v/>
      </c>
      <c r="L63" s="54">
        <f>_xll.BDP($A63,"BEST_EPS","BEST_FPERIOD_OVERRIDE","1BF","BEST_DATA_DATE_OVERRIDE",TEXT(YEAR($D$4),"0000")&amp;TEXT(MONTH($D$4),"00")&amp;TEXT(DAY($D$4),"00"))</f>
        <v/>
      </c>
      <c r="M63" s="54">
        <f>_xll.BDP($A63,"BEST_EPS","BEST_FPERIOD_OVERRIDE","1BF","BEST_DATA_DATE_OVERRIDE",TEXT(YEAR($E$4),"0000")&amp;TEXT(MONTH($E$4),"00")&amp;TEXT(DAY($E$4),"00"))</f>
        <v/>
      </c>
      <c r="N63" s="54">
        <f>_xll.BDP($A63,"BEST_EPS","BEST_FPERIOD_OVERRIDE","1BF","BEST_DATA_DATE_OVERRIDE",TEXT(YEAR($F$4),"0000")&amp;TEXT(MONTH($F$4),"00")&amp;TEXT(DAY($F$4),"00"))</f>
        <v/>
      </c>
      <c r="O63" s="22">
        <f>IFERROR(IF(AND(ISNUMBER($K63),ISNUMBER(L63),L63&lt;&gt;0),$K63/L63-1,""),"")</f>
        <v/>
      </c>
      <c r="P63" s="22">
        <f>IFERROR(IF(AND(ISNUMBER($K63),ISNUMBER(M63),M63&lt;&gt;0),$K63/M63-1,""),"")</f>
        <v/>
      </c>
      <c r="Q63" s="22">
        <f>IFERROR(IF(AND(ISNUMBER($K63),ISNUMBER(N63),N63&lt;&gt;0),$K63/N63-1,""),"")</f>
        <v/>
      </c>
    </row>
    <row r="64">
      <c r="A64" s="19">
        <f>Tickers!$D$63</f>
        <v/>
      </c>
      <c r="C64" s="30">
        <f>_xll.BDP($A64,"BEST_SALES","BEST_FPERIOD_OVERRIDE","1BF")</f>
        <v/>
      </c>
      <c r="D64" s="30">
        <f>_xll.BDP($A64,"BEST_SALES","BEST_FPERIOD_OVERRIDE","1BF","BEST_DATA_DATE_OVERRIDE",TEXT(YEAR($D$4),"0000")&amp;TEXT(MONTH($D$4),"00")&amp;TEXT(DAY($D$4),"00"))</f>
        <v/>
      </c>
      <c r="E64" s="30">
        <f>_xll.BDP($A64,"BEST_SALES","BEST_FPERIOD_OVERRIDE","1BF","BEST_DATA_DATE_OVERRIDE",TEXT(YEAR($E$4),"0000")&amp;TEXT(MONTH($E$4),"00")&amp;TEXT(DAY($E$4),"00"))</f>
        <v/>
      </c>
      <c r="F64" s="30">
        <f>_xll.BDP($A64,"BEST_SALES","BEST_FPERIOD_OVERRIDE","1BF","BEST_DATA_DATE_OVERRIDE",TEXT(YEAR($F$4),"0000")&amp;TEXT(MONTH($F$4),"00")&amp;TEXT(DAY($F$4),"00"))</f>
        <v/>
      </c>
      <c r="G64" s="22">
        <f>IFERROR(IF(AND(ISNUMBER($C64),ISNUMBER(D64),D64&lt;&gt;0),$C64/D64-1,""),"")</f>
        <v/>
      </c>
      <c r="H64" s="22">
        <f>IFERROR(IF(AND(ISNUMBER($C64),ISNUMBER(E64),E64&lt;&gt;0),$C64/E64-1,""),"")</f>
        <v/>
      </c>
      <c r="I64" s="22">
        <f>IFERROR(IF(AND(ISNUMBER($C64),ISNUMBER(F64),F64&lt;&gt;0),$C64/F64-1,""),"")</f>
        <v/>
      </c>
      <c r="K64" s="54">
        <f>_xll.BDP($A64,"BEST_EPS","BEST_FPERIOD_OVERRIDE","1BF")</f>
        <v/>
      </c>
      <c r="L64" s="54">
        <f>_xll.BDP($A64,"BEST_EPS","BEST_FPERIOD_OVERRIDE","1BF","BEST_DATA_DATE_OVERRIDE",TEXT(YEAR($D$4),"0000")&amp;TEXT(MONTH($D$4),"00")&amp;TEXT(DAY($D$4),"00"))</f>
        <v/>
      </c>
      <c r="M64" s="54">
        <f>_xll.BDP($A64,"BEST_EPS","BEST_FPERIOD_OVERRIDE","1BF","BEST_DATA_DATE_OVERRIDE",TEXT(YEAR($E$4),"0000")&amp;TEXT(MONTH($E$4),"00")&amp;TEXT(DAY($E$4),"00"))</f>
        <v/>
      </c>
      <c r="N64" s="54">
        <f>_xll.BDP($A64,"BEST_EPS","BEST_FPERIOD_OVERRIDE","1BF","BEST_DATA_DATE_OVERRIDE",TEXT(YEAR($F$4),"0000")&amp;TEXT(MONTH($F$4),"00")&amp;TEXT(DAY($F$4),"00"))</f>
        <v/>
      </c>
      <c r="O64" s="22">
        <f>IFERROR(IF(AND(ISNUMBER($K64),ISNUMBER(L64),L64&lt;&gt;0),$K64/L64-1,""),"")</f>
        <v/>
      </c>
      <c r="P64" s="22">
        <f>IFERROR(IF(AND(ISNUMBER($K64),ISNUMBER(M64),M64&lt;&gt;0),$K64/M64-1,""),"")</f>
        <v/>
      </c>
      <c r="Q64" s="22">
        <f>IFERROR(IF(AND(ISNUMBER($K64),ISNUMBER(N64),N64&lt;&gt;0),$K64/N64-1,""),"")</f>
        <v/>
      </c>
    </row>
    <row r="65">
      <c r="A65" s="19">
        <f>Tickers!$D$64</f>
        <v/>
      </c>
      <c r="C65" s="30">
        <f>_xll.BDP($A65,"BEST_SALES","BEST_FPERIOD_OVERRIDE","1BF")</f>
        <v/>
      </c>
      <c r="D65" s="30">
        <f>_xll.BDP($A65,"BEST_SALES","BEST_FPERIOD_OVERRIDE","1BF","BEST_DATA_DATE_OVERRIDE",TEXT(YEAR($D$4),"0000")&amp;TEXT(MONTH($D$4),"00")&amp;TEXT(DAY($D$4),"00"))</f>
        <v/>
      </c>
      <c r="E65" s="30">
        <f>_xll.BDP($A65,"BEST_SALES","BEST_FPERIOD_OVERRIDE","1BF","BEST_DATA_DATE_OVERRIDE",TEXT(YEAR($E$4),"0000")&amp;TEXT(MONTH($E$4),"00")&amp;TEXT(DAY($E$4),"00"))</f>
        <v/>
      </c>
      <c r="F65" s="30">
        <f>_xll.BDP($A65,"BEST_SALES","BEST_FPERIOD_OVERRIDE","1BF","BEST_DATA_DATE_OVERRIDE",TEXT(YEAR($F$4),"0000")&amp;TEXT(MONTH($F$4),"00")&amp;TEXT(DAY($F$4),"00"))</f>
        <v/>
      </c>
      <c r="G65" s="22">
        <f>IFERROR(IF(AND(ISNUMBER($C65),ISNUMBER(D65),D65&lt;&gt;0),$C65/D65-1,""),"")</f>
        <v/>
      </c>
      <c r="H65" s="22">
        <f>IFERROR(IF(AND(ISNUMBER($C65),ISNUMBER(E65),E65&lt;&gt;0),$C65/E65-1,""),"")</f>
        <v/>
      </c>
      <c r="I65" s="22">
        <f>IFERROR(IF(AND(ISNUMBER($C65),ISNUMBER(F65),F65&lt;&gt;0),$C65/F65-1,""),"")</f>
        <v/>
      </c>
      <c r="K65" s="54">
        <f>_xll.BDP($A65,"BEST_EPS","BEST_FPERIOD_OVERRIDE","1BF")</f>
        <v/>
      </c>
      <c r="L65" s="54">
        <f>_xll.BDP($A65,"BEST_EPS","BEST_FPERIOD_OVERRIDE","1BF","BEST_DATA_DATE_OVERRIDE",TEXT(YEAR($D$4),"0000")&amp;TEXT(MONTH($D$4),"00")&amp;TEXT(DAY($D$4),"00"))</f>
        <v/>
      </c>
      <c r="M65" s="54">
        <f>_xll.BDP($A65,"BEST_EPS","BEST_FPERIOD_OVERRIDE","1BF","BEST_DATA_DATE_OVERRIDE",TEXT(YEAR($E$4),"0000")&amp;TEXT(MONTH($E$4),"00")&amp;TEXT(DAY($E$4),"00"))</f>
        <v/>
      </c>
      <c r="N65" s="54">
        <f>_xll.BDP($A65,"BEST_EPS","BEST_FPERIOD_OVERRIDE","1BF","BEST_DATA_DATE_OVERRIDE",TEXT(YEAR($F$4),"0000")&amp;TEXT(MONTH($F$4),"00")&amp;TEXT(DAY($F$4),"00"))</f>
        <v/>
      </c>
      <c r="O65" s="22">
        <f>IFERROR(IF(AND(ISNUMBER($K65),ISNUMBER(L65),L65&lt;&gt;0),$K65/L65-1,""),"")</f>
        <v/>
      </c>
      <c r="P65" s="22">
        <f>IFERROR(IF(AND(ISNUMBER($K65),ISNUMBER(M65),M65&lt;&gt;0),$K65/M65-1,""),"")</f>
        <v/>
      </c>
      <c r="Q65" s="22">
        <f>IFERROR(IF(AND(ISNUMBER($K65),ISNUMBER(N65),N65&lt;&gt;0),$K65/N65-1,""),"")</f>
        <v/>
      </c>
    </row>
    <row r="66">
      <c r="A66" s="19">
        <f>Tickers!$D$65</f>
        <v/>
      </c>
      <c r="C66" s="30">
        <f>_xll.BDP($A66,"BEST_SALES","BEST_FPERIOD_OVERRIDE","1BF")</f>
        <v/>
      </c>
      <c r="D66" s="30">
        <f>_xll.BDP($A66,"BEST_SALES","BEST_FPERIOD_OVERRIDE","1BF","BEST_DATA_DATE_OVERRIDE",TEXT(YEAR($D$4),"0000")&amp;TEXT(MONTH($D$4),"00")&amp;TEXT(DAY($D$4),"00"))</f>
        <v/>
      </c>
      <c r="E66" s="30">
        <f>_xll.BDP($A66,"BEST_SALES","BEST_FPERIOD_OVERRIDE","1BF","BEST_DATA_DATE_OVERRIDE",TEXT(YEAR($E$4),"0000")&amp;TEXT(MONTH($E$4),"00")&amp;TEXT(DAY($E$4),"00"))</f>
        <v/>
      </c>
      <c r="F66" s="30">
        <f>_xll.BDP($A66,"BEST_SALES","BEST_FPERIOD_OVERRIDE","1BF","BEST_DATA_DATE_OVERRIDE",TEXT(YEAR($F$4),"0000")&amp;TEXT(MONTH($F$4),"00")&amp;TEXT(DAY($F$4),"00"))</f>
        <v/>
      </c>
      <c r="G66" s="22">
        <f>IFERROR(IF(AND(ISNUMBER($C66),ISNUMBER(D66),D66&lt;&gt;0),$C66/D66-1,""),"")</f>
        <v/>
      </c>
      <c r="H66" s="22">
        <f>IFERROR(IF(AND(ISNUMBER($C66),ISNUMBER(E66),E66&lt;&gt;0),$C66/E66-1,""),"")</f>
        <v/>
      </c>
      <c r="I66" s="22">
        <f>IFERROR(IF(AND(ISNUMBER($C66),ISNUMBER(F66),F66&lt;&gt;0),$C66/F66-1,""),"")</f>
        <v/>
      </c>
      <c r="K66" s="54">
        <f>_xll.BDP($A66,"BEST_EPS","BEST_FPERIOD_OVERRIDE","1BF")</f>
        <v/>
      </c>
      <c r="L66" s="54">
        <f>_xll.BDP($A66,"BEST_EPS","BEST_FPERIOD_OVERRIDE","1BF","BEST_DATA_DATE_OVERRIDE",TEXT(YEAR($D$4),"0000")&amp;TEXT(MONTH($D$4),"00")&amp;TEXT(DAY($D$4),"00"))</f>
        <v/>
      </c>
      <c r="M66" s="54">
        <f>_xll.BDP($A66,"BEST_EPS","BEST_FPERIOD_OVERRIDE","1BF","BEST_DATA_DATE_OVERRIDE",TEXT(YEAR($E$4),"0000")&amp;TEXT(MONTH($E$4),"00")&amp;TEXT(DAY($E$4),"00"))</f>
        <v/>
      </c>
      <c r="N66" s="54">
        <f>_xll.BDP($A66,"BEST_EPS","BEST_FPERIOD_OVERRIDE","1BF","BEST_DATA_DATE_OVERRIDE",TEXT(YEAR($F$4),"0000")&amp;TEXT(MONTH($F$4),"00")&amp;TEXT(DAY($F$4),"00"))</f>
        <v/>
      </c>
      <c r="O66" s="22">
        <f>IFERROR(IF(AND(ISNUMBER($K66),ISNUMBER(L66),L66&lt;&gt;0),$K66/L66-1,""),"")</f>
        <v/>
      </c>
      <c r="P66" s="22">
        <f>IFERROR(IF(AND(ISNUMBER($K66),ISNUMBER(M66),M66&lt;&gt;0),$K66/M66-1,""),"")</f>
        <v/>
      </c>
      <c r="Q66" s="22">
        <f>IFERROR(IF(AND(ISNUMBER($K66),ISNUMBER(N66),N66&lt;&gt;0),$K66/N66-1,""),"")</f>
        <v/>
      </c>
    </row>
    <row r="67">
      <c r="A67" s="19">
        <f>Tickers!$D$66</f>
        <v/>
      </c>
      <c r="C67" s="30">
        <f>_xll.BDP($A67,"BEST_SALES","BEST_FPERIOD_OVERRIDE","1BF")</f>
        <v/>
      </c>
      <c r="D67" s="30">
        <f>_xll.BDP($A67,"BEST_SALES","BEST_FPERIOD_OVERRIDE","1BF","BEST_DATA_DATE_OVERRIDE",TEXT(YEAR($D$4),"0000")&amp;TEXT(MONTH($D$4),"00")&amp;TEXT(DAY($D$4),"00"))</f>
        <v/>
      </c>
      <c r="E67" s="30">
        <f>_xll.BDP($A67,"BEST_SALES","BEST_FPERIOD_OVERRIDE","1BF","BEST_DATA_DATE_OVERRIDE",TEXT(YEAR($E$4),"0000")&amp;TEXT(MONTH($E$4),"00")&amp;TEXT(DAY($E$4),"00"))</f>
        <v/>
      </c>
      <c r="F67" s="30">
        <f>_xll.BDP($A67,"BEST_SALES","BEST_FPERIOD_OVERRIDE","1BF","BEST_DATA_DATE_OVERRIDE",TEXT(YEAR($F$4),"0000")&amp;TEXT(MONTH($F$4),"00")&amp;TEXT(DAY($F$4),"00"))</f>
        <v/>
      </c>
      <c r="G67" s="22">
        <f>IFERROR(IF(AND(ISNUMBER($C67),ISNUMBER(D67),D67&lt;&gt;0),$C67/D67-1,""),"")</f>
        <v/>
      </c>
      <c r="H67" s="22">
        <f>IFERROR(IF(AND(ISNUMBER($C67),ISNUMBER(E67),E67&lt;&gt;0),$C67/E67-1,""),"")</f>
        <v/>
      </c>
      <c r="I67" s="22">
        <f>IFERROR(IF(AND(ISNUMBER($C67),ISNUMBER(F67),F67&lt;&gt;0),$C67/F67-1,""),"")</f>
        <v/>
      </c>
      <c r="K67" s="54">
        <f>_xll.BDP($A67,"BEST_EPS","BEST_FPERIOD_OVERRIDE","1BF")</f>
        <v/>
      </c>
      <c r="L67" s="54">
        <f>_xll.BDP($A67,"BEST_EPS","BEST_FPERIOD_OVERRIDE","1BF","BEST_DATA_DATE_OVERRIDE",TEXT(YEAR($D$4),"0000")&amp;TEXT(MONTH($D$4),"00")&amp;TEXT(DAY($D$4),"00"))</f>
        <v/>
      </c>
      <c r="M67" s="54">
        <f>_xll.BDP($A67,"BEST_EPS","BEST_FPERIOD_OVERRIDE","1BF","BEST_DATA_DATE_OVERRIDE",TEXT(YEAR($E$4),"0000")&amp;TEXT(MONTH($E$4),"00")&amp;TEXT(DAY($E$4),"00"))</f>
        <v/>
      </c>
      <c r="N67" s="54">
        <f>_xll.BDP($A67,"BEST_EPS","BEST_FPERIOD_OVERRIDE","1BF","BEST_DATA_DATE_OVERRIDE",TEXT(YEAR($F$4),"0000")&amp;TEXT(MONTH($F$4),"00")&amp;TEXT(DAY($F$4),"00"))</f>
        <v/>
      </c>
      <c r="O67" s="22">
        <f>IFERROR(IF(AND(ISNUMBER($K67),ISNUMBER(L67),L67&lt;&gt;0),$K67/L67-1,""),"")</f>
        <v/>
      </c>
      <c r="P67" s="22">
        <f>IFERROR(IF(AND(ISNUMBER($K67),ISNUMBER(M67),M67&lt;&gt;0),$K67/M67-1,""),"")</f>
        <v/>
      </c>
      <c r="Q67" s="22">
        <f>IFERROR(IF(AND(ISNUMBER($K67),ISNUMBER(N67),N67&lt;&gt;0),$K67/N67-1,""),"")</f>
        <v/>
      </c>
    </row>
    <row r="68">
      <c r="A68" s="19">
        <f>Tickers!$D$67</f>
        <v/>
      </c>
      <c r="C68" s="30">
        <f>_xll.BDP($A68,"BEST_SALES","BEST_FPERIOD_OVERRIDE","1BF")</f>
        <v/>
      </c>
      <c r="D68" s="30">
        <f>_xll.BDP($A68,"BEST_SALES","BEST_FPERIOD_OVERRIDE","1BF","BEST_DATA_DATE_OVERRIDE",TEXT(YEAR($D$4),"0000")&amp;TEXT(MONTH($D$4),"00")&amp;TEXT(DAY($D$4),"00"))</f>
        <v/>
      </c>
      <c r="E68" s="30">
        <f>_xll.BDP($A68,"BEST_SALES","BEST_FPERIOD_OVERRIDE","1BF","BEST_DATA_DATE_OVERRIDE",TEXT(YEAR($E$4),"0000")&amp;TEXT(MONTH($E$4),"00")&amp;TEXT(DAY($E$4),"00"))</f>
        <v/>
      </c>
      <c r="F68" s="30">
        <f>_xll.BDP($A68,"BEST_SALES","BEST_FPERIOD_OVERRIDE","1BF","BEST_DATA_DATE_OVERRIDE",TEXT(YEAR($F$4),"0000")&amp;TEXT(MONTH($F$4),"00")&amp;TEXT(DAY($F$4),"00"))</f>
        <v/>
      </c>
      <c r="G68" s="22">
        <f>IFERROR(IF(AND(ISNUMBER($C68),ISNUMBER(D68),D68&lt;&gt;0),$C68/D68-1,""),"")</f>
        <v/>
      </c>
      <c r="H68" s="22">
        <f>IFERROR(IF(AND(ISNUMBER($C68),ISNUMBER(E68),E68&lt;&gt;0),$C68/E68-1,""),"")</f>
        <v/>
      </c>
      <c r="I68" s="22">
        <f>IFERROR(IF(AND(ISNUMBER($C68),ISNUMBER(F68),F68&lt;&gt;0),$C68/F68-1,""),"")</f>
        <v/>
      </c>
      <c r="K68" s="54">
        <f>_xll.BDP($A68,"BEST_EPS","BEST_FPERIOD_OVERRIDE","1BF")</f>
        <v/>
      </c>
      <c r="L68" s="54">
        <f>_xll.BDP($A68,"BEST_EPS","BEST_FPERIOD_OVERRIDE","1BF","BEST_DATA_DATE_OVERRIDE",TEXT(YEAR($D$4),"0000")&amp;TEXT(MONTH($D$4),"00")&amp;TEXT(DAY($D$4),"00"))</f>
        <v/>
      </c>
      <c r="M68" s="54">
        <f>_xll.BDP($A68,"BEST_EPS","BEST_FPERIOD_OVERRIDE","1BF","BEST_DATA_DATE_OVERRIDE",TEXT(YEAR($E$4),"0000")&amp;TEXT(MONTH($E$4),"00")&amp;TEXT(DAY($E$4),"00"))</f>
        <v/>
      </c>
      <c r="N68" s="54">
        <f>_xll.BDP($A68,"BEST_EPS","BEST_FPERIOD_OVERRIDE","1BF","BEST_DATA_DATE_OVERRIDE",TEXT(YEAR($F$4),"0000")&amp;TEXT(MONTH($F$4),"00")&amp;TEXT(DAY($F$4),"00"))</f>
        <v/>
      </c>
      <c r="O68" s="22">
        <f>IFERROR(IF(AND(ISNUMBER($K68),ISNUMBER(L68),L68&lt;&gt;0),$K68/L68-1,""),"")</f>
        <v/>
      </c>
      <c r="P68" s="22">
        <f>IFERROR(IF(AND(ISNUMBER($K68),ISNUMBER(M68),M68&lt;&gt;0),$K68/M68-1,""),"")</f>
        <v/>
      </c>
      <c r="Q68" s="22">
        <f>IFERROR(IF(AND(ISNUMBER($K68),ISNUMBER(N68),N68&lt;&gt;0),$K68/N68-1,""),"")</f>
        <v/>
      </c>
    </row>
    <row r="69">
      <c r="A69" s="19">
        <f>Tickers!$D$68</f>
        <v/>
      </c>
      <c r="C69" s="30">
        <f>_xll.BDP($A69,"BEST_SALES","BEST_FPERIOD_OVERRIDE","1BF")</f>
        <v/>
      </c>
      <c r="D69" s="30">
        <f>_xll.BDP($A69,"BEST_SALES","BEST_FPERIOD_OVERRIDE","1BF","BEST_DATA_DATE_OVERRIDE",TEXT(YEAR($D$4),"0000")&amp;TEXT(MONTH($D$4),"00")&amp;TEXT(DAY($D$4),"00"))</f>
        <v/>
      </c>
      <c r="E69" s="30">
        <f>_xll.BDP($A69,"BEST_SALES","BEST_FPERIOD_OVERRIDE","1BF","BEST_DATA_DATE_OVERRIDE",TEXT(YEAR($E$4),"0000")&amp;TEXT(MONTH($E$4),"00")&amp;TEXT(DAY($E$4),"00"))</f>
        <v/>
      </c>
      <c r="F69" s="30">
        <f>_xll.BDP($A69,"BEST_SALES","BEST_FPERIOD_OVERRIDE","1BF","BEST_DATA_DATE_OVERRIDE",TEXT(YEAR($F$4),"0000")&amp;TEXT(MONTH($F$4),"00")&amp;TEXT(DAY($F$4),"00"))</f>
        <v/>
      </c>
      <c r="G69" s="22">
        <f>IFERROR(IF(AND(ISNUMBER($C69),ISNUMBER(D69),D69&lt;&gt;0),$C69/D69-1,""),"")</f>
        <v/>
      </c>
      <c r="H69" s="22">
        <f>IFERROR(IF(AND(ISNUMBER($C69),ISNUMBER(E69),E69&lt;&gt;0),$C69/E69-1,""),"")</f>
        <v/>
      </c>
      <c r="I69" s="22">
        <f>IFERROR(IF(AND(ISNUMBER($C69),ISNUMBER(F69),F69&lt;&gt;0),$C69/F69-1,""),"")</f>
        <v/>
      </c>
      <c r="K69" s="54">
        <f>_xll.BDP($A69,"BEST_EPS","BEST_FPERIOD_OVERRIDE","1BF")</f>
        <v/>
      </c>
      <c r="L69" s="54">
        <f>_xll.BDP($A69,"BEST_EPS","BEST_FPERIOD_OVERRIDE","1BF","BEST_DATA_DATE_OVERRIDE",TEXT(YEAR($D$4),"0000")&amp;TEXT(MONTH($D$4),"00")&amp;TEXT(DAY($D$4),"00"))</f>
        <v/>
      </c>
      <c r="M69" s="54">
        <f>_xll.BDP($A69,"BEST_EPS","BEST_FPERIOD_OVERRIDE","1BF","BEST_DATA_DATE_OVERRIDE",TEXT(YEAR($E$4),"0000")&amp;TEXT(MONTH($E$4),"00")&amp;TEXT(DAY($E$4),"00"))</f>
        <v/>
      </c>
      <c r="N69" s="54">
        <f>_xll.BDP($A69,"BEST_EPS","BEST_FPERIOD_OVERRIDE","1BF","BEST_DATA_DATE_OVERRIDE",TEXT(YEAR($F$4),"0000")&amp;TEXT(MONTH($F$4),"00")&amp;TEXT(DAY($F$4),"00"))</f>
        <v/>
      </c>
      <c r="O69" s="22">
        <f>IFERROR(IF(AND(ISNUMBER($K69),ISNUMBER(L69),L69&lt;&gt;0),$K69/L69-1,""),"")</f>
        <v/>
      </c>
      <c r="P69" s="22">
        <f>IFERROR(IF(AND(ISNUMBER($K69),ISNUMBER(M69),M69&lt;&gt;0),$K69/M69-1,""),"")</f>
        <v/>
      </c>
      <c r="Q69" s="22">
        <f>IFERROR(IF(AND(ISNUMBER($K69),ISNUMBER(N69),N69&lt;&gt;0),$K69/N69-1,""),"")</f>
        <v/>
      </c>
    </row>
    <row r="70">
      <c r="A70" s="19">
        <f>Tickers!$D$69</f>
        <v/>
      </c>
      <c r="C70" s="30">
        <f>_xll.BDP($A70,"BEST_SALES","BEST_FPERIOD_OVERRIDE","1BF")</f>
        <v/>
      </c>
      <c r="D70" s="30">
        <f>_xll.BDP($A70,"BEST_SALES","BEST_FPERIOD_OVERRIDE","1BF","BEST_DATA_DATE_OVERRIDE",TEXT(YEAR($D$4),"0000")&amp;TEXT(MONTH($D$4),"00")&amp;TEXT(DAY($D$4),"00"))</f>
        <v/>
      </c>
      <c r="E70" s="30">
        <f>_xll.BDP($A70,"BEST_SALES","BEST_FPERIOD_OVERRIDE","1BF","BEST_DATA_DATE_OVERRIDE",TEXT(YEAR($E$4),"0000")&amp;TEXT(MONTH($E$4),"00")&amp;TEXT(DAY($E$4),"00"))</f>
        <v/>
      </c>
      <c r="F70" s="30">
        <f>_xll.BDP($A70,"BEST_SALES","BEST_FPERIOD_OVERRIDE","1BF","BEST_DATA_DATE_OVERRIDE",TEXT(YEAR($F$4),"0000")&amp;TEXT(MONTH($F$4),"00")&amp;TEXT(DAY($F$4),"00"))</f>
        <v/>
      </c>
      <c r="G70" s="22">
        <f>IFERROR(IF(AND(ISNUMBER($C70),ISNUMBER(D70),D70&lt;&gt;0),$C70/D70-1,""),"")</f>
        <v/>
      </c>
      <c r="H70" s="22">
        <f>IFERROR(IF(AND(ISNUMBER($C70),ISNUMBER(E70),E70&lt;&gt;0),$C70/E70-1,""),"")</f>
        <v/>
      </c>
      <c r="I70" s="22">
        <f>IFERROR(IF(AND(ISNUMBER($C70),ISNUMBER(F70),F70&lt;&gt;0),$C70/F70-1,""),"")</f>
        <v/>
      </c>
      <c r="K70" s="54">
        <f>_xll.BDP($A70,"BEST_EPS","BEST_FPERIOD_OVERRIDE","1BF")</f>
        <v/>
      </c>
      <c r="L70" s="54">
        <f>_xll.BDP($A70,"BEST_EPS","BEST_FPERIOD_OVERRIDE","1BF","BEST_DATA_DATE_OVERRIDE",TEXT(YEAR($D$4),"0000")&amp;TEXT(MONTH($D$4),"00")&amp;TEXT(DAY($D$4),"00"))</f>
        <v/>
      </c>
      <c r="M70" s="54">
        <f>_xll.BDP($A70,"BEST_EPS","BEST_FPERIOD_OVERRIDE","1BF","BEST_DATA_DATE_OVERRIDE",TEXT(YEAR($E$4),"0000")&amp;TEXT(MONTH($E$4),"00")&amp;TEXT(DAY($E$4),"00"))</f>
        <v/>
      </c>
      <c r="N70" s="54">
        <f>_xll.BDP($A70,"BEST_EPS","BEST_FPERIOD_OVERRIDE","1BF","BEST_DATA_DATE_OVERRIDE",TEXT(YEAR($F$4),"0000")&amp;TEXT(MONTH($F$4),"00")&amp;TEXT(DAY($F$4),"00"))</f>
        <v/>
      </c>
      <c r="O70" s="22">
        <f>IFERROR(IF(AND(ISNUMBER($K70),ISNUMBER(L70),L70&lt;&gt;0),$K70/L70-1,""),"")</f>
        <v/>
      </c>
      <c r="P70" s="22">
        <f>IFERROR(IF(AND(ISNUMBER($K70),ISNUMBER(M70),M70&lt;&gt;0),$K70/M70-1,""),"")</f>
        <v/>
      </c>
      <c r="Q70" s="22">
        <f>IFERROR(IF(AND(ISNUMBER($K70),ISNUMBER(N70),N70&lt;&gt;0),$K70/N70-1,""),"")</f>
        <v/>
      </c>
    </row>
    <row r="71">
      <c r="A71" s="19">
        <f>Tickers!$D$70</f>
        <v/>
      </c>
      <c r="C71" s="30">
        <f>_xll.BDP($A71,"BEST_SALES","BEST_FPERIOD_OVERRIDE","1BF")</f>
        <v/>
      </c>
      <c r="D71" s="30">
        <f>_xll.BDP($A71,"BEST_SALES","BEST_FPERIOD_OVERRIDE","1BF","BEST_DATA_DATE_OVERRIDE",TEXT(YEAR($D$4),"0000")&amp;TEXT(MONTH($D$4),"00")&amp;TEXT(DAY($D$4),"00"))</f>
        <v/>
      </c>
      <c r="E71" s="30">
        <f>_xll.BDP($A71,"BEST_SALES","BEST_FPERIOD_OVERRIDE","1BF","BEST_DATA_DATE_OVERRIDE",TEXT(YEAR($E$4),"0000")&amp;TEXT(MONTH($E$4),"00")&amp;TEXT(DAY($E$4),"00"))</f>
        <v/>
      </c>
      <c r="F71" s="30">
        <f>_xll.BDP($A71,"BEST_SALES","BEST_FPERIOD_OVERRIDE","1BF","BEST_DATA_DATE_OVERRIDE",TEXT(YEAR($F$4),"0000")&amp;TEXT(MONTH($F$4),"00")&amp;TEXT(DAY($F$4),"00"))</f>
        <v/>
      </c>
      <c r="G71" s="22">
        <f>IFERROR(IF(AND(ISNUMBER($C71),ISNUMBER(D71),D71&lt;&gt;0),$C71/D71-1,""),"")</f>
        <v/>
      </c>
      <c r="H71" s="22">
        <f>IFERROR(IF(AND(ISNUMBER($C71),ISNUMBER(E71),E71&lt;&gt;0),$C71/E71-1,""),"")</f>
        <v/>
      </c>
      <c r="I71" s="22">
        <f>IFERROR(IF(AND(ISNUMBER($C71),ISNUMBER(F71),F71&lt;&gt;0),$C71/F71-1,""),"")</f>
        <v/>
      </c>
      <c r="K71" s="54">
        <f>_xll.BDP($A71,"BEST_EPS","BEST_FPERIOD_OVERRIDE","1BF")</f>
        <v/>
      </c>
      <c r="L71" s="54">
        <f>_xll.BDP($A71,"BEST_EPS","BEST_FPERIOD_OVERRIDE","1BF","BEST_DATA_DATE_OVERRIDE",TEXT(YEAR($D$4),"0000")&amp;TEXT(MONTH($D$4),"00")&amp;TEXT(DAY($D$4),"00"))</f>
        <v/>
      </c>
      <c r="M71" s="54">
        <f>_xll.BDP($A71,"BEST_EPS","BEST_FPERIOD_OVERRIDE","1BF","BEST_DATA_DATE_OVERRIDE",TEXT(YEAR($E$4),"0000")&amp;TEXT(MONTH($E$4),"00")&amp;TEXT(DAY($E$4),"00"))</f>
        <v/>
      </c>
      <c r="N71" s="54">
        <f>_xll.BDP($A71,"BEST_EPS","BEST_FPERIOD_OVERRIDE","1BF","BEST_DATA_DATE_OVERRIDE",TEXT(YEAR($F$4),"0000")&amp;TEXT(MONTH($F$4),"00")&amp;TEXT(DAY($F$4),"00"))</f>
        <v/>
      </c>
      <c r="O71" s="22">
        <f>IFERROR(IF(AND(ISNUMBER($K71),ISNUMBER(L71),L71&lt;&gt;0),$K71/L71-1,""),"")</f>
        <v/>
      </c>
      <c r="P71" s="22">
        <f>IFERROR(IF(AND(ISNUMBER($K71),ISNUMBER(M71),M71&lt;&gt;0),$K71/M71-1,""),"")</f>
        <v/>
      </c>
      <c r="Q71" s="22">
        <f>IFERROR(IF(AND(ISNUMBER($K71),ISNUMBER(N71),N71&lt;&gt;0),$K71/N71-1,""),"")</f>
        <v/>
      </c>
    </row>
    <row r="72">
      <c r="A72" s="19">
        <f>Tickers!$D$71</f>
        <v/>
      </c>
      <c r="C72" s="30">
        <f>_xll.BDP($A72,"BEST_SALES","BEST_FPERIOD_OVERRIDE","1BF")</f>
        <v/>
      </c>
      <c r="D72" s="30">
        <f>_xll.BDP($A72,"BEST_SALES","BEST_FPERIOD_OVERRIDE","1BF","BEST_DATA_DATE_OVERRIDE",TEXT(YEAR($D$4),"0000")&amp;TEXT(MONTH($D$4),"00")&amp;TEXT(DAY($D$4),"00"))</f>
        <v/>
      </c>
      <c r="E72" s="30">
        <f>_xll.BDP($A72,"BEST_SALES","BEST_FPERIOD_OVERRIDE","1BF","BEST_DATA_DATE_OVERRIDE",TEXT(YEAR($E$4),"0000")&amp;TEXT(MONTH($E$4),"00")&amp;TEXT(DAY($E$4),"00"))</f>
        <v/>
      </c>
      <c r="F72" s="30">
        <f>_xll.BDP($A72,"BEST_SALES","BEST_FPERIOD_OVERRIDE","1BF","BEST_DATA_DATE_OVERRIDE",TEXT(YEAR($F$4),"0000")&amp;TEXT(MONTH($F$4),"00")&amp;TEXT(DAY($F$4),"00"))</f>
        <v/>
      </c>
      <c r="G72" s="22">
        <f>IFERROR(IF(AND(ISNUMBER($C72),ISNUMBER(D72),D72&lt;&gt;0),$C72/D72-1,""),"")</f>
        <v/>
      </c>
      <c r="H72" s="22">
        <f>IFERROR(IF(AND(ISNUMBER($C72),ISNUMBER(E72),E72&lt;&gt;0),$C72/E72-1,""),"")</f>
        <v/>
      </c>
      <c r="I72" s="22">
        <f>IFERROR(IF(AND(ISNUMBER($C72),ISNUMBER(F72),F72&lt;&gt;0),$C72/F72-1,""),"")</f>
        <v/>
      </c>
      <c r="K72" s="54">
        <f>_xll.BDP($A72,"BEST_EPS","BEST_FPERIOD_OVERRIDE","1BF")</f>
        <v/>
      </c>
      <c r="L72" s="54">
        <f>_xll.BDP($A72,"BEST_EPS","BEST_FPERIOD_OVERRIDE","1BF","BEST_DATA_DATE_OVERRIDE",TEXT(YEAR($D$4),"0000")&amp;TEXT(MONTH($D$4),"00")&amp;TEXT(DAY($D$4),"00"))</f>
        <v/>
      </c>
      <c r="M72" s="54">
        <f>_xll.BDP($A72,"BEST_EPS","BEST_FPERIOD_OVERRIDE","1BF","BEST_DATA_DATE_OVERRIDE",TEXT(YEAR($E$4),"0000")&amp;TEXT(MONTH($E$4),"00")&amp;TEXT(DAY($E$4),"00"))</f>
        <v/>
      </c>
      <c r="N72" s="54">
        <f>_xll.BDP($A72,"BEST_EPS","BEST_FPERIOD_OVERRIDE","1BF","BEST_DATA_DATE_OVERRIDE",TEXT(YEAR($F$4),"0000")&amp;TEXT(MONTH($F$4),"00")&amp;TEXT(DAY($F$4),"00"))</f>
        <v/>
      </c>
      <c r="O72" s="22">
        <f>IFERROR(IF(AND(ISNUMBER($K72),ISNUMBER(L72),L72&lt;&gt;0),$K72/L72-1,""),"")</f>
        <v/>
      </c>
      <c r="P72" s="22">
        <f>IFERROR(IF(AND(ISNUMBER($K72),ISNUMBER(M72),M72&lt;&gt;0),$K72/M72-1,""),"")</f>
        <v/>
      </c>
      <c r="Q72" s="22">
        <f>IFERROR(IF(AND(ISNUMBER($K72),ISNUMBER(N72),N72&lt;&gt;0),$K72/N72-1,""),"")</f>
        <v/>
      </c>
    </row>
    <row r="73">
      <c r="A73" s="19">
        <f>Tickers!$D$72</f>
        <v/>
      </c>
      <c r="C73" s="30">
        <f>_xll.BDP($A73,"BEST_SALES","BEST_FPERIOD_OVERRIDE","1BF")</f>
        <v/>
      </c>
      <c r="D73" s="30">
        <f>_xll.BDP($A73,"BEST_SALES","BEST_FPERIOD_OVERRIDE","1BF","BEST_DATA_DATE_OVERRIDE",TEXT(YEAR($D$4),"0000")&amp;TEXT(MONTH($D$4),"00")&amp;TEXT(DAY($D$4),"00"))</f>
        <v/>
      </c>
      <c r="E73" s="30">
        <f>_xll.BDP($A73,"BEST_SALES","BEST_FPERIOD_OVERRIDE","1BF","BEST_DATA_DATE_OVERRIDE",TEXT(YEAR($E$4),"0000")&amp;TEXT(MONTH($E$4),"00")&amp;TEXT(DAY($E$4),"00"))</f>
        <v/>
      </c>
      <c r="F73" s="30">
        <f>_xll.BDP($A73,"BEST_SALES","BEST_FPERIOD_OVERRIDE","1BF","BEST_DATA_DATE_OVERRIDE",TEXT(YEAR($F$4),"0000")&amp;TEXT(MONTH($F$4),"00")&amp;TEXT(DAY($F$4),"00"))</f>
        <v/>
      </c>
      <c r="G73" s="22">
        <f>IFERROR(IF(AND(ISNUMBER($C73),ISNUMBER(D73),D73&lt;&gt;0),$C73/D73-1,""),"")</f>
        <v/>
      </c>
      <c r="H73" s="22">
        <f>IFERROR(IF(AND(ISNUMBER($C73),ISNUMBER(E73),E73&lt;&gt;0),$C73/E73-1,""),"")</f>
        <v/>
      </c>
      <c r="I73" s="22">
        <f>IFERROR(IF(AND(ISNUMBER($C73),ISNUMBER(F73),F73&lt;&gt;0),$C73/F73-1,""),"")</f>
        <v/>
      </c>
      <c r="K73" s="54">
        <f>_xll.BDP($A73,"BEST_EPS","BEST_FPERIOD_OVERRIDE","1BF")</f>
        <v/>
      </c>
      <c r="L73" s="54">
        <f>_xll.BDP($A73,"BEST_EPS","BEST_FPERIOD_OVERRIDE","1BF","BEST_DATA_DATE_OVERRIDE",TEXT(YEAR($D$4),"0000")&amp;TEXT(MONTH($D$4),"00")&amp;TEXT(DAY($D$4),"00"))</f>
        <v/>
      </c>
      <c r="M73" s="54">
        <f>_xll.BDP($A73,"BEST_EPS","BEST_FPERIOD_OVERRIDE","1BF","BEST_DATA_DATE_OVERRIDE",TEXT(YEAR($E$4),"0000")&amp;TEXT(MONTH($E$4),"00")&amp;TEXT(DAY($E$4),"00"))</f>
        <v/>
      </c>
      <c r="N73" s="54">
        <f>_xll.BDP($A73,"BEST_EPS","BEST_FPERIOD_OVERRIDE","1BF","BEST_DATA_DATE_OVERRIDE",TEXT(YEAR($F$4),"0000")&amp;TEXT(MONTH($F$4),"00")&amp;TEXT(DAY($F$4),"00"))</f>
        <v/>
      </c>
      <c r="O73" s="22">
        <f>IFERROR(IF(AND(ISNUMBER($K73),ISNUMBER(L73),L73&lt;&gt;0),$K73/L73-1,""),"")</f>
        <v/>
      </c>
      <c r="P73" s="22">
        <f>IFERROR(IF(AND(ISNUMBER($K73),ISNUMBER(M73),M73&lt;&gt;0),$K73/M73-1,""),"")</f>
        <v/>
      </c>
      <c r="Q73" s="22">
        <f>IFERROR(IF(AND(ISNUMBER($K73),ISNUMBER(N73),N73&lt;&gt;0),$K73/N73-1,""),"")</f>
        <v/>
      </c>
    </row>
    <row r="74">
      <c r="A74" s="19">
        <f>Tickers!$D$73</f>
        <v/>
      </c>
      <c r="C74" s="30">
        <f>_xll.BDP($A74,"BEST_SALES","BEST_FPERIOD_OVERRIDE","1BF")</f>
        <v/>
      </c>
      <c r="D74" s="30">
        <f>_xll.BDP($A74,"BEST_SALES","BEST_FPERIOD_OVERRIDE","1BF","BEST_DATA_DATE_OVERRIDE",TEXT(YEAR($D$4),"0000")&amp;TEXT(MONTH($D$4),"00")&amp;TEXT(DAY($D$4),"00"))</f>
        <v/>
      </c>
      <c r="E74" s="30">
        <f>_xll.BDP($A74,"BEST_SALES","BEST_FPERIOD_OVERRIDE","1BF","BEST_DATA_DATE_OVERRIDE",TEXT(YEAR($E$4),"0000")&amp;TEXT(MONTH($E$4),"00")&amp;TEXT(DAY($E$4),"00"))</f>
        <v/>
      </c>
      <c r="F74" s="30">
        <f>_xll.BDP($A74,"BEST_SALES","BEST_FPERIOD_OVERRIDE","1BF","BEST_DATA_DATE_OVERRIDE",TEXT(YEAR($F$4),"0000")&amp;TEXT(MONTH($F$4),"00")&amp;TEXT(DAY($F$4),"00"))</f>
        <v/>
      </c>
      <c r="G74" s="22">
        <f>IFERROR(IF(AND(ISNUMBER($C74),ISNUMBER(D74),D74&lt;&gt;0),$C74/D74-1,""),"")</f>
        <v/>
      </c>
      <c r="H74" s="22">
        <f>IFERROR(IF(AND(ISNUMBER($C74),ISNUMBER(E74),E74&lt;&gt;0),$C74/E74-1,""),"")</f>
        <v/>
      </c>
      <c r="I74" s="22">
        <f>IFERROR(IF(AND(ISNUMBER($C74),ISNUMBER(F74),F74&lt;&gt;0),$C74/F74-1,""),"")</f>
        <v/>
      </c>
      <c r="K74" s="54">
        <f>_xll.BDP($A74,"BEST_EPS","BEST_FPERIOD_OVERRIDE","1BF")</f>
        <v/>
      </c>
      <c r="L74" s="54">
        <f>_xll.BDP($A74,"BEST_EPS","BEST_FPERIOD_OVERRIDE","1BF","BEST_DATA_DATE_OVERRIDE",TEXT(YEAR($D$4),"0000")&amp;TEXT(MONTH($D$4),"00")&amp;TEXT(DAY($D$4),"00"))</f>
        <v/>
      </c>
      <c r="M74" s="54">
        <f>_xll.BDP($A74,"BEST_EPS","BEST_FPERIOD_OVERRIDE","1BF","BEST_DATA_DATE_OVERRIDE",TEXT(YEAR($E$4),"0000")&amp;TEXT(MONTH($E$4),"00")&amp;TEXT(DAY($E$4),"00"))</f>
        <v/>
      </c>
      <c r="N74" s="54">
        <f>_xll.BDP($A74,"BEST_EPS","BEST_FPERIOD_OVERRIDE","1BF","BEST_DATA_DATE_OVERRIDE",TEXT(YEAR($F$4),"0000")&amp;TEXT(MONTH($F$4),"00")&amp;TEXT(DAY($F$4),"00"))</f>
        <v/>
      </c>
      <c r="O74" s="22">
        <f>IFERROR(IF(AND(ISNUMBER($K74),ISNUMBER(L74),L74&lt;&gt;0),$K74/L74-1,""),"")</f>
        <v/>
      </c>
      <c r="P74" s="22">
        <f>IFERROR(IF(AND(ISNUMBER($K74),ISNUMBER(M74),M74&lt;&gt;0),$K74/M74-1,""),"")</f>
        <v/>
      </c>
      <c r="Q74" s="22">
        <f>IFERROR(IF(AND(ISNUMBER($K74),ISNUMBER(N74),N74&lt;&gt;0),$K74/N74-1,""),"")</f>
        <v/>
      </c>
    </row>
    <row r="75">
      <c r="A75" s="19">
        <f>Tickers!$D$74</f>
        <v/>
      </c>
      <c r="C75" s="30">
        <f>_xll.BDP($A75,"BEST_SALES","BEST_FPERIOD_OVERRIDE","1BF")</f>
        <v/>
      </c>
      <c r="D75" s="30">
        <f>_xll.BDP($A75,"BEST_SALES","BEST_FPERIOD_OVERRIDE","1BF","BEST_DATA_DATE_OVERRIDE",TEXT(YEAR($D$4),"0000")&amp;TEXT(MONTH($D$4),"00")&amp;TEXT(DAY($D$4),"00"))</f>
        <v/>
      </c>
      <c r="E75" s="30">
        <f>_xll.BDP($A75,"BEST_SALES","BEST_FPERIOD_OVERRIDE","1BF","BEST_DATA_DATE_OVERRIDE",TEXT(YEAR($E$4),"0000")&amp;TEXT(MONTH($E$4),"00")&amp;TEXT(DAY($E$4),"00"))</f>
        <v/>
      </c>
      <c r="F75" s="30">
        <f>_xll.BDP($A75,"BEST_SALES","BEST_FPERIOD_OVERRIDE","1BF","BEST_DATA_DATE_OVERRIDE",TEXT(YEAR($F$4),"0000")&amp;TEXT(MONTH($F$4),"00")&amp;TEXT(DAY($F$4),"00"))</f>
        <v/>
      </c>
      <c r="G75" s="22">
        <f>IFERROR(IF(AND(ISNUMBER($C75),ISNUMBER(D75),D75&lt;&gt;0),$C75/D75-1,""),"")</f>
        <v/>
      </c>
      <c r="H75" s="22">
        <f>IFERROR(IF(AND(ISNUMBER($C75),ISNUMBER(E75),E75&lt;&gt;0),$C75/E75-1,""),"")</f>
        <v/>
      </c>
      <c r="I75" s="22">
        <f>IFERROR(IF(AND(ISNUMBER($C75),ISNUMBER(F75),F75&lt;&gt;0),$C75/F75-1,""),"")</f>
        <v/>
      </c>
      <c r="K75" s="54">
        <f>_xll.BDP($A75,"BEST_EPS","BEST_FPERIOD_OVERRIDE","1BF")</f>
        <v/>
      </c>
      <c r="L75" s="54">
        <f>_xll.BDP($A75,"BEST_EPS","BEST_FPERIOD_OVERRIDE","1BF","BEST_DATA_DATE_OVERRIDE",TEXT(YEAR($D$4),"0000")&amp;TEXT(MONTH($D$4),"00")&amp;TEXT(DAY($D$4),"00"))</f>
        <v/>
      </c>
      <c r="M75" s="54">
        <f>_xll.BDP($A75,"BEST_EPS","BEST_FPERIOD_OVERRIDE","1BF","BEST_DATA_DATE_OVERRIDE",TEXT(YEAR($E$4),"0000")&amp;TEXT(MONTH($E$4),"00")&amp;TEXT(DAY($E$4),"00"))</f>
        <v/>
      </c>
      <c r="N75" s="54">
        <f>_xll.BDP($A75,"BEST_EPS","BEST_FPERIOD_OVERRIDE","1BF","BEST_DATA_DATE_OVERRIDE",TEXT(YEAR($F$4),"0000")&amp;TEXT(MONTH($F$4),"00")&amp;TEXT(DAY($F$4),"00"))</f>
        <v/>
      </c>
      <c r="O75" s="22">
        <f>IFERROR(IF(AND(ISNUMBER($K75),ISNUMBER(L75),L75&lt;&gt;0),$K75/L75-1,""),"")</f>
        <v/>
      </c>
      <c r="P75" s="22">
        <f>IFERROR(IF(AND(ISNUMBER($K75),ISNUMBER(M75),M75&lt;&gt;0),$K75/M75-1,""),"")</f>
        <v/>
      </c>
      <c r="Q75" s="22">
        <f>IFERROR(IF(AND(ISNUMBER($K75),ISNUMBER(N75),N75&lt;&gt;0),$K75/N75-1,""),"")</f>
        <v/>
      </c>
    </row>
    <row r="76">
      <c r="A76" s="19">
        <f>Tickers!$D$75</f>
        <v/>
      </c>
      <c r="C76" s="30">
        <f>_xll.BDP($A76,"BEST_SALES","BEST_FPERIOD_OVERRIDE","1BF")</f>
        <v/>
      </c>
      <c r="D76" s="30">
        <f>_xll.BDP($A76,"BEST_SALES","BEST_FPERIOD_OVERRIDE","1BF","BEST_DATA_DATE_OVERRIDE",TEXT(YEAR($D$4),"0000")&amp;TEXT(MONTH($D$4),"00")&amp;TEXT(DAY($D$4),"00"))</f>
        <v/>
      </c>
      <c r="E76" s="30">
        <f>_xll.BDP($A76,"BEST_SALES","BEST_FPERIOD_OVERRIDE","1BF","BEST_DATA_DATE_OVERRIDE",TEXT(YEAR($E$4),"0000")&amp;TEXT(MONTH($E$4),"00")&amp;TEXT(DAY($E$4),"00"))</f>
        <v/>
      </c>
      <c r="F76" s="30">
        <f>_xll.BDP($A76,"BEST_SALES","BEST_FPERIOD_OVERRIDE","1BF","BEST_DATA_DATE_OVERRIDE",TEXT(YEAR($F$4),"0000")&amp;TEXT(MONTH($F$4),"00")&amp;TEXT(DAY($F$4),"00"))</f>
        <v/>
      </c>
      <c r="G76" s="22">
        <f>IFERROR(IF(AND(ISNUMBER($C76),ISNUMBER(D76),D76&lt;&gt;0),$C76/D76-1,""),"")</f>
        <v/>
      </c>
      <c r="H76" s="22">
        <f>IFERROR(IF(AND(ISNUMBER($C76),ISNUMBER(E76),E76&lt;&gt;0),$C76/E76-1,""),"")</f>
        <v/>
      </c>
      <c r="I76" s="22">
        <f>IFERROR(IF(AND(ISNUMBER($C76),ISNUMBER(F76),F76&lt;&gt;0),$C76/F76-1,""),"")</f>
        <v/>
      </c>
      <c r="K76" s="54">
        <f>_xll.BDP($A76,"BEST_EPS","BEST_FPERIOD_OVERRIDE","1BF")</f>
        <v/>
      </c>
      <c r="L76" s="54">
        <f>_xll.BDP($A76,"BEST_EPS","BEST_FPERIOD_OVERRIDE","1BF","BEST_DATA_DATE_OVERRIDE",TEXT(YEAR($D$4),"0000")&amp;TEXT(MONTH($D$4),"00")&amp;TEXT(DAY($D$4),"00"))</f>
        <v/>
      </c>
      <c r="M76" s="54">
        <f>_xll.BDP($A76,"BEST_EPS","BEST_FPERIOD_OVERRIDE","1BF","BEST_DATA_DATE_OVERRIDE",TEXT(YEAR($E$4),"0000")&amp;TEXT(MONTH($E$4),"00")&amp;TEXT(DAY($E$4),"00"))</f>
        <v/>
      </c>
      <c r="N76" s="54">
        <f>_xll.BDP($A76,"BEST_EPS","BEST_FPERIOD_OVERRIDE","1BF","BEST_DATA_DATE_OVERRIDE",TEXT(YEAR($F$4),"0000")&amp;TEXT(MONTH($F$4),"00")&amp;TEXT(DAY($F$4),"00"))</f>
        <v/>
      </c>
      <c r="O76" s="22">
        <f>IFERROR(IF(AND(ISNUMBER($K76),ISNUMBER(L76),L76&lt;&gt;0),$K76/L76-1,""),"")</f>
        <v/>
      </c>
      <c r="P76" s="22">
        <f>IFERROR(IF(AND(ISNUMBER($K76),ISNUMBER(M76),M76&lt;&gt;0),$K76/M76-1,""),"")</f>
        <v/>
      </c>
      <c r="Q76" s="22">
        <f>IFERROR(IF(AND(ISNUMBER($K76),ISNUMBER(N76),N76&lt;&gt;0),$K76/N76-1,""),"")</f>
        <v/>
      </c>
    </row>
    <row r="77">
      <c r="A77" s="19">
        <f>Tickers!$D$76</f>
        <v/>
      </c>
      <c r="C77" s="30">
        <f>_xll.BDP($A77,"BEST_SALES","BEST_FPERIOD_OVERRIDE","1BF")</f>
        <v/>
      </c>
      <c r="D77" s="30">
        <f>_xll.BDP($A77,"BEST_SALES","BEST_FPERIOD_OVERRIDE","1BF","BEST_DATA_DATE_OVERRIDE",TEXT(YEAR($D$4),"0000")&amp;TEXT(MONTH($D$4),"00")&amp;TEXT(DAY($D$4),"00"))</f>
        <v/>
      </c>
      <c r="E77" s="30">
        <f>_xll.BDP($A77,"BEST_SALES","BEST_FPERIOD_OVERRIDE","1BF","BEST_DATA_DATE_OVERRIDE",TEXT(YEAR($E$4),"0000")&amp;TEXT(MONTH($E$4),"00")&amp;TEXT(DAY($E$4),"00"))</f>
        <v/>
      </c>
      <c r="F77" s="30">
        <f>_xll.BDP($A77,"BEST_SALES","BEST_FPERIOD_OVERRIDE","1BF","BEST_DATA_DATE_OVERRIDE",TEXT(YEAR($F$4),"0000")&amp;TEXT(MONTH($F$4),"00")&amp;TEXT(DAY($F$4),"00"))</f>
        <v/>
      </c>
      <c r="G77" s="22">
        <f>IFERROR(IF(AND(ISNUMBER($C77),ISNUMBER(D77),D77&lt;&gt;0),$C77/D77-1,""),"")</f>
        <v/>
      </c>
      <c r="H77" s="22">
        <f>IFERROR(IF(AND(ISNUMBER($C77),ISNUMBER(E77),E77&lt;&gt;0),$C77/E77-1,""),"")</f>
        <v/>
      </c>
      <c r="I77" s="22">
        <f>IFERROR(IF(AND(ISNUMBER($C77),ISNUMBER(F77),F77&lt;&gt;0),$C77/F77-1,""),"")</f>
        <v/>
      </c>
      <c r="K77" s="54">
        <f>_xll.BDP($A77,"BEST_EPS","BEST_FPERIOD_OVERRIDE","1BF")</f>
        <v/>
      </c>
      <c r="L77" s="54">
        <f>_xll.BDP($A77,"BEST_EPS","BEST_FPERIOD_OVERRIDE","1BF","BEST_DATA_DATE_OVERRIDE",TEXT(YEAR($D$4),"0000")&amp;TEXT(MONTH($D$4),"00")&amp;TEXT(DAY($D$4),"00"))</f>
        <v/>
      </c>
      <c r="M77" s="54">
        <f>_xll.BDP($A77,"BEST_EPS","BEST_FPERIOD_OVERRIDE","1BF","BEST_DATA_DATE_OVERRIDE",TEXT(YEAR($E$4),"0000")&amp;TEXT(MONTH($E$4),"00")&amp;TEXT(DAY($E$4),"00"))</f>
        <v/>
      </c>
      <c r="N77" s="54">
        <f>_xll.BDP($A77,"BEST_EPS","BEST_FPERIOD_OVERRIDE","1BF","BEST_DATA_DATE_OVERRIDE",TEXT(YEAR($F$4),"0000")&amp;TEXT(MONTH($F$4),"00")&amp;TEXT(DAY($F$4),"00"))</f>
        <v/>
      </c>
      <c r="O77" s="22">
        <f>IFERROR(IF(AND(ISNUMBER($K77),ISNUMBER(L77),L77&lt;&gt;0),$K77/L77-1,""),"")</f>
        <v/>
      </c>
      <c r="P77" s="22">
        <f>IFERROR(IF(AND(ISNUMBER($K77),ISNUMBER(M77),M77&lt;&gt;0),$K77/M77-1,""),"")</f>
        <v/>
      </c>
      <c r="Q77" s="22">
        <f>IFERROR(IF(AND(ISNUMBER($K77),ISNUMBER(N77),N77&lt;&gt;0),$K77/N77-1,""),"")</f>
        <v/>
      </c>
    </row>
    <row r="78">
      <c r="A78" s="19">
        <f>Tickers!$D$77</f>
        <v/>
      </c>
      <c r="C78" s="30">
        <f>_xll.BDP($A78,"BEST_SALES","BEST_FPERIOD_OVERRIDE","1BF")</f>
        <v/>
      </c>
      <c r="D78" s="30">
        <f>_xll.BDP($A78,"BEST_SALES","BEST_FPERIOD_OVERRIDE","1BF","BEST_DATA_DATE_OVERRIDE",TEXT(YEAR($D$4),"0000")&amp;TEXT(MONTH($D$4),"00")&amp;TEXT(DAY($D$4),"00"))</f>
        <v/>
      </c>
      <c r="E78" s="30">
        <f>_xll.BDP($A78,"BEST_SALES","BEST_FPERIOD_OVERRIDE","1BF","BEST_DATA_DATE_OVERRIDE",TEXT(YEAR($E$4),"0000")&amp;TEXT(MONTH($E$4),"00")&amp;TEXT(DAY($E$4),"00"))</f>
        <v/>
      </c>
      <c r="F78" s="30">
        <f>_xll.BDP($A78,"BEST_SALES","BEST_FPERIOD_OVERRIDE","1BF","BEST_DATA_DATE_OVERRIDE",TEXT(YEAR($F$4),"0000")&amp;TEXT(MONTH($F$4),"00")&amp;TEXT(DAY($F$4),"00"))</f>
        <v/>
      </c>
      <c r="G78" s="22">
        <f>IFERROR(IF(AND(ISNUMBER($C78),ISNUMBER(D78),D78&lt;&gt;0),$C78/D78-1,""),"")</f>
        <v/>
      </c>
      <c r="H78" s="22">
        <f>IFERROR(IF(AND(ISNUMBER($C78),ISNUMBER(E78),E78&lt;&gt;0),$C78/E78-1,""),"")</f>
        <v/>
      </c>
      <c r="I78" s="22">
        <f>IFERROR(IF(AND(ISNUMBER($C78),ISNUMBER(F78),F78&lt;&gt;0),$C78/F78-1,""),"")</f>
        <v/>
      </c>
      <c r="K78" s="54">
        <f>_xll.BDP($A78,"BEST_EPS","BEST_FPERIOD_OVERRIDE","1BF")</f>
        <v/>
      </c>
      <c r="L78" s="54">
        <f>_xll.BDP($A78,"BEST_EPS","BEST_FPERIOD_OVERRIDE","1BF","BEST_DATA_DATE_OVERRIDE",TEXT(YEAR($D$4),"0000")&amp;TEXT(MONTH($D$4),"00")&amp;TEXT(DAY($D$4),"00"))</f>
        <v/>
      </c>
      <c r="M78" s="54">
        <f>_xll.BDP($A78,"BEST_EPS","BEST_FPERIOD_OVERRIDE","1BF","BEST_DATA_DATE_OVERRIDE",TEXT(YEAR($E$4),"0000")&amp;TEXT(MONTH($E$4),"00")&amp;TEXT(DAY($E$4),"00"))</f>
        <v/>
      </c>
      <c r="N78" s="54">
        <f>_xll.BDP($A78,"BEST_EPS","BEST_FPERIOD_OVERRIDE","1BF","BEST_DATA_DATE_OVERRIDE",TEXT(YEAR($F$4),"0000")&amp;TEXT(MONTH($F$4),"00")&amp;TEXT(DAY($F$4),"00"))</f>
        <v/>
      </c>
      <c r="O78" s="22">
        <f>IFERROR(IF(AND(ISNUMBER($K78),ISNUMBER(L78),L78&lt;&gt;0),$K78/L78-1,""),"")</f>
        <v/>
      </c>
      <c r="P78" s="22">
        <f>IFERROR(IF(AND(ISNUMBER($K78),ISNUMBER(M78),M78&lt;&gt;0),$K78/M78-1,""),"")</f>
        <v/>
      </c>
      <c r="Q78" s="22">
        <f>IFERROR(IF(AND(ISNUMBER($K78),ISNUMBER(N78),N78&lt;&gt;0),$K78/N78-1,""),"")</f>
        <v/>
      </c>
    </row>
    <row r="79">
      <c r="A79" s="19">
        <f>Tickers!$D$78</f>
        <v/>
      </c>
      <c r="C79" s="30">
        <f>_xll.BDP($A79,"BEST_SALES","BEST_FPERIOD_OVERRIDE","1BF")</f>
        <v/>
      </c>
      <c r="D79" s="30">
        <f>_xll.BDP($A79,"BEST_SALES","BEST_FPERIOD_OVERRIDE","1BF","BEST_DATA_DATE_OVERRIDE",TEXT(YEAR($D$4),"0000")&amp;TEXT(MONTH($D$4),"00")&amp;TEXT(DAY($D$4),"00"))</f>
        <v/>
      </c>
      <c r="E79" s="30">
        <f>_xll.BDP($A79,"BEST_SALES","BEST_FPERIOD_OVERRIDE","1BF","BEST_DATA_DATE_OVERRIDE",TEXT(YEAR($E$4),"0000")&amp;TEXT(MONTH($E$4),"00")&amp;TEXT(DAY($E$4),"00"))</f>
        <v/>
      </c>
      <c r="F79" s="30">
        <f>_xll.BDP($A79,"BEST_SALES","BEST_FPERIOD_OVERRIDE","1BF","BEST_DATA_DATE_OVERRIDE",TEXT(YEAR($F$4),"0000")&amp;TEXT(MONTH($F$4),"00")&amp;TEXT(DAY($F$4),"00"))</f>
        <v/>
      </c>
      <c r="G79" s="22">
        <f>IFERROR(IF(AND(ISNUMBER($C79),ISNUMBER(D79),D79&lt;&gt;0),$C79/D79-1,""),"")</f>
        <v/>
      </c>
      <c r="H79" s="22">
        <f>IFERROR(IF(AND(ISNUMBER($C79),ISNUMBER(E79),E79&lt;&gt;0),$C79/E79-1,""),"")</f>
        <v/>
      </c>
      <c r="I79" s="22">
        <f>IFERROR(IF(AND(ISNUMBER($C79),ISNUMBER(F79),F79&lt;&gt;0),$C79/F79-1,""),"")</f>
        <v/>
      </c>
      <c r="K79" s="54">
        <f>_xll.BDP($A79,"BEST_EPS","BEST_FPERIOD_OVERRIDE","1BF")</f>
        <v/>
      </c>
      <c r="L79" s="54">
        <f>_xll.BDP($A79,"BEST_EPS","BEST_FPERIOD_OVERRIDE","1BF","BEST_DATA_DATE_OVERRIDE",TEXT(YEAR($D$4),"0000")&amp;TEXT(MONTH($D$4),"00")&amp;TEXT(DAY($D$4),"00"))</f>
        <v/>
      </c>
      <c r="M79" s="54">
        <f>_xll.BDP($A79,"BEST_EPS","BEST_FPERIOD_OVERRIDE","1BF","BEST_DATA_DATE_OVERRIDE",TEXT(YEAR($E$4),"0000")&amp;TEXT(MONTH($E$4),"00")&amp;TEXT(DAY($E$4),"00"))</f>
        <v/>
      </c>
      <c r="N79" s="54">
        <f>_xll.BDP($A79,"BEST_EPS","BEST_FPERIOD_OVERRIDE","1BF","BEST_DATA_DATE_OVERRIDE",TEXT(YEAR($F$4),"0000")&amp;TEXT(MONTH($F$4),"00")&amp;TEXT(DAY($F$4),"00"))</f>
        <v/>
      </c>
      <c r="O79" s="22">
        <f>IFERROR(IF(AND(ISNUMBER($K79),ISNUMBER(L79),L79&lt;&gt;0),$K79/L79-1,""),"")</f>
        <v/>
      </c>
      <c r="P79" s="22">
        <f>IFERROR(IF(AND(ISNUMBER($K79),ISNUMBER(M79),M79&lt;&gt;0),$K79/M79-1,""),"")</f>
        <v/>
      </c>
      <c r="Q79" s="22">
        <f>IFERROR(IF(AND(ISNUMBER($K79),ISNUMBER(N79),N79&lt;&gt;0),$K79/N79-1,""),"")</f>
        <v/>
      </c>
    </row>
    <row r="80">
      <c r="A80" s="19">
        <f>Tickers!$D$79</f>
        <v/>
      </c>
      <c r="C80" s="30">
        <f>_xll.BDP($A80,"BEST_SALES","BEST_FPERIOD_OVERRIDE","1BF")</f>
        <v/>
      </c>
      <c r="D80" s="30">
        <f>_xll.BDP($A80,"BEST_SALES","BEST_FPERIOD_OVERRIDE","1BF","BEST_DATA_DATE_OVERRIDE",TEXT(YEAR($D$4),"0000")&amp;TEXT(MONTH($D$4),"00")&amp;TEXT(DAY($D$4),"00"))</f>
        <v/>
      </c>
      <c r="E80" s="30">
        <f>_xll.BDP($A80,"BEST_SALES","BEST_FPERIOD_OVERRIDE","1BF","BEST_DATA_DATE_OVERRIDE",TEXT(YEAR($E$4),"0000")&amp;TEXT(MONTH($E$4),"00")&amp;TEXT(DAY($E$4),"00"))</f>
        <v/>
      </c>
      <c r="F80" s="30">
        <f>_xll.BDP($A80,"BEST_SALES","BEST_FPERIOD_OVERRIDE","1BF","BEST_DATA_DATE_OVERRIDE",TEXT(YEAR($F$4),"0000")&amp;TEXT(MONTH($F$4),"00")&amp;TEXT(DAY($F$4),"00"))</f>
        <v/>
      </c>
      <c r="G80" s="22">
        <f>IFERROR(IF(AND(ISNUMBER($C80),ISNUMBER(D80),D80&lt;&gt;0),$C80/D80-1,""),"")</f>
        <v/>
      </c>
      <c r="H80" s="22">
        <f>IFERROR(IF(AND(ISNUMBER($C80),ISNUMBER(E80),E80&lt;&gt;0),$C80/E80-1,""),"")</f>
        <v/>
      </c>
      <c r="I80" s="22">
        <f>IFERROR(IF(AND(ISNUMBER($C80),ISNUMBER(F80),F80&lt;&gt;0),$C80/F80-1,""),"")</f>
        <v/>
      </c>
      <c r="K80" s="54">
        <f>_xll.BDP($A80,"BEST_EPS","BEST_FPERIOD_OVERRIDE","1BF")</f>
        <v/>
      </c>
      <c r="L80" s="54">
        <f>_xll.BDP($A80,"BEST_EPS","BEST_FPERIOD_OVERRIDE","1BF","BEST_DATA_DATE_OVERRIDE",TEXT(YEAR($D$4),"0000")&amp;TEXT(MONTH($D$4),"00")&amp;TEXT(DAY($D$4),"00"))</f>
        <v/>
      </c>
      <c r="M80" s="54">
        <f>_xll.BDP($A80,"BEST_EPS","BEST_FPERIOD_OVERRIDE","1BF","BEST_DATA_DATE_OVERRIDE",TEXT(YEAR($E$4),"0000")&amp;TEXT(MONTH($E$4),"00")&amp;TEXT(DAY($E$4),"00"))</f>
        <v/>
      </c>
      <c r="N80" s="54">
        <f>_xll.BDP($A80,"BEST_EPS","BEST_FPERIOD_OVERRIDE","1BF","BEST_DATA_DATE_OVERRIDE",TEXT(YEAR($F$4),"0000")&amp;TEXT(MONTH($F$4),"00")&amp;TEXT(DAY($F$4),"00"))</f>
        <v/>
      </c>
      <c r="O80" s="22">
        <f>IFERROR(IF(AND(ISNUMBER($K80),ISNUMBER(L80),L80&lt;&gt;0),$K80/L80-1,""),"")</f>
        <v/>
      </c>
      <c r="P80" s="22">
        <f>IFERROR(IF(AND(ISNUMBER($K80),ISNUMBER(M80),M80&lt;&gt;0),$K80/M80-1,""),"")</f>
        <v/>
      </c>
      <c r="Q80" s="22">
        <f>IFERROR(IF(AND(ISNUMBER($K80),ISNUMBER(N80),N80&lt;&gt;0),$K80/N80-1,""),"")</f>
        <v/>
      </c>
    </row>
    <row r="81">
      <c r="A81" s="19">
        <f>Tickers!$D$80</f>
        <v/>
      </c>
      <c r="C81" s="30">
        <f>_xll.BDP($A81,"BEST_SALES","BEST_FPERIOD_OVERRIDE","1BF")</f>
        <v/>
      </c>
      <c r="D81" s="30">
        <f>_xll.BDP($A81,"BEST_SALES","BEST_FPERIOD_OVERRIDE","1BF","BEST_DATA_DATE_OVERRIDE",TEXT(YEAR($D$4),"0000")&amp;TEXT(MONTH($D$4),"00")&amp;TEXT(DAY($D$4),"00"))</f>
        <v/>
      </c>
      <c r="E81" s="30">
        <f>_xll.BDP($A81,"BEST_SALES","BEST_FPERIOD_OVERRIDE","1BF","BEST_DATA_DATE_OVERRIDE",TEXT(YEAR($E$4),"0000")&amp;TEXT(MONTH($E$4),"00")&amp;TEXT(DAY($E$4),"00"))</f>
        <v/>
      </c>
      <c r="F81" s="30">
        <f>_xll.BDP($A81,"BEST_SALES","BEST_FPERIOD_OVERRIDE","1BF","BEST_DATA_DATE_OVERRIDE",TEXT(YEAR($F$4),"0000")&amp;TEXT(MONTH($F$4),"00")&amp;TEXT(DAY($F$4),"00"))</f>
        <v/>
      </c>
      <c r="G81" s="22">
        <f>IFERROR(IF(AND(ISNUMBER($C81),ISNUMBER(D81),D81&lt;&gt;0),$C81/D81-1,""),"")</f>
        <v/>
      </c>
      <c r="H81" s="22">
        <f>IFERROR(IF(AND(ISNUMBER($C81),ISNUMBER(E81),E81&lt;&gt;0),$C81/E81-1,""),"")</f>
        <v/>
      </c>
      <c r="I81" s="22">
        <f>IFERROR(IF(AND(ISNUMBER($C81),ISNUMBER(F81),F81&lt;&gt;0),$C81/F81-1,""),"")</f>
        <v/>
      </c>
      <c r="K81" s="54">
        <f>_xll.BDP($A81,"BEST_EPS","BEST_FPERIOD_OVERRIDE","1BF")</f>
        <v/>
      </c>
      <c r="L81" s="54">
        <f>_xll.BDP($A81,"BEST_EPS","BEST_FPERIOD_OVERRIDE","1BF","BEST_DATA_DATE_OVERRIDE",TEXT(YEAR($D$4),"0000")&amp;TEXT(MONTH($D$4),"00")&amp;TEXT(DAY($D$4),"00"))</f>
        <v/>
      </c>
      <c r="M81" s="54">
        <f>_xll.BDP($A81,"BEST_EPS","BEST_FPERIOD_OVERRIDE","1BF","BEST_DATA_DATE_OVERRIDE",TEXT(YEAR($E$4),"0000")&amp;TEXT(MONTH($E$4),"00")&amp;TEXT(DAY($E$4),"00"))</f>
        <v/>
      </c>
      <c r="N81" s="54">
        <f>_xll.BDP($A81,"BEST_EPS","BEST_FPERIOD_OVERRIDE","1BF","BEST_DATA_DATE_OVERRIDE",TEXT(YEAR($F$4),"0000")&amp;TEXT(MONTH($F$4),"00")&amp;TEXT(DAY($F$4),"00"))</f>
        <v/>
      </c>
      <c r="O81" s="22">
        <f>IFERROR(IF(AND(ISNUMBER($K81),ISNUMBER(L81),L81&lt;&gt;0),$K81/L81-1,""),"")</f>
        <v/>
      </c>
      <c r="P81" s="22">
        <f>IFERROR(IF(AND(ISNUMBER($K81),ISNUMBER(M81),M81&lt;&gt;0),$K81/M81-1,""),"")</f>
        <v/>
      </c>
      <c r="Q81" s="22">
        <f>IFERROR(IF(AND(ISNUMBER($K81),ISNUMBER(N81),N81&lt;&gt;0),$K81/N81-1,""),"")</f>
        <v/>
      </c>
    </row>
    <row r="82">
      <c r="A82" s="19">
        <f>Tickers!$D$81</f>
        <v/>
      </c>
      <c r="C82" s="30">
        <f>_xll.BDP($A82,"BEST_SALES","BEST_FPERIOD_OVERRIDE","1BF")</f>
        <v/>
      </c>
      <c r="D82" s="30">
        <f>_xll.BDP($A82,"BEST_SALES","BEST_FPERIOD_OVERRIDE","1BF","BEST_DATA_DATE_OVERRIDE",TEXT(YEAR($D$4),"0000")&amp;TEXT(MONTH($D$4),"00")&amp;TEXT(DAY($D$4),"00"))</f>
        <v/>
      </c>
      <c r="E82" s="30">
        <f>_xll.BDP($A82,"BEST_SALES","BEST_FPERIOD_OVERRIDE","1BF","BEST_DATA_DATE_OVERRIDE",TEXT(YEAR($E$4),"0000")&amp;TEXT(MONTH($E$4),"00")&amp;TEXT(DAY($E$4),"00"))</f>
        <v/>
      </c>
      <c r="F82" s="30">
        <f>_xll.BDP($A82,"BEST_SALES","BEST_FPERIOD_OVERRIDE","1BF","BEST_DATA_DATE_OVERRIDE",TEXT(YEAR($F$4),"0000")&amp;TEXT(MONTH($F$4),"00")&amp;TEXT(DAY($F$4),"00"))</f>
        <v/>
      </c>
      <c r="G82" s="22">
        <f>IFERROR(IF(AND(ISNUMBER($C82),ISNUMBER(D82),D82&lt;&gt;0),$C82/D82-1,""),"")</f>
        <v/>
      </c>
      <c r="H82" s="22">
        <f>IFERROR(IF(AND(ISNUMBER($C82),ISNUMBER(E82),E82&lt;&gt;0),$C82/E82-1,""),"")</f>
        <v/>
      </c>
      <c r="I82" s="22">
        <f>IFERROR(IF(AND(ISNUMBER($C82),ISNUMBER(F82),F82&lt;&gt;0),$C82/F82-1,""),"")</f>
        <v/>
      </c>
      <c r="K82" s="54">
        <f>_xll.BDP($A82,"BEST_EPS","BEST_FPERIOD_OVERRIDE","1BF")</f>
        <v/>
      </c>
      <c r="L82" s="54">
        <f>_xll.BDP($A82,"BEST_EPS","BEST_FPERIOD_OVERRIDE","1BF","BEST_DATA_DATE_OVERRIDE",TEXT(YEAR($D$4),"0000")&amp;TEXT(MONTH($D$4),"00")&amp;TEXT(DAY($D$4),"00"))</f>
        <v/>
      </c>
      <c r="M82" s="54">
        <f>_xll.BDP($A82,"BEST_EPS","BEST_FPERIOD_OVERRIDE","1BF","BEST_DATA_DATE_OVERRIDE",TEXT(YEAR($E$4),"0000")&amp;TEXT(MONTH($E$4),"00")&amp;TEXT(DAY($E$4),"00"))</f>
        <v/>
      </c>
      <c r="N82" s="54">
        <f>_xll.BDP($A82,"BEST_EPS","BEST_FPERIOD_OVERRIDE","1BF","BEST_DATA_DATE_OVERRIDE",TEXT(YEAR($F$4),"0000")&amp;TEXT(MONTH($F$4),"00")&amp;TEXT(DAY($F$4),"00"))</f>
        <v/>
      </c>
      <c r="O82" s="22">
        <f>IFERROR(IF(AND(ISNUMBER($K82),ISNUMBER(L82),L82&lt;&gt;0),$K82/L82-1,""),"")</f>
        <v/>
      </c>
      <c r="P82" s="22">
        <f>IFERROR(IF(AND(ISNUMBER($K82),ISNUMBER(M82),M82&lt;&gt;0),$K82/M82-1,""),"")</f>
        <v/>
      </c>
      <c r="Q82" s="22">
        <f>IFERROR(IF(AND(ISNUMBER($K82),ISNUMBER(N82),N82&lt;&gt;0),$K82/N82-1,""),"")</f>
        <v/>
      </c>
    </row>
    <row r="83">
      <c r="A83" s="19">
        <f>Tickers!$D$82</f>
        <v/>
      </c>
      <c r="C83" s="30">
        <f>_xll.BDP($A83,"BEST_SALES","BEST_FPERIOD_OVERRIDE","1BF")</f>
        <v/>
      </c>
      <c r="D83" s="30">
        <f>_xll.BDP($A83,"BEST_SALES","BEST_FPERIOD_OVERRIDE","1BF","BEST_DATA_DATE_OVERRIDE",TEXT(YEAR($D$4),"0000")&amp;TEXT(MONTH($D$4),"00")&amp;TEXT(DAY($D$4),"00"))</f>
        <v/>
      </c>
      <c r="E83" s="30">
        <f>_xll.BDP($A83,"BEST_SALES","BEST_FPERIOD_OVERRIDE","1BF","BEST_DATA_DATE_OVERRIDE",TEXT(YEAR($E$4),"0000")&amp;TEXT(MONTH($E$4),"00")&amp;TEXT(DAY($E$4),"00"))</f>
        <v/>
      </c>
      <c r="F83" s="30">
        <f>_xll.BDP($A83,"BEST_SALES","BEST_FPERIOD_OVERRIDE","1BF","BEST_DATA_DATE_OVERRIDE",TEXT(YEAR($F$4),"0000")&amp;TEXT(MONTH($F$4),"00")&amp;TEXT(DAY($F$4),"00"))</f>
        <v/>
      </c>
      <c r="G83" s="22">
        <f>IFERROR(IF(AND(ISNUMBER($C83),ISNUMBER(D83),D83&lt;&gt;0),$C83/D83-1,""),"")</f>
        <v/>
      </c>
      <c r="H83" s="22">
        <f>IFERROR(IF(AND(ISNUMBER($C83),ISNUMBER(E83),E83&lt;&gt;0),$C83/E83-1,""),"")</f>
        <v/>
      </c>
      <c r="I83" s="22">
        <f>IFERROR(IF(AND(ISNUMBER($C83),ISNUMBER(F83),F83&lt;&gt;0),$C83/F83-1,""),"")</f>
        <v/>
      </c>
      <c r="K83" s="54">
        <f>_xll.BDP($A83,"BEST_EPS","BEST_FPERIOD_OVERRIDE","1BF")</f>
        <v/>
      </c>
      <c r="L83" s="54">
        <f>_xll.BDP($A83,"BEST_EPS","BEST_FPERIOD_OVERRIDE","1BF","BEST_DATA_DATE_OVERRIDE",TEXT(YEAR($D$4),"0000")&amp;TEXT(MONTH($D$4),"00")&amp;TEXT(DAY($D$4),"00"))</f>
        <v/>
      </c>
      <c r="M83" s="54">
        <f>_xll.BDP($A83,"BEST_EPS","BEST_FPERIOD_OVERRIDE","1BF","BEST_DATA_DATE_OVERRIDE",TEXT(YEAR($E$4),"0000")&amp;TEXT(MONTH($E$4),"00")&amp;TEXT(DAY($E$4),"00"))</f>
        <v/>
      </c>
      <c r="N83" s="54">
        <f>_xll.BDP($A83,"BEST_EPS","BEST_FPERIOD_OVERRIDE","1BF","BEST_DATA_DATE_OVERRIDE",TEXT(YEAR($F$4),"0000")&amp;TEXT(MONTH($F$4),"00")&amp;TEXT(DAY($F$4),"00"))</f>
        <v/>
      </c>
      <c r="O83" s="22">
        <f>IFERROR(IF(AND(ISNUMBER($K83),ISNUMBER(L83),L83&lt;&gt;0),$K83/L83-1,""),"")</f>
        <v/>
      </c>
      <c r="P83" s="22">
        <f>IFERROR(IF(AND(ISNUMBER($K83),ISNUMBER(M83),M83&lt;&gt;0),$K83/M83-1,""),"")</f>
        <v/>
      </c>
      <c r="Q83" s="22">
        <f>IFERROR(IF(AND(ISNUMBER($K83),ISNUMBER(N83),N83&lt;&gt;0),$K83/N83-1,""),"")</f>
        <v/>
      </c>
    </row>
    <row r="84">
      <c r="A84" s="19">
        <f>Tickers!$D$83</f>
        <v/>
      </c>
      <c r="C84" s="30">
        <f>_xll.BDP($A84,"BEST_SALES","BEST_FPERIOD_OVERRIDE","1BF")</f>
        <v/>
      </c>
      <c r="D84" s="30">
        <f>_xll.BDP($A84,"BEST_SALES","BEST_FPERIOD_OVERRIDE","1BF","BEST_DATA_DATE_OVERRIDE",TEXT(YEAR($D$4),"0000")&amp;TEXT(MONTH($D$4),"00")&amp;TEXT(DAY($D$4),"00"))</f>
        <v/>
      </c>
      <c r="E84" s="30">
        <f>_xll.BDP($A84,"BEST_SALES","BEST_FPERIOD_OVERRIDE","1BF","BEST_DATA_DATE_OVERRIDE",TEXT(YEAR($E$4),"0000")&amp;TEXT(MONTH($E$4),"00")&amp;TEXT(DAY($E$4),"00"))</f>
        <v/>
      </c>
      <c r="F84" s="30">
        <f>_xll.BDP($A84,"BEST_SALES","BEST_FPERIOD_OVERRIDE","1BF","BEST_DATA_DATE_OVERRIDE",TEXT(YEAR($F$4),"0000")&amp;TEXT(MONTH($F$4),"00")&amp;TEXT(DAY($F$4),"00"))</f>
        <v/>
      </c>
      <c r="G84" s="22">
        <f>IFERROR(IF(AND(ISNUMBER($C84),ISNUMBER(D84),D84&lt;&gt;0),$C84/D84-1,""),"")</f>
        <v/>
      </c>
      <c r="H84" s="22">
        <f>IFERROR(IF(AND(ISNUMBER($C84),ISNUMBER(E84),E84&lt;&gt;0),$C84/E84-1,""),"")</f>
        <v/>
      </c>
      <c r="I84" s="22">
        <f>IFERROR(IF(AND(ISNUMBER($C84),ISNUMBER(F84),F84&lt;&gt;0),$C84/F84-1,""),"")</f>
        <v/>
      </c>
      <c r="K84" s="54">
        <f>_xll.BDP($A84,"BEST_EPS","BEST_FPERIOD_OVERRIDE","1BF")</f>
        <v/>
      </c>
      <c r="L84" s="54">
        <f>_xll.BDP($A84,"BEST_EPS","BEST_FPERIOD_OVERRIDE","1BF","BEST_DATA_DATE_OVERRIDE",TEXT(YEAR($D$4),"0000")&amp;TEXT(MONTH($D$4),"00")&amp;TEXT(DAY($D$4),"00"))</f>
        <v/>
      </c>
      <c r="M84" s="54">
        <f>_xll.BDP($A84,"BEST_EPS","BEST_FPERIOD_OVERRIDE","1BF","BEST_DATA_DATE_OVERRIDE",TEXT(YEAR($E$4),"0000")&amp;TEXT(MONTH($E$4),"00")&amp;TEXT(DAY($E$4),"00"))</f>
        <v/>
      </c>
      <c r="N84" s="54">
        <f>_xll.BDP($A84,"BEST_EPS","BEST_FPERIOD_OVERRIDE","1BF","BEST_DATA_DATE_OVERRIDE",TEXT(YEAR($F$4),"0000")&amp;TEXT(MONTH($F$4),"00")&amp;TEXT(DAY($F$4),"00"))</f>
        <v/>
      </c>
      <c r="O84" s="22">
        <f>IFERROR(IF(AND(ISNUMBER($K84),ISNUMBER(L84),L84&lt;&gt;0),$K84/L84-1,""),"")</f>
        <v/>
      </c>
      <c r="P84" s="22">
        <f>IFERROR(IF(AND(ISNUMBER($K84),ISNUMBER(M84),M84&lt;&gt;0),$K84/M84-1,""),"")</f>
        <v/>
      </c>
      <c r="Q84" s="22">
        <f>IFERROR(IF(AND(ISNUMBER($K84),ISNUMBER(N84),N84&lt;&gt;0),$K84/N84-1,""),"")</f>
        <v/>
      </c>
    </row>
    <row r="85">
      <c r="A85" s="19">
        <f>Tickers!$D$84</f>
        <v/>
      </c>
      <c r="C85" s="30">
        <f>_xll.BDP($A85,"BEST_SALES","BEST_FPERIOD_OVERRIDE","1BF")</f>
        <v/>
      </c>
      <c r="D85" s="30">
        <f>_xll.BDP($A85,"BEST_SALES","BEST_FPERIOD_OVERRIDE","1BF","BEST_DATA_DATE_OVERRIDE",TEXT(YEAR($D$4),"0000")&amp;TEXT(MONTH($D$4),"00")&amp;TEXT(DAY($D$4),"00"))</f>
        <v/>
      </c>
      <c r="E85" s="30">
        <f>_xll.BDP($A85,"BEST_SALES","BEST_FPERIOD_OVERRIDE","1BF","BEST_DATA_DATE_OVERRIDE",TEXT(YEAR($E$4),"0000")&amp;TEXT(MONTH($E$4),"00")&amp;TEXT(DAY($E$4),"00"))</f>
        <v/>
      </c>
      <c r="F85" s="30">
        <f>_xll.BDP($A85,"BEST_SALES","BEST_FPERIOD_OVERRIDE","1BF","BEST_DATA_DATE_OVERRIDE",TEXT(YEAR($F$4),"0000")&amp;TEXT(MONTH($F$4),"00")&amp;TEXT(DAY($F$4),"00"))</f>
        <v/>
      </c>
      <c r="G85" s="22">
        <f>IFERROR(IF(AND(ISNUMBER($C85),ISNUMBER(D85),D85&lt;&gt;0),$C85/D85-1,""),"")</f>
        <v/>
      </c>
      <c r="H85" s="22">
        <f>IFERROR(IF(AND(ISNUMBER($C85),ISNUMBER(E85),E85&lt;&gt;0),$C85/E85-1,""),"")</f>
        <v/>
      </c>
      <c r="I85" s="22">
        <f>IFERROR(IF(AND(ISNUMBER($C85),ISNUMBER(F85),F85&lt;&gt;0),$C85/F85-1,""),"")</f>
        <v/>
      </c>
      <c r="K85" s="54">
        <f>_xll.BDP($A85,"BEST_EPS","BEST_FPERIOD_OVERRIDE","1BF")</f>
        <v/>
      </c>
      <c r="L85" s="54">
        <f>_xll.BDP($A85,"BEST_EPS","BEST_FPERIOD_OVERRIDE","1BF","BEST_DATA_DATE_OVERRIDE",TEXT(YEAR($D$4),"0000")&amp;TEXT(MONTH($D$4),"00")&amp;TEXT(DAY($D$4),"00"))</f>
        <v/>
      </c>
      <c r="M85" s="54">
        <f>_xll.BDP($A85,"BEST_EPS","BEST_FPERIOD_OVERRIDE","1BF","BEST_DATA_DATE_OVERRIDE",TEXT(YEAR($E$4),"0000")&amp;TEXT(MONTH($E$4),"00")&amp;TEXT(DAY($E$4),"00"))</f>
        <v/>
      </c>
      <c r="N85" s="54">
        <f>_xll.BDP($A85,"BEST_EPS","BEST_FPERIOD_OVERRIDE","1BF","BEST_DATA_DATE_OVERRIDE",TEXT(YEAR($F$4),"0000")&amp;TEXT(MONTH($F$4),"00")&amp;TEXT(DAY($F$4),"00"))</f>
        <v/>
      </c>
      <c r="O85" s="22">
        <f>IFERROR(IF(AND(ISNUMBER($K85),ISNUMBER(L85),L85&lt;&gt;0),$K85/L85-1,""),"")</f>
        <v/>
      </c>
      <c r="P85" s="22">
        <f>IFERROR(IF(AND(ISNUMBER($K85),ISNUMBER(M85),M85&lt;&gt;0),$K85/M85-1,""),"")</f>
        <v/>
      </c>
      <c r="Q85" s="22">
        <f>IFERROR(IF(AND(ISNUMBER($K85),ISNUMBER(N85),N85&lt;&gt;0),$K85/N85-1,""),"")</f>
        <v/>
      </c>
    </row>
    <row r="86">
      <c r="A86" s="19">
        <f>Tickers!$D$85</f>
        <v/>
      </c>
      <c r="C86" s="30">
        <f>_xll.BDP($A86,"BEST_SALES","BEST_FPERIOD_OVERRIDE","1BF")</f>
        <v/>
      </c>
      <c r="D86" s="30">
        <f>_xll.BDP($A86,"BEST_SALES","BEST_FPERIOD_OVERRIDE","1BF","BEST_DATA_DATE_OVERRIDE",TEXT(YEAR($D$4),"0000")&amp;TEXT(MONTH($D$4),"00")&amp;TEXT(DAY($D$4),"00"))</f>
        <v/>
      </c>
      <c r="E86" s="30">
        <f>_xll.BDP($A86,"BEST_SALES","BEST_FPERIOD_OVERRIDE","1BF","BEST_DATA_DATE_OVERRIDE",TEXT(YEAR($E$4),"0000")&amp;TEXT(MONTH($E$4),"00")&amp;TEXT(DAY($E$4),"00"))</f>
        <v/>
      </c>
      <c r="F86" s="30">
        <f>_xll.BDP($A86,"BEST_SALES","BEST_FPERIOD_OVERRIDE","1BF","BEST_DATA_DATE_OVERRIDE",TEXT(YEAR($F$4),"0000")&amp;TEXT(MONTH($F$4),"00")&amp;TEXT(DAY($F$4),"00"))</f>
        <v/>
      </c>
      <c r="G86" s="22">
        <f>IFERROR(IF(AND(ISNUMBER($C86),ISNUMBER(D86),D86&lt;&gt;0),$C86/D86-1,""),"")</f>
        <v/>
      </c>
      <c r="H86" s="22">
        <f>IFERROR(IF(AND(ISNUMBER($C86),ISNUMBER(E86),E86&lt;&gt;0),$C86/E86-1,""),"")</f>
        <v/>
      </c>
      <c r="I86" s="22">
        <f>IFERROR(IF(AND(ISNUMBER($C86),ISNUMBER(F86),F86&lt;&gt;0),$C86/F86-1,""),"")</f>
        <v/>
      </c>
      <c r="K86" s="54">
        <f>_xll.BDP($A86,"BEST_EPS","BEST_FPERIOD_OVERRIDE","1BF")</f>
        <v/>
      </c>
      <c r="L86" s="54">
        <f>_xll.BDP($A86,"BEST_EPS","BEST_FPERIOD_OVERRIDE","1BF","BEST_DATA_DATE_OVERRIDE",TEXT(YEAR($D$4),"0000")&amp;TEXT(MONTH($D$4),"00")&amp;TEXT(DAY($D$4),"00"))</f>
        <v/>
      </c>
      <c r="M86" s="54">
        <f>_xll.BDP($A86,"BEST_EPS","BEST_FPERIOD_OVERRIDE","1BF","BEST_DATA_DATE_OVERRIDE",TEXT(YEAR($E$4),"0000")&amp;TEXT(MONTH($E$4),"00")&amp;TEXT(DAY($E$4),"00"))</f>
        <v/>
      </c>
      <c r="N86" s="54">
        <f>_xll.BDP($A86,"BEST_EPS","BEST_FPERIOD_OVERRIDE","1BF","BEST_DATA_DATE_OVERRIDE",TEXT(YEAR($F$4),"0000")&amp;TEXT(MONTH($F$4),"00")&amp;TEXT(DAY($F$4),"00"))</f>
        <v/>
      </c>
      <c r="O86" s="22">
        <f>IFERROR(IF(AND(ISNUMBER($K86),ISNUMBER(L86),L86&lt;&gt;0),$K86/L86-1,""),"")</f>
        <v/>
      </c>
      <c r="P86" s="22">
        <f>IFERROR(IF(AND(ISNUMBER($K86),ISNUMBER(M86),M86&lt;&gt;0),$K86/M86-1,""),"")</f>
        <v/>
      </c>
      <c r="Q86" s="22">
        <f>IFERROR(IF(AND(ISNUMBER($K86),ISNUMBER(N86),N86&lt;&gt;0),$K86/N86-1,""),"")</f>
        <v/>
      </c>
    </row>
    <row r="87">
      <c r="A87" s="19">
        <f>Tickers!$D$86</f>
        <v/>
      </c>
      <c r="C87" s="30">
        <f>_xll.BDP($A87,"BEST_SALES","BEST_FPERIOD_OVERRIDE","1BF")</f>
        <v/>
      </c>
      <c r="D87" s="30">
        <f>_xll.BDP($A87,"BEST_SALES","BEST_FPERIOD_OVERRIDE","1BF","BEST_DATA_DATE_OVERRIDE",TEXT(YEAR($D$4),"0000")&amp;TEXT(MONTH($D$4),"00")&amp;TEXT(DAY($D$4),"00"))</f>
        <v/>
      </c>
      <c r="E87" s="30">
        <f>_xll.BDP($A87,"BEST_SALES","BEST_FPERIOD_OVERRIDE","1BF","BEST_DATA_DATE_OVERRIDE",TEXT(YEAR($E$4),"0000")&amp;TEXT(MONTH($E$4),"00")&amp;TEXT(DAY($E$4),"00"))</f>
        <v/>
      </c>
      <c r="F87" s="30">
        <f>_xll.BDP($A87,"BEST_SALES","BEST_FPERIOD_OVERRIDE","1BF","BEST_DATA_DATE_OVERRIDE",TEXT(YEAR($F$4),"0000")&amp;TEXT(MONTH($F$4),"00")&amp;TEXT(DAY($F$4),"00"))</f>
        <v/>
      </c>
      <c r="G87" s="22">
        <f>IFERROR(IF(AND(ISNUMBER($C87),ISNUMBER(D87),D87&lt;&gt;0),$C87/D87-1,""),"")</f>
        <v/>
      </c>
      <c r="H87" s="22">
        <f>IFERROR(IF(AND(ISNUMBER($C87),ISNUMBER(E87),E87&lt;&gt;0),$C87/E87-1,""),"")</f>
        <v/>
      </c>
      <c r="I87" s="22">
        <f>IFERROR(IF(AND(ISNUMBER($C87),ISNUMBER(F87),F87&lt;&gt;0),$C87/F87-1,""),"")</f>
        <v/>
      </c>
      <c r="K87" s="54">
        <f>_xll.BDP($A87,"BEST_EPS","BEST_FPERIOD_OVERRIDE","1BF")</f>
        <v/>
      </c>
      <c r="L87" s="54">
        <f>_xll.BDP($A87,"BEST_EPS","BEST_FPERIOD_OVERRIDE","1BF","BEST_DATA_DATE_OVERRIDE",TEXT(YEAR($D$4),"0000")&amp;TEXT(MONTH($D$4),"00")&amp;TEXT(DAY($D$4),"00"))</f>
        <v/>
      </c>
      <c r="M87" s="54">
        <f>_xll.BDP($A87,"BEST_EPS","BEST_FPERIOD_OVERRIDE","1BF","BEST_DATA_DATE_OVERRIDE",TEXT(YEAR($E$4),"0000")&amp;TEXT(MONTH($E$4),"00")&amp;TEXT(DAY($E$4),"00"))</f>
        <v/>
      </c>
      <c r="N87" s="54">
        <f>_xll.BDP($A87,"BEST_EPS","BEST_FPERIOD_OVERRIDE","1BF","BEST_DATA_DATE_OVERRIDE",TEXT(YEAR($F$4),"0000")&amp;TEXT(MONTH($F$4),"00")&amp;TEXT(DAY($F$4),"00"))</f>
        <v/>
      </c>
      <c r="O87" s="22">
        <f>IFERROR(IF(AND(ISNUMBER($K87),ISNUMBER(L87),L87&lt;&gt;0),$K87/L87-1,""),"")</f>
        <v/>
      </c>
      <c r="P87" s="22">
        <f>IFERROR(IF(AND(ISNUMBER($K87),ISNUMBER(M87),M87&lt;&gt;0),$K87/M87-1,""),"")</f>
        <v/>
      </c>
      <c r="Q87" s="22">
        <f>IFERROR(IF(AND(ISNUMBER($K87),ISNUMBER(N87),N87&lt;&gt;0),$K87/N87-1,""),"")</f>
        <v/>
      </c>
    </row>
    <row r="88">
      <c r="A88" s="19">
        <f>Tickers!$D$87</f>
        <v/>
      </c>
      <c r="C88" s="30">
        <f>_xll.BDP($A88,"BEST_SALES","BEST_FPERIOD_OVERRIDE","1BF")</f>
        <v/>
      </c>
      <c r="D88" s="30">
        <f>_xll.BDP($A88,"BEST_SALES","BEST_FPERIOD_OVERRIDE","1BF","BEST_DATA_DATE_OVERRIDE",TEXT(YEAR($D$4),"0000")&amp;TEXT(MONTH($D$4),"00")&amp;TEXT(DAY($D$4),"00"))</f>
        <v/>
      </c>
      <c r="E88" s="30">
        <f>_xll.BDP($A88,"BEST_SALES","BEST_FPERIOD_OVERRIDE","1BF","BEST_DATA_DATE_OVERRIDE",TEXT(YEAR($E$4),"0000")&amp;TEXT(MONTH($E$4),"00")&amp;TEXT(DAY($E$4),"00"))</f>
        <v/>
      </c>
      <c r="F88" s="30">
        <f>_xll.BDP($A88,"BEST_SALES","BEST_FPERIOD_OVERRIDE","1BF","BEST_DATA_DATE_OVERRIDE",TEXT(YEAR($F$4),"0000")&amp;TEXT(MONTH($F$4),"00")&amp;TEXT(DAY($F$4),"00"))</f>
        <v/>
      </c>
      <c r="G88" s="22">
        <f>IFERROR(IF(AND(ISNUMBER($C88),ISNUMBER(D88),D88&lt;&gt;0),$C88/D88-1,""),"")</f>
        <v/>
      </c>
      <c r="H88" s="22">
        <f>IFERROR(IF(AND(ISNUMBER($C88),ISNUMBER(E88),E88&lt;&gt;0),$C88/E88-1,""),"")</f>
        <v/>
      </c>
      <c r="I88" s="22">
        <f>IFERROR(IF(AND(ISNUMBER($C88),ISNUMBER(F88),F88&lt;&gt;0),$C88/F88-1,""),"")</f>
        <v/>
      </c>
      <c r="K88" s="54">
        <f>_xll.BDP($A88,"BEST_EPS","BEST_FPERIOD_OVERRIDE","1BF")</f>
        <v/>
      </c>
      <c r="L88" s="54">
        <f>_xll.BDP($A88,"BEST_EPS","BEST_FPERIOD_OVERRIDE","1BF","BEST_DATA_DATE_OVERRIDE",TEXT(YEAR($D$4),"0000")&amp;TEXT(MONTH($D$4),"00")&amp;TEXT(DAY($D$4),"00"))</f>
        <v/>
      </c>
      <c r="M88" s="54">
        <f>_xll.BDP($A88,"BEST_EPS","BEST_FPERIOD_OVERRIDE","1BF","BEST_DATA_DATE_OVERRIDE",TEXT(YEAR($E$4),"0000")&amp;TEXT(MONTH($E$4),"00")&amp;TEXT(DAY($E$4),"00"))</f>
        <v/>
      </c>
      <c r="N88" s="54">
        <f>_xll.BDP($A88,"BEST_EPS","BEST_FPERIOD_OVERRIDE","1BF","BEST_DATA_DATE_OVERRIDE",TEXT(YEAR($F$4),"0000")&amp;TEXT(MONTH($F$4),"00")&amp;TEXT(DAY($F$4),"00"))</f>
        <v/>
      </c>
      <c r="O88" s="22">
        <f>IFERROR(IF(AND(ISNUMBER($K88),ISNUMBER(L88),L88&lt;&gt;0),$K88/L88-1,""),"")</f>
        <v/>
      </c>
      <c r="P88" s="22">
        <f>IFERROR(IF(AND(ISNUMBER($K88),ISNUMBER(M88),M88&lt;&gt;0),$K88/M88-1,""),"")</f>
        <v/>
      </c>
      <c r="Q88" s="22">
        <f>IFERROR(IF(AND(ISNUMBER($K88),ISNUMBER(N88),N88&lt;&gt;0),$K88/N88-1,""),"")</f>
        <v/>
      </c>
    </row>
    <row r="89">
      <c r="A89" s="19">
        <f>Tickers!$D$88</f>
        <v/>
      </c>
      <c r="C89" s="30">
        <f>_xll.BDP($A89,"BEST_SALES","BEST_FPERIOD_OVERRIDE","1BF")</f>
        <v/>
      </c>
      <c r="D89" s="30">
        <f>_xll.BDP($A89,"BEST_SALES","BEST_FPERIOD_OVERRIDE","1BF","BEST_DATA_DATE_OVERRIDE",TEXT(YEAR($D$4),"0000")&amp;TEXT(MONTH($D$4),"00")&amp;TEXT(DAY($D$4),"00"))</f>
        <v/>
      </c>
      <c r="E89" s="30">
        <f>_xll.BDP($A89,"BEST_SALES","BEST_FPERIOD_OVERRIDE","1BF","BEST_DATA_DATE_OVERRIDE",TEXT(YEAR($E$4),"0000")&amp;TEXT(MONTH($E$4),"00")&amp;TEXT(DAY($E$4),"00"))</f>
        <v/>
      </c>
      <c r="F89" s="30">
        <f>_xll.BDP($A89,"BEST_SALES","BEST_FPERIOD_OVERRIDE","1BF","BEST_DATA_DATE_OVERRIDE",TEXT(YEAR($F$4),"0000")&amp;TEXT(MONTH($F$4),"00")&amp;TEXT(DAY($F$4),"00"))</f>
        <v/>
      </c>
      <c r="G89" s="22">
        <f>IFERROR(IF(AND(ISNUMBER($C89),ISNUMBER(D89),D89&lt;&gt;0),$C89/D89-1,""),"")</f>
        <v/>
      </c>
      <c r="H89" s="22">
        <f>IFERROR(IF(AND(ISNUMBER($C89),ISNUMBER(E89),E89&lt;&gt;0),$C89/E89-1,""),"")</f>
        <v/>
      </c>
      <c r="I89" s="22">
        <f>IFERROR(IF(AND(ISNUMBER($C89),ISNUMBER(F89),F89&lt;&gt;0),$C89/F89-1,""),"")</f>
        <v/>
      </c>
      <c r="K89" s="54">
        <f>_xll.BDP($A89,"BEST_EPS","BEST_FPERIOD_OVERRIDE","1BF")</f>
        <v/>
      </c>
      <c r="L89" s="54">
        <f>_xll.BDP($A89,"BEST_EPS","BEST_FPERIOD_OVERRIDE","1BF","BEST_DATA_DATE_OVERRIDE",TEXT(YEAR($D$4),"0000")&amp;TEXT(MONTH($D$4),"00")&amp;TEXT(DAY($D$4),"00"))</f>
        <v/>
      </c>
      <c r="M89" s="54">
        <f>_xll.BDP($A89,"BEST_EPS","BEST_FPERIOD_OVERRIDE","1BF","BEST_DATA_DATE_OVERRIDE",TEXT(YEAR($E$4),"0000")&amp;TEXT(MONTH($E$4),"00")&amp;TEXT(DAY($E$4),"00"))</f>
        <v/>
      </c>
      <c r="N89" s="54">
        <f>_xll.BDP($A89,"BEST_EPS","BEST_FPERIOD_OVERRIDE","1BF","BEST_DATA_DATE_OVERRIDE",TEXT(YEAR($F$4),"0000")&amp;TEXT(MONTH($F$4),"00")&amp;TEXT(DAY($F$4),"00"))</f>
        <v/>
      </c>
      <c r="O89" s="22">
        <f>IFERROR(IF(AND(ISNUMBER($K89),ISNUMBER(L89),L89&lt;&gt;0),$K89/L89-1,""),"")</f>
        <v/>
      </c>
      <c r="P89" s="22">
        <f>IFERROR(IF(AND(ISNUMBER($K89),ISNUMBER(M89),M89&lt;&gt;0),$K89/M89-1,""),"")</f>
        <v/>
      </c>
      <c r="Q89" s="22">
        <f>IFERROR(IF(AND(ISNUMBER($K89),ISNUMBER(N89),N89&lt;&gt;0),$K89/N89-1,""),"")</f>
        <v/>
      </c>
    </row>
    <row r="90">
      <c r="A90" s="19">
        <f>Tickers!$D$89</f>
        <v/>
      </c>
      <c r="C90" s="30">
        <f>_xll.BDP($A90,"BEST_SALES","BEST_FPERIOD_OVERRIDE","1BF")</f>
        <v/>
      </c>
      <c r="D90" s="30">
        <f>_xll.BDP($A90,"BEST_SALES","BEST_FPERIOD_OVERRIDE","1BF","BEST_DATA_DATE_OVERRIDE",TEXT(YEAR($D$4),"0000")&amp;TEXT(MONTH($D$4),"00")&amp;TEXT(DAY($D$4),"00"))</f>
        <v/>
      </c>
      <c r="E90" s="30">
        <f>_xll.BDP($A90,"BEST_SALES","BEST_FPERIOD_OVERRIDE","1BF","BEST_DATA_DATE_OVERRIDE",TEXT(YEAR($E$4),"0000")&amp;TEXT(MONTH($E$4),"00")&amp;TEXT(DAY($E$4),"00"))</f>
        <v/>
      </c>
      <c r="F90" s="30">
        <f>_xll.BDP($A90,"BEST_SALES","BEST_FPERIOD_OVERRIDE","1BF","BEST_DATA_DATE_OVERRIDE",TEXT(YEAR($F$4),"0000")&amp;TEXT(MONTH($F$4),"00")&amp;TEXT(DAY($F$4),"00"))</f>
        <v/>
      </c>
      <c r="G90" s="22">
        <f>IFERROR(IF(AND(ISNUMBER($C90),ISNUMBER(D90),D90&lt;&gt;0),$C90/D90-1,""),"")</f>
        <v/>
      </c>
      <c r="H90" s="22">
        <f>IFERROR(IF(AND(ISNUMBER($C90),ISNUMBER(E90),E90&lt;&gt;0),$C90/E90-1,""),"")</f>
        <v/>
      </c>
      <c r="I90" s="22">
        <f>IFERROR(IF(AND(ISNUMBER($C90),ISNUMBER(F90),F90&lt;&gt;0),$C90/F90-1,""),"")</f>
        <v/>
      </c>
      <c r="K90" s="54">
        <f>_xll.BDP($A90,"BEST_EPS","BEST_FPERIOD_OVERRIDE","1BF")</f>
        <v/>
      </c>
      <c r="L90" s="54">
        <f>_xll.BDP($A90,"BEST_EPS","BEST_FPERIOD_OVERRIDE","1BF","BEST_DATA_DATE_OVERRIDE",TEXT(YEAR($D$4),"0000")&amp;TEXT(MONTH($D$4),"00")&amp;TEXT(DAY($D$4),"00"))</f>
        <v/>
      </c>
      <c r="M90" s="54">
        <f>_xll.BDP($A90,"BEST_EPS","BEST_FPERIOD_OVERRIDE","1BF","BEST_DATA_DATE_OVERRIDE",TEXT(YEAR($E$4),"0000")&amp;TEXT(MONTH($E$4),"00")&amp;TEXT(DAY($E$4),"00"))</f>
        <v/>
      </c>
      <c r="N90" s="54">
        <f>_xll.BDP($A90,"BEST_EPS","BEST_FPERIOD_OVERRIDE","1BF","BEST_DATA_DATE_OVERRIDE",TEXT(YEAR($F$4),"0000")&amp;TEXT(MONTH($F$4),"00")&amp;TEXT(DAY($F$4),"00"))</f>
        <v/>
      </c>
      <c r="O90" s="22">
        <f>IFERROR(IF(AND(ISNUMBER($K90),ISNUMBER(L90),L90&lt;&gt;0),$K90/L90-1,""),"")</f>
        <v/>
      </c>
      <c r="P90" s="22">
        <f>IFERROR(IF(AND(ISNUMBER($K90),ISNUMBER(M90),M90&lt;&gt;0),$K90/M90-1,""),"")</f>
        <v/>
      </c>
      <c r="Q90" s="22">
        <f>IFERROR(IF(AND(ISNUMBER($K90),ISNUMBER(N90),N90&lt;&gt;0),$K90/N90-1,""),"")</f>
        <v/>
      </c>
    </row>
    <row r="91">
      <c r="A91" s="19">
        <f>Tickers!$D$90</f>
        <v/>
      </c>
      <c r="C91" s="30">
        <f>_xll.BDP($A91,"BEST_SALES","BEST_FPERIOD_OVERRIDE","1BF")</f>
        <v/>
      </c>
      <c r="D91" s="30">
        <f>_xll.BDP($A91,"BEST_SALES","BEST_FPERIOD_OVERRIDE","1BF","BEST_DATA_DATE_OVERRIDE",TEXT(YEAR($D$4),"0000")&amp;TEXT(MONTH($D$4),"00")&amp;TEXT(DAY($D$4),"00"))</f>
        <v/>
      </c>
      <c r="E91" s="30">
        <f>_xll.BDP($A91,"BEST_SALES","BEST_FPERIOD_OVERRIDE","1BF","BEST_DATA_DATE_OVERRIDE",TEXT(YEAR($E$4),"0000")&amp;TEXT(MONTH($E$4),"00")&amp;TEXT(DAY($E$4),"00"))</f>
        <v/>
      </c>
      <c r="F91" s="30">
        <f>_xll.BDP($A91,"BEST_SALES","BEST_FPERIOD_OVERRIDE","1BF","BEST_DATA_DATE_OVERRIDE",TEXT(YEAR($F$4),"0000")&amp;TEXT(MONTH($F$4),"00")&amp;TEXT(DAY($F$4),"00"))</f>
        <v/>
      </c>
      <c r="G91" s="22">
        <f>IFERROR(IF(AND(ISNUMBER($C91),ISNUMBER(D91),D91&lt;&gt;0),$C91/D91-1,""),"")</f>
        <v/>
      </c>
      <c r="H91" s="22">
        <f>IFERROR(IF(AND(ISNUMBER($C91),ISNUMBER(E91),E91&lt;&gt;0),$C91/E91-1,""),"")</f>
        <v/>
      </c>
      <c r="I91" s="22">
        <f>IFERROR(IF(AND(ISNUMBER($C91),ISNUMBER(F91),F91&lt;&gt;0),$C91/F91-1,""),"")</f>
        <v/>
      </c>
      <c r="K91" s="54">
        <f>_xll.BDP($A91,"BEST_EPS","BEST_FPERIOD_OVERRIDE","1BF")</f>
        <v/>
      </c>
      <c r="L91" s="54">
        <f>_xll.BDP($A91,"BEST_EPS","BEST_FPERIOD_OVERRIDE","1BF","BEST_DATA_DATE_OVERRIDE",TEXT(YEAR($D$4),"0000")&amp;TEXT(MONTH($D$4),"00")&amp;TEXT(DAY($D$4),"00"))</f>
        <v/>
      </c>
      <c r="M91" s="54">
        <f>_xll.BDP($A91,"BEST_EPS","BEST_FPERIOD_OVERRIDE","1BF","BEST_DATA_DATE_OVERRIDE",TEXT(YEAR($E$4),"0000")&amp;TEXT(MONTH($E$4),"00")&amp;TEXT(DAY($E$4),"00"))</f>
        <v/>
      </c>
      <c r="N91" s="54">
        <f>_xll.BDP($A91,"BEST_EPS","BEST_FPERIOD_OVERRIDE","1BF","BEST_DATA_DATE_OVERRIDE",TEXT(YEAR($F$4),"0000")&amp;TEXT(MONTH($F$4),"00")&amp;TEXT(DAY($F$4),"00"))</f>
        <v/>
      </c>
      <c r="O91" s="22">
        <f>IFERROR(IF(AND(ISNUMBER($K91),ISNUMBER(L91),L91&lt;&gt;0),$K91/L91-1,""),"")</f>
        <v/>
      </c>
      <c r="P91" s="22">
        <f>IFERROR(IF(AND(ISNUMBER($K91),ISNUMBER(M91),M91&lt;&gt;0),$K91/M91-1,""),"")</f>
        <v/>
      </c>
      <c r="Q91" s="22">
        <f>IFERROR(IF(AND(ISNUMBER($K91),ISNUMBER(N91),N91&lt;&gt;0),$K91/N91-1,""),"")</f>
        <v/>
      </c>
    </row>
    <row r="92">
      <c r="A92" s="19">
        <f>Tickers!$D$91</f>
        <v/>
      </c>
      <c r="C92" s="30">
        <f>_xll.BDP($A92,"BEST_SALES","BEST_FPERIOD_OVERRIDE","1BF")</f>
        <v/>
      </c>
      <c r="D92" s="30">
        <f>_xll.BDP($A92,"BEST_SALES","BEST_FPERIOD_OVERRIDE","1BF","BEST_DATA_DATE_OVERRIDE",TEXT(YEAR($D$4),"0000")&amp;TEXT(MONTH($D$4),"00")&amp;TEXT(DAY($D$4),"00"))</f>
        <v/>
      </c>
      <c r="E92" s="30">
        <f>_xll.BDP($A92,"BEST_SALES","BEST_FPERIOD_OVERRIDE","1BF","BEST_DATA_DATE_OVERRIDE",TEXT(YEAR($E$4),"0000")&amp;TEXT(MONTH($E$4),"00")&amp;TEXT(DAY($E$4),"00"))</f>
        <v/>
      </c>
      <c r="F92" s="30">
        <f>_xll.BDP($A92,"BEST_SALES","BEST_FPERIOD_OVERRIDE","1BF","BEST_DATA_DATE_OVERRIDE",TEXT(YEAR($F$4),"0000")&amp;TEXT(MONTH($F$4),"00")&amp;TEXT(DAY($F$4),"00"))</f>
        <v/>
      </c>
      <c r="G92" s="22">
        <f>IFERROR(IF(AND(ISNUMBER($C92),ISNUMBER(D92),D92&lt;&gt;0),$C92/D92-1,""),"")</f>
        <v/>
      </c>
      <c r="H92" s="22">
        <f>IFERROR(IF(AND(ISNUMBER($C92),ISNUMBER(E92),E92&lt;&gt;0),$C92/E92-1,""),"")</f>
        <v/>
      </c>
      <c r="I92" s="22">
        <f>IFERROR(IF(AND(ISNUMBER($C92),ISNUMBER(F92),F92&lt;&gt;0),$C92/F92-1,""),"")</f>
        <v/>
      </c>
      <c r="K92" s="54">
        <f>_xll.BDP($A92,"BEST_EPS","BEST_FPERIOD_OVERRIDE","1BF")</f>
        <v/>
      </c>
      <c r="L92" s="54">
        <f>_xll.BDP($A92,"BEST_EPS","BEST_FPERIOD_OVERRIDE","1BF","BEST_DATA_DATE_OVERRIDE",TEXT(YEAR($D$4),"0000")&amp;TEXT(MONTH($D$4),"00")&amp;TEXT(DAY($D$4),"00"))</f>
        <v/>
      </c>
      <c r="M92" s="54">
        <f>_xll.BDP($A92,"BEST_EPS","BEST_FPERIOD_OVERRIDE","1BF","BEST_DATA_DATE_OVERRIDE",TEXT(YEAR($E$4),"0000")&amp;TEXT(MONTH($E$4),"00")&amp;TEXT(DAY($E$4),"00"))</f>
        <v/>
      </c>
      <c r="N92" s="54">
        <f>_xll.BDP($A92,"BEST_EPS","BEST_FPERIOD_OVERRIDE","1BF","BEST_DATA_DATE_OVERRIDE",TEXT(YEAR($F$4),"0000")&amp;TEXT(MONTH($F$4),"00")&amp;TEXT(DAY($F$4),"00"))</f>
        <v/>
      </c>
      <c r="O92" s="22">
        <f>IFERROR(IF(AND(ISNUMBER($K92),ISNUMBER(L92),L92&lt;&gt;0),$K92/L92-1,""),"")</f>
        <v/>
      </c>
      <c r="P92" s="22">
        <f>IFERROR(IF(AND(ISNUMBER($K92),ISNUMBER(M92),M92&lt;&gt;0),$K92/M92-1,""),"")</f>
        <v/>
      </c>
      <c r="Q92" s="22">
        <f>IFERROR(IF(AND(ISNUMBER($K92),ISNUMBER(N92),N92&lt;&gt;0),$K92/N92-1,""),"")</f>
        <v/>
      </c>
    </row>
    <row r="93">
      <c r="A93" s="19">
        <f>Tickers!$D$92</f>
        <v/>
      </c>
      <c r="C93" s="30">
        <f>_xll.BDP($A93,"BEST_SALES","BEST_FPERIOD_OVERRIDE","1BF")</f>
        <v/>
      </c>
      <c r="D93" s="30">
        <f>_xll.BDP($A93,"BEST_SALES","BEST_FPERIOD_OVERRIDE","1BF","BEST_DATA_DATE_OVERRIDE",TEXT(YEAR($D$4),"0000")&amp;TEXT(MONTH($D$4),"00")&amp;TEXT(DAY($D$4),"00"))</f>
        <v/>
      </c>
      <c r="E93" s="30">
        <f>_xll.BDP($A93,"BEST_SALES","BEST_FPERIOD_OVERRIDE","1BF","BEST_DATA_DATE_OVERRIDE",TEXT(YEAR($E$4),"0000")&amp;TEXT(MONTH($E$4),"00")&amp;TEXT(DAY($E$4),"00"))</f>
        <v/>
      </c>
      <c r="F93" s="30">
        <f>_xll.BDP($A93,"BEST_SALES","BEST_FPERIOD_OVERRIDE","1BF","BEST_DATA_DATE_OVERRIDE",TEXT(YEAR($F$4),"0000")&amp;TEXT(MONTH($F$4),"00")&amp;TEXT(DAY($F$4),"00"))</f>
        <v/>
      </c>
      <c r="G93" s="22">
        <f>IFERROR(IF(AND(ISNUMBER($C93),ISNUMBER(D93),D93&lt;&gt;0),$C93/D93-1,""),"")</f>
        <v/>
      </c>
      <c r="H93" s="22">
        <f>IFERROR(IF(AND(ISNUMBER($C93),ISNUMBER(E93),E93&lt;&gt;0),$C93/E93-1,""),"")</f>
        <v/>
      </c>
      <c r="I93" s="22">
        <f>IFERROR(IF(AND(ISNUMBER($C93),ISNUMBER(F93),F93&lt;&gt;0),$C93/F93-1,""),"")</f>
        <v/>
      </c>
      <c r="K93" s="54">
        <f>_xll.BDP($A93,"BEST_EPS","BEST_FPERIOD_OVERRIDE","1BF")</f>
        <v/>
      </c>
      <c r="L93" s="54">
        <f>_xll.BDP($A93,"BEST_EPS","BEST_FPERIOD_OVERRIDE","1BF","BEST_DATA_DATE_OVERRIDE",TEXT(YEAR($D$4),"0000")&amp;TEXT(MONTH($D$4),"00")&amp;TEXT(DAY($D$4),"00"))</f>
        <v/>
      </c>
      <c r="M93" s="54">
        <f>_xll.BDP($A93,"BEST_EPS","BEST_FPERIOD_OVERRIDE","1BF","BEST_DATA_DATE_OVERRIDE",TEXT(YEAR($E$4),"0000")&amp;TEXT(MONTH($E$4),"00")&amp;TEXT(DAY($E$4),"00"))</f>
        <v/>
      </c>
      <c r="N93" s="54">
        <f>_xll.BDP($A93,"BEST_EPS","BEST_FPERIOD_OVERRIDE","1BF","BEST_DATA_DATE_OVERRIDE",TEXT(YEAR($F$4),"0000")&amp;TEXT(MONTH($F$4),"00")&amp;TEXT(DAY($F$4),"00"))</f>
        <v/>
      </c>
      <c r="O93" s="22">
        <f>IFERROR(IF(AND(ISNUMBER($K93),ISNUMBER(L93),L93&lt;&gt;0),$K93/L93-1,""),"")</f>
        <v/>
      </c>
      <c r="P93" s="22">
        <f>IFERROR(IF(AND(ISNUMBER($K93),ISNUMBER(M93),M93&lt;&gt;0),$K93/M93-1,""),"")</f>
        <v/>
      </c>
      <c r="Q93" s="22">
        <f>IFERROR(IF(AND(ISNUMBER($K93),ISNUMBER(N93),N93&lt;&gt;0),$K93/N93-1,""),"")</f>
        <v/>
      </c>
    </row>
    <row r="94">
      <c r="A94" s="19">
        <f>Tickers!$D$93</f>
        <v/>
      </c>
      <c r="C94" s="30">
        <f>_xll.BDP($A94,"BEST_SALES","BEST_FPERIOD_OVERRIDE","1BF")</f>
        <v/>
      </c>
      <c r="D94" s="30">
        <f>_xll.BDP($A94,"BEST_SALES","BEST_FPERIOD_OVERRIDE","1BF","BEST_DATA_DATE_OVERRIDE",TEXT(YEAR($D$4),"0000")&amp;TEXT(MONTH($D$4),"00")&amp;TEXT(DAY($D$4),"00"))</f>
        <v/>
      </c>
      <c r="E94" s="30">
        <f>_xll.BDP($A94,"BEST_SALES","BEST_FPERIOD_OVERRIDE","1BF","BEST_DATA_DATE_OVERRIDE",TEXT(YEAR($E$4),"0000")&amp;TEXT(MONTH($E$4),"00")&amp;TEXT(DAY($E$4),"00"))</f>
        <v/>
      </c>
      <c r="F94" s="30">
        <f>_xll.BDP($A94,"BEST_SALES","BEST_FPERIOD_OVERRIDE","1BF","BEST_DATA_DATE_OVERRIDE",TEXT(YEAR($F$4),"0000")&amp;TEXT(MONTH($F$4),"00")&amp;TEXT(DAY($F$4),"00"))</f>
        <v/>
      </c>
      <c r="G94" s="22">
        <f>IFERROR(IF(AND(ISNUMBER($C94),ISNUMBER(D94),D94&lt;&gt;0),$C94/D94-1,""),"")</f>
        <v/>
      </c>
      <c r="H94" s="22">
        <f>IFERROR(IF(AND(ISNUMBER($C94),ISNUMBER(E94),E94&lt;&gt;0),$C94/E94-1,""),"")</f>
        <v/>
      </c>
      <c r="I94" s="22">
        <f>IFERROR(IF(AND(ISNUMBER($C94),ISNUMBER(F94),F94&lt;&gt;0),$C94/F94-1,""),"")</f>
        <v/>
      </c>
      <c r="K94" s="54">
        <f>_xll.BDP($A94,"BEST_EPS","BEST_FPERIOD_OVERRIDE","1BF")</f>
        <v/>
      </c>
      <c r="L94" s="54">
        <f>_xll.BDP($A94,"BEST_EPS","BEST_FPERIOD_OVERRIDE","1BF","BEST_DATA_DATE_OVERRIDE",TEXT(YEAR($D$4),"0000")&amp;TEXT(MONTH($D$4),"00")&amp;TEXT(DAY($D$4),"00"))</f>
        <v/>
      </c>
      <c r="M94" s="54">
        <f>_xll.BDP($A94,"BEST_EPS","BEST_FPERIOD_OVERRIDE","1BF","BEST_DATA_DATE_OVERRIDE",TEXT(YEAR($E$4),"0000")&amp;TEXT(MONTH($E$4),"00")&amp;TEXT(DAY($E$4),"00"))</f>
        <v/>
      </c>
      <c r="N94" s="54">
        <f>_xll.BDP($A94,"BEST_EPS","BEST_FPERIOD_OVERRIDE","1BF","BEST_DATA_DATE_OVERRIDE",TEXT(YEAR($F$4),"0000")&amp;TEXT(MONTH($F$4),"00")&amp;TEXT(DAY($F$4),"00"))</f>
        <v/>
      </c>
      <c r="O94" s="22">
        <f>IFERROR(IF(AND(ISNUMBER($K94),ISNUMBER(L94),L94&lt;&gt;0),$K94/L94-1,""),"")</f>
        <v/>
      </c>
      <c r="P94" s="22">
        <f>IFERROR(IF(AND(ISNUMBER($K94),ISNUMBER(M94),M94&lt;&gt;0),$K94/M94-1,""),"")</f>
        <v/>
      </c>
      <c r="Q94" s="22">
        <f>IFERROR(IF(AND(ISNUMBER($K94),ISNUMBER(N94),N94&lt;&gt;0),$K94/N94-1,""),"")</f>
        <v/>
      </c>
    </row>
    <row r="95">
      <c r="A95" s="19">
        <f>Tickers!$D$94</f>
        <v/>
      </c>
      <c r="C95" s="30">
        <f>_xll.BDP($A95,"BEST_SALES","BEST_FPERIOD_OVERRIDE","1BF")</f>
        <v/>
      </c>
      <c r="D95" s="30">
        <f>_xll.BDP($A95,"BEST_SALES","BEST_FPERIOD_OVERRIDE","1BF","BEST_DATA_DATE_OVERRIDE",TEXT(YEAR($D$4),"0000")&amp;TEXT(MONTH($D$4),"00")&amp;TEXT(DAY($D$4),"00"))</f>
        <v/>
      </c>
      <c r="E95" s="30">
        <f>_xll.BDP($A95,"BEST_SALES","BEST_FPERIOD_OVERRIDE","1BF","BEST_DATA_DATE_OVERRIDE",TEXT(YEAR($E$4),"0000")&amp;TEXT(MONTH($E$4),"00")&amp;TEXT(DAY($E$4),"00"))</f>
        <v/>
      </c>
      <c r="F95" s="30">
        <f>_xll.BDP($A95,"BEST_SALES","BEST_FPERIOD_OVERRIDE","1BF","BEST_DATA_DATE_OVERRIDE",TEXT(YEAR($F$4),"0000")&amp;TEXT(MONTH($F$4),"00")&amp;TEXT(DAY($F$4),"00"))</f>
        <v/>
      </c>
      <c r="G95" s="22">
        <f>IFERROR(IF(AND(ISNUMBER($C95),ISNUMBER(D95),D95&lt;&gt;0),$C95/D95-1,""),"")</f>
        <v/>
      </c>
      <c r="H95" s="22">
        <f>IFERROR(IF(AND(ISNUMBER($C95),ISNUMBER(E95),E95&lt;&gt;0),$C95/E95-1,""),"")</f>
        <v/>
      </c>
      <c r="I95" s="22">
        <f>IFERROR(IF(AND(ISNUMBER($C95),ISNUMBER(F95),F95&lt;&gt;0),$C95/F95-1,""),"")</f>
        <v/>
      </c>
      <c r="K95" s="54">
        <f>_xll.BDP($A95,"BEST_EPS","BEST_FPERIOD_OVERRIDE","1BF")</f>
        <v/>
      </c>
      <c r="L95" s="54">
        <f>_xll.BDP($A95,"BEST_EPS","BEST_FPERIOD_OVERRIDE","1BF","BEST_DATA_DATE_OVERRIDE",TEXT(YEAR($D$4),"0000")&amp;TEXT(MONTH($D$4),"00")&amp;TEXT(DAY($D$4),"00"))</f>
        <v/>
      </c>
      <c r="M95" s="54">
        <f>_xll.BDP($A95,"BEST_EPS","BEST_FPERIOD_OVERRIDE","1BF","BEST_DATA_DATE_OVERRIDE",TEXT(YEAR($E$4),"0000")&amp;TEXT(MONTH($E$4),"00")&amp;TEXT(DAY($E$4),"00"))</f>
        <v/>
      </c>
      <c r="N95" s="54">
        <f>_xll.BDP($A95,"BEST_EPS","BEST_FPERIOD_OVERRIDE","1BF","BEST_DATA_DATE_OVERRIDE",TEXT(YEAR($F$4),"0000")&amp;TEXT(MONTH($F$4),"00")&amp;TEXT(DAY($F$4),"00"))</f>
        <v/>
      </c>
      <c r="O95" s="22">
        <f>IFERROR(IF(AND(ISNUMBER($K95),ISNUMBER(L95),L95&lt;&gt;0),$K95/L95-1,""),"")</f>
        <v/>
      </c>
      <c r="P95" s="22">
        <f>IFERROR(IF(AND(ISNUMBER($K95),ISNUMBER(M95),M95&lt;&gt;0),$K95/M95-1,""),"")</f>
        <v/>
      </c>
      <c r="Q95" s="22">
        <f>IFERROR(IF(AND(ISNUMBER($K95),ISNUMBER(N95),N95&lt;&gt;0),$K95/N95-1,""),"")</f>
        <v/>
      </c>
    </row>
    <row r="96">
      <c r="A96" s="19">
        <f>Tickers!$D$95</f>
        <v/>
      </c>
      <c r="C96" s="30">
        <f>_xll.BDP($A96,"BEST_SALES","BEST_FPERIOD_OVERRIDE","1BF")</f>
        <v/>
      </c>
      <c r="D96" s="30">
        <f>_xll.BDP($A96,"BEST_SALES","BEST_FPERIOD_OVERRIDE","1BF","BEST_DATA_DATE_OVERRIDE",TEXT(YEAR($D$4),"0000")&amp;TEXT(MONTH($D$4),"00")&amp;TEXT(DAY($D$4),"00"))</f>
        <v/>
      </c>
      <c r="E96" s="30">
        <f>_xll.BDP($A96,"BEST_SALES","BEST_FPERIOD_OVERRIDE","1BF","BEST_DATA_DATE_OVERRIDE",TEXT(YEAR($E$4),"0000")&amp;TEXT(MONTH($E$4),"00")&amp;TEXT(DAY($E$4),"00"))</f>
        <v/>
      </c>
      <c r="F96" s="30">
        <f>_xll.BDP($A96,"BEST_SALES","BEST_FPERIOD_OVERRIDE","1BF","BEST_DATA_DATE_OVERRIDE",TEXT(YEAR($F$4),"0000")&amp;TEXT(MONTH($F$4),"00")&amp;TEXT(DAY($F$4),"00"))</f>
        <v/>
      </c>
      <c r="G96" s="22">
        <f>IFERROR(IF(AND(ISNUMBER($C96),ISNUMBER(D96),D96&lt;&gt;0),$C96/D96-1,""),"")</f>
        <v/>
      </c>
      <c r="H96" s="22">
        <f>IFERROR(IF(AND(ISNUMBER($C96),ISNUMBER(E96),E96&lt;&gt;0),$C96/E96-1,""),"")</f>
        <v/>
      </c>
      <c r="I96" s="22">
        <f>IFERROR(IF(AND(ISNUMBER($C96),ISNUMBER(F96),F96&lt;&gt;0),$C96/F96-1,""),"")</f>
        <v/>
      </c>
      <c r="K96" s="54">
        <f>_xll.BDP($A96,"BEST_EPS","BEST_FPERIOD_OVERRIDE","1BF")</f>
        <v/>
      </c>
      <c r="L96" s="54">
        <f>_xll.BDP($A96,"BEST_EPS","BEST_FPERIOD_OVERRIDE","1BF","BEST_DATA_DATE_OVERRIDE",TEXT(YEAR($D$4),"0000")&amp;TEXT(MONTH($D$4),"00")&amp;TEXT(DAY($D$4),"00"))</f>
        <v/>
      </c>
      <c r="M96" s="54">
        <f>_xll.BDP($A96,"BEST_EPS","BEST_FPERIOD_OVERRIDE","1BF","BEST_DATA_DATE_OVERRIDE",TEXT(YEAR($E$4),"0000")&amp;TEXT(MONTH($E$4),"00")&amp;TEXT(DAY($E$4),"00"))</f>
        <v/>
      </c>
      <c r="N96" s="54">
        <f>_xll.BDP($A96,"BEST_EPS","BEST_FPERIOD_OVERRIDE","1BF","BEST_DATA_DATE_OVERRIDE",TEXT(YEAR($F$4),"0000")&amp;TEXT(MONTH($F$4),"00")&amp;TEXT(DAY($F$4),"00"))</f>
        <v/>
      </c>
      <c r="O96" s="22">
        <f>IFERROR(IF(AND(ISNUMBER($K96),ISNUMBER(L96),L96&lt;&gt;0),$K96/L96-1,""),"")</f>
        <v/>
      </c>
      <c r="P96" s="22">
        <f>IFERROR(IF(AND(ISNUMBER($K96),ISNUMBER(M96),M96&lt;&gt;0),$K96/M96-1,""),"")</f>
        <v/>
      </c>
      <c r="Q96" s="22">
        <f>IFERROR(IF(AND(ISNUMBER($K96),ISNUMBER(N96),N96&lt;&gt;0),$K96/N96-1,""),"")</f>
        <v/>
      </c>
    </row>
    <row r="97">
      <c r="A97" s="19">
        <f>Tickers!$D$96</f>
        <v/>
      </c>
      <c r="C97" s="30">
        <f>_xll.BDP($A97,"BEST_SALES","BEST_FPERIOD_OVERRIDE","1BF")</f>
        <v/>
      </c>
      <c r="D97" s="30">
        <f>_xll.BDP($A97,"BEST_SALES","BEST_FPERIOD_OVERRIDE","1BF","BEST_DATA_DATE_OVERRIDE",TEXT(YEAR($D$4),"0000")&amp;TEXT(MONTH($D$4),"00")&amp;TEXT(DAY($D$4),"00"))</f>
        <v/>
      </c>
      <c r="E97" s="30">
        <f>_xll.BDP($A97,"BEST_SALES","BEST_FPERIOD_OVERRIDE","1BF","BEST_DATA_DATE_OVERRIDE",TEXT(YEAR($E$4),"0000")&amp;TEXT(MONTH($E$4),"00")&amp;TEXT(DAY($E$4),"00"))</f>
        <v/>
      </c>
      <c r="F97" s="30">
        <f>_xll.BDP($A97,"BEST_SALES","BEST_FPERIOD_OVERRIDE","1BF","BEST_DATA_DATE_OVERRIDE",TEXT(YEAR($F$4),"0000")&amp;TEXT(MONTH($F$4),"00")&amp;TEXT(DAY($F$4),"00"))</f>
        <v/>
      </c>
      <c r="G97" s="22">
        <f>IFERROR(IF(AND(ISNUMBER($C97),ISNUMBER(D97),D97&lt;&gt;0),$C97/D97-1,""),"")</f>
        <v/>
      </c>
      <c r="H97" s="22">
        <f>IFERROR(IF(AND(ISNUMBER($C97),ISNUMBER(E97),E97&lt;&gt;0),$C97/E97-1,""),"")</f>
        <v/>
      </c>
      <c r="I97" s="22">
        <f>IFERROR(IF(AND(ISNUMBER($C97),ISNUMBER(F97),F97&lt;&gt;0),$C97/F97-1,""),"")</f>
        <v/>
      </c>
      <c r="K97" s="54">
        <f>_xll.BDP($A97,"BEST_EPS","BEST_FPERIOD_OVERRIDE","1BF")</f>
        <v/>
      </c>
      <c r="L97" s="54">
        <f>_xll.BDP($A97,"BEST_EPS","BEST_FPERIOD_OVERRIDE","1BF","BEST_DATA_DATE_OVERRIDE",TEXT(YEAR($D$4),"0000")&amp;TEXT(MONTH($D$4),"00")&amp;TEXT(DAY($D$4),"00"))</f>
        <v/>
      </c>
      <c r="M97" s="54">
        <f>_xll.BDP($A97,"BEST_EPS","BEST_FPERIOD_OVERRIDE","1BF","BEST_DATA_DATE_OVERRIDE",TEXT(YEAR($E$4),"0000")&amp;TEXT(MONTH($E$4),"00")&amp;TEXT(DAY($E$4),"00"))</f>
        <v/>
      </c>
      <c r="N97" s="54">
        <f>_xll.BDP($A97,"BEST_EPS","BEST_FPERIOD_OVERRIDE","1BF","BEST_DATA_DATE_OVERRIDE",TEXT(YEAR($F$4),"0000")&amp;TEXT(MONTH($F$4),"00")&amp;TEXT(DAY($F$4),"00"))</f>
        <v/>
      </c>
      <c r="O97" s="22">
        <f>IFERROR(IF(AND(ISNUMBER($K97),ISNUMBER(L97),L97&lt;&gt;0),$K97/L97-1,""),"")</f>
        <v/>
      </c>
      <c r="P97" s="22">
        <f>IFERROR(IF(AND(ISNUMBER($K97),ISNUMBER(M97),M97&lt;&gt;0),$K97/M97-1,""),"")</f>
        <v/>
      </c>
      <c r="Q97" s="22">
        <f>IFERROR(IF(AND(ISNUMBER($K97),ISNUMBER(N97),N97&lt;&gt;0),$K97/N97-1,""),"")</f>
        <v/>
      </c>
    </row>
    <row r="98">
      <c r="A98" s="19">
        <f>Tickers!$D$97</f>
        <v/>
      </c>
      <c r="C98" s="30">
        <f>_xll.BDP($A98,"BEST_SALES","BEST_FPERIOD_OVERRIDE","1BF")</f>
        <v/>
      </c>
      <c r="D98" s="30">
        <f>_xll.BDP($A98,"BEST_SALES","BEST_FPERIOD_OVERRIDE","1BF","BEST_DATA_DATE_OVERRIDE",TEXT(YEAR($D$4),"0000")&amp;TEXT(MONTH($D$4),"00")&amp;TEXT(DAY($D$4),"00"))</f>
        <v/>
      </c>
      <c r="E98" s="30">
        <f>_xll.BDP($A98,"BEST_SALES","BEST_FPERIOD_OVERRIDE","1BF","BEST_DATA_DATE_OVERRIDE",TEXT(YEAR($E$4),"0000")&amp;TEXT(MONTH($E$4),"00")&amp;TEXT(DAY($E$4),"00"))</f>
        <v/>
      </c>
      <c r="F98" s="30">
        <f>_xll.BDP($A98,"BEST_SALES","BEST_FPERIOD_OVERRIDE","1BF","BEST_DATA_DATE_OVERRIDE",TEXT(YEAR($F$4),"0000")&amp;TEXT(MONTH($F$4),"00")&amp;TEXT(DAY($F$4),"00"))</f>
        <v/>
      </c>
      <c r="G98" s="22">
        <f>IFERROR(IF(AND(ISNUMBER($C98),ISNUMBER(D98),D98&lt;&gt;0),$C98/D98-1,""),"")</f>
        <v/>
      </c>
      <c r="H98" s="22">
        <f>IFERROR(IF(AND(ISNUMBER($C98),ISNUMBER(E98),E98&lt;&gt;0),$C98/E98-1,""),"")</f>
        <v/>
      </c>
      <c r="I98" s="22">
        <f>IFERROR(IF(AND(ISNUMBER($C98),ISNUMBER(F98),F98&lt;&gt;0),$C98/F98-1,""),"")</f>
        <v/>
      </c>
      <c r="K98" s="54">
        <f>_xll.BDP($A98,"BEST_EPS","BEST_FPERIOD_OVERRIDE","1BF")</f>
        <v/>
      </c>
      <c r="L98" s="54">
        <f>_xll.BDP($A98,"BEST_EPS","BEST_FPERIOD_OVERRIDE","1BF","BEST_DATA_DATE_OVERRIDE",TEXT(YEAR($D$4),"0000")&amp;TEXT(MONTH($D$4),"00")&amp;TEXT(DAY($D$4),"00"))</f>
        <v/>
      </c>
      <c r="M98" s="54">
        <f>_xll.BDP($A98,"BEST_EPS","BEST_FPERIOD_OVERRIDE","1BF","BEST_DATA_DATE_OVERRIDE",TEXT(YEAR($E$4),"0000")&amp;TEXT(MONTH($E$4),"00")&amp;TEXT(DAY($E$4),"00"))</f>
        <v/>
      </c>
      <c r="N98" s="54">
        <f>_xll.BDP($A98,"BEST_EPS","BEST_FPERIOD_OVERRIDE","1BF","BEST_DATA_DATE_OVERRIDE",TEXT(YEAR($F$4),"0000")&amp;TEXT(MONTH($F$4),"00")&amp;TEXT(DAY($F$4),"00"))</f>
        <v/>
      </c>
      <c r="O98" s="22">
        <f>IFERROR(IF(AND(ISNUMBER($K98),ISNUMBER(L98),L98&lt;&gt;0),$K98/L98-1,""),"")</f>
        <v/>
      </c>
      <c r="P98" s="22">
        <f>IFERROR(IF(AND(ISNUMBER($K98),ISNUMBER(M98),M98&lt;&gt;0),$K98/M98-1,""),"")</f>
        <v/>
      </c>
      <c r="Q98" s="22">
        <f>IFERROR(IF(AND(ISNUMBER($K98),ISNUMBER(N98),N98&lt;&gt;0),$K98/N98-1,""),"")</f>
        <v/>
      </c>
    </row>
    <row r="99">
      <c r="A99" s="19">
        <f>Tickers!$D$98</f>
        <v/>
      </c>
      <c r="C99" s="30">
        <f>_xll.BDP($A99,"BEST_SALES","BEST_FPERIOD_OVERRIDE","1BF")</f>
        <v/>
      </c>
      <c r="D99" s="30">
        <f>_xll.BDP($A99,"BEST_SALES","BEST_FPERIOD_OVERRIDE","1BF","BEST_DATA_DATE_OVERRIDE",TEXT(YEAR($D$4),"0000")&amp;TEXT(MONTH($D$4),"00")&amp;TEXT(DAY($D$4),"00"))</f>
        <v/>
      </c>
      <c r="E99" s="30">
        <f>_xll.BDP($A99,"BEST_SALES","BEST_FPERIOD_OVERRIDE","1BF","BEST_DATA_DATE_OVERRIDE",TEXT(YEAR($E$4),"0000")&amp;TEXT(MONTH($E$4),"00")&amp;TEXT(DAY($E$4),"00"))</f>
        <v/>
      </c>
      <c r="F99" s="30">
        <f>_xll.BDP($A99,"BEST_SALES","BEST_FPERIOD_OVERRIDE","1BF","BEST_DATA_DATE_OVERRIDE",TEXT(YEAR($F$4),"0000")&amp;TEXT(MONTH($F$4),"00")&amp;TEXT(DAY($F$4),"00"))</f>
        <v/>
      </c>
      <c r="G99" s="22">
        <f>IFERROR(IF(AND(ISNUMBER($C99),ISNUMBER(D99),D99&lt;&gt;0),$C99/D99-1,""),"")</f>
        <v/>
      </c>
      <c r="H99" s="22">
        <f>IFERROR(IF(AND(ISNUMBER($C99),ISNUMBER(E99),E99&lt;&gt;0),$C99/E99-1,""),"")</f>
        <v/>
      </c>
      <c r="I99" s="22">
        <f>IFERROR(IF(AND(ISNUMBER($C99),ISNUMBER(F99),F99&lt;&gt;0),$C99/F99-1,""),"")</f>
        <v/>
      </c>
      <c r="K99" s="54">
        <f>_xll.BDP($A99,"BEST_EPS","BEST_FPERIOD_OVERRIDE","1BF")</f>
        <v/>
      </c>
      <c r="L99" s="54">
        <f>_xll.BDP($A99,"BEST_EPS","BEST_FPERIOD_OVERRIDE","1BF","BEST_DATA_DATE_OVERRIDE",TEXT(YEAR($D$4),"0000")&amp;TEXT(MONTH($D$4),"00")&amp;TEXT(DAY($D$4),"00"))</f>
        <v/>
      </c>
      <c r="M99" s="54">
        <f>_xll.BDP($A99,"BEST_EPS","BEST_FPERIOD_OVERRIDE","1BF","BEST_DATA_DATE_OVERRIDE",TEXT(YEAR($E$4),"0000")&amp;TEXT(MONTH($E$4),"00")&amp;TEXT(DAY($E$4),"00"))</f>
        <v/>
      </c>
      <c r="N99" s="54">
        <f>_xll.BDP($A99,"BEST_EPS","BEST_FPERIOD_OVERRIDE","1BF","BEST_DATA_DATE_OVERRIDE",TEXT(YEAR($F$4),"0000")&amp;TEXT(MONTH($F$4),"00")&amp;TEXT(DAY($F$4),"00"))</f>
        <v/>
      </c>
      <c r="O99" s="22">
        <f>IFERROR(IF(AND(ISNUMBER($K99),ISNUMBER(L99),L99&lt;&gt;0),$K99/L99-1,""),"")</f>
        <v/>
      </c>
      <c r="P99" s="22">
        <f>IFERROR(IF(AND(ISNUMBER($K99),ISNUMBER(M99),M99&lt;&gt;0),$K99/M99-1,""),"")</f>
        <v/>
      </c>
      <c r="Q99" s="22">
        <f>IFERROR(IF(AND(ISNUMBER($K99),ISNUMBER(N99),N99&lt;&gt;0),$K99/N99-1,""),"")</f>
        <v/>
      </c>
    </row>
    <row r="100">
      <c r="A100" s="19">
        <f>Tickers!$D$99</f>
        <v/>
      </c>
      <c r="C100" s="30">
        <f>_xll.BDP($A100,"BEST_SALES","BEST_FPERIOD_OVERRIDE","1BF")</f>
        <v/>
      </c>
      <c r="D100" s="30">
        <f>_xll.BDP($A100,"BEST_SALES","BEST_FPERIOD_OVERRIDE","1BF","BEST_DATA_DATE_OVERRIDE",TEXT(YEAR($D$4),"0000")&amp;TEXT(MONTH($D$4),"00")&amp;TEXT(DAY($D$4),"00"))</f>
        <v/>
      </c>
      <c r="E100" s="30">
        <f>_xll.BDP($A100,"BEST_SALES","BEST_FPERIOD_OVERRIDE","1BF","BEST_DATA_DATE_OVERRIDE",TEXT(YEAR($E$4),"0000")&amp;TEXT(MONTH($E$4),"00")&amp;TEXT(DAY($E$4),"00"))</f>
        <v/>
      </c>
      <c r="F100" s="30">
        <f>_xll.BDP($A100,"BEST_SALES","BEST_FPERIOD_OVERRIDE","1BF","BEST_DATA_DATE_OVERRIDE",TEXT(YEAR($F$4),"0000")&amp;TEXT(MONTH($F$4),"00")&amp;TEXT(DAY($F$4),"00"))</f>
        <v/>
      </c>
      <c r="G100" s="22">
        <f>IFERROR(IF(AND(ISNUMBER($C100),ISNUMBER(D100),D100&lt;&gt;0),$C100/D100-1,""),"")</f>
        <v/>
      </c>
      <c r="H100" s="22">
        <f>IFERROR(IF(AND(ISNUMBER($C100),ISNUMBER(E100),E100&lt;&gt;0),$C100/E100-1,""),"")</f>
        <v/>
      </c>
      <c r="I100" s="22">
        <f>IFERROR(IF(AND(ISNUMBER($C100),ISNUMBER(F100),F100&lt;&gt;0),$C100/F100-1,""),"")</f>
        <v/>
      </c>
      <c r="K100" s="54">
        <f>_xll.BDP($A100,"BEST_EPS","BEST_FPERIOD_OVERRIDE","1BF")</f>
        <v/>
      </c>
      <c r="L100" s="54">
        <f>_xll.BDP($A100,"BEST_EPS","BEST_FPERIOD_OVERRIDE","1BF","BEST_DATA_DATE_OVERRIDE",TEXT(YEAR($D$4),"0000")&amp;TEXT(MONTH($D$4),"00")&amp;TEXT(DAY($D$4),"00"))</f>
        <v/>
      </c>
      <c r="M100" s="54">
        <f>_xll.BDP($A100,"BEST_EPS","BEST_FPERIOD_OVERRIDE","1BF","BEST_DATA_DATE_OVERRIDE",TEXT(YEAR($E$4),"0000")&amp;TEXT(MONTH($E$4),"00")&amp;TEXT(DAY($E$4),"00"))</f>
        <v/>
      </c>
      <c r="N100" s="54">
        <f>_xll.BDP($A100,"BEST_EPS","BEST_FPERIOD_OVERRIDE","1BF","BEST_DATA_DATE_OVERRIDE",TEXT(YEAR($F$4),"0000")&amp;TEXT(MONTH($F$4),"00")&amp;TEXT(DAY($F$4),"00"))</f>
        <v/>
      </c>
      <c r="O100" s="22">
        <f>IFERROR(IF(AND(ISNUMBER($K100),ISNUMBER(L100),L100&lt;&gt;0),$K100/L100-1,""),"")</f>
        <v/>
      </c>
      <c r="P100" s="22">
        <f>IFERROR(IF(AND(ISNUMBER($K100),ISNUMBER(M100),M100&lt;&gt;0),$K100/M100-1,""),"")</f>
        <v/>
      </c>
      <c r="Q100" s="22">
        <f>IFERROR(IF(AND(ISNUMBER($K100),ISNUMBER(N100),N100&lt;&gt;0),$K100/N100-1,""),"")</f>
        <v/>
      </c>
    </row>
    <row r="101">
      <c r="A101" s="19">
        <f>Tickers!$D$100</f>
        <v/>
      </c>
      <c r="C101" s="30">
        <f>_xll.BDP($A101,"BEST_SALES","BEST_FPERIOD_OVERRIDE","1BF")</f>
        <v/>
      </c>
      <c r="D101" s="30">
        <f>_xll.BDP($A101,"BEST_SALES","BEST_FPERIOD_OVERRIDE","1BF","BEST_DATA_DATE_OVERRIDE",TEXT(YEAR($D$4),"0000")&amp;TEXT(MONTH($D$4),"00")&amp;TEXT(DAY($D$4),"00"))</f>
        <v/>
      </c>
      <c r="E101" s="30">
        <f>_xll.BDP($A101,"BEST_SALES","BEST_FPERIOD_OVERRIDE","1BF","BEST_DATA_DATE_OVERRIDE",TEXT(YEAR($E$4),"0000")&amp;TEXT(MONTH($E$4),"00")&amp;TEXT(DAY($E$4),"00"))</f>
        <v/>
      </c>
      <c r="F101" s="30">
        <f>_xll.BDP($A101,"BEST_SALES","BEST_FPERIOD_OVERRIDE","1BF","BEST_DATA_DATE_OVERRIDE",TEXT(YEAR($F$4),"0000")&amp;TEXT(MONTH($F$4),"00")&amp;TEXT(DAY($F$4),"00"))</f>
        <v/>
      </c>
      <c r="G101" s="22">
        <f>IFERROR(IF(AND(ISNUMBER($C101),ISNUMBER(D101),D101&lt;&gt;0),$C101/D101-1,""),"")</f>
        <v/>
      </c>
      <c r="H101" s="22">
        <f>IFERROR(IF(AND(ISNUMBER($C101),ISNUMBER(E101),E101&lt;&gt;0),$C101/E101-1,""),"")</f>
        <v/>
      </c>
      <c r="I101" s="22">
        <f>IFERROR(IF(AND(ISNUMBER($C101),ISNUMBER(F101),F101&lt;&gt;0),$C101/F101-1,""),"")</f>
        <v/>
      </c>
      <c r="K101" s="54">
        <f>_xll.BDP($A101,"BEST_EPS","BEST_FPERIOD_OVERRIDE","1BF")</f>
        <v/>
      </c>
      <c r="L101" s="54">
        <f>_xll.BDP($A101,"BEST_EPS","BEST_FPERIOD_OVERRIDE","1BF","BEST_DATA_DATE_OVERRIDE",TEXT(YEAR($D$4),"0000")&amp;TEXT(MONTH($D$4),"00")&amp;TEXT(DAY($D$4),"00"))</f>
        <v/>
      </c>
      <c r="M101" s="54">
        <f>_xll.BDP($A101,"BEST_EPS","BEST_FPERIOD_OVERRIDE","1BF","BEST_DATA_DATE_OVERRIDE",TEXT(YEAR($E$4),"0000")&amp;TEXT(MONTH($E$4),"00")&amp;TEXT(DAY($E$4),"00"))</f>
        <v/>
      </c>
      <c r="N101" s="54">
        <f>_xll.BDP($A101,"BEST_EPS","BEST_FPERIOD_OVERRIDE","1BF","BEST_DATA_DATE_OVERRIDE",TEXT(YEAR($F$4),"0000")&amp;TEXT(MONTH($F$4),"00")&amp;TEXT(DAY($F$4),"00"))</f>
        <v/>
      </c>
      <c r="O101" s="22">
        <f>IFERROR(IF(AND(ISNUMBER($K101),ISNUMBER(L101),L101&lt;&gt;0),$K101/L101-1,""),"")</f>
        <v/>
      </c>
      <c r="P101" s="22">
        <f>IFERROR(IF(AND(ISNUMBER($K101),ISNUMBER(M101),M101&lt;&gt;0),$K101/M101-1,""),"")</f>
        <v/>
      </c>
      <c r="Q101" s="22">
        <f>IFERROR(IF(AND(ISNUMBER($K101),ISNUMBER(N101),N101&lt;&gt;0),$K101/N101-1,""),"")</f>
        <v/>
      </c>
    </row>
    <row r="102">
      <c r="A102" s="19">
        <f>Tickers!$D$101</f>
        <v/>
      </c>
      <c r="C102" s="30">
        <f>_xll.BDP($A102,"BEST_SALES","BEST_FPERIOD_OVERRIDE","1BF")</f>
        <v/>
      </c>
      <c r="D102" s="30">
        <f>_xll.BDP($A102,"BEST_SALES","BEST_FPERIOD_OVERRIDE","1BF","BEST_DATA_DATE_OVERRIDE",TEXT(YEAR($D$4),"0000")&amp;TEXT(MONTH($D$4),"00")&amp;TEXT(DAY($D$4),"00"))</f>
        <v/>
      </c>
      <c r="E102" s="30">
        <f>_xll.BDP($A102,"BEST_SALES","BEST_FPERIOD_OVERRIDE","1BF","BEST_DATA_DATE_OVERRIDE",TEXT(YEAR($E$4),"0000")&amp;TEXT(MONTH($E$4),"00")&amp;TEXT(DAY($E$4),"00"))</f>
        <v/>
      </c>
      <c r="F102" s="30">
        <f>_xll.BDP($A102,"BEST_SALES","BEST_FPERIOD_OVERRIDE","1BF","BEST_DATA_DATE_OVERRIDE",TEXT(YEAR($F$4),"0000")&amp;TEXT(MONTH($F$4),"00")&amp;TEXT(DAY($F$4),"00"))</f>
        <v/>
      </c>
      <c r="G102" s="22">
        <f>IFERROR(IF(AND(ISNUMBER($C102),ISNUMBER(D102),D102&lt;&gt;0),$C102/D102-1,""),"")</f>
        <v/>
      </c>
      <c r="H102" s="22">
        <f>IFERROR(IF(AND(ISNUMBER($C102),ISNUMBER(E102),E102&lt;&gt;0),$C102/E102-1,""),"")</f>
        <v/>
      </c>
      <c r="I102" s="22">
        <f>IFERROR(IF(AND(ISNUMBER($C102),ISNUMBER(F102),F102&lt;&gt;0),$C102/F102-1,""),"")</f>
        <v/>
      </c>
      <c r="K102" s="54">
        <f>_xll.BDP($A102,"BEST_EPS","BEST_FPERIOD_OVERRIDE","1BF")</f>
        <v/>
      </c>
      <c r="L102" s="54">
        <f>_xll.BDP($A102,"BEST_EPS","BEST_FPERIOD_OVERRIDE","1BF","BEST_DATA_DATE_OVERRIDE",TEXT(YEAR($D$4),"0000")&amp;TEXT(MONTH($D$4),"00")&amp;TEXT(DAY($D$4),"00"))</f>
        <v/>
      </c>
      <c r="M102" s="54">
        <f>_xll.BDP($A102,"BEST_EPS","BEST_FPERIOD_OVERRIDE","1BF","BEST_DATA_DATE_OVERRIDE",TEXT(YEAR($E$4),"0000")&amp;TEXT(MONTH($E$4),"00")&amp;TEXT(DAY($E$4),"00"))</f>
        <v/>
      </c>
      <c r="N102" s="54">
        <f>_xll.BDP($A102,"BEST_EPS","BEST_FPERIOD_OVERRIDE","1BF","BEST_DATA_DATE_OVERRIDE",TEXT(YEAR($F$4),"0000")&amp;TEXT(MONTH($F$4),"00")&amp;TEXT(DAY($F$4),"00"))</f>
        <v/>
      </c>
      <c r="O102" s="22">
        <f>IFERROR(IF(AND(ISNUMBER($K102),ISNUMBER(L102),L102&lt;&gt;0),$K102/L102-1,""),"")</f>
        <v/>
      </c>
      <c r="P102" s="22">
        <f>IFERROR(IF(AND(ISNUMBER($K102),ISNUMBER(M102),M102&lt;&gt;0),$K102/M102-1,""),"")</f>
        <v/>
      </c>
      <c r="Q102" s="22">
        <f>IFERROR(IF(AND(ISNUMBER($K102),ISNUMBER(N102),N102&lt;&gt;0),$K102/N102-1,""),"")</f>
        <v/>
      </c>
    </row>
    <row r="103">
      <c r="A103" s="19">
        <f>Tickers!$D$102</f>
        <v/>
      </c>
      <c r="C103" s="30">
        <f>_xll.BDP($A103,"BEST_SALES","BEST_FPERIOD_OVERRIDE","1BF")</f>
        <v/>
      </c>
      <c r="D103" s="30">
        <f>_xll.BDP($A103,"BEST_SALES","BEST_FPERIOD_OVERRIDE","1BF","BEST_DATA_DATE_OVERRIDE",TEXT(YEAR($D$4),"0000")&amp;TEXT(MONTH($D$4),"00")&amp;TEXT(DAY($D$4),"00"))</f>
        <v/>
      </c>
      <c r="E103" s="30">
        <f>_xll.BDP($A103,"BEST_SALES","BEST_FPERIOD_OVERRIDE","1BF","BEST_DATA_DATE_OVERRIDE",TEXT(YEAR($E$4),"0000")&amp;TEXT(MONTH($E$4),"00")&amp;TEXT(DAY($E$4),"00"))</f>
        <v/>
      </c>
      <c r="F103" s="30">
        <f>_xll.BDP($A103,"BEST_SALES","BEST_FPERIOD_OVERRIDE","1BF","BEST_DATA_DATE_OVERRIDE",TEXT(YEAR($F$4),"0000")&amp;TEXT(MONTH($F$4),"00")&amp;TEXT(DAY($F$4),"00"))</f>
        <v/>
      </c>
      <c r="G103" s="22">
        <f>IFERROR(IF(AND(ISNUMBER($C103),ISNUMBER(D103),D103&lt;&gt;0),$C103/D103-1,""),"")</f>
        <v/>
      </c>
      <c r="H103" s="22">
        <f>IFERROR(IF(AND(ISNUMBER($C103),ISNUMBER(E103),E103&lt;&gt;0),$C103/E103-1,""),"")</f>
        <v/>
      </c>
      <c r="I103" s="22">
        <f>IFERROR(IF(AND(ISNUMBER($C103),ISNUMBER(F103),F103&lt;&gt;0),$C103/F103-1,""),"")</f>
        <v/>
      </c>
      <c r="K103" s="54">
        <f>_xll.BDP($A103,"BEST_EPS","BEST_FPERIOD_OVERRIDE","1BF")</f>
        <v/>
      </c>
      <c r="L103" s="54">
        <f>_xll.BDP($A103,"BEST_EPS","BEST_FPERIOD_OVERRIDE","1BF","BEST_DATA_DATE_OVERRIDE",TEXT(YEAR($D$4),"0000")&amp;TEXT(MONTH($D$4),"00")&amp;TEXT(DAY($D$4),"00"))</f>
        <v/>
      </c>
      <c r="M103" s="54">
        <f>_xll.BDP($A103,"BEST_EPS","BEST_FPERIOD_OVERRIDE","1BF","BEST_DATA_DATE_OVERRIDE",TEXT(YEAR($E$4),"0000")&amp;TEXT(MONTH($E$4),"00")&amp;TEXT(DAY($E$4),"00"))</f>
        <v/>
      </c>
      <c r="N103" s="54">
        <f>_xll.BDP($A103,"BEST_EPS","BEST_FPERIOD_OVERRIDE","1BF","BEST_DATA_DATE_OVERRIDE",TEXT(YEAR($F$4),"0000")&amp;TEXT(MONTH($F$4),"00")&amp;TEXT(DAY($F$4),"00"))</f>
        <v/>
      </c>
      <c r="O103" s="22">
        <f>IFERROR(IF(AND(ISNUMBER($K103),ISNUMBER(L103),L103&lt;&gt;0),$K103/L103-1,""),"")</f>
        <v/>
      </c>
      <c r="P103" s="22">
        <f>IFERROR(IF(AND(ISNUMBER($K103),ISNUMBER(M103),M103&lt;&gt;0),$K103/M103-1,""),"")</f>
        <v/>
      </c>
      <c r="Q103" s="22">
        <f>IFERROR(IF(AND(ISNUMBER($K103),ISNUMBER(N103),N103&lt;&gt;0),$K103/N103-1,""),"")</f>
        <v/>
      </c>
    </row>
    <row r="104">
      <c r="A104" s="19">
        <f>Tickers!$D$103</f>
        <v/>
      </c>
      <c r="C104" s="30">
        <f>_xll.BDP($A104,"BEST_SALES","BEST_FPERIOD_OVERRIDE","1BF")</f>
        <v/>
      </c>
      <c r="D104" s="30">
        <f>_xll.BDP($A104,"BEST_SALES","BEST_FPERIOD_OVERRIDE","1BF","BEST_DATA_DATE_OVERRIDE",TEXT(YEAR($D$4),"0000")&amp;TEXT(MONTH($D$4),"00")&amp;TEXT(DAY($D$4),"00"))</f>
        <v/>
      </c>
      <c r="E104" s="30">
        <f>_xll.BDP($A104,"BEST_SALES","BEST_FPERIOD_OVERRIDE","1BF","BEST_DATA_DATE_OVERRIDE",TEXT(YEAR($E$4),"0000")&amp;TEXT(MONTH($E$4),"00")&amp;TEXT(DAY($E$4),"00"))</f>
        <v/>
      </c>
      <c r="F104" s="30">
        <f>_xll.BDP($A104,"BEST_SALES","BEST_FPERIOD_OVERRIDE","1BF","BEST_DATA_DATE_OVERRIDE",TEXT(YEAR($F$4),"0000")&amp;TEXT(MONTH($F$4),"00")&amp;TEXT(DAY($F$4),"00"))</f>
        <v/>
      </c>
      <c r="G104" s="22">
        <f>IFERROR(IF(AND(ISNUMBER($C104),ISNUMBER(D104),D104&lt;&gt;0),$C104/D104-1,""),"")</f>
        <v/>
      </c>
      <c r="H104" s="22">
        <f>IFERROR(IF(AND(ISNUMBER($C104),ISNUMBER(E104),E104&lt;&gt;0),$C104/E104-1,""),"")</f>
        <v/>
      </c>
      <c r="I104" s="22">
        <f>IFERROR(IF(AND(ISNUMBER($C104),ISNUMBER(F104),F104&lt;&gt;0),$C104/F104-1,""),"")</f>
        <v/>
      </c>
      <c r="K104" s="54">
        <f>_xll.BDP($A104,"BEST_EPS","BEST_FPERIOD_OVERRIDE","1BF")</f>
        <v/>
      </c>
      <c r="L104" s="54">
        <f>_xll.BDP($A104,"BEST_EPS","BEST_FPERIOD_OVERRIDE","1BF","BEST_DATA_DATE_OVERRIDE",TEXT(YEAR($D$4),"0000")&amp;TEXT(MONTH($D$4),"00")&amp;TEXT(DAY($D$4),"00"))</f>
        <v/>
      </c>
      <c r="M104" s="54">
        <f>_xll.BDP($A104,"BEST_EPS","BEST_FPERIOD_OVERRIDE","1BF","BEST_DATA_DATE_OVERRIDE",TEXT(YEAR($E$4),"0000")&amp;TEXT(MONTH($E$4),"00")&amp;TEXT(DAY($E$4),"00"))</f>
        <v/>
      </c>
      <c r="N104" s="54">
        <f>_xll.BDP($A104,"BEST_EPS","BEST_FPERIOD_OVERRIDE","1BF","BEST_DATA_DATE_OVERRIDE",TEXT(YEAR($F$4),"0000")&amp;TEXT(MONTH($F$4),"00")&amp;TEXT(DAY($F$4),"00"))</f>
        <v/>
      </c>
      <c r="O104" s="22">
        <f>IFERROR(IF(AND(ISNUMBER($K104),ISNUMBER(L104),L104&lt;&gt;0),$K104/L104-1,""),"")</f>
        <v/>
      </c>
      <c r="P104" s="22">
        <f>IFERROR(IF(AND(ISNUMBER($K104),ISNUMBER(M104),M104&lt;&gt;0),$K104/M104-1,""),"")</f>
        <v/>
      </c>
      <c r="Q104" s="22">
        <f>IFERROR(IF(AND(ISNUMBER($K104),ISNUMBER(N104),N104&lt;&gt;0),$K104/N104-1,""),"")</f>
        <v/>
      </c>
    </row>
    <row r="105">
      <c r="A105" s="19">
        <f>Tickers!$D$104</f>
        <v/>
      </c>
      <c r="C105" s="30">
        <f>_xll.BDP($A105,"BEST_SALES","BEST_FPERIOD_OVERRIDE","1BF")</f>
        <v/>
      </c>
      <c r="D105" s="30">
        <f>_xll.BDP($A105,"BEST_SALES","BEST_FPERIOD_OVERRIDE","1BF","BEST_DATA_DATE_OVERRIDE",TEXT(YEAR($D$4),"0000")&amp;TEXT(MONTH($D$4),"00")&amp;TEXT(DAY($D$4),"00"))</f>
        <v/>
      </c>
      <c r="E105" s="30">
        <f>_xll.BDP($A105,"BEST_SALES","BEST_FPERIOD_OVERRIDE","1BF","BEST_DATA_DATE_OVERRIDE",TEXT(YEAR($E$4),"0000")&amp;TEXT(MONTH($E$4),"00")&amp;TEXT(DAY($E$4),"00"))</f>
        <v/>
      </c>
      <c r="F105" s="30">
        <f>_xll.BDP($A105,"BEST_SALES","BEST_FPERIOD_OVERRIDE","1BF","BEST_DATA_DATE_OVERRIDE",TEXT(YEAR($F$4),"0000")&amp;TEXT(MONTH($F$4),"00")&amp;TEXT(DAY($F$4),"00"))</f>
        <v/>
      </c>
      <c r="G105" s="22">
        <f>IFERROR(IF(AND(ISNUMBER($C105),ISNUMBER(D105),D105&lt;&gt;0),$C105/D105-1,""),"")</f>
        <v/>
      </c>
      <c r="H105" s="22">
        <f>IFERROR(IF(AND(ISNUMBER($C105),ISNUMBER(E105),E105&lt;&gt;0),$C105/E105-1,""),"")</f>
        <v/>
      </c>
      <c r="I105" s="22">
        <f>IFERROR(IF(AND(ISNUMBER($C105),ISNUMBER(F105),F105&lt;&gt;0),$C105/F105-1,""),"")</f>
        <v/>
      </c>
      <c r="K105" s="54">
        <f>_xll.BDP($A105,"BEST_EPS","BEST_FPERIOD_OVERRIDE","1BF")</f>
        <v/>
      </c>
      <c r="L105" s="54">
        <f>_xll.BDP($A105,"BEST_EPS","BEST_FPERIOD_OVERRIDE","1BF","BEST_DATA_DATE_OVERRIDE",TEXT(YEAR($D$4),"0000")&amp;TEXT(MONTH($D$4),"00")&amp;TEXT(DAY($D$4),"00"))</f>
        <v/>
      </c>
      <c r="M105" s="54">
        <f>_xll.BDP($A105,"BEST_EPS","BEST_FPERIOD_OVERRIDE","1BF","BEST_DATA_DATE_OVERRIDE",TEXT(YEAR($E$4),"0000")&amp;TEXT(MONTH($E$4),"00")&amp;TEXT(DAY($E$4),"00"))</f>
        <v/>
      </c>
      <c r="N105" s="54">
        <f>_xll.BDP($A105,"BEST_EPS","BEST_FPERIOD_OVERRIDE","1BF","BEST_DATA_DATE_OVERRIDE",TEXT(YEAR($F$4),"0000")&amp;TEXT(MONTH($F$4),"00")&amp;TEXT(DAY($F$4),"00"))</f>
        <v/>
      </c>
      <c r="O105" s="22">
        <f>IFERROR(IF(AND(ISNUMBER($K105),ISNUMBER(L105),L105&lt;&gt;0),$K105/L105-1,""),"")</f>
        <v/>
      </c>
      <c r="P105" s="22">
        <f>IFERROR(IF(AND(ISNUMBER($K105),ISNUMBER(M105),M105&lt;&gt;0),$K105/M105-1,""),"")</f>
        <v/>
      </c>
      <c r="Q105" s="22">
        <f>IFERROR(IF(AND(ISNUMBER($K105),ISNUMBER(N105),N105&lt;&gt;0),$K105/N105-1,""),"")</f>
        <v/>
      </c>
    </row>
    <row r="106">
      <c r="A106" s="19">
        <f>Tickers!$D$105</f>
        <v/>
      </c>
      <c r="C106" s="30">
        <f>_xll.BDP($A106,"BEST_SALES","BEST_FPERIOD_OVERRIDE","1BF")</f>
        <v/>
      </c>
      <c r="D106" s="30">
        <f>_xll.BDP($A106,"BEST_SALES","BEST_FPERIOD_OVERRIDE","1BF","BEST_DATA_DATE_OVERRIDE",TEXT(YEAR($D$4),"0000")&amp;TEXT(MONTH($D$4),"00")&amp;TEXT(DAY($D$4),"00"))</f>
        <v/>
      </c>
      <c r="E106" s="30">
        <f>_xll.BDP($A106,"BEST_SALES","BEST_FPERIOD_OVERRIDE","1BF","BEST_DATA_DATE_OVERRIDE",TEXT(YEAR($E$4),"0000")&amp;TEXT(MONTH($E$4),"00")&amp;TEXT(DAY($E$4),"00"))</f>
        <v/>
      </c>
      <c r="F106" s="30">
        <f>_xll.BDP($A106,"BEST_SALES","BEST_FPERIOD_OVERRIDE","1BF","BEST_DATA_DATE_OVERRIDE",TEXT(YEAR($F$4),"0000")&amp;TEXT(MONTH($F$4),"00")&amp;TEXT(DAY($F$4),"00"))</f>
        <v/>
      </c>
      <c r="G106" s="22">
        <f>IFERROR(IF(AND(ISNUMBER($C106),ISNUMBER(D106),D106&lt;&gt;0),$C106/D106-1,""),"")</f>
        <v/>
      </c>
      <c r="H106" s="22">
        <f>IFERROR(IF(AND(ISNUMBER($C106),ISNUMBER(E106),E106&lt;&gt;0),$C106/E106-1,""),"")</f>
        <v/>
      </c>
      <c r="I106" s="22">
        <f>IFERROR(IF(AND(ISNUMBER($C106),ISNUMBER(F106),F106&lt;&gt;0),$C106/F106-1,""),"")</f>
        <v/>
      </c>
      <c r="K106" s="54">
        <f>_xll.BDP($A106,"BEST_EPS","BEST_FPERIOD_OVERRIDE","1BF")</f>
        <v/>
      </c>
      <c r="L106" s="54">
        <f>_xll.BDP($A106,"BEST_EPS","BEST_FPERIOD_OVERRIDE","1BF","BEST_DATA_DATE_OVERRIDE",TEXT(YEAR($D$4),"0000")&amp;TEXT(MONTH($D$4),"00")&amp;TEXT(DAY($D$4),"00"))</f>
        <v/>
      </c>
      <c r="M106" s="54">
        <f>_xll.BDP($A106,"BEST_EPS","BEST_FPERIOD_OVERRIDE","1BF","BEST_DATA_DATE_OVERRIDE",TEXT(YEAR($E$4),"0000")&amp;TEXT(MONTH($E$4),"00")&amp;TEXT(DAY($E$4),"00"))</f>
        <v/>
      </c>
      <c r="N106" s="54">
        <f>_xll.BDP($A106,"BEST_EPS","BEST_FPERIOD_OVERRIDE","1BF","BEST_DATA_DATE_OVERRIDE",TEXT(YEAR($F$4),"0000")&amp;TEXT(MONTH($F$4),"00")&amp;TEXT(DAY($F$4),"00"))</f>
        <v/>
      </c>
      <c r="O106" s="22">
        <f>IFERROR(IF(AND(ISNUMBER($K106),ISNUMBER(L106),L106&lt;&gt;0),$K106/L106-1,""),"")</f>
        <v/>
      </c>
      <c r="P106" s="22">
        <f>IFERROR(IF(AND(ISNUMBER($K106),ISNUMBER(M106),M106&lt;&gt;0),$K106/M106-1,""),"")</f>
        <v/>
      </c>
      <c r="Q106" s="22">
        <f>IFERROR(IF(AND(ISNUMBER($K106),ISNUMBER(N106),N106&lt;&gt;0),$K106/N106-1,""),"")</f>
        <v/>
      </c>
    </row>
    <row r="107">
      <c r="A107" s="19">
        <f>Tickers!$D$106</f>
        <v/>
      </c>
      <c r="C107" s="30">
        <f>_xll.BDP($A107,"BEST_SALES","BEST_FPERIOD_OVERRIDE","1BF")</f>
        <v/>
      </c>
      <c r="D107" s="30">
        <f>_xll.BDP($A107,"BEST_SALES","BEST_FPERIOD_OVERRIDE","1BF","BEST_DATA_DATE_OVERRIDE",TEXT(YEAR($D$4),"0000")&amp;TEXT(MONTH($D$4),"00")&amp;TEXT(DAY($D$4),"00"))</f>
        <v/>
      </c>
      <c r="E107" s="30">
        <f>_xll.BDP($A107,"BEST_SALES","BEST_FPERIOD_OVERRIDE","1BF","BEST_DATA_DATE_OVERRIDE",TEXT(YEAR($E$4),"0000")&amp;TEXT(MONTH($E$4),"00")&amp;TEXT(DAY($E$4),"00"))</f>
        <v/>
      </c>
      <c r="F107" s="30">
        <f>_xll.BDP($A107,"BEST_SALES","BEST_FPERIOD_OVERRIDE","1BF","BEST_DATA_DATE_OVERRIDE",TEXT(YEAR($F$4),"0000")&amp;TEXT(MONTH($F$4),"00")&amp;TEXT(DAY($F$4),"00"))</f>
        <v/>
      </c>
      <c r="G107" s="22">
        <f>IFERROR(IF(AND(ISNUMBER($C107),ISNUMBER(D107),D107&lt;&gt;0),$C107/D107-1,""),"")</f>
        <v/>
      </c>
      <c r="H107" s="22">
        <f>IFERROR(IF(AND(ISNUMBER($C107),ISNUMBER(E107),E107&lt;&gt;0),$C107/E107-1,""),"")</f>
        <v/>
      </c>
      <c r="I107" s="22">
        <f>IFERROR(IF(AND(ISNUMBER($C107),ISNUMBER(F107),F107&lt;&gt;0),$C107/F107-1,""),"")</f>
        <v/>
      </c>
      <c r="K107" s="54">
        <f>_xll.BDP($A107,"BEST_EPS","BEST_FPERIOD_OVERRIDE","1BF")</f>
        <v/>
      </c>
      <c r="L107" s="54">
        <f>_xll.BDP($A107,"BEST_EPS","BEST_FPERIOD_OVERRIDE","1BF","BEST_DATA_DATE_OVERRIDE",TEXT(YEAR($D$4),"0000")&amp;TEXT(MONTH($D$4),"00")&amp;TEXT(DAY($D$4),"00"))</f>
        <v/>
      </c>
      <c r="M107" s="54">
        <f>_xll.BDP($A107,"BEST_EPS","BEST_FPERIOD_OVERRIDE","1BF","BEST_DATA_DATE_OVERRIDE",TEXT(YEAR($E$4),"0000")&amp;TEXT(MONTH($E$4),"00")&amp;TEXT(DAY($E$4),"00"))</f>
        <v/>
      </c>
      <c r="N107" s="54">
        <f>_xll.BDP($A107,"BEST_EPS","BEST_FPERIOD_OVERRIDE","1BF","BEST_DATA_DATE_OVERRIDE",TEXT(YEAR($F$4),"0000")&amp;TEXT(MONTH($F$4),"00")&amp;TEXT(DAY($F$4),"00"))</f>
        <v/>
      </c>
      <c r="O107" s="22">
        <f>IFERROR(IF(AND(ISNUMBER($K107),ISNUMBER(L107),L107&lt;&gt;0),$K107/L107-1,""),"")</f>
        <v/>
      </c>
      <c r="P107" s="22">
        <f>IFERROR(IF(AND(ISNUMBER($K107),ISNUMBER(M107),M107&lt;&gt;0),$K107/M107-1,""),"")</f>
        <v/>
      </c>
      <c r="Q107" s="22">
        <f>IFERROR(IF(AND(ISNUMBER($K107),ISNUMBER(N107),N107&lt;&gt;0),$K107/N107-1,""),"")</f>
        <v/>
      </c>
    </row>
    <row r="108">
      <c r="A108" s="19">
        <f>Tickers!$D$107</f>
        <v/>
      </c>
      <c r="C108" s="30">
        <f>_xll.BDP($A108,"BEST_SALES","BEST_FPERIOD_OVERRIDE","1BF")</f>
        <v/>
      </c>
      <c r="D108" s="30">
        <f>_xll.BDP($A108,"BEST_SALES","BEST_FPERIOD_OVERRIDE","1BF","BEST_DATA_DATE_OVERRIDE",TEXT(YEAR($D$4),"0000")&amp;TEXT(MONTH($D$4),"00")&amp;TEXT(DAY($D$4),"00"))</f>
        <v/>
      </c>
      <c r="E108" s="30">
        <f>_xll.BDP($A108,"BEST_SALES","BEST_FPERIOD_OVERRIDE","1BF","BEST_DATA_DATE_OVERRIDE",TEXT(YEAR($E$4),"0000")&amp;TEXT(MONTH($E$4),"00")&amp;TEXT(DAY($E$4),"00"))</f>
        <v/>
      </c>
      <c r="F108" s="30">
        <f>_xll.BDP($A108,"BEST_SALES","BEST_FPERIOD_OVERRIDE","1BF","BEST_DATA_DATE_OVERRIDE",TEXT(YEAR($F$4),"0000")&amp;TEXT(MONTH($F$4),"00")&amp;TEXT(DAY($F$4),"00"))</f>
        <v/>
      </c>
      <c r="G108" s="22">
        <f>IFERROR(IF(AND(ISNUMBER($C108),ISNUMBER(D108),D108&lt;&gt;0),$C108/D108-1,""),"")</f>
        <v/>
      </c>
      <c r="H108" s="22">
        <f>IFERROR(IF(AND(ISNUMBER($C108),ISNUMBER(E108),E108&lt;&gt;0),$C108/E108-1,""),"")</f>
        <v/>
      </c>
      <c r="I108" s="22">
        <f>IFERROR(IF(AND(ISNUMBER($C108),ISNUMBER(F108),F108&lt;&gt;0),$C108/F108-1,""),"")</f>
        <v/>
      </c>
      <c r="K108" s="54">
        <f>_xll.BDP($A108,"BEST_EPS","BEST_FPERIOD_OVERRIDE","1BF")</f>
        <v/>
      </c>
      <c r="L108" s="54">
        <f>_xll.BDP($A108,"BEST_EPS","BEST_FPERIOD_OVERRIDE","1BF","BEST_DATA_DATE_OVERRIDE",TEXT(YEAR($D$4),"0000")&amp;TEXT(MONTH($D$4),"00")&amp;TEXT(DAY($D$4),"00"))</f>
        <v/>
      </c>
      <c r="M108" s="54">
        <f>_xll.BDP($A108,"BEST_EPS","BEST_FPERIOD_OVERRIDE","1BF","BEST_DATA_DATE_OVERRIDE",TEXT(YEAR($E$4),"0000")&amp;TEXT(MONTH($E$4),"00")&amp;TEXT(DAY($E$4),"00"))</f>
        <v/>
      </c>
      <c r="N108" s="54">
        <f>_xll.BDP($A108,"BEST_EPS","BEST_FPERIOD_OVERRIDE","1BF","BEST_DATA_DATE_OVERRIDE",TEXT(YEAR($F$4),"0000")&amp;TEXT(MONTH($F$4),"00")&amp;TEXT(DAY($F$4),"00"))</f>
        <v/>
      </c>
      <c r="O108" s="22">
        <f>IFERROR(IF(AND(ISNUMBER($K108),ISNUMBER(L108),L108&lt;&gt;0),$K108/L108-1,""),"")</f>
        <v/>
      </c>
      <c r="P108" s="22">
        <f>IFERROR(IF(AND(ISNUMBER($K108),ISNUMBER(M108),M108&lt;&gt;0),$K108/M108-1,""),"")</f>
        <v/>
      </c>
      <c r="Q108" s="22">
        <f>IFERROR(IF(AND(ISNUMBER($K108),ISNUMBER(N108),N108&lt;&gt;0),$K108/N108-1,""),"")</f>
        <v/>
      </c>
    </row>
    <row r="109">
      <c r="A109" s="19">
        <f>Tickers!$D$108</f>
        <v/>
      </c>
      <c r="C109" s="30">
        <f>_xll.BDP($A109,"BEST_SALES","BEST_FPERIOD_OVERRIDE","1BF")</f>
        <v/>
      </c>
      <c r="D109" s="30">
        <f>_xll.BDP($A109,"BEST_SALES","BEST_FPERIOD_OVERRIDE","1BF","BEST_DATA_DATE_OVERRIDE",TEXT(YEAR($D$4),"0000")&amp;TEXT(MONTH($D$4),"00")&amp;TEXT(DAY($D$4),"00"))</f>
        <v/>
      </c>
      <c r="E109" s="30">
        <f>_xll.BDP($A109,"BEST_SALES","BEST_FPERIOD_OVERRIDE","1BF","BEST_DATA_DATE_OVERRIDE",TEXT(YEAR($E$4),"0000")&amp;TEXT(MONTH($E$4),"00")&amp;TEXT(DAY($E$4),"00"))</f>
        <v/>
      </c>
      <c r="F109" s="30">
        <f>_xll.BDP($A109,"BEST_SALES","BEST_FPERIOD_OVERRIDE","1BF","BEST_DATA_DATE_OVERRIDE",TEXT(YEAR($F$4),"0000")&amp;TEXT(MONTH($F$4),"00")&amp;TEXT(DAY($F$4),"00"))</f>
        <v/>
      </c>
      <c r="G109" s="22">
        <f>IFERROR(IF(AND(ISNUMBER($C109),ISNUMBER(D109),D109&lt;&gt;0),$C109/D109-1,""),"")</f>
        <v/>
      </c>
      <c r="H109" s="22">
        <f>IFERROR(IF(AND(ISNUMBER($C109),ISNUMBER(E109),E109&lt;&gt;0),$C109/E109-1,""),"")</f>
        <v/>
      </c>
      <c r="I109" s="22">
        <f>IFERROR(IF(AND(ISNUMBER($C109),ISNUMBER(F109),F109&lt;&gt;0),$C109/F109-1,""),"")</f>
        <v/>
      </c>
      <c r="K109" s="54">
        <f>_xll.BDP($A109,"BEST_EPS","BEST_FPERIOD_OVERRIDE","1BF")</f>
        <v/>
      </c>
      <c r="L109" s="54">
        <f>_xll.BDP($A109,"BEST_EPS","BEST_FPERIOD_OVERRIDE","1BF","BEST_DATA_DATE_OVERRIDE",TEXT(YEAR($D$4),"0000")&amp;TEXT(MONTH($D$4),"00")&amp;TEXT(DAY($D$4),"00"))</f>
        <v/>
      </c>
      <c r="M109" s="54">
        <f>_xll.BDP($A109,"BEST_EPS","BEST_FPERIOD_OVERRIDE","1BF","BEST_DATA_DATE_OVERRIDE",TEXT(YEAR($E$4),"0000")&amp;TEXT(MONTH($E$4),"00")&amp;TEXT(DAY($E$4),"00"))</f>
        <v/>
      </c>
      <c r="N109" s="54">
        <f>_xll.BDP($A109,"BEST_EPS","BEST_FPERIOD_OVERRIDE","1BF","BEST_DATA_DATE_OVERRIDE",TEXT(YEAR($F$4),"0000")&amp;TEXT(MONTH($F$4),"00")&amp;TEXT(DAY($F$4),"00"))</f>
        <v/>
      </c>
      <c r="O109" s="22">
        <f>IFERROR(IF(AND(ISNUMBER($K109),ISNUMBER(L109),L109&lt;&gt;0),$K109/L109-1,""),"")</f>
        <v/>
      </c>
      <c r="P109" s="22">
        <f>IFERROR(IF(AND(ISNUMBER($K109),ISNUMBER(M109),M109&lt;&gt;0),$K109/M109-1,""),"")</f>
        <v/>
      </c>
      <c r="Q109" s="22">
        <f>IFERROR(IF(AND(ISNUMBER($K109),ISNUMBER(N109),N109&lt;&gt;0),$K109/N109-1,""),"")</f>
        <v/>
      </c>
    </row>
    <row r="110">
      <c r="A110" s="19">
        <f>Tickers!$D$109</f>
        <v/>
      </c>
      <c r="C110" s="30">
        <f>_xll.BDP($A110,"BEST_SALES","BEST_FPERIOD_OVERRIDE","1BF")</f>
        <v/>
      </c>
      <c r="D110" s="30">
        <f>_xll.BDP($A110,"BEST_SALES","BEST_FPERIOD_OVERRIDE","1BF","BEST_DATA_DATE_OVERRIDE",TEXT(YEAR($D$4),"0000")&amp;TEXT(MONTH($D$4),"00")&amp;TEXT(DAY($D$4),"00"))</f>
        <v/>
      </c>
      <c r="E110" s="30">
        <f>_xll.BDP($A110,"BEST_SALES","BEST_FPERIOD_OVERRIDE","1BF","BEST_DATA_DATE_OVERRIDE",TEXT(YEAR($E$4),"0000")&amp;TEXT(MONTH($E$4),"00")&amp;TEXT(DAY($E$4),"00"))</f>
        <v/>
      </c>
      <c r="F110" s="30">
        <f>_xll.BDP($A110,"BEST_SALES","BEST_FPERIOD_OVERRIDE","1BF","BEST_DATA_DATE_OVERRIDE",TEXT(YEAR($F$4),"0000")&amp;TEXT(MONTH($F$4),"00")&amp;TEXT(DAY($F$4),"00"))</f>
        <v/>
      </c>
      <c r="G110" s="22">
        <f>IFERROR(IF(AND(ISNUMBER($C110),ISNUMBER(D110),D110&lt;&gt;0),$C110/D110-1,""),"")</f>
        <v/>
      </c>
      <c r="H110" s="22">
        <f>IFERROR(IF(AND(ISNUMBER($C110),ISNUMBER(E110),E110&lt;&gt;0),$C110/E110-1,""),"")</f>
        <v/>
      </c>
      <c r="I110" s="22">
        <f>IFERROR(IF(AND(ISNUMBER($C110),ISNUMBER(F110),F110&lt;&gt;0),$C110/F110-1,""),"")</f>
        <v/>
      </c>
      <c r="K110" s="54">
        <f>_xll.BDP($A110,"BEST_EPS","BEST_FPERIOD_OVERRIDE","1BF")</f>
        <v/>
      </c>
      <c r="L110" s="54">
        <f>_xll.BDP($A110,"BEST_EPS","BEST_FPERIOD_OVERRIDE","1BF","BEST_DATA_DATE_OVERRIDE",TEXT(YEAR($D$4),"0000")&amp;TEXT(MONTH($D$4),"00")&amp;TEXT(DAY($D$4),"00"))</f>
        <v/>
      </c>
      <c r="M110" s="54">
        <f>_xll.BDP($A110,"BEST_EPS","BEST_FPERIOD_OVERRIDE","1BF","BEST_DATA_DATE_OVERRIDE",TEXT(YEAR($E$4),"0000")&amp;TEXT(MONTH($E$4),"00")&amp;TEXT(DAY($E$4),"00"))</f>
        <v/>
      </c>
      <c r="N110" s="54">
        <f>_xll.BDP($A110,"BEST_EPS","BEST_FPERIOD_OVERRIDE","1BF","BEST_DATA_DATE_OVERRIDE",TEXT(YEAR($F$4),"0000")&amp;TEXT(MONTH($F$4),"00")&amp;TEXT(DAY($F$4),"00"))</f>
        <v/>
      </c>
      <c r="O110" s="22">
        <f>IFERROR(IF(AND(ISNUMBER($K110),ISNUMBER(L110),L110&lt;&gt;0),$K110/L110-1,""),"")</f>
        <v/>
      </c>
      <c r="P110" s="22">
        <f>IFERROR(IF(AND(ISNUMBER($K110),ISNUMBER(M110),M110&lt;&gt;0),$K110/M110-1,""),"")</f>
        <v/>
      </c>
      <c r="Q110" s="22">
        <f>IFERROR(IF(AND(ISNUMBER($K110),ISNUMBER(N110),N110&lt;&gt;0),$K110/N110-1,""),"")</f>
        <v/>
      </c>
    </row>
    <row r="111">
      <c r="A111" s="19">
        <f>Tickers!$D$110</f>
        <v/>
      </c>
      <c r="C111" s="30">
        <f>_xll.BDP($A111,"BEST_SALES","BEST_FPERIOD_OVERRIDE","1BF")</f>
        <v/>
      </c>
      <c r="D111" s="30">
        <f>_xll.BDP($A111,"BEST_SALES","BEST_FPERIOD_OVERRIDE","1BF","BEST_DATA_DATE_OVERRIDE",TEXT(YEAR($D$4),"0000")&amp;TEXT(MONTH($D$4),"00")&amp;TEXT(DAY($D$4),"00"))</f>
        <v/>
      </c>
      <c r="E111" s="30">
        <f>_xll.BDP($A111,"BEST_SALES","BEST_FPERIOD_OVERRIDE","1BF","BEST_DATA_DATE_OVERRIDE",TEXT(YEAR($E$4),"0000")&amp;TEXT(MONTH($E$4),"00")&amp;TEXT(DAY($E$4),"00"))</f>
        <v/>
      </c>
      <c r="F111" s="30">
        <f>_xll.BDP($A111,"BEST_SALES","BEST_FPERIOD_OVERRIDE","1BF","BEST_DATA_DATE_OVERRIDE",TEXT(YEAR($F$4),"0000")&amp;TEXT(MONTH($F$4),"00")&amp;TEXT(DAY($F$4),"00"))</f>
        <v/>
      </c>
      <c r="G111" s="22">
        <f>IFERROR(IF(AND(ISNUMBER($C111),ISNUMBER(D111),D111&lt;&gt;0),$C111/D111-1,""),"")</f>
        <v/>
      </c>
      <c r="H111" s="22">
        <f>IFERROR(IF(AND(ISNUMBER($C111),ISNUMBER(E111),E111&lt;&gt;0),$C111/E111-1,""),"")</f>
        <v/>
      </c>
      <c r="I111" s="22">
        <f>IFERROR(IF(AND(ISNUMBER($C111),ISNUMBER(F111),F111&lt;&gt;0),$C111/F111-1,""),"")</f>
        <v/>
      </c>
      <c r="K111" s="54">
        <f>_xll.BDP($A111,"BEST_EPS","BEST_FPERIOD_OVERRIDE","1BF")</f>
        <v/>
      </c>
      <c r="L111" s="54">
        <f>_xll.BDP($A111,"BEST_EPS","BEST_FPERIOD_OVERRIDE","1BF","BEST_DATA_DATE_OVERRIDE",TEXT(YEAR($D$4),"0000")&amp;TEXT(MONTH($D$4),"00")&amp;TEXT(DAY($D$4),"00"))</f>
        <v/>
      </c>
      <c r="M111" s="54">
        <f>_xll.BDP($A111,"BEST_EPS","BEST_FPERIOD_OVERRIDE","1BF","BEST_DATA_DATE_OVERRIDE",TEXT(YEAR($E$4),"0000")&amp;TEXT(MONTH($E$4),"00")&amp;TEXT(DAY($E$4),"00"))</f>
        <v/>
      </c>
      <c r="N111" s="54">
        <f>_xll.BDP($A111,"BEST_EPS","BEST_FPERIOD_OVERRIDE","1BF","BEST_DATA_DATE_OVERRIDE",TEXT(YEAR($F$4),"0000")&amp;TEXT(MONTH($F$4),"00")&amp;TEXT(DAY($F$4),"00"))</f>
        <v/>
      </c>
      <c r="O111" s="22">
        <f>IFERROR(IF(AND(ISNUMBER($K111),ISNUMBER(L111),L111&lt;&gt;0),$K111/L111-1,""),"")</f>
        <v/>
      </c>
      <c r="P111" s="22">
        <f>IFERROR(IF(AND(ISNUMBER($K111),ISNUMBER(M111),M111&lt;&gt;0),$K111/M111-1,""),"")</f>
        <v/>
      </c>
      <c r="Q111" s="22">
        <f>IFERROR(IF(AND(ISNUMBER($K111),ISNUMBER(N111),N111&lt;&gt;0),$K111/N111-1,""),"")</f>
        <v/>
      </c>
    </row>
    <row r="112">
      <c r="A112" s="19">
        <f>Tickers!$D$111</f>
        <v/>
      </c>
      <c r="C112" s="30">
        <f>_xll.BDP($A112,"BEST_SALES","BEST_FPERIOD_OVERRIDE","1BF")</f>
        <v/>
      </c>
      <c r="D112" s="30">
        <f>_xll.BDP($A112,"BEST_SALES","BEST_FPERIOD_OVERRIDE","1BF","BEST_DATA_DATE_OVERRIDE",TEXT(YEAR($D$4),"0000")&amp;TEXT(MONTH($D$4),"00")&amp;TEXT(DAY($D$4),"00"))</f>
        <v/>
      </c>
      <c r="E112" s="30">
        <f>_xll.BDP($A112,"BEST_SALES","BEST_FPERIOD_OVERRIDE","1BF","BEST_DATA_DATE_OVERRIDE",TEXT(YEAR($E$4),"0000")&amp;TEXT(MONTH($E$4),"00")&amp;TEXT(DAY($E$4),"00"))</f>
        <v/>
      </c>
      <c r="F112" s="30">
        <f>_xll.BDP($A112,"BEST_SALES","BEST_FPERIOD_OVERRIDE","1BF","BEST_DATA_DATE_OVERRIDE",TEXT(YEAR($F$4),"0000")&amp;TEXT(MONTH($F$4),"00")&amp;TEXT(DAY($F$4),"00"))</f>
        <v/>
      </c>
      <c r="G112" s="22">
        <f>IFERROR(IF(AND(ISNUMBER($C112),ISNUMBER(D112),D112&lt;&gt;0),$C112/D112-1,""),"")</f>
        <v/>
      </c>
      <c r="H112" s="22">
        <f>IFERROR(IF(AND(ISNUMBER($C112),ISNUMBER(E112),E112&lt;&gt;0),$C112/E112-1,""),"")</f>
        <v/>
      </c>
      <c r="I112" s="22">
        <f>IFERROR(IF(AND(ISNUMBER($C112),ISNUMBER(F112),F112&lt;&gt;0),$C112/F112-1,""),"")</f>
        <v/>
      </c>
      <c r="K112" s="54">
        <f>_xll.BDP($A112,"BEST_EPS","BEST_FPERIOD_OVERRIDE","1BF")</f>
        <v/>
      </c>
      <c r="L112" s="54">
        <f>_xll.BDP($A112,"BEST_EPS","BEST_FPERIOD_OVERRIDE","1BF","BEST_DATA_DATE_OVERRIDE",TEXT(YEAR($D$4),"0000")&amp;TEXT(MONTH($D$4),"00")&amp;TEXT(DAY($D$4),"00"))</f>
        <v/>
      </c>
      <c r="M112" s="54">
        <f>_xll.BDP($A112,"BEST_EPS","BEST_FPERIOD_OVERRIDE","1BF","BEST_DATA_DATE_OVERRIDE",TEXT(YEAR($E$4),"0000")&amp;TEXT(MONTH($E$4),"00")&amp;TEXT(DAY($E$4),"00"))</f>
        <v/>
      </c>
      <c r="N112" s="54">
        <f>_xll.BDP($A112,"BEST_EPS","BEST_FPERIOD_OVERRIDE","1BF","BEST_DATA_DATE_OVERRIDE",TEXT(YEAR($F$4),"0000")&amp;TEXT(MONTH($F$4),"00")&amp;TEXT(DAY($F$4),"00"))</f>
        <v/>
      </c>
      <c r="O112" s="22">
        <f>IFERROR(IF(AND(ISNUMBER($K112),ISNUMBER(L112),L112&lt;&gt;0),$K112/L112-1,""),"")</f>
        <v/>
      </c>
      <c r="P112" s="22">
        <f>IFERROR(IF(AND(ISNUMBER($K112),ISNUMBER(M112),M112&lt;&gt;0),$K112/M112-1,""),"")</f>
        <v/>
      </c>
      <c r="Q112" s="22">
        <f>IFERROR(IF(AND(ISNUMBER($K112),ISNUMBER(N112),N112&lt;&gt;0),$K112/N112-1,""),"")</f>
        <v/>
      </c>
    </row>
    <row r="113">
      <c r="A113" s="19">
        <f>Tickers!$D$112</f>
        <v/>
      </c>
      <c r="C113" s="30">
        <f>_xll.BDP($A113,"BEST_SALES","BEST_FPERIOD_OVERRIDE","1BF")</f>
        <v/>
      </c>
      <c r="D113" s="30">
        <f>_xll.BDP($A113,"BEST_SALES","BEST_FPERIOD_OVERRIDE","1BF","BEST_DATA_DATE_OVERRIDE",TEXT(YEAR($D$4),"0000")&amp;TEXT(MONTH($D$4),"00")&amp;TEXT(DAY($D$4),"00"))</f>
        <v/>
      </c>
      <c r="E113" s="30">
        <f>_xll.BDP($A113,"BEST_SALES","BEST_FPERIOD_OVERRIDE","1BF","BEST_DATA_DATE_OVERRIDE",TEXT(YEAR($E$4),"0000")&amp;TEXT(MONTH($E$4),"00")&amp;TEXT(DAY($E$4),"00"))</f>
        <v/>
      </c>
      <c r="F113" s="30">
        <f>_xll.BDP($A113,"BEST_SALES","BEST_FPERIOD_OVERRIDE","1BF","BEST_DATA_DATE_OVERRIDE",TEXT(YEAR($F$4),"0000")&amp;TEXT(MONTH($F$4),"00")&amp;TEXT(DAY($F$4),"00"))</f>
        <v/>
      </c>
      <c r="G113" s="22">
        <f>IFERROR(IF(AND(ISNUMBER($C113),ISNUMBER(D113),D113&lt;&gt;0),$C113/D113-1,""),"")</f>
        <v/>
      </c>
      <c r="H113" s="22">
        <f>IFERROR(IF(AND(ISNUMBER($C113),ISNUMBER(E113),E113&lt;&gt;0),$C113/E113-1,""),"")</f>
        <v/>
      </c>
      <c r="I113" s="22">
        <f>IFERROR(IF(AND(ISNUMBER($C113),ISNUMBER(F113),F113&lt;&gt;0),$C113/F113-1,""),"")</f>
        <v/>
      </c>
      <c r="K113" s="54">
        <f>_xll.BDP($A113,"BEST_EPS","BEST_FPERIOD_OVERRIDE","1BF")</f>
        <v/>
      </c>
      <c r="L113" s="54">
        <f>_xll.BDP($A113,"BEST_EPS","BEST_FPERIOD_OVERRIDE","1BF","BEST_DATA_DATE_OVERRIDE",TEXT(YEAR($D$4),"0000")&amp;TEXT(MONTH($D$4),"00")&amp;TEXT(DAY($D$4),"00"))</f>
        <v/>
      </c>
      <c r="M113" s="54">
        <f>_xll.BDP($A113,"BEST_EPS","BEST_FPERIOD_OVERRIDE","1BF","BEST_DATA_DATE_OVERRIDE",TEXT(YEAR($E$4),"0000")&amp;TEXT(MONTH($E$4),"00")&amp;TEXT(DAY($E$4),"00"))</f>
        <v/>
      </c>
      <c r="N113" s="54">
        <f>_xll.BDP($A113,"BEST_EPS","BEST_FPERIOD_OVERRIDE","1BF","BEST_DATA_DATE_OVERRIDE",TEXT(YEAR($F$4),"0000")&amp;TEXT(MONTH($F$4),"00")&amp;TEXT(DAY($F$4),"00"))</f>
        <v/>
      </c>
      <c r="O113" s="22">
        <f>IFERROR(IF(AND(ISNUMBER($K113),ISNUMBER(L113),L113&lt;&gt;0),$K113/L113-1,""),"")</f>
        <v/>
      </c>
      <c r="P113" s="22">
        <f>IFERROR(IF(AND(ISNUMBER($K113),ISNUMBER(M113),M113&lt;&gt;0),$K113/M113-1,""),"")</f>
        <v/>
      </c>
      <c r="Q113" s="22">
        <f>IFERROR(IF(AND(ISNUMBER($K113),ISNUMBER(N113),N113&lt;&gt;0),$K113/N113-1,""),"")</f>
        <v/>
      </c>
    </row>
    <row r="114">
      <c r="A114" s="19">
        <f>Tickers!$D$113</f>
        <v/>
      </c>
      <c r="C114" s="30">
        <f>_xll.BDP($A114,"BEST_SALES","BEST_FPERIOD_OVERRIDE","1BF")</f>
        <v/>
      </c>
      <c r="D114" s="30">
        <f>_xll.BDP($A114,"BEST_SALES","BEST_FPERIOD_OVERRIDE","1BF","BEST_DATA_DATE_OVERRIDE",TEXT(YEAR($D$4),"0000")&amp;TEXT(MONTH($D$4),"00")&amp;TEXT(DAY($D$4),"00"))</f>
        <v/>
      </c>
      <c r="E114" s="30">
        <f>_xll.BDP($A114,"BEST_SALES","BEST_FPERIOD_OVERRIDE","1BF","BEST_DATA_DATE_OVERRIDE",TEXT(YEAR($E$4),"0000")&amp;TEXT(MONTH($E$4),"00")&amp;TEXT(DAY($E$4),"00"))</f>
        <v/>
      </c>
      <c r="F114" s="30">
        <f>_xll.BDP($A114,"BEST_SALES","BEST_FPERIOD_OVERRIDE","1BF","BEST_DATA_DATE_OVERRIDE",TEXT(YEAR($F$4),"0000")&amp;TEXT(MONTH($F$4),"00")&amp;TEXT(DAY($F$4),"00"))</f>
        <v/>
      </c>
      <c r="G114" s="22">
        <f>IFERROR(IF(AND(ISNUMBER($C114),ISNUMBER(D114),D114&lt;&gt;0),$C114/D114-1,""),"")</f>
        <v/>
      </c>
      <c r="H114" s="22">
        <f>IFERROR(IF(AND(ISNUMBER($C114),ISNUMBER(E114),E114&lt;&gt;0),$C114/E114-1,""),"")</f>
        <v/>
      </c>
      <c r="I114" s="22">
        <f>IFERROR(IF(AND(ISNUMBER($C114),ISNUMBER(F114),F114&lt;&gt;0),$C114/F114-1,""),"")</f>
        <v/>
      </c>
      <c r="K114" s="54">
        <f>_xll.BDP($A114,"BEST_EPS","BEST_FPERIOD_OVERRIDE","1BF")</f>
        <v/>
      </c>
      <c r="L114" s="54">
        <f>_xll.BDP($A114,"BEST_EPS","BEST_FPERIOD_OVERRIDE","1BF","BEST_DATA_DATE_OVERRIDE",TEXT(YEAR($D$4),"0000")&amp;TEXT(MONTH($D$4),"00")&amp;TEXT(DAY($D$4),"00"))</f>
        <v/>
      </c>
      <c r="M114" s="54">
        <f>_xll.BDP($A114,"BEST_EPS","BEST_FPERIOD_OVERRIDE","1BF","BEST_DATA_DATE_OVERRIDE",TEXT(YEAR($E$4),"0000")&amp;TEXT(MONTH($E$4),"00")&amp;TEXT(DAY($E$4),"00"))</f>
        <v/>
      </c>
      <c r="N114" s="54">
        <f>_xll.BDP($A114,"BEST_EPS","BEST_FPERIOD_OVERRIDE","1BF","BEST_DATA_DATE_OVERRIDE",TEXT(YEAR($F$4),"0000")&amp;TEXT(MONTH($F$4),"00")&amp;TEXT(DAY($F$4),"00"))</f>
        <v/>
      </c>
      <c r="O114" s="22">
        <f>IFERROR(IF(AND(ISNUMBER($K114),ISNUMBER(L114),L114&lt;&gt;0),$K114/L114-1,""),"")</f>
        <v/>
      </c>
      <c r="P114" s="22">
        <f>IFERROR(IF(AND(ISNUMBER($K114),ISNUMBER(M114),M114&lt;&gt;0),$K114/M114-1,""),"")</f>
        <v/>
      </c>
      <c r="Q114" s="22">
        <f>IFERROR(IF(AND(ISNUMBER($K114),ISNUMBER(N114),N114&lt;&gt;0),$K114/N114-1,""),"")</f>
        <v/>
      </c>
    </row>
    <row r="115">
      <c r="A115" s="19">
        <f>Tickers!$D$114</f>
        <v/>
      </c>
      <c r="C115" s="30">
        <f>_xll.BDP($A115,"BEST_SALES","BEST_FPERIOD_OVERRIDE","1BF")</f>
        <v/>
      </c>
      <c r="D115" s="30">
        <f>_xll.BDP($A115,"BEST_SALES","BEST_FPERIOD_OVERRIDE","1BF","BEST_DATA_DATE_OVERRIDE",TEXT(YEAR($D$4),"0000")&amp;TEXT(MONTH($D$4),"00")&amp;TEXT(DAY($D$4),"00"))</f>
        <v/>
      </c>
      <c r="E115" s="30">
        <f>_xll.BDP($A115,"BEST_SALES","BEST_FPERIOD_OVERRIDE","1BF","BEST_DATA_DATE_OVERRIDE",TEXT(YEAR($E$4),"0000")&amp;TEXT(MONTH($E$4),"00")&amp;TEXT(DAY($E$4),"00"))</f>
        <v/>
      </c>
      <c r="F115" s="30">
        <f>_xll.BDP($A115,"BEST_SALES","BEST_FPERIOD_OVERRIDE","1BF","BEST_DATA_DATE_OVERRIDE",TEXT(YEAR($F$4),"0000")&amp;TEXT(MONTH($F$4),"00")&amp;TEXT(DAY($F$4),"00"))</f>
        <v/>
      </c>
      <c r="G115" s="22">
        <f>IFERROR(IF(AND(ISNUMBER($C115),ISNUMBER(D115),D115&lt;&gt;0),$C115/D115-1,""),"")</f>
        <v/>
      </c>
      <c r="H115" s="22">
        <f>IFERROR(IF(AND(ISNUMBER($C115),ISNUMBER(E115),E115&lt;&gt;0),$C115/E115-1,""),"")</f>
        <v/>
      </c>
      <c r="I115" s="22">
        <f>IFERROR(IF(AND(ISNUMBER($C115),ISNUMBER(F115),F115&lt;&gt;0),$C115/F115-1,""),"")</f>
        <v/>
      </c>
      <c r="K115" s="54">
        <f>_xll.BDP($A115,"BEST_EPS","BEST_FPERIOD_OVERRIDE","1BF")</f>
        <v/>
      </c>
      <c r="L115" s="54">
        <f>_xll.BDP($A115,"BEST_EPS","BEST_FPERIOD_OVERRIDE","1BF","BEST_DATA_DATE_OVERRIDE",TEXT(YEAR($D$4),"0000")&amp;TEXT(MONTH($D$4),"00")&amp;TEXT(DAY($D$4),"00"))</f>
        <v/>
      </c>
      <c r="M115" s="54">
        <f>_xll.BDP($A115,"BEST_EPS","BEST_FPERIOD_OVERRIDE","1BF","BEST_DATA_DATE_OVERRIDE",TEXT(YEAR($E$4),"0000")&amp;TEXT(MONTH($E$4),"00")&amp;TEXT(DAY($E$4),"00"))</f>
        <v/>
      </c>
      <c r="N115" s="54">
        <f>_xll.BDP($A115,"BEST_EPS","BEST_FPERIOD_OVERRIDE","1BF","BEST_DATA_DATE_OVERRIDE",TEXT(YEAR($F$4),"0000")&amp;TEXT(MONTH($F$4),"00")&amp;TEXT(DAY($F$4),"00"))</f>
        <v/>
      </c>
      <c r="O115" s="22">
        <f>IFERROR(IF(AND(ISNUMBER($K115),ISNUMBER(L115),L115&lt;&gt;0),$K115/L115-1,""),"")</f>
        <v/>
      </c>
      <c r="P115" s="22">
        <f>IFERROR(IF(AND(ISNUMBER($K115),ISNUMBER(M115),M115&lt;&gt;0),$K115/M115-1,""),"")</f>
        <v/>
      </c>
      <c r="Q115" s="22">
        <f>IFERROR(IF(AND(ISNUMBER($K115),ISNUMBER(N115),N115&lt;&gt;0),$K115/N115-1,""),"")</f>
        <v/>
      </c>
    </row>
    <row r="116">
      <c r="A116" s="19">
        <f>Tickers!$D$115</f>
        <v/>
      </c>
      <c r="C116" s="30">
        <f>_xll.BDP($A116,"BEST_SALES","BEST_FPERIOD_OVERRIDE","1BF")</f>
        <v/>
      </c>
      <c r="D116" s="30">
        <f>_xll.BDP($A116,"BEST_SALES","BEST_FPERIOD_OVERRIDE","1BF","BEST_DATA_DATE_OVERRIDE",TEXT(YEAR($D$4),"0000")&amp;TEXT(MONTH($D$4),"00")&amp;TEXT(DAY($D$4),"00"))</f>
        <v/>
      </c>
      <c r="E116" s="30">
        <f>_xll.BDP($A116,"BEST_SALES","BEST_FPERIOD_OVERRIDE","1BF","BEST_DATA_DATE_OVERRIDE",TEXT(YEAR($E$4),"0000")&amp;TEXT(MONTH($E$4),"00")&amp;TEXT(DAY($E$4),"00"))</f>
        <v/>
      </c>
      <c r="F116" s="30">
        <f>_xll.BDP($A116,"BEST_SALES","BEST_FPERIOD_OVERRIDE","1BF","BEST_DATA_DATE_OVERRIDE",TEXT(YEAR($F$4),"0000")&amp;TEXT(MONTH($F$4),"00")&amp;TEXT(DAY($F$4),"00"))</f>
        <v/>
      </c>
      <c r="G116" s="22">
        <f>IFERROR(IF(AND(ISNUMBER($C116),ISNUMBER(D116),D116&lt;&gt;0),$C116/D116-1,""),"")</f>
        <v/>
      </c>
      <c r="H116" s="22">
        <f>IFERROR(IF(AND(ISNUMBER($C116),ISNUMBER(E116),E116&lt;&gt;0),$C116/E116-1,""),"")</f>
        <v/>
      </c>
      <c r="I116" s="22">
        <f>IFERROR(IF(AND(ISNUMBER($C116),ISNUMBER(F116),F116&lt;&gt;0),$C116/F116-1,""),"")</f>
        <v/>
      </c>
      <c r="K116" s="54">
        <f>_xll.BDP($A116,"BEST_EPS","BEST_FPERIOD_OVERRIDE","1BF")</f>
        <v/>
      </c>
      <c r="L116" s="54">
        <f>_xll.BDP($A116,"BEST_EPS","BEST_FPERIOD_OVERRIDE","1BF","BEST_DATA_DATE_OVERRIDE",TEXT(YEAR($D$4),"0000")&amp;TEXT(MONTH($D$4),"00")&amp;TEXT(DAY($D$4),"00"))</f>
        <v/>
      </c>
      <c r="M116" s="54">
        <f>_xll.BDP($A116,"BEST_EPS","BEST_FPERIOD_OVERRIDE","1BF","BEST_DATA_DATE_OVERRIDE",TEXT(YEAR($E$4),"0000")&amp;TEXT(MONTH($E$4),"00")&amp;TEXT(DAY($E$4),"00"))</f>
        <v/>
      </c>
      <c r="N116" s="54">
        <f>_xll.BDP($A116,"BEST_EPS","BEST_FPERIOD_OVERRIDE","1BF","BEST_DATA_DATE_OVERRIDE",TEXT(YEAR($F$4),"0000")&amp;TEXT(MONTH($F$4),"00")&amp;TEXT(DAY($F$4),"00"))</f>
        <v/>
      </c>
      <c r="O116" s="22">
        <f>IFERROR(IF(AND(ISNUMBER($K116),ISNUMBER(L116),L116&lt;&gt;0),$K116/L116-1,""),"")</f>
        <v/>
      </c>
      <c r="P116" s="22">
        <f>IFERROR(IF(AND(ISNUMBER($K116),ISNUMBER(M116),M116&lt;&gt;0),$K116/M116-1,""),"")</f>
        <v/>
      </c>
      <c r="Q116" s="22">
        <f>IFERROR(IF(AND(ISNUMBER($K116),ISNUMBER(N116),N116&lt;&gt;0),$K116/N116-1,""),"")</f>
        <v/>
      </c>
    </row>
    <row r="117">
      <c r="A117" s="19">
        <f>Tickers!$D$116</f>
        <v/>
      </c>
      <c r="C117" s="30">
        <f>_xll.BDP($A117,"BEST_SALES","BEST_FPERIOD_OVERRIDE","1BF")</f>
        <v/>
      </c>
      <c r="D117" s="30">
        <f>_xll.BDP($A117,"BEST_SALES","BEST_FPERIOD_OVERRIDE","1BF","BEST_DATA_DATE_OVERRIDE",TEXT(YEAR($D$4),"0000")&amp;TEXT(MONTH($D$4),"00")&amp;TEXT(DAY($D$4),"00"))</f>
        <v/>
      </c>
      <c r="E117" s="30">
        <f>_xll.BDP($A117,"BEST_SALES","BEST_FPERIOD_OVERRIDE","1BF","BEST_DATA_DATE_OVERRIDE",TEXT(YEAR($E$4),"0000")&amp;TEXT(MONTH($E$4),"00")&amp;TEXT(DAY($E$4),"00"))</f>
        <v/>
      </c>
      <c r="F117" s="30">
        <f>_xll.BDP($A117,"BEST_SALES","BEST_FPERIOD_OVERRIDE","1BF","BEST_DATA_DATE_OVERRIDE",TEXT(YEAR($F$4),"0000")&amp;TEXT(MONTH($F$4),"00")&amp;TEXT(DAY($F$4),"00"))</f>
        <v/>
      </c>
      <c r="G117" s="22">
        <f>IFERROR(IF(AND(ISNUMBER($C117),ISNUMBER(D117),D117&lt;&gt;0),$C117/D117-1,""),"")</f>
        <v/>
      </c>
      <c r="H117" s="22">
        <f>IFERROR(IF(AND(ISNUMBER($C117),ISNUMBER(E117),E117&lt;&gt;0),$C117/E117-1,""),"")</f>
        <v/>
      </c>
      <c r="I117" s="22">
        <f>IFERROR(IF(AND(ISNUMBER($C117),ISNUMBER(F117),F117&lt;&gt;0),$C117/F117-1,""),"")</f>
        <v/>
      </c>
      <c r="K117" s="54">
        <f>_xll.BDP($A117,"BEST_EPS","BEST_FPERIOD_OVERRIDE","1BF")</f>
        <v/>
      </c>
      <c r="L117" s="54">
        <f>_xll.BDP($A117,"BEST_EPS","BEST_FPERIOD_OVERRIDE","1BF","BEST_DATA_DATE_OVERRIDE",TEXT(YEAR($D$4),"0000")&amp;TEXT(MONTH($D$4),"00")&amp;TEXT(DAY($D$4),"00"))</f>
        <v/>
      </c>
      <c r="M117" s="54">
        <f>_xll.BDP($A117,"BEST_EPS","BEST_FPERIOD_OVERRIDE","1BF","BEST_DATA_DATE_OVERRIDE",TEXT(YEAR($E$4),"0000")&amp;TEXT(MONTH($E$4),"00")&amp;TEXT(DAY($E$4),"00"))</f>
        <v/>
      </c>
      <c r="N117" s="54">
        <f>_xll.BDP($A117,"BEST_EPS","BEST_FPERIOD_OVERRIDE","1BF","BEST_DATA_DATE_OVERRIDE",TEXT(YEAR($F$4),"0000")&amp;TEXT(MONTH($F$4),"00")&amp;TEXT(DAY($F$4),"00"))</f>
        <v/>
      </c>
      <c r="O117" s="22">
        <f>IFERROR(IF(AND(ISNUMBER($K117),ISNUMBER(L117),L117&lt;&gt;0),$K117/L117-1,""),"")</f>
        <v/>
      </c>
      <c r="P117" s="22">
        <f>IFERROR(IF(AND(ISNUMBER($K117),ISNUMBER(M117),M117&lt;&gt;0),$K117/M117-1,""),"")</f>
        <v/>
      </c>
      <c r="Q117" s="22">
        <f>IFERROR(IF(AND(ISNUMBER($K117),ISNUMBER(N117),N117&lt;&gt;0),$K117/N117-1,""),"")</f>
        <v/>
      </c>
    </row>
    <row r="118">
      <c r="A118" s="19">
        <f>Tickers!$D$117</f>
        <v/>
      </c>
      <c r="C118" s="30">
        <f>_xll.BDP($A118,"BEST_SALES","BEST_FPERIOD_OVERRIDE","1BF")</f>
        <v/>
      </c>
      <c r="D118" s="30">
        <f>_xll.BDP($A118,"BEST_SALES","BEST_FPERIOD_OVERRIDE","1BF","BEST_DATA_DATE_OVERRIDE",TEXT(YEAR($D$4),"0000")&amp;TEXT(MONTH($D$4),"00")&amp;TEXT(DAY($D$4),"00"))</f>
        <v/>
      </c>
      <c r="E118" s="30">
        <f>_xll.BDP($A118,"BEST_SALES","BEST_FPERIOD_OVERRIDE","1BF","BEST_DATA_DATE_OVERRIDE",TEXT(YEAR($E$4),"0000")&amp;TEXT(MONTH($E$4),"00")&amp;TEXT(DAY($E$4),"00"))</f>
        <v/>
      </c>
      <c r="F118" s="30">
        <f>_xll.BDP($A118,"BEST_SALES","BEST_FPERIOD_OVERRIDE","1BF","BEST_DATA_DATE_OVERRIDE",TEXT(YEAR($F$4),"0000")&amp;TEXT(MONTH($F$4),"00")&amp;TEXT(DAY($F$4),"00"))</f>
        <v/>
      </c>
      <c r="G118" s="22">
        <f>IFERROR(IF(AND(ISNUMBER($C118),ISNUMBER(D118),D118&lt;&gt;0),$C118/D118-1,""),"")</f>
        <v/>
      </c>
      <c r="H118" s="22">
        <f>IFERROR(IF(AND(ISNUMBER($C118),ISNUMBER(E118),E118&lt;&gt;0),$C118/E118-1,""),"")</f>
        <v/>
      </c>
      <c r="I118" s="22">
        <f>IFERROR(IF(AND(ISNUMBER($C118),ISNUMBER(F118),F118&lt;&gt;0),$C118/F118-1,""),"")</f>
        <v/>
      </c>
      <c r="K118" s="54">
        <f>_xll.BDP($A118,"BEST_EPS","BEST_FPERIOD_OVERRIDE","1BF")</f>
        <v/>
      </c>
      <c r="L118" s="54">
        <f>_xll.BDP($A118,"BEST_EPS","BEST_FPERIOD_OVERRIDE","1BF","BEST_DATA_DATE_OVERRIDE",TEXT(YEAR($D$4),"0000")&amp;TEXT(MONTH($D$4),"00")&amp;TEXT(DAY($D$4),"00"))</f>
        <v/>
      </c>
      <c r="M118" s="54">
        <f>_xll.BDP($A118,"BEST_EPS","BEST_FPERIOD_OVERRIDE","1BF","BEST_DATA_DATE_OVERRIDE",TEXT(YEAR($E$4),"0000")&amp;TEXT(MONTH($E$4),"00")&amp;TEXT(DAY($E$4),"00"))</f>
        <v/>
      </c>
      <c r="N118" s="54">
        <f>_xll.BDP($A118,"BEST_EPS","BEST_FPERIOD_OVERRIDE","1BF","BEST_DATA_DATE_OVERRIDE",TEXT(YEAR($F$4),"0000")&amp;TEXT(MONTH($F$4),"00")&amp;TEXT(DAY($F$4),"00"))</f>
        <v/>
      </c>
      <c r="O118" s="22">
        <f>IFERROR(IF(AND(ISNUMBER($K118),ISNUMBER(L118),L118&lt;&gt;0),$K118/L118-1,""),"")</f>
        <v/>
      </c>
      <c r="P118" s="22">
        <f>IFERROR(IF(AND(ISNUMBER($K118),ISNUMBER(M118),M118&lt;&gt;0),$K118/M118-1,""),"")</f>
        <v/>
      </c>
      <c r="Q118" s="22">
        <f>IFERROR(IF(AND(ISNUMBER($K118),ISNUMBER(N118),N118&lt;&gt;0),$K118/N118-1,""),"")</f>
        <v/>
      </c>
    </row>
    <row r="119">
      <c r="A119" s="19">
        <f>Tickers!$D$118</f>
        <v/>
      </c>
      <c r="C119" s="30">
        <f>_xll.BDP($A119,"BEST_SALES","BEST_FPERIOD_OVERRIDE","1BF")</f>
        <v/>
      </c>
      <c r="D119" s="30">
        <f>_xll.BDP($A119,"BEST_SALES","BEST_FPERIOD_OVERRIDE","1BF","BEST_DATA_DATE_OVERRIDE",TEXT(YEAR($D$4),"0000")&amp;TEXT(MONTH($D$4),"00")&amp;TEXT(DAY($D$4),"00"))</f>
        <v/>
      </c>
      <c r="E119" s="30">
        <f>_xll.BDP($A119,"BEST_SALES","BEST_FPERIOD_OVERRIDE","1BF","BEST_DATA_DATE_OVERRIDE",TEXT(YEAR($E$4),"0000")&amp;TEXT(MONTH($E$4),"00")&amp;TEXT(DAY($E$4),"00"))</f>
        <v/>
      </c>
      <c r="F119" s="30">
        <f>_xll.BDP($A119,"BEST_SALES","BEST_FPERIOD_OVERRIDE","1BF","BEST_DATA_DATE_OVERRIDE",TEXT(YEAR($F$4),"0000")&amp;TEXT(MONTH($F$4),"00")&amp;TEXT(DAY($F$4),"00"))</f>
        <v/>
      </c>
      <c r="G119" s="22">
        <f>IFERROR(IF(AND(ISNUMBER($C119),ISNUMBER(D119),D119&lt;&gt;0),$C119/D119-1,""),"")</f>
        <v/>
      </c>
      <c r="H119" s="22">
        <f>IFERROR(IF(AND(ISNUMBER($C119),ISNUMBER(E119),E119&lt;&gt;0),$C119/E119-1,""),"")</f>
        <v/>
      </c>
      <c r="I119" s="22">
        <f>IFERROR(IF(AND(ISNUMBER($C119),ISNUMBER(F119),F119&lt;&gt;0),$C119/F119-1,""),"")</f>
        <v/>
      </c>
      <c r="K119" s="54">
        <f>_xll.BDP($A119,"BEST_EPS","BEST_FPERIOD_OVERRIDE","1BF")</f>
        <v/>
      </c>
      <c r="L119" s="54">
        <f>_xll.BDP($A119,"BEST_EPS","BEST_FPERIOD_OVERRIDE","1BF","BEST_DATA_DATE_OVERRIDE",TEXT(YEAR($D$4),"0000")&amp;TEXT(MONTH($D$4),"00")&amp;TEXT(DAY($D$4),"00"))</f>
        <v/>
      </c>
      <c r="M119" s="54">
        <f>_xll.BDP($A119,"BEST_EPS","BEST_FPERIOD_OVERRIDE","1BF","BEST_DATA_DATE_OVERRIDE",TEXT(YEAR($E$4),"0000")&amp;TEXT(MONTH($E$4),"00")&amp;TEXT(DAY($E$4),"00"))</f>
        <v/>
      </c>
      <c r="N119" s="54">
        <f>_xll.BDP($A119,"BEST_EPS","BEST_FPERIOD_OVERRIDE","1BF","BEST_DATA_DATE_OVERRIDE",TEXT(YEAR($F$4),"0000")&amp;TEXT(MONTH($F$4),"00")&amp;TEXT(DAY($F$4),"00"))</f>
        <v/>
      </c>
      <c r="O119" s="22">
        <f>IFERROR(IF(AND(ISNUMBER($K119),ISNUMBER(L119),L119&lt;&gt;0),$K119/L119-1,""),"")</f>
        <v/>
      </c>
      <c r="P119" s="22">
        <f>IFERROR(IF(AND(ISNUMBER($K119),ISNUMBER(M119),M119&lt;&gt;0),$K119/M119-1,""),"")</f>
        <v/>
      </c>
      <c r="Q119" s="22">
        <f>IFERROR(IF(AND(ISNUMBER($K119),ISNUMBER(N119),N119&lt;&gt;0),$K119/N119-1,""),"")</f>
        <v/>
      </c>
    </row>
    <row r="120">
      <c r="A120" s="19">
        <f>Tickers!$D$119</f>
        <v/>
      </c>
      <c r="C120" s="30">
        <f>_xll.BDP($A120,"BEST_SALES","BEST_FPERIOD_OVERRIDE","1BF")</f>
        <v/>
      </c>
      <c r="D120" s="30">
        <f>_xll.BDP($A120,"BEST_SALES","BEST_FPERIOD_OVERRIDE","1BF","BEST_DATA_DATE_OVERRIDE",TEXT(YEAR($D$4),"0000")&amp;TEXT(MONTH($D$4),"00")&amp;TEXT(DAY($D$4),"00"))</f>
        <v/>
      </c>
      <c r="E120" s="30">
        <f>_xll.BDP($A120,"BEST_SALES","BEST_FPERIOD_OVERRIDE","1BF","BEST_DATA_DATE_OVERRIDE",TEXT(YEAR($E$4),"0000")&amp;TEXT(MONTH($E$4),"00")&amp;TEXT(DAY($E$4),"00"))</f>
        <v/>
      </c>
      <c r="F120" s="30">
        <f>_xll.BDP($A120,"BEST_SALES","BEST_FPERIOD_OVERRIDE","1BF","BEST_DATA_DATE_OVERRIDE",TEXT(YEAR($F$4),"0000")&amp;TEXT(MONTH($F$4),"00")&amp;TEXT(DAY($F$4),"00"))</f>
        <v/>
      </c>
      <c r="G120" s="22">
        <f>IFERROR(IF(AND(ISNUMBER($C120),ISNUMBER(D120),D120&lt;&gt;0),$C120/D120-1,""),"")</f>
        <v/>
      </c>
      <c r="H120" s="22">
        <f>IFERROR(IF(AND(ISNUMBER($C120),ISNUMBER(E120),E120&lt;&gt;0),$C120/E120-1,""),"")</f>
        <v/>
      </c>
      <c r="I120" s="22">
        <f>IFERROR(IF(AND(ISNUMBER($C120),ISNUMBER(F120),F120&lt;&gt;0),$C120/F120-1,""),"")</f>
        <v/>
      </c>
      <c r="K120" s="54">
        <f>_xll.BDP($A120,"BEST_EPS","BEST_FPERIOD_OVERRIDE","1BF")</f>
        <v/>
      </c>
      <c r="L120" s="54">
        <f>_xll.BDP($A120,"BEST_EPS","BEST_FPERIOD_OVERRIDE","1BF","BEST_DATA_DATE_OVERRIDE",TEXT(YEAR($D$4),"0000")&amp;TEXT(MONTH($D$4),"00")&amp;TEXT(DAY($D$4),"00"))</f>
        <v/>
      </c>
      <c r="M120" s="54">
        <f>_xll.BDP($A120,"BEST_EPS","BEST_FPERIOD_OVERRIDE","1BF","BEST_DATA_DATE_OVERRIDE",TEXT(YEAR($E$4),"0000")&amp;TEXT(MONTH($E$4),"00")&amp;TEXT(DAY($E$4),"00"))</f>
        <v/>
      </c>
      <c r="N120" s="54">
        <f>_xll.BDP($A120,"BEST_EPS","BEST_FPERIOD_OVERRIDE","1BF","BEST_DATA_DATE_OVERRIDE",TEXT(YEAR($F$4),"0000")&amp;TEXT(MONTH($F$4),"00")&amp;TEXT(DAY($F$4),"00"))</f>
        <v/>
      </c>
      <c r="O120" s="22">
        <f>IFERROR(IF(AND(ISNUMBER($K120),ISNUMBER(L120),L120&lt;&gt;0),$K120/L120-1,""),"")</f>
        <v/>
      </c>
      <c r="P120" s="22">
        <f>IFERROR(IF(AND(ISNUMBER($K120),ISNUMBER(M120),M120&lt;&gt;0),$K120/M120-1,""),"")</f>
        <v/>
      </c>
      <c r="Q120" s="22">
        <f>IFERROR(IF(AND(ISNUMBER($K120),ISNUMBER(N120),N120&lt;&gt;0),$K120/N120-1,""),"")</f>
        <v/>
      </c>
    </row>
    <row r="121">
      <c r="A121" s="19">
        <f>Tickers!$D$120</f>
        <v/>
      </c>
      <c r="C121" s="30">
        <f>_xll.BDP($A121,"BEST_SALES","BEST_FPERIOD_OVERRIDE","1BF")</f>
        <v/>
      </c>
      <c r="D121" s="30">
        <f>_xll.BDP($A121,"BEST_SALES","BEST_FPERIOD_OVERRIDE","1BF","BEST_DATA_DATE_OVERRIDE",TEXT(YEAR($D$4),"0000")&amp;TEXT(MONTH($D$4),"00")&amp;TEXT(DAY($D$4),"00"))</f>
        <v/>
      </c>
      <c r="E121" s="30">
        <f>_xll.BDP($A121,"BEST_SALES","BEST_FPERIOD_OVERRIDE","1BF","BEST_DATA_DATE_OVERRIDE",TEXT(YEAR($E$4),"0000")&amp;TEXT(MONTH($E$4),"00")&amp;TEXT(DAY($E$4),"00"))</f>
        <v/>
      </c>
      <c r="F121" s="30">
        <f>_xll.BDP($A121,"BEST_SALES","BEST_FPERIOD_OVERRIDE","1BF","BEST_DATA_DATE_OVERRIDE",TEXT(YEAR($F$4),"0000")&amp;TEXT(MONTH($F$4),"00")&amp;TEXT(DAY($F$4),"00"))</f>
        <v/>
      </c>
      <c r="G121" s="22">
        <f>IFERROR(IF(AND(ISNUMBER($C121),ISNUMBER(D121),D121&lt;&gt;0),$C121/D121-1,""),"")</f>
        <v/>
      </c>
      <c r="H121" s="22">
        <f>IFERROR(IF(AND(ISNUMBER($C121),ISNUMBER(E121),E121&lt;&gt;0),$C121/E121-1,""),"")</f>
        <v/>
      </c>
      <c r="I121" s="22">
        <f>IFERROR(IF(AND(ISNUMBER($C121),ISNUMBER(F121),F121&lt;&gt;0),$C121/F121-1,""),"")</f>
        <v/>
      </c>
      <c r="K121" s="54">
        <f>_xll.BDP($A121,"BEST_EPS","BEST_FPERIOD_OVERRIDE","1BF")</f>
        <v/>
      </c>
      <c r="L121" s="54">
        <f>_xll.BDP($A121,"BEST_EPS","BEST_FPERIOD_OVERRIDE","1BF","BEST_DATA_DATE_OVERRIDE",TEXT(YEAR($D$4),"0000")&amp;TEXT(MONTH($D$4),"00")&amp;TEXT(DAY($D$4),"00"))</f>
        <v/>
      </c>
      <c r="M121" s="54">
        <f>_xll.BDP($A121,"BEST_EPS","BEST_FPERIOD_OVERRIDE","1BF","BEST_DATA_DATE_OVERRIDE",TEXT(YEAR($E$4),"0000")&amp;TEXT(MONTH($E$4),"00")&amp;TEXT(DAY($E$4),"00"))</f>
        <v/>
      </c>
      <c r="N121" s="54">
        <f>_xll.BDP($A121,"BEST_EPS","BEST_FPERIOD_OVERRIDE","1BF","BEST_DATA_DATE_OVERRIDE",TEXT(YEAR($F$4),"0000")&amp;TEXT(MONTH($F$4),"00")&amp;TEXT(DAY($F$4),"00"))</f>
        <v/>
      </c>
      <c r="O121" s="22">
        <f>IFERROR(IF(AND(ISNUMBER($K121),ISNUMBER(L121),L121&lt;&gt;0),$K121/L121-1,""),"")</f>
        <v/>
      </c>
      <c r="P121" s="22">
        <f>IFERROR(IF(AND(ISNUMBER($K121),ISNUMBER(M121),M121&lt;&gt;0),$K121/M121-1,""),"")</f>
        <v/>
      </c>
      <c r="Q121" s="22">
        <f>IFERROR(IF(AND(ISNUMBER($K121),ISNUMBER(N121),N121&lt;&gt;0),$K121/N121-1,""),"")</f>
        <v/>
      </c>
    </row>
    <row r="122">
      <c r="A122" s="19">
        <f>Tickers!$D$121</f>
        <v/>
      </c>
      <c r="C122" s="30">
        <f>_xll.BDP($A122,"BEST_SALES","BEST_FPERIOD_OVERRIDE","1BF")</f>
        <v/>
      </c>
      <c r="D122" s="30">
        <f>_xll.BDP($A122,"BEST_SALES","BEST_FPERIOD_OVERRIDE","1BF","BEST_DATA_DATE_OVERRIDE",TEXT(YEAR($D$4),"0000")&amp;TEXT(MONTH($D$4),"00")&amp;TEXT(DAY($D$4),"00"))</f>
        <v/>
      </c>
      <c r="E122" s="30">
        <f>_xll.BDP($A122,"BEST_SALES","BEST_FPERIOD_OVERRIDE","1BF","BEST_DATA_DATE_OVERRIDE",TEXT(YEAR($E$4),"0000")&amp;TEXT(MONTH($E$4),"00")&amp;TEXT(DAY($E$4),"00"))</f>
        <v/>
      </c>
      <c r="F122" s="30">
        <f>_xll.BDP($A122,"BEST_SALES","BEST_FPERIOD_OVERRIDE","1BF","BEST_DATA_DATE_OVERRIDE",TEXT(YEAR($F$4),"0000")&amp;TEXT(MONTH($F$4),"00")&amp;TEXT(DAY($F$4),"00"))</f>
        <v/>
      </c>
      <c r="G122" s="22">
        <f>IFERROR(IF(AND(ISNUMBER($C122),ISNUMBER(D122),D122&lt;&gt;0),$C122/D122-1,""),"")</f>
        <v/>
      </c>
      <c r="H122" s="22">
        <f>IFERROR(IF(AND(ISNUMBER($C122),ISNUMBER(E122),E122&lt;&gt;0),$C122/E122-1,""),"")</f>
        <v/>
      </c>
      <c r="I122" s="22">
        <f>IFERROR(IF(AND(ISNUMBER($C122),ISNUMBER(F122),F122&lt;&gt;0),$C122/F122-1,""),"")</f>
        <v/>
      </c>
      <c r="K122" s="54">
        <f>_xll.BDP($A122,"BEST_EPS","BEST_FPERIOD_OVERRIDE","1BF")</f>
        <v/>
      </c>
      <c r="L122" s="54">
        <f>_xll.BDP($A122,"BEST_EPS","BEST_FPERIOD_OVERRIDE","1BF","BEST_DATA_DATE_OVERRIDE",TEXT(YEAR($D$4),"0000")&amp;TEXT(MONTH($D$4),"00")&amp;TEXT(DAY($D$4),"00"))</f>
        <v/>
      </c>
      <c r="M122" s="54">
        <f>_xll.BDP($A122,"BEST_EPS","BEST_FPERIOD_OVERRIDE","1BF","BEST_DATA_DATE_OVERRIDE",TEXT(YEAR($E$4),"0000")&amp;TEXT(MONTH($E$4),"00")&amp;TEXT(DAY($E$4),"00"))</f>
        <v/>
      </c>
      <c r="N122" s="54">
        <f>_xll.BDP($A122,"BEST_EPS","BEST_FPERIOD_OVERRIDE","1BF","BEST_DATA_DATE_OVERRIDE",TEXT(YEAR($F$4),"0000")&amp;TEXT(MONTH($F$4),"00")&amp;TEXT(DAY($F$4),"00"))</f>
        <v/>
      </c>
      <c r="O122" s="22">
        <f>IFERROR(IF(AND(ISNUMBER($K122),ISNUMBER(L122),L122&lt;&gt;0),$K122/L122-1,""),"")</f>
        <v/>
      </c>
      <c r="P122" s="22">
        <f>IFERROR(IF(AND(ISNUMBER($K122),ISNUMBER(M122),M122&lt;&gt;0),$K122/M122-1,""),"")</f>
        <v/>
      </c>
      <c r="Q122" s="22">
        <f>IFERROR(IF(AND(ISNUMBER($K122),ISNUMBER(N122),N122&lt;&gt;0),$K122/N122-1,""),"")</f>
        <v/>
      </c>
    </row>
    <row r="123">
      <c r="A123" s="19">
        <f>Tickers!$D$122</f>
        <v/>
      </c>
      <c r="C123" s="30">
        <f>_xll.BDP($A123,"BEST_SALES","BEST_FPERIOD_OVERRIDE","1BF")</f>
        <v/>
      </c>
      <c r="D123" s="30">
        <f>_xll.BDP($A123,"BEST_SALES","BEST_FPERIOD_OVERRIDE","1BF","BEST_DATA_DATE_OVERRIDE",TEXT(YEAR($D$4),"0000")&amp;TEXT(MONTH($D$4),"00")&amp;TEXT(DAY($D$4),"00"))</f>
        <v/>
      </c>
      <c r="E123" s="30">
        <f>_xll.BDP($A123,"BEST_SALES","BEST_FPERIOD_OVERRIDE","1BF","BEST_DATA_DATE_OVERRIDE",TEXT(YEAR($E$4),"0000")&amp;TEXT(MONTH($E$4),"00")&amp;TEXT(DAY($E$4),"00"))</f>
        <v/>
      </c>
      <c r="F123" s="30">
        <f>_xll.BDP($A123,"BEST_SALES","BEST_FPERIOD_OVERRIDE","1BF","BEST_DATA_DATE_OVERRIDE",TEXT(YEAR($F$4),"0000")&amp;TEXT(MONTH($F$4),"00")&amp;TEXT(DAY($F$4),"00"))</f>
        <v/>
      </c>
      <c r="G123" s="22">
        <f>IFERROR(IF(AND(ISNUMBER($C123),ISNUMBER(D123),D123&lt;&gt;0),$C123/D123-1,""),"")</f>
        <v/>
      </c>
      <c r="H123" s="22">
        <f>IFERROR(IF(AND(ISNUMBER($C123),ISNUMBER(E123),E123&lt;&gt;0),$C123/E123-1,""),"")</f>
        <v/>
      </c>
      <c r="I123" s="22">
        <f>IFERROR(IF(AND(ISNUMBER($C123),ISNUMBER(F123),F123&lt;&gt;0),$C123/F123-1,""),"")</f>
        <v/>
      </c>
      <c r="K123" s="54">
        <f>_xll.BDP($A123,"BEST_EPS","BEST_FPERIOD_OVERRIDE","1BF")</f>
        <v/>
      </c>
      <c r="L123" s="54">
        <f>_xll.BDP($A123,"BEST_EPS","BEST_FPERIOD_OVERRIDE","1BF","BEST_DATA_DATE_OVERRIDE",TEXT(YEAR($D$4),"0000")&amp;TEXT(MONTH($D$4),"00")&amp;TEXT(DAY($D$4),"00"))</f>
        <v/>
      </c>
      <c r="M123" s="54">
        <f>_xll.BDP($A123,"BEST_EPS","BEST_FPERIOD_OVERRIDE","1BF","BEST_DATA_DATE_OVERRIDE",TEXT(YEAR($E$4),"0000")&amp;TEXT(MONTH($E$4),"00")&amp;TEXT(DAY($E$4),"00"))</f>
        <v/>
      </c>
      <c r="N123" s="54">
        <f>_xll.BDP($A123,"BEST_EPS","BEST_FPERIOD_OVERRIDE","1BF","BEST_DATA_DATE_OVERRIDE",TEXT(YEAR($F$4),"0000")&amp;TEXT(MONTH($F$4),"00")&amp;TEXT(DAY($F$4),"00"))</f>
        <v/>
      </c>
      <c r="O123" s="22">
        <f>IFERROR(IF(AND(ISNUMBER($K123),ISNUMBER(L123),L123&lt;&gt;0),$K123/L123-1,""),"")</f>
        <v/>
      </c>
      <c r="P123" s="22">
        <f>IFERROR(IF(AND(ISNUMBER($K123),ISNUMBER(M123),M123&lt;&gt;0),$K123/M123-1,""),"")</f>
        <v/>
      </c>
      <c r="Q123" s="22">
        <f>IFERROR(IF(AND(ISNUMBER($K123),ISNUMBER(N123),N123&lt;&gt;0),$K123/N123-1,""),"")</f>
        <v/>
      </c>
    </row>
    <row r="124">
      <c r="A124" s="19">
        <f>Tickers!$D$123</f>
        <v/>
      </c>
      <c r="C124" s="30">
        <f>_xll.BDP($A124,"BEST_SALES","BEST_FPERIOD_OVERRIDE","1BF")</f>
        <v/>
      </c>
      <c r="D124" s="30">
        <f>_xll.BDP($A124,"BEST_SALES","BEST_FPERIOD_OVERRIDE","1BF","BEST_DATA_DATE_OVERRIDE",TEXT(YEAR($D$4),"0000")&amp;TEXT(MONTH($D$4),"00")&amp;TEXT(DAY($D$4),"00"))</f>
        <v/>
      </c>
      <c r="E124" s="30">
        <f>_xll.BDP($A124,"BEST_SALES","BEST_FPERIOD_OVERRIDE","1BF","BEST_DATA_DATE_OVERRIDE",TEXT(YEAR($E$4),"0000")&amp;TEXT(MONTH($E$4),"00")&amp;TEXT(DAY($E$4),"00"))</f>
        <v/>
      </c>
      <c r="F124" s="30">
        <f>_xll.BDP($A124,"BEST_SALES","BEST_FPERIOD_OVERRIDE","1BF","BEST_DATA_DATE_OVERRIDE",TEXT(YEAR($F$4),"0000")&amp;TEXT(MONTH($F$4),"00")&amp;TEXT(DAY($F$4),"00"))</f>
        <v/>
      </c>
      <c r="G124" s="22">
        <f>IFERROR(IF(AND(ISNUMBER($C124),ISNUMBER(D124),D124&lt;&gt;0),$C124/D124-1,""),"")</f>
        <v/>
      </c>
      <c r="H124" s="22">
        <f>IFERROR(IF(AND(ISNUMBER($C124),ISNUMBER(E124),E124&lt;&gt;0),$C124/E124-1,""),"")</f>
        <v/>
      </c>
      <c r="I124" s="22">
        <f>IFERROR(IF(AND(ISNUMBER($C124),ISNUMBER(F124),F124&lt;&gt;0),$C124/F124-1,""),"")</f>
        <v/>
      </c>
      <c r="K124" s="54">
        <f>_xll.BDP($A124,"BEST_EPS","BEST_FPERIOD_OVERRIDE","1BF")</f>
        <v/>
      </c>
      <c r="L124" s="54">
        <f>_xll.BDP($A124,"BEST_EPS","BEST_FPERIOD_OVERRIDE","1BF","BEST_DATA_DATE_OVERRIDE",TEXT(YEAR($D$4),"0000")&amp;TEXT(MONTH($D$4),"00")&amp;TEXT(DAY($D$4),"00"))</f>
        <v/>
      </c>
      <c r="M124" s="54">
        <f>_xll.BDP($A124,"BEST_EPS","BEST_FPERIOD_OVERRIDE","1BF","BEST_DATA_DATE_OVERRIDE",TEXT(YEAR($E$4),"0000")&amp;TEXT(MONTH($E$4),"00")&amp;TEXT(DAY($E$4),"00"))</f>
        <v/>
      </c>
      <c r="N124" s="54">
        <f>_xll.BDP($A124,"BEST_EPS","BEST_FPERIOD_OVERRIDE","1BF","BEST_DATA_DATE_OVERRIDE",TEXT(YEAR($F$4),"0000")&amp;TEXT(MONTH($F$4),"00")&amp;TEXT(DAY($F$4),"00"))</f>
        <v/>
      </c>
      <c r="O124" s="22">
        <f>IFERROR(IF(AND(ISNUMBER($K124),ISNUMBER(L124),L124&lt;&gt;0),$K124/L124-1,""),"")</f>
        <v/>
      </c>
      <c r="P124" s="22">
        <f>IFERROR(IF(AND(ISNUMBER($K124),ISNUMBER(M124),M124&lt;&gt;0),$K124/M124-1,""),"")</f>
        <v/>
      </c>
      <c r="Q124" s="22">
        <f>IFERROR(IF(AND(ISNUMBER($K124),ISNUMBER(N124),N124&lt;&gt;0),$K124/N124-1,""),"")</f>
        <v/>
      </c>
    </row>
    <row r="125">
      <c r="A125" s="19">
        <f>Tickers!$D$124</f>
        <v/>
      </c>
      <c r="C125" s="30">
        <f>_xll.BDP($A125,"BEST_SALES","BEST_FPERIOD_OVERRIDE","1BF")</f>
        <v/>
      </c>
      <c r="D125" s="30">
        <f>_xll.BDP($A125,"BEST_SALES","BEST_FPERIOD_OVERRIDE","1BF","BEST_DATA_DATE_OVERRIDE",TEXT(YEAR($D$4),"0000")&amp;TEXT(MONTH($D$4),"00")&amp;TEXT(DAY($D$4),"00"))</f>
        <v/>
      </c>
      <c r="E125" s="30">
        <f>_xll.BDP($A125,"BEST_SALES","BEST_FPERIOD_OVERRIDE","1BF","BEST_DATA_DATE_OVERRIDE",TEXT(YEAR($E$4),"0000")&amp;TEXT(MONTH($E$4),"00")&amp;TEXT(DAY($E$4),"00"))</f>
        <v/>
      </c>
      <c r="F125" s="30">
        <f>_xll.BDP($A125,"BEST_SALES","BEST_FPERIOD_OVERRIDE","1BF","BEST_DATA_DATE_OVERRIDE",TEXT(YEAR($F$4),"0000")&amp;TEXT(MONTH($F$4),"00")&amp;TEXT(DAY($F$4),"00"))</f>
        <v/>
      </c>
      <c r="G125" s="22">
        <f>IFERROR(IF(AND(ISNUMBER($C125),ISNUMBER(D125),D125&lt;&gt;0),$C125/D125-1,""),"")</f>
        <v/>
      </c>
      <c r="H125" s="22">
        <f>IFERROR(IF(AND(ISNUMBER($C125),ISNUMBER(E125),E125&lt;&gt;0),$C125/E125-1,""),"")</f>
        <v/>
      </c>
      <c r="I125" s="22">
        <f>IFERROR(IF(AND(ISNUMBER($C125),ISNUMBER(F125),F125&lt;&gt;0),$C125/F125-1,""),"")</f>
        <v/>
      </c>
      <c r="K125" s="54">
        <f>_xll.BDP($A125,"BEST_EPS","BEST_FPERIOD_OVERRIDE","1BF")</f>
        <v/>
      </c>
      <c r="L125" s="54">
        <f>_xll.BDP($A125,"BEST_EPS","BEST_FPERIOD_OVERRIDE","1BF","BEST_DATA_DATE_OVERRIDE",TEXT(YEAR($D$4),"0000")&amp;TEXT(MONTH($D$4),"00")&amp;TEXT(DAY($D$4),"00"))</f>
        <v/>
      </c>
      <c r="M125" s="54">
        <f>_xll.BDP($A125,"BEST_EPS","BEST_FPERIOD_OVERRIDE","1BF","BEST_DATA_DATE_OVERRIDE",TEXT(YEAR($E$4),"0000")&amp;TEXT(MONTH($E$4),"00")&amp;TEXT(DAY($E$4),"00"))</f>
        <v/>
      </c>
      <c r="N125" s="54">
        <f>_xll.BDP($A125,"BEST_EPS","BEST_FPERIOD_OVERRIDE","1BF","BEST_DATA_DATE_OVERRIDE",TEXT(YEAR($F$4),"0000")&amp;TEXT(MONTH($F$4),"00")&amp;TEXT(DAY($F$4),"00"))</f>
        <v/>
      </c>
      <c r="O125" s="22">
        <f>IFERROR(IF(AND(ISNUMBER($K125),ISNUMBER(L125),L125&lt;&gt;0),$K125/L125-1,""),"")</f>
        <v/>
      </c>
      <c r="P125" s="22">
        <f>IFERROR(IF(AND(ISNUMBER($K125),ISNUMBER(M125),M125&lt;&gt;0),$K125/M125-1,""),"")</f>
        <v/>
      </c>
      <c r="Q125" s="22">
        <f>IFERROR(IF(AND(ISNUMBER($K125),ISNUMBER(N125),N125&lt;&gt;0),$K125/N125-1,""),"")</f>
        <v/>
      </c>
    </row>
    <row r="126">
      <c r="A126" s="19">
        <f>Tickers!$D$125</f>
        <v/>
      </c>
      <c r="C126" s="30">
        <f>_xll.BDP($A126,"BEST_SALES","BEST_FPERIOD_OVERRIDE","1BF")</f>
        <v/>
      </c>
      <c r="D126" s="30">
        <f>_xll.BDP($A126,"BEST_SALES","BEST_FPERIOD_OVERRIDE","1BF","BEST_DATA_DATE_OVERRIDE",TEXT(YEAR($D$4),"0000")&amp;TEXT(MONTH($D$4),"00")&amp;TEXT(DAY($D$4),"00"))</f>
        <v/>
      </c>
      <c r="E126" s="30">
        <f>_xll.BDP($A126,"BEST_SALES","BEST_FPERIOD_OVERRIDE","1BF","BEST_DATA_DATE_OVERRIDE",TEXT(YEAR($E$4),"0000")&amp;TEXT(MONTH($E$4),"00")&amp;TEXT(DAY($E$4),"00"))</f>
        <v/>
      </c>
      <c r="F126" s="30">
        <f>_xll.BDP($A126,"BEST_SALES","BEST_FPERIOD_OVERRIDE","1BF","BEST_DATA_DATE_OVERRIDE",TEXT(YEAR($F$4),"0000")&amp;TEXT(MONTH($F$4),"00")&amp;TEXT(DAY($F$4),"00"))</f>
        <v/>
      </c>
      <c r="G126" s="22">
        <f>IFERROR(IF(AND(ISNUMBER($C126),ISNUMBER(D126),D126&lt;&gt;0),$C126/D126-1,""),"")</f>
        <v/>
      </c>
      <c r="H126" s="22">
        <f>IFERROR(IF(AND(ISNUMBER($C126),ISNUMBER(E126),E126&lt;&gt;0),$C126/E126-1,""),"")</f>
        <v/>
      </c>
      <c r="I126" s="22">
        <f>IFERROR(IF(AND(ISNUMBER($C126),ISNUMBER(F126),F126&lt;&gt;0),$C126/F126-1,""),"")</f>
        <v/>
      </c>
      <c r="K126" s="54">
        <f>_xll.BDP($A126,"BEST_EPS","BEST_FPERIOD_OVERRIDE","1BF")</f>
        <v/>
      </c>
      <c r="L126" s="54">
        <f>_xll.BDP($A126,"BEST_EPS","BEST_FPERIOD_OVERRIDE","1BF","BEST_DATA_DATE_OVERRIDE",TEXT(YEAR($D$4),"0000")&amp;TEXT(MONTH($D$4),"00")&amp;TEXT(DAY($D$4),"00"))</f>
        <v/>
      </c>
      <c r="M126" s="54">
        <f>_xll.BDP($A126,"BEST_EPS","BEST_FPERIOD_OVERRIDE","1BF","BEST_DATA_DATE_OVERRIDE",TEXT(YEAR($E$4),"0000")&amp;TEXT(MONTH($E$4),"00")&amp;TEXT(DAY($E$4),"00"))</f>
        <v/>
      </c>
      <c r="N126" s="54">
        <f>_xll.BDP($A126,"BEST_EPS","BEST_FPERIOD_OVERRIDE","1BF","BEST_DATA_DATE_OVERRIDE",TEXT(YEAR($F$4),"0000")&amp;TEXT(MONTH($F$4),"00")&amp;TEXT(DAY($F$4),"00"))</f>
        <v/>
      </c>
      <c r="O126" s="22">
        <f>IFERROR(IF(AND(ISNUMBER($K126),ISNUMBER(L126),L126&lt;&gt;0),$K126/L126-1,""),"")</f>
        <v/>
      </c>
      <c r="P126" s="22">
        <f>IFERROR(IF(AND(ISNUMBER($K126),ISNUMBER(M126),M126&lt;&gt;0),$K126/M126-1,""),"")</f>
        <v/>
      </c>
      <c r="Q126" s="22">
        <f>IFERROR(IF(AND(ISNUMBER($K126),ISNUMBER(N126),N126&lt;&gt;0),$K126/N126-1,""),"")</f>
        <v/>
      </c>
    </row>
    <row r="127">
      <c r="A127" s="19">
        <f>Tickers!$D$126</f>
        <v/>
      </c>
      <c r="C127" s="30">
        <f>_xll.BDP($A127,"BEST_SALES","BEST_FPERIOD_OVERRIDE","1BF")</f>
        <v/>
      </c>
      <c r="D127" s="30">
        <f>_xll.BDP($A127,"BEST_SALES","BEST_FPERIOD_OVERRIDE","1BF","BEST_DATA_DATE_OVERRIDE",TEXT(YEAR($D$4),"0000")&amp;TEXT(MONTH($D$4),"00")&amp;TEXT(DAY($D$4),"00"))</f>
        <v/>
      </c>
      <c r="E127" s="30">
        <f>_xll.BDP($A127,"BEST_SALES","BEST_FPERIOD_OVERRIDE","1BF","BEST_DATA_DATE_OVERRIDE",TEXT(YEAR($E$4),"0000")&amp;TEXT(MONTH($E$4),"00")&amp;TEXT(DAY($E$4),"00"))</f>
        <v/>
      </c>
      <c r="F127" s="30">
        <f>_xll.BDP($A127,"BEST_SALES","BEST_FPERIOD_OVERRIDE","1BF","BEST_DATA_DATE_OVERRIDE",TEXT(YEAR($F$4),"0000")&amp;TEXT(MONTH($F$4),"00")&amp;TEXT(DAY($F$4),"00"))</f>
        <v/>
      </c>
      <c r="G127" s="22">
        <f>IFERROR(IF(AND(ISNUMBER($C127),ISNUMBER(D127),D127&lt;&gt;0),$C127/D127-1,""),"")</f>
        <v/>
      </c>
      <c r="H127" s="22">
        <f>IFERROR(IF(AND(ISNUMBER($C127),ISNUMBER(E127),E127&lt;&gt;0),$C127/E127-1,""),"")</f>
        <v/>
      </c>
      <c r="I127" s="22">
        <f>IFERROR(IF(AND(ISNUMBER($C127),ISNUMBER(F127),F127&lt;&gt;0),$C127/F127-1,""),"")</f>
        <v/>
      </c>
      <c r="K127" s="54">
        <f>_xll.BDP($A127,"BEST_EPS","BEST_FPERIOD_OVERRIDE","1BF")</f>
        <v/>
      </c>
      <c r="L127" s="54">
        <f>_xll.BDP($A127,"BEST_EPS","BEST_FPERIOD_OVERRIDE","1BF","BEST_DATA_DATE_OVERRIDE",TEXT(YEAR($D$4),"0000")&amp;TEXT(MONTH($D$4),"00")&amp;TEXT(DAY($D$4),"00"))</f>
        <v/>
      </c>
      <c r="M127" s="54">
        <f>_xll.BDP($A127,"BEST_EPS","BEST_FPERIOD_OVERRIDE","1BF","BEST_DATA_DATE_OVERRIDE",TEXT(YEAR($E$4),"0000")&amp;TEXT(MONTH($E$4),"00")&amp;TEXT(DAY($E$4),"00"))</f>
        <v/>
      </c>
      <c r="N127" s="54">
        <f>_xll.BDP($A127,"BEST_EPS","BEST_FPERIOD_OVERRIDE","1BF","BEST_DATA_DATE_OVERRIDE",TEXT(YEAR($F$4),"0000")&amp;TEXT(MONTH($F$4),"00")&amp;TEXT(DAY($F$4),"00"))</f>
        <v/>
      </c>
      <c r="O127" s="22">
        <f>IFERROR(IF(AND(ISNUMBER($K127),ISNUMBER(L127),L127&lt;&gt;0),$K127/L127-1,""),"")</f>
        <v/>
      </c>
      <c r="P127" s="22">
        <f>IFERROR(IF(AND(ISNUMBER($K127),ISNUMBER(M127),M127&lt;&gt;0),$K127/M127-1,""),"")</f>
        <v/>
      </c>
      <c r="Q127" s="22">
        <f>IFERROR(IF(AND(ISNUMBER($K127),ISNUMBER(N127),N127&lt;&gt;0),$K127/N127-1,""),"")</f>
        <v/>
      </c>
    </row>
    <row r="128">
      <c r="A128" s="19">
        <f>Tickers!$D$127</f>
        <v/>
      </c>
      <c r="C128" s="30">
        <f>_xll.BDP($A128,"BEST_SALES","BEST_FPERIOD_OVERRIDE","1BF")</f>
        <v/>
      </c>
      <c r="D128" s="30">
        <f>_xll.BDP($A128,"BEST_SALES","BEST_FPERIOD_OVERRIDE","1BF","BEST_DATA_DATE_OVERRIDE",TEXT(YEAR($D$4),"0000")&amp;TEXT(MONTH($D$4),"00")&amp;TEXT(DAY($D$4),"00"))</f>
        <v/>
      </c>
      <c r="E128" s="30">
        <f>_xll.BDP($A128,"BEST_SALES","BEST_FPERIOD_OVERRIDE","1BF","BEST_DATA_DATE_OVERRIDE",TEXT(YEAR($E$4),"0000")&amp;TEXT(MONTH($E$4),"00")&amp;TEXT(DAY($E$4),"00"))</f>
        <v/>
      </c>
      <c r="F128" s="30">
        <f>_xll.BDP($A128,"BEST_SALES","BEST_FPERIOD_OVERRIDE","1BF","BEST_DATA_DATE_OVERRIDE",TEXT(YEAR($F$4),"0000")&amp;TEXT(MONTH($F$4),"00")&amp;TEXT(DAY($F$4),"00"))</f>
        <v/>
      </c>
      <c r="G128" s="22">
        <f>IFERROR(IF(AND(ISNUMBER($C128),ISNUMBER(D128),D128&lt;&gt;0),$C128/D128-1,""),"")</f>
        <v/>
      </c>
      <c r="H128" s="22">
        <f>IFERROR(IF(AND(ISNUMBER($C128),ISNUMBER(E128),E128&lt;&gt;0),$C128/E128-1,""),"")</f>
        <v/>
      </c>
      <c r="I128" s="22">
        <f>IFERROR(IF(AND(ISNUMBER($C128),ISNUMBER(F128),F128&lt;&gt;0),$C128/F128-1,""),"")</f>
        <v/>
      </c>
      <c r="K128" s="54">
        <f>_xll.BDP($A128,"BEST_EPS","BEST_FPERIOD_OVERRIDE","1BF")</f>
        <v/>
      </c>
      <c r="L128" s="54">
        <f>_xll.BDP($A128,"BEST_EPS","BEST_FPERIOD_OVERRIDE","1BF","BEST_DATA_DATE_OVERRIDE",TEXT(YEAR($D$4),"0000")&amp;TEXT(MONTH($D$4),"00")&amp;TEXT(DAY($D$4),"00"))</f>
        <v/>
      </c>
      <c r="M128" s="54">
        <f>_xll.BDP($A128,"BEST_EPS","BEST_FPERIOD_OVERRIDE","1BF","BEST_DATA_DATE_OVERRIDE",TEXT(YEAR($E$4),"0000")&amp;TEXT(MONTH($E$4),"00")&amp;TEXT(DAY($E$4),"00"))</f>
        <v/>
      </c>
      <c r="N128" s="54">
        <f>_xll.BDP($A128,"BEST_EPS","BEST_FPERIOD_OVERRIDE","1BF","BEST_DATA_DATE_OVERRIDE",TEXT(YEAR($F$4),"0000")&amp;TEXT(MONTH($F$4),"00")&amp;TEXT(DAY($F$4),"00"))</f>
        <v/>
      </c>
      <c r="O128" s="22">
        <f>IFERROR(IF(AND(ISNUMBER($K128),ISNUMBER(L128),L128&lt;&gt;0),$K128/L128-1,""),"")</f>
        <v/>
      </c>
      <c r="P128" s="22">
        <f>IFERROR(IF(AND(ISNUMBER($K128),ISNUMBER(M128),M128&lt;&gt;0),$K128/M128-1,""),"")</f>
        <v/>
      </c>
      <c r="Q128" s="22">
        <f>IFERROR(IF(AND(ISNUMBER($K128),ISNUMBER(N128),N128&lt;&gt;0),$K128/N128-1,""),"")</f>
        <v/>
      </c>
    </row>
    <row r="129">
      <c r="A129" s="19">
        <f>Tickers!$D$128</f>
        <v/>
      </c>
      <c r="C129" s="30">
        <f>_xll.BDP($A129,"BEST_SALES","BEST_FPERIOD_OVERRIDE","1BF")</f>
        <v/>
      </c>
      <c r="D129" s="30">
        <f>_xll.BDP($A129,"BEST_SALES","BEST_FPERIOD_OVERRIDE","1BF","BEST_DATA_DATE_OVERRIDE",TEXT(YEAR($D$4),"0000")&amp;TEXT(MONTH($D$4),"00")&amp;TEXT(DAY($D$4),"00"))</f>
        <v/>
      </c>
      <c r="E129" s="30">
        <f>_xll.BDP($A129,"BEST_SALES","BEST_FPERIOD_OVERRIDE","1BF","BEST_DATA_DATE_OVERRIDE",TEXT(YEAR($E$4),"0000")&amp;TEXT(MONTH($E$4),"00")&amp;TEXT(DAY($E$4),"00"))</f>
        <v/>
      </c>
      <c r="F129" s="30">
        <f>_xll.BDP($A129,"BEST_SALES","BEST_FPERIOD_OVERRIDE","1BF","BEST_DATA_DATE_OVERRIDE",TEXT(YEAR($F$4),"0000")&amp;TEXT(MONTH($F$4),"00")&amp;TEXT(DAY($F$4),"00"))</f>
        <v/>
      </c>
      <c r="G129" s="22">
        <f>IFERROR(IF(AND(ISNUMBER($C129),ISNUMBER(D129),D129&lt;&gt;0),$C129/D129-1,""),"")</f>
        <v/>
      </c>
      <c r="H129" s="22">
        <f>IFERROR(IF(AND(ISNUMBER($C129),ISNUMBER(E129),E129&lt;&gt;0),$C129/E129-1,""),"")</f>
        <v/>
      </c>
      <c r="I129" s="22">
        <f>IFERROR(IF(AND(ISNUMBER($C129),ISNUMBER(F129),F129&lt;&gt;0),$C129/F129-1,""),"")</f>
        <v/>
      </c>
      <c r="K129" s="54">
        <f>_xll.BDP($A129,"BEST_EPS","BEST_FPERIOD_OVERRIDE","1BF")</f>
        <v/>
      </c>
      <c r="L129" s="54">
        <f>_xll.BDP($A129,"BEST_EPS","BEST_FPERIOD_OVERRIDE","1BF","BEST_DATA_DATE_OVERRIDE",TEXT(YEAR($D$4),"0000")&amp;TEXT(MONTH($D$4),"00")&amp;TEXT(DAY($D$4),"00"))</f>
        <v/>
      </c>
      <c r="M129" s="54">
        <f>_xll.BDP($A129,"BEST_EPS","BEST_FPERIOD_OVERRIDE","1BF","BEST_DATA_DATE_OVERRIDE",TEXT(YEAR($E$4),"0000")&amp;TEXT(MONTH($E$4),"00")&amp;TEXT(DAY($E$4),"00"))</f>
        <v/>
      </c>
      <c r="N129" s="54">
        <f>_xll.BDP($A129,"BEST_EPS","BEST_FPERIOD_OVERRIDE","1BF","BEST_DATA_DATE_OVERRIDE",TEXT(YEAR($F$4),"0000")&amp;TEXT(MONTH($F$4),"00")&amp;TEXT(DAY($F$4),"00"))</f>
        <v/>
      </c>
      <c r="O129" s="22">
        <f>IFERROR(IF(AND(ISNUMBER($K129),ISNUMBER(L129),L129&lt;&gt;0),$K129/L129-1,""),"")</f>
        <v/>
      </c>
      <c r="P129" s="22">
        <f>IFERROR(IF(AND(ISNUMBER($K129),ISNUMBER(M129),M129&lt;&gt;0),$K129/M129-1,""),"")</f>
        <v/>
      </c>
      <c r="Q129" s="22">
        <f>IFERROR(IF(AND(ISNUMBER($K129),ISNUMBER(N129),N129&lt;&gt;0),$K129/N129-1,""),"")</f>
        <v/>
      </c>
    </row>
    <row r="130">
      <c r="A130" s="19">
        <f>Tickers!$D$129</f>
        <v/>
      </c>
      <c r="C130" s="30">
        <f>_xll.BDP($A130,"BEST_SALES","BEST_FPERIOD_OVERRIDE","1BF")</f>
        <v/>
      </c>
      <c r="D130" s="30">
        <f>_xll.BDP($A130,"BEST_SALES","BEST_FPERIOD_OVERRIDE","1BF","BEST_DATA_DATE_OVERRIDE",TEXT(YEAR($D$4),"0000")&amp;TEXT(MONTH($D$4),"00")&amp;TEXT(DAY($D$4),"00"))</f>
        <v/>
      </c>
      <c r="E130" s="30">
        <f>_xll.BDP($A130,"BEST_SALES","BEST_FPERIOD_OVERRIDE","1BF","BEST_DATA_DATE_OVERRIDE",TEXT(YEAR($E$4),"0000")&amp;TEXT(MONTH($E$4),"00")&amp;TEXT(DAY($E$4),"00"))</f>
        <v/>
      </c>
      <c r="F130" s="30">
        <f>_xll.BDP($A130,"BEST_SALES","BEST_FPERIOD_OVERRIDE","1BF","BEST_DATA_DATE_OVERRIDE",TEXT(YEAR($F$4),"0000")&amp;TEXT(MONTH($F$4),"00")&amp;TEXT(DAY($F$4),"00"))</f>
        <v/>
      </c>
      <c r="G130" s="22">
        <f>IFERROR(IF(AND(ISNUMBER($C130),ISNUMBER(D130),D130&lt;&gt;0),$C130/D130-1,""),"")</f>
        <v/>
      </c>
      <c r="H130" s="22">
        <f>IFERROR(IF(AND(ISNUMBER($C130),ISNUMBER(E130),E130&lt;&gt;0),$C130/E130-1,""),"")</f>
        <v/>
      </c>
      <c r="I130" s="22">
        <f>IFERROR(IF(AND(ISNUMBER($C130),ISNUMBER(F130),F130&lt;&gt;0),$C130/F130-1,""),"")</f>
        <v/>
      </c>
      <c r="K130" s="54">
        <f>_xll.BDP($A130,"BEST_EPS","BEST_FPERIOD_OVERRIDE","1BF")</f>
        <v/>
      </c>
      <c r="L130" s="54">
        <f>_xll.BDP($A130,"BEST_EPS","BEST_FPERIOD_OVERRIDE","1BF","BEST_DATA_DATE_OVERRIDE",TEXT(YEAR($D$4),"0000")&amp;TEXT(MONTH($D$4),"00")&amp;TEXT(DAY($D$4),"00"))</f>
        <v/>
      </c>
      <c r="M130" s="54">
        <f>_xll.BDP($A130,"BEST_EPS","BEST_FPERIOD_OVERRIDE","1BF","BEST_DATA_DATE_OVERRIDE",TEXT(YEAR($E$4),"0000")&amp;TEXT(MONTH($E$4),"00")&amp;TEXT(DAY($E$4),"00"))</f>
        <v/>
      </c>
      <c r="N130" s="54">
        <f>_xll.BDP($A130,"BEST_EPS","BEST_FPERIOD_OVERRIDE","1BF","BEST_DATA_DATE_OVERRIDE",TEXT(YEAR($F$4),"0000")&amp;TEXT(MONTH($F$4),"00")&amp;TEXT(DAY($F$4),"00"))</f>
        <v/>
      </c>
      <c r="O130" s="22">
        <f>IFERROR(IF(AND(ISNUMBER($K130),ISNUMBER(L130),L130&lt;&gt;0),$K130/L130-1,""),"")</f>
        <v/>
      </c>
      <c r="P130" s="22">
        <f>IFERROR(IF(AND(ISNUMBER($K130),ISNUMBER(M130),M130&lt;&gt;0),$K130/M130-1,""),"")</f>
        <v/>
      </c>
      <c r="Q130" s="22">
        <f>IFERROR(IF(AND(ISNUMBER($K130),ISNUMBER(N130),N130&lt;&gt;0),$K130/N130-1,""),"")</f>
        <v/>
      </c>
    </row>
    <row r="131">
      <c r="A131" s="19">
        <f>Tickers!$D$130</f>
        <v/>
      </c>
      <c r="C131" s="30">
        <f>_xll.BDP($A131,"BEST_SALES","BEST_FPERIOD_OVERRIDE","1BF")</f>
        <v/>
      </c>
      <c r="D131" s="30">
        <f>_xll.BDP($A131,"BEST_SALES","BEST_FPERIOD_OVERRIDE","1BF","BEST_DATA_DATE_OVERRIDE",TEXT(YEAR($D$4),"0000")&amp;TEXT(MONTH($D$4),"00")&amp;TEXT(DAY($D$4),"00"))</f>
        <v/>
      </c>
      <c r="E131" s="30">
        <f>_xll.BDP($A131,"BEST_SALES","BEST_FPERIOD_OVERRIDE","1BF","BEST_DATA_DATE_OVERRIDE",TEXT(YEAR($E$4),"0000")&amp;TEXT(MONTH($E$4),"00")&amp;TEXT(DAY($E$4),"00"))</f>
        <v/>
      </c>
      <c r="F131" s="30">
        <f>_xll.BDP($A131,"BEST_SALES","BEST_FPERIOD_OVERRIDE","1BF","BEST_DATA_DATE_OVERRIDE",TEXT(YEAR($F$4),"0000")&amp;TEXT(MONTH($F$4),"00")&amp;TEXT(DAY($F$4),"00"))</f>
        <v/>
      </c>
      <c r="G131" s="22">
        <f>IFERROR(IF(AND(ISNUMBER($C131),ISNUMBER(D131),D131&lt;&gt;0),$C131/D131-1,""),"")</f>
        <v/>
      </c>
      <c r="H131" s="22">
        <f>IFERROR(IF(AND(ISNUMBER($C131),ISNUMBER(E131),E131&lt;&gt;0),$C131/E131-1,""),"")</f>
        <v/>
      </c>
      <c r="I131" s="22">
        <f>IFERROR(IF(AND(ISNUMBER($C131),ISNUMBER(F131),F131&lt;&gt;0),$C131/F131-1,""),"")</f>
        <v/>
      </c>
      <c r="K131" s="54">
        <f>_xll.BDP($A131,"BEST_EPS","BEST_FPERIOD_OVERRIDE","1BF")</f>
        <v/>
      </c>
      <c r="L131" s="54">
        <f>_xll.BDP($A131,"BEST_EPS","BEST_FPERIOD_OVERRIDE","1BF","BEST_DATA_DATE_OVERRIDE",TEXT(YEAR($D$4),"0000")&amp;TEXT(MONTH($D$4),"00")&amp;TEXT(DAY($D$4),"00"))</f>
        <v/>
      </c>
      <c r="M131" s="54">
        <f>_xll.BDP($A131,"BEST_EPS","BEST_FPERIOD_OVERRIDE","1BF","BEST_DATA_DATE_OVERRIDE",TEXT(YEAR($E$4),"0000")&amp;TEXT(MONTH($E$4),"00")&amp;TEXT(DAY($E$4),"00"))</f>
        <v/>
      </c>
      <c r="N131" s="54">
        <f>_xll.BDP($A131,"BEST_EPS","BEST_FPERIOD_OVERRIDE","1BF","BEST_DATA_DATE_OVERRIDE",TEXT(YEAR($F$4),"0000")&amp;TEXT(MONTH($F$4),"00")&amp;TEXT(DAY($F$4),"00"))</f>
        <v/>
      </c>
      <c r="O131" s="22">
        <f>IFERROR(IF(AND(ISNUMBER($K131),ISNUMBER(L131),L131&lt;&gt;0),$K131/L131-1,""),"")</f>
        <v/>
      </c>
      <c r="P131" s="22">
        <f>IFERROR(IF(AND(ISNUMBER($K131),ISNUMBER(M131),M131&lt;&gt;0),$K131/M131-1,""),"")</f>
        <v/>
      </c>
      <c r="Q131" s="22">
        <f>IFERROR(IF(AND(ISNUMBER($K131),ISNUMBER(N131),N131&lt;&gt;0),$K131/N131-1,""),"")</f>
        <v/>
      </c>
    </row>
    <row r="132">
      <c r="A132" s="19">
        <f>Tickers!$D$131</f>
        <v/>
      </c>
      <c r="C132" s="30">
        <f>_xll.BDP($A132,"BEST_SALES","BEST_FPERIOD_OVERRIDE","1BF")</f>
        <v/>
      </c>
      <c r="D132" s="30">
        <f>_xll.BDP($A132,"BEST_SALES","BEST_FPERIOD_OVERRIDE","1BF","BEST_DATA_DATE_OVERRIDE",TEXT(YEAR($D$4),"0000")&amp;TEXT(MONTH($D$4),"00")&amp;TEXT(DAY($D$4),"00"))</f>
        <v/>
      </c>
      <c r="E132" s="30">
        <f>_xll.BDP($A132,"BEST_SALES","BEST_FPERIOD_OVERRIDE","1BF","BEST_DATA_DATE_OVERRIDE",TEXT(YEAR($E$4),"0000")&amp;TEXT(MONTH($E$4),"00")&amp;TEXT(DAY($E$4),"00"))</f>
        <v/>
      </c>
      <c r="F132" s="30">
        <f>_xll.BDP($A132,"BEST_SALES","BEST_FPERIOD_OVERRIDE","1BF","BEST_DATA_DATE_OVERRIDE",TEXT(YEAR($F$4),"0000")&amp;TEXT(MONTH($F$4),"00")&amp;TEXT(DAY($F$4),"00"))</f>
        <v/>
      </c>
      <c r="G132" s="22">
        <f>IFERROR(IF(AND(ISNUMBER($C132),ISNUMBER(D132),D132&lt;&gt;0),$C132/D132-1,""),"")</f>
        <v/>
      </c>
      <c r="H132" s="22">
        <f>IFERROR(IF(AND(ISNUMBER($C132),ISNUMBER(E132),E132&lt;&gt;0),$C132/E132-1,""),"")</f>
        <v/>
      </c>
      <c r="I132" s="22">
        <f>IFERROR(IF(AND(ISNUMBER($C132),ISNUMBER(F132),F132&lt;&gt;0),$C132/F132-1,""),"")</f>
        <v/>
      </c>
      <c r="K132" s="54">
        <f>_xll.BDP($A132,"BEST_EPS","BEST_FPERIOD_OVERRIDE","1BF")</f>
        <v/>
      </c>
      <c r="L132" s="54">
        <f>_xll.BDP($A132,"BEST_EPS","BEST_FPERIOD_OVERRIDE","1BF","BEST_DATA_DATE_OVERRIDE",TEXT(YEAR($D$4),"0000")&amp;TEXT(MONTH($D$4),"00")&amp;TEXT(DAY($D$4),"00"))</f>
        <v/>
      </c>
      <c r="M132" s="54">
        <f>_xll.BDP($A132,"BEST_EPS","BEST_FPERIOD_OVERRIDE","1BF","BEST_DATA_DATE_OVERRIDE",TEXT(YEAR($E$4),"0000")&amp;TEXT(MONTH($E$4),"00")&amp;TEXT(DAY($E$4),"00"))</f>
        <v/>
      </c>
      <c r="N132" s="54">
        <f>_xll.BDP($A132,"BEST_EPS","BEST_FPERIOD_OVERRIDE","1BF","BEST_DATA_DATE_OVERRIDE",TEXT(YEAR($F$4),"0000")&amp;TEXT(MONTH($F$4),"00")&amp;TEXT(DAY($F$4),"00"))</f>
        <v/>
      </c>
      <c r="O132" s="22">
        <f>IFERROR(IF(AND(ISNUMBER($K132),ISNUMBER(L132),L132&lt;&gt;0),$K132/L132-1,""),"")</f>
        <v/>
      </c>
      <c r="P132" s="22">
        <f>IFERROR(IF(AND(ISNUMBER($K132),ISNUMBER(M132),M132&lt;&gt;0),$K132/M132-1,""),"")</f>
        <v/>
      </c>
      <c r="Q132" s="22">
        <f>IFERROR(IF(AND(ISNUMBER($K132),ISNUMBER(N132),N132&lt;&gt;0),$K132/N132-1,""),"")</f>
        <v/>
      </c>
    </row>
    <row r="133">
      <c r="A133" s="19">
        <f>Tickers!$D$132</f>
        <v/>
      </c>
      <c r="C133" s="30">
        <f>_xll.BDP($A133,"BEST_SALES","BEST_FPERIOD_OVERRIDE","1BF")</f>
        <v/>
      </c>
      <c r="D133" s="30">
        <f>_xll.BDP($A133,"BEST_SALES","BEST_FPERIOD_OVERRIDE","1BF","BEST_DATA_DATE_OVERRIDE",TEXT(YEAR($D$4),"0000")&amp;TEXT(MONTH($D$4),"00")&amp;TEXT(DAY($D$4),"00"))</f>
        <v/>
      </c>
      <c r="E133" s="30">
        <f>_xll.BDP($A133,"BEST_SALES","BEST_FPERIOD_OVERRIDE","1BF","BEST_DATA_DATE_OVERRIDE",TEXT(YEAR($E$4),"0000")&amp;TEXT(MONTH($E$4),"00")&amp;TEXT(DAY($E$4),"00"))</f>
        <v/>
      </c>
      <c r="F133" s="30">
        <f>_xll.BDP($A133,"BEST_SALES","BEST_FPERIOD_OVERRIDE","1BF","BEST_DATA_DATE_OVERRIDE",TEXT(YEAR($F$4),"0000")&amp;TEXT(MONTH($F$4),"00")&amp;TEXT(DAY($F$4),"00"))</f>
        <v/>
      </c>
      <c r="G133" s="22">
        <f>IFERROR(IF(AND(ISNUMBER($C133),ISNUMBER(D133),D133&lt;&gt;0),$C133/D133-1,""),"")</f>
        <v/>
      </c>
      <c r="H133" s="22">
        <f>IFERROR(IF(AND(ISNUMBER($C133),ISNUMBER(E133),E133&lt;&gt;0),$C133/E133-1,""),"")</f>
        <v/>
      </c>
      <c r="I133" s="22">
        <f>IFERROR(IF(AND(ISNUMBER($C133),ISNUMBER(F133),F133&lt;&gt;0),$C133/F133-1,""),"")</f>
        <v/>
      </c>
      <c r="K133" s="54">
        <f>_xll.BDP($A133,"BEST_EPS","BEST_FPERIOD_OVERRIDE","1BF")</f>
        <v/>
      </c>
      <c r="L133" s="54">
        <f>_xll.BDP($A133,"BEST_EPS","BEST_FPERIOD_OVERRIDE","1BF","BEST_DATA_DATE_OVERRIDE",TEXT(YEAR($D$4),"0000")&amp;TEXT(MONTH($D$4),"00")&amp;TEXT(DAY($D$4),"00"))</f>
        <v/>
      </c>
      <c r="M133" s="54">
        <f>_xll.BDP($A133,"BEST_EPS","BEST_FPERIOD_OVERRIDE","1BF","BEST_DATA_DATE_OVERRIDE",TEXT(YEAR($E$4),"0000")&amp;TEXT(MONTH($E$4),"00")&amp;TEXT(DAY($E$4),"00"))</f>
        <v/>
      </c>
      <c r="N133" s="54">
        <f>_xll.BDP($A133,"BEST_EPS","BEST_FPERIOD_OVERRIDE","1BF","BEST_DATA_DATE_OVERRIDE",TEXT(YEAR($F$4),"0000")&amp;TEXT(MONTH($F$4),"00")&amp;TEXT(DAY($F$4),"00"))</f>
        <v/>
      </c>
      <c r="O133" s="22">
        <f>IFERROR(IF(AND(ISNUMBER($K133),ISNUMBER(L133),L133&lt;&gt;0),$K133/L133-1,""),"")</f>
        <v/>
      </c>
      <c r="P133" s="22">
        <f>IFERROR(IF(AND(ISNUMBER($K133),ISNUMBER(M133),M133&lt;&gt;0),$K133/M133-1,""),"")</f>
        <v/>
      </c>
      <c r="Q133" s="22">
        <f>IFERROR(IF(AND(ISNUMBER($K133),ISNUMBER(N133),N133&lt;&gt;0),$K133/N133-1,""),"")</f>
        <v/>
      </c>
    </row>
    <row r="134">
      <c r="A134" s="19">
        <f>Tickers!$D$133</f>
        <v/>
      </c>
      <c r="C134" s="30">
        <f>_xll.BDP($A134,"BEST_SALES","BEST_FPERIOD_OVERRIDE","1BF")</f>
        <v/>
      </c>
      <c r="D134" s="30">
        <f>_xll.BDP($A134,"BEST_SALES","BEST_FPERIOD_OVERRIDE","1BF","BEST_DATA_DATE_OVERRIDE",TEXT(YEAR($D$4),"0000")&amp;TEXT(MONTH($D$4),"00")&amp;TEXT(DAY($D$4),"00"))</f>
        <v/>
      </c>
      <c r="E134" s="30">
        <f>_xll.BDP($A134,"BEST_SALES","BEST_FPERIOD_OVERRIDE","1BF","BEST_DATA_DATE_OVERRIDE",TEXT(YEAR($E$4),"0000")&amp;TEXT(MONTH($E$4),"00")&amp;TEXT(DAY($E$4),"00"))</f>
        <v/>
      </c>
      <c r="F134" s="30">
        <f>_xll.BDP($A134,"BEST_SALES","BEST_FPERIOD_OVERRIDE","1BF","BEST_DATA_DATE_OVERRIDE",TEXT(YEAR($F$4),"0000")&amp;TEXT(MONTH($F$4),"00")&amp;TEXT(DAY($F$4),"00"))</f>
        <v/>
      </c>
      <c r="G134" s="22">
        <f>IFERROR(IF(AND(ISNUMBER($C134),ISNUMBER(D134),D134&lt;&gt;0),$C134/D134-1,""),"")</f>
        <v/>
      </c>
      <c r="H134" s="22">
        <f>IFERROR(IF(AND(ISNUMBER($C134),ISNUMBER(E134),E134&lt;&gt;0),$C134/E134-1,""),"")</f>
        <v/>
      </c>
      <c r="I134" s="22">
        <f>IFERROR(IF(AND(ISNUMBER($C134),ISNUMBER(F134),F134&lt;&gt;0),$C134/F134-1,""),"")</f>
        <v/>
      </c>
      <c r="K134" s="54">
        <f>_xll.BDP($A134,"BEST_EPS","BEST_FPERIOD_OVERRIDE","1BF")</f>
        <v/>
      </c>
      <c r="L134" s="54">
        <f>_xll.BDP($A134,"BEST_EPS","BEST_FPERIOD_OVERRIDE","1BF","BEST_DATA_DATE_OVERRIDE",TEXT(YEAR($D$4),"0000")&amp;TEXT(MONTH($D$4),"00")&amp;TEXT(DAY($D$4),"00"))</f>
        <v/>
      </c>
      <c r="M134" s="54">
        <f>_xll.BDP($A134,"BEST_EPS","BEST_FPERIOD_OVERRIDE","1BF","BEST_DATA_DATE_OVERRIDE",TEXT(YEAR($E$4),"0000")&amp;TEXT(MONTH($E$4),"00")&amp;TEXT(DAY($E$4),"00"))</f>
        <v/>
      </c>
      <c r="N134" s="54">
        <f>_xll.BDP($A134,"BEST_EPS","BEST_FPERIOD_OVERRIDE","1BF","BEST_DATA_DATE_OVERRIDE",TEXT(YEAR($F$4),"0000")&amp;TEXT(MONTH($F$4),"00")&amp;TEXT(DAY($F$4),"00"))</f>
        <v/>
      </c>
      <c r="O134" s="22">
        <f>IFERROR(IF(AND(ISNUMBER($K134),ISNUMBER(L134),L134&lt;&gt;0),$K134/L134-1,""),"")</f>
        <v/>
      </c>
      <c r="P134" s="22">
        <f>IFERROR(IF(AND(ISNUMBER($K134),ISNUMBER(M134),M134&lt;&gt;0),$K134/M134-1,""),"")</f>
        <v/>
      </c>
      <c r="Q134" s="22">
        <f>IFERROR(IF(AND(ISNUMBER($K134),ISNUMBER(N134),N134&lt;&gt;0),$K134/N134-1,""),"")</f>
        <v/>
      </c>
    </row>
    <row r="135">
      <c r="A135" s="19">
        <f>Tickers!$D$134</f>
        <v/>
      </c>
      <c r="C135" s="30">
        <f>_xll.BDP($A135,"BEST_SALES","BEST_FPERIOD_OVERRIDE","1BF")</f>
        <v/>
      </c>
      <c r="D135" s="30">
        <f>_xll.BDP($A135,"BEST_SALES","BEST_FPERIOD_OVERRIDE","1BF","BEST_DATA_DATE_OVERRIDE",TEXT(YEAR($D$4),"0000")&amp;TEXT(MONTH($D$4),"00")&amp;TEXT(DAY($D$4),"00"))</f>
        <v/>
      </c>
      <c r="E135" s="30">
        <f>_xll.BDP($A135,"BEST_SALES","BEST_FPERIOD_OVERRIDE","1BF","BEST_DATA_DATE_OVERRIDE",TEXT(YEAR($E$4),"0000")&amp;TEXT(MONTH($E$4),"00")&amp;TEXT(DAY($E$4),"00"))</f>
        <v/>
      </c>
      <c r="F135" s="30">
        <f>_xll.BDP($A135,"BEST_SALES","BEST_FPERIOD_OVERRIDE","1BF","BEST_DATA_DATE_OVERRIDE",TEXT(YEAR($F$4),"0000")&amp;TEXT(MONTH($F$4),"00")&amp;TEXT(DAY($F$4),"00"))</f>
        <v/>
      </c>
      <c r="G135" s="22">
        <f>IFERROR(IF(AND(ISNUMBER($C135),ISNUMBER(D135),D135&lt;&gt;0),$C135/D135-1,""),"")</f>
        <v/>
      </c>
      <c r="H135" s="22">
        <f>IFERROR(IF(AND(ISNUMBER($C135),ISNUMBER(E135),E135&lt;&gt;0),$C135/E135-1,""),"")</f>
        <v/>
      </c>
      <c r="I135" s="22">
        <f>IFERROR(IF(AND(ISNUMBER($C135),ISNUMBER(F135),F135&lt;&gt;0),$C135/F135-1,""),"")</f>
        <v/>
      </c>
      <c r="K135" s="54">
        <f>_xll.BDP($A135,"BEST_EPS","BEST_FPERIOD_OVERRIDE","1BF")</f>
        <v/>
      </c>
      <c r="L135" s="54">
        <f>_xll.BDP($A135,"BEST_EPS","BEST_FPERIOD_OVERRIDE","1BF","BEST_DATA_DATE_OVERRIDE",TEXT(YEAR($D$4),"0000")&amp;TEXT(MONTH($D$4),"00")&amp;TEXT(DAY($D$4),"00"))</f>
        <v/>
      </c>
      <c r="M135" s="54">
        <f>_xll.BDP($A135,"BEST_EPS","BEST_FPERIOD_OVERRIDE","1BF","BEST_DATA_DATE_OVERRIDE",TEXT(YEAR($E$4),"0000")&amp;TEXT(MONTH($E$4),"00")&amp;TEXT(DAY($E$4),"00"))</f>
        <v/>
      </c>
      <c r="N135" s="54">
        <f>_xll.BDP($A135,"BEST_EPS","BEST_FPERIOD_OVERRIDE","1BF","BEST_DATA_DATE_OVERRIDE",TEXT(YEAR($F$4),"0000")&amp;TEXT(MONTH($F$4),"00")&amp;TEXT(DAY($F$4),"00"))</f>
        <v/>
      </c>
      <c r="O135" s="22">
        <f>IFERROR(IF(AND(ISNUMBER($K135),ISNUMBER(L135),L135&lt;&gt;0),$K135/L135-1,""),"")</f>
        <v/>
      </c>
      <c r="P135" s="22">
        <f>IFERROR(IF(AND(ISNUMBER($K135),ISNUMBER(M135),M135&lt;&gt;0),$K135/M135-1,""),"")</f>
        <v/>
      </c>
      <c r="Q135" s="22">
        <f>IFERROR(IF(AND(ISNUMBER($K135),ISNUMBER(N135),N135&lt;&gt;0),$K135/N135-1,""),"")</f>
        <v/>
      </c>
    </row>
    <row r="136">
      <c r="A136" s="19">
        <f>Tickers!$D$135</f>
        <v/>
      </c>
      <c r="C136" s="30">
        <f>_xll.BDP($A136,"BEST_SALES","BEST_FPERIOD_OVERRIDE","1BF")</f>
        <v/>
      </c>
      <c r="D136" s="30">
        <f>_xll.BDP($A136,"BEST_SALES","BEST_FPERIOD_OVERRIDE","1BF","BEST_DATA_DATE_OVERRIDE",TEXT(YEAR($D$4),"0000")&amp;TEXT(MONTH($D$4),"00")&amp;TEXT(DAY($D$4),"00"))</f>
        <v/>
      </c>
      <c r="E136" s="30">
        <f>_xll.BDP($A136,"BEST_SALES","BEST_FPERIOD_OVERRIDE","1BF","BEST_DATA_DATE_OVERRIDE",TEXT(YEAR($E$4),"0000")&amp;TEXT(MONTH($E$4),"00")&amp;TEXT(DAY($E$4),"00"))</f>
        <v/>
      </c>
      <c r="F136" s="30">
        <f>_xll.BDP($A136,"BEST_SALES","BEST_FPERIOD_OVERRIDE","1BF","BEST_DATA_DATE_OVERRIDE",TEXT(YEAR($F$4),"0000")&amp;TEXT(MONTH($F$4),"00")&amp;TEXT(DAY($F$4),"00"))</f>
        <v/>
      </c>
      <c r="G136" s="22">
        <f>IFERROR(IF(AND(ISNUMBER($C136),ISNUMBER(D136),D136&lt;&gt;0),$C136/D136-1,""),"")</f>
        <v/>
      </c>
      <c r="H136" s="22">
        <f>IFERROR(IF(AND(ISNUMBER($C136),ISNUMBER(E136),E136&lt;&gt;0),$C136/E136-1,""),"")</f>
        <v/>
      </c>
      <c r="I136" s="22">
        <f>IFERROR(IF(AND(ISNUMBER($C136),ISNUMBER(F136),F136&lt;&gt;0),$C136/F136-1,""),"")</f>
        <v/>
      </c>
      <c r="K136" s="54">
        <f>_xll.BDP($A136,"BEST_EPS","BEST_FPERIOD_OVERRIDE","1BF")</f>
        <v/>
      </c>
      <c r="L136" s="54">
        <f>_xll.BDP($A136,"BEST_EPS","BEST_FPERIOD_OVERRIDE","1BF","BEST_DATA_DATE_OVERRIDE",TEXT(YEAR($D$4),"0000")&amp;TEXT(MONTH($D$4),"00")&amp;TEXT(DAY($D$4),"00"))</f>
        <v/>
      </c>
      <c r="M136" s="54">
        <f>_xll.BDP($A136,"BEST_EPS","BEST_FPERIOD_OVERRIDE","1BF","BEST_DATA_DATE_OVERRIDE",TEXT(YEAR($E$4),"0000")&amp;TEXT(MONTH($E$4),"00")&amp;TEXT(DAY($E$4),"00"))</f>
        <v/>
      </c>
      <c r="N136" s="54">
        <f>_xll.BDP($A136,"BEST_EPS","BEST_FPERIOD_OVERRIDE","1BF","BEST_DATA_DATE_OVERRIDE",TEXT(YEAR($F$4),"0000")&amp;TEXT(MONTH($F$4),"00")&amp;TEXT(DAY($F$4),"00"))</f>
        <v/>
      </c>
      <c r="O136" s="22">
        <f>IFERROR(IF(AND(ISNUMBER($K136),ISNUMBER(L136),L136&lt;&gt;0),$K136/L136-1,""),"")</f>
        <v/>
      </c>
      <c r="P136" s="22">
        <f>IFERROR(IF(AND(ISNUMBER($K136),ISNUMBER(M136),M136&lt;&gt;0),$K136/M136-1,""),"")</f>
        <v/>
      </c>
      <c r="Q136" s="22">
        <f>IFERROR(IF(AND(ISNUMBER($K136),ISNUMBER(N136),N136&lt;&gt;0),$K136/N136-1,""),"")</f>
        <v/>
      </c>
    </row>
    <row r="137">
      <c r="A137" s="19">
        <f>Tickers!$D$136</f>
        <v/>
      </c>
      <c r="C137" s="30">
        <f>_xll.BDP($A137,"BEST_SALES","BEST_FPERIOD_OVERRIDE","1BF")</f>
        <v/>
      </c>
      <c r="D137" s="30">
        <f>_xll.BDP($A137,"BEST_SALES","BEST_FPERIOD_OVERRIDE","1BF","BEST_DATA_DATE_OVERRIDE",TEXT(YEAR($D$4),"0000")&amp;TEXT(MONTH($D$4),"00")&amp;TEXT(DAY($D$4),"00"))</f>
        <v/>
      </c>
      <c r="E137" s="30">
        <f>_xll.BDP($A137,"BEST_SALES","BEST_FPERIOD_OVERRIDE","1BF","BEST_DATA_DATE_OVERRIDE",TEXT(YEAR($E$4),"0000")&amp;TEXT(MONTH($E$4),"00")&amp;TEXT(DAY($E$4),"00"))</f>
        <v/>
      </c>
      <c r="F137" s="30">
        <f>_xll.BDP($A137,"BEST_SALES","BEST_FPERIOD_OVERRIDE","1BF","BEST_DATA_DATE_OVERRIDE",TEXT(YEAR($F$4),"0000")&amp;TEXT(MONTH($F$4),"00")&amp;TEXT(DAY($F$4),"00"))</f>
        <v/>
      </c>
      <c r="G137" s="22">
        <f>IFERROR(IF(AND(ISNUMBER($C137),ISNUMBER(D137),D137&lt;&gt;0),$C137/D137-1,""),"")</f>
        <v/>
      </c>
      <c r="H137" s="22">
        <f>IFERROR(IF(AND(ISNUMBER($C137),ISNUMBER(E137),E137&lt;&gt;0),$C137/E137-1,""),"")</f>
        <v/>
      </c>
      <c r="I137" s="22">
        <f>IFERROR(IF(AND(ISNUMBER($C137),ISNUMBER(F137),F137&lt;&gt;0),$C137/F137-1,""),"")</f>
        <v/>
      </c>
      <c r="K137" s="54">
        <f>_xll.BDP($A137,"BEST_EPS","BEST_FPERIOD_OVERRIDE","1BF")</f>
        <v/>
      </c>
      <c r="L137" s="54">
        <f>_xll.BDP($A137,"BEST_EPS","BEST_FPERIOD_OVERRIDE","1BF","BEST_DATA_DATE_OVERRIDE",TEXT(YEAR($D$4),"0000")&amp;TEXT(MONTH($D$4),"00")&amp;TEXT(DAY($D$4),"00"))</f>
        <v/>
      </c>
      <c r="M137" s="54">
        <f>_xll.BDP($A137,"BEST_EPS","BEST_FPERIOD_OVERRIDE","1BF","BEST_DATA_DATE_OVERRIDE",TEXT(YEAR($E$4),"0000")&amp;TEXT(MONTH($E$4),"00")&amp;TEXT(DAY($E$4),"00"))</f>
        <v/>
      </c>
      <c r="N137" s="54">
        <f>_xll.BDP($A137,"BEST_EPS","BEST_FPERIOD_OVERRIDE","1BF","BEST_DATA_DATE_OVERRIDE",TEXT(YEAR($F$4),"0000")&amp;TEXT(MONTH($F$4),"00")&amp;TEXT(DAY($F$4),"00"))</f>
        <v/>
      </c>
      <c r="O137" s="22">
        <f>IFERROR(IF(AND(ISNUMBER($K137),ISNUMBER(L137),L137&lt;&gt;0),$K137/L137-1,""),"")</f>
        <v/>
      </c>
      <c r="P137" s="22">
        <f>IFERROR(IF(AND(ISNUMBER($K137),ISNUMBER(M137),M137&lt;&gt;0),$K137/M137-1,""),"")</f>
        <v/>
      </c>
      <c r="Q137" s="22">
        <f>IFERROR(IF(AND(ISNUMBER($K137),ISNUMBER(N137),N137&lt;&gt;0),$K137/N137-1,""),"")</f>
        <v/>
      </c>
    </row>
    <row r="138">
      <c r="A138" s="19">
        <f>Tickers!$D$137</f>
        <v/>
      </c>
      <c r="C138" s="30">
        <f>_xll.BDP($A138,"BEST_SALES","BEST_FPERIOD_OVERRIDE","1BF")</f>
        <v/>
      </c>
      <c r="D138" s="30">
        <f>_xll.BDP($A138,"BEST_SALES","BEST_FPERIOD_OVERRIDE","1BF","BEST_DATA_DATE_OVERRIDE",TEXT(YEAR($D$4),"0000")&amp;TEXT(MONTH($D$4),"00")&amp;TEXT(DAY($D$4),"00"))</f>
        <v/>
      </c>
      <c r="E138" s="30">
        <f>_xll.BDP($A138,"BEST_SALES","BEST_FPERIOD_OVERRIDE","1BF","BEST_DATA_DATE_OVERRIDE",TEXT(YEAR($E$4),"0000")&amp;TEXT(MONTH($E$4),"00")&amp;TEXT(DAY($E$4),"00"))</f>
        <v/>
      </c>
      <c r="F138" s="30">
        <f>_xll.BDP($A138,"BEST_SALES","BEST_FPERIOD_OVERRIDE","1BF","BEST_DATA_DATE_OVERRIDE",TEXT(YEAR($F$4),"0000")&amp;TEXT(MONTH($F$4),"00")&amp;TEXT(DAY($F$4),"00"))</f>
        <v/>
      </c>
      <c r="G138" s="22">
        <f>IFERROR(IF(AND(ISNUMBER($C138),ISNUMBER(D138),D138&lt;&gt;0),$C138/D138-1,""),"")</f>
        <v/>
      </c>
      <c r="H138" s="22">
        <f>IFERROR(IF(AND(ISNUMBER($C138),ISNUMBER(E138),E138&lt;&gt;0),$C138/E138-1,""),"")</f>
        <v/>
      </c>
      <c r="I138" s="22">
        <f>IFERROR(IF(AND(ISNUMBER($C138),ISNUMBER(F138),F138&lt;&gt;0),$C138/F138-1,""),"")</f>
        <v/>
      </c>
      <c r="K138" s="54">
        <f>_xll.BDP($A138,"BEST_EPS","BEST_FPERIOD_OVERRIDE","1BF")</f>
        <v/>
      </c>
      <c r="L138" s="54">
        <f>_xll.BDP($A138,"BEST_EPS","BEST_FPERIOD_OVERRIDE","1BF","BEST_DATA_DATE_OVERRIDE",TEXT(YEAR($D$4),"0000")&amp;TEXT(MONTH($D$4),"00")&amp;TEXT(DAY($D$4),"00"))</f>
        <v/>
      </c>
      <c r="M138" s="54">
        <f>_xll.BDP($A138,"BEST_EPS","BEST_FPERIOD_OVERRIDE","1BF","BEST_DATA_DATE_OVERRIDE",TEXT(YEAR($E$4),"0000")&amp;TEXT(MONTH($E$4),"00")&amp;TEXT(DAY($E$4),"00"))</f>
        <v/>
      </c>
      <c r="N138" s="54">
        <f>_xll.BDP($A138,"BEST_EPS","BEST_FPERIOD_OVERRIDE","1BF","BEST_DATA_DATE_OVERRIDE",TEXT(YEAR($F$4),"0000")&amp;TEXT(MONTH($F$4),"00")&amp;TEXT(DAY($F$4),"00"))</f>
        <v/>
      </c>
      <c r="O138" s="22">
        <f>IFERROR(IF(AND(ISNUMBER($K138),ISNUMBER(L138),L138&lt;&gt;0),$K138/L138-1,""),"")</f>
        <v/>
      </c>
      <c r="P138" s="22">
        <f>IFERROR(IF(AND(ISNUMBER($K138),ISNUMBER(M138),M138&lt;&gt;0),$K138/M138-1,""),"")</f>
        <v/>
      </c>
      <c r="Q138" s="22">
        <f>IFERROR(IF(AND(ISNUMBER($K138),ISNUMBER(N138),N138&lt;&gt;0),$K138/N138-1,""),"")</f>
        <v/>
      </c>
    </row>
    <row r="139">
      <c r="A139" s="19">
        <f>Tickers!$D$138</f>
        <v/>
      </c>
      <c r="C139" s="30">
        <f>_xll.BDP($A139,"BEST_SALES","BEST_FPERIOD_OVERRIDE","1BF")</f>
        <v/>
      </c>
      <c r="D139" s="30">
        <f>_xll.BDP($A139,"BEST_SALES","BEST_FPERIOD_OVERRIDE","1BF","BEST_DATA_DATE_OVERRIDE",TEXT(YEAR($D$4),"0000")&amp;TEXT(MONTH($D$4),"00")&amp;TEXT(DAY($D$4),"00"))</f>
        <v/>
      </c>
      <c r="E139" s="30">
        <f>_xll.BDP($A139,"BEST_SALES","BEST_FPERIOD_OVERRIDE","1BF","BEST_DATA_DATE_OVERRIDE",TEXT(YEAR($E$4),"0000")&amp;TEXT(MONTH($E$4),"00")&amp;TEXT(DAY($E$4),"00"))</f>
        <v/>
      </c>
      <c r="F139" s="30">
        <f>_xll.BDP($A139,"BEST_SALES","BEST_FPERIOD_OVERRIDE","1BF","BEST_DATA_DATE_OVERRIDE",TEXT(YEAR($F$4),"0000")&amp;TEXT(MONTH($F$4),"00")&amp;TEXT(DAY($F$4),"00"))</f>
        <v/>
      </c>
      <c r="G139" s="22">
        <f>IFERROR(IF(AND(ISNUMBER($C139),ISNUMBER(D139),D139&lt;&gt;0),$C139/D139-1,""),"")</f>
        <v/>
      </c>
      <c r="H139" s="22">
        <f>IFERROR(IF(AND(ISNUMBER($C139),ISNUMBER(E139),E139&lt;&gt;0),$C139/E139-1,""),"")</f>
        <v/>
      </c>
      <c r="I139" s="22">
        <f>IFERROR(IF(AND(ISNUMBER($C139),ISNUMBER(F139),F139&lt;&gt;0),$C139/F139-1,""),"")</f>
        <v/>
      </c>
      <c r="K139" s="54">
        <f>_xll.BDP($A139,"BEST_EPS","BEST_FPERIOD_OVERRIDE","1BF")</f>
        <v/>
      </c>
      <c r="L139" s="54">
        <f>_xll.BDP($A139,"BEST_EPS","BEST_FPERIOD_OVERRIDE","1BF","BEST_DATA_DATE_OVERRIDE",TEXT(YEAR($D$4),"0000")&amp;TEXT(MONTH($D$4),"00")&amp;TEXT(DAY($D$4),"00"))</f>
        <v/>
      </c>
      <c r="M139" s="54">
        <f>_xll.BDP($A139,"BEST_EPS","BEST_FPERIOD_OVERRIDE","1BF","BEST_DATA_DATE_OVERRIDE",TEXT(YEAR($E$4),"0000")&amp;TEXT(MONTH($E$4),"00")&amp;TEXT(DAY($E$4),"00"))</f>
        <v/>
      </c>
      <c r="N139" s="54">
        <f>_xll.BDP($A139,"BEST_EPS","BEST_FPERIOD_OVERRIDE","1BF","BEST_DATA_DATE_OVERRIDE",TEXT(YEAR($F$4),"0000")&amp;TEXT(MONTH($F$4),"00")&amp;TEXT(DAY($F$4),"00"))</f>
        <v/>
      </c>
      <c r="O139" s="22">
        <f>IFERROR(IF(AND(ISNUMBER($K139),ISNUMBER(L139),L139&lt;&gt;0),$K139/L139-1,""),"")</f>
        <v/>
      </c>
      <c r="P139" s="22">
        <f>IFERROR(IF(AND(ISNUMBER($K139),ISNUMBER(M139),M139&lt;&gt;0),$K139/M139-1,""),"")</f>
        <v/>
      </c>
      <c r="Q139" s="22">
        <f>IFERROR(IF(AND(ISNUMBER($K139),ISNUMBER(N139),N139&lt;&gt;0),$K139/N139-1,""),"")</f>
        <v/>
      </c>
    </row>
    <row r="140">
      <c r="A140" s="19">
        <f>Tickers!$D$139</f>
        <v/>
      </c>
      <c r="C140" s="30">
        <f>_xll.BDP($A140,"BEST_SALES","BEST_FPERIOD_OVERRIDE","1BF")</f>
        <v/>
      </c>
      <c r="D140" s="30">
        <f>_xll.BDP($A140,"BEST_SALES","BEST_FPERIOD_OVERRIDE","1BF","BEST_DATA_DATE_OVERRIDE",TEXT(YEAR($D$4),"0000")&amp;TEXT(MONTH($D$4),"00")&amp;TEXT(DAY($D$4),"00"))</f>
        <v/>
      </c>
      <c r="E140" s="30">
        <f>_xll.BDP($A140,"BEST_SALES","BEST_FPERIOD_OVERRIDE","1BF","BEST_DATA_DATE_OVERRIDE",TEXT(YEAR($E$4),"0000")&amp;TEXT(MONTH($E$4),"00")&amp;TEXT(DAY($E$4),"00"))</f>
        <v/>
      </c>
      <c r="F140" s="30">
        <f>_xll.BDP($A140,"BEST_SALES","BEST_FPERIOD_OVERRIDE","1BF","BEST_DATA_DATE_OVERRIDE",TEXT(YEAR($F$4),"0000")&amp;TEXT(MONTH($F$4),"00")&amp;TEXT(DAY($F$4),"00"))</f>
        <v/>
      </c>
      <c r="G140" s="22">
        <f>IFERROR(IF(AND(ISNUMBER($C140),ISNUMBER(D140),D140&lt;&gt;0),$C140/D140-1,""),"")</f>
        <v/>
      </c>
      <c r="H140" s="22">
        <f>IFERROR(IF(AND(ISNUMBER($C140),ISNUMBER(E140),E140&lt;&gt;0),$C140/E140-1,""),"")</f>
        <v/>
      </c>
      <c r="I140" s="22">
        <f>IFERROR(IF(AND(ISNUMBER($C140),ISNUMBER(F140),F140&lt;&gt;0),$C140/F140-1,""),"")</f>
        <v/>
      </c>
      <c r="K140" s="54">
        <f>_xll.BDP($A140,"BEST_EPS","BEST_FPERIOD_OVERRIDE","1BF")</f>
        <v/>
      </c>
      <c r="L140" s="54">
        <f>_xll.BDP($A140,"BEST_EPS","BEST_FPERIOD_OVERRIDE","1BF","BEST_DATA_DATE_OVERRIDE",TEXT(YEAR($D$4),"0000")&amp;TEXT(MONTH($D$4),"00")&amp;TEXT(DAY($D$4),"00"))</f>
        <v/>
      </c>
      <c r="M140" s="54">
        <f>_xll.BDP($A140,"BEST_EPS","BEST_FPERIOD_OVERRIDE","1BF","BEST_DATA_DATE_OVERRIDE",TEXT(YEAR($E$4),"0000")&amp;TEXT(MONTH($E$4),"00")&amp;TEXT(DAY($E$4),"00"))</f>
        <v/>
      </c>
      <c r="N140" s="54">
        <f>_xll.BDP($A140,"BEST_EPS","BEST_FPERIOD_OVERRIDE","1BF","BEST_DATA_DATE_OVERRIDE",TEXT(YEAR($F$4),"0000")&amp;TEXT(MONTH($F$4),"00")&amp;TEXT(DAY($F$4),"00"))</f>
        <v/>
      </c>
      <c r="O140" s="22">
        <f>IFERROR(IF(AND(ISNUMBER($K140),ISNUMBER(L140),L140&lt;&gt;0),$K140/L140-1,""),"")</f>
        <v/>
      </c>
      <c r="P140" s="22">
        <f>IFERROR(IF(AND(ISNUMBER($K140),ISNUMBER(M140),M140&lt;&gt;0),$K140/M140-1,""),"")</f>
        <v/>
      </c>
      <c r="Q140" s="22">
        <f>IFERROR(IF(AND(ISNUMBER($K140),ISNUMBER(N140),N140&lt;&gt;0),$K140/N140-1,""),"")</f>
        <v/>
      </c>
    </row>
    <row r="141">
      <c r="A141" s="19">
        <f>Tickers!$D$140</f>
        <v/>
      </c>
      <c r="C141" s="30">
        <f>_xll.BDP($A141,"BEST_SALES","BEST_FPERIOD_OVERRIDE","1BF")</f>
        <v/>
      </c>
      <c r="D141" s="30">
        <f>_xll.BDP($A141,"BEST_SALES","BEST_FPERIOD_OVERRIDE","1BF","BEST_DATA_DATE_OVERRIDE",TEXT(YEAR($D$4),"0000")&amp;TEXT(MONTH($D$4),"00")&amp;TEXT(DAY($D$4),"00"))</f>
        <v/>
      </c>
      <c r="E141" s="30">
        <f>_xll.BDP($A141,"BEST_SALES","BEST_FPERIOD_OVERRIDE","1BF","BEST_DATA_DATE_OVERRIDE",TEXT(YEAR($E$4),"0000")&amp;TEXT(MONTH($E$4),"00")&amp;TEXT(DAY($E$4),"00"))</f>
        <v/>
      </c>
      <c r="F141" s="30">
        <f>_xll.BDP($A141,"BEST_SALES","BEST_FPERIOD_OVERRIDE","1BF","BEST_DATA_DATE_OVERRIDE",TEXT(YEAR($F$4),"0000")&amp;TEXT(MONTH($F$4),"00")&amp;TEXT(DAY($F$4),"00"))</f>
        <v/>
      </c>
      <c r="G141" s="22">
        <f>IFERROR(IF(AND(ISNUMBER($C141),ISNUMBER(D141),D141&lt;&gt;0),$C141/D141-1,""),"")</f>
        <v/>
      </c>
      <c r="H141" s="22">
        <f>IFERROR(IF(AND(ISNUMBER($C141),ISNUMBER(E141),E141&lt;&gt;0),$C141/E141-1,""),"")</f>
        <v/>
      </c>
      <c r="I141" s="22">
        <f>IFERROR(IF(AND(ISNUMBER($C141),ISNUMBER(F141),F141&lt;&gt;0),$C141/F141-1,""),"")</f>
        <v/>
      </c>
      <c r="K141" s="54">
        <f>_xll.BDP($A141,"BEST_EPS","BEST_FPERIOD_OVERRIDE","1BF")</f>
        <v/>
      </c>
      <c r="L141" s="54">
        <f>_xll.BDP($A141,"BEST_EPS","BEST_FPERIOD_OVERRIDE","1BF","BEST_DATA_DATE_OVERRIDE",TEXT(YEAR($D$4),"0000")&amp;TEXT(MONTH($D$4),"00")&amp;TEXT(DAY($D$4),"00"))</f>
        <v/>
      </c>
      <c r="M141" s="54">
        <f>_xll.BDP($A141,"BEST_EPS","BEST_FPERIOD_OVERRIDE","1BF","BEST_DATA_DATE_OVERRIDE",TEXT(YEAR($E$4),"0000")&amp;TEXT(MONTH($E$4),"00")&amp;TEXT(DAY($E$4),"00"))</f>
        <v/>
      </c>
      <c r="N141" s="54">
        <f>_xll.BDP($A141,"BEST_EPS","BEST_FPERIOD_OVERRIDE","1BF","BEST_DATA_DATE_OVERRIDE",TEXT(YEAR($F$4),"0000")&amp;TEXT(MONTH($F$4),"00")&amp;TEXT(DAY($F$4),"00"))</f>
        <v/>
      </c>
      <c r="O141" s="22">
        <f>IFERROR(IF(AND(ISNUMBER($K141),ISNUMBER(L141),L141&lt;&gt;0),$K141/L141-1,""),"")</f>
        <v/>
      </c>
      <c r="P141" s="22">
        <f>IFERROR(IF(AND(ISNUMBER($K141),ISNUMBER(M141),M141&lt;&gt;0),$K141/M141-1,""),"")</f>
        <v/>
      </c>
      <c r="Q141" s="22">
        <f>IFERROR(IF(AND(ISNUMBER($K141),ISNUMBER(N141),N141&lt;&gt;0),$K141/N141-1,""),"")</f>
        <v/>
      </c>
    </row>
    <row r="142">
      <c r="A142" s="19">
        <f>Tickers!$D$141</f>
        <v/>
      </c>
      <c r="C142" s="30">
        <f>_xll.BDP($A142,"BEST_SALES","BEST_FPERIOD_OVERRIDE","1BF")</f>
        <v/>
      </c>
      <c r="D142" s="30">
        <f>_xll.BDP($A142,"BEST_SALES","BEST_FPERIOD_OVERRIDE","1BF","BEST_DATA_DATE_OVERRIDE",TEXT(YEAR($D$4),"0000")&amp;TEXT(MONTH($D$4),"00")&amp;TEXT(DAY($D$4),"00"))</f>
        <v/>
      </c>
      <c r="E142" s="30">
        <f>_xll.BDP($A142,"BEST_SALES","BEST_FPERIOD_OVERRIDE","1BF","BEST_DATA_DATE_OVERRIDE",TEXT(YEAR($E$4),"0000")&amp;TEXT(MONTH($E$4),"00")&amp;TEXT(DAY($E$4),"00"))</f>
        <v/>
      </c>
      <c r="F142" s="30">
        <f>_xll.BDP($A142,"BEST_SALES","BEST_FPERIOD_OVERRIDE","1BF","BEST_DATA_DATE_OVERRIDE",TEXT(YEAR($F$4),"0000")&amp;TEXT(MONTH($F$4),"00")&amp;TEXT(DAY($F$4),"00"))</f>
        <v/>
      </c>
      <c r="G142" s="22">
        <f>IFERROR(IF(AND(ISNUMBER($C142),ISNUMBER(D142),D142&lt;&gt;0),$C142/D142-1,""),"")</f>
        <v/>
      </c>
      <c r="H142" s="22">
        <f>IFERROR(IF(AND(ISNUMBER($C142),ISNUMBER(E142),E142&lt;&gt;0),$C142/E142-1,""),"")</f>
        <v/>
      </c>
      <c r="I142" s="22">
        <f>IFERROR(IF(AND(ISNUMBER($C142),ISNUMBER(F142),F142&lt;&gt;0),$C142/F142-1,""),"")</f>
        <v/>
      </c>
      <c r="K142" s="54">
        <f>_xll.BDP($A142,"BEST_EPS","BEST_FPERIOD_OVERRIDE","1BF")</f>
        <v/>
      </c>
      <c r="L142" s="54">
        <f>_xll.BDP($A142,"BEST_EPS","BEST_FPERIOD_OVERRIDE","1BF","BEST_DATA_DATE_OVERRIDE",TEXT(YEAR($D$4),"0000")&amp;TEXT(MONTH($D$4),"00")&amp;TEXT(DAY($D$4),"00"))</f>
        <v/>
      </c>
      <c r="M142" s="54">
        <f>_xll.BDP($A142,"BEST_EPS","BEST_FPERIOD_OVERRIDE","1BF","BEST_DATA_DATE_OVERRIDE",TEXT(YEAR($E$4),"0000")&amp;TEXT(MONTH($E$4),"00")&amp;TEXT(DAY($E$4),"00"))</f>
        <v/>
      </c>
      <c r="N142" s="54">
        <f>_xll.BDP($A142,"BEST_EPS","BEST_FPERIOD_OVERRIDE","1BF","BEST_DATA_DATE_OVERRIDE",TEXT(YEAR($F$4),"0000")&amp;TEXT(MONTH($F$4),"00")&amp;TEXT(DAY($F$4),"00"))</f>
        <v/>
      </c>
      <c r="O142" s="22">
        <f>IFERROR(IF(AND(ISNUMBER($K142),ISNUMBER(L142),L142&lt;&gt;0),$K142/L142-1,""),"")</f>
        <v/>
      </c>
      <c r="P142" s="22">
        <f>IFERROR(IF(AND(ISNUMBER($K142),ISNUMBER(M142),M142&lt;&gt;0),$K142/M142-1,""),"")</f>
        <v/>
      </c>
      <c r="Q142" s="22">
        <f>IFERROR(IF(AND(ISNUMBER($K142),ISNUMBER(N142),N142&lt;&gt;0),$K142/N142-1,""),"")</f>
        <v/>
      </c>
    </row>
    <row r="143">
      <c r="A143" s="19">
        <f>Tickers!$D$142</f>
        <v/>
      </c>
      <c r="C143" s="30">
        <f>_xll.BDP($A143,"BEST_SALES","BEST_FPERIOD_OVERRIDE","1BF")</f>
        <v/>
      </c>
      <c r="D143" s="30">
        <f>_xll.BDP($A143,"BEST_SALES","BEST_FPERIOD_OVERRIDE","1BF","BEST_DATA_DATE_OVERRIDE",TEXT(YEAR($D$4),"0000")&amp;TEXT(MONTH($D$4),"00")&amp;TEXT(DAY($D$4),"00"))</f>
        <v/>
      </c>
      <c r="E143" s="30">
        <f>_xll.BDP($A143,"BEST_SALES","BEST_FPERIOD_OVERRIDE","1BF","BEST_DATA_DATE_OVERRIDE",TEXT(YEAR($E$4),"0000")&amp;TEXT(MONTH($E$4),"00")&amp;TEXT(DAY($E$4),"00"))</f>
        <v/>
      </c>
      <c r="F143" s="30">
        <f>_xll.BDP($A143,"BEST_SALES","BEST_FPERIOD_OVERRIDE","1BF","BEST_DATA_DATE_OVERRIDE",TEXT(YEAR($F$4),"0000")&amp;TEXT(MONTH($F$4),"00")&amp;TEXT(DAY($F$4),"00"))</f>
        <v/>
      </c>
      <c r="G143" s="22">
        <f>IFERROR(IF(AND(ISNUMBER($C143),ISNUMBER(D143),D143&lt;&gt;0),$C143/D143-1,""),"")</f>
        <v/>
      </c>
      <c r="H143" s="22">
        <f>IFERROR(IF(AND(ISNUMBER($C143),ISNUMBER(E143),E143&lt;&gt;0),$C143/E143-1,""),"")</f>
        <v/>
      </c>
      <c r="I143" s="22">
        <f>IFERROR(IF(AND(ISNUMBER($C143),ISNUMBER(F143),F143&lt;&gt;0),$C143/F143-1,""),"")</f>
        <v/>
      </c>
      <c r="K143" s="54">
        <f>_xll.BDP($A143,"BEST_EPS","BEST_FPERIOD_OVERRIDE","1BF")</f>
        <v/>
      </c>
      <c r="L143" s="54">
        <f>_xll.BDP($A143,"BEST_EPS","BEST_FPERIOD_OVERRIDE","1BF","BEST_DATA_DATE_OVERRIDE",TEXT(YEAR($D$4),"0000")&amp;TEXT(MONTH($D$4),"00")&amp;TEXT(DAY($D$4),"00"))</f>
        <v/>
      </c>
      <c r="M143" s="54">
        <f>_xll.BDP($A143,"BEST_EPS","BEST_FPERIOD_OVERRIDE","1BF","BEST_DATA_DATE_OVERRIDE",TEXT(YEAR($E$4),"0000")&amp;TEXT(MONTH($E$4),"00")&amp;TEXT(DAY($E$4),"00"))</f>
        <v/>
      </c>
      <c r="N143" s="54">
        <f>_xll.BDP($A143,"BEST_EPS","BEST_FPERIOD_OVERRIDE","1BF","BEST_DATA_DATE_OVERRIDE",TEXT(YEAR($F$4),"0000")&amp;TEXT(MONTH($F$4),"00")&amp;TEXT(DAY($F$4),"00"))</f>
        <v/>
      </c>
      <c r="O143" s="22">
        <f>IFERROR(IF(AND(ISNUMBER($K143),ISNUMBER(L143),L143&lt;&gt;0),$K143/L143-1,""),"")</f>
        <v/>
      </c>
      <c r="P143" s="22">
        <f>IFERROR(IF(AND(ISNUMBER($K143),ISNUMBER(M143),M143&lt;&gt;0),$K143/M143-1,""),"")</f>
        <v/>
      </c>
      <c r="Q143" s="22">
        <f>IFERROR(IF(AND(ISNUMBER($K143),ISNUMBER(N143),N143&lt;&gt;0),$K143/N143-1,""),"")</f>
        <v/>
      </c>
    </row>
    <row r="144">
      <c r="A144" s="19">
        <f>Tickers!$D$143</f>
        <v/>
      </c>
      <c r="C144" s="30">
        <f>_xll.BDP($A144,"BEST_SALES","BEST_FPERIOD_OVERRIDE","1BF")</f>
        <v/>
      </c>
      <c r="D144" s="30">
        <f>_xll.BDP($A144,"BEST_SALES","BEST_FPERIOD_OVERRIDE","1BF","BEST_DATA_DATE_OVERRIDE",TEXT(YEAR($D$4),"0000")&amp;TEXT(MONTH($D$4),"00")&amp;TEXT(DAY($D$4),"00"))</f>
        <v/>
      </c>
      <c r="E144" s="30">
        <f>_xll.BDP($A144,"BEST_SALES","BEST_FPERIOD_OVERRIDE","1BF","BEST_DATA_DATE_OVERRIDE",TEXT(YEAR($E$4),"0000")&amp;TEXT(MONTH($E$4),"00")&amp;TEXT(DAY($E$4),"00"))</f>
        <v/>
      </c>
      <c r="F144" s="30">
        <f>_xll.BDP($A144,"BEST_SALES","BEST_FPERIOD_OVERRIDE","1BF","BEST_DATA_DATE_OVERRIDE",TEXT(YEAR($F$4),"0000")&amp;TEXT(MONTH($F$4),"00")&amp;TEXT(DAY($F$4),"00"))</f>
        <v/>
      </c>
      <c r="G144" s="22">
        <f>IFERROR(IF(AND(ISNUMBER($C144),ISNUMBER(D144),D144&lt;&gt;0),$C144/D144-1,""),"")</f>
        <v/>
      </c>
      <c r="H144" s="22">
        <f>IFERROR(IF(AND(ISNUMBER($C144),ISNUMBER(E144),E144&lt;&gt;0),$C144/E144-1,""),"")</f>
        <v/>
      </c>
      <c r="I144" s="22">
        <f>IFERROR(IF(AND(ISNUMBER($C144),ISNUMBER(F144),F144&lt;&gt;0),$C144/F144-1,""),"")</f>
        <v/>
      </c>
      <c r="K144" s="54">
        <f>_xll.BDP($A144,"BEST_EPS","BEST_FPERIOD_OVERRIDE","1BF")</f>
        <v/>
      </c>
      <c r="L144" s="54">
        <f>_xll.BDP($A144,"BEST_EPS","BEST_FPERIOD_OVERRIDE","1BF","BEST_DATA_DATE_OVERRIDE",TEXT(YEAR($D$4),"0000")&amp;TEXT(MONTH($D$4),"00")&amp;TEXT(DAY($D$4),"00"))</f>
        <v/>
      </c>
      <c r="M144" s="54">
        <f>_xll.BDP($A144,"BEST_EPS","BEST_FPERIOD_OVERRIDE","1BF","BEST_DATA_DATE_OVERRIDE",TEXT(YEAR($E$4),"0000")&amp;TEXT(MONTH($E$4),"00")&amp;TEXT(DAY($E$4),"00"))</f>
        <v/>
      </c>
      <c r="N144" s="54">
        <f>_xll.BDP($A144,"BEST_EPS","BEST_FPERIOD_OVERRIDE","1BF","BEST_DATA_DATE_OVERRIDE",TEXT(YEAR($F$4),"0000")&amp;TEXT(MONTH($F$4),"00")&amp;TEXT(DAY($F$4),"00"))</f>
        <v/>
      </c>
      <c r="O144" s="22">
        <f>IFERROR(IF(AND(ISNUMBER($K144),ISNUMBER(L144),L144&lt;&gt;0),$K144/L144-1,""),"")</f>
        <v/>
      </c>
      <c r="P144" s="22">
        <f>IFERROR(IF(AND(ISNUMBER($K144),ISNUMBER(M144),M144&lt;&gt;0),$K144/M144-1,""),"")</f>
        <v/>
      </c>
      <c r="Q144" s="22">
        <f>IFERROR(IF(AND(ISNUMBER($K144),ISNUMBER(N144),N144&lt;&gt;0),$K144/N144-1,""),"")</f>
        <v/>
      </c>
    </row>
  </sheetData>
  <conditionalFormatting sqref="G6:I144">
    <cfRule type="colorScale" priority="1">
      <colorScale>
        <cfvo type="num" val="-0.1"/>
        <cfvo type="num" val="0"/>
        <cfvo type="num" val="0.1"/>
        <color rgb="00F8696B"/>
        <color rgb="00FFFFFF"/>
        <color rgb="0063BE7B"/>
      </colorScale>
    </cfRule>
  </conditionalFormatting>
  <conditionalFormatting sqref="O6:Q144">
    <cfRule type="colorScale" priority="2">
      <colorScale>
        <cfvo type="num" val="-0.1"/>
        <cfvo type="num" val="0"/>
        <cfvo type="num" val="0.1"/>
        <color rgb="00F8696B"/>
        <color rgb="00FFFFFF"/>
        <color rgb="0063BE7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ED7D31"/>
    <outlinePr summaryBelow="1" summaryRight="1"/>
    <pageSetUpPr/>
  </sheetPr>
  <dimension ref="A1:R14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</cols>
  <sheetData>
    <row r="1">
      <c r="A1" s="5" t="inlineStr">
        <is>
          <t>Semiconductors — Quarterly Adjusted Revenue (USD mm)</t>
        </is>
      </c>
      <c r="H1" s="6" t="inlineStr">
        <is>
          <t>⚠ Cells blank? This is a LIVE Bloomberg workbook — it has no saved data until its first refresh. Open it in desktop Excel on your Bloomberg terminal PC (add-in logged in), then Bloomberg ribbon ▸ Refresh All (or Ctrl+Alt+F9), wait a few minutes, and save. See README.</t>
        </is>
      </c>
    </row>
    <row r="2">
      <c r="A2" s="7" t="inlineStr">
        <is>
          <t>Columns are aligned by fiscal period offset (FPO): FPO 0 = each company's most recently REPORTED quarter, so fiscal calendars differ across rows (e.g. ZM's FY ends Jan). FPO +1/+2 are consensus estimates (shaded).</t>
        </is>
      </c>
    </row>
    <row r="3">
      <c r="A3" s="7" t="inlineStr">
        <is>
          <t>Source: Bloomberg — BQL: sales_rev_turn, fpt=q, ae=ae (actual through FPO 0, consensus estimate for FPO +1/+2), fa_adjusted=y (Bloomberg-adjusted), currency='USD', scaled /1m. Refresh on a Bloomberg terminal (Bloomberg ribbon &gt; Refresh All).</t>
        </is>
      </c>
    </row>
    <row r="4" ht="28" customHeight="1">
      <c r="A4" s="8" t="inlineStr">
        <is>
          <t>Ticker</t>
        </is>
      </c>
      <c r="B4" s="8" t="inlineStr">
        <is>
          <t>Latest Rpt Qtr</t>
        </is>
      </c>
      <c r="C4" s="8" t="inlineStr">
        <is>
          <t>FPO -13</t>
        </is>
      </c>
      <c r="D4" s="8" t="inlineStr">
        <is>
          <t>FPO -12</t>
        </is>
      </c>
      <c r="E4" s="8" t="inlineStr">
        <is>
          <t>FPO -11</t>
        </is>
      </c>
      <c r="F4" s="8" t="inlineStr">
        <is>
          <t>FPO -10</t>
        </is>
      </c>
      <c r="G4" s="8" t="inlineStr">
        <is>
          <t>FPO -9</t>
        </is>
      </c>
      <c r="H4" s="8" t="inlineStr">
        <is>
          <t>FPO -8</t>
        </is>
      </c>
      <c r="I4" s="8" t="inlineStr">
        <is>
          <t>FPO -7</t>
        </is>
      </c>
      <c r="J4" s="8" t="inlineStr">
        <is>
          <t>FPO -6</t>
        </is>
      </c>
      <c r="K4" s="8" t="inlineStr">
        <is>
          <t>FPO -5</t>
        </is>
      </c>
      <c r="L4" s="8" t="inlineStr">
        <is>
          <t>FPO -4</t>
        </is>
      </c>
      <c r="M4" s="8" t="inlineStr">
        <is>
          <t>FPO -3</t>
        </is>
      </c>
      <c r="N4" s="8" t="inlineStr">
        <is>
          <t>FPO -2</t>
        </is>
      </c>
      <c r="O4" s="8" t="inlineStr">
        <is>
          <t>FPO -1</t>
        </is>
      </c>
      <c r="P4" s="8" t="inlineStr">
        <is>
          <t>FPO 0 (latest rpt)</t>
        </is>
      </c>
      <c r="Q4" s="8" t="inlineStr">
        <is>
          <t>FPO +1E</t>
        </is>
      </c>
      <c r="R4" s="8" t="inlineStr">
        <is>
          <t>FPO +2E</t>
        </is>
      </c>
    </row>
    <row r="5">
      <c r="A5" s="19">
        <f>Tickers!$D$5</f>
        <v/>
      </c>
      <c r="B5" s="29" cm="1">
        <f t="array" aca="1" ref="B5" ca="1">_xll.BQL($A5, "#itm().period as #p", "#itm=sales_rev_turn(fpt=q,fpo=0,ae=a)","showids=f","transpose=t","showheaders=f")</f>
        <v/>
      </c>
      <c r="C5" s="30" cm="1">
        <f t="array" aca="1" ref="C5" ca="1">_xll.BQL($A5, "#itm().value as #v", "#itm=sales_rev_turn(fpt=q,fpo=range(-13,2),ae=ae,fa_adjusted=y,currency='USD')/1m","showids=f","transpose=t","showheaders=f")</f>
        <v/>
      </c>
      <c r="D5" s="30" t="n"/>
      <c r="E5" s="30" t="n"/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  <c r="O5" s="30" t="n"/>
      <c r="P5" s="30" t="n"/>
      <c r="Q5" s="31" t="n"/>
      <c r="R5" s="31" t="n"/>
    </row>
    <row r="6">
      <c r="A6" s="19">
        <f>Tickers!$D$6</f>
        <v/>
      </c>
      <c r="B6" s="29" cm="1">
        <f t="array" aca="1" ref="B6" ca="1">_xll.BQL($A6, "#itm().period as #p", "#itm=sales_rev_turn(fpt=q,fpo=0,ae=a)","showids=f","transpose=t","showheaders=f")</f>
        <v/>
      </c>
      <c r="C6" s="30" cm="1">
        <f t="array" aca="1" ref="C6" ca="1">_xll.BQL($A6, "#itm().value as #v", "#itm=sales_rev_turn(fpt=q,fpo=range(-13,2),ae=ae,fa_adjusted=y,currency='USD')/1m","showids=f","transpose=t","showheaders=f")</f>
        <v/>
      </c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1" t="n"/>
      <c r="R6" s="31" t="n"/>
    </row>
    <row r="7">
      <c r="A7" s="19">
        <f>Tickers!$D$7</f>
        <v/>
      </c>
      <c r="B7" s="29" cm="1">
        <f t="array" aca="1" ref="B7" ca="1">_xll.BQL($A7, "#itm().period as #p", "#itm=sales_rev_turn(fpt=q,fpo=0,ae=a)","showids=f","transpose=t","showheaders=f")</f>
        <v/>
      </c>
      <c r="C7" s="30" cm="1">
        <f t="array" aca="1" ref="C7" ca="1">_xll.BQL($A7, "#itm().value as #v", "#itm=sales_rev_turn(fpt=q,fpo=range(-13,2),ae=ae,fa_adjusted=y,currency='USD')/1m","showids=f","transpose=t","showheaders=f")</f>
        <v/>
      </c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1" t="n"/>
      <c r="R7" s="31" t="n"/>
    </row>
    <row r="8">
      <c r="A8" s="19">
        <f>Tickers!$D$8</f>
        <v/>
      </c>
      <c r="B8" s="29" cm="1">
        <f t="array" aca="1" ref="B8" ca="1">_xll.BQL($A8, "#itm().period as #p", "#itm=sales_rev_turn(fpt=q,fpo=0,ae=a)","showids=f","transpose=t","showheaders=f")</f>
        <v/>
      </c>
      <c r="C8" s="30" cm="1">
        <f t="array" aca="1" ref="C8" ca="1">_xll.BQL($A8, "#itm().value as #v", "#itm=sales_rev_turn(fpt=q,fpo=range(-13,2),ae=ae,fa_adjusted=y,currency='USD')/1m","showids=f","transpose=t","showheaders=f")</f>
        <v/>
      </c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1" t="n"/>
      <c r="R8" s="31" t="n"/>
    </row>
    <row r="9">
      <c r="A9" s="19">
        <f>Tickers!$D$9</f>
        <v/>
      </c>
      <c r="B9" s="29" cm="1">
        <f t="array" aca="1" ref="B9" ca="1">_xll.BQL($A9, "#itm().period as #p", "#itm=sales_rev_turn(fpt=q,fpo=0,ae=a)","showids=f","transpose=t","showheaders=f")</f>
        <v/>
      </c>
      <c r="C9" s="30" cm="1">
        <f t="array" aca="1" ref="C9" ca="1">_xll.BQL($A9, "#itm().value as #v", "#itm=sales_rev_turn(fpt=q,fpo=range(-13,2),ae=ae,fa_adjusted=y,currency='USD')/1m","showids=f","transpose=t","showheaders=f")</f>
        <v/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1" t="n"/>
      <c r="R9" s="31" t="n"/>
    </row>
    <row r="10">
      <c r="A10" s="19">
        <f>Tickers!$D$10</f>
        <v/>
      </c>
      <c r="B10" s="29" cm="1">
        <f t="array" aca="1" ref="B10" ca="1">_xll.BQL($A10, "#itm().period as #p", "#itm=sales_rev_turn(fpt=q,fpo=0,ae=a)","showids=f","transpose=t","showheaders=f")</f>
        <v/>
      </c>
      <c r="C10" s="30" cm="1">
        <f t="array" aca="1" ref="C10" ca="1">_xll.BQL($A10, "#itm().value as #v", "#itm=sales_rev_turn(fpt=q,fpo=range(-13,2),ae=ae,fa_adjusted=y,currency='USD')/1m","showids=f","transpose=t","showheaders=f")</f>
        <v/>
      </c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30" t="n"/>
      <c r="Q10" s="31" t="n"/>
      <c r="R10" s="31" t="n"/>
    </row>
    <row r="11">
      <c r="A11" s="19">
        <f>Tickers!$D$11</f>
        <v/>
      </c>
      <c r="B11" s="29" cm="1">
        <f t="array" aca="1" ref="B11" ca="1">_xll.BQL($A11, "#itm().period as #p", "#itm=sales_rev_turn(fpt=q,fpo=0,ae=a)","showids=f","transpose=t","showheaders=f")</f>
        <v/>
      </c>
      <c r="C11" s="30" cm="1">
        <f t="array" aca="1" ref="C11" ca="1">_xll.BQL($A11, "#itm().value as #v", "#itm=sales_rev_turn(fpt=q,fpo=range(-13,2),ae=ae,fa_adjusted=y,currency='USD')/1m","showids=f","transpose=t","showheaders=f")</f>
        <v/>
      </c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1" t="n"/>
      <c r="R11" s="31" t="n"/>
    </row>
    <row r="12">
      <c r="A12" s="19">
        <f>Tickers!$D$12</f>
        <v/>
      </c>
      <c r="B12" s="29" cm="1">
        <f t="array" aca="1" ref="B12" ca="1">_xll.BQL($A12, "#itm().period as #p", "#itm=sales_rev_turn(fpt=q,fpo=0,ae=a)","showids=f","transpose=t","showheaders=f")</f>
        <v/>
      </c>
      <c r="C12" s="30" cm="1">
        <f t="array" aca="1" ref="C12" ca="1">_xll.BQL($A12, "#itm().value as #v", "#itm=sales_rev_turn(fpt=q,fpo=range(-13,2),ae=ae,fa_adjusted=y,currency='USD')/1m","showids=f","transpose=t","showheaders=f")</f>
        <v/>
      </c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1" t="n"/>
      <c r="R12" s="31" t="n"/>
    </row>
    <row r="13">
      <c r="A13" s="19">
        <f>Tickers!$D$13</f>
        <v/>
      </c>
      <c r="B13" s="29" cm="1">
        <f t="array" aca="1" ref="B13" ca="1">_xll.BQL($A13, "#itm().period as #p", "#itm=sales_rev_turn(fpt=q,fpo=0,ae=a)","showids=f","transpose=t","showheaders=f")</f>
        <v/>
      </c>
      <c r="C13" s="30" cm="1">
        <f t="array" aca="1" ref="C13" ca="1">_xll.BQL($A13, "#itm().value as #v", "#itm=sales_rev_turn(fpt=q,fpo=range(-13,2),ae=ae,fa_adjusted=y,currency='USD')/1m","showids=f","transpose=t","showheaders=f")</f>
        <v/>
      </c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1" t="n"/>
      <c r="R13" s="31" t="n"/>
    </row>
    <row r="14">
      <c r="A14" s="19">
        <f>Tickers!$D$14</f>
        <v/>
      </c>
      <c r="B14" s="29" cm="1">
        <f t="array" aca="1" ref="B14" ca="1">_xll.BQL($A14, "#itm().period as #p", "#itm=sales_rev_turn(fpt=q,fpo=0,ae=a)","showids=f","transpose=t","showheaders=f")</f>
        <v/>
      </c>
      <c r="C14" s="30" cm="1">
        <f t="array" aca="1" ref="C14" ca="1">_xll.BQL($A14, "#itm().value as #v", "#itm=sales_rev_turn(fpt=q,fpo=range(-13,2),ae=ae,fa_adjusted=y,currency='USD')/1m","showids=f","transpose=t","showheaders=f")</f>
        <v/>
      </c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  <c r="Q14" s="31" t="n"/>
      <c r="R14" s="31" t="n"/>
    </row>
    <row r="15">
      <c r="A15" s="19">
        <f>Tickers!$D$15</f>
        <v/>
      </c>
      <c r="B15" s="29" cm="1">
        <f t="array" aca="1" ref="B15" ca="1">_xll.BQL($A15, "#itm().period as #p", "#itm=sales_rev_turn(fpt=q,fpo=0,ae=a)","showids=f","transpose=t","showheaders=f")</f>
        <v/>
      </c>
      <c r="C15" s="30" cm="1">
        <f t="array" aca="1" ref="C15" ca="1">_xll.BQL($A15, "#itm().value as #v", "#itm=sales_rev_turn(fpt=q,fpo=range(-13,2),ae=ae,fa_adjusted=y,currency='USD')/1m","showids=f","transpose=t","showheaders=f")</f>
        <v/>
      </c>
      <c r="D15" s="30" t="n"/>
      <c r="E15" s="30" t="n"/>
      <c r="F15" s="30" t="n"/>
      <c r="G15" s="30" t="n"/>
      <c r="H15" s="30" t="n"/>
      <c r="I15" s="30" t="n"/>
      <c r="J15" s="30" t="n"/>
      <c r="K15" s="30" t="n"/>
      <c r="L15" s="30" t="n"/>
      <c r="M15" s="30" t="n"/>
      <c r="N15" s="30" t="n"/>
      <c r="O15" s="30" t="n"/>
      <c r="P15" s="30" t="n"/>
      <c r="Q15" s="31" t="n"/>
      <c r="R15" s="31" t="n"/>
    </row>
    <row r="16">
      <c r="A16" s="19">
        <f>Tickers!$D$16</f>
        <v/>
      </c>
      <c r="B16" s="29" cm="1">
        <f t="array" aca="1" ref="B16" ca="1">_xll.BQL($A16, "#itm().period as #p", "#itm=sales_rev_turn(fpt=q,fpo=0,ae=a)","showids=f","transpose=t","showheaders=f")</f>
        <v/>
      </c>
      <c r="C16" s="30" cm="1">
        <f t="array" aca="1" ref="C16" ca="1">_xll.BQL($A16, "#itm().value as #v", "#itm=sales_rev_turn(fpt=q,fpo=range(-13,2),ae=ae,fa_adjusted=y,currency='USD')/1m","showids=f","transpose=t","showheaders=f")</f>
        <v/>
      </c>
      <c r="D16" s="30" t="n"/>
      <c r="E16" s="30" t="n"/>
      <c r="F16" s="30" t="n"/>
      <c r="G16" s="30" t="n"/>
      <c r="H16" s="30" t="n"/>
      <c r="I16" s="30" t="n"/>
      <c r="J16" s="30" t="n"/>
      <c r="K16" s="30" t="n"/>
      <c r="L16" s="30" t="n"/>
      <c r="M16" s="30" t="n"/>
      <c r="N16" s="30" t="n"/>
      <c r="O16" s="30" t="n"/>
      <c r="P16" s="30" t="n"/>
      <c r="Q16" s="31" t="n"/>
      <c r="R16" s="31" t="n"/>
    </row>
    <row r="17">
      <c r="A17" s="19">
        <f>Tickers!$D$17</f>
        <v/>
      </c>
      <c r="B17" s="29" cm="1">
        <f t="array" aca="1" ref="B17" ca="1">_xll.BQL($A17, "#itm().period as #p", "#itm=sales_rev_turn(fpt=q,fpo=0,ae=a)","showids=f","transpose=t","showheaders=f")</f>
        <v/>
      </c>
      <c r="C17" s="30" cm="1">
        <f t="array" aca="1" ref="C17" ca="1">_xll.BQL($A17, "#itm().value as #v", "#itm=sales_rev_turn(fpt=q,fpo=range(-13,2),ae=ae,fa_adjusted=y,currency='USD')/1m","showids=f","transpose=t","showheaders=f")</f>
        <v/>
      </c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30" t="n"/>
      <c r="Q17" s="31" t="n"/>
      <c r="R17" s="31" t="n"/>
    </row>
    <row r="18">
      <c r="A18" s="19">
        <f>Tickers!$D$18</f>
        <v/>
      </c>
      <c r="B18" s="29" cm="1">
        <f t="array" aca="1" ref="B18" ca="1">_xll.BQL($A18, "#itm().period as #p", "#itm=sales_rev_turn(fpt=q,fpo=0,ae=a)","showids=f","transpose=t","showheaders=f")</f>
        <v/>
      </c>
      <c r="C18" s="30" cm="1">
        <f t="array" aca="1" ref="C18" ca="1">_xll.BQL($A18, "#itm().value as #v", "#itm=sales_rev_turn(fpt=q,fpo=range(-13,2),ae=ae,fa_adjusted=y,currency='USD')/1m","showids=f","transpose=t","showheaders=f")</f>
        <v/>
      </c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1" t="n"/>
      <c r="R18" s="31" t="n"/>
    </row>
    <row r="19">
      <c r="A19" s="19">
        <f>Tickers!$D$19</f>
        <v/>
      </c>
      <c r="B19" s="29" cm="1">
        <f t="array" aca="1" ref="B19" ca="1">_xll.BQL($A19, "#itm().period as #p", "#itm=sales_rev_turn(fpt=q,fpo=0,ae=a)","showids=f","transpose=t","showheaders=f")</f>
        <v/>
      </c>
      <c r="C19" s="30" cm="1">
        <f t="array" aca="1" ref="C19" ca="1">_xll.BQL($A19, "#itm().value as #v", "#itm=sales_rev_turn(fpt=q,fpo=range(-13,2),ae=ae,fa_adjusted=y,currency='USD')/1m","showids=f","transpose=t","showheaders=f")</f>
        <v/>
      </c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1" t="n"/>
      <c r="R19" s="31" t="n"/>
    </row>
    <row r="20">
      <c r="A20" s="19">
        <f>Tickers!$D$20</f>
        <v/>
      </c>
      <c r="B20" s="29" cm="1">
        <f t="array" aca="1" ref="B20" ca="1">_xll.BQL($A20, "#itm().period as #p", "#itm=sales_rev_turn(fpt=q,fpo=0,ae=a)","showids=f","transpose=t","showheaders=f")</f>
        <v/>
      </c>
      <c r="C20" s="30" cm="1">
        <f t="array" aca="1" ref="C20" ca="1">_xll.BQL($A20, "#itm().value as #v", "#itm=sales_rev_turn(fpt=q,fpo=range(-13,2),ae=ae,fa_adjusted=y,currency='USD')/1m","showids=f","transpose=t","showheaders=f")</f>
        <v/>
      </c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30" t="n"/>
      <c r="Q20" s="31" t="n"/>
      <c r="R20" s="31" t="n"/>
    </row>
    <row r="21">
      <c r="A21" s="19">
        <f>Tickers!$D$21</f>
        <v/>
      </c>
      <c r="B21" s="29" cm="1">
        <f t="array" aca="1" ref="B21" ca="1">_xll.BQL($A21, "#itm().period as #p", "#itm=sales_rev_turn(fpt=q,fpo=0,ae=a)","showids=f","transpose=t","showheaders=f")</f>
        <v/>
      </c>
      <c r="C21" s="30" cm="1">
        <f t="array" aca="1" ref="C21" ca="1">_xll.BQL($A21, "#itm().value as #v", "#itm=sales_rev_turn(fpt=q,fpo=range(-13,2),ae=ae,fa_adjusted=y,currency='USD')/1m","showids=f","transpose=t","showheaders=f")</f>
        <v/>
      </c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  <c r="P21" s="30" t="n"/>
      <c r="Q21" s="31" t="n"/>
      <c r="R21" s="31" t="n"/>
    </row>
    <row r="22">
      <c r="A22" s="19">
        <f>Tickers!$D$22</f>
        <v/>
      </c>
      <c r="B22" s="29" cm="1">
        <f t="array" aca="1" ref="B22" ca="1">_xll.BQL($A22, "#itm().period as #p", "#itm=sales_rev_turn(fpt=q,fpo=0,ae=a)","showids=f","transpose=t","showheaders=f")</f>
        <v/>
      </c>
      <c r="C22" s="30" cm="1">
        <f t="array" aca="1" ref="C22" ca="1">_xll.BQL($A22, "#itm().value as #v", "#itm=sales_rev_turn(fpt=q,fpo=range(-13,2),ae=ae,fa_adjusted=y,currency='USD')/1m","showids=f","transpose=t","showheaders=f")</f>
        <v/>
      </c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n"/>
      <c r="Q22" s="31" t="n"/>
      <c r="R22" s="31" t="n"/>
    </row>
    <row r="23">
      <c r="A23" s="19">
        <f>Tickers!$D$23</f>
        <v/>
      </c>
      <c r="B23" s="29" cm="1">
        <f t="array" aca="1" ref="B23" ca="1">_xll.BQL($A23, "#itm().period as #p", "#itm=sales_rev_turn(fpt=q,fpo=0,ae=a)","showids=f","transpose=t","showheaders=f")</f>
        <v/>
      </c>
      <c r="C23" s="30" cm="1">
        <f t="array" aca="1" ref="C23" ca="1">_xll.BQL($A23, "#itm().value as #v", "#itm=sales_rev_turn(fpt=q,fpo=range(-13,2),ae=ae,fa_adjusted=y,currency='USD')/1m","showids=f","transpose=t","showheaders=f")</f>
        <v/>
      </c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30" t="n"/>
      <c r="P23" s="30" t="n"/>
      <c r="Q23" s="31" t="n"/>
      <c r="R23" s="31" t="n"/>
    </row>
    <row r="24">
      <c r="A24" s="19">
        <f>Tickers!$D$24</f>
        <v/>
      </c>
      <c r="B24" s="29" cm="1">
        <f t="array" aca="1" ref="B24" ca="1">_xll.BQL($A24, "#itm().period as #p", "#itm=sales_rev_turn(fpt=q,fpo=0,ae=a)","showids=f","transpose=t","showheaders=f")</f>
        <v/>
      </c>
      <c r="C24" s="30" cm="1">
        <f t="array" aca="1" ref="C24" ca="1">_xll.BQL($A24, "#itm().value as #v", "#itm=sales_rev_turn(fpt=q,fpo=range(-13,2),ae=ae,fa_adjusted=y,currency='USD')/1m","showids=f","transpose=t","showheaders=f")</f>
        <v/>
      </c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30" t="n"/>
      <c r="Q24" s="31" t="n"/>
      <c r="R24" s="31" t="n"/>
    </row>
    <row r="25">
      <c r="A25" s="19">
        <f>Tickers!$D$25</f>
        <v/>
      </c>
      <c r="B25" s="29" cm="1">
        <f t="array" aca="1" ref="B25" ca="1">_xll.BQL($A25, "#itm().period as #p", "#itm=sales_rev_turn(fpt=q,fpo=0,ae=a)","showids=f","transpose=t","showheaders=f")</f>
        <v/>
      </c>
      <c r="C25" s="30" cm="1">
        <f t="array" aca="1" ref="C25" ca="1">_xll.BQL($A25, "#itm().value as #v", "#itm=sales_rev_turn(fpt=q,fpo=range(-13,2),ae=ae,fa_adjusted=y,currency='USD')/1m","showids=f","transpose=t","showheaders=f")</f>
        <v/>
      </c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  <c r="Q25" s="31" t="n"/>
      <c r="R25" s="31" t="n"/>
    </row>
    <row r="26">
      <c r="A26" s="19">
        <f>Tickers!$D$26</f>
        <v/>
      </c>
      <c r="B26" s="29" cm="1">
        <f t="array" aca="1" ref="B26" ca="1">_xll.BQL($A26, "#itm().period as #p", "#itm=sales_rev_turn(fpt=q,fpo=0,ae=a)","showids=f","transpose=t","showheaders=f")</f>
        <v/>
      </c>
      <c r="C26" s="30" cm="1">
        <f t="array" aca="1" ref="C26" ca="1">_xll.BQL($A26, "#itm().value as #v", "#itm=sales_rev_turn(fpt=q,fpo=range(-13,2),ae=ae,fa_adjusted=y,currency='USD')/1m","showids=f","transpose=t","showheaders=f")</f>
        <v/>
      </c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30" t="n"/>
      <c r="Q26" s="31" t="n"/>
      <c r="R26" s="31" t="n"/>
    </row>
    <row r="27">
      <c r="A27" s="19">
        <f>Tickers!$D$27</f>
        <v/>
      </c>
      <c r="B27" s="29" cm="1">
        <f t="array" aca="1" ref="B27" ca="1">_xll.BQL($A27, "#itm().period as #p", "#itm=sales_rev_turn(fpt=q,fpo=0,ae=a)","showids=f","transpose=t","showheaders=f")</f>
        <v/>
      </c>
      <c r="C27" s="30" cm="1">
        <f t="array" aca="1" ref="C27" ca="1">_xll.BQL($A27, "#itm().value as #v", "#itm=sales_rev_turn(fpt=q,fpo=range(-13,2),ae=ae,fa_adjusted=y,currency='USD')/1m","showids=f","transpose=t","showheaders=f")</f>
        <v/>
      </c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30" t="n"/>
      <c r="Q27" s="31" t="n"/>
      <c r="R27" s="31" t="n"/>
    </row>
    <row r="28">
      <c r="A28" s="19">
        <f>Tickers!$D$28</f>
        <v/>
      </c>
      <c r="B28" s="29" cm="1">
        <f t="array" aca="1" ref="B28" ca="1">_xll.BQL($A28, "#itm().period as #p", "#itm=sales_rev_turn(fpt=q,fpo=0,ae=a)","showids=f","transpose=t","showheaders=f")</f>
        <v/>
      </c>
      <c r="C28" s="30" cm="1">
        <f t="array" aca="1" ref="C28" ca="1">_xll.BQL($A28, "#itm().value as #v", "#itm=sales_rev_turn(fpt=q,fpo=range(-13,2),ae=ae,fa_adjusted=y,currency='USD')/1m","showids=f","transpose=t","showheaders=f")</f>
        <v/>
      </c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30" t="n"/>
      <c r="Q28" s="31" t="n"/>
      <c r="R28" s="31" t="n"/>
    </row>
    <row r="29">
      <c r="A29" s="19">
        <f>Tickers!$D$29</f>
        <v/>
      </c>
      <c r="B29" s="29" cm="1">
        <f t="array" aca="1" ref="B29" ca="1">_xll.BQL($A29, "#itm().period as #p", "#itm=sales_rev_turn(fpt=q,fpo=0,ae=a)","showids=f","transpose=t","showheaders=f")</f>
        <v/>
      </c>
      <c r="C29" s="30" cm="1">
        <f t="array" aca="1" ref="C29" ca="1">_xll.BQL($A29, "#itm().value as #v", "#itm=sales_rev_turn(fpt=q,fpo=range(-13,2),ae=ae,fa_adjusted=y,currency='USD')/1m","showids=f","transpose=t","showheaders=f")</f>
        <v/>
      </c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30" t="n"/>
      <c r="Q29" s="31" t="n"/>
      <c r="R29" s="31" t="n"/>
    </row>
    <row r="30">
      <c r="A30" s="19">
        <f>Tickers!$D$30</f>
        <v/>
      </c>
      <c r="B30" s="29" cm="1">
        <f t="array" aca="1" ref="B30" ca="1">_xll.BQL($A30, "#itm().period as #p", "#itm=sales_rev_turn(fpt=q,fpo=0,ae=a)","showids=f","transpose=t","showheaders=f")</f>
        <v/>
      </c>
      <c r="C30" s="30" cm="1">
        <f t="array" aca="1" ref="C30" ca="1">_xll.BQL($A30, "#itm().value as #v", "#itm=sales_rev_turn(fpt=q,fpo=range(-13,2),ae=ae,fa_adjusted=y,currency='USD')/1m","showids=f","transpose=t","showheaders=f")</f>
        <v/>
      </c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30" t="n"/>
      <c r="Q30" s="31" t="n"/>
      <c r="R30" s="31" t="n"/>
    </row>
    <row r="31">
      <c r="A31" s="19">
        <f>Tickers!$D$31</f>
        <v/>
      </c>
      <c r="B31" s="29" cm="1">
        <f t="array" aca="1" ref="B31" ca="1">_xll.BQL($A31, "#itm().period as #p", "#itm=sales_rev_turn(fpt=q,fpo=0,ae=a)","showids=f","transpose=t","showheaders=f")</f>
        <v/>
      </c>
      <c r="C31" s="30" cm="1">
        <f t="array" aca="1" ref="C31" ca="1">_xll.BQL($A31, "#itm().value as #v", "#itm=sales_rev_turn(fpt=q,fpo=range(-13,2),ae=ae,fa_adjusted=y,currency='USD')/1m","showids=f","transpose=t","showheaders=f")</f>
        <v/>
      </c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0" t="n"/>
      <c r="Q31" s="31" t="n"/>
      <c r="R31" s="31" t="n"/>
    </row>
    <row r="32">
      <c r="A32" s="19">
        <f>Tickers!$D$32</f>
        <v/>
      </c>
      <c r="B32" s="29" cm="1">
        <f t="array" aca="1" ref="B32" ca="1">_xll.BQL($A32, "#itm().period as #p", "#itm=sales_rev_turn(fpt=q,fpo=0,ae=a)","showids=f","transpose=t","showheaders=f")</f>
        <v/>
      </c>
      <c r="C32" s="30" cm="1">
        <f t="array" aca="1" ref="C32" ca="1">_xll.BQL($A32, "#itm().value as #v", "#itm=sales_rev_turn(fpt=q,fpo=range(-13,2),ae=ae,fa_adjusted=y,currency='USD')/1m","showids=f","transpose=t","showheaders=f")</f>
        <v/>
      </c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30" t="n"/>
      <c r="Q32" s="31" t="n"/>
      <c r="R32" s="31" t="n"/>
    </row>
    <row r="33">
      <c r="A33" s="19">
        <f>Tickers!$D$33</f>
        <v/>
      </c>
      <c r="B33" s="29" cm="1">
        <f t="array" aca="1" ref="B33" ca="1">_xll.BQL($A33, "#itm().period as #p", "#itm=sales_rev_turn(fpt=q,fpo=0,ae=a)","showids=f","transpose=t","showheaders=f")</f>
        <v/>
      </c>
      <c r="C33" s="30" cm="1">
        <f t="array" aca="1" ref="C33" ca="1">_xll.BQL($A33, "#itm().value as #v", "#itm=sales_rev_turn(fpt=q,fpo=range(-13,2),ae=ae,fa_adjusted=y,currency='USD')/1m","showids=f","transpose=t","showheaders=f")</f>
        <v/>
      </c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0" t="n"/>
      <c r="P33" s="30" t="n"/>
      <c r="Q33" s="31" t="n"/>
      <c r="R33" s="31" t="n"/>
    </row>
    <row r="34">
      <c r="A34" s="19">
        <f>Tickers!$D$34</f>
        <v/>
      </c>
      <c r="B34" s="29" cm="1">
        <f t="array" aca="1" ref="B34" ca="1">_xll.BQL($A34, "#itm().period as #p", "#itm=sales_rev_turn(fpt=q,fpo=0,ae=a)","showids=f","transpose=t","showheaders=f")</f>
        <v/>
      </c>
      <c r="C34" s="30" cm="1">
        <f t="array" aca="1" ref="C34" ca="1">_xll.BQL($A34, "#itm().value as #v", "#itm=sales_rev_turn(fpt=q,fpo=range(-13,2),ae=ae,fa_adjusted=y,currency='USD')/1m","showids=f","transpose=t","showheaders=f")</f>
        <v/>
      </c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30" t="n"/>
      <c r="Q34" s="31" t="n"/>
      <c r="R34" s="31" t="n"/>
    </row>
    <row r="35">
      <c r="A35" s="19">
        <f>Tickers!$D$35</f>
        <v/>
      </c>
      <c r="B35" s="29" cm="1">
        <f t="array" aca="1" ref="B35" ca="1">_xll.BQL($A35, "#itm().period as #p", "#itm=sales_rev_turn(fpt=q,fpo=0,ae=a)","showids=f","transpose=t","showheaders=f")</f>
        <v/>
      </c>
      <c r="C35" s="30" cm="1">
        <f t="array" aca="1" ref="C35" ca="1">_xll.BQL($A35, "#itm().value as #v", "#itm=sales_rev_turn(fpt=q,fpo=range(-13,2),ae=ae,fa_adjusted=y,currency='USD')/1m","showids=f","transpose=t","showheaders=f")</f>
        <v/>
      </c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1" t="n"/>
      <c r="R35" s="31" t="n"/>
    </row>
    <row r="36">
      <c r="A36" s="19">
        <f>Tickers!$D$36</f>
        <v/>
      </c>
      <c r="B36" s="29" cm="1">
        <f t="array" aca="1" ref="B36" ca="1">_xll.BQL($A36, "#itm().period as #p", "#itm=sales_rev_turn(fpt=q,fpo=0,ae=a)","showids=f","transpose=t","showheaders=f")</f>
        <v/>
      </c>
      <c r="C36" s="30" cm="1">
        <f t="array" aca="1" ref="C36" ca="1">_xll.BQL($A36, "#itm().value as #v", "#itm=sales_rev_turn(fpt=q,fpo=range(-13,2),ae=ae,fa_adjusted=y,currency='USD')/1m","showids=f","transpose=t","showheaders=f")</f>
        <v/>
      </c>
      <c r="D36" s="30" t="n"/>
      <c r="E36" s="30" t="n"/>
      <c r="F36" s="30" t="n"/>
      <c r="G36" s="30" t="n"/>
      <c r="H36" s="30" t="n"/>
      <c r="I36" s="30" t="n"/>
      <c r="J36" s="30" t="n"/>
      <c r="K36" s="30" t="n"/>
      <c r="L36" s="30" t="n"/>
      <c r="M36" s="30" t="n"/>
      <c r="N36" s="30" t="n"/>
      <c r="O36" s="30" t="n"/>
      <c r="P36" s="30" t="n"/>
      <c r="Q36" s="31" t="n"/>
      <c r="R36" s="31" t="n"/>
    </row>
    <row r="37">
      <c r="A37" s="19">
        <f>Tickers!$D$37</f>
        <v/>
      </c>
      <c r="B37" s="29" cm="1">
        <f t="array" aca="1" ref="B37" ca="1">_xll.BQL($A37, "#itm().period as #p", "#itm=sales_rev_turn(fpt=q,fpo=0,ae=a)","showids=f","transpose=t","showheaders=f")</f>
        <v/>
      </c>
      <c r="C37" s="30" cm="1">
        <f t="array" aca="1" ref="C37" ca="1">_xll.BQL($A37, "#itm().value as #v", "#itm=sales_rev_turn(fpt=q,fpo=range(-13,2),ae=ae,fa_adjusted=y,currency='USD')/1m","showids=f","transpose=t","showheaders=f")</f>
        <v/>
      </c>
      <c r="D37" s="30" t="n"/>
      <c r="E37" s="30" t="n"/>
      <c r="F37" s="30" t="n"/>
      <c r="G37" s="30" t="n"/>
      <c r="H37" s="30" t="n"/>
      <c r="I37" s="30" t="n"/>
      <c r="J37" s="30" t="n"/>
      <c r="K37" s="30" t="n"/>
      <c r="L37" s="30" t="n"/>
      <c r="M37" s="30" t="n"/>
      <c r="N37" s="30" t="n"/>
      <c r="O37" s="30" t="n"/>
      <c r="P37" s="30" t="n"/>
      <c r="Q37" s="31" t="n"/>
      <c r="R37" s="31" t="n"/>
    </row>
    <row r="38">
      <c r="A38" s="19">
        <f>Tickers!$D$38</f>
        <v/>
      </c>
      <c r="B38" s="29" cm="1">
        <f t="array" aca="1" ref="B38" ca="1">_xll.BQL($A38, "#itm().period as #p", "#itm=sales_rev_turn(fpt=q,fpo=0,ae=a)","showids=f","transpose=t","showheaders=f")</f>
        <v/>
      </c>
      <c r="C38" s="30" cm="1">
        <f t="array" aca="1" ref="C38" ca="1">_xll.BQL($A38, "#itm().value as #v", "#itm=sales_rev_turn(fpt=q,fpo=range(-13,2),ae=ae,fa_adjusted=y,currency='USD')/1m","showids=f","transpose=t","showheaders=f")</f>
        <v/>
      </c>
      <c r="D38" s="30" t="n"/>
      <c r="E38" s="30" t="n"/>
      <c r="F38" s="30" t="n"/>
      <c r="G38" s="30" t="n"/>
      <c r="H38" s="30" t="n"/>
      <c r="I38" s="30" t="n"/>
      <c r="J38" s="30" t="n"/>
      <c r="K38" s="30" t="n"/>
      <c r="L38" s="30" t="n"/>
      <c r="M38" s="30" t="n"/>
      <c r="N38" s="30" t="n"/>
      <c r="O38" s="30" t="n"/>
      <c r="P38" s="30" t="n"/>
      <c r="Q38" s="31" t="n"/>
      <c r="R38" s="31" t="n"/>
    </row>
    <row r="39">
      <c r="A39" s="19">
        <f>Tickers!$D$39</f>
        <v/>
      </c>
      <c r="B39" s="29" cm="1">
        <f t="array" aca="1" ref="B39" ca="1">_xll.BQL($A39, "#itm().period as #p", "#itm=sales_rev_turn(fpt=q,fpo=0,ae=a)","showids=f","transpose=t","showheaders=f")</f>
        <v/>
      </c>
      <c r="C39" s="30" cm="1">
        <f t="array" aca="1" ref="C39" ca="1">_xll.BQL($A39, "#itm().value as #v", "#itm=sales_rev_turn(fpt=q,fpo=range(-13,2),ae=ae,fa_adjusted=y,currency='USD')/1m","showids=f","transpose=t","showheaders=f")</f>
        <v/>
      </c>
      <c r="D39" s="30" t="n"/>
      <c r="E39" s="30" t="n"/>
      <c r="F39" s="30" t="n"/>
      <c r="G39" s="30" t="n"/>
      <c r="H39" s="30" t="n"/>
      <c r="I39" s="30" t="n"/>
      <c r="J39" s="30" t="n"/>
      <c r="K39" s="30" t="n"/>
      <c r="L39" s="30" t="n"/>
      <c r="M39" s="30" t="n"/>
      <c r="N39" s="30" t="n"/>
      <c r="O39" s="30" t="n"/>
      <c r="P39" s="30" t="n"/>
      <c r="Q39" s="31" t="n"/>
      <c r="R39" s="31" t="n"/>
    </row>
    <row r="40">
      <c r="A40" s="19">
        <f>Tickers!$D$40</f>
        <v/>
      </c>
      <c r="B40" s="29" cm="1">
        <f t="array" aca="1" ref="B40" ca="1">_xll.BQL($A40, "#itm().period as #p", "#itm=sales_rev_turn(fpt=q,fpo=0,ae=a)","showids=f","transpose=t","showheaders=f")</f>
        <v/>
      </c>
      <c r="C40" s="30" cm="1">
        <f t="array" aca="1" ref="C40" ca="1">_xll.BQL($A40, "#itm().value as #v", "#itm=sales_rev_turn(fpt=q,fpo=range(-13,2),ae=ae,fa_adjusted=y,currency='USD')/1m","showids=f","transpose=t","showheaders=f")</f>
        <v/>
      </c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30" t="n"/>
      <c r="Q40" s="31" t="n"/>
      <c r="R40" s="31" t="n"/>
    </row>
    <row r="41">
      <c r="A41" s="19">
        <f>Tickers!$D$41</f>
        <v/>
      </c>
      <c r="B41" s="29" cm="1">
        <f t="array" aca="1" ref="B41" ca="1">_xll.BQL($A41, "#itm().period as #p", "#itm=sales_rev_turn(fpt=q,fpo=0,ae=a)","showids=f","transpose=t","showheaders=f")</f>
        <v/>
      </c>
      <c r="C41" s="30" cm="1">
        <f t="array" aca="1" ref="C41" ca="1">_xll.BQL($A41, "#itm().value as #v", "#itm=sales_rev_turn(fpt=q,fpo=range(-13,2),ae=ae,fa_adjusted=y,currency='USD')/1m","showids=f","transpose=t","showheaders=f")</f>
        <v/>
      </c>
      <c r="D41" s="30" t="n"/>
      <c r="E41" s="30" t="n"/>
      <c r="F41" s="30" t="n"/>
      <c r="G41" s="30" t="n"/>
      <c r="H41" s="30" t="n"/>
      <c r="I41" s="30" t="n"/>
      <c r="J41" s="30" t="n"/>
      <c r="K41" s="30" t="n"/>
      <c r="L41" s="30" t="n"/>
      <c r="M41" s="30" t="n"/>
      <c r="N41" s="30" t="n"/>
      <c r="O41" s="30" t="n"/>
      <c r="P41" s="30" t="n"/>
      <c r="Q41" s="31" t="n"/>
      <c r="R41" s="31" t="n"/>
    </row>
    <row r="42">
      <c r="A42" s="19">
        <f>Tickers!$D$42</f>
        <v/>
      </c>
      <c r="B42" s="29" cm="1">
        <f t="array" aca="1" ref="B42" ca="1">_xll.BQL($A42, "#itm().period as #p", "#itm=sales_rev_turn(fpt=q,fpo=0,ae=a)","showids=f","transpose=t","showheaders=f")</f>
        <v/>
      </c>
      <c r="C42" s="30" cm="1">
        <f t="array" aca="1" ref="C42" ca="1">_xll.BQL($A42, "#itm().value as #v", "#itm=sales_rev_turn(fpt=q,fpo=range(-13,2),ae=ae,fa_adjusted=y,currency='USD')/1m","showids=f","transpose=t","showheaders=f")</f>
        <v/>
      </c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30" t="n"/>
      <c r="P42" s="30" t="n"/>
      <c r="Q42" s="31" t="n"/>
      <c r="R42" s="31" t="n"/>
    </row>
    <row r="43">
      <c r="A43" s="19">
        <f>Tickers!$D$43</f>
        <v/>
      </c>
      <c r="B43" s="29" cm="1">
        <f t="array" aca="1" ref="B43" ca="1">_xll.BQL($A43, "#itm().period as #p", "#itm=sales_rev_turn(fpt=q,fpo=0,ae=a)","showids=f","transpose=t","showheaders=f")</f>
        <v/>
      </c>
      <c r="C43" s="30" cm="1">
        <f t="array" aca="1" ref="C43" ca="1">_xll.BQL($A43, "#itm().value as #v", "#itm=sales_rev_turn(fpt=q,fpo=range(-13,2),ae=ae,fa_adjusted=y,currency='USD')/1m","showids=f","transpose=t","showheaders=f")</f>
        <v/>
      </c>
      <c r="D43" s="30" t="n"/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30" t="n"/>
      <c r="Q43" s="31" t="n"/>
      <c r="R43" s="31" t="n"/>
    </row>
    <row r="44">
      <c r="A44" s="19">
        <f>Tickers!$D$44</f>
        <v/>
      </c>
      <c r="B44" s="29" cm="1">
        <f t="array" aca="1" ref="B44" ca="1">_xll.BQL($A44, "#itm().period as #p", "#itm=sales_rev_turn(fpt=q,fpo=0,ae=a)","showids=f","transpose=t","showheaders=f")</f>
        <v/>
      </c>
      <c r="C44" s="30" cm="1">
        <f t="array" aca="1" ref="C44" ca="1">_xll.BQL($A44, "#itm().value as #v", "#itm=sales_rev_turn(fpt=q,fpo=range(-13,2),ae=ae,fa_adjusted=y,currency='USD')/1m","showids=f","transpose=t","showheaders=f")</f>
        <v/>
      </c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0" t="n"/>
      <c r="O44" s="30" t="n"/>
      <c r="P44" s="30" t="n"/>
      <c r="Q44" s="31" t="n"/>
      <c r="R44" s="31" t="n"/>
    </row>
    <row r="45">
      <c r="A45" s="19">
        <f>Tickers!$D$45</f>
        <v/>
      </c>
      <c r="B45" s="29" cm="1">
        <f t="array" aca="1" ref="B45" ca="1">_xll.BQL($A45, "#itm().period as #p", "#itm=sales_rev_turn(fpt=q,fpo=0,ae=a)","showids=f","transpose=t","showheaders=f")</f>
        <v/>
      </c>
      <c r="C45" s="30" cm="1">
        <f t="array" aca="1" ref="C45" ca="1">_xll.BQL($A45, "#itm().value as #v", "#itm=sales_rev_turn(fpt=q,fpo=range(-13,2),ae=ae,fa_adjusted=y,currency='USD')/1m","showids=f","transpose=t","showheaders=f")</f>
        <v/>
      </c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n"/>
      <c r="M45" s="30" t="n"/>
      <c r="N45" s="30" t="n"/>
      <c r="O45" s="30" t="n"/>
      <c r="P45" s="30" t="n"/>
      <c r="Q45" s="31" t="n"/>
      <c r="R45" s="31" t="n"/>
    </row>
    <row r="46">
      <c r="A46" s="19">
        <f>Tickers!$D$46</f>
        <v/>
      </c>
      <c r="B46" s="29" cm="1">
        <f t="array" aca="1" ref="B46" ca="1">_xll.BQL($A46, "#itm().period as #p", "#itm=sales_rev_turn(fpt=q,fpo=0,ae=a)","showids=f","transpose=t","showheaders=f")</f>
        <v/>
      </c>
      <c r="C46" s="30" cm="1">
        <f t="array" aca="1" ref="C46" ca="1">_xll.BQL($A46, "#itm().value as #v", "#itm=sales_rev_turn(fpt=q,fpo=range(-13,2),ae=ae,fa_adjusted=y,currency='USD')/1m","showids=f","transpose=t","showheaders=f")</f>
        <v/>
      </c>
      <c r="D46" s="30" t="n"/>
      <c r="E46" s="30" t="n"/>
      <c r="F46" s="30" t="n"/>
      <c r="G46" s="30" t="n"/>
      <c r="H46" s="30" t="n"/>
      <c r="I46" s="30" t="n"/>
      <c r="J46" s="30" t="n"/>
      <c r="K46" s="30" t="n"/>
      <c r="L46" s="30" t="n"/>
      <c r="M46" s="30" t="n"/>
      <c r="N46" s="30" t="n"/>
      <c r="O46" s="30" t="n"/>
      <c r="P46" s="30" t="n"/>
      <c r="Q46" s="31" t="n"/>
      <c r="R46" s="31" t="n"/>
    </row>
    <row r="47">
      <c r="A47" s="19">
        <f>Tickers!$D$47</f>
        <v/>
      </c>
      <c r="B47" s="29" cm="1">
        <f t="array" aca="1" ref="B47" ca="1">_xll.BQL($A47, "#itm().period as #p", "#itm=sales_rev_turn(fpt=q,fpo=0,ae=a)","showids=f","transpose=t","showheaders=f")</f>
        <v/>
      </c>
      <c r="C47" s="30" cm="1">
        <f t="array" aca="1" ref="C47" ca="1">_xll.BQL($A47, "#itm().value as #v", "#itm=sales_rev_turn(fpt=q,fpo=range(-13,2),ae=ae,fa_adjusted=y,currency='USD')/1m","showids=f","transpose=t","showheaders=f")</f>
        <v/>
      </c>
      <c r="D47" s="30" t="n"/>
      <c r="E47" s="30" t="n"/>
      <c r="F47" s="30" t="n"/>
      <c r="G47" s="30" t="n"/>
      <c r="H47" s="30" t="n"/>
      <c r="I47" s="30" t="n"/>
      <c r="J47" s="30" t="n"/>
      <c r="K47" s="30" t="n"/>
      <c r="L47" s="30" t="n"/>
      <c r="M47" s="30" t="n"/>
      <c r="N47" s="30" t="n"/>
      <c r="O47" s="30" t="n"/>
      <c r="P47" s="30" t="n"/>
      <c r="Q47" s="31" t="n"/>
      <c r="R47" s="31" t="n"/>
    </row>
    <row r="48">
      <c r="A48" s="19">
        <f>Tickers!$D$48</f>
        <v/>
      </c>
      <c r="B48" s="29" cm="1">
        <f t="array" aca="1" ref="B48" ca="1">_xll.BQL($A48, "#itm().period as #p", "#itm=sales_rev_turn(fpt=q,fpo=0,ae=a)","showids=f","transpose=t","showheaders=f")</f>
        <v/>
      </c>
      <c r="C48" s="30" cm="1">
        <f t="array" aca="1" ref="C48" ca="1">_xll.BQL($A48, "#itm().value as #v", "#itm=sales_rev_turn(fpt=q,fpo=range(-13,2),ae=ae,fa_adjusted=y,currency='USD')/1m","showids=f","transpose=t","showheaders=f")</f>
        <v/>
      </c>
      <c r="D48" s="30" t="n"/>
      <c r="E48" s="30" t="n"/>
      <c r="F48" s="30" t="n"/>
      <c r="G48" s="30" t="n"/>
      <c r="H48" s="30" t="n"/>
      <c r="I48" s="30" t="n"/>
      <c r="J48" s="30" t="n"/>
      <c r="K48" s="30" t="n"/>
      <c r="L48" s="30" t="n"/>
      <c r="M48" s="30" t="n"/>
      <c r="N48" s="30" t="n"/>
      <c r="O48" s="30" t="n"/>
      <c r="P48" s="30" t="n"/>
      <c r="Q48" s="31" t="n"/>
      <c r="R48" s="31" t="n"/>
    </row>
    <row r="49">
      <c r="A49" s="19">
        <f>Tickers!$D$49</f>
        <v/>
      </c>
      <c r="B49" s="29" cm="1">
        <f t="array" aca="1" ref="B49" ca="1">_xll.BQL($A49, "#itm().period as #p", "#itm=sales_rev_turn(fpt=q,fpo=0,ae=a)","showids=f","transpose=t","showheaders=f")</f>
        <v/>
      </c>
      <c r="C49" s="30" cm="1">
        <f t="array" aca="1" ref="C49" ca="1">_xll.BQL($A49, "#itm().value as #v", "#itm=sales_rev_turn(fpt=q,fpo=range(-13,2),ae=ae,fa_adjusted=y,currency='USD')/1m","showids=f","transpose=t","showheaders=f")</f>
        <v/>
      </c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  <c r="M49" s="30" t="n"/>
      <c r="N49" s="30" t="n"/>
      <c r="O49" s="30" t="n"/>
      <c r="P49" s="30" t="n"/>
      <c r="Q49" s="31" t="n"/>
      <c r="R49" s="31" t="n"/>
    </row>
    <row r="50">
      <c r="A50" s="19">
        <f>Tickers!$D$50</f>
        <v/>
      </c>
      <c r="B50" s="29" cm="1">
        <f t="array" aca="1" ref="B50" ca="1">_xll.BQL($A50, "#itm().period as #p", "#itm=sales_rev_turn(fpt=q,fpo=0,ae=a)","showids=f","transpose=t","showheaders=f")</f>
        <v/>
      </c>
      <c r="C50" s="30" cm="1">
        <f t="array" aca="1" ref="C50" ca="1">_xll.BQL($A50, "#itm().value as #v", "#itm=sales_rev_turn(fpt=q,fpo=range(-13,2),ae=ae,fa_adjusted=y,currency='USD')/1m","showids=f","transpose=t","showheaders=f")</f>
        <v/>
      </c>
      <c r="D50" s="30" t="n"/>
      <c r="E50" s="30" t="n"/>
      <c r="F50" s="30" t="n"/>
      <c r="G50" s="30" t="n"/>
      <c r="H50" s="30" t="n"/>
      <c r="I50" s="30" t="n"/>
      <c r="J50" s="30" t="n"/>
      <c r="K50" s="30" t="n"/>
      <c r="L50" s="30" t="n"/>
      <c r="M50" s="30" t="n"/>
      <c r="N50" s="30" t="n"/>
      <c r="O50" s="30" t="n"/>
      <c r="P50" s="30" t="n"/>
      <c r="Q50" s="31" t="n"/>
      <c r="R50" s="31" t="n"/>
    </row>
    <row r="51">
      <c r="A51" s="19">
        <f>Tickers!$D$51</f>
        <v/>
      </c>
      <c r="B51" s="29" cm="1">
        <f t="array" aca="1" ref="B51" ca="1">_xll.BQL($A51, "#itm().period as #p", "#itm=sales_rev_turn(fpt=q,fpo=0,ae=a)","showids=f","transpose=t","showheaders=f")</f>
        <v/>
      </c>
      <c r="C51" s="30" cm="1">
        <f t="array" aca="1" ref="C51" ca="1">_xll.BQL($A51, "#itm().value as #v", "#itm=sales_rev_turn(fpt=q,fpo=range(-13,2),ae=ae,fa_adjusted=y,currency='USD')/1m","showids=f","transpose=t","showheaders=f")</f>
        <v/>
      </c>
      <c r="D51" s="30" t="n"/>
      <c r="E51" s="30" t="n"/>
      <c r="F51" s="30" t="n"/>
      <c r="G51" s="30" t="n"/>
      <c r="H51" s="30" t="n"/>
      <c r="I51" s="30" t="n"/>
      <c r="J51" s="30" t="n"/>
      <c r="K51" s="30" t="n"/>
      <c r="L51" s="30" t="n"/>
      <c r="M51" s="30" t="n"/>
      <c r="N51" s="30" t="n"/>
      <c r="O51" s="30" t="n"/>
      <c r="P51" s="30" t="n"/>
      <c r="Q51" s="31" t="n"/>
      <c r="R51" s="31" t="n"/>
    </row>
    <row r="52">
      <c r="A52" s="19">
        <f>Tickers!$D$52</f>
        <v/>
      </c>
      <c r="B52" s="29" cm="1">
        <f t="array" aca="1" ref="B52" ca="1">_xll.BQL($A52, "#itm().period as #p", "#itm=sales_rev_turn(fpt=q,fpo=0,ae=a)","showids=f","transpose=t","showheaders=f")</f>
        <v/>
      </c>
      <c r="C52" s="30" cm="1">
        <f t="array" aca="1" ref="C52" ca="1">_xll.BQL($A52, "#itm().value as #v", "#itm=sales_rev_turn(fpt=q,fpo=range(-13,2),ae=ae,fa_adjusted=y,currency='USD')/1m","showids=f","transpose=t","showheaders=f")</f>
        <v/>
      </c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30" t="n"/>
      <c r="P52" s="30" t="n"/>
      <c r="Q52" s="31" t="n"/>
      <c r="R52" s="31" t="n"/>
    </row>
    <row r="53">
      <c r="A53" s="19">
        <f>Tickers!$D$53</f>
        <v/>
      </c>
      <c r="B53" s="29" cm="1">
        <f t="array" aca="1" ref="B53" ca="1">_xll.BQL($A53, "#itm().period as #p", "#itm=sales_rev_turn(fpt=q,fpo=0,ae=a)","showids=f","transpose=t","showheaders=f")</f>
        <v/>
      </c>
      <c r="C53" s="30" cm="1">
        <f t="array" aca="1" ref="C53" ca="1">_xll.BQL($A53, "#itm().value as #v", "#itm=sales_rev_turn(fpt=q,fpo=range(-13,2),ae=ae,fa_adjusted=y,currency='USD')/1m","showids=f","transpose=t","showheaders=f")</f>
        <v/>
      </c>
      <c r="D53" s="30" t="n"/>
      <c r="E53" s="30" t="n"/>
      <c r="F53" s="30" t="n"/>
      <c r="G53" s="30" t="n"/>
      <c r="H53" s="30" t="n"/>
      <c r="I53" s="30" t="n"/>
      <c r="J53" s="30" t="n"/>
      <c r="K53" s="30" t="n"/>
      <c r="L53" s="30" t="n"/>
      <c r="M53" s="30" t="n"/>
      <c r="N53" s="30" t="n"/>
      <c r="O53" s="30" t="n"/>
      <c r="P53" s="30" t="n"/>
      <c r="Q53" s="31" t="n"/>
      <c r="R53" s="31" t="n"/>
    </row>
    <row r="54">
      <c r="A54" s="19">
        <f>Tickers!$D$54</f>
        <v/>
      </c>
      <c r="B54" s="29" cm="1">
        <f t="array" aca="1" ref="B54" ca="1">_xll.BQL($A54, "#itm().period as #p", "#itm=sales_rev_turn(fpt=q,fpo=0,ae=a)","showids=f","transpose=t","showheaders=f")</f>
        <v/>
      </c>
      <c r="C54" s="30" cm="1">
        <f t="array" aca="1" ref="C54" ca="1">_xll.BQL($A54, "#itm().value as #v", "#itm=sales_rev_turn(fpt=q,fpo=range(-13,2),ae=ae,fa_adjusted=y,currency='USD')/1m","showids=f","transpose=t","showheaders=f")</f>
        <v/>
      </c>
      <c r="D54" s="30" t="n"/>
      <c r="E54" s="30" t="n"/>
      <c r="F54" s="30" t="n"/>
      <c r="G54" s="30" t="n"/>
      <c r="H54" s="30" t="n"/>
      <c r="I54" s="30" t="n"/>
      <c r="J54" s="30" t="n"/>
      <c r="K54" s="30" t="n"/>
      <c r="L54" s="30" t="n"/>
      <c r="M54" s="30" t="n"/>
      <c r="N54" s="30" t="n"/>
      <c r="O54" s="30" t="n"/>
      <c r="P54" s="30" t="n"/>
      <c r="Q54" s="31" t="n"/>
      <c r="R54" s="31" t="n"/>
    </row>
    <row r="55">
      <c r="A55" s="19">
        <f>Tickers!$D$55</f>
        <v/>
      </c>
      <c r="B55" s="29" cm="1">
        <f t="array" aca="1" ref="B55" ca="1">_xll.BQL($A55, "#itm().period as #p", "#itm=sales_rev_turn(fpt=q,fpo=0,ae=a)","showids=f","transpose=t","showheaders=f")</f>
        <v/>
      </c>
      <c r="C55" s="30" cm="1">
        <f t="array" aca="1" ref="C55" ca="1">_xll.BQL($A55, "#itm().value as #v", "#itm=sales_rev_turn(fpt=q,fpo=range(-13,2),ae=ae,fa_adjusted=y,currency='USD')/1m","showids=f","transpose=t","showheaders=f")</f>
        <v/>
      </c>
      <c r="D55" s="30" t="n"/>
      <c r="E55" s="30" t="n"/>
      <c r="F55" s="30" t="n"/>
      <c r="G55" s="30" t="n"/>
      <c r="H55" s="30" t="n"/>
      <c r="I55" s="30" t="n"/>
      <c r="J55" s="30" t="n"/>
      <c r="K55" s="30" t="n"/>
      <c r="L55" s="30" t="n"/>
      <c r="M55" s="30" t="n"/>
      <c r="N55" s="30" t="n"/>
      <c r="O55" s="30" t="n"/>
      <c r="P55" s="30" t="n"/>
      <c r="Q55" s="31" t="n"/>
      <c r="R55" s="31" t="n"/>
    </row>
    <row r="56">
      <c r="A56" s="19">
        <f>Tickers!$D$56</f>
        <v/>
      </c>
      <c r="B56" s="29" cm="1">
        <f t="array" aca="1" ref="B56" ca="1">_xll.BQL($A56, "#itm().period as #p", "#itm=sales_rev_turn(fpt=q,fpo=0,ae=a)","showids=f","transpose=t","showheaders=f")</f>
        <v/>
      </c>
      <c r="C56" s="30" cm="1">
        <f t="array" aca="1" ref="C56" ca="1">_xll.BQL($A56, "#itm().value as #v", "#itm=sales_rev_turn(fpt=q,fpo=range(-13,2),ae=ae,fa_adjusted=y,currency='USD')/1m","showids=f","transpose=t","showheaders=f")</f>
        <v/>
      </c>
      <c r="D56" s="30" t="n"/>
      <c r="E56" s="30" t="n"/>
      <c r="F56" s="30" t="n"/>
      <c r="G56" s="30" t="n"/>
      <c r="H56" s="30" t="n"/>
      <c r="I56" s="30" t="n"/>
      <c r="J56" s="30" t="n"/>
      <c r="K56" s="30" t="n"/>
      <c r="L56" s="30" t="n"/>
      <c r="M56" s="30" t="n"/>
      <c r="N56" s="30" t="n"/>
      <c r="O56" s="30" t="n"/>
      <c r="P56" s="30" t="n"/>
      <c r="Q56" s="31" t="n"/>
      <c r="R56" s="31" t="n"/>
    </row>
    <row r="57">
      <c r="A57" s="19">
        <f>Tickers!$D$57</f>
        <v/>
      </c>
      <c r="B57" s="29" cm="1">
        <f t="array" aca="1" ref="B57" ca="1">_xll.BQL($A57, "#itm().period as #p", "#itm=sales_rev_turn(fpt=q,fpo=0,ae=a)","showids=f","transpose=t","showheaders=f")</f>
        <v/>
      </c>
      <c r="C57" s="30" cm="1">
        <f t="array" aca="1" ref="C57" ca="1">_xll.BQL($A57, "#itm().value as #v", "#itm=sales_rev_turn(fpt=q,fpo=range(-13,2),ae=ae,fa_adjusted=y,currency='USD')/1m","showids=f","transpose=t","showheaders=f")</f>
        <v/>
      </c>
      <c r="D57" s="30" t="n"/>
      <c r="E57" s="30" t="n"/>
      <c r="F57" s="30" t="n"/>
      <c r="G57" s="30" t="n"/>
      <c r="H57" s="30" t="n"/>
      <c r="I57" s="30" t="n"/>
      <c r="J57" s="30" t="n"/>
      <c r="K57" s="30" t="n"/>
      <c r="L57" s="30" t="n"/>
      <c r="M57" s="30" t="n"/>
      <c r="N57" s="30" t="n"/>
      <c r="O57" s="30" t="n"/>
      <c r="P57" s="30" t="n"/>
      <c r="Q57" s="31" t="n"/>
      <c r="R57" s="31" t="n"/>
    </row>
    <row r="58">
      <c r="A58" s="19">
        <f>Tickers!$D$58</f>
        <v/>
      </c>
      <c r="B58" s="29" cm="1">
        <f t="array" aca="1" ref="B58" ca="1">_xll.BQL($A58, "#itm().period as #p", "#itm=sales_rev_turn(fpt=q,fpo=0,ae=a)","showids=f","transpose=t","showheaders=f")</f>
        <v/>
      </c>
      <c r="C58" s="30" cm="1">
        <f t="array" aca="1" ref="C58" ca="1">_xll.BQL($A58, "#itm().value as #v", "#itm=sales_rev_turn(fpt=q,fpo=range(-13,2),ae=ae,fa_adjusted=y,currency='USD')/1m","showids=f","transpose=t","showheaders=f")</f>
        <v/>
      </c>
      <c r="D58" s="30" t="n"/>
      <c r="E58" s="30" t="n"/>
      <c r="F58" s="30" t="n"/>
      <c r="G58" s="30" t="n"/>
      <c r="H58" s="30" t="n"/>
      <c r="I58" s="30" t="n"/>
      <c r="J58" s="30" t="n"/>
      <c r="K58" s="30" t="n"/>
      <c r="L58" s="30" t="n"/>
      <c r="M58" s="30" t="n"/>
      <c r="N58" s="30" t="n"/>
      <c r="O58" s="30" t="n"/>
      <c r="P58" s="30" t="n"/>
      <c r="Q58" s="31" t="n"/>
      <c r="R58" s="31" t="n"/>
    </row>
    <row r="59">
      <c r="A59" s="19">
        <f>Tickers!$D$59</f>
        <v/>
      </c>
      <c r="B59" s="29" cm="1">
        <f t="array" aca="1" ref="B59" ca="1">_xll.BQL($A59, "#itm().period as #p", "#itm=sales_rev_turn(fpt=q,fpo=0,ae=a)","showids=f","transpose=t","showheaders=f")</f>
        <v/>
      </c>
      <c r="C59" s="30" cm="1">
        <f t="array" aca="1" ref="C59" ca="1">_xll.BQL($A59, "#itm().value as #v", "#itm=sales_rev_turn(fpt=q,fpo=range(-13,2),ae=ae,fa_adjusted=y,currency='USD')/1m","showids=f","transpose=t","showheaders=f")</f>
        <v/>
      </c>
      <c r="D59" s="30" t="n"/>
      <c r="E59" s="30" t="n"/>
      <c r="F59" s="30" t="n"/>
      <c r="G59" s="30" t="n"/>
      <c r="H59" s="30" t="n"/>
      <c r="I59" s="30" t="n"/>
      <c r="J59" s="30" t="n"/>
      <c r="K59" s="30" t="n"/>
      <c r="L59" s="30" t="n"/>
      <c r="M59" s="30" t="n"/>
      <c r="N59" s="30" t="n"/>
      <c r="O59" s="30" t="n"/>
      <c r="P59" s="30" t="n"/>
      <c r="Q59" s="31" t="n"/>
      <c r="R59" s="31" t="n"/>
    </row>
    <row r="60">
      <c r="A60" s="19">
        <f>Tickers!$D$60</f>
        <v/>
      </c>
      <c r="B60" s="29" cm="1">
        <f t="array" aca="1" ref="B60" ca="1">_xll.BQL($A60, "#itm().period as #p", "#itm=sales_rev_turn(fpt=q,fpo=0,ae=a)","showids=f","transpose=t","showheaders=f")</f>
        <v/>
      </c>
      <c r="C60" s="30" cm="1">
        <f t="array" aca="1" ref="C60" ca="1">_xll.BQL($A60, "#itm().value as #v", "#itm=sales_rev_turn(fpt=q,fpo=range(-13,2),ae=ae,fa_adjusted=y,currency='USD')/1m","showids=f","transpose=t","showheaders=f")</f>
        <v/>
      </c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1" t="n"/>
      <c r="R60" s="31" t="n"/>
    </row>
    <row r="61">
      <c r="A61" s="19">
        <f>Tickers!$D$61</f>
        <v/>
      </c>
      <c r="B61" s="29" cm="1">
        <f t="array" aca="1" ref="B61" ca="1">_xll.BQL($A61, "#itm().period as #p", "#itm=sales_rev_turn(fpt=q,fpo=0,ae=a)","showids=f","transpose=t","showheaders=f")</f>
        <v/>
      </c>
      <c r="C61" s="30" cm="1">
        <f t="array" aca="1" ref="C61" ca="1">_xll.BQL($A61, "#itm().value as #v", "#itm=sales_rev_turn(fpt=q,fpo=range(-13,2),ae=ae,fa_adjusted=y,currency='USD')/1m","showids=f","transpose=t","showheaders=f")</f>
        <v/>
      </c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  <c r="M61" s="30" t="n"/>
      <c r="N61" s="30" t="n"/>
      <c r="O61" s="30" t="n"/>
      <c r="P61" s="30" t="n"/>
      <c r="Q61" s="31" t="n"/>
      <c r="R61" s="31" t="n"/>
    </row>
    <row r="62">
      <c r="A62" s="19">
        <f>Tickers!$D$62</f>
        <v/>
      </c>
      <c r="B62" s="29" cm="1">
        <f t="array" aca="1" ref="B62" ca="1">_xll.BQL($A62, "#itm().period as #p", "#itm=sales_rev_turn(fpt=q,fpo=0,ae=a)","showids=f","transpose=t","showheaders=f")</f>
        <v/>
      </c>
      <c r="C62" s="30" cm="1">
        <f t="array" aca="1" ref="C62" ca="1">_xll.BQL($A62, "#itm().value as #v", "#itm=sales_rev_turn(fpt=q,fpo=range(-13,2),ae=ae,fa_adjusted=y,currency='USD')/1m","showids=f","transpose=t","showheaders=f")</f>
        <v/>
      </c>
      <c r="D62" s="30" t="n"/>
      <c r="E62" s="30" t="n"/>
      <c r="F62" s="30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30" t="n"/>
      <c r="P62" s="30" t="n"/>
      <c r="Q62" s="31" t="n"/>
      <c r="R62" s="31" t="n"/>
    </row>
    <row r="63">
      <c r="A63" s="19">
        <f>Tickers!$D$63</f>
        <v/>
      </c>
      <c r="B63" s="29" cm="1">
        <f t="array" aca="1" ref="B63" ca="1">_xll.BQL($A63, "#itm().period as #p", "#itm=sales_rev_turn(fpt=q,fpo=0,ae=a)","showids=f","transpose=t","showheaders=f")</f>
        <v/>
      </c>
      <c r="C63" s="30" cm="1">
        <f t="array" aca="1" ref="C63" ca="1">_xll.BQL($A63, "#itm().value as #v", "#itm=sales_rev_turn(fpt=q,fpo=range(-13,2),ae=ae,fa_adjusted=y,currency='USD')/1m","showids=f","transpose=t","showheaders=f")</f>
        <v/>
      </c>
      <c r="D63" s="30" t="n"/>
      <c r="E63" s="30" t="n"/>
      <c r="F63" s="30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30" t="n"/>
      <c r="P63" s="30" t="n"/>
      <c r="Q63" s="31" t="n"/>
      <c r="R63" s="31" t="n"/>
    </row>
    <row r="64">
      <c r="A64" s="19">
        <f>Tickers!$D$64</f>
        <v/>
      </c>
      <c r="B64" s="29" cm="1">
        <f t="array" aca="1" ref="B64" ca="1">_xll.BQL($A64, "#itm().period as #p", "#itm=sales_rev_turn(fpt=q,fpo=0,ae=a)","showids=f","transpose=t","showheaders=f")</f>
        <v/>
      </c>
      <c r="C64" s="30" cm="1">
        <f t="array" aca="1" ref="C64" ca="1">_xll.BQL($A64, "#itm().value as #v", "#itm=sales_rev_turn(fpt=q,fpo=range(-13,2),ae=ae,fa_adjusted=y,currency='USD')/1m","showids=f","transpose=t","showheaders=f")</f>
        <v/>
      </c>
      <c r="D64" s="30" t="n"/>
      <c r="E64" s="30" t="n"/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30" t="n"/>
      <c r="Q64" s="31" t="n"/>
      <c r="R64" s="31" t="n"/>
    </row>
    <row r="65">
      <c r="A65" s="19">
        <f>Tickers!$D$65</f>
        <v/>
      </c>
      <c r="B65" s="29" cm="1">
        <f t="array" aca="1" ref="B65" ca="1">_xll.BQL($A65, "#itm().period as #p", "#itm=sales_rev_turn(fpt=q,fpo=0,ae=a)","showids=f","transpose=t","showheaders=f")</f>
        <v/>
      </c>
      <c r="C65" s="30" cm="1">
        <f t="array" aca="1" ref="C65" ca="1">_xll.BQL($A65, "#itm().value as #v", "#itm=sales_rev_turn(fpt=q,fpo=range(-13,2),ae=ae,fa_adjusted=y,currency='USD')/1m","showids=f","transpose=t","showheaders=f")</f>
        <v/>
      </c>
      <c r="D65" s="30" t="n"/>
      <c r="E65" s="30" t="n"/>
      <c r="F65" s="30" t="n"/>
      <c r="G65" s="30" t="n"/>
      <c r="H65" s="30" t="n"/>
      <c r="I65" s="30" t="n"/>
      <c r="J65" s="30" t="n"/>
      <c r="K65" s="30" t="n"/>
      <c r="L65" s="30" t="n"/>
      <c r="M65" s="30" t="n"/>
      <c r="N65" s="30" t="n"/>
      <c r="O65" s="30" t="n"/>
      <c r="P65" s="30" t="n"/>
      <c r="Q65" s="31" t="n"/>
      <c r="R65" s="31" t="n"/>
    </row>
    <row r="66">
      <c r="A66" s="19">
        <f>Tickers!$D$66</f>
        <v/>
      </c>
      <c r="B66" s="29" cm="1">
        <f t="array" aca="1" ref="B66" ca="1">_xll.BQL($A66, "#itm().period as #p", "#itm=sales_rev_turn(fpt=q,fpo=0,ae=a)","showids=f","transpose=t","showheaders=f")</f>
        <v/>
      </c>
      <c r="C66" s="30" cm="1">
        <f t="array" aca="1" ref="C66" ca="1">_xll.BQL($A66, "#itm().value as #v", "#itm=sales_rev_turn(fpt=q,fpo=range(-13,2),ae=ae,fa_adjusted=y,currency='USD')/1m","showids=f","transpose=t","showheaders=f")</f>
        <v/>
      </c>
      <c r="D66" s="30" t="n"/>
      <c r="E66" s="30" t="n"/>
      <c r="F66" s="30" t="n"/>
      <c r="G66" s="30" t="n"/>
      <c r="H66" s="30" t="n"/>
      <c r="I66" s="30" t="n"/>
      <c r="J66" s="30" t="n"/>
      <c r="K66" s="30" t="n"/>
      <c r="L66" s="30" t="n"/>
      <c r="M66" s="30" t="n"/>
      <c r="N66" s="30" t="n"/>
      <c r="O66" s="30" t="n"/>
      <c r="P66" s="30" t="n"/>
      <c r="Q66" s="31" t="n"/>
      <c r="R66" s="31" t="n"/>
    </row>
    <row r="67">
      <c r="A67" s="19">
        <f>Tickers!$D$67</f>
        <v/>
      </c>
      <c r="B67" s="29" cm="1">
        <f t="array" aca="1" ref="B67" ca="1">_xll.BQL($A67, "#itm().period as #p", "#itm=sales_rev_turn(fpt=q,fpo=0,ae=a)","showids=f","transpose=t","showheaders=f")</f>
        <v/>
      </c>
      <c r="C67" s="30" cm="1">
        <f t="array" aca="1" ref="C67" ca="1">_xll.BQL($A67, "#itm().value as #v", "#itm=sales_rev_turn(fpt=q,fpo=range(-13,2),ae=ae,fa_adjusted=y,currency='USD')/1m","showids=f","transpose=t","showheaders=f")</f>
        <v/>
      </c>
      <c r="D67" s="30" t="n"/>
      <c r="E67" s="30" t="n"/>
      <c r="F67" s="30" t="n"/>
      <c r="G67" s="30" t="n"/>
      <c r="H67" s="30" t="n"/>
      <c r="I67" s="30" t="n"/>
      <c r="J67" s="30" t="n"/>
      <c r="K67" s="30" t="n"/>
      <c r="L67" s="30" t="n"/>
      <c r="M67" s="30" t="n"/>
      <c r="N67" s="30" t="n"/>
      <c r="O67" s="30" t="n"/>
      <c r="P67" s="30" t="n"/>
      <c r="Q67" s="31" t="n"/>
      <c r="R67" s="31" t="n"/>
    </row>
    <row r="68">
      <c r="A68" s="19">
        <f>Tickers!$D$68</f>
        <v/>
      </c>
      <c r="B68" s="29" cm="1">
        <f t="array" aca="1" ref="B68" ca="1">_xll.BQL($A68, "#itm().period as #p", "#itm=sales_rev_turn(fpt=q,fpo=0,ae=a)","showids=f","transpose=t","showheaders=f")</f>
        <v/>
      </c>
      <c r="C68" s="30" cm="1">
        <f t="array" aca="1" ref="C68" ca="1">_xll.BQL($A68, "#itm().value as #v", "#itm=sales_rev_turn(fpt=q,fpo=range(-13,2),ae=ae,fa_adjusted=y,currency='USD')/1m","showids=f","transpose=t","showheaders=f")</f>
        <v/>
      </c>
      <c r="D68" s="30" t="n"/>
      <c r="E68" s="30" t="n"/>
      <c r="F68" s="30" t="n"/>
      <c r="G68" s="30" t="n"/>
      <c r="H68" s="30" t="n"/>
      <c r="I68" s="30" t="n"/>
      <c r="J68" s="30" t="n"/>
      <c r="K68" s="30" t="n"/>
      <c r="L68" s="30" t="n"/>
      <c r="M68" s="30" t="n"/>
      <c r="N68" s="30" t="n"/>
      <c r="O68" s="30" t="n"/>
      <c r="P68" s="30" t="n"/>
      <c r="Q68" s="31" t="n"/>
      <c r="R68" s="31" t="n"/>
    </row>
    <row r="69">
      <c r="A69" s="19">
        <f>Tickers!$D$69</f>
        <v/>
      </c>
      <c r="B69" s="29" cm="1">
        <f t="array" aca="1" ref="B69" ca="1">_xll.BQL($A69, "#itm().period as #p", "#itm=sales_rev_turn(fpt=q,fpo=0,ae=a)","showids=f","transpose=t","showheaders=f")</f>
        <v/>
      </c>
      <c r="C69" s="30" cm="1">
        <f t="array" aca="1" ref="C69" ca="1">_xll.BQL($A69, "#itm().value as #v", "#itm=sales_rev_turn(fpt=q,fpo=range(-13,2),ae=ae,fa_adjusted=y,currency='USD')/1m","showids=f","transpose=t","showheaders=f")</f>
        <v/>
      </c>
      <c r="D69" s="30" t="n"/>
      <c r="E69" s="30" t="n"/>
      <c r="F69" s="30" t="n"/>
      <c r="G69" s="30" t="n"/>
      <c r="H69" s="30" t="n"/>
      <c r="I69" s="30" t="n"/>
      <c r="J69" s="30" t="n"/>
      <c r="K69" s="30" t="n"/>
      <c r="L69" s="30" t="n"/>
      <c r="M69" s="30" t="n"/>
      <c r="N69" s="30" t="n"/>
      <c r="O69" s="30" t="n"/>
      <c r="P69" s="30" t="n"/>
      <c r="Q69" s="31" t="n"/>
      <c r="R69" s="31" t="n"/>
    </row>
    <row r="70">
      <c r="A70" s="19">
        <f>Tickers!$D$70</f>
        <v/>
      </c>
      <c r="B70" s="29" cm="1">
        <f t="array" aca="1" ref="B70" ca="1">_xll.BQL($A70, "#itm().period as #p", "#itm=sales_rev_turn(fpt=q,fpo=0,ae=a)","showids=f","transpose=t","showheaders=f")</f>
        <v/>
      </c>
      <c r="C70" s="30" cm="1">
        <f t="array" aca="1" ref="C70" ca="1">_xll.BQL($A70, "#itm().value as #v", "#itm=sales_rev_turn(fpt=q,fpo=range(-13,2),ae=ae,fa_adjusted=y,currency='USD')/1m","showids=f","transpose=t","showheaders=f")</f>
        <v/>
      </c>
      <c r="D70" s="30" t="n"/>
      <c r="E70" s="30" t="n"/>
      <c r="F70" s="30" t="n"/>
      <c r="G70" s="30" t="n"/>
      <c r="H70" s="30" t="n"/>
      <c r="I70" s="30" t="n"/>
      <c r="J70" s="30" t="n"/>
      <c r="K70" s="30" t="n"/>
      <c r="L70" s="30" t="n"/>
      <c r="M70" s="30" t="n"/>
      <c r="N70" s="30" t="n"/>
      <c r="O70" s="30" t="n"/>
      <c r="P70" s="30" t="n"/>
      <c r="Q70" s="31" t="n"/>
      <c r="R70" s="31" t="n"/>
    </row>
    <row r="71">
      <c r="A71" s="19">
        <f>Tickers!$D$71</f>
        <v/>
      </c>
      <c r="B71" s="29" cm="1">
        <f t="array" aca="1" ref="B71" ca="1">_xll.BQL($A71, "#itm().period as #p", "#itm=sales_rev_turn(fpt=q,fpo=0,ae=a)","showids=f","transpose=t","showheaders=f")</f>
        <v/>
      </c>
      <c r="C71" s="30" cm="1">
        <f t="array" aca="1" ref="C71" ca="1">_xll.BQL($A71, "#itm().value as #v", "#itm=sales_rev_turn(fpt=q,fpo=range(-13,2),ae=ae,fa_adjusted=y,currency='USD')/1m","showids=f","transpose=t","showheaders=f")</f>
        <v/>
      </c>
      <c r="D71" s="30" t="n"/>
      <c r="E71" s="30" t="n"/>
      <c r="F71" s="30" t="n"/>
      <c r="G71" s="30" t="n"/>
      <c r="H71" s="30" t="n"/>
      <c r="I71" s="30" t="n"/>
      <c r="J71" s="30" t="n"/>
      <c r="K71" s="30" t="n"/>
      <c r="L71" s="30" t="n"/>
      <c r="M71" s="30" t="n"/>
      <c r="N71" s="30" t="n"/>
      <c r="O71" s="30" t="n"/>
      <c r="P71" s="30" t="n"/>
      <c r="Q71" s="31" t="n"/>
      <c r="R71" s="31" t="n"/>
    </row>
    <row r="72">
      <c r="A72" s="19">
        <f>Tickers!$D$72</f>
        <v/>
      </c>
      <c r="B72" s="29" cm="1">
        <f t="array" aca="1" ref="B72" ca="1">_xll.BQL($A72, "#itm().period as #p", "#itm=sales_rev_turn(fpt=q,fpo=0,ae=a)","showids=f","transpose=t","showheaders=f")</f>
        <v/>
      </c>
      <c r="C72" s="30" cm="1">
        <f t="array" aca="1" ref="C72" ca="1">_xll.BQL($A72, "#itm().value as #v", "#itm=sales_rev_turn(fpt=q,fpo=range(-13,2),ae=ae,fa_adjusted=y,currency='USD')/1m","showids=f","transpose=t","showheaders=f")</f>
        <v/>
      </c>
      <c r="D72" s="30" t="n"/>
      <c r="E72" s="30" t="n"/>
      <c r="F72" s="30" t="n"/>
      <c r="G72" s="30" t="n"/>
      <c r="H72" s="30" t="n"/>
      <c r="I72" s="30" t="n"/>
      <c r="J72" s="30" t="n"/>
      <c r="K72" s="30" t="n"/>
      <c r="L72" s="30" t="n"/>
      <c r="M72" s="30" t="n"/>
      <c r="N72" s="30" t="n"/>
      <c r="O72" s="30" t="n"/>
      <c r="P72" s="30" t="n"/>
      <c r="Q72" s="31" t="n"/>
      <c r="R72" s="31" t="n"/>
    </row>
    <row r="73">
      <c r="A73" s="19">
        <f>Tickers!$D$73</f>
        <v/>
      </c>
      <c r="B73" s="29" cm="1">
        <f t="array" aca="1" ref="B73" ca="1">_xll.BQL($A73, "#itm().period as #p", "#itm=sales_rev_turn(fpt=q,fpo=0,ae=a)","showids=f","transpose=t","showheaders=f")</f>
        <v/>
      </c>
      <c r="C73" s="30" cm="1">
        <f t="array" aca="1" ref="C73" ca="1">_xll.BQL($A73, "#itm().value as #v", "#itm=sales_rev_turn(fpt=q,fpo=range(-13,2),ae=ae,fa_adjusted=y,currency='USD')/1m","showids=f","transpose=t","showheaders=f")</f>
        <v/>
      </c>
      <c r="D73" s="30" t="n"/>
      <c r="E73" s="30" t="n"/>
      <c r="F73" s="30" t="n"/>
      <c r="G73" s="30" t="n"/>
      <c r="H73" s="30" t="n"/>
      <c r="I73" s="30" t="n"/>
      <c r="J73" s="30" t="n"/>
      <c r="K73" s="30" t="n"/>
      <c r="L73" s="30" t="n"/>
      <c r="M73" s="30" t="n"/>
      <c r="N73" s="30" t="n"/>
      <c r="O73" s="30" t="n"/>
      <c r="P73" s="30" t="n"/>
      <c r="Q73" s="31" t="n"/>
      <c r="R73" s="31" t="n"/>
    </row>
    <row r="74">
      <c r="A74" s="19">
        <f>Tickers!$D$74</f>
        <v/>
      </c>
      <c r="B74" s="29" cm="1">
        <f t="array" aca="1" ref="B74" ca="1">_xll.BQL($A74, "#itm().period as #p", "#itm=sales_rev_turn(fpt=q,fpo=0,ae=a)","showids=f","transpose=t","showheaders=f")</f>
        <v/>
      </c>
      <c r="C74" s="30" cm="1">
        <f t="array" aca="1" ref="C74" ca="1">_xll.BQL($A74, "#itm().value as #v", "#itm=sales_rev_turn(fpt=q,fpo=range(-13,2),ae=ae,fa_adjusted=y,currency='USD')/1m","showids=f","transpose=t","showheaders=f")</f>
        <v/>
      </c>
      <c r="D74" s="30" t="n"/>
      <c r="E74" s="30" t="n"/>
      <c r="F74" s="30" t="n"/>
      <c r="G74" s="30" t="n"/>
      <c r="H74" s="30" t="n"/>
      <c r="I74" s="30" t="n"/>
      <c r="J74" s="30" t="n"/>
      <c r="K74" s="30" t="n"/>
      <c r="L74" s="30" t="n"/>
      <c r="M74" s="30" t="n"/>
      <c r="N74" s="30" t="n"/>
      <c r="O74" s="30" t="n"/>
      <c r="P74" s="30" t="n"/>
      <c r="Q74" s="31" t="n"/>
      <c r="R74" s="31" t="n"/>
    </row>
    <row r="75">
      <c r="A75" s="19">
        <f>Tickers!$D$75</f>
        <v/>
      </c>
      <c r="B75" s="29" cm="1">
        <f t="array" aca="1" ref="B75" ca="1">_xll.BQL($A75, "#itm().period as #p", "#itm=sales_rev_turn(fpt=q,fpo=0,ae=a)","showids=f","transpose=t","showheaders=f")</f>
        <v/>
      </c>
      <c r="C75" s="30" cm="1">
        <f t="array" aca="1" ref="C75" ca="1">_xll.BQL($A75, "#itm().value as #v", "#itm=sales_rev_turn(fpt=q,fpo=range(-13,2),ae=ae,fa_adjusted=y,currency='USD')/1m","showids=f","transpose=t","showheaders=f")</f>
        <v/>
      </c>
      <c r="D75" s="30" t="n"/>
      <c r="E75" s="30" t="n"/>
      <c r="F75" s="30" t="n"/>
      <c r="G75" s="30" t="n"/>
      <c r="H75" s="30" t="n"/>
      <c r="I75" s="30" t="n"/>
      <c r="J75" s="30" t="n"/>
      <c r="K75" s="30" t="n"/>
      <c r="L75" s="30" t="n"/>
      <c r="M75" s="30" t="n"/>
      <c r="N75" s="30" t="n"/>
      <c r="O75" s="30" t="n"/>
      <c r="P75" s="30" t="n"/>
      <c r="Q75" s="31" t="n"/>
      <c r="R75" s="31" t="n"/>
    </row>
    <row r="76">
      <c r="A76" s="19">
        <f>Tickers!$D$76</f>
        <v/>
      </c>
      <c r="B76" s="29" cm="1">
        <f t="array" aca="1" ref="B76" ca="1">_xll.BQL($A76, "#itm().period as #p", "#itm=sales_rev_turn(fpt=q,fpo=0,ae=a)","showids=f","transpose=t","showheaders=f")</f>
        <v/>
      </c>
      <c r="C76" s="30" cm="1">
        <f t="array" aca="1" ref="C76" ca="1">_xll.BQL($A76, "#itm().value as #v", "#itm=sales_rev_turn(fpt=q,fpo=range(-13,2),ae=ae,fa_adjusted=y,currency='USD')/1m","showids=f","transpose=t","showheaders=f")</f>
        <v/>
      </c>
      <c r="D76" s="30" t="n"/>
      <c r="E76" s="30" t="n"/>
      <c r="F76" s="30" t="n"/>
      <c r="G76" s="30" t="n"/>
      <c r="H76" s="30" t="n"/>
      <c r="I76" s="30" t="n"/>
      <c r="J76" s="30" t="n"/>
      <c r="K76" s="30" t="n"/>
      <c r="L76" s="30" t="n"/>
      <c r="M76" s="30" t="n"/>
      <c r="N76" s="30" t="n"/>
      <c r="O76" s="30" t="n"/>
      <c r="P76" s="30" t="n"/>
      <c r="Q76" s="31" t="n"/>
      <c r="R76" s="31" t="n"/>
    </row>
    <row r="77">
      <c r="A77" s="19">
        <f>Tickers!$D$77</f>
        <v/>
      </c>
      <c r="B77" s="29" cm="1">
        <f t="array" aca="1" ref="B77" ca="1">_xll.BQL($A77, "#itm().period as #p", "#itm=sales_rev_turn(fpt=q,fpo=0,ae=a)","showids=f","transpose=t","showheaders=f")</f>
        <v/>
      </c>
      <c r="C77" s="30" cm="1">
        <f t="array" aca="1" ref="C77" ca="1">_xll.BQL($A77, "#itm().value as #v", "#itm=sales_rev_turn(fpt=q,fpo=range(-13,2),ae=ae,fa_adjusted=y,currency='USD')/1m","showids=f","transpose=t","showheaders=f")</f>
        <v/>
      </c>
      <c r="D77" s="30" t="n"/>
      <c r="E77" s="30" t="n"/>
      <c r="F77" s="30" t="n"/>
      <c r="G77" s="30" t="n"/>
      <c r="H77" s="30" t="n"/>
      <c r="I77" s="30" t="n"/>
      <c r="J77" s="30" t="n"/>
      <c r="K77" s="30" t="n"/>
      <c r="L77" s="30" t="n"/>
      <c r="M77" s="30" t="n"/>
      <c r="N77" s="30" t="n"/>
      <c r="O77" s="30" t="n"/>
      <c r="P77" s="30" t="n"/>
      <c r="Q77" s="31" t="n"/>
      <c r="R77" s="31" t="n"/>
    </row>
    <row r="78">
      <c r="A78" s="19">
        <f>Tickers!$D$78</f>
        <v/>
      </c>
      <c r="B78" s="29" cm="1">
        <f t="array" aca="1" ref="B78" ca="1">_xll.BQL($A78, "#itm().period as #p", "#itm=sales_rev_turn(fpt=q,fpo=0,ae=a)","showids=f","transpose=t","showheaders=f")</f>
        <v/>
      </c>
      <c r="C78" s="30" cm="1">
        <f t="array" aca="1" ref="C78" ca="1">_xll.BQL($A78, "#itm().value as #v", "#itm=sales_rev_turn(fpt=q,fpo=range(-13,2),ae=ae,fa_adjusted=y,currency='USD')/1m","showids=f","transpose=t","showheaders=f")</f>
        <v/>
      </c>
      <c r="D78" s="30" t="n"/>
      <c r="E78" s="30" t="n"/>
      <c r="F78" s="30" t="n"/>
      <c r="G78" s="30" t="n"/>
      <c r="H78" s="30" t="n"/>
      <c r="I78" s="30" t="n"/>
      <c r="J78" s="30" t="n"/>
      <c r="K78" s="30" t="n"/>
      <c r="L78" s="30" t="n"/>
      <c r="M78" s="30" t="n"/>
      <c r="N78" s="30" t="n"/>
      <c r="O78" s="30" t="n"/>
      <c r="P78" s="30" t="n"/>
      <c r="Q78" s="31" t="n"/>
      <c r="R78" s="31" t="n"/>
    </row>
    <row r="79">
      <c r="A79" s="19">
        <f>Tickers!$D$79</f>
        <v/>
      </c>
      <c r="B79" s="29" cm="1">
        <f t="array" aca="1" ref="B79" ca="1">_xll.BQL($A79, "#itm().period as #p", "#itm=sales_rev_turn(fpt=q,fpo=0,ae=a)","showids=f","transpose=t","showheaders=f")</f>
        <v/>
      </c>
      <c r="C79" s="30" cm="1">
        <f t="array" aca="1" ref="C79" ca="1">_xll.BQL($A79, "#itm().value as #v", "#itm=sales_rev_turn(fpt=q,fpo=range(-13,2),ae=ae,fa_adjusted=y,currency='USD')/1m","showids=f","transpose=t","showheaders=f")</f>
        <v/>
      </c>
      <c r="D79" s="30" t="n"/>
      <c r="E79" s="30" t="n"/>
      <c r="F79" s="30" t="n"/>
      <c r="G79" s="30" t="n"/>
      <c r="H79" s="30" t="n"/>
      <c r="I79" s="30" t="n"/>
      <c r="J79" s="30" t="n"/>
      <c r="K79" s="30" t="n"/>
      <c r="L79" s="30" t="n"/>
      <c r="M79" s="30" t="n"/>
      <c r="N79" s="30" t="n"/>
      <c r="O79" s="30" t="n"/>
      <c r="P79" s="30" t="n"/>
      <c r="Q79" s="31" t="n"/>
      <c r="R79" s="31" t="n"/>
    </row>
    <row r="80">
      <c r="A80" s="19">
        <f>Tickers!$D$80</f>
        <v/>
      </c>
      <c r="B80" s="29" cm="1">
        <f t="array" aca="1" ref="B80" ca="1">_xll.BQL($A80, "#itm().period as #p", "#itm=sales_rev_turn(fpt=q,fpo=0,ae=a)","showids=f","transpose=t","showheaders=f")</f>
        <v/>
      </c>
      <c r="C80" s="30" cm="1">
        <f t="array" aca="1" ref="C80" ca="1">_xll.BQL($A80, "#itm().value as #v", "#itm=sales_rev_turn(fpt=q,fpo=range(-13,2),ae=ae,fa_adjusted=y,currency='USD')/1m","showids=f","transpose=t","showheaders=f")</f>
        <v/>
      </c>
      <c r="D80" s="30" t="n"/>
      <c r="E80" s="30" t="n"/>
      <c r="F80" s="30" t="n"/>
      <c r="G80" s="30" t="n"/>
      <c r="H80" s="30" t="n"/>
      <c r="I80" s="30" t="n"/>
      <c r="J80" s="30" t="n"/>
      <c r="K80" s="30" t="n"/>
      <c r="L80" s="30" t="n"/>
      <c r="M80" s="30" t="n"/>
      <c r="N80" s="30" t="n"/>
      <c r="O80" s="30" t="n"/>
      <c r="P80" s="30" t="n"/>
      <c r="Q80" s="31" t="n"/>
      <c r="R80" s="31" t="n"/>
    </row>
    <row r="81">
      <c r="A81" s="19">
        <f>Tickers!$D$81</f>
        <v/>
      </c>
      <c r="B81" s="29" cm="1">
        <f t="array" aca="1" ref="B81" ca="1">_xll.BQL($A81, "#itm().period as #p", "#itm=sales_rev_turn(fpt=q,fpo=0,ae=a)","showids=f","transpose=t","showheaders=f")</f>
        <v/>
      </c>
      <c r="C81" s="30" cm="1">
        <f t="array" aca="1" ref="C81" ca="1">_xll.BQL($A81, "#itm().value as #v", "#itm=sales_rev_turn(fpt=q,fpo=range(-13,2),ae=ae,fa_adjusted=y,currency='USD')/1m","showids=f","transpose=t","showheaders=f")</f>
        <v/>
      </c>
      <c r="D81" s="30" t="n"/>
      <c r="E81" s="30" t="n"/>
      <c r="F81" s="30" t="n"/>
      <c r="G81" s="30" t="n"/>
      <c r="H81" s="30" t="n"/>
      <c r="I81" s="30" t="n"/>
      <c r="J81" s="30" t="n"/>
      <c r="K81" s="30" t="n"/>
      <c r="L81" s="30" t="n"/>
      <c r="M81" s="30" t="n"/>
      <c r="N81" s="30" t="n"/>
      <c r="O81" s="30" t="n"/>
      <c r="P81" s="30" t="n"/>
      <c r="Q81" s="31" t="n"/>
      <c r="R81" s="31" t="n"/>
    </row>
    <row r="82">
      <c r="A82" s="19">
        <f>Tickers!$D$82</f>
        <v/>
      </c>
      <c r="B82" s="29" cm="1">
        <f t="array" aca="1" ref="B82" ca="1">_xll.BQL($A82, "#itm().period as #p", "#itm=sales_rev_turn(fpt=q,fpo=0,ae=a)","showids=f","transpose=t","showheaders=f")</f>
        <v/>
      </c>
      <c r="C82" s="30" cm="1">
        <f t="array" aca="1" ref="C82" ca="1">_xll.BQL($A82, "#itm().value as #v", "#itm=sales_rev_turn(fpt=q,fpo=range(-13,2),ae=ae,fa_adjusted=y,currency='USD')/1m","showids=f","transpose=t","showheaders=f")</f>
        <v/>
      </c>
      <c r="D82" s="30" t="n"/>
      <c r="E82" s="30" t="n"/>
      <c r="F82" s="30" t="n"/>
      <c r="G82" s="30" t="n"/>
      <c r="H82" s="30" t="n"/>
      <c r="I82" s="30" t="n"/>
      <c r="J82" s="30" t="n"/>
      <c r="K82" s="30" t="n"/>
      <c r="L82" s="30" t="n"/>
      <c r="M82" s="30" t="n"/>
      <c r="N82" s="30" t="n"/>
      <c r="O82" s="30" t="n"/>
      <c r="P82" s="30" t="n"/>
      <c r="Q82" s="31" t="n"/>
      <c r="R82" s="31" t="n"/>
    </row>
    <row r="83">
      <c r="A83" s="19">
        <f>Tickers!$D$83</f>
        <v/>
      </c>
      <c r="B83" s="29" cm="1">
        <f t="array" aca="1" ref="B83" ca="1">_xll.BQL($A83, "#itm().period as #p", "#itm=sales_rev_turn(fpt=q,fpo=0,ae=a)","showids=f","transpose=t","showheaders=f")</f>
        <v/>
      </c>
      <c r="C83" s="30" cm="1">
        <f t="array" aca="1" ref="C83" ca="1">_xll.BQL($A83, "#itm().value as #v", "#itm=sales_rev_turn(fpt=q,fpo=range(-13,2),ae=ae,fa_adjusted=y,currency='USD')/1m","showids=f","transpose=t","showheaders=f")</f>
        <v/>
      </c>
      <c r="D83" s="30" t="n"/>
      <c r="E83" s="30" t="n"/>
      <c r="F83" s="30" t="n"/>
      <c r="G83" s="30" t="n"/>
      <c r="H83" s="30" t="n"/>
      <c r="I83" s="30" t="n"/>
      <c r="J83" s="30" t="n"/>
      <c r="K83" s="30" t="n"/>
      <c r="L83" s="30" t="n"/>
      <c r="M83" s="30" t="n"/>
      <c r="N83" s="30" t="n"/>
      <c r="O83" s="30" t="n"/>
      <c r="P83" s="30" t="n"/>
      <c r="Q83" s="31" t="n"/>
      <c r="R83" s="31" t="n"/>
    </row>
    <row r="84">
      <c r="A84" s="19">
        <f>Tickers!$D$84</f>
        <v/>
      </c>
      <c r="B84" s="29" cm="1">
        <f t="array" aca="1" ref="B84" ca="1">_xll.BQL($A84, "#itm().period as #p", "#itm=sales_rev_turn(fpt=q,fpo=0,ae=a)","showids=f","transpose=t","showheaders=f")</f>
        <v/>
      </c>
      <c r="C84" s="30" cm="1">
        <f t="array" aca="1" ref="C84" ca="1">_xll.BQL($A84, "#itm().value as #v", "#itm=sales_rev_turn(fpt=q,fpo=range(-13,2),ae=ae,fa_adjusted=y,currency='USD')/1m","showids=f","transpose=t","showheaders=f")</f>
        <v/>
      </c>
      <c r="D84" s="30" t="n"/>
      <c r="E84" s="30" t="n"/>
      <c r="F84" s="30" t="n"/>
      <c r="G84" s="30" t="n"/>
      <c r="H84" s="30" t="n"/>
      <c r="I84" s="30" t="n"/>
      <c r="J84" s="30" t="n"/>
      <c r="K84" s="30" t="n"/>
      <c r="L84" s="30" t="n"/>
      <c r="M84" s="30" t="n"/>
      <c r="N84" s="30" t="n"/>
      <c r="O84" s="30" t="n"/>
      <c r="P84" s="30" t="n"/>
      <c r="Q84" s="31" t="n"/>
      <c r="R84" s="31" t="n"/>
    </row>
    <row r="85">
      <c r="A85" s="19">
        <f>Tickers!$D$85</f>
        <v/>
      </c>
      <c r="B85" s="29" cm="1">
        <f t="array" aca="1" ref="B85" ca="1">_xll.BQL($A85, "#itm().period as #p", "#itm=sales_rev_turn(fpt=q,fpo=0,ae=a)","showids=f","transpose=t","showheaders=f")</f>
        <v/>
      </c>
      <c r="C85" s="30" cm="1">
        <f t="array" aca="1" ref="C85" ca="1">_xll.BQL($A85, "#itm().value as #v", "#itm=sales_rev_turn(fpt=q,fpo=range(-13,2),ae=ae,fa_adjusted=y,currency='USD')/1m","showids=f","transpose=t","showheaders=f")</f>
        <v/>
      </c>
      <c r="D85" s="30" t="n"/>
      <c r="E85" s="30" t="n"/>
      <c r="F85" s="30" t="n"/>
      <c r="G85" s="30" t="n"/>
      <c r="H85" s="30" t="n"/>
      <c r="I85" s="30" t="n"/>
      <c r="J85" s="30" t="n"/>
      <c r="K85" s="30" t="n"/>
      <c r="L85" s="30" t="n"/>
      <c r="M85" s="30" t="n"/>
      <c r="N85" s="30" t="n"/>
      <c r="O85" s="30" t="n"/>
      <c r="P85" s="30" t="n"/>
      <c r="Q85" s="31" t="n"/>
      <c r="R85" s="31" t="n"/>
    </row>
    <row r="86">
      <c r="A86" s="19">
        <f>Tickers!$D$86</f>
        <v/>
      </c>
      <c r="B86" s="29" cm="1">
        <f t="array" aca="1" ref="B86" ca="1">_xll.BQL($A86, "#itm().period as #p", "#itm=sales_rev_turn(fpt=q,fpo=0,ae=a)","showids=f","transpose=t","showheaders=f")</f>
        <v/>
      </c>
      <c r="C86" s="30" cm="1">
        <f t="array" aca="1" ref="C86" ca="1">_xll.BQL($A86, "#itm().value as #v", "#itm=sales_rev_turn(fpt=q,fpo=range(-13,2),ae=ae,fa_adjusted=y,currency='USD')/1m","showids=f","transpose=t","showheaders=f")</f>
        <v/>
      </c>
      <c r="D86" s="30" t="n"/>
      <c r="E86" s="30" t="n"/>
      <c r="F86" s="30" t="n"/>
      <c r="G86" s="30" t="n"/>
      <c r="H86" s="30" t="n"/>
      <c r="I86" s="30" t="n"/>
      <c r="J86" s="30" t="n"/>
      <c r="K86" s="30" t="n"/>
      <c r="L86" s="30" t="n"/>
      <c r="M86" s="30" t="n"/>
      <c r="N86" s="30" t="n"/>
      <c r="O86" s="30" t="n"/>
      <c r="P86" s="30" t="n"/>
      <c r="Q86" s="31" t="n"/>
      <c r="R86" s="31" t="n"/>
    </row>
    <row r="87">
      <c r="A87" s="19">
        <f>Tickers!$D$87</f>
        <v/>
      </c>
      <c r="B87" s="29" cm="1">
        <f t="array" aca="1" ref="B87" ca="1">_xll.BQL($A87, "#itm().period as #p", "#itm=sales_rev_turn(fpt=q,fpo=0,ae=a)","showids=f","transpose=t","showheaders=f")</f>
        <v/>
      </c>
      <c r="C87" s="30" cm="1">
        <f t="array" aca="1" ref="C87" ca="1">_xll.BQL($A87, "#itm().value as #v", "#itm=sales_rev_turn(fpt=q,fpo=range(-13,2),ae=ae,fa_adjusted=y,currency='USD')/1m","showids=f","transpose=t","showheaders=f")</f>
        <v/>
      </c>
      <c r="D87" s="30" t="n"/>
      <c r="E87" s="30" t="n"/>
      <c r="F87" s="30" t="n"/>
      <c r="G87" s="30" t="n"/>
      <c r="H87" s="30" t="n"/>
      <c r="I87" s="30" t="n"/>
      <c r="J87" s="30" t="n"/>
      <c r="K87" s="30" t="n"/>
      <c r="L87" s="30" t="n"/>
      <c r="M87" s="30" t="n"/>
      <c r="N87" s="30" t="n"/>
      <c r="O87" s="30" t="n"/>
      <c r="P87" s="30" t="n"/>
      <c r="Q87" s="31" t="n"/>
      <c r="R87" s="31" t="n"/>
    </row>
    <row r="88">
      <c r="A88" s="19">
        <f>Tickers!$D$88</f>
        <v/>
      </c>
      <c r="B88" s="29" cm="1">
        <f t="array" aca="1" ref="B88" ca="1">_xll.BQL($A88, "#itm().period as #p", "#itm=sales_rev_turn(fpt=q,fpo=0,ae=a)","showids=f","transpose=t","showheaders=f")</f>
        <v/>
      </c>
      <c r="C88" s="30" cm="1">
        <f t="array" aca="1" ref="C88" ca="1">_xll.BQL($A88, "#itm().value as #v", "#itm=sales_rev_turn(fpt=q,fpo=range(-13,2),ae=ae,fa_adjusted=y,currency='USD')/1m","showids=f","transpose=t","showheaders=f")</f>
        <v/>
      </c>
      <c r="D88" s="30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30" t="n"/>
      <c r="P88" s="30" t="n"/>
      <c r="Q88" s="31" t="n"/>
      <c r="R88" s="31" t="n"/>
    </row>
    <row r="89">
      <c r="A89" s="19">
        <f>Tickers!$D$89</f>
        <v/>
      </c>
      <c r="B89" s="29" cm="1">
        <f t="array" aca="1" ref="B89" ca="1">_xll.BQL($A89, "#itm().period as #p", "#itm=sales_rev_turn(fpt=q,fpo=0,ae=a)","showids=f","transpose=t","showheaders=f")</f>
        <v/>
      </c>
      <c r="C89" s="30" cm="1">
        <f t="array" aca="1" ref="C89" ca="1">_xll.BQL($A89, "#itm().value as #v", "#itm=sales_rev_turn(fpt=q,fpo=range(-13,2),ae=ae,fa_adjusted=y,currency='USD')/1m","showids=f","transpose=t","showheaders=f")</f>
        <v/>
      </c>
      <c r="D89" s="30" t="n"/>
      <c r="E89" s="30" t="n"/>
      <c r="F89" s="30" t="n"/>
      <c r="G89" s="30" t="n"/>
      <c r="H89" s="30" t="n"/>
      <c r="I89" s="30" t="n"/>
      <c r="J89" s="30" t="n"/>
      <c r="K89" s="30" t="n"/>
      <c r="L89" s="30" t="n"/>
      <c r="M89" s="30" t="n"/>
      <c r="N89" s="30" t="n"/>
      <c r="O89" s="30" t="n"/>
      <c r="P89" s="30" t="n"/>
      <c r="Q89" s="31" t="n"/>
      <c r="R89" s="31" t="n"/>
    </row>
    <row r="90">
      <c r="A90" s="19">
        <f>Tickers!$D$90</f>
        <v/>
      </c>
      <c r="B90" s="29" cm="1">
        <f t="array" aca="1" ref="B90" ca="1">_xll.BQL($A90, "#itm().period as #p", "#itm=sales_rev_turn(fpt=q,fpo=0,ae=a)","showids=f","transpose=t","showheaders=f")</f>
        <v/>
      </c>
      <c r="C90" s="30" cm="1">
        <f t="array" aca="1" ref="C90" ca="1">_xll.BQL($A90, "#itm().value as #v", "#itm=sales_rev_turn(fpt=q,fpo=range(-13,2),ae=ae,fa_adjusted=y,currency='USD')/1m","showids=f","transpose=t","showheaders=f")</f>
        <v/>
      </c>
      <c r="D90" s="30" t="n"/>
      <c r="E90" s="30" t="n"/>
      <c r="F90" s="30" t="n"/>
      <c r="G90" s="30" t="n"/>
      <c r="H90" s="30" t="n"/>
      <c r="I90" s="30" t="n"/>
      <c r="J90" s="30" t="n"/>
      <c r="K90" s="30" t="n"/>
      <c r="L90" s="30" t="n"/>
      <c r="M90" s="30" t="n"/>
      <c r="N90" s="30" t="n"/>
      <c r="O90" s="30" t="n"/>
      <c r="P90" s="30" t="n"/>
      <c r="Q90" s="31" t="n"/>
      <c r="R90" s="31" t="n"/>
    </row>
    <row r="91">
      <c r="A91" s="19">
        <f>Tickers!$D$91</f>
        <v/>
      </c>
      <c r="B91" s="29" cm="1">
        <f t="array" aca="1" ref="B91" ca="1">_xll.BQL($A91, "#itm().period as #p", "#itm=sales_rev_turn(fpt=q,fpo=0,ae=a)","showids=f","transpose=t","showheaders=f")</f>
        <v/>
      </c>
      <c r="C91" s="30" cm="1">
        <f t="array" aca="1" ref="C91" ca="1">_xll.BQL($A91, "#itm().value as #v", "#itm=sales_rev_turn(fpt=q,fpo=range(-13,2),ae=ae,fa_adjusted=y,currency='USD')/1m","showids=f","transpose=t","showheaders=f")</f>
        <v/>
      </c>
      <c r="D91" s="30" t="n"/>
      <c r="E91" s="30" t="n"/>
      <c r="F91" s="30" t="n"/>
      <c r="G91" s="30" t="n"/>
      <c r="H91" s="30" t="n"/>
      <c r="I91" s="30" t="n"/>
      <c r="J91" s="30" t="n"/>
      <c r="K91" s="30" t="n"/>
      <c r="L91" s="30" t="n"/>
      <c r="M91" s="30" t="n"/>
      <c r="N91" s="30" t="n"/>
      <c r="O91" s="30" t="n"/>
      <c r="P91" s="30" t="n"/>
      <c r="Q91" s="31" t="n"/>
      <c r="R91" s="31" t="n"/>
    </row>
    <row r="92">
      <c r="A92" s="19">
        <f>Tickers!$D$92</f>
        <v/>
      </c>
      <c r="B92" s="29" cm="1">
        <f t="array" aca="1" ref="B92" ca="1">_xll.BQL($A92, "#itm().period as #p", "#itm=sales_rev_turn(fpt=q,fpo=0,ae=a)","showids=f","transpose=t","showheaders=f")</f>
        <v/>
      </c>
      <c r="C92" s="30" cm="1">
        <f t="array" aca="1" ref="C92" ca="1">_xll.BQL($A92, "#itm().value as #v", "#itm=sales_rev_turn(fpt=q,fpo=range(-13,2),ae=ae,fa_adjusted=y,currency='USD')/1m","showids=f","transpose=t","showheaders=f")</f>
        <v/>
      </c>
      <c r="D92" s="30" t="n"/>
      <c r="E92" s="30" t="n"/>
      <c r="F92" s="30" t="n"/>
      <c r="G92" s="30" t="n"/>
      <c r="H92" s="30" t="n"/>
      <c r="I92" s="30" t="n"/>
      <c r="J92" s="30" t="n"/>
      <c r="K92" s="30" t="n"/>
      <c r="L92" s="30" t="n"/>
      <c r="M92" s="30" t="n"/>
      <c r="N92" s="30" t="n"/>
      <c r="O92" s="30" t="n"/>
      <c r="P92" s="30" t="n"/>
      <c r="Q92" s="31" t="n"/>
      <c r="R92" s="31" t="n"/>
    </row>
    <row r="93">
      <c r="A93" s="19">
        <f>Tickers!$D$93</f>
        <v/>
      </c>
      <c r="B93" s="29" cm="1">
        <f t="array" aca="1" ref="B93" ca="1">_xll.BQL($A93, "#itm().period as #p", "#itm=sales_rev_turn(fpt=q,fpo=0,ae=a)","showids=f","transpose=t","showheaders=f")</f>
        <v/>
      </c>
      <c r="C93" s="30" cm="1">
        <f t="array" aca="1" ref="C93" ca="1">_xll.BQL($A93, "#itm().value as #v", "#itm=sales_rev_turn(fpt=q,fpo=range(-13,2),ae=ae,fa_adjusted=y,currency='USD')/1m","showids=f","transpose=t","showheaders=f")</f>
        <v/>
      </c>
      <c r="D93" s="30" t="n"/>
      <c r="E93" s="30" t="n"/>
      <c r="F93" s="30" t="n"/>
      <c r="G93" s="30" t="n"/>
      <c r="H93" s="30" t="n"/>
      <c r="I93" s="30" t="n"/>
      <c r="J93" s="30" t="n"/>
      <c r="K93" s="30" t="n"/>
      <c r="L93" s="30" t="n"/>
      <c r="M93" s="30" t="n"/>
      <c r="N93" s="30" t="n"/>
      <c r="O93" s="30" t="n"/>
      <c r="P93" s="30" t="n"/>
      <c r="Q93" s="31" t="n"/>
      <c r="R93" s="31" t="n"/>
    </row>
    <row r="94">
      <c r="A94" s="19">
        <f>Tickers!$D$94</f>
        <v/>
      </c>
      <c r="B94" s="29" cm="1">
        <f t="array" aca="1" ref="B94" ca="1">_xll.BQL($A94, "#itm().period as #p", "#itm=sales_rev_turn(fpt=q,fpo=0,ae=a)","showids=f","transpose=t","showheaders=f")</f>
        <v/>
      </c>
      <c r="C94" s="30" cm="1">
        <f t="array" aca="1" ref="C94" ca="1">_xll.BQL($A94, "#itm().value as #v", "#itm=sales_rev_turn(fpt=q,fpo=range(-13,2),ae=ae,fa_adjusted=y,currency='USD')/1m","showids=f","transpose=t","showheaders=f")</f>
        <v/>
      </c>
      <c r="D94" s="30" t="n"/>
      <c r="E94" s="30" t="n"/>
      <c r="F94" s="30" t="n"/>
      <c r="G94" s="30" t="n"/>
      <c r="H94" s="30" t="n"/>
      <c r="I94" s="30" t="n"/>
      <c r="J94" s="30" t="n"/>
      <c r="K94" s="30" t="n"/>
      <c r="L94" s="30" t="n"/>
      <c r="M94" s="30" t="n"/>
      <c r="N94" s="30" t="n"/>
      <c r="O94" s="30" t="n"/>
      <c r="P94" s="30" t="n"/>
      <c r="Q94" s="31" t="n"/>
      <c r="R94" s="31" t="n"/>
    </row>
    <row r="95">
      <c r="A95" s="19">
        <f>Tickers!$D$95</f>
        <v/>
      </c>
      <c r="B95" s="29" cm="1">
        <f t="array" aca="1" ref="B95" ca="1">_xll.BQL($A95, "#itm().period as #p", "#itm=sales_rev_turn(fpt=q,fpo=0,ae=a)","showids=f","transpose=t","showheaders=f")</f>
        <v/>
      </c>
      <c r="C95" s="30" cm="1">
        <f t="array" aca="1" ref="C95" ca="1">_xll.BQL($A95, "#itm().value as #v", "#itm=sales_rev_turn(fpt=q,fpo=range(-13,2),ae=ae,fa_adjusted=y,currency='USD')/1m","showids=f","transpose=t","showheaders=f")</f>
        <v/>
      </c>
      <c r="D95" s="30" t="n"/>
      <c r="E95" s="30" t="n"/>
      <c r="F95" s="30" t="n"/>
      <c r="G95" s="30" t="n"/>
      <c r="H95" s="30" t="n"/>
      <c r="I95" s="30" t="n"/>
      <c r="J95" s="30" t="n"/>
      <c r="K95" s="30" t="n"/>
      <c r="L95" s="30" t="n"/>
      <c r="M95" s="30" t="n"/>
      <c r="N95" s="30" t="n"/>
      <c r="O95" s="30" t="n"/>
      <c r="P95" s="30" t="n"/>
      <c r="Q95" s="31" t="n"/>
      <c r="R95" s="31" t="n"/>
    </row>
    <row r="96">
      <c r="A96" s="19">
        <f>Tickers!$D$96</f>
        <v/>
      </c>
      <c r="B96" s="29" cm="1">
        <f t="array" aca="1" ref="B96" ca="1">_xll.BQL($A96, "#itm().period as #p", "#itm=sales_rev_turn(fpt=q,fpo=0,ae=a)","showids=f","transpose=t","showheaders=f")</f>
        <v/>
      </c>
      <c r="C96" s="30" cm="1">
        <f t="array" aca="1" ref="C96" ca="1">_xll.BQL($A96, "#itm().value as #v", "#itm=sales_rev_turn(fpt=q,fpo=range(-13,2),ae=ae,fa_adjusted=y,currency='USD')/1m","showids=f","transpose=t","showheaders=f")</f>
        <v/>
      </c>
      <c r="D96" s="30" t="n"/>
      <c r="E96" s="30" t="n"/>
      <c r="F96" s="30" t="n"/>
      <c r="G96" s="30" t="n"/>
      <c r="H96" s="30" t="n"/>
      <c r="I96" s="30" t="n"/>
      <c r="J96" s="30" t="n"/>
      <c r="K96" s="30" t="n"/>
      <c r="L96" s="30" t="n"/>
      <c r="M96" s="30" t="n"/>
      <c r="N96" s="30" t="n"/>
      <c r="O96" s="30" t="n"/>
      <c r="P96" s="30" t="n"/>
      <c r="Q96" s="31" t="n"/>
      <c r="R96" s="31" t="n"/>
    </row>
    <row r="97">
      <c r="A97" s="19">
        <f>Tickers!$D$97</f>
        <v/>
      </c>
      <c r="B97" s="29" cm="1">
        <f t="array" aca="1" ref="B97" ca="1">_xll.BQL($A97, "#itm().period as #p", "#itm=sales_rev_turn(fpt=q,fpo=0,ae=a)","showids=f","transpose=t","showheaders=f")</f>
        <v/>
      </c>
      <c r="C97" s="30" cm="1">
        <f t="array" aca="1" ref="C97" ca="1">_xll.BQL($A97, "#itm().value as #v", "#itm=sales_rev_turn(fpt=q,fpo=range(-13,2),ae=ae,fa_adjusted=y,currency='USD')/1m","showids=f","transpose=t","showheaders=f")</f>
        <v/>
      </c>
      <c r="D97" s="30" t="n"/>
      <c r="E97" s="30" t="n"/>
      <c r="F97" s="30" t="n"/>
      <c r="G97" s="30" t="n"/>
      <c r="H97" s="30" t="n"/>
      <c r="I97" s="30" t="n"/>
      <c r="J97" s="30" t="n"/>
      <c r="K97" s="30" t="n"/>
      <c r="L97" s="30" t="n"/>
      <c r="M97" s="30" t="n"/>
      <c r="N97" s="30" t="n"/>
      <c r="O97" s="30" t="n"/>
      <c r="P97" s="30" t="n"/>
      <c r="Q97" s="31" t="n"/>
      <c r="R97" s="31" t="n"/>
    </row>
    <row r="98">
      <c r="A98" s="19">
        <f>Tickers!$D$98</f>
        <v/>
      </c>
      <c r="B98" s="29" cm="1">
        <f t="array" aca="1" ref="B98" ca="1">_xll.BQL($A98, "#itm().period as #p", "#itm=sales_rev_turn(fpt=q,fpo=0,ae=a)","showids=f","transpose=t","showheaders=f")</f>
        <v/>
      </c>
      <c r="C98" s="30" cm="1">
        <f t="array" aca="1" ref="C98" ca="1">_xll.BQL($A98, "#itm().value as #v", "#itm=sales_rev_turn(fpt=q,fpo=range(-13,2),ae=ae,fa_adjusted=y,currency='USD')/1m","showids=f","transpose=t","showheaders=f")</f>
        <v/>
      </c>
      <c r="D98" s="30" t="n"/>
      <c r="E98" s="30" t="n"/>
      <c r="F98" s="30" t="n"/>
      <c r="G98" s="30" t="n"/>
      <c r="H98" s="30" t="n"/>
      <c r="I98" s="30" t="n"/>
      <c r="J98" s="30" t="n"/>
      <c r="K98" s="30" t="n"/>
      <c r="L98" s="30" t="n"/>
      <c r="M98" s="30" t="n"/>
      <c r="N98" s="30" t="n"/>
      <c r="O98" s="30" t="n"/>
      <c r="P98" s="30" t="n"/>
      <c r="Q98" s="31" t="n"/>
      <c r="R98" s="31" t="n"/>
    </row>
    <row r="99">
      <c r="A99" s="19">
        <f>Tickers!$D$99</f>
        <v/>
      </c>
      <c r="B99" s="29" cm="1">
        <f t="array" aca="1" ref="B99" ca="1">_xll.BQL($A99, "#itm().period as #p", "#itm=sales_rev_turn(fpt=q,fpo=0,ae=a)","showids=f","transpose=t","showheaders=f")</f>
        <v/>
      </c>
      <c r="C99" s="30" cm="1">
        <f t="array" aca="1" ref="C99" ca="1">_xll.BQL($A99, "#itm().value as #v", "#itm=sales_rev_turn(fpt=q,fpo=range(-13,2),ae=ae,fa_adjusted=y,currency='USD')/1m","showids=f","transpose=t","showheaders=f")</f>
        <v/>
      </c>
      <c r="D99" s="30" t="n"/>
      <c r="E99" s="30" t="n"/>
      <c r="F99" s="30" t="n"/>
      <c r="G99" s="30" t="n"/>
      <c r="H99" s="30" t="n"/>
      <c r="I99" s="30" t="n"/>
      <c r="J99" s="30" t="n"/>
      <c r="K99" s="30" t="n"/>
      <c r="L99" s="30" t="n"/>
      <c r="M99" s="30" t="n"/>
      <c r="N99" s="30" t="n"/>
      <c r="O99" s="30" t="n"/>
      <c r="P99" s="30" t="n"/>
      <c r="Q99" s="31" t="n"/>
      <c r="R99" s="31" t="n"/>
    </row>
    <row r="100">
      <c r="A100" s="19">
        <f>Tickers!$D$100</f>
        <v/>
      </c>
      <c r="B100" s="29" cm="1">
        <f t="array" aca="1" ref="B100" ca="1">_xll.BQL($A100, "#itm().period as #p", "#itm=sales_rev_turn(fpt=q,fpo=0,ae=a)","showids=f","transpose=t","showheaders=f")</f>
        <v/>
      </c>
      <c r="C100" s="30" cm="1">
        <f t="array" aca="1" ref="C100" ca="1">_xll.BQL($A100, "#itm().value as #v", "#itm=sales_rev_turn(fpt=q,fpo=range(-13,2),ae=ae,fa_adjusted=y,currency='USD')/1m","showids=f","transpose=t","showheaders=f")</f>
        <v/>
      </c>
      <c r="D100" s="30" t="n"/>
      <c r="E100" s="30" t="n"/>
      <c r="F100" s="30" t="n"/>
      <c r="G100" s="30" t="n"/>
      <c r="H100" s="30" t="n"/>
      <c r="I100" s="30" t="n"/>
      <c r="J100" s="30" t="n"/>
      <c r="K100" s="30" t="n"/>
      <c r="L100" s="30" t="n"/>
      <c r="M100" s="30" t="n"/>
      <c r="N100" s="30" t="n"/>
      <c r="O100" s="30" t="n"/>
      <c r="P100" s="30" t="n"/>
      <c r="Q100" s="31" t="n"/>
      <c r="R100" s="31" t="n"/>
    </row>
    <row r="101">
      <c r="A101" s="19">
        <f>Tickers!$D$101</f>
        <v/>
      </c>
      <c r="B101" s="29" cm="1">
        <f t="array" aca="1" ref="B101" ca="1">_xll.BQL($A101, "#itm().period as #p", "#itm=sales_rev_turn(fpt=q,fpo=0,ae=a)","showids=f","transpose=t","showheaders=f")</f>
        <v/>
      </c>
      <c r="C101" s="30" cm="1">
        <f t="array" aca="1" ref="C101" ca="1">_xll.BQL($A101, "#itm().value as #v", "#itm=sales_rev_turn(fpt=q,fpo=range(-13,2),ae=ae,fa_adjusted=y,currency='USD')/1m","showids=f","transpose=t","showheaders=f")</f>
        <v/>
      </c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  <c r="M101" s="30" t="n"/>
      <c r="N101" s="30" t="n"/>
      <c r="O101" s="30" t="n"/>
      <c r="P101" s="30" t="n"/>
      <c r="Q101" s="31" t="n"/>
      <c r="R101" s="31" t="n"/>
    </row>
    <row r="102">
      <c r="A102" s="19">
        <f>Tickers!$D$102</f>
        <v/>
      </c>
      <c r="B102" s="29" cm="1">
        <f t="array" aca="1" ref="B102" ca="1">_xll.BQL($A102, "#itm().period as #p", "#itm=sales_rev_turn(fpt=q,fpo=0,ae=a)","showids=f","transpose=t","showheaders=f")</f>
        <v/>
      </c>
      <c r="C102" s="30" cm="1">
        <f t="array" aca="1" ref="C102" ca="1">_xll.BQL($A102, "#itm().value as #v", "#itm=sales_rev_turn(fpt=q,fpo=range(-13,2),ae=ae,fa_adjusted=y,currency='USD')/1m","showids=f","transpose=t","showheaders=f")</f>
        <v/>
      </c>
      <c r="D102" s="30" t="n"/>
      <c r="E102" s="30" t="n"/>
      <c r="F102" s="30" t="n"/>
      <c r="G102" s="30" t="n"/>
      <c r="H102" s="30" t="n"/>
      <c r="I102" s="30" t="n"/>
      <c r="J102" s="30" t="n"/>
      <c r="K102" s="30" t="n"/>
      <c r="L102" s="30" t="n"/>
      <c r="M102" s="30" t="n"/>
      <c r="N102" s="30" t="n"/>
      <c r="O102" s="30" t="n"/>
      <c r="P102" s="30" t="n"/>
      <c r="Q102" s="31" t="n"/>
      <c r="R102" s="31" t="n"/>
    </row>
    <row r="103">
      <c r="A103" s="19">
        <f>Tickers!$D$103</f>
        <v/>
      </c>
      <c r="B103" s="29" cm="1">
        <f t="array" aca="1" ref="B103" ca="1">_xll.BQL($A103, "#itm().period as #p", "#itm=sales_rev_turn(fpt=q,fpo=0,ae=a)","showids=f","transpose=t","showheaders=f")</f>
        <v/>
      </c>
      <c r="C103" s="30" cm="1">
        <f t="array" aca="1" ref="C103" ca="1">_xll.BQL($A103, "#itm().value as #v", "#itm=sales_rev_turn(fpt=q,fpo=range(-13,2),ae=ae,fa_adjusted=y,currency='USD')/1m","showids=f","transpose=t","showheaders=f")</f>
        <v/>
      </c>
      <c r="D103" s="30" t="n"/>
      <c r="E103" s="30" t="n"/>
      <c r="F103" s="30" t="n"/>
      <c r="G103" s="30" t="n"/>
      <c r="H103" s="30" t="n"/>
      <c r="I103" s="30" t="n"/>
      <c r="J103" s="30" t="n"/>
      <c r="K103" s="30" t="n"/>
      <c r="L103" s="30" t="n"/>
      <c r="M103" s="30" t="n"/>
      <c r="N103" s="30" t="n"/>
      <c r="O103" s="30" t="n"/>
      <c r="P103" s="30" t="n"/>
      <c r="Q103" s="31" t="n"/>
      <c r="R103" s="31" t="n"/>
    </row>
    <row r="104">
      <c r="A104" s="19">
        <f>Tickers!$D$104</f>
        <v/>
      </c>
      <c r="B104" s="29" cm="1">
        <f t="array" aca="1" ref="B104" ca="1">_xll.BQL($A104, "#itm().period as #p", "#itm=sales_rev_turn(fpt=q,fpo=0,ae=a)","showids=f","transpose=t","showheaders=f")</f>
        <v/>
      </c>
      <c r="C104" s="30" cm="1">
        <f t="array" aca="1" ref="C104" ca="1">_xll.BQL($A104, "#itm().value as #v", "#itm=sales_rev_turn(fpt=q,fpo=range(-13,2),ae=ae,fa_adjusted=y,currency='USD')/1m","showids=f","transpose=t","showheaders=f")</f>
        <v/>
      </c>
      <c r="D104" s="30" t="n"/>
      <c r="E104" s="30" t="n"/>
      <c r="F104" s="30" t="n"/>
      <c r="G104" s="30" t="n"/>
      <c r="H104" s="30" t="n"/>
      <c r="I104" s="30" t="n"/>
      <c r="J104" s="30" t="n"/>
      <c r="K104" s="30" t="n"/>
      <c r="L104" s="30" t="n"/>
      <c r="M104" s="30" t="n"/>
      <c r="N104" s="30" t="n"/>
      <c r="O104" s="30" t="n"/>
      <c r="P104" s="30" t="n"/>
      <c r="Q104" s="31" t="n"/>
      <c r="R104" s="31" t="n"/>
    </row>
    <row r="105">
      <c r="A105" s="19">
        <f>Tickers!$D$105</f>
        <v/>
      </c>
      <c r="B105" s="29" cm="1">
        <f t="array" aca="1" ref="B105" ca="1">_xll.BQL($A105, "#itm().period as #p", "#itm=sales_rev_turn(fpt=q,fpo=0,ae=a)","showids=f","transpose=t","showheaders=f")</f>
        <v/>
      </c>
      <c r="C105" s="30" cm="1">
        <f t="array" aca="1" ref="C105" ca="1">_xll.BQL($A105, "#itm().value as #v", "#itm=sales_rev_turn(fpt=q,fpo=range(-13,2),ae=ae,fa_adjusted=y,currency='USD')/1m","showids=f","transpose=t","showheaders=f")</f>
        <v/>
      </c>
      <c r="D105" s="30" t="n"/>
      <c r="E105" s="30" t="n"/>
      <c r="F105" s="30" t="n"/>
      <c r="G105" s="30" t="n"/>
      <c r="H105" s="30" t="n"/>
      <c r="I105" s="30" t="n"/>
      <c r="J105" s="30" t="n"/>
      <c r="K105" s="30" t="n"/>
      <c r="L105" s="30" t="n"/>
      <c r="M105" s="30" t="n"/>
      <c r="N105" s="30" t="n"/>
      <c r="O105" s="30" t="n"/>
      <c r="P105" s="30" t="n"/>
      <c r="Q105" s="31" t="n"/>
      <c r="R105" s="31" t="n"/>
    </row>
    <row r="106">
      <c r="A106" s="19">
        <f>Tickers!$D$106</f>
        <v/>
      </c>
      <c r="B106" s="29" cm="1">
        <f t="array" aca="1" ref="B106" ca="1">_xll.BQL($A106, "#itm().period as #p", "#itm=sales_rev_turn(fpt=q,fpo=0,ae=a)","showids=f","transpose=t","showheaders=f")</f>
        <v/>
      </c>
      <c r="C106" s="30" cm="1">
        <f t="array" aca="1" ref="C106" ca="1">_xll.BQL($A106, "#itm().value as #v", "#itm=sales_rev_turn(fpt=q,fpo=range(-13,2),ae=ae,fa_adjusted=y,currency='USD')/1m","showids=f","transpose=t","showheaders=f")</f>
        <v/>
      </c>
      <c r="D106" s="30" t="n"/>
      <c r="E106" s="30" t="n"/>
      <c r="F106" s="30" t="n"/>
      <c r="G106" s="30" t="n"/>
      <c r="H106" s="30" t="n"/>
      <c r="I106" s="30" t="n"/>
      <c r="J106" s="30" t="n"/>
      <c r="K106" s="30" t="n"/>
      <c r="L106" s="30" t="n"/>
      <c r="M106" s="30" t="n"/>
      <c r="N106" s="30" t="n"/>
      <c r="O106" s="30" t="n"/>
      <c r="P106" s="30" t="n"/>
      <c r="Q106" s="31" t="n"/>
      <c r="R106" s="31" t="n"/>
    </row>
    <row r="107">
      <c r="A107" s="19">
        <f>Tickers!$D$107</f>
        <v/>
      </c>
      <c r="B107" s="29" cm="1">
        <f t="array" aca="1" ref="B107" ca="1">_xll.BQL($A107, "#itm().period as #p", "#itm=sales_rev_turn(fpt=q,fpo=0,ae=a)","showids=f","transpose=t","showheaders=f")</f>
        <v/>
      </c>
      <c r="C107" s="30" cm="1">
        <f t="array" aca="1" ref="C107" ca="1">_xll.BQL($A107, "#itm().value as #v", "#itm=sales_rev_turn(fpt=q,fpo=range(-13,2),ae=ae,fa_adjusted=y,currency='USD')/1m","showids=f","transpose=t","showheaders=f")</f>
        <v/>
      </c>
      <c r="D107" s="30" t="n"/>
      <c r="E107" s="30" t="n"/>
      <c r="F107" s="30" t="n"/>
      <c r="G107" s="30" t="n"/>
      <c r="H107" s="30" t="n"/>
      <c r="I107" s="30" t="n"/>
      <c r="J107" s="30" t="n"/>
      <c r="K107" s="30" t="n"/>
      <c r="L107" s="30" t="n"/>
      <c r="M107" s="30" t="n"/>
      <c r="N107" s="30" t="n"/>
      <c r="O107" s="30" t="n"/>
      <c r="P107" s="30" t="n"/>
      <c r="Q107" s="31" t="n"/>
      <c r="R107" s="31" t="n"/>
    </row>
    <row r="108">
      <c r="A108" s="19">
        <f>Tickers!$D$108</f>
        <v/>
      </c>
      <c r="B108" s="29" cm="1">
        <f t="array" aca="1" ref="B108" ca="1">_xll.BQL($A108, "#itm().period as #p", "#itm=sales_rev_turn(fpt=q,fpo=0,ae=a)","showids=f","transpose=t","showheaders=f")</f>
        <v/>
      </c>
      <c r="C108" s="30" cm="1">
        <f t="array" aca="1" ref="C108" ca="1">_xll.BQL($A108, "#itm().value as #v", "#itm=sales_rev_turn(fpt=q,fpo=range(-13,2),ae=ae,fa_adjusted=y,currency='USD')/1m","showids=f","transpose=t","showheaders=f")</f>
        <v/>
      </c>
      <c r="D108" s="30" t="n"/>
      <c r="E108" s="30" t="n"/>
      <c r="F108" s="30" t="n"/>
      <c r="G108" s="30" t="n"/>
      <c r="H108" s="30" t="n"/>
      <c r="I108" s="30" t="n"/>
      <c r="J108" s="30" t="n"/>
      <c r="K108" s="30" t="n"/>
      <c r="L108" s="30" t="n"/>
      <c r="M108" s="30" t="n"/>
      <c r="N108" s="30" t="n"/>
      <c r="O108" s="30" t="n"/>
      <c r="P108" s="30" t="n"/>
      <c r="Q108" s="31" t="n"/>
      <c r="R108" s="31" t="n"/>
    </row>
    <row r="109">
      <c r="A109" s="19">
        <f>Tickers!$D$109</f>
        <v/>
      </c>
      <c r="B109" s="29" cm="1">
        <f t="array" aca="1" ref="B109" ca="1">_xll.BQL($A109, "#itm().period as #p", "#itm=sales_rev_turn(fpt=q,fpo=0,ae=a)","showids=f","transpose=t","showheaders=f")</f>
        <v/>
      </c>
      <c r="C109" s="30" cm="1">
        <f t="array" aca="1" ref="C109" ca="1">_xll.BQL($A109, "#itm().value as #v", "#itm=sales_rev_turn(fpt=q,fpo=range(-13,2),ae=ae,fa_adjusted=y,currency='USD')/1m","showids=f","transpose=t","showheaders=f")</f>
        <v/>
      </c>
      <c r="D109" s="30" t="n"/>
      <c r="E109" s="30" t="n"/>
      <c r="F109" s="30" t="n"/>
      <c r="G109" s="30" t="n"/>
      <c r="H109" s="30" t="n"/>
      <c r="I109" s="30" t="n"/>
      <c r="J109" s="30" t="n"/>
      <c r="K109" s="30" t="n"/>
      <c r="L109" s="30" t="n"/>
      <c r="M109" s="30" t="n"/>
      <c r="N109" s="30" t="n"/>
      <c r="O109" s="30" t="n"/>
      <c r="P109" s="30" t="n"/>
      <c r="Q109" s="31" t="n"/>
      <c r="R109" s="31" t="n"/>
    </row>
    <row r="110">
      <c r="A110" s="19">
        <f>Tickers!$D$110</f>
        <v/>
      </c>
      <c r="B110" s="29" cm="1">
        <f t="array" aca="1" ref="B110" ca="1">_xll.BQL($A110, "#itm().period as #p", "#itm=sales_rev_turn(fpt=q,fpo=0,ae=a)","showids=f","transpose=t","showheaders=f")</f>
        <v/>
      </c>
      <c r="C110" s="30" cm="1">
        <f t="array" aca="1" ref="C110" ca="1">_xll.BQL($A110, "#itm().value as #v", "#itm=sales_rev_turn(fpt=q,fpo=range(-13,2),ae=ae,fa_adjusted=y,currency='USD')/1m","showids=f","transpose=t","showheaders=f")</f>
        <v/>
      </c>
      <c r="D110" s="30" t="n"/>
      <c r="E110" s="30" t="n"/>
      <c r="F110" s="30" t="n"/>
      <c r="G110" s="30" t="n"/>
      <c r="H110" s="30" t="n"/>
      <c r="I110" s="30" t="n"/>
      <c r="J110" s="30" t="n"/>
      <c r="K110" s="30" t="n"/>
      <c r="L110" s="30" t="n"/>
      <c r="M110" s="30" t="n"/>
      <c r="N110" s="30" t="n"/>
      <c r="O110" s="30" t="n"/>
      <c r="P110" s="30" t="n"/>
      <c r="Q110" s="31" t="n"/>
      <c r="R110" s="31" t="n"/>
    </row>
    <row r="111">
      <c r="A111" s="19">
        <f>Tickers!$D$111</f>
        <v/>
      </c>
      <c r="B111" s="29" cm="1">
        <f t="array" aca="1" ref="B111" ca="1">_xll.BQL($A111, "#itm().period as #p", "#itm=sales_rev_turn(fpt=q,fpo=0,ae=a)","showids=f","transpose=t","showheaders=f")</f>
        <v/>
      </c>
      <c r="C111" s="30" cm="1">
        <f t="array" aca="1" ref="C111" ca="1">_xll.BQL($A111, "#itm().value as #v", "#itm=sales_rev_turn(fpt=q,fpo=range(-13,2),ae=ae,fa_adjusted=y,currency='USD')/1m","showids=f","transpose=t","showheaders=f")</f>
        <v/>
      </c>
      <c r="D111" s="30" t="n"/>
      <c r="E111" s="30" t="n"/>
      <c r="F111" s="30" t="n"/>
      <c r="G111" s="30" t="n"/>
      <c r="H111" s="30" t="n"/>
      <c r="I111" s="30" t="n"/>
      <c r="J111" s="30" t="n"/>
      <c r="K111" s="30" t="n"/>
      <c r="L111" s="30" t="n"/>
      <c r="M111" s="30" t="n"/>
      <c r="N111" s="30" t="n"/>
      <c r="O111" s="30" t="n"/>
      <c r="P111" s="30" t="n"/>
      <c r="Q111" s="31" t="n"/>
      <c r="R111" s="31" t="n"/>
    </row>
    <row r="112">
      <c r="A112" s="19">
        <f>Tickers!$D$112</f>
        <v/>
      </c>
      <c r="B112" s="29" cm="1">
        <f t="array" aca="1" ref="B112" ca="1">_xll.BQL($A112, "#itm().period as #p", "#itm=sales_rev_turn(fpt=q,fpo=0,ae=a)","showids=f","transpose=t","showheaders=f")</f>
        <v/>
      </c>
      <c r="C112" s="30" cm="1">
        <f t="array" aca="1" ref="C112" ca="1">_xll.BQL($A112, "#itm().value as #v", "#itm=sales_rev_turn(fpt=q,fpo=range(-13,2),ae=ae,fa_adjusted=y,currency='USD')/1m","showids=f","transpose=t","showheaders=f")</f>
        <v/>
      </c>
      <c r="D112" s="30" t="n"/>
      <c r="E112" s="30" t="n"/>
      <c r="F112" s="30" t="n"/>
      <c r="G112" s="30" t="n"/>
      <c r="H112" s="30" t="n"/>
      <c r="I112" s="30" t="n"/>
      <c r="J112" s="30" t="n"/>
      <c r="K112" s="30" t="n"/>
      <c r="L112" s="30" t="n"/>
      <c r="M112" s="30" t="n"/>
      <c r="N112" s="30" t="n"/>
      <c r="O112" s="30" t="n"/>
      <c r="P112" s="30" t="n"/>
      <c r="Q112" s="31" t="n"/>
      <c r="R112" s="31" t="n"/>
    </row>
    <row r="113">
      <c r="A113" s="19">
        <f>Tickers!$D$113</f>
        <v/>
      </c>
      <c r="B113" s="29" cm="1">
        <f t="array" aca="1" ref="B113" ca="1">_xll.BQL($A113, "#itm().period as #p", "#itm=sales_rev_turn(fpt=q,fpo=0,ae=a)","showids=f","transpose=t","showheaders=f")</f>
        <v/>
      </c>
      <c r="C113" s="30" cm="1">
        <f t="array" aca="1" ref="C113" ca="1">_xll.BQL($A113, "#itm().value as #v", "#itm=sales_rev_turn(fpt=q,fpo=range(-13,2),ae=ae,fa_adjusted=y,currency='USD')/1m","showids=f","transpose=t","showheaders=f")</f>
        <v/>
      </c>
      <c r="D113" s="30" t="n"/>
      <c r="E113" s="30" t="n"/>
      <c r="F113" s="30" t="n"/>
      <c r="G113" s="30" t="n"/>
      <c r="H113" s="30" t="n"/>
      <c r="I113" s="30" t="n"/>
      <c r="J113" s="30" t="n"/>
      <c r="K113" s="30" t="n"/>
      <c r="L113" s="30" t="n"/>
      <c r="M113" s="30" t="n"/>
      <c r="N113" s="30" t="n"/>
      <c r="O113" s="30" t="n"/>
      <c r="P113" s="30" t="n"/>
      <c r="Q113" s="31" t="n"/>
      <c r="R113" s="31" t="n"/>
    </row>
    <row r="114">
      <c r="A114" s="19">
        <f>Tickers!$D$114</f>
        <v/>
      </c>
      <c r="B114" s="29" cm="1">
        <f t="array" aca="1" ref="B114" ca="1">_xll.BQL($A114, "#itm().period as #p", "#itm=sales_rev_turn(fpt=q,fpo=0,ae=a)","showids=f","transpose=t","showheaders=f")</f>
        <v/>
      </c>
      <c r="C114" s="30" cm="1">
        <f t="array" aca="1" ref="C114" ca="1">_xll.BQL($A114, "#itm().value as #v", "#itm=sales_rev_turn(fpt=q,fpo=range(-13,2),ae=ae,fa_adjusted=y,currency='USD')/1m","showids=f","transpose=t","showheaders=f")</f>
        <v/>
      </c>
      <c r="D114" s="30" t="n"/>
      <c r="E114" s="30" t="n"/>
      <c r="F114" s="30" t="n"/>
      <c r="G114" s="30" t="n"/>
      <c r="H114" s="30" t="n"/>
      <c r="I114" s="30" t="n"/>
      <c r="J114" s="30" t="n"/>
      <c r="K114" s="30" t="n"/>
      <c r="L114" s="30" t="n"/>
      <c r="M114" s="30" t="n"/>
      <c r="N114" s="30" t="n"/>
      <c r="O114" s="30" t="n"/>
      <c r="P114" s="30" t="n"/>
      <c r="Q114" s="31" t="n"/>
      <c r="R114" s="31" t="n"/>
    </row>
    <row r="115">
      <c r="A115" s="19">
        <f>Tickers!$D$115</f>
        <v/>
      </c>
      <c r="B115" s="29" cm="1">
        <f t="array" aca="1" ref="B115" ca="1">_xll.BQL($A115, "#itm().period as #p", "#itm=sales_rev_turn(fpt=q,fpo=0,ae=a)","showids=f","transpose=t","showheaders=f")</f>
        <v/>
      </c>
      <c r="C115" s="30" cm="1">
        <f t="array" aca="1" ref="C115" ca="1">_xll.BQL($A115, "#itm().value as #v", "#itm=sales_rev_turn(fpt=q,fpo=range(-13,2),ae=ae,fa_adjusted=y,currency='USD')/1m","showids=f","transpose=t","showheaders=f")</f>
        <v/>
      </c>
      <c r="D115" s="30" t="n"/>
      <c r="E115" s="30" t="n"/>
      <c r="F115" s="30" t="n"/>
      <c r="G115" s="30" t="n"/>
      <c r="H115" s="30" t="n"/>
      <c r="I115" s="30" t="n"/>
      <c r="J115" s="30" t="n"/>
      <c r="K115" s="30" t="n"/>
      <c r="L115" s="30" t="n"/>
      <c r="M115" s="30" t="n"/>
      <c r="N115" s="30" t="n"/>
      <c r="O115" s="30" t="n"/>
      <c r="P115" s="30" t="n"/>
      <c r="Q115" s="31" t="n"/>
      <c r="R115" s="31" t="n"/>
    </row>
    <row r="116">
      <c r="A116" s="19">
        <f>Tickers!$D$116</f>
        <v/>
      </c>
      <c r="B116" s="29" cm="1">
        <f t="array" aca="1" ref="B116" ca="1">_xll.BQL($A116, "#itm().period as #p", "#itm=sales_rev_turn(fpt=q,fpo=0,ae=a)","showids=f","transpose=t","showheaders=f")</f>
        <v/>
      </c>
      <c r="C116" s="30" cm="1">
        <f t="array" aca="1" ref="C116" ca="1">_xll.BQL($A116, "#itm().value as #v", "#itm=sales_rev_turn(fpt=q,fpo=range(-13,2),ae=ae,fa_adjusted=y,currency='USD')/1m","showids=f","transpose=t","showheaders=f")</f>
        <v/>
      </c>
      <c r="D116" s="30" t="n"/>
      <c r="E116" s="30" t="n"/>
      <c r="F116" s="30" t="n"/>
      <c r="G116" s="30" t="n"/>
      <c r="H116" s="30" t="n"/>
      <c r="I116" s="30" t="n"/>
      <c r="J116" s="30" t="n"/>
      <c r="K116" s="30" t="n"/>
      <c r="L116" s="30" t="n"/>
      <c r="M116" s="30" t="n"/>
      <c r="N116" s="30" t="n"/>
      <c r="O116" s="30" t="n"/>
      <c r="P116" s="30" t="n"/>
      <c r="Q116" s="31" t="n"/>
      <c r="R116" s="31" t="n"/>
    </row>
    <row r="117">
      <c r="A117" s="19">
        <f>Tickers!$D$117</f>
        <v/>
      </c>
      <c r="B117" s="29" cm="1">
        <f t="array" aca="1" ref="B117" ca="1">_xll.BQL($A117, "#itm().period as #p", "#itm=sales_rev_turn(fpt=q,fpo=0,ae=a)","showids=f","transpose=t","showheaders=f")</f>
        <v/>
      </c>
      <c r="C117" s="30" cm="1">
        <f t="array" aca="1" ref="C117" ca="1">_xll.BQL($A117, "#itm().value as #v", "#itm=sales_rev_turn(fpt=q,fpo=range(-13,2),ae=ae,fa_adjusted=y,currency='USD')/1m","showids=f","transpose=t","showheaders=f")</f>
        <v/>
      </c>
      <c r="D117" s="30" t="n"/>
      <c r="E117" s="30" t="n"/>
      <c r="F117" s="30" t="n"/>
      <c r="G117" s="30" t="n"/>
      <c r="H117" s="30" t="n"/>
      <c r="I117" s="30" t="n"/>
      <c r="J117" s="30" t="n"/>
      <c r="K117" s="30" t="n"/>
      <c r="L117" s="30" t="n"/>
      <c r="M117" s="30" t="n"/>
      <c r="N117" s="30" t="n"/>
      <c r="O117" s="30" t="n"/>
      <c r="P117" s="30" t="n"/>
      <c r="Q117" s="31" t="n"/>
      <c r="R117" s="31" t="n"/>
    </row>
    <row r="118">
      <c r="A118" s="19">
        <f>Tickers!$D$118</f>
        <v/>
      </c>
      <c r="B118" s="29" cm="1">
        <f t="array" aca="1" ref="B118" ca="1">_xll.BQL($A118, "#itm().period as #p", "#itm=sales_rev_turn(fpt=q,fpo=0,ae=a)","showids=f","transpose=t","showheaders=f")</f>
        <v/>
      </c>
      <c r="C118" s="30" cm="1">
        <f t="array" aca="1" ref="C118" ca="1">_xll.BQL($A118, "#itm().value as #v", "#itm=sales_rev_turn(fpt=q,fpo=range(-13,2),ae=ae,fa_adjusted=y,currency='USD')/1m","showids=f","transpose=t","showheaders=f")</f>
        <v/>
      </c>
      <c r="D118" s="30" t="n"/>
      <c r="E118" s="30" t="n"/>
      <c r="F118" s="30" t="n"/>
      <c r="G118" s="30" t="n"/>
      <c r="H118" s="30" t="n"/>
      <c r="I118" s="30" t="n"/>
      <c r="J118" s="30" t="n"/>
      <c r="K118" s="30" t="n"/>
      <c r="L118" s="30" t="n"/>
      <c r="M118" s="30" t="n"/>
      <c r="N118" s="30" t="n"/>
      <c r="O118" s="30" t="n"/>
      <c r="P118" s="30" t="n"/>
      <c r="Q118" s="31" t="n"/>
      <c r="R118" s="31" t="n"/>
    </row>
    <row r="119">
      <c r="A119" s="19">
        <f>Tickers!$D$119</f>
        <v/>
      </c>
      <c r="B119" s="29" cm="1">
        <f t="array" aca="1" ref="B119" ca="1">_xll.BQL($A119, "#itm().period as #p", "#itm=sales_rev_turn(fpt=q,fpo=0,ae=a)","showids=f","transpose=t","showheaders=f")</f>
        <v/>
      </c>
      <c r="C119" s="30" cm="1">
        <f t="array" aca="1" ref="C119" ca="1">_xll.BQL($A119, "#itm().value as #v", "#itm=sales_rev_turn(fpt=q,fpo=range(-13,2),ae=ae,fa_adjusted=y,currency='USD')/1m","showids=f","transpose=t","showheaders=f")</f>
        <v/>
      </c>
      <c r="D119" s="30" t="n"/>
      <c r="E119" s="30" t="n"/>
      <c r="F119" s="30" t="n"/>
      <c r="G119" s="30" t="n"/>
      <c r="H119" s="30" t="n"/>
      <c r="I119" s="30" t="n"/>
      <c r="J119" s="30" t="n"/>
      <c r="K119" s="30" t="n"/>
      <c r="L119" s="30" t="n"/>
      <c r="M119" s="30" t="n"/>
      <c r="N119" s="30" t="n"/>
      <c r="O119" s="30" t="n"/>
      <c r="P119" s="30" t="n"/>
      <c r="Q119" s="31" t="n"/>
      <c r="R119" s="31" t="n"/>
    </row>
    <row r="120">
      <c r="A120" s="19">
        <f>Tickers!$D$120</f>
        <v/>
      </c>
      <c r="B120" s="29" cm="1">
        <f t="array" aca="1" ref="B120" ca="1">_xll.BQL($A120, "#itm().period as #p", "#itm=sales_rev_turn(fpt=q,fpo=0,ae=a)","showids=f","transpose=t","showheaders=f")</f>
        <v/>
      </c>
      <c r="C120" s="30" cm="1">
        <f t="array" aca="1" ref="C120" ca="1">_xll.BQL($A120, "#itm().value as #v", "#itm=sales_rev_turn(fpt=q,fpo=range(-13,2),ae=ae,fa_adjusted=y,currency='USD')/1m","showids=f","transpose=t","showheaders=f")</f>
        <v/>
      </c>
      <c r="D120" s="30" t="n"/>
      <c r="E120" s="30" t="n"/>
      <c r="F120" s="30" t="n"/>
      <c r="G120" s="30" t="n"/>
      <c r="H120" s="30" t="n"/>
      <c r="I120" s="30" t="n"/>
      <c r="J120" s="30" t="n"/>
      <c r="K120" s="30" t="n"/>
      <c r="L120" s="30" t="n"/>
      <c r="M120" s="30" t="n"/>
      <c r="N120" s="30" t="n"/>
      <c r="O120" s="30" t="n"/>
      <c r="P120" s="30" t="n"/>
      <c r="Q120" s="31" t="n"/>
      <c r="R120" s="31" t="n"/>
    </row>
    <row r="121">
      <c r="A121" s="19">
        <f>Tickers!$D$121</f>
        <v/>
      </c>
      <c r="B121" s="29" cm="1">
        <f t="array" aca="1" ref="B121" ca="1">_xll.BQL($A121, "#itm().period as #p", "#itm=sales_rev_turn(fpt=q,fpo=0,ae=a)","showids=f","transpose=t","showheaders=f")</f>
        <v/>
      </c>
      <c r="C121" s="30" cm="1">
        <f t="array" aca="1" ref="C121" ca="1">_xll.BQL($A121, "#itm().value as #v", "#itm=sales_rev_turn(fpt=q,fpo=range(-13,2),ae=ae,fa_adjusted=y,currency='USD')/1m","showids=f","transpose=t","showheaders=f")</f>
        <v/>
      </c>
      <c r="D121" s="30" t="n"/>
      <c r="E121" s="30" t="n"/>
      <c r="F121" s="30" t="n"/>
      <c r="G121" s="30" t="n"/>
      <c r="H121" s="30" t="n"/>
      <c r="I121" s="30" t="n"/>
      <c r="J121" s="30" t="n"/>
      <c r="K121" s="30" t="n"/>
      <c r="L121" s="30" t="n"/>
      <c r="M121" s="30" t="n"/>
      <c r="N121" s="30" t="n"/>
      <c r="O121" s="30" t="n"/>
      <c r="P121" s="30" t="n"/>
      <c r="Q121" s="31" t="n"/>
      <c r="R121" s="31" t="n"/>
    </row>
    <row r="122">
      <c r="A122" s="19">
        <f>Tickers!$D$122</f>
        <v/>
      </c>
      <c r="B122" s="29" cm="1">
        <f t="array" aca="1" ref="B122" ca="1">_xll.BQL($A122, "#itm().period as #p", "#itm=sales_rev_turn(fpt=q,fpo=0,ae=a)","showids=f","transpose=t","showheaders=f")</f>
        <v/>
      </c>
      <c r="C122" s="30" cm="1">
        <f t="array" aca="1" ref="C122" ca="1">_xll.BQL($A122, "#itm().value as #v", "#itm=sales_rev_turn(fpt=q,fpo=range(-13,2),ae=ae,fa_adjusted=y,currency='USD')/1m","showids=f","transpose=t","showheaders=f")</f>
        <v/>
      </c>
      <c r="D122" s="30" t="n"/>
      <c r="E122" s="30" t="n"/>
      <c r="F122" s="30" t="n"/>
      <c r="G122" s="30" t="n"/>
      <c r="H122" s="30" t="n"/>
      <c r="I122" s="30" t="n"/>
      <c r="J122" s="30" t="n"/>
      <c r="K122" s="30" t="n"/>
      <c r="L122" s="30" t="n"/>
      <c r="M122" s="30" t="n"/>
      <c r="N122" s="30" t="n"/>
      <c r="O122" s="30" t="n"/>
      <c r="P122" s="30" t="n"/>
      <c r="Q122" s="31" t="n"/>
      <c r="R122" s="31" t="n"/>
    </row>
    <row r="123">
      <c r="A123" s="19">
        <f>Tickers!$D$123</f>
        <v/>
      </c>
      <c r="B123" s="29" cm="1">
        <f t="array" aca="1" ref="B123" ca="1">_xll.BQL($A123, "#itm().period as #p", "#itm=sales_rev_turn(fpt=q,fpo=0,ae=a)","showids=f","transpose=t","showheaders=f")</f>
        <v/>
      </c>
      <c r="C123" s="30" cm="1">
        <f t="array" aca="1" ref="C123" ca="1">_xll.BQL($A123, "#itm().value as #v", "#itm=sales_rev_turn(fpt=q,fpo=range(-13,2),ae=ae,fa_adjusted=y,currency='USD')/1m","showids=f","transpose=t","showheaders=f")</f>
        <v/>
      </c>
      <c r="D123" s="30" t="n"/>
      <c r="E123" s="30" t="n"/>
      <c r="F123" s="30" t="n"/>
      <c r="G123" s="30" t="n"/>
      <c r="H123" s="30" t="n"/>
      <c r="I123" s="30" t="n"/>
      <c r="J123" s="30" t="n"/>
      <c r="K123" s="30" t="n"/>
      <c r="L123" s="30" t="n"/>
      <c r="M123" s="30" t="n"/>
      <c r="N123" s="30" t="n"/>
      <c r="O123" s="30" t="n"/>
      <c r="P123" s="30" t="n"/>
      <c r="Q123" s="31" t="n"/>
      <c r="R123" s="31" t="n"/>
    </row>
    <row r="124">
      <c r="A124" s="19">
        <f>Tickers!$D$124</f>
        <v/>
      </c>
      <c r="B124" s="29" cm="1">
        <f t="array" aca="1" ref="B124" ca="1">_xll.BQL($A124, "#itm().period as #p", "#itm=sales_rev_turn(fpt=q,fpo=0,ae=a)","showids=f","transpose=t","showheaders=f")</f>
        <v/>
      </c>
      <c r="C124" s="30" cm="1">
        <f t="array" aca="1" ref="C124" ca="1">_xll.BQL($A124, "#itm().value as #v", "#itm=sales_rev_turn(fpt=q,fpo=range(-13,2),ae=ae,fa_adjusted=y,currency='USD')/1m","showids=f","transpose=t","showheaders=f")</f>
        <v/>
      </c>
      <c r="D124" s="30" t="n"/>
      <c r="E124" s="30" t="n"/>
      <c r="F124" s="30" t="n"/>
      <c r="G124" s="30" t="n"/>
      <c r="H124" s="30" t="n"/>
      <c r="I124" s="30" t="n"/>
      <c r="J124" s="30" t="n"/>
      <c r="K124" s="30" t="n"/>
      <c r="L124" s="30" t="n"/>
      <c r="M124" s="30" t="n"/>
      <c r="N124" s="30" t="n"/>
      <c r="O124" s="30" t="n"/>
      <c r="P124" s="30" t="n"/>
      <c r="Q124" s="31" t="n"/>
      <c r="R124" s="31" t="n"/>
    </row>
    <row r="125">
      <c r="A125" s="19">
        <f>Tickers!$D$125</f>
        <v/>
      </c>
      <c r="B125" s="29" cm="1">
        <f t="array" aca="1" ref="B125" ca="1">_xll.BQL($A125, "#itm().period as #p", "#itm=sales_rev_turn(fpt=q,fpo=0,ae=a)","showids=f","transpose=t","showheaders=f")</f>
        <v/>
      </c>
      <c r="C125" s="30" cm="1">
        <f t="array" aca="1" ref="C125" ca="1">_xll.BQL($A125, "#itm().value as #v", "#itm=sales_rev_turn(fpt=q,fpo=range(-13,2),ae=ae,fa_adjusted=y,currency='USD')/1m","showids=f","transpose=t","showheaders=f")</f>
        <v/>
      </c>
      <c r="D125" s="30" t="n"/>
      <c r="E125" s="30" t="n"/>
      <c r="F125" s="30" t="n"/>
      <c r="G125" s="30" t="n"/>
      <c r="H125" s="30" t="n"/>
      <c r="I125" s="30" t="n"/>
      <c r="J125" s="30" t="n"/>
      <c r="K125" s="30" t="n"/>
      <c r="L125" s="30" t="n"/>
      <c r="M125" s="30" t="n"/>
      <c r="N125" s="30" t="n"/>
      <c r="O125" s="30" t="n"/>
      <c r="P125" s="30" t="n"/>
      <c r="Q125" s="31" t="n"/>
      <c r="R125" s="31" t="n"/>
    </row>
    <row r="126">
      <c r="A126" s="19">
        <f>Tickers!$D$126</f>
        <v/>
      </c>
      <c r="B126" s="29" cm="1">
        <f t="array" aca="1" ref="B126" ca="1">_xll.BQL($A126, "#itm().period as #p", "#itm=sales_rev_turn(fpt=q,fpo=0,ae=a)","showids=f","transpose=t","showheaders=f")</f>
        <v/>
      </c>
      <c r="C126" s="30" cm="1">
        <f t="array" aca="1" ref="C126" ca="1">_xll.BQL($A126, "#itm().value as #v", "#itm=sales_rev_turn(fpt=q,fpo=range(-13,2),ae=ae,fa_adjusted=y,currency='USD')/1m","showids=f","transpose=t","showheaders=f")</f>
        <v/>
      </c>
      <c r="D126" s="30" t="n"/>
      <c r="E126" s="30" t="n"/>
      <c r="F126" s="30" t="n"/>
      <c r="G126" s="30" t="n"/>
      <c r="H126" s="30" t="n"/>
      <c r="I126" s="30" t="n"/>
      <c r="J126" s="30" t="n"/>
      <c r="K126" s="30" t="n"/>
      <c r="L126" s="30" t="n"/>
      <c r="M126" s="30" t="n"/>
      <c r="N126" s="30" t="n"/>
      <c r="O126" s="30" t="n"/>
      <c r="P126" s="30" t="n"/>
      <c r="Q126" s="31" t="n"/>
      <c r="R126" s="31" t="n"/>
    </row>
    <row r="127">
      <c r="A127" s="19">
        <f>Tickers!$D$127</f>
        <v/>
      </c>
      <c r="B127" s="29" cm="1">
        <f t="array" aca="1" ref="B127" ca="1">_xll.BQL($A127, "#itm().period as #p", "#itm=sales_rev_turn(fpt=q,fpo=0,ae=a)","showids=f","transpose=t","showheaders=f")</f>
        <v/>
      </c>
      <c r="C127" s="30" cm="1">
        <f t="array" aca="1" ref="C127" ca="1">_xll.BQL($A127, "#itm().value as #v", "#itm=sales_rev_turn(fpt=q,fpo=range(-13,2),ae=ae,fa_adjusted=y,currency='USD')/1m","showids=f","transpose=t","showheaders=f")</f>
        <v/>
      </c>
      <c r="D127" s="30" t="n"/>
      <c r="E127" s="30" t="n"/>
      <c r="F127" s="30" t="n"/>
      <c r="G127" s="30" t="n"/>
      <c r="H127" s="30" t="n"/>
      <c r="I127" s="30" t="n"/>
      <c r="J127" s="30" t="n"/>
      <c r="K127" s="30" t="n"/>
      <c r="L127" s="30" t="n"/>
      <c r="M127" s="30" t="n"/>
      <c r="N127" s="30" t="n"/>
      <c r="O127" s="30" t="n"/>
      <c r="P127" s="30" t="n"/>
      <c r="Q127" s="31" t="n"/>
      <c r="R127" s="31" t="n"/>
    </row>
    <row r="128">
      <c r="A128" s="19">
        <f>Tickers!$D$128</f>
        <v/>
      </c>
      <c r="B128" s="29" cm="1">
        <f t="array" aca="1" ref="B128" ca="1">_xll.BQL($A128, "#itm().period as #p", "#itm=sales_rev_turn(fpt=q,fpo=0,ae=a)","showids=f","transpose=t","showheaders=f")</f>
        <v/>
      </c>
      <c r="C128" s="30" cm="1">
        <f t="array" aca="1" ref="C128" ca="1">_xll.BQL($A128, "#itm().value as #v", "#itm=sales_rev_turn(fpt=q,fpo=range(-13,2),ae=ae,fa_adjusted=y,currency='USD')/1m","showids=f","transpose=t","showheaders=f")</f>
        <v/>
      </c>
      <c r="D128" s="30" t="n"/>
      <c r="E128" s="30" t="n"/>
      <c r="F128" s="30" t="n"/>
      <c r="G128" s="30" t="n"/>
      <c r="H128" s="30" t="n"/>
      <c r="I128" s="30" t="n"/>
      <c r="J128" s="30" t="n"/>
      <c r="K128" s="30" t="n"/>
      <c r="L128" s="30" t="n"/>
      <c r="M128" s="30" t="n"/>
      <c r="N128" s="30" t="n"/>
      <c r="O128" s="30" t="n"/>
      <c r="P128" s="30" t="n"/>
      <c r="Q128" s="31" t="n"/>
      <c r="R128" s="31" t="n"/>
    </row>
    <row r="129">
      <c r="A129" s="19">
        <f>Tickers!$D$129</f>
        <v/>
      </c>
      <c r="B129" s="29" cm="1">
        <f t="array" aca="1" ref="B129" ca="1">_xll.BQL($A129, "#itm().period as #p", "#itm=sales_rev_turn(fpt=q,fpo=0,ae=a)","showids=f","transpose=t","showheaders=f")</f>
        <v/>
      </c>
      <c r="C129" s="30" cm="1">
        <f t="array" aca="1" ref="C129" ca="1">_xll.BQL($A129, "#itm().value as #v", "#itm=sales_rev_turn(fpt=q,fpo=range(-13,2),ae=ae,fa_adjusted=y,currency='USD')/1m","showids=f","transpose=t","showheaders=f")</f>
        <v/>
      </c>
      <c r="D129" s="30" t="n"/>
      <c r="E129" s="30" t="n"/>
      <c r="F129" s="30" t="n"/>
      <c r="G129" s="30" t="n"/>
      <c r="H129" s="30" t="n"/>
      <c r="I129" s="30" t="n"/>
      <c r="J129" s="30" t="n"/>
      <c r="K129" s="30" t="n"/>
      <c r="L129" s="30" t="n"/>
      <c r="M129" s="30" t="n"/>
      <c r="N129" s="30" t="n"/>
      <c r="O129" s="30" t="n"/>
      <c r="P129" s="30" t="n"/>
      <c r="Q129" s="31" t="n"/>
      <c r="R129" s="31" t="n"/>
    </row>
    <row r="130">
      <c r="A130" s="19">
        <f>Tickers!$D$130</f>
        <v/>
      </c>
      <c r="B130" s="29" cm="1">
        <f t="array" aca="1" ref="B130" ca="1">_xll.BQL($A130, "#itm().period as #p", "#itm=sales_rev_turn(fpt=q,fpo=0,ae=a)","showids=f","transpose=t","showheaders=f")</f>
        <v/>
      </c>
      <c r="C130" s="30" cm="1">
        <f t="array" aca="1" ref="C130" ca="1">_xll.BQL($A130, "#itm().value as #v", "#itm=sales_rev_turn(fpt=q,fpo=range(-13,2),ae=ae,fa_adjusted=y,currency='USD')/1m","showids=f","transpose=t","showheaders=f")</f>
        <v/>
      </c>
      <c r="D130" s="30" t="n"/>
      <c r="E130" s="30" t="n"/>
      <c r="F130" s="30" t="n"/>
      <c r="G130" s="30" t="n"/>
      <c r="H130" s="30" t="n"/>
      <c r="I130" s="30" t="n"/>
      <c r="J130" s="30" t="n"/>
      <c r="K130" s="30" t="n"/>
      <c r="L130" s="30" t="n"/>
      <c r="M130" s="30" t="n"/>
      <c r="N130" s="30" t="n"/>
      <c r="O130" s="30" t="n"/>
      <c r="P130" s="30" t="n"/>
      <c r="Q130" s="31" t="n"/>
      <c r="R130" s="31" t="n"/>
    </row>
    <row r="131">
      <c r="A131" s="19">
        <f>Tickers!$D$131</f>
        <v/>
      </c>
      <c r="B131" s="29" cm="1">
        <f t="array" aca="1" ref="B131" ca="1">_xll.BQL($A131, "#itm().period as #p", "#itm=sales_rev_turn(fpt=q,fpo=0,ae=a)","showids=f","transpose=t","showheaders=f")</f>
        <v/>
      </c>
      <c r="C131" s="30" cm="1">
        <f t="array" aca="1" ref="C131" ca="1">_xll.BQL($A131, "#itm().value as #v", "#itm=sales_rev_turn(fpt=q,fpo=range(-13,2),ae=ae,fa_adjusted=y,currency='USD')/1m","showids=f","transpose=t","showheaders=f")</f>
        <v/>
      </c>
      <c r="D131" s="30" t="n"/>
      <c r="E131" s="30" t="n"/>
      <c r="F131" s="30" t="n"/>
      <c r="G131" s="30" t="n"/>
      <c r="H131" s="30" t="n"/>
      <c r="I131" s="30" t="n"/>
      <c r="J131" s="30" t="n"/>
      <c r="K131" s="30" t="n"/>
      <c r="L131" s="30" t="n"/>
      <c r="M131" s="30" t="n"/>
      <c r="N131" s="30" t="n"/>
      <c r="O131" s="30" t="n"/>
      <c r="P131" s="30" t="n"/>
      <c r="Q131" s="31" t="n"/>
      <c r="R131" s="31" t="n"/>
    </row>
    <row r="132">
      <c r="A132" s="19">
        <f>Tickers!$D$132</f>
        <v/>
      </c>
      <c r="B132" s="29" cm="1">
        <f t="array" aca="1" ref="B132" ca="1">_xll.BQL($A132, "#itm().period as #p", "#itm=sales_rev_turn(fpt=q,fpo=0,ae=a)","showids=f","transpose=t","showheaders=f")</f>
        <v/>
      </c>
      <c r="C132" s="30" cm="1">
        <f t="array" aca="1" ref="C132" ca="1">_xll.BQL($A132, "#itm().value as #v", "#itm=sales_rev_turn(fpt=q,fpo=range(-13,2),ae=ae,fa_adjusted=y,currency='USD')/1m","showids=f","transpose=t","showheaders=f")</f>
        <v/>
      </c>
      <c r="D132" s="30" t="n"/>
      <c r="E132" s="30" t="n"/>
      <c r="F132" s="30" t="n"/>
      <c r="G132" s="30" t="n"/>
      <c r="H132" s="30" t="n"/>
      <c r="I132" s="30" t="n"/>
      <c r="J132" s="30" t="n"/>
      <c r="K132" s="30" t="n"/>
      <c r="L132" s="30" t="n"/>
      <c r="M132" s="30" t="n"/>
      <c r="N132" s="30" t="n"/>
      <c r="O132" s="30" t="n"/>
      <c r="P132" s="30" t="n"/>
      <c r="Q132" s="31" t="n"/>
      <c r="R132" s="31" t="n"/>
    </row>
    <row r="133">
      <c r="A133" s="19">
        <f>Tickers!$D$133</f>
        <v/>
      </c>
      <c r="B133" s="29" cm="1">
        <f t="array" aca="1" ref="B133" ca="1">_xll.BQL($A133, "#itm().period as #p", "#itm=sales_rev_turn(fpt=q,fpo=0,ae=a)","showids=f","transpose=t","showheaders=f")</f>
        <v/>
      </c>
      <c r="C133" s="30" cm="1">
        <f t="array" aca="1" ref="C133" ca="1">_xll.BQL($A133, "#itm().value as #v", "#itm=sales_rev_turn(fpt=q,fpo=range(-13,2),ae=ae,fa_adjusted=y,currency='USD')/1m","showids=f","transpose=t","showheaders=f")</f>
        <v/>
      </c>
      <c r="D133" s="30" t="n"/>
      <c r="E133" s="30" t="n"/>
      <c r="F133" s="30" t="n"/>
      <c r="G133" s="30" t="n"/>
      <c r="H133" s="30" t="n"/>
      <c r="I133" s="30" t="n"/>
      <c r="J133" s="30" t="n"/>
      <c r="K133" s="30" t="n"/>
      <c r="L133" s="30" t="n"/>
      <c r="M133" s="30" t="n"/>
      <c r="N133" s="30" t="n"/>
      <c r="O133" s="30" t="n"/>
      <c r="P133" s="30" t="n"/>
      <c r="Q133" s="31" t="n"/>
      <c r="R133" s="31" t="n"/>
    </row>
    <row r="134">
      <c r="A134" s="19">
        <f>Tickers!$D$134</f>
        <v/>
      </c>
      <c r="B134" s="29" cm="1">
        <f t="array" aca="1" ref="B134" ca="1">_xll.BQL($A134, "#itm().period as #p", "#itm=sales_rev_turn(fpt=q,fpo=0,ae=a)","showids=f","transpose=t","showheaders=f")</f>
        <v/>
      </c>
      <c r="C134" s="30" cm="1">
        <f t="array" aca="1" ref="C134" ca="1">_xll.BQL($A134, "#itm().value as #v", "#itm=sales_rev_turn(fpt=q,fpo=range(-13,2),ae=ae,fa_adjusted=y,currency='USD')/1m","showids=f","transpose=t","showheaders=f")</f>
        <v/>
      </c>
      <c r="D134" s="30" t="n"/>
      <c r="E134" s="30" t="n"/>
      <c r="F134" s="30" t="n"/>
      <c r="G134" s="30" t="n"/>
      <c r="H134" s="30" t="n"/>
      <c r="I134" s="30" t="n"/>
      <c r="J134" s="30" t="n"/>
      <c r="K134" s="30" t="n"/>
      <c r="L134" s="30" t="n"/>
      <c r="M134" s="30" t="n"/>
      <c r="N134" s="30" t="n"/>
      <c r="O134" s="30" t="n"/>
      <c r="P134" s="30" t="n"/>
      <c r="Q134" s="31" t="n"/>
      <c r="R134" s="31" t="n"/>
    </row>
    <row r="135">
      <c r="A135" s="19">
        <f>Tickers!$D$135</f>
        <v/>
      </c>
      <c r="B135" s="29" cm="1">
        <f t="array" aca="1" ref="B135" ca="1">_xll.BQL($A135, "#itm().period as #p", "#itm=sales_rev_turn(fpt=q,fpo=0,ae=a)","showids=f","transpose=t","showheaders=f")</f>
        <v/>
      </c>
      <c r="C135" s="30" cm="1">
        <f t="array" aca="1" ref="C135" ca="1">_xll.BQL($A135, "#itm().value as #v", "#itm=sales_rev_turn(fpt=q,fpo=range(-13,2),ae=ae,fa_adjusted=y,currency='USD')/1m","showids=f","transpose=t","showheaders=f")</f>
        <v/>
      </c>
      <c r="D135" s="30" t="n"/>
      <c r="E135" s="30" t="n"/>
      <c r="F135" s="30" t="n"/>
      <c r="G135" s="30" t="n"/>
      <c r="H135" s="30" t="n"/>
      <c r="I135" s="30" t="n"/>
      <c r="J135" s="30" t="n"/>
      <c r="K135" s="30" t="n"/>
      <c r="L135" s="30" t="n"/>
      <c r="M135" s="30" t="n"/>
      <c r="N135" s="30" t="n"/>
      <c r="O135" s="30" t="n"/>
      <c r="P135" s="30" t="n"/>
      <c r="Q135" s="31" t="n"/>
      <c r="R135" s="31" t="n"/>
    </row>
    <row r="136">
      <c r="A136" s="19">
        <f>Tickers!$D$136</f>
        <v/>
      </c>
      <c r="B136" s="29" cm="1">
        <f t="array" aca="1" ref="B136" ca="1">_xll.BQL($A136, "#itm().period as #p", "#itm=sales_rev_turn(fpt=q,fpo=0,ae=a)","showids=f","transpose=t","showheaders=f")</f>
        <v/>
      </c>
      <c r="C136" s="30" cm="1">
        <f t="array" aca="1" ref="C136" ca="1">_xll.BQL($A136, "#itm().value as #v", "#itm=sales_rev_turn(fpt=q,fpo=range(-13,2),ae=ae,fa_adjusted=y,currency='USD')/1m","showids=f","transpose=t","showheaders=f")</f>
        <v/>
      </c>
      <c r="D136" s="30" t="n"/>
      <c r="E136" s="30" t="n"/>
      <c r="F136" s="30" t="n"/>
      <c r="G136" s="30" t="n"/>
      <c r="H136" s="30" t="n"/>
      <c r="I136" s="30" t="n"/>
      <c r="J136" s="30" t="n"/>
      <c r="K136" s="30" t="n"/>
      <c r="L136" s="30" t="n"/>
      <c r="M136" s="30" t="n"/>
      <c r="N136" s="30" t="n"/>
      <c r="O136" s="30" t="n"/>
      <c r="P136" s="30" t="n"/>
      <c r="Q136" s="31" t="n"/>
      <c r="R136" s="31" t="n"/>
    </row>
    <row r="137">
      <c r="A137" s="19">
        <f>Tickers!$D$137</f>
        <v/>
      </c>
      <c r="B137" s="29" cm="1">
        <f t="array" aca="1" ref="B137" ca="1">_xll.BQL($A137, "#itm().period as #p", "#itm=sales_rev_turn(fpt=q,fpo=0,ae=a)","showids=f","transpose=t","showheaders=f")</f>
        <v/>
      </c>
      <c r="C137" s="30" cm="1">
        <f t="array" aca="1" ref="C137" ca="1">_xll.BQL($A137, "#itm().value as #v", "#itm=sales_rev_turn(fpt=q,fpo=range(-13,2),ae=ae,fa_adjusted=y,currency='USD')/1m","showids=f","transpose=t","showheaders=f")</f>
        <v/>
      </c>
      <c r="D137" s="30" t="n"/>
      <c r="E137" s="30" t="n"/>
      <c r="F137" s="30" t="n"/>
      <c r="G137" s="30" t="n"/>
      <c r="H137" s="30" t="n"/>
      <c r="I137" s="30" t="n"/>
      <c r="J137" s="30" t="n"/>
      <c r="K137" s="30" t="n"/>
      <c r="L137" s="30" t="n"/>
      <c r="M137" s="30" t="n"/>
      <c r="N137" s="30" t="n"/>
      <c r="O137" s="30" t="n"/>
      <c r="P137" s="30" t="n"/>
      <c r="Q137" s="31" t="n"/>
      <c r="R137" s="31" t="n"/>
    </row>
    <row r="138">
      <c r="A138" s="19">
        <f>Tickers!$D$138</f>
        <v/>
      </c>
      <c r="B138" s="29" cm="1">
        <f t="array" aca="1" ref="B138" ca="1">_xll.BQL($A138, "#itm().period as #p", "#itm=sales_rev_turn(fpt=q,fpo=0,ae=a)","showids=f","transpose=t","showheaders=f")</f>
        <v/>
      </c>
      <c r="C138" s="30" cm="1">
        <f t="array" aca="1" ref="C138" ca="1">_xll.BQL($A138, "#itm().value as #v", "#itm=sales_rev_turn(fpt=q,fpo=range(-13,2),ae=ae,fa_adjusted=y,currency='USD')/1m","showids=f","transpose=t","showheaders=f")</f>
        <v/>
      </c>
      <c r="D138" s="30" t="n"/>
      <c r="E138" s="30" t="n"/>
      <c r="F138" s="30" t="n"/>
      <c r="G138" s="30" t="n"/>
      <c r="H138" s="30" t="n"/>
      <c r="I138" s="30" t="n"/>
      <c r="J138" s="30" t="n"/>
      <c r="K138" s="30" t="n"/>
      <c r="L138" s="30" t="n"/>
      <c r="M138" s="30" t="n"/>
      <c r="N138" s="30" t="n"/>
      <c r="O138" s="30" t="n"/>
      <c r="P138" s="30" t="n"/>
      <c r="Q138" s="31" t="n"/>
      <c r="R138" s="31" t="n"/>
    </row>
    <row r="139">
      <c r="A139" s="19">
        <f>Tickers!$D$139</f>
        <v/>
      </c>
      <c r="B139" s="29" cm="1">
        <f t="array" aca="1" ref="B139" ca="1">_xll.BQL($A139, "#itm().period as #p", "#itm=sales_rev_turn(fpt=q,fpo=0,ae=a)","showids=f","transpose=t","showheaders=f")</f>
        <v/>
      </c>
      <c r="C139" s="30" cm="1">
        <f t="array" aca="1" ref="C139" ca="1">_xll.BQL($A139, "#itm().value as #v", "#itm=sales_rev_turn(fpt=q,fpo=range(-13,2),ae=ae,fa_adjusted=y,currency='USD')/1m","showids=f","transpose=t","showheaders=f")</f>
        <v/>
      </c>
      <c r="D139" s="30" t="n"/>
      <c r="E139" s="30" t="n"/>
      <c r="F139" s="30" t="n"/>
      <c r="G139" s="30" t="n"/>
      <c r="H139" s="30" t="n"/>
      <c r="I139" s="30" t="n"/>
      <c r="J139" s="30" t="n"/>
      <c r="K139" s="30" t="n"/>
      <c r="L139" s="30" t="n"/>
      <c r="M139" s="30" t="n"/>
      <c r="N139" s="30" t="n"/>
      <c r="O139" s="30" t="n"/>
      <c r="P139" s="30" t="n"/>
      <c r="Q139" s="31" t="n"/>
      <c r="R139" s="31" t="n"/>
    </row>
    <row r="140">
      <c r="A140" s="19">
        <f>Tickers!$D$140</f>
        <v/>
      </c>
      <c r="B140" s="29" cm="1">
        <f t="array" aca="1" ref="B140" ca="1">_xll.BQL($A140, "#itm().period as #p", "#itm=sales_rev_turn(fpt=q,fpo=0,ae=a)","showids=f","transpose=t","showheaders=f")</f>
        <v/>
      </c>
      <c r="C140" s="30" cm="1">
        <f t="array" aca="1" ref="C140" ca="1">_xll.BQL($A140, "#itm().value as #v", "#itm=sales_rev_turn(fpt=q,fpo=range(-13,2),ae=ae,fa_adjusted=y,currency='USD')/1m","showids=f","transpose=t","showheaders=f")</f>
        <v/>
      </c>
      <c r="D140" s="30" t="n"/>
      <c r="E140" s="30" t="n"/>
      <c r="F140" s="30" t="n"/>
      <c r="G140" s="30" t="n"/>
      <c r="H140" s="30" t="n"/>
      <c r="I140" s="30" t="n"/>
      <c r="J140" s="30" t="n"/>
      <c r="K140" s="30" t="n"/>
      <c r="L140" s="30" t="n"/>
      <c r="M140" s="30" t="n"/>
      <c r="N140" s="30" t="n"/>
      <c r="O140" s="30" t="n"/>
      <c r="P140" s="30" t="n"/>
      <c r="Q140" s="31" t="n"/>
      <c r="R140" s="31" t="n"/>
    </row>
    <row r="141">
      <c r="A141" s="19">
        <f>Tickers!$D$141</f>
        <v/>
      </c>
      <c r="B141" s="29" cm="1">
        <f t="array" aca="1" ref="B141" ca="1">_xll.BQL($A141, "#itm().period as #p", "#itm=sales_rev_turn(fpt=q,fpo=0,ae=a)","showids=f","transpose=t","showheaders=f")</f>
        <v/>
      </c>
      <c r="C141" s="30" cm="1">
        <f t="array" aca="1" ref="C141" ca="1">_xll.BQL($A141, "#itm().value as #v", "#itm=sales_rev_turn(fpt=q,fpo=range(-13,2),ae=ae,fa_adjusted=y,currency='USD')/1m","showids=f","transpose=t","showheaders=f")</f>
        <v/>
      </c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  <c r="M141" s="30" t="n"/>
      <c r="N141" s="30" t="n"/>
      <c r="O141" s="30" t="n"/>
      <c r="P141" s="30" t="n"/>
      <c r="Q141" s="31" t="n"/>
      <c r="R141" s="31" t="n"/>
    </row>
    <row r="142">
      <c r="A142" s="19">
        <f>Tickers!$D$142</f>
        <v/>
      </c>
      <c r="B142" s="29" cm="1">
        <f t="array" aca="1" ref="B142" ca="1">_xll.BQL($A142, "#itm().period as #p", "#itm=sales_rev_turn(fpt=q,fpo=0,ae=a)","showids=f","transpose=t","showheaders=f")</f>
        <v/>
      </c>
      <c r="C142" s="30" cm="1">
        <f t="array" aca="1" ref="C142" ca="1">_xll.BQL($A142, "#itm().value as #v", "#itm=sales_rev_turn(fpt=q,fpo=range(-13,2),ae=ae,fa_adjusted=y,currency='USD')/1m","showids=f","transpose=t","showheaders=f")</f>
        <v/>
      </c>
      <c r="D142" s="30" t="n"/>
      <c r="E142" s="30" t="n"/>
      <c r="F142" s="30" t="n"/>
      <c r="G142" s="30" t="n"/>
      <c r="H142" s="30" t="n"/>
      <c r="I142" s="30" t="n"/>
      <c r="J142" s="30" t="n"/>
      <c r="K142" s="30" t="n"/>
      <c r="L142" s="30" t="n"/>
      <c r="M142" s="30" t="n"/>
      <c r="N142" s="30" t="n"/>
      <c r="O142" s="30" t="n"/>
      <c r="P142" s="30" t="n"/>
      <c r="Q142" s="31" t="n"/>
      <c r="R142" s="31" t="n"/>
    </row>
    <row r="143">
      <c r="A143" s="19">
        <f>Tickers!$D$143</f>
        <v/>
      </c>
      <c r="B143" s="29" cm="1">
        <f t="array" aca="1" ref="B143" ca="1">_xll.BQL($A143, "#itm().period as #p", "#itm=sales_rev_turn(fpt=q,fpo=0,ae=a)","showids=f","transpose=t","showheaders=f")</f>
        <v/>
      </c>
      <c r="C143" s="30" cm="1">
        <f t="array" aca="1" ref="C143" ca="1">_xll.BQL($A143, "#itm().value as #v", "#itm=sales_rev_turn(fpt=q,fpo=range(-13,2),ae=ae,fa_adjusted=y,currency='USD')/1m","showids=f","transpose=t","showheaders=f")</f>
        <v/>
      </c>
      <c r="D143" s="30" t="n"/>
      <c r="E143" s="30" t="n"/>
      <c r="F143" s="30" t="n"/>
      <c r="G143" s="30" t="n"/>
      <c r="H143" s="30" t="n"/>
      <c r="I143" s="30" t="n"/>
      <c r="J143" s="30" t="n"/>
      <c r="K143" s="30" t="n"/>
      <c r="L143" s="30" t="n"/>
      <c r="M143" s="30" t="n"/>
      <c r="N143" s="30" t="n"/>
      <c r="O143" s="30" t="n"/>
      <c r="P143" s="30" t="n"/>
      <c r="Q143" s="31" t="n"/>
      <c r="R143" s="3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ED7D31"/>
    <outlinePr summaryBelow="1" summaryRight="1"/>
    <pageSetUpPr/>
  </sheetPr>
  <dimension ref="A1:R14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</cols>
  <sheetData>
    <row r="1">
      <c r="A1" s="5" t="inlineStr">
        <is>
          <t>Semiconductors — Quarterly Adjusted Operating Income (USD mm)</t>
        </is>
      </c>
      <c r="H1" s="6" t="inlineStr">
        <is>
          <t>⚠ Cells blank? This is a LIVE Bloomberg workbook — it has no saved data until its first refresh. Open it in desktop Excel on your Bloomberg terminal PC (add-in logged in), then Bloomberg ribbon ▸ Refresh All (or Ctrl+Alt+F9), wait a few minutes, and save. See README.</t>
        </is>
      </c>
    </row>
    <row r="2">
      <c r="A2" s="7" t="inlineStr">
        <is>
          <t>Columns are aligned by fiscal period offset (FPO): FPO 0 = each company's most recently REPORTED quarter, so fiscal calendars differ across rows (e.g. ZM's FY ends Jan). FPO +1/+2 are consensus estimates (shaded).</t>
        </is>
      </c>
    </row>
    <row r="3">
      <c r="A3" s="7" t="inlineStr">
        <is>
          <t>Source: Bloomberg — BQL: is_oper_inc, fpt=q, ae=ae, fa_adjusted=y, currency='USD', /1m. Refresh on a Bloomberg terminal (Bloomberg ribbon &gt; Refresh All).</t>
        </is>
      </c>
    </row>
    <row r="4" ht="28" customHeight="1">
      <c r="A4" s="8" t="inlineStr">
        <is>
          <t>Ticker</t>
        </is>
      </c>
      <c r="B4" s="8" t="inlineStr">
        <is>
          <t>Latest Rpt Qtr</t>
        </is>
      </c>
      <c r="C4" s="8" t="inlineStr">
        <is>
          <t>FPO -13</t>
        </is>
      </c>
      <c r="D4" s="8" t="inlineStr">
        <is>
          <t>FPO -12</t>
        </is>
      </c>
      <c r="E4" s="8" t="inlineStr">
        <is>
          <t>FPO -11</t>
        </is>
      </c>
      <c r="F4" s="8" t="inlineStr">
        <is>
          <t>FPO -10</t>
        </is>
      </c>
      <c r="G4" s="8" t="inlineStr">
        <is>
          <t>FPO -9</t>
        </is>
      </c>
      <c r="H4" s="8" t="inlineStr">
        <is>
          <t>FPO -8</t>
        </is>
      </c>
      <c r="I4" s="8" t="inlineStr">
        <is>
          <t>FPO -7</t>
        </is>
      </c>
      <c r="J4" s="8" t="inlineStr">
        <is>
          <t>FPO -6</t>
        </is>
      </c>
      <c r="K4" s="8" t="inlineStr">
        <is>
          <t>FPO -5</t>
        </is>
      </c>
      <c r="L4" s="8" t="inlineStr">
        <is>
          <t>FPO -4</t>
        </is>
      </c>
      <c r="M4" s="8" t="inlineStr">
        <is>
          <t>FPO -3</t>
        </is>
      </c>
      <c r="N4" s="8" t="inlineStr">
        <is>
          <t>FPO -2</t>
        </is>
      </c>
      <c r="O4" s="8" t="inlineStr">
        <is>
          <t>FPO -1</t>
        </is>
      </c>
      <c r="P4" s="8" t="inlineStr">
        <is>
          <t>FPO 0 (latest rpt)</t>
        </is>
      </c>
      <c r="Q4" s="8" t="inlineStr">
        <is>
          <t>FPO +1E</t>
        </is>
      </c>
      <c r="R4" s="8" t="inlineStr">
        <is>
          <t>FPO +2E</t>
        </is>
      </c>
    </row>
    <row r="5">
      <c r="A5" s="19">
        <f>Tickers!$D$5</f>
        <v/>
      </c>
      <c r="B5" s="19">
        <f>'Semi Rev'!$B5</f>
        <v/>
      </c>
      <c r="C5" s="30" cm="1">
        <f t="array" aca="1" ref="C5" ca="1">_xll.BQL($A5, "#itm().value as #v", "#itm=is_oper_inc(fpt=q,fpo=range(-13,2),ae=ae,fa_adjusted=y,currency='USD')/1m","showids=f","transpose=t","showheaders=f")</f>
        <v/>
      </c>
      <c r="D5" s="30" t="n"/>
      <c r="E5" s="30" t="n"/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  <c r="O5" s="30" t="n"/>
      <c r="P5" s="30" t="n"/>
      <c r="Q5" s="31" t="n"/>
      <c r="R5" s="31" t="n"/>
    </row>
    <row r="6">
      <c r="A6" s="19">
        <f>Tickers!$D$6</f>
        <v/>
      </c>
      <c r="B6" s="19">
        <f>'Semi Rev'!$B6</f>
        <v/>
      </c>
      <c r="C6" s="30" cm="1">
        <f t="array" aca="1" ref="C6" ca="1">_xll.BQL($A6, "#itm().value as #v", "#itm=is_oper_inc(fpt=q,fpo=range(-13,2),ae=ae,fa_adjusted=y,currency='USD')/1m","showids=f","transpose=t","showheaders=f")</f>
        <v/>
      </c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1" t="n"/>
      <c r="R6" s="31" t="n"/>
    </row>
    <row r="7">
      <c r="A7" s="19">
        <f>Tickers!$D$7</f>
        <v/>
      </c>
      <c r="B7" s="19">
        <f>'Semi Rev'!$B7</f>
        <v/>
      </c>
      <c r="C7" s="30" cm="1">
        <f t="array" aca="1" ref="C7" ca="1">_xll.BQL($A7, "#itm().value as #v", "#itm=is_oper_inc(fpt=q,fpo=range(-13,2),ae=ae,fa_adjusted=y,currency='USD')/1m","showids=f","transpose=t","showheaders=f")</f>
        <v/>
      </c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1" t="n"/>
      <c r="R7" s="31" t="n"/>
    </row>
    <row r="8">
      <c r="A8" s="19">
        <f>Tickers!$D$8</f>
        <v/>
      </c>
      <c r="B8" s="19">
        <f>'Semi Rev'!$B8</f>
        <v/>
      </c>
      <c r="C8" s="30" cm="1">
        <f t="array" aca="1" ref="C8" ca="1">_xll.BQL($A8, "#itm().value as #v", "#itm=is_oper_inc(fpt=q,fpo=range(-13,2),ae=ae,fa_adjusted=y,currency='USD')/1m","showids=f","transpose=t","showheaders=f")</f>
        <v/>
      </c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1" t="n"/>
      <c r="R8" s="31" t="n"/>
    </row>
    <row r="9">
      <c r="A9" s="19">
        <f>Tickers!$D$9</f>
        <v/>
      </c>
      <c r="B9" s="19">
        <f>'Semi Rev'!$B9</f>
        <v/>
      </c>
      <c r="C9" s="30" cm="1">
        <f t="array" aca="1" ref="C9" ca="1">_xll.BQL($A9, "#itm().value as #v", "#itm=is_oper_inc(fpt=q,fpo=range(-13,2),ae=ae,fa_adjusted=y,currency='USD')/1m","showids=f","transpose=t","showheaders=f")</f>
        <v/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1" t="n"/>
      <c r="R9" s="31" t="n"/>
    </row>
    <row r="10">
      <c r="A10" s="19">
        <f>Tickers!$D$10</f>
        <v/>
      </c>
      <c r="B10" s="19">
        <f>'Semi Rev'!$B10</f>
        <v/>
      </c>
      <c r="C10" s="30" cm="1">
        <f t="array" aca="1" ref="C10" ca="1">_xll.BQL($A10, "#itm().value as #v", "#itm=is_oper_inc(fpt=q,fpo=range(-13,2),ae=ae,fa_adjusted=y,currency='USD')/1m","showids=f","transpose=t","showheaders=f")</f>
        <v/>
      </c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30" t="n"/>
      <c r="Q10" s="31" t="n"/>
      <c r="R10" s="31" t="n"/>
    </row>
    <row r="11">
      <c r="A11" s="19">
        <f>Tickers!$D$11</f>
        <v/>
      </c>
      <c r="B11" s="19">
        <f>'Semi Rev'!$B11</f>
        <v/>
      </c>
      <c r="C11" s="30" cm="1">
        <f t="array" aca="1" ref="C11" ca="1">_xll.BQL($A11, "#itm().value as #v", "#itm=is_oper_inc(fpt=q,fpo=range(-13,2),ae=ae,fa_adjusted=y,currency='USD')/1m","showids=f","transpose=t","showheaders=f")</f>
        <v/>
      </c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1" t="n"/>
      <c r="R11" s="31" t="n"/>
    </row>
    <row r="12">
      <c r="A12" s="19">
        <f>Tickers!$D$12</f>
        <v/>
      </c>
      <c r="B12" s="19">
        <f>'Semi Rev'!$B12</f>
        <v/>
      </c>
      <c r="C12" s="30" cm="1">
        <f t="array" aca="1" ref="C12" ca="1">_xll.BQL($A12, "#itm().value as #v", "#itm=is_oper_inc(fpt=q,fpo=range(-13,2),ae=ae,fa_adjusted=y,currency='USD')/1m","showids=f","transpose=t","showheaders=f")</f>
        <v/>
      </c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1" t="n"/>
      <c r="R12" s="31" t="n"/>
    </row>
    <row r="13">
      <c r="A13" s="19">
        <f>Tickers!$D$13</f>
        <v/>
      </c>
      <c r="B13" s="19">
        <f>'Semi Rev'!$B13</f>
        <v/>
      </c>
      <c r="C13" s="30" cm="1">
        <f t="array" aca="1" ref="C13" ca="1">_xll.BQL($A13, "#itm().value as #v", "#itm=is_oper_inc(fpt=q,fpo=range(-13,2),ae=ae,fa_adjusted=y,currency='USD')/1m","showids=f","transpose=t","showheaders=f")</f>
        <v/>
      </c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1" t="n"/>
      <c r="R13" s="31" t="n"/>
    </row>
    <row r="14">
      <c r="A14" s="19">
        <f>Tickers!$D$14</f>
        <v/>
      </c>
      <c r="B14" s="19">
        <f>'Semi Rev'!$B14</f>
        <v/>
      </c>
      <c r="C14" s="30" cm="1">
        <f t="array" aca="1" ref="C14" ca="1">_xll.BQL($A14, "#itm().value as #v", "#itm=is_oper_inc(fpt=q,fpo=range(-13,2),ae=ae,fa_adjusted=y,currency='USD')/1m","showids=f","transpose=t","showheaders=f")</f>
        <v/>
      </c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  <c r="Q14" s="31" t="n"/>
      <c r="R14" s="31" t="n"/>
    </row>
    <row r="15">
      <c r="A15" s="19">
        <f>Tickers!$D$15</f>
        <v/>
      </c>
      <c r="B15" s="19">
        <f>'Semi Rev'!$B15</f>
        <v/>
      </c>
      <c r="C15" s="30" cm="1">
        <f t="array" aca="1" ref="C15" ca="1">_xll.BQL($A15, "#itm().value as #v", "#itm=is_oper_inc(fpt=q,fpo=range(-13,2),ae=ae,fa_adjusted=y,currency='USD')/1m","showids=f","transpose=t","showheaders=f")</f>
        <v/>
      </c>
      <c r="D15" s="30" t="n"/>
      <c r="E15" s="30" t="n"/>
      <c r="F15" s="30" t="n"/>
      <c r="G15" s="30" t="n"/>
      <c r="H15" s="30" t="n"/>
      <c r="I15" s="30" t="n"/>
      <c r="J15" s="30" t="n"/>
      <c r="K15" s="30" t="n"/>
      <c r="L15" s="30" t="n"/>
      <c r="M15" s="30" t="n"/>
      <c r="N15" s="30" t="n"/>
      <c r="O15" s="30" t="n"/>
      <c r="P15" s="30" t="n"/>
      <c r="Q15" s="31" t="n"/>
      <c r="R15" s="31" t="n"/>
    </row>
    <row r="16">
      <c r="A16" s="19">
        <f>Tickers!$D$16</f>
        <v/>
      </c>
      <c r="B16" s="19">
        <f>'Semi Rev'!$B16</f>
        <v/>
      </c>
      <c r="C16" s="30" cm="1">
        <f t="array" aca="1" ref="C16" ca="1">_xll.BQL($A16, "#itm().value as #v", "#itm=is_oper_inc(fpt=q,fpo=range(-13,2),ae=ae,fa_adjusted=y,currency='USD')/1m","showids=f","transpose=t","showheaders=f")</f>
        <v/>
      </c>
      <c r="D16" s="30" t="n"/>
      <c r="E16" s="30" t="n"/>
      <c r="F16" s="30" t="n"/>
      <c r="G16" s="30" t="n"/>
      <c r="H16" s="30" t="n"/>
      <c r="I16" s="30" t="n"/>
      <c r="J16" s="30" t="n"/>
      <c r="K16" s="30" t="n"/>
      <c r="L16" s="30" t="n"/>
      <c r="M16" s="30" t="n"/>
      <c r="N16" s="30" t="n"/>
      <c r="O16" s="30" t="n"/>
      <c r="P16" s="30" t="n"/>
      <c r="Q16" s="31" t="n"/>
      <c r="R16" s="31" t="n"/>
    </row>
    <row r="17">
      <c r="A17" s="19">
        <f>Tickers!$D$17</f>
        <v/>
      </c>
      <c r="B17" s="19">
        <f>'Semi Rev'!$B17</f>
        <v/>
      </c>
      <c r="C17" s="30" cm="1">
        <f t="array" aca="1" ref="C17" ca="1">_xll.BQL($A17, "#itm().value as #v", "#itm=is_oper_inc(fpt=q,fpo=range(-13,2),ae=ae,fa_adjusted=y,currency='USD')/1m","showids=f","transpose=t","showheaders=f")</f>
        <v/>
      </c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30" t="n"/>
      <c r="Q17" s="31" t="n"/>
      <c r="R17" s="31" t="n"/>
    </row>
    <row r="18">
      <c r="A18" s="19">
        <f>Tickers!$D$18</f>
        <v/>
      </c>
      <c r="B18" s="19">
        <f>'Semi Rev'!$B18</f>
        <v/>
      </c>
      <c r="C18" s="30" cm="1">
        <f t="array" aca="1" ref="C18" ca="1">_xll.BQL($A18, "#itm().value as #v", "#itm=is_oper_inc(fpt=q,fpo=range(-13,2),ae=ae,fa_adjusted=y,currency='USD')/1m","showids=f","transpose=t","showheaders=f")</f>
        <v/>
      </c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1" t="n"/>
      <c r="R18" s="31" t="n"/>
    </row>
    <row r="19">
      <c r="A19" s="19">
        <f>Tickers!$D$19</f>
        <v/>
      </c>
      <c r="B19" s="19">
        <f>'Semi Rev'!$B19</f>
        <v/>
      </c>
      <c r="C19" s="30" cm="1">
        <f t="array" aca="1" ref="C19" ca="1">_xll.BQL($A19, "#itm().value as #v", "#itm=is_oper_inc(fpt=q,fpo=range(-13,2),ae=ae,fa_adjusted=y,currency='USD')/1m","showids=f","transpose=t","showheaders=f")</f>
        <v/>
      </c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1" t="n"/>
      <c r="R19" s="31" t="n"/>
    </row>
    <row r="20">
      <c r="A20" s="19">
        <f>Tickers!$D$20</f>
        <v/>
      </c>
      <c r="B20" s="19">
        <f>'Semi Rev'!$B20</f>
        <v/>
      </c>
      <c r="C20" s="30" cm="1">
        <f t="array" aca="1" ref="C20" ca="1">_xll.BQL($A20, "#itm().value as #v", "#itm=is_oper_inc(fpt=q,fpo=range(-13,2),ae=ae,fa_adjusted=y,currency='USD')/1m","showids=f","transpose=t","showheaders=f")</f>
        <v/>
      </c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30" t="n"/>
      <c r="Q20" s="31" t="n"/>
      <c r="R20" s="31" t="n"/>
    </row>
    <row r="21">
      <c r="A21" s="19">
        <f>Tickers!$D$21</f>
        <v/>
      </c>
      <c r="B21" s="19">
        <f>'Semi Rev'!$B21</f>
        <v/>
      </c>
      <c r="C21" s="30" cm="1">
        <f t="array" aca="1" ref="C21" ca="1">_xll.BQL($A21, "#itm().value as #v", "#itm=is_oper_inc(fpt=q,fpo=range(-13,2),ae=ae,fa_adjusted=y,currency='USD')/1m","showids=f","transpose=t","showheaders=f")</f>
        <v/>
      </c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  <c r="P21" s="30" t="n"/>
      <c r="Q21" s="31" t="n"/>
      <c r="R21" s="31" t="n"/>
    </row>
    <row r="22">
      <c r="A22" s="19">
        <f>Tickers!$D$22</f>
        <v/>
      </c>
      <c r="B22" s="19">
        <f>'Semi Rev'!$B22</f>
        <v/>
      </c>
      <c r="C22" s="30" cm="1">
        <f t="array" aca="1" ref="C22" ca="1">_xll.BQL($A22, "#itm().value as #v", "#itm=is_oper_inc(fpt=q,fpo=range(-13,2),ae=ae,fa_adjusted=y,currency='USD')/1m","showids=f","transpose=t","showheaders=f")</f>
        <v/>
      </c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n"/>
      <c r="Q22" s="31" t="n"/>
      <c r="R22" s="31" t="n"/>
    </row>
    <row r="23">
      <c r="A23" s="19">
        <f>Tickers!$D$23</f>
        <v/>
      </c>
      <c r="B23" s="19">
        <f>'Semi Rev'!$B23</f>
        <v/>
      </c>
      <c r="C23" s="30" cm="1">
        <f t="array" aca="1" ref="C23" ca="1">_xll.BQL($A23, "#itm().value as #v", "#itm=is_oper_inc(fpt=q,fpo=range(-13,2),ae=ae,fa_adjusted=y,currency='USD')/1m","showids=f","transpose=t","showheaders=f")</f>
        <v/>
      </c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30" t="n"/>
      <c r="P23" s="30" t="n"/>
      <c r="Q23" s="31" t="n"/>
      <c r="R23" s="31" t="n"/>
    </row>
    <row r="24">
      <c r="A24" s="19">
        <f>Tickers!$D$24</f>
        <v/>
      </c>
      <c r="B24" s="19">
        <f>'Semi Rev'!$B24</f>
        <v/>
      </c>
      <c r="C24" s="30" cm="1">
        <f t="array" aca="1" ref="C24" ca="1">_xll.BQL($A24, "#itm().value as #v", "#itm=is_oper_inc(fpt=q,fpo=range(-13,2),ae=ae,fa_adjusted=y,currency='USD')/1m","showids=f","transpose=t","showheaders=f")</f>
        <v/>
      </c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30" t="n"/>
      <c r="Q24" s="31" t="n"/>
      <c r="R24" s="31" t="n"/>
    </row>
    <row r="25">
      <c r="A25" s="19">
        <f>Tickers!$D$25</f>
        <v/>
      </c>
      <c r="B25" s="19">
        <f>'Semi Rev'!$B25</f>
        <v/>
      </c>
      <c r="C25" s="30" cm="1">
        <f t="array" aca="1" ref="C25" ca="1">_xll.BQL($A25, "#itm().value as #v", "#itm=is_oper_inc(fpt=q,fpo=range(-13,2),ae=ae,fa_adjusted=y,currency='USD')/1m","showids=f","transpose=t","showheaders=f")</f>
        <v/>
      </c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  <c r="Q25" s="31" t="n"/>
      <c r="R25" s="31" t="n"/>
    </row>
    <row r="26">
      <c r="A26" s="19">
        <f>Tickers!$D$26</f>
        <v/>
      </c>
      <c r="B26" s="19">
        <f>'Semi Rev'!$B26</f>
        <v/>
      </c>
      <c r="C26" s="30" cm="1">
        <f t="array" aca="1" ref="C26" ca="1">_xll.BQL($A26, "#itm().value as #v", "#itm=is_oper_inc(fpt=q,fpo=range(-13,2),ae=ae,fa_adjusted=y,currency='USD')/1m","showids=f","transpose=t","showheaders=f")</f>
        <v/>
      </c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30" t="n"/>
      <c r="Q26" s="31" t="n"/>
      <c r="R26" s="31" t="n"/>
    </row>
    <row r="27">
      <c r="A27" s="19">
        <f>Tickers!$D$27</f>
        <v/>
      </c>
      <c r="B27" s="19">
        <f>'Semi Rev'!$B27</f>
        <v/>
      </c>
      <c r="C27" s="30" cm="1">
        <f t="array" aca="1" ref="C27" ca="1">_xll.BQL($A27, "#itm().value as #v", "#itm=is_oper_inc(fpt=q,fpo=range(-13,2),ae=ae,fa_adjusted=y,currency='USD')/1m","showids=f","transpose=t","showheaders=f")</f>
        <v/>
      </c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30" t="n"/>
      <c r="Q27" s="31" t="n"/>
      <c r="R27" s="31" t="n"/>
    </row>
    <row r="28">
      <c r="A28" s="19">
        <f>Tickers!$D$28</f>
        <v/>
      </c>
      <c r="B28" s="19">
        <f>'Semi Rev'!$B28</f>
        <v/>
      </c>
      <c r="C28" s="30" cm="1">
        <f t="array" aca="1" ref="C28" ca="1">_xll.BQL($A28, "#itm().value as #v", "#itm=is_oper_inc(fpt=q,fpo=range(-13,2),ae=ae,fa_adjusted=y,currency='USD')/1m","showids=f","transpose=t","showheaders=f")</f>
        <v/>
      </c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30" t="n"/>
      <c r="Q28" s="31" t="n"/>
      <c r="R28" s="31" t="n"/>
    </row>
    <row r="29">
      <c r="A29" s="19">
        <f>Tickers!$D$29</f>
        <v/>
      </c>
      <c r="B29" s="19">
        <f>'Semi Rev'!$B29</f>
        <v/>
      </c>
      <c r="C29" s="30" cm="1">
        <f t="array" aca="1" ref="C29" ca="1">_xll.BQL($A29, "#itm().value as #v", "#itm=is_oper_inc(fpt=q,fpo=range(-13,2),ae=ae,fa_adjusted=y,currency='USD')/1m","showids=f","transpose=t","showheaders=f")</f>
        <v/>
      </c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30" t="n"/>
      <c r="Q29" s="31" t="n"/>
      <c r="R29" s="31" t="n"/>
    </row>
    <row r="30">
      <c r="A30" s="19">
        <f>Tickers!$D$30</f>
        <v/>
      </c>
      <c r="B30" s="19">
        <f>'Semi Rev'!$B30</f>
        <v/>
      </c>
      <c r="C30" s="30" cm="1">
        <f t="array" aca="1" ref="C30" ca="1">_xll.BQL($A30, "#itm().value as #v", "#itm=is_oper_inc(fpt=q,fpo=range(-13,2),ae=ae,fa_adjusted=y,currency='USD')/1m","showids=f","transpose=t","showheaders=f")</f>
        <v/>
      </c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30" t="n"/>
      <c r="Q30" s="31" t="n"/>
      <c r="R30" s="31" t="n"/>
    </row>
    <row r="31">
      <c r="A31" s="19">
        <f>Tickers!$D$31</f>
        <v/>
      </c>
      <c r="B31" s="19">
        <f>'Semi Rev'!$B31</f>
        <v/>
      </c>
      <c r="C31" s="30" cm="1">
        <f t="array" aca="1" ref="C31" ca="1">_xll.BQL($A31, "#itm().value as #v", "#itm=is_oper_inc(fpt=q,fpo=range(-13,2),ae=ae,fa_adjusted=y,currency='USD')/1m","showids=f","transpose=t","showheaders=f")</f>
        <v/>
      </c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0" t="n"/>
      <c r="Q31" s="31" t="n"/>
      <c r="R31" s="31" t="n"/>
    </row>
    <row r="32">
      <c r="A32" s="19">
        <f>Tickers!$D$32</f>
        <v/>
      </c>
      <c r="B32" s="19">
        <f>'Semi Rev'!$B32</f>
        <v/>
      </c>
      <c r="C32" s="30" cm="1">
        <f t="array" aca="1" ref="C32" ca="1">_xll.BQL($A32, "#itm().value as #v", "#itm=is_oper_inc(fpt=q,fpo=range(-13,2),ae=ae,fa_adjusted=y,currency='USD')/1m","showids=f","transpose=t","showheaders=f")</f>
        <v/>
      </c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30" t="n"/>
      <c r="Q32" s="31" t="n"/>
      <c r="R32" s="31" t="n"/>
    </row>
    <row r="33">
      <c r="A33" s="19">
        <f>Tickers!$D$33</f>
        <v/>
      </c>
      <c r="B33" s="19">
        <f>'Semi Rev'!$B33</f>
        <v/>
      </c>
      <c r="C33" s="30" cm="1">
        <f t="array" aca="1" ref="C33" ca="1">_xll.BQL($A33, "#itm().value as #v", "#itm=is_oper_inc(fpt=q,fpo=range(-13,2),ae=ae,fa_adjusted=y,currency='USD')/1m","showids=f","transpose=t","showheaders=f")</f>
        <v/>
      </c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0" t="n"/>
      <c r="P33" s="30" t="n"/>
      <c r="Q33" s="31" t="n"/>
      <c r="R33" s="31" t="n"/>
    </row>
    <row r="34">
      <c r="A34" s="19">
        <f>Tickers!$D$34</f>
        <v/>
      </c>
      <c r="B34" s="19">
        <f>'Semi Rev'!$B34</f>
        <v/>
      </c>
      <c r="C34" s="30" cm="1">
        <f t="array" aca="1" ref="C34" ca="1">_xll.BQL($A34, "#itm().value as #v", "#itm=is_oper_inc(fpt=q,fpo=range(-13,2),ae=ae,fa_adjusted=y,currency='USD')/1m","showids=f","transpose=t","showheaders=f")</f>
        <v/>
      </c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30" t="n"/>
      <c r="Q34" s="31" t="n"/>
      <c r="R34" s="31" t="n"/>
    </row>
    <row r="35">
      <c r="A35" s="19">
        <f>Tickers!$D$35</f>
        <v/>
      </c>
      <c r="B35" s="19">
        <f>'Semi Rev'!$B35</f>
        <v/>
      </c>
      <c r="C35" s="30" cm="1">
        <f t="array" aca="1" ref="C35" ca="1">_xll.BQL($A35, "#itm().value as #v", "#itm=is_oper_inc(fpt=q,fpo=range(-13,2),ae=ae,fa_adjusted=y,currency='USD')/1m","showids=f","transpose=t","showheaders=f")</f>
        <v/>
      </c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1" t="n"/>
      <c r="R35" s="31" t="n"/>
    </row>
    <row r="36">
      <c r="A36" s="19">
        <f>Tickers!$D$36</f>
        <v/>
      </c>
      <c r="B36" s="19">
        <f>'Semi Rev'!$B36</f>
        <v/>
      </c>
      <c r="C36" s="30" cm="1">
        <f t="array" aca="1" ref="C36" ca="1">_xll.BQL($A36, "#itm().value as #v", "#itm=is_oper_inc(fpt=q,fpo=range(-13,2),ae=ae,fa_adjusted=y,currency='USD')/1m","showids=f","transpose=t","showheaders=f")</f>
        <v/>
      </c>
      <c r="D36" s="30" t="n"/>
      <c r="E36" s="30" t="n"/>
      <c r="F36" s="30" t="n"/>
      <c r="G36" s="30" t="n"/>
      <c r="H36" s="30" t="n"/>
      <c r="I36" s="30" t="n"/>
      <c r="J36" s="30" t="n"/>
      <c r="K36" s="30" t="n"/>
      <c r="L36" s="30" t="n"/>
      <c r="M36" s="30" t="n"/>
      <c r="N36" s="30" t="n"/>
      <c r="O36" s="30" t="n"/>
      <c r="P36" s="30" t="n"/>
      <c r="Q36" s="31" t="n"/>
      <c r="R36" s="31" t="n"/>
    </row>
    <row r="37">
      <c r="A37" s="19">
        <f>Tickers!$D$37</f>
        <v/>
      </c>
      <c r="B37" s="19">
        <f>'Semi Rev'!$B37</f>
        <v/>
      </c>
      <c r="C37" s="30" cm="1">
        <f t="array" aca="1" ref="C37" ca="1">_xll.BQL($A37, "#itm().value as #v", "#itm=is_oper_inc(fpt=q,fpo=range(-13,2),ae=ae,fa_adjusted=y,currency='USD')/1m","showids=f","transpose=t","showheaders=f")</f>
        <v/>
      </c>
      <c r="D37" s="30" t="n"/>
      <c r="E37" s="30" t="n"/>
      <c r="F37" s="30" t="n"/>
      <c r="G37" s="30" t="n"/>
      <c r="H37" s="30" t="n"/>
      <c r="I37" s="30" t="n"/>
      <c r="J37" s="30" t="n"/>
      <c r="K37" s="30" t="n"/>
      <c r="L37" s="30" t="n"/>
      <c r="M37" s="30" t="n"/>
      <c r="N37" s="30" t="n"/>
      <c r="O37" s="30" t="n"/>
      <c r="P37" s="30" t="n"/>
      <c r="Q37" s="31" t="n"/>
      <c r="R37" s="31" t="n"/>
    </row>
    <row r="38">
      <c r="A38" s="19">
        <f>Tickers!$D$38</f>
        <v/>
      </c>
      <c r="B38" s="19">
        <f>'Semi Rev'!$B38</f>
        <v/>
      </c>
      <c r="C38" s="30" cm="1">
        <f t="array" aca="1" ref="C38" ca="1">_xll.BQL($A38, "#itm().value as #v", "#itm=is_oper_inc(fpt=q,fpo=range(-13,2),ae=ae,fa_adjusted=y,currency='USD')/1m","showids=f","transpose=t","showheaders=f")</f>
        <v/>
      </c>
      <c r="D38" s="30" t="n"/>
      <c r="E38" s="30" t="n"/>
      <c r="F38" s="30" t="n"/>
      <c r="G38" s="30" t="n"/>
      <c r="H38" s="30" t="n"/>
      <c r="I38" s="30" t="n"/>
      <c r="J38" s="30" t="n"/>
      <c r="K38" s="30" t="n"/>
      <c r="L38" s="30" t="n"/>
      <c r="M38" s="30" t="n"/>
      <c r="N38" s="30" t="n"/>
      <c r="O38" s="30" t="n"/>
      <c r="P38" s="30" t="n"/>
      <c r="Q38" s="31" t="n"/>
      <c r="R38" s="31" t="n"/>
    </row>
    <row r="39">
      <c r="A39" s="19">
        <f>Tickers!$D$39</f>
        <v/>
      </c>
      <c r="B39" s="19">
        <f>'Semi Rev'!$B39</f>
        <v/>
      </c>
      <c r="C39" s="30" cm="1">
        <f t="array" aca="1" ref="C39" ca="1">_xll.BQL($A39, "#itm().value as #v", "#itm=is_oper_inc(fpt=q,fpo=range(-13,2),ae=ae,fa_adjusted=y,currency='USD')/1m","showids=f","transpose=t","showheaders=f")</f>
        <v/>
      </c>
      <c r="D39" s="30" t="n"/>
      <c r="E39" s="30" t="n"/>
      <c r="F39" s="30" t="n"/>
      <c r="G39" s="30" t="n"/>
      <c r="H39" s="30" t="n"/>
      <c r="I39" s="30" t="n"/>
      <c r="J39" s="30" t="n"/>
      <c r="K39" s="30" t="n"/>
      <c r="L39" s="30" t="n"/>
      <c r="M39" s="30" t="n"/>
      <c r="N39" s="30" t="n"/>
      <c r="O39" s="30" t="n"/>
      <c r="P39" s="30" t="n"/>
      <c r="Q39" s="31" t="n"/>
      <c r="R39" s="31" t="n"/>
    </row>
    <row r="40">
      <c r="A40" s="19">
        <f>Tickers!$D$40</f>
        <v/>
      </c>
      <c r="B40" s="19">
        <f>'Semi Rev'!$B40</f>
        <v/>
      </c>
      <c r="C40" s="30" cm="1">
        <f t="array" aca="1" ref="C40" ca="1">_xll.BQL($A40, "#itm().value as #v", "#itm=is_oper_inc(fpt=q,fpo=range(-13,2),ae=ae,fa_adjusted=y,currency='USD')/1m","showids=f","transpose=t","showheaders=f")</f>
        <v/>
      </c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30" t="n"/>
      <c r="Q40" s="31" t="n"/>
      <c r="R40" s="31" t="n"/>
    </row>
    <row r="41">
      <c r="A41" s="19">
        <f>Tickers!$D$41</f>
        <v/>
      </c>
      <c r="B41" s="19">
        <f>'Semi Rev'!$B41</f>
        <v/>
      </c>
      <c r="C41" s="30" cm="1">
        <f t="array" aca="1" ref="C41" ca="1">_xll.BQL($A41, "#itm().value as #v", "#itm=is_oper_inc(fpt=q,fpo=range(-13,2),ae=ae,fa_adjusted=y,currency='USD')/1m","showids=f","transpose=t","showheaders=f")</f>
        <v/>
      </c>
      <c r="D41" s="30" t="n"/>
      <c r="E41" s="30" t="n"/>
      <c r="F41" s="30" t="n"/>
      <c r="G41" s="30" t="n"/>
      <c r="H41" s="30" t="n"/>
      <c r="I41" s="30" t="n"/>
      <c r="J41" s="30" t="n"/>
      <c r="K41" s="30" t="n"/>
      <c r="L41" s="30" t="n"/>
      <c r="M41" s="30" t="n"/>
      <c r="N41" s="30" t="n"/>
      <c r="O41" s="30" t="n"/>
      <c r="P41" s="30" t="n"/>
      <c r="Q41" s="31" t="n"/>
      <c r="R41" s="31" t="n"/>
    </row>
    <row r="42">
      <c r="A42" s="19">
        <f>Tickers!$D$42</f>
        <v/>
      </c>
      <c r="B42" s="19">
        <f>'Semi Rev'!$B42</f>
        <v/>
      </c>
      <c r="C42" s="30" cm="1">
        <f t="array" aca="1" ref="C42" ca="1">_xll.BQL($A42, "#itm().value as #v", "#itm=is_oper_inc(fpt=q,fpo=range(-13,2),ae=ae,fa_adjusted=y,currency='USD')/1m","showids=f","transpose=t","showheaders=f")</f>
        <v/>
      </c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30" t="n"/>
      <c r="P42" s="30" t="n"/>
      <c r="Q42" s="31" t="n"/>
      <c r="R42" s="31" t="n"/>
    </row>
    <row r="43">
      <c r="A43" s="19">
        <f>Tickers!$D$43</f>
        <v/>
      </c>
      <c r="B43" s="19">
        <f>'Semi Rev'!$B43</f>
        <v/>
      </c>
      <c r="C43" s="30" cm="1">
        <f t="array" aca="1" ref="C43" ca="1">_xll.BQL($A43, "#itm().value as #v", "#itm=is_oper_inc(fpt=q,fpo=range(-13,2),ae=ae,fa_adjusted=y,currency='USD')/1m","showids=f","transpose=t","showheaders=f")</f>
        <v/>
      </c>
      <c r="D43" s="30" t="n"/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30" t="n"/>
      <c r="Q43" s="31" t="n"/>
      <c r="R43" s="31" t="n"/>
    </row>
    <row r="44">
      <c r="A44" s="19">
        <f>Tickers!$D$44</f>
        <v/>
      </c>
      <c r="B44" s="19">
        <f>'Semi Rev'!$B44</f>
        <v/>
      </c>
      <c r="C44" s="30" cm="1">
        <f t="array" aca="1" ref="C44" ca="1">_xll.BQL($A44, "#itm().value as #v", "#itm=is_oper_inc(fpt=q,fpo=range(-13,2),ae=ae,fa_adjusted=y,currency='USD')/1m","showids=f","transpose=t","showheaders=f")</f>
        <v/>
      </c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0" t="n"/>
      <c r="O44" s="30" t="n"/>
      <c r="P44" s="30" t="n"/>
      <c r="Q44" s="31" t="n"/>
      <c r="R44" s="31" t="n"/>
    </row>
    <row r="45">
      <c r="A45" s="19">
        <f>Tickers!$D$45</f>
        <v/>
      </c>
      <c r="B45" s="19">
        <f>'Semi Rev'!$B45</f>
        <v/>
      </c>
      <c r="C45" s="30" cm="1">
        <f t="array" aca="1" ref="C45" ca="1">_xll.BQL($A45, "#itm().value as #v", "#itm=is_oper_inc(fpt=q,fpo=range(-13,2),ae=ae,fa_adjusted=y,currency='USD')/1m","showids=f","transpose=t","showheaders=f")</f>
        <v/>
      </c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n"/>
      <c r="M45" s="30" t="n"/>
      <c r="N45" s="30" t="n"/>
      <c r="O45" s="30" t="n"/>
      <c r="P45" s="30" t="n"/>
      <c r="Q45" s="31" t="n"/>
      <c r="R45" s="31" t="n"/>
    </row>
    <row r="46">
      <c r="A46" s="19">
        <f>Tickers!$D$46</f>
        <v/>
      </c>
      <c r="B46" s="19">
        <f>'Semi Rev'!$B46</f>
        <v/>
      </c>
      <c r="C46" s="30" cm="1">
        <f t="array" aca="1" ref="C46" ca="1">_xll.BQL($A46, "#itm().value as #v", "#itm=is_oper_inc(fpt=q,fpo=range(-13,2),ae=ae,fa_adjusted=y,currency='USD')/1m","showids=f","transpose=t","showheaders=f")</f>
        <v/>
      </c>
      <c r="D46" s="30" t="n"/>
      <c r="E46" s="30" t="n"/>
      <c r="F46" s="30" t="n"/>
      <c r="G46" s="30" t="n"/>
      <c r="H46" s="30" t="n"/>
      <c r="I46" s="30" t="n"/>
      <c r="J46" s="30" t="n"/>
      <c r="K46" s="30" t="n"/>
      <c r="L46" s="30" t="n"/>
      <c r="M46" s="30" t="n"/>
      <c r="N46" s="30" t="n"/>
      <c r="O46" s="30" t="n"/>
      <c r="P46" s="30" t="n"/>
      <c r="Q46" s="31" t="n"/>
      <c r="R46" s="31" t="n"/>
    </row>
    <row r="47">
      <c r="A47" s="19">
        <f>Tickers!$D$47</f>
        <v/>
      </c>
      <c r="B47" s="19">
        <f>'Semi Rev'!$B47</f>
        <v/>
      </c>
      <c r="C47" s="30" cm="1">
        <f t="array" aca="1" ref="C47" ca="1">_xll.BQL($A47, "#itm().value as #v", "#itm=is_oper_inc(fpt=q,fpo=range(-13,2),ae=ae,fa_adjusted=y,currency='USD')/1m","showids=f","transpose=t","showheaders=f")</f>
        <v/>
      </c>
      <c r="D47" s="30" t="n"/>
      <c r="E47" s="30" t="n"/>
      <c r="F47" s="30" t="n"/>
      <c r="G47" s="30" t="n"/>
      <c r="H47" s="30" t="n"/>
      <c r="I47" s="30" t="n"/>
      <c r="J47" s="30" t="n"/>
      <c r="K47" s="30" t="n"/>
      <c r="L47" s="30" t="n"/>
      <c r="M47" s="30" t="n"/>
      <c r="N47" s="30" t="n"/>
      <c r="O47" s="30" t="n"/>
      <c r="P47" s="30" t="n"/>
      <c r="Q47" s="31" t="n"/>
      <c r="R47" s="31" t="n"/>
    </row>
    <row r="48">
      <c r="A48" s="19">
        <f>Tickers!$D$48</f>
        <v/>
      </c>
      <c r="B48" s="19">
        <f>'Semi Rev'!$B48</f>
        <v/>
      </c>
      <c r="C48" s="30" cm="1">
        <f t="array" aca="1" ref="C48" ca="1">_xll.BQL($A48, "#itm().value as #v", "#itm=is_oper_inc(fpt=q,fpo=range(-13,2),ae=ae,fa_adjusted=y,currency='USD')/1m","showids=f","transpose=t","showheaders=f")</f>
        <v/>
      </c>
      <c r="D48" s="30" t="n"/>
      <c r="E48" s="30" t="n"/>
      <c r="F48" s="30" t="n"/>
      <c r="G48" s="30" t="n"/>
      <c r="H48" s="30" t="n"/>
      <c r="I48" s="30" t="n"/>
      <c r="J48" s="30" t="n"/>
      <c r="K48" s="30" t="n"/>
      <c r="L48" s="30" t="n"/>
      <c r="M48" s="30" t="n"/>
      <c r="N48" s="30" t="n"/>
      <c r="O48" s="30" t="n"/>
      <c r="P48" s="30" t="n"/>
      <c r="Q48" s="31" t="n"/>
      <c r="R48" s="31" t="n"/>
    </row>
    <row r="49">
      <c r="A49" s="19">
        <f>Tickers!$D$49</f>
        <v/>
      </c>
      <c r="B49" s="19">
        <f>'Semi Rev'!$B49</f>
        <v/>
      </c>
      <c r="C49" s="30" cm="1">
        <f t="array" aca="1" ref="C49" ca="1">_xll.BQL($A49, "#itm().value as #v", "#itm=is_oper_inc(fpt=q,fpo=range(-13,2),ae=ae,fa_adjusted=y,currency='USD')/1m","showids=f","transpose=t","showheaders=f")</f>
        <v/>
      </c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  <c r="M49" s="30" t="n"/>
      <c r="N49" s="30" t="n"/>
      <c r="O49" s="30" t="n"/>
      <c r="P49" s="30" t="n"/>
      <c r="Q49" s="31" t="n"/>
      <c r="R49" s="31" t="n"/>
    </row>
    <row r="50">
      <c r="A50" s="19">
        <f>Tickers!$D$50</f>
        <v/>
      </c>
      <c r="B50" s="19">
        <f>'Semi Rev'!$B50</f>
        <v/>
      </c>
      <c r="C50" s="30" cm="1">
        <f t="array" aca="1" ref="C50" ca="1">_xll.BQL($A50, "#itm().value as #v", "#itm=is_oper_inc(fpt=q,fpo=range(-13,2),ae=ae,fa_adjusted=y,currency='USD')/1m","showids=f","transpose=t","showheaders=f")</f>
        <v/>
      </c>
      <c r="D50" s="30" t="n"/>
      <c r="E50" s="30" t="n"/>
      <c r="F50" s="30" t="n"/>
      <c r="G50" s="30" t="n"/>
      <c r="H50" s="30" t="n"/>
      <c r="I50" s="30" t="n"/>
      <c r="J50" s="30" t="n"/>
      <c r="K50" s="30" t="n"/>
      <c r="L50" s="30" t="n"/>
      <c r="M50" s="30" t="n"/>
      <c r="N50" s="30" t="n"/>
      <c r="O50" s="30" t="n"/>
      <c r="P50" s="30" t="n"/>
      <c r="Q50" s="31" t="n"/>
      <c r="R50" s="31" t="n"/>
    </row>
    <row r="51">
      <c r="A51" s="19">
        <f>Tickers!$D$51</f>
        <v/>
      </c>
      <c r="B51" s="19">
        <f>'Semi Rev'!$B51</f>
        <v/>
      </c>
      <c r="C51" s="30" cm="1">
        <f t="array" aca="1" ref="C51" ca="1">_xll.BQL($A51, "#itm().value as #v", "#itm=is_oper_inc(fpt=q,fpo=range(-13,2),ae=ae,fa_adjusted=y,currency='USD')/1m","showids=f","transpose=t","showheaders=f")</f>
        <v/>
      </c>
      <c r="D51" s="30" t="n"/>
      <c r="E51" s="30" t="n"/>
      <c r="F51" s="30" t="n"/>
      <c r="G51" s="30" t="n"/>
      <c r="H51" s="30" t="n"/>
      <c r="I51" s="30" t="n"/>
      <c r="J51" s="30" t="n"/>
      <c r="K51" s="30" t="n"/>
      <c r="L51" s="30" t="n"/>
      <c r="M51" s="30" t="n"/>
      <c r="N51" s="30" t="n"/>
      <c r="O51" s="30" t="n"/>
      <c r="P51" s="30" t="n"/>
      <c r="Q51" s="31" t="n"/>
      <c r="R51" s="31" t="n"/>
    </row>
    <row r="52">
      <c r="A52" s="19">
        <f>Tickers!$D$52</f>
        <v/>
      </c>
      <c r="B52" s="19">
        <f>'Semi Rev'!$B52</f>
        <v/>
      </c>
      <c r="C52" s="30" cm="1">
        <f t="array" aca="1" ref="C52" ca="1">_xll.BQL($A52, "#itm().value as #v", "#itm=is_oper_inc(fpt=q,fpo=range(-13,2),ae=ae,fa_adjusted=y,currency='USD')/1m","showids=f","transpose=t","showheaders=f")</f>
        <v/>
      </c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30" t="n"/>
      <c r="P52" s="30" t="n"/>
      <c r="Q52" s="31" t="n"/>
      <c r="R52" s="31" t="n"/>
    </row>
    <row r="53">
      <c r="A53" s="19">
        <f>Tickers!$D$53</f>
        <v/>
      </c>
      <c r="B53" s="19">
        <f>'Semi Rev'!$B53</f>
        <v/>
      </c>
      <c r="C53" s="30" cm="1">
        <f t="array" aca="1" ref="C53" ca="1">_xll.BQL($A53, "#itm().value as #v", "#itm=is_oper_inc(fpt=q,fpo=range(-13,2),ae=ae,fa_adjusted=y,currency='USD')/1m","showids=f","transpose=t","showheaders=f")</f>
        <v/>
      </c>
      <c r="D53" s="30" t="n"/>
      <c r="E53" s="30" t="n"/>
      <c r="F53" s="30" t="n"/>
      <c r="G53" s="30" t="n"/>
      <c r="H53" s="30" t="n"/>
      <c r="I53" s="30" t="n"/>
      <c r="J53" s="30" t="n"/>
      <c r="K53" s="30" t="n"/>
      <c r="L53" s="30" t="n"/>
      <c r="M53" s="30" t="n"/>
      <c r="N53" s="30" t="n"/>
      <c r="O53" s="30" t="n"/>
      <c r="P53" s="30" t="n"/>
      <c r="Q53" s="31" t="n"/>
      <c r="R53" s="31" t="n"/>
    </row>
    <row r="54">
      <c r="A54" s="19">
        <f>Tickers!$D$54</f>
        <v/>
      </c>
      <c r="B54" s="19">
        <f>'Semi Rev'!$B54</f>
        <v/>
      </c>
      <c r="C54" s="30" cm="1">
        <f t="array" aca="1" ref="C54" ca="1">_xll.BQL($A54, "#itm().value as #v", "#itm=is_oper_inc(fpt=q,fpo=range(-13,2),ae=ae,fa_adjusted=y,currency='USD')/1m","showids=f","transpose=t","showheaders=f")</f>
        <v/>
      </c>
      <c r="D54" s="30" t="n"/>
      <c r="E54" s="30" t="n"/>
      <c r="F54" s="30" t="n"/>
      <c r="G54" s="30" t="n"/>
      <c r="H54" s="30" t="n"/>
      <c r="I54" s="30" t="n"/>
      <c r="J54" s="30" t="n"/>
      <c r="K54" s="30" t="n"/>
      <c r="L54" s="30" t="n"/>
      <c r="M54" s="30" t="n"/>
      <c r="N54" s="30" t="n"/>
      <c r="O54" s="30" t="n"/>
      <c r="P54" s="30" t="n"/>
      <c r="Q54" s="31" t="n"/>
      <c r="R54" s="31" t="n"/>
    </row>
    <row r="55">
      <c r="A55" s="19">
        <f>Tickers!$D$55</f>
        <v/>
      </c>
      <c r="B55" s="19">
        <f>'Semi Rev'!$B55</f>
        <v/>
      </c>
      <c r="C55" s="30" cm="1">
        <f t="array" aca="1" ref="C55" ca="1">_xll.BQL($A55, "#itm().value as #v", "#itm=is_oper_inc(fpt=q,fpo=range(-13,2),ae=ae,fa_adjusted=y,currency='USD')/1m","showids=f","transpose=t","showheaders=f")</f>
        <v/>
      </c>
      <c r="D55" s="30" t="n"/>
      <c r="E55" s="30" t="n"/>
      <c r="F55" s="30" t="n"/>
      <c r="G55" s="30" t="n"/>
      <c r="H55" s="30" t="n"/>
      <c r="I55" s="30" t="n"/>
      <c r="J55" s="30" t="n"/>
      <c r="K55" s="30" t="n"/>
      <c r="L55" s="30" t="n"/>
      <c r="M55" s="30" t="n"/>
      <c r="N55" s="30" t="n"/>
      <c r="O55" s="30" t="n"/>
      <c r="P55" s="30" t="n"/>
      <c r="Q55" s="31" t="n"/>
      <c r="R55" s="31" t="n"/>
    </row>
    <row r="56">
      <c r="A56" s="19">
        <f>Tickers!$D$56</f>
        <v/>
      </c>
      <c r="B56" s="19">
        <f>'Semi Rev'!$B56</f>
        <v/>
      </c>
      <c r="C56" s="30" cm="1">
        <f t="array" aca="1" ref="C56" ca="1">_xll.BQL($A56, "#itm().value as #v", "#itm=is_oper_inc(fpt=q,fpo=range(-13,2),ae=ae,fa_adjusted=y,currency='USD')/1m","showids=f","transpose=t","showheaders=f")</f>
        <v/>
      </c>
      <c r="D56" s="30" t="n"/>
      <c r="E56" s="30" t="n"/>
      <c r="F56" s="30" t="n"/>
      <c r="G56" s="30" t="n"/>
      <c r="H56" s="30" t="n"/>
      <c r="I56" s="30" t="n"/>
      <c r="J56" s="30" t="n"/>
      <c r="K56" s="30" t="n"/>
      <c r="L56" s="30" t="n"/>
      <c r="M56" s="30" t="n"/>
      <c r="N56" s="30" t="n"/>
      <c r="O56" s="30" t="n"/>
      <c r="P56" s="30" t="n"/>
      <c r="Q56" s="31" t="n"/>
      <c r="R56" s="31" t="n"/>
    </row>
    <row r="57">
      <c r="A57" s="19">
        <f>Tickers!$D$57</f>
        <v/>
      </c>
      <c r="B57" s="19">
        <f>'Semi Rev'!$B57</f>
        <v/>
      </c>
      <c r="C57" s="30" cm="1">
        <f t="array" aca="1" ref="C57" ca="1">_xll.BQL($A57, "#itm().value as #v", "#itm=is_oper_inc(fpt=q,fpo=range(-13,2),ae=ae,fa_adjusted=y,currency='USD')/1m","showids=f","transpose=t","showheaders=f")</f>
        <v/>
      </c>
      <c r="D57" s="30" t="n"/>
      <c r="E57" s="30" t="n"/>
      <c r="F57" s="30" t="n"/>
      <c r="G57" s="30" t="n"/>
      <c r="H57" s="30" t="n"/>
      <c r="I57" s="30" t="n"/>
      <c r="J57" s="30" t="n"/>
      <c r="K57" s="30" t="n"/>
      <c r="L57" s="30" t="n"/>
      <c r="M57" s="30" t="n"/>
      <c r="N57" s="30" t="n"/>
      <c r="O57" s="30" t="n"/>
      <c r="P57" s="30" t="n"/>
      <c r="Q57" s="31" t="n"/>
      <c r="R57" s="31" t="n"/>
    </row>
    <row r="58">
      <c r="A58" s="19">
        <f>Tickers!$D$58</f>
        <v/>
      </c>
      <c r="B58" s="19">
        <f>'Semi Rev'!$B58</f>
        <v/>
      </c>
      <c r="C58" s="30" cm="1">
        <f t="array" aca="1" ref="C58" ca="1">_xll.BQL($A58, "#itm().value as #v", "#itm=is_oper_inc(fpt=q,fpo=range(-13,2),ae=ae,fa_adjusted=y,currency='USD')/1m","showids=f","transpose=t","showheaders=f")</f>
        <v/>
      </c>
      <c r="D58" s="30" t="n"/>
      <c r="E58" s="30" t="n"/>
      <c r="F58" s="30" t="n"/>
      <c r="G58" s="30" t="n"/>
      <c r="H58" s="30" t="n"/>
      <c r="I58" s="30" t="n"/>
      <c r="J58" s="30" t="n"/>
      <c r="K58" s="30" t="n"/>
      <c r="L58" s="30" t="n"/>
      <c r="M58" s="30" t="n"/>
      <c r="N58" s="30" t="n"/>
      <c r="O58" s="30" t="n"/>
      <c r="P58" s="30" t="n"/>
      <c r="Q58" s="31" t="n"/>
      <c r="R58" s="31" t="n"/>
    </row>
    <row r="59">
      <c r="A59" s="19">
        <f>Tickers!$D$59</f>
        <v/>
      </c>
      <c r="B59" s="19">
        <f>'Semi Rev'!$B59</f>
        <v/>
      </c>
      <c r="C59" s="30" cm="1">
        <f t="array" aca="1" ref="C59" ca="1">_xll.BQL($A59, "#itm().value as #v", "#itm=is_oper_inc(fpt=q,fpo=range(-13,2),ae=ae,fa_adjusted=y,currency='USD')/1m","showids=f","transpose=t","showheaders=f")</f>
        <v/>
      </c>
      <c r="D59" s="30" t="n"/>
      <c r="E59" s="30" t="n"/>
      <c r="F59" s="30" t="n"/>
      <c r="G59" s="30" t="n"/>
      <c r="H59" s="30" t="n"/>
      <c r="I59" s="30" t="n"/>
      <c r="J59" s="30" t="n"/>
      <c r="K59" s="30" t="n"/>
      <c r="L59" s="30" t="n"/>
      <c r="M59" s="30" t="n"/>
      <c r="N59" s="30" t="n"/>
      <c r="O59" s="30" t="n"/>
      <c r="P59" s="30" t="n"/>
      <c r="Q59" s="31" t="n"/>
      <c r="R59" s="31" t="n"/>
    </row>
    <row r="60">
      <c r="A60" s="19">
        <f>Tickers!$D$60</f>
        <v/>
      </c>
      <c r="B60" s="19">
        <f>'Semi Rev'!$B60</f>
        <v/>
      </c>
      <c r="C60" s="30" cm="1">
        <f t="array" aca="1" ref="C60" ca="1">_xll.BQL($A60, "#itm().value as #v", "#itm=is_oper_inc(fpt=q,fpo=range(-13,2),ae=ae,fa_adjusted=y,currency='USD')/1m","showids=f","transpose=t","showheaders=f")</f>
        <v/>
      </c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1" t="n"/>
      <c r="R60" s="31" t="n"/>
    </row>
    <row r="61">
      <c r="A61" s="19">
        <f>Tickers!$D$61</f>
        <v/>
      </c>
      <c r="B61" s="19">
        <f>'Semi Rev'!$B61</f>
        <v/>
      </c>
      <c r="C61" s="30" cm="1">
        <f t="array" aca="1" ref="C61" ca="1">_xll.BQL($A61, "#itm().value as #v", "#itm=is_oper_inc(fpt=q,fpo=range(-13,2),ae=ae,fa_adjusted=y,currency='USD')/1m","showids=f","transpose=t","showheaders=f")</f>
        <v/>
      </c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  <c r="M61" s="30" t="n"/>
      <c r="N61" s="30" t="n"/>
      <c r="O61" s="30" t="n"/>
      <c r="P61" s="30" t="n"/>
      <c r="Q61" s="31" t="n"/>
      <c r="R61" s="31" t="n"/>
    </row>
    <row r="62">
      <c r="A62" s="19">
        <f>Tickers!$D$62</f>
        <v/>
      </c>
      <c r="B62" s="19">
        <f>'Semi Rev'!$B62</f>
        <v/>
      </c>
      <c r="C62" s="30" cm="1">
        <f t="array" aca="1" ref="C62" ca="1">_xll.BQL($A62, "#itm().value as #v", "#itm=is_oper_inc(fpt=q,fpo=range(-13,2),ae=ae,fa_adjusted=y,currency='USD')/1m","showids=f","transpose=t","showheaders=f")</f>
        <v/>
      </c>
      <c r="D62" s="30" t="n"/>
      <c r="E62" s="30" t="n"/>
      <c r="F62" s="30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30" t="n"/>
      <c r="P62" s="30" t="n"/>
      <c r="Q62" s="31" t="n"/>
      <c r="R62" s="31" t="n"/>
    </row>
    <row r="63">
      <c r="A63" s="19">
        <f>Tickers!$D$63</f>
        <v/>
      </c>
      <c r="B63" s="19">
        <f>'Semi Rev'!$B63</f>
        <v/>
      </c>
      <c r="C63" s="30" cm="1">
        <f t="array" aca="1" ref="C63" ca="1">_xll.BQL($A63, "#itm().value as #v", "#itm=is_oper_inc(fpt=q,fpo=range(-13,2),ae=ae,fa_adjusted=y,currency='USD')/1m","showids=f","transpose=t","showheaders=f")</f>
        <v/>
      </c>
      <c r="D63" s="30" t="n"/>
      <c r="E63" s="30" t="n"/>
      <c r="F63" s="30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30" t="n"/>
      <c r="P63" s="30" t="n"/>
      <c r="Q63" s="31" t="n"/>
      <c r="R63" s="31" t="n"/>
    </row>
    <row r="64">
      <c r="A64" s="19">
        <f>Tickers!$D$64</f>
        <v/>
      </c>
      <c r="B64" s="19">
        <f>'Semi Rev'!$B64</f>
        <v/>
      </c>
      <c r="C64" s="30" cm="1">
        <f t="array" aca="1" ref="C64" ca="1">_xll.BQL($A64, "#itm().value as #v", "#itm=is_oper_inc(fpt=q,fpo=range(-13,2),ae=ae,fa_adjusted=y,currency='USD')/1m","showids=f","transpose=t","showheaders=f")</f>
        <v/>
      </c>
      <c r="D64" s="30" t="n"/>
      <c r="E64" s="30" t="n"/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30" t="n"/>
      <c r="Q64" s="31" t="n"/>
      <c r="R64" s="31" t="n"/>
    </row>
    <row r="65">
      <c r="A65" s="19">
        <f>Tickers!$D$65</f>
        <v/>
      </c>
      <c r="B65" s="19">
        <f>'Semi Rev'!$B65</f>
        <v/>
      </c>
      <c r="C65" s="30" cm="1">
        <f t="array" aca="1" ref="C65" ca="1">_xll.BQL($A65, "#itm().value as #v", "#itm=is_oper_inc(fpt=q,fpo=range(-13,2),ae=ae,fa_adjusted=y,currency='USD')/1m","showids=f","transpose=t","showheaders=f")</f>
        <v/>
      </c>
      <c r="D65" s="30" t="n"/>
      <c r="E65" s="30" t="n"/>
      <c r="F65" s="30" t="n"/>
      <c r="G65" s="30" t="n"/>
      <c r="H65" s="30" t="n"/>
      <c r="I65" s="30" t="n"/>
      <c r="J65" s="30" t="n"/>
      <c r="K65" s="30" t="n"/>
      <c r="L65" s="30" t="n"/>
      <c r="M65" s="30" t="n"/>
      <c r="N65" s="30" t="n"/>
      <c r="O65" s="30" t="n"/>
      <c r="P65" s="30" t="n"/>
      <c r="Q65" s="31" t="n"/>
      <c r="R65" s="31" t="n"/>
    </row>
    <row r="66">
      <c r="A66" s="19">
        <f>Tickers!$D$66</f>
        <v/>
      </c>
      <c r="B66" s="19">
        <f>'Semi Rev'!$B66</f>
        <v/>
      </c>
      <c r="C66" s="30" cm="1">
        <f t="array" aca="1" ref="C66" ca="1">_xll.BQL($A66, "#itm().value as #v", "#itm=is_oper_inc(fpt=q,fpo=range(-13,2),ae=ae,fa_adjusted=y,currency='USD')/1m","showids=f","transpose=t","showheaders=f")</f>
        <v/>
      </c>
      <c r="D66" s="30" t="n"/>
      <c r="E66" s="30" t="n"/>
      <c r="F66" s="30" t="n"/>
      <c r="G66" s="30" t="n"/>
      <c r="H66" s="30" t="n"/>
      <c r="I66" s="30" t="n"/>
      <c r="J66" s="30" t="n"/>
      <c r="K66" s="30" t="n"/>
      <c r="L66" s="30" t="n"/>
      <c r="M66" s="30" t="n"/>
      <c r="N66" s="30" t="n"/>
      <c r="O66" s="30" t="n"/>
      <c r="P66" s="30" t="n"/>
      <c r="Q66" s="31" t="n"/>
      <c r="R66" s="31" t="n"/>
    </row>
    <row r="67">
      <c r="A67" s="19">
        <f>Tickers!$D$67</f>
        <v/>
      </c>
      <c r="B67" s="19">
        <f>'Semi Rev'!$B67</f>
        <v/>
      </c>
      <c r="C67" s="30" cm="1">
        <f t="array" aca="1" ref="C67" ca="1">_xll.BQL($A67, "#itm().value as #v", "#itm=is_oper_inc(fpt=q,fpo=range(-13,2),ae=ae,fa_adjusted=y,currency='USD')/1m","showids=f","transpose=t","showheaders=f")</f>
        <v/>
      </c>
      <c r="D67" s="30" t="n"/>
      <c r="E67" s="30" t="n"/>
      <c r="F67" s="30" t="n"/>
      <c r="G67" s="30" t="n"/>
      <c r="H67" s="30" t="n"/>
      <c r="I67" s="30" t="n"/>
      <c r="J67" s="30" t="n"/>
      <c r="K67" s="30" t="n"/>
      <c r="L67" s="30" t="n"/>
      <c r="M67" s="30" t="n"/>
      <c r="N67" s="30" t="n"/>
      <c r="O67" s="30" t="n"/>
      <c r="P67" s="30" t="n"/>
      <c r="Q67" s="31" t="n"/>
      <c r="R67" s="31" t="n"/>
    </row>
    <row r="68">
      <c r="A68" s="19">
        <f>Tickers!$D$68</f>
        <v/>
      </c>
      <c r="B68" s="19">
        <f>'Semi Rev'!$B68</f>
        <v/>
      </c>
      <c r="C68" s="30" cm="1">
        <f t="array" aca="1" ref="C68" ca="1">_xll.BQL($A68, "#itm().value as #v", "#itm=is_oper_inc(fpt=q,fpo=range(-13,2),ae=ae,fa_adjusted=y,currency='USD')/1m","showids=f","transpose=t","showheaders=f")</f>
        <v/>
      </c>
      <c r="D68" s="30" t="n"/>
      <c r="E68" s="30" t="n"/>
      <c r="F68" s="30" t="n"/>
      <c r="G68" s="30" t="n"/>
      <c r="H68" s="30" t="n"/>
      <c r="I68" s="30" t="n"/>
      <c r="J68" s="30" t="n"/>
      <c r="K68" s="30" t="n"/>
      <c r="L68" s="30" t="n"/>
      <c r="M68" s="30" t="n"/>
      <c r="N68" s="30" t="n"/>
      <c r="O68" s="30" t="n"/>
      <c r="P68" s="30" t="n"/>
      <c r="Q68" s="31" t="n"/>
      <c r="R68" s="31" t="n"/>
    </row>
    <row r="69">
      <c r="A69" s="19">
        <f>Tickers!$D$69</f>
        <v/>
      </c>
      <c r="B69" s="19">
        <f>'Semi Rev'!$B69</f>
        <v/>
      </c>
      <c r="C69" s="30" cm="1">
        <f t="array" aca="1" ref="C69" ca="1">_xll.BQL($A69, "#itm().value as #v", "#itm=is_oper_inc(fpt=q,fpo=range(-13,2),ae=ae,fa_adjusted=y,currency='USD')/1m","showids=f","transpose=t","showheaders=f")</f>
        <v/>
      </c>
      <c r="D69" s="30" t="n"/>
      <c r="E69" s="30" t="n"/>
      <c r="F69" s="30" t="n"/>
      <c r="G69" s="30" t="n"/>
      <c r="H69" s="30" t="n"/>
      <c r="I69" s="30" t="n"/>
      <c r="J69" s="30" t="n"/>
      <c r="K69" s="30" t="n"/>
      <c r="L69" s="30" t="n"/>
      <c r="M69" s="30" t="n"/>
      <c r="N69" s="30" t="n"/>
      <c r="O69" s="30" t="n"/>
      <c r="P69" s="30" t="n"/>
      <c r="Q69" s="31" t="n"/>
      <c r="R69" s="31" t="n"/>
    </row>
    <row r="70">
      <c r="A70" s="19">
        <f>Tickers!$D$70</f>
        <v/>
      </c>
      <c r="B70" s="19">
        <f>'Semi Rev'!$B70</f>
        <v/>
      </c>
      <c r="C70" s="30" cm="1">
        <f t="array" aca="1" ref="C70" ca="1">_xll.BQL($A70, "#itm().value as #v", "#itm=is_oper_inc(fpt=q,fpo=range(-13,2),ae=ae,fa_adjusted=y,currency='USD')/1m","showids=f","transpose=t","showheaders=f")</f>
        <v/>
      </c>
      <c r="D70" s="30" t="n"/>
      <c r="E70" s="30" t="n"/>
      <c r="F70" s="30" t="n"/>
      <c r="G70" s="30" t="n"/>
      <c r="H70" s="30" t="n"/>
      <c r="I70" s="30" t="n"/>
      <c r="J70" s="30" t="n"/>
      <c r="K70" s="30" t="n"/>
      <c r="L70" s="30" t="n"/>
      <c r="M70" s="30" t="n"/>
      <c r="N70" s="30" t="n"/>
      <c r="O70" s="30" t="n"/>
      <c r="P70" s="30" t="n"/>
      <c r="Q70" s="31" t="n"/>
      <c r="R70" s="31" t="n"/>
    </row>
    <row r="71">
      <c r="A71" s="19">
        <f>Tickers!$D$71</f>
        <v/>
      </c>
      <c r="B71" s="19">
        <f>'Semi Rev'!$B71</f>
        <v/>
      </c>
      <c r="C71" s="30" cm="1">
        <f t="array" aca="1" ref="C71" ca="1">_xll.BQL($A71, "#itm().value as #v", "#itm=is_oper_inc(fpt=q,fpo=range(-13,2),ae=ae,fa_adjusted=y,currency='USD')/1m","showids=f","transpose=t","showheaders=f")</f>
        <v/>
      </c>
      <c r="D71" s="30" t="n"/>
      <c r="E71" s="30" t="n"/>
      <c r="F71" s="30" t="n"/>
      <c r="G71" s="30" t="n"/>
      <c r="H71" s="30" t="n"/>
      <c r="I71" s="30" t="n"/>
      <c r="J71" s="30" t="n"/>
      <c r="K71" s="30" t="n"/>
      <c r="L71" s="30" t="n"/>
      <c r="M71" s="30" t="n"/>
      <c r="N71" s="30" t="n"/>
      <c r="O71" s="30" t="n"/>
      <c r="P71" s="30" t="n"/>
      <c r="Q71" s="31" t="n"/>
      <c r="R71" s="31" t="n"/>
    </row>
    <row r="72">
      <c r="A72" s="19">
        <f>Tickers!$D$72</f>
        <v/>
      </c>
      <c r="B72" s="19">
        <f>'Semi Rev'!$B72</f>
        <v/>
      </c>
      <c r="C72" s="30" cm="1">
        <f t="array" aca="1" ref="C72" ca="1">_xll.BQL($A72, "#itm().value as #v", "#itm=is_oper_inc(fpt=q,fpo=range(-13,2),ae=ae,fa_adjusted=y,currency='USD')/1m","showids=f","transpose=t","showheaders=f")</f>
        <v/>
      </c>
      <c r="D72" s="30" t="n"/>
      <c r="E72" s="30" t="n"/>
      <c r="F72" s="30" t="n"/>
      <c r="G72" s="30" t="n"/>
      <c r="H72" s="30" t="n"/>
      <c r="I72" s="30" t="n"/>
      <c r="J72" s="30" t="n"/>
      <c r="K72" s="30" t="n"/>
      <c r="L72" s="30" t="n"/>
      <c r="M72" s="30" t="n"/>
      <c r="N72" s="30" t="n"/>
      <c r="O72" s="30" t="n"/>
      <c r="P72" s="30" t="n"/>
      <c r="Q72" s="31" t="n"/>
      <c r="R72" s="31" t="n"/>
    </row>
    <row r="73">
      <c r="A73" s="19">
        <f>Tickers!$D$73</f>
        <v/>
      </c>
      <c r="B73" s="19">
        <f>'Semi Rev'!$B73</f>
        <v/>
      </c>
      <c r="C73" s="30" cm="1">
        <f t="array" aca="1" ref="C73" ca="1">_xll.BQL($A73, "#itm().value as #v", "#itm=is_oper_inc(fpt=q,fpo=range(-13,2),ae=ae,fa_adjusted=y,currency='USD')/1m","showids=f","transpose=t","showheaders=f")</f>
        <v/>
      </c>
      <c r="D73" s="30" t="n"/>
      <c r="E73" s="30" t="n"/>
      <c r="F73" s="30" t="n"/>
      <c r="G73" s="30" t="n"/>
      <c r="H73" s="30" t="n"/>
      <c r="I73" s="30" t="n"/>
      <c r="J73" s="30" t="n"/>
      <c r="K73" s="30" t="n"/>
      <c r="L73" s="30" t="n"/>
      <c r="M73" s="30" t="n"/>
      <c r="N73" s="30" t="n"/>
      <c r="O73" s="30" t="n"/>
      <c r="P73" s="30" t="n"/>
      <c r="Q73" s="31" t="n"/>
      <c r="R73" s="31" t="n"/>
    </row>
    <row r="74">
      <c r="A74" s="19">
        <f>Tickers!$D$74</f>
        <v/>
      </c>
      <c r="B74" s="19">
        <f>'Semi Rev'!$B74</f>
        <v/>
      </c>
      <c r="C74" s="30" cm="1">
        <f t="array" aca="1" ref="C74" ca="1">_xll.BQL($A74, "#itm().value as #v", "#itm=is_oper_inc(fpt=q,fpo=range(-13,2),ae=ae,fa_adjusted=y,currency='USD')/1m","showids=f","transpose=t","showheaders=f")</f>
        <v/>
      </c>
      <c r="D74" s="30" t="n"/>
      <c r="E74" s="30" t="n"/>
      <c r="F74" s="30" t="n"/>
      <c r="G74" s="30" t="n"/>
      <c r="H74" s="30" t="n"/>
      <c r="I74" s="30" t="n"/>
      <c r="J74" s="30" t="n"/>
      <c r="K74" s="30" t="n"/>
      <c r="L74" s="30" t="n"/>
      <c r="M74" s="30" t="n"/>
      <c r="N74" s="30" t="n"/>
      <c r="O74" s="30" t="n"/>
      <c r="P74" s="30" t="n"/>
      <c r="Q74" s="31" t="n"/>
      <c r="R74" s="31" t="n"/>
    </row>
    <row r="75">
      <c r="A75" s="19">
        <f>Tickers!$D$75</f>
        <v/>
      </c>
      <c r="B75" s="19">
        <f>'Semi Rev'!$B75</f>
        <v/>
      </c>
      <c r="C75" s="30" cm="1">
        <f t="array" aca="1" ref="C75" ca="1">_xll.BQL($A75, "#itm().value as #v", "#itm=is_oper_inc(fpt=q,fpo=range(-13,2),ae=ae,fa_adjusted=y,currency='USD')/1m","showids=f","transpose=t","showheaders=f")</f>
        <v/>
      </c>
      <c r="D75" s="30" t="n"/>
      <c r="E75" s="30" t="n"/>
      <c r="F75" s="30" t="n"/>
      <c r="G75" s="30" t="n"/>
      <c r="H75" s="30" t="n"/>
      <c r="I75" s="30" t="n"/>
      <c r="J75" s="30" t="n"/>
      <c r="K75" s="30" t="n"/>
      <c r="L75" s="30" t="n"/>
      <c r="M75" s="30" t="n"/>
      <c r="N75" s="30" t="n"/>
      <c r="O75" s="30" t="n"/>
      <c r="P75" s="30" t="n"/>
      <c r="Q75" s="31" t="n"/>
      <c r="R75" s="31" t="n"/>
    </row>
    <row r="76">
      <c r="A76" s="19">
        <f>Tickers!$D$76</f>
        <v/>
      </c>
      <c r="B76" s="19">
        <f>'Semi Rev'!$B76</f>
        <v/>
      </c>
      <c r="C76" s="30" cm="1">
        <f t="array" aca="1" ref="C76" ca="1">_xll.BQL($A76, "#itm().value as #v", "#itm=is_oper_inc(fpt=q,fpo=range(-13,2),ae=ae,fa_adjusted=y,currency='USD')/1m","showids=f","transpose=t","showheaders=f")</f>
        <v/>
      </c>
      <c r="D76" s="30" t="n"/>
      <c r="E76" s="30" t="n"/>
      <c r="F76" s="30" t="n"/>
      <c r="G76" s="30" t="n"/>
      <c r="H76" s="30" t="n"/>
      <c r="I76" s="30" t="n"/>
      <c r="J76" s="30" t="n"/>
      <c r="K76" s="30" t="n"/>
      <c r="L76" s="30" t="n"/>
      <c r="M76" s="30" t="n"/>
      <c r="N76" s="30" t="n"/>
      <c r="O76" s="30" t="n"/>
      <c r="P76" s="30" t="n"/>
      <c r="Q76" s="31" t="n"/>
      <c r="R76" s="31" t="n"/>
    </row>
    <row r="77">
      <c r="A77" s="19">
        <f>Tickers!$D$77</f>
        <v/>
      </c>
      <c r="B77" s="19">
        <f>'Semi Rev'!$B77</f>
        <v/>
      </c>
      <c r="C77" s="30" cm="1">
        <f t="array" aca="1" ref="C77" ca="1">_xll.BQL($A77, "#itm().value as #v", "#itm=is_oper_inc(fpt=q,fpo=range(-13,2),ae=ae,fa_adjusted=y,currency='USD')/1m","showids=f","transpose=t","showheaders=f")</f>
        <v/>
      </c>
      <c r="D77" s="30" t="n"/>
      <c r="E77" s="30" t="n"/>
      <c r="F77" s="30" t="n"/>
      <c r="G77" s="30" t="n"/>
      <c r="H77" s="30" t="n"/>
      <c r="I77" s="30" t="n"/>
      <c r="J77" s="30" t="n"/>
      <c r="K77" s="30" t="n"/>
      <c r="L77" s="30" t="n"/>
      <c r="M77" s="30" t="n"/>
      <c r="N77" s="30" t="n"/>
      <c r="O77" s="30" t="n"/>
      <c r="P77" s="30" t="n"/>
      <c r="Q77" s="31" t="n"/>
      <c r="R77" s="31" t="n"/>
    </row>
    <row r="78">
      <c r="A78" s="19">
        <f>Tickers!$D$78</f>
        <v/>
      </c>
      <c r="B78" s="19">
        <f>'Semi Rev'!$B78</f>
        <v/>
      </c>
      <c r="C78" s="30" cm="1">
        <f t="array" aca="1" ref="C78" ca="1">_xll.BQL($A78, "#itm().value as #v", "#itm=is_oper_inc(fpt=q,fpo=range(-13,2),ae=ae,fa_adjusted=y,currency='USD')/1m","showids=f","transpose=t","showheaders=f")</f>
        <v/>
      </c>
      <c r="D78" s="30" t="n"/>
      <c r="E78" s="30" t="n"/>
      <c r="F78" s="30" t="n"/>
      <c r="G78" s="30" t="n"/>
      <c r="H78" s="30" t="n"/>
      <c r="I78" s="30" t="n"/>
      <c r="J78" s="30" t="n"/>
      <c r="K78" s="30" t="n"/>
      <c r="L78" s="30" t="n"/>
      <c r="M78" s="30" t="n"/>
      <c r="N78" s="30" t="n"/>
      <c r="O78" s="30" t="n"/>
      <c r="P78" s="30" t="n"/>
      <c r="Q78" s="31" t="n"/>
      <c r="R78" s="31" t="n"/>
    </row>
    <row r="79">
      <c r="A79" s="19">
        <f>Tickers!$D$79</f>
        <v/>
      </c>
      <c r="B79" s="19">
        <f>'Semi Rev'!$B79</f>
        <v/>
      </c>
      <c r="C79" s="30" cm="1">
        <f t="array" aca="1" ref="C79" ca="1">_xll.BQL($A79, "#itm().value as #v", "#itm=is_oper_inc(fpt=q,fpo=range(-13,2),ae=ae,fa_adjusted=y,currency='USD')/1m","showids=f","transpose=t","showheaders=f")</f>
        <v/>
      </c>
      <c r="D79" s="30" t="n"/>
      <c r="E79" s="30" t="n"/>
      <c r="F79" s="30" t="n"/>
      <c r="G79" s="30" t="n"/>
      <c r="H79" s="30" t="n"/>
      <c r="I79" s="30" t="n"/>
      <c r="J79" s="30" t="n"/>
      <c r="K79" s="30" t="n"/>
      <c r="L79" s="30" t="n"/>
      <c r="M79" s="30" t="n"/>
      <c r="N79" s="30" t="n"/>
      <c r="O79" s="30" t="n"/>
      <c r="P79" s="30" t="n"/>
      <c r="Q79" s="31" t="n"/>
      <c r="R79" s="31" t="n"/>
    </row>
    <row r="80">
      <c r="A80" s="19">
        <f>Tickers!$D$80</f>
        <v/>
      </c>
      <c r="B80" s="19">
        <f>'Semi Rev'!$B80</f>
        <v/>
      </c>
      <c r="C80" s="30" cm="1">
        <f t="array" aca="1" ref="C80" ca="1">_xll.BQL($A80, "#itm().value as #v", "#itm=is_oper_inc(fpt=q,fpo=range(-13,2),ae=ae,fa_adjusted=y,currency='USD')/1m","showids=f","transpose=t","showheaders=f")</f>
        <v/>
      </c>
      <c r="D80" s="30" t="n"/>
      <c r="E80" s="30" t="n"/>
      <c r="F80" s="30" t="n"/>
      <c r="G80" s="30" t="n"/>
      <c r="H80" s="30" t="n"/>
      <c r="I80" s="30" t="n"/>
      <c r="J80" s="30" t="n"/>
      <c r="K80" s="30" t="n"/>
      <c r="L80" s="30" t="n"/>
      <c r="M80" s="30" t="n"/>
      <c r="N80" s="30" t="n"/>
      <c r="O80" s="30" t="n"/>
      <c r="P80" s="30" t="n"/>
      <c r="Q80" s="31" t="n"/>
      <c r="R80" s="31" t="n"/>
    </row>
    <row r="81">
      <c r="A81" s="19">
        <f>Tickers!$D$81</f>
        <v/>
      </c>
      <c r="B81" s="19">
        <f>'Semi Rev'!$B81</f>
        <v/>
      </c>
      <c r="C81" s="30" cm="1">
        <f t="array" aca="1" ref="C81" ca="1">_xll.BQL($A81, "#itm().value as #v", "#itm=is_oper_inc(fpt=q,fpo=range(-13,2),ae=ae,fa_adjusted=y,currency='USD')/1m","showids=f","transpose=t","showheaders=f")</f>
        <v/>
      </c>
      <c r="D81" s="30" t="n"/>
      <c r="E81" s="30" t="n"/>
      <c r="F81" s="30" t="n"/>
      <c r="G81" s="30" t="n"/>
      <c r="H81" s="30" t="n"/>
      <c r="I81" s="30" t="n"/>
      <c r="J81" s="30" t="n"/>
      <c r="K81" s="30" t="n"/>
      <c r="L81" s="30" t="n"/>
      <c r="M81" s="30" t="n"/>
      <c r="N81" s="30" t="n"/>
      <c r="O81" s="30" t="n"/>
      <c r="P81" s="30" t="n"/>
      <c r="Q81" s="31" t="n"/>
      <c r="R81" s="31" t="n"/>
    </row>
    <row r="82">
      <c r="A82" s="19">
        <f>Tickers!$D$82</f>
        <v/>
      </c>
      <c r="B82" s="19">
        <f>'Semi Rev'!$B82</f>
        <v/>
      </c>
      <c r="C82" s="30" cm="1">
        <f t="array" aca="1" ref="C82" ca="1">_xll.BQL($A82, "#itm().value as #v", "#itm=is_oper_inc(fpt=q,fpo=range(-13,2),ae=ae,fa_adjusted=y,currency='USD')/1m","showids=f","transpose=t","showheaders=f")</f>
        <v/>
      </c>
      <c r="D82" s="30" t="n"/>
      <c r="E82" s="30" t="n"/>
      <c r="F82" s="30" t="n"/>
      <c r="G82" s="30" t="n"/>
      <c r="H82" s="30" t="n"/>
      <c r="I82" s="30" t="n"/>
      <c r="J82" s="30" t="n"/>
      <c r="K82" s="30" t="n"/>
      <c r="L82" s="30" t="n"/>
      <c r="M82" s="30" t="n"/>
      <c r="N82" s="30" t="n"/>
      <c r="O82" s="30" t="n"/>
      <c r="P82" s="30" t="n"/>
      <c r="Q82" s="31" t="n"/>
      <c r="R82" s="31" t="n"/>
    </row>
    <row r="83">
      <c r="A83" s="19">
        <f>Tickers!$D$83</f>
        <v/>
      </c>
      <c r="B83" s="19">
        <f>'Semi Rev'!$B83</f>
        <v/>
      </c>
      <c r="C83" s="30" cm="1">
        <f t="array" aca="1" ref="C83" ca="1">_xll.BQL($A83, "#itm().value as #v", "#itm=is_oper_inc(fpt=q,fpo=range(-13,2),ae=ae,fa_adjusted=y,currency='USD')/1m","showids=f","transpose=t","showheaders=f")</f>
        <v/>
      </c>
      <c r="D83" s="30" t="n"/>
      <c r="E83" s="30" t="n"/>
      <c r="F83" s="30" t="n"/>
      <c r="G83" s="30" t="n"/>
      <c r="H83" s="30" t="n"/>
      <c r="I83" s="30" t="n"/>
      <c r="J83" s="30" t="n"/>
      <c r="K83" s="30" t="n"/>
      <c r="L83" s="30" t="n"/>
      <c r="M83" s="30" t="n"/>
      <c r="N83" s="30" t="n"/>
      <c r="O83" s="30" t="n"/>
      <c r="P83" s="30" t="n"/>
      <c r="Q83" s="31" t="n"/>
      <c r="R83" s="31" t="n"/>
    </row>
    <row r="84">
      <c r="A84" s="19">
        <f>Tickers!$D$84</f>
        <v/>
      </c>
      <c r="B84" s="19">
        <f>'Semi Rev'!$B84</f>
        <v/>
      </c>
      <c r="C84" s="30" cm="1">
        <f t="array" aca="1" ref="C84" ca="1">_xll.BQL($A84, "#itm().value as #v", "#itm=is_oper_inc(fpt=q,fpo=range(-13,2),ae=ae,fa_adjusted=y,currency='USD')/1m","showids=f","transpose=t","showheaders=f")</f>
        <v/>
      </c>
      <c r="D84" s="30" t="n"/>
      <c r="E84" s="30" t="n"/>
      <c r="F84" s="30" t="n"/>
      <c r="G84" s="30" t="n"/>
      <c r="H84" s="30" t="n"/>
      <c r="I84" s="30" t="n"/>
      <c r="J84" s="30" t="n"/>
      <c r="K84" s="30" t="n"/>
      <c r="L84" s="30" t="n"/>
      <c r="M84" s="30" t="n"/>
      <c r="N84" s="30" t="n"/>
      <c r="O84" s="30" t="n"/>
      <c r="P84" s="30" t="n"/>
      <c r="Q84" s="31" t="n"/>
      <c r="R84" s="31" t="n"/>
    </row>
    <row r="85">
      <c r="A85" s="19">
        <f>Tickers!$D$85</f>
        <v/>
      </c>
      <c r="B85" s="19">
        <f>'Semi Rev'!$B85</f>
        <v/>
      </c>
      <c r="C85" s="30" cm="1">
        <f t="array" aca="1" ref="C85" ca="1">_xll.BQL($A85, "#itm().value as #v", "#itm=is_oper_inc(fpt=q,fpo=range(-13,2),ae=ae,fa_adjusted=y,currency='USD')/1m","showids=f","transpose=t","showheaders=f")</f>
        <v/>
      </c>
      <c r="D85" s="30" t="n"/>
      <c r="E85" s="30" t="n"/>
      <c r="F85" s="30" t="n"/>
      <c r="G85" s="30" t="n"/>
      <c r="H85" s="30" t="n"/>
      <c r="I85" s="30" t="n"/>
      <c r="J85" s="30" t="n"/>
      <c r="K85" s="30" t="n"/>
      <c r="L85" s="30" t="n"/>
      <c r="M85" s="30" t="n"/>
      <c r="N85" s="30" t="n"/>
      <c r="O85" s="30" t="n"/>
      <c r="P85" s="30" t="n"/>
      <c r="Q85" s="31" t="n"/>
      <c r="R85" s="31" t="n"/>
    </row>
    <row r="86">
      <c r="A86" s="19">
        <f>Tickers!$D$86</f>
        <v/>
      </c>
      <c r="B86" s="19">
        <f>'Semi Rev'!$B86</f>
        <v/>
      </c>
      <c r="C86" s="30" cm="1">
        <f t="array" aca="1" ref="C86" ca="1">_xll.BQL($A86, "#itm().value as #v", "#itm=is_oper_inc(fpt=q,fpo=range(-13,2),ae=ae,fa_adjusted=y,currency='USD')/1m","showids=f","transpose=t","showheaders=f")</f>
        <v/>
      </c>
      <c r="D86" s="30" t="n"/>
      <c r="E86" s="30" t="n"/>
      <c r="F86" s="30" t="n"/>
      <c r="G86" s="30" t="n"/>
      <c r="H86" s="30" t="n"/>
      <c r="I86" s="30" t="n"/>
      <c r="J86" s="30" t="n"/>
      <c r="K86" s="30" t="n"/>
      <c r="L86" s="30" t="n"/>
      <c r="M86" s="30" t="n"/>
      <c r="N86" s="30" t="n"/>
      <c r="O86" s="30" t="n"/>
      <c r="P86" s="30" t="n"/>
      <c r="Q86" s="31" t="n"/>
      <c r="R86" s="31" t="n"/>
    </row>
    <row r="87">
      <c r="A87" s="19">
        <f>Tickers!$D$87</f>
        <v/>
      </c>
      <c r="B87" s="19">
        <f>'Semi Rev'!$B87</f>
        <v/>
      </c>
      <c r="C87" s="30" cm="1">
        <f t="array" aca="1" ref="C87" ca="1">_xll.BQL($A87, "#itm().value as #v", "#itm=is_oper_inc(fpt=q,fpo=range(-13,2),ae=ae,fa_adjusted=y,currency='USD')/1m","showids=f","transpose=t","showheaders=f")</f>
        <v/>
      </c>
      <c r="D87" s="30" t="n"/>
      <c r="E87" s="30" t="n"/>
      <c r="F87" s="30" t="n"/>
      <c r="G87" s="30" t="n"/>
      <c r="H87" s="30" t="n"/>
      <c r="I87" s="30" t="n"/>
      <c r="J87" s="30" t="n"/>
      <c r="K87" s="30" t="n"/>
      <c r="L87" s="30" t="n"/>
      <c r="M87" s="30" t="n"/>
      <c r="N87" s="30" t="n"/>
      <c r="O87" s="30" t="n"/>
      <c r="P87" s="30" t="n"/>
      <c r="Q87" s="31" t="n"/>
      <c r="R87" s="31" t="n"/>
    </row>
    <row r="88">
      <c r="A88" s="19">
        <f>Tickers!$D$88</f>
        <v/>
      </c>
      <c r="B88" s="19">
        <f>'Semi Rev'!$B88</f>
        <v/>
      </c>
      <c r="C88" s="30" cm="1">
        <f t="array" aca="1" ref="C88" ca="1">_xll.BQL($A88, "#itm().value as #v", "#itm=is_oper_inc(fpt=q,fpo=range(-13,2),ae=ae,fa_adjusted=y,currency='USD')/1m","showids=f","transpose=t","showheaders=f")</f>
        <v/>
      </c>
      <c r="D88" s="30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30" t="n"/>
      <c r="P88" s="30" t="n"/>
      <c r="Q88" s="31" t="n"/>
      <c r="R88" s="31" t="n"/>
    </row>
    <row r="89">
      <c r="A89" s="19">
        <f>Tickers!$D$89</f>
        <v/>
      </c>
      <c r="B89" s="19">
        <f>'Semi Rev'!$B89</f>
        <v/>
      </c>
      <c r="C89" s="30" cm="1">
        <f t="array" aca="1" ref="C89" ca="1">_xll.BQL($A89, "#itm().value as #v", "#itm=is_oper_inc(fpt=q,fpo=range(-13,2),ae=ae,fa_adjusted=y,currency='USD')/1m","showids=f","transpose=t","showheaders=f")</f>
        <v/>
      </c>
      <c r="D89" s="30" t="n"/>
      <c r="E89" s="30" t="n"/>
      <c r="F89" s="30" t="n"/>
      <c r="G89" s="30" t="n"/>
      <c r="H89" s="30" t="n"/>
      <c r="I89" s="30" t="n"/>
      <c r="J89" s="30" t="n"/>
      <c r="K89" s="30" t="n"/>
      <c r="L89" s="30" t="n"/>
      <c r="M89" s="30" t="n"/>
      <c r="N89" s="30" t="n"/>
      <c r="O89" s="30" t="n"/>
      <c r="P89" s="30" t="n"/>
      <c r="Q89" s="31" t="n"/>
      <c r="R89" s="31" t="n"/>
    </row>
    <row r="90">
      <c r="A90" s="19">
        <f>Tickers!$D$90</f>
        <v/>
      </c>
      <c r="B90" s="19">
        <f>'Semi Rev'!$B90</f>
        <v/>
      </c>
      <c r="C90" s="30" cm="1">
        <f t="array" aca="1" ref="C90" ca="1">_xll.BQL($A90, "#itm().value as #v", "#itm=is_oper_inc(fpt=q,fpo=range(-13,2),ae=ae,fa_adjusted=y,currency='USD')/1m","showids=f","transpose=t","showheaders=f")</f>
        <v/>
      </c>
      <c r="D90" s="30" t="n"/>
      <c r="E90" s="30" t="n"/>
      <c r="F90" s="30" t="n"/>
      <c r="G90" s="30" t="n"/>
      <c r="H90" s="30" t="n"/>
      <c r="I90" s="30" t="n"/>
      <c r="J90" s="30" t="n"/>
      <c r="K90" s="30" t="n"/>
      <c r="L90" s="30" t="n"/>
      <c r="M90" s="30" t="n"/>
      <c r="N90" s="30" t="n"/>
      <c r="O90" s="30" t="n"/>
      <c r="P90" s="30" t="n"/>
      <c r="Q90" s="31" t="n"/>
      <c r="R90" s="31" t="n"/>
    </row>
    <row r="91">
      <c r="A91" s="19">
        <f>Tickers!$D$91</f>
        <v/>
      </c>
      <c r="B91" s="19">
        <f>'Semi Rev'!$B91</f>
        <v/>
      </c>
      <c r="C91" s="30" cm="1">
        <f t="array" aca="1" ref="C91" ca="1">_xll.BQL($A91, "#itm().value as #v", "#itm=is_oper_inc(fpt=q,fpo=range(-13,2),ae=ae,fa_adjusted=y,currency='USD')/1m","showids=f","transpose=t","showheaders=f")</f>
        <v/>
      </c>
      <c r="D91" s="30" t="n"/>
      <c r="E91" s="30" t="n"/>
      <c r="F91" s="30" t="n"/>
      <c r="G91" s="30" t="n"/>
      <c r="H91" s="30" t="n"/>
      <c r="I91" s="30" t="n"/>
      <c r="J91" s="30" t="n"/>
      <c r="K91" s="30" t="n"/>
      <c r="L91" s="30" t="n"/>
      <c r="M91" s="30" t="n"/>
      <c r="N91" s="30" t="n"/>
      <c r="O91" s="30" t="n"/>
      <c r="P91" s="30" t="n"/>
      <c r="Q91" s="31" t="n"/>
      <c r="R91" s="31" t="n"/>
    </row>
    <row r="92">
      <c r="A92" s="19">
        <f>Tickers!$D$92</f>
        <v/>
      </c>
      <c r="B92" s="19">
        <f>'Semi Rev'!$B92</f>
        <v/>
      </c>
      <c r="C92" s="30" cm="1">
        <f t="array" aca="1" ref="C92" ca="1">_xll.BQL($A92, "#itm().value as #v", "#itm=is_oper_inc(fpt=q,fpo=range(-13,2),ae=ae,fa_adjusted=y,currency='USD')/1m","showids=f","transpose=t","showheaders=f")</f>
        <v/>
      </c>
      <c r="D92" s="30" t="n"/>
      <c r="E92" s="30" t="n"/>
      <c r="F92" s="30" t="n"/>
      <c r="G92" s="30" t="n"/>
      <c r="H92" s="30" t="n"/>
      <c r="I92" s="30" t="n"/>
      <c r="J92" s="30" t="n"/>
      <c r="K92" s="30" t="n"/>
      <c r="L92" s="30" t="n"/>
      <c r="M92" s="30" t="n"/>
      <c r="N92" s="30" t="n"/>
      <c r="O92" s="30" t="n"/>
      <c r="P92" s="30" t="n"/>
      <c r="Q92" s="31" t="n"/>
      <c r="R92" s="31" t="n"/>
    </row>
    <row r="93">
      <c r="A93" s="19">
        <f>Tickers!$D$93</f>
        <v/>
      </c>
      <c r="B93" s="19">
        <f>'Semi Rev'!$B93</f>
        <v/>
      </c>
      <c r="C93" s="30" cm="1">
        <f t="array" aca="1" ref="C93" ca="1">_xll.BQL($A93, "#itm().value as #v", "#itm=is_oper_inc(fpt=q,fpo=range(-13,2),ae=ae,fa_adjusted=y,currency='USD')/1m","showids=f","transpose=t","showheaders=f")</f>
        <v/>
      </c>
      <c r="D93" s="30" t="n"/>
      <c r="E93" s="30" t="n"/>
      <c r="F93" s="30" t="n"/>
      <c r="G93" s="30" t="n"/>
      <c r="H93" s="30" t="n"/>
      <c r="I93" s="30" t="n"/>
      <c r="J93" s="30" t="n"/>
      <c r="K93" s="30" t="n"/>
      <c r="L93" s="30" t="n"/>
      <c r="M93" s="30" t="n"/>
      <c r="N93" s="30" t="n"/>
      <c r="O93" s="30" t="n"/>
      <c r="P93" s="30" t="n"/>
      <c r="Q93" s="31" t="n"/>
      <c r="R93" s="31" t="n"/>
    </row>
    <row r="94">
      <c r="A94" s="19">
        <f>Tickers!$D$94</f>
        <v/>
      </c>
      <c r="B94" s="19">
        <f>'Semi Rev'!$B94</f>
        <v/>
      </c>
      <c r="C94" s="30" cm="1">
        <f t="array" aca="1" ref="C94" ca="1">_xll.BQL($A94, "#itm().value as #v", "#itm=is_oper_inc(fpt=q,fpo=range(-13,2),ae=ae,fa_adjusted=y,currency='USD')/1m","showids=f","transpose=t","showheaders=f")</f>
        <v/>
      </c>
      <c r="D94" s="30" t="n"/>
      <c r="E94" s="30" t="n"/>
      <c r="F94" s="30" t="n"/>
      <c r="G94" s="30" t="n"/>
      <c r="H94" s="30" t="n"/>
      <c r="I94" s="30" t="n"/>
      <c r="J94" s="30" t="n"/>
      <c r="K94" s="30" t="n"/>
      <c r="L94" s="30" t="n"/>
      <c r="M94" s="30" t="n"/>
      <c r="N94" s="30" t="n"/>
      <c r="O94" s="30" t="n"/>
      <c r="P94" s="30" t="n"/>
      <c r="Q94" s="31" t="n"/>
      <c r="R94" s="31" t="n"/>
    </row>
    <row r="95">
      <c r="A95" s="19">
        <f>Tickers!$D$95</f>
        <v/>
      </c>
      <c r="B95" s="19">
        <f>'Semi Rev'!$B95</f>
        <v/>
      </c>
      <c r="C95" s="30" cm="1">
        <f t="array" aca="1" ref="C95" ca="1">_xll.BQL($A95, "#itm().value as #v", "#itm=is_oper_inc(fpt=q,fpo=range(-13,2),ae=ae,fa_adjusted=y,currency='USD')/1m","showids=f","transpose=t","showheaders=f")</f>
        <v/>
      </c>
      <c r="D95" s="30" t="n"/>
      <c r="E95" s="30" t="n"/>
      <c r="F95" s="30" t="n"/>
      <c r="G95" s="30" t="n"/>
      <c r="H95" s="30" t="n"/>
      <c r="I95" s="30" t="n"/>
      <c r="J95" s="30" t="n"/>
      <c r="K95" s="30" t="n"/>
      <c r="L95" s="30" t="n"/>
      <c r="M95" s="30" t="n"/>
      <c r="N95" s="30" t="n"/>
      <c r="O95" s="30" t="n"/>
      <c r="P95" s="30" t="n"/>
      <c r="Q95" s="31" t="n"/>
      <c r="R95" s="31" t="n"/>
    </row>
    <row r="96">
      <c r="A96" s="19">
        <f>Tickers!$D$96</f>
        <v/>
      </c>
      <c r="B96" s="19">
        <f>'Semi Rev'!$B96</f>
        <v/>
      </c>
      <c r="C96" s="30" cm="1">
        <f t="array" aca="1" ref="C96" ca="1">_xll.BQL($A96, "#itm().value as #v", "#itm=is_oper_inc(fpt=q,fpo=range(-13,2),ae=ae,fa_adjusted=y,currency='USD')/1m","showids=f","transpose=t","showheaders=f")</f>
        <v/>
      </c>
      <c r="D96" s="30" t="n"/>
      <c r="E96" s="30" t="n"/>
      <c r="F96" s="30" t="n"/>
      <c r="G96" s="30" t="n"/>
      <c r="H96" s="30" t="n"/>
      <c r="I96" s="30" t="n"/>
      <c r="J96" s="30" t="n"/>
      <c r="K96" s="30" t="n"/>
      <c r="L96" s="30" t="n"/>
      <c r="M96" s="30" t="n"/>
      <c r="N96" s="30" t="n"/>
      <c r="O96" s="30" t="n"/>
      <c r="P96" s="30" t="n"/>
      <c r="Q96" s="31" t="n"/>
      <c r="R96" s="31" t="n"/>
    </row>
    <row r="97">
      <c r="A97" s="19">
        <f>Tickers!$D$97</f>
        <v/>
      </c>
      <c r="B97" s="19">
        <f>'Semi Rev'!$B97</f>
        <v/>
      </c>
      <c r="C97" s="30" cm="1">
        <f t="array" aca="1" ref="C97" ca="1">_xll.BQL($A97, "#itm().value as #v", "#itm=is_oper_inc(fpt=q,fpo=range(-13,2),ae=ae,fa_adjusted=y,currency='USD')/1m","showids=f","transpose=t","showheaders=f")</f>
        <v/>
      </c>
      <c r="D97" s="30" t="n"/>
      <c r="E97" s="30" t="n"/>
      <c r="F97" s="30" t="n"/>
      <c r="G97" s="30" t="n"/>
      <c r="H97" s="30" t="n"/>
      <c r="I97" s="30" t="n"/>
      <c r="J97" s="30" t="n"/>
      <c r="K97" s="30" t="n"/>
      <c r="L97" s="30" t="n"/>
      <c r="M97" s="30" t="n"/>
      <c r="N97" s="30" t="n"/>
      <c r="O97" s="30" t="n"/>
      <c r="P97" s="30" t="n"/>
      <c r="Q97" s="31" t="n"/>
      <c r="R97" s="31" t="n"/>
    </row>
    <row r="98">
      <c r="A98" s="19">
        <f>Tickers!$D$98</f>
        <v/>
      </c>
      <c r="B98" s="19">
        <f>'Semi Rev'!$B98</f>
        <v/>
      </c>
      <c r="C98" s="30" cm="1">
        <f t="array" aca="1" ref="C98" ca="1">_xll.BQL($A98, "#itm().value as #v", "#itm=is_oper_inc(fpt=q,fpo=range(-13,2),ae=ae,fa_adjusted=y,currency='USD')/1m","showids=f","transpose=t","showheaders=f")</f>
        <v/>
      </c>
      <c r="D98" s="30" t="n"/>
      <c r="E98" s="30" t="n"/>
      <c r="F98" s="30" t="n"/>
      <c r="G98" s="30" t="n"/>
      <c r="H98" s="30" t="n"/>
      <c r="I98" s="30" t="n"/>
      <c r="J98" s="30" t="n"/>
      <c r="K98" s="30" t="n"/>
      <c r="L98" s="30" t="n"/>
      <c r="M98" s="30" t="n"/>
      <c r="N98" s="30" t="n"/>
      <c r="O98" s="30" t="n"/>
      <c r="P98" s="30" t="n"/>
      <c r="Q98" s="31" t="n"/>
      <c r="R98" s="31" t="n"/>
    </row>
    <row r="99">
      <c r="A99" s="19">
        <f>Tickers!$D$99</f>
        <v/>
      </c>
      <c r="B99" s="19">
        <f>'Semi Rev'!$B99</f>
        <v/>
      </c>
      <c r="C99" s="30" cm="1">
        <f t="array" aca="1" ref="C99" ca="1">_xll.BQL($A99, "#itm().value as #v", "#itm=is_oper_inc(fpt=q,fpo=range(-13,2),ae=ae,fa_adjusted=y,currency='USD')/1m","showids=f","transpose=t","showheaders=f")</f>
        <v/>
      </c>
      <c r="D99" s="30" t="n"/>
      <c r="E99" s="30" t="n"/>
      <c r="F99" s="30" t="n"/>
      <c r="G99" s="30" t="n"/>
      <c r="H99" s="30" t="n"/>
      <c r="I99" s="30" t="n"/>
      <c r="J99" s="30" t="n"/>
      <c r="K99" s="30" t="n"/>
      <c r="L99" s="30" t="n"/>
      <c r="M99" s="30" t="n"/>
      <c r="N99" s="30" t="n"/>
      <c r="O99" s="30" t="n"/>
      <c r="P99" s="30" t="n"/>
      <c r="Q99" s="31" t="n"/>
      <c r="R99" s="31" t="n"/>
    </row>
    <row r="100">
      <c r="A100" s="19">
        <f>Tickers!$D$100</f>
        <v/>
      </c>
      <c r="B100" s="19">
        <f>'Semi Rev'!$B100</f>
        <v/>
      </c>
      <c r="C100" s="30" cm="1">
        <f t="array" aca="1" ref="C100" ca="1">_xll.BQL($A100, "#itm().value as #v", "#itm=is_oper_inc(fpt=q,fpo=range(-13,2),ae=ae,fa_adjusted=y,currency='USD')/1m","showids=f","transpose=t","showheaders=f")</f>
        <v/>
      </c>
      <c r="D100" s="30" t="n"/>
      <c r="E100" s="30" t="n"/>
      <c r="F100" s="30" t="n"/>
      <c r="G100" s="30" t="n"/>
      <c r="H100" s="30" t="n"/>
      <c r="I100" s="30" t="n"/>
      <c r="J100" s="30" t="n"/>
      <c r="K100" s="30" t="n"/>
      <c r="L100" s="30" t="n"/>
      <c r="M100" s="30" t="n"/>
      <c r="N100" s="30" t="n"/>
      <c r="O100" s="30" t="n"/>
      <c r="P100" s="30" t="n"/>
      <c r="Q100" s="31" t="n"/>
      <c r="R100" s="31" t="n"/>
    </row>
    <row r="101">
      <c r="A101" s="19">
        <f>Tickers!$D$101</f>
        <v/>
      </c>
      <c r="B101" s="19">
        <f>'Semi Rev'!$B101</f>
        <v/>
      </c>
      <c r="C101" s="30" cm="1">
        <f t="array" aca="1" ref="C101" ca="1">_xll.BQL($A101, "#itm().value as #v", "#itm=is_oper_inc(fpt=q,fpo=range(-13,2),ae=ae,fa_adjusted=y,currency='USD')/1m","showids=f","transpose=t","showheaders=f")</f>
        <v/>
      </c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  <c r="M101" s="30" t="n"/>
      <c r="N101" s="30" t="n"/>
      <c r="O101" s="30" t="n"/>
      <c r="P101" s="30" t="n"/>
      <c r="Q101" s="31" t="n"/>
      <c r="R101" s="31" t="n"/>
    </row>
    <row r="102">
      <c r="A102" s="19">
        <f>Tickers!$D$102</f>
        <v/>
      </c>
      <c r="B102" s="19">
        <f>'Semi Rev'!$B102</f>
        <v/>
      </c>
      <c r="C102" s="30" cm="1">
        <f t="array" aca="1" ref="C102" ca="1">_xll.BQL($A102, "#itm().value as #v", "#itm=is_oper_inc(fpt=q,fpo=range(-13,2),ae=ae,fa_adjusted=y,currency='USD')/1m","showids=f","transpose=t","showheaders=f")</f>
        <v/>
      </c>
      <c r="D102" s="30" t="n"/>
      <c r="E102" s="30" t="n"/>
      <c r="F102" s="30" t="n"/>
      <c r="G102" s="30" t="n"/>
      <c r="H102" s="30" t="n"/>
      <c r="I102" s="30" t="n"/>
      <c r="J102" s="30" t="n"/>
      <c r="K102" s="30" t="n"/>
      <c r="L102" s="30" t="n"/>
      <c r="M102" s="30" t="n"/>
      <c r="N102" s="30" t="n"/>
      <c r="O102" s="30" t="n"/>
      <c r="P102" s="30" t="n"/>
      <c r="Q102" s="31" t="n"/>
      <c r="R102" s="31" t="n"/>
    </row>
    <row r="103">
      <c r="A103" s="19">
        <f>Tickers!$D$103</f>
        <v/>
      </c>
      <c r="B103" s="19">
        <f>'Semi Rev'!$B103</f>
        <v/>
      </c>
      <c r="C103" s="30" cm="1">
        <f t="array" aca="1" ref="C103" ca="1">_xll.BQL($A103, "#itm().value as #v", "#itm=is_oper_inc(fpt=q,fpo=range(-13,2),ae=ae,fa_adjusted=y,currency='USD')/1m","showids=f","transpose=t","showheaders=f")</f>
        <v/>
      </c>
      <c r="D103" s="30" t="n"/>
      <c r="E103" s="30" t="n"/>
      <c r="F103" s="30" t="n"/>
      <c r="G103" s="30" t="n"/>
      <c r="H103" s="30" t="n"/>
      <c r="I103" s="30" t="n"/>
      <c r="J103" s="30" t="n"/>
      <c r="K103" s="30" t="n"/>
      <c r="L103" s="30" t="n"/>
      <c r="M103" s="30" t="n"/>
      <c r="N103" s="30" t="n"/>
      <c r="O103" s="30" t="n"/>
      <c r="P103" s="30" t="n"/>
      <c r="Q103" s="31" t="n"/>
      <c r="R103" s="31" t="n"/>
    </row>
    <row r="104">
      <c r="A104" s="19">
        <f>Tickers!$D$104</f>
        <v/>
      </c>
      <c r="B104" s="19">
        <f>'Semi Rev'!$B104</f>
        <v/>
      </c>
      <c r="C104" s="30" cm="1">
        <f t="array" aca="1" ref="C104" ca="1">_xll.BQL($A104, "#itm().value as #v", "#itm=is_oper_inc(fpt=q,fpo=range(-13,2),ae=ae,fa_adjusted=y,currency='USD')/1m","showids=f","transpose=t","showheaders=f")</f>
        <v/>
      </c>
      <c r="D104" s="30" t="n"/>
      <c r="E104" s="30" t="n"/>
      <c r="F104" s="30" t="n"/>
      <c r="G104" s="30" t="n"/>
      <c r="H104" s="30" t="n"/>
      <c r="I104" s="30" t="n"/>
      <c r="J104" s="30" t="n"/>
      <c r="K104" s="30" t="n"/>
      <c r="L104" s="30" t="n"/>
      <c r="M104" s="30" t="n"/>
      <c r="N104" s="30" t="n"/>
      <c r="O104" s="30" t="n"/>
      <c r="P104" s="30" t="n"/>
      <c r="Q104" s="31" t="n"/>
      <c r="R104" s="31" t="n"/>
    </row>
    <row r="105">
      <c r="A105" s="19">
        <f>Tickers!$D$105</f>
        <v/>
      </c>
      <c r="B105" s="19">
        <f>'Semi Rev'!$B105</f>
        <v/>
      </c>
      <c r="C105" s="30" cm="1">
        <f t="array" aca="1" ref="C105" ca="1">_xll.BQL($A105, "#itm().value as #v", "#itm=is_oper_inc(fpt=q,fpo=range(-13,2),ae=ae,fa_adjusted=y,currency='USD')/1m","showids=f","transpose=t","showheaders=f")</f>
        <v/>
      </c>
      <c r="D105" s="30" t="n"/>
      <c r="E105" s="30" t="n"/>
      <c r="F105" s="30" t="n"/>
      <c r="G105" s="30" t="n"/>
      <c r="H105" s="30" t="n"/>
      <c r="I105" s="30" t="n"/>
      <c r="J105" s="30" t="n"/>
      <c r="K105" s="30" t="n"/>
      <c r="L105" s="30" t="n"/>
      <c r="M105" s="30" t="n"/>
      <c r="N105" s="30" t="n"/>
      <c r="O105" s="30" t="n"/>
      <c r="P105" s="30" t="n"/>
      <c r="Q105" s="31" t="n"/>
      <c r="R105" s="31" t="n"/>
    </row>
    <row r="106">
      <c r="A106" s="19">
        <f>Tickers!$D$106</f>
        <v/>
      </c>
      <c r="B106" s="19">
        <f>'Semi Rev'!$B106</f>
        <v/>
      </c>
      <c r="C106" s="30" cm="1">
        <f t="array" aca="1" ref="C106" ca="1">_xll.BQL($A106, "#itm().value as #v", "#itm=is_oper_inc(fpt=q,fpo=range(-13,2),ae=ae,fa_adjusted=y,currency='USD')/1m","showids=f","transpose=t","showheaders=f")</f>
        <v/>
      </c>
      <c r="D106" s="30" t="n"/>
      <c r="E106" s="30" t="n"/>
      <c r="F106" s="30" t="n"/>
      <c r="G106" s="30" t="n"/>
      <c r="H106" s="30" t="n"/>
      <c r="I106" s="30" t="n"/>
      <c r="J106" s="30" t="n"/>
      <c r="K106" s="30" t="n"/>
      <c r="L106" s="30" t="n"/>
      <c r="M106" s="30" t="n"/>
      <c r="N106" s="30" t="n"/>
      <c r="O106" s="30" t="n"/>
      <c r="P106" s="30" t="n"/>
      <c r="Q106" s="31" t="n"/>
      <c r="R106" s="31" t="n"/>
    </row>
    <row r="107">
      <c r="A107" s="19">
        <f>Tickers!$D$107</f>
        <v/>
      </c>
      <c r="B107" s="19">
        <f>'Semi Rev'!$B107</f>
        <v/>
      </c>
      <c r="C107" s="30" cm="1">
        <f t="array" aca="1" ref="C107" ca="1">_xll.BQL($A107, "#itm().value as #v", "#itm=is_oper_inc(fpt=q,fpo=range(-13,2),ae=ae,fa_adjusted=y,currency='USD')/1m","showids=f","transpose=t","showheaders=f")</f>
        <v/>
      </c>
      <c r="D107" s="30" t="n"/>
      <c r="E107" s="30" t="n"/>
      <c r="F107" s="30" t="n"/>
      <c r="G107" s="30" t="n"/>
      <c r="H107" s="30" t="n"/>
      <c r="I107" s="30" t="n"/>
      <c r="J107" s="30" t="n"/>
      <c r="K107" s="30" t="n"/>
      <c r="L107" s="30" t="n"/>
      <c r="M107" s="30" t="n"/>
      <c r="N107" s="30" t="n"/>
      <c r="O107" s="30" t="n"/>
      <c r="P107" s="30" t="n"/>
      <c r="Q107" s="31" t="n"/>
      <c r="R107" s="31" t="n"/>
    </row>
    <row r="108">
      <c r="A108" s="19">
        <f>Tickers!$D$108</f>
        <v/>
      </c>
      <c r="B108" s="19">
        <f>'Semi Rev'!$B108</f>
        <v/>
      </c>
      <c r="C108" s="30" cm="1">
        <f t="array" aca="1" ref="C108" ca="1">_xll.BQL($A108, "#itm().value as #v", "#itm=is_oper_inc(fpt=q,fpo=range(-13,2),ae=ae,fa_adjusted=y,currency='USD')/1m","showids=f","transpose=t","showheaders=f")</f>
        <v/>
      </c>
      <c r="D108" s="30" t="n"/>
      <c r="E108" s="30" t="n"/>
      <c r="F108" s="30" t="n"/>
      <c r="G108" s="30" t="n"/>
      <c r="H108" s="30" t="n"/>
      <c r="I108" s="30" t="n"/>
      <c r="J108" s="30" t="n"/>
      <c r="K108" s="30" t="n"/>
      <c r="L108" s="30" t="n"/>
      <c r="M108" s="30" t="n"/>
      <c r="N108" s="30" t="n"/>
      <c r="O108" s="30" t="n"/>
      <c r="P108" s="30" t="n"/>
      <c r="Q108" s="31" t="n"/>
      <c r="R108" s="31" t="n"/>
    </row>
    <row r="109">
      <c r="A109" s="19">
        <f>Tickers!$D$109</f>
        <v/>
      </c>
      <c r="B109" s="19">
        <f>'Semi Rev'!$B109</f>
        <v/>
      </c>
      <c r="C109" s="30" cm="1">
        <f t="array" aca="1" ref="C109" ca="1">_xll.BQL($A109, "#itm().value as #v", "#itm=is_oper_inc(fpt=q,fpo=range(-13,2),ae=ae,fa_adjusted=y,currency='USD')/1m","showids=f","transpose=t","showheaders=f")</f>
        <v/>
      </c>
      <c r="D109" s="30" t="n"/>
      <c r="E109" s="30" t="n"/>
      <c r="F109" s="30" t="n"/>
      <c r="G109" s="30" t="n"/>
      <c r="H109" s="30" t="n"/>
      <c r="I109" s="30" t="n"/>
      <c r="J109" s="30" t="n"/>
      <c r="K109" s="30" t="n"/>
      <c r="L109" s="30" t="n"/>
      <c r="M109" s="30" t="n"/>
      <c r="N109" s="30" t="n"/>
      <c r="O109" s="30" t="n"/>
      <c r="P109" s="30" t="n"/>
      <c r="Q109" s="31" t="n"/>
      <c r="R109" s="31" t="n"/>
    </row>
    <row r="110">
      <c r="A110" s="19">
        <f>Tickers!$D$110</f>
        <v/>
      </c>
      <c r="B110" s="19">
        <f>'Semi Rev'!$B110</f>
        <v/>
      </c>
      <c r="C110" s="30" cm="1">
        <f t="array" aca="1" ref="C110" ca="1">_xll.BQL($A110, "#itm().value as #v", "#itm=is_oper_inc(fpt=q,fpo=range(-13,2),ae=ae,fa_adjusted=y,currency='USD')/1m","showids=f","transpose=t","showheaders=f")</f>
        <v/>
      </c>
      <c r="D110" s="30" t="n"/>
      <c r="E110" s="30" t="n"/>
      <c r="F110" s="30" t="n"/>
      <c r="G110" s="30" t="n"/>
      <c r="H110" s="30" t="n"/>
      <c r="I110" s="30" t="n"/>
      <c r="J110" s="30" t="n"/>
      <c r="K110" s="30" t="n"/>
      <c r="L110" s="30" t="n"/>
      <c r="M110" s="30" t="n"/>
      <c r="N110" s="30" t="n"/>
      <c r="O110" s="30" t="n"/>
      <c r="P110" s="30" t="n"/>
      <c r="Q110" s="31" t="n"/>
      <c r="R110" s="31" t="n"/>
    </row>
    <row r="111">
      <c r="A111" s="19">
        <f>Tickers!$D$111</f>
        <v/>
      </c>
      <c r="B111" s="19">
        <f>'Semi Rev'!$B111</f>
        <v/>
      </c>
      <c r="C111" s="30" cm="1">
        <f t="array" aca="1" ref="C111" ca="1">_xll.BQL($A111, "#itm().value as #v", "#itm=is_oper_inc(fpt=q,fpo=range(-13,2),ae=ae,fa_adjusted=y,currency='USD')/1m","showids=f","transpose=t","showheaders=f")</f>
        <v/>
      </c>
      <c r="D111" s="30" t="n"/>
      <c r="E111" s="30" t="n"/>
      <c r="F111" s="30" t="n"/>
      <c r="G111" s="30" t="n"/>
      <c r="H111" s="30" t="n"/>
      <c r="I111" s="30" t="n"/>
      <c r="J111" s="30" t="n"/>
      <c r="K111" s="30" t="n"/>
      <c r="L111" s="30" t="n"/>
      <c r="M111" s="30" t="n"/>
      <c r="N111" s="30" t="n"/>
      <c r="O111" s="30" t="n"/>
      <c r="P111" s="30" t="n"/>
      <c r="Q111" s="31" t="n"/>
      <c r="R111" s="31" t="n"/>
    </row>
    <row r="112">
      <c r="A112" s="19">
        <f>Tickers!$D$112</f>
        <v/>
      </c>
      <c r="B112" s="19">
        <f>'Semi Rev'!$B112</f>
        <v/>
      </c>
      <c r="C112" s="30" cm="1">
        <f t="array" aca="1" ref="C112" ca="1">_xll.BQL($A112, "#itm().value as #v", "#itm=is_oper_inc(fpt=q,fpo=range(-13,2),ae=ae,fa_adjusted=y,currency='USD')/1m","showids=f","transpose=t","showheaders=f")</f>
        <v/>
      </c>
      <c r="D112" s="30" t="n"/>
      <c r="E112" s="30" t="n"/>
      <c r="F112" s="30" t="n"/>
      <c r="G112" s="30" t="n"/>
      <c r="H112" s="30" t="n"/>
      <c r="I112" s="30" t="n"/>
      <c r="J112" s="30" t="n"/>
      <c r="K112" s="30" t="n"/>
      <c r="L112" s="30" t="n"/>
      <c r="M112" s="30" t="n"/>
      <c r="N112" s="30" t="n"/>
      <c r="O112" s="30" t="n"/>
      <c r="P112" s="30" t="n"/>
      <c r="Q112" s="31" t="n"/>
      <c r="R112" s="31" t="n"/>
    </row>
    <row r="113">
      <c r="A113" s="19">
        <f>Tickers!$D$113</f>
        <v/>
      </c>
      <c r="B113" s="19">
        <f>'Semi Rev'!$B113</f>
        <v/>
      </c>
      <c r="C113" s="30" cm="1">
        <f t="array" aca="1" ref="C113" ca="1">_xll.BQL($A113, "#itm().value as #v", "#itm=is_oper_inc(fpt=q,fpo=range(-13,2),ae=ae,fa_adjusted=y,currency='USD')/1m","showids=f","transpose=t","showheaders=f")</f>
        <v/>
      </c>
      <c r="D113" s="30" t="n"/>
      <c r="E113" s="30" t="n"/>
      <c r="F113" s="30" t="n"/>
      <c r="G113" s="30" t="n"/>
      <c r="H113" s="30" t="n"/>
      <c r="I113" s="30" t="n"/>
      <c r="J113" s="30" t="n"/>
      <c r="K113" s="30" t="n"/>
      <c r="L113" s="30" t="n"/>
      <c r="M113" s="30" t="n"/>
      <c r="N113" s="30" t="n"/>
      <c r="O113" s="30" t="n"/>
      <c r="P113" s="30" t="n"/>
      <c r="Q113" s="31" t="n"/>
      <c r="R113" s="31" t="n"/>
    </row>
    <row r="114">
      <c r="A114" s="19">
        <f>Tickers!$D$114</f>
        <v/>
      </c>
      <c r="B114" s="19">
        <f>'Semi Rev'!$B114</f>
        <v/>
      </c>
      <c r="C114" s="30" cm="1">
        <f t="array" aca="1" ref="C114" ca="1">_xll.BQL($A114, "#itm().value as #v", "#itm=is_oper_inc(fpt=q,fpo=range(-13,2),ae=ae,fa_adjusted=y,currency='USD')/1m","showids=f","transpose=t","showheaders=f")</f>
        <v/>
      </c>
      <c r="D114" s="30" t="n"/>
      <c r="E114" s="30" t="n"/>
      <c r="F114" s="30" t="n"/>
      <c r="G114" s="30" t="n"/>
      <c r="H114" s="30" t="n"/>
      <c r="I114" s="30" t="n"/>
      <c r="J114" s="30" t="n"/>
      <c r="K114" s="30" t="n"/>
      <c r="L114" s="30" t="n"/>
      <c r="M114" s="30" t="n"/>
      <c r="N114" s="30" t="n"/>
      <c r="O114" s="30" t="n"/>
      <c r="P114" s="30" t="n"/>
      <c r="Q114" s="31" t="n"/>
      <c r="R114" s="31" t="n"/>
    </row>
    <row r="115">
      <c r="A115" s="19">
        <f>Tickers!$D$115</f>
        <v/>
      </c>
      <c r="B115" s="19">
        <f>'Semi Rev'!$B115</f>
        <v/>
      </c>
      <c r="C115" s="30" cm="1">
        <f t="array" aca="1" ref="C115" ca="1">_xll.BQL($A115, "#itm().value as #v", "#itm=is_oper_inc(fpt=q,fpo=range(-13,2),ae=ae,fa_adjusted=y,currency='USD')/1m","showids=f","transpose=t","showheaders=f")</f>
        <v/>
      </c>
      <c r="D115" s="30" t="n"/>
      <c r="E115" s="30" t="n"/>
      <c r="F115" s="30" t="n"/>
      <c r="G115" s="30" t="n"/>
      <c r="H115" s="30" t="n"/>
      <c r="I115" s="30" t="n"/>
      <c r="J115" s="30" t="n"/>
      <c r="K115" s="30" t="n"/>
      <c r="L115" s="30" t="n"/>
      <c r="M115" s="30" t="n"/>
      <c r="N115" s="30" t="n"/>
      <c r="O115" s="30" t="n"/>
      <c r="P115" s="30" t="n"/>
      <c r="Q115" s="31" t="n"/>
      <c r="R115" s="31" t="n"/>
    </row>
    <row r="116">
      <c r="A116" s="19">
        <f>Tickers!$D$116</f>
        <v/>
      </c>
      <c r="B116" s="19">
        <f>'Semi Rev'!$B116</f>
        <v/>
      </c>
      <c r="C116" s="30" cm="1">
        <f t="array" aca="1" ref="C116" ca="1">_xll.BQL($A116, "#itm().value as #v", "#itm=is_oper_inc(fpt=q,fpo=range(-13,2),ae=ae,fa_adjusted=y,currency='USD')/1m","showids=f","transpose=t","showheaders=f")</f>
        <v/>
      </c>
      <c r="D116" s="30" t="n"/>
      <c r="E116" s="30" t="n"/>
      <c r="F116" s="30" t="n"/>
      <c r="G116" s="30" t="n"/>
      <c r="H116" s="30" t="n"/>
      <c r="I116" s="30" t="n"/>
      <c r="J116" s="30" t="n"/>
      <c r="K116" s="30" t="n"/>
      <c r="L116" s="30" t="n"/>
      <c r="M116" s="30" t="n"/>
      <c r="N116" s="30" t="n"/>
      <c r="O116" s="30" t="n"/>
      <c r="P116" s="30" t="n"/>
      <c r="Q116" s="31" t="n"/>
      <c r="R116" s="31" t="n"/>
    </row>
    <row r="117">
      <c r="A117" s="19">
        <f>Tickers!$D$117</f>
        <v/>
      </c>
      <c r="B117" s="19">
        <f>'Semi Rev'!$B117</f>
        <v/>
      </c>
      <c r="C117" s="30" cm="1">
        <f t="array" aca="1" ref="C117" ca="1">_xll.BQL($A117, "#itm().value as #v", "#itm=is_oper_inc(fpt=q,fpo=range(-13,2),ae=ae,fa_adjusted=y,currency='USD')/1m","showids=f","transpose=t","showheaders=f")</f>
        <v/>
      </c>
      <c r="D117" s="30" t="n"/>
      <c r="E117" s="30" t="n"/>
      <c r="F117" s="30" t="n"/>
      <c r="G117" s="30" t="n"/>
      <c r="H117" s="30" t="n"/>
      <c r="I117" s="30" t="n"/>
      <c r="J117" s="30" t="n"/>
      <c r="K117" s="30" t="n"/>
      <c r="L117" s="30" t="n"/>
      <c r="M117" s="30" t="n"/>
      <c r="N117" s="30" t="n"/>
      <c r="O117" s="30" t="n"/>
      <c r="P117" s="30" t="n"/>
      <c r="Q117" s="31" t="n"/>
      <c r="R117" s="31" t="n"/>
    </row>
    <row r="118">
      <c r="A118" s="19">
        <f>Tickers!$D$118</f>
        <v/>
      </c>
      <c r="B118" s="19">
        <f>'Semi Rev'!$B118</f>
        <v/>
      </c>
      <c r="C118" s="30" cm="1">
        <f t="array" aca="1" ref="C118" ca="1">_xll.BQL($A118, "#itm().value as #v", "#itm=is_oper_inc(fpt=q,fpo=range(-13,2),ae=ae,fa_adjusted=y,currency='USD')/1m","showids=f","transpose=t","showheaders=f")</f>
        <v/>
      </c>
      <c r="D118" s="30" t="n"/>
      <c r="E118" s="30" t="n"/>
      <c r="F118" s="30" t="n"/>
      <c r="G118" s="30" t="n"/>
      <c r="H118" s="30" t="n"/>
      <c r="I118" s="30" t="n"/>
      <c r="J118" s="30" t="n"/>
      <c r="K118" s="30" t="n"/>
      <c r="L118" s="30" t="n"/>
      <c r="M118" s="30" t="n"/>
      <c r="N118" s="30" t="n"/>
      <c r="O118" s="30" t="n"/>
      <c r="P118" s="30" t="n"/>
      <c r="Q118" s="31" t="n"/>
      <c r="R118" s="31" t="n"/>
    </row>
    <row r="119">
      <c r="A119" s="19">
        <f>Tickers!$D$119</f>
        <v/>
      </c>
      <c r="B119" s="19">
        <f>'Semi Rev'!$B119</f>
        <v/>
      </c>
      <c r="C119" s="30" cm="1">
        <f t="array" aca="1" ref="C119" ca="1">_xll.BQL($A119, "#itm().value as #v", "#itm=is_oper_inc(fpt=q,fpo=range(-13,2),ae=ae,fa_adjusted=y,currency='USD')/1m","showids=f","transpose=t","showheaders=f")</f>
        <v/>
      </c>
      <c r="D119" s="30" t="n"/>
      <c r="E119" s="30" t="n"/>
      <c r="F119" s="30" t="n"/>
      <c r="G119" s="30" t="n"/>
      <c r="H119" s="30" t="n"/>
      <c r="I119" s="30" t="n"/>
      <c r="J119" s="30" t="n"/>
      <c r="K119" s="30" t="n"/>
      <c r="L119" s="30" t="n"/>
      <c r="M119" s="30" t="n"/>
      <c r="N119" s="30" t="n"/>
      <c r="O119" s="30" t="n"/>
      <c r="P119" s="30" t="n"/>
      <c r="Q119" s="31" t="n"/>
      <c r="R119" s="31" t="n"/>
    </row>
    <row r="120">
      <c r="A120" s="19">
        <f>Tickers!$D$120</f>
        <v/>
      </c>
      <c r="B120" s="19">
        <f>'Semi Rev'!$B120</f>
        <v/>
      </c>
      <c r="C120" s="30" cm="1">
        <f t="array" aca="1" ref="C120" ca="1">_xll.BQL($A120, "#itm().value as #v", "#itm=is_oper_inc(fpt=q,fpo=range(-13,2),ae=ae,fa_adjusted=y,currency='USD')/1m","showids=f","transpose=t","showheaders=f")</f>
        <v/>
      </c>
      <c r="D120" s="30" t="n"/>
      <c r="E120" s="30" t="n"/>
      <c r="F120" s="30" t="n"/>
      <c r="G120" s="30" t="n"/>
      <c r="H120" s="30" t="n"/>
      <c r="I120" s="30" t="n"/>
      <c r="J120" s="30" t="n"/>
      <c r="K120" s="30" t="n"/>
      <c r="L120" s="30" t="n"/>
      <c r="M120" s="30" t="n"/>
      <c r="N120" s="30" t="n"/>
      <c r="O120" s="30" t="n"/>
      <c r="P120" s="30" t="n"/>
      <c r="Q120" s="31" t="n"/>
      <c r="R120" s="31" t="n"/>
    </row>
    <row r="121">
      <c r="A121" s="19">
        <f>Tickers!$D$121</f>
        <v/>
      </c>
      <c r="B121" s="19">
        <f>'Semi Rev'!$B121</f>
        <v/>
      </c>
      <c r="C121" s="30" cm="1">
        <f t="array" aca="1" ref="C121" ca="1">_xll.BQL($A121, "#itm().value as #v", "#itm=is_oper_inc(fpt=q,fpo=range(-13,2),ae=ae,fa_adjusted=y,currency='USD')/1m","showids=f","transpose=t","showheaders=f")</f>
        <v/>
      </c>
      <c r="D121" s="30" t="n"/>
      <c r="E121" s="30" t="n"/>
      <c r="F121" s="30" t="n"/>
      <c r="G121" s="30" t="n"/>
      <c r="H121" s="30" t="n"/>
      <c r="I121" s="30" t="n"/>
      <c r="J121" s="30" t="n"/>
      <c r="K121" s="30" t="n"/>
      <c r="L121" s="30" t="n"/>
      <c r="M121" s="30" t="n"/>
      <c r="N121" s="30" t="n"/>
      <c r="O121" s="30" t="n"/>
      <c r="P121" s="30" t="n"/>
      <c r="Q121" s="31" t="n"/>
      <c r="R121" s="31" t="n"/>
    </row>
    <row r="122">
      <c r="A122" s="19">
        <f>Tickers!$D$122</f>
        <v/>
      </c>
      <c r="B122" s="19">
        <f>'Semi Rev'!$B122</f>
        <v/>
      </c>
      <c r="C122" s="30" cm="1">
        <f t="array" aca="1" ref="C122" ca="1">_xll.BQL($A122, "#itm().value as #v", "#itm=is_oper_inc(fpt=q,fpo=range(-13,2),ae=ae,fa_adjusted=y,currency='USD')/1m","showids=f","transpose=t","showheaders=f")</f>
        <v/>
      </c>
      <c r="D122" s="30" t="n"/>
      <c r="E122" s="30" t="n"/>
      <c r="F122" s="30" t="n"/>
      <c r="G122" s="30" t="n"/>
      <c r="H122" s="30" t="n"/>
      <c r="I122" s="30" t="n"/>
      <c r="J122" s="30" t="n"/>
      <c r="K122" s="30" t="n"/>
      <c r="L122" s="30" t="n"/>
      <c r="M122" s="30" t="n"/>
      <c r="N122" s="30" t="n"/>
      <c r="O122" s="30" t="n"/>
      <c r="P122" s="30" t="n"/>
      <c r="Q122" s="31" t="n"/>
      <c r="R122" s="31" t="n"/>
    </row>
    <row r="123">
      <c r="A123" s="19">
        <f>Tickers!$D$123</f>
        <v/>
      </c>
      <c r="B123" s="19">
        <f>'Semi Rev'!$B123</f>
        <v/>
      </c>
      <c r="C123" s="30" cm="1">
        <f t="array" aca="1" ref="C123" ca="1">_xll.BQL($A123, "#itm().value as #v", "#itm=is_oper_inc(fpt=q,fpo=range(-13,2),ae=ae,fa_adjusted=y,currency='USD')/1m","showids=f","transpose=t","showheaders=f")</f>
        <v/>
      </c>
      <c r="D123" s="30" t="n"/>
      <c r="E123" s="30" t="n"/>
      <c r="F123" s="30" t="n"/>
      <c r="G123" s="30" t="n"/>
      <c r="H123" s="30" t="n"/>
      <c r="I123" s="30" t="n"/>
      <c r="J123" s="30" t="n"/>
      <c r="K123" s="30" t="n"/>
      <c r="L123" s="30" t="n"/>
      <c r="M123" s="30" t="n"/>
      <c r="N123" s="30" t="n"/>
      <c r="O123" s="30" t="n"/>
      <c r="P123" s="30" t="n"/>
      <c r="Q123" s="31" t="n"/>
      <c r="R123" s="31" t="n"/>
    </row>
    <row r="124">
      <c r="A124" s="19">
        <f>Tickers!$D$124</f>
        <v/>
      </c>
      <c r="B124" s="19">
        <f>'Semi Rev'!$B124</f>
        <v/>
      </c>
      <c r="C124" s="30" cm="1">
        <f t="array" aca="1" ref="C124" ca="1">_xll.BQL($A124, "#itm().value as #v", "#itm=is_oper_inc(fpt=q,fpo=range(-13,2),ae=ae,fa_adjusted=y,currency='USD')/1m","showids=f","transpose=t","showheaders=f")</f>
        <v/>
      </c>
      <c r="D124" s="30" t="n"/>
      <c r="E124" s="30" t="n"/>
      <c r="F124" s="30" t="n"/>
      <c r="G124" s="30" t="n"/>
      <c r="H124" s="30" t="n"/>
      <c r="I124" s="30" t="n"/>
      <c r="J124" s="30" t="n"/>
      <c r="K124" s="30" t="n"/>
      <c r="L124" s="30" t="n"/>
      <c r="M124" s="30" t="n"/>
      <c r="N124" s="30" t="n"/>
      <c r="O124" s="30" t="n"/>
      <c r="P124" s="30" t="n"/>
      <c r="Q124" s="31" t="n"/>
      <c r="R124" s="31" t="n"/>
    </row>
    <row r="125">
      <c r="A125" s="19">
        <f>Tickers!$D$125</f>
        <v/>
      </c>
      <c r="B125" s="19">
        <f>'Semi Rev'!$B125</f>
        <v/>
      </c>
      <c r="C125" s="30" cm="1">
        <f t="array" aca="1" ref="C125" ca="1">_xll.BQL($A125, "#itm().value as #v", "#itm=is_oper_inc(fpt=q,fpo=range(-13,2),ae=ae,fa_adjusted=y,currency='USD')/1m","showids=f","transpose=t","showheaders=f")</f>
        <v/>
      </c>
      <c r="D125" s="30" t="n"/>
      <c r="E125" s="30" t="n"/>
      <c r="F125" s="30" t="n"/>
      <c r="G125" s="30" t="n"/>
      <c r="H125" s="30" t="n"/>
      <c r="I125" s="30" t="n"/>
      <c r="J125" s="30" t="n"/>
      <c r="K125" s="30" t="n"/>
      <c r="L125" s="30" t="n"/>
      <c r="M125" s="30" t="n"/>
      <c r="N125" s="30" t="n"/>
      <c r="O125" s="30" t="n"/>
      <c r="P125" s="30" t="n"/>
      <c r="Q125" s="31" t="n"/>
      <c r="R125" s="31" t="n"/>
    </row>
    <row r="126">
      <c r="A126" s="19">
        <f>Tickers!$D$126</f>
        <v/>
      </c>
      <c r="B126" s="19">
        <f>'Semi Rev'!$B126</f>
        <v/>
      </c>
      <c r="C126" s="30" cm="1">
        <f t="array" aca="1" ref="C126" ca="1">_xll.BQL($A126, "#itm().value as #v", "#itm=is_oper_inc(fpt=q,fpo=range(-13,2),ae=ae,fa_adjusted=y,currency='USD')/1m","showids=f","transpose=t","showheaders=f")</f>
        <v/>
      </c>
      <c r="D126" s="30" t="n"/>
      <c r="E126" s="30" t="n"/>
      <c r="F126" s="30" t="n"/>
      <c r="G126" s="30" t="n"/>
      <c r="H126" s="30" t="n"/>
      <c r="I126" s="30" t="n"/>
      <c r="J126" s="30" t="n"/>
      <c r="K126" s="30" t="n"/>
      <c r="L126" s="30" t="n"/>
      <c r="M126" s="30" t="n"/>
      <c r="N126" s="30" t="n"/>
      <c r="O126" s="30" t="n"/>
      <c r="P126" s="30" t="n"/>
      <c r="Q126" s="31" t="n"/>
      <c r="R126" s="31" t="n"/>
    </row>
    <row r="127">
      <c r="A127" s="19">
        <f>Tickers!$D$127</f>
        <v/>
      </c>
      <c r="B127" s="19">
        <f>'Semi Rev'!$B127</f>
        <v/>
      </c>
      <c r="C127" s="30" cm="1">
        <f t="array" aca="1" ref="C127" ca="1">_xll.BQL($A127, "#itm().value as #v", "#itm=is_oper_inc(fpt=q,fpo=range(-13,2),ae=ae,fa_adjusted=y,currency='USD')/1m","showids=f","transpose=t","showheaders=f")</f>
        <v/>
      </c>
      <c r="D127" s="30" t="n"/>
      <c r="E127" s="30" t="n"/>
      <c r="F127" s="30" t="n"/>
      <c r="G127" s="30" t="n"/>
      <c r="H127" s="30" t="n"/>
      <c r="I127" s="30" t="n"/>
      <c r="J127" s="30" t="n"/>
      <c r="K127" s="30" t="n"/>
      <c r="L127" s="30" t="n"/>
      <c r="M127" s="30" t="n"/>
      <c r="N127" s="30" t="n"/>
      <c r="O127" s="30" t="n"/>
      <c r="P127" s="30" t="n"/>
      <c r="Q127" s="31" t="n"/>
      <c r="R127" s="31" t="n"/>
    </row>
    <row r="128">
      <c r="A128" s="19">
        <f>Tickers!$D$128</f>
        <v/>
      </c>
      <c r="B128" s="19">
        <f>'Semi Rev'!$B128</f>
        <v/>
      </c>
      <c r="C128" s="30" cm="1">
        <f t="array" aca="1" ref="C128" ca="1">_xll.BQL($A128, "#itm().value as #v", "#itm=is_oper_inc(fpt=q,fpo=range(-13,2),ae=ae,fa_adjusted=y,currency='USD')/1m","showids=f","transpose=t","showheaders=f")</f>
        <v/>
      </c>
      <c r="D128" s="30" t="n"/>
      <c r="E128" s="30" t="n"/>
      <c r="F128" s="30" t="n"/>
      <c r="G128" s="30" t="n"/>
      <c r="H128" s="30" t="n"/>
      <c r="I128" s="30" t="n"/>
      <c r="J128" s="30" t="n"/>
      <c r="K128" s="30" t="n"/>
      <c r="L128" s="30" t="n"/>
      <c r="M128" s="30" t="n"/>
      <c r="N128" s="30" t="n"/>
      <c r="O128" s="30" t="n"/>
      <c r="P128" s="30" t="n"/>
      <c r="Q128" s="31" t="n"/>
      <c r="R128" s="31" t="n"/>
    </row>
    <row r="129">
      <c r="A129" s="19">
        <f>Tickers!$D$129</f>
        <v/>
      </c>
      <c r="B129" s="19">
        <f>'Semi Rev'!$B129</f>
        <v/>
      </c>
      <c r="C129" s="30" cm="1">
        <f t="array" aca="1" ref="C129" ca="1">_xll.BQL($A129, "#itm().value as #v", "#itm=is_oper_inc(fpt=q,fpo=range(-13,2),ae=ae,fa_adjusted=y,currency='USD')/1m","showids=f","transpose=t","showheaders=f")</f>
        <v/>
      </c>
      <c r="D129" s="30" t="n"/>
      <c r="E129" s="30" t="n"/>
      <c r="F129" s="30" t="n"/>
      <c r="G129" s="30" t="n"/>
      <c r="H129" s="30" t="n"/>
      <c r="I129" s="30" t="n"/>
      <c r="J129" s="30" t="n"/>
      <c r="K129" s="30" t="n"/>
      <c r="L129" s="30" t="n"/>
      <c r="M129" s="30" t="n"/>
      <c r="N129" s="30" t="n"/>
      <c r="O129" s="30" t="n"/>
      <c r="P129" s="30" t="n"/>
      <c r="Q129" s="31" t="n"/>
      <c r="R129" s="31" t="n"/>
    </row>
    <row r="130">
      <c r="A130" s="19">
        <f>Tickers!$D$130</f>
        <v/>
      </c>
      <c r="B130" s="19">
        <f>'Semi Rev'!$B130</f>
        <v/>
      </c>
      <c r="C130" s="30" cm="1">
        <f t="array" aca="1" ref="C130" ca="1">_xll.BQL($A130, "#itm().value as #v", "#itm=is_oper_inc(fpt=q,fpo=range(-13,2),ae=ae,fa_adjusted=y,currency='USD')/1m","showids=f","transpose=t","showheaders=f")</f>
        <v/>
      </c>
      <c r="D130" s="30" t="n"/>
      <c r="E130" s="30" t="n"/>
      <c r="F130" s="30" t="n"/>
      <c r="G130" s="30" t="n"/>
      <c r="H130" s="30" t="n"/>
      <c r="I130" s="30" t="n"/>
      <c r="J130" s="30" t="n"/>
      <c r="K130" s="30" t="n"/>
      <c r="L130" s="30" t="n"/>
      <c r="M130" s="30" t="n"/>
      <c r="N130" s="30" t="n"/>
      <c r="O130" s="30" t="n"/>
      <c r="P130" s="30" t="n"/>
      <c r="Q130" s="31" t="n"/>
      <c r="R130" s="31" t="n"/>
    </row>
    <row r="131">
      <c r="A131" s="19">
        <f>Tickers!$D$131</f>
        <v/>
      </c>
      <c r="B131" s="19">
        <f>'Semi Rev'!$B131</f>
        <v/>
      </c>
      <c r="C131" s="30" cm="1">
        <f t="array" aca="1" ref="C131" ca="1">_xll.BQL($A131, "#itm().value as #v", "#itm=is_oper_inc(fpt=q,fpo=range(-13,2),ae=ae,fa_adjusted=y,currency='USD')/1m","showids=f","transpose=t","showheaders=f")</f>
        <v/>
      </c>
      <c r="D131" s="30" t="n"/>
      <c r="E131" s="30" t="n"/>
      <c r="F131" s="30" t="n"/>
      <c r="G131" s="30" t="n"/>
      <c r="H131" s="30" t="n"/>
      <c r="I131" s="30" t="n"/>
      <c r="J131" s="30" t="n"/>
      <c r="K131" s="30" t="n"/>
      <c r="L131" s="30" t="n"/>
      <c r="M131" s="30" t="n"/>
      <c r="N131" s="30" t="n"/>
      <c r="O131" s="30" t="n"/>
      <c r="P131" s="30" t="n"/>
      <c r="Q131" s="31" t="n"/>
      <c r="R131" s="31" t="n"/>
    </row>
    <row r="132">
      <c r="A132" s="19">
        <f>Tickers!$D$132</f>
        <v/>
      </c>
      <c r="B132" s="19">
        <f>'Semi Rev'!$B132</f>
        <v/>
      </c>
      <c r="C132" s="30" cm="1">
        <f t="array" aca="1" ref="C132" ca="1">_xll.BQL($A132, "#itm().value as #v", "#itm=is_oper_inc(fpt=q,fpo=range(-13,2),ae=ae,fa_adjusted=y,currency='USD')/1m","showids=f","transpose=t","showheaders=f")</f>
        <v/>
      </c>
      <c r="D132" s="30" t="n"/>
      <c r="E132" s="30" t="n"/>
      <c r="F132" s="30" t="n"/>
      <c r="G132" s="30" t="n"/>
      <c r="H132" s="30" t="n"/>
      <c r="I132" s="30" t="n"/>
      <c r="J132" s="30" t="n"/>
      <c r="K132" s="30" t="n"/>
      <c r="L132" s="30" t="n"/>
      <c r="M132" s="30" t="n"/>
      <c r="N132" s="30" t="n"/>
      <c r="O132" s="30" t="n"/>
      <c r="P132" s="30" t="n"/>
      <c r="Q132" s="31" t="n"/>
      <c r="R132" s="31" t="n"/>
    </row>
    <row r="133">
      <c r="A133" s="19">
        <f>Tickers!$D$133</f>
        <v/>
      </c>
      <c r="B133" s="19">
        <f>'Semi Rev'!$B133</f>
        <v/>
      </c>
      <c r="C133" s="30" cm="1">
        <f t="array" aca="1" ref="C133" ca="1">_xll.BQL($A133, "#itm().value as #v", "#itm=is_oper_inc(fpt=q,fpo=range(-13,2),ae=ae,fa_adjusted=y,currency='USD')/1m","showids=f","transpose=t","showheaders=f")</f>
        <v/>
      </c>
      <c r="D133" s="30" t="n"/>
      <c r="E133" s="30" t="n"/>
      <c r="F133" s="30" t="n"/>
      <c r="G133" s="30" t="n"/>
      <c r="H133" s="30" t="n"/>
      <c r="I133" s="30" t="n"/>
      <c r="J133" s="30" t="n"/>
      <c r="K133" s="30" t="n"/>
      <c r="L133" s="30" t="n"/>
      <c r="M133" s="30" t="n"/>
      <c r="N133" s="30" t="n"/>
      <c r="O133" s="30" t="n"/>
      <c r="P133" s="30" t="n"/>
      <c r="Q133" s="31" t="n"/>
      <c r="R133" s="31" t="n"/>
    </row>
    <row r="134">
      <c r="A134" s="19">
        <f>Tickers!$D$134</f>
        <v/>
      </c>
      <c r="B134" s="19">
        <f>'Semi Rev'!$B134</f>
        <v/>
      </c>
      <c r="C134" s="30" cm="1">
        <f t="array" aca="1" ref="C134" ca="1">_xll.BQL($A134, "#itm().value as #v", "#itm=is_oper_inc(fpt=q,fpo=range(-13,2),ae=ae,fa_adjusted=y,currency='USD')/1m","showids=f","transpose=t","showheaders=f")</f>
        <v/>
      </c>
      <c r="D134" s="30" t="n"/>
      <c r="E134" s="30" t="n"/>
      <c r="F134" s="30" t="n"/>
      <c r="G134" s="30" t="n"/>
      <c r="H134" s="30" t="n"/>
      <c r="I134" s="30" t="n"/>
      <c r="J134" s="30" t="n"/>
      <c r="K134" s="30" t="n"/>
      <c r="L134" s="30" t="n"/>
      <c r="M134" s="30" t="n"/>
      <c r="N134" s="30" t="n"/>
      <c r="O134" s="30" t="n"/>
      <c r="P134" s="30" t="n"/>
      <c r="Q134" s="31" t="n"/>
      <c r="R134" s="31" t="n"/>
    </row>
    <row r="135">
      <c r="A135" s="19">
        <f>Tickers!$D$135</f>
        <v/>
      </c>
      <c r="B135" s="19">
        <f>'Semi Rev'!$B135</f>
        <v/>
      </c>
      <c r="C135" s="30" cm="1">
        <f t="array" aca="1" ref="C135" ca="1">_xll.BQL($A135, "#itm().value as #v", "#itm=is_oper_inc(fpt=q,fpo=range(-13,2),ae=ae,fa_adjusted=y,currency='USD')/1m","showids=f","transpose=t","showheaders=f")</f>
        <v/>
      </c>
      <c r="D135" s="30" t="n"/>
      <c r="E135" s="30" t="n"/>
      <c r="F135" s="30" t="n"/>
      <c r="G135" s="30" t="n"/>
      <c r="H135" s="30" t="n"/>
      <c r="I135" s="30" t="n"/>
      <c r="J135" s="30" t="n"/>
      <c r="K135" s="30" t="n"/>
      <c r="L135" s="30" t="n"/>
      <c r="M135" s="30" t="n"/>
      <c r="N135" s="30" t="n"/>
      <c r="O135" s="30" t="n"/>
      <c r="P135" s="30" t="n"/>
      <c r="Q135" s="31" t="n"/>
      <c r="R135" s="31" t="n"/>
    </row>
    <row r="136">
      <c r="A136" s="19">
        <f>Tickers!$D$136</f>
        <v/>
      </c>
      <c r="B136" s="19">
        <f>'Semi Rev'!$B136</f>
        <v/>
      </c>
      <c r="C136" s="30" cm="1">
        <f t="array" aca="1" ref="C136" ca="1">_xll.BQL($A136, "#itm().value as #v", "#itm=is_oper_inc(fpt=q,fpo=range(-13,2),ae=ae,fa_adjusted=y,currency='USD')/1m","showids=f","transpose=t","showheaders=f")</f>
        <v/>
      </c>
      <c r="D136" s="30" t="n"/>
      <c r="E136" s="30" t="n"/>
      <c r="F136" s="30" t="n"/>
      <c r="G136" s="30" t="n"/>
      <c r="H136" s="30" t="n"/>
      <c r="I136" s="30" t="n"/>
      <c r="J136" s="30" t="n"/>
      <c r="K136" s="30" t="n"/>
      <c r="L136" s="30" t="n"/>
      <c r="M136" s="30" t="n"/>
      <c r="N136" s="30" t="n"/>
      <c r="O136" s="30" t="n"/>
      <c r="P136" s="30" t="n"/>
      <c r="Q136" s="31" t="n"/>
      <c r="R136" s="31" t="n"/>
    </row>
    <row r="137">
      <c r="A137" s="19">
        <f>Tickers!$D$137</f>
        <v/>
      </c>
      <c r="B137" s="19">
        <f>'Semi Rev'!$B137</f>
        <v/>
      </c>
      <c r="C137" s="30" cm="1">
        <f t="array" aca="1" ref="C137" ca="1">_xll.BQL($A137, "#itm().value as #v", "#itm=is_oper_inc(fpt=q,fpo=range(-13,2),ae=ae,fa_adjusted=y,currency='USD')/1m","showids=f","transpose=t","showheaders=f")</f>
        <v/>
      </c>
      <c r="D137" s="30" t="n"/>
      <c r="E137" s="30" t="n"/>
      <c r="F137" s="30" t="n"/>
      <c r="G137" s="30" t="n"/>
      <c r="H137" s="30" t="n"/>
      <c r="I137" s="30" t="n"/>
      <c r="J137" s="30" t="n"/>
      <c r="K137" s="30" t="n"/>
      <c r="L137" s="30" t="n"/>
      <c r="M137" s="30" t="n"/>
      <c r="N137" s="30" t="n"/>
      <c r="O137" s="30" t="n"/>
      <c r="P137" s="30" t="n"/>
      <c r="Q137" s="31" t="n"/>
      <c r="R137" s="31" t="n"/>
    </row>
    <row r="138">
      <c r="A138" s="19">
        <f>Tickers!$D$138</f>
        <v/>
      </c>
      <c r="B138" s="19">
        <f>'Semi Rev'!$B138</f>
        <v/>
      </c>
      <c r="C138" s="30" cm="1">
        <f t="array" aca="1" ref="C138" ca="1">_xll.BQL($A138, "#itm().value as #v", "#itm=is_oper_inc(fpt=q,fpo=range(-13,2),ae=ae,fa_adjusted=y,currency='USD')/1m","showids=f","transpose=t","showheaders=f")</f>
        <v/>
      </c>
      <c r="D138" s="30" t="n"/>
      <c r="E138" s="30" t="n"/>
      <c r="F138" s="30" t="n"/>
      <c r="G138" s="30" t="n"/>
      <c r="H138" s="30" t="n"/>
      <c r="I138" s="30" t="n"/>
      <c r="J138" s="30" t="n"/>
      <c r="K138" s="30" t="n"/>
      <c r="L138" s="30" t="n"/>
      <c r="M138" s="30" t="n"/>
      <c r="N138" s="30" t="n"/>
      <c r="O138" s="30" t="n"/>
      <c r="P138" s="30" t="n"/>
      <c r="Q138" s="31" t="n"/>
      <c r="R138" s="31" t="n"/>
    </row>
    <row r="139">
      <c r="A139" s="19">
        <f>Tickers!$D$139</f>
        <v/>
      </c>
      <c r="B139" s="19">
        <f>'Semi Rev'!$B139</f>
        <v/>
      </c>
      <c r="C139" s="30" cm="1">
        <f t="array" aca="1" ref="C139" ca="1">_xll.BQL($A139, "#itm().value as #v", "#itm=is_oper_inc(fpt=q,fpo=range(-13,2),ae=ae,fa_adjusted=y,currency='USD')/1m","showids=f","transpose=t","showheaders=f")</f>
        <v/>
      </c>
      <c r="D139" s="30" t="n"/>
      <c r="E139" s="30" t="n"/>
      <c r="F139" s="30" t="n"/>
      <c r="G139" s="30" t="n"/>
      <c r="H139" s="30" t="n"/>
      <c r="I139" s="30" t="n"/>
      <c r="J139" s="30" t="n"/>
      <c r="K139" s="30" t="n"/>
      <c r="L139" s="30" t="n"/>
      <c r="M139" s="30" t="n"/>
      <c r="N139" s="30" t="n"/>
      <c r="O139" s="30" t="n"/>
      <c r="P139" s="30" t="n"/>
      <c r="Q139" s="31" t="n"/>
      <c r="R139" s="31" t="n"/>
    </row>
    <row r="140">
      <c r="A140" s="19">
        <f>Tickers!$D$140</f>
        <v/>
      </c>
      <c r="B140" s="19">
        <f>'Semi Rev'!$B140</f>
        <v/>
      </c>
      <c r="C140" s="30" cm="1">
        <f t="array" aca="1" ref="C140" ca="1">_xll.BQL($A140, "#itm().value as #v", "#itm=is_oper_inc(fpt=q,fpo=range(-13,2),ae=ae,fa_adjusted=y,currency='USD')/1m","showids=f","transpose=t","showheaders=f")</f>
        <v/>
      </c>
      <c r="D140" s="30" t="n"/>
      <c r="E140" s="30" t="n"/>
      <c r="F140" s="30" t="n"/>
      <c r="G140" s="30" t="n"/>
      <c r="H140" s="30" t="n"/>
      <c r="I140" s="30" t="n"/>
      <c r="J140" s="30" t="n"/>
      <c r="K140" s="30" t="n"/>
      <c r="L140" s="30" t="n"/>
      <c r="M140" s="30" t="n"/>
      <c r="N140" s="30" t="n"/>
      <c r="O140" s="30" t="n"/>
      <c r="P140" s="30" t="n"/>
      <c r="Q140" s="31" t="n"/>
      <c r="R140" s="31" t="n"/>
    </row>
    <row r="141">
      <c r="A141" s="19">
        <f>Tickers!$D$141</f>
        <v/>
      </c>
      <c r="B141" s="19">
        <f>'Semi Rev'!$B141</f>
        <v/>
      </c>
      <c r="C141" s="30" cm="1">
        <f t="array" aca="1" ref="C141" ca="1">_xll.BQL($A141, "#itm().value as #v", "#itm=is_oper_inc(fpt=q,fpo=range(-13,2),ae=ae,fa_adjusted=y,currency='USD')/1m","showids=f","transpose=t","showheaders=f")</f>
        <v/>
      </c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  <c r="M141" s="30" t="n"/>
      <c r="N141" s="30" t="n"/>
      <c r="O141" s="30" t="n"/>
      <c r="P141" s="30" t="n"/>
      <c r="Q141" s="31" t="n"/>
      <c r="R141" s="31" t="n"/>
    </row>
    <row r="142">
      <c r="A142" s="19">
        <f>Tickers!$D$142</f>
        <v/>
      </c>
      <c r="B142" s="19">
        <f>'Semi Rev'!$B142</f>
        <v/>
      </c>
      <c r="C142" s="30" cm="1">
        <f t="array" aca="1" ref="C142" ca="1">_xll.BQL($A142, "#itm().value as #v", "#itm=is_oper_inc(fpt=q,fpo=range(-13,2),ae=ae,fa_adjusted=y,currency='USD')/1m","showids=f","transpose=t","showheaders=f")</f>
        <v/>
      </c>
      <c r="D142" s="30" t="n"/>
      <c r="E142" s="30" t="n"/>
      <c r="F142" s="30" t="n"/>
      <c r="G142" s="30" t="n"/>
      <c r="H142" s="30" t="n"/>
      <c r="I142" s="30" t="n"/>
      <c r="J142" s="30" t="n"/>
      <c r="K142" s="30" t="n"/>
      <c r="L142" s="30" t="n"/>
      <c r="M142" s="30" t="n"/>
      <c r="N142" s="30" t="n"/>
      <c r="O142" s="30" t="n"/>
      <c r="P142" s="30" t="n"/>
      <c r="Q142" s="31" t="n"/>
      <c r="R142" s="31" t="n"/>
    </row>
    <row r="143">
      <c r="A143" s="19">
        <f>Tickers!$D$143</f>
        <v/>
      </c>
      <c r="B143" s="19">
        <f>'Semi Rev'!$B143</f>
        <v/>
      </c>
      <c r="C143" s="30" cm="1">
        <f t="array" aca="1" ref="C143" ca="1">_xll.BQL($A143, "#itm().value as #v", "#itm=is_oper_inc(fpt=q,fpo=range(-13,2),ae=ae,fa_adjusted=y,currency='USD')/1m","showids=f","transpose=t","showheaders=f")</f>
        <v/>
      </c>
      <c r="D143" s="30" t="n"/>
      <c r="E143" s="30" t="n"/>
      <c r="F143" s="30" t="n"/>
      <c r="G143" s="30" t="n"/>
      <c r="H143" s="30" t="n"/>
      <c r="I143" s="30" t="n"/>
      <c r="J143" s="30" t="n"/>
      <c r="K143" s="30" t="n"/>
      <c r="L143" s="30" t="n"/>
      <c r="M143" s="30" t="n"/>
      <c r="N143" s="30" t="n"/>
      <c r="O143" s="30" t="n"/>
      <c r="P143" s="30" t="n"/>
      <c r="Q143" s="31" t="n"/>
      <c r="R143" s="3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ED7D31"/>
    <outlinePr summaryBelow="1" summaryRight="1"/>
    <pageSetUpPr/>
  </sheetPr>
  <dimension ref="A1:R14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</cols>
  <sheetData>
    <row r="1">
      <c r="A1" s="5" t="inlineStr">
        <is>
          <t>Semiconductors — Quarterly Free Cash Flow (USD mm)</t>
        </is>
      </c>
      <c r="H1" s="6" t="inlineStr">
        <is>
          <t>⚠ Cells blank? This is a LIVE Bloomberg workbook — it has no saved data until its first refresh. Open it in desktop Excel on your Bloomberg terminal PC (add-in logged in), then Bloomberg ribbon ▸ Refresh All (or Ctrl+Alt+F9), wait a few minutes, and save. See README.</t>
        </is>
      </c>
    </row>
    <row r="2">
      <c r="A2" s="7" t="inlineStr">
        <is>
          <t>Columns are aligned by fiscal period offset (FPO): FPO 0 = each company's most recently REPORTED quarter, so fiscal calendars differ across rows (e.g. ZM's FY ends Jan). FPO +1/+2 are consensus estimates (shaded).</t>
        </is>
      </c>
    </row>
    <row r="3">
      <c r="A3" s="7" t="inlineStr">
        <is>
          <t>Source: Bloomberg — BQL: cf_free_cash_flow, fpt=q, ae=ae, currency='USD', /1m. FCF estimates are sparse for smaller names — blanks/#N/A in FPO +1/+2 are normal. Refresh on a Bloomberg terminal (Bloomberg ribbon &gt; Refresh All).</t>
        </is>
      </c>
    </row>
    <row r="4" ht="28" customHeight="1">
      <c r="A4" s="8" t="inlineStr">
        <is>
          <t>Ticker</t>
        </is>
      </c>
      <c r="B4" s="8" t="inlineStr">
        <is>
          <t>Latest Rpt Qtr</t>
        </is>
      </c>
      <c r="C4" s="8" t="inlineStr">
        <is>
          <t>FPO -13</t>
        </is>
      </c>
      <c r="D4" s="8" t="inlineStr">
        <is>
          <t>FPO -12</t>
        </is>
      </c>
      <c r="E4" s="8" t="inlineStr">
        <is>
          <t>FPO -11</t>
        </is>
      </c>
      <c r="F4" s="8" t="inlineStr">
        <is>
          <t>FPO -10</t>
        </is>
      </c>
      <c r="G4" s="8" t="inlineStr">
        <is>
          <t>FPO -9</t>
        </is>
      </c>
      <c r="H4" s="8" t="inlineStr">
        <is>
          <t>FPO -8</t>
        </is>
      </c>
      <c r="I4" s="8" t="inlineStr">
        <is>
          <t>FPO -7</t>
        </is>
      </c>
      <c r="J4" s="8" t="inlineStr">
        <is>
          <t>FPO -6</t>
        </is>
      </c>
      <c r="K4" s="8" t="inlineStr">
        <is>
          <t>FPO -5</t>
        </is>
      </c>
      <c r="L4" s="8" t="inlineStr">
        <is>
          <t>FPO -4</t>
        </is>
      </c>
      <c r="M4" s="8" t="inlineStr">
        <is>
          <t>FPO -3</t>
        </is>
      </c>
      <c r="N4" s="8" t="inlineStr">
        <is>
          <t>FPO -2</t>
        </is>
      </c>
      <c r="O4" s="8" t="inlineStr">
        <is>
          <t>FPO -1</t>
        </is>
      </c>
      <c r="P4" s="8" t="inlineStr">
        <is>
          <t>FPO 0 (latest rpt)</t>
        </is>
      </c>
      <c r="Q4" s="8" t="inlineStr">
        <is>
          <t>FPO +1E</t>
        </is>
      </c>
      <c r="R4" s="8" t="inlineStr">
        <is>
          <t>FPO +2E</t>
        </is>
      </c>
    </row>
    <row r="5">
      <c r="A5" s="19">
        <f>Tickers!$D$5</f>
        <v/>
      </c>
      <c r="B5" s="19">
        <f>'Semi Rev'!$B5</f>
        <v/>
      </c>
      <c r="C5" s="30" cm="1">
        <f t="array" aca="1" ref="C5" ca="1">_xll.BQL($A5, "#itm().value as #v", "#itm=cf_free_cash_flow(fpt=q,fpo=range(-13,2),ae=ae,currency='USD')/1m","showids=f","transpose=t","showheaders=f")</f>
        <v/>
      </c>
      <c r="D5" s="30" t="n"/>
      <c r="E5" s="30" t="n"/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  <c r="O5" s="30" t="n"/>
      <c r="P5" s="30" t="n"/>
      <c r="Q5" s="31" t="n"/>
      <c r="R5" s="31" t="n"/>
    </row>
    <row r="6">
      <c r="A6" s="19">
        <f>Tickers!$D$6</f>
        <v/>
      </c>
      <c r="B6" s="19">
        <f>'Semi Rev'!$B6</f>
        <v/>
      </c>
      <c r="C6" s="30" cm="1">
        <f t="array" aca="1" ref="C6" ca="1">_xll.BQL($A6, "#itm().value as #v", "#itm=cf_free_cash_flow(fpt=q,fpo=range(-13,2),ae=ae,currency='USD')/1m","showids=f","transpose=t","showheaders=f")</f>
        <v/>
      </c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1" t="n"/>
      <c r="R6" s="31" t="n"/>
    </row>
    <row r="7">
      <c r="A7" s="19">
        <f>Tickers!$D$7</f>
        <v/>
      </c>
      <c r="B7" s="19">
        <f>'Semi Rev'!$B7</f>
        <v/>
      </c>
      <c r="C7" s="30" cm="1">
        <f t="array" aca="1" ref="C7" ca="1">_xll.BQL($A7, "#itm().value as #v", "#itm=cf_free_cash_flow(fpt=q,fpo=range(-13,2),ae=ae,currency='USD')/1m","showids=f","transpose=t","showheaders=f")</f>
        <v/>
      </c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1" t="n"/>
      <c r="R7" s="31" t="n"/>
    </row>
    <row r="8">
      <c r="A8" s="19">
        <f>Tickers!$D$8</f>
        <v/>
      </c>
      <c r="B8" s="19">
        <f>'Semi Rev'!$B8</f>
        <v/>
      </c>
      <c r="C8" s="30" cm="1">
        <f t="array" aca="1" ref="C8" ca="1">_xll.BQL($A8, "#itm().value as #v", "#itm=cf_free_cash_flow(fpt=q,fpo=range(-13,2),ae=ae,currency='USD')/1m","showids=f","transpose=t","showheaders=f")</f>
        <v/>
      </c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1" t="n"/>
      <c r="R8" s="31" t="n"/>
    </row>
    <row r="9">
      <c r="A9" s="19">
        <f>Tickers!$D$9</f>
        <v/>
      </c>
      <c r="B9" s="19">
        <f>'Semi Rev'!$B9</f>
        <v/>
      </c>
      <c r="C9" s="30" cm="1">
        <f t="array" aca="1" ref="C9" ca="1">_xll.BQL($A9, "#itm().value as #v", "#itm=cf_free_cash_flow(fpt=q,fpo=range(-13,2),ae=ae,currency='USD')/1m","showids=f","transpose=t","showheaders=f")</f>
        <v/>
      </c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1" t="n"/>
      <c r="R9" s="31" t="n"/>
    </row>
    <row r="10">
      <c r="A10" s="19">
        <f>Tickers!$D$10</f>
        <v/>
      </c>
      <c r="B10" s="19">
        <f>'Semi Rev'!$B10</f>
        <v/>
      </c>
      <c r="C10" s="30" cm="1">
        <f t="array" aca="1" ref="C10" ca="1">_xll.BQL($A10, "#itm().value as #v", "#itm=cf_free_cash_flow(fpt=q,fpo=range(-13,2),ae=ae,currency='USD')/1m","showids=f","transpose=t","showheaders=f")</f>
        <v/>
      </c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30" t="n"/>
      <c r="Q10" s="31" t="n"/>
      <c r="R10" s="31" t="n"/>
    </row>
    <row r="11">
      <c r="A11" s="19">
        <f>Tickers!$D$11</f>
        <v/>
      </c>
      <c r="B11" s="19">
        <f>'Semi Rev'!$B11</f>
        <v/>
      </c>
      <c r="C11" s="30" cm="1">
        <f t="array" aca="1" ref="C11" ca="1">_xll.BQL($A11, "#itm().value as #v", "#itm=cf_free_cash_flow(fpt=q,fpo=range(-13,2),ae=ae,currency='USD')/1m","showids=f","transpose=t","showheaders=f")</f>
        <v/>
      </c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1" t="n"/>
      <c r="R11" s="31" t="n"/>
    </row>
    <row r="12">
      <c r="A12" s="19">
        <f>Tickers!$D$12</f>
        <v/>
      </c>
      <c r="B12" s="19">
        <f>'Semi Rev'!$B12</f>
        <v/>
      </c>
      <c r="C12" s="30" cm="1">
        <f t="array" aca="1" ref="C12" ca="1">_xll.BQL($A12, "#itm().value as #v", "#itm=cf_free_cash_flow(fpt=q,fpo=range(-13,2),ae=ae,currency='USD')/1m","showids=f","transpose=t","showheaders=f")</f>
        <v/>
      </c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1" t="n"/>
      <c r="R12" s="31" t="n"/>
    </row>
    <row r="13">
      <c r="A13" s="19">
        <f>Tickers!$D$13</f>
        <v/>
      </c>
      <c r="B13" s="19">
        <f>'Semi Rev'!$B13</f>
        <v/>
      </c>
      <c r="C13" s="30" cm="1">
        <f t="array" aca="1" ref="C13" ca="1">_xll.BQL($A13, "#itm().value as #v", "#itm=cf_free_cash_flow(fpt=q,fpo=range(-13,2),ae=ae,currency='USD')/1m","showids=f","transpose=t","showheaders=f")</f>
        <v/>
      </c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1" t="n"/>
      <c r="R13" s="31" t="n"/>
    </row>
    <row r="14">
      <c r="A14" s="19">
        <f>Tickers!$D$14</f>
        <v/>
      </c>
      <c r="B14" s="19">
        <f>'Semi Rev'!$B14</f>
        <v/>
      </c>
      <c r="C14" s="30" cm="1">
        <f t="array" aca="1" ref="C14" ca="1">_xll.BQL($A14, "#itm().value as #v", "#itm=cf_free_cash_flow(fpt=q,fpo=range(-13,2),ae=ae,currency='USD')/1m","showids=f","transpose=t","showheaders=f")</f>
        <v/>
      </c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  <c r="Q14" s="31" t="n"/>
      <c r="R14" s="31" t="n"/>
    </row>
    <row r="15">
      <c r="A15" s="19">
        <f>Tickers!$D$15</f>
        <v/>
      </c>
      <c r="B15" s="19">
        <f>'Semi Rev'!$B15</f>
        <v/>
      </c>
      <c r="C15" s="30" cm="1">
        <f t="array" aca="1" ref="C15" ca="1">_xll.BQL($A15, "#itm().value as #v", "#itm=cf_free_cash_flow(fpt=q,fpo=range(-13,2),ae=ae,currency='USD')/1m","showids=f","transpose=t","showheaders=f")</f>
        <v/>
      </c>
      <c r="D15" s="30" t="n"/>
      <c r="E15" s="30" t="n"/>
      <c r="F15" s="30" t="n"/>
      <c r="G15" s="30" t="n"/>
      <c r="H15" s="30" t="n"/>
      <c r="I15" s="30" t="n"/>
      <c r="J15" s="30" t="n"/>
      <c r="K15" s="30" t="n"/>
      <c r="L15" s="30" t="n"/>
      <c r="M15" s="30" t="n"/>
      <c r="N15" s="30" t="n"/>
      <c r="O15" s="30" t="n"/>
      <c r="P15" s="30" t="n"/>
      <c r="Q15" s="31" t="n"/>
      <c r="R15" s="31" t="n"/>
    </row>
    <row r="16">
      <c r="A16" s="19">
        <f>Tickers!$D$16</f>
        <v/>
      </c>
      <c r="B16" s="19">
        <f>'Semi Rev'!$B16</f>
        <v/>
      </c>
      <c r="C16" s="30" cm="1">
        <f t="array" aca="1" ref="C16" ca="1">_xll.BQL($A16, "#itm().value as #v", "#itm=cf_free_cash_flow(fpt=q,fpo=range(-13,2),ae=ae,currency='USD')/1m","showids=f","transpose=t","showheaders=f")</f>
        <v/>
      </c>
      <c r="D16" s="30" t="n"/>
      <c r="E16" s="30" t="n"/>
      <c r="F16" s="30" t="n"/>
      <c r="G16" s="30" t="n"/>
      <c r="H16" s="30" t="n"/>
      <c r="I16" s="30" t="n"/>
      <c r="J16" s="30" t="n"/>
      <c r="K16" s="30" t="n"/>
      <c r="L16" s="30" t="n"/>
      <c r="M16" s="30" t="n"/>
      <c r="N16" s="30" t="n"/>
      <c r="O16" s="30" t="n"/>
      <c r="P16" s="30" t="n"/>
      <c r="Q16" s="31" t="n"/>
      <c r="R16" s="31" t="n"/>
    </row>
    <row r="17">
      <c r="A17" s="19">
        <f>Tickers!$D$17</f>
        <v/>
      </c>
      <c r="B17" s="19">
        <f>'Semi Rev'!$B17</f>
        <v/>
      </c>
      <c r="C17" s="30" cm="1">
        <f t="array" aca="1" ref="C17" ca="1">_xll.BQL($A17, "#itm().value as #v", "#itm=cf_free_cash_flow(fpt=q,fpo=range(-13,2),ae=ae,currency='USD')/1m","showids=f","transpose=t","showheaders=f")</f>
        <v/>
      </c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30" t="n"/>
      <c r="Q17" s="31" t="n"/>
      <c r="R17" s="31" t="n"/>
    </row>
    <row r="18">
      <c r="A18" s="19">
        <f>Tickers!$D$18</f>
        <v/>
      </c>
      <c r="B18" s="19">
        <f>'Semi Rev'!$B18</f>
        <v/>
      </c>
      <c r="C18" s="30" cm="1">
        <f t="array" aca="1" ref="C18" ca="1">_xll.BQL($A18, "#itm().value as #v", "#itm=cf_free_cash_flow(fpt=q,fpo=range(-13,2),ae=ae,currency='USD')/1m","showids=f","transpose=t","showheaders=f")</f>
        <v/>
      </c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1" t="n"/>
      <c r="R18" s="31" t="n"/>
    </row>
    <row r="19">
      <c r="A19" s="19">
        <f>Tickers!$D$19</f>
        <v/>
      </c>
      <c r="B19" s="19">
        <f>'Semi Rev'!$B19</f>
        <v/>
      </c>
      <c r="C19" s="30" cm="1">
        <f t="array" aca="1" ref="C19" ca="1">_xll.BQL($A19, "#itm().value as #v", "#itm=cf_free_cash_flow(fpt=q,fpo=range(-13,2),ae=ae,currency='USD')/1m","showids=f","transpose=t","showheaders=f")</f>
        <v/>
      </c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1" t="n"/>
      <c r="R19" s="31" t="n"/>
    </row>
    <row r="20">
      <c r="A20" s="19">
        <f>Tickers!$D$20</f>
        <v/>
      </c>
      <c r="B20" s="19">
        <f>'Semi Rev'!$B20</f>
        <v/>
      </c>
      <c r="C20" s="30" cm="1">
        <f t="array" aca="1" ref="C20" ca="1">_xll.BQL($A20, "#itm().value as #v", "#itm=cf_free_cash_flow(fpt=q,fpo=range(-13,2),ae=ae,currency='USD')/1m","showids=f","transpose=t","showheaders=f")</f>
        <v/>
      </c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30" t="n"/>
      <c r="Q20" s="31" t="n"/>
      <c r="R20" s="31" t="n"/>
    </row>
    <row r="21">
      <c r="A21" s="19">
        <f>Tickers!$D$21</f>
        <v/>
      </c>
      <c r="B21" s="19">
        <f>'Semi Rev'!$B21</f>
        <v/>
      </c>
      <c r="C21" s="30" cm="1">
        <f t="array" aca="1" ref="C21" ca="1">_xll.BQL($A21, "#itm().value as #v", "#itm=cf_free_cash_flow(fpt=q,fpo=range(-13,2),ae=ae,currency='USD')/1m","showids=f","transpose=t","showheaders=f")</f>
        <v/>
      </c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  <c r="P21" s="30" t="n"/>
      <c r="Q21" s="31" t="n"/>
      <c r="R21" s="31" t="n"/>
    </row>
    <row r="22">
      <c r="A22" s="19">
        <f>Tickers!$D$22</f>
        <v/>
      </c>
      <c r="B22" s="19">
        <f>'Semi Rev'!$B22</f>
        <v/>
      </c>
      <c r="C22" s="30" cm="1">
        <f t="array" aca="1" ref="C22" ca="1">_xll.BQL($A22, "#itm().value as #v", "#itm=cf_free_cash_flow(fpt=q,fpo=range(-13,2),ae=ae,currency='USD')/1m","showids=f","transpose=t","showheaders=f")</f>
        <v/>
      </c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n"/>
      <c r="Q22" s="31" t="n"/>
      <c r="R22" s="31" t="n"/>
    </row>
    <row r="23">
      <c r="A23" s="19">
        <f>Tickers!$D$23</f>
        <v/>
      </c>
      <c r="B23" s="19">
        <f>'Semi Rev'!$B23</f>
        <v/>
      </c>
      <c r="C23" s="30" cm="1">
        <f t="array" aca="1" ref="C23" ca="1">_xll.BQL($A23, "#itm().value as #v", "#itm=cf_free_cash_flow(fpt=q,fpo=range(-13,2),ae=ae,currency='USD')/1m","showids=f","transpose=t","showheaders=f")</f>
        <v/>
      </c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30" t="n"/>
      <c r="P23" s="30" t="n"/>
      <c r="Q23" s="31" t="n"/>
      <c r="R23" s="31" t="n"/>
    </row>
    <row r="24">
      <c r="A24" s="19">
        <f>Tickers!$D$24</f>
        <v/>
      </c>
      <c r="B24" s="19">
        <f>'Semi Rev'!$B24</f>
        <v/>
      </c>
      <c r="C24" s="30" cm="1">
        <f t="array" aca="1" ref="C24" ca="1">_xll.BQL($A24, "#itm().value as #v", "#itm=cf_free_cash_flow(fpt=q,fpo=range(-13,2),ae=ae,currency='USD')/1m","showids=f","transpose=t","showheaders=f")</f>
        <v/>
      </c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30" t="n"/>
      <c r="Q24" s="31" t="n"/>
      <c r="R24" s="31" t="n"/>
    </row>
    <row r="25">
      <c r="A25" s="19">
        <f>Tickers!$D$25</f>
        <v/>
      </c>
      <c r="B25" s="19">
        <f>'Semi Rev'!$B25</f>
        <v/>
      </c>
      <c r="C25" s="30" cm="1">
        <f t="array" aca="1" ref="C25" ca="1">_xll.BQL($A25, "#itm().value as #v", "#itm=cf_free_cash_flow(fpt=q,fpo=range(-13,2),ae=ae,currency='USD')/1m","showids=f","transpose=t","showheaders=f")</f>
        <v/>
      </c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  <c r="Q25" s="31" t="n"/>
      <c r="R25" s="31" t="n"/>
    </row>
    <row r="26">
      <c r="A26" s="19">
        <f>Tickers!$D$26</f>
        <v/>
      </c>
      <c r="B26" s="19">
        <f>'Semi Rev'!$B26</f>
        <v/>
      </c>
      <c r="C26" s="30" cm="1">
        <f t="array" aca="1" ref="C26" ca="1">_xll.BQL($A26, "#itm().value as #v", "#itm=cf_free_cash_flow(fpt=q,fpo=range(-13,2),ae=ae,currency='USD')/1m","showids=f","transpose=t","showheaders=f")</f>
        <v/>
      </c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30" t="n"/>
      <c r="Q26" s="31" t="n"/>
      <c r="R26" s="31" t="n"/>
    </row>
    <row r="27">
      <c r="A27" s="19">
        <f>Tickers!$D$27</f>
        <v/>
      </c>
      <c r="B27" s="19">
        <f>'Semi Rev'!$B27</f>
        <v/>
      </c>
      <c r="C27" s="30" cm="1">
        <f t="array" aca="1" ref="C27" ca="1">_xll.BQL($A27, "#itm().value as #v", "#itm=cf_free_cash_flow(fpt=q,fpo=range(-13,2),ae=ae,currency='USD')/1m","showids=f","transpose=t","showheaders=f")</f>
        <v/>
      </c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30" t="n"/>
      <c r="Q27" s="31" t="n"/>
      <c r="R27" s="31" t="n"/>
    </row>
    <row r="28">
      <c r="A28" s="19">
        <f>Tickers!$D$28</f>
        <v/>
      </c>
      <c r="B28" s="19">
        <f>'Semi Rev'!$B28</f>
        <v/>
      </c>
      <c r="C28" s="30" cm="1">
        <f t="array" aca="1" ref="C28" ca="1">_xll.BQL($A28, "#itm().value as #v", "#itm=cf_free_cash_flow(fpt=q,fpo=range(-13,2),ae=ae,currency='USD')/1m","showids=f","transpose=t","showheaders=f")</f>
        <v/>
      </c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30" t="n"/>
      <c r="Q28" s="31" t="n"/>
      <c r="R28" s="31" t="n"/>
    </row>
    <row r="29">
      <c r="A29" s="19">
        <f>Tickers!$D$29</f>
        <v/>
      </c>
      <c r="B29" s="19">
        <f>'Semi Rev'!$B29</f>
        <v/>
      </c>
      <c r="C29" s="30" cm="1">
        <f t="array" aca="1" ref="C29" ca="1">_xll.BQL($A29, "#itm().value as #v", "#itm=cf_free_cash_flow(fpt=q,fpo=range(-13,2),ae=ae,currency='USD')/1m","showids=f","transpose=t","showheaders=f")</f>
        <v/>
      </c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30" t="n"/>
      <c r="Q29" s="31" t="n"/>
      <c r="R29" s="31" t="n"/>
    </row>
    <row r="30">
      <c r="A30" s="19">
        <f>Tickers!$D$30</f>
        <v/>
      </c>
      <c r="B30" s="19">
        <f>'Semi Rev'!$B30</f>
        <v/>
      </c>
      <c r="C30" s="30" cm="1">
        <f t="array" aca="1" ref="C30" ca="1">_xll.BQL($A30, "#itm().value as #v", "#itm=cf_free_cash_flow(fpt=q,fpo=range(-13,2),ae=ae,currency='USD')/1m","showids=f","transpose=t","showheaders=f")</f>
        <v/>
      </c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30" t="n"/>
      <c r="Q30" s="31" t="n"/>
      <c r="R30" s="31" t="n"/>
    </row>
    <row r="31">
      <c r="A31" s="19">
        <f>Tickers!$D$31</f>
        <v/>
      </c>
      <c r="B31" s="19">
        <f>'Semi Rev'!$B31</f>
        <v/>
      </c>
      <c r="C31" s="30" cm="1">
        <f t="array" aca="1" ref="C31" ca="1">_xll.BQL($A31, "#itm().value as #v", "#itm=cf_free_cash_flow(fpt=q,fpo=range(-13,2),ae=ae,currency='USD')/1m","showids=f","transpose=t","showheaders=f")</f>
        <v/>
      </c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0" t="n"/>
      <c r="Q31" s="31" t="n"/>
      <c r="R31" s="31" t="n"/>
    </row>
    <row r="32">
      <c r="A32" s="19">
        <f>Tickers!$D$32</f>
        <v/>
      </c>
      <c r="B32" s="19">
        <f>'Semi Rev'!$B32</f>
        <v/>
      </c>
      <c r="C32" s="30" cm="1">
        <f t="array" aca="1" ref="C32" ca="1">_xll.BQL($A32, "#itm().value as #v", "#itm=cf_free_cash_flow(fpt=q,fpo=range(-13,2),ae=ae,currency='USD')/1m","showids=f","transpose=t","showheaders=f")</f>
        <v/>
      </c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30" t="n"/>
      <c r="Q32" s="31" t="n"/>
      <c r="R32" s="31" t="n"/>
    </row>
    <row r="33">
      <c r="A33" s="19">
        <f>Tickers!$D$33</f>
        <v/>
      </c>
      <c r="B33" s="19">
        <f>'Semi Rev'!$B33</f>
        <v/>
      </c>
      <c r="C33" s="30" cm="1">
        <f t="array" aca="1" ref="C33" ca="1">_xll.BQL($A33, "#itm().value as #v", "#itm=cf_free_cash_flow(fpt=q,fpo=range(-13,2),ae=ae,currency='USD')/1m","showids=f","transpose=t","showheaders=f")</f>
        <v/>
      </c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0" t="n"/>
      <c r="P33" s="30" t="n"/>
      <c r="Q33" s="31" t="n"/>
      <c r="R33" s="31" t="n"/>
    </row>
    <row r="34">
      <c r="A34" s="19">
        <f>Tickers!$D$34</f>
        <v/>
      </c>
      <c r="B34" s="19">
        <f>'Semi Rev'!$B34</f>
        <v/>
      </c>
      <c r="C34" s="30" cm="1">
        <f t="array" aca="1" ref="C34" ca="1">_xll.BQL($A34, "#itm().value as #v", "#itm=cf_free_cash_flow(fpt=q,fpo=range(-13,2),ae=ae,currency='USD')/1m","showids=f","transpose=t","showheaders=f")</f>
        <v/>
      </c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30" t="n"/>
      <c r="Q34" s="31" t="n"/>
      <c r="R34" s="31" t="n"/>
    </row>
    <row r="35">
      <c r="A35" s="19">
        <f>Tickers!$D$35</f>
        <v/>
      </c>
      <c r="B35" s="19">
        <f>'Semi Rev'!$B35</f>
        <v/>
      </c>
      <c r="C35" s="30" cm="1">
        <f t="array" aca="1" ref="C35" ca="1">_xll.BQL($A35, "#itm().value as #v", "#itm=cf_free_cash_flow(fpt=q,fpo=range(-13,2),ae=ae,currency='USD')/1m","showids=f","transpose=t","showheaders=f")</f>
        <v/>
      </c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1" t="n"/>
      <c r="R35" s="31" t="n"/>
    </row>
    <row r="36">
      <c r="A36" s="19">
        <f>Tickers!$D$36</f>
        <v/>
      </c>
      <c r="B36" s="19">
        <f>'Semi Rev'!$B36</f>
        <v/>
      </c>
      <c r="C36" s="30" cm="1">
        <f t="array" aca="1" ref="C36" ca="1">_xll.BQL($A36, "#itm().value as #v", "#itm=cf_free_cash_flow(fpt=q,fpo=range(-13,2),ae=ae,currency='USD')/1m","showids=f","transpose=t","showheaders=f")</f>
        <v/>
      </c>
      <c r="D36" s="30" t="n"/>
      <c r="E36" s="30" t="n"/>
      <c r="F36" s="30" t="n"/>
      <c r="G36" s="30" t="n"/>
      <c r="H36" s="30" t="n"/>
      <c r="I36" s="30" t="n"/>
      <c r="J36" s="30" t="n"/>
      <c r="K36" s="30" t="n"/>
      <c r="L36" s="30" t="n"/>
      <c r="M36" s="30" t="n"/>
      <c r="N36" s="30" t="n"/>
      <c r="O36" s="30" t="n"/>
      <c r="P36" s="30" t="n"/>
      <c r="Q36" s="31" t="n"/>
      <c r="R36" s="31" t="n"/>
    </row>
    <row r="37">
      <c r="A37" s="19">
        <f>Tickers!$D$37</f>
        <v/>
      </c>
      <c r="B37" s="19">
        <f>'Semi Rev'!$B37</f>
        <v/>
      </c>
      <c r="C37" s="30" cm="1">
        <f t="array" aca="1" ref="C37" ca="1">_xll.BQL($A37, "#itm().value as #v", "#itm=cf_free_cash_flow(fpt=q,fpo=range(-13,2),ae=ae,currency='USD')/1m","showids=f","transpose=t","showheaders=f")</f>
        <v/>
      </c>
      <c r="D37" s="30" t="n"/>
      <c r="E37" s="30" t="n"/>
      <c r="F37" s="30" t="n"/>
      <c r="G37" s="30" t="n"/>
      <c r="H37" s="30" t="n"/>
      <c r="I37" s="30" t="n"/>
      <c r="J37" s="30" t="n"/>
      <c r="K37" s="30" t="n"/>
      <c r="L37" s="30" t="n"/>
      <c r="M37" s="30" t="n"/>
      <c r="N37" s="30" t="n"/>
      <c r="O37" s="30" t="n"/>
      <c r="P37" s="30" t="n"/>
      <c r="Q37" s="31" t="n"/>
      <c r="R37" s="31" t="n"/>
    </row>
    <row r="38">
      <c r="A38" s="19">
        <f>Tickers!$D$38</f>
        <v/>
      </c>
      <c r="B38" s="19">
        <f>'Semi Rev'!$B38</f>
        <v/>
      </c>
      <c r="C38" s="30" cm="1">
        <f t="array" aca="1" ref="C38" ca="1">_xll.BQL($A38, "#itm().value as #v", "#itm=cf_free_cash_flow(fpt=q,fpo=range(-13,2),ae=ae,currency='USD')/1m","showids=f","transpose=t","showheaders=f")</f>
        <v/>
      </c>
      <c r="D38" s="30" t="n"/>
      <c r="E38" s="30" t="n"/>
      <c r="F38" s="30" t="n"/>
      <c r="G38" s="30" t="n"/>
      <c r="H38" s="30" t="n"/>
      <c r="I38" s="30" t="n"/>
      <c r="J38" s="30" t="n"/>
      <c r="K38" s="30" t="n"/>
      <c r="L38" s="30" t="n"/>
      <c r="M38" s="30" t="n"/>
      <c r="N38" s="30" t="n"/>
      <c r="O38" s="30" t="n"/>
      <c r="P38" s="30" t="n"/>
      <c r="Q38" s="31" t="n"/>
      <c r="R38" s="31" t="n"/>
    </row>
    <row r="39">
      <c r="A39" s="19">
        <f>Tickers!$D$39</f>
        <v/>
      </c>
      <c r="B39" s="19">
        <f>'Semi Rev'!$B39</f>
        <v/>
      </c>
      <c r="C39" s="30" cm="1">
        <f t="array" aca="1" ref="C39" ca="1">_xll.BQL($A39, "#itm().value as #v", "#itm=cf_free_cash_flow(fpt=q,fpo=range(-13,2),ae=ae,currency='USD')/1m","showids=f","transpose=t","showheaders=f")</f>
        <v/>
      </c>
      <c r="D39" s="30" t="n"/>
      <c r="E39" s="30" t="n"/>
      <c r="F39" s="30" t="n"/>
      <c r="G39" s="30" t="n"/>
      <c r="H39" s="30" t="n"/>
      <c r="I39" s="30" t="n"/>
      <c r="J39" s="30" t="n"/>
      <c r="K39" s="30" t="n"/>
      <c r="L39" s="30" t="n"/>
      <c r="M39" s="30" t="n"/>
      <c r="N39" s="30" t="n"/>
      <c r="O39" s="30" t="n"/>
      <c r="P39" s="30" t="n"/>
      <c r="Q39" s="31" t="n"/>
      <c r="R39" s="31" t="n"/>
    </row>
    <row r="40">
      <c r="A40" s="19">
        <f>Tickers!$D$40</f>
        <v/>
      </c>
      <c r="B40" s="19">
        <f>'Semi Rev'!$B40</f>
        <v/>
      </c>
      <c r="C40" s="30" cm="1">
        <f t="array" aca="1" ref="C40" ca="1">_xll.BQL($A40, "#itm().value as #v", "#itm=cf_free_cash_flow(fpt=q,fpo=range(-13,2),ae=ae,currency='USD')/1m","showids=f","transpose=t","showheaders=f")</f>
        <v/>
      </c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30" t="n"/>
      <c r="Q40" s="31" t="n"/>
      <c r="R40" s="31" t="n"/>
    </row>
    <row r="41">
      <c r="A41" s="19">
        <f>Tickers!$D$41</f>
        <v/>
      </c>
      <c r="B41" s="19">
        <f>'Semi Rev'!$B41</f>
        <v/>
      </c>
      <c r="C41" s="30" cm="1">
        <f t="array" aca="1" ref="C41" ca="1">_xll.BQL($A41, "#itm().value as #v", "#itm=cf_free_cash_flow(fpt=q,fpo=range(-13,2),ae=ae,currency='USD')/1m","showids=f","transpose=t","showheaders=f")</f>
        <v/>
      </c>
      <c r="D41" s="30" t="n"/>
      <c r="E41" s="30" t="n"/>
      <c r="F41" s="30" t="n"/>
      <c r="G41" s="30" t="n"/>
      <c r="H41" s="30" t="n"/>
      <c r="I41" s="30" t="n"/>
      <c r="J41" s="30" t="n"/>
      <c r="K41" s="30" t="n"/>
      <c r="L41" s="30" t="n"/>
      <c r="M41" s="30" t="n"/>
      <c r="N41" s="30" t="n"/>
      <c r="O41" s="30" t="n"/>
      <c r="P41" s="30" t="n"/>
      <c r="Q41" s="31" t="n"/>
      <c r="R41" s="31" t="n"/>
    </row>
    <row r="42">
      <c r="A42" s="19">
        <f>Tickers!$D$42</f>
        <v/>
      </c>
      <c r="B42" s="19">
        <f>'Semi Rev'!$B42</f>
        <v/>
      </c>
      <c r="C42" s="30" cm="1">
        <f t="array" aca="1" ref="C42" ca="1">_xll.BQL($A42, "#itm().value as #v", "#itm=cf_free_cash_flow(fpt=q,fpo=range(-13,2),ae=ae,currency='USD')/1m","showids=f","transpose=t","showheaders=f")</f>
        <v/>
      </c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30" t="n"/>
      <c r="P42" s="30" t="n"/>
      <c r="Q42" s="31" t="n"/>
      <c r="R42" s="31" t="n"/>
    </row>
    <row r="43">
      <c r="A43" s="19">
        <f>Tickers!$D$43</f>
        <v/>
      </c>
      <c r="B43" s="19">
        <f>'Semi Rev'!$B43</f>
        <v/>
      </c>
      <c r="C43" s="30" cm="1">
        <f t="array" aca="1" ref="C43" ca="1">_xll.BQL($A43, "#itm().value as #v", "#itm=cf_free_cash_flow(fpt=q,fpo=range(-13,2),ae=ae,currency='USD')/1m","showids=f","transpose=t","showheaders=f")</f>
        <v/>
      </c>
      <c r="D43" s="30" t="n"/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30" t="n"/>
      <c r="Q43" s="31" t="n"/>
      <c r="R43" s="31" t="n"/>
    </row>
    <row r="44">
      <c r="A44" s="19">
        <f>Tickers!$D$44</f>
        <v/>
      </c>
      <c r="B44" s="19">
        <f>'Semi Rev'!$B44</f>
        <v/>
      </c>
      <c r="C44" s="30" cm="1">
        <f t="array" aca="1" ref="C44" ca="1">_xll.BQL($A44, "#itm().value as #v", "#itm=cf_free_cash_flow(fpt=q,fpo=range(-13,2),ae=ae,currency='USD')/1m","showids=f","transpose=t","showheaders=f")</f>
        <v/>
      </c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0" t="n"/>
      <c r="O44" s="30" t="n"/>
      <c r="P44" s="30" t="n"/>
      <c r="Q44" s="31" t="n"/>
      <c r="R44" s="31" t="n"/>
    </row>
    <row r="45">
      <c r="A45" s="19">
        <f>Tickers!$D$45</f>
        <v/>
      </c>
      <c r="B45" s="19">
        <f>'Semi Rev'!$B45</f>
        <v/>
      </c>
      <c r="C45" s="30" cm="1">
        <f t="array" aca="1" ref="C45" ca="1">_xll.BQL($A45, "#itm().value as #v", "#itm=cf_free_cash_flow(fpt=q,fpo=range(-13,2),ae=ae,currency='USD')/1m","showids=f","transpose=t","showheaders=f")</f>
        <v/>
      </c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n"/>
      <c r="M45" s="30" t="n"/>
      <c r="N45" s="30" t="n"/>
      <c r="O45" s="30" t="n"/>
      <c r="P45" s="30" t="n"/>
      <c r="Q45" s="31" t="n"/>
      <c r="R45" s="31" t="n"/>
    </row>
    <row r="46">
      <c r="A46" s="19">
        <f>Tickers!$D$46</f>
        <v/>
      </c>
      <c r="B46" s="19">
        <f>'Semi Rev'!$B46</f>
        <v/>
      </c>
      <c r="C46" s="30" cm="1">
        <f t="array" aca="1" ref="C46" ca="1">_xll.BQL($A46, "#itm().value as #v", "#itm=cf_free_cash_flow(fpt=q,fpo=range(-13,2),ae=ae,currency='USD')/1m","showids=f","transpose=t","showheaders=f")</f>
        <v/>
      </c>
      <c r="D46" s="30" t="n"/>
      <c r="E46" s="30" t="n"/>
      <c r="F46" s="30" t="n"/>
      <c r="G46" s="30" t="n"/>
      <c r="H46" s="30" t="n"/>
      <c r="I46" s="30" t="n"/>
      <c r="J46" s="30" t="n"/>
      <c r="K46" s="30" t="n"/>
      <c r="L46" s="30" t="n"/>
      <c r="M46" s="30" t="n"/>
      <c r="N46" s="30" t="n"/>
      <c r="O46" s="30" t="n"/>
      <c r="P46" s="30" t="n"/>
      <c r="Q46" s="31" t="n"/>
      <c r="R46" s="31" t="n"/>
    </row>
    <row r="47">
      <c r="A47" s="19">
        <f>Tickers!$D$47</f>
        <v/>
      </c>
      <c r="B47" s="19">
        <f>'Semi Rev'!$B47</f>
        <v/>
      </c>
      <c r="C47" s="30" cm="1">
        <f t="array" aca="1" ref="C47" ca="1">_xll.BQL($A47, "#itm().value as #v", "#itm=cf_free_cash_flow(fpt=q,fpo=range(-13,2),ae=ae,currency='USD')/1m","showids=f","transpose=t","showheaders=f")</f>
        <v/>
      </c>
      <c r="D47" s="30" t="n"/>
      <c r="E47" s="30" t="n"/>
      <c r="F47" s="30" t="n"/>
      <c r="G47" s="30" t="n"/>
      <c r="H47" s="30" t="n"/>
      <c r="I47" s="30" t="n"/>
      <c r="J47" s="30" t="n"/>
      <c r="K47" s="30" t="n"/>
      <c r="L47" s="30" t="n"/>
      <c r="M47" s="30" t="n"/>
      <c r="N47" s="30" t="n"/>
      <c r="O47" s="30" t="n"/>
      <c r="P47" s="30" t="n"/>
      <c r="Q47" s="31" t="n"/>
      <c r="R47" s="31" t="n"/>
    </row>
    <row r="48">
      <c r="A48" s="19">
        <f>Tickers!$D$48</f>
        <v/>
      </c>
      <c r="B48" s="19">
        <f>'Semi Rev'!$B48</f>
        <v/>
      </c>
      <c r="C48" s="30" cm="1">
        <f t="array" aca="1" ref="C48" ca="1">_xll.BQL($A48, "#itm().value as #v", "#itm=cf_free_cash_flow(fpt=q,fpo=range(-13,2),ae=ae,currency='USD')/1m","showids=f","transpose=t","showheaders=f")</f>
        <v/>
      </c>
      <c r="D48" s="30" t="n"/>
      <c r="E48" s="30" t="n"/>
      <c r="F48" s="30" t="n"/>
      <c r="G48" s="30" t="n"/>
      <c r="H48" s="30" t="n"/>
      <c r="I48" s="30" t="n"/>
      <c r="J48" s="30" t="n"/>
      <c r="K48" s="30" t="n"/>
      <c r="L48" s="30" t="n"/>
      <c r="M48" s="30" t="n"/>
      <c r="N48" s="30" t="n"/>
      <c r="O48" s="30" t="n"/>
      <c r="P48" s="30" t="n"/>
      <c r="Q48" s="31" t="n"/>
      <c r="R48" s="31" t="n"/>
    </row>
    <row r="49">
      <c r="A49" s="19">
        <f>Tickers!$D$49</f>
        <v/>
      </c>
      <c r="B49" s="19">
        <f>'Semi Rev'!$B49</f>
        <v/>
      </c>
      <c r="C49" s="30" cm="1">
        <f t="array" aca="1" ref="C49" ca="1">_xll.BQL($A49, "#itm().value as #v", "#itm=cf_free_cash_flow(fpt=q,fpo=range(-13,2),ae=ae,currency='USD')/1m","showids=f","transpose=t","showheaders=f")</f>
        <v/>
      </c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  <c r="M49" s="30" t="n"/>
      <c r="N49" s="30" t="n"/>
      <c r="O49" s="30" t="n"/>
      <c r="P49" s="30" t="n"/>
      <c r="Q49" s="31" t="n"/>
      <c r="R49" s="31" t="n"/>
    </row>
    <row r="50">
      <c r="A50" s="19">
        <f>Tickers!$D$50</f>
        <v/>
      </c>
      <c r="B50" s="19">
        <f>'Semi Rev'!$B50</f>
        <v/>
      </c>
      <c r="C50" s="30" cm="1">
        <f t="array" aca="1" ref="C50" ca="1">_xll.BQL($A50, "#itm().value as #v", "#itm=cf_free_cash_flow(fpt=q,fpo=range(-13,2),ae=ae,currency='USD')/1m","showids=f","transpose=t","showheaders=f")</f>
        <v/>
      </c>
      <c r="D50" s="30" t="n"/>
      <c r="E50" s="30" t="n"/>
      <c r="F50" s="30" t="n"/>
      <c r="G50" s="30" t="n"/>
      <c r="H50" s="30" t="n"/>
      <c r="I50" s="30" t="n"/>
      <c r="J50" s="30" t="n"/>
      <c r="K50" s="30" t="n"/>
      <c r="L50" s="30" t="n"/>
      <c r="M50" s="30" t="n"/>
      <c r="N50" s="30" t="n"/>
      <c r="O50" s="30" t="n"/>
      <c r="P50" s="30" t="n"/>
      <c r="Q50" s="31" t="n"/>
      <c r="R50" s="31" t="n"/>
    </row>
    <row r="51">
      <c r="A51" s="19">
        <f>Tickers!$D$51</f>
        <v/>
      </c>
      <c r="B51" s="19">
        <f>'Semi Rev'!$B51</f>
        <v/>
      </c>
      <c r="C51" s="30" cm="1">
        <f t="array" aca="1" ref="C51" ca="1">_xll.BQL($A51, "#itm().value as #v", "#itm=cf_free_cash_flow(fpt=q,fpo=range(-13,2),ae=ae,currency='USD')/1m","showids=f","transpose=t","showheaders=f")</f>
        <v/>
      </c>
      <c r="D51" s="30" t="n"/>
      <c r="E51" s="30" t="n"/>
      <c r="F51" s="30" t="n"/>
      <c r="G51" s="30" t="n"/>
      <c r="H51" s="30" t="n"/>
      <c r="I51" s="30" t="n"/>
      <c r="J51" s="30" t="n"/>
      <c r="K51" s="30" t="n"/>
      <c r="L51" s="30" t="n"/>
      <c r="M51" s="30" t="n"/>
      <c r="N51" s="30" t="n"/>
      <c r="O51" s="30" t="n"/>
      <c r="P51" s="30" t="n"/>
      <c r="Q51" s="31" t="n"/>
      <c r="R51" s="31" t="n"/>
    </row>
    <row r="52">
      <c r="A52" s="19">
        <f>Tickers!$D$52</f>
        <v/>
      </c>
      <c r="B52" s="19">
        <f>'Semi Rev'!$B52</f>
        <v/>
      </c>
      <c r="C52" s="30" cm="1">
        <f t="array" aca="1" ref="C52" ca="1">_xll.BQL($A52, "#itm().value as #v", "#itm=cf_free_cash_flow(fpt=q,fpo=range(-13,2),ae=ae,currency='USD')/1m","showids=f","transpose=t","showheaders=f")</f>
        <v/>
      </c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30" t="n"/>
      <c r="P52" s="30" t="n"/>
      <c r="Q52" s="31" t="n"/>
      <c r="R52" s="31" t="n"/>
    </row>
    <row r="53">
      <c r="A53" s="19">
        <f>Tickers!$D$53</f>
        <v/>
      </c>
      <c r="B53" s="19">
        <f>'Semi Rev'!$B53</f>
        <v/>
      </c>
      <c r="C53" s="30" cm="1">
        <f t="array" aca="1" ref="C53" ca="1">_xll.BQL($A53, "#itm().value as #v", "#itm=cf_free_cash_flow(fpt=q,fpo=range(-13,2),ae=ae,currency='USD')/1m","showids=f","transpose=t","showheaders=f")</f>
        <v/>
      </c>
      <c r="D53" s="30" t="n"/>
      <c r="E53" s="30" t="n"/>
      <c r="F53" s="30" t="n"/>
      <c r="G53" s="30" t="n"/>
      <c r="H53" s="30" t="n"/>
      <c r="I53" s="30" t="n"/>
      <c r="J53" s="30" t="n"/>
      <c r="K53" s="30" t="n"/>
      <c r="L53" s="30" t="n"/>
      <c r="M53" s="30" t="n"/>
      <c r="N53" s="30" t="n"/>
      <c r="O53" s="30" t="n"/>
      <c r="P53" s="30" t="n"/>
      <c r="Q53" s="31" t="n"/>
      <c r="R53" s="31" t="n"/>
    </row>
    <row r="54">
      <c r="A54" s="19">
        <f>Tickers!$D$54</f>
        <v/>
      </c>
      <c r="B54" s="19">
        <f>'Semi Rev'!$B54</f>
        <v/>
      </c>
      <c r="C54" s="30" cm="1">
        <f t="array" aca="1" ref="C54" ca="1">_xll.BQL($A54, "#itm().value as #v", "#itm=cf_free_cash_flow(fpt=q,fpo=range(-13,2),ae=ae,currency='USD')/1m","showids=f","transpose=t","showheaders=f")</f>
        <v/>
      </c>
      <c r="D54" s="30" t="n"/>
      <c r="E54" s="30" t="n"/>
      <c r="F54" s="30" t="n"/>
      <c r="G54" s="30" t="n"/>
      <c r="H54" s="30" t="n"/>
      <c r="I54" s="30" t="n"/>
      <c r="J54" s="30" t="n"/>
      <c r="K54" s="30" t="n"/>
      <c r="L54" s="30" t="n"/>
      <c r="M54" s="30" t="n"/>
      <c r="N54" s="30" t="n"/>
      <c r="O54" s="30" t="n"/>
      <c r="P54" s="30" t="n"/>
      <c r="Q54" s="31" t="n"/>
      <c r="R54" s="31" t="n"/>
    </row>
    <row r="55">
      <c r="A55" s="19">
        <f>Tickers!$D$55</f>
        <v/>
      </c>
      <c r="B55" s="19">
        <f>'Semi Rev'!$B55</f>
        <v/>
      </c>
      <c r="C55" s="30" cm="1">
        <f t="array" aca="1" ref="C55" ca="1">_xll.BQL($A55, "#itm().value as #v", "#itm=cf_free_cash_flow(fpt=q,fpo=range(-13,2),ae=ae,currency='USD')/1m","showids=f","transpose=t","showheaders=f")</f>
        <v/>
      </c>
      <c r="D55" s="30" t="n"/>
      <c r="E55" s="30" t="n"/>
      <c r="F55" s="30" t="n"/>
      <c r="G55" s="30" t="n"/>
      <c r="H55" s="30" t="n"/>
      <c r="I55" s="30" t="n"/>
      <c r="J55" s="30" t="n"/>
      <c r="K55" s="30" t="n"/>
      <c r="L55" s="30" t="n"/>
      <c r="M55" s="30" t="n"/>
      <c r="N55" s="30" t="n"/>
      <c r="O55" s="30" t="n"/>
      <c r="P55" s="30" t="n"/>
      <c r="Q55" s="31" t="n"/>
      <c r="R55" s="31" t="n"/>
    </row>
    <row r="56">
      <c r="A56" s="19">
        <f>Tickers!$D$56</f>
        <v/>
      </c>
      <c r="B56" s="19">
        <f>'Semi Rev'!$B56</f>
        <v/>
      </c>
      <c r="C56" s="30" cm="1">
        <f t="array" aca="1" ref="C56" ca="1">_xll.BQL($A56, "#itm().value as #v", "#itm=cf_free_cash_flow(fpt=q,fpo=range(-13,2),ae=ae,currency='USD')/1m","showids=f","transpose=t","showheaders=f")</f>
        <v/>
      </c>
      <c r="D56" s="30" t="n"/>
      <c r="E56" s="30" t="n"/>
      <c r="F56" s="30" t="n"/>
      <c r="G56" s="30" t="n"/>
      <c r="H56" s="30" t="n"/>
      <c r="I56" s="30" t="n"/>
      <c r="J56" s="30" t="n"/>
      <c r="K56" s="30" t="n"/>
      <c r="L56" s="30" t="n"/>
      <c r="M56" s="30" t="n"/>
      <c r="N56" s="30" t="n"/>
      <c r="O56" s="30" t="n"/>
      <c r="P56" s="30" t="n"/>
      <c r="Q56" s="31" t="n"/>
      <c r="R56" s="31" t="n"/>
    </row>
    <row r="57">
      <c r="A57" s="19">
        <f>Tickers!$D$57</f>
        <v/>
      </c>
      <c r="B57" s="19">
        <f>'Semi Rev'!$B57</f>
        <v/>
      </c>
      <c r="C57" s="30" cm="1">
        <f t="array" aca="1" ref="C57" ca="1">_xll.BQL($A57, "#itm().value as #v", "#itm=cf_free_cash_flow(fpt=q,fpo=range(-13,2),ae=ae,currency='USD')/1m","showids=f","transpose=t","showheaders=f")</f>
        <v/>
      </c>
      <c r="D57" s="30" t="n"/>
      <c r="E57" s="30" t="n"/>
      <c r="F57" s="30" t="n"/>
      <c r="G57" s="30" t="n"/>
      <c r="H57" s="30" t="n"/>
      <c r="I57" s="30" t="n"/>
      <c r="J57" s="30" t="n"/>
      <c r="K57" s="30" t="n"/>
      <c r="L57" s="30" t="n"/>
      <c r="M57" s="30" t="n"/>
      <c r="N57" s="30" t="n"/>
      <c r="O57" s="30" t="n"/>
      <c r="P57" s="30" t="n"/>
      <c r="Q57" s="31" t="n"/>
      <c r="R57" s="31" t="n"/>
    </row>
    <row r="58">
      <c r="A58" s="19">
        <f>Tickers!$D$58</f>
        <v/>
      </c>
      <c r="B58" s="19">
        <f>'Semi Rev'!$B58</f>
        <v/>
      </c>
      <c r="C58" s="30" cm="1">
        <f t="array" aca="1" ref="C58" ca="1">_xll.BQL($A58, "#itm().value as #v", "#itm=cf_free_cash_flow(fpt=q,fpo=range(-13,2),ae=ae,currency='USD')/1m","showids=f","transpose=t","showheaders=f")</f>
        <v/>
      </c>
      <c r="D58" s="30" t="n"/>
      <c r="E58" s="30" t="n"/>
      <c r="F58" s="30" t="n"/>
      <c r="G58" s="30" t="n"/>
      <c r="H58" s="30" t="n"/>
      <c r="I58" s="30" t="n"/>
      <c r="J58" s="30" t="n"/>
      <c r="K58" s="30" t="n"/>
      <c r="L58" s="30" t="n"/>
      <c r="M58" s="30" t="n"/>
      <c r="N58" s="30" t="n"/>
      <c r="O58" s="30" t="n"/>
      <c r="P58" s="30" t="n"/>
      <c r="Q58" s="31" t="n"/>
      <c r="R58" s="31" t="n"/>
    </row>
    <row r="59">
      <c r="A59" s="19">
        <f>Tickers!$D$59</f>
        <v/>
      </c>
      <c r="B59" s="19">
        <f>'Semi Rev'!$B59</f>
        <v/>
      </c>
      <c r="C59" s="30" cm="1">
        <f t="array" aca="1" ref="C59" ca="1">_xll.BQL($A59, "#itm().value as #v", "#itm=cf_free_cash_flow(fpt=q,fpo=range(-13,2),ae=ae,currency='USD')/1m","showids=f","transpose=t","showheaders=f")</f>
        <v/>
      </c>
      <c r="D59" s="30" t="n"/>
      <c r="E59" s="30" t="n"/>
      <c r="F59" s="30" t="n"/>
      <c r="G59" s="30" t="n"/>
      <c r="H59" s="30" t="n"/>
      <c r="I59" s="30" t="n"/>
      <c r="J59" s="30" t="n"/>
      <c r="K59" s="30" t="n"/>
      <c r="L59" s="30" t="n"/>
      <c r="M59" s="30" t="n"/>
      <c r="N59" s="30" t="n"/>
      <c r="O59" s="30" t="n"/>
      <c r="P59" s="30" t="n"/>
      <c r="Q59" s="31" t="n"/>
      <c r="R59" s="31" t="n"/>
    </row>
    <row r="60">
      <c r="A60" s="19">
        <f>Tickers!$D$60</f>
        <v/>
      </c>
      <c r="B60" s="19">
        <f>'Semi Rev'!$B60</f>
        <v/>
      </c>
      <c r="C60" s="30" cm="1">
        <f t="array" aca="1" ref="C60" ca="1">_xll.BQL($A60, "#itm().value as #v", "#itm=cf_free_cash_flow(fpt=q,fpo=range(-13,2),ae=ae,currency='USD')/1m","showids=f","transpose=t","showheaders=f")</f>
        <v/>
      </c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1" t="n"/>
      <c r="R60" s="31" t="n"/>
    </row>
    <row r="61">
      <c r="A61" s="19">
        <f>Tickers!$D$61</f>
        <v/>
      </c>
      <c r="B61" s="19">
        <f>'Semi Rev'!$B61</f>
        <v/>
      </c>
      <c r="C61" s="30" cm="1">
        <f t="array" aca="1" ref="C61" ca="1">_xll.BQL($A61, "#itm().value as #v", "#itm=cf_free_cash_flow(fpt=q,fpo=range(-13,2),ae=ae,currency='USD')/1m","showids=f","transpose=t","showheaders=f")</f>
        <v/>
      </c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  <c r="M61" s="30" t="n"/>
      <c r="N61" s="30" t="n"/>
      <c r="O61" s="30" t="n"/>
      <c r="P61" s="30" t="n"/>
      <c r="Q61" s="31" t="n"/>
      <c r="R61" s="31" t="n"/>
    </row>
    <row r="62">
      <c r="A62" s="19">
        <f>Tickers!$D$62</f>
        <v/>
      </c>
      <c r="B62" s="19">
        <f>'Semi Rev'!$B62</f>
        <v/>
      </c>
      <c r="C62" s="30" cm="1">
        <f t="array" aca="1" ref="C62" ca="1">_xll.BQL($A62, "#itm().value as #v", "#itm=cf_free_cash_flow(fpt=q,fpo=range(-13,2),ae=ae,currency='USD')/1m","showids=f","transpose=t","showheaders=f")</f>
        <v/>
      </c>
      <c r="D62" s="30" t="n"/>
      <c r="E62" s="30" t="n"/>
      <c r="F62" s="30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30" t="n"/>
      <c r="P62" s="30" t="n"/>
      <c r="Q62" s="31" t="n"/>
      <c r="R62" s="31" t="n"/>
    </row>
    <row r="63">
      <c r="A63" s="19">
        <f>Tickers!$D$63</f>
        <v/>
      </c>
      <c r="B63" s="19">
        <f>'Semi Rev'!$B63</f>
        <v/>
      </c>
      <c r="C63" s="30" cm="1">
        <f t="array" aca="1" ref="C63" ca="1">_xll.BQL($A63, "#itm().value as #v", "#itm=cf_free_cash_flow(fpt=q,fpo=range(-13,2),ae=ae,currency='USD')/1m","showids=f","transpose=t","showheaders=f")</f>
        <v/>
      </c>
      <c r="D63" s="30" t="n"/>
      <c r="E63" s="30" t="n"/>
      <c r="F63" s="30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30" t="n"/>
      <c r="P63" s="30" t="n"/>
      <c r="Q63" s="31" t="n"/>
      <c r="R63" s="31" t="n"/>
    </row>
    <row r="64">
      <c r="A64" s="19">
        <f>Tickers!$D$64</f>
        <v/>
      </c>
      <c r="B64" s="19">
        <f>'Semi Rev'!$B64</f>
        <v/>
      </c>
      <c r="C64" s="30" cm="1">
        <f t="array" aca="1" ref="C64" ca="1">_xll.BQL($A64, "#itm().value as #v", "#itm=cf_free_cash_flow(fpt=q,fpo=range(-13,2),ae=ae,currency='USD')/1m","showids=f","transpose=t","showheaders=f")</f>
        <v/>
      </c>
      <c r="D64" s="30" t="n"/>
      <c r="E64" s="30" t="n"/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30" t="n"/>
      <c r="Q64" s="31" t="n"/>
      <c r="R64" s="31" t="n"/>
    </row>
    <row r="65">
      <c r="A65" s="19">
        <f>Tickers!$D$65</f>
        <v/>
      </c>
      <c r="B65" s="19">
        <f>'Semi Rev'!$B65</f>
        <v/>
      </c>
      <c r="C65" s="30" cm="1">
        <f t="array" aca="1" ref="C65" ca="1">_xll.BQL($A65, "#itm().value as #v", "#itm=cf_free_cash_flow(fpt=q,fpo=range(-13,2),ae=ae,currency='USD')/1m","showids=f","transpose=t","showheaders=f")</f>
        <v/>
      </c>
      <c r="D65" s="30" t="n"/>
      <c r="E65" s="30" t="n"/>
      <c r="F65" s="30" t="n"/>
      <c r="G65" s="30" t="n"/>
      <c r="H65" s="30" t="n"/>
      <c r="I65" s="30" t="n"/>
      <c r="J65" s="30" t="n"/>
      <c r="K65" s="30" t="n"/>
      <c r="L65" s="30" t="n"/>
      <c r="M65" s="30" t="n"/>
      <c r="N65" s="30" t="n"/>
      <c r="O65" s="30" t="n"/>
      <c r="P65" s="30" t="n"/>
      <c r="Q65" s="31" t="n"/>
      <c r="R65" s="31" t="n"/>
    </row>
    <row r="66">
      <c r="A66" s="19">
        <f>Tickers!$D$66</f>
        <v/>
      </c>
      <c r="B66" s="19">
        <f>'Semi Rev'!$B66</f>
        <v/>
      </c>
      <c r="C66" s="30" cm="1">
        <f t="array" aca="1" ref="C66" ca="1">_xll.BQL($A66, "#itm().value as #v", "#itm=cf_free_cash_flow(fpt=q,fpo=range(-13,2),ae=ae,currency='USD')/1m","showids=f","transpose=t","showheaders=f")</f>
        <v/>
      </c>
      <c r="D66" s="30" t="n"/>
      <c r="E66" s="30" t="n"/>
      <c r="F66" s="30" t="n"/>
      <c r="G66" s="30" t="n"/>
      <c r="H66" s="30" t="n"/>
      <c r="I66" s="30" t="n"/>
      <c r="J66" s="30" t="n"/>
      <c r="K66" s="30" t="n"/>
      <c r="L66" s="30" t="n"/>
      <c r="M66" s="30" t="n"/>
      <c r="N66" s="30" t="n"/>
      <c r="O66" s="30" t="n"/>
      <c r="P66" s="30" t="n"/>
      <c r="Q66" s="31" t="n"/>
      <c r="R66" s="31" t="n"/>
    </row>
    <row r="67">
      <c r="A67" s="19">
        <f>Tickers!$D$67</f>
        <v/>
      </c>
      <c r="B67" s="19">
        <f>'Semi Rev'!$B67</f>
        <v/>
      </c>
      <c r="C67" s="30" cm="1">
        <f t="array" aca="1" ref="C67" ca="1">_xll.BQL($A67, "#itm().value as #v", "#itm=cf_free_cash_flow(fpt=q,fpo=range(-13,2),ae=ae,currency='USD')/1m","showids=f","transpose=t","showheaders=f")</f>
        <v/>
      </c>
      <c r="D67" s="30" t="n"/>
      <c r="E67" s="30" t="n"/>
      <c r="F67" s="30" t="n"/>
      <c r="G67" s="30" t="n"/>
      <c r="H67" s="30" t="n"/>
      <c r="I67" s="30" t="n"/>
      <c r="J67" s="30" t="n"/>
      <c r="K67" s="30" t="n"/>
      <c r="L67" s="30" t="n"/>
      <c r="M67" s="30" t="n"/>
      <c r="N67" s="30" t="n"/>
      <c r="O67" s="30" t="n"/>
      <c r="P67" s="30" t="n"/>
      <c r="Q67" s="31" t="n"/>
      <c r="R67" s="31" t="n"/>
    </row>
    <row r="68">
      <c r="A68" s="19">
        <f>Tickers!$D$68</f>
        <v/>
      </c>
      <c r="B68" s="19">
        <f>'Semi Rev'!$B68</f>
        <v/>
      </c>
      <c r="C68" s="30" cm="1">
        <f t="array" aca="1" ref="C68" ca="1">_xll.BQL($A68, "#itm().value as #v", "#itm=cf_free_cash_flow(fpt=q,fpo=range(-13,2),ae=ae,currency='USD')/1m","showids=f","transpose=t","showheaders=f")</f>
        <v/>
      </c>
      <c r="D68" s="30" t="n"/>
      <c r="E68" s="30" t="n"/>
      <c r="F68" s="30" t="n"/>
      <c r="G68" s="30" t="n"/>
      <c r="H68" s="30" t="n"/>
      <c r="I68" s="30" t="n"/>
      <c r="J68" s="30" t="n"/>
      <c r="K68" s="30" t="n"/>
      <c r="L68" s="30" t="n"/>
      <c r="M68" s="30" t="n"/>
      <c r="N68" s="30" t="n"/>
      <c r="O68" s="30" t="n"/>
      <c r="P68" s="30" t="n"/>
      <c r="Q68" s="31" t="n"/>
      <c r="R68" s="31" t="n"/>
    </row>
    <row r="69">
      <c r="A69" s="19">
        <f>Tickers!$D$69</f>
        <v/>
      </c>
      <c r="B69" s="19">
        <f>'Semi Rev'!$B69</f>
        <v/>
      </c>
      <c r="C69" s="30" cm="1">
        <f t="array" aca="1" ref="C69" ca="1">_xll.BQL($A69, "#itm().value as #v", "#itm=cf_free_cash_flow(fpt=q,fpo=range(-13,2),ae=ae,currency='USD')/1m","showids=f","transpose=t","showheaders=f")</f>
        <v/>
      </c>
      <c r="D69" s="30" t="n"/>
      <c r="E69" s="30" t="n"/>
      <c r="F69" s="30" t="n"/>
      <c r="G69" s="30" t="n"/>
      <c r="H69" s="30" t="n"/>
      <c r="I69" s="30" t="n"/>
      <c r="J69" s="30" t="n"/>
      <c r="K69" s="30" t="n"/>
      <c r="L69" s="30" t="n"/>
      <c r="M69" s="30" t="n"/>
      <c r="N69" s="30" t="n"/>
      <c r="O69" s="30" t="n"/>
      <c r="P69" s="30" t="n"/>
      <c r="Q69" s="31" t="n"/>
      <c r="R69" s="31" t="n"/>
    </row>
    <row r="70">
      <c r="A70" s="19">
        <f>Tickers!$D$70</f>
        <v/>
      </c>
      <c r="B70" s="19">
        <f>'Semi Rev'!$B70</f>
        <v/>
      </c>
      <c r="C70" s="30" cm="1">
        <f t="array" aca="1" ref="C70" ca="1">_xll.BQL($A70, "#itm().value as #v", "#itm=cf_free_cash_flow(fpt=q,fpo=range(-13,2),ae=ae,currency='USD')/1m","showids=f","transpose=t","showheaders=f")</f>
        <v/>
      </c>
      <c r="D70" s="30" t="n"/>
      <c r="E70" s="30" t="n"/>
      <c r="F70" s="30" t="n"/>
      <c r="G70" s="30" t="n"/>
      <c r="H70" s="30" t="n"/>
      <c r="I70" s="30" t="n"/>
      <c r="J70" s="30" t="n"/>
      <c r="K70" s="30" t="n"/>
      <c r="L70" s="30" t="n"/>
      <c r="M70" s="30" t="n"/>
      <c r="N70" s="30" t="n"/>
      <c r="O70" s="30" t="n"/>
      <c r="P70" s="30" t="n"/>
      <c r="Q70" s="31" t="n"/>
      <c r="R70" s="31" t="n"/>
    </row>
    <row r="71">
      <c r="A71" s="19">
        <f>Tickers!$D$71</f>
        <v/>
      </c>
      <c r="B71" s="19">
        <f>'Semi Rev'!$B71</f>
        <v/>
      </c>
      <c r="C71" s="30" cm="1">
        <f t="array" aca="1" ref="C71" ca="1">_xll.BQL($A71, "#itm().value as #v", "#itm=cf_free_cash_flow(fpt=q,fpo=range(-13,2),ae=ae,currency='USD')/1m","showids=f","transpose=t","showheaders=f")</f>
        <v/>
      </c>
      <c r="D71" s="30" t="n"/>
      <c r="E71" s="30" t="n"/>
      <c r="F71" s="30" t="n"/>
      <c r="G71" s="30" t="n"/>
      <c r="H71" s="30" t="n"/>
      <c r="I71" s="30" t="n"/>
      <c r="J71" s="30" t="n"/>
      <c r="K71" s="30" t="n"/>
      <c r="L71" s="30" t="n"/>
      <c r="M71" s="30" t="n"/>
      <c r="N71" s="30" t="n"/>
      <c r="O71" s="30" t="n"/>
      <c r="P71" s="30" t="n"/>
      <c r="Q71" s="31" t="n"/>
      <c r="R71" s="31" t="n"/>
    </row>
    <row r="72">
      <c r="A72" s="19">
        <f>Tickers!$D$72</f>
        <v/>
      </c>
      <c r="B72" s="19">
        <f>'Semi Rev'!$B72</f>
        <v/>
      </c>
      <c r="C72" s="30" cm="1">
        <f t="array" aca="1" ref="C72" ca="1">_xll.BQL($A72, "#itm().value as #v", "#itm=cf_free_cash_flow(fpt=q,fpo=range(-13,2),ae=ae,currency='USD')/1m","showids=f","transpose=t","showheaders=f")</f>
        <v/>
      </c>
      <c r="D72" s="30" t="n"/>
      <c r="E72" s="30" t="n"/>
      <c r="F72" s="30" t="n"/>
      <c r="G72" s="30" t="n"/>
      <c r="H72" s="30" t="n"/>
      <c r="I72" s="30" t="n"/>
      <c r="J72" s="30" t="n"/>
      <c r="K72" s="30" t="n"/>
      <c r="L72" s="30" t="n"/>
      <c r="M72" s="30" t="n"/>
      <c r="N72" s="30" t="n"/>
      <c r="O72" s="30" t="n"/>
      <c r="P72" s="30" t="n"/>
      <c r="Q72" s="31" t="n"/>
      <c r="R72" s="31" t="n"/>
    </row>
    <row r="73">
      <c r="A73" s="19">
        <f>Tickers!$D$73</f>
        <v/>
      </c>
      <c r="B73" s="19">
        <f>'Semi Rev'!$B73</f>
        <v/>
      </c>
      <c r="C73" s="30" cm="1">
        <f t="array" aca="1" ref="C73" ca="1">_xll.BQL($A73, "#itm().value as #v", "#itm=cf_free_cash_flow(fpt=q,fpo=range(-13,2),ae=ae,currency='USD')/1m","showids=f","transpose=t","showheaders=f")</f>
        <v/>
      </c>
      <c r="D73" s="30" t="n"/>
      <c r="E73" s="30" t="n"/>
      <c r="F73" s="30" t="n"/>
      <c r="G73" s="30" t="n"/>
      <c r="H73" s="30" t="n"/>
      <c r="I73" s="30" t="n"/>
      <c r="J73" s="30" t="n"/>
      <c r="K73" s="30" t="n"/>
      <c r="L73" s="30" t="n"/>
      <c r="M73" s="30" t="n"/>
      <c r="N73" s="30" t="n"/>
      <c r="O73" s="30" t="n"/>
      <c r="P73" s="30" t="n"/>
      <c r="Q73" s="31" t="n"/>
      <c r="R73" s="31" t="n"/>
    </row>
    <row r="74">
      <c r="A74" s="19">
        <f>Tickers!$D$74</f>
        <v/>
      </c>
      <c r="B74" s="19">
        <f>'Semi Rev'!$B74</f>
        <v/>
      </c>
      <c r="C74" s="30" cm="1">
        <f t="array" aca="1" ref="C74" ca="1">_xll.BQL($A74, "#itm().value as #v", "#itm=cf_free_cash_flow(fpt=q,fpo=range(-13,2),ae=ae,currency='USD')/1m","showids=f","transpose=t","showheaders=f")</f>
        <v/>
      </c>
      <c r="D74" s="30" t="n"/>
      <c r="E74" s="30" t="n"/>
      <c r="F74" s="30" t="n"/>
      <c r="G74" s="30" t="n"/>
      <c r="H74" s="30" t="n"/>
      <c r="I74" s="30" t="n"/>
      <c r="J74" s="30" t="n"/>
      <c r="K74" s="30" t="n"/>
      <c r="L74" s="30" t="n"/>
      <c r="M74" s="30" t="n"/>
      <c r="N74" s="30" t="n"/>
      <c r="O74" s="30" t="n"/>
      <c r="P74" s="30" t="n"/>
      <c r="Q74" s="31" t="n"/>
      <c r="R74" s="31" t="n"/>
    </row>
    <row r="75">
      <c r="A75" s="19">
        <f>Tickers!$D$75</f>
        <v/>
      </c>
      <c r="B75" s="19">
        <f>'Semi Rev'!$B75</f>
        <v/>
      </c>
      <c r="C75" s="30" cm="1">
        <f t="array" aca="1" ref="C75" ca="1">_xll.BQL($A75, "#itm().value as #v", "#itm=cf_free_cash_flow(fpt=q,fpo=range(-13,2),ae=ae,currency='USD')/1m","showids=f","transpose=t","showheaders=f")</f>
        <v/>
      </c>
      <c r="D75" s="30" t="n"/>
      <c r="E75" s="30" t="n"/>
      <c r="F75" s="30" t="n"/>
      <c r="G75" s="30" t="n"/>
      <c r="H75" s="30" t="n"/>
      <c r="I75" s="30" t="n"/>
      <c r="J75" s="30" t="n"/>
      <c r="K75" s="30" t="n"/>
      <c r="L75" s="30" t="n"/>
      <c r="M75" s="30" t="n"/>
      <c r="N75" s="30" t="n"/>
      <c r="O75" s="30" t="n"/>
      <c r="P75" s="30" t="n"/>
      <c r="Q75" s="31" t="n"/>
      <c r="R75" s="31" t="n"/>
    </row>
    <row r="76">
      <c r="A76" s="19">
        <f>Tickers!$D$76</f>
        <v/>
      </c>
      <c r="B76" s="19">
        <f>'Semi Rev'!$B76</f>
        <v/>
      </c>
      <c r="C76" s="30" cm="1">
        <f t="array" aca="1" ref="C76" ca="1">_xll.BQL($A76, "#itm().value as #v", "#itm=cf_free_cash_flow(fpt=q,fpo=range(-13,2),ae=ae,currency='USD')/1m","showids=f","transpose=t","showheaders=f")</f>
        <v/>
      </c>
      <c r="D76" s="30" t="n"/>
      <c r="E76" s="30" t="n"/>
      <c r="F76" s="30" t="n"/>
      <c r="G76" s="30" t="n"/>
      <c r="H76" s="30" t="n"/>
      <c r="I76" s="30" t="n"/>
      <c r="J76" s="30" t="n"/>
      <c r="K76" s="30" t="n"/>
      <c r="L76" s="30" t="n"/>
      <c r="M76" s="30" t="n"/>
      <c r="N76" s="30" t="n"/>
      <c r="O76" s="30" t="n"/>
      <c r="P76" s="30" t="n"/>
      <c r="Q76" s="31" t="n"/>
      <c r="R76" s="31" t="n"/>
    </row>
    <row r="77">
      <c r="A77" s="19">
        <f>Tickers!$D$77</f>
        <v/>
      </c>
      <c r="B77" s="19">
        <f>'Semi Rev'!$B77</f>
        <v/>
      </c>
      <c r="C77" s="30" cm="1">
        <f t="array" aca="1" ref="C77" ca="1">_xll.BQL($A77, "#itm().value as #v", "#itm=cf_free_cash_flow(fpt=q,fpo=range(-13,2),ae=ae,currency='USD')/1m","showids=f","transpose=t","showheaders=f")</f>
        <v/>
      </c>
      <c r="D77" s="30" t="n"/>
      <c r="E77" s="30" t="n"/>
      <c r="F77" s="30" t="n"/>
      <c r="G77" s="30" t="n"/>
      <c r="H77" s="30" t="n"/>
      <c r="I77" s="30" t="n"/>
      <c r="J77" s="30" t="n"/>
      <c r="K77" s="30" t="n"/>
      <c r="L77" s="30" t="n"/>
      <c r="M77" s="30" t="n"/>
      <c r="N77" s="30" t="n"/>
      <c r="O77" s="30" t="n"/>
      <c r="P77" s="30" t="n"/>
      <c r="Q77" s="31" t="n"/>
      <c r="R77" s="31" t="n"/>
    </row>
    <row r="78">
      <c r="A78" s="19">
        <f>Tickers!$D$78</f>
        <v/>
      </c>
      <c r="B78" s="19">
        <f>'Semi Rev'!$B78</f>
        <v/>
      </c>
      <c r="C78" s="30" cm="1">
        <f t="array" aca="1" ref="C78" ca="1">_xll.BQL($A78, "#itm().value as #v", "#itm=cf_free_cash_flow(fpt=q,fpo=range(-13,2),ae=ae,currency='USD')/1m","showids=f","transpose=t","showheaders=f")</f>
        <v/>
      </c>
      <c r="D78" s="30" t="n"/>
      <c r="E78" s="30" t="n"/>
      <c r="F78" s="30" t="n"/>
      <c r="G78" s="30" t="n"/>
      <c r="H78" s="30" t="n"/>
      <c r="I78" s="30" t="n"/>
      <c r="J78" s="30" t="n"/>
      <c r="K78" s="30" t="n"/>
      <c r="L78" s="30" t="n"/>
      <c r="M78" s="30" t="n"/>
      <c r="N78" s="30" t="n"/>
      <c r="O78" s="30" t="n"/>
      <c r="P78" s="30" t="n"/>
      <c r="Q78" s="31" t="n"/>
      <c r="R78" s="31" t="n"/>
    </row>
    <row r="79">
      <c r="A79" s="19">
        <f>Tickers!$D$79</f>
        <v/>
      </c>
      <c r="B79" s="19">
        <f>'Semi Rev'!$B79</f>
        <v/>
      </c>
      <c r="C79" s="30" cm="1">
        <f t="array" aca="1" ref="C79" ca="1">_xll.BQL($A79, "#itm().value as #v", "#itm=cf_free_cash_flow(fpt=q,fpo=range(-13,2),ae=ae,currency='USD')/1m","showids=f","transpose=t","showheaders=f")</f>
        <v/>
      </c>
      <c r="D79" s="30" t="n"/>
      <c r="E79" s="30" t="n"/>
      <c r="F79" s="30" t="n"/>
      <c r="G79" s="30" t="n"/>
      <c r="H79" s="30" t="n"/>
      <c r="I79" s="30" t="n"/>
      <c r="J79" s="30" t="n"/>
      <c r="K79" s="30" t="n"/>
      <c r="L79" s="30" t="n"/>
      <c r="M79" s="30" t="n"/>
      <c r="N79" s="30" t="n"/>
      <c r="O79" s="30" t="n"/>
      <c r="P79" s="30" t="n"/>
      <c r="Q79" s="31" t="n"/>
      <c r="R79" s="31" t="n"/>
    </row>
    <row r="80">
      <c r="A80" s="19">
        <f>Tickers!$D$80</f>
        <v/>
      </c>
      <c r="B80" s="19">
        <f>'Semi Rev'!$B80</f>
        <v/>
      </c>
      <c r="C80" s="30" cm="1">
        <f t="array" aca="1" ref="C80" ca="1">_xll.BQL($A80, "#itm().value as #v", "#itm=cf_free_cash_flow(fpt=q,fpo=range(-13,2),ae=ae,currency='USD')/1m","showids=f","transpose=t","showheaders=f")</f>
        <v/>
      </c>
      <c r="D80" s="30" t="n"/>
      <c r="E80" s="30" t="n"/>
      <c r="F80" s="30" t="n"/>
      <c r="G80" s="30" t="n"/>
      <c r="H80" s="30" t="n"/>
      <c r="I80" s="30" t="n"/>
      <c r="J80" s="30" t="n"/>
      <c r="K80" s="30" t="n"/>
      <c r="L80" s="30" t="n"/>
      <c r="M80" s="30" t="n"/>
      <c r="N80" s="30" t="n"/>
      <c r="O80" s="30" t="n"/>
      <c r="P80" s="30" t="n"/>
      <c r="Q80" s="31" t="n"/>
      <c r="R80" s="31" t="n"/>
    </row>
    <row r="81">
      <c r="A81" s="19">
        <f>Tickers!$D$81</f>
        <v/>
      </c>
      <c r="B81" s="19">
        <f>'Semi Rev'!$B81</f>
        <v/>
      </c>
      <c r="C81" s="30" cm="1">
        <f t="array" aca="1" ref="C81" ca="1">_xll.BQL($A81, "#itm().value as #v", "#itm=cf_free_cash_flow(fpt=q,fpo=range(-13,2),ae=ae,currency='USD')/1m","showids=f","transpose=t","showheaders=f")</f>
        <v/>
      </c>
      <c r="D81" s="30" t="n"/>
      <c r="E81" s="30" t="n"/>
      <c r="F81" s="30" t="n"/>
      <c r="G81" s="30" t="n"/>
      <c r="H81" s="30" t="n"/>
      <c r="I81" s="30" t="n"/>
      <c r="J81" s="30" t="n"/>
      <c r="K81" s="30" t="n"/>
      <c r="L81" s="30" t="n"/>
      <c r="M81" s="30" t="n"/>
      <c r="N81" s="30" t="n"/>
      <c r="O81" s="30" t="n"/>
      <c r="P81" s="30" t="n"/>
      <c r="Q81" s="31" t="n"/>
      <c r="R81" s="31" t="n"/>
    </row>
    <row r="82">
      <c r="A82" s="19">
        <f>Tickers!$D$82</f>
        <v/>
      </c>
      <c r="B82" s="19">
        <f>'Semi Rev'!$B82</f>
        <v/>
      </c>
      <c r="C82" s="30" cm="1">
        <f t="array" aca="1" ref="C82" ca="1">_xll.BQL($A82, "#itm().value as #v", "#itm=cf_free_cash_flow(fpt=q,fpo=range(-13,2),ae=ae,currency='USD')/1m","showids=f","transpose=t","showheaders=f")</f>
        <v/>
      </c>
      <c r="D82" s="30" t="n"/>
      <c r="E82" s="30" t="n"/>
      <c r="F82" s="30" t="n"/>
      <c r="G82" s="30" t="n"/>
      <c r="H82" s="30" t="n"/>
      <c r="I82" s="30" t="n"/>
      <c r="J82" s="30" t="n"/>
      <c r="K82" s="30" t="n"/>
      <c r="L82" s="30" t="n"/>
      <c r="M82" s="30" t="n"/>
      <c r="N82" s="30" t="n"/>
      <c r="O82" s="30" t="n"/>
      <c r="P82" s="30" t="n"/>
      <c r="Q82" s="31" t="n"/>
      <c r="R82" s="31" t="n"/>
    </row>
    <row r="83">
      <c r="A83" s="19">
        <f>Tickers!$D$83</f>
        <v/>
      </c>
      <c r="B83" s="19">
        <f>'Semi Rev'!$B83</f>
        <v/>
      </c>
      <c r="C83" s="30" cm="1">
        <f t="array" aca="1" ref="C83" ca="1">_xll.BQL($A83, "#itm().value as #v", "#itm=cf_free_cash_flow(fpt=q,fpo=range(-13,2),ae=ae,currency='USD')/1m","showids=f","transpose=t","showheaders=f")</f>
        <v/>
      </c>
      <c r="D83" s="30" t="n"/>
      <c r="E83" s="30" t="n"/>
      <c r="F83" s="30" t="n"/>
      <c r="G83" s="30" t="n"/>
      <c r="H83" s="30" t="n"/>
      <c r="I83" s="30" t="n"/>
      <c r="J83" s="30" t="n"/>
      <c r="K83" s="30" t="n"/>
      <c r="L83" s="30" t="n"/>
      <c r="M83" s="30" t="n"/>
      <c r="N83" s="30" t="n"/>
      <c r="O83" s="30" t="n"/>
      <c r="P83" s="30" t="n"/>
      <c r="Q83" s="31" t="n"/>
      <c r="R83" s="31" t="n"/>
    </row>
    <row r="84">
      <c r="A84" s="19">
        <f>Tickers!$D$84</f>
        <v/>
      </c>
      <c r="B84" s="19">
        <f>'Semi Rev'!$B84</f>
        <v/>
      </c>
      <c r="C84" s="30" cm="1">
        <f t="array" aca="1" ref="C84" ca="1">_xll.BQL($A84, "#itm().value as #v", "#itm=cf_free_cash_flow(fpt=q,fpo=range(-13,2),ae=ae,currency='USD')/1m","showids=f","transpose=t","showheaders=f")</f>
        <v/>
      </c>
      <c r="D84" s="30" t="n"/>
      <c r="E84" s="30" t="n"/>
      <c r="F84" s="30" t="n"/>
      <c r="G84" s="30" t="n"/>
      <c r="H84" s="30" t="n"/>
      <c r="I84" s="30" t="n"/>
      <c r="J84" s="30" t="n"/>
      <c r="K84" s="30" t="n"/>
      <c r="L84" s="30" t="n"/>
      <c r="M84" s="30" t="n"/>
      <c r="N84" s="30" t="n"/>
      <c r="O84" s="30" t="n"/>
      <c r="P84" s="30" t="n"/>
      <c r="Q84" s="31" t="n"/>
      <c r="R84" s="31" t="n"/>
    </row>
    <row r="85">
      <c r="A85" s="19">
        <f>Tickers!$D$85</f>
        <v/>
      </c>
      <c r="B85" s="19">
        <f>'Semi Rev'!$B85</f>
        <v/>
      </c>
      <c r="C85" s="30" cm="1">
        <f t="array" aca="1" ref="C85" ca="1">_xll.BQL($A85, "#itm().value as #v", "#itm=cf_free_cash_flow(fpt=q,fpo=range(-13,2),ae=ae,currency='USD')/1m","showids=f","transpose=t","showheaders=f")</f>
        <v/>
      </c>
      <c r="D85" s="30" t="n"/>
      <c r="E85" s="30" t="n"/>
      <c r="F85" s="30" t="n"/>
      <c r="G85" s="30" t="n"/>
      <c r="H85" s="30" t="n"/>
      <c r="I85" s="30" t="n"/>
      <c r="J85" s="30" t="n"/>
      <c r="K85" s="30" t="n"/>
      <c r="L85" s="30" t="n"/>
      <c r="M85" s="30" t="n"/>
      <c r="N85" s="30" t="n"/>
      <c r="O85" s="30" t="n"/>
      <c r="P85" s="30" t="n"/>
      <c r="Q85" s="31" t="n"/>
      <c r="R85" s="31" t="n"/>
    </row>
    <row r="86">
      <c r="A86" s="19">
        <f>Tickers!$D$86</f>
        <v/>
      </c>
      <c r="B86" s="19">
        <f>'Semi Rev'!$B86</f>
        <v/>
      </c>
      <c r="C86" s="30" cm="1">
        <f t="array" aca="1" ref="C86" ca="1">_xll.BQL($A86, "#itm().value as #v", "#itm=cf_free_cash_flow(fpt=q,fpo=range(-13,2),ae=ae,currency='USD')/1m","showids=f","transpose=t","showheaders=f")</f>
        <v/>
      </c>
      <c r="D86" s="30" t="n"/>
      <c r="E86" s="30" t="n"/>
      <c r="F86" s="30" t="n"/>
      <c r="G86" s="30" t="n"/>
      <c r="H86" s="30" t="n"/>
      <c r="I86" s="30" t="n"/>
      <c r="J86" s="30" t="n"/>
      <c r="K86" s="30" t="n"/>
      <c r="L86" s="30" t="n"/>
      <c r="M86" s="30" t="n"/>
      <c r="N86" s="30" t="n"/>
      <c r="O86" s="30" t="n"/>
      <c r="P86" s="30" t="n"/>
      <c r="Q86" s="31" t="n"/>
      <c r="R86" s="31" t="n"/>
    </row>
    <row r="87">
      <c r="A87" s="19">
        <f>Tickers!$D$87</f>
        <v/>
      </c>
      <c r="B87" s="19">
        <f>'Semi Rev'!$B87</f>
        <v/>
      </c>
      <c r="C87" s="30" cm="1">
        <f t="array" aca="1" ref="C87" ca="1">_xll.BQL($A87, "#itm().value as #v", "#itm=cf_free_cash_flow(fpt=q,fpo=range(-13,2),ae=ae,currency='USD')/1m","showids=f","transpose=t","showheaders=f")</f>
        <v/>
      </c>
      <c r="D87" s="30" t="n"/>
      <c r="E87" s="30" t="n"/>
      <c r="F87" s="30" t="n"/>
      <c r="G87" s="30" t="n"/>
      <c r="H87" s="30" t="n"/>
      <c r="I87" s="30" t="n"/>
      <c r="J87" s="30" t="n"/>
      <c r="K87" s="30" t="n"/>
      <c r="L87" s="30" t="n"/>
      <c r="M87" s="30" t="n"/>
      <c r="N87" s="30" t="n"/>
      <c r="O87" s="30" t="n"/>
      <c r="P87" s="30" t="n"/>
      <c r="Q87" s="31" t="n"/>
      <c r="R87" s="31" t="n"/>
    </row>
    <row r="88">
      <c r="A88" s="19">
        <f>Tickers!$D$88</f>
        <v/>
      </c>
      <c r="B88" s="19">
        <f>'Semi Rev'!$B88</f>
        <v/>
      </c>
      <c r="C88" s="30" cm="1">
        <f t="array" aca="1" ref="C88" ca="1">_xll.BQL($A88, "#itm().value as #v", "#itm=cf_free_cash_flow(fpt=q,fpo=range(-13,2),ae=ae,currency='USD')/1m","showids=f","transpose=t","showheaders=f")</f>
        <v/>
      </c>
      <c r="D88" s="30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30" t="n"/>
      <c r="P88" s="30" t="n"/>
      <c r="Q88" s="31" t="n"/>
      <c r="R88" s="31" t="n"/>
    </row>
    <row r="89">
      <c r="A89" s="19">
        <f>Tickers!$D$89</f>
        <v/>
      </c>
      <c r="B89" s="19">
        <f>'Semi Rev'!$B89</f>
        <v/>
      </c>
      <c r="C89" s="30" cm="1">
        <f t="array" aca="1" ref="C89" ca="1">_xll.BQL($A89, "#itm().value as #v", "#itm=cf_free_cash_flow(fpt=q,fpo=range(-13,2),ae=ae,currency='USD')/1m","showids=f","transpose=t","showheaders=f")</f>
        <v/>
      </c>
      <c r="D89" s="30" t="n"/>
      <c r="E89" s="30" t="n"/>
      <c r="F89" s="30" t="n"/>
      <c r="G89" s="30" t="n"/>
      <c r="H89" s="30" t="n"/>
      <c r="I89" s="30" t="n"/>
      <c r="J89" s="30" t="n"/>
      <c r="K89" s="30" t="n"/>
      <c r="L89" s="30" t="n"/>
      <c r="M89" s="30" t="n"/>
      <c r="N89" s="30" t="n"/>
      <c r="O89" s="30" t="n"/>
      <c r="P89" s="30" t="n"/>
      <c r="Q89" s="31" t="n"/>
      <c r="R89" s="31" t="n"/>
    </row>
    <row r="90">
      <c r="A90" s="19">
        <f>Tickers!$D$90</f>
        <v/>
      </c>
      <c r="B90" s="19">
        <f>'Semi Rev'!$B90</f>
        <v/>
      </c>
      <c r="C90" s="30" cm="1">
        <f t="array" aca="1" ref="C90" ca="1">_xll.BQL($A90, "#itm().value as #v", "#itm=cf_free_cash_flow(fpt=q,fpo=range(-13,2),ae=ae,currency='USD')/1m","showids=f","transpose=t","showheaders=f")</f>
        <v/>
      </c>
      <c r="D90" s="30" t="n"/>
      <c r="E90" s="30" t="n"/>
      <c r="F90" s="30" t="n"/>
      <c r="G90" s="30" t="n"/>
      <c r="H90" s="30" t="n"/>
      <c r="I90" s="30" t="n"/>
      <c r="J90" s="30" t="n"/>
      <c r="K90" s="30" t="n"/>
      <c r="L90" s="30" t="n"/>
      <c r="M90" s="30" t="n"/>
      <c r="N90" s="30" t="n"/>
      <c r="O90" s="30" t="n"/>
      <c r="P90" s="30" t="n"/>
      <c r="Q90" s="31" t="n"/>
      <c r="R90" s="31" t="n"/>
    </row>
    <row r="91">
      <c r="A91" s="19">
        <f>Tickers!$D$91</f>
        <v/>
      </c>
      <c r="B91" s="19">
        <f>'Semi Rev'!$B91</f>
        <v/>
      </c>
      <c r="C91" s="30" cm="1">
        <f t="array" aca="1" ref="C91" ca="1">_xll.BQL($A91, "#itm().value as #v", "#itm=cf_free_cash_flow(fpt=q,fpo=range(-13,2),ae=ae,currency='USD')/1m","showids=f","transpose=t","showheaders=f")</f>
        <v/>
      </c>
      <c r="D91" s="30" t="n"/>
      <c r="E91" s="30" t="n"/>
      <c r="F91" s="30" t="n"/>
      <c r="G91" s="30" t="n"/>
      <c r="H91" s="30" t="n"/>
      <c r="I91" s="30" t="n"/>
      <c r="J91" s="30" t="n"/>
      <c r="K91" s="30" t="n"/>
      <c r="L91" s="30" t="n"/>
      <c r="M91" s="30" t="n"/>
      <c r="N91" s="30" t="n"/>
      <c r="O91" s="30" t="n"/>
      <c r="P91" s="30" t="n"/>
      <c r="Q91" s="31" t="n"/>
      <c r="R91" s="31" t="n"/>
    </row>
    <row r="92">
      <c r="A92" s="19">
        <f>Tickers!$D$92</f>
        <v/>
      </c>
      <c r="B92" s="19">
        <f>'Semi Rev'!$B92</f>
        <v/>
      </c>
      <c r="C92" s="30" cm="1">
        <f t="array" aca="1" ref="C92" ca="1">_xll.BQL($A92, "#itm().value as #v", "#itm=cf_free_cash_flow(fpt=q,fpo=range(-13,2),ae=ae,currency='USD')/1m","showids=f","transpose=t","showheaders=f")</f>
        <v/>
      </c>
      <c r="D92" s="30" t="n"/>
      <c r="E92" s="30" t="n"/>
      <c r="F92" s="30" t="n"/>
      <c r="G92" s="30" t="n"/>
      <c r="H92" s="30" t="n"/>
      <c r="I92" s="30" t="n"/>
      <c r="J92" s="30" t="n"/>
      <c r="K92" s="30" t="n"/>
      <c r="L92" s="30" t="n"/>
      <c r="M92" s="30" t="n"/>
      <c r="N92" s="30" t="n"/>
      <c r="O92" s="30" t="n"/>
      <c r="P92" s="30" t="n"/>
      <c r="Q92" s="31" t="n"/>
      <c r="R92" s="31" t="n"/>
    </row>
    <row r="93">
      <c r="A93" s="19">
        <f>Tickers!$D$93</f>
        <v/>
      </c>
      <c r="B93" s="19">
        <f>'Semi Rev'!$B93</f>
        <v/>
      </c>
      <c r="C93" s="30" cm="1">
        <f t="array" aca="1" ref="C93" ca="1">_xll.BQL($A93, "#itm().value as #v", "#itm=cf_free_cash_flow(fpt=q,fpo=range(-13,2),ae=ae,currency='USD')/1m","showids=f","transpose=t","showheaders=f")</f>
        <v/>
      </c>
      <c r="D93" s="30" t="n"/>
      <c r="E93" s="30" t="n"/>
      <c r="F93" s="30" t="n"/>
      <c r="G93" s="30" t="n"/>
      <c r="H93" s="30" t="n"/>
      <c r="I93" s="30" t="n"/>
      <c r="J93" s="30" t="n"/>
      <c r="K93" s="30" t="n"/>
      <c r="L93" s="30" t="n"/>
      <c r="M93" s="30" t="n"/>
      <c r="N93" s="30" t="n"/>
      <c r="O93" s="30" t="n"/>
      <c r="P93" s="30" t="n"/>
      <c r="Q93" s="31" t="n"/>
      <c r="R93" s="31" t="n"/>
    </row>
    <row r="94">
      <c r="A94" s="19">
        <f>Tickers!$D$94</f>
        <v/>
      </c>
      <c r="B94" s="19">
        <f>'Semi Rev'!$B94</f>
        <v/>
      </c>
      <c r="C94" s="30" cm="1">
        <f t="array" aca="1" ref="C94" ca="1">_xll.BQL($A94, "#itm().value as #v", "#itm=cf_free_cash_flow(fpt=q,fpo=range(-13,2),ae=ae,currency='USD')/1m","showids=f","transpose=t","showheaders=f")</f>
        <v/>
      </c>
      <c r="D94" s="30" t="n"/>
      <c r="E94" s="30" t="n"/>
      <c r="F94" s="30" t="n"/>
      <c r="G94" s="30" t="n"/>
      <c r="H94" s="30" t="n"/>
      <c r="I94" s="30" t="n"/>
      <c r="J94" s="30" t="n"/>
      <c r="K94" s="30" t="n"/>
      <c r="L94" s="30" t="n"/>
      <c r="M94" s="30" t="n"/>
      <c r="N94" s="30" t="n"/>
      <c r="O94" s="30" t="n"/>
      <c r="P94" s="30" t="n"/>
      <c r="Q94" s="31" t="n"/>
      <c r="R94" s="31" t="n"/>
    </row>
    <row r="95">
      <c r="A95" s="19">
        <f>Tickers!$D$95</f>
        <v/>
      </c>
      <c r="B95" s="19">
        <f>'Semi Rev'!$B95</f>
        <v/>
      </c>
      <c r="C95" s="30" cm="1">
        <f t="array" aca="1" ref="C95" ca="1">_xll.BQL($A95, "#itm().value as #v", "#itm=cf_free_cash_flow(fpt=q,fpo=range(-13,2),ae=ae,currency='USD')/1m","showids=f","transpose=t","showheaders=f")</f>
        <v/>
      </c>
      <c r="D95" s="30" t="n"/>
      <c r="E95" s="30" t="n"/>
      <c r="F95" s="30" t="n"/>
      <c r="G95" s="30" t="n"/>
      <c r="H95" s="30" t="n"/>
      <c r="I95" s="30" t="n"/>
      <c r="J95" s="30" t="n"/>
      <c r="K95" s="30" t="n"/>
      <c r="L95" s="30" t="n"/>
      <c r="M95" s="30" t="n"/>
      <c r="N95" s="30" t="n"/>
      <c r="O95" s="30" t="n"/>
      <c r="P95" s="30" t="n"/>
      <c r="Q95" s="31" t="n"/>
      <c r="R95" s="31" t="n"/>
    </row>
    <row r="96">
      <c r="A96" s="19">
        <f>Tickers!$D$96</f>
        <v/>
      </c>
      <c r="B96" s="19">
        <f>'Semi Rev'!$B96</f>
        <v/>
      </c>
      <c r="C96" s="30" cm="1">
        <f t="array" aca="1" ref="C96" ca="1">_xll.BQL($A96, "#itm().value as #v", "#itm=cf_free_cash_flow(fpt=q,fpo=range(-13,2),ae=ae,currency='USD')/1m","showids=f","transpose=t","showheaders=f")</f>
        <v/>
      </c>
      <c r="D96" s="30" t="n"/>
      <c r="E96" s="30" t="n"/>
      <c r="F96" s="30" t="n"/>
      <c r="G96" s="30" t="n"/>
      <c r="H96" s="30" t="n"/>
      <c r="I96" s="30" t="n"/>
      <c r="J96" s="30" t="n"/>
      <c r="K96" s="30" t="n"/>
      <c r="L96" s="30" t="n"/>
      <c r="M96" s="30" t="n"/>
      <c r="N96" s="30" t="n"/>
      <c r="O96" s="30" t="n"/>
      <c r="P96" s="30" t="n"/>
      <c r="Q96" s="31" t="n"/>
      <c r="R96" s="31" t="n"/>
    </row>
    <row r="97">
      <c r="A97" s="19">
        <f>Tickers!$D$97</f>
        <v/>
      </c>
      <c r="B97" s="19">
        <f>'Semi Rev'!$B97</f>
        <v/>
      </c>
      <c r="C97" s="30" cm="1">
        <f t="array" aca="1" ref="C97" ca="1">_xll.BQL($A97, "#itm().value as #v", "#itm=cf_free_cash_flow(fpt=q,fpo=range(-13,2),ae=ae,currency='USD')/1m","showids=f","transpose=t","showheaders=f")</f>
        <v/>
      </c>
      <c r="D97" s="30" t="n"/>
      <c r="E97" s="30" t="n"/>
      <c r="F97" s="30" t="n"/>
      <c r="G97" s="30" t="n"/>
      <c r="H97" s="30" t="n"/>
      <c r="I97" s="30" t="n"/>
      <c r="J97" s="30" t="n"/>
      <c r="K97" s="30" t="n"/>
      <c r="L97" s="30" t="n"/>
      <c r="M97" s="30" t="n"/>
      <c r="N97" s="30" t="n"/>
      <c r="O97" s="30" t="n"/>
      <c r="P97" s="30" t="n"/>
      <c r="Q97" s="31" t="n"/>
      <c r="R97" s="31" t="n"/>
    </row>
    <row r="98">
      <c r="A98" s="19">
        <f>Tickers!$D$98</f>
        <v/>
      </c>
      <c r="B98" s="19">
        <f>'Semi Rev'!$B98</f>
        <v/>
      </c>
      <c r="C98" s="30" cm="1">
        <f t="array" aca="1" ref="C98" ca="1">_xll.BQL($A98, "#itm().value as #v", "#itm=cf_free_cash_flow(fpt=q,fpo=range(-13,2),ae=ae,currency='USD')/1m","showids=f","transpose=t","showheaders=f")</f>
        <v/>
      </c>
      <c r="D98" s="30" t="n"/>
      <c r="E98" s="30" t="n"/>
      <c r="F98" s="30" t="n"/>
      <c r="G98" s="30" t="n"/>
      <c r="H98" s="30" t="n"/>
      <c r="I98" s="30" t="n"/>
      <c r="J98" s="30" t="n"/>
      <c r="K98" s="30" t="n"/>
      <c r="L98" s="30" t="n"/>
      <c r="M98" s="30" t="n"/>
      <c r="N98" s="30" t="n"/>
      <c r="O98" s="30" t="n"/>
      <c r="P98" s="30" t="n"/>
      <c r="Q98" s="31" t="n"/>
      <c r="R98" s="31" t="n"/>
    </row>
    <row r="99">
      <c r="A99" s="19">
        <f>Tickers!$D$99</f>
        <v/>
      </c>
      <c r="B99" s="19">
        <f>'Semi Rev'!$B99</f>
        <v/>
      </c>
      <c r="C99" s="30" cm="1">
        <f t="array" aca="1" ref="C99" ca="1">_xll.BQL($A99, "#itm().value as #v", "#itm=cf_free_cash_flow(fpt=q,fpo=range(-13,2),ae=ae,currency='USD')/1m","showids=f","transpose=t","showheaders=f")</f>
        <v/>
      </c>
      <c r="D99" s="30" t="n"/>
      <c r="E99" s="30" t="n"/>
      <c r="F99" s="30" t="n"/>
      <c r="G99" s="30" t="n"/>
      <c r="H99" s="30" t="n"/>
      <c r="I99" s="30" t="n"/>
      <c r="J99" s="30" t="n"/>
      <c r="K99" s="30" t="n"/>
      <c r="L99" s="30" t="n"/>
      <c r="M99" s="30" t="n"/>
      <c r="N99" s="30" t="n"/>
      <c r="O99" s="30" t="n"/>
      <c r="P99" s="30" t="n"/>
      <c r="Q99" s="31" t="n"/>
      <c r="R99" s="31" t="n"/>
    </row>
    <row r="100">
      <c r="A100" s="19">
        <f>Tickers!$D$100</f>
        <v/>
      </c>
      <c r="B100" s="19">
        <f>'Semi Rev'!$B100</f>
        <v/>
      </c>
      <c r="C100" s="30" cm="1">
        <f t="array" aca="1" ref="C100" ca="1">_xll.BQL($A100, "#itm().value as #v", "#itm=cf_free_cash_flow(fpt=q,fpo=range(-13,2),ae=ae,currency='USD')/1m","showids=f","transpose=t","showheaders=f")</f>
        <v/>
      </c>
      <c r="D100" s="30" t="n"/>
      <c r="E100" s="30" t="n"/>
      <c r="F100" s="30" t="n"/>
      <c r="G100" s="30" t="n"/>
      <c r="H100" s="30" t="n"/>
      <c r="I100" s="30" t="n"/>
      <c r="J100" s="30" t="n"/>
      <c r="K100" s="30" t="n"/>
      <c r="L100" s="30" t="n"/>
      <c r="M100" s="30" t="n"/>
      <c r="N100" s="30" t="n"/>
      <c r="O100" s="30" t="n"/>
      <c r="P100" s="30" t="n"/>
      <c r="Q100" s="31" t="n"/>
      <c r="R100" s="31" t="n"/>
    </row>
    <row r="101">
      <c r="A101" s="19">
        <f>Tickers!$D$101</f>
        <v/>
      </c>
      <c r="B101" s="19">
        <f>'Semi Rev'!$B101</f>
        <v/>
      </c>
      <c r="C101" s="30" cm="1">
        <f t="array" aca="1" ref="C101" ca="1">_xll.BQL($A101, "#itm().value as #v", "#itm=cf_free_cash_flow(fpt=q,fpo=range(-13,2),ae=ae,currency='USD')/1m","showids=f","transpose=t","showheaders=f")</f>
        <v/>
      </c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  <c r="M101" s="30" t="n"/>
      <c r="N101" s="30" t="n"/>
      <c r="O101" s="30" t="n"/>
      <c r="P101" s="30" t="n"/>
      <c r="Q101" s="31" t="n"/>
      <c r="R101" s="31" t="n"/>
    </row>
    <row r="102">
      <c r="A102" s="19">
        <f>Tickers!$D$102</f>
        <v/>
      </c>
      <c r="B102" s="19">
        <f>'Semi Rev'!$B102</f>
        <v/>
      </c>
      <c r="C102" s="30" cm="1">
        <f t="array" aca="1" ref="C102" ca="1">_xll.BQL($A102, "#itm().value as #v", "#itm=cf_free_cash_flow(fpt=q,fpo=range(-13,2),ae=ae,currency='USD')/1m","showids=f","transpose=t","showheaders=f")</f>
        <v/>
      </c>
      <c r="D102" s="30" t="n"/>
      <c r="E102" s="30" t="n"/>
      <c r="F102" s="30" t="n"/>
      <c r="G102" s="30" t="n"/>
      <c r="H102" s="30" t="n"/>
      <c r="I102" s="30" t="n"/>
      <c r="J102" s="30" t="n"/>
      <c r="K102" s="30" t="n"/>
      <c r="L102" s="30" t="n"/>
      <c r="M102" s="30" t="n"/>
      <c r="N102" s="30" t="n"/>
      <c r="O102" s="30" t="n"/>
      <c r="P102" s="30" t="n"/>
      <c r="Q102" s="31" t="n"/>
      <c r="R102" s="31" t="n"/>
    </row>
    <row r="103">
      <c r="A103" s="19">
        <f>Tickers!$D$103</f>
        <v/>
      </c>
      <c r="B103" s="19">
        <f>'Semi Rev'!$B103</f>
        <v/>
      </c>
      <c r="C103" s="30" cm="1">
        <f t="array" aca="1" ref="C103" ca="1">_xll.BQL($A103, "#itm().value as #v", "#itm=cf_free_cash_flow(fpt=q,fpo=range(-13,2),ae=ae,currency='USD')/1m","showids=f","transpose=t","showheaders=f")</f>
        <v/>
      </c>
      <c r="D103" s="30" t="n"/>
      <c r="E103" s="30" t="n"/>
      <c r="F103" s="30" t="n"/>
      <c r="G103" s="30" t="n"/>
      <c r="H103" s="30" t="n"/>
      <c r="I103" s="30" t="n"/>
      <c r="J103" s="30" t="n"/>
      <c r="K103" s="30" t="n"/>
      <c r="L103" s="30" t="n"/>
      <c r="M103" s="30" t="n"/>
      <c r="N103" s="30" t="n"/>
      <c r="O103" s="30" t="n"/>
      <c r="P103" s="30" t="n"/>
      <c r="Q103" s="31" t="n"/>
      <c r="R103" s="31" t="n"/>
    </row>
    <row r="104">
      <c r="A104" s="19">
        <f>Tickers!$D$104</f>
        <v/>
      </c>
      <c r="B104" s="19">
        <f>'Semi Rev'!$B104</f>
        <v/>
      </c>
      <c r="C104" s="30" cm="1">
        <f t="array" aca="1" ref="C104" ca="1">_xll.BQL($A104, "#itm().value as #v", "#itm=cf_free_cash_flow(fpt=q,fpo=range(-13,2),ae=ae,currency='USD')/1m","showids=f","transpose=t","showheaders=f")</f>
        <v/>
      </c>
      <c r="D104" s="30" t="n"/>
      <c r="E104" s="30" t="n"/>
      <c r="F104" s="30" t="n"/>
      <c r="G104" s="30" t="n"/>
      <c r="H104" s="30" t="n"/>
      <c r="I104" s="30" t="n"/>
      <c r="J104" s="30" t="n"/>
      <c r="K104" s="30" t="n"/>
      <c r="L104" s="30" t="n"/>
      <c r="M104" s="30" t="n"/>
      <c r="N104" s="30" t="n"/>
      <c r="O104" s="30" t="n"/>
      <c r="P104" s="30" t="n"/>
      <c r="Q104" s="31" t="n"/>
      <c r="R104" s="31" t="n"/>
    </row>
    <row r="105">
      <c r="A105" s="19">
        <f>Tickers!$D$105</f>
        <v/>
      </c>
      <c r="B105" s="19">
        <f>'Semi Rev'!$B105</f>
        <v/>
      </c>
      <c r="C105" s="30" cm="1">
        <f t="array" aca="1" ref="C105" ca="1">_xll.BQL($A105, "#itm().value as #v", "#itm=cf_free_cash_flow(fpt=q,fpo=range(-13,2),ae=ae,currency='USD')/1m","showids=f","transpose=t","showheaders=f")</f>
        <v/>
      </c>
      <c r="D105" s="30" t="n"/>
      <c r="E105" s="30" t="n"/>
      <c r="F105" s="30" t="n"/>
      <c r="G105" s="30" t="n"/>
      <c r="H105" s="30" t="n"/>
      <c r="I105" s="30" t="n"/>
      <c r="J105" s="30" t="n"/>
      <c r="K105" s="30" t="n"/>
      <c r="L105" s="30" t="n"/>
      <c r="M105" s="30" t="n"/>
      <c r="N105" s="30" t="n"/>
      <c r="O105" s="30" t="n"/>
      <c r="P105" s="30" t="n"/>
      <c r="Q105" s="31" t="n"/>
      <c r="R105" s="31" t="n"/>
    </row>
    <row r="106">
      <c r="A106" s="19">
        <f>Tickers!$D$106</f>
        <v/>
      </c>
      <c r="B106" s="19">
        <f>'Semi Rev'!$B106</f>
        <v/>
      </c>
      <c r="C106" s="30" cm="1">
        <f t="array" aca="1" ref="C106" ca="1">_xll.BQL($A106, "#itm().value as #v", "#itm=cf_free_cash_flow(fpt=q,fpo=range(-13,2),ae=ae,currency='USD')/1m","showids=f","transpose=t","showheaders=f")</f>
        <v/>
      </c>
      <c r="D106" s="30" t="n"/>
      <c r="E106" s="30" t="n"/>
      <c r="F106" s="30" t="n"/>
      <c r="G106" s="30" t="n"/>
      <c r="H106" s="30" t="n"/>
      <c r="I106" s="30" t="n"/>
      <c r="J106" s="30" t="n"/>
      <c r="K106" s="30" t="n"/>
      <c r="L106" s="30" t="n"/>
      <c r="M106" s="30" t="n"/>
      <c r="N106" s="30" t="n"/>
      <c r="O106" s="30" t="n"/>
      <c r="P106" s="30" t="n"/>
      <c r="Q106" s="31" t="n"/>
      <c r="R106" s="31" t="n"/>
    </row>
    <row r="107">
      <c r="A107" s="19">
        <f>Tickers!$D$107</f>
        <v/>
      </c>
      <c r="B107" s="19">
        <f>'Semi Rev'!$B107</f>
        <v/>
      </c>
      <c r="C107" s="30" cm="1">
        <f t="array" aca="1" ref="C107" ca="1">_xll.BQL($A107, "#itm().value as #v", "#itm=cf_free_cash_flow(fpt=q,fpo=range(-13,2),ae=ae,currency='USD')/1m","showids=f","transpose=t","showheaders=f")</f>
        <v/>
      </c>
      <c r="D107" s="30" t="n"/>
      <c r="E107" s="30" t="n"/>
      <c r="F107" s="30" t="n"/>
      <c r="G107" s="30" t="n"/>
      <c r="H107" s="30" t="n"/>
      <c r="I107" s="30" t="n"/>
      <c r="J107" s="30" t="n"/>
      <c r="K107" s="30" t="n"/>
      <c r="L107" s="30" t="n"/>
      <c r="M107" s="30" t="n"/>
      <c r="N107" s="30" t="n"/>
      <c r="O107" s="30" t="n"/>
      <c r="P107" s="30" t="n"/>
      <c r="Q107" s="31" t="n"/>
      <c r="R107" s="31" t="n"/>
    </row>
    <row r="108">
      <c r="A108" s="19">
        <f>Tickers!$D$108</f>
        <v/>
      </c>
      <c r="B108" s="19">
        <f>'Semi Rev'!$B108</f>
        <v/>
      </c>
      <c r="C108" s="30" cm="1">
        <f t="array" aca="1" ref="C108" ca="1">_xll.BQL($A108, "#itm().value as #v", "#itm=cf_free_cash_flow(fpt=q,fpo=range(-13,2),ae=ae,currency='USD')/1m","showids=f","transpose=t","showheaders=f")</f>
        <v/>
      </c>
      <c r="D108" s="30" t="n"/>
      <c r="E108" s="30" t="n"/>
      <c r="F108" s="30" t="n"/>
      <c r="G108" s="30" t="n"/>
      <c r="H108" s="30" t="n"/>
      <c r="I108" s="30" t="n"/>
      <c r="J108" s="30" t="n"/>
      <c r="K108" s="30" t="n"/>
      <c r="L108" s="30" t="n"/>
      <c r="M108" s="30" t="n"/>
      <c r="N108" s="30" t="n"/>
      <c r="O108" s="30" t="n"/>
      <c r="P108" s="30" t="n"/>
      <c r="Q108" s="31" t="n"/>
      <c r="R108" s="31" t="n"/>
    </row>
    <row r="109">
      <c r="A109" s="19">
        <f>Tickers!$D$109</f>
        <v/>
      </c>
      <c r="B109" s="19">
        <f>'Semi Rev'!$B109</f>
        <v/>
      </c>
      <c r="C109" s="30" cm="1">
        <f t="array" aca="1" ref="C109" ca="1">_xll.BQL($A109, "#itm().value as #v", "#itm=cf_free_cash_flow(fpt=q,fpo=range(-13,2),ae=ae,currency='USD')/1m","showids=f","transpose=t","showheaders=f")</f>
        <v/>
      </c>
      <c r="D109" s="30" t="n"/>
      <c r="E109" s="30" t="n"/>
      <c r="F109" s="30" t="n"/>
      <c r="G109" s="30" t="n"/>
      <c r="H109" s="30" t="n"/>
      <c r="I109" s="30" t="n"/>
      <c r="J109" s="30" t="n"/>
      <c r="K109" s="30" t="n"/>
      <c r="L109" s="30" t="n"/>
      <c r="M109" s="30" t="n"/>
      <c r="N109" s="30" t="n"/>
      <c r="O109" s="30" t="n"/>
      <c r="P109" s="30" t="n"/>
      <c r="Q109" s="31" t="n"/>
      <c r="R109" s="31" t="n"/>
    </row>
    <row r="110">
      <c r="A110" s="19">
        <f>Tickers!$D$110</f>
        <v/>
      </c>
      <c r="B110" s="19">
        <f>'Semi Rev'!$B110</f>
        <v/>
      </c>
      <c r="C110" s="30" cm="1">
        <f t="array" aca="1" ref="C110" ca="1">_xll.BQL($A110, "#itm().value as #v", "#itm=cf_free_cash_flow(fpt=q,fpo=range(-13,2),ae=ae,currency='USD')/1m","showids=f","transpose=t","showheaders=f")</f>
        <v/>
      </c>
      <c r="D110" s="30" t="n"/>
      <c r="E110" s="30" t="n"/>
      <c r="F110" s="30" t="n"/>
      <c r="G110" s="30" t="n"/>
      <c r="H110" s="30" t="n"/>
      <c r="I110" s="30" t="n"/>
      <c r="J110" s="30" t="n"/>
      <c r="K110" s="30" t="n"/>
      <c r="L110" s="30" t="n"/>
      <c r="M110" s="30" t="n"/>
      <c r="N110" s="30" t="n"/>
      <c r="O110" s="30" t="n"/>
      <c r="P110" s="30" t="n"/>
      <c r="Q110" s="31" t="n"/>
      <c r="R110" s="31" t="n"/>
    </row>
    <row r="111">
      <c r="A111" s="19">
        <f>Tickers!$D$111</f>
        <v/>
      </c>
      <c r="B111" s="19">
        <f>'Semi Rev'!$B111</f>
        <v/>
      </c>
      <c r="C111" s="30" cm="1">
        <f t="array" aca="1" ref="C111" ca="1">_xll.BQL($A111, "#itm().value as #v", "#itm=cf_free_cash_flow(fpt=q,fpo=range(-13,2),ae=ae,currency='USD')/1m","showids=f","transpose=t","showheaders=f")</f>
        <v/>
      </c>
      <c r="D111" s="30" t="n"/>
      <c r="E111" s="30" t="n"/>
      <c r="F111" s="30" t="n"/>
      <c r="G111" s="30" t="n"/>
      <c r="H111" s="30" t="n"/>
      <c r="I111" s="30" t="n"/>
      <c r="J111" s="30" t="n"/>
      <c r="K111" s="30" t="n"/>
      <c r="L111" s="30" t="n"/>
      <c r="M111" s="30" t="n"/>
      <c r="N111" s="30" t="n"/>
      <c r="O111" s="30" t="n"/>
      <c r="P111" s="30" t="n"/>
      <c r="Q111" s="31" t="n"/>
      <c r="R111" s="31" t="n"/>
    </row>
    <row r="112">
      <c r="A112" s="19">
        <f>Tickers!$D$112</f>
        <v/>
      </c>
      <c r="B112" s="19">
        <f>'Semi Rev'!$B112</f>
        <v/>
      </c>
      <c r="C112" s="30" cm="1">
        <f t="array" aca="1" ref="C112" ca="1">_xll.BQL($A112, "#itm().value as #v", "#itm=cf_free_cash_flow(fpt=q,fpo=range(-13,2),ae=ae,currency='USD')/1m","showids=f","transpose=t","showheaders=f")</f>
        <v/>
      </c>
      <c r="D112" s="30" t="n"/>
      <c r="E112" s="30" t="n"/>
      <c r="F112" s="30" t="n"/>
      <c r="G112" s="30" t="n"/>
      <c r="H112" s="30" t="n"/>
      <c r="I112" s="30" t="n"/>
      <c r="J112" s="30" t="n"/>
      <c r="K112" s="30" t="n"/>
      <c r="L112" s="30" t="n"/>
      <c r="M112" s="30" t="n"/>
      <c r="N112" s="30" t="n"/>
      <c r="O112" s="30" t="n"/>
      <c r="P112" s="30" t="n"/>
      <c r="Q112" s="31" t="n"/>
      <c r="R112" s="31" t="n"/>
    </row>
    <row r="113">
      <c r="A113" s="19">
        <f>Tickers!$D$113</f>
        <v/>
      </c>
      <c r="B113" s="19">
        <f>'Semi Rev'!$B113</f>
        <v/>
      </c>
      <c r="C113" s="30" cm="1">
        <f t="array" aca="1" ref="C113" ca="1">_xll.BQL($A113, "#itm().value as #v", "#itm=cf_free_cash_flow(fpt=q,fpo=range(-13,2),ae=ae,currency='USD')/1m","showids=f","transpose=t","showheaders=f")</f>
        <v/>
      </c>
      <c r="D113" s="30" t="n"/>
      <c r="E113" s="30" t="n"/>
      <c r="F113" s="30" t="n"/>
      <c r="G113" s="30" t="n"/>
      <c r="H113" s="30" t="n"/>
      <c r="I113" s="30" t="n"/>
      <c r="J113" s="30" t="n"/>
      <c r="K113" s="30" t="n"/>
      <c r="L113" s="30" t="n"/>
      <c r="M113" s="30" t="n"/>
      <c r="N113" s="30" t="n"/>
      <c r="O113" s="30" t="n"/>
      <c r="P113" s="30" t="n"/>
      <c r="Q113" s="31" t="n"/>
      <c r="R113" s="31" t="n"/>
    </row>
    <row r="114">
      <c r="A114" s="19">
        <f>Tickers!$D$114</f>
        <v/>
      </c>
      <c r="B114" s="19">
        <f>'Semi Rev'!$B114</f>
        <v/>
      </c>
      <c r="C114" s="30" cm="1">
        <f t="array" aca="1" ref="C114" ca="1">_xll.BQL($A114, "#itm().value as #v", "#itm=cf_free_cash_flow(fpt=q,fpo=range(-13,2),ae=ae,currency='USD')/1m","showids=f","transpose=t","showheaders=f")</f>
        <v/>
      </c>
      <c r="D114" s="30" t="n"/>
      <c r="E114" s="30" t="n"/>
      <c r="F114" s="30" t="n"/>
      <c r="G114" s="30" t="n"/>
      <c r="H114" s="30" t="n"/>
      <c r="I114" s="30" t="n"/>
      <c r="J114" s="30" t="n"/>
      <c r="K114" s="30" t="n"/>
      <c r="L114" s="30" t="n"/>
      <c r="M114" s="30" t="n"/>
      <c r="N114" s="30" t="n"/>
      <c r="O114" s="30" t="n"/>
      <c r="P114" s="30" t="n"/>
      <c r="Q114" s="31" t="n"/>
      <c r="R114" s="31" t="n"/>
    </row>
    <row r="115">
      <c r="A115" s="19">
        <f>Tickers!$D$115</f>
        <v/>
      </c>
      <c r="B115" s="19">
        <f>'Semi Rev'!$B115</f>
        <v/>
      </c>
      <c r="C115" s="30" cm="1">
        <f t="array" aca="1" ref="C115" ca="1">_xll.BQL($A115, "#itm().value as #v", "#itm=cf_free_cash_flow(fpt=q,fpo=range(-13,2),ae=ae,currency='USD')/1m","showids=f","transpose=t","showheaders=f")</f>
        <v/>
      </c>
      <c r="D115" s="30" t="n"/>
      <c r="E115" s="30" t="n"/>
      <c r="F115" s="30" t="n"/>
      <c r="G115" s="30" t="n"/>
      <c r="H115" s="30" t="n"/>
      <c r="I115" s="30" t="n"/>
      <c r="J115" s="30" t="n"/>
      <c r="K115" s="30" t="n"/>
      <c r="L115" s="30" t="n"/>
      <c r="M115" s="30" t="n"/>
      <c r="N115" s="30" t="n"/>
      <c r="O115" s="30" t="n"/>
      <c r="P115" s="30" t="n"/>
      <c r="Q115" s="31" t="n"/>
      <c r="R115" s="31" t="n"/>
    </row>
    <row r="116">
      <c r="A116" s="19">
        <f>Tickers!$D$116</f>
        <v/>
      </c>
      <c r="B116" s="19">
        <f>'Semi Rev'!$B116</f>
        <v/>
      </c>
      <c r="C116" s="30" cm="1">
        <f t="array" aca="1" ref="C116" ca="1">_xll.BQL($A116, "#itm().value as #v", "#itm=cf_free_cash_flow(fpt=q,fpo=range(-13,2),ae=ae,currency='USD')/1m","showids=f","transpose=t","showheaders=f")</f>
        <v/>
      </c>
      <c r="D116" s="30" t="n"/>
      <c r="E116" s="30" t="n"/>
      <c r="F116" s="30" t="n"/>
      <c r="G116" s="30" t="n"/>
      <c r="H116" s="30" t="n"/>
      <c r="I116" s="30" t="n"/>
      <c r="J116" s="30" t="n"/>
      <c r="K116" s="30" t="n"/>
      <c r="L116" s="30" t="n"/>
      <c r="M116" s="30" t="n"/>
      <c r="N116" s="30" t="n"/>
      <c r="O116" s="30" t="n"/>
      <c r="P116" s="30" t="n"/>
      <c r="Q116" s="31" t="n"/>
      <c r="R116" s="31" t="n"/>
    </row>
    <row r="117">
      <c r="A117" s="19">
        <f>Tickers!$D$117</f>
        <v/>
      </c>
      <c r="B117" s="19">
        <f>'Semi Rev'!$B117</f>
        <v/>
      </c>
      <c r="C117" s="30" cm="1">
        <f t="array" aca="1" ref="C117" ca="1">_xll.BQL($A117, "#itm().value as #v", "#itm=cf_free_cash_flow(fpt=q,fpo=range(-13,2),ae=ae,currency='USD')/1m","showids=f","transpose=t","showheaders=f")</f>
        <v/>
      </c>
      <c r="D117" s="30" t="n"/>
      <c r="E117" s="30" t="n"/>
      <c r="F117" s="30" t="n"/>
      <c r="G117" s="30" t="n"/>
      <c r="H117" s="30" t="n"/>
      <c r="I117" s="30" t="n"/>
      <c r="J117" s="30" t="n"/>
      <c r="K117" s="30" t="n"/>
      <c r="L117" s="30" t="n"/>
      <c r="M117" s="30" t="n"/>
      <c r="N117" s="30" t="n"/>
      <c r="O117" s="30" t="n"/>
      <c r="P117" s="30" t="n"/>
      <c r="Q117" s="31" t="n"/>
      <c r="R117" s="31" t="n"/>
    </row>
    <row r="118">
      <c r="A118" s="19">
        <f>Tickers!$D$118</f>
        <v/>
      </c>
      <c r="B118" s="19">
        <f>'Semi Rev'!$B118</f>
        <v/>
      </c>
      <c r="C118" s="30" cm="1">
        <f t="array" aca="1" ref="C118" ca="1">_xll.BQL($A118, "#itm().value as #v", "#itm=cf_free_cash_flow(fpt=q,fpo=range(-13,2),ae=ae,currency='USD')/1m","showids=f","transpose=t","showheaders=f")</f>
        <v/>
      </c>
      <c r="D118" s="30" t="n"/>
      <c r="E118" s="30" t="n"/>
      <c r="F118" s="30" t="n"/>
      <c r="G118" s="30" t="n"/>
      <c r="H118" s="30" t="n"/>
      <c r="I118" s="30" t="n"/>
      <c r="J118" s="30" t="n"/>
      <c r="K118" s="30" t="n"/>
      <c r="L118" s="30" t="n"/>
      <c r="M118" s="30" t="n"/>
      <c r="N118" s="30" t="n"/>
      <c r="O118" s="30" t="n"/>
      <c r="P118" s="30" t="n"/>
      <c r="Q118" s="31" t="n"/>
      <c r="R118" s="31" t="n"/>
    </row>
    <row r="119">
      <c r="A119" s="19">
        <f>Tickers!$D$119</f>
        <v/>
      </c>
      <c r="B119" s="19">
        <f>'Semi Rev'!$B119</f>
        <v/>
      </c>
      <c r="C119" s="30" cm="1">
        <f t="array" aca="1" ref="C119" ca="1">_xll.BQL($A119, "#itm().value as #v", "#itm=cf_free_cash_flow(fpt=q,fpo=range(-13,2),ae=ae,currency='USD')/1m","showids=f","transpose=t","showheaders=f")</f>
        <v/>
      </c>
      <c r="D119" s="30" t="n"/>
      <c r="E119" s="30" t="n"/>
      <c r="F119" s="30" t="n"/>
      <c r="G119" s="30" t="n"/>
      <c r="H119" s="30" t="n"/>
      <c r="I119" s="30" t="n"/>
      <c r="J119" s="30" t="n"/>
      <c r="K119" s="30" t="n"/>
      <c r="L119" s="30" t="n"/>
      <c r="M119" s="30" t="n"/>
      <c r="N119" s="30" t="n"/>
      <c r="O119" s="30" t="n"/>
      <c r="P119" s="30" t="n"/>
      <c r="Q119" s="31" t="n"/>
      <c r="R119" s="31" t="n"/>
    </row>
    <row r="120">
      <c r="A120" s="19">
        <f>Tickers!$D$120</f>
        <v/>
      </c>
      <c r="B120" s="19">
        <f>'Semi Rev'!$B120</f>
        <v/>
      </c>
      <c r="C120" s="30" cm="1">
        <f t="array" aca="1" ref="C120" ca="1">_xll.BQL($A120, "#itm().value as #v", "#itm=cf_free_cash_flow(fpt=q,fpo=range(-13,2),ae=ae,currency='USD')/1m","showids=f","transpose=t","showheaders=f")</f>
        <v/>
      </c>
      <c r="D120" s="30" t="n"/>
      <c r="E120" s="30" t="n"/>
      <c r="F120" s="30" t="n"/>
      <c r="G120" s="30" t="n"/>
      <c r="H120" s="30" t="n"/>
      <c r="I120" s="30" t="n"/>
      <c r="J120" s="30" t="n"/>
      <c r="K120" s="30" t="n"/>
      <c r="L120" s="30" t="n"/>
      <c r="M120" s="30" t="n"/>
      <c r="N120" s="30" t="n"/>
      <c r="O120" s="30" t="n"/>
      <c r="P120" s="30" t="n"/>
      <c r="Q120" s="31" t="n"/>
      <c r="R120" s="31" t="n"/>
    </row>
    <row r="121">
      <c r="A121" s="19">
        <f>Tickers!$D$121</f>
        <v/>
      </c>
      <c r="B121" s="19">
        <f>'Semi Rev'!$B121</f>
        <v/>
      </c>
      <c r="C121" s="30" cm="1">
        <f t="array" aca="1" ref="C121" ca="1">_xll.BQL($A121, "#itm().value as #v", "#itm=cf_free_cash_flow(fpt=q,fpo=range(-13,2),ae=ae,currency='USD')/1m","showids=f","transpose=t","showheaders=f")</f>
        <v/>
      </c>
      <c r="D121" s="30" t="n"/>
      <c r="E121" s="30" t="n"/>
      <c r="F121" s="30" t="n"/>
      <c r="G121" s="30" t="n"/>
      <c r="H121" s="30" t="n"/>
      <c r="I121" s="30" t="n"/>
      <c r="J121" s="30" t="n"/>
      <c r="K121" s="30" t="n"/>
      <c r="L121" s="30" t="n"/>
      <c r="M121" s="30" t="n"/>
      <c r="N121" s="30" t="n"/>
      <c r="O121" s="30" t="n"/>
      <c r="P121" s="30" t="n"/>
      <c r="Q121" s="31" t="n"/>
      <c r="R121" s="31" t="n"/>
    </row>
    <row r="122">
      <c r="A122" s="19">
        <f>Tickers!$D$122</f>
        <v/>
      </c>
      <c r="B122" s="19">
        <f>'Semi Rev'!$B122</f>
        <v/>
      </c>
      <c r="C122" s="30" cm="1">
        <f t="array" aca="1" ref="C122" ca="1">_xll.BQL($A122, "#itm().value as #v", "#itm=cf_free_cash_flow(fpt=q,fpo=range(-13,2),ae=ae,currency='USD')/1m","showids=f","transpose=t","showheaders=f")</f>
        <v/>
      </c>
      <c r="D122" s="30" t="n"/>
      <c r="E122" s="30" t="n"/>
      <c r="F122" s="30" t="n"/>
      <c r="G122" s="30" t="n"/>
      <c r="H122" s="30" t="n"/>
      <c r="I122" s="30" t="n"/>
      <c r="J122" s="30" t="n"/>
      <c r="K122" s="30" t="n"/>
      <c r="L122" s="30" t="n"/>
      <c r="M122" s="30" t="n"/>
      <c r="N122" s="30" t="n"/>
      <c r="O122" s="30" t="n"/>
      <c r="P122" s="30" t="n"/>
      <c r="Q122" s="31" t="n"/>
      <c r="R122" s="31" t="n"/>
    </row>
    <row r="123">
      <c r="A123" s="19">
        <f>Tickers!$D$123</f>
        <v/>
      </c>
      <c r="B123" s="19">
        <f>'Semi Rev'!$B123</f>
        <v/>
      </c>
      <c r="C123" s="30" cm="1">
        <f t="array" aca="1" ref="C123" ca="1">_xll.BQL($A123, "#itm().value as #v", "#itm=cf_free_cash_flow(fpt=q,fpo=range(-13,2),ae=ae,currency='USD')/1m","showids=f","transpose=t","showheaders=f")</f>
        <v/>
      </c>
      <c r="D123" s="30" t="n"/>
      <c r="E123" s="30" t="n"/>
      <c r="F123" s="30" t="n"/>
      <c r="G123" s="30" t="n"/>
      <c r="H123" s="30" t="n"/>
      <c r="I123" s="30" t="n"/>
      <c r="J123" s="30" t="n"/>
      <c r="K123" s="30" t="n"/>
      <c r="L123" s="30" t="n"/>
      <c r="M123" s="30" t="n"/>
      <c r="N123" s="30" t="n"/>
      <c r="O123" s="30" t="n"/>
      <c r="P123" s="30" t="n"/>
      <c r="Q123" s="31" t="n"/>
      <c r="R123" s="31" t="n"/>
    </row>
    <row r="124">
      <c r="A124" s="19">
        <f>Tickers!$D$124</f>
        <v/>
      </c>
      <c r="B124" s="19">
        <f>'Semi Rev'!$B124</f>
        <v/>
      </c>
      <c r="C124" s="30" cm="1">
        <f t="array" aca="1" ref="C124" ca="1">_xll.BQL($A124, "#itm().value as #v", "#itm=cf_free_cash_flow(fpt=q,fpo=range(-13,2),ae=ae,currency='USD')/1m","showids=f","transpose=t","showheaders=f")</f>
        <v/>
      </c>
      <c r="D124" s="30" t="n"/>
      <c r="E124" s="30" t="n"/>
      <c r="F124" s="30" t="n"/>
      <c r="G124" s="30" t="n"/>
      <c r="H124" s="30" t="n"/>
      <c r="I124" s="30" t="n"/>
      <c r="J124" s="30" t="n"/>
      <c r="K124" s="30" t="n"/>
      <c r="L124" s="30" t="n"/>
      <c r="M124" s="30" t="n"/>
      <c r="N124" s="30" t="n"/>
      <c r="O124" s="30" t="n"/>
      <c r="P124" s="30" t="n"/>
      <c r="Q124" s="31" t="n"/>
      <c r="R124" s="31" t="n"/>
    </row>
    <row r="125">
      <c r="A125" s="19">
        <f>Tickers!$D$125</f>
        <v/>
      </c>
      <c r="B125" s="19">
        <f>'Semi Rev'!$B125</f>
        <v/>
      </c>
      <c r="C125" s="30" cm="1">
        <f t="array" aca="1" ref="C125" ca="1">_xll.BQL($A125, "#itm().value as #v", "#itm=cf_free_cash_flow(fpt=q,fpo=range(-13,2),ae=ae,currency='USD')/1m","showids=f","transpose=t","showheaders=f")</f>
        <v/>
      </c>
      <c r="D125" s="30" t="n"/>
      <c r="E125" s="30" t="n"/>
      <c r="F125" s="30" t="n"/>
      <c r="G125" s="30" t="n"/>
      <c r="H125" s="30" t="n"/>
      <c r="I125" s="30" t="n"/>
      <c r="J125" s="30" t="n"/>
      <c r="K125" s="30" t="n"/>
      <c r="L125" s="30" t="n"/>
      <c r="M125" s="30" t="n"/>
      <c r="N125" s="30" t="n"/>
      <c r="O125" s="30" t="n"/>
      <c r="P125" s="30" t="n"/>
      <c r="Q125" s="31" t="n"/>
      <c r="R125" s="31" t="n"/>
    </row>
    <row r="126">
      <c r="A126" s="19">
        <f>Tickers!$D$126</f>
        <v/>
      </c>
      <c r="B126" s="19">
        <f>'Semi Rev'!$B126</f>
        <v/>
      </c>
      <c r="C126" s="30" cm="1">
        <f t="array" aca="1" ref="C126" ca="1">_xll.BQL($A126, "#itm().value as #v", "#itm=cf_free_cash_flow(fpt=q,fpo=range(-13,2),ae=ae,currency='USD')/1m","showids=f","transpose=t","showheaders=f")</f>
        <v/>
      </c>
      <c r="D126" s="30" t="n"/>
      <c r="E126" s="30" t="n"/>
      <c r="F126" s="30" t="n"/>
      <c r="G126" s="30" t="n"/>
      <c r="H126" s="30" t="n"/>
      <c r="I126" s="30" t="n"/>
      <c r="J126" s="30" t="n"/>
      <c r="K126" s="30" t="n"/>
      <c r="L126" s="30" t="n"/>
      <c r="M126" s="30" t="n"/>
      <c r="N126" s="30" t="n"/>
      <c r="O126" s="30" t="n"/>
      <c r="P126" s="30" t="n"/>
      <c r="Q126" s="31" t="n"/>
      <c r="R126" s="31" t="n"/>
    </row>
    <row r="127">
      <c r="A127" s="19">
        <f>Tickers!$D$127</f>
        <v/>
      </c>
      <c r="B127" s="19">
        <f>'Semi Rev'!$B127</f>
        <v/>
      </c>
      <c r="C127" s="30" cm="1">
        <f t="array" aca="1" ref="C127" ca="1">_xll.BQL($A127, "#itm().value as #v", "#itm=cf_free_cash_flow(fpt=q,fpo=range(-13,2),ae=ae,currency='USD')/1m","showids=f","transpose=t","showheaders=f")</f>
        <v/>
      </c>
      <c r="D127" s="30" t="n"/>
      <c r="E127" s="30" t="n"/>
      <c r="F127" s="30" t="n"/>
      <c r="G127" s="30" t="n"/>
      <c r="H127" s="30" t="n"/>
      <c r="I127" s="30" t="n"/>
      <c r="J127" s="30" t="n"/>
      <c r="K127" s="30" t="n"/>
      <c r="L127" s="30" t="n"/>
      <c r="M127" s="30" t="n"/>
      <c r="N127" s="30" t="n"/>
      <c r="O127" s="30" t="n"/>
      <c r="P127" s="30" t="n"/>
      <c r="Q127" s="31" t="n"/>
      <c r="R127" s="31" t="n"/>
    </row>
    <row r="128">
      <c r="A128" s="19">
        <f>Tickers!$D$128</f>
        <v/>
      </c>
      <c r="B128" s="19">
        <f>'Semi Rev'!$B128</f>
        <v/>
      </c>
      <c r="C128" s="30" cm="1">
        <f t="array" aca="1" ref="C128" ca="1">_xll.BQL($A128, "#itm().value as #v", "#itm=cf_free_cash_flow(fpt=q,fpo=range(-13,2),ae=ae,currency='USD')/1m","showids=f","transpose=t","showheaders=f")</f>
        <v/>
      </c>
      <c r="D128" s="30" t="n"/>
      <c r="E128" s="30" t="n"/>
      <c r="F128" s="30" t="n"/>
      <c r="G128" s="30" t="n"/>
      <c r="H128" s="30" t="n"/>
      <c r="I128" s="30" t="n"/>
      <c r="J128" s="30" t="n"/>
      <c r="K128" s="30" t="n"/>
      <c r="L128" s="30" t="n"/>
      <c r="M128" s="30" t="n"/>
      <c r="N128" s="30" t="n"/>
      <c r="O128" s="30" t="n"/>
      <c r="P128" s="30" t="n"/>
      <c r="Q128" s="31" t="n"/>
      <c r="R128" s="31" t="n"/>
    </row>
    <row r="129">
      <c r="A129" s="19">
        <f>Tickers!$D$129</f>
        <v/>
      </c>
      <c r="B129" s="19">
        <f>'Semi Rev'!$B129</f>
        <v/>
      </c>
      <c r="C129" s="30" cm="1">
        <f t="array" aca="1" ref="C129" ca="1">_xll.BQL($A129, "#itm().value as #v", "#itm=cf_free_cash_flow(fpt=q,fpo=range(-13,2),ae=ae,currency='USD')/1m","showids=f","transpose=t","showheaders=f")</f>
        <v/>
      </c>
      <c r="D129" s="30" t="n"/>
      <c r="E129" s="30" t="n"/>
      <c r="F129" s="30" t="n"/>
      <c r="G129" s="30" t="n"/>
      <c r="H129" s="30" t="n"/>
      <c r="I129" s="30" t="n"/>
      <c r="J129" s="30" t="n"/>
      <c r="K129" s="30" t="n"/>
      <c r="L129" s="30" t="n"/>
      <c r="M129" s="30" t="n"/>
      <c r="N129" s="30" t="n"/>
      <c r="O129" s="30" t="n"/>
      <c r="P129" s="30" t="n"/>
      <c r="Q129" s="31" t="n"/>
      <c r="R129" s="31" t="n"/>
    </row>
    <row r="130">
      <c r="A130" s="19">
        <f>Tickers!$D$130</f>
        <v/>
      </c>
      <c r="B130" s="19">
        <f>'Semi Rev'!$B130</f>
        <v/>
      </c>
      <c r="C130" s="30" cm="1">
        <f t="array" aca="1" ref="C130" ca="1">_xll.BQL($A130, "#itm().value as #v", "#itm=cf_free_cash_flow(fpt=q,fpo=range(-13,2),ae=ae,currency='USD')/1m","showids=f","transpose=t","showheaders=f")</f>
        <v/>
      </c>
      <c r="D130" s="30" t="n"/>
      <c r="E130" s="30" t="n"/>
      <c r="F130" s="30" t="n"/>
      <c r="G130" s="30" t="n"/>
      <c r="H130" s="30" t="n"/>
      <c r="I130" s="30" t="n"/>
      <c r="J130" s="30" t="n"/>
      <c r="K130" s="30" t="n"/>
      <c r="L130" s="30" t="n"/>
      <c r="M130" s="30" t="n"/>
      <c r="N130" s="30" t="n"/>
      <c r="O130" s="30" t="n"/>
      <c r="P130" s="30" t="n"/>
      <c r="Q130" s="31" t="n"/>
      <c r="R130" s="31" t="n"/>
    </row>
    <row r="131">
      <c r="A131" s="19">
        <f>Tickers!$D$131</f>
        <v/>
      </c>
      <c r="B131" s="19">
        <f>'Semi Rev'!$B131</f>
        <v/>
      </c>
      <c r="C131" s="30" cm="1">
        <f t="array" aca="1" ref="C131" ca="1">_xll.BQL($A131, "#itm().value as #v", "#itm=cf_free_cash_flow(fpt=q,fpo=range(-13,2),ae=ae,currency='USD')/1m","showids=f","transpose=t","showheaders=f")</f>
        <v/>
      </c>
      <c r="D131" s="30" t="n"/>
      <c r="E131" s="30" t="n"/>
      <c r="F131" s="30" t="n"/>
      <c r="G131" s="30" t="n"/>
      <c r="H131" s="30" t="n"/>
      <c r="I131" s="30" t="n"/>
      <c r="J131" s="30" t="n"/>
      <c r="K131" s="30" t="n"/>
      <c r="L131" s="30" t="n"/>
      <c r="M131" s="30" t="n"/>
      <c r="N131" s="30" t="n"/>
      <c r="O131" s="30" t="n"/>
      <c r="P131" s="30" t="n"/>
      <c r="Q131" s="31" t="n"/>
      <c r="R131" s="31" t="n"/>
    </row>
    <row r="132">
      <c r="A132" s="19">
        <f>Tickers!$D$132</f>
        <v/>
      </c>
      <c r="B132" s="19">
        <f>'Semi Rev'!$B132</f>
        <v/>
      </c>
      <c r="C132" s="30" cm="1">
        <f t="array" aca="1" ref="C132" ca="1">_xll.BQL($A132, "#itm().value as #v", "#itm=cf_free_cash_flow(fpt=q,fpo=range(-13,2),ae=ae,currency='USD')/1m","showids=f","transpose=t","showheaders=f")</f>
        <v/>
      </c>
      <c r="D132" s="30" t="n"/>
      <c r="E132" s="30" t="n"/>
      <c r="F132" s="30" t="n"/>
      <c r="G132" s="30" t="n"/>
      <c r="H132" s="30" t="n"/>
      <c r="I132" s="30" t="n"/>
      <c r="J132" s="30" t="n"/>
      <c r="K132" s="30" t="n"/>
      <c r="L132" s="30" t="n"/>
      <c r="M132" s="30" t="n"/>
      <c r="N132" s="30" t="n"/>
      <c r="O132" s="30" t="n"/>
      <c r="P132" s="30" t="n"/>
      <c r="Q132" s="31" t="n"/>
      <c r="R132" s="31" t="n"/>
    </row>
    <row r="133">
      <c r="A133" s="19">
        <f>Tickers!$D$133</f>
        <v/>
      </c>
      <c r="B133" s="19">
        <f>'Semi Rev'!$B133</f>
        <v/>
      </c>
      <c r="C133" s="30" cm="1">
        <f t="array" aca="1" ref="C133" ca="1">_xll.BQL($A133, "#itm().value as #v", "#itm=cf_free_cash_flow(fpt=q,fpo=range(-13,2),ae=ae,currency='USD')/1m","showids=f","transpose=t","showheaders=f")</f>
        <v/>
      </c>
      <c r="D133" s="30" t="n"/>
      <c r="E133" s="30" t="n"/>
      <c r="F133" s="30" t="n"/>
      <c r="G133" s="30" t="n"/>
      <c r="H133" s="30" t="n"/>
      <c r="I133" s="30" t="n"/>
      <c r="J133" s="30" t="n"/>
      <c r="K133" s="30" t="n"/>
      <c r="L133" s="30" t="n"/>
      <c r="M133" s="30" t="n"/>
      <c r="N133" s="30" t="n"/>
      <c r="O133" s="30" t="n"/>
      <c r="P133" s="30" t="n"/>
      <c r="Q133" s="31" t="n"/>
      <c r="R133" s="31" t="n"/>
    </row>
    <row r="134">
      <c r="A134" s="19">
        <f>Tickers!$D$134</f>
        <v/>
      </c>
      <c r="B134" s="19">
        <f>'Semi Rev'!$B134</f>
        <v/>
      </c>
      <c r="C134" s="30" cm="1">
        <f t="array" aca="1" ref="C134" ca="1">_xll.BQL($A134, "#itm().value as #v", "#itm=cf_free_cash_flow(fpt=q,fpo=range(-13,2),ae=ae,currency='USD')/1m","showids=f","transpose=t","showheaders=f")</f>
        <v/>
      </c>
      <c r="D134" s="30" t="n"/>
      <c r="E134" s="30" t="n"/>
      <c r="F134" s="30" t="n"/>
      <c r="G134" s="30" t="n"/>
      <c r="H134" s="30" t="n"/>
      <c r="I134" s="30" t="n"/>
      <c r="J134" s="30" t="n"/>
      <c r="K134" s="30" t="n"/>
      <c r="L134" s="30" t="n"/>
      <c r="M134" s="30" t="n"/>
      <c r="N134" s="30" t="n"/>
      <c r="O134" s="30" t="n"/>
      <c r="P134" s="30" t="n"/>
      <c r="Q134" s="31" t="n"/>
      <c r="R134" s="31" t="n"/>
    </row>
    <row r="135">
      <c r="A135" s="19">
        <f>Tickers!$D$135</f>
        <v/>
      </c>
      <c r="B135" s="19">
        <f>'Semi Rev'!$B135</f>
        <v/>
      </c>
      <c r="C135" s="30" cm="1">
        <f t="array" aca="1" ref="C135" ca="1">_xll.BQL($A135, "#itm().value as #v", "#itm=cf_free_cash_flow(fpt=q,fpo=range(-13,2),ae=ae,currency='USD')/1m","showids=f","transpose=t","showheaders=f")</f>
        <v/>
      </c>
      <c r="D135" s="30" t="n"/>
      <c r="E135" s="30" t="n"/>
      <c r="F135" s="30" t="n"/>
      <c r="G135" s="30" t="n"/>
      <c r="H135" s="30" t="n"/>
      <c r="I135" s="30" t="n"/>
      <c r="J135" s="30" t="n"/>
      <c r="K135" s="30" t="n"/>
      <c r="L135" s="30" t="n"/>
      <c r="M135" s="30" t="n"/>
      <c r="N135" s="30" t="n"/>
      <c r="O135" s="30" t="n"/>
      <c r="P135" s="30" t="n"/>
      <c r="Q135" s="31" t="n"/>
      <c r="R135" s="31" t="n"/>
    </row>
    <row r="136">
      <c r="A136" s="19">
        <f>Tickers!$D$136</f>
        <v/>
      </c>
      <c r="B136" s="19">
        <f>'Semi Rev'!$B136</f>
        <v/>
      </c>
      <c r="C136" s="30" cm="1">
        <f t="array" aca="1" ref="C136" ca="1">_xll.BQL($A136, "#itm().value as #v", "#itm=cf_free_cash_flow(fpt=q,fpo=range(-13,2),ae=ae,currency='USD')/1m","showids=f","transpose=t","showheaders=f")</f>
        <v/>
      </c>
      <c r="D136" s="30" t="n"/>
      <c r="E136" s="30" t="n"/>
      <c r="F136" s="30" t="n"/>
      <c r="G136" s="30" t="n"/>
      <c r="H136" s="30" t="n"/>
      <c r="I136" s="30" t="n"/>
      <c r="J136" s="30" t="n"/>
      <c r="K136" s="30" t="n"/>
      <c r="L136" s="30" t="n"/>
      <c r="M136" s="30" t="n"/>
      <c r="N136" s="30" t="n"/>
      <c r="O136" s="30" t="n"/>
      <c r="P136" s="30" t="n"/>
      <c r="Q136" s="31" t="n"/>
      <c r="R136" s="31" t="n"/>
    </row>
    <row r="137">
      <c r="A137" s="19">
        <f>Tickers!$D$137</f>
        <v/>
      </c>
      <c r="B137" s="19">
        <f>'Semi Rev'!$B137</f>
        <v/>
      </c>
      <c r="C137" s="30" cm="1">
        <f t="array" aca="1" ref="C137" ca="1">_xll.BQL($A137, "#itm().value as #v", "#itm=cf_free_cash_flow(fpt=q,fpo=range(-13,2),ae=ae,currency='USD')/1m","showids=f","transpose=t","showheaders=f")</f>
        <v/>
      </c>
      <c r="D137" s="30" t="n"/>
      <c r="E137" s="30" t="n"/>
      <c r="F137" s="30" t="n"/>
      <c r="G137" s="30" t="n"/>
      <c r="H137" s="30" t="n"/>
      <c r="I137" s="30" t="n"/>
      <c r="J137" s="30" t="n"/>
      <c r="K137" s="30" t="n"/>
      <c r="L137" s="30" t="n"/>
      <c r="M137" s="30" t="n"/>
      <c r="N137" s="30" t="n"/>
      <c r="O137" s="30" t="n"/>
      <c r="P137" s="30" t="n"/>
      <c r="Q137" s="31" t="n"/>
      <c r="R137" s="31" t="n"/>
    </row>
    <row r="138">
      <c r="A138" s="19">
        <f>Tickers!$D$138</f>
        <v/>
      </c>
      <c r="B138" s="19">
        <f>'Semi Rev'!$B138</f>
        <v/>
      </c>
      <c r="C138" s="30" cm="1">
        <f t="array" aca="1" ref="C138" ca="1">_xll.BQL($A138, "#itm().value as #v", "#itm=cf_free_cash_flow(fpt=q,fpo=range(-13,2),ae=ae,currency='USD')/1m","showids=f","transpose=t","showheaders=f")</f>
        <v/>
      </c>
      <c r="D138" s="30" t="n"/>
      <c r="E138" s="30" t="n"/>
      <c r="F138" s="30" t="n"/>
      <c r="G138" s="30" t="n"/>
      <c r="H138" s="30" t="n"/>
      <c r="I138" s="30" t="n"/>
      <c r="J138" s="30" t="n"/>
      <c r="K138" s="30" t="n"/>
      <c r="L138" s="30" t="n"/>
      <c r="M138" s="30" t="n"/>
      <c r="N138" s="30" t="n"/>
      <c r="O138" s="30" t="n"/>
      <c r="P138" s="30" t="n"/>
      <c r="Q138" s="31" t="n"/>
      <c r="R138" s="31" t="n"/>
    </row>
    <row r="139">
      <c r="A139" s="19">
        <f>Tickers!$D$139</f>
        <v/>
      </c>
      <c r="B139" s="19">
        <f>'Semi Rev'!$B139</f>
        <v/>
      </c>
      <c r="C139" s="30" cm="1">
        <f t="array" aca="1" ref="C139" ca="1">_xll.BQL($A139, "#itm().value as #v", "#itm=cf_free_cash_flow(fpt=q,fpo=range(-13,2),ae=ae,currency='USD')/1m","showids=f","transpose=t","showheaders=f")</f>
        <v/>
      </c>
      <c r="D139" s="30" t="n"/>
      <c r="E139" s="30" t="n"/>
      <c r="F139" s="30" t="n"/>
      <c r="G139" s="30" t="n"/>
      <c r="H139" s="30" t="n"/>
      <c r="I139" s="30" t="n"/>
      <c r="J139" s="30" t="n"/>
      <c r="K139" s="30" t="n"/>
      <c r="L139" s="30" t="n"/>
      <c r="M139" s="30" t="n"/>
      <c r="N139" s="30" t="n"/>
      <c r="O139" s="30" t="n"/>
      <c r="P139" s="30" t="n"/>
      <c r="Q139" s="31" t="n"/>
      <c r="R139" s="31" t="n"/>
    </row>
    <row r="140">
      <c r="A140" s="19">
        <f>Tickers!$D$140</f>
        <v/>
      </c>
      <c r="B140" s="19">
        <f>'Semi Rev'!$B140</f>
        <v/>
      </c>
      <c r="C140" s="30" cm="1">
        <f t="array" aca="1" ref="C140" ca="1">_xll.BQL($A140, "#itm().value as #v", "#itm=cf_free_cash_flow(fpt=q,fpo=range(-13,2),ae=ae,currency='USD')/1m","showids=f","transpose=t","showheaders=f")</f>
        <v/>
      </c>
      <c r="D140" s="30" t="n"/>
      <c r="E140" s="30" t="n"/>
      <c r="F140" s="30" t="n"/>
      <c r="G140" s="30" t="n"/>
      <c r="H140" s="30" t="n"/>
      <c r="I140" s="30" t="n"/>
      <c r="J140" s="30" t="n"/>
      <c r="K140" s="30" t="n"/>
      <c r="L140" s="30" t="n"/>
      <c r="M140" s="30" t="n"/>
      <c r="N140" s="30" t="n"/>
      <c r="O140" s="30" t="n"/>
      <c r="P140" s="30" t="n"/>
      <c r="Q140" s="31" t="n"/>
      <c r="R140" s="31" t="n"/>
    </row>
    <row r="141">
      <c r="A141" s="19">
        <f>Tickers!$D$141</f>
        <v/>
      </c>
      <c r="B141" s="19">
        <f>'Semi Rev'!$B141</f>
        <v/>
      </c>
      <c r="C141" s="30" cm="1">
        <f t="array" aca="1" ref="C141" ca="1">_xll.BQL($A141, "#itm().value as #v", "#itm=cf_free_cash_flow(fpt=q,fpo=range(-13,2),ae=ae,currency='USD')/1m","showids=f","transpose=t","showheaders=f")</f>
        <v/>
      </c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  <c r="M141" s="30" t="n"/>
      <c r="N141" s="30" t="n"/>
      <c r="O141" s="30" t="n"/>
      <c r="P141" s="30" t="n"/>
      <c r="Q141" s="31" t="n"/>
      <c r="R141" s="31" t="n"/>
    </row>
    <row r="142">
      <c r="A142" s="19">
        <f>Tickers!$D$142</f>
        <v/>
      </c>
      <c r="B142" s="19">
        <f>'Semi Rev'!$B142</f>
        <v/>
      </c>
      <c r="C142" s="30" cm="1">
        <f t="array" aca="1" ref="C142" ca="1">_xll.BQL($A142, "#itm().value as #v", "#itm=cf_free_cash_flow(fpt=q,fpo=range(-13,2),ae=ae,currency='USD')/1m","showids=f","transpose=t","showheaders=f")</f>
        <v/>
      </c>
      <c r="D142" s="30" t="n"/>
      <c r="E142" s="30" t="n"/>
      <c r="F142" s="30" t="n"/>
      <c r="G142" s="30" t="n"/>
      <c r="H142" s="30" t="n"/>
      <c r="I142" s="30" t="n"/>
      <c r="J142" s="30" t="n"/>
      <c r="K142" s="30" t="n"/>
      <c r="L142" s="30" t="n"/>
      <c r="M142" s="30" t="n"/>
      <c r="N142" s="30" t="n"/>
      <c r="O142" s="30" t="n"/>
      <c r="P142" s="30" t="n"/>
      <c r="Q142" s="31" t="n"/>
      <c r="R142" s="31" t="n"/>
    </row>
    <row r="143">
      <c r="A143" s="19">
        <f>Tickers!$D$143</f>
        <v/>
      </c>
      <c r="B143" s="19">
        <f>'Semi Rev'!$B143</f>
        <v/>
      </c>
      <c r="C143" s="30" cm="1">
        <f t="array" aca="1" ref="C143" ca="1">_xll.BQL($A143, "#itm().value as #v", "#itm=cf_free_cash_flow(fpt=q,fpo=range(-13,2),ae=ae,currency='USD')/1m","showids=f","transpose=t","showheaders=f")</f>
        <v/>
      </c>
      <c r="D143" s="30" t="n"/>
      <c r="E143" s="30" t="n"/>
      <c r="F143" s="30" t="n"/>
      <c r="G143" s="30" t="n"/>
      <c r="H143" s="30" t="n"/>
      <c r="I143" s="30" t="n"/>
      <c r="J143" s="30" t="n"/>
      <c r="K143" s="30" t="n"/>
      <c r="L143" s="30" t="n"/>
      <c r="M143" s="30" t="n"/>
      <c r="N143" s="30" t="n"/>
      <c r="O143" s="30" t="n"/>
      <c r="P143" s="30" t="n"/>
      <c r="Q143" s="31" t="n"/>
      <c r="R143" s="31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2026-08-26T22:32:30Z</dcterms:created>
  <dcterms:modified xmlns:dcterms="http://purl.org/dc/terms/" xmlns:xsi="http://www.w3.org/2001/XMLSchema-instance" xsi:type="dcterms:W3CDTF">2026-08-26T22:32:33Z</dcterms:modified>
</cp:coreProperties>
</file>